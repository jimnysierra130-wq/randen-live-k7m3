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97" firstSheet="0" activeTab="4" autoFilterDateGrouping="1"/>
  </bookViews>
  <sheets>
    <sheet xmlns:r="http://schemas.openxmlformats.org/officeDocument/2006/relationships" name="当日早見表" sheetId="1" state="visible" r:id="rId1"/>
    <sheet xmlns:r="http://schemas.openxmlformats.org/officeDocument/2006/relationships" name="早見表_全期間" sheetId="2" state="visible" r:id="rId2"/>
    <sheet xmlns:r="http://schemas.openxmlformats.org/officeDocument/2006/relationships" name="出退勤マスタ" sheetId="3" state="visible" r:id="rId3"/>
    <sheet xmlns:r="http://schemas.openxmlformats.org/officeDocument/2006/relationships" name="当日休憩ビュー" sheetId="4" state="visible" r:id="rId4"/>
    <sheet xmlns:r="http://schemas.openxmlformats.org/officeDocument/2006/relationships" name="行路_ロング" sheetId="5" state="visible" r:id="rId5"/>
    <sheet xmlns:r="http://schemas.openxmlformats.org/officeDocument/2006/relationships" name="休憩マスタ" sheetId="6" state="visible" r:id="rId6"/>
    <sheet xmlns:r="http://schemas.openxmlformats.org/officeDocument/2006/relationships" name="駅マスタ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祝日マスタ" sheetId="9" state="visible" r:id="rId9"/>
    <sheet xmlns:r="http://schemas.openxmlformats.org/officeDocument/2006/relationships" name="便乗_乗車便対応" sheetId="10" state="visible" r:id="rId10"/>
    <sheet xmlns:r="http://schemas.openxmlformats.org/officeDocument/2006/relationships" name="表示仕様_帷子到着表" sheetId="11" state="visible" r:id="rId11"/>
  </sheets>
  <definedNames>
    <definedName name="_xlnm._FilterDatabase" localSheetId="4" hidden="1">'行路_ロング'!$A$1:$G$1</definedName>
    <definedName name="_xlnm._FilterDatabase" localSheetId="5" hidden="1">'休憩マスタ'!$A$4:$H$61</definedName>
    <definedName name="_xlnm._FilterDatabase" localSheetId="6" hidden="1">'駅マスタ'!$A$1:$D$1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Noto Sans CJK SC"/>
      <charset val="1"/>
      <family val="2"/>
      <b val="1"/>
      <sz val="11"/>
    </font>
    <font>
      <name val="Arial"/>
      <charset val="1"/>
      <family val="2"/>
      <b val="1"/>
      <color rgb="FF0000FF"/>
      <sz val="12"/>
    </font>
    <font>
      <name val="Noto Sans CJK SC"/>
      <charset val="1"/>
      <family val="2"/>
      <i val="1"/>
      <color rgb="FF808080"/>
      <sz val="11"/>
    </font>
    <font>
      <name val="Noto Sans CJK SC"/>
      <charset val="1"/>
      <family val="2"/>
      <b val="1"/>
      <color rgb="FFFFFFFF"/>
      <sz val="11"/>
    </font>
    <font>
      <name val="Arial"/>
      <charset val="1"/>
      <family val="2"/>
      <sz val="11"/>
    </font>
    <font>
      <name val="Noto Sans CJK SC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sz val="13"/>
    </font>
    <font>
      <name val="Noto Sans CJK SC"/>
      <charset val="1"/>
      <family val="2"/>
      <i val="1"/>
      <sz val="9"/>
    </font>
    <font>
      <name val="Arial"/>
      <charset val="1"/>
      <family val="2"/>
      <b val="1"/>
      <color rgb="FF0000FF"/>
      <sz val="11"/>
    </font>
    <font>
      <name val="Noto Sans CJK SC"/>
      <charset val="1"/>
      <family val="2"/>
      <sz val="10"/>
    </font>
    <font>
      <name val="Arial"/>
      <charset val="1"/>
      <family val="2"/>
      <sz val="10"/>
    </font>
    <font>
      <name val="Calibri"/>
      <family val="2"/>
      <b val="1"/>
      <sz val="11"/>
    </font>
    <font>
      <name val="ＭＳ Ｐゴシック"/>
      <charset val="128"/>
      <family val="3"/>
      <sz val="6"/>
    </font>
    <font>
      <name val="Calibri"/>
      <family val="2"/>
      <b val="1"/>
      <sz val="11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2F5597"/>
        <bgColor rgb="FF305496"/>
      </patternFill>
    </fill>
    <fill>
      <patternFill patternType="solid">
        <fgColor rgb="FF305496"/>
        <bgColor rgb="FF2F5597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4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1" fillId="0" borderId="0" pivotButton="0" quotePrefix="0" xfId="0"/>
    <xf numFmtId="0" fontId="11" fillId="0" borderId="0" pivotButton="0" quotePrefix="0" xfId="0"/>
    <xf numFmtId="0" fontId="4" fillId="4" borderId="0" pivotButton="0" quotePrefix="0" xfId="0"/>
    <xf numFmtId="0" fontId="12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2" fillId="5" borderId="3" applyAlignment="1" pivotButton="0" quotePrefix="0" xfId="0">
      <alignment horizontal="center"/>
    </xf>
    <xf numFmtId="0" fontId="13" fillId="5" borderId="3" applyAlignment="1" pivotButton="0" quotePrefix="0" xfId="0">
      <alignment horizontal="center"/>
    </xf>
    <xf numFmtId="0" fontId="0" fillId="5" borderId="0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4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0" fillId="0" borderId="0" pivotButton="0" quotePrefix="0" xfId="0"/>
    <xf numFmtId="0" fontId="0" fillId="0" borderId="0" pivotButton="0" quotePrefix="0" xfId="0"/>
    <xf numFmtId="0" fontId="9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FE6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8.7109375" defaultRowHeight="15"/>
  <cols>
    <col width="14" customWidth="1" style="37" min="1" max="2"/>
    <col width="44" customWidth="1" style="37" min="3" max="3"/>
  </cols>
  <sheetData>
    <row r="1" ht="16.5" customHeight="1" s="37">
      <c r="A1" s="1" t="inlineStr">
        <is>
          <t>日付を入力 →</t>
        </is>
      </c>
      <c r="B1" s="2">
        <f>TEXT(TODAY(),"yyyy-mm-dd")</f>
        <v/>
      </c>
      <c r="C1" s="3" t="inlineStr">
        <is>
          <t>←TODAY()で自動更新。固定日にしたい場合はyyyy-mm-dd文字列で上書き</t>
        </is>
      </c>
    </row>
    <row r="2" ht="15" customHeight="1" s="37">
      <c r="A2" s="1" t="inlineStr">
        <is>
          <t>曜日</t>
        </is>
      </c>
      <c r="B2" s="4">
        <f>IFERROR(INDEX(早見表_全期間!$B$2:$B$267,MATCH($B$1,早見表_全期間!$A$2:$A$267,0)),"該当なし")</f>
        <v/>
      </c>
    </row>
    <row r="3" ht="15" customHeight="1" s="37">
      <c r="A3" s="1" t="inlineStr">
        <is>
          <t>ダイヤ区分</t>
        </is>
      </c>
      <c r="B3" s="4">
        <f>IFERROR(INDEX(早見表_全期間!$C$2:$C$267,MATCH($B$1,早見表_全期間!$A$2:$A$267,0)),"該当なし")</f>
        <v/>
      </c>
    </row>
    <row r="4" ht="15" customHeight="1" s="37">
      <c r="A4" s="1" t="inlineStr">
        <is>
          <t>祝日名</t>
        </is>
      </c>
      <c r="B4" s="4">
        <f>IFERROR(INDEX(早見表_全期間!$D$2:$D$267,MATCH($B$1,早見表_全期間!$A$2:$A$267,0))&amp;"","")</f>
        <v/>
      </c>
    </row>
    <row r="6" ht="15" customHeight="1" s="37">
      <c r="A6" s="5" t="inlineStr">
        <is>
          <t>系統</t>
        </is>
      </c>
      <c r="B6" s="5" t="inlineStr">
        <is>
          <t>担当運転士</t>
        </is>
      </c>
    </row>
    <row r="7" ht="16.5" customHeight="1" s="37">
      <c r="A7" s="6" t="inlineStr">
        <is>
          <t>1系統</t>
        </is>
      </c>
      <c r="B7" s="4">
        <f>IFERROR(INDEX(早見表_全期間!$A$1:$AP$267,MATCH($B$1,早見表_全期間!$A$1:$A$267,0),MATCH($A7,早見表_全期間!$A$1:$AP$1,0)),"-")</f>
        <v/>
      </c>
    </row>
    <row r="8" ht="16.5" customHeight="1" s="37">
      <c r="A8" s="7" t="inlineStr">
        <is>
          <t>休日前1系統</t>
        </is>
      </c>
      <c r="B8" s="4">
        <f>IFERROR(INDEX(早見表_全期間!$A$1:$AP$267,MATCH($B$1,早見表_全期間!$A$1:$A$267,0),MATCH($A8,早見表_全期間!$A$1:$AP$1,0)),"-")</f>
        <v/>
      </c>
    </row>
    <row r="9" ht="16.5" customHeight="1" s="37">
      <c r="A9" s="7" t="inlineStr">
        <is>
          <t>休日後1系統</t>
        </is>
      </c>
      <c r="B9" s="4">
        <f>IFERROR(INDEX(早見表_全期間!$A$1:$AP$267,MATCH($B$1,早見表_全期間!$A$1:$A$267,0),MATCH($A9,早見表_全期間!$A$1:$AP$1,0)),"-")</f>
        <v/>
      </c>
    </row>
    <row r="10" ht="16.5" customHeight="1" s="37">
      <c r="A10" s="6" t="inlineStr">
        <is>
          <t>2系統</t>
        </is>
      </c>
      <c r="B10" s="4">
        <f>IFERROR(INDEX(早見表_全期間!$A$1:$AP$267,MATCH($B$1,早見表_全期間!$A$1:$A$267,0),MATCH($A10,早見表_全期間!$A$1:$AP$1,0)),"-")</f>
        <v/>
      </c>
    </row>
    <row r="11" ht="16.5" customHeight="1" s="37">
      <c r="A11" s="7" t="inlineStr">
        <is>
          <t>休日前2系統</t>
        </is>
      </c>
      <c r="B11" s="4">
        <f>IFERROR(INDEX(早見表_全期間!$A$1:$AP$267,MATCH($B$1,早見表_全期間!$A$1:$A$267,0),MATCH($A11,早見表_全期間!$A$1:$AP$1,0)),"-")</f>
        <v/>
      </c>
    </row>
    <row r="12" ht="16.5" customHeight="1" s="37">
      <c r="A12" s="7" t="inlineStr">
        <is>
          <t>休日後2系統</t>
        </is>
      </c>
      <c r="B12" s="4">
        <f>IFERROR(INDEX(早見表_全期間!$A$1:$AP$267,MATCH($B$1,早見表_全期間!$A$1:$A$267,0),MATCH($A12,早見表_全期間!$A$1:$AP$1,0)),"-")</f>
        <v/>
      </c>
    </row>
    <row r="13" ht="16.5" customHeight="1" s="37">
      <c r="A13" s="6" t="inlineStr">
        <is>
          <t>3系統</t>
        </is>
      </c>
      <c r="B13" s="4">
        <f>IFERROR(INDEX(早見表_全期間!$A$1:$AP$267,MATCH($B$1,早見表_全期間!$A$1:$A$267,0),MATCH($A13,早見表_全期間!$A$1:$AP$1,0)),"-")</f>
        <v/>
      </c>
    </row>
    <row r="14" ht="16.5" customHeight="1" s="37">
      <c r="A14" s="7" t="inlineStr">
        <is>
          <t>休日前3系統</t>
        </is>
      </c>
      <c r="B14" s="4">
        <f>IFERROR(INDEX(早見表_全期間!$A$1:$AP$267,MATCH($B$1,早見表_全期間!$A$1:$A$267,0),MATCH($A14,早見表_全期間!$A$1:$AP$1,0)),"-")</f>
        <v/>
      </c>
    </row>
    <row r="15" ht="16.5" customHeight="1" s="37">
      <c r="A15" s="7" t="inlineStr">
        <is>
          <t>休日後3系統</t>
        </is>
      </c>
      <c r="B15" s="4">
        <f>IFERROR(INDEX(早見表_全期間!$A$1:$AP$267,MATCH($B$1,早見表_全期間!$A$1:$A$267,0),MATCH($A15,早見表_全期間!$A$1:$AP$1,0)),"-")</f>
        <v/>
      </c>
    </row>
    <row r="16" ht="16.5" customHeight="1" s="37">
      <c r="A16" s="6" t="inlineStr">
        <is>
          <t>4系統</t>
        </is>
      </c>
      <c r="B16" s="4">
        <f>IFERROR(INDEX(早見表_全期間!$A$1:$AP$267,MATCH($B$1,早見表_全期間!$A$1:$A$267,0),MATCH($A16,早見表_全期間!$A$1:$AP$1,0)),"-")</f>
        <v/>
      </c>
    </row>
    <row r="17" ht="16.5" customHeight="1" s="37">
      <c r="A17" s="7" t="inlineStr">
        <is>
          <t>休日前4系統</t>
        </is>
      </c>
      <c r="B17" s="4">
        <f>IFERROR(INDEX(早見表_全期間!$A$1:$AP$267,MATCH($B$1,早見表_全期間!$A$1:$A$267,0),MATCH($A17,早見表_全期間!$A$1:$AP$1,0)),"-")</f>
        <v/>
      </c>
    </row>
    <row r="18" ht="16.5" customHeight="1" s="37">
      <c r="A18" s="7" t="inlineStr">
        <is>
          <t>休日後4系統</t>
        </is>
      </c>
      <c r="B18" s="4">
        <f>IFERROR(INDEX(早見表_全期間!$A$1:$AP$267,MATCH($B$1,早見表_全期間!$A$1:$A$267,0),MATCH($A18,早見表_全期間!$A$1:$AP$1,0)),"-")</f>
        <v/>
      </c>
    </row>
    <row r="19" ht="16.5" customHeight="1" s="37">
      <c r="A19" s="6" t="inlineStr">
        <is>
          <t>5系統</t>
        </is>
      </c>
      <c r="B19" s="4">
        <f>IFERROR(INDEX(早見表_全期間!$A$1:$AP$267,MATCH($B$1,早見表_全期間!$A$1:$A$267,0),MATCH($A19,早見表_全期間!$A$1:$AP$1,0)),"-")</f>
        <v/>
      </c>
    </row>
    <row r="20" ht="16.5" customHeight="1" s="37">
      <c r="A20" s="7" t="inlineStr">
        <is>
          <t>休日前5系統</t>
        </is>
      </c>
      <c r="B20" s="4">
        <f>IFERROR(INDEX(早見表_全期間!$A$1:$AP$267,MATCH($B$1,早見表_全期間!$A$1:$A$267,0),MATCH($A20,早見表_全期間!$A$1:$AP$1,0)),"-")</f>
        <v/>
      </c>
    </row>
    <row r="21" ht="16.5" customHeight="1" s="37">
      <c r="A21" s="7" t="inlineStr">
        <is>
          <t>休日後5系統</t>
        </is>
      </c>
      <c r="B21" s="4">
        <f>IFERROR(INDEX(早見表_全期間!$A$1:$AP$267,MATCH($B$1,早見表_全期間!$A$1:$A$267,0),MATCH($A21,早見表_全期間!$A$1:$AP$1,0)),"-")</f>
        <v/>
      </c>
    </row>
    <row r="22" ht="16.5" customHeight="1" s="37">
      <c r="A22" s="6" t="inlineStr">
        <is>
          <t>6系統</t>
        </is>
      </c>
      <c r="B22" s="4">
        <f>IFERROR(INDEX(早見表_全期間!$A$1:$AP$267,MATCH($B$1,早見表_全期間!$A$1:$A$267,0),MATCH($A22,早見表_全期間!$A$1:$AP$1,0)),"-")</f>
        <v/>
      </c>
    </row>
    <row r="23" ht="16.5" customHeight="1" s="37">
      <c r="A23" s="7" t="inlineStr">
        <is>
          <t>休日後6系統</t>
        </is>
      </c>
      <c r="B23" s="4">
        <f>IFERROR(INDEX(早見表_全期間!$A$1:$AP$267,MATCH($B$1,早見表_全期間!$A$1:$A$267,0),MATCH($A23,早見表_全期間!$A$1:$AP$1,0)),"-")</f>
        <v/>
      </c>
    </row>
    <row r="24" ht="16.5" customHeight="1" s="37">
      <c r="A24" s="6" t="inlineStr">
        <is>
          <t>7系統</t>
        </is>
      </c>
      <c r="B24" s="4">
        <f>IFERROR(INDEX(早見表_全期間!$A$1:$AP$267,MATCH($B$1,早見表_全期間!$A$1:$A$267,0),MATCH($A24,早見表_全期間!$A$1:$AP$1,0)),"-")</f>
        <v/>
      </c>
    </row>
    <row r="25" ht="16.5" customHeight="1" s="37">
      <c r="A25" s="6" t="inlineStr">
        <is>
          <t>8系統</t>
        </is>
      </c>
      <c r="B25" s="4">
        <f>IFERROR(INDEX(早見表_全期間!$A$1:$AP$267,MATCH($B$1,早見表_全期間!$A$1:$A$267,0),MATCH($A25,早見表_全期間!$A$1:$AP$1,0)),"-")</f>
        <v/>
      </c>
    </row>
    <row r="26" ht="16.5" customHeight="1" s="37">
      <c r="A26" s="6" t="inlineStr">
        <is>
          <t>9系統</t>
        </is>
      </c>
      <c r="B26" s="4">
        <f>IFERROR(INDEX(早見表_全期間!$A$1:$AP$267,MATCH($B$1,早見表_全期間!$A$1:$A$267,0),MATCH($A26,早見表_全期間!$A$1:$AP$1,0)),"-")</f>
        <v/>
      </c>
    </row>
    <row r="27" ht="16.5" customHeight="1" s="37">
      <c r="A27" s="6" t="inlineStr">
        <is>
          <t>10系統</t>
        </is>
      </c>
      <c r="B27" s="4">
        <f>IFERROR(INDEX(早見表_全期間!$A$1:$AP$267,MATCH($B$1,早見表_全期間!$A$1:$A$267,0),MATCH($A27,早見表_全期間!$A$1:$AP$1,0)),"-")</f>
        <v/>
      </c>
    </row>
    <row r="28" ht="16.5" customHeight="1" s="37">
      <c r="A28" s="6" t="inlineStr">
        <is>
          <t>11系統</t>
        </is>
      </c>
      <c r="B28" s="4">
        <f>IFERROR(INDEX(早見表_全期間!$A$1:$AP$267,MATCH($B$1,早見表_全期間!$A$1:$A$267,0),MATCH($A28,早見表_全期間!$A$1:$AP$1,0)),"-")</f>
        <v/>
      </c>
    </row>
    <row r="29" ht="16.5" customHeight="1" s="37">
      <c r="A29" s="6" t="inlineStr">
        <is>
          <t>12系統</t>
        </is>
      </c>
      <c r="B29" s="4">
        <f>IFERROR(INDEX(早見表_全期間!$A$1:$AP$267,MATCH($B$1,早見表_全期間!$A$1:$A$267,0),MATCH($A29,早見表_全期間!$A$1:$AP$1,0)),"-")</f>
        <v/>
      </c>
    </row>
    <row r="30" ht="16.5" customHeight="1" s="37">
      <c r="A30" s="6" t="inlineStr">
        <is>
          <t>13系統</t>
        </is>
      </c>
      <c r="B30" s="4">
        <f>IFERROR(INDEX(早見表_全期間!$A$1:$AP$267,MATCH($B$1,早見表_全期間!$A$1:$A$267,0),MATCH($A30,早見表_全期間!$A$1:$AP$1,0)),"-")</f>
        <v/>
      </c>
    </row>
    <row r="31" ht="16.5" customHeight="1" s="37">
      <c r="A31" s="6" t="inlineStr">
        <is>
          <t>14系統</t>
        </is>
      </c>
      <c r="B31" s="4">
        <f>IFERROR(INDEX(早見表_全期間!$A$1:$AP$267,MATCH($B$1,早見表_全期間!$A$1:$A$267,0),MATCH($A31,早見表_全期間!$A$1:$AP$1,0)),"-")</f>
        <v/>
      </c>
    </row>
    <row r="32" ht="16.5" customHeight="1" s="37">
      <c r="A32" s="6" t="inlineStr">
        <is>
          <t>15系統</t>
        </is>
      </c>
      <c r="B32" s="4">
        <f>IFERROR(INDEX(早見表_全期間!$A$1:$AP$267,MATCH($B$1,早見表_全期間!$A$1:$A$267,0),MATCH($A32,早見表_全期間!$A$1:$AP$1,0)),"-")</f>
        <v/>
      </c>
    </row>
    <row r="33" ht="16.5" customHeight="1" s="37">
      <c r="A33" s="6" t="inlineStr">
        <is>
          <t>16系統</t>
        </is>
      </c>
      <c r="B33" s="4">
        <f>IFERROR(INDEX(早見表_全期間!$A$1:$AP$267,MATCH($B$1,早見表_全期間!$A$1:$A$267,0),MATCH($A33,早見表_全期間!$A$1:$AP$1,0)),"-")</f>
        <v/>
      </c>
    </row>
    <row r="34" ht="16.5" customHeight="1" s="37">
      <c r="A34" s="6" t="inlineStr">
        <is>
          <t>17系統</t>
        </is>
      </c>
      <c r="B34" s="4">
        <f>IFERROR(INDEX(早見表_全期間!$A$1:$AP$267,MATCH($B$1,早見表_全期間!$A$1:$A$267,0),MATCH($A34,早見表_全期間!$A$1:$AP$1,0)),"-")</f>
        <v/>
      </c>
    </row>
    <row r="35" ht="16.5" customHeight="1" s="37">
      <c r="A35" s="6" t="inlineStr">
        <is>
          <t>18系統</t>
        </is>
      </c>
      <c r="B35" s="4">
        <f>IFERROR(INDEX(早見表_全期間!$A$1:$AP$267,MATCH($B$1,早見表_全期間!$A$1:$A$267,0),MATCH($A35,早見表_全期間!$A$1:$AP$1,0)),"-")</f>
        <v/>
      </c>
    </row>
    <row r="36" ht="16.5" customHeight="1" s="37">
      <c r="A36" s="6" t="inlineStr">
        <is>
          <t>19系統</t>
        </is>
      </c>
      <c r="B36" s="4">
        <f>IFERROR(INDEX(早見表_全期間!$A$1:$AP$267,MATCH($B$1,早見表_全期間!$A$1:$A$267,0),MATCH($A36,早見表_全期間!$A$1:$AP$1,0)),"-")</f>
        <v/>
      </c>
    </row>
    <row r="37" ht="16.5" customHeight="1" s="37">
      <c r="A37" s="6" t="inlineStr">
        <is>
          <t>20系統</t>
        </is>
      </c>
      <c r="B37" s="4">
        <f>IFERROR(INDEX(早見表_全期間!$A$1:$AP$267,MATCH($B$1,早見表_全期間!$A$1:$A$267,0),MATCH($A37,早見表_全期間!$A$1:$AP$1,0)),"-")</f>
        <v/>
      </c>
    </row>
    <row r="38" ht="16.5" customHeight="1" s="37">
      <c r="A38" s="6" t="inlineStr">
        <is>
          <t>21系統</t>
        </is>
      </c>
      <c r="B38" s="4">
        <f>IFERROR(INDEX(早見表_全期間!$A$1:$AP$267,MATCH($B$1,早見表_全期間!$A$1:$A$267,0),MATCH($A38,早見表_全期間!$A$1:$AP$1,0)),"-")</f>
        <v/>
      </c>
    </row>
    <row r="39" ht="16.5" customHeight="1" s="37">
      <c r="A39" s="6" t="inlineStr">
        <is>
          <t>22系統</t>
        </is>
      </c>
      <c r="B39" s="4">
        <f>IFERROR(INDEX(早見表_全期間!$A$1:$AP$267,MATCH($B$1,早見表_全期間!$A$1:$A$267,0),MATCH($A39,早見表_全期間!$A$1:$AP$1,0)),"-")</f>
        <v/>
      </c>
    </row>
    <row r="40" ht="16.5" customHeight="1" s="37">
      <c r="A40" s="6" t="inlineStr">
        <is>
          <t>23系統</t>
        </is>
      </c>
      <c r="B40" s="4">
        <f>IFERROR(INDEX(早見表_全期間!$A$1:$AP$267,MATCH($B$1,早見表_全期間!$A$1:$A$267,0),MATCH($A40,早見表_全期間!$A$1:$AP$1,0)),"-")</f>
        <v/>
      </c>
    </row>
    <row r="41" ht="16.5" customHeight="1" s="37">
      <c r="A41" s="6" t="inlineStr">
        <is>
          <t>24系統</t>
        </is>
      </c>
      <c r="B41" s="4">
        <f>IFERROR(INDEX(早見表_全期間!$A$1:$AP$267,MATCH($B$1,早見表_全期間!$A$1:$A$267,0),MATCH($A41,早見表_全期間!$A$1:$AP$1,0)),"-")</f>
        <v/>
      </c>
    </row>
    <row r="42" ht="16.5" customHeight="1" s="37">
      <c r="A42" s="6" t="inlineStr">
        <is>
          <t>25系統</t>
        </is>
      </c>
      <c r="B42" s="4">
        <f>IFERROR(INDEX(早見表_全期間!$A$1:$AP$267,MATCH($B$1,早見表_全期間!$A$1:$A$267,0),MATCH($A42,早見表_全期間!$A$1:$AP$1,0)),"-")</f>
        <v/>
      </c>
    </row>
    <row r="43" ht="16.5" customHeight="1" s="37">
      <c r="A43" s="6" t="inlineStr">
        <is>
          <t>26系統</t>
        </is>
      </c>
      <c r="B43" s="4">
        <f>IFERROR(INDEX(早見表_全期間!$A$1:$AP$267,MATCH($B$1,早見表_全期間!$A$1:$A$267,0),MATCH($A43,早見表_全期間!$A$1:$AP$1,0)),"-")</f>
        <v/>
      </c>
    </row>
    <row r="44" ht="16.5" customHeight="1" s="37">
      <c r="A44" s="6" t="inlineStr">
        <is>
          <t>27系統</t>
        </is>
      </c>
      <c r="B44" s="4">
        <f>IFERROR(INDEX(早見表_全期間!$A$1:$AP$267,MATCH($B$1,早見表_全期間!$A$1:$A$267,0),MATCH($A44,早見表_全期間!$A$1:$AP$1,0)),"-")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6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7109375" defaultRowHeight="15"/>
  <cols>
    <col width="12" customWidth="1" style="37" min="1" max="1"/>
    <col width="8" customWidth="1" style="37" min="2" max="4"/>
  </cols>
  <sheetData>
    <row r="1" ht="16.5" customHeight="1" s="37">
      <c r="A1" s="8" t="inlineStr">
        <is>
          <t>日付</t>
        </is>
      </c>
      <c r="B1" s="8" t="inlineStr">
        <is>
          <t>曜日</t>
        </is>
      </c>
      <c r="C1" s="8" t="inlineStr">
        <is>
          <t>ダイヤ区分</t>
        </is>
      </c>
      <c r="D1" s="8" t="inlineStr">
        <is>
          <t>祝日名</t>
        </is>
      </c>
      <c r="E1" s="9" t="inlineStr">
        <is>
          <t>1系統</t>
        </is>
      </c>
      <c r="F1" s="8" t="inlineStr">
        <is>
          <t>休日前1系統</t>
        </is>
      </c>
      <c r="G1" s="8" t="inlineStr">
        <is>
          <t>休日後1系統</t>
        </is>
      </c>
      <c r="H1" s="9" t="inlineStr">
        <is>
          <t>2系統</t>
        </is>
      </c>
      <c r="I1" s="8" t="inlineStr">
        <is>
          <t>休日前2系統</t>
        </is>
      </c>
      <c r="J1" s="8" t="inlineStr">
        <is>
          <t>休日後2系統</t>
        </is>
      </c>
      <c r="K1" s="9" t="inlineStr">
        <is>
          <t>3系統</t>
        </is>
      </c>
      <c r="L1" s="8" t="inlineStr">
        <is>
          <t>休日前3系統</t>
        </is>
      </c>
      <c r="M1" s="8" t="inlineStr">
        <is>
          <t>休日後3系統</t>
        </is>
      </c>
      <c r="N1" s="9" t="inlineStr">
        <is>
          <t>4系統</t>
        </is>
      </c>
      <c r="O1" s="8" t="inlineStr">
        <is>
          <t>休日前4系統</t>
        </is>
      </c>
      <c r="P1" s="8" t="inlineStr">
        <is>
          <t>休日後4系統</t>
        </is>
      </c>
      <c r="Q1" s="9" t="inlineStr">
        <is>
          <t>5系統</t>
        </is>
      </c>
      <c r="R1" s="8" t="inlineStr">
        <is>
          <t>休日前5系統</t>
        </is>
      </c>
      <c r="S1" s="8" t="inlineStr">
        <is>
          <t>休日後5系統</t>
        </is>
      </c>
      <c r="T1" s="9" t="inlineStr">
        <is>
          <t>6系統</t>
        </is>
      </c>
      <c r="U1" s="8" t="inlineStr">
        <is>
          <t>休日後6系統</t>
        </is>
      </c>
      <c r="V1" s="9" t="inlineStr">
        <is>
          <t>7系統</t>
        </is>
      </c>
      <c r="W1" s="9" t="inlineStr">
        <is>
          <t>8系統</t>
        </is>
      </c>
      <c r="X1" s="9" t="inlineStr">
        <is>
          <t>9系統</t>
        </is>
      </c>
      <c r="Y1" s="9" t="inlineStr">
        <is>
          <t>10系統</t>
        </is>
      </c>
      <c r="Z1" s="9" t="inlineStr">
        <is>
          <t>11系統</t>
        </is>
      </c>
      <c r="AA1" s="9" t="inlineStr">
        <is>
          <t>12系統</t>
        </is>
      </c>
      <c r="AB1" s="9" t="inlineStr">
        <is>
          <t>13系統</t>
        </is>
      </c>
      <c r="AC1" s="9" t="inlineStr">
        <is>
          <t>14系統</t>
        </is>
      </c>
      <c r="AD1" s="9" t="inlineStr">
        <is>
          <t>15系統</t>
        </is>
      </c>
      <c r="AE1" s="9" t="inlineStr">
        <is>
          <t>16系統</t>
        </is>
      </c>
      <c r="AF1" s="9" t="inlineStr">
        <is>
          <t>17系統</t>
        </is>
      </c>
      <c r="AG1" s="9" t="inlineStr">
        <is>
          <t>18系統</t>
        </is>
      </c>
      <c r="AH1" s="9" t="inlineStr">
        <is>
          <t>19系統</t>
        </is>
      </c>
      <c r="AI1" s="9" t="inlineStr">
        <is>
          <t>20系統</t>
        </is>
      </c>
      <c r="AJ1" s="9" t="inlineStr">
        <is>
          <t>21系統</t>
        </is>
      </c>
      <c r="AK1" s="9" t="inlineStr">
        <is>
          <t>22系統</t>
        </is>
      </c>
      <c r="AL1" s="9" t="inlineStr">
        <is>
          <t>23系統</t>
        </is>
      </c>
      <c r="AM1" s="9" t="inlineStr">
        <is>
          <t>24系統</t>
        </is>
      </c>
      <c r="AN1" s="9" t="inlineStr">
        <is>
          <t>25系統</t>
        </is>
      </c>
      <c r="AO1" s="9" t="inlineStr">
        <is>
          <t>26系統</t>
        </is>
      </c>
      <c r="AP1" s="9" t="inlineStr">
        <is>
          <t>27系統</t>
        </is>
      </c>
    </row>
    <row r="2" ht="15" customHeight="1" s="37">
      <c r="A2" t="inlineStr">
        <is>
          <t>2026-05-05</t>
        </is>
      </c>
      <c r="B2" s="10" t="inlineStr">
        <is>
          <t>火</t>
        </is>
      </c>
      <c r="C2" s="10" t="inlineStr">
        <is>
          <t>休日</t>
        </is>
      </c>
      <c r="D2" s="10" t="inlineStr">
        <is>
          <t>こどもの日</t>
        </is>
      </c>
      <c r="E2" s="10" t="inlineStr">
        <is>
          <t>中村</t>
        </is>
      </c>
      <c r="F2" s="10" t="inlineStr">
        <is>
          <t>大川内</t>
        </is>
      </c>
      <c r="G2" s="10" t="inlineStr">
        <is>
          <t>馬場</t>
        </is>
      </c>
      <c r="H2" s="10" t="inlineStr">
        <is>
          <t>横田</t>
        </is>
      </c>
      <c r="I2" s="10" t="inlineStr">
        <is>
          <t>栗下</t>
        </is>
      </c>
      <c r="J2" s="10" t="inlineStr">
        <is>
          <t>岩田</t>
        </is>
      </c>
      <c r="K2" s="10" t="inlineStr">
        <is>
          <t>富島</t>
        </is>
      </c>
      <c r="L2" s="10" t="inlineStr">
        <is>
          <t>安村</t>
        </is>
      </c>
      <c r="M2" s="10" t="inlineStr">
        <is>
          <t>田中</t>
        </is>
      </c>
      <c r="N2" s="10" t="inlineStr">
        <is>
          <t>欠員①</t>
        </is>
      </c>
      <c r="O2" s="10" t="inlineStr">
        <is>
          <t>北川</t>
        </is>
      </c>
      <c r="P2" s="10" t="inlineStr">
        <is>
          <t>丸田</t>
        </is>
      </c>
      <c r="Q2" s="10" t="inlineStr">
        <is>
          <t>山田久</t>
        </is>
      </c>
      <c r="R2" s="10" t="inlineStr">
        <is>
          <t>山本高</t>
        </is>
      </c>
      <c r="S2" s="10" t="inlineStr">
        <is>
          <t>岡本</t>
        </is>
      </c>
      <c r="T2" s="10" t="inlineStr">
        <is>
          <t>矢田</t>
        </is>
      </c>
      <c r="U2" s="10" t="inlineStr">
        <is>
          <t>佐野</t>
        </is>
      </c>
      <c r="V2" s="10" t="inlineStr">
        <is>
          <t>尾川</t>
        </is>
      </c>
      <c r="W2" s="10" t="inlineStr">
        <is>
          <t>上田</t>
        </is>
      </c>
      <c r="X2" s="10" t="inlineStr">
        <is>
          <t>河野</t>
        </is>
      </c>
      <c r="Y2" s="10" t="inlineStr">
        <is>
          <t>植山</t>
        </is>
      </c>
      <c r="Z2" s="10" t="inlineStr">
        <is>
          <t>柴田</t>
        </is>
      </c>
      <c r="AA2" s="10" t="inlineStr">
        <is>
          <t>山田真</t>
        </is>
      </c>
      <c r="AB2" s="10" t="inlineStr">
        <is>
          <t>藤原</t>
        </is>
      </c>
      <c r="AC2" s="10" t="inlineStr">
        <is>
          <t>井川</t>
        </is>
      </c>
      <c r="AD2" s="10" t="inlineStr">
        <is>
          <t>谷川</t>
        </is>
      </c>
      <c r="AE2" s="10" t="inlineStr">
        <is>
          <t>原</t>
        </is>
      </c>
      <c r="AF2" s="10" t="inlineStr">
        <is>
          <t>中嶌</t>
        </is>
      </c>
      <c r="AG2" s="10" t="inlineStr">
        <is>
          <t>山本幸</t>
        </is>
      </c>
      <c r="AH2" s="10" t="inlineStr">
        <is>
          <t>門谷</t>
        </is>
      </c>
      <c r="AI2" s="10" t="inlineStr">
        <is>
          <t>欠員②</t>
        </is>
      </c>
      <c r="AJ2" s="10" t="inlineStr">
        <is>
          <t>野口</t>
        </is>
      </c>
      <c r="AK2" s="10" t="inlineStr">
        <is>
          <t>中山</t>
        </is>
      </c>
      <c r="AL2" s="10" t="inlineStr">
        <is>
          <t>横山</t>
        </is>
      </c>
      <c r="AM2" s="10" t="inlineStr">
        <is>
          <t>市田</t>
        </is>
      </c>
      <c r="AN2" s="10" t="inlineStr">
        <is>
          <t>西村</t>
        </is>
      </c>
      <c r="AO2" s="10" t="inlineStr">
        <is>
          <t>内野</t>
        </is>
      </c>
      <c r="AP2" s="10" t="inlineStr">
        <is>
          <t>上野</t>
        </is>
      </c>
    </row>
    <row r="3" ht="15" customHeight="1" s="37">
      <c r="A3" t="inlineStr">
        <is>
          <t>2026-05-06</t>
        </is>
      </c>
      <c r="B3" s="10" t="inlineStr">
        <is>
          <t>水</t>
        </is>
      </c>
      <c r="C3" s="10" t="inlineStr">
        <is>
          <t>休日</t>
        </is>
      </c>
      <c r="D3" s="10" t="inlineStr">
        <is>
          <t>憲法記念日 振替休日</t>
        </is>
      </c>
      <c r="E3" s="10" t="inlineStr">
        <is>
          <t>岡本</t>
        </is>
      </c>
      <c r="F3" s="10" t="inlineStr">
        <is>
          <t>田中</t>
        </is>
      </c>
      <c r="G3" s="10" t="inlineStr">
        <is>
          <t>尾川</t>
        </is>
      </c>
      <c r="H3" s="10" t="inlineStr">
        <is>
          <t>北川</t>
        </is>
      </c>
      <c r="I3" s="10" t="inlineStr">
        <is>
          <t>西村</t>
        </is>
      </c>
      <c r="J3" s="10" t="inlineStr">
        <is>
          <t>上田</t>
        </is>
      </c>
      <c r="K3" s="10" t="inlineStr">
        <is>
          <t>中嶌</t>
        </is>
      </c>
      <c r="L3" s="10" t="inlineStr">
        <is>
          <t>丸田</t>
        </is>
      </c>
      <c r="M3" s="10" t="inlineStr">
        <is>
          <t>井川</t>
        </is>
      </c>
      <c r="N3" s="10" t="inlineStr">
        <is>
          <t>山本高</t>
        </is>
      </c>
      <c r="O3" s="10" t="inlineStr">
        <is>
          <t>河野</t>
        </is>
      </c>
      <c r="P3" s="10" t="inlineStr">
        <is>
          <t>中山</t>
        </is>
      </c>
      <c r="Q3" s="10" t="inlineStr">
        <is>
          <t>安村</t>
        </is>
      </c>
      <c r="R3" s="10" t="inlineStr">
        <is>
          <t>山田真</t>
        </is>
      </c>
      <c r="S3" s="10" t="inlineStr">
        <is>
          <t>横山</t>
        </is>
      </c>
      <c r="T3" s="10" t="inlineStr">
        <is>
          <t>佐野</t>
        </is>
      </c>
      <c r="U3" s="10" t="inlineStr">
        <is>
          <t>上野</t>
        </is>
      </c>
      <c r="V3" s="10" t="inlineStr">
        <is>
          <t>門谷</t>
        </is>
      </c>
      <c r="W3" s="10" t="inlineStr">
        <is>
          <t>原</t>
        </is>
      </c>
      <c r="X3" s="10" t="inlineStr">
        <is>
          <t>富島</t>
        </is>
      </c>
      <c r="Y3" s="10" t="inlineStr">
        <is>
          <t>野口</t>
        </is>
      </c>
      <c r="Z3" s="10" t="inlineStr">
        <is>
          <t>藤原</t>
        </is>
      </c>
      <c r="AA3" s="10" t="inlineStr">
        <is>
          <t>市田</t>
        </is>
      </c>
      <c r="AB3" s="10" t="inlineStr">
        <is>
          <t>岩田</t>
        </is>
      </c>
      <c r="AC3" s="10" t="inlineStr">
        <is>
          <t>内野</t>
        </is>
      </c>
      <c r="AD3" s="10" t="inlineStr">
        <is>
          <t>馬場</t>
        </is>
      </c>
      <c r="AE3" s="10" t="inlineStr">
        <is>
          <t>横田</t>
        </is>
      </c>
      <c r="AF3" s="10" t="inlineStr">
        <is>
          <t>大川内</t>
        </is>
      </c>
      <c r="AG3" s="10" t="inlineStr">
        <is>
          <t>欠員①</t>
        </is>
      </c>
      <c r="AH3" s="10" t="inlineStr">
        <is>
          <t>山田久</t>
        </is>
      </c>
      <c r="AI3" s="10" t="inlineStr">
        <is>
          <t>矢田</t>
        </is>
      </c>
      <c r="AJ3" s="10" t="inlineStr">
        <is>
          <t>栗下</t>
        </is>
      </c>
      <c r="AK3" s="10" t="inlineStr">
        <is>
          <t>欠員②</t>
        </is>
      </c>
      <c r="AL3" s="10" t="inlineStr">
        <is>
          <t>植山</t>
        </is>
      </c>
      <c r="AM3" s="10" t="inlineStr">
        <is>
          <t>谷川</t>
        </is>
      </c>
      <c r="AN3" s="10" t="inlineStr">
        <is>
          <t>山本幸</t>
        </is>
      </c>
      <c r="AO3" s="10" t="inlineStr">
        <is>
          <t>中村</t>
        </is>
      </c>
      <c r="AP3" s="10" t="inlineStr">
        <is>
          <t>柴田</t>
        </is>
      </c>
    </row>
    <row r="4" ht="15" customHeight="1" s="37">
      <c r="A4" t="inlineStr">
        <is>
          <t>2026-05-07</t>
        </is>
      </c>
      <c r="B4" s="10" t="inlineStr">
        <is>
          <t>木</t>
        </is>
      </c>
      <c r="C4" s="10" t="inlineStr">
        <is>
          <t>平日</t>
        </is>
      </c>
      <c r="E4" s="10" t="inlineStr">
        <is>
          <t>横山</t>
        </is>
      </c>
      <c r="F4" s="10" t="inlineStr">
        <is>
          <t>井川</t>
        </is>
      </c>
      <c r="G4" s="10" t="inlineStr">
        <is>
          <t>門谷</t>
        </is>
      </c>
      <c r="H4" s="10" t="inlineStr">
        <is>
          <t>河野</t>
        </is>
      </c>
      <c r="I4" s="10" t="inlineStr">
        <is>
          <t>山本幸</t>
        </is>
      </c>
      <c r="J4" s="10" t="inlineStr">
        <is>
          <t>原</t>
        </is>
      </c>
      <c r="K4" s="10" t="inlineStr">
        <is>
          <t>大川内</t>
        </is>
      </c>
      <c r="L4" s="10" t="inlineStr">
        <is>
          <t>中山</t>
        </is>
      </c>
      <c r="M4" s="10" t="inlineStr">
        <is>
          <t>内野</t>
        </is>
      </c>
      <c r="N4" s="10" t="inlineStr">
        <is>
          <t>山田真</t>
        </is>
      </c>
      <c r="O4" s="10" t="inlineStr">
        <is>
          <t>富島</t>
        </is>
      </c>
      <c r="P4" s="10" t="inlineStr">
        <is>
          <t>欠員②</t>
        </is>
      </c>
      <c r="Q4" s="10" t="inlineStr">
        <is>
          <t>丸田</t>
        </is>
      </c>
      <c r="R4" s="10" t="inlineStr">
        <is>
          <t>市田</t>
        </is>
      </c>
      <c r="S4" s="10" t="inlineStr">
        <is>
          <t>植山</t>
        </is>
      </c>
      <c r="T4" s="10" t="inlineStr">
        <is>
          <t>上野</t>
        </is>
      </c>
      <c r="U4" s="10" t="inlineStr">
        <is>
          <t>柴田</t>
        </is>
      </c>
      <c r="V4" s="10" t="inlineStr">
        <is>
          <t>山田久</t>
        </is>
      </c>
      <c r="W4" s="10" t="inlineStr">
        <is>
          <t>横田</t>
        </is>
      </c>
      <c r="X4" s="10" t="inlineStr">
        <is>
          <t>中嶌</t>
        </is>
      </c>
      <c r="Y4" s="10" t="inlineStr">
        <is>
          <t>栗下</t>
        </is>
      </c>
      <c r="Z4" s="10" t="inlineStr">
        <is>
          <t>岩田</t>
        </is>
      </c>
      <c r="AA4" s="10" t="inlineStr">
        <is>
          <t>谷川</t>
        </is>
      </c>
      <c r="AB4" s="10" t="inlineStr">
        <is>
          <t>上田</t>
        </is>
      </c>
      <c r="AC4" s="10" t="inlineStr">
        <is>
          <t>中村</t>
        </is>
      </c>
      <c r="AD4" s="10" t="inlineStr">
        <is>
          <t>尾川</t>
        </is>
      </c>
      <c r="AE4" s="10" t="inlineStr">
        <is>
          <t>北川</t>
        </is>
      </c>
      <c r="AF4" s="10" t="inlineStr">
        <is>
          <t>田中</t>
        </is>
      </c>
      <c r="AG4" s="10" t="inlineStr">
        <is>
          <t>山本高</t>
        </is>
      </c>
      <c r="AH4" s="10" t="inlineStr">
        <is>
          <t>安村</t>
        </is>
      </c>
      <c r="AI4" s="10" t="inlineStr">
        <is>
          <t>佐野</t>
        </is>
      </c>
      <c r="AJ4" s="10" t="inlineStr">
        <is>
          <t>西村</t>
        </is>
      </c>
      <c r="AK4" s="10" t="inlineStr">
        <is>
          <t>矢田</t>
        </is>
      </c>
      <c r="AL4" s="10" t="inlineStr">
        <is>
          <t>野口</t>
        </is>
      </c>
      <c r="AM4" s="10" t="inlineStr">
        <is>
          <t>馬場</t>
        </is>
      </c>
      <c r="AN4" s="10" t="inlineStr">
        <is>
          <t>欠員①</t>
        </is>
      </c>
      <c r="AO4" s="10" t="inlineStr">
        <is>
          <t>岡本</t>
        </is>
      </c>
      <c r="AP4" s="10" t="inlineStr">
        <is>
          <t>藤原</t>
        </is>
      </c>
    </row>
    <row r="5" ht="15" customHeight="1" s="37">
      <c r="A5" t="inlineStr">
        <is>
          <t>2026-05-08</t>
        </is>
      </c>
      <c r="B5" s="10" t="inlineStr">
        <is>
          <t>金</t>
        </is>
      </c>
      <c r="C5" s="10" t="inlineStr">
        <is>
          <t>平日</t>
        </is>
      </c>
      <c r="E5" s="10" t="inlineStr">
        <is>
          <t>植山</t>
        </is>
      </c>
      <c r="F5" s="10" t="inlineStr">
        <is>
          <t>内野</t>
        </is>
      </c>
      <c r="G5" s="10" t="inlineStr">
        <is>
          <t>山田久</t>
        </is>
      </c>
      <c r="H5" s="10" t="inlineStr">
        <is>
          <t>富島</t>
        </is>
      </c>
      <c r="I5" s="10" t="inlineStr">
        <is>
          <t>欠員①</t>
        </is>
      </c>
      <c r="J5" s="10" t="inlineStr">
        <is>
          <t>横田</t>
        </is>
      </c>
      <c r="K5" s="10" t="inlineStr">
        <is>
          <t>田中</t>
        </is>
      </c>
      <c r="L5" s="10" t="inlineStr">
        <is>
          <t>欠員②</t>
        </is>
      </c>
      <c r="M5" s="10" t="inlineStr">
        <is>
          <t>中村</t>
        </is>
      </c>
      <c r="N5" s="10" t="inlineStr">
        <is>
          <t>市田</t>
        </is>
      </c>
      <c r="O5" s="10" t="inlineStr">
        <is>
          <t>中嶌</t>
        </is>
      </c>
      <c r="P5" s="10" t="inlineStr">
        <is>
          <t>矢田</t>
        </is>
      </c>
      <c r="Q5" s="10" t="inlineStr">
        <is>
          <t>中山</t>
        </is>
      </c>
      <c r="R5" s="10" t="inlineStr">
        <is>
          <t>谷川</t>
        </is>
      </c>
      <c r="S5" s="10" t="inlineStr">
        <is>
          <t>野口</t>
        </is>
      </c>
      <c r="T5" s="10" t="inlineStr">
        <is>
          <t>柴田</t>
        </is>
      </c>
      <c r="U5" s="10" t="inlineStr">
        <is>
          <t>藤原</t>
        </is>
      </c>
      <c r="V5" s="10" t="inlineStr">
        <is>
          <t>安村</t>
        </is>
      </c>
      <c r="W5" s="10" t="inlineStr">
        <is>
          <t>北川</t>
        </is>
      </c>
      <c r="X5" s="10" t="inlineStr">
        <is>
          <t>大川内</t>
        </is>
      </c>
      <c r="Y5" s="10" t="inlineStr">
        <is>
          <t>西村</t>
        </is>
      </c>
      <c r="Z5" s="10" t="inlineStr">
        <is>
          <t>上田</t>
        </is>
      </c>
      <c r="AA5" s="10" t="inlineStr">
        <is>
          <t>馬場</t>
        </is>
      </c>
      <c r="AB5" s="10" t="inlineStr">
        <is>
          <t>原</t>
        </is>
      </c>
      <c r="AC5" s="10" t="inlineStr">
        <is>
          <t>岡本</t>
        </is>
      </c>
      <c r="AD5" s="10" t="inlineStr">
        <is>
          <t>門谷</t>
        </is>
      </c>
      <c r="AE5" s="10" t="inlineStr">
        <is>
          <t>河野</t>
        </is>
      </c>
      <c r="AF5" s="10" t="inlineStr">
        <is>
          <t>井川</t>
        </is>
      </c>
      <c r="AG5" s="10" t="inlineStr">
        <is>
          <t>山田真</t>
        </is>
      </c>
      <c r="AH5" s="10" t="inlineStr">
        <is>
          <t>丸田</t>
        </is>
      </c>
      <c r="AI5" s="10" t="inlineStr">
        <is>
          <t>上野</t>
        </is>
      </c>
      <c r="AJ5" s="10" t="inlineStr">
        <is>
          <t>山本幸</t>
        </is>
      </c>
      <c r="AK5" s="10" t="inlineStr">
        <is>
          <t>佐野</t>
        </is>
      </c>
      <c r="AL5" s="10" t="inlineStr">
        <is>
          <t>栗下</t>
        </is>
      </c>
      <c r="AM5" s="10" t="inlineStr">
        <is>
          <t>尾川</t>
        </is>
      </c>
      <c r="AN5" s="10" t="inlineStr">
        <is>
          <t>山本高</t>
        </is>
      </c>
      <c r="AO5" s="10" t="inlineStr">
        <is>
          <t>横山</t>
        </is>
      </c>
      <c r="AP5" s="10" t="inlineStr">
        <is>
          <t>岩田</t>
        </is>
      </c>
    </row>
    <row r="6" ht="15" customHeight="1" s="37">
      <c r="A6" t="inlineStr">
        <is>
          <t>2026-05-09</t>
        </is>
      </c>
      <c r="B6" s="10" t="inlineStr">
        <is>
          <t>土</t>
        </is>
      </c>
      <c r="C6" s="10" t="inlineStr">
        <is>
          <t>休日</t>
        </is>
      </c>
      <c r="E6" s="10" t="inlineStr">
        <is>
          <t>野口</t>
        </is>
      </c>
      <c r="F6" s="10" t="inlineStr">
        <is>
          <t>中村</t>
        </is>
      </c>
      <c r="G6" s="10" t="inlineStr">
        <is>
          <t>安村</t>
        </is>
      </c>
      <c r="H6" s="10" t="inlineStr">
        <is>
          <t>中嶌</t>
        </is>
      </c>
      <c r="I6" s="10" t="inlineStr">
        <is>
          <t>山本高</t>
        </is>
      </c>
      <c r="J6" s="10" t="inlineStr">
        <is>
          <t>北川</t>
        </is>
      </c>
      <c r="K6" s="10" t="inlineStr">
        <is>
          <t>井川</t>
        </is>
      </c>
      <c r="L6" s="10" t="inlineStr">
        <is>
          <t>矢田</t>
        </is>
      </c>
      <c r="M6" s="10" t="inlineStr">
        <is>
          <t>岡本</t>
        </is>
      </c>
      <c r="N6" s="10" t="inlineStr">
        <is>
          <t>谷川</t>
        </is>
      </c>
      <c r="O6" s="10" t="inlineStr">
        <is>
          <t>大川内</t>
        </is>
      </c>
      <c r="P6" s="10" t="inlineStr">
        <is>
          <t>佐野</t>
        </is>
      </c>
      <c r="Q6" s="10" t="inlineStr">
        <is>
          <t>欠員②</t>
        </is>
      </c>
      <c r="R6" s="10" t="inlineStr">
        <is>
          <t>馬場</t>
        </is>
      </c>
      <c r="S6" s="10" t="inlineStr">
        <is>
          <t>栗下</t>
        </is>
      </c>
      <c r="T6" s="10" t="inlineStr">
        <is>
          <t>藤原</t>
        </is>
      </c>
      <c r="U6" s="10" t="inlineStr">
        <is>
          <t>岩田</t>
        </is>
      </c>
      <c r="V6" s="10" t="inlineStr">
        <is>
          <t>丸田</t>
        </is>
      </c>
      <c r="W6" s="10" t="inlineStr">
        <is>
          <t>河野</t>
        </is>
      </c>
      <c r="X6" s="10" t="inlineStr">
        <is>
          <t>田中</t>
        </is>
      </c>
      <c r="Y6" s="10" t="inlineStr">
        <is>
          <t>山本幸</t>
        </is>
      </c>
      <c r="Z6" s="10" t="inlineStr">
        <is>
          <t>原</t>
        </is>
      </c>
      <c r="AA6" s="10" t="inlineStr">
        <is>
          <t>尾川</t>
        </is>
      </c>
      <c r="AB6" s="10" t="inlineStr">
        <is>
          <t>横田</t>
        </is>
      </c>
      <c r="AC6" s="10" t="inlineStr">
        <is>
          <t>横山</t>
        </is>
      </c>
      <c r="AD6" s="10" t="inlineStr">
        <is>
          <t>山田久</t>
        </is>
      </c>
      <c r="AE6" s="10" t="inlineStr">
        <is>
          <t>富島</t>
        </is>
      </c>
      <c r="AF6" s="10" t="inlineStr">
        <is>
          <t>内野</t>
        </is>
      </c>
      <c r="AG6" s="10" t="inlineStr">
        <is>
          <t>市田</t>
        </is>
      </c>
      <c r="AH6" s="10" t="inlineStr">
        <is>
          <t>中山</t>
        </is>
      </c>
      <c r="AI6" s="10" t="inlineStr">
        <is>
          <t>柴田</t>
        </is>
      </c>
      <c r="AJ6" s="10" t="inlineStr">
        <is>
          <t>欠員①</t>
        </is>
      </c>
      <c r="AK6" s="10" t="inlineStr">
        <is>
          <t>上野</t>
        </is>
      </c>
      <c r="AL6" s="10" t="inlineStr">
        <is>
          <t>西村</t>
        </is>
      </c>
      <c r="AM6" s="10" t="inlineStr">
        <is>
          <t>門谷</t>
        </is>
      </c>
      <c r="AN6" s="10" t="inlineStr">
        <is>
          <t>山田真</t>
        </is>
      </c>
      <c r="AO6" s="10" t="inlineStr">
        <is>
          <t>植山</t>
        </is>
      </c>
      <c r="AP6" s="10" t="inlineStr">
        <is>
          <t>上田</t>
        </is>
      </c>
    </row>
    <row r="7" ht="15" customHeight="1" s="37">
      <c r="A7" t="inlineStr">
        <is>
          <t>2026-05-10</t>
        </is>
      </c>
      <c r="B7" s="10" t="inlineStr">
        <is>
          <t>日</t>
        </is>
      </c>
      <c r="C7" s="10" t="inlineStr">
        <is>
          <t>休日</t>
        </is>
      </c>
      <c r="E7" s="10" t="inlineStr">
        <is>
          <t>栗下</t>
        </is>
      </c>
      <c r="F7" s="10" t="inlineStr">
        <is>
          <t>岡本</t>
        </is>
      </c>
      <c r="G7" s="10" t="inlineStr">
        <is>
          <t>丸田</t>
        </is>
      </c>
      <c r="H7" s="10" t="inlineStr">
        <is>
          <t>大川内</t>
        </is>
      </c>
      <c r="I7" s="10" t="inlineStr">
        <is>
          <t>山田真</t>
        </is>
      </c>
      <c r="J7" s="10" t="inlineStr">
        <is>
          <t>河野</t>
        </is>
      </c>
      <c r="K7" s="10" t="inlineStr">
        <is>
          <t>内野</t>
        </is>
      </c>
      <c r="L7" s="10" t="inlineStr">
        <is>
          <t>佐野</t>
        </is>
      </c>
      <c r="M7" s="10" t="inlineStr">
        <is>
          <t>横山</t>
        </is>
      </c>
      <c r="N7" s="10" t="inlineStr">
        <is>
          <t>馬場</t>
        </is>
      </c>
      <c r="O7" s="10" t="inlineStr">
        <is>
          <t>田中</t>
        </is>
      </c>
      <c r="P7" s="10" t="inlineStr">
        <is>
          <t>上野</t>
        </is>
      </c>
      <c r="Q7" s="10" t="inlineStr">
        <is>
          <t>矢田</t>
        </is>
      </c>
      <c r="R7" s="10" t="inlineStr">
        <is>
          <t>尾川</t>
        </is>
      </c>
      <c r="S7" s="10" t="inlineStr">
        <is>
          <t>西村</t>
        </is>
      </c>
      <c r="T7" s="10" t="inlineStr">
        <is>
          <t>岩田</t>
        </is>
      </c>
      <c r="U7" s="10" t="inlineStr">
        <is>
          <t>上田</t>
        </is>
      </c>
      <c r="V7" s="10" t="inlineStr">
        <is>
          <t>中山</t>
        </is>
      </c>
      <c r="W7" s="10" t="inlineStr">
        <is>
          <t>富島</t>
        </is>
      </c>
      <c r="X7" s="10" t="inlineStr">
        <is>
          <t>井川</t>
        </is>
      </c>
      <c r="Y7" s="10" t="inlineStr">
        <is>
          <t>欠員①</t>
        </is>
      </c>
      <c r="Z7" s="10" t="inlineStr">
        <is>
          <t>横田</t>
        </is>
      </c>
      <c r="AA7" s="10" t="inlineStr">
        <is>
          <t>門谷</t>
        </is>
      </c>
      <c r="AB7" s="10" t="inlineStr">
        <is>
          <t>北川</t>
        </is>
      </c>
      <c r="AC7" s="10" t="inlineStr">
        <is>
          <t>植山</t>
        </is>
      </c>
      <c r="AD7" s="10" t="inlineStr">
        <is>
          <t>安村</t>
        </is>
      </c>
      <c r="AE7" s="10" t="inlineStr">
        <is>
          <t>中嶌</t>
        </is>
      </c>
      <c r="AF7" s="10" t="inlineStr">
        <is>
          <t>中村</t>
        </is>
      </c>
      <c r="AG7" s="10" t="inlineStr">
        <is>
          <t>谷川</t>
        </is>
      </c>
      <c r="AH7" s="10" t="inlineStr">
        <is>
          <t>欠員②</t>
        </is>
      </c>
      <c r="AI7" s="10" t="inlineStr">
        <is>
          <t>藤原</t>
        </is>
      </c>
      <c r="AJ7" s="10" t="inlineStr">
        <is>
          <t>山本高</t>
        </is>
      </c>
      <c r="AK7" s="10" t="inlineStr">
        <is>
          <t>柴田</t>
        </is>
      </c>
      <c r="AL7" s="10" t="inlineStr">
        <is>
          <t>山本幸</t>
        </is>
      </c>
      <c r="AM7" s="10" t="inlineStr">
        <is>
          <t>山田久</t>
        </is>
      </c>
      <c r="AN7" s="10" t="inlineStr">
        <is>
          <t>市田</t>
        </is>
      </c>
      <c r="AO7" s="10" t="inlineStr">
        <is>
          <t>野口</t>
        </is>
      </c>
      <c r="AP7" s="10" t="inlineStr">
        <is>
          <t>原</t>
        </is>
      </c>
    </row>
    <row r="8" ht="15" customHeight="1" s="37">
      <c r="A8" t="inlineStr">
        <is>
          <t>2026-05-11</t>
        </is>
      </c>
      <c r="B8" s="10" t="inlineStr">
        <is>
          <t>月</t>
        </is>
      </c>
      <c r="C8" s="10" t="inlineStr">
        <is>
          <t>平日</t>
        </is>
      </c>
      <c r="E8" s="10" t="inlineStr">
        <is>
          <t>西村</t>
        </is>
      </c>
      <c r="F8" s="10" t="inlineStr">
        <is>
          <t>横山</t>
        </is>
      </c>
      <c r="G8" s="10" t="inlineStr">
        <is>
          <t>中山</t>
        </is>
      </c>
      <c r="H8" s="10" t="inlineStr">
        <is>
          <t>田中</t>
        </is>
      </c>
      <c r="I8" s="10" t="inlineStr">
        <is>
          <t>市田</t>
        </is>
      </c>
      <c r="J8" s="10" t="inlineStr">
        <is>
          <t>富島</t>
        </is>
      </c>
      <c r="K8" s="10" t="inlineStr">
        <is>
          <t>中村</t>
        </is>
      </c>
      <c r="L8" s="10" t="inlineStr">
        <is>
          <t>上野</t>
        </is>
      </c>
      <c r="M8" s="10" t="inlineStr">
        <is>
          <t>植山</t>
        </is>
      </c>
      <c r="N8" s="10" t="inlineStr">
        <is>
          <t>尾川</t>
        </is>
      </c>
      <c r="O8" s="10" t="inlineStr">
        <is>
          <t>井川</t>
        </is>
      </c>
      <c r="P8" s="10" t="inlineStr">
        <is>
          <t>柴田</t>
        </is>
      </c>
      <c r="Q8" s="10" t="inlineStr">
        <is>
          <t>佐野</t>
        </is>
      </c>
      <c r="R8" s="10" t="inlineStr">
        <is>
          <t>門谷</t>
        </is>
      </c>
      <c r="S8" s="10" t="inlineStr">
        <is>
          <t>山本幸</t>
        </is>
      </c>
      <c r="T8" s="10" t="inlineStr">
        <is>
          <t>上田</t>
        </is>
      </c>
      <c r="U8" s="10" t="inlineStr">
        <is>
          <t>原</t>
        </is>
      </c>
      <c r="V8" s="10" t="inlineStr">
        <is>
          <t>欠員②</t>
        </is>
      </c>
      <c r="W8" s="10" t="inlineStr">
        <is>
          <t>中嶌</t>
        </is>
      </c>
      <c r="X8" s="10" t="inlineStr">
        <is>
          <t>内野</t>
        </is>
      </c>
      <c r="Y8" s="10" t="inlineStr">
        <is>
          <t>山本高</t>
        </is>
      </c>
      <c r="Z8" s="10" t="inlineStr">
        <is>
          <t>北川</t>
        </is>
      </c>
      <c r="AA8" s="10" t="inlineStr">
        <is>
          <t>山田久</t>
        </is>
      </c>
      <c r="AB8" s="10" t="inlineStr">
        <is>
          <t>河野</t>
        </is>
      </c>
      <c r="AC8" s="10" t="inlineStr">
        <is>
          <t>野口</t>
        </is>
      </c>
      <c r="AD8" s="10" t="inlineStr">
        <is>
          <t>丸田</t>
        </is>
      </c>
      <c r="AE8" s="10" t="inlineStr">
        <is>
          <t>大川内</t>
        </is>
      </c>
      <c r="AF8" s="10" t="inlineStr">
        <is>
          <t>岡本</t>
        </is>
      </c>
      <c r="AG8" s="10" t="inlineStr">
        <is>
          <t>馬場</t>
        </is>
      </c>
      <c r="AH8" s="10" t="inlineStr">
        <is>
          <t>矢田</t>
        </is>
      </c>
      <c r="AI8" s="10" t="inlineStr">
        <is>
          <t>岩田</t>
        </is>
      </c>
      <c r="AJ8" s="10" t="inlineStr">
        <is>
          <t>山田真</t>
        </is>
      </c>
      <c r="AK8" s="10" t="inlineStr">
        <is>
          <t>藤原</t>
        </is>
      </c>
      <c r="AL8" s="10" t="inlineStr">
        <is>
          <t>欠員①</t>
        </is>
      </c>
      <c r="AM8" s="10" t="inlineStr">
        <is>
          <t>安村</t>
        </is>
      </c>
      <c r="AN8" s="10" t="inlineStr">
        <is>
          <t>谷川</t>
        </is>
      </c>
      <c r="AO8" s="10" t="inlineStr">
        <is>
          <t>栗下</t>
        </is>
      </c>
      <c r="AP8" s="10" t="inlineStr">
        <is>
          <t>横田</t>
        </is>
      </c>
    </row>
    <row r="9" ht="15" customHeight="1" s="37">
      <c r="A9" t="inlineStr">
        <is>
          <t>2026-05-12</t>
        </is>
      </c>
      <c r="B9" s="10" t="inlineStr">
        <is>
          <t>火</t>
        </is>
      </c>
      <c r="C9" s="10" t="inlineStr">
        <is>
          <t>平日</t>
        </is>
      </c>
      <c r="E9" s="10" t="inlineStr">
        <is>
          <t>山本幸</t>
        </is>
      </c>
      <c r="F9" s="10" t="inlineStr">
        <is>
          <t>植山</t>
        </is>
      </c>
      <c r="G9" s="10" t="inlineStr">
        <is>
          <t>欠員②</t>
        </is>
      </c>
      <c r="H9" s="10" t="inlineStr">
        <is>
          <t>井川</t>
        </is>
      </c>
      <c r="I9" s="10" t="inlineStr">
        <is>
          <t>谷川</t>
        </is>
      </c>
      <c r="J9" s="10" t="inlineStr">
        <is>
          <t>中嶌</t>
        </is>
      </c>
      <c r="K9" s="10" t="inlineStr">
        <is>
          <t>岡本</t>
        </is>
      </c>
      <c r="L9" s="10" t="inlineStr">
        <is>
          <t>柴田</t>
        </is>
      </c>
      <c r="M9" s="10" t="inlineStr">
        <is>
          <t>野口</t>
        </is>
      </c>
      <c r="N9" s="10" t="inlineStr">
        <is>
          <t>門谷</t>
        </is>
      </c>
      <c r="O9" s="10" t="inlineStr">
        <is>
          <t>内野</t>
        </is>
      </c>
      <c r="P9" s="10" t="inlineStr">
        <is>
          <t>藤原</t>
        </is>
      </c>
      <c r="Q9" s="10" t="inlineStr">
        <is>
          <t>上野</t>
        </is>
      </c>
      <c r="R9" s="10" t="inlineStr">
        <is>
          <t>山田久</t>
        </is>
      </c>
      <c r="S9" s="10" t="inlineStr">
        <is>
          <t>欠員①</t>
        </is>
      </c>
      <c r="T9" s="10" t="inlineStr">
        <is>
          <t>原</t>
        </is>
      </c>
      <c r="U9" s="10" t="inlineStr">
        <is>
          <t>横田</t>
        </is>
      </c>
      <c r="V9" s="10" t="inlineStr">
        <is>
          <t>矢田</t>
        </is>
      </c>
      <c r="W9" s="10" t="inlineStr">
        <is>
          <t>大川内</t>
        </is>
      </c>
      <c r="X9" s="10" t="inlineStr">
        <is>
          <t>中村</t>
        </is>
      </c>
      <c r="Y9" s="10" t="inlineStr">
        <is>
          <t>山田真</t>
        </is>
      </c>
      <c r="Z9" s="10" t="inlineStr">
        <is>
          <t>河野</t>
        </is>
      </c>
      <c r="AA9" s="10" t="inlineStr">
        <is>
          <t>安村</t>
        </is>
      </c>
      <c r="AB9" s="10" t="inlineStr">
        <is>
          <t>富島</t>
        </is>
      </c>
      <c r="AC9" s="10" t="inlineStr">
        <is>
          <t>栗下</t>
        </is>
      </c>
      <c r="AD9" s="10" t="inlineStr">
        <is>
          <t>中山</t>
        </is>
      </c>
      <c r="AE9" s="10" t="inlineStr">
        <is>
          <t>田中</t>
        </is>
      </c>
      <c r="AF9" s="10" t="inlineStr">
        <is>
          <t>横山</t>
        </is>
      </c>
      <c r="AG9" s="10" t="inlineStr">
        <is>
          <t>尾川</t>
        </is>
      </c>
      <c r="AH9" s="10" t="inlineStr">
        <is>
          <t>佐野</t>
        </is>
      </c>
      <c r="AI9" s="10" t="inlineStr">
        <is>
          <t>上田</t>
        </is>
      </c>
      <c r="AJ9" s="10" t="inlineStr">
        <is>
          <t>市田</t>
        </is>
      </c>
      <c r="AK9" s="10" t="inlineStr">
        <is>
          <t>岩田</t>
        </is>
      </c>
      <c r="AL9" s="10" t="inlineStr">
        <is>
          <t>山本高</t>
        </is>
      </c>
      <c r="AM9" s="10" t="inlineStr">
        <is>
          <t>丸田</t>
        </is>
      </c>
      <c r="AN9" s="10" t="inlineStr">
        <is>
          <t>馬場</t>
        </is>
      </c>
      <c r="AO9" s="10" t="inlineStr">
        <is>
          <t>西村</t>
        </is>
      </c>
      <c r="AP9" s="10" t="inlineStr">
        <is>
          <t>北川</t>
        </is>
      </c>
    </row>
    <row r="10" ht="15" customHeight="1" s="37">
      <c r="A10" t="inlineStr">
        <is>
          <t>2026-05-13</t>
        </is>
      </c>
      <c r="B10" s="10" t="inlineStr">
        <is>
          <t>水</t>
        </is>
      </c>
      <c r="C10" s="10" t="inlineStr">
        <is>
          <t>平日</t>
        </is>
      </c>
      <c r="E10" s="10" t="inlineStr">
        <is>
          <t>欠員①</t>
        </is>
      </c>
      <c r="F10" s="10" t="inlineStr">
        <is>
          <t>野口</t>
        </is>
      </c>
      <c r="G10" s="10" t="inlineStr">
        <is>
          <t>矢田</t>
        </is>
      </c>
      <c r="H10" s="10" t="inlineStr">
        <is>
          <t>内野</t>
        </is>
      </c>
      <c r="I10" s="10" t="inlineStr">
        <is>
          <t>馬場</t>
        </is>
      </c>
      <c r="J10" s="10" t="inlineStr">
        <is>
          <t>大川内</t>
        </is>
      </c>
      <c r="K10" s="10" t="inlineStr">
        <is>
          <t>横山</t>
        </is>
      </c>
      <c r="L10" s="10" t="inlineStr">
        <is>
          <t>藤原</t>
        </is>
      </c>
      <c r="M10" s="10" t="inlineStr">
        <is>
          <t>栗下</t>
        </is>
      </c>
      <c r="N10" s="10" t="inlineStr">
        <is>
          <t>山田久</t>
        </is>
      </c>
      <c r="O10" s="10" t="inlineStr">
        <is>
          <t>中村</t>
        </is>
      </c>
      <c r="P10" s="10" t="inlineStr">
        <is>
          <t>岩田</t>
        </is>
      </c>
      <c r="Q10" s="10" t="inlineStr">
        <is>
          <t>柴田</t>
        </is>
      </c>
      <c r="R10" s="10" t="inlineStr">
        <is>
          <t>安村</t>
        </is>
      </c>
      <c r="S10" s="10" t="inlineStr">
        <is>
          <t>山本高</t>
        </is>
      </c>
      <c r="T10" s="10" t="inlineStr">
        <is>
          <t>横田</t>
        </is>
      </c>
      <c r="U10" s="10" t="inlineStr">
        <is>
          <t>北川</t>
        </is>
      </c>
      <c r="V10" s="10" t="inlineStr">
        <is>
          <t>佐野</t>
        </is>
      </c>
      <c r="W10" s="10" t="inlineStr">
        <is>
          <t>田中</t>
        </is>
      </c>
      <c r="X10" s="10" t="inlineStr">
        <is>
          <t>岡本</t>
        </is>
      </c>
      <c r="Y10" s="10" t="inlineStr">
        <is>
          <t>市田</t>
        </is>
      </c>
      <c r="Z10" s="10" t="inlineStr">
        <is>
          <t>富島</t>
        </is>
      </c>
      <c r="AA10" s="10" t="inlineStr">
        <is>
          <t>丸田</t>
        </is>
      </c>
      <c r="AB10" s="10" t="inlineStr">
        <is>
          <t>中嶌</t>
        </is>
      </c>
      <c r="AC10" s="10" t="inlineStr">
        <is>
          <t>西村</t>
        </is>
      </c>
      <c r="AD10" s="10" t="inlineStr">
        <is>
          <t>欠員②</t>
        </is>
      </c>
      <c r="AE10" s="10" t="inlineStr">
        <is>
          <t>井川</t>
        </is>
      </c>
      <c r="AF10" s="10" t="inlineStr">
        <is>
          <t>植山</t>
        </is>
      </c>
      <c r="AG10" s="10" t="inlineStr">
        <is>
          <t>門谷</t>
        </is>
      </c>
      <c r="AH10" s="10" t="inlineStr">
        <is>
          <t>上野</t>
        </is>
      </c>
      <c r="AI10" s="10" t="inlineStr">
        <is>
          <t>原</t>
        </is>
      </c>
      <c r="AJ10" s="10" t="inlineStr">
        <is>
          <t>谷川</t>
        </is>
      </c>
      <c r="AK10" s="10" t="inlineStr">
        <is>
          <t>上田</t>
        </is>
      </c>
      <c r="AL10" s="10" t="inlineStr">
        <is>
          <t>山田真</t>
        </is>
      </c>
      <c r="AM10" s="10" t="inlineStr">
        <is>
          <t>中山</t>
        </is>
      </c>
      <c r="AN10" s="10" t="inlineStr">
        <is>
          <t>尾川</t>
        </is>
      </c>
      <c r="AO10" s="10" t="inlineStr">
        <is>
          <t>山本幸</t>
        </is>
      </c>
      <c r="AP10" s="10" t="inlineStr">
        <is>
          <t>河野</t>
        </is>
      </c>
    </row>
    <row r="11" ht="15" customHeight="1" s="37">
      <c r="A11" t="inlineStr">
        <is>
          <t>2026-05-14</t>
        </is>
      </c>
      <c r="B11" s="10" t="inlineStr">
        <is>
          <t>木</t>
        </is>
      </c>
      <c r="C11" s="10" t="inlineStr">
        <is>
          <t>平日</t>
        </is>
      </c>
      <c r="E11" s="10" t="inlineStr">
        <is>
          <t>山本高</t>
        </is>
      </c>
      <c r="F11" s="10" t="inlineStr">
        <is>
          <t>栗下</t>
        </is>
      </c>
      <c r="G11" s="10" t="inlineStr">
        <is>
          <t>佐野</t>
        </is>
      </c>
      <c r="H11" s="10" t="inlineStr">
        <is>
          <t>中村</t>
        </is>
      </c>
      <c r="I11" s="10" t="inlineStr">
        <is>
          <t>尾川</t>
        </is>
      </c>
      <c r="J11" s="10" t="inlineStr">
        <is>
          <t>田中</t>
        </is>
      </c>
      <c r="K11" s="10" t="inlineStr">
        <is>
          <t>植山</t>
        </is>
      </c>
      <c r="L11" s="10" t="inlineStr">
        <is>
          <t>岩田</t>
        </is>
      </c>
      <c r="M11" s="10" t="inlineStr">
        <is>
          <t>西村</t>
        </is>
      </c>
      <c r="N11" s="10" t="inlineStr">
        <is>
          <t>安村</t>
        </is>
      </c>
      <c r="O11" s="10" t="inlineStr">
        <is>
          <t>岡本</t>
        </is>
      </c>
      <c r="P11" s="10" t="inlineStr">
        <is>
          <t>上田</t>
        </is>
      </c>
      <c r="Q11" s="10" t="inlineStr">
        <is>
          <t>藤原</t>
        </is>
      </c>
      <c r="R11" s="10" t="inlineStr">
        <is>
          <t>丸田</t>
        </is>
      </c>
      <c r="S11" s="10" t="inlineStr">
        <is>
          <t>山田真</t>
        </is>
      </c>
      <c r="T11" s="10" t="inlineStr">
        <is>
          <t>北川</t>
        </is>
      </c>
      <c r="U11" s="10" t="inlineStr">
        <is>
          <t>河野</t>
        </is>
      </c>
      <c r="V11" s="10" t="inlineStr">
        <is>
          <t>上野</t>
        </is>
      </c>
      <c r="W11" s="10" t="inlineStr">
        <is>
          <t>井川</t>
        </is>
      </c>
      <c r="X11" s="10" t="inlineStr">
        <is>
          <t>横山</t>
        </is>
      </c>
      <c r="Y11" s="10" t="inlineStr">
        <is>
          <t>谷川</t>
        </is>
      </c>
      <c r="Z11" s="10" t="inlineStr">
        <is>
          <t>中嶌</t>
        </is>
      </c>
      <c r="AA11" s="10" t="inlineStr">
        <is>
          <t>中山</t>
        </is>
      </c>
      <c r="AB11" s="10" t="inlineStr">
        <is>
          <t>大川内</t>
        </is>
      </c>
      <c r="AC11" s="10" t="inlineStr">
        <is>
          <t>山本幸</t>
        </is>
      </c>
      <c r="AD11" s="10" t="inlineStr">
        <is>
          <t>矢田</t>
        </is>
      </c>
      <c r="AE11" s="10" t="inlineStr">
        <is>
          <t>内野</t>
        </is>
      </c>
      <c r="AF11" s="10" t="inlineStr">
        <is>
          <t>野口</t>
        </is>
      </c>
      <c r="AG11" s="10" t="inlineStr">
        <is>
          <t>山田久</t>
        </is>
      </c>
      <c r="AH11" s="10" t="inlineStr">
        <is>
          <t>柴田</t>
        </is>
      </c>
      <c r="AI11" s="10" t="inlineStr">
        <is>
          <t>横田</t>
        </is>
      </c>
      <c r="AJ11" s="10" t="inlineStr">
        <is>
          <t>馬場</t>
        </is>
      </c>
      <c r="AK11" s="10" t="inlineStr">
        <is>
          <t>原</t>
        </is>
      </c>
      <c r="AL11" s="10" t="inlineStr">
        <is>
          <t>市田</t>
        </is>
      </c>
      <c r="AM11" s="10" t="inlineStr">
        <is>
          <t>欠員②</t>
        </is>
      </c>
      <c r="AN11" s="10" t="inlineStr">
        <is>
          <t>門谷</t>
        </is>
      </c>
      <c r="AO11" s="10" t="inlineStr">
        <is>
          <t>欠員①</t>
        </is>
      </c>
      <c r="AP11" s="10" t="inlineStr">
        <is>
          <t>富島</t>
        </is>
      </c>
    </row>
    <row r="12" ht="15" customHeight="1" s="37">
      <c r="A12" t="inlineStr">
        <is>
          <t>2026-05-15</t>
        </is>
      </c>
      <c r="B12" s="10" t="inlineStr">
        <is>
          <t>金</t>
        </is>
      </c>
      <c r="C12" s="10" t="inlineStr">
        <is>
          <t>平日</t>
        </is>
      </c>
      <c r="E12" s="10" t="inlineStr">
        <is>
          <t>山田真</t>
        </is>
      </c>
      <c r="F12" s="10" t="inlineStr">
        <is>
          <t>西村</t>
        </is>
      </c>
      <c r="G12" s="10" t="inlineStr">
        <is>
          <t>上野</t>
        </is>
      </c>
      <c r="H12" s="10" t="inlineStr">
        <is>
          <t>岡本</t>
        </is>
      </c>
      <c r="I12" s="10" t="inlineStr">
        <is>
          <t>門谷</t>
        </is>
      </c>
      <c r="J12" s="10" t="inlineStr">
        <is>
          <t>井川</t>
        </is>
      </c>
      <c r="K12" s="10" t="inlineStr">
        <is>
          <t>野口</t>
        </is>
      </c>
      <c r="L12" s="10" t="inlineStr">
        <is>
          <t>上田</t>
        </is>
      </c>
      <c r="M12" s="10" t="inlineStr">
        <is>
          <t>山本幸</t>
        </is>
      </c>
      <c r="N12" s="10" t="inlineStr">
        <is>
          <t>丸田</t>
        </is>
      </c>
      <c r="O12" s="10" t="inlineStr">
        <is>
          <t>横山</t>
        </is>
      </c>
      <c r="P12" s="10" t="inlineStr">
        <is>
          <t>原</t>
        </is>
      </c>
      <c r="Q12" s="10" t="inlineStr">
        <is>
          <t>岩田</t>
        </is>
      </c>
      <c r="R12" s="10" t="inlineStr">
        <is>
          <t>中山</t>
        </is>
      </c>
      <c r="S12" s="10" t="inlineStr">
        <is>
          <t>市田</t>
        </is>
      </c>
      <c r="T12" s="10" t="inlineStr">
        <is>
          <t>河野</t>
        </is>
      </c>
      <c r="U12" s="10" t="inlineStr">
        <is>
          <t>富島</t>
        </is>
      </c>
      <c r="V12" s="10" t="inlineStr">
        <is>
          <t>柴田</t>
        </is>
      </c>
      <c r="W12" s="10" t="inlineStr">
        <is>
          <t>内野</t>
        </is>
      </c>
      <c r="X12" s="10" t="inlineStr">
        <is>
          <t>植山</t>
        </is>
      </c>
      <c r="Y12" s="10" t="inlineStr">
        <is>
          <t>馬場</t>
        </is>
      </c>
      <c r="Z12" s="10" t="inlineStr">
        <is>
          <t>大川内</t>
        </is>
      </c>
      <c r="AA12" s="10" t="inlineStr">
        <is>
          <t>欠員②</t>
        </is>
      </c>
      <c r="AB12" s="10" t="inlineStr">
        <is>
          <t>田中</t>
        </is>
      </c>
      <c r="AC12" s="10" t="inlineStr">
        <is>
          <t>欠員①</t>
        </is>
      </c>
      <c r="AD12" s="10" t="inlineStr">
        <is>
          <t>佐野</t>
        </is>
      </c>
      <c r="AE12" s="10" t="inlineStr">
        <is>
          <t>中村</t>
        </is>
      </c>
      <c r="AF12" s="10" t="inlineStr">
        <is>
          <t>栗下</t>
        </is>
      </c>
      <c r="AG12" s="10" t="inlineStr">
        <is>
          <t>安村</t>
        </is>
      </c>
      <c r="AH12" s="10" t="inlineStr">
        <is>
          <t>藤原</t>
        </is>
      </c>
      <c r="AI12" s="10" t="inlineStr">
        <is>
          <t>北川</t>
        </is>
      </c>
      <c r="AJ12" s="10" t="inlineStr">
        <is>
          <t>尾川</t>
        </is>
      </c>
      <c r="AK12" s="10" t="inlineStr">
        <is>
          <t>横田</t>
        </is>
      </c>
      <c r="AL12" s="10" t="inlineStr">
        <is>
          <t>谷川</t>
        </is>
      </c>
      <c r="AM12" s="10" t="inlineStr">
        <is>
          <t>矢田</t>
        </is>
      </c>
      <c r="AN12" s="10" t="inlineStr">
        <is>
          <t>山田久</t>
        </is>
      </c>
      <c r="AO12" s="10" t="inlineStr">
        <is>
          <t>山本高</t>
        </is>
      </c>
      <c r="AP12" s="10" t="inlineStr">
        <is>
          <t>中嶌</t>
        </is>
      </c>
    </row>
    <row r="13" ht="15" customHeight="1" s="37">
      <c r="A13" t="inlineStr">
        <is>
          <t>2026-05-16</t>
        </is>
      </c>
      <c r="B13" s="10" t="inlineStr">
        <is>
          <t>土</t>
        </is>
      </c>
      <c r="C13" s="10" t="inlineStr">
        <is>
          <t>休日</t>
        </is>
      </c>
      <c r="E13" s="10" t="inlineStr">
        <is>
          <t>市田</t>
        </is>
      </c>
      <c r="F13" s="10" t="inlineStr">
        <is>
          <t>山本幸</t>
        </is>
      </c>
      <c r="G13" s="10" t="inlineStr">
        <is>
          <t>柴田</t>
        </is>
      </c>
      <c r="H13" s="10" t="inlineStr">
        <is>
          <t>横山</t>
        </is>
      </c>
      <c r="I13" s="10" t="inlineStr">
        <is>
          <t>山田久</t>
        </is>
      </c>
      <c r="J13" s="10" t="inlineStr">
        <is>
          <t>内野</t>
        </is>
      </c>
      <c r="K13" s="10" t="inlineStr">
        <is>
          <t>栗下</t>
        </is>
      </c>
      <c r="L13" s="10" t="inlineStr">
        <is>
          <t>原</t>
        </is>
      </c>
      <c r="M13" s="10" t="inlineStr">
        <is>
          <t>欠員①</t>
        </is>
      </c>
      <c r="N13" s="10" t="inlineStr">
        <is>
          <t>中山</t>
        </is>
      </c>
      <c r="O13" s="10" t="inlineStr">
        <is>
          <t>植山</t>
        </is>
      </c>
      <c r="P13" s="10" t="inlineStr">
        <is>
          <t>横田</t>
        </is>
      </c>
      <c r="Q13" s="10" t="inlineStr">
        <is>
          <t>上田</t>
        </is>
      </c>
      <c r="R13" s="10" t="inlineStr">
        <is>
          <t>欠員②</t>
        </is>
      </c>
      <c r="S13" s="10" t="inlineStr">
        <is>
          <t>谷川</t>
        </is>
      </c>
      <c r="T13" s="10" t="inlineStr">
        <is>
          <t>富島</t>
        </is>
      </c>
      <c r="U13" s="10" t="inlineStr">
        <is>
          <t>中嶌</t>
        </is>
      </c>
      <c r="V13" s="10" t="inlineStr">
        <is>
          <t>藤原</t>
        </is>
      </c>
      <c r="W13" s="10" t="inlineStr">
        <is>
          <t>中村</t>
        </is>
      </c>
      <c r="X13" s="10" t="inlineStr">
        <is>
          <t>野口</t>
        </is>
      </c>
      <c r="Y13" s="10" t="inlineStr">
        <is>
          <t>尾川</t>
        </is>
      </c>
      <c r="Z13" s="10" t="inlineStr">
        <is>
          <t>田中</t>
        </is>
      </c>
      <c r="AA13" s="10" t="inlineStr">
        <is>
          <t>矢田</t>
        </is>
      </c>
      <c r="AB13" s="10" t="inlineStr">
        <is>
          <t>井川</t>
        </is>
      </c>
      <c r="AC13" s="10" t="inlineStr">
        <is>
          <t>山本高</t>
        </is>
      </c>
      <c r="AD13" s="10" t="inlineStr">
        <is>
          <t>上野</t>
        </is>
      </c>
      <c r="AE13" s="10" t="inlineStr">
        <is>
          <t>岡本</t>
        </is>
      </c>
      <c r="AF13" s="10" t="inlineStr">
        <is>
          <t>西村</t>
        </is>
      </c>
      <c r="AG13" s="10" t="inlineStr">
        <is>
          <t>丸田</t>
        </is>
      </c>
      <c r="AH13" s="10" t="inlineStr">
        <is>
          <t>岩田</t>
        </is>
      </c>
      <c r="AI13" s="10" t="inlineStr">
        <is>
          <t>河野</t>
        </is>
      </c>
      <c r="AJ13" s="10" t="inlineStr">
        <is>
          <t>門谷</t>
        </is>
      </c>
      <c r="AK13" s="10" t="inlineStr">
        <is>
          <t>北川</t>
        </is>
      </c>
      <c r="AL13" s="10" t="inlineStr">
        <is>
          <t>馬場</t>
        </is>
      </c>
      <c r="AM13" s="10" t="inlineStr">
        <is>
          <t>佐野</t>
        </is>
      </c>
      <c r="AN13" s="10" t="inlineStr">
        <is>
          <t>安村</t>
        </is>
      </c>
      <c r="AO13" s="10" t="inlineStr">
        <is>
          <t>山田真</t>
        </is>
      </c>
      <c r="AP13" s="10" t="inlineStr">
        <is>
          <t>大川内</t>
        </is>
      </c>
    </row>
    <row r="14" ht="15" customHeight="1" s="37">
      <c r="A14" t="inlineStr">
        <is>
          <t>2026-05-17</t>
        </is>
      </c>
      <c r="B14" s="10" t="inlineStr">
        <is>
          <t>日</t>
        </is>
      </c>
      <c r="C14" s="10" t="inlineStr">
        <is>
          <t>休日</t>
        </is>
      </c>
      <c r="E14" s="10" t="inlineStr">
        <is>
          <t>谷川</t>
        </is>
      </c>
      <c r="F14" s="10" t="inlineStr">
        <is>
          <t>欠員①</t>
        </is>
      </c>
      <c r="G14" s="10" t="inlineStr">
        <is>
          <t>藤原</t>
        </is>
      </c>
      <c r="H14" s="10" t="inlineStr">
        <is>
          <t>植山</t>
        </is>
      </c>
      <c r="I14" s="10" t="inlineStr">
        <is>
          <t>安村</t>
        </is>
      </c>
      <c r="J14" s="10" t="inlineStr">
        <is>
          <t>中村</t>
        </is>
      </c>
      <c r="K14" s="10" t="inlineStr">
        <is>
          <t>西村</t>
        </is>
      </c>
      <c r="L14" s="10" t="inlineStr">
        <is>
          <t>横田</t>
        </is>
      </c>
      <c r="M14" s="10" t="inlineStr">
        <is>
          <t>山本高</t>
        </is>
      </c>
      <c r="N14" s="10" t="inlineStr">
        <is>
          <t>欠員②</t>
        </is>
      </c>
      <c r="O14" s="10" t="inlineStr">
        <is>
          <t>野口</t>
        </is>
      </c>
      <c r="P14" s="10" t="inlineStr">
        <is>
          <t>北川</t>
        </is>
      </c>
      <c r="Q14" s="10" t="inlineStr">
        <is>
          <t>原</t>
        </is>
      </c>
      <c r="R14" s="10" t="inlineStr">
        <is>
          <t>矢田</t>
        </is>
      </c>
      <c r="S14" s="10" t="inlineStr">
        <is>
          <t>馬場</t>
        </is>
      </c>
      <c r="T14" s="10" t="inlineStr">
        <is>
          <t>中嶌</t>
        </is>
      </c>
      <c r="U14" s="10" t="inlineStr">
        <is>
          <t>大川内</t>
        </is>
      </c>
      <c r="V14" s="10" t="inlineStr">
        <is>
          <t>岩田</t>
        </is>
      </c>
      <c r="W14" s="10" t="inlineStr">
        <is>
          <t>岡本</t>
        </is>
      </c>
      <c r="X14" s="10" t="inlineStr">
        <is>
          <t>栗下</t>
        </is>
      </c>
      <c r="Y14" s="10" t="inlineStr">
        <is>
          <t>門谷</t>
        </is>
      </c>
      <c r="Z14" s="10" t="inlineStr">
        <is>
          <t>井川</t>
        </is>
      </c>
      <c r="AA14" s="10" t="inlineStr">
        <is>
          <t>佐野</t>
        </is>
      </c>
      <c r="AB14" s="10" t="inlineStr">
        <is>
          <t>内野</t>
        </is>
      </c>
      <c r="AC14" s="10" t="inlineStr">
        <is>
          <t>山田真</t>
        </is>
      </c>
      <c r="AD14" s="10" t="inlineStr">
        <is>
          <t>柴田</t>
        </is>
      </c>
      <c r="AE14" s="10" t="inlineStr">
        <is>
          <t>横山</t>
        </is>
      </c>
      <c r="AF14" s="10" t="inlineStr">
        <is>
          <t>山本幸</t>
        </is>
      </c>
      <c r="AG14" s="10" t="inlineStr">
        <is>
          <t>中山</t>
        </is>
      </c>
      <c r="AH14" s="10" t="inlineStr">
        <is>
          <t>上田</t>
        </is>
      </c>
      <c r="AI14" s="10" t="inlineStr">
        <is>
          <t>富島</t>
        </is>
      </c>
      <c r="AJ14" s="10" t="inlineStr">
        <is>
          <t>山田久</t>
        </is>
      </c>
      <c r="AK14" s="10" t="inlineStr">
        <is>
          <t>河野</t>
        </is>
      </c>
      <c r="AL14" s="10" t="inlineStr">
        <is>
          <t>尾川</t>
        </is>
      </c>
      <c r="AM14" s="10" t="inlineStr">
        <is>
          <t>上野</t>
        </is>
      </c>
      <c r="AN14" s="10" t="inlineStr">
        <is>
          <t>丸田</t>
        </is>
      </c>
      <c r="AO14" s="10" t="inlineStr">
        <is>
          <t>市田</t>
        </is>
      </c>
      <c r="AP14" s="10" t="inlineStr">
        <is>
          <t>田中</t>
        </is>
      </c>
    </row>
    <row r="15" ht="15" customHeight="1" s="37">
      <c r="A15" t="inlineStr">
        <is>
          <t>2026-05-18</t>
        </is>
      </c>
      <c r="B15" s="10" t="inlineStr">
        <is>
          <t>月</t>
        </is>
      </c>
      <c r="C15" s="10" t="inlineStr">
        <is>
          <t>平日</t>
        </is>
      </c>
      <c r="E15" s="10" t="inlineStr">
        <is>
          <t>馬場</t>
        </is>
      </c>
      <c r="F15" s="10" t="inlineStr">
        <is>
          <t>山本高</t>
        </is>
      </c>
      <c r="G15" s="10" t="inlineStr">
        <is>
          <t>岩田</t>
        </is>
      </c>
      <c r="H15" s="10" t="inlineStr">
        <is>
          <t>野口</t>
        </is>
      </c>
      <c r="I15" s="10" t="inlineStr">
        <is>
          <t>丸田</t>
        </is>
      </c>
      <c r="J15" s="10" t="inlineStr">
        <is>
          <t>岡本</t>
        </is>
      </c>
      <c r="K15" s="10" t="inlineStr">
        <is>
          <t>山本幸</t>
        </is>
      </c>
      <c r="L15" s="10" t="inlineStr">
        <is>
          <t>北川</t>
        </is>
      </c>
      <c r="M15" s="10" t="inlineStr">
        <is>
          <t>山田真</t>
        </is>
      </c>
      <c r="N15" s="10" t="inlineStr">
        <is>
          <t>矢田</t>
        </is>
      </c>
      <c r="O15" s="10" t="inlineStr">
        <is>
          <t>栗下</t>
        </is>
      </c>
      <c r="P15" s="10" t="inlineStr">
        <is>
          <t>河野</t>
        </is>
      </c>
      <c r="Q15" s="10" t="inlineStr">
        <is>
          <t>横田</t>
        </is>
      </c>
      <c r="R15" s="10" t="inlineStr">
        <is>
          <t>佐野</t>
        </is>
      </c>
      <c r="S15" s="10" t="inlineStr">
        <is>
          <t>尾川</t>
        </is>
      </c>
      <c r="T15" s="10" t="inlineStr">
        <is>
          <t>大川内</t>
        </is>
      </c>
      <c r="U15" s="10" t="inlineStr">
        <is>
          <t>田中</t>
        </is>
      </c>
      <c r="V15" s="10" t="inlineStr">
        <is>
          <t>上田</t>
        </is>
      </c>
      <c r="W15" s="10" t="inlineStr">
        <is>
          <t>横山</t>
        </is>
      </c>
      <c r="X15" s="10" t="inlineStr">
        <is>
          <t>西村</t>
        </is>
      </c>
      <c r="Y15" s="10" t="inlineStr">
        <is>
          <t>山田久</t>
        </is>
      </c>
      <c r="Z15" s="10" t="inlineStr">
        <is>
          <t>内野</t>
        </is>
      </c>
      <c r="AA15" s="10" t="inlineStr">
        <is>
          <t>上野</t>
        </is>
      </c>
      <c r="AB15" s="10" t="inlineStr">
        <is>
          <t>中村</t>
        </is>
      </c>
      <c r="AC15" s="10" t="inlineStr">
        <is>
          <t>市田</t>
        </is>
      </c>
      <c r="AD15" s="10" t="inlineStr">
        <is>
          <t>藤原</t>
        </is>
      </c>
      <c r="AE15" s="10" t="inlineStr">
        <is>
          <t>植山</t>
        </is>
      </c>
      <c r="AF15" s="10" t="inlineStr">
        <is>
          <t>欠員①</t>
        </is>
      </c>
      <c r="AG15" s="10" t="inlineStr">
        <is>
          <t>欠員②</t>
        </is>
      </c>
      <c r="AH15" s="10" t="inlineStr">
        <is>
          <t>原</t>
        </is>
      </c>
      <c r="AI15" s="10" t="inlineStr">
        <is>
          <t>中嶌</t>
        </is>
      </c>
      <c r="AJ15" s="10" t="inlineStr">
        <is>
          <t>安村</t>
        </is>
      </c>
      <c r="AK15" s="10" t="inlineStr">
        <is>
          <t>富島</t>
        </is>
      </c>
      <c r="AL15" s="10" t="inlineStr">
        <is>
          <t>門谷</t>
        </is>
      </c>
      <c r="AM15" s="10" t="inlineStr">
        <is>
          <t>柴田</t>
        </is>
      </c>
      <c r="AN15" s="10" t="inlineStr">
        <is>
          <t>中山</t>
        </is>
      </c>
      <c r="AO15" s="10" t="inlineStr">
        <is>
          <t>谷川</t>
        </is>
      </c>
      <c r="AP15" s="10" t="inlineStr">
        <is>
          <t>井川</t>
        </is>
      </c>
    </row>
    <row r="16" ht="15" customHeight="1" s="37">
      <c r="A16" t="inlineStr">
        <is>
          <t>2026-05-19</t>
        </is>
      </c>
      <c r="B16" s="10" t="inlineStr">
        <is>
          <t>火</t>
        </is>
      </c>
      <c r="C16" s="10" t="inlineStr">
        <is>
          <t>平日</t>
        </is>
      </c>
      <c r="E16" s="10" t="inlineStr">
        <is>
          <t>尾川</t>
        </is>
      </c>
      <c r="F16" s="10" t="inlineStr">
        <is>
          <t>山田真</t>
        </is>
      </c>
      <c r="G16" s="10" t="inlineStr">
        <is>
          <t>上田</t>
        </is>
      </c>
      <c r="H16" s="10" t="inlineStr">
        <is>
          <t>栗下</t>
        </is>
      </c>
      <c r="I16" s="10" t="inlineStr">
        <is>
          <t>中山</t>
        </is>
      </c>
      <c r="J16" s="10" t="inlineStr">
        <is>
          <t>横山</t>
        </is>
      </c>
      <c r="K16" s="10" t="inlineStr">
        <is>
          <t>欠員①</t>
        </is>
      </c>
      <c r="L16" s="10" t="inlineStr">
        <is>
          <t>河野</t>
        </is>
      </c>
      <c r="M16" s="10" t="inlineStr">
        <is>
          <t>市田</t>
        </is>
      </c>
      <c r="N16" s="10" t="inlineStr">
        <is>
          <t>佐野</t>
        </is>
      </c>
      <c r="O16" s="10" t="inlineStr">
        <is>
          <t>西村</t>
        </is>
      </c>
      <c r="P16" s="10" t="inlineStr">
        <is>
          <t>富島</t>
        </is>
      </c>
      <c r="Q16" s="10" t="inlineStr">
        <is>
          <t>北川</t>
        </is>
      </c>
      <c r="R16" s="10" t="inlineStr">
        <is>
          <t>上野</t>
        </is>
      </c>
      <c r="S16" s="10" t="inlineStr">
        <is>
          <t>門谷</t>
        </is>
      </c>
      <c r="T16" s="10" t="inlineStr">
        <is>
          <t>田中</t>
        </is>
      </c>
      <c r="U16" s="10" t="inlineStr">
        <is>
          <t>井川</t>
        </is>
      </c>
      <c r="V16" s="10" t="inlineStr">
        <is>
          <t>原</t>
        </is>
      </c>
      <c r="W16" s="10" t="inlineStr">
        <is>
          <t>植山</t>
        </is>
      </c>
      <c r="X16" s="10" t="inlineStr">
        <is>
          <t>山本幸</t>
        </is>
      </c>
      <c r="Y16" s="10" t="inlineStr">
        <is>
          <t>安村</t>
        </is>
      </c>
      <c r="Z16" s="10" t="inlineStr">
        <is>
          <t>中村</t>
        </is>
      </c>
      <c r="AA16" s="10" t="inlineStr">
        <is>
          <t>柴田</t>
        </is>
      </c>
      <c r="AB16" s="10" t="inlineStr">
        <is>
          <t>岡本</t>
        </is>
      </c>
      <c r="AC16" s="10" t="inlineStr">
        <is>
          <t>谷川</t>
        </is>
      </c>
      <c r="AD16" s="10" t="inlineStr">
        <is>
          <t>岩田</t>
        </is>
      </c>
      <c r="AE16" s="10" t="inlineStr">
        <is>
          <t>野口</t>
        </is>
      </c>
      <c r="AF16" s="10" t="inlineStr">
        <is>
          <t>山本高</t>
        </is>
      </c>
      <c r="AG16" s="10" t="inlineStr">
        <is>
          <t>矢田</t>
        </is>
      </c>
      <c r="AH16" s="10" t="inlineStr">
        <is>
          <t>横田</t>
        </is>
      </c>
      <c r="AI16" s="10" t="inlineStr">
        <is>
          <t>大川内</t>
        </is>
      </c>
      <c r="AJ16" s="10" t="inlineStr">
        <is>
          <t>丸田</t>
        </is>
      </c>
      <c r="AK16" s="10" t="inlineStr">
        <is>
          <t>中嶌</t>
        </is>
      </c>
      <c r="AL16" s="10" t="inlineStr">
        <is>
          <t>山田久</t>
        </is>
      </c>
      <c r="AM16" s="10" t="inlineStr">
        <is>
          <t>藤原</t>
        </is>
      </c>
      <c r="AN16" s="10" t="inlineStr">
        <is>
          <t>欠員②</t>
        </is>
      </c>
      <c r="AO16" s="10" t="inlineStr">
        <is>
          <t>馬場</t>
        </is>
      </c>
      <c r="AP16" s="10" t="inlineStr">
        <is>
          <t>内野</t>
        </is>
      </c>
    </row>
    <row r="17" ht="15" customHeight="1" s="37">
      <c r="A17" t="inlineStr">
        <is>
          <t>2026-05-20</t>
        </is>
      </c>
      <c r="B17" s="10" t="inlineStr">
        <is>
          <t>水</t>
        </is>
      </c>
      <c r="C17" s="10" t="inlineStr">
        <is>
          <t>平日</t>
        </is>
      </c>
      <c r="E17" s="10" t="inlineStr">
        <is>
          <t>門谷</t>
        </is>
      </c>
      <c r="F17" s="10" t="inlineStr">
        <is>
          <t>市田</t>
        </is>
      </c>
      <c r="G17" s="10" t="inlineStr">
        <is>
          <t>原</t>
        </is>
      </c>
      <c r="H17" s="10" t="inlineStr">
        <is>
          <t>西村</t>
        </is>
      </c>
      <c r="I17" s="10" t="inlineStr">
        <is>
          <t>欠員②</t>
        </is>
      </c>
      <c r="J17" s="10" t="inlineStr">
        <is>
          <t>植山</t>
        </is>
      </c>
      <c r="K17" s="10" t="inlineStr">
        <is>
          <t>山本高</t>
        </is>
      </c>
      <c r="L17" s="10" t="inlineStr">
        <is>
          <t>富島</t>
        </is>
      </c>
      <c r="M17" s="10" t="inlineStr">
        <is>
          <t>谷川</t>
        </is>
      </c>
      <c r="N17" s="10" t="inlineStr">
        <is>
          <t>上野</t>
        </is>
      </c>
      <c r="O17" s="10" t="inlineStr">
        <is>
          <t>山本幸</t>
        </is>
      </c>
      <c r="P17" s="10" t="inlineStr">
        <is>
          <t>中嶌</t>
        </is>
      </c>
      <c r="Q17" s="10" t="inlineStr">
        <is>
          <t>河野</t>
        </is>
      </c>
      <c r="R17" s="10" t="inlineStr">
        <is>
          <t>柴田</t>
        </is>
      </c>
      <c r="S17" s="10" t="inlineStr">
        <is>
          <t>山田久</t>
        </is>
      </c>
      <c r="T17" s="10" t="inlineStr">
        <is>
          <t>井川</t>
        </is>
      </c>
      <c r="U17" s="10" t="inlineStr">
        <is>
          <t>内野</t>
        </is>
      </c>
      <c r="V17" s="10" t="inlineStr">
        <is>
          <t>横田</t>
        </is>
      </c>
      <c r="W17" s="10" t="inlineStr">
        <is>
          <t>野口</t>
        </is>
      </c>
      <c r="X17" s="10" t="inlineStr">
        <is>
          <t>欠員①</t>
        </is>
      </c>
      <c r="Y17" s="10" t="inlineStr">
        <is>
          <t>丸田</t>
        </is>
      </c>
      <c r="Z17" s="10" t="inlineStr">
        <is>
          <t>岡本</t>
        </is>
      </c>
      <c r="AA17" s="10" t="inlineStr">
        <is>
          <t>藤原</t>
        </is>
      </c>
      <c r="AB17" s="10" t="inlineStr">
        <is>
          <t>横山</t>
        </is>
      </c>
      <c r="AC17" s="10" t="inlineStr">
        <is>
          <t>馬場</t>
        </is>
      </c>
      <c r="AD17" s="10" t="inlineStr">
        <is>
          <t>上田</t>
        </is>
      </c>
      <c r="AE17" s="10" t="inlineStr">
        <is>
          <t>栗下</t>
        </is>
      </c>
      <c r="AF17" s="10" t="inlineStr">
        <is>
          <t>山田真</t>
        </is>
      </c>
      <c r="AG17" s="10" t="inlineStr">
        <is>
          <t>佐野</t>
        </is>
      </c>
      <c r="AH17" s="10" t="inlineStr">
        <is>
          <t>北川</t>
        </is>
      </c>
      <c r="AI17" s="10" t="inlineStr">
        <is>
          <t>田中</t>
        </is>
      </c>
      <c r="AJ17" s="10" t="inlineStr">
        <is>
          <t>中山</t>
        </is>
      </c>
      <c r="AK17" s="10" t="inlineStr">
        <is>
          <t>大川内</t>
        </is>
      </c>
      <c r="AL17" s="10" t="inlineStr">
        <is>
          <t>安村</t>
        </is>
      </c>
      <c r="AM17" s="10" t="inlineStr">
        <is>
          <t>岩田</t>
        </is>
      </c>
      <c r="AN17" s="10" t="inlineStr">
        <is>
          <t>矢田</t>
        </is>
      </c>
      <c r="AO17" s="10" t="inlineStr">
        <is>
          <t>尾川</t>
        </is>
      </c>
      <c r="AP17" s="10" t="inlineStr">
        <is>
          <t>中村</t>
        </is>
      </c>
    </row>
    <row r="18" ht="15" customHeight="1" s="37">
      <c r="A18" t="inlineStr">
        <is>
          <t>2026-05-21</t>
        </is>
      </c>
      <c r="B18" s="10" t="inlineStr">
        <is>
          <t>木</t>
        </is>
      </c>
      <c r="C18" s="10" t="inlineStr">
        <is>
          <t>平日</t>
        </is>
      </c>
      <c r="E18" s="10" t="inlineStr">
        <is>
          <t>山田久</t>
        </is>
      </c>
      <c r="F18" s="10" t="inlineStr">
        <is>
          <t>谷川</t>
        </is>
      </c>
      <c r="G18" s="10" t="inlineStr">
        <is>
          <t>横田</t>
        </is>
      </c>
      <c r="H18" s="10" t="inlineStr">
        <is>
          <t>山本幸</t>
        </is>
      </c>
      <c r="I18" s="10" t="inlineStr">
        <is>
          <t>矢田</t>
        </is>
      </c>
      <c r="J18" s="10" t="inlineStr">
        <is>
          <t>野口</t>
        </is>
      </c>
      <c r="K18" s="10" t="inlineStr">
        <is>
          <t>山田真</t>
        </is>
      </c>
      <c r="L18" s="10" t="inlineStr">
        <is>
          <t>中嶌</t>
        </is>
      </c>
      <c r="M18" s="10" t="inlineStr">
        <is>
          <t>馬場</t>
        </is>
      </c>
      <c r="N18" s="10" t="inlineStr">
        <is>
          <t>柴田</t>
        </is>
      </c>
      <c r="O18" s="10" t="inlineStr">
        <is>
          <t>欠員①</t>
        </is>
      </c>
      <c r="P18" s="10" t="inlineStr">
        <is>
          <t>大川内</t>
        </is>
      </c>
      <c r="Q18" s="10" t="inlineStr">
        <is>
          <t>富島</t>
        </is>
      </c>
      <c r="R18" s="10" t="inlineStr">
        <is>
          <t>藤原</t>
        </is>
      </c>
      <c r="S18" s="10" t="inlineStr">
        <is>
          <t>安村</t>
        </is>
      </c>
      <c r="T18" s="10" t="inlineStr">
        <is>
          <t>内野</t>
        </is>
      </c>
      <c r="U18" s="10" t="inlineStr">
        <is>
          <t>中村</t>
        </is>
      </c>
      <c r="V18" s="10" t="inlineStr">
        <is>
          <t>北川</t>
        </is>
      </c>
      <c r="W18" s="10" t="inlineStr">
        <is>
          <t>栗下</t>
        </is>
      </c>
      <c r="X18" s="10" t="inlineStr">
        <is>
          <t>山本高</t>
        </is>
      </c>
      <c r="Y18" s="10" t="inlineStr">
        <is>
          <t>中山</t>
        </is>
      </c>
      <c r="Z18" s="10" t="inlineStr">
        <is>
          <t>横山</t>
        </is>
      </c>
      <c r="AA18" s="10" t="inlineStr">
        <is>
          <t>岩田</t>
        </is>
      </c>
      <c r="AB18" s="10" t="inlineStr">
        <is>
          <t>植山</t>
        </is>
      </c>
      <c r="AC18" s="10" t="inlineStr">
        <is>
          <t>尾川</t>
        </is>
      </c>
      <c r="AD18" s="10" t="inlineStr">
        <is>
          <t>原</t>
        </is>
      </c>
      <c r="AE18" s="10" t="inlineStr">
        <is>
          <t>西村</t>
        </is>
      </c>
      <c r="AF18" s="10" t="inlineStr">
        <is>
          <t>市田</t>
        </is>
      </c>
      <c r="AG18" s="10" t="inlineStr">
        <is>
          <t>上野</t>
        </is>
      </c>
      <c r="AH18" s="10" t="inlineStr">
        <is>
          <t>河野</t>
        </is>
      </c>
      <c r="AI18" s="10" t="inlineStr">
        <is>
          <t>井川</t>
        </is>
      </c>
      <c r="AJ18" s="10" t="inlineStr">
        <is>
          <t>欠員②</t>
        </is>
      </c>
      <c r="AK18" s="10" t="inlineStr">
        <is>
          <t>田中</t>
        </is>
      </c>
      <c r="AL18" s="10" t="inlineStr">
        <is>
          <t>丸田</t>
        </is>
      </c>
      <c r="AM18" s="10" t="inlineStr">
        <is>
          <t>上田</t>
        </is>
      </c>
      <c r="AN18" s="10" t="inlineStr">
        <is>
          <t>佐野</t>
        </is>
      </c>
      <c r="AO18" s="10" t="inlineStr">
        <is>
          <t>門谷</t>
        </is>
      </c>
      <c r="AP18" s="10" t="inlineStr">
        <is>
          <t>岡本</t>
        </is>
      </c>
    </row>
    <row r="19" ht="15" customHeight="1" s="37">
      <c r="A19" t="inlineStr">
        <is>
          <t>2026-05-22</t>
        </is>
      </c>
      <c r="B19" s="10" t="inlineStr">
        <is>
          <t>金</t>
        </is>
      </c>
      <c r="C19" s="10" t="inlineStr">
        <is>
          <t>平日</t>
        </is>
      </c>
      <c r="E19" s="10" t="inlineStr">
        <is>
          <t>安村</t>
        </is>
      </c>
      <c r="F19" s="10" t="inlineStr">
        <is>
          <t>馬場</t>
        </is>
      </c>
      <c r="G19" s="10" t="inlineStr">
        <is>
          <t>北川</t>
        </is>
      </c>
      <c r="H19" s="10" t="inlineStr">
        <is>
          <t>欠員①</t>
        </is>
      </c>
      <c r="I19" s="10" t="inlineStr">
        <is>
          <t>佐野</t>
        </is>
      </c>
      <c r="J19" s="10" t="inlineStr">
        <is>
          <t>栗下</t>
        </is>
      </c>
      <c r="K19" s="10" t="inlineStr">
        <is>
          <t>市田</t>
        </is>
      </c>
      <c r="L19" s="10" t="inlineStr">
        <is>
          <t>大川内</t>
        </is>
      </c>
      <c r="M19" s="10" t="inlineStr">
        <is>
          <t>尾川</t>
        </is>
      </c>
      <c r="N19" s="10" t="inlineStr">
        <is>
          <t>藤原</t>
        </is>
      </c>
      <c r="O19" s="10" t="inlineStr">
        <is>
          <t>山本高</t>
        </is>
      </c>
      <c r="P19" s="10" t="inlineStr">
        <is>
          <t>田中</t>
        </is>
      </c>
      <c r="Q19" s="10" t="inlineStr">
        <is>
          <t>中嶌</t>
        </is>
      </c>
      <c r="R19" s="10" t="inlineStr">
        <is>
          <t>岩田</t>
        </is>
      </c>
      <c r="S19" s="10" t="inlineStr">
        <is>
          <t>丸田</t>
        </is>
      </c>
      <c r="T19" s="10" t="inlineStr">
        <is>
          <t>中村</t>
        </is>
      </c>
      <c r="U19" s="10" t="inlineStr">
        <is>
          <t>岡本</t>
        </is>
      </c>
      <c r="V19" s="10" t="inlineStr">
        <is>
          <t>河野</t>
        </is>
      </c>
      <c r="W19" s="10" t="inlineStr">
        <is>
          <t>西村</t>
        </is>
      </c>
      <c r="X19" s="10" t="inlineStr">
        <is>
          <t>山田真</t>
        </is>
      </c>
      <c r="Y19" s="10" t="inlineStr">
        <is>
          <t>欠員②</t>
        </is>
      </c>
      <c r="Z19" s="10" t="inlineStr">
        <is>
          <t>植山</t>
        </is>
      </c>
      <c r="AA19" s="10" t="inlineStr">
        <is>
          <t>上田</t>
        </is>
      </c>
      <c r="AB19" s="10" t="inlineStr">
        <is>
          <t>野口</t>
        </is>
      </c>
      <c r="AC19" s="10" t="inlineStr">
        <is>
          <t>門谷</t>
        </is>
      </c>
      <c r="AD19" s="10" t="inlineStr">
        <is>
          <t>横田</t>
        </is>
      </c>
      <c r="AE19" s="10" t="inlineStr">
        <is>
          <t>山本幸</t>
        </is>
      </c>
      <c r="AF19" s="10" t="inlineStr">
        <is>
          <t>谷川</t>
        </is>
      </c>
      <c r="AG19" s="10" t="inlineStr">
        <is>
          <t>柴田</t>
        </is>
      </c>
      <c r="AH19" s="10" t="inlineStr">
        <is>
          <t>富島</t>
        </is>
      </c>
      <c r="AI19" s="10" t="inlineStr">
        <is>
          <t>内野</t>
        </is>
      </c>
      <c r="AJ19" s="10" t="inlineStr">
        <is>
          <t>矢田</t>
        </is>
      </c>
      <c r="AK19" s="10" t="inlineStr">
        <is>
          <t>井川</t>
        </is>
      </c>
      <c r="AL19" s="10" t="inlineStr">
        <is>
          <t>中山</t>
        </is>
      </c>
      <c r="AM19" s="10" t="inlineStr">
        <is>
          <t>原</t>
        </is>
      </c>
      <c r="AN19" s="10" t="inlineStr">
        <is>
          <t>上野</t>
        </is>
      </c>
      <c r="AO19" s="10" t="inlineStr">
        <is>
          <t>山田久</t>
        </is>
      </c>
      <c r="AP19" s="10" t="inlineStr">
        <is>
          <t>横山</t>
        </is>
      </c>
    </row>
    <row r="20" ht="15" customHeight="1" s="37">
      <c r="A20" t="inlineStr">
        <is>
          <t>2026-05-23</t>
        </is>
      </c>
      <c r="B20" s="10" t="inlineStr">
        <is>
          <t>土</t>
        </is>
      </c>
      <c r="C20" s="10" t="inlineStr">
        <is>
          <t>休日</t>
        </is>
      </c>
      <c r="E20" s="10" t="inlineStr">
        <is>
          <t>丸田</t>
        </is>
      </c>
      <c r="F20" s="10" t="inlineStr">
        <is>
          <t>尾川</t>
        </is>
      </c>
      <c r="G20" s="10" t="inlineStr">
        <is>
          <t>河野</t>
        </is>
      </c>
      <c r="H20" s="10" t="inlineStr">
        <is>
          <t>山本高</t>
        </is>
      </c>
      <c r="I20" s="10" t="inlineStr">
        <is>
          <t>上野</t>
        </is>
      </c>
      <c r="J20" s="10" t="inlineStr">
        <is>
          <t>西村</t>
        </is>
      </c>
      <c r="K20" s="10" t="inlineStr">
        <is>
          <t>谷川</t>
        </is>
      </c>
      <c r="L20" s="10" t="inlineStr">
        <is>
          <t>田中</t>
        </is>
      </c>
      <c r="M20" s="10" t="inlineStr">
        <is>
          <t>門谷</t>
        </is>
      </c>
      <c r="N20" s="10" t="inlineStr">
        <is>
          <t>岩田</t>
        </is>
      </c>
      <c r="O20" s="10" t="inlineStr">
        <is>
          <t>山田真</t>
        </is>
      </c>
      <c r="P20" s="10" t="inlineStr">
        <is>
          <t>井川</t>
        </is>
      </c>
      <c r="Q20" s="10" t="inlineStr">
        <is>
          <t>大川内</t>
        </is>
      </c>
      <c r="R20" s="10" t="inlineStr">
        <is>
          <t>上田</t>
        </is>
      </c>
      <c r="S20" s="10" t="inlineStr">
        <is>
          <t>中山</t>
        </is>
      </c>
      <c r="T20" s="10" t="inlineStr">
        <is>
          <t>岡本</t>
        </is>
      </c>
      <c r="U20" s="10" t="inlineStr">
        <is>
          <t>横山</t>
        </is>
      </c>
      <c r="V20" s="10" t="inlineStr">
        <is>
          <t>富島</t>
        </is>
      </c>
      <c r="W20" s="10" t="inlineStr">
        <is>
          <t>山本幸</t>
        </is>
      </c>
      <c r="X20" s="10" t="inlineStr">
        <is>
          <t>市田</t>
        </is>
      </c>
      <c r="Y20" s="10" t="inlineStr">
        <is>
          <t>矢田</t>
        </is>
      </c>
      <c r="Z20" s="10" t="inlineStr">
        <is>
          <t>野口</t>
        </is>
      </c>
      <c r="AA20" s="10" t="inlineStr">
        <is>
          <t>原</t>
        </is>
      </c>
      <c r="AB20" s="10" t="inlineStr">
        <is>
          <t>栗下</t>
        </is>
      </c>
      <c r="AC20" s="10" t="inlineStr">
        <is>
          <t>山田久</t>
        </is>
      </c>
      <c r="AD20" s="10" t="inlineStr">
        <is>
          <t>北川</t>
        </is>
      </c>
      <c r="AE20" s="10" t="inlineStr">
        <is>
          <t>欠員①</t>
        </is>
      </c>
      <c r="AF20" s="10" t="inlineStr">
        <is>
          <t>馬場</t>
        </is>
      </c>
      <c r="AG20" s="10" t="inlineStr">
        <is>
          <t>藤原</t>
        </is>
      </c>
      <c r="AH20" s="10" t="inlineStr">
        <is>
          <t>中嶌</t>
        </is>
      </c>
      <c r="AI20" s="10" t="inlineStr">
        <is>
          <t>中村</t>
        </is>
      </c>
      <c r="AJ20" s="10" t="inlineStr">
        <is>
          <t>佐野</t>
        </is>
      </c>
      <c r="AK20" s="10" t="inlineStr">
        <is>
          <t>内野</t>
        </is>
      </c>
      <c r="AL20" s="10" t="inlineStr">
        <is>
          <t>欠員②</t>
        </is>
      </c>
      <c r="AM20" s="10" t="inlineStr">
        <is>
          <t>横田</t>
        </is>
      </c>
      <c r="AN20" s="10" t="inlineStr">
        <is>
          <t>柴田</t>
        </is>
      </c>
      <c r="AO20" s="10" t="inlineStr">
        <is>
          <t>安村</t>
        </is>
      </c>
      <c r="AP20" s="10" t="inlineStr">
        <is>
          <t>植山</t>
        </is>
      </c>
    </row>
    <row r="21" ht="15" customHeight="1" s="37">
      <c r="A21" t="inlineStr">
        <is>
          <t>2026-05-24</t>
        </is>
      </c>
      <c r="B21" s="10" t="inlineStr">
        <is>
          <t>日</t>
        </is>
      </c>
      <c r="C21" s="10" t="inlineStr">
        <is>
          <t>休日</t>
        </is>
      </c>
      <c r="E21" s="10" t="inlineStr">
        <is>
          <t>中山</t>
        </is>
      </c>
      <c r="F21" s="10" t="inlineStr">
        <is>
          <t>門谷</t>
        </is>
      </c>
      <c r="G21" s="10" t="inlineStr">
        <is>
          <t>富島</t>
        </is>
      </c>
      <c r="H21" s="10" t="inlineStr">
        <is>
          <t>山田真</t>
        </is>
      </c>
      <c r="I21" s="10" t="inlineStr">
        <is>
          <t>柴田</t>
        </is>
      </c>
      <c r="J21" s="10" t="inlineStr">
        <is>
          <t>山本幸</t>
        </is>
      </c>
      <c r="K21" s="10" t="inlineStr">
        <is>
          <t>馬場</t>
        </is>
      </c>
      <c r="L21" s="10" t="inlineStr">
        <is>
          <t>井川</t>
        </is>
      </c>
      <c r="M21" s="10" t="inlineStr">
        <is>
          <t>山田久</t>
        </is>
      </c>
      <c r="N21" s="10" t="inlineStr">
        <is>
          <t>上田</t>
        </is>
      </c>
      <c r="O21" s="10" t="inlineStr">
        <is>
          <t>市田</t>
        </is>
      </c>
      <c r="P21" s="10" t="inlineStr">
        <is>
          <t>内野</t>
        </is>
      </c>
      <c r="Q21" s="10" t="inlineStr">
        <is>
          <t>田中</t>
        </is>
      </c>
      <c r="R21" s="10" t="inlineStr">
        <is>
          <t>原</t>
        </is>
      </c>
      <c r="S21" s="10" t="inlineStr">
        <is>
          <t>欠員②</t>
        </is>
      </c>
      <c r="T21" s="10" t="inlineStr">
        <is>
          <t>横山</t>
        </is>
      </c>
      <c r="U21" s="10" t="inlineStr">
        <is>
          <t>植山</t>
        </is>
      </c>
      <c r="V21" s="10" t="inlineStr">
        <is>
          <t>中嶌</t>
        </is>
      </c>
      <c r="W21" s="10" t="inlineStr">
        <is>
          <t>欠員①</t>
        </is>
      </c>
      <c r="X21" s="10" t="inlineStr">
        <is>
          <t>谷川</t>
        </is>
      </c>
      <c r="Y21" s="10" t="inlineStr">
        <is>
          <t>佐野</t>
        </is>
      </c>
      <c r="Z21" s="10" t="inlineStr">
        <is>
          <t>栗下</t>
        </is>
      </c>
      <c r="AA21" s="10" t="inlineStr">
        <is>
          <t>横田</t>
        </is>
      </c>
      <c r="AB21" s="10" t="inlineStr">
        <is>
          <t>西村</t>
        </is>
      </c>
      <c r="AC21" s="10" t="inlineStr">
        <is>
          <t>安村</t>
        </is>
      </c>
      <c r="AD21" s="10" t="inlineStr">
        <is>
          <t>河野</t>
        </is>
      </c>
      <c r="AE21" s="10" t="inlineStr">
        <is>
          <t>山本高</t>
        </is>
      </c>
      <c r="AF21" s="10" t="inlineStr">
        <is>
          <t>尾川</t>
        </is>
      </c>
      <c r="AG21" s="10" t="inlineStr">
        <is>
          <t>岩田</t>
        </is>
      </c>
      <c r="AH21" s="10" t="inlineStr">
        <is>
          <t>大川内</t>
        </is>
      </c>
      <c r="AI21" s="10" t="inlineStr">
        <is>
          <t>岡本</t>
        </is>
      </c>
      <c r="AJ21" s="10" t="inlineStr">
        <is>
          <t>上野</t>
        </is>
      </c>
      <c r="AK21" s="10" t="inlineStr">
        <is>
          <t>中村</t>
        </is>
      </c>
      <c r="AL21" s="10" t="inlineStr">
        <is>
          <t>矢田</t>
        </is>
      </c>
      <c r="AM21" s="10" t="inlineStr">
        <is>
          <t>北川</t>
        </is>
      </c>
      <c r="AN21" s="10" t="inlineStr">
        <is>
          <t>藤原</t>
        </is>
      </c>
      <c r="AO21" s="10" t="inlineStr">
        <is>
          <t>丸田</t>
        </is>
      </c>
      <c r="AP21" s="10" t="inlineStr">
        <is>
          <t>野口</t>
        </is>
      </c>
    </row>
    <row r="22" ht="15" customHeight="1" s="37">
      <c r="A22" t="inlineStr">
        <is>
          <t>2026-05-25</t>
        </is>
      </c>
      <c r="B22" s="10" t="inlineStr">
        <is>
          <t>月</t>
        </is>
      </c>
      <c r="C22" s="10" t="inlineStr">
        <is>
          <t>平日</t>
        </is>
      </c>
      <c r="E22" s="10" t="inlineStr">
        <is>
          <t>欠員②</t>
        </is>
      </c>
      <c r="F22" s="10" t="inlineStr">
        <is>
          <t>山田久</t>
        </is>
      </c>
      <c r="G22" s="10" t="inlineStr">
        <is>
          <t>中嶌</t>
        </is>
      </c>
      <c r="H22" s="10" t="inlineStr">
        <is>
          <t>市田</t>
        </is>
      </c>
      <c r="I22" s="10" t="inlineStr">
        <is>
          <t>藤原</t>
        </is>
      </c>
      <c r="J22" s="10" t="inlineStr">
        <is>
          <t>欠員①</t>
        </is>
      </c>
      <c r="K22" s="10" t="inlineStr">
        <is>
          <t>尾川</t>
        </is>
      </c>
      <c r="L22" s="10" t="inlineStr">
        <is>
          <t>内野</t>
        </is>
      </c>
      <c r="M22" s="10" t="inlineStr">
        <is>
          <t>安村</t>
        </is>
      </c>
      <c r="N22" s="10" t="inlineStr">
        <is>
          <t>原</t>
        </is>
      </c>
      <c r="O22" s="10" t="inlineStr">
        <is>
          <t>谷川</t>
        </is>
      </c>
      <c r="P22" s="10" t="inlineStr">
        <is>
          <t>中村</t>
        </is>
      </c>
      <c r="Q22" s="10" t="inlineStr">
        <is>
          <t>井川</t>
        </is>
      </c>
      <c r="R22" s="10" t="inlineStr">
        <is>
          <t>横田</t>
        </is>
      </c>
      <c r="S22" s="10" t="inlineStr">
        <is>
          <t>矢田</t>
        </is>
      </c>
      <c r="T22" s="10" t="inlineStr">
        <is>
          <t>植山</t>
        </is>
      </c>
      <c r="U22" s="10" t="inlineStr">
        <is>
          <t>野口</t>
        </is>
      </c>
      <c r="V22" s="10" t="inlineStr">
        <is>
          <t>大川内</t>
        </is>
      </c>
      <c r="W22" s="10" t="inlineStr">
        <is>
          <t>山本高</t>
        </is>
      </c>
      <c r="X22" s="10" t="inlineStr">
        <is>
          <t>馬場</t>
        </is>
      </c>
      <c r="Y22" s="10" t="inlineStr">
        <is>
          <t>上野</t>
        </is>
      </c>
      <c r="Z22" s="10" t="inlineStr">
        <is>
          <t>西村</t>
        </is>
      </c>
      <c r="AA22" s="10" t="inlineStr">
        <is>
          <t>北川</t>
        </is>
      </c>
      <c r="AB22" s="10" t="inlineStr">
        <is>
          <t>山本幸</t>
        </is>
      </c>
      <c r="AC22" s="10" t="inlineStr">
        <is>
          <t>丸田</t>
        </is>
      </c>
      <c r="AD22" s="10" t="inlineStr">
        <is>
          <t>富島</t>
        </is>
      </c>
      <c r="AE22" s="10" t="inlineStr">
        <is>
          <t>山田真</t>
        </is>
      </c>
      <c r="AF22" s="10" t="inlineStr">
        <is>
          <t>門谷</t>
        </is>
      </c>
      <c r="AG22" s="10" t="inlineStr">
        <is>
          <t>上田</t>
        </is>
      </c>
      <c r="AH22" s="10" t="inlineStr">
        <is>
          <t>田中</t>
        </is>
      </c>
      <c r="AI22" s="10" t="inlineStr">
        <is>
          <t>横山</t>
        </is>
      </c>
      <c r="AJ22" s="10" t="inlineStr">
        <is>
          <t>柴田</t>
        </is>
      </c>
      <c r="AK22" s="10" t="inlineStr">
        <is>
          <t>岡本</t>
        </is>
      </c>
      <c r="AL22" s="10" t="inlineStr">
        <is>
          <t>佐野</t>
        </is>
      </c>
      <c r="AM22" s="10" t="inlineStr">
        <is>
          <t>河野</t>
        </is>
      </c>
      <c r="AN22" s="10" t="inlineStr">
        <is>
          <t>岩田</t>
        </is>
      </c>
      <c r="AO22" s="10" t="inlineStr">
        <is>
          <t>中山</t>
        </is>
      </c>
      <c r="AP22" s="10" t="inlineStr">
        <is>
          <t>栗下</t>
        </is>
      </c>
    </row>
    <row r="23" ht="15" customHeight="1" s="37">
      <c r="A23" t="inlineStr">
        <is>
          <t>2026-05-26</t>
        </is>
      </c>
      <c r="B23" s="10" t="inlineStr">
        <is>
          <t>火</t>
        </is>
      </c>
      <c r="C23" s="10" t="inlineStr">
        <is>
          <t>平日</t>
        </is>
      </c>
      <c r="E23" s="10" t="inlineStr">
        <is>
          <t>矢田</t>
        </is>
      </c>
      <c r="F23" s="10" t="inlineStr">
        <is>
          <t>安村</t>
        </is>
      </c>
      <c r="G23" s="10" t="inlineStr">
        <is>
          <t>大川内</t>
        </is>
      </c>
      <c r="H23" s="10" t="inlineStr">
        <is>
          <t>谷川</t>
        </is>
      </c>
      <c r="I23" s="10" t="inlineStr">
        <is>
          <t>岩田</t>
        </is>
      </c>
      <c r="J23" s="10" t="inlineStr">
        <is>
          <t>山本高</t>
        </is>
      </c>
      <c r="K23" s="10" t="inlineStr">
        <is>
          <t>門谷</t>
        </is>
      </c>
      <c r="L23" s="10" t="inlineStr">
        <is>
          <t>中村</t>
        </is>
      </c>
      <c r="M23" s="10" t="inlineStr">
        <is>
          <t>丸田</t>
        </is>
      </c>
      <c r="N23" s="10" t="inlineStr">
        <is>
          <t>横田</t>
        </is>
      </c>
      <c r="O23" s="10" t="inlineStr">
        <is>
          <t>馬場</t>
        </is>
      </c>
      <c r="P23" s="10" t="inlineStr">
        <is>
          <t>岡本</t>
        </is>
      </c>
      <c r="Q23" s="10" t="inlineStr">
        <is>
          <t>内野</t>
        </is>
      </c>
      <c r="R23" s="10" t="inlineStr">
        <is>
          <t>北川</t>
        </is>
      </c>
      <c r="S23" s="10" t="inlineStr">
        <is>
          <t>佐野</t>
        </is>
      </c>
      <c r="T23" s="10" t="inlineStr">
        <is>
          <t>野口</t>
        </is>
      </c>
      <c r="U23" s="10" t="inlineStr">
        <is>
          <t>栗下</t>
        </is>
      </c>
      <c r="V23" s="10" t="inlineStr">
        <is>
          <t>田中</t>
        </is>
      </c>
      <c r="W23" s="10" t="inlineStr">
        <is>
          <t>山田真</t>
        </is>
      </c>
      <c r="X23" s="10" t="inlineStr">
        <is>
          <t>尾川</t>
        </is>
      </c>
      <c r="Y23" s="10" t="inlineStr">
        <is>
          <t>柴田</t>
        </is>
      </c>
      <c r="Z23" s="10" t="inlineStr">
        <is>
          <t>山本幸</t>
        </is>
      </c>
      <c r="AA23" s="10" t="inlineStr">
        <is>
          <t>河野</t>
        </is>
      </c>
      <c r="AB23" s="10" t="inlineStr">
        <is>
          <t>欠員①</t>
        </is>
      </c>
      <c r="AC23" s="10" t="inlineStr">
        <is>
          <t>中山</t>
        </is>
      </c>
      <c r="AD23" s="10" t="inlineStr">
        <is>
          <t>中嶌</t>
        </is>
      </c>
      <c r="AE23" s="10" t="inlineStr">
        <is>
          <t>市田</t>
        </is>
      </c>
      <c r="AF23" s="10" t="inlineStr">
        <is>
          <t>山田久</t>
        </is>
      </c>
      <c r="AG23" s="10" t="inlineStr">
        <is>
          <t>原</t>
        </is>
      </c>
      <c r="AH23" s="10" t="inlineStr">
        <is>
          <t>井川</t>
        </is>
      </c>
      <c r="AI23" s="10" t="inlineStr">
        <is>
          <t>植山</t>
        </is>
      </c>
      <c r="AJ23" s="10" t="inlineStr">
        <is>
          <t>藤原</t>
        </is>
      </c>
      <c r="AK23" s="10" t="inlineStr">
        <is>
          <t>横山</t>
        </is>
      </c>
      <c r="AL23" s="10" t="inlineStr">
        <is>
          <t>上野</t>
        </is>
      </c>
      <c r="AM23" s="10" t="inlineStr">
        <is>
          <t>富島</t>
        </is>
      </c>
      <c r="AN23" s="10" t="inlineStr">
        <is>
          <t>上田</t>
        </is>
      </c>
      <c r="AO23" s="10" t="inlineStr">
        <is>
          <t>欠員②</t>
        </is>
      </c>
      <c r="AP23" s="10" t="inlineStr">
        <is>
          <t>西村</t>
        </is>
      </c>
    </row>
    <row r="24" ht="15" customHeight="1" s="37">
      <c r="A24" t="inlineStr">
        <is>
          <t>2026-05-27</t>
        </is>
      </c>
      <c r="B24" s="10" t="inlineStr">
        <is>
          <t>水</t>
        </is>
      </c>
      <c r="C24" s="10" t="inlineStr">
        <is>
          <t>平日</t>
        </is>
      </c>
      <c r="E24" s="10" t="inlineStr">
        <is>
          <t>佐野</t>
        </is>
      </c>
      <c r="F24" s="10" t="inlineStr">
        <is>
          <t>丸田</t>
        </is>
      </c>
      <c r="G24" s="10" t="inlineStr">
        <is>
          <t>田中</t>
        </is>
      </c>
      <c r="H24" s="10" t="inlineStr">
        <is>
          <t>馬場</t>
        </is>
      </c>
      <c r="I24" s="10" t="inlineStr">
        <is>
          <t>上田</t>
        </is>
      </c>
      <c r="J24" s="10" t="inlineStr">
        <is>
          <t>山田真</t>
        </is>
      </c>
      <c r="K24" s="10" t="inlineStr">
        <is>
          <t>山田久</t>
        </is>
      </c>
      <c r="L24" s="10" t="inlineStr">
        <is>
          <t>岡本</t>
        </is>
      </c>
      <c r="M24" s="10" t="inlineStr">
        <is>
          <t>中山</t>
        </is>
      </c>
      <c r="N24" s="10" t="inlineStr">
        <is>
          <t>北川</t>
        </is>
      </c>
      <c r="O24" s="10" t="inlineStr">
        <is>
          <t>尾川</t>
        </is>
      </c>
      <c r="P24" s="10" t="inlineStr">
        <is>
          <t>横山</t>
        </is>
      </c>
      <c r="Q24" s="10" t="inlineStr">
        <is>
          <t>中村</t>
        </is>
      </c>
      <c r="R24" s="10" t="inlineStr">
        <is>
          <t>河野</t>
        </is>
      </c>
      <c r="S24" s="10" t="inlineStr">
        <is>
          <t>上野</t>
        </is>
      </c>
      <c r="T24" s="10" t="inlineStr">
        <is>
          <t>栗下</t>
        </is>
      </c>
      <c r="U24" s="10" t="inlineStr">
        <is>
          <t>西村</t>
        </is>
      </c>
      <c r="V24" s="10" t="inlineStr">
        <is>
          <t>井川</t>
        </is>
      </c>
      <c r="W24" s="10" t="inlineStr">
        <is>
          <t>市田</t>
        </is>
      </c>
      <c r="X24" s="10" t="inlineStr">
        <is>
          <t>門谷</t>
        </is>
      </c>
      <c r="Y24" s="10" t="inlineStr">
        <is>
          <t>藤原</t>
        </is>
      </c>
      <c r="Z24" s="10" t="inlineStr">
        <is>
          <t>欠員①</t>
        </is>
      </c>
      <c r="AA24" s="10" t="inlineStr">
        <is>
          <t>富島</t>
        </is>
      </c>
      <c r="AB24" s="10" t="inlineStr">
        <is>
          <t>山本高</t>
        </is>
      </c>
      <c r="AC24" s="10" t="inlineStr">
        <is>
          <t>欠員②</t>
        </is>
      </c>
      <c r="AD24" s="10" t="inlineStr">
        <is>
          <t>大川内</t>
        </is>
      </c>
      <c r="AE24" s="10" t="inlineStr">
        <is>
          <t>谷川</t>
        </is>
      </c>
      <c r="AF24" s="10" t="inlineStr">
        <is>
          <t>安村</t>
        </is>
      </c>
      <c r="AG24" s="10" t="inlineStr">
        <is>
          <t>横田</t>
        </is>
      </c>
      <c r="AH24" s="10" t="inlineStr">
        <is>
          <t>内野</t>
        </is>
      </c>
      <c r="AI24" s="10" t="inlineStr">
        <is>
          <t>野口</t>
        </is>
      </c>
      <c r="AJ24" s="10" t="inlineStr">
        <is>
          <t>岩田</t>
        </is>
      </c>
      <c r="AK24" s="10" t="inlineStr">
        <is>
          <t>植山</t>
        </is>
      </c>
      <c r="AL24" s="10" t="inlineStr">
        <is>
          <t>柴田</t>
        </is>
      </c>
      <c r="AM24" s="10" t="inlineStr">
        <is>
          <t>中嶌</t>
        </is>
      </c>
      <c r="AN24" s="10" t="inlineStr">
        <is>
          <t>原</t>
        </is>
      </c>
      <c r="AO24" s="10" t="inlineStr">
        <is>
          <t>矢田</t>
        </is>
      </c>
      <c r="AP24" s="10" t="inlineStr">
        <is>
          <t>山本幸</t>
        </is>
      </c>
    </row>
    <row r="25" ht="15" customHeight="1" s="37">
      <c r="A25" t="inlineStr">
        <is>
          <t>2026-05-28</t>
        </is>
      </c>
      <c r="B25" s="10" t="inlineStr">
        <is>
          <t>木</t>
        </is>
      </c>
      <c r="C25" s="10" t="inlineStr">
        <is>
          <t>平日</t>
        </is>
      </c>
      <c r="E25" s="10" t="inlineStr">
        <is>
          <t>上野</t>
        </is>
      </c>
      <c r="F25" s="10" t="inlineStr">
        <is>
          <t>中山</t>
        </is>
      </c>
      <c r="G25" s="10" t="inlineStr">
        <is>
          <t>井川</t>
        </is>
      </c>
      <c r="H25" s="10" t="inlineStr">
        <is>
          <t>尾川</t>
        </is>
      </c>
      <c r="I25" s="10" t="inlineStr">
        <is>
          <t>原</t>
        </is>
      </c>
      <c r="J25" s="10" t="inlineStr">
        <is>
          <t>市田</t>
        </is>
      </c>
      <c r="K25" s="10" t="inlineStr">
        <is>
          <t>安村</t>
        </is>
      </c>
      <c r="L25" s="10" t="inlineStr">
        <is>
          <t>横山</t>
        </is>
      </c>
      <c r="M25" s="10" t="inlineStr">
        <is>
          <t>欠員②</t>
        </is>
      </c>
      <c r="N25" s="10" t="inlineStr">
        <is>
          <t>河野</t>
        </is>
      </c>
      <c r="O25" s="10" t="inlineStr">
        <is>
          <t>門谷</t>
        </is>
      </c>
      <c r="P25" s="10" t="inlineStr">
        <is>
          <t>植山</t>
        </is>
      </c>
      <c r="Q25" s="10" t="inlineStr">
        <is>
          <t>岡本</t>
        </is>
      </c>
      <c r="R25" s="10" t="inlineStr">
        <is>
          <t>富島</t>
        </is>
      </c>
      <c r="S25" s="10" t="inlineStr">
        <is>
          <t>柴田</t>
        </is>
      </c>
      <c r="T25" s="10" t="inlineStr">
        <is>
          <t>西村</t>
        </is>
      </c>
      <c r="U25" s="10" t="inlineStr">
        <is>
          <t>山本幸</t>
        </is>
      </c>
      <c r="V25" s="10" t="inlineStr">
        <is>
          <t>内野</t>
        </is>
      </c>
      <c r="W25" s="10" t="inlineStr">
        <is>
          <t>谷川</t>
        </is>
      </c>
      <c r="X25" s="10" t="inlineStr">
        <is>
          <t>山田久</t>
        </is>
      </c>
      <c r="Y25" s="10" t="inlineStr">
        <is>
          <t>岩田</t>
        </is>
      </c>
      <c r="Z25" s="10" t="inlineStr">
        <is>
          <t>山本高</t>
        </is>
      </c>
      <c r="AA25" s="10" t="inlineStr">
        <is>
          <t>中嶌</t>
        </is>
      </c>
      <c r="AB25" s="10" t="inlineStr">
        <is>
          <t>山田真</t>
        </is>
      </c>
      <c r="AC25" s="10" t="inlineStr">
        <is>
          <t>矢田</t>
        </is>
      </c>
      <c r="AD25" s="10" t="inlineStr">
        <is>
          <t>田中</t>
        </is>
      </c>
      <c r="AE25" s="10" t="inlineStr">
        <is>
          <t>馬場</t>
        </is>
      </c>
      <c r="AF25" s="10" t="inlineStr">
        <is>
          <t>丸田</t>
        </is>
      </c>
      <c r="AG25" s="10" t="inlineStr">
        <is>
          <t>北川</t>
        </is>
      </c>
      <c r="AH25" s="10" t="inlineStr">
        <is>
          <t>中村</t>
        </is>
      </c>
      <c r="AI25" s="10" t="inlineStr">
        <is>
          <t>栗下</t>
        </is>
      </c>
      <c r="AJ25" s="10" t="inlineStr">
        <is>
          <t>上田</t>
        </is>
      </c>
      <c r="AK25" s="10" t="inlineStr">
        <is>
          <t>野口</t>
        </is>
      </c>
      <c r="AL25" s="10" t="inlineStr">
        <is>
          <t>藤原</t>
        </is>
      </c>
      <c r="AM25" s="10" t="inlineStr">
        <is>
          <t>大川内</t>
        </is>
      </c>
      <c r="AN25" s="10" t="inlineStr">
        <is>
          <t>横田</t>
        </is>
      </c>
      <c r="AO25" s="10" t="inlineStr">
        <is>
          <t>佐野</t>
        </is>
      </c>
      <c r="AP25" s="10" t="inlineStr">
        <is>
          <t>欠員①</t>
        </is>
      </c>
    </row>
    <row r="26" ht="15" customHeight="1" s="37">
      <c r="A26" t="inlineStr">
        <is>
          <t>2026-05-29</t>
        </is>
      </c>
      <c r="B26" s="10" t="inlineStr">
        <is>
          <t>金</t>
        </is>
      </c>
      <c r="C26" s="10" t="inlineStr">
        <is>
          <t>平日</t>
        </is>
      </c>
      <c r="E26" s="10" t="inlineStr">
        <is>
          <t>柴田</t>
        </is>
      </c>
      <c r="F26" s="10" t="inlineStr">
        <is>
          <t>欠員②</t>
        </is>
      </c>
      <c r="G26" s="10" t="inlineStr">
        <is>
          <t>内野</t>
        </is>
      </c>
      <c r="H26" s="10" t="inlineStr">
        <is>
          <t>門谷</t>
        </is>
      </c>
      <c r="I26" s="10" t="inlineStr">
        <is>
          <t>横田</t>
        </is>
      </c>
      <c r="J26" s="10" t="inlineStr">
        <is>
          <t>谷川</t>
        </is>
      </c>
      <c r="K26" s="10" t="inlineStr">
        <is>
          <t>丸田</t>
        </is>
      </c>
      <c r="L26" s="10" t="inlineStr">
        <is>
          <t>植山</t>
        </is>
      </c>
      <c r="M26" s="10" t="inlineStr">
        <is>
          <t>矢田</t>
        </is>
      </c>
      <c r="N26" s="10" t="inlineStr">
        <is>
          <t>富島</t>
        </is>
      </c>
      <c r="O26" s="10" t="inlineStr">
        <is>
          <t>山田久</t>
        </is>
      </c>
      <c r="P26" s="10" t="inlineStr">
        <is>
          <t>野口</t>
        </is>
      </c>
      <c r="Q26" s="10" t="inlineStr">
        <is>
          <t>横山</t>
        </is>
      </c>
      <c r="R26" s="10" t="inlineStr">
        <is>
          <t>中嶌</t>
        </is>
      </c>
      <c r="S26" s="10" t="inlineStr">
        <is>
          <t>藤原</t>
        </is>
      </c>
      <c r="T26" s="10" t="inlineStr">
        <is>
          <t>山本幸</t>
        </is>
      </c>
      <c r="U26" s="10" t="inlineStr">
        <is>
          <t>欠員①</t>
        </is>
      </c>
      <c r="V26" s="10" t="inlineStr">
        <is>
          <t>中村</t>
        </is>
      </c>
      <c r="W26" s="10" t="inlineStr">
        <is>
          <t>馬場</t>
        </is>
      </c>
      <c r="X26" s="10" t="inlineStr">
        <is>
          <t>安村</t>
        </is>
      </c>
      <c r="Y26" s="10" t="inlineStr">
        <is>
          <t>上田</t>
        </is>
      </c>
      <c r="Z26" s="10" t="inlineStr">
        <is>
          <t>山田真</t>
        </is>
      </c>
      <c r="AA26" s="10" t="inlineStr">
        <is>
          <t>大川内</t>
        </is>
      </c>
      <c r="AB26" s="10" t="inlineStr">
        <is>
          <t>市田</t>
        </is>
      </c>
      <c r="AC26" s="10" t="inlineStr">
        <is>
          <t>佐野</t>
        </is>
      </c>
      <c r="AD26" s="10" t="inlineStr">
        <is>
          <t>井川</t>
        </is>
      </c>
      <c r="AE26" s="10" t="inlineStr">
        <is>
          <t>尾川</t>
        </is>
      </c>
      <c r="AF26" s="10" t="inlineStr">
        <is>
          <t>中山</t>
        </is>
      </c>
      <c r="AG26" s="10" t="inlineStr">
        <is>
          <t>河野</t>
        </is>
      </c>
      <c r="AH26" s="10" t="inlineStr">
        <is>
          <t>岡本</t>
        </is>
      </c>
      <c r="AI26" s="10" t="inlineStr">
        <is>
          <t>西村</t>
        </is>
      </c>
      <c r="AJ26" s="10" t="inlineStr">
        <is>
          <t>原</t>
        </is>
      </c>
      <c r="AK26" s="10" t="inlineStr">
        <is>
          <t>栗下</t>
        </is>
      </c>
      <c r="AL26" s="10" t="inlineStr">
        <is>
          <t>岩田</t>
        </is>
      </c>
      <c r="AM26" s="10" t="inlineStr">
        <is>
          <t>田中</t>
        </is>
      </c>
      <c r="AN26" s="10" t="inlineStr">
        <is>
          <t>北川</t>
        </is>
      </c>
      <c r="AO26" s="10" t="inlineStr">
        <is>
          <t>上野</t>
        </is>
      </c>
      <c r="AP26" s="10" t="inlineStr">
        <is>
          <t>山本高</t>
        </is>
      </c>
    </row>
    <row r="27" ht="15" customHeight="1" s="37">
      <c r="A27" t="inlineStr">
        <is>
          <t>2026-05-30</t>
        </is>
      </c>
      <c r="B27" s="10" t="inlineStr">
        <is>
          <t>土</t>
        </is>
      </c>
      <c r="C27" s="10" t="inlineStr">
        <is>
          <t>休日</t>
        </is>
      </c>
      <c r="E27" s="10" t="inlineStr">
        <is>
          <t>藤原</t>
        </is>
      </c>
      <c r="F27" s="10" t="inlineStr">
        <is>
          <t>矢田</t>
        </is>
      </c>
      <c r="G27" s="10" t="inlineStr">
        <is>
          <t>中村</t>
        </is>
      </c>
      <c r="H27" s="10" t="inlineStr">
        <is>
          <t>山田久</t>
        </is>
      </c>
      <c r="I27" s="10" t="inlineStr">
        <is>
          <t>北川</t>
        </is>
      </c>
      <c r="J27" s="10" t="inlineStr">
        <is>
          <t>馬場</t>
        </is>
      </c>
      <c r="K27" s="10" t="inlineStr">
        <is>
          <t>中山</t>
        </is>
      </c>
      <c r="L27" s="10" t="inlineStr">
        <is>
          <t>野口</t>
        </is>
      </c>
      <c r="M27" s="10" t="inlineStr">
        <is>
          <t>佐野</t>
        </is>
      </c>
      <c r="N27" s="10" t="inlineStr">
        <is>
          <t>中嶌</t>
        </is>
      </c>
      <c r="O27" s="10" t="inlineStr">
        <is>
          <t>安村</t>
        </is>
      </c>
      <c r="P27" s="10" t="inlineStr">
        <is>
          <t>栗下</t>
        </is>
      </c>
      <c r="Q27" s="10" t="inlineStr">
        <is>
          <t>植山</t>
        </is>
      </c>
      <c r="R27" s="10" t="inlineStr">
        <is>
          <t>大川内</t>
        </is>
      </c>
      <c r="S27" s="10" t="inlineStr">
        <is>
          <t>岩田</t>
        </is>
      </c>
      <c r="T27" s="10" t="inlineStr">
        <is>
          <t>欠員①</t>
        </is>
      </c>
      <c r="U27" s="10" t="inlineStr">
        <is>
          <t>山本高</t>
        </is>
      </c>
      <c r="V27" s="10" t="inlineStr">
        <is>
          <t>岡本</t>
        </is>
      </c>
      <c r="W27" s="10" t="inlineStr">
        <is>
          <t>尾川</t>
        </is>
      </c>
      <c r="X27" s="10" t="inlineStr">
        <is>
          <t>丸田</t>
        </is>
      </c>
      <c r="Y27" s="10" t="inlineStr">
        <is>
          <t>原</t>
        </is>
      </c>
      <c r="Z27" s="10" t="inlineStr">
        <is>
          <t>市田</t>
        </is>
      </c>
      <c r="AA27" s="10" t="inlineStr">
        <is>
          <t>田中</t>
        </is>
      </c>
      <c r="AB27" s="10" t="inlineStr">
        <is>
          <t>谷川</t>
        </is>
      </c>
      <c r="AC27" s="10" t="inlineStr">
        <is>
          <t>上野</t>
        </is>
      </c>
      <c r="AD27" s="10" t="inlineStr">
        <is>
          <t>内野</t>
        </is>
      </c>
      <c r="AE27" s="10" t="inlineStr">
        <is>
          <t>門谷</t>
        </is>
      </c>
      <c r="AF27" s="10" t="inlineStr">
        <is>
          <t>欠員②</t>
        </is>
      </c>
      <c r="AG27" s="10" t="inlineStr">
        <is>
          <t>富島</t>
        </is>
      </c>
      <c r="AH27" s="10" t="inlineStr">
        <is>
          <t>横山</t>
        </is>
      </c>
      <c r="AI27" s="10" t="inlineStr">
        <is>
          <t>山本幸</t>
        </is>
      </c>
      <c r="AJ27" s="10" t="inlineStr">
        <is>
          <t>横田</t>
        </is>
      </c>
      <c r="AK27" s="10" t="inlineStr">
        <is>
          <t>西村</t>
        </is>
      </c>
      <c r="AL27" s="10" t="inlineStr">
        <is>
          <t>上田</t>
        </is>
      </c>
      <c r="AM27" s="10" t="inlineStr">
        <is>
          <t>井川</t>
        </is>
      </c>
      <c r="AN27" s="10" t="inlineStr">
        <is>
          <t>河野</t>
        </is>
      </c>
      <c r="AO27" s="10" t="inlineStr">
        <is>
          <t>柴田</t>
        </is>
      </c>
      <c r="AP27" s="10" t="inlineStr">
        <is>
          <t>山田真</t>
        </is>
      </c>
    </row>
    <row r="28" ht="15" customHeight="1" s="37">
      <c r="A28" t="inlineStr">
        <is>
          <t>2026-05-31</t>
        </is>
      </c>
      <c r="B28" s="10" t="inlineStr">
        <is>
          <t>日</t>
        </is>
      </c>
      <c r="C28" s="10" t="inlineStr">
        <is>
          <t>休日</t>
        </is>
      </c>
      <c r="E28" s="10" t="inlineStr">
        <is>
          <t>岩田</t>
        </is>
      </c>
      <c r="F28" s="10" t="inlineStr">
        <is>
          <t>佐野</t>
        </is>
      </c>
      <c r="G28" s="10" t="inlineStr">
        <is>
          <t>岡本</t>
        </is>
      </c>
      <c r="H28" s="10" t="inlineStr">
        <is>
          <t>安村</t>
        </is>
      </c>
      <c r="I28" s="10" t="inlineStr">
        <is>
          <t>河野</t>
        </is>
      </c>
      <c r="J28" s="10" t="inlineStr">
        <is>
          <t>尾川</t>
        </is>
      </c>
      <c r="K28" s="10" t="inlineStr">
        <is>
          <t>欠員②</t>
        </is>
      </c>
      <c r="L28" s="10" t="inlineStr">
        <is>
          <t>栗下</t>
        </is>
      </c>
      <c r="M28" s="10" t="inlineStr">
        <is>
          <t>上野</t>
        </is>
      </c>
      <c r="N28" s="10" t="inlineStr">
        <is>
          <t>大川内</t>
        </is>
      </c>
      <c r="O28" s="10" t="inlineStr">
        <is>
          <t>丸田</t>
        </is>
      </c>
      <c r="P28" s="10" t="inlineStr">
        <is>
          <t>西村</t>
        </is>
      </c>
      <c r="Q28" s="10" t="inlineStr">
        <is>
          <t>野口</t>
        </is>
      </c>
      <c r="R28" s="10" t="inlineStr">
        <is>
          <t>田中</t>
        </is>
      </c>
      <c r="S28" s="10" t="inlineStr">
        <is>
          <t>上田</t>
        </is>
      </c>
      <c r="T28" s="10" t="inlineStr">
        <is>
          <t>山本高</t>
        </is>
      </c>
      <c r="U28" s="10" t="inlineStr">
        <is>
          <t>山田真</t>
        </is>
      </c>
      <c r="V28" s="10" t="inlineStr">
        <is>
          <t>横山</t>
        </is>
      </c>
      <c r="W28" s="10" t="inlineStr">
        <is>
          <t>門谷</t>
        </is>
      </c>
      <c r="X28" s="10" t="inlineStr">
        <is>
          <t>中山</t>
        </is>
      </c>
      <c r="Y28" s="10" t="inlineStr">
        <is>
          <t>横田</t>
        </is>
      </c>
      <c r="Z28" s="10" t="inlineStr">
        <is>
          <t>谷川</t>
        </is>
      </c>
      <c r="AA28" s="10" t="inlineStr">
        <is>
          <t>井川</t>
        </is>
      </c>
      <c r="AB28" s="10" t="inlineStr">
        <is>
          <t>馬場</t>
        </is>
      </c>
      <c r="AC28" s="10" t="inlineStr">
        <is>
          <t>柴田</t>
        </is>
      </c>
      <c r="AD28" s="10" t="inlineStr">
        <is>
          <t>中村</t>
        </is>
      </c>
      <c r="AE28" s="10" t="inlineStr">
        <is>
          <t>山田久</t>
        </is>
      </c>
      <c r="AF28" s="10" t="inlineStr">
        <is>
          <t>矢田</t>
        </is>
      </c>
      <c r="AG28" s="10" t="inlineStr">
        <is>
          <t>中嶌</t>
        </is>
      </c>
      <c r="AH28" s="10" t="inlineStr">
        <is>
          <t>植山</t>
        </is>
      </c>
      <c r="AI28" s="10" t="inlineStr">
        <is>
          <t>欠員①</t>
        </is>
      </c>
      <c r="AJ28" s="10" t="inlineStr">
        <is>
          <t>北川</t>
        </is>
      </c>
      <c r="AK28" s="10" t="inlineStr">
        <is>
          <t>山本幸</t>
        </is>
      </c>
      <c r="AL28" s="10" t="inlineStr">
        <is>
          <t>原</t>
        </is>
      </c>
      <c r="AM28" s="10" t="inlineStr">
        <is>
          <t>内野</t>
        </is>
      </c>
      <c r="AN28" s="10" t="inlineStr">
        <is>
          <t>富島</t>
        </is>
      </c>
      <c r="AO28" s="10" t="inlineStr">
        <is>
          <t>藤原</t>
        </is>
      </c>
      <c r="AP28" s="10" t="inlineStr">
        <is>
          <t>市田</t>
        </is>
      </c>
    </row>
    <row r="29" ht="15" customHeight="1" s="37">
      <c r="A29" t="inlineStr">
        <is>
          <t>2026-06-01</t>
        </is>
      </c>
      <c r="B29" s="10" t="inlineStr">
        <is>
          <t>月</t>
        </is>
      </c>
      <c r="C29" s="10" t="inlineStr">
        <is>
          <t>平日</t>
        </is>
      </c>
      <c r="E29" s="10" t="inlineStr">
        <is>
          <t>上田</t>
        </is>
      </c>
      <c r="F29" s="10" t="inlineStr">
        <is>
          <t>上野</t>
        </is>
      </c>
      <c r="G29" s="10" t="inlineStr">
        <is>
          <t>横山</t>
        </is>
      </c>
      <c r="H29" s="10" t="inlineStr">
        <is>
          <t>丸田</t>
        </is>
      </c>
      <c r="I29" s="10" t="inlineStr">
        <is>
          <t>富島</t>
        </is>
      </c>
      <c r="J29" s="10" t="inlineStr">
        <is>
          <t>門谷</t>
        </is>
      </c>
      <c r="K29" s="10" t="inlineStr">
        <is>
          <t>矢田</t>
        </is>
      </c>
      <c r="L29" s="10" t="inlineStr">
        <is>
          <t>西村</t>
        </is>
      </c>
      <c r="M29" s="10" t="inlineStr">
        <is>
          <t>柴田</t>
        </is>
      </c>
      <c r="N29" s="10" t="inlineStr">
        <is>
          <t>田中</t>
        </is>
      </c>
      <c r="O29" s="10" t="inlineStr">
        <is>
          <t>中山</t>
        </is>
      </c>
      <c r="P29" s="10" t="inlineStr">
        <is>
          <t>山本幸</t>
        </is>
      </c>
      <c r="Q29" s="10" t="inlineStr">
        <is>
          <t>栗下</t>
        </is>
      </c>
      <c r="R29" s="10" t="inlineStr">
        <is>
          <t>井川</t>
        </is>
      </c>
      <c r="S29" s="10" t="inlineStr">
        <is>
          <t>原</t>
        </is>
      </c>
      <c r="T29" s="10" t="inlineStr">
        <is>
          <t>山田真</t>
        </is>
      </c>
      <c r="U29" s="10" t="inlineStr">
        <is>
          <t>市田</t>
        </is>
      </c>
      <c r="V29" s="10" t="inlineStr">
        <is>
          <t>植山</t>
        </is>
      </c>
      <c r="W29" s="10" t="inlineStr">
        <is>
          <t>山田久</t>
        </is>
      </c>
      <c r="X29" s="10" t="inlineStr">
        <is>
          <t>欠員②</t>
        </is>
      </c>
      <c r="Y29" s="10" t="inlineStr">
        <is>
          <t>北川</t>
        </is>
      </c>
      <c r="Z29" s="10" t="inlineStr">
        <is>
          <t>馬場</t>
        </is>
      </c>
      <c r="AA29" s="10" t="inlineStr">
        <is>
          <t>内野</t>
        </is>
      </c>
      <c r="AB29" s="10" t="inlineStr">
        <is>
          <t>尾川</t>
        </is>
      </c>
      <c r="AC29" s="10" t="inlineStr">
        <is>
          <t>藤原</t>
        </is>
      </c>
      <c r="AD29" s="10" t="inlineStr">
        <is>
          <t>岡本</t>
        </is>
      </c>
      <c r="AE29" s="10" t="inlineStr">
        <is>
          <t>安村</t>
        </is>
      </c>
      <c r="AF29" s="10" t="inlineStr">
        <is>
          <t>佐野</t>
        </is>
      </c>
      <c r="AG29" s="10" t="inlineStr">
        <is>
          <t>大川内</t>
        </is>
      </c>
      <c r="AH29" s="10" t="inlineStr">
        <is>
          <t>野口</t>
        </is>
      </c>
      <c r="AI29" s="10" t="inlineStr">
        <is>
          <t>山本高</t>
        </is>
      </c>
      <c r="AJ29" s="10" t="inlineStr">
        <is>
          <t>河野</t>
        </is>
      </c>
      <c r="AK29" s="10" t="inlineStr">
        <is>
          <t>欠員①</t>
        </is>
      </c>
      <c r="AL29" s="10" t="inlineStr">
        <is>
          <t>横田</t>
        </is>
      </c>
      <c r="AM29" s="10" t="inlineStr">
        <is>
          <t>中村</t>
        </is>
      </c>
      <c r="AN29" s="10" t="inlineStr">
        <is>
          <t>中嶌</t>
        </is>
      </c>
      <c r="AO29" s="10" t="inlineStr">
        <is>
          <t>岩田</t>
        </is>
      </c>
      <c r="AP29" s="10" t="inlineStr">
        <is>
          <t>谷川</t>
        </is>
      </c>
    </row>
    <row r="30" ht="15" customHeight="1" s="37">
      <c r="A30" t="inlineStr">
        <is>
          <t>2026-06-02</t>
        </is>
      </c>
      <c r="B30" s="10" t="inlineStr">
        <is>
          <t>火</t>
        </is>
      </c>
      <c r="C30" s="10" t="inlineStr">
        <is>
          <t>平日</t>
        </is>
      </c>
      <c r="E30" s="10" t="inlineStr">
        <is>
          <t>原</t>
        </is>
      </c>
      <c r="F30" s="10" t="inlineStr">
        <is>
          <t>柴田</t>
        </is>
      </c>
      <c r="G30" s="10" t="inlineStr">
        <is>
          <t>植山</t>
        </is>
      </c>
      <c r="H30" s="10" t="inlineStr">
        <is>
          <t>中山</t>
        </is>
      </c>
      <c r="I30" s="10" t="inlineStr">
        <is>
          <t>中嶌</t>
        </is>
      </c>
      <c r="J30" s="10" t="inlineStr">
        <is>
          <t>山田久</t>
        </is>
      </c>
      <c r="K30" s="10" t="inlineStr">
        <is>
          <t>佐野</t>
        </is>
      </c>
      <c r="L30" s="10" t="inlineStr">
        <is>
          <t>山本幸</t>
        </is>
      </c>
      <c r="M30" s="10" t="inlineStr">
        <is>
          <t>藤原</t>
        </is>
      </c>
      <c r="N30" s="10" t="inlineStr">
        <is>
          <t>井川</t>
        </is>
      </c>
      <c r="O30" s="10" t="inlineStr">
        <is>
          <t>欠員②</t>
        </is>
      </c>
      <c r="P30" s="10" t="inlineStr">
        <is>
          <t>欠員①</t>
        </is>
      </c>
      <c r="Q30" s="10" t="inlineStr">
        <is>
          <t>西村</t>
        </is>
      </c>
      <c r="R30" s="10" t="inlineStr">
        <is>
          <t>内野</t>
        </is>
      </c>
      <c r="S30" s="10" t="inlineStr">
        <is>
          <t>横田</t>
        </is>
      </c>
      <c r="T30" s="10" t="inlineStr">
        <is>
          <t>市田</t>
        </is>
      </c>
      <c r="U30" s="10" t="inlineStr">
        <is>
          <t>谷川</t>
        </is>
      </c>
      <c r="V30" s="10" t="inlineStr">
        <is>
          <t>野口</t>
        </is>
      </c>
      <c r="W30" s="10" t="inlineStr">
        <is>
          <t>安村</t>
        </is>
      </c>
      <c r="X30" s="10" t="inlineStr">
        <is>
          <t>矢田</t>
        </is>
      </c>
      <c r="Y30" s="10" t="inlineStr">
        <is>
          <t>河野</t>
        </is>
      </c>
      <c r="Z30" s="10" t="inlineStr">
        <is>
          <t>尾川</t>
        </is>
      </c>
      <c r="AA30" s="10" t="inlineStr">
        <is>
          <t>中村</t>
        </is>
      </c>
      <c r="AB30" s="10" t="inlineStr">
        <is>
          <t>門谷</t>
        </is>
      </c>
      <c r="AC30" s="10" t="inlineStr">
        <is>
          <t>岩田</t>
        </is>
      </c>
      <c r="AD30" s="10" t="inlineStr">
        <is>
          <t>横山</t>
        </is>
      </c>
      <c r="AE30" s="10" t="inlineStr">
        <is>
          <t>丸田</t>
        </is>
      </c>
      <c r="AF30" s="10" t="inlineStr">
        <is>
          <t>上野</t>
        </is>
      </c>
      <c r="AG30" s="10" t="inlineStr">
        <is>
          <t>田中</t>
        </is>
      </c>
      <c r="AH30" s="10" t="inlineStr">
        <is>
          <t>栗下</t>
        </is>
      </c>
      <c r="AI30" s="10" t="inlineStr">
        <is>
          <t>山田真</t>
        </is>
      </c>
      <c r="AJ30" s="10" t="inlineStr">
        <is>
          <t>富島</t>
        </is>
      </c>
      <c r="AK30" s="10" t="inlineStr">
        <is>
          <t>山本高</t>
        </is>
      </c>
      <c r="AL30" s="10" t="inlineStr">
        <is>
          <t>北川</t>
        </is>
      </c>
      <c r="AM30" s="10" t="inlineStr">
        <is>
          <t>岡本</t>
        </is>
      </c>
      <c r="AN30" s="10" t="inlineStr">
        <is>
          <t>大川内</t>
        </is>
      </c>
      <c r="AO30" s="10" t="inlineStr">
        <is>
          <t>上田</t>
        </is>
      </c>
      <c r="AP30" s="10" t="inlineStr">
        <is>
          <t>馬場</t>
        </is>
      </c>
    </row>
    <row r="31" ht="15" customHeight="1" s="37">
      <c r="A31" t="inlineStr">
        <is>
          <t>2026-06-03</t>
        </is>
      </c>
      <c r="B31" s="10" t="inlineStr">
        <is>
          <t>水</t>
        </is>
      </c>
      <c r="C31" s="10" t="inlineStr">
        <is>
          <t>平日</t>
        </is>
      </c>
      <c r="E31" s="10" t="inlineStr">
        <is>
          <t>横田</t>
        </is>
      </c>
      <c r="F31" s="10" t="inlineStr">
        <is>
          <t>藤原</t>
        </is>
      </c>
      <c r="G31" s="10" t="inlineStr">
        <is>
          <t>野口</t>
        </is>
      </c>
      <c r="H31" s="10" t="inlineStr">
        <is>
          <t>欠員②</t>
        </is>
      </c>
      <c r="I31" s="10" t="inlineStr">
        <is>
          <t>大川内</t>
        </is>
      </c>
      <c r="J31" s="10" t="inlineStr">
        <is>
          <t>安村</t>
        </is>
      </c>
      <c r="K31" s="10" t="inlineStr">
        <is>
          <t>上野</t>
        </is>
      </c>
      <c r="L31" s="10" t="inlineStr">
        <is>
          <t>欠員①</t>
        </is>
      </c>
      <c r="M31" s="10" t="inlineStr">
        <is>
          <t>岩田</t>
        </is>
      </c>
      <c r="N31" s="10" t="inlineStr">
        <is>
          <t>内野</t>
        </is>
      </c>
      <c r="O31" s="10" t="inlineStr">
        <is>
          <t>矢田</t>
        </is>
      </c>
      <c r="P31" s="10" t="inlineStr">
        <is>
          <t>山本高</t>
        </is>
      </c>
      <c r="Q31" s="10" t="inlineStr">
        <is>
          <t>山本幸</t>
        </is>
      </c>
      <c r="R31" s="10" t="inlineStr">
        <is>
          <t>中村</t>
        </is>
      </c>
      <c r="S31" s="10" t="inlineStr">
        <is>
          <t>北川</t>
        </is>
      </c>
      <c r="T31" s="10" t="inlineStr">
        <is>
          <t>谷川</t>
        </is>
      </c>
      <c r="U31" s="10" t="inlineStr">
        <is>
          <t>馬場</t>
        </is>
      </c>
      <c r="V31" s="10" t="inlineStr">
        <is>
          <t>栗下</t>
        </is>
      </c>
      <c r="W31" s="10" t="inlineStr">
        <is>
          <t>丸田</t>
        </is>
      </c>
      <c r="X31" s="10" t="inlineStr">
        <is>
          <t>佐野</t>
        </is>
      </c>
      <c r="Y31" s="10" t="inlineStr">
        <is>
          <t>富島</t>
        </is>
      </c>
      <c r="Z31" s="10" t="inlineStr">
        <is>
          <t>門谷</t>
        </is>
      </c>
      <c r="AA31" s="10" t="inlineStr">
        <is>
          <t>岡本</t>
        </is>
      </c>
      <c r="AB31" s="10" t="inlineStr">
        <is>
          <t>山田久</t>
        </is>
      </c>
      <c r="AC31" s="10" t="inlineStr">
        <is>
          <t>上田</t>
        </is>
      </c>
      <c r="AD31" s="10" t="inlineStr">
        <is>
          <t>植山</t>
        </is>
      </c>
      <c r="AE31" s="10" t="inlineStr">
        <is>
          <t>中山</t>
        </is>
      </c>
      <c r="AF31" s="10" t="inlineStr">
        <is>
          <t>柴田</t>
        </is>
      </c>
      <c r="AG31" s="10" t="inlineStr">
        <is>
          <t>井川</t>
        </is>
      </c>
      <c r="AH31" s="10" t="inlineStr">
        <is>
          <t>西村</t>
        </is>
      </c>
      <c r="AI31" s="10" t="inlineStr">
        <is>
          <t>市田</t>
        </is>
      </c>
      <c r="AJ31" s="10" t="inlineStr">
        <is>
          <t>中嶌</t>
        </is>
      </c>
      <c r="AK31" s="10" t="inlineStr">
        <is>
          <t>山田真</t>
        </is>
      </c>
      <c r="AL31" s="10" t="inlineStr">
        <is>
          <t>河野</t>
        </is>
      </c>
      <c r="AM31" s="10" t="inlineStr">
        <is>
          <t>横山</t>
        </is>
      </c>
      <c r="AN31" s="10" t="inlineStr">
        <is>
          <t>田中</t>
        </is>
      </c>
      <c r="AO31" s="10" t="inlineStr">
        <is>
          <t>原</t>
        </is>
      </c>
      <c r="AP31" s="10" t="inlineStr">
        <is>
          <t>尾川</t>
        </is>
      </c>
    </row>
    <row r="32" ht="15" customHeight="1" s="37">
      <c r="A32" t="inlineStr">
        <is>
          <t>2026-06-04</t>
        </is>
      </c>
      <c r="B32" s="10" t="inlineStr">
        <is>
          <t>木</t>
        </is>
      </c>
      <c r="C32" s="10" t="inlineStr">
        <is>
          <t>平日</t>
        </is>
      </c>
      <c r="E32" s="10" t="inlineStr">
        <is>
          <t>北川</t>
        </is>
      </c>
      <c r="F32" s="10" t="inlineStr">
        <is>
          <t>岩田</t>
        </is>
      </c>
      <c r="G32" s="10" t="inlineStr">
        <is>
          <t>栗下</t>
        </is>
      </c>
      <c r="H32" s="10" t="inlineStr">
        <is>
          <t>矢田</t>
        </is>
      </c>
      <c r="I32" s="10" t="inlineStr">
        <is>
          <t>田中</t>
        </is>
      </c>
      <c r="J32" s="10" t="inlineStr">
        <is>
          <t>丸田</t>
        </is>
      </c>
      <c r="K32" s="10" t="inlineStr">
        <is>
          <t>柴田</t>
        </is>
      </c>
      <c r="L32" s="10" t="inlineStr">
        <is>
          <t>山本高</t>
        </is>
      </c>
      <c r="M32" s="10" t="inlineStr">
        <is>
          <t>上田</t>
        </is>
      </c>
      <c r="N32" s="10" t="inlineStr">
        <is>
          <t>中村</t>
        </is>
      </c>
      <c r="O32" s="10" t="inlineStr">
        <is>
          <t>佐野</t>
        </is>
      </c>
      <c r="P32" s="10" t="inlineStr">
        <is>
          <t>山田真</t>
        </is>
      </c>
      <c r="Q32" s="10" t="inlineStr">
        <is>
          <t>欠員①</t>
        </is>
      </c>
      <c r="R32" s="10" t="inlineStr">
        <is>
          <t>岡本</t>
        </is>
      </c>
      <c r="S32" s="10" t="inlineStr">
        <is>
          <t>河野</t>
        </is>
      </c>
      <c r="T32" s="10" t="inlineStr">
        <is>
          <t>馬場</t>
        </is>
      </c>
      <c r="U32" s="10" t="inlineStr">
        <is>
          <t>尾川</t>
        </is>
      </c>
      <c r="V32" s="10" t="inlineStr">
        <is>
          <t>西村</t>
        </is>
      </c>
      <c r="W32" s="10" t="inlineStr">
        <is>
          <t>中山</t>
        </is>
      </c>
      <c r="X32" s="10" t="inlineStr">
        <is>
          <t>上野</t>
        </is>
      </c>
      <c r="Y32" s="10" t="inlineStr">
        <is>
          <t>中嶌</t>
        </is>
      </c>
      <c r="Z32" s="10" t="inlineStr">
        <is>
          <t>山田久</t>
        </is>
      </c>
      <c r="AA32" s="10" t="inlineStr">
        <is>
          <t>横山</t>
        </is>
      </c>
      <c r="AB32" s="10" t="inlineStr">
        <is>
          <t>安村</t>
        </is>
      </c>
      <c r="AC32" s="10" t="inlineStr">
        <is>
          <t>原</t>
        </is>
      </c>
      <c r="AD32" s="10" t="inlineStr">
        <is>
          <t>野口</t>
        </is>
      </c>
      <c r="AE32" s="10" t="inlineStr">
        <is>
          <t>欠員②</t>
        </is>
      </c>
      <c r="AF32" s="10" t="inlineStr">
        <is>
          <t>藤原</t>
        </is>
      </c>
      <c r="AG32" s="10" t="inlineStr">
        <is>
          <t>内野</t>
        </is>
      </c>
      <c r="AH32" s="10" t="inlineStr">
        <is>
          <t>山本幸</t>
        </is>
      </c>
      <c r="AI32" s="10" t="inlineStr">
        <is>
          <t>谷川</t>
        </is>
      </c>
      <c r="AJ32" s="10" t="inlineStr">
        <is>
          <t>大川内</t>
        </is>
      </c>
      <c r="AK32" s="10" t="inlineStr">
        <is>
          <t>市田</t>
        </is>
      </c>
      <c r="AL32" s="10" t="inlineStr">
        <is>
          <t>富島</t>
        </is>
      </c>
      <c r="AM32" s="10" t="inlineStr">
        <is>
          <t>植山</t>
        </is>
      </c>
      <c r="AN32" s="10" t="inlineStr">
        <is>
          <t>井川</t>
        </is>
      </c>
      <c r="AO32" s="10" t="inlineStr">
        <is>
          <t>横田</t>
        </is>
      </c>
      <c r="AP32" s="10" t="inlineStr">
        <is>
          <t>門谷</t>
        </is>
      </c>
    </row>
    <row r="33" ht="15" customHeight="1" s="37">
      <c r="A33" t="inlineStr">
        <is>
          <t>2026-06-05</t>
        </is>
      </c>
      <c r="B33" s="10" t="inlineStr">
        <is>
          <t>金</t>
        </is>
      </c>
      <c r="C33" s="10" t="inlineStr">
        <is>
          <t>平日</t>
        </is>
      </c>
      <c r="E33" s="10" t="inlineStr">
        <is>
          <t>河野</t>
        </is>
      </c>
      <c r="F33" s="10" t="inlineStr">
        <is>
          <t>上田</t>
        </is>
      </c>
      <c r="G33" s="10" t="inlineStr">
        <is>
          <t>西村</t>
        </is>
      </c>
      <c r="H33" s="10" t="inlineStr">
        <is>
          <t>佐野</t>
        </is>
      </c>
      <c r="I33" s="10" t="inlineStr">
        <is>
          <t>井川</t>
        </is>
      </c>
      <c r="J33" s="10" t="inlineStr">
        <is>
          <t>中山</t>
        </is>
      </c>
      <c r="K33" s="10" t="inlineStr">
        <is>
          <t>藤原</t>
        </is>
      </c>
      <c r="L33" s="10" t="inlineStr">
        <is>
          <t>山田真</t>
        </is>
      </c>
      <c r="M33" s="10" t="inlineStr">
        <is>
          <t>原</t>
        </is>
      </c>
      <c r="N33" s="10" t="inlineStr">
        <is>
          <t>岡本</t>
        </is>
      </c>
      <c r="O33" s="10" t="inlineStr">
        <is>
          <t>上野</t>
        </is>
      </c>
      <c r="P33" s="10" t="inlineStr">
        <is>
          <t>市田</t>
        </is>
      </c>
      <c r="Q33" s="10" t="inlineStr">
        <is>
          <t>山本高</t>
        </is>
      </c>
      <c r="R33" s="10" t="inlineStr">
        <is>
          <t>横山</t>
        </is>
      </c>
      <c r="S33" s="10" t="inlineStr">
        <is>
          <t>富島</t>
        </is>
      </c>
      <c r="T33" s="10" t="inlineStr">
        <is>
          <t>尾川</t>
        </is>
      </c>
      <c r="U33" s="10" t="inlineStr">
        <is>
          <t>門谷</t>
        </is>
      </c>
      <c r="V33" s="10" t="inlineStr">
        <is>
          <t>山本幸</t>
        </is>
      </c>
      <c r="W33" s="10" t="inlineStr">
        <is>
          <t>欠員②</t>
        </is>
      </c>
      <c r="X33" s="10" t="inlineStr">
        <is>
          <t>柴田</t>
        </is>
      </c>
      <c r="Y33" s="10" t="inlineStr">
        <is>
          <t>大川内</t>
        </is>
      </c>
      <c r="Z33" s="10" t="inlineStr">
        <is>
          <t>安村</t>
        </is>
      </c>
      <c r="AA33" s="10" t="inlineStr">
        <is>
          <t>植山</t>
        </is>
      </c>
      <c r="AB33" s="10" t="inlineStr">
        <is>
          <t>丸田</t>
        </is>
      </c>
      <c r="AC33" s="10" t="inlineStr">
        <is>
          <t>横田</t>
        </is>
      </c>
      <c r="AD33" s="10" t="inlineStr">
        <is>
          <t>栗下</t>
        </is>
      </c>
      <c r="AE33" s="10" t="inlineStr">
        <is>
          <t>矢田</t>
        </is>
      </c>
      <c r="AF33" s="10" t="inlineStr">
        <is>
          <t>岩田</t>
        </is>
      </c>
      <c r="AG33" s="10" t="inlineStr">
        <is>
          <t>中村</t>
        </is>
      </c>
      <c r="AH33" s="10" t="inlineStr">
        <is>
          <t>欠員①</t>
        </is>
      </c>
      <c r="AI33" s="10" t="inlineStr">
        <is>
          <t>馬場</t>
        </is>
      </c>
      <c r="AJ33" s="10" t="inlineStr">
        <is>
          <t>田中</t>
        </is>
      </c>
      <c r="AK33" s="10" t="inlineStr">
        <is>
          <t>谷川</t>
        </is>
      </c>
      <c r="AL33" s="10" t="inlineStr">
        <is>
          <t>中嶌</t>
        </is>
      </c>
      <c r="AM33" s="10" t="inlineStr">
        <is>
          <t>野口</t>
        </is>
      </c>
      <c r="AN33" s="10" t="inlineStr">
        <is>
          <t>内野</t>
        </is>
      </c>
      <c r="AO33" s="10" t="inlineStr">
        <is>
          <t>北川</t>
        </is>
      </c>
      <c r="AP33" s="10" t="inlineStr">
        <is>
          <t>山田久</t>
        </is>
      </c>
    </row>
    <row r="34" ht="15" customHeight="1" s="37">
      <c r="A34" t="inlineStr">
        <is>
          <t>2026-06-06</t>
        </is>
      </c>
      <c r="B34" s="10" t="inlineStr">
        <is>
          <t>土</t>
        </is>
      </c>
      <c r="C34" s="10" t="inlineStr">
        <is>
          <t>休日</t>
        </is>
      </c>
      <c r="E34" s="10" t="inlineStr">
        <is>
          <t>富島</t>
        </is>
      </c>
      <c r="F34" s="10" t="inlineStr">
        <is>
          <t>原</t>
        </is>
      </c>
      <c r="G34" s="10" t="inlineStr">
        <is>
          <t>山本幸</t>
        </is>
      </c>
      <c r="H34" s="10" t="inlineStr">
        <is>
          <t>上野</t>
        </is>
      </c>
      <c r="I34" s="10" t="inlineStr">
        <is>
          <t>内野</t>
        </is>
      </c>
      <c r="J34" s="10" t="inlineStr">
        <is>
          <t>欠員②</t>
        </is>
      </c>
      <c r="K34" s="10" t="inlineStr">
        <is>
          <t>岩田</t>
        </is>
      </c>
      <c r="L34" s="10" t="inlineStr">
        <is>
          <t>市田</t>
        </is>
      </c>
      <c r="M34" s="10" t="inlineStr">
        <is>
          <t>横田</t>
        </is>
      </c>
      <c r="N34" s="10" t="inlineStr">
        <is>
          <t>横山</t>
        </is>
      </c>
      <c r="O34" s="10" t="inlineStr">
        <is>
          <t>柴田</t>
        </is>
      </c>
      <c r="P34" s="10" t="inlineStr">
        <is>
          <t>谷川</t>
        </is>
      </c>
      <c r="Q34" s="10" t="inlineStr">
        <is>
          <t>山田真</t>
        </is>
      </c>
      <c r="R34" s="10" t="inlineStr">
        <is>
          <t>植山</t>
        </is>
      </c>
      <c r="S34" s="10" t="inlineStr">
        <is>
          <t>中嶌</t>
        </is>
      </c>
      <c r="T34" s="10" t="inlineStr">
        <is>
          <t>門谷</t>
        </is>
      </c>
      <c r="U34" s="10" t="inlineStr">
        <is>
          <t>山田久</t>
        </is>
      </c>
      <c r="V34" s="10" t="inlineStr">
        <is>
          <t>欠員①</t>
        </is>
      </c>
      <c r="W34" s="10" t="inlineStr">
        <is>
          <t>矢田</t>
        </is>
      </c>
      <c r="X34" s="10" t="inlineStr">
        <is>
          <t>藤原</t>
        </is>
      </c>
      <c r="Y34" s="10" t="inlineStr">
        <is>
          <t>田中</t>
        </is>
      </c>
      <c r="Z34" s="10" t="inlineStr">
        <is>
          <t>丸田</t>
        </is>
      </c>
      <c r="AA34" s="10" t="inlineStr">
        <is>
          <t>野口</t>
        </is>
      </c>
      <c r="AB34" s="10" t="inlineStr">
        <is>
          <t>中山</t>
        </is>
      </c>
      <c r="AC34" s="10" t="inlineStr">
        <is>
          <t>北川</t>
        </is>
      </c>
      <c r="AD34" s="10" t="inlineStr">
        <is>
          <t>西村</t>
        </is>
      </c>
      <c r="AE34" s="10" t="inlineStr">
        <is>
          <t>佐野</t>
        </is>
      </c>
      <c r="AF34" s="10" t="inlineStr">
        <is>
          <t>上田</t>
        </is>
      </c>
      <c r="AG34" s="10" t="inlineStr">
        <is>
          <t>岡本</t>
        </is>
      </c>
      <c r="AH34" s="10" t="inlineStr">
        <is>
          <t>山本高</t>
        </is>
      </c>
      <c r="AI34" s="10" t="inlineStr">
        <is>
          <t>尾川</t>
        </is>
      </c>
      <c r="AJ34" s="10" t="inlineStr">
        <is>
          <t>井川</t>
        </is>
      </c>
      <c r="AK34" s="10" t="inlineStr">
        <is>
          <t>馬場</t>
        </is>
      </c>
      <c r="AL34" s="10" t="inlineStr">
        <is>
          <t>大川内</t>
        </is>
      </c>
      <c r="AM34" s="10" t="inlineStr">
        <is>
          <t>栗下</t>
        </is>
      </c>
      <c r="AN34" s="10" t="inlineStr">
        <is>
          <t>中村</t>
        </is>
      </c>
      <c r="AO34" s="10" t="inlineStr">
        <is>
          <t>河野</t>
        </is>
      </c>
      <c r="AP34" s="10" t="inlineStr">
        <is>
          <t>安村</t>
        </is>
      </c>
    </row>
    <row r="35" ht="15" customHeight="1" s="37">
      <c r="A35" t="inlineStr">
        <is>
          <t>2026-06-07</t>
        </is>
      </c>
      <c r="B35" s="10" t="inlineStr">
        <is>
          <t>日</t>
        </is>
      </c>
      <c r="C35" s="10" t="inlineStr">
        <is>
          <t>休日</t>
        </is>
      </c>
      <c r="E35" s="10" t="inlineStr">
        <is>
          <t>中嶌</t>
        </is>
      </c>
      <c r="F35" s="10" t="inlineStr">
        <is>
          <t>横田</t>
        </is>
      </c>
      <c r="G35" s="10" t="inlineStr">
        <is>
          <t>欠員①</t>
        </is>
      </c>
      <c r="H35" s="10" t="inlineStr">
        <is>
          <t>柴田</t>
        </is>
      </c>
      <c r="I35" s="10" t="inlineStr">
        <is>
          <t>中村</t>
        </is>
      </c>
      <c r="J35" s="10" t="inlineStr">
        <is>
          <t>矢田</t>
        </is>
      </c>
      <c r="K35" s="10" t="inlineStr">
        <is>
          <t>上田</t>
        </is>
      </c>
      <c r="L35" s="10" t="inlineStr">
        <is>
          <t>谷川</t>
        </is>
      </c>
      <c r="M35" s="10" t="inlineStr">
        <is>
          <t>北川</t>
        </is>
      </c>
      <c r="N35" s="10" t="inlineStr">
        <is>
          <t>植山</t>
        </is>
      </c>
      <c r="O35" s="10" t="inlineStr">
        <is>
          <t>藤原</t>
        </is>
      </c>
      <c r="P35" s="10" t="inlineStr">
        <is>
          <t>馬場</t>
        </is>
      </c>
      <c r="Q35" s="10" t="inlineStr">
        <is>
          <t>市田</t>
        </is>
      </c>
      <c r="R35" s="10" t="inlineStr">
        <is>
          <t>野口</t>
        </is>
      </c>
      <c r="S35" s="10" t="inlineStr">
        <is>
          <t>大川内</t>
        </is>
      </c>
      <c r="T35" s="10" t="inlineStr">
        <is>
          <t>山田久</t>
        </is>
      </c>
      <c r="U35" s="10" t="inlineStr">
        <is>
          <t>安村</t>
        </is>
      </c>
      <c r="V35" s="10" t="inlineStr">
        <is>
          <t>山本高</t>
        </is>
      </c>
      <c r="W35" s="10" t="inlineStr">
        <is>
          <t>佐野</t>
        </is>
      </c>
      <c r="X35" s="10" t="inlineStr">
        <is>
          <t>岩田</t>
        </is>
      </c>
      <c r="Y35" s="10" t="inlineStr">
        <is>
          <t>井川</t>
        </is>
      </c>
      <c r="Z35" s="10" t="inlineStr">
        <is>
          <t>中山</t>
        </is>
      </c>
      <c r="AA35" s="10" t="inlineStr">
        <is>
          <t>栗下</t>
        </is>
      </c>
      <c r="AB35" s="10" t="inlineStr">
        <is>
          <t>欠員②</t>
        </is>
      </c>
      <c r="AC35" s="10" t="inlineStr">
        <is>
          <t>河野</t>
        </is>
      </c>
      <c r="AD35" s="10" t="inlineStr">
        <is>
          <t>山本幸</t>
        </is>
      </c>
      <c r="AE35" s="10" t="inlineStr">
        <is>
          <t>上野</t>
        </is>
      </c>
      <c r="AF35" s="10" t="inlineStr">
        <is>
          <t>原</t>
        </is>
      </c>
      <c r="AG35" s="10" t="inlineStr">
        <is>
          <t>横山</t>
        </is>
      </c>
      <c r="AH35" s="10" t="inlineStr">
        <is>
          <t>山田真</t>
        </is>
      </c>
      <c r="AI35" s="10" t="inlineStr">
        <is>
          <t>門谷</t>
        </is>
      </c>
      <c r="AJ35" s="10" t="inlineStr">
        <is>
          <t>内野</t>
        </is>
      </c>
      <c r="AK35" s="10" t="inlineStr">
        <is>
          <t>尾川</t>
        </is>
      </c>
      <c r="AL35" s="10" t="inlineStr">
        <is>
          <t>田中</t>
        </is>
      </c>
      <c r="AM35" s="10" t="inlineStr">
        <is>
          <t>西村</t>
        </is>
      </c>
      <c r="AN35" s="10" t="inlineStr">
        <is>
          <t>岡本</t>
        </is>
      </c>
      <c r="AO35" s="10" t="inlineStr">
        <is>
          <t>富島</t>
        </is>
      </c>
      <c r="AP35" s="10" t="inlineStr">
        <is>
          <t>丸田</t>
        </is>
      </c>
    </row>
    <row r="36" ht="15" customHeight="1" s="37">
      <c r="A36" t="inlineStr">
        <is>
          <t>2026-06-08</t>
        </is>
      </c>
      <c r="B36" s="10" t="inlineStr">
        <is>
          <t>月</t>
        </is>
      </c>
      <c r="C36" s="10" t="inlineStr">
        <is>
          <t>平日</t>
        </is>
      </c>
      <c r="E36" s="10" t="inlineStr">
        <is>
          <t>大川内</t>
        </is>
      </c>
      <c r="F36" s="10" t="inlineStr">
        <is>
          <t>北川</t>
        </is>
      </c>
      <c r="G36" s="10" t="inlineStr">
        <is>
          <t>山本高</t>
        </is>
      </c>
      <c r="H36" s="10" t="inlineStr">
        <is>
          <t>藤原</t>
        </is>
      </c>
      <c r="I36" s="10" t="inlineStr">
        <is>
          <t>岡本</t>
        </is>
      </c>
      <c r="J36" s="10" t="inlineStr">
        <is>
          <t>佐野</t>
        </is>
      </c>
      <c r="K36" s="10" t="inlineStr">
        <is>
          <t>原</t>
        </is>
      </c>
      <c r="L36" s="10" t="inlineStr">
        <is>
          <t>馬場</t>
        </is>
      </c>
      <c r="M36" s="10" t="inlineStr">
        <is>
          <t>河野</t>
        </is>
      </c>
      <c r="N36" s="10" t="inlineStr">
        <is>
          <t>野口</t>
        </is>
      </c>
      <c r="O36" s="10" t="inlineStr">
        <is>
          <t>岩田</t>
        </is>
      </c>
      <c r="P36" s="10" t="inlineStr">
        <is>
          <t>尾川</t>
        </is>
      </c>
      <c r="Q36" s="10" t="inlineStr">
        <is>
          <t>谷川</t>
        </is>
      </c>
      <c r="R36" s="10" t="inlineStr">
        <is>
          <t>栗下</t>
        </is>
      </c>
      <c r="S36" s="10" t="inlineStr">
        <is>
          <t>田中</t>
        </is>
      </c>
      <c r="T36" s="10" t="inlineStr">
        <is>
          <t>安村</t>
        </is>
      </c>
      <c r="U36" s="10" t="inlineStr">
        <is>
          <t>丸田</t>
        </is>
      </c>
      <c r="V36" s="10" t="inlineStr">
        <is>
          <t>山田真</t>
        </is>
      </c>
      <c r="W36" s="10" t="inlineStr">
        <is>
          <t>上野</t>
        </is>
      </c>
      <c r="X36" s="10" t="inlineStr">
        <is>
          <t>上田</t>
        </is>
      </c>
      <c r="Y36" s="10" t="inlineStr">
        <is>
          <t>内野</t>
        </is>
      </c>
      <c r="Z36" s="10" t="inlineStr">
        <is>
          <t>欠員②</t>
        </is>
      </c>
      <c r="AA36" s="10" t="inlineStr">
        <is>
          <t>西村</t>
        </is>
      </c>
      <c r="AB36" s="10" t="inlineStr">
        <is>
          <t>矢田</t>
        </is>
      </c>
      <c r="AC36" s="10" t="inlineStr">
        <is>
          <t>富島</t>
        </is>
      </c>
      <c r="AD36" s="10" t="inlineStr">
        <is>
          <t>欠員①</t>
        </is>
      </c>
      <c r="AE36" s="10" t="inlineStr">
        <is>
          <t>柴田</t>
        </is>
      </c>
      <c r="AF36" s="10" t="inlineStr">
        <is>
          <t>横田</t>
        </is>
      </c>
      <c r="AG36" s="10" t="inlineStr">
        <is>
          <t>植山</t>
        </is>
      </c>
      <c r="AH36" s="10" t="inlineStr">
        <is>
          <t>市田</t>
        </is>
      </c>
      <c r="AI36" s="10" t="inlineStr">
        <is>
          <t>山田久</t>
        </is>
      </c>
      <c r="AJ36" s="10" t="inlineStr">
        <is>
          <t>中村</t>
        </is>
      </c>
      <c r="AK36" s="10" t="inlineStr">
        <is>
          <t>門谷</t>
        </is>
      </c>
      <c r="AL36" s="10" t="inlineStr">
        <is>
          <t>井川</t>
        </is>
      </c>
      <c r="AM36" s="10" t="inlineStr">
        <is>
          <t>山本幸</t>
        </is>
      </c>
      <c r="AN36" s="10" t="inlineStr">
        <is>
          <t>横山</t>
        </is>
      </c>
      <c r="AO36" s="10" t="inlineStr">
        <is>
          <t>中嶌</t>
        </is>
      </c>
      <c r="AP36" s="10" t="inlineStr">
        <is>
          <t>中山</t>
        </is>
      </c>
    </row>
    <row r="37" ht="15" customHeight="1" s="37">
      <c r="A37" t="inlineStr">
        <is>
          <t>2026-06-09</t>
        </is>
      </c>
      <c r="B37" s="10" t="inlineStr">
        <is>
          <t>火</t>
        </is>
      </c>
      <c r="C37" s="10" t="inlineStr">
        <is>
          <t>平日</t>
        </is>
      </c>
      <c r="E37" s="10" t="inlineStr">
        <is>
          <t>田中</t>
        </is>
      </c>
      <c r="F37" s="10" t="inlineStr">
        <is>
          <t>河野</t>
        </is>
      </c>
      <c r="G37" s="10" t="inlineStr">
        <is>
          <t>山田真</t>
        </is>
      </c>
      <c r="H37" s="10" t="inlineStr">
        <is>
          <t>岩田</t>
        </is>
      </c>
      <c r="I37" s="10" t="inlineStr">
        <is>
          <t>横山</t>
        </is>
      </c>
      <c r="J37" s="10" t="inlineStr">
        <is>
          <t>上野</t>
        </is>
      </c>
      <c r="K37" s="10" t="inlineStr">
        <is>
          <t>横田</t>
        </is>
      </c>
      <c r="L37" s="10" t="inlineStr">
        <is>
          <t>尾川</t>
        </is>
      </c>
      <c r="M37" s="10" t="inlineStr">
        <is>
          <t>富島</t>
        </is>
      </c>
      <c r="N37" s="10" t="inlineStr">
        <is>
          <t>栗下</t>
        </is>
      </c>
      <c r="O37" s="10" t="inlineStr">
        <is>
          <t>上田</t>
        </is>
      </c>
      <c r="P37" s="10" t="inlineStr">
        <is>
          <t>門谷</t>
        </is>
      </c>
      <c r="Q37" s="10" t="inlineStr">
        <is>
          <t>馬場</t>
        </is>
      </c>
      <c r="R37" s="10" t="inlineStr">
        <is>
          <t>西村</t>
        </is>
      </c>
      <c r="S37" s="10" t="inlineStr">
        <is>
          <t>井川</t>
        </is>
      </c>
      <c r="T37" s="10" t="inlineStr">
        <is>
          <t>丸田</t>
        </is>
      </c>
      <c r="U37" s="10" t="inlineStr">
        <is>
          <t>中山</t>
        </is>
      </c>
      <c r="V37" s="10" t="inlineStr">
        <is>
          <t>市田</t>
        </is>
      </c>
      <c r="W37" s="10" t="inlineStr">
        <is>
          <t>柴田</t>
        </is>
      </c>
      <c r="X37" s="10" t="inlineStr">
        <is>
          <t>原</t>
        </is>
      </c>
      <c r="Y37" s="10" t="inlineStr">
        <is>
          <t>中村</t>
        </is>
      </c>
      <c r="Z37" s="10" t="inlineStr">
        <is>
          <t>矢田</t>
        </is>
      </c>
      <c r="AA37" s="10" t="inlineStr">
        <is>
          <t>山本幸</t>
        </is>
      </c>
      <c r="AB37" s="10" t="inlineStr">
        <is>
          <t>佐野</t>
        </is>
      </c>
      <c r="AC37" s="10" t="inlineStr">
        <is>
          <t>中嶌</t>
        </is>
      </c>
      <c r="AD37" s="10" t="inlineStr">
        <is>
          <t>山本高</t>
        </is>
      </c>
      <c r="AE37" s="10" t="inlineStr">
        <is>
          <t>藤原</t>
        </is>
      </c>
      <c r="AF37" s="10" t="inlineStr">
        <is>
          <t>北川</t>
        </is>
      </c>
      <c r="AG37" s="10" t="inlineStr">
        <is>
          <t>野口</t>
        </is>
      </c>
      <c r="AH37" s="10" t="inlineStr">
        <is>
          <t>谷川</t>
        </is>
      </c>
      <c r="AI37" s="10" t="inlineStr">
        <is>
          <t>安村</t>
        </is>
      </c>
      <c r="AJ37" s="10" t="inlineStr">
        <is>
          <t>岡本</t>
        </is>
      </c>
      <c r="AK37" s="10" t="inlineStr">
        <is>
          <t>山田久</t>
        </is>
      </c>
      <c r="AL37" s="10" t="inlineStr">
        <is>
          <t>内野</t>
        </is>
      </c>
      <c r="AM37" s="10" t="inlineStr">
        <is>
          <t>欠員①</t>
        </is>
      </c>
      <c r="AN37" s="10" t="inlineStr">
        <is>
          <t>植山</t>
        </is>
      </c>
      <c r="AO37" s="10" t="inlineStr">
        <is>
          <t>大川内</t>
        </is>
      </c>
      <c r="AP37" s="10" t="inlineStr">
        <is>
          <t>欠員②</t>
        </is>
      </c>
    </row>
    <row r="38" ht="15" customHeight="1" s="37">
      <c r="A38" t="inlineStr">
        <is>
          <t>2026-06-10</t>
        </is>
      </c>
      <c r="B38" s="10" t="inlineStr">
        <is>
          <t>水</t>
        </is>
      </c>
      <c r="C38" s="10" t="inlineStr">
        <is>
          <t>平日</t>
        </is>
      </c>
      <c r="E38" s="10" t="inlineStr">
        <is>
          <t>井川</t>
        </is>
      </c>
      <c r="F38" s="10" t="inlineStr">
        <is>
          <t>富島</t>
        </is>
      </c>
      <c r="G38" s="10" t="inlineStr">
        <is>
          <t>市田</t>
        </is>
      </c>
      <c r="H38" s="10" t="inlineStr">
        <is>
          <t>上田</t>
        </is>
      </c>
      <c r="I38" s="10" t="inlineStr">
        <is>
          <t>植山</t>
        </is>
      </c>
      <c r="J38" s="10" t="inlineStr">
        <is>
          <t>柴田</t>
        </is>
      </c>
      <c r="K38" s="10" t="inlineStr">
        <is>
          <t>北川</t>
        </is>
      </c>
      <c r="L38" s="10" t="inlineStr">
        <is>
          <t>門谷</t>
        </is>
      </c>
      <c r="M38" s="10" t="inlineStr">
        <is>
          <t>中嶌</t>
        </is>
      </c>
      <c r="N38" s="10" t="inlineStr">
        <is>
          <t>西村</t>
        </is>
      </c>
      <c r="O38" s="10" t="inlineStr">
        <is>
          <t>原</t>
        </is>
      </c>
      <c r="P38" s="10" t="inlineStr">
        <is>
          <t>山田久</t>
        </is>
      </c>
      <c r="Q38" s="10" t="inlineStr">
        <is>
          <t>尾川</t>
        </is>
      </c>
      <c r="R38" s="10" t="inlineStr">
        <is>
          <t>山本幸</t>
        </is>
      </c>
      <c r="S38" s="10" t="inlineStr">
        <is>
          <t>内野</t>
        </is>
      </c>
      <c r="T38" s="10" t="inlineStr">
        <is>
          <t>中山</t>
        </is>
      </c>
      <c r="U38" s="10" t="inlineStr">
        <is>
          <t>欠員②</t>
        </is>
      </c>
      <c r="V38" s="10" t="inlineStr">
        <is>
          <t>谷川</t>
        </is>
      </c>
      <c r="W38" s="10" t="inlineStr">
        <is>
          <t>藤原</t>
        </is>
      </c>
      <c r="X38" s="10" t="inlineStr">
        <is>
          <t>横田</t>
        </is>
      </c>
      <c r="Y38" s="10" t="inlineStr">
        <is>
          <t>岡本</t>
        </is>
      </c>
      <c r="Z38" s="10" t="inlineStr">
        <is>
          <t>佐野</t>
        </is>
      </c>
      <c r="AA38" s="10" t="inlineStr">
        <is>
          <t>欠員①</t>
        </is>
      </c>
      <c r="AB38" s="10" t="inlineStr">
        <is>
          <t>上野</t>
        </is>
      </c>
      <c r="AC38" s="10" t="inlineStr">
        <is>
          <t>大川内</t>
        </is>
      </c>
      <c r="AD38" s="10" t="inlineStr">
        <is>
          <t>山田真</t>
        </is>
      </c>
      <c r="AE38" s="10" t="inlineStr">
        <is>
          <t>岩田</t>
        </is>
      </c>
      <c r="AF38" s="10" t="inlineStr">
        <is>
          <t>河野</t>
        </is>
      </c>
      <c r="AG38" s="10" t="inlineStr">
        <is>
          <t>栗下</t>
        </is>
      </c>
      <c r="AH38" s="10" t="inlineStr">
        <is>
          <t>馬場</t>
        </is>
      </c>
      <c r="AI38" s="10" t="inlineStr">
        <is>
          <t>丸田</t>
        </is>
      </c>
      <c r="AJ38" s="10" t="inlineStr">
        <is>
          <t>横山</t>
        </is>
      </c>
      <c r="AK38" s="10" t="inlineStr">
        <is>
          <t>安村</t>
        </is>
      </c>
      <c r="AL38" s="10" t="inlineStr">
        <is>
          <t>中村</t>
        </is>
      </c>
      <c r="AM38" s="10" t="inlineStr">
        <is>
          <t>山本高</t>
        </is>
      </c>
      <c r="AN38" s="10" t="inlineStr">
        <is>
          <t>野口</t>
        </is>
      </c>
      <c r="AO38" s="10" t="inlineStr">
        <is>
          <t>田中</t>
        </is>
      </c>
      <c r="AP38" s="10" t="inlineStr">
        <is>
          <t>矢田</t>
        </is>
      </c>
    </row>
    <row r="39" ht="15" customHeight="1" s="37">
      <c r="A39" t="inlineStr">
        <is>
          <t>2026-06-11</t>
        </is>
      </c>
      <c r="B39" s="10" t="inlineStr">
        <is>
          <t>木</t>
        </is>
      </c>
      <c r="C39" s="10" t="inlineStr">
        <is>
          <t>平日</t>
        </is>
      </c>
      <c r="E39" s="10" t="inlineStr">
        <is>
          <t>内野</t>
        </is>
      </c>
      <c r="F39" s="10" t="inlineStr">
        <is>
          <t>中嶌</t>
        </is>
      </c>
      <c r="G39" s="10" t="inlineStr">
        <is>
          <t>谷川</t>
        </is>
      </c>
      <c r="H39" s="10" t="inlineStr">
        <is>
          <t>原</t>
        </is>
      </c>
      <c r="I39" s="10" t="inlineStr">
        <is>
          <t>野口</t>
        </is>
      </c>
      <c r="J39" s="10" t="inlineStr">
        <is>
          <t>藤原</t>
        </is>
      </c>
      <c r="K39" s="10" t="inlineStr">
        <is>
          <t>河野</t>
        </is>
      </c>
      <c r="L39" s="10" t="inlineStr">
        <is>
          <t>山田久</t>
        </is>
      </c>
      <c r="M39" s="10" t="inlineStr">
        <is>
          <t>大川内</t>
        </is>
      </c>
      <c r="N39" s="10" t="inlineStr">
        <is>
          <t>山本幸</t>
        </is>
      </c>
      <c r="O39" s="10" t="inlineStr">
        <is>
          <t>横田</t>
        </is>
      </c>
      <c r="P39" s="10" t="inlineStr">
        <is>
          <t>安村</t>
        </is>
      </c>
      <c r="Q39" s="10" t="inlineStr">
        <is>
          <t>門谷</t>
        </is>
      </c>
      <c r="R39" s="10" t="inlineStr">
        <is>
          <t>欠員①</t>
        </is>
      </c>
      <c r="S39" s="10" t="inlineStr">
        <is>
          <t>中村</t>
        </is>
      </c>
      <c r="T39" s="10" t="inlineStr">
        <is>
          <t>欠員②</t>
        </is>
      </c>
      <c r="U39" s="10" t="inlineStr">
        <is>
          <t>矢田</t>
        </is>
      </c>
      <c r="V39" s="10" t="inlineStr">
        <is>
          <t>馬場</t>
        </is>
      </c>
      <c r="W39" s="10" t="inlineStr">
        <is>
          <t>岩田</t>
        </is>
      </c>
      <c r="X39" s="10" t="inlineStr">
        <is>
          <t>北川</t>
        </is>
      </c>
      <c r="Y39" s="10" t="inlineStr">
        <is>
          <t>横山</t>
        </is>
      </c>
      <c r="Z39" s="10" t="inlineStr">
        <is>
          <t>上野</t>
        </is>
      </c>
      <c r="AA39" s="10" t="inlineStr">
        <is>
          <t>山本高</t>
        </is>
      </c>
      <c r="AB39" s="10" t="inlineStr">
        <is>
          <t>柴田</t>
        </is>
      </c>
      <c r="AC39" s="10" t="inlineStr">
        <is>
          <t>田中</t>
        </is>
      </c>
      <c r="AD39" s="10" t="inlineStr">
        <is>
          <t>市田</t>
        </is>
      </c>
      <c r="AE39" s="10" t="inlineStr">
        <is>
          <t>上田</t>
        </is>
      </c>
      <c r="AF39" s="10" t="inlineStr">
        <is>
          <t>富島</t>
        </is>
      </c>
      <c r="AG39" s="10" t="inlineStr">
        <is>
          <t>西村</t>
        </is>
      </c>
      <c r="AH39" s="10" t="inlineStr">
        <is>
          <t>尾川</t>
        </is>
      </c>
      <c r="AI39" s="10" t="inlineStr">
        <is>
          <t>中山</t>
        </is>
      </c>
      <c r="AJ39" s="10" t="inlineStr">
        <is>
          <t>植山</t>
        </is>
      </c>
      <c r="AK39" s="10" t="inlineStr">
        <is>
          <t>丸田</t>
        </is>
      </c>
      <c r="AL39" s="10" t="inlineStr">
        <is>
          <t>岡本</t>
        </is>
      </c>
      <c r="AM39" s="10" t="inlineStr">
        <is>
          <t>山田真</t>
        </is>
      </c>
      <c r="AN39" s="10" t="inlineStr">
        <is>
          <t>栗下</t>
        </is>
      </c>
      <c r="AO39" s="10" t="inlineStr">
        <is>
          <t>井川</t>
        </is>
      </c>
      <c r="AP39" s="10" t="inlineStr">
        <is>
          <t>佐野</t>
        </is>
      </c>
    </row>
    <row r="40" ht="15" customHeight="1" s="37">
      <c r="A40" t="inlineStr">
        <is>
          <t>2026-06-12</t>
        </is>
      </c>
      <c r="B40" s="10" t="inlineStr">
        <is>
          <t>金</t>
        </is>
      </c>
      <c r="C40" s="10" t="inlineStr">
        <is>
          <t>平日</t>
        </is>
      </c>
      <c r="E40" s="10" t="inlineStr">
        <is>
          <t>中村</t>
        </is>
      </c>
      <c r="F40" s="10" t="inlineStr">
        <is>
          <t>大川内</t>
        </is>
      </c>
      <c r="G40" s="10" t="inlineStr">
        <is>
          <t>馬場</t>
        </is>
      </c>
      <c r="H40" s="10" t="inlineStr">
        <is>
          <t>横田</t>
        </is>
      </c>
      <c r="I40" s="10" t="inlineStr">
        <is>
          <t>栗下</t>
        </is>
      </c>
      <c r="J40" s="10" t="inlineStr">
        <is>
          <t>岩田</t>
        </is>
      </c>
      <c r="K40" s="10" t="inlineStr">
        <is>
          <t>富島</t>
        </is>
      </c>
      <c r="L40" s="10" t="inlineStr">
        <is>
          <t>安村</t>
        </is>
      </c>
      <c r="M40" s="10" t="inlineStr">
        <is>
          <t>田中</t>
        </is>
      </c>
      <c r="N40" s="10" t="inlineStr">
        <is>
          <t>欠員①</t>
        </is>
      </c>
      <c r="O40" s="10" t="inlineStr">
        <is>
          <t>北川</t>
        </is>
      </c>
      <c r="P40" s="10" t="inlineStr">
        <is>
          <t>丸田</t>
        </is>
      </c>
      <c r="Q40" s="10" t="inlineStr">
        <is>
          <t>山田久</t>
        </is>
      </c>
      <c r="R40" s="10" t="inlineStr">
        <is>
          <t>山本高</t>
        </is>
      </c>
      <c r="S40" s="10" t="inlineStr">
        <is>
          <t>岡本</t>
        </is>
      </c>
      <c r="T40" s="10" t="inlineStr">
        <is>
          <t>矢田</t>
        </is>
      </c>
      <c r="U40" s="10" t="inlineStr">
        <is>
          <t>佐野</t>
        </is>
      </c>
      <c r="V40" s="10" t="inlineStr">
        <is>
          <t>尾川</t>
        </is>
      </c>
      <c r="W40" s="10" t="inlineStr">
        <is>
          <t>上田</t>
        </is>
      </c>
      <c r="X40" s="10" t="inlineStr">
        <is>
          <t>河野</t>
        </is>
      </c>
      <c r="Y40" s="10" t="inlineStr">
        <is>
          <t>植山</t>
        </is>
      </c>
      <c r="Z40" s="10" t="inlineStr">
        <is>
          <t>柴田</t>
        </is>
      </c>
      <c r="AA40" s="10" t="inlineStr">
        <is>
          <t>山田真</t>
        </is>
      </c>
      <c r="AB40" s="10" t="inlineStr">
        <is>
          <t>藤原</t>
        </is>
      </c>
      <c r="AC40" s="10" t="inlineStr">
        <is>
          <t>井川</t>
        </is>
      </c>
      <c r="AD40" s="10" t="inlineStr">
        <is>
          <t>谷川</t>
        </is>
      </c>
      <c r="AE40" s="10" t="inlineStr">
        <is>
          <t>原</t>
        </is>
      </c>
      <c r="AF40" s="10" t="inlineStr">
        <is>
          <t>中嶌</t>
        </is>
      </c>
      <c r="AG40" s="10" t="inlineStr">
        <is>
          <t>山本幸</t>
        </is>
      </c>
      <c r="AH40" s="10" t="inlineStr">
        <is>
          <t>門谷</t>
        </is>
      </c>
      <c r="AI40" s="10" t="inlineStr">
        <is>
          <t>欠員②</t>
        </is>
      </c>
      <c r="AJ40" s="10" t="inlineStr">
        <is>
          <t>野口</t>
        </is>
      </c>
      <c r="AK40" s="10" t="inlineStr">
        <is>
          <t>中山</t>
        </is>
      </c>
      <c r="AL40" s="10" t="inlineStr">
        <is>
          <t>横山</t>
        </is>
      </c>
      <c r="AM40" s="10" t="inlineStr">
        <is>
          <t>市田</t>
        </is>
      </c>
      <c r="AN40" s="10" t="inlineStr">
        <is>
          <t>西村</t>
        </is>
      </c>
      <c r="AO40" s="10" t="inlineStr">
        <is>
          <t>内野</t>
        </is>
      </c>
      <c r="AP40" s="10" t="inlineStr">
        <is>
          <t>上野</t>
        </is>
      </c>
    </row>
    <row r="41" ht="15" customHeight="1" s="37">
      <c r="A41" t="inlineStr">
        <is>
          <t>2026-06-13</t>
        </is>
      </c>
      <c r="B41" s="10" t="inlineStr">
        <is>
          <t>土</t>
        </is>
      </c>
      <c r="C41" s="10" t="inlineStr">
        <is>
          <t>休日</t>
        </is>
      </c>
      <c r="E41" s="10" t="inlineStr">
        <is>
          <t>岡本</t>
        </is>
      </c>
      <c r="F41" s="10" t="inlineStr">
        <is>
          <t>田中</t>
        </is>
      </c>
      <c r="G41" s="10" t="inlineStr">
        <is>
          <t>尾川</t>
        </is>
      </c>
      <c r="H41" s="10" t="inlineStr">
        <is>
          <t>北川</t>
        </is>
      </c>
      <c r="I41" s="10" t="inlineStr">
        <is>
          <t>西村</t>
        </is>
      </c>
      <c r="J41" s="10" t="inlineStr">
        <is>
          <t>上田</t>
        </is>
      </c>
      <c r="K41" s="10" t="inlineStr">
        <is>
          <t>中嶌</t>
        </is>
      </c>
      <c r="L41" s="10" t="inlineStr">
        <is>
          <t>丸田</t>
        </is>
      </c>
      <c r="M41" s="10" t="inlineStr">
        <is>
          <t>井川</t>
        </is>
      </c>
      <c r="N41" s="10" t="inlineStr">
        <is>
          <t>山本高</t>
        </is>
      </c>
      <c r="O41" s="10" t="inlineStr">
        <is>
          <t>河野</t>
        </is>
      </c>
      <c r="P41" s="10" t="inlineStr">
        <is>
          <t>中山</t>
        </is>
      </c>
      <c r="Q41" s="10" t="inlineStr">
        <is>
          <t>安村</t>
        </is>
      </c>
      <c r="R41" s="10" t="inlineStr">
        <is>
          <t>山田真</t>
        </is>
      </c>
      <c r="S41" s="10" t="inlineStr">
        <is>
          <t>横山</t>
        </is>
      </c>
      <c r="T41" s="10" t="inlineStr">
        <is>
          <t>佐野</t>
        </is>
      </c>
      <c r="U41" s="10" t="inlineStr">
        <is>
          <t>上野</t>
        </is>
      </c>
      <c r="V41" s="10" t="inlineStr">
        <is>
          <t>門谷</t>
        </is>
      </c>
      <c r="W41" s="10" t="inlineStr">
        <is>
          <t>原</t>
        </is>
      </c>
      <c r="X41" s="10" t="inlineStr">
        <is>
          <t>富島</t>
        </is>
      </c>
      <c r="Y41" s="10" t="inlineStr">
        <is>
          <t>野口</t>
        </is>
      </c>
      <c r="Z41" s="10" t="inlineStr">
        <is>
          <t>藤原</t>
        </is>
      </c>
      <c r="AA41" s="10" t="inlineStr">
        <is>
          <t>市田</t>
        </is>
      </c>
      <c r="AB41" s="10" t="inlineStr">
        <is>
          <t>岩田</t>
        </is>
      </c>
      <c r="AC41" s="10" t="inlineStr">
        <is>
          <t>内野</t>
        </is>
      </c>
      <c r="AD41" s="10" t="inlineStr">
        <is>
          <t>馬場</t>
        </is>
      </c>
      <c r="AE41" s="10" t="inlineStr">
        <is>
          <t>横田</t>
        </is>
      </c>
      <c r="AF41" s="10" t="inlineStr">
        <is>
          <t>大川内</t>
        </is>
      </c>
      <c r="AG41" s="10" t="inlineStr">
        <is>
          <t>欠員①</t>
        </is>
      </c>
      <c r="AH41" s="10" t="inlineStr">
        <is>
          <t>山田久</t>
        </is>
      </c>
      <c r="AI41" s="10" t="inlineStr">
        <is>
          <t>矢田</t>
        </is>
      </c>
      <c r="AJ41" s="10" t="inlineStr">
        <is>
          <t>栗下</t>
        </is>
      </c>
      <c r="AK41" s="10" t="inlineStr">
        <is>
          <t>欠員②</t>
        </is>
      </c>
      <c r="AL41" s="10" t="inlineStr">
        <is>
          <t>植山</t>
        </is>
      </c>
      <c r="AM41" s="10" t="inlineStr">
        <is>
          <t>谷川</t>
        </is>
      </c>
      <c r="AN41" s="10" t="inlineStr">
        <is>
          <t>山本幸</t>
        </is>
      </c>
      <c r="AO41" s="10" t="inlineStr">
        <is>
          <t>中村</t>
        </is>
      </c>
      <c r="AP41" s="10" t="inlineStr">
        <is>
          <t>柴田</t>
        </is>
      </c>
    </row>
    <row r="42" ht="15" customHeight="1" s="37">
      <c r="A42" t="inlineStr">
        <is>
          <t>2026-06-14</t>
        </is>
      </c>
      <c r="B42" s="10" t="inlineStr">
        <is>
          <t>日</t>
        </is>
      </c>
      <c r="C42" s="10" t="inlineStr">
        <is>
          <t>休日</t>
        </is>
      </c>
      <c r="E42" s="10" t="inlineStr">
        <is>
          <t>横山</t>
        </is>
      </c>
      <c r="F42" s="10" t="inlineStr">
        <is>
          <t>井川</t>
        </is>
      </c>
      <c r="G42" s="10" t="inlineStr">
        <is>
          <t>門谷</t>
        </is>
      </c>
      <c r="H42" s="10" t="inlineStr">
        <is>
          <t>河野</t>
        </is>
      </c>
      <c r="I42" s="10" t="inlineStr">
        <is>
          <t>山本幸</t>
        </is>
      </c>
      <c r="J42" s="10" t="inlineStr">
        <is>
          <t>原</t>
        </is>
      </c>
      <c r="K42" s="10" t="inlineStr">
        <is>
          <t>大川内</t>
        </is>
      </c>
      <c r="L42" s="10" t="inlineStr">
        <is>
          <t>中山</t>
        </is>
      </c>
      <c r="M42" s="10" t="inlineStr">
        <is>
          <t>内野</t>
        </is>
      </c>
      <c r="N42" s="10" t="inlineStr">
        <is>
          <t>山田真</t>
        </is>
      </c>
      <c r="O42" s="10" t="inlineStr">
        <is>
          <t>富島</t>
        </is>
      </c>
      <c r="P42" s="10" t="inlineStr">
        <is>
          <t>欠員②</t>
        </is>
      </c>
      <c r="Q42" s="10" t="inlineStr">
        <is>
          <t>丸田</t>
        </is>
      </c>
      <c r="R42" s="10" t="inlineStr">
        <is>
          <t>市田</t>
        </is>
      </c>
      <c r="S42" s="10" t="inlineStr">
        <is>
          <t>植山</t>
        </is>
      </c>
      <c r="T42" s="10" t="inlineStr">
        <is>
          <t>上野</t>
        </is>
      </c>
      <c r="U42" s="10" t="inlineStr">
        <is>
          <t>柴田</t>
        </is>
      </c>
      <c r="V42" s="10" t="inlineStr">
        <is>
          <t>山田久</t>
        </is>
      </c>
      <c r="W42" s="10" t="inlineStr">
        <is>
          <t>横田</t>
        </is>
      </c>
      <c r="X42" s="10" t="inlineStr">
        <is>
          <t>中嶌</t>
        </is>
      </c>
      <c r="Y42" s="10" t="inlineStr">
        <is>
          <t>栗下</t>
        </is>
      </c>
      <c r="Z42" s="10" t="inlineStr">
        <is>
          <t>岩田</t>
        </is>
      </c>
      <c r="AA42" s="10" t="inlineStr">
        <is>
          <t>谷川</t>
        </is>
      </c>
      <c r="AB42" s="10" t="inlineStr">
        <is>
          <t>上田</t>
        </is>
      </c>
      <c r="AC42" s="10" t="inlineStr">
        <is>
          <t>中村</t>
        </is>
      </c>
      <c r="AD42" s="10" t="inlineStr">
        <is>
          <t>尾川</t>
        </is>
      </c>
      <c r="AE42" s="10" t="inlineStr">
        <is>
          <t>北川</t>
        </is>
      </c>
      <c r="AF42" s="10" t="inlineStr">
        <is>
          <t>田中</t>
        </is>
      </c>
      <c r="AG42" s="10" t="inlineStr">
        <is>
          <t>山本高</t>
        </is>
      </c>
      <c r="AH42" s="10" t="inlineStr">
        <is>
          <t>安村</t>
        </is>
      </c>
      <c r="AI42" s="10" t="inlineStr">
        <is>
          <t>佐野</t>
        </is>
      </c>
      <c r="AJ42" s="10" t="inlineStr">
        <is>
          <t>西村</t>
        </is>
      </c>
      <c r="AK42" s="10" t="inlineStr">
        <is>
          <t>矢田</t>
        </is>
      </c>
      <c r="AL42" s="10" t="inlineStr">
        <is>
          <t>野口</t>
        </is>
      </c>
      <c r="AM42" s="10" t="inlineStr">
        <is>
          <t>馬場</t>
        </is>
      </c>
      <c r="AN42" s="10" t="inlineStr">
        <is>
          <t>欠員①</t>
        </is>
      </c>
      <c r="AO42" s="10" t="inlineStr">
        <is>
          <t>岡本</t>
        </is>
      </c>
      <c r="AP42" s="10" t="inlineStr">
        <is>
          <t>藤原</t>
        </is>
      </c>
    </row>
    <row r="43" ht="15" customHeight="1" s="37">
      <c r="A43" t="inlineStr">
        <is>
          <t>2026-06-15</t>
        </is>
      </c>
      <c r="B43" s="10" t="inlineStr">
        <is>
          <t>月</t>
        </is>
      </c>
      <c r="C43" s="10" t="inlineStr">
        <is>
          <t>平日</t>
        </is>
      </c>
      <c r="E43" s="10" t="inlineStr">
        <is>
          <t>植山</t>
        </is>
      </c>
      <c r="F43" s="10" t="inlineStr">
        <is>
          <t>内野</t>
        </is>
      </c>
      <c r="G43" s="10" t="inlineStr">
        <is>
          <t>山田久</t>
        </is>
      </c>
      <c r="H43" s="10" t="inlineStr">
        <is>
          <t>富島</t>
        </is>
      </c>
      <c r="I43" s="10" t="inlineStr">
        <is>
          <t>欠員①</t>
        </is>
      </c>
      <c r="J43" s="10" t="inlineStr">
        <is>
          <t>横田</t>
        </is>
      </c>
      <c r="K43" s="10" t="inlineStr">
        <is>
          <t>田中</t>
        </is>
      </c>
      <c r="L43" s="10" t="inlineStr">
        <is>
          <t>欠員②</t>
        </is>
      </c>
      <c r="M43" s="10" t="inlineStr">
        <is>
          <t>中村</t>
        </is>
      </c>
      <c r="N43" s="10" t="inlineStr">
        <is>
          <t>市田</t>
        </is>
      </c>
      <c r="O43" s="10" t="inlineStr">
        <is>
          <t>中嶌</t>
        </is>
      </c>
      <c r="P43" s="10" t="inlineStr">
        <is>
          <t>矢田</t>
        </is>
      </c>
      <c r="Q43" s="10" t="inlineStr">
        <is>
          <t>中山</t>
        </is>
      </c>
      <c r="R43" s="10" t="inlineStr">
        <is>
          <t>谷川</t>
        </is>
      </c>
      <c r="S43" s="10" t="inlineStr">
        <is>
          <t>野口</t>
        </is>
      </c>
      <c r="T43" s="10" t="inlineStr">
        <is>
          <t>柴田</t>
        </is>
      </c>
      <c r="U43" s="10" t="inlineStr">
        <is>
          <t>藤原</t>
        </is>
      </c>
      <c r="V43" s="10" t="inlineStr">
        <is>
          <t>安村</t>
        </is>
      </c>
      <c r="W43" s="10" t="inlineStr">
        <is>
          <t>北川</t>
        </is>
      </c>
      <c r="X43" s="10" t="inlineStr">
        <is>
          <t>大川内</t>
        </is>
      </c>
      <c r="Y43" s="10" t="inlineStr">
        <is>
          <t>西村</t>
        </is>
      </c>
      <c r="Z43" s="10" t="inlineStr">
        <is>
          <t>上田</t>
        </is>
      </c>
      <c r="AA43" s="10" t="inlineStr">
        <is>
          <t>馬場</t>
        </is>
      </c>
      <c r="AB43" s="10" t="inlineStr">
        <is>
          <t>原</t>
        </is>
      </c>
      <c r="AC43" s="10" t="inlineStr">
        <is>
          <t>岡本</t>
        </is>
      </c>
      <c r="AD43" s="10" t="inlineStr">
        <is>
          <t>門谷</t>
        </is>
      </c>
      <c r="AE43" s="10" t="inlineStr">
        <is>
          <t>河野</t>
        </is>
      </c>
      <c r="AF43" s="10" t="inlineStr">
        <is>
          <t>井川</t>
        </is>
      </c>
      <c r="AG43" s="10" t="inlineStr">
        <is>
          <t>山田真</t>
        </is>
      </c>
      <c r="AH43" s="10" t="inlineStr">
        <is>
          <t>丸田</t>
        </is>
      </c>
      <c r="AI43" s="10" t="inlineStr">
        <is>
          <t>上野</t>
        </is>
      </c>
      <c r="AJ43" s="10" t="inlineStr">
        <is>
          <t>山本幸</t>
        </is>
      </c>
      <c r="AK43" s="10" t="inlineStr">
        <is>
          <t>佐野</t>
        </is>
      </c>
      <c r="AL43" s="10" t="inlineStr">
        <is>
          <t>栗下</t>
        </is>
      </c>
      <c r="AM43" s="10" t="inlineStr">
        <is>
          <t>尾川</t>
        </is>
      </c>
      <c r="AN43" s="10" t="inlineStr">
        <is>
          <t>山本高</t>
        </is>
      </c>
      <c r="AO43" s="10" t="inlineStr">
        <is>
          <t>横山</t>
        </is>
      </c>
      <c r="AP43" s="10" t="inlineStr">
        <is>
          <t>岩田</t>
        </is>
      </c>
    </row>
    <row r="44" ht="15" customHeight="1" s="37">
      <c r="A44" t="inlineStr">
        <is>
          <t>2026-06-16</t>
        </is>
      </c>
      <c r="B44" s="10" t="inlineStr">
        <is>
          <t>火</t>
        </is>
      </c>
      <c r="C44" s="10" t="inlineStr">
        <is>
          <t>平日</t>
        </is>
      </c>
      <c r="E44" s="10" t="inlineStr">
        <is>
          <t>野口</t>
        </is>
      </c>
      <c r="F44" s="10" t="inlineStr">
        <is>
          <t>中村</t>
        </is>
      </c>
      <c r="G44" s="10" t="inlineStr">
        <is>
          <t>安村</t>
        </is>
      </c>
      <c r="H44" s="10" t="inlineStr">
        <is>
          <t>中嶌</t>
        </is>
      </c>
      <c r="I44" s="10" t="inlineStr">
        <is>
          <t>山本高</t>
        </is>
      </c>
      <c r="J44" s="10" t="inlineStr">
        <is>
          <t>北川</t>
        </is>
      </c>
      <c r="K44" s="10" t="inlineStr">
        <is>
          <t>井川</t>
        </is>
      </c>
      <c r="L44" s="10" t="inlineStr">
        <is>
          <t>矢田</t>
        </is>
      </c>
      <c r="M44" s="10" t="inlineStr">
        <is>
          <t>岡本</t>
        </is>
      </c>
      <c r="N44" s="10" t="inlineStr">
        <is>
          <t>谷川</t>
        </is>
      </c>
      <c r="O44" s="10" t="inlineStr">
        <is>
          <t>大川内</t>
        </is>
      </c>
      <c r="P44" s="10" t="inlineStr">
        <is>
          <t>佐野</t>
        </is>
      </c>
      <c r="Q44" s="10" t="inlineStr">
        <is>
          <t>欠員②</t>
        </is>
      </c>
      <c r="R44" s="10" t="inlineStr">
        <is>
          <t>馬場</t>
        </is>
      </c>
      <c r="S44" s="10" t="inlineStr">
        <is>
          <t>栗下</t>
        </is>
      </c>
      <c r="T44" s="10" t="inlineStr">
        <is>
          <t>藤原</t>
        </is>
      </c>
      <c r="U44" s="10" t="inlineStr">
        <is>
          <t>岩田</t>
        </is>
      </c>
      <c r="V44" s="10" t="inlineStr">
        <is>
          <t>丸田</t>
        </is>
      </c>
      <c r="W44" s="10" t="inlineStr">
        <is>
          <t>河野</t>
        </is>
      </c>
      <c r="X44" s="10" t="inlineStr">
        <is>
          <t>田中</t>
        </is>
      </c>
      <c r="Y44" s="10" t="inlineStr">
        <is>
          <t>山本幸</t>
        </is>
      </c>
      <c r="Z44" s="10" t="inlineStr">
        <is>
          <t>原</t>
        </is>
      </c>
      <c r="AA44" s="10" t="inlineStr">
        <is>
          <t>尾川</t>
        </is>
      </c>
      <c r="AB44" s="10" t="inlineStr">
        <is>
          <t>横田</t>
        </is>
      </c>
      <c r="AC44" s="10" t="inlineStr">
        <is>
          <t>横山</t>
        </is>
      </c>
      <c r="AD44" s="10" t="inlineStr">
        <is>
          <t>山田久</t>
        </is>
      </c>
      <c r="AE44" s="10" t="inlineStr">
        <is>
          <t>富島</t>
        </is>
      </c>
      <c r="AF44" s="10" t="inlineStr">
        <is>
          <t>内野</t>
        </is>
      </c>
      <c r="AG44" s="10" t="inlineStr">
        <is>
          <t>市田</t>
        </is>
      </c>
      <c r="AH44" s="10" t="inlineStr">
        <is>
          <t>中山</t>
        </is>
      </c>
      <c r="AI44" s="10" t="inlineStr">
        <is>
          <t>柴田</t>
        </is>
      </c>
      <c r="AJ44" s="10" t="inlineStr">
        <is>
          <t>欠員①</t>
        </is>
      </c>
      <c r="AK44" s="10" t="inlineStr">
        <is>
          <t>上野</t>
        </is>
      </c>
      <c r="AL44" s="10" t="inlineStr">
        <is>
          <t>西村</t>
        </is>
      </c>
      <c r="AM44" s="10" t="inlineStr">
        <is>
          <t>門谷</t>
        </is>
      </c>
      <c r="AN44" s="10" t="inlineStr">
        <is>
          <t>山田真</t>
        </is>
      </c>
      <c r="AO44" s="10" t="inlineStr">
        <is>
          <t>植山</t>
        </is>
      </c>
      <c r="AP44" s="10" t="inlineStr">
        <is>
          <t>上田</t>
        </is>
      </c>
    </row>
    <row r="45" ht="15" customHeight="1" s="37">
      <c r="A45" t="inlineStr">
        <is>
          <t>2026-06-17</t>
        </is>
      </c>
      <c r="B45" s="10" t="inlineStr">
        <is>
          <t>水</t>
        </is>
      </c>
      <c r="C45" s="10" t="inlineStr">
        <is>
          <t>平日</t>
        </is>
      </c>
      <c r="E45" s="10" t="inlineStr">
        <is>
          <t>栗下</t>
        </is>
      </c>
      <c r="F45" s="10" t="inlineStr">
        <is>
          <t>岡本</t>
        </is>
      </c>
      <c r="G45" s="10" t="inlineStr">
        <is>
          <t>丸田</t>
        </is>
      </c>
      <c r="H45" s="10" t="inlineStr">
        <is>
          <t>大川内</t>
        </is>
      </c>
      <c r="I45" s="10" t="inlineStr">
        <is>
          <t>山田真</t>
        </is>
      </c>
      <c r="J45" s="10" t="inlineStr">
        <is>
          <t>河野</t>
        </is>
      </c>
      <c r="K45" s="10" t="inlineStr">
        <is>
          <t>内野</t>
        </is>
      </c>
      <c r="L45" s="10" t="inlineStr">
        <is>
          <t>佐野</t>
        </is>
      </c>
      <c r="M45" s="10" t="inlineStr">
        <is>
          <t>横山</t>
        </is>
      </c>
      <c r="N45" s="10" t="inlineStr">
        <is>
          <t>馬場</t>
        </is>
      </c>
      <c r="O45" s="10" t="inlineStr">
        <is>
          <t>田中</t>
        </is>
      </c>
      <c r="P45" s="10" t="inlineStr">
        <is>
          <t>上野</t>
        </is>
      </c>
      <c r="Q45" s="10" t="inlineStr">
        <is>
          <t>矢田</t>
        </is>
      </c>
      <c r="R45" s="10" t="inlineStr">
        <is>
          <t>尾川</t>
        </is>
      </c>
      <c r="S45" s="10" t="inlineStr">
        <is>
          <t>西村</t>
        </is>
      </c>
      <c r="T45" s="10" t="inlineStr">
        <is>
          <t>岩田</t>
        </is>
      </c>
      <c r="U45" s="10" t="inlineStr">
        <is>
          <t>上田</t>
        </is>
      </c>
      <c r="V45" s="10" t="inlineStr">
        <is>
          <t>中山</t>
        </is>
      </c>
      <c r="W45" s="10" t="inlineStr">
        <is>
          <t>富島</t>
        </is>
      </c>
      <c r="X45" s="10" t="inlineStr">
        <is>
          <t>井川</t>
        </is>
      </c>
      <c r="Y45" s="10" t="inlineStr">
        <is>
          <t>欠員①</t>
        </is>
      </c>
      <c r="Z45" s="10" t="inlineStr">
        <is>
          <t>横田</t>
        </is>
      </c>
      <c r="AA45" s="10" t="inlineStr">
        <is>
          <t>門谷</t>
        </is>
      </c>
      <c r="AB45" s="10" t="inlineStr">
        <is>
          <t>北川</t>
        </is>
      </c>
      <c r="AC45" s="10" t="inlineStr">
        <is>
          <t>植山</t>
        </is>
      </c>
      <c r="AD45" s="10" t="inlineStr">
        <is>
          <t>安村</t>
        </is>
      </c>
      <c r="AE45" s="10" t="inlineStr">
        <is>
          <t>中嶌</t>
        </is>
      </c>
      <c r="AF45" s="10" t="inlineStr">
        <is>
          <t>中村</t>
        </is>
      </c>
      <c r="AG45" s="10" t="inlineStr">
        <is>
          <t>谷川</t>
        </is>
      </c>
      <c r="AH45" s="10" t="inlineStr">
        <is>
          <t>欠員②</t>
        </is>
      </c>
      <c r="AI45" s="10" t="inlineStr">
        <is>
          <t>藤原</t>
        </is>
      </c>
      <c r="AJ45" s="10" t="inlineStr">
        <is>
          <t>山本高</t>
        </is>
      </c>
      <c r="AK45" s="10" t="inlineStr">
        <is>
          <t>柴田</t>
        </is>
      </c>
      <c r="AL45" s="10" t="inlineStr">
        <is>
          <t>山本幸</t>
        </is>
      </c>
      <c r="AM45" s="10" t="inlineStr">
        <is>
          <t>山田久</t>
        </is>
      </c>
      <c r="AN45" s="10" t="inlineStr">
        <is>
          <t>市田</t>
        </is>
      </c>
      <c r="AO45" s="10" t="inlineStr">
        <is>
          <t>野口</t>
        </is>
      </c>
      <c r="AP45" s="10" t="inlineStr">
        <is>
          <t>原</t>
        </is>
      </c>
    </row>
    <row r="46" ht="15" customHeight="1" s="37">
      <c r="A46" t="inlineStr">
        <is>
          <t>2026-06-18</t>
        </is>
      </c>
      <c r="B46" s="10" t="inlineStr">
        <is>
          <t>木</t>
        </is>
      </c>
      <c r="C46" s="10" t="inlineStr">
        <is>
          <t>平日</t>
        </is>
      </c>
      <c r="E46" s="10" t="inlineStr">
        <is>
          <t>西村</t>
        </is>
      </c>
      <c r="F46" s="10" t="inlineStr">
        <is>
          <t>横山</t>
        </is>
      </c>
      <c r="G46" s="10" t="inlineStr">
        <is>
          <t>中山</t>
        </is>
      </c>
      <c r="H46" s="10" t="inlineStr">
        <is>
          <t>田中</t>
        </is>
      </c>
      <c r="I46" s="10" t="inlineStr">
        <is>
          <t>市田</t>
        </is>
      </c>
      <c r="J46" s="10" t="inlineStr">
        <is>
          <t>富島</t>
        </is>
      </c>
      <c r="K46" s="10" t="inlineStr">
        <is>
          <t>中村</t>
        </is>
      </c>
      <c r="L46" s="10" t="inlineStr">
        <is>
          <t>上野</t>
        </is>
      </c>
      <c r="M46" s="10" t="inlineStr">
        <is>
          <t>植山</t>
        </is>
      </c>
      <c r="N46" s="10" t="inlineStr">
        <is>
          <t>尾川</t>
        </is>
      </c>
      <c r="O46" s="10" t="inlineStr">
        <is>
          <t>井川</t>
        </is>
      </c>
      <c r="P46" s="10" t="inlineStr">
        <is>
          <t>柴田</t>
        </is>
      </c>
      <c r="Q46" s="10" t="inlineStr">
        <is>
          <t>佐野</t>
        </is>
      </c>
      <c r="R46" s="10" t="inlineStr">
        <is>
          <t>門谷</t>
        </is>
      </c>
      <c r="S46" s="10" t="inlineStr">
        <is>
          <t>山本幸</t>
        </is>
      </c>
      <c r="T46" s="10" t="inlineStr">
        <is>
          <t>上田</t>
        </is>
      </c>
      <c r="U46" s="10" t="inlineStr">
        <is>
          <t>原</t>
        </is>
      </c>
      <c r="V46" s="10" t="inlineStr">
        <is>
          <t>欠員②</t>
        </is>
      </c>
      <c r="W46" s="10" t="inlineStr">
        <is>
          <t>中嶌</t>
        </is>
      </c>
      <c r="X46" s="10" t="inlineStr">
        <is>
          <t>内野</t>
        </is>
      </c>
      <c r="Y46" s="10" t="inlineStr">
        <is>
          <t>山本高</t>
        </is>
      </c>
      <c r="Z46" s="10" t="inlineStr">
        <is>
          <t>北川</t>
        </is>
      </c>
      <c r="AA46" s="10" t="inlineStr">
        <is>
          <t>山田久</t>
        </is>
      </c>
      <c r="AB46" s="10" t="inlineStr">
        <is>
          <t>河野</t>
        </is>
      </c>
      <c r="AC46" s="10" t="inlineStr">
        <is>
          <t>野口</t>
        </is>
      </c>
      <c r="AD46" s="10" t="inlineStr">
        <is>
          <t>丸田</t>
        </is>
      </c>
      <c r="AE46" s="10" t="inlineStr">
        <is>
          <t>大川内</t>
        </is>
      </c>
      <c r="AF46" s="10" t="inlineStr">
        <is>
          <t>岡本</t>
        </is>
      </c>
      <c r="AG46" s="10" t="inlineStr">
        <is>
          <t>馬場</t>
        </is>
      </c>
      <c r="AH46" s="10" t="inlineStr">
        <is>
          <t>矢田</t>
        </is>
      </c>
      <c r="AI46" s="10" t="inlineStr">
        <is>
          <t>岩田</t>
        </is>
      </c>
      <c r="AJ46" s="10" t="inlineStr">
        <is>
          <t>山田真</t>
        </is>
      </c>
      <c r="AK46" s="10" t="inlineStr">
        <is>
          <t>藤原</t>
        </is>
      </c>
      <c r="AL46" s="10" t="inlineStr">
        <is>
          <t>欠員①</t>
        </is>
      </c>
      <c r="AM46" s="10" t="inlineStr">
        <is>
          <t>安村</t>
        </is>
      </c>
      <c r="AN46" s="10" t="inlineStr">
        <is>
          <t>谷川</t>
        </is>
      </c>
      <c r="AO46" s="10" t="inlineStr">
        <is>
          <t>栗下</t>
        </is>
      </c>
      <c r="AP46" s="10" t="inlineStr">
        <is>
          <t>横田</t>
        </is>
      </c>
    </row>
    <row r="47" ht="15" customHeight="1" s="37">
      <c r="A47" t="inlineStr">
        <is>
          <t>2026-06-19</t>
        </is>
      </c>
      <c r="B47" s="10" t="inlineStr">
        <is>
          <t>金</t>
        </is>
      </c>
      <c r="C47" s="10" t="inlineStr">
        <is>
          <t>平日</t>
        </is>
      </c>
      <c r="E47" s="10" t="inlineStr">
        <is>
          <t>山本幸</t>
        </is>
      </c>
      <c r="F47" s="10" t="inlineStr">
        <is>
          <t>植山</t>
        </is>
      </c>
      <c r="G47" s="10" t="inlineStr">
        <is>
          <t>欠員②</t>
        </is>
      </c>
      <c r="H47" s="10" t="inlineStr">
        <is>
          <t>井川</t>
        </is>
      </c>
      <c r="I47" s="10" t="inlineStr">
        <is>
          <t>谷川</t>
        </is>
      </c>
      <c r="J47" s="10" t="inlineStr">
        <is>
          <t>中嶌</t>
        </is>
      </c>
      <c r="K47" s="10" t="inlineStr">
        <is>
          <t>岡本</t>
        </is>
      </c>
      <c r="L47" s="10" t="inlineStr">
        <is>
          <t>柴田</t>
        </is>
      </c>
      <c r="M47" s="10" t="inlineStr">
        <is>
          <t>野口</t>
        </is>
      </c>
      <c r="N47" s="10" t="inlineStr">
        <is>
          <t>門谷</t>
        </is>
      </c>
      <c r="O47" s="10" t="inlineStr">
        <is>
          <t>内野</t>
        </is>
      </c>
      <c r="P47" s="10" t="inlineStr">
        <is>
          <t>藤原</t>
        </is>
      </c>
      <c r="Q47" s="10" t="inlineStr">
        <is>
          <t>上野</t>
        </is>
      </c>
      <c r="R47" s="10" t="inlineStr">
        <is>
          <t>山田久</t>
        </is>
      </c>
      <c r="S47" s="10" t="inlineStr">
        <is>
          <t>欠員①</t>
        </is>
      </c>
      <c r="T47" s="10" t="inlineStr">
        <is>
          <t>原</t>
        </is>
      </c>
      <c r="U47" s="10" t="inlineStr">
        <is>
          <t>横田</t>
        </is>
      </c>
      <c r="V47" s="10" t="inlineStr">
        <is>
          <t>矢田</t>
        </is>
      </c>
      <c r="W47" s="10" t="inlineStr">
        <is>
          <t>大川内</t>
        </is>
      </c>
      <c r="X47" s="10" t="inlineStr">
        <is>
          <t>中村</t>
        </is>
      </c>
      <c r="Y47" s="10" t="inlineStr">
        <is>
          <t>山田真</t>
        </is>
      </c>
      <c r="Z47" s="10" t="inlineStr">
        <is>
          <t>河野</t>
        </is>
      </c>
      <c r="AA47" s="10" t="inlineStr">
        <is>
          <t>安村</t>
        </is>
      </c>
      <c r="AB47" s="10" t="inlineStr">
        <is>
          <t>富島</t>
        </is>
      </c>
      <c r="AC47" s="10" t="inlineStr">
        <is>
          <t>栗下</t>
        </is>
      </c>
      <c r="AD47" s="10" t="inlineStr">
        <is>
          <t>中山</t>
        </is>
      </c>
      <c r="AE47" s="10" t="inlineStr">
        <is>
          <t>田中</t>
        </is>
      </c>
      <c r="AF47" s="10" t="inlineStr">
        <is>
          <t>横山</t>
        </is>
      </c>
      <c r="AG47" s="10" t="inlineStr">
        <is>
          <t>尾川</t>
        </is>
      </c>
      <c r="AH47" s="10" t="inlineStr">
        <is>
          <t>佐野</t>
        </is>
      </c>
      <c r="AI47" s="10" t="inlineStr">
        <is>
          <t>上田</t>
        </is>
      </c>
      <c r="AJ47" s="10" t="inlineStr">
        <is>
          <t>市田</t>
        </is>
      </c>
      <c r="AK47" s="10" t="inlineStr">
        <is>
          <t>岩田</t>
        </is>
      </c>
      <c r="AL47" s="10" t="inlineStr">
        <is>
          <t>山本高</t>
        </is>
      </c>
      <c r="AM47" s="10" t="inlineStr">
        <is>
          <t>丸田</t>
        </is>
      </c>
      <c r="AN47" s="10" t="inlineStr">
        <is>
          <t>馬場</t>
        </is>
      </c>
      <c r="AO47" s="10" t="inlineStr">
        <is>
          <t>西村</t>
        </is>
      </c>
      <c r="AP47" s="10" t="inlineStr">
        <is>
          <t>北川</t>
        </is>
      </c>
    </row>
    <row r="48" ht="15" customHeight="1" s="37">
      <c r="A48" t="inlineStr">
        <is>
          <t>2026-06-20</t>
        </is>
      </c>
      <c r="B48" s="10" t="inlineStr">
        <is>
          <t>土</t>
        </is>
      </c>
      <c r="C48" s="10" t="inlineStr">
        <is>
          <t>休日</t>
        </is>
      </c>
      <c r="E48" s="10" t="inlineStr">
        <is>
          <t>欠員①</t>
        </is>
      </c>
      <c r="F48" s="10" t="inlineStr">
        <is>
          <t>野口</t>
        </is>
      </c>
      <c r="G48" s="10" t="inlineStr">
        <is>
          <t>矢田</t>
        </is>
      </c>
      <c r="H48" s="10" t="inlineStr">
        <is>
          <t>内野</t>
        </is>
      </c>
      <c r="I48" s="10" t="inlineStr">
        <is>
          <t>馬場</t>
        </is>
      </c>
      <c r="J48" s="10" t="inlineStr">
        <is>
          <t>大川内</t>
        </is>
      </c>
      <c r="K48" s="10" t="inlineStr">
        <is>
          <t>横山</t>
        </is>
      </c>
      <c r="L48" s="10" t="inlineStr">
        <is>
          <t>藤原</t>
        </is>
      </c>
      <c r="M48" s="10" t="inlineStr">
        <is>
          <t>栗下</t>
        </is>
      </c>
      <c r="N48" s="10" t="inlineStr">
        <is>
          <t>山田久</t>
        </is>
      </c>
      <c r="O48" s="10" t="inlineStr">
        <is>
          <t>中村</t>
        </is>
      </c>
      <c r="P48" s="10" t="inlineStr">
        <is>
          <t>岩田</t>
        </is>
      </c>
      <c r="Q48" s="10" t="inlineStr">
        <is>
          <t>柴田</t>
        </is>
      </c>
      <c r="R48" s="10" t="inlineStr">
        <is>
          <t>安村</t>
        </is>
      </c>
      <c r="S48" s="10" t="inlineStr">
        <is>
          <t>山本高</t>
        </is>
      </c>
      <c r="T48" s="10" t="inlineStr">
        <is>
          <t>横田</t>
        </is>
      </c>
      <c r="U48" s="10" t="inlineStr">
        <is>
          <t>北川</t>
        </is>
      </c>
      <c r="V48" s="10" t="inlineStr">
        <is>
          <t>佐野</t>
        </is>
      </c>
      <c r="W48" s="10" t="inlineStr">
        <is>
          <t>田中</t>
        </is>
      </c>
      <c r="X48" s="10" t="inlineStr">
        <is>
          <t>岡本</t>
        </is>
      </c>
      <c r="Y48" s="10" t="inlineStr">
        <is>
          <t>市田</t>
        </is>
      </c>
      <c r="Z48" s="10" t="inlineStr">
        <is>
          <t>富島</t>
        </is>
      </c>
      <c r="AA48" s="10" t="inlineStr">
        <is>
          <t>丸田</t>
        </is>
      </c>
      <c r="AB48" s="10" t="inlineStr">
        <is>
          <t>中嶌</t>
        </is>
      </c>
      <c r="AC48" s="10" t="inlineStr">
        <is>
          <t>西村</t>
        </is>
      </c>
      <c r="AD48" s="10" t="inlineStr">
        <is>
          <t>欠員②</t>
        </is>
      </c>
      <c r="AE48" s="10" t="inlineStr">
        <is>
          <t>井川</t>
        </is>
      </c>
      <c r="AF48" s="10" t="inlineStr">
        <is>
          <t>植山</t>
        </is>
      </c>
      <c r="AG48" s="10" t="inlineStr">
        <is>
          <t>門谷</t>
        </is>
      </c>
      <c r="AH48" s="10" t="inlineStr">
        <is>
          <t>上野</t>
        </is>
      </c>
      <c r="AI48" s="10" t="inlineStr">
        <is>
          <t>原</t>
        </is>
      </c>
      <c r="AJ48" s="10" t="inlineStr">
        <is>
          <t>谷川</t>
        </is>
      </c>
      <c r="AK48" s="10" t="inlineStr">
        <is>
          <t>上田</t>
        </is>
      </c>
      <c r="AL48" s="10" t="inlineStr">
        <is>
          <t>山田真</t>
        </is>
      </c>
      <c r="AM48" s="10" t="inlineStr">
        <is>
          <t>中山</t>
        </is>
      </c>
      <c r="AN48" s="10" t="inlineStr">
        <is>
          <t>尾川</t>
        </is>
      </c>
      <c r="AO48" s="10" t="inlineStr">
        <is>
          <t>山本幸</t>
        </is>
      </c>
      <c r="AP48" s="10" t="inlineStr">
        <is>
          <t>河野</t>
        </is>
      </c>
    </row>
    <row r="49" ht="15" customHeight="1" s="37">
      <c r="A49" t="inlineStr">
        <is>
          <t>2026-06-21</t>
        </is>
      </c>
      <c r="B49" s="10" t="inlineStr">
        <is>
          <t>日</t>
        </is>
      </c>
      <c r="C49" s="10" t="inlineStr">
        <is>
          <t>休日</t>
        </is>
      </c>
      <c r="E49" s="10" t="inlineStr">
        <is>
          <t>山本高</t>
        </is>
      </c>
      <c r="F49" s="10" t="inlineStr">
        <is>
          <t>栗下</t>
        </is>
      </c>
      <c r="G49" s="10" t="inlineStr">
        <is>
          <t>佐野</t>
        </is>
      </c>
      <c r="H49" s="10" t="inlineStr">
        <is>
          <t>中村</t>
        </is>
      </c>
      <c r="I49" s="10" t="inlineStr">
        <is>
          <t>尾川</t>
        </is>
      </c>
      <c r="J49" s="10" t="inlineStr">
        <is>
          <t>田中</t>
        </is>
      </c>
      <c r="K49" s="10" t="inlineStr">
        <is>
          <t>植山</t>
        </is>
      </c>
      <c r="L49" s="10" t="inlineStr">
        <is>
          <t>岩田</t>
        </is>
      </c>
      <c r="M49" s="10" t="inlineStr">
        <is>
          <t>西村</t>
        </is>
      </c>
      <c r="N49" s="10" t="inlineStr">
        <is>
          <t>安村</t>
        </is>
      </c>
      <c r="O49" s="10" t="inlineStr">
        <is>
          <t>岡本</t>
        </is>
      </c>
      <c r="P49" s="10" t="inlineStr">
        <is>
          <t>上田</t>
        </is>
      </c>
      <c r="Q49" s="10" t="inlineStr">
        <is>
          <t>藤原</t>
        </is>
      </c>
      <c r="R49" s="10" t="inlineStr">
        <is>
          <t>丸田</t>
        </is>
      </c>
      <c r="S49" s="10" t="inlineStr">
        <is>
          <t>山田真</t>
        </is>
      </c>
      <c r="T49" s="10" t="inlineStr">
        <is>
          <t>北川</t>
        </is>
      </c>
      <c r="U49" s="10" t="inlineStr">
        <is>
          <t>河野</t>
        </is>
      </c>
      <c r="V49" s="10" t="inlineStr">
        <is>
          <t>上野</t>
        </is>
      </c>
      <c r="W49" s="10" t="inlineStr">
        <is>
          <t>井川</t>
        </is>
      </c>
      <c r="X49" s="10" t="inlineStr">
        <is>
          <t>横山</t>
        </is>
      </c>
      <c r="Y49" s="10" t="inlineStr">
        <is>
          <t>谷川</t>
        </is>
      </c>
      <c r="Z49" s="10" t="inlineStr">
        <is>
          <t>中嶌</t>
        </is>
      </c>
      <c r="AA49" s="10" t="inlineStr">
        <is>
          <t>中山</t>
        </is>
      </c>
      <c r="AB49" s="10" t="inlineStr">
        <is>
          <t>大川内</t>
        </is>
      </c>
      <c r="AC49" s="10" t="inlineStr">
        <is>
          <t>山本幸</t>
        </is>
      </c>
      <c r="AD49" s="10" t="inlineStr">
        <is>
          <t>矢田</t>
        </is>
      </c>
      <c r="AE49" s="10" t="inlineStr">
        <is>
          <t>内野</t>
        </is>
      </c>
      <c r="AF49" s="10" t="inlineStr">
        <is>
          <t>野口</t>
        </is>
      </c>
      <c r="AG49" s="10" t="inlineStr">
        <is>
          <t>山田久</t>
        </is>
      </c>
      <c r="AH49" s="10" t="inlineStr">
        <is>
          <t>柴田</t>
        </is>
      </c>
      <c r="AI49" s="10" t="inlineStr">
        <is>
          <t>横田</t>
        </is>
      </c>
      <c r="AJ49" s="10" t="inlineStr">
        <is>
          <t>馬場</t>
        </is>
      </c>
      <c r="AK49" s="10" t="inlineStr">
        <is>
          <t>原</t>
        </is>
      </c>
      <c r="AL49" s="10" t="inlineStr">
        <is>
          <t>市田</t>
        </is>
      </c>
      <c r="AM49" s="10" t="inlineStr">
        <is>
          <t>欠員②</t>
        </is>
      </c>
      <c r="AN49" s="10" t="inlineStr">
        <is>
          <t>門谷</t>
        </is>
      </c>
      <c r="AO49" s="10" t="inlineStr">
        <is>
          <t>欠員①</t>
        </is>
      </c>
      <c r="AP49" s="10" t="inlineStr">
        <is>
          <t>富島</t>
        </is>
      </c>
    </row>
    <row r="50" ht="15" customHeight="1" s="37">
      <c r="A50" t="inlineStr">
        <is>
          <t>2026-06-22</t>
        </is>
      </c>
      <c r="B50" s="10" t="inlineStr">
        <is>
          <t>月</t>
        </is>
      </c>
      <c r="C50" s="10" t="inlineStr">
        <is>
          <t>平日</t>
        </is>
      </c>
      <c r="E50" s="10" t="inlineStr">
        <is>
          <t>山田真</t>
        </is>
      </c>
      <c r="F50" s="10" t="inlineStr">
        <is>
          <t>西村</t>
        </is>
      </c>
      <c r="G50" s="10" t="inlineStr">
        <is>
          <t>上野</t>
        </is>
      </c>
      <c r="H50" s="10" t="inlineStr">
        <is>
          <t>岡本</t>
        </is>
      </c>
      <c r="I50" s="10" t="inlineStr">
        <is>
          <t>門谷</t>
        </is>
      </c>
      <c r="J50" s="10" t="inlineStr">
        <is>
          <t>井川</t>
        </is>
      </c>
      <c r="K50" s="10" t="inlineStr">
        <is>
          <t>野口</t>
        </is>
      </c>
      <c r="L50" s="10" t="inlineStr">
        <is>
          <t>上田</t>
        </is>
      </c>
      <c r="M50" s="10" t="inlineStr">
        <is>
          <t>山本幸</t>
        </is>
      </c>
      <c r="N50" s="10" t="inlineStr">
        <is>
          <t>丸田</t>
        </is>
      </c>
      <c r="O50" s="10" t="inlineStr">
        <is>
          <t>横山</t>
        </is>
      </c>
      <c r="P50" s="10" t="inlineStr">
        <is>
          <t>原</t>
        </is>
      </c>
      <c r="Q50" s="10" t="inlineStr">
        <is>
          <t>岩田</t>
        </is>
      </c>
      <c r="R50" s="10" t="inlineStr">
        <is>
          <t>中山</t>
        </is>
      </c>
      <c r="S50" s="10" t="inlineStr">
        <is>
          <t>市田</t>
        </is>
      </c>
      <c r="T50" s="10" t="inlineStr">
        <is>
          <t>河野</t>
        </is>
      </c>
      <c r="U50" s="10" t="inlineStr">
        <is>
          <t>富島</t>
        </is>
      </c>
      <c r="V50" s="10" t="inlineStr">
        <is>
          <t>柴田</t>
        </is>
      </c>
      <c r="W50" s="10" t="inlineStr">
        <is>
          <t>内野</t>
        </is>
      </c>
      <c r="X50" s="10" t="inlineStr">
        <is>
          <t>植山</t>
        </is>
      </c>
      <c r="Y50" s="10" t="inlineStr">
        <is>
          <t>馬場</t>
        </is>
      </c>
      <c r="Z50" s="10" t="inlineStr">
        <is>
          <t>大川内</t>
        </is>
      </c>
      <c r="AA50" s="10" t="inlineStr">
        <is>
          <t>欠員②</t>
        </is>
      </c>
      <c r="AB50" s="10" t="inlineStr">
        <is>
          <t>田中</t>
        </is>
      </c>
      <c r="AC50" s="10" t="inlineStr">
        <is>
          <t>欠員①</t>
        </is>
      </c>
      <c r="AD50" s="10" t="inlineStr">
        <is>
          <t>佐野</t>
        </is>
      </c>
      <c r="AE50" s="10" t="inlineStr">
        <is>
          <t>中村</t>
        </is>
      </c>
      <c r="AF50" s="10" t="inlineStr">
        <is>
          <t>栗下</t>
        </is>
      </c>
      <c r="AG50" s="10" t="inlineStr">
        <is>
          <t>安村</t>
        </is>
      </c>
      <c r="AH50" s="10" t="inlineStr">
        <is>
          <t>藤原</t>
        </is>
      </c>
      <c r="AI50" s="10" t="inlineStr">
        <is>
          <t>北川</t>
        </is>
      </c>
      <c r="AJ50" s="10" t="inlineStr">
        <is>
          <t>尾川</t>
        </is>
      </c>
      <c r="AK50" s="10" t="inlineStr">
        <is>
          <t>横田</t>
        </is>
      </c>
      <c r="AL50" s="10" t="inlineStr">
        <is>
          <t>谷川</t>
        </is>
      </c>
      <c r="AM50" s="10" t="inlineStr">
        <is>
          <t>矢田</t>
        </is>
      </c>
      <c r="AN50" s="10" t="inlineStr">
        <is>
          <t>山田久</t>
        </is>
      </c>
      <c r="AO50" s="10" t="inlineStr">
        <is>
          <t>山本高</t>
        </is>
      </c>
      <c r="AP50" s="10" t="inlineStr">
        <is>
          <t>中嶌</t>
        </is>
      </c>
    </row>
    <row r="51" ht="15" customHeight="1" s="37">
      <c r="A51" t="inlineStr">
        <is>
          <t>2026-06-23</t>
        </is>
      </c>
      <c r="B51" s="10" t="inlineStr">
        <is>
          <t>火</t>
        </is>
      </c>
      <c r="C51" s="10" t="inlineStr">
        <is>
          <t>平日</t>
        </is>
      </c>
      <c r="E51" s="10" t="inlineStr">
        <is>
          <t>市田</t>
        </is>
      </c>
      <c r="F51" s="10" t="inlineStr">
        <is>
          <t>山本幸</t>
        </is>
      </c>
      <c r="G51" s="10" t="inlineStr">
        <is>
          <t>柴田</t>
        </is>
      </c>
      <c r="H51" s="10" t="inlineStr">
        <is>
          <t>横山</t>
        </is>
      </c>
      <c r="I51" s="10" t="inlineStr">
        <is>
          <t>山田久</t>
        </is>
      </c>
      <c r="J51" s="10" t="inlineStr">
        <is>
          <t>内野</t>
        </is>
      </c>
      <c r="K51" s="10" t="inlineStr">
        <is>
          <t>栗下</t>
        </is>
      </c>
      <c r="L51" s="10" t="inlineStr">
        <is>
          <t>原</t>
        </is>
      </c>
      <c r="M51" s="10" t="inlineStr">
        <is>
          <t>欠員①</t>
        </is>
      </c>
      <c r="N51" s="10" t="inlineStr">
        <is>
          <t>中山</t>
        </is>
      </c>
      <c r="O51" s="10" t="inlineStr">
        <is>
          <t>植山</t>
        </is>
      </c>
      <c r="P51" s="10" t="inlineStr">
        <is>
          <t>横田</t>
        </is>
      </c>
      <c r="Q51" s="10" t="inlineStr">
        <is>
          <t>上田</t>
        </is>
      </c>
      <c r="R51" s="10" t="inlineStr">
        <is>
          <t>欠員②</t>
        </is>
      </c>
      <c r="S51" s="10" t="inlineStr">
        <is>
          <t>谷川</t>
        </is>
      </c>
      <c r="T51" s="10" t="inlineStr">
        <is>
          <t>富島</t>
        </is>
      </c>
      <c r="U51" s="10" t="inlineStr">
        <is>
          <t>中嶌</t>
        </is>
      </c>
      <c r="V51" s="10" t="inlineStr">
        <is>
          <t>藤原</t>
        </is>
      </c>
      <c r="W51" s="10" t="inlineStr">
        <is>
          <t>中村</t>
        </is>
      </c>
      <c r="X51" s="10" t="inlineStr">
        <is>
          <t>野口</t>
        </is>
      </c>
      <c r="Y51" s="10" t="inlineStr">
        <is>
          <t>尾川</t>
        </is>
      </c>
      <c r="Z51" s="10" t="inlineStr">
        <is>
          <t>田中</t>
        </is>
      </c>
      <c r="AA51" s="10" t="inlineStr">
        <is>
          <t>矢田</t>
        </is>
      </c>
      <c r="AB51" s="10" t="inlineStr">
        <is>
          <t>井川</t>
        </is>
      </c>
      <c r="AC51" s="10" t="inlineStr">
        <is>
          <t>山本高</t>
        </is>
      </c>
      <c r="AD51" s="10" t="inlineStr">
        <is>
          <t>上野</t>
        </is>
      </c>
      <c r="AE51" s="10" t="inlineStr">
        <is>
          <t>岡本</t>
        </is>
      </c>
      <c r="AF51" s="10" t="inlineStr">
        <is>
          <t>西村</t>
        </is>
      </c>
      <c r="AG51" s="10" t="inlineStr">
        <is>
          <t>丸田</t>
        </is>
      </c>
      <c r="AH51" s="10" t="inlineStr">
        <is>
          <t>岩田</t>
        </is>
      </c>
      <c r="AI51" s="10" t="inlineStr">
        <is>
          <t>河野</t>
        </is>
      </c>
      <c r="AJ51" s="10" t="inlineStr">
        <is>
          <t>門谷</t>
        </is>
      </c>
      <c r="AK51" s="10" t="inlineStr">
        <is>
          <t>北川</t>
        </is>
      </c>
      <c r="AL51" s="10" t="inlineStr">
        <is>
          <t>馬場</t>
        </is>
      </c>
      <c r="AM51" s="10" t="inlineStr">
        <is>
          <t>佐野</t>
        </is>
      </c>
      <c r="AN51" s="10" t="inlineStr">
        <is>
          <t>安村</t>
        </is>
      </c>
      <c r="AO51" s="10" t="inlineStr">
        <is>
          <t>山田真</t>
        </is>
      </c>
      <c r="AP51" s="10" t="inlineStr">
        <is>
          <t>大川内</t>
        </is>
      </c>
    </row>
    <row r="52" ht="15" customHeight="1" s="37">
      <c r="A52" t="inlineStr">
        <is>
          <t>2026-06-24</t>
        </is>
      </c>
      <c r="B52" s="10" t="inlineStr">
        <is>
          <t>水</t>
        </is>
      </c>
      <c r="C52" s="10" t="inlineStr">
        <is>
          <t>平日</t>
        </is>
      </c>
      <c r="E52" s="10" t="inlineStr">
        <is>
          <t>谷川</t>
        </is>
      </c>
      <c r="F52" s="10" t="inlineStr">
        <is>
          <t>欠員①</t>
        </is>
      </c>
      <c r="G52" s="10" t="inlineStr">
        <is>
          <t>藤原</t>
        </is>
      </c>
      <c r="H52" s="10" t="inlineStr">
        <is>
          <t>植山</t>
        </is>
      </c>
      <c r="I52" s="10" t="inlineStr">
        <is>
          <t>安村</t>
        </is>
      </c>
      <c r="J52" s="10" t="inlineStr">
        <is>
          <t>中村</t>
        </is>
      </c>
      <c r="K52" s="10" t="inlineStr">
        <is>
          <t>西村</t>
        </is>
      </c>
      <c r="L52" s="10" t="inlineStr">
        <is>
          <t>横田</t>
        </is>
      </c>
      <c r="M52" s="10" t="inlineStr">
        <is>
          <t>山本高</t>
        </is>
      </c>
      <c r="N52" s="10" t="inlineStr">
        <is>
          <t>欠員②</t>
        </is>
      </c>
      <c r="O52" s="10" t="inlineStr">
        <is>
          <t>野口</t>
        </is>
      </c>
      <c r="P52" s="10" t="inlineStr">
        <is>
          <t>北川</t>
        </is>
      </c>
      <c r="Q52" s="10" t="inlineStr">
        <is>
          <t>原</t>
        </is>
      </c>
      <c r="R52" s="10" t="inlineStr">
        <is>
          <t>矢田</t>
        </is>
      </c>
      <c r="S52" s="10" t="inlineStr">
        <is>
          <t>馬場</t>
        </is>
      </c>
      <c r="T52" s="10" t="inlineStr">
        <is>
          <t>中嶌</t>
        </is>
      </c>
      <c r="U52" s="10" t="inlineStr">
        <is>
          <t>大川内</t>
        </is>
      </c>
      <c r="V52" s="10" t="inlineStr">
        <is>
          <t>岩田</t>
        </is>
      </c>
      <c r="W52" s="10" t="inlineStr">
        <is>
          <t>岡本</t>
        </is>
      </c>
      <c r="X52" s="10" t="inlineStr">
        <is>
          <t>栗下</t>
        </is>
      </c>
      <c r="Y52" s="10" t="inlineStr">
        <is>
          <t>門谷</t>
        </is>
      </c>
      <c r="Z52" s="10" t="inlineStr">
        <is>
          <t>井川</t>
        </is>
      </c>
      <c r="AA52" s="10" t="inlineStr">
        <is>
          <t>佐野</t>
        </is>
      </c>
      <c r="AB52" s="10" t="inlineStr">
        <is>
          <t>内野</t>
        </is>
      </c>
      <c r="AC52" s="10" t="inlineStr">
        <is>
          <t>山田真</t>
        </is>
      </c>
      <c r="AD52" s="10" t="inlineStr">
        <is>
          <t>柴田</t>
        </is>
      </c>
      <c r="AE52" s="10" t="inlineStr">
        <is>
          <t>横山</t>
        </is>
      </c>
      <c r="AF52" s="10" t="inlineStr">
        <is>
          <t>山本幸</t>
        </is>
      </c>
      <c r="AG52" s="10" t="inlineStr">
        <is>
          <t>中山</t>
        </is>
      </c>
      <c r="AH52" s="10" t="inlineStr">
        <is>
          <t>上田</t>
        </is>
      </c>
      <c r="AI52" s="10" t="inlineStr">
        <is>
          <t>富島</t>
        </is>
      </c>
      <c r="AJ52" s="10" t="inlineStr">
        <is>
          <t>山田久</t>
        </is>
      </c>
      <c r="AK52" s="10" t="inlineStr">
        <is>
          <t>河野</t>
        </is>
      </c>
      <c r="AL52" s="10" t="inlineStr">
        <is>
          <t>尾川</t>
        </is>
      </c>
      <c r="AM52" s="10" t="inlineStr">
        <is>
          <t>上野</t>
        </is>
      </c>
      <c r="AN52" s="10" t="inlineStr">
        <is>
          <t>丸田</t>
        </is>
      </c>
      <c r="AO52" s="10" t="inlineStr">
        <is>
          <t>市田</t>
        </is>
      </c>
      <c r="AP52" s="10" t="inlineStr">
        <is>
          <t>田中</t>
        </is>
      </c>
    </row>
    <row r="53" ht="15" customHeight="1" s="37">
      <c r="A53" t="inlineStr">
        <is>
          <t>2026-06-25</t>
        </is>
      </c>
      <c r="B53" s="10" t="inlineStr">
        <is>
          <t>木</t>
        </is>
      </c>
      <c r="C53" s="10" t="inlineStr">
        <is>
          <t>平日</t>
        </is>
      </c>
      <c r="E53" s="10" t="inlineStr">
        <is>
          <t>馬場</t>
        </is>
      </c>
      <c r="F53" s="10" t="inlineStr">
        <is>
          <t>山本高</t>
        </is>
      </c>
      <c r="G53" s="10" t="inlineStr">
        <is>
          <t>岩田</t>
        </is>
      </c>
      <c r="H53" s="10" t="inlineStr">
        <is>
          <t>野口</t>
        </is>
      </c>
      <c r="I53" s="10" t="inlineStr">
        <is>
          <t>丸田</t>
        </is>
      </c>
      <c r="J53" s="10" t="inlineStr">
        <is>
          <t>岡本</t>
        </is>
      </c>
      <c r="K53" s="10" t="inlineStr">
        <is>
          <t>山本幸</t>
        </is>
      </c>
      <c r="L53" s="10" t="inlineStr">
        <is>
          <t>北川</t>
        </is>
      </c>
      <c r="M53" s="10" t="inlineStr">
        <is>
          <t>山田真</t>
        </is>
      </c>
      <c r="N53" s="10" t="inlineStr">
        <is>
          <t>矢田</t>
        </is>
      </c>
      <c r="O53" s="10" t="inlineStr">
        <is>
          <t>栗下</t>
        </is>
      </c>
      <c r="P53" s="10" t="inlineStr">
        <is>
          <t>河野</t>
        </is>
      </c>
      <c r="Q53" s="10" t="inlineStr">
        <is>
          <t>横田</t>
        </is>
      </c>
      <c r="R53" s="10" t="inlineStr">
        <is>
          <t>佐野</t>
        </is>
      </c>
      <c r="S53" s="10" t="inlineStr">
        <is>
          <t>尾川</t>
        </is>
      </c>
      <c r="T53" s="10" t="inlineStr">
        <is>
          <t>大川内</t>
        </is>
      </c>
      <c r="U53" s="10" t="inlineStr">
        <is>
          <t>田中</t>
        </is>
      </c>
      <c r="V53" s="10" t="inlineStr">
        <is>
          <t>上田</t>
        </is>
      </c>
      <c r="W53" s="10" t="inlineStr">
        <is>
          <t>横山</t>
        </is>
      </c>
      <c r="X53" s="10" t="inlineStr">
        <is>
          <t>西村</t>
        </is>
      </c>
      <c r="Y53" s="10" t="inlineStr">
        <is>
          <t>山田久</t>
        </is>
      </c>
      <c r="Z53" s="10" t="inlineStr">
        <is>
          <t>内野</t>
        </is>
      </c>
      <c r="AA53" s="10" t="inlineStr">
        <is>
          <t>上野</t>
        </is>
      </c>
      <c r="AB53" s="10" t="inlineStr">
        <is>
          <t>中村</t>
        </is>
      </c>
      <c r="AC53" s="10" t="inlineStr">
        <is>
          <t>市田</t>
        </is>
      </c>
      <c r="AD53" s="10" t="inlineStr">
        <is>
          <t>藤原</t>
        </is>
      </c>
      <c r="AE53" s="10" t="inlineStr">
        <is>
          <t>植山</t>
        </is>
      </c>
      <c r="AF53" s="10" t="inlineStr">
        <is>
          <t>欠員①</t>
        </is>
      </c>
      <c r="AG53" s="10" t="inlineStr">
        <is>
          <t>欠員②</t>
        </is>
      </c>
      <c r="AH53" s="10" t="inlineStr">
        <is>
          <t>原</t>
        </is>
      </c>
      <c r="AI53" s="10" t="inlineStr">
        <is>
          <t>中嶌</t>
        </is>
      </c>
      <c r="AJ53" s="10" t="inlineStr">
        <is>
          <t>安村</t>
        </is>
      </c>
      <c r="AK53" s="10" t="inlineStr">
        <is>
          <t>富島</t>
        </is>
      </c>
      <c r="AL53" s="10" t="inlineStr">
        <is>
          <t>門谷</t>
        </is>
      </c>
      <c r="AM53" s="10" t="inlineStr">
        <is>
          <t>柴田</t>
        </is>
      </c>
      <c r="AN53" s="10" t="inlineStr">
        <is>
          <t>中山</t>
        </is>
      </c>
      <c r="AO53" s="10" t="inlineStr">
        <is>
          <t>谷川</t>
        </is>
      </c>
      <c r="AP53" s="10" t="inlineStr">
        <is>
          <t>井川</t>
        </is>
      </c>
    </row>
    <row r="54" ht="15" customHeight="1" s="37">
      <c r="A54" t="inlineStr">
        <is>
          <t>2026-06-26</t>
        </is>
      </c>
      <c r="B54" s="10" t="inlineStr">
        <is>
          <t>金</t>
        </is>
      </c>
      <c r="C54" s="10" t="inlineStr">
        <is>
          <t>平日</t>
        </is>
      </c>
      <c r="E54" s="10" t="inlineStr">
        <is>
          <t>尾川</t>
        </is>
      </c>
      <c r="F54" s="10" t="inlineStr">
        <is>
          <t>山田真</t>
        </is>
      </c>
      <c r="G54" s="10" t="inlineStr">
        <is>
          <t>上田</t>
        </is>
      </c>
      <c r="H54" s="10" t="inlineStr">
        <is>
          <t>栗下</t>
        </is>
      </c>
      <c r="I54" s="10" t="inlineStr">
        <is>
          <t>中山</t>
        </is>
      </c>
      <c r="J54" s="10" t="inlineStr">
        <is>
          <t>横山</t>
        </is>
      </c>
      <c r="K54" s="10" t="inlineStr">
        <is>
          <t>欠員①</t>
        </is>
      </c>
      <c r="L54" s="10" t="inlineStr">
        <is>
          <t>河野</t>
        </is>
      </c>
      <c r="M54" s="10" t="inlineStr">
        <is>
          <t>市田</t>
        </is>
      </c>
      <c r="N54" s="10" t="inlineStr">
        <is>
          <t>佐野</t>
        </is>
      </c>
      <c r="O54" s="10" t="inlineStr">
        <is>
          <t>西村</t>
        </is>
      </c>
      <c r="P54" s="10" t="inlineStr">
        <is>
          <t>富島</t>
        </is>
      </c>
      <c r="Q54" s="10" t="inlineStr">
        <is>
          <t>北川</t>
        </is>
      </c>
      <c r="R54" s="10" t="inlineStr">
        <is>
          <t>上野</t>
        </is>
      </c>
      <c r="S54" s="10" t="inlineStr">
        <is>
          <t>門谷</t>
        </is>
      </c>
      <c r="T54" s="10" t="inlineStr">
        <is>
          <t>田中</t>
        </is>
      </c>
      <c r="U54" s="10" t="inlineStr">
        <is>
          <t>井川</t>
        </is>
      </c>
      <c r="V54" s="10" t="inlineStr">
        <is>
          <t>原</t>
        </is>
      </c>
      <c r="W54" s="10" t="inlineStr">
        <is>
          <t>植山</t>
        </is>
      </c>
      <c r="X54" s="10" t="inlineStr">
        <is>
          <t>山本幸</t>
        </is>
      </c>
      <c r="Y54" s="10" t="inlineStr">
        <is>
          <t>安村</t>
        </is>
      </c>
      <c r="Z54" s="10" t="inlineStr">
        <is>
          <t>中村</t>
        </is>
      </c>
      <c r="AA54" s="10" t="inlineStr">
        <is>
          <t>柴田</t>
        </is>
      </c>
      <c r="AB54" s="10" t="inlineStr">
        <is>
          <t>岡本</t>
        </is>
      </c>
      <c r="AC54" s="10" t="inlineStr">
        <is>
          <t>谷川</t>
        </is>
      </c>
      <c r="AD54" s="10" t="inlineStr">
        <is>
          <t>岩田</t>
        </is>
      </c>
      <c r="AE54" s="10" t="inlineStr">
        <is>
          <t>野口</t>
        </is>
      </c>
      <c r="AF54" s="10" t="inlineStr">
        <is>
          <t>山本高</t>
        </is>
      </c>
      <c r="AG54" s="10" t="inlineStr">
        <is>
          <t>矢田</t>
        </is>
      </c>
      <c r="AH54" s="10" t="inlineStr">
        <is>
          <t>横田</t>
        </is>
      </c>
      <c r="AI54" s="10" t="inlineStr">
        <is>
          <t>大川内</t>
        </is>
      </c>
      <c r="AJ54" s="10" t="inlineStr">
        <is>
          <t>丸田</t>
        </is>
      </c>
      <c r="AK54" s="10" t="inlineStr">
        <is>
          <t>中嶌</t>
        </is>
      </c>
      <c r="AL54" s="10" t="inlineStr">
        <is>
          <t>山田久</t>
        </is>
      </c>
      <c r="AM54" s="10" t="inlineStr">
        <is>
          <t>藤原</t>
        </is>
      </c>
      <c r="AN54" s="10" t="inlineStr">
        <is>
          <t>欠員②</t>
        </is>
      </c>
      <c r="AO54" s="10" t="inlineStr">
        <is>
          <t>馬場</t>
        </is>
      </c>
      <c r="AP54" s="10" t="inlineStr">
        <is>
          <t>内野</t>
        </is>
      </c>
    </row>
    <row r="55" ht="15" customHeight="1" s="37">
      <c r="A55" t="inlineStr">
        <is>
          <t>2026-06-27</t>
        </is>
      </c>
      <c r="B55" s="10" t="inlineStr">
        <is>
          <t>土</t>
        </is>
      </c>
      <c r="C55" s="10" t="inlineStr">
        <is>
          <t>休日</t>
        </is>
      </c>
      <c r="E55" s="10" t="inlineStr">
        <is>
          <t>門谷</t>
        </is>
      </c>
      <c r="F55" s="10" t="inlineStr">
        <is>
          <t>市田</t>
        </is>
      </c>
      <c r="G55" s="10" t="inlineStr">
        <is>
          <t>原</t>
        </is>
      </c>
      <c r="H55" s="10" t="inlineStr">
        <is>
          <t>西村</t>
        </is>
      </c>
      <c r="I55" s="10" t="inlineStr">
        <is>
          <t>欠員②</t>
        </is>
      </c>
      <c r="J55" s="10" t="inlineStr">
        <is>
          <t>植山</t>
        </is>
      </c>
      <c r="K55" s="10" t="inlineStr">
        <is>
          <t>山本高</t>
        </is>
      </c>
      <c r="L55" s="10" t="inlineStr">
        <is>
          <t>富島</t>
        </is>
      </c>
      <c r="M55" s="10" t="inlineStr">
        <is>
          <t>谷川</t>
        </is>
      </c>
      <c r="N55" s="10" t="inlineStr">
        <is>
          <t>上野</t>
        </is>
      </c>
      <c r="O55" s="10" t="inlineStr">
        <is>
          <t>山本幸</t>
        </is>
      </c>
      <c r="P55" s="10" t="inlineStr">
        <is>
          <t>中嶌</t>
        </is>
      </c>
      <c r="Q55" s="10" t="inlineStr">
        <is>
          <t>河野</t>
        </is>
      </c>
      <c r="R55" s="10" t="inlineStr">
        <is>
          <t>柴田</t>
        </is>
      </c>
      <c r="S55" s="10" t="inlineStr">
        <is>
          <t>山田久</t>
        </is>
      </c>
      <c r="T55" s="10" t="inlineStr">
        <is>
          <t>井川</t>
        </is>
      </c>
      <c r="U55" s="10" t="inlineStr">
        <is>
          <t>内野</t>
        </is>
      </c>
      <c r="V55" s="10" t="inlineStr">
        <is>
          <t>横田</t>
        </is>
      </c>
      <c r="W55" s="10" t="inlineStr">
        <is>
          <t>野口</t>
        </is>
      </c>
      <c r="X55" s="10" t="inlineStr">
        <is>
          <t>欠員①</t>
        </is>
      </c>
      <c r="Y55" s="10" t="inlineStr">
        <is>
          <t>丸田</t>
        </is>
      </c>
      <c r="Z55" s="10" t="inlineStr">
        <is>
          <t>岡本</t>
        </is>
      </c>
      <c r="AA55" s="10" t="inlineStr">
        <is>
          <t>藤原</t>
        </is>
      </c>
      <c r="AB55" s="10" t="inlineStr">
        <is>
          <t>横山</t>
        </is>
      </c>
      <c r="AC55" s="10" t="inlineStr">
        <is>
          <t>馬場</t>
        </is>
      </c>
      <c r="AD55" s="10" t="inlineStr">
        <is>
          <t>上田</t>
        </is>
      </c>
      <c r="AE55" s="10" t="inlineStr">
        <is>
          <t>栗下</t>
        </is>
      </c>
      <c r="AF55" s="10" t="inlineStr">
        <is>
          <t>山田真</t>
        </is>
      </c>
      <c r="AG55" s="10" t="inlineStr">
        <is>
          <t>佐野</t>
        </is>
      </c>
      <c r="AH55" s="10" t="inlineStr">
        <is>
          <t>北川</t>
        </is>
      </c>
      <c r="AI55" s="10" t="inlineStr">
        <is>
          <t>田中</t>
        </is>
      </c>
      <c r="AJ55" s="10" t="inlineStr">
        <is>
          <t>中山</t>
        </is>
      </c>
      <c r="AK55" s="10" t="inlineStr">
        <is>
          <t>大川内</t>
        </is>
      </c>
      <c r="AL55" s="10" t="inlineStr">
        <is>
          <t>安村</t>
        </is>
      </c>
      <c r="AM55" s="10" t="inlineStr">
        <is>
          <t>岩田</t>
        </is>
      </c>
      <c r="AN55" s="10" t="inlineStr">
        <is>
          <t>矢田</t>
        </is>
      </c>
      <c r="AO55" s="10" t="inlineStr">
        <is>
          <t>尾川</t>
        </is>
      </c>
      <c r="AP55" s="10" t="inlineStr">
        <is>
          <t>中村</t>
        </is>
      </c>
    </row>
    <row r="56" ht="15" customHeight="1" s="37">
      <c r="A56" t="inlineStr">
        <is>
          <t>2026-06-28</t>
        </is>
      </c>
      <c r="B56" s="10" t="inlineStr">
        <is>
          <t>日</t>
        </is>
      </c>
      <c r="C56" s="10" t="inlineStr">
        <is>
          <t>休日</t>
        </is>
      </c>
      <c r="E56" s="10" t="inlineStr">
        <is>
          <t>山田久</t>
        </is>
      </c>
      <c r="F56" s="10" t="inlineStr">
        <is>
          <t>谷川</t>
        </is>
      </c>
      <c r="G56" s="10" t="inlineStr">
        <is>
          <t>横田</t>
        </is>
      </c>
      <c r="H56" s="10" t="inlineStr">
        <is>
          <t>山本幸</t>
        </is>
      </c>
      <c r="I56" s="10" t="inlineStr">
        <is>
          <t>矢田</t>
        </is>
      </c>
      <c r="J56" s="10" t="inlineStr">
        <is>
          <t>野口</t>
        </is>
      </c>
      <c r="K56" s="10" t="inlineStr">
        <is>
          <t>山田真</t>
        </is>
      </c>
      <c r="L56" s="10" t="inlineStr">
        <is>
          <t>中嶌</t>
        </is>
      </c>
      <c r="M56" s="10" t="inlineStr">
        <is>
          <t>馬場</t>
        </is>
      </c>
      <c r="N56" s="10" t="inlineStr">
        <is>
          <t>柴田</t>
        </is>
      </c>
      <c r="O56" s="10" t="inlineStr">
        <is>
          <t>欠員①</t>
        </is>
      </c>
      <c r="P56" s="10" t="inlineStr">
        <is>
          <t>大川内</t>
        </is>
      </c>
      <c r="Q56" s="10" t="inlineStr">
        <is>
          <t>富島</t>
        </is>
      </c>
      <c r="R56" s="10" t="inlineStr">
        <is>
          <t>藤原</t>
        </is>
      </c>
      <c r="S56" s="10" t="inlineStr">
        <is>
          <t>安村</t>
        </is>
      </c>
      <c r="T56" s="10" t="inlineStr">
        <is>
          <t>内野</t>
        </is>
      </c>
      <c r="U56" s="10" t="inlineStr">
        <is>
          <t>中村</t>
        </is>
      </c>
      <c r="V56" s="10" t="inlineStr">
        <is>
          <t>北川</t>
        </is>
      </c>
      <c r="W56" s="10" t="inlineStr">
        <is>
          <t>栗下</t>
        </is>
      </c>
      <c r="X56" s="10" t="inlineStr">
        <is>
          <t>山本高</t>
        </is>
      </c>
      <c r="Y56" s="10" t="inlineStr">
        <is>
          <t>中山</t>
        </is>
      </c>
      <c r="Z56" s="10" t="inlineStr">
        <is>
          <t>横山</t>
        </is>
      </c>
      <c r="AA56" s="10" t="inlineStr">
        <is>
          <t>岩田</t>
        </is>
      </c>
      <c r="AB56" s="10" t="inlineStr">
        <is>
          <t>植山</t>
        </is>
      </c>
      <c r="AC56" s="10" t="inlineStr">
        <is>
          <t>尾川</t>
        </is>
      </c>
      <c r="AD56" s="10" t="inlineStr">
        <is>
          <t>原</t>
        </is>
      </c>
      <c r="AE56" s="10" t="inlineStr">
        <is>
          <t>西村</t>
        </is>
      </c>
      <c r="AF56" s="10" t="inlineStr">
        <is>
          <t>市田</t>
        </is>
      </c>
      <c r="AG56" s="10" t="inlineStr">
        <is>
          <t>上野</t>
        </is>
      </c>
      <c r="AH56" s="10" t="inlineStr">
        <is>
          <t>河野</t>
        </is>
      </c>
      <c r="AI56" s="10" t="inlineStr">
        <is>
          <t>井川</t>
        </is>
      </c>
      <c r="AJ56" s="10" t="inlineStr">
        <is>
          <t>欠員②</t>
        </is>
      </c>
      <c r="AK56" s="10" t="inlineStr">
        <is>
          <t>田中</t>
        </is>
      </c>
      <c r="AL56" s="10" t="inlineStr">
        <is>
          <t>丸田</t>
        </is>
      </c>
      <c r="AM56" s="10" t="inlineStr">
        <is>
          <t>上田</t>
        </is>
      </c>
      <c r="AN56" s="10" t="inlineStr">
        <is>
          <t>佐野</t>
        </is>
      </c>
      <c r="AO56" s="10" t="inlineStr">
        <is>
          <t>門谷</t>
        </is>
      </c>
      <c r="AP56" s="10" t="inlineStr">
        <is>
          <t>岡本</t>
        </is>
      </c>
    </row>
    <row r="57" ht="15" customHeight="1" s="37">
      <c r="A57" t="inlineStr">
        <is>
          <t>2026-06-29</t>
        </is>
      </c>
      <c r="B57" s="10" t="inlineStr">
        <is>
          <t>月</t>
        </is>
      </c>
      <c r="C57" s="10" t="inlineStr">
        <is>
          <t>平日</t>
        </is>
      </c>
      <c r="E57" s="10" t="inlineStr">
        <is>
          <t>安村</t>
        </is>
      </c>
      <c r="F57" s="10" t="inlineStr">
        <is>
          <t>馬場</t>
        </is>
      </c>
      <c r="G57" s="10" t="inlineStr">
        <is>
          <t>北川</t>
        </is>
      </c>
      <c r="H57" s="10" t="inlineStr">
        <is>
          <t>欠員①</t>
        </is>
      </c>
      <c r="I57" s="10" t="inlineStr">
        <is>
          <t>佐野</t>
        </is>
      </c>
      <c r="J57" s="10" t="inlineStr">
        <is>
          <t>栗下</t>
        </is>
      </c>
      <c r="K57" s="10" t="inlineStr">
        <is>
          <t>市田</t>
        </is>
      </c>
      <c r="L57" s="10" t="inlineStr">
        <is>
          <t>大川内</t>
        </is>
      </c>
      <c r="M57" s="10" t="inlineStr">
        <is>
          <t>尾川</t>
        </is>
      </c>
      <c r="N57" s="10" t="inlineStr">
        <is>
          <t>藤原</t>
        </is>
      </c>
      <c r="O57" s="10" t="inlineStr">
        <is>
          <t>山本高</t>
        </is>
      </c>
      <c r="P57" s="10" t="inlineStr">
        <is>
          <t>田中</t>
        </is>
      </c>
      <c r="Q57" s="10" t="inlineStr">
        <is>
          <t>中嶌</t>
        </is>
      </c>
      <c r="R57" s="10" t="inlineStr">
        <is>
          <t>岩田</t>
        </is>
      </c>
      <c r="S57" s="10" t="inlineStr">
        <is>
          <t>丸田</t>
        </is>
      </c>
      <c r="T57" s="10" t="inlineStr">
        <is>
          <t>中村</t>
        </is>
      </c>
      <c r="U57" s="10" t="inlineStr">
        <is>
          <t>岡本</t>
        </is>
      </c>
      <c r="V57" s="10" t="inlineStr">
        <is>
          <t>河野</t>
        </is>
      </c>
      <c r="W57" s="10" t="inlineStr">
        <is>
          <t>西村</t>
        </is>
      </c>
      <c r="X57" s="10" t="inlineStr">
        <is>
          <t>山田真</t>
        </is>
      </c>
      <c r="Y57" s="10" t="inlineStr">
        <is>
          <t>欠員②</t>
        </is>
      </c>
      <c r="Z57" s="10" t="inlineStr">
        <is>
          <t>植山</t>
        </is>
      </c>
      <c r="AA57" s="10" t="inlineStr">
        <is>
          <t>上田</t>
        </is>
      </c>
      <c r="AB57" s="10" t="inlineStr">
        <is>
          <t>野口</t>
        </is>
      </c>
      <c r="AC57" s="10" t="inlineStr">
        <is>
          <t>門谷</t>
        </is>
      </c>
      <c r="AD57" s="10" t="inlineStr">
        <is>
          <t>横田</t>
        </is>
      </c>
      <c r="AE57" s="10" t="inlineStr">
        <is>
          <t>山本幸</t>
        </is>
      </c>
      <c r="AF57" s="10" t="inlineStr">
        <is>
          <t>谷川</t>
        </is>
      </c>
      <c r="AG57" s="10" t="inlineStr">
        <is>
          <t>柴田</t>
        </is>
      </c>
      <c r="AH57" s="10" t="inlineStr">
        <is>
          <t>富島</t>
        </is>
      </c>
      <c r="AI57" s="10" t="inlineStr">
        <is>
          <t>内野</t>
        </is>
      </c>
      <c r="AJ57" s="10" t="inlineStr">
        <is>
          <t>矢田</t>
        </is>
      </c>
      <c r="AK57" s="10" t="inlineStr">
        <is>
          <t>井川</t>
        </is>
      </c>
      <c r="AL57" s="10" t="inlineStr">
        <is>
          <t>中山</t>
        </is>
      </c>
      <c r="AM57" s="10" t="inlineStr">
        <is>
          <t>原</t>
        </is>
      </c>
      <c r="AN57" s="10" t="inlineStr">
        <is>
          <t>上野</t>
        </is>
      </c>
      <c r="AO57" s="10" t="inlineStr">
        <is>
          <t>山田久</t>
        </is>
      </c>
      <c r="AP57" s="10" t="inlineStr">
        <is>
          <t>横山</t>
        </is>
      </c>
    </row>
    <row r="58" ht="15" customHeight="1" s="37">
      <c r="A58" t="inlineStr">
        <is>
          <t>2026-06-30</t>
        </is>
      </c>
      <c r="B58" s="10" t="inlineStr">
        <is>
          <t>火</t>
        </is>
      </c>
      <c r="C58" s="10" t="inlineStr">
        <is>
          <t>平日</t>
        </is>
      </c>
      <c r="E58" s="10" t="inlineStr">
        <is>
          <t>丸田</t>
        </is>
      </c>
      <c r="F58" s="10" t="inlineStr">
        <is>
          <t>尾川</t>
        </is>
      </c>
      <c r="G58" s="10" t="inlineStr">
        <is>
          <t>河野</t>
        </is>
      </c>
      <c r="H58" s="10" t="inlineStr">
        <is>
          <t>山本高</t>
        </is>
      </c>
      <c r="I58" s="10" t="inlineStr">
        <is>
          <t>上野</t>
        </is>
      </c>
      <c r="J58" s="10" t="inlineStr">
        <is>
          <t>西村</t>
        </is>
      </c>
      <c r="K58" s="10" t="inlineStr">
        <is>
          <t>谷川</t>
        </is>
      </c>
      <c r="L58" s="10" t="inlineStr">
        <is>
          <t>田中</t>
        </is>
      </c>
      <c r="M58" s="10" t="inlineStr">
        <is>
          <t>門谷</t>
        </is>
      </c>
      <c r="N58" s="10" t="inlineStr">
        <is>
          <t>岩田</t>
        </is>
      </c>
      <c r="O58" s="10" t="inlineStr">
        <is>
          <t>山田真</t>
        </is>
      </c>
      <c r="P58" s="10" t="inlineStr">
        <is>
          <t>井川</t>
        </is>
      </c>
      <c r="Q58" s="10" t="inlineStr">
        <is>
          <t>大川内</t>
        </is>
      </c>
      <c r="R58" s="10" t="inlineStr">
        <is>
          <t>上田</t>
        </is>
      </c>
      <c r="S58" s="10" t="inlineStr">
        <is>
          <t>中山</t>
        </is>
      </c>
      <c r="T58" s="10" t="inlineStr">
        <is>
          <t>岡本</t>
        </is>
      </c>
      <c r="U58" s="10" t="inlineStr">
        <is>
          <t>横山</t>
        </is>
      </c>
      <c r="V58" s="10" t="inlineStr">
        <is>
          <t>富島</t>
        </is>
      </c>
      <c r="W58" s="10" t="inlineStr">
        <is>
          <t>山本幸</t>
        </is>
      </c>
      <c r="X58" s="10" t="inlineStr">
        <is>
          <t>市田</t>
        </is>
      </c>
      <c r="Y58" s="10" t="inlineStr">
        <is>
          <t>矢田</t>
        </is>
      </c>
      <c r="Z58" s="10" t="inlineStr">
        <is>
          <t>野口</t>
        </is>
      </c>
      <c r="AA58" s="10" t="inlineStr">
        <is>
          <t>原</t>
        </is>
      </c>
      <c r="AB58" s="10" t="inlineStr">
        <is>
          <t>栗下</t>
        </is>
      </c>
      <c r="AC58" s="10" t="inlineStr">
        <is>
          <t>山田久</t>
        </is>
      </c>
      <c r="AD58" s="10" t="inlineStr">
        <is>
          <t>北川</t>
        </is>
      </c>
      <c r="AE58" s="10" t="inlineStr">
        <is>
          <t>欠員①</t>
        </is>
      </c>
      <c r="AF58" s="10" t="inlineStr">
        <is>
          <t>馬場</t>
        </is>
      </c>
      <c r="AG58" s="10" t="inlineStr">
        <is>
          <t>藤原</t>
        </is>
      </c>
      <c r="AH58" s="10" t="inlineStr">
        <is>
          <t>中嶌</t>
        </is>
      </c>
      <c r="AI58" s="10" t="inlineStr">
        <is>
          <t>中村</t>
        </is>
      </c>
      <c r="AJ58" s="10" t="inlineStr">
        <is>
          <t>佐野</t>
        </is>
      </c>
      <c r="AK58" s="10" t="inlineStr">
        <is>
          <t>内野</t>
        </is>
      </c>
      <c r="AL58" s="10" t="inlineStr">
        <is>
          <t>欠員②</t>
        </is>
      </c>
      <c r="AM58" s="10" t="inlineStr">
        <is>
          <t>横田</t>
        </is>
      </c>
      <c r="AN58" s="10" t="inlineStr">
        <is>
          <t>柴田</t>
        </is>
      </c>
      <c r="AO58" s="10" t="inlineStr">
        <is>
          <t>安村</t>
        </is>
      </c>
      <c r="AP58" s="10" t="inlineStr">
        <is>
          <t>植山</t>
        </is>
      </c>
    </row>
    <row r="59" ht="15" customHeight="1" s="37">
      <c r="A59" t="inlineStr">
        <is>
          <t>2026-07-01</t>
        </is>
      </c>
      <c r="B59" s="10" t="inlineStr">
        <is>
          <t>水</t>
        </is>
      </c>
      <c r="C59" s="10" t="inlineStr">
        <is>
          <t>平日</t>
        </is>
      </c>
      <c r="E59" s="10" t="inlineStr">
        <is>
          <t>中山</t>
        </is>
      </c>
      <c r="F59" s="10" t="inlineStr">
        <is>
          <t>門谷</t>
        </is>
      </c>
      <c r="G59" s="10" t="inlineStr">
        <is>
          <t>富島</t>
        </is>
      </c>
      <c r="H59" s="10" t="inlineStr">
        <is>
          <t>山田真</t>
        </is>
      </c>
      <c r="I59" s="10" t="inlineStr">
        <is>
          <t>柴田</t>
        </is>
      </c>
      <c r="J59" s="10" t="inlineStr">
        <is>
          <t>山本幸</t>
        </is>
      </c>
      <c r="K59" s="10" t="inlineStr">
        <is>
          <t>馬場</t>
        </is>
      </c>
      <c r="L59" s="10" t="inlineStr">
        <is>
          <t>井川</t>
        </is>
      </c>
      <c r="M59" s="10" t="inlineStr">
        <is>
          <t>山田久</t>
        </is>
      </c>
      <c r="N59" s="10" t="inlineStr">
        <is>
          <t>上田</t>
        </is>
      </c>
      <c r="O59" s="10" t="inlineStr">
        <is>
          <t>市田</t>
        </is>
      </c>
      <c r="P59" s="10" t="inlineStr">
        <is>
          <t>内野</t>
        </is>
      </c>
      <c r="Q59" s="10" t="inlineStr">
        <is>
          <t>田中</t>
        </is>
      </c>
      <c r="R59" s="10" t="inlineStr">
        <is>
          <t>原</t>
        </is>
      </c>
      <c r="S59" s="10" t="inlineStr">
        <is>
          <t>欠員②</t>
        </is>
      </c>
      <c r="T59" s="10" t="inlineStr">
        <is>
          <t>横山</t>
        </is>
      </c>
      <c r="U59" s="10" t="inlineStr">
        <is>
          <t>植山</t>
        </is>
      </c>
      <c r="V59" s="10" t="inlineStr">
        <is>
          <t>中嶌</t>
        </is>
      </c>
      <c r="W59" s="10" t="inlineStr">
        <is>
          <t>欠員①</t>
        </is>
      </c>
      <c r="X59" s="10" t="inlineStr">
        <is>
          <t>谷川</t>
        </is>
      </c>
      <c r="Y59" s="10" t="inlineStr">
        <is>
          <t>佐野</t>
        </is>
      </c>
      <c r="Z59" s="10" t="inlineStr">
        <is>
          <t>栗下</t>
        </is>
      </c>
      <c r="AA59" s="10" t="inlineStr">
        <is>
          <t>横田</t>
        </is>
      </c>
      <c r="AB59" s="10" t="inlineStr">
        <is>
          <t>西村</t>
        </is>
      </c>
      <c r="AC59" s="10" t="inlineStr">
        <is>
          <t>安村</t>
        </is>
      </c>
      <c r="AD59" s="10" t="inlineStr">
        <is>
          <t>河野</t>
        </is>
      </c>
      <c r="AE59" s="10" t="inlineStr">
        <is>
          <t>山本高</t>
        </is>
      </c>
      <c r="AF59" s="10" t="inlineStr">
        <is>
          <t>尾川</t>
        </is>
      </c>
      <c r="AG59" s="10" t="inlineStr">
        <is>
          <t>岩田</t>
        </is>
      </c>
      <c r="AH59" s="10" t="inlineStr">
        <is>
          <t>大川内</t>
        </is>
      </c>
      <c r="AI59" s="10" t="inlineStr">
        <is>
          <t>岡本</t>
        </is>
      </c>
      <c r="AJ59" s="10" t="inlineStr">
        <is>
          <t>上野</t>
        </is>
      </c>
      <c r="AK59" s="10" t="inlineStr">
        <is>
          <t>中村</t>
        </is>
      </c>
      <c r="AL59" s="10" t="inlineStr">
        <is>
          <t>矢田</t>
        </is>
      </c>
      <c r="AM59" s="10" t="inlineStr">
        <is>
          <t>北川</t>
        </is>
      </c>
      <c r="AN59" s="10" t="inlineStr">
        <is>
          <t>藤原</t>
        </is>
      </c>
      <c r="AO59" s="10" t="inlineStr">
        <is>
          <t>丸田</t>
        </is>
      </c>
      <c r="AP59" s="10" t="inlineStr">
        <is>
          <t>野口</t>
        </is>
      </c>
    </row>
    <row r="60" ht="15" customHeight="1" s="37">
      <c r="A60" t="inlineStr">
        <is>
          <t>2026-07-02</t>
        </is>
      </c>
      <c r="B60" s="10" t="inlineStr">
        <is>
          <t>木</t>
        </is>
      </c>
      <c r="C60" s="10" t="inlineStr">
        <is>
          <t>平日</t>
        </is>
      </c>
      <c r="E60" s="10" t="inlineStr">
        <is>
          <t>欠員②</t>
        </is>
      </c>
      <c r="F60" s="10" t="inlineStr">
        <is>
          <t>山田久</t>
        </is>
      </c>
      <c r="G60" s="10" t="inlineStr">
        <is>
          <t>中嶌</t>
        </is>
      </c>
      <c r="H60" s="10" t="inlineStr">
        <is>
          <t>市田</t>
        </is>
      </c>
      <c r="I60" s="10" t="inlineStr">
        <is>
          <t>藤原</t>
        </is>
      </c>
      <c r="J60" s="10" t="inlineStr">
        <is>
          <t>欠員①</t>
        </is>
      </c>
      <c r="K60" s="10" t="inlineStr">
        <is>
          <t>尾川</t>
        </is>
      </c>
      <c r="L60" s="10" t="inlineStr">
        <is>
          <t>内野</t>
        </is>
      </c>
      <c r="M60" s="10" t="inlineStr">
        <is>
          <t>安村</t>
        </is>
      </c>
      <c r="N60" s="10" t="inlineStr">
        <is>
          <t>原</t>
        </is>
      </c>
      <c r="O60" s="10" t="inlineStr">
        <is>
          <t>谷川</t>
        </is>
      </c>
      <c r="P60" s="10" t="inlineStr">
        <is>
          <t>中村</t>
        </is>
      </c>
      <c r="Q60" s="10" t="inlineStr">
        <is>
          <t>井川</t>
        </is>
      </c>
      <c r="R60" s="10" t="inlineStr">
        <is>
          <t>横田</t>
        </is>
      </c>
      <c r="S60" s="10" t="inlineStr">
        <is>
          <t>矢田</t>
        </is>
      </c>
      <c r="T60" s="10" t="inlineStr">
        <is>
          <t>植山</t>
        </is>
      </c>
      <c r="U60" s="10" t="inlineStr">
        <is>
          <t>野口</t>
        </is>
      </c>
      <c r="V60" s="10" t="inlineStr">
        <is>
          <t>大川内</t>
        </is>
      </c>
      <c r="W60" s="10" t="inlineStr">
        <is>
          <t>山本高</t>
        </is>
      </c>
      <c r="X60" s="10" t="inlineStr">
        <is>
          <t>馬場</t>
        </is>
      </c>
      <c r="Y60" s="10" t="inlineStr">
        <is>
          <t>上野</t>
        </is>
      </c>
      <c r="Z60" s="10" t="inlineStr">
        <is>
          <t>西村</t>
        </is>
      </c>
      <c r="AA60" s="10" t="inlineStr">
        <is>
          <t>北川</t>
        </is>
      </c>
      <c r="AB60" s="10" t="inlineStr">
        <is>
          <t>山本幸</t>
        </is>
      </c>
      <c r="AC60" s="10" t="inlineStr">
        <is>
          <t>丸田</t>
        </is>
      </c>
      <c r="AD60" s="10" t="inlineStr">
        <is>
          <t>富島</t>
        </is>
      </c>
      <c r="AE60" s="10" t="inlineStr">
        <is>
          <t>山田真</t>
        </is>
      </c>
      <c r="AF60" s="10" t="inlineStr">
        <is>
          <t>門谷</t>
        </is>
      </c>
      <c r="AG60" s="10" t="inlineStr">
        <is>
          <t>上田</t>
        </is>
      </c>
      <c r="AH60" s="10" t="inlineStr">
        <is>
          <t>田中</t>
        </is>
      </c>
      <c r="AI60" s="10" t="inlineStr">
        <is>
          <t>横山</t>
        </is>
      </c>
      <c r="AJ60" s="10" t="inlineStr">
        <is>
          <t>柴田</t>
        </is>
      </c>
      <c r="AK60" s="10" t="inlineStr">
        <is>
          <t>岡本</t>
        </is>
      </c>
      <c r="AL60" s="10" t="inlineStr">
        <is>
          <t>佐野</t>
        </is>
      </c>
      <c r="AM60" s="10" t="inlineStr">
        <is>
          <t>河野</t>
        </is>
      </c>
      <c r="AN60" s="10" t="inlineStr">
        <is>
          <t>岩田</t>
        </is>
      </c>
      <c r="AO60" s="10" t="inlineStr">
        <is>
          <t>中山</t>
        </is>
      </c>
      <c r="AP60" s="10" t="inlineStr">
        <is>
          <t>栗下</t>
        </is>
      </c>
    </row>
    <row r="61" ht="15" customHeight="1" s="37">
      <c r="A61" t="inlineStr">
        <is>
          <t>2026-07-03</t>
        </is>
      </c>
      <c r="B61" s="10" t="inlineStr">
        <is>
          <t>金</t>
        </is>
      </c>
      <c r="C61" s="10" t="inlineStr">
        <is>
          <t>平日</t>
        </is>
      </c>
      <c r="E61" s="10" t="inlineStr">
        <is>
          <t>矢田</t>
        </is>
      </c>
      <c r="F61" s="10" t="inlineStr">
        <is>
          <t>安村</t>
        </is>
      </c>
      <c r="G61" s="10" t="inlineStr">
        <is>
          <t>大川内</t>
        </is>
      </c>
      <c r="H61" s="10" t="inlineStr">
        <is>
          <t>谷川</t>
        </is>
      </c>
      <c r="I61" s="10" t="inlineStr">
        <is>
          <t>岩田</t>
        </is>
      </c>
      <c r="J61" s="10" t="inlineStr">
        <is>
          <t>山本高</t>
        </is>
      </c>
      <c r="K61" s="10" t="inlineStr">
        <is>
          <t>門谷</t>
        </is>
      </c>
      <c r="L61" s="10" t="inlineStr">
        <is>
          <t>中村</t>
        </is>
      </c>
      <c r="M61" s="10" t="inlineStr">
        <is>
          <t>丸田</t>
        </is>
      </c>
      <c r="N61" s="10" t="inlineStr">
        <is>
          <t>横田</t>
        </is>
      </c>
      <c r="O61" s="10" t="inlineStr">
        <is>
          <t>馬場</t>
        </is>
      </c>
      <c r="P61" s="10" t="inlineStr">
        <is>
          <t>岡本</t>
        </is>
      </c>
      <c r="Q61" s="10" t="inlineStr">
        <is>
          <t>内野</t>
        </is>
      </c>
      <c r="R61" s="10" t="inlineStr">
        <is>
          <t>北川</t>
        </is>
      </c>
      <c r="S61" s="10" t="inlineStr">
        <is>
          <t>佐野</t>
        </is>
      </c>
      <c r="T61" s="10" t="inlineStr">
        <is>
          <t>野口</t>
        </is>
      </c>
      <c r="U61" s="10" t="inlineStr">
        <is>
          <t>栗下</t>
        </is>
      </c>
      <c r="V61" s="10" t="inlineStr">
        <is>
          <t>田中</t>
        </is>
      </c>
      <c r="W61" s="10" t="inlineStr">
        <is>
          <t>山田真</t>
        </is>
      </c>
      <c r="X61" s="10" t="inlineStr">
        <is>
          <t>尾川</t>
        </is>
      </c>
      <c r="Y61" s="10" t="inlineStr">
        <is>
          <t>柴田</t>
        </is>
      </c>
      <c r="Z61" s="10" t="inlineStr">
        <is>
          <t>山本幸</t>
        </is>
      </c>
      <c r="AA61" s="10" t="inlineStr">
        <is>
          <t>河野</t>
        </is>
      </c>
      <c r="AB61" s="10" t="inlineStr">
        <is>
          <t>欠員①</t>
        </is>
      </c>
      <c r="AC61" s="10" t="inlineStr">
        <is>
          <t>中山</t>
        </is>
      </c>
      <c r="AD61" s="10" t="inlineStr">
        <is>
          <t>中嶌</t>
        </is>
      </c>
      <c r="AE61" s="10" t="inlineStr">
        <is>
          <t>市田</t>
        </is>
      </c>
      <c r="AF61" s="10" t="inlineStr">
        <is>
          <t>山田久</t>
        </is>
      </c>
      <c r="AG61" s="10" t="inlineStr">
        <is>
          <t>原</t>
        </is>
      </c>
      <c r="AH61" s="10" t="inlineStr">
        <is>
          <t>井川</t>
        </is>
      </c>
      <c r="AI61" s="10" t="inlineStr">
        <is>
          <t>植山</t>
        </is>
      </c>
      <c r="AJ61" s="10" t="inlineStr">
        <is>
          <t>藤原</t>
        </is>
      </c>
      <c r="AK61" s="10" t="inlineStr">
        <is>
          <t>横山</t>
        </is>
      </c>
      <c r="AL61" s="10" t="inlineStr">
        <is>
          <t>上野</t>
        </is>
      </c>
      <c r="AM61" s="10" t="inlineStr">
        <is>
          <t>富島</t>
        </is>
      </c>
      <c r="AN61" s="10" t="inlineStr">
        <is>
          <t>上田</t>
        </is>
      </c>
      <c r="AO61" s="10" t="inlineStr">
        <is>
          <t>欠員②</t>
        </is>
      </c>
      <c r="AP61" s="10" t="inlineStr">
        <is>
          <t>西村</t>
        </is>
      </c>
    </row>
    <row r="62" ht="15" customHeight="1" s="37">
      <c r="A62" t="inlineStr">
        <is>
          <t>2026-07-04</t>
        </is>
      </c>
      <c r="B62" s="10" t="inlineStr">
        <is>
          <t>土</t>
        </is>
      </c>
      <c r="C62" s="10" t="inlineStr">
        <is>
          <t>休日</t>
        </is>
      </c>
      <c r="E62" s="10" t="inlineStr">
        <is>
          <t>佐野</t>
        </is>
      </c>
      <c r="F62" s="10" t="inlineStr">
        <is>
          <t>丸田</t>
        </is>
      </c>
      <c r="G62" s="10" t="inlineStr">
        <is>
          <t>田中</t>
        </is>
      </c>
      <c r="H62" s="10" t="inlineStr">
        <is>
          <t>馬場</t>
        </is>
      </c>
      <c r="I62" s="10" t="inlineStr">
        <is>
          <t>上田</t>
        </is>
      </c>
      <c r="J62" s="10" t="inlineStr">
        <is>
          <t>山田真</t>
        </is>
      </c>
      <c r="K62" s="10" t="inlineStr">
        <is>
          <t>山田久</t>
        </is>
      </c>
      <c r="L62" s="10" t="inlineStr">
        <is>
          <t>岡本</t>
        </is>
      </c>
      <c r="M62" s="10" t="inlineStr">
        <is>
          <t>中山</t>
        </is>
      </c>
      <c r="N62" s="10" t="inlineStr">
        <is>
          <t>北川</t>
        </is>
      </c>
      <c r="O62" s="10" t="inlineStr">
        <is>
          <t>尾川</t>
        </is>
      </c>
      <c r="P62" s="10" t="inlineStr">
        <is>
          <t>横山</t>
        </is>
      </c>
      <c r="Q62" s="10" t="inlineStr">
        <is>
          <t>中村</t>
        </is>
      </c>
      <c r="R62" s="10" t="inlineStr">
        <is>
          <t>河野</t>
        </is>
      </c>
      <c r="S62" s="10" t="inlineStr">
        <is>
          <t>上野</t>
        </is>
      </c>
      <c r="T62" s="10" t="inlineStr">
        <is>
          <t>栗下</t>
        </is>
      </c>
      <c r="U62" s="10" t="inlineStr">
        <is>
          <t>西村</t>
        </is>
      </c>
      <c r="V62" s="10" t="inlineStr">
        <is>
          <t>井川</t>
        </is>
      </c>
      <c r="W62" s="10" t="inlineStr">
        <is>
          <t>市田</t>
        </is>
      </c>
      <c r="X62" s="10" t="inlineStr">
        <is>
          <t>門谷</t>
        </is>
      </c>
      <c r="Y62" s="10" t="inlineStr">
        <is>
          <t>藤原</t>
        </is>
      </c>
      <c r="Z62" s="10" t="inlineStr">
        <is>
          <t>欠員①</t>
        </is>
      </c>
      <c r="AA62" s="10" t="inlineStr">
        <is>
          <t>富島</t>
        </is>
      </c>
      <c r="AB62" s="10" t="inlineStr">
        <is>
          <t>山本高</t>
        </is>
      </c>
      <c r="AC62" s="10" t="inlineStr">
        <is>
          <t>欠員②</t>
        </is>
      </c>
      <c r="AD62" s="10" t="inlineStr">
        <is>
          <t>大川内</t>
        </is>
      </c>
      <c r="AE62" s="10" t="inlineStr">
        <is>
          <t>谷川</t>
        </is>
      </c>
      <c r="AF62" s="10" t="inlineStr">
        <is>
          <t>安村</t>
        </is>
      </c>
      <c r="AG62" s="10" t="inlineStr">
        <is>
          <t>横田</t>
        </is>
      </c>
      <c r="AH62" s="10" t="inlineStr">
        <is>
          <t>内野</t>
        </is>
      </c>
      <c r="AI62" s="10" t="inlineStr">
        <is>
          <t>野口</t>
        </is>
      </c>
      <c r="AJ62" s="10" t="inlineStr">
        <is>
          <t>岩田</t>
        </is>
      </c>
      <c r="AK62" s="10" t="inlineStr">
        <is>
          <t>植山</t>
        </is>
      </c>
      <c r="AL62" s="10" t="inlineStr">
        <is>
          <t>柴田</t>
        </is>
      </c>
      <c r="AM62" s="10" t="inlineStr">
        <is>
          <t>中嶌</t>
        </is>
      </c>
      <c r="AN62" s="10" t="inlineStr">
        <is>
          <t>原</t>
        </is>
      </c>
      <c r="AO62" s="10" t="inlineStr">
        <is>
          <t>矢田</t>
        </is>
      </c>
      <c r="AP62" s="10" t="inlineStr">
        <is>
          <t>山本幸</t>
        </is>
      </c>
    </row>
    <row r="63" ht="15" customHeight="1" s="37">
      <c r="A63" t="inlineStr">
        <is>
          <t>2026-07-05</t>
        </is>
      </c>
      <c r="B63" s="10" t="inlineStr">
        <is>
          <t>日</t>
        </is>
      </c>
      <c r="C63" s="10" t="inlineStr">
        <is>
          <t>休日</t>
        </is>
      </c>
      <c r="E63" s="10" t="inlineStr">
        <is>
          <t>上野</t>
        </is>
      </c>
      <c r="F63" s="10" t="inlineStr">
        <is>
          <t>中山</t>
        </is>
      </c>
      <c r="G63" s="10" t="inlineStr">
        <is>
          <t>井川</t>
        </is>
      </c>
      <c r="H63" s="10" t="inlineStr">
        <is>
          <t>尾川</t>
        </is>
      </c>
      <c r="I63" s="10" t="inlineStr">
        <is>
          <t>原</t>
        </is>
      </c>
      <c r="J63" s="10" t="inlineStr">
        <is>
          <t>市田</t>
        </is>
      </c>
      <c r="K63" s="10" t="inlineStr">
        <is>
          <t>安村</t>
        </is>
      </c>
      <c r="L63" s="10" t="inlineStr">
        <is>
          <t>横山</t>
        </is>
      </c>
      <c r="M63" s="10" t="inlineStr">
        <is>
          <t>欠員②</t>
        </is>
      </c>
      <c r="N63" s="10" t="inlineStr">
        <is>
          <t>河野</t>
        </is>
      </c>
      <c r="O63" s="10" t="inlineStr">
        <is>
          <t>門谷</t>
        </is>
      </c>
      <c r="P63" s="10" t="inlineStr">
        <is>
          <t>植山</t>
        </is>
      </c>
      <c r="Q63" s="10" t="inlineStr">
        <is>
          <t>岡本</t>
        </is>
      </c>
      <c r="R63" s="10" t="inlineStr">
        <is>
          <t>富島</t>
        </is>
      </c>
      <c r="S63" s="10" t="inlineStr">
        <is>
          <t>柴田</t>
        </is>
      </c>
      <c r="T63" s="10" t="inlineStr">
        <is>
          <t>西村</t>
        </is>
      </c>
      <c r="U63" s="10" t="inlineStr">
        <is>
          <t>山本幸</t>
        </is>
      </c>
      <c r="V63" s="10" t="inlineStr">
        <is>
          <t>内野</t>
        </is>
      </c>
      <c r="W63" s="10" t="inlineStr">
        <is>
          <t>谷川</t>
        </is>
      </c>
      <c r="X63" s="10" t="inlineStr">
        <is>
          <t>山田久</t>
        </is>
      </c>
      <c r="Y63" s="10" t="inlineStr">
        <is>
          <t>岩田</t>
        </is>
      </c>
      <c r="Z63" s="10" t="inlineStr">
        <is>
          <t>山本高</t>
        </is>
      </c>
      <c r="AA63" s="10" t="inlineStr">
        <is>
          <t>中嶌</t>
        </is>
      </c>
      <c r="AB63" s="10" t="inlineStr">
        <is>
          <t>山田真</t>
        </is>
      </c>
      <c r="AC63" s="10" t="inlineStr">
        <is>
          <t>矢田</t>
        </is>
      </c>
      <c r="AD63" s="10" t="inlineStr">
        <is>
          <t>田中</t>
        </is>
      </c>
      <c r="AE63" s="10" t="inlineStr">
        <is>
          <t>馬場</t>
        </is>
      </c>
      <c r="AF63" s="10" t="inlineStr">
        <is>
          <t>丸田</t>
        </is>
      </c>
      <c r="AG63" s="10" t="inlineStr">
        <is>
          <t>北川</t>
        </is>
      </c>
      <c r="AH63" s="10" t="inlineStr">
        <is>
          <t>中村</t>
        </is>
      </c>
      <c r="AI63" s="10" t="inlineStr">
        <is>
          <t>栗下</t>
        </is>
      </c>
      <c r="AJ63" s="10" t="inlineStr">
        <is>
          <t>上田</t>
        </is>
      </c>
      <c r="AK63" s="10" t="inlineStr">
        <is>
          <t>野口</t>
        </is>
      </c>
      <c r="AL63" s="10" t="inlineStr">
        <is>
          <t>藤原</t>
        </is>
      </c>
      <c r="AM63" s="10" t="inlineStr">
        <is>
          <t>大川内</t>
        </is>
      </c>
      <c r="AN63" s="10" t="inlineStr">
        <is>
          <t>横田</t>
        </is>
      </c>
      <c r="AO63" s="10" t="inlineStr">
        <is>
          <t>佐野</t>
        </is>
      </c>
      <c r="AP63" s="10" t="inlineStr">
        <is>
          <t>欠員①</t>
        </is>
      </c>
    </row>
    <row r="64" ht="15" customHeight="1" s="37">
      <c r="A64" t="inlineStr">
        <is>
          <t>2026-07-06</t>
        </is>
      </c>
      <c r="B64" s="10" t="inlineStr">
        <is>
          <t>月</t>
        </is>
      </c>
      <c r="C64" s="10" t="inlineStr">
        <is>
          <t>平日</t>
        </is>
      </c>
      <c r="E64" s="10" t="inlineStr">
        <is>
          <t>柴田</t>
        </is>
      </c>
      <c r="F64" s="10" t="inlineStr">
        <is>
          <t>欠員②</t>
        </is>
      </c>
      <c r="G64" s="10" t="inlineStr">
        <is>
          <t>内野</t>
        </is>
      </c>
      <c r="H64" s="10" t="inlineStr">
        <is>
          <t>門谷</t>
        </is>
      </c>
      <c r="I64" s="10" t="inlineStr">
        <is>
          <t>横田</t>
        </is>
      </c>
      <c r="J64" s="10" t="inlineStr">
        <is>
          <t>谷川</t>
        </is>
      </c>
      <c r="K64" s="10" t="inlineStr">
        <is>
          <t>丸田</t>
        </is>
      </c>
      <c r="L64" s="10" t="inlineStr">
        <is>
          <t>植山</t>
        </is>
      </c>
      <c r="M64" s="10" t="inlineStr">
        <is>
          <t>矢田</t>
        </is>
      </c>
      <c r="N64" s="10" t="inlineStr">
        <is>
          <t>富島</t>
        </is>
      </c>
      <c r="O64" s="10" t="inlineStr">
        <is>
          <t>山田久</t>
        </is>
      </c>
      <c r="P64" s="10" t="inlineStr">
        <is>
          <t>野口</t>
        </is>
      </c>
      <c r="Q64" s="10" t="inlineStr">
        <is>
          <t>横山</t>
        </is>
      </c>
      <c r="R64" s="10" t="inlineStr">
        <is>
          <t>中嶌</t>
        </is>
      </c>
      <c r="S64" s="10" t="inlineStr">
        <is>
          <t>藤原</t>
        </is>
      </c>
      <c r="T64" s="10" t="inlineStr">
        <is>
          <t>山本幸</t>
        </is>
      </c>
      <c r="U64" s="10" t="inlineStr">
        <is>
          <t>欠員①</t>
        </is>
      </c>
      <c r="V64" s="10" t="inlineStr">
        <is>
          <t>中村</t>
        </is>
      </c>
      <c r="W64" s="10" t="inlineStr">
        <is>
          <t>馬場</t>
        </is>
      </c>
      <c r="X64" s="10" t="inlineStr">
        <is>
          <t>安村</t>
        </is>
      </c>
      <c r="Y64" s="10" t="inlineStr">
        <is>
          <t>上田</t>
        </is>
      </c>
      <c r="Z64" s="10" t="inlineStr">
        <is>
          <t>山田真</t>
        </is>
      </c>
      <c r="AA64" s="10" t="inlineStr">
        <is>
          <t>大川内</t>
        </is>
      </c>
      <c r="AB64" s="10" t="inlineStr">
        <is>
          <t>市田</t>
        </is>
      </c>
      <c r="AC64" s="10" t="inlineStr">
        <is>
          <t>佐野</t>
        </is>
      </c>
      <c r="AD64" s="10" t="inlineStr">
        <is>
          <t>井川</t>
        </is>
      </c>
      <c r="AE64" s="10" t="inlineStr">
        <is>
          <t>尾川</t>
        </is>
      </c>
      <c r="AF64" s="10" t="inlineStr">
        <is>
          <t>中山</t>
        </is>
      </c>
      <c r="AG64" s="10" t="inlineStr">
        <is>
          <t>河野</t>
        </is>
      </c>
      <c r="AH64" s="10" t="inlineStr">
        <is>
          <t>岡本</t>
        </is>
      </c>
      <c r="AI64" s="10" t="inlineStr">
        <is>
          <t>西村</t>
        </is>
      </c>
      <c r="AJ64" s="10" t="inlineStr">
        <is>
          <t>原</t>
        </is>
      </c>
      <c r="AK64" s="10" t="inlineStr">
        <is>
          <t>栗下</t>
        </is>
      </c>
      <c r="AL64" s="10" t="inlineStr">
        <is>
          <t>岩田</t>
        </is>
      </c>
      <c r="AM64" s="10" t="inlineStr">
        <is>
          <t>田中</t>
        </is>
      </c>
      <c r="AN64" s="10" t="inlineStr">
        <is>
          <t>北川</t>
        </is>
      </c>
      <c r="AO64" s="10" t="inlineStr">
        <is>
          <t>上野</t>
        </is>
      </c>
      <c r="AP64" s="10" t="inlineStr">
        <is>
          <t>山本高</t>
        </is>
      </c>
    </row>
    <row r="65" ht="15" customHeight="1" s="37">
      <c r="A65" t="inlineStr">
        <is>
          <t>2026-07-07</t>
        </is>
      </c>
      <c r="B65" s="10" t="inlineStr">
        <is>
          <t>火</t>
        </is>
      </c>
      <c r="C65" s="10" t="inlineStr">
        <is>
          <t>平日</t>
        </is>
      </c>
      <c r="E65" s="10" t="inlineStr">
        <is>
          <t>藤原</t>
        </is>
      </c>
      <c r="F65" s="10" t="inlineStr">
        <is>
          <t>矢田</t>
        </is>
      </c>
      <c r="G65" s="10" t="inlineStr">
        <is>
          <t>中村</t>
        </is>
      </c>
      <c r="H65" s="10" t="inlineStr">
        <is>
          <t>山田久</t>
        </is>
      </c>
      <c r="I65" s="10" t="inlineStr">
        <is>
          <t>北川</t>
        </is>
      </c>
      <c r="J65" s="10" t="inlineStr">
        <is>
          <t>馬場</t>
        </is>
      </c>
      <c r="K65" s="10" t="inlineStr">
        <is>
          <t>中山</t>
        </is>
      </c>
      <c r="L65" s="10" t="inlineStr">
        <is>
          <t>野口</t>
        </is>
      </c>
      <c r="M65" s="10" t="inlineStr">
        <is>
          <t>佐野</t>
        </is>
      </c>
      <c r="N65" s="10" t="inlineStr">
        <is>
          <t>中嶌</t>
        </is>
      </c>
      <c r="O65" s="10" t="inlineStr">
        <is>
          <t>安村</t>
        </is>
      </c>
      <c r="P65" s="10" t="inlineStr">
        <is>
          <t>栗下</t>
        </is>
      </c>
      <c r="Q65" s="10" t="inlineStr">
        <is>
          <t>植山</t>
        </is>
      </c>
      <c r="R65" s="10" t="inlineStr">
        <is>
          <t>大川内</t>
        </is>
      </c>
      <c r="S65" s="10" t="inlineStr">
        <is>
          <t>岩田</t>
        </is>
      </c>
      <c r="T65" s="10" t="inlineStr">
        <is>
          <t>欠員①</t>
        </is>
      </c>
      <c r="U65" s="10" t="inlineStr">
        <is>
          <t>山本高</t>
        </is>
      </c>
      <c r="V65" s="10" t="inlineStr">
        <is>
          <t>岡本</t>
        </is>
      </c>
      <c r="W65" s="10" t="inlineStr">
        <is>
          <t>尾川</t>
        </is>
      </c>
      <c r="X65" s="10" t="inlineStr">
        <is>
          <t>丸田</t>
        </is>
      </c>
      <c r="Y65" s="10" t="inlineStr">
        <is>
          <t>原</t>
        </is>
      </c>
      <c r="Z65" s="10" t="inlineStr">
        <is>
          <t>市田</t>
        </is>
      </c>
      <c r="AA65" s="10" t="inlineStr">
        <is>
          <t>田中</t>
        </is>
      </c>
      <c r="AB65" s="10" t="inlineStr">
        <is>
          <t>谷川</t>
        </is>
      </c>
      <c r="AC65" s="10" t="inlineStr">
        <is>
          <t>上野</t>
        </is>
      </c>
      <c r="AD65" s="10" t="inlineStr">
        <is>
          <t>内野</t>
        </is>
      </c>
      <c r="AE65" s="10" t="inlineStr">
        <is>
          <t>門谷</t>
        </is>
      </c>
      <c r="AF65" s="10" t="inlineStr">
        <is>
          <t>欠員②</t>
        </is>
      </c>
      <c r="AG65" s="10" t="inlineStr">
        <is>
          <t>富島</t>
        </is>
      </c>
      <c r="AH65" s="10" t="inlineStr">
        <is>
          <t>横山</t>
        </is>
      </c>
      <c r="AI65" s="10" t="inlineStr">
        <is>
          <t>山本幸</t>
        </is>
      </c>
      <c r="AJ65" s="10" t="inlineStr">
        <is>
          <t>横田</t>
        </is>
      </c>
      <c r="AK65" s="10" t="inlineStr">
        <is>
          <t>西村</t>
        </is>
      </c>
      <c r="AL65" s="10" t="inlineStr">
        <is>
          <t>上田</t>
        </is>
      </c>
      <c r="AM65" s="10" t="inlineStr">
        <is>
          <t>井川</t>
        </is>
      </c>
      <c r="AN65" s="10" t="inlineStr">
        <is>
          <t>河野</t>
        </is>
      </c>
      <c r="AO65" s="10" t="inlineStr">
        <is>
          <t>柴田</t>
        </is>
      </c>
      <c r="AP65" s="10" t="inlineStr">
        <is>
          <t>山田真</t>
        </is>
      </c>
    </row>
    <row r="66" ht="15" customHeight="1" s="37">
      <c r="A66" t="inlineStr">
        <is>
          <t>2026-07-08</t>
        </is>
      </c>
      <c r="B66" s="10" t="inlineStr">
        <is>
          <t>水</t>
        </is>
      </c>
      <c r="C66" s="10" t="inlineStr">
        <is>
          <t>平日</t>
        </is>
      </c>
      <c r="E66" s="10" t="inlineStr">
        <is>
          <t>岩田</t>
        </is>
      </c>
      <c r="F66" s="10" t="inlineStr">
        <is>
          <t>佐野</t>
        </is>
      </c>
      <c r="G66" s="10" t="inlineStr">
        <is>
          <t>岡本</t>
        </is>
      </c>
      <c r="H66" s="10" t="inlineStr">
        <is>
          <t>安村</t>
        </is>
      </c>
      <c r="I66" s="10" t="inlineStr">
        <is>
          <t>河野</t>
        </is>
      </c>
      <c r="J66" s="10" t="inlineStr">
        <is>
          <t>尾川</t>
        </is>
      </c>
      <c r="K66" s="10" t="inlineStr">
        <is>
          <t>欠員②</t>
        </is>
      </c>
      <c r="L66" s="10" t="inlineStr">
        <is>
          <t>栗下</t>
        </is>
      </c>
      <c r="M66" s="10" t="inlineStr">
        <is>
          <t>上野</t>
        </is>
      </c>
      <c r="N66" s="10" t="inlineStr">
        <is>
          <t>大川内</t>
        </is>
      </c>
      <c r="O66" s="10" t="inlineStr">
        <is>
          <t>丸田</t>
        </is>
      </c>
      <c r="P66" s="10" t="inlineStr">
        <is>
          <t>西村</t>
        </is>
      </c>
      <c r="Q66" s="10" t="inlineStr">
        <is>
          <t>野口</t>
        </is>
      </c>
      <c r="R66" s="10" t="inlineStr">
        <is>
          <t>田中</t>
        </is>
      </c>
      <c r="S66" s="10" t="inlineStr">
        <is>
          <t>上田</t>
        </is>
      </c>
      <c r="T66" s="10" t="inlineStr">
        <is>
          <t>山本高</t>
        </is>
      </c>
      <c r="U66" s="10" t="inlineStr">
        <is>
          <t>山田真</t>
        </is>
      </c>
      <c r="V66" s="10" t="inlineStr">
        <is>
          <t>横山</t>
        </is>
      </c>
      <c r="W66" s="10" t="inlineStr">
        <is>
          <t>門谷</t>
        </is>
      </c>
      <c r="X66" s="10" t="inlineStr">
        <is>
          <t>中山</t>
        </is>
      </c>
      <c r="Y66" s="10" t="inlineStr">
        <is>
          <t>横田</t>
        </is>
      </c>
      <c r="Z66" s="10" t="inlineStr">
        <is>
          <t>谷川</t>
        </is>
      </c>
      <c r="AA66" s="10" t="inlineStr">
        <is>
          <t>井川</t>
        </is>
      </c>
      <c r="AB66" s="10" t="inlineStr">
        <is>
          <t>馬場</t>
        </is>
      </c>
      <c r="AC66" s="10" t="inlineStr">
        <is>
          <t>柴田</t>
        </is>
      </c>
      <c r="AD66" s="10" t="inlineStr">
        <is>
          <t>中村</t>
        </is>
      </c>
      <c r="AE66" s="10" t="inlineStr">
        <is>
          <t>山田久</t>
        </is>
      </c>
      <c r="AF66" s="10" t="inlineStr">
        <is>
          <t>矢田</t>
        </is>
      </c>
      <c r="AG66" s="10" t="inlineStr">
        <is>
          <t>中嶌</t>
        </is>
      </c>
      <c r="AH66" s="10" t="inlineStr">
        <is>
          <t>植山</t>
        </is>
      </c>
      <c r="AI66" s="10" t="inlineStr">
        <is>
          <t>欠員①</t>
        </is>
      </c>
      <c r="AJ66" s="10" t="inlineStr">
        <is>
          <t>北川</t>
        </is>
      </c>
      <c r="AK66" s="10" t="inlineStr">
        <is>
          <t>山本幸</t>
        </is>
      </c>
      <c r="AL66" s="10" t="inlineStr">
        <is>
          <t>原</t>
        </is>
      </c>
      <c r="AM66" s="10" t="inlineStr">
        <is>
          <t>内野</t>
        </is>
      </c>
      <c r="AN66" s="10" t="inlineStr">
        <is>
          <t>富島</t>
        </is>
      </c>
      <c r="AO66" s="10" t="inlineStr">
        <is>
          <t>藤原</t>
        </is>
      </c>
      <c r="AP66" s="10" t="inlineStr">
        <is>
          <t>市田</t>
        </is>
      </c>
    </row>
    <row r="67" ht="15" customHeight="1" s="37">
      <c r="A67" t="inlineStr">
        <is>
          <t>2026-07-09</t>
        </is>
      </c>
      <c r="B67" s="10" t="inlineStr">
        <is>
          <t>木</t>
        </is>
      </c>
      <c r="C67" s="10" t="inlineStr">
        <is>
          <t>平日</t>
        </is>
      </c>
      <c r="E67" s="10" t="inlineStr">
        <is>
          <t>上田</t>
        </is>
      </c>
      <c r="F67" s="10" t="inlineStr">
        <is>
          <t>上野</t>
        </is>
      </c>
      <c r="G67" s="10" t="inlineStr">
        <is>
          <t>横山</t>
        </is>
      </c>
      <c r="H67" s="10" t="inlineStr">
        <is>
          <t>丸田</t>
        </is>
      </c>
      <c r="I67" s="10" t="inlineStr">
        <is>
          <t>富島</t>
        </is>
      </c>
      <c r="J67" s="10" t="inlineStr">
        <is>
          <t>門谷</t>
        </is>
      </c>
      <c r="K67" s="10" t="inlineStr">
        <is>
          <t>矢田</t>
        </is>
      </c>
      <c r="L67" s="10" t="inlineStr">
        <is>
          <t>西村</t>
        </is>
      </c>
      <c r="M67" s="10" t="inlineStr">
        <is>
          <t>柴田</t>
        </is>
      </c>
      <c r="N67" s="10" t="inlineStr">
        <is>
          <t>田中</t>
        </is>
      </c>
      <c r="O67" s="10" t="inlineStr">
        <is>
          <t>中山</t>
        </is>
      </c>
      <c r="P67" s="10" t="inlineStr">
        <is>
          <t>山本幸</t>
        </is>
      </c>
      <c r="Q67" s="10" t="inlineStr">
        <is>
          <t>栗下</t>
        </is>
      </c>
      <c r="R67" s="10" t="inlineStr">
        <is>
          <t>井川</t>
        </is>
      </c>
      <c r="S67" s="10" t="inlineStr">
        <is>
          <t>原</t>
        </is>
      </c>
      <c r="T67" s="10" t="inlineStr">
        <is>
          <t>山田真</t>
        </is>
      </c>
      <c r="U67" s="10" t="inlineStr">
        <is>
          <t>市田</t>
        </is>
      </c>
      <c r="V67" s="10" t="inlineStr">
        <is>
          <t>植山</t>
        </is>
      </c>
      <c r="W67" s="10" t="inlineStr">
        <is>
          <t>山田久</t>
        </is>
      </c>
      <c r="X67" s="10" t="inlineStr">
        <is>
          <t>欠員②</t>
        </is>
      </c>
      <c r="Y67" s="10" t="inlineStr">
        <is>
          <t>北川</t>
        </is>
      </c>
      <c r="Z67" s="10" t="inlineStr">
        <is>
          <t>馬場</t>
        </is>
      </c>
      <c r="AA67" s="10" t="inlineStr">
        <is>
          <t>内野</t>
        </is>
      </c>
      <c r="AB67" s="10" t="inlineStr">
        <is>
          <t>尾川</t>
        </is>
      </c>
      <c r="AC67" s="10" t="inlineStr">
        <is>
          <t>藤原</t>
        </is>
      </c>
      <c r="AD67" s="10" t="inlineStr">
        <is>
          <t>岡本</t>
        </is>
      </c>
      <c r="AE67" s="10" t="inlineStr">
        <is>
          <t>安村</t>
        </is>
      </c>
      <c r="AF67" s="10" t="inlineStr">
        <is>
          <t>佐野</t>
        </is>
      </c>
      <c r="AG67" s="10" t="inlineStr">
        <is>
          <t>大川内</t>
        </is>
      </c>
      <c r="AH67" s="10" t="inlineStr">
        <is>
          <t>野口</t>
        </is>
      </c>
      <c r="AI67" s="10" t="inlineStr">
        <is>
          <t>山本高</t>
        </is>
      </c>
      <c r="AJ67" s="10" t="inlineStr">
        <is>
          <t>河野</t>
        </is>
      </c>
      <c r="AK67" s="10" t="inlineStr">
        <is>
          <t>欠員①</t>
        </is>
      </c>
      <c r="AL67" s="10" t="inlineStr">
        <is>
          <t>横田</t>
        </is>
      </c>
      <c r="AM67" s="10" t="inlineStr">
        <is>
          <t>中村</t>
        </is>
      </c>
      <c r="AN67" s="10" t="inlineStr">
        <is>
          <t>中嶌</t>
        </is>
      </c>
      <c r="AO67" s="10" t="inlineStr">
        <is>
          <t>岩田</t>
        </is>
      </c>
      <c r="AP67" s="10" t="inlineStr">
        <is>
          <t>谷川</t>
        </is>
      </c>
    </row>
    <row r="68" ht="15" customHeight="1" s="37">
      <c r="A68" t="inlineStr">
        <is>
          <t>2026-07-10</t>
        </is>
      </c>
      <c r="B68" s="10" t="inlineStr">
        <is>
          <t>金</t>
        </is>
      </c>
      <c r="C68" s="10" t="inlineStr">
        <is>
          <t>平日</t>
        </is>
      </c>
      <c r="E68" s="10" t="inlineStr">
        <is>
          <t>原</t>
        </is>
      </c>
      <c r="F68" s="10" t="inlineStr">
        <is>
          <t>柴田</t>
        </is>
      </c>
      <c r="G68" s="10" t="inlineStr">
        <is>
          <t>植山</t>
        </is>
      </c>
      <c r="H68" s="10" t="inlineStr">
        <is>
          <t>中山</t>
        </is>
      </c>
      <c r="I68" s="10" t="inlineStr">
        <is>
          <t>中嶌</t>
        </is>
      </c>
      <c r="J68" s="10" t="inlineStr">
        <is>
          <t>山田久</t>
        </is>
      </c>
      <c r="K68" s="10" t="inlineStr">
        <is>
          <t>佐野</t>
        </is>
      </c>
      <c r="L68" s="10" t="inlineStr">
        <is>
          <t>山本幸</t>
        </is>
      </c>
      <c r="M68" s="10" t="inlineStr">
        <is>
          <t>藤原</t>
        </is>
      </c>
      <c r="N68" s="10" t="inlineStr">
        <is>
          <t>井川</t>
        </is>
      </c>
      <c r="O68" s="10" t="inlineStr">
        <is>
          <t>欠員②</t>
        </is>
      </c>
      <c r="P68" s="10" t="inlineStr">
        <is>
          <t>欠員①</t>
        </is>
      </c>
      <c r="Q68" s="10" t="inlineStr">
        <is>
          <t>西村</t>
        </is>
      </c>
      <c r="R68" s="10" t="inlineStr">
        <is>
          <t>内野</t>
        </is>
      </c>
      <c r="S68" s="10" t="inlineStr">
        <is>
          <t>横田</t>
        </is>
      </c>
      <c r="T68" s="10" t="inlineStr">
        <is>
          <t>市田</t>
        </is>
      </c>
      <c r="U68" s="10" t="inlineStr">
        <is>
          <t>谷川</t>
        </is>
      </c>
      <c r="V68" s="10" t="inlineStr">
        <is>
          <t>野口</t>
        </is>
      </c>
      <c r="W68" s="10" t="inlineStr">
        <is>
          <t>安村</t>
        </is>
      </c>
      <c r="X68" s="10" t="inlineStr">
        <is>
          <t>矢田</t>
        </is>
      </c>
      <c r="Y68" s="10" t="inlineStr">
        <is>
          <t>河野</t>
        </is>
      </c>
      <c r="Z68" s="10" t="inlineStr">
        <is>
          <t>尾川</t>
        </is>
      </c>
      <c r="AA68" s="10" t="inlineStr">
        <is>
          <t>中村</t>
        </is>
      </c>
      <c r="AB68" s="10" t="inlineStr">
        <is>
          <t>門谷</t>
        </is>
      </c>
      <c r="AC68" s="10" t="inlineStr">
        <is>
          <t>岩田</t>
        </is>
      </c>
      <c r="AD68" s="10" t="inlineStr">
        <is>
          <t>横山</t>
        </is>
      </c>
      <c r="AE68" s="10" t="inlineStr">
        <is>
          <t>丸田</t>
        </is>
      </c>
      <c r="AF68" s="10" t="inlineStr">
        <is>
          <t>上野</t>
        </is>
      </c>
      <c r="AG68" s="10" t="inlineStr">
        <is>
          <t>田中</t>
        </is>
      </c>
      <c r="AH68" s="10" t="inlineStr">
        <is>
          <t>栗下</t>
        </is>
      </c>
      <c r="AI68" s="10" t="inlineStr">
        <is>
          <t>山田真</t>
        </is>
      </c>
      <c r="AJ68" s="10" t="inlineStr">
        <is>
          <t>富島</t>
        </is>
      </c>
      <c r="AK68" s="10" t="inlineStr">
        <is>
          <t>山本高</t>
        </is>
      </c>
      <c r="AL68" s="10" t="inlineStr">
        <is>
          <t>北川</t>
        </is>
      </c>
      <c r="AM68" s="10" t="inlineStr">
        <is>
          <t>岡本</t>
        </is>
      </c>
      <c r="AN68" s="10" t="inlineStr">
        <is>
          <t>大川内</t>
        </is>
      </c>
      <c r="AO68" s="10" t="inlineStr">
        <is>
          <t>上田</t>
        </is>
      </c>
      <c r="AP68" s="10" t="inlineStr">
        <is>
          <t>馬場</t>
        </is>
      </c>
    </row>
    <row r="69" ht="15" customHeight="1" s="37">
      <c r="A69" t="inlineStr">
        <is>
          <t>2026-07-11</t>
        </is>
      </c>
      <c r="B69" s="10" t="inlineStr">
        <is>
          <t>土</t>
        </is>
      </c>
      <c r="C69" s="10" t="inlineStr">
        <is>
          <t>休日</t>
        </is>
      </c>
      <c r="E69" s="10" t="inlineStr">
        <is>
          <t>横田</t>
        </is>
      </c>
      <c r="F69" s="10" t="inlineStr">
        <is>
          <t>藤原</t>
        </is>
      </c>
      <c r="G69" s="10" t="inlineStr">
        <is>
          <t>野口</t>
        </is>
      </c>
      <c r="H69" s="10" t="inlineStr">
        <is>
          <t>欠員②</t>
        </is>
      </c>
      <c r="I69" s="10" t="inlineStr">
        <is>
          <t>大川内</t>
        </is>
      </c>
      <c r="J69" s="10" t="inlineStr">
        <is>
          <t>安村</t>
        </is>
      </c>
      <c r="K69" s="10" t="inlineStr">
        <is>
          <t>上野</t>
        </is>
      </c>
      <c r="L69" s="10" t="inlineStr">
        <is>
          <t>欠員①</t>
        </is>
      </c>
      <c r="M69" s="10" t="inlineStr">
        <is>
          <t>岩田</t>
        </is>
      </c>
      <c r="N69" s="10" t="inlineStr">
        <is>
          <t>内野</t>
        </is>
      </c>
      <c r="O69" s="10" t="inlineStr">
        <is>
          <t>矢田</t>
        </is>
      </c>
      <c r="P69" s="10" t="inlineStr">
        <is>
          <t>山本高</t>
        </is>
      </c>
      <c r="Q69" s="10" t="inlineStr">
        <is>
          <t>山本幸</t>
        </is>
      </c>
      <c r="R69" s="10" t="inlineStr">
        <is>
          <t>中村</t>
        </is>
      </c>
      <c r="S69" s="10" t="inlineStr">
        <is>
          <t>北川</t>
        </is>
      </c>
      <c r="T69" s="10" t="inlineStr">
        <is>
          <t>谷川</t>
        </is>
      </c>
      <c r="U69" s="10" t="inlineStr">
        <is>
          <t>馬場</t>
        </is>
      </c>
      <c r="V69" s="10" t="inlineStr">
        <is>
          <t>栗下</t>
        </is>
      </c>
      <c r="W69" s="10" t="inlineStr">
        <is>
          <t>丸田</t>
        </is>
      </c>
      <c r="X69" s="10" t="inlineStr">
        <is>
          <t>佐野</t>
        </is>
      </c>
      <c r="Y69" s="10" t="inlineStr">
        <is>
          <t>富島</t>
        </is>
      </c>
      <c r="Z69" s="10" t="inlineStr">
        <is>
          <t>門谷</t>
        </is>
      </c>
      <c r="AA69" s="10" t="inlineStr">
        <is>
          <t>岡本</t>
        </is>
      </c>
      <c r="AB69" s="10" t="inlineStr">
        <is>
          <t>山田久</t>
        </is>
      </c>
      <c r="AC69" s="10" t="inlineStr">
        <is>
          <t>上田</t>
        </is>
      </c>
      <c r="AD69" s="10" t="inlineStr">
        <is>
          <t>植山</t>
        </is>
      </c>
      <c r="AE69" s="10" t="inlineStr">
        <is>
          <t>中山</t>
        </is>
      </c>
      <c r="AF69" s="10" t="inlineStr">
        <is>
          <t>柴田</t>
        </is>
      </c>
      <c r="AG69" s="10" t="inlineStr">
        <is>
          <t>井川</t>
        </is>
      </c>
      <c r="AH69" s="10" t="inlineStr">
        <is>
          <t>西村</t>
        </is>
      </c>
      <c r="AI69" s="10" t="inlineStr">
        <is>
          <t>市田</t>
        </is>
      </c>
      <c r="AJ69" s="10" t="inlineStr">
        <is>
          <t>中嶌</t>
        </is>
      </c>
      <c r="AK69" s="10" t="inlineStr">
        <is>
          <t>山田真</t>
        </is>
      </c>
      <c r="AL69" s="10" t="inlineStr">
        <is>
          <t>河野</t>
        </is>
      </c>
      <c r="AM69" s="10" t="inlineStr">
        <is>
          <t>横山</t>
        </is>
      </c>
      <c r="AN69" s="10" t="inlineStr">
        <is>
          <t>田中</t>
        </is>
      </c>
      <c r="AO69" s="10" t="inlineStr">
        <is>
          <t>原</t>
        </is>
      </c>
      <c r="AP69" s="10" t="inlineStr">
        <is>
          <t>尾川</t>
        </is>
      </c>
    </row>
    <row r="70" ht="15" customHeight="1" s="37">
      <c r="A70" t="inlineStr">
        <is>
          <t>2026-07-12</t>
        </is>
      </c>
      <c r="B70" s="10" t="inlineStr">
        <is>
          <t>日</t>
        </is>
      </c>
      <c r="C70" s="10" t="inlineStr">
        <is>
          <t>休日</t>
        </is>
      </c>
      <c r="E70" s="10" t="inlineStr">
        <is>
          <t>北川</t>
        </is>
      </c>
      <c r="F70" s="10" t="inlineStr">
        <is>
          <t>岩田</t>
        </is>
      </c>
      <c r="G70" s="10" t="inlineStr">
        <is>
          <t>栗下</t>
        </is>
      </c>
      <c r="H70" s="10" t="inlineStr">
        <is>
          <t>矢田</t>
        </is>
      </c>
      <c r="I70" s="10" t="inlineStr">
        <is>
          <t>田中</t>
        </is>
      </c>
      <c r="J70" s="10" t="inlineStr">
        <is>
          <t>丸田</t>
        </is>
      </c>
      <c r="K70" s="10" t="inlineStr">
        <is>
          <t>柴田</t>
        </is>
      </c>
      <c r="L70" s="10" t="inlineStr">
        <is>
          <t>山本高</t>
        </is>
      </c>
      <c r="M70" s="10" t="inlineStr">
        <is>
          <t>上田</t>
        </is>
      </c>
      <c r="N70" s="10" t="inlineStr">
        <is>
          <t>中村</t>
        </is>
      </c>
      <c r="O70" s="10" t="inlineStr">
        <is>
          <t>佐野</t>
        </is>
      </c>
      <c r="P70" s="10" t="inlineStr">
        <is>
          <t>山田真</t>
        </is>
      </c>
      <c r="Q70" s="10" t="inlineStr">
        <is>
          <t>欠員①</t>
        </is>
      </c>
      <c r="R70" s="10" t="inlineStr">
        <is>
          <t>岡本</t>
        </is>
      </c>
      <c r="S70" s="10" t="inlineStr">
        <is>
          <t>河野</t>
        </is>
      </c>
      <c r="T70" s="10" t="inlineStr">
        <is>
          <t>馬場</t>
        </is>
      </c>
      <c r="U70" s="10" t="inlineStr">
        <is>
          <t>尾川</t>
        </is>
      </c>
      <c r="V70" s="10" t="inlineStr">
        <is>
          <t>西村</t>
        </is>
      </c>
      <c r="W70" s="10" t="inlineStr">
        <is>
          <t>中山</t>
        </is>
      </c>
      <c r="X70" s="10" t="inlineStr">
        <is>
          <t>上野</t>
        </is>
      </c>
      <c r="Y70" s="10" t="inlineStr">
        <is>
          <t>中嶌</t>
        </is>
      </c>
      <c r="Z70" s="10" t="inlineStr">
        <is>
          <t>山田久</t>
        </is>
      </c>
      <c r="AA70" s="10" t="inlineStr">
        <is>
          <t>横山</t>
        </is>
      </c>
      <c r="AB70" s="10" t="inlineStr">
        <is>
          <t>安村</t>
        </is>
      </c>
      <c r="AC70" s="10" t="inlineStr">
        <is>
          <t>原</t>
        </is>
      </c>
      <c r="AD70" s="10" t="inlineStr">
        <is>
          <t>野口</t>
        </is>
      </c>
      <c r="AE70" s="10" t="inlineStr">
        <is>
          <t>欠員②</t>
        </is>
      </c>
      <c r="AF70" s="10" t="inlineStr">
        <is>
          <t>藤原</t>
        </is>
      </c>
      <c r="AG70" s="10" t="inlineStr">
        <is>
          <t>内野</t>
        </is>
      </c>
      <c r="AH70" s="10" t="inlineStr">
        <is>
          <t>山本幸</t>
        </is>
      </c>
      <c r="AI70" s="10" t="inlineStr">
        <is>
          <t>谷川</t>
        </is>
      </c>
      <c r="AJ70" s="10" t="inlineStr">
        <is>
          <t>大川内</t>
        </is>
      </c>
      <c r="AK70" s="10" t="inlineStr">
        <is>
          <t>市田</t>
        </is>
      </c>
      <c r="AL70" s="10" t="inlineStr">
        <is>
          <t>富島</t>
        </is>
      </c>
      <c r="AM70" s="10" t="inlineStr">
        <is>
          <t>植山</t>
        </is>
      </c>
      <c r="AN70" s="10" t="inlineStr">
        <is>
          <t>井川</t>
        </is>
      </c>
      <c r="AO70" s="10" t="inlineStr">
        <is>
          <t>横田</t>
        </is>
      </c>
      <c r="AP70" s="10" t="inlineStr">
        <is>
          <t>門谷</t>
        </is>
      </c>
    </row>
    <row r="71" ht="15" customHeight="1" s="37">
      <c r="A71" t="inlineStr">
        <is>
          <t>2026-07-13</t>
        </is>
      </c>
      <c r="B71" s="10" t="inlineStr">
        <is>
          <t>月</t>
        </is>
      </c>
      <c r="C71" s="10" t="inlineStr">
        <is>
          <t>平日</t>
        </is>
      </c>
      <c r="E71" s="10" t="inlineStr">
        <is>
          <t>河野</t>
        </is>
      </c>
      <c r="F71" s="10" t="inlineStr">
        <is>
          <t>上田</t>
        </is>
      </c>
      <c r="G71" s="10" t="inlineStr">
        <is>
          <t>西村</t>
        </is>
      </c>
      <c r="H71" s="10" t="inlineStr">
        <is>
          <t>佐野</t>
        </is>
      </c>
      <c r="I71" s="10" t="inlineStr">
        <is>
          <t>井川</t>
        </is>
      </c>
      <c r="J71" s="10" t="inlineStr">
        <is>
          <t>中山</t>
        </is>
      </c>
      <c r="K71" s="10" t="inlineStr">
        <is>
          <t>藤原</t>
        </is>
      </c>
      <c r="L71" s="10" t="inlineStr">
        <is>
          <t>山田真</t>
        </is>
      </c>
      <c r="M71" s="10" t="inlineStr">
        <is>
          <t>原</t>
        </is>
      </c>
      <c r="N71" s="10" t="inlineStr">
        <is>
          <t>岡本</t>
        </is>
      </c>
      <c r="O71" s="10" t="inlineStr">
        <is>
          <t>上野</t>
        </is>
      </c>
      <c r="P71" s="10" t="inlineStr">
        <is>
          <t>市田</t>
        </is>
      </c>
      <c r="Q71" s="10" t="inlineStr">
        <is>
          <t>山本高</t>
        </is>
      </c>
      <c r="R71" s="10" t="inlineStr">
        <is>
          <t>横山</t>
        </is>
      </c>
      <c r="S71" s="10" t="inlineStr">
        <is>
          <t>富島</t>
        </is>
      </c>
      <c r="T71" s="10" t="inlineStr">
        <is>
          <t>尾川</t>
        </is>
      </c>
      <c r="U71" s="10" t="inlineStr">
        <is>
          <t>門谷</t>
        </is>
      </c>
      <c r="V71" s="10" t="inlineStr">
        <is>
          <t>山本幸</t>
        </is>
      </c>
      <c r="W71" s="10" t="inlineStr">
        <is>
          <t>欠員②</t>
        </is>
      </c>
      <c r="X71" s="10" t="inlineStr">
        <is>
          <t>柴田</t>
        </is>
      </c>
      <c r="Y71" s="10" t="inlineStr">
        <is>
          <t>大川内</t>
        </is>
      </c>
      <c r="Z71" s="10" t="inlineStr">
        <is>
          <t>安村</t>
        </is>
      </c>
      <c r="AA71" s="10" t="inlineStr">
        <is>
          <t>植山</t>
        </is>
      </c>
      <c r="AB71" s="10" t="inlineStr">
        <is>
          <t>丸田</t>
        </is>
      </c>
      <c r="AC71" s="10" t="inlineStr">
        <is>
          <t>横田</t>
        </is>
      </c>
      <c r="AD71" s="10" t="inlineStr">
        <is>
          <t>栗下</t>
        </is>
      </c>
      <c r="AE71" s="10" t="inlineStr">
        <is>
          <t>矢田</t>
        </is>
      </c>
      <c r="AF71" s="10" t="inlineStr">
        <is>
          <t>岩田</t>
        </is>
      </c>
      <c r="AG71" s="10" t="inlineStr">
        <is>
          <t>中村</t>
        </is>
      </c>
      <c r="AH71" s="10" t="inlineStr">
        <is>
          <t>欠員①</t>
        </is>
      </c>
      <c r="AI71" s="10" t="inlineStr">
        <is>
          <t>馬場</t>
        </is>
      </c>
      <c r="AJ71" s="10" t="inlineStr">
        <is>
          <t>田中</t>
        </is>
      </c>
      <c r="AK71" s="10" t="inlineStr">
        <is>
          <t>谷川</t>
        </is>
      </c>
      <c r="AL71" s="10" t="inlineStr">
        <is>
          <t>中嶌</t>
        </is>
      </c>
      <c r="AM71" s="10" t="inlineStr">
        <is>
          <t>野口</t>
        </is>
      </c>
      <c r="AN71" s="10" t="inlineStr">
        <is>
          <t>内野</t>
        </is>
      </c>
      <c r="AO71" s="10" t="inlineStr">
        <is>
          <t>北川</t>
        </is>
      </c>
      <c r="AP71" s="10" t="inlineStr">
        <is>
          <t>山田久</t>
        </is>
      </c>
    </row>
    <row r="72" ht="15" customHeight="1" s="37">
      <c r="A72" t="inlineStr">
        <is>
          <t>2026-07-14</t>
        </is>
      </c>
      <c r="B72" s="10" t="inlineStr">
        <is>
          <t>火</t>
        </is>
      </c>
      <c r="C72" s="10" t="inlineStr">
        <is>
          <t>平日</t>
        </is>
      </c>
      <c r="E72" s="10" t="inlineStr">
        <is>
          <t>富島</t>
        </is>
      </c>
      <c r="F72" s="10" t="inlineStr">
        <is>
          <t>原</t>
        </is>
      </c>
      <c r="G72" s="10" t="inlineStr">
        <is>
          <t>山本幸</t>
        </is>
      </c>
      <c r="H72" s="10" t="inlineStr">
        <is>
          <t>上野</t>
        </is>
      </c>
      <c r="I72" s="10" t="inlineStr">
        <is>
          <t>内野</t>
        </is>
      </c>
      <c r="J72" s="10" t="inlineStr">
        <is>
          <t>欠員②</t>
        </is>
      </c>
      <c r="K72" s="10" t="inlineStr">
        <is>
          <t>岩田</t>
        </is>
      </c>
      <c r="L72" s="10" t="inlineStr">
        <is>
          <t>市田</t>
        </is>
      </c>
      <c r="M72" s="10" t="inlineStr">
        <is>
          <t>横田</t>
        </is>
      </c>
      <c r="N72" s="10" t="inlineStr">
        <is>
          <t>横山</t>
        </is>
      </c>
      <c r="O72" s="10" t="inlineStr">
        <is>
          <t>柴田</t>
        </is>
      </c>
      <c r="P72" s="10" t="inlineStr">
        <is>
          <t>谷川</t>
        </is>
      </c>
      <c r="Q72" s="10" t="inlineStr">
        <is>
          <t>山田真</t>
        </is>
      </c>
      <c r="R72" s="10" t="inlineStr">
        <is>
          <t>植山</t>
        </is>
      </c>
      <c r="S72" s="10" t="inlineStr">
        <is>
          <t>中嶌</t>
        </is>
      </c>
      <c r="T72" s="10" t="inlineStr">
        <is>
          <t>門谷</t>
        </is>
      </c>
      <c r="U72" s="10" t="inlineStr">
        <is>
          <t>山田久</t>
        </is>
      </c>
      <c r="V72" s="10" t="inlineStr">
        <is>
          <t>欠員①</t>
        </is>
      </c>
      <c r="W72" s="10" t="inlineStr">
        <is>
          <t>矢田</t>
        </is>
      </c>
      <c r="X72" s="10" t="inlineStr">
        <is>
          <t>藤原</t>
        </is>
      </c>
      <c r="Y72" s="10" t="inlineStr">
        <is>
          <t>田中</t>
        </is>
      </c>
      <c r="Z72" s="10" t="inlineStr">
        <is>
          <t>丸田</t>
        </is>
      </c>
      <c r="AA72" s="10" t="inlineStr">
        <is>
          <t>野口</t>
        </is>
      </c>
      <c r="AB72" s="10" t="inlineStr">
        <is>
          <t>中山</t>
        </is>
      </c>
      <c r="AC72" s="10" t="inlineStr">
        <is>
          <t>北川</t>
        </is>
      </c>
      <c r="AD72" s="10" t="inlineStr">
        <is>
          <t>西村</t>
        </is>
      </c>
      <c r="AE72" s="10" t="inlineStr">
        <is>
          <t>佐野</t>
        </is>
      </c>
      <c r="AF72" s="10" t="inlineStr">
        <is>
          <t>上田</t>
        </is>
      </c>
      <c r="AG72" s="10" t="inlineStr">
        <is>
          <t>岡本</t>
        </is>
      </c>
      <c r="AH72" s="10" t="inlineStr">
        <is>
          <t>山本高</t>
        </is>
      </c>
      <c r="AI72" s="10" t="inlineStr">
        <is>
          <t>尾川</t>
        </is>
      </c>
      <c r="AJ72" s="10" t="inlineStr">
        <is>
          <t>井川</t>
        </is>
      </c>
      <c r="AK72" s="10" t="inlineStr">
        <is>
          <t>馬場</t>
        </is>
      </c>
      <c r="AL72" s="10" t="inlineStr">
        <is>
          <t>大川内</t>
        </is>
      </c>
      <c r="AM72" s="10" t="inlineStr">
        <is>
          <t>栗下</t>
        </is>
      </c>
      <c r="AN72" s="10" t="inlineStr">
        <is>
          <t>中村</t>
        </is>
      </c>
      <c r="AO72" s="10" t="inlineStr">
        <is>
          <t>河野</t>
        </is>
      </c>
      <c r="AP72" s="10" t="inlineStr">
        <is>
          <t>安村</t>
        </is>
      </c>
    </row>
    <row r="73" ht="15" customHeight="1" s="37">
      <c r="A73" t="inlineStr">
        <is>
          <t>2026-07-15</t>
        </is>
      </c>
      <c r="B73" s="10" t="inlineStr">
        <is>
          <t>水</t>
        </is>
      </c>
      <c r="C73" s="10" t="inlineStr">
        <is>
          <t>平日</t>
        </is>
      </c>
      <c r="E73" s="10" t="inlineStr">
        <is>
          <t>中嶌</t>
        </is>
      </c>
      <c r="F73" s="10" t="inlineStr">
        <is>
          <t>横田</t>
        </is>
      </c>
      <c r="G73" s="10" t="inlineStr">
        <is>
          <t>欠員①</t>
        </is>
      </c>
      <c r="H73" s="10" t="inlineStr">
        <is>
          <t>柴田</t>
        </is>
      </c>
      <c r="I73" s="10" t="inlineStr">
        <is>
          <t>中村</t>
        </is>
      </c>
      <c r="J73" s="10" t="inlineStr">
        <is>
          <t>矢田</t>
        </is>
      </c>
      <c r="K73" s="10" t="inlineStr">
        <is>
          <t>上田</t>
        </is>
      </c>
      <c r="L73" s="10" t="inlineStr">
        <is>
          <t>谷川</t>
        </is>
      </c>
      <c r="M73" s="10" t="inlineStr">
        <is>
          <t>北川</t>
        </is>
      </c>
      <c r="N73" s="10" t="inlineStr">
        <is>
          <t>植山</t>
        </is>
      </c>
      <c r="O73" s="10" t="inlineStr">
        <is>
          <t>藤原</t>
        </is>
      </c>
      <c r="P73" s="10" t="inlineStr">
        <is>
          <t>馬場</t>
        </is>
      </c>
      <c r="Q73" s="10" t="inlineStr">
        <is>
          <t>市田</t>
        </is>
      </c>
      <c r="R73" s="10" t="inlineStr">
        <is>
          <t>野口</t>
        </is>
      </c>
      <c r="S73" s="10" t="inlineStr">
        <is>
          <t>大川内</t>
        </is>
      </c>
      <c r="T73" s="10" t="inlineStr">
        <is>
          <t>山田久</t>
        </is>
      </c>
      <c r="U73" s="10" t="inlineStr">
        <is>
          <t>安村</t>
        </is>
      </c>
      <c r="V73" s="10" t="inlineStr">
        <is>
          <t>山本高</t>
        </is>
      </c>
      <c r="W73" s="10" t="inlineStr">
        <is>
          <t>佐野</t>
        </is>
      </c>
      <c r="X73" s="10" t="inlineStr">
        <is>
          <t>岩田</t>
        </is>
      </c>
      <c r="Y73" s="10" t="inlineStr">
        <is>
          <t>井川</t>
        </is>
      </c>
      <c r="Z73" s="10" t="inlineStr">
        <is>
          <t>中山</t>
        </is>
      </c>
      <c r="AA73" s="10" t="inlineStr">
        <is>
          <t>栗下</t>
        </is>
      </c>
      <c r="AB73" s="10" t="inlineStr">
        <is>
          <t>欠員②</t>
        </is>
      </c>
      <c r="AC73" s="10" t="inlineStr">
        <is>
          <t>河野</t>
        </is>
      </c>
      <c r="AD73" s="10" t="inlineStr">
        <is>
          <t>山本幸</t>
        </is>
      </c>
      <c r="AE73" s="10" t="inlineStr">
        <is>
          <t>上野</t>
        </is>
      </c>
      <c r="AF73" s="10" t="inlineStr">
        <is>
          <t>原</t>
        </is>
      </c>
      <c r="AG73" s="10" t="inlineStr">
        <is>
          <t>横山</t>
        </is>
      </c>
      <c r="AH73" s="10" t="inlineStr">
        <is>
          <t>山田真</t>
        </is>
      </c>
      <c r="AI73" s="10" t="inlineStr">
        <is>
          <t>門谷</t>
        </is>
      </c>
      <c r="AJ73" s="10" t="inlineStr">
        <is>
          <t>内野</t>
        </is>
      </c>
      <c r="AK73" s="10" t="inlineStr">
        <is>
          <t>尾川</t>
        </is>
      </c>
      <c r="AL73" s="10" t="inlineStr">
        <is>
          <t>田中</t>
        </is>
      </c>
      <c r="AM73" s="10" t="inlineStr">
        <is>
          <t>西村</t>
        </is>
      </c>
      <c r="AN73" s="10" t="inlineStr">
        <is>
          <t>岡本</t>
        </is>
      </c>
      <c r="AO73" s="10" t="inlineStr">
        <is>
          <t>富島</t>
        </is>
      </c>
      <c r="AP73" s="10" t="inlineStr">
        <is>
          <t>丸田</t>
        </is>
      </c>
    </row>
    <row r="74" ht="15" customHeight="1" s="37">
      <c r="A74" t="inlineStr">
        <is>
          <t>2026-07-16</t>
        </is>
      </c>
      <c r="B74" s="10" t="inlineStr">
        <is>
          <t>木</t>
        </is>
      </c>
      <c r="C74" s="10" t="inlineStr">
        <is>
          <t>平日</t>
        </is>
      </c>
      <c r="E74" s="10" t="inlineStr">
        <is>
          <t>大川内</t>
        </is>
      </c>
      <c r="F74" s="10" t="inlineStr">
        <is>
          <t>北川</t>
        </is>
      </c>
      <c r="G74" s="10" t="inlineStr">
        <is>
          <t>山本高</t>
        </is>
      </c>
      <c r="H74" s="10" t="inlineStr">
        <is>
          <t>藤原</t>
        </is>
      </c>
      <c r="I74" s="10" t="inlineStr">
        <is>
          <t>岡本</t>
        </is>
      </c>
      <c r="J74" s="10" t="inlineStr">
        <is>
          <t>佐野</t>
        </is>
      </c>
      <c r="K74" s="10" t="inlineStr">
        <is>
          <t>原</t>
        </is>
      </c>
      <c r="L74" s="10" t="inlineStr">
        <is>
          <t>馬場</t>
        </is>
      </c>
      <c r="M74" s="10" t="inlineStr">
        <is>
          <t>河野</t>
        </is>
      </c>
      <c r="N74" s="10" t="inlineStr">
        <is>
          <t>野口</t>
        </is>
      </c>
      <c r="O74" s="10" t="inlineStr">
        <is>
          <t>岩田</t>
        </is>
      </c>
      <c r="P74" s="10" t="inlineStr">
        <is>
          <t>尾川</t>
        </is>
      </c>
      <c r="Q74" s="10" t="inlineStr">
        <is>
          <t>谷川</t>
        </is>
      </c>
      <c r="R74" s="10" t="inlineStr">
        <is>
          <t>栗下</t>
        </is>
      </c>
      <c r="S74" s="10" t="inlineStr">
        <is>
          <t>田中</t>
        </is>
      </c>
      <c r="T74" s="10" t="inlineStr">
        <is>
          <t>安村</t>
        </is>
      </c>
      <c r="U74" s="10" t="inlineStr">
        <is>
          <t>丸田</t>
        </is>
      </c>
      <c r="V74" s="10" t="inlineStr">
        <is>
          <t>山田真</t>
        </is>
      </c>
      <c r="W74" s="10" t="inlineStr">
        <is>
          <t>上野</t>
        </is>
      </c>
      <c r="X74" s="10" t="inlineStr">
        <is>
          <t>上田</t>
        </is>
      </c>
      <c r="Y74" s="10" t="inlineStr">
        <is>
          <t>内野</t>
        </is>
      </c>
      <c r="Z74" s="10" t="inlineStr">
        <is>
          <t>欠員②</t>
        </is>
      </c>
      <c r="AA74" s="10" t="inlineStr">
        <is>
          <t>西村</t>
        </is>
      </c>
      <c r="AB74" s="10" t="inlineStr">
        <is>
          <t>矢田</t>
        </is>
      </c>
      <c r="AC74" s="10" t="inlineStr">
        <is>
          <t>富島</t>
        </is>
      </c>
      <c r="AD74" s="10" t="inlineStr">
        <is>
          <t>欠員①</t>
        </is>
      </c>
      <c r="AE74" s="10" t="inlineStr">
        <is>
          <t>柴田</t>
        </is>
      </c>
      <c r="AF74" s="10" t="inlineStr">
        <is>
          <t>横田</t>
        </is>
      </c>
      <c r="AG74" s="10" t="inlineStr">
        <is>
          <t>植山</t>
        </is>
      </c>
      <c r="AH74" s="10" t="inlineStr">
        <is>
          <t>市田</t>
        </is>
      </c>
      <c r="AI74" s="10" t="inlineStr">
        <is>
          <t>山田久</t>
        </is>
      </c>
      <c r="AJ74" s="10" t="inlineStr">
        <is>
          <t>中村</t>
        </is>
      </c>
      <c r="AK74" s="10" t="inlineStr">
        <is>
          <t>門谷</t>
        </is>
      </c>
      <c r="AL74" s="10" t="inlineStr">
        <is>
          <t>井川</t>
        </is>
      </c>
      <c r="AM74" s="10" t="inlineStr">
        <is>
          <t>山本幸</t>
        </is>
      </c>
      <c r="AN74" s="10" t="inlineStr">
        <is>
          <t>横山</t>
        </is>
      </c>
      <c r="AO74" s="10" t="inlineStr">
        <is>
          <t>中嶌</t>
        </is>
      </c>
      <c r="AP74" s="10" t="inlineStr">
        <is>
          <t>中山</t>
        </is>
      </c>
    </row>
    <row r="75" ht="15" customHeight="1" s="37">
      <c r="A75" t="inlineStr">
        <is>
          <t>2026-07-17</t>
        </is>
      </c>
      <c r="B75" s="10" t="inlineStr">
        <is>
          <t>金</t>
        </is>
      </c>
      <c r="C75" s="10" t="inlineStr">
        <is>
          <t>平日</t>
        </is>
      </c>
      <c r="E75" s="10" t="inlineStr">
        <is>
          <t>田中</t>
        </is>
      </c>
      <c r="F75" s="10" t="inlineStr">
        <is>
          <t>河野</t>
        </is>
      </c>
      <c r="G75" s="10" t="inlineStr">
        <is>
          <t>山田真</t>
        </is>
      </c>
      <c r="H75" s="10" t="inlineStr">
        <is>
          <t>岩田</t>
        </is>
      </c>
      <c r="I75" s="10" t="inlineStr">
        <is>
          <t>横山</t>
        </is>
      </c>
      <c r="J75" s="10" t="inlineStr">
        <is>
          <t>上野</t>
        </is>
      </c>
      <c r="K75" s="10" t="inlineStr">
        <is>
          <t>横田</t>
        </is>
      </c>
      <c r="L75" s="10" t="inlineStr">
        <is>
          <t>尾川</t>
        </is>
      </c>
      <c r="M75" s="10" t="inlineStr">
        <is>
          <t>富島</t>
        </is>
      </c>
      <c r="N75" s="10" t="inlineStr">
        <is>
          <t>栗下</t>
        </is>
      </c>
      <c r="O75" s="10" t="inlineStr">
        <is>
          <t>上田</t>
        </is>
      </c>
      <c r="P75" s="10" t="inlineStr">
        <is>
          <t>門谷</t>
        </is>
      </c>
      <c r="Q75" s="10" t="inlineStr">
        <is>
          <t>馬場</t>
        </is>
      </c>
      <c r="R75" s="10" t="inlineStr">
        <is>
          <t>西村</t>
        </is>
      </c>
      <c r="S75" s="10" t="inlineStr">
        <is>
          <t>井川</t>
        </is>
      </c>
      <c r="T75" s="10" t="inlineStr">
        <is>
          <t>丸田</t>
        </is>
      </c>
      <c r="U75" s="10" t="inlineStr">
        <is>
          <t>中山</t>
        </is>
      </c>
      <c r="V75" s="10" t="inlineStr">
        <is>
          <t>市田</t>
        </is>
      </c>
      <c r="W75" s="10" t="inlineStr">
        <is>
          <t>柴田</t>
        </is>
      </c>
      <c r="X75" s="10" t="inlineStr">
        <is>
          <t>原</t>
        </is>
      </c>
      <c r="Y75" s="10" t="inlineStr">
        <is>
          <t>中村</t>
        </is>
      </c>
      <c r="Z75" s="10" t="inlineStr">
        <is>
          <t>矢田</t>
        </is>
      </c>
      <c r="AA75" s="10" t="inlineStr">
        <is>
          <t>山本幸</t>
        </is>
      </c>
      <c r="AB75" s="10" t="inlineStr">
        <is>
          <t>佐野</t>
        </is>
      </c>
      <c r="AC75" s="10" t="inlineStr">
        <is>
          <t>中嶌</t>
        </is>
      </c>
      <c r="AD75" s="10" t="inlineStr">
        <is>
          <t>山本高</t>
        </is>
      </c>
      <c r="AE75" s="10" t="inlineStr">
        <is>
          <t>藤原</t>
        </is>
      </c>
      <c r="AF75" s="10" t="inlineStr">
        <is>
          <t>北川</t>
        </is>
      </c>
      <c r="AG75" s="10" t="inlineStr">
        <is>
          <t>野口</t>
        </is>
      </c>
      <c r="AH75" s="10" t="inlineStr">
        <is>
          <t>谷川</t>
        </is>
      </c>
      <c r="AI75" s="10" t="inlineStr">
        <is>
          <t>安村</t>
        </is>
      </c>
      <c r="AJ75" s="10" t="inlineStr">
        <is>
          <t>岡本</t>
        </is>
      </c>
      <c r="AK75" s="10" t="inlineStr">
        <is>
          <t>山田久</t>
        </is>
      </c>
      <c r="AL75" s="10" t="inlineStr">
        <is>
          <t>内野</t>
        </is>
      </c>
      <c r="AM75" s="10" t="inlineStr">
        <is>
          <t>欠員①</t>
        </is>
      </c>
      <c r="AN75" s="10" t="inlineStr">
        <is>
          <t>植山</t>
        </is>
      </c>
      <c r="AO75" s="10" t="inlineStr">
        <is>
          <t>大川内</t>
        </is>
      </c>
      <c r="AP75" s="10" t="inlineStr">
        <is>
          <t>欠員②</t>
        </is>
      </c>
    </row>
    <row r="76" ht="15" customHeight="1" s="37">
      <c r="A76" t="inlineStr">
        <is>
          <t>2026-07-18</t>
        </is>
      </c>
      <c r="B76" s="10" t="inlineStr">
        <is>
          <t>土</t>
        </is>
      </c>
      <c r="C76" s="10" t="inlineStr">
        <is>
          <t>休日</t>
        </is>
      </c>
      <c r="E76" s="10" t="inlineStr">
        <is>
          <t>井川</t>
        </is>
      </c>
      <c r="F76" s="10" t="inlineStr">
        <is>
          <t>富島</t>
        </is>
      </c>
      <c r="G76" s="10" t="inlineStr">
        <is>
          <t>市田</t>
        </is>
      </c>
      <c r="H76" s="10" t="inlineStr">
        <is>
          <t>上田</t>
        </is>
      </c>
      <c r="I76" s="10" t="inlineStr">
        <is>
          <t>植山</t>
        </is>
      </c>
      <c r="J76" s="10" t="inlineStr">
        <is>
          <t>柴田</t>
        </is>
      </c>
      <c r="K76" s="10" t="inlineStr">
        <is>
          <t>北川</t>
        </is>
      </c>
      <c r="L76" s="10" t="inlineStr">
        <is>
          <t>門谷</t>
        </is>
      </c>
      <c r="M76" s="10" t="inlineStr">
        <is>
          <t>中嶌</t>
        </is>
      </c>
      <c r="N76" s="10" t="inlineStr">
        <is>
          <t>西村</t>
        </is>
      </c>
      <c r="O76" s="10" t="inlineStr">
        <is>
          <t>原</t>
        </is>
      </c>
      <c r="P76" s="10" t="inlineStr">
        <is>
          <t>山田久</t>
        </is>
      </c>
      <c r="Q76" s="10" t="inlineStr">
        <is>
          <t>尾川</t>
        </is>
      </c>
      <c r="R76" s="10" t="inlineStr">
        <is>
          <t>山本幸</t>
        </is>
      </c>
      <c r="S76" s="10" t="inlineStr">
        <is>
          <t>内野</t>
        </is>
      </c>
      <c r="T76" s="10" t="inlineStr">
        <is>
          <t>中山</t>
        </is>
      </c>
      <c r="U76" s="10" t="inlineStr">
        <is>
          <t>欠員②</t>
        </is>
      </c>
      <c r="V76" s="10" t="inlineStr">
        <is>
          <t>谷川</t>
        </is>
      </c>
      <c r="W76" s="10" t="inlineStr">
        <is>
          <t>藤原</t>
        </is>
      </c>
      <c r="X76" s="10" t="inlineStr">
        <is>
          <t>横田</t>
        </is>
      </c>
      <c r="Y76" s="10" t="inlineStr">
        <is>
          <t>岡本</t>
        </is>
      </c>
      <c r="Z76" s="10" t="inlineStr">
        <is>
          <t>佐野</t>
        </is>
      </c>
      <c r="AA76" s="10" t="inlineStr">
        <is>
          <t>欠員①</t>
        </is>
      </c>
      <c r="AB76" s="10" t="inlineStr">
        <is>
          <t>上野</t>
        </is>
      </c>
      <c r="AC76" s="10" t="inlineStr">
        <is>
          <t>大川内</t>
        </is>
      </c>
      <c r="AD76" s="10" t="inlineStr">
        <is>
          <t>山田真</t>
        </is>
      </c>
      <c r="AE76" s="10" t="inlineStr">
        <is>
          <t>岩田</t>
        </is>
      </c>
      <c r="AF76" s="10" t="inlineStr">
        <is>
          <t>河野</t>
        </is>
      </c>
      <c r="AG76" s="10" t="inlineStr">
        <is>
          <t>栗下</t>
        </is>
      </c>
      <c r="AH76" s="10" t="inlineStr">
        <is>
          <t>馬場</t>
        </is>
      </c>
      <c r="AI76" s="10" t="inlineStr">
        <is>
          <t>丸田</t>
        </is>
      </c>
      <c r="AJ76" s="10" t="inlineStr">
        <is>
          <t>横山</t>
        </is>
      </c>
      <c r="AK76" s="10" t="inlineStr">
        <is>
          <t>安村</t>
        </is>
      </c>
      <c r="AL76" s="10" t="inlineStr">
        <is>
          <t>中村</t>
        </is>
      </c>
      <c r="AM76" s="10" t="inlineStr">
        <is>
          <t>山本高</t>
        </is>
      </c>
      <c r="AN76" s="10" t="inlineStr">
        <is>
          <t>野口</t>
        </is>
      </c>
      <c r="AO76" s="10" t="inlineStr">
        <is>
          <t>田中</t>
        </is>
      </c>
      <c r="AP76" s="10" t="inlineStr">
        <is>
          <t>矢田</t>
        </is>
      </c>
    </row>
    <row r="77" ht="15" customHeight="1" s="37">
      <c r="A77" t="inlineStr">
        <is>
          <t>2026-07-19</t>
        </is>
      </c>
      <c r="B77" s="10" t="inlineStr">
        <is>
          <t>日</t>
        </is>
      </c>
      <c r="C77" s="10" t="inlineStr">
        <is>
          <t>休日</t>
        </is>
      </c>
      <c r="E77" s="10" t="inlineStr">
        <is>
          <t>内野</t>
        </is>
      </c>
      <c r="F77" s="10" t="inlineStr">
        <is>
          <t>中嶌</t>
        </is>
      </c>
      <c r="G77" s="10" t="inlineStr">
        <is>
          <t>谷川</t>
        </is>
      </c>
      <c r="H77" s="10" t="inlineStr">
        <is>
          <t>原</t>
        </is>
      </c>
      <c r="I77" s="10" t="inlineStr">
        <is>
          <t>野口</t>
        </is>
      </c>
      <c r="J77" s="10" t="inlineStr">
        <is>
          <t>藤原</t>
        </is>
      </c>
      <c r="K77" s="10" t="inlineStr">
        <is>
          <t>河野</t>
        </is>
      </c>
      <c r="L77" s="10" t="inlineStr">
        <is>
          <t>山田久</t>
        </is>
      </c>
      <c r="M77" s="10" t="inlineStr">
        <is>
          <t>大川内</t>
        </is>
      </c>
      <c r="N77" s="10" t="inlineStr">
        <is>
          <t>山本幸</t>
        </is>
      </c>
      <c r="O77" s="10" t="inlineStr">
        <is>
          <t>横田</t>
        </is>
      </c>
      <c r="P77" s="10" t="inlineStr">
        <is>
          <t>安村</t>
        </is>
      </c>
      <c r="Q77" s="10" t="inlineStr">
        <is>
          <t>門谷</t>
        </is>
      </c>
      <c r="R77" s="10" t="inlineStr">
        <is>
          <t>欠員①</t>
        </is>
      </c>
      <c r="S77" s="10" t="inlineStr">
        <is>
          <t>中村</t>
        </is>
      </c>
      <c r="T77" s="10" t="inlineStr">
        <is>
          <t>欠員②</t>
        </is>
      </c>
      <c r="U77" s="10" t="inlineStr">
        <is>
          <t>矢田</t>
        </is>
      </c>
      <c r="V77" s="10" t="inlineStr">
        <is>
          <t>馬場</t>
        </is>
      </c>
      <c r="W77" s="10" t="inlineStr">
        <is>
          <t>岩田</t>
        </is>
      </c>
      <c r="X77" s="10" t="inlineStr">
        <is>
          <t>北川</t>
        </is>
      </c>
      <c r="Y77" s="10" t="inlineStr">
        <is>
          <t>横山</t>
        </is>
      </c>
      <c r="Z77" s="10" t="inlineStr">
        <is>
          <t>上野</t>
        </is>
      </c>
      <c r="AA77" s="10" t="inlineStr">
        <is>
          <t>山本高</t>
        </is>
      </c>
      <c r="AB77" s="10" t="inlineStr">
        <is>
          <t>柴田</t>
        </is>
      </c>
      <c r="AC77" s="10" t="inlineStr">
        <is>
          <t>田中</t>
        </is>
      </c>
      <c r="AD77" s="10" t="inlineStr">
        <is>
          <t>市田</t>
        </is>
      </c>
      <c r="AE77" s="10" t="inlineStr">
        <is>
          <t>上田</t>
        </is>
      </c>
      <c r="AF77" s="10" t="inlineStr">
        <is>
          <t>富島</t>
        </is>
      </c>
      <c r="AG77" s="10" t="inlineStr">
        <is>
          <t>西村</t>
        </is>
      </c>
      <c r="AH77" s="10" t="inlineStr">
        <is>
          <t>尾川</t>
        </is>
      </c>
      <c r="AI77" s="10" t="inlineStr">
        <is>
          <t>中山</t>
        </is>
      </c>
      <c r="AJ77" s="10" t="inlineStr">
        <is>
          <t>植山</t>
        </is>
      </c>
      <c r="AK77" s="10" t="inlineStr">
        <is>
          <t>丸田</t>
        </is>
      </c>
      <c r="AL77" s="10" t="inlineStr">
        <is>
          <t>岡本</t>
        </is>
      </c>
      <c r="AM77" s="10" t="inlineStr">
        <is>
          <t>山田真</t>
        </is>
      </c>
      <c r="AN77" s="10" t="inlineStr">
        <is>
          <t>栗下</t>
        </is>
      </c>
      <c r="AO77" s="10" t="inlineStr">
        <is>
          <t>井川</t>
        </is>
      </c>
      <c r="AP77" s="10" t="inlineStr">
        <is>
          <t>佐野</t>
        </is>
      </c>
    </row>
    <row r="78" ht="15" customHeight="1" s="37">
      <c r="A78" t="inlineStr">
        <is>
          <t>2026-07-20</t>
        </is>
      </c>
      <c r="B78" s="10" t="inlineStr">
        <is>
          <t>月</t>
        </is>
      </c>
      <c r="C78" s="10" t="inlineStr">
        <is>
          <t>休日</t>
        </is>
      </c>
      <c r="D78" s="10" t="inlineStr">
        <is>
          <t>海の日</t>
        </is>
      </c>
      <c r="E78" s="10" t="inlineStr">
        <is>
          <t>中村</t>
        </is>
      </c>
      <c r="F78" s="10" t="inlineStr">
        <is>
          <t>大川内</t>
        </is>
      </c>
      <c r="G78" s="10" t="inlineStr">
        <is>
          <t>馬場</t>
        </is>
      </c>
      <c r="H78" s="10" t="inlineStr">
        <is>
          <t>横田</t>
        </is>
      </c>
      <c r="I78" s="10" t="inlineStr">
        <is>
          <t>栗下</t>
        </is>
      </c>
      <c r="J78" s="10" t="inlineStr">
        <is>
          <t>岩田</t>
        </is>
      </c>
      <c r="K78" s="10" t="inlineStr">
        <is>
          <t>富島</t>
        </is>
      </c>
      <c r="L78" s="10" t="inlineStr">
        <is>
          <t>安村</t>
        </is>
      </c>
      <c r="M78" s="10" t="inlineStr">
        <is>
          <t>田中</t>
        </is>
      </c>
      <c r="N78" s="10" t="inlineStr">
        <is>
          <t>欠員①</t>
        </is>
      </c>
      <c r="O78" s="10" t="inlineStr">
        <is>
          <t>北川</t>
        </is>
      </c>
      <c r="P78" s="10" t="inlineStr">
        <is>
          <t>丸田</t>
        </is>
      </c>
      <c r="Q78" s="10" t="inlineStr">
        <is>
          <t>山田久</t>
        </is>
      </c>
      <c r="R78" s="10" t="inlineStr">
        <is>
          <t>山本高</t>
        </is>
      </c>
      <c r="S78" s="10" t="inlineStr">
        <is>
          <t>岡本</t>
        </is>
      </c>
      <c r="T78" s="10" t="inlineStr">
        <is>
          <t>矢田</t>
        </is>
      </c>
      <c r="U78" s="10" t="inlineStr">
        <is>
          <t>佐野</t>
        </is>
      </c>
      <c r="V78" s="10" t="inlineStr">
        <is>
          <t>尾川</t>
        </is>
      </c>
      <c r="W78" s="10" t="inlineStr">
        <is>
          <t>上田</t>
        </is>
      </c>
      <c r="X78" s="10" t="inlineStr">
        <is>
          <t>河野</t>
        </is>
      </c>
      <c r="Y78" s="10" t="inlineStr">
        <is>
          <t>植山</t>
        </is>
      </c>
      <c r="Z78" s="10" t="inlineStr">
        <is>
          <t>柴田</t>
        </is>
      </c>
      <c r="AA78" s="10" t="inlineStr">
        <is>
          <t>山田真</t>
        </is>
      </c>
      <c r="AB78" s="10" t="inlineStr">
        <is>
          <t>藤原</t>
        </is>
      </c>
      <c r="AC78" s="10" t="inlineStr">
        <is>
          <t>井川</t>
        </is>
      </c>
      <c r="AD78" s="10" t="inlineStr">
        <is>
          <t>谷川</t>
        </is>
      </c>
      <c r="AE78" s="10" t="inlineStr">
        <is>
          <t>原</t>
        </is>
      </c>
      <c r="AF78" s="10" t="inlineStr">
        <is>
          <t>中嶌</t>
        </is>
      </c>
      <c r="AG78" s="10" t="inlineStr">
        <is>
          <t>山本幸</t>
        </is>
      </c>
      <c r="AH78" s="10" t="inlineStr">
        <is>
          <t>門谷</t>
        </is>
      </c>
      <c r="AI78" s="10" t="inlineStr">
        <is>
          <t>欠員②</t>
        </is>
      </c>
      <c r="AJ78" s="10" t="inlineStr">
        <is>
          <t>野口</t>
        </is>
      </c>
      <c r="AK78" s="10" t="inlineStr">
        <is>
          <t>中山</t>
        </is>
      </c>
      <c r="AL78" s="10" t="inlineStr">
        <is>
          <t>横山</t>
        </is>
      </c>
      <c r="AM78" s="10" t="inlineStr">
        <is>
          <t>市田</t>
        </is>
      </c>
      <c r="AN78" s="10" t="inlineStr">
        <is>
          <t>西村</t>
        </is>
      </c>
      <c r="AO78" s="10" t="inlineStr">
        <is>
          <t>内野</t>
        </is>
      </c>
      <c r="AP78" s="10" t="inlineStr">
        <is>
          <t>上野</t>
        </is>
      </c>
    </row>
    <row r="79" ht="15" customHeight="1" s="37">
      <c r="A79" t="inlineStr">
        <is>
          <t>2026-07-21</t>
        </is>
      </c>
      <c r="B79" s="10" t="inlineStr">
        <is>
          <t>火</t>
        </is>
      </c>
      <c r="C79" s="10" t="inlineStr">
        <is>
          <t>平日</t>
        </is>
      </c>
      <c r="E79" s="10" t="inlineStr">
        <is>
          <t>岡本</t>
        </is>
      </c>
      <c r="F79" s="10" t="inlineStr">
        <is>
          <t>田中</t>
        </is>
      </c>
      <c r="G79" s="10" t="inlineStr">
        <is>
          <t>尾川</t>
        </is>
      </c>
      <c r="H79" s="10" t="inlineStr">
        <is>
          <t>北川</t>
        </is>
      </c>
      <c r="I79" s="10" t="inlineStr">
        <is>
          <t>西村</t>
        </is>
      </c>
      <c r="J79" s="10" t="inlineStr">
        <is>
          <t>上田</t>
        </is>
      </c>
      <c r="K79" s="10" t="inlineStr">
        <is>
          <t>中嶌</t>
        </is>
      </c>
      <c r="L79" s="10" t="inlineStr">
        <is>
          <t>丸田</t>
        </is>
      </c>
      <c r="M79" s="10" t="inlineStr">
        <is>
          <t>井川</t>
        </is>
      </c>
      <c r="N79" s="10" t="inlineStr">
        <is>
          <t>山本高</t>
        </is>
      </c>
      <c r="O79" s="10" t="inlineStr">
        <is>
          <t>河野</t>
        </is>
      </c>
      <c r="P79" s="10" t="inlineStr">
        <is>
          <t>中山</t>
        </is>
      </c>
      <c r="Q79" s="10" t="inlineStr">
        <is>
          <t>安村</t>
        </is>
      </c>
      <c r="R79" s="10" t="inlineStr">
        <is>
          <t>山田真</t>
        </is>
      </c>
      <c r="S79" s="10" t="inlineStr">
        <is>
          <t>横山</t>
        </is>
      </c>
      <c r="T79" s="10" t="inlineStr">
        <is>
          <t>佐野</t>
        </is>
      </c>
      <c r="U79" s="10" t="inlineStr">
        <is>
          <t>上野</t>
        </is>
      </c>
      <c r="V79" s="10" t="inlineStr">
        <is>
          <t>門谷</t>
        </is>
      </c>
      <c r="W79" s="10" t="inlineStr">
        <is>
          <t>原</t>
        </is>
      </c>
      <c r="X79" s="10" t="inlineStr">
        <is>
          <t>富島</t>
        </is>
      </c>
      <c r="Y79" s="10" t="inlineStr">
        <is>
          <t>野口</t>
        </is>
      </c>
      <c r="Z79" s="10" t="inlineStr">
        <is>
          <t>藤原</t>
        </is>
      </c>
      <c r="AA79" s="10" t="inlineStr">
        <is>
          <t>市田</t>
        </is>
      </c>
      <c r="AB79" s="10" t="inlineStr">
        <is>
          <t>岩田</t>
        </is>
      </c>
      <c r="AC79" s="10" t="inlineStr">
        <is>
          <t>内野</t>
        </is>
      </c>
      <c r="AD79" s="10" t="inlineStr">
        <is>
          <t>馬場</t>
        </is>
      </c>
      <c r="AE79" s="10" t="inlineStr">
        <is>
          <t>横田</t>
        </is>
      </c>
      <c r="AF79" s="10" t="inlineStr">
        <is>
          <t>大川内</t>
        </is>
      </c>
      <c r="AG79" s="10" t="inlineStr">
        <is>
          <t>欠員①</t>
        </is>
      </c>
      <c r="AH79" s="10" t="inlineStr">
        <is>
          <t>山田久</t>
        </is>
      </c>
      <c r="AI79" s="10" t="inlineStr">
        <is>
          <t>矢田</t>
        </is>
      </c>
      <c r="AJ79" s="10" t="inlineStr">
        <is>
          <t>栗下</t>
        </is>
      </c>
      <c r="AK79" s="10" t="inlineStr">
        <is>
          <t>欠員②</t>
        </is>
      </c>
      <c r="AL79" s="10" t="inlineStr">
        <is>
          <t>植山</t>
        </is>
      </c>
      <c r="AM79" s="10" t="inlineStr">
        <is>
          <t>谷川</t>
        </is>
      </c>
      <c r="AN79" s="10" t="inlineStr">
        <is>
          <t>山本幸</t>
        </is>
      </c>
      <c r="AO79" s="10" t="inlineStr">
        <is>
          <t>中村</t>
        </is>
      </c>
      <c r="AP79" s="10" t="inlineStr">
        <is>
          <t>柴田</t>
        </is>
      </c>
    </row>
    <row r="80" ht="15" customHeight="1" s="37">
      <c r="A80" t="inlineStr">
        <is>
          <t>2026-07-22</t>
        </is>
      </c>
      <c r="B80" s="10" t="inlineStr">
        <is>
          <t>水</t>
        </is>
      </c>
      <c r="C80" s="10" t="inlineStr">
        <is>
          <t>平日</t>
        </is>
      </c>
      <c r="E80" s="10" t="inlineStr">
        <is>
          <t>横山</t>
        </is>
      </c>
      <c r="F80" s="10" t="inlineStr">
        <is>
          <t>井川</t>
        </is>
      </c>
      <c r="G80" s="10" t="inlineStr">
        <is>
          <t>門谷</t>
        </is>
      </c>
      <c r="H80" s="10" t="inlineStr">
        <is>
          <t>河野</t>
        </is>
      </c>
      <c r="I80" s="10" t="inlineStr">
        <is>
          <t>山本幸</t>
        </is>
      </c>
      <c r="J80" s="10" t="inlineStr">
        <is>
          <t>原</t>
        </is>
      </c>
      <c r="K80" s="10" t="inlineStr">
        <is>
          <t>大川内</t>
        </is>
      </c>
      <c r="L80" s="10" t="inlineStr">
        <is>
          <t>中山</t>
        </is>
      </c>
      <c r="M80" s="10" t="inlineStr">
        <is>
          <t>内野</t>
        </is>
      </c>
      <c r="N80" s="10" t="inlineStr">
        <is>
          <t>山田真</t>
        </is>
      </c>
      <c r="O80" s="10" t="inlineStr">
        <is>
          <t>富島</t>
        </is>
      </c>
      <c r="P80" s="10" t="inlineStr">
        <is>
          <t>欠員②</t>
        </is>
      </c>
      <c r="Q80" s="10" t="inlineStr">
        <is>
          <t>丸田</t>
        </is>
      </c>
      <c r="R80" s="10" t="inlineStr">
        <is>
          <t>市田</t>
        </is>
      </c>
      <c r="S80" s="10" t="inlineStr">
        <is>
          <t>植山</t>
        </is>
      </c>
      <c r="T80" s="10" t="inlineStr">
        <is>
          <t>上野</t>
        </is>
      </c>
      <c r="U80" s="10" t="inlineStr">
        <is>
          <t>柴田</t>
        </is>
      </c>
      <c r="V80" s="10" t="inlineStr">
        <is>
          <t>山田久</t>
        </is>
      </c>
      <c r="W80" s="10" t="inlineStr">
        <is>
          <t>横田</t>
        </is>
      </c>
      <c r="X80" s="10" t="inlineStr">
        <is>
          <t>中嶌</t>
        </is>
      </c>
      <c r="Y80" s="10" t="inlineStr">
        <is>
          <t>栗下</t>
        </is>
      </c>
      <c r="Z80" s="10" t="inlineStr">
        <is>
          <t>岩田</t>
        </is>
      </c>
      <c r="AA80" s="10" t="inlineStr">
        <is>
          <t>谷川</t>
        </is>
      </c>
      <c r="AB80" s="10" t="inlineStr">
        <is>
          <t>上田</t>
        </is>
      </c>
      <c r="AC80" s="10" t="inlineStr">
        <is>
          <t>中村</t>
        </is>
      </c>
      <c r="AD80" s="10" t="inlineStr">
        <is>
          <t>尾川</t>
        </is>
      </c>
      <c r="AE80" s="10" t="inlineStr">
        <is>
          <t>北川</t>
        </is>
      </c>
      <c r="AF80" s="10" t="inlineStr">
        <is>
          <t>田中</t>
        </is>
      </c>
      <c r="AG80" s="10" t="inlineStr">
        <is>
          <t>山本高</t>
        </is>
      </c>
      <c r="AH80" s="10" t="inlineStr">
        <is>
          <t>安村</t>
        </is>
      </c>
      <c r="AI80" s="10" t="inlineStr">
        <is>
          <t>佐野</t>
        </is>
      </c>
      <c r="AJ80" s="10" t="inlineStr">
        <is>
          <t>西村</t>
        </is>
      </c>
      <c r="AK80" s="10" t="inlineStr">
        <is>
          <t>矢田</t>
        </is>
      </c>
      <c r="AL80" s="10" t="inlineStr">
        <is>
          <t>野口</t>
        </is>
      </c>
      <c r="AM80" s="10" t="inlineStr">
        <is>
          <t>馬場</t>
        </is>
      </c>
      <c r="AN80" s="10" t="inlineStr">
        <is>
          <t>欠員①</t>
        </is>
      </c>
      <c r="AO80" s="10" t="inlineStr">
        <is>
          <t>岡本</t>
        </is>
      </c>
      <c r="AP80" s="10" t="inlineStr">
        <is>
          <t>藤原</t>
        </is>
      </c>
    </row>
    <row r="81" ht="15" customHeight="1" s="37">
      <c r="A81" t="inlineStr">
        <is>
          <t>2026-07-23</t>
        </is>
      </c>
      <c r="B81" s="10" t="inlineStr">
        <is>
          <t>木</t>
        </is>
      </c>
      <c r="C81" s="10" t="inlineStr">
        <is>
          <t>平日</t>
        </is>
      </c>
      <c r="E81" s="10" t="inlineStr">
        <is>
          <t>植山</t>
        </is>
      </c>
      <c r="F81" s="10" t="inlineStr">
        <is>
          <t>内野</t>
        </is>
      </c>
      <c r="G81" s="10" t="inlineStr">
        <is>
          <t>山田久</t>
        </is>
      </c>
      <c r="H81" s="10" t="inlineStr">
        <is>
          <t>富島</t>
        </is>
      </c>
      <c r="I81" s="10" t="inlineStr">
        <is>
          <t>欠員①</t>
        </is>
      </c>
      <c r="J81" s="10" t="inlineStr">
        <is>
          <t>横田</t>
        </is>
      </c>
      <c r="K81" s="10" t="inlineStr">
        <is>
          <t>田中</t>
        </is>
      </c>
      <c r="L81" s="10" t="inlineStr">
        <is>
          <t>欠員②</t>
        </is>
      </c>
      <c r="M81" s="10" t="inlineStr">
        <is>
          <t>中村</t>
        </is>
      </c>
      <c r="N81" s="10" t="inlineStr">
        <is>
          <t>市田</t>
        </is>
      </c>
      <c r="O81" s="10" t="inlineStr">
        <is>
          <t>中嶌</t>
        </is>
      </c>
      <c r="P81" s="10" t="inlineStr">
        <is>
          <t>矢田</t>
        </is>
      </c>
      <c r="Q81" s="10" t="inlineStr">
        <is>
          <t>中山</t>
        </is>
      </c>
      <c r="R81" s="10" t="inlineStr">
        <is>
          <t>谷川</t>
        </is>
      </c>
      <c r="S81" s="10" t="inlineStr">
        <is>
          <t>野口</t>
        </is>
      </c>
      <c r="T81" s="10" t="inlineStr">
        <is>
          <t>柴田</t>
        </is>
      </c>
      <c r="U81" s="10" t="inlineStr">
        <is>
          <t>藤原</t>
        </is>
      </c>
      <c r="V81" s="10" t="inlineStr">
        <is>
          <t>安村</t>
        </is>
      </c>
      <c r="W81" s="10" t="inlineStr">
        <is>
          <t>北川</t>
        </is>
      </c>
      <c r="X81" s="10" t="inlineStr">
        <is>
          <t>大川内</t>
        </is>
      </c>
      <c r="Y81" s="10" t="inlineStr">
        <is>
          <t>西村</t>
        </is>
      </c>
      <c r="Z81" s="10" t="inlineStr">
        <is>
          <t>上田</t>
        </is>
      </c>
      <c r="AA81" s="10" t="inlineStr">
        <is>
          <t>馬場</t>
        </is>
      </c>
      <c r="AB81" s="10" t="inlineStr">
        <is>
          <t>原</t>
        </is>
      </c>
      <c r="AC81" s="10" t="inlineStr">
        <is>
          <t>岡本</t>
        </is>
      </c>
      <c r="AD81" s="10" t="inlineStr">
        <is>
          <t>門谷</t>
        </is>
      </c>
      <c r="AE81" s="10" t="inlineStr">
        <is>
          <t>河野</t>
        </is>
      </c>
      <c r="AF81" s="10" t="inlineStr">
        <is>
          <t>井川</t>
        </is>
      </c>
      <c r="AG81" s="10" t="inlineStr">
        <is>
          <t>山田真</t>
        </is>
      </c>
      <c r="AH81" s="10" t="inlineStr">
        <is>
          <t>丸田</t>
        </is>
      </c>
      <c r="AI81" s="10" t="inlineStr">
        <is>
          <t>上野</t>
        </is>
      </c>
      <c r="AJ81" s="10" t="inlineStr">
        <is>
          <t>山本幸</t>
        </is>
      </c>
      <c r="AK81" s="10" t="inlineStr">
        <is>
          <t>佐野</t>
        </is>
      </c>
      <c r="AL81" s="10" t="inlineStr">
        <is>
          <t>栗下</t>
        </is>
      </c>
      <c r="AM81" s="10" t="inlineStr">
        <is>
          <t>尾川</t>
        </is>
      </c>
      <c r="AN81" s="10" t="inlineStr">
        <is>
          <t>山本高</t>
        </is>
      </c>
      <c r="AO81" s="10" t="inlineStr">
        <is>
          <t>横山</t>
        </is>
      </c>
      <c r="AP81" s="10" t="inlineStr">
        <is>
          <t>岩田</t>
        </is>
      </c>
    </row>
    <row r="82" ht="15" customHeight="1" s="37">
      <c r="A82" t="inlineStr">
        <is>
          <t>2026-07-24</t>
        </is>
      </c>
      <c r="B82" s="10" t="inlineStr">
        <is>
          <t>金</t>
        </is>
      </c>
      <c r="C82" s="10" t="inlineStr">
        <is>
          <t>平日</t>
        </is>
      </c>
      <c r="E82" s="10" t="inlineStr">
        <is>
          <t>野口</t>
        </is>
      </c>
      <c r="F82" s="10" t="inlineStr">
        <is>
          <t>中村</t>
        </is>
      </c>
      <c r="G82" s="10" t="inlineStr">
        <is>
          <t>安村</t>
        </is>
      </c>
      <c r="H82" s="10" t="inlineStr">
        <is>
          <t>中嶌</t>
        </is>
      </c>
      <c r="I82" s="10" t="inlineStr">
        <is>
          <t>山本高</t>
        </is>
      </c>
      <c r="J82" s="10" t="inlineStr">
        <is>
          <t>北川</t>
        </is>
      </c>
      <c r="K82" s="10" t="inlineStr">
        <is>
          <t>井川</t>
        </is>
      </c>
      <c r="L82" s="10" t="inlineStr">
        <is>
          <t>矢田</t>
        </is>
      </c>
      <c r="M82" s="10" t="inlineStr">
        <is>
          <t>岡本</t>
        </is>
      </c>
      <c r="N82" s="10" t="inlineStr">
        <is>
          <t>谷川</t>
        </is>
      </c>
      <c r="O82" s="10" t="inlineStr">
        <is>
          <t>大川内</t>
        </is>
      </c>
      <c r="P82" s="10" t="inlineStr">
        <is>
          <t>佐野</t>
        </is>
      </c>
      <c r="Q82" s="10" t="inlineStr">
        <is>
          <t>欠員②</t>
        </is>
      </c>
      <c r="R82" s="10" t="inlineStr">
        <is>
          <t>馬場</t>
        </is>
      </c>
      <c r="S82" s="10" t="inlineStr">
        <is>
          <t>栗下</t>
        </is>
      </c>
      <c r="T82" s="10" t="inlineStr">
        <is>
          <t>藤原</t>
        </is>
      </c>
      <c r="U82" s="10" t="inlineStr">
        <is>
          <t>岩田</t>
        </is>
      </c>
      <c r="V82" s="10" t="inlineStr">
        <is>
          <t>丸田</t>
        </is>
      </c>
      <c r="W82" s="10" t="inlineStr">
        <is>
          <t>河野</t>
        </is>
      </c>
      <c r="X82" s="10" t="inlineStr">
        <is>
          <t>田中</t>
        </is>
      </c>
      <c r="Y82" s="10" t="inlineStr">
        <is>
          <t>山本幸</t>
        </is>
      </c>
      <c r="Z82" s="10" t="inlineStr">
        <is>
          <t>原</t>
        </is>
      </c>
      <c r="AA82" s="10" t="inlineStr">
        <is>
          <t>尾川</t>
        </is>
      </c>
      <c r="AB82" s="10" t="inlineStr">
        <is>
          <t>横田</t>
        </is>
      </c>
      <c r="AC82" s="10" t="inlineStr">
        <is>
          <t>横山</t>
        </is>
      </c>
      <c r="AD82" s="10" t="inlineStr">
        <is>
          <t>山田久</t>
        </is>
      </c>
      <c r="AE82" s="10" t="inlineStr">
        <is>
          <t>富島</t>
        </is>
      </c>
      <c r="AF82" s="10" t="inlineStr">
        <is>
          <t>内野</t>
        </is>
      </c>
      <c r="AG82" s="10" t="inlineStr">
        <is>
          <t>市田</t>
        </is>
      </c>
      <c r="AH82" s="10" t="inlineStr">
        <is>
          <t>中山</t>
        </is>
      </c>
      <c r="AI82" s="10" t="inlineStr">
        <is>
          <t>柴田</t>
        </is>
      </c>
      <c r="AJ82" s="10" t="inlineStr">
        <is>
          <t>欠員①</t>
        </is>
      </c>
      <c r="AK82" s="10" t="inlineStr">
        <is>
          <t>上野</t>
        </is>
      </c>
      <c r="AL82" s="10" t="inlineStr">
        <is>
          <t>西村</t>
        </is>
      </c>
      <c r="AM82" s="10" t="inlineStr">
        <is>
          <t>門谷</t>
        </is>
      </c>
      <c r="AN82" s="10" t="inlineStr">
        <is>
          <t>山田真</t>
        </is>
      </c>
      <c r="AO82" s="10" t="inlineStr">
        <is>
          <t>植山</t>
        </is>
      </c>
      <c r="AP82" s="10" t="inlineStr">
        <is>
          <t>上田</t>
        </is>
      </c>
    </row>
    <row r="83" ht="15" customHeight="1" s="37">
      <c r="A83" t="inlineStr">
        <is>
          <t>2026-07-25</t>
        </is>
      </c>
      <c r="B83" s="10" t="inlineStr">
        <is>
          <t>土</t>
        </is>
      </c>
      <c r="C83" s="10" t="inlineStr">
        <is>
          <t>休日</t>
        </is>
      </c>
      <c r="E83" s="10" t="inlineStr">
        <is>
          <t>栗下</t>
        </is>
      </c>
      <c r="F83" s="10" t="inlineStr">
        <is>
          <t>岡本</t>
        </is>
      </c>
      <c r="G83" s="10" t="inlineStr">
        <is>
          <t>丸田</t>
        </is>
      </c>
      <c r="H83" s="10" t="inlineStr">
        <is>
          <t>大川内</t>
        </is>
      </c>
      <c r="I83" s="10" t="inlineStr">
        <is>
          <t>山田真</t>
        </is>
      </c>
      <c r="J83" s="10" t="inlineStr">
        <is>
          <t>河野</t>
        </is>
      </c>
      <c r="K83" s="10" t="inlineStr">
        <is>
          <t>内野</t>
        </is>
      </c>
      <c r="L83" s="10" t="inlineStr">
        <is>
          <t>佐野</t>
        </is>
      </c>
      <c r="M83" s="10" t="inlineStr">
        <is>
          <t>横山</t>
        </is>
      </c>
      <c r="N83" s="10" t="inlineStr">
        <is>
          <t>馬場</t>
        </is>
      </c>
      <c r="O83" s="10" t="inlineStr">
        <is>
          <t>田中</t>
        </is>
      </c>
      <c r="P83" s="10" t="inlineStr">
        <is>
          <t>上野</t>
        </is>
      </c>
      <c r="Q83" s="10" t="inlineStr">
        <is>
          <t>矢田</t>
        </is>
      </c>
      <c r="R83" s="10" t="inlineStr">
        <is>
          <t>尾川</t>
        </is>
      </c>
      <c r="S83" s="10" t="inlineStr">
        <is>
          <t>西村</t>
        </is>
      </c>
      <c r="T83" s="10" t="inlineStr">
        <is>
          <t>岩田</t>
        </is>
      </c>
      <c r="U83" s="10" t="inlineStr">
        <is>
          <t>上田</t>
        </is>
      </c>
      <c r="V83" s="10" t="inlineStr">
        <is>
          <t>中山</t>
        </is>
      </c>
      <c r="W83" s="10" t="inlineStr">
        <is>
          <t>富島</t>
        </is>
      </c>
      <c r="X83" s="10" t="inlineStr">
        <is>
          <t>井川</t>
        </is>
      </c>
      <c r="Y83" s="10" t="inlineStr">
        <is>
          <t>欠員①</t>
        </is>
      </c>
      <c r="Z83" s="10" t="inlineStr">
        <is>
          <t>横田</t>
        </is>
      </c>
      <c r="AA83" s="10" t="inlineStr">
        <is>
          <t>門谷</t>
        </is>
      </c>
      <c r="AB83" s="10" t="inlineStr">
        <is>
          <t>北川</t>
        </is>
      </c>
      <c r="AC83" s="10" t="inlineStr">
        <is>
          <t>植山</t>
        </is>
      </c>
      <c r="AD83" s="10" t="inlineStr">
        <is>
          <t>安村</t>
        </is>
      </c>
      <c r="AE83" s="10" t="inlineStr">
        <is>
          <t>中嶌</t>
        </is>
      </c>
      <c r="AF83" s="10" t="inlineStr">
        <is>
          <t>中村</t>
        </is>
      </c>
      <c r="AG83" s="10" t="inlineStr">
        <is>
          <t>谷川</t>
        </is>
      </c>
      <c r="AH83" s="10" t="inlineStr">
        <is>
          <t>欠員②</t>
        </is>
      </c>
      <c r="AI83" s="10" t="inlineStr">
        <is>
          <t>藤原</t>
        </is>
      </c>
      <c r="AJ83" s="10" t="inlineStr">
        <is>
          <t>山本高</t>
        </is>
      </c>
      <c r="AK83" s="10" t="inlineStr">
        <is>
          <t>柴田</t>
        </is>
      </c>
      <c r="AL83" s="10" t="inlineStr">
        <is>
          <t>山本幸</t>
        </is>
      </c>
      <c r="AM83" s="10" t="inlineStr">
        <is>
          <t>山田久</t>
        </is>
      </c>
      <c r="AN83" s="10" t="inlineStr">
        <is>
          <t>市田</t>
        </is>
      </c>
      <c r="AO83" s="10" t="inlineStr">
        <is>
          <t>野口</t>
        </is>
      </c>
      <c r="AP83" s="10" t="inlineStr">
        <is>
          <t>原</t>
        </is>
      </c>
    </row>
    <row r="84" ht="15" customHeight="1" s="37">
      <c r="A84" t="inlineStr">
        <is>
          <t>2026-07-26</t>
        </is>
      </c>
      <c r="B84" s="10" t="inlineStr">
        <is>
          <t>日</t>
        </is>
      </c>
      <c r="C84" s="10" t="inlineStr">
        <is>
          <t>休日</t>
        </is>
      </c>
      <c r="E84" s="10" t="inlineStr">
        <is>
          <t>西村</t>
        </is>
      </c>
      <c r="F84" s="10" t="inlineStr">
        <is>
          <t>横山</t>
        </is>
      </c>
      <c r="G84" s="10" t="inlineStr">
        <is>
          <t>中山</t>
        </is>
      </c>
      <c r="H84" s="10" t="inlineStr">
        <is>
          <t>田中</t>
        </is>
      </c>
      <c r="I84" s="10" t="inlineStr">
        <is>
          <t>市田</t>
        </is>
      </c>
      <c r="J84" s="10" t="inlineStr">
        <is>
          <t>富島</t>
        </is>
      </c>
      <c r="K84" s="10" t="inlineStr">
        <is>
          <t>中村</t>
        </is>
      </c>
      <c r="L84" s="10" t="inlineStr">
        <is>
          <t>上野</t>
        </is>
      </c>
      <c r="M84" s="10" t="inlineStr">
        <is>
          <t>植山</t>
        </is>
      </c>
      <c r="N84" s="10" t="inlineStr">
        <is>
          <t>尾川</t>
        </is>
      </c>
      <c r="O84" s="10" t="inlineStr">
        <is>
          <t>井川</t>
        </is>
      </c>
      <c r="P84" s="10" t="inlineStr">
        <is>
          <t>柴田</t>
        </is>
      </c>
      <c r="Q84" s="10" t="inlineStr">
        <is>
          <t>佐野</t>
        </is>
      </c>
      <c r="R84" s="10" t="inlineStr">
        <is>
          <t>門谷</t>
        </is>
      </c>
      <c r="S84" s="10" t="inlineStr">
        <is>
          <t>山本幸</t>
        </is>
      </c>
      <c r="T84" s="10" t="inlineStr">
        <is>
          <t>上田</t>
        </is>
      </c>
      <c r="U84" s="10" t="inlineStr">
        <is>
          <t>原</t>
        </is>
      </c>
      <c r="V84" s="10" t="inlineStr">
        <is>
          <t>欠員②</t>
        </is>
      </c>
      <c r="W84" s="10" t="inlineStr">
        <is>
          <t>中嶌</t>
        </is>
      </c>
      <c r="X84" s="10" t="inlineStr">
        <is>
          <t>内野</t>
        </is>
      </c>
      <c r="Y84" s="10" t="inlineStr">
        <is>
          <t>山本高</t>
        </is>
      </c>
      <c r="Z84" s="10" t="inlineStr">
        <is>
          <t>北川</t>
        </is>
      </c>
      <c r="AA84" s="10" t="inlineStr">
        <is>
          <t>山田久</t>
        </is>
      </c>
      <c r="AB84" s="10" t="inlineStr">
        <is>
          <t>河野</t>
        </is>
      </c>
      <c r="AC84" s="10" t="inlineStr">
        <is>
          <t>野口</t>
        </is>
      </c>
      <c r="AD84" s="10" t="inlineStr">
        <is>
          <t>丸田</t>
        </is>
      </c>
      <c r="AE84" s="10" t="inlineStr">
        <is>
          <t>大川内</t>
        </is>
      </c>
      <c r="AF84" s="10" t="inlineStr">
        <is>
          <t>岡本</t>
        </is>
      </c>
      <c r="AG84" s="10" t="inlineStr">
        <is>
          <t>馬場</t>
        </is>
      </c>
      <c r="AH84" s="10" t="inlineStr">
        <is>
          <t>矢田</t>
        </is>
      </c>
      <c r="AI84" s="10" t="inlineStr">
        <is>
          <t>岩田</t>
        </is>
      </c>
      <c r="AJ84" s="10" t="inlineStr">
        <is>
          <t>山田真</t>
        </is>
      </c>
      <c r="AK84" s="10" t="inlineStr">
        <is>
          <t>藤原</t>
        </is>
      </c>
      <c r="AL84" s="10" t="inlineStr">
        <is>
          <t>欠員①</t>
        </is>
      </c>
      <c r="AM84" s="10" t="inlineStr">
        <is>
          <t>安村</t>
        </is>
      </c>
      <c r="AN84" s="10" t="inlineStr">
        <is>
          <t>谷川</t>
        </is>
      </c>
      <c r="AO84" s="10" t="inlineStr">
        <is>
          <t>栗下</t>
        </is>
      </c>
      <c r="AP84" s="10" t="inlineStr">
        <is>
          <t>横田</t>
        </is>
      </c>
    </row>
    <row r="85" ht="15" customHeight="1" s="37">
      <c r="A85" t="inlineStr">
        <is>
          <t>2026-07-27</t>
        </is>
      </c>
      <c r="B85" s="10" t="inlineStr">
        <is>
          <t>月</t>
        </is>
      </c>
      <c r="C85" s="10" t="inlineStr">
        <is>
          <t>平日</t>
        </is>
      </c>
      <c r="E85" s="10" t="inlineStr">
        <is>
          <t>山本幸</t>
        </is>
      </c>
      <c r="F85" s="10" t="inlineStr">
        <is>
          <t>植山</t>
        </is>
      </c>
      <c r="G85" s="10" t="inlineStr">
        <is>
          <t>欠員②</t>
        </is>
      </c>
      <c r="H85" s="10" t="inlineStr">
        <is>
          <t>井川</t>
        </is>
      </c>
      <c r="I85" s="10" t="inlineStr">
        <is>
          <t>谷川</t>
        </is>
      </c>
      <c r="J85" s="10" t="inlineStr">
        <is>
          <t>中嶌</t>
        </is>
      </c>
      <c r="K85" s="10" t="inlineStr">
        <is>
          <t>岡本</t>
        </is>
      </c>
      <c r="L85" s="10" t="inlineStr">
        <is>
          <t>柴田</t>
        </is>
      </c>
      <c r="M85" s="10" t="inlineStr">
        <is>
          <t>野口</t>
        </is>
      </c>
      <c r="N85" s="10" t="inlineStr">
        <is>
          <t>門谷</t>
        </is>
      </c>
      <c r="O85" s="10" t="inlineStr">
        <is>
          <t>内野</t>
        </is>
      </c>
      <c r="P85" s="10" t="inlineStr">
        <is>
          <t>藤原</t>
        </is>
      </c>
      <c r="Q85" s="10" t="inlineStr">
        <is>
          <t>上野</t>
        </is>
      </c>
      <c r="R85" s="10" t="inlineStr">
        <is>
          <t>山田久</t>
        </is>
      </c>
      <c r="S85" s="10" t="inlineStr">
        <is>
          <t>欠員①</t>
        </is>
      </c>
      <c r="T85" s="10" t="inlineStr">
        <is>
          <t>原</t>
        </is>
      </c>
      <c r="U85" s="10" t="inlineStr">
        <is>
          <t>横田</t>
        </is>
      </c>
      <c r="V85" s="10" t="inlineStr">
        <is>
          <t>矢田</t>
        </is>
      </c>
      <c r="W85" s="10" t="inlineStr">
        <is>
          <t>大川内</t>
        </is>
      </c>
      <c r="X85" s="10" t="inlineStr">
        <is>
          <t>中村</t>
        </is>
      </c>
      <c r="Y85" s="10" t="inlineStr">
        <is>
          <t>山田真</t>
        </is>
      </c>
      <c r="Z85" s="10" t="inlineStr">
        <is>
          <t>河野</t>
        </is>
      </c>
      <c r="AA85" s="10" t="inlineStr">
        <is>
          <t>安村</t>
        </is>
      </c>
      <c r="AB85" s="10" t="inlineStr">
        <is>
          <t>富島</t>
        </is>
      </c>
      <c r="AC85" s="10" t="inlineStr">
        <is>
          <t>栗下</t>
        </is>
      </c>
      <c r="AD85" s="10" t="inlineStr">
        <is>
          <t>中山</t>
        </is>
      </c>
      <c r="AE85" s="10" t="inlineStr">
        <is>
          <t>田中</t>
        </is>
      </c>
      <c r="AF85" s="10" t="inlineStr">
        <is>
          <t>横山</t>
        </is>
      </c>
      <c r="AG85" s="10" t="inlineStr">
        <is>
          <t>尾川</t>
        </is>
      </c>
      <c r="AH85" s="10" t="inlineStr">
        <is>
          <t>佐野</t>
        </is>
      </c>
      <c r="AI85" s="10" t="inlineStr">
        <is>
          <t>上田</t>
        </is>
      </c>
      <c r="AJ85" s="10" t="inlineStr">
        <is>
          <t>市田</t>
        </is>
      </c>
      <c r="AK85" s="10" t="inlineStr">
        <is>
          <t>岩田</t>
        </is>
      </c>
      <c r="AL85" s="10" t="inlineStr">
        <is>
          <t>山本高</t>
        </is>
      </c>
      <c r="AM85" s="10" t="inlineStr">
        <is>
          <t>丸田</t>
        </is>
      </c>
      <c r="AN85" s="10" t="inlineStr">
        <is>
          <t>馬場</t>
        </is>
      </c>
      <c r="AO85" s="10" t="inlineStr">
        <is>
          <t>西村</t>
        </is>
      </c>
      <c r="AP85" s="10" t="inlineStr">
        <is>
          <t>北川</t>
        </is>
      </c>
    </row>
    <row r="86" ht="15" customHeight="1" s="37">
      <c r="A86" t="inlineStr">
        <is>
          <t>2026-07-28</t>
        </is>
      </c>
      <c r="B86" s="10" t="inlineStr">
        <is>
          <t>火</t>
        </is>
      </c>
      <c r="C86" s="10" t="inlineStr">
        <is>
          <t>平日</t>
        </is>
      </c>
      <c r="E86" s="10" t="inlineStr">
        <is>
          <t>欠員①</t>
        </is>
      </c>
      <c r="F86" s="10" t="inlineStr">
        <is>
          <t>野口</t>
        </is>
      </c>
      <c r="G86" s="10" t="inlineStr">
        <is>
          <t>矢田</t>
        </is>
      </c>
      <c r="H86" s="10" t="inlineStr">
        <is>
          <t>内野</t>
        </is>
      </c>
      <c r="I86" s="10" t="inlineStr">
        <is>
          <t>馬場</t>
        </is>
      </c>
      <c r="J86" s="10" t="inlineStr">
        <is>
          <t>大川内</t>
        </is>
      </c>
      <c r="K86" s="10" t="inlineStr">
        <is>
          <t>横山</t>
        </is>
      </c>
      <c r="L86" s="10" t="inlineStr">
        <is>
          <t>藤原</t>
        </is>
      </c>
      <c r="M86" s="10" t="inlineStr">
        <is>
          <t>栗下</t>
        </is>
      </c>
      <c r="N86" s="10" t="inlineStr">
        <is>
          <t>山田久</t>
        </is>
      </c>
      <c r="O86" s="10" t="inlineStr">
        <is>
          <t>中村</t>
        </is>
      </c>
      <c r="P86" s="10" t="inlineStr">
        <is>
          <t>岩田</t>
        </is>
      </c>
      <c r="Q86" s="10" t="inlineStr">
        <is>
          <t>柴田</t>
        </is>
      </c>
      <c r="R86" s="10" t="inlineStr">
        <is>
          <t>安村</t>
        </is>
      </c>
      <c r="S86" s="10" t="inlineStr">
        <is>
          <t>山本高</t>
        </is>
      </c>
      <c r="T86" s="10" t="inlineStr">
        <is>
          <t>横田</t>
        </is>
      </c>
      <c r="U86" s="10" t="inlineStr">
        <is>
          <t>北川</t>
        </is>
      </c>
      <c r="V86" s="10" t="inlineStr">
        <is>
          <t>佐野</t>
        </is>
      </c>
      <c r="W86" s="10" t="inlineStr">
        <is>
          <t>田中</t>
        </is>
      </c>
      <c r="X86" s="10" t="inlineStr">
        <is>
          <t>岡本</t>
        </is>
      </c>
      <c r="Y86" s="10" t="inlineStr">
        <is>
          <t>市田</t>
        </is>
      </c>
      <c r="Z86" s="10" t="inlineStr">
        <is>
          <t>富島</t>
        </is>
      </c>
      <c r="AA86" s="10" t="inlineStr">
        <is>
          <t>丸田</t>
        </is>
      </c>
      <c r="AB86" s="10" t="inlineStr">
        <is>
          <t>中嶌</t>
        </is>
      </c>
      <c r="AC86" s="10" t="inlineStr">
        <is>
          <t>西村</t>
        </is>
      </c>
      <c r="AD86" s="10" t="inlineStr">
        <is>
          <t>欠員②</t>
        </is>
      </c>
      <c r="AE86" s="10" t="inlineStr">
        <is>
          <t>井川</t>
        </is>
      </c>
      <c r="AF86" s="10" t="inlineStr">
        <is>
          <t>植山</t>
        </is>
      </c>
      <c r="AG86" s="10" t="inlineStr">
        <is>
          <t>門谷</t>
        </is>
      </c>
      <c r="AH86" s="10" t="inlineStr">
        <is>
          <t>上野</t>
        </is>
      </c>
      <c r="AI86" s="10" t="inlineStr">
        <is>
          <t>原</t>
        </is>
      </c>
      <c r="AJ86" s="10" t="inlineStr">
        <is>
          <t>谷川</t>
        </is>
      </c>
      <c r="AK86" s="10" t="inlineStr">
        <is>
          <t>上田</t>
        </is>
      </c>
      <c r="AL86" s="10" t="inlineStr">
        <is>
          <t>山田真</t>
        </is>
      </c>
      <c r="AM86" s="10" t="inlineStr">
        <is>
          <t>中山</t>
        </is>
      </c>
      <c r="AN86" s="10" t="inlineStr">
        <is>
          <t>尾川</t>
        </is>
      </c>
      <c r="AO86" s="10" t="inlineStr">
        <is>
          <t>山本幸</t>
        </is>
      </c>
      <c r="AP86" s="10" t="inlineStr">
        <is>
          <t>河野</t>
        </is>
      </c>
    </row>
    <row r="87" ht="15" customHeight="1" s="37">
      <c r="A87" t="inlineStr">
        <is>
          <t>2026-07-29</t>
        </is>
      </c>
      <c r="B87" s="10" t="inlineStr">
        <is>
          <t>水</t>
        </is>
      </c>
      <c r="C87" s="10" t="inlineStr">
        <is>
          <t>平日</t>
        </is>
      </c>
      <c r="E87" s="10" t="inlineStr">
        <is>
          <t>山本高</t>
        </is>
      </c>
      <c r="F87" s="10" t="inlineStr">
        <is>
          <t>栗下</t>
        </is>
      </c>
      <c r="G87" s="10" t="inlineStr">
        <is>
          <t>佐野</t>
        </is>
      </c>
      <c r="H87" s="10" t="inlineStr">
        <is>
          <t>中村</t>
        </is>
      </c>
      <c r="I87" s="10" t="inlineStr">
        <is>
          <t>尾川</t>
        </is>
      </c>
      <c r="J87" s="10" t="inlineStr">
        <is>
          <t>田中</t>
        </is>
      </c>
      <c r="K87" s="10" t="inlineStr">
        <is>
          <t>植山</t>
        </is>
      </c>
      <c r="L87" s="10" t="inlineStr">
        <is>
          <t>岩田</t>
        </is>
      </c>
      <c r="M87" s="10" t="inlineStr">
        <is>
          <t>西村</t>
        </is>
      </c>
      <c r="N87" s="10" t="inlineStr">
        <is>
          <t>安村</t>
        </is>
      </c>
      <c r="O87" s="10" t="inlineStr">
        <is>
          <t>岡本</t>
        </is>
      </c>
      <c r="P87" s="10" t="inlineStr">
        <is>
          <t>上田</t>
        </is>
      </c>
      <c r="Q87" s="10" t="inlineStr">
        <is>
          <t>藤原</t>
        </is>
      </c>
      <c r="R87" s="10" t="inlineStr">
        <is>
          <t>丸田</t>
        </is>
      </c>
      <c r="S87" s="10" t="inlineStr">
        <is>
          <t>山田真</t>
        </is>
      </c>
      <c r="T87" s="10" t="inlineStr">
        <is>
          <t>北川</t>
        </is>
      </c>
      <c r="U87" s="10" t="inlineStr">
        <is>
          <t>河野</t>
        </is>
      </c>
      <c r="V87" s="10" t="inlineStr">
        <is>
          <t>上野</t>
        </is>
      </c>
      <c r="W87" s="10" t="inlineStr">
        <is>
          <t>井川</t>
        </is>
      </c>
      <c r="X87" s="10" t="inlineStr">
        <is>
          <t>横山</t>
        </is>
      </c>
      <c r="Y87" s="10" t="inlineStr">
        <is>
          <t>谷川</t>
        </is>
      </c>
      <c r="Z87" s="10" t="inlineStr">
        <is>
          <t>中嶌</t>
        </is>
      </c>
      <c r="AA87" s="10" t="inlineStr">
        <is>
          <t>中山</t>
        </is>
      </c>
      <c r="AB87" s="10" t="inlineStr">
        <is>
          <t>大川内</t>
        </is>
      </c>
      <c r="AC87" s="10" t="inlineStr">
        <is>
          <t>山本幸</t>
        </is>
      </c>
      <c r="AD87" s="10" t="inlineStr">
        <is>
          <t>矢田</t>
        </is>
      </c>
      <c r="AE87" s="10" t="inlineStr">
        <is>
          <t>内野</t>
        </is>
      </c>
      <c r="AF87" s="10" t="inlineStr">
        <is>
          <t>野口</t>
        </is>
      </c>
      <c r="AG87" s="10" t="inlineStr">
        <is>
          <t>山田久</t>
        </is>
      </c>
      <c r="AH87" s="10" t="inlineStr">
        <is>
          <t>柴田</t>
        </is>
      </c>
      <c r="AI87" s="10" t="inlineStr">
        <is>
          <t>横田</t>
        </is>
      </c>
      <c r="AJ87" s="10" t="inlineStr">
        <is>
          <t>馬場</t>
        </is>
      </c>
      <c r="AK87" s="10" t="inlineStr">
        <is>
          <t>原</t>
        </is>
      </c>
      <c r="AL87" s="10" t="inlineStr">
        <is>
          <t>市田</t>
        </is>
      </c>
      <c r="AM87" s="10" t="inlineStr">
        <is>
          <t>欠員②</t>
        </is>
      </c>
      <c r="AN87" s="10" t="inlineStr">
        <is>
          <t>門谷</t>
        </is>
      </c>
      <c r="AO87" s="10" t="inlineStr">
        <is>
          <t>欠員①</t>
        </is>
      </c>
      <c r="AP87" s="10" t="inlineStr">
        <is>
          <t>富島</t>
        </is>
      </c>
    </row>
    <row r="88" ht="15" customHeight="1" s="37">
      <c r="A88" t="inlineStr">
        <is>
          <t>2026-07-30</t>
        </is>
      </c>
      <c r="B88" s="10" t="inlineStr">
        <is>
          <t>木</t>
        </is>
      </c>
      <c r="C88" s="10" t="inlineStr">
        <is>
          <t>平日</t>
        </is>
      </c>
      <c r="E88" s="10" t="inlineStr">
        <is>
          <t>山田真</t>
        </is>
      </c>
      <c r="F88" s="10" t="inlineStr">
        <is>
          <t>西村</t>
        </is>
      </c>
      <c r="G88" s="10" t="inlineStr">
        <is>
          <t>上野</t>
        </is>
      </c>
      <c r="H88" s="10" t="inlineStr">
        <is>
          <t>岡本</t>
        </is>
      </c>
      <c r="I88" s="10" t="inlineStr">
        <is>
          <t>門谷</t>
        </is>
      </c>
      <c r="J88" s="10" t="inlineStr">
        <is>
          <t>井川</t>
        </is>
      </c>
      <c r="K88" s="10" t="inlineStr">
        <is>
          <t>野口</t>
        </is>
      </c>
      <c r="L88" s="10" t="inlineStr">
        <is>
          <t>上田</t>
        </is>
      </c>
      <c r="M88" s="10" t="inlineStr">
        <is>
          <t>山本幸</t>
        </is>
      </c>
      <c r="N88" s="10" t="inlineStr">
        <is>
          <t>丸田</t>
        </is>
      </c>
      <c r="O88" s="10" t="inlineStr">
        <is>
          <t>横山</t>
        </is>
      </c>
      <c r="P88" s="10" t="inlineStr">
        <is>
          <t>原</t>
        </is>
      </c>
      <c r="Q88" s="10" t="inlineStr">
        <is>
          <t>岩田</t>
        </is>
      </c>
      <c r="R88" s="10" t="inlineStr">
        <is>
          <t>中山</t>
        </is>
      </c>
      <c r="S88" s="10" t="inlineStr">
        <is>
          <t>市田</t>
        </is>
      </c>
      <c r="T88" s="10" t="inlineStr">
        <is>
          <t>河野</t>
        </is>
      </c>
      <c r="U88" s="10" t="inlineStr">
        <is>
          <t>富島</t>
        </is>
      </c>
      <c r="V88" s="10" t="inlineStr">
        <is>
          <t>柴田</t>
        </is>
      </c>
      <c r="W88" s="10" t="inlineStr">
        <is>
          <t>内野</t>
        </is>
      </c>
      <c r="X88" s="10" t="inlineStr">
        <is>
          <t>植山</t>
        </is>
      </c>
      <c r="Y88" s="10" t="inlineStr">
        <is>
          <t>馬場</t>
        </is>
      </c>
      <c r="Z88" s="10" t="inlineStr">
        <is>
          <t>大川内</t>
        </is>
      </c>
      <c r="AA88" s="10" t="inlineStr">
        <is>
          <t>欠員②</t>
        </is>
      </c>
      <c r="AB88" s="10" t="inlineStr">
        <is>
          <t>田中</t>
        </is>
      </c>
      <c r="AC88" s="10" t="inlineStr">
        <is>
          <t>欠員①</t>
        </is>
      </c>
      <c r="AD88" s="10" t="inlineStr">
        <is>
          <t>佐野</t>
        </is>
      </c>
      <c r="AE88" s="10" t="inlineStr">
        <is>
          <t>中村</t>
        </is>
      </c>
      <c r="AF88" s="10" t="inlineStr">
        <is>
          <t>栗下</t>
        </is>
      </c>
      <c r="AG88" s="10" t="inlineStr">
        <is>
          <t>安村</t>
        </is>
      </c>
      <c r="AH88" s="10" t="inlineStr">
        <is>
          <t>藤原</t>
        </is>
      </c>
      <c r="AI88" s="10" t="inlineStr">
        <is>
          <t>北川</t>
        </is>
      </c>
      <c r="AJ88" s="10" t="inlineStr">
        <is>
          <t>尾川</t>
        </is>
      </c>
      <c r="AK88" s="10" t="inlineStr">
        <is>
          <t>横田</t>
        </is>
      </c>
      <c r="AL88" s="10" t="inlineStr">
        <is>
          <t>谷川</t>
        </is>
      </c>
      <c r="AM88" s="10" t="inlineStr">
        <is>
          <t>矢田</t>
        </is>
      </c>
      <c r="AN88" s="10" t="inlineStr">
        <is>
          <t>山田久</t>
        </is>
      </c>
      <c r="AO88" s="10" t="inlineStr">
        <is>
          <t>山本高</t>
        </is>
      </c>
      <c r="AP88" s="10" t="inlineStr">
        <is>
          <t>中嶌</t>
        </is>
      </c>
    </row>
    <row r="89" ht="15" customHeight="1" s="37">
      <c r="A89" t="inlineStr">
        <is>
          <t>2026-07-31</t>
        </is>
      </c>
      <c r="B89" s="10" t="inlineStr">
        <is>
          <t>金</t>
        </is>
      </c>
      <c r="C89" s="10" t="inlineStr">
        <is>
          <t>平日</t>
        </is>
      </c>
      <c r="E89" s="10" t="inlineStr">
        <is>
          <t>市田</t>
        </is>
      </c>
      <c r="F89" s="10" t="inlineStr">
        <is>
          <t>山本幸</t>
        </is>
      </c>
      <c r="G89" s="10" t="inlineStr">
        <is>
          <t>柴田</t>
        </is>
      </c>
      <c r="H89" s="10" t="inlineStr">
        <is>
          <t>横山</t>
        </is>
      </c>
      <c r="I89" s="10" t="inlineStr">
        <is>
          <t>山田久</t>
        </is>
      </c>
      <c r="J89" s="10" t="inlineStr">
        <is>
          <t>内野</t>
        </is>
      </c>
      <c r="K89" s="10" t="inlineStr">
        <is>
          <t>栗下</t>
        </is>
      </c>
      <c r="L89" s="10" t="inlineStr">
        <is>
          <t>原</t>
        </is>
      </c>
      <c r="M89" s="10" t="inlineStr">
        <is>
          <t>欠員①</t>
        </is>
      </c>
      <c r="N89" s="10" t="inlineStr">
        <is>
          <t>中山</t>
        </is>
      </c>
      <c r="O89" s="10" t="inlineStr">
        <is>
          <t>植山</t>
        </is>
      </c>
      <c r="P89" s="10" t="inlineStr">
        <is>
          <t>横田</t>
        </is>
      </c>
      <c r="Q89" s="10" t="inlineStr">
        <is>
          <t>上田</t>
        </is>
      </c>
      <c r="R89" s="10" t="inlineStr">
        <is>
          <t>欠員②</t>
        </is>
      </c>
      <c r="S89" s="10" t="inlineStr">
        <is>
          <t>谷川</t>
        </is>
      </c>
      <c r="T89" s="10" t="inlineStr">
        <is>
          <t>富島</t>
        </is>
      </c>
      <c r="U89" s="10" t="inlineStr">
        <is>
          <t>中嶌</t>
        </is>
      </c>
      <c r="V89" s="10" t="inlineStr">
        <is>
          <t>藤原</t>
        </is>
      </c>
      <c r="W89" s="10" t="inlineStr">
        <is>
          <t>中村</t>
        </is>
      </c>
      <c r="X89" s="10" t="inlineStr">
        <is>
          <t>野口</t>
        </is>
      </c>
      <c r="Y89" s="10" t="inlineStr">
        <is>
          <t>尾川</t>
        </is>
      </c>
      <c r="Z89" s="10" t="inlineStr">
        <is>
          <t>田中</t>
        </is>
      </c>
      <c r="AA89" s="10" t="inlineStr">
        <is>
          <t>矢田</t>
        </is>
      </c>
      <c r="AB89" s="10" t="inlineStr">
        <is>
          <t>井川</t>
        </is>
      </c>
      <c r="AC89" s="10" t="inlineStr">
        <is>
          <t>山本高</t>
        </is>
      </c>
      <c r="AD89" s="10" t="inlineStr">
        <is>
          <t>上野</t>
        </is>
      </c>
      <c r="AE89" s="10" t="inlineStr">
        <is>
          <t>岡本</t>
        </is>
      </c>
      <c r="AF89" s="10" t="inlineStr">
        <is>
          <t>西村</t>
        </is>
      </c>
      <c r="AG89" s="10" t="inlineStr">
        <is>
          <t>丸田</t>
        </is>
      </c>
      <c r="AH89" s="10" t="inlineStr">
        <is>
          <t>岩田</t>
        </is>
      </c>
      <c r="AI89" s="10" t="inlineStr">
        <is>
          <t>河野</t>
        </is>
      </c>
      <c r="AJ89" s="10" t="inlineStr">
        <is>
          <t>門谷</t>
        </is>
      </c>
      <c r="AK89" s="10" t="inlineStr">
        <is>
          <t>北川</t>
        </is>
      </c>
      <c r="AL89" s="10" t="inlineStr">
        <is>
          <t>馬場</t>
        </is>
      </c>
      <c r="AM89" s="10" t="inlineStr">
        <is>
          <t>佐野</t>
        </is>
      </c>
      <c r="AN89" s="10" t="inlineStr">
        <is>
          <t>安村</t>
        </is>
      </c>
      <c r="AO89" s="10" t="inlineStr">
        <is>
          <t>山田真</t>
        </is>
      </c>
      <c r="AP89" s="10" t="inlineStr">
        <is>
          <t>大川内</t>
        </is>
      </c>
    </row>
    <row r="90" ht="15" customHeight="1" s="37">
      <c r="A90" t="inlineStr">
        <is>
          <t>2026-08-01</t>
        </is>
      </c>
      <c r="B90" s="10" t="inlineStr">
        <is>
          <t>土</t>
        </is>
      </c>
      <c r="C90" s="10" t="inlineStr">
        <is>
          <t>休日</t>
        </is>
      </c>
      <c r="E90" s="10" t="inlineStr">
        <is>
          <t>谷川</t>
        </is>
      </c>
      <c r="F90" s="10" t="inlineStr">
        <is>
          <t>欠員①</t>
        </is>
      </c>
      <c r="G90" s="10" t="inlineStr">
        <is>
          <t>藤原</t>
        </is>
      </c>
      <c r="H90" s="10" t="inlineStr">
        <is>
          <t>植山</t>
        </is>
      </c>
      <c r="I90" s="10" t="inlineStr">
        <is>
          <t>安村</t>
        </is>
      </c>
      <c r="J90" s="10" t="inlineStr">
        <is>
          <t>中村</t>
        </is>
      </c>
      <c r="K90" s="10" t="inlineStr">
        <is>
          <t>西村</t>
        </is>
      </c>
      <c r="L90" s="10" t="inlineStr">
        <is>
          <t>横田</t>
        </is>
      </c>
      <c r="M90" s="10" t="inlineStr">
        <is>
          <t>山本高</t>
        </is>
      </c>
      <c r="N90" s="10" t="inlineStr">
        <is>
          <t>欠員②</t>
        </is>
      </c>
      <c r="O90" s="10" t="inlineStr">
        <is>
          <t>野口</t>
        </is>
      </c>
      <c r="P90" s="10" t="inlineStr">
        <is>
          <t>北川</t>
        </is>
      </c>
      <c r="Q90" s="10" t="inlineStr">
        <is>
          <t>原</t>
        </is>
      </c>
      <c r="R90" s="10" t="inlineStr">
        <is>
          <t>矢田</t>
        </is>
      </c>
      <c r="S90" s="10" t="inlineStr">
        <is>
          <t>馬場</t>
        </is>
      </c>
      <c r="T90" s="10" t="inlineStr">
        <is>
          <t>中嶌</t>
        </is>
      </c>
      <c r="U90" s="10" t="inlineStr">
        <is>
          <t>大川内</t>
        </is>
      </c>
      <c r="V90" s="10" t="inlineStr">
        <is>
          <t>岩田</t>
        </is>
      </c>
      <c r="W90" s="10" t="inlineStr">
        <is>
          <t>岡本</t>
        </is>
      </c>
      <c r="X90" s="10" t="inlineStr">
        <is>
          <t>栗下</t>
        </is>
      </c>
      <c r="Y90" s="10" t="inlineStr">
        <is>
          <t>門谷</t>
        </is>
      </c>
      <c r="Z90" s="10" t="inlineStr">
        <is>
          <t>井川</t>
        </is>
      </c>
      <c r="AA90" s="10" t="inlineStr">
        <is>
          <t>佐野</t>
        </is>
      </c>
      <c r="AB90" s="10" t="inlineStr">
        <is>
          <t>内野</t>
        </is>
      </c>
      <c r="AC90" s="10" t="inlineStr">
        <is>
          <t>山田真</t>
        </is>
      </c>
      <c r="AD90" s="10" t="inlineStr">
        <is>
          <t>柴田</t>
        </is>
      </c>
      <c r="AE90" s="10" t="inlineStr">
        <is>
          <t>横山</t>
        </is>
      </c>
      <c r="AF90" s="10" t="inlineStr">
        <is>
          <t>山本幸</t>
        </is>
      </c>
      <c r="AG90" s="10" t="inlineStr">
        <is>
          <t>中山</t>
        </is>
      </c>
      <c r="AH90" s="10" t="inlineStr">
        <is>
          <t>上田</t>
        </is>
      </c>
      <c r="AI90" s="10" t="inlineStr">
        <is>
          <t>富島</t>
        </is>
      </c>
      <c r="AJ90" s="10" t="inlineStr">
        <is>
          <t>山田久</t>
        </is>
      </c>
      <c r="AK90" s="10" t="inlineStr">
        <is>
          <t>河野</t>
        </is>
      </c>
      <c r="AL90" s="10" t="inlineStr">
        <is>
          <t>尾川</t>
        </is>
      </c>
      <c r="AM90" s="10" t="inlineStr">
        <is>
          <t>上野</t>
        </is>
      </c>
      <c r="AN90" s="10" t="inlineStr">
        <is>
          <t>丸田</t>
        </is>
      </c>
      <c r="AO90" s="10" t="inlineStr">
        <is>
          <t>市田</t>
        </is>
      </c>
      <c r="AP90" s="10" t="inlineStr">
        <is>
          <t>田中</t>
        </is>
      </c>
    </row>
    <row r="91" ht="15" customHeight="1" s="37">
      <c r="A91" t="inlineStr">
        <is>
          <t>2026-08-02</t>
        </is>
      </c>
      <c r="B91" s="10" t="inlineStr">
        <is>
          <t>日</t>
        </is>
      </c>
      <c r="C91" s="10" t="inlineStr">
        <is>
          <t>休日</t>
        </is>
      </c>
      <c r="E91" s="10" t="inlineStr">
        <is>
          <t>馬場</t>
        </is>
      </c>
      <c r="F91" s="10" t="inlineStr">
        <is>
          <t>山本高</t>
        </is>
      </c>
      <c r="G91" s="10" t="inlineStr">
        <is>
          <t>岩田</t>
        </is>
      </c>
      <c r="H91" s="10" t="inlineStr">
        <is>
          <t>野口</t>
        </is>
      </c>
      <c r="I91" s="10" t="inlineStr">
        <is>
          <t>丸田</t>
        </is>
      </c>
      <c r="J91" s="10" t="inlineStr">
        <is>
          <t>岡本</t>
        </is>
      </c>
      <c r="K91" s="10" t="inlineStr">
        <is>
          <t>山本幸</t>
        </is>
      </c>
      <c r="L91" s="10" t="inlineStr">
        <is>
          <t>北川</t>
        </is>
      </c>
      <c r="M91" s="10" t="inlineStr">
        <is>
          <t>山田真</t>
        </is>
      </c>
      <c r="N91" s="10" t="inlineStr">
        <is>
          <t>矢田</t>
        </is>
      </c>
      <c r="O91" s="10" t="inlineStr">
        <is>
          <t>栗下</t>
        </is>
      </c>
      <c r="P91" s="10" t="inlineStr">
        <is>
          <t>河野</t>
        </is>
      </c>
      <c r="Q91" s="10" t="inlineStr">
        <is>
          <t>横田</t>
        </is>
      </c>
      <c r="R91" s="10" t="inlineStr">
        <is>
          <t>佐野</t>
        </is>
      </c>
      <c r="S91" s="10" t="inlineStr">
        <is>
          <t>尾川</t>
        </is>
      </c>
      <c r="T91" s="10" t="inlineStr">
        <is>
          <t>大川内</t>
        </is>
      </c>
      <c r="U91" s="10" t="inlineStr">
        <is>
          <t>田中</t>
        </is>
      </c>
      <c r="V91" s="10" t="inlineStr">
        <is>
          <t>上田</t>
        </is>
      </c>
      <c r="W91" s="10" t="inlineStr">
        <is>
          <t>横山</t>
        </is>
      </c>
      <c r="X91" s="10" t="inlineStr">
        <is>
          <t>西村</t>
        </is>
      </c>
      <c r="Y91" s="10" t="inlineStr">
        <is>
          <t>山田久</t>
        </is>
      </c>
      <c r="Z91" s="10" t="inlineStr">
        <is>
          <t>内野</t>
        </is>
      </c>
      <c r="AA91" s="10" t="inlineStr">
        <is>
          <t>上野</t>
        </is>
      </c>
      <c r="AB91" s="10" t="inlineStr">
        <is>
          <t>中村</t>
        </is>
      </c>
      <c r="AC91" s="10" t="inlineStr">
        <is>
          <t>市田</t>
        </is>
      </c>
      <c r="AD91" s="10" t="inlineStr">
        <is>
          <t>藤原</t>
        </is>
      </c>
      <c r="AE91" s="10" t="inlineStr">
        <is>
          <t>植山</t>
        </is>
      </c>
      <c r="AF91" s="10" t="inlineStr">
        <is>
          <t>欠員①</t>
        </is>
      </c>
      <c r="AG91" s="10" t="inlineStr">
        <is>
          <t>欠員②</t>
        </is>
      </c>
      <c r="AH91" s="10" t="inlineStr">
        <is>
          <t>原</t>
        </is>
      </c>
      <c r="AI91" s="10" t="inlineStr">
        <is>
          <t>中嶌</t>
        </is>
      </c>
      <c r="AJ91" s="10" t="inlineStr">
        <is>
          <t>安村</t>
        </is>
      </c>
      <c r="AK91" s="10" t="inlineStr">
        <is>
          <t>富島</t>
        </is>
      </c>
      <c r="AL91" s="10" t="inlineStr">
        <is>
          <t>門谷</t>
        </is>
      </c>
      <c r="AM91" s="10" t="inlineStr">
        <is>
          <t>柴田</t>
        </is>
      </c>
      <c r="AN91" s="10" t="inlineStr">
        <is>
          <t>中山</t>
        </is>
      </c>
      <c r="AO91" s="10" t="inlineStr">
        <is>
          <t>谷川</t>
        </is>
      </c>
      <c r="AP91" s="10" t="inlineStr">
        <is>
          <t>井川</t>
        </is>
      </c>
    </row>
    <row r="92" ht="15" customHeight="1" s="37">
      <c r="A92" t="inlineStr">
        <is>
          <t>2026-08-03</t>
        </is>
      </c>
      <c r="B92" s="10" t="inlineStr">
        <is>
          <t>月</t>
        </is>
      </c>
      <c r="C92" s="10" t="inlineStr">
        <is>
          <t>平日</t>
        </is>
      </c>
      <c r="E92" s="10" t="inlineStr">
        <is>
          <t>尾川</t>
        </is>
      </c>
      <c r="F92" s="10" t="inlineStr">
        <is>
          <t>山田真</t>
        </is>
      </c>
      <c r="G92" s="10" t="inlineStr">
        <is>
          <t>上田</t>
        </is>
      </c>
      <c r="H92" s="10" t="inlineStr">
        <is>
          <t>栗下</t>
        </is>
      </c>
      <c r="I92" s="10" t="inlineStr">
        <is>
          <t>中山</t>
        </is>
      </c>
      <c r="J92" s="10" t="inlineStr">
        <is>
          <t>横山</t>
        </is>
      </c>
      <c r="K92" s="10" t="inlineStr">
        <is>
          <t>欠員①</t>
        </is>
      </c>
      <c r="L92" s="10" t="inlineStr">
        <is>
          <t>河野</t>
        </is>
      </c>
      <c r="M92" s="10" t="inlineStr">
        <is>
          <t>市田</t>
        </is>
      </c>
      <c r="N92" s="10" t="inlineStr">
        <is>
          <t>佐野</t>
        </is>
      </c>
      <c r="O92" s="10" t="inlineStr">
        <is>
          <t>西村</t>
        </is>
      </c>
      <c r="P92" s="10" t="inlineStr">
        <is>
          <t>富島</t>
        </is>
      </c>
      <c r="Q92" s="10" t="inlineStr">
        <is>
          <t>北川</t>
        </is>
      </c>
      <c r="R92" s="10" t="inlineStr">
        <is>
          <t>上野</t>
        </is>
      </c>
      <c r="S92" s="10" t="inlineStr">
        <is>
          <t>門谷</t>
        </is>
      </c>
      <c r="T92" s="10" t="inlineStr">
        <is>
          <t>田中</t>
        </is>
      </c>
      <c r="U92" s="10" t="inlineStr">
        <is>
          <t>井川</t>
        </is>
      </c>
      <c r="V92" s="10" t="inlineStr">
        <is>
          <t>原</t>
        </is>
      </c>
      <c r="W92" s="10" t="inlineStr">
        <is>
          <t>植山</t>
        </is>
      </c>
      <c r="X92" s="10" t="inlineStr">
        <is>
          <t>山本幸</t>
        </is>
      </c>
      <c r="Y92" s="10" t="inlineStr">
        <is>
          <t>安村</t>
        </is>
      </c>
      <c r="Z92" s="10" t="inlineStr">
        <is>
          <t>中村</t>
        </is>
      </c>
      <c r="AA92" s="10" t="inlineStr">
        <is>
          <t>柴田</t>
        </is>
      </c>
      <c r="AB92" s="10" t="inlineStr">
        <is>
          <t>岡本</t>
        </is>
      </c>
      <c r="AC92" s="10" t="inlineStr">
        <is>
          <t>谷川</t>
        </is>
      </c>
      <c r="AD92" s="10" t="inlineStr">
        <is>
          <t>岩田</t>
        </is>
      </c>
      <c r="AE92" s="10" t="inlineStr">
        <is>
          <t>野口</t>
        </is>
      </c>
      <c r="AF92" s="10" t="inlineStr">
        <is>
          <t>山本高</t>
        </is>
      </c>
      <c r="AG92" s="10" t="inlineStr">
        <is>
          <t>矢田</t>
        </is>
      </c>
      <c r="AH92" s="10" t="inlineStr">
        <is>
          <t>横田</t>
        </is>
      </c>
      <c r="AI92" s="10" t="inlineStr">
        <is>
          <t>大川内</t>
        </is>
      </c>
      <c r="AJ92" s="10" t="inlineStr">
        <is>
          <t>丸田</t>
        </is>
      </c>
      <c r="AK92" s="10" t="inlineStr">
        <is>
          <t>中嶌</t>
        </is>
      </c>
      <c r="AL92" s="10" t="inlineStr">
        <is>
          <t>山田久</t>
        </is>
      </c>
      <c r="AM92" s="10" t="inlineStr">
        <is>
          <t>藤原</t>
        </is>
      </c>
      <c r="AN92" s="10" t="inlineStr">
        <is>
          <t>欠員②</t>
        </is>
      </c>
      <c r="AO92" s="10" t="inlineStr">
        <is>
          <t>馬場</t>
        </is>
      </c>
      <c r="AP92" s="10" t="inlineStr">
        <is>
          <t>内野</t>
        </is>
      </c>
    </row>
    <row r="93" ht="15" customHeight="1" s="37">
      <c r="A93" t="inlineStr">
        <is>
          <t>2026-08-04</t>
        </is>
      </c>
      <c r="B93" s="10" t="inlineStr">
        <is>
          <t>火</t>
        </is>
      </c>
      <c r="C93" s="10" t="inlineStr">
        <is>
          <t>平日</t>
        </is>
      </c>
      <c r="E93" s="10" t="inlineStr">
        <is>
          <t>門谷</t>
        </is>
      </c>
      <c r="F93" s="10" t="inlineStr">
        <is>
          <t>市田</t>
        </is>
      </c>
      <c r="G93" s="10" t="inlineStr">
        <is>
          <t>原</t>
        </is>
      </c>
      <c r="H93" s="10" t="inlineStr">
        <is>
          <t>西村</t>
        </is>
      </c>
      <c r="I93" s="10" t="inlineStr">
        <is>
          <t>欠員②</t>
        </is>
      </c>
      <c r="J93" s="10" t="inlineStr">
        <is>
          <t>植山</t>
        </is>
      </c>
      <c r="K93" s="10" t="inlineStr">
        <is>
          <t>山本高</t>
        </is>
      </c>
      <c r="L93" s="10" t="inlineStr">
        <is>
          <t>富島</t>
        </is>
      </c>
      <c r="M93" s="10" t="inlineStr">
        <is>
          <t>谷川</t>
        </is>
      </c>
      <c r="N93" s="10" t="inlineStr">
        <is>
          <t>上野</t>
        </is>
      </c>
      <c r="O93" s="10" t="inlineStr">
        <is>
          <t>山本幸</t>
        </is>
      </c>
      <c r="P93" s="10" t="inlineStr">
        <is>
          <t>中嶌</t>
        </is>
      </c>
      <c r="Q93" s="10" t="inlineStr">
        <is>
          <t>河野</t>
        </is>
      </c>
      <c r="R93" s="10" t="inlineStr">
        <is>
          <t>柴田</t>
        </is>
      </c>
      <c r="S93" s="10" t="inlineStr">
        <is>
          <t>山田久</t>
        </is>
      </c>
      <c r="T93" s="10" t="inlineStr">
        <is>
          <t>井川</t>
        </is>
      </c>
      <c r="U93" s="10" t="inlineStr">
        <is>
          <t>内野</t>
        </is>
      </c>
      <c r="V93" s="10" t="inlineStr">
        <is>
          <t>横田</t>
        </is>
      </c>
      <c r="W93" s="10" t="inlineStr">
        <is>
          <t>野口</t>
        </is>
      </c>
      <c r="X93" s="10" t="inlineStr">
        <is>
          <t>欠員①</t>
        </is>
      </c>
      <c r="Y93" s="10" t="inlineStr">
        <is>
          <t>丸田</t>
        </is>
      </c>
      <c r="Z93" s="10" t="inlineStr">
        <is>
          <t>岡本</t>
        </is>
      </c>
      <c r="AA93" s="10" t="inlineStr">
        <is>
          <t>藤原</t>
        </is>
      </c>
      <c r="AB93" s="10" t="inlineStr">
        <is>
          <t>横山</t>
        </is>
      </c>
      <c r="AC93" s="10" t="inlineStr">
        <is>
          <t>馬場</t>
        </is>
      </c>
      <c r="AD93" s="10" t="inlineStr">
        <is>
          <t>上田</t>
        </is>
      </c>
      <c r="AE93" s="10" t="inlineStr">
        <is>
          <t>栗下</t>
        </is>
      </c>
      <c r="AF93" s="10" t="inlineStr">
        <is>
          <t>山田真</t>
        </is>
      </c>
      <c r="AG93" s="10" t="inlineStr">
        <is>
          <t>佐野</t>
        </is>
      </c>
      <c r="AH93" s="10" t="inlineStr">
        <is>
          <t>北川</t>
        </is>
      </c>
      <c r="AI93" s="10" t="inlineStr">
        <is>
          <t>田中</t>
        </is>
      </c>
      <c r="AJ93" s="10" t="inlineStr">
        <is>
          <t>中山</t>
        </is>
      </c>
      <c r="AK93" s="10" t="inlineStr">
        <is>
          <t>大川内</t>
        </is>
      </c>
      <c r="AL93" s="10" t="inlineStr">
        <is>
          <t>安村</t>
        </is>
      </c>
      <c r="AM93" s="10" t="inlineStr">
        <is>
          <t>岩田</t>
        </is>
      </c>
      <c r="AN93" s="10" t="inlineStr">
        <is>
          <t>矢田</t>
        </is>
      </c>
      <c r="AO93" s="10" t="inlineStr">
        <is>
          <t>尾川</t>
        </is>
      </c>
      <c r="AP93" s="10" t="inlineStr">
        <is>
          <t>中村</t>
        </is>
      </c>
    </row>
    <row r="94" ht="15" customHeight="1" s="37">
      <c r="A94" t="inlineStr">
        <is>
          <t>2026-08-05</t>
        </is>
      </c>
      <c r="B94" s="10" t="inlineStr">
        <is>
          <t>水</t>
        </is>
      </c>
      <c r="C94" s="10" t="inlineStr">
        <is>
          <t>平日</t>
        </is>
      </c>
      <c r="E94" s="10" t="inlineStr">
        <is>
          <t>山田久</t>
        </is>
      </c>
      <c r="F94" s="10" t="inlineStr">
        <is>
          <t>谷川</t>
        </is>
      </c>
      <c r="G94" s="10" t="inlineStr">
        <is>
          <t>横田</t>
        </is>
      </c>
      <c r="H94" s="10" t="inlineStr">
        <is>
          <t>山本幸</t>
        </is>
      </c>
      <c r="I94" s="10" t="inlineStr">
        <is>
          <t>矢田</t>
        </is>
      </c>
      <c r="J94" s="10" t="inlineStr">
        <is>
          <t>野口</t>
        </is>
      </c>
      <c r="K94" s="10" t="inlineStr">
        <is>
          <t>山田真</t>
        </is>
      </c>
      <c r="L94" s="10" t="inlineStr">
        <is>
          <t>中嶌</t>
        </is>
      </c>
      <c r="M94" s="10" t="inlineStr">
        <is>
          <t>馬場</t>
        </is>
      </c>
      <c r="N94" s="10" t="inlineStr">
        <is>
          <t>柴田</t>
        </is>
      </c>
      <c r="O94" s="10" t="inlineStr">
        <is>
          <t>欠員①</t>
        </is>
      </c>
      <c r="P94" s="10" t="inlineStr">
        <is>
          <t>大川内</t>
        </is>
      </c>
      <c r="Q94" s="10" t="inlineStr">
        <is>
          <t>富島</t>
        </is>
      </c>
      <c r="R94" s="10" t="inlineStr">
        <is>
          <t>藤原</t>
        </is>
      </c>
      <c r="S94" s="10" t="inlineStr">
        <is>
          <t>安村</t>
        </is>
      </c>
      <c r="T94" s="10" t="inlineStr">
        <is>
          <t>内野</t>
        </is>
      </c>
      <c r="U94" s="10" t="inlineStr">
        <is>
          <t>中村</t>
        </is>
      </c>
      <c r="V94" s="10" t="inlineStr">
        <is>
          <t>北川</t>
        </is>
      </c>
      <c r="W94" s="10" t="inlineStr">
        <is>
          <t>栗下</t>
        </is>
      </c>
      <c r="X94" s="10" t="inlineStr">
        <is>
          <t>山本高</t>
        </is>
      </c>
      <c r="Y94" s="10" t="inlineStr">
        <is>
          <t>中山</t>
        </is>
      </c>
      <c r="Z94" s="10" t="inlineStr">
        <is>
          <t>横山</t>
        </is>
      </c>
      <c r="AA94" s="10" t="inlineStr">
        <is>
          <t>岩田</t>
        </is>
      </c>
      <c r="AB94" s="10" t="inlineStr">
        <is>
          <t>植山</t>
        </is>
      </c>
      <c r="AC94" s="10" t="inlineStr">
        <is>
          <t>尾川</t>
        </is>
      </c>
      <c r="AD94" s="10" t="inlineStr">
        <is>
          <t>原</t>
        </is>
      </c>
      <c r="AE94" s="10" t="inlineStr">
        <is>
          <t>西村</t>
        </is>
      </c>
      <c r="AF94" s="10" t="inlineStr">
        <is>
          <t>市田</t>
        </is>
      </c>
      <c r="AG94" s="10" t="inlineStr">
        <is>
          <t>上野</t>
        </is>
      </c>
      <c r="AH94" s="10" t="inlineStr">
        <is>
          <t>河野</t>
        </is>
      </c>
      <c r="AI94" s="10" t="inlineStr">
        <is>
          <t>井川</t>
        </is>
      </c>
      <c r="AJ94" s="10" t="inlineStr">
        <is>
          <t>欠員②</t>
        </is>
      </c>
      <c r="AK94" s="10" t="inlineStr">
        <is>
          <t>田中</t>
        </is>
      </c>
      <c r="AL94" s="10" t="inlineStr">
        <is>
          <t>丸田</t>
        </is>
      </c>
      <c r="AM94" s="10" t="inlineStr">
        <is>
          <t>上田</t>
        </is>
      </c>
      <c r="AN94" s="10" t="inlineStr">
        <is>
          <t>佐野</t>
        </is>
      </c>
      <c r="AO94" s="10" t="inlineStr">
        <is>
          <t>門谷</t>
        </is>
      </c>
      <c r="AP94" s="10" t="inlineStr">
        <is>
          <t>岡本</t>
        </is>
      </c>
    </row>
    <row r="95" ht="15" customHeight="1" s="37">
      <c r="A95" t="inlineStr">
        <is>
          <t>2026-08-06</t>
        </is>
      </c>
      <c r="B95" s="10" t="inlineStr">
        <is>
          <t>木</t>
        </is>
      </c>
      <c r="C95" s="10" t="inlineStr">
        <is>
          <t>平日</t>
        </is>
      </c>
      <c r="E95" s="10" t="inlineStr">
        <is>
          <t>安村</t>
        </is>
      </c>
      <c r="F95" s="10" t="inlineStr">
        <is>
          <t>馬場</t>
        </is>
      </c>
      <c r="G95" s="10" t="inlineStr">
        <is>
          <t>北川</t>
        </is>
      </c>
      <c r="H95" s="10" t="inlineStr">
        <is>
          <t>欠員①</t>
        </is>
      </c>
      <c r="I95" s="10" t="inlineStr">
        <is>
          <t>佐野</t>
        </is>
      </c>
      <c r="J95" s="10" t="inlineStr">
        <is>
          <t>栗下</t>
        </is>
      </c>
      <c r="K95" s="10" t="inlineStr">
        <is>
          <t>市田</t>
        </is>
      </c>
      <c r="L95" s="10" t="inlineStr">
        <is>
          <t>大川内</t>
        </is>
      </c>
      <c r="M95" s="10" t="inlineStr">
        <is>
          <t>尾川</t>
        </is>
      </c>
      <c r="N95" s="10" t="inlineStr">
        <is>
          <t>藤原</t>
        </is>
      </c>
      <c r="O95" s="10" t="inlineStr">
        <is>
          <t>山本高</t>
        </is>
      </c>
      <c r="P95" s="10" t="inlineStr">
        <is>
          <t>田中</t>
        </is>
      </c>
      <c r="Q95" s="10" t="inlineStr">
        <is>
          <t>中嶌</t>
        </is>
      </c>
      <c r="R95" s="10" t="inlineStr">
        <is>
          <t>岩田</t>
        </is>
      </c>
      <c r="S95" s="10" t="inlineStr">
        <is>
          <t>丸田</t>
        </is>
      </c>
      <c r="T95" s="10" t="inlineStr">
        <is>
          <t>中村</t>
        </is>
      </c>
      <c r="U95" s="10" t="inlineStr">
        <is>
          <t>岡本</t>
        </is>
      </c>
      <c r="V95" s="10" t="inlineStr">
        <is>
          <t>河野</t>
        </is>
      </c>
      <c r="W95" s="10" t="inlineStr">
        <is>
          <t>西村</t>
        </is>
      </c>
      <c r="X95" s="10" t="inlineStr">
        <is>
          <t>山田真</t>
        </is>
      </c>
      <c r="Y95" s="10" t="inlineStr">
        <is>
          <t>欠員②</t>
        </is>
      </c>
      <c r="Z95" s="10" t="inlineStr">
        <is>
          <t>植山</t>
        </is>
      </c>
      <c r="AA95" s="10" t="inlineStr">
        <is>
          <t>上田</t>
        </is>
      </c>
      <c r="AB95" s="10" t="inlineStr">
        <is>
          <t>野口</t>
        </is>
      </c>
      <c r="AC95" s="10" t="inlineStr">
        <is>
          <t>門谷</t>
        </is>
      </c>
      <c r="AD95" s="10" t="inlineStr">
        <is>
          <t>横田</t>
        </is>
      </c>
      <c r="AE95" s="10" t="inlineStr">
        <is>
          <t>山本幸</t>
        </is>
      </c>
      <c r="AF95" s="10" t="inlineStr">
        <is>
          <t>谷川</t>
        </is>
      </c>
      <c r="AG95" s="10" t="inlineStr">
        <is>
          <t>柴田</t>
        </is>
      </c>
      <c r="AH95" s="10" t="inlineStr">
        <is>
          <t>富島</t>
        </is>
      </c>
      <c r="AI95" s="10" t="inlineStr">
        <is>
          <t>内野</t>
        </is>
      </c>
      <c r="AJ95" s="10" t="inlineStr">
        <is>
          <t>矢田</t>
        </is>
      </c>
      <c r="AK95" s="10" t="inlineStr">
        <is>
          <t>井川</t>
        </is>
      </c>
      <c r="AL95" s="10" t="inlineStr">
        <is>
          <t>中山</t>
        </is>
      </c>
      <c r="AM95" s="10" t="inlineStr">
        <is>
          <t>原</t>
        </is>
      </c>
      <c r="AN95" s="10" t="inlineStr">
        <is>
          <t>上野</t>
        </is>
      </c>
      <c r="AO95" s="10" t="inlineStr">
        <is>
          <t>山田久</t>
        </is>
      </c>
      <c r="AP95" s="10" t="inlineStr">
        <is>
          <t>横山</t>
        </is>
      </c>
    </row>
    <row r="96" ht="15" customHeight="1" s="37">
      <c r="A96" t="inlineStr">
        <is>
          <t>2026-08-07</t>
        </is>
      </c>
      <c r="B96" s="10" t="inlineStr">
        <is>
          <t>金</t>
        </is>
      </c>
      <c r="C96" s="10" t="inlineStr">
        <is>
          <t>平日</t>
        </is>
      </c>
      <c r="E96" s="10" t="inlineStr">
        <is>
          <t>丸田</t>
        </is>
      </c>
      <c r="F96" s="10" t="inlineStr">
        <is>
          <t>尾川</t>
        </is>
      </c>
      <c r="G96" s="10" t="inlineStr">
        <is>
          <t>河野</t>
        </is>
      </c>
      <c r="H96" s="10" t="inlineStr">
        <is>
          <t>山本高</t>
        </is>
      </c>
      <c r="I96" s="10" t="inlineStr">
        <is>
          <t>上野</t>
        </is>
      </c>
      <c r="J96" s="10" t="inlineStr">
        <is>
          <t>西村</t>
        </is>
      </c>
      <c r="K96" s="10" t="inlineStr">
        <is>
          <t>谷川</t>
        </is>
      </c>
      <c r="L96" s="10" t="inlineStr">
        <is>
          <t>田中</t>
        </is>
      </c>
      <c r="M96" s="10" t="inlineStr">
        <is>
          <t>門谷</t>
        </is>
      </c>
      <c r="N96" s="10" t="inlineStr">
        <is>
          <t>岩田</t>
        </is>
      </c>
      <c r="O96" s="10" t="inlineStr">
        <is>
          <t>山田真</t>
        </is>
      </c>
      <c r="P96" s="10" t="inlineStr">
        <is>
          <t>井川</t>
        </is>
      </c>
      <c r="Q96" s="10" t="inlineStr">
        <is>
          <t>大川内</t>
        </is>
      </c>
      <c r="R96" s="10" t="inlineStr">
        <is>
          <t>上田</t>
        </is>
      </c>
      <c r="S96" s="10" t="inlineStr">
        <is>
          <t>中山</t>
        </is>
      </c>
      <c r="T96" s="10" t="inlineStr">
        <is>
          <t>岡本</t>
        </is>
      </c>
      <c r="U96" s="10" t="inlineStr">
        <is>
          <t>横山</t>
        </is>
      </c>
      <c r="V96" s="10" t="inlineStr">
        <is>
          <t>富島</t>
        </is>
      </c>
      <c r="W96" s="10" t="inlineStr">
        <is>
          <t>山本幸</t>
        </is>
      </c>
      <c r="X96" s="10" t="inlineStr">
        <is>
          <t>市田</t>
        </is>
      </c>
      <c r="Y96" s="10" t="inlineStr">
        <is>
          <t>矢田</t>
        </is>
      </c>
      <c r="Z96" s="10" t="inlineStr">
        <is>
          <t>野口</t>
        </is>
      </c>
      <c r="AA96" s="10" t="inlineStr">
        <is>
          <t>原</t>
        </is>
      </c>
      <c r="AB96" s="10" t="inlineStr">
        <is>
          <t>栗下</t>
        </is>
      </c>
      <c r="AC96" s="10" t="inlineStr">
        <is>
          <t>山田久</t>
        </is>
      </c>
      <c r="AD96" s="10" t="inlineStr">
        <is>
          <t>北川</t>
        </is>
      </c>
      <c r="AE96" s="10" t="inlineStr">
        <is>
          <t>欠員①</t>
        </is>
      </c>
      <c r="AF96" s="10" t="inlineStr">
        <is>
          <t>馬場</t>
        </is>
      </c>
      <c r="AG96" s="10" t="inlineStr">
        <is>
          <t>藤原</t>
        </is>
      </c>
      <c r="AH96" s="10" t="inlineStr">
        <is>
          <t>中嶌</t>
        </is>
      </c>
      <c r="AI96" s="10" t="inlineStr">
        <is>
          <t>中村</t>
        </is>
      </c>
      <c r="AJ96" s="10" t="inlineStr">
        <is>
          <t>佐野</t>
        </is>
      </c>
      <c r="AK96" s="10" t="inlineStr">
        <is>
          <t>内野</t>
        </is>
      </c>
      <c r="AL96" s="10" t="inlineStr">
        <is>
          <t>欠員②</t>
        </is>
      </c>
      <c r="AM96" s="10" t="inlineStr">
        <is>
          <t>横田</t>
        </is>
      </c>
      <c r="AN96" s="10" t="inlineStr">
        <is>
          <t>柴田</t>
        </is>
      </c>
      <c r="AO96" s="10" t="inlineStr">
        <is>
          <t>安村</t>
        </is>
      </c>
      <c r="AP96" s="10" t="inlineStr">
        <is>
          <t>植山</t>
        </is>
      </c>
    </row>
    <row r="97" ht="15" customHeight="1" s="37">
      <c r="A97" t="inlineStr">
        <is>
          <t>2026-08-08</t>
        </is>
      </c>
      <c r="B97" s="10" t="inlineStr">
        <is>
          <t>土</t>
        </is>
      </c>
      <c r="C97" s="10" t="inlineStr">
        <is>
          <t>休日</t>
        </is>
      </c>
      <c r="E97" s="10" t="inlineStr">
        <is>
          <t>中山</t>
        </is>
      </c>
      <c r="F97" s="10" t="inlineStr">
        <is>
          <t>門谷</t>
        </is>
      </c>
      <c r="G97" s="10" t="inlineStr">
        <is>
          <t>富島</t>
        </is>
      </c>
      <c r="H97" s="10" t="inlineStr">
        <is>
          <t>山田真</t>
        </is>
      </c>
      <c r="I97" s="10" t="inlineStr">
        <is>
          <t>柴田</t>
        </is>
      </c>
      <c r="J97" s="10" t="inlineStr">
        <is>
          <t>山本幸</t>
        </is>
      </c>
      <c r="K97" s="10" t="inlineStr">
        <is>
          <t>馬場</t>
        </is>
      </c>
      <c r="L97" s="10" t="inlineStr">
        <is>
          <t>井川</t>
        </is>
      </c>
      <c r="M97" s="10" t="inlineStr">
        <is>
          <t>山田久</t>
        </is>
      </c>
      <c r="N97" s="10" t="inlineStr">
        <is>
          <t>上田</t>
        </is>
      </c>
      <c r="O97" s="10" t="inlineStr">
        <is>
          <t>市田</t>
        </is>
      </c>
      <c r="P97" s="10" t="inlineStr">
        <is>
          <t>内野</t>
        </is>
      </c>
      <c r="Q97" s="10" t="inlineStr">
        <is>
          <t>田中</t>
        </is>
      </c>
      <c r="R97" s="10" t="inlineStr">
        <is>
          <t>原</t>
        </is>
      </c>
      <c r="S97" s="10" t="inlineStr">
        <is>
          <t>欠員②</t>
        </is>
      </c>
      <c r="T97" s="10" t="inlineStr">
        <is>
          <t>横山</t>
        </is>
      </c>
      <c r="U97" s="10" t="inlineStr">
        <is>
          <t>植山</t>
        </is>
      </c>
      <c r="V97" s="10" t="inlineStr">
        <is>
          <t>中嶌</t>
        </is>
      </c>
      <c r="W97" s="10" t="inlineStr">
        <is>
          <t>欠員①</t>
        </is>
      </c>
      <c r="X97" s="10" t="inlineStr">
        <is>
          <t>谷川</t>
        </is>
      </c>
      <c r="Y97" s="10" t="inlineStr">
        <is>
          <t>佐野</t>
        </is>
      </c>
      <c r="Z97" s="10" t="inlineStr">
        <is>
          <t>栗下</t>
        </is>
      </c>
      <c r="AA97" s="10" t="inlineStr">
        <is>
          <t>横田</t>
        </is>
      </c>
      <c r="AB97" s="10" t="inlineStr">
        <is>
          <t>西村</t>
        </is>
      </c>
      <c r="AC97" s="10" t="inlineStr">
        <is>
          <t>安村</t>
        </is>
      </c>
      <c r="AD97" s="10" t="inlineStr">
        <is>
          <t>河野</t>
        </is>
      </c>
      <c r="AE97" s="10" t="inlineStr">
        <is>
          <t>山本高</t>
        </is>
      </c>
      <c r="AF97" s="10" t="inlineStr">
        <is>
          <t>尾川</t>
        </is>
      </c>
      <c r="AG97" s="10" t="inlineStr">
        <is>
          <t>岩田</t>
        </is>
      </c>
      <c r="AH97" s="10" t="inlineStr">
        <is>
          <t>大川内</t>
        </is>
      </c>
      <c r="AI97" s="10" t="inlineStr">
        <is>
          <t>岡本</t>
        </is>
      </c>
      <c r="AJ97" s="10" t="inlineStr">
        <is>
          <t>上野</t>
        </is>
      </c>
      <c r="AK97" s="10" t="inlineStr">
        <is>
          <t>中村</t>
        </is>
      </c>
      <c r="AL97" s="10" t="inlineStr">
        <is>
          <t>矢田</t>
        </is>
      </c>
      <c r="AM97" s="10" t="inlineStr">
        <is>
          <t>北川</t>
        </is>
      </c>
      <c r="AN97" s="10" t="inlineStr">
        <is>
          <t>藤原</t>
        </is>
      </c>
      <c r="AO97" s="10" t="inlineStr">
        <is>
          <t>丸田</t>
        </is>
      </c>
      <c r="AP97" s="10" t="inlineStr">
        <is>
          <t>野口</t>
        </is>
      </c>
    </row>
    <row r="98" ht="15" customHeight="1" s="37">
      <c r="A98" t="inlineStr">
        <is>
          <t>2026-08-09</t>
        </is>
      </c>
      <c r="B98" s="10" t="inlineStr">
        <is>
          <t>日</t>
        </is>
      </c>
      <c r="C98" s="10" t="inlineStr">
        <is>
          <t>休日</t>
        </is>
      </c>
      <c r="E98" s="10" t="inlineStr">
        <is>
          <t>欠員②</t>
        </is>
      </c>
      <c r="F98" s="10" t="inlineStr">
        <is>
          <t>山田久</t>
        </is>
      </c>
      <c r="G98" s="10" t="inlineStr">
        <is>
          <t>中嶌</t>
        </is>
      </c>
      <c r="H98" s="10" t="inlineStr">
        <is>
          <t>市田</t>
        </is>
      </c>
      <c r="I98" s="10" t="inlineStr">
        <is>
          <t>藤原</t>
        </is>
      </c>
      <c r="J98" s="10" t="inlineStr">
        <is>
          <t>欠員①</t>
        </is>
      </c>
      <c r="K98" s="10" t="inlineStr">
        <is>
          <t>尾川</t>
        </is>
      </c>
      <c r="L98" s="10" t="inlineStr">
        <is>
          <t>内野</t>
        </is>
      </c>
      <c r="M98" s="10" t="inlineStr">
        <is>
          <t>安村</t>
        </is>
      </c>
      <c r="N98" s="10" t="inlineStr">
        <is>
          <t>原</t>
        </is>
      </c>
      <c r="O98" s="10" t="inlineStr">
        <is>
          <t>谷川</t>
        </is>
      </c>
      <c r="P98" s="10" t="inlineStr">
        <is>
          <t>中村</t>
        </is>
      </c>
      <c r="Q98" s="10" t="inlineStr">
        <is>
          <t>井川</t>
        </is>
      </c>
      <c r="R98" s="10" t="inlineStr">
        <is>
          <t>横田</t>
        </is>
      </c>
      <c r="S98" s="10" t="inlineStr">
        <is>
          <t>矢田</t>
        </is>
      </c>
      <c r="T98" s="10" t="inlineStr">
        <is>
          <t>植山</t>
        </is>
      </c>
      <c r="U98" s="10" t="inlineStr">
        <is>
          <t>野口</t>
        </is>
      </c>
      <c r="V98" s="10" t="inlineStr">
        <is>
          <t>大川内</t>
        </is>
      </c>
      <c r="W98" s="10" t="inlineStr">
        <is>
          <t>山本高</t>
        </is>
      </c>
      <c r="X98" s="10" t="inlineStr">
        <is>
          <t>馬場</t>
        </is>
      </c>
      <c r="Y98" s="10" t="inlineStr">
        <is>
          <t>上野</t>
        </is>
      </c>
      <c r="Z98" s="10" t="inlineStr">
        <is>
          <t>西村</t>
        </is>
      </c>
      <c r="AA98" s="10" t="inlineStr">
        <is>
          <t>北川</t>
        </is>
      </c>
      <c r="AB98" s="10" t="inlineStr">
        <is>
          <t>山本幸</t>
        </is>
      </c>
      <c r="AC98" s="10" t="inlineStr">
        <is>
          <t>丸田</t>
        </is>
      </c>
      <c r="AD98" s="10" t="inlineStr">
        <is>
          <t>富島</t>
        </is>
      </c>
      <c r="AE98" s="10" t="inlineStr">
        <is>
          <t>山田真</t>
        </is>
      </c>
      <c r="AF98" s="10" t="inlineStr">
        <is>
          <t>門谷</t>
        </is>
      </c>
      <c r="AG98" s="10" t="inlineStr">
        <is>
          <t>上田</t>
        </is>
      </c>
      <c r="AH98" s="10" t="inlineStr">
        <is>
          <t>田中</t>
        </is>
      </c>
      <c r="AI98" s="10" t="inlineStr">
        <is>
          <t>横山</t>
        </is>
      </c>
      <c r="AJ98" s="10" t="inlineStr">
        <is>
          <t>柴田</t>
        </is>
      </c>
      <c r="AK98" s="10" t="inlineStr">
        <is>
          <t>岡本</t>
        </is>
      </c>
      <c r="AL98" s="10" t="inlineStr">
        <is>
          <t>佐野</t>
        </is>
      </c>
      <c r="AM98" s="10" t="inlineStr">
        <is>
          <t>河野</t>
        </is>
      </c>
      <c r="AN98" s="10" t="inlineStr">
        <is>
          <t>岩田</t>
        </is>
      </c>
      <c r="AO98" s="10" t="inlineStr">
        <is>
          <t>中山</t>
        </is>
      </c>
      <c r="AP98" s="10" t="inlineStr">
        <is>
          <t>栗下</t>
        </is>
      </c>
    </row>
    <row r="99" ht="15" customHeight="1" s="37">
      <c r="A99" t="inlineStr">
        <is>
          <t>2026-08-10</t>
        </is>
      </c>
      <c r="B99" s="10" t="inlineStr">
        <is>
          <t>月</t>
        </is>
      </c>
      <c r="C99" s="10" t="inlineStr">
        <is>
          <t>平日</t>
        </is>
      </c>
      <c r="E99" s="10" t="inlineStr">
        <is>
          <t>矢田</t>
        </is>
      </c>
      <c r="F99" s="10" t="inlineStr">
        <is>
          <t>安村</t>
        </is>
      </c>
      <c r="G99" s="10" t="inlineStr">
        <is>
          <t>大川内</t>
        </is>
      </c>
      <c r="H99" s="10" t="inlineStr">
        <is>
          <t>谷川</t>
        </is>
      </c>
      <c r="I99" s="10" t="inlineStr">
        <is>
          <t>岩田</t>
        </is>
      </c>
      <c r="J99" s="10" t="inlineStr">
        <is>
          <t>山本高</t>
        </is>
      </c>
      <c r="K99" s="10" t="inlineStr">
        <is>
          <t>門谷</t>
        </is>
      </c>
      <c r="L99" s="10" t="inlineStr">
        <is>
          <t>中村</t>
        </is>
      </c>
      <c r="M99" s="10" t="inlineStr">
        <is>
          <t>丸田</t>
        </is>
      </c>
      <c r="N99" s="10" t="inlineStr">
        <is>
          <t>横田</t>
        </is>
      </c>
      <c r="O99" s="10" t="inlineStr">
        <is>
          <t>馬場</t>
        </is>
      </c>
      <c r="P99" s="10" t="inlineStr">
        <is>
          <t>岡本</t>
        </is>
      </c>
      <c r="Q99" s="10" t="inlineStr">
        <is>
          <t>内野</t>
        </is>
      </c>
      <c r="R99" s="10" t="inlineStr">
        <is>
          <t>北川</t>
        </is>
      </c>
      <c r="S99" s="10" t="inlineStr">
        <is>
          <t>佐野</t>
        </is>
      </c>
      <c r="T99" s="10" t="inlineStr">
        <is>
          <t>野口</t>
        </is>
      </c>
      <c r="U99" s="10" t="inlineStr">
        <is>
          <t>栗下</t>
        </is>
      </c>
      <c r="V99" s="10" t="inlineStr">
        <is>
          <t>田中</t>
        </is>
      </c>
      <c r="W99" s="10" t="inlineStr">
        <is>
          <t>山田真</t>
        </is>
      </c>
      <c r="X99" s="10" t="inlineStr">
        <is>
          <t>尾川</t>
        </is>
      </c>
      <c r="Y99" s="10" t="inlineStr">
        <is>
          <t>柴田</t>
        </is>
      </c>
      <c r="Z99" s="10" t="inlineStr">
        <is>
          <t>山本幸</t>
        </is>
      </c>
      <c r="AA99" s="10" t="inlineStr">
        <is>
          <t>河野</t>
        </is>
      </c>
      <c r="AB99" s="10" t="inlineStr">
        <is>
          <t>欠員①</t>
        </is>
      </c>
      <c r="AC99" s="10" t="inlineStr">
        <is>
          <t>中山</t>
        </is>
      </c>
      <c r="AD99" s="10" t="inlineStr">
        <is>
          <t>中嶌</t>
        </is>
      </c>
      <c r="AE99" s="10" t="inlineStr">
        <is>
          <t>市田</t>
        </is>
      </c>
      <c r="AF99" s="10" t="inlineStr">
        <is>
          <t>山田久</t>
        </is>
      </c>
      <c r="AG99" s="10" t="inlineStr">
        <is>
          <t>原</t>
        </is>
      </c>
      <c r="AH99" s="10" t="inlineStr">
        <is>
          <t>井川</t>
        </is>
      </c>
      <c r="AI99" s="10" t="inlineStr">
        <is>
          <t>植山</t>
        </is>
      </c>
      <c r="AJ99" s="10" t="inlineStr">
        <is>
          <t>藤原</t>
        </is>
      </c>
      <c r="AK99" s="10" t="inlineStr">
        <is>
          <t>横山</t>
        </is>
      </c>
      <c r="AL99" s="10" t="inlineStr">
        <is>
          <t>上野</t>
        </is>
      </c>
      <c r="AM99" s="10" t="inlineStr">
        <is>
          <t>富島</t>
        </is>
      </c>
      <c r="AN99" s="10" t="inlineStr">
        <is>
          <t>上田</t>
        </is>
      </c>
      <c r="AO99" s="10" t="inlineStr">
        <is>
          <t>欠員②</t>
        </is>
      </c>
      <c r="AP99" s="10" t="inlineStr">
        <is>
          <t>西村</t>
        </is>
      </c>
    </row>
    <row r="100" ht="15" customHeight="1" s="37">
      <c r="A100" t="inlineStr">
        <is>
          <t>2026-08-11</t>
        </is>
      </c>
      <c r="B100" s="10" t="inlineStr">
        <is>
          <t>火</t>
        </is>
      </c>
      <c r="C100" s="10" t="inlineStr">
        <is>
          <t>休日</t>
        </is>
      </c>
      <c r="D100" s="10" t="inlineStr">
        <is>
          <t>山の日</t>
        </is>
      </c>
      <c r="E100" s="10" t="inlineStr">
        <is>
          <t>佐野</t>
        </is>
      </c>
      <c r="F100" s="10" t="inlineStr">
        <is>
          <t>丸田</t>
        </is>
      </c>
      <c r="G100" s="10" t="inlineStr">
        <is>
          <t>田中</t>
        </is>
      </c>
      <c r="H100" s="10" t="inlineStr">
        <is>
          <t>馬場</t>
        </is>
      </c>
      <c r="I100" s="10" t="inlineStr">
        <is>
          <t>上田</t>
        </is>
      </c>
      <c r="J100" s="10" t="inlineStr">
        <is>
          <t>山田真</t>
        </is>
      </c>
      <c r="K100" s="10" t="inlineStr">
        <is>
          <t>山田久</t>
        </is>
      </c>
      <c r="L100" s="10" t="inlineStr">
        <is>
          <t>岡本</t>
        </is>
      </c>
      <c r="M100" s="10" t="inlineStr">
        <is>
          <t>中山</t>
        </is>
      </c>
      <c r="N100" s="10" t="inlineStr">
        <is>
          <t>北川</t>
        </is>
      </c>
      <c r="O100" s="10" t="inlineStr">
        <is>
          <t>尾川</t>
        </is>
      </c>
      <c r="P100" s="10" t="inlineStr">
        <is>
          <t>横山</t>
        </is>
      </c>
      <c r="Q100" s="10" t="inlineStr">
        <is>
          <t>中村</t>
        </is>
      </c>
      <c r="R100" s="10" t="inlineStr">
        <is>
          <t>河野</t>
        </is>
      </c>
      <c r="S100" s="10" t="inlineStr">
        <is>
          <t>上野</t>
        </is>
      </c>
      <c r="T100" s="10" t="inlineStr">
        <is>
          <t>栗下</t>
        </is>
      </c>
      <c r="U100" s="10" t="inlineStr">
        <is>
          <t>西村</t>
        </is>
      </c>
      <c r="V100" s="10" t="inlineStr">
        <is>
          <t>井川</t>
        </is>
      </c>
      <c r="W100" s="10" t="inlineStr">
        <is>
          <t>市田</t>
        </is>
      </c>
      <c r="X100" s="10" t="inlineStr">
        <is>
          <t>門谷</t>
        </is>
      </c>
      <c r="Y100" s="10" t="inlineStr">
        <is>
          <t>藤原</t>
        </is>
      </c>
      <c r="Z100" s="10" t="inlineStr">
        <is>
          <t>欠員①</t>
        </is>
      </c>
      <c r="AA100" s="10" t="inlineStr">
        <is>
          <t>富島</t>
        </is>
      </c>
      <c r="AB100" s="10" t="inlineStr">
        <is>
          <t>山本高</t>
        </is>
      </c>
      <c r="AC100" s="10" t="inlineStr">
        <is>
          <t>欠員②</t>
        </is>
      </c>
      <c r="AD100" s="10" t="inlineStr">
        <is>
          <t>大川内</t>
        </is>
      </c>
      <c r="AE100" s="10" t="inlineStr">
        <is>
          <t>谷川</t>
        </is>
      </c>
      <c r="AF100" s="10" t="inlineStr">
        <is>
          <t>安村</t>
        </is>
      </c>
      <c r="AG100" s="10" t="inlineStr">
        <is>
          <t>横田</t>
        </is>
      </c>
      <c r="AH100" s="10" t="inlineStr">
        <is>
          <t>内野</t>
        </is>
      </c>
      <c r="AI100" s="10" t="inlineStr">
        <is>
          <t>野口</t>
        </is>
      </c>
      <c r="AJ100" s="10" t="inlineStr">
        <is>
          <t>岩田</t>
        </is>
      </c>
      <c r="AK100" s="10" t="inlineStr">
        <is>
          <t>植山</t>
        </is>
      </c>
      <c r="AL100" s="10" t="inlineStr">
        <is>
          <t>柴田</t>
        </is>
      </c>
      <c r="AM100" s="10" t="inlineStr">
        <is>
          <t>中嶌</t>
        </is>
      </c>
      <c r="AN100" s="10" t="inlineStr">
        <is>
          <t>原</t>
        </is>
      </c>
      <c r="AO100" s="10" t="inlineStr">
        <is>
          <t>矢田</t>
        </is>
      </c>
      <c r="AP100" s="10" t="inlineStr">
        <is>
          <t>山本幸</t>
        </is>
      </c>
    </row>
    <row r="101" ht="15" customHeight="1" s="37">
      <c r="A101" t="inlineStr">
        <is>
          <t>2026-08-12</t>
        </is>
      </c>
      <c r="B101" s="10" t="inlineStr">
        <is>
          <t>水</t>
        </is>
      </c>
      <c r="C101" s="10" t="inlineStr">
        <is>
          <t>平日</t>
        </is>
      </c>
      <c r="E101" s="10" t="inlineStr">
        <is>
          <t>上野</t>
        </is>
      </c>
      <c r="F101" s="10" t="inlineStr">
        <is>
          <t>中山</t>
        </is>
      </c>
      <c r="G101" s="10" t="inlineStr">
        <is>
          <t>井川</t>
        </is>
      </c>
      <c r="H101" s="10" t="inlineStr">
        <is>
          <t>尾川</t>
        </is>
      </c>
      <c r="I101" s="10" t="inlineStr">
        <is>
          <t>原</t>
        </is>
      </c>
      <c r="J101" s="10" t="inlineStr">
        <is>
          <t>市田</t>
        </is>
      </c>
      <c r="K101" s="10" t="inlineStr">
        <is>
          <t>安村</t>
        </is>
      </c>
      <c r="L101" s="10" t="inlineStr">
        <is>
          <t>横山</t>
        </is>
      </c>
      <c r="M101" s="10" t="inlineStr">
        <is>
          <t>欠員②</t>
        </is>
      </c>
      <c r="N101" s="10" t="inlineStr">
        <is>
          <t>河野</t>
        </is>
      </c>
      <c r="O101" s="10" t="inlineStr">
        <is>
          <t>門谷</t>
        </is>
      </c>
      <c r="P101" s="10" t="inlineStr">
        <is>
          <t>植山</t>
        </is>
      </c>
      <c r="Q101" s="10" t="inlineStr">
        <is>
          <t>岡本</t>
        </is>
      </c>
      <c r="R101" s="10" t="inlineStr">
        <is>
          <t>富島</t>
        </is>
      </c>
      <c r="S101" s="10" t="inlineStr">
        <is>
          <t>柴田</t>
        </is>
      </c>
      <c r="T101" s="10" t="inlineStr">
        <is>
          <t>西村</t>
        </is>
      </c>
      <c r="U101" s="10" t="inlineStr">
        <is>
          <t>山本幸</t>
        </is>
      </c>
      <c r="V101" s="10" t="inlineStr">
        <is>
          <t>内野</t>
        </is>
      </c>
      <c r="W101" s="10" t="inlineStr">
        <is>
          <t>谷川</t>
        </is>
      </c>
      <c r="X101" s="10" t="inlineStr">
        <is>
          <t>山田久</t>
        </is>
      </c>
      <c r="Y101" s="10" t="inlineStr">
        <is>
          <t>岩田</t>
        </is>
      </c>
      <c r="Z101" s="10" t="inlineStr">
        <is>
          <t>山本高</t>
        </is>
      </c>
      <c r="AA101" s="10" t="inlineStr">
        <is>
          <t>中嶌</t>
        </is>
      </c>
      <c r="AB101" s="10" t="inlineStr">
        <is>
          <t>山田真</t>
        </is>
      </c>
      <c r="AC101" s="10" t="inlineStr">
        <is>
          <t>矢田</t>
        </is>
      </c>
      <c r="AD101" s="10" t="inlineStr">
        <is>
          <t>田中</t>
        </is>
      </c>
      <c r="AE101" s="10" t="inlineStr">
        <is>
          <t>馬場</t>
        </is>
      </c>
      <c r="AF101" s="10" t="inlineStr">
        <is>
          <t>丸田</t>
        </is>
      </c>
      <c r="AG101" s="10" t="inlineStr">
        <is>
          <t>北川</t>
        </is>
      </c>
      <c r="AH101" s="10" t="inlineStr">
        <is>
          <t>中村</t>
        </is>
      </c>
      <c r="AI101" s="10" t="inlineStr">
        <is>
          <t>栗下</t>
        </is>
      </c>
      <c r="AJ101" s="10" t="inlineStr">
        <is>
          <t>上田</t>
        </is>
      </c>
      <c r="AK101" s="10" t="inlineStr">
        <is>
          <t>野口</t>
        </is>
      </c>
      <c r="AL101" s="10" t="inlineStr">
        <is>
          <t>藤原</t>
        </is>
      </c>
      <c r="AM101" s="10" t="inlineStr">
        <is>
          <t>大川内</t>
        </is>
      </c>
      <c r="AN101" s="10" t="inlineStr">
        <is>
          <t>横田</t>
        </is>
      </c>
      <c r="AO101" s="10" t="inlineStr">
        <is>
          <t>佐野</t>
        </is>
      </c>
      <c r="AP101" s="10" t="inlineStr">
        <is>
          <t>欠員①</t>
        </is>
      </c>
    </row>
    <row r="102" ht="15" customHeight="1" s="37">
      <c r="A102" t="inlineStr">
        <is>
          <t>2026-08-13</t>
        </is>
      </c>
      <c r="B102" s="10" t="inlineStr">
        <is>
          <t>木</t>
        </is>
      </c>
      <c r="C102" s="10" t="inlineStr">
        <is>
          <t>平日</t>
        </is>
      </c>
      <c r="E102" s="10" t="inlineStr">
        <is>
          <t>柴田</t>
        </is>
      </c>
      <c r="F102" s="10" t="inlineStr">
        <is>
          <t>欠員②</t>
        </is>
      </c>
      <c r="G102" s="10" t="inlineStr">
        <is>
          <t>内野</t>
        </is>
      </c>
      <c r="H102" s="10" t="inlineStr">
        <is>
          <t>門谷</t>
        </is>
      </c>
      <c r="I102" s="10" t="inlineStr">
        <is>
          <t>横田</t>
        </is>
      </c>
      <c r="J102" s="10" t="inlineStr">
        <is>
          <t>谷川</t>
        </is>
      </c>
      <c r="K102" s="10" t="inlineStr">
        <is>
          <t>丸田</t>
        </is>
      </c>
      <c r="L102" s="10" t="inlineStr">
        <is>
          <t>植山</t>
        </is>
      </c>
      <c r="M102" s="10" t="inlineStr">
        <is>
          <t>矢田</t>
        </is>
      </c>
      <c r="N102" s="10" t="inlineStr">
        <is>
          <t>富島</t>
        </is>
      </c>
      <c r="O102" s="10" t="inlineStr">
        <is>
          <t>山田久</t>
        </is>
      </c>
      <c r="P102" s="10" t="inlineStr">
        <is>
          <t>野口</t>
        </is>
      </c>
      <c r="Q102" s="10" t="inlineStr">
        <is>
          <t>横山</t>
        </is>
      </c>
      <c r="R102" s="10" t="inlineStr">
        <is>
          <t>中嶌</t>
        </is>
      </c>
      <c r="S102" s="10" t="inlineStr">
        <is>
          <t>藤原</t>
        </is>
      </c>
      <c r="T102" s="10" t="inlineStr">
        <is>
          <t>山本幸</t>
        </is>
      </c>
      <c r="U102" s="10" t="inlineStr">
        <is>
          <t>欠員①</t>
        </is>
      </c>
      <c r="V102" s="10" t="inlineStr">
        <is>
          <t>中村</t>
        </is>
      </c>
      <c r="W102" s="10" t="inlineStr">
        <is>
          <t>馬場</t>
        </is>
      </c>
      <c r="X102" s="10" t="inlineStr">
        <is>
          <t>安村</t>
        </is>
      </c>
      <c r="Y102" s="10" t="inlineStr">
        <is>
          <t>上田</t>
        </is>
      </c>
      <c r="Z102" s="10" t="inlineStr">
        <is>
          <t>山田真</t>
        </is>
      </c>
      <c r="AA102" s="10" t="inlineStr">
        <is>
          <t>大川内</t>
        </is>
      </c>
      <c r="AB102" s="10" t="inlineStr">
        <is>
          <t>市田</t>
        </is>
      </c>
      <c r="AC102" s="10" t="inlineStr">
        <is>
          <t>佐野</t>
        </is>
      </c>
      <c r="AD102" s="10" t="inlineStr">
        <is>
          <t>井川</t>
        </is>
      </c>
      <c r="AE102" s="10" t="inlineStr">
        <is>
          <t>尾川</t>
        </is>
      </c>
      <c r="AF102" s="10" t="inlineStr">
        <is>
          <t>中山</t>
        </is>
      </c>
      <c r="AG102" s="10" t="inlineStr">
        <is>
          <t>河野</t>
        </is>
      </c>
      <c r="AH102" s="10" t="inlineStr">
        <is>
          <t>岡本</t>
        </is>
      </c>
      <c r="AI102" s="10" t="inlineStr">
        <is>
          <t>西村</t>
        </is>
      </c>
      <c r="AJ102" s="10" t="inlineStr">
        <is>
          <t>原</t>
        </is>
      </c>
      <c r="AK102" s="10" t="inlineStr">
        <is>
          <t>栗下</t>
        </is>
      </c>
      <c r="AL102" s="10" t="inlineStr">
        <is>
          <t>岩田</t>
        </is>
      </c>
      <c r="AM102" s="10" t="inlineStr">
        <is>
          <t>田中</t>
        </is>
      </c>
      <c r="AN102" s="10" t="inlineStr">
        <is>
          <t>北川</t>
        </is>
      </c>
      <c r="AO102" s="10" t="inlineStr">
        <is>
          <t>上野</t>
        </is>
      </c>
      <c r="AP102" s="10" t="inlineStr">
        <is>
          <t>山本高</t>
        </is>
      </c>
    </row>
    <row r="103" ht="15" customHeight="1" s="37">
      <c r="A103" t="inlineStr">
        <is>
          <t>2026-08-14</t>
        </is>
      </c>
      <c r="B103" s="10" t="inlineStr">
        <is>
          <t>金</t>
        </is>
      </c>
      <c r="C103" s="10" t="inlineStr">
        <is>
          <t>平日</t>
        </is>
      </c>
      <c r="E103" s="10" t="inlineStr">
        <is>
          <t>藤原</t>
        </is>
      </c>
      <c r="F103" s="10" t="inlineStr">
        <is>
          <t>矢田</t>
        </is>
      </c>
      <c r="G103" s="10" t="inlineStr">
        <is>
          <t>中村</t>
        </is>
      </c>
      <c r="H103" s="10" t="inlineStr">
        <is>
          <t>山田久</t>
        </is>
      </c>
      <c r="I103" s="10" t="inlineStr">
        <is>
          <t>北川</t>
        </is>
      </c>
      <c r="J103" s="10" t="inlineStr">
        <is>
          <t>馬場</t>
        </is>
      </c>
      <c r="K103" s="10" t="inlineStr">
        <is>
          <t>中山</t>
        </is>
      </c>
      <c r="L103" s="10" t="inlineStr">
        <is>
          <t>野口</t>
        </is>
      </c>
      <c r="M103" s="10" t="inlineStr">
        <is>
          <t>佐野</t>
        </is>
      </c>
      <c r="N103" s="10" t="inlineStr">
        <is>
          <t>中嶌</t>
        </is>
      </c>
      <c r="O103" s="10" t="inlineStr">
        <is>
          <t>安村</t>
        </is>
      </c>
      <c r="P103" s="10" t="inlineStr">
        <is>
          <t>栗下</t>
        </is>
      </c>
      <c r="Q103" s="10" t="inlineStr">
        <is>
          <t>植山</t>
        </is>
      </c>
      <c r="R103" s="10" t="inlineStr">
        <is>
          <t>大川内</t>
        </is>
      </c>
      <c r="S103" s="10" t="inlineStr">
        <is>
          <t>岩田</t>
        </is>
      </c>
      <c r="T103" s="10" t="inlineStr">
        <is>
          <t>欠員①</t>
        </is>
      </c>
      <c r="U103" s="10" t="inlineStr">
        <is>
          <t>山本高</t>
        </is>
      </c>
      <c r="V103" s="10" t="inlineStr">
        <is>
          <t>岡本</t>
        </is>
      </c>
      <c r="W103" s="10" t="inlineStr">
        <is>
          <t>尾川</t>
        </is>
      </c>
      <c r="X103" s="10" t="inlineStr">
        <is>
          <t>丸田</t>
        </is>
      </c>
      <c r="Y103" s="10" t="inlineStr">
        <is>
          <t>原</t>
        </is>
      </c>
      <c r="Z103" s="10" t="inlineStr">
        <is>
          <t>市田</t>
        </is>
      </c>
      <c r="AA103" s="10" t="inlineStr">
        <is>
          <t>田中</t>
        </is>
      </c>
      <c r="AB103" s="10" t="inlineStr">
        <is>
          <t>谷川</t>
        </is>
      </c>
      <c r="AC103" s="10" t="inlineStr">
        <is>
          <t>上野</t>
        </is>
      </c>
      <c r="AD103" s="10" t="inlineStr">
        <is>
          <t>内野</t>
        </is>
      </c>
      <c r="AE103" s="10" t="inlineStr">
        <is>
          <t>門谷</t>
        </is>
      </c>
      <c r="AF103" s="10" t="inlineStr">
        <is>
          <t>欠員②</t>
        </is>
      </c>
      <c r="AG103" s="10" t="inlineStr">
        <is>
          <t>富島</t>
        </is>
      </c>
      <c r="AH103" s="10" t="inlineStr">
        <is>
          <t>横山</t>
        </is>
      </c>
      <c r="AI103" s="10" t="inlineStr">
        <is>
          <t>山本幸</t>
        </is>
      </c>
      <c r="AJ103" s="10" t="inlineStr">
        <is>
          <t>横田</t>
        </is>
      </c>
      <c r="AK103" s="10" t="inlineStr">
        <is>
          <t>西村</t>
        </is>
      </c>
      <c r="AL103" s="10" t="inlineStr">
        <is>
          <t>上田</t>
        </is>
      </c>
      <c r="AM103" s="10" t="inlineStr">
        <is>
          <t>井川</t>
        </is>
      </c>
      <c r="AN103" s="10" t="inlineStr">
        <is>
          <t>河野</t>
        </is>
      </c>
      <c r="AO103" s="10" t="inlineStr">
        <is>
          <t>柴田</t>
        </is>
      </c>
      <c r="AP103" s="10" t="inlineStr">
        <is>
          <t>山田真</t>
        </is>
      </c>
    </row>
    <row r="104" ht="15" customHeight="1" s="37">
      <c r="A104" t="inlineStr">
        <is>
          <t>2026-08-15</t>
        </is>
      </c>
      <c r="B104" s="10" t="inlineStr">
        <is>
          <t>土</t>
        </is>
      </c>
      <c r="C104" s="10" t="inlineStr">
        <is>
          <t>休日</t>
        </is>
      </c>
      <c r="E104" s="10" t="inlineStr">
        <is>
          <t>岩田</t>
        </is>
      </c>
      <c r="F104" s="10" t="inlineStr">
        <is>
          <t>佐野</t>
        </is>
      </c>
      <c r="G104" s="10" t="inlineStr">
        <is>
          <t>岡本</t>
        </is>
      </c>
      <c r="H104" s="10" t="inlineStr">
        <is>
          <t>安村</t>
        </is>
      </c>
      <c r="I104" s="10" t="inlineStr">
        <is>
          <t>河野</t>
        </is>
      </c>
      <c r="J104" s="10" t="inlineStr">
        <is>
          <t>尾川</t>
        </is>
      </c>
      <c r="K104" s="10" t="inlineStr">
        <is>
          <t>欠員②</t>
        </is>
      </c>
      <c r="L104" s="10" t="inlineStr">
        <is>
          <t>栗下</t>
        </is>
      </c>
      <c r="M104" s="10" t="inlineStr">
        <is>
          <t>上野</t>
        </is>
      </c>
      <c r="N104" s="10" t="inlineStr">
        <is>
          <t>大川内</t>
        </is>
      </c>
      <c r="O104" s="10" t="inlineStr">
        <is>
          <t>丸田</t>
        </is>
      </c>
      <c r="P104" s="10" t="inlineStr">
        <is>
          <t>西村</t>
        </is>
      </c>
      <c r="Q104" s="10" t="inlineStr">
        <is>
          <t>野口</t>
        </is>
      </c>
      <c r="R104" s="10" t="inlineStr">
        <is>
          <t>田中</t>
        </is>
      </c>
      <c r="S104" s="10" t="inlineStr">
        <is>
          <t>上田</t>
        </is>
      </c>
      <c r="T104" s="10" t="inlineStr">
        <is>
          <t>山本高</t>
        </is>
      </c>
      <c r="U104" s="10" t="inlineStr">
        <is>
          <t>山田真</t>
        </is>
      </c>
      <c r="V104" s="10" t="inlineStr">
        <is>
          <t>横山</t>
        </is>
      </c>
      <c r="W104" s="10" t="inlineStr">
        <is>
          <t>門谷</t>
        </is>
      </c>
      <c r="X104" s="10" t="inlineStr">
        <is>
          <t>中山</t>
        </is>
      </c>
      <c r="Y104" s="10" t="inlineStr">
        <is>
          <t>横田</t>
        </is>
      </c>
      <c r="Z104" s="10" t="inlineStr">
        <is>
          <t>谷川</t>
        </is>
      </c>
      <c r="AA104" s="10" t="inlineStr">
        <is>
          <t>井川</t>
        </is>
      </c>
      <c r="AB104" s="10" t="inlineStr">
        <is>
          <t>馬場</t>
        </is>
      </c>
      <c r="AC104" s="10" t="inlineStr">
        <is>
          <t>柴田</t>
        </is>
      </c>
      <c r="AD104" s="10" t="inlineStr">
        <is>
          <t>中村</t>
        </is>
      </c>
      <c r="AE104" s="10" t="inlineStr">
        <is>
          <t>山田久</t>
        </is>
      </c>
      <c r="AF104" s="10" t="inlineStr">
        <is>
          <t>矢田</t>
        </is>
      </c>
      <c r="AG104" s="10" t="inlineStr">
        <is>
          <t>中嶌</t>
        </is>
      </c>
      <c r="AH104" s="10" t="inlineStr">
        <is>
          <t>植山</t>
        </is>
      </c>
      <c r="AI104" s="10" t="inlineStr">
        <is>
          <t>欠員①</t>
        </is>
      </c>
      <c r="AJ104" s="10" t="inlineStr">
        <is>
          <t>北川</t>
        </is>
      </c>
      <c r="AK104" s="10" t="inlineStr">
        <is>
          <t>山本幸</t>
        </is>
      </c>
      <c r="AL104" s="10" t="inlineStr">
        <is>
          <t>原</t>
        </is>
      </c>
      <c r="AM104" s="10" t="inlineStr">
        <is>
          <t>内野</t>
        </is>
      </c>
      <c r="AN104" s="10" t="inlineStr">
        <is>
          <t>富島</t>
        </is>
      </c>
      <c r="AO104" s="10" t="inlineStr">
        <is>
          <t>藤原</t>
        </is>
      </c>
      <c r="AP104" s="10" t="inlineStr">
        <is>
          <t>市田</t>
        </is>
      </c>
    </row>
    <row r="105" ht="15" customHeight="1" s="37">
      <c r="A105" t="inlineStr">
        <is>
          <t>2026-08-16</t>
        </is>
      </c>
      <c r="B105" s="10" t="inlineStr">
        <is>
          <t>日</t>
        </is>
      </c>
      <c r="C105" s="10" t="inlineStr">
        <is>
          <t>休日</t>
        </is>
      </c>
      <c r="E105" s="10" t="inlineStr">
        <is>
          <t>上田</t>
        </is>
      </c>
      <c r="F105" s="10" t="inlineStr">
        <is>
          <t>上野</t>
        </is>
      </c>
      <c r="G105" s="10" t="inlineStr">
        <is>
          <t>横山</t>
        </is>
      </c>
      <c r="H105" s="10" t="inlineStr">
        <is>
          <t>丸田</t>
        </is>
      </c>
      <c r="I105" s="10" t="inlineStr">
        <is>
          <t>富島</t>
        </is>
      </c>
      <c r="J105" s="10" t="inlineStr">
        <is>
          <t>門谷</t>
        </is>
      </c>
      <c r="K105" s="10" t="inlineStr">
        <is>
          <t>矢田</t>
        </is>
      </c>
      <c r="L105" s="10" t="inlineStr">
        <is>
          <t>西村</t>
        </is>
      </c>
      <c r="M105" s="10" t="inlineStr">
        <is>
          <t>柴田</t>
        </is>
      </c>
      <c r="N105" s="10" t="inlineStr">
        <is>
          <t>田中</t>
        </is>
      </c>
      <c r="O105" s="10" t="inlineStr">
        <is>
          <t>中山</t>
        </is>
      </c>
      <c r="P105" s="10" t="inlineStr">
        <is>
          <t>山本幸</t>
        </is>
      </c>
      <c r="Q105" s="10" t="inlineStr">
        <is>
          <t>栗下</t>
        </is>
      </c>
      <c r="R105" s="10" t="inlineStr">
        <is>
          <t>井川</t>
        </is>
      </c>
      <c r="S105" s="10" t="inlineStr">
        <is>
          <t>原</t>
        </is>
      </c>
      <c r="T105" s="10" t="inlineStr">
        <is>
          <t>山田真</t>
        </is>
      </c>
      <c r="U105" s="10" t="inlineStr">
        <is>
          <t>市田</t>
        </is>
      </c>
      <c r="V105" s="10" t="inlineStr">
        <is>
          <t>植山</t>
        </is>
      </c>
      <c r="W105" s="10" t="inlineStr">
        <is>
          <t>山田久</t>
        </is>
      </c>
      <c r="X105" s="10" t="inlineStr">
        <is>
          <t>欠員②</t>
        </is>
      </c>
      <c r="Y105" s="10" t="inlineStr">
        <is>
          <t>北川</t>
        </is>
      </c>
      <c r="Z105" s="10" t="inlineStr">
        <is>
          <t>馬場</t>
        </is>
      </c>
      <c r="AA105" s="10" t="inlineStr">
        <is>
          <t>内野</t>
        </is>
      </c>
      <c r="AB105" s="10" t="inlineStr">
        <is>
          <t>尾川</t>
        </is>
      </c>
      <c r="AC105" s="10" t="inlineStr">
        <is>
          <t>藤原</t>
        </is>
      </c>
      <c r="AD105" s="10" t="inlineStr">
        <is>
          <t>岡本</t>
        </is>
      </c>
      <c r="AE105" s="10" t="inlineStr">
        <is>
          <t>安村</t>
        </is>
      </c>
      <c r="AF105" s="10" t="inlineStr">
        <is>
          <t>佐野</t>
        </is>
      </c>
      <c r="AG105" s="10" t="inlineStr">
        <is>
          <t>大川内</t>
        </is>
      </c>
      <c r="AH105" s="10" t="inlineStr">
        <is>
          <t>野口</t>
        </is>
      </c>
      <c r="AI105" s="10" t="inlineStr">
        <is>
          <t>山本高</t>
        </is>
      </c>
      <c r="AJ105" s="10" t="inlineStr">
        <is>
          <t>河野</t>
        </is>
      </c>
      <c r="AK105" s="10" t="inlineStr">
        <is>
          <t>欠員①</t>
        </is>
      </c>
      <c r="AL105" s="10" t="inlineStr">
        <is>
          <t>横田</t>
        </is>
      </c>
      <c r="AM105" s="10" t="inlineStr">
        <is>
          <t>中村</t>
        </is>
      </c>
      <c r="AN105" s="10" t="inlineStr">
        <is>
          <t>中嶌</t>
        </is>
      </c>
      <c r="AO105" s="10" t="inlineStr">
        <is>
          <t>岩田</t>
        </is>
      </c>
      <c r="AP105" s="10" t="inlineStr">
        <is>
          <t>谷川</t>
        </is>
      </c>
    </row>
    <row r="106" ht="15" customHeight="1" s="37">
      <c r="A106" t="inlineStr">
        <is>
          <t>2026-08-17</t>
        </is>
      </c>
      <c r="B106" s="10" t="inlineStr">
        <is>
          <t>月</t>
        </is>
      </c>
      <c r="C106" s="10" t="inlineStr">
        <is>
          <t>平日</t>
        </is>
      </c>
      <c r="E106" s="10" t="inlineStr">
        <is>
          <t>原</t>
        </is>
      </c>
      <c r="F106" s="10" t="inlineStr">
        <is>
          <t>柴田</t>
        </is>
      </c>
      <c r="G106" s="10" t="inlineStr">
        <is>
          <t>植山</t>
        </is>
      </c>
      <c r="H106" s="10" t="inlineStr">
        <is>
          <t>中山</t>
        </is>
      </c>
      <c r="I106" s="10" t="inlineStr">
        <is>
          <t>中嶌</t>
        </is>
      </c>
      <c r="J106" s="10" t="inlineStr">
        <is>
          <t>山田久</t>
        </is>
      </c>
      <c r="K106" s="10" t="inlineStr">
        <is>
          <t>佐野</t>
        </is>
      </c>
      <c r="L106" s="10" t="inlineStr">
        <is>
          <t>山本幸</t>
        </is>
      </c>
      <c r="M106" s="10" t="inlineStr">
        <is>
          <t>藤原</t>
        </is>
      </c>
      <c r="N106" s="10" t="inlineStr">
        <is>
          <t>井川</t>
        </is>
      </c>
      <c r="O106" s="10" t="inlineStr">
        <is>
          <t>欠員②</t>
        </is>
      </c>
      <c r="P106" s="10" t="inlineStr">
        <is>
          <t>欠員①</t>
        </is>
      </c>
      <c r="Q106" s="10" t="inlineStr">
        <is>
          <t>西村</t>
        </is>
      </c>
      <c r="R106" s="10" t="inlineStr">
        <is>
          <t>内野</t>
        </is>
      </c>
      <c r="S106" s="10" t="inlineStr">
        <is>
          <t>横田</t>
        </is>
      </c>
      <c r="T106" s="10" t="inlineStr">
        <is>
          <t>市田</t>
        </is>
      </c>
      <c r="U106" s="10" t="inlineStr">
        <is>
          <t>谷川</t>
        </is>
      </c>
      <c r="V106" s="10" t="inlineStr">
        <is>
          <t>野口</t>
        </is>
      </c>
      <c r="W106" s="10" t="inlineStr">
        <is>
          <t>安村</t>
        </is>
      </c>
      <c r="X106" s="10" t="inlineStr">
        <is>
          <t>矢田</t>
        </is>
      </c>
      <c r="Y106" s="10" t="inlineStr">
        <is>
          <t>河野</t>
        </is>
      </c>
      <c r="Z106" s="10" t="inlineStr">
        <is>
          <t>尾川</t>
        </is>
      </c>
      <c r="AA106" s="10" t="inlineStr">
        <is>
          <t>中村</t>
        </is>
      </c>
      <c r="AB106" s="10" t="inlineStr">
        <is>
          <t>門谷</t>
        </is>
      </c>
      <c r="AC106" s="10" t="inlineStr">
        <is>
          <t>岩田</t>
        </is>
      </c>
      <c r="AD106" s="10" t="inlineStr">
        <is>
          <t>横山</t>
        </is>
      </c>
      <c r="AE106" s="10" t="inlineStr">
        <is>
          <t>丸田</t>
        </is>
      </c>
      <c r="AF106" s="10" t="inlineStr">
        <is>
          <t>上野</t>
        </is>
      </c>
      <c r="AG106" s="10" t="inlineStr">
        <is>
          <t>田中</t>
        </is>
      </c>
      <c r="AH106" s="10" t="inlineStr">
        <is>
          <t>栗下</t>
        </is>
      </c>
      <c r="AI106" s="10" t="inlineStr">
        <is>
          <t>山田真</t>
        </is>
      </c>
      <c r="AJ106" s="10" t="inlineStr">
        <is>
          <t>富島</t>
        </is>
      </c>
      <c r="AK106" s="10" t="inlineStr">
        <is>
          <t>山本高</t>
        </is>
      </c>
      <c r="AL106" s="10" t="inlineStr">
        <is>
          <t>北川</t>
        </is>
      </c>
      <c r="AM106" s="10" t="inlineStr">
        <is>
          <t>岡本</t>
        </is>
      </c>
      <c r="AN106" s="10" t="inlineStr">
        <is>
          <t>大川内</t>
        </is>
      </c>
      <c r="AO106" s="10" t="inlineStr">
        <is>
          <t>上田</t>
        </is>
      </c>
      <c r="AP106" s="10" t="inlineStr">
        <is>
          <t>馬場</t>
        </is>
      </c>
    </row>
    <row r="107" ht="15" customHeight="1" s="37">
      <c r="A107" t="inlineStr">
        <is>
          <t>2026-08-18</t>
        </is>
      </c>
      <c r="B107" s="10" t="inlineStr">
        <is>
          <t>火</t>
        </is>
      </c>
      <c r="C107" s="10" t="inlineStr">
        <is>
          <t>平日</t>
        </is>
      </c>
      <c r="E107" s="10" t="inlineStr">
        <is>
          <t>横田</t>
        </is>
      </c>
      <c r="F107" s="10" t="inlineStr">
        <is>
          <t>藤原</t>
        </is>
      </c>
      <c r="G107" s="10" t="inlineStr">
        <is>
          <t>野口</t>
        </is>
      </c>
      <c r="H107" s="10" t="inlineStr">
        <is>
          <t>欠員②</t>
        </is>
      </c>
      <c r="I107" s="10" t="inlineStr">
        <is>
          <t>大川内</t>
        </is>
      </c>
      <c r="J107" s="10" t="inlineStr">
        <is>
          <t>安村</t>
        </is>
      </c>
      <c r="K107" s="10" t="inlineStr">
        <is>
          <t>上野</t>
        </is>
      </c>
      <c r="L107" s="10" t="inlineStr">
        <is>
          <t>欠員①</t>
        </is>
      </c>
      <c r="M107" s="10" t="inlineStr">
        <is>
          <t>岩田</t>
        </is>
      </c>
      <c r="N107" s="10" t="inlineStr">
        <is>
          <t>内野</t>
        </is>
      </c>
      <c r="O107" s="10" t="inlineStr">
        <is>
          <t>矢田</t>
        </is>
      </c>
      <c r="P107" s="10" t="inlineStr">
        <is>
          <t>山本高</t>
        </is>
      </c>
      <c r="Q107" s="10" t="inlineStr">
        <is>
          <t>山本幸</t>
        </is>
      </c>
      <c r="R107" s="10" t="inlineStr">
        <is>
          <t>中村</t>
        </is>
      </c>
      <c r="S107" s="10" t="inlineStr">
        <is>
          <t>北川</t>
        </is>
      </c>
      <c r="T107" s="10" t="inlineStr">
        <is>
          <t>谷川</t>
        </is>
      </c>
      <c r="U107" s="10" t="inlineStr">
        <is>
          <t>馬場</t>
        </is>
      </c>
      <c r="V107" s="10" t="inlineStr">
        <is>
          <t>栗下</t>
        </is>
      </c>
      <c r="W107" s="10" t="inlineStr">
        <is>
          <t>丸田</t>
        </is>
      </c>
      <c r="X107" s="10" t="inlineStr">
        <is>
          <t>佐野</t>
        </is>
      </c>
      <c r="Y107" s="10" t="inlineStr">
        <is>
          <t>富島</t>
        </is>
      </c>
      <c r="Z107" s="10" t="inlineStr">
        <is>
          <t>門谷</t>
        </is>
      </c>
      <c r="AA107" s="10" t="inlineStr">
        <is>
          <t>岡本</t>
        </is>
      </c>
      <c r="AB107" s="10" t="inlineStr">
        <is>
          <t>山田久</t>
        </is>
      </c>
      <c r="AC107" s="10" t="inlineStr">
        <is>
          <t>上田</t>
        </is>
      </c>
      <c r="AD107" s="10" t="inlineStr">
        <is>
          <t>植山</t>
        </is>
      </c>
      <c r="AE107" s="10" t="inlineStr">
        <is>
          <t>中山</t>
        </is>
      </c>
      <c r="AF107" s="10" t="inlineStr">
        <is>
          <t>柴田</t>
        </is>
      </c>
      <c r="AG107" s="10" t="inlineStr">
        <is>
          <t>井川</t>
        </is>
      </c>
      <c r="AH107" s="10" t="inlineStr">
        <is>
          <t>西村</t>
        </is>
      </c>
      <c r="AI107" s="10" t="inlineStr">
        <is>
          <t>市田</t>
        </is>
      </c>
      <c r="AJ107" s="10" t="inlineStr">
        <is>
          <t>中嶌</t>
        </is>
      </c>
      <c r="AK107" s="10" t="inlineStr">
        <is>
          <t>山田真</t>
        </is>
      </c>
      <c r="AL107" s="10" t="inlineStr">
        <is>
          <t>河野</t>
        </is>
      </c>
      <c r="AM107" s="10" t="inlineStr">
        <is>
          <t>横山</t>
        </is>
      </c>
      <c r="AN107" s="10" t="inlineStr">
        <is>
          <t>田中</t>
        </is>
      </c>
      <c r="AO107" s="10" t="inlineStr">
        <is>
          <t>原</t>
        </is>
      </c>
      <c r="AP107" s="10" t="inlineStr">
        <is>
          <t>尾川</t>
        </is>
      </c>
    </row>
    <row r="108" ht="15" customHeight="1" s="37">
      <c r="A108" t="inlineStr">
        <is>
          <t>2026-08-19</t>
        </is>
      </c>
      <c r="B108" s="10" t="inlineStr">
        <is>
          <t>水</t>
        </is>
      </c>
      <c r="C108" s="10" t="inlineStr">
        <is>
          <t>平日</t>
        </is>
      </c>
      <c r="E108" s="10" t="inlineStr">
        <is>
          <t>北川</t>
        </is>
      </c>
      <c r="F108" s="10" t="inlineStr">
        <is>
          <t>岩田</t>
        </is>
      </c>
      <c r="G108" s="10" t="inlineStr">
        <is>
          <t>栗下</t>
        </is>
      </c>
      <c r="H108" s="10" t="inlineStr">
        <is>
          <t>矢田</t>
        </is>
      </c>
      <c r="I108" s="10" t="inlineStr">
        <is>
          <t>田中</t>
        </is>
      </c>
      <c r="J108" s="10" t="inlineStr">
        <is>
          <t>丸田</t>
        </is>
      </c>
      <c r="K108" s="10" t="inlineStr">
        <is>
          <t>柴田</t>
        </is>
      </c>
      <c r="L108" s="10" t="inlineStr">
        <is>
          <t>山本高</t>
        </is>
      </c>
      <c r="M108" s="10" t="inlineStr">
        <is>
          <t>上田</t>
        </is>
      </c>
      <c r="N108" s="10" t="inlineStr">
        <is>
          <t>中村</t>
        </is>
      </c>
      <c r="O108" s="10" t="inlineStr">
        <is>
          <t>佐野</t>
        </is>
      </c>
      <c r="P108" s="10" t="inlineStr">
        <is>
          <t>山田真</t>
        </is>
      </c>
      <c r="Q108" s="10" t="inlineStr">
        <is>
          <t>欠員①</t>
        </is>
      </c>
      <c r="R108" s="10" t="inlineStr">
        <is>
          <t>岡本</t>
        </is>
      </c>
      <c r="S108" s="10" t="inlineStr">
        <is>
          <t>河野</t>
        </is>
      </c>
      <c r="T108" s="10" t="inlineStr">
        <is>
          <t>馬場</t>
        </is>
      </c>
      <c r="U108" s="10" t="inlineStr">
        <is>
          <t>尾川</t>
        </is>
      </c>
      <c r="V108" s="10" t="inlineStr">
        <is>
          <t>西村</t>
        </is>
      </c>
      <c r="W108" s="10" t="inlineStr">
        <is>
          <t>中山</t>
        </is>
      </c>
      <c r="X108" s="10" t="inlineStr">
        <is>
          <t>上野</t>
        </is>
      </c>
      <c r="Y108" s="10" t="inlineStr">
        <is>
          <t>中嶌</t>
        </is>
      </c>
      <c r="Z108" s="10" t="inlineStr">
        <is>
          <t>山田久</t>
        </is>
      </c>
      <c r="AA108" s="10" t="inlineStr">
        <is>
          <t>横山</t>
        </is>
      </c>
      <c r="AB108" s="10" t="inlineStr">
        <is>
          <t>安村</t>
        </is>
      </c>
      <c r="AC108" s="10" t="inlineStr">
        <is>
          <t>原</t>
        </is>
      </c>
      <c r="AD108" s="10" t="inlineStr">
        <is>
          <t>野口</t>
        </is>
      </c>
      <c r="AE108" s="10" t="inlineStr">
        <is>
          <t>欠員②</t>
        </is>
      </c>
      <c r="AF108" s="10" t="inlineStr">
        <is>
          <t>藤原</t>
        </is>
      </c>
      <c r="AG108" s="10" t="inlineStr">
        <is>
          <t>内野</t>
        </is>
      </c>
      <c r="AH108" s="10" t="inlineStr">
        <is>
          <t>山本幸</t>
        </is>
      </c>
      <c r="AI108" s="10" t="inlineStr">
        <is>
          <t>谷川</t>
        </is>
      </c>
      <c r="AJ108" s="10" t="inlineStr">
        <is>
          <t>大川内</t>
        </is>
      </c>
      <c r="AK108" s="10" t="inlineStr">
        <is>
          <t>市田</t>
        </is>
      </c>
      <c r="AL108" s="10" t="inlineStr">
        <is>
          <t>富島</t>
        </is>
      </c>
      <c r="AM108" s="10" t="inlineStr">
        <is>
          <t>植山</t>
        </is>
      </c>
      <c r="AN108" s="10" t="inlineStr">
        <is>
          <t>井川</t>
        </is>
      </c>
      <c r="AO108" s="10" t="inlineStr">
        <is>
          <t>横田</t>
        </is>
      </c>
      <c r="AP108" s="10" t="inlineStr">
        <is>
          <t>門谷</t>
        </is>
      </c>
    </row>
    <row r="109" ht="15" customHeight="1" s="37">
      <c r="A109" t="inlineStr">
        <is>
          <t>2026-08-20</t>
        </is>
      </c>
      <c r="B109" s="10" t="inlineStr">
        <is>
          <t>木</t>
        </is>
      </c>
      <c r="C109" s="10" t="inlineStr">
        <is>
          <t>平日</t>
        </is>
      </c>
      <c r="E109" s="10" t="inlineStr">
        <is>
          <t>河野</t>
        </is>
      </c>
      <c r="F109" s="10" t="inlineStr">
        <is>
          <t>上田</t>
        </is>
      </c>
      <c r="G109" s="10" t="inlineStr">
        <is>
          <t>西村</t>
        </is>
      </c>
      <c r="H109" s="10" t="inlineStr">
        <is>
          <t>佐野</t>
        </is>
      </c>
      <c r="I109" s="10" t="inlineStr">
        <is>
          <t>井川</t>
        </is>
      </c>
      <c r="J109" s="10" t="inlineStr">
        <is>
          <t>中山</t>
        </is>
      </c>
      <c r="K109" s="10" t="inlineStr">
        <is>
          <t>藤原</t>
        </is>
      </c>
      <c r="L109" s="10" t="inlineStr">
        <is>
          <t>山田真</t>
        </is>
      </c>
      <c r="M109" s="10" t="inlineStr">
        <is>
          <t>原</t>
        </is>
      </c>
      <c r="N109" s="10" t="inlineStr">
        <is>
          <t>岡本</t>
        </is>
      </c>
      <c r="O109" s="10" t="inlineStr">
        <is>
          <t>上野</t>
        </is>
      </c>
      <c r="P109" s="10" t="inlineStr">
        <is>
          <t>市田</t>
        </is>
      </c>
      <c r="Q109" s="10" t="inlineStr">
        <is>
          <t>山本高</t>
        </is>
      </c>
      <c r="R109" s="10" t="inlineStr">
        <is>
          <t>横山</t>
        </is>
      </c>
      <c r="S109" s="10" t="inlineStr">
        <is>
          <t>富島</t>
        </is>
      </c>
      <c r="T109" s="10" t="inlineStr">
        <is>
          <t>尾川</t>
        </is>
      </c>
      <c r="U109" s="10" t="inlineStr">
        <is>
          <t>門谷</t>
        </is>
      </c>
      <c r="V109" s="10" t="inlineStr">
        <is>
          <t>山本幸</t>
        </is>
      </c>
      <c r="W109" s="10" t="inlineStr">
        <is>
          <t>欠員②</t>
        </is>
      </c>
      <c r="X109" s="10" t="inlineStr">
        <is>
          <t>柴田</t>
        </is>
      </c>
      <c r="Y109" s="10" t="inlineStr">
        <is>
          <t>大川内</t>
        </is>
      </c>
      <c r="Z109" s="10" t="inlineStr">
        <is>
          <t>安村</t>
        </is>
      </c>
      <c r="AA109" s="10" t="inlineStr">
        <is>
          <t>植山</t>
        </is>
      </c>
      <c r="AB109" s="10" t="inlineStr">
        <is>
          <t>丸田</t>
        </is>
      </c>
      <c r="AC109" s="10" t="inlineStr">
        <is>
          <t>横田</t>
        </is>
      </c>
      <c r="AD109" s="10" t="inlineStr">
        <is>
          <t>栗下</t>
        </is>
      </c>
      <c r="AE109" s="10" t="inlineStr">
        <is>
          <t>矢田</t>
        </is>
      </c>
      <c r="AF109" s="10" t="inlineStr">
        <is>
          <t>岩田</t>
        </is>
      </c>
      <c r="AG109" s="10" t="inlineStr">
        <is>
          <t>中村</t>
        </is>
      </c>
      <c r="AH109" s="10" t="inlineStr">
        <is>
          <t>欠員①</t>
        </is>
      </c>
      <c r="AI109" s="10" t="inlineStr">
        <is>
          <t>馬場</t>
        </is>
      </c>
      <c r="AJ109" s="10" t="inlineStr">
        <is>
          <t>田中</t>
        </is>
      </c>
      <c r="AK109" s="10" t="inlineStr">
        <is>
          <t>谷川</t>
        </is>
      </c>
      <c r="AL109" s="10" t="inlineStr">
        <is>
          <t>中嶌</t>
        </is>
      </c>
      <c r="AM109" s="10" t="inlineStr">
        <is>
          <t>野口</t>
        </is>
      </c>
      <c r="AN109" s="10" t="inlineStr">
        <is>
          <t>内野</t>
        </is>
      </c>
      <c r="AO109" s="10" t="inlineStr">
        <is>
          <t>北川</t>
        </is>
      </c>
      <c r="AP109" s="10" t="inlineStr">
        <is>
          <t>山田久</t>
        </is>
      </c>
    </row>
    <row r="110" ht="15" customHeight="1" s="37">
      <c r="A110" t="inlineStr">
        <is>
          <t>2026-08-21</t>
        </is>
      </c>
      <c r="B110" s="10" t="inlineStr">
        <is>
          <t>金</t>
        </is>
      </c>
      <c r="C110" s="10" t="inlineStr">
        <is>
          <t>平日</t>
        </is>
      </c>
      <c r="E110" s="10" t="inlineStr">
        <is>
          <t>富島</t>
        </is>
      </c>
      <c r="F110" s="10" t="inlineStr">
        <is>
          <t>原</t>
        </is>
      </c>
      <c r="G110" s="10" t="inlineStr">
        <is>
          <t>山本幸</t>
        </is>
      </c>
      <c r="H110" s="10" t="inlineStr">
        <is>
          <t>上野</t>
        </is>
      </c>
      <c r="I110" s="10" t="inlineStr">
        <is>
          <t>内野</t>
        </is>
      </c>
      <c r="J110" s="10" t="inlineStr">
        <is>
          <t>欠員②</t>
        </is>
      </c>
      <c r="K110" s="10" t="inlineStr">
        <is>
          <t>岩田</t>
        </is>
      </c>
      <c r="L110" s="10" t="inlineStr">
        <is>
          <t>市田</t>
        </is>
      </c>
      <c r="M110" s="10" t="inlineStr">
        <is>
          <t>横田</t>
        </is>
      </c>
      <c r="N110" s="10" t="inlineStr">
        <is>
          <t>横山</t>
        </is>
      </c>
      <c r="O110" s="10" t="inlineStr">
        <is>
          <t>柴田</t>
        </is>
      </c>
      <c r="P110" s="10" t="inlineStr">
        <is>
          <t>谷川</t>
        </is>
      </c>
      <c r="Q110" s="10" t="inlineStr">
        <is>
          <t>山田真</t>
        </is>
      </c>
      <c r="R110" s="10" t="inlineStr">
        <is>
          <t>植山</t>
        </is>
      </c>
      <c r="S110" s="10" t="inlineStr">
        <is>
          <t>中嶌</t>
        </is>
      </c>
      <c r="T110" s="10" t="inlineStr">
        <is>
          <t>門谷</t>
        </is>
      </c>
      <c r="U110" s="10" t="inlineStr">
        <is>
          <t>山田久</t>
        </is>
      </c>
      <c r="V110" s="10" t="inlineStr">
        <is>
          <t>欠員①</t>
        </is>
      </c>
      <c r="W110" s="10" t="inlineStr">
        <is>
          <t>矢田</t>
        </is>
      </c>
      <c r="X110" s="10" t="inlineStr">
        <is>
          <t>藤原</t>
        </is>
      </c>
      <c r="Y110" s="10" t="inlineStr">
        <is>
          <t>田中</t>
        </is>
      </c>
      <c r="Z110" s="10" t="inlineStr">
        <is>
          <t>丸田</t>
        </is>
      </c>
      <c r="AA110" s="10" t="inlineStr">
        <is>
          <t>野口</t>
        </is>
      </c>
      <c r="AB110" s="10" t="inlineStr">
        <is>
          <t>中山</t>
        </is>
      </c>
      <c r="AC110" s="10" t="inlineStr">
        <is>
          <t>北川</t>
        </is>
      </c>
      <c r="AD110" s="10" t="inlineStr">
        <is>
          <t>西村</t>
        </is>
      </c>
      <c r="AE110" s="10" t="inlineStr">
        <is>
          <t>佐野</t>
        </is>
      </c>
      <c r="AF110" s="10" t="inlineStr">
        <is>
          <t>上田</t>
        </is>
      </c>
      <c r="AG110" s="10" t="inlineStr">
        <is>
          <t>岡本</t>
        </is>
      </c>
      <c r="AH110" s="10" t="inlineStr">
        <is>
          <t>山本高</t>
        </is>
      </c>
      <c r="AI110" s="10" t="inlineStr">
        <is>
          <t>尾川</t>
        </is>
      </c>
      <c r="AJ110" s="10" t="inlineStr">
        <is>
          <t>井川</t>
        </is>
      </c>
      <c r="AK110" s="10" t="inlineStr">
        <is>
          <t>馬場</t>
        </is>
      </c>
      <c r="AL110" s="10" t="inlineStr">
        <is>
          <t>大川内</t>
        </is>
      </c>
      <c r="AM110" s="10" t="inlineStr">
        <is>
          <t>栗下</t>
        </is>
      </c>
      <c r="AN110" s="10" t="inlineStr">
        <is>
          <t>中村</t>
        </is>
      </c>
      <c r="AO110" s="10" t="inlineStr">
        <is>
          <t>河野</t>
        </is>
      </c>
      <c r="AP110" s="10" t="inlineStr">
        <is>
          <t>安村</t>
        </is>
      </c>
    </row>
    <row r="111" ht="15" customHeight="1" s="37">
      <c r="A111" t="inlineStr">
        <is>
          <t>2026-08-22</t>
        </is>
      </c>
      <c r="B111" s="10" t="inlineStr">
        <is>
          <t>土</t>
        </is>
      </c>
      <c r="C111" s="10" t="inlineStr">
        <is>
          <t>休日</t>
        </is>
      </c>
      <c r="E111" s="10" t="inlineStr">
        <is>
          <t>中嶌</t>
        </is>
      </c>
      <c r="F111" s="10" t="inlineStr">
        <is>
          <t>横田</t>
        </is>
      </c>
      <c r="G111" s="10" t="inlineStr">
        <is>
          <t>欠員①</t>
        </is>
      </c>
      <c r="H111" s="10" t="inlineStr">
        <is>
          <t>柴田</t>
        </is>
      </c>
      <c r="I111" s="10" t="inlineStr">
        <is>
          <t>中村</t>
        </is>
      </c>
      <c r="J111" s="10" t="inlineStr">
        <is>
          <t>矢田</t>
        </is>
      </c>
      <c r="K111" s="10" t="inlineStr">
        <is>
          <t>上田</t>
        </is>
      </c>
      <c r="L111" s="10" t="inlineStr">
        <is>
          <t>谷川</t>
        </is>
      </c>
      <c r="M111" s="10" t="inlineStr">
        <is>
          <t>北川</t>
        </is>
      </c>
      <c r="N111" s="10" t="inlineStr">
        <is>
          <t>植山</t>
        </is>
      </c>
      <c r="O111" s="10" t="inlineStr">
        <is>
          <t>藤原</t>
        </is>
      </c>
      <c r="P111" s="10" t="inlineStr">
        <is>
          <t>馬場</t>
        </is>
      </c>
      <c r="Q111" s="10" t="inlineStr">
        <is>
          <t>市田</t>
        </is>
      </c>
      <c r="R111" s="10" t="inlineStr">
        <is>
          <t>野口</t>
        </is>
      </c>
      <c r="S111" s="10" t="inlineStr">
        <is>
          <t>大川内</t>
        </is>
      </c>
      <c r="T111" s="10" t="inlineStr">
        <is>
          <t>山田久</t>
        </is>
      </c>
      <c r="U111" s="10" t="inlineStr">
        <is>
          <t>安村</t>
        </is>
      </c>
      <c r="V111" s="10" t="inlineStr">
        <is>
          <t>山本高</t>
        </is>
      </c>
      <c r="W111" s="10" t="inlineStr">
        <is>
          <t>佐野</t>
        </is>
      </c>
      <c r="X111" s="10" t="inlineStr">
        <is>
          <t>岩田</t>
        </is>
      </c>
      <c r="Y111" s="10" t="inlineStr">
        <is>
          <t>井川</t>
        </is>
      </c>
      <c r="Z111" s="10" t="inlineStr">
        <is>
          <t>中山</t>
        </is>
      </c>
      <c r="AA111" s="10" t="inlineStr">
        <is>
          <t>栗下</t>
        </is>
      </c>
      <c r="AB111" s="10" t="inlineStr">
        <is>
          <t>欠員②</t>
        </is>
      </c>
      <c r="AC111" s="10" t="inlineStr">
        <is>
          <t>河野</t>
        </is>
      </c>
      <c r="AD111" s="10" t="inlineStr">
        <is>
          <t>山本幸</t>
        </is>
      </c>
      <c r="AE111" s="10" t="inlineStr">
        <is>
          <t>上野</t>
        </is>
      </c>
      <c r="AF111" s="10" t="inlineStr">
        <is>
          <t>原</t>
        </is>
      </c>
      <c r="AG111" s="10" t="inlineStr">
        <is>
          <t>横山</t>
        </is>
      </c>
      <c r="AH111" s="10" t="inlineStr">
        <is>
          <t>山田真</t>
        </is>
      </c>
      <c r="AI111" s="10" t="inlineStr">
        <is>
          <t>門谷</t>
        </is>
      </c>
      <c r="AJ111" s="10" t="inlineStr">
        <is>
          <t>内野</t>
        </is>
      </c>
      <c r="AK111" s="10" t="inlineStr">
        <is>
          <t>尾川</t>
        </is>
      </c>
      <c r="AL111" s="10" t="inlineStr">
        <is>
          <t>田中</t>
        </is>
      </c>
      <c r="AM111" s="10" t="inlineStr">
        <is>
          <t>西村</t>
        </is>
      </c>
      <c r="AN111" s="10" t="inlineStr">
        <is>
          <t>岡本</t>
        </is>
      </c>
      <c r="AO111" s="10" t="inlineStr">
        <is>
          <t>富島</t>
        </is>
      </c>
      <c r="AP111" s="10" t="inlineStr">
        <is>
          <t>丸田</t>
        </is>
      </c>
    </row>
    <row r="112" ht="15" customHeight="1" s="37">
      <c r="A112" t="inlineStr">
        <is>
          <t>2026-08-23</t>
        </is>
      </c>
      <c r="B112" s="10" t="inlineStr">
        <is>
          <t>日</t>
        </is>
      </c>
      <c r="C112" s="10" t="inlineStr">
        <is>
          <t>休日</t>
        </is>
      </c>
      <c r="E112" s="10" t="inlineStr">
        <is>
          <t>大川内</t>
        </is>
      </c>
      <c r="F112" s="10" t="inlineStr">
        <is>
          <t>北川</t>
        </is>
      </c>
      <c r="G112" s="10" t="inlineStr">
        <is>
          <t>山本高</t>
        </is>
      </c>
      <c r="H112" s="10" t="inlineStr">
        <is>
          <t>藤原</t>
        </is>
      </c>
      <c r="I112" s="10" t="inlineStr">
        <is>
          <t>岡本</t>
        </is>
      </c>
      <c r="J112" s="10" t="inlineStr">
        <is>
          <t>佐野</t>
        </is>
      </c>
      <c r="K112" s="10" t="inlineStr">
        <is>
          <t>原</t>
        </is>
      </c>
      <c r="L112" s="10" t="inlineStr">
        <is>
          <t>馬場</t>
        </is>
      </c>
      <c r="M112" s="10" t="inlineStr">
        <is>
          <t>河野</t>
        </is>
      </c>
      <c r="N112" s="10" t="inlineStr">
        <is>
          <t>野口</t>
        </is>
      </c>
      <c r="O112" s="10" t="inlineStr">
        <is>
          <t>岩田</t>
        </is>
      </c>
      <c r="P112" s="10" t="inlineStr">
        <is>
          <t>尾川</t>
        </is>
      </c>
      <c r="Q112" s="10" t="inlineStr">
        <is>
          <t>谷川</t>
        </is>
      </c>
      <c r="R112" s="10" t="inlineStr">
        <is>
          <t>栗下</t>
        </is>
      </c>
      <c r="S112" s="10" t="inlineStr">
        <is>
          <t>田中</t>
        </is>
      </c>
      <c r="T112" s="10" t="inlineStr">
        <is>
          <t>安村</t>
        </is>
      </c>
      <c r="U112" s="10" t="inlineStr">
        <is>
          <t>丸田</t>
        </is>
      </c>
      <c r="V112" s="10" t="inlineStr">
        <is>
          <t>山田真</t>
        </is>
      </c>
      <c r="W112" s="10" t="inlineStr">
        <is>
          <t>上野</t>
        </is>
      </c>
      <c r="X112" s="10" t="inlineStr">
        <is>
          <t>上田</t>
        </is>
      </c>
      <c r="Y112" s="10" t="inlineStr">
        <is>
          <t>内野</t>
        </is>
      </c>
      <c r="Z112" s="10" t="inlineStr">
        <is>
          <t>欠員②</t>
        </is>
      </c>
      <c r="AA112" s="10" t="inlineStr">
        <is>
          <t>西村</t>
        </is>
      </c>
      <c r="AB112" s="10" t="inlineStr">
        <is>
          <t>矢田</t>
        </is>
      </c>
      <c r="AC112" s="10" t="inlineStr">
        <is>
          <t>富島</t>
        </is>
      </c>
      <c r="AD112" s="10" t="inlineStr">
        <is>
          <t>欠員①</t>
        </is>
      </c>
      <c r="AE112" s="10" t="inlineStr">
        <is>
          <t>柴田</t>
        </is>
      </c>
      <c r="AF112" s="10" t="inlineStr">
        <is>
          <t>横田</t>
        </is>
      </c>
      <c r="AG112" s="10" t="inlineStr">
        <is>
          <t>植山</t>
        </is>
      </c>
      <c r="AH112" s="10" t="inlineStr">
        <is>
          <t>市田</t>
        </is>
      </c>
      <c r="AI112" s="10" t="inlineStr">
        <is>
          <t>山田久</t>
        </is>
      </c>
      <c r="AJ112" s="10" t="inlineStr">
        <is>
          <t>中村</t>
        </is>
      </c>
      <c r="AK112" s="10" t="inlineStr">
        <is>
          <t>門谷</t>
        </is>
      </c>
      <c r="AL112" s="10" t="inlineStr">
        <is>
          <t>井川</t>
        </is>
      </c>
      <c r="AM112" s="10" t="inlineStr">
        <is>
          <t>山本幸</t>
        </is>
      </c>
      <c r="AN112" s="10" t="inlineStr">
        <is>
          <t>横山</t>
        </is>
      </c>
      <c r="AO112" s="10" t="inlineStr">
        <is>
          <t>中嶌</t>
        </is>
      </c>
      <c r="AP112" s="10" t="inlineStr">
        <is>
          <t>中山</t>
        </is>
      </c>
    </row>
    <row r="113" ht="15" customHeight="1" s="37">
      <c r="A113" t="inlineStr">
        <is>
          <t>2026-08-24</t>
        </is>
      </c>
      <c r="B113" s="10" t="inlineStr">
        <is>
          <t>月</t>
        </is>
      </c>
      <c r="C113" s="10" t="inlineStr">
        <is>
          <t>平日</t>
        </is>
      </c>
      <c r="E113" s="10" t="inlineStr">
        <is>
          <t>田中</t>
        </is>
      </c>
      <c r="F113" s="10" t="inlineStr">
        <is>
          <t>河野</t>
        </is>
      </c>
      <c r="G113" s="10" t="inlineStr">
        <is>
          <t>山田真</t>
        </is>
      </c>
      <c r="H113" s="10" t="inlineStr">
        <is>
          <t>岩田</t>
        </is>
      </c>
      <c r="I113" s="10" t="inlineStr">
        <is>
          <t>横山</t>
        </is>
      </c>
      <c r="J113" s="10" t="inlineStr">
        <is>
          <t>上野</t>
        </is>
      </c>
      <c r="K113" s="10" t="inlineStr">
        <is>
          <t>横田</t>
        </is>
      </c>
      <c r="L113" s="10" t="inlineStr">
        <is>
          <t>尾川</t>
        </is>
      </c>
      <c r="M113" s="10" t="inlineStr">
        <is>
          <t>富島</t>
        </is>
      </c>
      <c r="N113" s="10" t="inlineStr">
        <is>
          <t>栗下</t>
        </is>
      </c>
      <c r="O113" s="10" t="inlineStr">
        <is>
          <t>上田</t>
        </is>
      </c>
      <c r="P113" s="10" t="inlineStr">
        <is>
          <t>門谷</t>
        </is>
      </c>
      <c r="Q113" s="10" t="inlineStr">
        <is>
          <t>馬場</t>
        </is>
      </c>
      <c r="R113" s="10" t="inlineStr">
        <is>
          <t>西村</t>
        </is>
      </c>
      <c r="S113" s="10" t="inlineStr">
        <is>
          <t>井川</t>
        </is>
      </c>
      <c r="T113" s="10" t="inlineStr">
        <is>
          <t>丸田</t>
        </is>
      </c>
      <c r="U113" s="10" t="inlineStr">
        <is>
          <t>中山</t>
        </is>
      </c>
      <c r="V113" s="10" t="inlineStr">
        <is>
          <t>市田</t>
        </is>
      </c>
      <c r="W113" s="10" t="inlineStr">
        <is>
          <t>柴田</t>
        </is>
      </c>
      <c r="X113" s="10" t="inlineStr">
        <is>
          <t>原</t>
        </is>
      </c>
      <c r="Y113" s="10" t="inlineStr">
        <is>
          <t>中村</t>
        </is>
      </c>
      <c r="Z113" s="10" t="inlineStr">
        <is>
          <t>矢田</t>
        </is>
      </c>
      <c r="AA113" s="10" t="inlineStr">
        <is>
          <t>山本幸</t>
        </is>
      </c>
      <c r="AB113" s="10" t="inlineStr">
        <is>
          <t>佐野</t>
        </is>
      </c>
      <c r="AC113" s="10" t="inlineStr">
        <is>
          <t>中嶌</t>
        </is>
      </c>
      <c r="AD113" s="10" t="inlineStr">
        <is>
          <t>山本高</t>
        </is>
      </c>
      <c r="AE113" s="10" t="inlineStr">
        <is>
          <t>藤原</t>
        </is>
      </c>
      <c r="AF113" s="10" t="inlineStr">
        <is>
          <t>北川</t>
        </is>
      </c>
      <c r="AG113" s="10" t="inlineStr">
        <is>
          <t>野口</t>
        </is>
      </c>
      <c r="AH113" s="10" t="inlineStr">
        <is>
          <t>谷川</t>
        </is>
      </c>
      <c r="AI113" s="10" t="inlineStr">
        <is>
          <t>安村</t>
        </is>
      </c>
      <c r="AJ113" s="10" t="inlineStr">
        <is>
          <t>岡本</t>
        </is>
      </c>
      <c r="AK113" s="10" t="inlineStr">
        <is>
          <t>山田久</t>
        </is>
      </c>
      <c r="AL113" s="10" t="inlineStr">
        <is>
          <t>内野</t>
        </is>
      </c>
      <c r="AM113" s="10" t="inlineStr">
        <is>
          <t>欠員①</t>
        </is>
      </c>
      <c r="AN113" s="10" t="inlineStr">
        <is>
          <t>植山</t>
        </is>
      </c>
      <c r="AO113" s="10" t="inlineStr">
        <is>
          <t>大川内</t>
        </is>
      </c>
      <c r="AP113" s="10" t="inlineStr">
        <is>
          <t>欠員②</t>
        </is>
      </c>
    </row>
    <row r="114" ht="15" customHeight="1" s="37">
      <c r="A114" t="inlineStr">
        <is>
          <t>2026-08-25</t>
        </is>
      </c>
      <c r="B114" s="10" t="inlineStr">
        <is>
          <t>火</t>
        </is>
      </c>
      <c r="C114" s="10" t="inlineStr">
        <is>
          <t>平日</t>
        </is>
      </c>
      <c r="E114" s="10" t="inlineStr">
        <is>
          <t>井川</t>
        </is>
      </c>
      <c r="F114" s="10" t="inlineStr">
        <is>
          <t>富島</t>
        </is>
      </c>
      <c r="G114" s="10" t="inlineStr">
        <is>
          <t>市田</t>
        </is>
      </c>
      <c r="H114" s="10" t="inlineStr">
        <is>
          <t>上田</t>
        </is>
      </c>
      <c r="I114" s="10" t="inlineStr">
        <is>
          <t>植山</t>
        </is>
      </c>
      <c r="J114" s="10" t="inlineStr">
        <is>
          <t>柴田</t>
        </is>
      </c>
      <c r="K114" s="10" t="inlineStr">
        <is>
          <t>北川</t>
        </is>
      </c>
      <c r="L114" s="10" t="inlineStr">
        <is>
          <t>門谷</t>
        </is>
      </c>
      <c r="M114" s="10" t="inlineStr">
        <is>
          <t>中嶌</t>
        </is>
      </c>
      <c r="N114" s="10" t="inlineStr">
        <is>
          <t>西村</t>
        </is>
      </c>
      <c r="O114" s="10" t="inlineStr">
        <is>
          <t>原</t>
        </is>
      </c>
      <c r="P114" s="10" t="inlineStr">
        <is>
          <t>山田久</t>
        </is>
      </c>
      <c r="Q114" s="10" t="inlineStr">
        <is>
          <t>尾川</t>
        </is>
      </c>
      <c r="R114" s="10" t="inlineStr">
        <is>
          <t>山本幸</t>
        </is>
      </c>
      <c r="S114" s="10" t="inlineStr">
        <is>
          <t>内野</t>
        </is>
      </c>
      <c r="T114" s="10" t="inlineStr">
        <is>
          <t>中山</t>
        </is>
      </c>
      <c r="U114" s="10" t="inlineStr">
        <is>
          <t>欠員②</t>
        </is>
      </c>
      <c r="V114" s="10" t="inlineStr">
        <is>
          <t>谷川</t>
        </is>
      </c>
      <c r="W114" s="10" t="inlineStr">
        <is>
          <t>藤原</t>
        </is>
      </c>
      <c r="X114" s="10" t="inlineStr">
        <is>
          <t>横田</t>
        </is>
      </c>
      <c r="Y114" s="10" t="inlineStr">
        <is>
          <t>岡本</t>
        </is>
      </c>
      <c r="Z114" s="10" t="inlineStr">
        <is>
          <t>佐野</t>
        </is>
      </c>
      <c r="AA114" s="10" t="inlineStr">
        <is>
          <t>欠員①</t>
        </is>
      </c>
      <c r="AB114" s="10" t="inlineStr">
        <is>
          <t>上野</t>
        </is>
      </c>
      <c r="AC114" s="10" t="inlineStr">
        <is>
          <t>大川内</t>
        </is>
      </c>
      <c r="AD114" s="10" t="inlineStr">
        <is>
          <t>山田真</t>
        </is>
      </c>
      <c r="AE114" s="10" t="inlineStr">
        <is>
          <t>岩田</t>
        </is>
      </c>
      <c r="AF114" s="10" t="inlineStr">
        <is>
          <t>河野</t>
        </is>
      </c>
      <c r="AG114" s="10" t="inlineStr">
        <is>
          <t>栗下</t>
        </is>
      </c>
      <c r="AH114" s="10" t="inlineStr">
        <is>
          <t>馬場</t>
        </is>
      </c>
      <c r="AI114" s="10" t="inlineStr">
        <is>
          <t>丸田</t>
        </is>
      </c>
      <c r="AJ114" s="10" t="inlineStr">
        <is>
          <t>横山</t>
        </is>
      </c>
      <c r="AK114" s="10" t="inlineStr">
        <is>
          <t>安村</t>
        </is>
      </c>
      <c r="AL114" s="10" t="inlineStr">
        <is>
          <t>中村</t>
        </is>
      </c>
      <c r="AM114" s="10" t="inlineStr">
        <is>
          <t>山本高</t>
        </is>
      </c>
      <c r="AN114" s="10" t="inlineStr">
        <is>
          <t>野口</t>
        </is>
      </c>
      <c r="AO114" s="10" t="inlineStr">
        <is>
          <t>田中</t>
        </is>
      </c>
      <c r="AP114" s="10" t="inlineStr">
        <is>
          <t>矢田</t>
        </is>
      </c>
    </row>
    <row r="115" ht="15" customHeight="1" s="37">
      <c r="A115" t="inlineStr">
        <is>
          <t>2026-08-26</t>
        </is>
      </c>
      <c r="B115" s="10" t="inlineStr">
        <is>
          <t>水</t>
        </is>
      </c>
      <c r="C115" s="10" t="inlineStr">
        <is>
          <t>平日</t>
        </is>
      </c>
      <c r="E115" s="10" t="inlineStr">
        <is>
          <t>内野</t>
        </is>
      </c>
      <c r="F115" s="10" t="inlineStr">
        <is>
          <t>中嶌</t>
        </is>
      </c>
      <c r="G115" s="10" t="inlineStr">
        <is>
          <t>谷川</t>
        </is>
      </c>
      <c r="H115" s="10" t="inlineStr">
        <is>
          <t>原</t>
        </is>
      </c>
      <c r="I115" s="10" t="inlineStr">
        <is>
          <t>野口</t>
        </is>
      </c>
      <c r="J115" s="10" t="inlineStr">
        <is>
          <t>藤原</t>
        </is>
      </c>
      <c r="K115" s="10" t="inlineStr">
        <is>
          <t>河野</t>
        </is>
      </c>
      <c r="L115" s="10" t="inlineStr">
        <is>
          <t>山田久</t>
        </is>
      </c>
      <c r="M115" s="10" t="inlineStr">
        <is>
          <t>大川内</t>
        </is>
      </c>
      <c r="N115" s="10" t="inlineStr">
        <is>
          <t>山本幸</t>
        </is>
      </c>
      <c r="O115" s="10" t="inlineStr">
        <is>
          <t>横田</t>
        </is>
      </c>
      <c r="P115" s="10" t="inlineStr">
        <is>
          <t>安村</t>
        </is>
      </c>
      <c r="Q115" s="10" t="inlineStr">
        <is>
          <t>門谷</t>
        </is>
      </c>
      <c r="R115" s="10" t="inlineStr">
        <is>
          <t>欠員①</t>
        </is>
      </c>
      <c r="S115" s="10" t="inlineStr">
        <is>
          <t>中村</t>
        </is>
      </c>
      <c r="T115" s="10" t="inlineStr">
        <is>
          <t>欠員②</t>
        </is>
      </c>
      <c r="U115" s="10" t="inlineStr">
        <is>
          <t>矢田</t>
        </is>
      </c>
      <c r="V115" s="10" t="inlineStr">
        <is>
          <t>馬場</t>
        </is>
      </c>
      <c r="W115" s="10" t="inlineStr">
        <is>
          <t>岩田</t>
        </is>
      </c>
      <c r="X115" s="10" t="inlineStr">
        <is>
          <t>北川</t>
        </is>
      </c>
      <c r="Y115" s="10" t="inlineStr">
        <is>
          <t>横山</t>
        </is>
      </c>
      <c r="Z115" s="10" t="inlineStr">
        <is>
          <t>上野</t>
        </is>
      </c>
      <c r="AA115" s="10" t="inlineStr">
        <is>
          <t>山本高</t>
        </is>
      </c>
      <c r="AB115" s="10" t="inlineStr">
        <is>
          <t>柴田</t>
        </is>
      </c>
      <c r="AC115" s="10" t="inlineStr">
        <is>
          <t>田中</t>
        </is>
      </c>
      <c r="AD115" s="10" t="inlineStr">
        <is>
          <t>市田</t>
        </is>
      </c>
      <c r="AE115" s="10" t="inlineStr">
        <is>
          <t>上田</t>
        </is>
      </c>
      <c r="AF115" s="10" t="inlineStr">
        <is>
          <t>富島</t>
        </is>
      </c>
      <c r="AG115" s="10" t="inlineStr">
        <is>
          <t>西村</t>
        </is>
      </c>
      <c r="AH115" s="10" t="inlineStr">
        <is>
          <t>尾川</t>
        </is>
      </c>
      <c r="AI115" s="10" t="inlineStr">
        <is>
          <t>中山</t>
        </is>
      </c>
      <c r="AJ115" s="10" t="inlineStr">
        <is>
          <t>植山</t>
        </is>
      </c>
      <c r="AK115" s="10" t="inlineStr">
        <is>
          <t>丸田</t>
        </is>
      </c>
      <c r="AL115" s="10" t="inlineStr">
        <is>
          <t>岡本</t>
        </is>
      </c>
      <c r="AM115" s="10" t="inlineStr">
        <is>
          <t>山田真</t>
        </is>
      </c>
      <c r="AN115" s="10" t="inlineStr">
        <is>
          <t>栗下</t>
        </is>
      </c>
      <c r="AO115" s="10" t="inlineStr">
        <is>
          <t>井川</t>
        </is>
      </c>
      <c r="AP115" s="10" t="inlineStr">
        <is>
          <t>佐野</t>
        </is>
      </c>
    </row>
    <row r="116" ht="15" customHeight="1" s="37">
      <c r="A116" t="inlineStr">
        <is>
          <t>2026-08-27</t>
        </is>
      </c>
      <c r="B116" s="10" t="inlineStr">
        <is>
          <t>木</t>
        </is>
      </c>
      <c r="C116" s="10" t="inlineStr">
        <is>
          <t>平日</t>
        </is>
      </c>
      <c r="E116" s="10" t="inlineStr">
        <is>
          <t>中村</t>
        </is>
      </c>
      <c r="F116" s="10" t="inlineStr">
        <is>
          <t>大川内</t>
        </is>
      </c>
      <c r="G116" s="10" t="inlineStr">
        <is>
          <t>馬場</t>
        </is>
      </c>
      <c r="H116" s="10" t="inlineStr">
        <is>
          <t>横田</t>
        </is>
      </c>
      <c r="I116" s="10" t="inlineStr">
        <is>
          <t>栗下</t>
        </is>
      </c>
      <c r="J116" s="10" t="inlineStr">
        <is>
          <t>岩田</t>
        </is>
      </c>
      <c r="K116" s="10" t="inlineStr">
        <is>
          <t>富島</t>
        </is>
      </c>
      <c r="L116" s="10" t="inlineStr">
        <is>
          <t>安村</t>
        </is>
      </c>
      <c r="M116" s="10" t="inlineStr">
        <is>
          <t>田中</t>
        </is>
      </c>
      <c r="N116" s="10" t="inlineStr">
        <is>
          <t>欠員①</t>
        </is>
      </c>
      <c r="O116" s="10" t="inlineStr">
        <is>
          <t>北川</t>
        </is>
      </c>
      <c r="P116" s="10" t="inlineStr">
        <is>
          <t>丸田</t>
        </is>
      </c>
      <c r="Q116" s="10" t="inlineStr">
        <is>
          <t>山田久</t>
        </is>
      </c>
      <c r="R116" s="10" t="inlineStr">
        <is>
          <t>山本高</t>
        </is>
      </c>
      <c r="S116" s="10" t="inlineStr">
        <is>
          <t>岡本</t>
        </is>
      </c>
      <c r="T116" s="10" t="inlineStr">
        <is>
          <t>矢田</t>
        </is>
      </c>
      <c r="U116" s="10" t="inlineStr">
        <is>
          <t>佐野</t>
        </is>
      </c>
      <c r="V116" s="10" t="inlineStr">
        <is>
          <t>尾川</t>
        </is>
      </c>
      <c r="W116" s="10" t="inlineStr">
        <is>
          <t>上田</t>
        </is>
      </c>
      <c r="X116" s="10" t="inlineStr">
        <is>
          <t>河野</t>
        </is>
      </c>
      <c r="Y116" s="10" t="inlineStr">
        <is>
          <t>植山</t>
        </is>
      </c>
      <c r="Z116" s="10" t="inlineStr">
        <is>
          <t>柴田</t>
        </is>
      </c>
      <c r="AA116" s="10" t="inlineStr">
        <is>
          <t>山田真</t>
        </is>
      </c>
      <c r="AB116" s="10" t="inlineStr">
        <is>
          <t>藤原</t>
        </is>
      </c>
      <c r="AC116" s="10" t="inlineStr">
        <is>
          <t>井川</t>
        </is>
      </c>
      <c r="AD116" s="10" t="inlineStr">
        <is>
          <t>谷川</t>
        </is>
      </c>
      <c r="AE116" s="10" t="inlineStr">
        <is>
          <t>原</t>
        </is>
      </c>
      <c r="AF116" s="10" t="inlineStr">
        <is>
          <t>中嶌</t>
        </is>
      </c>
      <c r="AG116" s="10" t="inlineStr">
        <is>
          <t>山本幸</t>
        </is>
      </c>
      <c r="AH116" s="10" t="inlineStr">
        <is>
          <t>門谷</t>
        </is>
      </c>
      <c r="AI116" s="10" t="inlineStr">
        <is>
          <t>欠員②</t>
        </is>
      </c>
      <c r="AJ116" s="10" t="inlineStr">
        <is>
          <t>野口</t>
        </is>
      </c>
      <c r="AK116" s="10" t="inlineStr">
        <is>
          <t>中山</t>
        </is>
      </c>
      <c r="AL116" s="10" t="inlineStr">
        <is>
          <t>横山</t>
        </is>
      </c>
      <c r="AM116" s="10" t="inlineStr">
        <is>
          <t>市田</t>
        </is>
      </c>
      <c r="AN116" s="10" t="inlineStr">
        <is>
          <t>西村</t>
        </is>
      </c>
      <c r="AO116" s="10" t="inlineStr">
        <is>
          <t>内野</t>
        </is>
      </c>
      <c r="AP116" s="10" t="inlineStr">
        <is>
          <t>上野</t>
        </is>
      </c>
    </row>
    <row r="117" ht="15" customHeight="1" s="37">
      <c r="A117" t="inlineStr">
        <is>
          <t>2026-08-28</t>
        </is>
      </c>
      <c r="B117" s="10" t="inlineStr">
        <is>
          <t>金</t>
        </is>
      </c>
      <c r="C117" s="10" t="inlineStr">
        <is>
          <t>平日</t>
        </is>
      </c>
      <c r="E117" s="10" t="inlineStr">
        <is>
          <t>岡本</t>
        </is>
      </c>
      <c r="F117" s="10" t="inlineStr">
        <is>
          <t>田中</t>
        </is>
      </c>
      <c r="G117" s="10" t="inlineStr">
        <is>
          <t>尾川</t>
        </is>
      </c>
      <c r="H117" s="10" t="inlineStr">
        <is>
          <t>北川</t>
        </is>
      </c>
      <c r="I117" s="10" t="inlineStr">
        <is>
          <t>西村</t>
        </is>
      </c>
      <c r="J117" s="10" t="inlineStr">
        <is>
          <t>上田</t>
        </is>
      </c>
      <c r="K117" s="10" t="inlineStr">
        <is>
          <t>中嶌</t>
        </is>
      </c>
      <c r="L117" s="10" t="inlineStr">
        <is>
          <t>丸田</t>
        </is>
      </c>
      <c r="M117" s="10" t="inlineStr">
        <is>
          <t>井川</t>
        </is>
      </c>
      <c r="N117" s="10" t="inlineStr">
        <is>
          <t>山本高</t>
        </is>
      </c>
      <c r="O117" s="10" t="inlineStr">
        <is>
          <t>河野</t>
        </is>
      </c>
      <c r="P117" s="10" t="inlineStr">
        <is>
          <t>中山</t>
        </is>
      </c>
      <c r="Q117" s="10" t="inlineStr">
        <is>
          <t>安村</t>
        </is>
      </c>
      <c r="R117" s="10" t="inlineStr">
        <is>
          <t>山田真</t>
        </is>
      </c>
      <c r="S117" s="10" t="inlineStr">
        <is>
          <t>横山</t>
        </is>
      </c>
      <c r="T117" s="10" t="inlineStr">
        <is>
          <t>佐野</t>
        </is>
      </c>
      <c r="U117" s="10" t="inlineStr">
        <is>
          <t>上野</t>
        </is>
      </c>
      <c r="V117" s="10" t="inlineStr">
        <is>
          <t>門谷</t>
        </is>
      </c>
      <c r="W117" s="10" t="inlineStr">
        <is>
          <t>原</t>
        </is>
      </c>
      <c r="X117" s="10" t="inlineStr">
        <is>
          <t>富島</t>
        </is>
      </c>
      <c r="Y117" s="10" t="inlineStr">
        <is>
          <t>野口</t>
        </is>
      </c>
      <c r="Z117" s="10" t="inlineStr">
        <is>
          <t>藤原</t>
        </is>
      </c>
      <c r="AA117" s="10" t="inlineStr">
        <is>
          <t>市田</t>
        </is>
      </c>
      <c r="AB117" s="10" t="inlineStr">
        <is>
          <t>岩田</t>
        </is>
      </c>
      <c r="AC117" s="10" t="inlineStr">
        <is>
          <t>内野</t>
        </is>
      </c>
      <c r="AD117" s="10" t="inlineStr">
        <is>
          <t>馬場</t>
        </is>
      </c>
      <c r="AE117" s="10" t="inlineStr">
        <is>
          <t>横田</t>
        </is>
      </c>
      <c r="AF117" s="10" t="inlineStr">
        <is>
          <t>大川内</t>
        </is>
      </c>
      <c r="AG117" s="10" t="inlineStr">
        <is>
          <t>欠員①</t>
        </is>
      </c>
      <c r="AH117" s="10" t="inlineStr">
        <is>
          <t>山田久</t>
        </is>
      </c>
      <c r="AI117" s="10" t="inlineStr">
        <is>
          <t>矢田</t>
        </is>
      </c>
      <c r="AJ117" s="10" t="inlineStr">
        <is>
          <t>栗下</t>
        </is>
      </c>
      <c r="AK117" s="10" t="inlineStr">
        <is>
          <t>欠員②</t>
        </is>
      </c>
      <c r="AL117" s="10" t="inlineStr">
        <is>
          <t>植山</t>
        </is>
      </c>
      <c r="AM117" s="10" t="inlineStr">
        <is>
          <t>谷川</t>
        </is>
      </c>
      <c r="AN117" s="10" t="inlineStr">
        <is>
          <t>山本幸</t>
        </is>
      </c>
      <c r="AO117" s="10" t="inlineStr">
        <is>
          <t>中村</t>
        </is>
      </c>
      <c r="AP117" s="10" t="inlineStr">
        <is>
          <t>柴田</t>
        </is>
      </c>
    </row>
    <row r="118" ht="15" customHeight="1" s="37">
      <c r="A118" t="inlineStr">
        <is>
          <t>2026-08-29</t>
        </is>
      </c>
      <c r="B118" s="10" t="inlineStr">
        <is>
          <t>土</t>
        </is>
      </c>
      <c r="C118" s="10" t="inlineStr">
        <is>
          <t>休日</t>
        </is>
      </c>
      <c r="E118" s="10" t="inlineStr">
        <is>
          <t>横山</t>
        </is>
      </c>
      <c r="F118" s="10" t="inlineStr">
        <is>
          <t>井川</t>
        </is>
      </c>
      <c r="G118" s="10" t="inlineStr">
        <is>
          <t>門谷</t>
        </is>
      </c>
      <c r="H118" s="10" t="inlineStr">
        <is>
          <t>河野</t>
        </is>
      </c>
      <c r="I118" s="10" t="inlineStr">
        <is>
          <t>山本幸</t>
        </is>
      </c>
      <c r="J118" s="10" t="inlineStr">
        <is>
          <t>原</t>
        </is>
      </c>
      <c r="K118" s="10" t="inlineStr">
        <is>
          <t>大川内</t>
        </is>
      </c>
      <c r="L118" s="10" t="inlineStr">
        <is>
          <t>中山</t>
        </is>
      </c>
      <c r="M118" s="10" t="inlineStr">
        <is>
          <t>内野</t>
        </is>
      </c>
      <c r="N118" s="10" t="inlineStr">
        <is>
          <t>山田真</t>
        </is>
      </c>
      <c r="O118" s="10" t="inlineStr">
        <is>
          <t>富島</t>
        </is>
      </c>
      <c r="P118" s="10" t="inlineStr">
        <is>
          <t>欠員②</t>
        </is>
      </c>
      <c r="Q118" s="10" t="inlineStr">
        <is>
          <t>丸田</t>
        </is>
      </c>
      <c r="R118" s="10" t="inlineStr">
        <is>
          <t>市田</t>
        </is>
      </c>
      <c r="S118" s="10" t="inlineStr">
        <is>
          <t>植山</t>
        </is>
      </c>
      <c r="T118" s="10" t="inlineStr">
        <is>
          <t>上野</t>
        </is>
      </c>
      <c r="U118" s="10" t="inlineStr">
        <is>
          <t>柴田</t>
        </is>
      </c>
      <c r="V118" s="10" t="inlineStr">
        <is>
          <t>山田久</t>
        </is>
      </c>
      <c r="W118" s="10" t="inlineStr">
        <is>
          <t>横田</t>
        </is>
      </c>
      <c r="X118" s="10" t="inlineStr">
        <is>
          <t>中嶌</t>
        </is>
      </c>
      <c r="Y118" s="10" t="inlineStr">
        <is>
          <t>栗下</t>
        </is>
      </c>
      <c r="Z118" s="10" t="inlineStr">
        <is>
          <t>岩田</t>
        </is>
      </c>
      <c r="AA118" s="10" t="inlineStr">
        <is>
          <t>谷川</t>
        </is>
      </c>
      <c r="AB118" s="10" t="inlineStr">
        <is>
          <t>上田</t>
        </is>
      </c>
      <c r="AC118" s="10" t="inlineStr">
        <is>
          <t>中村</t>
        </is>
      </c>
      <c r="AD118" s="10" t="inlineStr">
        <is>
          <t>尾川</t>
        </is>
      </c>
      <c r="AE118" s="10" t="inlineStr">
        <is>
          <t>北川</t>
        </is>
      </c>
      <c r="AF118" s="10" t="inlineStr">
        <is>
          <t>田中</t>
        </is>
      </c>
      <c r="AG118" s="10" t="inlineStr">
        <is>
          <t>山本高</t>
        </is>
      </c>
      <c r="AH118" s="10" t="inlineStr">
        <is>
          <t>安村</t>
        </is>
      </c>
      <c r="AI118" s="10" t="inlineStr">
        <is>
          <t>佐野</t>
        </is>
      </c>
      <c r="AJ118" s="10" t="inlineStr">
        <is>
          <t>西村</t>
        </is>
      </c>
      <c r="AK118" s="10" t="inlineStr">
        <is>
          <t>矢田</t>
        </is>
      </c>
      <c r="AL118" s="10" t="inlineStr">
        <is>
          <t>野口</t>
        </is>
      </c>
      <c r="AM118" s="10" t="inlineStr">
        <is>
          <t>馬場</t>
        </is>
      </c>
      <c r="AN118" s="10" t="inlineStr">
        <is>
          <t>欠員①</t>
        </is>
      </c>
      <c r="AO118" s="10" t="inlineStr">
        <is>
          <t>岡本</t>
        </is>
      </c>
      <c r="AP118" s="10" t="inlineStr">
        <is>
          <t>藤原</t>
        </is>
      </c>
    </row>
    <row r="119" ht="15" customHeight="1" s="37">
      <c r="A119" t="inlineStr">
        <is>
          <t>2026-08-30</t>
        </is>
      </c>
      <c r="B119" s="10" t="inlineStr">
        <is>
          <t>日</t>
        </is>
      </c>
      <c r="C119" s="10" t="inlineStr">
        <is>
          <t>休日</t>
        </is>
      </c>
      <c r="E119" s="10" t="inlineStr">
        <is>
          <t>植山</t>
        </is>
      </c>
      <c r="F119" s="10" t="inlineStr">
        <is>
          <t>内野</t>
        </is>
      </c>
      <c r="G119" s="10" t="inlineStr">
        <is>
          <t>山田久</t>
        </is>
      </c>
      <c r="H119" s="10" t="inlineStr">
        <is>
          <t>富島</t>
        </is>
      </c>
      <c r="I119" s="10" t="inlineStr">
        <is>
          <t>欠員①</t>
        </is>
      </c>
      <c r="J119" s="10" t="inlineStr">
        <is>
          <t>横田</t>
        </is>
      </c>
      <c r="K119" s="10" t="inlineStr">
        <is>
          <t>田中</t>
        </is>
      </c>
      <c r="L119" s="10" t="inlineStr">
        <is>
          <t>欠員②</t>
        </is>
      </c>
      <c r="M119" s="10" t="inlineStr">
        <is>
          <t>中村</t>
        </is>
      </c>
      <c r="N119" s="10" t="inlineStr">
        <is>
          <t>市田</t>
        </is>
      </c>
      <c r="O119" s="10" t="inlineStr">
        <is>
          <t>中嶌</t>
        </is>
      </c>
      <c r="P119" s="10" t="inlineStr">
        <is>
          <t>矢田</t>
        </is>
      </c>
      <c r="Q119" s="10" t="inlineStr">
        <is>
          <t>中山</t>
        </is>
      </c>
      <c r="R119" s="10" t="inlineStr">
        <is>
          <t>谷川</t>
        </is>
      </c>
      <c r="S119" s="10" t="inlineStr">
        <is>
          <t>野口</t>
        </is>
      </c>
      <c r="T119" s="10" t="inlineStr">
        <is>
          <t>柴田</t>
        </is>
      </c>
      <c r="U119" s="10" t="inlineStr">
        <is>
          <t>藤原</t>
        </is>
      </c>
      <c r="V119" s="10" t="inlineStr">
        <is>
          <t>安村</t>
        </is>
      </c>
      <c r="W119" s="10" t="inlineStr">
        <is>
          <t>北川</t>
        </is>
      </c>
      <c r="X119" s="10" t="inlineStr">
        <is>
          <t>大川内</t>
        </is>
      </c>
      <c r="Y119" s="10" t="inlineStr">
        <is>
          <t>西村</t>
        </is>
      </c>
      <c r="Z119" s="10" t="inlineStr">
        <is>
          <t>上田</t>
        </is>
      </c>
      <c r="AA119" s="10" t="inlineStr">
        <is>
          <t>馬場</t>
        </is>
      </c>
      <c r="AB119" s="10" t="inlineStr">
        <is>
          <t>原</t>
        </is>
      </c>
      <c r="AC119" s="10" t="inlineStr">
        <is>
          <t>岡本</t>
        </is>
      </c>
      <c r="AD119" s="10" t="inlineStr">
        <is>
          <t>門谷</t>
        </is>
      </c>
      <c r="AE119" s="10" t="inlineStr">
        <is>
          <t>河野</t>
        </is>
      </c>
      <c r="AF119" s="10" t="inlineStr">
        <is>
          <t>井川</t>
        </is>
      </c>
      <c r="AG119" s="10" t="inlineStr">
        <is>
          <t>山田真</t>
        </is>
      </c>
      <c r="AH119" s="10" t="inlineStr">
        <is>
          <t>丸田</t>
        </is>
      </c>
      <c r="AI119" s="10" t="inlineStr">
        <is>
          <t>上野</t>
        </is>
      </c>
      <c r="AJ119" s="10" t="inlineStr">
        <is>
          <t>山本幸</t>
        </is>
      </c>
      <c r="AK119" s="10" t="inlineStr">
        <is>
          <t>佐野</t>
        </is>
      </c>
      <c r="AL119" s="10" t="inlineStr">
        <is>
          <t>栗下</t>
        </is>
      </c>
      <c r="AM119" s="10" t="inlineStr">
        <is>
          <t>尾川</t>
        </is>
      </c>
      <c r="AN119" s="10" t="inlineStr">
        <is>
          <t>山本高</t>
        </is>
      </c>
      <c r="AO119" s="10" t="inlineStr">
        <is>
          <t>横山</t>
        </is>
      </c>
      <c r="AP119" s="10" t="inlineStr">
        <is>
          <t>岩田</t>
        </is>
      </c>
    </row>
    <row r="120" ht="15" customHeight="1" s="37">
      <c r="A120" t="inlineStr">
        <is>
          <t>2026-08-31</t>
        </is>
      </c>
      <c r="B120" s="10" t="inlineStr">
        <is>
          <t>月</t>
        </is>
      </c>
      <c r="C120" s="10" t="inlineStr">
        <is>
          <t>平日</t>
        </is>
      </c>
      <c r="E120" s="10" t="inlineStr">
        <is>
          <t>野口</t>
        </is>
      </c>
      <c r="F120" s="10" t="inlineStr">
        <is>
          <t>中村</t>
        </is>
      </c>
      <c r="G120" s="10" t="inlineStr">
        <is>
          <t>安村</t>
        </is>
      </c>
      <c r="H120" s="10" t="inlineStr">
        <is>
          <t>中嶌</t>
        </is>
      </c>
      <c r="I120" s="10" t="inlineStr">
        <is>
          <t>山本高</t>
        </is>
      </c>
      <c r="J120" s="10" t="inlineStr">
        <is>
          <t>北川</t>
        </is>
      </c>
      <c r="K120" s="10" t="inlineStr">
        <is>
          <t>井川</t>
        </is>
      </c>
      <c r="L120" s="10" t="inlineStr">
        <is>
          <t>矢田</t>
        </is>
      </c>
      <c r="M120" s="10" t="inlineStr">
        <is>
          <t>岡本</t>
        </is>
      </c>
      <c r="N120" s="10" t="inlineStr">
        <is>
          <t>谷川</t>
        </is>
      </c>
      <c r="O120" s="10" t="inlineStr">
        <is>
          <t>大川内</t>
        </is>
      </c>
      <c r="P120" s="10" t="inlineStr">
        <is>
          <t>佐野</t>
        </is>
      </c>
      <c r="Q120" s="10" t="inlineStr">
        <is>
          <t>欠員②</t>
        </is>
      </c>
      <c r="R120" s="10" t="inlineStr">
        <is>
          <t>馬場</t>
        </is>
      </c>
      <c r="S120" s="10" t="inlineStr">
        <is>
          <t>栗下</t>
        </is>
      </c>
      <c r="T120" s="10" t="inlineStr">
        <is>
          <t>藤原</t>
        </is>
      </c>
      <c r="U120" s="10" t="inlineStr">
        <is>
          <t>岩田</t>
        </is>
      </c>
      <c r="V120" s="10" t="inlineStr">
        <is>
          <t>丸田</t>
        </is>
      </c>
      <c r="W120" s="10" t="inlineStr">
        <is>
          <t>河野</t>
        </is>
      </c>
      <c r="X120" s="10" t="inlineStr">
        <is>
          <t>田中</t>
        </is>
      </c>
      <c r="Y120" s="10" t="inlineStr">
        <is>
          <t>山本幸</t>
        </is>
      </c>
      <c r="Z120" s="10" t="inlineStr">
        <is>
          <t>原</t>
        </is>
      </c>
      <c r="AA120" s="10" t="inlineStr">
        <is>
          <t>尾川</t>
        </is>
      </c>
      <c r="AB120" s="10" t="inlineStr">
        <is>
          <t>横田</t>
        </is>
      </c>
      <c r="AC120" s="10" t="inlineStr">
        <is>
          <t>横山</t>
        </is>
      </c>
      <c r="AD120" s="10" t="inlineStr">
        <is>
          <t>山田久</t>
        </is>
      </c>
      <c r="AE120" s="10" t="inlineStr">
        <is>
          <t>富島</t>
        </is>
      </c>
      <c r="AF120" s="10" t="inlineStr">
        <is>
          <t>内野</t>
        </is>
      </c>
      <c r="AG120" s="10" t="inlineStr">
        <is>
          <t>市田</t>
        </is>
      </c>
      <c r="AH120" s="10" t="inlineStr">
        <is>
          <t>中山</t>
        </is>
      </c>
      <c r="AI120" s="10" t="inlineStr">
        <is>
          <t>柴田</t>
        </is>
      </c>
      <c r="AJ120" s="10" t="inlineStr">
        <is>
          <t>欠員①</t>
        </is>
      </c>
      <c r="AK120" s="10" t="inlineStr">
        <is>
          <t>上野</t>
        </is>
      </c>
      <c r="AL120" s="10" t="inlineStr">
        <is>
          <t>西村</t>
        </is>
      </c>
      <c r="AM120" s="10" t="inlineStr">
        <is>
          <t>門谷</t>
        </is>
      </c>
      <c r="AN120" s="10" t="inlineStr">
        <is>
          <t>山田真</t>
        </is>
      </c>
      <c r="AO120" s="10" t="inlineStr">
        <is>
          <t>植山</t>
        </is>
      </c>
      <c r="AP120" s="10" t="inlineStr">
        <is>
          <t>上田</t>
        </is>
      </c>
    </row>
    <row r="121" ht="15" customHeight="1" s="37">
      <c r="A121" t="inlineStr">
        <is>
          <t>2026-09-01</t>
        </is>
      </c>
      <c r="B121" s="10" t="inlineStr">
        <is>
          <t>火</t>
        </is>
      </c>
      <c r="C121" s="10" t="inlineStr">
        <is>
          <t>平日</t>
        </is>
      </c>
      <c r="E121" s="10" t="inlineStr">
        <is>
          <t>栗下</t>
        </is>
      </c>
      <c r="F121" s="10" t="inlineStr">
        <is>
          <t>岡本</t>
        </is>
      </c>
      <c r="G121" s="10" t="inlineStr">
        <is>
          <t>丸田</t>
        </is>
      </c>
      <c r="H121" s="10" t="inlineStr">
        <is>
          <t>大川内</t>
        </is>
      </c>
      <c r="I121" s="10" t="inlineStr">
        <is>
          <t>山田真</t>
        </is>
      </c>
      <c r="J121" s="10" t="inlineStr">
        <is>
          <t>河野</t>
        </is>
      </c>
      <c r="K121" s="10" t="inlineStr">
        <is>
          <t>内野</t>
        </is>
      </c>
      <c r="L121" s="10" t="inlineStr">
        <is>
          <t>佐野</t>
        </is>
      </c>
      <c r="M121" s="10" t="inlineStr">
        <is>
          <t>横山</t>
        </is>
      </c>
      <c r="N121" s="10" t="inlineStr">
        <is>
          <t>馬場</t>
        </is>
      </c>
      <c r="O121" s="10" t="inlineStr">
        <is>
          <t>田中</t>
        </is>
      </c>
      <c r="P121" s="10" t="inlineStr">
        <is>
          <t>上野</t>
        </is>
      </c>
      <c r="Q121" s="10" t="inlineStr">
        <is>
          <t>矢田</t>
        </is>
      </c>
      <c r="R121" s="10" t="inlineStr">
        <is>
          <t>尾川</t>
        </is>
      </c>
      <c r="S121" s="10" t="inlineStr">
        <is>
          <t>西村</t>
        </is>
      </c>
      <c r="T121" s="10" t="inlineStr">
        <is>
          <t>岩田</t>
        </is>
      </c>
      <c r="U121" s="10" t="inlineStr">
        <is>
          <t>上田</t>
        </is>
      </c>
      <c r="V121" s="10" t="inlineStr">
        <is>
          <t>中山</t>
        </is>
      </c>
      <c r="W121" s="10" t="inlineStr">
        <is>
          <t>富島</t>
        </is>
      </c>
      <c r="X121" s="10" t="inlineStr">
        <is>
          <t>井川</t>
        </is>
      </c>
      <c r="Y121" s="10" t="inlineStr">
        <is>
          <t>欠員①</t>
        </is>
      </c>
      <c r="Z121" s="10" t="inlineStr">
        <is>
          <t>横田</t>
        </is>
      </c>
      <c r="AA121" s="10" t="inlineStr">
        <is>
          <t>門谷</t>
        </is>
      </c>
      <c r="AB121" s="10" t="inlineStr">
        <is>
          <t>北川</t>
        </is>
      </c>
      <c r="AC121" s="10" t="inlineStr">
        <is>
          <t>植山</t>
        </is>
      </c>
      <c r="AD121" s="10" t="inlineStr">
        <is>
          <t>安村</t>
        </is>
      </c>
      <c r="AE121" s="10" t="inlineStr">
        <is>
          <t>中嶌</t>
        </is>
      </c>
      <c r="AF121" s="10" t="inlineStr">
        <is>
          <t>中村</t>
        </is>
      </c>
      <c r="AG121" s="10" t="inlineStr">
        <is>
          <t>谷川</t>
        </is>
      </c>
      <c r="AH121" s="10" t="inlineStr">
        <is>
          <t>欠員②</t>
        </is>
      </c>
      <c r="AI121" s="10" t="inlineStr">
        <is>
          <t>藤原</t>
        </is>
      </c>
      <c r="AJ121" s="10" t="inlineStr">
        <is>
          <t>山本高</t>
        </is>
      </c>
      <c r="AK121" s="10" t="inlineStr">
        <is>
          <t>柴田</t>
        </is>
      </c>
      <c r="AL121" s="10" t="inlineStr">
        <is>
          <t>山本幸</t>
        </is>
      </c>
      <c r="AM121" s="10" t="inlineStr">
        <is>
          <t>山田久</t>
        </is>
      </c>
      <c r="AN121" s="10" t="inlineStr">
        <is>
          <t>市田</t>
        </is>
      </c>
      <c r="AO121" s="10" t="inlineStr">
        <is>
          <t>野口</t>
        </is>
      </c>
      <c r="AP121" s="10" t="inlineStr">
        <is>
          <t>原</t>
        </is>
      </c>
    </row>
    <row r="122" ht="15" customHeight="1" s="37">
      <c r="A122" t="inlineStr">
        <is>
          <t>2026-09-02</t>
        </is>
      </c>
      <c r="B122" s="10" t="inlineStr">
        <is>
          <t>水</t>
        </is>
      </c>
      <c r="C122" s="10" t="inlineStr">
        <is>
          <t>平日</t>
        </is>
      </c>
      <c r="E122" s="10" t="inlineStr">
        <is>
          <t>西村</t>
        </is>
      </c>
      <c r="F122" s="10" t="inlineStr">
        <is>
          <t>横山</t>
        </is>
      </c>
      <c r="G122" s="10" t="inlineStr">
        <is>
          <t>中山</t>
        </is>
      </c>
      <c r="H122" s="10" t="inlineStr">
        <is>
          <t>田中</t>
        </is>
      </c>
      <c r="I122" s="10" t="inlineStr">
        <is>
          <t>市田</t>
        </is>
      </c>
      <c r="J122" s="10" t="inlineStr">
        <is>
          <t>富島</t>
        </is>
      </c>
      <c r="K122" s="10" t="inlineStr">
        <is>
          <t>中村</t>
        </is>
      </c>
      <c r="L122" s="10" t="inlineStr">
        <is>
          <t>上野</t>
        </is>
      </c>
      <c r="M122" s="10" t="inlineStr">
        <is>
          <t>植山</t>
        </is>
      </c>
      <c r="N122" s="10" t="inlineStr">
        <is>
          <t>尾川</t>
        </is>
      </c>
      <c r="O122" s="10" t="inlineStr">
        <is>
          <t>井川</t>
        </is>
      </c>
      <c r="P122" s="10" t="inlineStr">
        <is>
          <t>柴田</t>
        </is>
      </c>
      <c r="Q122" s="10" t="inlineStr">
        <is>
          <t>佐野</t>
        </is>
      </c>
      <c r="R122" s="10" t="inlineStr">
        <is>
          <t>門谷</t>
        </is>
      </c>
      <c r="S122" s="10" t="inlineStr">
        <is>
          <t>山本幸</t>
        </is>
      </c>
      <c r="T122" s="10" t="inlineStr">
        <is>
          <t>上田</t>
        </is>
      </c>
      <c r="U122" s="10" t="inlineStr">
        <is>
          <t>原</t>
        </is>
      </c>
      <c r="V122" s="10" t="inlineStr">
        <is>
          <t>欠員②</t>
        </is>
      </c>
      <c r="W122" s="10" t="inlineStr">
        <is>
          <t>中嶌</t>
        </is>
      </c>
      <c r="X122" s="10" t="inlineStr">
        <is>
          <t>内野</t>
        </is>
      </c>
      <c r="Y122" s="10" t="inlineStr">
        <is>
          <t>山本高</t>
        </is>
      </c>
      <c r="Z122" s="10" t="inlineStr">
        <is>
          <t>北川</t>
        </is>
      </c>
      <c r="AA122" s="10" t="inlineStr">
        <is>
          <t>山田久</t>
        </is>
      </c>
      <c r="AB122" s="10" t="inlineStr">
        <is>
          <t>河野</t>
        </is>
      </c>
      <c r="AC122" s="10" t="inlineStr">
        <is>
          <t>野口</t>
        </is>
      </c>
      <c r="AD122" s="10" t="inlineStr">
        <is>
          <t>丸田</t>
        </is>
      </c>
      <c r="AE122" s="10" t="inlineStr">
        <is>
          <t>大川内</t>
        </is>
      </c>
      <c r="AF122" s="10" t="inlineStr">
        <is>
          <t>岡本</t>
        </is>
      </c>
      <c r="AG122" s="10" t="inlineStr">
        <is>
          <t>馬場</t>
        </is>
      </c>
      <c r="AH122" s="10" t="inlineStr">
        <is>
          <t>矢田</t>
        </is>
      </c>
      <c r="AI122" s="10" t="inlineStr">
        <is>
          <t>岩田</t>
        </is>
      </c>
      <c r="AJ122" s="10" t="inlineStr">
        <is>
          <t>山田真</t>
        </is>
      </c>
      <c r="AK122" s="10" t="inlineStr">
        <is>
          <t>藤原</t>
        </is>
      </c>
      <c r="AL122" s="10" t="inlineStr">
        <is>
          <t>欠員①</t>
        </is>
      </c>
      <c r="AM122" s="10" t="inlineStr">
        <is>
          <t>安村</t>
        </is>
      </c>
      <c r="AN122" s="10" t="inlineStr">
        <is>
          <t>谷川</t>
        </is>
      </c>
      <c r="AO122" s="10" t="inlineStr">
        <is>
          <t>栗下</t>
        </is>
      </c>
      <c r="AP122" s="10" t="inlineStr">
        <is>
          <t>横田</t>
        </is>
      </c>
    </row>
    <row r="123" ht="15" customHeight="1" s="37">
      <c r="A123" t="inlineStr">
        <is>
          <t>2026-09-03</t>
        </is>
      </c>
      <c r="B123" s="10" t="inlineStr">
        <is>
          <t>木</t>
        </is>
      </c>
      <c r="C123" s="10" t="inlineStr">
        <is>
          <t>平日</t>
        </is>
      </c>
      <c r="E123" s="10" t="inlineStr">
        <is>
          <t>山本幸</t>
        </is>
      </c>
      <c r="F123" s="10" t="inlineStr">
        <is>
          <t>植山</t>
        </is>
      </c>
      <c r="G123" s="10" t="inlineStr">
        <is>
          <t>欠員②</t>
        </is>
      </c>
      <c r="H123" s="10" t="inlineStr">
        <is>
          <t>井川</t>
        </is>
      </c>
      <c r="I123" s="10" t="inlineStr">
        <is>
          <t>谷川</t>
        </is>
      </c>
      <c r="J123" s="10" t="inlineStr">
        <is>
          <t>中嶌</t>
        </is>
      </c>
      <c r="K123" s="10" t="inlineStr">
        <is>
          <t>岡本</t>
        </is>
      </c>
      <c r="L123" s="10" t="inlineStr">
        <is>
          <t>柴田</t>
        </is>
      </c>
      <c r="M123" s="10" t="inlineStr">
        <is>
          <t>野口</t>
        </is>
      </c>
      <c r="N123" s="10" t="inlineStr">
        <is>
          <t>門谷</t>
        </is>
      </c>
      <c r="O123" s="10" t="inlineStr">
        <is>
          <t>内野</t>
        </is>
      </c>
      <c r="P123" s="10" t="inlineStr">
        <is>
          <t>藤原</t>
        </is>
      </c>
      <c r="Q123" s="10" t="inlineStr">
        <is>
          <t>上野</t>
        </is>
      </c>
      <c r="R123" s="10" t="inlineStr">
        <is>
          <t>山田久</t>
        </is>
      </c>
      <c r="S123" s="10" t="inlineStr">
        <is>
          <t>欠員①</t>
        </is>
      </c>
      <c r="T123" s="10" t="inlineStr">
        <is>
          <t>原</t>
        </is>
      </c>
      <c r="U123" s="10" t="inlineStr">
        <is>
          <t>横田</t>
        </is>
      </c>
      <c r="V123" s="10" t="inlineStr">
        <is>
          <t>矢田</t>
        </is>
      </c>
      <c r="W123" s="10" t="inlineStr">
        <is>
          <t>大川内</t>
        </is>
      </c>
      <c r="X123" s="10" t="inlineStr">
        <is>
          <t>中村</t>
        </is>
      </c>
      <c r="Y123" s="10" t="inlineStr">
        <is>
          <t>山田真</t>
        </is>
      </c>
      <c r="Z123" s="10" t="inlineStr">
        <is>
          <t>河野</t>
        </is>
      </c>
      <c r="AA123" s="10" t="inlineStr">
        <is>
          <t>安村</t>
        </is>
      </c>
      <c r="AB123" s="10" t="inlineStr">
        <is>
          <t>富島</t>
        </is>
      </c>
      <c r="AC123" s="10" t="inlineStr">
        <is>
          <t>栗下</t>
        </is>
      </c>
      <c r="AD123" s="10" t="inlineStr">
        <is>
          <t>中山</t>
        </is>
      </c>
      <c r="AE123" s="10" t="inlineStr">
        <is>
          <t>田中</t>
        </is>
      </c>
      <c r="AF123" s="10" t="inlineStr">
        <is>
          <t>横山</t>
        </is>
      </c>
      <c r="AG123" s="10" t="inlineStr">
        <is>
          <t>尾川</t>
        </is>
      </c>
      <c r="AH123" s="10" t="inlineStr">
        <is>
          <t>佐野</t>
        </is>
      </c>
      <c r="AI123" s="10" t="inlineStr">
        <is>
          <t>上田</t>
        </is>
      </c>
      <c r="AJ123" s="10" t="inlineStr">
        <is>
          <t>市田</t>
        </is>
      </c>
      <c r="AK123" s="10" t="inlineStr">
        <is>
          <t>岩田</t>
        </is>
      </c>
      <c r="AL123" s="10" t="inlineStr">
        <is>
          <t>山本高</t>
        </is>
      </c>
      <c r="AM123" s="10" t="inlineStr">
        <is>
          <t>丸田</t>
        </is>
      </c>
      <c r="AN123" s="10" t="inlineStr">
        <is>
          <t>馬場</t>
        </is>
      </c>
      <c r="AO123" s="10" t="inlineStr">
        <is>
          <t>西村</t>
        </is>
      </c>
      <c r="AP123" s="10" t="inlineStr">
        <is>
          <t>北川</t>
        </is>
      </c>
    </row>
    <row r="124" ht="15" customHeight="1" s="37">
      <c r="A124" t="inlineStr">
        <is>
          <t>2026-09-04</t>
        </is>
      </c>
      <c r="B124" s="10" t="inlineStr">
        <is>
          <t>金</t>
        </is>
      </c>
      <c r="C124" s="10" t="inlineStr">
        <is>
          <t>平日</t>
        </is>
      </c>
      <c r="E124" s="10" t="inlineStr">
        <is>
          <t>欠員①</t>
        </is>
      </c>
      <c r="F124" s="10" t="inlineStr">
        <is>
          <t>野口</t>
        </is>
      </c>
      <c r="G124" s="10" t="inlineStr">
        <is>
          <t>矢田</t>
        </is>
      </c>
      <c r="H124" s="10" t="inlineStr">
        <is>
          <t>内野</t>
        </is>
      </c>
      <c r="I124" s="10" t="inlineStr">
        <is>
          <t>馬場</t>
        </is>
      </c>
      <c r="J124" s="10" t="inlineStr">
        <is>
          <t>大川内</t>
        </is>
      </c>
      <c r="K124" s="10" t="inlineStr">
        <is>
          <t>横山</t>
        </is>
      </c>
      <c r="L124" s="10" t="inlineStr">
        <is>
          <t>藤原</t>
        </is>
      </c>
      <c r="M124" s="10" t="inlineStr">
        <is>
          <t>栗下</t>
        </is>
      </c>
      <c r="N124" s="10" t="inlineStr">
        <is>
          <t>山田久</t>
        </is>
      </c>
      <c r="O124" s="10" t="inlineStr">
        <is>
          <t>中村</t>
        </is>
      </c>
      <c r="P124" s="10" t="inlineStr">
        <is>
          <t>岩田</t>
        </is>
      </c>
      <c r="Q124" s="10" t="inlineStr">
        <is>
          <t>柴田</t>
        </is>
      </c>
      <c r="R124" s="10" t="inlineStr">
        <is>
          <t>安村</t>
        </is>
      </c>
      <c r="S124" s="10" t="inlineStr">
        <is>
          <t>山本高</t>
        </is>
      </c>
      <c r="T124" s="10" t="inlineStr">
        <is>
          <t>横田</t>
        </is>
      </c>
      <c r="U124" s="10" t="inlineStr">
        <is>
          <t>北川</t>
        </is>
      </c>
      <c r="V124" s="10" t="inlineStr">
        <is>
          <t>佐野</t>
        </is>
      </c>
      <c r="W124" s="10" t="inlineStr">
        <is>
          <t>田中</t>
        </is>
      </c>
      <c r="X124" s="10" t="inlineStr">
        <is>
          <t>岡本</t>
        </is>
      </c>
      <c r="Y124" s="10" t="inlineStr">
        <is>
          <t>市田</t>
        </is>
      </c>
      <c r="Z124" s="10" t="inlineStr">
        <is>
          <t>富島</t>
        </is>
      </c>
      <c r="AA124" s="10" t="inlineStr">
        <is>
          <t>丸田</t>
        </is>
      </c>
      <c r="AB124" s="10" t="inlineStr">
        <is>
          <t>中嶌</t>
        </is>
      </c>
      <c r="AC124" s="10" t="inlineStr">
        <is>
          <t>西村</t>
        </is>
      </c>
      <c r="AD124" s="10" t="inlineStr">
        <is>
          <t>欠員②</t>
        </is>
      </c>
      <c r="AE124" s="10" t="inlineStr">
        <is>
          <t>井川</t>
        </is>
      </c>
      <c r="AF124" s="10" t="inlineStr">
        <is>
          <t>植山</t>
        </is>
      </c>
      <c r="AG124" s="10" t="inlineStr">
        <is>
          <t>門谷</t>
        </is>
      </c>
      <c r="AH124" s="10" t="inlineStr">
        <is>
          <t>上野</t>
        </is>
      </c>
      <c r="AI124" s="10" t="inlineStr">
        <is>
          <t>原</t>
        </is>
      </c>
      <c r="AJ124" s="10" t="inlineStr">
        <is>
          <t>谷川</t>
        </is>
      </c>
      <c r="AK124" s="10" t="inlineStr">
        <is>
          <t>上田</t>
        </is>
      </c>
      <c r="AL124" s="10" t="inlineStr">
        <is>
          <t>山田真</t>
        </is>
      </c>
      <c r="AM124" s="10" t="inlineStr">
        <is>
          <t>中山</t>
        </is>
      </c>
      <c r="AN124" s="10" t="inlineStr">
        <is>
          <t>尾川</t>
        </is>
      </c>
      <c r="AO124" s="10" t="inlineStr">
        <is>
          <t>山本幸</t>
        </is>
      </c>
      <c r="AP124" s="10" t="inlineStr">
        <is>
          <t>河野</t>
        </is>
      </c>
    </row>
    <row r="125" ht="15" customHeight="1" s="37">
      <c r="A125" t="inlineStr">
        <is>
          <t>2026-09-05</t>
        </is>
      </c>
      <c r="B125" s="10" t="inlineStr">
        <is>
          <t>土</t>
        </is>
      </c>
      <c r="C125" s="10" t="inlineStr">
        <is>
          <t>休日</t>
        </is>
      </c>
      <c r="E125" s="10" t="inlineStr">
        <is>
          <t>山本高</t>
        </is>
      </c>
      <c r="F125" s="10" t="inlineStr">
        <is>
          <t>栗下</t>
        </is>
      </c>
      <c r="G125" s="10" t="inlineStr">
        <is>
          <t>佐野</t>
        </is>
      </c>
      <c r="H125" s="10" t="inlineStr">
        <is>
          <t>中村</t>
        </is>
      </c>
      <c r="I125" s="10" t="inlineStr">
        <is>
          <t>尾川</t>
        </is>
      </c>
      <c r="J125" s="10" t="inlineStr">
        <is>
          <t>田中</t>
        </is>
      </c>
      <c r="K125" s="10" t="inlineStr">
        <is>
          <t>植山</t>
        </is>
      </c>
      <c r="L125" s="10" t="inlineStr">
        <is>
          <t>岩田</t>
        </is>
      </c>
      <c r="M125" s="10" t="inlineStr">
        <is>
          <t>西村</t>
        </is>
      </c>
      <c r="N125" s="10" t="inlineStr">
        <is>
          <t>安村</t>
        </is>
      </c>
      <c r="O125" s="10" t="inlineStr">
        <is>
          <t>岡本</t>
        </is>
      </c>
      <c r="P125" s="10" t="inlineStr">
        <is>
          <t>上田</t>
        </is>
      </c>
      <c r="Q125" s="10" t="inlineStr">
        <is>
          <t>藤原</t>
        </is>
      </c>
      <c r="R125" s="10" t="inlineStr">
        <is>
          <t>丸田</t>
        </is>
      </c>
      <c r="S125" s="10" t="inlineStr">
        <is>
          <t>山田真</t>
        </is>
      </c>
      <c r="T125" s="10" t="inlineStr">
        <is>
          <t>北川</t>
        </is>
      </c>
      <c r="U125" s="10" t="inlineStr">
        <is>
          <t>河野</t>
        </is>
      </c>
      <c r="V125" s="10" t="inlineStr">
        <is>
          <t>上野</t>
        </is>
      </c>
      <c r="W125" s="10" t="inlineStr">
        <is>
          <t>井川</t>
        </is>
      </c>
      <c r="X125" s="10" t="inlineStr">
        <is>
          <t>横山</t>
        </is>
      </c>
      <c r="Y125" s="10" t="inlineStr">
        <is>
          <t>谷川</t>
        </is>
      </c>
      <c r="Z125" s="10" t="inlineStr">
        <is>
          <t>中嶌</t>
        </is>
      </c>
      <c r="AA125" s="10" t="inlineStr">
        <is>
          <t>中山</t>
        </is>
      </c>
      <c r="AB125" s="10" t="inlineStr">
        <is>
          <t>大川内</t>
        </is>
      </c>
      <c r="AC125" s="10" t="inlineStr">
        <is>
          <t>山本幸</t>
        </is>
      </c>
      <c r="AD125" s="10" t="inlineStr">
        <is>
          <t>矢田</t>
        </is>
      </c>
      <c r="AE125" s="10" t="inlineStr">
        <is>
          <t>内野</t>
        </is>
      </c>
      <c r="AF125" s="10" t="inlineStr">
        <is>
          <t>野口</t>
        </is>
      </c>
      <c r="AG125" s="10" t="inlineStr">
        <is>
          <t>山田久</t>
        </is>
      </c>
      <c r="AH125" s="10" t="inlineStr">
        <is>
          <t>柴田</t>
        </is>
      </c>
      <c r="AI125" s="10" t="inlineStr">
        <is>
          <t>横田</t>
        </is>
      </c>
      <c r="AJ125" s="10" t="inlineStr">
        <is>
          <t>馬場</t>
        </is>
      </c>
      <c r="AK125" s="10" t="inlineStr">
        <is>
          <t>原</t>
        </is>
      </c>
      <c r="AL125" s="10" t="inlineStr">
        <is>
          <t>市田</t>
        </is>
      </c>
      <c r="AM125" s="10" t="inlineStr">
        <is>
          <t>欠員②</t>
        </is>
      </c>
      <c r="AN125" s="10" t="inlineStr">
        <is>
          <t>門谷</t>
        </is>
      </c>
      <c r="AO125" s="10" t="inlineStr">
        <is>
          <t>欠員①</t>
        </is>
      </c>
      <c r="AP125" s="10" t="inlineStr">
        <is>
          <t>富島</t>
        </is>
      </c>
    </row>
    <row r="126" ht="15" customHeight="1" s="37">
      <c r="A126" t="inlineStr">
        <is>
          <t>2026-09-06</t>
        </is>
      </c>
      <c r="B126" s="10" t="inlineStr">
        <is>
          <t>日</t>
        </is>
      </c>
      <c r="C126" s="10" t="inlineStr">
        <is>
          <t>休日</t>
        </is>
      </c>
      <c r="E126" s="10" t="inlineStr">
        <is>
          <t>山田真</t>
        </is>
      </c>
      <c r="F126" s="10" t="inlineStr">
        <is>
          <t>西村</t>
        </is>
      </c>
      <c r="G126" s="10" t="inlineStr">
        <is>
          <t>上野</t>
        </is>
      </c>
      <c r="H126" s="10" t="inlineStr">
        <is>
          <t>岡本</t>
        </is>
      </c>
      <c r="I126" s="10" t="inlineStr">
        <is>
          <t>門谷</t>
        </is>
      </c>
      <c r="J126" s="10" t="inlineStr">
        <is>
          <t>井川</t>
        </is>
      </c>
      <c r="K126" s="10" t="inlineStr">
        <is>
          <t>野口</t>
        </is>
      </c>
      <c r="L126" s="10" t="inlineStr">
        <is>
          <t>上田</t>
        </is>
      </c>
      <c r="M126" s="10" t="inlineStr">
        <is>
          <t>山本幸</t>
        </is>
      </c>
      <c r="N126" s="10" t="inlineStr">
        <is>
          <t>丸田</t>
        </is>
      </c>
      <c r="O126" s="10" t="inlineStr">
        <is>
          <t>横山</t>
        </is>
      </c>
      <c r="P126" s="10" t="inlineStr">
        <is>
          <t>原</t>
        </is>
      </c>
      <c r="Q126" s="10" t="inlineStr">
        <is>
          <t>岩田</t>
        </is>
      </c>
      <c r="R126" s="10" t="inlineStr">
        <is>
          <t>中山</t>
        </is>
      </c>
      <c r="S126" s="10" t="inlineStr">
        <is>
          <t>市田</t>
        </is>
      </c>
      <c r="T126" s="10" t="inlineStr">
        <is>
          <t>河野</t>
        </is>
      </c>
      <c r="U126" s="10" t="inlineStr">
        <is>
          <t>富島</t>
        </is>
      </c>
      <c r="V126" s="10" t="inlineStr">
        <is>
          <t>柴田</t>
        </is>
      </c>
      <c r="W126" s="10" t="inlineStr">
        <is>
          <t>内野</t>
        </is>
      </c>
      <c r="X126" s="10" t="inlineStr">
        <is>
          <t>植山</t>
        </is>
      </c>
      <c r="Y126" s="10" t="inlineStr">
        <is>
          <t>馬場</t>
        </is>
      </c>
      <c r="Z126" s="10" t="inlineStr">
        <is>
          <t>大川内</t>
        </is>
      </c>
      <c r="AA126" s="10" t="inlineStr">
        <is>
          <t>欠員②</t>
        </is>
      </c>
      <c r="AB126" s="10" t="inlineStr">
        <is>
          <t>田中</t>
        </is>
      </c>
      <c r="AC126" s="10" t="inlineStr">
        <is>
          <t>欠員①</t>
        </is>
      </c>
      <c r="AD126" s="10" t="inlineStr">
        <is>
          <t>佐野</t>
        </is>
      </c>
      <c r="AE126" s="10" t="inlineStr">
        <is>
          <t>中村</t>
        </is>
      </c>
      <c r="AF126" s="10" t="inlineStr">
        <is>
          <t>栗下</t>
        </is>
      </c>
      <c r="AG126" s="10" t="inlineStr">
        <is>
          <t>安村</t>
        </is>
      </c>
      <c r="AH126" s="10" t="inlineStr">
        <is>
          <t>藤原</t>
        </is>
      </c>
      <c r="AI126" s="10" t="inlineStr">
        <is>
          <t>北川</t>
        </is>
      </c>
      <c r="AJ126" s="10" t="inlineStr">
        <is>
          <t>尾川</t>
        </is>
      </c>
      <c r="AK126" s="10" t="inlineStr">
        <is>
          <t>横田</t>
        </is>
      </c>
      <c r="AL126" s="10" t="inlineStr">
        <is>
          <t>谷川</t>
        </is>
      </c>
      <c r="AM126" s="10" t="inlineStr">
        <is>
          <t>矢田</t>
        </is>
      </c>
      <c r="AN126" s="10" t="inlineStr">
        <is>
          <t>山田久</t>
        </is>
      </c>
      <c r="AO126" s="10" t="inlineStr">
        <is>
          <t>山本高</t>
        </is>
      </c>
      <c r="AP126" s="10" t="inlineStr">
        <is>
          <t>中嶌</t>
        </is>
      </c>
    </row>
    <row r="127" ht="15" customHeight="1" s="37">
      <c r="A127" t="inlineStr">
        <is>
          <t>2026-09-07</t>
        </is>
      </c>
      <c r="B127" s="10" t="inlineStr">
        <is>
          <t>月</t>
        </is>
      </c>
      <c r="C127" s="10" t="inlineStr">
        <is>
          <t>平日</t>
        </is>
      </c>
      <c r="E127" s="10" t="inlineStr">
        <is>
          <t>市田</t>
        </is>
      </c>
      <c r="F127" s="10" t="inlineStr">
        <is>
          <t>山本幸</t>
        </is>
      </c>
      <c r="G127" s="10" t="inlineStr">
        <is>
          <t>柴田</t>
        </is>
      </c>
      <c r="H127" s="10" t="inlineStr">
        <is>
          <t>横山</t>
        </is>
      </c>
      <c r="I127" s="10" t="inlineStr">
        <is>
          <t>山田久</t>
        </is>
      </c>
      <c r="J127" s="10" t="inlineStr">
        <is>
          <t>内野</t>
        </is>
      </c>
      <c r="K127" s="10" t="inlineStr">
        <is>
          <t>栗下</t>
        </is>
      </c>
      <c r="L127" s="10" t="inlineStr">
        <is>
          <t>原</t>
        </is>
      </c>
      <c r="M127" s="10" t="inlineStr">
        <is>
          <t>欠員①</t>
        </is>
      </c>
      <c r="N127" s="10" t="inlineStr">
        <is>
          <t>中山</t>
        </is>
      </c>
      <c r="O127" s="10" t="inlineStr">
        <is>
          <t>植山</t>
        </is>
      </c>
      <c r="P127" s="10" t="inlineStr">
        <is>
          <t>横田</t>
        </is>
      </c>
      <c r="Q127" s="10" t="inlineStr">
        <is>
          <t>上田</t>
        </is>
      </c>
      <c r="R127" s="10" t="inlineStr">
        <is>
          <t>欠員②</t>
        </is>
      </c>
      <c r="S127" s="10" t="inlineStr">
        <is>
          <t>谷川</t>
        </is>
      </c>
      <c r="T127" s="10" t="inlineStr">
        <is>
          <t>富島</t>
        </is>
      </c>
      <c r="U127" s="10" t="inlineStr">
        <is>
          <t>中嶌</t>
        </is>
      </c>
      <c r="V127" s="10" t="inlineStr">
        <is>
          <t>藤原</t>
        </is>
      </c>
      <c r="W127" s="10" t="inlineStr">
        <is>
          <t>中村</t>
        </is>
      </c>
      <c r="X127" s="10" t="inlineStr">
        <is>
          <t>野口</t>
        </is>
      </c>
      <c r="Y127" s="10" t="inlineStr">
        <is>
          <t>尾川</t>
        </is>
      </c>
      <c r="Z127" s="10" t="inlineStr">
        <is>
          <t>田中</t>
        </is>
      </c>
      <c r="AA127" s="10" t="inlineStr">
        <is>
          <t>矢田</t>
        </is>
      </c>
      <c r="AB127" s="10" t="inlineStr">
        <is>
          <t>井川</t>
        </is>
      </c>
      <c r="AC127" s="10" t="inlineStr">
        <is>
          <t>山本高</t>
        </is>
      </c>
      <c r="AD127" s="10" t="inlineStr">
        <is>
          <t>上野</t>
        </is>
      </c>
      <c r="AE127" s="10" t="inlineStr">
        <is>
          <t>岡本</t>
        </is>
      </c>
      <c r="AF127" s="10" t="inlineStr">
        <is>
          <t>西村</t>
        </is>
      </c>
      <c r="AG127" s="10" t="inlineStr">
        <is>
          <t>丸田</t>
        </is>
      </c>
      <c r="AH127" s="10" t="inlineStr">
        <is>
          <t>岩田</t>
        </is>
      </c>
      <c r="AI127" s="10" t="inlineStr">
        <is>
          <t>河野</t>
        </is>
      </c>
      <c r="AJ127" s="10" t="inlineStr">
        <is>
          <t>門谷</t>
        </is>
      </c>
      <c r="AK127" s="10" t="inlineStr">
        <is>
          <t>北川</t>
        </is>
      </c>
      <c r="AL127" s="10" t="inlineStr">
        <is>
          <t>馬場</t>
        </is>
      </c>
      <c r="AM127" s="10" t="inlineStr">
        <is>
          <t>佐野</t>
        </is>
      </c>
      <c r="AN127" s="10" t="inlineStr">
        <is>
          <t>安村</t>
        </is>
      </c>
      <c r="AO127" s="10" t="inlineStr">
        <is>
          <t>山田真</t>
        </is>
      </c>
      <c r="AP127" s="10" t="inlineStr">
        <is>
          <t>大川内</t>
        </is>
      </c>
    </row>
    <row r="128" ht="15" customHeight="1" s="37">
      <c r="A128" t="inlineStr">
        <is>
          <t>2026-09-08</t>
        </is>
      </c>
      <c r="B128" s="10" t="inlineStr">
        <is>
          <t>火</t>
        </is>
      </c>
      <c r="C128" s="10" t="inlineStr">
        <is>
          <t>平日</t>
        </is>
      </c>
      <c r="E128" s="10" t="inlineStr">
        <is>
          <t>谷川</t>
        </is>
      </c>
      <c r="F128" s="10" t="inlineStr">
        <is>
          <t>欠員①</t>
        </is>
      </c>
      <c r="G128" s="10" t="inlineStr">
        <is>
          <t>藤原</t>
        </is>
      </c>
      <c r="H128" s="10" t="inlineStr">
        <is>
          <t>植山</t>
        </is>
      </c>
      <c r="I128" s="10" t="inlineStr">
        <is>
          <t>安村</t>
        </is>
      </c>
      <c r="J128" s="10" t="inlineStr">
        <is>
          <t>中村</t>
        </is>
      </c>
      <c r="K128" s="10" t="inlineStr">
        <is>
          <t>西村</t>
        </is>
      </c>
      <c r="L128" s="10" t="inlineStr">
        <is>
          <t>横田</t>
        </is>
      </c>
      <c r="M128" s="10" t="inlineStr">
        <is>
          <t>山本高</t>
        </is>
      </c>
      <c r="N128" s="10" t="inlineStr">
        <is>
          <t>欠員②</t>
        </is>
      </c>
      <c r="O128" s="10" t="inlineStr">
        <is>
          <t>野口</t>
        </is>
      </c>
      <c r="P128" s="10" t="inlineStr">
        <is>
          <t>北川</t>
        </is>
      </c>
      <c r="Q128" s="10" t="inlineStr">
        <is>
          <t>原</t>
        </is>
      </c>
      <c r="R128" s="10" t="inlineStr">
        <is>
          <t>矢田</t>
        </is>
      </c>
      <c r="S128" s="10" t="inlineStr">
        <is>
          <t>馬場</t>
        </is>
      </c>
      <c r="T128" s="10" t="inlineStr">
        <is>
          <t>中嶌</t>
        </is>
      </c>
      <c r="U128" s="10" t="inlineStr">
        <is>
          <t>大川内</t>
        </is>
      </c>
      <c r="V128" s="10" t="inlineStr">
        <is>
          <t>岩田</t>
        </is>
      </c>
      <c r="W128" s="10" t="inlineStr">
        <is>
          <t>岡本</t>
        </is>
      </c>
      <c r="X128" s="10" t="inlineStr">
        <is>
          <t>栗下</t>
        </is>
      </c>
      <c r="Y128" s="10" t="inlineStr">
        <is>
          <t>門谷</t>
        </is>
      </c>
      <c r="Z128" s="10" t="inlineStr">
        <is>
          <t>井川</t>
        </is>
      </c>
      <c r="AA128" s="10" t="inlineStr">
        <is>
          <t>佐野</t>
        </is>
      </c>
      <c r="AB128" s="10" t="inlineStr">
        <is>
          <t>内野</t>
        </is>
      </c>
      <c r="AC128" s="10" t="inlineStr">
        <is>
          <t>山田真</t>
        </is>
      </c>
      <c r="AD128" s="10" t="inlineStr">
        <is>
          <t>柴田</t>
        </is>
      </c>
      <c r="AE128" s="10" t="inlineStr">
        <is>
          <t>横山</t>
        </is>
      </c>
      <c r="AF128" s="10" t="inlineStr">
        <is>
          <t>山本幸</t>
        </is>
      </c>
      <c r="AG128" s="10" t="inlineStr">
        <is>
          <t>中山</t>
        </is>
      </c>
      <c r="AH128" s="10" t="inlineStr">
        <is>
          <t>上田</t>
        </is>
      </c>
      <c r="AI128" s="10" t="inlineStr">
        <is>
          <t>富島</t>
        </is>
      </c>
      <c r="AJ128" s="10" t="inlineStr">
        <is>
          <t>山田久</t>
        </is>
      </c>
      <c r="AK128" s="10" t="inlineStr">
        <is>
          <t>河野</t>
        </is>
      </c>
      <c r="AL128" s="10" t="inlineStr">
        <is>
          <t>尾川</t>
        </is>
      </c>
      <c r="AM128" s="10" t="inlineStr">
        <is>
          <t>上野</t>
        </is>
      </c>
      <c r="AN128" s="10" t="inlineStr">
        <is>
          <t>丸田</t>
        </is>
      </c>
      <c r="AO128" s="10" t="inlineStr">
        <is>
          <t>市田</t>
        </is>
      </c>
      <c r="AP128" s="10" t="inlineStr">
        <is>
          <t>田中</t>
        </is>
      </c>
    </row>
    <row r="129" ht="15" customHeight="1" s="37">
      <c r="A129" t="inlineStr">
        <is>
          <t>2026-09-09</t>
        </is>
      </c>
      <c r="B129" s="10" t="inlineStr">
        <is>
          <t>水</t>
        </is>
      </c>
      <c r="C129" s="10" t="inlineStr">
        <is>
          <t>平日</t>
        </is>
      </c>
      <c r="E129" s="10" t="inlineStr">
        <is>
          <t>馬場</t>
        </is>
      </c>
      <c r="F129" s="10" t="inlineStr">
        <is>
          <t>山本高</t>
        </is>
      </c>
      <c r="G129" s="10" t="inlineStr">
        <is>
          <t>岩田</t>
        </is>
      </c>
      <c r="H129" s="10" t="inlineStr">
        <is>
          <t>野口</t>
        </is>
      </c>
      <c r="I129" s="10" t="inlineStr">
        <is>
          <t>丸田</t>
        </is>
      </c>
      <c r="J129" s="10" t="inlineStr">
        <is>
          <t>岡本</t>
        </is>
      </c>
      <c r="K129" s="10" t="inlineStr">
        <is>
          <t>山本幸</t>
        </is>
      </c>
      <c r="L129" s="10" t="inlineStr">
        <is>
          <t>北川</t>
        </is>
      </c>
      <c r="M129" s="10" t="inlineStr">
        <is>
          <t>山田真</t>
        </is>
      </c>
      <c r="N129" s="10" t="inlineStr">
        <is>
          <t>矢田</t>
        </is>
      </c>
      <c r="O129" s="10" t="inlineStr">
        <is>
          <t>栗下</t>
        </is>
      </c>
      <c r="P129" s="10" t="inlineStr">
        <is>
          <t>河野</t>
        </is>
      </c>
      <c r="Q129" s="10" t="inlineStr">
        <is>
          <t>横田</t>
        </is>
      </c>
      <c r="R129" s="10" t="inlineStr">
        <is>
          <t>佐野</t>
        </is>
      </c>
      <c r="S129" s="10" t="inlineStr">
        <is>
          <t>尾川</t>
        </is>
      </c>
      <c r="T129" s="10" t="inlineStr">
        <is>
          <t>大川内</t>
        </is>
      </c>
      <c r="U129" s="10" t="inlineStr">
        <is>
          <t>田中</t>
        </is>
      </c>
      <c r="V129" s="10" t="inlineStr">
        <is>
          <t>上田</t>
        </is>
      </c>
      <c r="W129" s="10" t="inlineStr">
        <is>
          <t>横山</t>
        </is>
      </c>
      <c r="X129" s="10" t="inlineStr">
        <is>
          <t>西村</t>
        </is>
      </c>
      <c r="Y129" s="10" t="inlineStr">
        <is>
          <t>山田久</t>
        </is>
      </c>
      <c r="Z129" s="10" t="inlineStr">
        <is>
          <t>内野</t>
        </is>
      </c>
      <c r="AA129" s="10" t="inlineStr">
        <is>
          <t>上野</t>
        </is>
      </c>
      <c r="AB129" s="10" t="inlineStr">
        <is>
          <t>中村</t>
        </is>
      </c>
      <c r="AC129" s="10" t="inlineStr">
        <is>
          <t>市田</t>
        </is>
      </c>
      <c r="AD129" s="10" t="inlineStr">
        <is>
          <t>藤原</t>
        </is>
      </c>
      <c r="AE129" s="10" t="inlineStr">
        <is>
          <t>植山</t>
        </is>
      </c>
      <c r="AF129" s="10" t="inlineStr">
        <is>
          <t>欠員①</t>
        </is>
      </c>
      <c r="AG129" s="10" t="inlineStr">
        <is>
          <t>欠員②</t>
        </is>
      </c>
      <c r="AH129" s="10" t="inlineStr">
        <is>
          <t>原</t>
        </is>
      </c>
      <c r="AI129" s="10" t="inlineStr">
        <is>
          <t>中嶌</t>
        </is>
      </c>
      <c r="AJ129" s="10" t="inlineStr">
        <is>
          <t>安村</t>
        </is>
      </c>
      <c r="AK129" s="10" t="inlineStr">
        <is>
          <t>富島</t>
        </is>
      </c>
      <c r="AL129" s="10" t="inlineStr">
        <is>
          <t>門谷</t>
        </is>
      </c>
      <c r="AM129" s="10" t="inlineStr">
        <is>
          <t>柴田</t>
        </is>
      </c>
      <c r="AN129" s="10" t="inlineStr">
        <is>
          <t>中山</t>
        </is>
      </c>
      <c r="AO129" s="10" t="inlineStr">
        <is>
          <t>谷川</t>
        </is>
      </c>
      <c r="AP129" s="10" t="inlineStr">
        <is>
          <t>井川</t>
        </is>
      </c>
    </row>
    <row r="130" ht="15" customHeight="1" s="37">
      <c r="A130" t="inlineStr">
        <is>
          <t>2026-09-10</t>
        </is>
      </c>
      <c r="B130" s="10" t="inlineStr">
        <is>
          <t>木</t>
        </is>
      </c>
      <c r="C130" s="10" t="inlineStr">
        <is>
          <t>平日</t>
        </is>
      </c>
      <c r="E130" s="10" t="inlineStr">
        <is>
          <t>尾川</t>
        </is>
      </c>
      <c r="F130" s="10" t="inlineStr">
        <is>
          <t>山田真</t>
        </is>
      </c>
      <c r="G130" s="10" t="inlineStr">
        <is>
          <t>上田</t>
        </is>
      </c>
      <c r="H130" s="10" t="inlineStr">
        <is>
          <t>栗下</t>
        </is>
      </c>
      <c r="I130" s="10" t="inlineStr">
        <is>
          <t>中山</t>
        </is>
      </c>
      <c r="J130" s="10" t="inlineStr">
        <is>
          <t>横山</t>
        </is>
      </c>
      <c r="K130" s="10" t="inlineStr">
        <is>
          <t>欠員①</t>
        </is>
      </c>
      <c r="L130" s="10" t="inlineStr">
        <is>
          <t>河野</t>
        </is>
      </c>
      <c r="M130" s="10" t="inlineStr">
        <is>
          <t>市田</t>
        </is>
      </c>
      <c r="N130" s="10" t="inlineStr">
        <is>
          <t>佐野</t>
        </is>
      </c>
      <c r="O130" s="10" t="inlineStr">
        <is>
          <t>西村</t>
        </is>
      </c>
      <c r="P130" s="10" t="inlineStr">
        <is>
          <t>富島</t>
        </is>
      </c>
      <c r="Q130" s="10" t="inlineStr">
        <is>
          <t>北川</t>
        </is>
      </c>
      <c r="R130" s="10" t="inlineStr">
        <is>
          <t>上野</t>
        </is>
      </c>
      <c r="S130" s="10" t="inlineStr">
        <is>
          <t>門谷</t>
        </is>
      </c>
      <c r="T130" s="10" t="inlineStr">
        <is>
          <t>田中</t>
        </is>
      </c>
      <c r="U130" s="10" t="inlineStr">
        <is>
          <t>井川</t>
        </is>
      </c>
      <c r="V130" s="10" t="inlineStr">
        <is>
          <t>原</t>
        </is>
      </c>
      <c r="W130" s="10" t="inlineStr">
        <is>
          <t>植山</t>
        </is>
      </c>
      <c r="X130" s="10" t="inlineStr">
        <is>
          <t>山本幸</t>
        </is>
      </c>
      <c r="Y130" s="10" t="inlineStr">
        <is>
          <t>安村</t>
        </is>
      </c>
      <c r="Z130" s="10" t="inlineStr">
        <is>
          <t>中村</t>
        </is>
      </c>
      <c r="AA130" s="10" t="inlineStr">
        <is>
          <t>柴田</t>
        </is>
      </c>
      <c r="AB130" s="10" t="inlineStr">
        <is>
          <t>岡本</t>
        </is>
      </c>
      <c r="AC130" s="10" t="inlineStr">
        <is>
          <t>谷川</t>
        </is>
      </c>
      <c r="AD130" s="10" t="inlineStr">
        <is>
          <t>岩田</t>
        </is>
      </c>
      <c r="AE130" s="10" t="inlineStr">
        <is>
          <t>野口</t>
        </is>
      </c>
      <c r="AF130" s="10" t="inlineStr">
        <is>
          <t>山本高</t>
        </is>
      </c>
      <c r="AG130" s="10" t="inlineStr">
        <is>
          <t>矢田</t>
        </is>
      </c>
      <c r="AH130" s="10" t="inlineStr">
        <is>
          <t>横田</t>
        </is>
      </c>
      <c r="AI130" s="10" t="inlineStr">
        <is>
          <t>大川内</t>
        </is>
      </c>
      <c r="AJ130" s="10" t="inlineStr">
        <is>
          <t>丸田</t>
        </is>
      </c>
      <c r="AK130" s="10" t="inlineStr">
        <is>
          <t>中嶌</t>
        </is>
      </c>
      <c r="AL130" s="10" t="inlineStr">
        <is>
          <t>山田久</t>
        </is>
      </c>
      <c r="AM130" s="10" t="inlineStr">
        <is>
          <t>藤原</t>
        </is>
      </c>
      <c r="AN130" s="10" t="inlineStr">
        <is>
          <t>欠員②</t>
        </is>
      </c>
      <c r="AO130" s="10" t="inlineStr">
        <is>
          <t>馬場</t>
        </is>
      </c>
      <c r="AP130" s="10" t="inlineStr">
        <is>
          <t>内野</t>
        </is>
      </c>
    </row>
    <row r="131" ht="15" customHeight="1" s="37">
      <c r="A131" t="inlineStr">
        <is>
          <t>2026-09-11</t>
        </is>
      </c>
      <c r="B131" s="10" t="inlineStr">
        <is>
          <t>金</t>
        </is>
      </c>
      <c r="C131" s="10" t="inlineStr">
        <is>
          <t>平日</t>
        </is>
      </c>
      <c r="E131" s="10" t="inlineStr">
        <is>
          <t>門谷</t>
        </is>
      </c>
      <c r="F131" s="10" t="inlineStr">
        <is>
          <t>市田</t>
        </is>
      </c>
      <c r="G131" s="10" t="inlineStr">
        <is>
          <t>原</t>
        </is>
      </c>
      <c r="H131" s="10" t="inlineStr">
        <is>
          <t>西村</t>
        </is>
      </c>
      <c r="I131" s="10" t="inlineStr">
        <is>
          <t>欠員②</t>
        </is>
      </c>
      <c r="J131" s="10" t="inlineStr">
        <is>
          <t>植山</t>
        </is>
      </c>
      <c r="K131" s="10" t="inlineStr">
        <is>
          <t>山本高</t>
        </is>
      </c>
      <c r="L131" s="10" t="inlineStr">
        <is>
          <t>富島</t>
        </is>
      </c>
      <c r="M131" s="10" t="inlineStr">
        <is>
          <t>谷川</t>
        </is>
      </c>
      <c r="N131" s="10" t="inlineStr">
        <is>
          <t>上野</t>
        </is>
      </c>
      <c r="O131" s="10" t="inlineStr">
        <is>
          <t>山本幸</t>
        </is>
      </c>
      <c r="P131" s="10" t="inlineStr">
        <is>
          <t>中嶌</t>
        </is>
      </c>
      <c r="Q131" s="10" t="inlineStr">
        <is>
          <t>河野</t>
        </is>
      </c>
      <c r="R131" s="10" t="inlineStr">
        <is>
          <t>柴田</t>
        </is>
      </c>
      <c r="S131" s="10" t="inlineStr">
        <is>
          <t>山田久</t>
        </is>
      </c>
      <c r="T131" s="10" t="inlineStr">
        <is>
          <t>井川</t>
        </is>
      </c>
      <c r="U131" s="10" t="inlineStr">
        <is>
          <t>内野</t>
        </is>
      </c>
      <c r="V131" s="10" t="inlineStr">
        <is>
          <t>横田</t>
        </is>
      </c>
      <c r="W131" s="10" t="inlineStr">
        <is>
          <t>野口</t>
        </is>
      </c>
      <c r="X131" s="10" t="inlineStr">
        <is>
          <t>欠員①</t>
        </is>
      </c>
      <c r="Y131" s="10" t="inlineStr">
        <is>
          <t>丸田</t>
        </is>
      </c>
      <c r="Z131" s="10" t="inlineStr">
        <is>
          <t>岡本</t>
        </is>
      </c>
      <c r="AA131" s="10" t="inlineStr">
        <is>
          <t>藤原</t>
        </is>
      </c>
      <c r="AB131" s="10" t="inlineStr">
        <is>
          <t>横山</t>
        </is>
      </c>
      <c r="AC131" s="10" t="inlineStr">
        <is>
          <t>馬場</t>
        </is>
      </c>
      <c r="AD131" s="10" t="inlineStr">
        <is>
          <t>上田</t>
        </is>
      </c>
      <c r="AE131" s="10" t="inlineStr">
        <is>
          <t>栗下</t>
        </is>
      </c>
      <c r="AF131" s="10" t="inlineStr">
        <is>
          <t>山田真</t>
        </is>
      </c>
      <c r="AG131" s="10" t="inlineStr">
        <is>
          <t>佐野</t>
        </is>
      </c>
      <c r="AH131" s="10" t="inlineStr">
        <is>
          <t>北川</t>
        </is>
      </c>
      <c r="AI131" s="10" t="inlineStr">
        <is>
          <t>田中</t>
        </is>
      </c>
      <c r="AJ131" s="10" t="inlineStr">
        <is>
          <t>中山</t>
        </is>
      </c>
      <c r="AK131" s="10" t="inlineStr">
        <is>
          <t>大川内</t>
        </is>
      </c>
      <c r="AL131" s="10" t="inlineStr">
        <is>
          <t>安村</t>
        </is>
      </c>
      <c r="AM131" s="10" t="inlineStr">
        <is>
          <t>岩田</t>
        </is>
      </c>
      <c r="AN131" s="10" t="inlineStr">
        <is>
          <t>矢田</t>
        </is>
      </c>
      <c r="AO131" s="10" t="inlineStr">
        <is>
          <t>尾川</t>
        </is>
      </c>
      <c r="AP131" s="10" t="inlineStr">
        <is>
          <t>中村</t>
        </is>
      </c>
    </row>
    <row r="132" ht="15" customHeight="1" s="37">
      <c r="A132" t="inlineStr">
        <is>
          <t>2026-09-12</t>
        </is>
      </c>
      <c r="B132" s="10" t="inlineStr">
        <is>
          <t>土</t>
        </is>
      </c>
      <c r="C132" s="10" t="inlineStr">
        <is>
          <t>休日</t>
        </is>
      </c>
      <c r="E132" s="10" t="inlineStr">
        <is>
          <t>山田久</t>
        </is>
      </c>
      <c r="F132" s="10" t="inlineStr">
        <is>
          <t>谷川</t>
        </is>
      </c>
      <c r="G132" s="10" t="inlineStr">
        <is>
          <t>横田</t>
        </is>
      </c>
      <c r="H132" s="10" t="inlineStr">
        <is>
          <t>山本幸</t>
        </is>
      </c>
      <c r="I132" s="10" t="inlineStr">
        <is>
          <t>矢田</t>
        </is>
      </c>
      <c r="J132" s="10" t="inlineStr">
        <is>
          <t>野口</t>
        </is>
      </c>
      <c r="K132" s="10" t="inlineStr">
        <is>
          <t>山田真</t>
        </is>
      </c>
      <c r="L132" s="10" t="inlineStr">
        <is>
          <t>中嶌</t>
        </is>
      </c>
      <c r="M132" s="10" t="inlineStr">
        <is>
          <t>馬場</t>
        </is>
      </c>
      <c r="N132" s="10" t="inlineStr">
        <is>
          <t>柴田</t>
        </is>
      </c>
      <c r="O132" s="10" t="inlineStr">
        <is>
          <t>欠員①</t>
        </is>
      </c>
      <c r="P132" s="10" t="inlineStr">
        <is>
          <t>大川内</t>
        </is>
      </c>
      <c r="Q132" s="10" t="inlineStr">
        <is>
          <t>富島</t>
        </is>
      </c>
      <c r="R132" s="10" t="inlineStr">
        <is>
          <t>藤原</t>
        </is>
      </c>
      <c r="S132" s="10" t="inlineStr">
        <is>
          <t>安村</t>
        </is>
      </c>
      <c r="T132" s="10" t="inlineStr">
        <is>
          <t>内野</t>
        </is>
      </c>
      <c r="U132" s="10" t="inlineStr">
        <is>
          <t>中村</t>
        </is>
      </c>
      <c r="V132" s="10" t="inlineStr">
        <is>
          <t>北川</t>
        </is>
      </c>
      <c r="W132" s="10" t="inlineStr">
        <is>
          <t>栗下</t>
        </is>
      </c>
      <c r="X132" s="10" t="inlineStr">
        <is>
          <t>山本高</t>
        </is>
      </c>
      <c r="Y132" s="10" t="inlineStr">
        <is>
          <t>中山</t>
        </is>
      </c>
      <c r="Z132" s="10" t="inlineStr">
        <is>
          <t>横山</t>
        </is>
      </c>
      <c r="AA132" s="10" t="inlineStr">
        <is>
          <t>岩田</t>
        </is>
      </c>
      <c r="AB132" s="10" t="inlineStr">
        <is>
          <t>植山</t>
        </is>
      </c>
      <c r="AC132" s="10" t="inlineStr">
        <is>
          <t>尾川</t>
        </is>
      </c>
      <c r="AD132" s="10" t="inlineStr">
        <is>
          <t>原</t>
        </is>
      </c>
      <c r="AE132" s="10" t="inlineStr">
        <is>
          <t>西村</t>
        </is>
      </c>
      <c r="AF132" s="10" t="inlineStr">
        <is>
          <t>市田</t>
        </is>
      </c>
      <c r="AG132" s="10" t="inlineStr">
        <is>
          <t>上野</t>
        </is>
      </c>
      <c r="AH132" s="10" t="inlineStr">
        <is>
          <t>河野</t>
        </is>
      </c>
      <c r="AI132" s="10" t="inlineStr">
        <is>
          <t>井川</t>
        </is>
      </c>
      <c r="AJ132" s="10" t="inlineStr">
        <is>
          <t>欠員②</t>
        </is>
      </c>
      <c r="AK132" s="10" t="inlineStr">
        <is>
          <t>田中</t>
        </is>
      </c>
      <c r="AL132" s="10" t="inlineStr">
        <is>
          <t>丸田</t>
        </is>
      </c>
      <c r="AM132" s="10" t="inlineStr">
        <is>
          <t>上田</t>
        </is>
      </c>
      <c r="AN132" s="10" t="inlineStr">
        <is>
          <t>佐野</t>
        </is>
      </c>
      <c r="AO132" s="10" t="inlineStr">
        <is>
          <t>門谷</t>
        </is>
      </c>
      <c r="AP132" s="10" t="inlineStr">
        <is>
          <t>岡本</t>
        </is>
      </c>
    </row>
    <row r="133" ht="15" customHeight="1" s="37">
      <c r="A133" t="inlineStr">
        <is>
          <t>2026-09-13</t>
        </is>
      </c>
      <c r="B133" s="10" t="inlineStr">
        <is>
          <t>日</t>
        </is>
      </c>
      <c r="C133" s="10" t="inlineStr">
        <is>
          <t>休日</t>
        </is>
      </c>
      <c r="E133" s="10" t="inlineStr">
        <is>
          <t>安村</t>
        </is>
      </c>
      <c r="F133" s="10" t="inlineStr">
        <is>
          <t>馬場</t>
        </is>
      </c>
      <c r="G133" s="10" t="inlineStr">
        <is>
          <t>北川</t>
        </is>
      </c>
      <c r="H133" s="10" t="inlineStr">
        <is>
          <t>欠員①</t>
        </is>
      </c>
      <c r="I133" s="10" t="inlineStr">
        <is>
          <t>佐野</t>
        </is>
      </c>
      <c r="J133" s="10" t="inlineStr">
        <is>
          <t>栗下</t>
        </is>
      </c>
      <c r="K133" s="10" t="inlineStr">
        <is>
          <t>市田</t>
        </is>
      </c>
      <c r="L133" s="10" t="inlineStr">
        <is>
          <t>大川内</t>
        </is>
      </c>
      <c r="M133" s="10" t="inlineStr">
        <is>
          <t>尾川</t>
        </is>
      </c>
      <c r="N133" s="10" t="inlineStr">
        <is>
          <t>藤原</t>
        </is>
      </c>
      <c r="O133" s="10" t="inlineStr">
        <is>
          <t>山本高</t>
        </is>
      </c>
      <c r="P133" s="10" t="inlineStr">
        <is>
          <t>田中</t>
        </is>
      </c>
      <c r="Q133" s="10" t="inlineStr">
        <is>
          <t>中嶌</t>
        </is>
      </c>
      <c r="R133" s="10" t="inlineStr">
        <is>
          <t>岩田</t>
        </is>
      </c>
      <c r="S133" s="10" t="inlineStr">
        <is>
          <t>丸田</t>
        </is>
      </c>
      <c r="T133" s="10" t="inlineStr">
        <is>
          <t>中村</t>
        </is>
      </c>
      <c r="U133" s="10" t="inlineStr">
        <is>
          <t>岡本</t>
        </is>
      </c>
      <c r="V133" s="10" t="inlineStr">
        <is>
          <t>河野</t>
        </is>
      </c>
      <c r="W133" s="10" t="inlineStr">
        <is>
          <t>西村</t>
        </is>
      </c>
      <c r="X133" s="10" t="inlineStr">
        <is>
          <t>山田真</t>
        </is>
      </c>
      <c r="Y133" s="10" t="inlineStr">
        <is>
          <t>欠員②</t>
        </is>
      </c>
      <c r="Z133" s="10" t="inlineStr">
        <is>
          <t>植山</t>
        </is>
      </c>
      <c r="AA133" s="10" t="inlineStr">
        <is>
          <t>上田</t>
        </is>
      </c>
      <c r="AB133" s="10" t="inlineStr">
        <is>
          <t>野口</t>
        </is>
      </c>
      <c r="AC133" s="10" t="inlineStr">
        <is>
          <t>門谷</t>
        </is>
      </c>
      <c r="AD133" s="10" t="inlineStr">
        <is>
          <t>横田</t>
        </is>
      </c>
      <c r="AE133" s="10" t="inlineStr">
        <is>
          <t>山本幸</t>
        </is>
      </c>
      <c r="AF133" s="10" t="inlineStr">
        <is>
          <t>谷川</t>
        </is>
      </c>
      <c r="AG133" s="10" t="inlineStr">
        <is>
          <t>柴田</t>
        </is>
      </c>
      <c r="AH133" s="10" t="inlineStr">
        <is>
          <t>富島</t>
        </is>
      </c>
      <c r="AI133" s="10" t="inlineStr">
        <is>
          <t>内野</t>
        </is>
      </c>
      <c r="AJ133" s="10" t="inlineStr">
        <is>
          <t>矢田</t>
        </is>
      </c>
      <c r="AK133" s="10" t="inlineStr">
        <is>
          <t>井川</t>
        </is>
      </c>
      <c r="AL133" s="10" t="inlineStr">
        <is>
          <t>中山</t>
        </is>
      </c>
      <c r="AM133" s="10" t="inlineStr">
        <is>
          <t>原</t>
        </is>
      </c>
      <c r="AN133" s="10" t="inlineStr">
        <is>
          <t>上野</t>
        </is>
      </c>
      <c r="AO133" s="10" t="inlineStr">
        <is>
          <t>山田久</t>
        </is>
      </c>
      <c r="AP133" s="10" t="inlineStr">
        <is>
          <t>横山</t>
        </is>
      </c>
    </row>
    <row r="134" ht="15" customHeight="1" s="37">
      <c r="A134" t="inlineStr">
        <is>
          <t>2026-09-14</t>
        </is>
      </c>
      <c r="B134" s="10" t="inlineStr">
        <is>
          <t>月</t>
        </is>
      </c>
      <c r="C134" s="10" t="inlineStr">
        <is>
          <t>平日</t>
        </is>
      </c>
      <c r="E134" s="10" t="inlineStr">
        <is>
          <t>丸田</t>
        </is>
      </c>
      <c r="F134" s="10" t="inlineStr">
        <is>
          <t>尾川</t>
        </is>
      </c>
      <c r="G134" s="10" t="inlineStr">
        <is>
          <t>河野</t>
        </is>
      </c>
      <c r="H134" s="10" t="inlineStr">
        <is>
          <t>山本高</t>
        </is>
      </c>
      <c r="I134" s="10" t="inlineStr">
        <is>
          <t>上野</t>
        </is>
      </c>
      <c r="J134" s="10" t="inlineStr">
        <is>
          <t>西村</t>
        </is>
      </c>
      <c r="K134" s="10" t="inlineStr">
        <is>
          <t>谷川</t>
        </is>
      </c>
      <c r="L134" s="10" t="inlineStr">
        <is>
          <t>田中</t>
        </is>
      </c>
      <c r="M134" s="10" t="inlineStr">
        <is>
          <t>門谷</t>
        </is>
      </c>
      <c r="N134" s="10" t="inlineStr">
        <is>
          <t>岩田</t>
        </is>
      </c>
      <c r="O134" s="10" t="inlineStr">
        <is>
          <t>山田真</t>
        </is>
      </c>
      <c r="P134" s="10" t="inlineStr">
        <is>
          <t>井川</t>
        </is>
      </c>
      <c r="Q134" s="10" t="inlineStr">
        <is>
          <t>大川内</t>
        </is>
      </c>
      <c r="R134" s="10" t="inlineStr">
        <is>
          <t>上田</t>
        </is>
      </c>
      <c r="S134" s="10" t="inlineStr">
        <is>
          <t>中山</t>
        </is>
      </c>
      <c r="T134" s="10" t="inlineStr">
        <is>
          <t>岡本</t>
        </is>
      </c>
      <c r="U134" s="10" t="inlineStr">
        <is>
          <t>横山</t>
        </is>
      </c>
      <c r="V134" s="10" t="inlineStr">
        <is>
          <t>富島</t>
        </is>
      </c>
      <c r="W134" s="10" t="inlineStr">
        <is>
          <t>山本幸</t>
        </is>
      </c>
      <c r="X134" s="10" t="inlineStr">
        <is>
          <t>市田</t>
        </is>
      </c>
      <c r="Y134" s="10" t="inlineStr">
        <is>
          <t>矢田</t>
        </is>
      </c>
      <c r="Z134" s="10" t="inlineStr">
        <is>
          <t>野口</t>
        </is>
      </c>
      <c r="AA134" s="10" t="inlineStr">
        <is>
          <t>原</t>
        </is>
      </c>
      <c r="AB134" s="10" t="inlineStr">
        <is>
          <t>栗下</t>
        </is>
      </c>
      <c r="AC134" s="10" t="inlineStr">
        <is>
          <t>山田久</t>
        </is>
      </c>
      <c r="AD134" s="10" t="inlineStr">
        <is>
          <t>北川</t>
        </is>
      </c>
      <c r="AE134" s="10" t="inlineStr">
        <is>
          <t>欠員①</t>
        </is>
      </c>
      <c r="AF134" s="10" t="inlineStr">
        <is>
          <t>馬場</t>
        </is>
      </c>
      <c r="AG134" s="10" t="inlineStr">
        <is>
          <t>藤原</t>
        </is>
      </c>
      <c r="AH134" s="10" t="inlineStr">
        <is>
          <t>中嶌</t>
        </is>
      </c>
      <c r="AI134" s="10" t="inlineStr">
        <is>
          <t>中村</t>
        </is>
      </c>
      <c r="AJ134" s="10" t="inlineStr">
        <is>
          <t>佐野</t>
        </is>
      </c>
      <c r="AK134" s="10" t="inlineStr">
        <is>
          <t>内野</t>
        </is>
      </c>
      <c r="AL134" s="10" t="inlineStr">
        <is>
          <t>欠員②</t>
        </is>
      </c>
      <c r="AM134" s="10" t="inlineStr">
        <is>
          <t>横田</t>
        </is>
      </c>
      <c r="AN134" s="10" t="inlineStr">
        <is>
          <t>柴田</t>
        </is>
      </c>
      <c r="AO134" s="10" t="inlineStr">
        <is>
          <t>安村</t>
        </is>
      </c>
      <c r="AP134" s="10" t="inlineStr">
        <is>
          <t>植山</t>
        </is>
      </c>
    </row>
    <row r="135" ht="15" customHeight="1" s="37">
      <c r="A135" t="inlineStr">
        <is>
          <t>2026-09-15</t>
        </is>
      </c>
      <c r="B135" s="10" t="inlineStr">
        <is>
          <t>火</t>
        </is>
      </c>
      <c r="C135" s="10" t="inlineStr">
        <is>
          <t>平日</t>
        </is>
      </c>
      <c r="E135" s="10" t="inlineStr">
        <is>
          <t>中山</t>
        </is>
      </c>
      <c r="F135" s="10" t="inlineStr">
        <is>
          <t>門谷</t>
        </is>
      </c>
      <c r="G135" s="10" t="inlineStr">
        <is>
          <t>富島</t>
        </is>
      </c>
      <c r="H135" s="10" t="inlineStr">
        <is>
          <t>山田真</t>
        </is>
      </c>
      <c r="I135" s="10" t="inlineStr">
        <is>
          <t>柴田</t>
        </is>
      </c>
      <c r="J135" s="10" t="inlineStr">
        <is>
          <t>山本幸</t>
        </is>
      </c>
      <c r="K135" s="10" t="inlineStr">
        <is>
          <t>馬場</t>
        </is>
      </c>
      <c r="L135" s="10" t="inlineStr">
        <is>
          <t>井川</t>
        </is>
      </c>
      <c r="M135" s="10" t="inlineStr">
        <is>
          <t>山田久</t>
        </is>
      </c>
      <c r="N135" s="10" t="inlineStr">
        <is>
          <t>上田</t>
        </is>
      </c>
      <c r="O135" s="10" t="inlineStr">
        <is>
          <t>市田</t>
        </is>
      </c>
      <c r="P135" s="10" t="inlineStr">
        <is>
          <t>内野</t>
        </is>
      </c>
      <c r="Q135" s="10" t="inlineStr">
        <is>
          <t>田中</t>
        </is>
      </c>
      <c r="R135" s="10" t="inlineStr">
        <is>
          <t>原</t>
        </is>
      </c>
      <c r="S135" s="10" t="inlineStr">
        <is>
          <t>欠員②</t>
        </is>
      </c>
      <c r="T135" s="10" t="inlineStr">
        <is>
          <t>横山</t>
        </is>
      </c>
      <c r="U135" s="10" t="inlineStr">
        <is>
          <t>植山</t>
        </is>
      </c>
      <c r="V135" s="10" t="inlineStr">
        <is>
          <t>中嶌</t>
        </is>
      </c>
      <c r="W135" s="10" t="inlineStr">
        <is>
          <t>欠員①</t>
        </is>
      </c>
      <c r="X135" s="10" t="inlineStr">
        <is>
          <t>谷川</t>
        </is>
      </c>
      <c r="Y135" s="10" t="inlineStr">
        <is>
          <t>佐野</t>
        </is>
      </c>
      <c r="Z135" s="10" t="inlineStr">
        <is>
          <t>栗下</t>
        </is>
      </c>
      <c r="AA135" s="10" t="inlineStr">
        <is>
          <t>横田</t>
        </is>
      </c>
      <c r="AB135" s="10" t="inlineStr">
        <is>
          <t>西村</t>
        </is>
      </c>
      <c r="AC135" s="10" t="inlineStr">
        <is>
          <t>安村</t>
        </is>
      </c>
      <c r="AD135" s="10" t="inlineStr">
        <is>
          <t>河野</t>
        </is>
      </c>
      <c r="AE135" s="10" t="inlineStr">
        <is>
          <t>山本高</t>
        </is>
      </c>
      <c r="AF135" s="10" t="inlineStr">
        <is>
          <t>尾川</t>
        </is>
      </c>
      <c r="AG135" s="10" t="inlineStr">
        <is>
          <t>岩田</t>
        </is>
      </c>
      <c r="AH135" s="10" t="inlineStr">
        <is>
          <t>大川内</t>
        </is>
      </c>
      <c r="AI135" s="10" t="inlineStr">
        <is>
          <t>岡本</t>
        </is>
      </c>
      <c r="AJ135" s="10" t="inlineStr">
        <is>
          <t>上野</t>
        </is>
      </c>
      <c r="AK135" s="10" t="inlineStr">
        <is>
          <t>中村</t>
        </is>
      </c>
      <c r="AL135" s="10" t="inlineStr">
        <is>
          <t>矢田</t>
        </is>
      </c>
      <c r="AM135" s="10" t="inlineStr">
        <is>
          <t>北川</t>
        </is>
      </c>
      <c r="AN135" s="10" t="inlineStr">
        <is>
          <t>藤原</t>
        </is>
      </c>
      <c r="AO135" s="10" t="inlineStr">
        <is>
          <t>丸田</t>
        </is>
      </c>
      <c r="AP135" s="10" t="inlineStr">
        <is>
          <t>野口</t>
        </is>
      </c>
    </row>
    <row r="136" ht="15" customHeight="1" s="37">
      <c r="A136" t="inlineStr">
        <is>
          <t>2026-09-16</t>
        </is>
      </c>
      <c r="B136" s="10" t="inlineStr">
        <is>
          <t>水</t>
        </is>
      </c>
      <c r="C136" s="10" t="inlineStr">
        <is>
          <t>平日</t>
        </is>
      </c>
      <c r="E136" s="10" t="inlineStr">
        <is>
          <t>欠員②</t>
        </is>
      </c>
      <c r="F136" s="10" t="inlineStr">
        <is>
          <t>山田久</t>
        </is>
      </c>
      <c r="G136" s="10" t="inlineStr">
        <is>
          <t>中嶌</t>
        </is>
      </c>
      <c r="H136" s="10" t="inlineStr">
        <is>
          <t>市田</t>
        </is>
      </c>
      <c r="I136" s="10" t="inlineStr">
        <is>
          <t>藤原</t>
        </is>
      </c>
      <c r="J136" s="10" t="inlineStr">
        <is>
          <t>欠員①</t>
        </is>
      </c>
      <c r="K136" s="10" t="inlineStr">
        <is>
          <t>尾川</t>
        </is>
      </c>
      <c r="L136" s="10" t="inlineStr">
        <is>
          <t>内野</t>
        </is>
      </c>
      <c r="M136" s="10" t="inlineStr">
        <is>
          <t>安村</t>
        </is>
      </c>
      <c r="N136" s="10" t="inlineStr">
        <is>
          <t>原</t>
        </is>
      </c>
      <c r="O136" s="10" t="inlineStr">
        <is>
          <t>谷川</t>
        </is>
      </c>
      <c r="P136" s="10" t="inlineStr">
        <is>
          <t>中村</t>
        </is>
      </c>
      <c r="Q136" s="10" t="inlineStr">
        <is>
          <t>井川</t>
        </is>
      </c>
      <c r="R136" s="10" t="inlineStr">
        <is>
          <t>横田</t>
        </is>
      </c>
      <c r="S136" s="10" t="inlineStr">
        <is>
          <t>矢田</t>
        </is>
      </c>
      <c r="T136" s="10" t="inlineStr">
        <is>
          <t>植山</t>
        </is>
      </c>
      <c r="U136" s="10" t="inlineStr">
        <is>
          <t>野口</t>
        </is>
      </c>
      <c r="V136" s="10" t="inlineStr">
        <is>
          <t>大川内</t>
        </is>
      </c>
      <c r="W136" s="10" t="inlineStr">
        <is>
          <t>山本高</t>
        </is>
      </c>
      <c r="X136" s="10" t="inlineStr">
        <is>
          <t>馬場</t>
        </is>
      </c>
      <c r="Y136" s="10" t="inlineStr">
        <is>
          <t>上野</t>
        </is>
      </c>
      <c r="Z136" s="10" t="inlineStr">
        <is>
          <t>西村</t>
        </is>
      </c>
      <c r="AA136" s="10" t="inlineStr">
        <is>
          <t>北川</t>
        </is>
      </c>
      <c r="AB136" s="10" t="inlineStr">
        <is>
          <t>山本幸</t>
        </is>
      </c>
      <c r="AC136" s="10" t="inlineStr">
        <is>
          <t>丸田</t>
        </is>
      </c>
      <c r="AD136" s="10" t="inlineStr">
        <is>
          <t>富島</t>
        </is>
      </c>
      <c r="AE136" s="10" t="inlineStr">
        <is>
          <t>山田真</t>
        </is>
      </c>
      <c r="AF136" s="10" t="inlineStr">
        <is>
          <t>門谷</t>
        </is>
      </c>
      <c r="AG136" s="10" t="inlineStr">
        <is>
          <t>上田</t>
        </is>
      </c>
      <c r="AH136" s="10" t="inlineStr">
        <is>
          <t>田中</t>
        </is>
      </c>
      <c r="AI136" s="10" t="inlineStr">
        <is>
          <t>横山</t>
        </is>
      </c>
      <c r="AJ136" s="10" t="inlineStr">
        <is>
          <t>柴田</t>
        </is>
      </c>
      <c r="AK136" s="10" t="inlineStr">
        <is>
          <t>岡本</t>
        </is>
      </c>
      <c r="AL136" s="10" t="inlineStr">
        <is>
          <t>佐野</t>
        </is>
      </c>
      <c r="AM136" s="10" t="inlineStr">
        <is>
          <t>河野</t>
        </is>
      </c>
      <c r="AN136" s="10" t="inlineStr">
        <is>
          <t>岩田</t>
        </is>
      </c>
      <c r="AO136" s="10" t="inlineStr">
        <is>
          <t>中山</t>
        </is>
      </c>
      <c r="AP136" s="10" t="inlineStr">
        <is>
          <t>栗下</t>
        </is>
      </c>
    </row>
    <row r="137" ht="15" customHeight="1" s="37">
      <c r="A137" t="inlineStr">
        <is>
          <t>2026-09-17</t>
        </is>
      </c>
      <c r="B137" s="10" t="inlineStr">
        <is>
          <t>木</t>
        </is>
      </c>
      <c r="C137" s="10" t="inlineStr">
        <is>
          <t>平日</t>
        </is>
      </c>
      <c r="E137" s="10" t="inlineStr">
        <is>
          <t>矢田</t>
        </is>
      </c>
      <c r="F137" s="10" t="inlineStr">
        <is>
          <t>安村</t>
        </is>
      </c>
      <c r="G137" s="10" t="inlineStr">
        <is>
          <t>大川内</t>
        </is>
      </c>
      <c r="H137" s="10" t="inlineStr">
        <is>
          <t>谷川</t>
        </is>
      </c>
      <c r="I137" s="10" t="inlineStr">
        <is>
          <t>岩田</t>
        </is>
      </c>
      <c r="J137" s="10" t="inlineStr">
        <is>
          <t>山本高</t>
        </is>
      </c>
      <c r="K137" s="10" t="inlineStr">
        <is>
          <t>門谷</t>
        </is>
      </c>
      <c r="L137" s="10" t="inlineStr">
        <is>
          <t>中村</t>
        </is>
      </c>
      <c r="M137" s="10" t="inlineStr">
        <is>
          <t>丸田</t>
        </is>
      </c>
      <c r="N137" s="10" t="inlineStr">
        <is>
          <t>横田</t>
        </is>
      </c>
      <c r="O137" s="10" t="inlineStr">
        <is>
          <t>馬場</t>
        </is>
      </c>
      <c r="P137" s="10" t="inlineStr">
        <is>
          <t>岡本</t>
        </is>
      </c>
      <c r="Q137" s="10" t="inlineStr">
        <is>
          <t>内野</t>
        </is>
      </c>
      <c r="R137" s="10" t="inlineStr">
        <is>
          <t>北川</t>
        </is>
      </c>
      <c r="S137" s="10" t="inlineStr">
        <is>
          <t>佐野</t>
        </is>
      </c>
      <c r="T137" s="10" t="inlineStr">
        <is>
          <t>野口</t>
        </is>
      </c>
      <c r="U137" s="10" t="inlineStr">
        <is>
          <t>栗下</t>
        </is>
      </c>
      <c r="V137" s="10" t="inlineStr">
        <is>
          <t>田中</t>
        </is>
      </c>
      <c r="W137" s="10" t="inlineStr">
        <is>
          <t>山田真</t>
        </is>
      </c>
      <c r="X137" s="10" t="inlineStr">
        <is>
          <t>尾川</t>
        </is>
      </c>
      <c r="Y137" s="10" t="inlineStr">
        <is>
          <t>柴田</t>
        </is>
      </c>
      <c r="Z137" s="10" t="inlineStr">
        <is>
          <t>山本幸</t>
        </is>
      </c>
      <c r="AA137" s="10" t="inlineStr">
        <is>
          <t>河野</t>
        </is>
      </c>
      <c r="AB137" s="10" t="inlineStr">
        <is>
          <t>欠員①</t>
        </is>
      </c>
      <c r="AC137" s="10" t="inlineStr">
        <is>
          <t>中山</t>
        </is>
      </c>
      <c r="AD137" s="10" t="inlineStr">
        <is>
          <t>中嶌</t>
        </is>
      </c>
      <c r="AE137" s="10" t="inlineStr">
        <is>
          <t>市田</t>
        </is>
      </c>
      <c r="AF137" s="10" t="inlineStr">
        <is>
          <t>山田久</t>
        </is>
      </c>
      <c r="AG137" s="10" t="inlineStr">
        <is>
          <t>原</t>
        </is>
      </c>
      <c r="AH137" s="10" t="inlineStr">
        <is>
          <t>井川</t>
        </is>
      </c>
      <c r="AI137" s="10" t="inlineStr">
        <is>
          <t>植山</t>
        </is>
      </c>
      <c r="AJ137" s="10" t="inlineStr">
        <is>
          <t>藤原</t>
        </is>
      </c>
      <c r="AK137" s="10" t="inlineStr">
        <is>
          <t>横山</t>
        </is>
      </c>
      <c r="AL137" s="10" t="inlineStr">
        <is>
          <t>上野</t>
        </is>
      </c>
      <c r="AM137" s="10" t="inlineStr">
        <is>
          <t>富島</t>
        </is>
      </c>
      <c r="AN137" s="10" t="inlineStr">
        <is>
          <t>上田</t>
        </is>
      </c>
      <c r="AO137" s="10" t="inlineStr">
        <is>
          <t>欠員②</t>
        </is>
      </c>
      <c r="AP137" s="10" t="inlineStr">
        <is>
          <t>西村</t>
        </is>
      </c>
    </row>
    <row r="138" ht="15" customHeight="1" s="37">
      <c r="A138" t="inlineStr">
        <is>
          <t>2026-09-18</t>
        </is>
      </c>
      <c r="B138" s="10" t="inlineStr">
        <is>
          <t>金</t>
        </is>
      </c>
      <c r="C138" s="10" t="inlineStr">
        <is>
          <t>平日</t>
        </is>
      </c>
      <c r="E138" s="10" t="inlineStr">
        <is>
          <t>佐野</t>
        </is>
      </c>
      <c r="F138" s="10" t="inlineStr">
        <is>
          <t>丸田</t>
        </is>
      </c>
      <c r="G138" s="10" t="inlineStr">
        <is>
          <t>田中</t>
        </is>
      </c>
      <c r="H138" s="10" t="inlineStr">
        <is>
          <t>馬場</t>
        </is>
      </c>
      <c r="I138" s="10" t="inlineStr">
        <is>
          <t>上田</t>
        </is>
      </c>
      <c r="J138" s="10" t="inlineStr">
        <is>
          <t>山田真</t>
        </is>
      </c>
      <c r="K138" s="10" t="inlineStr">
        <is>
          <t>山田久</t>
        </is>
      </c>
      <c r="L138" s="10" t="inlineStr">
        <is>
          <t>岡本</t>
        </is>
      </c>
      <c r="M138" s="10" t="inlineStr">
        <is>
          <t>中山</t>
        </is>
      </c>
      <c r="N138" s="10" t="inlineStr">
        <is>
          <t>北川</t>
        </is>
      </c>
      <c r="O138" s="10" t="inlineStr">
        <is>
          <t>尾川</t>
        </is>
      </c>
      <c r="P138" s="10" t="inlineStr">
        <is>
          <t>横山</t>
        </is>
      </c>
      <c r="Q138" s="10" t="inlineStr">
        <is>
          <t>中村</t>
        </is>
      </c>
      <c r="R138" s="10" t="inlineStr">
        <is>
          <t>河野</t>
        </is>
      </c>
      <c r="S138" s="10" t="inlineStr">
        <is>
          <t>上野</t>
        </is>
      </c>
      <c r="T138" s="10" t="inlineStr">
        <is>
          <t>栗下</t>
        </is>
      </c>
      <c r="U138" s="10" t="inlineStr">
        <is>
          <t>西村</t>
        </is>
      </c>
      <c r="V138" s="10" t="inlineStr">
        <is>
          <t>井川</t>
        </is>
      </c>
      <c r="W138" s="10" t="inlineStr">
        <is>
          <t>市田</t>
        </is>
      </c>
      <c r="X138" s="10" t="inlineStr">
        <is>
          <t>門谷</t>
        </is>
      </c>
      <c r="Y138" s="10" t="inlineStr">
        <is>
          <t>藤原</t>
        </is>
      </c>
      <c r="Z138" s="10" t="inlineStr">
        <is>
          <t>欠員①</t>
        </is>
      </c>
      <c r="AA138" s="10" t="inlineStr">
        <is>
          <t>富島</t>
        </is>
      </c>
      <c r="AB138" s="10" t="inlineStr">
        <is>
          <t>山本高</t>
        </is>
      </c>
      <c r="AC138" s="10" t="inlineStr">
        <is>
          <t>欠員②</t>
        </is>
      </c>
      <c r="AD138" s="10" t="inlineStr">
        <is>
          <t>大川内</t>
        </is>
      </c>
      <c r="AE138" s="10" t="inlineStr">
        <is>
          <t>谷川</t>
        </is>
      </c>
      <c r="AF138" s="10" t="inlineStr">
        <is>
          <t>安村</t>
        </is>
      </c>
      <c r="AG138" s="10" t="inlineStr">
        <is>
          <t>横田</t>
        </is>
      </c>
      <c r="AH138" s="10" t="inlineStr">
        <is>
          <t>内野</t>
        </is>
      </c>
      <c r="AI138" s="10" t="inlineStr">
        <is>
          <t>野口</t>
        </is>
      </c>
      <c r="AJ138" s="10" t="inlineStr">
        <is>
          <t>岩田</t>
        </is>
      </c>
      <c r="AK138" s="10" t="inlineStr">
        <is>
          <t>植山</t>
        </is>
      </c>
      <c r="AL138" s="10" t="inlineStr">
        <is>
          <t>柴田</t>
        </is>
      </c>
      <c r="AM138" s="10" t="inlineStr">
        <is>
          <t>中嶌</t>
        </is>
      </c>
      <c r="AN138" s="10" t="inlineStr">
        <is>
          <t>原</t>
        </is>
      </c>
      <c r="AO138" s="10" t="inlineStr">
        <is>
          <t>矢田</t>
        </is>
      </c>
      <c r="AP138" s="10" t="inlineStr">
        <is>
          <t>山本幸</t>
        </is>
      </c>
    </row>
    <row r="139" ht="15" customHeight="1" s="37">
      <c r="A139" t="inlineStr">
        <is>
          <t>2026-09-19</t>
        </is>
      </c>
      <c r="B139" s="10" t="inlineStr">
        <is>
          <t>土</t>
        </is>
      </c>
      <c r="C139" s="10" t="inlineStr">
        <is>
          <t>休日</t>
        </is>
      </c>
      <c r="E139" s="10" t="inlineStr">
        <is>
          <t>上野</t>
        </is>
      </c>
      <c r="F139" s="10" t="inlineStr">
        <is>
          <t>中山</t>
        </is>
      </c>
      <c r="G139" s="10" t="inlineStr">
        <is>
          <t>井川</t>
        </is>
      </c>
      <c r="H139" s="10" t="inlineStr">
        <is>
          <t>尾川</t>
        </is>
      </c>
      <c r="I139" s="10" t="inlineStr">
        <is>
          <t>原</t>
        </is>
      </c>
      <c r="J139" s="10" t="inlineStr">
        <is>
          <t>市田</t>
        </is>
      </c>
      <c r="K139" s="10" t="inlineStr">
        <is>
          <t>安村</t>
        </is>
      </c>
      <c r="L139" s="10" t="inlineStr">
        <is>
          <t>横山</t>
        </is>
      </c>
      <c r="M139" s="10" t="inlineStr">
        <is>
          <t>欠員②</t>
        </is>
      </c>
      <c r="N139" s="10" t="inlineStr">
        <is>
          <t>河野</t>
        </is>
      </c>
      <c r="O139" s="10" t="inlineStr">
        <is>
          <t>門谷</t>
        </is>
      </c>
      <c r="P139" s="10" t="inlineStr">
        <is>
          <t>植山</t>
        </is>
      </c>
      <c r="Q139" s="10" t="inlineStr">
        <is>
          <t>岡本</t>
        </is>
      </c>
      <c r="R139" s="10" t="inlineStr">
        <is>
          <t>富島</t>
        </is>
      </c>
      <c r="S139" s="10" t="inlineStr">
        <is>
          <t>柴田</t>
        </is>
      </c>
      <c r="T139" s="10" t="inlineStr">
        <is>
          <t>西村</t>
        </is>
      </c>
      <c r="U139" s="10" t="inlineStr">
        <is>
          <t>山本幸</t>
        </is>
      </c>
      <c r="V139" s="10" t="inlineStr">
        <is>
          <t>内野</t>
        </is>
      </c>
      <c r="W139" s="10" t="inlineStr">
        <is>
          <t>谷川</t>
        </is>
      </c>
      <c r="X139" s="10" t="inlineStr">
        <is>
          <t>山田久</t>
        </is>
      </c>
      <c r="Y139" s="10" t="inlineStr">
        <is>
          <t>岩田</t>
        </is>
      </c>
      <c r="Z139" s="10" t="inlineStr">
        <is>
          <t>山本高</t>
        </is>
      </c>
      <c r="AA139" s="10" t="inlineStr">
        <is>
          <t>中嶌</t>
        </is>
      </c>
      <c r="AB139" s="10" t="inlineStr">
        <is>
          <t>山田真</t>
        </is>
      </c>
      <c r="AC139" s="10" t="inlineStr">
        <is>
          <t>矢田</t>
        </is>
      </c>
      <c r="AD139" s="10" t="inlineStr">
        <is>
          <t>田中</t>
        </is>
      </c>
      <c r="AE139" s="10" t="inlineStr">
        <is>
          <t>馬場</t>
        </is>
      </c>
      <c r="AF139" s="10" t="inlineStr">
        <is>
          <t>丸田</t>
        </is>
      </c>
      <c r="AG139" s="10" t="inlineStr">
        <is>
          <t>北川</t>
        </is>
      </c>
      <c r="AH139" s="10" t="inlineStr">
        <is>
          <t>中村</t>
        </is>
      </c>
      <c r="AI139" s="10" t="inlineStr">
        <is>
          <t>栗下</t>
        </is>
      </c>
      <c r="AJ139" s="10" t="inlineStr">
        <is>
          <t>上田</t>
        </is>
      </c>
      <c r="AK139" s="10" t="inlineStr">
        <is>
          <t>野口</t>
        </is>
      </c>
      <c r="AL139" s="10" t="inlineStr">
        <is>
          <t>藤原</t>
        </is>
      </c>
      <c r="AM139" s="10" t="inlineStr">
        <is>
          <t>大川内</t>
        </is>
      </c>
      <c r="AN139" s="10" t="inlineStr">
        <is>
          <t>横田</t>
        </is>
      </c>
      <c r="AO139" s="10" t="inlineStr">
        <is>
          <t>佐野</t>
        </is>
      </c>
      <c r="AP139" s="10" t="inlineStr">
        <is>
          <t>欠員①</t>
        </is>
      </c>
    </row>
    <row r="140" ht="15" customHeight="1" s="37">
      <c r="A140" t="inlineStr">
        <is>
          <t>2026-09-20</t>
        </is>
      </c>
      <c r="B140" s="10" t="inlineStr">
        <is>
          <t>日</t>
        </is>
      </c>
      <c r="C140" s="10" t="inlineStr">
        <is>
          <t>休日</t>
        </is>
      </c>
      <c r="E140" s="10" t="inlineStr">
        <is>
          <t>柴田</t>
        </is>
      </c>
      <c r="F140" s="10" t="inlineStr">
        <is>
          <t>欠員②</t>
        </is>
      </c>
      <c r="G140" s="10" t="inlineStr">
        <is>
          <t>内野</t>
        </is>
      </c>
      <c r="H140" s="10" t="inlineStr">
        <is>
          <t>門谷</t>
        </is>
      </c>
      <c r="I140" s="10" t="inlineStr">
        <is>
          <t>横田</t>
        </is>
      </c>
      <c r="J140" s="10" t="inlineStr">
        <is>
          <t>谷川</t>
        </is>
      </c>
      <c r="K140" s="10" t="inlineStr">
        <is>
          <t>丸田</t>
        </is>
      </c>
      <c r="L140" s="10" t="inlineStr">
        <is>
          <t>植山</t>
        </is>
      </c>
      <c r="M140" s="10" t="inlineStr">
        <is>
          <t>矢田</t>
        </is>
      </c>
      <c r="N140" s="10" t="inlineStr">
        <is>
          <t>富島</t>
        </is>
      </c>
      <c r="O140" s="10" t="inlineStr">
        <is>
          <t>山田久</t>
        </is>
      </c>
      <c r="P140" s="10" t="inlineStr">
        <is>
          <t>野口</t>
        </is>
      </c>
      <c r="Q140" s="10" t="inlineStr">
        <is>
          <t>横山</t>
        </is>
      </c>
      <c r="R140" s="10" t="inlineStr">
        <is>
          <t>中嶌</t>
        </is>
      </c>
      <c r="S140" s="10" t="inlineStr">
        <is>
          <t>藤原</t>
        </is>
      </c>
      <c r="T140" s="10" t="inlineStr">
        <is>
          <t>山本幸</t>
        </is>
      </c>
      <c r="U140" s="10" t="inlineStr">
        <is>
          <t>欠員①</t>
        </is>
      </c>
      <c r="V140" s="10" t="inlineStr">
        <is>
          <t>中村</t>
        </is>
      </c>
      <c r="W140" s="10" t="inlineStr">
        <is>
          <t>馬場</t>
        </is>
      </c>
      <c r="X140" s="10" t="inlineStr">
        <is>
          <t>安村</t>
        </is>
      </c>
      <c r="Y140" s="10" t="inlineStr">
        <is>
          <t>上田</t>
        </is>
      </c>
      <c r="Z140" s="10" t="inlineStr">
        <is>
          <t>山田真</t>
        </is>
      </c>
      <c r="AA140" s="10" t="inlineStr">
        <is>
          <t>大川内</t>
        </is>
      </c>
      <c r="AB140" s="10" t="inlineStr">
        <is>
          <t>市田</t>
        </is>
      </c>
      <c r="AC140" s="10" t="inlineStr">
        <is>
          <t>佐野</t>
        </is>
      </c>
      <c r="AD140" s="10" t="inlineStr">
        <is>
          <t>井川</t>
        </is>
      </c>
      <c r="AE140" s="10" t="inlineStr">
        <is>
          <t>尾川</t>
        </is>
      </c>
      <c r="AF140" s="10" t="inlineStr">
        <is>
          <t>中山</t>
        </is>
      </c>
      <c r="AG140" s="10" t="inlineStr">
        <is>
          <t>河野</t>
        </is>
      </c>
      <c r="AH140" s="10" t="inlineStr">
        <is>
          <t>岡本</t>
        </is>
      </c>
      <c r="AI140" s="10" t="inlineStr">
        <is>
          <t>西村</t>
        </is>
      </c>
      <c r="AJ140" s="10" t="inlineStr">
        <is>
          <t>原</t>
        </is>
      </c>
      <c r="AK140" s="10" t="inlineStr">
        <is>
          <t>栗下</t>
        </is>
      </c>
      <c r="AL140" s="10" t="inlineStr">
        <is>
          <t>岩田</t>
        </is>
      </c>
      <c r="AM140" s="10" t="inlineStr">
        <is>
          <t>田中</t>
        </is>
      </c>
      <c r="AN140" s="10" t="inlineStr">
        <is>
          <t>北川</t>
        </is>
      </c>
      <c r="AO140" s="10" t="inlineStr">
        <is>
          <t>上野</t>
        </is>
      </c>
      <c r="AP140" s="10" t="inlineStr">
        <is>
          <t>山本高</t>
        </is>
      </c>
    </row>
    <row r="141" ht="15" customHeight="1" s="37">
      <c r="A141" t="inlineStr">
        <is>
          <t>2026-09-21</t>
        </is>
      </c>
      <c r="B141" s="10" t="inlineStr">
        <is>
          <t>月</t>
        </is>
      </c>
      <c r="C141" s="10" t="inlineStr">
        <is>
          <t>休日</t>
        </is>
      </c>
      <c r="D141" s="10" t="inlineStr">
        <is>
          <t>敬老の日</t>
        </is>
      </c>
      <c r="E141" s="10" t="inlineStr">
        <is>
          <t>藤原</t>
        </is>
      </c>
      <c r="F141" s="10" t="inlineStr">
        <is>
          <t>矢田</t>
        </is>
      </c>
      <c r="G141" s="10" t="inlineStr">
        <is>
          <t>中村</t>
        </is>
      </c>
      <c r="H141" s="10" t="inlineStr">
        <is>
          <t>山田久</t>
        </is>
      </c>
      <c r="I141" s="10" t="inlineStr">
        <is>
          <t>北川</t>
        </is>
      </c>
      <c r="J141" s="10" t="inlineStr">
        <is>
          <t>馬場</t>
        </is>
      </c>
      <c r="K141" s="10" t="inlineStr">
        <is>
          <t>中山</t>
        </is>
      </c>
      <c r="L141" s="10" t="inlineStr">
        <is>
          <t>野口</t>
        </is>
      </c>
      <c r="M141" s="10" t="inlineStr">
        <is>
          <t>佐野</t>
        </is>
      </c>
      <c r="N141" s="10" t="inlineStr">
        <is>
          <t>中嶌</t>
        </is>
      </c>
      <c r="O141" s="10" t="inlineStr">
        <is>
          <t>安村</t>
        </is>
      </c>
      <c r="P141" s="10" t="inlineStr">
        <is>
          <t>栗下</t>
        </is>
      </c>
      <c r="Q141" s="10" t="inlineStr">
        <is>
          <t>植山</t>
        </is>
      </c>
      <c r="R141" s="10" t="inlineStr">
        <is>
          <t>大川内</t>
        </is>
      </c>
      <c r="S141" s="10" t="inlineStr">
        <is>
          <t>岩田</t>
        </is>
      </c>
      <c r="T141" s="10" t="inlineStr">
        <is>
          <t>欠員①</t>
        </is>
      </c>
      <c r="U141" s="10" t="inlineStr">
        <is>
          <t>山本高</t>
        </is>
      </c>
      <c r="V141" s="10" t="inlineStr">
        <is>
          <t>岡本</t>
        </is>
      </c>
      <c r="W141" s="10" t="inlineStr">
        <is>
          <t>尾川</t>
        </is>
      </c>
      <c r="X141" s="10" t="inlineStr">
        <is>
          <t>丸田</t>
        </is>
      </c>
      <c r="Y141" s="10" t="inlineStr">
        <is>
          <t>原</t>
        </is>
      </c>
      <c r="Z141" s="10" t="inlineStr">
        <is>
          <t>市田</t>
        </is>
      </c>
      <c r="AA141" s="10" t="inlineStr">
        <is>
          <t>田中</t>
        </is>
      </c>
      <c r="AB141" s="10" t="inlineStr">
        <is>
          <t>谷川</t>
        </is>
      </c>
      <c r="AC141" s="10" t="inlineStr">
        <is>
          <t>上野</t>
        </is>
      </c>
      <c r="AD141" s="10" t="inlineStr">
        <is>
          <t>内野</t>
        </is>
      </c>
      <c r="AE141" s="10" t="inlineStr">
        <is>
          <t>門谷</t>
        </is>
      </c>
      <c r="AF141" s="10" t="inlineStr">
        <is>
          <t>欠員②</t>
        </is>
      </c>
      <c r="AG141" s="10" t="inlineStr">
        <is>
          <t>富島</t>
        </is>
      </c>
      <c r="AH141" s="10" t="inlineStr">
        <is>
          <t>横山</t>
        </is>
      </c>
      <c r="AI141" s="10" t="inlineStr">
        <is>
          <t>山本幸</t>
        </is>
      </c>
      <c r="AJ141" s="10" t="inlineStr">
        <is>
          <t>横田</t>
        </is>
      </c>
      <c r="AK141" s="10" t="inlineStr">
        <is>
          <t>西村</t>
        </is>
      </c>
      <c r="AL141" s="10" t="inlineStr">
        <is>
          <t>上田</t>
        </is>
      </c>
      <c r="AM141" s="10" t="inlineStr">
        <is>
          <t>井川</t>
        </is>
      </c>
      <c r="AN141" s="10" t="inlineStr">
        <is>
          <t>河野</t>
        </is>
      </c>
      <c r="AO141" s="10" t="inlineStr">
        <is>
          <t>柴田</t>
        </is>
      </c>
      <c r="AP141" s="10" t="inlineStr">
        <is>
          <t>山田真</t>
        </is>
      </c>
    </row>
    <row r="142" ht="15" customHeight="1" s="37">
      <c r="A142" t="inlineStr">
        <is>
          <t>2026-09-22</t>
        </is>
      </c>
      <c r="B142" s="10" t="inlineStr">
        <is>
          <t>火</t>
        </is>
      </c>
      <c r="C142" s="10" t="inlineStr">
        <is>
          <t>休日</t>
        </is>
      </c>
      <c r="D142" s="10" t="inlineStr">
        <is>
          <t>国民の休日</t>
        </is>
      </c>
      <c r="E142" s="10" t="inlineStr">
        <is>
          <t>岩田</t>
        </is>
      </c>
      <c r="F142" s="10" t="inlineStr">
        <is>
          <t>佐野</t>
        </is>
      </c>
      <c r="G142" s="10" t="inlineStr">
        <is>
          <t>岡本</t>
        </is>
      </c>
      <c r="H142" s="10" t="inlineStr">
        <is>
          <t>安村</t>
        </is>
      </c>
      <c r="I142" s="10" t="inlineStr">
        <is>
          <t>河野</t>
        </is>
      </c>
      <c r="J142" s="10" t="inlineStr">
        <is>
          <t>尾川</t>
        </is>
      </c>
      <c r="K142" s="10" t="inlineStr">
        <is>
          <t>欠員②</t>
        </is>
      </c>
      <c r="L142" s="10" t="inlineStr">
        <is>
          <t>栗下</t>
        </is>
      </c>
      <c r="M142" s="10" t="inlineStr">
        <is>
          <t>上野</t>
        </is>
      </c>
      <c r="N142" s="10" t="inlineStr">
        <is>
          <t>大川内</t>
        </is>
      </c>
      <c r="O142" s="10" t="inlineStr">
        <is>
          <t>丸田</t>
        </is>
      </c>
      <c r="P142" s="10" t="inlineStr">
        <is>
          <t>西村</t>
        </is>
      </c>
      <c r="Q142" s="10" t="inlineStr">
        <is>
          <t>野口</t>
        </is>
      </c>
      <c r="R142" s="10" t="inlineStr">
        <is>
          <t>田中</t>
        </is>
      </c>
      <c r="S142" s="10" t="inlineStr">
        <is>
          <t>上田</t>
        </is>
      </c>
      <c r="T142" s="10" t="inlineStr">
        <is>
          <t>山本高</t>
        </is>
      </c>
      <c r="U142" s="10" t="inlineStr">
        <is>
          <t>山田真</t>
        </is>
      </c>
      <c r="V142" s="10" t="inlineStr">
        <is>
          <t>横山</t>
        </is>
      </c>
      <c r="W142" s="10" t="inlineStr">
        <is>
          <t>門谷</t>
        </is>
      </c>
      <c r="X142" s="10" t="inlineStr">
        <is>
          <t>中山</t>
        </is>
      </c>
      <c r="Y142" s="10" t="inlineStr">
        <is>
          <t>横田</t>
        </is>
      </c>
      <c r="Z142" s="10" t="inlineStr">
        <is>
          <t>谷川</t>
        </is>
      </c>
      <c r="AA142" s="10" t="inlineStr">
        <is>
          <t>井川</t>
        </is>
      </c>
      <c r="AB142" s="10" t="inlineStr">
        <is>
          <t>馬場</t>
        </is>
      </c>
      <c r="AC142" s="10" t="inlineStr">
        <is>
          <t>柴田</t>
        </is>
      </c>
      <c r="AD142" s="10" t="inlineStr">
        <is>
          <t>中村</t>
        </is>
      </c>
      <c r="AE142" s="10" t="inlineStr">
        <is>
          <t>山田久</t>
        </is>
      </c>
      <c r="AF142" s="10" t="inlineStr">
        <is>
          <t>矢田</t>
        </is>
      </c>
      <c r="AG142" s="10" t="inlineStr">
        <is>
          <t>中嶌</t>
        </is>
      </c>
      <c r="AH142" s="10" t="inlineStr">
        <is>
          <t>植山</t>
        </is>
      </c>
      <c r="AI142" s="10" t="inlineStr">
        <is>
          <t>欠員①</t>
        </is>
      </c>
      <c r="AJ142" s="10" t="inlineStr">
        <is>
          <t>北川</t>
        </is>
      </c>
      <c r="AK142" s="10" t="inlineStr">
        <is>
          <t>山本幸</t>
        </is>
      </c>
      <c r="AL142" s="10" t="inlineStr">
        <is>
          <t>原</t>
        </is>
      </c>
      <c r="AM142" s="10" t="inlineStr">
        <is>
          <t>内野</t>
        </is>
      </c>
      <c r="AN142" s="10" t="inlineStr">
        <is>
          <t>富島</t>
        </is>
      </c>
      <c r="AO142" s="10" t="inlineStr">
        <is>
          <t>藤原</t>
        </is>
      </c>
      <c r="AP142" s="10" t="inlineStr">
        <is>
          <t>市田</t>
        </is>
      </c>
    </row>
    <row r="143" ht="15" customHeight="1" s="37">
      <c r="A143" t="inlineStr">
        <is>
          <t>2026-09-23</t>
        </is>
      </c>
      <c r="B143" s="10" t="inlineStr">
        <is>
          <t>水</t>
        </is>
      </c>
      <c r="C143" s="10" t="inlineStr">
        <is>
          <t>休日</t>
        </is>
      </c>
      <c r="D143" s="10" t="inlineStr">
        <is>
          <t>秋分の日</t>
        </is>
      </c>
      <c r="E143" s="10" t="inlineStr">
        <is>
          <t>上田</t>
        </is>
      </c>
      <c r="F143" s="10" t="inlineStr">
        <is>
          <t>上野</t>
        </is>
      </c>
      <c r="G143" s="10" t="inlineStr">
        <is>
          <t>横山</t>
        </is>
      </c>
      <c r="H143" s="10" t="inlineStr">
        <is>
          <t>丸田</t>
        </is>
      </c>
      <c r="I143" s="10" t="inlineStr">
        <is>
          <t>富島</t>
        </is>
      </c>
      <c r="J143" s="10" t="inlineStr">
        <is>
          <t>門谷</t>
        </is>
      </c>
      <c r="K143" s="10" t="inlineStr">
        <is>
          <t>矢田</t>
        </is>
      </c>
      <c r="L143" s="10" t="inlineStr">
        <is>
          <t>西村</t>
        </is>
      </c>
      <c r="M143" s="10" t="inlineStr">
        <is>
          <t>柴田</t>
        </is>
      </c>
      <c r="N143" s="10" t="inlineStr">
        <is>
          <t>田中</t>
        </is>
      </c>
      <c r="O143" s="10" t="inlineStr">
        <is>
          <t>中山</t>
        </is>
      </c>
      <c r="P143" s="10" t="inlineStr">
        <is>
          <t>山本幸</t>
        </is>
      </c>
      <c r="Q143" s="10" t="inlineStr">
        <is>
          <t>栗下</t>
        </is>
      </c>
      <c r="R143" s="10" t="inlineStr">
        <is>
          <t>井川</t>
        </is>
      </c>
      <c r="S143" s="10" t="inlineStr">
        <is>
          <t>原</t>
        </is>
      </c>
      <c r="T143" s="10" t="inlineStr">
        <is>
          <t>山田真</t>
        </is>
      </c>
      <c r="U143" s="10" t="inlineStr">
        <is>
          <t>市田</t>
        </is>
      </c>
      <c r="V143" s="10" t="inlineStr">
        <is>
          <t>植山</t>
        </is>
      </c>
      <c r="W143" s="10" t="inlineStr">
        <is>
          <t>山田久</t>
        </is>
      </c>
      <c r="X143" s="10" t="inlineStr">
        <is>
          <t>欠員②</t>
        </is>
      </c>
      <c r="Y143" s="10" t="inlineStr">
        <is>
          <t>北川</t>
        </is>
      </c>
      <c r="Z143" s="10" t="inlineStr">
        <is>
          <t>馬場</t>
        </is>
      </c>
      <c r="AA143" s="10" t="inlineStr">
        <is>
          <t>内野</t>
        </is>
      </c>
      <c r="AB143" s="10" t="inlineStr">
        <is>
          <t>尾川</t>
        </is>
      </c>
      <c r="AC143" s="10" t="inlineStr">
        <is>
          <t>藤原</t>
        </is>
      </c>
      <c r="AD143" s="10" t="inlineStr">
        <is>
          <t>岡本</t>
        </is>
      </c>
      <c r="AE143" s="10" t="inlineStr">
        <is>
          <t>安村</t>
        </is>
      </c>
      <c r="AF143" s="10" t="inlineStr">
        <is>
          <t>佐野</t>
        </is>
      </c>
      <c r="AG143" s="10" t="inlineStr">
        <is>
          <t>大川内</t>
        </is>
      </c>
      <c r="AH143" s="10" t="inlineStr">
        <is>
          <t>野口</t>
        </is>
      </c>
      <c r="AI143" s="10" t="inlineStr">
        <is>
          <t>山本高</t>
        </is>
      </c>
      <c r="AJ143" s="10" t="inlineStr">
        <is>
          <t>河野</t>
        </is>
      </c>
      <c r="AK143" s="10" t="inlineStr">
        <is>
          <t>欠員①</t>
        </is>
      </c>
      <c r="AL143" s="10" t="inlineStr">
        <is>
          <t>横田</t>
        </is>
      </c>
      <c r="AM143" s="10" t="inlineStr">
        <is>
          <t>中村</t>
        </is>
      </c>
      <c r="AN143" s="10" t="inlineStr">
        <is>
          <t>中嶌</t>
        </is>
      </c>
      <c r="AO143" s="10" t="inlineStr">
        <is>
          <t>岩田</t>
        </is>
      </c>
      <c r="AP143" s="10" t="inlineStr">
        <is>
          <t>谷川</t>
        </is>
      </c>
    </row>
    <row r="144" ht="15" customHeight="1" s="37">
      <c r="A144" t="inlineStr">
        <is>
          <t>2026-09-24</t>
        </is>
      </c>
      <c r="B144" s="10" t="inlineStr">
        <is>
          <t>木</t>
        </is>
      </c>
      <c r="C144" s="10" t="inlineStr">
        <is>
          <t>平日</t>
        </is>
      </c>
      <c r="E144" s="10" t="inlineStr">
        <is>
          <t>原</t>
        </is>
      </c>
      <c r="F144" s="10" t="inlineStr">
        <is>
          <t>柴田</t>
        </is>
      </c>
      <c r="G144" s="10" t="inlineStr">
        <is>
          <t>植山</t>
        </is>
      </c>
      <c r="H144" s="10" t="inlineStr">
        <is>
          <t>中山</t>
        </is>
      </c>
      <c r="I144" s="10" t="inlineStr">
        <is>
          <t>中嶌</t>
        </is>
      </c>
      <c r="J144" s="10" t="inlineStr">
        <is>
          <t>山田久</t>
        </is>
      </c>
      <c r="K144" s="10" t="inlineStr">
        <is>
          <t>佐野</t>
        </is>
      </c>
      <c r="L144" s="10" t="inlineStr">
        <is>
          <t>山本幸</t>
        </is>
      </c>
      <c r="M144" s="10" t="inlineStr">
        <is>
          <t>藤原</t>
        </is>
      </c>
      <c r="N144" s="10" t="inlineStr">
        <is>
          <t>井川</t>
        </is>
      </c>
      <c r="O144" s="10" t="inlineStr">
        <is>
          <t>欠員②</t>
        </is>
      </c>
      <c r="P144" s="10" t="inlineStr">
        <is>
          <t>欠員①</t>
        </is>
      </c>
      <c r="Q144" s="10" t="inlineStr">
        <is>
          <t>西村</t>
        </is>
      </c>
      <c r="R144" s="10" t="inlineStr">
        <is>
          <t>内野</t>
        </is>
      </c>
      <c r="S144" s="10" t="inlineStr">
        <is>
          <t>横田</t>
        </is>
      </c>
      <c r="T144" s="10" t="inlineStr">
        <is>
          <t>市田</t>
        </is>
      </c>
      <c r="U144" s="10" t="inlineStr">
        <is>
          <t>谷川</t>
        </is>
      </c>
      <c r="V144" s="10" t="inlineStr">
        <is>
          <t>野口</t>
        </is>
      </c>
      <c r="W144" s="10" t="inlineStr">
        <is>
          <t>安村</t>
        </is>
      </c>
      <c r="X144" s="10" t="inlineStr">
        <is>
          <t>矢田</t>
        </is>
      </c>
      <c r="Y144" s="10" t="inlineStr">
        <is>
          <t>河野</t>
        </is>
      </c>
      <c r="Z144" s="10" t="inlineStr">
        <is>
          <t>尾川</t>
        </is>
      </c>
      <c r="AA144" s="10" t="inlineStr">
        <is>
          <t>中村</t>
        </is>
      </c>
      <c r="AB144" s="10" t="inlineStr">
        <is>
          <t>門谷</t>
        </is>
      </c>
      <c r="AC144" s="10" t="inlineStr">
        <is>
          <t>岩田</t>
        </is>
      </c>
      <c r="AD144" s="10" t="inlineStr">
        <is>
          <t>横山</t>
        </is>
      </c>
      <c r="AE144" s="10" t="inlineStr">
        <is>
          <t>丸田</t>
        </is>
      </c>
      <c r="AF144" s="10" t="inlineStr">
        <is>
          <t>上野</t>
        </is>
      </c>
      <c r="AG144" s="10" t="inlineStr">
        <is>
          <t>田中</t>
        </is>
      </c>
      <c r="AH144" s="10" t="inlineStr">
        <is>
          <t>栗下</t>
        </is>
      </c>
      <c r="AI144" s="10" t="inlineStr">
        <is>
          <t>山田真</t>
        </is>
      </c>
      <c r="AJ144" s="10" t="inlineStr">
        <is>
          <t>富島</t>
        </is>
      </c>
      <c r="AK144" s="10" t="inlineStr">
        <is>
          <t>山本高</t>
        </is>
      </c>
      <c r="AL144" s="10" t="inlineStr">
        <is>
          <t>北川</t>
        </is>
      </c>
      <c r="AM144" s="10" t="inlineStr">
        <is>
          <t>岡本</t>
        </is>
      </c>
      <c r="AN144" s="10" t="inlineStr">
        <is>
          <t>大川内</t>
        </is>
      </c>
      <c r="AO144" s="10" t="inlineStr">
        <is>
          <t>上田</t>
        </is>
      </c>
      <c r="AP144" s="10" t="inlineStr">
        <is>
          <t>馬場</t>
        </is>
      </c>
    </row>
    <row r="145" ht="15" customHeight="1" s="37">
      <c r="A145" t="inlineStr">
        <is>
          <t>2026-09-25</t>
        </is>
      </c>
      <c r="B145" s="10" t="inlineStr">
        <is>
          <t>金</t>
        </is>
      </c>
      <c r="C145" s="10" t="inlineStr">
        <is>
          <t>平日</t>
        </is>
      </c>
      <c r="E145" s="10" t="inlineStr">
        <is>
          <t>横田</t>
        </is>
      </c>
      <c r="F145" s="10" t="inlineStr">
        <is>
          <t>藤原</t>
        </is>
      </c>
      <c r="G145" s="10" t="inlineStr">
        <is>
          <t>野口</t>
        </is>
      </c>
      <c r="H145" s="10" t="inlineStr">
        <is>
          <t>欠員②</t>
        </is>
      </c>
      <c r="I145" s="10" t="inlineStr">
        <is>
          <t>大川内</t>
        </is>
      </c>
      <c r="J145" s="10" t="inlineStr">
        <is>
          <t>安村</t>
        </is>
      </c>
      <c r="K145" s="10" t="inlineStr">
        <is>
          <t>上野</t>
        </is>
      </c>
      <c r="L145" s="10" t="inlineStr">
        <is>
          <t>欠員①</t>
        </is>
      </c>
      <c r="M145" s="10" t="inlineStr">
        <is>
          <t>岩田</t>
        </is>
      </c>
      <c r="N145" s="10" t="inlineStr">
        <is>
          <t>内野</t>
        </is>
      </c>
      <c r="O145" s="10" t="inlineStr">
        <is>
          <t>矢田</t>
        </is>
      </c>
      <c r="P145" s="10" t="inlineStr">
        <is>
          <t>山本高</t>
        </is>
      </c>
      <c r="Q145" s="10" t="inlineStr">
        <is>
          <t>山本幸</t>
        </is>
      </c>
      <c r="R145" s="10" t="inlineStr">
        <is>
          <t>中村</t>
        </is>
      </c>
      <c r="S145" s="10" t="inlineStr">
        <is>
          <t>北川</t>
        </is>
      </c>
      <c r="T145" s="10" t="inlineStr">
        <is>
          <t>谷川</t>
        </is>
      </c>
      <c r="U145" s="10" t="inlineStr">
        <is>
          <t>馬場</t>
        </is>
      </c>
      <c r="V145" s="10" t="inlineStr">
        <is>
          <t>栗下</t>
        </is>
      </c>
      <c r="W145" s="10" t="inlineStr">
        <is>
          <t>丸田</t>
        </is>
      </c>
      <c r="X145" s="10" t="inlineStr">
        <is>
          <t>佐野</t>
        </is>
      </c>
      <c r="Y145" s="10" t="inlineStr">
        <is>
          <t>富島</t>
        </is>
      </c>
      <c r="Z145" s="10" t="inlineStr">
        <is>
          <t>門谷</t>
        </is>
      </c>
      <c r="AA145" s="10" t="inlineStr">
        <is>
          <t>岡本</t>
        </is>
      </c>
      <c r="AB145" s="10" t="inlineStr">
        <is>
          <t>山田久</t>
        </is>
      </c>
      <c r="AC145" s="10" t="inlineStr">
        <is>
          <t>上田</t>
        </is>
      </c>
      <c r="AD145" s="10" t="inlineStr">
        <is>
          <t>植山</t>
        </is>
      </c>
      <c r="AE145" s="10" t="inlineStr">
        <is>
          <t>中山</t>
        </is>
      </c>
      <c r="AF145" s="10" t="inlineStr">
        <is>
          <t>柴田</t>
        </is>
      </c>
      <c r="AG145" s="10" t="inlineStr">
        <is>
          <t>井川</t>
        </is>
      </c>
      <c r="AH145" s="10" t="inlineStr">
        <is>
          <t>西村</t>
        </is>
      </c>
      <c r="AI145" s="10" t="inlineStr">
        <is>
          <t>市田</t>
        </is>
      </c>
      <c r="AJ145" s="10" t="inlineStr">
        <is>
          <t>中嶌</t>
        </is>
      </c>
      <c r="AK145" s="10" t="inlineStr">
        <is>
          <t>山田真</t>
        </is>
      </c>
      <c r="AL145" s="10" t="inlineStr">
        <is>
          <t>河野</t>
        </is>
      </c>
      <c r="AM145" s="10" t="inlineStr">
        <is>
          <t>横山</t>
        </is>
      </c>
      <c r="AN145" s="10" t="inlineStr">
        <is>
          <t>田中</t>
        </is>
      </c>
      <c r="AO145" s="10" t="inlineStr">
        <is>
          <t>原</t>
        </is>
      </c>
      <c r="AP145" s="10" t="inlineStr">
        <is>
          <t>尾川</t>
        </is>
      </c>
    </row>
    <row r="146" ht="15" customHeight="1" s="37">
      <c r="A146" t="inlineStr">
        <is>
          <t>2026-09-26</t>
        </is>
      </c>
      <c r="B146" s="10" t="inlineStr">
        <is>
          <t>土</t>
        </is>
      </c>
      <c r="C146" s="10" t="inlineStr">
        <is>
          <t>休日</t>
        </is>
      </c>
      <c r="E146" s="10" t="inlineStr">
        <is>
          <t>北川</t>
        </is>
      </c>
      <c r="F146" s="10" t="inlineStr">
        <is>
          <t>岩田</t>
        </is>
      </c>
      <c r="G146" s="10" t="inlineStr">
        <is>
          <t>栗下</t>
        </is>
      </c>
      <c r="H146" s="10" t="inlineStr">
        <is>
          <t>矢田</t>
        </is>
      </c>
      <c r="I146" s="10" t="inlineStr">
        <is>
          <t>田中</t>
        </is>
      </c>
      <c r="J146" s="10" t="inlineStr">
        <is>
          <t>丸田</t>
        </is>
      </c>
      <c r="K146" s="10" t="inlineStr">
        <is>
          <t>柴田</t>
        </is>
      </c>
      <c r="L146" s="10" t="inlineStr">
        <is>
          <t>山本高</t>
        </is>
      </c>
      <c r="M146" s="10" t="inlineStr">
        <is>
          <t>上田</t>
        </is>
      </c>
      <c r="N146" s="10" t="inlineStr">
        <is>
          <t>中村</t>
        </is>
      </c>
      <c r="O146" s="10" t="inlineStr">
        <is>
          <t>佐野</t>
        </is>
      </c>
      <c r="P146" s="10" t="inlineStr">
        <is>
          <t>山田真</t>
        </is>
      </c>
      <c r="Q146" s="10" t="inlineStr">
        <is>
          <t>欠員①</t>
        </is>
      </c>
      <c r="R146" s="10" t="inlineStr">
        <is>
          <t>岡本</t>
        </is>
      </c>
      <c r="S146" s="10" t="inlineStr">
        <is>
          <t>河野</t>
        </is>
      </c>
      <c r="T146" s="10" t="inlineStr">
        <is>
          <t>馬場</t>
        </is>
      </c>
      <c r="U146" s="10" t="inlineStr">
        <is>
          <t>尾川</t>
        </is>
      </c>
      <c r="V146" s="10" t="inlineStr">
        <is>
          <t>西村</t>
        </is>
      </c>
      <c r="W146" s="10" t="inlineStr">
        <is>
          <t>中山</t>
        </is>
      </c>
      <c r="X146" s="10" t="inlineStr">
        <is>
          <t>上野</t>
        </is>
      </c>
      <c r="Y146" s="10" t="inlineStr">
        <is>
          <t>中嶌</t>
        </is>
      </c>
      <c r="Z146" s="10" t="inlineStr">
        <is>
          <t>山田久</t>
        </is>
      </c>
      <c r="AA146" s="10" t="inlineStr">
        <is>
          <t>横山</t>
        </is>
      </c>
      <c r="AB146" s="10" t="inlineStr">
        <is>
          <t>安村</t>
        </is>
      </c>
      <c r="AC146" s="10" t="inlineStr">
        <is>
          <t>原</t>
        </is>
      </c>
      <c r="AD146" s="10" t="inlineStr">
        <is>
          <t>野口</t>
        </is>
      </c>
      <c r="AE146" s="10" t="inlineStr">
        <is>
          <t>欠員②</t>
        </is>
      </c>
      <c r="AF146" s="10" t="inlineStr">
        <is>
          <t>藤原</t>
        </is>
      </c>
      <c r="AG146" s="10" t="inlineStr">
        <is>
          <t>内野</t>
        </is>
      </c>
      <c r="AH146" s="10" t="inlineStr">
        <is>
          <t>山本幸</t>
        </is>
      </c>
      <c r="AI146" s="10" t="inlineStr">
        <is>
          <t>谷川</t>
        </is>
      </c>
      <c r="AJ146" s="10" t="inlineStr">
        <is>
          <t>大川内</t>
        </is>
      </c>
      <c r="AK146" s="10" t="inlineStr">
        <is>
          <t>市田</t>
        </is>
      </c>
      <c r="AL146" s="10" t="inlineStr">
        <is>
          <t>富島</t>
        </is>
      </c>
      <c r="AM146" s="10" t="inlineStr">
        <is>
          <t>植山</t>
        </is>
      </c>
      <c r="AN146" s="10" t="inlineStr">
        <is>
          <t>井川</t>
        </is>
      </c>
      <c r="AO146" s="10" t="inlineStr">
        <is>
          <t>横田</t>
        </is>
      </c>
      <c r="AP146" s="10" t="inlineStr">
        <is>
          <t>門谷</t>
        </is>
      </c>
    </row>
    <row r="147" ht="15" customHeight="1" s="37">
      <c r="A147" t="inlineStr">
        <is>
          <t>2026-09-27</t>
        </is>
      </c>
      <c r="B147" s="10" t="inlineStr">
        <is>
          <t>日</t>
        </is>
      </c>
      <c r="C147" s="10" t="inlineStr">
        <is>
          <t>休日</t>
        </is>
      </c>
      <c r="E147" s="10" t="inlineStr">
        <is>
          <t>河野</t>
        </is>
      </c>
      <c r="F147" s="10" t="inlineStr">
        <is>
          <t>上田</t>
        </is>
      </c>
      <c r="G147" s="10" t="inlineStr">
        <is>
          <t>西村</t>
        </is>
      </c>
      <c r="H147" s="10" t="inlineStr">
        <is>
          <t>佐野</t>
        </is>
      </c>
      <c r="I147" s="10" t="inlineStr">
        <is>
          <t>井川</t>
        </is>
      </c>
      <c r="J147" s="10" t="inlineStr">
        <is>
          <t>中山</t>
        </is>
      </c>
      <c r="K147" s="10" t="inlineStr">
        <is>
          <t>藤原</t>
        </is>
      </c>
      <c r="L147" s="10" t="inlineStr">
        <is>
          <t>山田真</t>
        </is>
      </c>
      <c r="M147" s="10" t="inlineStr">
        <is>
          <t>原</t>
        </is>
      </c>
      <c r="N147" s="10" t="inlineStr">
        <is>
          <t>岡本</t>
        </is>
      </c>
      <c r="O147" s="10" t="inlineStr">
        <is>
          <t>上野</t>
        </is>
      </c>
      <c r="P147" s="10" t="inlineStr">
        <is>
          <t>市田</t>
        </is>
      </c>
      <c r="Q147" s="10" t="inlineStr">
        <is>
          <t>山本高</t>
        </is>
      </c>
      <c r="R147" s="10" t="inlineStr">
        <is>
          <t>横山</t>
        </is>
      </c>
      <c r="S147" s="10" t="inlineStr">
        <is>
          <t>富島</t>
        </is>
      </c>
      <c r="T147" s="10" t="inlineStr">
        <is>
          <t>尾川</t>
        </is>
      </c>
      <c r="U147" s="10" t="inlineStr">
        <is>
          <t>門谷</t>
        </is>
      </c>
      <c r="V147" s="10" t="inlineStr">
        <is>
          <t>山本幸</t>
        </is>
      </c>
      <c r="W147" s="10" t="inlineStr">
        <is>
          <t>欠員②</t>
        </is>
      </c>
      <c r="X147" s="10" t="inlineStr">
        <is>
          <t>柴田</t>
        </is>
      </c>
      <c r="Y147" s="10" t="inlineStr">
        <is>
          <t>大川内</t>
        </is>
      </c>
      <c r="Z147" s="10" t="inlineStr">
        <is>
          <t>安村</t>
        </is>
      </c>
      <c r="AA147" s="10" t="inlineStr">
        <is>
          <t>植山</t>
        </is>
      </c>
      <c r="AB147" s="10" t="inlineStr">
        <is>
          <t>丸田</t>
        </is>
      </c>
      <c r="AC147" s="10" t="inlineStr">
        <is>
          <t>横田</t>
        </is>
      </c>
      <c r="AD147" s="10" t="inlineStr">
        <is>
          <t>栗下</t>
        </is>
      </c>
      <c r="AE147" s="10" t="inlineStr">
        <is>
          <t>矢田</t>
        </is>
      </c>
      <c r="AF147" s="10" t="inlineStr">
        <is>
          <t>岩田</t>
        </is>
      </c>
      <c r="AG147" s="10" t="inlineStr">
        <is>
          <t>中村</t>
        </is>
      </c>
      <c r="AH147" s="10" t="inlineStr">
        <is>
          <t>欠員①</t>
        </is>
      </c>
      <c r="AI147" s="10" t="inlineStr">
        <is>
          <t>馬場</t>
        </is>
      </c>
      <c r="AJ147" s="10" t="inlineStr">
        <is>
          <t>田中</t>
        </is>
      </c>
      <c r="AK147" s="10" t="inlineStr">
        <is>
          <t>谷川</t>
        </is>
      </c>
      <c r="AL147" s="10" t="inlineStr">
        <is>
          <t>中嶌</t>
        </is>
      </c>
      <c r="AM147" s="10" t="inlineStr">
        <is>
          <t>野口</t>
        </is>
      </c>
      <c r="AN147" s="10" t="inlineStr">
        <is>
          <t>内野</t>
        </is>
      </c>
      <c r="AO147" s="10" t="inlineStr">
        <is>
          <t>北川</t>
        </is>
      </c>
      <c r="AP147" s="10" t="inlineStr">
        <is>
          <t>山田久</t>
        </is>
      </c>
    </row>
    <row r="148" ht="15" customHeight="1" s="37">
      <c r="A148" t="inlineStr">
        <is>
          <t>2026-09-28</t>
        </is>
      </c>
      <c r="B148" s="10" t="inlineStr">
        <is>
          <t>月</t>
        </is>
      </c>
      <c r="C148" s="10" t="inlineStr">
        <is>
          <t>平日</t>
        </is>
      </c>
      <c r="E148" s="10" t="inlineStr">
        <is>
          <t>富島</t>
        </is>
      </c>
      <c r="F148" s="10" t="inlineStr">
        <is>
          <t>原</t>
        </is>
      </c>
      <c r="G148" s="10" t="inlineStr">
        <is>
          <t>山本幸</t>
        </is>
      </c>
      <c r="H148" s="10" t="inlineStr">
        <is>
          <t>上野</t>
        </is>
      </c>
      <c r="I148" s="10" t="inlineStr">
        <is>
          <t>内野</t>
        </is>
      </c>
      <c r="J148" s="10" t="inlineStr">
        <is>
          <t>欠員②</t>
        </is>
      </c>
      <c r="K148" s="10" t="inlineStr">
        <is>
          <t>岩田</t>
        </is>
      </c>
      <c r="L148" s="10" t="inlineStr">
        <is>
          <t>市田</t>
        </is>
      </c>
      <c r="M148" s="10" t="inlineStr">
        <is>
          <t>横田</t>
        </is>
      </c>
      <c r="N148" s="10" t="inlineStr">
        <is>
          <t>横山</t>
        </is>
      </c>
      <c r="O148" s="10" t="inlineStr">
        <is>
          <t>柴田</t>
        </is>
      </c>
      <c r="P148" s="10" t="inlineStr">
        <is>
          <t>谷川</t>
        </is>
      </c>
      <c r="Q148" s="10" t="inlineStr">
        <is>
          <t>山田真</t>
        </is>
      </c>
      <c r="R148" s="10" t="inlineStr">
        <is>
          <t>植山</t>
        </is>
      </c>
      <c r="S148" s="10" t="inlineStr">
        <is>
          <t>中嶌</t>
        </is>
      </c>
      <c r="T148" s="10" t="inlineStr">
        <is>
          <t>門谷</t>
        </is>
      </c>
      <c r="U148" s="10" t="inlineStr">
        <is>
          <t>山田久</t>
        </is>
      </c>
      <c r="V148" s="10" t="inlineStr">
        <is>
          <t>欠員①</t>
        </is>
      </c>
      <c r="W148" s="10" t="inlineStr">
        <is>
          <t>矢田</t>
        </is>
      </c>
      <c r="X148" s="10" t="inlineStr">
        <is>
          <t>藤原</t>
        </is>
      </c>
      <c r="Y148" s="10" t="inlineStr">
        <is>
          <t>田中</t>
        </is>
      </c>
      <c r="Z148" s="10" t="inlineStr">
        <is>
          <t>丸田</t>
        </is>
      </c>
      <c r="AA148" s="10" t="inlineStr">
        <is>
          <t>野口</t>
        </is>
      </c>
      <c r="AB148" s="10" t="inlineStr">
        <is>
          <t>中山</t>
        </is>
      </c>
      <c r="AC148" s="10" t="inlineStr">
        <is>
          <t>北川</t>
        </is>
      </c>
      <c r="AD148" s="10" t="inlineStr">
        <is>
          <t>西村</t>
        </is>
      </c>
      <c r="AE148" s="10" t="inlineStr">
        <is>
          <t>佐野</t>
        </is>
      </c>
      <c r="AF148" s="10" t="inlineStr">
        <is>
          <t>上田</t>
        </is>
      </c>
      <c r="AG148" s="10" t="inlineStr">
        <is>
          <t>岡本</t>
        </is>
      </c>
      <c r="AH148" s="10" t="inlineStr">
        <is>
          <t>山本高</t>
        </is>
      </c>
      <c r="AI148" s="10" t="inlineStr">
        <is>
          <t>尾川</t>
        </is>
      </c>
      <c r="AJ148" s="10" t="inlineStr">
        <is>
          <t>井川</t>
        </is>
      </c>
      <c r="AK148" s="10" t="inlineStr">
        <is>
          <t>馬場</t>
        </is>
      </c>
      <c r="AL148" s="10" t="inlineStr">
        <is>
          <t>大川内</t>
        </is>
      </c>
      <c r="AM148" s="10" t="inlineStr">
        <is>
          <t>栗下</t>
        </is>
      </c>
      <c r="AN148" s="10" t="inlineStr">
        <is>
          <t>中村</t>
        </is>
      </c>
      <c r="AO148" s="10" t="inlineStr">
        <is>
          <t>河野</t>
        </is>
      </c>
      <c r="AP148" s="10" t="inlineStr">
        <is>
          <t>安村</t>
        </is>
      </c>
    </row>
    <row r="149" ht="15" customHeight="1" s="37">
      <c r="A149" t="inlineStr">
        <is>
          <t>2026-09-29</t>
        </is>
      </c>
      <c r="B149" s="10" t="inlineStr">
        <is>
          <t>火</t>
        </is>
      </c>
      <c r="C149" s="10" t="inlineStr">
        <is>
          <t>平日</t>
        </is>
      </c>
      <c r="E149" s="10" t="inlineStr">
        <is>
          <t>中嶌</t>
        </is>
      </c>
      <c r="F149" s="10" t="inlineStr">
        <is>
          <t>横田</t>
        </is>
      </c>
      <c r="G149" s="10" t="inlineStr">
        <is>
          <t>欠員①</t>
        </is>
      </c>
      <c r="H149" s="10" t="inlineStr">
        <is>
          <t>柴田</t>
        </is>
      </c>
      <c r="I149" s="10" t="inlineStr">
        <is>
          <t>中村</t>
        </is>
      </c>
      <c r="J149" s="10" t="inlineStr">
        <is>
          <t>矢田</t>
        </is>
      </c>
      <c r="K149" s="10" t="inlineStr">
        <is>
          <t>上田</t>
        </is>
      </c>
      <c r="L149" s="10" t="inlineStr">
        <is>
          <t>谷川</t>
        </is>
      </c>
      <c r="M149" s="10" t="inlineStr">
        <is>
          <t>北川</t>
        </is>
      </c>
      <c r="N149" s="10" t="inlineStr">
        <is>
          <t>植山</t>
        </is>
      </c>
      <c r="O149" s="10" t="inlineStr">
        <is>
          <t>藤原</t>
        </is>
      </c>
      <c r="P149" s="10" t="inlineStr">
        <is>
          <t>馬場</t>
        </is>
      </c>
      <c r="Q149" s="10" t="inlineStr">
        <is>
          <t>市田</t>
        </is>
      </c>
      <c r="R149" s="10" t="inlineStr">
        <is>
          <t>野口</t>
        </is>
      </c>
      <c r="S149" s="10" t="inlineStr">
        <is>
          <t>大川内</t>
        </is>
      </c>
      <c r="T149" s="10" t="inlineStr">
        <is>
          <t>山田久</t>
        </is>
      </c>
      <c r="U149" s="10" t="inlineStr">
        <is>
          <t>安村</t>
        </is>
      </c>
      <c r="V149" s="10" t="inlineStr">
        <is>
          <t>山本高</t>
        </is>
      </c>
      <c r="W149" s="10" t="inlineStr">
        <is>
          <t>佐野</t>
        </is>
      </c>
      <c r="X149" s="10" t="inlineStr">
        <is>
          <t>岩田</t>
        </is>
      </c>
      <c r="Y149" s="10" t="inlineStr">
        <is>
          <t>井川</t>
        </is>
      </c>
      <c r="Z149" s="10" t="inlineStr">
        <is>
          <t>中山</t>
        </is>
      </c>
      <c r="AA149" s="10" t="inlineStr">
        <is>
          <t>栗下</t>
        </is>
      </c>
      <c r="AB149" s="10" t="inlineStr">
        <is>
          <t>欠員②</t>
        </is>
      </c>
      <c r="AC149" s="10" t="inlineStr">
        <is>
          <t>河野</t>
        </is>
      </c>
      <c r="AD149" s="10" t="inlineStr">
        <is>
          <t>山本幸</t>
        </is>
      </c>
      <c r="AE149" s="10" t="inlineStr">
        <is>
          <t>上野</t>
        </is>
      </c>
      <c r="AF149" s="10" t="inlineStr">
        <is>
          <t>原</t>
        </is>
      </c>
      <c r="AG149" s="10" t="inlineStr">
        <is>
          <t>横山</t>
        </is>
      </c>
      <c r="AH149" s="10" t="inlineStr">
        <is>
          <t>山田真</t>
        </is>
      </c>
      <c r="AI149" s="10" t="inlineStr">
        <is>
          <t>門谷</t>
        </is>
      </c>
      <c r="AJ149" s="10" t="inlineStr">
        <is>
          <t>内野</t>
        </is>
      </c>
      <c r="AK149" s="10" t="inlineStr">
        <is>
          <t>尾川</t>
        </is>
      </c>
      <c r="AL149" s="10" t="inlineStr">
        <is>
          <t>田中</t>
        </is>
      </c>
      <c r="AM149" s="10" t="inlineStr">
        <is>
          <t>西村</t>
        </is>
      </c>
      <c r="AN149" s="10" t="inlineStr">
        <is>
          <t>岡本</t>
        </is>
      </c>
      <c r="AO149" s="10" t="inlineStr">
        <is>
          <t>富島</t>
        </is>
      </c>
      <c r="AP149" s="10" t="inlineStr">
        <is>
          <t>丸田</t>
        </is>
      </c>
    </row>
    <row r="150" ht="15" customHeight="1" s="37">
      <c r="A150" t="inlineStr">
        <is>
          <t>2026-09-30</t>
        </is>
      </c>
      <c r="B150" s="10" t="inlineStr">
        <is>
          <t>水</t>
        </is>
      </c>
      <c r="C150" s="10" t="inlineStr">
        <is>
          <t>平日</t>
        </is>
      </c>
      <c r="E150" s="10" t="inlineStr">
        <is>
          <t>大川内</t>
        </is>
      </c>
      <c r="F150" s="10" t="inlineStr">
        <is>
          <t>北川</t>
        </is>
      </c>
      <c r="G150" s="10" t="inlineStr">
        <is>
          <t>山本高</t>
        </is>
      </c>
      <c r="H150" s="10" t="inlineStr">
        <is>
          <t>藤原</t>
        </is>
      </c>
      <c r="I150" s="10" t="inlineStr">
        <is>
          <t>岡本</t>
        </is>
      </c>
      <c r="J150" s="10" t="inlineStr">
        <is>
          <t>佐野</t>
        </is>
      </c>
      <c r="K150" s="10" t="inlineStr">
        <is>
          <t>原</t>
        </is>
      </c>
      <c r="L150" s="10" t="inlineStr">
        <is>
          <t>馬場</t>
        </is>
      </c>
      <c r="M150" s="10" t="inlineStr">
        <is>
          <t>河野</t>
        </is>
      </c>
      <c r="N150" s="10" t="inlineStr">
        <is>
          <t>野口</t>
        </is>
      </c>
      <c r="O150" s="10" t="inlineStr">
        <is>
          <t>岩田</t>
        </is>
      </c>
      <c r="P150" s="10" t="inlineStr">
        <is>
          <t>尾川</t>
        </is>
      </c>
      <c r="Q150" s="10" t="inlineStr">
        <is>
          <t>谷川</t>
        </is>
      </c>
      <c r="R150" s="10" t="inlineStr">
        <is>
          <t>栗下</t>
        </is>
      </c>
      <c r="S150" s="10" t="inlineStr">
        <is>
          <t>田中</t>
        </is>
      </c>
      <c r="T150" s="10" t="inlineStr">
        <is>
          <t>安村</t>
        </is>
      </c>
      <c r="U150" s="10" t="inlineStr">
        <is>
          <t>丸田</t>
        </is>
      </c>
      <c r="V150" s="10" t="inlineStr">
        <is>
          <t>山田真</t>
        </is>
      </c>
      <c r="W150" s="10" t="inlineStr">
        <is>
          <t>上野</t>
        </is>
      </c>
      <c r="X150" s="10" t="inlineStr">
        <is>
          <t>上田</t>
        </is>
      </c>
      <c r="Y150" s="10" t="inlineStr">
        <is>
          <t>内野</t>
        </is>
      </c>
      <c r="Z150" s="10" t="inlineStr">
        <is>
          <t>欠員②</t>
        </is>
      </c>
      <c r="AA150" s="10" t="inlineStr">
        <is>
          <t>西村</t>
        </is>
      </c>
      <c r="AB150" s="10" t="inlineStr">
        <is>
          <t>矢田</t>
        </is>
      </c>
      <c r="AC150" s="10" t="inlineStr">
        <is>
          <t>富島</t>
        </is>
      </c>
      <c r="AD150" s="10" t="inlineStr">
        <is>
          <t>欠員①</t>
        </is>
      </c>
      <c r="AE150" s="10" t="inlineStr">
        <is>
          <t>柴田</t>
        </is>
      </c>
      <c r="AF150" s="10" t="inlineStr">
        <is>
          <t>横田</t>
        </is>
      </c>
      <c r="AG150" s="10" t="inlineStr">
        <is>
          <t>植山</t>
        </is>
      </c>
      <c r="AH150" s="10" t="inlineStr">
        <is>
          <t>市田</t>
        </is>
      </c>
      <c r="AI150" s="10" t="inlineStr">
        <is>
          <t>山田久</t>
        </is>
      </c>
      <c r="AJ150" s="10" t="inlineStr">
        <is>
          <t>中村</t>
        </is>
      </c>
      <c r="AK150" s="10" t="inlineStr">
        <is>
          <t>門谷</t>
        </is>
      </c>
      <c r="AL150" s="10" t="inlineStr">
        <is>
          <t>井川</t>
        </is>
      </c>
      <c r="AM150" s="10" t="inlineStr">
        <is>
          <t>山本幸</t>
        </is>
      </c>
      <c r="AN150" s="10" t="inlineStr">
        <is>
          <t>横山</t>
        </is>
      </c>
      <c r="AO150" s="10" t="inlineStr">
        <is>
          <t>中嶌</t>
        </is>
      </c>
      <c r="AP150" s="10" t="inlineStr">
        <is>
          <t>中山</t>
        </is>
      </c>
    </row>
    <row r="151" ht="15" customHeight="1" s="37">
      <c r="A151" t="inlineStr">
        <is>
          <t>2026-10-01</t>
        </is>
      </c>
      <c r="B151" s="10" t="inlineStr">
        <is>
          <t>木</t>
        </is>
      </c>
      <c r="C151" s="10" t="inlineStr">
        <is>
          <t>平日</t>
        </is>
      </c>
      <c r="E151" s="10" t="inlineStr">
        <is>
          <t>田中</t>
        </is>
      </c>
      <c r="F151" s="10" t="inlineStr">
        <is>
          <t>河野</t>
        </is>
      </c>
      <c r="G151" s="10" t="inlineStr">
        <is>
          <t>山田真</t>
        </is>
      </c>
      <c r="H151" s="10" t="inlineStr">
        <is>
          <t>岩田</t>
        </is>
      </c>
      <c r="I151" s="10" t="inlineStr">
        <is>
          <t>横山</t>
        </is>
      </c>
      <c r="J151" s="10" t="inlineStr">
        <is>
          <t>上野</t>
        </is>
      </c>
      <c r="K151" s="10" t="inlineStr">
        <is>
          <t>横田</t>
        </is>
      </c>
      <c r="L151" s="10" t="inlineStr">
        <is>
          <t>尾川</t>
        </is>
      </c>
      <c r="M151" s="10" t="inlineStr">
        <is>
          <t>富島</t>
        </is>
      </c>
      <c r="N151" s="10" t="inlineStr">
        <is>
          <t>栗下</t>
        </is>
      </c>
      <c r="O151" s="10" t="inlineStr">
        <is>
          <t>上田</t>
        </is>
      </c>
      <c r="P151" s="10" t="inlineStr">
        <is>
          <t>門谷</t>
        </is>
      </c>
      <c r="Q151" s="10" t="inlineStr">
        <is>
          <t>馬場</t>
        </is>
      </c>
      <c r="R151" s="10" t="inlineStr">
        <is>
          <t>西村</t>
        </is>
      </c>
      <c r="S151" s="10" t="inlineStr">
        <is>
          <t>井川</t>
        </is>
      </c>
      <c r="T151" s="10" t="inlineStr">
        <is>
          <t>丸田</t>
        </is>
      </c>
      <c r="U151" s="10" t="inlineStr">
        <is>
          <t>中山</t>
        </is>
      </c>
      <c r="V151" s="10" t="inlineStr">
        <is>
          <t>市田</t>
        </is>
      </c>
      <c r="W151" s="10" t="inlineStr">
        <is>
          <t>柴田</t>
        </is>
      </c>
      <c r="X151" s="10" t="inlineStr">
        <is>
          <t>原</t>
        </is>
      </c>
      <c r="Y151" s="10" t="inlineStr">
        <is>
          <t>中村</t>
        </is>
      </c>
      <c r="Z151" s="10" t="inlineStr">
        <is>
          <t>矢田</t>
        </is>
      </c>
      <c r="AA151" s="10" t="inlineStr">
        <is>
          <t>山本幸</t>
        </is>
      </c>
      <c r="AB151" s="10" t="inlineStr">
        <is>
          <t>佐野</t>
        </is>
      </c>
      <c r="AC151" s="10" t="inlineStr">
        <is>
          <t>中嶌</t>
        </is>
      </c>
      <c r="AD151" s="10" t="inlineStr">
        <is>
          <t>山本高</t>
        </is>
      </c>
      <c r="AE151" s="10" t="inlineStr">
        <is>
          <t>藤原</t>
        </is>
      </c>
      <c r="AF151" s="10" t="inlineStr">
        <is>
          <t>北川</t>
        </is>
      </c>
      <c r="AG151" s="10" t="inlineStr">
        <is>
          <t>野口</t>
        </is>
      </c>
      <c r="AH151" s="10" t="inlineStr">
        <is>
          <t>谷川</t>
        </is>
      </c>
      <c r="AI151" s="10" t="inlineStr">
        <is>
          <t>安村</t>
        </is>
      </c>
      <c r="AJ151" s="10" t="inlineStr">
        <is>
          <t>岡本</t>
        </is>
      </c>
      <c r="AK151" s="10" t="inlineStr">
        <is>
          <t>山田久</t>
        </is>
      </c>
      <c r="AL151" s="10" t="inlineStr">
        <is>
          <t>内野</t>
        </is>
      </c>
      <c r="AM151" s="10" t="inlineStr">
        <is>
          <t>欠員①</t>
        </is>
      </c>
      <c r="AN151" s="10" t="inlineStr">
        <is>
          <t>植山</t>
        </is>
      </c>
      <c r="AO151" s="10" t="inlineStr">
        <is>
          <t>大川内</t>
        </is>
      </c>
      <c r="AP151" s="10" t="inlineStr">
        <is>
          <t>欠員②</t>
        </is>
      </c>
    </row>
    <row r="152" ht="15" customHeight="1" s="37">
      <c r="A152" t="inlineStr">
        <is>
          <t>2026-10-02</t>
        </is>
      </c>
      <c r="B152" s="10" t="inlineStr">
        <is>
          <t>金</t>
        </is>
      </c>
      <c r="C152" s="10" t="inlineStr">
        <is>
          <t>平日</t>
        </is>
      </c>
      <c r="E152" s="10" t="inlineStr">
        <is>
          <t>井川</t>
        </is>
      </c>
      <c r="F152" s="10" t="inlineStr">
        <is>
          <t>富島</t>
        </is>
      </c>
      <c r="G152" s="10" t="inlineStr">
        <is>
          <t>市田</t>
        </is>
      </c>
      <c r="H152" s="10" t="inlineStr">
        <is>
          <t>上田</t>
        </is>
      </c>
      <c r="I152" s="10" t="inlineStr">
        <is>
          <t>植山</t>
        </is>
      </c>
      <c r="J152" s="10" t="inlineStr">
        <is>
          <t>柴田</t>
        </is>
      </c>
      <c r="K152" s="10" t="inlineStr">
        <is>
          <t>北川</t>
        </is>
      </c>
      <c r="L152" s="10" t="inlineStr">
        <is>
          <t>門谷</t>
        </is>
      </c>
      <c r="M152" s="10" t="inlineStr">
        <is>
          <t>中嶌</t>
        </is>
      </c>
      <c r="N152" s="10" t="inlineStr">
        <is>
          <t>西村</t>
        </is>
      </c>
      <c r="O152" s="10" t="inlineStr">
        <is>
          <t>原</t>
        </is>
      </c>
      <c r="P152" s="10" t="inlineStr">
        <is>
          <t>山田久</t>
        </is>
      </c>
      <c r="Q152" s="10" t="inlineStr">
        <is>
          <t>尾川</t>
        </is>
      </c>
      <c r="R152" s="10" t="inlineStr">
        <is>
          <t>山本幸</t>
        </is>
      </c>
      <c r="S152" s="10" t="inlineStr">
        <is>
          <t>内野</t>
        </is>
      </c>
      <c r="T152" s="10" t="inlineStr">
        <is>
          <t>中山</t>
        </is>
      </c>
      <c r="U152" s="10" t="inlineStr">
        <is>
          <t>欠員②</t>
        </is>
      </c>
      <c r="V152" s="10" t="inlineStr">
        <is>
          <t>谷川</t>
        </is>
      </c>
      <c r="W152" s="10" t="inlineStr">
        <is>
          <t>藤原</t>
        </is>
      </c>
      <c r="X152" s="10" t="inlineStr">
        <is>
          <t>横田</t>
        </is>
      </c>
      <c r="Y152" s="10" t="inlineStr">
        <is>
          <t>岡本</t>
        </is>
      </c>
      <c r="Z152" s="10" t="inlineStr">
        <is>
          <t>佐野</t>
        </is>
      </c>
      <c r="AA152" s="10" t="inlineStr">
        <is>
          <t>欠員①</t>
        </is>
      </c>
      <c r="AB152" s="10" t="inlineStr">
        <is>
          <t>上野</t>
        </is>
      </c>
      <c r="AC152" s="10" t="inlineStr">
        <is>
          <t>大川内</t>
        </is>
      </c>
      <c r="AD152" s="10" t="inlineStr">
        <is>
          <t>山田真</t>
        </is>
      </c>
      <c r="AE152" s="10" t="inlineStr">
        <is>
          <t>岩田</t>
        </is>
      </c>
      <c r="AF152" s="10" t="inlineStr">
        <is>
          <t>河野</t>
        </is>
      </c>
      <c r="AG152" s="10" t="inlineStr">
        <is>
          <t>栗下</t>
        </is>
      </c>
      <c r="AH152" s="10" t="inlineStr">
        <is>
          <t>馬場</t>
        </is>
      </c>
      <c r="AI152" s="10" t="inlineStr">
        <is>
          <t>丸田</t>
        </is>
      </c>
      <c r="AJ152" s="10" t="inlineStr">
        <is>
          <t>横山</t>
        </is>
      </c>
      <c r="AK152" s="10" t="inlineStr">
        <is>
          <t>安村</t>
        </is>
      </c>
      <c r="AL152" s="10" t="inlineStr">
        <is>
          <t>中村</t>
        </is>
      </c>
      <c r="AM152" s="10" t="inlineStr">
        <is>
          <t>山本高</t>
        </is>
      </c>
      <c r="AN152" s="10" t="inlineStr">
        <is>
          <t>野口</t>
        </is>
      </c>
      <c r="AO152" s="10" t="inlineStr">
        <is>
          <t>田中</t>
        </is>
      </c>
      <c r="AP152" s="10" t="inlineStr">
        <is>
          <t>矢田</t>
        </is>
      </c>
    </row>
    <row r="153" ht="15" customHeight="1" s="37">
      <c r="A153" t="inlineStr">
        <is>
          <t>2026-10-03</t>
        </is>
      </c>
      <c r="B153" s="10" t="inlineStr">
        <is>
          <t>土</t>
        </is>
      </c>
      <c r="C153" s="10" t="inlineStr">
        <is>
          <t>休日</t>
        </is>
      </c>
      <c r="E153" s="10" t="inlineStr">
        <is>
          <t>内野</t>
        </is>
      </c>
      <c r="F153" s="10" t="inlineStr">
        <is>
          <t>中嶌</t>
        </is>
      </c>
      <c r="G153" s="10" t="inlineStr">
        <is>
          <t>谷川</t>
        </is>
      </c>
      <c r="H153" s="10" t="inlineStr">
        <is>
          <t>原</t>
        </is>
      </c>
      <c r="I153" s="10" t="inlineStr">
        <is>
          <t>野口</t>
        </is>
      </c>
      <c r="J153" s="10" t="inlineStr">
        <is>
          <t>藤原</t>
        </is>
      </c>
      <c r="K153" s="10" t="inlineStr">
        <is>
          <t>河野</t>
        </is>
      </c>
      <c r="L153" s="10" t="inlineStr">
        <is>
          <t>山田久</t>
        </is>
      </c>
      <c r="M153" s="10" t="inlineStr">
        <is>
          <t>大川内</t>
        </is>
      </c>
      <c r="N153" s="10" t="inlineStr">
        <is>
          <t>山本幸</t>
        </is>
      </c>
      <c r="O153" s="10" t="inlineStr">
        <is>
          <t>横田</t>
        </is>
      </c>
      <c r="P153" s="10" t="inlineStr">
        <is>
          <t>安村</t>
        </is>
      </c>
      <c r="Q153" s="10" t="inlineStr">
        <is>
          <t>門谷</t>
        </is>
      </c>
      <c r="R153" s="10" t="inlineStr">
        <is>
          <t>欠員①</t>
        </is>
      </c>
      <c r="S153" s="10" t="inlineStr">
        <is>
          <t>中村</t>
        </is>
      </c>
      <c r="T153" s="10" t="inlineStr">
        <is>
          <t>欠員②</t>
        </is>
      </c>
      <c r="U153" s="10" t="inlineStr">
        <is>
          <t>矢田</t>
        </is>
      </c>
      <c r="V153" s="10" t="inlineStr">
        <is>
          <t>馬場</t>
        </is>
      </c>
      <c r="W153" s="10" t="inlineStr">
        <is>
          <t>岩田</t>
        </is>
      </c>
      <c r="X153" s="10" t="inlineStr">
        <is>
          <t>北川</t>
        </is>
      </c>
      <c r="Y153" s="10" t="inlineStr">
        <is>
          <t>横山</t>
        </is>
      </c>
      <c r="Z153" s="10" t="inlineStr">
        <is>
          <t>上野</t>
        </is>
      </c>
      <c r="AA153" s="10" t="inlineStr">
        <is>
          <t>山本高</t>
        </is>
      </c>
      <c r="AB153" s="10" t="inlineStr">
        <is>
          <t>柴田</t>
        </is>
      </c>
      <c r="AC153" s="10" t="inlineStr">
        <is>
          <t>田中</t>
        </is>
      </c>
      <c r="AD153" s="10" t="inlineStr">
        <is>
          <t>市田</t>
        </is>
      </c>
      <c r="AE153" s="10" t="inlineStr">
        <is>
          <t>上田</t>
        </is>
      </c>
      <c r="AF153" s="10" t="inlineStr">
        <is>
          <t>富島</t>
        </is>
      </c>
      <c r="AG153" s="10" t="inlineStr">
        <is>
          <t>西村</t>
        </is>
      </c>
      <c r="AH153" s="10" t="inlineStr">
        <is>
          <t>尾川</t>
        </is>
      </c>
      <c r="AI153" s="10" t="inlineStr">
        <is>
          <t>中山</t>
        </is>
      </c>
      <c r="AJ153" s="10" t="inlineStr">
        <is>
          <t>植山</t>
        </is>
      </c>
      <c r="AK153" s="10" t="inlineStr">
        <is>
          <t>丸田</t>
        </is>
      </c>
      <c r="AL153" s="10" t="inlineStr">
        <is>
          <t>岡本</t>
        </is>
      </c>
      <c r="AM153" s="10" t="inlineStr">
        <is>
          <t>山田真</t>
        </is>
      </c>
      <c r="AN153" s="10" t="inlineStr">
        <is>
          <t>栗下</t>
        </is>
      </c>
      <c r="AO153" s="10" t="inlineStr">
        <is>
          <t>井川</t>
        </is>
      </c>
      <c r="AP153" s="10" t="inlineStr">
        <is>
          <t>佐野</t>
        </is>
      </c>
    </row>
    <row r="154" ht="15" customHeight="1" s="37">
      <c r="A154" t="inlineStr">
        <is>
          <t>2026-10-04</t>
        </is>
      </c>
      <c r="B154" s="10" t="inlineStr">
        <is>
          <t>日</t>
        </is>
      </c>
      <c r="C154" s="10" t="inlineStr">
        <is>
          <t>休日</t>
        </is>
      </c>
      <c r="E154" s="10" t="inlineStr">
        <is>
          <t>中村</t>
        </is>
      </c>
      <c r="F154" s="10" t="inlineStr">
        <is>
          <t>大川内</t>
        </is>
      </c>
      <c r="G154" s="10" t="inlineStr">
        <is>
          <t>馬場</t>
        </is>
      </c>
      <c r="H154" s="10" t="inlineStr">
        <is>
          <t>横田</t>
        </is>
      </c>
      <c r="I154" s="10" t="inlineStr">
        <is>
          <t>栗下</t>
        </is>
      </c>
      <c r="J154" s="10" t="inlineStr">
        <is>
          <t>岩田</t>
        </is>
      </c>
      <c r="K154" s="10" t="inlineStr">
        <is>
          <t>富島</t>
        </is>
      </c>
      <c r="L154" s="10" t="inlineStr">
        <is>
          <t>安村</t>
        </is>
      </c>
      <c r="M154" s="10" t="inlineStr">
        <is>
          <t>田中</t>
        </is>
      </c>
      <c r="N154" s="10" t="inlineStr">
        <is>
          <t>欠員①</t>
        </is>
      </c>
      <c r="O154" s="10" t="inlineStr">
        <is>
          <t>北川</t>
        </is>
      </c>
      <c r="P154" s="10" t="inlineStr">
        <is>
          <t>丸田</t>
        </is>
      </c>
      <c r="Q154" s="10" t="inlineStr">
        <is>
          <t>山田久</t>
        </is>
      </c>
      <c r="R154" s="10" t="inlineStr">
        <is>
          <t>山本高</t>
        </is>
      </c>
      <c r="S154" s="10" t="inlineStr">
        <is>
          <t>岡本</t>
        </is>
      </c>
      <c r="T154" s="10" t="inlineStr">
        <is>
          <t>矢田</t>
        </is>
      </c>
      <c r="U154" s="10" t="inlineStr">
        <is>
          <t>佐野</t>
        </is>
      </c>
      <c r="V154" s="10" t="inlineStr">
        <is>
          <t>尾川</t>
        </is>
      </c>
      <c r="W154" s="10" t="inlineStr">
        <is>
          <t>上田</t>
        </is>
      </c>
      <c r="X154" s="10" t="inlineStr">
        <is>
          <t>河野</t>
        </is>
      </c>
      <c r="Y154" s="10" t="inlineStr">
        <is>
          <t>植山</t>
        </is>
      </c>
      <c r="Z154" s="10" t="inlineStr">
        <is>
          <t>柴田</t>
        </is>
      </c>
      <c r="AA154" s="10" t="inlineStr">
        <is>
          <t>山田真</t>
        </is>
      </c>
      <c r="AB154" s="10" t="inlineStr">
        <is>
          <t>藤原</t>
        </is>
      </c>
      <c r="AC154" s="10" t="inlineStr">
        <is>
          <t>井川</t>
        </is>
      </c>
      <c r="AD154" s="10" t="inlineStr">
        <is>
          <t>谷川</t>
        </is>
      </c>
      <c r="AE154" s="10" t="inlineStr">
        <is>
          <t>原</t>
        </is>
      </c>
      <c r="AF154" s="10" t="inlineStr">
        <is>
          <t>中嶌</t>
        </is>
      </c>
      <c r="AG154" s="10" t="inlineStr">
        <is>
          <t>山本幸</t>
        </is>
      </c>
      <c r="AH154" s="10" t="inlineStr">
        <is>
          <t>門谷</t>
        </is>
      </c>
      <c r="AI154" s="10" t="inlineStr">
        <is>
          <t>欠員②</t>
        </is>
      </c>
      <c r="AJ154" s="10" t="inlineStr">
        <is>
          <t>野口</t>
        </is>
      </c>
      <c r="AK154" s="10" t="inlineStr">
        <is>
          <t>中山</t>
        </is>
      </c>
      <c r="AL154" s="10" t="inlineStr">
        <is>
          <t>横山</t>
        </is>
      </c>
      <c r="AM154" s="10" t="inlineStr">
        <is>
          <t>市田</t>
        </is>
      </c>
      <c r="AN154" s="10" t="inlineStr">
        <is>
          <t>西村</t>
        </is>
      </c>
      <c r="AO154" s="10" t="inlineStr">
        <is>
          <t>内野</t>
        </is>
      </c>
      <c r="AP154" s="10" t="inlineStr">
        <is>
          <t>上野</t>
        </is>
      </c>
    </row>
    <row r="155" ht="15" customHeight="1" s="37">
      <c r="A155" t="inlineStr">
        <is>
          <t>2026-10-05</t>
        </is>
      </c>
      <c r="B155" s="10" t="inlineStr">
        <is>
          <t>月</t>
        </is>
      </c>
      <c r="C155" s="10" t="inlineStr">
        <is>
          <t>平日</t>
        </is>
      </c>
      <c r="E155" s="10" t="inlineStr">
        <is>
          <t>岡本</t>
        </is>
      </c>
      <c r="F155" s="10" t="inlineStr">
        <is>
          <t>田中</t>
        </is>
      </c>
      <c r="G155" s="10" t="inlineStr">
        <is>
          <t>尾川</t>
        </is>
      </c>
      <c r="H155" s="10" t="inlineStr">
        <is>
          <t>北川</t>
        </is>
      </c>
      <c r="I155" s="10" t="inlineStr">
        <is>
          <t>西村</t>
        </is>
      </c>
      <c r="J155" s="10" t="inlineStr">
        <is>
          <t>上田</t>
        </is>
      </c>
      <c r="K155" s="10" t="inlineStr">
        <is>
          <t>中嶌</t>
        </is>
      </c>
      <c r="L155" s="10" t="inlineStr">
        <is>
          <t>丸田</t>
        </is>
      </c>
      <c r="M155" s="10" t="inlineStr">
        <is>
          <t>井川</t>
        </is>
      </c>
      <c r="N155" s="10" t="inlineStr">
        <is>
          <t>山本高</t>
        </is>
      </c>
      <c r="O155" s="10" t="inlineStr">
        <is>
          <t>河野</t>
        </is>
      </c>
      <c r="P155" s="10" t="inlineStr">
        <is>
          <t>中山</t>
        </is>
      </c>
      <c r="Q155" s="10" t="inlineStr">
        <is>
          <t>安村</t>
        </is>
      </c>
      <c r="R155" s="10" t="inlineStr">
        <is>
          <t>山田真</t>
        </is>
      </c>
      <c r="S155" s="10" t="inlineStr">
        <is>
          <t>横山</t>
        </is>
      </c>
      <c r="T155" s="10" t="inlineStr">
        <is>
          <t>佐野</t>
        </is>
      </c>
      <c r="U155" s="10" t="inlineStr">
        <is>
          <t>上野</t>
        </is>
      </c>
      <c r="V155" s="10" t="inlineStr">
        <is>
          <t>門谷</t>
        </is>
      </c>
      <c r="W155" s="10" t="inlineStr">
        <is>
          <t>原</t>
        </is>
      </c>
      <c r="X155" s="10" t="inlineStr">
        <is>
          <t>富島</t>
        </is>
      </c>
      <c r="Y155" s="10" t="inlineStr">
        <is>
          <t>野口</t>
        </is>
      </c>
      <c r="Z155" s="10" t="inlineStr">
        <is>
          <t>藤原</t>
        </is>
      </c>
      <c r="AA155" s="10" t="inlineStr">
        <is>
          <t>市田</t>
        </is>
      </c>
      <c r="AB155" s="10" t="inlineStr">
        <is>
          <t>岩田</t>
        </is>
      </c>
      <c r="AC155" s="10" t="inlineStr">
        <is>
          <t>内野</t>
        </is>
      </c>
      <c r="AD155" s="10" t="inlineStr">
        <is>
          <t>馬場</t>
        </is>
      </c>
      <c r="AE155" s="10" t="inlineStr">
        <is>
          <t>横田</t>
        </is>
      </c>
      <c r="AF155" s="10" t="inlineStr">
        <is>
          <t>大川内</t>
        </is>
      </c>
      <c r="AG155" s="10" t="inlineStr">
        <is>
          <t>欠員①</t>
        </is>
      </c>
      <c r="AH155" s="10" t="inlineStr">
        <is>
          <t>山田久</t>
        </is>
      </c>
      <c r="AI155" s="10" t="inlineStr">
        <is>
          <t>矢田</t>
        </is>
      </c>
      <c r="AJ155" s="10" t="inlineStr">
        <is>
          <t>栗下</t>
        </is>
      </c>
      <c r="AK155" s="10" t="inlineStr">
        <is>
          <t>欠員②</t>
        </is>
      </c>
      <c r="AL155" s="10" t="inlineStr">
        <is>
          <t>植山</t>
        </is>
      </c>
      <c r="AM155" s="10" t="inlineStr">
        <is>
          <t>谷川</t>
        </is>
      </c>
      <c r="AN155" s="10" t="inlineStr">
        <is>
          <t>山本幸</t>
        </is>
      </c>
      <c r="AO155" s="10" t="inlineStr">
        <is>
          <t>中村</t>
        </is>
      </c>
      <c r="AP155" s="10" t="inlineStr">
        <is>
          <t>柴田</t>
        </is>
      </c>
    </row>
    <row r="156" ht="15" customHeight="1" s="37">
      <c r="A156" t="inlineStr">
        <is>
          <t>2026-10-06</t>
        </is>
      </c>
      <c r="B156" s="10" t="inlineStr">
        <is>
          <t>火</t>
        </is>
      </c>
      <c r="C156" s="10" t="inlineStr">
        <is>
          <t>平日</t>
        </is>
      </c>
      <c r="E156" s="10" t="inlineStr">
        <is>
          <t>横山</t>
        </is>
      </c>
      <c r="F156" s="10" t="inlineStr">
        <is>
          <t>井川</t>
        </is>
      </c>
      <c r="G156" s="10" t="inlineStr">
        <is>
          <t>門谷</t>
        </is>
      </c>
      <c r="H156" s="10" t="inlineStr">
        <is>
          <t>河野</t>
        </is>
      </c>
      <c r="I156" s="10" t="inlineStr">
        <is>
          <t>山本幸</t>
        </is>
      </c>
      <c r="J156" s="10" t="inlineStr">
        <is>
          <t>原</t>
        </is>
      </c>
      <c r="K156" s="10" t="inlineStr">
        <is>
          <t>大川内</t>
        </is>
      </c>
      <c r="L156" s="10" t="inlineStr">
        <is>
          <t>中山</t>
        </is>
      </c>
      <c r="M156" s="10" t="inlineStr">
        <is>
          <t>内野</t>
        </is>
      </c>
      <c r="N156" s="10" t="inlineStr">
        <is>
          <t>山田真</t>
        </is>
      </c>
      <c r="O156" s="10" t="inlineStr">
        <is>
          <t>富島</t>
        </is>
      </c>
      <c r="P156" s="10" t="inlineStr">
        <is>
          <t>欠員②</t>
        </is>
      </c>
      <c r="Q156" s="10" t="inlineStr">
        <is>
          <t>丸田</t>
        </is>
      </c>
      <c r="R156" s="10" t="inlineStr">
        <is>
          <t>市田</t>
        </is>
      </c>
      <c r="S156" s="10" t="inlineStr">
        <is>
          <t>植山</t>
        </is>
      </c>
      <c r="T156" s="10" t="inlineStr">
        <is>
          <t>上野</t>
        </is>
      </c>
      <c r="U156" s="10" t="inlineStr">
        <is>
          <t>柴田</t>
        </is>
      </c>
      <c r="V156" s="10" t="inlineStr">
        <is>
          <t>山田久</t>
        </is>
      </c>
      <c r="W156" s="10" t="inlineStr">
        <is>
          <t>横田</t>
        </is>
      </c>
      <c r="X156" s="10" t="inlineStr">
        <is>
          <t>中嶌</t>
        </is>
      </c>
      <c r="Y156" s="10" t="inlineStr">
        <is>
          <t>栗下</t>
        </is>
      </c>
      <c r="Z156" s="10" t="inlineStr">
        <is>
          <t>岩田</t>
        </is>
      </c>
      <c r="AA156" s="10" t="inlineStr">
        <is>
          <t>谷川</t>
        </is>
      </c>
      <c r="AB156" s="10" t="inlineStr">
        <is>
          <t>上田</t>
        </is>
      </c>
      <c r="AC156" s="10" t="inlineStr">
        <is>
          <t>中村</t>
        </is>
      </c>
      <c r="AD156" s="10" t="inlineStr">
        <is>
          <t>尾川</t>
        </is>
      </c>
      <c r="AE156" s="10" t="inlineStr">
        <is>
          <t>北川</t>
        </is>
      </c>
      <c r="AF156" s="10" t="inlineStr">
        <is>
          <t>田中</t>
        </is>
      </c>
      <c r="AG156" s="10" t="inlineStr">
        <is>
          <t>山本高</t>
        </is>
      </c>
      <c r="AH156" s="10" t="inlineStr">
        <is>
          <t>安村</t>
        </is>
      </c>
      <c r="AI156" s="10" t="inlineStr">
        <is>
          <t>佐野</t>
        </is>
      </c>
      <c r="AJ156" s="10" t="inlineStr">
        <is>
          <t>西村</t>
        </is>
      </c>
      <c r="AK156" s="10" t="inlineStr">
        <is>
          <t>矢田</t>
        </is>
      </c>
      <c r="AL156" s="10" t="inlineStr">
        <is>
          <t>野口</t>
        </is>
      </c>
      <c r="AM156" s="10" t="inlineStr">
        <is>
          <t>馬場</t>
        </is>
      </c>
      <c r="AN156" s="10" t="inlineStr">
        <is>
          <t>欠員①</t>
        </is>
      </c>
      <c r="AO156" s="10" t="inlineStr">
        <is>
          <t>岡本</t>
        </is>
      </c>
      <c r="AP156" s="10" t="inlineStr">
        <is>
          <t>藤原</t>
        </is>
      </c>
    </row>
    <row r="157" ht="15" customHeight="1" s="37">
      <c r="A157" t="inlineStr">
        <is>
          <t>2026-10-07</t>
        </is>
      </c>
      <c r="B157" s="10" t="inlineStr">
        <is>
          <t>水</t>
        </is>
      </c>
      <c r="C157" s="10" t="inlineStr">
        <is>
          <t>平日</t>
        </is>
      </c>
      <c r="E157" s="10" t="inlineStr">
        <is>
          <t>植山</t>
        </is>
      </c>
      <c r="F157" s="10" t="inlineStr">
        <is>
          <t>内野</t>
        </is>
      </c>
      <c r="G157" s="10" t="inlineStr">
        <is>
          <t>山田久</t>
        </is>
      </c>
      <c r="H157" s="10" t="inlineStr">
        <is>
          <t>富島</t>
        </is>
      </c>
      <c r="I157" s="10" t="inlineStr">
        <is>
          <t>欠員①</t>
        </is>
      </c>
      <c r="J157" s="10" t="inlineStr">
        <is>
          <t>横田</t>
        </is>
      </c>
      <c r="K157" s="10" t="inlineStr">
        <is>
          <t>田中</t>
        </is>
      </c>
      <c r="L157" s="10" t="inlineStr">
        <is>
          <t>欠員②</t>
        </is>
      </c>
      <c r="M157" s="10" t="inlineStr">
        <is>
          <t>中村</t>
        </is>
      </c>
      <c r="N157" s="10" t="inlineStr">
        <is>
          <t>市田</t>
        </is>
      </c>
      <c r="O157" s="10" t="inlineStr">
        <is>
          <t>中嶌</t>
        </is>
      </c>
      <c r="P157" s="10" t="inlineStr">
        <is>
          <t>矢田</t>
        </is>
      </c>
      <c r="Q157" s="10" t="inlineStr">
        <is>
          <t>中山</t>
        </is>
      </c>
      <c r="R157" s="10" t="inlineStr">
        <is>
          <t>谷川</t>
        </is>
      </c>
      <c r="S157" s="10" t="inlineStr">
        <is>
          <t>野口</t>
        </is>
      </c>
      <c r="T157" s="10" t="inlineStr">
        <is>
          <t>柴田</t>
        </is>
      </c>
      <c r="U157" s="10" t="inlineStr">
        <is>
          <t>藤原</t>
        </is>
      </c>
      <c r="V157" s="10" t="inlineStr">
        <is>
          <t>安村</t>
        </is>
      </c>
      <c r="W157" s="10" t="inlineStr">
        <is>
          <t>北川</t>
        </is>
      </c>
      <c r="X157" s="10" t="inlineStr">
        <is>
          <t>大川内</t>
        </is>
      </c>
      <c r="Y157" s="10" t="inlineStr">
        <is>
          <t>西村</t>
        </is>
      </c>
      <c r="Z157" s="10" t="inlineStr">
        <is>
          <t>上田</t>
        </is>
      </c>
      <c r="AA157" s="10" t="inlineStr">
        <is>
          <t>馬場</t>
        </is>
      </c>
      <c r="AB157" s="10" t="inlineStr">
        <is>
          <t>原</t>
        </is>
      </c>
      <c r="AC157" s="10" t="inlineStr">
        <is>
          <t>岡本</t>
        </is>
      </c>
      <c r="AD157" s="10" t="inlineStr">
        <is>
          <t>門谷</t>
        </is>
      </c>
      <c r="AE157" s="10" t="inlineStr">
        <is>
          <t>河野</t>
        </is>
      </c>
      <c r="AF157" s="10" t="inlineStr">
        <is>
          <t>井川</t>
        </is>
      </c>
      <c r="AG157" s="10" t="inlineStr">
        <is>
          <t>山田真</t>
        </is>
      </c>
      <c r="AH157" s="10" t="inlineStr">
        <is>
          <t>丸田</t>
        </is>
      </c>
      <c r="AI157" s="10" t="inlineStr">
        <is>
          <t>上野</t>
        </is>
      </c>
      <c r="AJ157" s="10" t="inlineStr">
        <is>
          <t>山本幸</t>
        </is>
      </c>
      <c r="AK157" s="10" t="inlineStr">
        <is>
          <t>佐野</t>
        </is>
      </c>
      <c r="AL157" s="10" t="inlineStr">
        <is>
          <t>栗下</t>
        </is>
      </c>
      <c r="AM157" s="10" t="inlineStr">
        <is>
          <t>尾川</t>
        </is>
      </c>
      <c r="AN157" s="10" t="inlineStr">
        <is>
          <t>山本高</t>
        </is>
      </c>
      <c r="AO157" s="10" t="inlineStr">
        <is>
          <t>横山</t>
        </is>
      </c>
      <c r="AP157" s="10" t="inlineStr">
        <is>
          <t>岩田</t>
        </is>
      </c>
    </row>
    <row r="158" ht="15" customHeight="1" s="37">
      <c r="A158" t="inlineStr">
        <is>
          <t>2026-10-08</t>
        </is>
      </c>
      <c r="B158" s="10" t="inlineStr">
        <is>
          <t>木</t>
        </is>
      </c>
      <c r="C158" s="10" t="inlineStr">
        <is>
          <t>平日</t>
        </is>
      </c>
      <c r="E158" s="10" t="inlineStr">
        <is>
          <t>野口</t>
        </is>
      </c>
      <c r="F158" s="10" t="inlineStr">
        <is>
          <t>中村</t>
        </is>
      </c>
      <c r="G158" s="10" t="inlineStr">
        <is>
          <t>安村</t>
        </is>
      </c>
      <c r="H158" s="10" t="inlineStr">
        <is>
          <t>中嶌</t>
        </is>
      </c>
      <c r="I158" s="10" t="inlineStr">
        <is>
          <t>山本高</t>
        </is>
      </c>
      <c r="J158" s="10" t="inlineStr">
        <is>
          <t>北川</t>
        </is>
      </c>
      <c r="K158" s="10" t="inlineStr">
        <is>
          <t>井川</t>
        </is>
      </c>
      <c r="L158" s="10" t="inlineStr">
        <is>
          <t>矢田</t>
        </is>
      </c>
      <c r="M158" s="10" t="inlineStr">
        <is>
          <t>岡本</t>
        </is>
      </c>
      <c r="N158" s="10" t="inlineStr">
        <is>
          <t>谷川</t>
        </is>
      </c>
      <c r="O158" s="10" t="inlineStr">
        <is>
          <t>大川内</t>
        </is>
      </c>
      <c r="P158" s="10" t="inlineStr">
        <is>
          <t>佐野</t>
        </is>
      </c>
      <c r="Q158" s="10" t="inlineStr">
        <is>
          <t>欠員②</t>
        </is>
      </c>
      <c r="R158" s="10" t="inlineStr">
        <is>
          <t>馬場</t>
        </is>
      </c>
      <c r="S158" s="10" t="inlineStr">
        <is>
          <t>栗下</t>
        </is>
      </c>
      <c r="T158" s="10" t="inlineStr">
        <is>
          <t>藤原</t>
        </is>
      </c>
      <c r="U158" s="10" t="inlineStr">
        <is>
          <t>岩田</t>
        </is>
      </c>
      <c r="V158" s="10" t="inlineStr">
        <is>
          <t>丸田</t>
        </is>
      </c>
      <c r="W158" s="10" t="inlineStr">
        <is>
          <t>河野</t>
        </is>
      </c>
      <c r="X158" s="10" t="inlineStr">
        <is>
          <t>田中</t>
        </is>
      </c>
      <c r="Y158" s="10" t="inlineStr">
        <is>
          <t>山本幸</t>
        </is>
      </c>
      <c r="Z158" s="10" t="inlineStr">
        <is>
          <t>原</t>
        </is>
      </c>
      <c r="AA158" s="10" t="inlineStr">
        <is>
          <t>尾川</t>
        </is>
      </c>
      <c r="AB158" s="10" t="inlineStr">
        <is>
          <t>横田</t>
        </is>
      </c>
      <c r="AC158" s="10" t="inlineStr">
        <is>
          <t>横山</t>
        </is>
      </c>
      <c r="AD158" s="10" t="inlineStr">
        <is>
          <t>山田久</t>
        </is>
      </c>
      <c r="AE158" s="10" t="inlineStr">
        <is>
          <t>富島</t>
        </is>
      </c>
      <c r="AF158" s="10" t="inlineStr">
        <is>
          <t>内野</t>
        </is>
      </c>
      <c r="AG158" s="10" t="inlineStr">
        <is>
          <t>市田</t>
        </is>
      </c>
      <c r="AH158" s="10" t="inlineStr">
        <is>
          <t>中山</t>
        </is>
      </c>
      <c r="AI158" s="10" t="inlineStr">
        <is>
          <t>柴田</t>
        </is>
      </c>
      <c r="AJ158" s="10" t="inlineStr">
        <is>
          <t>欠員①</t>
        </is>
      </c>
      <c r="AK158" s="10" t="inlineStr">
        <is>
          <t>上野</t>
        </is>
      </c>
      <c r="AL158" s="10" t="inlineStr">
        <is>
          <t>西村</t>
        </is>
      </c>
      <c r="AM158" s="10" t="inlineStr">
        <is>
          <t>門谷</t>
        </is>
      </c>
      <c r="AN158" s="10" t="inlineStr">
        <is>
          <t>山田真</t>
        </is>
      </c>
      <c r="AO158" s="10" t="inlineStr">
        <is>
          <t>植山</t>
        </is>
      </c>
      <c r="AP158" s="10" t="inlineStr">
        <is>
          <t>上田</t>
        </is>
      </c>
    </row>
    <row r="159" ht="15" customHeight="1" s="37">
      <c r="A159" t="inlineStr">
        <is>
          <t>2026-10-09</t>
        </is>
      </c>
      <c r="B159" s="10" t="inlineStr">
        <is>
          <t>金</t>
        </is>
      </c>
      <c r="C159" s="10" t="inlineStr">
        <is>
          <t>平日</t>
        </is>
      </c>
      <c r="E159" s="10" t="inlineStr">
        <is>
          <t>栗下</t>
        </is>
      </c>
      <c r="F159" s="10" t="inlineStr">
        <is>
          <t>岡本</t>
        </is>
      </c>
      <c r="G159" s="10" t="inlineStr">
        <is>
          <t>丸田</t>
        </is>
      </c>
      <c r="H159" s="10" t="inlineStr">
        <is>
          <t>大川内</t>
        </is>
      </c>
      <c r="I159" s="10" t="inlineStr">
        <is>
          <t>山田真</t>
        </is>
      </c>
      <c r="J159" s="10" t="inlineStr">
        <is>
          <t>河野</t>
        </is>
      </c>
      <c r="K159" s="10" t="inlineStr">
        <is>
          <t>内野</t>
        </is>
      </c>
      <c r="L159" s="10" t="inlineStr">
        <is>
          <t>佐野</t>
        </is>
      </c>
      <c r="M159" s="10" t="inlineStr">
        <is>
          <t>横山</t>
        </is>
      </c>
      <c r="N159" s="10" t="inlineStr">
        <is>
          <t>馬場</t>
        </is>
      </c>
      <c r="O159" s="10" t="inlineStr">
        <is>
          <t>田中</t>
        </is>
      </c>
      <c r="P159" s="10" t="inlineStr">
        <is>
          <t>上野</t>
        </is>
      </c>
      <c r="Q159" s="10" t="inlineStr">
        <is>
          <t>矢田</t>
        </is>
      </c>
      <c r="R159" s="10" t="inlineStr">
        <is>
          <t>尾川</t>
        </is>
      </c>
      <c r="S159" s="10" t="inlineStr">
        <is>
          <t>西村</t>
        </is>
      </c>
      <c r="T159" s="10" t="inlineStr">
        <is>
          <t>岩田</t>
        </is>
      </c>
      <c r="U159" s="10" t="inlineStr">
        <is>
          <t>上田</t>
        </is>
      </c>
      <c r="V159" s="10" t="inlineStr">
        <is>
          <t>中山</t>
        </is>
      </c>
      <c r="W159" s="10" t="inlineStr">
        <is>
          <t>富島</t>
        </is>
      </c>
      <c r="X159" s="10" t="inlineStr">
        <is>
          <t>井川</t>
        </is>
      </c>
      <c r="Y159" s="10" t="inlineStr">
        <is>
          <t>欠員①</t>
        </is>
      </c>
      <c r="Z159" s="10" t="inlineStr">
        <is>
          <t>横田</t>
        </is>
      </c>
      <c r="AA159" s="10" t="inlineStr">
        <is>
          <t>門谷</t>
        </is>
      </c>
      <c r="AB159" s="10" t="inlineStr">
        <is>
          <t>北川</t>
        </is>
      </c>
      <c r="AC159" s="10" t="inlineStr">
        <is>
          <t>植山</t>
        </is>
      </c>
      <c r="AD159" s="10" t="inlineStr">
        <is>
          <t>安村</t>
        </is>
      </c>
      <c r="AE159" s="10" t="inlineStr">
        <is>
          <t>中嶌</t>
        </is>
      </c>
      <c r="AF159" s="10" t="inlineStr">
        <is>
          <t>中村</t>
        </is>
      </c>
      <c r="AG159" s="10" t="inlineStr">
        <is>
          <t>谷川</t>
        </is>
      </c>
      <c r="AH159" s="10" t="inlineStr">
        <is>
          <t>欠員②</t>
        </is>
      </c>
      <c r="AI159" s="10" t="inlineStr">
        <is>
          <t>藤原</t>
        </is>
      </c>
      <c r="AJ159" s="10" t="inlineStr">
        <is>
          <t>山本高</t>
        </is>
      </c>
      <c r="AK159" s="10" t="inlineStr">
        <is>
          <t>柴田</t>
        </is>
      </c>
      <c r="AL159" s="10" t="inlineStr">
        <is>
          <t>山本幸</t>
        </is>
      </c>
      <c r="AM159" s="10" t="inlineStr">
        <is>
          <t>山田久</t>
        </is>
      </c>
      <c r="AN159" s="10" t="inlineStr">
        <is>
          <t>市田</t>
        </is>
      </c>
      <c r="AO159" s="10" t="inlineStr">
        <is>
          <t>野口</t>
        </is>
      </c>
      <c r="AP159" s="10" t="inlineStr">
        <is>
          <t>原</t>
        </is>
      </c>
    </row>
    <row r="160" ht="15" customHeight="1" s="37">
      <c r="A160" t="inlineStr">
        <is>
          <t>2026-10-10</t>
        </is>
      </c>
      <c r="B160" s="10" t="inlineStr">
        <is>
          <t>土</t>
        </is>
      </c>
      <c r="C160" s="10" t="inlineStr">
        <is>
          <t>休日</t>
        </is>
      </c>
      <c r="E160" s="10" t="inlineStr">
        <is>
          <t>西村</t>
        </is>
      </c>
      <c r="F160" s="10" t="inlineStr">
        <is>
          <t>横山</t>
        </is>
      </c>
      <c r="G160" s="10" t="inlineStr">
        <is>
          <t>中山</t>
        </is>
      </c>
      <c r="H160" s="10" t="inlineStr">
        <is>
          <t>田中</t>
        </is>
      </c>
      <c r="I160" s="10" t="inlineStr">
        <is>
          <t>市田</t>
        </is>
      </c>
      <c r="J160" s="10" t="inlineStr">
        <is>
          <t>富島</t>
        </is>
      </c>
      <c r="K160" s="10" t="inlineStr">
        <is>
          <t>中村</t>
        </is>
      </c>
      <c r="L160" s="10" t="inlineStr">
        <is>
          <t>上野</t>
        </is>
      </c>
      <c r="M160" s="10" t="inlineStr">
        <is>
          <t>植山</t>
        </is>
      </c>
      <c r="N160" s="10" t="inlineStr">
        <is>
          <t>尾川</t>
        </is>
      </c>
      <c r="O160" s="10" t="inlineStr">
        <is>
          <t>井川</t>
        </is>
      </c>
      <c r="P160" s="10" t="inlineStr">
        <is>
          <t>柴田</t>
        </is>
      </c>
      <c r="Q160" s="10" t="inlineStr">
        <is>
          <t>佐野</t>
        </is>
      </c>
      <c r="R160" s="10" t="inlineStr">
        <is>
          <t>門谷</t>
        </is>
      </c>
      <c r="S160" s="10" t="inlineStr">
        <is>
          <t>山本幸</t>
        </is>
      </c>
      <c r="T160" s="10" t="inlineStr">
        <is>
          <t>上田</t>
        </is>
      </c>
      <c r="U160" s="10" t="inlineStr">
        <is>
          <t>原</t>
        </is>
      </c>
      <c r="V160" s="10" t="inlineStr">
        <is>
          <t>欠員②</t>
        </is>
      </c>
      <c r="W160" s="10" t="inlineStr">
        <is>
          <t>中嶌</t>
        </is>
      </c>
      <c r="X160" s="10" t="inlineStr">
        <is>
          <t>内野</t>
        </is>
      </c>
      <c r="Y160" s="10" t="inlineStr">
        <is>
          <t>山本高</t>
        </is>
      </c>
      <c r="Z160" s="10" t="inlineStr">
        <is>
          <t>北川</t>
        </is>
      </c>
      <c r="AA160" s="10" t="inlineStr">
        <is>
          <t>山田久</t>
        </is>
      </c>
      <c r="AB160" s="10" t="inlineStr">
        <is>
          <t>河野</t>
        </is>
      </c>
      <c r="AC160" s="10" t="inlineStr">
        <is>
          <t>野口</t>
        </is>
      </c>
      <c r="AD160" s="10" t="inlineStr">
        <is>
          <t>丸田</t>
        </is>
      </c>
      <c r="AE160" s="10" t="inlineStr">
        <is>
          <t>大川内</t>
        </is>
      </c>
      <c r="AF160" s="10" t="inlineStr">
        <is>
          <t>岡本</t>
        </is>
      </c>
      <c r="AG160" s="10" t="inlineStr">
        <is>
          <t>馬場</t>
        </is>
      </c>
      <c r="AH160" s="10" t="inlineStr">
        <is>
          <t>矢田</t>
        </is>
      </c>
      <c r="AI160" s="10" t="inlineStr">
        <is>
          <t>岩田</t>
        </is>
      </c>
      <c r="AJ160" s="10" t="inlineStr">
        <is>
          <t>山田真</t>
        </is>
      </c>
      <c r="AK160" s="10" t="inlineStr">
        <is>
          <t>藤原</t>
        </is>
      </c>
      <c r="AL160" s="10" t="inlineStr">
        <is>
          <t>欠員①</t>
        </is>
      </c>
      <c r="AM160" s="10" t="inlineStr">
        <is>
          <t>安村</t>
        </is>
      </c>
      <c r="AN160" s="10" t="inlineStr">
        <is>
          <t>谷川</t>
        </is>
      </c>
      <c r="AO160" s="10" t="inlineStr">
        <is>
          <t>栗下</t>
        </is>
      </c>
      <c r="AP160" s="10" t="inlineStr">
        <is>
          <t>横田</t>
        </is>
      </c>
    </row>
    <row r="161" ht="15" customHeight="1" s="37">
      <c r="A161" t="inlineStr">
        <is>
          <t>2026-10-11</t>
        </is>
      </c>
      <c r="B161" s="10" t="inlineStr">
        <is>
          <t>日</t>
        </is>
      </c>
      <c r="C161" s="10" t="inlineStr">
        <is>
          <t>休日</t>
        </is>
      </c>
      <c r="E161" s="10" t="inlineStr">
        <is>
          <t>山本幸</t>
        </is>
      </c>
      <c r="F161" s="10" t="inlineStr">
        <is>
          <t>植山</t>
        </is>
      </c>
      <c r="G161" s="10" t="inlineStr">
        <is>
          <t>欠員②</t>
        </is>
      </c>
      <c r="H161" s="10" t="inlineStr">
        <is>
          <t>井川</t>
        </is>
      </c>
      <c r="I161" s="10" t="inlineStr">
        <is>
          <t>谷川</t>
        </is>
      </c>
      <c r="J161" s="10" t="inlineStr">
        <is>
          <t>中嶌</t>
        </is>
      </c>
      <c r="K161" s="10" t="inlineStr">
        <is>
          <t>岡本</t>
        </is>
      </c>
      <c r="L161" s="10" t="inlineStr">
        <is>
          <t>柴田</t>
        </is>
      </c>
      <c r="M161" s="10" t="inlineStr">
        <is>
          <t>野口</t>
        </is>
      </c>
      <c r="N161" s="10" t="inlineStr">
        <is>
          <t>門谷</t>
        </is>
      </c>
      <c r="O161" s="10" t="inlineStr">
        <is>
          <t>内野</t>
        </is>
      </c>
      <c r="P161" s="10" t="inlineStr">
        <is>
          <t>藤原</t>
        </is>
      </c>
      <c r="Q161" s="10" t="inlineStr">
        <is>
          <t>上野</t>
        </is>
      </c>
      <c r="R161" s="10" t="inlineStr">
        <is>
          <t>山田久</t>
        </is>
      </c>
      <c r="S161" s="10" t="inlineStr">
        <is>
          <t>欠員①</t>
        </is>
      </c>
      <c r="T161" s="10" t="inlineStr">
        <is>
          <t>原</t>
        </is>
      </c>
      <c r="U161" s="10" t="inlineStr">
        <is>
          <t>横田</t>
        </is>
      </c>
      <c r="V161" s="10" t="inlineStr">
        <is>
          <t>矢田</t>
        </is>
      </c>
      <c r="W161" s="10" t="inlineStr">
        <is>
          <t>大川内</t>
        </is>
      </c>
      <c r="X161" s="10" t="inlineStr">
        <is>
          <t>中村</t>
        </is>
      </c>
      <c r="Y161" s="10" t="inlineStr">
        <is>
          <t>山田真</t>
        </is>
      </c>
      <c r="Z161" s="10" t="inlineStr">
        <is>
          <t>河野</t>
        </is>
      </c>
      <c r="AA161" s="10" t="inlineStr">
        <is>
          <t>安村</t>
        </is>
      </c>
      <c r="AB161" s="10" t="inlineStr">
        <is>
          <t>富島</t>
        </is>
      </c>
      <c r="AC161" s="10" t="inlineStr">
        <is>
          <t>栗下</t>
        </is>
      </c>
      <c r="AD161" s="10" t="inlineStr">
        <is>
          <t>中山</t>
        </is>
      </c>
      <c r="AE161" s="10" t="inlineStr">
        <is>
          <t>田中</t>
        </is>
      </c>
      <c r="AF161" s="10" t="inlineStr">
        <is>
          <t>横山</t>
        </is>
      </c>
      <c r="AG161" s="10" t="inlineStr">
        <is>
          <t>尾川</t>
        </is>
      </c>
      <c r="AH161" s="10" t="inlineStr">
        <is>
          <t>佐野</t>
        </is>
      </c>
      <c r="AI161" s="10" t="inlineStr">
        <is>
          <t>上田</t>
        </is>
      </c>
      <c r="AJ161" s="10" t="inlineStr">
        <is>
          <t>市田</t>
        </is>
      </c>
      <c r="AK161" s="10" t="inlineStr">
        <is>
          <t>岩田</t>
        </is>
      </c>
      <c r="AL161" s="10" t="inlineStr">
        <is>
          <t>山本高</t>
        </is>
      </c>
      <c r="AM161" s="10" t="inlineStr">
        <is>
          <t>丸田</t>
        </is>
      </c>
      <c r="AN161" s="10" t="inlineStr">
        <is>
          <t>馬場</t>
        </is>
      </c>
      <c r="AO161" s="10" t="inlineStr">
        <is>
          <t>西村</t>
        </is>
      </c>
      <c r="AP161" s="10" t="inlineStr">
        <is>
          <t>北川</t>
        </is>
      </c>
    </row>
    <row r="162" ht="15" customHeight="1" s="37">
      <c r="A162" t="inlineStr">
        <is>
          <t>2026-10-12</t>
        </is>
      </c>
      <c r="B162" s="10" t="inlineStr">
        <is>
          <t>月</t>
        </is>
      </c>
      <c r="C162" s="10" t="inlineStr">
        <is>
          <t>休日</t>
        </is>
      </c>
      <c r="D162" s="10" t="inlineStr">
        <is>
          <t>スポーツの日</t>
        </is>
      </c>
      <c r="E162" s="10" t="inlineStr">
        <is>
          <t>欠員①</t>
        </is>
      </c>
      <c r="F162" s="10" t="inlineStr">
        <is>
          <t>野口</t>
        </is>
      </c>
      <c r="G162" s="10" t="inlineStr">
        <is>
          <t>矢田</t>
        </is>
      </c>
      <c r="H162" s="10" t="inlineStr">
        <is>
          <t>内野</t>
        </is>
      </c>
      <c r="I162" s="10" t="inlineStr">
        <is>
          <t>馬場</t>
        </is>
      </c>
      <c r="J162" s="10" t="inlineStr">
        <is>
          <t>大川内</t>
        </is>
      </c>
      <c r="K162" s="10" t="inlineStr">
        <is>
          <t>横山</t>
        </is>
      </c>
      <c r="L162" s="10" t="inlineStr">
        <is>
          <t>藤原</t>
        </is>
      </c>
      <c r="M162" s="10" t="inlineStr">
        <is>
          <t>栗下</t>
        </is>
      </c>
      <c r="N162" s="10" t="inlineStr">
        <is>
          <t>山田久</t>
        </is>
      </c>
      <c r="O162" s="10" t="inlineStr">
        <is>
          <t>中村</t>
        </is>
      </c>
      <c r="P162" s="10" t="inlineStr">
        <is>
          <t>岩田</t>
        </is>
      </c>
      <c r="Q162" s="10" t="inlineStr">
        <is>
          <t>柴田</t>
        </is>
      </c>
      <c r="R162" s="10" t="inlineStr">
        <is>
          <t>安村</t>
        </is>
      </c>
      <c r="S162" s="10" t="inlineStr">
        <is>
          <t>山本高</t>
        </is>
      </c>
      <c r="T162" s="10" t="inlineStr">
        <is>
          <t>横田</t>
        </is>
      </c>
      <c r="U162" s="10" t="inlineStr">
        <is>
          <t>北川</t>
        </is>
      </c>
      <c r="V162" s="10" t="inlineStr">
        <is>
          <t>佐野</t>
        </is>
      </c>
      <c r="W162" s="10" t="inlineStr">
        <is>
          <t>田中</t>
        </is>
      </c>
      <c r="X162" s="10" t="inlineStr">
        <is>
          <t>岡本</t>
        </is>
      </c>
      <c r="Y162" s="10" t="inlineStr">
        <is>
          <t>市田</t>
        </is>
      </c>
      <c r="Z162" s="10" t="inlineStr">
        <is>
          <t>富島</t>
        </is>
      </c>
      <c r="AA162" s="10" t="inlineStr">
        <is>
          <t>丸田</t>
        </is>
      </c>
      <c r="AB162" s="10" t="inlineStr">
        <is>
          <t>中嶌</t>
        </is>
      </c>
      <c r="AC162" s="10" t="inlineStr">
        <is>
          <t>西村</t>
        </is>
      </c>
      <c r="AD162" s="10" t="inlineStr">
        <is>
          <t>欠員②</t>
        </is>
      </c>
      <c r="AE162" s="10" t="inlineStr">
        <is>
          <t>井川</t>
        </is>
      </c>
      <c r="AF162" s="10" t="inlineStr">
        <is>
          <t>植山</t>
        </is>
      </c>
      <c r="AG162" s="10" t="inlineStr">
        <is>
          <t>門谷</t>
        </is>
      </c>
      <c r="AH162" s="10" t="inlineStr">
        <is>
          <t>上野</t>
        </is>
      </c>
      <c r="AI162" s="10" t="inlineStr">
        <is>
          <t>原</t>
        </is>
      </c>
      <c r="AJ162" s="10" t="inlineStr">
        <is>
          <t>谷川</t>
        </is>
      </c>
      <c r="AK162" s="10" t="inlineStr">
        <is>
          <t>上田</t>
        </is>
      </c>
      <c r="AL162" s="10" t="inlineStr">
        <is>
          <t>山田真</t>
        </is>
      </c>
      <c r="AM162" s="10" t="inlineStr">
        <is>
          <t>中山</t>
        </is>
      </c>
      <c r="AN162" s="10" t="inlineStr">
        <is>
          <t>尾川</t>
        </is>
      </c>
      <c r="AO162" s="10" t="inlineStr">
        <is>
          <t>山本幸</t>
        </is>
      </c>
      <c r="AP162" s="10" t="inlineStr">
        <is>
          <t>河野</t>
        </is>
      </c>
    </row>
    <row r="163" ht="15" customHeight="1" s="37">
      <c r="A163" t="inlineStr">
        <is>
          <t>2026-10-13</t>
        </is>
      </c>
      <c r="B163" s="10" t="inlineStr">
        <is>
          <t>火</t>
        </is>
      </c>
      <c r="C163" s="10" t="inlineStr">
        <is>
          <t>平日</t>
        </is>
      </c>
      <c r="E163" s="10" t="inlineStr">
        <is>
          <t>山本高</t>
        </is>
      </c>
      <c r="F163" s="10" t="inlineStr">
        <is>
          <t>栗下</t>
        </is>
      </c>
      <c r="G163" s="10" t="inlineStr">
        <is>
          <t>佐野</t>
        </is>
      </c>
      <c r="H163" s="10" t="inlineStr">
        <is>
          <t>中村</t>
        </is>
      </c>
      <c r="I163" s="10" t="inlineStr">
        <is>
          <t>尾川</t>
        </is>
      </c>
      <c r="J163" s="10" t="inlineStr">
        <is>
          <t>田中</t>
        </is>
      </c>
      <c r="K163" s="10" t="inlineStr">
        <is>
          <t>植山</t>
        </is>
      </c>
      <c r="L163" s="10" t="inlineStr">
        <is>
          <t>岩田</t>
        </is>
      </c>
      <c r="M163" s="10" t="inlineStr">
        <is>
          <t>西村</t>
        </is>
      </c>
      <c r="N163" s="10" t="inlineStr">
        <is>
          <t>安村</t>
        </is>
      </c>
      <c r="O163" s="10" t="inlineStr">
        <is>
          <t>岡本</t>
        </is>
      </c>
      <c r="P163" s="10" t="inlineStr">
        <is>
          <t>上田</t>
        </is>
      </c>
      <c r="Q163" s="10" t="inlineStr">
        <is>
          <t>藤原</t>
        </is>
      </c>
      <c r="R163" s="10" t="inlineStr">
        <is>
          <t>丸田</t>
        </is>
      </c>
      <c r="S163" s="10" t="inlineStr">
        <is>
          <t>山田真</t>
        </is>
      </c>
      <c r="T163" s="10" t="inlineStr">
        <is>
          <t>北川</t>
        </is>
      </c>
      <c r="U163" s="10" t="inlineStr">
        <is>
          <t>河野</t>
        </is>
      </c>
      <c r="V163" s="10" t="inlineStr">
        <is>
          <t>上野</t>
        </is>
      </c>
      <c r="W163" s="10" t="inlineStr">
        <is>
          <t>井川</t>
        </is>
      </c>
      <c r="X163" s="10" t="inlineStr">
        <is>
          <t>横山</t>
        </is>
      </c>
      <c r="Y163" s="10" t="inlineStr">
        <is>
          <t>谷川</t>
        </is>
      </c>
      <c r="Z163" s="10" t="inlineStr">
        <is>
          <t>中嶌</t>
        </is>
      </c>
      <c r="AA163" s="10" t="inlineStr">
        <is>
          <t>中山</t>
        </is>
      </c>
      <c r="AB163" s="10" t="inlineStr">
        <is>
          <t>大川内</t>
        </is>
      </c>
      <c r="AC163" s="10" t="inlineStr">
        <is>
          <t>山本幸</t>
        </is>
      </c>
      <c r="AD163" s="10" t="inlineStr">
        <is>
          <t>矢田</t>
        </is>
      </c>
      <c r="AE163" s="10" t="inlineStr">
        <is>
          <t>内野</t>
        </is>
      </c>
      <c r="AF163" s="10" t="inlineStr">
        <is>
          <t>野口</t>
        </is>
      </c>
      <c r="AG163" s="10" t="inlineStr">
        <is>
          <t>山田久</t>
        </is>
      </c>
      <c r="AH163" s="10" t="inlineStr">
        <is>
          <t>柴田</t>
        </is>
      </c>
      <c r="AI163" s="10" t="inlineStr">
        <is>
          <t>横田</t>
        </is>
      </c>
      <c r="AJ163" s="10" t="inlineStr">
        <is>
          <t>馬場</t>
        </is>
      </c>
      <c r="AK163" s="10" t="inlineStr">
        <is>
          <t>原</t>
        </is>
      </c>
      <c r="AL163" s="10" t="inlineStr">
        <is>
          <t>市田</t>
        </is>
      </c>
      <c r="AM163" s="10" t="inlineStr">
        <is>
          <t>欠員②</t>
        </is>
      </c>
      <c r="AN163" s="10" t="inlineStr">
        <is>
          <t>門谷</t>
        </is>
      </c>
      <c r="AO163" s="10" t="inlineStr">
        <is>
          <t>欠員①</t>
        </is>
      </c>
      <c r="AP163" s="10" t="inlineStr">
        <is>
          <t>富島</t>
        </is>
      </c>
    </row>
    <row r="164" ht="15" customHeight="1" s="37">
      <c r="A164" t="inlineStr">
        <is>
          <t>2026-10-14</t>
        </is>
      </c>
      <c r="B164" s="10" t="inlineStr">
        <is>
          <t>水</t>
        </is>
      </c>
      <c r="C164" s="10" t="inlineStr">
        <is>
          <t>平日</t>
        </is>
      </c>
      <c r="E164" s="10" t="inlineStr">
        <is>
          <t>山田真</t>
        </is>
      </c>
      <c r="F164" s="10" t="inlineStr">
        <is>
          <t>西村</t>
        </is>
      </c>
      <c r="G164" s="10" t="inlineStr">
        <is>
          <t>上野</t>
        </is>
      </c>
      <c r="H164" s="10" t="inlineStr">
        <is>
          <t>岡本</t>
        </is>
      </c>
      <c r="I164" s="10" t="inlineStr">
        <is>
          <t>門谷</t>
        </is>
      </c>
      <c r="J164" s="10" t="inlineStr">
        <is>
          <t>井川</t>
        </is>
      </c>
      <c r="K164" s="10" t="inlineStr">
        <is>
          <t>野口</t>
        </is>
      </c>
      <c r="L164" s="10" t="inlineStr">
        <is>
          <t>上田</t>
        </is>
      </c>
      <c r="M164" s="10" t="inlineStr">
        <is>
          <t>山本幸</t>
        </is>
      </c>
      <c r="N164" s="10" t="inlineStr">
        <is>
          <t>丸田</t>
        </is>
      </c>
      <c r="O164" s="10" t="inlineStr">
        <is>
          <t>横山</t>
        </is>
      </c>
      <c r="P164" s="10" t="inlineStr">
        <is>
          <t>原</t>
        </is>
      </c>
      <c r="Q164" s="10" t="inlineStr">
        <is>
          <t>岩田</t>
        </is>
      </c>
      <c r="R164" s="10" t="inlineStr">
        <is>
          <t>中山</t>
        </is>
      </c>
      <c r="S164" s="10" t="inlineStr">
        <is>
          <t>市田</t>
        </is>
      </c>
      <c r="T164" s="10" t="inlineStr">
        <is>
          <t>河野</t>
        </is>
      </c>
      <c r="U164" s="10" t="inlineStr">
        <is>
          <t>富島</t>
        </is>
      </c>
      <c r="V164" s="10" t="inlineStr">
        <is>
          <t>柴田</t>
        </is>
      </c>
      <c r="W164" s="10" t="inlineStr">
        <is>
          <t>内野</t>
        </is>
      </c>
      <c r="X164" s="10" t="inlineStr">
        <is>
          <t>植山</t>
        </is>
      </c>
      <c r="Y164" s="10" t="inlineStr">
        <is>
          <t>馬場</t>
        </is>
      </c>
      <c r="Z164" s="10" t="inlineStr">
        <is>
          <t>大川内</t>
        </is>
      </c>
      <c r="AA164" s="10" t="inlineStr">
        <is>
          <t>欠員②</t>
        </is>
      </c>
      <c r="AB164" s="10" t="inlineStr">
        <is>
          <t>田中</t>
        </is>
      </c>
      <c r="AC164" s="10" t="inlineStr">
        <is>
          <t>欠員①</t>
        </is>
      </c>
      <c r="AD164" s="10" t="inlineStr">
        <is>
          <t>佐野</t>
        </is>
      </c>
      <c r="AE164" s="10" t="inlineStr">
        <is>
          <t>中村</t>
        </is>
      </c>
      <c r="AF164" s="10" t="inlineStr">
        <is>
          <t>栗下</t>
        </is>
      </c>
      <c r="AG164" s="10" t="inlineStr">
        <is>
          <t>安村</t>
        </is>
      </c>
      <c r="AH164" s="10" t="inlineStr">
        <is>
          <t>藤原</t>
        </is>
      </c>
      <c r="AI164" s="10" t="inlineStr">
        <is>
          <t>北川</t>
        </is>
      </c>
      <c r="AJ164" s="10" t="inlineStr">
        <is>
          <t>尾川</t>
        </is>
      </c>
      <c r="AK164" s="10" t="inlineStr">
        <is>
          <t>横田</t>
        </is>
      </c>
      <c r="AL164" s="10" t="inlineStr">
        <is>
          <t>谷川</t>
        </is>
      </c>
      <c r="AM164" s="10" t="inlineStr">
        <is>
          <t>矢田</t>
        </is>
      </c>
      <c r="AN164" s="10" t="inlineStr">
        <is>
          <t>山田久</t>
        </is>
      </c>
      <c r="AO164" s="10" t="inlineStr">
        <is>
          <t>山本高</t>
        </is>
      </c>
      <c r="AP164" s="10" t="inlineStr">
        <is>
          <t>中嶌</t>
        </is>
      </c>
    </row>
    <row r="165" ht="15" customHeight="1" s="37">
      <c r="A165" t="inlineStr">
        <is>
          <t>2026-10-15</t>
        </is>
      </c>
      <c r="B165" s="10" t="inlineStr">
        <is>
          <t>木</t>
        </is>
      </c>
      <c r="C165" s="10" t="inlineStr">
        <is>
          <t>平日</t>
        </is>
      </c>
      <c r="E165" s="10" t="inlineStr">
        <is>
          <t>市田</t>
        </is>
      </c>
      <c r="F165" s="10" t="inlineStr">
        <is>
          <t>山本幸</t>
        </is>
      </c>
      <c r="G165" s="10" t="inlineStr">
        <is>
          <t>柴田</t>
        </is>
      </c>
      <c r="H165" s="10" t="inlineStr">
        <is>
          <t>横山</t>
        </is>
      </c>
      <c r="I165" s="10" t="inlineStr">
        <is>
          <t>山田久</t>
        </is>
      </c>
      <c r="J165" s="10" t="inlineStr">
        <is>
          <t>内野</t>
        </is>
      </c>
      <c r="K165" s="10" t="inlineStr">
        <is>
          <t>栗下</t>
        </is>
      </c>
      <c r="L165" s="10" t="inlineStr">
        <is>
          <t>原</t>
        </is>
      </c>
      <c r="M165" s="10" t="inlineStr">
        <is>
          <t>欠員①</t>
        </is>
      </c>
      <c r="N165" s="10" t="inlineStr">
        <is>
          <t>中山</t>
        </is>
      </c>
      <c r="O165" s="10" t="inlineStr">
        <is>
          <t>植山</t>
        </is>
      </c>
      <c r="P165" s="10" t="inlineStr">
        <is>
          <t>横田</t>
        </is>
      </c>
      <c r="Q165" s="10" t="inlineStr">
        <is>
          <t>上田</t>
        </is>
      </c>
      <c r="R165" s="10" t="inlineStr">
        <is>
          <t>欠員②</t>
        </is>
      </c>
      <c r="S165" s="10" t="inlineStr">
        <is>
          <t>谷川</t>
        </is>
      </c>
      <c r="T165" s="10" t="inlineStr">
        <is>
          <t>富島</t>
        </is>
      </c>
      <c r="U165" s="10" t="inlineStr">
        <is>
          <t>中嶌</t>
        </is>
      </c>
      <c r="V165" s="10" t="inlineStr">
        <is>
          <t>藤原</t>
        </is>
      </c>
      <c r="W165" s="10" t="inlineStr">
        <is>
          <t>中村</t>
        </is>
      </c>
      <c r="X165" s="10" t="inlineStr">
        <is>
          <t>野口</t>
        </is>
      </c>
      <c r="Y165" s="10" t="inlineStr">
        <is>
          <t>尾川</t>
        </is>
      </c>
      <c r="Z165" s="10" t="inlineStr">
        <is>
          <t>田中</t>
        </is>
      </c>
      <c r="AA165" s="10" t="inlineStr">
        <is>
          <t>矢田</t>
        </is>
      </c>
      <c r="AB165" s="10" t="inlineStr">
        <is>
          <t>井川</t>
        </is>
      </c>
      <c r="AC165" s="10" t="inlineStr">
        <is>
          <t>山本高</t>
        </is>
      </c>
      <c r="AD165" s="10" t="inlineStr">
        <is>
          <t>上野</t>
        </is>
      </c>
      <c r="AE165" s="10" t="inlineStr">
        <is>
          <t>岡本</t>
        </is>
      </c>
      <c r="AF165" s="10" t="inlineStr">
        <is>
          <t>西村</t>
        </is>
      </c>
      <c r="AG165" s="10" t="inlineStr">
        <is>
          <t>丸田</t>
        </is>
      </c>
      <c r="AH165" s="10" t="inlineStr">
        <is>
          <t>岩田</t>
        </is>
      </c>
      <c r="AI165" s="10" t="inlineStr">
        <is>
          <t>河野</t>
        </is>
      </c>
      <c r="AJ165" s="10" t="inlineStr">
        <is>
          <t>門谷</t>
        </is>
      </c>
      <c r="AK165" s="10" t="inlineStr">
        <is>
          <t>北川</t>
        </is>
      </c>
      <c r="AL165" s="10" t="inlineStr">
        <is>
          <t>馬場</t>
        </is>
      </c>
      <c r="AM165" s="10" t="inlineStr">
        <is>
          <t>佐野</t>
        </is>
      </c>
      <c r="AN165" s="10" t="inlineStr">
        <is>
          <t>安村</t>
        </is>
      </c>
      <c r="AO165" s="10" t="inlineStr">
        <is>
          <t>山田真</t>
        </is>
      </c>
      <c r="AP165" s="10" t="inlineStr">
        <is>
          <t>大川内</t>
        </is>
      </c>
    </row>
    <row r="166" ht="15" customHeight="1" s="37">
      <c r="A166" t="inlineStr">
        <is>
          <t>2026-10-16</t>
        </is>
      </c>
      <c r="B166" s="10" t="inlineStr">
        <is>
          <t>金</t>
        </is>
      </c>
      <c r="C166" s="10" t="inlineStr">
        <is>
          <t>平日</t>
        </is>
      </c>
      <c r="E166" s="10" t="inlineStr">
        <is>
          <t>谷川</t>
        </is>
      </c>
      <c r="F166" s="10" t="inlineStr">
        <is>
          <t>欠員①</t>
        </is>
      </c>
      <c r="G166" s="10" t="inlineStr">
        <is>
          <t>藤原</t>
        </is>
      </c>
      <c r="H166" s="10" t="inlineStr">
        <is>
          <t>植山</t>
        </is>
      </c>
      <c r="I166" s="10" t="inlineStr">
        <is>
          <t>安村</t>
        </is>
      </c>
      <c r="J166" s="10" t="inlineStr">
        <is>
          <t>中村</t>
        </is>
      </c>
      <c r="K166" s="10" t="inlineStr">
        <is>
          <t>西村</t>
        </is>
      </c>
      <c r="L166" s="10" t="inlineStr">
        <is>
          <t>横田</t>
        </is>
      </c>
      <c r="M166" s="10" t="inlineStr">
        <is>
          <t>山本高</t>
        </is>
      </c>
      <c r="N166" s="10" t="inlineStr">
        <is>
          <t>欠員②</t>
        </is>
      </c>
      <c r="O166" s="10" t="inlineStr">
        <is>
          <t>野口</t>
        </is>
      </c>
      <c r="P166" s="10" t="inlineStr">
        <is>
          <t>北川</t>
        </is>
      </c>
      <c r="Q166" s="10" t="inlineStr">
        <is>
          <t>原</t>
        </is>
      </c>
      <c r="R166" s="10" t="inlineStr">
        <is>
          <t>矢田</t>
        </is>
      </c>
      <c r="S166" s="10" t="inlineStr">
        <is>
          <t>馬場</t>
        </is>
      </c>
      <c r="T166" s="10" t="inlineStr">
        <is>
          <t>中嶌</t>
        </is>
      </c>
      <c r="U166" s="10" t="inlineStr">
        <is>
          <t>大川内</t>
        </is>
      </c>
      <c r="V166" s="10" t="inlineStr">
        <is>
          <t>岩田</t>
        </is>
      </c>
      <c r="W166" s="10" t="inlineStr">
        <is>
          <t>岡本</t>
        </is>
      </c>
      <c r="X166" s="10" t="inlineStr">
        <is>
          <t>栗下</t>
        </is>
      </c>
      <c r="Y166" s="10" t="inlineStr">
        <is>
          <t>門谷</t>
        </is>
      </c>
      <c r="Z166" s="10" t="inlineStr">
        <is>
          <t>井川</t>
        </is>
      </c>
      <c r="AA166" s="10" t="inlineStr">
        <is>
          <t>佐野</t>
        </is>
      </c>
      <c r="AB166" s="10" t="inlineStr">
        <is>
          <t>内野</t>
        </is>
      </c>
      <c r="AC166" s="10" t="inlineStr">
        <is>
          <t>山田真</t>
        </is>
      </c>
      <c r="AD166" s="10" t="inlineStr">
        <is>
          <t>柴田</t>
        </is>
      </c>
      <c r="AE166" s="10" t="inlineStr">
        <is>
          <t>横山</t>
        </is>
      </c>
      <c r="AF166" s="10" t="inlineStr">
        <is>
          <t>山本幸</t>
        </is>
      </c>
      <c r="AG166" s="10" t="inlineStr">
        <is>
          <t>中山</t>
        </is>
      </c>
      <c r="AH166" s="10" t="inlineStr">
        <is>
          <t>上田</t>
        </is>
      </c>
      <c r="AI166" s="10" t="inlineStr">
        <is>
          <t>富島</t>
        </is>
      </c>
      <c r="AJ166" s="10" t="inlineStr">
        <is>
          <t>山田久</t>
        </is>
      </c>
      <c r="AK166" s="10" t="inlineStr">
        <is>
          <t>河野</t>
        </is>
      </c>
      <c r="AL166" s="10" t="inlineStr">
        <is>
          <t>尾川</t>
        </is>
      </c>
      <c r="AM166" s="10" t="inlineStr">
        <is>
          <t>上野</t>
        </is>
      </c>
      <c r="AN166" s="10" t="inlineStr">
        <is>
          <t>丸田</t>
        </is>
      </c>
      <c r="AO166" s="10" t="inlineStr">
        <is>
          <t>市田</t>
        </is>
      </c>
      <c r="AP166" s="10" t="inlineStr">
        <is>
          <t>田中</t>
        </is>
      </c>
    </row>
    <row r="167" ht="15" customHeight="1" s="37">
      <c r="A167" t="inlineStr">
        <is>
          <t>2026-10-17</t>
        </is>
      </c>
      <c r="B167" s="10" t="inlineStr">
        <is>
          <t>土</t>
        </is>
      </c>
      <c r="C167" s="10" t="inlineStr">
        <is>
          <t>休日</t>
        </is>
      </c>
      <c r="E167" s="10" t="inlineStr">
        <is>
          <t>馬場</t>
        </is>
      </c>
      <c r="F167" s="10" t="inlineStr">
        <is>
          <t>山本高</t>
        </is>
      </c>
      <c r="G167" s="10" t="inlineStr">
        <is>
          <t>岩田</t>
        </is>
      </c>
      <c r="H167" s="10" t="inlineStr">
        <is>
          <t>野口</t>
        </is>
      </c>
      <c r="I167" s="10" t="inlineStr">
        <is>
          <t>丸田</t>
        </is>
      </c>
      <c r="J167" s="10" t="inlineStr">
        <is>
          <t>岡本</t>
        </is>
      </c>
      <c r="K167" s="10" t="inlineStr">
        <is>
          <t>山本幸</t>
        </is>
      </c>
      <c r="L167" s="10" t="inlineStr">
        <is>
          <t>北川</t>
        </is>
      </c>
      <c r="M167" s="10" t="inlineStr">
        <is>
          <t>山田真</t>
        </is>
      </c>
      <c r="N167" s="10" t="inlineStr">
        <is>
          <t>矢田</t>
        </is>
      </c>
      <c r="O167" s="10" t="inlineStr">
        <is>
          <t>栗下</t>
        </is>
      </c>
      <c r="P167" s="10" t="inlineStr">
        <is>
          <t>河野</t>
        </is>
      </c>
      <c r="Q167" s="10" t="inlineStr">
        <is>
          <t>横田</t>
        </is>
      </c>
      <c r="R167" s="10" t="inlineStr">
        <is>
          <t>佐野</t>
        </is>
      </c>
      <c r="S167" s="10" t="inlineStr">
        <is>
          <t>尾川</t>
        </is>
      </c>
      <c r="T167" s="10" t="inlineStr">
        <is>
          <t>大川内</t>
        </is>
      </c>
      <c r="U167" s="10" t="inlineStr">
        <is>
          <t>田中</t>
        </is>
      </c>
      <c r="V167" s="10" t="inlineStr">
        <is>
          <t>上田</t>
        </is>
      </c>
      <c r="W167" s="10" t="inlineStr">
        <is>
          <t>横山</t>
        </is>
      </c>
      <c r="X167" s="10" t="inlineStr">
        <is>
          <t>西村</t>
        </is>
      </c>
      <c r="Y167" s="10" t="inlineStr">
        <is>
          <t>山田久</t>
        </is>
      </c>
      <c r="Z167" s="10" t="inlineStr">
        <is>
          <t>内野</t>
        </is>
      </c>
      <c r="AA167" s="10" t="inlineStr">
        <is>
          <t>上野</t>
        </is>
      </c>
      <c r="AB167" s="10" t="inlineStr">
        <is>
          <t>中村</t>
        </is>
      </c>
      <c r="AC167" s="10" t="inlineStr">
        <is>
          <t>市田</t>
        </is>
      </c>
      <c r="AD167" s="10" t="inlineStr">
        <is>
          <t>藤原</t>
        </is>
      </c>
      <c r="AE167" s="10" t="inlineStr">
        <is>
          <t>植山</t>
        </is>
      </c>
      <c r="AF167" s="10" t="inlineStr">
        <is>
          <t>欠員①</t>
        </is>
      </c>
      <c r="AG167" s="10" t="inlineStr">
        <is>
          <t>欠員②</t>
        </is>
      </c>
      <c r="AH167" s="10" t="inlineStr">
        <is>
          <t>原</t>
        </is>
      </c>
      <c r="AI167" s="10" t="inlineStr">
        <is>
          <t>中嶌</t>
        </is>
      </c>
      <c r="AJ167" s="10" t="inlineStr">
        <is>
          <t>安村</t>
        </is>
      </c>
      <c r="AK167" s="10" t="inlineStr">
        <is>
          <t>富島</t>
        </is>
      </c>
      <c r="AL167" s="10" t="inlineStr">
        <is>
          <t>門谷</t>
        </is>
      </c>
      <c r="AM167" s="10" t="inlineStr">
        <is>
          <t>柴田</t>
        </is>
      </c>
      <c r="AN167" s="10" t="inlineStr">
        <is>
          <t>中山</t>
        </is>
      </c>
      <c r="AO167" s="10" t="inlineStr">
        <is>
          <t>谷川</t>
        </is>
      </c>
      <c r="AP167" s="10" t="inlineStr">
        <is>
          <t>井川</t>
        </is>
      </c>
    </row>
    <row r="168" ht="15" customHeight="1" s="37">
      <c r="A168" t="inlineStr">
        <is>
          <t>2026-10-18</t>
        </is>
      </c>
      <c r="B168" s="10" t="inlineStr">
        <is>
          <t>日</t>
        </is>
      </c>
      <c r="C168" s="10" t="inlineStr">
        <is>
          <t>休日</t>
        </is>
      </c>
      <c r="E168" s="10" t="inlineStr">
        <is>
          <t>尾川</t>
        </is>
      </c>
      <c r="F168" s="10" t="inlineStr">
        <is>
          <t>山田真</t>
        </is>
      </c>
      <c r="G168" s="10" t="inlineStr">
        <is>
          <t>上田</t>
        </is>
      </c>
      <c r="H168" s="10" t="inlineStr">
        <is>
          <t>栗下</t>
        </is>
      </c>
      <c r="I168" s="10" t="inlineStr">
        <is>
          <t>中山</t>
        </is>
      </c>
      <c r="J168" s="10" t="inlineStr">
        <is>
          <t>横山</t>
        </is>
      </c>
      <c r="K168" s="10" t="inlineStr">
        <is>
          <t>欠員①</t>
        </is>
      </c>
      <c r="L168" s="10" t="inlineStr">
        <is>
          <t>河野</t>
        </is>
      </c>
      <c r="M168" s="10" t="inlineStr">
        <is>
          <t>市田</t>
        </is>
      </c>
      <c r="N168" s="10" t="inlineStr">
        <is>
          <t>佐野</t>
        </is>
      </c>
      <c r="O168" s="10" t="inlineStr">
        <is>
          <t>西村</t>
        </is>
      </c>
      <c r="P168" s="10" t="inlineStr">
        <is>
          <t>富島</t>
        </is>
      </c>
      <c r="Q168" s="10" t="inlineStr">
        <is>
          <t>北川</t>
        </is>
      </c>
      <c r="R168" s="10" t="inlineStr">
        <is>
          <t>上野</t>
        </is>
      </c>
      <c r="S168" s="10" t="inlineStr">
        <is>
          <t>門谷</t>
        </is>
      </c>
      <c r="T168" s="10" t="inlineStr">
        <is>
          <t>田中</t>
        </is>
      </c>
      <c r="U168" s="10" t="inlineStr">
        <is>
          <t>井川</t>
        </is>
      </c>
      <c r="V168" s="10" t="inlineStr">
        <is>
          <t>原</t>
        </is>
      </c>
      <c r="W168" s="10" t="inlineStr">
        <is>
          <t>植山</t>
        </is>
      </c>
      <c r="X168" s="10" t="inlineStr">
        <is>
          <t>山本幸</t>
        </is>
      </c>
      <c r="Y168" s="10" t="inlineStr">
        <is>
          <t>安村</t>
        </is>
      </c>
      <c r="Z168" s="10" t="inlineStr">
        <is>
          <t>中村</t>
        </is>
      </c>
      <c r="AA168" s="10" t="inlineStr">
        <is>
          <t>柴田</t>
        </is>
      </c>
      <c r="AB168" s="10" t="inlineStr">
        <is>
          <t>岡本</t>
        </is>
      </c>
      <c r="AC168" s="10" t="inlineStr">
        <is>
          <t>谷川</t>
        </is>
      </c>
      <c r="AD168" s="10" t="inlineStr">
        <is>
          <t>岩田</t>
        </is>
      </c>
      <c r="AE168" s="10" t="inlineStr">
        <is>
          <t>野口</t>
        </is>
      </c>
      <c r="AF168" s="10" t="inlineStr">
        <is>
          <t>山本高</t>
        </is>
      </c>
      <c r="AG168" s="10" t="inlineStr">
        <is>
          <t>矢田</t>
        </is>
      </c>
      <c r="AH168" s="10" t="inlineStr">
        <is>
          <t>横田</t>
        </is>
      </c>
      <c r="AI168" s="10" t="inlineStr">
        <is>
          <t>大川内</t>
        </is>
      </c>
      <c r="AJ168" s="10" t="inlineStr">
        <is>
          <t>丸田</t>
        </is>
      </c>
      <c r="AK168" s="10" t="inlineStr">
        <is>
          <t>中嶌</t>
        </is>
      </c>
      <c r="AL168" s="10" t="inlineStr">
        <is>
          <t>山田久</t>
        </is>
      </c>
      <c r="AM168" s="10" t="inlineStr">
        <is>
          <t>藤原</t>
        </is>
      </c>
      <c r="AN168" s="10" t="inlineStr">
        <is>
          <t>欠員②</t>
        </is>
      </c>
      <c r="AO168" s="10" t="inlineStr">
        <is>
          <t>馬場</t>
        </is>
      </c>
      <c r="AP168" s="10" t="inlineStr">
        <is>
          <t>内野</t>
        </is>
      </c>
    </row>
    <row r="169" ht="15" customHeight="1" s="37">
      <c r="A169" t="inlineStr">
        <is>
          <t>2026-10-19</t>
        </is>
      </c>
      <c r="B169" s="10" t="inlineStr">
        <is>
          <t>月</t>
        </is>
      </c>
      <c r="C169" s="10" t="inlineStr">
        <is>
          <t>平日</t>
        </is>
      </c>
      <c r="E169" s="10" t="inlineStr">
        <is>
          <t>門谷</t>
        </is>
      </c>
      <c r="F169" s="10" t="inlineStr">
        <is>
          <t>市田</t>
        </is>
      </c>
      <c r="G169" s="10" t="inlineStr">
        <is>
          <t>原</t>
        </is>
      </c>
      <c r="H169" s="10" t="inlineStr">
        <is>
          <t>西村</t>
        </is>
      </c>
      <c r="I169" s="10" t="inlineStr">
        <is>
          <t>欠員②</t>
        </is>
      </c>
      <c r="J169" s="10" t="inlineStr">
        <is>
          <t>植山</t>
        </is>
      </c>
      <c r="K169" s="10" t="inlineStr">
        <is>
          <t>山本高</t>
        </is>
      </c>
      <c r="L169" s="10" t="inlineStr">
        <is>
          <t>富島</t>
        </is>
      </c>
      <c r="M169" s="10" t="inlineStr">
        <is>
          <t>谷川</t>
        </is>
      </c>
      <c r="N169" s="10" t="inlineStr">
        <is>
          <t>上野</t>
        </is>
      </c>
      <c r="O169" s="10" t="inlineStr">
        <is>
          <t>山本幸</t>
        </is>
      </c>
      <c r="P169" s="10" t="inlineStr">
        <is>
          <t>中嶌</t>
        </is>
      </c>
      <c r="Q169" s="10" t="inlineStr">
        <is>
          <t>河野</t>
        </is>
      </c>
      <c r="R169" s="10" t="inlineStr">
        <is>
          <t>柴田</t>
        </is>
      </c>
      <c r="S169" s="10" t="inlineStr">
        <is>
          <t>山田久</t>
        </is>
      </c>
      <c r="T169" s="10" t="inlineStr">
        <is>
          <t>井川</t>
        </is>
      </c>
      <c r="U169" s="10" t="inlineStr">
        <is>
          <t>内野</t>
        </is>
      </c>
      <c r="V169" s="10" t="inlineStr">
        <is>
          <t>横田</t>
        </is>
      </c>
      <c r="W169" s="10" t="inlineStr">
        <is>
          <t>野口</t>
        </is>
      </c>
      <c r="X169" s="10" t="inlineStr">
        <is>
          <t>欠員①</t>
        </is>
      </c>
      <c r="Y169" s="10" t="inlineStr">
        <is>
          <t>丸田</t>
        </is>
      </c>
      <c r="Z169" s="10" t="inlineStr">
        <is>
          <t>岡本</t>
        </is>
      </c>
      <c r="AA169" s="10" t="inlineStr">
        <is>
          <t>藤原</t>
        </is>
      </c>
      <c r="AB169" s="10" t="inlineStr">
        <is>
          <t>横山</t>
        </is>
      </c>
      <c r="AC169" s="10" t="inlineStr">
        <is>
          <t>馬場</t>
        </is>
      </c>
      <c r="AD169" s="10" t="inlineStr">
        <is>
          <t>上田</t>
        </is>
      </c>
      <c r="AE169" s="10" t="inlineStr">
        <is>
          <t>栗下</t>
        </is>
      </c>
      <c r="AF169" s="10" t="inlineStr">
        <is>
          <t>山田真</t>
        </is>
      </c>
      <c r="AG169" s="10" t="inlineStr">
        <is>
          <t>佐野</t>
        </is>
      </c>
      <c r="AH169" s="10" t="inlineStr">
        <is>
          <t>北川</t>
        </is>
      </c>
      <c r="AI169" s="10" t="inlineStr">
        <is>
          <t>田中</t>
        </is>
      </c>
      <c r="AJ169" s="10" t="inlineStr">
        <is>
          <t>中山</t>
        </is>
      </c>
      <c r="AK169" s="10" t="inlineStr">
        <is>
          <t>大川内</t>
        </is>
      </c>
      <c r="AL169" s="10" t="inlineStr">
        <is>
          <t>安村</t>
        </is>
      </c>
      <c r="AM169" s="10" t="inlineStr">
        <is>
          <t>岩田</t>
        </is>
      </c>
      <c r="AN169" s="10" t="inlineStr">
        <is>
          <t>矢田</t>
        </is>
      </c>
      <c r="AO169" s="10" t="inlineStr">
        <is>
          <t>尾川</t>
        </is>
      </c>
      <c r="AP169" s="10" t="inlineStr">
        <is>
          <t>中村</t>
        </is>
      </c>
    </row>
    <row r="170" ht="15" customHeight="1" s="37">
      <c r="A170" t="inlineStr">
        <is>
          <t>2026-10-20</t>
        </is>
      </c>
      <c r="B170" s="10" t="inlineStr">
        <is>
          <t>火</t>
        </is>
      </c>
      <c r="C170" s="10" t="inlineStr">
        <is>
          <t>平日</t>
        </is>
      </c>
      <c r="E170" s="10" t="inlineStr">
        <is>
          <t>山田久</t>
        </is>
      </c>
      <c r="F170" s="10" t="inlineStr">
        <is>
          <t>谷川</t>
        </is>
      </c>
      <c r="G170" s="10" t="inlineStr">
        <is>
          <t>横田</t>
        </is>
      </c>
      <c r="H170" s="10" t="inlineStr">
        <is>
          <t>山本幸</t>
        </is>
      </c>
      <c r="I170" s="10" t="inlineStr">
        <is>
          <t>矢田</t>
        </is>
      </c>
      <c r="J170" s="10" t="inlineStr">
        <is>
          <t>野口</t>
        </is>
      </c>
      <c r="K170" s="10" t="inlineStr">
        <is>
          <t>山田真</t>
        </is>
      </c>
      <c r="L170" s="10" t="inlineStr">
        <is>
          <t>中嶌</t>
        </is>
      </c>
      <c r="M170" s="10" t="inlineStr">
        <is>
          <t>馬場</t>
        </is>
      </c>
      <c r="N170" s="10" t="inlineStr">
        <is>
          <t>柴田</t>
        </is>
      </c>
      <c r="O170" s="10" t="inlineStr">
        <is>
          <t>欠員①</t>
        </is>
      </c>
      <c r="P170" s="10" t="inlineStr">
        <is>
          <t>大川内</t>
        </is>
      </c>
      <c r="Q170" s="10" t="inlineStr">
        <is>
          <t>富島</t>
        </is>
      </c>
      <c r="R170" s="10" t="inlineStr">
        <is>
          <t>藤原</t>
        </is>
      </c>
      <c r="S170" s="10" t="inlineStr">
        <is>
          <t>安村</t>
        </is>
      </c>
      <c r="T170" s="10" t="inlineStr">
        <is>
          <t>内野</t>
        </is>
      </c>
      <c r="U170" s="10" t="inlineStr">
        <is>
          <t>中村</t>
        </is>
      </c>
      <c r="V170" s="10" t="inlineStr">
        <is>
          <t>北川</t>
        </is>
      </c>
      <c r="W170" s="10" t="inlineStr">
        <is>
          <t>栗下</t>
        </is>
      </c>
      <c r="X170" s="10" t="inlineStr">
        <is>
          <t>山本高</t>
        </is>
      </c>
      <c r="Y170" s="10" t="inlineStr">
        <is>
          <t>中山</t>
        </is>
      </c>
      <c r="Z170" s="10" t="inlineStr">
        <is>
          <t>横山</t>
        </is>
      </c>
      <c r="AA170" s="10" t="inlineStr">
        <is>
          <t>岩田</t>
        </is>
      </c>
      <c r="AB170" s="10" t="inlineStr">
        <is>
          <t>植山</t>
        </is>
      </c>
      <c r="AC170" s="10" t="inlineStr">
        <is>
          <t>尾川</t>
        </is>
      </c>
      <c r="AD170" s="10" t="inlineStr">
        <is>
          <t>原</t>
        </is>
      </c>
      <c r="AE170" s="10" t="inlineStr">
        <is>
          <t>西村</t>
        </is>
      </c>
      <c r="AF170" s="10" t="inlineStr">
        <is>
          <t>市田</t>
        </is>
      </c>
      <c r="AG170" s="10" t="inlineStr">
        <is>
          <t>上野</t>
        </is>
      </c>
      <c r="AH170" s="10" t="inlineStr">
        <is>
          <t>河野</t>
        </is>
      </c>
      <c r="AI170" s="10" t="inlineStr">
        <is>
          <t>井川</t>
        </is>
      </c>
      <c r="AJ170" s="10" t="inlineStr">
        <is>
          <t>欠員②</t>
        </is>
      </c>
      <c r="AK170" s="10" t="inlineStr">
        <is>
          <t>田中</t>
        </is>
      </c>
      <c r="AL170" s="10" t="inlineStr">
        <is>
          <t>丸田</t>
        </is>
      </c>
      <c r="AM170" s="10" t="inlineStr">
        <is>
          <t>上田</t>
        </is>
      </c>
      <c r="AN170" s="10" t="inlineStr">
        <is>
          <t>佐野</t>
        </is>
      </c>
      <c r="AO170" s="10" t="inlineStr">
        <is>
          <t>門谷</t>
        </is>
      </c>
      <c r="AP170" s="10" t="inlineStr">
        <is>
          <t>岡本</t>
        </is>
      </c>
    </row>
    <row r="171" ht="15" customHeight="1" s="37">
      <c r="A171" t="inlineStr">
        <is>
          <t>2026-10-21</t>
        </is>
      </c>
      <c r="B171" s="10" t="inlineStr">
        <is>
          <t>水</t>
        </is>
      </c>
      <c r="C171" s="10" t="inlineStr">
        <is>
          <t>平日</t>
        </is>
      </c>
      <c r="E171" s="10" t="inlineStr">
        <is>
          <t>安村</t>
        </is>
      </c>
      <c r="F171" s="10" t="inlineStr">
        <is>
          <t>馬場</t>
        </is>
      </c>
      <c r="G171" s="10" t="inlineStr">
        <is>
          <t>北川</t>
        </is>
      </c>
      <c r="H171" s="10" t="inlineStr">
        <is>
          <t>欠員①</t>
        </is>
      </c>
      <c r="I171" s="10" t="inlineStr">
        <is>
          <t>佐野</t>
        </is>
      </c>
      <c r="J171" s="10" t="inlineStr">
        <is>
          <t>栗下</t>
        </is>
      </c>
      <c r="K171" s="10" t="inlineStr">
        <is>
          <t>市田</t>
        </is>
      </c>
      <c r="L171" s="10" t="inlineStr">
        <is>
          <t>大川内</t>
        </is>
      </c>
      <c r="M171" s="10" t="inlineStr">
        <is>
          <t>尾川</t>
        </is>
      </c>
      <c r="N171" s="10" t="inlineStr">
        <is>
          <t>藤原</t>
        </is>
      </c>
      <c r="O171" s="10" t="inlineStr">
        <is>
          <t>山本高</t>
        </is>
      </c>
      <c r="P171" s="10" t="inlineStr">
        <is>
          <t>田中</t>
        </is>
      </c>
      <c r="Q171" s="10" t="inlineStr">
        <is>
          <t>中嶌</t>
        </is>
      </c>
      <c r="R171" s="10" t="inlineStr">
        <is>
          <t>岩田</t>
        </is>
      </c>
      <c r="S171" s="10" t="inlineStr">
        <is>
          <t>丸田</t>
        </is>
      </c>
      <c r="T171" s="10" t="inlineStr">
        <is>
          <t>中村</t>
        </is>
      </c>
      <c r="U171" s="10" t="inlineStr">
        <is>
          <t>岡本</t>
        </is>
      </c>
      <c r="V171" s="10" t="inlineStr">
        <is>
          <t>河野</t>
        </is>
      </c>
      <c r="W171" s="10" t="inlineStr">
        <is>
          <t>西村</t>
        </is>
      </c>
      <c r="X171" s="10" t="inlineStr">
        <is>
          <t>山田真</t>
        </is>
      </c>
      <c r="Y171" s="10" t="inlineStr">
        <is>
          <t>欠員②</t>
        </is>
      </c>
      <c r="Z171" s="10" t="inlineStr">
        <is>
          <t>植山</t>
        </is>
      </c>
      <c r="AA171" s="10" t="inlineStr">
        <is>
          <t>上田</t>
        </is>
      </c>
      <c r="AB171" s="10" t="inlineStr">
        <is>
          <t>野口</t>
        </is>
      </c>
      <c r="AC171" s="10" t="inlineStr">
        <is>
          <t>門谷</t>
        </is>
      </c>
      <c r="AD171" s="10" t="inlineStr">
        <is>
          <t>横田</t>
        </is>
      </c>
      <c r="AE171" s="10" t="inlineStr">
        <is>
          <t>山本幸</t>
        </is>
      </c>
      <c r="AF171" s="10" t="inlineStr">
        <is>
          <t>谷川</t>
        </is>
      </c>
      <c r="AG171" s="10" t="inlineStr">
        <is>
          <t>柴田</t>
        </is>
      </c>
      <c r="AH171" s="10" t="inlineStr">
        <is>
          <t>富島</t>
        </is>
      </c>
      <c r="AI171" s="10" t="inlineStr">
        <is>
          <t>内野</t>
        </is>
      </c>
      <c r="AJ171" s="10" t="inlineStr">
        <is>
          <t>矢田</t>
        </is>
      </c>
      <c r="AK171" s="10" t="inlineStr">
        <is>
          <t>井川</t>
        </is>
      </c>
      <c r="AL171" s="10" t="inlineStr">
        <is>
          <t>中山</t>
        </is>
      </c>
      <c r="AM171" s="10" t="inlineStr">
        <is>
          <t>原</t>
        </is>
      </c>
      <c r="AN171" s="10" t="inlineStr">
        <is>
          <t>上野</t>
        </is>
      </c>
      <c r="AO171" s="10" t="inlineStr">
        <is>
          <t>山田久</t>
        </is>
      </c>
      <c r="AP171" s="10" t="inlineStr">
        <is>
          <t>横山</t>
        </is>
      </c>
    </row>
    <row r="172" ht="15" customHeight="1" s="37">
      <c r="A172" t="inlineStr">
        <is>
          <t>2026-10-22</t>
        </is>
      </c>
      <c r="B172" s="10" t="inlineStr">
        <is>
          <t>木</t>
        </is>
      </c>
      <c r="C172" s="10" t="inlineStr">
        <is>
          <t>平日</t>
        </is>
      </c>
      <c r="E172" s="10" t="inlineStr">
        <is>
          <t>丸田</t>
        </is>
      </c>
      <c r="F172" s="10" t="inlineStr">
        <is>
          <t>尾川</t>
        </is>
      </c>
      <c r="G172" s="10" t="inlineStr">
        <is>
          <t>河野</t>
        </is>
      </c>
      <c r="H172" s="10" t="inlineStr">
        <is>
          <t>山本高</t>
        </is>
      </c>
      <c r="I172" s="10" t="inlineStr">
        <is>
          <t>上野</t>
        </is>
      </c>
      <c r="J172" s="10" t="inlineStr">
        <is>
          <t>西村</t>
        </is>
      </c>
      <c r="K172" s="10" t="inlineStr">
        <is>
          <t>谷川</t>
        </is>
      </c>
      <c r="L172" s="10" t="inlineStr">
        <is>
          <t>田中</t>
        </is>
      </c>
      <c r="M172" s="10" t="inlineStr">
        <is>
          <t>門谷</t>
        </is>
      </c>
      <c r="N172" s="10" t="inlineStr">
        <is>
          <t>岩田</t>
        </is>
      </c>
      <c r="O172" s="10" t="inlineStr">
        <is>
          <t>山田真</t>
        </is>
      </c>
      <c r="P172" s="10" t="inlineStr">
        <is>
          <t>井川</t>
        </is>
      </c>
      <c r="Q172" s="10" t="inlineStr">
        <is>
          <t>大川内</t>
        </is>
      </c>
      <c r="R172" s="10" t="inlineStr">
        <is>
          <t>上田</t>
        </is>
      </c>
      <c r="S172" s="10" t="inlineStr">
        <is>
          <t>中山</t>
        </is>
      </c>
      <c r="T172" s="10" t="inlineStr">
        <is>
          <t>岡本</t>
        </is>
      </c>
      <c r="U172" s="10" t="inlineStr">
        <is>
          <t>横山</t>
        </is>
      </c>
      <c r="V172" s="10" t="inlineStr">
        <is>
          <t>富島</t>
        </is>
      </c>
      <c r="W172" s="10" t="inlineStr">
        <is>
          <t>山本幸</t>
        </is>
      </c>
      <c r="X172" s="10" t="inlineStr">
        <is>
          <t>市田</t>
        </is>
      </c>
      <c r="Y172" s="10" t="inlineStr">
        <is>
          <t>矢田</t>
        </is>
      </c>
      <c r="Z172" s="10" t="inlineStr">
        <is>
          <t>野口</t>
        </is>
      </c>
      <c r="AA172" s="10" t="inlineStr">
        <is>
          <t>原</t>
        </is>
      </c>
      <c r="AB172" s="10" t="inlineStr">
        <is>
          <t>栗下</t>
        </is>
      </c>
      <c r="AC172" s="10" t="inlineStr">
        <is>
          <t>山田久</t>
        </is>
      </c>
      <c r="AD172" s="10" t="inlineStr">
        <is>
          <t>北川</t>
        </is>
      </c>
      <c r="AE172" s="10" t="inlineStr">
        <is>
          <t>欠員①</t>
        </is>
      </c>
      <c r="AF172" s="10" t="inlineStr">
        <is>
          <t>馬場</t>
        </is>
      </c>
      <c r="AG172" s="10" t="inlineStr">
        <is>
          <t>藤原</t>
        </is>
      </c>
      <c r="AH172" s="10" t="inlineStr">
        <is>
          <t>中嶌</t>
        </is>
      </c>
      <c r="AI172" s="10" t="inlineStr">
        <is>
          <t>中村</t>
        </is>
      </c>
      <c r="AJ172" s="10" t="inlineStr">
        <is>
          <t>佐野</t>
        </is>
      </c>
      <c r="AK172" s="10" t="inlineStr">
        <is>
          <t>内野</t>
        </is>
      </c>
      <c r="AL172" s="10" t="inlineStr">
        <is>
          <t>欠員②</t>
        </is>
      </c>
      <c r="AM172" s="10" t="inlineStr">
        <is>
          <t>横田</t>
        </is>
      </c>
      <c r="AN172" s="10" t="inlineStr">
        <is>
          <t>柴田</t>
        </is>
      </c>
      <c r="AO172" s="10" t="inlineStr">
        <is>
          <t>安村</t>
        </is>
      </c>
      <c r="AP172" s="10" t="inlineStr">
        <is>
          <t>植山</t>
        </is>
      </c>
    </row>
    <row r="173" ht="15" customHeight="1" s="37">
      <c r="A173" t="inlineStr">
        <is>
          <t>2026-10-23</t>
        </is>
      </c>
      <c r="B173" s="10" t="inlineStr">
        <is>
          <t>金</t>
        </is>
      </c>
      <c r="C173" s="10" t="inlineStr">
        <is>
          <t>平日</t>
        </is>
      </c>
      <c r="E173" s="10" t="inlineStr">
        <is>
          <t>中山</t>
        </is>
      </c>
      <c r="F173" s="10" t="inlineStr">
        <is>
          <t>門谷</t>
        </is>
      </c>
      <c r="G173" s="10" t="inlineStr">
        <is>
          <t>富島</t>
        </is>
      </c>
      <c r="H173" s="10" t="inlineStr">
        <is>
          <t>山田真</t>
        </is>
      </c>
      <c r="I173" s="10" t="inlineStr">
        <is>
          <t>柴田</t>
        </is>
      </c>
      <c r="J173" s="10" t="inlineStr">
        <is>
          <t>山本幸</t>
        </is>
      </c>
      <c r="K173" s="10" t="inlineStr">
        <is>
          <t>馬場</t>
        </is>
      </c>
      <c r="L173" s="10" t="inlineStr">
        <is>
          <t>井川</t>
        </is>
      </c>
      <c r="M173" s="10" t="inlineStr">
        <is>
          <t>山田久</t>
        </is>
      </c>
      <c r="N173" s="10" t="inlineStr">
        <is>
          <t>上田</t>
        </is>
      </c>
      <c r="O173" s="10" t="inlineStr">
        <is>
          <t>市田</t>
        </is>
      </c>
      <c r="P173" s="10" t="inlineStr">
        <is>
          <t>内野</t>
        </is>
      </c>
      <c r="Q173" s="10" t="inlineStr">
        <is>
          <t>田中</t>
        </is>
      </c>
      <c r="R173" s="10" t="inlineStr">
        <is>
          <t>原</t>
        </is>
      </c>
      <c r="S173" s="10" t="inlineStr">
        <is>
          <t>欠員②</t>
        </is>
      </c>
      <c r="T173" s="10" t="inlineStr">
        <is>
          <t>横山</t>
        </is>
      </c>
      <c r="U173" s="10" t="inlineStr">
        <is>
          <t>植山</t>
        </is>
      </c>
      <c r="V173" s="10" t="inlineStr">
        <is>
          <t>中嶌</t>
        </is>
      </c>
      <c r="W173" s="10" t="inlineStr">
        <is>
          <t>欠員①</t>
        </is>
      </c>
      <c r="X173" s="10" t="inlineStr">
        <is>
          <t>谷川</t>
        </is>
      </c>
      <c r="Y173" s="10" t="inlineStr">
        <is>
          <t>佐野</t>
        </is>
      </c>
      <c r="Z173" s="10" t="inlineStr">
        <is>
          <t>栗下</t>
        </is>
      </c>
      <c r="AA173" s="10" t="inlineStr">
        <is>
          <t>横田</t>
        </is>
      </c>
      <c r="AB173" s="10" t="inlineStr">
        <is>
          <t>西村</t>
        </is>
      </c>
      <c r="AC173" s="10" t="inlineStr">
        <is>
          <t>安村</t>
        </is>
      </c>
      <c r="AD173" s="10" t="inlineStr">
        <is>
          <t>河野</t>
        </is>
      </c>
      <c r="AE173" s="10" t="inlineStr">
        <is>
          <t>山本高</t>
        </is>
      </c>
      <c r="AF173" s="10" t="inlineStr">
        <is>
          <t>尾川</t>
        </is>
      </c>
      <c r="AG173" s="10" t="inlineStr">
        <is>
          <t>岩田</t>
        </is>
      </c>
      <c r="AH173" s="10" t="inlineStr">
        <is>
          <t>大川内</t>
        </is>
      </c>
      <c r="AI173" s="10" t="inlineStr">
        <is>
          <t>岡本</t>
        </is>
      </c>
      <c r="AJ173" s="10" t="inlineStr">
        <is>
          <t>上野</t>
        </is>
      </c>
      <c r="AK173" s="10" t="inlineStr">
        <is>
          <t>中村</t>
        </is>
      </c>
      <c r="AL173" s="10" t="inlineStr">
        <is>
          <t>矢田</t>
        </is>
      </c>
      <c r="AM173" s="10" t="inlineStr">
        <is>
          <t>北川</t>
        </is>
      </c>
      <c r="AN173" s="10" t="inlineStr">
        <is>
          <t>藤原</t>
        </is>
      </c>
      <c r="AO173" s="10" t="inlineStr">
        <is>
          <t>丸田</t>
        </is>
      </c>
      <c r="AP173" s="10" t="inlineStr">
        <is>
          <t>野口</t>
        </is>
      </c>
    </row>
    <row r="174" ht="15" customHeight="1" s="37">
      <c r="A174" t="inlineStr">
        <is>
          <t>2026-10-24</t>
        </is>
      </c>
      <c r="B174" s="10" t="inlineStr">
        <is>
          <t>土</t>
        </is>
      </c>
      <c r="C174" s="10" t="inlineStr">
        <is>
          <t>休日</t>
        </is>
      </c>
      <c r="E174" s="10" t="inlineStr">
        <is>
          <t>欠員②</t>
        </is>
      </c>
      <c r="F174" s="10" t="inlineStr">
        <is>
          <t>山田久</t>
        </is>
      </c>
      <c r="G174" s="10" t="inlineStr">
        <is>
          <t>中嶌</t>
        </is>
      </c>
      <c r="H174" s="10" t="inlineStr">
        <is>
          <t>市田</t>
        </is>
      </c>
      <c r="I174" s="10" t="inlineStr">
        <is>
          <t>藤原</t>
        </is>
      </c>
      <c r="J174" s="10" t="inlineStr">
        <is>
          <t>欠員①</t>
        </is>
      </c>
      <c r="K174" s="10" t="inlineStr">
        <is>
          <t>尾川</t>
        </is>
      </c>
      <c r="L174" s="10" t="inlineStr">
        <is>
          <t>内野</t>
        </is>
      </c>
      <c r="M174" s="10" t="inlineStr">
        <is>
          <t>安村</t>
        </is>
      </c>
      <c r="N174" s="10" t="inlineStr">
        <is>
          <t>原</t>
        </is>
      </c>
      <c r="O174" s="10" t="inlineStr">
        <is>
          <t>谷川</t>
        </is>
      </c>
      <c r="P174" s="10" t="inlineStr">
        <is>
          <t>中村</t>
        </is>
      </c>
      <c r="Q174" s="10" t="inlineStr">
        <is>
          <t>井川</t>
        </is>
      </c>
      <c r="R174" s="10" t="inlineStr">
        <is>
          <t>横田</t>
        </is>
      </c>
      <c r="S174" s="10" t="inlineStr">
        <is>
          <t>矢田</t>
        </is>
      </c>
      <c r="T174" s="10" t="inlineStr">
        <is>
          <t>植山</t>
        </is>
      </c>
      <c r="U174" s="10" t="inlineStr">
        <is>
          <t>野口</t>
        </is>
      </c>
      <c r="V174" s="10" t="inlineStr">
        <is>
          <t>大川内</t>
        </is>
      </c>
      <c r="W174" s="10" t="inlineStr">
        <is>
          <t>山本高</t>
        </is>
      </c>
      <c r="X174" s="10" t="inlineStr">
        <is>
          <t>馬場</t>
        </is>
      </c>
      <c r="Y174" s="10" t="inlineStr">
        <is>
          <t>上野</t>
        </is>
      </c>
      <c r="Z174" s="10" t="inlineStr">
        <is>
          <t>西村</t>
        </is>
      </c>
      <c r="AA174" s="10" t="inlineStr">
        <is>
          <t>北川</t>
        </is>
      </c>
      <c r="AB174" s="10" t="inlineStr">
        <is>
          <t>山本幸</t>
        </is>
      </c>
      <c r="AC174" s="10" t="inlineStr">
        <is>
          <t>丸田</t>
        </is>
      </c>
      <c r="AD174" s="10" t="inlineStr">
        <is>
          <t>富島</t>
        </is>
      </c>
      <c r="AE174" s="10" t="inlineStr">
        <is>
          <t>山田真</t>
        </is>
      </c>
      <c r="AF174" s="10" t="inlineStr">
        <is>
          <t>門谷</t>
        </is>
      </c>
      <c r="AG174" s="10" t="inlineStr">
        <is>
          <t>上田</t>
        </is>
      </c>
      <c r="AH174" s="10" t="inlineStr">
        <is>
          <t>田中</t>
        </is>
      </c>
      <c r="AI174" s="10" t="inlineStr">
        <is>
          <t>横山</t>
        </is>
      </c>
      <c r="AJ174" s="10" t="inlineStr">
        <is>
          <t>柴田</t>
        </is>
      </c>
      <c r="AK174" s="10" t="inlineStr">
        <is>
          <t>岡本</t>
        </is>
      </c>
      <c r="AL174" s="10" t="inlineStr">
        <is>
          <t>佐野</t>
        </is>
      </c>
      <c r="AM174" s="10" t="inlineStr">
        <is>
          <t>河野</t>
        </is>
      </c>
      <c r="AN174" s="10" t="inlineStr">
        <is>
          <t>岩田</t>
        </is>
      </c>
      <c r="AO174" s="10" t="inlineStr">
        <is>
          <t>中山</t>
        </is>
      </c>
      <c r="AP174" s="10" t="inlineStr">
        <is>
          <t>栗下</t>
        </is>
      </c>
    </row>
    <row r="175" ht="15" customHeight="1" s="37">
      <c r="A175" t="inlineStr">
        <is>
          <t>2026-10-25</t>
        </is>
      </c>
      <c r="B175" s="10" t="inlineStr">
        <is>
          <t>日</t>
        </is>
      </c>
      <c r="C175" s="10" t="inlineStr">
        <is>
          <t>休日</t>
        </is>
      </c>
      <c r="E175" s="10" t="inlineStr">
        <is>
          <t>矢田</t>
        </is>
      </c>
      <c r="F175" s="10" t="inlineStr">
        <is>
          <t>安村</t>
        </is>
      </c>
      <c r="G175" s="10" t="inlineStr">
        <is>
          <t>大川内</t>
        </is>
      </c>
      <c r="H175" s="10" t="inlineStr">
        <is>
          <t>谷川</t>
        </is>
      </c>
      <c r="I175" s="10" t="inlineStr">
        <is>
          <t>岩田</t>
        </is>
      </c>
      <c r="J175" s="10" t="inlineStr">
        <is>
          <t>山本高</t>
        </is>
      </c>
      <c r="K175" s="10" t="inlineStr">
        <is>
          <t>門谷</t>
        </is>
      </c>
      <c r="L175" s="10" t="inlineStr">
        <is>
          <t>中村</t>
        </is>
      </c>
      <c r="M175" s="10" t="inlineStr">
        <is>
          <t>丸田</t>
        </is>
      </c>
      <c r="N175" s="10" t="inlineStr">
        <is>
          <t>横田</t>
        </is>
      </c>
      <c r="O175" s="10" t="inlineStr">
        <is>
          <t>馬場</t>
        </is>
      </c>
      <c r="P175" s="10" t="inlineStr">
        <is>
          <t>岡本</t>
        </is>
      </c>
      <c r="Q175" s="10" t="inlineStr">
        <is>
          <t>内野</t>
        </is>
      </c>
      <c r="R175" s="10" t="inlineStr">
        <is>
          <t>北川</t>
        </is>
      </c>
      <c r="S175" s="10" t="inlineStr">
        <is>
          <t>佐野</t>
        </is>
      </c>
      <c r="T175" s="10" t="inlineStr">
        <is>
          <t>野口</t>
        </is>
      </c>
      <c r="U175" s="10" t="inlineStr">
        <is>
          <t>栗下</t>
        </is>
      </c>
      <c r="V175" s="10" t="inlineStr">
        <is>
          <t>田中</t>
        </is>
      </c>
      <c r="W175" s="10" t="inlineStr">
        <is>
          <t>山田真</t>
        </is>
      </c>
      <c r="X175" s="10" t="inlineStr">
        <is>
          <t>尾川</t>
        </is>
      </c>
      <c r="Y175" s="10" t="inlineStr">
        <is>
          <t>柴田</t>
        </is>
      </c>
      <c r="Z175" s="10" t="inlineStr">
        <is>
          <t>山本幸</t>
        </is>
      </c>
      <c r="AA175" s="10" t="inlineStr">
        <is>
          <t>河野</t>
        </is>
      </c>
      <c r="AB175" s="10" t="inlineStr">
        <is>
          <t>欠員①</t>
        </is>
      </c>
      <c r="AC175" s="10" t="inlineStr">
        <is>
          <t>中山</t>
        </is>
      </c>
      <c r="AD175" s="10" t="inlineStr">
        <is>
          <t>中嶌</t>
        </is>
      </c>
      <c r="AE175" s="10" t="inlineStr">
        <is>
          <t>市田</t>
        </is>
      </c>
      <c r="AF175" s="10" t="inlineStr">
        <is>
          <t>山田久</t>
        </is>
      </c>
      <c r="AG175" s="10" t="inlineStr">
        <is>
          <t>原</t>
        </is>
      </c>
      <c r="AH175" s="10" t="inlineStr">
        <is>
          <t>井川</t>
        </is>
      </c>
      <c r="AI175" s="10" t="inlineStr">
        <is>
          <t>植山</t>
        </is>
      </c>
      <c r="AJ175" s="10" t="inlineStr">
        <is>
          <t>藤原</t>
        </is>
      </c>
      <c r="AK175" s="10" t="inlineStr">
        <is>
          <t>横山</t>
        </is>
      </c>
      <c r="AL175" s="10" t="inlineStr">
        <is>
          <t>上野</t>
        </is>
      </c>
      <c r="AM175" s="10" t="inlineStr">
        <is>
          <t>富島</t>
        </is>
      </c>
      <c r="AN175" s="10" t="inlineStr">
        <is>
          <t>上田</t>
        </is>
      </c>
      <c r="AO175" s="10" t="inlineStr">
        <is>
          <t>欠員②</t>
        </is>
      </c>
      <c r="AP175" s="10" t="inlineStr">
        <is>
          <t>西村</t>
        </is>
      </c>
    </row>
    <row r="176" ht="15" customHeight="1" s="37">
      <c r="A176" t="inlineStr">
        <is>
          <t>2026-10-26</t>
        </is>
      </c>
      <c r="B176" s="10" t="inlineStr">
        <is>
          <t>月</t>
        </is>
      </c>
      <c r="C176" s="10" t="inlineStr">
        <is>
          <t>平日</t>
        </is>
      </c>
      <c r="E176" s="10" t="inlineStr">
        <is>
          <t>佐野</t>
        </is>
      </c>
      <c r="F176" s="10" t="inlineStr">
        <is>
          <t>丸田</t>
        </is>
      </c>
      <c r="G176" s="10" t="inlineStr">
        <is>
          <t>田中</t>
        </is>
      </c>
      <c r="H176" s="10" t="inlineStr">
        <is>
          <t>馬場</t>
        </is>
      </c>
      <c r="I176" s="10" t="inlineStr">
        <is>
          <t>上田</t>
        </is>
      </c>
      <c r="J176" s="10" t="inlineStr">
        <is>
          <t>山田真</t>
        </is>
      </c>
      <c r="K176" s="10" t="inlineStr">
        <is>
          <t>山田久</t>
        </is>
      </c>
      <c r="L176" s="10" t="inlineStr">
        <is>
          <t>岡本</t>
        </is>
      </c>
      <c r="M176" s="10" t="inlineStr">
        <is>
          <t>中山</t>
        </is>
      </c>
      <c r="N176" s="10" t="inlineStr">
        <is>
          <t>北川</t>
        </is>
      </c>
      <c r="O176" s="10" t="inlineStr">
        <is>
          <t>尾川</t>
        </is>
      </c>
      <c r="P176" s="10" t="inlineStr">
        <is>
          <t>横山</t>
        </is>
      </c>
      <c r="Q176" s="10" t="inlineStr">
        <is>
          <t>中村</t>
        </is>
      </c>
      <c r="R176" s="10" t="inlineStr">
        <is>
          <t>河野</t>
        </is>
      </c>
      <c r="S176" s="10" t="inlineStr">
        <is>
          <t>上野</t>
        </is>
      </c>
      <c r="T176" s="10" t="inlineStr">
        <is>
          <t>栗下</t>
        </is>
      </c>
      <c r="U176" s="10" t="inlineStr">
        <is>
          <t>西村</t>
        </is>
      </c>
      <c r="V176" s="10" t="inlineStr">
        <is>
          <t>井川</t>
        </is>
      </c>
      <c r="W176" s="10" t="inlineStr">
        <is>
          <t>市田</t>
        </is>
      </c>
      <c r="X176" s="10" t="inlineStr">
        <is>
          <t>門谷</t>
        </is>
      </c>
      <c r="Y176" s="10" t="inlineStr">
        <is>
          <t>藤原</t>
        </is>
      </c>
      <c r="Z176" s="10" t="inlineStr">
        <is>
          <t>欠員①</t>
        </is>
      </c>
      <c r="AA176" s="10" t="inlineStr">
        <is>
          <t>富島</t>
        </is>
      </c>
      <c r="AB176" s="10" t="inlineStr">
        <is>
          <t>山本高</t>
        </is>
      </c>
      <c r="AC176" s="10" t="inlineStr">
        <is>
          <t>欠員②</t>
        </is>
      </c>
      <c r="AD176" s="10" t="inlineStr">
        <is>
          <t>大川内</t>
        </is>
      </c>
      <c r="AE176" s="10" t="inlineStr">
        <is>
          <t>谷川</t>
        </is>
      </c>
      <c r="AF176" s="10" t="inlineStr">
        <is>
          <t>安村</t>
        </is>
      </c>
      <c r="AG176" s="10" t="inlineStr">
        <is>
          <t>横田</t>
        </is>
      </c>
      <c r="AH176" s="10" t="inlineStr">
        <is>
          <t>内野</t>
        </is>
      </c>
      <c r="AI176" s="10" t="inlineStr">
        <is>
          <t>野口</t>
        </is>
      </c>
      <c r="AJ176" s="10" t="inlineStr">
        <is>
          <t>岩田</t>
        </is>
      </c>
      <c r="AK176" s="10" t="inlineStr">
        <is>
          <t>植山</t>
        </is>
      </c>
      <c r="AL176" s="10" t="inlineStr">
        <is>
          <t>柴田</t>
        </is>
      </c>
      <c r="AM176" s="10" t="inlineStr">
        <is>
          <t>中嶌</t>
        </is>
      </c>
      <c r="AN176" s="10" t="inlineStr">
        <is>
          <t>原</t>
        </is>
      </c>
      <c r="AO176" s="10" t="inlineStr">
        <is>
          <t>矢田</t>
        </is>
      </c>
      <c r="AP176" s="10" t="inlineStr">
        <is>
          <t>山本幸</t>
        </is>
      </c>
    </row>
    <row r="177" ht="15" customHeight="1" s="37">
      <c r="A177" t="inlineStr">
        <is>
          <t>2026-10-27</t>
        </is>
      </c>
      <c r="B177" s="10" t="inlineStr">
        <is>
          <t>火</t>
        </is>
      </c>
      <c r="C177" s="10" t="inlineStr">
        <is>
          <t>平日</t>
        </is>
      </c>
      <c r="E177" s="10" t="inlineStr">
        <is>
          <t>上野</t>
        </is>
      </c>
      <c r="F177" s="10" t="inlineStr">
        <is>
          <t>中山</t>
        </is>
      </c>
      <c r="G177" s="10" t="inlineStr">
        <is>
          <t>井川</t>
        </is>
      </c>
      <c r="H177" s="10" t="inlineStr">
        <is>
          <t>尾川</t>
        </is>
      </c>
      <c r="I177" s="10" t="inlineStr">
        <is>
          <t>原</t>
        </is>
      </c>
      <c r="J177" s="10" t="inlineStr">
        <is>
          <t>市田</t>
        </is>
      </c>
      <c r="K177" s="10" t="inlineStr">
        <is>
          <t>安村</t>
        </is>
      </c>
      <c r="L177" s="10" t="inlineStr">
        <is>
          <t>横山</t>
        </is>
      </c>
      <c r="M177" s="10" t="inlineStr">
        <is>
          <t>欠員②</t>
        </is>
      </c>
      <c r="N177" s="10" t="inlineStr">
        <is>
          <t>河野</t>
        </is>
      </c>
      <c r="O177" s="10" t="inlineStr">
        <is>
          <t>門谷</t>
        </is>
      </c>
      <c r="P177" s="10" t="inlineStr">
        <is>
          <t>植山</t>
        </is>
      </c>
      <c r="Q177" s="10" t="inlineStr">
        <is>
          <t>岡本</t>
        </is>
      </c>
      <c r="R177" s="10" t="inlineStr">
        <is>
          <t>富島</t>
        </is>
      </c>
      <c r="S177" s="10" t="inlineStr">
        <is>
          <t>柴田</t>
        </is>
      </c>
      <c r="T177" s="10" t="inlineStr">
        <is>
          <t>西村</t>
        </is>
      </c>
      <c r="U177" s="10" t="inlineStr">
        <is>
          <t>山本幸</t>
        </is>
      </c>
      <c r="V177" s="10" t="inlineStr">
        <is>
          <t>内野</t>
        </is>
      </c>
      <c r="W177" s="10" t="inlineStr">
        <is>
          <t>谷川</t>
        </is>
      </c>
      <c r="X177" s="10" t="inlineStr">
        <is>
          <t>山田久</t>
        </is>
      </c>
      <c r="Y177" s="10" t="inlineStr">
        <is>
          <t>岩田</t>
        </is>
      </c>
      <c r="Z177" s="10" t="inlineStr">
        <is>
          <t>山本高</t>
        </is>
      </c>
      <c r="AA177" s="10" t="inlineStr">
        <is>
          <t>中嶌</t>
        </is>
      </c>
      <c r="AB177" s="10" t="inlineStr">
        <is>
          <t>山田真</t>
        </is>
      </c>
      <c r="AC177" s="10" t="inlineStr">
        <is>
          <t>矢田</t>
        </is>
      </c>
      <c r="AD177" s="10" t="inlineStr">
        <is>
          <t>田中</t>
        </is>
      </c>
      <c r="AE177" s="10" t="inlineStr">
        <is>
          <t>馬場</t>
        </is>
      </c>
      <c r="AF177" s="10" t="inlineStr">
        <is>
          <t>丸田</t>
        </is>
      </c>
      <c r="AG177" s="10" t="inlineStr">
        <is>
          <t>北川</t>
        </is>
      </c>
      <c r="AH177" s="10" t="inlineStr">
        <is>
          <t>中村</t>
        </is>
      </c>
      <c r="AI177" s="10" t="inlineStr">
        <is>
          <t>栗下</t>
        </is>
      </c>
      <c r="AJ177" s="10" t="inlineStr">
        <is>
          <t>上田</t>
        </is>
      </c>
      <c r="AK177" s="10" t="inlineStr">
        <is>
          <t>野口</t>
        </is>
      </c>
      <c r="AL177" s="10" t="inlineStr">
        <is>
          <t>藤原</t>
        </is>
      </c>
      <c r="AM177" s="10" t="inlineStr">
        <is>
          <t>大川内</t>
        </is>
      </c>
      <c r="AN177" s="10" t="inlineStr">
        <is>
          <t>横田</t>
        </is>
      </c>
      <c r="AO177" s="10" t="inlineStr">
        <is>
          <t>佐野</t>
        </is>
      </c>
      <c r="AP177" s="10" t="inlineStr">
        <is>
          <t>欠員①</t>
        </is>
      </c>
    </row>
    <row r="178" ht="15" customHeight="1" s="37">
      <c r="A178" t="inlineStr">
        <is>
          <t>2026-10-28</t>
        </is>
      </c>
      <c r="B178" s="10" t="inlineStr">
        <is>
          <t>水</t>
        </is>
      </c>
      <c r="C178" s="10" t="inlineStr">
        <is>
          <t>平日</t>
        </is>
      </c>
      <c r="E178" s="10" t="inlineStr">
        <is>
          <t>柴田</t>
        </is>
      </c>
      <c r="F178" s="10" t="inlineStr">
        <is>
          <t>欠員②</t>
        </is>
      </c>
      <c r="G178" s="10" t="inlineStr">
        <is>
          <t>内野</t>
        </is>
      </c>
      <c r="H178" s="10" t="inlineStr">
        <is>
          <t>門谷</t>
        </is>
      </c>
      <c r="I178" s="10" t="inlineStr">
        <is>
          <t>横田</t>
        </is>
      </c>
      <c r="J178" s="10" t="inlineStr">
        <is>
          <t>谷川</t>
        </is>
      </c>
      <c r="K178" s="10" t="inlineStr">
        <is>
          <t>丸田</t>
        </is>
      </c>
      <c r="L178" s="10" t="inlineStr">
        <is>
          <t>植山</t>
        </is>
      </c>
      <c r="M178" s="10" t="inlineStr">
        <is>
          <t>矢田</t>
        </is>
      </c>
      <c r="N178" s="10" t="inlineStr">
        <is>
          <t>富島</t>
        </is>
      </c>
      <c r="O178" s="10" t="inlineStr">
        <is>
          <t>山田久</t>
        </is>
      </c>
      <c r="P178" s="10" t="inlineStr">
        <is>
          <t>野口</t>
        </is>
      </c>
      <c r="Q178" s="10" t="inlineStr">
        <is>
          <t>横山</t>
        </is>
      </c>
      <c r="R178" s="10" t="inlineStr">
        <is>
          <t>中嶌</t>
        </is>
      </c>
      <c r="S178" s="10" t="inlineStr">
        <is>
          <t>藤原</t>
        </is>
      </c>
      <c r="T178" s="10" t="inlineStr">
        <is>
          <t>山本幸</t>
        </is>
      </c>
      <c r="U178" s="10" t="inlineStr">
        <is>
          <t>欠員①</t>
        </is>
      </c>
      <c r="V178" s="10" t="inlineStr">
        <is>
          <t>中村</t>
        </is>
      </c>
      <c r="W178" s="10" t="inlineStr">
        <is>
          <t>馬場</t>
        </is>
      </c>
      <c r="X178" s="10" t="inlineStr">
        <is>
          <t>安村</t>
        </is>
      </c>
      <c r="Y178" s="10" t="inlineStr">
        <is>
          <t>上田</t>
        </is>
      </c>
      <c r="Z178" s="10" t="inlineStr">
        <is>
          <t>山田真</t>
        </is>
      </c>
      <c r="AA178" s="10" t="inlineStr">
        <is>
          <t>大川内</t>
        </is>
      </c>
      <c r="AB178" s="10" t="inlineStr">
        <is>
          <t>市田</t>
        </is>
      </c>
      <c r="AC178" s="10" t="inlineStr">
        <is>
          <t>佐野</t>
        </is>
      </c>
      <c r="AD178" s="10" t="inlineStr">
        <is>
          <t>井川</t>
        </is>
      </c>
      <c r="AE178" s="10" t="inlineStr">
        <is>
          <t>尾川</t>
        </is>
      </c>
      <c r="AF178" s="10" t="inlineStr">
        <is>
          <t>中山</t>
        </is>
      </c>
      <c r="AG178" s="10" t="inlineStr">
        <is>
          <t>河野</t>
        </is>
      </c>
      <c r="AH178" s="10" t="inlineStr">
        <is>
          <t>岡本</t>
        </is>
      </c>
      <c r="AI178" s="10" t="inlineStr">
        <is>
          <t>西村</t>
        </is>
      </c>
      <c r="AJ178" s="10" t="inlineStr">
        <is>
          <t>原</t>
        </is>
      </c>
      <c r="AK178" s="10" t="inlineStr">
        <is>
          <t>栗下</t>
        </is>
      </c>
      <c r="AL178" s="10" t="inlineStr">
        <is>
          <t>岩田</t>
        </is>
      </c>
      <c r="AM178" s="10" t="inlineStr">
        <is>
          <t>田中</t>
        </is>
      </c>
      <c r="AN178" s="10" t="inlineStr">
        <is>
          <t>北川</t>
        </is>
      </c>
      <c r="AO178" s="10" t="inlineStr">
        <is>
          <t>上野</t>
        </is>
      </c>
      <c r="AP178" s="10" t="inlineStr">
        <is>
          <t>山本高</t>
        </is>
      </c>
    </row>
    <row r="179" ht="15" customHeight="1" s="37">
      <c r="A179" t="inlineStr">
        <is>
          <t>2026-10-29</t>
        </is>
      </c>
      <c r="B179" s="10" t="inlineStr">
        <is>
          <t>木</t>
        </is>
      </c>
      <c r="C179" s="10" t="inlineStr">
        <is>
          <t>平日</t>
        </is>
      </c>
      <c r="E179" s="10" t="inlineStr">
        <is>
          <t>藤原</t>
        </is>
      </c>
      <c r="F179" s="10" t="inlineStr">
        <is>
          <t>矢田</t>
        </is>
      </c>
      <c r="G179" s="10" t="inlineStr">
        <is>
          <t>中村</t>
        </is>
      </c>
      <c r="H179" s="10" t="inlineStr">
        <is>
          <t>山田久</t>
        </is>
      </c>
      <c r="I179" s="10" t="inlineStr">
        <is>
          <t>北川</t>
        </is>
      </c>
      <c r="J179" s="10" t="inlineStr">
        <is>
          <t>馬場</t>
        </is>
      </c>
      <c r="K179" s="10" t="inlineStr">
        <is>
          <t>中山</t>
        </is>
      </c>
      <c r="L179" s="10" t="inlineStr">
        <is>
          <t>野口</t>
        </is>
      </c>
      <c r="M179" s="10" t="inlineStr">
        <is>
          <t>佐野</t>
        </is>
      </c>
      <c r="N179" s="10" t="inlineStr">
        <is>
          <t>中嶌</t>
        </is>
      </c>
      <c r="O179" s="10" t="inlineStr">
        <is>
          <t>安村</t>
        </is>
      </c>
      <c r="P179" s="10" t="inlineStr">
        <is>
          <t>栗下</t>
        </is>
      </c>
      <c r="Q179" s="10" t="inlineStr">
        <is>
          <t>植山</t>
        </is>
      </c>
      <c r="R179" s="10" t="inlineStr">
        <is>
          <t>大川内</t>
        </is>
      </c>
      <c r="S179" s="10" t="inlineStr">
        <is>
          <t>岩田</t>
        </is>
      </c>
      <c r="T179" s="10" t="inlineStr">
        <is>
          <t>欠員①</t>
        </is>
      </c>
      <c r="U179" s="10" t="inlineStr">
        <is>
          <t>山本高</t>
        </is>
      </c>
      <c r="V179" s="10" t="inlineStr">
        <is>
          <t>岡本</t>
        </is>
      </c>
      <c r="W179" s="10" t="inlineStr">
        <is>
          <t>尾川</t>
        </is>
      </c>
      <c r="X179" s="10" t="inlineStr">
        <is>
          <t>丸田</t>
        </is>
      </c>
      <c r="Y179" s="10" t="inlineStr">
        <is>
          <t>原</t>
        </is>
      </c>
      <c r="Z179" s="10" t="inlineStr">
        <is>
          <t>市田</t>
        </is>
      </c>
      <c r="AA179" s="10" t="inlineStr">
        <is>
          <t>田中</t>
        </is>
      </c>
      <c r="AB179" s="10" t="inlineStr">
        <is>
          <t>谷川</t>
        </is>
      </c>
      <c r="AC179" s="10" t="inlineStr">
        <is>
          <t>上野</t>
        </is>
      </c>
      <c r="AD179" s="10" t="inlineStr">
        <is>
          <t>内野</t>
        </is>
      </c>
      <c r="AE179" s="10" t="inlineStr">
        <is>
          <t>門谷</t>
        </is>
      </c>
      <c r="AF179" s="10" t="inlineStr">
        <is>
          <t>欠員②</t>
        </is>
      </c>
      <c r="AG179" s="10" t="inlineStr">
        <is>
          <t>富島</t>
        </is>
      </c>
      <c r="AH179" s="10" t="inlineStr">
        <is>
          <t>横山</t>
        </is>
      </c>
      <c r="AI179" s="10" t="inlineStr">
        <is>
          <t>山本幸</t>
        </is>
      </c>
      <c r="AJ179" s="10" t="inlineStr">
        <is>
          <t>横田</t>
        </is>
      </c>
      <c r="AK179" s="10" t="inlineStr">
        <is>
          <t>西村</t>
        </is>
      </c>
      <c r="AL179" s="10" t="inlineStr">
        <is>
          <t>上田</t>
        </is>
      </c>
      <c r="AM179" s="10" t="inlineStr">
        <is>
          <t>井川</t>
        </is>
      </c>
      <c r="AN179" s="10" t="inlineStr">
        <is>
          <t>河野</t>
        </is>
      </c>
      <c r="AO179" s="10" t="inlineStr">
        <is>
          <t>柴田</t>
        </is>
      </c>
      <c r="AP179" s="10" t="inlineStr">
        <is>
          <t>山田真</t>
        </is>
      </c>
    </row>
    <row r="180" ht="15" customHeight="1" s="37">
      <c r="A180" t="inlineStr">
        <is>
          <t>2026-10-30</t>
        </is>
      </c>
      <c r="B180" s="10" t="inlineStr">
        <is>
          <t>金</t>
        </is>
      </c>
      <c r="C180" s="10" t="inlineStr">
        <is>
          <t>平日</t>
        </is>
      </c>
      <c r="E180" s="10" t="inlineStr">
        <is>
          <t>岩田</t>
        </is>
      </c>
      <c r="F180" s="10" t="inlineStr">
        <is>
          <t>佐野</t>
        </is>
      </c>
      <c r="G180" s="10" t="inlineStr">
        <is>
          <t>岡本</t>
        </is>
      </c>
      <c r="H180" s="10" t="inlineStr">
        <is>
          <t>安村</t>
        </is>
      </c>
      <c r="I180" s="10" t="inlineStr">
        <is>
          <t>河野</t>
        </is>
      </c>
      <c r="J180" s="10" t="inlineStr">
        <is>
          <t>尾川</t>
        </is>
      </c>
      <c r="K180" s="10" t="inlineStr">
        <is>
          <t>欠員②</t>
        </is>
      </c>
      <c r="L180" s="10" t="inlineStr">
        <is>
          <t>栗下</t>
        </is>
      </c>
      <c r="M180" s="10" t="inlineStr">
        <is>
          <t>上野</t>
        </is>
      </c>
      <c r="N180" s="10" t="inlineStr">
        <is>
          <t>大川内</t>
        </is>
      </c>
      <c r="O180" s="10" t="inlineStr">
        <is>
          <t>丸田</t>
        </is>
      </c>
      <c r="P180" s="10" t="inlineStr">
        <is>
          <t>西村</t>
        </is>
      </c>
      <c r="Q180" s="10" t="inlineStr">
        <is>
          <t>野口</t>
        </is>
      </c>
      <c r="R180" s="10" t="inlineStr">
        <is>
          <t>田中</t>
        </is>
      </c>
      <c r="S180" s="10" t="inlineStr">
        <is>
          <t>上田</t>
        </is>
      </c>
      <c r="T180" s="10" t="inlineStr">
        <is>
          <t>山本高</t>
        </is>
      </c>
      <c r="U180" s="10" t="inlineStr">
        <is>
          <t>山田真</t>
        </is>
      </c>
      <c r="V180" s="10" t="inlineStr">
        <is>
          <t>横山</t>
        </is>
      </c>
      <c r="W180" s="10" t="inlineStr">
        <is>
          <t>門谷</t>
        </is>
      </c>
      <c r="X180" s="10" t="inlineStr">
        <is>
          <t>中山</t>
        </is>
      </c>
      <c r="Y180" s="10" t="inlineStr">
        <is>
          <t>横田</t>
        </is>
      </c>
      <c r="Z180" s="10" t="inlineStr">
        <is>
          <t>谷川</t>
        </is>
      </c>
      <c r="AA180" s="10" t="inlineStr">
        <is>
          <t>井川</t>
        </is>
      </c>
      <c r="AB180" s="10" t="inlineStr">
        <is>
          <t>馬場</t>
        </is>
      </c>
      <c r="AC180" s="10" t="inlineStr">
        <is>
          <t>柴田</t>
        </is>
      </c>
      <c r="AD180" s="10" t="inlineStr">
        <is>
          <t>中村</t>
        </is>
      </c>
      <c r="AE180" s="10" t="inlineStr">
        <is>
          <t>山田久</t>
        </is>
      </c>
      <c r="AF180" s="10" t="inlineStr">
        <is>
          <t>矢田</t>
        </is>
      </c>
      <c r="AG180" s="10" t="inlineStr">
        <is>
          <t>中嶌</t>
        </is>
      </c>
      <c r="AH180" s="10" t="inlineStr">
        <is>
          <t>植山</t>
        </is>
      </c>
      <c r="AI180" s="10" t="inlineStr">
        <is>
          <t>欠員①</t>
        </is>
      </c>
      <c r="AJ180" s="10" t="inlineStr">
        <is>
          <t>北川</t>
        </is>
      </c>
      <c r="AK180" s="10" t="inlineStr">
        <is>
          <t>山本幸</t>
        </is>
      </c>
      <c r="AL180" s="10" t="inlineStr">
        <is>
          <t>原</t>
        </is>
      </c>
      <c r="AM180" s="10" t="inlineStr">
        <is>
          <t>内野</t>
        </is>
      </c>
      <c r="AN180" s="10" t="inlineStr">
        <is>
          <t>富島</t>
        </is>
      </c>
      <c r="AO180" s="10" t="inlineStr">
        <is>
          <t>藤原</t>
        </is>
      </c>
      <c r="AP180" s="10" t="inlineStr">
        <is>
          <t>市田</t>
        </is>
      </c>
    </row>
    <row r="181" ht="15" customHeight="1" s="37">
      <c r="A181" t="inlineStr">
        <is>
          <t>2026-10-31</t>
        </is>
      </c>
      <c r="B181" s="10" t="inlineStr">
        <is>
          <t>土</t>
        </is>
      </c>
      <c r="C181" s="10" t="inlineStr">
        <is>
          <t>休日</t>
        </is>
      </c>
      <c r="E181" s="10" t="inlineStr">
        <is>
          <t>上田</t>
        </is>
      </c>
      <c r="F181" s="10" t="inlineStr">
        <is>
          <t>上野</t>
        </is>
      </c>
      <c r="G181" s="10" t="inlineStr">
        <is>
          <t>横山</t>
        </is>
      </c>
      <c r="H181" s="10" t="inlineStr">
        <is>
          <t>丸田</t>
        </is>
      </c>
      <c r="I181" s="10" t="inlineStr">
        <is>
          <t>富島</t>
        </is>
      </c>
      <c r="J181" s="10" t="inlineStr">
        <is>
          <t>門谷</t>
        </is>
      </c>
      <c r="K181" s="10" t="inlineStr">
        <is>
          <t>矢田</t>
        </is>
      </c>
      <c r="L181" s="10" t="inlineStr">
        <is>
          <t>西村</t>
        </is>
      </c>
      <c r="M181" s="10" t="inlineStr">
        <is>
          <t>柴田</t>
        </is>
      </c>
      <c r="N181" s="10" t="inlineStr">
        <is>
          <t>田中</t>
        </is>
      </c>
      <c r="O181" s="10" t="inlineStr">
        <is>
          <t>中山</t>
        </is>
      </c>
      <c r="P181" s="10" t="inlineStr">
        <is>
          <t>山本幸</t>
        </is>
      </c>
      <c r="Q181" s="10" t="inlineStr">
        <is>
          <t>栗下</t>
        </is>
      </c>
      <c r="R181" s="10" t="inlineStr">
        <is>
          <t>井川</t>
        </is>
      </c>
      <c r="S181" s="10" t="inlineStr">
        <is>
          <t>原</t>
        </is>
      </c>
      <c r="T181" s="10" t="inlineStr">
        <is>
          <t>山田真</t>
        </is>
      </c>
      <c r="U181" s="10" t="inlineStr">
        <is>
          <t>市田</t>
        </is>
      </c>
      <c r="V181" s="10" t="inlineStr">
        <is>
          <t>植山</t>
        </is>
      </c>
      <c r="W181" s="10" t="inlineStr">
        <is>
          <t>山田久</t>
        </is>
      </c>
      <c r="X181" s="10" t="inlineStr">
        <is>
          <t>欠員②</t>
        </is>
      </c>
      <c r="Y181" s="10" t="inlineStr">
        <is>
          <t>北川</t>
        </is>
      </c>
      <c r="Z181" s="10" t="inlineStr">
        <is>
          <t>馬場</t>
        </is>
      </c>
      <c r="AA181" s="10" t="inlineStr">
        <is>
          <t>内野</t>
        </is>
      </c>
      <c r="AB181" s="10" t="inlineStr">
        <is>
          <t>尾川</t>
        </is>
      </c>
      <c r="AC181" s="10" t="inlineStr">
        <is>
          <t>藤原</t>
        </is>
      </c>
      <c r="AD181" s="10" t="inlineStr">
        <is>
          <t>岡本</t>
        </is>
      </c>
      <c r="AE181" s="10" t="inlineStr">
        <is>
          <t>安村</t>
        </is>
      </c>
      <c r="AF181" s="10" t="inlineStr">
        <is>
          <t>佐野</t>
        </is>
      </c>
      <c r="AG181" s="10" t="inlineStr">
        <is>
          <t>大川内</t>
        </is>
      </c>
      <c r="AH181" s="10" t="inlineStr">
        <is>
          <t>野口</t>
        </is>
      </c>
      <c r="AI181" s="10" t="inlineStr">
        <is>
          <t>山本高</t>
        </is>
      </c>
      <c r="AJ181" s="10" t="inlineStr">
        <is>
          <t>河野</t>
        </is>
      </c>
      <c r="AK181" s="10" t="inlineStr">
        <is>
          <t>欠員①</t>
        </is>
      </c>
      <c r="AL181" s="10" t="inlineStr">
        <is>
          <t>横田</t>
        </is>
      </c>
      <c r="AM181" s="10" t="inlineStr">
        <is>
          <t>中村</t>
        </is>
      </c>
      <c r="AN181" s="10" t="inlineStr">
        <is>
          <t>中嶌</t>
        </is>
      </c>
      <c r="AO181" s="10" t="inlineStr">
        <is>
          <t>岩田</t>
        </is>
      </c>
      <c r="AP181" s="10" t="inlineStr">
        <is>
          <t>谷川</t>
        </is>
      </c>
    </row>
    <row r="182" ht="15" customHeight="1" s="37">
      <c r="A182" t="inlineStr">
        <is>
          <t>2026-11-01</t>
        </is>
      </c>
      <c r="B182" s="10" t="inlineStr">
        <is>
          <t>日</t>
        </is>
      </c>
      <c r="C182" s="10" t="inlineStr">
        <is>
          <t>休日</t>
        </is>
      </c>
      <c r="E182" s="10" t="inlineStr">
        <is>
          <t>原</t>
        </is>
      </c>
      <c r="F182" s="10" t="inlineStr">
        <is>
          <t>柴田</t>
        </is>
      </c>
      <c r="G182" s="10" t="inlineStr">
        <is>
          <t>植山</t>
        </is>
      </c>
      <c r="H182" s="10" t="inlineStr">
        <is>
          <t>中山</t>
        </is>
      </c>
      <c r="I182" s="10" t="inlineStr">
        <is>
          <t>中嶌</t>
        </is>
      </c>
      <c r="J182" s="10" t="inlineStr">
        <is>
          <t>山田久</t>
        </is>
      </c>
      <c r="K182" s="10" t="inlineStr">
        <is>
          <t>佐野</t>
        </is>
      </c>
      <c r="L182" s="10" t="inlineStr">
        <is>
          <t>山本幸</t>
        </is>
      </c>
      <c r="M182" s="10" t="inlineStr">
        <is>
          <t>藤原</t>
        </is>
      </c>
      <c r="N182" s="10" t="inlineStr">
        <is>
          <t>井川</t>
        </is>
      </c>
      <c r="O182" s="10" t="inlineStr">
        <is>
          <t>欠員②</t>
        </is>
      </c>
      <c r="P182" s="10" t="inlineStr">
        <is>
          <t>欠員①</t>
        </is>
      </c>
      <c r="Q182" s="10" t="inlineStr">
        <is>
          <t>西村</t>
        </is>
      </c>
      <c r="R182" s="10" t="inlineStr">
        <is>
          <t>内野</t>
        </is>
      </c>
      <c r="S182" s="10" t="inlineStr">
        <is>
          <t>横田</t>
        </is>
      </c>
      <c r="T182" s="10" t="inlineStr">
        <is>
          <t>市田</t>
        </is>
      </c>
      <c r="U182" s="10" t="inlineStr">
        <is>
          <t>谷川</t>
        </is>
      </c>
      <c r="V182" s="10" t="inlineStr">
        <is>
          <t>野口</t>
        </is>
      </c>
      <c r="W182" s="10" t="inlineStr">
        <is>
          <t>安村</t>
        </is>
      </c>
      <c r="X182" s="10" t="inlineStr">
        <is>
          <t>矢田</t>
        </is>
      </c>
      <c r="Y182" s="10" t="inlineStr">
        <is>
          <t>河野</t>
        </is>
      </c>
      <c r="Z182" s="10" t="inlineStr">
        <is>
          <t>尾川</t>
        </is>
      </c>
      <c r="AA182" s="10" t="inlineStr">
        <is>
          <t>中村</t>
        </is>
      </c>
      <c r="AB182" s="10" t="inlineStr">
        <is>
          <t>門谷</t>
        </is>
      </c>
      <c r="AC182" s="10" t="inlineStr">
        <is>
          <t>岩田</t>
        </is>
      </c>
      <c r="AD182" s="10" t="inlineStr">
        <is>
          <t>横山</t>
        </is>
      </c>
      <c r="AE182" s="10" t="inlineStr">
        <is>
          <t>丸田</t>
        </is>
      </c>
      <c r="AF182" s="10" t="inlineStr">
        <is>
          <t>上野</t>
        </is>
      </c>
      <c r="AG182" s="10" t="inlineStr">
        <is>
          <t>田中</t>
        </is>
      </c>
      <c r="AH182" s="10" t="inlineStr">
        <is>
          <t>栗下</t>
        </is>
      </c>
      <c r="AI182" s="10" t="inlineStr">
        <is>
          <t>山田真</t>
        </is>
      </c>
      <c r="AJ182" s="10" t="inlineStr">
        <is>
          <t>富島</t>
        </is>
      </c>
      <c r="AK182" s="10" t="inlineStr">
        <is>
          <t>山本高</t>
        </is>
      </c>
      <c r="AL182" s="10" t="inlineStr">
        <is>
          <t>北川</t>
        </is>
      </c>
      <c r="AM182" s="10" t="inlineStr">
        <is>
          <t>岡本</t>
        </is>
      </c>
      <c r="AN182" s="10" t="inlineStr">
        <is>
          <t>大川内</t>
        </is>
      </c>
      <c r="AO182" s="10" t="inlineStr">
        <is>
          <t>上田</t>
        </is>
      </c>
      <c r="AP182" s="10" t="inlineStr">
        <is>
          <t>馬場</t>
        </is>
      </c>
    </row>
    <row r="183" ht="15" customHeight="1" s="37">
      <c r="A183" t="inlineStr">
        <is>
          <t>2026-11-02</t>
        </is>
      </c>
      <c r="B183" s="10" t="inlineStr">
        <is>
          <t>月</t>
        </is>
      </c>
      <c r="C183" s="10" t="inlineStr">
        <is>
          <t>平日</t>
        </is>
      </c>
      <c r="E183" s="10" t="inlineStr">
        <is>
          <t>横田</t>
        </is>
      </c>
      <c r="F183" s="10" t="inlineStr">
        <is>
          <t>藤原</t>
        </is>
      </c>
      <c r="G183" s="10" t="inlineStr">
        <is>
          <t>野口</t>
        </is>
      </c>
      <c r="H183" s="10" t="inlineStr">
        <is>
          <t>欠員②</t>
        </is>
      </c>
      <c r="I183" s="10" t="inlineStr">
        <is>
          <t>大川内</t>
        </is>
      </c>
      <c r="J183" s="10" t="inlineStr">
        <is>
          <t>安村</t>
        </is>
      </c>
      <c r="K183" s="10" t="inlineStr">
        <is>
          <t>上野</t>
        </is>
      </c>
      <c r="L183" s="10" t="inlineStr">
        <is>
          <t>欠員①</t>
        </is>
      </c>
      <c r="M183" s="10" t="inlineStr">
        <is>
          <t>岩田</t>
        </is>
      </c>
      <c r="N183" s="10" t="inlineStr">
        <is>
          <t>内野</t>
        </is>
      </c>
      <c r="O183" s="10" t="inlineStr">
        <is>
          <t>矢田</t>
        </is>
      </c>
      <c r="P183" s="10" t="inlineStr">
        <is>
          <t>山本高</t>
        </is>
      </c>
      <c r="Q183" s="10" t="inlineStr">
        <is>
          <t>山本幸</t>
        </is>
      </c>
      <c r="R183" s="10" t="inlineStr">
        <is>
          <t>中村</t>
        </is>
      </c>
      <c r="S183" s="10" t="inlineStr">
        <is>
          <t>北川</t>
        </is>
      </c>
      <c r="T183" s="10" t="inlineStr">
        <is>
          <t>谷川</t>
        </is>
      </c>
      <c r="U183" s="10" t="inlineStr">
        <is>
          <t>馬場</t>
        </is>
      </c>
      <c r="V183" s="10" t="inlineStr">
        <is>
          <t>栗下</t>
        </is>
      </c>
      <c r="W183" s="10" t="inlineStr">
        <is>
          <t>丸田</t>
        </is>
      </c>
      <c r="X183" s="10" t="inlineStr">
        <is>
          <t>佐野</t>
        </is>
      </c>
      <c r="Y183" s="10" t="inlineStr">
        <is>
          <t>富島</t>
        </is>
      </c>
      <c r="Z183" s="10" t="inlineStr">
        <is>
          <t>門谷</t>
        </is>
      </c>
      <c r="AA183" s="10" t="inlineStr">
        <is>
          <t>岡本</t>
        </is>
      </c>
      <c r="AB183" s="10" t="inlineStr">
        <is>
          <t>山田久</t>
        </is>
      </c>
      <c r="AC183" s="10" t="inlineStr">
        <is>
          <t>上田</t>
        </is>
      </c>
      <c r="AD183" s="10" t="inlineStr">
        <is>
          <t>植山</t>
        </is>
      </c>
      <c r="AE183" s="10" t="inlineStr">
        <is>
          <t>中山</t>
        </is>
      </c>
      <c r="AF183" s="10" t="inlineStr">
        <is>
          <t>柴田</t>
        </is>
      </c>
      <c r="AG183" s="10" t="inlineStr">
        <is>
          <t>井川</t>
        </is>
      </c>
      <c r="AH183" s="10" t="inlineStr">
        <is>
          <t>西村</t>
        </is>
      </c>
      <c r="AI183" s="10" t="inlineStr">
        <is>
          <t>市田</t>
        </is>
      </c>
      <c r="AJ183" s="10" t="inlineStr">
        <is>
          <t>中嶌</t>
        </is>
      </c>
      <c r="AK183" s="10" t="inlineStr">
        <is>
          <t>山田真</t>
        </is>
      </c>
      <c r="AL183" s="10" t="inlineStr">
        <is>
          <t>河野</t>
        </is>
      </c>
      <c r="AM183" s="10" t="inlineStr">
        <is>
          <t>横山</t>
        </is>
      </c>
      <c r="AN183" s="10" t="inlineStr">
        <is>
          <t>田中</t>
        </is>
      </c>
      <c r="AO183" s="10" t="inlineStr">
        <is>
          <t>原</t>
        </is>
      </c>
      <c r="AP183" s="10" t="inlineStr">
        <is>
          <t>尾川</t>
        </is>
      </c>
    </row>
    <row r="184" ht="15" customHeight="1" s="37">
      <c r="A184" t="inlineStr">
        <is>
          <t>2026-11-03</t>
        </is>
      </c>
      <c r="B184" s="10" t="inlineStr">
        <is>
          <t>火</t>
        </is>
      </c>
      <c r="C184" s="10" t="inlineStr">
        <is>
          <t>休日</t>
        </is>
      </c>
      <c r="D184" s="10" t="inlineStr">
        <is>
          <t>文化の日</t>
        </is>
      </c>
      <c r="E184" s="10" t="inlineStr">
        <is>
          <t>北川</t>
        </is>
      </c>
      <c r="F184" s="10" t="inlineStr">
        <is>
          <t>岩田</t>
        </is>
      </c>
      <c r="G184" s="10" t="inlineStr">
        <is>
          <t>栗下</t>
        </is>
      </c>
      <c r="H184" s="10" t="inlineStr">
        <is>
          <t>矢田</t>
        </is>
      </c>
      <c r="I184" s="10" t="inlineStr">
        <is>
          <t>田中</t>
        </is>
      </c>
      <c r="J184" s="10" t="inlineStr">
        <is>
          <t>丸田</t>
        </is>
      </c>
      <c r="K184" s="10" t="inlineStr">
        <is>
          <t>柴田</t>
        </is>
      </c>
      <c r="L184" s="10" t="inlineStr">
        <is>
          <t>山本高</t>
        </is>
      </c>
      <c r="M184" s="10" t="inlineStr">
        <is>
          <t>上田</t>
        </is>
      </c>
      <c r="N184" s="10" t="inlineStr">
        <is>
          <t>中村</t>
        </is>
      </c>
      <c r="O184" s="10" t="inlineStr">
        <is>
          <t>佐野</t>
        </is>
      </c>
      <c r="P184" s="10" t="inlineStr">
        <is>
          <t>山田真</t>
        </is>
      </c>
      <c r="Q184" s="10" t="inlineStr">
        <is>
          <t>欠員①</t>
        </is>
      </c>
      <c r="R184" s="10" t="inlineStr">
        <is>
          <t>岡本</t>
        </is>
      </c>
      <c r="S184" s="10" t="inlineStr">
        <is>
          <t>河野</t>
        </is>
      </c>
      <c r="T184" s="10" t="inlineStr">
        <is>
          <t>馬場</t>
        </is>
      </c>
      <c r="U184" s="10" t="inlineStr">
        <is>
          <t>尾川</t>
        </is>
      </c>
      <c r="V184" s="10" t="inlineStr">
        <is>
          <t>西村</t>
        </is>
      </c>
      <c r="W184" s="10" t="inlineStr">
        <is>
          <t>中山</t>
        </is>
      </c>
      <c r="X184" s="10" t="inlineStr">
        <is>
          <t>上野</t>
        </is>
      </c>
      <c r="Y184" s="10" t="inlineStr">
        <is>
          <t>中嶌</t>
        </is>
      </c>
      <c r="Z184" s="10" t="inlineStr">
        <is>
          <t>山田久</t>
        </is>
      </c>
      <c r="AA184" s="10" t="inlineStr">
        <is>
          <t>横山</t>
        </is>
      </c>
      <c r="AB184" s="10" t="inlineStr">
        <is>
          <t>安村</t>
        </is>
      </c>
      <c r="AC184" s="10" t="inlineStr">
        <is>
          <t>原</t>
        </is>
      </c>
      <c r="AD184" s="10" t="inlineStr">
        <is>
          <t>野口</t>
        </is>
      </c>
      <c r="AE184" s="10" t="inlineStr">
        <is>
          <t>欠員②</t>
        </is>
      </c>
      <c r="AF184" s="10" t="inlineStr">
        <is>
          <t>藤原</t>
        </is>
      </c>
      <c r="AG184" s="10" t="inlineStr">
        <is>
          <t>内野</t>
        </is>
      </c>
      <c r="AH184" s="10" t="inlineStr">
        <is>
          <t>山本幸</t>
        </is>
      </c>
      <c r="AI184" s="10" t="inlineStr">
        <is>
          <t>谷川</t>
        </is>
      </c>
      <c r="AJ184" s="10" t="inlineStr">
        <is>
          <t>大川内</t>
        </is>
      </c>
      <c r="AK184" s="10" t="inlineStr">
        <is>
          <t>市田</t>
        </is>
      </c>
      <c r="AL184" s="10" t="inlineStr">
        <is>
          <t>富島</t>
        </is>
      </c>
      <c r="AM184" s="10" t="inlineStr">
        <is>
          <t>植山</t>
        </is>
      </c>
      <c r="AN184" s="10" t="inlineStr">
        <is>
          <t>井川</t>
        </is>
      </c>
      <c r="AO184" s="10" t="inlineStr">
        <is>
          <t>横田</t>
        </is>
      </c>
      <c r="AP184" s="10" t="inlineStr">
        <is>
          <t>門谷</t>
        </is>
      </c>
    </row>
    <row r="185" ht="15" customHeight="1" s="37">
      <c r="A185" t="inlineStr">
        <is>
          <t>2026-11-04</t>
        </is>
      </c>
      <c r="B185" s="10" t="inlineStr">
        <is>
          <t>水</t>
        </is>
      </c>
      <c r="C185" s="10" t="inlineStr">
        <is>
          <t>平日</t>
        </is>
      </c>
      <c r="E185" s="10" t="inlineStr">
        <is>
          <t>河野</t>
        </is>
      </c>
      <c r="F185" s="10" t="inlineStr">
        <is>
          <t>上田</t>
        </is>
      </c>
      <c r="G185" s="10" t="inlineStr">
        <is>
          <t>西村</t>
        </is>
      </c>
      <c r="H185" s="10" t="inlineStr">
        <is>
          <t>佐野</t>
        </is>
      </c>
      <c r="I185" s="10" t="inlineStr">
        <is>
          <t>井川</t>
        </is>
      </c>
      <c r="J185" s="10" t="inlineStr">
        <is>
          <t>中山</t>
        </is>
      </c>
      <c r="K185" s="10" t="inlineStr">
        <is>
          <t>藤原</t>
        </is>
      </c>
      <c r="L185" s="10" t="inlineStr">
        <is>
          <t>山田真</t>
        </is>
      </c>
      <c r="M185" s="10" t="inlineStr">
        <is>
          <t>原</t>
        </is>
      </c>
      <c r="N185" s="10" t="inlineStr">
        <is>
          <t>岡本</t>
        </is>
      </c>
      <c r="O185" s="10" t="inlineStr">
        <is>
          <t>上野</t>
        </is>
      </c>
      <c r="P185" s="10" t="inlineStr">
        <is>
          <t>市田</t>
        </is>
      </c>
      <c r="Q185" s="10" t="inlineStr">
        <is>
          <t>山本高</t>
        </is>
      </c>
      <c r="R185" s="10" t="inlineStr">
        <is>
          <t>横山</t>
        </is>
      </c>
      <c r="S185" s="10" t="inlineStr">
        <is>
          <t>富島</t>
        </is>
      </c>
      <c r="T185" s="10" t="inlineStr">
        <is>
          <t>尾川</t>
        </is>
      </c>
      <c r="U185" s="10" t="inlineStr">
        <is>
          <t>門谷</t>
        </is>
      </c>
      <c r="V185" s="10" t="inlineStr">
        <is>
          <t>山本幸</t>
        </is>
      </c>
      <c r="W185" s="10" t="inlineStr">
        <is>
          <t>欠員②</t>
        </is>
      </c>
      <c r="X185" s="10" t="inlineStr">
        <is>
          <t>柴田</t>
        </is>
      </c>
      <c r="Y185" s="10" t="inlineStr">
        <is>
          <t>大川内</t>
        </is>
      </c>
      <c r="Z185" s="10" t="inlineStr">
        <is>
          <t>安村</t>
        </is>
      </c>
      <c r="AA185" s="10" t="inlineStr">
        <is>
          <t>植山</t>
        </is>
      </c>
      <c r="AB185" s="10" t="inlineStr">
        <is>
          <t>丸田</t>
        </is>
      </c>
      <c r="AC185" s="10" t="inlineStr">
        <is>
          <t>横田</t>
        </is>
      </c>
      <c r="AD185" s="10" t="inlineStr">
        <is>
          <t>栗下</t>
        </is>
      </c>
      <c r="AE185" s="10" t="inlineStr">
        <is>
          <t>矢田</t>
        </is>
      </c>
      <c r="AF185" s="10" t="inlineStr">
        <is>
          <t>岩田</t>
        </is>
      </c>
      <c r="AG185" s="10" t="inlineStr">
        <is>
          <t>中村</t>
        </is>
      </c>
      <c r="AH185" s="10" t="inlineStr">
        <is>
          <t>欠員①</t>
        </is>
      </c>
      <c r="AI185" s="10" t="inlineStr">
        <is>
          <t>馬場</t>
        </is>
      </c>
      <c r="AJ185" s="10" t="inlineStr">
        <is>
          <t>田中</t>
        </is>
      </c>
      <c r="AK185" s="10" t="inlineStr">
        <is>
          <t>谷川</t>
        </is>
      </c>
      <c r="AL185" s="10" t="inlineStr">
        <is>
          <t>中嶌</t>
        </is>
      </c>
      <c r="AM185" s="10" t="inlineStr">
        <is>
          <t>野口</t>
        </is>
      </c>
      <c r="AN185" s="10" t="inlineStr">
        <is>
          <t>内野</t>
        </is>
      </c>
      <c r="AO185" s="10" t="inlineStr">
        <is>
          <t>北川</t>
        </is>
      </c>
      <c r="AP185" s="10" t="inlineStr">
        <is>
          <t>山田久</t>
        </is>
      </c>
    </row>
    <row r="186" ht="15" customHeight="1" s="37">
      <c r="A186" t="inlineStr">
        <is>
          <t>2026-11-05</t>
        </is>
      </c>
      <c r="B186" s="10" t="inlineStr">
        <is>
          <t>木</t>
        </is>
      </c>
      <c r="C186" s="10" t="inlineStr">
        <is>
          <t>平日</t>
        </is>
      </c>
      <c r="E186" s="10" t="inlineStr">
        <is>
          <t>富島</t>
        </is>
      </c>
      <c r="F186" s="10" t="inlineStr">
        <is>
          <t>原</t>
        </is>
      </c>
      <c r="G186" s="10" t="inlineStr">
        <is>
          <t>山本幸</t>
        </is>
      </c>
      <c r="H186" s="10" t="inlineStr">
        <is>
          <t>上野</t>
        </is>
      </c>
      <c r="I186" s="10" t="inlineStr">
        <is>
          <t>内野</t>
        </is>
      </c>
      <c r="J186" s="10" t="inlineStr">
        <is>
          <t>欠員②</t>
        </is>
      </c>
      <c r="K186" s="10" t="inlineStr">
        <is>
          <t>岩田</t>
        </is>
      </c>
      <c r="L186" s="10" t="inlineStr">
        <is>
          <t>市田</t>
        </is>
      </c>
      <c r="M186" s="10" t="inlineStr">
        <is>
          <t>横田</t>
        </is>
      </c>
      <c r="N186" s="10" t="inlineStr">
        <is>
          <t>横山</t>
        </is>
      </c>
      <c r="O186" s="10" t="inlineStr">
        <is>
          <t>柴田</t>
        </is>
      </c>
      <c r="P186" s="10" t="inlineStr">
        <is>
          <t>谷川</t>
        </is>
      </c>
      <c r="Q186" s="10" t="inlineStr">
        <is>
          <t>山田真</t>
        </is>
      </c>
      <c r="R186" s="10" t="inlineStr">
        <is>
          <t>植山</t>
        </is>
      </c>
      <c r="S186" s="10" t="inlineStr">
        <is>
          <t>中嶌</t>
        </is>
      </c>
      <c r="T186" s="10" t="inlineStr">
        <is>
          <t>門谷</t>
        </is>
      </c>
      <c r="U186" s="10" t="inlineStr">
        <is>
          <t>山田久</t>
        </is>
      </c>
      <c r="V186" s="10" t="inlineStr">
        <is>
          <t>欠員①</t>
        </is>
      </c>
      <c r="W186" s="10" t="inlineStr">
        <is>
          <t>矢田</t>
        </is>
      </c>
      <c r="X186" s="10" t="inlineStr">
        <is>
          <t>藤原</t>
        </is>
      </c>
      <c r="Y186" s="10" t="inlineStr">
        <is>
          <t>田中</t>
        </is>
      </c>
      <c r="Z186" s="10" t="inlineStr">
        <is>
          <t>丸田</t>
        </is>
      </c>
      <c r="AA186" s="10" t="inlineStr">
        <is>
          <t>野口</t>
        </is>
      </c>
      <c r="AB186" s="10" t="inlineStr">
        <is>
          <t>中山</t>
        </is>
      </c>
      <c r="AC186" s="10" t="inlineStr">
        <is>
          <t>北川</t>
        </is>
      </c>
      <c r="AD186" s="10" t="inlineStr">
        <is>
          <t>西村</t>
        </is>
      </c>
      <c r="AE186" s="10" t="inlineStr">
        <is>
          <t>佐野</t>
        </is>
      </c>
      <c r="AF186" s="10" t="inlineStr">
        <is>
          <t>上田</t>
        </is>
      </c>
      <c r="AG186" s="10" t="inlineStr">
        <is>
          <t>岡本</t>
        </is>
      </c>
      <c r="AH186" s="10" t="inlineStr">
        <is>
          <t>山本高</t>
        </is>
      </c>
      <c r="AI186" s="10" t="inlineStr">
        <is>
          <t>尾川</t>
        </is>
      </c>
      <c r="AJ186" s="10" t="inlineStr">
        <is>
          <t>井川</t>
        </is>
      </c>
      <c r="AK186" s="10" t="inlineStr">
        <is>
          <t>馬場</t>
        </is>
      </c>
      <c r="AL186" s="10" t="inlineStr">
        <is>
          <t>大川内</t>
        </is>
      </c>
      <c r="AM186" s="10" t="inlineStr">
        <is>
          <t>栗下</t>
        </is>
      </c>
      <c r="AN186" s="10" t="inlineStr">
        <is>
          <t>中村</t>
        </is>
      </c>
      <c r="AO186" s="10" t="inlineStr">
        <is>
          <t>河野</t>
        </is>
      </c>
      <c r="AP186" s="10" t="inlineStr">
        <is>
          <t>安村</t>
        </is>
      </c>
    </row>
    <row r="187" ht="15" customHeight="1" s="37">
      <c r="A187" t="inlineStr">
        <is>
          <t>2026-11-06</t>
        </is>
      </c>
      <c r="B187" s="10" t="inlineStr">
        <is>
          <t>金</t>
        </is>
      </c>
      <c r="C187" s="10" t="inlineStr">
        <is>
          <t>平日</t>
        </is>
      </c>
      <c r="E187" s="10" t="inlineStr">
        <is>
          <t>中嶌</t>
        </is>
      </c>
      <c r="F187" s="10" t="inlineStr">
        <is>
          <t>横田</t>
        </is>
      </c>
      <c r="G187" s="10" t="inlineStr">
        <is>
          <t>欠員①</t>
        </is>
      </c>
      <c r="H187" s="10" t="inlineStr">
        <is>
          <t>柴田</t>
        </is>
      </c>
      <c r="I187" s="10" t="inlineStr">
        <is>
          <t>中村</t>
        </is>
      </c>
      <c r="J187" s="10" t="inlineStr">
        <is>
          <t>矢田</t>
        </is>
      </c>
      <c r="K187" s="10" t="inlineStr">
        <is>
          <t>上田</t>
        </is>
      </c>
      <c r="L187" s="10" t="inlineStr">
        <is>
          <t>谷川</t>
        </is>
      </c>
      <c r="M187" s="10" t="inlineStr">
        <is>
          <t>北川</t>
        </is>
      </c>
      <c r="N187" s="10" t="inlineStr">
        <is>
          <t>植山</t>
        </is>
      </c>
      <c r="O187" s="10" t="inlineStr">
        <is>
          <t>藤原</t>
        </is>
      </c>
      <c r="P187" s="10" t="inlineStr">
        <is>
          <t>馬場</t>
        </is>
      </c>
      <c r="Q187" s="10" t="inlineStr">
        <is>
          <t>市田</t>
        </is>
      </c>
      <c r="R187" s="10" t="inlineStr">
        <is>
          <t>野口</t>
        </is>
      </c>
      <c r="S187" s="10" t="inlineStr">
        <is>
          <t>大川内</t>
        </is>
      </c>
      <c r="T187" s="10" t="inlineStr">
        <is>
          <t>山田久</t>
        </is>
      </c>
      <c r="U187" s="10" t="inlineStr">
        <is>
          <t>安村</t>
        </is>
      </c>
      <c r="V187" s="10" t="inlineStr">
        <is>
          <t>山本高</t>
        </is>
      </c>
      <c r="W187" s="10" t="inlineStr">
        <is>
          <t>佐野</t>
        </is>
      </c>
      <c r="X187" s="10" t="inlineStr">
        <is>
          <t>岩田</t>
        </is>
      </c>
      <c r="Y187" s="10" t="inlineStr">
        <is>
          <t>井川</t>
        </is>
      </c>
      <c r="Z187" s="10" t="inlineStr">
        <is>
          <t>中山</t>
        </is>
      </c>
      <c r="AA187" s="10" t="inlineStr">
        <is>
          <t>栗下</t>
        </is>
      </c>
      <c r="AB187" s="10" t="inlineStr">
        <is>
          <t>欠員②</t>
        </is>
      </c>
      <c r="AC187" s="10" t="inlineStr">
        <is>
          <t>河野</t>
        </is>
      </c>
      <c r="AD187" s="10" t="inlineStr">
        <is>
          <t>山本幸</t>
        </is>
      </c>
      <c r="AE187" s="10" t="inlineStr">
        <is>
          <t>上野</t>
        </is>
      </c>
      <c r="AF187" s="10" t="inlineStr">
        <is>
          <t>原</t>
        </is>
      </c>
      <c r="AG187" s="10" t="inlineStr">
        <is>
          <t>横山</t>
        </is>
      </c>
      <c r="AH187" s="10" t="inlineStr">
        <is>
          <t>山田真</t>
        </is>
      </c>
      <c r="AI187" s="10" t="inlineStr">
        <is>
          <t>門谷</t>
        </is>
      </c>
      <c r="AJ187" s="10" t="inlineStr">
        <is>
          <t>内野</t>
        </is>
      </c>
      <c r="AK187" s="10" t="inlineStr">
        <is>
          <t>尾川</t>
        </is>
      </c>
      <c r="AL187" s="10" t="inlineStr">
        <is>
          <t>田中</t>
        </is>
      </c>
      <c r="AM187" s="10" t="inlineStr">
        <is>
          <t>西村</t>
        </is>
      </c>
      <c r="AN187" s="10" t="inlineStr">
        <is>
          <t>岡本</t>
        </is>
      </c>
      <c r="AO187" s="10" t="inlineStr">
        <is>
          <t>富島</t>
        </is>
      </c>
      <c r="AP187" s="10" t="inlineStr">
        <is>
          <t>丸田</t>
        </is>
      </c>
    </row>
    <row r="188" ht="15" customHeight="1" s="37">
      <c r="A188" t="inlineStr">
        <is>
          <t>2026-11-07</t>
        </is>
      </c>
      <c r="B188" s="10" t="inlineStr">
        <is>
          <t>土</t>
        </is>
      </c>
      <c r="C188" s="10" t="inlineStr">
        <is>
          <t>休日</t>
        </is>
      </c>
      <c r="E188" s="10" t="inlineStr">
        <is>
          <t>大川内</t>
        </is>
      </c>
      <c r="F188" s="10" t="inlineStr">
        <is>
          <t>北川</t>
        </is>
      </c>
      <c r="G188" s="10" t="inlineStr">
        <is>
          <t>山本高</t>
        </is>
      </c>
      <c r="H188" s="10" t="inlineStr">
        <is>
          <t>藤原</t>
        </is>
      </c>
      <c r="I188" s="10" t="inlineStr">
        <is>
          <t>岡本</t>
        </is>
      </c>
      <c r="J188" s="10" t="inlineStr">
        <is>
          <t>佐野</t>
        </is>
      </c>
      <c r="K188" s="10" t="inlineStr">
        <is>
          <t>原</t>
        </is>
      </c>
      <c r="L188" s="10" t="inlineStr">
        <is>
          <t>馬場</t>
        </is>
      </c>
      <c r="M188" s="10" t="inlineStr">
        <is>
          <t>河野</t>
        </is>
      </c>
      <c r="N188" s="10" t="inlineStr">
        <is>
          <t>野口</t>
        </is>
      </c>
      <c r="O188" s="10" t="inlineStr">
        <is>
          <t>岩田</t>
        </is>
      </c>
      <c r="P188" s="10" t="inlineStr">
        <is>
          <t>尾川</t>
        </is>
      </c>
      <c r="Q188" s="10" t="inlineStr">
        <is>
          <t>谷川</t>
        </is>
      </c>
      <c r="R188" s="10" t="inlineStr">
        <is>
          <t>栗下</t>
        </is>
      </c>
      <c r="S188" s="10" t="inlineStr">
        <is>
          <t>田中</t>
        </is>
      </c>
      <c r="T188" s="10" t="inlineStr">
        <is>
          <t>安村</t>
        </is>
      </c>
      <c r="U188" s="10" t="inlineStr">
        <is>
          <t>丸田</t>
        </is>
      </c>
      <c r="V188" s="10" t="inlineStr">
        <is>
          <t>山田真</t>
        </is>
      </c>
      <c r="W188" s="10" t="inlineStr">
        <is>
          <t>上野</t>
        </is>
      </c>
      <c r="X188" s="10" t="inlineStr">
        <is>
          <t>上田</t>
        </is>
      </c>
      <c r="Y188" s="10" t="inlineStr">
        <is>
          <t>内野</t>
        </is>
      </c>
      <c r="Z188" s="10" t="inlineStr">
        <is>
          <t>欠員②</t>
        </is>
      </c>
      <c r="AA188" s="10" t="inlineStr">
        <is>
          <t>西村</t>
        </is>
      </c>
      <c r="AB188" s="10" t="inlineStr">
        <is>
          <t>矢田</t>
        </is>
      </c>
      <c r="AC188" s="10" t="inlineStr">
        <is>
          <t>富島</t>
        </is>
      </c>
      <c r="AD188" s="10" t="inlineStr">
        <is>
          <t>欠員①</t>
        </is>
      </c>
      <c r="AE188" s="10" t="inlineStr">
        <is>
          <t>柴田</t>
        </is>
      </c>
      <c r="AF188" s="10" t="inlineStr">
        <is>
          <t>横田</t>
        </is>
      </c>
      <c r="AG188" s="10" t="inlineStr">
        <is>
          <t>植山</t>
        </is>
      </c>
      <c r="AH188" s="10" t="inlineStr">
        <is>
          <t>市田</t>
        </is>
      </c>
      <c r="AI188" s="10" t="inlineStr">
        <is>
          <t>山田久</t>
        </is>
      </c>
      <c r="AJ188" s="10" t="inlineStr">
        <is>
          <t>中村</t>
        </is>
      </c>
      <c r="AK188" s="10" t="inlineStr">
        <is>
          <t>門谷</t>
        </is>
      </c>
      <c r="AL188" s="10" t="inlineStr">
        <is>
          <t>井川</t>
        </is>
      </c>
      <c r="AM188" s="10" t="inlineStr">
        <is>
          <t>山本幸</t>
        </is>
      </c>
      <c r="AN188" s="10" t="inlineStr">
        <is>
          <t>横山</t>
        </is>
      </c>
      <c r="AO188" s="10" t="inlineStr">
        <is>
          <t>中嶌</t>
        </is>
      </c>
      <c r="AP188" s="10" t="inlineStr">
        <is>
          <t>中山</t>
        </is>
      </c>
    </row>
    <row r="189" ht="15" customHeight="1" s="37">
      <c r="A189" t="inlineStr">
        <is>
          <t>2026-11-08</t>
        </is>
      </c>
      <c r="B189" s="10" t="inlineStr">
        <is>
          <t>日</t>
        </is>
      </c>
      <c r="C189" s="10" t="inlineStr">
        <is>
          <t>休日</t>
        </is>
      </c>
      <c r="E189" s="10" t="inlineStr">
        <is>
          <t>田中</t>
        </is>
      </c>
      <c r="F189" s="10" t="inlineStr">
        <is>
          <t>河野</t>
        </is>
      </c>
      <c r="G189" s="10" t="inlineStr">
        <is>
          <t>山田真</t>
        </is>
      </c>
      <c r="H189" s="10" t="inlineStr">
        <is>
          <t>岩田</t>
        </is>
      </c>
      <c r="I189" s="10" t="inlineStr">
        <is>
          <t>横山</t>
        </is>
      </c>
      <c r="J189" s="10" t="inlineStr">
        <is>
          <t>上野</t>
        </is>
      </c>
      <c r="K189" s="10" t="inlineStr">
        <is>
          <t>横田</t>
        </is>
      </c>
      <c r="L189" s="10" t="inlineStr">
        <is>
          <t>尾川</t>
        </is>
      </c>
      <c r="M189" s="10" t="inlineStr">
        <is>
          <t>富島</t>
        </is>
      </c>
      <c r="N189" s="10" t="inlineStr">
        <is>
          <t>栗下</t>
        </is>
      </c>
      <c r="O189" s="10" t="inlineStr">
        <is>
          <t>上田</t>
        </is>
      </c>
      <c r="P189" s="10" t="inlineStr">
        <is>
          <t>門谷</t>
        </is>
      </c>
      <c r="Q189" s="10" t="inlineStr">
        <is>
          <t>馬場</t>
        </is>
      </c>
      <c r="R189" s="10" t="inlineStr">
        <is>
          <t>西村</t>
        </is>
      </c>
      <c r="S189" s="10" t="inlineStr">
        <is>
          <t>井川</t>
        </is>
      </c>
      <c r="T189" s="10" t="inlineStr">
        <is>
          <t>丸田</t>
        </is>
      </c>
      <c r="U189" s="10" t="inlineStr">
        <is>
          <t>中山</t>
        </is>
      </c>
      <c r="V189" s="10" t="inlineStr">
        <is>
          <t>市田</t>
        </is>
      </c>
      <c r="W189" s="10" t="inlineStr">
        <is>
          <t>柴田</t>
        </is>
      </c>
      <c r="X189" s="10" t="inlineStr">
        <is>
          <t>原</t>
        </is>
      </c>
      <c r="Y189" s="10" t="inlineStr">
        <is>
          <t>中村</t>
        </is>
      </c>
      <c r="Z189" s="10" t="inlineStr">
        <is>
          <t>矢田</t>
        </is>
      </c>
      <c r="AA189" s="10" t="inlineStr">
        <is>
          <t>山本幸</t>
        </is>
      </c>
      <c r="AB189" s="10" t="inlineStr">
        <is>
          <t>佐野</t>
        </is>
      </c>
      <c r="AC189" s="10" t="inlineStr">
        <is>
          <t>中嶌</t>
        </is>
      </c>
      <c r="AD189" s="10" t="inlineStr">
        <is>
          <t>山本高</t>
        </is>
      </c>
      <c r="AE189" s="10" t="inlineStr">
        <is>
          <t>藤原</t>
        </is>
      </c>
      <c r="AF189" s="10" t="inlineStr">
        <is>
          <t>北川</t>
        </is>
      </c>
      <c r="AG189" s="10" t="inlineStr">
        <is>
          <t>野口</t>
        </is>
      </c>
      <c r="AH189" s="10" t="inlineStr">
        <is>
          <t>谷川</t>
        </is>
      </c>
      <c r="AI189" s="10" t="inlineStr">
        <is>
          <t>安村</t>
        </is>
      </c>
      <c r="AJ189" s="10" t="inlineStr">
        <is>
          <t>岡本</t>
        </is>
      </c>
      <c r="AK189" s="10" t="inlineStr">
        <is>
          <t>山田久</t>
        </is>
      </c>
      <c r="AL189" s="10" t="inlineStr">
        <is>
          <t>内野</t>
        </is>
      </c>
      <c r="AM189" s="10" t="inlineStr">
        <is>
          <t>欠員①</t>
        </is>
      </c>
      <c r="AN189" s="10" t="inlineStr">
        <is>
          <t>植山</t>
        </is>
      </c>
      <c r="AO189" s="10" t="inlineStr">
        <is>
          <t>大川内</t>
        </is>
      </c>
      <c r="AP189" s="10" t="inlineStr">
        <is>
          <t>欠員②</t>
        </is>
      </c>
    </row>
    <row r="190" ht="15" customHeight="1" s="37">
      <c r="A190" t="inlineStr">
        <is>
          <t>2026-11-09</t>
        </is>
      </c>
      <c r="B190" s="10" t="inlineStr">
        <is>
          <t>月</t>
        </is>
      </c>
      <c r="C190" s="10" t="inlineStr">
        <is>
          <t>平日</t>
        </is>
      </c>
      <c r="E190" s="10" t="inlineStr">
        <is>
          <t>井川</t>
        </is>
      </c>
      <c r="F190" s="10" t="inlineStr">
        <is>
          <t>富島</t>
        </is>
      </c>
      <c r="G190" s="10" t="inlineStr">
        <is>
          <t>市田</t>
        </is>
      </c>
      <c r="H190" s="10" t="inlineStr">
        <is>
          <t>上田</t>
        </is>
      </c>
      <c r="I190" s="10" t="inlineStr">
        <is>
          <t>植山</t>
        </is>
      </c>
      <c r="J190" s="10" t="inlineStr">
        <is>
          <t>柴田</t>
        </is>
      </c>
      <c r="K190" s="10" t="inlineStr">
        <is>
          <t>北川</t>
        </is>
      </c>
      <c r="L190" s="10" t="inlineStr">
        <is>
          <t>門谷</t>
        </is>
      </c>
      <c r="M190" s="10" t="inlineStr">
        <is>
          <t>中嶌</t>
        </is>
      </c>
      <c r="N190" s="10" t="inlineStr">
        <is>
          <t>西村</t>
        </is>
      </c>
      <c r="O190" s="10" t="inlineStr">
        <is>
          <t>原</t>
        </is>
      </c>
      <c r="P190" s="10" t="inlineStr">
        <is>
          <t>山田久</t>
        </is>
      </c>
      <c r="Q190" s="10" t="inlineStr">
        <is>
          <t>尾川</t>
        </is>
      </c>
      <c r="R190" s="10" t="inlineStr">
        <is>
          <t>山本幸</t>
        </is>
      </c>
      <c r="S190" s="10" t="inlineStr">
        <is>
          <t>内野</t>
        </is>
      </c>
      <c r="T190" s="10" t="inlineStr">
        <is>
          <t>中山</t>
        </is>
      </c>
      <c r="U190" s="10" t="inlineStr">
        <is>
          <t>欠員②</t>
        </is>
      </c>
      <c r="V190" s="10" t="inlineStr">
        <is>
          <t>谷川</t>
        </is>
      </c>
      <c r="W190" s="10" t="inlineStr">
        <is>
          <t>藤原</t>
        </is>
      </c>
      <c r="X190" s="10" t="inlineStr">
        <is>
          <t>横田</t>
        </is>
      </c>
      <c r="Y190" s="10" t="inlineStr">
        <is>
          <t>岡本</t>
        </is>
      </c>
      <c r="Z190" s="10" t="inlineStr">
        <is>
          <t>佐野</t>
        </is>
      </c>
      <c r="AA190" s="10" t="inlineStr">
        <is>
          <t>欠員①</t>
        </is>
      </c>
      <c r="AB190" s="10" t="inlineStr">
        <is>
          <t>上野</t>
        </is>
      </c>
      <c r="AC190" s="10" t="inlineStr">
        <is>
          <t>大川内</t>
        </is>
      </c>
      <c r="AD190" s="10" t="inlineStr">
        <is>
          <t>山田真</t>
        </is>
      </c>
      <c r="AE190" s="10" t="inlineStr">
        <is>
          <t>岩田</t>
        </is>
      </c>
      <c r="AF190" s="10" t="inlineStr">
        <is>
          <t>河野</t>
        </is>
      </c>
      <c r="AG190" s="10" t="inlineStr">
        <is>
          <t>栗下</t>
        </is>
      </c>
      <c r="AH190" s="10" t="inlineStr">
        <is>
          <t>馬場</t>
        </is>
      </c>
      <c r="AI190" s="10" t="inlineStr">
        <is>
          <t>丸田</t>
        </is>
      </c>
      <c r="AJ190" s="10" t="inlineStr">
        <is>
          <t>横山</t>
        </is>
      </c>
      <c r="AK190" s="10" t="inlineStr">
        <is>
          <t>安村</t>
        </is>
      </c>
      <c r="AL190" s="10" t="inlineStr">
        <is>
          <t>中村</t>
        </is>
      </c>
      <c r="AM190" s="10" t="inlineStr">
        <is>
          <t>山本高</t>
        </is>
      </c>
      <c r="AN190" s="10" t="inlineStr">
        <is>
          <t>野口</t>
        </is>
      </c>
      <c r="AO190" s="10" t="inlineStr">
        <is>
          <t>田中</t>
        </is>
      </c>
      <c r="AP190" s="10" t="inlineStr">
        <is>
          <t>矢田</t>
        </is>
      </c>
    </row>
    <row r="191" ht="15" customHeight="1" s="37">
      <c r="A191" t="inlineStr">
        <is>
          <t>2026-11-10</t>
        </is>
      </c>
      <c r="B191" s="10" t="inlineStr">
        <is>
          <t>火</t>
        </is>
      </c>
      <c r="C191" s="10" t="inlineStr">
        <is>
          <t>平日</t>
        </is>
      </c>
      <c r="E191" s="10" t="inlineStr">
        <is>
          <t>内野</t>
        </is>
      </c>
      <c r="F191" s="10" t="inlineStr">
        <is>
          <t>中嶌</t>
        </is>
      </c>
      <c r="G191" s="10" t="inlineStr">
        <is>
          <t>谷川</t>
        </is>
      </c>
      <c r="H191" s="10" t="inlineStr">
        <is>
          <t>原</t>
        </is>
      </c>
      <c r="I191" s="10" t="inlineStr">
        <is>
          <t>野口</t>
        </is>
      </c>
      <c r="J191" s="10" t="inlineStr">
        <is>
          <t>藤原</t>
        </is>
      </c>
      <c r="K191" s="10" t="inlineStr">
        <is>
          <t>河野</t>
        </is>
      </c>
      <c r="L191" s="10" t="inlineStr">
        <is>
          <t>山田久</t>
        </is>
      </c>
      <c r="M191" s="10" t="inlineStr">
        <is>
          <t>大川内</t>
        </is>
      </c>
      <c r="N191" s="10" t="inlineStr">
        <is>
          <t>山本幸</t>
        </is>
      </c>
      <c r="O191" s="10" t="inlineStr">
        <is>
          <t>横田</t>
        </is>
      </c>
      <c r="P191" s="10" t="inlineStr">
        <is>
          <t>安村</t>
        </is>
      </c>
      <c r="Q191" s="10" t="inlineStr">
        <is>
          <t>門谷</t>
        </is>
      </c>
      <c r="R191" s="10" t="inlineStr">
        <is>
          <t>欠員①</t>
        </is>
      </c>
      <c r="S191" s="10" t="inlineStr">
        <is>
          <t>中村</t>
        </is>
      </c>
      <c r="T191" s="10" t="inlineStr">
        <is>
          <t>欠員②</t>
        </is>
      </c>
      <c r="U191" s="10" t="inlineStr">
        <is>
          <t>矢田</t>
        </is>
      </c>
      <c r="V191" s="10" t="inlineStr">
        <is>
          <t>馬場</t>
        </is>
      </c>
      <c r="W191" s="10" t="inlineStr">
        <is>
          <t>岩田</t>
        </is>
      </c>
      <c r="X191" s="10" t="inlineStr">
        <is>
          <t>北川</t>
        </is>
      </c>
      <c r="Y191" s="10" t="inlineStr">
        <is>
          <t>横山</t>
        </is>
      </c>
      <c r="Z191" s="10" t="inlineStr">
        <is>
          <t>上野</t>
        </is>
      </c>
      <c r="AA191" s="10" t="inlineStr">
        <is>
          <t>山本高</t>
        </is>
      </c>
      <c r="AB191" s="10" t="inlineStr">
        <is>
          <t>柴田</t>
        </is>
      </c>
      <c r="AC191" s="10" t="inlineStr">
        <is>
          <t>田中</t>
        </is>
      </c>
      <c r="AD191" s="10" t="inlineStr">
        <is>
          <t>市田</t>
        </is>
      </c>
      <c r="AE191" s="10" t="inlineStr">
        <is>
          <t>上田</t>
        </is>
      </c>
      <c r="AF191" s="10" t="inlineStr">
        <is>
          <t>富島</t>
        </is>
      </c>
      <c r="AG191" s="10" t="inlineStr">
        <is>
          <t>西村</t>
        </is>
      </c>
      <c r="AH191" s="10" t="inlineStr">
        <is>
          <t>尾川</t>
        </is>
      </c>
      <c r="AI191" s="10" t="inlineStr">
        <is>
          <t>中山</t>
        </is>
      </c>
      <c r="AJ191" s="10" t="inlineStr">
        <is>
          <t>植山</t>
        </is>
      </c>
      <c r="AK191" s="10" t="inlineStr">
        <is>
          <t>丸田</t>
        </is>
      </c>
      <c r="AL191" s="10" t="inlineStr">
        <is>
          <t>岡本</t>
        </is>
      </c>
      <c r="AM191" s="10" t="inlineStr">
        <is>
          <t>山田真</t>
        </is>
      </c>
      <c r="AN191" s="10" t="inlineStr">
        <is>
          <t>栗下</t>
        </is>
      </c>
      <c r="AO191" s="10" t="inlineStr">
        <is>
          <t>井川</t>
        </is>
      </c>
      <c r="AP191" s="10" t="inlineStr">
        <is>
          <t>佐野</t>
        </is>
      </c>
    </row>
    <row r="192" ht="15" customHeight="1" s="37">
      <c r="A192" t="inlineStr">
        <is>
          <t>2026-11-11</t>
        </is>
      </c>
      <c r="B192" s="10" t="inlineStr">
        <is>
          <t>水</t>
        </is>
      </c>
      <c r="C192" s="10" t="inlineStr">
        <is>
          <t>平日</t>
        </is>
      </c>
      <c r="E192" s="10" t="inlineStr">
        <is>
          <t>中村</t>
        </is>
      </c>
      <c r="F192" s="10" t="inlineStr">
        <is>
          <t>大川内</t>
        </is>
      </c>
      <c r="G192" s="10" t="inlineStr">
        <is>
          <t>馬場</t>
        </is>
      </c>
      <c r="H192" s="10" t="inlineStr">
        <is>
          <t>横田</t>
        </is>
      </c>
      <c r="I192" s="10" t="inlineStr">
        <is>
          <t>栗下</t>
        </is>
      </c>
      <c r="J192" s="10" t="inlineStr">
        <is>
          <t>岩田</t>
        </is>
      </c>
      <c r="K192" s="10" t="inlineStr">
        <is>
          <t>富島</t>
        </is>
      </c>
      <c r="L192" s="10" t="inlineStr">
        <is>
          <t>安村</t>
        </is>
      </c>
      <c r="M192" s="10" t="inlineStr">
        <is>
          <t>田中</t>
        </is>
      </c>
      <c r="N192" s="10" t="inlineStr">
        <is>
          <t>欠員①</t>
        </is>
      </c>
      <c r="O192" s="10" t="inlineStr">
        <is>
          <t>北川</t>
        </is>
      </c>
      <c r="P192" s="10" t="inlineStr">
        <is>
          <t>丸田</t>
        </is>
      </c>
      <c r="Q192" s="10" t="inlineStr">
        <is>
          <t>山田久</t>
        </is>
      </c>
      <c r="R192" s="10" t="inlineStr">
        <is>
          <t>山本高</t>
        </is>
      </c>
      <c r="S192" s="10" t="inlineStr">
        <is>
          <t>岡本</t>
        </is>
      </c>
      <c r="T192" s="10" t="inlineStr">
        <is>
          <t>矢田</t>
        </is>
      </c>
      <c r="U192" s="10" t="inlineStr">
        <is>
          <t>佐野</t>
        </is>
      </c>
      <c r="V192" s="10" t="inlineStr">
        <is>
          <t>尾川</t>
        </is>
      </c>
      <c r="W192" s="10" t="inlineStr">
        <is>
          <t>上田</t>
        </is>
      </c>
      <c r="X192" s="10" t="inlineStr">
        <is>
          <t>河野</t>
        </is>
      </c>
      <c r="Y192" s="10" t="inlineStr">
        <is>
          <t>植山</t>
        </is>
      </c>
      <c r="Z192" s="10" t="inlineStr">
        <is>
          <t>柴田</t>
        </is>
      </c>
      <c r="AA192" s="10" t="inlineStr">
        <is>
          <t>山田真</t>
        </is>
      </c>
      <c r="AB192" s="10" t="inlineStr">
        <is>
          <t>藤原</t>
        </is>
      </c>
      <c r="AC192" s="10" t="inlineStr">
        <is>
          <t>井川</t>
        </is>
      </c>
      <c r="AD192" s="10" t="inlineStr">
        <is>
          <t>谷川</t>
        </is>
      </c>
      <c r="AE192" s="10" t="inlineStr">
        <is>
          <t>原</t>
        </is>
      </c>
      <c r="AF192" s="10" t="inlineStr">
        <is>
          <t>中嶌</t>
        </is>
      </c>
      <c r="AG192" s="10" t="inlineStr">
        <is>
          <t>山本幸</t>
        </is>
      </c>
      <c r="AH192" s="10" t="inlineStr">
        <is>
          <t>門谷</t>
        </is>
      </c>
      <c r="AI192" s="10" t="inlineStr">
        <is>
          <t>欠員②</t>
        </is>
      </c>
      <c r="AJ192" s="10" t="inlineStr">
        <is>
          <t>野口</t>
        </is>
      </c>
      <c r="AK192" s="10" t="inlineStr">
        <is>
          <t>中山</t>
        </is>
      </c>
      <c r="AL192" s="10" t="inlineStr">
        <is>
          <t>横山</t>
        </is>
      </c>
      <c r="AM192" s="10" t="inlineStr">
        <is>
          <t>市田</t>
        </is>
      </c>
      <c r="AN192" s="10" t="inlineStr">
        <is>
          <t>西村</t>
        </is>
      </c>
      <c r="AO192" s="10" t="inlineStr">
        <is>
          <t>内野</t>
        </is>
      </c>
      <c r="AP192" s="10" t="inlineStr">
        <is>
          <t>上野</t>
        </is>
      </c>
    </row>
    <row r="193" ht="15" customHeight="1" s="37">
      <c r="A193" t="inlineStr">
        <is>
          <t>2026-11-12</t>
        </is>
      </c>
      <c r="B193" s="10" t="inlineStr">
        <is>
          <t>木</t>
        </is>
      </c>
      <c r="C193" s="10" t="inlineStr">
        <is>
          <t>平日</t>
        </is>
      </c>
      <c r="E193" s="10" t="inlineStr">
        <is>
          <t>岡本</t>
        </is>
      </c>
      <c r="F193" s="10" t="inlineStr">
        <is>
          <t>田中</t>
        </is>
      </c>
      <c r="G193" s="10" t="inlineStr">
        <is>
          <t>尾川</t>
        </is>
      </c>
      <c r="H193" s="10" t="inlineStr">
        <is>
          <t>北川</t>
        </is>
      </c>
      <c r="I193" s="10" t="inlineStr">
        <is>
          <t>西村</t>
        </is>
      </c>
      <c r="J193" s="10" t="inlineStr">
        <is>
          <t>上田</t>
        </is>
      </c>
      <c r="K193" s="10" t="inlineStr">
        <is>
          <t>中嶌</t>
        </is>
      </c>
      <c r="L193" s="10" t="inlineStr">
        <is>
          <t>丸田</t>
        </is>
      </c>
      <c r="M193" s="10" t="inlineStr">
        <is>
          <t>井川</t>
        </is>
      </c>
      <c r="N193" s="10" t="inlineStr">
        <is>
          <t>山本高</t>
        </is>
      </c>
      <c r="O193" s="10" t="inlineStr">
        <is>
          <t>河野</t>
        </is>
      </c>
      <c r="P193" s="10" t="inlineStr">
        <is>
          <t>中山</t>
        </is>
      </c>
      <c r="Q193" s="10" t="inlineStr">
        <is>
          <t>安村</t>
        </is>
      </c>
      <c r="R193" s="10" t="inlineStr">
        <is>
          <t>山田真</t>
        </is>
      </c>
      <c r="S193" s="10" t="inlineStr">
        <is>
          <t>横山</t>
        </is>
      </c>
      <c r="T193" s="10" t="inlineStr">
        <is>
          <t>佐野</t>
        </is>
      </c>
      <c r="U193" s="10" t="inlineStr">
        <is>
          <t>上野</t>
        </is>
      </c>
      <c r="V193" s="10" t="inlineStr">
        <is>
          <t>門谷</t>
        </is>
      </c>
      <c r="W193" s="10" t="inlineStr">
        <is>
          <t>原</t>
        </is>
      </c>
      <c r="X193" s="10" t="inlineStr">
        <is>
          <t>富島</t>
        </is>
      </c>
      <c r="Y193" s="10" t="inlineStr">
        <is>
          <t>野口</t>
        </is>
      </c>
      <c r="Z193" s="10" t="inlineStr">
        <is>
          <t>藤原</t>
        </is>
      </c>
      <c r="AA193" s="10" t="inlineStr">
        <is>
          <t>市田</t>
        </is>
      </c>
      <c r="AB193" s="10" t="inlineStr">
        <is>
          <t>岩田</t>
        </is>
      </c>
      <c r="AC193" s="10" t="inlineStr">
        <is>
          <t>内野</t>
        </is>
      </c>
      <c r="AD193" s="10" t="inlineStr">
        <is>
          <t>馬場</t>
        </is>
      </c>
      <c r="AE193" s="10" t="inlineStr">
        <is>
          <t>横田</t>
        </is>
      </c>
      <c r="AF193" s="10" t="inlineStr">
        <is>
          <t>大川内</t>
        </is>
      </c>
      <c r="AG193" s="10" t="inlineStr">
        <is>
          <t>欠員①</t>
        </is>
      </c>
      <c r="AH193" s="10" t="inlineStr">
        <is>
          <t>山田久</t>
        </is>
      </c>
      <c r="AI193" s="10" t="inlineStr">
        <is>
          <t>矢田</t>
        </is>
      </c>
      <c r="AJ193" s="10" t="inlineStr">
        <is>
          <t>栗下</t>
        </is>
      </c>
      <c r="AK193" s="10" t="inlineStr">
        <is>
          <t>欠員②</t>
        </is>
      </c>
      <c r="AL193" s="10" t="inlineStr">
        <is>
          <t>植山</t>
        </is>
      </c>
      <c r="AM193" s="10" t="inlineStr">
        <is>
          <t>谷川</t>
        </is>
      </c>
      <c r="AN193" s="10" t="inlineStr">
        <is>
          <t>山本幸</t>
        </is>
      </c>
      <c r="AO193" s="10" t="inlineStr">
        <is>
          <t>中村</t>
        </is>
      </c>
      <c r="AP193" s="10" t="inlineStr">
        <is>
          <t>柴田</t>
        </is>
      </c>
    </row>
    <row r="194" ht="15" customHeight="1" s="37">
      <c r="A194" t="inlineStr">
        <is>
          <t>2026-11-13</t>
        </is>
      </c>
      <c r="B194" s="10" t="inlineStr">
        <is>
          <t>金</t>
        </is>
      </c>
      <c r="C194" s="10" t="inlineStr">
        <is>
          <t>平日</t>
        </is>
      </c>
      <c r="E194" s="10" t="inlineStr">
        <is>
          <t>横山</t>
        </is>
      </c>
      <c r="F194" s="10" t="inlineStr">
        <is>
          <t>井川</t>
        </is>
      </c>
      <c r="G194" s="10" t="inlineStr">
        <is>
          <t>門谷</t>
        </is>
      </c>
      <c r="H194" s="10" t="inlineStr">
        <is>
          <t>河野</t>
        </is>
      </c>
      <c r="I194" s="10" t="inlineStr">
        <is>
          <t>山本幸</t>
        </is>
      </c>
      <c r="J194" s="10" t="inlineStr">
        <is>
          <t>原</t>
        </is>
      </c>
      <c r="K194" s="10" t="inlineStr">
        <is>
          <t>大川内</t>
        </is>
      </c>
      <c r="L194" s="10" t="inlineStr">
        <is>
          <t>中山</t>
        </is>
      </c>
      <c r="M194" s="10" t="inlineStr">
        <is>
          <t>内野</t>
        </is>
      </c>
      <c r="N194" s="10" t="inlineStr">
        <is>
          <t>山田真</t>
        </is>
      </c>
      <c r="O194" s="10" t="inlineStr">
        <is>
          <t>富島</t>
        </is>
      </c>
      <c r="P194" s="10" t="inlineStr">
        <is>
          <t>欠員②</t>
        </is>
      </c>
      <c r="Q194" s="10" t="inlineStr">
        <is>
          <t>丸田</t>
        </is>
      </c>
      <c r="R194" s="10" t="inlineStr">
        <is>
          <t>市田</t>
        </is>
      </c>
      <c r="S194" s="10" t="inlineStr">
        <is>
          <t>植山</t>
        </is>
      </c>
      <c r="T194" s="10" t="inlineStr">
        <is>
          <t>上野</t>
        </is>
      </c>
      <c r="U194" s="10" t="inlineStr">
        <is>
          <t>柴田</t>
        </is>
      </c>
      <c r="V194" s="10" t="inlineStr">
        <is>
          <t>山田久</t>
        </is>
      </c>
      <c r="W194" s="10" t="inlineStr">
        <is>
          <t>横田</t>
        </is>
      </c>
      <c r="X194" s="10" t="inlineStr">
        <is>
          <t>中嶌</t>
        </is>
      </c>
      <c r="Y194" s="10" t="inlineStr">
        <is>
          <t>栗下</t>
        </is>
      </c>
      <c r="Z194" s="10" t="inlineStr">
        <is>
          <t>岩田</t>
        </is>
      </c>
      <c r="AA194" s="10" t="inlineStr">
        <is>
          <t>谷川</t>
        </is>
      </c>
      <c r="AB194" s="10" t="inlineStr">
        <is>
          <t>上田</t>
        </is>
      </c>
      <c r="AC194" s="10" t="inlineStr">
        <is>
          <t>中村</t>
        </is>
      </c>
      <c r="AD194" s="10" t="inlineStr">
        <is>
          <t>尾川</t>
        </is>
      </c>
      <c r="AE194" s="10" t="inlineStr">
        <is>
          <t>北川</t>
        </is>
      </c>
      <c r="AF194" s="10" t="inlineStr">
        <is>
          <t>田中</t>
        </is>
      </c>
      <c r="AG194" s="10" t="inlineStr">
        <is>
          <t>山本高</t>
        </is>
      </c>
      <c r="AH194" s="10" t="inlineStr">
        <is>
          <t>安村</t>
        </is>
      </c>
      <c r="AI194" s="10" t="inlineStr">
        <is>
          <t>佐野</t>
        </is>
      </c>
      <c r="AJ194" s="10" t="inlineStr">
        <is>
          <t>西村</t>
        </is>
      </c>
      <c r="AK194" s="10" t="inlineStr">
        <is>
          <t>矢田</t>
        </is>
      </c>
      <c r="AL194" s="10" t="inlineStr">
        <is>
          <t>野口</t>
        </is>
      </c>
      <c r="AM194" s="10" t="inlineStr">
        <is>
          <t>馬場</t>
        </is>
      </c>
      <c r="AN194" s="10" t="inlineStr">
        <is>
          <t>欠員①</t>
        </is>
      </c>
      <c r="AO194" s="10" t="inlineStr">
        <is>
          <t>岡本</t>
        </is>
      </c>
      <c r="AP194" s="10" t="inlineStr">
        <is>
          <t>藤原</t>
        </is>
      </c>
    </row>
    <row r="195" ht="15" customHeight="1" s="37">
      <c r="A195" t="inlineStr">
        <is>
          <t>2026-11-14</t>
        </is>
      </c>
      <c r="B195" s="10" t="inlineStr">
        <is>
          <t>土</t>
        </is>
      </c>
      <c r="C195" s="10" t="inlineStr">
        <is>
          <t>休日</t>
        </is>
      </c>
      <c r="E195" s="10" t="inlineStr">
        <is>
          <t>植山</t>
        </is>
      </c>
      <c r="F195" s="10" t="inlineStr">
        <is>
          <t>内野</t>
        </is>
      </c>
      <c r="G195" s="10" t="inlineStr">
        <is>
          <t>山田久</t>
        </is>
      </c>
      <c r="H195" s="10" t="inlineStr">
        <is>
          <t>富島</t>
        </is>
      </c>
      <c r="I195" s="10" t="inlineStr">
        <is>
          <t>欠員①</t>
        </is>
      </c>
      <c r="J195" s="10" t="inlineStr">
        <is>
          <t>横田</t>
        </is>
      </c>
      <c r="K195" s="10" t="inlineStr">
        <is>
          <t>田中</t>
        </is>
      </c>
      <c r="L195" s="10" t="inlineStr">
        <is>
          <t>欠員②</t>
        </is>
      </c>
      <c r="M195" s="10" t="inlineStr">
        <is>
          <t>中村</t>
        </is>
      </c>
      <c r="N195" s="10" t="inlineStr">
        <is>
          <t>市田</t>
        </is>
      </c>
      <c r="O195" s="10" t="inlineStr">
        <is>
          <t>中嶌</t>
        </is>
      </c>
      <c r="P195" s="10" t="inlineStr">
        <is>
          <t>矢田</t>
        </is>
      </c>
      <c r="Q195" s="10" t="inlineStr">
        <is>
          <t>中山</t>
        </is>
      </c>
      <c r="R195" s="10" t="inlineStr">
        <is>
          <t>谷川</t>
        </is>
      </c>
      <c r="S195" s="10" t="inlineStr">
        <is>
          <t>野口</t>
        </is>
      </c>
      <c r="T195" s="10" t="inlineStr">
        <is>
          <t>柴田</t>
        </is>
      </c>
      <c r="U195" s="10" t="inlineStr">
        <is>
          <t>藤原</t>
        </is>
      </c>
      <c r="V195" s="10" t="inlineStr">
        <is>
          <t>安村</t>
        </is>
      </c>
      <c r="W195" s="10" t="inlineStr">
        <is>
          <t>北川</t>
        </is>
      </c>
      <c r="X195" s="10" t="inlineStr">
        <is>
          <t>大川内</t>
        </is>
      </c>
      <c r="Y195" s="10" t="inlineStr">
        <is>
          <t>西村</t>
        </is>
      </c>
      <c r="Z195" s="10" t="inlineStr">
        <is>
          <t>上田</t>
        </is>
      </c>
      <c r="AA195" s="10" t="inlineStr">
        <is>
          <t>馬場</t>
        </is>
      </c>
      <c r="AB195" s="10" t="inlineStr">
        <is>
          <t>原</t>
        </is>
      </c>
      <c r="AC195" s="10" t="inlineStr">
        <is>
          <t>岡本</t>
        </is>
      </c>
      <c r="AD195" s="10" t="inlineStr">
        <is>
          <t>門谷</t>
        </is>
      </c>
      <c r="AE195" s="10" t="inlineStr">
        <is>
          <t>河野</t>
        </is>
      </c>
      <c r="AF195" s="10" t="inlineStr">
        <is>
          <t>井川</t>
        </is>
      </c>
      <c r="AG195" s="10" t="inlineStr">
        <is>
          <t>山田真</t>
        </is>
      </c>
      <c r="AH195" s="10" t="inlineStr">
        <is>
          <t>丸田</t>
        </is>
      </c>
      <c r="AI195" s="10" t="inlineStr">
        <is>
          <t>上野</t>
        </is>
      </c>
      <c r="AJ195" s="10" t="inlineStr">
        <is>
          <t>山本幸</t>
        </is>
      </c>
      <c r="AK195" s="10" t="inlineStr">
        <is>
          <t>佐野</t>
        </is>
      </c>
      <c r="AL195" s="10" t="inlineStr">
        <is>
          <t>栗下</t>
        </is>
      </c>
      <c r="AM195" s="10" t="inlineStr">
        <is>
          <t>尾川</t>
        </is>
      </c>
      <c r="AN195" s="10" t="inlineStr">
        <is>
          <t>山本高</t>
        </is>
      </c>
      <c r="AO195" s="10" t="inlineStr">
        <is>
          <t>横山</t>
        </is>
      </c>
      <c r="AP195" s="10" t="inlineStr">
        <is>
          <t>岩田</t>
        </is>
      </c>
    </row>
    <row r="196" ht="15" customHeight="1" s="37">
      <c r="A196" t="inlineStr">
        <is>
          <t>2026-11-15</t>
        </is>
      </c>
      <c r="B196" s="10" t="inlineStr">
        <is>
          <t>日</t>
        </is>
      </c>
      <c r="C196" s="10" t="inlineStr">
        <is>
          <t>休日</t>
        </is>
      </c>
      <c r="E196" s="10" t="inlineStr">
        <is>
          <t>野口</t>
        </is>
      </c>
      <c r="F196" s="10" t="inlineStr">
        <is>
          <t>中村</t>
        </is>
      </c>
      <c r="G196" s="10" t="inlineStr">
        <is>
          <t>安村</t>
        </is>
      </c>
      <c r="H196" s="10" t="inlineStr">
        <is>
          <t>中嶌</t>
        </is>
      </c>
      <c r="I196" s="10" t="inlineStr">
        <is>
          <t>山本高</t>
        </is>
      </c>
      <c r="J196" s="10" t="inlineStr">
        <is>
          <t>北川</t>
        </is>
      </c>
      <c r="K196" s="10" t="inlineStr">
        <is>
          <t>井川</t>
        </is>
      </c>
      <c r="L196" s="10" t="inlineStr">
        <is>
          <t>矢田</t>
        </is>
      </c>
      <c r="M196" s="10" t="inlineStr">
        <is>
          <t>岡本</t>
        </is>
      </c>
      <c r="N196" s="10" t="inlineStr">
        <is>
          <t>谷川</t>
        </is>
      </c>
      <c r="O196" s="10" t="inlineStr">
        <is>
          <t>大川内</t>
        </is>
      </c>
      <c r="P196" s="10" t="inlineStr">
        <is>
          <t>佐野</t>
        </is>
      </c>
      <c r="Q196" s="10" t="inlineStr">
        <is>
          <t>欠員②</t>
        </is>
      </c>
      <c r="R196" s="10" t="inlineStr">
        <is>
          <t>馬場</t>
        </is>
      </c>
      <c r="S196" s="10" t="inlineStr">
        <is>
          <t>栗下</t>
        </is>
      </c>
      <c r="T196" s="10" t="inlineStr">
        <is>
          <t>藤原</t>
        </is>
      </c>
      <c r="U196" s="10" t="inlineStr">
        <is>
          <t>岩田</t>
        </is>
      </c>
      <c r="V196" s="10" t="inlineStr">
        <is>
          <t>丸田</t>
        </is>
      </c>
      <c r="W196" s="10" t="inlineStr">
        <is>
          <t>河野</t>
        </is>
      </c>
      <c r="X196" s="10" t="inlineStr">
        <is>
          <t>田中</t>
        </is>
      </c>
      <c r="Y196" s="10" t="inlineStr">
        <is>
          <t>山本幸</t>
        </is>
      </c>
      <c r="Z196" s="10" t="inlineStr">
        <is>
          <t>原</t>
        </is>
      </c>
      <c r="AA196" s="10" t="inlineStr">
        <is>
          <t>尾川</t>
        </is>
      </c>
      <c r="AB196" s="10" t="inlineStr">
        <is>
          <t>横田</t>
        </is>
      </c>
      <c r="AC196" s="10" t="inlineStr">
        <is>
          <t>横山</t>
        </is>
      </c>
      <c r="AD196" s="10" t="inlineStr">
        <is>
          <t>山田久</t>
        </is>
      </c>
      <c r="AE196" s="10" t="inlineStr">
        <is>
          <t>富島</t>
        </is>
      </c>
      <c r="AF196" s="10" t="inlineStr">
        <is>
          <t>内野</t>
        </is>
      </c>
      <c r="AG196" s="10" t="inlineStr">
        <is>
          <t>市田</t>
        </is>
      </c>
      <c r="AH196" s="10" t="inlineStr">
        <is>
          <t>中山</t>
        </is>
      </c>
      <c r="AI196" s="10" t="inlineStr">
        <is>
          <t>柴田</t>
        </is>
      </c>
      <c r="AJ196" s="10" t="inlineStr">
        <is>
          <t>欠員①</t>
        </is>
      </c>
      <c r="AK196" s="10" t="inlineStr">
        <is>
          <t>上野</t>
        </is>
      </c>
      <c r="AL196" s="10" t="inlineStr">
        <is>
          <t>西村</t>
        </is>
      </c>
      <c r="AM196" s="10" t="inlineStr">
        <is>
          <t>門谷</t>
        </is>
      </c>
      <c r="AN196" s="10" t="inlineStr">
        <is>
          <t>山田真</t>
        </is>
      </c>
      <c r="AO196" s="10" t="inlineStr">
        <is>
          <t>植山</t>
        </is>
      </c>
      <c r="AP196" s="10" t="inlineStr">
        <is>
          <t>上田</t>
        </is>
      </c>
    </row>
    <row r="197" ht="15" customHeight="1" s="37">
      <c r="A197" t="inlineStr">
        <is>
          <t>2026-11-16</t>
        </is>
      </c>
      <c r="B197" s="10" t="inlineStr">
        <is>
          <t>月</t>
        </is>
      </c>
      <c r="C197" s="10" t="inlineStr">
        <is>
          <t>平日</t>
        </is>
      </c>
      <c r="E197" s="10" t="inlineStr">
        <is>
          <t>栗下</t>
        </is>
      </c>
      <c r="F197" s="10" t="inlineStr">
        <is>
          <t>岡本</t>
        </is>
      </c>
      <c r="G197" s="10" t="inlineStr">
        <is>
          <t>丸田</t>
        </is>
      </c>
      <c r="H197" s="10" t="inlineStr">
        <is>
          <t>大川内</t>
        </is>
      </c>
      <c r="I197" s="10" t="inlineStr">
        <is>
          <t>山田真</t>
        </is>
      </c>
      <c r="J197" s="10" t="inlineStr">
        <is>
          <t>河野</t>
        </is>
      </c>
      <c r="K197" s="10" t="inlineStr">
        <is>
          <t>内野</t>
        </is>
      </c>
      <c r="L197" s="10" t="inlineStr">
        <is>
          <t>佐野</t>
        </is>
      </c>
      <c r="M197" s="10" t="inlineStr">
        <is>
          <t>横山</t>
        </is>
      </c>
      <c r="N197" s="10" t="inlineStr">
        <is>
          <t>馬場</t>
        </is>
      </c>
      <c r="O197" s="10" t="inlineStr">
        <is>
          <t>田中</t>
        </is>
      </c>
      <c r="P197" s="10" t="inlineStr">
        <is>
          <t>上野</t>
        </is>
      </c>
      <c r="Q197" s="10" t="inlineStr">
        <is>
          <t>矢田</t>
        </is>
      </c>
      <c r="R197" s="10" t="inlineStr">
        <is>
          <t>尾川</t>
        </is>
      </c>
      <c r="S197" s="10" t="inlineStr">
        <is>
          <t>西村</t>
        </is>
      </c>
      <c r="T197" s="10" t="inlineStr">
        <is>
          <t>岩田</t>
        </is>
      </c>
      <c r="U197" s="10" t="inlineStr">
        <is>
          <t>上田</t>
        </is>
      </c>
      <c r="V197" s="10" t="inlineStr">
        <is>
          <t>中山</t>
        </is>
      </c>
      <c r="W197" s="10" t="inlineStr">
        <is>
          <t>富島</t>
        </is>
      </c>
      <c r="X197" s="10" t="inlineStr">
        <is>
          <t>井川</t>
        </is>
      </c>
      <c r="Y197" s="10" t="inlineStr">
        <is>
          <t>欠員①</t>
        </is>
      </c>
      <c r="Z197" s="10" t="inlineStr">
        <is>
          <t>横田</t>
        </is>
      </c>
      <c r="AA197" s="10" t="inlineStr">
        <is>
          <t>門谷</t>
        </is>
      </c>
      <c r="AB197" s="10" t="inlineStr">
        <is>
          <t>北川</t>
        </is>
      </c>
      <c r="AC197" s="10" t="inlineStr">
        <is>
          <t>植山</t>
        </is>
      </c>
      <c r="AD197" s="10" t="inlineStr">
        <is>
          <t>安村</t>
        </is>
      </c>
      <c r="AE197" s="10" t="inlineStr">
        <is>
          <t>中嶌</t>
        </is>
      </c>
      <c r="AF197" s="10" t="inlineStr">
        <is>
          <t>中村</t>
        </is>
      </c>
      <c r="AG197" s="10" t="inlineStr">
        <is>
          <t>谷川</t>
        </is>
      </c>
      <c r="AH197" s="10" t="inlineStr">
        <is>
          <t>欠員②</t>
        </is>
      </c>
      <c r="AI197" s="10" t="inlineStr">
        <is>
          <t>藤原</t>
        </is>
      </c>
      <c r="AJ197" s="10" t="inlineStr">
        <is>
          <t>山本高</t>
        </is>
      </c>
      <c r="AK197" s="10" t="inlineStr">
        <is>
          <t>柴田</t>
        </is>
      </c>
      <c r="AL197" s="10" t="inlineStr">
        <is>
          <t>山本幸</t>
        </is>
      </c>
      <c r="AM197" s="10" t="inlineStr">
        <is>
          <t>山田久</t>
        </is>
      </c>
      <c r="AN197" s="10" t="inlineStr">
        <is>
          <t>市田</t>
        </is>
      </c>
      <c r="AO197" s="10" t="inlineStr">
        <is>
          <t>野口</t>
        </is>
      </c>
      <c r="AP197" s="10" t="inlineStr">
        <is>
          <t>原</t>
        </is>
      </c>
    </row>
    <row r="198" ht="15" customHeight="1" s="37">
      <c r="A198" t="inlineStr">
        <is>
          <t>2026-11-17</t>
        </is>
      </c>
      <c r="B198" s="10" t="inlineStr">
        <is>
          <t>火</t>
        </is>
      </c>
      <c r="C198" s="10" t="inlineStr">
        <is>
          <t>平日</t>
        </is>
      </c>
      <c r="E198" s="10" t="inlineStr">
        <is>
          <t>西村</t>
        </is>
      </c>
      <c r="F198" s="10" t="inlineStr">
        <is>
          <t>横山</t>
        </is>
      </c>
      <c r="G198" s="10" t="inlineStr">
        <is>
          <t>中山</t>
        </is>
      </c>
      <c r="H198" s="10" t="inlineStr">
        <is>
          <t>田中</t>
        </is>
      </c>
      <c r="I198" s="10" t="inlineStr">
        <is>
          <t>市田</t>
        </is>
      </c>
      <c r="J198" s="10" t="inlineStr">
        <is>
          <t>富島</t>
        </is>
      </c>
      <c r="K198" s="10" t="inlineStr">
        <is>
          <t>中村</t>
        </is>
      </c>
      <c r="L198" s="10" t="inlineStr">
        <is>
          <t>上野</t>
        </is>
      </c>
      <c r="M198" s="10" t="inlineStr">
        <is>
          <t>植山</t>
        </is>
      </c>
      <c r="N198" s="10" t="inlineStr">
        <is>
          <t>尾川</t>
        </is>
      </c>
      <c r="O198" s="10" t="inlineStr">
        <is>
          <t>井川</t>
        </is>
      </c>
      <c r="P198" s="10" t="inlineStr">
        <is>
          <t>柴田</t>
        </is>
      </c>
      <c r="Q198" s="10" t="inlineStr">
        <is>
          <t>佐野</t>
        </is>
      </c>
      <c r="R198" s="10" t="inlineStr">
        <is>
          <t>門谷</t>
        </is>
      </c>
      <c r="S198" s="10" t="inlineStr">
        <is>
          <t>山本幸</t>
        </is>
      </c>
      <c r="T198" s="10" t="inlineStr">
        <is>
          <t>上田</t>
        </is>
      </c>
      <c r="U198" s="10" t="inlineStr">
        <is>
          <t>原</t>
        </is>
      </c>
      <c r="V198" s="10" t="inlineStr">
        <is>
          <t>欠員②</t>
        </is>
      </c>
      <c r="W198" s="10" t="inlineStr">
        <is>
          <t>中嶌</t>
        </is>
      </c>
      <c r="X198" s="10" t="inlineStr">
        <is>
          <t>内野</t>
        </is>
      </c>
      <c r="Y198" s="10" t="inlineStr">
        <is>
          <t>山本高</t>
        </is>
      </c>
      <c r="Z198" s="10" t="inlineStr">
        <is>
          <t>北川</t>
        </is>
      </c>
      <c r="AA198" s="10" t="inlineStr">
        <is>
          <t>山田久</t>
        </is>
      </c>
      <c r="AB198" s="10" t="inlineStr">
        <is>
          <t>河野</t>
        </is>
      </c>
      <c r="AC198" s="10" t="inlineStr">
        <is>
          <t>野口</t>
        </is>
      </c>
      <c r="AD198" s="10" t="inlineStr">
        <is>
          <t>丸田</t>
        </is>
      </c>
      <c r="AE198" s="10" t="inlineStr">
        <is>
          <t>大川内</t>
        </is>
      </c>
      <c r="AF198" s="10" t="inlineStr">
        <is>
          <t>岡本</t>
        </is>
      </c>
      <c r="AG198" s="10" t="inlineStr">
        <is>
          <t>馬場</t>
        </is>
      </c>
      <c r="AH198" s="10" t="inlineStr">
        <is>
          <t>矢田</t>
        </is>
      </c>
      <c r="AI198" s="10" t="inlineStr">
        <is>
          <t>岩田</t>
        </is>
      </c>
      <c r="AJ198" s="10" t="inlineStr">
        <is>
          <t>山田真</t>
        </is>
      </c>
      <c r="AK198" s="10" t="inlineStr">
        <is>
          <t>藤原</t>
        </is>
      </c>
      <c r="AL198" s="10" t="inlineStr">
        <is>
          <t>欠員①</t>
        </is>
      </c>
      <c r="AM198" s="10" t="inlineStr">
        <is>
          <t>安村</t>
        </is>
      </c>
      <c r="AN198" s="10" t="inlineStr">
        <is>
          <t>谷川</t>
        </is>
      </c>
      <c r="AO198" s="10" t="inlineStr">
        <is>
          <t>栗下</t>
        </is>
      </c>
      <c r="AP198" s="10" t="inlineStr">
        <is>
          <t>横田</t>
        </is>
      </c>
    </row>
    <row r="199" ht="15" customHeight="1" s="37">
      <c r="A199" t="inlineStr">
        <is>
          <t>2026-11-18</t>
        </is>
      </c>
      <c r="B199" s="10" t="inlineStr">
        <is>
          <t>水</t>
        </is>
      </c>
      <c r="C199" s="10" t="inlineStr">
        <is>
          <t>平日</t>
        </is>
      </c>
      <c r="E199" s="10" t="inlineStr">
        <is>
          <t>山本幸</t>
        </is>
      </c>
      <c r="F199" s="10" t="inlineStr">
        <is>
          <t>植山</t>
        </is>
      </c>
      <c r="G199" s="10" t="inlineStr">
        <is>
          <t>欠員②</t>
        </is>
      </c>
      <c r="H199" s="10" t="inlineStr">
        <is>
          <t>井川</t>
        </is>
      </c>
      <c r="I199" s="10" t="inlineStr">
        <is>
          <t>谷川</t>
        </is>
      </c>
      <c r="J199" s="10" t="inlineStr">
        <is>
          <t>中嶌</t>
        </is>
      </c>
      <c r="K199" s="10" t="inlineStr">
        <is>
          <t>岡本</t>
        </is>
      </c>
      <c r="L199" s="10" t="inlineStr">
        <is>
          <t>柴田</t>
        </is>
      </c>
      <c r="M199" s="10" t="inlineStr">
        <is>
          <t>野口</t>
        </is>
      </c>
      <c r="N199" s="10" t="inlineStr">
        <is>
          <t>門谷</t>
        </is>
      </c>
      <c r="O199" s="10" t="inlineStr">
        <is>
          <t>内野</t>
        </is>
      </c>
      <c r="P199" s="10" t="inlineStr">
        <is>
          <t>藤原</t>
        </is>
      </c>
      <c r="Q199" s="10" t="inlineStr">
        <is>
          <t>上野</t>
        </is>
      </c>
      <c r="R199" s="10" t="inlineStr">
        <is>
          <t>山田久</t>
        </is>
      </c>
      <c r="S199" s="10" t="inlineStr">
        <is>
          <t>欠員①</t>
        </is>
      </c>
      <c r="T199" s="10" t="inlineStr">
        <is>
          <t>原</t>
        </is>
      </c>
      <c r="U199" s="10" t="inlineStr">
        <is>
          <t>横田</t>
        </is>
      </c>
      <c r="V199" s="10" t="inlineStr">
        <is>
          <t>矢田</t>
        </is>
      </c>
      <c r="W199" s="10" t="inlineStr">
        <is>
          <t>大川内</t>
        </is>
      </c>
      <c r="X199" s="10" t="inlineStr">
        <is>
          <t>中村</t>
        </is>
      </c>
      <c r="Y199" s="10" t="inlineStr">
        <is>
          <t>山田真</t>
        </is>
      </c>
      <c r="Z199" s="10" t="inlineStr">
        <is>
          <t>河野</t>
        </is>
      </c>
      <c r="AA199" s="10" t="inlineStr">
        <is>
          <t>安村</t>
        </is>
      </c>
      <c r="AB199" s="10" t="inlineStr">
        <is>
          <t>富島</t>
        </is>
      </c>
      <c r="AC199" s="10" t="inlineStr">
        <is>
          <t>栗下</t>
        </is>
      </c>
      <c r="AD199" s="10" t="inlineStr">
        <is>
          <t>中山</t>
        </is>
      </c>
      <c r="AE199" s="10" t="inlineStr">
        <is>
          <t>田中</t>
        </is>
      </c>
      <c r="AF199" s="10" t="inlineStr">
        <is>
          <t>横山</t>
        </is>
      </c>
      <c r="AG199" s="10" t="inlineStr">
        <is>
          <t>尾川</t>
        </is>
      </c>
      <c r="AH199" s="10" t="inlineStr">
        <is>
          <t>佐野</t>
        </is>
      </c>
      <c r="AI199" s="10" t="inlineStr">
        <is>
          <t>上田</t>
        </is>
      </c>
      <c r="AJ199" s="10" t="inlineStr">
        <is>
          <t>市田</t>
        </is>
      </c>
      <c r="AK199" s="10" t="inlineStr">
        <is>
          <t>岩田</t>
        </is>
      </c>
      <c r="AL199" s="10" t="inlineStr">
        <is>
          <t>山本高</t>
        </is>
      </c>
      <c r="AM199" s="10" t="inlineStr">
        <is>
          <t>丸田</t>
        </is>
      </c>
      <c r="AN199" s="10" t="inlineStr">
        <is>
          <t>馬場</t>
        </is>
      </c>
      <c r="AO199" s="10" t="inlineStr">
        <is>
          <t>西村</t>
        </is>
      </c>
      <c r="AP199" s="10" t="inlineStr">
        <is>
          <t>北川</t>
        </is>
      </c>
    </row>
    <row r="200" ht="15" customHeight="1" s="37">
      <c r="A200" t="inlineStr">
        <is>
          <t>2026-11-19</t>
        </is>
      </c>
      <c r="B200" s="10" t="inlineStr">
        <is>
          <t>木</t>
        </is>
      </c>
      <c r="C200" s="10" t="inlineStr">
        <is>
          <t>平日</t>
        </is>
      </c>
      <c r="E200" s="10" t="inlineStr">
        <is>
          <t>欠員①</t>
        </is>
      </c>
      <c r="F200" s="10" t="inlineStr">
        <is>
          <t>野口</t>
        </is>
      </c>
      <c r="G200" s="10" t="inlineStr">
        <is>
          <t>矢田</t>
        </is>
      </c>
      <c r="H200" s="10" t="inlineStr">
        <is>
          <t>内野</t>
        </is>
      </c>
      <c r="I200" s="10" t="inlineStr">
        <is>
          <t>馬場</t>
        </is>
      </c>
      <c r="J200" s="10" t="inlineStr">
        <is>
          <t>大川内</t>
        </is>
      </c>
      <c r="K200" s="10" t="inlineStr">
        <is>
          <t>横山</t>
        </is>
      </c>
      <c r="L200" s="10" t="inlineStr">
        <is>
          <t>藤原</t>
        </is>
      </c>
      <c r="M200" s="10" t="inlineStr">
        <is>
          <t>栗下</t>
        </is>
      </c>
      <c r="N200" s="10" t="inlineStr">
        <is>
          <t>山田久</t>
        </is>
      </c>
      <c r="O200" s="10" t="inlineStr">
        <is>
          <t>中村</t>
        </is>
      </c>
      <c r="P200" s="10" t="inlineStr">
        <is>
          <t>岩田</t>
        </is>
      </c>
      <c r="Q200" s="10" t="inlineStr">
        <is>
          <t>柴田</t>
        </is>
      </c>
      <c r="R200" s="10" t="inlineStr">
        <is>
          <t>安村</t>
        </is>
      </c>
      <c r="S200" s="10" t="inlineStr">
        <is>
          <t>山本高</t>
        </is>
      </c>
      <c r="T200" s="10" t="inlineStr">
        <is>
          <t>横田</t>
        </is>
      </c>
      <c r="U200" s="10" t="inlineStr">
        <is>
          <t>北川</t>
        </is>
      </c>
      <c r="V200" s="10" t="inlineStr">
        <is>
          <t>佐野</t>
        </is>
      </c>
      <c r="W200" s="10" t="inlineStr">
        <is>
          <t>田中</t>
        </is>
      </c>
      <c r="X200" s="10" t="inlineStr">
        <is>
          <t>岡本</t>
        </is>
      </c>
      <c r="Y200" s="10" t="inlineStr">
        <is>
          <t>市田</t>
        </is>
      </c>
      <c r="Z200" s="10" t="inlineStr">
        <is>
          <t>富島</t>
        </is>
      </c>
      <c r="AA200" s="10" t="inlineStr">
        <is>
          <t>丸田</t>
        </is>
      </c>
      <c r="AB200" s="10" t="inlineStr">
        <is>
          <t>中嶌</t>
        </is>
      </c>
      <c r="AC200" s="10" t="inlineStr">
        <is>
          <t>西村</t>
        </is>
      </c>
      <c r="AD200" s="10" t="inlineStr">
        <is>
          <t>欠員②</t>
        </is>
      </c>
      <c r="AE200" s="10" t="inlineStr">
        <is>
          <t>井川</t>
        </is>
      </c>
      <c r="AF200" s="10" t="inlineStr">
        <is>
          <t>植山</t>
        </is>
      </c>
      <c r="AG200" s="10" t="inlineStr">
        <is>
          <t>門谷</t>
        </is>
      </c>
      <c r="AH200" s="10" t="inlineStr">
        <is>
          <t>上野</t>
        </is>
      </c>
      <c r="AI200" s="10" t="inlineStr">
        <is>
          <t>原</t>
        </is>
      </c>
      <c r="AJ200" s="10" t="inlineStr">
        <is>
          <t>谷川</t>
        </is>
      </c>
      <c r="AK200" s="10" t="inlineStr">
        <is>
          <t>上田</t>
        </is>
      </c>
      <c r="AL200" s="10" t="inlineStr">
        <is>
          <t>山田真</t>
        </is>
      </c>
      <c r="AM200" s="10" t="inlineStr">
        <is>
          <t>中山</t>
        </is>
      </c>
      <c r="AN200" s="10" t="inlineStr">
        <is>
          <t>尾川</t>
        </is>
      </c>
      <c r="AO200" s="10" t="inlineStr">
        <is>
          <t>山本幸</t>
        </is>
      </c>
      <c r="AP200" s="10" t="inlineStr">
        <is>
          <t>河野</t>
        </is>
      </c>
    </row>
    <row r="201" ht="15" customHeight="1" s="37">
      <c r="A201" t="inlineStr">
        <is>
          <t>2026-11-20</t>
        </is>
      </c>
      <c r="B201" s="10" t="inlineStr">
        <is>
          <t>金</t>
        </is>
      </c>
      <c r="C201" s="10" t="inlineStr">
        <is>
          <t>平日</t>
        </is>
      </c>
      <c r="E201" s="10" t="inlineStr">
        <is>
          <t>山本高</t>
        </is>
      </c>
      <c r="F201" s="10" t="inlineStr">
        <is>
          <t>栗下</t>
        </is>
      </c>
      <c r="G201" s="10" t="inlineStr">
        <is>
          <t>佐野</t>
        </is>
      </c>
      <c r="H201" s="10" t="inlineStr">
        <is>
          <t>中村</t>
        </is>
      </c>
      <c r="I201" s="10" t="inlineStr">
        <is>
          <t>尾川</t>
        </is>
      </c>
      <c r="J201" s="10" t="inlineStr">
        <is>
          <t>田中</t>
        </is>
      </c>
      <c r="K201" s="10" t="inlineStr">
        <is>
          <t>植山</t>
        </is>
      </c>
      <c r="L201" s="10" t="inlineStr">
        <is>
          <t>岩田</t>
        </is>
      </c>
      <c r="M201" s="10" t="inlineStr">
        <is>
          <t>西村</t>
        </is>
      </c>
      <c r="N201" s="10" t="inlineStr">
        <is>
          <t>安村</t>
        </is>
      </c>
      <c r="O201" s="10" t="inlineStr">
        <is>
          <t>岡本</t>
        </is>
      </c>
      <c r="P201" s="10" t="inlineStr">
        <is>
          <t>上田</t>
        </is>
      </c>
      <c r="Q201" s="10" t="inlineStr">
        <is>
          <t>藤原</t>
        </is>
      </c>
      <c r="R201" s="10" t="inlineStr">
        <is>
          <t>丸田</t>
        </is>
      </c>
      <c r="S201" s="10" t="inlineStr">
        <is>
          <t>山田真</t>
        </is>
      </c>
      <c r="T201" s="10" t="inlineStr">
        <is>
          <t>北川</t>
        </is>
      </c>
      <c r="U201" s="10" t="inlineStr">
        <is>
          <t>河野</t>
        </is>
      </c>
      <c r="V201" s="10" t="inlineStr">
        <is>
          <t>上野</t>
        </is>
      </c>
      <c r="W201" s="10" t="inlineStr">
        <is>
          <t>井川</t>
        </is>
      </c>
      <c r="X201" s="10" t="inlineStr">
        <is>
          <t>横山</t>
        </is>
      </c>
      <c r="Y201" s="10" t="inlineStr">
        <is>
          <t>谷川</t>
        </is>
      </c>
      <c r="Z201" s="10" t="inlineStr">
        <is>
          <t>中嶌</t>
        </is>
      </c>
      <c r="AA201" s="10" t="inlineStr">
        <is>
          <t>中山</t>
        </is>
      </c>
      <c r="AB201" s="10" t="inlineStr">
        <is>
          <t>大川内</t>
        </is>
      </c>
      <c r="AC201" s="10" t="inlineStr">
        <is>
          <t>山本幸</t>
        </is>
      </c>
      <c r="AD201" s="10" t="inlineStr">
        <is>
          <t>矢田</t>
        </is>
      </c>
      <c r="AE201" s="10" t="inlineStr">
        <is>
          <t>内野</t>
        </is>
      </c>
      <c r="AF201" s="10" t="inlineStr">
        <is>
          <t>野口</t>
        </is>
      </c>
      <c r="AG201" s="10" t="inlineStr">
        <is>
          <t>山田久</t>
        </is>
      </c>
      <c r="AH201" s="10" t="inlineStr">
        <is>
          <t>柴田</t>
        </is>
      </c>
      <c r="AI201" s="10" t="inlineStr">
        <is>
          <t>横田</t>
        </is>
      </c>
      <c r="AJ201" s="10" t="inlineStr">
        <is>
          <t>馬場</t>
        </is>
      </c>
      <c r="AK201" s="10" t="inlineStr">
        <is>
          <t>原</t>
        </is>
      </c>
      <c r="AL201" s="10" t="inlineStr">
        <is>
          <t>市田</t>
        </is>
      </c>
      <c r="AM201" s="10" t="inlineStr">
        <is>
          <t>欠員②</t>
        </is>
      </c>
      <c r="AN201" s="10" t="inlineStr">
        <is>
          <t>門谷</t>
        </is>
      </c>
      <c r="AO201" s="10" t="inlineStr">
        <is>
          <t>欠員①</t>
        </is>
      </c>
      <c r="AP201" s="10" t="inlineStr">
        <is>
          <t>富島</t>
        </is>
      </c>
    </row>
    <row r="202" ht="15" customHeight="1" s="37">
      <c r="A202" t="inlineStr">
        <is>
          <t>2026-11-21</t>
        </is>
      </c>
      <c r="B202" s="10" t="inlineStr">
        <is>
          <t>土</t>
        </is>
      </c>
      <c r="C202" s="10" t="inlineStr">
        <is>
          <t>休日</t>
        </is>
      </c>
      <c r="E202" s="10" t="inlineStr">
        <is>
          <t>山田真</t>
        </is>
      </c>
      <c r="F202" s="10" t="inlineStr">
        <is>
          <t>西村</t>
        </is>
      </c>
      <c r="G202" s="10" t="inlineStr">
        <is>
          <t>上野</t>
        </is>
      </c>
      <c r="H202" s="10" t="inlineStr">
        <is>
          <t>岡本</t>
        </is>
      </c>
      <c r="I202" s="10" t="inlineStr">
        <is>
          <t>門谷</t>
        </is>
      </c>
      <c r="J202" s="10" t="inlineStr">
        <is>
          <t>井川</t>
        </is>
      </c>
      <c r="K202" s="10" t="inlineStr">
        <is>
          <t>野口</t>
        </is>
      </c>
      <c r="L202" s="10" t="inlineStr">
        <is>
          <t>上田</t>
        </is>
      </c>
      <c r="M202" s="10" t="inlineStr">
        <is>
          <t>山本幸</t>
        </is>
      </c>
      <c r="N202" s="10" t="inlineStr">
        <is>
          <t>丸田</t>
        </is>
      </c>
      <c r="O202" s="10" t="inlineStr">
        <is>
          <t>横山</t>
        </is>
      </c>
      <c r="P202" s="10" t="inlineStr">
        <is>
          <t>原</t>
        </is>
      </c>
      <c r="Q202" s="10" t="inlineStr">
        <is>
          <t>岩田</t>
        </is>
      </c>
      <c r="R202" s="10" t="inlineStr">
        <is>
          <t>中山</t>
        </is>
      </c>
      <c r="S202" s="10" t="inlineStr">
        <is>
          <t>市田</t>
        </is>
      </c>
      <c r="T202" s="10" t="inlineStr">
        <is>
          <t>河野</t>
        </is>
      </c>
      <c r="U202" s="10" t="inlineStr">
        <is>
          <t>富島</t>
        </is>
      </c>
      <c r="V202" s="10" t="inlineStr">
        <is>
          <t>柴田</t>
        </is>
      </c>
      <c r="W202" s="10" t="inlineStr">
        <is>
          <t>内野</t>
        </is>
      </c>
      <c r="X202" s="10" t="inlineStr">
        <is>
          <t>植山</t>
        </is>
      </c>
      <c r="Y202" s="10" t="inlineStr">
        <is>
          <t>馬場</t>
        </is>
      </c>
      <c r="Z202" s="10" t="inlineStr">
        <is>
          <t>大川内</t>
        </is>
      </c>
      <c r="AA202" s="10" t="inlineStr">
        <is>
          <t>欠員②</t>
        </is>
      </c>
      <c r="AB202" s="10" t="inlineStr">
        <is>
          <t>田中</t>
        </is>
      </c>
      <c r="AC202" s="10" t="inlineStr">
        <is>
          <t>欠員①</t>
        </is>
      </c>
      <c r="AD202" s="10" t="inlineStr">
        <is>
          <t>佐野</t>
        </is>
      </c>
      <c r="AE202" s="10" t="inlineStr">
        <is>
          <t>中村</t>
        </is>
      </c>
      <c r="AF202" s="10" t="inlineStr">
        <is>
          <t>栗下</t>
        </is>
      </c>
      <c r="AG202" s="10" t="inlineStr">
        <is>
          <t>安村</t>
        </is>
      </c>
      <c r="AH202" s="10" t="inlineStr">
        <is>
          <t>藤原</t>
        </is>
      </c>
      <c r="AI202" s="10" t="inlineStr">
        <is>
          <t>北川</t>
        </is>
      </c>
      <c r="AJ202" s="10" t="inlineStr">
        <is>
          <t>尾川</t>
        </is>
      </c>
      <c r="AK202" s="10" t="inlineStr">
        <is>
          <t>横田</t>
        </is>
      </c>
      <c r="AL202" s="10" t="inlineStr">
        <is>
          <t>谷川</t>
        </is>
      </c>
      <c r="AM202" s="10" t="inlineStr">
        <is>
          <t>矢田</t>
        </is>
      </c>
      <c r="AN202" s="10" t="inlineStr">
        <is>
          <t>山田久</t>
        </is>
      </c>
      <c r="AO202" s="10" t="inlineStr">
        <is>
          <t>山本高</t>
        </is>
      </c>
      <c r="AP202" s="10" t="inlineStr">
        <is>
          <t>中嶌</t>
        </is>
      </c>
    </row>
    <row r="203" ht="15" customHeight="1" s="37">
      <c r="A203" t="inlineStr">
        <is>
          <t>2026-11-22</t>
        </is>
      </c>
      <c r="B203" s="10" t="inlineStr">
        <is>
          <t>日</t>
        </is>
      </c>
      <c r="C203" s="10" t="inlineStr">
        <is>
          <t>休日</t>
        </is>
      </c>
      <c r="E203" s="10" t="inlineStr">
        <is>
          <t>市田</t>
        </is>
      </c>
      <c r="F203" s="10" t="inlineStr">
        <is>
          <t>山本幸</t>
        </is>
      </c>
      <c r="G203" s="10" t="inlineStr">
        <is>
          <t>柴田</t>
        </is>
      </c>
      <c r="H203" s="10" t="inlineStr">
        <is>
          <t>横山</t>
        </is>
      </c>
      <c r="I203" s="10" t="inlineStr">
        <is>
          <t>山田久</t>
        </is>
      </c>
      <c r="J203" s="10" t="inlineStr">
        <is>
          <t>内野</t>
        </is>
      </c>
      <c r="K203" s="10" t="inlineStr">
        <is>
          <t>栗下</t>
        </is>
      </c>
      <c r="L203" s="10" t="inlineStr">
        <is>
          <t>原</t>
        </is>
      </c>
      <c r="M203" s="10" t="inlineStr">
        <is>
          <t>欠員①</t>
        </is>
      </c>
      <c r="N203" s="10" t="inlineStr">
        <is>
          <t>中山</t>
        </is>
      </c>
      <c r="O203" s="10" t="inlineStr">
        <is>
          <t>植山</t>
        </is>
      </c>
      <c r="P203" s="10" t="inlineStr">
        <is>
          <t>横田</t>
        </is>
      </c>
      <c r="Q203" s="10" t="inlineStr">
        <is>
          <t>上田</t>
        </is>
      </c>
      <c r="R203" s="10" t="inlineStr">
        <is>
          <t>欠員②</t>
        </is>
      </c>
      <c r="S203" s="10" t="inlineStr">
        <is>
          <t>谷川</t>
        </is>
      </c>
      <c r="T203" s="10" t="inlineStr">
        <is>
          <t>富島</t>
        </is>
      </c>
      <c r="U203" s="10" t="inlineStr">
        <is>
          <t>中嶌</t>
        </is>
      </c>
      <c r="V203" s="10" t="inlineStr">
        <is>
          <t>藤原</t>
        </is>
      </c>
      <c r="W203" s="10" t="inlineStr">
        <is>
          <t>中村</t>
        </is>
      </c>
      <c r="X203" s="10" t="inlineStr">
        <is>
          <t>野口</t>
        </is>
      </c>
      <c r="Y203" s="10" t="inlineStr">
        <is>
          <t>尾川</t>
        </is>
      </c>
      <c r="Z203" s="10" t="inlineStr">
        <is>
          <t>田中</t>
        </is>
      </c>
      <c r="AA203" s="10" t="inlineStr">
        <is>
          <t>矢田</t>
        </is>
      </c>
      <c r="AB203" s="10" t="inlineStr">
        <is>
          <t>井川</t>
        </is>
      </c>
      <c r="AC203" s="10" t="inlineStr">
        <is>
          <t>山本高</t>
        </is>
      </c>
      <c r="AD203" s="10" t="inlineStr">
        <is>
          <t>上野</t>
        </is>
      </c>
      <c r="AE203" s="10" t="inlineStr">
        <is>
          <t>岡本</t>
        </is>
      </c>
      <c r="AF203" s="10" t="inlineStr">
        <is>
          <t>西村</t>
        </is>
      </c>
      <c r="AG203" s="10" t="inlineStr">
        <is>
          <t>丸田</t>
        </is>
      </c>
      <c r="AH203" s="10" t="inlineStr">
        <is>
          <t>岩田</t>
        </is>
      </c>
      <c r="AI203" s="10" t="inlineStr">
        <is>
          <t>河野</t>
        </is>
      </c>
      <c r="AJ203" s="10" t="inlineStr">
        <is>
          <t>門谷</t>
        </is>
      </c>
      <c r="AK203" s="10" t="inlineStr">
        <is>
          <t>北川</t>
        </is>
      </c>
      <c r="AL203" s="10" t="inlineStr">
        <is>
          <t>馬場</t>
        </is>
      </c>
      <c r="AM203" s="10" t="inlineStr">
        <is>
          <t>佐野</t>
        </is>
      </c>
      <c r="AN203" s="10" t="inlineStr">
        <is>
          <t>安村</t>
        </is>
      </c>
      <c r="AO203" s="10" t="inlineStr">
        <is>
          <t>山田真</t>
        </is>
      </c>
      <c r="AP203" s="10" t="inlineStr">
        <is>
          <t>大川内</t>
        </is>
      </c>
    </row>
    <row r="204" ht="15" customHeight="1" s="37">
      <c r="A204" t="inlineStr">
        <is>
          <t>2026-11-23</t>
        </is>
      </c>
      <c r="B204" s="10" t="inlineStr">
        <is>
          <t>月</t>
        </is>
      </c>
      <c r="C204" s="10" t="inlineStr">
        <is>
          <t>休日</t>
        </is>
      </c>
      <c r="D204" s="10" t="inlineStr">
        <is>
          <t>勤労感謝の日</t>
        </is>
      </c>
      <c r="E204" s="10" t="inlineStr">
        <is>
          <t>谷川</t>
        </is>
      </c>
      <c r="F204" s="10" t="inlineStr">
        <is>
          <t>欠員①</t>
        </is>
      </c>
      <c r="G204" s="10" t="inlineStr">
        <is>
          <t>藤原</t>
        </is>
      </c>
      <c r="H204" s="10" t="inlineStr">
        <is>
          <t>植山</t>
        </is>
      </c>
      <c r="I204" s="10" t="inlineStr">
        <is>
          <t>安村</t>
        </is>
      </c>
      <c r="J204" s="10" t="inlineStr">
        <is>
          <t>中村</t>
        </is>
      </c>
      <c r="K204" s="10" t="inlineStr">
        <is>
          <t>西村</t>
        </is>
      </c>
      <c r="L204" s="10" t="inlineStr">
        <is>
          <t>横田</t>
        </is>
      </c>
      <c r="M204" s="10" t="inlineStr">
        <is>
          <t>山本高</t>
        </is>
      </c>
      <c r="N204" s="10" t="inlineStr">
        <is>
          <t>欠員②</t>
        </is>
      </c>
      <c r="O204" s="10" t="inlineStr">
        <is>
          <t>野口</t>
        </is>
      </c>
      <c r="P204" s="10" t="inlineStr">
        <is>
          <t>北川</t>
        </is>
      </c>
      <c r="Q204" s="10" t="inlineStr">
        <is>
          <t>原</t>
        </is>
      </c>
      <c r="R204" s="10" t="inlineStr">
        <is>
          <t>矢田</t>
        </is>
      </c>
      <c r="S204" s="10" t="inlineStr">
        <is>
          <t>馬場</t>
        </is>
      </c>
      <c r="T204" s="10" t="inlineStr">
        <is>
          <t>中嶌</t>
        </is>
      </c>
      <c r="U204" s="10" t="inlineStr">
        <is>
          <t>大川内</t>
        </is>
      </c>
      <c r="V204" s="10" t="inlineStr">
        <is>
          <t>岩田</t>
        </is>
      </c>
      <c r="W204" s="10" t="inlineStr">
        <is>
          <t>岡本</t>
        </is>
      </c>
      <c r="X204" s="10" t="inlineStr">
        <is>
          <t>栗下</t>
        </is>
      </c>
      <c r="Y204" s="10" t="inlineStr">
        <is>
          <t>門谷</t>
        </is>
      </c>
      <c r="Z204" s="10" t="inlineStr">
        <is>
          <t>井川</t>
        </is>
      </c>
      <c r="AA204" s="10" t="inlineStr">
        <is>
          <t>佐野</t>
        </is>
      </c>
      <c r="AB204" s="10" t="inlineStr">
        <is>
          <t>内野</t>
        </is>
      </c>
      <c r="AC204" s="10" t="inlineStr">
        <is>
          <t>山田真</t>
        </is>
      </c>
      <c r="AD204" s="10" t="inlineStr">
        <is>
          <t>柴田</t>
        </is>
      </c>
      <c r="AE204" s="10" t="inlineStr">
        <is>
          <t>横山</t>
        </is>
      </c>
      <c r="AF204" s="10" t="inlineStr">
        <is>
          <t>山本幸</t>
        </is>
      </c>
      <c r="AG204" s="10" t="inlineStr">
        <is>
          <t>中山</t>
        </is>
      </c>
      <c r="AH204" s="10" t="inlineStr">
        <is>
          <t>上田</t>
        </is>
      </c>
      <c r="AI204" s="10" t="inlineStr">
        <is>
          <t>富島</t>
        </is>
      </c>
      <c r="AJ204" s="10" t="inlineStr">
        <is>
          <t>山田久</t>
        </is>
      </c>
      <c r="AK204" s="10" t="inlineStr">
        <is>
          <t>河野</t>
        </is>
      </c>
      <c r="AL204" s="10" t="inlineStr">
        <is>
          <t>尾川</t>
        </is>
      </c>
      <c r="AM204" s="10" t="inlineStr">
        <is>
          <t>上野</t>
        </is>
      </c>
      <c r="AN204" s="10" t="inlineStr">
        <is>
          <t>丸田</t>
        </is>
      </c>
      <c r="AO204" s="10" t="inlineStr">
        <is>
          <t>市田</t>
        </is>
      </c>
      <c r="AP204" s="10" t="inlineStr">
        <is>
          <t>田中</t>
        </is>
      </c>
    </row>
    <row r="205" ht="15" customHeight="1" s="37">
      <c r="A205" t="inlineStr">
        <is>
          <t>2026-11-24</t>
        </is>
      </c>
      <c r="B205" s="10" t="inlineStr">
        <is>
          <t>火</t>
        </is>
      </c>
      <c r="C205" s="10" t="inlineStr">
        <is>
          <t>平日</t>
        </is>
      </c>
      <c r="E205" s="10" t="inlineStr">
        <is>
          <t>馬場</t>
        </is>
      </c>
      <c r="F205" s="10" t="inlineStr">
        <is>
          <t>山本高</t>
        </is>
      </c>
      <c r="G205" s="10" t="inlineStr">
        <is>
          <t>岩田</t>
        </is>
      </c>
      <c r="H205" s="10" t="inlineStr">
        <is>
          <t>野口</t>
        </is>
      </c>
      <c r="I205" s="10" t="inlineStr">
        <is>
          <t>丸田</t>
        </is>
      </c>
      <c r="J205" s="10" t="inlineStr">
        <is>
          <t>岡本</t>
        </is>
      </c>
      <c r="K205" s="10" t="inlineStr">
        <is>
          <t>山本幸</t>
        </is>
      </c>
      <c r="L205" s="10" t="inlineStr">
        <is>
          <t>北川</t>
        </is>
      </c>
      <c r="M205" s="10" t="inlineStr">
        <is>
          <t>山田真</t>
        </is>
      </c>
      <c r="N205" s="10" t="inlineStr">
        <is>
          <t>矢田</t>
        </is>
      </c>
      <c r="O205" s="10" t="inlineStr">
        <is>
          <t>栗下</t>
        </is>
      </c>
      <c r="P205" s="10" t="inlineStr">
        <is>
          <t>河野</t>
        </is>
      </c>
      <c r="Q205" s="10" t="inlineStr">
        <is>
          <t>横田</t>
        </is>
      </c>
      <c r="R205" s="10" t="inlineStr">
        <is>
          <t>佐野</t>
        </is>
      </c>
      <c r="S205" s="10" t="inlineStr">
        <is>
          <t>尾川</t>
        </is>
      </c>
      <c r="T205" s="10" t="inlineStr">
        <is>
          <t>大川内</t>
        </is>
      </c>
      <c r="U205" s="10" t="inlineStr">
        <is>
          <t>田中</t>
        </is>
      </c>
      <c r="V205" s="10" t="inlineStr">
        <is>
          <t>上田</t>
        </is>
      </c>
      <c r="W205" s="10" t="inlineStr">
        <is>
          <t>横山</t>
        </is>
      </c>
      <c r="X205" s="10" t="inlineStr">
        <is>
          <t>西村</t>
        </is>
      </c>
      <c r="Y205" s="10" t="inlineStr">
        <is>
          <t>山田久</t>
        </is>
      </c>
      <c r="Z205" s="10" t="inlineStr">
        <is>
          <t>内野</t>
        </is>
      </c>
      <c r="AA205" s="10" t="inlineStr">
        <is>
          <t>上野</t>
        </is>
      </c>
      <c r="AB205" s="10" t="inlineStr">
        <is>
          <t>中村</t>
        </is>
      </c>
      <c r="AC205" s="10" t="inlineStr">
        <is>
          <t>市田</t>
        </is>
      </c>
      <c r="AD205" s="10" t="inlineStr">
        <is>
          <t>藤原</t>
        </is>
      </c>
      <c r="AE205" s="10" t="inlineStr">
        <is>
          <t>植山</t>
        </is>
      </c>
      <c r="AF205" s="10" t="inlineStr">
        <is>
          <t>欠員①</t>
        </is>
      </c>
      <c r="AG205" s="10" t="inlineStr">
        <is>
          <t>欠員②</t>
        </is>
      </c>
      <c r="AH205" s="10" t="inlineStr">
        <is>
          <t>原</t>
        </is>
      </c>
      <c r="AI205" s="10" t="inlineStr">
        <is>
          <t>中嶌</t>
        </is>
      </c>
      <c r="AJ205" s="10" t="inlineStr">
        <is>
          <t>安村</t>
        </is>
      </c>
      <c r="AK205" s="10" t="inlineStr">
        <is>
          <t>富島</t>
        </is>
      </c>
      <c r="AL205" s="10" t="inlineStr">
        <is>
          <t>門谷</t>
        </is>
      </c>
      <c r="AM205" s="10" t="inlineStr">
        <is>
          <t>柴田</t>
        </is>
      </c>
      <c r="AN205" s="10" t="inlineStr">
        <is>
          <t>中山</t>
        </is>
      </c>
      <c r="AO205" s="10" t="inlineStr">
        <is>
          <t>谷川</t>
        </is>
      </c>
      <c r="AP205" s="10" t="inlineStr">
        <is>
          <t>井川</t>
        </is>
      </c>
    </row>
    <row r="206" ht="15" customHeight="1" s="37">
      <c r="A206" t="inlineStr">
        <is>
          <t>2026-11-25</t>
        </is>
      </c>
      <c r="B206" s="10" t="inlineStr">
        <is>
          <t>水</t>
        </is>
      </c>
      <c r="C206" s="10" t="inlineStr">
        <is>
          <t>平日</t>
        </is>
      </c>
      <c r="E206" s="10" t="inlineStr">
        <is>
          <t>尾川</t>
        </is>
      </c>
      <c r="F206" s="10" t="inlineStr">
        <is>
          <t>山田真</t>
        </is>
      </c>
      <c r="G206" s="10" t="inlineStr">
        <is>
          <t>上田</t>
        </is>
      </c>
      <c r="H206" s="10" t="inlineStr">
        <is>
          <t>栗下</t>
        </is>
      </c>
      <c r="I206" s="10" t="inlineStr">
        <is>
          <t>中山</t>
        </is>
      </c>
      <c r="J206" s="10" t="inlineStr">
        <is>
          <t>横山</t>
        </is>
      </c>
      <c r="K206" s="10" t="inlineStr">
        <is>
          <t>欠員①</t>
        </is>
      </c>
      <c r="L206" s="10" t="inlineStr">
        <is>
          <t>河野</t>
        </is>
      </c>
      <c r="M206" s="10" t="inlineStr">
        <is>
          <t>市田</t>
        </is>
      </c>
      <c r="N206" s="10" t="inlineStr">
        <is>
          <t>佐野</t>
        </is>
      </c>
      <c r="O206" s="10" t="inlineStr">
        <is>
          <t>西村</t>
        </is>
      </c>
      <c r="P206" s="10" t="inlineStr">
        <is>
          <t>富島</t>
        </is>
      </c>
      <c r="Q206" s="10" t="inlineStr">
        <is>
          <t>北川</t>
        </is>
      </c>
      <c r="R206" s="10" t="inlineStr">
        <is>
          <t>上野</t>
        </is>
      </c>
      <c r="S206" s="10" t="inlineStr">
        <is>
          <t>門谷</t>
        </is>
      </c>
      <c r="T206" s="10" t="inlineStr">
        <is>
          <t>田中</t>
        </is>
      </c>
      <c r="U206" s="10" t="inlineStr">
        <is>
          <t>井川</t>
        </is>
      </c>
      <c r="V206" s="10" t="inlineStr">
        <is>
          <t>原</t>
        </is>
      </c>
      <c r="W206" s="10" t="inlineStr">
        <is>
          <t>植山</t>
        </is>
      </c>
      <c r="X206" s="10" t="inlineStr">
        <is>
          <t>山本幸</t>
        </is>
      </c>
      <c r="Y206" s="10" t="inlineStr">
        <is>
          <t>安村</t>
        </is>
      </c>
      <c r="Z206" s="10" t="inlineStr">
        <is>
          <t>中村</t>
        </is>
      </c>
      <c r="AA206" s="10" t="inlineStr">
        <is>
          <t>柴田</t>
        </is>
      </c>
      <c r="AB206" s="10" t="inlineStr">
        <is>
          <t>岡本</t>
        </is>
      </c>
      <c r="AC206" s="10" t="inlineStr">
        <is>
          <t>谷川</t>
        </is>
      </c>
      <c r="AD206" s="10" t="inlineStr">
        <is>
          <t>岩田</t>
        </is>
      </c>
      <c r="AE206" s="10" t="inlineStr">
        <is>
          <t>野口</t>
        </is>
      </c>
      <c r="AF206" s="10" t="inlineStr">
        <is>
          <t>山本高</t>
        </is>
      </c>
      <c r="AG206" s="10" t="inlineStr">
        <is>
          <t>矢田</t>
        </is>
      </c>
      <c r="AH206" s="10" t="inlineStr">
        <is>
          <t>横田</t>
        </is>
      </c>
      <c r="AI206" s="10" t="inlineStr">
        <is>
          <t>大川内</t>
        </is>
      </c>
      <c r="AJ206" s="10" t="inlineStr">
        <is>
          <t>丸田</t>
        </is>
      </c>
      <c r="AK206" s="10" t="inlineStr">
        <is>
          <t>中嶌</t>
        </is>
      </c>
      <c r="AL206" s="10" t="inlineStr">
        <is>
          <t>山田久</t>
        </is>
      </c>
      <c r="AM206" s="10" t="inlineStr">
        <is>
          <t>藤原</t>
        </is>
      </c>
      <c r="AN206" s="10" t="inlineStr">
        <is>
          <t>欠員②</t>
        </is>
      </c>
      <c r="AO206" s="10" t="inlineStr">
        <is>
          <t>馬場</t>
        </is>
      </c>
      <c r="AP206" s="10" t="inlineStr">
        <is>
          <t>内野</t>
        </is>
      </c>
    </row>
    <row r="207" ht="15" customHeight="1" s="37">
      <c r="A207" t="inlineStr">
        <is>
          <t>2026-11-26</t>
        </is>
      </c>
      <c r="B207" s="10" t="inlineStr">
        <is>
          <t>木</t>
        </is>
      </c>
      <c r="C207" s="10" t="inlineStr">
        <is>
          <t>平日</t>
        </is>
      </c>
      <c r="E207" s="10" t="inlineStr">
        <is>
          <t>門谷</t>
        </is>
      </c>
      <c r="F207" s="10" t="inlineStr">
        <is>
          <t>市田</t>
        </is>
      </c>
      <c r="G207" s="10" t="inlineStr">
        <is>
          <t>原</t>
        </is>
      </c>
      <c r="H207" s="10" t="inlineStr">
        <is>
          <t>西村</t>
        </is>
      </c>
      <c r="I207" s="10" t="inlineStr">
        <is>
          <t>欠員②</t>
        </is>
      </c>
      <c r="J207" s="10" t="inlineStr">
        <is>
          <t>植山</t>
        </is>
      </c>
      <c r="K207" s="10" t="inlineStr">
        <is>
          <t>山本高</t>
        </is>
      </c>
      <c r="L207" s="10" t="inlineStr">
        <is>
          <t>富島</t>
        </is>
      </c>
      <c r="M207" s="10" t="inlineStr">
        <is>
          <t>谷川</t>
        </is>
      </c>
      <c r="N207" s="10" t="inlineStr">
        <is>
          <t>上野</t>
        </is>
      </c>
      <c r="O207" s="10" t="inlineStr">
        <is>
          <t>山本幸</t>
        </is>
      </c>
      <c r="P207" s="10" t="inlineStr">
        <is>
          <t>中嶌</t>
        </is>
      </c>
      <c r="Q207" s="10" t="inlineStr">
        <is>
          <t>河野</t>
        </is>
      </c>
      <c r="R207" s="10" t="inlineStr">
        <is>
          <t>柴田</t>
        </is>
      </c>
      <c r="S207" s="10" t="inlineStr">
        <is>
          <t>山田久</t>
        </is>
      </c>
      <c r="T207" s="10" t="inlineStr">
        <is>
          <t>井川</t>
        </is>
      </c>
      <c r="U207" s="10" t="inlineStr">
        <is>
          <t>内野</t>
        </is>
      </c>
      <c r="V207" s="10" t="inlineStr">
        <is>
          <t>横田</t>
        </is>
      </c>
      <c r="W207" s="10" t="inlineStr">
        <is>
          <t>野口</t>
        </is>
      </c>
      <c r="X207" s="10" t="inlineStr">
        <is>
          <t>欠員①</t>
        </is>
      </c>
      <c r="Y207" s="10" t="inlineStr">
        <is>
          <t>丸田</t>
        </is>
      </c>
      <c r="Z207" s="10" t="inlineStr">
        <is>
          <t>岡本</t>
        </is>
      </c>
      <c r="AA207" s="10" t="inlineStr">
        <is>
          <t>藤原</t>
        </is>
      </c>
      <c r="AB207" s="10" t="inlineStr">
        <is>
          <t>横山</t>
        </is>
      </c>
      <c r="AC207" s="10" t="inlineStr">
        <is>
          <t>馬場</t>
        </is>
      </c>
      <c r="AD207" s="10" t="inlineStr">
        <is>
          <t>上田</t>
        </is>
      </c>
      <c r="AE207" s="10" t="inlineStr">
        <is>
          <t>栗下</t>
        </is>
      </c>
      <c r="AF207" s="10" t="inlineStr">
        <is>
          <t>山田真</t>
        </is>
      </c>
      <c r="AG207" s="10" t="inlineStr">
        <is>
          <t>佐野</t>
        </is>
      </c>
      <c r="AH207" s="10" t="inlineStr">
        <is>
          <t>北川</t>
        </is>
      </c>
      <c r="AI207" s="10" t="inlineStr">
        <is>
          <t>田中</t>
        </is>
      </c>
      <c r="AJ207" s="10" t="inlineStr">
        <is>
          <t>中山</t>
        </is>
      </c>
      <c r="AK207" s="10" t="inlineStr">
        <is>
          <t>大川内</t>
        </is>
      </c>
      <c r="AL207" s="10" t="inlineStr">
        <is>
          <t>安村</t>
        </is>
      </c>
      <c r="AM207" s="10" t="inlineStr">
        <is>
          <t>岩田</t>
        </is>
      </c>
      <c r="AN207" s="10" t="inlineStr">
        <is>
          <t>矢田</t>
        </is>
      </c>
      <c r="AO207" s="10" t="inlineStr">
        <is>
          <t>尾川</t>
        </is>
      </c>
      <c r="AP207" s="10" t="inlineStr">
        <is>
          <t>中村</t>
        </is>
      </c>
    </row>
    <row r="208" ht="15" customHeight="1" s="37">
      <c r="A208" t="inlineStr">
        <is>
          <t>2026-11-27</t>
        </is>
      </c>
      <c r="B208" s="10" t="inlineStr">
        <is>
          <t>金</t>
        </is>
      </c>
      <c r="C208" s="10" t="inlineStr">
        <is>
          <t>平日</t>
        </is>
      </c>
      <c r="E208" s="10" t="inlineStr">
        <is>
          <t>山田久</t>
        </is>
      </c>
      <c r="F208" s="10" t="inlineStr">
        <is>
          <t>谷川</t>
        </is>
      </c>
      <c r="G208" s="10" t="inlineStr">
        <is>
          <t>横田</t>
        </is>
      </c>
      <c r="H208" s="10" t="inlineStr">
        <is>
          <t>山本幸</t>
        </is>
      </c>
      <c r="I208" s="10" t="inlineStr">
        <is>
          <t>矢田</t>
        </is>
      </c>
      <c r="J208" s="10" t="inlineStr">
        <is>
          <t>野口</t>
        </is>
      </c>
      <c r="K208" s="10" t="inlineStr">
        <is>
          <t>山田真</t>
        </is>
      </c>
      <c r="L208" s="10" t="inlineStr">
        <is>
          <t>中嶌</t>
        </is>
      </c>
      <c r="M208" s="10" t="inlineStr">
        <is>
          <t>馬場</t>
        </is>
      </c>
      <c r="N208" s="10" t="inlineStr">
        <is>
          <t>柴田</t>
        </is>
      </c>
      <c r="O208" s="10" t="inlineStr">
        <is>
          <t>欠員①</t>
        </is>
      </c>
      <c r="P208" s="10" t="inlineStr">
        <is>
          <t>大川内</t>
        </is>
      </c>
      <c r="Q208" s="10" t="inlineStr">
        <is>
          <t>富島</t>
        </is>
      </c>
      <c r="R208" s="10" t="inlineStr">
        <is>
          <t>藤原</t>
        </is>
      </c>
      <c r="S208" s="10" t="inlineStr">
        <is>
          <t>安村</t>
        </is>
      </c>
      <c r="T208" s="10" t="inlineStr">
        <is>
          <t>内野</t>
        </is>
      </c>
      <c r="U208" s="10" t="inlineStr">
        <is>
          <t>中村</t>
        </is>
      </c>
      <c r="V208" s="10" t="inlineStr">
        <is>
          <t>北川</t>
        </is>
      </c>
      <c r="W208" s="10" t="inlineStr">
        <is>
          <t>栗下</t>
        </is>
      </c>
      <c r="X208" s="10" t="inlineStr">
        <is>
          <t>山本高</t>
        </is>
      </c>
      <c r="Y208" s="10" t="inlineStr">
        <is>
          <t>中山</t>
        </is>
      </c>
      <c r="Z208" s="10" t="inlineStr">
        <is>
          <t>横山</t>
        </is>
      </c>
      <c r="AA208" s="10" t="inlineStr">
        <is>
          <t>岩田</t>
        </is>
      </c>
      <c r="AB208" s="10" t="inlineStr">
        <is>
          <t>植山</t>
        </is>
      </c>
      <c r="AC208" s="10" t="inlineStr">
        <is>
          <t>尾川</t>
        </is>
      </c>
      <c r="AD208" s="10" t="inlineStr">
        <is>
          <t>原</t>
        </is>
      </c>
      <c r="AE208" s="10" t="inlineStr">
        <is>
          <t>西村</t>
        </is>
      </c>
      <c r="AF208" s="10" t="inlineStr">
        <is>
          <t>市田</t>
        </is>
      </c>
      <c r="AG208" s="10" t="inlineStr">
        <is>
          <t>上野</t>
        </is>
      </c>
      <c r="AH208" s="10" t="inlineStr">
        <is>
          <t>河野</t>
        </is>
      </c>
      <c r="AI208" s="10" t="inlineStr">
        <is>
          <t>井川</t>
        </is>
      </c>
      <c r="AJ208" s="10" t="inlineStr">
        <is>
          <t>欠員②</t>
        </is>
      </c>
      <c r="AK208" s="10" t="inlineStr">
        <is>
          <t>田中</t>
        </is>
      </c>
      <c r="AL208" s="10" t="inlineStr">
        <is>
          <t>丸田</t>
        </is>
      </c>
      <c r="AM208" s="10" t="inlineStr">
        <is>
          <t>上田</t>
        </is>
      </c>
      <c r="AN208" s="10" t="inlineStr">
        <is>
          <t>佐野</t>
        </is>
      </c>
      <c r="AO208" s="10" t="inlineStr">
        <is>
          <t>門谷</t>
        </is>
      </c>
      <c r="AP208" s="10" t="inlineStr">
        <is>
          <t>岡本</t>
        </is>
      </c>
    </row>
    <row r="209" ht="15" customHeight="1" s="37">
      <c r="A209" t="inlineStr">
        <is>
          <t>2026-11-28</t>
        </is>
      </c>
      <c r="B209" s="10" t="inlineStr">
        <is>
          <t>土</t>
        </is>
      </c>
      <c r="C209" s="10" t="inlineStr">
        <is>
          <t>休日</t>
        </is>
      </c>
      <c r="E209" s="10" t="inlineStr">
        <is>
          <t>安村</t>
        </is>
      </c>
      <c r="F209" s="10" t="inlineStr">
        <is>
          <t>馬場</t>
        </is>
      </c>
      <c r="G209" s="10" t="inlineStr">
        <is>
          <t>北川</t>
        </is>
      </c>
      <c r="H209" s="10" t="inlineStr">
        <is>
          <t>欠員①</t>
        </is>
      </c>
      <c r="I209" s="10" t="inlineStr">
        <is>
          <t>佐野</t>
        </is>
      </c>
      <c r="J209" s="10" t="inlineStr">
        <is>
          <t>栗下</t>
        </is>
      </c>
      <c r="K209" s="10" t="inlineStr">
        <is>
          <t>市田</t>
        </is>
      </c>
      <c r="L209" s="10" t="inlineStr">
        <is>
          <t>大川内</t>
        </is>
      </c>
      <c r="M209" s="10" t="inlineStr">
        <is>
          <t>尾川</t>
        </is>
      </c>
      <c r="N209" s="10" t="inlineStr">
        <is>
          <t>藤原</t>
        </is>
      </c>
      <c r="O209" s="10" t="inlineStr">
        <is>
          <t>山本高</t>
        </is>
      </c>
      <c r="P209" s="10" t="inlineStr">
        <is>
          <t>田中</t>
        </is>
      </c>
      <c r="Q209" s="10" t="inlineStr">
        <is>
          <t>中嶌</t>
        </is>
      </c>
      <c r="R209" s="10" t="inlineStr">
        <is>
          <t>岩田</t>
        </is>
      </c>
      <c r="S209" s="10" t="inlineStr">
        <is>
          <t>丸田</t>
        </is>
      </c>
      <c r="T209" s="10" t="inlineStr">
        <is>
          <t>中村</t>
        </is>
      </c>
      <c r="U209" s="10" t="inlineStr">
        <is>
          <t>岡本</t>
        </is>
      </c>
      <c r="V209" s="10" t="inlineStr">
        <is>
          <t>河野</t>
        </is>
      </c>
      <c r="W209" s="10" t="inlineStr">
        <is>
          <t>西村</t>
        </is>
      </c>
      <c r="X209" s="10" t="inlineStr">
        <is>
          <t>山田真</t>
        </is>
      </c>
      <c r="Y209" s="10" t="inlineStr">
        <is>
          <t>欠員②</t>
        </is>
      </c>
      <c r="Z209" s="10" t="inlineStr">
        <is>
          <t>植山</t>
        </is>
      </c>
      <c r="AA209" s="10" t="inlineStr">
        <is>
          <t>上田</t>
        </is>
      </c>
      <c r="AB209" s="10" t="inlineStr">
        <is>
          <t>野口</t>
        </is>
      </c>
      <c r="AC209" s="10" t="inlineStr">
        <is>
          <t>門谷</t>
        </is>
      </c>
      <c r="AD209" s="10" t="inlineStr">
        <is>
          <t>横田</t>
        </is>
      </c>
      <c r="AE209" s="10" t="inlineStr">
        <is>
          <t>山本幸</t>
        </is>
      </c>
      <c r="AF209" s="10" t="inlineStr">
        <is>
          <t>谷川</t>
        </is>
      </c>
      <c r="AG209" s="10" t="inlineStr">
        <is>
          <t>柴田</t>
        </is>
      </c>
      <c r="AH209" s="10" t="inlineStr">
        <is>
          <t>富島</t>
        </is>
      </c>
      <c r="AI209" s="10" t="inlineStr">
        <is>
          <t>内野</t>
        </is>
      </c>
      <c r="AJ209" s="10" t="inlineStr">
        <is>
          <t>矢田</t>
        </is>
      </c>
      <c r="AK209" s="10" t="inlineStr">
        <is>
          <t>井川</t>
        </is>
      </c>
      <c r="AL209" s="10" t="inlineStr">
        <is>
          <t>中山</t>
        </is>
      </c>
      <c r="AM209" s="10" t="inlineStr">
        <is>
          <t>原</t>
        </is>
      </c>
      <c r="AN209" s="10" t="inlineStr">
        <is>
          <t>上野</t>
        </is>
      </c>
      <c r="AO209" s="10" t="inlineStr">
        <is>
          <t>山田久</t>
        </is>
      </c>
      <c r="AP209" s="10" t="inlineStr">
        <is>
          <t>横山</t>
        </is>
      </c>
    </row>
    <row r="210" ht="15" customHeight="1" s="37">
      <c r="A210" t="inlineStr">
        <is>
          <t>2026-11-29</t>
        </is>
      </c>
      <c r="B210" s="10" t="inlineStr">
        <is>
          <t>日</t>
        </is>
      </c>
      <c r="C210" s="10" t="inlineStr">
        <is>
          <t>休日</t>
        </is>
      </c>
      <c r="E210" s="10" t="inlineStr">
        <is>
          <t>丸田</t>
        </is>
      </c>
      <c r="F210" s="10" t="inlineStr">
        <is>
          <t>尾川</t>
        </is>
      </c>
      <c r="G210" s="10" t="inlineStr">
        <is>
          <t>河野</t>
        </is>
      </c>
      <c r="H210" s="10" t="inlineStr">
        <is>
          <t>山本高</t>
        </is>
      </c>
      <c r="I210" s="10" t="inlineStr">
        <is>
          <t>上野</t>
        </is>
      </c>
      <c r="J210" s="10" t="inlineStr">
        <is>
          <t>西村</t>
        </is>
      </c>
      <c r="K210" s="10" t="inlineStr">
        <is>
          <t>谷川</t>
        </is>
      </c>
      <c r="L210" s="10" t="inlineStr">
        <is>
          <t>田中</t>
        </is>
      </c>
      <c r="M210" s="10" t="inlineStr">
        <is>
          <t>門谷</t>
        </is>
      </c>
      <c r="N210" s="10" t="inlineStr">
        <is>
          <t>岩田</t>
        </is>
      </c>
      <c r="O210" s="10" t="inlineStr">
        <is>
          <t>山田真</t>
        </is>
      </c>
      <c r="P210" s="10" t="inlineStr">
        <is>
          <t>井川</t>
        </is>
      </c>
      <c r="Q210" s="10" t="inlineStr">
        <is>
          <t>大川内</t>
        </is>
      </c>
      <c r="R210" s="10" t="inlineStr">
        <is>
          <t>上田</t>
        </is>
      </c>
      <c r="S210" s="10" t="inlineStr">
        <is>
          <t>中山</t>
        </is>
      </c>
      <c r="T210" s="10" t="inlineStr">
        <is>
          <t>岡本</t>
        </is>
      </c>
      <c r="U210" s="10" t="inlineStr">
        <is>
          <t>横山</t>
        </is>
      </c>
      <c r="V210" s="10" t="inlineStr">
        <is>
          <t>富島</t>
        </is>
      </c>
      <c r="W210" s="10" t="inlineStr">
        <is>
          <t>山本幸</t>
        </is>
      </c>
      <c r="X210" s="10" t="inlineStr">
        <is>
          <t>市田</t>
        </is>
      </c>
      <c r="Y210" s="10" t="inlineStr">
        <is>
          <t>矢田</t>
        </is>
      </c>
      <c r="Z210" s="10" t="inlineStr">
        <is>
          <t>野口</t>
        </is>
      </c>
      <c r="AA210" s="10" t="inlineStr">
        <is>
          <t>原</t>
        </is>
      </c>
      <c r="AB210" s="10" t="inlineStr">
        <is>
          <t>栗下</t>
        </is>
      </c>
      <c r="AC210" s="10" t="inlineStr">
        <is>
          <t>山田久</t>
        </is>
      </c>
      <c r="AD210" s="10" t="inlineStr">
        <is>
          <t>北川</t>
        </is>
      </c>
      <c r="AE210" s="10" t="inlineStr">
        <is>
          <t>欠員①</t>
        </is>
      </c>
      <c r="AF210" s="10" t="inlineStr">
        <is>
          <t>馬場</t>
        </is>
      </c>
      <c r="AG210" s="10" t="inlineStr">
        <is>
          <t>藤原</t>
        </is>
      </c>
      <c r="AH210" s="10" t="inlineStr">
        <is>
          <t>中嶌</t>
        </is>
      </c>
      <c r="AI210" s="10" t="inlineStr">
        <is>
          <t>中村</t>
        </is>
      </c>
      <c r="AJ210" s="10" t="inlineStr">
        <is>
          <t>佐野</t>
        </is>
      </c>
      <c r="AK210" s="10" t="inlineStr">
        <is>
          <t>内野</t>
        </is>
      </c>
      <c r="AL210" s="10" t="inlineStr">
        <is>
          <t>欠員②</t>
        </is>
      </c>
      <c r="AM210" s="10" t="inlineStr">
        <is>
          <t>横田</t>
        </is>
      </c>
      <c r="AN210" s="10" t="inlineStr">
        <is>
          <t>柴田</t>
        </is>
      </c>
      <c r="AO210" s="10" t="inlineStr">
        <is>
          <t>安村</t>
        </is>
      </c>
      <c r="AP210" s="10" t="inlineStr">
        <is>
          <t>植山</t>
        </is>
      </c>
    </row>
    <row r="211" ht="15" customHeight="1" s="37">
      <c r="A211" t="inlineStr">
        <is>
          <t>2026-11-30</t>
        </is>
      </c>
      <c r="B211" s="10" t="inlineStr">
        <is>
          <t>月</t>
        </is>
      </c>
      <c r="C211" s="10" t="inlineStr">
        <is>
          <t>平日</t>
        </is>
      </c>
      <c r="E211" s="10" t="inlineStr">
        <is>
          <t>中山</t>
        </is>
      </c>
      <c r="F211" s="10" t="inlineStr">
        <is>
          <t>門谷</t>
        </is>
      </c>
      <c r="G211" s="10" t="inlineStr">
        <is>
          <t>富島</t>
        </is>
      </c>
      <c r="H211" s="10" t="inlineStr">
        <is>
          <t>山田真</t>
        </is>
      </c>
      <c r="I211" s="10" t="inlineStr">
        <is>
          <t>柴田</t>
        </is>
      </c>
      <c r="J211" s="10" t="inlineStr">
        <is>
          <t>山本幸</t>
        </is>
      </c>
      <c r="K211" s="10" t="inlineStr">
        <is>
          <t>馬場</t>
        </is>
      </c>
      <c r="L211" s="10" t="inlineStr">
        <is>
          <t>井川</t>
        </is>
      </c>
      <c r="M211" s="10" t="inlineStr">
        <is>
          <t>山田久</t>
        </is>
      </c>
      <c r="N211" s="10" t="inlineStr">
        <is>
          <t>上田</t>
        </is>
      </c>
      <c r="O211" s="10" t="inlineStr">
        <is>
          <t>市田</t>
        </is>
      </c>
      <c r="P211" s="10" t="inlineStr">
        <is>
          <t>内野</t>
        </is>
      </c>
      <c r="Q211" s="10" t="inlineStr">
        <is>
          <t>田中</t>
        </is>
      </c>
      <c r="R211" s="10" t="inlineStr">
        <is>
          <t>原</t>
        </is>
      </c>
      <c r="S211" s="10" t="inlineStr">
        <is>
          <t>欠員②</t>
        </is>
      </c>
      <c r="T211" s="10" t="inlineStr">
        <is>
          <t>横山</t>
        </is>
      </c>
      <c r="U211" s="10" t="inlineStr">
        <is>
          <t>植山</t>
        </is>
      </c>
      <c r="V211" s="10" t="inlineStr">
        <is>
          <t>中嶌</t>
        </is>
      </c>
      <c r="W211" s="10" t="inlineStr">
        <is>
          <t>欠員①</t>
        </is>
      </c>
      <c r="X211" s="10" t="inlineStr">
        <is>
          <t>谷川</t>
        </is>
      </c>
      <c r="Y211" s="10" t="inlineStr">
        <is>
          <t>佐野</t>
        </is>
      </c>
      <c r="Z211" s="10" t="inlineStr">
        <is>
          <t>栗下</t>
        </is>
      </c>
      <c r="AA211" s="10" t="inlineStr">
        <is>
          <t>横田</t>
        </is>
      </c>
      <c r="AB211" s="10" t="inlineStr">
        <is>
          <t>西村</t>
        </is>
      </c>
      <c r="AC211" s="10" t="inlineStr">
        <is>
          <t>安村</t>
        </is>
      </c>
      <c r="AD211" s="10" t="inlineStr">
        <is>
          <t>河野</t>
        </is>
      </c>
      <c r="AE211" s="10" t="inlineStr">
        <is>
          <t>山本高</t>
        </is>
      </c>
      <c r="AF211" s="10" t="inlineStr">
        <is>
          <t>尾川</t>
        </is>
      </c>
      <c r="AG211" s="10" t="inlineStr">
        <is>
          <t>岩田</t>
        </is>
      </c>
      <c r="AH211" s="10" t="inlineStr">
        <is>
          <t>大川内</t>
        </is>
      </c>
      <c r="AI211" s="10" t="inlineStr">
        <is>
          <t>岡本</t>
        </is>
      </c>
      <c r="AJ211" s="10" t="inlineStr">
        <is>
          <t>上野</t>
        </is>
      </c>
      <c r="AK211" s="10" t="inlineStr">
        <is>
          <t>中村</t>
        </is>
      </c>
      <c r="AL211" s="10" t="inlineStr">
        <is>
          <t>矢田</t>
        </is>
      </c>
      <c r="AM211" s="10" t="inlineStr">
        <is>
          <t>北川</t>
        </is>
      </c>
      <c r="AN211" s="10" t="inlineStr">
        <is>
          <t>藤原</t>
        </is>
      </c>
      <c r="AO211" s="10" t="inlineStr">
        <is>
          <t>丸田</t>
        </is>
      </c>
      <c r="AP211" s="10" t="inlineStr">
        <is>
          <t>野口</t>
        </is>
      </c>
    </row>
    <row r="212" ht="15" customHeight="1" s="37">
      <c r="A212" t="inlineStr">
        <is>
          <t>2026-12-01</t>
        </is>
      </c>
      <c r="B212" s="10" t="inlineStr">
        <is>
          <t>火</t>
        </is>
      </c>
      <c r="C212" s="10" t="inlineStr">
        <is>
          <t>平日</t>
        </is>
      </c>
      <c r="E212" s="10" t="inlineStr">
        <is>
          <t>欠員②</t>
        </is>
      </c>
      <c r="F212" s="10" t="inlineStr">
        <is>
          <t>山田久</t>
        </is>
      </c>
      <c r="G212" s="10" t="inlineStr">
        <is>
          <t>中嶌</t>
        </is>
      </c>
      <c r="H212" s="10" t="inlineStr">
        <is>
          <t>市田</t>
        </is>
      </c>
      <c r="I212" s="10" t="inlineStr">
        <is>
          <t>藤原</t>
        </is>
      </c>
      <c r="J212" s="10" t="inlineStr">
        <is>
          <t>欠員①</t>
        </is>
      </c>
      <c r="K212" s="10" t="inlineStr">
        <is>
          <t>尾川</t>
        </is>
      </c>
      <c r="L212" s="10" t="inlineStr">
        <is>
          <t>内野</t>
        </is>
      </c>
      <c r="M212" s="10" t="inlineStr">
        <is>
          <t>安村</t>
        </is>
      </c>
      <c r="N212" s="10" t="inlineStr">
        <is>
          <t>原</t>
        </is>
      </c>
      <c r="O212" s="10" t="inlineStr">
        <is>
          <t>谷川</t>
        </is>
      </c>
      <c r="P212" s="10" t="inlineStr">
        <is>
          <t>中村</t>
        </is>
      </c>
      <c r="Q212" s="10" t="inlineStr">
        <is>
          <t>井川</t>
        </is>
      </c>
      <c r="R212" s="10" t="inlineStr">
        <is>
          <t>横田</t>
        </is>
      </c>
      <c r="S212" s="10" t="inlineStr">
        <is>
          <t>矢田</t>
        </is>
      </c>
      <c r="T212" s="10" t="inlineStr">
        <is>
          <t>植山</t>
        </is>
      </c>
      <c r="U212" s="10" t="inlineStr">
        <is>
          <t>野口</t>
        </is>
      </c>
      <c r="V212" s="10" t="inlineStr">
        <is>
          <t>大川内</t>
        </is>
      </c>
      <c r="W212" s="10" t="inlineStr">
        <is>
          <t>山本高</t>
        </is>
      </c>
      <c r="X212" s="10" t="inlineStr">
        <is>
          <t>馬場</t>
        </is>
      </c>
      <c r="Y212" s="10" t="inlineStr">
        <is>
          <t>上野</t>
        </is>
      </c>
      <c r="Z212" s="10" t="inlineStr">
        <is>
          <t>西村</t>
        </is>
      </c>
      <c r="AA212" s="10" t="inlineStr">
        <is>
          <t>北川</t>
        </is>
      </c>
      <c r="AB212" s="10" t="inlineStr">
        <is>
          <t>山本幸</t>
        </is>
      </c>
      <c r="AC212" s="10" t="inlineStr">
        <is>
          <t>丸田</t>
        </is>
      </c>
      <c r="AD212" s="10" t="inlineStr">
        <is>
          <t>富島</t>
        </is>
      </c>
      <c r="AE212" s="10" t="inlineStr">
        <is>
          <t>山田真</t>
        </is>
      </c>
      <c r="AF212" s="10" t="inlineStr">
        <is>
          <t>門谷</t>
        </is>
      </c>
      <c r="AG212" s="10" t="inlineStr">
        <is>
          <t>上田</t>
        </is>
      </c>
      <c r="AH212" s="10" t="inlineStr">
        <is>
          <t>田中</t>
        </is>
      </c>
      <c r="AI212" s="10" t="inlineStr">
        <is>
          <t>横山</t>
        </is>
      </c>
      <c r="AJ212" s="10" t="inlineStr">
        <is>
          <t>柴田</t>
        </is>
      </c>
      <c r="AK212" s="10" t="inlineStr">
        <is>
          <t>岡本</t>
        </is>
      </c>
      <c r="AL212" s="10" t="inlineStr">
        <is>
          <t>佐野</t>
        </is>
      </c>
      <c r="AM212" s="10" t="inlineStr">
        <is>
          <t>河野</t>
        </is>
      </c>
      <c r="AN212" s="10" t="inlineStr">
        <is>
          <t>岩田</t>
        </is>
      </c>
      <c r="AO212" s="10" t="inlineStr">
        <is>
          <t>中山</t>
        </is>
      </c>
      <c r="AP212" s="10" t="inlineStr">
        <is>
          <t>栗下</t>
        </is>
      </c>
    </row>
    <row r="213" ht="15" customHeight="1" s="37">
      <c r="A213" t="inlineStr">
        <is>
          <t>2026-12-02</t>
        </is>
      </c>
      <c r="B213" s="10" t="inlineStr">
        <is>
          <t>水</t>
        </is>
      </c>
      <c r="C213" s="10" t="inlineStr">
        <is>
          <t>平日</t>
        </is>
      </c>
      <c r="E213" s="10" t="inlineStr">
        <is>
          <t>矢田</t>
        </is>
      </c>
      <c r="F213" s="10" t="inlineStr">
        <is>
          <t>安村</t>
        </is>
      </c>
      <c r="G213" s="10" t="inlineStr">
        <is>
          <t>大川内</t>
        </is>
      </c>
      <c r="H213" s="10" t="inlineStr">
        <is>
          <t>谷川</t>
        </is>
      </c>
      <c r="I213" s="10" t="inlineStr">
        <is>
          <t>岩田</t>
        </is>
      </c>
      <c r="J213" s="10" t="inlineStr">
        <is>
          <t>山本高</t>
        </is>
      </c>
      <c r="K213" s="10" t="inlineStr">
        <is>
          <t>門谷</t>
        </is>
      </c>
      <c r="L213" s="10" t="inlineStr">
        <is>
          <t>中村</t>
        </is>
      </c>
      <c r="M213" s="10" t="inlineStr">
        <is>
          <t>丸田</t>
        </is>
      </c>
      <c r="N213" s="10" t="inlineStr">
        <is>
          <t>横田</t>
        </is>
      </c>
      <c r="O213" s="10" t="inlineStr">
        <is>
          <t>馬場</t>
        </is>
      </c>
      <c r="P213" s="10" t="inlineStr">
        <is>
          <t>岡本</t>
        </is>
      </c>
      <c r="Q213" s="10" t="inlineStr">
        <is>
          <t>内野</t>
        </is>
      </c>
      <c r="R213" s="10" t="inlineStr">
        <is>
          <t>北川</t>
        </is>
      </c>
      <c r="S213" s="10" t="inlineStr">
        <is>
          <t>佐野</t>
        </is>
      </c>
      <c r="T213" s="10" t="inlineStr">
        <is>
          <t>野口</t>
        </is>
      </c>
      <c r="U213" s="10" t="inlineStr">
        <is>
          <t>栗下</t>
        </is>
      </c>
      <c r="V213" s="10" t="inlineStr">
        <is>
          <t>田中</t>
        </is>
      </c>
      <c r="W213" s="10" t="inlineStr">
        <is>
          <t>山田真</t>
        </is>
      </c>
      <c r="X213" s="10" t="inlineStr">
        <is>
          <t>尾川</t>
        </is>
      </c>
      <c r="Y213" s="10" t="inlineStr">
        <is>
          <t>柴田</t>
        </is>
      </c>
      <c r="Z213" s="10" t="inlineStr">
        <is>
          <t>山本幸</t>
        </is>
      </c>
      <c r="AA213" s="10" t="inlineStr">
        <is>
          <t>河野</t>
        </is>
      </c>
      <c r="AB213" s="10" t="inlineStr">
        <is>
          <t>欠員①</t>
        </is>
      </c>
      <c r="AC213" s="10" t="inlineStr">
        <is>
          <t>中山</t>
        </is>
      </c>
      <c r="AD213" s="10" t="inlineStr">
        <is>
          <t>中嶌</t>
        </is>
      </c>
      <c r="AE213" s="10" t="inlineStr">
        <is>
          <t>市田</t>
        </is>
      </c>
      <c r="AF213" s="10" t="inlineStr">
        <is>
          <t>山田久</t>
        </is>
      </c>
      <c r="AG213" s="10" t="inlineStr">
        <is>
          <t>原</t>
        </is>
      </c>
      <c r="AH213" s="10" t="inlineStr">
        <is>
          <t>井川</t>
        </is>
      </c>
      <c r="AI213" s="10" t="inlineStr">
        <is>
          <t>植山</t>
        </is>
      </c>
      <c r="AJ213" s="10" t="inlineStr">
        <is>
          <t>藤原</t>
        </is>
      </c>
      <c r="AK213" s="10" t="inlineStr">
        <is>
          <t>横山</t>
        </is>
      </c>
      <c r="AL213" s="10" t="inlineStr">
        <is>
          <t>上野</t>
        </is>
      </c>
      <c r="AM213" s="10" t="inlineStr">
        <is>
          <t>富島</t>
        </is>
      </c>
      <c r="AN213" s="10" t="inlineStr">
        <is>
          <t>上田</t>
        </is>
      </c>
      <c r="AO213" s="10" t="inlineStr">
        <is>
          <t>欠員②</t>
        </is>
      </c>
      <c r="AP213" s="10" t="inlineStr">
        <is>
          <t>西村</t>
        </is>
      </c>
    </row>
    <row r="214" ht="15" customHeight="1" s="37">
      <c r="A214" t="inlineStr">
        <is>
          <t>2026-12-03</t>
        </is>
      </c>
      <c r="B214" s="10" t="inlineStr">
        <is>
          <t>木</t>
        </is>
      </c>
      <c r="C214" s="10" t="inlineStr">
        <is>
          <t>平日</t>
        </is>
      </c>
      <c r="E214" s="10" t="inlineStr">
        <is>
          <t>佐野</t>
        </is>
      </c>
      <c r="F214" s="10" t="inlineStr">
        <is>
          <t>丸田</t>
        </is>
      </c>
      <c r="G214" s="10" t="inlineStr">
        <is>
          <t>田中</t>
        </is>
      </c>
      <c r="H214" s="10" t="inlineStr">
        <is>
          <t>馬場</t>
        </is>
      </c>
      <c r="I214" s="10" t="inlineStr">
        <is>
          <t>上田</t>
        </is>
      </c>
      <c r="J214" s="10" t="inlineStr">
        <is>
          <t>山田真</t>
        </is>
      </c>
      <c r="K214" s="10" t="inlineStr">
        <is>
          <t>山田久</t>
        </is>
      </c>
      <c r="L214" s="10" t="inlineStr">
        <is>
          <t>岡本</t>
        </is>
      </c>
      <c r="M214" s="10" t="inlineStr">
        <is>
          <t>中山</t>
        </is>
      </c>
      <c r="N214" s="10" t="inlineStr">
        <is>
          <t>北川</t>
        </is>
      </c>
      <c r="O214" s="10" t="inlineStr">
        <is>
          <t>尾川</t>
        </is>
      </c>
      <c r="P214" s="10" t="inlineStr">
        <is>
          <t>横山</t>
        </is>
      </c>
      <c r="Q214" s="10" t="inlineStr">
        <is>
          <t>中村</t>
        </is>
      </c>
      <c r="R214" s="10" t="inlineStr">
        <is>
          <t>河野</t>
        </is>
      </c>
      <c r="S214" s="10" t="inlineStr">
        <is>
          <t>上野</t>
        </is>
      </c>
      <c r="T214" s="10" t="inlineStr">
        <is>
          <t>栗下</t>
        </is>
      </c>
      <c r="U214" s="10" t="inlineStr">
        <is>
          <t>西村</t>
        </is>
      </c>
      <c r="V214" s="10" t="inlineStr">
        <is>
          <t>井川</t>
        </is>
      </c>
      <c r="W214" s="10" t="inlineStr">
        <is>
          <t>市田</t>
        </is>
      </c>
      <c r="X214" s="10" t="inlineStr">
        <is>
          <t>門谷</t>
        </is>
      </c>
      <c r="Y214" s="10" t="inlineStr">
        <is>
          <t>藤原</t>
        </is>
      </c>
      <c r="Z214" s="10" t="inlineStr">
        <is>
          <t>欠員①</t>
        </is>
      </c>
      <c r="AA214" s="10" t="inlineStr">
        <is>
          <t>富島</t>
        </is>
      </c>
      <c r="AB214" s="10" t="inlineStr">
        <is>
          <t>山本高</t>
        </is>
      </c>
      <c r="AC214" s="10" t="inlineStr">
        <is>
          <t>欠員②</t>
        </is>
      </c>
      <c r="AD214" s="10" t="inlineStr">
        <is>
          <t>大川内</t>
        </is>
      </c>
      <c r="AE214" s="10" t="inlineStr">
        <is>
          <t>谷川</t>
        </is>
      </c>
      <c r="AF214" s="10" t="inlineStr">
        <is>
          <t>安村</t>
        </is>
      </c>
      <c r="AG214" s="10" t="inlineStr">
        <is>
          <t>横田</t>
        </is>
      </c>
      <c r="AH214" s="10" t="inlineStr">
        <is>
          <t>内野</t>
        </is>
      </c>
      <c r="AI214" s="10" t="inlineStr">
        <is>
          <t>野口</t>
        </is>
      </c>
      <c r="AJ214" s="10" t="inlineStr">
        <is>
          <t>岩田</t>
        </is>
      </c>
      <c r="AK214" s="10" t="inlineStr">
        <is>
          <t>植山</t>
        </is>
      </c>
      <c r="AL214" s="10" t="inlineStr">
        <is>
          <t>柴田</t>
        </is>
      </c>
      <c r="AM214" s="10" t="inlineStr">
        <is>
          <t>中嶌</t>
        </is>
      </c>
      <c r="AN214" s="10" t="inlineStr">
        <is>
          <t>原</t>
        </is>
      </c>
      <c r="AO214" s="10" t="inlineStr">
        <is>
          <t>矢田</t>
        </is>
      </c>
      <c r="AP214" s="10" t="inlineStr">
        <is>
          <t>山本幸</t>
        </is>
      </c>
    </row>
    <row r="215" ht="15" customHeight="1" s="37">
      <c r="A215" t="inlineStr">
        <is>
          <t>2026-12-04</t>
        </is>
      </c>
      <c r="B215" s="10" t="inlineStr">
        <is>
          <t>金</t>
        </is>
      </c>
      <c r="C215" s="10" t="inlineStr">
        <is>
          <t>平日</t>
        </is>
      </c>
      <c r="E215" s="10" t="inlineStr">
        <is>
          <t>上野</t>
        </is>
      </c>
      <c r="F215" s="10" t="inlineStr">
        <is>
          <t>中山</t>
        </is>
      </c>
      <c r="G215" s="10" t="inlineStr">
        <is>
          <t>井川</t>
        </is>
      </c>
      <c r="H215" s="10" t="inlineStr">
        <is>
          <t>尾川</t>
        </is>
      </c>
      <c r="I215" s="10" t="inlineStr">
        <is>
          <t>原</t>
        </is>
      </c>
      <c r="J215" s="10" t="inlineStr">
        <is>
          <t>市田</t>
        </is>
      </c>
      <c r="K215" s="10" t="inlineStr">
        <is>
          <t>安村</t>
        </is>
      </c>
      <c r="L215" s="10" t="inlineStr">
        <is>
          <t>横山</t>
        </is>
      </c>
      <c r="M215" s="10" t="inlineStr">
        <is>
          <t>欠員②</t>
        </is>
      </c>
      <c r="N215" s="10" t="inlineStr">
        <is>
          <t>河野</t>
        </is>
      </c>
      <c r="O215" s="10" t="inlineStr">
        <is>
          <t>門谷</t>
        </is>
      </c>
      <c r="P215" s="10" t="inlineStr">
        <is>
          <t>植山</t>
        </is>
      </c>
      <c r="Q215" s="10" t="inlineStr">
        <is>
          <t>岡本</t>
        </is>
      </c>
      <c r="R215" s="10" t="inlineStr">
        <is>
          <t>富島</t>
        </is>
      </c>
      <c r="S215" s="10" t="inlineStr">
        <is>
          <t>柴田</t>
        </is>
      </c>
      <c r="T215" s="10" t="inlineStr">
        <is>
          <t>西村</t>
        </is>
      </c>
      <c r="U215" s="10" t="inlineStr">
        <is>
          <t>山本幸</t>
        </is>
      </c>
      <c r="V215" s="10" t="inlineStr">
        <is>
          <t>内野</t>
        </is>
      </c>
      <c r="W215" s="10" t="inlineStr">
        <is>
          <t>谷川</t>
        </is>
      </c>
      <c r="X215" s="10" t="inlineStr">
        <is>
          <t>山田久</t>
        </is>
      </c>
      <c r="Y215" s="10" t="inlineStr">
        <is>
          <t>岩田</t>
        </is>
      </c>
      <c r="Z215" s="10" t="inlineStr">
        <is>
          <t>山本高</t>
        </is>
      </c>
      <c r="AA215" s="10" t="inlineStr">
        <is>
          <t>中嶌</t>
        </is>
      </c>
      <c r="AB215" s="10" t="inlineStr">
        <is>
          <t>山田真</t>
        </is>
      </c>
      <c r="AC215" s="10" t="inlineStr">
        <is>
          <t>矢田</t>
        </is>
      </c>
      <c r="AD215" s="10" t="inlineStr">
        <is>
          <t>田中</t>
        </is>
      </c>
      <c r="AE215" s="10" t="inlineStr">
        <is>
          <t>馬場</t>
        </is>
      </c>
      <c r="AF215" s="10" t="inlineStr">
        <is>
          <t>丸田</t>
        </is>
      </c>
      <c r="AG215" s="10" t="inlineStr">
        <is>
          <t>北川</t>
        </is>
      </c>
      <c r="AH215" s="10" t="inlineStr">
        <is>
          <t>中村</t>
        </is>
      </c>
      <c r="AI215" s="10" t="inlineStr">
        <is>
          <t>栗下</t>
        </is>
      </c>
      <c r="AJ215" s="10" t="inlineStr">
        <is>
          <t>上田</t>
        </is>
      </c>
      <c r="AK215" s="10" t="inlineStr">
        <is>
          <t>野口</t>
        </is>
      </c>
      <c r="AL215" s="10" t="inlineStr">
        <is>
          <t>藤原</t>
        </is>
      </c>
      <c r="AM215" s="10" t="inlineStr">
        <is>
          <t>大川内</t>
        </is>
      </c>
      <c r="AN215" s="10" t="inlineStr">
        <is>
          <t>横田</t>
        </is>
      </c>
      <c r="AO215" s="10" t="inlineStr">
        <is>
          <t>佐野</t>
        </is>
      </c>
      <c r="AP215" s="10" t="inlineStr">
        <is>
          <t>欠員①</t>
        </is>
      </c>
    </row>
    <row r="216" ht="15" customHeight="1" s="37">
      <c r="A216" t="inlineStr">
        <is>
          <t>2026-12-05</t>
        </is>
      </c>
      <c r="B216" s="10" t="inlineStr">
        <is>
          <t>土</t>
        </is>
      </c>
      <c r="C216" s="10" t="inlineStr">
        <is>
          <t>休日</t>
        </is>
      </c>
      <c r="E216" s="10" t="inlineStr">
        <is>
          <t>柴田</t>
        </is>
      </c>
      <c r="F216" s="10" t="inlineStr">
        <is>
          <t>欠員②</t>
        </is>
      </c>
      <c r="G216" s="10" t="inlineStr">
        <is>
          <t>内野</t>
        </is>
      </c>
      <c r="H216" s="10" t="inlineStr">
        <is>
          <t>門谷</t>
        </is>
      </c>
      <c r="I216" s="10" t="inlineStr">
        <is>
          <t>横田</t>
        </is>
      </c>
      <c r="J216" s="10" t="inlineStr">
        <is>
          <t>谷川</t>
        </is>
      </c>
      <c r="K216" s="10" t="inlineStr">
        <is>
          <t>丸田</t>
        </is>
      </c>
      <c r="L216" s="10" t="inlineStr">
        <is>
          <t>植山</t>
        </is>
      </c>
      <c r="M216" s="10" t="inlineStr">
        <is>
          <t>矢田</t>
        </is>
      </c>
      <c r="N216" s="10" t="inlineStr">
        <is>
          <t>富島</t>
        </is>
      </c>
      <c r="O216" s="10" t="inlineStr">
        <is>
          <t>山田久</t>
        </is>
      </c>
      <c r="P216" s="10" t="inlineStr">
        <is>
          <t>野口</t>
        </is>
      </c>
      <c r="Q216" s="10" t="inlineStr">
        <is>
          <t>横山</t>
        </is>
      </c>
      <c r="R216" s="10" t="inlineStr">
        <is>
          <t>中嶌</t>
        </is>
      </c>
      <c r="S216" s="10" t="inlineStr">
        <is>
          <t>藤原</t>
        </is>
      </c>
      <c r="T216" s="10" t="inlineStr">
        <is>
          <t>山本幸</t>
        </is>
      </c>
      <c r="U216" s="10" t="inlineStr">
        <is>
          <t>欠員①</t>
        </is>
      </c>
      <c r="V216" s="10" t="inlineStr">
        <is>
          <t>中村</t>
        </is>
      </c>
      <c r="W216" s="10" t="inlineStr">
        <is>
          <t>馬場</t>
        </is>
      </c>
      <c r="X216" s="10" t="inlineStr">
        <is>
          <t>安村</t>
        </is>
      </c>
      <c r="Y216" s="10" t="inlineStr">
        <is>
          <t>上田</t>
        </is>
      </c>
      <c r="Z216" s="10" t="inlineStr">
        <is>
          <t>山田真</t>
        </is>
      </c>
      <c r="AA216" s="10" t="inlineStr">
        <is>
          <t>大川内</t>
        </is>
      </c>
      <c r="AB216" s="10" t="inlineStr">
        <is>
          <t>市田</t>
        </is>
      </c>
      <c r="AC216" s="10" t="inlineStr">
        <is>
          <t>佐野</t>
        </is>
      </c>
      <c r="AD216" s="10" t="inlineStr">
        <is>
          <t>井川</t>
        </is>
      </c>
      <c r="AE216" s="10" t="inlineStr">
        <is>
          <t>尾川</t>
        </is>
      </c>
      <c r="AF216" s="10" t="inlineStr">
        <is>
          <t>中山</t>
        </is>
      </c>
      <c r="AG216" s="10" t="inlineStr">
        <is>
          <t>河野</t>
        </is>
      </c>
      <c r="AH216" s="10" t="inlineStr">
        <is>
          <t>岡本</t>
        </is>
      </c>
      <c r="AI216" s="10" t="inlineStr">
        <is>
          <t>西村</t>
        </is>
      </c>
      <c r="AJ216" s="10" t="inlineStr">
        <is>
          <t>原</t>
        </is>
      </c>
      <c r="AK216" s="10" t="inlineStr">
        <is>
          <t>栗下</t>
        </is>
      </c>
      <c r="AL216" s="10" t="inlineStr">
        <is>
          <t>岩田</t>
        </is>
      </c>
      <c r="AM216" s="10" t="inlineStr">
        <is>
          <t>田中</t>
        </is>
      </c>
      <c r="AN216" s="10" t="inlineStr">
        <is>
          <t>北川</t>
        </is>
      </c>
      <c r="AO216" s="10" t="inlineStr">
        <is>
          <t>上野</t>
        </is>
      </c>
      <c r="AP216" s="10" t="inlineStr">
        <is>
          <t>山本高</t>
        </is>
      </c>
    </row>
    <row r="217" ht="15" customHeight="1" s="37">
      <c r="A217" t="inlineStr">
        <is>
          <t>2026-12-06</t>
        </is>
      </c>
      <c r="B217" s="10" t="inlineStr">
        <is>
          <t>日</t>
        </is>
      </c>
      <c r="C217" s="10" t="inlineStr">
        <is>
          <t>休日</t>
        </is>
      </c>
      <c r="E217" s="10" t="inlineStr">
        <is>
          <t>藤原</t>
        </is>
      </c>
      <c r="F217" s="10" t="inlineStr">
        <is>
          <t>矢田</t>
        </is>
      </c>
      <c r="G217" s="10" t="inlineStr">
        <is>
          <t>中村</t>
        </is>
      </c>
      <c r="H217" s="10" t="inlineStr">
        <is>
          <t>山田久</t>
        </is>
      </c>
      <c r="I217" s="10" t="inlineStr">
        <is>
          <t>北川</t>
        </is>
      </c>
      <c r="J217" s="10" t="inlineStr">
        <is>
          <t>馬場</t>
        </is>
      </c>
      <c r="K217" s="10" t="inlineStr">
        <is>
          <t>中山</t>
        </is>
      </c>
      <c r="L217" s="10" t="inlineStr">
        <is>
          <t>野口</t>
        </is>
      </c>
      <c r="M217" s="10" t="inlineStr">
        <is>
          <t>佐野</t>
        </is>
      </c>
      <c r="N217" s="10" t="inlineStr">
        <is>
          <t>中嶌</t>
        </is>
      </c>
      <c r="O217" s="10" t="inlineStr">
        <is>
          <t>安村</t>
        </is>
      </c>
      <c r="P217" s="10" t="inlineStr">
        <is>
          <t>栗下</t>
        </is>
      </c>
      <c r="Q217" s="10" t="inlineStr">
        <is>
          <t>植山</t>
        </is>
      </c>
      <c r="R217" s="10" t="inlineStr">
        <is>
          <t>大川内</t>
        </is>
      </c>
      <c r="S217" s="10" t="inlineStr">
        <is>
          <t>岩田</t>
        </is>
      </c>
      <c r="T217" s="10" t="inlineStr">
        <is>
          <t>欠員①</t>
        </is>
      </c>
      <c r="U217" s="10" t="inlineStr">
        <is>
          <t>山本高</t>
        </is>
      </c>
      <c r="V217" s="10" t="inlineStr">
        <is>
          <t>岡本</t>
        </is>
      </c>
      <c r="W217" s="10" t="inlineStr">
        <is>
          <t>尾川</t>
        </is>
      </c>
      <c r="X217" s="10" t="inlineStr">
        <is>
          <t>丸田</t>
        </is>
      </c>
      <c r="Y217" s="10" t="inlineStr">
        <is>
          <t>原</t>
        </is>
      </c>
      <c r="Z217" s="10" t="inlineStr">
        <is>
          <t>市田</t>
        </is>
      </c>
      <c r="AA217" s="10" t="inlineStr">
        <is>
          <t>田中</t>
        </is>
      </c>
      <c r="AB217" s="10" t="inlineStr">
        <is>
          <t>谷川</t>
        </is>
      </c>
      <c r="AC217" s="10" t="inlineStr">
        <is>
          <t>上野</t>
        </is>
      </c>
      <c r="AD217" s="10" t="inlineStr">
        <is>
          <t>内野</t>
        </is>
      </c>
      <c r="AE217" s="10" t="inlineStr">
        <is>
          <t>門谷</t>
        </is>
      </c>
      <c r="AF217" s="10" t="inlineStr">
        <is>
          <t>欠員②</t>
        </is>
      </c>
      <c r="AG217" s="10" t="inlineStr">
        <is>
          <t>富島</t>
        </is>
      </c>
      <c r="AH217" s="10" t="inlineStr">
        <is>
          <t>横山</t>
        </is>
      </c>
      <c r="AI217" s="10" t="inlineStr">
        <is>
          <t>山本幸</t>
        </is>
      </c>
      <c r="AJ217" s="10" t="inlineStr">
        <is>
          <t>横田</t>
        </is>
      </c>
      <c r="AK217" s="10" t="inlineStr">
        <is>
          <t>西村</t>
        </is>
      </c>
      <c r="AL217" s="10" t="inlineStr">
        <is>
          <t>上田</t>
        </is>
      </c>
      <c r="AM217" s="10" t="inlineStr">
        <is>
          <t>井川</t>
        </is>
      </c>
      <c r="AN217" s="10" t="inlineStr">
        <is>
          <t>河野</t>
        </is>
      </c>
      <c r="AO217" s="10" t="inlineStr">
        <is>
          <t>柴田</t>
        </is>
      </c>
      <c r="AP217" s="10" t="inlineStr">
        <is>
          <t>山田真</t>
        </is>
      </c>
    </row>
    <row r="218" ht="15" customHeight="1" s="37">
      <c r="A218" t="inlineStr">
        <is>
          <t>2026-12-07</t>
        </is>
      </c>
      <c r="B218" s="10" t="inlineStr">
        <is>
          <t>月</t>
        </is>
      </c>
      <c r="C218" s="10" t="inlineStr">
        <is>
          <t>平日</t>
        </is>
      </c>
      <c r="E218" s="10" t="inlineStr">
        <is>
          <t>岩田</t>
        </is>
      </c>
      <c r="F218" s="10" t="inlineStr">
        <is>
          <t>佐野</t>
        </is>
      </c>
      <c r="G218" s="10" t="inlineStr">
        <is>
          <t>岡本</t>
        </is>
      </c>
      <c r="H218" s="10" t="inlineStr">
        <is>
          <t>安村</t>
        </is>
      </c>
      <c r="I218" s="10" t="inlineStr">
        <is>
          <t>河野</t>
        </is>
      </c>
      <c r="J218" s="10" t="inlineStr">
        <is>
          <t>尾川</t>
        </is>
      </c>
      <c r="K218" s="10" t="inlineStr">
        <is>
          <t>欠員②</t>
        </is>
      </c>
      <c r="L218" s="10" t="inlineStr">
        <is>
          <t>栗下</t>
        </is>
      </c>
      <c r="M218" s="10" t="inlineStr">
        <is>
          <t>上野</t>
        </is>
      </c>
      <c r="N218" s="10" t="inlineStr">
        <is>
          <t>大川内</t>
        </is>
      </c>
      <c r="O218" s="10" t="inlineStr">
        <is>
          <t>丸田</t>
        </is>
      </c>
      <c r="P218" s="10" t="inlineStr">
        <is>
          <t>西村</t>
        </is>
      </c>
      <c r="Q218" s="10" t="inlineStr">
        <is>
          <t>野口</t>
        </is>
      </c>
      <c r="R218" s="10" t="inlineStr">
        <is>
          <t>田中</t>
        </is>
      </c>
      <c r="S218" s="10" t="inlineStr">
        <is>
          <t>上田</t>
        </is>
      </c>
      <c r="T218" s="10" t="inlineStr">
        <is>
          <t>山本高</t>
        </is>
      </c>
      <c r="U218" s="10" t="inlineStr">
        <is>
          <t>山田真</t>
        </is>
      </c>
      <c r="V218" s="10" t="inlineStr">
        <is>
          <t>横山</t>
        </is>
      </c>
      <c r="W218" s="10" t="inlineStr">
        <is>
          <t>門谷</t>
        </is>
      </c>
      <c r="X218" s="10" t="inlineStr">
        <is>
          <t>中山</t>
        </is>
      </c>
      <c r="Y218" s="10" t="inlineStr">
        <is>
          <t>横田</t>
        </is>
      </c>
      <c r="Z218" s="10" t="inlineStr">
        <is>
          <t>谷川</t>
        </is>
      </c>
      <c r="AA218" s="10" t="inlineStr">
        <is>
          <t>井川</t>
        </is>
      </c>
      <c r="AB218" s="10" t="inlineStr">
        <is>
          <t>馬場</t>
        </is>
      </c>
      <c r="AC218" s="10" t="inlineStr">
        <is>
          <t>柴田</t>
        </is>
      </c>
      <c r="AD218" s="10" t="inlineStr">
        <is>
          <t>中村</t>
        </is>
      </c>
      <c r="AE218" s="10" t="inlineStr">
        <is>
          <t>山田久</t>
        </is>
      </c>
      <c r="AF218" s="10" t="inlineStr">
        <is>
          <t>矢田</t>
        </is>
      </c>
      <c r="AG218" s="10" t="inlineStr">
        <is>
          <t>中嶌</t>
        </is>
      </c>
      <c r="AH218" s="10" t="inlineStr">
        <is>
          <t>植山</t>
        </is>
      </c>
      <c r="AI218" s="10" t="inlineStr">
        <is>
          <t>欠員①</t>
        </is>
      </c>
      <c r="AJ218" s="10" t="inlineStr">
        <is>
          <t>北川</t>
        </is>
      </c>
      <c r="AK218" s="10" t="inlineStr">
        <is>
          <t>山本幸</t>
        </is>
      </c>
      <c r="AL218" s="10" t="inlineStr">
        <is>
          <t>原</t>
        </is>
      </c>
      <c r="AM218" s="10" t="inlineStr">
        <is>
          <t>内野</t>
        </is>
      </c>
      <c r="AN218" s="10" t="inlineStr">
        <is>
          <t>富島</t>
        </is>
      </c>
      <c r="AO218" s="10" t="inlineStr">
        <is>
          <t>藤原</t>
        </is>
      </c>
      <c r="AP218" s="10" t="inlineStr">
        <is>
          <t>市田</t>
        </is>
      </c>
    </row>
    <row r="219" ht="15" customHeight="1" s="37">
      <c r="A219" t="inlineStr">
        <is>
          <t>2026-12-08</t>
        </is>
      </c>
      <c r="B219" s="10" t="inlineStr">
        <is>
          <t>火</t>
        </is>
      </c>
      <c r="C219" s="10" t="inlineStr">
        <is>
          <t>平日</t>
        </is>
      </c>
      <c r="E219" s="10" t="inlineStr">
        <is>
          <t>上田</t>
        </is>
      </c>
      <c r="F219" s="10" t="inlineStr">
        <is>
          <t>上野</t>
        </is>
      </c>
      <c r="G219" s="10" t="inlineStr">
        <is>
          <t>横山</t>
        </is>
      </c>
      <c r="H219" s="10" t="inlineStr">
        <is>
          <t>丸田</t>
        </is>
      </c>
      <c r="I219" s="10" t="inlineStr">
        <is>
          <t>富島</t>
        </is>
      </c>
      <c r="J219" s="10" t="inlineStr">
        <is>
          <t>門谷</t>
        </is>
      </c>
      <c r="K219" s="10" t="inlineStr">
        <is>
          <t>矢田</t>
        </is>
      </c>
      <c r="L219" s="10" t="inlineStr">
        <is>
          <t>西村</t>
        </is>
      </c>
      <c r="M219" s="10" t="inlineStr">
        <is>
          <t>柴田</t>
        </is>
      </c>
      <c r="N219" s="10" t="inlineStr">
        <is>
          <t>田中</t>
        </is>
      </c>
      <c r="O219" s="10" t="inlineStr">
        <is>
          <t>中山</t>
        </is>
      </c>
      <c r="P219" s="10" t="inlineStr">
        <is>
          <t>山本幸</t>
        </is>
      </c>
      <c r="Q219" s="10" t="inlineStr">
        <is>
          <t>栗下</t>
        </is>
      </c>
      <c r="R219" s="10" t="inlineStr">
        <is>
          <t>井川</t>
        </is>
      </c>
      <c r="S219" s="10" t="inlineStr">
        <is>
          <t>原</t>
        </is>
      </c>
      <c r="T219" s="10" t="inlineStr">
        <is>
          <t>山田真</t>
        </is>
      </c>
      <c r="U219" s="10" t="inlineStr">
        <is>
          <t>市田</t>
        </is>
      </c>
      <c r="V219" s="10" t="inlineStr">
        <is>
          <t>植山</t>
        </is>
      </c>
      <c r="W219" s="10" t="inlineStr">
        <is>
          <t>山田久</t>
        </is>
      </c>
      <c r="X219" s="10" t="inlineStr">
        <is>
          <t>欠員②</t>
        </is>
      </c>
      <c r="Y219" s="10" t="inlineStr">
        <is>
          <t>北川</t>
        </is>
      </c>
      <c r="Z219" s="10" t="inlineStr">
        <is>
          <t>馬場</t>
        </is>
      </c>
      <c r="AA219" s="10" t="inlineStr">
        <is>
          <t>内野</t>
        </is>
      </c>
      <c r="AB219" s="10" t="inlineStr">
        <is>
          <t>尾川</t>
        </is>
      </c>
      <c r="AC219" s="10" t="inlineStr">
        <is>
          <t>藤原</t>
        </is>
      </c>
      <c r="AD219" s="10" t="inlineStr">
        <is>
          <t>岡本</t>
        </is>
      </c>
      <c r="AE219" s="10" t="inlineStr">
        <is>
          <t>安村</t>
        </is>
      </c>
      <c r="AF219" s="10" t="inlineStr">
        <is>
          <t>佐野</t>
        </is>
      </c>
      <c r="AG219" s="10" t="inlineStr">
        <is>
          <t>大川内</t>
        </is>
      </c>
      <c r="AH219" s="10" t="inlineStr">
        <is>
          <t>野口</t>
        </is>
      </c>
      <c r="AI219" s="10" t="inlineStr">
        <is>
          <t>山本高</t>
        </is>
      </c>
      <c r="AJ219" s="10" t="inlineStr">
        <is>
          <t>河野</t>
        </is>
      </c>
      <c r="AK219" s="10" t="inlineStr">
        <is>
          <t>欠員①</t>
        </is>
      </c>
      <c r="AL219" s="10" t="inlineStr">
        <is>
          <t>横田</t>
        </is>
      </c>
      <c r="AM219" s="10" t="inlineStr">
        <is>
          <t>中村</t>
        </is>
      </c>
      <c r="AN219" s="10" t="inlineStr">
        <is>
          <t>中嶌</t>
        </is>
      </c>
      <c r="AO219" s="10" t="inlineStr">
        <is>
          <t>岩田</t>
        </is>
      </c>
      <c r="AP219" s="10" t="inlineStr">
        <is>
          <t>谷川</t>
        </is>
      </c>
    </row>
    <row r="220" ht="15" customHeight="1" s="37">
      <c r="A220" t="inlineStr">
        <is>
          <t>2026-12-09</t>
        </is>
      </c>
      <c r="B220" s="10" t="inlineStr">
        <is>
          <t>水</t>
        </is>
      </c>
      <c r="C220" s="10" t="inlineStr">
        <is>
          <t>平日</t>
        </is>
      </c>
      <c r="E220" s="10" t="inlineStr">
        <is>
          <t>原</t>
        </is>
      </c>
      <c r="F220" s="10" t="inlineStr">
        <is>
          <t>柴田</t>
        </is>
      </c>
      <c r="G220" s="10" t="inlineStr">
        <is>
          <t>植山</t>
        </is>
      </c>
      <c r="H220" s="10" t="inlineStr">
        <is>
          <t>中山</t>
        </is>
      </c>
      <c r="I220" s="10" t="inlineStr">
        <is>
          <t>中嶌</t>
        </is>
      </c>
      <c r="J220" s="10" t="inlineStr">
        <is>
          <t>山田久</t>
        </is>
      </c>
      <c r="K220" s="10" t="inlineStr">
        <is>
          <t>佐野</t>
        </is>
      </c>
      <c r="L220" s="10" t="inlineStr">
        <is>
          <t>山本幸</t>
        </is>
      </c>
      <c r="M220" s="10" t="inlineStr">
        <is>
          <t>藤原</t>
        </is>
      </c>
      <c r="N220" s="10" t="inlineStr">
        <is>
          <t>井川</t>
        </is>
      </c>
      <c r="O220" s="10" t="inlineStr">
        <is>
          <t>欠員②</t>
        </is>
      </c>
      <c r="P220" s="10" t="inlineStr">
        <is>
          <t>欠員①</t>
        </is>
      </c>
      <c r="Q220" s="10" t="inlineStr">
        <is>
          <t>西村</t>
        </is>
      </c>
      <c r="R220" s="10" t="inlineStr">
        <is>
          <t>内野</t>
        </is>
      </c>
      <c r="S220" s="10" t="inlineStr">
        <is>
          <t>横田</t>
        </is>
      </c>
      <c r="T220" s="10" t="inlineStr">
        <is>
          <t>市田</t>
        </is>
      </c>
      <c r="U220" s="10" t="inlineStr">
        <is>
          <t>谷川</t>
        </is>
      </c>
      <c r="V220" s="10" t="inlineStr">
        <is>
          <t>野口</t>
        </is>
      </c>
      <c r="W220" s="10" t="inlineStr">
        <is>
          <t>安村</t>
        </is>
      </c>
      <c r="X220" s="10" t="inlineStr">
        <is>
          <t>矢田</t>
        </is>
      </c>
      <c r="Y220" s="10" t="inlineStr">
        <is>
          <t>河野</t>
        </is>
      </c>
      <c r="Z220" s="10" t="inlineStr">
        <is>
          <t>尾川</t>
        </is>
      </c>
      <c r="AA220" s="10" t="inlineStr">
        <is>
          <t>中村</t>
        </is>
      </c>
      <c r="AB220" s="10" t="inlineStr">
        <is>
          <t>門谷</t>
        </is>
      </c>
      <c r="AC220" s="10" t="inlineStr">
        <is>
          <t>岩田</t>
        </is>
      </c>
      <c r="AD220" s="10" t="inlineStr">
        <is>
          <t>横山</t>
        </is>
      </c>
      <c r="AE220" s="10" t="inlineStr">
        <is>
          <t>丸田</t>
        </is>
      </c>
      <c r="AF220" s="10" t="inlineStr">
        <is>
          <t>上野</t>
        </is>
      </c>
      <c r="AG220" s="10" t="inlineStr">
        <is>
          <t>田中</t>
        </is>
      </c>
      <c r="AH220" s="10" t="inlineStr">
        <is>
          <t>栗下</t>
        </is>
      </c>
      <c r="AI220" s="10" t="inlineStr">
        <is>
          <t>山田真</t>
        </is>
      </c>
      <c r="AJ220" s="10" t="inlineStr">
        <is>
          <t>富島</t>
        </is>
      </c>
      <c r="AK220" s="10" t="inlineStr">
        <is>
          <t>山本高</t>
        </is>
      </c>
      <c r="AL220" s="10" t="inlineStr">
        <is>
          <t>北川</t>
        </is>
      </c>
      <c r="AM220" s="10" t="inlineStr">
        <is>
          <t>岡本</t>
        </is>
      </c>
      <c r="AN220" s="10" t="inlineStr">
        <is>
          <t>大川内</t>
        </is>
      </c>
      <c r="AO220" s="10" t="inlineStr">
        <is>
          <t>上田</t>
        </is>
      </c>
      <c r="AP220" s="10" t="inlineStr">
        <is>
          <t>馬場</t>
        </is>
      </c>
    </row>
    <row r="221" ht="15" customHeight="1" s="37">
      <c r="A221" t="inlineStr">
        <is>
          <t>2026-12-10</t>
        </is>
      </c>
      <c r="B221" s="10" t="inlineStr">
        <is>
          <t>木</t>
        </is>
      </c>
      <c r="C221" s="10" t="inlineStr">
        <is>
          <t>平日</t>
        </is>
      </c>
      <c r="E221" s="10" t="inlineStr">
        <is>
          <t>横田</t>
        </is>
      </c>
      <c r="F221" s="10" t="inlineStr">
        <is>
          <t>藤原</t>
        </is>
      </c>
      <c r="G221" s="10" t="inlineStr">
        <is>
          <t>野口</t>
        </is>
      </c>
      <c r="H221" s="10" t="inlineStr">
        <is>
          <t>欠員②</t>
        </is>
      </c>
      <c r="I221" s="10" t="inlineStr">
        <is>
          <t>大川内</t>
        </is>
      </c>
      <c r="J221" s="10" t="inlineStr">
        <is>
          <t>安村</t>
        </is>
      </c>
      <c r="K221" s="10" t="inlineStr">
        <is>
          <t>上野</t>
        </is>
      </c>
      <c r="L221" s="10" t="inlineStr">
        <is>
          <t>欠員①</t>
        </is>
      </c>
      <c r="M221" s="10" t="inlineStr">
        <is>
          <t>岩田</t>
        </is>
      </c>
      <c r="N221" s="10" t="inlineStr">
        <is>
          <t>内野</t>
        </is>
      </c>
      <c r="O221" s="10" t="inlineStr">
        <is>
          <t>矢田</t>
        </is>
      </c>
      <c r="P221" s="10" t="inlineStr">
        <is>
          <t>山本高</t>
        </is>
      </c>
      <c r="Q221" s="10" t="inlineStr">
        <is>
          <t>山本幸</t>
        </is>
      </c>
      <c r="R221" s="10" t="inlineStr">
        <is>
          <t>中村</t>
        </is>
      </c>
      <c r="S221" s="10" t="inlineStr">
        <is>
          <t>北川</t>
        </is>
      </c>
      <c r="T221" s="10" t="inlineStr">
        <is>
          <t>谷川</t>
        </is>
      </c>
      <c r="U221" s="10" t="inlineStr">
        <is>
          <t>馬場</t>
        </is>
      </c>
      <c r="V221" s="10" t="inlineStr">
        <is>
          <t>栗下</t>
        </is>
      </c>
      <c r="W221" s="10" t="inlineStr">
        <is>
          <t>丸田</t>
        </is>
      </c>
      <c r="X221" s="10" t="inlineStr">
        <is>
          <t>佐野</t>
        </is>
      </c>
      <c r="Y221" s="10" t="inlineStr">
        <is>
          <t>富島</t>
        </is>
      </c>
      <c r="Z221" s="10" t="inlineStr">
        <is>
          <t>門谷</t>
        </is>
      </c>
      <c r="AA221" s="10" t="inlineStr">
        <is>
          <t>岡本</t>
        </is>
      </c>
      <c r="AB221" s="10" t="inlineStr">
        <is>
          <t>山田久</t>
        </is>
      </c>
      <c r="AC221" s="10" t="inlineStr">
        <is>
          <t>上田</t>
        </is>
      </c>
      <c r="AD221" s="10" t="inlineStr">
        <is>
          <t>植山</t>
        </is>
      </c>
      <c r="AE221" s="10" t="inlineStr">
        <is>
          <t>中山</t>
        </is>
      </c>
      <c r="AF221" s="10" t="inlineStr">
        <is>
          <t>柴田</t>
        </is>
      </c>
      <c r="AG221" s="10" t="inlineStr">
        <is>
          <t>井川</t>
        </is>
      </c>
      <c r="AH221" s="10" t="inlineStr">
        <is>
          <t>西村</t>
        </is>
      </c>
      <c r="AI221" s="10" t="inlineStr">
        <is>
          <t>市田</t>
        </is>
      </c>
      <c r="AJ221" s="10" t="inlineStr">
        <is>
          <t>中嶌</t>
        </is>
      </c>
      <c r="AK221" s="10" t="inlineStr">
        <is>
          <t>山田真</t>
        </is>
      </c>
      <c r="AL221" s="10" t="inlineStr">
        <is>
          <t>河野</t>
        </is>
      </c>
      <c r="AM221" s="10" t="inlineStr">
        <is>
          <t>横山</t>
        </is>
      </c>
      <c r="AN221" s="10" t="inlineStr">
        <is>
          <t>田中</t>
        </is>
      </c>
      <c r="AO221" s="10" t="inlineStr">
        <is>
          <t>原</t>
        </is>
      </c>
      <c r="AP221" s="10" t="inlineStr">
        <is>
          <t>尾川</t>
        </is>
      </c>
    </row>
    <row r="222" ht="15" customHeight="1" s="37">
      <c r="A222" t="inlineStr">
        <is>
          <t>2026-12-11</t>
        </is>
      </c>
      <c r="B222" s="10" t="inlineStr">
        <is>
          <t>金</t>
        </is>
      </c>
      <c r="C222" s="10" t="inlineStr">
        <is>
          <t>平日</t>
        </is>
      </c>
      <c r="E222" s="10" t="inlineStr">
        <is>
          <t>北川</t>
        </is>
      </c>
      <c r="F222" s="10" t="inlineStr">
        <is>
          <t>岩田</t>
        </is>
      </c>
      <c r="G222" s="10" t="inlineStr">
        <is>
          <t>栗下</t>
        </is>
      </c>
      <c r="H222" s="10" t="inlineStr">
        <is>
          <t>矢田</t>
        </is>
      </c>
      <c r="I222" s="10" t="inlineStr">
        <is>
          <t>田中</t>
        </is>
      </c>
      <c r="J222" s="10" t="inlineStr">
        <is>
          <t>丸田</t>
        </is>
      </c>
      <c r="K222" s="10" t="inlineStr">
        <is>
          <t>柴田</t>
        </is>
      </c>
      <c r="L222" s="10" t="inlineStr">
        <is>
          <t>山本高</t>
        </is>
      </c>
      <c r="M222" s="10" t="inlineStr">
        <is>
          <t>上田</t>
        </is>
      </c>
      <c r="N222" s="10" t="inlineStr">
        <is>
          <t>中村</t>
        </is>
      </c>
      <c r="O222" s="10" t="inlineStr">
        <is>
          <t>佐野</t>
        </is>
      </c>
      <c r="P222" s="10" t="inlineStr">
        <is>
          <t>山田真</t>
        </is>
      </c>
      <c r="Q222" s="10" t="inlineStr">
        <is>
          <t>欠員①</t>
        </is>
      </c>
      <c r="R222" s="10" t="inlineStr">
        <is>
          <t>岡本</t>
        </is>
      </c>
      <c r="S222" s="10" t="inlineStr">
        <is>
          <t>河野</t>
        </is>
      </c>
      <c r="T222" s="10" t="inlineStr">
        <is>
          <t>馬場</t>
        </is>
      </c>
      <c r="U222" s="10" t="inlineStr">
        <is>
          <t>尾川</t>
        </is>
      </c>
      <c r="V222" s="10" t="inlineStr">
        <is>
          <t>西村</t>
        </is>
      </c>
      <c r="W222" s="10" t="inlineStr">
        <is>
          <t>中山</t>
        </is>
      </c>
      <c r="X222" s="10" t="inlineStr">
        <is>
          <t>上野</t>
        </is>
      </c>
      <c r="Y222" s="10" t="inlineStr">
        <is>
          <t>中嶌</t>
        </is>
      </c>
      <c r="Z222" s="10" t="inlineStr">
        <is>
          <t>山田久</t>
        </is>
      </c>
      <c r="AA222" s="10" t="inlineStr">
        <is>
          <t>横山</t>
        </is>
      </c>
      <c r="AB222" s="10" t="inlineStr">
        <is>
          <t>安村</t>
        </is>
      </c>
      <c r="AC222" s="10" t="inlineStr">
        <is>
          <t>原</t>
        </is>
      </c>
      <c r="AD222" s="10" t="inlineStr">
        <is>
          <t>野口</t>
        </is>
      </c>
      <c r="AE222" s="10" t="inlineStr">
        <is>
          <t>欠員②</t>
        </is>
      </c>
      <c r="AF222" s="10" t="inlineStr">
        <is>
          <t>藤原</t>
        </is>
      </c>
      <c r="AG222" s="10" t="inlineStr">
        <is>
          <t>内野</t>
        </is>
      </c>
      <c r="AH222" s="10" t="inlineStr">
        <is>
          <t>山本幸</t>
        </is>
      </c>
      <c r="AI222" s="10" t="inlineStr">
        <is>
          <t>谷川</t>
        </is>
      </c>
      <c r="AJ222" s="10" t="inlineStr">
        <is>
          <t>大川内</t>
        </is>
      </c>
      <c r="AK222" s="10" t="inlineStr">
        <is>
          <t>市田</t>
        </is>
      </c>
      <c r="AL222" s="10" t="inlineStr">
        <is>
          <t>富島</t>
        </is>
      </c>
      <c r="AM222" s="10" t="inlineStr">
        <is>
          <t>植山</t>
        </is>
      </c>
      <c r="AN222" s="10" t="inlineStr">
        <is>
          <t>井川</t>
        </is>
      </c>
      <c r="AO222" s="10" t="inlineStr">
        <is>
          <t>横田</t>
        </is>
      </c>
      <c r="AP222" s="10" t="inlineStr">
        <is>
          <t>門谷</t>
        </is>
      </c>
    </row>
    <row r="223" ht="15" customHeight="1" s="37">
      <c r="A223" t="inlineStr">
        <is>
          <t>2026-12-12</t>
        </is>
      </c>
      <c r="B223" s="10" t="inlineStr">
        <is>
          <t>土</t>
        </is>
      </c>
      <c r="C223" s="10" t="inlineStr">
        <is>
          <t>休日</t>
        </is>
      </c>
      <c r="E223" s="10" t="inlineStr">
        <is>
          <t>河野</t>
        </is>
      </c>
      <c r="F223" s="10" t="inlineStr">
        <is>
          <t>上田</t>
        </is>
      </c>
      <c r="G223" s="10" t="inlineStr">
        <is>
          <t>西村</t>
        </is>
      </c>
      <c r="H223" s="10" t="inlineStr">
        <is>
          <t>佐野</t>
        </is>
      </c>
      <c r="I223" s="10" t="inlineStr">
        <is>
          <t>井川</t>
        </is>
      </c>
      <c r="J223" s="10" t="inlineStr">
        <is>
          <t>中山</t>
        </is>
      </c>
      <c r="K223" s="10" t="inlineStr">
        <is>
          <t>藤原</t>
        </is>
      </c>
      <c r="L223" s="10" t="inlineStr">
        <is>
          <t>山田真</t>
        </is>
      </c>
      <c r="M223" s="10" t="inlineStr">
        <is>
          <t>原</t>
        </is>
      </c>
      <c r="N223" s="10" t="inlineStr">
        <is>
          <t>岡本</t>
        </is>
      </c>
      <c r="O223" s="10" t="inlineStr">
        <is>
          <t>上野</t>
        </is>
      </c>
      <c r="P223" s="10" t="inlineStr">
        <is>
          <t>市田</t>
        </is>
      </c>
      <c r="Q223" s="10" t="inlineStr">
        <is>
          <t>山本高</t>
        </is>
      </c>
      <c r="R223" s="10" t="inlineStr">
        <is>
          <t>横山</t>
        </is>
      </c>
      <c r="S223" s="10" t="inlineStr">
        <is>
          <t>富島</t>
        </is>
      </c>
      <c r="T223" s="10" t="inlineStr">
        <is>
          <t>尾川</t>
        </is>
      </c>
      <c r="U223" s="10" t="inlineStr">
        <is>
          <t>門谷</t>
        </is>
      </c>
      <c r="V223" s="10" t="inlineStr">
        <is>
          <t>山本幸</t>
        </is>
      </c>
      <c r="W223" s="10" t="inlineStr">
        <is>
          <t>欠員②</t>
        </is>
      </c>
      <c r="X223" s="10" t="inlineStr">
        <is>
          <t>柴田</t>
        </is>
      </c>
      <c r="Y223" s="10" t="inlineStr">
        <is>
          <t>大川内</t>
        </is>
      </c>
      <c r="Z223" s="10" t="inlineStr">
        <is>
          <t>安村</t>
        </is>
      </c>
      <c r="AA223" s="10" t="inlineStr">
        <is>
          <t>植山</t>
        </is>
      </c>
      <c r="AB223" s="10" t="inlineStr">
        <is>
          <t>丸田</t>
        </is>
      </c>
      <c r="AC223" s="10" t="inlineStr">
        <is>
          <t>横田</t>
        </is>
      </c>
      <c r="AD223" s="10" t="inlineStr">
        <is>
          <t>栗下</t>
        </is>
      </c>
      <c r="AE223" s="10" t="inlineStr">
        <is>
          <t>矢田</t>
        </is>
      </c>
      <c r="AF223" s="10" t="inlineStr">
        <is>
          <t>岩田</t>
        </is>
      </c>
      <c r="AG223" s="10" t="inlineStr">
        <is>
          <t>中村</t>
        </is>
      </c>
      <c r="AH223" s="10" t="inlineStr">
        <is>
          <t>欠員①</t>
        </is>
      </c>
      <c r="AI223" s="10" t="inlineStr">
        <is>
          <t>馬場</t>
        </is>
      </c>
      <c r="AJ223" s="10" t="inlineStr">
        <is>
          <t>田中</t>
        </is>
      </c>
      <c r="AK223" s="10" t="inlineStr">
        <is>
          <t>谷川</t>
        </is>
      </c>
      <c r="AL223" s="10" t="inlineStr">
        <is>
          <t>中嶌</t>
        </is>
      </c>
      <c r="AM223" s="10" t="inlineStr">
        <is>
          <t>野口</t>
        </is>
      </c>
      <c r="AN223" s="10" t="inlineStr">
        <is>
          <t>内野</t>
        </is>
      </c>
      <c r="AO223" s="10" t="inlineStr">
        <is>
          <t>北川</t>
        </is>
      </c>
      <c r="AP223" s="10" t="inlineStr">
        <is>
          <t>山田久</t>
        </is>
      </c>
    </row>
    <row r="224" ht="15" customHeight="1" s="37">
      <c r="A224" t="inlineStr">
        <is>
          <t>2026-12-13</t>
        </is>
      </c>
      <c r="B224" s="10" t="inlineStr">
        <is>
          <t>日</t>
        </is>
      </c>
      <c r="C224" s="10" t="inlineStr">
        <is>
          <t>休日</t>
        </is>
      </c>
      <c r="E224" s="10" t="inlineStr">
        <is>
          <t>富島</t>
        </is>
      </c>
      <c r="F224" s="10" t="inlineStr">
        <is>
          <t>原</t>
        </is>
      </c>
      <c r="G224" s="10" t="inlineStr">
        <is>
          <t>山本幸</t>
        </is>
      </c>
      <c r="H224" s="10" t="inlineStr">
        <is>
          <t>上野</t>
        </is>
      </c>
      <c r="I224" s="10" t="inlineStr">
        <is>
          <t>内野</t>
        </is>
      </c>
      <c r="J224" s="10" t="inlineStr">
        <is>
          <t>欠員②</t>
        </is>
      </c>
      <c r="K224" s="10" t="inlineStr">
        <is>
          <t>岩田</t>
        </is>
      </c>
      <c r="L224" s="10" t="inlineStr">
        <is>
          <t>市田</t>
        </is>
      </c>
      <c r="M224" s="10" t="inlineStr">
        <is>
          <t>横田</t>
        </is>
      </c>
      <c r="N224" s="10" t="inlineStr">
        <is>
          <t>横山</t>
        </is>
      </c>
      <c r="O224" s="10" t="inlineStr">
        <is>
          <t>柴田</t>
        </is>
      </c>
      <c r="P224" s="10" t="inlineStr">
        <is>
          <t>谷川</t>
        </is>
      </c>
      <c r="Q224" s="10" t="inlineStr">
        <is>
          <t>山田真</t>
        </is>
      </c>
      <c r="R224" s="10" t="inlineStr">
        <is>
          <t>植山</t>
        </is>
      </c>
      <c r="S224" s="10" t="inlineStr">
        <is>
          <t>中嶌</t>
        </is>
      </c>
      <c r="T224" s="10" t="inlineStr">
        <is>
          <t>門谷</t>
        </is>
      </c>
      <c r="U224" s="10" t="inlineStr">
        <is>
          <t>山田久</t>
        </is>
      </c>
      <c r="V224" s="10" t="inlineStr">
        <is>
          <t>欠員①</t>
        </is>
      </c>
      <c r="W224" s="10" t="inlineStr">
        <is>
          <t>矢田</t>
        </is>
      </c>
      <c r="X224" s="10" t="inlineStr">
        <is>
          <t>藤原</t>
        </is>
      </c>
      <c r="Y224" s="10" t="inlineStr">
        <is>
          <t>田中</t>
        </is>
      </c>
      <c r="Z224" s="10" t="inlineStr">
        <is>
          <t>丸田</t>
        </is>
      </c>
      <c r="AA224" s="10" t="inlineStr">
        <is>
          <t>野口</t>
        </is>
      </c>
      <c r="AB224" s="10" t="inlineStr">
        <is>
          <t>中山</t>
        </is>
      </c>
      <c r="AC224" s="10" t="inlineStr">
        <is>
          <t>北川</t>
        </is>
      </c>
      <c r="AD224" s="10" t="inlineStr">
        <is>
          <t>西村</t>
        </is>
      </c>
      <c r="AE224" s="10" t="inlineStr">
        <is>
          <t>佐野</t>
        </is>
      </c>
      <c r="AF224" s="10" t="inlineStr">
        <is>
          <t>上田</t>
        </is>
      </c>
      <c r="AG224" s="10" t="inlineStr">
        <is>
          <t>岡本</t>
        </is>
      </c>
      <c r="AH224" s="10" t="inlineStr">
        <is>
          <t>山本高</t>
        </is>
      </c>
      <c r="AI224" s="10" t="inlineStr">
        <is>
          <t>尾川</t>
        </is>
      </c>
      <c r="AJ224" s="10" t="inlineStr">
        <is>
          <t>井川</t>
        </is>
      </c>
      <c r="AK224" s="10" t="inlineStr">
        <is>
          <t>馬場</t>
        </is>
      </c>
      <c r="AL224" s="10" t="inlineStr">
        <is>
          <t>大川内</t>
        </is>
      </c>
      <c r="AM224" s="10" t="inlineStr">
        <is>
          <t>栗下</t>
        </is>
      </c>
      <c r="AN224" s="10" t="inlineStr">
        <is>
          <t>中村</t>
        </is>
      </c>
      <c r="AO224" s="10" t="inlineStr">
        <is>
          <t>河野</t>
        </is>
      </c>
      <c r="AP224" s="10" t="inlineStr">
        <is>
          <t>安村</t>
        </is>
      </c>
    </row>
    <row r="225" ht="15" customHeight="1" s="37">
      <c r="A225" t="inlineStr">
        <is>
          <t>2026-12-14</t>
        </is>
      </c>
      <c r="B225" s="10" t="inlineStr">
        <is>
          <t>月</t>
        </is>
      </c>
      <c r="C225" s="10" t="inlineStr">
        <is>
          <t>平日</t>
        </is>
      </c>
      <c r="E225" s="10" t="inlineStr">
        <is>
          <t>中嶌</t>
        </is>
      </c>
      <c r="F225" s="10" t="inlineStr">
        <is>
          <t>横田</t>
        </is>
      </c>
      <c r="G225" s="10" t="inlineStr">
        <is>
          <t>欠員①</t>
        </is>
      </c>
      <c r="H225" s="10" t="inlineStr">
        <is>
          <t>柴田</t>
        </is>
      </c>
      <c r="I225" s="10" t="inlineStr">
        <is>
          <t>中村</t>
        </is>
      </c>
      <c r="J225" s="10" t="inlineStr">
        <is>
          <t>矢田</t>
        </is>
      </c>
      <c r="K225" s="10" t="inlineStr">
        <is>
          <t>上田</t>
        </is>
      </c>
      <c r="L225" s="10" t="inlineStr">
        <is>
          <t>谷川</t>
        </is>
      </c>
      <c r="M225" s="10" t="inlineStr">
        <is>
          <t>北川</t>
        </is>
      </c>
      <c r="N225" s="10" t="inlineStr">
        <is>
          <t>植山</t>
        </is>
      </c>
      <c r="O225" s="10" t="inlineStr">
        <is>
          <t>藤原</t>
        </is>
      </c>
      <c r="P225" s="10" t="inlineStr">
        <is>
          <t>馬場</t>
        </is>
      </c>
      <c r="Q225" s="10" t="inlineStr">
        <is>
          <t>市田</t>
        </is>
      </c>
      <c r="R225" s="10" t="inlineStr">
        <is>
          <t>野口</t>
        </is>
      </c>
      <c r="S225" s="10" t="inlineStr">
        <is>
          <t>大川内</t>
        </is>
      </c>
      <c r="T225" s="10" t="inlineStr">
        <is>
          <t>山田久</t>
        </is>
      </c>
      <c r="U225" s="10" t="inlineStr">
        <is>
          <t>安村</t>
        </is>
      </c>
      <c r="V225" s="10" t="inlineStr">
        <is>
          <t>山本高</t>
        </is>
      </c>
      <c r="W225" s="10" t="inlineStr">
        <is>
          <t>佐野</t>
        </is>
      </c>
      <c r="X225" s="10" t="inlineStr">
        <is>
          <t>岩田</t>
        </is>
      </c>
      <c r="Y225" s="10" t="inlineStr">
        <is>
          <t>井川</t>
        </is>
      </c>
      <c r="Z225" s="10" t="inlineStr">
        <is>
          <t>中山</t>
        </is>
      </c>
      <c r="AA225" s="10" t="inlineStr">
        <is>
          <t>栗下</t>
        </is>
      </c>
      <c r="AB225" s="10" t="inlineStr">
        <is>
          <t>欠員②</t>
        </is>
      </c>
      <c r="AC225" s="10" t="inlineStr">
        <is>
          <t>河野</t>
        </is>
      </c>
      <c r="AD225" s="10" t="inlineStr">
        <is>
          <t>山本幸</t>
        </is>
      </c>
      <c r="AE225" s="10" t="inlineStr">
        <is>
          <t>上野</t>
        </is>
      </c>
      <c r="AF225" s="10" t="inlineStr">
        <is>
          <t>原</t>
        </is>
      </c>
      <c r="AG225" s="10" t="inlineStr">
        <is>
          <t>横山</t>
        </is>
      </c>
      <c r="AH225" s="10" t="inlineStr">
        <is>
          <t>山田真</t>
        </is>
      </c>
      <c r="AI225" s="10" t="inlineStr">
        <is>
          <t>門谷</t>
        </is>
      </c>
      <c r="AJ225" s="10" t="inlineStr">
        <is>
          <t>内野</t>
        </is>
      </c>
      <c r="AK225" s="10" t="inlineStr">
        <is>
          <t>尾川</t>
        </is>
      </c>
      <c r="AL225" s="10" t="inlineStr">
        <is>
          <t>田中</t>
        </is>
      </c>
      <c r="AM225" s="10" t="inlineStr">
        <is>
          <t>西村</t>
        </is>
      </c>
      <c r="AN225" s="10" t="inlineStr">
        <is>
          <t>岡本</t>
        </is>
      </c>
      <c r="AO225" s="10" t="inlineStr">
        <is>
          <t>富島</t>
        </is>
      </c>
      <c r="AP225" s="10" t="inlineStr">
        <is>
          <t>丸田</t>
        </is>
      </c>
    </row>
    <row r="226" ht="15" customHeight="1" s="37">
      <c r="A226" t="inlineStr">
        <is>
          <t>2026-12-15</t>
        </is>
      </c>
      <c r="B226" s="10" t="inlineStr">
        <is>
          <t>火</t>
        </is>
      </c>
      <c r="C226" s="10" t="inlineStr">
        <is>
          <t>平日</t>
        </is>
      </c>
      <c r="E226" s="10" t="inlineStr">
        <is>
          <t>大川内</t>
        </is>
      </c>
      <c r="F226" s="10" t="inlineStr">
        <is>
          <t>北川</t>
        </is>
      </c>
      <c r="G226" s="10" t="inlineStr">
        <is>
          <t>山本高</t>
        </is>
      </c>
      <c r="H226" s="10" t="inlineStr">
        <is>
          <t>藤原</t>
        </is>
      </c>
      <c r="I226" s="10" t="inlineStr">
        <is>
          <t>岡本</t>
        </is>
      </c>
      <c r="J226" s="10" t="inlineStr">
        <is>
          <t>佐野</t>
        </is>
      </c>
      <c r="K226" s="10" t="inlineStr">
        <is>
          <t>原</t>
        </is>
      </c>
      <c r="L226" s="10" t="inlineStr">
        <is>
          <t>馬場</t>
        </is>
      </c>
      <c r="M226" s="10" t="inlineStr">
        <is>
          <t>河野</t>
        </is>
      </c>
      <c r="N226" s="10" t="inlineStr">
        <is>
          <t>野口</t>
        </is>
      </c>
      <c r="O226" s="10" t="inlineStr">
        <is>
          <t>岩田</t>
        </is>
      </c>
      <c r="P226" s="10" t="inlineStr">
        <is>
          <t>尾川</t>
        </is>
      </c>
      <c r="Q226" s="10" t="inlineStr">
        <is>
          <t>谷川</t>
        </is>
      </c>
      <c r="R226" s="10" t="inlineStr">
        <is>
          <t>栗下</t>
        </is>
      </c>
      <c r="S226" s="10" t="inlineStr">
        <is>
          <t>田中</t>
        </is>
      </c>
      <c r="T226" s="10" t="inlineStr">
        <is>
          <t>安村</t>
        </is>
      </c>
      <c r="U226" s="10" t="inlineStr">
        <is>
          <t>丸田</t>
        </is>
      </c>
      <c r="V226" s="10" t="inlineStr">
        <is>
          <t>山田真</t>
        </is>
      </c>
      <c r="W226" s="10" t="inlineStr">
        <is>
          <t>上野</t>
        </is>
      </c>
      <c r="X226" s="10" t="inlineStr">
        <is>
          <t>上田</t>
        </is>
      </c>
      <c r="Y226" s="10" t="inlineStr">
        <is>
          <t>内野</t>
        </is>
      </c>
      <c r="Z226" s="10" t="inlineStr">
        <is>
          <t>欠員②</t>
        </is>
      </c>
      <c r="AA226" s="10" t="inlineStr">
        <is>
          <t>西村</t>
        </is>
      </c>
      <c r="AB226" s="10" t="inlineStr">
        <is>
          <t>矢田</t>
        </is>
      </c>
      <c r="AC226" s="10" t="inlineStr">
        <is>
          <t>富島</t>
        </is>
      </c>
      <c r="AD226" s="10" t="inlineStr">
        <is>
          <t>欠員①</t>
        </is>
      </c>
      <c r="AE226" s="10" t="inlineStr">
        <is>
          <t>柴田</t>
        </is>
      </c>
      <c r="AF226" s="10" t="inlineStr">
        <is>
          <t>横田</t>
        </is>
      </c>
      <c r="AG226" s="10" t="inlineStr">
        <is>
          <t>植山</t>
        </is>
      </c>
      <c r="AH226" s="10" t="inlineStr">
        <is>
          <t>市田</t>
        </is>
      </c>
      <c r="AI226" s="10" t="inlineStr">
        <is>
          <t>山田久</t>
        </is>
      </c>
      <c r="AJ226" s="10" t="inlineStr">
        <is>
          <t>中村</t>
        </is>
      </c>
      <c r="AK226" s="10" t="inlineStr">
        <is>
          <t>門谷</t>
        </is>
      </c>
      <c r="AL226" s="10" t="inlineStr">
        <is>
          <t>井川</t>
        </is>
      </c>
      <c r="AM226" s="10" t="inlineStr">
        <is>
          <t>山本幸</t>
        </is>
      </c>
      <c r="AN226" s="10" t="inlineStr">
        <is>
          <t>横山</t>
        </is>
      </c>
      <c r="AO226" s="10" t="inlineStr">
        <is>
          <t>中嶌</t>
        </is>
      </c>
      <c r="AP226" s="10" t="inlineStr">
        <is>
          <t>中山</t>
        </is>
      </c>
    </row>
    <row r="227" ht="15" customHeight="1" s="37">
      <c r="A227" t="inlineStr">
        <is>
          <t>2026-12-16</t>
        </is>
      </c>
      <c r="B227" s="10" t="inlineStr">
        <is>
          <t>水</t>
        </is>
      </c>
      <c r="C227" s="10" t="inlineStr">
        <is>
          <t>平日</t>
        </is>
      </c>
      <c r="E227" s="10" t="inlineStr">
        <is>
          <t>田中</t>
        </is>
      </c>
      <c r="F227" s="10" t="inlineStr">
        <is>
          <t>河野</t>
        </is>
      </c>
      <c r="G227" s="10" t="inlineStr">
        <is>
          <t>山田真</t>
        </is>
      </c>
      <c r="H227" s="10" t="inlineStr">
        <is>
          <t>岩田</t>
        </is>
      </c>
      <c r="I227" s="10" t="inlineStr">
        <is>
          <t>横山</t>
        </is>
      </c>
      <c r="J227" s="10" t="inlineStr">
        <is>
          <t>上野</t>
        </is>
      </c>
      <c r="K227" s="10" t="inlineStr">
        <is>
          <t>横田</t>
        </is>
      </c>
      <c r="L227" s="10" t="inlineStr">
        <is>
          <t>尾川</t>
        </is>
      </c>
      <c r="M227" s="10" t="inlineStr">
        <is>
          <t>富島</t>
        </is>
      </c>
      <c r="N227" s="10" t="inlineStr">
        <is>
          <t>栗下</t>
        </is>
      </c>
      <c r="O227" s="10" t="inlineStr">
        <is>
          <t>上田</t>
        </is>
      </c>
      <c r="P227" s="10" t="inlineStr">
        <is>
          <t>門谷</t>
        </is>
      </c>
      <c r="Q227" s="10" t="inlineStr">
        <is>
          <t>馬場</t>
        </is>
      </c>
      <c r="R227" s="10" t="inlineStr">
        <is>
          <t>西村</t>
        </is>
      </c>
      <c r="S227" s="10" t="inlineStr">
        <is>
          <t>井川</t>
        </is>
      </c>
      <c r="T227" s="10" t="inlineStr">
        <is>
          <t>丸田</t>
        </is>
      </c>
      <c r="U227" s="10" t="inlineStr">
        <is>
          <t>中山</t>
        </is>
      </c>
      <c r="V227" s="10" t="inlineStr">
        <is>
          <t>市田</t>
        </is>
      </c>
      <c r="W227" s="10" t="inlineStr">
        <is>
          <t>柴田</t>
        </is>
      </c>
      <c r="X227" s="10" t="inlineStr">
        <is>
          <t>原</t>
        </is>
      </c>
      <c r="Y227" s="10" t="inlineStr">
        <is>
          <t>中村</t>
        </is>
      </c>
      <c r="Z227" s="10" t="inlineStr">
        <is>
          <t>矢田</t>
        </is>
      </c>
      <c r="AA227" s="10" t="inlineStr">
        <is>
          <t>山本幸</t>
        </is>
      </c>
      <c r="AB227" s="10" t="inlineStr">
        <is>
          <t>佐野</t>
        </is>
      </c>
      <c r="AC227" s="10" t="inlineStr">
        <is>
          <t>中嶌</t>
        </is>
      </c>
      <c r="AD227" s="10" t="inlineStr">
        <is>
          <t>山本高</t>
        </is>
      </c>
      <c r="AE227" s="10" t="inlineStr">
        <is>
          <t>藤原</t>
        </is>
      </c>
      <c r="AF227" s="10" t="inlineStr">
        <is>
          <t>北川</t>
        </is>
      </c>
      <c r="AG227" s="10" t="inlineStr">
        <is>
          <t>野口</t>
        </is>
      </c>
      <c r="AH227" s="10" t="inlineStr">
        <is>
          <t>谷川</t>
        </is>
      </c>
      <c r="AI227" s="10" t="inlineStr">
        <is>
          <t>安村</t>
        </is>
      </c>
      <c r="AJ227" s="10" t="inlineStr">
        <is>
          <t>岡本</t>
        </is>
      </c>
      <c r="AK227" s="10" t="inlineStr">
        <is>
          <t>山田久</t>
        </is>
      </c>
      <c r="AL227" s="10" t="inlineStr">
        <is>
          <t>内野</t>
        </is>
      </c>
      <c r="AM227" s="10" t="inlineStr">
        <is>
          <t>欠員①</t>
        </is>
      </c>
      <c r="AN227" s="10" t="inlineStr">
        <is>
          <t>植山</t>
        </is>
      </c>
      <c r="AO227" s="10" t="inlineStr">
        <is>
          <t>大川内</t>
        </is>
      </c>
      <c r="AP227" s="10" t="inlineStr">
        <is>
          <t>欠員②</t>
        </is>
      </c>
    </row>
    <row r="228" ht="15" customHeight="1" s="37">
      <c r="A228" t="inlineStr">
        <is>
          <t>2026-12-17</t>
        </is>
      </c>
      <c r="B228" s="10" t="inlineStr">
        <is>
          <t>木</t>
        </is>
      </c>
      <c r="C228" s="10" t="inlineStr">
        <is>
          <t>平日</t>
        </is>
      </c>
      <c r="E228" s="10" t="inlineStr">
        <is>
          <t>井川</t>
        </is>
      </c>
      <c r="F228" s="10" t="inlineStr">
        <is>
          <t>富島</t>
        </is>
      </c>
      <c r="G228" s="10" t="inlineStr">
        <is>
          <t>市田</t>
        </is>
      </c>
      <c r="H228" s="10" t="inlineStr">
        <is>
          <t>上田</t>
        </is>
      </c>
      <c r="I228" s="10" t="inlineStr">
        <is>
          <t>植山</t>
        </is>
      </c>
      <c r="J228" s="10" t="inlineStr">
        <is>
          <t>柴田</t>
        </is>
      </c>
      <c r="K228" s="10" t="inlineStr">
        <is>
          <t>北川</t>
        </is>
      </c>
      <c r="L228" s="10" t="inlineStr">
        <is>
          <t>門谷</t>
        </is>
      </c>
      <c r="M228" s="10" t="inlineStr">
        <is>
          <t>中嶌</t>
        </is>
      </c>
      <c r="N228" s="10" t="inlineStr">
        <is>
          <t>西村</t>
        </is>
      </c>
      <c r="O228" s="10" t="inlineStr">
        <is>
          <t>原</t>
        </is>
      </c>
      <c r="P228" s="10" t="inlineStr">
        <is>
          <t>山田久</t>
        </is>
      </c>
      <c r="Q228" s="10" t="inlineStr">
        <is>
          <t>尾川</t>
        </is>
      </c>
      <c r="R228" s="10" t="inlineStr">
        <is>
          <t>山本幸</t>
        </is>
      </c>
      <c r="S228" s="10" t="inlineStr">
        <is>
          <t>内野</t>
        </is>
      </c>
      <c r="T228" s="10" t="inlineStr">
        <is>
          <t>中山</t>
        </is>
      </c>
      <c r="U228" s="10" t="inlineStr">
        <is>
          <t>欠員②</t>
        </is>
      </c>
      <c r="V228" s="10" t="inlineStr">
        <is>
          <t>谷川</t>
        </is>
      </c>
      <c r="W228" s="10" t="inlineStr">
        <is>
          <t>藤原</t>
        </is>
      </c>
      <c r="X228" s="10" t="inlineStr">
        <is>
          <t>横田</t>
        </is>
      </c>
      <c r="Y228" s="10" t="inlineStr">
        <is>
          <t>岡本</t>
        </is>
      </c>
      <c r="Z228" s="10" t="inlineStr">
        <is>
          <t>佐野</t>
        </is>
      </c>
      <c r="AA228" s="10" t="inlineStr">
        <is>
          <t>欠員①</t>
        </is>
      </c>
      <c r="AB228" s="10" t="inlineStr">
        <is>
          <t>上野</t>
        </is>
      </c>
      <c r="AC228" s="10" t="inlineStr">
        <is>
          <t>大川内</t>
        </is>
      </c>
      <c r="AD228" s="10" t="inlineStr">
        <is>
          <t>山田真</t>
        </is>
      </c>
      <c r="AE228" s="10" t="inlineStr">
        <is>
          <t>岩田</t>
        </is>
      </c>
      <c r="AF228" s="10" t="inlineStr">
        <is>
          <t>河野</t>
        </is>
      </c>
      <c r="AG228" s="10" t="inlineStr">
        <is>
          <t>栗下</t>
        </is>
      </c>
      <c r="AH228" s="10" t="inlineStr">
        <is>
          <t>馬場</t>
        </is>
      </c>
      <c r="AI228" s="10" t="inlineStr">
        <is>
          <t>丸田</t>
        </is>
      </c>
      <c r="AJ228" s="10" t="inlineStr">
        <is>
          <t>横山</t>
        </is>
      </c>
      <c r="AK228" s="10" t="inlineStr">
        <is>
          <t>安村</t>
        </is>
      </c>
      <c r="AL228" s="10" t="inlineStr">
        <is>
          <t>中村</t>
        </is>
      </c>
      <c r="AM228" s="10" t="inlineStr">
        <is>
          <t>山本高</t>
        </is>
      </c>
      <c r="AN228" s="10" t="inlineStr">
        <is>
          <t>野口</t>
        </is>
      </c>
      <c r="AO228" s="10" t="inlineStr">
        <is>
          <t>田中</t>
        </is>
      </c>
      <c r="AP228" s="10" t="inlineStr">
        <is>
          <t>矢田</t>
        </is>
      </c>
    </row>
    <row r="229" ht="15" customHeight="1" s="37">
      <c r="A229" t="inlineStr">
        <is>
          <t>2026-12-18</t>
        </is>
      </c>
      <c r="B229" s="10" t="inlineStr">
        <is>
          <t>金</t>
        </is>
      </c>
      <c r="C229" s="10" t="inlineStr">
        <is>
          <t>平日</t>
        </is>
      </c>
      <c r="E229" s="10" t="inlineStr">
        <is>
          <t>内野</t>
        </is>
      </c>
      <c r="F229" s="10" t="inlineStr">
        <is>
          <t>中嶌</t>
        </is>
      </c>
      <c r="G229" s="10" t="inlineStr">
        <is>
          <t>谷川</t>
        </is>
      </c>
      <c r="H229" s="10" t="inlineStr">
        <is>
          <t>原</t>
        </is>
      </c>
      <c r="I229" s="10" t="inlineStr">
        <is>
          <t>野口</t>
        </is>
      </c>
      <c r="J229" s="10" t="inlineStr">
        <is>
          <t>藤原</t>
        </is>
      </c>
      <c r="K229" s="10" t="inlineStr">
        <is>
          <t>河野</t>
        </is>
      </c>
      <c r="L229" s="10" t="inlineStr">
        <is>
          <t>山田久</t>
        </is>
      </c>
      <c r="M229" s="10" t="inlineStr">
        <is>
          <t>大川内</t>
        </is>
      </c>
      <c r="N229" s="10" t="inlineStr">
        <is>
          <t>山本幸</t>
        </is>
      </c>
      <c r="O229" s="10" t="inlineStr">
        <is>
          <t>横田</t>
        </is>
      </c>
      <c r="P229" s="10" t="inlineStr">
        <is>
          <t>安村</t>
        </is>
      </c>
      <c r="Q229" s="10" t="inlineStr">
        <is>
          <t>門谷</t>
        </is>
      </c>
      <c r="R229" s="10" t="inlineStr">
        <is>
          <t>欠員①</t>
        </is>
      </c>
      <c r="S229" s="10" t="inlineStr">
        <is>
          <t>中村</t>
        </is>
      </c>
      <c r="T229" s="10" t="inlineStr">
        <is>
          <t>欠員②</t>
        </is>
      </c>
      <c r="U229" s="10" t="inlineStr">
        <is>
          <t>矢田</t>
        </is>
      </c>
      <c r="V229" s="10" t="inlineStr">
        <is>
          <t>馬場</t>
        </is>
      </c>
      <c r="W229" s="10" t="inlineStr">
        <is>
          <t>岩田</t>
        </is>
      </c>
      <c r="X229" s="10" t="inlineStr">
        <is>
          <t>北川</t>
        </is>
      </c>
      <c r="Y229" s="10" t="inlineStr">
        <is>
          <t>横山</t>
        </is>
      </c>
      <c r="Z229" s="10" t="inlineStr">
        <is>
          <t>上野</t>
        </is>
      </c>
      <c r="AA229" s="10" t="inlineStr">
        <is>
          <t>山本高</t>
        </is>
      </c>
      <c r="AB229" s="10" t="inlineStr">
        <is>
          <t>柴田</t>
        </is>
      </c>
      <c r="AC229" s="10" t="inlineStr">
        <is>
          <t>田中</t>
        </is>
      </c>
      <c r="AD229" s="10" t="inlineStr">
        <is>
          <t>市田</t>
        </is>
      </c>
      <c r="AE229" s="10" t="inlineStr">
        <is>
          <t>上田</t>
        </is>
      </c>
      <c r="AF229" s="10" t="inlineStr">
        <is>
          <t>富島</t>
        </is>
      </c>
      <c r="AG229" s="10" t="inlineStr">
        <is>
          <t>西村</t>
        </is>
      </c>
      <c r="AH229" s="10" t="inlineStr">
        <is>
          <t>尾川</t>
        </is>
      </c>
      <c r="AI229" s="10" t="inlineStr">
        <is>
          <t>中山</t>
        </is>
      </c>
      <c r="AJ229" s="10" t="inlineStr">
        <is>
          <t>植山</t>
        </is>
      </c>
      <c r="AK229" s="10" t="inlineStr">
        <is>
          <t>丸田</t>
        </is>
      </c>
      <c r="AL229" s="10" t="inlineStr">
        <is>
          <t>岡本</t>
        </is>
      </c>
      <c r="AM229" s="10" t="inlineStr">
        <is>
          <t>山田真</t>
        </is>
      </c>
      <c r="AN229" s="10" t="inlineStr">
        <is>
          <t>栗下</t>
        </is>
      </c>
      <c r="AO229" s="10" t="inlineStr">
        <is>
          <t>井川</t>
        </is>
      </c>
      <c r="AP229" s="10" t="inlineStr">
        <is>
          <t>佐野</t>
        </is>
      </c>
    </row>
    <row r="230" ht="15" customHeight="1" s="37">
      <c r="A230" t="inlineStr">
        <is>
          <t>2026-12-19</t>
        </is>
      </c>
      <c r="B230" s="10" t="inlineStr">
        <is>
          <t>土</t>
        </is>
      </c>
      <c r="C230" s="10" t="inlineStr">
        <is>
          <t>休日</t>
        </is>
      </c>
      <c r="E230" s="10" t="inlineStr">
        <is>
          <t>中村</t>
        </is>
      </c>
      <c r="F230" s="10" t="inlineStr">
        <is>
          <t>大川内</t>
        </is>
      </c>
      <c r="G230" s="10" t="inlineStr">
        <is>
          <t>馬場</t>
        </is>
      </c>
      <c r="H230" s="10" t="inlineStr">
        <is>
          <t>横田</t>
        </is>
      </c>
      <c r="I230" s="10" t="inlineStr">
        <is>
          <t>栗下</t>
        </is>
      </c>
      <c r="J230" s="10" t="inlineStr">
        <is>
          <t>岩田</t>
        </is>
      </c>
      <c r="K230" s="10" t="inlineStr">
        <is>
          <t>富島</t>
        </is>
      </c>
      <c r="L230" s="10" t="inlineStr">
        <is>
          <t>安村</t>
        </is>
      </c>
      <c r="M230" s="10" t="inlineStr">
        <is>
          <t>田中</t>
        </is>
      </c>
      <c r="N230" s="10" t="inlineStr">
        <is>
          <t>欠員①</t>
        </is>
      </c>
      <c r="O230" s="10" t="inlineStr">
        <is>
          <t>北川</t>
        </is>
      </c>
      <c r="P230" s="10" t="inlineStr">
        <is>
          <t>丸田</t>
        </is>
      </c>
      <c r="Q230" s="10" t="inlineStr">
        <is>
          <t>山田久</t>
        </is>
      </c>
      <c r="R230" s="10" t="inlineStr">
        <is>
          <t>山本高</t>
        </is>
      </c>
      <c r="S230" s="10" t="inlineStr">
        <is>
          <t>岡本</t>
        </is>
      </c>
      <c r="T230" s="10" t="inlineStr">
        <is>
          <t>矢田</t>
        </is>
      </c>
      <c r="U230" s="10" t="inlineStr">
        <is>
          <t>佐野</t>
        </is>
      </c>
      <c r="V230" s="10" t="inlineStr">
        <is>
          <t>尾川</t>
        </is>
      </c>
      <c r="W230" s="10" t="inlineStr">
        <is>
          <t>上田</t>
        </is>
      </c>
      <c r="X230" s="10" t="inlineStr">
        <is>
          <t>河野</t>
        </is>
      </c>
      <c r="Y230" s="10" t="inlineStr">
        <is>
          <t>植山</t>
        </is>
      </c>
      <c r="Z230" s="10" t="inlineStr">
        <is>
          <t>柴田</t>
        </is>
      </c>
      <c r="AA230" s="10" t="inlineStr">
        <is>
          <t>山田真</t>
        </is>
      </c>
      <c r="AB230" s="10" t="inlineStr">
        <is>
          <t>藤原</t>
        </is>
      </c>
      <c r="AC230" s="10" t="inlineStr">
        <is>
          <t>井川</t>
        </is>
      </c>
      <c r="AD230" s="10" t="inlineStr">
        <is>
          <t>谷川</t>
        </is>
      </c>
      <c r="AE230" s="10" t="inlineStr">
        <is>
          <t>原</t>
        </is>
      </c>
      <c r="AF230" s="10" t="inlineStr">
        <is>
          <t>中嶌</t>
        </is>
      </c>
      <c r="AG230" s="10" t="inlineStr">
        <is>
          <t>山本幸</t>
        </is>
      </c>
      <c r="AH230" s="10" t="inlineStr">
        <is>
          <t>門谷</t>
        </is>
      </c>
      <c r="AI230" s="10" t="inlineStr">
        <is>
          <t>欠員②</t>
        </is>
      </c>
      <c r="AJ230" s="10" t="inlineStr">
        <is>
          <t>野口</t>
        </is>
      </c>
      <c r="AK230" s="10" t="inlineStr">
        <is>
          <t>中山</t>
        </is>
      </c>
      <c r="AL230" s="10" t="inlineStr">
        <is>
          <t>横山</t>
        </is>
      </c>
      <c r="AM230" s="10" t="inlineStr">
        <is>
          <t>市田</t>
        </is>
      </c>
      <c r="AN230" s="10" t="inlineStr">
        <is>
          <t>西村</t>
        </is>
      </c>
      <c r="AO230" s="10" t="inlineStr">
        <is>
          <t>内野</t>
        </is>
      </c>
      <c r="AP230" s="10" t="inlineStr">
        <is>
          <t>上野</t>
        </is>
      </c>
    </row>
    <row r="231" ht="15" customHeight="1" s="37">
      <c r="A231" t="inlineStr">
        <is>
          <t>2026-12-20</t>
        </is>
      </c>
      <c r="B231" s="10" t="inlineStr">
        <is>
          <t>日</t>
        </is>
      </c>
      <c r="C231" s="10" t="inlineStr">
        <is>
          <t>休日</t>
        </is>
      </c>
      <c r="E231" s="10" t="inlineStr">
        <is>
          <t>岡本</t>
        </is>
      </c>
      <c r="F231" s="10" t="inlineStr">
        <is>
          <t>田中</t>
        </is>
      </c>
      <c r="G231" s="10" t="inlineStr">
        <is>
          <t>尾川</t>
        </is>
      </c>
      <c r="H231" s="10" t="inlineStr">
        <is>
          <t>北川</t>
        </is>
      </c>
      <c r="I231" s="10" t="inlineStr">
        <is>
          <t>西村</t>
        </is>
      </c>
      <c r="J231" s="10" t="inlineStr">
        <is>
          <t>上田</t>
        </is>
      </c>
      <c r="K231" s="10" t="inlineStr">
        <is>
          <t>中嶌</t>
        </is>
      </c>
      <c r="L231" s="10" t="inlineStr">
        <is>
          <t>丸田</t>
        </is>
      </c>
      <c r="M231" s="10" t="inlineStr">
        <is>
          <t>井川</t>
        </is>
      </c>
      <c r="N231" s="10" t="inlineStr">
        <is>
          <t>山本高</t>
        </is>
      </c>
      <c r="O231" s="10" t="inlineStr">
        <is>
          <t>河野</t>
        </is>
      </c>
      <c r="P231" s="10" t="inlineStr">
        <is>
          <t>中山</t>
        </is>
      </c>
      <c r="Q231" s="10" t="inlineStr">
        <is>
          <t>安村</t>
        </is>
      </c>
      <c r="R231" s="10" t="inlineStr">
        <is>
          <t>山田真</t>
        </is>
      </c>
      <c r="S231" s="10" t="inlineStr">
        <is>
          <t>横山</t>
        </is>
      </c>
      <c r="T231" s="10" t="inlineStr">
        <is>
          <t>佐野</t>
        </is>
      </c>
      <c r="U231" s="10" t="inlineStr">
        <is>
          <t>上野</t>
        </is>
      </c>
      <c r="V231" s="10" t="inlineStr">
        <is>
          <t>門谷</t>
        </is>
      </c>
      <c r="W231" s="10" t="inlineStr">
        <is>
          <t>原</t>
        </is>
      </c>
      <c r="X231" s="10" t="inlineStr">
        <is>
          <t>富島</t>
        </is>
      </c>
      <c r="Y231" s="10" t="inlineStr">
        <is>
          <t>野口</t>
        </is>
      </c>
      <c r="Z231" s="10" t="inlineStr">
        <is>
          <t>藤原</t>
        </is>
      </c>
      <c r="AA231" s="10" t="inlineStr">
        <is>
          <t>市田</t>
        </is>
      </c>
      <c r="AB231" s="10" t="inlineStr">
        <is>
          <t>岩田</t>
        </is>
      </c>
      <c r="AC231" s="10" t="inlineStr">
        <is>
          <t>内野</t>
        </is>
      </c>
      <c r="AD231" s="10" t="inlineStr">
        <is>
          <t>馬場</t>
        </is>
      </c>
      <c r="AE231" s="10" t="inlineStr">
        <is>
          <t>横田</t>
        </is>
      </c>
      <c r="AF231" s="10" t="inlineStr">
        <is>
          <t>大川内</t>
        </is>
      </c>
      <c r="AG231" s="10" t="inlineStr">
        <is>
          <t>欠員①</t>
        </is>
      </c>
      <c r="AH231" s="10" t="inlineStr">
        <is>
          <t>山田久</t>
        </is>
      </c>
      <c r="AI231" s="10" t="inlineStr">
        <is>
          <t>矢田</t>
        </is>
      </c>
      <c r="AJ231" s="10" t="inlineStr">
        <is>
          <t>栗下</t>
        </is>
      </c>
      <c r="AK231" s="10" t="inlineStr">
        <is>
          <t>欠員②</t>
        </is>
      </c>
      <c r="AL231" s="10" t="inlineStr">
        <is>
          <t>植山</t>
        </is>
      </c>
      <c r="AM231" s="10" t="inlineStr">
        <is>
          <t>谷川</t>
        </is>
      </c>
      <c r="AN231" s="10" t="inlineStr">
        <is>
          <t>山本幸</t>
        </is>
      </c>
      <c r="AO231" s="10" t="inlineStr">
        <is>
          <t>中村</t>
        </is>
      </c>
      <c r="AP231" s="10" t="inlineStr">
        <is>
          <t>柴田</t>
        </is>
      </c>
    </row>
    <row r="232" ht="15" customHeight="1" s="37">
      <c r="A232" t="inlineStr">
        <is>
          <t>2026-12-21</t>
        </is>
      </c>
      <c r="B232" s="10" t="inlineStr">
        <is>
          <t>月</t>
        </is>
      </c>
      <c r="C232" s="10" t="inlineStr">
        <is>
          <t>平日</t>
        </is>
      </c>
      <c r="E232" s="10" t="inlineStr">
        <is>
          <t>横山</t>
        </is>
      </c>
      <c r="F232" s="10" t="inlineStr">
        <is>
          <t>井川</t>
        </is>
      </c>
      <c r="G232" s="10" t="inlineStr">
        <is>
          <t>門谷</t>
        </is>
      </c>
      <c r="H232" s="10" t="inlineStr">
        <is>
          <t>河野</t>
        </is>
      </c>
      <c r="I232" s="10" t="inlineStr">
        <is>
          <t>山本幸</t>
        </is>
      </c>
      <c r="J232" s="10" t="inlineStr">
        <is>
          <t>原</t>
        </is>
      </c>
      <c r="K232" s="10" t="inlineStr">
        <is>
          <t>大川内</t>
        </is>
      </c>
      <c r="L232" s="10" t="inlineStr">
        <is>
          <t>中山</t>
        </is>
      </c>
      <c r="M232" s="10" t="inlineStr">
        <is>
          <t>内野</t>
        </is>
      </c>
      <c r="N232" s="10" t="inlineStr">
        <is>
          <t>山田真</t>
        </is>
      </c>
      <c r="O232" s="10" t="inlineStr">
        <is>
          <t>富島</t>
        </is>
      </c>
      <c r="P232" s="10" t="inlineStr">
        <is>
          <t>欠員②</t>
        </is>
      </c>
      <c r="Q232" s="10" t="inlineStr">
        <is>
          <t>丸田</t>
        </is>
      </c>
      <c r="R232" s="10" t="inlineStr">
        <is>
          <t>市田</t>
        </is>
      </c>
      <c r="S232" s="10" t="inlineStr">
        <is>
          <t>植山</t>
        </is>
      </c>
      <c r="T232" s="10" t="inlineStr">
        <is>
          <t>上野</t>
        </is>
      </c>
      <c r="U232" s="10" t="inlineStr">
        <is>
          <t>柴田</t>
        </is>
      </c>
      <c r="V232" s="10" t="inlineStr">
        <is>
          <t>山田久</t>
        </is>
      </c>
      <c r="W232" s="10" t="inlineStr">
        <is>
          <t>横田</t>
        </is>
      </c>
      <c r="X232" s="10" t="inlineStr">
        <is>
          <t>中嶌</t>
        </is>
      </c>
      <c r="Y232" s="10" t="inlineStr">
        <is>
          <t>栗下</t>
        </is>
      </c>
      <c r="Z232" s="10" t="inlineStr">
        <is>
          <t>岩田</t>
        </is>
      </c>
      <c r="AA232" s="10" t="inlineStr">
        <is>
          <t>谷川</t>
        </is>
      </c>
      <c r="AB232" s="10" t="inlineStr">
        <is>
          <t>上田</t>
        </is>
      </c>
      <c r="AC232" s="10" t="inlineStr">
        <is>
          <t>中村</t>
        </is>
      </c>
      <c r="AD232" s="10" t="inlineStr">
        <is>
          <t>尾川</t>
        </is>
      </c>
      <c r="AE232" s="10" t="inlineStr">
        <is>
          <t>北川</t>
        </is>
      </c>
      <c r="AF232" s="10" t="inlineStr">
        <is>
          <t>田中</t>
        </is>
      </c>
      <c r="AG232" s="10" t="inlineStr">
        <is>
          <t>山本高</t>
        </is>
      </c>
      <c r="AH232" s="10" t="inlineStr">
        <is>
          <t>安村</t>
        </is>
      </c>
      <c r="AI232" s="10" t="inlineStr">
        <is>
          <t>佐野</t>
        </is>
      </c>
      <c r="AJ232" s="10" t="inlineStr">
        <is>
          <t>西村</t>
        </is>
      </c>
      <c r="AK232" s="10" t="inlineStr">
        <is>
          <t>矢田</t>
        </is>
      </c>
      <c r="AL232" s="10" t="inlineStr">
        <is>
          <t>野口</t>
        </is>
      </c>
      <c r="AM232" s="10" t="inlineStr">
        <is>
          <t>馬場</t>
        </is>
      </c>
      <c r="AN232" s="10" t="inlineStr">
        <is>
          <t>欠員①</t>
        </is>
      </c>
      <c r="AO232" s="10" t="inlineStr">
        <is>
          <t>岡本</t>
        </is>
      </c>
      <c r="AP232" s="10" t="inlineStr">
        <is>
          <t>藤原</t>
        </is>
      </c>
    </row>
    <row r="233" ht="15" customHeight="1" s="37">
      <c r="A233" t="inlineStr">
        <is>
          <t>2026-12-22</t>
        </is>
      </c>
      <c r="B233" s="10" t="inlineStr">
        <is>
          <t>火</t>
        </is>
      </c>
      <c r="C233" s="10" t="inlineStr">
        <is>
          <t>平日</t>
        </is>
      </c>
      <c r="E233" s="10" t="inlineStr">
        <is>
          <t>植山</t>
        </is>
      </c>
      <c r="F233" s="10" t="inlineStr">
        <is>
          <t>内野</t>
        </is>
      </c>
      <c r="G233" s="10" t="inlineStr">
        <is>
          <t>山田久</t>
        </is>
      </c>
      <c r="H233" s="10" t="inlineStr">
        <is>
          <t>富島</t>
        </is>
      </c>
      <c r="I233" s="10" t="inlineStr">
        <is>
          <t>欠員①</t>
        </is>
      </c>
      <c r="J233" s="10" t="inlineStr">
        <is>
          <t>横田</t>
        </is>
      </c>
      <c r="K233" s="10" t="inlineStr">
        <is>
          <t>田中</t>
        </is>
      </c>
      <c r="L233" s="10" t="inlineStr">
        <is>
          <t>欠員②</t>
        </is>
      </c>
      <c r="M233" s="10" t="inlineStr">
        <is>
          <t>中村</t>
        </is>
      </c>
      <c r="N233" s="10" t="inlineStr">
        <is>
          <t>市田</t>
        </is>
      </c>
      <c r="O233" s="10" t="inlineStr">
        <is>
          <t>中嶌</t>
        </is>
      </c>
      <c r="P233" s="10" t="inlineStr">
        <is>
          <t>矢田</t>
        </is>
      </c>
      <c r="Q233" s="10" t="inlineStr">
        <is>
          <t>中山</t>
        </is>
      </c>
      <c r="R233" s="10" t="inlineStr">
        <is>
          <t>谷川</t>
        </is>
      </c>
      <c r="S233" s="10" t="inlineStr">
        <is>
          <t>野口</t>
        </is>
      </c>
      <c r="T233" s="10" t="inlineStr">
        <is>
          <t>柴田</t>
        </is>
      </c>
      <c r="U233" s="10" t="inlineStr">
        <is>
          <t>藤原</t>
        </is>
      </c>
      <c r="V233" s="10" t="inlineStr">
        <is>
          <t>安村</t>
        </is>
      </c>
      <c r="W233" s="10" t="inlineStr">
        <is>
          <t>北川</t>
        </is>
      </c>
      <c r="X233" s="10" t="inlineStr">
        <is>
          <t>大川内</t>
        </is>
      </c>
      <c r="Y233" s="10" t="inlineStr">
        <is>
          <t>西村</t>
        </is>
      </c>
      <c r="Z233" s="10" t="inlineStr">
        <is>
          <t>上田</t>
        </is>
      </c>
      <c r="AA233" s="10" t="inlineStr">
        <is>
          <t>馬場</t>
        </is>
      </c>
      <c r="AB233" s="10" t="inlineStr">
        <is>
          <t>原</t>
        </is>
      </c>
      <c r="AC233" s="10" t="inlineStr">
        <is>
          <t>岡本</t>
        </is>
      </c>
      <c r="AD233" s="10" t="inlineStr">
        <is>
          <t>門谷</t>
        </is>
      </c>
      <c r="AE233" s="10" t="inlineStr">
        <is>
          <t>河野</t>
        </is>
      </c>
      <c r="AF233" s="10" t="inlineStr">
        <is>
          <t>井川</t>
        </is>
      </c>
      <c r="AG233" s="10" t="inlineStr">
        <is>
          <t>山田真</t>
        </is>
      </c>
      <c r="AH233" s="10" t="inlineStr">
        <is>
          <t>丸田</t>
        </is>
      </c>
      <c r="AI233" s="10" t="inlineStr">
        <is>
          <t>上野</t>
        </is>
      </c>
      <c r="AJ233" s="10" t="inlineStr">
        <is>
          <t>山本幸</t>
        </is>
      </c>
      <c r="AK233" s="10" t="inlineStr">
        <is>
          <t>佐野</t>
        </is>
      </c>
      <c r="AL233" s="10" t="inlineStr">
        <is>
          <t>栗下</t>
        </is>
      </c>
      <c r="AM233" s="10" t="inlineStr">
        <is>
          <t>尾川</t>
        </is>
      </c>
      <c r="AN233" s="10" t="inlineStr">
        <is>
          <t>山本高</t>
        </is>
      </c>
      <c r="AO233" s="10" t="inlineStr">
        <is>
          <t>横山</t>
        </is>
      </c>
      <c r="AP233" s="10" t="inlineStr">
        <is>
          <t>岩田</t>
        </is>
      </c>
    </row>
    <row r="234" ht="15" customHeight="1" s="37">
      <c r="A234" t="inlineStr">
        <is>
          <t>2026-12-23</t>
        </is>
      </c>
      <c r="B234" s="10" t="inlineStr">
        <is>
          <t>水</t>
        </is>
      </c>
      <c r="C234" s="10" t="inlineStr">
        <is>
          <t>平日</t>
        </is>
      </c>
      <c r="E234" s="10" t="inlineStr">
        <is>
          <t>野口</t>
        </is>
      </c>
      <c r="F234" s="10" t="inlineStr">
        <is>
          <t>中村</t>
        </is>
      </c>
      <c r="G234" s="10" t="inlineStr">
        <is>
          <t>安村</t>
        </is>
      </c>
      <c r="H234" s="10" t="inlineStr">
        <is>
          <t>中嶌</t>
        </is>
      </c>
      <c r="I234" s="10" t="inlineStr">
        <is>
          <t>山本高</t>
        </is>
      </c>
      <c r="J234" s="10" t="inlineStr">
        <is>
          <t>北川</t>
        </is>
      </c>
      <c r="K234" s="10" t="inlineStr">
        <is>
          <t>井川</t>
        </is>
      </c>
      <c r="L234" s="10" t="inlineStr">
        <is>
          <t>矢田</t>
        </is>
      </c>
      <c r="M234" s="10" t="inlineStr">
        <is>
          <t>岡本</t>
        </is>
      </c>
      <c r="N234" s="10" t="inlineStr">
        <is>
          <t>谷川</t>
        </is>
      </c>
      <c r="O234" s="10" t="inlineStr">
        <is>
          <t>大川内</t>
        </is>
      </c>
      <c r="P234" s="10" t="inlineStr">
        <is>
          <t>佐野</t>
        </is>
      </c>
      <c r="Q234" s="10" t="inlineStr">
        <is>
          <t>欠員②</t>
        </is>
      </c>
      <c r="R234" s="10" t="inlineStr">
        <is>
          <t>馬場</t>
        </is>
      </c>
      <c r="S234" s="10" t="inlineStr">
        <is>
          <t>栗下</t>
        </is>
      </c>
      <c r="T234" s="10" t="inlineStr">
        <is>
          <t>藤原</t>
        </is>
      </c>
      <c r="U234" s="10" t="inlineStr">
        <is>
          <t>岩田</t>
        </is>
      </c>
      <c r="V234" s="10" t="inlineStr">
        <is>
          <t>丸田</t>
        </is>
      </c>
      <c r="W234" s="10" t="inlineStr">
        <is>
          <t>河野</t>
        </is>
      </c>
      <c r="X234" s="10" t="inlineStr">
        <is>
          <t>田中</t>
        </is>
      </c>
      <c r="Y234" s="10" t="inlineStr">
        <is>
          <t>山本幸</t>
        </is>
      </c>
      <c r="Z234" s="10" t="inlineStr">
        <is>
          <t>原</t>
        </is>
      </c>
      <c r="AA234" s="10" t="inlineStr">
        <is>
          <t>尾川</t>
        </is>
      </c>
      <c r="AB234" s="10" t="inlineStr">
        <is>
          <t>横田</t>
        </is>
      </c>
      <c r="AC234" s="10" t="inlineStr">
        <is>
          <t>横山</t>
        </is>
      </c>
      <c r="AD234" s="10" t="inlineStr">
        <is>
          <t>山田久</t>
        </is>
      </c>
      <c r="AE234" s="10" t="inlineStr">
        <is>
          <t>富島</t>
        </is>
      </c>
      <c r="AF234" s="10" t="inlineStr">
        <is>
          <t>内野</t>
        </is>
      </c>
      <c r="AG234" s="10" t="inlineStr">
        <is>
          <t>市田</t>
        </is>
      </c>
      <c r="AH234" s="10" t="inlineStr">
        <is>
          <t>中山</t>
        </is>
      </c>
      <c r="AI234" s="10" t="inlineStr">
        <is>
          <t>柴田</t>
        </is>
      </c>
      <c r="AJ234" s="10" t="inlineStr">
        <is>
          <t>欠員①</t>
        </is>
      </c>
      <c r="AK234" s="10" t="inlineStr">
        <is>
          <t>上野</t>
        </is>
      </c>
      <c r="AL234" s="10" t="inlineStr">
        <is>
          <t>西村</t>
        </is>
      </c>
      <c r="AM234" s="10" t="inlineStr">
        <is>
          <t>門谷</t>
        </is>
      </c>
      <c r="AN234" s="10" t="inlineStr">
        <is>
          <t>山田真</t>
        </is>
      </c>
      <c r="AO234" s="10" t="inlineStr">
        <is>
          <t>植山</t>
        </is>
      </c>
      <c r="AP234" s="10" t="inlineStr">
        <is>
          <t>上田</t>
        </is>
      </c>
    </row>
    <row r="235" ht="15" customHeight="1" s="37">
      <c r="A235" t="inlineStr">
        <is>
          <t>2026-12-24</t>
        </is>
      </c>
      <c r="B235" s="10" t="inlineStr">
        <is>
          <t>木</t>
        </is>
      </c>
      <c r="C235" s="10" t="inlineStr">
        <is>
          <t>平日</t>
        </is>
      </c>
      <c r="E235" s="10" t="inlineStr">
        <is>
          <t>栗下</t>
        </is>
      </c>
      <c r="F235" s="10" t="inlineStr">
        <is>
          <t>岡本</t>
        </is>
      </c>
      <c r="G235" s="10" t="inlineStr">
        <is>
          <t>丸田</t>
        </is>
      </c>
      <c r="H235" s="10" t="inlineStr">
        <is>
          <t>大川内</t>
        </is>
      </c>
      <c r="I235" s="10" t="inlineStr">
        <is>
          <t>山田真</t>
        </is>
      </c>
      <c r="J235" s="10" t="inlineStr">
        <is>
          <t>河野</t>
        </is>
      </c>
      <c r="K235" s="10" t="inlineStr">
        <is>
          <t>内野</t>
        </is>
      </c>
      <c r="L235" s="10" t="inlineStr">
        <is>
          <t>佐野</t>
        </is>
      </c>
      <c r="M235" s="10" t="inlineStr">
        <is>
          <t>横山</t>
        </is>
      </c>
      <c r="N235" s="10" t="inlineStr">
        <is>
          <t>馬場</t>
        </is>
      </c>
      <c r="O235" s="10" t="inlineStr">
        <is>
          <t>田中</t>
        </is>
      </c>
      <c r="P235" s="10" t="inlineStr">
        <is>
          <t>上野</t>
        </is>
      </c>
      <c r="Q235" s="10" t="inlineStr">
        <is>
          <t>矢田</t>
        </is>
      </c>
      <c r="R235" s="10" t="inlineStr">
        <is>
          <t>尾川</t>
        </is>
      </c>
      <c r="S235" s="10" t="inlineStr">
        <is>
          <t>西村</t>
        </is>
      </c>
      <c r="T235" s="10" t="inlineStr">
        <is>
          <t>岩田</t>
        </is>
      </c>
      <c r="U235" s="10" t="inlineStr">
        <is>
          <t>上田</t>
        </is>
      </c>
      <c r="V235" s="10" t="inlineStr">
        <is>
          <t>中山</t>
        </is>
      </c>
      <c r="W235" s="10" t="inlineStr">
        <is>
          <t>富島</t>
        </is>
      </c>
      <c r="X235" s="10" t="inlineStr">
        <is>
          <t>井川</t>
        </is>
      </c>
      <c r="Y235" s="10" t="inlineStr">
        <is>
          <t>欠員①</t>
        </is>
      </c>
      <c r="Z235" s="10" t="inlineStr">
        <is>
          <t>横田</t>
        </is>
      </c>
      <c r="AA235" s="10" t="inlineStr">
        <is>
          <t>門谷</t>
        </is>
      </c>
      <c r="AB235" s="10" t="inlineStr">
        <is>
          <t>北川</t>
        </is>
      </c>
      <c r="AC235" s="10" t="inlineStr">
        <is>
          <t>植山</t>
        </is>
      </c>
      <c r="AD235" s="10" t="inlineStr">
        <is>
          <t>安村</t>
        </is>
      </c>
      <c r="AE235" s="10" t="inlineStr">
        <is>
          <t>中嶌</t>
        </is>
      </c>
      <c r="AF235" s="10" t="inlineStr">
        <is>
          <t>中村</t>
        </is>
      </c>
      <c r="AG235" s="10" t="inlineStr">
        <is>
          <t>谷川</t>
        </is>
      </c>
      <c r="AH235" s="10" t="inlineStr">
        <is>
          <t>欠員②</t>
        </is>
      </c>
      <c r="AI235" s="10" t="inlineStr">
        <is>
          <t>藤原</t>
        </is>
      </c>
      <c r="AJ235" s="10" t="inlineStr">
        <is>
          <t>山本高</t>
        </is>
      </c>
      <c r="AK235" s="10" t="inlineStr">
        <is>
          <t>柴田</t>
        </is>
      </c>
      <c r="AL235" s="10" t="inlineStr">
        <is>
          <t>山本幸</t>
        </is>
      </c>
      <c r="AM235" s="10" t="inlineStr">
        <is>
          <t>山田久</t>
        </is>
      </c>
      <c r="AN235" s="10" t="inlineStr">
        <is>
          <t>市田</t>
        </is>
      </c>
      <c r="AO235" s="10" t="inlineStr">
        <is>
          <t>野口</t>
        </is>
      </c>
      <c r="AP235" s="10" t="inlineStr">
        <is>
          <t>原</t>
        </is>
      </c>
    </row>
    <row r="236" ht="15" customHeight="1" s="37">
      <c r="A236" t="inlineStr">
        <is>
          <t>2026-12-25</t>
        </is>
      </c>
      <c r="B236" s="10" t="inlineStr">
        <is>
          <t>金</t>
        </is>
      </c>
      <c r="C236" s="10" t="inlineStr">
        <is>
          <t>平日</t>
        </is>
      </c>
      <c r="E236" s="10" t="inlineStr">
        <is>
          <t>西村</t>
        </is>
      </c>
      <c r="F236" s="10" t="inlineStr">
        <is>
          <t>横山</t>
        </is>
      </c>
      <c r="G236" s="10" t="inlineStr">
        <is>
          <t>中山</t>
        </is>
      </c>
      <c r="H236" s="10" t="inlineStr">
        <is>
          <t>田中</t>
        </is>
      </c>
      <c r="I236" s="10" t="inlineStr">
        <is>
          <t>市田</t>
        </is>
      </c>
      <c r="J236" s="10" t="inlineStr">
        <is>
          <t>富島</t>
        </is>
      </c>
      <c r="K236" s="10" t="inlineStr">
        <is>
          <t>中村</t>
        </is>
      </c>
      <c r="L236" s="10" t="inlineStr">
        <is>
          <t>上野</t>
        </is>
      </c>
      <c r="M236" s="10" t="inlineStr">
        <is>
          <t>植山</t>
        </is>
      </c>
      <c r="N236" s="10" t="inlineStr">
        <is>
          <t>尾川</t>
        </is>
      </c>
      <c r="O236" s="10" t="inlineStr">
        <is>
          <t>井川</t>
        </is>
      </c>
      <c r="P236" s="10" t="inlineStr">
        <is>
          <t>柴田</t>
        </is>
      </c>
      <c r="Q236" s="10" t="inlineStr">
        <is>
          <t>佐野</t>
        </is>
      </c>
      <c r="R236" s="10" t="inlineStr">
        <is>
          <t>門谷</t>
        </is>
      </c>
      <c r="S236" s="10" t="inlineStr">
        <is>
          <t>山本幸</t>
        </is>
      </c>
      <c r="T236" s="10" t="inlineStr">
        <is>
          <t>上田</t>
        </is>
      </c>
      <c r="U236" s="10" t="inlineStr">
        <is>
          <t>原</t>
        </is>
      </c>
      <c r="V236" s="10" t="inlineStr">
        <is>
          <t>欠員②</t>
        </is>
      </c>
      <c r="W236" s="10" t="inlineStr">
        <is>
          <t>中嶌</t>
        </is>
      </c>
      <c r="X236" s="10" t="inlineStr">
        <is>
          <t>内野</t>
        </is>
      </c>
      <c r="Y236" s="10" t="inlineStr">
        <is>
          <t>山本高</t>
        </is>
      </c>
      <c r="Z236" s="10" t="inlineStr">
        <is>
          <t>北川</t>
        </is>
      </c>
      <c r="AA236" s="10" t="inlineStr">
        <is>
          <t>山田久</t>
        </is>
      </c>
      <c r="AB236" s="10" t="inlineStr">
        <is>
          <t>河野</t>
        </is>
      </c>
      <c r="AC236" s="10" t="inlineStr">
        <is>
          <t>野口</t>
        </is>
      </c>
      <c r="AD236" s="10" t="inlineStr">
        <is>
          <t>丸田</t>
        </is>
      </c>
      <c r="AE236" s="10" t="inlineStr">
        <is>
          <t>大川内</t>
        </is>
      </c>
      <c r="AF236" s="10" t="inlineStr">
        <is>
          <t>岡本</t>
        </is>
      </c>
      <c r="AG236" s="10" t="inlineStr">
        <is>
          <t>馬場</t>
        </is>
      </c>
      <c r="AH236" s="10" t="inlineStr">
        <is>
          <t>矢田</t>
        </is>
      </c>
      <c r="AI236" s="10" t="inlineStr">
        <is>
          <t>岩田</t>
        </is>
      </c>
      <c r="AJ236" s="10" t="inlineStr">
        <is>
          <t>山田真</t>
        </is>
      </c>
      <c r="AK236" s="10" t="inlineStr">
        <is>
          <t>藤原</t>
        </is>
      </c>
      <c r="AL236" s="10" t="inlineStr">
        <is>
          <t>欠員①</t>
        </is>
      </c>
      <c r="AM236" s="10" t="inlineStr">
        <is>
          <t>安村</t>
        </is>
      </c>
      <c r="AN236" s="10" t="inlineStr">
        <is>
          <t>谷川</t>
        </is>
      </c>
      <c r="AO236" s="10" t="inlineStr">
        <is>
          <t>栗下</t>
        </is>
      </c>
      <c r="AP236" s="10" t="inlineStr">
        <is>
          <t>横田</t>
        </is>
      </c>
    </row>
    <row r="237" ht="15" customHeight="1" s="37">
      <c r="A237" t="inlineStr">
        <is>
          <t>2026-12-26</t>
        </is>
      </c>
      <c r="B237" s="10" t="inlineStr">
        <is>
          <t>土</t>
        </is>
      </c>
      <c r="C237" s="10" t="inlineStr">
        <is>
          <t>休日</t>
        </is>
      </c>
      <c r="E237" s="10" t="inlineStr">
        <is>
          <t>山本幸</t>
        </is>
      </c>
      <c r="F237" s="10" t="inlineStr">
        <is>
          <t>植山</t>
        </is>
      </c>
      <c r="G237" s="10" t="inlineStr">
        <is>
          <t>欠員②</t>
        </is>
      </c>
      <c r="H237" s="10" t="inlineStr">
        <is>
          <t>井川</t>
        </is>
      </c>
      <c r="I237" s="10" t="inlineStr">
        <is>
          <t>谷川</t>
        </is>
      </c>
      <c r="J237" s="10" t="inlineStr">
        <is>
          <t>中嶌</t>
        </is>
      </c>
      <c r="K237" s="10" t="inlineStr">
        <is>
          <t>岡本</t>
        </is>
      </c>
      <c r="L237" s="10" t="inlineStr">
        <is>
          <t>柴田</t>
        </is>
      </c>
      <c r="M237" s="10" t="inlineStr">
        <is>
          <t>野口</t>
        </is>
      </c>
      <c r="N237" s="10" t="inlineStr">
        <is>
          <t>門谷</t>
        </is>
      </c>
      <c r="O237" s="10" t="inlineStr">
        <is>
          <t>内野</t>
        </is>
      </c>
      <c r="P237" s="10" t="inlineStr">
        <is>
          <t>藤原</t>
        </is>
      </c>
      <c r="Q237" s="10" t="inlineStr">
        <is>
          <t>上野</t>
        </is>
      </c>
      <c r="R237" s="10" t="inlineStr">
        <is>
          <t>山田久</t>
        </is>
      </c>
      <c r="S237" s="10" t="inlineStr">
        <is>
          <t>欠員①</t>
        </is>
      </c>
      <c r="T237" s="10" t="inlineStr">
        <is>
          <t>原</t>
        </is>
      </c>
      <c r="U237" s="10" t="inlineStr">
        <is>
          <t>横田</t>
        </is>
      </c>
      <c r="V237" s="10" t="inlineStr">
        <is>
          <t>矢田</t>
        </is>
      </c>
      <c r="W237" s="10" t="inlineStr">
        <is>
          <t>大川内</t>
        </is>
      </c>
      <c r="X237" s="10" t="inlineStr">
        <is>
          <t>中村</t>
        </is>
      </c>
      <c r="Y237" s="10" t="inlineStr">
        <is>
          <t>山田真</t>
        </is>
      </c>
      <c r="Z237" s="10" t="inlineStr">
        <is>
          <t>河野</t>
        </is>
      </c>
      <c r="AA237" s="10" t="inlineStr">
        <is>
          <t>安村</t>
        </is>
      </c>
      <c r="AB237" s="10" t="inlineStr">
        <is>
          <t>富島</t>
        </is>
      </c>
      <c r="AC237" s="10" t="inlineStr">
        <is>
          <t>栗下</t>
        </is>
      </c>
      <c r="AD237" s="10" t="inlineStr">
        <is>
          <t>中山</t>
        </is>
      </c>
      <c r="AE237" s="10" t="inlineStr">
        <is>
          <t>田中</t>
        </is>
      </c>
      <c r="AF237" s="10" t="inlineStr">
        <is>
          <t>横山</t>
        </is>
      </c>
      <c r="AG237" s="10" t="inlineStr">
        <is>
          <t>尾川</t>
        </is>
      </c>
      <c r="AH237" s="10" t="inlineStr">
        <is>
          <t>佐野</t>
        </is>
      </c>
      <c r="AI237" s="10" t="inlineStr">
        <is>
          <t>上田</t>
        </is>
      </c>
      <c r="AJ237" s="10" t="inlineStr">
        <is>
          <t>市田</t>
        </is>
      </c>
      <c r="AK237" s="10" t="inlineStr">
        <is>
          <t>岩田</t>
        </is>
      </c>
      <c r="AL237" s="10" t="inlineStr">
        <is>
          <t>山本高</t>
        </is>
      </c>
      <c r="AM237" s="10" t="inlineStr">
        <is>
          <t>丸田</t>
        </is>
      </c>
      <c r="AN237" s="10" t="inlineStr">
        <is>
          <t>馬場</t>
        </is>
      </c>
      <c r="AO237" s="10" t="inlineStr">
        <is>
          <t>西村</t>
        </is>
      </c>
      <c r="AP237" s="10" t="inlineStr">
        <is>
          <t>北川</t>
        </is>
      </c>
    </row>
    <row r="238" ht="15" customHeight="1" s="37">
      <c r="A238" t="inlineStr">
        <is>
          <t>2026-12-27</t>
        </is>
      </c>
      <c r="B238" s="10" t="inlineStr">
        <is>
          <t>日</t>
        </is>
      </c>
      <c r="C238" s="10" t="inlineStr">
        <is>
          <t>休日</t>
        </is>
      </c>
      <c r="E238" s="10" t="inlineStr">
        <is>
          <t>欠員①</t>
        </is>
      </c>
      <c r="F238" s="10" t="inlineStr">
        <is>
          <t>野口</t>
        </is>
      </c>
      <c r="G238" s="10" t="inlineStr">
        <is>
          <t>矢田</t>
        </is>
      </c>
      <c r="H238" s="10" t="inlineStr">
        <is>
          <t>内野</t>
        </is>
      </c>
      <c r="I238" s="10" t="inlineStr">
        <is>
          <t>馬場</t>
        </is>
      </c>
      <c r="J238" s="10" t="inlineStr">
        <is>
          <t>大川内</t>
        </is>
      </c>
      <c r="K238" s="10" t="inlineStr">
        <is>
          <t>横山</t>
        </is>
      </c>
      <c r="L238" s="10" t="inlineStr">
        <is>
          <t>藤原</t>
        </is>
      </c>
      <c r="M238" s="10" t="inlineStr">
        <is>
          <t>栗下</t>
        </is>
      </c>
      <c r="N238" s="10" t="inlineStr">
        <is>
          <t>山田久</t>
        </is>
      </c>
      <c r="O238" s="10" t="inlineStr">
        <is>
          <t>中村</t>
        </is>
      </c>
      <c r="P238" s="10" t="inlineStr">
        <is>
          <t>岩田</t>
        </is>
      </c>
      <c r="Q238" s="10" t="inlineStr">
        <is>
          <t>柴田</t>
        </is>
      </c>
      <c r="R238" s="10" t="inlineStr">
        <is>
          <t>安村</t>
        </is>
      </c>
      <c r="S238" s="10" t="inlineStr">
        <is>
          <t>山本高</t>
        </is>
      </c>
      <c r="T238" s="10" t="inlineStr">
        <is>
          <t>横田</t>
        </is>
      </c>
      <c r="U238" s="10" t="inlineStr">
        <is>
          <t>北川</t>
        </is>
      </c>
      <c r="V238" s="10" t="inlineStr">
        <is>
          <t>佐野</t>
        </is>
      </c>
      <c r="W238" s="10" t="inlineStr">
        <is>
          <t>田中</t>
        </is>
      </c>
      <c r="X238" s="10" t="inlineStr">
        <is>
          <t>岡本</t>
        </is>
      </c>
      <c r="Y238" s="10" t="inlineStr">
        <is>
          <t>市田</t>
        </is>
      </c>
      <c r="Z238" s="10" t="inlineStr">
        <is>
          <t>富島</t>
        </is>
      </c>
      <c r="AA238" s="10" t="inlineStr">
        <is>
          <t>丸田</t>
        </is>
      </c>
      <c r="AB238" s="10" t="inlineStr">
        <is>
          <t>中嶌</t>
        </is>
      </c>
      <c r="AC238" s="10" t="inlineStr">
        <is>
          <t>西村</t>
        </is>
      </c>
      <c r="AD238" s="10" t="inlineStr">
        <is>
          <t>欠員②</t>
        </is>
      </c>
      <c r="AE238" s="10" t="inlineStr">
        <is>
          <t>井川</t>
        </is>
      </c>
      <c r="AF238" s="10" t="inlineStr">
        <is>
          <t>植山</t>
        </is>
      </c>
      <c r="AG238" s="10" t="inlineStr">
        <is>
          <t>門谷</t>
        </is>
      </c>
      <c r="AH238" s="10" t="inlineStr">
        <is>
          <t>上野</t>
        </is>
      </c>
      <c r="AI238" s="10" t="inlineStr">
        <is>
          <t>原</t>
        </is>
      </c>
      <c r="AJ238" s="10" t="inlineStr">
        <is>
          <t>谷川</t>
        </is>
      </c>
      <c r="AK238" s="10" t="inlineStr">
        <is>
          <t>上田</t>
        </is>
      </c>
      <c r="AL238" s="10" t="inlineStr">
        <is>
          <t>山田真</t>
        </is>
      </c>
      <c r="AM238" s="10" t="inlineStr">
        <is>
          <t>中山</t>
        </is>
      </c>
      <c r="AN238" s="10" t="inlineStr">
        <is>
          <t>尾川</t>
        </is>
      </c>
      <c r="AO238" s="10" t="inlineStr">
        <is>
          <t>山本幸</t>
        </is>
      </c>
      <c r="AP238" s="10" t="inlineStr">
        <is>
          <t>河野</t>
        </is>
      </c>
    </row>
    <row r="239" ht="15" customHeight="1" s="37">
      <c r="A239" t="inlineStr">
        <is>
          <t>2026-12-28</t>
        </is>
      </c>
      <c r="B239" s="10" t="inlineStr">
        <is>
          <t>月</t>
        </is>
      </c>
      <c r="C239" s="10" t="inlineStr">
        <is>
          <t>平日</t>
        </is>
      </c>
      <c r="E239" s="10" t="inlineStr">
        <is>
          <t>山本高</t>
        </is>
      </c>
      <c r="F239" s="10" t="inlineStr">
        <is>
          <t>栗下</t>
        </is>
      </c>
      <c r="G239" s="10" t="inlineStr">
        <is>
          <t>佐野</t>
        </is>
      </c>
      <c r="H239" s="10" t="inlineStr">
        <is>
          <t>中村</t>
        </is>
      </c>
      <c r="I239" s="10" t="inlineStr">
        <is>
          <t>尾川</t>
        </is>
      </c>
      <c r="J239" s="10" t="inlineStr">
        <is>
          <t>田中</t>
        </is>
      </c>
      <c r="K239" s="10" t="inlineStr">
        <is>
          <t>植山</t>
        </is>
      </c>
      <c r="L239" s="10" t="inlineStr">
        <is>
          <t>岩田</t>
        </is>
      </c>
      <c r="M239" s="10" t="inlineStr">
        <is>
          <t>西村</t>
        </is>
      </c>
      <c r="N239" s="10" t="inlineStr">
        <is>
          <t>安村</t>
        </is>
      </c>
      <c r="O239" s="10" t="inlineStr">
        <is>
          <t>岡本</t>
        </is>
      </c>
      <c r="P239" s="10" t="inlineStr">
        <is>
          <t>上田</t>
        </is>
      </c>
      <c r="Q239" s="10" t="inlineStr">
        <is>
          <t>藤原</t>
        </is>
      </c>
      <c r="R239" s="10" t="inlineStr">
        <is>
          <t>丸田</t>
        </is>
      </c>
      <c r="S239" s="10" t="inlineStr">
        <is>
          <t>山田真</t>
        </is>
      </c>
      <c r="T239" s="10" t="inlineStr">
        <is>
          <t>北川</t>
        </is>
      </c>
      <c r="U239" s="10" t="inlineStr">
        <is>
          <t>河野</t>
        </is>
      </c>
      <c r="V239" s="10" t="inlineStr">
        <is>
          <t>上野</t>
        </is>
      </c>
      <c r="W239" s="10" t="inlineStr">
        <is>
          <t>井川</t>
        </is>
      </c>
      <c r="X239" s="10" t="inlineStr">
        <is>
          <t>横山</t>
        </is>
      </c>
      <c r="Y239" s="10" t="inlineStr">
        <is>
          <t>谷川</t>
        </is>
      </c>
      <c r="Z239" s="10" t="inlineStr">
        <is>
          <t>中嶌</t>
        </is>
      </c>
      <c r="AA239" s="10" t="inlineStr">
        <is>
          <t>中山</t>
        </is>
      </c>
      <c r="AB239" s="10" t="inlineStr">
        <is>
          <t>大川内</t>
        </is>
      </c>
      <c r="AC239" s="10" t="inlineStr">
        <is>
          <t>山本幸</t>
        </is>
      </c>
      <c r="AD239" s="10" t="inlineStr">
        <is>
          <t>矢田</t>
        </is>
      </c>
      <c r="AE239" s="10" t="inlineStr">
        <is>
          <t>内野</t>
        </is>
      </c>
      <c r="AF239" s="10" t="inlineStr">
        <is>
          <t>野口</t>
        </is>
      </c>
      <c r="AG239" s="10" t="inlineStr">
        <is>
          <t>山田久</t>
        </is>
      </c>
      <c r="AH239" s="10" t="inlineStr">
        <is>
          <t>柴田</t>
        </is>
      </c>
      <c r="AI239" s="10" t="inlineStr">
        <is>
          <t>横田</t>
        </is>
      </c>
      <c r="AJ239" s="10" t="inlineStr">
        <is>
          <t>馬場</t>
        </is>
      </c>
      <c r="AK239" s="10" t="inlineStr">
        <is>
          <t>原</t>
        </is>
      </c>
      <c r="AL239" s="10" t="inlineStr">
        <is>
          <t>市田</t>
        </is>
      </c>
      <c r="AM239" s="10" t="inlineStr">
        <is>
          <t>欠員②</t>
        </is>
      </c>
      <c r="AN239" s="10" t="inlineStr">
        <is>
          <t>門谷</t>
        </is>
      </c>
      <c r="AO239" s="10" t="inlineStr">
        <is>
          <t>欠員①</t>
        </is>
      </c>
      <c r="AP239" s="10" t="inlineStr">
        <is>
          <t>富島</t>
        </is>
      </c>
    </row>
    <row r="240" ht="15" customHeight="1" s="37">
      <c r="A240" t="inlineStr">
        <is>
          <t>2026-12-29</t>
        </is>
      </c>
      <c r="B240" s="10" t="inlineStr">
        <is>
          <t>火</t>
        </is>
      </c>
      <c r="C240" s="10" t="inlineStr">
        <is>
          <t>平日</t>
        </is>
      </c>
      <c r="E240" s="10" t="inlineStr">
        <is>
          <t>山田真</t>
        </is>
      </c>
      <c r="F240" s="10" t="inlineStr">
        <is>
          <t>西村</t>
        </is>
      </c>
      <c r="G240" s="10" t="inlineStr">
        <is>
          <t>上野</t>
        </is>
      </c>
      <c r="H240" s="10" t="inlineStr">
        <is>
          <t>岡本</t>
        </is>
      </c>
      <c r="I240" s="10" t="inlineStr">
        <is>
          <t>門谷</t>
        </is>
      </c>
      <c r="J240" s="10" t="inlineStr">
        <is>
          <t>井川</t>
        </is>
      </c>
      <c r="K240" s="10" t="inlineStr">
        <is>
          <t>野口</t>
        </is>
      </c>
      <c r="L240" s="10" t="inlineStr">
        <is>
          <t>上田</t>
        </is>
      </c>
      <c r="M240" s="10" t="inlineStr">
        <is>
          <t>山本幸</t>
        </is>
      </c>
      <c r="N240" s="10" t="inlineStr">
        <is>
          <t>丸田</t>
        </is>
      </c>
      <c r="O240" s="10" t="inlineStr">
        <is>
          <t>横山</t>
        </is>
      </c>
      <c r="P240" s="10" t="inlineStr">
        <is>
          <t>原</t>
        </is>
      </c>
      <c r="Q240" s="10" t="inlineStr">
        <is>
          <t>岩田</t>
        </is>
      </c>
      <c r="R240" s="10" t="inlineStr">
        <is>
          <t>中山</t>
        </is>
      </c>
      <c r="S240" s="10" t="inlineStr">
        <is>
          <t>市田</t>
        </is>
      </c>
      <c r="T240" s="10" t="inlineStr">
        <is>
          <t>河野</t>
        </is>
      </c>
      <c r="U240" s="10" t="inlineStr">
        <is>
          <t>富島</t>
        </is>
      </c>
      <c r="V240" s="10" t="inlineStr">
        <is>
          <t>柴田</t>
        </is>
      </c>
      <c r="W240" s="10" t="inlineStr">
        <is>
          <t>内野</t>
        </is>
      </c>
      <c r="X240" s="10" t="inlineStr">
        <is>
          <t>植山</t>
        </is>
      </c>
      <c r="Y240" s="10" t="inlineStr">
        <is>
          <t>馬場</t>
        </is>
      </c>
      <c r="Z240" s="10" t="inlineStr">
        <is>
          <t>大川内</t>
        </is>
      </c>
      <c r="AA240" s="10" t="inlineStr">
        <is>
          <t>欠員②</t>
        </is>
      </c>
      <c r="AB240" s="10" t="inlineStr">
        <is>
          <t>田中</t>
        </is>
      </c>
      <c r="AC240" s="10" t="inlineStr">
        <is>
          <t>欠員①</t>
        </is>
      </c>
      <c r="AD240" s="10" t="inlineStr">
        <is>
          <t>佐野</t>
        </is>
      </c>
      <c r="AE240" s="10" t="inlineStr">
        <is>
          <t>中村</t>
        </is>
      </c>
      <c r="AF240" s="10" t="inlineStr">
        <is>
          <t>栗下</t>
        </is>
      </c>
      <c r="AG240" s="10" t="inlineStr">
        <is>
          <t>安村</t>
        </is>
      </c>
      <c r="AH240" s="10" t="inlineStr">
        <is>
          <t>藤原</t>
        </is>
      </c>
      <c r="AI240" s="10" t="inlineStr">
        <is>
          <t>北川</t>
        </is>
      </c>
      <c r="AJ240" s="10" t="inlineStr">
        <is>
          <t>尾川</t>
        </is>
      </c>
      <c r="AK240" s="10" t="inlineStr">
        <is>
          <t>横田</t>
        </is>
      </c>
      <c r="AL240" s="10" t="inlineStr">
        <is>
          <t>谷川</t>
        </is>
      </c>
      <c r="AM240" s="10" t="inlineStr">
        <is>
          <t>矢田</t>
        </is>
      </c>
      <c r="AN240" s="10" t="inlineStr">
        <is>
          <t>山田久</t>
        </is>
      </c>
      <c r="AO240" s="10" t="inlineStr">
        <is>
          <t>山本高</t>
        </is>
      </c>
      <c r="AP240" s="10" t="inlineStr">
        <is>
          <t>中嶌</t>
        </is>
      </c>
    </row>
    <row r="241" ht="15" customHeight="1" s="37">
      <c r="A241" t="inlineStr">
        <is>
          <t>2026-12-30</t>
        </is>
      </c>
      <c r="B241" s="10" t="inlineStr">
        <is>
          <t>水</t>
        </is>
      </c>
      <c r="C241" s="10" t="inlineStr">
        <is>
          <t>年末年始</t>
        </is>
      </c>
      <c r="E241" s="10" t="inlineStr">
        <is>
          <t>市田</t>
        </is>
      </c>
      <c r="F241" s="10" t="inlineStr">
        <is>
          <t>山本幸</t>
        </is>
      </c>
      <c r="G241" s="10" t="inlineStr">
        <is>
          <t>柴田</t>
        </is>
      </c>
      <c r="H241" s="10" t="inlineStr">
        <is>
          <t>横山</t>
        </is>
      </c>
      <c r="I241" s="10" t="inlineStr">
        <is>
          <t>山田久</t>
        </is>
      </c>
      <c r="J241" s="10" t="inlineStr">
        <is>
          <t>内野</t>
        </is>
      </c>
      <c r="K241" s="10" t="inlineStr">
        <is>
          <t>栗下</t>
        </is>
      </c>
      <c r="L241" s="10" t="inlineStr">
        <is>
          <t>原</t>
        </is>
      </c>
      <c r="M241" s="10" t="inlineStr">
        <is>
          <t>欠員①</t>
        </is>
      </c>
      <c r="N241" s="10" t="inlineStr">
        <is>
          <t>中山</t>
        </is>
      </c>
      <c r="O241" s="10" t="inlineStr">
        <is>
          <t>植山</t>
        </is>
      </c>
      <c r="P241" s="10" t="inlineStr">
        <is>
          <t>横田</t>
        </is>
      </c>
      <c r="Q241" s="10" t="inlineStr">
        <is>
          <t>上田</t>
        </is>
      </c>
      <c r="R241" s="10" t="inlineStr">
        <is>
          <t>欠員②</t>
        </is>
      </c>
      <c r="S241" s="10" t="inlineStr">
        <is>
          <t>谷川</t>
        </is>
      </c>
      <c r="T241" s="10" t="inlineStr">
        <is>
          <t>富島</t>
        </is>
      </c>
      <c r="U241" s="10" t="inlineStr">
        <is>
          <t>中嶌</t>
        </is>
      </c>
      <c r="V241" s="10" t="inlineStr">
        <is>
          <t>藤原</t>
        </is>
      </c>
      <c r="W241" s="10" t="inlineStr">
        <is>
          <t>中村</t>
        </is>
      </c>
      <c r="X241" s="10" t="inlineStr">
        <is>
          <t>野口</t>
        </is>
      </c>
      <c r="Y241" s="10" t="inlineStr">
        <is>
          <t>尾川</t>
        </is>
      </c>
      <c r="Z241" s="10" t="inlineStr">
        <is>
          <t>田中</t>
        </is>
      </c>
      <c r="AA241" s="10" t="inlineStr">
        <is>
          <t>矢田</t>
        </is>
      </c>
      <c r="AB241" s="10" t="inlineStr">
        <is>
          <t>井川</t>
        </is>
      </c>
      <c r="AC241" s="10" t="inlineStr">
        <is>
          <t>山本高</t>
        </is>
      </c>
      <c r="AD241" s="10" t="inlineStr">
        <is>
          <t>上野</t>
        </is>
      </c>
      <c r="AE241" s="10" t="inlineStr">
        <is>
          <t>岡本</t>
        </is>
      </c>
      <c r="AF241" s="10" t="inlineStr">
        <is>
          <t>西村</t>
        </is>
      </c>
      <c r="AG241" s="10" t="inlineStr">
        <is>
          <t>丸田</t>
        </is>
      </c>
      <c r="AH241" s="10" t="inlineStr">
        <is>
          <t>岩田</t>
        </is>
      </c>
      <c r="AI241" s="10" t="inlineStr">
        <is>
          <t>河野</t>
        </is>
      </c>
      <c r="AJ241" s="10" t="inlineStr">
        <is>
          <t>門谷</t>
        </is>
      </c>
      <c r="AK241" s="10" t="inlineStr">
        <is>
          <t>北川</t>
        </is>
      </c>
      <c r="AL241" s="10" t="inlineStr">
        <is>
          <t>馬場</t>
        </is>
      </c>
      <c r="AM241" s="10" t="inlineStr">
        <is>
          <t>佐野</t>
        </is>
      </c>
      <c r="AN241" s="10" t="inlineStr">
        <is>
          <t>安村</t>
        </is>
      </c>
      <c r="AO241" s="10" t="inlineStr">
        <is>
          <t>山田真</t>
        </is>
      </c>
      <c r="AP241" s="10" t="inlineStr">
        <is>
          <t>大川内</t>
        </is>
      </c>
    </row>
    <row r="242" ht="15" customHeight="1" s="37">
      <c r="A242" t="inlineStr">
        <is>
          <t>2026-12-31</t>
        </is>
      </c>
      <c r="B242" s="10" t="inlineStr">
        <is>
          <t>木</t>
        </is>
      </c>
      <c r="C242" s="10" t="inlineStr">
        <is>
          <t>年末年始</t>
        </is>
      </c>
      <c r="E242" s="10" t="inlineStr">
        <is>
          <t>谷川</t>
        </is>
      </c>
      <c r="F242" s="10" t="inlineStr">
        <is>
          <t>欠員①</t>
        </is>
      </c>
      <c r="G242" s="10" t="inlineStr">
        <is>
          <t>藤原</t>
        </is>
      </c>
      <c r="H242" s="10" t="inlineStr">
        <is>
          <t>植山</t>
        </is>
      </c>
      <c r="I242" s="10" t="inlineStr">
        <is>
          <t>安村</t>
        </is>
      </c>
      <c r="J242" s="10" t="inlineStr">
        <is>
          <t>中村</t>
        </is>
      </c>
      <c r="K242" s="10" t="inlineStr">
        <is>
          <t>西村</t>
        </is>
      </c>
      <c r="L242" s="10" t="inlineStr">
        <is>
          <t>横田</t>
        </is>
      </c>
      <c r="M242" s="10" t="inlineStr">
        <is>
          <t>山本高</t>
        </is>
      </c>
      <c r="N242" s="10" t="inlineStr">
        <is>
          <t>欠員②</t>
        </is>
      </c>
      <c r="O242" s="10" t="inlineStr">
        <is>
          <t>野口</t>
        </is>
      </c>
      <c r="P242" s="10" t="inlineStr">
        <is>
          <t>北川</t>
        </is>
      </c>
      <c r="Q242" s="10" t="inlineStr">
        <is>
          <t>原</t>
        </is>
      </c>
      <c r="R242" s="10" t="inlineStr">
        <is>
          <t>矢田</t>
        </is>
      </c>
      <c r="S242" s="10" t="inlineStr">
        <is>
          <t>馬場</t>
        </is>
      </c>
      <c r="T242" s="10" t="inlineStr">
        <is>
          <t>中嶌</t>
        </is>
      </c>
      <c r="U242" s="10" t="inlineStr">
        <is>
          <t>大川内</t>
        </is>
      </c>
      <c r="V242" s="10" t="inlineStr">
        <is>
          <t>岩田</t>
        </is>
      </c>
      <c r="W242" s="10" t="inlineStr">
        <is>
          <t>岡本</t>
        </is>
      </c>
      <c r="X242" s="10" t="inlineStr">
        <is>
          <t>栗下</t>
        </is>
      </c>
      <c r="Y242" s="10" t="inlineStr">
        <is>
          <t>門谷</t>
        </is>
      </c>
      <c r="Z242" s="10" t="inlineStr">
        <is>
          <t>井川</t>
        </is>
      </c>
      <c r="AA242" s="10" t="inlineStr">
        <is>
          <t>佐野</t>
        </is>
      </c>
      <c r="AB242" s="10" t="inlineStr">
        <is>
          <t>内野</t>
        </is>
      </c>
      <c r="AC242" s="10" t="inlineStr">
        <is>
          <t>山田真</t>
        </is>
      </c>
      <c r="AD242" s="10" t="inlineStr">
        <is>
          <t>柴田</t>
        </is>
      </c>
      <c r="AE242" s="10" t="inlineStr">
        <is>
          <t>横山</t>
        </is>
      </c>
      <c r="AF242" s="10" t="inlineStr">
        <is>
          <t>山本幸</t>
        </is>
      </c>
      <c r="AG242" s="10" t="inlineStr">
        <is>
          <t>中山</t>
        </is>
      </c>
      <c r="AH242" s="10" t="inlineStr">
        <is>
          <t>上田</t>
        </is>
      </c>
      <c r="AI242" s="10" t="inlineStr">
        <is>
          <t>富島</t>
        </is>
      </c>
      <c r="AJ242" s="10" t="inlineStr">
        <is>
          <t>山田久</t>
        </is>
      </c>
      <c r="AK242" s="10" t="inlineStr">
        <is>
          <t>河野</t>
        </is>
      </c>
      <c r="AL242" s="10" t="inlineStr">
        <is>
          <t>尾川</t>
        </is>
      </c>
      <c r="AM242" s="10" t="inlineStr">
        <is>
          <t>上野</t>
        </is>
      </c>
      <c r="AN242" s="10" t="inlineStr">
        <is>
          <t>丸田</t>
        </is>
      </c>
      <c r="AO242" s="10" t="inlineStr">
        <is>
          <t>市田</t>
        </is>
      </c>
      <c r="AP242" s="10" t="inlineStr">
        <is>
          <t>田中</t>
        </is>
      </c>
    </row>
    <row r="243" ht="15" customHeight="1" s="37">
      <c r="A243" t="inlineStr">
        <is>
          <t>2027-01-01</t>
        </is>
      </c>
      <c r="B243" s="10" t="inlineStr">
        <is>
          <t>金</t>
        </is>
      </c>
      <c r="C243" s="10" t="inlineStr">
        <is>
          <t>年末年始</t>
        </is>
      </c>
      <c r="D243" s="10" t="inlineStr">
        <is>
          <t>元日</t>
        </is>
      </c>
      <c r="E243" s="10" t="inlineStr">
        <is>
          <t>馬場</t>
        </is>
      </c>
      <c r="F243" s="10" t="inlineStr">
        <is>
          <t>山本高</t>
        </is>
      </c>
      <c r="G243" s="10" t="inlineStr">
        <is>
          <t>岩田</t>
        </is>
      </c>
      <c r="H243" s="10" t="inlineStr">
        <is>
          <t>野口</t>
        </is>
      </c>
      <c r="I243" s="10" t="inlineStr">
        <is>
          <t>丸田</t>
        </is>
      </c>
      <c r="J243" s="10" t="inlineStr">
        <is>
          <t>岡本</t>
        </is>
      </c>
      <c r="K243" s="10" t="inlineStr">
        <is>
          <t>山本幸</t>
        </is>
      </c>
      <c r="L243" s="10" t="inlineStr">
        <is>
          <t>北川</t>
        </is>
      </c>
      <c r="M243" s="10" t="inlineStr">
        <is>
          <t>山田真</t>
        </is>
      </c>
      <c r="N243" s="10" t="inlineStr">
        <is>
          <t>矢田</t>
        </is>
      </c>
      <c r="O243" s="10" t="inlineStr">
        <is>
          <t>栗下</t>
        </is>
      </c>
      <c r="P243" s="10" t="inlineStr">
        <is>
          <t>河野</t>
        </is>
      </c>
      <c r="Q243" s="10" t="inlineStr">
        <is>
          <t>横田</t>
        </is>
      </c>
      <c r="R243" s="10" t="inlineStr">
        <is>
          <t>佐野</t>
        </is>
      </c>
      <c r="S243" s="10" t="inlineStr">
        <is>
          <t>尾川</t>
        </is>
      </c>
      <c r="T243" s="10" t="inlineStr">
        <is>
          <t>大川内</t>
        </is>
      </c>
      <c r="U243" s="10" t="inlineStr">
        <is>
          <t>田中</t>
        </is>
      </c>
      <c r="V243" s="10" t="inlineStr">
        <is>
          <t>上田</t>
        </is>
      </c>
      <c r="W243" s="10" t="inlineStr">
        <is>
          <t>横山</t>
        </is>
      </c>
      <c r="X243" s="10" t="inlineStr">
        <is>
          <t>西村</t>
        </is>
      </c>
      <c r="Y243" s="10" t="inlineStr">
        <is>
          <t>山田久</t>
        </is>
      </c>
      <c r="Z243" s="10" t="inlineStr">
        <is>
          <t>内野</t>
        </is>
      </c>
      <c r="AA243" s="10" t="inlineStr">
        <is>
          <t>上野</t>
        </is>
      </c>
      <c r="AB243" s="10" t="inlineStr">
        <is>
          <t>中村</t>
        </is>
      </c>
      <c r="AC243" s="10" t="inlineStr">
        <is>
          <t>市田</t>
        </is>
      </c>
      <c r="AD243" s="10" t="inlineStr">
        <is>
          <t>藤原</t>
        </is>
      </c>
      <c r="AE243" s="10" t="inlineStr">
        <is>
          <t>植山</t>
        </is>
      </c>
      <c r="AF243" s="10" t="inlineStr">
        <is>
          <t>欠員①</t>
        </is>
      </c>
      <c r="AG243" s="10" t="inlineStr">
        <is>
          <t>欠員②</t>
        </is>
      </c>
      <c r="AH243" s="10" t="inlineStr">
        <is>
          <t>原</t>
        </is>
      </c>
      <c r="AI243" s="10" t="inlineStr">
        <is>
          <t>中嶌</t>
        </is>
      </c>
      <c r="AJ243" s="10" t="inlineStr">
        <is>
          <t>安村</t>
        </is>
      </c>
      <c r="AK243" s="10" t="inlineStr">
        <is>
          <t>富島</t>
        </is>
      </c>
      <c r="AL243" s="10" t="inlineStr">
        <is>
          <t>門谷</t>
        </is>
      </c>
      <c r="AM243" s="10" t="inlineStr">
        <is>
          <t>柴田</t>
        </is>
      </c>
      <c r="AN243" s="10" t="inlineStr">
        <is>
          <t>中山</t>
        </is>
      </c>
      <c r="AO243" s="10" t="inlineStr">
        <is>
          <t>谷川</t>
        </is>
      </c>
      <c r="AP243" s="10" t="inlineStr">
        <is>
          <t>井川</t>
        </is>
      </c>
    </row>
    <row r="244" ht="15" customHeight="1" s="37">
      <c r="A244" t="inlineStr">
        <is>
          <t>2027-01-02</t>
        </is>
      </c>
      <c r="B244" s="10" t="inlineStr">
        <is>
          <t>土</t>
        </is>
      </c>
      <c r="C244" s="10" t="inlineStr">
        <is>
          <t>年末年始</t>
        </is>
      </c>
      <c r="E244" s="10" t="inlineStr">
        <is>
          <t>尾川</t>
        </is>
      </c>
      <c r="F244" s="10" t="inlineStr">
        <is>
          <t>山田真</t>
        </is>
      </c>
      <c r="G244" s="10" t="inlineStr">
        <is>
          <t>上田</t>
        </is>
      </c>
      <c r="H244" s="10" t="inlineStr">
        <is>
          <t>栗下</t>
        </is>
      </c>
      <c r="I244" s="10" t="inlineStr">
        <is>
          <t>中山</t>
        </is>
      </c>
      <c r="J244" s="10" t="inlineStr">
        <is>
          <t>横山</t>
        </is>
      </c>
      <c r="K244" s="10" t="inlineStr">
        <is>
          <t>欠員①</t>
        </is>
      </c>
      <c r="L244" s="10" t="inlineStr">
        <is>
          <t>河野</t>
        </is>
      </c>
      <c r="M244" s="10" t="inlineStr">
        <is>
          <t>市田</t>
        </is>
      </c>
      <c r="N244" s="10" t="inlineStr">
        <is>
          <t>佐野</t>
        </is>
      </c>
      <c r="O244" s="10" t="inlineStr">
        <is>
          <t>西村</t>
        </is>
      </c>
      <c r="P244" s="10" t="inlineStr">
        <is>
          <t>富島</t>
        </is>
      </c>
      <c r="Q244" s="10" t="inlineStr">
        <is>
          <t>北川</t>
        </is>
      </c>
      <c r="R244" s="10" t="inlineStr">
        <is>
          <t>上野</t>
        </is>
      </c>
      <c r="S244" s="10" t="inlineStr">
        <is>
          <t>門谷</t>
        </is>
      </c>
      <c r="T244" s="10" t="inlineStr">
        <is>
          <t>田中</t>
        </is>
      </c>
      <c r="U244" s="10" t="inlineStr">
        <is>
          <t>井川</t>
        </is>
      </c>
      <c r="V244" s="10" t="inlineStr">
        <is>
          <t>原</t>
        </is>
      </c>
      <c r="W244" s="10" t="inlineStr">
        <is>
          <t>植山</t>
        </is>
      </c>
      <c r="X244" s="10" t="inlineStr">
        <is>
          <t>山本幸</t>
        </is>
      </c>
      <c r="Y244" s="10" t="inlineStr">
        <is>
          <t>安村</t>
        </is>
      </c>
      <c r="Z244" s="10" t="inlineStr">
        <is>
          <t>中村</t>
        </is>
      </c>
      <c r="AA244" s="10" t="inlineStr">
        <is>
          <t>柴田</t>
        </is>
      </c>
      <c r="AB244" s="10" t="inlineStr">
        <is>
          <t>岡本</t>
        </is>
      </c>
      <c r="AC244" s="10" t="inlineStr">
        <is>
          <t>谷川</t>
        </is>
      </c>
      <c r="AD244" s="10" t="inlineStr">
        <is>
          <t>岩田</t>
        </is>
      </c>
      <c r="AE244" s="10" t="inlineStr">
        <is>
          <t>野口</t>
        </is>
      </c>
      <c r="AF244" s="10" t="inlineStr">
        <is>
          <t>山本高</t>
        </is>
      </c>
      <c r="AG244" s="10" t="inlineStr">
        <is>
          <t>矢田</t>
        </is>
      </c>
      <c r="AH244" s="10" t="inlineStr">
        <is>
          <t>横田</t>
        </is>
      </c>
      <c r="AI244" s="10" t="inlineStr">
        <is>
          <t>大川内</t>
        </is>
      </c>
      <c r="AJ244" s="10" t="inlineStr">
        <is>
          <t>丸田</t>
        </is>
      </c>
      <c r="AK244" s="10" t="inlineStr">
        <is>
          <t>中嶌</t>
        </is>
      </c>
      <c r="AL244" s="10" t="inlineStr">
        <is>
          <t>山田久</t>
        </is>
      </c>
      <c r="AM244" s="10" t="inlineStr">
        <is>
          <t>藤原</t>
        </is>
      </c>
      <c r="AN244" s="10" t="inlineStr">
        <is>
          <t>欠員②</t>
        </is>
      </c>
      <c r="AO244" s="10" t="inlineStr">
        <is>
          <t>馬場</t>
        </is>
      </c>
      <c r="AP244" s="10" t="inlineStr">
        <is>
          <t>内野</t>
        </is>
      </c>
    </row>
    <row r="245" ht="15" customHeight="1" s="37">
      <c r="A245" t="inlineStr">
        <is>
          <t>2027-01-03</t>
        </is>
      </c>
      <c r="B245" s="10" t="inlineStr">
        <is>
          <t>日</t>
        </is>
      </c>
      <c r="C245" s="10" t="inlineStr">
        <is>
          <t>年末年始</t>
        </is>
      </c>
      <c r="E245" s="10" t="inlineStr">
        <is>
          <t>門谷</t>
        </is>
      </c>
      <c r="F245" s="10" t="inlineStr">
        <is>
          <t>市田</t>
        </is>
      </c>
      <c r="G245" s="10" t="inlineStr">
        <is>
          <t>原</t>
        </is>
      </c>
      <c r="H245" s="10" t="inlineStr">
        <is>
          <t>西村</t>
        </is>
      </c>
      <c r="I245" s="10" t="inlineStr">
        <is>
          <t>欠員②</t>
        </is>
      </c>
      <c r="J245" s="10" t="inlineStr">
        <is>
          <t>植山</t>
        </is>
      </c>
      <c r="K245" s="10" t="inlineStr">
        <is>
          <t>山本高</t>
        </is>
      </c>
      <c r="L245" s="10" t="inlineStr">
        <is>
          <t>富島</t>
        </is>
      </c>
      <c r="M245" s="10" t="inlineStr">
        <is>
          <t>谷川</t>
        </is>
      </c>
      <c r="N245" s="10" t="inlineStr">
        <is>
          <t>上野</t>
        </is>
      </c>
      <c r="O245" s="10" t="inlineStr">
        <is>
          <t>山本幸</t>
        </is>
      </c>
      <c r="P245" s="10" t="inlineStr">
        <is>
          <t>中嶌</t>
        </is>
      </c>
      <c r="Q245" s="10" t="inlineStr">
        <is>
          <t>河野</t>
        </is>
      </c>
      <c r="R245" s="10" t="inlineStr">
        <is>
          <t>柴田</t>
        </is>
      </c>
      <c r="S245" s="10" t="inlineStr">
        <is>
          <t>山田久</t>
        </is>
      </c>
      <c r="T245" s="10" t="inlineStr">
        <is>
          <t>井川</t>
        </is>
      </c>
      <c r="U245" s="10" t="inlineStr">
        <is>
          <t>内野</t>
        </is>
      </c>
      <c r="V245" s="10" t="inlineStr">
        <is>
          <t>横田</t>
        </is>
      </c>
      <c r="W245" s="10" t="inlineStr">
        <is>
          <t>野口</t>
        </is>
      </c>
      <c r="X245" s="10" t="inlineStr">
        <is>
          <t>欠員①</t>
        </is>
      </c>
      <c r="Y245" s="10" t="inlineStr">
        <is>
          <t>丸田</t>
        </is>
      </c>
      <c r="Z245" s="10" t="inlineStr">
        <is>
          <t>岡本</t>
        </is>
      </c>
      <c r="AA245" s="10" t="inlineStr">
        <is>
          <t>藤原</t>
        </is>
      </c>
      <c r="AB245" s="10" t="inlineStr">
        <is>
          <t>横山</t>
        </is>
      </c>
      <c r="AC245" s="10" t="inlineStr">
        <is>
          <t>馬場</t>
        </is>
      </c>
      <c r="AD245" s="10" t="inlineStr">
        <is>
          <t>上田</t>
        </is>
      </c>
      <c r="AE245" s="10" t="inlineStr">
        <is>
          <t>栗下</t>
        </is>
      </c>
      <c r="AF245" s="10" t="inlineStr">
        <is>
          <t>山田真</t>
        </is>
      </c>
      <c r="AG245" s="10" t="inlineStr">
        <is>
          <t>佐野</t>
        </is>
      </c>
      <c r="AH245" s="10" t="inlineStr">
        <is>
          <t>北川</t>
        </is>
      </c>
      <c r="AI245" s="10" t="inlineStr">
        <is>
          <t>田中</t>
        </is>
      </c>
      <c r="AJ245" s="10" t="inlineStr">
        <is>
          <t>中山</t>
        </is>
      </c>
      <c r="AK245" s="10" t="inlineStr">
        <is>
          <t>大川内</t>
        </is>
      </c>
      <c r="AL245" s="10" t="inlineStr">
        <is>
          <t>安村</t>
        </is>
      </c>
      <c r="AM245" s="10" t="inlineStr">
        <is>
          <t>岩田</t>
        </is>
      </c>
      <c r="AN245" s="10" t="inlineStr">
        <is>
          <t>矢田</t>
        </is>
      </c>
      <c r="AO245" s="10" t="inlineStr">
        <is>
          <t>尾川</t>
        </is>
      </c>
      <c r="AP245" s="10" t="inlineStr">
        <is>
          <t>中村</t>
        </is>
      </c>
    </row>
    <row r="246" ht="15" customHeight="1" s="37">
      <c r="A246" t="inlineStr">
        <is>
          <t>2027-01-04</t>
        </is>
      </c>
      <c r="B246" s="10" t="inlineStr">
        <is>
          <t>月</t>
        </is>
      </c>
      <c r="C246" s="10" t="inlineStr">
        <is>
          <t>平日</t>
        </is>
      </c>
      <c r="E246" s="10" t="inlineStr">
        <is>
          <t>山田久</t>
        </is>
      </c>
      <c r="F246" s="10" t="inlineStr">
        <is>
          <t>谷川</t>
        </is>
      </c>
      <c r="G246" s="10" t="inlineStr">
        <is>
          <t>横田</t>
        </is>
      </c>
      <c r="H246" s="10" t="inlineStr">
        <is>
          <t>山本幸</t>
        </is>
      </c>
      <c r="I246" s="10" t="inlineStr">
        <is>
          <t>矢田</t>
        </is>
      </c>
      <c r="J246" s="10" t="inlineStr">
        <is>
          <t>野口</t>
        </is>
      </c>
      <c r="K246" s="10" t="inlineStr">
        <is>
          <t>山田真</t>
        </is>
      </c>
      <c r="L246" s="10" t="inlineStr">
        <is>
          <t>中嶌</t>
        </is>
      </c>
      <c r="M246" s="10" t="inlineStr">
        <is>
          <t>馬場</t>
        </is>
      </c>
      <c r="N246" s="10" t="inlineStr">
        <is>
          <t>柴田</t>
        </is>
      </c>
      <c r="O246" s="10" t="inlineStr">
        <is>
          <t>欠員①</t>
        </is>
      </c>
      <c r="P246" s="10" t="inlineStr">
        <is>
          <t>大川内</t>
        </is>
      </c>
      <c r="Q246" s="10" t="inlineStr">
        <is>
          <t>富島</t>
        </is>
      </c>
      <c r="R246" s="10" t="inlineStr">
        <is>
          <t>藤原</t>
        </is>
      </c>
      <c r="S246" s="10" t="inlineStr">
        <is>
          <t>安村</t>
        </is>
      </c>
      <c r="T246" s="10" t="inlineStr">
        <is>
          <t>内野</t>
        </is>
      </c>
      <c r="U246" s="10" t="inlineStr">
        <is>
          <t>中村</t>
        </is>
      </c>
      <c r="V246" s="10" t="inlineStr">
        <is>
          <t>北川</t>
        </is>
      </c>
      <c r="W246" s="10" t="inlineStr">
        <is>
          <t>栗下</t>
        </is>
      </c>
      <c r="X246" s="10" t="inlineStr">
        <is>
          <t>山本高</t>
        </is>
      </c>
      <c r="Y246" s="10" t="inlineStr">
        <is>
          <t>中山</t>
        </is>
      </c>
      <c r="Z246" s="10" t="inlineStr">
        <is>
          <t>横山</t>
        </is>
      </c>
      <c r="AA246" s="10" t="inlineStr">
        <is>
          <t>岩田</t>
        </is>
      </c>
      <c r="AB246" s="10" t="inlineStr">
        <is>
          <t>植山</t>
        </is>
      </c>
      <c r="AC246" s="10" t="inlineStr">
        <is>
          <t>尾川</t>
        </is>
      </c>
      <c r="AD246" s="10" t="inlineStr">
        <is>
          <t>原</t>
        </is>
      </c>
      <c r="AE246" s="10" t="inlineStr">
        <is>
          <t>西村</t>
        </is>
      </c>
      <c r="AF246" s="10" t="inlineStr">
        <is>
          <t>市田</t>
        </is>
      </c>
      <c r="AG246" s="10" t="inlineStr">
        <is>
          <t>上野</t>
        </is>
      </c>
      <c r="AH246" s="10" t="inlineStr">
        <is>
          <t>河野</t>
        </is>
      </c>
      <c r="AI246" s="10" t="inlineStr">
        <is>
          <t>井川</t>
        </is>
      </c>
      <c r="AJ246" s="10" t="inlineStr">
        <is>
          <t>欠員②</t>
        </is>
      </c>
      <c r="AK246" s="10" t="inlineStr">
        <is>
          <t>田中</t>
        </is>
      </c>
      <c r="AL246" s="10" t="inlineStr">
        <is>
          <t>丸田</t>
        </is>
      </c>
      <c r="AM246" s="10" t="inlineStr">
        <is>
          <t>上田</t>
        </is>
      </c>
      <c r="AN246" s="10" t="inlineStr">
        <is>
          <t>佐野</t>
        </is>
      </c>
      <c r="AO246" s="10" t="inlineStr">
        <is>
          <t>門谷</t>
        </is>
      </c>
      <c r="AP246" s="10" t="inlineStr">
        <is>
          <t>岡本</t>
        </is>
      </c>
    </row>
    <row r="247" ht="15" customHeight="1" s="37">
      <c r="A247" t="inlineStr">
        <is>
          <t>2027-01-05</t>
        </is>
      </c>
      <c r="B247" s="10" t="inlineStr">
        <is>
          <t>火</t>
        </is>
      </c>
      <c r="C247" s="10" t="inlineStr">
        <is>
          <t>平日</t>
        </is>
      </c>
      <c r="E247" s="10" t="inlineStr">
        <is>
          <t>安村</t>
        </is>
      </c>
      <c r="F247" s="10" t="inlineStr">
        <is>
          <t>馬場</t>
        </is>
      </c>
      <c r="G247" s="10" t="inlineStr">
        <is>
          <t>北川</t>
        </is>
      </c>
      <c r="H247" s="10" t="inlineStr">
        <is>
          <t>欠員①</t>
        </is>
      </c>
      <c r="I247" s="10" t="inlineStr">
        <is>
          <t>佐野</t>
        </is>
      </c>
      <c r="J247" s="10" t="inlineStr">
        <is>
          <t>栗下</t>
        </is>
      </c>
      <c r="K247" s="10" t="inlineStr">
        <is>
          <t>市田</t>
        </is>
      </c>
      <c r="L247" s="10" t="inlineStr">
        <is>
          <t>大川内</t>
        </is>
      </c>
      <c r="M247" s="10" t="inlineStr">
        <is>
          <t>尾川</t>
        </is>
      </c>
      <c r="N247" s="10" t="inlineStr">
        <is>
          <t>藤原</t>
        </is>
      </c>
      <c r="O247" s="10" t="inlineStr">
        <is>
          <t>山本高</t>
        </is>
      </c>
      <c r="P247" s="10" t="inlineStr">
        <is>
          <t>田中</t>
        </is>
      </c>
      <c r="Q247" s="10" t="inlineStr">
        <is>
          <t>中嶌</t>
        </is>
      </c>
      <c r="R247" s="10" t="inlineStr">
        <is>
          <t>岩田</t>
        </is>
      </c>
      <c r="S247" s="10" t="inlineStr">
        <is>
          <t>丸田</t>
        </is>
      </c>
      <c r="T247" s="10" t="inlineStr">
        <is>
          <t>中村</t>
        </is>
      </c>
      <c r="U247" s="10" t="inlineStr">
        <is>
          <t>岡本</t>
        </is>
      </c>
      <c r="V247" s="10" t="inlineStr">
        <is>
          <t>河野</t>
        </is>
      </c>
      <c r="W247" s="10" t="inlineStr">
        <is>
          <t>西村</t>
        </is>
      </c>
      <c r="X247" s="10" t="inlineStr">
        <is>
          <t>山田真</t>
        </is>
      </c>
      <c r="Y247" s="10" t="inlineStr">
        <is>
          <t>欠員②</t>
        </is>
      </c>
      <c r="Z247" s="10" t="inlineStr">
        <is>
          <t>植山</t>
        </is>
      </c>
      <c r="AA247" s="10" t="inlineStr">
        <is>
          <t>上田</t>
        </is>
      </c>
      <c r="AB247" s="10" t="inlineStr">
        <is>
          <t>野口</t>
        </is>
      </c>
      <c r="AC247" s="10" t="inlineStr">
        <is>
          <t>門谷</t>
        </is>
      </c>
      <c r="AD247" s="10" t="inlineStr">
        <is>
          <t>横田</t>
        </is>
      </c>
      <c r="AE247" s="10" t="inlineStr">
        <is>
          <t>山本幸</t>
        </is>
      </c>
      <c r="AF247" s="10" t="inlineStr">
        <is>
          <t>谷川</t>
        </is>
      </c>
      <c r="AG247" s="10" t="inlineStr">
        <is>
          <t>柴田</t>
        </is>
      </c>
      <c r="AH247" s="10" t="inlineStr">
        <is>
          <t>富島</t>
        </is>
      </c>
      <c r="AI247" s="10" t="inlineStr">
        <is>
          <t>内野</t>
        </is>
      </c>
      <c r="AJ247" s="10" t="inlineStr">
        <is>
          <t>矢田</t>
        </is>
      </c>
      <c r="AK247" s="10" t="inlineStr">
        <is>
          <t>井川</t>
        </is>
      </c>
      <c r="AL247" s="10" t="inlineStr">
        <is>
          <t>中山</t>
        </is>
      </c>
      <c r="AM247" s="10" t="inlineStr">
        <is>
          <t>原</t>
        </is>
      </c>
      <c r="AN247" s="10" t="inlineStr">
        <is>
          <t>上野</t>
        </is>
      </c>
      <c r="AO247" s="10" t="inlineStr">
        <is>
          <t>山田久</t>
        </is>
      </c>
      <c r="AP247" s="10" t="inlineStr">
        <is>
          <t>横山</t>
        </is>
      </c>
    </row>
    <row r="248" ht="15" customHeight="1" s="37">
      <c r="A248" t="inlineStr">
        <is>
          <t>2027-01-06</t>
        </is>
      </c>
      <c r="B248" s="10" t="inlineStr">
        <is>
          <t>水</t>
        </is>
      </c>
      <c r="C248" s="10" t="inlineStr">
        <is>
          <t>平日</t>
        </is>
      </c>
      <c r="E248" s="10" t="inlineStr">
        <is>
          <t>丸田</t>
        </is>
      </c>
      <c r="F248" s="10" t="inlineStr">
        <is>
          <t>尾川</t>
        </is>
      </c>
      <c r="G248" s="10" t="inlineStr">
        <is>
          <t>河野</t>
        </is>
      </c>
      <c r="H248" s="10" t="inlineStr">
        <is>
          <t>山本高</t>
        </is>
      </c>
      <c r="I248" s="10" t="inlineStr">
        <is>
          <t>上野</t>
        </is>
      </c>
      <c r="J248" s="10" t="inlineStr">
        <is>
          <t>西村</t>
        </is>
      </c>
      <c r="K248" s="10" t="inlineStr">
        <is>
          <t>谷川</t>
        </is>
      </c>
      <c r="L248" s="10" t="inlineStr">
        <is>
          <t>田中</t>
        </is>
      </c>
      <c r="M248" s="10" t="inlineStr">
        <is>
          <t>門谷</t>
        </is>
      </c>
      <c r="N248" s="10" t="inlineStr">
        <is>
          <t>岩田</t>
        </is>
      </c>
      <c r="O248" s="10" t="inlineStr">
        <is>
          <t>山田真</t>
        </is>
      </c>
      <c r="P248" s="10" t="inlineStr">
        <is>
          <t>井川</t>
        </is>
      </c>
      <c r="Q248" s="10" t="inlineStr">
        <is>
          <t>大川内</t>
        </is>
      </c>
      <c r="R248" s="10" t="inlineStr">
        <is>
          <t>上田</t>
        </is>
      </c>
      <c r="S248" s="10" t="inlineStr">
        <is>
          <t>中山</t>
        </is>
      </c>
      <c r="T248" s="10" t="inlineStr">
        <is>
          <t>岡本</t>
        </is>
      </c>
      <c r="U248" s="10" t="inlineStr">
        <is>
          <t>横山</t>
        </is>
      </c>
      <c r="V248" s="10" t="inlineStr">
        <is>
          <t>富島</t>
        </is>
      </c>
      <c r="W248" s="10" t="inlineStr">
        <is>
          <t>山本幸</t>
        </is>
      </c>
      <c r="X248" s="10" t="inlineStr">
        <is>
          <t>市田</t>
        </is>
      </c>
      <c r="Y248" s="10" t="inlineStr">
        <is>
          <t>矢田</t>
        </is>
      </c>
      <c r="Z248" s="10" t="inlineStr">
        <is>
          <t>野口</t>
        </is>
      </c>
      <c r="AA248" s="10" t="inlineStr">
        <is>
          <t>原</t>
        </is>
      </c>
      <c r="AB248" s="10" t="inlineStr">
        <is>
          <t>栗下</t>
        </is>
      </c>
      <c r="AC248" s="10" t="inlineStr">
        <is>
          <t>山田久</t>
        </is>
      </c>
      <c r="AD248" s="10" t="inlineStr">
        <is>
          <t>北川</t>
        </is>
      </c>
      <c r="AE248" s="10" t="inlineStr">
        <is>
          <t>欠員①</t>
        </is>
      </c>
      <c r="AF248" s="10" t="inlineStr">
        <is>
          <t>馬場</t>
        </is>
      </c>
      <c r="AG248" s="10" t="inlineStr">
        <is>
          <t>藤原</t>
        </is>
      </c>
      <c r="AH248" s="10" t="inlineStr">
        <is>
          <t>中嶌</t>
        </is>
      </c>
      <c r="AI248" s="10" t="inlineStr">
        <is>
          <t>中村</t>
        </is>
      </c>
      <c r="AJ248" s="10" t="inlineStr">
        <is>
          <t>佐野</t>
        </is>
      </c>
      <c r="AK248" s="10" t="inlineStr">
        <is>
          <t>内野</t>
        </is>
      </c>
      <c r="AL248" s="10" t="inlineStr">
        <is>
          <t>欠員②</t>
        </is>
      </c>
      <c r="AM248" s="10" t="inlineStr">
        <is>
          <t>横田</t>
        </is>
      </c>
      <c r="AN248" s="10" t="inlineStr">
        <is>
          <t>柴田</t>
        </is>
      </c>
      <c r="AO248" s="10" t="inlineStr">
        <is>
          <t>安村</t>
        </is>
      </c>
      <c r="AP248" s="10" t="inlineStr">
        <is>
          <t>植山</t>
        </is>
      </c>
    </row>
    <row r="249" ht="15" customHeight="1" s="37">
      <c r="A249" t="inlineStr">
        <is>
          <t>2027-01-07</t>
        </is>
      </c>
      <c r="B249" s="10" t="inlineStr">
        <is>
          <t>木</t>
        </is>
      </c>
      <c r="C249" s="10" t="inlineStr">
        <is>
          <t>平日</t>
        </is>
      </c>
      <c r="E249" s="10" t="inlineStr">
        <is>
          <t>中山</t>
        </is>
      </c>
      <c r="F249" s="10" t="inlineStr">
        <is>
          <t>門谷</t>
        </is>
      </c>
      <c r="G249" s="10" t="inlineStr">
        <is>
          <t>富島</t>
        </is>
      </c>
      <c r="H249" s="10" t="inlineStr">
        <is>
          <t>山田真</t>
        </is>
      </c>
      <c r="I249" s="10" t="inlineStr">
        <is>
          <t>柴田</t>
        </is>
      </c>
      <c r="J249" s="10" t="inlineStr">
        <is>
          <t>山本幸</t>
        </is>
      </c>
      <c r="K249" s="10" t="inlineStr">
        <is>
          <t>馬場</t>
        </is>
      </c>
      <c r="L249" s="10" t="inlineStr">
        <is>
          <t>井川</t>
        </is>
      </c>
      <c r="M249" s="10" t="inlineStr">
        <is>
          <t>山田久</t>
        </is>
      </c>
      <c r="N249" s="10" t="inlineStr">
        <is>
          <t>上田</t>
        </is>
      </c>
      <c r="O249" s="10" t="inlineStr">
        <is>
          <t>市田</t>
        </is>
      </c>
      <c r="P249" s="10" t="inlineStr">
        <is>
          <t>内野</t>
        </is>
      </c>
      <c r="Q249" s="10" t="inlineStr">
        <is>
          <t>田中</t>
        </is>
      </c>
      <c r="R249" s="10" t="inlineStr">
        <is>
          <t>原</t>
        </is>
      </c>
      <c r="S249" s="10" t="inlineStr">
        <is>
          <t>欠員②</t>
        </is>
      </c>
      <c r="T249" s="10" t="inlineStr">
        <is>
          <t>横山</t>
        </is>
      </c>
      <c r="U249" s="10" t="inlineStr">
        <is>
          <t>植山</t>
        </is>
      </c>
      <c r="V249" s="10" t="inlineStr">
        <is>
          <t>中嶌</t>
        </is>
      </c>
      <c r="W249" s="10" t="inlineStr">
        <is>
          <t>欠員①</t>
        </is>
      </c>
      <c r="X249" s="10" t="inlineStr">
        <is>
          <t>谷川</t>
        </is>
      </c>
      <c r="Y249" s="10" t="inlineStr">
        <is>
          <t>佐野</t>
        </is>
      </c>
      <c r="Z249" s="10" t="inlineStr">
        <is>
          <t>栗下</t>
        </is>
      </c>
      <c r="AA249" s="10" t="inlineStr">
        <is>
          <t>横田</t>
        </is>
      </c>
      <c r="AB249" s="10" t="inlineStr">
        <is>
          <t>西村</t>
        </is>
      </c>
      <c r="AC249" s="10" t="inlineStr">
        <is>
          <t>安村</t>
        </is>
      </c>
      <c r="AD249" s="10" t="inlineStr">
        <is>
          <t>河野</t>
        </is>
      </c>
      <c r="AE249" s="10" t="inlineStr">
        <is>
          <t>山本高</t>
        </is>
      </c>
      <c r="AF249" s="10" t="inlineStr">
        <is>
          <t>尾川</t>
        </is>
      </c>
      <c r="AG249" s="10" t="inlineStr">
        <is>
          <t>岩田</t>
        </is>
      </c>
      <c r="AH249" s="10" t="inlineStr">
        <is>
          <t>大川内</t>
        </is>
      </c>
      <c r="AI249" s="10" t="inlineStr">
        <is>
          <t>岡本</t>
        </is>
      </c>
      <c r="AJ249" s="10" t="inlineStr">
        <is>
          <t>上野</t>
        </is>
      </c>
      <c r="AK249" s="10" t="inlineStr">
        <is>
          <t>中村</t>
        </is>
      </c>
      <c r="AL249" s="10" t="inlineStr">
        <is>
          <t>矢田</t>
        </is>
      </c>
      <c r="AM249" s="10" t="inlineStr">
        <is>
          <t>北川</t>
        </is>
      </c>
      <c r="AN249" s="10" t="inlineStr">
        <is>
          <t>藤原</t>
        </is>
      </c>
      <c r="AO249" s="10" t="inlineStr">
        <is>
          <t>丸田</t>
        </is>
      </c>
      <c r="AP249" s="10" t="inlineStr">
        <is>
          <t>野口</t>
        </is>
      </c>
    </row>
    <row r="250" ht="15" customHeight="1" s="37">
      <c r="A250" t="inlineStr">
        <is>
          <t>2027-01-08</t>
        </is>
      </c>
      <c r="B250" s="10" t="inlineStr">
        <is>
          <t>金</t>
        </is>
      </c>
      <c r="C250" s="10" t="inlineStr">
        <is>
          <t>平日</t>
        </is>
      </c>
      <c r="E250" s="10" t="inlineStr">
        <is>
          <t>欠員②</t>
        </is>
      </c>
      <c r="F250" s="10" t="inlineStr">
        <is>
          <t>山田久</t>
        </is>
      </c>
      <c r="G250" s="10" t="inlineStr">
        <is>
          <t>中嶌</t>
        </is>
      </c>
      <c r="H250" s="10" t="inlineStr">
        <is>
          <t>市田</t>
        </is>
      </c>
      <c r="I250" s="10" t="inlineStr">
        <is>
          <t>藤原</t>
        </is>
      </c>
      <c r="J250" s="10" t="inlineStr">
        <is>
          <t>欠員①</t>
        </is>
      </c>
      <c r="K250" s="10" t="inlineStr">
        <is>
          <t>尾川</t>
        </is>
      </c>
      <c r="L250" s="10" t="inlineStr">
        <is>
          <t>内野</t>
        </is>
      </c>
      <c r="M250" s="10" t="inlineStr">
        <is>
          <t>安村</t>
        </is>
      </c>
      <c r="N250" s="10" t="inlineStr">
        <is>
          <t>原</t>
        </is>
      </c>
      <c r="O250" s="10" t="inlineStr">
        <is>
          <t>谷川</t>
        </is>
      </c>
      <c r="P250" s="10" t="inlineStr">
        <is>
          <t>中村</t>
        </is>
      </c>
      <c r="Q250" s="10" t="inlineStr">
        <is>
          <t>井川</t>
        </is>
      </c>
      <c r="R250" s="10" t="inlineStr">
        <is>
          <t>横田</t>
        </is>
      </c>
      <c r="S250" s="10" t="inlineStr">
        <is>
          <t>矢田</t>
        </is>
      </c>
      <c r="T250" s="10" t="inlineStr">
        <is>
          <t>植山</t>
        </is>
      </c>
      <c r="U250" s="10" t="inlineStr">
        <is>
          <t>野口</t>
        </is>
      </c>
      <c r="V250" s="10" t="inlineStr">
        <is>
          <t>大川内</t>
        </is>
      </c>
      <c r="W250" s="10" t="inlineStr">
        <is>
          <t>山本高</t>
        </is>
      </c>
      <c r="X250" s="10" t="inlineStr">
        <is>
          <t>馬場</t>
        </is>
      </c>
      <c r="Y250" s="10" t="inlineStr">
        <is>
          <t>上野</t>
        </is>
      </c>
      <c r="Z250" s="10" t="inlineStr">
        <is>
          <t>西村</t>
        </is>
      </c>
      <c r="AA250" s="10" t="inlineStr">
        <is>
          <t>北川</t>
        </is>
      </c>
      <c r="AB250" s="10" t="inlineStr">
        <is>
          <t>山本幸</t>
        </is>
      </c>
      <c r="AC250" s="10" t="inlineStr">
        <is>
          <t>丸田</t>
        </is>
      </c>
      <c r="AD250" s="10" t="inlineStr">
        <is>
          <t>富島</t>
        </is>
      </c>
      <c r="AE250" s="10" t="inlineStr">
        <is>
          <t>山田真</t>
        </is>
      </c>
      <c r="AF250" s="10" t="inlineStr">
        <is>
          <t>門谷</t>
        </is>
      </c>
      <c r="AG250" s="10" t="inlineStr">
        <is>
          <t>上田</t>
        </is>
      </c>
      <c r="AH250" s="10" t="inlineStr">
        <is>
          <t>田中</t>
        </is>
      </c>
      <c r="AI250" s="10" t="inlineStr">
        <is>
          <t>横山</t>
        </is>
      </c>
      <c r="AJ250" s="10" t="inlineStr">
        <is>
          <t>柴田</t>
        </is>
      </c>
      <c r="AK250" s="10" t="inlineStr">
        <is>
          <t>岡本</t>
        </is>
      </c>
      <c r="AL250" s="10" t="inlineStr">
        <is>
          <t>佐野</t>
        </is>
      </c>
      <c r="AM250" s="10" t="inlineStr">
        <is>
          <t>河野</t>
        </is>
      </c>
      <c r="AN250" s="10" t="inlineStr">
        <is>
          <t>岩田</t>
        </is>
      </c>
      <c r="AO250" s="10" t="inlineStr">
        <is>
          <t>中山</t>
        </is>
      </c>
      <c r="AP250" s="10" t="inlineStr">
        <is>
          <t>栗下</t>
        </is>
      </c>
    </row>
    <row r="251" ht="15" customHeight="1" s="37">
      <c r="A251" t="inlineStr">
        <is>
          <t>2027-01-09</t>
        </is>
      </c>
      <c r="B251" s="10" t="inlineStr">
        <is>
          <t>土</t>
        </is>
      </c>
      <c r="C251" s="10" t="inlineStr">
        <is>
          <t>休日</t>
        </is>
      </c>
      <c r="E251" s="10" t="inlineStr">
        <is>
          <t>矢田</t>
        </is>
      </c>
      <c r="F251" s="10" t="inlineStr">
        <is>
          <t>安村</t>
        </is>
      </c>
      <c r="G251" s="10" t="inlineStr">
        <is>
          <t>大川内</t>
        </is>
      </c>
      <c r="H251" s="10" t="inlineStr">
        <is>
          <t>谷川</t>
        </is>
      </c>
      <c r="I251" s="10" t="inlineStr">
        <is>
          <t>岩田</t>
        </is>
      </c>
      <c r="J251" s="10" t="inlineStr">
        <is>
          <t>山本高</t>
        </is>
      </c>
      <c r="K251" s="10" t="inlineStr">
        <is>
          <t>門谷</t>
        </is>
      </c>
      <c r="L251" s="10" t="inlineStr">
        <is>
          <t>中村</t>
        </is>
      </c>
      <c r="M251" s="10" t="inlineStr">
        <is>
          <t>丸田</t>
        </is>
      </c>
      <c r="N251" s="10" t="inlineStr">
        <is>
          <t>横田</t>
        </is>
      </c>
      <c r="O251" s="10" t="inlineStr">
        <is>
          <t>馬場</t>
        </is>
      </c>
      <c r="P251" s="10" t="inlineStr">
        <is>
          <t>岡本</t>
        </is>
      </c>
      <c r="Q251" s="10" t="inlineStr">
        <is>
          <t>内野</t>
        </is>
      </c>
      <c r="R251" s="10" t="inlineStr">
        <is>
          <t>北川</t>
        </is>
      </c>
      <c r="S251" s="10" t="inlineStr">
        <is>
          <t>佐野</t>
        </is>
      </c>
      <c r="T251" s="10" t="inlineStr">
        <is>
          <t>野口</t>
        </is>
      </c>
      <c r="U251" s="10" t="inlineStr">
        <is>
          <t>栗下</t>
        </is>
      </c>
      <c r="V251" s="10" t="inlineStr">
        <is>
          <t>田中</t>
        </is>
      </c>
      <c r="W251" s="10" t="inlineStr">
        <is>
          <t>山田真</t>
        </is>
      </c>
      <c r="X251" s="10" t="inlineStr">
        <is>
          <t>尾川</t>
        </is>
      </c>
      <c r="Y251" s="10" t="inlineStr">
        <is>
          <t>柴田</t>
        </is>
      </c>
      <c r="Z251" s="10" t="inlineStr">
        <is>
          <t>山本幸</t>
        </is>
      </c>
      <c r="AA251" s="10" t="inlineStr">
        <is>
          <t>河野</t>
        </is>
      </c>
      <c r="AB251" s="10" t="inlineStr">
        <is>
          <t>欠員①</t>
        </is>
      </c>
      <c r="AC251" s="10" t="inlineStr">
        <is>
          <t>中山</t>
        </is>
      </c>
      <c r="AD251" s="10" t="inlineStr">
        <is>
          <t>中嶌</t>
        </is>
      </c>
      <c r="AE251" s="10" t="inlineStr">
        <is>
          <t>市田</t>
        </is>
      </c>
      <c r="AF251" s="10" t="inlineStr">
        <is>
          <t>山田久</t>
        </is>
      </c>
      <c r="AG251" s="10" t="inlineStr">
        <is>
          <t>原</t>
        </is>
      </c>
      <c r="AH251" s="10" t="inlineStr">
        <is>
          <t>井川</t>
        </is>
      </c>
      <c r="AI251" s="10" t="inlineStr">
        <is>
          <t>植山</t>
        </is>
      </c>
      <c r="AJ251" s="10" t="inlineStr">
        <is>
          <t>藤原</t>
        </is>
      </c>
      <c r="AK251" s="10" t="inlineStr">
        <is>
          <t>横山</t>
        </is>
      </c>
      <c r="AL251" s="10" t="inlineStr">
        <is>
          <t>上野</t>
        </is>
      </c>
      <c r="AM251" s="10" t="inlineStr">
        <is>
          <t>富島</t>
        </is>
      </c>
      <c r="AN251" s="10" t="inlineStr">
        <is>
          <t>上田</t>
        </is>
      </c>
      <c r="AO251" s="10" t="inlineStr">
        <is>
          <t>欠員②</t>
        </is>
      </c>
      <c r="AP251" s="10" t="inlineStr">
        <is>
          <t>西村</t>
        </is>
      </c>
    </row>
    <row r="252" ht="15" customHeight="1" s="37">
      <c r="A252" t="inlineStr">
        <is>
          <t>2027-01-10</t>
        </is>
      </c>
      <c r="B252" s="10" t="inlineStr">
        <is>
          <t>日</t>
        </is>
      </c>
      <c r="C252" s="10" t="inlineStr">
        <is>
          <t>休日</t>
        </is>
      </c>
      <c r="E252" s="10" t="inlineStr">
        <is>
          <t>佐野</t>
        </is>
      </c>
      <c r="F252" s="10" t="inlineStr">
        <is>
          <t>丸田</t>
        </is>
      </c>
      <c r="G252" s="10" t="inlineStr">
        <is>
          <t>田中</t>
        </is>
      </c>
      <c r="H252" s="10" t="inlineStr">
        <is>
          <t>馬場</t>
        </is>
      </c>
      <c r="I252" s="10" t="inlineStr">
        <is>
          <t>上田</t>
        </is>
      </c>
      <c r="J252" s="10" t="inlineStr">
        <is>
          <t>山田真</t>
        </is>
      </c>
      <c r="K252" s="10" t="inlineStr">
        <is>
          <t>山田久</t>
        </is>
      </c>
      <c r="L252" s="10" t="inlineStr">
        <is>
          <t>岡本</t>
        </is>
      </c>
      <c r="M252" s="10" t="inlineStr">
        <is>
          <t>中山</t>
        </is>
      </c>
      <c r="N252" s="10" t="inlineStr">
        <is>
          <t>北川</t>
        </is>
      </c>
      <c r="O252" s="10" t="inlineStr">
        <is>
          <t>尾川</t>
        </is>
      </c>
      <c r="P252" s="10" t="inlineStr">
        <is>
          <t>横山</t>
        </is>
      </c>
      <c r="Q252" s="10" t="inlineStr">
        <is>
          <t>中村</t>
        </is>
      </c>
      <c r="R252" s="10" t="inlineStr">
        <is>
          <t>河野</t>
        </is>
      </c>
      <c r="S252" s="10" t="inlineStr">
        <is>
          <t>上野</t>
        </is>
      </c>
      <c r="T252" s="10" t="inlineStr">
        <is>
          <t>栗下</t>
        </is>
      </c>
      <c r="U252" s="10" t="inlineStr">
        <is>
          <t>西村</t>
        </is>
      </c>
      <c r="V252" s="10" t="inlineStr">
        <is>
          <t>井川</t>
        </is>
      </c>
      <c r="W252" s="10" t="inlineStr">
        <is>
          <t>市田</t>
        </is>
      </c>
      <c r="X252" s="10" t="inlineStr">
        <is>
          <t>門谷</t>
        </is>
      </c>
      <c r="Y252" s="10" t="inlineStr">
        <is>
          <t>藤原</t>
        </is>
      </c>
      <c r="Z252" s="10" t="inlineStr">
        <is>
          <t>欠員①</t>
        </is>
      </c>
      <c r="AA252" s="10" t="inlineStr">
        <is>
          <t>富島</t>
        </is>
      </c>
      <c r="AB252" s="10" t="inlineStr">
        <is>
          <t>山本高</t>
        </is>
      </c>
      <c r="AC252" s="10" t="inlineStr">
        <is>
          <t>欠員②</t>
        </is>
      </c>
      <c r="AD252" s="10" t="inlineStr">
        <is>
          <t>大川内</t>
        </is>
      </c>
      <c r="AE252" s="10" t="inlineStr">
        <is>
          <t>谷川</t>
        </is>
      </c>
      <c r="AF252" s="10" t="inlineStr">
        <is>
          <t>安村</t>
        </is>
      </c>
      <c r="AG252" s="10" t="inlineStr">
        <is>
          <t>横田</t>
        </is>
      </c>
      <c r="AH252" s="10" t="inlineStr">
        <is>
          <t>内野</t>
        </is>
      </c>
      <c r="AI252" s="10" t="inlineStr">
        <is>
          <t>野口</t>
        </is>
      </c>
      <c r="AJ252" s="10" t="inlineStr">
        <is>
          <t>岩田</t>
        </is>
      </c>
      <c r="AK252" s="10" t="inlineStr">
        <is>
          <t>植山</t>
        </is>
      </c>
      <c r="AL252" s="10" t="inlineStr">
        <is>
          <t>柴田</t>
        </is>
      </c>
      <c r="AM252" s="10" t="inlineStr">
        <is>
          <t>中嶌</t>
        </is>
      </c>
      <c r="AN252" s="10" t="inlineStr">
        <is>
          <t>原</t>
        </is>
      </c>
      <c r="AO252" s="10" t="inlineStr">
        <is>
          <t>矢田</t>
        </is>
      </c>
      <c r="AP252" s="10" t="inlineStr">
        <is>
          <t>山本幸</t>
        </is>
      </c>
    </row>
    <row r="253" ht="15" customHeight="1" s="37">
      <c r="A253" t="inlineStr">
        <is>
          <t>2027-01-11</t>
        </is>
      </c>
      <c r="B253" s="10" t="inlineStr">
        <is>
          <t>月</t>
        </is>
      </c>
      <c r="C253" s="10" t="inlineStr">
        <is>
          <t>休日</t>
        </is>
      </c>
      <c r="D253" s="10" t="inlineStr">
        <is>
          <t>成人の日</t>
        </is>
      </c>
      <c r="E253" s="10" t="inlineStr">
        <is>
          <t>上野</t>
        </is>
      </c>
      <c r="F253" s="10" t="inlineStr">
        <is>
          <t>中山</t>
        </is>
      </c>
      <c r="G253" s="10" t="inlineStr">
        <is>
          <t>井川</t>
        </is>
      </c>
      <c r="H253" s="10" t="inlineStr">
        <is>
          <t>尾川</t>
        </is>
      </c>
      <c r="I253" s="10" t="inlineStr">
        <is>
          <t>原</t>
        </is>
      </c>
      <c r="J253" s="10" t="inlineStr">
        <is>
          <t>市田</t>
        </is>
      </c>
      <c r="K253" s="10" t="inlineStr">
        <is>
          <t>安村</t>
        </is>
      </c>
      <c r="L253" s="10" t="inlineStr">
        <is>
          <t>横山</t>
        </is>
      </c>
      <c r="M253" s="10" t="inlineStr">
        <is>
          <t>欠員②</t>
        </is>
      </c>
      <c r="N253" s="10" t="inlineStr">
        <is>
          <t>河野</t>
        </is>
      </c>
      <c r="O253" s="10" t="inlineStr">
        <is>
          <t>門谷</t>
        </is>
      </c>
      <c r="P253" s="10" t="inlineStr">
        <is>
          <t>植山</t>
        </is>
      </c>
      <c r="Q253" s="10" t="inlineStr">
        <is>
          <t>岡本</t>
        </is>
      </c>
      <c r="R253" s="10" t="inlineStr">
        <is>
          <t>富島</t>
        </is>
      </c>
      <c r="S253" s="10" t="inlineStr">
        <is>
          <t>柴田</t>
        </is>
      </c>
      <c r="T253" s="10" t="inlineStr">
        <is>
          <t>西村</t>
        </is>
      </c>
      <c r="U253" s="10" t="inlineStr">
        <is>
          <t>山本幸</t>
        </is>
      </c>
      <c r="V253" s="10" t="inlineStr">
        <is>
          <t>内野</t>
        </is>
      </c>
      <c r="W253" s="10" t="inlineStr">
        <is>
          <t>谷川</t>
        </is>
      </c>
      <c r="X253" s="10" t="inlineStr">
        <is>
          <t>山田久</t>
        </is>
      </c>
      <c r="Y253" s="10" t="inlineStr">
        <is>
          <t>岩田</t>
        </is>
      </c>
      <c r="Z253" s="10" t="inlineStr">
        <is>
          <t>山本高</t>
        </is>
      </c>
      <c r="AA253" s="10" t="inlineStr">
        <is>
          <t>中嶌</t>
        </is>
      </c>
      <c r="AB253" s="10" t="inlineStr">
        <is>
          <t>山田真</t>
        </is>
      </c>
      <c r="AC253" s="10" t="inlineStr">
        <is>
          <t>矢田</t>
        </is>
      </c>
      <c r="AD253" s="10" t="inlineStr">
        <is>
          <t>田中</t>
        </is>
      </c>
      <c r="AE253" s="10" t="inlineStr">
        <is>
          <t>馬場</t>
        </is>
      </c>
      <c r="AF253" s="10" t="inlineStr">
        <is>
          <t>丸田</t>
        </is>
      </c>
      <c r="AG253" s="10" t="inlineStr">
        <is>
          <t>北川</t>
        </is>
      </c>
      <c r="AH253" s="10" t="inlineStr">
        <is>
          <t>中村</t>
        </is>
      </c>
      <c r="AI253" s="10" t="inlineStr">
        <is>
          <t>栗下</t>
        </is>
      </c>
      <c r="AJ253" s="10" t="inlineStr">
        <is>
          <t>上田</t>
        </is>
      </c>
      <c r="AK253" s="10" t="inlineStr">
        <is>
          <t>野口</t>
        </is>
      </c>
      <c r="AL253" s="10" t="inlineStr">
        <is>
          <t>藤原</t>
        </is>
      </c>
      <c r="AM253" s="10" t="inlineStr">
        <is>
          <t>大川内</t>
        </is>
      </c>
      <c r="AN253" s="10" t="inlineStr">
        <is>
          <t>横田</t>
        </is>
      </c>
      <c r="AO253" s="10" t="inlineStr">
        <is>
          <t>佐野</t>
        </is>
      </c>
      <c r="AP253" s="10" t="inlineStr">
        <is>
          <t>欠員①</t>
        </is>
      </c>
    </row>
    <row r="254" ht="15" customHeight="1" s="37">
      <c r="A254" t="inlineStr">
        <is>
          <t>2027-01-12</t>
        </is>
      </c>
      <c r="B254" s="10" t="inlineStr">
        <is>
          <t>火</t>
        </is>
      </c>
      <c r="C254" s="10" t="inlineStr">
        <is>
          <t>平日</t>
        </is>
      </c>
      <c r="E254" s="10" t="inlineStr">
        <is>
          <t>柴田</t>
        </is>
      </c>
      <c r="F254" s="10" t="inlineStr">
        <is>
          <t>欠員②</t>
        </is>
      </c>
      <c r="G254" s="10" t="inlineStr">
        <is>
          <t>内野</t>
        </is>
      </c>
      <c r="H254" s="10" t="inlineStr">
        <is>
          <t>門谷</t>
        </is>
      </c>
      <c r="I254" s="10" t="inlineStr">
        <is>
          <t>横田</t>
        </is>
      </c>
      <c r="J254" s="10" t="inlineStr">
        <is>
          <t>谷川</t>
        </is>
      </c>
      <c r="K254" s="10" t="inlineStr">
        <is>
          <t>丸田</t>
        </is>
      </c>
      <c r="L254" s="10" t="inlineStr">
        <is>
          <t>植山</t>
        </is>
      </c>
      <c r="M254" s="10" t="inlineStr">
        <is>
          <t>矢田</t>
        </is>
      </c>
      <c r="N254" s="10" t="inlineStr">
        <is>
          <t>富島</t>
        </is>
      </c>
      <c r="O254" s="10" t="inlineStr">
        <is>
          <t>山田久</t>
        </is>
      </c>
      <c r="P254" s="10" t="inlineStr">
        <is>
          <t>野口</t>
        </is>
      </c>
      <c r="Q254" s="10" t="inlineStr">
        <is>
          <t>横山</t>
        </is>
      </c>
      <c r="R254" s="10" t="inlineStr">
        <is>
          <t>中嶌</t>
        </is>
      </c>
      <c r="S254" s="10" t="inlineStr">
        <is>
          <t>藤原</t>
        </is>
      </c>
      <c r="T254" s="10" t="inlineStr">
        <is>
          <t>山本幸</t>
        </is>
      </c>
      <c r="U254" s="10" t="inlineStr">
        <is>
          <t>欠員①</t>
        </is>
      </c>
      <c r="V254" s="10" t="inlineStr">
        <is>
          <t>中村</t>
        </is>
      </c>
      <c r="W254" s="10" t="inlineStr">
        <is>
          <t>馬場</t>
        </is>
      </c>
      <c r="X254" s="10" t="inlineStr">
        <is>
          <t>安村</t>
        </is>
      </c>
      <c r="Y254" s="10" t="inlineStr">
        <is>
          <t>上田</t>
        </is>
      </c>
      <c r="Z254" s="10" t="inlineStr">
        <is>
          <t>山田真</t>
        </is>
      </c>
      <c r="AA254" s="10" t="inlineStr">
        <is>
          <t>大川内</t>
        </is>
      </c>
      <c r="AB254" s="10" t="inlineStr">
        <is>
          <t>市田</t>
        </is>
      </c>
      <c r="AC254" s="10" t="inlineStr">
        <is>
          <t>佐野</t>
        </is>
      </c>
      <c r="AD254" s="10" t="inlineStr">
        <is>
          <t>井川</t>
        </is>
      </c>
      <c r="AE254" s="10" t="inlineStr">
        <is>
          <t>尾川</t>
        </is>
      </c>
      <c r="AF254" s="10" t="inlineStr">
        <is>
          <t>中山</t>
        </is>
      </c>
      <c r="AG254" s="10" t="inlineStr">
        <is>
          <t>河野</t>
        </is>
      </c>
      <c r="AH254" s="10" t="inlineStr">
        <is>
          <t>岡本</t>
        </is>
      </c>
      <c r="AI254" s="10" t="inlineStr">
        <is>
          <t>西村</t>
        </is>
      </c>
      <c r="AJ254" s="10" t="inlineStr">
        <is>
          <t>原</t>
        </is>
      </c>
      <c r="AK254" s="10" t="inlineStr">
        <is>
          <t>栗下</t>
        </is>
      </c>
      <c r="AL254" s="10" t="inlineStr">
        <is>
          <t>岩田</t>
        </is>
      </c>
      <c r="AM254" s="10" t="inlineStr">
        <is>
          <t>田中</t>
        </is>
      </c>
      <c r="AN254" s="10" t="inlineStr">
        <is>
          <t>北川</t>
        </is>
      </c>
      <c r="AO254" s="10" t="inlineStr">
        <is>
          <t>上野</t>
        </is>
      </c>
      <c r="AP254" s="10" t="inlineStr">
        <is>
          <t>山本高</t>
        </is>
      </c>
    </row>
    <row r="255" ht="15" customHeight="1" s="37">
      <c r="A255" t="inlineStr">
        <is>
          <t>2027-01-13</t>
        </is>
      </c>
      <c r="B255" s="10" t="inlineStr">
        <is>
          <t>水</t>
        </is>
      </c>
      <c r="C255" s="10" t="inlineStr">
        <is>
          <t>平日</t>
        </is>
      </c>
      <c r="E255" s="10" t="inlineStr">
        <is>
          <t>藤原</t>
        </is>
      </c>
      <c r="F255" s="10" t="inlineStr">
        <is>
          <t>矢田</t>
        </is>
      </c>
      <c r="G255" s="10" t="inlineStr">
        <is>
          <t>中村</t>
        </is>
      </c>
      <c r="H255" s="10" t="inlineStr">
        <is>
          <t>山田久</t>
        </is>
      </c>
      <c r="I255" s="10" t="inlineStr">
        <is>
          <t>北川</t>
        </is>
      </c>
      <c r="J255" s="10" t="inlineStr">
        <is>
          <t>馬場</t>
        </is>
      </c>
      <c r="K255" s="10" t="inlineStr">
        <is>
          <t>中山</t>
        </is>
      </c>
      <c r="L255" s="10" t="inlineStr">
        <is>
          <t>野口</t>
        </is>
      </c>
      <c r="M255" s="10" t="inlineStr">
        <is>
          <t>佐野</t>
        </is>
      </c>
      <c r="N255" s="10" t="inlineStr">
        <is>
          <t>中嶌</t>
        </is>
      </c>
      <c r="O255" s="10" t="inlineStr">
        <is>
          <t>安村</t>
        </is>
      </c>
      <c r="P255" s="10" t="inlineStr">
        <is>
          <t>栗下</t>
        </is>
      </c>
      <c r="Q255" s="10" t="inlineStr">
        <is>
          <t>植山</t>
        </is>
      </c>
      <c r="R255" s="10" t="inlineStr">
        <is>
          <t>大川内</t>
        </is>
      </c>
      <c r="S255" s="10" t="inlineStr">
        <is>
          <t>岩田</t>
        </is>
      </c>
      <c r="T255" s="10" t="inlineStr">
        <is>
          <t>欠員①</t>
        </is>
      </c>
      <c r="U255" s="10" t="inlineStr">
        <is>
          <t>山本高</t>
        </is>
      </c>
      <c r="V255" s="10" t="inlineStr">
        <is>
          <t>岡本</t>
        </is>
      </c>
      <c r="W255" s="10" t="inlineStr">
        <is>
          <t>尾川</t>
        </is>
      </c>
      <c r="X255" s="10" t="inlineStr">
        <is>
          <t>丸田</t>
        </is>
      </c>
      <c r="Y255" s="10" t="inlineStr">
        <is>
          <t>原</t>
        </is>
      </c>
      <c r="Z255" s="10" t="inlineStr">
        <is>
          <t>市田</t>
        </is>
      </c>
      <c r="AA255" s="10" t="inlineStr">
        <is>
          <t>田中</t>
        </is>
      </c>
      <c r="AB255" s="10" t="inlineStr">
        <is>
          <t>谷川</t>
        </is>
      </c>
      <c r="AC255" s="10" t="inlineStr">
        <is>
          <t>上野</t>
        </is>
      </c>
      <c r="AD255" s="10" t="inlineStr">
        <is>
          <t>内野</t>
        </is>
      </c>
      <c r="AE255" s="10" t="inlineStr">
        <is>
          <t>門谷</t>
        </is>
      </c>
      <c r="AF255" s="10" t="inlineStr">
        <is>
          <t>欠員②</t>
        </is>
      </c>
      <c r="AG255" s="10" t="inlineStr">
        <is>
          <t>富島</t>
        </is>
      </c>
      <c r="AH255" s="10" t="inlineStr">
        <is>
          <t>横山</t>
        </is>
      </c>
      <c r="AI255" s="10" t="inlineStr">
        <is>
          <t>山本幸</t>
        </is>
      </c>
      <c r="AJ255" s="10" t="inlineStr">
        <is>
          <t>横田</t>
        </is>
      </c>
      <c r="AK255" s="10" t="inlineStr">
        <is>
          <t>西村</t>
        </is>
      </c>
      <c r="AL255" s="10" t="inlineStr">
        <is>
          <t>上田</t>
        </is>
      </c>
      <c r="AM255" s="10" t="inlineStr">
        <is>
          <t>井川</t>
        </is>
      </c>
      <c r="AN255" s="10" t="inlineStr">
        <is>
          <t>河野</t>
        </is>
      </c>
      <c r="AO255" s="10" t="inlineStr">
        <is>
          <t>柴田</t>
        </is>
      </c>
      <c r="AP255" s="10" t="inlineStr">
        <is>
          <t>山田真</t>
        </is>
      </c>
    </row>
    <row r="256" ht="15" customHeight="1" s="37">
      <c r="A256" t="inlineStr">
        <is>
          <t>2027-01-14</t>
        </is>
      </c>
      <c r="B256" s="10" t="inlineStr">
        <is>
          <t>木</t>
        </is>
      </c>
      <c r="C256" s="10" t="inlineStr">
        <is>
          <t>平日</t>
        </is>
      </c>
      <c r="E256" s="10" t="inlineStr">
        <is>
          <t>岩田</t>
        </is>
      </c>
      <c r="F256" s="10" t="inlineStr">
        <is>
          <t>佐野</t>
        </is>
      </c>
      <c r="G256" s="10" t="inlineStr">
        <is>
          <t>岡本</t>
        </is>
      </c>
      <c r="H256" s="10" t="inlineStr">
        <is>
          <t>安村</t>
        </is>
      </c>
      <c r="I256" s="10" t="inlineStr">
        <is>
          <t>河野</t>
        </is>
      </c>
      <c r="J256" s="10" t="inlineStr">
        <is>
          <t>尾川</t>
        </is>
      </c>
      <c r="K256" s="10" t="inlineStr">
        <is>
          <t>欠員②</t>
        </is>
      </c>
      <c r="L256" s="10" t="inlineStr">
        <is>
          <t>栗下</t>
        </is>
      </c>
      <c r="M256" s="10" t="inlineStr">
        <is>
          <t>上野</t>
        </is>
      </c>
      <c r="N256" s="10" t="inlineStr">
        <is>
          <t>大川内</t>
        </is>
      </c>
      <c r="O256" s="10" t="inlineStr">
        <is>
          <t>丸田</t>
        </is>
      </c>
      <c r="P256" s="10" t="inlineStr">
        <is>
          <t>西村</t>
        </is>
      </c>
      <c r="Q256" s="10" t="inlineStr">
        <is>
          <t>野口</t>
        </is>
      </c>
      <c r="R256" s="10" t="inlineStr">
        <is>
          <t>田中</t>
        </is>
      </c>
      <c r="S256" s="10" t="inlineStr">
        <is>
          <t>上田</t>
        </is>
      </c>
      <c r="T256" s="10" t="inlineStr">
        <is>
          <t>山本高</t>
        </is>
      </c>
      <c r="U256" s="10" t="inlineStr">
        <is>
          <t>山田真</t>
        </is>
      </c>
      <c r="V256" s="10" t="inlineStr">
        <is>
          <t>横山</t>
        </is>
      </c>
      <c r="W256" s="10" t="inlineStr">
        <is>
          <t>門谷</t>
        </is>
      </c>
      <c r="X256" s="10" t="inlineStr">
        <is>
          <t>中山</t>
        </is>
      </c>
      <c r="Y256" s="10" t="inlineStr">
        <is>
          <t>横田</t>
        </is>
      </c>
      <c r="Z256" s="10" t="inlineStr">
        <is>
          <t>谷川</t>
        </is>
      </c>
      <c r="AA256" s="10" t="inlineStr">
        <is>
          <t>井川</t>
        </is>
      </c>
      <c r="AB256" s="10" t="inlineStr">
        <is>
          <t>馬場</t>
        </is>
      </c>
      <c r="AC256" s="10" t="inlineStr">
        <is>
          <t>柴田</t>
        </is>
      </c>
      <c r="AD256" s="10" t="inlineStr">
        <is>
          <t>中村</t>
        </is>
      </c>
      <c r="AE256" s="10" t="inlineStr">
        <is>
          <t>山田久</t>
        </is>
      </c>
      <c r="AF256" s="10" t="inlineStr">
        <is>
          <t>矢田</t>
        </is>
      </c>
      <c r="AG256" s="10" t="inlineStr">
        <is>
          <t>中嶌</t>
        </is>
      </c>
      <c r="AH256" s="10" t="inlineStr">
        <is>
          <t>植山</t>
        </is>
      </c>
      <c r="AI256" s="10" t="inlineStr">
        <is>
          <t>欠員①</t>
        </is>
      </c>
      <c r="AJ256" s="10" t="inlineStr">
        <is>
          <t>北川</t>
        </is>
      </c>
      <c r="AK256" s="10" t="inlineStr">
        <is>
          <t>山本幸</t>
        </is>
      </c>
      <c r="AL256" s="10" t="inlineStr">
        <is>
          <t>原</t>
        </is>
      </c>
      <c r="AM256" s="10" t="inlineStr">
        <is>
          <t>内野</t>
        </is>
      </c>
      <c r="AN256" s="10" t="inlineStr">
        <is>
          <t>富島</t>
        </is>
      </c>
      <c r="AO256" s="10" t="inlineStr">
        <is>
          <t>藤原</t>
        </is>
      </c>
      <c r="AP256" s="10" t="inlineStr">
        <is>
          <t>市田</t>
        </is>
      </c>
    </row>
    <row r="257" ht="15" customHeight="1" s="37">
      <c r="A257" t="inlineStr">
        <is>
          <t>2027-01-15</t>
        </is>
      </c>
      <c r="B257" s="10" t="inlineStr">
        <is>
          <t>金</t>
        </is>
      </c>
      <c r="C257" s="10" t="inlineStr">
        <is>
          <t>平日</t>
        </is>
      </c>
      <c r="E257" s="10" t="inlineStr">
        <is>
          <t>上田</t>
        </is>
      </c>
      <c r="F257" s="10" t="inlineStr">
        <is>
          <t>上野</t>
        </is>
      </c>
      <c r="G257" s="10" t="inlineStr">
        <is>
          <t>横山</t>
        </is>
      </c>
      <c r="H257" s="10" t="inlineStr">
        <is>
          <t>丸田</t>
        </is>
      </c>
      <c r="I257" s="10" t="inlineStr">
        <is>
          <t>富島</t>
        </is>
      </c>
      <c r="J257" s="10" t="inlineStr">
        <is>
          <t>門谷</t>
        </is>
      </c>
      <c r="K257" s="10" t="inlineStr">
        <is>
          <t>矢田</t>
        </is>
      </c>
      <c r="L257" s="10" t="inlineStr">
        <is>
          <t>西村</t>
        </is>
      </c>
      <c r="M257" s="10" t="inlineStr">
        <is>
          <t>柴田</t>
        </is>
      </c>
      <c r="N257" s="10" t="inlineStr">
        <is>
          <t>田中</t>
        </is>
      </c>
      <c r="O257" s="10" t="inlineStr">
        <is>
          <t>中山</t>
        </is>
      </c>
      <c r="P257" s="10" t="inlineStr">
        <is>
          <t>山本幸</t>
        </is>
      </c>
      <c r="Q257" s="10" t="inlineStr">
        <is>
          <t>栗下</t>
        </is>
      </c>
      <c r="R257" s="10" t="inlineStr">
        <is>
          <t>井川</t>
        </is>
      </c>
      <c r="S257" s="10" t="inlineStr">
        <is>
          <t>原</t>
        </is>
      </c>
      <c r="T257" s="10" t="inlineStr">
        <is>
          <t>山田真</t>
        </is>
      </c>
      <c r="U257" s="10" t="inlineStr">
        <is>
          <t>市田</t>
        </is>
      </c>
      <c r="V257" s="10" t="inlineStr">
        <is>
          <t>植山</t>
        </is>
      </c>
      <c r="W257" s="10" t="inlineStr">
        <is>
          <t>山田久</t>
        </is>
      </c>
      <c r="X257" s="10" t="inlineStr">
        <is>
          <t>欠員②</t>
        </is>
      </c>
      <c r="Y257" s="10" t="inlineStr">
        <is>
          <t>北川</t>
        </is>
      </c>
      <c r="Z257" s="10" t="inlineStr">
        <is>
          <t>馬場</t>
        </is>
      </c>
      <c r="AA257" s="10" t="inlineStr">
        <is>
          <t>内野</t>
        </is>
      </c>
      <c r="AB257" s="10" t="inlineStr">
        <is>
          <t>尾川</t>
        </is>
      </c>
      <c r="AC257" s="10" t="inlineStr">
        <is>
          <t>藤原</t>
        </is>
      </c>
      <c r="AD257" s="10" t="inlineStr">
        <is>
          <t>岡本</t>
        </is>
      </c>
      <c r="AE257" s="10" t="inlineStr">
        <is>
          <t>安村</t>
        </is>
      </c>
      <c r="AF257" s="10" t="inlineStr">
        <is>
          <t>佐野</t>
        </is>
      </c>
      <c r="AG257" s="10" t="inlineStr">
        <is>
          <t>大川内</t>
        </is>
      </c>
      <c r="AH257" s="10" t="inlineStr">
        <is>
          <t>野口</t>
        </is>
      </c>
      <c r="AI257" s="10" t="inlineStr">
        <is>
          <t>山本高</t>
        </is>
      </c>
      <c r="AJ257" s="10" t="inlineStr">
        <is>
          <t>河野</t>
        </is>
      </c>
      <c r="AK257" s="10" t="inlineStr">
        <is>
          <t>欠員①</t>
        </is>
      </c>
      <c r="AL257" s="10" t="inlineStr">
        <is>
          <t>横田</t>
        </is>
      </c>
      <c r="AM257" s="10" t="inlineStr">
        <is>
          <t>中村</t>
        </is>
      </c>
      <c r="AN257" s="10" t="inlineStr">
        <is>
          <t>中嶌</t>
        </is>
      </c>
      <c r="AO257" s="10" t="inlineStr">
        <is>
          <t>岩田</t>
        </is>
      </c>
      <c r="AP257" s="10" t="inlineStr">
        <is>
          <t>谷川</t>
        </is>
      </c>
    </row>
    <row r="258" ht="15" customHeight="1" s="37">
      <c r="A258" t="inlineStr">
        <is>
          <t>2027-01-16</t>
        </is>
      </c>
      <c r="B258" s="10" t="inlineStr">
        <is>
          <t>土</t>
        </is>
      </c>
      <c r="C258" s="10" t="inlineStr">
        <is>
          <t>休日</t>
        </is>
      </c>
      <c r="E258" s="10" t="inlineStr">
        <is>
          <t>原</t>
        </is>
      </c>
      <c r="F258" s="10" t="inlineStr">
        <is>
          <t>柴田</t>
        </is>
      </c>
      <c r="G258" s="10" t="inlineStr">
        <is>
          <t>植山</t>
        </is>
      </c>
      <c r="H258" s="10" t="inlineStr">
        <is>
          <t>中山</t>
        </is>
      </c>
      <c r="I258" s="10" t="inlineStr">
        <is>
          <t>中嶌</t>
        </is>
      </c>
      <c r="J258" s="10" t="inlineStr">
        <is>
          <t>山田久</t>
        </is>
      </c>
      <c r="K258" s="10" t="inlineStr">
        <is>
          <t>佐野</t>
        </is>
      </c>
      <c r="L258" s="10" t="inlineStr">
        <is>
          <t>山本幸</t>
        </is>
      </c>
      <c r="M258" s="10" t="inlineStr">
        <is>
          <t>藤原</t>
        </is>
      </c>
      <c r="N258" s="10" t="inlineStr">
        <is>
          <t>井川</t>
        </is>
      </c>
      <c r="O258" s="10" t="inlineStr">
        <is>
          <t>欠員②</t>
        </is>
      </c>
      <c r="P258" s="10" t="inlineStr">
        <is>
          <t>欠員①</t>
        </is>
      </c>
      <c r="Q258" s="10" t="inlineStr">
        <is>
          <t>西村</t>
        </is>
      </c>
      <c r="R258" s="10" t="inlineStr">
        <is>
          <t>内野</t>
        </is>
      </c>
      <c r="S258" s="10" t="inlineStr">
        <is>
          <t>横田</t>
        </is>
      </c>
      <c r="T258" s="10" t="inlineStr">
        <is>
          <t>市田</t>
        </is>
      </c>
      <c r="U258" s="10" t="inlineStr">
        <is>
          <t>谷川</t>
        </is>
      </c>
      <c r="V258" s="10" t="inlineStr">
        <is>
          <t>野口</t>
        </is>
      </c>
      <c r="W258" s="10" t="inlineStr">
        <is>
          <t>安村</t>
        </is>
      </c>
      <c r="X258" s="10" t="inlineStr">
        <is>
          <t>矢田</t>
        </is>
      </c>
      <c r="Y258" s="10" t="inlineStr">
        <is>
          <t>河野</t>
        </is>
      </c>
      <c r="Z258" s="10" t="inlineStr">
        <is>
          <t>尾川</t>
        </is>
      </c>
      <c r="AA258" s="10" t="inlineStr">
        <is>
          <t>中村</t>
        </is>
      </c>
      <c r="AB258" s="10" t="inlineStr">
        <is>
          <t>門谷</t>
        </is>
      </c>
      <c r="AC258" s="10" t="inlineStr">
        <is>
          <t>岩田</t>
        </is>
      </c>
      <c r="AD258" s="10" t="inlineStr">
        <is>
          <t>横山</t>
        </is>
      </c>
      <c r="AE258" s="10" t="inlineStr">
        <is>
          <t>丸田</t>
        </is>
      </c>
      <c r="AF258" s="10" t="inlineStr">
        <is>
          <t>上野</t>
        </is>
      </c>
      <c r="AG258" s="10" t="inlineStr">
        <is>
          <t>田中</t>
        </is>
      </c>
      <c r="AH258" s="10" t="inlineStr">
        <is>
          <t>栗下</t>
        </is>
      </c>
      <c r="AI258" s="10" t="inlineStr">
        <is>
          <t>山田真</t>
        </is>
      </c>
      <c r="AJ258" s="10" t="inlineStr">
        <is>
          <t>富島</t>
        </is>
      </c>
      <c r="AK258" s="10" t="inlineStr">
        <is>
          <t>山本高</t>
        </is>
      </c>
      <c r="AL258" s="10" t="inlineStr">
        <is>
          <t>北川</t>
        </is>
      </c>
      <c r="AM258" s="10" t="inlineStr">
        <is>
          <t>岡本</t>
        </is>
      </c>
      <c r="AN258" s="10" t="inlineStr">
        <is>
          <t>大川内</t>
        </is>
      </c>
      <c r="AO258" s="10" t="inlineStr">
        <is>
          <t>上田</t>
        </is>
      </c>
      <c r="AP258" s="10" t="inlineStr">
        <is>
          <t>馬場</t>
        </is>
      </c>
    </row>
    <row r="259" ht="15" customHeight="1" s="37">
      <c r="A259" t="inlineStr">
        <is>
          <t>2027-01-17</t>
        </is>
      </c>
      <c r="B259" s="10" t="inlineStr">
        <is>
          <t>日</t>
        </is>
      </c>
      <c r="C259" s="10" t="inlineStr">
        <is>
          <t>休日</t>
        </is>
      </c>
      <c r="E259" s="10" t="inlineStr">
        <is>
          <t>横田</t>
        </is>
      </c>
      <c r="F259" s="10" t="inlineStr">
        <is>
          <t>藤原</t>
        </is>
      </c>
      <c r="G259" s="10" t="inlineStr">
        <is>
          <t>野口</t>
        </is>
      </c>
      <c r="H259" s="10" t="inlineStr">
        <is>
          <t>欠員②</t>
        </is>
      </c>
      <c r="I259" s="10" t="inlineStr">
        <is>
          <t>大川内</t>
        </is>
      </c>
      <c r="J259" s="10" t="inlineStr">
        <is>
          <t>安村</t>
        </is>
      </c>
      <c r="K259" s="10" t="inlineStr">
        <is>
          <t>上野</t>
        </is>
      </c>
      <c r="L259" s="10" t="inlineStr">
        <is>
          <t>欠員①</t>
        </is>
      </c>
      <c r="M259" s="10" t="inlineStr">
        <is>
          <t>岩田</t>
        </is>
      </c>
      <c r="N259" s="10" t="inlineStr">
        <is>
          <t>内野</t>
        </is>
      </c>
      <c r="O259" s="10" t="inlineStr">
        <is>
          <t>矢田</t>
        </is>
      </c>
      <c r="P259" s="10" t="inlineStr">
        <is>
          <t>山本高</t>
        </is>
      </c>
      <c r="Q259" s="10" t="inlineStr">
        <is>
          <t>山本幸</t>
        </is>
      </c>
      <c r="R259" s="10" t="inlineStr">
        <is>
          <t>中村</t>
        </is>
      </c>
      <c r="S259" s="10" t="inlineStr">
        <is>
          <t>北川</t>
        </is>
      </c>
      <c r="T259" s="10" t="inlineStr">
        <is>
          <t>谷川</t>
        </is>
      </c>
      <c r="U259" s="10" t="inlineStr">
        <is>
          <t>馬場</t>
        </is>
      </c>
      <c r="V259" s="10" t="inlineStr">
        <is>
          <t>栗下</t>
        </is>
      </c>
      <c r="W259" s="10" t="inlineStr">
        <is>
          <t>丸田</t>
        </is>
      </c>
      <c r="X259" s="10" t="inlineStr">
        <is>
          <t>佐野</t>
        </is>
      </c>
      <c r="Y259" s="10" t="inlineStr">
        <is>
          <t>富島</t>
        </is>
      </c>
      <c r="Z259" s="10" t="inlineStr">
        <is>
          <t>門谷</t>
        </is>
      </c>
      <c r="AA259" s="10" t="inlineStr">
        <is>
          <t>岡本</t>
        </is>
      </c>
      <c r="AB259" s="10" t="inlineStr">
        <is>
          <t>山田久</t>
        </is>
      </c>
      <c r="AC259" s="10" t="inlineStr">
        <is>
          <t>上田</t>
        </is>
      </c>
      <c r="AD259" s="10" t="inlineStr">
        <is>
          <t>植山</t>
        </is>
      </c>
      <c r="AE259" s="10" t="inlineStr">
        <is>
          <t>中山</t>
        </is>
      </c>
      <c r="AF259" s="10" t="inlineStr">
        <is>
          <t>柴田</t>
        </is>
      </c>
      <c r="AG259" s="10" t="inlineStr">
        <is>
          <t>井川</t>
        </is>
      </c>
      <c r="AH259" s="10" t="inlineStr">
        <is>
          <t>西村</t>
        </is>
      </c>
      <c r="AI259" s="10" t="inlineStr">
        <is>
          <t>市田</t>
        </is>
      </c>
      <c r="AJ259" s="10" t="inlineStr">
        <is>
          <t>中嶌</t>
        </is>
      </c>
      <c r="AK259" s="10" t="inlineStr">
        <is>
          <t>山田真</t>
        </is>
      </c>
      <c r="AL259" s="10" t="inlineStr">
        <is>
          <t>河野</t>
        </is>
      </c>
      <c r="AM259" s="10" t="inlineStr">
        <is>
          <t>横山</t>
        </is>
      </c>
      <c r="AN259" s="10" t="inlineStr">
        <is>
          <t>田中</t>
        </is>
      </c>
      <c r="AO259" s="10" t="inlineStr">
        <is>
          <t>原</t>
        </is>
      </c>
      <c r="AP259" s="10" t="inlineStr">
        <is>
          <t>尾川</t>
        </is>
      </c>
    </row>
    <row r="260" ht="15" customHeight="1" s="37">
      <c r="A260" t="inlineStr">
        <is>
          <t>2027-01-18</t>
        </is>
      </c>
      <c r="B260" s="10" t="inlineStr">
        <is>
          <t>月</t>
        </is>
      </c>
      <c r="C260" s="10" t="inlineStr">
        <is>
          <t>平日</t>
        </is>
      </c>
      <c r="E260" s="10" t="inlineStr">
        <is>
          <t>北川</t>
        </is>
      </c>
      <c r="F260" s="10" t="inlineStr">
        <is>
          <t>岩田</t>
        </is>
      </c>
      <c r="G260" s="10" t="inlineStr">
        <is>
          <t>栗下</t>
        </is>
      </c>
      <c r="H260" s="10" t="inlineStr">
        <is>
          <t>矢田</t>
        </is>
      </c>
      <c r="I260" s="10" t="inlineStr">
        <is>
          <t>田中</t>
        </is>
      </c>
      <c r="J260" s="10" t="inlineStr">
        <is>
          <t>丸田</t>
        </is>
      </c>
      <c r="K260" s="10" t="inlineStr">
        <is>
          <t>柴田</t>
        </is>
      </c>
      <c r="L260" s="10" t="inlineStr">
        <is>
          <t>山本高</t>
        </is>
      </c>
      <c r="M260" s="10" t="inlineStr">
        <is>
          <t>上田</t>
        </is>
      </c>
      <c r="N260" s="10" t="inlineStr">
        <is>
          <t>中村</t>
        </is>
      </c>
      <c r="O260" s="10" t="inlineStr">
        <is>
          <t>佐野</t>
        </is>
      </c>
      <c r="P260" s="10" t="inlineStr">
        <is>
          <t>山田真</t>
        </is>
      </c>
      <c r="Q260" s="10" t="inlineStr">
        <is>
          <t>欠員①</t>
        </is>
      </c>
      <c r="R260" s="10" t="inlineStr">
        <is>
          <t>岡本</t>
        </is>
      </c>
      <c r="S260" s="10" t="inlineStr">
        <is>
          <t>河野</t>
        </is>
      </c>
      <c r="T260" s="10" t="inlineStr">
        <is>
          <t>馬場</t>
        </is>
      </c>
      <c r="U260" s="10" t="inlineStr">
        <is>
          <t>尾川</t>
        </is>
      </c>
      <c r="V260" s="10" t="inlineStr">
        <is>
          <t>西村</t>
        </is>
      </c>
      <c r="W260" s="10" t="inlineStr">
        <is>
          <t>中山</t>
        </is>
      </c>
      <c r="X260" s="10" t="inlineStr">
        <is>
          <t>上野</t>
        </is>
      </c>
      <c r="Y260" s="10" t="inlineStr">
        <is>
          <t>中嶌</t>
        </is>
      </c>
      <c r="Z260" s="10" t="inlineStr">
        <is>
          <t>山田久</t>
        </is>
      </c>
      <c r="AA260" s="10" t="inlineStr">
        <is>
          <t>横山</t>
        </is>
      </c>
      <c r="AB260" s="10" t="inlineStr">
        <is>
          <t>安村</t>
        </is>
      </c>
      <c r="AC260" s="10" t="inlineStr">
        <is>
          <t>原</t>
        </is>
      </c>
      <c r="AD260" s="10" t="inlineStr">
        <is>
          <t>野口</t>
        </is>
      </c>
      <c r="AE260" s="10" t="inlineStr">
        <is>
          <t>欠員②</t>
        </is>
      </c>
      <c r="AF260" s="10" t="inlineStr">
        <is>
          <t>藤原</t>
        </is>
      </c>
      <c r="AG260" s="10" t="inlineStr">
        <is>
          <t>内野</t>
        </is>
      </c>
      <c r="AH260" s="10" t="inlineStr">
        <is>
          <t>山本幸</t>
        </is>
      </c>
      <c r="AI260" s="10" t="inlineStr">
        <is>
          <t>谷川</t>
        </is>
      </c>
      <c r="AJ260" s="10" t="inlineStr">
        <is>
          <t>大川内</t>
        </is>
      </c>
      <c r="AK260" s="10" t="inlineStr">
        <is>
          <t>市田</t>
        </is>
      </c>
      <c r="AL260" s="10" t="inlineStr">
        <is>
          <t>富島</t>
        </is>
      </c>
      <c r="AM260" s="10" t="inlineStr">
        <is>
          <t>植山</t>
        </is>
      </c>
      <c r="AN260" s="10" t="inlineStr">
        <is>
          <t>井川</t>
        </is>
      </c>
      <c r="AO260" s="10" t="inlineStr">
        <is>
          <t>横田</t>
        </is>
      </c>
      <c r="AP260" s="10" t="inlineStr">
        <is>
          <t>門谷</t>
        </is>
      </c>
    </row>
    <row r="261" ht="15" customHeight="1" s="37">
      <c r="A261" t="inlineStr">
        <is>
          <t>2027-01-19</t>
        </is>
      </c>
      <c r="B261" s="10" t="inlineStr">
        <is>
          <t>火</t>
        </is>
      </c>
      <c r="C261" s="10" t="inlineStr">
        <is>
          <t>平日</t>
        </is>
      </c>
      <c r="E261" s="10" t="inlineStr">
        <is>
          <t>河野</t>
        </is>
      </c>
      <c r="F261" s="10" t="inlineStr">
        <is>
          <t>上田</t>
        </is>
      </c>
      <c r="G261" s="10" t="inlineStr">
        <is>
          <t>西村</t>
        </is>
      </c>
      <c r="H261" s="10" t="inlineStr">
        <is>
          <t>佐野</t>
        </is>
      </c>
      <c r="I261" s="10" t="inlineStr">
        <is>
          <t>井川</t>
        </is>
      </c>
      <c r="J261" s="10" t="inlineStr">
        <is>
          <t>中山</t>
        </is>
      </c>
      <c r="K261" s="10" t="inlineStr">
        <is>
          <t>藤原</t>
        </is>
      </c>
      <c r="L261" s="10" t="inlineStr">
        <is>
          <t>山田真</t>
        </is>
      </c>
      <c r="M261" s="10" t="inlineStr">
        <is>
          <t>原</t>
        </is>
      </c>
      <c r="N261" s="10" t="inlineStr">
        <is>
          <t>岡本</t>
        </is>
      </c>
      <c r="O261" s="10" t="inlineStr">
        <is>
          <t>上野</t>
        </is>
      </c>
      <c r="P261" s="10" t="inlineStr">
        <is>
          <t>市田</t>
        </is>
      </c>
      <c r="Q261" s="10" t="inlineStr">
        <is>
          <t>山本高</t>
        </is>
      </c>
      <c r="R261" s="10" t="inlineStr">
        <is>
          <t>横山</t>
        </is>
      </c>
      <c r="S261" s="10" t="inlineStr">
        <is>
          <t>富島</t>
        </is>
      </c>
      <c r="T261" s="10" t="inlineStr">
        <is>
          <t>尾川</t>
        </is>
      </c>
      <c r="U261" s="10" t="inlineStr">
        <is>
          <t>門谷</t>
        </is>
      </c>
      <c r="V261" s="10" t="inlineStr">
        <is>
          <t>山本幸</t>
        </is>
      </c>
      <c r="W261" s="10" t="inlineStr">
        <is>
          <t>欠員②</t>
        </is>
      </c>
      <c r="X261" s="10" t="inlineStr">
        <is>
          <t>柴田</t>
        </is>
      </c>
      <c r="Y261" s="10" t="inlineStr">
        <is>
          <t>大川内</t>
        </is>
      </c>
      <c r="Z261" s="10" t="inlineStr">
        <is>
          <t>安村</t>
        </is>
      </c>
      <c r="AA261" s="10" t="inlineStr">
        <is>
          <t>植山</t>
        </is>
      </c>
      <c r="AB261" s="10" t="inlineStr">
        <is>
          <t>丸田</t>
        </is>
      </c>
      <c r="AC261" s="10" t="inlineStr">
        <is>
          <t>横田</t>
        </is>
      </c>
      <c r="AD261" s="10" t="inlineStr">
        <is>
          <t>栗下</t>
        </is>
      </c>
      <c r="AE261" s="10" t="inlineStr">
        <is>
          <t>矢田</t>
        </is>
      </c>
      <c r="AF261" s="10" t="inlineStr">
        <is>
          <t>岩田</t>
        </is>
      </c>
      <c r="AG261" s="10" t="inlineStr">
        <is>
          <t>中村</t>
        </is>
      </c>
      <c r="AH261" s="10" t="inlineStr">
        <is>
          <t>欠員①</t>
        </is>
      </c>
      <c r="AI261" s="10" t="inlineStr">
        <is>
          <t>馬場</t>
        </is>
      </c>
      <c r="AJ261" s="10" t="inlineStr">
        <is>
          <t>田中</t>
        </is>
      </c>
      <c r="AK261" s="10" t="inlineStr">
        <is>
          <t>谷川</t>
        </is>
      </c>
      <c r="AL261" s="10" t="inlineStr">
        <is>
          <t>中嶌</t>
        </is>
      </c>
      <c r="AM261" s="10" t="inlineStr">
        <is>
          <t>野口</t>
        </is>
      </c>
      <c r="AN261" s="10" t="inlineStr">
        <is>
          <t>内野</t>
        </is>
      </c>
      <c r="AO261" s="10" t="inlineStr">
        <is>
          <t>北川</t>
        </is>
      </c>
      <c r="AP261" s="10" t="inlineStr">
        <is>
          <t>山田久</t>
        </is>
      </c>
    </row>
    <row r="262" ht="15" customHeight="1" s="37">
      <c r="A262" t="inlineStr">
        <is>
          <t>2027-01-20</t>
        </is>
      </c>
      <c r="B262" s="10" t="inlineStr">
        <is>
          <t>水</t>
        </is>
      </c>
      <c r="C262" s="10" t="inlineStr">
        <is>
          <t>平日</t>
        </is>
      </c>
      <c r="E262" s="10" t="inlineStr">
        <is>
          <t>富島</t>
        </is>
      </c>
      <c r="F262" s="10" t="inlineStr">
        <is>
          <t>原</t>
        </is>
      </c>
      <c r="G262" s="10" t="inlineStr">
        <is>
          <t>山本幸</t>
        </is>
      </c>
      <c r="H262" s="10" t="inlineStr">
        <is>
          <t>上野</t>
        </is>
      </c>
      <c r="I262" s="10" t="inlineStr">
        <is>
          <t>内野</t>
        </is>
      </c>
      <c r="J262" s="10" t="inlineStr">
        <is>
          <t>欠員②</t>
        </is>
      </c>
      <c r="K262" s="10" t="inlineStr">
        <is>
          <t>岩田</t>
        </is>
      </c>
      <c r="L262" s="10" t="inlineStr">
        <is>
          <t>市田</t>
        </is>
      </c>
      <c r="M262" s="10" t="inlineStr">
        <is>
          <t>横田</t>
        </is>
      </c>
      <c r="N262" s="10" t="inlineStr">
        <is>
          <t>横山</t>
        </is>
      </c>
      <c r="O262" s="10" t="inlineStr">
        <is>
          <t>柴田</t>
        </is>
      </c>
      <c r="P262" s="10" t="inlineStr">
        <is>
          <t>谷川</t>
        </is>
      </c>
      <c r="Q262" s="10" t="inlineStr">
        <is>
          <t>山田真</t>
        </is>
      </c>
      <c r="R262" s="10" t="inlineStr">
        <is>
          <t>植山</t>
        </is>
      </c>
      <c r="S262" s="10" t="inlineStr">
        <is>
          <t>中嶌</t>
        </is>
      </c>
      <c r="T262" s="10" t="inlineStr">
        <is>
          <t>門谷</t>
        </is>
      </c>
      <c r="U262" s="10" t="inlineStr">
        <is>
          <t>山田久</t>
        </is>
      </c>
      <c r="V262" s="10" t="inlineStr">
        <is>
          <t>欠員①</t>
        </is>
      </c>
      <c r="W262" s="10" t="inlineStr">
        <is>
          <t>矢田</t>
        </is>
      </c>
      <c r="X262" s="10" t="inlineStr">
        <is>
          <t>藤原</t>
        </is>
      </c>
      <c r="Y262" s="10" t="inlineStr">
        <is>
          <t>田中</t>
        </is>
      </c>
      <c r="Z262" s="10" t="inlineStr">
        <is>
          <t>丸田</t>
        </is>
      </c>
      <c r="AA262" s="10" t="inlineStr">
        <is>
          <t>野口</t>
        </is>
      </c>
      <c r="AB262" s="10" t="inlineStr">
        <is>
          <t>中山</t>
        </is>
      </c>
      <c r="AC262" s="10" t="inlineStr">
        <is>
          <t>北川</t>
        </is>
      </c>
      <c r="AD262" s="10" t="inlineStr">
        <is>
          <t>西村</t>
        </is>
      </c>
      <c r="AE262" s="10" t="inlineStr">
        <is>
          <t>佐野</t>
        </is>
      </c>
      <c r="AF262" s="10" t="inlineStr">
        <is>
          <t>上田</t>
        </is>
      </c>
      <c r="AG262" s="10" t="inlineStr">
        <is>
          <t>岡本</t>
        </is>
      </c>
      <c r="AH262" s="10" t="inlineStr">
        <is>
          <t>山本高</t>
        </is>
      </c>
      <c r="AI262" s="10" t="inlineStr">
        <is>
          <t>尾川</t>
        </is>
      </c>
      <c r="AJ262" s="10" t="inlineStr">
        <is>
          <t>井川</t>
        </is>
      </c>
      <c r="AK262" s="10" t="inlineStr">
        <is>
          <t>馬場</t>
        </is>
      </c>
      <c r="AL262" s="10" t="inlineStr">
        <is>
          <t>大川内</t>
        </is>
      </c>
      <c r="AM262" s="10" t="inlineStr">
        <is>
          <t>栗下</t>
        </is>
      </c>
      <c r="AN262" s="10" t="inlineStr">
        <is>
          <t>中村</t>
        </is>
      </c>
      <c r="AO262" s="10" t="inlineStr">
        <is>
          <t>河野</t>
        </is>
      </c>
      <c r="AP262" s="10" t="inlineStr">
        <is>
          <t>安村</t>
        </is>
      </c>
    </row>
    <row r="263" ht="15" customHeight="1" s="37">
      <c r="A263" t="inlineStr">
        <is>
          <t>2027-01-21</t>
        </is>
      </c>
      <c r="B263" s="10" t="inlineStr">
        <is>
          <t>木</t>
        </is>
      </c>
      <c r="C263" s="10" t="inlineStr">
        <is>
          <t>平日</t>
        </is>
      </c>
      <c r="E263" s="10" t="inlineStr">
        <is>
          <t>中嶌</t>
        </is>
      </c>
      <c r="F263" s="10" t="inlineStr">
        <is>
          <t>横田</t>
        </is>
      </c>
      <c r="G263" s="10" t="inlineStr">
        <is>
          <t>欠員①</t>
        </is>
      </c>
      <c r="H263" s="10" t="inlineStr">
        <is>
          <t>柴田</t>
        </is>
      </c>
      <c r="I263" s="10" t="inlineStr">
        <is>
          <t>中村</t>
        </is>
      </c>
      <c r="J263" s="10" t="inlineStr">
        <is>
          <t>矢田</t>
        </is>
      </c>
      <c r="K263" s="10" t="inlineStr">
        <is>
          <t>上田</t>
        </is>
      </c>
      <c r="L263" s="10" t="inlineStr">
        <is>
          <t>谷川</t>
        </is>
      </c>
      <c r="M263" s="10" t="inlineStr">
        <is>
          <t>北川</t>
        </is>
      </c>
      <c r="N263" s="10" t="inlineStr">
        <is>
          <t>植山</t>
        </is>
      </c>
      <c r="O263" s="10" t="inlineStr">
        <is>
          <t>藤原</t>
        </is>
      </c>
      <c r="P263" s="10" t="inlineStr">
        <is>
          <t>馬場</t>
        </is>
      </c>
      <c r="Q263" s="10" t="inlineStr">
        <is>
          <t>市田</t>
        </is>
      </c>
      <c r="R263" s="10" t="inlineStr">
        <is>
          <t>野口</t>
        </is>
      </c>
      <c r="S263" s="10" t="inlineStr">
        <is>
          <t>大川内</t>
        </is>
      </c>
      <c r="T263" s="10" t="inlineStr">
        <is>
          <t>山田久</t>
        </is>
      </c>
      <c r="U263" s="10" t="inlineStr">
        <is>
          <t>安村</t>
        </is>
      </c>
      <c r="V263" s="10" t="inlineStr">
        <is>
          <t>山本高</t>
        </is>
      </c>
      <c r="W263" s="10" t="inlineStr">
        <is>
          <t>佐野</t>
        </is>
      </c>
      <c r="X263" s="10" t="inlineStr">
        <is>
          <t>岩田</t>
        </is>
      </c>
      <c r="Y263" s="10" t="inlineStr">
        <is>
          <t>井川</t>
        </is>
      </c>
      <c r="Z263" s="10" t="inlineStr">
        <is>
          <t>中山</t>
        </is>
      </c>
      <c r="AA263" s="10" t="inlineStr">
        <is>
          <t>栗下</t>
        </is>
      </c>
      <c r="AB263" s="10" t="inlineStr">
        <is>
          <t>欠員②</t>
        </is>
      </c>
      <c r="AC263" s="10" t="inlineStr">
        <is>
          <t>河野</t>
        </is>
      </c>
      <c r="AD263" s="10" t="inlineStr">
        <is>
          <t>山本幸</t>
        </is>
      </c>
      <c r="AE263" s="10" t="inlineStr">
        <is>
          <t>上野</t>
        </is>
      </c>
      <c r="AF263" s="10" t="inlineStr">
        <is>
          <t>原</t>
        </is>
      </c>
      <c r="AG263" s="10" t="inlineStr">
        <is>
          <t>横山</t>
        </is>
      </c>
      <c r="AH263" s="10" t="inlineStr">
        <is>
          <t>山田真</t>
        </is>
      </c>
      <c r="AI263" s="10" t="inlineStr">
        <is>
          <t>門谷</t>
        </is>
      </c>
      <c r="AJ263" s="10" t="inlineStr">
        <is>
          <t>内野</t>
        </is>
      </c>
      <c r="AK263" s="10" t="inlineStr">
        <is>
          <t>尾川</t>
        </is>
      </c>
      <c r="AL263" s="10" t="inlineStr">
        <is>
          <t>田中</t>
        </is>
      </c>
      <c r="AM263" s="10" t="inlineStr">
        <is>
          <t>西村</t>
        </is>
      </c>
      <c r="AN263" s="10" t="inlineStr">
        <is>
          <t>岡本</t>
        </is>
      </c>
      <c r="AO263" s="10" t="inlineStr">
        <is>
          <t>富島</t>
        </is>
      </c>
      <c r="AP263" s="10" t="inlineStr">
        <is>
          <t>丸田</t>
        </is>
      </c>
    </row>
    <row r="264" ht="15" customHeight="1" s="37">
      <c r="A264" t="inlineStr">
        <is>
          <t>2027-01-22</t>
        </is>
      </c>
      <c r="B264" s="10" t="inlineStr">
        <is>
          <t>金</t>
        </is>
      </c>
      <c r="C264" s="10" t="inlineStr">
        <is>
          <t>平日</t>
        </is>
      </c>
      <c r="E264" s="10" t="inlineStr">
        <is>
          <t>大川内</t>
        </is>
      </c>
      <c r="F264" s="10" t="inlineStr">
        <is>
          <t>北川</t>
        </is>
      </c>
      <c r="G264" s="10" t="inlineStr">
        <is>
          <t>山本高</t>
        </is>
      </c>
      <c r="H264" s="10" t="inlineStr">
        <is>
          <t>藤原</t>
        </is>
      </c>
      <c r="I264" s="10" t="inlineStr">
        <is>
          <t>岡本</t>
        </is>
      </c>
      <c r="J264" s="10" t="inlineStr">
        <is>
          <t>佐野</t>
        </is>
      </c>
      <c r="K264" s="10" t="inlineStr">
        <is>
          <t>原</t>
        </is>
      </c>
      <c r="L264" s="10" t="inlineStr">
        <is>
          <t>馬場</t>
        </is>
      </c>
      <c r="M264" s="10" t="inlineStr">
        <is>
          <t>河野</t>
        </is>
      </c>
      <c r="N264" s="10" t="inlineStr">
        <is>
          <t>野口</t>
        </is>
      </c>
      <c r="O264" s="10" t="inlineStr">
        <is>
          <t>岩田</t>
        </is>
      </c>
      <c r="P264" s="10" t="inlineStr">
        <is>
          <t>尾川</t>
        </is>
      </c>
      <c r="Q264" s="10" t="inlineStr">
        <is>
          <t>谷川</t>
        </is>
      </c>
      <c r="R264" s="10" t="inlineStr">
        <is>
          <t>栗下</t>
        </is>
      </c>
      <c r="S264" s="10" t="inlineStr">
        <is>
          <t>田中</t>
        </is>
      </c>
      <c r="T264" s="10" t="inlineStr">
        <is>
          <t>安村</t>
        </is>
      </c>
      <c r="U264" s="10" t="inlineStr">
        <is>
          <t>丸田</t>
        </is>
      </c>
      <c r="V264" s="10" t="inlineStr">
        <is>
          <t>山田真</t>
        </is>
      </c>
      <c r="W264" s="10" t="inlineStr">
        <is>
          <t>上野</t>
        </is>
      </c>
      <c r="X264" s="10" t="inlineStr">
        <is>
          <t>上田</t>
        </is>
      </c>
      <c r="Y264" s="10" t="inlineStr">
        <is>
          <t>内野</t>
        </is>
      </c>
      <c r="Z264" s="10" t="inlineStr">
        <is>
          <t>欠員②</t>
        </is>
      </c>
      <c r="AA264" s="10" t="inlineStr">
        <is>
          <t>西村</t>
        </is>
      </c>
      <c r="AB264" s="10" t="inlineStr">
        <is>
          <t>矢田</t>
        </is>
      </c>
      <c r="AC264" s="10" t="inlineStr">
        <is>
          <t>富島</t>
        </is>
      </c>
      <c r="AD264" s="10" t="inlineStr">
        <is>
          <t>欠員①</t>
        </is>
      </c>
      <c r="AE264" s="10" t="inlineStr">
        <is>
          <t>柴田</t>
        </is>
      </c>
      <c r="AF264" s="10" t="inlineStr">
        <is>
          <t>横田</t>
        </is>
      </c>
      <c r="AG264" s="10" t="inlineStr">
        <is>
          <t>植山</t>
        </is>
      </c>
      <c r="AH264" s="10" t="inlineStr">
        <is>
          <t>市田</t>
        </is>
      </c>
      <c r="AI264" s="10" t="inlineStr">
        <is>
          <t>山田久</t>
        </is>
      </c>
      <c r="AJ264" s="10" t="inlineStr">
        <is>
          <t>中村</t>
        </is>
      </c>
      <c r="AK264" s="10" t="inlineStr">
        <is>
          <t>門谷</t>
        </is>
      </c>
      <c r="AL264" s="10" t="inlineStr">
        <is>
          <t>井川</t>
        </is>
      </c>
      <c r="AM264" s="10" t="inlineStr">
        <is>
          <t>山本幸</t>
        </is>
      </c>
      <c r="AN264" s="10" t="inlineStr">
        <is>
          <t>横山</t>
        </is>
      </c>
      <c r="AO264" s="10" t="inlineStr">
        <is>
          <t>中嶌</t>
        </is>
      </c>
      <c r="AP264" s="10" t="inlineStr">
        <is>
          <t>中山</t>
        </is>
      </c>
    </row>
    <row r="265" ht="15" customHeight="1" s="37">
      <c r="A265" t="inlineStr">
        <is>
          <t>2027-01-23</t>
        </is>
      </c>
      <c r="B265" s="10" t="inlineStr">
        <is>
          <t>土</t>
        </is>
      </c>
      <c r="C265" s="10" t="inlineStr">
        <is>
          <t>休日</t>
        </is>
      </c>
      <c r="E265" s="10" t="inlineStr">
        <is>
          <t>田中</t>
        </is>
      </c>
      <c r="F265" s="10" t="inlineStr">
        <is>
          <t>河野</t>
        </is>
      </c>
      <c r="G265" s="10" t="inlineStr">
        <is>
          <t>山田真</t>
        </is>
      </c>
      <c r="H265" s="10" t="inlineStr">
        <is>
          <t>岩田</t>
        </is>
      </c>
      <c r="I265" s="10" t="inlineStr">
        <is>
          <t>横山</t>
        </is>
      </c>
      <c r="J265" s="10" t="inlineStr">
        <is>
          <t>上野</t>
        </is>
      </c>
      <c r="K265" s="10" t="inlineStr">
        <is>
          <t>横田</t>
        </is>
      </c>
      <c r="L265" s="10" t="inlineStr">
        <is>
          <t>尾川</t>
        </is>
      </c>
      <c r="M265" s="10" t="inlineStr">
        <is>
          <t>富島</t>
        </is>
      </c>
      <c r="N265" s="10" t="inlineStr">
        <is>
          <t>栗下</t>
        </is>
      </c>
      <c r="O265" s="10" t="inlineStr">
        <is>
          <t>上田</t>
        </is>
      </c>
      <c r="P265" s="10" t="inlineStr">
        <is>
          <t>門谷</t>
        </is>
      </c>
      <c r="Q265" s="10" t="inlineStr">
        <is>
          <t>馬場</t>
        </is>
      </c>
      <c r="R265" s="10" t="inlineStr">
        <is>
          <t>西村</t>
        </is>
      </c>
      <c r="S265" s="10" t="inlineStr">
        <is>
          <t>井川</t>
        </is>
      </c>
      <c r="T265" s="10" t="inlineStr">
        <is>
          <t>丸田</t>
        </is>
      </c>
      <c r="U265" s="10" t="inlineStr">
        <is>
          <t>中山</t>
        </is>
      </c>
      <c r="V265" s="10" t="inlineStr">
        <is>
          <t>市田</t>
        </is>
      </c>
      <c r="W265" s="10" t="inlineStr">
        <is>
          <t>柴田</t>
        </is>
      </c>
      <c r="X265" s="10" t="inlineStr">
        <is>
          <t>原</t>
        </is>
      </c>
      <c r="Y265" s="10" t="inlineStr">
        <is>
          <t>中村</t>
        </is>
      </c>
      <c r="Z265" s="10" t="inlineStr">
        <is>
          <t>矢田</t>
        </is>
      </c>
      <c r="AA265" s="10" t="inlineStr">
        <is>
          <t>山本幸</t>
        </is>
      </c>
      <c r="AB265" s="10" t="inlineStr">
        <is>
          <t>佐野</t>
        </is>
      </c>
      <c r="AC265" s="10" t="inlineStr">
        <is>
          <t>中嶌</t>
        </is>
      </c>
      <c r="AD265" s="10" t="inlineStr">
        <is>
          <t>山本高</t>
        </is>
      </c>
      <c r="AE265" s="10" t="inlineStr">
        <is>
          <t>藤原</t>
        </is>
      </c>
      <c r="AF265" s="10" t="inlineStr">
        <is>
          <t>北川</t>
        </is>
      </c>
      <c r="AG265" s="10" t="inlineStr">
        <is>
          <t>野口</t>
        </is>
      </c>
      <c r="AH265" s="10" t="inlineStr">
        <is>
          <t>谷川</t>
        </is>
      </c>
      <c r="AI265" s="10" t="inlineStr">
        <is>
          <t>安村</t>
        </is>
      </c>
      <c r="AJ265" s="10" t="inlineStr">
        <is>
          <t>岡本</t>
        </is>
      </c>
      <c r="AK265" s="10" t="inlineStr">
        <is>
          <t>山田久</t>
        </is>
      </c>
      <c r="AL265" s="10" t="inlineStr">
        <is>
          <t>内野</t>
        </is>
      </c>
      <c r="AM265" s="10" t="inlineStr">
        <is>
          <t>欠員①</t>
        </is>
      </c>
      <c r="AN265" s="10" t="inlineStr">
        <is>
          <t>植山</t>
        </is>
      </c>
      <c r="AO265" s="10" t="inlineStr">
        <is>
          <t>大川内</t>
        </is>
      </c>
      <c r="AP265" s="10" t="inlineStr">
        <is>
          <t>欠員②</t>
        </is>
      </c>
    </row>
    <row r="266" ht="15" customHeight="1" s="37">
      <c r="A266" t="inlineStr">
        <is>
          <t>2027-01-24</t>
        </is>
      </c>
      <c r="B266" s="10" t="inlineStr">
        <is>
          <t>日</t>
        </is>
      </c>
      <c r="C266" s="10" t="inlineStr">
        <is>
          <t>休日</t>
        </is>
      </c>
      <c r="E266" s="10" t="inlineStr">
        <is>
          <t>井川</t>
        </is>
      </c>
      <c r="F266" s="10" t="inlineStr">
        <is>
          <t>富島</t>
        </is>
      </c>
      <c r="G266" s="10" t="inlineStr">
        <is>
          <t>市田</t>
        </is>
      </c>
      <c r="H266" s="10" t="inlineStr">
        <is>
          <t>上田</t>
        </is>
      </c>
      <c r="I266" s="10" t="inlineStr">
        <is>
          <t>植山</t>
        </is>
      </c>
      <c r="J266" s="10" t="inlineStr">
        <is>
          <t>柴田</t>
        </is>
      </c>
      <c r="K266" s="10" t="inlineStr">
        <is>
          <t>北川</t>
        </is>
      </c>
      <c r="L266" s="10" t="inlineStr">
        <is>
          <t>門谷</t>
        </is>
      </c>
      <c r="M266" s="10" t="inlineStr">
        <is>
          <t>中嶌</t>
        </is>
      </c>
      <c r="N266" s="10" t="inlineStr">
        <is>
          <t>西村</t>
        </is>
      </c>
      <c r="O266" s="10" t="inlineStr">
        <is>
          <t>原</t>
        </is>
      </c>
      <c r="P266" s="10" t="inlineStr">
        <is>
          <t>山田久</t>
        </is>
      </c>
      <c r="Q266" s="10" t="inlineStr">
        <is>
          <t>尾川</t>
        </is>
      </c>
      <c r="R266" s="10" t="inlineStr">
        <is>
          <t>山本幸</t>
        </is>
      </c>
      <c r="S266" s="10" t="inlineStr">
        <is>
          <t>内野</t>
        </is>
      </c>
      <c r="T266" s="10" t="inlineStr">
        <is>
          <t>中山</t>
        </is>
      </c>
      <c r="U266" s="10" t="inlineStr">
        <is>
          <t>欠員②</t>
        </is>
      </c>
      <c r="V266" s="10" t="inlineStr">
        <is>
          <t>谷川</t>
        </is>
      </c>
      <c r="W266" s="10" t="inlineStr">
        <is>
          <t>藤原</t>
        </is>
      </c>
      <c r="X266" s="10" t="inlineStr">
        <is>
          <t>横田</t>
        </is>
      </c>
      <c r="Y266" s="10" t="inlineStr">
        <is>
          <t>岡本</t>
        </is>
      </c>
      <c r="Z266" s="10" t="inlineStr">
        <is>
          <t>佐野</t>
        </is>
      </c>
      <c r="AA266" s="10" t="inlineStr">
        <is>
          <t>欠員①</t>
        </is>
      </c>
      <c r="AB266" s="10" t="inlineStr">
        <is>
          <t>上野</t>
        </is>
      </c>
      <c r="AC266" s="10" t="inlineStr">
        <is>
          <t>大川内</t>
        </is>
      </c>
      <c r="AD266" s="10" t="inlineStr">
        <is>
          <t>山田真</t>
        </is>
      </c>
      <c r="AE266" s="10" t="inlineStr">
        <is>
          <t>岩田</t>
        </is>
      </c>
      <c r="AF266" s="10" t="inlineStr">
        <is>
          <t>河野</t>
        </is>
      </c>
      <c r="AG266" s="10" t="inlineStr">
        <is>
          <t>栗下</t>
        </is>
      </c>
      <c r="AH266" s="10" t="inlineStr">
        <is>
          <t>馬場</t>
        </is>
      </c>
      <c r="AI266" s="10" t="inlineStr">
        <is>
          <t>丸田</t>
        </is>
      </c>
      <c r="AJ266" s="10" t="inlineStr">
        <is>
          <t>横山</t>
        </is>
      </c>
      <c r="AK266" s="10" t="inlineStr">
        <is>
          <t>安村</t>
        </is>
      </c>
      <c r="AL266" s="10" t="inlineStr">
        <is>
          <t>中村</t>
        </is>
      </c>
      <c r="AM266" s="10" t="inlineStr">
        <is>
          <t>山本高</t>
        </is>
      </c>
      <c r="AN266" s="10" t="inlineStr">
        <is>
          <t>野口</t>
        </is>
      </c>
      <c r="AO266" s="10" t="inlineStr">
        <is>
          <t>田中</t>
        </is>
      </c>
      <c r="AP266" s="10" t="inlineStr">
        <is>
          <t>矢田</t>
        </is>
      </c>
    </row>
    <row r="267" ht="15" customHeight="1" s="37">
      <c r="A267" t="inlineStr">
        <is>
          <t>2027-01-25</t>
        </is>
      </c>
      <c r="B267" s="10" t="inlineStr">
        <is>
          <t>月</t>
        </is>
      </c>
      <c r="C267" s="10" t="inlineStr">
        <is>
          <t>平日</t>
        </is>
      </c>
      <c r="E267" s="10" t="inlineStr">
        <is>
          <t>内野</t>
        </is>
      </c>
      <c r="F267" s="10" t="inlineStr">
        <is>
          <t>中嶌</t>
        </is>
      </c>
      <c r="G267" s="10" t="inlineStr">
        <is>
          <t>谷川</t>
        </is>
      </c>
      <c r="H267" s="10" t="inlineStr">
        <is>
          <t>原</t>
        </is>
      </c>
      <c r="I267" s="10" t="inlineStr">
        <is>
          <t>野口</t>
        </is>
      </c>
      <c r="J267" s="10" t="inlineStr">
        <is>
          <t>藤原</t>
        </is>
      </c>
      <c r="K267" s="10" t="inlineStr">
        <is>
          <t>河野</t>
        </is>
      </c>
      <c r="L267" s="10" t="inlineStr">
        <is>
          <t>山田久</t>
        </is>
      </c>
      <c r="M267" s="10" t="inlineStr">
        <is>
          <t>大川内</t>
        </is>
      </c>
      <c r="N267" s="10" t="inlineStr">
        <is>
          <t>山本幸</t>
        </is>
      </c>
      <c r="O267" s="10" t="inlineStr">
        <is>
          <t>横田</t>
        </is>
      </c>
      <c r="P267" s="10" t="inlineStr">
        <is>
          <t>安村</t>
        </is>
      </c>
      <c r="Q267" s="10" t="inlineStr">
        <is>
          <t>門谷</t>
        </is>
      </c>
      <c r="R267" s="10" t="inlineStr">
        <is>
          <t>欠員①</t>
        </is>
      </c>
      <c r="S267" s="10" t="inlineStr">
        <is>
          <t>中村</t>
        </is>
      </c>
      <c r="T267" s="10" t="inlineStr">
        <is>
          <t>欠員②</t>
        </is>
      </c>
      <c r="U267" s="10" t="inlineStr">
        <is>
          <t>矢田</t>
        </is>
      </c>
      <c r="V267" s="10" t="inlineStr">
        <is>
          <t>馬場</t>
        </is>
      </c>
      <c r="W267" s="10" t="inlineStr">
        <is>
          <t>岩田</t>
        </is>
      </c>
      <c r="X267" s="10" t="inlineStr">
        <is>
          <t>北川</t>
        </is>
      </c>
      <c r="Y267" s="10" t="inlineStr">
        <is>
          <t>横山</t>
        </is>
      </c>
      <c r="Z267" s="10" t="inlineStr">
        <is>
          <t>上野</t>
        </is>
      </c>
      <c r="AA267" s="10" t="inlineStr">
        <is>
          <t>山本高</t>
        </is>
      </c>
      <c r="AB267" s="10" t="inlineStr">
        <is>
          <t>柴田</t>
        </is>
      </c>
      <c r="AC267" s="10" t="inlineStr">
        <is>
          <t>田中</t>
        </is>
      </c>
      <c r="AD267" s="10" t="inlineStr">
        <is>
          <t>市田</t>
        </is>
      </c>
      <c r="AE267" s="10" t="inlineStr">
        <is>
          <t>上田</t>
        </is>
      </c>
      <c r="AF267" s="10" t="inlineStr">
        <is>
          <t>富島</t>
        </is>
      </c>
      <c r="AG267" s="10" t="inlineStr">
        <is>
          <t>西村</t>
        </is>
      </c>
      <c r="AH267" s="10" t="inlineStr">
        <is>
          <t>尾川</t>
        </is>
      </c>
      <c r="AI267" s="10" t="inlineStr">
        <is>
          <t>中山</t>
        </is>
      </c>
      <c r="AJ267" s="10" t="inlineStr">
        <is>
          <t>植山</t>
        </is>
      </c>
      <c r="AK267" s="10" t="inlineStr">
        <is>
          <t>丸田</t>
        </is>
      </c>
      <c r="AL267" s="10" t="inlineStr">
        <is>
          <t>岡本</t>
        </is>
      </c>
      <c r="AM267" s="10" t="inlineStr">
        <is>
          <t>山田真</t>
        </is>
      </c>
      <c r="AN267" s="10" t="inlineStr">
        <is>
          <t>栗下</t>
        </is>
      </c>
      <c r="AO267" s="10" t="inlineStr">
        <is>
          <t>井川</t>
        </is>
      </c>
      <c r="AP267" s="10" t="inlineStr">
        <is>
          <t>佐野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6" customWidth="1" style="37" min="1" max="2"/>
    <col width="8" customWidth="1" style="37" min="3" max="5"/>
    <col width="22" customWidth="1" style="37" min="6" max="6"/>
  </cols>
  <sheetData>
    <row r="1" ht="15" customHeight="1" s="37">
      <c r="A1" s="11" t="inlineStr">
        <is>
          <t>系統</t>
        </is>
      </c>
      <c r="B1" s="11" t="inlineStr">
        <is>
          <t>区分</t>
        </is>
      </c>
      <c r="C1" s="11" t="inlineStr">
        <is>
          <t>勤務</t>
        </is>
      </c>
      <c r="D1" s="11" t="inlineStr">
        <is>
          <t>出勤</t>
        </is>
      </c>
      <c r="E1" s="11" t="inlineStr">
        <is>
          <t>退勤</t>
        </is>
      </c>
      <c r="F1" s="11" t="inlineStr">
        <is>
          <t>備考</t>
        </is>
      </c>
    </row>
    <row r="2" ht="15" customHeight="1" s="37">
      <c r="A2" s="12" t="inlineStr">
        <is>
          <t>1</t>
        </is>
      </c>
      <c r="B2" s="13" t="inlineStr">
        <is>
          <t>平日</t>
        </is>
      </c>
      <c r="C2" s="13" t="inlineStr">
        <is>
          <t>通常</t>
        </is>
      </c>
      <c r="D2" s="12" t="inlineStr">
        <is>
          <t>05:25</t>
        </is>
      </c>
      <c r="E2" s="12" t="inlineStr">
        <is>
          <t>14:15</t>
        </is>
      </c>
      <c r="F2" s="14" t="n"/>
    </row>
    <row r="3" ht="15" customHeight="1" s="37">
      <c r="A3" s="12" t="inlineStr">
        <is>
          <t>1</t>
        </is>
      </c>
      <c r="B3" s="13" t="inlineStr">
        <is>
          <t>休日</t>
        </is>
      </c>
      <c r="C3" s="13" t="inlineStr">
        <is>
          <t>通常</t>
        </is>
      </c>
      <c r="D3" s="12" t="inlineStr">
        <is>
          <t>05:10</t>
        </is>
      </c>
      <c r="E3" s="12" t="inlineStr">
        <is>
          <t>13:55</t>
        </is>
      </c>
      <c r="F3" s="14" t="n"/>
    </row>
    <row r="4" ht="15" customHeight="1" s="37">
      <c r="A4" s="12" t="inlineStr">
        <is>
          <t>2</t>
        </is>
      </c>
      <c r="B4" s="13" t="inlineStr">
        <is>
          <t>平日</t>
        </is>
      </c>
      <c r="C4" s="13" t="inlineStr">
        <is>
          <t>通常</t>
        </is>
      </c>
      <c r="D4" s="12" t="inlineStr">
        <is>
          <t>05:40</t>
        </is>
      </c>
      <c r="E4" s="12" t="inlineStr">
        <is>
          <t>14:35</t>
        </is>
      </c>
      <c r="F4" s="14" t="n"/>
    </row>
    <row r="5" ht="15" customHeight="1" s="37">
      <c r="A5" s="12" t="inlineStr">
        <is>
          <t>2</t>
        </is>
      </c>
      <c r="B5" s="13" t="inlineStr">
        <is>
          <t>休日</t>
        </is>
      </c>
      <c r="C5" s="13" t="inlineStr">
        <is>
          <t>通常</t>
        </is>
      </c>
      <c r="D5" s="12" t="inlineStr">
        <is>
          <t>05:25</t>
        </is>
      </c>
      <c r="E5" s="12" t="inlineStr">
        <is>
          <t>14:15</t>
        </is>
      </c>
      <c r="F5" s="14" t="n"/>
    </row>
    <row r="6" ht="15" customHeight="1" s="37">
      <c r="A6" s="12" t="inlineStr">
        <is>
          <t>3</t>
        </is>
      </c>
      <c r="B6" s="13" t="inlineStr">
        <is>
          <t>平日</t>
        </is>
      </c>
      <c r="C6" s="13" t="inlineStr">
        <is>
          <t>通常</t>
        </is>
      </c>
      <c r="D6" s="12" t="inlineStr">
        <is>
          <t>05:40</t>
        </is>
      </c>
      <c r="E6" s="12" t="inlineStr">
        <is>
          <t>14:45</t>
        </is>
      </c>
      <c r="F6" s="14" t="n"/>
    </row>
    <row r="7" ht="15" customHeight="1" s="37">
      <c r="A7" s="12" t="inlineStr">
        <is>
          <t>3</t>
        </is>
      </c>
      <c r="B7" s="13" t="inlineStr">
        <is>
          <t>休日</t>
        </is>
      </c>
      <c r="C7" s="13" t="inlineStr">
        <is>
          <t>通常</t>
        </is>
      </c>
      <c r="D7" s="12" t="inlineStr">
        <is>
          <t>05:40</t>
        </is>
      </c>
      <c r="E7" s="12" t="inlineStr">
        <is>
          <t>14:25</t>
        </is>
      </c>
      <c r="F7" s="14" t="n"/>
    </row>
    <row r="8" ht="15" customHeight="1" s="37">
      <c r="A8" s="12" t="inlineStr">
        <is>
          <t>4</t>
        </is>
      </c>
      <c r="B8" s="13" t="inlineStr">
        <is>
          <t>平日</t>
        </is>
      </c>
      <c r="C8" s="13" t="inlineStr">
        <is>
          <t>通常</t>
        </is>
      </c>
      <c r="D8" s="12" t="inlineStr">
        <is>
          <t>06:00</t>
        </is>
      </c>
      <c r="E8" s="12" t="inlineStr">
        <is>
          <t>15:05</t>
        </is>
      </c>
      <c r="F8" s="14" t="n"/>
    </row>
    <row r="9" ht="15" customHeight="1" s="37">
      <c r="A9" s="12" t="inlineStr">
        <is>
          <t>4</t>
        </is>
      </c>
      <c r="B9" s="13" t="inlineStr">
        <is>
          <t>休日</t>
        </is>
      </c>
      <c r="C9" s="13" t="inlineStr">
        <is>
          <t>通常</t>
        </is>
      </c>
      <c r="D9" s="12" t="inlineStr">
        <is>
          <t>05:40</t>
        </is>
      </c>
      <c r="E9" s="12" t="inlineStr">
        <is>
          <t>14:45</t>
        </is>
      </c>
      <c r="F9" s="14" t="n"/>
    </row>
    <row r="10" ht="15" customHeight="1" s="37">
      <c r="A10" s="12" t="inlineStr">
        <is>
          <t>5</t>
        </is>
      </c>
      <c r="B10" s="13" t="inlineStr">
        <is>
          <t>平日</t>
        </is>
      </c>
      <c r="C10" s="13" t="inlineStr">
        <is>
          <t>通常</t>
        </is>
      </c>
      <c r="D10" s="12" t="inlineStr">
        <is>
          <t>06:15</t>
        </is>
      </c>
      <c r="E10" s="12" t="inlineStr">
        <is>
          <t>15:25</t>
        </is>
      </c>
      <c r="F10" s="14" t="n"/>
    </row>
    <row r="11" ht="15" customHeight="1" s="37">
      <c r="A11" s="12" t="inlineStr">
        <is>
          <t>5</t>
        </is>
      </c>
      <c r="B11" s="13" t="inlineStr">
        <is>
          <t>休日</t>
        </is>
      </c>
      <c r="C11" s="13" t="inlineStr">
        <is>
          <t>通常</t>
        </is>
      </c>
      <c r="D11" s="12" t="inlineStr">
        <is>
          <t>06:15</t>
        </is>
      </c>
      <c r="E11" s="12" t="inlineStr">
        <is>
          <t>15:05</t>
        </is>
      </c>
      <c r="F11" s="14" t="n"/>
    </row>
    <row r="12" ht="15" customHeight="1" s="37">
      <c r="A12" s="12" t="inlineStr">
        <is>
          <t>6</t>
        </is>
      </c>
      <c r="B12" s="13" t="inlineStr">
        <is>
          <t>平日</t>
        </is>
      </c>
      <c r="C12" s="13" t="inlineStr">
        <is>
          <t>通常</t>
        </is>
      </c>
      <c r="D12" s="12" t="inlineStr">
        <is>
          <t>06:35</t>
        </is>
      </c>
      <c r="E12" s="12" t="inlineStr">
        <is>
          <t>15:55</t>
        </is>
      </c>
      <c r="F12" s="14" t="n"/>
    </row>
    <row r="13" ht="15" customHeight="1" s="37">
      <c r="A13" s="12" t="inlineStr">
        <is>
          <t>6</t>
        </is>
      </c>
      <c r="B13" s="13" t="inlineStr">
        <is>
          <t>休日</t>
        </is>
      </c>
      <c r="C13" s="13" t="inlineStr">
        <is>
          <t>通常</t>
        </is>
      </c>
      <c r="D13" s="12" t="inlineStr">
        <is>
          <t>06:35</t>
        </is>
      </c>
      <c r="E13" s="12" t="inlineStr">
        <is>
          <t>15:35</t>
        </is>
      </c>
      <c r="F13" s="14" t="n"/>
    </row>
    <row r="14" ht="15" customHeight="1" s="37">
      <c r="A14" s="12" t="inlineStr">
        <is>
          <t>7</t>
        </is>
      </c>
      <c r="B14" s="13" t="inlineStr">
        <is>
          <t>平日</t>
        </is>
      </c>
      <c r="C14" s="13" t="inlineStr">
        <is>
          <t>通常</t>
        </is>
      </c>
      <c r="D14" s="12" t="inlineStr">
        <is>
          <t>08:45</t>
        </is>
      </c>
      <c r="E14" s="12" t="inlineStr">
        <is>
          <t>17:35</t>
        </is>
      </c>
      <c r="F14" s="14" t="n"/>
    </row>
    <row r="15" ht="15" customHeight="1" s="37">
      <c r="A15" s="12" t="inlineStr">
        <is>
          <t>7</t>
        </is>
      </c>
      <c r="B15" s="13" t="inlineStr">
        <is>
          <t>休日</t>
        </is>
      </c>
      <c r="C15" s="13" t="inlineStr">
        <is>
          <t>通常</t>
        </is>
      </c>
      <c r="D15" s="12" t="inlineStr">
        <is>
          <t>08:45</t>
        </is>
      </c>
      <c r="E15" s="12" t="inlineStr">
        <is>
          <t>17:25</t>
        </is>
      </c>
      <c r="F15" s="14" t="n"/>
    </row>
    <row r="16" ht="16.5" customHeight="1" s="37">
      <c r="A16" s="15" t="inlineStr">
        <is>
          <t>8</t>
        </is>
      </c>
      <c r="B16" s="16" t="inlineStr">
        <is>
          <t>平日</t>
        </is>
      </c>
      <c r="C16" s="15" t="inlineStr">
        <is>
          <t>1回目</t>
        </is>
      </c>
      <c r="D16" s="15" t="inlineStr">
        <is>
          <t>05:10</t>
        </is>
      </c>
      <c r="E16" s="15" t="inlineStr">
        <is>
          <t>08:50</t>
        </is>
      </c>
      <c r="F16" s="17" t="inlineStr">
        <is>
          <t>中休勤務(2回出勤)</t>
        </is>
      </c>
    </row>
    <row r="17" ht="16.5" customHeight="1" s="37">
      <c r="A17" s="15" t="inlineStr">
        <is>
          <t>8</t>
        </is>
      </c>
      <c r="B17" s="16" t="inlineStr">
        <is>
          <t>平日</t>
        </is>
      </c>
      <c r="C17" s="15" t="inlineStr">
        <is>
          <t>2回目</t>
        </is>
      </c>
      <c r="D17" s="15" t="inlineStr">
        <is>
          <t>17:25</t>
        </is>
      </c>
      <c r="E17" s="15" t="inlineStr">
        <is>
          <t>21:55</t>
        </is>
      </c>
      <c r="F17" s="17" t="inlineStr">
        <is>
          <t>中休勤務(2回出勤)</t>
        </is>
      </c>
    </row>
    <row r="18" ht="16.5" customHeight="1" s="37">
      <c r="A18" s="15" t="inlineStr">
        <is>
          <t>8</t>
        </is>
      </c>
      <c r="B18" s="16" t="inlineStr">
        <is>
          <t>休日</t>
        </is>
      </c>
      <c r="C18" s="15" t="inlineStr">
        <is>
          <t>1回目</t>
        </is>
      </c>
      <c r="D18" s="15" t="inlineStr">
        <is>
          <t>08:15</t>
        </is>
      </c>
      <c r="E18" s="15" t="inlineStr">
        <is>
          <t>12:35</t>
        </is>
      </c>
      <c r="F18" s="17" t="inlineStr">
        <is>
          <t>中休勤務(2回出勤)</t>
        </is>
      </c>
    </row>
    <row r="19" ht="16.5" customHeight="1" s="37">
      <c r="A19" s="15" t="inlineStr">
        <is>
          <t>8</t>
        </is>
      </c>
      <c r="B19" s="16" t="inlineStr">
        <is>
          <t>休日</t>
        </is>
      </c>
      <c r="C19" s="15" t="inlineStr">
        <is>
          <t>2回目</t>
        </is>
      </c>
      <c r="D19" s="15" t="inlineStr">
        <is>
          <t>17:25</t>
        </is>
      </c>
      <c r="E19" s="15" t="inlineStr">
        <is>
          <t>20:30</t>
        </is>
      </c>
      <c r="F19" s="17" t="inlineStr">
        <is>
          <t>中休勤務(2回出勤)</t>
        </is>
      </c>
    </row>
    <row r="20" ht="16.5" customHeight="1" s="37">
      <c r="A20" s="15" t="inlineStr">
        <is>
          <t>9</t>
        </is>
      </c>
      <c r="B20" s="16" t="inlineStr">
        <is>
          <t>平日</t>
        </is>
      </c>
      <c r="C20" s="15" t="inlineStr">
        <is>
          <t>1回目</t>
        </is>
      </c>
      <c r="D20" s="15" t="inlineStr">
        <is>
          <t>09:05</t>
        </is>
      </c>
      <c r="E20" s="15" t="inlineStr">
        <is>
          <t>13:25</t>
        </is>
      </c>
      <c r="F20" s="17" t="inlineStr">
        <is>
          <t>中休勤務(2回出勤)</t>
        </is>
      </c>
    </row>
    <row r="21" ht="16.5" customHeight="1" s="37">
      <c r="A21" s="15" t="inlineStr">
        <is>
          <t>9</t>
        </is>
      </c>
      <c r="B21" s="16" t="inlineStr">
        <is>
          <t>平日</t>
        </is>
      </c>
      <c r="C21" s="15" t="inlineStr">
        <is>
          <t>2回目</t>
        </is>
      </c>
      <c r="D21" s="15" t="inlineStr">
        <is>
          <t>17:45</t>
        </is>
      </c>
      <c r="E21" s="15" t="inlineStr">
        <is>
          <t>21:05</t>
        </is>
      </c>
      <c r="F21" s="17" t="inlineStr">
        <is>
          <t>中休勤務(2回出勤)</t>
        </is>
      </c>
    </row>
    <row r="22" ht="15" customHeight="1" s="37">
      <c r="A22" s="12" t="inlineStr">
        <is>
          <t>9</t>
        </is>
      </c>
      <c r="B22" s="13" t="inlineStr">
        <is>
          <t>休日</t>
        </is>
      </c>
      <c r="C22" s="13" t="inlineStr">
        <is>
          <t>通常</t>
        </is>
      </c>
      <c r="D22" s="12" t="inlineStr">
        <is>
          <t>13:35</t>
        </is>
      </c>
      <c r="E22" s="12" t="inlineStr">
        <is>
          <t>22:15</t>
        </is>
      </c>
      <c r="F22" s="14" t="n"/>
    </row>
    <row r="23" ht="15" customHeight="1" s="37">
      <c r="A23" s="12" t="inlineStr">
        <is>
          <t>10</t>
        </is>
      </c>
      <c r="B23" s="13" t="inlineStr">
        <is>
          <t>平日</t>
        </is>
      </c>
      <c r="C23" s="13" t="inlineStr">
        <is>
          <t>通常</t>
        </is>
      </c>
      <c r="D23" s="12" t="inlineStr">
        <is>
          <t>13:55</t>
        </is>
      </c>
      <c r="E23" s="12" t="inlineStr">
        <is>
          <t>22:40</t>
        </is>
      </c>
      <c r="F23" s="14" t="n"/>
    </row>
    <row r="24" ht="15" customHeight="1" s="37">
      <c r="A24" s="12" t="inlineStr">
        <is>
          <t>10</t>
        </is>
      </c>
      <c r="B24" s="13" t="inlineStr">
        <is>
          <t>休日</t>
        </is>
      </c>
      <c r="C24" s="13" t="inlineStr">
        <is>
          <t>通常</t>
        </is>
      </c>
      <c r="D24" s="12" t="inlineStr">
        <is>
          <t>13:55</t>
        </is>
      </c>
      <c r="E24" s="12" t="inlineStr">
        <is>
          <t>22:25</t>
        </is>
      </c>
      <c r="F24" s="14" t="n"/>
    </row>
    <row r="25" ht="15" customHeight="1" s="37">
      <c r="A25" s="12" t="inlineStr">
        <is>
          <t>11</t>
        </is>
      </c>
      <c r="B25" s="13" t="inlineStr">
        <is>
          <t>平日</t>
        </is>
      </c>
      <c r="C25" s="13" t="inlineStr">
        <is>
          <t>通常</t>
        </is>
      </c>
      <c r="D25" s="12" t="inlineStr">
        <is>
          <t>14:25</t>
        </is>
      </c>
      <c r="E25" s="12" t="inlineStr">
        <is>
          <t>23:00</t>
        </is>
      </c>
      <c r="F25" s="14" t="n"/>
    </row>
    <row r="26" ht="15" customHeight="1" s="37">
      <c r="A26" s="12" t="inlineStr">
        <is>
          <t>11</t>
        </is>
      </c>
      <c r="B26" s="13" t="inlineStr">
        <is>
          <t>休日</t>
        </is>
      </c>
      <c r="C26" s="13" t="inlineStr">
        <is>
          <t>通常</t>
        </is>
      </c>
      <c r="D26" s="12" t="inlineStr">
        <is>
          <t>14:25</t>
        </is>
      </c>
      <c r="E26" s="12" t="inlineStr">
        <is>
          <t>23:00</t>
        </is>
      </c>
      <c r="F26" s="14" t="n"/>
    </row>
    <row r="27" ht="15" customHeight="1" s="37">
      <c r="A27" s="12" t="inlineStr">
        <is>
          <t>12</t>
        </is>
      </c>
      <c r="B27" s="13" t="inlineStr">
        <is>
          <t>平日</t>
        </is>
      </c>
      <c r="C27" s="13" t="inlineStr">
        <is>
          <t>通常</t>
        </is>
      </c>
      <c r="D27" s="12" t="inlineStr">
        <is>
          <t>14:45</t>
        </is>
      </c>
      <c r="E27" s="12" t="inlineStr">
        <is>
          <t>23:55</t>
        </is>
      </c>
      <c r="F27" s="14" t="n"/>
    </row>
    <row r="28" ht="15" customHeight="1" s="37">
      <c r="A28" s="12" t="inlineStr">
        <is>
          <t>12</t>
        </is>
      </c>
      <c r="B28" s="13" t="inlineStr">
        <is>
          <t>休日</t>
        </is>
      </c>
      <c r="C28" s="13" t="inlineStr">
        <is>
          <t>通常</t>
        </is>
      </c>
      <c r="D28" s="12" t="inlineStr">
        <is>
          <t>14:45</t>
        </is>
      </c>
      <c r="E28" s="12" t="inlineStr">
        <is>
          <t>23:55</t>
        </is>
      </c>
      <c r="F28" s="14" t="n"/>
    </row>
    <row r="29" ht="15" customHeight="1" s="37">
      <c r="A29" s="12" t="inlineStr">
        <is>
          <t>13</t>
        </is>
      </c>
      <c r="B29" s="13" t="inlineStr">
        <is>
          <t>平日</t>
        </is>
      </c>
      <c r="C29" s="13" t="inlineStr">
        <is>
          <t>通常</t>
        </is>
      </c>
      <c r="D29" s="12" t="inlineStr">
        <is>
          <t>15:05</t>
        </is>
      </c>
      <c r="E29" s="12" t="inlineStr">
        <is>
          <t>00:05</t>
        </is>
      </c>
      <c r="F29" s="18" t="inlineStr">
        <is>
          <t>退勤翌日</t>
        </is>
      </c>
    </row>
    <row r="30" ht="15" customHeight="1" s="37">
      <c r="A30" s="12" t="inlineStr">
        <is>
          <t>13</t>
        </is>
      </c>
      <c r="B30" s="13" t="inlineStr">
        <is>
          <t>休日</t>
        </is>
      </c>
      <c r="C30" s="13" t="inlineStr">
        <is>
          <t>通常</t>
        </is>
      </c>
      <c r="D30" s="12" t="inlineStr">
        <is>
          <t>15:15</t>
        </is>
      </c>
      <c r="E30" s="12" t="inlineStr">
        <is>
          <t>00:05</t>
        </is>
      </c>
      <c r="F30" s="18" t="inlineStr">
        <is>
          <t>退勤翌日</t>
        </is>
      </c>
    </row>
    <row r="31" ht="15" customHeight="1" s="37">
      <c r="A31" s="12" t="inlineStr">
        <is>
          <t>14</t>
        </is>
      </c>
      <c r="B31" s="13" t="inlineStr">
        <is>
          <t>平日</t>
        </is>
      </c>
      <c r="C31" s="13" t="inlineStr">
        <is>
          <t>通常</t>
        </is>
      </c>
      <c r="D31" s="12" t="inlineStr">
        <is>
          <t>15:35</t>
        </is>
      </c>
      <c r="E31" s="12" t="inlineStr">
        <is>
          <t>00:20</t>
        </is>
      </c>
      <c r="F31" s="18" t="inlineStr">
        <is>
          <t>退勤翌日</t>
        </is>
      </c>
    </row>
    <row r="32" ht="15" customHeight="1" s="37">
      <c r="A32" s="12" t="inlineStr">
        <is>
          <t>14</t>
        </is>
      </c>
      <c r="B32" s="13" t="inlineStr">
        <is>
          <t>休日</t>
        </is>
      </c>
      <c r="C32" s="13" t="inlineStr">
        <is>
          <t>通常</t>
        </is>
      </c>
      <c r="D32" s="12" t="inlineStr">
        <is>
          <t>15:35</t>
        </is>
      </c>
      <c r="E32" s="12" t="inlineStr">
        <is>
          <t>00:20</t>
        </is>
      </c>
      <c r="F32" s="18" t="inlineStr">
        <is>
          <t>退勤翌日</t>
        </is>
      </c>
    </row>
    <row r="33" ht="15" customHeight="1" s="37">
      <c r="A33" s="12" t="inlineStr">
        <is>
          <t>15</t>
        </is>
      </c>
      <c r="B33" s="13" t="inlineStr">
        <is>
          <t>平日</t>
        </is>
      </c>
      <c r="C33" s="13" t="inlineStr">
        <is>
          <t>通常</t>
        </is>
      </c>
      <c r="D33" s="12" t="inlineStr">
        <is>
          <t>15:55</t>
        </is>
      </c>
      <c r="E33" s="12" t="inlineStr">
        <is>
          <t>00:40</t>
        </is>
      </c>
      <c r="F33" s="18" t="inlineStr">
        <is>
          <t>退勤翌日</t>
        </is>
      </c>
    </row>
    <row r="34" ht="15" customHeight="1" s="37">
      <c r="A34" s="12" t="inlineStr">
        <is>
          <t>15</t>
        </is>
      </c>
      <c r="B34" s="13" t="inlineStr">
        <is>
          <t>休日</t>
        </is>
      </c>
      <c r="C34" s="13" t="inlineStr">
        <is>
          <t>通常</t>
        </is>
      </c>
      <c r="D34" s="12" t="inlineStr">
        <is>
          <t>17:05</t>
        </is>
      </c>
      <c r="E34" s="12" t="inlineStr">
        <is>
          <t>00:40</t>
        </is>
      </c>
      <c r="F34" s="18" t="inlineStr">
        <is>
          <t>退勤翌日</t>
        </is>
      </c>
    </row>
    <row r="35" ht="15" customHeight="1" s="37">
      <c r="A35" s="12" t="inlineStr">
        <is>
          <t>16</t>
        </is>
      </c>
      <c r="B35" s="13" t="inlineStr">
        <is>
          <t>平日</t>
        </is>
      </c>
      <c r="C35" s="13" t="inlineStr">
        <is>
          <t>通常</t>
        </is>
      </c>
      <c r="D35" s="12" t="inlineStr">
        <is>
          <t>05:10</t>
        </is>
      </c>
      <c r="E35" s="12" t="inlineStr">
        <is>
          <t>14:15</t>
        </is>
      </c>
      <c r="F35" s="14" t="n"/>
    </row>
    <row r="36" ht="15" customHeight="1" s="37">
      <c r="A36" s="12" t="inlineStr">
        <is>
          <t>16</t>
        </is>
      </c>
      <c r="B36" s="13" t="inlineStr">
        <is>
          <t>休日</t>
        </is>
      </c>
      <c r="C36" s="13" t="inlineStr">
        <is>
          <t>通常</t>
        </is>
      </c>
      <c r="D36" s="12" t="inlineStr">
        <is>
          <t>05:10</t>
        </is>
      </c>
      <c r="E36" s="12" t="inlineStr">
        <is>
          <t>14:05</t>
        </is>
      </c>
      <c r="F36" s="14" t="n"/>
    </row>
    <row r="37" ht="15" customHeight="1" s="37">
      <c r="A37" s="12" t="inlineStr">
        <is>
          <t>17</t>
        </is>
      </c>
      <c r="B37" s="13" t="inlineStr">
        <is>
          <t>平日</t>
        </is>
      </c>
      <c r="C37" s="13" t="inlineStr">
        <is>
          <t>通常</t>
        </is>
      </c>
      <c r="D37" s="12" t="inlineStr">
        <is>
          <t>05:20</t>
        </is>
      </c>
      <c r="E37" s="12" t="inlineStr">
        <is>
          <t>14:35</t>
        </is>
      </c>
      <c r="F37" s="14" t="n"/>
    </row>
    <row r="38" ht="15" customHeight="1" s="37">
      <c r="A38" s="12" t="inlineStr">
        <is>
          <t>17</t>
        </is>
      </c>
      <c r="B38" s="13" t="inlineStr">
        <is>
          <t>休日</t>
        </is>
      </c>
      <c r="C38" s="13" t="inlineStr">
        <is>
          <t>通常</t>
        </is>
      </c>
      <c r="D38" s="12" t="inlineStr">
        <is>
          <t>05:20</t>
        </is>
      </c>
      <c r="E38" s="12" t="inlineStr">
        <is>
          <t>14:15</t>
        </is>
      </c>
      <c r="F38" s="14" t="n"/>
    </row>
    <row r="39" ht="15" customHeight="1" s="37">
      <c r="A39" s="12" t="inlineStr">
        <is>
          <t>18</t>
        </is>
      </c>
      <c r="B39" s="13" t="inlineStr">
        <is>
          <t>平日</t>
        </is>
      </c>
      <c r="C39" s="13" t="inlineStr">
        <is>
          <t>通常</t>
        </is>
      </c>
      <c r="D39" s="12" t="inlineStr">
        <is>
          <t>06:20</t>
        </is>
      </c>
      <c r="E39" s="12" t="inlineStr">
        <is>
          <t>15:45</t>
        </is>
      </c>
      <c r="F39" s="14" t="n"/>
    </row>
    <row r="40" ht="15" customHeight="1" s="37">
      <c r="A40" s="12" t="inlineStr">
        <is>
          <t>18</t>
        </is>
      </c>
      <c r="B40" s="13" t="inlineStr">
        <is>
          <t>休日</t>
        </is>
      </c>
      <c r="C40" s="13" t="inlineStr">
        <is>
          <t>通常</t>
        </is>
      </c>
      <c r="D40" s="12" t="inlineStr">
        <is>
          <t>06:30</t>
        </is>
      </c>
      <c r="E40" s="12" t="inlineStr">
        <is>
          <t>15:05</t>
        </is>
      </c>
      <c r="F40" s="14" t="n"/>
    </row>
    <row r="41" ht="15" customHeight="1" s="37">
      <c r="A41" s="12" t="inlineStr">
        <is>
          <t>19</t>
        </is>
      </c>
      <c r="B41" s="13" t="inlineStr">
        <is>
          <t>平日</t>
        </is>
      </c>
      <c r="C41" s="13" t="inlineStr">
        <is>
          <t>通常</t>
        </is>
      </c>
      <c r="D41" s="12" t="inlineStr">
        <is>
          <t>06:30</t>
        </is>
      </c>
      <c r="E41" s="12" t="inlineStr">
        <is>
          <t>16:05</t>
        </is>
      </c>
      <c r="F41" s="14" t="n"/>
    </row>
    <row r="42" ht="15" customHeight="1" s="37">
      <c r="A42" s="12" t="inlineStr">
        <is>
          <t>19</t>
        </is>
      </c>
      <c r="B42" s="13" t="inlineStr">
        <is>
          <t>休日</t>
        </is>
      </c>
      <c r="C42" s="13" t="inlineStr">
        <is>
          <t>通常</t>
        </is>
      </c>
      <c r="D42" s="12" t="inlineStr">
        <is>
          <t>06:50</t>
        </is>
      </c>
      <c r="E42" s="12" t="inlineStr">
        <is>
          <t>15:55</t>
        </is>
      </c>
      <c r="F42" s="14" t="n"/>
    </row>
    <row r="43" ht="16.5" customHeight="1" s="37">
      <c r="A43" s="15" t="inlineStr">
        <is>
          <t>20</t>
        </is>
      </c>
      <c r="B43" s="16" t="inlineStr">
        <is>
          <t>平日</t>
        </is>
      </c>
      <c r="C43" s="15" t="inlineStr">
        <is>
          <t>1回目</t>
        </is>
      </c>
      <c r="D43" s="15" t="inlineStr">
        <is>
          <t>06:50</t>
        </is>
      </c>
      <c r="E43" s="15" t="inlineStr">
        <is>
          <t>10:45</t>
        </is>
      </c>
      <c r="F43" s="17" t="inlineStr">
        <is>
          <t>中休勤務(2回出勤)</t>
        </is>
      </c>
    </row>
    <row r="44" ht="16.5" customHeight="1" s="37">
      <c r="A44" s="15" t="inlineStr">
        <is>
          <t>20</t>
        </is>
      </c>
      <c r="B44" s="16" t="inlineStr">
        <is>
          <t>平日</t>
        </is>
      </c>
      <c r="C44" s="15" t="inlineStr">
        <is>
          <t>2回目</t>
        </is>
      </c>
      <c r="D44" s="15" t="inlineStr">
        <is>
          <t>15:15</t>
        </is>
      </c>
      <c r="E44" s="15" t="inlineStr">
        <is>
          <t>20:15</t>
        </is>
      </c>
      <c r="F44" s="17" t="inlineStr">
        <is>
          <t>中休勤務(2回出勤)</t>
        </is>
      </c>
    </row>
    <row r="45" ht="16.5" customHeight="1" s="37">
      <c r="A45" s="15" t="inlineStr">
        <is>
          <t>20</t>
        </is>
      </c>
      <c r="B45" s="16" t="inlineStr">
        <is>
          <t>休日</t>
        </is>
      </c>
      <c r="C45" s="15" t="inlineStr">
        <is>
          <t>1回目</t>
        </is>
      </c>
      <c r="D45" s="15" t="inlineStr">
        <is>
          <t>08:25</t>
        </is>
      </c>
      <c r="E45" s="15" t="inlineStr">
        <is>
          <t>12:35</t>
        </is>
      </c>
      <c r="F45" s="17" t="inlineStr">
        <is>
          <t>中休勤務(2回出勤)</t>
        </is>
      </c>
    </row>
    <row r="46" ht="16.5" customHeight="1" s="37">
      <c r="A46" s="15" t="inlineStr">
        <is>
          <t>20</t>
        </is>
      </c>
      <c r="B46" s="16" t="inlineStr">
        <is>
          <t>休日</t>
        </is>
      </c>
      <c r="C46" s="15" t="inlineStr">
        <is>
          <t>2回目</t>
        </is>
      </c>
      <c r="D46" s="15" t="inlineStr">
        <is>
          <t>16:35</t>
        </is>
      </c>
      <c r="E46" s="15" t="inlineStr">
        <is>
          <t>21:30</t>
        </is>
      </c>
      <c r="F46" s="17" t="inlineStr">
        <is>
          <t>中休勤務(2回出勤)</t>
        </is>
      </c>
    </row>
    <row r="47" ht="16.5" customHeight="1" s="37">
      <c r="A47" s="15" t="inlineStr">
        <is>
          <t>21</t>
        </is>
      </c>
      <c r="B47" s="16" t="inlineStr">
        <is>
          <t>平日</t>
        </is>
      </c>
      <c r="C47" s="15" t="inlineStr">
        <is>
          <t>1回目</t>
        </is>
      </c>
      <c r="D47" s="15" t="inlineStr">
        <is>
          <t>09:55</t>
        </is>
      </c>
      <c r="E47" s="15" t="inlineStr">
        <is>
          <t>13:35</t>
        </is>
      </c>
      <c r="F47" s="17" t="inlineStr">
        <is>
          <t>中休勤務(2回出勤)</t>
        </is>
      </c>
    </row>
    <row r="48" ht="16.5" customHeight="1" s="37">
      <c r="A48" s="15" t="inlineStr">
        <is>
          <t>21</t>
        </is>
      </c>
      <c r="B48" s="16" t="inlineStr">
        <is>
          <t>平日</t>
        </is>
      </c>
      <c r="C48" s="15" t="inlineStr">
        <is>
          <t>2回目</t>
        </is>
      </c>
      <c r="D48" s="15" t="inlineStr">
        <is>
          <t>16:05</t>
        </is>
      </c>
      <c r="E48" s="15" t="inlineStr">
        <is>
          <t>21:45</t>
        </is>
      </c>
      <c r="F48" s="17" t="inlineStr">
        <is>
          <t>中休勤務(2回出勤)</t>
        </is>
      </c>
    </row>
    <row r="49" ht="15" customHeight="1" s="37">
      <c r="A49" s="12" t="inlineStr">
        <is>
          <t>21</t>
        </is>
      </c>
      <c r="B49" s="13" t="inlineStr">
        <is>
          <t>休日</t>
        </is>
      </c>
      <c r="C49" s="13" t="inlineStr">
        <is>
          <t>通常</t>
        </is>
      </c>
      <c r="D49" s="12" t="inlineStr">
        <is>
          <t>13:15</t>
        </is>
      </c>
      <c r="E49" s="12" t="inlineStr">
        <is>
          <t>21:45</t>
        </is>
      </c>
      <c r="F49" s="14" t="n"/>
    </row>
    <row r="50" ht="15" customHeight="1" s="37">
      <c r="A50" s="12" t="inlineStr">
        <is>
          <t>22</t>
        </is>
      </c>
      <c r="B50" s="13" t="inlineStr">
        <is>
          <t>平日</t>
        </is>
      </c>
      <c r="C50" s="13" t="inlineStr">
        <is>
          <t>通常</t>
        </is>
      </c>
      <c r="D50" s="12" t="inlineStr">
        <is>
          <t>13:25</t>
        </is>
      </c>
      <c r="E50" s="12" t="inlineStr">
        <is>
          <t>22:35</t>
        </is>
      </c>
      <c r="F50" s="14" t="n"/>
    </row>
    <row r="51" ht="15" customHeight="1" s="37">
      <c r="A51" s="12" t="inlineStr">
        <is>
          <t>22</t>
        </is>
      </c>
      <c r="B51" s="13" t="inlineStr">
        <is>
          <t>休日</t>
        </is>
      </c>
      <c r="C51" s="13" t="inlineStr">
        <is>
          <t>通常</t>
        </is>
      </c>
      <c r="D51" s="12" t="inlineStr">
        <is>
          <t>13:25</t>
        </is>
      </c>
      <c r="E51" s="12" t="inlineStr">
        <is>
          <t>22:35</t>
        </is>
      </c>
      <c r="F51" s="14" t="n"/>
    </row>
    <row r="52" ht="15" customHeight="1" s="37">
      <c r="A52" s="12" t="inlineStr">
        <is>
          <t>23</t>
        </is>
      </c>
      <c r="B52" s="13" t="inlineStr">
        <is>
          <t>平日</t>
        </is>
      </c>
      <c r="C52" s="13" t="inlineStr">
        <is>
          <t>通常</t>
        </is>
      </c>
      <c r="D52" s="12" t="inlineStr">
        <is>
          <t>13:45</t>
        </is>
      </c>
      <c r="E52" s="12" t="inlineStr">
        <is>
          <t>23:05</t>
        </is>
      </c>
      <c r="F52" s="14" t="n"/>
    </row>
    <row r="53" ht="15" customHeight="1" s="37">
      <c r="A53" s="12" t="inlineStr">
        <is>
          <t>23</t>
        </is>
      </c>
      <c r="B53" s="13" t="inlineStr">
        <is>
          <t>休日</t>
        </is>
      </c>
      <c r="C53" s="13" t="inlineStr">
        <is>
          <t>通常</t>
        </is>
      </c>
      <c r="D53" s="12" t="inlineStr">
        <is>
          <t>14:15</t>
        </is>
      </c>
      <c r="E53" s="12" t="inlineStr">
        <is>
          <t>23:05</t>
        </is>
      </c>
      <c r="F53" s="14" t="n"/>
    </row>
    <row r="54" ht="15" customHeight="1" s="37">
      <c r="A54" s="12" t="inlineStr">
        <is>
          <t>24</t>
        </is>
      </c>
      <c r="B54" s="13" t="inlineStr">
        <is>
          <t>平日</t>
        </is>
      </c>
      <c r="C54" s="13" t="inlineStr">
        <is>
          <t>通常</t>
        </is>
      </c>
      <c r="D54" s="12" t="inlineStr">
        <is>
          <t>14:55</t>
        </is>
      </c>
      <c r="E54" s="12" t="inlineStr">
        <is>
          <t>00:20</t>
        </is>
      </c>
      <c r="F54" s="18" t="inlineStr">
        <is>
          <t>退勤翌日</t>
        </is>
      </c>
    </row>
    <row r="55" ht="15" customHeight="1" s="37">
      <c r="A55" s="12" t="inlineStr">
        <is>
          <t>24</t>
        </is>
      </c>
      <c r="B55" s="13" t="inlineStr">
        <is>
          <t>休日</t>
        </is>
      </c>
      <c r="C55" s="13" t="inlineStr">
        <is>
          <t>通常</t>
        </is>
      </c>
      <c r="D55" s="12" t="inlineStr">
        <is>
          <t>15:05</t>
        </is>
      </c>
      <c r="E55" s="12" t="inlineStr">
        <is>
          <t>00:20</t>
        </is>
      </c>
      <c r="F55" s="18" t="inlineStr">
        <is>
          <t>退勤翌日</t>
        </is>
      </c>
    </row>
    <row r="56" ht="15" customHeight="1" s="37">
      <c r="A56" s="12" t="inlineStr">
        <is>
          <t>25</t>
        </is>
      </c>
      <c r="B56" s="13" t="inlineStr">
        <is>
          <t>平日</t>
        </is>
      </c>
      <c r="C56" s="13" t="inlineStr">
        <is>
          <t>通常</t>
        </is>
      </c>
      <c r="D56" s="12" t="inlineStr">
        <is>
          <t>05:10</t>
        </is>
      </c>
      <c r="E56" s="12" t="inlineStr">
        <is>
          <t>14:10</t>
        </is>
      </c>
      <c r="F56" s="14" t="n"/>
    </row>
    <row r="57" ht="15" customHeight="1" s="37">
      <c r="A57" s="12" t="inlineStr">
        <is>
          <t>25</t>
        </is>
      </c>
      <c r="B57" s="13" t="inlineStr">
        <is>
          <t>休日</t>
        </is>
      </c>
      <c r="C57" s="13" t="inlineStr">
        <is>
          <t>通常</t>
        </is>
      </c>
      <c r="D57" s="12" t="inlineStr">
        <is>
          <t>05:10</t>
        </is>
      </c>
      <c r="E57" s="12" t="inlineStr">
        <is>
          <t>14:10</t>
        </is>
      </c>
      <c r="F57" s="14" t="n"/>
    </row>
    <row r="58" ht="15" customHeight="1" s="37">
      <c r="A58" s="12" t="inlineStr">
        <is>
          <t>26</t>
        </is>
      </c>
      <c r="B58" s="13" t="inlineStr">
        <is>
          <t>平日</t>
        </is>
      </c>
      <c r="C58" s="13" t="inlineStr">
        <is>
          <t>通常</t>
        </is>
      </c>
      <c r="D58" s="12" t="inlineStr">
        <is>
          <t>05:10</t>
        </is>
      </c>
      <c r="E58" s="12" t="inlineStr">
        <is>
          <t>11:10</t>
        </is>
      </c>
      <c r="F58" s="14" t="n"/>
    </row>
    <row r="59" ht="15" customHeight="1" s="37">
      <c r="A59" s="12" t="inlineStr">
        <is>
          <t>26</t>
        </is>
      </c>
      <c r="B59" s="13" t="inlineStr">
        <is>
          <t>休日</t>
        </is>
      </c>
      <c r="C59" s="13" t="inlineStr">
        <is>
          <t>通常</t>
        </is>
      </c>
      <c r="D59" s="12" t="inlineStr">
        <is>
          <t>12:35</t>
        </is>
      </c>
      <c r="E59" s="12" t="inlineStr">
        <is>
          <t>18:35</t>
        </is>
      </c>
      <c r="F59" s="14" t="n"/>
    </row>
    <row r="60" ht="15" customHeight="1" s="37">
      <c r="A60" s="12" t="inlineStr">
        <is>
          <t>27</t>
        </is>
      </c>
      <c r="B60" s="13" t="inlineStr">
        <is>
          <t>平日</t>
        </is>
      </c>
      <c r="C60" s="13" t="inlineStr">
        <is>
          <t>通常</t>
        </is>
      </c>
      <c r="D60" s="12" t="inlineStr">
        <is>
          <t>14:10</t>
        </is>
      </c>
      <c r="E60" s="12" t="inlineStr">
        <is>
          <t>23:50</t>
        </is>
      </c>
      <c r="F60" s="14" t="n"/>
    </row>
    <row r="61" ht="15" customHeight="1" s="37">
      <c r="A61" s="12" t="inlineStr">
        <is>
          <t>27</t>
        </is>
      </c>
      <c r="B61" s="13" t="inlineStr">
        <is>
          <t>休日</t>
        </is>
      </c>
      <c r="C61" s="13" t="inlineStr">
        <is>
          <t>通常</t>
        </is>
      </c>
      <c r="D61" s="12" t="inlineStr">
        <is>
          <t>14:10</t>
        </is>
      </c>
      <c r="E61" s="12" t="inlineStr">
        <is>
          <t>23:50</t>
        </is>
      </c>
      <c r="F61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zoomScaleNormal="100" workbookViewId="0">
      <pane ySplit="5" topLeftCell="A6" activePane="bottomLeft" state="frozen"/>
      <selection pane="bottomLeft" activeCell="A1" sqref="A1:G1"/>
    </sheetView>
  </sheetViews>
  <sheetFormatPr baseColWidth="8" defaultColWidth="8.7109375" defaultRowHeight="15"/>
  <cols>
    <col width="8" customWidth="1" style="37" min="1" max="4"/>
    <col width="12" customWidth="1" style="37" min="5" max="5"/>
    <col width="11" customWidth="1" style="37" min="6" max="7"/>
    <col hidden="1" width="4" customWidth="1" style="37" min="10" max="10"/>
  </cols>
  <sheetData>
    <row r="1" ht="15.75" customHeight="1" s="37">
      <c r="A1" s="38" t="inlineStr">
        <is>
          <t>当日休憩ビュー</t>
        </is>
      </c>
    </row>
    <row r="2" ht="15" customHeight="1" s="37">
      <c r="A2" s="36" t="inlineStr">
        <is>
          <t>当日早見表の日付に連動し当日ダイヤの休憩を自動抽出。</t>
        </is>
      </c>
    </row>
    <row r="3" ht="15" customHeight="1" s="37">
      <c r="A3" s="19" t="inlineStr">
        <is>
          <t>対象日</t>
        </is>
      </c>
      <c r="B3" s="20">
        <f>当日早見表!B1</f>
        <v/>
      </c>
      <c r="C3" s="19" t="inlineStr">
        <is>
          <t>ダイヤ</t>
        </is>
      </c>
      <c r="D3" s="20">
        <f>当日早見表!B3</f>
        <v/>
      </c>
      <c r="E3" s="19" t="inlineStr">
        <is>
          <t>件数</t>
        </is>
      </c>
      <c r="F3" s="20">
        <f>COUNTIF(休憩マスタ!$A$5:$A$61,当日早見表!$B$3)</f>
        <v/>
      </c>
    </row>
    <row r="5" ht="15" customHeight="1" s="37">
      <c r="A5" s="8" t="inlineStr">
        <is>
          <t>開始</t>
        </is>
      </c>
      <c r="B5" s="8" t="inlineStr">
        <is>
          <t>終了</t>
        </is>
      </c>
      <c r="C5" s="8" t="inlineStr">
        <is>
          <t>所要分</t>
        </is>
      </c>
      <c r="D5" s="8" t="inlineStr">
        <is>
          <t>系統</t>
        </is>
      </c>
      <c r="E5" s="8" t="inlineStr">
        <is>
          <t>担当運転士</t>
        </is>
      </c>
      <c r="F5" s="8" t="inlineStr">
        <is>
          <t>交代駅</t>
        </is>
      </c>
      <c r="G5" s="8" t="inlineStr">
        <is>
          <t>区分</t>
        </is>
      </c>
    </row>
    <row r="6" ht="15" customHeight="1" s="37">
      <c r="A6">
        <f>IF($J6="","",INDEX(休憩マスタ!$C$5:$C$61,$J6))</f>
        <v/>
      </c>
      <c r="B6">
        <f>IF($J6="","",INDEX(休憩マスタ!$D$5:$D$61,$J6))</f>
        <v/>
      </c>
      <c r="C6">
        <f>IF($J6="","",INDEX(休憩マスタ!$E$5:$E$61,$J6))</f>
        <v/>
      </c>
      <c r="D6">
        <f>IF($J6="","",INDEX(休憩マスタ!$B$5:$B$61,$J6))</f>
        <v/>
      </c>
      <c r="E6">
        <f>IF($J6="","",INDEX(休憩マスタ!$J$5:$J$61,$J6))</f>
        <v/>
      </c>
      <c r="F6">
        <f>IF($J6="","",INDEX(休憩マスタ!$F$5:$F$61,$J6))</f>
        <v/>
      </c>
      <c r="G6">
        <f>IF($J6="","",INDEX(休憩マスタ!$H$5:$H$61,$J6))</f>
        <v/>
      </c>
      <c r="J6">
        <f>IFERROR(MATCH(1,休憩マスタ!$I$5:$I$61,0),"")</f>
        <v/>
      </c>
    </row>
    <row r="7" ht="15" customHeight="1" s="37">
      <c r="A7">
        <f>IF($J7="","",INDEX(休憩マスタ!$C$5:$C$61,$J7))</f>
        <v/>
      </c>
      <c r="B7">
        <f>IF($J7="","",INDEX(休憩マスタ!$D$5:$D$61,$J7))</f>
        <v/>
      </c>
      <c r="C7">
        <f>IF($J7="","",INDEX(休憩マスタ!$E$5:$E$61,$J7))</f>
        <v/>
      </c>
      <c r="D7">
        <f>IF($J7="","",INDEX(休憩マスタ!$B$5:$B$61,$J7))</f>
        <v/>
      </c>
      <c r="E7">
        <f>IF($J7="","",INDEX(休憩マスタ!$J$5:$J$61,$J7))</f>
        <v/>
      </c>
      <c r="F7">
        <f>IF($J7="","",INDEX(休憩マスタ!$F$5:$F$61,$J7))</f>
        <v/>
      </c>
      <c r="G7">
        <f>IF($J7="","",INDEX(休憩マスタ!$H$5:$H$61,$J7))</f>
        <v/>
      </c>
      <c r="J7">
        <f>IFERROR(MATCH(2,休憩マスタ!$I$5:$I$61,0),"")</f>
        <v/>
      </c>
    </row>
    <row r="8" ht="15" customHeight="1" s="37">
      <c r="A8">
        <f>IF($J8="","",INDEX(休憩マスタ!$C$5:$C$61,$J8))</f>
        <v/>
      </c>
      <c r="B8">
        <f>IF($J8="","",INDEX(休憩マスタ!$D$5:$D$61,$J8))</f>
        <v/>
      </c>
      <c r="C8">
        <f>IF($J8="","",INDEX(休憩マスタ!$E$5:$E$61,$J8))</f>
        <v/>
      </c>
      <c r="D8">
        <f>IF($J8="","",INDEX(休憩マスタ!$B$5:$B$61,$J8))</f>
        <v/>
      </c>
      <c r="E8">
        <f>IF($J8="","",INDEX(休憩マスタ!$J$5:$J$61,$J8))</f>
        <v/>
      </c>
      <c r="F8">
        <f>IF($J8="","",INDEX(休憩マスタ!$F$5:$F$61,$J8))</f>
        <v/>
      </c>
      <c r="G8">
        <f>IF($J8="","",INDEX(休憩マスタ!$H$5:$H$61,$J8))</f>
        <v/>
      </c>
      <c r="J8">
        <f>IFERROR(MATCH(3,休憩マスタ!$I$5:$I$61,0),"")</f>
        <v/>
      </c>
    </row>
    <row r="9" ht="15" customHeight="1" s="37">
      <c r="A9">
        <f>IF($J9="","",INDEX(休憩マスタ!$C$5:$C$61,$J9))</f>
        <v/>
      </c>
      <c r="B9">
        <f>IF($J9="","",INDEX(休憩マスタ!$D$5:$D$61,$J9))</f>
        <v/>
      </c>
      <c r="C9">
        <f>IF($J9="","",INDEX(休憩マスタ!$E$5:$E$61,$J9))</f>
        <v/>
      </c>
      <c r="D9">
        <f>IF($J9="","",INDEX(休憩マスタ!$B$5:$B$61,$J9))</f>
        <v/>
      </c>
      <c r="E9">
        <f>IF($J9="","",INDEX(休憩マスタ!$J$5:$J$61,$J9))</f>
        <v/>
      </c>
      <c r="F9">
        <f>IF($J9="","",INDEX(休憩マスタ!$F$5:$F$61,$J9))</f>
        <v/>
      </c>
      <c r="G9">
        <f>IF($J9="","",INDEX(休憩マスタ!$H$5:$H$61,$J9))</f>
        <v/>
      </c>
      <c r="J9">
        <f>IFERROR(MATCH(4,休憩マスタ!$I$5:$I$61,0),"")</f>
        <v/>
      </c>
    </row>
    <row r="10" ht="15" customHeight="1" s="37">
      <c r="A10">
        <f>IF($J10="","",INDEX(休憩マスタ!$C$5:$C$61,$J10))</f>
        <v/>
      </c>
      <c r="B10">
        <f>IF($J10="","",INDEX(休憩マスタ!$D$5:$D$61,$J10))</f>
        <v/>
      </c>
      <c r="C10">
        <f>IF($J10="","",INDEX(休憩マスタ!$E$5:$E$61,$J10))</f>
        <v/>
      </c>
      <c r="D10">
        <f>IF($J10="","",INDEX(休憩マスタ!$B$5:$B$61,$J10))</f>
        <v/>
      </c>
      <c r="E10">
        <f>IF($J10="","",INDEX(休憩マスタ!$J$5:$J$61,$J10))</f>
        <v/>
      </c>
      <c r="F10">
        <f>IF($J10="","",INDEX(休憩マスタ!$F$5:$F$61,$J10))</f>
        <v/>
      </c>
      <c r="G10">
        <f>IF($J10="","",INDEX(休憩マスタ!$H$5:$H$61,$J10))</f>
        <v/>
      </c>
      <c r="J10">
        <f>IFERROR(MATCH(5,休憩マスタ!$I$5:$I$61,0),"")</f>
        <v/>
      </c>
    </row>
    <row r="11" ht="15" customHeight="1" s="37">
      <c r="A11">
        <f>IF($J11="","",INDEX(休憩マスタ!$C$5:$C$61,$J11))</f>
        <v/>
      </c>
      <c r="B11">
        <f>IF($J11="","",INDEX(休憩マスタ!$D$5:$D$61,$J11))</f>
        <v/>
      </c>
      <c r="C11">
        <f>IF($J11="","",INDEX(休憩マスタ!$E$5:$E$61,$J11))</f>
        <v/>
      </c>
      <c r="D11">
        <f>IF($J11="","",INDEX(休憩マスタ!$B$5:$B$61,$J11))</f>
        <v/>
      </c>
      <c r="E11">
        <f>IF($J11="","",INDEX(休憩マスタ!$J$5:$J$61,$J11))</f>
        <v/>
      </c>
      <c r="F11">
        <f>IF($J11="","",INDEX(休憩マスタ!$F$5:$F$61,$J11))</f>
        <v/>
      </c>
      <c r="G11">
        <f>IF($J11="","",INDEX(休憩マスタ!$H$5:$H$61,$J11))</f>
        <v/>
      </c>
      <c r="J11">
        <f>IFERROR(MATCH(6,休憩マスタ!$I$5:$I$61,0),"")</f>
        <v/>
      </c>
    </row>
    <row r="12" ht="15" customHeight="1" s="37">
      <c r="A12">
        <f>IF($J12="","",INDEX(休憩マスタ!$C$5:$C$61,$J12))</f>
        <v/>
      </c>
      <c r="B12">
        <f>IF($J12="","",INDEX(休憩マスタ!$D$5:$D$61,$J12))</f>
        <v/>
      </c>
      <c r="C12">
        <f>IF($J12="","",INDEX(休憩マスタ!$E$5:$E$61,$J12))</f>
        <v/>
      </c>
      <c r="D12">
        <f>IF($J12="","",INDEX(休憩マスタ!$B$5:$B$61,$J12))</f>
        <v/>
      </c>
      <c r="E12">
        <f>IF($J12="","",INDEX(休憩マスタ!$J$5:$J$61,$J12))</f>
        <v/>
      </c>
      <c r="F12">
        <f>IF($J12="","",INDEX(休憩マスタ!$F$5:$F$61,$J12))</f>
        <v/>
      </c>
      <c r="G12">
        <f>IF($J12="","",INDEX(休憩マスタ!$H$5:$H$61,$J12))</f>
        <v/>
      </c>
      <c r="J12">
        <f>IFERROR(MATCH(7,休憩マスタ!$I$5:$I$61,0),"")</f>
        <v/>
      </c>
    </row>
    <row r="13" ht="15" customHeight="1" s="37">
      <c r="A13">
        <f>IF($J13="","",INDEX(休憩マスタ!$C$5:$C$61,$J13))</f>
        <v/>
      </c>
      <c r="B13">
        <f>IF($J13="","",INDEX(休憩マスタ!$D$5:$D$61,$J13))</f>
        <v/>
      </c>
      <c r="C13">
        <f>IF($J13="","",INDEX(休憩マスタ!$E$5:$E$61,$J13))</f>
        <v/>
      </c>
      <c r="D13">
        <f>IF($J13="","",INDEX(休憩マスタ!$B$5:$B$61,$J13))</f>
        <v/>
      </c>
      <c r="E13">
        <f>IF($J13="","",INDEX(休憩マスタ!$J$5:$J$61,$J13))</f>
        <v/>
      </c>
      <c r="F13">
        <f>IF($J13="","",INDEX(休憩マスタ!$F$5:$F$61,$J13))</f>
        <v/>
      </c>
      <c r="G13">
        <f>IF($J13="","",INDEX(休憩マスタ!$H$5:$H$61,$J13))</f>
        <v/>
      </c>
      <c r="J13">
        <f>IFERROR(MATCH(8,休憩マスタ!$I$5:$I$61,0),"")</f>
        <v/>
      </c>
    </row>
    <row r="14" ht="15" customHeight="1" s="37">
      <c r="A14">
        <f>IF($J14="","",INDEX(休憩マスタ!$C$5:$C$61,$J14))</f>
        <v/>
      </c>
      <c r="B14">
        <f>IF($J14="","",INDEX(休憩マスタ!$D$5:$D$61,$J14))</f>
        <v/>
      </c>
      <c r="C14">
        <f>IF($J14="","",INDEX(休憩マスタ!$E$5:$E$61,$J14))</f>
        <v/>
      </c>
      <c r="D14">
        <f>IF($J14="","",INDEX(休憩マスタ!$B$5:$B$61,$J14))</f>
        <v/>
      </c>
      <c r="E14">
        <f>IF($J14="","",INDEX(休憩マスタ!$J$5:$J$61,$J14))</f>
        <v/>
      </c>
      <c r="F14">
        <f>IF($J14="","",INDEX(休憩マスタ!$F$5:$F$61,$J14))</f>
        <v/>
      </c>
      <c r="G14">
        <f>IF($J14="","",INDEX(休憩マスタ!$H$5:$H$61,$J14))</f>
        <v/>
      </c>
      <c r="J14">
        <f>IFERROR(MATCH(9,休憩マスタ!$I$5:$I$61,0),"")</f>
        <v/>
      </c>
    </row>
    <row r="15" ht="15" customHeight="1" s="37">
      <c r="A15">
        <f>IF($J15="","",INDEX(休憩マスタ!$C$5:$C$61,$J15))</f>
        <v/>
      </c>
      <c r="B15">
        <f>IF($J15="","",INDEX(休憩マスタ!$D$5:$D$61,$J15))</f>
        <v/>
      </c>
      <c r="C15">
        <f>IF($J15="","",INDEX(休憩マスタ!$E$5:$E$61,$J15))</f>
        <v/>
      </c>
      <c r="D15">
        <f>IF($J15="","",INDEX(休憩マスタ!$B$5:$B$61,$J15))</f>
        <v/>
      </c>
      <c r="E15">
        <f>IF($J15="","",INDEX(休憩マスタ!$J$5:$J$61,$J15))</f>
        <v/>
      </c>
      <c r="F15">
        <f>IF($J15="","",INDEX(休憩マスタ!$F$5:$F$61,$J15))</f>
        <v/>
      </c>
      <c r="G15">
        <f>IF($J15="","",INDEX(休憩マスタ!$H$5:$H$61,$J15))</f>
        <v/>
      </c>
      <c r="J15">
        <f>IFERROR(MATCH(10,休憩マスタ!$I$5:$I$61,0),"")</f>
        <v/>
      </c>
    </row>
    <row r="16" ht="15" customHeight="1" s="37">
      <c r="A16">
        <f>IF($J16="","",INDEX(休憩マスタ!$C$5:$C$61,$J16))</f>
        <v/>
      </c>
      <c r="B16">
        <f>IF($J16="","",INDEX(休憩マスタ!$D$5:$D$61,$J16))</f>
        <v/>
      </c>
      <c r="C16">
        <f>IF($J16="","",INDEX(休憩マスタ!$E$5:$E$61,$J16))</f>
        <v/>
      </c>
      <c r="D16">
        <f>IF($J16="","",INDEX(休憩マスタ!$B$5:$B$61,$J16))</f>
        <v/>
      </c>
      <c r="E16">
        <f>IF($J16="","",INDEX(休憩マスタ!$J$5:$J$61,$J16))</f>
        <v/>
      </c>
      <c r="F16">
        <f>IF($J16="","",INDEX(休憩マスタ!$F$5:$F$61,$J16))</f>
        <v/>
      </c>
      <c r="G16">
        <f>IF($J16="","",INDEX(休憩マスタ!$H$5:$H$61,$J16))</f>
        <v/>
      </c>
      <c r="J16">
        <f>IFERROR(MATCH(11,休憩マスタ!$I$5:$I$61,0),"")</f>
        <v/>
      </c>
    </row>
    <row r="17" ht="15" customHeight="1" s="37">
      <c r="A17">
        <f>IF($J17="","",INDEX(休憩マスタ!$C$5:$C$61,$J17))</f>
        <v/>
      </c>
      <c r="B17">
        <f>IF($J17="","",INDEX(休憩マスタ!$D$5:$D$61,$J17))</f>
        <v/>
      </c>
      <c r="C17">
        <f>IF($J17="","",INDEX(休憩マスタ!$E$5:$E$61,$J17))</f>
        <v/>
      </c>
      <c r="D17">
        <f>IF($J17="","",INDEX(休憩マスタ!$B$5:$B$61,$J17))</f>
        <v/>
      </c>
      <c r="E17">
        <f>IF($J17="","",INDEX(休憩マスタ!$J$5:$J$61,$J17))</f>
        <v/>
      </c>
      <c r="F17">
        <f>IF($J17="","",INDEX(休憩マスタ!$F$5:$F$61,$J17))</f>
        <v/>
      </c>
      <c r="G17">
        <f>IF($J17="","",INDEX(休憩マスタ!$H$5:$H$61,$J17))</f>
        <v/>
      </c>
      <c r="J17">
        <f>IFERROR(MATCH(12,休憩マスタ!$I$5:$I$61,0),"")</f>
        <v/>
      </c>
    </row>
    <row r="18" ht="15" customHeight="1" s="37">
      <c r="A18">
        <f>IF($J18="","",INDEX(休憩マスタ!$C$5:$C$61,$J18))</f>
        <v/>
      </c>
      <c r="B18">
        <f>IF($J18="","",INDEX(休憩マスタ!$D$5:$D$61,$J18))</f>
        <v/>
      </c>
      <c r="C18">
        <f>IF($J18="","",INDEX(休憩マスタ!$E$5:$E$61,$J18))</f>
        <v/>
      </c>
      <c r="D18">
        <f>IF($J18="","",INDEX(休憩マスタ!$B$5:$B$61,$J18))</f>
        <v/>
      </c>
      <c r="E18">
        <f>IF($J18="","",INDEX(休憩マスタ!$J$5:$J$61,$J18))</f>
        <v/>
      </c>
      <c r="F18">
        <f>IF($J18="","",INDEX(休憩マスタ!$F$5:$F$61,$J18))</f>
        <v/>
      </c>
      <c r="G18">
        <f>IF($J18="","",INDEX(休憩マスタ!$H$5:$H$61,$J18))</f>
        <v/>
      </c>
      <c r="J18">
        <f>IFERROR(MATCH(13,休憩マスタ!$I$5:$I$61,0),"")</f>
        <v/>
      </c>
    </row>
    <row r="19" ht="15" customHeight="1" s="37">
      <c r="A19">
        <f>IF($J19="","",INDEX(休憩マスタ!$C$5:$C$61,$J19))</f>
        <v/>
      </c>
      <c r="B19">
        <f>IF($J19="","",INDEX(休憩マスタ!$D$5:$D$61,$J19))</f>
        <v/>
      </c>
      <c r="C19">
        <f>IF($J19="","",INDEX(休憩マスタ!$E$5:$E$61,$J19))</f>
        <v/>
      </c>
      <c r="D19">
        <f>IF($J19="","",INDEX(休憩マスタ!$B$5:$B$61,$J19))</f>
        <v/>
      </c>
      <c r="E19">
        <f>IF($J19="","",INDEX(休憩マスタ!$J$5:$J$61,$J19))</f>
        <v/>
      </c>
      <c r="F19">
        <f>IF($J19="","",INDEX(休憩マスタ!$F$5:$F$61,$J19))</f>
        <v/>
      </c>
      <c r="G19">
        <f>IF($J19="","",INDEX(休憩マスタ!$H$5:$H$61,$J19))</f>
        <v/>
      </c>
      <c r="J19">
        <f>IFERROR(MATCH(14,休憩マスタ!$I$5:$I$61,0),"")</f>
        <v/>
      </c>
    </row>
    <row r="20" ht="15" customHeight="1" s="37">
      <c r="A20">
        <f>IF($J20="","",INDEX(休憩マスタ!$C$5:$C$61,$J20))</f>
        <v/>
      </c>
      <c r="B20">
        <f>IF($J20="","",INDEX(休憩マスタ!$D$5:$D$61,$J20))</f>
        <v/>
      </c>
      <c r="C20">
        <f>IF($J20="","",INDEX(休憩マスタ!$E$5:$E$61,$J20))</f>
        <v/>
      </c>
      <c r="D20">
        <f>IF($J20="","",INDEX(休憩マスタ!$B$5:$B$61,$J20))</f>
        <v/>
      </c>
      <c r="E20">
        <f>IF($J20="","",INDEX(休憩マスタ!$J$5:$J$61,$J20))</f>
        <v/>
      </c>
      <c r="F20">
        <f>IF($J20="","",INDEX(休憩マスタ!$F$5:$F$61,$J20))</f>
        <v/>
      </c>
      <c r="G20">
        <f>IF($J20="","",INDEX(休憩マスタ!$H$5:$H$61,$J20))</f>
        <v/>
      </c>
      <c r="J20">
        <f>IFERROR(MATCH(15,休憩マスタ!$I$5:$I$61,0),"")</f>
        <v/>
      </c>
    </row>
    <row r="21" ht="15" customHeight="1" s="37">
      <c r="A21">
        <f>IF($J21="","",INDEX(休憩マスタ!$C$5:$C$61,$J21))</f>
        <v/>
      </c>
      <c r="B21">
        <f>IF($J21="","",INDEX(休憩マスタ!$D$5:$D$61,$J21))</f>
        <v/>
      </c>
      <c r="C21">
        <f>IF($J21="","",INDEX(休憩マスタ!$E$5:$E$61,$J21))</f>
        <v/>
      </c>
      <c r="D21">
        <f>IF($J21="","",INDEX(休憩マスタ!$B$5:$B$61,$J21))</f>
        <v/>
      </c>
      <c r="E21">
        <f>IF($J21="","",INDEX(休憩マスタ!$J$5:$J$61,$J21))</f>
        <v/>
      </c>
      <c r="F21">
        <f>IF($J21="","",INDEX(休憩マスタ!$F$5:$F$61,$J21))</f>
        <v/>
      </c>
      <c r="G21">
        <f>IF($J21="","",INDEX(休憩マスタ!$H$5:$H$61,$J21))</f>
        <v/>
      </c>
      <c r="J21">
        <f>IFERROR(MATCH(16,休憩マスタ!$I$5:$I$61,0),"")</f>
        <v/>
      </c>
    </row>
    <row r="22" ht="15" customHeight="1" s="37">
      <c r="A22">
        <f>IF($J22="","",INDEX(休憩マスタ!$C$5:$C$61,$J22))</f>
        <v/>
      </c>
      <c r="B22">
        <f>IF($J22="","",INDEX(休憩マスタ!$D$5:$D$61,$J22))</f>
        <v/>
      </c>
      <c r="C22">
        <f>IF($J22="","",INDEX(休憩マスタ!$E$5:$E$61,$J22))</f>
        <v/>
      </c>
      <c r="D22">
        <f>IF($J22="","",INDEX(休憩マスタ!$B$5:$B$61,$J22))</f>
        <v/>
      </c>
      <c r="E22">
        <f>IF($J22="","",INDEX(休憩マスタ!$J$5:$J$61,$J22))</f>
        <v/>
      </c>
      <c r="F22">
        <f>IF($J22="","",INDEX(休憩マスタ!$F$5:$F$61,$J22))</f>
        <v/>
      </c>
      <c r="G22">
        <f>IF($J22="","",INDEX(休憩マスタ!$H$5:$H$61,$J22))</f>
        <v/>
      </c>
      <c r="J22">
        <f>IFERROR(MATCH(17,休憩マスタ!$I$5:$I$61,0),"")</f>
        <v/>
      </c>
    </row>
    <row r="23" ht="15" customHeight="1" s="37">
      <c r="A23">
        <f>IF($J23="","",INDEX(休憩マスタ!$C$5:$C$61,$J23))</f>
        <v/>
      </c>
      <c r="B23">
        <f>IF($J23="","",INDEX(休憩マスタ!$D$5:$D$61,$J23))</f>
        <v/>
      </c>
      <c r="C23">
        <f>IF($J23="","",INDEX(休憩マスタ!$E$5:$E$61,$J23))</f>
        <v/>
      </c>
      <c r="D23">
        <f>IF($J23="","",INDEX(休憩マスタ!$B$5:$B$61,$J23))</f>
        <v/>
      </c>
      <c r="E23">
        <f>IF($J23="","",INDEX(休憩マスタ!$J$5:$J$61,$J23))</f>
        <v/>
      </c>
      <c r="F23">
        <f>IF($J23="","",INDEX(休憩マスタ!$F$5:$F$61,$J23))</f>
        <v/>
      </c>
      <c r="G23">
        <f>IF($J23="","",INDEX(休憩マスタ!$H$5:$H$61,$J23))</f>
        <v/>
      </c>
      <c r="J23">
        <f>IFERROR(MATCH(18,休憩マスタ!$I$5:$I$61,0),"")</f>
        <v/>
      </c>
    </row>
    <row r="24" ht="15" customHeight="1" s="37">
      <c r="A24">
        <f>IF($J24="","",INDEX(休憩マスタ!$C$5:$C$61,$J24))</f>
        <v/>
      </c>
      <c r="B24">
        <f>IF($J24="","",INDEX(休憩マスタ!$D$5:$D$61,$J24))</f>
        <v/>
      </c>
      <c r="C24">
        <f>IF($J24="","",INDEX(休憩マスタ!$E$5:$E$61,$J24))</f>
        <v/>
      </c>
      <c r="D24">
        <f>IF($J24="","",INDEX(休憩マスタ!$B$5:$B$61,$J24))</f>
        <v/>
      </c>
      <c r="E24">
        <f>IF($J24="","",INDEX(休憩マスタ!$J$5:$J$61,$J24))</f>
        <v/>
      </c>
      <c r="F24">
        <f>IF($J24="","",INDEX(休憩マスタ!$F$5:$F$61,$J24))</f>
        <v/>
      </c>
      <c r="G24">
        <f>IF($J24="","",INDEX(休憩マスタ!$H$5:$H$61,$J24))</f>
        <v/>
      </c>
      <c r="J24">
        <f>IFERROR(MATCH(19,休憩マスタ!$I$5:$I$61,0),"")</f>
        <v/>
      </c>
    </row>
    <row r="25" ht="15" customHeight="1" s="37">
      <c r="A25">
        <f>IF($J25="","",INDEX(休憩マスタ!$C$5:$C$61,$J25))</f>
        <v/>
      </c>
      <c r="B25">
        <f>IF($J25="","",INDEX(休憩マスタ!$D$5:$D$61,$J25))</f>
        <v/>
      </c>
      <c r="C25">
        <f>IF($J25="","",INDEX(休憩マスタ!$E$5:$E$61,$J25))</f>
        <v/>
      </c>
      <c r="D25">
        <f>IF($J25="","",INDEX(休憩マスタ!$B$5:$B$61,$J25))</f>
        <v/>
      </c>
      <c r="E25">
        <f>IF($J25="","",INDEX(休憩マスタ!$J$5:$J$61,$J25))</f>
        <v/>
      </c>
      <c r="F25">
        <f>IF($J25="","",INDEX(休憩マスタ!$F$5:$F$61,$J25))</f>
        <v/>
      </c>
      <c r="G25">
        <f>IF($J25="","",INDEX(休憩マスタ!$H$5:$H$61,$J25))</f>
        <v/>
      </c>
      <c r="J25">
        <f>IFERROR(MATCH(20,休憩マスタ!$I$5:$I$61,0),"")</f>
        <v/>
      </c>
    </row>
    <row r="26" ht="15" customHeight="1" s="37">
      <c r="A26">
        <f>IF($J26="","",INDEX(休憩マスタ!$C$5:$C$61,$J26))</f>
        <v/>
      </c>
      <c r="B26">
        <f>IF($J26="","",INDEX(休憩マスタ!$D$5:$D$61,$J26))</f>
        <v/>
      </c>
      <c r="C26">
        <f>IF($J26="","",INDEX(休憩マスタ!$E$5:$E$61,$J26))</f>
        <v/>
      </c>
      <c r="D26">
        <f>IF($J26="","",INDEX(休憩マスタ!$B$5:$B$61,$J26))</f>
        <v/>
      </c>
      <c r="E26">
        <f>IF($J26="","",INDEX(休憩マスタ!$J$5:$J$61,$J26))</f>
        <v/>
      </c>
      <c r="F26">
        <f>IF($J26="","",INDEX(休憩マスタ!$F$5:$F$61,$J26))</f>
        <v/>
      </c>
      <c r="G26">
        <f>IF($J26="","",INDEX(休憩マスタ!$H$5:$H$61,$J26))</f>
        <v/>
      </c>
      <c r="J26">
        <f>IFERROR(MATCH(21,休憩マスタ!$I$5:$I$61,0),"")</f>
        <v/>
      </c>
    </row>
    <row r="27" ht="15" customHeight="1" s="37">
      <c r="A27">
        <f>IF($J27="","",INDEX(休憩マスタ!$C$5:$C$61,$J27))</f>
        <v/>
      </c>
      <c r="B27">
        <f>IF($J27="","",INDEX(休憩マスタ!$D$5:$D$61,$J27))</f>
        <v/>
      </c>
      <c r="C27">
        <f>IF($J27="","",INDEX(休憩マスタ!$E$5:$E$61,$J27))</f>
        <v/>
      </c>
      <c r="D27">
        <f>IF($J27="","",INDEX(休憩マスタ!$B$5:$B$61,$J27))</f>
        <v/>
      </c>
      <c r="E27">
        <f>IF($J27="","",INDEX(休憩マスタ!$J$5:$J$61,$J27))</f>
        <v/>
      </c>
      <c r="F27">
        <f>IF($J27="","",INDEX(休憩マスタ!$F$5:$F$61,$J27))</f>
        <v/>
      </c>
      <c r="G27">
        <f>IF($J27="","",INDEX(休憩マスタ!$H$5:$H$61,$J27))</f>
        <v/>
      </c>
      <c r="J27">
        <f>IFERROR(MATCH(22,休憩マスタ!$I$5:$I$61,0),"")</f>
        <v/>
      </c>
    </row>
    <row r="28" ht="15" customHeight="1" s="37">
      <c r="A28">
        <f>IF($J28="","",INDEX(休憩マスタ!$C$5:$C$61,$J28))</f>
        <v/>
      </c>
      <c r="B28">
        <f>IF($J28="","",INDEX(休憩マスタ!$D$5:$D$61,$J28))</f>
        <v/>
      </c>
      <c r="C28">
        <f>IF($J28="","",INDEX(休憩マスタ!$E$5:$E$61,$J28))</f>
        <v/>
      </c>
      <c r="D28">
        <f>IF($J28="","",INDEX(休憩マスタ!$B$5:$B$61,$J28))</f>
        <v/>
      </c>
      <c r="E28">
        <f>IF($J28="","",INDEX(休憩マスタ!$J$5:$J$61,$J28))</f>
        <v/>
      </c>
      <c r="F28">
        <f>IF($J28="","",INDEX(休憩マスタ!$F$5:$F$61,$J28))</f>
        <v/>
      </c>
      <c r="G28">
        <f>IF($J28="","",INDEX(休憩マスタ!$H$5:$H$61,$J28))</f>
        <v/>
      </c>
      <c r="J28">
        <f>IFERROR(MATCH(23,休憩マスタ!$I$5:$I$61,0),"")</f>
        <v/>
      </c>
    </row>
    <row r="29" ht="15" customHeight="1" s="37">
      <c r="A29">
        <f>IF($J29="","",INDEX(休憩マスタ!$C$5:$C$61,$J29))</f>
        <v/>
      </c>
      <c r="B29">
        <f>IF($J29="","",INDEX(休憩マスタ!$D$5:$D$61,$J29))</f>
        <v/>
      </c>
      <c r="C29">
        <f>IF($J29="","",INDEX(休憩マスタ!$E$5:$E$61,$J29))</f>
        <v/>
      </c>
      <c r="D29">
        <f>IF($J29="","",INDEX(休憩マスタ!$B$5:$B$61,$J29))</f>
        <v/>
      </c>
      <c r="E29">
        <f>IF($J29="","",INDEX(休憩マスタ!$J$5:$J$61,$J29))</f>
        <v/>
      </c>
      <c r="F29">
        <f>IF($J29="","",INDEX(休憩マスタ!$F$5:$F$61,$J29))</f>
        <v/>
      </c>
      <c r="G29">
        <f>IF($J29="","",INDEX(休憩マスタ!$H$5:$H$61,$J29))</f>
        <v/>
      </c>
      <c r="J29">
        <f>IFERROR(MATCH(24,休憩マスタ!$I$5:$I$61,0),"")</f>
        <v/>
      </c>
    </row>
    <row r="30" ht="15" customHeight="1" s="37">
      <c r="A30">
        <f>IF($J30="","",INDEX(休憩マスタ!$C$5:$C$61,$J30))</f>
        <v/>
      </c>
      <c r="B30">
        <f>IF($J30="","",INDEX(休憩マスタ!$D$5:$D$61,$J30))</f>
        <v/>
      </c>
      <c r="C30">
        <f>IF($J30="","",INDEX(休憩マスタ!$E$5:$E$61,$J30))</f>
        <v/>
      </c>
      <c r="D30">
        <f>IF($J30="","",INDEX(休憩マスタ!$B$5:$B$61,$J30))</f>
        <v/>
      </c>
      <c r="E30">
        <f>IF($J30="","",INDEX(休憩マスタ!$J$5:$J$61,$J30))</f>
        <v/>
      </c>
      <c r="F30">
        <f>IF($J30="","",INDEX(休憩マスタ!$F$5:$F$61,$J30))</f>
        <v/>
      </c>
      <c r="G30">
        <f>IF($J30="","",INDEX(休憩マスタ!$H$5:$H$61,$J30))</f>
        <v/>
      </c>
      <c r="J30">
        <f>IFERROR(MATCH(25,休憩マスタ!$I$5:$I$61,0),"")</f>
        <v/>
      </c>
    </row>
    <row r="31" ht="15" customHeight="1" s="37">
      <c r="A31">
        <f>IF($J31="","",INDEX(休憩マスタ!$C$5:$C$61,$J31))</f>
        <v/>
      </c>
      <c r="B31">
        <f>IF($J31="","",INDEX(休憩マスタ!$D$5:$D$61,$J31))</f>
        <v/>
      </c>
      <c r="C31">
        <f>IF($J31="","",INDEX(休憩マスタ!$E$5:$E$61,$J31))</f>
        <v/>
      </c>
      <c r="D31">
        <f>IF($J31="","",INDEX(休憩マスタ!$B$5:$B$61,$J31))</f>
        <v/>
      </c>
      <c r="E31">
        <f>IF($J31="","",INDEX(休憩マスタ!$J$5:$J$61,$J31))</f>
        <v/>
      </c>
      <c r="F31">
        <f>IF($J31="","",INDEX(休憩マスタ!$F$5:$F$61,$J31))</f>
        <v/>
      </c>
      <c r="G31">
        <f>IF($J31="","",INDEX(休憩マスタ!$H$5:$H$61,$J31))</f>
        <v/>
      </c>
      <c r="J31">
        <f>IFERROR(MATCH(26,休憩マスタ!$I$5:$I$61,0),"")</f>
        <v/>
      </c>
    </row>
    <row r="32" ht="15" customHeight="1" s="37">
      <c r="A32">
        <f>IF($J32="","",INDEX(休憩マスタ!$C$5:$C$61,$J32))</f>
        <v/>
      </c>
      <c r="B32">
        <f>IF($J32="","",INDEX(休憩マスタ!$D$5:$D$61,$J32))</f>
        <v/>
      </c>
      <c r="C32">
        <f>IF($J32="","",INDEX(休憩マスタ!$E$5:$E$61,$J32))</f>
        <v/>
      </c>
      <c r="D32">
        <f>IF($J32="","",INDEX(休憩マスタ!$B$5:$B$61,$J32))</f>
        <v/>
      </c>
      <c r="E32">
        <f>IF($J32="","",INDEX(休憩マスタ!$J$5:$J$61,$J32))</f>
        <v/>
      </c>
      <c r="F32">
        <f>IF($J32="","",INDEX(休憩マスタ!$F$5:$F$61,$J32))</f>
        <v/>
      </c>
      <c r="G32">
        <f>IF($J32="","",INDEX(休憩マスタ!$H$5:$H$61,$J32))</f>
        <v/>
      </c>
      <c r="J32">
        <f>IFERROR(MATCH(27,休憩マスタ!$I$5:$I$61,0),"")</f>
        <v/>
      </c>
    </row>
    <row r="33" ht="15" customHeight="1" s="37">
      <c r="A33">
        <f>IF($J33="","",INDEX(休憩マスタ!$C$5:$C$61,$J33))</f>
        <v/>
      </c>
      <c r="B33">
        <f>IF($J33="","",INDEX(休憩マスタ!$D$5:$D$61,$J33))</f>
        <v/>
      </c>
      <c r="C33">
        <f>IF($J33="","",INDEX(休憩マスタ!$E$5:$E$61,$J33))</f>
        <v/>
      </c>
      <c r="D33">
        <f>IF($J33="","",INDEX(休憩マスタ!$B$5:$B$61,$J33))</f>
        <v/>
      </c>
      <c r="E33">
        <f>IF($J33="","",INDEX(休憩マスタ!$J$5:$J$61,$J33))</f>
        <v/>
      </c>
      <c r="F33">
        <f>IF($J33="","",INDEX(休憩マスタ!$F$5:$F$61,$J33))</f>
        <v/>
      </c>
      <c r="G33">
        <f>IF($J33="","",INDEX(休憩マスタ!$H$5:$H$61,$J33))</f>
        <v/>
      </c>
      <c r="J33">
        <f>IFERROR(MATCH(28,休憩マスタ!$I$5:$I$61,0),"")</f>
        <v/>
      </c>
    </row>
    <row r="34" ht="15" customHeight="1" s="37">
      <c r="A34">
        <f>IF($J34="","",INDEX(休憩マスタ!$C$5:$C$61,$J34))</f>
        <v/>
      </c>
      <c r="B34">
        <f>IF($J34="","",INDEX(休憩マスタ!$D$5:$D$61,$J34))</f>
        <v/>
      </c>
      <c r="C34">
        <f>IF($J34="","",INDEX(休憩マスタ!$E$5:$E$61,$J34))</f>
        <v/>
      </c>
      <c r="D34">
        <f>IF($J34="","",INDEX(休憩マスタ!$B$5:$B$61,$J34))</f>
        <v/>
      </c>
      <c r="E34">
        <f>IF($J34="","",INDEX(休憩マスタ!$J$5:$J$61,$J34))</f>
        <v/>
      </c>
      <c r="F34">
        <f>IF($J34="","",INDEX(休憩マスタ!$F$5:$F$61,$J34))</f>
        <v/>
      </c>
      <c r="G34">
        <f>IF($J34="","",INDEX(休憩マスタ!$H$5:$H$61,$J34))</f>
        <v/>
      </c>
      <c r="J34">
        <f>IFERROR(MATCH(29,休憩マスタ!$I$5:$I$61,0),"")</f>
        <v/>
      </c>
    </row>
    <row r="35" ht="15" customHeight="1" s="37">
      <c r="A35">
        <f>IF($J35="","",INDEX(休憩マスタ!$C$5:$C$61,$J35))</f>
        <v/>
      </c>
      <c r="B35">
        <f>IF($J35="","",INDEX(休憩マスタ!$D$5:$D$61,$J35))</f>
        <v/>
      </c>
      <c r="C35">
        <f>IF($J35="","",INDEX(休憩マスタ!$E$5:$E$61,$J35))</f>
        <v/>
      </c>
      <c r="D35">
        <f>IF($J35="","",INDEX(休憩マスタ!$B$5:$B$61,$J35))</f>
        <v/>
      </c>
      <c r="E35">
        <f>IF($J35="","",INDEX(休憩マスタ!$J$5:$J$61,$J35))</f>
        <v/>
      </c>
      <c r="F35">
        <f>IF($J35="","",INDEX(休憩マスタ!$F$5:$F$61,$J35))</f>
        <v/>
      </c>
      <c r="G35">
        <f>IF($J35="","",INDEX(休憩マスタ!$H$5:$H$61,$J35))</f>
        <v/>
      </c>
      <c r="J35">
        <f>IFERROR(MATCH(30,休憩マスタ!$I$5:$I$61,0),"")</f>
        <v/>
      </c>
    </row>
    <row r="36">
      <c r="A36">
        <f>IF($J36="","",INDEX(休憩マスタ!$C$5:$C$61,$J36))</f>
        <v/>
      </c>
      <c r="B36">
        <f>IF($J36="","",INDEX(休憩マスタ!$D$5:$D$61,$J36))</f>
        <v/>
      </c>
      <c r="C36">
        <f>IF($J36="","",INDEX(休憩マスタ!$E$5:$E$61,$J36))</f>
        <v/>
      </c>
      <c r="D36">
        <f>IF($J36="","",INDEX(休憩マスタ!$B$5:$B$61,$J36))</f>
        <v/>
      </c>
      <c r="E36">
        <f>IF($J36="","",INDEX(休憩マスタ!$J$5:$J$61,$J36))</f>
        <v/>
      </c>
      <c r="F36">
        <f>IF($J36="","",INDEX(休憩マスタ!$F$5:$F$61,$J36))</f>
        <v/>
      </c>
      <c r="G36">
        <f>IF($J36="","",INDEX(休憩マスタ!$H$5:$H$61,$J36))</f>
        <v/>
      </c>
      <c r="J36">
        <f>IFERROR(MATCH(31,休憩マスタ!$I$5:$I$61,0),"")</f>
        <v/>
      </c>
    </row>
    <row r="37">
      <c r="A37">
        <f>IF($J37="","",INDEX(休憩マスタ!$C$5:$C$61,$J37))</f>
        <v/>
      </c>
      <c r="B37">
        <f>IF($J37="","",INDEX(休憩マスタ!$D$5:$D$61,$J37))</f>
        <v/>
      </c>
      <c r="C37">
        <f>IF($J37="","",INDEX(休憩マスタ!$E$5:$E$61,$J37))</f>
        <v/>
      </c>
      <c r="D37">
        <f>IF($J37="","",INDEX(休憩マスタ!$B$5:$B$61,$J37))</f>
        <v/>
      </c>
      <c r="E37">
        <f>IF($J37="","",INDEX(休憩マスタ!$J$5:$J$61,$J37))</f>
        <v/>
      </c>
      <c r="F37">
        <f>IF($J37="","",INDEX(休憩マスタ!$F$5:$F$61,$J37))</f>
        <v/>
      </c>
      <c r="G37">
        <f>IF($J37="","",INDEX(休憩マスタ!$H$5:$H$61,$J37))</f>
        <v/>
      </c>
      <c r="J37">
        <f>IFERROR(MATCH(32,休憩マスタ!$I$5:$I$61,0),"")</f>
        <v/>
      </c>
    </row>
    <row r="38">
      <c r="A38">
        <f>IF($J38="","",INDEX(休憩マスタ!$C$5:$C$61,$J38))</f>
        <v/>
      </c>
      <c r="B38">
        <f>IF($J38="","",INDEX(休憩マスタ!$D$5:$D$61,$J38))</f>
        <v/>
      </c>
      <c r="C38">
        <f>IF($J38="","",INDEX(休憩マスタ!$E$5:$E$61,$J38))</f>
        <v/>
      </c>
      <c r="D38">
        <f>IF($J38="","",INDEX(休憩マスタ!$B$5:$B$61,$J38))</f>
        <v/>
      </c>
      <c r="E38">
        <f>IF($J38="","",INDEX(休憩マスタ!$J$5:$J$61,$J38))</f>
        <v/>
      </c>
      <c r="F38">
        <f>IF($J38="","",INDEX(休憩マスタ!$F$5:$F$61,$J38))</f>
        <v/>
      </c>
      <c r="G38">
        <f>IF($J38="","",INDEX(休憩マスタ!$H$5:$H$61,$J38))</f>
        <v/>
      </c>
      <c r="J38">
        <f>IFERROR(MATCH(33,休憩マスタ!$I$5:$I$61,0),"")</f>
        <v/>
      </c>
    </row>
    <row r="39">
      <c r="A39">
        <f>IF($J39="","",INDEX(休憩マスタ!$C$5:$C$61,$J39))</f>
        <v/>
      </c>
      <c r="B39">
        <f>IF($J39="","",INDEX(休憩マスタ!$D$5:$D$61,$J39))</f>
        <v/>
      </c>
      <c r="C39">
        <f>IF($J39="","",INDEX(休憩マスタ!$E$5:$E$61,$J39))</f>
        <v/>
      </c>
      <c r="D39">
        <f>IF($J39="","",INDEX(休憩マスタ!$B$5:$B$61,$J39))</f>
        <v/>
      </c>
      <c r="E39">
        <f>IF($J39="","",INDEX(休憩マスタ!$J$5:$J$61,$J39))</f>
        <v/>
      </c>
      <c r="F39">
        <f>IF($J39="","",INDEX(休憩マスタ!$F$5:$F$61,$J39))</f>
        <v/>
      </c>
      <c r="G39">
        <f>IF($J39="","",INDEX(休憩マスタ!$H$5:$H$61,$J39))</f>
        <v/>
      </c>
      <c r="J39">
        <f>IFERROR(MATCH(34,休憩マスタ!$I$5:$I$61,0),"")</f>
        <v/>
      </c>
    </row>
    <row r="40">
      <c r="A40">
        <f>IF($J40="","",INDEX(休憩マスタ!$C$5:$C$61,$J40))</f>
        <v/>
      </c>
      <c r="B40">
        <f>IF($J40="","",INDEX(休憩マスタ!$D$5:$D$61,$J40))</f>
        <v/>
      </c>
      <c r="C40">
        <f>IF($J40="","",INDEX(休憩マスタ!$E$5:$E$61,$J40))</f>
        <v/>
      </c>
      <c r="D40">
        <f>IF($J40="","",INDEX(休憩マスタ!$B$5:$B$61,$J40))</f>
        <v/>
      </c>
      <c r="E40">
        <f>IF($J40="","",INDEX(休憩マスタ!$J$5:$J$61,$J40))</f>
        <v/>
      </c>
      <c r="F40">
        <f>IF($J40="","",INDEX(休憩マスタ!$F$5:$F$61,$J40))</f>
        <v/>
      </c>
      <c r="G40">
        <f>IF($J40="","",INDEX(休憩マスタ!$H$5:$H$61,$J40))</f>
        <v/>
      </c>
      <c r="J40">
        <f>IFERROR(MATCH(35,休憩マスタ!$I$5:$I$61,0),"")</f>
        <v/>
      </c>
    </row>
    <row r="41">
      <c r="A41">
        <f>IF($J41="","",INDEX(休憩マスタ!$C$5:$C$61,$J41))</f>
        <v/>
      </c>
      <c r="B41">
        <f>IF($J41="","",INDEX(休憩マスタ!$D$5:$D$61,$J41))</f>
        <v/>
      </c>
      <c r="C41">
        <f>IF($J41="","",INDEX(休憩マスタ!$E$5:$E$61,$J41))</f>
        <v/>
      </c>
      <c r="D41">
        <f>IF($J41="","",INDEX(休憩マスタ!$B$5:$B$61,$J41))</f>
        <v/>
      </c>
      <c r="E41">
        <f>IF($J41="","",INDEX(休憩マスタ!$J$5:$J$61,$J41))</f>
        <v/>
      </c>
      <c r="F41">
        <f>IF($J41="","",INDEX(休憩マスタ!$F$5:$F$61,$J41))</f>
        <v/>
      </c>
      <c r="G41">
        <f>IF($J41="","",INDEX(休憩マスタ!$H$5:$H$61,$J41))</f>
        <v/>
      </c>
      <c r="J41">
        <f>IFERROR(MATCH(36,休憩マスタ!$I$5:$I$61,0),"")</f>
        <v/>
      </c>
    </row>
    <row r="42">
      <c r="A42">
        <f>IF($J42="","",INDEX(休憩マスタ!$C$5:$C$61,$J42))</f>
        <v/>
      </c>
      <c r="B42">
        <f>IF($J42="","",INDEX(休憩マスタ!$D$5:$D$61,$J42))</f>
        <v/>
      </c>
      <c r="C42">
        <f>IF($J42="","",INDEX(休憩マスタ!$E$5:$E$61,$J42))</f>
        <v/>
      </c>
      <c r="D42">
        <f>IF($J42="","",INDEX(休憩マスタ!$B$5:$B$61,$J42))</f>
        <v/>
      </c>
      <c r="E42">
        <f>IF($J42="","",INDEX(休憩マスタ!$J$5:$J$61,$J42))</f>
        <v/>
      </c>
      <c r="F42">
        <f>IF($J42="","",INDEX(休憩マスタ!$F$5:$F$61,$J42))</f>
        <v/>
      </c>
      <c r="G42">
        <f>IF($J42="","",INDEX(休憩マスタ!$H$5:$H$61,$J42))</f>
        <v/>
      </c>
      <c r="J42">
        <f>IFERROR(MATCH(37,休憩マスタ!$I$5:$I$61,0),"")</f>
        <v/>
      </c>
    </row>
    <row r="43">
      <c r="A43">
        <f>IF($J43="","",INDEX(休憩マスタ!$C$5:$C$61,$J43))</f>
        <v/>
      </c>
      <c r="B43">
        <f>IF($J43="","",INDEX(休憩マスタ!$D$5:$D$61,$J43))</f>
        <v/>
      </c>
      <c r="C43">
        <f>IF($J43="","",INDEX(休憩マスタ!$E$5:$E$61,$J43))</f>
        <v/>
      </c>
      <c r="D43">
        <f>IF($J43="","",INDEX(休憩マスタ!$B$5:$B$61,$J43))</f>
        <v/>
      </c>
      <c r="E43">
        <f>IF($J43="","",INDEX(休憩マスタ!$J$5:$J$61,$J43))</f>
        <v/>
      </c>
      <c r="F43">
        <f>IF($J43="","",INDEX(休憩マスタ!$F$5:$F$61,$J43))</f>
        <v/>
      </c>
      <c r="G43">
        <f>IF($J43="","",INDEX(休憩マスタ!$H$5:$H$61,$J43))</f>
        <v/>
      </c>
      <c r="J43">
        <f>IFERROR(MATCH(38,休憩マスタ!$I$5:$I$61,0),"")</f>
        <v/>
      </c>
    </row>
    <row r="44">
      <c r="A44">
        <f>IF($J44="","",INDEX(休憩マスタ!$C$5:$C$61,$J44))</f>
        <v/>
      </c>
      <c r="B44">
        <f>IF($J44="","",INDEX(休憩マスタ!$D$5:$D$61,$J44))</f>
        <v/>
      </c>
      <c r="C44">
        <f>IF($J44="","",INDEX(休憩マスタ!$E$5:$E$61,$J44))</f>
        <v/>
      </c>
      <c r="D44">
        <f>IF($J44="","",INDEX(休憩マスタ!$B$5:$B$61,$J44))</f>
        <v/>
      </c>
      <c r="E44">
        <f>IF($J44="","",INDEX(休憩マスタ!$J$5:$J$61,$J44))</f>
        <v/>
      </c>
      <c r="F44">
        <f>IF($J44="","",INDEX(休憩マスタ!$F$5:$F$61,$J44))</f>
        <v/>
      </c>
      <c r="G44">
        <f>IF($J44="","",INDEX(休憩マスタ!$H$5:$H$61,$J44))</f>
        <v/>
      </c>
      <c r="J44">
        <f>IFERROR(MATCH(39,休憩マスタ!$I$5:$I$61,0),"")</f>
        <v/>
      </c>
    </row>
    <row r="45">
      <c r="A45">
        <f>IF($J45="","",INDEX(休憩マスタ!$C$5:$C$61,$J45))</f>
        <v/>
      </c>
      <c r="B45">
        <f>IF($J45="","",INDEX(休憩マスタ!$D$5:$D$61,$J45))</f>
        <v/>
      </c>
      <c r="C45">
        <f>IF($J45="","",INDEX(休憩マスタ!$E$5:$E$61,$J45))</f>
        <v/>
      </c>
      <c r="D45">
        <f>IF($J45="","",INDEX(休憩マスタ!$B$5:$B$61,$J45))</f>
        <v/>
      </c>
      <c r="E45">
        <f>IF($J45="","",INDEX(休憩マスタ!$J$5:$J$61,$J45))</f>
        <v/>
      </c>
      <c r="F45">
        <f>IF($J45="","",INDEX(休憩マスタ!$F$5:$F$61,$J45))</f>
        <v/>
      </c>
      <c r="G45">
        <f>IF($J45="","",INDEX(休憩マスタ!$H$5:$H$61,$J45))</f>
        <v/>
      </c>
      <c r="J45">
        <f>IFERROR(MATCH(40,休憩マスタ!$I$5:$I$61,0),"")</f>
        <v/>
      </c>
    </row>
    <row r="46">
      <c r="A46">
        <f>IF($J46="","",INDEX(休憩マスタ!$C$5:$C$61,$J46))</f>
        <v/>
      </c>
      <c r="B46">
        <f>IF($J46="","",INDEX(休憩マスタ!$D$5:$D$61,$J46))</f>
        <v/>
      </c>
      <c r="C46">
        <f>IF($J46="","",INDEX(休憩マスタ!$E$5:$E$61,$J46))</f>
        <v/>
      </c>
      <c r="D46">
        <f>IF($J46="","",INDEX(休憩マスタ!$B$5:$B$61,$J46))</f>
        <v/>
      </c>
      <c r="E46">
        <f>IF($J46="","",INDEX(休憩マスタ!$J$5:$J$61,$J46))</f>
        <v/>
      </c>
      <c r="F46">
        <f>IF($J46="","",INDEX(休憩マスタ!$F$5:$F$61,$J46))</f>
        <v/>
      </c>
      <c r="G46">
        <f>IF($J46="","",INDEX(休憩マスタ!$H$5:$H$61,$J46))</f>
        <v/>
      </c>
      <c r="J46">
        <f>IFERROR(MATCH(41,休憩マスタ!$I$5:$I$61,0),"")</f>
        <v/>
      </c>
    </row>
    <row r="47">
      <c r="A47">
        <f>IF($J47="","",INDEX(休憩マスタ!$C$5:$C$61,$J47))</f>
        <v/>
      </c>
      <c r="B47">
        <f>IF($J47="","",INDEX(休憩マスタ!$D$5:$D$61,$J47))</f>
        <v/>
      </c>
      <c r="C47">
        <f>IF($J47="","",INDEX(休憩マスタ!$E$5:$E$61,$J47))</f>
        <v/>
      </c>
      <c r="D47">
        <f>IF($J47="","",INDEX(休憩マスタ!$B$5:$B$61,$J47))</f>
        <v/>
      </c>
      <c r="E47">
        <f>IF($J47="","",INDEX(休憩マスタ!$J$5:$J$61,$J47))</f>
        <v/>
      </c>
      <c r="F47">
        <f>IF($J47="","",INDEX(休憩マスタ!$F$5:$F$61,$J47))</f>
        <v/>
      </c>
      <c r="G47">
        <f>IF($J47="","",INDEX(休憩マスタ!$H$5:$H$61,$J47))</f>
        <v/>
      </c>
      <c r="J47">
        <f>IFERROR(MATCH(42,休憩マスタ!$I$5:$I$61,0),"")</f>
        <v/>
      </c>
    </row>
    <row r="48">
      <c r="A48">
        <f>IF($J48="","",INDEX(休憩マスタ!$C$5:$C$61,$J48))</f>
        <v/>
      </c>
      <c r="B48">
        <f>IF($J48="","",INDEX(休憩マスタ!$D$5:$D$61,$J48))</f>
        <v/>
      </c>
      <c r="C48">
        <f>IF($J48="","",INDEX(休憩マスタ!$E$5:$E$61,$J48))</f>
        <v/>
      </c>
      <c r="D48">
        <f>IF($J48="","",INDEX(休憩マスタ!$B$5:$B$61,$J48))</f>
        <v/>
      </c>
      <c r="E48">
        <f>IF($J48="","",INDEX(休憩マスタ!$J$5:$J$61,$J48))</f>
        <v/>
      </c>
      <c r="F48">
        <f>IF($J48="","",INDEX(休憩マスタ!$F$5:$F$61,$J48))</f>
        <v/>
      </c>
      <c r="G48">
        <f>IF($J48="","",INDEX(休憩マスタ!$H$5:$H$61,$J48))</f>
        <v/>
      </c>
      <c r="J48">
        <f>IFERROR(MATCH(43,休憩マスタ!$I$5:$I$61,0),"")</f>
        <v/>
      </c>
    </row>
    <row r="49">
      <c r="A49">
        <f>IF($J49="","",INDEX(休憩マスタ!$C$5:$C$61,$J49))</f>
        <v/>
      </c>
      <c r="B49">
        <f>IF($J49="","",INDEX(休憩マスタ!$D$5:$D$61,$J49))</f>
        <v/>
      </c>
      <c r="C49">
        <f>IF($J49="","",INDEX(休憩マスタ!$E$5:$E$61,$J49))</f>
        <v/>
      </c>
      <c r="D49">
        <f>IF($J49="","",INDEX(休憩マスタ!$B$5:$B$61,$J49))</f>
        <v/>
      </c>
      <c r="E49">
        <f>IF($J49="","",INDEX(休憩マスタ!$J$5:$J$61,$J49))</f>
        <v/>
      </c>
      <c r="F49">
        <f>IF($J49="","",INDEX(休憩マスタ!$F$5:$F$61,$J49))</f>
        <v/>
      </c>
      <c r="G49">
        <f>IF($J49="","",INDEX(休憩マスタ!$H$5:$H$61,$J49))</f>
        <v/>
      </c>
      <c r="J49">
        <f>IFERROR(MATCH(44,休憩マスタ!$I$5:$I$61,0),"")</f>
        <v/>
      </c>
    </row>
    <row r="50">
      <c r="A50">
        <f>IF($J50="","",INDEX(休憩マスタ!$C$5:$C$61,$J50))</f>
        <v/>
      </c>
      <c r="B50">
        <f>IF($J50="","",INDEX(休憩マスタ!$D$5:$D$61,$J50))</f>
        <v/>
      </c>
      <c r="C50">
        <f>IF($J50="","",INDEX(休憩マスタ!$E$5:$E$61,$J50))</f>
        <v/>
      </c>
      <c r="D50">
        <f>IF($J50="","",INDEX(休憩マスタ!$B$5:$B$61,$J50))</f>
        <v/>
      </c>
      <c r="E50">
        <f>IF($J50="","",INDEX(休憩マスタ!$J$5:$J$61,$J50))</f>
        <v/>
      </c>
      <c r="F50">
        <f>IF($J50="","",INDEX(休憩マスタ!$F$5:$F$61,$J50))</f>
        <v/>
      </c>
      <c r="G50">
        <f>IF($J50="","",INDEX(休憩マスタ!$H$5:$H$61,$J50))</f>
        <v/>
      </c>
      <c r="J50">
        <f>IFERROR(MATCH(45,休憩マスタ!$I$5:$I$61,0),"")</f>
        <v/>
      </c>
    </row>
    <row r="51">
      <c r="A51">
        <f>IF($J51="","",INDEX(休憩マスタ!$C$5:$C$61,$J51))</f>
        <v/>
      </c>
      <c r="B51">
        <f>IF($J51="","",INDEX(休憩マスタ!$D$5:$D$61,$J51))</f>
        <v/>
      </c>
      <c r="C51">
        <f>IF($J51="","",INDEX(休憩マスタ!$E$5:$E$61,$J51))</f>
        <v/>
      </c>
      <c r="D51">
        <f>IF($J51="","",INDEX(休憩マスタ!$B$5:$B$61,$J51))</f>
        <v/>
      </c>
      <c r="E51">
        <f>IF($J51="","",INDEX(休憩マスタ!$J$5:$J$61,$J51))</f>
        <v/>
      </c>
      <c r="F51">
        <f>IF($J51="","",INDEX(休憩マスタ!$F$5:$F$61,$J51))</f>
        <v/>
      </c>
      <c r="G51">
        <f>IF($J51="","",INDEX(休憩マスタ!$H$5:$H$61,$J51))</f>
        <v/>
      </c>
      <c r="J51">
        <f>IFERROR(MATCH(46,休憩マスタ!$I$5:$I$61,0),"")</f>
        <v/>
      </c>
    </row>
    <row r="52">
      <c r="A52">
        <f>IF($J52="","",INDEX(休憩マスタ!$C$5:$C$61,$J52))</f>
        <v/>
      </c>
      <c r="B52">
        <f>IF($J52="","",INDEX(休憩マスタ!$D$5:$D$61,$J52))</f>
        <v/>
      </c>
      <c r="C52">
        <f>IF($J52="","",INDEX(休憩マスタ!$E$5:$E$61,$J52))</f>
        <v/>
      </c>
      <c r="D52">
        <f>IF($J52="","",INDEX(休憩マスタ!$B$5:$B$61,$J52))</f>
        <v/>
      </c>
      <c r="E52">
        <f>IF($J52="","",INDEX(休憩マスタ!$J$5:$J$61,$J52))</f>
        <v/>
      </c>
      <c r="F52">
        <f>IF($J52="","",INDEX(休憩マスタ!$F$5:$F$61,$J52))</f>
        <v/>
      </c>
      <c r="G52">
        <f>IF($J52="","",INDEX(休憩マスタ!$H$5:$H$61,$J52))</f>
        <v/>
      </c>
      <c r="J52">
        <f>IFERROR(MATCH(47,休憩マスタ!$I$5:$I$61,0),"")</f>
        <v/>
      </c>
    </row>
    <row r="53">
      <c r="A53">
        <f>IF($J53="","",INDEX(休憩マスタ!$C$5:$C$61,$J53))</f>
        <v/>
      </c>
      <c r="B53">
        <f>IF($J53="","",INDEX(休憩マスタ!$D$5:$D$61,$J53))</f>
        <v/>
      </c>
      <c r="C53">
        <f>IF($J53="","",INDEX(休憩マスタ!$E$5:$E$61,$J53))</f>
        <v/>
      </c>
      <c r="D53">
        <f>IF($J53="","",INDEX(休憩マスタ!$B$5:$B$61,$J53))</f>
        <v/>
      </c>
      <c r="E53">
        <f>IF($J53="","",INDEX(休憩マスタ!$J$5:$J$61,$J53))</f>
        <v/>
      </c>
      <c r="F53">
        <f>IF($J53="","",INDEX(休憩マスタ!$F$5:$F$61,$J53))</f>
        <v/>
      </c>
      <c r="G53">
        <f>IF($J53="","",INDEX(休憩マスタ!$H$5:$H$61,$J53))</f>
        <v/>
      </c>
      <c r="J53">
        <f>IFERROR(MATCH(48,休憩マスタ!$I$5:$I$61,0),"")</f>
        <v/>
      </c>
    </row>
    <row r="54">
      <c r="A54">
        <f>IF($J54="","",INDEX(休憩マスタ!$C$5:$C$61,$J54))</f>
        <v/>
      </c>
      <c r="B54">
        <f>IF($J54="","",INDEX(休憩マスタ!$D$5:$D$61,$J54))</f>
        <v/>
      </c>
      <c r="C54">
        <f>IF($J54="","",INDEX(休憩マスタ!$E$5:$E$61,$J54))</f>
        <v/>
      </c>
      <c r="D54">
        <f>IF($J54="","",INDEX(休憩マスタ!$B$5:$B$61,$J54))</f>
        <v/>
      </c>
      <c r="E54">
        <f>IF($J54="","",INDEX(休憩マスタ!$J$5:$J$61,$J54))</f>
        <v/>
      </c>
      <c r="F54">
        <f>IF($J54="","",INDEX(休憩マスタ!$F$5:$F$61,$J54))</f>
        <v/>
      </c>
      <c r="G54">
        <f>IF($J54="","",INDEX(休憩マスタ!$H$5:$H$61,$J54))</f>
        <v/>
      </c>
      <c r="J54">
        <f>IFERROR(MATCH(49,休憩マスタ!$I$5:$I$61,0),"")</f>
        <v/>
      </c>
    </row>
    <row r="55">
      <c r="A55">
        <f>IF($J55="","",INDEX(休憩マスタ!$C$5:$C$61,$J55))</f>
        <v/>
      </c>
      <c r="B55">
        <f>IF($J55="","",INDEX(休憩マスタ!$D$5:$D$61,$J55))</f>
        <v/>
      </c>
      <c r="C55">
        <f>IF($J55="","",INDEX(休憩マスタ!$E$5:$E$61,$J55))</f>
        <v/>
      </c>
      <c r="D55">
        <f>IF($J55="","",INDEX(休憩マスタ!$B$5:$B$61,$J55))</f>
        <v/>
      </c>
      <c r="E55">
        <f>IF($J55="","",INDEX(休憩マスタ!$J$5:$J$61,$J55))</f>
        <v/>
      </c>
      <c r="F55">
        <f>IF($J55="","",INDEX(休憩マスタ!$F$5:$F$61,$J55))</f>
        <v/>
      </c>
      <c r="G55">
        <f>IF($J55="","",INDEX(休憩マスタ!$H$5:$H$61,$J55))</f>
        <v/>
      </c>
      <c r="J55">
        <f>IFERROR(MATCH(50,休憩マスタ!$I$5:$I$61,0),"")</f>
        <v/>
      </c>
    </row>
    <row r="56">
      <c r="A56">
        <f>IF($J56="","",INDEX(休憩マスタ!$C$5:$C$61,$J56))</f>
        <v/>
      </c>
      <c r="B56">
        <f>IF($J56="","",INDEX(休憩マスタ!$D$5:$D$61,$J56))</f>
        <v/>
      </c>
      <c r="C56">
        <f>IF($J56="","",INDEX(休憩マスタ!$E$5:$E$61,$J56))</f>
        <v/>
      </c>
      <c r="D56">
        <f>IF($J56="","",INDEX(休憩マスタ!$B$5:$B$61,$J56))</f>
        <v/>
      </c>
      <c r="E56">
        <f>IF($J56="","",INDEX(休憩マスタ!$J$5:$J$61,$J56))</f>
        <v/>
      </c>
      <c r="F56">
        <f>IF($J56="","",INDEX(休憩マスタ!$F$5:$F$61,$J56))</f>
        <v/>
      </c>
      <c r="G56">
        <f>IF($J56="","",INDEX(休憩マスタ!$H$5:$H$61,$J56))</f>
        <v/>
      </c>
      <c r="J56">
        <f>IFERROR(MATCH(51,休憩マスタ!$I$5:$I$61,0),"")</f>
        <v/>
      </c>
    </row>
    <row r="57">
      <c r="A57">
        <f>IF($J57="","",INDEX(休憩マスタ!$C$5:$C$61,$J57))</f>
        <v/>
      </c>
      <c r="B57">
        <f>IF($J57="","",INDEX(休憩マスタ!$D$5:$D$61,$J57))</f>
        <v/>
      </c>
      <c r="C57">
        <f>IF($J57="","",INDEX(休憩マスタ!$E$5:$E$61,$J57))</f>
        <v/>
      </c>
      <c r="D57">
        <f>IF($J57="","",INDEX(休憩マスタ!$B$5:$B$61,$J57))</f>
        <v/>
      </c>
      <c r="E57">
        <f>IF($J57="","",INDEX(休憩マスタ!$J$5:$J$61,$J57))</f>
        <v/>
      </c>
      <c r="F57">
        <f>IF($J57="","",INDEX(休憩マスタ!$F$5:$F$61,$J57))</f>
        <v/>
      </c>
      <c r="G57">
        <f>IF($J57="","",INDEX(休憩マスタ!$H$5:$H$61,$J57))</f>
        <v/>
      </c>
      <c r="J57">
        <f>IFERROR(MATCH(52,休憩マスタ!$I$5:$I$61,0),"")</f>
        <v/>
      </c>
    </row>
    <row r="58">
      <c r="A58">
        <f>IF($J58="","",INDEX(休憩マスタ!$C$5:$C$61,$J58))</f>
        <v/>
      </c>
      <c r="B58">
        <f>IF($J58="","",INDEX(休憩マスタ!$D$5:$D$61,$J58))</f>
        <v/>
      </c>
      <c r="C58">
        <f>IF($J58="","",INDEX(休憩マスタ!$E$5:$E$61,$J58))</f>
        <v/>
      </c>
      <c r="D58">
        <f>IF($J58="","",INDEX(休憩マスタ!$B$5:$B$61,$J58))</f>
        <v/>
      </c>
      <c r="E58">
        <f>IF($J58="","",INDEX(休憩マスタ!$J$5:$J$61,$J58))</f>
        <v/>
      </c>
      <c r="F58">
        <f>IF($J58="","",INDEX(休憩マスタ!$F$5:$F$61,$J58))</f>
        <v/>
      </c>
      <c r="G58">
        <f>IF($J58="","",INDEX(休憩マスタ!$H$5:$H$61,$J58))</f>
        <v/>
      </c>
      <c r="J58">
        <f>IFERROR(MATCH(53,休憩マスタ!$I$5:$I$61,0),"")</f>
        <v/>
      </c>
    </row>
    <row r="59">
      <c r="A59">
        <f>IF($J59="","",INDEX(休憩マスタ!$C$5:$C$61,$J59))</f>
        <v/>
      </c>
      <c r="B59">
        <f>IF($J59="","",INDEX(休憩マスタ!$D$5:$D$61,$J59))</f>
        <v/>
      </c>
      <c r="C59">
        <f>IF($J59="","",INDEX(休憩マスタ!$E$5:$E$61,$J59))</f>
        <v/>
      </c>
      <c r="D59">
        <f>IF($J59="","",INDEX(休憩マスタ!$B$5:$B$61,$J59))</f>
        <v/>
      </c>
      <c r="E59">
        <f>IF($J59="","",INDEX(休憩マスタ!$J$5:$J$61,$J59))</f>
        <v/>
      </c>
      <c r="F59">
        <f>IF($J59="","",INDEX(休憩マスタ!$F$5:$F$61,$J59))</f>
        <v/>
      </c>
      <c r="G59">
        <f>IF($J59="","",INDEX(休憩マスタ!$H$5:$H$61,$J59))</f>
        <v/>
      </c>
      <c r="J59">
        <f>IFERROR(MATCH(54,休憩マスタ!$I$5:$I$61,0),"")</f>
        <v/>
      </c>
    </row>
    <row r="60">
      <c r="A60">
        <f>IF($J60="","",INDEX(休憩マスタ!$C$5:$C$61,$J60))</f>
        <v/>
      </c>
      <c r="B60">
        <f>IF($J60="","",INDEX(休憩マスタ!$D$5:$D$61,$J60))</f>
        <v/>
      </c>
      <c r="C60">
        <f>IF($J60="","",INDEX(休憩マスタ!$E$5:$E$61,$J60))</f>
        <v/>
      </c>
      <c r="D60">
        <f>IF($J60="","",INDEX(休憩マスタ!$B$5:$B$61,$J60))</f>
        <v/>
      </c>
      <c r="E60">
        <f>IF($J60="","",INDEX(休憩マスタ!$J$5:$J$61,$J60))</f>
        <v/>
      </c>
      <c r="F60">
        <f>IF($J60="","",INDEX(休憩マスタ!$F$5:$F$61,$J60))</f>
        <v/>
      </c>
      <c r="G60">
        <f>IF($J60="","",INDEX(休憩マスタ!$H$5:$H$61,$J60))</f>
        <v/>
      </c>
      <c r="J60">
        <f>IFERROR(MATCH(55,休憩マスタ!$I$5:$I$61,0),"")</f>
        <v/>
      </c>
    </row>
    <row r="61">
      <c r="A61">
        <f>IF($J61="","",INDEX(休憩マスタ!$C$5:$C$61,$J61))</f>
        <v/>
      </c>
      <c r="B61">
        <f>IF($J61="","",INDEX(休憩マスタ!$D$5:$D$61,$J61))</f>
        <v/>
      </c>
      <c r="C61">
        <f>IF($J61="","",INDEX(休憩マスタ!$E$5:$E$61,$J61))</f>
        <v/>
      </c>
      <c r="D61">
        <f>IF($J61="","",INDEX(休憩マスタ!$B$5:$B$61,$J61))</f>
        <v/>
      </c>
      <c r="E61">
        <f>IF($J61="","",INDEX(休憩マスタ!$J$5:$J$61,$J61))</f>
        <v/>
      </c>
      <c r="F61">
        <f>IF($J61="","",INDEX(休憩マスタ!$F$5:$F$61,$J61))</f>
        <v/>
      </c>
      <c r="G61">
        <f>IF($J61="","",INDEX(休憩マスタ!$H$5:$H$61,$J61))</f>
        <v/>
      </c>
      <c r="J61">
        <f>IFERROR(MATCH(56,休憩マスタ!$I$5:$I$61,0),"")</f>
        <v/>
      </c>
    </row>
    <row r="62">
      <c r="A62">
        <f>IF($J62="","",INDEX(休憩マスタ!$C$5:$C$61,$J62))</f>
        <v/>
      </c>
      <c r="B62">
        <f>IF($J62="","",INDEX(休憩マスタ!$D$5:$D$61,$J62))</f>
        <v/>
      </c>
      <c r="C62">
        <f>IF($J62="","",INDEX(休憩マスタ!$E$5:$E$61,$J62))</f>
        <v/>
      </c>
      <c r="D62">
        <f>IF($J62="","",INDEX(休憩マスタ!$B$5:$B$61,$J62))</f>
        <v/>
      </c>
      <c r="E62">
        <f>IF($J62="","",INDEX(休憩マスタ!$J$5:$J$61,$J62))</f>
        <v/>
      </c>
      <c r="F62">
        <f>IF($J62="","",INDEX(休憩マスタ!$F$5:$F$61,$J62))</f>
        <v/>
      </c>
      <c r="G62">
        <f>IF($J62="","",INDEX(休憩マスタ!$H$5:$H$61,$J62))</f>
        <v/>
      </c>
      <c r="J62">
        <f>IFERROR(MATCH(57,休憩マスタ!$I$5:$I$61,0),"")</f>
        <v/>
      </c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753"/>
  <sheetViews>
    <sheetView tabSelected="1" zoomScaleNormal="100" workbookViewId="0">
      <pane ySplit="1" topLeftCell="A2" activePane="bottomLeft" state="frozen"/>
      <selection pane="bottomLeft" activeCell="H2" sqref="H1:I1048576"/>
    </sheetView>
  </sheetViews>
  <sheetFormatPr baseColWidth="8" defaultColWidth="8.7109375" defaultRowHeight="15"/>
  <cols>
    <col width="11.140625" bestFit="1" customWidth="1" style="37" min="1" max="1"/>
    <col width="13.5703125" bestFit="1" customWidth="1" style="37" min="2" max="2"/>
    <col width="11.140625" bestFit="1" customWidth="1" style="37" min="3" max="4"/>
    <col width="16.42578125" bestFit="1" customWidth="1" style="37" min="5" max="5"/>
    <col width="16.140625" bestFit="1" customWidth="1" style="37" min="6" max="6"/>
    <col width="13.5703125" bestFit="1" customWidth="1" style="37" min="7" max="7"/>
    <col width="6.5703125" bestFit="1" customWidth="1" style="37" min="8" max="8"/>
    <col width="8.5703125" bestFit="1" customWidth="1" style="37" min="9" max="9"/>
    <col width="6.28515625" bestFit="1" customWidth="1" style="37" min="10" max="10"/>
    <col width="10.7109375" bestFit="1" customWidth="1" style="37" min="11" max="11"/>
    <col width="13.140625" bestFit="1" customWidth="1" style="37" min="12" max="13"/>
    <col width="11.5703125" bestFit="1" customWidth="1" style="37" min="14" max="14"/>
    <col width="62" customWidth="1" style="37" min="15" max="15"/>
    <col width="14" customWidth="1" style="37" min="16" max="16"/>
  </cols>
  <sheetData>
    <row r="1" ht="15" customHeight="1" s="37">
      <c r="A1" s="5" t="inlineStr">
        <is>
          <t>系統</t>
        </is>
      </c>
      <c r="B1" s="5" t="inlineStr">
        <is>
          <t>ダイヤ</t>
        </is>
      </c>
      <c r="C1" s="5" t="inlineStr">
        <is>
          <t>路線</t>
        </is>
      </c>
      <c r="D1" s="5" t="inlineStr">
        <is>
          <t>方向</t>
        </is>
      </c>
      <c r="E1" s="5" t="inlineStr">
        <is>
          <t>列車番号</t>
        </is>
      </c>
      <c r="F1" s="5" t="inlineStr">
        <is>
          <t>放送番号</t>
        </is>
      </c>
      <c r="G1" s="5" t="inlineStr">
        <is>
          <t>駅</t>
        </is>
      </c>
      <c r="H1" s="5" t="inlineStr">
        <is>
          <t>着発</t>
        </is>
      </c>
      <c r="I1" s="10" t="inlineStr">
        <is>
          <t>日跨ぎ</t>
        </is>
      </c>
      <c r="J1" s="10" t="inlineStr">
        <is>
          <t>種別</t>
        </is>
      </c>
      <c r="K1" s="10" t="inlineStr">
        <is>
          <t>充当</t>
        </is>
      </c>
      <c r="L1" s="32" t="inlineStr">
        <is>
          <t>着時刻(秒)</t>
        </is>
      </c>
      <c r="M1" s="32" t="inlineStr">
        <is>
          <t>発時刻(秒)</t>
        </is>
      </c>
      <c r="N1" s="33" t="inlineStr">
        <is>
          <t>車内集札</t>
        </is>
      </c>
      <c r="O1" s="33" t="inlineStr">
        <is>
          <t>金庫</t>
        </is>
      </c>
      <c r="P1" s="33" t="inlineStr">
        <is>
          <t>後部要員</t>
        </is>
      </c>
      <c r="Q1" t="inlineStr">
        <is>
          <t>番線</t>
        </is>
      </c>
      <c r="R1" t="inlineStr">
        <is>
          <t>西院止まり</t>
        </is>
      </c>
      <c r="S1" t="inlineStr">
        <is>
          <t>便乗表示列番</t>
        </is>
      </c>
      <c r="T1" t="inlineStr">
        <is>
          <t>退勤</t>
        </is>
      </c>
      <c r="U1" t="inlineStr">
        <is>
          <t>次休憩</t>
        </is>
      </c>
    </row>
    <row r="2" ht="15" customHeight="1" s="37">
      <c r="A2" t="n">
        <v>1</v>
      </c>
      <c r="B2" s="10" t="inlineStr">
        <is>
          <t>休日</t>
        </is>
      </c>
      <c r="C2" s="10" t="inlineStr">
        <is>
          <t>本線</t>
        </is>
      </c>
      <c r="D2" s="10" t="inlineStr">
        <is>
          <t>下り</t>
        </is>
      </c>
      <c r="E2" t="inlineStr">
        <is>
          <t>0501</t>
        </is>
      </c>
      <c r="F2" t="inlineStr">
        <is>
          <t>0502</t>
        </is>
      </c>
      <c r="G2" s="10" t="inlineStr">
        <is>
          <t>西院</t>
        </is>
      </c>
      <c r="H2" s="10" t="inlineStr">
        <is>
          <t>発</t>
        </is>
      </c>
      <c r="J2" s="10" t="inlineStr">
        <is>
          <t>営業</t>
        </is>
      </c>
      <c r="M2" t="inlineStr">
        <is>
          <t>5:30:20</t>
        </is>
      </c>
    </row>
    <row r="3" ht="15" customHeight="1" s="37">
      <c r="A3" t="n">
        <v>1</v>
      </c>
      <c r="B3" s="10" t="inlineStr">
        <is>
          <t>休日</t>
        </is>
      </c>
      <c r="C3" s="10" t="inlineStr">
        <is>
          <t>本線</t>
        </is>
      </c>
      <c r="D3" s="10" t="inlineStr">
        <is>
          <t>下り</t>
        </is>
      </c>
      <c r="E3" t="inlineStr">
        <is>
          <t>0501</t>
        </is>
      </c>
      <c r="F3" t="inlineStr">
        <is>
          <t>0502</t>
        </is>
      </c>
      <c r="G3" s="10" t="inlineStr">
        <is>
          <t>西大路三条</t>
        </is>
      </c>
      <c r="H3" s="10" t="inlineStr">
        <is>
          <t>発</t>
        </is>
      </c>
      <c r="J3" s="10" t="inlineStr">
        <is>
          <t>営業</t>
        </is>
      </c>
      <c r="L3" t="inlineStr">
        <is>
          <t>5:32:10</t>
        </is>
      </c>
      <c r="M3" t="inlineStr">
        <is>
          <t>5:32:25</t>
        </is>
      </c>
    </row>
    <row r="4" ht="15" customHeight="1" s="37">
      <c r="A4" t="n">
        <v>1</v>
      </c>
      <c r="B4" s="10" t="inlineStr">
        <is>
          <t>休日</t>
        </is>
      </c>
      <c r="C4" s="10" t="inlineStr">
        <is>
          <t>本線</t>
        </is>
      </c>
      <c r="D4" s="10" t="inlineStr">
        <is>
          <t>下り</t>
        </is>
      </c>
      <c r="E4" t="inlineStr">
        <is>
          <t>0501</t>
        </is>
      </c>
      <c r="F4" t="inlineStr">
        <is>
          <t>0502</t>
        </is>
      </c>
      <c r="G4" s="10" t="inlineStr">
        <is>
          <t>山ノ内</t>
        </is>
      </c>
      <c r="H4" s="10" t="inlineStr">
        <is>
          <t>発</t>
        </is>
      </c>
      <c r="J4" s="10" t="inlineStr">
        <is>
          <t>営業</t>
        </is>
      </c>
      <c r="L4" t="inlineStr">
        <is>
          <t>5:34:20</t>
        </is>
      </c>
      <c r="M4" t="inlineStr">
        <is>
          <t>5:34:45</t>
        </is>
      </c>
    </row>
    <row r="5" ht="15" customHeight="1" s="37">
      <c r="A5" t="n">
        <v>1</v>
      </c>
      <c r="B5" s="10" t="inlineStr">
        <is>
          <t>休日</t>
        </is>
      </c>
      <c r="C5" s="10" t="inlineStr">
        <is>
          <t>本線</t>
        </is>
      </c>
      <c r="D5" s="10" t="inlineStr">
        <is>
          <t>下り</t>
        </is>
      </c>
      <c r="E5" t="inlineStr">
        <is>
          <t>0501</t>
        </is>
      </c>
      <c r="F5" t="inlineStr">
        <is>
          <t>0502</t>
        </is>
      </c>
      <c r="G5" s="10" t="inlineStr">
        <is>
          <t>天神川</t>
        </is>
      </c>
      <c r="H5" s="10" t="inlineStr">
        <is>
          <t>発</t>
        </is>
      </c>
      <c r="J5" s="10" t="inlineStr">
        <is>
          <t>営業</t>
        </is>
      </c>
      <c r="L5" t="inlineStr">
        <is>
          <t>5:36:45</t>
        </is>
      </c>
      <c r="M5" t="inlineStr">
        <is>
          <t>5:37:10</t>
        </is>
      </c>
    </row>
    <row r="6" ht="15" customHeight="1" s="37">
      <c r="A6" t="n">
        <v>1</v>
      </c>
      <c r="B6" s="10" t="inlineStr">
        <is>
          <t>休日</t>
        </is>
      </c>
      <c r="C6" s="10" t="inlineStr">
        <is>
          <t>本線</t>
        </is>
      </c>
      <c r="D6" s="10" t="inlineStr">
        <is>
          <t>下り</t>
        </is>
      </c>
      <c r="E6" t="inlineStr">
        <is>
          <t>0501</t>
        </is>
      </c>
      <c r="F6" t="inlineStr">
        <is>
          <t>0502</t>
        </is>
      </c>
      <c r="G6" s="10" t="inlineStr">
        <is>
          <t>蚕ノ社</t>
        </is>
      </c>
      <c r="H6" s="10" t="inlineStr">
        <is>
          <t>発</t>
        </is>
      </c>
      <c r="J6" s="10" t="inlineStr">
        <is>
          <t>営業</t>
        </is>
      </c>
      <c r="L6" t="inlineStr">
        <is>
          <t>5:38:00</t>
        </is>
      </c>
      <c r="M6" t="inlineStr">
        <is>
          <t>5:38:15</t>
        </is>
      </c>
    </row>
    <row r="7" ht="15" customHeight="1" s="37">
      <c r="A7" t="n">
        <v>1</v>
      </c>
      <c r="B7" s="10" t="inlineStr">
        <is>
          <t>休日</t>
        </is>
      </c>
      <c r="C7" s="10" t="inlineStr">
        <is>
          <t>本線</t>
        </is>
      </c>
      <c r="D7" s="10" t="inlineStr">
        <is>
          <t>下り</t>
        </is>
      </c>
      <c r="E7" t="inlineStr">
        <is>
          <t>0501</t>
        </is>
      </c>
      <c r="F7" t="inlineStr">
        <is>
          <t>0502</t>
        </is>
      </c>
      <c r="G7" s="10" t="inlineStr">
        <is>
          <t>太秦広隆寺</t>
        </is>
      </c>
      <c r="H7" s="10" t="inlineStr">
        <is>
          <t>発</t>
        </is>
      </c>
      <c r="J7" s="10" t="inlineStr">
        <is>
          <t>営業</t>
        </is>
      </c>
      <c r="L7" t="inlineStr">
        <is>
          <t>5:39:35</t>
        </is>
      </c>
      <c r="M7" t="inlineStr">
        <is>
          <t>5:39:50</t>
        </is>
      </c>
    </row>
    <row r="8" ht="15" customHeight="1" s="37">
      <c r="A8" t="n">
        <v>1</v>
      </c>
      <c r="B8" s="10" t="inlineStr">
        <is>
          <t>休日</t>
        </is>
      </c>
      <c r="C8" s="10" t="inlineStr">
        <is>
          <t>本線</t>
        </is>
      </c>
      <c r="D8" s="10" t="inlineStr">
        <is>
          <t>下り</t>
        </is>
      </c>
      <c r="E8" t="inlineStr">
        <is>
          <t>0501</t>
        </is>
      </c>
      <c r="F8" t="inlineStr">
        <is>
          <t>0502</t>
        </is>
      </c>
      <c r="G8" s="10" t="inlineStr">
        <is>
          <t>帷子ノ辻</t>
        </is>
      </c>
      <c r="H8" s="10" t="inlineStr">
        <is>
          <t>発</t>
        </is>
      </c>
      <c r="J8" s="10" t="inlineStr">
        <is>
          <t>営業</t>
        </is>
      </c>
      <c r="L8" t="inlineStr">
        <is>
          <t>5:41:50</t>
        </is>
      </c>
      <c r="M8" t="inlineStr">
        <is>
          <t>5:42:20</t>
        </is>
      </c>
      <c r="N8" t="inlineStr">
        <is>
          <t>○</t>
        </is>
      </c>
    </row>
    <row r="9" ht="15" customHeight="1" s="37">
      <c r="A9" t="n">
        <v>1</v>
      </c>
      <c r="B9" s="10" t="inlineStr">
        <is>
          <t>休日</t>
        </is>
      </c>
      <c r="C9" s="10" t="inlineStr">
        <is>
          <t>本線</t>
        </is>
      </c>
      <c r="D9" s="10" t="inlineStr">
        <is>
          <t>下り</t>
        </is>
      </c>
      <c r="E9" t="inlineStr">
        <is>
          <t>0501</t>
        </is>
      </c>
      <c r="F9" t="inlineStr">
        <is>
          <t>0502</t>
        </is>
      </c>
      <c r="G9" s="10" t="inlineStr">
        <is>
          <t>有栖川</t>
        </is>
      </c>
      <c r="H9" s="10" t="inlineStr">
        <is>
          <t>発</t>
        </is>
      </c>
      <c r="J9" s="10" t="inlineStr">
        <is>
          <t>営業</t>
        </is>
      </c>
      <c r="L9" t="inlineStr">
        <is>
          <t>5:43:30</t>
        </is>
      </c>
      <c r="M9" t="inlineStr">
        <is>
          <t>5:43:45</t>
        </is>
      </c>
    </row>
    <row r="10" ht="15" customHeight="1" s="37">
      <c r="A10" t="n">
        <v>1</v>
      </c>
      <c r="B10" s="10" t="inlineStr">
        <is>
          <t>休日</t>
        </is>
      </c>
      <c r="C10" s="10" t="inlineStr">
        <is>
          <t>本線</t>
        </is>
      </c>
      <c r="D10" s="10" t="inlineStr">
        <is>
          <t>下り</t>
        </is>
      </c>
      <c r="E10" t="inlineStr">
        <is>
          <t>0501</t>
        </is>
      </c>
      <c r="F10" t="inlineStr">
        <is>
          <t>0502</t>
        </is>
      </c>
      <c r="G10" s="10" t="inlineStr">
        <is>
          <t>車折</t>
        </is>
      </c>
      <c r="H10" s="10" t="inlineStr">
        <is>
          <t>発</t>
        </is>
      </c>
      <c r="J10" s="10" t="inlineStr">
        <is>
          <t>営業</t>
        </is>
      </c>
      <c r="L10" t="inlineStr">
        <is>
          <t>5:45:10</t>
        </is>
      </c>
      <c r="M10" t="inlineStr">
        <is>
          <t>5:45:25</t>
        </is>
      </c>
    </row>
    <row r="11" ht="15" customHeight="1" s="37">
      <c r="A11" t="n">
        <v>1</v>
      </c>
      <c r="B11" s="10" t="inlineStr">
        <is>
          <t>休日</t>
        </is>
      </c>
      <c r="C11" s="10" t="inlineStr">
        <is>
          <t>本線</t>
        </is>
      </c>
      <c r="D11" s="10" t="inlineStr">
        <is>
          <t>下り</t>
        </is>
      </c>
      <c r="E11" t="inlineStr">
        <is>
          <t>0501</t>
        </is>
      </c>
      <c r="F11" t="inlineStr">
        <is>
          <t>0502</t>
        </is>
      </c>
      <c r="G11" s="10" t="inlineStr">
        <is>
          <t>鹿王院</t>
        </is>
      </c>
      <c r="H11" s="10" t="inlineStr">
        <is>
          <t>発</t>
        </is>
      </c>
      <c r="J11" s="10" t="inlineStr">
        <is>
          <t>営業</t>
        </is>
      </c>
      <c r="L11" t="inlineStr">
        <is>
          <t>5:46:20</t>
        </is>
      </c>
      <c r="M11" t="inlineStr">
        <is>
          <t>5:46:35</t>
        </is>
      </c>
    </row>
    <row r="12" ht="15" customHeight="1" s="37">
      <c r="A12" t="n">
        <v>1</v>
      </c>
      <c r="B12" s="10" t="inlineStr">
        <is>
          <t>休日</t>
        </is>
      </c>
      <c r="C12" s="10" t="inlineStr">
        <is>
          <t>本線</t>
        </is>
      </c>
      <c r="D12" s="10" t="inlineStr">
        <is>
          <t>下り</t>
        </is>
      </c>
      <c r="E12" t="inlineStr">
        <is>
          <t>0501</t>
        </is>
      </c>
      <c r="F12" t="inlineStr">
        <is>
          <t>0502</t>
        </is>
      </c>
      <c r="G12" s="10" t="inlineStr">
        <is>
          <t>嵯峨</t>
        </is>
      </c>
      <c r="H12" s="10" t="inlineStr">
        <is>
          <t>発</t>
        </is>
      </c>
      <c r="J12" s="10" t="inlineStr">
        <is>
          <t>営業</t>
        </is>
      </c>
      <c r="L12" t="inlineStr">
        <is>
          <t>5:47:40</t>
        </is>
      </c>
      <c r="M12" t="inlineStr">
        <is>
          <t>5:47:55</t>
        </is>
      </c>
    </row>
    <row r="13" ht="15" customHeight="1" s="37">
      <c r="A13" t="n">
        <v>1</v>
      </c>
      <c r="B13" s="10" t="inlineStr">
        <is>
          <t>休日</t>
        </is>
      </c>
      <c r="C13" s="10" t="inlineStr">
        <is>
          <t>本線</t>
        </is>
      </c>
      <c r="D13" s="10" t="inlineStr">
        <is>
          <t>下り</t>
        </is>
      </c>
      <c r="E13" t="inlineStr">
        <is>
          <t>0501</t>
        </is>
      </c>
      <c r="F13" t="inlineStr">
        <is>
          <t>0502</t>
        </is>
      </c>
      <c r="G13" s="10" t="inlineStr">
        <is>
          <t>嵐山</t>
        </is>
      </c>
      <c r="H13" s="10" t="inlineStr">
        <is>
          <t>着</t>
        </is>
      </c>
      <c r="J13" s="10" t="inlineStr">
        <is>
          <t>営業</t>
        </is>
      </c>
      <c r="L13" t="inlineStr">
        <is>
          <t>5:49:00</t>
        </is>
      </c>
      <c r="N13" t="inlineStr">
        <is>
          <t>○</t>
        </is>
      </c>
      <c r="Q13" t="inlineStr">
        <is>
          <t>1</t>
        </is>
      </c>
    </row>
    <row r="14" ht="15" customHeight="1" s="37">
      <c r="A14" t="n">
        <v>1</v>
      </c>
      <c r="B14" s="10" t="inlineStr">
        <is>
          <t>休日</t>
        </is>
      </c>
      <c r="C14" s="10" t="inlineStr">
        <is>
          <t>本線</t>
        </is>
      </c>
      <c r="D14" s="10" t="inlineStr">
        <is>
          <t>上り</t>
        </is>
      </c>
      <c r="E14" t="inlineStr">
        <is>
          <t>0502</t>
        </is>
      </c>
      <c r="F14" t="inlineStr">
        <is>
          <t>0201</t>
        </is>
      </c>
      <c r="G14" s="10" t="inlineStr">
        <is>
          <t>嵐山</t>
        </is>
      </c>
      <c r="H14" s="10" t="inlineStr">
        <is>
          <t>発</t>
        </is>
      </c>
      <c r="J14" s="10" t="inlineStr">
        <is>
          <t>営業</t>
        </is>
      </c>
      <c r="M14" t="inlineStr">
        <is>
          <t>5:53:00</t>
        </is>
      </c>
      <c r="Q14" t="inlineStr">
        <is>
          <t>1</t>
        </is>
      </c>
    </row>
    <row r="15" ht="15" customHeight="1" s="37">
      <c r="A15" t="n">
        <v>1</v>
      </c>
      <c r="B15" s="10" t="inlineStr">
        <is>
          <t>休日</t>
        </is>
      </c>
      <c r="C15" s="10" t="inlineStr">
        <is>
          <t>本線</t>
        </is>
      </c>
      <c r="D15" s="10" t="inlineStr">
        <is>
          <t>上り</t>
        </is>
      </c>
      <c r="E15" t="inlineStr">
        <is>
          <t>0502</t>
        </is>
      </c>
      <c r="F15" t="inlineStr">
        <is>
          <t>0201</t>
        </is>
      </c>
      <c r="G15" s="10" t="inlineStr">
        <is>
          <t>嵯峨</t>
        </is>
      </c>
      <c r="H15" s="10" t="inlineStr">
        <is>
          <t>発</t>
        </is>
      </c>
      <c r="J15" s="10" t="inlineStr">
        <is>
          <t>営業</t>
        </is>
      </c>
      <c r="L15" t="inlineStr">
        <is>
          <t>5:53:55</t>
        </is>
      </c>
      <c r="M15" t="inlineStr">
        <is>
          <t>5:54:20</t>
        </is>
      </c>
    </row>
    <row r="16" ht="15" customHeight="1" s="37">
      <c r="A16" t="n">
        <v>1</v>
      </c>
      <c r="B16" s="10" t="inlineStr">
        <is>
          <t>休日</t>
        </is>
      </c>
      <c r="C16" s="10" t="inlineStr">
        <is>
          <t>本線</t>
        </is>
      </c>
      <c r="D16" s="10" t="inlineStr">
        <is>
          <t>上り</t>
        </is>
      </c>
      <c r="E16" t="inlineStr">
        <is>
          <t>0502</t>
        </is>
      </c>
      <c r="F16" t="inlineStr">
        <is>
          <t>0201</t>
        </is>
      </c>
      <c r="G16" s="10" t="inlineStr">
        <is>
          <t>鹿王院</t>
        </is>
      </c>
      <c r="H16" s="10" t="inlineStr">
        <is>
          <t>発</t>
        </is>
      </c>
      <c r="J16" s="10" t="inlineStr">
        <is>
          <t>営業</t>
        </is>
      </c>
      <c r="L16" t="inlineStr">
        <is>
          <t>5:55:25</t>
        </is>
      </c>
      <c r="M16" t="inlineStr">
        <is>
          <t>5:55:45</t>
        </is>
      </c>
    </row>
    <row r="17" ht="15" customHeight="1" s="37">
      <c r="A17" t="n">
        <v>1</v>
      </c>
      <c r="B17" s="10" t="inlineStr">
        <is>
          <t>休日</t>
        </is>
      </c>
      <c r="C17" s="10" t="inlineStr">
        <is>
          <t>本線</t>
        </is>
      </c>
      <c r="D17" s="10" t="inlineStr">
        <is>
          <t>上り</t>
        </is>
      </c>
      <c r="E17" t="inlineStr">
        <is>
          <t>0502</t>
        </is>
      </c>
      <c r="F17" t="inlineStr">
        <is>
          <t>0201</t>
        </is>
      </c>
      <c r="G17" s="10" t="inlineStr">
        <is>
          <t>車折</t>
        </is>
      </c>
      <c r="H17" s="10" t="inlineStr">
        <is>
          <t>発</t>
        </is>
      </c>
      <c r="J17" s="10" t="inlineStr">
        <is>
          <t>営業</t>
        </is>
      </c>
      <c r="L17" t="inlineStr">
        <is>
          <t>5:56:40</t>
        </is>
      </c>
      <c r="M17" t="inlineStr">
        <is>
          <t>5:57:10</t>
        </is>
      </c>
    </row>
    <row r="18" ht="15" customHeight="1" s="37">
      <c r="A18" t="n">
        <v>1</v>
      </c>
      <c r="B18" s="10" t="inlineStr">
        <is>
          <t>休日</t>
        </is>
      </c>
      <c r="C18" s="10" t="inlineStr">
        <is>
          <t>本線</t>
        </is>
      </c>
      <c r="D18" s="10" t="inlineStr">
        <is>
          <t>上り</t>
        </is>
      </c>
      <c r="E18" t="inlineStr">
        <is>
          <t>0502</t>
        </is>
      </c>
      <c r="F18" t="inlineStr">
        <is>
          <t>0201</t>
        </is>
      </c>
      <c r="G18" s="10" t="inlineStr">
        <is>
          <t>有栖川</t>
        </is>
      </c>
      <c r="H18" s="10" t="inlineStr">
        <is>
          <t>発</t>
        </is>
      </c>
      <c r="J18" s="10" t="inlineStr">
        <is>
          <t>営業</t>
        </is>
      </c>
      <c r="L18" t="inlineStr">
        <is>
          <t>5:58:35</t>
        </is>
      </c>
      <c r="M18" t="inlineStr">
        <is>
          <t>5:58:55</t>
        </is>
      </c>
    </row>
    <row r="19" ht="15" customHeight="1" s="37">
      <c r="A19" t="n">
        <v>1</v>
      </c>
      <c r="B19" s="10" t="inlineStr">
        <is>
          <t>休日</t>
        </is>
      </c>
      <c r="C19" s="10" t="inlineStr">
        <is>
          <t>本線</t>
        </is>
      </c>
      <c r="D19" s="10" t="inlineStr">
        <is>
          <t>上り</t>
        </is>
      </c>
      <c r="E19" t="inlineStr">
        <is>
          <t>0502</t>
        </is>
      </c>
      <c r="F19" t="inlineStr">
        <is>
          <t>0201</t>
        </is>
      </c>
      <c r="G19" s="10" t="inlineStr">
        <is>
          <t>帷子ノ辻</t>
        </is>
      </c>
      <c r="H19" s="10" t="inlineStr">
        <is>
          <t>発</t>
        </is>
      </c>
      <c r="J19" s="10" t="inlineStr">
        <is>
          <t>営業</t>
        </is>
      </c>
      <c r="L19" t="inlineStr">
        <is>
          <t>6:00:10</t>
        </is>
      </c>
      <c r="M19" t="inlineStr">
        <is>
          <t>6:01:15</t>
        </is>
      </c>
      <c r="N19" t="inlineStr">
        <is>
          <t>○</t>
        </is>
      </c>
    </row>
    <row r="20" ht="15" customHeight="1" s="37">
      <c r="A20" t="n">
        <v>1</v>
      </c>
      <c r="B20" s="10" t="inlineStr">
        <is>
          <t>休日</t>
        </is>
      </c>
      <c r="C20" s="10" t="inlineStr">
        <is>
          <t>本線</t>
        </is>
      </c>
      <c r="D20" s="10" t="inlineStr">
        <is>
          <t>上り</t>
        </is>
      </c>
      <c r="E20" t="inlineStr">
        <is>
          <t>0502</t>
        </is>
      </c>
      <c r="F20" t="inlineStr">
        <is>
          <t>0201</t>
        </is>
      </c>
      <c r="G20" s="10" t="inlineStr">
        <is>
          <t>太秦広隆寺</t>
        </is>
      </c>
      <c r="H20" s="10" t="inlineStr">
        <is>
          <t>発</t>
        </is>
      </c>
      <c r="J20" s="10" t="inlineStr">
        <is>
          <t>営業</t>
        </is>
      </c>
      <c r="L20" t="inlineStr">
        <is>
          <t>6:03:25</t>
        </is>
      </c>
      <c r="M20" t="inlineStr">
        <is>
          <t>6:03:45</t>
        </is>
      </c>
    </row>
    <row r="21" ht="15" customHeight="1" s="37">
      <c r="A21" t="n">
        <v>1</v>
      </c>
      <c r="B21" s="10" t="inlineStr">
        <is>
          <t>休日</t>
        </is>
      </c>
      <c r="C21" s="10" t="inlineStr">
        <is>
          <t>本線</t>
        </is>
      </c>
      <c r="D21" s="10" t="inlineStr">
        <is>
          <t>上り</t>
        </is>
      </c>
      <c r="E21" t="inlineStr">
        <is>
          <t>0502</t>
        </is>
      </c>
      <c r="F21" t="inlineStr">
        <is>
          <t>0201</t>
        </is>
      </c>
      <c r="G21" s="10" t="inlineStr">
        <is>
          <t>蚕ノ社</t>
        </is>
      </c>
      <c r="H21" s="10" t="inlineStr">
        <is>
          <t>発</t>
        </is>
      </c>
      <c r="J21" s="10" t="inlineStr">
        <is>
          <t>営業</t>
        </is>
      </c>
      <c r="L21" t="inlineStr">
        <is>
          <t>6:05:00</t>
        </is>
      </c>
      <c r="M21" t="inlineStr">
        <is>
          <t>6:05:20</t>
        </is>
      </c>
    </row>
    <row r="22" ht="15" customHeight="1" s="37">
      <c r="A22" t="n">
        <v>1</v>
      </c>
      <c r="B22" s="10" t="inlineStr">
        <is>
          <t>休日</t>
        </is>
      </c>
      <c r="C22" s="10" t="inlineStr">
        <is>
          <t>本線</t>
        </is>
      </c>
      <c r="D22" s="10" t="inlineStr">
        <is>
          <t>上り</t>
        </is>
      </c>
      <c r="E22" t="inlineStr">
        <is>
          <t>0502</t>
        </is>
      </c>
      <c r="F22" t="inlineStr">
        <is>
          <t>0201</t>
        </is>
      </c>
      <c r="G22" s="10" t="inlineStr">
        <is>
          <t>天神川</t>
        </is>
      </c>
      <c r="H22" s="10" t="inlineStr">
        <is>
          <t>発</t>
        </is>
      </c>
      <c r="J22" s="10" t="inlineStr">
        <is>
          <t>営業</t>
        </is>
      </c>
      <c r="L22" t="inlineStr">
        <is>
          <t>6:06:05</t>
        </is>
      </c>
      <c r="M22" t="inlineStr">
        <is>
          <t>6:06:50</t>
        </is>
      </c>
    </row>
    <row r="23" ht="15" customHeight="1" s="37">
      <c r="A23" t="n">
        <v>1</v>
      </c>
      <c r="B23" s="10" t="inlineStr">
        <is>
          <t>休日</t>
        </is>
      </c>
      <c r="C23" s="10" t="inlineStr">
        <is>
          <t>本線</t>
        </is>
      </c>
      <c r="D23" s="10" t="inlineStr">
        <is>
          <t>上り</t>
        </is>
      </c>
      <c r="E23" t="inlineStr">
        <is>
          <t>0502</t>
        </is>
      </c>
      <c r="F23" t="inlineStr">
        <is>
          <t>0201</t>
        </is>
      </c>
      <c r="G23" s="10" t="inlineStr">
        <is>
          <t>山ノ内</t>
        </is>
      </c>
      <c r="H23" s="10" t="inlineStr">
        <is>
          <t>発</t>
        </is>
      </c>
      <c r="J23" s="10" t="inlineStr">
        <is>
          <t>営業</t>
        </is>
      </c>
      <c r="L23" t="inlineStr">
        <is>
          <t>6:08:40</t>
        </is>
      </c>
      <c r="M23" t="inlineStr">
        <is>
          <t>6:09:05</t>
        </is>
      </c>
    </row>
    <row r="24" ht="15" customHeight="1" s="37">
      <c r="A24" t="n">
        <v>1</v>
      </c>
      <c r="B24" s="10" t="inlineStr">
        <is>
          <t>休日</t>
        </is>
      </c>
      <c r="C24" s="10" t="inlineStr">
        <is>
          <t>本線</t>
        </is>
      </c>
      <c r="D24" s="10" t="inlineStr">
        <is>
          <t>上り</t>
        </is>
      </c>
      <c r="E24" t="inlineStr">
        <is>
          <t>0502</t>
        </is>
      </c>
      <c r="F24" t="inlineStr">
        <is>
          <t>0201</t>
        </is>
      </c>
      <c r="G24" s="10" t="inlineStr">
        <is>
          <t>西大路三条</t>
        </is>
      </c>
      <c r="H24" s="10" t="inlineStr">
        <is>
          <t>発</t>
        </is>
      </c>
      <c r="J24" s="10" t="inlineStr">
        <is>
          <t>営業</t>
        </is>
      </c>
      <c r="L24" t="inlineStr">
        <is>
          <t>6:10:55</t>
        </is>
      </c>
      <c r="M24" t="inlineStr">
        <is>
          <t>6:11:15</t>
        </is>
      </c>
    </row>
    <row r="25" ht="15" customHeight="1" s="37">
      <c r="A25" t="n">
        <v>1</v>
      </c>
      <c r="B25" s="10" t="inlineStr">
        <is>
          <t>休日</t>
        </is>
      </c>
      <c r="C25" s="10" t="inlineStr">
        <is>
          <t>本線</t>
        </is>
      </c>
      <c r="D25" s="10" t="inlineStr">
        <is>
          <t>上り</t>
        </is>
      </c>
      <c r="E25" t="inlineStr">
        <is>
          <t>0502</t>
        </is>
      </c>
      <c r="F25" t="inlineStr">
        <is>
          <t>0201</t>
        </is>
      </c>
      <c r="G25" s="10" t="inlineStr">
        <is>
          <t>西院</t>
        </is>
      </c>
      <c r="H25" s="10" t="inlineStr">
        <is>
          <t>発</t>
        </is>
      </c>
      <c r="J25" s="10" t="inlineStr">
        <is>
          <t>営業</t>
        </is>
      </c>
      <c r="L25" t="inlineStr">
        <is>
          <t>6:13:10</t>
        </is>
      </c>
      <c r="M25" t="inlineStr">
        <is>
          <t>6:14:05</t>
        </is>
      </c>
    </row>
    <row r="26" ht="15" customHeight="1" s="37">
      <c r="A26" t="n">
        <v>1</v>
      </c>
      <c r="B26" s="10" t="inlineStr">
        <is>
          <t>休日</t>
        </is>
      </c>
      <c r="C26" s="10" t="inlineStr">
        <is>
          <t>本線</t>
        </is>
      </c>
      <c r="D26" s="10" t="inlineStr">
        <is>
          <t>上り</t>
        </is>
      </c>
      <c r="E26" t="inlineStr">
        <is>
          <t>0502</t>
        </is>
      </c>
      <c r="F26" t="inlineStr">
        <is>
          <t>0201</t>
        </is>
      </c>
      <c r="G26" s="10" t="inlineStr">
        <is>
          <t>四条大宮</t>
        </is>
      </c>
      <c r="H26" s="10" t="inlineStr">
        <is>
          <t>着</t>
        </is>
      </c>
      <c r="J26" s="10" t="inlineStr">
        <is>
          <t>営業</t>
        </is>
      </c>
      <c r="L26" t="inlineStr">
        <is>
          <t>6:17:00</t>
        </is>
      </c>
      <c r="N26" t="inlineStr">
        <is>
          <t>○</t>
        </is>
      </c>
      <c r="Q26" t="inlineStr">
        <is>
          <t>1</t>
        </is>
      </c>
    </row>
    <row r="27" ht="15" customHeight="1" s="37">
      <c r="A27" t="n">
        <v>1</v>
      </c>
      <c r="B27" s="10" t="inlineStr">
        <is>
          <t>休日</t>
        </is>
      </c>
      <c r="C27" s="10" t="inlineStr">
        <is>
          <t>本線</t>
        </is>
      </c>
      <c r="D27" s="10" t="inlineStr">
        <is>
          <t>下り</t>
        </is>
      </c>
      <c r="E27" t="inlineStr">
        <is>
          <t>0605</t>
        </is>
      </c>
      <c r="F27" t="inlineStr">
        <is>
          <t>0102</t>
        </is>
      </c>
      <c r="G27" s="10" t="inlineStr">
        <is>
          <t>四条大宮</t>
        </is>
      </c>
      <c r="H27" s="10" t="inlineStr">
        <is>
          <t>発</t>
        </is>
      </c>
      <c r="J27" s="10" t="inlineStr">
        <is>
          <t>営業</t>
        </is>
      </c>
      <c r="M27" t="inlineStr">
        <is>
          <t>6:25:00</t>
        </is>
      </c>
      <c r="Q27" t="inlineStr">
        <is>
          <t>1</t>
        </is>
      </c>
    </row>
    <row r="28" ht="15" customHeight="1" s="37">
      <c r="A28" t="n">
        <v>1</v>
      </c>
      <c r="B28" s="10" t="inlineStr">
        <is>
          <t>休日</t>
        </is>
      </c>
      <c r="C28" s="10" t="inlineStr">
        <is>
          <t>本線</t>
        </is>
      </c>
      <c r="D28" s="10" t="inlineStr">
        <is>
          <t>下り</t>
        </is>
      </c>
      <c r="E28" t="inlineStr">
        <is>
          <t>0605</t>
        </is>
      </c>
      <c r="F28" t="inlineStr">
        <is>
          <t>0102</t>
        </is>
      </c>
      <c r="G28" s="10" t="inlineStr">
        <is>
          <t>西院</t>
        </is>
      </c>
      <c r="H28" s="10" t="inlineStr">
        <is>
          <t>発</t>
        </is>
      </c>
      <c r="J28" s="10" t="inlineStr">
        <is>
          <t>営業</t>
        </is>
      </c>
      <c r="L28" t="inlineStr">
        <is>
          <t>6:27:50</t>
        </is>
      </c>
      <c r="M28" t="inlineStr">
        <is>
          <t>6:28:20</t>
        </is>
      </c>
    </row>
    <row r="29" ht="15" customHeight="1" s="37">
      <c r="A29" t="n">
        <v>1</v>
      </c>
      <c r="B29" s="10" t="inlineStr">
        <is>
          <t>休日</t>
        </is>
      </c>
      <c r="C29" s="10" t="inlineStr">
        <is>
          <t>本線</t>
        </is>
      </c>
      <c r="D29" s="10" t="inlineStr">
        <is>
          <t>下り</t>
        </is>
      </c>
      <c r="E29" t="inlineStr">
        <is>
          <t>0605</t>
        </is>
      </c>
      <c r="F29" t="inlineStr">
        <is>
          <t>0102</t>
        </is>
      </c>
      <c r="G29" s="10" t="inlineStr">
        <is>
          <t>西大路三条</t>
        </is>
      </c>
      <c r="H29" s="10" t="inlineStr">
        <is>
          <t>発</t>
        </is>
      </c>
      <c r="J29" s="10" t="inlineStr">
        <is>
          <t>営業</t>
        </is>
      </c>
      <c r="L29" t="inlineStr">
        <is>
          <t>6:30:10</t>
        </is>
      </c>
      <c r="M29" t="inlineStr">
        <is>
          <t>6:30:25</t>
        </is>
      </c>
    </row>
    <row r="30" ht="15" customHeight="1" s="37">
      <c r="A30" t="n">
        <v>1</v>
      </c>
      <c r="B30" s="10" t="inlineStr">
        <is>
          <t>休日</t>
        </is>
      </c>
      <c r="C30" s="10" t="inlineStr">
        <is>
          <t>本線</t>
        </is>
      </c>
      <c r="D30" s="10" t="inlineStr">
        <is>
          <t>下り</t>
        </is>
      </c>
      <c r="E30" t="inlineStr">
        <is>
          <t>0605</t>
        </is>
      </c>
      <c r="F30" t="inlineStr">
        <is>
          <t>0102</t>
        </is>
      </c>
      <c r="G30" s="10" t="inlineStr">
        <is>
          <t>山ノ内</t>
        </is>
      </c>
      <c r="H30" s="10" t="inlineStr">
        <is>
          <t>発</t>
        </is>
      </c>
      <c r="J30" s="10" t="inlineStr">
        <is>
          <t>営業</t>
        </is>
      </c>
      <c r="L30" t="inlineStr">
        <is>
          <t>6:32:20</t>
        </is>
      </c>
      <c r="M30" t="inlineStr">
        <is>
          <t>6:32:45</t>
        </is>
      </c>
    </row>
    <row r="31" ht="15" customHeight="1" s="37">
      <c r="A31" t="n">
        <v>1</v>
      </c>
      <c r="B31" s="10" t="inlineStr">
        <is>
          <t>休日</t>
        </is>
      </c>
      <c r="C31" s="10" t="inlineStr">
        <is>
          <t>本線</t>
        </is>
      </c>
      <c r="D31" s="10" t="inlineStr">
        <is>
          <t>下り</t>
        </is>
      </c>
      <c r="E31" t="inlineStr">
        <is>
          <t>0605</t>
        </is>
      </c>
      <c r="F31" t="inlineStr">
        <is>
          <t>0102</t>
        </is>
      </c>
      <c r="G31" s="10" t="inlineStr">
        <is>
          <t>天神川</t>
        </is>
      </c>
      <c r="H31" s="10" t="inlineStr">
        <is>
          <t>発</t>
        </is>
      </c>
      <c r="J31" s="10" t="inlineStr">
        <is>
          <t>営業</t>
        </is>
      </c>
      <c r="L31" t="inlineStr">
        <is>
          <t>6:34:45</t>
        </is>
      </c>
      <c r="M31" t="inlineStr">
        <is>
          <t>6:35:10</t>
        </is>
      </c>
    </row>
    <row r="32" ht="15" customHeight="1" s="37">
      <c r="A32" t="n">
        <v>1</v>
      </c>
      <c r="B32" s="10" t="inlineStr">
        <is>
          <t>休日</t>
        </is>
      </c>
      <c r="C32" s="10" t="inlineStr">
        <is>
          <t>本線</t>
        </is>
      </c>
      <c r="D32" s="10" t="inlineStr">
        <is>
          <t>下り</t>
        </is>
      </c>
      <c r="E32" t="inlineStr">
        <is>
          <t>0605</t>
        </is>
      </c>
      <c r="F32" t="inlineStr">
        <is>
          <t>0102</t>
        </is>
      </c>
      <c r="G32" s="10" t="inlineStr">
        <is>
          <t>蚕ノ社</t>
        </is>
      </c>
      <c r="H32" s="10" t="inlineStr">
        <is>
          <t>発</t>
        </is>
      </c>
      <c r="J32" s="10" t="inlineStr">
        <is>
          <t>営業</t>
        </is>
      </c>
      <c r="L32" t="inlineStr">
        <is>
          <t>6:36:00</t>
        </is>
      </c>
      <c r="M32" t="inlineStr">
        <is>
          <t>6:36:15</t>
        </is>
      </c>
    </row>
    <row r="33" ht="15" customHeight="1" s="37">
      <c r="A33" t="n">
        <v>1</v>
      </c>
      <c r="B33" s="10" t="inlineStr">
        <is>
          <t>休日</t>
        </is>
      </c>
      <c r="C33" s="10" t="inlineStr">
        <is>
          <t>本線</t>
        </is>
      </c>
      <c r="D33" s="10" t="inlineStr">
        <is>
          <t>下り</t>
        </is>
      </c>
      <c r="E33" t="inlineStr">
        <is>
          <t>0605</t>
        </is>
      </c>
      <c r="F33" t="inlineStr">
        <is>
          <t>0102</t>
        </is>
      </c>
      <c r="G33" s="10" t="inlineStr">
        <is>
          <t>太秦広隆寺</t>
        </is>
      </c>
      <c r="H33" s="10" t="inlineStr">
        <is>
          <t>発</t>
        </is>
      </c>
      <c r="J33" s="10" t="inlineStr">
        <is>
          <t>営業</t>
        </is>
      </c>
      <c r="L33" t="inlineStr">
        <is>
          <t>6:37:35</t>
        </is>
      </c>
      <c r="M33" t="inlineStr">
        <is>
          <t>6:37:50</t>
        </is>
      </c>
    </row>
    <row r="34" ht="15" customHeight="1" s="37">
      <c r="A34" t="n">
        <v>1</v>
      </c>
      <c r="B34" s="10" t="inlineStr">
        <is>
          <t>休日</t>
        </is>
      </c>
      <c r="C34" s="10" t="inlineStr">
        <is>
          <t>本線</t>
        </is>
      </c>
      <c r="D34" s="10" t="inlineStr">
        <is>
          <t>下り</t>
        </is>
      </c>
      <c r="E34" t="inlineStr">
        <is>
          <t>0605</t>
        </is>
      </c>
      <c r="F34" t="inlineStr">
        <is>
          <t>0102</t>
        </is>
      </c>
      <c r="G34" s="10" t="inlineStr">
        <is>
          <t>帷子ノ辻</t>
        </is>
      </c>
      <c r="H34" s="10" t="inlineStr">
        <is>
          <t>発</t>
        </is>
      </c>
      <c r="J34" s="10" t="inlineStr">
        <is>
          <t>営業</t>
        </is>
      </c>
      <c r="L34" t="inlineStr">
        <is>
          <t>6:39:50</t>
        </is>
      </c>
      <c r="M34" t="inlineStr">
        <is>
          <t>6:40:20</t>
        </is>
      </c>
      <c r="N34" t="inlineStr">
        <is>
          <t>○</t>
        </is>
      </c>
    </row>
    <row r="35" ht="15" customHeight="1" s="37">
      <c r="A35" t="n">
        <v>1</v>
      </c>
      <c r="B35" s="10" t="inlineStr">
        <is>
          <t>休日</t>
        </is>
      </c>
      <c r="C35" s="10" t="inlineStr">
        <is>
          <t>本線</t>
        </is>
      </c>
      <c r="D35" s="10" t="inlineStr">
        <is>
          <t>下り</t>
        </is>
      </c>
      <c r="E35" t="inlineStr">
        <is>
          <t>0605</t>
        </is>
      </c>
      <c r="F35" t="inlineStr">
        <is>
          <t>0102</t>
        </is>
      </c>
      <c r="G35" s="10" t="inlineStr">
        <is>
          <t>有栖川</t>
        </is>
      </c>
      <c r="H35" s="10" t="inlineStr">
        <is>
          <t>発</t>
        </is>
      </c>
      <c r="J35" s="10" t="inlineStr">
        <is>
          <t>営業</t>
        </is>
      </c>
      <c r="L35" t="inlineStr">
        <is>
          <t>6:41:30</t>
        </is>
      </c>
      <c r="M35" t="inlineStr">
        <is>
          <t>6:41:45</t>
        </is>
      </c>
    </row>
    <row r="36" ht="15" customHeight="1" s="37">
      <c r="A36" t="n">
        <v>1</v>
      </c>
      <c r="B36" s="10" t="inlineStr">
        <is>
          <t>休日</t>
        </is>
      </c>
      <c r="C36" s="10" t="inlineStr">
        <is>
          <t>本線</t>
        </is>
      </c>
      <c r="D36" s="10" t="inlineStr">
        <is>
          <t>下り</t>
        </is>
      </c>
      <c r="E36" t="inlineStr">
        <is>
          <t>0605</t>
        </is>
      </c>
      <c r="F36" t="inlineStr">
        <is>
          <t>0102</t>
        </is>
      </c>
      <c r="G36" s="10" t="inlineStr">
        <is>
          <t>車折</t>
        </is>
      </c>
      <c r="H36" s="10" t="inlineStr">
        <is>
          <t>発</t>
        </is>
      </c>
      <c r="J36" s="10" t="inlineStr">
        <is>
          <t>営業</t>
        </is>
      </c>
      <c r="L36" t="inlineStr">
        <is>
          <t>6:43:10</t>
        </is>
      </c>
      <c r="M36" t="inlineStr">
        <is>
          <t>6:43:25</t>
        </is>
      </c>
    </row>
    <row r="37" ht="15" customHeight="1" s="37">
      <c r="A37" t="n">
        <v>1</v>
      </c>
      <c r="B37" s="10" t="inlineStr">
        <is>
          <t>休日</t>
        </is>
      </c>
      <c r="C37" s="10" t="inlineStr">
        <is>
          <t>本線</t>
        </is>
      </c>
      <c r="D37" s="10" t="inlineStr">
        <is>
          <t>下り</t>
        </is>
      </c>
      <c r="E37" t="inlineStr">
        <is>
          <t>0605</t>
        </is>
      </c>
      <c r="F37" t="inlineStr">
        <is>
          <t>0102</t>
        </is>
      </c>
      <c r="G37" s="10" t="inlineStr">
        <is>
          <t>鹿王院</t>
        </is>
      </c>
      <c r="H37" s="10" t="inlineStr">
        <is>
          <t>発</t>
        </is>
      </c>
      <c r="J37" s="10" t="inlineStr">
        <is>
          <t>営業</t>
        </is>
      </c>
      <c r="L37" t="inlineStr">
        <is>
          <t>6:44:20</t>
        </is>
      </c>
      <c r="M37" t="inlineStr">
        <is>
          <t>6:44:35</t>
        </is>
      </c>
    </row>
    <row r="38" ht="15" customHeight="1" s="37">
      <c r="A38" t="n">
        <v>1</v>
      </c>
      <c r="B38" s="10" t="inlineStr">
        <is>
          <t>休日</t>
        </is>
      </c>
      <c r="C38" s="10" t="inlineStr">
        <is>
          <t>本線</t>
        </is>
      </c>
      <c r="D38" s="10" t="inlineStr">
        <is>
          <t>下り</t>
        </is>
      </c>
      <c r="E38" t="inlineStr">
        <is>
          <t>0605</t>
        </is>
      </c>
      <c r="F38" t="inlineStr">
        <is>
          <t>0102</t>
        </is>
      </c>
      <c r="G38" s="10" t="inlineStr">
        <is>
          <t>嵯峨</t>
        </is>
      </c>
      <c r="H38" s="10" t="inlineStr">
        <is>
          <t>発</t>
        </is>
      </c>
      <c r="J38" s="10" t="inlineStr">
        <is>
          <t>営業</t>
        </is>
      </c>
      <c r="L38" t="inlineStr">
        <is>
          <t>6:45:40</t>
        </is>
      </c>
      <c r="M38" t="inlineStr">
        <is>
          <t>6:45:55</t>
        </is>
      </c>
    </row>
    <row r="39" ht="15" customHeight="1" s="37">
      <c r="A39" t="n">
        <v>1</v>
      </c>
      <c r="B39" s="10" t="inlineStr">
        <is>
          <t>休日</t>
        </is>
      </c>
      <c r="C39" s="10" t="inlineStr">
        <is>
          <t>本線</t>
        </is>
      </c>
      <c r="D39" s="10" t="inlineStr">
        <is>
          <t>下り</t>
        </is>
      </c>
      <c r="E39" t="inlineStr">
        <is>
          <t>0605</t>
        </is>
      </c>
      <c r="F39" t="inlineStr">
        <is>
          <t>0102</t>
        </is>
      </c>
      <c r="G39" s="10" t="inlineStr">
        <is>
          <t>嵐山</t>
        </is>
      </c>
      <c r="H39" s="10" t="inlineStr">
        <is>
          <t>着</t>
        </is>
      </c>
      <c r="J39" s="10" t="inlineStr">
        <is>
          <t>営業</t>
        </is>
      </c>
      <c r="L39" t="inlineStr">
        <is>
          <t>6:47:00</t>
        </is>
      </c>
      <c r="N39" t="inlineStr">
        <is>
          <t>○</t>
        </is>
      </c>
      <c r="Q39" t="inlineStr">
        <is>
          <t>1</t>
        </is>
      </c>
    </row>
    <row r="40" ht="15" customHeight="1" s="37">
      <c r="A40" t="n">
        <v>1</v>
      </c>
      <c r="B40" s="10" t="inlineStr">
        <is>
          <t>休日</t>
        </is>
      </c>
      <c r="C40" s="10" t="inlineStr">
        <is>
          <t>本線</t>
        </is>
      </c>
      <c r="D40" s="10" t="inlineStr">
        <is>
          <t>上り</t>
        </is>
      </c>
      <c r="E40" t="inlineStr">
        <is>
          <t>0608</t>
        </is>
      </c>
      <c r="F40" t="inlineStr">
        <is>
          <t>2221</t>
        </is>
      </c>
      <c r="G40" s="10" t="inlineStr">
        <is>
          <t>嵐山</t>
        </is>
      </c>
      <c r="H40" s="10" t="inlineStr">
        <is>
          <t>発</t>
        </is>
      </c>
      <c r="J40" s="10" t="inlineStr">
        <is>
          <t>営業</t>
        </is>
      </c>
      <c r="M40" t="inlineStr">
        <is>
          <t>6:53:00</t>
        </is>
      </c>
      <c r="Q40" t="inlineStr">
        <is>
          <t>1</t>
        </is>
      </c>
    </row>
    <row r="41" ht="15" customHeight="1" s="37">
      <c r="A41" t="n">
        <v>1</v>
      </c>
      <c r="B41" s="10" t="inlineStr">
        <is>
          <t>休日</t>
        </is>
      </c>
      <c r="C41" s="10" t="inlineStr">
        <is>
          <t>本線</t>
        </is>
      </c>
      <c r="D41" s="10" t="inlineStr">
        <is>
          <t>上り</t>
        </is>
      </c>
      <c r="E41" t="inlineStr">
        <is>
          <t>0608</t>
        </is>
      </c>
      <c r="F41" t="inlineStr">
        <is>
          <t>2221</t>
        </is>
      </c>
      <c r="G41" s="10" t="inlineStr">
        <is>
          <t>嵯峨</t>
        </is>
      </c>
      <c r="H41" s="10" t="inlineStr">
        <is>
          <t>発</t>
        </is>
      </c>
      <c r="J41" s="10" t="inlineStr">
        <is>
          <t>営業</t>
        </is>
      </c>
      <c r="L41" t="inlineStr">
        <is>
          <t>6:53:55</t>
        </is>
      </c>
      <c r="M41" t="inlineStr">
        <is>
          <t>6:54:20</t>
        </is>
      </c>
    </row>
    <row r="42" ht="15" customHeight="1" s="37">
      <c r="A42" t="n">
        <v>1</v>
      </c>
      <c r="B42" s="10" t="inlineStr">
        <is>
          <t>休日</t>
        </is>
      </c>
      <c r="C42" s="10" t="inlineStr">
        <is>
          <t>本線</t>
        </is>
      </c>
      <c r="D42" s="10" t="inlineStr">
        <is>
          <t>上り</t>
        </is>
      </c>
      <c r="E42" t="inlineStr">
        <is>
          <t>0608</t>
        </is>
      </c>
      <c r="F42" t="inlineStr">
        <is>
          <t>2221</t>
        </is>
      </c>
      <c r="G42" s="10" t="inlineStr">
        <is>
          <t>鹿王院</t>
        </is>
      </c>
      <c r="H42" s="10" t="inlineStr">
        <is>
          <t>発</t>
        </is>
      </c>
      <c r="J42" s="10" t="inlineStr">
        <is>
          <t>営業</t>
        </is>
      </c>
      <c r="L42" t="inlineStr">
        <is>
          <t>6:55:25</t>
        </is>
      </c>
      <c r="M42" t="inlineStr">
        <is>
          <t>6:55:45</t>
        </is>
      </c>
    </row>
    <row r="43" ht="15" customHeight="1" s="37">
      <c r="A43" t="n">
        <v>1</v>
      </c>
      <c r="B43" s="10" t="inlineStr">
        <is>
          <t>休日</t>
        </is>
      </c>
      <c r="C43" s="10" t="inlineStr">
        <is>
          <t>本線</t>
        </is>
      </c>
      <c r="D43" s="10" t="inlineStr">
        <is>
          <t>上り</t>
        </is>
      </c>
      <c r="E43" t="inlineStr">
        <is>
          <t>0608</t>
        </is>
      </c>
      <c r="F43" t="inlineStr">
        <is>
          <t>2221</t>
        </is>
      </c>
      <c r="G43" s="10" t="inlineStr">
        <is>
          <t>車折</t>
        </is>
      </c>
      <c r="H43" s="10" t="inlineStr">
        <is>
          <t>発</t>
        </is>
      </c>
      <c r="J43" s="10" t="inlineStr">
        <is>
          <t>営業</t>
        </is>
      </c>
      <c r="L43" t="inlineStr">
        <is>
          <t>6:56:40</t>
        </is>
      </c>
      <c r="M43" t="inlineStr">
        <is>
          <t>6:57:10</t>
        </is>
      </c>
    </row>
    <row r="44" ht="15" customHeight="1" s="37">
      <c r="A44" t="n">
        <v>1</v>
      </c>
      <c r="B44" s="10" t="inlineStr">
        <is>
          <t>休日</t>
        </is>
      </c>
      <c r="C44" s="10" t="inlineStr">
        <is>
          <t>本線</t>
        </is>
      </c>
      <c r="D44" s="10" t="inlineStr">
        <is>
          <t>上り</t>
        </is>
      </c>
      <c r="E44" t="inlineStr">
        <is>
          <t>0608</t>
        </is>
      </c>
      <c r="F44" t="inlineStr">
        <is>
          <t>2221</t>
        </is>
      </c>
      <c r="G44" s="10" t="inlineStr">
        <is>
          <t>有栖川</t>
        </is>
      </c>
      <c r="H44" s="10" t="inlineStr">
        <is>
          <t>発</t>
        </is>
      </c>
      <c r="J44" s="10" t="inlineStr">
        <is>
          <t>営業</t>
        </is>
      </c>
      <c r="L44" t="inlineStr">
        <is>
          <t>6:58:35</t>
        </is>
      </c>
      <c r="M44" t="inlineStr">
        <is>
          <t>6:58:55</t>
        </is>
      </c>
    </row>
    <row r="45" ht="15" customHeight="1" s="37">
      <c r="A45" t="n">
        <v>1</v>
      </c>
      <c r="B45" s="10" t="inlineStr">
        <is>
          <t>休日</t>
        </is>
      </c>
      <c r="C45" s="10" t="inlineStr">
        <is>
          <t>本線</t>
        </is>
      </c>
      <c r="D45" s="10" t="inlineStr">
        <is>
          <t>上り</t>
        </is>
      </c>
      <c r="E45" t="inlineStr">
        <is>
          <t>0608</t>
        </is>
      </c>
      <c r="F45" t="inlineStr">
        <is>
          <t>2221</t>
        </is>
      </c>
      <c r="G45" s="10" t="inlineStr">
        <is>
          <t>帷子ノ辻</t>
        </is>
      </c>
      <c r="H45" s="10" t="inlineStr">
        <is>
          <t>発</t>
        </is>
      </c>
      <c r="J45" s="10" t="inlineStr">
        <is>
          <t>営業</t>
        </is>
      </c>
      <c r="L45" t="inlineStr">
        <is>
          <t>7:00:10</t>
        </is>
      </c>
      <c r="M45" t="inlineStr">
        <is>
          <t>7:01:15</t>
        </is>
      </c>
    </row>
    <row r="46" ht="15" customHeight="1" s="37">
      <c r="A46" t="n">
        <v>1</v>
      </c>
      <c r="B46" s="10" t="inlineStr">
        <is>
          <t>休日</t>
        </is>
      </c>
      <c r="C46" s="10" t="inlineStr">
        <is>
          <t>本線</t>
        </is>
      </c>
      <c r="D46" s="10" t="inlineStr">
        <is>
          <t>上り</t>
        </is>
      </c>
      <c r="E46" t="inlineStr">
        <is>
          <t>0608</t>
        </is>
      </c>
      <c r="F46" t="inlineStr">
        <is>
          <t>2221</t>
        </is>
      </c>
      <c r="G46" s="10" t="inlineStr">
        <is>
          <t>太秦広隆寺</t>
        </is>
      </c>
      <c r="H46" s="10" t="inlineStr">
        <is>
          <t>発</t>
        </is>
      </c>
      <c r="J46" s="10" t="inlineStr">
        <is>
          <t>営業</t>
        </is>
      </c>
      <c r="L46" t="inlineStr">
        <is>
          <t>7:03:25</t>
        </is>
      </c>
      <c r="M46" t="inlineStr">
        <is>
          <t>7:03:45</t>
        </is>
      </c>
    </row>
    <row r="47" ht="15" customHeight="1" s="37">
      <c r="A47" t="n">
        <v>1</v>
      </c>
      <c r="B47" s="10" t="inlineStr">
        <is>
          <t>休日</t>
        </is>
      </c>
      <c r="C47" s="10" t="inlineStr">
        <is>
          <t>本線</t>
        </is>
      </c>
      <c r="D47" s="10" t="inlineStr">
        <is>
          <t>上り</t>
        </is>
      </c>
      <c r="E47" t="inlineStr">
        <is>
          <t>0608</t>
        </is>
      </c>
      <c r="F47" t="inlineStr">
        <is>
          <t>2221</t>
        </is>
      </c>
      <c r="G47" s="10" t="inlineStr">
        <is>
          <t>蚕ノ社</t>
        </is>
      </c>
      <c r="H47" s="10" t="inlineStr">
        <is>
          <t>発</t>
        </is>
      </c>
      <c r="J47" s="10" t="inlineStr">
        <is>
          <t>営業</t>
        </is>
      </c>
      <c r="L47" t="inlineStr">
        <is>
          <t>7:05:00</t>
        </is>
      </c>
      <c r="M47" t="inlineStr">
        <is>
          <t>7:05:20</t>
        </is>
      </c>
    </row>
    <row r="48" ht="15" customHeight="1" s="37">
      <c r="A48" t="n">
        <v>1</v>
      </c>
      <c r="B48" s="10" t="inlineStr">
        <is>
          <t>休日</t>
        </is>
      </c>
      <c r="C48" s="10" t="inlineStr">
        <is>
          <t>本線</t>
        </is>
      </c>
      <c r="D48" s="10" t="inlineStr">
        <is>
          <t>上り</t>
        </is>
      </c>
      <c r="E48" t="inlineStr">
        <is>
          <t>0608</t>
        </is>
      </c>
      <c r="F48" t="inlineStr">
        <is>
          <t>2221</t>
        </is>
      </c>
      <c r="G48" s="10" t="inlineStr">
        <is>
          <t>天神川</t>
        </is>
      </c>
      <c r="H48" s="10" t="inlineStr">
        <is>
          <t>発</t>
        </is>
      </c>
      <c r="J48" s="10" t="inlineStr">
        <is>
          <t>営業</t>
        </is>
      </c>
      <c r="L48" t="inlineStr">
        <is>
          <t>7:06:05</t>
        </is>
      </c>
      <c r="M48" t="inlineStr">
        <is>
          <t>7:06:50</t>
        </is>
      </c>
    </row>
    <row r="49" ht="15" customHeight="1" s="37">
      <c r="A49" t="n">
        <v>1</v>
      </c>
      <c r="B49" s="10" t="inlineStr">
        <is>
          <t>休日</t>
        </is>
      </c>
      <c r="C49" s="10" t="inlineStr">
        <is>
          <t>本線</t>
        </is>
      </c>
      <c r="D49" s="10" t="inlineStr">
        <is>
          <t>上り</t>
        </is>
      </c>
      <c r="E49" t="inlineStr">
        <is>
          <t>0608</t>
        </is>
      </c>
      <c r="F49" t="inlineStr">
        <is>
          <t>2221</t>
        </is>
      </c>
      <c r="G49" s="10" t="inlineStr">
        <is>
          <t>山ノ内</t>
        </is>
      </c>
      <c r="H49" s="10" t="inlineStr">
        <is>
          <t>発</t>
        </is>
      </c>
      <c r="J49" s="10" t="inlineStr">
        <is>
          <t>営業</t>
        </is>
      </c>
      <c r="L49" t="inlineStr">
        <is>
          <t>7:08:40</t>
        </is>
      </c>
      <c r="M49" t="inlineStr">
        <is>
          <t>7:09:05</t>
        </is>
      </c>
    </row>
    <row r="50" ht="15" customHeight="1" s="37">
      <c r="A50" t="n">
        <v>1</v>
      </c>
      <c r="B50" s="10" t="inlineStr">
        <is>
          <t>休日</t>
        </is>
      </c>
      <c r="C50" s="10" t="inlineStr">
        <is>
          <t>本線</t>
        </is>
      </c>
      <c r="D50" s="10" t="inlineStr">
        <is>
          <t>上り</t>
        </is>
      </c>
      <c r="E50" t="inlineStr">
        <is>
          <t>0608</t>
        </is>
      </c>
      <c r="F50" t="inlineStr">
        <is>
          <t>2221</t>
        </is>
      </c>
      <c r="G50" s="10" t="inlineStr">
        <is>
          <t>西大路三条</t>
        </is>
      </c>
      <c r="H50" s="10" t="inlineStr">
        <is>
          <t>発</t>
        </is>
      </c>
      <c r="J50" s="10" t="inlineStr">
        <is>
          <t>営業</t>
        </is>
      </c>
      <c r="L50" t="inlineStr">
        <is>
          <t>7:10:55</t>
        </is>
      </c>
      <c r="M50" t="inlineStr">
        <is>
          <t>7:11:15</t>
        </is>
      </c>
    </row>
    <row r="51" ht="15" customHeight="1" s="37">
      <c r="A51" t="n">
        <v>1</v>
      </c>
      <c r="B51" s="10" t="inlineStr">
        <is>
          <t>休日</t>
        </is>
      </c>
      <c r="C51" s="10" t="inlineStr">
        <is>
          <t>本線</t>
        </is>
      </c>
      <c r="D51" s="10" t="inlineStr">
        <is>
          <t>上り</t>
        </is>
      </c>
      <c r="E51" t="inlineStr">
        <is>
          <t>0608</t>
        </is>
      </c>
      <c r="F51" t="inlineStr">
        <is>
          <t>2221</t>
        </is>
      </c>
      <c r="G51" s="10" t="inlineStr">
        <is>
          <t>西院</t>
        </is>
      </c>
      <c r="H51" s="10" t="inlineStr">
        <is>
          <t>発</t>
        </is>
      </c>
      <c r="J51" s="10" t="inlineStr">
        <is>
          <t>営業</t>
        </is>
      </c>
      <c r="L51" t="inlineStr">
        <is>
          <t>7:13:10</t>
        </is>
      </c>
      <c r="M51" t="inlineStr">
        <is>
          <t>7:14:05</t>
        </is>
      </c>
    </row>
    <row r="52" ht="15" customHeight="1" s="37">
      <c r="A52" t="n">
        <v>1</v>
      </c>
      <c r="B52" s="10" t="inlineStr">
        <is>
          <t>休日</t>
        </is>
      </c>
      <c r="C52" s="10" t="inlineStr">
        <is>
          <t>本線</t>
        </is>
      </c>
      <c r="D52" s="10" t="inlineStr">
        <is>
          <t>上り</t>
        </is>
      </c>
      <c r="E52" t="inlineStr">
        <is>
          <t>0608</t>
        </is>
      </c>
      <c r="F52" t="inlineStr">
        <is>
          <t>2221</t>
        </is>
      </c>
      <c r="G52" s="10" t="inlineStr">
        <is>
          <t>四条大宮</t>
        </is>
      </c>
      <c r="H52" s="10" t="inlineStr">
        <is>
          <t>着</t>
        </is>
      </c>
      <c r="J52" s="10" t="inlineStr">
        <is>
          <t>営業</t>
        </is>
      </c>
      <c r="L52" t="inlineStr">
        <is>
          <t>7:17:00</t>
        </is>
      </c>
      <c r="Q52" t="inlineStr">
        <is>
          <t>1</t>
        </is>
      </c>
    </row>
    <row r="53" ht="15" customHeight="1" s="37">
      <c r="A53" t="n">
        <v>1</v>
      </c>
      <c r="B53" s="10" t="inlineStr">
        <is>
          <t>休日</t>
        </is>
      </c>
      <c r="C53" s="10" t="inlineStr">
        <is>
          <t>本線</t>
        </is>
      </c>
      <c r="D53" s="10" t="inlineStr">
        <is>
          <t>下り</t>
        </is>
      </c>
      <c r="E53" t="inlineStr">
        <is>
          <t>0705</t>
        </is>
      </c>
      <c r="F53" t="inlineStr">
        <is>
          <t>0122</t>
        </is>
      </c>
      <c r="G53" s="10" t="inlineStr">
        <is>
          <t>四条大宮</t>
        </is>
      </c>
      <c r="H53" s="10" t="inlineStr">
        <is>
          <t>発</t>
        </is>
      </c>
      <c r="J53" s="10" t="inlineStr">
        <is>
          <t>営業</t>
        </is>
      </c>
      <c r="M53" t="inlineStr">
        <is>
          <t>7:23:00</t>
        </is>
      </c>
      <c r="Q53" t="inlineStr">
        <is>
          <t>1</t>
        </is>
      </c>
    </row>
    <row r="54" ht="15" customHeight="1" s="37">
      <c r="A54" t="n">
        <v>1</v>
      </c>
      <c r="B54" s="10" t="inlineStr">
        <is>
          <t>休日</t>
        </is>
      </c>
      <c r="C54" s="10" t="inlineStr">
        <is>
          <t>本線</t>
        </is>
      </c>
      <c r="D54" s="10" t="inlineStr">
        <is>
          <t>下り</t>
        </is>
      </c>
      <c r="E54" t="inlineStr">
        <is>
          <t>0705</t>
        </is>
      </c>
      <c r="F54" t="inlineStr">
        <is>
          <t>0122</t>
        </is>
      </c>
      <c r="G54" s="10" t="inlineStr">
        <is>
          <t>西院</t>
        </is>
      </c>
      <c r="H54" s="10" t="inlineStr">
        <is>
          <t>発</t>
        </is>
      </c>
      <c r="J54" s="10" t="inlineStr">
        <is>
          <t>営業</t>
        </is>
      </c>
      <c r="L54" t="inlineStr">
        <is>
          <t>7:25:50</t>
        </is>
      </c>
      <c r="M54" t="inlineStr">
        <is>
          <t>7:26:20</t>
        </is>
      </c>
    </row>
    <row r="55" ht="15" customHeight="1" s="37">
      <c r="A55" t="n">
        <v>1</v>
      </c>
      <c r="B55" s="10" t="inlineStr">
        <is>
          <t>休日</t>
        </is>
      </c>
      <c r="C55" s="10" t="inlineStr">
        <is>
          <t>本線</t>
        </is>
      </c>
      <c r="D55" s="10" t="inlineStr">
        <is>
          <t>下り</t>
        </is>
      </c>
      <c r="E55" t="inlineStr">
        <is>
          <t>0705</t>
        </is>
      </c>
      <c r="F55" t="inlineStr">
        <is>
          <t>0122</t>
        </is>
      </c>
      <c r="G55" s="10" t="inlineStr">
        <is>
          <t>西大路三条</t>
        </is>
      </c>
      <c r="H55" s="10" t="inlineStr">
        <is>
          <t>発</t>
        </is>
      </c>
      <c r="J55" s="10" t="inlineStr">
        <is>
          <t>営業</t>
        </is>
      </c>
      <c r="L55" t="inlineStr">
        <is>
          <t>7:28:10</t>
        </is>
      </c>
      <c r="M55" t="inlineStr">
        <is>
          <t>7:28:30</t>
        </is>
      </c>
    </row>
    <row r="56" ht="15" customHeight="1" s="37">
      <c r="A56" t="n">
        <v>1</v>
      </c>
      <c r="B56" s="10" t="inlineStr">
        <is>
          <t>休日</t>
        </is>
      </c>
      <c r="C56" s="10" t="inlineStr">
        <is>
          <t>本線</t>
        </is>
      </c>
      <c r="D56" s="10" t="inlineStr">
        <is>
          <t>下り</t>
        </is>
      </c>
      <c r="E56" t="inlineStr">
        <is>
          <t>0705</t>
        </is>
      </c>
      <c r="F56" t="inlineStr">
        <is>
          <t>0122</t>
        </is>
      </c>
      <c r="G56" s="10" t="inlineStr">
        <is>
          <t>山ノ内</t>
        </is>
      </c>
      <c r="H56" s="10" t="inlineStr">
        <is>
          <t>発</t>
        </is>
      </c>
      <c r="J56" s="10" t="inlineStr">
        <is>
          <t>営業</t>
        </is>
      </c>
      <c r="L56" t="inlineStr">
        <is>
          <t>7:30:25</t>
        </is>
      </c>
      <c r="M56" t="inlineStr">
        <is>
          <t>7:30:50</t>
        </is>
      </c>
    </row>
    <row r="57" ht="15" customHeight="1" s="37">
      <c r="A57" t="n">
        <v>1</v>
      </c>
      <c r="B57" s="10" t="inlineStr">
        <is>
          <t>休日</t>
        </is>
      </c>
      <c r="C57" s="10" t="inlineStr">
        <is>
          <t>本線</t>
        </is>
      </c>
      <c r="D57" s="10" t="inlineStr">
        <is>
          <t>下り</t>
        </is>
      </c>
      <c r="E57" t="inlineStr">
        <is>
          <t>0705</t>
        </is>
      </c>
      <c r="F57" t="inlineStr">
        <is>
          <t>0122</t>
        </is>
      </c>
      <c r="G57" s="10" t="inlineStr">
        <is>
          <t>天神川</t>
        </is>
      </c>
      <c r="H57" s="10" t="inlineStr">
        <is>
          <t>発</t>
        </is>
      </c>
      <c r="J57" s="10" t="inlineStr">
        <is>
          <t>営業</t>
        </is>
      </c>
      <c r="L57" t="inlineStr">
        <is>
          <t>7:32:50</t>
        </is>
      </c>
      <c r="M57" t="inlineStr">
        <is>
          <t>7:33:30</t>
        </is>
      </c>
    </row>
    <row r="58" ht="15" customHeight="1" s="37">
      <c r="A58" t="n">
        <v>1</v>
      </c>
      <c r="B58" s="10" t="inlineStr">
        <is>
          <t>休日</t>
        </is>
      </c>
      <c r="C58" s="10" t="inlineStr">
        <is>
          <t>本線</t>
        </is>
      </c>
      <c r="D58" s="10" t="inlineStr">
        <is>
          <t>下り</t>
        </is>
      </c>
      <c r="E58" t="inlineStr">
        <is>
          <t>0705</t>
        </is>
      </c>
      <c r="F58" t="inlineStr">
        <is>
          <t>0122</t>
        </is>
      </c>
      <c r="G58" s="10" t="inlineStr">
        <is>
          <t>蚕ノ社</t>
        </is>
      </c>
      <c r="H58" s="10" t="inlineStr">
        <is>
          <t>発</t>
        </is>
      </c>
      <c r="J58" s="10" t="inlineStr">
        <is>
          <t>営業</t>
        </is>
      </c>
      <c r="L58" t="inlineStr">
        <is>
          <t>7:34:20</t>
        </is>
      </c>
      <c r="M58" t="inlineStr">
        <is>
          <t>7:34:40</t>
        </is>
      </c>
    </row>
    <row r="59" ht="15" customHeight="1" s="37">
      <c r="A59" t="n">
        <v>1</v>
      </c>
      <c r="B59" s="10" t="inlineStr">
        <is>
          <t>休日</t>
        </is>
      </c>
      <c r="C59" s="10" t="inlineStr">
        <is>
          <t>本線</t>
        </is>
      </c>
      <c r="D59" s="10" t="inlineStr">
        <is>
          <t>下り</t>
        </is>
      </c>
      <c r="E59" t="inlineStr">
        <is>
          <t>0705</t>
        </is>
      </c>
      <c r="F59" t="inlineStr">
        <is>
          <t>0122</t>
        </is>
      </c>
      <c r="G59" s="10" t="inlineStr">
        <is>
          <t>太秦広隆寺</t>
        </is>
      </c>
      <c r="H59" s="10" t="inlineStr">
        <is>
          <t>発</t>
        </is>
      </c>
      <c r="J59" s="10" t="inlineStr">
        <is>
          <t>営業</t>
        </is>
      </c>
      <c r="L59" t="inlineStr">
        <is>
          <t>7:36:00</t>
        </is>
      </c>
      <c r="M59" t="inlineStr">
        <is>
          <t>7:36:20</t>
        </is>
      </c>
    </row>
    <row r="60" ht="15" customHeight="1" s="37">
      <c r="A60" t="n">
        <v>1</v>
      </c>
      <c r="B60" s="10" t="inlineStr">
        <is>
          <t>休日</t>
        </is>
      </c>
      <c r="C60" s="10" t="inlineStr">
        <is>
          <t>本線</t>
        </is>
      </c>
      <c r="D60" s="10" t="inlineStr">
        <is>
          <t>下り</t>
        </is>
      </c>
      <c r="E60" t="inlineStr">
        <is>
          <t>0705</t>
        </is>
      </c>
      <c r="F60" t="inlineStr">
        <is>
          <t>0122</t>
        </is>
      </c>
      <c r="G60" s="10" t="inlineStr">
        <is>
          <t>帷子ノ辻</t>
        </is>
      </c>
      <c r="H60" s="10" t="inlineStr">
        <is>
          <t>発</t>
        </is>
      </c>
      <c r="J60" s="10" t="inlineStr">
        <is>
          <t>営業</t>
        </is>
      </c>
      <c r="L60" t="inlineStr">
        <is>
          <t>7:38:20</t>
        </is>
      </c>
      <c r="M60" t="inlineStr">
        <is>
          <t>7:39:40</t>
        </is>
      </c>
    </row>
    <row r="61" ht="15" customHeight="1" s="37">
      <c r="A61" t="n">
        <v>1</v>
      </c>
      <c r="B61" s="10" t="inlineStr">
        <is>
          <t>休日</t>
        </is>
      </c>
      <c r="C61" s="10" t="inlineStr">
        <is>
          <t>本線</t>
        </is>
      </c>
      <c r="D61" s="10" t="inlineStr">
        <is>
          <t>下り</t>
        </is>
      </c>
      <c r="E61" t="inlineStr">
        <is>
          <t>0705</t>
        </is>
      </c>
      <c r="F61" t="inlineStr">
        <is>
          <t>0122</t>
        </is>
      </c>
      <c r="G61" s="10" t="inlineStr">
        <is>
          <t>有栖川</t>
        </is>
      </c>
      <c r="H61" s="10" t="inlineStr">
        <is>
          <t>発</t>
        </is>
      </c>
      <c r="J61" s="10" t="inlineStr">
        <is>
          <t>営業</t>
        </is>
      </c>
      <c r="L61" t="inlineStr">
        <is>
          <t>7:40:50</t>
        </is>
      </c>
      <c r="M61" t="inlineStr">
        <is>
          <t>7:41:15</t>
        </is>
      </c>
    </row>
    <row r="62" ht="15" customHeight="1" s="37">
      <c r="A62" t="n">
        <v>1</v>
      </c>
      <c r="B62" s="10" t="inlineStr">
        <is>
          <t>休日</t>
        </is>
      </c>
      <c r="C62" s="10" t="inlineStr">
        <is>
          <t>本線</t>
        </is>
      </c>
      <c r="D62" s="10" t="inlineStr">
        <is>
          <t>下り</t>
        </is>
      </c>
      <c r="E62" t="inlineStr">
        <is>
          <t>0705</t>
        </is>
      </c>
      <c r="F62" t="inlineStr">
        <is>
          <t>0122</t>
        </is>
      </c>
      <c r="G62" s="10" t="inlineStr">
        <is>
          <t>車折</t>
        </is>
      </c>
      <c r="H62" s="10" t="inlineStr">
        <is>
          <t>発</t>
        </is>
      </c>
      <c r="J62" s="10" t="inlineStr">
        <is>
          <t>営業</t>
        </is>
      </c>
      <c r="L62" t="inlineStr">
        <is>
          <t>7:42:40</t>
        </is>
      </c>
      <c r="M62" t="inlineStr">
        <is>
          <t>7:43:05</t>
        </is>
      </c>
    </row>
    <row r="63" ht="15" customHeight="1" s="37">
      <c r="A63" t="n">
        <v>1</v>
      </c>
      <c r="B63" s="10" t="inlineStr">
        <is>
          <t>休日</t>
        </is>
      </c>
      <c r="C63" s="10" t="inlineStr">
        <is>
          <t>本線</t>
        </is>
      </c>
      <c r="D63" s="10" t="inlineStr">
        <is>
          <t>下り</t>
        </is>
      </c>
      <c r="E63" t="inlineStr">
        <is>
          <t>0705</t>
        </is>
      </c>
      <c r="F63" t="inlineStr">
        <is>
          <t>0122</t>
        </is>
      </c>
      <c r="G63" s="10" t="inlineStr">
        <is>
          <t>鹿王院</t>
        </is>
      </c>
      <c r="H63" s="10" t="inlineStr">
        <is>
          <t>発</t>
        </is>
      </c>
      <c r="J63" s="10" t="inlineStr">
        <is>
          <t>営業</t>
        </is>
      </c>
      <c r="L63" t="inlineStr">
        <is>
          <t>7:44:00</t>
        </is>
      </c>
      <c r="M63" t="inlineStr">
        <is>
          <t>7:44:25</t>
        </is>
      </c>
    </row>
    <row r="64" ht="15" customHeight="1" s="37">
      <c r="A64" t="n">
        <v>1</v>
      </c>
      <c r="B64" s="10" t="inlineStr">
        <is>
          <t>休日</t>
        </is>
      </c>
      <c r="C64" s="10" t="inlineStr">
        <is>
          <t>本線</t>
        </is>
      </c>
      <c r="D64" s="10" t="inlineStr">
        <is>
          <t>下り</t>
        </is>
      </c>
      <c r="E64" t="inlineStr">
        <is>
          <t>0705</t>
        </is>
      </c>
      <c r="F64" t="inlineStr">
        <is>
          <t>0122</t>
        </is>
      </c>
      <c r="G64" s="10" t="inlineStr">
        <is>
          <t>嵯峨</t>
        </is>
      </c>
      <c r="H64" s="10" t="inlineStr">
        <is>
          <t>発</t>
        </is>
      </c>
      <c r="J64" s="10" t="inlineStr">
        <is>
          <t>営業</t>
        </is>
      </c>
      <c r="L64" t="inlineStr">
        <is>
          <t>7:45:30</t>
        </is>
      </c>
      <c r="M64" t="inlineStr">
        <is>
          <t>7:45:55</t>
        </is>
      </c>
    </row>
    <row r="65" ht="15" customHeight="1" s="37">
      <c r="A65" t="n">
        <v>1</v>
      </c>
      <c r="B65" s="10" t="inlineStr">
        <is>
          <t>休日</t>
        </is>
      </c>
      <c r="C65" s="10" t="inlineStr">
        <is>
          <t>本線</t>
        </is>
      </c>
      <c r="D65" s="10" t="inlineStr">
        <is>
          <t>下り</t>
        </is>
      </c>
      <c r="E65" t="inlineStr">
        <is>
          <t>0705</t>
        </is>
      </c>
      <c r="F65" t="inlineStr">
        <is>
          <t>0122</t>
        </is>
      </c>
      <c r="G65" s="10" t="inlineStr">
        <is>
          <t>嵐山</t>
        </is>
      </c>
      <c r="H65" s="10" t="inlineStr">
        <is>
          <t>着</t>
        </is>
      </c>
      <c r="J65" s="10" t="inlineStr">
        <is>
          <t>営業</t>
        </is>
      </c>
      <c r="L65" t="inlineStr">
        <is>
          <t>7:47:00</t>
        </is>
      </c>
      <c r="N65" t="inlineStr">
        <is>
          <t>○</t>
        </is>
      </c>
      <c r="Q65" t="inlineStr">
        <is>
          <t>1</t>
        </is>
      </c>
    </row>
    <row r="66" ht="15" customHeight="1" s="37">
      <c r="A66" t="n">
        <v>1</v>
      </c>
      <c r="B66" s="10" t="inlineStr">
        <is>
          <t>休日</t>
        </is>
      </c>
      <c r="C66" s="10" t="inlineStr">
        <is>
          <t>本線</t>
        </is>
      </c>
      <c r="D66" s="10" t="inlineStr">
        <is>
          <t>上り</t>
        </is>
      </c>
      <c r="E66" t="inlineStr">
        <is>
          <t>0712</t>
        </is>
      </c>
      <c r="F66" t="inlineStr">
        <is>
          <t>2221</t>
        </is>
      </c>
      <c r="G66" s="10" t="inlineStr">
        <is>
          <t>嵐山</t>
        </is>
      </c>
      <c r="H66" s="10" t="inlineStr">
        <is>
          <t>発</t>
        </is>
      </c>
      <c r="J66" s="10" t="inlineStr">
        <is>
          <t>営業</t>
        </is>
      </c>
      <c r="M66" t="inlineStr">
        <is>
          <t>7:53:00</t>
        </is>
      </c>
      <c r="Q66" t="inlineStr">
        <is>
          <t>1</t>
        </is>
      </c>
      <c r="U66" t="inlineStr">
        <is>
          <t>→西院 休憩(8:26〜9:46)</t>
        </is>
      </c>
    </row>
    <row r="67" ht="15" customHeight="1" s="37">
      <c r="A67" t="n">
        <v>1</v>
      </c>
      <c r="B67" s="10" t="inlineStr">
        <is>
          <t>休日</t>
        </is>
      </c>
      <c r="C67" s="10" t="inlineStr">
        <is>
          <t>本線</t>
        </is>
      </c>
      <c r="D67" s="10" t="inlineStr">
        <is>
          <t>上り</t>
        </is>
      </c>
      <c r="E67" t="inlineStr">
        <is>
          <t>0712</t>
        </is>
      </c>
      <c r="F67" t="inlineStr">
        <is>
          <t>2221</t>
        </is>
      </c>
      <c r="G67" s="10" t="inlineStr">
        <is>
          <t>嵯峨</t>
        </is>
      </c>
      <c r="H67" s="10" t="inlineStr">
        <is>
          <t>発</t>
        </is>
      </c>
      <c r="J67" s="10" t="inlineStr">
        <is>
          <t>営業</t>
        </is>
      </c>
      <c r="L67" t="inlineStr">
        <is>
          <t>7:53:55</t>
        </is>
      </c>
      <c r="M67" t="inlineStr">
        <is>
          <t>7:54:20</t>
        </is>
      </c>
      <c r="U67" t="inlineStr">
        <is>
          <t>→西院 休憩(8:26〜9:46)</t>
        </is>
      </c>
    </row>
    <row r="68" ht="15" customHeight="1" s="37">
      <c r="A68" t="n">
        <v>1</v>
      </c>
      <c r="B68" s="10" t="inlineStr">
        <is>
          <t>休日</t>
        </is>
      </c>
      <c r="C68" s="10" t="inlineStr">
        <is>
          <t>本線</t>
        </is>
      </c>
      <c r="D68" s="10" t="inlineStr">
        <is>
          <t>上り</t>
        </is>
      </c>
      <c r="E68" t="inlineStr">
        <is>
          <t>0712</t>
        </is>
      </c>
      <c r="F68" t="inlineStr">
        <is>
          <t>2221</t>
        </is>
      </c>
      <c r="G68" s="10" t="inlineStr">
        <is>
          <t>鹿王院</t>
        </is>
      </c>
      <c r="H68" s="10" t="inlineStr">
        <is>
          <t>発</t>
        </is>
      </c>
      <c r="J68" s="10" t="inlineStr">
        <is>
          <t>営業</t>
        </is>
      </c>
      <c r="L68" t="inlineStr">
        <is>
          <t>7:55:25</t>
        </is>
      </c>
      <c r="M68" t="inlineStr">
        <is>
          <t>7:55:45</t>
        </is>
      </c>
      <c r="U68" t="inlineStr">
        <is>
          <t>→西院 休憩(8:26〜9:46)</t>
        </is>
      </c>
    </row>
    <row r="69" ht="15" customHeight="1" s="37">
      <c r="A69" t="n">
        <v>1</v>
      </c>
      <c r="B69" s="10" t="inlineStr">
        <is>
          <t>休日</t>
        </is>
      </c>
      <c r="C69" s="10" t="inlineStr">
        <is>
          <t>本線</t>
        </is>
      </c>
      <c r="D69" s="10" t="inlineStr">
        <is>
          <t>上り</t>
        </is>
      </c>
      <c r="E69" t="inlineStr">
        <is>
          <t>0712</t>
        </is>
      </c>
      <c r="F69" t="inlineStr">
        <is>
          <t>2221</t>
        </is>
      </c>
      <c r="G69" s="10" t="inlineStr">
        <is>
          <t>車折</t>
        </is>
      </c>
      <c r="H69" s="10" t="inlineStr">
        <is>
          <t>発</t>
        </is>
      </c>
      <c r="J69" s="10" t="inlineStr">
        <is>
          <t>営業</t>
        </is>
      </c>
      <c r="L69" t="inlineStr">
        <is>
          <t>7:56:40</t>
        </is>
      </c>
      <c r="M69" t="inlineStr">
        <is>
          <t>7:57:10</t>
        </is>
      </c>
      <c r="U69" t="inlineStr">
        <is>
          <t>→西院 休憩(8:26〜9:46)</t>
        </is>
      </c>
    </row>
    <row r="70" ht="15" customHeight="1" s="37">
      <c r="A70" t="n">
        <v>1</v>
      </c>
      <c r="B70" s="10" t="inlineStr">
        <is>
          <t>休日</t>
        </is>
      </c>
      <c r="C70" s="10" t="inlineStr">
        <is>
          <t>本線</t>
        </is>
      </c>
      <c r="D70" s="10" t="inlineStr">
        <is>
          <t>上り</t>
        </is>
      </c>
      <c r="E70" t="inlineStr">
        <is>
          <t>0712</t>
        </is>
      </c>
      <c r="F70" t="inlineStr">
        <is>
          <t>2221</t>
        </is>
      </c>
      <c r="G70" s="10" t="inlineStr">
        <is>
          <t>有栖川</t>
        </is>
      </c>
      <c r="H70" s="10" t="inlineStr">
        <is>
          <t>発</t>
        </is>
      </c>
      <c r="J70" s="10" t="inlineStr">
        <is>
          <t>営業</t>
        </is>
      </c>
      <c r="L70" t="inlineStr">
        <is>
          <t>7:58:35</t>
        </is>
      </c>
      <c r="M70" t="inlineStr">
        <is>
          <t>7:58:55</t>
        </is>
      </c>
      <c r="U70" t="inlineStr">
        <is>
          <t>→西院 休憩(8:26〜9:46)</t>
        </is>
      </c>
    </row>
    <row r="71" ht="15" customHeight="1" s="37">
      <c r="A71" t="n">
        <v>1</v>
      </c>
      <c r="B71" s="10" t="inlineStr">
        <is>
          <t>休日</t>
        </is>
      </c>
      <c r="C71" s="10" t="inlineStr">
        <is>
          <t>本線</t>
        </is>
      </c>
      <c r="D71" s="10" t="inlineStr">
        <is>
          <t>上り</t>
        </is>
      </c>
      <c r="E71" t="inlineStr">
        <is>
          <t>0712</t>
        </is>
      </c>
      <c r="F71" t="inlineStr">
        <is>
          <t>2221</t>
        </is>
      </c>
      <c r="G71" s="10" t="inlineStr">
        <is>
          <t>帷子ノ辻</t>
        </is>
      </c>
      <c r="H71" s="10" t="inlineStr">
        <is>
          <t>発</t>
        </is>
      </c>
      <c r="J71" s="10" t="inlineStr">
        <is>
          <t>営業</t>
        </is>
      </c>
      <c r="L71" t="inlineStr">
        <is>
          <t>8:00:10</t>
        </is>
      </c>
      <c r="M71" t="inlineStr">
        <is>
          <t>8:01:15</t>
        </is>
      </c>
      <c r="U71" t="inlineStr">
        <is>
          <t>→西院 休憩(8:26〜9:46)</t>
        </is>
      </c>
    </row>
    <row r="72" ht="15" customHeight="1" s="37">
      <c r="A72" t="n">
        <v>1</v>
      </c>
      <c r="B72" s="10" t="inlineStr">
        <is>
          <t>休日</t>
        </is>
      </c>
      <c r="C72" s="10" t="inlineStr">
        <is>
          <t>本線</t>
        </is>
      </c>
      <c r="D72" s="10" t="inlineStr">
        <is>
          <t>上り</t>
        </is>
      </c>
      <c r="E72" t="inlineStr">
        <is>
          <t>0712</t>
        </is>
      </c>
      <c r="F72" t="inlineStr">
        <is>
          <t>2221</t>
        </is>
      </c>
      <c r="G72" s="10" t="inlineStr">
        <is>
          <t>太秦広隆寺</t>
        </is>
      </c>
      <c r="H72" s="10" t="inlineStr">
        <is>
          <t>発</t>
        </is>
      </c>
      <c r="J72" s="10" t="inlineStr">
        <is>
          <t>営業</t>
        </is>
      </c>
      <c r="L72" t="inlineStr">
        <is>
          <t>8:03:25</t>
        </is>
      </c>
      <c r="M72" t="inlineStr">
        <is>
          <t>8:03:45</t>
        </is>
      </c>
      <c r="U72" t="inlineStr">
        <is>
          <t>→西院 休憩(8:26〜9:46)</t>
        </is>
      </c>
    </row>
    <row r="73" ht="15" customHeight="1" s="37">
      <c r="A73" t="n">
        <v>1</v>
      </c>
      <c r="B73" s="10" t="inlineStr">
        <is>
          <t>休日</t>
        </is>
      </c>
      <c r="C73" s="10" t="inlineStr">
        <is>
          <t>本線</t>
        </is>
      </c>
      <c r="D73" s="10" t="inlineStr">
        <is>
          <t>上り</t>
        </is>
      </c>
      <c r="E73" t="inlineStr">
        <is>
          <t>0712</t>
        </is>
      </c>
      <c r="F73" t="inlineStr">
        <is>
          <t>2221</t>
        </is>
      </c>
      <c r="G73" s="10" t="inlineStr">
        <is>
          <t>蚕ノ社</t>
        </is>
      </c>
      <c r="H73" s="10" t="inlineStr">
        <is>
          <t>発</t>
        </is>
      </c>
      <c r="J73" s="10" t="inlineStr">
        <is>
          <t>営業</t>
        </is>
      </c>
      <c r="L73" t="inlineStr">
        <is>
          <t>8:05:00</t>
        </is>
      </c>
      <c r="M73" t="inlineStr">
        <is>
          <t>8:05:20</t>
        </is>
      </c>
      <c r="U73" t="inlineStr">
        <is>
          <t>→西院 休憩(8:26〜9:46)</t>
        </is>
      </c>
    </row>
    <row r="74" ht="15" customHeight="1" s="37">
      <c r="A74" t="n">
        <v>1</v>
      </c>
      <c r="B74" s="10" t="inlineStr">
        <is>
          <t>休日</t>
        </is>
      </c>
      <c r="C74" s="10" t="inlineStr">
        <is>
          <t>本線</t>
        </is>
      </c>
      <c r="D74" s="10" t="inlineStr">
        <is>
          <t>上り</t>
        </is>
      </c>
      <c r="E74" t="inlineStr">
        <is>
          <t>0712</t>
        </is>
      </c>
      <c r="F74" t="inlineStr">
        <is>
          <t>2221</t>
        </is>
      </c>
      <c r="G74" s="10" t="inlineStr">
        <is>
          <t>天神川</t>
        </is>
      </c>
      <c r="H74" s="10" t="inlineStr">
        <is>
          <t>発</t>
        </is>
      </c>
      <c r="J74" s="10" t="inlineStr">
        <is>
          <t>営業</t>
        </is>
      </c>
      <c r="L74" t="inlineStr">
        <is>
          <t>8:06:05</t>
        </is>
      </c>
      <c r="M74" t="inlineStr">
        <is>
          <t>8:06:50</t>
        </is>
      </c>
      <c r="U74" t="inlineStr">
        <is>
          <t>→西院 休憩(8:26〜9:46)</t>
        </is>
      </c>
    </row>
    <row r="75" ht="15" customHeight="1" s="37">
      <c r="A75" t="n">
        <v>1</v>
      </c>
      <c r="B75" s="10" t="inlineStr">
        <is>
          <t>休日</t>
        </is>
      </c>
      <c r="C75" s="10" t="inlineStr">
        <is>
          <t>本線</t>
        </is>
      </c>
      <c r="D75" s="10" t="inlineStr">
        <is>
          <t>上り</t>
        </is>
      </c>
      <c r="E75" t="inlineStr">
        <is>
          <t>0712</t>
        </is>
      </c>
      <c r="F75" t="inlineStr">
        <is>
          <t>2221</t>
        </is>
      </c>
      <c r="G75" s="10" t="inlineStr">
        <is>
          <t>山ノ内</t>
        </is>
      </c>
      <c r="H75" s="10" t="inlineStr">
        <is>
          <t>発</t>
        </is>
      </c>
      <c r="J75" s="10" t="inlineStr">
        <is>
          <t>営業</t>
        </is>
      </c>
      <c r="L75" t="inlineStr">
        <is>
          <t>8:08:40</t>
        </is>
      </c>
      <c r="M75" t="inlineStr">
        <is>
          <t>8:09:05</t>
        </is>
      </c>
      <c r="U75" t="inlineStr">
        <is>
          <t>→西院 休憩(8:26〜9:46)</t>
        </is>
      </c>
    </row>
    <row r="76" ht="15" customHeight="1" s="37">
      <c r="A76" t="n">
        <v>1</v>
      </c>
      <c r="B76" s="10" t="inlineStr">
        <is>
          <t>休日</t>
        </is>
      </c>
      <c r="C76" s="10" t="inlineStr">
        <is>
          <t>本線</t>
        </is>
      </c>
      <c r="D76" s="10" t="inlineStr">
        <is>
          <t>上り</t>
        </is>
      </c>
      <c r="E76" t="inlineStr">
        <is>
          <t>0712</t>
        </is>
      </c>
      <c r="F76" t="inlineStr">
        <is>
          <t>2221</t>
        </is>
      </c>
      <c r="G76" s="10" t="inlineStr">
        <is>
          <t>西大路三条</t>
        </is>
      </c>
      <c r="H76" s="10" t="inlineStr">
        <is>
          <t>発</t>
        </is>
      </c>
      <c r="J76" s="10" t="inlineStr">
        <is>
          <t>営業</t>
        </is>
      </c>
      <c r="L76" t="inlineStr">
        <is>
          <t>8:10:55</t>
        </is>
      </c>
      <c r="M76" t="inlineStr">
        <is>
          <t>8:11:15</t>
        </is>
      </c>
      <c r="U76" t="inlineStr">
        <is>
          <t>→西院 休憩(8:26〜9:46)</t>
        </is>
      </c>
    </row>
    <row r="77" ht="15" customHeight="1" s="37">
      <c r="A77" t="n">
        <v>1</v>
      </c>
      <c r="B77" s="10" t="inlineStr">
        <is>
          <t>休日</t>
        </is>
      </c>
      <c r="C77" s="10" t="inlineStr">
        <is>
          <t>本線</t>
        </is>
      </c>
      <c r="D77" s="10" t="inlineStr">
        <is>
          <t>上り</t>
        </is>
      </c>
      <c r="E77" t="inlineStr">
        <is>
          <t>0712</t>
        </is>
      </c>
      <c r="F77" t="inlineStr">
        <is>
          <t>2221</t>
        </is>
      </c>
      <c r="G77" s="10" t="inlineStr">
        <is>
          <t>西院</t>
        </is>
      </c>
      <c r="H77" s="10" t="inlineStr">
        <is>
          <t>発</t>
        </is>
      </c>
      <c r="J77" s="10" t="inlineStr">
        <is>
          <t>営業</t>
        </is>
      </c>
      <c r="L77" t="inlineStr">
        <is>
          <t>8:13:10</t>
        </is>
      </c>
      <c r="M77" t="inlineStr">
        <is>
          <t>8:14:05</t>
        </is>
      </c>
      <c r="U77" t="inlineStr">
        <is>
          <t>→西院 休憩(8:26〜9:46)</t>
        </is>
      </c>
    </row>
    <row r="78" ht="15" customHeight="1" s="37">
      <c r="A78" t="n">
        <v>1</v>
      </c>
      <c r="B78" s="10" t="inlineStr">
        <is>
          <t>休日</t>
        </is>
      </c>
      <c r="C78" s="10" t="inlineStr">
        <is>
          <t>本線</t>
        </is>
      </c>
      <c r="D78" s="10" t="inlineStr">
        <is>
          <t>上り</t>
        </is>
      </c>
      <c r="E78" t="inlineStr">
        <is>
          <t>0712</t>
        </is>
      </c>
      <c r="F78" t="inlineStr">
        <is>
          <t>2221</t>
        </is>
      </c>
      <c r="G78" s="10" t="inlineStr">
        <is>
          <t>四条大宮</t>
        </is>
      </c>
      <c r="H78" s="10" t="inlineStr">
        <is>
          <t>着</t>
        </is>
      </c>
      <c r="J78" s="10" t="inlineStr">
        <is>
          <t>営業</t>
        </is>
      </c>
      <c r="L78" t="inlineStr">
        <is>
          <t>8:17:00</t>
        </is>
      </c>
      <c r="Q78" t="inlineStr">
        <is>
          <t>1</t>
        </is>
      </c>
      <c r="U78" t="inlineStr">
        <is>
          <t>→西院 休憩(8:26〜9:46)</t>
        </is>
      </c>
    </row>
    <row r="79" ht="15" customHeight="1" s="37">
      <c r="A79" t="n">
        <v>1</v>
      </c>
      <c r="B79" s="10" t="inlineStr">
        <is>
          <t>休日</t>
        </is>
      </c>
      <c r="C79" s="10" t="inlineStr">
        <is>
          <t>本線</t>
        </is>
      </c>
      <c r="D79" s="10" t="inlineStr">
        <is>
          <t>下り</t>
        </is>
      </c>
      <c r="E79" t="inlineStr">
        <is>
          <t>0805</t>
        </is>
      </c>
      <c r="F79" t="inlineStr">
        <is>
          <t>0122</t>
        </is>
      </c>
      <c r="G79" s="10" t="inlineStr">
        <is>
          <t>四条大宮</t>
        </is>
      </c>
      <c r="H79" s="10" t="inlineStr">
        <is>
          <t>発</t>
        </is>
      </c>
      <c r="J79" s="10" t="inlineStr">
        <is>
          <t>営業</t>
        </is>
      </c>
      <c r="M79" t="inlineStr">
        <is>
          <t>8:23:00</t>
        </is>
      </c>
      <c r="Q79" t="inlineStr">
        <is>
          <t>1</t>
        </is>
      </c>
      <c r="U79" t="inlineStr">
        <is>
          <t>→西院 休憩(8:26〜9:46)</t>
        </is>
      </c>
    </row>
    <row r="80" ht="15" customHeight="1" s="37">
      <c r="A80" t="n">
        <v>1</v>
      </c>
      <c r="B80" s="10" t="inlineStr">
        <is>
          <t>休日</t>
        </is>
      </c>
      <c r="C80" s="10" t="inlineStr">
        <is>
          <t>本線</t>
        </is>
      </c>
      <c r="D80" s="10" t="inlineStr">
        <is>
          <t>下り</t>
        </is>
      </c>
      <c r="E80" t="inlineStr">
        <is>
          <t>0805</t>
        </is>
      </c>
      <c r="F80" t="inlineStr">
        <is>
          <t>0122</t>
        </is>
      </c>
      <c r="G80" s="10" t="inlineStr">
        <is>
          <t>西院</t>
        </is>
      </c>
      <c r="H80" s="10" t="inlineStr">
        <is>
          <t>着</t>
        </is>
      </c>
      <c r="J80" s="10" t="inlineStr">
        <is>
          <t>営業</t>
        </is>
      </c>
      <c r="L80" t="inlineStr">
        <is>
          <t>8:25:50</t>
        </is>
      </c>
      <c r="M80" t="inlineStr">
        <is>
          <t>8:26:20</t>
        </is>
      </c>
      <c r="U80" t="inlineStr">
        <is>
          <t>→西院 休憩(8:26〜9:46)</t>
        </is>
      </c>
    </row>
    <row r="81" ht="15" customHeight="1" s="37">
      <c r="A81" t="n">
        <v>1</v>
      </c>
      <c r="B81" s="10" t="inlineStr">
        <is>
          <t>休日</t>
        </is>
      </c>
      <c r="C81" s="10" t="inlineStr">
        <is>
          <t>本線</t>
        </is>
      </c>
      <c r="D81" s="10" t="inlineStr">
        <is>
          <t>下り</t>
        </is>
      </c>
      <c r="E81" t="inlineStr">
        <is>
          <t>0909</t>
        </is>
      </c>
      <c r="F81" t="inlineStr">
        <is>
          <t>0112</t>
        </is>
      </c>
      <c r="G81" s="10" t="inlineStr">
        <is>
          <t>西院</t>
        </is>
      </c>
      <c r="H81" s="10" t="inlineStr">
        <is>
          <t>発</t>
        </is>
      </c>
      <c r="J81" s="10" t="inlineStr">
        <is>
          <t>営業</t>
        </is>
      </c>
      <c r="L81" t="inlineStr">
        <is>
          <t>9:45:50</t>
        </is>
      </c>
      <c r="M81" t="inlineStr">
        <is>
          <t>9:46:20</t>
        </is>
      </c>
    </row>
    <row r="82" ht="15" customHeight="1" s="37">
      <c r="A82" t="n">
        <v>1</v>
      </c>
      <c r="B82" s="10" t="inlineStr">
        <is>
          <t>休日</t>
        </is>
      </c>
      <c r="C82" s="10" t="inlineStr">
        <is>
          <t>本線</t>
        </is>
      </c>
      <c r="D82" s="10" t="inlineStr">
        <is>
          <t>下り</t>
        </is>
      </c>
      <c r="E82" t="inlineStr">
        <is>
          <t>0909</t>
        </is>
      </c>
      <c r="F82" t="inlineStr">
        <is>
          <t>0112</t>
        </is>
      </c>
      <c r="G82" s="10" t="inlineStr">
        <is>
          <t>西大路三条</t>
        </is>
      </c>
      <c r="H82" s="10" t="inlineStr">
        <is>
          <t>発</t>
        </is>
      </c>
      <c r="J82" s="10" t="inlineStr">
        <is>
          <t>営業</t>
        </is>
      </c>
      <c r="L82" t="inlineStr">
        <is>
          <t>9:48:10</t>
        </is>
      </c>
      <c r="M82" t="inlineStr">
        <is>
          <t>9:48:30</t>
        </is>
      </c>
    </row>
    <row r="83" ht="15" customHeight="1" s="37">
      <c r="A83" t="n">
        <v>1</v>
      </c>
      <c r="B83" s="10" t="inlineStr">
        <is>
          <t>休日</t>
        </is>
      </c>
      <c r="C83" s="10" t="inlineStr">
        <is>
          <t>本線</t>
        </is>
      </c>
      <c r="D83" s="10" t="inlineStr">
        <is>
          <t>下り</t>
        </is>
      </c>
      <c r="E83" t="inlineStr">
        <is>
          <t>0909</t>
        </is>
      </c>
      <c r="F83" t="inlineStr">
        <is>
          <t>0112</t>
        </is>
      </c>
      <c r="G83" s="10" t="inlineStr">
        <is>
          <t>山ノ内</t>
        </is>
      </c>
      <c r="H83" s="10" t="inlineStr">
        <is>
          <t>発</t>
        </is>
      </c>
      <c r="J83" s="10" t="inlineStr">
        <is>
          <t>営業</t>
        </is>
      </c>
      <c r="L83" t="inlineStr">
        <is>
          <t>9:50:25</t>
        </is>
      </c>
      <c r="M83" t="inlineStr">
        <is>
          <t>9:50:50</t>
        </is>
      </c>
    </row>
    <row r="84" ht="15" customHeight="1" s="37">
      <c r="A84" t="n">
        <v>1</v>
      </c>
      <c r="B84" s="10" t="inlineStr">
        <is>
          <t>休日</t>
        </is>
      </c>
      <c r="C84" s="10" t="inlineStr">
        <is>
          <t>本線</t>
        </is>
      </c>
      <c r="D84" s="10" t="inlineStr">
        <is>
          <t>下り</t>
        </is>
      </c>
      <c r="E84" t="inlineStr">
        <is>
          <t>0909</t>
        </is>
      </c>
      <c r="F84" t="inlineStr">
        <is>
          <t>0112</t>
        </is>
      </c>
      <c r="G84" s="10" t="inlineStr">
        <is>
          <t>天神川</t>
        </is>
      </c>
      <c r="H84" s="10" t="inlineStr">
        <is>
          <t>発</t>
        </is>
      </c>
      <c r="J84" s="10" t="inlineStr">
        <is>
          <t>営業</t>
        </is>
      </c>
      <c r="L84" t="inlineStr">
        <is>
          <t>9:52:50</t>
        </is>
      </c>
      <c r="M84" t="inlineStr">
        <is>
          <t>9:53:30</t>
        </is>
      </c>
    </row>
    <row r="85" ht="15" customHeight="1" s="37">
      <c r="A85" t="n">
        <v>1</v>
      </c>
      <c r="B85" s="10" t="inlineStr">
        <is>
          <t>休日</t>
        </is>
      </c>
      <c r="C85" s="10" t="inlineStr">
        <is>
          <t>本線</t>
        </is>
      </c>
      <c r="D85" s="10" t="inlineStr">
        <is>
          <t>下り</t>
        </is>
      </c>
      <c r="E85" t="inlineStr">
        <is>
          <t>0909</t>
        </is>
      </c>
      <c r="F85" t="inlineStr">
        <is>
          <t>0112</t>
        </is>
      </c>
      <c r="G85" s="10" t="inlineStr">
        <is>
          <t>蚕ノ社</t>
        </is>
      </c>
      <c r="H85" s="10" t="inlineStr">
        <is>
          <t>発</t>
        </is>
      </c>
      <c r="J85" s="10" t="inlineStr">
        <is>
          <t>営業</t>
        </is>
      </c>
      <c r="L85" t="inlineStr">
        <is>
          <t>9:54:20</t>
        </is>
      </c>
      <c r="M85" t="inlineStr">
        <is>
          <t>9:54:40</t>
        </is>
      </c>
    </row>
    <row r="86" ht="15" customHeight="1" s="37">
      <c r="A86" t="n">
        <v>1</v>
      </c>
      <c r="B86" s="10" t="inlineStr">
        <is>
          <t>休日</t>
        </is>
      </c>
      <c r="C86" s="10" t="inlineStr">
        <is>
          <t>本線</t>
        </is>
      </c>
      <c r="D86" s="10" t="inlineStr">
        <is>
          <t>下り</t>
        </is>
      </c>
      <c r="E86" t="inlineStr">
        <is>
          <t>0909</t>
        </is>
      </c>
      <c r="F86" t="inlineStr">
        <is>
          <t>0112</t>
        </is>
      </c>
      <c r="G86" s="10" t="inlineStr">
        <is>
          <t>太秦広隆寺</t>
        </is>
      </c>
      <c r="H86" s="10" t="inlineStr">
        <is>
          <t>発</t>
        </is>
      </c>
      <c r="J86" s="10" t="inlineStr">
        <is>
          <t>営業</t>
        </is>
      </c>
      <c r="L86" t="inlineStr">
        <is>
          <t>9:56:00</t>
        </is>
      </c>
      <c r="M86" t="inlineStr">
        <is>
          <t>9:56:20</t>
        </is>
      </c>
    </row>
    <row r="87" ht="15" customHeight="1" s="37">
      <c r="A87" t="n">
        <v>1</v>
      </c>
      <c r="B87" s="10" t="inlineStr">
        <is>
          <t>休日</t>
        </is>
      </c>
      <c r="C87" s="10" t="inlineStr">
        <is>
          <t>本線</t>
        </is>
      </c>
      <c r="D87" s="10" t="inlineStr">
        <is>
          <t>下り</t>
        </is>
      </c>
      <c r="E87" t="inlineStr">
        <is>
          <t>0909</t>
        </is>
      </c>
      <c r="F87" t="inlineStr">
        <is>
          <t>0112</t>
        </is>
      </c>
      <c r="G87" s="10" t="inlineStr">
        <is>
          <t>帷子ノ辻</t>
        </is>
      </c>
      <c r="H87" s="10" t="inlineStr">
        <is>
          <t>発</t>
        </is>
      </c>
      <c r="J87" s="10" t="inlineStr">
        <is>
          <t>営業</t>
        </is>
      </c>
      <c r="L87" t="inlineStr">
        <is>
          <t>9:58:20</t>
        </is>
      </c>
      <c r="M87" t="inlineStr">
        <is>
          <t>9:59:40</t>
        </is>
      </c>
    </row>
    <row r="88" ht="15" customHeight="1" s="37">
      <c r="A88" t="n">
        <v>1</v>
      </c>
      <c r="B88" s="10" t="inlineStr">
        <is>
          <t>休日</t>
        </is>
      </c>
      <c r="C88" s="10" t="inlineStr">
        <is>
          <t>本線</t>
        </is>
      </c>
      <c r="D88" s="10" t="inlineStr">
        <is>
          <t>下り</t>
        </is>
      </c>
      <c r="E88" t="inlineStr">
        <is>
          <t>0909</t>
        </is>
      </c>
      <c r="F88" t="inlineStr">
        <is>
          <t>0112</t>
        </is>
      </c>
      <c r="G88" s="10" t="inlineStr">
        <is>
          <t>有栖川</t>
        </is>
      </c>
      <c r="H88" s="10" t="inlineStr">
        <is>
          <t>発</t>
        </is>
      </c>
      <c r="J88" s="10" t="inlineStr">
        <is>
          <t>営業</t>
        </is>
      </c>
      <c r="L88" t="inlineStr">
        <is>
          <t>10:00:50</t>
        </is>
      </c>
      <c r="M88" t="inlineStr">
        <is>
          <t>10:01:15</t>
        </is>
      </c>
    </row>
    <row r="89" ht="15" customHeight="1" s="37">
      <c r="A89" t="n">
        <v>1</v>
      </c>
      <c r="B89" s="10" t="inlineStr">
        <is>
          <t>休日</t>
        </is>
      </c>
      <c r="C89" s="10" t="inlineStr">
        <is>
          <t>本線</t>
        </is>
      </c>
      <c r="D89" s="10" t="inlineStr">
        <is>
          <t>下り</t>
        </is>
      </c>
      <c r="E89" t="inlineStr">
        <is>
          <t>0909</t>
        </is>
      </c>
      <c r="F89" t="inlineStr">
        <is>
          <t>0112</t>
        </is>
      </c>
      <c r="G89" s="10" t="inlineStr">
        <is>
          <t>車折</t>
        </is>
      </c>
      <c r="H89" s="10" t="inlineStr">
        <is>
          <t>発</t>
        </is>
      </c>
      <c r="J89" s="10" t="inlineStr">
        <is>
          <t>営業</t>
        </is>
      </c>
      <c r="L89" t="inlineStr">
        <is>
          <t>10:02:40</t>
        </is>
      </c>
      <c r="M89" t="inlineStr">
        <is>
          <t>10:03:05</t>
        </is>
      </c>
    </row>
    <row r="90" ht="15" customHeight="1" s="37">
      <c r="A90" t="n">
        <v>1</v>
      </c>
      <c r="B90" s="10" t="inlineStr">
        <is>
          <t>休日</t>
        </is>
      </c>
      <c r="C90" s="10" t="inlineStr">
        <is>
          <t>本線</t>
        </is>
      </c>
      <c r="D90" s="10" t="inlineStr">
        <is>
          <t>下り</t>
        </is>
      </c>
      <c r="E90" t="inlineStr">
        <is>
          <t>0909</t>
        </is>
      </c>
      <c r="F90" t="inlineStr">
        <is>
          <t>0112</t>
        </is>
      </c>
      <c r="G90" s="10" t="inlineStr">
        <is>
          <t>鹿王院</t>
        </is>
      </c>
      <c r="H90" s="10" t="inlineStr">
        <is>
          <t>発</t>
        </is>
      </c>
      <c r="J90" s="10" t="inlineStr">
        <is>
          <t>営業</t>
        </is>
      </c>
      <c r="L90" t="inlineStr">
        <is>
          <t>10:04:00</t>
        </is>
      </c>
      <c r="M90" t="inlineStr">
        <is>
          <t>10:04:25</t>
        </is>
      </c>
    </row>
    <row r="91" ht="15" customHeight="1" s="37">
      <c r="A91" t="n">
        <v>1</v>
      </c>
      <c r="B91" s="10" t="inlineStr">
        <is>
          <t>休日</t>
        </is>
      </c>
      <c r="C91" s="10" t="inlineStr">
        <is>
          <t>本線</t>
        </is>
      </c>
      <c r="D91" s="10" t="inlineStr">
        <is>
          <t>下り</t>
        </is>
      </c>
      <c r="E91" t="inlineStr">
        <is>
          <t>0909</t>
        </is>
      </c>
      <c r="F91" t="inlineStr">
        <is>
          <t>0112</t>
        </is>
      </c>
      <c r="G91" s="10" t="inlineStr">
        <is>
          <t>嵯峨</t>
        </is>
      </c>
      <c r="H91" s="10" t="inlineStr">
        <is>
          <t>発</t>
        </is>
      </c>
      <c r="J91" s="10" t="inlineStr">
        <is>
          <t>営業</t>
        </is>
      </c>
      <c r="L91" t="inlineStr">
        <is>
          <t>10:05:30</t>
        </is>
      </c>
      <c r="M91" t="inlineStr">
        <is>
          <t>10:05:55</t>
        </is>
      </c>
    </row>
    <row r="92" ht="15" customHeight="1" s="37">
      <c r="A92" t="n">
        <v>1</v>
      </c>
      <c r="B92" s="10" t="inlineStr">
        <is>
          <t>休日</t>
        </is>
      </c>
      <c r="C92" s="10" t="inlineStr">
        <is>
          <t>本線</t>
        </is>
      </c>
      <c r="D92" s="10" t="inlineStr">
        <is>
          <t>下り</t>
        </is>
      </c>
      <c r="E92" t="inlineStr">
        <is>
          <t>0909</t>
        </is>
      </c>
      <c r="F92" t="inlineStr">
        <is>
          <t>0112</t>
        </is>
      </c>
      <c r="G92" s="10" t="inlineStr">
        <is>
          <t>嵐山</t>
        </is>
      </c>
      <c r="H92" s="10" t="inlineStr">
        <is>
          <t>着</t>
        </is>
      </c>
      <c r="J92" s="10" t="inlineStr">
        <is>
          <t>営業</t>
        </is>
      </c>
      <c r="L92" t="inlineStr">
        <is>
          <t>10:07:00</t>
        </is>
      </c>
      <c r="Q92" t="inlineStr">
        <is>
          <t>1</t>
        </is>
      </c>
    </row>
    <row r="93" ht="15" customHeight="1" s="37">
      <c r="A93" t="n">
        <v>1</v>
      </c>
      <c r="B93" s="10" t="inlineStr">
        <is>
          <t>休日</t>
        </is>
      </c>
      <c r="C93" s="10" t="inlineStr">
        <is>
          <t>本線</t>
        </is>
      </c>
      <c r="D93" s="10" t="inlineStr">
        <is>
          <t>上り</t>
        </is>
      </c>
      <c r="E93" t="inlineStr">
        <is>
          <t>1004</t>
        </is>
      </c>
      <c r="F93" t="inlineStr">
        <is>
          <t>0211</t>
        </is>
      </c>
      <c r="G93" s="10" t="inlineStr">
        <is>
          <t>嵐山</t>
        </is>
      </c>
      <c r="H93" s="10" t="inlineStr">
        <is>
          <t>発</t>
        </is>
      </c>
      <c r="J93" s="10" t="inlineStr">
        <is>
          <t>営業</t>
        </is>
      </c>
      <c r="M93" t="inlineStr">
        <is>
          <t>10:13:00</t>
        </is>
      </c>
      <c r="Q93" t="inlineStr">
        <is>
          <t>1</t>
        </is>
      </c>
    </row>
    <row r="94" ht="15" customHeight="1" s="37">
      <c r="A94" t="n">
        <v>1</v>
      </c>
      <c r="B94" s="10" t="inlineStr">
        <is>
          <t>休日</t>
        </is>
      </c>
      <c r="C94" s="10" t="inlineStr">
        <is>
          <t>本線</t>
        </is>
      </c>
      <c r="D94" s="10" t="inlineStr">
        <is>
          <t>上り</t>
        </is>
      </c>
      <c r="E94" t="inlineStr">
        <is>
          <t>1004</t>
        </is>
      </c>
      <c r="F94" t="inlineStr">
        <is>
          <t>0211</t>
        </is>
      </c>
      <c r="G94" s="10" t="inlineStr">
        <is>
          <t>嵯峨</t>
        </is>
      </c>
      <c r="H94" s="10" t="inlineStr">
        <is>
          <t>発</t>
        </is>
      </c>
      <c r="J94" s="10" t="inlineStr">
        <is>
          <t>営業</t>
        </is>
      </c>
      <c r="L94" t="inlineStr">
        <is>
          <t>10:13:55</t>
        </is>
      </c>
      <c r="M94" t="inlineStr">
        <is>
          <t>10:14:20</t>
        </is>
      </c>
    </row>
    <row r="95" ht="15" customHeight="1" s="37">
      <c r="A95" t="n">
        <v>1</v>
      </c>
      <c r="B95" s="10" t="inlineStr">
        <is>
          <t>休日</t>
        </is>
      </c>
      <c r="C95" s="10" t="inlineStr">
        <is>
          <t>本線</t>
        </is>
      </c>
      <c r="D95" s="10" t="inlineStr">
        <is>
          <t>上り</t>
        </is>
      </c>
      <c r="E95" t="inlineStr">
        <is>
          <t>1004</t>
        </is>
      </c>
      <c r="F95" t="inlineStr">
        <is>
          <t>0211</t>
        </is>
      </c>
      <c r="G95" s="10" t="inlineStr">
        <is>
          <t>鹿王院</t>
        </is>
      </c>
      <c r="H95" s="10" t="inlineStr">
        <is>
          <t>発</t>
        </is>
      </c>
      <c r="J95" s="10" t="inlineStr">
        <is>
          <t>営業</t>
        </is>
      </c>
      <c r="L95" t="inlineStr">
        <is>
          <t>10:15:25</t>
        </is>
      </c>
      <c r="M95" t="inlineStr">
        <is>
          <t>10:15:45</t>
        </is>
      </c>
    </row>
    <row r="96" ht="15" customHeight="1" s="37">
      <c r="A96" t="n">
        <v>1</v>
      </c>
      <c r="B96" s="10" t="inlineStr">
        <is>
          <t>休日</t>
        </is>
      </c>
      <c r="C96" s="10" t="inlineStr">
        <is>
          <t>本線</t>
        </is>
      </c>
      <c r="D96" s="10" t="inlineStr">
        <is>
          <t>上り</t>
        </is>
      </c>
      <c r="E96" t="inlineStr">
        <is>
          <t>1004</t>
        </is>
      </c>
      <c r="F96" t="inlineStr">
        <is>
          <t>0211</t>
        </is>
      </c>
      <c r="G96" s="10" t="inlineStr">
        <is>
          <t>車折</t>
        </is>
      </c>
      <c r="H96" s="10" t="inlineStr">
        <is>
          <t>発</t>
        </is>
      </c>
      <c r="J96" s="10" t="inlineStr">
        <is>
          <t>営業</t>
        </is>
      </c>
      <c r="L96" t="inlineStr">
        <is>
          <t>10:16:40</t>
        </is>
      </c>
      <c r="M96" t="inlineStr">
        <is>
          <t>10:17:10</t>
        </is>
      </c>
    </row>
    <row r="97" ht="15" customHeight="1" s="37">
      <c r="A97" t="n">
        <v>1</v>
      </c>
      <c r="B97" s="10" t="inlineStr">
        <is>
          <t>休日</t>
        </is>
      </c>
      <c r="C97" s="10" t="inlineStr">
        <is>
          <t>本線</t>
        </is>
      </c>
      <c r="D97" s="10" t="inlineStr">
        <is>
          <t>上り</t>
        </is>
      </c>
      <c r="E97" t="inlineStr">
        <is>
          <t>1004</t>
        </is>
      </c>
      <c r="F97" t="inlineStr">
        <is>
          <t>0211</t>
        </is>
      </c>
      <c r="G97" s="10" t="inlineStr">
        <is>
          <t>有栖川</t>
        </is>
      </c>
      <c r="H97" s="10" t="inlineStr">
        <is>
          <t>発</t>
        </is>
      </c>
      <c r="J97" s="10" t="inlineStr">
        <is>
          <t>営業</t>
        </is>
      </c>
      <c r="L97" t="inlineStr">
        <is>
          <t>10:18:35</t>
        </is>
      </c>
      <c r="M97" t="inlineStr">
        <is>
          <t>10:18:55</t>
        </is>
      </c>
    </row>
    <row r="98" ht="15" customHeight="1" s="37">
      <c r="A98" t="n">
        <v>1</v>
      </c>
      <c r="B98" s="10" t="inlineStr">
        <is>
          <t>休日</t>
        </is>
      </c>
      <c r="C98" s="10" t="inlineStr">
        <is>
          <t>本線</t>
        </is>
      </c>
      <c r="D98" s="10" t="inlineStr">
        <is>
          <t>上り</t>
        </is>
      </c>
      <c r="E98" t="inlineStr">
        <is>
          <t>1004</t>
        </is>
      </c>
      <c r="F98" t="inlineStr">
        <is>
          <t>0211</t>
        </is>
      </c>
      <c r="G98" s="10" t="inlineStr">
        <is>
          <t>帷子ノ辻</t>
        </is>
      </c>
      <c r="H98" s="10" t="inlineStr">
        <is>
          <t>発</t>
        </is>
      </c>
      <c r="J98" s="10" t="inlineStr">
        <is>
          <t>営業</t>
        </is>
      </c>
      <c r="L98" t="inlineStr">
        <is>
          <t>10:20:10</t>
        </is>
      </c>
      <c r="M98" t="inlineStr">
        <is>
          <t>10:21:15</t>
        </is>
      </c>
    </row>
    <row r="99" ht="15" customHeight="1" s="37">
      <c r="A99" t="n">
        <v>1</v>
      </c>
      <c r="B99" s="10" t="inlineStr">
        <is>
          <t>休日</t>
        </is>
      </c>
      <c r="C99" s="10" t="inlineStr">
        <is>
          <t>本線</t>
        </is>
      </c>
      <c r="D99" s="10" t="inlineStr">
        <is>
          <t>上り</t>
        </is>
      </c>
      <c r="E99" t="inlineStr">
        <is>
          <t>1004</t>
        </is>
      </c>
      <c r="F99" t="inlineStr">
        <is>
          <t>0211</t>
        </is>
      </c>
      <c r="G99" s="10" t="inlineStr">
        <is>
          <t>太秦広隆寺</t>
        </is>
      </c>
      <c r="H99" s="10" t="inlineStr">
        <is>
          <t>発</t>
        </is>
      </c>
      <c r="J99" s="10" t="inlineStr">
        <is>
          <t>営業</t>
        </is>
      </c>
      <c r="L99" t="inlineStr">
        <is>
          <t>10:23:25</t>
        </is>
      </c>
      <c r="M99" t="inlineStr">
        <is>
          <t>10:23:45</t>
        </is>
      </c>
    </row>
    <row r="100" ht="15" customHeight="1" s="37">
      <c r="A100" t="n">
        <v>1</v>
      </c>
      <c r="B100" s="10" t="inlineStr">
        <is>
          <t>休日</t>
        </is>
      </c>
      <c r="C100" s="10" t="inlineStr">
        <is>
          <t>本線</t>
        </is>
      </c>
      <c r="D100" s="10" t="inlineStr">
        <is>
          <t>上り</t>
        </is>
      </c>
      <c r="E100" t="inlineStr">
        <is>
          <t>1004</t>
        </is>
      </c>
      <c r="F100" t="inlineStr">
        <is>
          <t>0211</t>
        </is>
      </c>
      <c r="G100" s="10" t="inlineStr">
        <is>
          <t>蚕ノ社</t>
        </is>
      </c>
      <c r="H100" s="10" t="inlineStr">
        <is>
          <t>発</t>
        </is>
      </c>
      <c r="J100" s="10" t="inlineStr">
        <is>
          <t>営業</t>
        </is>
      </c>
      <c r="L100" t="inlineStr">
        <is>
          <t>10:25:00</t>
        </is>
      </c>
      <c r="M100" t="inlineStr">
        <is>
          <t>10:25:20</t>
        </is>
      </c>
    </row>
    <row r="101" ht="15" customHeight="1" s="37">
      <c r="A101" t="n">
        <v>1</v>
      </c>
      <c r="B101" s="10" t="inlineStr">
        <is>
          <t>休日</t>
        </is>
      </c>
      <c r="C101" s="10" t="inlineStr">
        <is>
          <t>本線</t>
        </is>
      </c>
      <c r="D101" s="10" t="inlineStr">
        <is>
          <t>上り</t>
        </is>
      </c>
      <c r="E101" t="inlineStr">
        <is>
          <t>1004</t>
        </is>
      </c>
      <c r="F101" t="inlineStr">
        <is>
          <t>0211</t>
        </is>
      </c>
      <c r="G101" s="10" t="inlineStr">
        <is>
          <t>天神川</t>
        </is>
      </c>
      <c r="H101" s="10" t="inlineStr">
        <is>
          <t>発</t>
        </is>
      </c>
      <c r="J101" s="10" t="inlineStr">
        <is>
          <t>営業</t>
        </is>
      </c>
      <c r="L101" t="inlineStr">
        <is>
          <t>10:26:05</t>
        </is>
      </c>
      <c r="M101" t="inlineStr">
        <is>
          <t>10:26:50</t>
        </is>
      </c>
    </row>
    <row r="102" ht="15" customHeight="1" s="37">
      <c r="A102" t="n">
        <v>1</v>
      </c>
      <c r="B102" s="10" t="inlineStr">
        <is>
          <t>休日</t>
        </is>
      </c>
      <c r="C102" s="10" t="inlineStr">
        <is>
          <t>本線</t>
        </is>
      </c>
      <c r="D102" s="10" t="inlineStr">
        <is>
          <t>上り</t>
        </is>
      </c>
      <c r="E102" t="inlineStr">
        <is>
          <t>1004</t>
        </is>
      </c>
      <c r="F102" t="inlineStr">
        <is>
          <t>0211</t>
        </is>
      </c>
      <c r="G102" s="10" t="inlineStr">
        <is>
          <t>山ノ内</t>
        </is>
      </c>
      <c r="H102" s="10" t="inlineStr">
        <is>
          <t>発</t>
        </is>
      </c>
      <c r="J102" s="10" t="inlineStr">
        <is>
          <t>営業</t>
        </is>
      </c>
      <c r="L102" t="inlineStr">
        <is>
          <t>10:28:40</t>
        </is>
      </c>
      <c r="M102" t="inlineStr">
        <is>
          <t>10:29:05</t>
        </is>
      </c>
    </row>
    <row r="103" ht="15" customHeight="1" s="37">
      <c r="A103" t="n">
        <v>1</v>
      </c>
      <c r="B103" s="10" t="inlineStr">
        <is>
          <t>休日</t>
        </is>
      </c>
      <c r="C103" s="10" t="inlineStr">
        <is>
          <t>本線</t>
        </is>
      </c>
      <c r="D103" s="10" t="inlineStr">
        <is>
          <t>上り</t>
        </is>
      </c>
      <c r="E103" t="inlineStr">
        <is>
          <t>1004</t>
        </is>
      </c>
      <c r="F103" t="inlineStr">
        <is>
          <t>0211</t>
        </is>
      </c>
      <c r="G103" s="10" t="inlineStr">
        <is>
          <t>西大路三条</t>
        </is>
      </c>
      <c r="H103" s="10" t="inlineStr">
        <is>
          <t>発</t>
        </is>
      </c>
      <c r="J103" s="10" t="inlineStr">
        <is>
          <t>営業</t>
        </is>
      </c>
      <c r="L103" t="inlineStr">
        <is>
          <t>10:30:55</t>
        </is>
      </c>
      <c r="M103" t="inlineStr">
        <is>
          <t>10:31:15</t>
        </is>
      </c>
    </row>
    <row r="104" ht="15" customHeight="1" s="37">
      <c r="A104" t="n">
        <v>1</v>
      </c>
      <c r="B104" s="10" t="inlineStr">
        <is>
          <t>休日</t>
        </is>
      </c>
      <c r="C104" s="10" t="inlineStr">
        <is>
          <t>本線</t>
        </is>
      </c>
      <c r="D104" s="10" t="inlineStr">
        <is>
          <t>上り</t>
        </is>
      </c>
      <c r="E104" t="inlineStr">
        <is>
          <t>1004</t>
        </is>
      </c>
      <c r="F104" t="inlineStr">
        <is>
          <t>0211</t>
        </is>
      </c>
      <c r="G104" s="10" t="inlineStr">
        <is>
          <t>西院</t>
        </is>
      </c>
      <c r="H104" s="10" t="inlineStr">
        <is>
          <t>発</t>
        </is>
      </c>
      <c r="J104" s="10" t="inlineStr">
        <is>
          <t>営業</t>
        </is>
      </c>
      <c r="L104" t="inlineStr">
        <is>
          <t>10:33:10</t>
        </is>
      </c>
      <c r="M104" t="inlineStr">
        <is>
          <t>10:34:05</t>
        </is>
      </c>
    </row>
    <row r="105" ht="15" customHeight="1" s="37">
      <c r="A105" t="n">
        <v>1</v>
      </c>
      <c r="B105" s="10" t="inlineStr">
        <is>
          <t>休日</t>
        </is>
      </c>
      <c r="C105" s="10" t="inlineStr">
        <is>
          <t>本線</t>
        </is>
      </c>
      <c r="D105" s="10" t="inlineStr">
        <is>
          <t>上り</t>
        </is>
      </c>
      <c r="E105" t="inlineStr">
        <is>
          <t>1004</t>
        </is>
      </c>
      <c r="F105" t="inlineStr">
        <is>
          <t>0211</t>
        </is>
      </c>
      <c r="G105" s="10" t="inlineStr">
        <is>
          <t>四条大宮</t>
        </is>
      </c>
      <c r="H105" s="10" t="inlineStr">
        <is>
          <t>着</t>
        </is>
      </c>
      <c r="J105" s="10" t="inlineStr">
        <is>
          <t>営業</t>
        </is>
      </c>
      <c r="L105" t="inlineStr">
        <is>
          <t>10:37:00</t>
        </is>
      </c>
      <c r="Q105" t="inlineStr">
        <is>
          <t>1</t>
        </is>
      </c>
    </row>
    <row r="106" ht="15" customHeight="1" s="37">
      <c r="A106" t="n">
        <v>1</v>
      </c>
      <c r="B106" s="10" t="inlineStr">
        <is>
          <t>休日</t>
        </is>
      </c>
      <c r="C106" s="10" t="inlineStr">
        <is>
          <t>本線</t>
        </is>
      </c>
      <c r="D106" s="10" t="inlineStr">
        <is>
          <t>下り</t>
        </is>
      </c>
      <c r="E106" t="inlineStr">
        <is>
          <t>1009</t>
        </is>
      </c>
      <c r="F106" t="inlineStr">
        <is>
          <t>0112</t>
        </is>
      </c>
      <c r="G106" s="10" t="inlineStr">
        <is>
          <t>四条大宮</t>
        </is>
      </c>
      <c r="H106" s="10" t="inlineStr">
        <is>
          <t>発</t>
        </is>
      </c>
      <c r="J106" s="10" t="inlineStr">
        <is>
          <t>営業</t>
        </is>
      </c>
      <c r="M106" t="inlineStr">
        <is>
          <t>10:43:00</t>
        </is>
      </c>
      <c r="Q106" t="inlineStr">
        <is>
          <t>1</t>
        </is>
      </c>
    </row>
    <row r="107" ht="15" customHeight="1" s="37">
      <c r="A107" t="n">
        <v>1</v>
      </c>
      <c r="B107" s="10" t="inlineStr">
        <is>
          <t>休日</t>
        </is>
      </c>
      <c r="C107" s="10" t="inlineStr">
        <is>
          <t>本線</t>
        </is>
      </c>
      <c r="D107" s="10" t="inlineStr">
        <is>
          <t>下り</t>
        </is>
      </c>
      <c r="E107" t="inlineStr">
        <is>
          <t>1009</t>
        </is>
      </c>
      <c r="F107" t="inlineStr">
        <is>
          <t>0112</t>
        </is>
      </c>
      <c r="G107" s="10" t="inlineStr">
        <is>
          <t>西院</t>
        </is>
      </c>
      <c r="H107" s="10" t="inlineStr">
        <is>
          <t>発</t>
        </is>
      </c>
      <c r="J107" s="10" t="inlineStr">
        <is>
          <t>営業</t>
        </is>
      </c>
      <c r="L107" t="inlineStr">
        <is>
          <t>10:45:50</t>
        </is>
      </c>
      <c r="M107" t="inlineStr">
        <is>
          <t>10:46:20</t>
        </is>
      </c>
    </row>
    <row r="108" ht="15" customHeight="1" s="37">
      <c r="A108" t="n">
        <v>1</v>
      </c>
      <c r="B108" s="10" t="inlineStr">
        <is>
          <t>休日</t>
        </is>
      </c>
      <c r="C108" s="10" t="inlineStr">
        <is>
          <t>本線</t>
        </is>
      </c>
      <c r="D108" s="10" t="inlineStr">
        <is>
          <t>下り</t>
        </is>
      </c>
      <c r="E108" t="inlineStr">
        <is>
          <t>1009</t>
        </is>
      </c>
      <c r="F108" t="inlineStr">
        <is>
          <t>0112</t>
        </is>
      </c>
      <c r="G108" s="10" t="inlineStr">
        <is>
          <t>西大路三条</t>
        </is>
      </c>
      <c r="H108" s="10" t="inlineStr">
        <is>
          <t>発</t>
        </is>
      </c>
      <c r="J108" s="10" t="inlineStr">
        <is>
          <t>営業</t>
        </is>
      </c>
      <c r="L108" t="inlineStr">
        <is>
          <t>10:48:10</t>
        </is>
      </c>
      <c r="M108" t="inlineStr">
        <is>
          <t>10:48:30</t>
        </is>
      </c>
    </row>
    <row r="109" ht="15" customHeight="1" s="37">
      <c r="A109" t="n">
        <v>1</v>
      </c>
      <c r="B109" s="10" t="inlineStr">
        <is>
          <t>休日</t>
        </is>
      </c>
      <c r="C109" s="10" t="inlineStr">
        <is>
          <t>本線</t>
        </is>
      </c>
      <c r="D109" s="10" t="inlineStr">
        <is>
          <t>下り</t>
        </is>
      </c>
      <c r="E109" t="inlineStr">
        <is>
          <t>1009</t>
        </is>
      </c>
      <c r="F109" t="inlineStr">
        <is>
          <t>0112</t>
        </is>
      </c>
      <c r="G109" s="10" t="inlineStr">
        <is>
          <t>山ノ内</t>
        </is>
      </c>
      <c r="H109" s="10" t="inlineStr">
        <is>
          <t>発</t>
        </is>
      </c>
      <c r="J109" s="10" t="inlineStr">
        <is>
          <t>営業</t>
        </is>
      </c>
      <c r="L109" t="inlineStr">
        <is>
          <t>10:50:25</t>
        </is>
      </c>
      <c r="M109" t="inlineStr">
        <is>
          <t>10:50:50</t>
        </is>
      </c>
    </row>
    <row r="110" ht="15" customHeight="1" s="37">
      <c r="A110" t="n">
        <v>1</v>
      </c>
      <c r="B110" s="10" t="inlineStr">
        <is>
          <t>休日</t>
        </is>
      </c>
      <c r="C110" s="10" t="inlineStr">
        <is>
          <t>本線</t>
        </is>
      </c>
      <c r="D110" s="10" t="inlineStr">
        <is>
          <t>下り</t>
        </is>
      </c>
      <c r="E110" t="inlineStr">
        <is>
          <t>1009</t>
        </is>
      </c>
      <c r="F110" t="inlineStr">
        <is>
          <t>0112</t>
        </is>
      </c>
      <c r="G110" s="10" t="inlineStr">
        <is>
          <t>天神川</t>
        </is>
      </c>
      <c r="H110" s="10" t="inlineStr">
        <is>
          <t>発</t>
        </is>
      </c>
      <c r="J110" s="10" t="inlineStr">
        <is>
          <t>営業</t>
        </is>
      </c>
      <c r="L110" t="inlineStr">
        <is>
          <t>10:52:50</t>
        </is>
      </c>
      <c r="M110" t="inlineStr">
        <is>
          <t>10:53:30</t>
        </is>
      </c>
    </row>
    <row r="111" ht="15" customHeight="1" s="37">
      <c r="A111" t="n">
        <v>1</v>
      </c>
      <c r="B111" s="10" t="inlineStr">
        <is>
          <t>休日</t>
        </is>
      </c>
      <c r="C111" s="10" t="inlineStr">
        <is>
          <t>本線</t>
        </is>
      </c>
      <c r="D111" s="10" t="inlineStr">
        <is>
          <t>下り</t>
        </is>
      </c>
      <c r="E111" t="inlineStr">
        <is>
          <t>1009</t>
        </is>
      </c>
      <c r="F111" t="inlineStr">
        <is>
          <t>0112</t>
        </is>
      </c>
      <c r="G111" s="10" t="inlineStr">
        <is>
          <t>蚕ノ社</t>
        </is>
      </c>
      <c r="H111" s="10" t="inlineStr">
        <is>
          <t>発</t>
        </is>
      </c>
      <c r="J111" s="10" t="inlineStr">
        <is>
          <t>営業</t>
        </is>
      </c>
      <c r="L111" t="inlineStr">
        <is>
          <t>10:54:20</t>
        </is>
      </c>
      <c r="M111" t="inlineStr">
        <is>
          <t>10:54:40</t>
        </is>
      </c>
    </row>
    <row r="112" ht="15" customHeight="1" s="37">
      <c r="A112" t="n">
        <v>1</v>
      </c>
      <c r="B112" s="10" t="inlineStr">
        <is>
          <t>休日</t>
        </is>
      </c>
      <c r="C112" s="10" t="inlineStr">
        <is>
          <t>本線</t>
        </is>
      </c>
      <c r="D112" s="10" t="inlineStr">
        <is>
          <t>下り</t>
        </is>
      </c>
      <c r="E112" t="inlineStr">
        <is>
          <t>1009</t>
        </is>
      </c>
      <c r="F112" t="inlineStr">
        <is>
          <t>0112</t>
        </is>
      </c>
      <c r="G112" s="10" t="inlineStr">
        <is>
          <t>太秦広隆寺</t>
        </is>
      </c>
      <c r="H112" s="10" t="inlineStr">
        <is>
          <t>発</t>
        </is>
      </c>
      <c r="J112" s="10" t="inlineStr">
        <is>
          <t>営業</t>
        </is>
      </c>
      <c r="L112" t="inlineStr">
        <is>
          <t>10:56:00</t>
        </is>
      </c>
      <c r="M112" t="inlineStr">
        <is>
          <t>10:56:20</t>
        </is>
      </c>
    </row>
    <row r="113" ht="15" customHeight="1" s="37">
      <c r="A113" t="n">
        <v>1</v>
      </c>
      <c r="B113" s="10" t="inlineStr">
        <is>
          <t>休日</t>
        </is>
      </c>
      <c r="C113" s="10" t="inlineStr">
        <is>
          <t>本線</t>
        </is>
      </c>
      <c r="D113" s="10" t="inlineStr">
        <is>
          <t>下り</t>
        </is>
      </c>
      <c r="E113" t="inlineStr">
        <is>
          <t>1009</t>
        </is>
      </c>
      <c r="F113" t="inlineStr">
        <is>
          <t>0112</t>
        </is>
      </c>
      <c r="G113" s="10" t="inlineStr">
        <is>
          <t>帷子ノ辻</t>
        </is>
      </c>
      <c r="H113" s="10" t="inlineStr">
        <is>
          <t>発</t>
        </is>
      </c>
      <c r="J113" s="10" t="inlineStr">
        <is>
          <t>営業</t>
        </is>
      </c>
      <c r="L113" t="inlineStr">
        <is>
          <t>10:58:20</t>
        </is>
      </c>
      <c r="M113" t="inlineStr">
        <is>
          <t>10:59:40</t>
        </is>
      </c>
    </row>
    <row r="114" ht="15" customHeight="1" s="37">
      <c r="A114" t="n">
        <v>1</v>
      </c>
      <c r="B114" s="10" t="inlineStr">
        <is>
          <t>休日</t>
        </is>
      </c>
      <c r="C114" s="10" t="inlineStr">
        <is>
          <t>本線</t>
        </is>
      </c>
      <c r="D114" s="10" t="inlineStr">
        <is>
          <t>下り</t>
        </is>
      </c>
      <c r="E114" t="inlineStr">
        <is>
          <t>1009</t>
        </is>
      </c>
      <c r="F114" t="inlineStr">
        <is>
          <t>0112</t>
        </is>
      </c>
      <c r="G114" s="10" t="inlineStr">
        <is>
          <t>有栖川</t>
        </is>
      </c>
      <c r="H114" s="10" t="inlineStr">
        <is>
          <t>発</t>
        </is>
      </c>
      <c r="J114" s="10" t="inlineStr">
        <is>
          <t>営業</t>
        </is>
      </c>
      <c r="L114" t="inlineStr">
        <is>
          <t>11:00:50</t>
        </is>
      </c>
      <c r="M114" t="inlineStr">
        <is>
          <t>11:01:15</t>
        </is>
      </c>
    </row>
    <row r="115" ht="15" customHeight="1" s="37">
      <c r="A115" t="n">
        <v>1</v>
      </c>
      <c r="B115" s="10" t="inlineStr">
        <is>
          <t>休日</t>
        </is>
      </c>
      <c r="C115" s="10" t="inlineStr">
        <is>
          <t>本線</t>
        </is>
      </c>
      <c r="D115" s="10" t="inlineStr">
        <is>
          <t>下り</t>
        </is>
      </c>
      <c r="E115" t="inlineStr">
        <is>
          <t>1009</t>
        </is>
      </c>
      <c r="F115" t="inlineStr">
        <is>
          <t>0112</t>
        </is>
      </c>
      <c r="G115" s="10" t="inlineStr">
        <is>
          <t>車折</t>
        </is>
      </c>
      <c r="H115" s="10" t="inlineStr">
        <is>
          <t>発</t>
        </is>
      </c>
      <c r="J115" s="10" t="inlineStr">
        <is>
          <t>営業</t>
        </is>
      </c>
      <c r="L115" t="inlineStr">
        <is>
          <t>11:02:40</t>
        </is>
      </c>
      <c r="M115" t="inlineStr">
        <is>
          <t>11:03:05</t>
        </is>
      </c>
    </row>
    <row r="116" ht="15" customHeight="1" s="37">
      <c r="A116" t="n">
        <v>1</v>
      </c>
      <c r="B116" s="10" t="inlineStr">
        <is>
          <t>休日</t>
        </is>
      </c>
      <c r="C116" s="10" t="inlineStr">
        <is>
          <t>本線</t>
        </is>
      </c>
      <c r="D116" s="10" t="inlineStr">
        <is>
          <t>下り</t>
        </is>
      </c>
      <c r="E116" t="inlineStr">
        <is>
          <t>1009</t>
        </is>
      </c>
      <c r="F116" t="inlineStr">
        <is>
          <t>0112</t>
        </is>
      </c>
      <c r="G116" s="10" t="inlineStr">
        <is>
          <t>鹿王院</t>
        </is>
      </c>
      <c r="H116" s="10" t="inlineStr">
        <is>
          <t>発</t>
        </is>
      </c>
      <c r="J116" s="10" t="inlineStr">
        <is>
          <t>営業</t>
        </is>
      </c>
      <c r="L116" t="inlineStr">
        <is>
          <t>11:04:00</t>
        </is>
      </c>
      <c r="M116" t="inlineStr">
        <is>
          <t>11:04:25</t>
        </is>
      </c>
    </row>
    <row r="117" ht="15" customHeight="1" s="37">
      <c r="A117" t="n">
        <v>1</v>
      </c>
      <c r="B117" s="10" t="inlineStr">
        <is>
          <t>休日</t>
        </is>
      </c>
      <c r="C117" s="10" t="inlineStr">
        <is>
          <t>本線</t>
        </is>
      </c>
      <c r="D117" s="10" t="inlineStr">
        <is>
          <t>下り</t>
        </is>
      </c>
      <c r="E117" t="inlineStr">
        <is>
          <t>1009</t>
        </is>
      </c>
      <c r="F117" t="inlineStr">
        <is>
          <t>0112</t>
        </is>
      </c>
      <c r="G117" s="10" t="inlineStr">
        <is>
          <t>嵯峨</t>
        </is>
      </c>
      <c r="H117" s="10" t="inlineStr">
        <is>
          <t>発</t>
        </is>
      </c>
      <c r="J117" s="10" t="inlineStr">
        <is>
          <t>営業</t>
        </is>
      </c>
      <c r="L117" t="inlineStr">
        <is>
          <t>11:05:30</t>
        </is>
      </c>
      <c r="M117" t="inlineStr">
        <is>
          <t>11:05:55</t>
        </is>
      </c>
    </row>
    <row r="118" ht="15" customHeight="1" s="37">
      <c r="A118" t="n">
        <v>1</v>
      </c>
      <c r="B118" s="10" t="inlineStr">
        <is>
          <t>休日</t>
        </is>
      </c>
      <c r="C118" s="10" t="inlineStr">
        <is>
          <t>本線</t>
        </is>
      </c>
      <c r="D118" s="10" t="inlineStr">
        <is>
          <t>下り</t>
        </is>
      </c>
      <c r="E118" t="inlineStr">
        <is>
          <t>1009</t>
        </is>
      </c>
      <c r="F118" t="inlineStr">
        <is>
          <t>0112</t>
        </is>
      </c>
      <c r="G118" s="10" t="inlineStr">
        <is>
          <t>嵐山</t>
        </is>
      </c>
      <c r="H118" s="10" t="inlineStr">
        <is>
          <t>着</t>
        </is>
      </c>
      <c r="J118" s="10" t="inlineStr">
        <is>
          <t>営業</t>
        </is>
      </c>
      <c r="L118" t="inlineStr">
        <is>
          <t>11:07:00</t>
        </is>
      </c>
      <c r="Q118" t="inlineStr">
        <is>
          <t>1</t>
        </is>
      </c>
    </row>
    <row r="119" ht="15" customHeight="1" s="37">
      <c r="A119" t="n">
        <v>1</v>
      </c>
      <c r="B119" s="10" t="inlineStr">
        <is>
          <t>休日</t>
        </is>
      </c>
      <c r="C119" s="10" t="inlineStr">
        <is>
          <t>本線</t>
        </is>
      </c>
      <c r="D119" s="10" t="inlineStr">
        <is>
          <t>上り</t>
        </is>
      </c>
      <c r="E119" t="inlineStr">
        <is>
          <t>1104</t>
        </is>
      </c>
      <c r="F119" t="inlineStr">
        <is>
          <t>0211</t>
        </is>
      </c>
      <c r="G119" s="10" t="inlineStr">
        <is>
          <t>嵐山</t>
        </is>
      </c>
      <c r="H119" s="10" t="inlineStr">
        <is>
          <t>発</t>
        </is>
      </c>
      <c r="J119" s="10" t="inlineStr">
        <is>
          <t>営業</t>
        </is>
      </c>
      <c r="M119" t="inlineStr">
        <is>
          <t>11:13:00</t>
        </is>
      </c>
      <c r="Q119" t="inlineStr">
        <is>
          <t>1</t>
        </is>
      </c>
    </row>
    <row r="120" ht="15" customHeight="1" s="37">
      <c r="A120" t="n">
        <v>1</v>
      </c>
      <c r="B120" s="10" t="inlineStr">
        <is>
          <t>休日</t>
        </is>
      </c>
      <c r="C120" s="10" t="inlineStr">
        <is>
          <t>本線</t>
        </is>
      </c>
      <c r="D120" s="10" t="inlineStr">
        <is>
          <t>上り</t>
        </is>
      </c>
      <c r="E120" t="inlineStr">
        <is>
          <t>1104</t>
        </is>
      </c>
      <c r="F120" t="inlineStr">
        <is>
          <t>0211</t>
        </is>
      </c>
      <c r="G120" s="10" t="inlineStr">
        <is>
          <t>嵯峨</t>
        </is>
      </c>
      <c r="H120" s="10" t="inlineStr">
        <is>
          <t>発</t>
        </is>
      </c>
      <c r="J120" s="10" t="inlineStr">
        <is>
          <t>営業</t>
        </is>
      </c>
      <c r="L120" t="inlineStr">
        <is>
          <t>11:13:55</t>
        </is>
      </c>
      <c r="M120" t="inlineStr">
        <is>
          <t>11:14:20</t>
        </is>
      </c>
    </row>
    <row r="121" ht="15" customHeight="1" s="37">
      <c r="A121" t="n">
        <v>1</v>
      </c>
      <c r="B121" s="10" t="inlineStr">
        <is>
          <t>休日</t>
        </is>
      </c>
      <c r="C121" s="10" t="inlineStr">
        <is>
          <t>本線</t>
        </is>
      </c>
      <c r="D121" s="10" t="inlineStr">
        <is>
          <t>上り</t>
        </is>
      </c>
      <c r="E121" t="inlineStr">
        <is>
          <t>1104</t>
        </is>
      </c>
      <c r="F121" t="inlineStr">
        <is>
          <t>0211</t>
        </is>
      </c>
      <c r="G121" s="10" t="inlineStr">
        <is>
          <t>鹿王院</t>
        </is>
      </c>
      <c r="H121" s="10" t="inlineStr">
        <is>
          <t>発</t>
        </is>
      </c>
      <c r="J121" s="10" t="inlineStr">
        <is>
          <t>営業</t>
        </is>
      </c>
      <c r="L121" t="inlineStr">
        <is>
          <t>11:15:25</t>
        </is>
      </c>
      <c r="M121" t="inlineStr">
        <is>
          <t>11:15:45</t>
        </is>
      </c>
    </row>
    <row r="122" ht="15" customHeight="1" s="37">
      <c r="A122" t="n">
        <v>1</v>
      </c>
      <c r="B122" s="10" t="inlineStr">
        <is>
          <t>休日</t>
        </is>
      </c>
      <c r="C122" s="10" t="inlineStr">
        <is>
          <t>本線</t>
        </is>
      </c>
      <c r="D122" s="10" t="inlineStr">
        <is>
          <t>上り</t>
        </is>
      </c>
      <c r="E122" t="inlineStr">
        <is>
          <t>1104</t>
        </is>
      </c>
      <c r="F122" t="inlineStr">
        <is>
          <t>0211</t>
        </is>
      </c>
      <c r="G122" s="10" t="inlineStr">
        <is>
          <t>車折</t>
        </is>
      </c>
      <c r="H122" s="10" t="inlineStr">
        <is>
          <t>発</t>
        </is>
      </c>
      <c r="J122" s="10" t="inlineStr">
        <is>
          <t>営業</t>
        </is>
      </c>
      <c r="L122" t="inlineStr">
        <is>
          <t>11:16:40</t>
        </is>
      </c>
      <c r="M122" t="inlineStr">
        <is>
          <t>11:17:10</t>
        </is>
      </c>
    </row>
    <row r="123" ht="15" customHeight="1" s="37">
      <c r="A123" t="n">
        <v>1</v>
      </c>
      <c r="B123" s="10" t="inlineStr">
        <is>
          <t>休日</t>
        </is>
      </c>
      <c r="C123" s="10" t="inlineStr">
        <is>
          <t>本線</t>
        </is>
      </c>
      <c r="D123" s="10" t="inlineStr">
        <is>
          <t>上り</t>
        </is>
      </c>
      <c r="E123" t="inlineStr">
        <is>
          <t>1104</t>
        </is>
      </c>
      <c r="F123" t="inlineStr">
        <is>
          <t>0211</t>
        </is>
      </c>
      <c r="G123" s="10" t="inlineStr">
        <is>
          <t>有栖川</t>
        </is>
      </c>
      <c r="H123" s="10" t="inlineStr">
        <is>
          <t>発</t>
        </is>
      </c>
      <c r="J123" s="10" t="inlineStr">
        <is>
          <t>営業</t>
        </is>
      </c>
      <c r="L123" t="inlineStr">
        <is>
          <t>11:18:35</t>
        </is>
      </c>
      <c r="M123" t="inlineStr">
        <is>
          <t>11:18:55</t>
        </is>
      </c>
    </row>
    <row r="124" ht="15" customHeight="1" s="37">
      <c r="A124" t="n">
        <v>1</v>
      </c>
      <c r="B124" s="10" t="inlineStr">
        <is>
          <t>休日</t>
        </is>
      </c>
      <c r="C124" s="10" t="inlineStr">
        <is>
          <t>本線</t>
        </is>
      </c>
      <c r="D124" s="10" t="inlineStr">
        <is>
          <t>上り</t>
        </is>
      </c>
      <c r="E124" t="inlineStr">
        <is>
          <t>1104</t>
        </is>
      </c>
      <c r="F124" t="inlineStr">
        <is>
          <t>0211</t>
        </is>
      </c>
      <c r="G124" s="10" t="inlineStr">
        <is>
          <t>帷子ノ辻</t>
        </is>
      </c>
      <c r="H124" s="10" t="inlineStr">
        <is>
          <t>発</t>
        </is>
      </c>
      <c r="J124" s="10" t="inlineStr">
        <is>
          <t>営業</t>
        </is>
      </c>
      <c r="L124" t="inlineStr">
        <is>
          <t>11:20:10</t>
        </is>
      </c>
      <c r="M124" t="inlineStr">
        <is>
          <t>11:21:15</t>
        </is>
      </c>
    </row>
    <row r="125" ht="15" customHeight="1" s="37">
      <c r="A125" t="n">
        <v>1</v>
      </c>
      <c r="B125" s="10" t="inlineStr">
        <is>
          <t>休日</t>
        </is>
      </c>
      <c r="C125" s="10" t="inlineStr">
        <is>
          <t>本線</t>
        </is>
      </c>
      <c r="D125" s="10" t="inlineStr">
        <is>
          <t>上り</t>
        </is>
      </c>
      <c r="E125" t="inlineStr">
        <is>
          <t>1104</t>
        </is>
      </c>
      <c r="F125" t="inlineStr">
        <is>
          <t>0211</t>
        </is>
      </c>
      <c r="G125" s="10" t="inlineStr">
        <is>
          <t>太秦広隆寺</t>
        </is>
      </c>
      <c r="H125" s="10" t="inlineStr">
        <is>
          <t>発</t>
        </is>
      </c>
      <c r="J125" s="10" t="inlineStr">
        <is>
          <t>営業</t>
        </is>
      </c>
      <c r="L125" t="inlineStr">
        <is>
          <t>11:23:25</t>
        </is>
      </c>
      <c r="M125" t="inlineStr">
        <is>
          <t>11:23:45</t>
        </is>
      </c>
    </row>
    <row r="126" ht="15" customHeight="1" s="37">
      <c r="A126" t="n">
        <v>1</v>
      </c>
      <c r="B126" s="10" t="inlineStr">
        <is>
          <t>休日</t>
        </is>
      </c>
      <c r="C126" s="10" t="inlineStr">
        <is>
          <t>本線</t>
        </is>
      </c>
      <c r="D126" s="10" t="inlineStr">
        <is>
          <t>上り</t>
        </is>
      </c>
      <c r="E126" t="inlineStr">
        <is>
          <t>1104</t>
        </is>
      </c>
      <c r="F126" t="inlineStr">
        <is>
          <t>0211</t>
        </is>
      </c>
      <c r="G126" s="10" t="inlineStr">
        <is>
          <t>蚕ノ社</t>
        </is>
      </c>
      <c r="H126" s="10" t="inlineStr">
        <is>
          <t>発</t>
        </is>
      </c>
      <c r="J126" s="10" t="inlineStr">
        <is>
          <t>営業</t>
        </is>
      </c>
      <c r="L126" t="inlineStr">
        <is>
          <t>11:25:00</t>
        </is>
      </c>
      <c r="M126" t="inlineStr">
        <is>
          <t>11:25:20</t>
        </is>
      </c>
    </row>
    <row r="127" ht="15" customHeight="1" s="37">
      <c r="A127" t="n">
        <v>1</v>
      </c>
      <c r="B127" s="10" t="inlineStr">
        <is>
          <t>休日</t>
        </is>
      </c>
      <c r="C127" s="10" t="inlineStr">
        <is>
          <t>本線</t>
        </is>
      </c>
      <c r="D127" s="10" t="inlineStr">
        <is>
          <t>上り</t>
        </is>
      </c>
      <c r="E127" t="inlineStr">
        <is>
          <t>1104</t>
        </is>
      </c>
      <c r="F127" t="inlineStr">
        <is>
          <t>0211</t>
        </is>
      </c>
      <c r="G127" s="10" t="inlineStr">
        <is>
          <t>天神川</t>
        </is>
      </c>
      <c r="H127" s="10" t="inlineStr">
        <is>
          <t>発</t>
        </is>
      </c>
      <c r="J127" s="10" t="inlineStr">
        <is>
          <t>営業</t>
        </is>
      </c>
      <c r="L127" t="inlineStr">
        <is>
          <t>11:26:05</t>
        </is>
      </c>
      <c r="M127" t="inlineStr">
        <is>
          <t>11:26:50</t>
        </is>
      </c>
    </row>
    <row r="128" ht="15" customHeight="1" s="37">
      <c r="A128" t="n">
        <v>1</v>
      </c>
      <c r="B128" s="10" t="inlineStr">
        <is>
          <t>休日</t>
        </is>
      </c>
      <c r="C128" s="10" t="inlineStr">
        <is>
          <t>本線</t>
        </is>
      </c>
      <c r="D128" s="10" t="inlineStr">
        <is>
          <t>上り</t>
        </is>
      </c>
      <c r="E128" t="inlineStr">
        <is>
          <t>1104</t>
        </is>
      </c>
      <c r="F128" t="inlineStr">
        <is>
          <t>0211</t>
        </is>
      </c>
      <c r="G128" s="10" t="inlineStr">
        <is>
          <t>山ノ内</t>
        </is>
      </c>
      <c r="H128" s="10" t="inlineStr">
        <is>
          <t>発</t>
        </is>
      </c>
      <c r="J128" s="10" t="inlineStr">
        <is>
          <t>営業</t>
        </is>
      </c>
      <c r="L128" t="inlineStr">
        <is>
          <t>11:28:40</t>
        </is>
      </c>
      <c r="M128" t="inlineStr">
        <is>
          <t>11:29:05</t>
        </is>
      </c>
    </row>
    <row r="129" ht="15" customHeight="1" s="37">
      <c r="A129" t="n">
        <v>1</v>
      </c>
      <c r="B129" s="10" t="inlineStr">
        <is>
          <t>休日</t>
        </is>
      </c>
      <c r="C129" s="10" t="inlineStr">
        <is>
          <t>本線</t>
        </is>
      </c>
      <c r="D129" s="10" t="inlineStr">
        <is>
          <t>上り</t>
        </is>
      </c>
      <c r="E129" t="inlineStr">
        <is>
          <t>1104</t>
        </is>
      </c>
      <c r="F129" t="inlineStr">
        <is>
          <t>0211</t>
        </is>
      </c>
      <c r="G129" s="10" t="inlineStr">
        <is>
          <t>西大路三条</t>
        </is>
      </c>
      <c r="H129" s="10" t="inlineStr">
        <is>
          <t>発</t>
        </is>
      </c>
      <c r="J129" s="10" t="inlineStr">
        <is>
          <t>営業</t>
        </is>
      </c>
      <c r="L129" t="inlineStr">
        <is>
          <t>11:30:55</t>
        </is>
      </c>
      <c r="M129" t="inlineStr">
        <is>
          <t>11:31:15</t>
        </is>
      </c>
    </row>
    <row r="130" ht="15" customHeight="1" s="37">
      <c r="A130" t="n">
        <v>1</v>
      </c>
      <c r="B130" s="10" t="inlineStr">
        <is>
          <t>休日</t>
        </is>
      </c>
      <c r="C130" s="10" t="inlineStr">
        <is>
          <t>本線</t>
        </is>
      </c>
      <c r="D130" s="10" t="inlineStr">
        <is>
          <t>上り</t>
        </is>
      </c>
      <c r="E130" t="inlineStr">
        <is>
          <t>1104</t>
        </is>
      </c>
      <c r="F130" t="inlineStr">
        <is>
          <t>0211</t>
        </is>
      </c>
      <c r="G130" s="10" t="inlineStr">
        <is>
          <t>西院</t>
        </is>
      </c>
      <c r="H130" s="10" t="inlineStr">
        <is>
          <t>発</t>
        </is>
      </c>
      <c r="J130" s="10" t="inlineStr">
        <is>
          <t>営業</t>
        </is>
      </c>
      <c r="L130" t="inlineStr">
        <is>
          <t>11:33:10</t>
        </is>
      </c>
      <c r="M130" t="inlineStr">
        <is>
          <t>11:34:05</t>
        </is>
      </c>
    </row>
    <row r="131" ht="15" customHeight="1" s="37">
      <c r="A131" t="n">
        <v>1</v>
      </c>
      <c r="B131" s="10" t="inlineStr">
        <is>
          <t>休日</t>
        </is>
      </c>
      <c r="C131" s="10" t="inlineStr">
        <is>
          <t>本線</t>
        </is>
      </c>
      <c r="D131" s="10" t="inlineStr">
        <is>
          <t>上り</t>
        </is>
      </c>
      <c r="E131" t="inlineStr">
        <is>
          <t>1104</t>
        </is>
      </c>
      <c r="F131" t="inlineStr">
        <is>
          <t>0211</t>
        </is>
      </c>
      <c r="G131" s="10" t="inlineStr">
        <is>
          <t>四条大宮</t>
        </is>
      </c>
      <c r="H131" s="10" t="inlineStr">
        <is>
          <t>着</t>
        </is>
      </c>
      <c r="J131" s="10" t="inlineStr">
        <is>
          <t>営業</t>
        </is>
      </c>
      <c r="L131" t="inlineStr">
        <is>
          <t>11:37:00</t>
        </is>
      </c>
      <c r="Q131" t="inlineStr">
        <is>
          <t>1</t>
        </is>
      </c>
    </row>
    <row r="132" ht="15" customHeight="1" s="37">
      <c r="A132" t="n">
        <v>1</v>
      </c>
      <c r="B132" s="10" t="inlineStr">
        <is>
          <t>休日</t>
        </is>
      </c>
      <c r="C132" s="10" t="inlineStr">
        <is>
          <t>本線</t>
        </is>
      </c>
      <c r="D132" s="10" t="inlineStr">
        <is>
          <t>下り</t>
        </is>
      </c>
      <c r="E132" t="inlineStr">
        <is>
          <t>1109</t>
        </is>
      </c>
      <c r="F132" t="inlineStr">
        <is>
          <t>0112</t>
        </is>
      </c>
      <c r="G132" s="10" t="inlineStr">
        <is>
          <t>四条大宮</t>
        </is>
      </c>
      <c r="H132" s="10" t="inlineStr">
        <is>
          <t>発</t>
        </is>
      </c>
      <c r="J132" s="10" t="inlineStr">
        <is>
          <t>営業</t>
        </is>
      </c>
      <c r="M132" t="inlineStr">
        <is>
          <t>11:43:00</t>
        </is>
      </c>
      <c r="Q132" t="inlineStr">
        <is>
          <t>1</t>
        </is>
      </c>
    </row>
    <row r="133" ht="15" customHeight="1" s="37">
      <c r="A133" t="n">
        <v>1</v>
      </c>
      <c r="B133" s="10" t="inlineStr">
        <is>
          <t>休日</t>
        </is>
      </c>
      <c r="C133" s="10" t="inlineStr">
        <is>
          <t>本線</t>
        </is>
      </c>
      <c r="D133" s="10" t="inlineStr">
        <is>
          <t>下り</t>
        </is>
      </c>
      <c r="E133" t="inlineStr">
        <is>
          <t>1109</t>
        </is>
      </c>
      <c r="F133" t="inlineStr">
        <is>
          <t>0112</t>
        </is>
      </c>
      <c r="G133" s="10" t="inlineStr">
        <is>
          <t>西院</t>
        </is>
      </c>
      <c r="H133" s="10" t="inlineStr">
        <is>
          <t>発</t>
        </is>
      </c>
      <c r="J133" s="10" t="inlineStr">
        <is>
          <t>営業</t>
        </is>
      </c>
      <c r="L133" t="inlineStr">
        <is>
          <t>11:45:50</t>
        </is>
      </c>
      <c r="M133" t="inlineStr">
        <is>
          <t>11:46:20</t>
        </is>
      </c>
    </row>
    <row r="134" ht="15" customHeight="1" s="37">
      <c r="A134" t="n">
        <v>1</v>
      </c>
      <c r="B134" s="10" t="inlineStr">
        <is>
          <t>休日</t>
        </is>
      </c>
      <c r="C134" s="10" t="inlineStr">
        <is>
          <t>本線</t>
        </is>
      </c>
      <c r="D134" s="10" t="inlineStr">
        <is>
          <t>下り</t>
        </is>
      </c>
      <c r="E134" t="inlineStr">
        <is>
          <t>1109</t>
        </is>
      </c>
      <c r="F134" t="inlineStr">
        <is>
          <t>0112</t>
        </is>
      </c>
      <c r="G134" s="10" t="inlineStr">
        <is>
          <t>西大路三条</t>
        </is>
      </c>
      <c r="H134" s="10" t="inlineStr">
        <is>
          <t>発</t>
        </is>
      </c>
      <c r="J134" s="10" t="inlineStr">
        <is>
          <t>営業</t>
        </is>
      </c>
      <c r="L134" t="inlineStr">
        <is>
          <t>11:48:10</t>
        </is>
      </c>
      <c r="M134" t="inlineStr">
        <is>
          <t>11:48:30</t>
        </is>
      </c>
    </row>
    <row r="135" ht="15" customHeight="1" s="37">
      <c r="A135" t="n">
        <v>1</v>
      </c>
      <c r="B135" s="10" t="inlineStr">
        <is>
          <t>休日</t>
        </is>
      </c>
      <c r="C135" s="10" t="inlineStr">
        <is>
          <t>本線</t>
        </is>
      </c>
      <c r="D135" s="10" t="inlineStr">
        <is>
          <t>下り</t>
        </is>
      </c>
      <c r="E135" t="inlineStr">
        <is>
          <t>1109</t>
        </is>
      </c>
      <c r="F135" t="inlineStr">
        <is>
          <t>0112</t>
        </is>
      </c>
      <c r="G135" s="10" t="inlineStr">
        <is>
          <t>山ノ内</t>
        </is>
      </c>
      <c r="H135" s="10" t="inlineStr">
        <is>
          <t>発</t>
        </is>
      </c>
      <c r="J135" s="10" t="inlineStr">
        <is>
          <t>営業</t>
        </is>
      </c>
      <c r="L135" t="inlineStr">
        <is>
          <t>11:50:25</t>
        </is>
      </c>
      <c r="M135" t="inlineStr">
        <is>
          <t>11:50:50</t>
        </is>
      </c>
    </row>
    <row r="136" ht="15" customHeight="1" s="37">
      <c r="A136" t="n">
        <v>1</v>
      </c>
      <c r="B136" s="10" t="inlineStr">
        <is>
          <t>休日</t>
        </is>
      </c>
      <c r="C136" s="10" t="inlineStr">
        <is>
          <t>本線</t>
        </is>
      </c>
      <c r="D136" s="10" t="inlineStr">
        <is>
          <t>下り</t>
        </is>
      </c>
      <c r="E136" t="inlineStr">
        <is>
          <t>1109</t>
        </is>
      </c>
      <c r="F136" t="inlineStr">
        <is>
          <t>0112</t>
        </is>
      </c>
      <c r="G136" s="10" t="inlineStr">
        <is>
          <t>天神川</t>
        </is>
      </c>
      <c r="H136" s="10" t="inlineStr">
        <is>
          <t>発</t>
        </is>
      </c>
      <c r="J136" s="10" t="inlineStr">
        <is>
          <t>営業</t>
        </is>
      </c>
      <c r="L136" t="inlineStr">
        <is>
          <t>11:52:50</t>
        </is>
      </c>
      <c r="M136" t="inlineStr">
        <is>
          <t>11:53:30</t>
        </is>
      </c>
    </row>
    <row r="137" ht="15" customHeight="1" s="37">
      <c r="A137" t="n">
        <v>1</v>
      </c>
      <c r="B137" s="10" t="inlineStr">
        <is>
          <t>休日</t>
        </is>
      </c>
      <c r="C137" s="10" t="inlineStr">
        <is>
          <t>本線</t>
        </is>
      </c>
      <c r="D137" s="10" t="inlineStr">
        <is>
          <t>下り</t>
        </is>
      </c>
      <c r="E137" t="inlineStr">
        <is>
          <t>1109</t>
        </is>
      </c>
      <c r="F137" t="inlineStr">
        <is>
          <t>0112</t>
        </is>
      </c>
      <c r="G137" s="10" t="inlineStr">
        <is>
          <t>蚕ノ社</t>
        </is>
      </c>
      <c r="H137" s="10" t="inlineStr">
        <is>
          <t>発</t>
        </is>
      </c>
      <c r="J137" s="10" t="inlineStr">
        <is>
          <t>営業</t>
        </is>
      </c>
      <c r="L137" t="inlineStr">
        <is>
          <t>11:54:20</t>
        </is>
      </c>
      <c r="M137" t="inlineStr">
        <is>
          <t>11:54:40</t>
        </is>
      </c>
    </row>
    <row r="138" ht="15" customHeight="1" s="37">
      <c r="A138" t="n">
        <v>1</v>
      </c>
      <c r="B138" s="10" t="inlineStr">
        <is>
          <t>休日</t>
        </is>
      </c>
      <c r="C138" s="10" t="inlineStr">
        <is>
          <t>本線</t>
        </is>
      </c>
      <c r="D138" s="10" t="inlineStr">
        <is>
          <t>下り</t>
        </is>
      </c>
      <c r="E138" t="inlineStr">
        <is>
          <t>1109</t>
        </is>
      </c>
      <c r="F138" t="inlineStr">
        <is>
          <t>0112</t>
        </is>
      </c>
      <c r="G138" s="10" t="inlineStr">
        <is>
          <t>太秦広隆寺</t>
        </is>
      </c>
      <c r="H138" s="10" t="inlineStr">
        <is>
          <t>発</t>
        </is>
      </c>
      <c r="J138" s="10" t="inlineStr">
        <is>
          <t>営業</t>
        </is>
      </c>
      <c r="L138" t="inlineStr">
        <is>
          <t>11:56:00</t>
        </is>
      </c>
      <c r="M138" t="inlineStr">
        <is>
          <t>11:56:20</t>
        </is>
      </c>
    </row>
    <row r="139" ht="15" customHeight="1" s="37">
      <c r="A139" t="n">
        <v>1</v>
      </c>
      <c r="B139" s="10" t="inlineStr">
        <is>
          <t>休日</t>
        </is>
      </c>
      <c r="C139" s="10" t="inlineStr">
        <is>
          <t>本線</t>
        </is>
      </c>
      <c r="D139" s="10" t="inlineStr">
        <is>
          <t>下り</t>
        </is>
      </c>
      <c r="E139" t="inlineStr">
        <is>
          <t>1109</t>
        </is>
      </c>
      <c r="F139" t="inlineStr">
        <is>
          <t>0112</t>
        </is>
      </c>
      <c r="G139" s="10" t="inlineStr">
        <is>
          <t>帷子ノ辻</t>
        </is>
      </c>
      <c r="H139" s="10" t="inlineStr">
        <is>
          <t>発</t>
        </is>
      </c>
      <c r="J139" s="10" t="inlineStr">
        <is>
          <t>営業</t>
        </is>
      </c>
      <c r="L139" t="inlineStr">
        <is>
          <t>11:58:20</t>
        </is>
      </c>
      <c r="M139" t="inlineStr">
        <is>
          <t>11:59:40</t>
        </is>
      </c>
    </row>
    <row r="140" ht="15" customHeight="1" s="37">
      <c r="A140" t="n">
        <v>1</v>
      </c>
      <c r="B140" s="10" t="inlineStr">
        <is>
          <t>休日</t>
        </is>
      </c>
      <c r="C140" s="10" t="inlineStr">
        <is>
          <t>本線</t>
        </is>
      </c>
      <c r="D140" s="10" t="inlineStr">
        <is>
          <t>下り</t>
        </is>
      </c>
      <c r="E140" t="inlineStr">
        <is>
          <t>1109</t>
        </is>
      </c>
      <c r="F140" t="inlineStr">
        <is>
          <t>0112</t>
        </is>
      </c>
      <c r="G140" s="10" t="inlineStr">
        <is>
          <t>有栖川</t>
        </is>
      </c>
      <c r="H140" s="10" t="inlineStr">
        <is>
          <t>発</t>
        </is>
      </c>
      <c r="J140" s="10" t="inlineStr">
        <is>
          <t>営業</t>
        </is>
      </c>
      <c r="L140" t="inlineStr">
        <is>
          <t>12:00:50</t>
        </is>
      </c>
      <c r="M140" t="inlineStr">
        <is>
          <t>12:01:15</t>
        </is>
      </c>
    </row>
    <row r="141" ht="15" customHeight="1" s="37">
      <c r="A141" t="n">
        <v>1</v>
      </c>
      <c r="B141" s="10" t="inlineStr">
        <is>
          <t>休日</t>
        </is>
      </c>
      <c r="C141" s="10" t="inlineStr">
        <is>
          <t>本線</t>
        </is>
      </c>
      <c r="D141" s="10" t="inlineStr">
        <is>
          <t>下り</t>
        </is>
      </c>
      <c r="E141" t="inlineStr">
        <is>
          <t>1109</t>
        </is>
      </c>
      <c r="F141" t="inlineStr">
        <is>
          <t>0112</t>
        </is>
      </c>
      <c r="G141" s="10" t="inlineStr">
        <is>
          <t>車折</t>
        </is>
      </c>
      <c r="H141" s="10" t="inlineStr">
        <is>
          <t>発</t>
        </is>
      </c>
      <c r="J141" s="10" t="inlineStr">
        <is>
          <t>営業</t>
        </is>
      </c>
      <c r="L141" t="inlineStr">
        <is>
          <t>12:02:40</t>
        </is>
      </c>
      <c r="M141" t="inlineStr">
        <is>
          <t>12:03:05</t>
        </is>
      </c>
    </row>
    <row r="142" ht="15" customHeight="1" s="37">
      <c r="A142" t="n">
        <v>1</v>
      </c>
      <c r="B142" s="10" t="inlineStr">
        <is>
          <t>休日</t>
        </is>
      </c>
      <c r="C142" s="10" t="inlineStr">
        <is>
          <t>本線</t>
        </is>
      </c>
      <c r="D142" s="10" t="inlineStr">
        <is>
          <t>下り</t>
        </is>
      </c>
      <c r="E142" t="inlineStr">
        <is>
          <t>1109</t>
        </is>
      </c>
      <c r="F142" t="inlineStr">
        <is>
          <t>0112</t>
        </is>
      </c>
      <c r="G142" s="10" t="inlineStr">
        <is>
          <t>鹿王院</t>
        </is>
      </c>
      <c r="H142" s="10" t="inlineStr">
        <is>
          <t>発</t>
        </is>
      </c>
      <c r="J142" s="10" t="inlineStr">
        <is>
          <t>営業</t>
        </is>
      </c>
      <c r="L142" t="inlineStr">
        <is>
          <t>12:04:00</t>
        </is>
      </c>
      <c r="M142" t="inlineStr">
        <is>
          <t>12:04:25</t>
        </is>
      </c>
    </row>
    <row r="143" ht="15" customHeight="1" s="37">
      <c r="A143" t="n">
        <v>1</v>
      </c>
      <c r="B143" s="10" t="inlineStr">
        <is>
          <t>休日</t>
        </is>
      </c>
      <c r="C143" s="10" t="inlineStr">
        <is>
          <t>本線</t>
        </is>
      </c>
      <c r="D143" s="10" t="inlineStr">
        <is>
          <t>下り</t>
        </is>
      </c>
      <c r="E143" t="inlineStr">
        <is>
          <t>1109</t>
        </is>
      </c>
      <c r="F143" t="inlineStr">
        <is>
          <t>0112</t>
        </is>
      </c>
      <c r="G143" s="10" t="inlineStr">
        <is>
          <t>嵯峨</t>
        </is>
      </c>
      <c r="H143" s="10" t="inlineStr">
        <is>
          <t>発</t>
        </is>
      </c>
      <c r="J143" s="10" t="inlineStr">
        <is>
          <t>営業</t>
        </is>
      </c>
      <c r="L143" t="inlineStr">
        <is>
          <t>12:05:30</t>
        </is>
      </c>
      <c r="M143" t="inlineStr">
        <is>
          <t>12:05:55</t>
        </is>
      </c>
    </row>
    <row r="144" ht="15" customHeight="1" s="37">
      <c r="A144" t="n">
        <v>1</v>
      </c>
      <c r="B144" s="10" t="inlineStr">
        <is>
          <t>休日</t>
        </is>
      </c>
      <c r="C144" s="10" t="inlineStr">
        <is>
          <t>本線</t>
        </is>
      </c>
      <c r="D144" s="10" t="inlineStr">
        <is>
          <t>下り</t>
        </is>
      </c>
      <c r="E144" t="inlineStr">
        <is>
          <t>1109</t>
        </is>
      </c>
      <c r="F144" t="inlineStr">
        <is>
          <t>0112</t>
        </is>
      </c>
      <c r="G144" s="10" t="inlineStr">
        <is>
          <t>嵐山</t>
        </is>
      </c>
      <c r="H144" s="10" t="inlineStr">
        <is>
          <t>着</t>
        </is>
      </c>
      <c r="J144" s="10" t="inlineStr">
        <is>
          <t>営業</t>
        </is>
      </c>
      <c r="L144" t="inlineStr">
        <is>
          <t>12:07:00</t>
        </is>
      </c>
      <c r="Q144" t="inlineStr">
        <is>
          <t>1</t>
        </is>
      </c>
    </row>
    <row r="145" ht="15" customHeight="1" s="37">
      <c r="A145" t="n">
        <v>1</v>
      </c>
      <c r="B145" s="10" t="inlineStr">
        <is>
          <t>休日</t>
        </is>
      </c>
      <c r="C145" s="10" t="inlineStr">
        <is>
          <t>本線</t>
        </is>
      </c>
      <c r="D145" s="10" t="inlineStr">
        <is>
          <t>上り</t>
        </is>
      </c>
      <c r="E145" t="inlineStr">
        <is>
          <t>1204</t>
        </is>
      </c>
      <c r="F145" t="inlineStr">
        <is>
          <t>0211</t>
        </is>
      </c>
      <c r="G145" s="10" t="inlineStr">
        <is>
          <t>嵐山</t>
        </is>
      </c>
      <c r="H145" s="10" t="inlineStr">
        <is>
          <t>発</t>
        </is>
      </c>
      <c r="J145" s="10" t="inlineStr">
        <is>
          <t>営業</t>
        </is>
      </c>
      <c r="M145" t="inlineStr">
        <is>
          <t>12:13:00</t>
        </is>
      </c>
      <c r="Q145" t="inlineStr">
        <is>
          <t>1</t>
        </is>
      </c>
    </row>
    <row r="146" ht="15" customHeight="1" s="37">
      <c r="A146" t="n">
        <v>1</v>
      </c>
      <c r="B146" s="10" t="inlineStr">
        <is>
          <t>休日</t>
        </is>
      </c>
      <c r="C146" s="10" t="inlineStr">
        <is>
          <t>本線</t>
        </is>
      </c>
      <c r="D146" s="10" t="inlineStr">
        <is>
          <t>上り</t>
        </is>
      </c>
      <c r="E146" t="inlineStr">
        <is>
          <t>1204</t>
        </is>
      </c>
      <c r="F146" t="inlineStr">
        <is>
          <t>0211</t>
        </is>
      </c>
      <c r="G146" s="10" t="inlineStr">
        <is>
          <t>嵯峨</t>
        </is>
      </c>
      <c r="H146" s="10" t="inlineStr">
        <is>
          <t>発</t>
        </is>
      </c>
      <c r="J146" s="10" t="inlineStr">
        <is>
          <t>営業</t>
        </is>
      </c>
      <c r="L146" t="inlineStr">
        <is>
          <t>12:13:55</t>
        </is>
      </c>
      <c r="M146" t="inlineStr">
        <is>
          <t>12:14:20</t>
        </is>
      </c>
    </row>
    <row r="147" ht="15" customHeight="1" s="37">
      <c r="A147" t="n">
        <v>1</v>
      </c>
      <c r="B147" s="10" t="inlineStr">
        <is>
          <t>休日</t>
        </is>
      </c>
      <c r="C147" s="10" t="inlineStr">
        <is>
          <t>本線</t>
        </is>
      </c>
      <c r="D147" s="10" t="inlineStr">
        <is>
          <t>上り</t>
        </is>
      </c>
      <c r="E147" t="inlineStr">
        <is>
          <t>1204</t>
        </is>
      </c>
      <c r="F147" t="inlineStr">
        <is>
          <t>0211</t>
        </is>
      </c>
      <c r="G147" s="10" t="inlineStr">
        <is>
          <t>鹿王院</t>
        </is>
      </c>
      <c r="H147" s="10" t="inlineStr">
        <is>
          <t>発</t>
        </is>
      </c>
      <c r="J147" s="10" t="inlineStr">
        <is>
          <t>営業</t>
        </is>
      </c>
      <c r="L147" t="inlineStr">
        <is>
          <t>12:15:25</t>
        </is>
      </c>
      <c r="M147" t="inlineStr">
        <is>
          <t>12:15:45</t>
        </is>
      </c>
    </row>
    <row r="148" ht="15" customHeight="1" s="37">
      <c r="A148" t="n">
        <v>1</v>
      </c>
      <c r="B148" s="10" t="inlineStr">
        <is>
          <t>休日</t>
        </is>
      </c>
      <c r="C148" s="10" t="inlineStr">
        <is>
          <t>本線</t>
        </is>
      </c>
      <c r="D148" s="10" t="inlineStr">
        <is>
          <t>上り</t>
        </is>
      </c>
      <c r="E148" t="inlineStr">
        <is>
          <t>1204</t>
        </is>
      </c>
      <c r="F148" t="inlineStr">
        <is>
          <t>0211</t>
        </is>
      </c>
      <c r="G148" s="10" t="inlineStr">
        <is>
          <t>車折</t>
        </is>
      </c>
      <c r="H148" s="10" t="inlineStr">
        <is>
          <t>発</t>
        </is>
      </c>
      <c r="J148" s="10" t="inlineStr">
        <is>
          <t>営業</t>
        </is>
      </c>
      <c r="L148" t="inlineStr">
        <is>
          <t>12:16:40</t>
        </is>
      </c>
      <c r="M148" t="inlineStr">
        <is>
          <t>12:17:10</t>
        </is>
      </c>
    </row>
    <row r="149" ht="15" customHeight="1" s="37">
      <c r="A149" t="n">
        <v>1</v>
      </c>
      <c r="B149" s="10" t="inlineStr">
        <is>
          <t>休日</t>
        </is>
      </c>
      <c r="C149" s="10" t="inlineStr">
        <is>
          <t>本線</t>
        </is>
      </c>
      <c r="D149" s="10" t="inlineStr">
        <is>
          <t>上り</t>
        </is>
      </c>
      <c r="E149" t="inlineStr">
        <is>
          <t>1204</t>
        </is>
      </c>
      <c r="F149" t="inlineStr">
        <is>
          <t>0211</t>
        </is>
      </c>
      <c r="G149" s="10" t="inlineStr">
        <is>
          <t>有栖川</t>
        </is>
      </c>
      <c r="H149" s="10" t="inlineStr">
        <is>
          <t>発</t>
        </is>
      </c>
      <c r="J149" s="10" t="inlineStr">
        <is>
          <t>営業</t>
        </is>
      </c>
      <c r="L149" t="inlineStr">
        <is>
          <t>12:18:35</t>
        </is>
      </c>
      <c r="M149" t="inlineStr">
        <is>
          <t>12:18:55</t>
        </is>
      </c>
    </row>
    <row r="150" ht="15" customHeight="1" s="37">
      <c r="A150" t="n">
        <v>1</v>
      </c>
      <c r="B150" s="10" t="inlineStr">
        <is>
          <t>休日</t>
        </is>
      </c>
      <c r="C150" s="10" t="inlineStr">
        <is>
          <t>本線</t>
        </is>
      </c>
      <c r="D150" s="10" t="inlineStr">
        <is>
          <t>上り</t>
        </is>
      </c>
      <c r="E150" t="inlineStr">
        <is>
          <t>1204</t>
        </is>
      </c>
      <c r="F150" t="inlineStr">
        <is>
          <t>0211</t>
        </is>
      </c>
      <c r="G150" s="10" t="inlineStr">
        <is>
          <t>帷子ノ辻</t>
        </is>
      </c>
      <c r="H150" s="10" t="inlineStr">
        <is>
          <t>発</t>
        </is>
      </c>
      <c r="J150" s="10" t="inlineStr">
        <is>
          <t>営業</t>
        </is>
      </c>
      <c r="L150" t="inlineStr">
        <is>
          <t>12:20:10</t>
        </is>
      </c>
      <c r="M150" t="inlineStr">
        <is>
          <t>12:21:15</t>
        </is>
      </c>
    </row>
    <row r="151" ht="15" customHeight="1" s="37">
      <c r="A151" t="n">
        <v>1</v>
      </c>
      <c r="B151" s="10" t="inlineStr">
        <is>
          <t>休日</t>
        </is>
      </c>
      <c r="C151" s="10" t="inlineStr">
        <is>
          <t>本線</t>
        </is>
      </c>
      <c r="D151" s="10" t="inlineStr">
        <is>
          <t>上り</t>
        </is>
      </c>
      <c r="E151" t="inlineStr">
        <is>
          <t>1204</t>
        </is>
      </c>
      <c r="F151" t="inlineStr">
        <is>
          <t>0211</t>
        </is>
      </c>
      <c r="G151" s="10" t="inlineStr">
        <is>
          <t>太秦広隆寺</t>
        </is>
      </c>
      <c r="H151" s="10" t="inlineStr">
        <is>
          <t>発</t>
        </is>
      </c>
      <c r="J151" s="10" t="inlineStr">
        <is>
          <t>営業</t>
        </is>
      </c>
      <c r="L151" t="inlineStr">
        <is>
          <t>12:23:25</t>
        </is>
      </c>
      <c r="M151" t="inlineStr">
        <is>
          <t>12:23:45</t>
        </is>
      </c>
    </row>
    <row r="152" ht="15" customHeight="1" s="37">
      <c r="A152" t="n">
        <v>1</v>
      </c>
      <c r="B152" s="10" t="inlineStr">
        <is>
          <t>休日</t>
        </is>
      </c>
      <c r="C152" s="10" t="inlineStr">
        <is>
          <t>本線</t>
        </is>
      </c>
      <c r="D152" s="10" t="inlineStr">
        <is>
          <t>上り</t>
        </is>
      </c>
      <c r="E152" t="inlineStr">
        <is>
          <t>1204</t>
        </is>
      </c>
      <c r="F152" t="inlineStr">
        <is>
          <t>0211</t>
        </is>
      </c>
      <c r="G152" s="10" t="inlineStr">
        <is>
          <t>蚕ノ社</t>
        </is>
      </c>
      <c r="H152" s="10" t="inlineStr">
        <is>
          <t>発</t>
        </is>
      </c>
      <c r="J152" s="10" t="inlineStr">
        <is>
          <t>営業</t>
        </is>
      </c>
      <c r="L152" t="inlineStr">
        <is>
          <t>12:25:00</t>
        </is>
      </c>
      <c r="M152" t="inlineStr">
        <is>
          <t>12:25:20</t>
        </is>
      </c>
    </row>
    <row r="153" ht="15" customHeight="1" s="37">
      <c r="A153" t="n">
        <v>1</v>
      </c>
      <c r="B153" s="10" t="inlineStr">
        <is>
          <t>休日</t>
        </is>
      </c>
      <c r="C153" s="10" t="inlineStr">
        <is>
          <t>本線</t>
        </is>
      </c>
      <c r="D153" s="10" t="inlineStr">
        <is>
          <t>上り</t>
        </is>
      </c>
      <c r="E153" t="inlineStr">
        <is>
          <t>1204</t>
        </is>
      </c>
      <c r="F153" t="inlineStr">
        <is>
          <t>0211</t>
        </is>
      </c>
      <c r="G153" s="10" t="inlineStr">
        <is>
          <t>天神川</t>
        </is>
      </c>
      <c r="H153" s="10" t="inlineStr">
        <is>
          <t>発</t>
        </is>
      </c>
      <c r="J153" s="10" t="inlineStr">
        <is>
          <t>営業</t>
        </is>
      </c>
      <c r="L153" t="inlineStr">
        <is>
          <t>12:26:05</t>
        </is>
      </c>
      <c r="M153" t="inlineStr">
        <is>
          <t>12:26:50</t>
        </is>
      </c>
    </row>
    <row r="154" ht="15" customHeight="1" s="37">
      <c r="A154" t="n">
        <v>1</v>
      </c>
      <c r="B154" s="10" t="inlineStr">
        <is>
          <t>休日</t>
        </is>
      </c>
      <c r="C154" s="10" t="inlineStr">
        <is>
          <t>本線</t>
        </is>
      </c>
      <c r="D154" s="10" t="inlineStr">
        <is>
          <t>上り</t>
        </is>
      </c>
      <c r="E154" t="inlineStr">
        <is>
          <t>1204</t>
        </is>
      </c>
      <c r="F154" t="inlineStr">
        <is>
          <t>0211</t>
        </is>
      </c>
      <c r="G154" s="10" t="inlineStr">
        <is>
          <t>山ノ内</t>
        </is>
      </c>
      <c r="H154" s="10" t="inlineStr">
        <is>
          <t>発</t>
        </is>
      </c>
      <c r="J154" s="10" t="inlineStr">
        <is>
          <t>営業</t>
        </is>
      </c>
      <c r="L154" t="inlineStr">
        <is>
          <t>12:28:40</t>
        </is>
      </c>
      <c r="M154" t="inlineStr">
        <is>
          <t>12:29:05</t>
        </is>
      </c>
    </row>
    <row r="155" ht="15" customHeight="1" s="37">
      <c r="A155" t="n">
        <v>1</v>
      </c>
      <c r="B155" s="10" t="inlineStr">
        <is>
          <t>休日</t>
        </is>
      </c>
      <c r="C155" s="10" t="inlineStr">
        <is>
          <t>本線</t>
        </is>
      </c>
      <c r="D155" s="10" t="inlineStr">
        <is>
          <t>上り</t>
        </is>
      </c>
      <c r="E155" t="inlineStr">
        <is>
          <t>1204</t>
        </is>
      </c>
      <c r="F155" t="inlineStr">
        <is>
          <t>0211</t>
        </is>
      </c>
      <c r="G155" s="10" t="inlineStr">
        <is>
          <t>西大路三条</t>
        </is>
      </c>
      <c r="H155" s="10" t="inlineStr">
        <is>
          <t>発</t>
        </is>
      </c>
      <c r="J155" s="10" t="inlineStr">
        <is>
          <t>営業</t>
        </is>
      </c>
      <c r="L155" t="inlineStr">
        <is>
          <t>12:30:55</t>
        </is>
      </c>
      <c r="M155" t="inlineStr">
        <is>
          <t>12:31:15</t>
        </is>
      </c>
    </row>
    <row r="156" ht="15" customHeight="1" s="37">
      <c r="A156" t="n">
        <v>1</v>
      </c>
      <c r="B156" s="10" t="inlineStr">
        <is>
          <t>休日</t>
        </is>
      </c>
      <c r="C156" s="10" t="inlineStr">
        <is>
          <t>本線</t>
        </is>
      </c>
      <c r="D156" s="10" t="inlineStr">
        <is>
          <t>上り</t>
        </is>
      </c>
      <c r="E156" t="inlineStr">
        <is>
          <t>1204</t>
        </is>
      </c>
      <c r="F156" t="inlineStr">
        <is>
          <t>0211</t>
        </is>
      </c>
      <c r="G156" s="10" t="inlineStr">
        <is>
          <t>西院</t>
        </is>
      </c>
      <c r="H156" s="10" t="inlineStr">
        <is>
          <t>発</t>
        </is>
      </c>
      <c r="J156" s="10" t="inlineStr">
        <is>
          <t>営業</t>
        </is>
      </c>
      <c r="L156" t="inlineStr">
        <is>
          <t>12:33:10</t>
        </is>
      </c>
      <c r="M156" t="inlineStr">
        <is>
          <t>12:34:05</t>
        </is>
      </c>
    </row>
    <row r="157" ht="15" customHeight="1" s="37">
      <c r="A157" t="n">
        <v>1</v>
      </c>
      <c r="B157" s="10" t="inlineStr">
        <is>
          <t>休日</t>
        </is>
      </c>
      <c r="C157" s="10" t="inlineStr">
        <is>
          <t>本線</t>
        </is>
      </c>
      <c r="D157" s="10" t="inlineStr">
        <is>
          <t>上り</t>
        </is>
      </c>
      <c r="E157" t="inlineStr">
        <is>
          <t>1204</t>
        </is>
      </c>
      <c r="F157" t="inlineStr">
        <is>
          <t>0211</t>
        </is>
      </c>
      <c r="G157" s="10" t="inlineStr">
        <is>
          <t>四条大宮</t>
        </is>
      </c>
      <c r="H157" s="10" t="inlineStr">
        <is>
          <t>着</t>
        </is>
      </c>
      <c r="J157" s="10" t="inlineStr">
        <is>
          <t>営業</t>
        </is>
      </c>
      <c r="L157" t="inlineStr">
        <is>
          <t>12:37:00</t>
        </is>
      </c>
      <c r="Q157" t="inlineStr">
        <is>
          <t>1</t>
        </is>
      </c>
    </row>
    <row r="158" ht="15" customHeight="1" s="37">
      <c r="A158" t="n">
        <v>1</v>
      </c>
      <c r="B158" s="10" t="inlineStr">
        <is>
          <t>休日</t>
        </is>
      </c>
      <c r="C158" s="10" t="inlineStr">
        <is>
          <t>本線</t>
        </is>
      </c>
      <c r="D158" s="10" t="inlineStr">
        <is>
          <t>下り</t>
        </is>
      </c>
      <c r="E158" t="inlineStr">
        <is>
          <t>1209</t>
        </is>
      </c>
      <c r="F158" t="inlineStr">
        <is>
          <t>0112</t>
        </is>
      </c>
      <c r="G158" s="10" t="inlineStr">
        <is>
          <t>四条大宮</t>
        </is>
      </c>
      <c r="H158" s="10" t="inlineStr">
        <is>
          <t>発</t>
        </is>
      </c>
      <c r="J158" s="10" t="inlineStr">
        <is>
          <t>営業</t>
        </is>
      </c>
      <c r="M158" t="inlineStr">
        <is>
          <t>12:43:00</t>
        </is>
      </c>
      <c r="Q158" t="inlineStr">
        <is>
          <t>1</t>
        </is>
      </c>
    </row>
    <row r="159" ht="15" customHeight="1" s="37">
      <c r="A159" t="n">
        <v>1</v>
      </c>
      <c r="B159" s="10" t="inlineStr">
        <is>
          <t>休日</t>
        </is>
      </c>
      <c r="C159" s="10" t="inlineStr">
        <is>
          <t>本線</t>
        </is>
      </c>
      <c r="D159" s="10" t="inlineStr">
        <is>
          <t>下り</t>
        </is>
      </c>
      <c r="E159" t="inlineStr">
        <is>
          <t>1209</t>
        </is>
      </c>
      <c r="F159" t="inlineStr">
        <is>
          <t>0112</t>
        </is>
      </c>
      <c r="G159" s="10" t="inlineStr">
        <is>
          <t>西院</t>
        </is>
      </c>
      <c r="H159" s="10" t="inlineStr">
        <is>
          <t>発</t>
        </is>
      </c>
      <c r="J159" s="10" t="inlineStr">
        <is>
          <t>営業</t>
        </is>
      </c>
      <c r="L159" t="inlineStr">
        <is>
          <t>12:45:50</t>
        </is>
      </c>
      <c r="M159" t="inlineStr">
        <is>
          <t>12:46:20</t>
        </is>
      </c>
    </row>
    <row r="160" ht="15" customHeight="1" s="37">
      <c r="A160" t="n">
        <v>1</v>
      </c>
      <c r="B160" s="10" t="inlineStr">
        <is>
          <t>休日</t>
        </is>
      </c>
      <c r="C160" s="10" t="inlineStr">
        <is>
          <t>本線</t>
        </is>
      </c>
      <c r="D160" s="10" t="inlineStr">
        <is>
          <t>下り</t>
        </is>
      </c>
      <c r="E160" t="inlineStr">
        <is>
          <t>1209</t>
        </is>
      </c>
      <c r="F160" t="inlineStr">
        <is>
          <t>0112</t>
        </is>
      </c>
      <c r="G160" s="10" t="inlineStr">
        <is>
          <t>西大路三条</t>
        </is>
      </c>
      <c r="H160" s="10" t="inlineStr">
        <is>
          <t>発</t>
        </is>
      </c>
      <c r="J160" s="10" t="inlineStr">
        <is>
          <t>営業</t>
        </is>
      </c>
      <c r="L160" t="inlineStr">
        <is>
          <t>12:48:10</t>
        </is>
      </c>
      <c r="M160" t="inlineStr">
        <is>
          <t>12:48:30</t>
        </is>
      </c>
    </row>
    <row r="161" ht="15" customHeight="1" s="37">
      <c r="A161" t="n">
        <v>1</v>
      </c>
      <c r="B161" s="10" t="inlineStr">
        <is>
          <t>休日</t>
        </is>
      </c>
      <c r="C161" s="10" t="inlineStr">
        <is>
          <t>本線</t>
        </is>
      </c>
      <c r="D161" s="10" t="inlineStr">
        <is>
          <t>下り</t>
        </is>
      </c>
      <c r="E161" t="inlineStr">
        <is>
          <t>1209</t>
        </is>
      </c>
      <c r="F161" t="inlineStr">
        <is>
          <t>0112</t>
        </is>
      </c>
      <c r="G161" s="10" t="inlineStr">
        <is>
          <t>山ノ内</t>
        </is>
      </c>
      <c r="H161" s="10" t="inlineStr">
        <is>
          <t>発</t>
        </is>
      </c>
      <c r="J161" s="10" t="inlineStr">
        <is>
          <t>営業</t>
        </is>
      </c>
      <c r="L161" t="inlineStr">
        <is>
          <t>12:50:25</t>
        </is>
      </c>
      <c r="M161" t="inlineStr">
        <is>
          <t>12:50:50</t>
        </is>
      </c>
    </row>
    <row r="162" ht="15" customHeight="1" s="37">
      <c r="A162" t="n">
        <v>1</v>
      </c>
      <c r="B162" s="10" t="inlineStr">
        <is>
          <t>休日</t>
        </is>
      </c>
      <c r="C162" s="10" t="inlineStr">
        <is>
          <t>本線</t>
        </is>
      </c>
      <c r="D162" s="10" t="inlineStr">
        <is>
          <t>下り</t>
        </is>
      </c>
      <c r="E162" t="inlineStr">
        <is>
          <t>1209</t>
        </is>
      </c>
      <c r="F162" t="inlineStr">
        <is>
          <t>0112</t>
        </is>
      </c>
      <c r="G162" s="10" t="inlineStr">
        <is>
          <t>天神川</t>
        </is>
      </c>
      <c r="H162" s="10" t="inlineStr">
        <is>
          <t>発</t>
        </is>
      </c>
      <c r="J162" s="10" t="inlineStr">
        <is>
          <t>営業</t>
        </is>
      </c>
      <c r="L162" t="inlineStr">
        <is>
          <t>12:52:50</t>
        </is>
      </c>
      <c r="M162" t="inlineStr">
        <is>
          <t>12:53:30</t>
        </is>
      </c>
    </row>
    <row r="163" ht="15" customHeight="1" s="37">
      <c r="A163" t="n">
        <v>1</v>
      </c>
      <c r="B163" s="10" t="inlineStr">
        <is>
          <t>休日</t>
        </is>
      </c>
      <c r="C163" s="10" t="inlineStr">
        <is>
          <t>本線</t>
        </is>
      </c>
      <c r="D163" s="10" t="inlineStr">
        <is>
          <t>下り</t>
        </is>
      </c>
      <c r="E163" t="inlineStr">
        <is>
          <t>1209</t>
        </is>
      </c>
      <c r="F163" t="inlineStr">
        <is>
          <t>0112</t>
        </is>
      </c>
      <c r="G163" s="10" t="inlineStr">
        <is>
          <t>蚕ノ社</t>
        </is>
      </c>
      <c r="H163" s="10" t="inlineStr">
        <is>
          <t>発</t>
        </is>
      </c>
      <c r="J163" s="10" t="inlineStr">
        <is>
          <t>営業</t>
        </is>
      </c>
      <c r="L163" t="inlineStr">
        <is>
          <t>12:54:20</t>
        </is>
      </c>
      <c r="M163" t="inlineStr">
        <is>
          <t>12:54:40</t>
        </is>
      </c>
    </row>
    <row r="164" ht="15" customHeight="1" s="37">
      <c r="A164" t="n">
        <v>1</v>
      </c>
      <c r="B164" s="10" t="inlineStr">
        <is>
          <t>休日</t>
        </is>
      </c>
      <c r="C164" s="10" t="inlineStr">
        <is>
          <t>本線</t>
        </is>
      </c>
      <c r="D164" s="10" t="inlineStr">
        <is>
          <t>下り</t>
        </is>
      </c>
      <c r="E164" t="inlineStr">
        <is>
          <t>1209</t>
        </is>
      </c>
      <c r="F164" t="inlineStr">
        <is>
          <t>0112</t>
        </is>
      </c>
      <c r="G164" s="10" t="inlineStr">
        <is>
          <t>太秦広隆寺</t>
        </is>
      </c>
      <c r="H164" s="10" t="inlineStr">
        <is>
          <t>発</t>
        </is>
      </c>
      <c r="J164" s="10" t="inlineStr">
        <is>
          <t>営業</t>
        </is>
      </c>
      <c r="L164" t="inlineStr">
        <is>
          <t>12:56:00</t>
        </is>
      </c>
      <c r="M164" t="inlineStr">
        <is>
          <t>12:56:20</t>
        </is>
      </c>
    </row>
    <row r="165" ht="15" customHeight="1" s="37">
      <c r="A165" t="n">
        <v>1</v>
      </c>
      <c r="B165" s="10" t="inlineStr">
        <is>
          <t>休日</t>
        </is>
      </c>
      <c r="C165" s="10" t="inlineStr">
        <is>
          <t>本線</t>
        </is>
      </c>
      <c r="D165" s="10" t="inlineStr">
        <is>
          <t>下り</t>
        </is>
      </c>
      <c r="E165" t="inlineStr">
        <is>
          <t>1209</t>
        </is>
      </c>
      <c r="F165" t="inlineStr">
        <is>
          <t>0112</t>
        </is>
      </c>
      <c r="G165" s="10" t="inlineStr">
        <is>
          <t>帷子ノ辻</t>
        </is>
      </c>
      <c r="H165" s="10" t="inlineStr">
        <is>
          <t>発</t>
        </is>
      </c>
      <c r="J165" s="10" t="inlineStr">
        <is>
          <t>営業</t>
        </is>
      </c>
      <c r="L165" t="inlineStr">
        <is>
          <t>12:58:20</t>
        </is>
      </c>
      <c r="M165" t="inlineStr">
        <is>
          <t>12:59:40</t>
        </is>
      </c>
    </row>
    <row r="166" ht="15" customHeight="1" s="37">
      <c r="A166" t="n">
        <v>1</v>
      </c>
      <c r="B166" s="10" t="inlineStr">
        <is>
          <t>休日</t>
        </is>
      </c>
      <c r="C166" s="10" t="inlineStr">
        <is>
          <t>本線</t>
        </is>
      </c>
      <c r="D166" s="10" t="inlineStr">
        <is>
          <t>下り</t>
        </is>
      </c>
      <c r="E166" t="inlineStr">
        <is>
          <t>1209</t>
        </is>
      </c>
      <c r="F166" t="inlineStr">
        <is>
          <t>0112</t>
        </is>
      </c>
      <c r="G166" s="10" t="inlineStr">
        <is>
          <t>有栖川</t>
        </is>
      </c>
      <c r="H166" s="10" t="inlineStr">
        <is>
          <t>発</t>
        </is>
      </c>
      <c r="J166" s="10" t="inlineStr">
        <is>
          <t>営業</t>
        </is>
      </c>
      <c r="L166" t="inlineStr">
        <is>
          <t>13:00:50</t>
        </is>
      </c>
      <c r="M166" t="inlineStr">
        <is>
          <t>13:01:15</t>
        </is>
      </c>
    </row>
    <row r="167" ht="15" customHeight="1" s="37">
      <c r="A167" t="n">
        <v>1</v>
      </c>
      <c r="B167" s="10" t="inlineStr">
        <is>
          <t>休日</t>
        </is>
      </c>
      <c r="C167" s="10" t="inlineStr">
        <is>
          <t>本線</t>
        </is>
      </c>
      <c r="D167" s="10" t="inlineStr">
        <is>
          <t>下り</t>
        </is>
      </c>
      <c r="E167" t="inlineStr">
        <is>
          <t>1209</t>
        </is>
      </c>
      <c r="F167" t="inlineStr">
        <is>
          <t>0112</t>
        </is>
      </c>
      <c r="G167" s="10" t="inlineStr">
        <is>
          <t>車折</t>
        </is>
      </c>
      <c r="H167" s="10" t="inlineStr">
        <is>
          <t>発</t>
        </is>
      </c>
      <c r="J167" s="10" t="inlineStr">
        <is>
          <t>営業</t>
        </is>
      </c>
      <c r="L167" t="inlineStr">
        <is>
          <t>13:02:40</t>
        </is>
      </c>
      <c r="M167" t="inlineStr">
        <is>
          <t>13:03:05</t>
        </is>
      </c>
    </row>
    <row r="168" ht="15" customHeight="1" s="37">
      <c r="A168" t="n">
        <v>1</v>
      </c>
      <c r="B168" s="10" t="inlineStr">
        <is>
          <t>休日</t>
        </is>
      </c>
      <c r="C168" s="10" t="inlineStr">
        <is>
          <t>本線</t>
        </is>
      </c>
      <c r="D168" s="10" t="inlineStr">
        <is>
          <t>下り</t>
        </is>
      </c>
      <c r="E168" t="inlineStr">
        <is>
          <t>1209</t>
        </is>
      </c>
      <c r="F168" t="inlineStr">
        <is>
          <t>0112</t>
        </is>
      </c>
      <c r="G168" s="10" t="inlineStr">
        <is>
          <t>鹿王院</t>
        </is>
      </c>
      <c r="H168" s="10" t="inlineStr">
        <is>
          <t>発</t>
        </is>
      </c>
      <c r="J168" s="10" t="inlineStr">
        <is>
          <t>営業</t>
        </is>
      </c>
      <c r="L168" t="inlineStr">
        <is>
          <t>13:04:00</t>
        </is>
      </c>
      <c r="M168" t="inlineStr">
        <is>
          <t>13:04:25</t>
        </is>
      </c>
    </row>
    <row r="169" ht="15" customHeight="1" s="37">
      <c r="A169" t="n">
        <v>1</v>
      </c>
      <c r="B169" s="10" t="inlineStr">
        <is>
          <t>休日</t>
        </is>
      </c>
      <c r="C169" s="10" t="inlineStr">
        <is>
          <t>本線</t>
        </is>
      </c>
      <c r="D169" s="10" t="inlineStr">
        <is>
          <t>下り</t>
        </is>
      </c>
      <c r="E169" t="inlineStr">
        <is>
          <t>1209</t>
        </is>
      </c>
      <c r="F169" t="inlineStr">
        <is>
          <t>0112</t>
        </is>
      </c>
      <c r="G169" s="10" t="inlineStr">
        <is>
          <t>嵯峨</t>
        </is>
      </c>
      <c r="H169" s="10" t="inlineStr">
        <is>
          <t>発</t>
        </is>
      </c>
      <c r="J169" s="10" t="inlineStr">
        <is>
          <t>営業</t>
        </is>
      </c>
      <c r="L169" t="inlineStr">
        <is>
          <t>13:05:30</t>
        </is>
      </c>
      <c r="M169" t="inlineStr">
        <is>
          <t>13:05:55</t>
        </is>
      </c>
    </row>
    <row r="170" ht="15" customHeight="1" s="37">
      <c r="A170" t="n">
        <v>1</v>
      </c>
      <c r="B170" s="10" t="inlineStr">
        <is>
          <t>休日</t>
        </is>
      </c>
      <c r="C170" s="10" t="inlineStr">
        <is>
          <t>本線</t>
        </is>
      </c>
      <c r="D170" s="10" t="inlineStr">
        <is>
          <t>下り</t>
        </is>
      </c>
      <c r="E170" t="inlineStr">
        <is>
          <t>1209</t>
        </is>
      </c>
      <c r="F170" t="inlineStr">
        <is>
          <t>0112</t>
        </is>
      </c>
      <c r="G170" s="10" t="inlineStr">
        <is>
          <t>嵐山</t>
        </is>
      </c>
      <c r="H170" s="10" t="inlineStr">
        <is>
          <t>着</t>
        </is>
      </c>
      <c r="J170" s="10" t="inlineStr">
        <is>
          <t>営業</t>
        </is>
      </c>
      <c r="L170" t="inlineStr">
        <is>
          <t>13:07:00</t>
        </is>
      </c>
      <c r="Q170" t="inlineStr">
        <is>
          <t>1</t>
        </is>
      </c>
    </row>
    <row r="171" ht="15" customHeight="1" s="37">
      <c r="A171" t="n">
        <v>1</v>
      </c>
      <c r="B171" s="10" t="inlineStr">
        <is>
          <t>休日</t>
        </is>
      </c>
      <c r="C171" s="10" t="inlineStr">
        <is>
          <t>本線</t>
        </is>
      </c>
      <c r="D171" s="10" t="inlineStr">
        <is>
          <t>上り</t>
        </is>
      </c>
      <c r="E171" t="inlineStr">
        <is>
          <t>1304</t>
        </is>
      </c>
      <c r="F171" t="inlineStr">
        <is>
          <t>0211</t>
        </is>
      </c>
      <c r="G171" s="10" t="inlineStr">
        <is>
          <t>嵐山</t>
        </is>
      </c>
      <c r="H171" s="10" t="inlineStr">
        <is>
          <t>発</t>
        </is>
      </c>
      <c r="J171" s="10" t="inlineStr">
        <is>
          <t>営業</t>
        </is>
      </c>
      <c r="M171" t="inlineStr">
        <is>
          <t>13:13:00</t>
        </is>
      </c>
      <c r="Q171" t="inlineStr">
        <is>
          <t>1</t>
        </is>
      </c>
    </row>
    <row r="172" ht="15" customHeight="1" s="37">
      <c r="A172" t="n">
        <v>1</v>
      </c>
      <c r="B172" s="10" t="inlineStr">
        <is>
          <t>休日</t>
        </is>
      </c>
      <c r="C172" s="10" t="inlineStr">
        <is>
          <t>本線</t>
        </is>
      </c>
      <c r="D172" s="10" t="inlineStr">
        <is>
          <t>上り</t>
        </is>
      </c>
      <c r="E172" t="inlineStr">
        <is>
          <t>1304</t>
        </is>
      </c>
      <c r="F172" t="inlineStr">
        <is>
          <t>0211</t>
        </is>
      </c>
      <c r="G172" s="10" t="inlineStr">
        <is>
          <t>嵯峨</t>
        </is>
      </c>
      <c r="H172" s="10" t="inlineStr">
        <is>
          <t>発</t>
        </is>
      </c>
      <c r="J172" s="10" t="inlineStr">
        <is>
          <t>営業</t>
        </is>
      </c>
      <c r="L172" t="inlineStr">
        <is>
          <t>13:13:55</t>
        </is>
      </c>
      <c r="M172" t="inlineStr">
        <is>
          <t>13:14:20</t>
        </is>
      </c>
    </row>
    <row r="173" ht="15" customHeight="1" s="37">
      <c r="A173" t="n">
        <v>1</v>
      </c>
      <c r="B173" s="10" t="inlineStr">
        <is>
          <t>休日</t>
        </is>
      </c>
      <c r="C173" s="10" t="inlineStr">
        <is>
          <t>本線</t>
        </is>
      </c>
      <c r="D173" s="10" t="inlineStr">
        <is>
          <t>上り</t>
        </is>
      </c>
      <c r="E173" t="inlineStr">
        <is>
          <t>1304</t>
        </is>
      </c>
      <c r="F173" t="inlineStr">
        <is>
          <t>0211</t>
        </is>
      </c>
      <c r="G173" s="10" t="inlineStr">
        <is>
          <t>鹿王院</t>
        </is>
      </c>
      <c r="H173" s="10" t="inlineStr">
        <is>
          <t>発</t>
        </is>
      </c>
      <c r="J173" s="10" t="inlineStr">
        <is>
          <t>営業</t>
        </is>
      </c>
      <c r="L173" t="inlineStr">
        <is>
          <t>13:15:25</t>
        </is>
      </c>
      <c r="M173" t="inlineStr">
        <is>
          <t>13:15:45</t>
        </is>
      </c>
    </row>
    <row r="174" ht="15" customHeight="1" s="37">
      <c r="A174" t="n">
        <v>1</v>
      </c>
      <c r="B174" s="10" t="inlineStr">
        <is>
          <t>休日</t>
        </is>
      </c>
      <c r="C174" s="10" t="inlineStr">
        <is>
          <t>本線</t>
        </is>
      </c>
      <c r="D174" s="10" t="inlineStr">
        <is>
          <t>上り</t>
        </is>
      </c>
      <c r="E174" t="inlineStr">
        <is>
          <t>1304</t>
        </is>
      </c>
      <c r="F174" t="inlineStr">
        <is>
          <t>0211</t>
        </is>
      </c>
      <c r="G174" s="10" t="inlineStr">
        <is>
          <t>車折</t>
        </is>
      </c>
      <c r="H174" s="10" t="inlineStr">
        <is>
          <t>発</t>
        </is>
      </c>
      <c r="J174" s="10" t="inlineStr">
        <is>
          <t>営業</t>
        </is>
      </c>
      <c r="L174" t="inlineStr">
        <is>
          <t>13:16:40</t>
        </is>
      </c>
      <c r="M174" t="inlineStr">
        <is>
          <t>13:17:10</t>
        </is>
      </c>
    </row>
    <row r="175" ht="15" customHeight="1" s="37">
      <c r="A175" t="n">
        <v>1</v>
      </c>
      <c r="B175" s="10" t="inlineStr">
        <is>
          <t>休日</t>
        </is>
      </c>
      <c r="C175" s="10" t="inlineStr">
        <is>
          <t>本線</t>
        </is>
      </c>
      <c r="D175" s="10" t="inlineStr">
        <is>
          <t>上り</t>
        </is>
      </c>
      <c r="E175" t="inlineStr">
        <is>
          <t>1304</t>
        </is>
      </c>
      <c r="F175" t="inlineStr">
        <is>
          <t>0211</t>
        </is>
      </c>
      <c r="G175" s="10" t="inlineStr">
        <is>
          <t>有栖川</t>
        </is>
      </c>
      <c r="H175" s="10" t="inlineStr">
        <is>
          <t>発</t>
        </is>
      </c>
      <c r="J175" s="10" t="inlineStr">
        <is>
          <t>営業</t>
        </is>
      </c>
      <c r="L175" t="inlineStr">
        <is>
          <t>13:18:35</t>
        </is>
      </c>
      <c r="M175" t="inlineStr">
        <is>
          <t>13:18:55</t>
        </is>
      </c>
    </row>
    <row r="176" ht="15" customHeight="1" s="37">
      <c r="A176" t="n">
        <v>1</v>
      </c>
      <c r="B176" s="10" t="inlineStr">
        <is>
          <t>休日</t>
        </is>
      </c>
      <c r="C176" s="10" t="inlineStr">
        <is>
          <t>本線</t>
        </is>
      </c>
      <c r="D176" s="10" t="inlineStr">
        <is>
          <t>上り</t>
        </is>
      </c>
      <c r="E176" t="inlineStr">
        <is>
          <t>1304</t>
        </is>
      </c>
      <c r="F176" t="inlineStr">
        <is>
          <t>0211</t>
        </is>
      </c>
      <c r="G176" s="10" t="inlineStr">
        <is>
          <t>帷子ノ辻</t>
        </is>
      </c>
      <c r="H176" s="10" t="inlineStr">
        <is>
          <t>発</t>
        </is>
      </c>
      <c r="J176" s="10" t="inlineStr">
        <is>
          <t>営業</t>
        </is>
      </c>
      <c r="L176" t="inlineStr">
        <is>
          <t>13:20:10</t>
        </is>
      </c>
      <c r="M176" t="inlineStr">
        <is>
          <t>13:21:15</t>
        </is>
      </c>
    </row>
    <row r="177" ht="15" customHeight="1" s="37">
      <c r="A177" t="n">
        <v>1</v>
      </c>
      <c r="B177" s="10" t="inlineStr">
        <is>
          <t>休日</t>
        </is>
      </c>
      <c r="C177" s="10" t="inlineStr">
        <is>
          <t>本線</t>
        </is>
      </c>
      <c r="D177" s="10" t="inlineStr">
        <is>
          <t>上り</t>
        </is>
      </c>
      <c r="E177" t="inlineStr">
        <is>
          <t>1304</t>
        </is>
      </c>
      <c r="F177" t="inlineStr">
        <is>
          <t>0211</t>
        </is>
      </c>
      <c r="G177" s="10" t="inlineStr">
        <is>
          <t>太秦広隆寺</t>
        </is>
      </c>
      <c r="H177" s="10" t="inlineStr">
        <is>
          <t>発</t>
        </is>
      </c>
      <c r="J177" s="10" t="inlineStr">
        <is>
          <t>営業</t>
        </is>
      </c>
      <c r="L177" t="inlineStr">
        <is>
          <t>13:23:25</t>
        </is>
      </c>
      <c r="M177" t="inlineStr">
        <is>
          <t>13:23:45</t>
        </is>
      </c>
    </row>
    <row r="178" ht="15" customHeight="1" s="37">
      <c r="A178" t="n">
        <v>1</v>
      </c>
      <c r="B178" s="10" t="inlineStr">
        <is>
          <t>休日</t>
        </is>
      </c>
      <c r="C178" s="10" t="inlineStr">
        <is>
          <t>本線</t>
        </is>
      </c>
      <c r="D178" s="10" t="inlineStr">
        <is>
          <t>上り</t>
        </is>
      </c>
      <c r="E178" t="inlineStr">
        <is>
          <t>1304</t>
        </is>
      </c>
      <c r="F178" t="inlineStr">
        <is>
          <t>0211</t>
        </is>
      </c>
      <c r="G178" s="10" t="inlineStr">
        <is>
          <t>蚕ノ社</t>
        </is>
      </c>
      <c r="H178" s="10" t="inlineStr">
        <is>
          <t>発</t>
        </is>
      </c>
      <c r="J178" s="10" t="inlineStr">
        <is>
          <t>営業</t>
        </is>
      </c>
      <c r="L178" t="inlineStr">
        <is>
          <t>13:25:00</t>
        </is>
      </c>
      <c r="M178" t="inlineStr">
        <is>
          <t>13:25:20</t>
        </is>
      </c>
    </row>
    <row r="179" ht="15" customHeight="1" s="37">
      <c r="A179" t="n">
        <v>1</v>
      </c>
      <c r="B179" s="10" t="inlineStr">
        <is>
          <t>休日</t>
        </is>
      </c>
      <c r="C179" s="10" t="inlineStr">
        <is>
          <t>本線</t>
        </is>
      </c>
      <c r="D179" s="10" t="inlineStr">
        <is>
          <t>上り</t>
        </is>
      </c>
      <c r="E179" t="inlineStr">
        <is>
          <t>1304</t>
        </is>
      </c>
      <c r="F179" t="inlineStr">
        <is>
          <t>0211</t>
        </is>
      </c>
      <c r="G179" s="10" t="inlineStr">
        <is>
          <t>天神川</t>
        </is>
      </c>
      <c r="H179" s="10" t="inlineStr">
        <is>
          <t>発</t>
        </is>
      </c>
      <c r="J179" s="10" t="inlineStr">
        <is>
          <t>営業</t>
        </is>
      </c>
      <c r="L179" t="inlineStr">
        <is>
          <t>13:26:05</t>
        </is>
      </c>
      <c r="M179" t="inlineStr">
        <is>
          <t>13:26:50</t>
        </is>
      </c>
    </row>
    <row r="180" ht="15" customHeight="1" s="37">
      <c r="A180" t="n">
        <v>1</v>
      </c>
      <c r="B180" s="10" t="inlineStr">
        <is>
          <t>休日</t>
        </is>
      </c>
      <c r="C180" s="10" t="inlineStr">
        <is>
          <t>本線</t>
        </is>
      </c>
      <c r="D180" s="10" t="inlineStr">
        <is>
          <t>上り</t>
        </is>
      </c>
      <c r="E180" t="inlineStr">
        <is>
          <t>1304</t>
        </is>
      </c>
      <c r="F180" t="inlineStr">
        <is>
          <t>0211</t>
        </is>
      </c>
      <c r="G180" s="10" t="inlineStr">
        <is>
          <t>山ノ内</t>
        </is>
      </c>
      <c r="H180" s="10" t="inlineStr">
        <is>
          <t>発</t>
        </is>
      </c>
      <c r="J180" s="10" t="inlineStr">
        <is>
          <t>営業</t>
        </is>
      </c>
      <c r="L180" t="inlineStr">
        <is>
          <t>13:28:40</t>
        </is>
      </c>
      <c r="M180" t="inlineStr">
        <is>
          <t>13:29:05</t>
        </is>
      </c>
    </row>
    <row r="181" ht="15" customHeight="1" s="37">
      <c r="A181" t="n">
        <v>1</v>
      </c>
      <c r="B181" s="10" t="inlineStr">
        <is>
          <t>休日</t>
        </is>
      </c>
      <c r="C181" s="10" t="inlineStr">
        <is>
          <t>本線</t>
        </is>
      </c>
      <c r="D181" s="10" t="inlineStr">
        <is>
          <t>上り</t>
        </is>
      </c>
      <c r="E181" t="inlineStr">
        <is>
          <t>1304</t>
        </is>
      </c>
      <c r="F181" t="inlineStr">
        <is>
          <t>0211</t>
        </is>
      </c>
      <c r="G181" s="10" t="inlineStr">
        <is>
          <t>西大路三条</t>
        </is>
      </c>
      <c r="H181" s="10" t="inlineStr">
        <is>
          <t>発</t>
        </is>
      </c>
      <c r="J181" s="10" t="inlineStr">
        <is>
          <t>営業</t>
        </is>
      </c>
      <c r="L181" t="inlineStr">
        <is>
          <t>13:30:55</t>
        </is>
      </c>
      <c r="M181" t="inlineStr">
        <is>
          <t>13:31:15</t>
        </is>
      </c>
    </row>
    <row r="182" ht="15" customHeight="1" s="37">
      <c r="A182" t="n">
        <v>1</v>
      </c>
      <c r="B182" s="10" t="inlineStr">
        <is>
          <t>休日</t>
        </is>
      </c>
      <c r="C182" s="10" t="inlineStr">
        <is>
          <t>本線</t>
        </is>
      </c>
      <c r="D182" s="10" t="inlineStr">
        <is>
          <t>上り</t>
        </is>
      </c>
      <c r="E182" t="inlineStr">
        <is>
          <t>1304</t>
        </is>
      </c>
      <c r="F182" t="inlineStr">
        <is>
          <t>0211</t>
        </is>
      </c>
      <c r="G182" s="10" t="inlineStr">
        <is>
          <t>西院</t>
        </is>
      </c>
      <c r="H182" s="10" t="inlineStr">
        <is>
          <t>発</t>
        </is>
      </c>
      <c r="J182" s="10" t="inlineStr">
        <is>
          <t>営業</t>
        </is>
      </c>
      <c r="L182" t="inlineStr">
        <is>
          <t>13:33:10</t>
        </is>
      </c>
      <c r="M182" t="inlineStr">
        <is>
          <t>13:34:05</t>
        </is>
      </c>
    </row>
    <row r="183" ht="15" customHeight="1" s="37">
      <c r="A183" t="n">
        <v>1</v>
      </c>
      <c r="B183" s="10" t="inlineStr">
        <is>
          <t>休日</t>
        </is>
      </c>
      <c r="C183" s="10" t="inlineStr">
        <is>
          <t>本線</t>
        </is>
      </c>
      <c r="D183" s="10" t="inlineStr">
        <is>
          <t>上り</t>
        </is>
      </c>
      <c r="E183" t="inlineStr">
        <is>
          <t>1304</t>
        </is>
      </c>
      <c r="F183" t="inlineStr">
        <is>
          <t>0211</t>
        </is>
      </c>
      <c r="G183" s="10" t="inlineStr">
        <is>
          <t>四条大宮</t>
        </is>
      </c>
      <c r="H183" s="10" t="inlineStr">
        <is>
          <t>着</t>
        </is>
      </c>
      <c r="J183" s="10" t="inlineStr">
        <is>
          <t>営業</t>
        </is>
      </c>
      <c r="L183" t="inlineStr">
        <is>
          <t>13:37:00</t>
        </is>
      </c>
      <c r="Q183" t="inlineStr">
        <is>
          <t>1</t>
        </is>
      </c>
    </row>
    <row r="184" ht="15" customHeight="1" s="37">
      <c r="A184" t="n">
        <v>1</v>
      </c>
      <c r="B184" s="10" t="inlineStr">
        <is>
          <t>休日</t>
        </is>
      </c>
      <c r="C184" s="10" t="inlineStr">
        <is>
          <t>本線</t>
        </is>
      </c>
      <c r="D184" s="10" t="inlineStr">
        <is>
          <t>下り</t>
        </is>
      </c>
      <c r="E184" s="10" t="inlineStr">
        <is>
          <t>連1309</t>
        </is>
      </c>
      <c r="F184" t="inlineStr">
        <is>
          <t>0112</t>
        </is>
      </c>
      <c r="G184" s="10" t="inlineStr">
        <is>
          <t>四条大宮</t>
        </is>
      </c>
      <c r="H184" s="10" t="inlineStr">
        <is>
          <t>発</t>
        </is>
      </c>
      <c r="J184" s="10" t="inlineStr">
        <is>
          <t>営業</t>
        </is>
      </c>
      <c r="M184" t="inlineStr">
        <is>
          <t>13:43:00</t>
        </is>
      </c>
      <c r="P184" t="inlineStr">
        <is>
          <t>E系統(終日)</t>
        </is>
      </c>
      <c r="Q184" t="inlineStr">
        <is>
          <t>2</t>
        </is>
      </c>
    </row>
    <row r="185" ht="15" customHeight="1" s="37">
      <c r="A185" t="n">
        <v>1</v>
      </c>
      <c r="B185" s="10" t="inlineStr">
        <is>
          <t>休日</t>
        </is>
      </c>
      <c r="C185" s="10" t="inlineStr">
        <is>
          <t>本線</t>
        </is>
      </c>
      <c r="D185" s="10" t="inlineStr">
        <is>
          <t>下り</t>
        </is>
      </c>
      <c r="E185" s="10" t="inlineStr">
        <is>
          <t>連1309</t>
        </is>
      </c>
      <c r="F185" t="inlineStr">
        <is>
          <t>0112</t>
        </is>
      </c>
      <c r="G185" s="10" t="inlineStr">
        <is>
          <t>西院</t>
        </is>
      </c>
      <c r="H185" s="10" t="inlineStr">
        <is>
          <t>着</t>
        </is>
      </c>
      <c r="J185" s="10" t="inlineStr">
        <is>
          <t>営業</t>
        </is>
      </c>
      <c r="L185" t="inlineStr">
        <is>
          <t>13:45:50</t>
        </is>
      </c>
      <c r="M185" t="inlineStr">
        <is>
          <t>13:46:20</t>
        </is>
      </c>
      <c r="P185" t="inlineStr">
        <is>
          <t>E系統(終日)</t>
        </is>
      </c>
      <c r="T185" t="inlineStr">
        <is>
          <t>○</t>
        </is>
      </c>
    </row>
    <row r="186" ht="15" customHeight="1" s="37">
      <c r="A186" t="n">
        <v>10</v>
      </c>
      <c r="B186" s="10" t="inlineStr">
        <is>
          <t>休日</t>
        </is>
      </c>
      <c r="C186" s="10" t="inlineStr">
        <is>
          <t>本線</t>
        </is>
      </c>
      <c r="D186" s="10" t="inlineStr">
        <is>
          <t>下り</t>
        </is>
      </c>
      <c r="E186" t="inlineStr">
        <is>
          <t>1805</t>
        </is>
      </c>
      <c r="F186" t="inlineStr">
        <is>
          <t>0122</t>
        </is>
      </c>
      <c r="G186" s="10" t="inlineStr">
        <is>
          <t>西院</t>
        </is>
      </c>
      <c r="H186" s="10" t="inlineStr">
        <is>
          <t>発</t>
        </is>
      </c>
      <c r="J186" s="10" t="inlineStr">
        <is>
          <t>営業</t>
        </is>
      </c>
      <c r="L186" t="inlineStr">
        <is>
          <t>18:25:50</t>
        </is>
      </c>
      <c r="M186" t="inlineStr">
        <is>
          <t>18:26:20</t>
        </is>
      </c>
    </row>
    <row r="187" ht="15" customHeight="1" s="37">
      <c r="A187" t="n">
        <v>10</v>
      </c>
      <c r="B187" s="10" t="inlineStr">
        <is>
          <t>休日</t>
        </is>
      </c>
      <c r="C187" s="10" t="inlineStr">
        <is>
          <t>本線</t>
        </is>
      </c>
      <c r="D187" s="10" t="inlineStr">
        <is>
          <t>下り</t>
        </is>
      </c>
      <c r="E187" t="inlineStr">
        <is>
          <t>1805</t>
        </is>
      </c>
      <c r="F187" t="inlineStr">
        <is>
          <t>0122</t>
        </is>
      </c>
      <c r="G187" s="10" t="inlineStr">
        <is>
          <t>西大路三条</t>
        </is>
      </c>
      <c r="H187" s="10" t="inlineStr">
        <is>
          <t>発</t>
        </is>
      </c>
      <c r="J187" s="10" t="inlineStr">
        <is>
          <t>営業</t>
        </is>
      </c>
      <c r="L187" t="inlineStr">
        <is>
          <t>18:28:10</t>
        </is>
      </c>
      <c r="M187" t="inlineStr">
        <is>
          <t>18:28:30</t>
        </is>
      </c>
    </row>
    <row r="188" ht="15" customHeight="1" s="37">
      <c r="A188" t="n">
        <v>10</v>
      </c>
      <c r="B188" s="10" t="inlineStr">
        <is>
          <t>休日</t>
        </is>
      </c>
      <c r="C188" s="10" t="inlineStr">
        <is>
          <t>本線</t>
        </is>
      </c>
      <c r="D188" s="10" t="inlineStr">
        <is>
          <t>下り</t>
        </is>
      </c>
      <c r="E188" t="inlineStr">
        <is>
          <t>1805</t>
        </is>
      </c>
      <c r="F188" t="inlineStr">
        <is>
          <t>0122</t>
        </is>
      </c>
      <c r="G188" s="10" t="inlineStr">
        <is>
          <t>山ノ内</t>
        </is>
      </c>
      <c r="H188" s="10" t="inlineStr">
        <is>
          <t>発</t>
        </is>
      </c>
      <c r="J188" s="10" t="inlineStr">
        <is>
          <t>営業</t>
        </is>
      </c>
      <c r="L188" t="inlineStr">
        <is>
          <t>18:30:25</t>
        </is>
      </c>
      <c r="M188" t="inlineStr">
        <is>
          <t>18:30:50</t>
        </is>
      </c>
    </row>
    <row r="189" ht="15" customHeight="1" s="37">
      <c r="A189" t="n">
        <v>10</v>
      </c>
      <c r="B189" s="10" t="inlineStr">
        <is>
          <t>休日</t>
        </is>
      </c>
      <c r="C189" s="10" t="inlineStr">
        <is>
          <t>本線</t>
        </is>
      </c>
      <c r="D189" s="10" t="inlineStr">
        <is>
          <t>下り</t>
        </is>
      </c>
      <c r="E189" t="inlineStr">
        <is>
          <t>1805</t>
        </is>
      </c>
      <c r="F189" t="inlineStr">
        <is>
          <t>0122</t>
        </is>
      </c>
      <c r="G189" s="10" t="inlineStr">
        <is>
          <t>天神川</t>
        </is>
      </c>
      <c r="H189" s="10" t="inlineStr">
        <is>
          <t>発</t>
        </is>
      </c>
      <c r="J189" s="10" t="inlineStr">
        <is>
          <t>営業</t>
        </is>
      </c>
      <c r="L189" t="inlineStr">
        <is>
          <t>18:32:50</t>
        </is>
      </c>
      <c r="M189" t="inlineStr">
        <is>
          <t>18:33:30</t>
        </is>
      </c>
    </row>
    <row r="190" ht="15" customHeight="1" s="37">
      <c r="A190" t="n">
        <v>10</v>
      </c>
      <c r="B190" s="10" t="inlineStr">
        <is>
          <t>休日</t>
        </is>
      </c>
      <c r="C190" s="10" t="inlineStr">
        <is>
          <t>本線</t>
        </is>
      </c>
      <c r="D190" s="10" t="inlineStr">
        <is>
          <t>下り</t>
        </is>
      </c>
      <c r="E190" t="inlineStr">
        <is>
          <t>1805</t>
        </is>
      </c>
      <c r="F190" t="inlineStr">
        <is>
          <t>0122</t>
        </is>
      </c>
      <c r="G190" s="10" t="inlineStr">
        <is>
          <t>蚕ノ社</t>
        </is>
      </c>
      <c r="H190" s="10" t="inlineStr">
        <is>
          <t>発</t>
        </is>
      </c>
      <c r="J190" s="10" t="inlineStr">
        <is>
          <t>営業</t>
        </is>
      </c>
      <c r="L190" t="inlineStr">
        <is>
          <t>18:34:20</t>
        </is>
      </c>
      <c r="M190" t="inlineStr">
        <is>
          <t>18:34:40</t>
        </is>
      </c>
    </row>
    <row r="191" ht="15" customHeight="1" s="37">
      <c r="A191" t="n">
        <v>10</v>
      </c>
      <c r="B191" s="10" t="inlineStr">
        <is>
          <t>休日</t>
        </is>
      </c>
      <c r="C191" s="10" t="inlineStr">
        <is>
          <t>本線</t>
        </is>
      </c>
      <c r="D191" s="10" t="inlineStr">
        <is>
          <t>下り</t>
        </is>
      </c>
      <c r="E191" t="inlineStr">
        <is>
          <t>1805</t>
        </is>
      </c>
      <c r="F191" t="inlineStr">
        <is>
          <t>0122</t>
        </is>
      </c>
      <c r="G191" s="10" t="inlineStr">
        <is>
          <t>太秦広隆寺</t>
        </is>
      </c>
      <c r="H191" s="10" t="inlineStr">
        <is>
          <t>発</t>
        </is>
      </c>
      <c r="J191" s="10" t="inlineStr">
        <is>
          <t>営業</t>
        </is>
      </c>
      <c r="L191" t="inlineStr">
        <is>
          <t>18:36:00</t>
        </is>
      </c>
      <c r="M191" t="inlineStr">
        <is>
          <t>18:36:20</t>
        </is>
      </c>
    </row>
    <row r="192" ht="15" customHeight="1" s="37">
      <c r="A192" t="n">
        <v>10</v>
      </c>
      <c r="B192" s="10" t="inlineStr">
        <is>
          <t>休日</t>
        </is>
      </c>
      <c r="C192" s="10" t="inlineStr">
        <is>
          <t>本線</t>
        </is>
      </c>
      <c r="D192" s="10" t="inlineStr">
        <is>
          <t>下り</t>
        </is>
      </c>
      <c r="E192" t="inlineStr">
        <is>
          <t>1805</t>
        </is>
      </c>
      <c r="F192" t="inlineStr">
        <is>
          <t>0122</t>
        </is>
      </c>
      <c r="G192" s="10" t="inlineStr">
        <is>
          <t>帷子ノ辻</t>
        </is>
      </c>
      <c r="H192" s="10" t="inlineStr">
        <is>
          <t>発</t>
        </is>
      </c>
      <c r="J192" s="10" t="inlineStr">
        <is>
          <t>営業</t>
        </is>
      </c>
      <c r="L192" t="inlineStr">
        <is>
          <t>18:38:20</t>
        </is>
      </c>
      <c r="M192" t="inlineStr">
        <is>
          <t>18:39:40</t>
        </is>
      </c>
    </row>
    <row r="193" ht="15" customHeight="1" s="37">
      <c r="A193" t="n">
        <v>10</v>
      </c>
      <c r="B193" s="10" t="inlineStr">
        <is>
          <t>休日</t>
        </is>
      </c>
      <c r="C193" s="10" t="inlineStr">
        <is>
          <t>本線</t>
        </is>
      </c>
      <c r="D193" s="10" t="inlineStr">
        <is>
          <t>下り</t>
        </is>
      </c>
      <c r="E193" t="inlineStr">
        <is>
          <t>1805</t>
        </is>
      </c>
      <c r="F193" t="inlineStr">
        <is>
          <t>0122</t>
        </is>
      </c>
      <c r="G193" s="10" t="inlineStr">
        <is>
          <t>有栖川</t>
        </is>
      </c>
      <c r="H193" s="10" t="inlineStr">
        <is>
          <t>発</t>
        </is>
      </c>
      <c r="J193" s="10" t="inlineStr">
        <is>
          <t>営業</t>
        </is>
      </c>
      <c r="L193" t="inlineStr">
        <is>
          <t>18:40:50</t>
        </is>
      </c>
      <c r="M193" t="inlineStr">
        <is>
          <t>18:41:15</t>
        </is>
      </c>
    </row>
    <row r="194" ht="15" customHeight="1" s="37">
      <c r="A194" t="n">
        <v>10</v>
      </c>
      <c r="B194" s="10" t="inlineStr">
        <is>
          <t>休日</t>
        </is>
      </c>
      <c r="C194" s="10" t="inlineStr">
        <is>
          <t>本線</t>
        </is>
      </c>
      <c r="D194" s="10" t="inlineStr">
        <is>
          <t>下り</t>
        </is>
      </c>
      <c r="E194" t="inlineStr">
        <is>
          <t>1805</t>
        </is>
      </c>
      <c r="F194" t="inlineStr">
        <is>
          <t>0122</t>
        </is>
      </c>
      <c r="G194" s="10" t="inlineStr">
        <is>
          <t>車折</t>
        </is>
      </c>
      <c r="H194" s="10" t="inlineStr">
        <is>
          <t>発</t>
        </is>
      </c>
      <c r="J194" s="10" t="inlineStr">
        <is>
          <t>営業</t>
        </is>
      </c>
      <c r="L194" t="inlineStr">
        <is>
          <t>18:42:40</t>
        </is>
      </c>
      <c r="M194" t="inlineStr">
        <is>
          <t>18:43:05</t>
        </is>
      </c>
    </row>
    <row r="195" ht="15" customHeight="1" s="37">
      <c r="A195" t="n">
        <v>10</v>
      </c>
      <c r="B195" s="10" t="inlineStr">
        <is>
          <t>休日</t>
        </is>
      </c>
      <c r="C195" s="10" t="inlineStr">
        <is>
          <t>本線</t>
        </is>
      </c>
      <c r="D195" s="10" t="inlineStr">
        <is>
          <t>下り</t>
        </is>
      </c>
      <c r="E195" t="inlineStr">
        <is>
          <t>1805</t>
        </is>
      </c>
      <c r="F195" t="inlineStr">
        <is>
          <t>0122</t>
        </is>
      </c>
      <c r="G195" s="10" t="inlineStr">
        <is>
          <t>鹿王院</t>
        </is>
      </c>
      <c r="H195" s="10" t="inlineStr">
        <is>
          <t>発</t>
        </is>
      </c>
      <c r="J195" s="10" t="inlineStr">
        <is>
          <t>営業</t>
        </is>
      </c>
      <c r="L195" t="inlineStr">
        <is>
          <t>18:44:00</t>
        </is>
      </c>
      <c r="M195" t="inlineStr">
        <is>
          <t>18:44:25</t>
        </is>
      </c>
    </row>
    <row r="196" ht="15" customHeight="1" s="37">
      <c r="A196" t="n">
        <v>10</v>
      </c>
      <c r="B196" s="10" t="inlineStr">
        <is>
          <t>休日</t>
        </is>
      </c>
      <c r="C196" s="10" t="inlineStr">
        <is>
          <t>本線</t>
        </is>
      </c>
      <c r="D196" s="10" t="inlineStr">
        <is>
          <t>下り</t>
        </is>
      </c>
      <c r="E196" t="inlineStr">
        <is>
          <t>1805</t>
        </is>
      </c>
      <c r="F196" t="inlineStr">
        <is>
          <t>0122</t>
        </is>
      </c>
      <c r="G196" s="10" t="inlineStr">
        <is>
          <t>嵯峨</t>
        </is>
      </c>
      <c r="H196" s="10" t="inlineStr">
        <is>
          <t>発</t>
        </is>
      </c>
      <c r="J196" s="10" t="inlineStr">
        <is>
          <t>営業</t>
        </is>
      </c>
      <c r="L196" t="inlineStr">
        <is>
          <t>18:45:30</t>
        </is>
      </c>
      <c r="M196" t="inlineStr">
        <is>
          <t>18:45:55</t>
        </is>
      </c>
    </row>
    <row r="197" ht="15" customHeight="1" s="37">
      <c r="A197" t="n">
        <v>10</v>
      </c>
      <c r="B197" s="10" t="inlineStr">
        <is>
          <t>休日</t>
        </is>
      </c>
      <c r="C197" s="10" t="inlineStr">
        <is>
          <t>本線</t>
        </is>
      </c>
      <c r="D197" s="10" t="inlineStr">
        <is>
          <t>下り</t>
        </is>
      </c>
      <c r="E197" t="inlineStr">
        <is>
          <t>1805</t>
        </is>
      </c>
      <c r="F197" t="inlineStr">
        <is>
          <t>0122</t>
        </is>
      </c>
      <c r="G197" s="10" t="inlineStr">
        <is>
          <t>嵐山</t>
        </is>
      </c>
      <c r="H197" s="10" t="inlineStr">
        <is>
          <t>着</t>
        </is>
      </c>
      <c r="J197" s="10" t="inlineStr">
        <is>
          <t>営業</t>
        </is>
      </c>
      <c r="L197" t="inlineStr">
        <is>
          <t>18:47:00</t>
        </is>
      </c>
      <c r="N197" t="inlineStr">
        <is>
          <t>○</t>
        </is>
      </c>
      <c r="Q197" t="inlineStr">
        <is>
          <t>1</t>
        </is>
      </c>
    </row>
    <row r="198" ht="15" customHeight="1" s="37">
      <c r="A198" t="n">
        <v>10</v>
      </c>
      <c r="B198" s="10" t="inlineStr">
        <is>
          <t>休日</t>
        </is>
      </c>
      <c r="C198" s="10" t="inlineStr">
        <is>
          <t>本線</t>
        </is>
      </c>
      <c r="D198" s="10" t="inlineStr">
        <is>
          <t>上り</t>
        </is>
      </c>
      <c r="E198" t="inlineStr">
        <is>
          <t>1812</t>
        </is>
      </c>
      <c r="F198" t="inlineStr">
        <is>
          <t>2221</t>
        </is>
      </c>
      <c r="G198" s="10" t="inlineStr">
        <is>
          <t>嵐山</t>
        </is>
      </c>
      <c r="H198" s="10" t="inlineStr">
        <is>
          <t>発</t>
        </is>
      </c>
      <c r="J198" s="10" t="inlineStr">
        <is>
          <t>営業</t>
        </is>
      </c>
      <c r="M198" t="inlineStr">
        <is>
          <t>18:53:00</t>
        </is>
      </c>
      <c r="Q198" t="inlineStr">
        <is>
          <t>1</t>
        </is>
      </c>
    </row>
    <row r="199" ht="15" customHeight="1" s="37">
      <c r="A199" t="n">
        <v>10</v>
      </c>
      <c r="B199" s="10" t="inlineStr">
        <is>
          <t>休日</t>
        </is>
      </c>
      <c r="C199" s="10" t="inlineStr">
        <is>
          <t>本線</t>
        </is>
      </c>
      <c r="D199" s="10" t="inlineStr">
        <is>
          <t>上り</t>
        </is>
      </c>
      <c r="E199" t="inlineStr">
        <is>
          <t>1812</t>
        </is>
      </c>
      <c r="F199" t="inlineStr">
        <is>
          <t>2221</t>
        </is>
      </c>
      <c r="G199" s="10" t="inlineStr">
        <is>
          <t>嵯峨</t>
        </is>
      </c>
      <c r="H199" s="10" t="inlineStr">
        <is>
          <t>発</t>
        </is>
      </c>
      <c r="J199" s="10" t="inlineStr">
        <is>
          <t>営業</t>
        </is>
      </c>
      <c r="L199" t="inlineStr">
        <is>
          <t>18:53:55</t>
        </is>
      </c>
      <c r="M199" t="inlineStr">
        <is>
          <t>18:54:20</t>
        </is>
      </c>
    </row>
    <row r="200" ht="15" customHeight="1" s="37">
      <c r="A200" t="n">
        <v>10</v>
      </c>
      <c r="B200" s="10" t="inlineStr">
        <is>
          <t>休日</t>
        </is>
      </c>
      <c r="C200" s="10" t="inlineStr">
        <is>
          <t>本線</t>
        </is>
      </c>
      <c r="D200" s="10" t="inlineStr">
        <is>
          <t>上り</t>
        </is>
      </c>
      <c r="E200" t="inlineStr">
        <is>
          <t>1812</t>
        </is>
      </c>
      <c r="F200" t="inlineStr">
        <is>
          <t>2221</t>
        </is>
      </c>
      <c r="G200" s="10" t="inlineStr">
        <is>
          <t>鹿王院</t>
        </is>
      </c>
      <c r="H200" s="10" t="inlineStr">
        <is>
          <t>発</t>
        </is>
      </c>
      <c r="J200" s="10" t="inlineStr">
        <is>
          <t>営業</t>
        </is>
      </c>
      <c r="L200" t="inlineStr">
        <is>
          <t>18:55:25</t>
        </is>
      </c>
      <c r="M200" t="inlineStr">
        <is>
          <t>18:55:45</t>
        </is>
      </c>
    </row>
    <row r="201" ht="15" customHeight="1" s="37">
      <c r="A201" t="n">
        <v>10</v>
      </c>
      <c r="B201" s="10" t="inlineStr">
        <is>
          <t>休日</t>
        </is>
      </c>
      <c r="C201" s="10" t="inlineStr">
        <is>
          <t>本線</t>
        </is>
      </c>
      <c r="D201" s="10" t="inlineStr">
        <is>
          <t>上り</t>
        </is>
      </c>
      <c r="E201" t="inlineStr">
        <is>
          <t>1812</t>
        </is>
      </c>
      <c r="F201" t="inlineStr">
        <is>
          <t>2221</t>
        </is>
      </c>
      <c r="G201" s="10" t="inlineStr">
        <is>
          <t>車折</t>
        </is>
      </c>
      <c r="H201" s="10" t="inlineStr">
        <is>
          <t>発</t>
        </is>
      </c>
      <c r="J201" s="10" t="inlineStr">
        <is>
          <t>営業</t>
        </is>
      </c>
      <c r="L201" t="inlineStr">
        <is>
          <t>18:56:40</t>
        </is>
      </c>
      <c r="M201" t="inlineStr">
        <is>
          <t>18:57:10</t>
        </is>
      </c>
    </row>
    <row r="202" ht="15" customHeight="1" s="37">
      <c r="A202" t="n">
        <v>10</v>
      </c>
      <c r="B202" s="10" t="inlineStr">
        <is>
          <t>休日</t>
        </is>
      </c>
      <c r="C202" s="10" t="inlineStr">
        <is>
          <t>本線</t>
        </is>
      </c>
      <c r="D202" s="10" t="inlineStr">
        <is>
          <t>上り</t>
        </is>
      </c>
      <c r="E202" t="inlineStr">
        <is>
          <t>1812</t>
        </is>
      </c>
      <c r="F202" t="inlineStr">
        <is>
          <t>2221</t>
        </is>
      </c>
      <c r="G202" s="10" t="inlineStr">
        <is>
          <t>有栖川</t>
        </is>
      </c>
      <c r="H202" s="10" t="inlineStr">
        <is>
          <t>発</t>
        </is>
      </c>
      <c r="J202" s="10" t="inlineStr">
        <is>
          <t>営業</t>
        </is>
      </c>
      <c r="L202" t="inlineStr">
        <is>
          <t>18:58:35</t>
        </is>
      </c>
      <c r="M202" t="inlineStr">
        <is>
          <t>18:58:55</t>
        </is>
      </c>
    </row>
    <row r="203" ht="15" customHeight="1" s="37">
      <c r="A203" t="n">
        <v>10</v>
      </c>
      <c r="B203" s="10" t="inlineStr">
        <is>
          <t>休日</t>
        </is>
      </c>
      <c r="C203" s="10" t="inlineStr">
        <is>
          <t>本線</t>
        </is>
      </c>
      <c r="D203" s="10" t="inlineStr">
        <is>
          <t>上り</t>
        </is>
      </c>
      <c r="E203" t="inlineStr">
        <is>
          <t>1812</t>
        </is>
      </c>
      <c r="F203" t="inlineStr">
        <is>
          <t>2221</t>
        </is>
      </c>
      <c r="G203" s="10" t="inlineStr">
        <is>
          <t>帷子ノ辻</t>
        </is>
      </c>
      <c r="H203" s="10" t="inlineStr">
        <is>
          <t>発</t>
        </is>
      </c>
      <c r="J203" s="10" t="inlineStr">
        <is>
          <t>営業</t>
        </is>
      </c>
      <c r="L203" t="inlineStr">
        <is>
          <t>19:00:10</t>
        </is>
      </c>
      <c r="M203" t="inlineStr">
        <is>
          <t>19:01:15</t>
        </is>
      </c>
    </row>
    <row r="204" ht="15" customHeight="1" s="37">
      <c r="A204" t="n">
        <v>10</v>
      </c>
      <c r="B204" s="10" t="inlineStr">
        <is>
          <t>休日</t>
        </is>
      </c>
      <c r="C204" s="10" t="inlineStr">
        <is>
          <t>本線</t>
        </is>
      </c>
      <c r="D204" s="10" t="inlineStr">
        <is>
          <t>上り</t>
        </is>
      </c>
      <c r="E204" t="inlineStr">
        <is>
          <t>1812</t>
        </is>
      </c>
      <c r="F204" t="inlineStr">
        <is>
          <t>2221</t>
        </is>
      </c>
      <c r="G204" s="10" t="inlineStr">
        <is>
          <t>太秦広隆寺</t>
        </is>
      </c>
      <c r="H204" s="10" t="inlineStr">
        <is>
          <t>発</t>
        </is>
      </c>
      <c r="J204" s="10" t="inlineStr">
        <is>
          <t>営業</t>
        </is>
      </c>
      <c r="L204" t="inlineStr">
        <is>
          <t>19:03:25</t>
        </is>
      </c>
      <c r="M204" t="inlineStr">
        <is>
          <t>19:03:45</t>
        </is>
      </c>
    </row>
    <row r="205" ht="15" customHeight="1" s="37">
      <c r="A205" t="n">
        <v>10</v>
      </c>
      <c r="B205" s="10" t="inlineStr">
        <is>
          <t>休日</t>
        </is>
      </c>
      <c r="C205" s="10" t="inlineStr">
        <is>
          <t>本線</t>
        </is>
      </c>
      <c r="D205" s="10" t="inlineStr">
        <is>
          <t>上り</t>
        </is>
      </c>
      <c r="E205" t="inlineStr">
        <is>
          <t>1812</t>
        </is>
      </c>
      <c r="F205" t="inlineStr">
        <is>
          <t>2221</t>
        </is>
      </c>
      <c r="G205" s="10" t="inlineStr">
        <is>
          <t>蚕ノ社</t>
        </is>
      </c>
      <c r="H205" s="10" t="inlineStr">
        <is>
          <t>発</t>
        </is>
      </c>
      <c r="J205" s="10" t="inlineStr">
        <is>
          <t>営業</t>
        </is>
      </c>
      <c r="L205" t="inlineStr">
        <is>
          <t>19:05:00</t>
        </is>
      </c>
      <c r="M205" t="inlineStr">
        <is>
          <t>19:05:20</t>
        </is>
      </c>
    </row>
    <row r="206" ht="15" customHeight="1" s="37">
      <c r="A206" t="n">
        <v>10</v>
      </c>
      <c r="B206" s="10" t="inlineStr">
        <is>
          <t>休日</t>
        </is>
      </c>
      <c r="C206" s="10" t="inlineStr">
        <is>
          <t>本線</t>
        </is>
      </c>
      <c r="D206" s="10" t="inlineStr">
        <is>
          <t>上り</t>
        </is>
      </c>
      <c r="E206" t="inlineStr">
        <is>
          <t>1812</t>
        </is>
      </c>
      <c r="F206" t="inlineStr">
        <is>
          <t>2221</t>
        </is>
      </c>
      <c r="G206" s="10" t="inlineStr">
        <is>
          <t>天神川</t>
        </is>
      </c>
      <c r="H206" s="10" t="inlineStr">
        <is>
          <t>発</t>
        </is>
      </c>
      <c r="J206" s="10" t="inlineStr">
        <is>
          <t>営業</t>
        </is>
      </c>
      <c r="L206" t="inlineStr">
        <is>
          <t>19:06:05</t>
        </is>
      </c>
      <c r="M206" t="inlineStr">
        <is>
          <t>19:06:50</t>
        </is>
      </c>
    </row>
    <row r="207" ht="15" customHeight="1" s="37">
      <c r="A207" t="n">
        <v>10</v>
      </c>
      <c r="B207" s="10" t="inlineStr">
        <is>
          <t>休日</t>
        </is>
      </c>
      <c r="C207" s="10" t="inlineStr">
        <is>
          <t>本線</t>
        </is>
      </c>
      <c r="D207" s="10" t="inlineStr">
        <is>
          <t>上り</t>
        </is>
      </c>
      <c r="E207" t="inlineStr">
        <is>
          <t>1812</t>
        </is>
      </c>
      <c r="F207" t="inlineStr">
        <is>
          <t>2221</t>
        </is>
      </c>
      <c r="G207" s="10" t="inlineStr">
        <is>
          <t>山ノ内</t>
        </is>
      </c>
      <c r="H207" s="10" t="inlineStr">
        <is>
          <t>発</t>
        </is>
      </c>
      <c r="J207" s="10" t="inlineStr">
        <is>
          <t>営業</t>
        </is>
      </c>
      <c r="L207" t="inlineStr">
        <is>
          <t>19:08:40</t>
        </is>
      </c>
      <c r="M207" t="inlineStr">
        <is>
          <t>19:09:05</t>
        </is>
      </c>
    </row>
    <row r="208" ht="15" customHeight="1" s="37">
      <c r="A208" t="n">
        <v>10</v>
      </c>
      <c r="B208" s="10" t="inlineStr">
        <is>
          <t>休日</t>
        </is>
      </c>
      <c r="C208" s="10" t="inlineStr">
        <is>
          <t>本線</t>
        </is>
      </c>
      <c r="D208" s="10" t="inlineStr">
        <is>
          <t>上り</t>
        </is>
      </c>
      <c r="E208" t="inlineStr">
        <is>
          <t>1812</t>
        </is>
      </c>
      <c r="F208" t="inlineStr">
        <is>
          <t>2221</t>
        </is>
      </c>
      <c r="G208" s="10" t="inlineStr">
        <is>
          <t>西大路三条</t>
        </is>
      </c>
      <c r="H208" s="10" t="inlineStr">
        <is>
          <t>発</t>
        </is>
      </c>
      <c r="J208" s="10" t="inlineStr">
        <is>
          <t>営業</t>
        </is>
      </c>
      <c r="L208" t="inlineStr">
        <is>
          <t>19:10:55</t>
        </is>
      </c>
      <c r="M208" t="inlineStr">
        <is>
          <t>19:11:15</t>
        </is>
      </c>
    </row>
    <row r="209" ht="15" customHeight="1" s="37">
      <c r="A209" t="n">
        <v>10</v>
      </c>
      <c r="B209" s="10" t="inlineStr">
        <is>
          <t>休日</t>
        </is>
      </c>
      <c r="C209" s="10" t="inlineStr">
        <is>
          <t>本線</t>
        </is>
      </c>
      <c r="D209" s="10" t="inlineStr">
        <is>
          <t>上り</t>
        </is>
      </c>
      <c r="E209" t="inlineStr">
        <is>
          <t>1812</t>
        </is>
      </c>
      <c r="F209" t="inlineStr">
        <is>
          <t>2221</t>
        </is>
      </c>
      <c r="G209" s="10" t="inlineStr">
        <is>
          <t>西院</t>
        </is>
      </c>
      <c r="H209" s="10" t="inlineStr">
        <is>
          <t>発</t>
        </is>
      </c>
      <c r="J209" s="10" t="inlineStr">
        <is>
          <t>営業</t>
        </is>
      </c>
      <c r="L209" t="inlineStr">
        <is>
          <t>19:13:10</t>
        </is>
      </c>
      <c r="M209" t="inlineStr">
        <is>
          <t>19:14:05</t>
        </is>
      </c>
    </row>
    <row r="210" ht="15" customHeight="1" s="37">
      <c r="A210" t="n">
        <v>10</v>
      </c>
      <c r="B210" s="10" t="inlineStr">
        <is>
          <t>休日</t>
        </is>
      </c>
      <c r="C210" s="10" t="inlineStr">
        <is>
          <t>本線</t>
        </is>
      </c>
      <c r="D210" s="10" t="inlineStr">
        <is>
          <t>上り</t>
        </is>
      </c>
      <c r="E210" t="inlineStr">
        <is>
          <t>1812</t>
        </is>
      </c>
      <c r="F210" t="inlineStr">
        <is>
          <t>2221</t>
        </is>
      </c>
      <c r="G210" s="10" t="inlineStr">
        <is>
          <t>四条大宮</t>
        </is>
      </c>
      <c r="H210" s="10" t="inlineStr">
        <is>
          <t>着</t>
        </is>
      </c>
      <c r="J210" s="10" t="inlineStr">
        <is>
          <t>営業</t>
        </is>
      </c>
      <c r="L210" t="inlineStr">
        <is>
          <t>19:17:00</t>
        </is>
      </c>
      <c r="Q210" t="inlineStr">
        <is>
          <t>1</t>
        </is>
      </c>
    </row>
    <row r="211" ht="15" customHeight="1" s="37">
      <c r="A211" t="n">
        <v>10</v>
      </c>
      <c r="B211" s="10" t="inlineStr">
        <is>
          <t>休日</t>
        </is>
      </c>
      <c r="C211" s="10" t="inlineStr">
        <is>
          <t>本線</t>
        </is>
      </c>
      <c r="D211" s="10" t="inlineStr">
        <is>
          <t>下り</t>
        </is>
      </c>
      <c r="E211" t="inlineStr">
        <is>
          <t>1905</t>
        </is>
      </c>
      <c r="F211" t="inlineStr">
        <is>
          <t>0122</t>
        </is>
      </c>
      <c r="G211" s="10" t="inlineStr">
        <is>
          <t>四条大宮</t>
        </is>
      </c>
      <c r="H211" s="10" t="inlineStr">
        <is>
          <t>発</t>
        </is>
      </c>
      <c r="J211" s="10" t="inlineStr">
        <is>
          <t>営業</t>
        </is>
      </c>
      <c r="M211" t="inlineStr">
        <is>
          <t>19:23:00</t>
        </is>
      </c>
      <c r="Q211" t="inlineStr">
        <is>
          <t>1</t>
        </is>
      </c>
    </row>
    <row r="212" ht="15" customHeight="1" s="37">
      <c r="A212" t="n">
        <v>10</v>
      </c>
      <c r="B212" s="10" t="inlineStr">
        <is>
          <t>休日</t>
        </is>
      </c>
      <c r="C212" s="10" t="inlineStr">
        <is>
          <t>本線</t>
        </is>
      </c>
      <c r="D212" s="10" t="inlineStr">
        <is>
          <t>下り</t>
        </is>
      </c>
      <c r="E212" t="inlineStr">
        <is>
          <t>1905</t>
        </is>
      </c>
      <c r="F212" t="inlineStr">
        <is>
          <t>0122</t>
        </is>
      </c>
      <c r="G212" s="10" t="inlineStr">
        <is>
          <t>西院</t>
        </is>
      </c>
      <c r="H212" s="10" t="inlineStr">
        <is>
          <t>発</t>
        </is>
      </c>
      <c r="J212" s="10" t="inlineStr">
        <is>
          <t>営業</t>
        </is>
      </c>
      <c r="L212" t="inlineStr">
        <is>
          <t>19:25:50</t>
        </is>
      </c>
      <c r="M212" t="inlineStr">
        <is>
          <t>19:26:20</t>
        </is>
      </c>
    </row>
    <row r="213" ht="15" customHeight="1" s="37">
      <c r="A213" t="n">
        <v>10</v>
      </c>
      <c r="B213" s="10" t="inlineStr">
        <is>
          <t>休日</t>
        </is>
      </c>
      <c r="C213" s="10" t="inlineStr">
        <is>
          <t>本線</t>
        </is>
      </c>
      <c r="D213" s="10" t="inlineStr">
        <is>
          <t>下り</t>
        </is>
      </c>
      <c r="E213" t="inlineStr">
        <is>
          <t>1905</t>
        </is>
      </c>
      <c r="F213" t="inlineStr">
        <is>
          <t>0122</t>
        </is>
      </c>
      <c r="G213" s="10" t="inlineStr">
        <is>
          <t>西大路三条</t>
        </is>
      </c>
      <c r="H213" s="10" t="inlineStr">
        <is>
          <t>発</t>
        </is>
      </c>
      <c r="J213" s="10" t="inlineStr">
        <is>
          <t>営業</t>
        </is>
      </c>
      <c r="L213" t="inlineStr">
        <is>
          <t>19:28:10</t>
        </is>
      </c>
      <c r="M213" t="inlineStr">
        <is>
          <t>19:28:30</t>
        </is>
      </c>
    </row>
    <row r="214" ht="15" customHeight="1" s="37">
      <c r="A214" t="n">
        <v>10</v>
      </c>
      <c r="B214" s="10" t="inlineStr">
        <is>
          <t>休日</t>
        </is>
      </c>
      <c r="C214" s="10" t="inlineStr">
        <is>
          <t>本線</t>
        </is>
      </c>
      <c r="D214" s="10" t="inlineStr">
        <is>
          <t>下り</t>
        </is>
      </c>
      <c r="E214" t="inlineStr">
        <is>
          <t>1905</t>
        </is>
      </c>
      <c r="F214" t="inlineStr">
        <is>
          <t>0122</t>
        </is>
      </c>
      <c r="G214" s="10" t="inlineStr">
        <is>
          <t>山ノ内</t>
        </is>
      </c>
      <c r="H214" s="10" t="inlineStr">
        <is>
          <t>発</t>
        </is>
      </c>
      <c r="J214" s="10" t="inlineStr">
        <is>
          <t>営業</t>
        </is>
      </c>
      <c r="L214" t="inlineStr">
        <is>
          <t>19:30:25</t>
        </is>
      </c>
      <c r="M214" t="inlineStr">
        <is>
          <t>19:30:50</t>
        </is>
      </c>
    </row>
    <row r="215" ht="15" customHeight="1" s="37">
      <c r="A215" t="n">
        <v>10</v>
      </c>
      <c r="B215" s="10" t="inlineStr">
        <is>
          <t>休日</t>
        </is>
      </c>
      <c r="C215" s="10" t="inlineStr">
        <is>
          <t>本線</t>
        </is>
      </c>
      <c r="D215" s="10" t="inlineStr">
        <is>
          <t>下り</t>
        </is>
      </c>
      <c r="E215" t="inlineStr">
        <is>
          <t>1905</t>
        </is>
      </c>
      <c r="F215" t="inlineStr">
        <is>
          <t>0122</t>
        </is>
      </c>
      <c r="G215" s="10" t="inlineStr">
        <is>
          <t>天神川</t>
        </is>
      </c>
      <c r="H215" s="10" t="inlineStr">
        <is>
          <t>発</t>
        </is>
      </c>
      <c r="J215" s="10" t="inlineStr">
        <is>
          <t>営業</t>
        </is>
      </c>
      <c r="L215" t="inlineStr">
        <is>
          <t>19:32:50</t>
        </is>
      </c>
      <c r="M215" t="inlineStr">
        <is>
          <t>19:33:30</t>
        </is>
      </c>
    </row>
    <row r="216" ht="15" customHeight="1" s="37">
      <c r="A216" t="n">
        <v>10</v>
      </c>
      <c r="B216" s="10" t="inlineStr">
        <is>
          <t>休日</t>
        </is>
      </c>
      <c r="C216" s="10" t="inlineStr">
        <is>
          <t>本線</t>
        </is>
      </c>
      <c r="D216" s="10" t="inlineStr">
        <is>
          <t>下り</t>
        </is>
      </c>
      <c r="E216" t="inlineStr">
        <is>
          <t>1905</t>
        </is>
      </c>
      <c r="F216" t="inlineStr">
        <is>
          <t>0122</t>
        </is>
      </c>
      <c r="G216" s="10" t="inlineStr">
        <is>
          <t>蚕ノ社</t>
        </is>
      </c>
      <c r="H216" s="10" t="inlineStr">
        <is>
          <t>発</t>
        </is>
      </c>
      <c r="J216" s="10" t="inlineStr">
        <is>
          <t>営業</t>
        </is>
      </c>
      <c r="L216" t="inlineStr">
        <is>
          <t>19:34:20</t>
        </is>
      </c>
      <c r="M216" t="inlineStr">
        <is>
          <t>19:34:40</t>
        </is>
      </c>
    </row>
    <row r="217" ht="15" customHeight="1" s="37">
      <c r="A217" t="n">
        <v>10</v>
      </c>
      <c r="B217" s="10" t="inlineStr">
        <is>
          <t>休日</t>
        </is>
      </c>
      <c r="C217" s="10" t="inlineStr">
        <is>
          <t>本線</t>
        </is>
      </c>
      <c r="D217" s="10" t="inlineStr">
        <is>
          <t>下り</t>
        </is>
      </c>
      <c r="E217" t="inlineStr">
        <is>
          <t>1905</t>
        </is>
      </c>
      <c r="F217" t="inlineStr">
        <is>
          <t>0122</t>
        </is>
      </c>
      <c r="G217" s="10" t="inlineStr">
        <is>
          <t>太秦広隆寺</t>
        </is>
      </c>
      <c r="H217" s="10" t="inlineStr">
        <is>
          <t>発</t>
        </is>
      </c>
      <c r="J217" s="10" t="inlineStr">
        <is>
          <t>営業</t>
        </is>
      </c>
      <c r="L217" t="inlineStr">
        <is>
          <t>19:36:00</t>
        </is>
      </c>
      <c r="M217" t="inlineStr">
        <is>
          <t>19:36:20</t>
        </is>
      </c>
    </row>
    <row r="218" ht="15" customHeight="1" s="37">
      <c r="A218" t="n">
        <v>10</v>
      </c>
      <c r="B218" s="10" t="inlineStr">
        <is>
          <t>休日</t>
        </is>
      </c>
      <c r="C218" s="10" t="inlineStr">
        <is>
          <t>本線</t>
        </is>
      </c>
      <c r="D218" s="10" t="inlineStr">
        <is>
          <t>下り</t>
        </is>
      </c>
      <c r="E218" t="inlineStr">
        <is>
          <t>1905</t>
        </is>
      </c>
      <c r="F218" t="inlineStr">
        <is>
          <t>0122</t>
        </is>
      </c>
      <c r="G218" s="10" t="inlineStr">
        <is>
          <t>帷子ノ辻</t>
        </is>
      </c>
      <c r="H218" s="10" t="inlineStr">
        <is>
          <t>発</t>
        </is>
      </c>
      <c r="J218" s="10" t="inlineStr">
        <is>
          <t>営業</t>
        </is>
      </c>
      <c r="L218" t="inlineStr">
        <is>
          <t>19:38:20</t>
        </is>
      </c>
      <c r="M218" t="inlineStr">
        <is>
          <t>19:39:40</t>
        </is>
      </c>
    </row>
    <row r="219" ht="15" customHeight="1" s="37">
      <c r="A219" t="n">
        <v>10</v>
      </c>
      <c r="B219" s="10" t="inlineStr">
        <is>
          <t>休日</t>
        </is>
      </c>
      <c r="C219" s="10" t="inlineStr">
        <is>
          <t>本線</t>
        </is>
      </c>
      <c r="D219" s="10" t="inlineStr">
        <is>
          <t>下り</t>
        </is>
      </c>
      <c r="E219" t="inlineStr">
        <is>
          <t>1905</t>
        </is>
      </c>
      <c r="F219" t="inlineStr">
        <is>
          <t>0122</t>
        </is>
      </c>
      <c r="G219" s="10" t="inlineStr">
        <is>
          <t>有栖川</t>
        </is>
      </c>
      <c r="H219" s="10" t="inlineStr">
        <is>
          <t>発</t>
        </is>
      </c>
      <c r="J219" s="10" t="inlineStr">
        <is>
          <t>営業</t>
        </is>
      </c>
      <c r="L219" t="inlineStr">
        <is>
          <t>19:40:50</t>
        </is>
      </c>
      <c r="M219" t="inlineStr">
        <is>
          <t>19:41:15</t>
        </is>
      </c>
    </row>
    <row r="220" ht="15" customHeight="1" s="37">
      <c r="A220" t="n">
        <v>10</v>
      </c>
      <c r="B220" s="10" t="inlineStr">
        <is>
          <t>休日</t>
        </is>
      </c>
      <c r="C220" s="10" t="inlineStr">
        <is>
          <t>本線</t>
        </is>
      </c>
      <c r="D220" s="10" t="inlineStr">
        <is>
          <t>下り</t>
        </is>
      </c>
      <c r="E220" t="inlineStr">
        <is>
          <t>1905</t>
        </is>
      </c>
      <c r="F220" t="inlineStr">
        <is>
          <t>0122</t>
        </is>
      </c>
      <c r="G220" s="10" t="inlineStr">
        <is>
          <t>車折</t>
        </is>
      </c>
      <c r="H220" s="10" t="inlineStr">
        <is>
          <t>発</t>
        </is>
      </c>
      <c r="J220" s="10" t="inlineStr">
        <is>
          <t>営業</t>
        </is>
      </c>
      <c r="L220" t="inlineStr">
        <is>
          <t>19:42:40</t>
        </is>
      </c>
      <c r="M220" t="inlineStr">
        <is>
          <t>19:43:05</t>
        </is>
      </c>
    </row>
    <row r="221" ht="15" customHeight="1" s="37">
      <c r="A221" t="n">
        <v>10</v>
      </c>
      <c r="B221" s="10" t="inlineStr">
        <is>
          <t>休日</t>
        </is>
      </c>
      <c r="C221" s="10" t="inlineStr">
        <is>
          <t>本線</t>
        </is>
      </c>
      <c r="D221" s="10" t="inlineStr">
        <is>
          <t>下り</t>
        </is>
      </c>
      <c r="E221" t="inlineStr">
        <is>
          <t>1905</t>
        </is>
      </c>
      <c r="F221" t="inlineStr">
        <is>
          <t>0122</t>
        </is>
      </c>
      <c r="G221" s="10" t="inlineStr">
        <is>
          <t>鹿王院</t>
        </is>
      </c>
      <c r="H221" s="10" t="inlineStr">
        <is>
          <t>発</t>
        </is>
      </c>
      <c r="J221" s="10" t="inlineStr">
        <is>
          <t>営業</t>
        </is>
      </c>
      <c r="L221" t="inlineStr">
        <is>
          <t>19:44:00</t>
        </is>
      </c>
      <c r="M221" t="inlineStr">
        <is>
          <t>19:44:25</t>
        </is>
      </c>
    </row>
    <row r="222" ht="15" customHeight="1" s="37">
      <c r="A222" t="n">
        <v>10</v>
      </c>
      <c r="B222" s="10" t="inlineStr">
        <is>
          <t>休日</t>
        </is>
      </c>
      <c r="C222" s="10" t="inlineStr">
        <is>
          <t>本線</t>
        </is>
      </c>
      <c r="D222" s="10" t="inlineStr">
        <is>
          <t>下り</t>
        </is>
      </c>
      <c r="E222" t="inlineStr">
        <is>
          <t>1905</t>
        </is>
      </c>
      <c r="F222" t="inlineStr">
        <is>
          <t>0122</t>
        </is>
      </c>
      <c r="G222" s="10" t="inlineStr">
        <is>
          <t>嵯峨</t>
        </is>
      </c>
      <c r="H222" s="10" t="inlineStr">
        <is>
          <t>発</t>
        </is>
      </c>
      <c r="J222" s="10" t="inlineStr">
        <is>
          <t>営業</t>
        </is>
      </c>
      <c r="L222" t="inlineStr">
        <is>
          <t>19:45:30</t>
        </is>
      </c>
      <c r="M222" t="inlineStr">
        <is>
          <t>19:45:55</t>
        </is>
      </c>
    </row>
    <row r="223" ht="15" customHeight="1" s="37">
      <c r="A223" t="n">
        <v>10</v>
      </c>
      <c r="B223" s="10" t="inlineStr">
        <is>
          <t>休日</t>
        </is>
      </c>
      <c r="C223" s="10" t="inlineStr">
        <is>
          <t>本線</t>
        </is>
      </c>
      <c r="D223" s="10" t="inlineStr">
        <is>
          <t>下り</t>
        </is>
      </c>
      <c r="E223" t="inlineStr">
        <is>
          <t>1905</t>
        </is>
      </c>
      <c r="F223" t="inlineStr">
        <is>
          <t>0122</t>
        </is>
      </c>
      <c r="G223" s="10" t="inlineStr">
        <is>
          <t>嵐山</t>
        </is>
      </c>
      <c r="H223" s="10" t="inlineStr">
        <is>
          <t>着</t>
        </is>
      </c>
      <c r="J223" s="10" t="inlineStr">
        <is>
          <t>営業</t>
        </is>
      </c>
      <c r="L223" t="inlineStr">
        <is>
          <t>19:47:00</t>
        </is>
      </c>
      <c r="N223" t="inlineStr">
        <is>
          <t>○</t>
        </is>
      </c>
      <c r="Q223" t="inlineStr">
        <is>
          <t>1</t>
        </is>
      </c>
    </row>
    <row r="224" ht="15" customHeight="1" s="37">
      <c r="A224" t="n">
        <v>10</v>
      </c>
      <c r="B224" s="10" t="inlineStr">
        <is>
          <t>休日</t>
        </is>
      </c>
      <c r="C224" s="10" t="inlineStr">
        <is>
          <t>本線</t>
        </is>
      </c>
      <c r="D224" s="10" t="inlineStr">
        <is>
          <t>上り</t>
        </is>
      </c>
      <c r="E224" t="inlineStr">
        <is>
          <t>1912</t>
        </is>
      </c>
      <c r="F224" t="inlineStr">
        <is>
          <t>0221</t>
        </is>
      </c>
      <c r="G224" s="10" t="inlineStr">
        <is>
          <t>嵐山</t>
        </is>
      </c>
      <c r="H224" s="10" t="inlineStr">
        <is>
          <t>発</t>
        </is>
      </c>
      <c r="J224" s="10" t="inlineStr">
        <is>
          <t>営業</t>
        </is>
      </c>
      <c r="M224" t="inlineStr">
        <is>
          <t>19:53:00</t>
        </is>
      </c>
      <c r="Q224" t="inlineStr">
        <is>
          <t>1</t>
        </is>
      </c>
    </row>
    <row r="225" ht="15" customHeight="1" s="37">
      <c r="A225" t="n">
        <v>10</v>
      </c>
      <c r="B225" s="10" t="inlineStr">
        <is>
          <t>休日</t>
        </is>
      </c>
      <c r="C225" s="10" t="inlineStr">
        <is>
          <t>本線</t>
        </is>
      </c>
      <c r="D225" s="10" t="inlineStr">
        <is>
          <t>上り</t>
        </is>
      </c>
      <c r="E225" t="inlineStr">
        <is>
          <t>1912</t>
        </is>
      </c>
      <c r="F225" t="inlineStr">
        <is>
          <t>0221</t>
        </is>
      </c>
      <c r="G225" s="10" t="inlineStr">
        <is>
          <t>嵯峨</t>
        </is>
      </c>
      <c r="H225" s="10" t="inlineStr">
        <is>
          <t>発</t>
        </is>
      </c>
      <c r="J225" s="10" t="inlineStr">
        <is>
          <t>営業</t>
        </is>
      </c>
      <c r="L225" t="inlineStr">
        <is>
          <t>19:53:55</t>
        </is>
      </c>
      <c r="M225" t="inlineStr">
        <is>
          <t>19:54:20</t>
        </is>
      </c>
    </row>
    <row r="226" ht="15" customHeight="1" s="37">
      <c r="A226" t="n">
        <v>10</v>
      </c>
      <c r="B226" s="10" t="inlineStr">
        <is>
          <t>休日</t>
        </is>
      </c>
      <c r="C226" s="10" t="inlineStr">
        <is>
          <t>本線</t>
        </is>
      </c>
      <c r="D226" s="10" t="inlineStr">
        <is>
          <t>上り</t>
        </is>
      </c>
      <c r="E226" t="inlineStr">
        <is>
          <t>1912</t>
        </is>
      </c>
      <c r="F226" t="inlineStr">
        <is>
          <t>0221</t>
        </is>
      </c>
      <c r="G226" s="10" t="inlineStr">
        <is>
          <t>鹿王院</t>
        </is>
      </c>
      <c r="H226" s="10" t="inlineStr">
        <is>
          <t>発</t>
        </is>
      </c>
      <c r="J226" s="10" t="inlineStr">
        <is>
          <t>営業</t>
        </is>
      </c>
      <c r="L226" t="inlineStr">
        <is>
          <t>19:55:25</t>
        </is>
      </c>
      <c r="M226" t="inlineStr">
        <is>
          <t>19:55:45</t>
        </is>
      </c>
    </row>
    <row r="227" ht="15" customHeight="1" s="37">
      <c r="A227" t="n">
        <v>10</v>
      </c>
      <c r="B227" s="10" t="inlineStr">
        <is>
          <t>休日</t>
        </is>
      </c>
      <c r="C227" s="10" t="inlineStr">
        <is>
          <t>本線</t>
        </is>
      </c>
      <c r="D227" s="10" t="inlineStr">
        <is>
          <t>上り</t>
        </is>
      </c>
      <c r="E227" t="inlineStr">
        <is>
          <t>1912</t>
        </is>
      </c>
      <c r="F227" t="inlineStr">
        <is>
          <t>0221</t>
        </is>
      </c>
      <c r="G227" s="10" t="inlineStr">
        <is>
          <t>車折</t>
        </is>
      </c>
      <c r="H227" s="10" t="inlineStr">
        <is>
          <t>発</t>
        </is>
      </c>
      <c r="J227" s="10" t="inlineStr">
        <is>
          <t>営業</t>
        </is>
      </c>
      <c r="L227" t="inlineStr">
        <is>
          <t>19:56:40</t>
        </is>
      </c>
      <c r="M227" t="inlineStr">
        <is>
          <t>19:57:10</t>
        </is>
      </c>
    </row>
    <row r="228" ht="15" customHeight="1" s="37">
      <c r="A228" t="n">
        <v>10</v>
      </c>
      <c r="B228" s="10" t="inlineStr">
        <is>
          <t>休日</t>
        </is>
      </c>
      <c r="C228" s="10" t="inlineStr">
        <is>
          <t>本線</t>
        </is>
      </c>
      <c r="D228" s="10" t="inlineStr">
        <is>
          <t>上り</t>
        </is>
      </c>
      <c r="E228" t="inlineStr">
        <is>
          <t>1912</t>
        </is>
      </c>
      <c r="F228" t="inlineStr">
        <is>
          <t>0221</t>
        </is>
      </c>
      <c r="G228" s="10" t="inlineStr">
        <is>
          <t>有栖川</t>
        </is>
      </c>
      <c r="H228" s="10" t="inlineStr">
        <is>
          <t>発</t>
        </is>
      </c>
      <c r="J228" s="10" t="inlineStr">
        <is>
          <t>営業</t>
        </is>
      </c>
      <c r="L228" t="inlineStr">
        <is>
          <t>19:58:35</t>
        </is>
      </c>
      <c r="M228" t="inlineStr">
        <is>
          <t>19:58:55</t>
        </is>
      </c>
    </row>
    <row r="229" ht="15" customHeight="1" s="37">
      <c r="A229" t="n">
        <v>10</v>
      </c>
      <c r="B229" s="10" t="inlineStr">
        <is>
          <t>休日</t>
        </is>
      </c>
      <c r="C229" s="10" t="inlineStr">
        <is>
          <t>本線</t>
        </is>
      </c>
      <c r="D229" s="10" t="inlineStr">
        <is>
          <t>上り</t>
        </is>
      </c>
      <c r="E229" t="inlineStr">
        <is>
          <t>1912</t>
        </is>
      </c>
      <c r="F229" t="inlineStr">
        <is>
          <t>0221</t>
        </is>
      </c>
      <c r="G229" s="10" t="inlineStr">
        <is>
          <t>帷子ノ辻</t>
        </is>
      </c>
      <c r="H229" s="10" t="inlineStr">
        <is>
          <t>発</t>
        </is>
      </c>
      <c r="J229" s="10" t="inlineStr">
        <is>
          <t>営業</t>
        </is>
      </c>
      <c r="L229" t="inlineStr">
        <is>
          <t>20:00:10</t>
        </is>
      </c>
      <c r="M229" t="inlineStr">
        <is>
          <t>20:01:15</t>
        </is>
      </c>
    </row>
    <row r="230" ht="15" customHeight="1" s="37">
      <c r="A230" t="n">
        <v>10</v>
      </c>
      <c r="B230" s="10" t="inlineStr">
        <is>
          <t>休日</t>
        </is>
      </c>
      <c r="C230" s="10" t="inlineStr">
        <is>
          <t>本線</t>
        </is>
      </c>
      <c r="D230" s="10" t="inlineStr">
        <is>
          <t>上り</t>
        </is>
      </c>
      <c r="E230" t="inlineStr">
        <is>
          <t>1912</t>
        </is>
      </c>
      <c r="F230" t="inlineStr">
        <is>
          <t>0221</t>
        </is>
      </c>
      <c r="G230" s="10" t="inlineStr">
        <is>
          <t>太秦広隆寺</t>
        </is>
      </c>
      <c r="H230" s="10" t="inlineStr">
        <is>
          <t>発</t>
        </is>
      </c>
      <c r="J230" s="10" t="inlineStr">
        <is>
          <t>営業</t>
        </is>
      </c>
      <c r="L230" t="inlineStr">
        <is>
          <t>20:03:25</t>
        </is>
      </c>
      <c r="M230" t="inlineStr">
        <is>
          <t>20:03:45</t>
        </is>
      </c>
    </row>
    <row r="231" ht="15" customHeight="1" s="37">
      <c r="A231" t="n">
        <v>10</v>
      </c>
      <c r="B231" s="10" t="inlineStr">
        <is>
          <t>休日</t>
        </is>
      </c>
      <c r="C231" s="10" t="inlineStr">
        <is>
          <t>本線</t>
        </is>
      </c>
      <c r="D231" s="10" t="inlineStr">
        <is>
          <t>上り</t>
        </is>
      </c>
      <c r="E231" t="inlineStr">
        <is>
          <t>1912</t>
        </is>
      </c>
      <c r="F231" t="inlineStr">
        <is>
          <t>0221</t>
        </is>
      </c>
      <c r="G231" s="10" t="inlineStr">
        <is>
          <t>蚕ノ社</t>
        </is>
      </c>
      <c r="H231" s="10" t="inlineStr">
        <is>
          <t>発</t>
        </is>
      </c>
      <c r="J231" s="10" t="inlineStr">
        <is>
          <t>営業</t>
        </is>
      </c>
      <c r="L231" t="inlineStr">
        <is>
          <t>20:05:00</t>
        </is>
      </c>
      <c r="M231" t="inlineStr">
        <is>
          <t>20:05:20</t>
        </is>
      </c>
    </row>
    <row r="232" ht="15" customHeight="1" s="37">
      <c r="A232" t="n">
        <v>10</v>
      </c>
      <c r="B232" s="10" t="inlineStr">
        <is>
          <t>休日</t>
        </is>
      </c>
      <c r="C232" s="10" t="inlineStr">
        <is>
          <t>本線</t>
        </is>
      </c>
      <c r="D232" s="10" t="inlineStr">
        <is>
          <t>上り</t>
        </is>
      </c>
      <c r="E232" t="inlineStr">
        <is>
          <t>1912</t>
        </is>
      </c>
      <c r="F232" t="inlineStr">
        <is>
          <t>0221</t>
        </is>
      </c>
      <c r="G232" s="10" t="inlineStr">
        <is>
          <t>天神川</t>
        </is>
      </c>
      <c r="H232" s="10" t="inlineStr">
        <is>
          <t>発</t>
        </is>
      </c>
      <c r="J232" s="10" t="inlineStr">
        <is>
          <t>営業</t>
        </is>
      </c>
      <c r="L232" t="inlineStr">
        <is>
          <t>20:06:05</t>
        </is>
      </c>
      <c r="M232" t="inlineStr">
        <is>
          <t>20:06:50</t>
        </is>
      </c>
    </row>
    <row r="233" ht="15" customHeight="1" s="37">
      <c r="A233" t="n">
        <v>10</v>
      </c>
      <c r="B233" s="10" t="inlineStr">
        <is>
          <t>休日</t>
        </is>
      </c>
      <c r="C233" s="10" t="inlineStr">
        <is>
          <t>本線</t>
        </is>
      </c>
      <c r="D233" s="10" t="inlineStr">
        <is>
          <t>上り</t>
        </is>
      </c>
      <c r="E233" t="inlineStr">
        <is>
          <t>1912</t>
        </is>
      </c>
      <c r="F233" t="inlineStr">
        <is>
          <t>0221</t>
        </is>
      </c>
      <c r="G233" s="10" t="inlineStr">
        <is>
          <t>山ノ内</t>
        </is>
      </c>
      <c r="H233" s="10" t="inlineStr">
        <is>
          <t>発</t>
        </is>
      </c>
      <c r="J233" s="10" t="inlineStr">
        <is>
          <t>営業</t>
        </is>
      </c>
      <c r="L233" t="inlineStr">
        <is>
          <t>20:08:40</t>
        </is>
      </c>
      <c r="M233" t="inlineStr">
        <is>
          <t>20:09:05</t>
        </is>
      </c>
    </row>
    <row r="234" ht="15" customHeight="1" s="37">
      <c r="A234" t="n">
        <v>10</v>
      </c>
      <c r="B234" s="10" t="inlineStr">
        <is>
          <t>休日</t>
        </is>
      </c>
      <c r="C234" s="10" t="inlineStr">
        <is>
          <t>本線</t>
        </is>
      </c>
      <c r="D234" s="10" t="inlineStr">
        <is>
          <t>上り</t>
        </is>
      </c>
      <c r="E234" t="inlineStr">
        <is>
          <t>1912</t>
        </is>
      </c>
      <c r="F234" t="inlineStr">
        <is>
          <t>0221</t>
        </is>
      </c>
      <c r="G234" s="10" t="inlineStr">
        <is>
          <t>西大路三条</t>
        </is>
      </c>
      <c r="H234" s="10" t="inlineStr">
        <is>
          <t>発</t>
        </is>
      </c>
      <c r="J234" s="10" t="inlineStr">
        <is>
          <t>営業</t>
        </is>
      </c>
      <c r="L234" t="inlineStr">
        <is>
          <t>20:10:55</t>
        </is>
      </c>
      <c r="M234" t="inlineStr">
        <is>
          <t>20:11:15</t>
        </is>
      </c>
    </row>
    <row r="235" ht="15" customHeight="1" s="37">
      <c r="A235" t="n">
        <v>10</v>
      </c>
      <c r="B235" s="10" t="inlineStr">
        <is>
          <t>休日</t>
        </is>
      </c>
      <c r="C235" s="10" t="inlineStr">
        <is>
          <t>本線</t>
        </is>
      </c>
      <c r="D235" s="10" t="inlineStr">
        <is>
          <t>上り</t>
        </is>
      </c>
      <c r="E235" t="inlineStr">
        <is>
          <t>1912</t>
        </is>
      </c>
      <c r="F235" t="inlineStr">
        <is>
          <t>0221</t>
        </is>
      </c>
      <c r="G235" s="10" t="inlineStr">
        <is>
          <t>西院</t>
        </is>
      </c>
      <c r="H235" s="10" t="inlineStr">
        <is>
          <t>発</t>
        </is>
      </c>
      <c r="J235" s="10" t="inlineStr">
        <is>
          <t>営業</t>
        </is>
      </c>
      <c r="L235" t="inlineStr">
        <is>
          <t>20:13:10</t>
        </is>
      </c>
      <c r="M235" t="inlineStr">
        <is>
          <t>20:14:05</t>
        </is>
      </c>
    </row>
    <row r="236" ht="15" customHeight="1" s="37">
      <c r="A236" t="n">
        <v>10</v>
      </c>
      <c r="B236" s="10" t="inlineStr">
        <is>
          <t>休日</t>
        </is>
      </c>
      <c r="C236" s="10" t="inlineStr">
        <is>
          <t>本線</t>
        </is>
      </c>
      <c r="D236" s="10" t="inlineStr">
        <is>
          <t>上り</t>
        </is>
      </c>
      <c r="E236" t="inlineStr">
        <is>
          <t>1912</t>
        </is>
      </c>
      <c r="F236" t="inlineStr">
        <is>
          <t>0221</t>
        </is>
      </c>
      <c r="G236" s="10" t="inlineStr">
        <is>
          <t>四条大宮</t>
        </is>
      </c>
      <c r="H236" s="10" t="inlineStr">
        <is>
          <t>着</t>
        </is>
      </c>
      <c r="J236" s="10" t="inlineStr">
        <is>
          <t>営業</t>
        </is>
      </c>
      <c r="L236" t="inlineStr">
        <is>
          <t>20:17:00</t>
        </is>
      </c>
      <c r="N236" t="inlineStr">
        <is>
          <t>○</t>
        </is>
      </c>
      <c r="Q236" t="inlineStr">
        <is>
          <t>1</t>
        </is>
      </c>
    </row>
    <row r="237" ht="15" customHeight="1" s="37">
      <c r="A237" t="n">
        <v>10</v>
      </c>
      <c r="B237" s="10" t="inlineStr">
        <is>
          <t>休日</t>
        </is>
      </c>
      <c r="C237" s="10" t="inlineStr">
        <is>
          <t>本線</t>
        </is>
      </c>
      <c r="D237" s="10" t="inlineStr">
        <is>
          <t>下り</t>
        </is>
      </c>
      <c r="E237" t="inlineStr">
        <is>
          <t>2005</t>
        </is>
      </c>
      <c r="F237" t="inlineStr">
        <is>
          <t>0122</t>
        </is>
      </c>
      <c r="G237" s="10" t="inlineStr">
        <is>
          <t>四条大宮</t>
        </is>
      </c>
      <c r="H237" s="10" t="inlineStr">
        <is>
          <t>発</t>
        </is>
      </c>
      <c r="J237" s="10" t="inlineStr">
        <is>
          <t>営業</t>
        </is>
      </c>
      <c r="M237" t="inlineStr">
        <is>
          <t>20:23:00</t>
        </is>
      </c>
      <c r="Q237" t="inlineStr">
        <is>
          <t>1</t>
        </is>
      </c>
    </row>
    <row r="238" ht="15" customHeight="1" s="37">
      <c r="A238" t="n">
        <v>10</v>
      </c>
      <c r="B238" s="10" t="inlineStr">
        <is>
          <t>休日</t>
        </is>
      </c>
      <c r="C238" s="10" t="inlineStr">
        <is>
          <t>本線</t>
        </is>
      </c>
      <c r="D238" s="10" t="inlineStr">
        <is>
          <t>下り</t>
        </is>
      </c>
      <c r="E238" t="inlineStr">
        <is>
          <t>2005</t>
        </is>
      </c>
      <c r="F238" t="inlineStr">
        <is>
          <t>0122</t>
        </is>
      </c>
      <c r="G238" s="10" t="inlineStr">
        <is>
          <t>西院</t>
        </is>
      </c>
      <c r="H238" s="10" t="inlineStr">
        <is>
          <t>発</t>
        </is>
      </c>
      <c r="J238" s="10" t="inlineStr">
        <is>
          <t>営業</t>
        </is>
      </c>
      <c r="L238" t="inlineStr">
        <is>
          <t>20:25:50</t>
        </is>
      </c>
      <c r="M238" t="inlineStr">
        <is>
          <t>20:26:20</t>
        </is>
      </c>
    </row>
    <row r="239" ht="15" customHeight="1" s="37">
      <c r="A239" t="n">
        <v>10</v>
      </c>
      <c r="B239" s="10" t="inlineStr">
        <is>
          <t>休日</t>
        </is>
      </c>
      <c r="C239" s="10" t="inlineStr">
        <is>
          <t>本線</t>
        </is>
      </c>
      <c r="D239" s="10" t="inlineStr">
        <is>
          <t>下り</t>
        </is>
      </c>
      <c r="E239" t="inlineStr">
        <is>
          <t>2005</t>
        </is>
      </c>
      <c r="F239" t="inlineStr">
        <is>
          <t>0122</t>
        </is>
      </c>
      <c r="G239" s="10" t="inlineStr">
        <is>
          <t>西大路三条</t>
        </is>
      </c>
      <c r="H239" s="10" t="inlineStr">
        <is>
          <t>発</t>
        </is>
      </c>
      <c r="J239" s="10" t="inlineStr">
        <is>
          <t>営業</t>
        </is>
      </c>
      <c r="L239" t="inlineStr">
        <is>
          <t>20:28:10</t>
        </is>
      </c>
      <c r="M239" t="inlineStr">
        <is>
          <t>20:28:30</t>
        </is>
      </c>
    </row>
    <row r="240" ht="15" customHeight="1" s="37">
      <c r="A240" t="n">
        <v>10</v>
      </c>
      <c r="B240" s="10" t="inlineStr">
        <is>
          <t>休日</t>
        </is>
      </c>
      <c r="C240" s="10" t="inlineStr">
        <is>
          <t>本線</t>
        </is>
      </c>
      <c r="D240" s="10" t="inlineStr">
        <is>
          <t>下り</t>
        </is>
      </c>
      <c r="E240" t="inlineStr">
        <is>
          <t>2005</t>
        </is>
      </c>
      <c r="F240" t="inlineStr">
        <is>
          <t>0122</t>
        </is>
      </c>
      <c r="G240" s="10" t="inlineStr">
        <is>
          <t>山ノ内</t>
        </is>
      </c>
      <c r="H240" s="10" t="inlineStr">
        <is>
          <t>発</t>
        </is>
      </c>
      <c r="J240" s="10" t="inlineStr">
        <is>
          <t>営業</t>
        </is>
      </c>
      <c r="L240" t="inlineStr">
        <is>
          <t>20:30:25</t>
        </is>
      </c>
      <c r="M240" t="inlineStr">
        <is>
          <t>20:30:50</t>
        </is>
      </c>
    </row>
    <row r="241" ht="15" customHeight="1" s="37">
      <c r="A241" t="n">
        <v>10</v>
      </c>
      <c r="B241" s="10" t="inlineStr">
        <is>
          <t>休日</t>
        </is>
      </c>
      <c r="C241" s="10" t="inlineStr">
        <is>
          <t>本線</t>
        </is>
      </c>
      <c r="D241" s="10" t="inlineStr">
        <is>
          <t>下り</t>
        </is>
      </c>
      <c r="E241" t="inlineStr">
        <is>
          <t>2005</t>
        </is>
      </c>
      <c r="F241" t="inlineStr">
        <is>
          <t>0122</t>
        </is>
      </c>
      <c r="G241" s="10" t="inlineStr">
        <is>
          <t>天神川</t>
        </is>
      </c>
      <c r="H241" s="10" t="inlineStr">
        <is>
          <t>発</t>
        </is>
      </c>
      <c r="J241" s="10" t="inlineStr">
        <is>
          <t>営業</t>
        </is>
      </c>
      <c r="L241" t="inlineStr">
        <is>
          <t>20:32:50</t>
        </is>
      </c>
      <c r="M241" t="inlineStr">
        <is>
          <t>20:33:30</t>
        </is>
      </c>
    </row>
    <row r="242" ht="15" customHeight="1" s="37">
      <c r="A242" t="n">
        <v>10</v>
      </c>
      <c r="B242" s="10" t="inlineStr">
        <is>
          <t>休日</t>
        </is>
      </c>
      <c r="C242" s="10" t="inlineStr">
        <is>
          <t>本線</t>
        </is>
      </c>
      <c r="D242" s="10" t="inlineStr">
        <is>
          <t>下り</t>
        </is>
      </c>
      <c r="E242" t="inlineStr">
        <is>
          <t>2005</t>
        </is>
      </c>
      <c r="F242" t="inlineStr">
        <is>
          <t>0122</t>
        </is>
      </c>
      <c r="G242" s="10" t="inlineStr">
        <is>
          <t>蚕ノ社</t>
        </is>
      </c>
      <c r="H242" s="10" t="inlineStr">
        <is>
          <t>発</t>
        </is>
      </c>
      <c r="J242" s="10" t="inlineStr">
        <is>
          <t>営業</t>
        </is>
      </c>
      <c r="L242" t="inlineStr">
        <is>
          <t>20:34:20</t>
        </is>
      </c>
      <c r="M242" t="inlineStr">
        <is>
          <t>20:34:40</t>
        </is>
      </c>
    </row>
    <row r="243" ht="15" customHeight="1" s="37">
      <c r="A243" t="n">
        <v>10</v>
      </c>
      <c r="B243" s="10" t="inlineStr">
        <is>
          <t>休日</t>
        </is>
      </c>
      <c r="C243" s="10" t="inlineStr">
        <is>
          <t>本線</t>
        </is>
      </c>
      <c r="D243" s="10" t="inlineStr">
        <is>
          <t>下り</t>
        </is>
      </c>
      <c r="E243" t="inlineStr">
        <is>
          <t>2005</t>
        </is>
      </c>
      <c r="F243" t="inlineStr">
        <is>
          <t>0122</t>
        </is>
      </c>
      <c r="G243" s="10" t="inlineStr">
        <is>
          <t>太秦広隆寺</t>
        </is>
      </c>
      <c r="H243" s="10" t="inlineStr">
        <is>
          <t>発</t>
        </is>
      </c>
      <c r="J243" s="10" t="inlineStr">
        <is>
          <t>営業</t>
        </is>
      </c>
      <c r="L243" t="inlineStr">
        <is>
          <t>20:36:00</t>
        </is>
      </c>
      <c r="M243" t="inlineStr">
        <is>
          <t>20:36:20</t>
        </is>
      </c>
    </row>
    <row r="244" ht="15" customHeight="1" s="37">
      <c r="A244" t="n">
        <v>10</v>
      </c>
      <c r="B244" s="10" t="inlineStr">
        <is>
          <t>休日</t>
        </is>
      </c>
      <c r="C244" s="10" t="inlineStr">
        <is>
          <t>本線</t>
        </is>
      </c>
      <c r="D244" s="10" t="inlineStr">
        <is>
          <t>下り</t>
        </is>
      </c>
      <c r="E244" t="inlineStr">
        <is>
          <t>2005</t>
        </is>
      </c>
      <c r="F244" t="inlineStr">
        <is>
          <t>0122</t>
        </is>
      </c>
      <c r="G244" s="10" t="inlineStr">
        <is>
          <t>帷子ノ辻</t>
        </is>
      </c>
      <c r="H244" s="10" t="inlineStr">
        <is>
          <t>発</t>
        </is>
      </c>
      <c r="J244" s="10" t="inlineStr">
        <is>
          <t>営業</t>
        </is>
      </c>
      <c r="L244" t="inlineStr">
        <is>
          <t>20:38:20</t>
        </is>
      </c>
      <c r="M244" t="inlineStr">
        <is>
          <t>20:39:40</t>
        </is>
      </c>
    </row>
    <row r="245" ht="15" customHeight="1" s="37">
      <c r="A245" t="n">
        <v>10</v>
      </c>
      <c r="B245" s="10" t="inlineStr">
        <is>
          <t>休日</t>
        </is>
      </c>
      <c r="C245" s="10" t="inlineStr">
        <is>
          <t>本線</t>
        </is>
      </c>
      <c r="D245" s="10" t="inlineStr">
        <is>
          <t>下り</t>
        </is>
      </c>
      <c r="E245" t="inlineStr">
        <is>
          <t>2005</t>
        </is>
      </c>
      <c r="F245" t="inlineStr">
        <is>
          <t>0122</t>
        </is>
      </c>
      <c r="G245" s="10" t="inlineStr">
        <is>
          <t>有栖川</t>
        </is>
      </c>
      <c r="H245" s="10" t="inlineStr">
        <is>
          <t>発</t>
        </is>
      </c>
      <c r="J245" s="10" t="inlineStr">
        <is>
          <t>営業</t>
        </is>
      </c>
      <c r="L245" t="inlineStr">
        <is>
          <t>20:40:50</t>
        </is>
      </c>
      <c r="M245" t="inlineStr">
        <is>
          <t>20:41:15</t>
        </is>
      </c>
    </row>
    <row r="246" ht="15" customHeight="1" s="37">
      <c r="A246" t="n">
        <v>10</v>
      </c>
      <c r="B246" s="10" t="inlineStr">
        <is>
          <t>休日</t>
        </is>
      </c>
      <c r="C246" s="10" t="inlineStr">
        <is>
          <t>本線</t>
        </is>
      </c>
      <c r="D246" s="10" t="inlineStr">
        <is>
          <t>下り</t>
        </is>
      </c>
      <c r="E246" t="inlineStr">
        <is>
          <t>2005</t>
        </is>
      </c>
      <c r="F246" t="inlineStr">
        <is>
          <t>0122</t>
        </is>
      </c>
      <c r="G246" s="10" t="inlineStr">
        <is>
          <t>車折</t>
        </is>
      </c>
      <c r="H246" s="10" t="inlineStr">
        <is>
          <t>発</t>
        </is>
      </c>
      <c r="J246" s="10" t="inlineStr">
        <is>
          <t>営業</t>
        </is>
      </c>
      <c r="L246" t="inlineStr">
        <is>
          <t>20:42:40</t>
        </is>
      </c>
      <c r="M246" t="inlineStr">
        <is>
          <t>20:43:05</t>
        </is>
      </c>
    </row>
    <row r="247" ht="15" customHeight="1" s="37">
      <c r="A247" t="n">
        <v>10</v>
      </c>
      <c r="B247" s="10" t="inlineStr">
        <is>
          <t>休日</t>
        </is>
      </c>
      <c r="C247" s="10" t="inlineStr">
        <is>
          <t>本線</t>
        </is>
      </c>
      <c r="D247" s="10" t="inlineStr">
        <is>
          <t>下り</t>
        </is>
      </c>
      <c r="E247" t="inlineStr">
        <is>
          <t>2005</t>
        </is>
      </c>
      <c r="F247" t="inlineStr">
        <is>
          <t>0122</t>
        </is>
      </c>
      <c r="G247" s="10" t="inlineStr">
        <is>
          <t>鹿王院</t>
        </is>
      </c>
      <c r="H247" s="10" t="inlineStr">
        <is>
          <t>発</t>
        </is>
      </c>
      <c r="J247" s="10" t="inlineStr">
        <is>
          <t>営業</t>
        </is>
      </c>
      <c r="L247" t="inlineStr">
        <is>
          <t>20:44:00</t>
        </is>
      </c>
      <c r="M247" t="inlineStr">
        <is>
          <t>20:44:25</t>
        </is>
      </c>
    </row>
    <row r="248" ht="15" customHeight="1" s="37">
      <c r="A248" t="n">
        <v>10</v>
      </c>
      <c r="B248" s="10" t="inlineStr">
        <is>
          <t>休日</t>
        </is>
      </c>
      <c r="C248" s="10" t="inlineStr">
        <is>
          <t>本線</t>
        </is>
      </c>
      <c r="D248" s="10" t="inlineStr">
        <is>
          <t>下り</t>
        </is>
      </c>
      <c r="E248" t="inlineStr">
        <is>
          <t>2005</t>
        </is>
      </c>
      <c r="F248" t="inlineStr">
        <is>
          <t>0122</t>
        </is>
      </c>
      <c r="G248" s="10" t="inlineStr">
        <is>
          <t>嵯峨</t>
        </is>
      </c>
      <c r="H248" s="10" t="inlineStr">
        <is>
          <t>発</t>
        </is>
      </c>
      <c r="J248" s="10" t="inlineStr">
        <is>
          <t>営業</t>
        </is>
      </c>
      <c r="L248" t="inlineStr">
        <is>
          <t>20:45:30</t>
        </is>
      </c>
      <c r="M248" t="inlineStr">
        <is>
          <t>20:45:55</t>
        </is>
      </c>
    </row>
    <row r="249" ht="15" customHeight="1" s="37">
      <c r="A249" t="n">
        <v>10</v>
      </c>
      <c r="B249" s="10" t="inlineStr">
        <is>
          <t>休日</t>
        </is>
      </c>
      <c r="C249" s="10" t="inlineStr">
        <is>
          <t>本線</t>
        </is>
      </c>
      <c r="D249" s="10" t="inlineStr">
        <is>
          <t>下り</t>
        </is>
      </c>
      <c r="E249" t="inlineStr">
        <is>
          <t>2005</t>
        </is>
      </c>
      <c r="F249" t="inlineStr">
        <is>
          <t>0122</t>
        </is>
      </c>
      <c r="G249" s="10" t="inlineStr">
        <is>
          <t>嵐山</t>
        </is>
      </c>
      <c r="H249" s="10" t="inlineStr">
        <is>
          <t>着</t>
        </is>
      </c>
      <c r="J249" s="10" t="inlineStr">
        <is>
          <t>営業</t>
        </is>
      </c>
      <c r="L249" t="inlineStr">
        <is>
          <t>20:47:00</t>
        </is>
      </c>
      <c r="N249" t="inlineStr">
        <is>
          <t>○</t>
        </is>
      </c>
      <c r="Q249" t="inlineStr">
        <is>
          <t>1</t>
        </is>
      </c>
    </row>
    <row r="250" ht="15" customHeight="1" s="37">
      <c r="A250" t="n">
        <v>10</v>
      </c>
      <c r="B250" s="10" t="inlineStr">
        <is>
          <t>休日</t>
        </is>
      </c>
      <c r="C250" s="10" t="inlineStr">
        <is>
          <t>本線</t>
        </is>
      </c>
      <c r="D250" s="10" t="inlineStr">
        <is>
          <t>上り</t>
        </is>
      </c>
      <c r="E250" t="inlineStr">
        <is>
          <t>2012</t>
        </is>
      </c>
      <c r="F250" t="inlineStr">
        <is>
          <t>0221</t>
        </is>
      </c>
      <c r="G250" s="10" t="inlineStr">
        <is>
          <t>嵐山</t>
        </is>
      </c>
      <c r="H250" s="10" t="inlineStr">
        <is>
          <t>発</t>
        </is>
      </c>
      <c r="J250" s="10" t="inlineStr">
        <is>
          <t>営業</t>
        </is>
      </c>
      <c r="M250" t="inlineStr">
        <is>
          <t>20:54:00</t>
        </is>
      </c>
      <c r="Q250" t="inlineStr">
        <is>
          <t>1</t>
        </is>
      </c>
    </row>
    <row r="251" ht="15" customHeight="1" s="37">
      <c r="A251" t="n">
        <v>10</v>
      </c>
      <c r="B251" s="10" t="inlineStr">
        <is>
          <t>休日</t>
        </is>
      </c>
      <c r="C251" s="10" t="inlineStr">
        <is>
          <t>本線</t>
        </is>
      </c>
      <c r="D251" s="10" t="inlineStr">
        <is>
          <t>上り</t>
        </is>
      </c>
      <c r="E251" t="inlineStr">
        <is>
          <t>2012</t>
        </is>
      </c>
      <c r="F251" t="inlineStr">
        <is>
          <t>0221</t>
        </is>
      </c>
      <c r="G251" s="10" t="inlineStr">
        <is>
          <t>嵯峨</t>
        </is>
      </c>
      <c r="H251" s="10" t="inlineStr">
        <is>
          <t>発</t>
        </is>
      </c>
      <c r="J251" s="10" t="inlineStr">
        <is>
          <t>営業</t>
        </is>
      </c>
      <c r="L251" t="inlineStr">
        <is>
          <t>20:54:55</t>
        </is>
      </c>
      <c r="M251" t="inlineStr">
        <is>
          <t>20:55:10</t>
        </is>
      </c>
    </row>
    <row r="252" ht="15" customHeight="1" s="37">
      <c r="A252" t="n">
        <v>10</v>
      </c>
      <c r="B252" s="10" t="inlineStr">
        <is>
          <t>休日</t>
        </is>
      </c>
      <c r="C252" s="10" t="inlineStr">
        <is>
          <t>本線</t>
        </is>
      </c>
      <c r="D252" s="10" t="inlineStr">
        <is>
          <t>上り</t>
        </is>
      </c>
      <c r="E252" t="inlineStr">
        <is>
          <t>2012</t>
        </is>
      </c>
      <c r="F252" t="inlineStr">
        <is>
          <t>0221</t>
        </is>
      </c>
      <c r="G252" s="10" t="inlineStr">
        <is>
          <t>鹿王院</t>
        </is>
      </c>
      <c r="H252" s="10" t="inlineStr">
        <is>
          <t>発</t>
        </is>
      </c>
      <c r="J252" s="10" t="inlineStr">
        <is>
          <t>営業</t>
        </is>
      </c>
      <c r="L252" t="inlineStr">
        <is>
          <t>20:56:15</t>
        </is>
      </c>
      <c r="M252" t="inlineStr">
        <is>
          <t>20:56:30</t>
        </is>
      </c>
    </row>
    <row r="253" ht="15" customHeight="1" s="37">
      <c r="A253" t="n">
        <v>10</v>
      </c>
      <c r="B253" s="10" t="inlineStr">
        <is>
          <t>休日</t>
        </is>
      </c>
      <c r="C253" s="10" t="inlineStr">
        <is>
          <t>本線</t>
        </is>
      </c>
      <c r="D253" s="10" t="inlineStr">
        <is>
          <t>上り</t>
        </is>
      </c>
      <c r="E253" t="inlineStr">
        <is>
          <t>2012</t>
        </is>
      </c>
      <c r="F253" t="inlineStr">
        <is>
          <t>0221</t>
        </is>
      </c>
      <c r="G253" s="10" t="inlineStr">
        <is>
          <t>車折</t>
        </is>
      </c>
      <c r="H253" s="10" t="inlineStr">
        <is>
          <t>発</t>
        </is>
      </c>
      <c r="J253" s="10" t="inlineStr">
        <is>
          <t>営業</t>
        </is>
      </c>
      <c r="L253" t="inlineStr">
        <is>
          <t>20:57:25</t>
        </is>
      </c>
      <c r="M253" t="inlineStr">
        <is>
          <t>20:57:40</t>
        </is>
      </c>
    </row>
    <row r="254" ht="15" customHeight="1" s="37">
      <c r="A254" t="n">
        <v>10</v>
      </c>
      <c r="B254" s="10" t="inlineStr">
        <is>
          <t>休日</t>
        </is>
      </c>
      <c r="C254" s="10" t="inlineStr">
        <is>
          <t>本線</t>
        </is>
      </c>
      <c r="D254" s="10" t="inlineStr">
        <is>
          <t>上り</t>
        </is>
      </c>
      <c r="E254" t="inlineStr">
        <is>
          <t>2012</t>
        </is>
      </c>
      <c r="F254" t="inlineStr">
        <is>
          <t>0221</t>
        </is>
      </c>
      <c r="G254" s="10" t="inlineStr">
        <is>
          <t>有栖川</t>
        </is>
      </c>
      <c r="H254" s="10" t="inlineStr">
        <is>
          <t>発</t>
        </is>
      </c>
      <c r="J254" s="10" t="inlineStr">
        <is>
          <t>営業</t>
        </is>
      </c>
      <c r="L254" t="inlineStr">
        <is>
          <t>20:59:05</t>
        </is>
      </c>
      <c r="M254" t="inlineStr">
        <is>
          <t>20:59:20</t>
        </is>
      </c>
    </row>
    <row r="255" ht="15" customHeight="1" s="37">
      <c r="A255" t="n">
        <v>10</v>
      </c>
      <c r="B255" s="10" t="inlineStr">
        <is>
          <t>休日</t>
        </is>
      </c>
      <c r="C255" s="10" t="inlineStr">
        <is>
          <t>本線</t>
        </is>
      </c>
      <c r="D255" s="10" t="inlineStr">
        <is>
          <t>上り</t>
        </is>
      </c>
      <c r="E255" t="inlineStr">
        <is>
          <t>2012</t>
        </is>
      </c>
      <c r="F255" t="inlineStr">
        <is>
          <t>0221</t>
        </is>
      </c>
      <c r="G255" s="10" t="inlineStr">
        <is>
          <t>帷子ノ辻</t>
        </is>
      </c>
      <c r="H255" s="10" t="inlineStr">
        <is>
          <t>発</t>
        </is>
      </c>
      <c r="J255" s="10" t="inlineStr">
        <is>
          <t>営業</t>
        </is>
      </c>
      <c r="L255" t="inlineStr">
        <is>
          <t>21:00:35</t>
        </is>
      </c>
      <c r="M255" t="inlineStr">
        <is>
          <t>21:01:05</t>
        </is>
      </c>
    </row>
    <row r="256" ht="15" customHeight="1" s="37">
      <c r="A256" t="n">
        <v>10</v>
      </c>
      <c r="B256" s="10" t="inlineStr">
        <is>
          <t>休日</t>
        </is>
      </c>
      <c r="C256" s="10" t="inlineStr">
        <is>
          <t>本線</t>
        </is>
      </c>
      <c r="D256" s="10" t="inlineStr">
        <is>
          <t>上り</t>
        </is>
      </c>
      <c r="E256" t="inlineStr">
        <is>
          <t>2012</t>
        </is>
      </c>
      <c r="F256" t="inlineStr">
        <is>
          <t>0221</t>
        </is>
      </c>
      <c r="G256" s="10" t="inlineStr">
        <is>
          <t>太秦広隆寺</t>
        </is>
      </c>
      <c r="H256" s="10" t="inlineStr">
        <is>
          <t>発</t>
        </is>
      </c>
      <c r="J256" s="10" t="inlineStr">
        <is>
          <t>営業</t>
        </is>
      </c>
      <c r="L256" t="inlineStr">
        <is>
          <t>21:03:15</t>
        </is>
      </c>
      <c r="M256" t="inlineStr">
        <is>
          <t>21:03:35</t>
        </is>
      </c>
    </row>
    <row r="257" ht="15" customHeight="1" s="37">
      <c r="A257" t="n">
        <v>10</v>
      </c>
      <c r="B257" s="10" t="inlineStr">
        <is>
          <t>休日</t>
        </is>
      </c>
      <c r="C257" s="10" t="inlineStr">
        <is>
          <t>本線</t>
        </is>
      </c>
      <c r="D257" s="10" t="inlineStr">
        <is>
          <t>上り</t>
        </is>
      </c>
      <c r="E257" t="inlineStr">
        <is>
          <t>2012</t>
        </is>
      </c>
      <c r="F257" t="inlineStr">
        <is>
          <t>0221</t>
        </is>
      </c>
      <c r="G257" s="10" t="inlineStr">
        <is>
          <t>蚕ノ社</t>
        </is>
      </c>
      <c r="H257" s="10" t="inlineStr">
        <is>
          <t>発</t>
        </is>
      </c>
      <c r="J257" s="10" t="inlineStr">
        <is>
          <t>営業</t>
        </is>
      </c>
      <c r="L257" t="inlineStr">
        <is>
          <t>21:04:50</t>
        </is>
      </c>
      <c r="M257" t="inlineStr">
        <is>
          <t>21:05:10</t>
        </is>
      </c>
    </row>
    <row r="258" ht="15" customHeight="1" s="37">
      <c r="A258" t="n">
        <v>10</v>
      </c>
      <c r="B258" s="10" t="inlineStr">
        <is>
          <t>休日</t>
        </is>
      </c>
      <c r="C258" s="10" t="inlineStr">
        <is>
          <t>本線</t>
        </is>
      </c>
      <c r="D258" s="10" t="inlineStr">
        <is>
          <t>上り</t>
        </is>
      </c>
      <c r="E258" t="inlineStr">
        <is>
          <t>2012</t>
        </is>
      </c>
      <c r="F258" t="inlineStr">
        <is>
          <t>0221</t>
        </is>
      </c>
      <c r="G258" s="10" t="inlineStr">
        <is>
          <t>天神川</t>
        </is>
      </c>
      <c r="H258" s="10" t="inlineStr">
        <is>
          <t>発</t>
        </is>
      </c>
      <c r="J258" s="10" t="inlineStr">
        <is>
          <t>営業</t>
        </is>
      </c>
      <c r="L258" t="inlineStr">
        <is>
          <t>21:05:55</t>
        </is>
      </c>
      <c r="M258" t="inlineStr">
        <is>
          <t>21:06:20</t>
        </is>
      </c>
    </row>
    <row r="259" ht="15" customHeight="1" s="37">
      <c r="A259" t="n">
        <v>10</v>
      </c>
      <c r="B259" s="10" t="inlineStr">
        <is>
          <t>休日</t>
        </is>
      </c>
      <c r="C259" s="10" t="inlineStr">
        <is>
          <t>本線</t>
        </is>
      </c>
      <c r="D259" s="10" t="inlineStr">
        <is>
          <t>上り</t>
        </is>
      </c>
      <c r="E259" t="inlineStr">
        <is>
          <t>2012</t>
        </is>
      </c>
      <c r="F259" t="inlineStr">
        <is>
          <t>0221</t>
        </is>
      </c>
      <c r="G259" s="10" t="inlineStr">
        <is>
          <t>山ノ内</t>
        </is>
      </c>
      <c r="H259" s="10" t="inlineStr">
        <is>
          <t>発</t>
        </is>
      </c>
      <c r="J259" s="10" t="inlineStr">
        <is>
          <t>営業</t>
        </is>
      </c>
      <c r="L259" t="inlineStr">
        <is>
          <t>21:08:10</t>
        </is>
      </c>
      <c r="M259" t="inlineStr">
        <is>
          <t>21:08:35</t>
        </is>
      </c>
    </row>
    <row r="260" ht="15" customHeight="1" s="37">
      <c r="A260" t="n">
        <v>10</v>
      </c>
      <c r="B260" s="10" t="inlineStr">
        <is>
          <t>休日</t>
        </is>
      </c>
      <c r="C260" s="10" t="inlineStr">
        <is>
          <t>本線</t>
        </is>
      </c>
      <c r="D260" s="10" t="inlineStr">
        <is>
          <t>上り</t>
        </is>
      </c>
      <c r="E260" t="inlineStr">
        <is>
          <t>2012</t>
        </is>
      </c>
      <c r="F260" t="inlineStr">
        <is>
          <t>0221</t>
        </is>
      </c>
      <c r="G260" s="10" t="inlineStr">
        <is>
          <t>西大路三条</t>
        </is>
      </c>
      <c r="H260" s="10" t="inlineStr">
        <is>
          <t>発</t>
        </is>
      </c>
      <c r="J260" s="10" t="inlineStr">
        <is>
          <t>営業</t>
        </is>
      </c>
      <c r="L260" t="inlineStr">
        <is>
          <t>21:10:25</t>
        </is>
      </c>
      <c r="M260" t="inlineStr">
        <is>
          <t>21:10:40</t>
        </is>
      </c>
    </row>
    <row r="261" ht="15" customHeight="1" s="37">
      <c r="A261" t="n">
        <v>10</v>
      </c>
      <c r="B261" s="10" t="inlineStr">
        <is>
          <t>休日</t>
        </is>
      </c>
      <c r="C261" s="10" t="inlineStr">
        <is>
          <t>本線</t>
        </is>
      </c>
      <c r="D261" s="10" t="inlineStr">
        <is>
          <t>上り</t>
        </is>
      </c>
      <c r="E261" t="inlineStr">
        <is>
          <t>2012</t>
        </is>
      </c>
      <c r="F261" t="inlineStr">
        <is>
          <t>0221</t>
        </is>
      </c>
      <c r="G261" s="10" t="inlineStr">
        <is>
          <t>西院</t>
        </is>
      </c>
      <c r="H261" s="10" t="inlineStr">
        <is>
          <t>発</t>
        </is>
      </c>
      <c r="J261" s="10" t="inlineStr">
        <is>
          <t>営業</t>
        </is>
      </c>
      <c r="L261" t="inlineStr">
        <is>
          <t>21:12:35</t>
        </is>
      </c>
      <c r="M261" t="inlineStr">
        <is>
          <t>21:13:05</t>
        </is>
      </c>
    </row>
    <row r="262" ht="15" customHeight="1" s="37">
      <c r="A262" t="n">
        <v>10</v>
      </c>
      <c r="B262" s="10" t="inlineStr">
        <is>
          <t>休日</t>
        </is>
      </c>
      <c r="C262" s="10" t="inlineStr">
        <is>
          <t>本線</t>
        </is>
      </c>
      <c r="D262" s="10" t="inlineStr">
        <is>
          <t>上り</t>
        </is>
      </c>
      <c r="E262" t="inlineStr">
        <is>
          <t>2012</t>
        </is>
      </c>
      <c r="F262" t="inlineStr">
        <is>
          <t>0221</t>
        </is>
      </c>
      <c r="G262" s="10" t="inlineStr">
        <is>
          <t>四条大宮</t>
        </is>
      </c>
      <c r="H262" s="10" t="inlineStr">
        <is>
          <t>着</t>
        </is>
      </c>
      <c r="J262" s="10" t="inlineStr">
        <is>
          <t>営業</t>
        </is>
      </c>
      <c r="L262" t="inlineStr">
        <is>
          <t>21:16:00</t>
        </is>
      </c>
      <c r="N262" t="inlineStr">
        <is>
          <t>○</t>
        </is>
      </c>
      <c r="Q262" t="inlineStr">
        <is>
          <t>1</t>
        </is>
      </c>
    </row>
    <row r="263" ht="15" customHeight="1" s="37">
      <c r="A263" t="n">
        <v>10</v>
      </c>
      <c r="B263" s="10" t="inlineStr">
        <is>
          <t>休日</t>
        </is>
      </c>
      <c r="C263" s="10" t="inlineStr">
        <is>
          <t>本線</t>
        </is>
      </c>
      <c r="D263" s="10" t="inlineStr">
        <is>
          <t>下り</t>
        </is>
      </c>
      <c r="E263" t="inlineStr">
        <is>
          <t>2105</t>
        </is>
      </c>
      <c r="F263" t="inlineStr">
        <is>
          <t>0122</t>
        </is>
      </c>
      <c r="G263" s="10" t="inlineStr">
        <is>
          <t>四条大宮</t>
        </is>
      </c>
      <c r="H263" s="10" t="inlineStr">
        <is>
          <t>発</t>
        </is>
      </c>
      <c r="J263" s="10" t="inlineStr">
        <is>
          <t>営業</t>
        </is>
      </c>
      <c r="M263" t="inlineStr">
        <is>
          <t>21:27:00</t>
        </is>
      </c>
      <c r="Q263" t="inlineStr">
        <is>
          <t>1</t>
        </is>
      </c>
    </row>
    <row r="264" ht="15" customHeight="1" s="37">
      <c r="A264" t="n">
        <v>10</v>
      </c>
      <c r="B264" s="10" t="inlineStr">
        <is>
          <t>休日</t>
        </is>
      </c>
      <c r="C264" s="10" t="inlineStr">
        <is>
          <t>本線</t>
        </is>
      </c>
      <c r="D264" s="10" t="inlineStr">
        <is>
          <t>下り</t>
        </is>
      </c>
      <c r="E264" t="inlineStr">
        <is>
          <t>2105</t>
        </is>
      </c>
      <c r="F264" t="inlineStr">
        <is>
          <t>0122</t>
        </is>
      </c>
      <c r="G264" s="10" t="inlineStr">
        <is>
          <t>西院</t>
        </is>
      </c>
      <c r="H264" s="10" t="inlineStr">
        <is>
          <t>発</t>
        </is>
      </c>
      <c r="J264" s="10" t="inlineStr">
        <is>
          <t>営業</t>
        </is>
      </c>
      <c r="L264" t="inlineStr">
        <is>
          <t>21:29:50</t>
        </is>
      </c>
      <c r="M264" t="inlineStr">
        <is>
          <t>21:30:20</t>
        </is>
      </c>
    </row>
    <row r="265" ht="15" customHeight="1" s="37">
      <c r="A265" t="n">
        <v>10</v>
      </c>
      <c r="B265" s="10" t="inlineStr">
        <is>
          <t>休日</t>
        </is>
      </c>
      <c r="C265" s="10" t="inlineStr">
        <is>
          <t>本線</t>
        </is>
      </c>
      <c r="D265" s="10" t="inlineStr">
        <is>
          <t>下り</t>
        </is>
      </c>
      <c r="E265" t="inlineStr">
        <is>
          <t>2105</t>
        </is>
      </c>
      <c r="F265" t="inlineStr">
        <is>
          <t>0122</t>
        </is>
      </c>
      <c r="G265" s="10" t="inlineStr">
        <is>
          <t>西大路三条</t>
        </is>
      </c>
      <c r="H265" s="10" t="inlineStr">
        <is>
          <t>発</t>
        </is>
      </c>
      <c r="J265" s="10" t="inlineStr">
        <is>
          <t>営業</t>
        </is>
      </c>
      <c r="L265" t="inlineStr">
        <is>
          <t>21:32:10</t>
        </is>
      </c>
      <c r="M265" t="inlineStr">
        <is>
          <t>21:32:30</t>
        </is>
      </c>
    </row>
    <row r="266" ht="15" customHeight="1" s="37">
      <c r="A266" t="n">
        <v>10</v>
      </c>
      <c r="B266" s="10" t="inlineStr">
        <is>
          <t>休日</t>
        </is>
      </c>
      <c r="C266" s="10" t="inlineStr">
        <is>
          <t>本線</t>
        </is>
      </c>
      <c r="D266" s="10" t="inlineStr">
        <is>
          <t>下り</t>
        </is>
      </c>
      <c r="E266" t="inlineStr">
        <is>
          <t>2105</t>
        </is>
      </c>
      <c r="F266" t="inlineStr">
        <is>
          <t>0122</t>
        </is>
      </c>
      <c r="G266" s="10" t="inlineStr">
        <is>
          <t>山ノ内</t>
        </is>
      </c>
      <c r="H266" s="10" t="inlineStr">
        <is>
          <t>発</t>
        </is>
      </c>
      <c r="J266" s="10" t="inlineStr">
        <is>
          <t>営業</t>
        </is>
      </c>
      <c r="L266" t="inlineStr">
        <is>
          <t>21:34:25</t>
        </is>
      </c>
      <c r="M266" t="inlineStr">
        <is>
          <t>21:34:50</t>
        </is>
      </c>
    </row>
    <row r="267" ht="15" customHeight="1" s="37">
      <c r="A267" t="n">
        <v>10</v>
      </c>
      <c r="B267" s="10" t="inlineStr">
        <is>
          <t>休日</t>
        </is>
      </c>
      <c r="C267" s="10" t="inlineStr">
        <is>
          <t>本線</t>
        </is>
      </c>
      <c r="D267" s="10" t="inlineStr">
        <is>
          <t>下り</t>
        </is>
      </c>
      <c r="E267" t="inlineStr">
        <is>
          <t>2105</t>
        </is>
      </c>
      <c r="F267" t="inlineStr">
        <is>
          <t>0122</t>
        </is>
      </c>
      <c r="G267" s="10" t="inlineStr">
        <is>
          <t>天神川</t>
        </is>
      </c>
      <c r="H267" s="10" t="inlineStr">
        <is>
          <t>発</t>
        </is>
      </c>
      <c r="J267" s="10" t="inlineStr">
        <is>
          <t>営業</t>
        </is>
      </c>
      <c r="L267" t="inlineStr">
        <is>
          <t>21:36:50</t>
        </is>
      </c>
      <c r="M267" t="inlineStr">
        <is>
          <t>21:37:30</t>
        </is>
      </c>
    </row>
    <row r="268" ht="15" customHeight="1" s="37">
      <c r="A268" t="n">
        <v>10</v>
      </c>
      <c r="B268" s="10" t="inlineStr">
        <is>
          <t>休日</t>
        </is>
      </c>
      <c r="C268" s="10" t="inlineStr">
        <is>
          <t>本線</t>
        </is>
      </c>
      <c r="D268" s="10" t="inlineStr">
        <is>
          <t>下り</t>
        </is>
      </c>
      <c r="E268" t="inlineStr">
        <is>
          <t>2105</t>
        </is>
      </c>
      <c r="F268" t="inlineStr">
        <is>
          <t>0122</t>
        </is>
      </c>
      <c r="G268" s="10" t="inlineStr">
        <is>
          <t>蚕ノ社</t>
        </is>
      </c>
      <c r="H268" s="10" t="inlineStr">
        <is>
          <t>発</t>
        </is>
      </c>
      <c r="J268" s="10" t="inlineStr">
        <is>
          <t>営業</t>
        </is>
      </c>
      <c r="L268" t="inlineStr">
        <is>
          <t>21:38:20</t>
        </is>
      </c>
      <c r="M268" t="inlineStr">
        <is>
          <t>21:38:40</t>
        </is>
      </c>
    </row>
    <row r="269" ht="15" customHeight="1" s="37">
      <c r="A269" t="n">
        <v>10</v>
      </c>
      <c r="B269" s="10" t="inlineStr">
        <is>
          <t>休日</t>
        </is>
      </c>
      <c r="C269" s="10" t="inlineStr">
        <is>
          <t>本線</t>
        </is>
      </c>
      <c r="D269" s="10" t="inlineStr">
        <is>
          <t>下り</t>
        </is>
      </c>
      <c r="E269" t="inlineStr">
        <is>
          <t>2105</t>
        </is>
      </c>
      <c r="F269" t="inlineStr">
        <is>
          <t>0122</t>
        </is>
      </c>
      <c r="G269" s="10" t="inlineStr">
        <is>
          <t>太秦広隆寺</t>
        </is>
      </c>
      <c r="H269" s="10" t="inlineStr">
        <is>
          <t>発</t>
        </is>
      </c>
      <c r="J269" s="10" t="inlineStr">
        <is>
          <t>営業</t>
        </is>
      </c>
      <c r="L269" t="inlineStr">
        <is>
          <t>21:40:00</t>
        </is>
      </c>
      <c r="M269" t="inlineStr">
        <is>
          <t>21:40:20</t>
        </is>
      </c>
    </row>
    <row r="270" ht="15" customHeight="1" s="37">
      <c r="A270" t="n">
        <v>10</v>
      </c>
      <c r="B270" s="10" t="inlineStr">
        <is>
          <t>休日</t>
        </is>
      </c>
      <c r="C270" s="10" t="inlineStr">
        <is>
          <t>本線</t>
        </is>
      </c>
      <c r="D270" s="10" t="inlineStr">
        <is>
          <t>下り</t>
        </is>
      </c>
      <c r="E270" t="inlineStr">
        <is>
          <t>2105</t>
        </is>
      </c>
      <c r="F270" t="inlineStr">
        <is>
          <t>0122</t>
        </is>
      </c>
      <c r="G270" s="10" t="inlineStr">
        <is>
          <t>帷子ノ辻</t>
        </is>
      </c>
      <c r="H270" s="10" t="inlineStr">
        <is>
          <t>発</t>
        </is>
      </c>
      <c r="J270" s="10" t="inlineStr">
        <is>
          <t>営業</t>
        </is>
      </c>
      <c r="L270" t="inlineStr">
        <is>
          <t>21:42:20</t>
        </is>
      </c>
      <c r="M270" t="inlineStr">
        <is>
          <t>21:43:40</t>
        </is>
      </c>
    </row>
    <row r="271" ht="15" customHeight="1" s="37">
      <c r="A271" t="n">
        <v>10</v>
      </c>
      <c r="B271" s="10" t="inlineStr">
        <is>
          <t>休日</t>
        </is>
      </c>
      <c r="C271" s="10" t="inlineStr">
        <is>
          <t>本線</t>
        </is>
      </c>
      <c r="D271" s="10" t="inlineStr">
        <is>
          <t>下り</t>
        </is>
      </c>
      <c r="E271" t="inlineStr">
        <is>
          <t>2105</t>
        </is>
      </c>
      <c r="F271" t="inlineStr">
        <is>
          <t>0122</t>
        </is>
      </c>
      <c r="G271" s="10" t="inlineStr">
        <is>
          <t>有栖川</t>
        </is>
      </c>
      <c r="H271" s="10" t="inlineStr">
        <is>
          <t>発</t>
        </is>
      </c>
      <c r="J271" s="10" t="inlineStr">
        <is>
          <t>営業</t>
        </is>
      </c>
      <c r="L271" t="inlineStr">
        <is>
          <t>21:44:50</t>
        </is>
      </c>
      <c r="M271" t="inlineStr">
        <is>
          <t>21:45:15</t>
        </is>
      </c>
    </row>
    <row r="272" ht="15" customHeight="1" s="37">
      <c r="A272" t="n">
        <v>10</v>
      </c>
      <c r="B272" s="10" t="inlineStr">
        <is>
          <t>休日</t>
        </is>
      </c>
      <c r="C272" s="10" t="inlineStr">
        <is>
          <t>本線</t>
        </is>
      </c>
      <c r="D272" s="10" t="inlineStr">
        <is>
          <t>下り</t>
        </is>
      </c>
      <c r="E272" t="inlineStr">
        <is>
          <t>2105</t>
        </is>
      </c>
      <c r="F272" t="inlineStr">
        <is>
          <t>0122</t>
        </is>
      </c>
      <c r="G272" s="10" t="inlineStr">
        <is>
          <t>車折</t>
        </is>
      </c>
      <c r="H272" s="10" t="inlineStr">
        <is>
          <t>発</t>
        </is>
      </c>
      <c r="J272" s="10" t="inlineStr">
        <is>
          <t>営業</t>
        </is>
      </c>
      <c r="L272" t="inlineStr">
        <is>
          <t>21:46:40</t>
        </is>
      </c>
      <c r="M272" t="inlineStr">
        <is>
          <t>21:47:05</t>
        </is>
      </c>
    </row>
    <row r="273" ht="15" customHeight="1" s="37">
      <c r="A273" t="n">
        <v>10</v>
      </c>
      <c r="B273" s="10" t="inlineStr">
        <is>
          <t>休日</t>
        </is>
      </c>
      <c r="C273" s="10" t="inlineStr">
        <is>
          <t>本線</t>
        </is>
      </c>
      <c r="D273" s="10" t="inlineStr">
        <is>
          <t>下り</t>
        </is>
      </c>
      <c r="E273" t="inlineStr">
        <is>
          <t>2105</t>
        </is>
      </c>
      <c r="F273" t="inlineStr">
        <is>
          <t>0122</t>
        </is>
      </c>
      <c r="G273" s="10" t="inlineStr">
        <is>
          <t>鹿王院</t>
        </is>
      </c>
      <c r="H273" s="10" t="inlineStr">
        <is>
          <t>発</t>
        </is>
      </c>
      <c r="J273" s="10" t="inlineStr">
        <is>
          <t>営業</t>
        </is>
      </c>
      <c r="L273" t="inlineStr">
        <is>
          <t>21:48:00</t>
        </is>
      </c>
      <c r="M273" t="inlineStr">
        <is>
          <t>21:48:25</t>
        </is>
      </c>
    </row>
    <row r="274" ht="15" customHeight="1" s="37">
      <c r="A274" t="n">
        <v>10</v>
      </c>
      <c r="B274" s="10" t="inlineStr">
        <is>
          <t>休日</t>
        </is>
      </c>
      <c r="C274" s="10" t="inlineStr">
        <is>
          <t>本線</t>
        </is>
      </c>
      <c r="D274" s="10" t="inlineStr">
        <is>
          <t>下り</t>
        </is>
      </c>
      <c r="E274" t="inlineStr">
        <is>
          <t>2105</t>
        </is>
      </c>
      <c r="F274" t="inlineStr">
        <is>
          <t>0122</t>
        </is>
      </c>
      <c r="G274" s="10" t="inlineStr">
        <is>
          <t>嵯峨</t>
        </is>
      </c>
      <c r="H274" s="10" t="inlineStr">
        <is>
          <t>発</t>
        </is>
      </c>
      <c r="J274" s="10" t="inlineStr">
        <is>
          <t>営業</t>
        </is>
      </c>
      <c r="L274" t="inlineStr">
        <is>
          <t>21:49:30</t>
        </is>
      </c>
      <c r="M274" t="inlineStr">
        <is>
          <t>21:49:55</t>
        </is>
      </c>
    </row>
    <row r="275" ht="15" customHeight="1" s="37">
      <c r="A275" t="n">
        <v>10</v>
      </c>
      <c r="B275" s="10" t="inlineStr">
        <is>
          <t>休日</t>
        </is>
      </c>
      <c r="C275" s="10" t="inlineStr">
        <is>
          <t>本線</t>
        </is>
      </c>
      <c r="D275" s="10" t="inlineStr">
        <is>
          <t>下り</t>
        </is>
      </c>
      <c r="E275" t="inlineStr">
        <is>
          <t>2105</t>
        </is>
      </c>
      <c r="F275" t="inlineStr">
        <is>
          <t>0122</t>
        </is>
      </c>
      <c r="G275" s="10" t="inlineStr">
        <is>
          <t>嵐山</t>
        </is>
      </c>
      <c r="H275" s="10" t="inlineStr">
        <is>
          <t>着</t>
        </is>
      </c>
      <c r="J275" s="10" t="inlineStr">
        <is>
          <t>営業</t>
        </is>
      </c>
      <c r="L275" t="inlineStr">
        <is>
          <t>21:51:00</t>
        </is>
      </c>
      <c r="N275" t="inlineStr">
        <is>
          <t>○</t>
        </is>
      </c>
      <c r="Q275" t="inlineStr">
        <is>
          <t>1</t>
        </is>
      </c>
    </row>
    <row r="276" ht="15" customHeight="1" s="37">
      <c r="A276" t="n">
        <v>10</v>
      </c>
      <c r="B276" s="10" t="inlineStr">
        <is>
          <t>休日</t>
        </is>
      </c>
      <c r="C276" s="10" t="inlineStr">
        <is>
          <t>本線</t>
        </is>
      </c>
      <c r="D276" s="10" t="inlineStr">
        <is>
          <t>上り</t>
        </is>
      </c>
      <c r="E276" t="inlineStr">
        <is>
          <t>2112</t>
        </is>
      </c>
      <c r="F276" t="inlineStr">
        <is>
          <t>0221</t>
        </is>
      </c>
      <c r="G276" s="10" t="inlineStr">
        <is>
          <t>嵐山</t>
        </is>
      </c>
      <c r="H276" s="10" t="inlineStr">
        <is>
          <t>発</t>
        </is>
      </c>
      <c r="J276" s="10" t="inlineStr">
        <is>
          <t>営業</t>
        </is>
      </c>
      <c r="M276" t="inlineStr">
        <is>
          <t>21:56:00</t>
        </is>
      </c>
      <c r="Q276" t="inlineStr">
        <is>
          <t>1</t>
        </is>
      </c>
    </row>
    <row r="277" ht="15" customHeight="1" s="37">
      <c r="A277" t="n">
        <v>10</v>
      </c>
      <c r="B277" s="10" t="inlineStr">
        <is>
          <t>休日</t>
        </is>
      </c>
      <c r="C277" s="10" t="inlineStr">
        <is>
          <t>本線</t>
        </is>
      </c>
      <c r="D277" s="10" t="inlineStr">
        <is>
          <t>上り</t>
        </is>
      </c>
      <c r="E277" t="inlineStr">
        <is>
          <t>2112</t>
        </is>
      </c>
      <c r="F277" t="inlineStr">
        <is>
          <t>0221</t>
        </is>
      </c>
      <c r="G277" s="10" t="inlineStr">
        <is>
          <t>嵯峨</t>
        </is>
      </c>
      <c r="H277" s="10" t="inlineStr">
        <is>
          <t>発</t>
        </is>
      </c>
      <c r="J277" s="10" t="inlineStr">
        <is>
          <t>営業</t>
        </is>
      </c>
      <c r="L277" t="inlineStr">
        <is>
          <t>21:56:55</t>
        </is>
      </c>
      <c r="M277" t="inlineStr">
        <is>
          <t>21:57:10</t>
        </is>
      </c>
    </row>
    <row r="278" ht="15" customHeight="1" s="37">
      <c r="A278" t="n">
        <v>10</v>
      </c>
      <c r="B278" s="10" t="inlineStr">
        <is>
          <t>休日</t>
        </is>
      </c>
      <c r="C278" s="10" t="inlineStr">
        <is>
          <t>本線</t>
        </is>
      </c>
      <c r="D278" s="10" t="inlineStr">
        <is>
          <t>上り</t>
        </is>
      </c>
      <c r="E278" t="inlineStr">
        <is>
          <t>2112</t>
        </is>
      </c>
      <c r="F278" t="inlineStr">
        <is>
          <t>0221</t>
        </is>
      </c>
      <c r="G278" s="10" t="inlineStr">
        <is>
          <t>鹿王院</t>
        </is>
      </c>
      <c r="H278" s="10" t="inlineStr">
        <is>
          <t>発</t>
        </is>
      </c>
      <c r="J278" s="10" t="inlineStr">
        <is>
          <t>営業</t>
        </is>
      </c>
      <c r="L278" t="inlineStr">
        <is>
          <t>21:58:15</t>
        </is>
      </c>
      <c r="M278" t="inlineStr">
        <is>
          <t>21:58:30</t>
        </is>
      </c>
    </row>
    <row r="279" ht="15" customHeight="1" s="37">
      <c r="A279" t="n">
        <v>10</v>
      </c>
      <c r="B279" s="10" t="inlineStr">
        <is>
          <t>休日</t>
        </is>
      </c>
      <c r="C279" s="10" t="inlineStr">
        <is>
          <t>本線</t>
        </is>
      </c>
      <c r="D279" s="10" t="inlineStr">
        <is>
          <t>上り</t>
        </is>
      </c>
      <c r="E279" t="inlineStr">
        <is>
          <t>2112</t>
        </is>
      </c>
      <c r="F279" t="inlineStr">
        <is>
          <t>0221</t>
        </is>
      </c>
      <c r="G279" s="10" t="inlineStr">
        <is>
          <t>車折</t>
        </is>
      </c>
      <c r="H279" s="10" t="inlineStr">
        <is>
          <t>発</t>
        </is>
      </c>
      <c r="J279" s="10" t="inlineStr">
        <is>
          <t>営業</t>
        </is>
      </c>
      <c r="L279" t="inlineStr">
        <is>
          <t>21:59:25</t>
        </is>
      </c>
      <c r="M279" t="inlineStr">
        <is>
          <t>21:59:40</t>
        </is>
      </c>
    </row>
    <row r="280" ht="15" customHeight="1" s="37">
      <c r="A280" t="n">
        <v>10</v>
      </c>
      <c r="B280" s="10" t="inlineStr">
        <is>
          <t>休日</t>
        </is>
      </c>
      <c r="C280" s="10" t="inlineStr">
        <is>
          <t>本線</t>
        </is>
      </c>
      <c r="D280" s="10" t="inlineStr">
        <is>
          <t>上り</t>
        </is>
      </c>
      <c r="E280" t="inlineStr">
        <is>
          <t>2112</t>
        </is>
      </c>
      <c r="F280" t="inlineStr">
        <is>
          <t>0221</t>
        </is>
      </c>
      <c r="G280" s="10" t="inlineStr">
        <is>
          <t>有栖川</t>
        </is>
      </c>
      <c r="H280" s="10" t="inlineStr">
        <is>
          <t>発</t>
        </is>
      </c>
      <c r="J280" s="10" t="inlineStr">
        <is>
          <t>営業</t>
        </is>
      </c>
      <c r="L280" t="inlineStr">
        <is>
          <t>22:01:05</t>
        </is>
      </c>
      <c r="M280" t="inlineStr">
        <is>
          <t>22:01:20</t>
        </is>
      </c>
    </row>
    <row r="281" ht="15" customHeight="1" s="37">
      <c r="A281" t="n">
        <v>10</v>
      </c>
      <c r="B281" s="10" t="inlineStr">
        <is>
          <t>休日</t>
        </is>
      </c>
      <c r="C281" s="10" t="inlineStr">
        <is>
          <t>本線</t>
        </is>
      </c>
      <c r="D281" s="10" t="inlineStr">
        <is>
          <t>上り</t>
        </is>
      </c>
      <c r="E281" t="inlineStr">
        <is>
          <t>2112</t>
        </is>
      </c>
      <c r="F281" t="inlineStr">
        <is>
          <t>0221</t>
        </is>
      </c>
      <c r="G281" s="10" t="inlineStr">
        <is>
          <t>帷子ノ辻</t>
        </is>
      </c>
      <c r="H281" s="10" t="inlineStr">
        <is>
          <t>発</t>
        </is>
      </c>
      <c r="J281" s="10" t="inlineStr">
        <is>
          <t>営業</t>
        </is>
      </c>
      <c r="L281" t="inlineStr">
        <is>
          <t>22:02:35</t>
        </is>
      </c>
      <c r="M281" t="inlineStr">
        <is>
          <t>22:03:05</t>
        </is>
      </c>
    </row>
    <row r="282" ht="15" customHeight="1" s="37">
      <c r="A282" t="n">
        <v>10</v>
      </c>
      <c r="B282" s="10" t="inlineStr">
        <is>
          <t>休日</t>
        </is>
      </c>
      <c r="C282" s="10" t="inlineStr">
        <is>
          <t>本線</t>
        </is>
      </c>
      <c r="D282" s="10" t="inlineStr">
        <is>
          <t>上り</t>
        </is>
      </c>
      <c r="E282" t="inlineStr">
        <is>
          <t>2112</t>
        </is>
      </c>
      <c r="F282" t="inlineStr">
        <is>
          <t>0221</t>
        </is>
      </c>
      <c r="G282" s="10" t="inlineStr">
        <is>
          <t>太秦広隆寺</t>
        </is>
      </c>
      <c r="H282" s="10" t="inlineStr">
        <is>
          <t>発</t>
        </is>
      </c>
      <c r="J282" s="10" t="inlineStr">
        <is>
          <t>営業</t>
        </is>
      </c>
      <c r="L282" t="inlineStr">
        <is>
          <t>22:05:15</t>
        </is>
      </c>
      <c r="M282" t="inlineStr">
        <is>
          <t>22:05:35</t>
        </is>
      </c>
    </row>
    <row r="283" ht="15" customHeight="1" s="37">
      <c r="A283" t="n">
        <v>10</v>
      </c>
      <c r="B283" s="10" t="inlineStr">
        <is>
          <t>休日</t>
        </is>
      </c>
      <c r="C283" s="10" t="inlineStr">
        <is>
          <t>本線</t>
        </is>
      </c>
      <c r="D283" s="10" t="inlineStr">
        <is>
          <t>上り</t>
        </is>
      </c>
      <c r="E283" t="inlineStr">
        <is>
          <t>2112</t>
        </is>
      </c>
      <c r="F283" t="inlineStr">
        <is>
          <t>0221</t>
        </is>
      </c>
      <c r="G283" s="10" t="inlineStr">
        <is>
          <t>蚕ノ社</t>
        </is>
      </c>
      <c r="H283" s="10" t="inlineStr">
        <is>
          <t>発</t>
        </is>
      </c>
      <c r="J283" s="10" t="inlineStr">
        <is>
          <t>営業</t>
        </is>
      </c>
      <c r="L283" t="inlineStr">
        <is>
          <t>22:06:50</t>
        </is>
      </c>
      <c r="M283" t="inlineStr">
        <is>
          <t>22:07:10</t>
        </is>
      </c>
    </row>
    <row r="284" ht="15" customHeight="1" s="37">
      <c r="A284" t="n">
        <v>10</v>
      </c>
      <c r="B284" s="10" t="inlineStr">
        <is>
          <t>休日</t>
        </is>
      </c>
      <c r="C284" s="10" t="inlineStr">
        <is>
          <t>本線</t>
        </is>
      </c>
      <c r="D284" s="10" t="inlineStr">
        <is>
          <t>上り</t>
        </is>
      </c>
      <c r="E284" t="inlineStr">
        <is>
          <t>2112</t>
        </is>
      </c>
      <c r="F284" t="inlineStr">
        <is>
          <t>0221</t>
        </is>
      </c>
      <c r="G284" s="10" t="inlineStr">
        <is>
          <t>天神川</t>
        </is>
      </c>
      <c r="H284" s="10" t="inlineStr">
        <is>
          <t>発</t>
        </is>
      </c>
      <c r="J284" s="10" t="inlineStr">
        <is>
          <t>営業</t>
        </is>
      </c>
      <c r="L284" t="inlineStr">
        <is>
          <t>22:07:55</t>
        </is>
      </c>
      <c r="M284" t="inlineStr">
        <is>
          <t>22:08:20</t>
        </is>
      </c>
    </row>
    <row r="285" ht="15" customHeight="1" s="37">
      <c r="A285" t="n">
        <v>10</v>
      </c>
      <c r="B285" s="10" t="inlineStr">
        <is>
          <t>休日</t>
        </is>
      </c>
      <c r="C285" s="10" t="inlineStr">
        <is>
          <t>本線</t>
        </is>
      </c>
      <c r="D285" s="10" t="inlineStr">
        <is>
          <t>上り</t>
        </is>
      </c>
      <c r="E285" t="inlineStr">
        <is>
          <t>2112</t>
        </is>
      </c>
      <c r="F285" t="inlineStr">
        <is>
          <t>0221</t>
        </is>
      </c>
      <c r="G285" s="10" t="inlineStr">
        <is>
          <t>山ノ内</t>
        </is>
      </c>
      <c r="H285" s="10" t="inlineStr">
        <is>
          <t>発</t>
        </is>
      </c>
      <c r="J285" s="10" t="inlineStr">
        <is>
          <t>営業</t>
        </is>
      </c>
      <c r="L285" t="inlineStr">
        <is>
          <t>22:10:10</t>
        </is>
      </c>
      <c r="M285" t="inlineStr">
        <is>
          <t>22:10:35</t>
        </is>
      </c>
    </row>
    <row r="286" ht="15" customHeight="1" s="37">
      <c r="A286" t="n">
        <v>10</v>
      </c>
      <c r="B286" s="10" t="inlineStr">
        <is>
          <t>休日</t>
        </is>
      </c>
      <c r="C286" s="10" t="inlineStr">
        <is>
          <t>本線</t>
        </is>
      </c>
      <c r="D286" s="10" t="inlineStr">
        <is>
          <t>上り</t>
        </is>
      </c>
      <c r="E286" t="inlineStr">
        <is>
          <t>2112</t>
        </is>
      </c>
      <c r="F286" t="inlineStr">
        <is>
          <t>0221</t>
        </is>
      </c>
      <c r="G286" s="10" t="inlineStr">
        <is>
          <t>西大路三条</t>
        </is>
      </c>
      <c r="H286" s="10" t="inlineStr">
        <is>
          <t>発</t>
        </is>
      </c>
      <c r="J286" s="10" t="inlineStr">
        <is>
          <t>営業</t>
        </is>
      </c>
      <c r="L286" t="inlineStr">
        <is>
          <t>22:12:25</t>
        </is>
      </c>
      <c r="M286" t="inlineStr">
        <is>
          <t>22:12:40</t>
        </is>
      </c>
    </row>
    <row r="287" ht="15" customHeight="1" s="37">
      <c r="A287" t="n">
        <v>10</v>
      </c>
      <c r="B287" s="10" t="inlineStr">
        <is>
          <t>休日</t>
        </is>
      </c>
      <c r="C287" s="10" t="inlineStr">
        <is>
          <t>本線</t>
        </is>
      </c>
      <c r="D287" s="10" t="inlineStr">
        <is>
          <t>上り</t>
        </is>
      </c>
      <c r="E287" t="inlineStr">
        <is>
          <t>2112</t>
        </is>
      </c>
      <c r="F287" t="inlineStr">
        <is>
          <t>0221</t>
        </is>
      </c>
      <c r="G287" s="10" t="inlineStr">
        <is>
          <t>西院</t>
        </is>
      </c>
      <c r="H287" s="10" t="inlineStr">
        <is>
          <t>着</t>
        </is>
      </c>
      <c r="J287" s="10" t="inlineStr">
        <is>
          <t>営業</t>
        </is>
      </c>
      <c r="L287" t="inlineStr">
        <is>
          <t>22:14:35</t>
        </is>
      </c>
      <c r="M287" t="inlineStr">
        <is>
          <t>22:15:05</t>
        </is>
      </c>
      <c r="T287" t="inlineStr">
        <is>
          <t>○</t>
        </is>
      </c>
    </row>
    <row r="288" ht="15" customHeight="1" s="37">
      <c r="A288" t="n">
        <v>10</v>
      </c>
      <c r="B288" s="10" t="inlineStr">
        <is>
          <t>休日</t>
        </is>
      </c>
      <c r="C288" s="10" t="inlineStr">
        <is>
          <t>本線</t>
        </is>
      </c>
      <c r="D288" s="10" t="inlineStr">
        <is>
          <t>下り</t>
        </is>
      </c>
      <c r="E288" s="10" t="inlineStr">
        <is>
          <t>連1401</t>
        </is>
      </c>
      <c r="F288" t="inlineStr">
        <is>
          <t>0112</t>
        </is>
      </c>
      <c r="G288" s="10" t="inlineStr">
        <is>
          <t>西院</t>
        </is>
      </c>
      <c r="H288" s="10" t="inlineStr">
        <is>
          <t>発</t>
        </is>
      </c>
      <c r="J288" s="10" t="inlineStr">
        <is>
          <t>営業</t>
        </is>
      </c>
      <c r="L288" t="inlineStr">
        <is>
          <t>14:05:50</t>
        </is>
      </c>
      <c r="M288" t="inlineStr">
        <is>
          <t>14:06:20</t>
        </is>
      </c>
      <c r="P288" t="inlineStr">
        <is>
          <t>A系統(終日)</t>
        </is>
      </c>
    </row>
    <row r="289" ht="15" customHeight="1" s="37">
      <c r="A289" t="n">
        <v>10</v>
      </c>
      <c r="B289" s="10" t="inlineStr">
        <is>
          <t>休日</t>
        </is>
      </c>
      <c r="C289" s="10" t="inlineStr">
        <is>
          <t>本線</t>
        </is>
      </c>
      <c r="D289" s="10" t="inlineStr">
        <is>
          <t>下り</t>
        </is>
      </c>
      <c r="E289" s="10" t="inlineStr">
        <is>
          <t>連1401</t>
        </is>
      </c>
      <c r="F289" t="inlineStr">
        <is>
          <t>0112</t>
        </is>
      </c>
      <c r="G289" s="10" t="inlineStr">
        <is>
          <t>西大路三条</t>
        </is>
      </c>
      <c r="H289" s="10" t="inlineStr">
        <is>
          <t>発</t>
        </is>
      </c>
      <c r="J289" s="10" t="inlineStr">
        <is>
          <t>営業</t>
        </is>
      </c>
      <c r="L289" t="inlineStr">
        <is>
          <t>14:08:10</t>
        </is>
      </c>
      <c r="M289" t="inlineStr">
        <is>
          <t>14:08:30</t>
        </is>
      </c>
      <c r="P289" t="inlineStr">
        <is>
          <t>A系統(終日)</t>
        </is>
      </c>
    </row>
    <row r="290" ht="15" customHeight="1" s="37">
      <c r="A290" t="n">
        <v>10</v>
      </c>
      <c r="B290" s="10" t="inlineStr">
        <is>
          <t>休日</t>
        </is>
      </c>
      <c r="C290" s="10" t="inlineStr">
        <is>
          <t>本線</t>
        </is>
      </c>
      <c r="D290" s="10" t="inlineStr">
        <is>
          <t>下り</t>
        </is>
      </c>
      <c r="E290" s="10" t="inlineStr">
        <is>
          <t>連1401</t>
        </is>
      </c>
      <c r="F290" t="inlineStr">
        <is>
          <t>0112</t>
        </is>
      </c>
      <c r="G290" s="10" t="inlineStr">
        <is>
          <t>山ノ内</t>
        </is>
      </c>
      <c r="H290" s="10" t="inlineStr">
        <is>
          <t>発</t>
        </is>
      </c>
      <c r="J290" s="10" t="inlineStr">
        <is>
          <t>営業</t>
        </is>
      </c>
      <c r="L290" t="inlineStr">
        <is>
          <t>14:10:25</t>
        </is>
      </c>
      <c r="M290" t="inlineStr">
        <is>
          <t>14:10:50</t>
        </is>
      </c>
      <c r="P290" t="inlineStr">
        <is>
          <t>A系統(終日)</t>
        </is>
      </c>
    </row>
    <row r="291" ht="15" customHeight="1" s="37">
      <c r="A291" t="n">
        <v>10</v>
      </c>
      <c r="B291" s="10" t="inlineStr">
        <is>
          <t>休日</t>
        </is>
      </c>
      <c r="C291" s="10" t="inlineStr">
        <is>
          <t>本線</t>
        </is>
      </c>
      <c r="D291" s="10" t="inlineStr">
        <is>
          <t>下り</t>
        </is>
      </c>
      <c r="E291" s="10" t="inlineStr">
        <is>
          <t>連1401</t>
        </is>
      </c>
      <c r="F291" t="inlineStr">
        <is>
          <t>0112</t>
        </is>
      </c>
      <c r="G291" s="10" t="inlineStr">
        <is>
          <t>天神川</t>
        </is>
      </c>
      <c r="H291" s="10" t="inlineStr">
        <is>
          <t>発</t>
        </is>
      </c>
      <c r="J291" s="10" t="inlineStr">
        <is>
          <t>営業</t>
        </is>
      </c>
      <c r="L291" t="inlineStr">
        <is>
          <t>14:12:50</t>
        </is>
      </c>
      <c r="M291" t="inlineStr">
        <is>
          <t>14:13:30</t>
        </is>
      </c>
      <c r="P291" t="inlineStr">
        <is>
          <t>A系統(終日)</t>
        </is>
      </c>
    </row>
    <row r="292" ht="15" customHeight="1" s="37">
      <c r="A292" t="n">
        <v>10</v>
      </c>
      <c r="B292" s="10" t="inlineStr">
        <is>
          <t>休日</t>
        </is>
      </c>
      <c r="C292" s="10" t="inlineStr">
        <is>
          <t>本線</t>
        </is>
      </c>
      <c r="D292" s="10" t="inlineStr">
        <is>
          <t>下り</t>
        </is>
      </c>
      <c r="E292" s="10" t="inlineStr">
        <is>
          <t>連1401</t>
        </is>
      </c>
      <c r="F292" t="inlineStr">
        <is>
          <t>0112</t>
        </is>
      </c>
      <c r="G292" s="10" t="inlineStr">
        <is>
          <t>蚕ノ社</t>
        </is>
      </c>
      <c r="H292" s="10" t="inlineStr">
        <is>
          <t>発</t>
        </is>
      </c>
      <c r="J292" s="10" t="inlineStr">
        <is>
          <t>営業</t>
        </is>
      </c>
      <c r="L292" t="inlineStr">
        <is>
          <t>14:14:20</t>
        </is>
      </c>
      <c r="M292" t="inlineStr">
        <is>
          <t>14:14:40</t>
        </is>
      </c>
      <c r="P292" t="inlineStr">
        <is>
          <t>A系統(終日)</t>
        </is>
      </c>
    </row>
    <row r="293" ht="15" customHeight="1" s="37">
      <c r="A293" t="n">
        <v>10</v>
      </c>
      <c r="B293" s="10" t="inlineStr">
        <is>
          <t>休日</t>
        </is>
      </c>
      <c r="C293" s="10" t="inlineStr">
        <is>
          <t>本線</t>
        </is>
      </c>
      <c r="D293" s="10" t="inlineStr">
        <is>
          <t>下り</t>
        </is>
      </c>
      <c r="E293" s="10" t="inlineStr">
        <is>
          <t>連1401</t>
        </is>
      </c>
      <c r="F293" t="inlineStr">
        <is>
          <t>0112</t>
        </is>
      </c>
      <c r="G293" s="10" t="inlineStr">
        <is>
          <t>太秦広隆寺</t>
        </is>
      </c>
      <c r="H293" s="10" t="inlineStr">
        <is>
          <t>発</t>
        </is>
      </c>
      <c r="J293" s="10" t="inlineStr">
        <is>
          <t>営業</t>
        </is>
      </c>
      <c r="L293" t="inlineStr">
        <is>
          <t>14:16:00</t>
        </is>
      </c>
      <c r="M293" t="inlineStr">
        <is>
          <t>14:16:20</t>
        </is>
      </c>
      <c r="P293" t="inlineStr">
        <is>
          <t>A系統(終日)</t>
        </is>
      </c>
    </row>
    <row r="294" ht="15" customHeight="1" s="37">
      <c r="A294" t="n">
        <v>10</v>
      </c>
      <c r="B294" s="10" t="inlineStr">
        <is>
          <t>休日</t>
        </is>
      </c>
      <c r="C294" s="10" t="inlineStr">
        <is>
          <t>本線</t>
        </is>
      </c>
      <c r="D294" s="10" t="inlineStr">
        <is>
          <t>下り</t>
        </is>
      </c>
      <c r="E294" s="10" t="inlineStr">
        <is>
          <t>連1401</t>
        </is>
      </c>
      <c r="F294" t="inlineStr">
        <is>
          <t>0112</t>
        </is>
      </c>
      <c r="G294" s="10" t="inlineStr">
        <is>
          <t>帷子ノ辻</t>
        </is>
      </c>
      <c r="H294" s="10" t="inlineStr">
        <is>
          <t>発</t>
        </is>
      </c>
      <c r="J294" s="10" t="inlineStr">
        <is>
          <t>営業</t>
        </is>
      </c>
      <c r="L294" t="inlineStr">
        <is>
          <t>14:18:20</t>
        </is>
      </c>
      <c r="M294" t="inlineStr">
        <is>
          <t>14:19:40</t>
        </is>
      </c>
      <c r="P294" t="inlineStr">
        <is>
          <t>A系統(終日)</t>
        </is>
      </c>
    </row>
    <row r="295" ht="15" customHeight="1" s="37">
      <c r="A295" t="n">
        <v>10</v>
      </c>
      <c r="B295" s="10" t="inlineStr">
        <is>
          <t>休日</t>
        </is>
      </c>
      <c r="C295" s="10" t="inlineStr">
        <is>
          <t>本線</t>
        </is>
      </c>
      <c r="D295" s="10" t="inlineStr">
        <is>
          <t>下り</t>
        </is>
      </c>
      <c r="E295" s="10" t="inlineStr">
        <is>
          <t>連1401</t>
        </is>
      </c>
      <c r="F295" t="inlineStr">
        <is>
          <t>0112</t>
        </is>
      </c>
      <c r="G295" s="10" t="inlineStr">
        <is>
          <t>有栖川</t>
        </is>
      </c>
      <c r="H295" s="10" t="inlineStr">
        <is>
          <t>発</t>
        </is>
      </c>
      <c r="J295" s="10" t="inlineStr">
        <is>
          <t>営業</t>
        </is>
      </c>
      <c r="L295" t="inlineStr">
        <is>
          <t>14:20:50</t>
        </is>
      </c>
      <c r="M295" t="inlineStr">
        <is>
          <t>14:21:15</t>
        </is>
      </c>
      <c r="P295" t="inlineStr">
        <is>
          <t>A系統(終日)</t>
        </is>
      </c>
    </row>
    <row r="296" ht="15" customHeight="1" s="37">
      <c r="A296" t="n">
        <v>10</v>
      </c>
      <c r="B296" s="10" t="inlineStr">
        <is>
          <t>休日</t>
        </is>
      </c>
      <c r="C296" s="10" t="inlineStr">
        <is>
          <t>本線</t>
        </is>
      </c>
      <c r="D296" s="10" t="inlineStr">
        <is>
          <t>下り</t>
        </is>
      </c>
      <c r="E296" s="10" t="inlineStr">
        <is>
          <t>連1401</t>
        </is>
      </c>
      <c r="F296" t="inlineStr">
        <is>
          <t>0112</t>
        </is>
      </c>
      <c r="G296" s="10" t="inlineStr">
        <is>
          <t>車折</t>
        </is>
      </c>
      <c r="H296" s="10" t="inlineStr">
        <is>
          <t>発</t>
        </is>
      </c>
      <c r="J296" s="10" t="inlineStr">
        <is>
          <t>営業</t>
        </is>
      </c>
      <c r="L296" t="inlineStr">
        <is>
          <t>14:22:40</t>
        </is>
      </c>
      <c r="M296" t="inlineStr">
        <is>
          <t>14:23:05</t>
        </is>
      </c>
      <c r="P296" t="inlineStr">
        <is>
          <t>A系統(終日)</t>
        </is>
      </c>
    </row>
    <row r="297" ht="15" customHeight="1" s="37">
      <c r="A297" t="n">
        <v>10</v>
      </c>
      <c r="B297" s="10" t="inlineStr">
        <is>
          <t>休日</t>
        </is>
      </c>
      <c r="C297" s="10" t="inlineStr">
        <is>
          <t>本線</t>
        </is>
      </c>
      <c r="D297" s="10" t="inlineStr">
        <is>
          <t>下り</t>
        </is>
      </c>
      <c r="E297" s="10" t="inlineStr">
        <is>
          <t>連1401</t>
        </is>
      </c>
      <c r="F297" t="inlineStr">
        <is>
          <t>0112</t>
        </is>
      </c>
      <c r="G297" s="10" t="inlineStr">
        <is>
          <t>鹿王院</t>
        </is>
      </c>
      <c r="H297" s="10" t="inlineStr">
        <is>
          <t>発</t>
        </is>
      </c>
      <c r="J297" s="10" t="inlineStr">
        <is>
          <t>営業</t>
        </is>
      </c>
      <c r="L297" t="inlineStr">
        <is>
          <t>14:24:00</t>
        </is>
      </c>
      <c r="M297" t="inlineStr">
        <is>
          <t>14:24:25</t>
        </is>
      </c>
      <c r="P297" t="inlineStr">
        <is>
          <t>A系統(終日)</t>
        </is>
      </c>
    </row>
    <row r="298" ht="15" customHeight="1" s="37">
      <c r="A298" t="n">
        <v>10</v>
      </c>
      <c r="B298" s="10" t="inlineStr">
        <is>
          <t>休日</t>
        </is>
      </c>
      <c r="C298" s="10" t="inlineStr">
        <is>
          <t>本線</t>
        </is>
      </c>
      <c r="D298" s="10" t="inlineStr">
        <is>
          <t>下り</t>
        </is>
      </c>
      <c r="E298" s="10" t="inlineStr">
        <is>
          <t>連1401</t>
        </is>
      </c>
      <c r="F298" t="inlineStr">
        <is>
          <t>0112</t>
        </is>
      </c>
      <c r="G298" s="10" t="inlineStr">
        <is>
          <t>嵯峨</t>
        </is>
      </c>
      <c r="H298" s="10" t="inlineStr">
        <is>
          <t>発</t>
        </is>
      </c>
      <c r="J298" s="10" t="inlineStr">
        <is>
          <t>営業</t>
        </is>
      </c>
      <c r="L298" t="inlineStr">
        <is>
          <t>14:25:30</t>
        </is>
      </c>
      <c r="M298" t="inlineStr">
        <is>
          <t>14:25:55</t>
        </is>
      </c>
      <c r="P298" t="inlineStr">
        <is>
          <t>A系統(終日)</t>
        </is>
      </c>
    </row>
    <row r="299" ht="15" customHeight="1" s="37">
      <c r="A299" t="n">
        <v>10</v>
      </c>
      <c r="B299" s="10" t="inlineStr">
        <is>
          <t>休日</t>
        </is>
      </c>
      <c r="C299" s="10" t="inlineStr">
        <is>
          <t>本線</t>
        </is>
      </c>
      <c r="D299" s="10" t="inlineStr">
        <is>
          <t>下り</t>
        </is>
      </c>
      <c r="E299" s="10" t="inlineStr">
        <is>
          <t>連1401</t>
        </is>
      </c>
      <c r="F299" t="inlineStr">
        <is>
          <t>0112</t>
        </is>
      </c>
      <c r="G299" s="10" t="inlineStr">
        <is>
          <t>嵐山</t>
        </is>
      </c>
      <c r="H299" s="10" t="inlineStr">
        <is>
          <t>着</t>
        </is>
      </c>
      <c r="J299" s="10" t="inlineStr">
        <is>
          <t>営業</t>
        </is>
      </c>
      <c r="L299" t="inlineStr">
        <is>
          <t>14:27:00</t>
        </is>
      </c>
      <c r="P299" t="inlineStr">
        <is>
          <t>A系統(終日)</t>
        </is>
      </c>
      <c r="Q299" t="inlineStr">
        <is>
          <t>1</t>
        </is>
      </c>
    </row>
    <row r="300" ht="15" customHeight="1" s="37">
      <c r="A300" t="n">
        <v>10</v>
      </c>
      <c r="B300" s="10" t="inlineStr">
        <is>
          <t>休日</t>
        </is>
      </c>
      <c r="C300" s="10" t="inlineStr">
        <is>
          <t>本線</t>
        </is>
      </c>
      <c r="D300" s="10" t="inlineStr">
        <is>
          <t>上り</t>
        </is>
      </c>
      <c r="E300" s="10" t="inlineStr">
        <is>
          <t>連1408</t>
        </is>
      </c>
      <c r="F300" t="inlineStr">
        <is>
          <t>0211</t>
        </is>
      </c>
      <c r="G300" s="10" t="inlineStr">
        <is>
          <t>嵐山</t>
        </is>
      </c>
      <c r="H300" s="10" t="inlineStr">
        <is>
          <t>発</t>
        </is>
      </c>
      <c r="J300" s="10" t="inlineStr">
        <is>
          <t>営業</t>
        </is>
      </c>
      <c r="M300" t="inlineStr">
        <is>
          <t>14:33:00</t>
        </is>
      </c>
      <c r="P300" t="inlineStr">
        <is>
          <t>A系統(終日)</t>
        </is>
      </c>
      <c r="Q300" t="inlineStr">
        <is>
          <t>1</t>
        </is>
      </c>
    </row>
    <row r="301" ht="15" customHeight="1" s="37">
      <c r="A301" t="n">
        <v>10</v>
      </c>
      <c r="B301" s="10" t="inlineStr">
        <is>
          <t>休日</t>
        </is>
      </c>
      <c r="C301" s="10" t="inlineStr">
        <is>
          <t>本線</t>
        </is>
      </c>
      <c r="D301" s="10" t="inlineStr">
        <is>
          <t>上り</t>
        </is>
      </c>
      <c r="E301" s="10" t="inlineStr">
        <is>
          <t>連1408</t>
        </is>
      </c>
      <c r="F301" t="inlineStr">
        <is>
          <t>0211</t>
        </is>
      </c>
      <c r="G301" s="10" t="inlineStr">
        <is>
          <t>嵯峨</t>
        </is>
      </c>
      <c r="H301" s="10" t="inlineStr">
        <is>
          <t>発</t>
        </is>
      </c>
      <c r="J301" s="10" t="inlineStr">
        <is>
          <t>営業</t>
        </is>
      </c>
      <c r="L301" t="inlineStr">
        <is>
          <t>14:33:55</t>
        </is>
      </c>
      <c r="M301" t="inlineStr">
        <is>
          <t>14:34:20</t>
        </is>
      </c>
      <c r="P301" t="inlineStr">
        <is>
          <t>A系統(終日)</t>
        </is>
      </c>
    </row>
    <row r="302" ht="15" customHeight="1" s="37">
      <c r="A302" t="n">
        <v>10</v>
      </c>
      <c r="B302" s="10" t="inlineStr">
        <is>
          <t>休日</t>
        </is>
      </c>
      <c r="C302" s="10" t="inlineStr">
        <is>
          <t>本線</t>
        </is>
      </c>
      <c r="D302" s="10" t="inlineStr">
        <is>
          <t>上り</t>
        </is>
      </c>
      <c r="E302" s="10" t="inlineStr">
        <is>
          <t>連1408</t>
        </is>
      </c>
      <c r="F302" t="inlineStr">
        <is>
          <t>0211</t>
        </is>
      </c>
      <c r="G302" s="10" t="inlineStr">
        <is>
          <t>鹿王院</t>
        </is>
      </c>
      <c r="H302" s="10" t="inlineStr">
        <is>
          <t>発</t>
        </is>
      </c>
      <c r="J302" s="10" t="inlineStr">
        <is>
          <t>営業</t>
        </is>
      </c>
      <c r="L302" t="inlineStr">
        <is>
          <t>14:35:25</t>
        </is>
      </c>
      <c r="M302" t="inlineStr">
        <is>
          <t>14:35:45</t>
        </is>
      </c>
      <c r="P302" t="inlineStr">
        <is>
          <t>A系統(終日)</t>
        </is>
      </c>
    </row>
    <row r="303" ht="15" customHeight="1" s="37">
      <c r="A303" t="n">
        <v>10</v>
      </c>
      <c r="B303" s="10" t="inlineStr">
        <is>
          <t>休日</t>
        </is>
      </c>
      <c r="C303" s="10" t="inlineStr">
        <is>
          <t>本線</t>
        </is>
      </c>
      <c r="D303" s="10" t="inlineStr">
        <is>
          <t>上り</t>
        </is>
      </c>
      <c r="E303" s="10" t="inlineStr">
        <is>
          <t>連1408</t>
        </is>
      </c>
      <c r="F303" t="inlineStr">
        <is>
          <t>0211</t>
        </is>
      </c>
      <c r="G303" s="10" t="inlineStr">
        <is>
          <t>車折</t>
        </is>
      </c>
      <c r="H303" s="10" t="inlineStr">
        <is>
          <t>発</t>
        </is>
      </c>
      <c r="J303" s="10" t="inlineStr">
        <is>
          <t>営業</t>
        </is>
      </c>
      <c r="L303" t="inlineStr">
        <is>
          <t>14:36:40</t>
        </is>
      </c>
      <c r="M303" t="inlineStr">
        <is>
          <t>14:37:10</t>
        </is>
      </c>
      <c r="P303" t="inlineStr">
        <is>
          <t>A系統(終日)</t>
        </is>
      </c>
    </row>
    <row r="304" ht="15" customHeight="1" s="37">
      <c r="A304" t="n">
        <v>10</v>
      </c>
      <c r="B304" s="10" t="inlineStr">
        <is>
          <t>休日</t>
        </is>
      </c>
      <c r="C304" s="10" t="inlineStr">
        <is>
          <t>本線</t>
        </is>
      </c>
      <c r="D304" s="10" t="inlineStr">
        <is>
          <t>上り</t>
        </is>
      </c>
      <c r="E304" s="10" t="inlineStr">
        <is>
          <t>連1408</t>
        </is>
      </c>
      <c r="F304" t="inlineStr">
        <is>
          <t>0211</t>
        </is>
      </c>
      <c r="G304" s="10" t="inlineStr">
        <is>
          <t>有栖川</t>
        </is>
      </c>
      <c r="H304" s="10" t="inlineStr">
        <is>
          <t>発</t>
        </is>
      </c>
      <c r="J304" s="10" t="inlineStr">
        <is>
          <t>営業</t>
        </is>
      </c>
      <c r="L304" t="inlineStr">
        <is>
          <t>14:38:35</t>
        </is>
      </c>
      <c r="M304" t="inlineStr">
        <is>
          <t>14:38:55</t>
        </is>
      </c>
      <c r="P304" t="inlineStr">
        <is>
          <t>A系統(終日)</t>
        </is>
      </c>
    </row>
    <row r="305" ht="15" customHeight="1" s="37">
      <c r="A305" t="n">
        <v>10</v>
      </c>
      <c r="B305" s="10" t="inlineStr">
        <is>
          <t>休日</t>
        </is>
      </c>
      <c r="C305" s="10" t="inlineStr">
        <is>
          <t>本線</t>
        </is>
      </c>
      <c r="D305" s="10" t="inlineStr">
        <is>
          <t>上り</t>
        </is>
      </c>
      <c r="E305" s="10" t="inlineStr">
        <is>
          <t>連1408</t>
        </is>
      </c>
      <c r="F305" t="inlineStr">
        <is>
          <t>0211</t>
        </is>
      </c>
      <c r="G305" s="10" t="inlineStr">
        <is>
          <t>帷子ノ辻</t>
        </is>
      </c>
      <c r="H305" s="10" t="inlineStr">
        <is>
          <t>発</t>
        </is>
      </c>
      <c r="J305" s="10" t="inlineStr">
        <is>
          <t>営業</t>
        </is>
      </c>
      <c r="L305" t="inlineStr">
        <is>
          <t>14:40:10</t>
        </is>
      </c>
      <c r="M305" t="inlineStr">
        <is>
          <t>14:41:15</t>
        </is>
      </c>
      <c r="P305" t="inlineStr">
        <is>
          <t>A系統(終日)</t>
        </is>
      </c>
    </row>
    <row r="306" ht="15" customHeight="1" s="37">
      <c r="A306" t="n">
        <v>10</v>
      </c>
      <c r="B306" s="10" t="inlineStr">
        <is>
          <t>休日</t>
        </is>
      </c>
      <c r="C306" s="10" t="inlineStr">
        <is>
          <t>本線</t>
        </is>
      </c>
      <c r="D306" s="10" t="inlineStr">
        <is>
          <t>上り</t>
        </is>
      </c>
      <c r="E306" s="10" t="inlineStr">
        <is>
          <t>連1408</t>
        </is>
      </c>
      <c r="F306" t="inlineStr">
        <is>
          <t>0211</t>
        </is>
      </c>
      <c r="G306" s="10" t="inlineStr">
        <is>
          <t>太秦広隆寺</t>
        </is>
      </c>
      <c r="H306" s="10" t="inlineStr">
        <is>
          <t>発</t>
        </is>
      </c>
      <c r="J306" s="10" t="inlineStr">
        <is>
          <t>営業</t>
        </is>
      </c>
      <c r="L306" t="inlineStr">
        <is>
          <t>14:43:25</t>
        </is>
      </c>
      <c r="M306" t="inlineStr">
        <is>
          <t>14:43:45</t>
        </is>
      </c>
      <c r="P306" t="inlineStr">
        <is>
          <t>A系統(終日)</t>
        </is>
      </c>
    </row>
    <row r="307" ht="15" customHeight="1" s="37">
      <c r="A307" t="n">
        <v>10</v>
      </c>
      <c r="B307" s="10" t="inlineStr">
        <is>
          <t>休日</t>
        </is>
      </c>
      <c r="C307" s="10" t="inlineStr">
        <is>
          <t>本線</t>
        </is>
      </c>
      <c r="D307" s="10" t="inlineStr">
        <is>
          <t>上り</t>
        </is>
      </c>
      <c r="E307" s="10" t="inlineStr">
        <is>
          <t>連1408</t>
        </is>
      </c>
      <c r="F307" t="inlineStr">
        <is>
          <t>0211</t>
        </is>
      </c>
      <c r="G307" s="10" t="inlineStr">
        <is>
          <t>蚕ノ社</t>
        </is>
      </c>
      <c r="H307" s="10" t="inlineStr">
        <is>
          <t>発</t>
        </is>
      </c>
      <c r="J307" s="10" t="inlineStr">
        <is>
          <t>営業</t>
        </is>
      </c>
      <c r="L307" t="inlineStr">
        <is>
          <t>14:45:00</t>
        </is>
      </c>
      <c r="M307" t="inlineStr">
        <is>
          <t>14:45:20</t>
        </is>
      </c>
      <c r="P307" t="inlineStr">
        <is>
          <t>A系統(終日)</t>
        </is>
      </c>
    </row>
    <row r="308" ht="15" customHeight="1" s="37">
      <c r="A308" t="n">
        <v>10</v>
      </c>
      <c r="B308" s="10" t="inlineStr">
        <is>
          <t>休日</t>
        </is>
      </c>
      <c r="C308" s="10" t="inlineStr">
        <is>
          <t>本線</t>
        </is>
      </c>
      <c r="D308" s="10" t="inlineStr">
        <is>
          <t>上り</t>
        </is>
      </c>
      <c r="E308" s="10" t="inlineStr">
        <is>
          <t>連1408</t>
        </is>
      </c>
      <c r="F308" t="inlineStr">
        <is>
          <t>0211</t>
        </is>
      </c>
      <c r="G308" s="10" t="inlineStr">
        <is>
          <t>天神川</t>
        </is>
      </c>
      <c r="H308" s="10" t="inlineStr">
        <is>
          <t>発</t>
        </is>
      </c>
      <c r="J308" s="10" t="inlineStr">
        <is>
          <t>営業</t>
        </is>
      </c>
      <c r="L308" t="inlineStr">
        <is>
          <t>14:46:05</t>
        </is>
      </c>
      <c r="M308" t="inlineStr">
        <is>
          <t>14:46:50</t>
        </is>
      </c>
      <c r="P308" t="inlineStr">
        <is>
          <t>A系統(終日)</t>
        </is>
      </c>
    </row>
    <row r="309" ht="15" customHeight="1" s="37">
      <c r="A309" t="n">
        <v>10</v>
      </c>
      <c r="B309" s="10" t="inlineStr">
        <is>
          <t>休日</t>
        </is>
      </c>
      <c r="C309" s="10" t="inlineStr">
        <is>
          <t>本線</t>
        </is>
      </c>
      <c r="D309" s="10" t="inlineStr">
        <is>
          <t>上り</t>
        </is>
      </c>
      <c r="E309" s="10" t="inlineStr">
        <is>
          <t>連1408</t>
        </is>
      </c>
      <c r="F309" t="inlineStr">
        <is>
          <t>0211</t>
        </is>
      </c>
      <c r="G309" s="10" t="inlineStr">
        <is>
          <t>山ノ内</t>
        </is>
      </c>
      <c r="H309" s="10" t="inlineStr">
        <is>
          <t>発</t>
        </is>
      </c>
      <c r="J309" s="10" t="inlineStr">
        <is>
          <t>営業</t>
        </is>
      </c>
      <c r="L309" t="inlineStr">
        <is>
          <t>14:48:40</t>
        </is>
      </c>
      <c r="M309" t="inlineStr">
        <is>
          <t>14:49:05</t>
        </is>
      </c>
      <c r="P309" t="inlineStr">
        <is>
          <t>A系統(終日)</t>
        </is>
      </c>
    </row>
    <row r="310" ht="15" customHeight="1" s="37">
      <c r="A310" t="n">
        <v>10</v>
      </c>
      <c r="B310" s="10" t="inlineStr">
        <is>
          <t>休日</t>
        </is>
      </c>
      <c r="C310" s="10" t="inlineStr">
        <is>
          <t>本線</t>
        </is>
      </c>
      <c r="D310" s="10" t="inlineStr">
        <is>
          <t>上り</t>
        </is>
      </c>
      <c r="E310" s="10" t="inlineStr">
        <is>
          <t>連1408</t>
        </is>
      </c>
      <c r="F310" t="inlineStr">
        <is>
          <t>0211</t>
        </is>
      </c>
      <c r="G310" s="10" t="inlineStr">
        <is>
          <t>西大路三条</t>
        </is>
      </c>
      <c r="H310" s="10" t="inlineStr">
        <is>
          <t>発</t>
        </is>
      </c>
      <c r="J310" s="10" t="inlineStr">
        <is>
          <t>営業</t>
        </is>
      </c>
      <c r="L310" t="inlineStr">
        <is>
          <t>14:50:55</t>
        </is>
      </c>
      <c r="M310" t="inlineStr">
        <is>
          <t>14:51:15</t>
        </is>
      </c>
      <c r="P310" t="inlineStr">
        <is>
          <t>A系統(終日)</t>
        </is>
      </c>
    </row>
    <row r="311" ht="15" customHeight="1" s="37">
      <c r="A311" t="n">
        <v>10</v>
      </c>
      <c r="B311" s="10" t="inlineStr">
        <is>
          <t>休日</t>
        </is>
      </c>
      <c r="C311" s="10" t="inlineStr">
        <is>
          <t>本線</t>
        </is>
      </c>
      <c r="D311" s="10" t="inlineStr">
        <is>
          <t>上り</t>
        </is>
      </c>
      <c r="E311" s="10" t="inlineStr">
        <is>
          <t>連1408</t>
        </is>
      </c>
      <c r="F311" t="inlineStr">
        <is>
          <t>0211</t>
        </is>
      </c>
      <c r="G311" s="10" t="inlineStr">
        <is>
          <t>西院</t>
        </is>
      </c>
      <c r="H311" s="10" t="inlineStr">
        <is>
          <t>発</t>
        </is>
      </c>
      <c r="J311" s="10" t="inlineStr">
        <is>
          <t>営業</t>
        </is>
      </c>
      <c r="L311" t="inlineStr">
        <is>
          <t>14:53:10</t>
        </is>
      </c>
      <c r="M311" t="inlineStr">
        <is>
          <t>14:54:05</t>
        </is>
      </c>
      <c r="P311" t="inlineStr">
        <is>
          <t>A系統(終日)</t>
        </is>
      </c>
    </row>
    <row r="312" ht="15" customHeight="1" s="37">
      <c r="A312" t="n">
        <v>10</v>
      </c>
      <c r="B312" s="10" t="inlineStr">
        <is>
          <t>休日</t>
        </is>
      </c>
      <c r="C312" s="10" t="inlineStr">
        <is>
          <t>本線</t>
        </is>
      </c>
      <c r="D312" s="10" t="inlineStr">
        <is>
          <t>上り</t>
        </is>
      </c>
      <c r="E312" s="10" t="inlineStr">
        <is>
          <t>連1408</t>
        </is>
      </c>
      <c r="F312" t="inlineStr">
        <is>
          <t>0211</t>
        </is>
      </c>
      <c r="G312" s="10" t="inlineStr">
        <is>
          <t>四条大宮</t>
        </is>
      </c>
      <c r="H312" s="10" t="inlineStr">
        <is>
          <t>着</t>
        </is>
      </c>
      <c r="J312" s="10" t="inlineStr">
        <is>
          <t>営業</t>
        </is>
      </c>
      <c r="L312" t="inlineStr">
        <is>
          <t>14:57:00</t>
        </is>
      </c>
      <c r="P312" t="inlineStr">
        <is>
          <t>A系統(終日)</t>
        </is>
      </c>
      <c r="Q312" t="inlineStr">
        <is>
          <t>1</t>
        </is>
      </c>
    </row>
    <row r="313" ht="15" customHeight="1" s="37">
      <c r="A313" t="n">
        <v>10</v>
      </c>
      <c r="B313" s="10" t="inlineStr">
        <is>
          <t>休日</t>
        </is>
      </c>
      <c r="C313" s="10" t="inlineStr">
        <is>
          <t>本線</t>
        </is>
      </c>
      <c r="D313" s="10" t="inlineStr">
        <is>
          <t>下り</t>
        </is>
      </c>
      <c r="E313" s="10" t="inlineStr">
        <is>
          <t>連1501</t>
        </is>
      </c>
      <c r="F313" t="inlineStr">
        <is>
          <t>0112</t>
        </is>
      </c>
      <c r="G313" s="10" t="inlineStr">
        <is>
          <t>四条大宮</t>
        </is>
      </c>
      <c r="H313" s="10" t="inlineStr">
        <is>
          <t>発</t>
        </is>
      </c>
      <c r="J313" s="10" t="inlineStr">
        <is>
          <t>営業</t>
        </is>
      </c>
      <c r="M313" t="inlineStr">
        <is>
          <t>15:03:00</t>
        </is>
      </c>
      <c r="P313" t="inlineStr">
        <is>
          <t>A系統(終日)</t>
        </is>
      </c>
      <c r="Q313" t="inlineStr">
        <is>
          <t>1</t>
        </is>
      </c>
    </row>
    <row r="314" ht="15" customHeight="1" s="37">
      <c r="A314" t="n">
        <v>10</v>
      </c>
      <c r="B314" s="10" t="inlineStr">
        <is>
          <t>休日</t>
        </is>
      </c>
      <c r="C314" s="10" t="inlineStr">
        <is>
          <t>本線</t>
        </is>
      </c>
      <c r="D314" s="10" t="inlineStr">
        <is>
          <t>下り</t>
        </is>
      </c>
      <c r="E314" s="10" t="inlineStr">
        <is>
          <t>連1501</t>
        </is>
      </c>
      <c r="F314" t="inlineStr">
        <is>
          <t>0112</t>
        </is>
      </c>
      <c r="G314" s="10" t="inlineStr">
        <is>
          <t>西院</t>
        </is>
      </c>
      <c r="H314" s="10" t="inlineStr">
        <is>
          <t>発</t>
        </is>
      </c>
      <c r="J314" s="10" t="inlineStr">
        <is>
          <t>営業</t>
        </is>
      </c>
      <c r="L314" t="inlineStr">
        <is>
          <t>15:05:50</t>
        </is>
      </c>
      <c r="M314" t="inlineStr">
        <is>
          <t>15:06:20</t>
        </is>
      </c>
      <c r="P314" t="inlineStr">
        <is>
          <t>A系統(終日)</t>
        </is>
      </c>
    </row>
    <row r="315" ht="15" customHeight="1" s="37">
      <c r="A315" t="n">
        <v>10</v>
      </c>
      <c r="B315" s="10" t="inlineStr">
        <is>
          <t>休日</t>
        </is>
      </c>
      <c r="C315" s="10" t="inlineStr">
        <is>
          <t>本線</t>
        </is>
      </c>
      <c r="D315" s="10" t="inlineStr">
        <is>
          <t>下り</t>
        </is>
      </c>
      <c r="E315" s="10" t="inlineStr">
        <is>
          <t>連1501</t>
        </is>
      </c>
      <c r="F315" t="inlineStr">
        <is>
          <t>0112</t>
        </is>
      </c>
      <c r="G315" s="10" t="inlineStr">
        <is>
          <t>西大路三条</t>
        </is>
      </c>
      <c r="H315" s="10" t="inlineStr">
        <is>
          <t>発</t>
        </is>
      </c>
      <c r="J315" s="10" t="inlineStr">
        <is>
          <t>営業</t>
        </is>
      </c>
      <c r="L315" t="inlineStr">
        <is>
          <t>15:08:10</t>
        </is>
      </c>
      <c r="M315" t="inlineStr">
        <is>
          <t>15:08:30</t>
        </is>
      </c>
      <c r="P315" t="inlineStr">
        <is>
          <t>A系統(終日)</t>
        </is>
      </c>
    </row>
    <row r="316" ht="15" customHeight="1" s="37">
      <c r="A316" t="n">
        <v>10</v>
      </c>
      <c r="B316" s="10" t="inlineStr">
        <is>
          <t>休日</t>
        </is>
      </c>
      <c r="C316" s="10" t="inlineStr">
        <is>
          <t>本線</t>
        </is>
      </c>
      <c r="D316" s="10" t="inlineStr">
        <is>
          <t>下り</t>
        </is>
      </c>
      <c r="E316" s="10" t="inlineStr">
        <is>
          <t>連1501</t>
        </is>
      </c>
      <c r="F316" t="inlineStr">
        <is>
          <t>0112</t>
        </is>
      </c>
      <c r="G316" s="10" t="inlineStr">
        <is>
          <t>山ノ内</t>
        </is>
      </c>
      <c r="H316" s="10" t="inlineStr">
        <is>
          <t>発</t>
        </is>
      </c>
      <c r="J316" s="10" t="inlineStr">
        <is>
          <t>営業</t>
        </is>
      </c>
      <c r="L316" t="inlineStr">
        <is>
          <t>15:10:25</t>
        </is>
      </c>
      <c r="M316" t="inlineStr">
        <is>
          <t>15:10:50</t>
        </is>
      </c>
      <c r="P316" t="inlineStr">
        <is>
          <t>A系統(終日)</t>
        </is>
      </c>
    </row>
    <row r="317" ht="15" customHeight="1" s="37">
      <c r="A317" t="n">
        <v>10</v>
      </c>
      <c r="B317" s="10" t="inlineStr">
        <is>
          <t>休日</t>
        </is>
      </c>
      <c r="C317" s="10" t="inlineStr">
        <is>
          <t>本線</t>
        </is>
      </c>
      <c r="D317" s="10" t="inlineStr">
        <is>
          <t>下り</t>
        </is>
      </c>
      <c r="E317" s="10" t="inlineStr">
        <is>
          <t>連1501</t>
        </is>
      </c>
      <c r="F317" t="inlineStr">
        <is>
          <t>0112</t>
        </is>
      </c>
      <c r="G317" s="10" t="inlineStr">
        <is>
          <t>天神川</t>
        </is>
      </c>
      <c r="H317" s="10" t="inlineStr">
        <is>
          <t>発</t>
        </is>
      </c>
      <c r="J317" s="10" t="inlineStr">
        <is>
          <t>営業</t>
        </is>
      </c>
      <c r="L317" t="inlineStr">
        <is>
          <t>15:12:50</t>
        </is>
      </c>
      <c r="M317" t="inlineStr">
        <is>
          <t>15:13:30</t>
        </is>
      </c>
      <c r="P317" t="inlineStr">
        <is>
          <t>A系統(終日)</t>
        </is>
      </c>
    </row>
    <row r="318" ht="15" customHeight="1" s="37">
      <c r="A318" t="n">
        <v>10</v>
      </c>
      <c r="B318" s="10" t="inlineStr">
        <is>
          <t>休日</t>
        </is>
      </c>
      <c r="C318" s="10" t="inlineStr">
        <is>
          <t>本線</t>
        </is>
      </c>
      <c r="D318" s="10" t="inlineStr">
        <is>
          <t>下り</t>
        </is>
      </c>
      <c r="E318" s="10" t="inlineStr">
        <is>
          <t>連1501</t>
        </is>
      </c>
      <c r="F318" t="inlineStr">
        <is>
          <t>0112</t>
        </is>
      </c>
      <c r="G318" s="10" t="inlineStr">
        <is>
          <t>蚕ノ社</t>
        </is>
      </c>
      <c r="H318" s="10" t="inlineStr">
        <is>
          <t>発</t>
        </is>
      </c>
      <c r="J318" s="10" t="inlineStr">
        <is>
          <t>営業</t>
        </is>
      </c>
      <c r="L318" t="inlineStr">
        <is>
          <t>15:14:20</t>
        </is>
      </c>
      <c r="M318" t="inlineStr">
        <is>
          <t>15:14:40</t>
        </is>
      </c>
      <c r="P318" t="inlineStr">
        <is>
          <t>A系統(終日)</t>
        </is>
      </c>
    </row>
    <row r="319" ht="15" customHeight="1" s="37">
      <c r="A319" t="n">
        <v>10</v>
      </c>
      <c r="B319" s="10" t="inlineStr">
        <is>
          <t>休日</t>
        </is>
      </c>
      <c r="C319" s="10" t="inlineStr">
        <is>
          <t>本線</t>
        </is>
      </c>
      <c r="D319" s="10" t="inlineStr">
        <is>
          <t>下り</t>
        </is>
      </c>
      <c r="E319" s="10" t="inlineStr">
        <is>
          <t>連1501</t>
        </is>
      </c>
      <c r="F319" t="inlineStr">
        <is>
          <t>0112</t>
        </is>
      </c>
      <c r="G319" s="10" t="inlineStr">
        <is>
          <t>太秦広隆寺</t>
        </is>
      </c>
      <c r="H319" s="10" t="inlineStr">
        <is>
          <t>発</t>
        </is>
      </c>
      <c r="J319" s="10" t="inlineStr">
        <is>
          <t>営業</t>
        </is>
      </c>
      <c r="L319" t="inlineStr">
        <is>
          <t>15:16:00</t>
        </is>
      </c>
      <c r="M319" t="inlineStr">
        <is>
          <t>15:16:20</t>
        </is>
      </c>
      <c r="P319" t="inlineStr">
        <is>
          <t>A系統(終日)</t>
        </is>
      </c>
    </row>
    <row r="320" ht="15" customHeight="1" s="37">
      <c r="A320" t="n">
        <v>10</v>
      </c>
      <c r="B320" s="10" t="inlineStr">
        <is>
          <t>休日</t>
        </is>
      </c>
      <c r="C320" s="10" t="inlineStr">
        <is>
          <t>本線</t>
        </is>
      </c>
      <c r="D320" s="10" t="inlineStr">
        <is>
          <t>下り</t>
        </is>
      </c>
      <c r="E320" s="10" t="inlineStr">
        <is>
          <t>連1501</t>
        </is>
      </c>
      <c r="F320" t="inlineStr">
        <is>
          <t>0112</t>
        </is>
      </c>
      <c r="G320" s="10" t="inlineStr">
        <is>
          <t>帷子ノ辻</t>
        </is>
      </c>
      <c r="H320" s="10" t="inlineStr">
        <is>
          <t>発</t>
        </is>
      </c>
      <c r="J320" s="10" t="inlineStr">
        <is>
          <t>営業</t>
        </is>
      </c>
      <c r="L320" t="inlineStr">
        <is>
          <t>15:18:20</t>
        </is>
      </c>
      <c r="M320" t="inlineStr">
        <is>
          <t>15:19:40</t>
        </is>
      </c>
      <c r="P320" t="inlineStr">
        <is>
          <t>A系統(終日)</t>
        </is>
      </c>
    </row>
    <row r="321" ht="15" customHeight="1" s="37">
      <c r="A321" t="n">
        <v>10</v>
      </c>
      <c r="B321" s="10" t="inlineStr">
        <is>
          <t>休日</t>
        </is>
      </c>
      <c r="C321" s="10" t="inlineStr">
        <is>
          <t>本線</t>
        </is>
      </c>
      <c r="D321" s="10" t="inlineStr">
        <is>
          <t>下り</t>
        </is>
      </c>
      <c r="E321" s="10" t="inlineStr">
        <is>
          <t>連1501</t>
        </is>
      </c>
      <c r="F321" t="inlineStr">
        <is>
          <t>0112</t>
        </is>
      </c>
      <c r="G321" s="10" t="inlineStr">
        <is>
          <t>有栖川</t>
        </is>
      </c>
      <c r="H321" s="10" t="inlineStr">
        <is>
          <t>発</t>
        </is>
      </c>
      <c r="J321" s="10" t="inlineStr">
        <is>
          <t>営業</t>
        </is>
      </c>
      <c r="L321" t="inlineStr">
        <is>
          <t>15:20:50</t>
        </is>
      </c>
      <c r="M321" t="inlineStr">
        <is>
          <t>15:21:15</t>
        </is>
      </c>
      <c r="P321" t="inlineStr">
        <is>
          <t>A系統(終日)</t>
        </is>
      </c>
    </row>
    <row r="322" ht="15" customHeight="1" s="37">
      <c r="A322" t="n">
        <v>10</v>
      </c>
      <c r="B322" s="10" t="inlineStr">
        <is>
          <t>休日</t>
        </is>
      </c>
      <c r="C322" s="10" t="inlineStr">
        <is>
          <t>本線</t>
        </is>
      </c>
      <c r="D322" s="10" t="inlineStr">
        <is>
          <t>下り</t>
        </is>
      </c>
      <c r="E322" s="10" t="inlineStr">
        <is>
          <t>連1501</t>
        </is>
      </c>
      <c r="F322" t="inlineStr">
        <is>
          <t>0112</t>
        </is>
      </c>
      <c r="G322" s="10" t="inlineStr">
        <is>
          <t>車折</t>
        </is>
      </c>
      <c r="H322" s="10" t="inlineStr">
        <is>
          <t>発</t>
        </is>
      </c>
      <c r="J322" s="10" t="inlineStr">
        <is>
          <t>営業</t>
        </is>
      </c>
      <c r="L322" t="inlineStr">
        <is>
          <t>15:22:40</t>
        </is>
      </c>
      <c r="M322" t="inlineStr">
        <is>
          <t>15:23:05</t>
        </is>
      </c>
      <c r="P322" t="inlineStr">
        <is>
          <t>A系統(終日)</t>
        </is>
      </c>
    </row>
    <row r="323" ht="15" customHeight="1" s="37">
      <c r="A323" t="n">
        <v>10</v>
      </c>
      <c r="B323" s="10" t="inlineStr">
        <is>
          <t>休日</t>
        </is>
      </c>
      <c r="C323" s="10" t="inlineStr">
        <is>
          <t>本線</t>
        </is>
      </c>
      <c r="D323" s="10" t="inlineStr">
        <is>
          <t>下り</t>
        </is>
      </c>
      <c r="E323" s="10" t="inlineStr">
        <is>
          <t>連1501</t>
        </is>
      </c>
      <c r="F323" t="inlineStr">
        <is>
          <t>0112</t>
        </is>
      </c>
      <c r="G323" s="10" t="inlineStr">
        <is>
          <t>鹿王院</t>
        </is>
      </c>
      <c r="H323" s="10" t="inlineStr">
        <is>
          <t>発</t>
        </is>
      </c>
      <c r="J323" s="10" t="inlineStr">
        <is>
          <t>営業</t>
        </is>
      </c>
      <c r="L323" t="inlineStr">
        <is>
          <t>15:24:00</t>
        </is>
      </c>
      <c r="M323" t="inlineStr">
        <is>
          <t>15:24:25</t>
        </is>
      </c>
      <c r="P323" t="inlineStr">
        <is>
          <t>A系統(終日)</t>
        </is>
      </c>
    </row>
    <row r="324" ht="15" customHeight="1" s="37">
      <c r="A324" t="n">
        <v>10</v>
      </c>
      <c r="B324" s="10" t="inlineStr">
        <is>
          <t>休日</t>
        </is>
      </c>
      <c r="C324" s="10" t="inlineStr">
        <is>
          <t>本線</t>
        </is>
      </c>
      <c r="D324" s="10" t="inlineStr">
        <is>
          <t>下り</t>
        </is>
      </c>
      <c r="E324" s="10" t="inlineStr">
        <is>
          <t>連1501</t>
        </is>
      </c>
      <c r="F324" t="inlineStr">
        <is>
          <t>0112</t>
        </is>
      </c>
      <c r="G324" s="10" t="inlineStr">
        <is>
          <t>嵯峨</t>
        </is>
      </c>
      <c r="H324" s="10" t="inlineStr">
        <is>
          <t>発</t>
        </is>
      </c>
      <c r="J324" s="10" t="inlineStr">
        <is>
          <t>営業</t>
        </is>
      </c>
      <c r="L324" t="inlineStr">
        <is>
          <t>15:25:30</t>
        </is>
      </c>
      <c r="M324" t="inlineStr">
        <is>
          <t>15:25:55</t>
        </is>
      </c>
      <c r="P324" t="inlineStr">
        <is>
          <t>A系統(終日)</t>
        </is>
      </c>
    </row>
    <row r="325" ht="15" customHeight="1" s="37">
      <c r="A325" t="n">
        <v>10</v>
      </c>
      <c r="B325" s="10" t="inlineStr">
        <is>
          <t>休日</t>
        </is>
      </c>
      <c r="C325" s="10" t="inlineStr">
        <is>
          <t>本線</t>
        </is>
      </c>
      <c r="D325" s="10" t="inlineStr">
        <is>
          <t>下り</t>
        </is>
      </c>
      <c r="E325" s="10" t="inlineStr">
        <is>
          <t>連1501</t>
        </is>
      </c>
      <c r="F325" t="inlineStr">
        <is>
          <t>0112</t>
        </is>
      </c>
      <c r="G325" s="10" t="inlineStr">
        <is>
          <t>嵐山</t>
        </is>
      </c>
      <c r="H325" s="10" t="inlineStr">
        <is>
          <t>着</t>
        </is>
      </c>
      <c r="J325" s="10" t="inlineStr">
        <is>
          <t>営業</t>
        </is>
      </c>
      <c r="L325" t="inlineStr">
        <is>
          <t>15:27:00</t>
        </is>
      </c>
      <c r="P325" t="inlineStr">
        <is>
          <t>A系統(終日)</t>
        </is>
      </c>
      <c r="Q325" t="inlineStr">
        <is>
          <t>1</t>
        </is>
      </c>
    </row>
    <row r="326" ht="15" customHeight="1" s="37">
      <c r="A326" t="n">
        <v>10</v>
      </c>
      <c r="B326" s="10" t="inlineStr">
        <is>
          <t>休日</t>
        </is>
      </c>
      <c r="C326" s="10" t="inlineStr">
        <is>
          <t>本線</t>
        </is>
      </c>
      <c r="D326" s="10" t="inlineStr">
        <is>
          <t>上り</t>
        </is>
      </c>
      <c r="E326" s="10" t="inlineStr">
        <is>
          <t>連1508</t>
        </is>
      </c>
      <c r="F326" t="inlineStr">
        <is>
          <t>2221</t>
        </is>
      </c>
      <c r="G326" s="10" t="inlineStr">
        <is>
          <t>嵐山</t>
        </is>
      </c>
      <c r="H326" s="10" t="inlineStr">
        <is>
          <t>発</t>
        </is>
      </c>
      <c r="J326" s="10" t="inlineStr">
        <is>
          <t>営業</t>
        </is>
      </c>
      <c r="M326" t="inlineStr">
        <is>
          <t>15:33:00</t>
        </is>
      </c>
      <c r="P326" t="inlineStr">
        <is>
          <t>A系統(終日)</t>
        </is>
      </c>
      <c r="Q326" t="inlineStr">
        <is>
          <t>1</t>
        </is>
      </c>
    </row>
    <row r="327" ht="15" customHeight="1" s="37">
      <c r="A327" t="n">
        <v>10</v>
      </c>
      <c r="B327" s="10" t="inlineStr">
        <is>
          <t>休日</t>
        </is>
      </c>
      <c r="C327" s="10" t="inlineStr">
        <is>
          <t>本線</t>
        </is>
      </c>
      <c r="D327" s="10" t="inlineStr">
        <is>
          <t>上り</t>
        </is>
      </c>
      <c r="E327" s="10" t="inlineStr">
        <is>
          <t>連1508</t>
        </is>
      </c>
      <c r="F327" t="inlineStr">
        <is>
          <t>2221</t>
        </is>
      </c>
      <c r="G327" s="10" t="inlineStr">
        <is>
          <t>嵯峨</t>
        </is>
      </c>
      <c r="H327" s="10" t="inlineStr">
        <is>
          <t>発</t>
        </is>
      </c>
      <c r="J327" s="10" t="inlineStr">
        <is>
          <t>営業</t>
        </is>
      </c>
      <c r="L327" t="inlineStr">
        <is>
          <t>15:33:55</t>
        </is>
      </c>
      <c r="M327" t="inlineStr">
        <is>
          <t>15:34:20</t>
        </is>
      </c>
      <c r="P327" t="inlineStr">
        <is>
          <t>A系統(終日)</t>
        </is>
      </c>
    </row>
    <row r="328" ht="15" customHeight="1" s="37">
      <c r="A328" t="n">
        <v>10</v>
      </c>
      <c r="B328" s="10" t="inlineStr">
        <is>
          <t>休日</t>
        </is>
      </c>
      <c r="C328" s="10" t="inlineStr">
        <is>
          <t>本線</t>
        </is>
      </c>
      <c r="D328" s="10" t="inlineStr">
        <is>
          <t>上り</t>
        </is>
      </c>
      <c r="E328" s="10" t="inlineStr">
        <is>
          <t>連1508</t>
        </is>
      </c>
      <c r="F328" t="inlineStr">
        <is>
          <t>2221</t>
        </is>
      </c>
      <c r="G328" s="10" t="inlineStr">
        <is>
          <t>鹿王院</t>
        </is>
      </c>
      <c r="H328" s="10" t="inlineStr">
        <is>
          <t>発</t>
        </is>
      </c>
      <c r="J328" s="10" t="inlineStr">
        <is>
          <t>営業</t>
        </is>
      </c>
      <c r="L328" t="inlineStr">
        <is>
          <t>15:35:25</t>
        </is>
      </c>
      <c r="M328" t="inlineStr">
        <is>
          <t>15:35:45</t>
        </is>
      </c>
      <c r="P328" t="inlineStr">
        <is>
          <t>A系統(終日)</t>
        </is>
      </c>
    </row>
    <row r="329" ht="15" customHeight="1" s="37">
      <c r="A329" t="n">
        <v>10</v>
      </c>
      <c r="B329" s="10" t="inlineStr">
        <is>
          <t>休日</t>
        </is>
      </c>
      <c r="C329" s="10" t="inlineStr">
        <is>
          <t>本線</t>
        </is>
      </c>
      <c r="D329" s="10" t="inlineStr">
        <is>
          <t>上り</t>
        </is>
      </c>
      <c r="E329" s="10" t="inlineStr">
        <is>
          <t>連1508</t>
        </is>
      </c>
      <c r="F329" t="inlineStr">
        <is>
          <t>2221</t>
        </is>
      </c>
      <c r="G329" s="10" t="inlineStr">
        <is>
          <t>車折</t>
        </is>
      </c>
      <c r="H329" s="10" t="inlineStr">
        <is>
          <t>発</t>
        </is>
      </c>
      <c r="J329" s="10" t="inlineStr">
        <is>
          <t>営業</t>
        </is>
      </c>
      <c r="L329" t="inlineStr">
        <is>
          <t>15:36:40</t>
        </is>
      </c>
      <c r="M329" t="inlineStr">
        <is>
          <t>15:37:10</t>
        </is>
      </c>
      <c r="P329" t="inlineStr">
        <is>
          <t>A系統(終日)</t>
        </is>
      </c>
    </row>
    <row r="330" ht="15" customHeight="1" s="37">
      <c r="A330" t="n">
        <v>10</v>
      </c>
      <c r="B330" s="10" t="inlineStr">
        <is>
          <t>休日</t>
        </is>
      </c>
      <c r="C330" s="10" t="inlineStr">
        <is>
          <t>本線</t>
        </is>
      </c>
      <c r="D330" s="10" t="inlineStr">
        <is>
          <t>上り</t>
        </is>
      </c>
      <c r="E330" s="10" t="inlineStr">
        <is>
          <t>連1508</t>
        </is>
      </c>
      <c r="F330" t="inlineStr">
        <is>
          <t>2221</t>
        </is>
      </c>
      <c r="G330" s="10" t="inlineStr">
        <is>
          <t>有栖川</t>
        </is>
      </c>
      <c r="H330" s="10" t="inlineStr">
        <is>
          <t>発</t>
        </is>
      </c>
      <c r="J330" s="10" t="inlineStr">
        <is>
          <t>営業</t>
        </is>
      </c>
      <c r="L330" t="inlineStr">
        <is>
          <t>15:38:35</t>
        </is>
      </c>
      <c r="M330" t="inlineStr">
        <is>
          <t>15:38:55</t>
        </is>
      </c>
      <c r="P330" t="inlineStr">
        <is>
          <t>A系統(終日)</t>
        </is>
      </c>
    </row>
    <row r="331" ht="15" customHeight="1" s="37">
      <c r="A331" t="n">
        <v>10</v>
      </c>
      <c r="B331" s="10" t="inlineStr">
        <is>
          <t>休日</t>
        </is>
      </c>
      <c r="C331" s="10" t="inlineStr">
        <is>
          <t>本線</t>
        </is>
      </c>
      <c r="D331" s="10" t="inlineStr">
        <is>
          <t>上り</t>
        </is>
      </c>
      <c r="E331" s="10" t="inlineStr">
        <is>
          <t>連1508</t>
        </is>
      </c>
      <c r="F331" t="inlineStr">
        <is>
          <t>2221</t>
        </is>
      </c>
      <c r="G331" s="10" t="inlineStr">
        <is>
          <t>帷子ノ辻</t>
        </is>
      </c>
      <c r="H331" s="10" t="inlineStr">
        <is>
          <t>発</t>
        </is>
      </c>
      <c r="J331" s="10" t="inlineStr">
        <is>
          <t>営業</t>
        </is>
      </c>
      <c r="L331" t="inlineStr">
        <is>
          <t>15:40:10</t>
        </is>
      </c>
      <c r="M331" t="inlineStr">
        <is>
          <t>15:41:15</t>
        </is>
      </c>
      <c r="P331" t="inlineStr">
        <is>
          <t>A系統(終日)</t>
        </is>
      </c>
    </row>
    <row r="332" ht="15" customHeight="1" s="37">
      <c r="A332" t="n">
        <v>10</v>
      </c>
      <c r="B332" s="10" t="inlineStr">
        <is>
          <t>休日</t>
        </is>
      </c>
      <c r="C332" s="10" t="inlineStr">
        <is>
          <t>本線</t>
        </is>
      </c>
      <c r="D332" s="10" t="inlineStr">
        <is>
          <t>上り</t>
        </is>
      </c>
      <c r="E332" s="10" t="inlineStr">
        <is>
          <t>連1508</t>
        </is>
      </c>
      <c r="F332" t="inlineStr">
        <is>
          <t>2221</t>
        </is>
      </c>
      <c r="G332" s="10" t="inlineStr">
        <is>
          <t>太秦広隆寺</t>
        </is>
      </c>
      <c r="H332" s="10" t="inlineStr">
        <is>
          <t>発</t>
        </is>
      </c>
      <c r="J332" s="10" t="inlineStr">
        <is>
          <t>営業</t>
        </is>
      </c>
      <c r="L332" t="inlineStr">
        <is>
          <t>15:43:25</t>
        </is>
      </c>
      <c r="M332" t="inlineStr">
        <is>
          <t>15:43:45</t>
        </is>
      </c>
      <c r="P332" t="inlineStr">
        <is>
          <t>A系統(終日)</t>
        </is>
      </c>
    </row>
    <row r="333" ht="15" customHeight="1" s="37">
      <c r="A333" t="n">
        <v>10</v>
      </c>
      <c r="B333" s="10" t="inlineStr">
        <is>
          <t>休日</t>
        </is>
      </c>
      <c r="C333" s="10" t="inlineStr">
        <is>
          <t>本線</t>
        </is>
      </c>
      <c r="D333" s="10" t="inlineStr">
        <is>
          <t>上り</t>
        </is>
      </c>
      <c r="E333" s="10" t="inlineStr">
        <is>
          <t>連1508</t>
        </is>
      </c>
      <c r="F333" t="inlineStr">
        <is>
          <t>2221</t>
        </is>
      </c>
      <c r="G333" s="10" t="inlineStr">
        <is>
          <t>蚕ノ社</t>
        </is>
      </c>
      <c r="H333" s="10" t="inlineStr">
        <is>
          <t>発</t>
        </is>
      </c>
      <c r="J333" s="10" t="inlineStr">
        <is>
          <t>営業</t>
        </is>
      </c>
      <c r="L333" t="inlineStr">
        <is>
          <t>15:45:00</t>
        </is>
      </c>
      <c r="M333" t="inlineStr">
        <is>
          <t>15:45:20</t>
        </is>
      </c>
      <c r="P333" t="inlineStr">
        <is>
          <t>A系統(終日)</t>
        </is>
      </c>
    </row>
    <row r="334" ht="15" customHeight="1" s="37">
      <c r="A334" t="n">
        <v>10</v>
      </c>
      <c r="B334" s="10" t="inlineStr">
        <is>
          <t>休日</t>
        </is>
      </c>
      <c r="C334" s="10" t="inlineStr">
        <is>
          <t>本線</t>
        </is>
      </c>
      <c r="D334" s="10" t="inlineStr">
        <is>
          <t>上り</t>
        </is>
      </c>
      <c r="E334" s="10" t="inlineStr">
        <is>
          <t>連1508</t>
        </is>
      </c>
      <c r="F334" t="inlineStr">
        <is>
          <t>2221</t>
        </is>
      </c>
      <c r="G334" s="10" t="inlineStr">
        <is>
          <t>天神川</t>
        </is>
      </c>
      <c r="H334" s="10" t="inlineStr">
        <is>
          <t>発</t>
        </is>
      </c>
      <c r="J334" s="10" t="inlineStr">
        <is>
          <t>営業</t>
        </is>
      </c>
      <c r="L334" t="inlineStr">
        <is>
          <t>15:46:05</t>
        </is>
      </c>
      <c r="M334" t="inlineStr">
        <is>
          <t>15:46:50</t>
        </is>
      </c>
      <c r="P334" t="inlineStr">
        <is>
          <t>A系統(終日)</t>
        </is>
      </c>
    </row>
    <row r="335" ht="15" customHeight="1" s="37">
      <c r="A335" t="n">
        <v>10</v>
      </c>
      <c r="B335" s="10" t="inlineStr">
        <is>
          <t>休日</t>
        </is>
      </c>
      <c r="C335" s="10" t="inlineStr">
        <is>
          <t>本線</t>
        </is>
      </c>
      <c r="D335" s="10" t="inlineStr">
        <is>
          <t>上り</t>
        </is>
      </c>
      <c r="E335" s="10" t="inlineStr">
        <is>
          <t>連1508</t>
        </is>
      </c>
      <c r="F335" t="inlineStr">
        <is>
          <t>2221</t>
        </is>
      </c>
      <c r="G335" s="10" t="inlineStr">
        <is>
          <t>山ノ内</t>
        </is>
      </c>
      <c r="H335" s="10" t="inlineStr">
        <is>
          <t>発</t>
        </is>
      </c>
      <c r="J335" s="10" t="inlineStr">
        <is>
          <t>営業</t>
        </is>
      </c>
      <c r="L335" t="inlineStr">
        <is>
          <t>15:48:40</t>
        </is>
      </c>
      <c r="M335" t="inlineStr">
        <is>
          <t>15:49:05</t>
        </is>
      </c>
      <c r="P335" t="inlineStr">
        <is>
          <t>A系統(終日)</t>
        </is>
      </c>
    </row>
    <row r="336" ht="15" customHeight="1" s="37">
      <c r="A336" t="n">
        <v>10</v>
      </c>
      <c r="B336" s="10" t="inlineStr">
        <is>
          <t>休日</t>
        </is>
      </c>
      <c r="C336" s="10" t="inlineStr">
        <is>
          <t>本線</t>
        </is>
      </c>
      <c r="D336" s="10" t="inlineStr">
        <is>
          <t>上り</t>
        </is>
      </c>
      <c r="E336" s="10" t="inlineStr">
        <is>
          <t>連1508</t>
        </is>
      </c>
      <c r="F336" t="inlineStr">
        <is>
          <t>2221</t>
        </is>
      </c>
      <c r="G336" s="10" t="inlineStr">
        <is>
          <t>西大路三条</t>
        </is>
      </c>
      <c r="H336" s="10" t="inlineStr">
        <is>
          <t>発</t>
        </is>
      </c>
      <c r="J336" s="10" t="inlineStr">
        <is>
          <t>営業</t>
        </is>
      </c>
      <c r="L336" t="inlineStr">
        <is>
          <t>15:50:55</t>
        </is>
      </c>
      <c r="M336" t="inlineStr">
        <is>
          <t>15:51:15</t>
        </is>
      </c>
      <c r="P336" t="inlineStr">
        <is>
          <t>A系統(終日)</t>
        </is>
      </c>
    </row>
    <row r="337" ht="15" customHeight="1" s="37">
      <c r="A337" t="n">
        <v>10</v>
      </c>
      <c r="B337" s="10" t="inlineStr">
        <is>
          <t>休日</t>
        </is>
      </c>
      <c r="C337" s="10" t="inlineStr">
        <is>
          <t>本線</t>
        </is>
      </c>
      <c r="D337" s="10" t="inlineStr">
        <is>
          <t>上り</t>
        </is>
      </c>
      <c r="E337" s="10" t="inlineStr">
        <is>
          <t>連1508</t>
        </is>
      </c>
      <c r="F337" t="inlineStr">
        <is>
          <t>2221</t>
        </is>
      </c>
      <c r="G337" s="10" t="inlineStr">
        <is>
          <t>西院</t>
        </is>
      </c>
      <c r="H337" s="10" t="inlineStr">
        <is>
          <t>発</t>
        </is>
      </c>
      <c r="J337" s="10" t="inlineStr">
        <is>
          <t>営業</t>
        </is>
      </c>
      <c r="L337" t="inlineStr">
        <is>
          <t>15:53:10</t>
        </is>
      </c>
      <c r="M337" t="inlineStr">
        <is>
          <t>15:54:05</t>
        </is>
      </c>
      <c r="P337" t="inlineStr">
        <is>
          <t>A系統(終日)</t>
        </is>
      </c>
    </row>
    <row r="338" ht="15" customHeight="1" s="37">
      <c r="A338" t="n">
        <v>10</v>
      </c>
      <c r="B338" s="10" t="inlineStr">
        <is>
          <t>休日</t>
        </is>
      </c>
      <c r="C338" s="10" t="inlineStr">
        <is>
          <t>本線</t>
        </is>
      </c>
      <c r="D338" s="10" t="inlineStr">
        <is>
          <t>上り</t>
        </is>
      </c>
      <c r="E338" s="10" t="inlineStr">
        <is>
          <t>連1508</t>
        </is>
      </c>
      <c r="F338" t="inlineStr">
        <is>
          <t>2221</t>
        </is>
      </c>
      <c r="G338" s="10" t="inlineStr">
        <is>
          <t>四条大宮</t>
        </is>
      </c>
      <c r="H338" s="10" t="inlineStr">
        <is>
          <t>着</t>
        </is>
      </c>
      <c r="J338" s="10" t="inlineStr">
        <is>
          <t>営業</t>
        </is>
      </c>
      <c r="L338" t="inlineStr">
        <is>
          <t>15:57:00</t>
        </is>
      </c>
      <c r="P338" t="inlineStr">
        <is>
          <t>A系統(終日)</t>
        </is>
      </c>
      <c r="Q338" t="inlineStr">
        <is>
          <t>1</t>
        </is>
      </c>
    </row>
    <row r="339" ht="15" customHeight="1" s="37">
      <c r="A339" t="n">
        <v>10</v>
      </c>
      <c r="B339" s="10" t="inlineStr">
        <is>
          <t>休日</t>
        </is>
      </c>
      <c r="C339" s="10" t="inlineStr">
        <is>
          <t>本線</t>
        </is>
      </c>
      <c r="D339" s="10" t="inlineStr">
        <is>
          <t>下り</t>
        </is>
      </c>
      <c r="E339" s="10" t="inlineStr">
        <is>
          <t>連1601</t>
        </is>
      </c>
      <c r="F339" t="inlineStr">
        <is>
          <t>3112</t>
        </is>
      </c>
      <c r="G339" s="10" t="inlineStr">
        <is>
          <t>四条大宮</t>
        </is>
      </c>
      <c r="H339" s="10" t="inlineStr">
        <is>
          <t>発</t>
        </is>
      </c>
      <c r="J339" s="10" t="inlineStr">
        <is>
          <t>営業</t>
        </is>
      </c>
      <c r="M339" t="inlineStr">
        <is>
          <t>16:03:00</t>
        </is>
      </c>
      <c r="P339" t="inlineStr">
        <is>
          <t>A系統(終日)</t>
        </is>
      </c>
      <c r="Q339" t="inlineStr">
        <is>
          <t>1</t>
        </is>
      </c>
    </row>
    <row r="340" ht="15" customHeight="1" s="37">
      <c r="A340" t="n">
        <v>10</v>
      </c>
      <c r="B340" s="10" t="inlineStr">
        <is>
          <t>休日</t>
        </is>
      </c>
      <c r="C340" s="10" t="inlineStr">
        <is>
          <t>本線</t>
        </is>
      </c>
      <c r="D340" s="10" t="inlineStr">
        <is>
          <t>下り</t>
        </is>
      </c>
      <c r="E340" s="10" t="inlineStr">
        <is>
          <t>連1601</t>
        </is>
      </c>
      <c r="F340" t="inlineStr">
        <is>
          <t>3112</t>
        </is>
      </c>
      <c r="G340" s="10" t="inlineStr">
        <is>
          <t>西院</t>
        </is>
      </c>
      <c r="H340" s="10" t="inlineStr">
        <is>
          <t>発</t>
        </is>
      </c>
      <c r="J340" s="10" t="inlineStr">
        <is>
          <t>営業</t>
        </is>
      </c>
      <c r="L340" t="inlineStr">
        <is>
          <t>16:05:50</t>
        </is>
      </c>
      <c r="M340" t="inlineStr">
        <is>
          <t>16:06:20</t>
        </is>
      </c>
      <c r="P340" t="inlineStr">
        <is>
          <t>A系統(終日)</t>
        </is>
      </c>
    </row>
    <row r="341" ht="15" customHeight="1" s="37">
      <c r="A341" t="n">
        <v>10</v>
      </c>
      <c r="B341" s="10" t="inlineStr">
        <is>
          <t>休日</t>
        </is>
      </c>
      <c r="C341" s="10" t="inlineStr">
        <is>
          <t>本線</t>
        </is>
      </c>
      <c r="D341" s="10" t="inlineStr">
        <is>
          <t>下り</t>
        </is>
      </c>
      <c r="E341" s="10" t="inlineStr">
        <is>
          <t>連1601</t>
        </is>
      </c>
      <c r="F341" t="inlineStr">
        <is>
          <t>3112</t>
        </is>
      </c>
      <c r="G341" s="10" t="inlineStr">
        <is>
          <t>西大路三条</t>
        </is>
      </c>
      <c r="H341" s="10" t="inlineStr">
        <is>
          <t>発</t>
        </is>
      </c>
      <c r="J341" s="10" t="inlineStr">
        <is>
          <t>営業</t>
        </is>
      </c>
      <c r="L341" t="inlineStr">
        <is>
          <t>16:08:10</t>
        </is>
      </c>
      <c r="M341" t="inlineStr">
        <is>
          <t>16:08:30</t>
        </is>
      </c>
      <c r="P341" t="inlineStr">
        <is>
          <t>A系統(終日)</t>
        </is>
      </c>
    </row>
    <row r="342" ht="15" customHeight="1" s="37">
      <c r="A342" t="n">
        <v>10</v>
      </c>
      <c r="B342" s="10" t="inlineStr">
        <is>
          <t>休日</t>
        </is>
      </c>
      <c r="C342" s="10" t="inlineStr">
        <is>
          <t>本線</t>
        </is>
      </c>
      <c r="D342" s="10" t="inlineStr">
        <is>
          <t>下り</t>
        </is>
      </c>
      <c r="E342" s="10" t="inlineStr">
        <is>
          <t>連1601</t>
        </is>
      </c>
      <c r="F342" t="inlineStr">
        <is>
          <t>3112</t>
        </is>
      </c>
      <c r="G342" s="10" t="inlineStr">
        <is>
          <t>山ノ内</t>
        </is>
      </c>
      <c r="H342" s="10" t="inlineStr">
        <is>
          <t>発</t>
        </is>
      </c>
      <c r="J342" s="10" t="inlineStr">
        <is>
          <t>営業</t>
        </is>
      </c>
      <c r="L342" t="inlineStr">
        <is>
          <t>16:10:25</t>
        </is>
      </c>
      <c r="M342" t="inlineStr">
        <is>
          <t>16:10:50</t>
        </is>
      </c>
      <c r="P342" t="inlineStr">
        <is>
          <t>A系統(終日)</t>
        </is>
      </c>
    </row>
    <row r="343" ht="15" customHeight="1" s="37">
      <c r="A343" t="n">
        <v>10</v>
      </c>
      <c r="B343" s="10" t="inlineStr">
        <is>
          <t>休日</t>
        </is>
      </c>
      <c r="C343" s="10" t="inlineStr">
        <is>
          <t>本線</t>
        </is>
      </c>
      <c r="D343" s="10" t="inlineStr">
        <is>
          <t>下り</t>
        </is>
      </c>
      <c r="E343" s="10" t="inlineStr">
        <is>
          <t>連1601</t>
        </is>
      </c>
      <c r="F343" t="inlineStr">
        <is>
          <t>3112</t>
        </is>
      </c>
      <c r="G343" s="10" t="inlineStr">
        <is>
          <t>天神川</t>
        </is>
      </c>
      <c r="H343" s="10" t="inlineStr">
        <is>
          <t>発</t>
        </is>
      </c>
      <c r="J343" s="10" t="inlineStr">
        <is>
          <t>営業</t>
        </is>
      </c>
      <c r="L343" t="inlineStr">
        <is>
          <t>16:12:50</t>
        </is>
      </c>
      <c r="M343" t="inlineStr">
        <is>
          <t>16:13:30</t>
        </is>
      </c>
      <c r="P343" t="inlineStr">
        <is>
          <t>A系統(終日)</t>
        </is>
      </c>
    </row>
    <row r="344" ht="15" customHeight="1" s="37">
      <c r="A344" t="n">
        <v>10</v>
      </c>
      <c r="B344" s="10" t="inlineStr">
        <is>
          <t>休日</t>
        </is>
      </c>
      <c r="C344" s="10" t="inlineStr">
        <is>
          <t>本線</t>
        </is>
      </c>
      <c r="D344" s="10" t="inlineStr">
        <is>
          <t>下り</t>
        </is>
      </c>
      <c r="E344" s="10" t="inlineStr">
        <is>
          <t>連1601</t>
        </is>
      </c>
      <c r="F344" t="inlineStr">
        <is>
          <t>3112</t>
        </is>
      </c>
      <c r="G344" s="10" t="inlineStr">
        <is>
          <t>蚕ノ社</t>
        </is>
      </c>
      <c r="H344" s="10" t="inlineStr">
        <is>
          <t>発</t>
        </is>
      </c>
      <c r="J344" s="10" t="inlineStr">
        <is>
          <t>営業</t>
        </is>
      </c>
      <c r="L344" t="inlineStr">
        <is>
          <t>16:14:20</t>
        </is>
      </c>
      <c r="M344" t="inlineStr">
        <is>
          <t>16:14:40</t>
        </is>
      </c>
      <c r="P344" t="inlineStr">
        <is>
          <t>A系統(終日)</t>
        </is>
      </c>
    </row>
    <row r="345" ht="15" customHeight="1" s="37">
      <c r="A345" t="n">
        <v>10</v>
      </c>
      <c r="B345" s="10" t="inlineStr">
        <is>
          <t>休日</t>
        </is>
      </c>
      <c r="C345" s="10" t="inlineStr">
        <is>
          <t>本線</t>
        </is>
      </c>
      <c r="D345" s="10" t="inlineStr">
        <is>
          <t>下り</t>
        </is>
      </c>
      <c r="E345" s="10" t="inlineStr">
        <is>
          <t>連1601</t>
        </is>
      </c>
      <c r="F345" t="inlineStr">
        <is>
          <t>3112</t>
        </is>
      </c>
      <c r="G345" s="10" t="inlineStr">
        <is>
          <t>太秦広隆寺</t>
        </is>
      </c>
      <c r="H345" s="10" t="inlineStr">
        <is>
          <t>発</t>
        </is>
      </c>
      <c r="J345" s="10" t="inlineStr">
        <is>
          <t>営業</t>
        </is>
      </c>
      <c r="L345" t="inlineStr">
        <is>
          <t>16:16:00</t>
        </is>
      </c>
      <c r="M345" t="inlineStr">
        <is>
          <t>16:16:20</t>
        </is>
      </c>
      <c r="P345" t="inlineStr">
        <is>
          <t>A系統(終日)</t>
        </is>
      </c>
    </row>
    <row r="346" ht="15" customHeight="1" s="37">
      <c r="A346" t="n">
        <v>10</v>
      </c>
      <c r="B346" s="10" t="inlineStr">
        <is>
          <t>休日</t>
        </is>
      </c>
      <c r="C346" s="10" t="inlineStr">
        <is>
          <t>本線</t>
        </is>
      </c>
      <c r="D346" s="10" t="inlineStr">
        <is>
          <t>下り</t>
        </is>
      </c>
      <c r="E346" s="10" t="inlineStr">
        <is>
          <t>連1601</t>
        </is>
      </c>
      <c r="F346" t="inlineStr">
        <is>
          <t>3112</t>
        </is>
      </c>
      <c r="G346" s="10" t="inlineStr">
        <is>
          <t>帷子ノ辻</t>
        </is>
      </c>
      <c r="H346" s="10" t="inlineStr">
        <is>
          <t>発</t>
        </is>
      </c>
      <c r="J346" s="10" t="inlineStr">
        <is>
          <t>営業</t>
        </is>
      </c>
      <c r="L346" t="inlineStr">
        <is>
          <t>16:18:20</t>
        </is>
      </c>
      <c r="M346" t="inlineStr">
        <is>
          <t>16:19:40</t>
        </is>
      </c>
      <c r="P346" t="inlineStr">
        <is>
          <t>A系統(終日)</t>
        </is>
      </c>
    </row>
    <row r="347" ht="15" customHeight="1" s="37">
      <c r="A347" t="n">
        <v>10</v>
      </c>
      <c r="B347" s="10" t="inlineStr">
        <is>
          <t>休日</t>
        </is>
      </c>
      <c r="C347" s="10" t="inlineStr">
        <is>
          <t>本線</t>
        </is>
      </c>
      <c r="D347" s="10" t="inlineStr">
        <is>
          <t>下り</t>
        </is>
      </c>
      <c r="E347" s="10" t="inlineStr">
        <is>
          <t>連1601</t>
        </is>
      </c>
      <c r="F347" t="inlineStr">
        <is>
          <t>3112</t>
        </is>
      </c>
      <c r="G347" s="10" t="inlineStr">
        <is>
          <t>有栖川</t>
        </is>
      </c>
      <c r="H347" s="10" t="inlineStr">
        <is>
          <t>発</t>
        </is>
      </c>
      <c r="J347" s="10" t="inlineStr">
        <is>
          <t>営業</t>
        </is>
      </c>
      <c r="L347" t="inlineStr">
        <is>
          <t>16:20:50</t>
        </is>
      </c>
      <c r="M347" t="inlineStr">
        <is>
          <t>16:21:15</t>
        </is>
      </c>
      <c r="P347" t="inlineStr">
        <is>
          <t>A系統(終日)</t>
        </is>
      </c>
    </row>
    <row r="348" ht="15" customHeight="1" s="37">
      <c r="A348" t="n">
        <v>10</v>
      </c>
      <c r="B348" s="10" t="inlineStr">
        <is>
          <t>休日</t>
        </is>
      </c>
      <c r="C348" s="10" t="inlineStr">
        <is>
          <t>本線</t>
        </is>
      </c>
      <c r="D348" s="10" t="inlineStr">
        <is>
          <t>下り</t>
        </is>
      </c>
      <c r="E348" s="10" t="inlineStr">
        <is>
          <t>連1601</t>
        </is>
      </c>
      <c r="F348" t="inlineStr">
        <is>
          <t>3112</t>
        </is>
      </c>
      <c r="G348" s="10" t="inlineStr">
        <is>
          <t>車折</t>
        </is>
      </c>
      <c r="H348" s="10" t="inlineStr">
        <is>
          <t>発</t>
        </is>
      </c>
      <c r="J348" s="10" t="inlineStr">
        <is>
          <t>営業</t>
        </is>
      </c>
      <c r="L348" t="inlineStr">
        <is>
          <t>16:22:40</t>
        </is>
      </c>
      <c r="M348" t="inlineStr">
        <is>
          <t>16:23:05</t>
        </is>
      </c>
      <c r="P348" t="inlineStr">
        <is>
          <t>A系統(終日)</t>
        </is>
      </c>
    </row>
    <row r="349" ht="15" customHeight="1" s="37">
      <c r="A349" t="n">
        <v>10</v>
      </c>
      <c r="B349" s="10" t="inlineStr">
        <is>
          <t>休日</t>
        </is>
      </c>
      <c r="C349" s="10" t="inlineStr">
        <is>
          <t>本線</t>
        </is>
      </c>
      <c r="D349" s="10" t="inlineStr">
        <is>
          <t>下り</t>
        </is>
      </c>
      <c r="E349" s="10" t="inlineStr">
        <is>
          <t>連1601</t>
        </is>
      </c>
      <c r="F349" t="inlineStr">
        <is>
          <t>3112</t>
        </is>
      </c>
      <c r="G349" s="10" t="inlineStr">
        <is>
          <t>鹿王院</t>
        </is>
      </c>
      <c r="H349" s="10" t="inlineStr">
        <is>
          <t>発</t>
        </is>
      </c>
      <c r="J349" s="10" t="inlineStr">
        <is>
          <t>営業</t>
        </is>
      </c>
      <c r="L349" t="inlineStr">
        <is>
          <t>16:24:00</t>
        </is>
      </c>
      <c r="M349" t="inlineStr">
        <is>
          <t>16:24:25</t>
        </is>
      </c>
      <c r="P349" t="inlineStr">
        <is>
          <t>A系統(終日)</t>
        </is>
      </c>
    </row>
    <row r="350" ht="15" customHeight="1" s="37">
      <c r="A350" t="n">
        <v>10</v>
      </c>
      <c r="B350" s="10" t="inlineStr">
        <is>
          <t>休日</t>
        </is>
      </c>
      <c r="C350" s="10" t="inlineStr">
        <is>
          <t>本線</t>
        </is>
      </c>
      <c r="D350" s="10" t="inlineStr">
        <is>
          <t>下り</t>
        </is>
      </c>
      <c r="E350" s="10" t="inlineStr">
        <is>
          <t>連1601</t>
        </is>
      </c>
      <c r="F350" t="inlineStr">
        <is>
          <t>3112</t>
        </is>
      </c>
      <c r="G350" s="10" t="inlineStr">
        <is>
          <t>嵯峨</t>
        </is>
      </c>
      <c r="H350" s="10" t="inlineStr">
        <is>
          <t>発</t>
        </is>
      </c>
      <c r="J350" s="10" t="inlineStr">
        <is>
          <t>営業</t>
        </is>
      </c>
      <c r="L350" t="inlineStr">
        <is>
          <t>16:25:30</t>
        </is>
      </c>
      <c r="M350" t="inlineStr">
        <is>
          <t>16:25:55</t>
        </is>
      </c>
      <c r="P350" t="inlineStr">
        <is>
          <t>A系統(終日)</t>
        </is>
      </c>
    </row>
    <row r="351" ht="15" customHeight="1" s="37">
      <c r="A351" t="n">
        <v>10</v>
      </c>
      <c r="B351" s="10" t="inlineStr">
        <is>
          <t>休日</t>
        </is>
      </c>
      <c r="C351" s="10" t="inlineStr">
        <is>
          <t>本線</t>
        </is>
      </c>
      <c r="D351" s="10" t="inlineStr">
        <is>
          <t>下り</t>
        </is>
      </c>
      <c r="E351" s="10" t="inlineStr">
        <is>
          <t>連1601</t>
        </is>
      </c>
      <c r="F351" t="inlineStr">
        <is>
          <t>3112</t>
        </is>
      </c>
      <c r="G351" s="10" t="inlineStr">
        <is>
          <t>嵐山</t>
        </is>
      </c>
      <c r="H351" s="10" t="inlineStr">
        <is>
          <t>着</t>
        </is>
      </c>
      <c r="J351" s="10" t="inlineStr">
        <is>
          <t>営業</t>
        </is>
      </c>
      <c r="L351" t="inlineStr">
        <is>
          <t>16:27:00</t>
        </is>
      </c>
      <c r="P351" t="inlineStr">
        <is>
          <t>A系統(終日)</t>
        </is>
      </c>
      <c r="Q351" t="inlineStr">
        <is>
          <t>1</t>
        </is>
      </c>
    </row>
    <row r="352" ht="15" customHeight="1" s="37">
      <c r="A352" t="n">
        <v>10</v>
      </c>
      <c r="B352" s="10" t="inlineStr">
        <is>
          <t>休日</t>
        </is>
      </c>
      <c r="C352" s="10" t="inlineStr">
        <is>
          <t>本線</t>
        </is>
      </c>
      <c r="D352" s="10" t="inlineStr">
        <is>
          <t>上り</t>
        </is>
      </c>
      <c r="E352" s="10" t="inlineStr">
        <is>
          <t>連1608</t>
        </is>
      </c>
      <c r="F352" t="inlineStr">
        <is>
          <t>2221</t>
        </is>
      </c>
      <c r="G352" s="10" t="inlineStr">
        <is>
          <t>嵐山</t>
        </is>
      </c>
      <c r="H352" s="10" t="inlineStr">
        <is>
          <t>発</t>
        </is>
      </c>
      <c r="J352" s="10" t="inlineStr">
        <is>
          <t>営業</t>
        </is>
      </c>
      <c r="M352" t="inlineStr">
        <is>
          <t>16:33:00</t>
        </is>
      </c>
      <c r="P352" t="inlineStr">
        <is>
          <t>A系統(終日)</t>
        </is>
      </c>
      <c r="Q352" t="inlineStr">
        <is>
          <t>1</t>
        </is>
      </c>
      <c r="U352" t="inlineStr">
        <is>
          <t>→西院 休憩(17:06〜18:26)</t>
        </is>
      </c>
    </row>
    <row r="353" ht="15" customHeight="1" s="37">
      <c r="A353" t="n">
        <v>10</v>
      </c>
      <c r="B353" s="10" t="inlineStr">
        <is>
          <t>休日</t>
        </is>
      </c>
      <c r="C353" s="10" t="inlineStr">
        <is>
          <t>本線</t>
        </is>
      </c>
      <c r="D353" s="10" t="inlineStr">
        <is>
          <t>上り</t>
        </is>
      </c>
      <c r="E353" s="10" t="inlineStr">
        <is>
          <t>連1608</t>
        </is>
      </c>
      <c r="F353" t="inlineStr">
        <is>
          <t>2221</t>
        </is>
      </c>
      <c r="G353" s="10" t="inlineStr">
        <is>
          <t>嵯峨</t>
        </is>
      </c>
      <c r="H353" s="10" t="inlineStr">
        <is>
          <t>発</t>
        </is>
      </c>
      <c r="J353" s="10" t="inlineStr">
        <is>
          <t>営業</t>
        </is>
      </c>
      <c r="L353" t="inlineStr">
        <is>
          <t>16:33:55</t>
        </is>
      </c>
      <c r="M353" t="inlineStr">
        <is>
          <t>16:34:20</t>
        </is>
      </c>
      <c r="P353" t="inlineStr">
        <is>
          <t>A系統(終日)</t>
        </is>
      </c>
      <c r="U353" t="inlineStr">
        <is>
          <t>→西院 休憩(17:06〜18:26)</t>
        </is>
      </c>
    </row>
    <row r="354" ht="15" customHeight="1" s="37">
      <c r="A354" t="n">
        <v>10</v>
      </c>
      <c r="B354" s="10" t="inlineStr">
        <is>
          <t>休日</t>
        </is>
      </c>
      <c r="C354" s="10" t="inlineStr">
        <is>
          <t>本線</t>
        </is>
      </c>
      <c r="D354" s="10" t="inlineStr">
        <is>
          <t>上り</t>
        </is>
      </c>
      <c r="E354" s="10" t="inlineStr">
        <is>
          <t>連1608</t>
        </is>
      </c>
      <c r="F354" t="inlineStr">
        <is>
          <t>2221</t>
        </is>
      </c>
      <c r="G354" s="10" t="inlineStr">
        <is>
          <t>鹿王院</t>
        </is>
      </c>
      <c r="H354" s="10" t="inlineStr">
        <is>
          <t>発</t>
        </is>
      </c>
      <c r="J354" s="10" t="inlineStr">
        <is>
          <t>営業</t>
        </is>
      </c>
      <c r="L354" t="inlineStr">
        <is>
          <t>16:35:25</t>
        </is>
      </c>
      <c r="M354" t="inlineStr">
        <is>
          <t>16:35:45</t>
        </is>
      </c>
      <c r="P354" t="inlineStr">
        <is>
          <t>A系統(終日)</t>
        </is>
      </c>
      <c r="U354" t="inlineStr">
        <is>
          <t>→西院 休憩(17:06〜18:26)</t>
        </is>
      </c>
    </row>
    <row r="355" ht="15" customHeight="1" s="37">
      <c r="A355" t="n">
        <v>10</v>
      </c>
      <c r="B355" s="10" t="inlineStr">
        <is>
          <t>休日</t>
        </is>
      </c>
      <c r="C355" s="10" t="inlineStr">
        <is>
          <t>本線</t>
        </is>
      </c>
      <c r="D355" s="10" t="inlineStr">
        <is>
          <t>上り</t>
        </is>
      </c>
      <c r="E355" s="10" t="inlineStr">
        <is>
          <t>連1608</t>
        </is>
      </c>
      <c r="F355" t="inlineStr">
        <is>
          <t>2221</t>
        </is>
      </c>
      <c r="G355" s="10" t="inlineStr">
        <is>
          <t>車折</t>
        </is>
      </c>
      <c r="H355" s="10" t="inlineStr">
        <is>
          <t>発</t>
        </is>
      </c>
      <c r="J355" s="10" t="inlineStr">
        <is>
          <t>営業</t>
        </is>
      </c>
      <c r="L355" t="inlineStr">
        <is>
          <t>16:36:40</t>
        </is>
      </c>
      <c r="M355" t="inlineStr">
        <is>
          <t>16:37:10</t>
        </is>
      </c>
      <c r="P355" t="inlineStr">
        <is>
          <t>A系統(終日)</t>
        </is>
      </c>
      <c r="U355" t="inlineStr">
        <is>
          <t>→西院 休憩(17:06〜18:26)</t>
        </is>
      </c>
    </row>
    <row r="356" ht="15" customHeight="1" s="37">
      <c r="A356" t="n">
        <v>10</v>
      </c>
      <c r="B356" s="10" t="inlineStr">
        <is>
          <t>休日</t>
        </is>
      </c>
      <c r="C356" s="10" t="inlineStr">
        <is>
          <t>本線</t>
        </is>
      </c>
      <c r="D356" s="10" t="inlineStr">
        <is>
          <t>上り</t>
        </is>
      </c>
      <c r="E356" s="10" t="inlineStr">
        <is>
          <t>連1608</t>
        </is>
      </c>
      <c r="F356" t="inlineStr">
        <is>
          <t>2221</t>
        </is>
      </c>
      <c r="G356" s="10" t="inlineStr">
        <is>
          <t>有栖川</t>
        </is>
      </c>
      <c r="H356" s="10" t="inlineStr">
        <is>
          <t>発</t>
        </is>
      </c>
      <c r="J356" s="10" t="inlineStr">
        <is>
          <t>営業</t>
        </is>
      </c>
      <c r="L356" t="inlineStr">
        <is>
          <t>16:38:35</t>
        </is>
      </c>
      <c r="M356" t="inlineStr">
        <is>
          <t>16:38:55</t>
        </is>
      </c>
      <c r="P356" t="inlineStr">
        <is>
          <t>A系統(終日)</t>
        </is>
      </c>
      <c r="U356" t="inlineStr">
        <is>
          <t>→西院 休憩(17:06〜18:26)</t>
        </is>
      </c>
    </row>
    <row r="357" ht="15" customHeight="1" s="37">
      <c r="A357" t="n">
        <v>10</v>
      </c>
      <c r="B357" s="10" t="inlineStr">
        <is>
          <t>休日</t>
        </is>
      </c>
      <c r="C357" s="10" t="inlineStr">
        <is>
          <t>本線</t>
        </is>
      </c>
      <c r="D357" s="10" t="inlineStr">
        <is>
          <t>上り</t>
        </is>
      </c>
      <c r="E357" s="10" t="inlineStr">
        <is>
          <t>連1608</t>
        </is>
      </c>
      <c r="F357" t="inlineStr">
        <is>
          <t>2221</t>
        </is>
      </c>
      <c r="G357" s="10" t="inlineStr">
        <is>
          <t>帷子ノ辻</t>
        </is>
      </c>
      <c r="H357" s="10" t="inlineStr">
        <is>
          <t>発</t>
        </is>
      </c>
      <c r="J357" s="10" t="inlineStr">
        <is>
          <t>営業</t>
        </is>
      </c>
      <c r="L357" t="inlineStr">
        <is>
          <t>16:40:10</t>
        </is>
      </c>
      <c r="M357" t="inlineStr">
        <is>
          <t>16:41:15</t>
        </is>
      </c>
      <c r="P357" t="inlineStr">
        <is>
          <t>A系統(終日)</t>
        </is>
      </c>
      <c r="U357" t="inlineStr">
        <is>
          <t>→西院 休憩(17:06〜18:26)</t>
        </is>
      </c>
    </row>
    <row r="358" ht="15" customHeight="1" s="37">
      <c r="A358" t="n">
        <v>10</v>
      </c>
      <c r="B358" s="10" t="inlineStr">
        <is>
          <t>休日</t>
        </is>
      </c>
      <c r="C358" s="10" t="inlineStr">
        <is>
          <t>本線</t>
        </is>
      </c>
      <c r="D358" s="10" t="inlineStr">
        <is>
          <t>上り</t>
        </is>
      </c>
      <c r="E358" s="10" t="inlineStr">
        <is>
          <t>連1608</t>
        </is>
      </c>
      <c r="F358" t="inlineStr">
        <is>
          <t>2221</t>
        </is>
      </c>
      <c r="G358" s="10" t="inlineStr">
        <is>
          <t>太秦広隆寺</t>
        </is>
      </c>
      <c r="H358" s="10" t="inlineStr">
        <is>
          <t>発</t>
        </is>
      </c>
      <c r="J358" s="10" t="inlineStr">
        <is>
          <t>営業</t>
        </is>
      </c>
      <c r="L358" t="inlineStr">
        <is>
          <t>16:43:25</t>
        </is>
      </c>
      <c r="M358" t="inlineStr">
        <is>
          <t>16:43:45</t>
        </is>
      </c>
      <c r="P358" t="inlineStr">
        <is>
          <t>A系統(終日)</t>
        </is>
      </c>
      <c r="U358" t="inlineStr">
        <is>
          <t>→西院 休憩(17:06〜18:26)</t>
        </is>
      </c>
    </row>
    <row r="359" ht="15" customHeight="1" s="37">
      <c r="A359" t="n">
        <v>10</v>
      </c>
      <c r="B359" s="10" t="inlineStr">
        <is>
          <t>休日</t>
        </is>
      </c>
      <c r="C359" s="10" t="inlineStr">
        <is>
          <t>本線</t>
        </is>
      </c>
      <c r="D359" s="10" t="inlineStr">
        <is>
          <t>上り</t>
        </is>
      </c>
      <c r="E359" s="10" t="inlineStr">
        <is>
          <t>連1608</t>
        </is>
      </c>
      <c r="F359" t="inlineStr">
        <is>
          <t>2221</t>
        </is>
      </c>
      <c r="G359" s="10" t="inlineStr">
        <is>
          <t>蚕ノ社</t>
        </is>
      </c>
      <c r="H359" s="10" t="inlineStr">
        <is>
          <t>発</t>
        </is>
      </c>
      <c r="J359" s="10" t="inlineStr">
        <is>
          <t>営業</t>
        </is>
      </c>
      <c r="L359" t="inlineStr">
        <is>
          <t>16:45:00</t>
        </is>
      </c>
      <c r="M359" t="inlineStr">
        <is>
          <t>16:45:20</t>
        </is>
      </c>
      <c r="P359" t="inlineStr">
        <is>
          <t>A系統(終日)</t>
        </is>
      </c>
      <c r="U359" t="inlineStr">
        <is>
          <t>→西院 休憩(17:06〜18:26)</t>
        </is>
      </c>
    </row>
    <row r="360" ht="15" customHeight="1" s="37">
      <c r="A360" t="n">
        <v>10</v>
      </c>
      <c r="B360" s="10" t="inlineStr">
        <is>
          <t>休日</t>
        </is>
      </c>
      <c r="C360" s="10" t="inlineStr">
        <is>
          <t>本線</t>
        </is>
      </c>
      <c r="D360" s="10" t="inlineStr">
        <is>
          <t>上り</t>
        </is>
      </c>
      <c r="E360" s="10" t="inlineStr">
        <is>
          <t>連1608</t>
        </is>
      </c>
      <c r="F360" t="inlineStr">
        <is>
          <t>2221</t>
        </is>
      </c>
      <c r="G360" s="10" t="inlineStr">
        <is>
          <t>天神川</t>
        </is>
      </c>
      <c r="H360" s="10" t="inlineStr">
        <is>
          <t>発</t>
        </is>
      </c>
      <c r="J360" s="10" t="inlineStr">
        <is>
          <t>営業</t>
        </is>
      </c>
      <c r="L360" t="inlineStr">
        <is>
          <t>16:46:05</t>
        </is>
      </c>
      <c r="M360" t="inlineStr">
        <is>
          <t>16:46:50</t>
        </is>
      </c>
      <c r="P360" t="inlineStr">
        <is>
          <t>A系統(終日)</t>
        </is>
      </c>
      <c r="U360" t="inlineStr">
        <is>
          <t>→西院 休憩(17:06〜18:26)</t>
        </is>
      </c>
    </row>
    <row r="361" ht="15" customHeight="1" s="37">
      <c r="A361" t="n">
        <v>10</v>
      </c>
      <c r="B361" s="10" t="inlineStr">
        <is>
          <t>休日</t>
        </is>
      </c>
      <c r="C361" s="10" t="inlineStr">
        <is>
          <t>本線</t>
        </is>
      </c>
      <c r="D361" s="10" t="inlineStr">
        <is>
          <t>上り</t>
        </is>
      </c>
      <c r="E361" s="10" t="inlineStr">
        <is>
          <t>連1608</t>
        </is>
      </c>
      <c r="F361" t="inlineStr">
        <is>
          <t>2221</t>
        </is>
      </c>
      <c r="G361" s="10" t="inlineStr">
        <is>
          <t>山ノ内</t>
        </is>
      </c>
      <c r="H361" s="10" t="inlineStr">
        <is>
          <t>発</t>
        </is>
      </c>
      <c r="J361" s="10" t="inlineStr">
        <is>
          <t>営業</t>
        </is>
      </c>
      <c r="L361" t="inlineStr">
        <is>
          <t>16:48:40</t>
        </is>
      </c>
      <c r="M361" t="inlineStr">
        <is>
          <t>16:49:05</t>
        </is>
      </c>
      <c r="P361" t="inlineStr">
        <is>
          <t>A系統(終日)</t>
        </is>
      </c>
      <c r="U361" t="inlineStr">
        <is>
          <t>→西院 休憩(17:06〜18:26)</t>
        </is>
      </c>
    </row>
    <row r="362" ht="15" customHeight="1" s="37">
      <c r="A362" t="n">
        <v>10</v>
      </c>
      <c r="B362" s="10" t="inlineStr">
        <is>
          <t>休日</t>
        </is>
      </c>
      <c r="C362" s="10" t="inlineStr">
        <is>
          <t>本線</t>
        </is>
      </c>
      <c r="D362" s="10" t="inlineStr">
        <is>
          <t>上り</t>
        </is>
      </c>
      <c r="E362" s="10" t="inlineStr">
        <is>
          <t>連1608</t>
        </is>
      </c>
      <c r="F362" t="inlineStr">
        <is>
          <t>2221</t>
        </is>
      </c>
      <c r="G362" s="10" t="inlineStr">
        <is>
          <t>西大路三条</t>
        </is>
      </c>
      <c r="H362" s="10" t="inlineStr">
        <is>
          <t>発</t>
        </is>
      </c>
      <c r="J362" s="10" t="inlineStr">
        <is>
          <t>営業</t>
        </is>
      </c>
      <c r="L362" t="inlineStr">
        <is>
          <t>16:50:55</t>
        </is>
      </c>
      <c r="M362" t="inlineStr">
        <is>
          <t>16:51:15</t>
        </is>
      </c>
      <c r="P362" t="inlineStr">
        <is>
          <t>A系統(終日)</t>
        </is>
      </c>
      <c r="U362" t="inlineStr">
        <is>
          <t>→西院 休憩(17:06〜18:26)</t>
        </is>
      </c>
    </row>
    <row r="363" ht="15" customHeight="1" s="37">
      <c r="A363" t="n">
        <v>10</v>
      </c>
      <c r="B363" s="10" t="inlineStr">
        <is>
          <t>休日</t>
        </is>
      </c>
      <c r="C363" s="10" t="inlineStr">
        <is>
          <t>本線</t>
        </is>
      </c>
      <c r="D363" s="10" t="inlineStr">
        <is>
          <t>上り</t>
        </is>
      </c>
      <c r="E363" s="10" t="inlineStr">
        <is>
          <t>連1608</t>
        </is>
      </c>
      <c r="F363" t="inlineStr">
        <is>
          <t>2221</t>
        </is>
      </c>
      <c r="G363" s="10" t="inlineStr">
        <is>
          <t>西院</t>
        </is>
      </c>
      <c r="H363" s="10" t="inlineStr">
        <is>
          <t>発</t>
        </is>
      </c>
      <c r="J363" s="10" t="inlineStr">
        <is>
          <t>営業</t>
        </is>
      </c>
      <c r="L363" t="inlineStr">
        <is>
          <t>16:53:10</t>
        </is>
      </c>
      <c r="M363" t="inlineStr">
        <is>
          <t>16:54:05</t>
        </is>
      </c>
      <c r="P363" t="inlineStr">
        <is>
          <t>A系統(終日)</t>
        </is>
      </c>
      <c r="U363" t="inlineStr">
        <is>
          <t>→西院 休憩(17:06〜18:26)</t>
        </is>
      </c>
    </row>
    <row r="364" ht="15" customHeight="1" s="37">
      <c r="A364" t="n">
        <v>10</v>
      </c>
      <c r="B364" s="10" t="inlineStr">
        <is>
          <t>休日</t>
        </is>
      </c>
      <c r="C364" s="10" t="inlineStr">
        <is>
          <t>本線</t>
        </is>
      </c>
      <c r="D364" s="10" t="inlineStr">
        <is>
          <t>上り</t>
        </is>
      </c>
      <c r="E364" s="10" t="inlineStr">
        <is>
          <t>連1608</t>
        </is>
      </c>
      <c r="F364" t="inlineStr">
        <is>
          <t>2221</t>
        </is>
      </c>
      <c r="G364" s="10" t="inlineStr">
        <is>
          <t>四条大宮</t>
        </is>
      </c>
      <c r="H364" s="10" t="inlineStr">
        <is>
          <t>着</t>
        </is>
      </c>
      <c r="J364" s="10" t="inlineStr">
        <is>
          <t>営業</t>
        </is>
      </c>
      <c r="L364" t="inlineStr">
        <is>
          <t>16:57:00</t>
        </is>
      </c>
      <c r="P364" t="inlineStr">
        <is>
          <t>A系統(終日)</t>
        </is>
      </c>
      <c r="Q364" t="inlineStr">
        <is>
          <t>1</t>
        </is>
      </c>
      <c r="U364" t="inlineStr">
        <is>
          <t>→西院 休憩(17:06〜18:26)</t>
        </is>
      </c>
    </row>
    <row r="365" ht="15" customHeight="1" s="37">
      <c r="A365" t="n">
        <v>10</v>
      </c>
      <c r="B365" s="10" t="inlineStr">
        <is>
          <t>休日</t>
        </is>
      </c>
      <c r="C365" s="10" t="inlineStr">
        <is>
          <t>本線</t>
        </is>
      </c>
      <c r="D365" s="10" t="inlineStr">
        <is>
          <t>下り</t>
        </is>
      </c>
      <c r="E365" s="10" t="inlineStr">
        <is>
          <t>連1701</t>
        </is>
      </c>
      <c r="F365" t="inlineStr">
        <is>
          <t>3112</t>
        </is>
      </c>
      <c r="G365" s="10" t="inlineStr">
        <is>
          <t>四条大宮</t>
        </is>
      </c>
      <c r="H365" s="10" t="inlineStr">
        <is>
          <t>発</t>
        </is>
      </c>
      <c r="J365" s="10" t="inlineStr">
        <is>
          <t>営業</t>
        </is>
      </c>
      <c r="M365" t="inlineStr">
        <is>
          <t>17:03:00</t>
        </is>
      </c>
      <c r="P365" t="inlineStr">
        <is>
          <t>A系統(終日)</t>
        </is>
      </c>
      <c r="Q365" t="inlineStr">
        <is>
          <t>1</t>
        </is>
      </c>
      <c r="U365" t="inlineStr">
        <is>
          <t>→西院 休憩(17:06〜18:26)</t>
        </is>
      </c>
    </row>
    <row r="366" ht="15" customHeight="1" s="37">
      <c r="A366" t="n">
        <v>10</v>
      </c>
      <c r="B366" s="10" t="inlineStr">
        <is>
          <t>休日</t>
        </is>
      </c>
      <c r="C366" s="10" t="inlineStr">
        <is>
          <t>本線</t>
        </is>
      </c>
      <c r="D366" s="10" t="inlineStr">
        <is>
          <t>下り</t>
        </is>
      </c>
      <c r="E366" s="10" t="inlineStr">
        <is>
          <t>連1701</t>
        </is>
      </c>
      <c r="F366" t="inlineStr">
        <is>
          <t>3112</t>
        </is>
      </c>
      <c r="G366" s="10" t="inlineStr">
        <is>
          <t>西院</t>
        </is>
      </c>
      <c r="H366" s="10" t="inlineStr">
        <is>
          <t>着</t>
        </is>
      </c>
      <c r="J366" s="10" t="inlineStr">
        <is>
          <t>営業</t>
        </is>
      </c>
      <c r="L366" t="inlineStr">
        <is>
          <t>17:05:50</t>
        </is>
      </c>
      <c r="M366" t="inlineStr">
        <is>
          <t>17:06:20</t>
        </is>
      </c>
      <c r="P366" t="inlineStr">
        <is>
          <t>A系統(終日)</t>
        </is>
      </c>
      <c r="U366" t="inlineStr">
        <is>
          <t>→西院 休憩(17:06〜18:26)</t>
        </is>
      </c>
    </row>
    <row r="367" ht="15" customHeight="1" s="37">
      <c r="A367" t="n">
        <v>11</v>
      </c>
      <c r="B367" s="10" t="inlineStr">
        <is>
          <t>休日</t>
        </is>
      </c>
      <c r="C367" s="10" t="inlineStr">
        <is>
          <t>本線</t>
        </is>
      </c>
      <c r="D367" s="10" t="inlineStr">
        <is>
          <t>下り</t>
        </is>
      </c>
      <c r="E367" t="inlineStr">
        <is>
          <t>1811</t>
        </is>
      </c>
      <c r="F367" t="inlineStr">
        <is>
          <t>0122</t>
        </is>
      </c>
      <c r="G367" s="10" t="inlineStr">
        <is>
          <t>西院</t>
        </is>
      </c>
      <c r="H367" s="10" t="inlineStr">
        <is>
          <t>発</t>
        </is>
      </c>
      <c r="J367" s="10" t="inlineStr">
        <is>
          <t>営業</t>
        </is>
      </c>
      <c r="L367" t="inlineStr">
        <is>
          <t>18:55:50</t>
        </is>
      </c>
      <c r="M367" t="inlineStr">
        <is>
          <t>18:56:20</t>
        </is>
      </c>
    </row>
    <row r="368" ht="15" customHeight="1" s="37">
      <c r="A368" t="n">
        <v>11</v>
      </c>
      <c r="B368" s="10" t="inlineStr">
        <is>
          <t>休日</t>
        </is>
      </c>
      <c r="C368" s="10" t="inlineStr">
        <is>
          <t>本線</t>
        </is>
      </c>
      <c r="D368" s="10" t="inlineStr">
        <is>
          <t>下り</t>
        </is>
      </c>
      <c r="E368" t="inlineStr">
        <is>
          <t>1811</t>
        </is>
      </c>
      <c r="F368" t="inlineStr">
        <is>
          <t>0122</t>
        </is>
      </c>
      <c r="G368" s="10" t="inlineStr">
        <is>
          <t>西大路三条</t>
        </is>
      </c>
      <c r="H368" s="10" t="inlineStr">
        <is>
          <t>発</t>
        </is>
      </c>
      <c r="J368" s="10" t="inlineStr">
        <is>
          <t>営業</t>
        </is>
      </c>
      <c r="L368" t="inlineStr">
        <is>
          <t>18:58:10</t>
        </is>
      </c>
      <c r="M368" t="inlineStr">
        <is>
          <t>18:58:30</t>
        </is>
      </c>
    </row>
    <row r="369" ht="15" customHeight="1" s="37">
      <c r="A369" t="n">
        <v>11</v>
      </c>
      <c r="B369" s="10" t="inlineStr">
        <is>
          <t>休日</t>
        </is>
      </c>
      <c r="C369" s="10" t="inlineStr">
        <is>
          <t>本線</t>
        </is>
      </c>
      <c r="D369" s="10" t="inlineStr">
        <is>
          <t>下り</t>
        </is>
      </c>
      <c r="E369" t="inlineStr">
        <is>
          <t>1811</t>
        </is>
      </c>
      <c r="F369" t="inlineStr">
        <is>
          <t>0122</t>
        </is>
      </c>
      <c r="G369" s="10" t="inlineStr">
        <is>
          <t>山ノ内</t>
        </is>
      </c>
      <c r="H369" s="10" t="inlineStr">
        <is>
          <t>発</t>
        </is>
      </c>
      <c r="J369" s="10" t="inlineStr">
        <is>
          <t>営業</t>
        </is>
      </c>
      <c r="L369" t="inlineStr">
        <is>
          <t>19:00:25</t>
        </is>
      </c>
      <c r="M369" t="inlineStr">
        <is>
          <t>19:00:50</t>
        </is>
      </c>
    </row>
    <row r="370" ht="15" customHeight="1" s="37">
      <c r="A370" t="n">
        <v>11</v>
      </c>
      <c r="B370" s="10" t="inlineStr">
        <is>
          <t>休日</t>
        </is>
      </c>
      <c r="C370" s="10" t="inlineStr">
        <is>
          <t>本線</t>
        </is>
      </c>
      <c r="D370" s="10" t="inlineStr">
        <is>
          <t>下り</t>
        </is>
      </c>
      <c r="E370" t="inlineStr">
        <is>
          <t>1811</t>
        </is>
      </c>
      <c r="F370" t="inlineStr">
        <is>
          <t>0122</t>
        </is>
      </c>
      <c r="G370" s="10" t="inlineStr">
        <is>
          <t>天神川</t>
        </is>
      </c>
      <c r="H370" s="10" t="inlineStr">
        <is>
          <t>発</t>
        </is>
      </c>
      <c r="J370" s="10" t="inlineStr">
        <is>
          <t>営業</t>
        </is>
      </c>
      <c r="L370" t="inlineStr">
        <is>
          <t>19:02:50</t>
        </is>
      </c>
      <c r="M370" t="inlineStr">
        <is>
          <t>19:03:30</t>
        </is>
      </c>
    </row>
    <row r="371" ht="15" customHeight="1" s="37">
      <c r="A371" t="n">
        <v>11</v>
      </c>
      <c r="B371" s="10" t="inlineStr">
        <is>
          <t>休日</t>
        </is>
      </c>
      <c r="C371" s="10" t="inlineStr">
        <is>
          <t>本線</t>
        </is>
      </c>
      <c r="D371" s="10" t="inlineStr">
        <is>
          <t>下り</t>
        </is>
      </c>
      <c r="E371" t="inlineStr">
        <is>
          <t>1811</t>
        </is>
      </c>
      <c r="F371" t="inlineStr">
        <is>
          <t>0122</t>
        </is>
      </c>
      <c r="G371" s="10" t="inlineStr">
        <is>
          <t>蚕ノ社</t>
        </is>
      </c>
      <c r="H371" s="10" t="inlineStr">
        <is>
          <t>発</t>
        </is>
      </c>
      <c r="J371" s="10" t="inlineStr">
        <is>
          <t>営業</t>
        </is>
      </c>
      <c r="L371" t="inlineStr">
        <is>
          <t>19:04:20</t>
        </is>
      </c>
      <c r="M371" t="inlineStr">
        <is>
          <t>19:04:40</t>
        </is>
      </c>
    </row>
    <row r="372" ht="15" customHeight="1" s="37">
      <c r="A372" t="n">
        <v>11</v>
      </c>
      <c r="B372" s="10" t="inlineStr">
        <is>
          <t>休日</t>
        </is>
      </c>
      <c r="C372" s="10" t="inlineStr">
        <is>
          <t>本線</t>
        </is>
      </c>
      <c r="D372" s="10" t="inlineStr">
        <is>
          <t>下り</t>
        </is>
      </c>
      <c r="E372" t="inlineStr">
        <is>
          <t>1811</t>
        </is>
      </c>
      <c r="F372" t="inlineStr">
        <is>
          <t>0122</t>
        </is>
      </c>
      <c r="G372" s="10" t="inlineStr">
        <is>
          <t>太秦広隆寺</t>
        </is>
      </c>
      <c r="H372" s="10" t="inlineStr">
        <is>
          <t>発</t>
        </is>
      </c>
      <c r="J372" s="10" t="inlineStr">
        <is>
          <t>営業</t>
        </is>
      </c>
      <c r="L372" t="inlineStr">
        <is>
          <t>19:06:00</t>
        </is>
      </c>
      <c r="M372" t="inlineStr">
        <is>
          <t>19:06:20</t>
        </is>
      </c>
    </row>
    <row r="373" ht="15" customHeight="1" s="37">
      <c r="A373" t="n">
        <v>11</v>
      </c>
      <c r="B373" s="10" t="inlineStr">
        <is>
          <t>休日</t>
        </is>
      </c>
      <c r="C373" s="10" t="inlineStr">
        <is>
          <t>本線</t>
        </is>
      </c>
      <c r="D373" s="10" t="inlineStr">
        <is>
          <t>下り</t>
        </is>
      </c>
      <c r="E373" t="inlineStr">
        <is>
          <t>1811</t>
        </is>
      </c>
      <c r="F373" t="inlineStr">
        <is>
          <t>0122</t>
        </is>
      </c>
      <c r="G373" s="10" t="inlineStr">
        <is>
          <t>帷子ノ辻</t>
        </is>
      </c>
      <c r="H373" s="10" t="inlineStr">
        <is>
          <t>発</t>
        </is>
      </c>
      <c r="J373" s="10" t="inlineStr">
        <is>
          <t>営業</t>
        </is>
      </c>
      <c r="L373" t="inlineStr">
        <is>
          <t>19:08:20</t>
        </is>
      </c>
      <c r="M373" t="inlineStr">
        <is>
          <t>19:09:40</t>
        </is>
      </c>
    </row>
    <row r="374" ht="15" customHeight="1" s="37">
      <c r="A374" t="n">
        <v>11</v>
      </c>
      <c r="B374" s="10" t="inlineStr">
        <is>
          <t>休日</t>
        </is>
      </c>
      <c r="C374" s="10" t="inlineStr">
        <is>
          <t>本線</t>
        </is>
      </c>
      <c r="D374" s="10" t="inlineStr">
        <is>
          <t>下り</t>
        </is>
      </c>
      <c r="E374" t="inlineStr">
        <is>
          <t>1811</t>
        </is>
      </c>
      <c r="F374" t="inlineStr">
        <is>
          <t>0122</t>
        </is>
      </c>
      <c r="G374" s="10" t="inlineStr">
        <is>
          <t>有栖川</t>
        </is>
      </c>
      <c r="H374" s="10" t="inlineStr">
        <is>
          <t>発</t>
        </is>
      </c>
      <c r="J374" s="10" t="inlineStr">
        <is>
          <t>営業</t>
        </is>
      </c>
      <c r="L374" t="inlineStr">
        <is>
          <t>19:10:50</t>
        </is>
      </c>
      <c r="M374" t="inlineStr">
        <is>
          <t>19:11:15</t>
        </is>
      </c>
    </row>
    <row r="375" ht="15" customHeight="1" s="37">
      <c r="A375" t="n">
        <v>11</v>
      </c>
      <c r="B375" s="10" t="inlineStr">
        <is>
          <t>休日</t>
        </is>
      </c>
      <c r="C375" s="10" t="inlineStr">
        <is>
          <t>本線</t>
        </is>
      </c>
      <c r="D375" s="10" t="inlineStr">
        <is>
          <t>下り</t>
        </is>
      </c>
      <c r="E375" t="inlineStr">
        <is>
          <t>1811</t>
        </is>
      </c>
      <c r="F375" t="inlineStr">
        <is>
          <t>0122</t>
        </is>
      </c>
      <c r="G375" s="10" t="inlineStr">
        <is>
          <t>車折</t>
        </is>
      </c>
      <c r="H375" s="10" t="inlineStr">
        <is>
          <t>発</t>
        </is>
      </c>
      <c r="J375" s="10" t="inlineStr">
        <is>
          <t>営業</t>
        </is>
      </c>
      <c r="L375" t="inlineStr">
        <is>
          <t>19:12:40</t>
        </is>
      </c>
      <c r="M375" t="inlineStr">
        <is>
          <t>19:13:05</t>
        </is>
      </c>
    </row>
    <row r="376" ht="15" customHeight="1" s="37">
      <c r="A376" t="n">
        <v>11</v>
      </c>
      <c r="B376" s="10" t="inlineStr">
        <is>
          <t>休日</t>
        </is>
      </c>
      <c r="C376" s="10" t="inlineStr">
        <is>
          <t>本線</t>
        </is>
      </c>
      <c r="D376" s="10" t="inlineStr">
        <is>
          <t>下り</t>
        </is>
      </c>
      <c r="E376" t="inlineStr">
        <is>
          <t>1811</t>
        </is>
      </c>
      <c r="F376" t="inlineStr">
        <is>
          <t>0122</t>
        </is>
      </c>
      <c r="G376" s="10" t="inlineStr">
        <is>
          <t>鹿王院</t>
        </is>
      </c>
      <c r="H376" s="10" t="inlineStr">
        <is>
          <t>発</t>
        </is>
      </c>
      <c r="J376" s="10" t="inlineStr">
        <is>
          <t>営業</t>
        </is>
      </c>
      <c r="L376" t="inlineStr">
        <is>
          <t>19:14:00</t>
        </is>
      </c>
      <c r="M376" t="inlineStr">
        <is>
          <t>19:14:25</t>
        </is>
      </c>
    </row>
    <row r="377" ht="15" customHeight="1" s="37">
      <c r="A377" t="n">
        <v>11</v>
      </c>
      <c r="B377" s="10" t="inlineStr">
        <is>
          <t>休日</t>
        </is>
      </c>
      <c r="C377" s="10" t="inlineStr">
        <is>
          <t>本線</t>
        </is>
      </c>
      <c r="D377" s="10" t="inlineStr">
        <is>
          <t>下り</t>
        </is>
      </c>
      <c r="E377" t="inlineStr">
        <is>
          <t>1811</t>
        </is>
      </c>
      <c r="F377" t="inlineStr">
        <is>
          <t>0122</t>
        </is>
      </c>
      <c r="G377" s="10" t="inlineStr">
        <is>
          <t>嵯峨</t>
        </is>
      </c>
      <c r="H377" s="10" t="inlineStr">
        <is>
          <t>発</t>
        </is>
      </c>
      <c r="J377" s="10" t="inlineStr">
        <is>
          <t>営業</t>
        </is>
      </c>
      <c r="L377" t="inlineStr">
        <is>
          <t>19:15:30</t>
        </is>
      </c>
      <c r="M377" t="inlineStr">
        <is>
          <t>19:15:55</t>
        </is>
      </c>
    </row>
    <row r="378" ht="15" customHeight="1" s="37">
      <c r="A378" t="n">
        <v>11</v>
      </c>
      <c r="B378" s="10" t="inlineStr">
        <is>
          <t>休日</t>
        </is>
      </c>
      <c r="C378" s="10" t="inlineStr">
        <is>
          <t>本線</t>
        </is>
      </c>
      <c r="D378" s="10" t="inlineStr">
        <is>
          <t>下り</t>
        </is>
      </c>
      <c r="E378" t="inlineStr">
        <is>
          <t>1811</t>
        </is>
      </c>
      <c r="F378" t="inlineStr">
        <is>
          <t>0122</t>
        </is>
      </c>
      <c r="G378" s="10" t="inlineStr">
        <is>
          <t>嵐山</t>
        </is>
      </c>
      <c r="H378" s="10" t="inlineStr">
        <is>
          <t>着</t>
        </is>
      </c>
      <c r="J378" s="10" t="inlineStr">
        <is>
          <t>営業</t>
        </is>
      </c>
      <c r="L378" t="inlineStr">
        <is>
          <t>19:17:00</t>
        </is>
      </c>
      <c r="N378" t="inlineStr">
        <is>
          <t>○</t>
        </is>
      </c>
      <c r="Q378" t="inlineStr">
        <is>
          <t>1</t>
        </is>
      </c>
    </row>
    <row r="379" ht="15" customHeight="1" s="37">
      <c r="A379" t="n">
        <v>11</v>
      </c>
      <c r="B379" s="10" t="inlineStr">
        <is>
          <t>休日</t>
        </is>
      </c>
      <c r="C379" s="10" t="inlineStr">
        <is>
          <t>本線</t>
        </is>
      </c>
      <c r="D379" s="10" t="inlineStr">
        <is>
          <t>上り</t>
        </is>
      </c>
      <c r="E379" t="inlineStr">
        <is>
          <t>1906</t>
        </is>
      </c>
      <c r="F379" t="inlineStr">
        <is>
          <t>2221</t>
        </is>
      </c>
      <c r="G379" s="10" t="inlineStr">
        <is>
          <t>嵐山</t>
        </is>
      </c>
      <c r="H379" s="10" t="inlineStr">
        <is>
          <t>発</t>
        </is>
      </c>
      <c r="J379" s="10" t="inlineStr">
        <is>
          <t>営業</t>
        </is>
      </c>
      <c r="M379" t="inlineStr">
        <is>
          <t>19:23:00</t>
        </is>
      </c>
      <c r="Q379" t="inlineStr">
        <is>
          <t>1</t>
        </is>
      </c>
    </row>
    <row r="380" ht="15" customHeight="1" s="37">
      <c r="A380" t="n">
        <v>11</v>
      </c>
      <c r="B380" s="10" t="inlineStr">
        <is>
          <t>休日</t>
        </is>
      </c>
      <c r="C380" s="10" t="inlineStr">
        <is>
          <t>本線</t>
        </is>
      </c>
      <c r="D380" s="10" t="inlineStr">
        <is>
          <t>上り</t>
        </is>
      </c>
      <c r="E380" t="inlineStr">
        <is>
          <t>1906</t>
        </is>
      </c>
      <c r="F380" t="inlineStr">
        <is>
          <t>2221</t>
        </is>
      </c>
      <c r="G380" s="10" t="inlineStr">
        <is>
          <t>嵯峨</t>
        </is>
      </c>
      <c r="H380" s="10" t="inlineStr">
        <is>
          <t>発</t>
        </is>
      </c>
      <c r="J380" s="10" t="inlineStr">
        <is>
          <t>営業</t>
        </is>
      </c>
      <c r="L380" t="inlineStr">
        <is>
          <t>19:23:55</t>
        </is>
      </c>
      <c r="M380" t="inlineStr">
        <is>
          <t>19:24:20</t>
        </is>
      </c>
    </row>
    <row r="381" ht="15" customHeight="1" s="37">
      <c r="A381" t="n">
        <v>11</v>
      </c>
      <c r="B381" s="10" t="inlineStr">
        <is>
          <t>休日</t>
        </is>
      </c>
      <c r="C381" s="10" t="inlineStr">
        <is>
          <t>本線</t>
        </is>
      </c>
      <c r="D381" s="10" t="inlineStr">
        <is>
          <t>上り</t>
        </is>
      </c>
      <c r="E381" t="inlineStr">
        <is>
          <t>1906</t>
        </is>
      </c>
      <c r="F381" t="inlineStr">
        <is>
          <t>2221</t>
        </is>
      </c>
      <c r="G381" s="10" t="inlineStr">
        <is>
          <t>鹿王院</t>
        </is>
      </c>
      <c r="H381" s="10" t="inlineStr">
        <is>
          <t>発</t>
        </is>
      </c>
      <c r="J381" s="10" t="inlineStr">
        <is>
          <t>営業</t>
        </is>
      </c>
      <c r="L381" t="inlineStr">
        <is>
          <t>19:25:25</t>
        </is>
      </c>
      <c r="M381" t="inlineStr">
        <is>
          <t>19:25:45</t>
        </is>
      </c>
    </row>
    <row r="382" ht="15" customHeight="1" s="37">
      <c r="A382" t="n">
        <v>11</v>
      </c>
      <c r="B382" s="10" t="inlineStr">
        <is>
          <t>休日</t>
        </is>
      </c>
      <c r="C382" s="10" t="inlineStr">
        <is>
          <t>本線</t>
        </is>
      </c>
      <c r="D382" s="10" t="inlineStr">
        <is>
          <t>上り</t>
        </is>
      </c>
      <c r="E382" t="inlineStr">
        <is>
          <t>1906</t>
        </is>
      </c>
      <c r="F382" t="inlineStr">
        <is>
          <t>2221</t>
        </is>
      </c>
      <c r="G382" s="10" t="inlineStr">
        <is>
          <t>車折</t>
        </is>
      </c>
      <c r="H382" s="10" t="inlineStr">
        <is>
          <t>発</t>
        </is>
      </c>
      <c r="J382" s="10" t="inlineStr">
        <is>
          <t>営業</t>
        </is>
      </c>
      <c r="L382" t="inlineStr">
        <is>
          <t>19:26:40</t>
        </is>
      </c>
      <c r="M382" t="inlineStr">
        <is>
          <t>19:27:10</t>
        </is>
      </c>
    </row>
    <row r="383" ht="15" customHeight="1" s="37">
      <c r="A383" t="n">
        <v>11</v>
      </c>
      <c r="B383" s="10" t="inlineStr">
        <is>
          <t>休日</t>
        </is>
      </c>
      <c r="C383" s="10" t="inlineStr">
        <is>
          <t>本線</t>
        </is>
      </c>
      <c r="D383" s="10" t="inlineStr">
        <is>
          <t>上り</t>
        </is>
      </c>
      <c r="E383" t="inlineStr">
        <is>
          <t>1906</t>
        </is>
      </c>
      <c r="F383" t="inlineStr">
        <is>
          <t>2221</t>
        </is>
      </c>
      <c r="G383" s="10" t="inlineStr">
        <is>
          <t>有栖川</t>
        </is>
      </c>
      <c r="H383" s="10" t="inlineStr">
        <is>
          <t>発</t>
        </is>
      </c>
      <c r="J383" s="10" t="inlineStr">
        <is>
          <t>営業</t>
        </is>
      </c>
      <c r="L383" t="inlineStr">
        <is>
          <t>19:28:35</t>
        </is>
      </c>
      <c r="M383" t="inlineStr">
        <is>
          <t>19:28:55</t>
        </is>
      </c>
    </row>
    <row r="384" ht="15" customHeight="1" s="37">
      <c r="A384" t="n">
        <v>11</v>
      </c>
      <c r="B384" s="10" t="inlineStr">
        <is>
          <t>休日</t>
        </is>
      </c>
      <c r="C384" s="10" t="inlineStr">
        <is>
          <t>本線</t>
        </is>
      </c>
      <c r="D384" s="10" t="inlineStr">
        <is>
          <t>上り</t>
        </is>
      </c>
      <c r="E384" t="inlineStr">
        <is>
          <t>1906</t>
        </is>
      </c>
      <c r="F384" t="inlineStr">
        <is>
          <t>2221</t>
        </is>
      </c>
      <c r="G384" s="10" t="inlineStr">
        <is>
          <t>帷子ノ辻</t>
        </is>
      </c>
      <c r="H384" s="10" t="inlineStr">
        <is>
          <t>発</t>
        </is>
      </c>
      <c r="J384" s="10" t="inlineStr">
        <is>
          <t>営業</t>
        </is>
      </c>
      <c r="L384" t="inlineStr">
        <is>
          <t>19:30:10</t>
        </is>
      </c>
      <c r="M384" t="inlineStr">
        <is>
          <t>19:31:15</t>
        </is>
      </c>
    </row>
    <row r="385" ht="15" customHeight="1" s="37">
      <c r="A385" t="n">
        <v>11</v>
      </c>
      <c r="B385" s="10" t="inlineStr">
        <is>
          <t>休日</t>
        </is>
      </c>
      <c r="C385" s="10" t="inlineStr">
        <is>
          <t>本線</t>
        </is>
      </c>
      <c r="D385" s="10" t="inlineStr">
        <is>
          <t>上り</t>
        </is>
      </c>
      <c r="E385" t="inlineStr">
        <is>
          <t>1906</t>
        </is>
      </c>
      <c r="F385" t="inlineStr">
        <is>
          <t>2221</t>
        </is>
      </c>
      <c r="G385" s="10" t="inlineStr">
        <is>
          <t>太秦広隆寺</t>
        </is>
      </c>
      <c r="H385" s="10" t="inlineStr">
        <is>
          <t>発</t>
        </is>
      </c>
      <c r="J385" s="10" t="inlineStr">
        <is>
          <t>営業</t>
        </is>
      </c>
      <c r="L385" t="inlineStr">
        <is>
          <t>19:33:25</t>
        </is>
      </c>
      <c r="M385" t="inlineStr">
        <is>
          <t>19:33:45</t>
        </is>
      </c>
    </row>
    <row r="386" ht="15" customHeight="1" s="37">
      <c r="A386" t="n">
        <v>11</v>
      </c>
      <c r="B386" s="10" t="inlineStr">
        <is>
          <t>休日</t>
        </is>
      </c>
      <c r="C386" s="10" t="inlineStr">
        <is>
          <t>本線</t>
        </is>
      </c>
      <c r="D386" s="10" t="inlineStr">
        <is>
          <t>上り</t>
        </is>
      </c>
      <c r="E386" t="inlineStr">
        <is>
          <t>1906</t>
        </is>
      </c>
      <c r="F386" t="inlineStr">
        <is>
          <t>2221</t>
        </is>
      </c>
      <c r="G386" s="10" t="inlineStr">
        <is>
          <t>蚕ノ社</t>
        </is>
      </c>
      <c r="H386" s="10" t="inlineStr">
        <is>
          <t>発</t>
        </is>
      </c>
      <c r="J386" s="10" t="inlineStr">
        <is>
          <t>営業</t>
        </is>
      </c>
      <c r="L386" t="inlineStr">
        <is>
          <t>19:35:00</t>
        </is>
      </c>
      <c r="M386" t="inlineStr">
        <is>
          <t>19:35:20</t>
        </is>
      </c>
    </row>
    <row r="387" ht="15" customHeight="1" s="37">
      <c r="A387" t="n">
        <v>11</v>
      </c>
      <c r="B387" s="10" t="inlineStr">
        <is>
          <t>休日</t>
        </is>
      </c>
      <c r="C387" s="10" t="inlineStr">
        <is>
          <t>本線</t>
        </is>
      </c>
      <c r="D387" s="10" t="inlineStr">
        <is>
          <t>上り</t>
        </is>
      </c>
      <c r="E387" t="inlineStr">
        <is>
          <t>1906</t>
        </is>
      </c>
      <c r="F387" t="inlineStr">
        <is>
          <t>2221</t>
        </is>
      </c>
      <c r="G387" s="10" t="inlineStr">
        <is>
          <t>天神川</t>
        </is>
      </c>
      <c r="H387" s="10" t="inlineStr">
        <is>
          <t>発</t>
        </is>
      </c>
      <c r="J387" s="10" t="inlineStr">
        <is>
          <t>営業</t>
        </is>
      </c>
      <c r="L387" t="inlineStr">
        <is>
          <t>19:36:05</t>
        </is>
      </c>
      <c r="M387" t="inlineStr">
        <is>
          <t>19:36:50</t>
        </is>
      </c>
    </row>
    <row r="388" ht="15" customHeight="1" s="37">
      <c r="A388" t="n">
        <v>11</v>
      </c>
      <c r="B388" s="10" t="inlineStr">
        <is>
          <t>休日</t>
        </is>
      </c>
      <c r="C388" s="10" t="inlineStr">
        <is>
          <t>本線</t>
        </is>
      </c>
      <c r="D388" s="10" t="inlineStr">
        <is>
          <t>上り</t>
        </is>
      </c>
      <c r="E388" t="inlineStr">
        <is>
          <t>1906</t>
        </is>
      </c>
      <c r="F388" t="inlineStr">
        <is>
          <t>2221</t>
        </is>
      </c>
      <c r="G388" s="10" t="inlineStr">
        <is>
          <t>山ノ内</t>
        </is>
      </c>
      <c r="H388" s="10" t="inlineStr">
        <is>
          <t>発</t>
        </is>
      </c>
      <c r="J388" s="10" t="inlineStr">
        <is>
          <t>営業</t>
        </is>
      </c>
      <c r="L388" t="inlineStr">
        <is>
          <t>19:38:40</t>
        </is>
      </c>
      <c r="M388" t="inlineStr">
        <is>
          <t>19:39:05</t>
        </is>
      </c>
    </row>
    <row r="389" ht="15" customHeight="1" s="37">
      <c r="A389" t="n">
        <v>11</v>
      </c>
      <c r="B389" s="10" t="inlineStr">
        <is>
          <t>休日</t>
        </is>
      </c>
      <c r="C389" s="10" t="inlineStr">
        <is>
          <t>本線</t>
        </is>
      </c>
      <c r="D389" s="10" t="inlineStr">
        <is>
          <t>上り</t>
        </is>
      </c>
      <c r="E389" t="inlineStr">
        <is>
          <t>1906</t>
        </is>
      </c>
      <c r="F389" t="inlineStr">
        <is>
          <t>2221</t>
        </is>
      </c>
      <c r="G389" s="10" t="inlineStr">
        <is>
          <t>西大路三条</t>
        </is>
      </c>
      <c r="H389" s="10" t="inlineStr">
        <is>
          <t>発</t>
        </is>
      </c>
      <c r="J389" s="10" t="inlineStr">
        <is>
          <t>営業</t>
        </is>
      </c>
      <c r="L389" t="inlineStr">
        <is>
          <t>19:40:55</t>
        </is>
      </c>
      <c r="M389" t="inlineStr">
        <is>
          <t>19:41:15</t>
        </is>
      </c>
    </row>
    <row r="390" ht="15" customHeight="1" s="37">
      <c r="A390" t="n">
        <v>11</v>
      </c>
      <c r="B390" s="10" t="inlineStr">
        <is>
          <t>休日</t>
        </is>
      </c>
      <c r="C390" s="10" t="inlineStr">
        <is>
          <t>本線</t>
        </is>
      </c>
      <c r="D390" s="10" t="inlineStr">
        <is>
          <t>上り</t>
        </is>
      </c>
      <c r="E390" t="inlineStr">
        <is>
          <t>1906</t>
        </is>
      </c>
      <c r="F390" t="inlineStr">
        <is>
          <t>2221</t>
        </is>
      </c>
      <c r="G390" s="10" t="inlineStr">
        <is>
          <t>西院</t>
        </is>
      </c>
      <c r="H390" s="10" t="inlineStr">
        <is>
          <t>発</t>
        </is>
      </c>
      <c r="J390" s="10" t="inlineStr">
        <is>
          <t>営業</t>
        </is>
      </c>
      <c r="L390" t="inlineStr">
        <is>
          <t>19:43:10</t>
        </is>
      </c>
      <c r="M390" t="inlineStr">
        <is>
          <t>19:44:05</t>
        </is>
      </c>
    </row>
    <row r="391" ht="15" customHeight="1" s="37">
      <c r="A391" t="n">
        <v>11</v>
      </c>
      <c r="B391" s="10" t="inlineStr">
        <is>
          <t>休日</t>
        </is>
      </c>
      <c r="C391" s="10" t="inlineStr">
        <is>
          <t>本線</t>
        </is>
      </c>
      <c r="D391" s="10" t="inlineStr">
        <is>
          <t>上り</t>
        </is>
      </c>
      <c r="E391" t="inlineStr">
        <is>
          <t>1906</t>
        </is>
      </c>
      <c r="F391" t="inlineStr">
        <is>
          <t>2221</t>
        </is>
      </c>
      <c r="G391" s="10" t="inlineStr">
        <is>
          <t>四条大宮</t>
        </is>
      </c>
      <c r="H391" s="10" t="inlineStr">
        <is>
          <t>着</t>
        </is>
      </c>
      <c r="J391" s="10" t="inlineStr">
        <is>
          <t>営業</t>
        </is>
      </c>
      <c r="L391" t="inlineStr">
        <is>
          <t>19:47:00</t>
        </is>
      </c>
      <c r="Q391" t="inlineStr">
        <is>
          <t>1</t>
        </is>
      </c>
    </row>
    <row r="392" ht="15" customHeight="1" s="37">
      <c r="A392" t="n">
        <v>11</v>
      </c>
      <c r="B392" s="10" t="inlineStr">
        <is>
          <t>休日</t>
        </is>
      </c>
      <c r="C392" s="10" t="inlineStr">
        <is>
          <t>本線</t>
        </is>
      </c>
      <c r="D392" s="10" t="inlineStr">
        <is>
          <t>下り</t>
        </is>
      </c>
      <c r="E392" t="inlineStr">
        <is>
          <t>1911</t>
        </is>
      </c>
      <c r="F392" t="inlineStr">
        <is>
          <t>0122</t>
        </is>
      </c>
      <c r="G392" s="10" t="inlineStr">
        <is>
          <t>四条大宮</t>
        </is>
      </c>
      <c r="H392" s="10" t="inlineStr">
        <is>
          <t>発</t>
        </is>
      </c>
      <c r="J392" s="10" t="inlineStr">
        <is>
          <t>営業</t>
        </is>
      </c>
      <c r="M392" t="inlineStr">
        <is>
          <t>19:53:00</t>
        </is>
      </c>
      <c r="Q392" t="inlineStr">
        <is>
          <t>1</t>
        </is>
      </c>
    </row>
    <row r="393" ht="15" customHeight="1" s="37">
      <c r="A393" t="n">
        <v>11</v>
      </c>
      <c r="B393" s="10" t="inlineStr">
        <is>
          <t>休日</t>
        </is>
      </c>
      <c r="C393" s="10" t="inlineStr">
        <is>
          <t>本線</t>
        </is>
      </c>
      <c r="D393" s="10" t="inlineStr">
        <is>
          <t>下り</t>
        </is>
      </c>
      <c r="E393" t="inlineStr">
        <is>
          <t>1911</t>
        </is>
      </c>
      <c r="F393" t="inlineStr">
        <is>
          <t>0122</t>
        </is>
      </c>
      <c r="G393" s="10" t="inlineStr">
        <is>
          <t>西院</t>
        </is>
      </c>
      <c r="H393" s="10" t="inlineStr">
        <is>
          <t>発</t>
        </is>
      </c>
      <c r="J393" s="10" t="inlineStr">
        <is>
          <t>営業</t>
        </is>
      </c>
      <c r="L393" t="inlineStr">
        <is>
          <t>19:55:50</t>
        </is>
      </c>
      <c r="M393" t="inlineStr">
        <is>
          <t>19:56:20</t>
        </is>
      </c>
    </row>
    <row r="394" ht="15" customHeight="1" s="37">
      <c r="A394" t="n">
        <v>11</v>
      </c>
      <c r="B394" s="10" t="inlineStr">
        <is>
          <t>休日</t>
        </is>
      </c>
      <c r="C394" s="10" t="inlineStr">
        <is>
          <t>本線</t>
        </is>
      </c>
      <c r="D394" s="10" t="inlineStr">
        <is>
          <t>下り</t>
        </is>
      </c>
      <c r="E394" t="inlineStr">
        <is>
          <t>1911</t>
        </is>
      </c>
      <c r="F394" t="inlineStr">
        <is>
          <t>0122</t>
        </is>
      </c>
      <c r="G394" s="10" t="inlineStr">
        <is>
          <t>西大路三条</t>
        </is>
      </c>
      <c r="H394" s="10" t="inlineStr">
        <is>
          <t>発</t>
        </is>
      </c>
      <c r="J394" s="10" t="inlineStr">
        <is>
          <t>営業</t>
        </is>
      </c>
      <c r="L394" t="inlineStr">
        <is>
          <t>19:58:10</t>
        </is>
      </c>
      <c r="M394" t="inlineStr">
        <is>
          <t>19:58:30</t>
        </is>
      </c>
    </row>
    <row r="395" ht="15" customHeight="1" s="37">
      <c r="A395" t="n">
        <v>11</v>
      </c>
      <c r="B395" s="10" t="inlineStr">
        <is>
          <t>休日</t>
        </is>
      </c>
      <c r="C395" s="10" t="inlineStr">
        <is>
          <t>本線</t>
        </is>
      </c>
      <c r="D395" s="10" t="inlineStr">
        <is>
          <t>下り</t>
        </is>
      </c>
      <c r="E395" t="inlineStr">
        <is>
          <t>1911</t>
        </is>
      </c>
      <c r="F395" t="inlineStr">
        <is>
          <t>0122</t>
        </is>
      </c>
      <c r="G395" s="10" t="inlineStr">
        <is>
          <t>山ノ内</t>
        </is>
      </c>
      <c r="H395" s="10" t="inlineStr">
        <is>
          <t>発</t>
        </is>
      </c>
      <c r="J395" s="10" t="inlineStr">
        <is>
          <t>営業</t>
        </is>
      </c>
      <c r="L395" t="inlineStr">
        <is>
          <t>20:00:25</t>
        </is>
      </c>
      <c r="M395" t="inlineStr">
        <is>
          <t>20:00:50</t>
        </is>
      </c>
    </row>
    <row r="396" ht="15" customHeight="1" s="37">
      <c r="A396" t="n">
        <v>11</v>
      </c>
      <c r="B396" s="10" t="inlineStr">
        <is>
          <t>休日</t>
        </is>
      </c>
      <c r="C396" s="10" t="inlineStr">
        <is>
          <t>本線</t>
        </is>
      </c>
      <c r="D396" s="10" t="inlineStr">
        <is>
          <t>下り</t>
        </is>
      </c>
      <c r="E396" t="inlineStr">
        <is>
          <t>1911</t>
        </is>
      </c>
      <c r="F396" t="inlineStr">
        <is>
          <t>0122</t>
        </is>
      </c>
      <c r="G396" s="10" t="inlineStr">
        <is>
          <t>天神川</t>
        </is>
      </c>
      <c r="H396" s="10" t="inlineStr">
        <is>
          <t>発</t>
        </is>
      </c>
      <c r="J396" s="10" t="inlineStr">
        <is>
          <t>営業</t>
        </is>
      </c>
      <c r="L396" t="inlineStr">
        <is>
          <t>20:02:50</t>
        </is>
      </c>
      <c r="M396" t="inlineStr">
        <is>
          <t>20:03:30</t>
        </is>
      </c>
    </row>
    <row r="397" ht="15" customHeight="1" s="37">
      <c r="A397" t="n">
        <v>11</v>
      </c>
      <c r="B397" s="10" t="inlineStr">
        <is>
          <t>休日</t>
        </is>
      </c>
      <c r="C397" s="10" t="inlineStr">
        <is>
          <t>本線</t>
        </is>
      </c>
      <c r="D397" s="10" t="inlineStr">
        <is>
          <t>下り</t>
        </is>
      </c>
      <c r="E397" t="inlineStr">
        <is>
          <t>1911</t>
        </is>
      </c>
      <c r="F397" t="inlineStr">
        <is>
          <t>0122</t>
        </is>
      </c>
      <c r="G397" s="10" t="inlineStr">
        <is>
          <t>蚕ノ社</t>
        </is>
      </c>
      <c r="H397" s="10" t="inlineStr">
        <is>
          <t>発</t>
        </is>
      </c>
      <c r="J397" s="10" t="inlineStr">
        <is>
          <t>営業</t>
        </is>
      </c>
      <c r="L397" t="inlineStr">
        <is>
          <t>20:04:20</t>
        </is>
      </c>
      <c r="M397" t="inlineStr">
        <is>
          <t>20:04:40</t>
        </is>
      </c>
    </row>
    <row r="398" ht="15" customHeight="1" s="37">
      <c r="A398" t="n">
        <v>11</v>
      </c>
      <c r="B398" s="10" t="inlineStr">
        <is>
          <t>休日</t>
        </is>
      </c>
      <c r="C398" s="10" t="inlineStr">
        <is>
          <t>本線</t>
        </is>
      </c>
      <c r="D398" s="10" t="inlineStr">
        <is>
          <t>下り</t>
        </is>
      </c>
      <c r="E398" t="inlineStr">
        <is>
          <t>1911</t>
        </is>
      </c>
      <c r="F398" t="inlineStr">
        <is>
          <t>0122</t>
        </is>
      </c>
      <c r="G398" s="10" t="inlineStr">
        <is>
          <t>太秦広隆寺</t>
        </is>
      </c>
      <c r="H398" s="10" t="inlineStr">
        <is>
          <t>発</t>
        </is>
      </c>
      <c r="J398" s="10" t="inlineStr">
        <is>
          <t>営業</t>
        </is>
      </c>
      <c r="L398" t="inlineStr">
        <is>
          <t>20:06:00</t>
        </is>
      </c>
      <c r="M398" t="inlineStr">
        <is>
          <t>20:06:20</t>
        </is>
      </c>
    </row>
    <row r="399" ht="15" customHeight="1" s="37">
      <c r="A399" t="n">
        <v>11</v>
      </c>
      <c r="B399" s="10" t="inlineStr">
        <is>
          <t>休日</t>
        </is>
      </c>
      <c r="C399" s="10" t="inlineStr">
        <is>
          <t>本線</t>
        </is>
      </c>
      <c r="D399" s="10" t="inlineStr">
        <is>
          <t>下り</t>
        </is>
      </c>
      <c r="E399" t="inlineStr">
        <is>
          <t>1911</t>
        </is>
      </c>
      <c r="F399" t="inlineStr">
        <is>
          <t>0122</t>
        </is>
      </c>
      <c r="G399" s="10" t="inlineStr">
        <is>
          <t>帷子ノ辻</t>
        </is>
      </c>
      <c r="H399" s="10" t="inlineStr">
        <is>
          <t>発</t>
        </is>
      </c>
      <c r="J399" s="10" t="inlineStr">
        <is>
          <t>営業</t>
        </is>
      </c>
      <c r="L399" t="inlineStr">
        <is>
          <t>20:08:20</t>
        </is>
      </c>
      <c r="M399" t="inlineStr">
        <is>
          <t>20:09:40</t>
        </is>
      </c>
    </row>
    <row r="400" ht="15" customHeight="1" s="37">
      <c r="A400" t="n">
        <v>11</v>
      </c>
      <c r="B400" s="10" t="inlineStr">
        <is>
          <t>休日</t>
        </is>
      </c>
      <c r="C400" s="10" t="inlineStr">
        <is>
          <t>本線</t>
        </is>
      </c>
      <c r="D400" s="10" t="inlineStr">
        <is>
          <t>下り</t>
        </is>
      </c>
      <c r="E400" t="inlineStr">
        <is>
          <t>1911</t>
        </is>
      </c>
      <c r="F400" t="inlineStr">
        <is>
          <t>0122</t>
        </is>
      </c>
      <c r="G400" s="10" t="inlineStr">
        <is>
          <t>有栖川</t>
        </is>
      </c>
      <c r="H400" s="10" t="inlineStr">
        <is>
          <t>発</t>
        </is>
      </c>
      <c r="J400" s="10" t="inlineStr">
        <is>
          <t>営業</t>
        </is>
      </c>
      <c r="L400" t="inlineStr">
        <is>
          <t>20:10:50</t>
        </is>
      </c>
      <c r="M400" t="inlineStr">
        <is>
          <t>20:11:15</t>
        </is>
      </c>
    </row>
    <row r="401" ht="15" customHeight="1" s="37">
      <c r="A401" t="n">
        <v>11</v>
      </c>
      <c r="B401" s="10" t="inlineStr">
        <is>
          <t>休日</t>
        </is>
      </c>
      <c r="C401" s="10" t="inlineStr">
        <is>
          <t>本線</t>
        </is>
      </c>
      <c r="D401" s="10" t="inlineStr">
        <is>
          <t>下り</t>
        </is>
      </c>
      <c r="E401" t="inlineStr">
        <is>
          <t>1911</t>
        </is>
      </c>
      <c r="F401" t="inlineStr">
        <is>
          <t>0122</t>
        </is>
      </c>
      <c r="G401" s="10" t="inlineStr">
        <is>
          <t>車折</t>
        </is>
      </c>
      <c r="H401" s="10" t="inlineStr">
        <is>
          <t>発</t>
        </is>
      </c>
      <c r="J401" s="10" t="inlineStr">
        <is>
          <t>営業</t>
        </is>
      </c>
      <c r="L401" t="inlineStr">
        <is>
          <t>20:12:40</t>
        </is>
      </c>
      <c r="M401" t="inlineStr">
        <is>
          <t>20:13:05</t>
        </is>
      </c>
    </row>
    <row r="402" ht="15" customHeight="1" s="37">
      <c r="A402" t="n">
        <v>11</v>
      </c>
      <c r="B402" s="10" t="inlineStr">
        <is>
          <t>休日</t>
        </is>
      </c>
      <c r="C402" s="10" t="inlineStr">
        <is>
          <t>本線</t>
        </is>
      </c>
      <c r="D402" s="10" t="inlineStr">
        <is>
          <t>下り</t>
        </is>
      </c>
      <c r="E402" t="inlineStr">
        <is>
          <t>1911</t>
        </is>
      </c>
      <c r="F402" t="inlineStr">
        <is>
          <t>0122</t>
        </is>
      </c>
      <c r="G402" s="10" t="inlineStr">
        <is>
          <t>鹿王院</t>
        </is>
      </c>
      <c r="H402" s="10" t="inlineStr">
        <is>
          <t>発</t>
        </is>
      </c>
      <c r="J402" s="10" t="inlineStr">
        <is>
          <t>営業</t>
        </is>
      </c>
      <c r="L402" t="inlineStr">
        <is>
          <t>20:14:00</t>
        </is>
      </c>
      <c r="M402" t="inlineStr">
        <is>
          <t>20:14:25</t>
        </is>
      </c>
    </row>
    <row r="403" ht="15" customHeight="1" s="37">
      <c r="A403" t="n">
        <v>11</v>
      </c>
      <c r="B403" s="10" t="inlineStr">
        <is>
          <t>休日</t>
        </is>
      </c>
      <c r="C403" s="10" t="inlineStr">
        <is>
          <t>本線</t>
        </is>
      </c>
      <c r="D403" s="10" t="inlineStr">
        <is>
          <t>下り</t>
        </is>
      </c>
      <c r="E403" t="inlineStr">
        <is>
          <t>1911</t>
        </is>
      </c>
      <c r="F403" t="inlineStr">
        <is>
          <t>0122</t>
        </is>
      </c>
      <c r="G403" s="10" t="inlineStr">
        <is>
          <t>嵯峨</t>
        </is>
      </c>
      <c r="H403" s="10" t="inlineStr">
        <is>
          <t>発</t>
        </is>
      </c>
      <c r="J403" s="10" t="inlineStr">
        <is>
          <t>営業</t>
        </is>
      </c>
      <c r="L403" t="inlineStr">
        <is>
          <t>20:15:30</t>
        </is>
      </c>
      <c r="M403" t="inlineStr">
        <is>
          <t>20:15:55</t>
        </is>
      </c>
    </row>
    <row r="404" ht="15" customHeight="1" s="37">
      <c r="A404" t="n">
        <v>11</v>
      </c>
      <c r="B404" s="10" t="inlineStr">
        <is>
          <t>休日</t>
        </is>
      </c>
      <c r="C404" s="10" t="inlineStr">
        <is>
          <t>本線</t>
        </is>
      </c>
      <c r="D404" s="10" t="inlineStr">
        <is>
          <t>下り</t>
        </is>
      </c>
      <c r="E404" t="inlineStr">
        <is>
          <t>1911</t>
        </is>
      </c>
      <c r="F404" t="inlineStr">
        <is>
          <t>0122</t>
        </is>
      </c>
      <c r="G404" s="10" t="inlineStr">
        <is>
          <t>嵐山</t>
        </is>
      </c>
      <c r="H404" s="10" t="inlineStr">
        <is>
          <t>着</t>
        </is>
      </c>
      <c r="J404" s="10" t="inlineStr">
        <is>
          <t>営業</t>
        </is>
      </c>
      <c r="L404" t="inlineStr">
        <is>
          <t>20:17:00</t>
        </is>
      </c>
      <c r="N404" t="inlineStr">
        <is>
          <t>○</t>
        </is>
      </c>
      <c r="Q404" t="inlineStr">
        <is>
          <t>1</t>
        </is>
      </c>
    </row>
    <row r="405" ht="15" customHeight="1" s="37">
      <c r="A405" t="n">
        <v>11</v>
      </c>
      <c r="B405" s="10" t="inlineStr">
        <is>
          <t>休日</t>
        </is>
      </c>
      <c r="C405" s="10" t="inlineStr">
        <is>
          <t>本線</t>
        </is>
      </c>
      <c r="D405" s="10" t="inlineStr">
        <is>
          <t>上り</t>
        </is>
      </c>
      <c r="E405" t="inlineStr">
        <is>
          <t>2006</t>
        </is>
      </c>
      <c r="F405" t="inlineStr">
        <is>
          <t>0221</t>
        </is>
      </c>
      <c r="G405" s="10" t="inlineStr">
        <is>
          <t>嵐山</t>
        </is>
      </c>
      <c r="H405" s="10" t="inlineStr">
        <is>
          <t>発</t>
        </is>
      </c>
      <c r="J405" s="10" t="inlineStr">
        <is>
          <t>営業</t>
        </is>
      </c>
      <c r="M405" t="inlineStr">
        <is>
          <t>20:24:00</t>
        </is>
      </c>
      <c r="Q405" t="inlineStr">
        <is>
          <t>1</t>
        </is>
      </c>
    </row>
    <row r="406" ht="15" customHeight="1" s="37">
      <c r="A406" t="n">
        <v>11</v>
      </c>
      <c r="B406" s="10" t="inlineStr">
        <is>
          <t>休日</t>
        </is>
      </c>
      <c r="C406" s="10" t="inlineStr">
        <is>
          <t>本線</t>
        </is>
      </c>
      <c r="D406" s="10" t="inlineStr">
        <is>
          <t>上り</t>
        </is>
      </c>
      <c r="E406" t="inlineStr">
        <is>
          <t>2006</t>
        </is>
      </c>
      <c r="F406" t="inlineStr">
        <is>
          <t>0221</t>
        </is>
      </c>
      <c r="G406" s="10" t="inlineStr">
        <is>
          <t>嵯峨</t>
        </is>
      </c>
      <c r="H406" s="10" t="inlineStr">
        <is>
          <t>発</t>
        </is>
      </c>
      <c r="J406" s="10" t="inlineStr">
        <is>
          <t>営業</t>
        </is>
      </c>
      <c r="L406" t="inlineStr">
        <is>
          <t>20:24:55</t>
        </is>
      </c>
      <c r="M406" t="inlineStr">
        <is>
          <t>20:25:10</t>
        </is>
      </c>
    </row>
    <row r="407" ht="15" customHeight="1" s="37">
      <c r="A407" t="n">
        <v>11</v>
      </c>
      <c r="B407" s="10" t="inlineStr">
        <is>
          <t>休日</t>
        </is>
      </c>
      <c r="C407" s="10" t="inlineStr">
        <is>
          <t>本線</t>
        </is>
      </c>
      <c r="D407" s="10" t="inlineStr">
        <is>
          <t>上り</t>
        </is>
      </c>
      <c r="E407" t="inlineStr">
        <is>
          <t>2006</t>
        </is>
      </c>
      <c r="F407" t="inlineStr">
        <is>
          <t>0221</t>
        </is>
      </c>
      <c r="G407" s="10" t="inlineStr">
        <is>
          <t>鹿王院</t>
        </is>
      </c>
      <c r="H407" s="10" t="inlineStr">
        <is>
          <t>発</t>
        </is>
      </c>
      <c r="J407" s="10" t="inlineStr">
        <is>
          <t>営業</t>
        </is>
      </c>
      <c r="L407" t="inlineStr">
        <is>
          <t>20:26:15</t>
        </is>
      </c>
      <c r="M407" t="inlineStr">
        <is>
          <t>20:26:30</t>
        </is>
      </c>
    </row>
    <row r="408" ht="15" customHeight="1" s="37">
      <c r="A408" t="n">
        <v>11</v>
      </c>
      <c r="B408" s="10" t="inlineStr">
        <is>
          <t>休日</t>
        </is>
      </c>
      <c r="C408" s="10" t="inlineStr">
        <is>
          <t>本線</t>
        </is>
      </c>
      <c r="D408" s="10" t="inlineStr">
        <is>
          <t>上り</t>
        </is>
      </c>
      <c r="E408" t="inlineStr">
        <is>
          <t>2006</t>
        </is>
      </c>
      <c r="F408" t="inlineStr">
        <is>
          <t>0221</t>
        </is>
      </c>
      <c r="G408" s="10" t="inlineStr">
        <is>
          <t>車折</t>
        </is>
      </c>
      <c r="H408" s="10" t="inlineStr">
        <is>
          <t>発</t>
        </is>
      </c>
      <c r="J408" s="10" t="inlineStr">
        <is>
          <t>営業</t>
        </is>
      </c>
      <c r="L408" t="inlineStr">
        <is>
          <t>20:27:25</t>
        </is>
      </c>
      <c r="M408" t="inlineStr">
        <is>
          <t>20:27:40</t>
        </is>
      </c>
    </row>
    <row r="409" ht="15" customHeight="1" s="37">
      <c r="A409" t="n">
        <v>11</v>
      </c>
      <c r="B409" s="10" t="inlineStr">
        <is>
          <t>休日</t>
        </is>
      </c>
      <c r="C409" s="10" t="inlineStr">
        <is>
          <t>本線</t>
        </is>
      </c>
      <c r="D409" s="10" t="inlineStr">
        <is>
          <t>上り</t>
        </is>
      </c>
      <c r="E409" t="inlineStr">
        <is>
          <t>2006</t>
        </is>
      </c>
      <c r="F409" t="inlineStr">
        <is>
          <t>0221</t>
        </is>
      </c>
      <c r="G409" s="10" t="inlineStr">
        <is>
          <t>有栖川</t>
        </is>
      </c>
      <c r="H409" s="10" t="inlineStr">
        <is>
          <t>発</t>
        </is>
      </c>
      <c r="J409" s="10" t="inlineStr">
        <is>
          <t>営業</t>
        </is>
      </c>
      <c r="L409" t="inlineStr">
        <is>
          <t>20:29:05</t>
        </is>
      </c>
      <c r="M409" t="inlineStr">
        <is>
          <t>20:29:20</t>
        </is>
      </c>
    </row>
    <row r="410" ht="15" customHeight="1" s="37">
      <c r="A410" t="n">
        <v>11</v>
      </c>
      <c r="B410" s="10" t="inlineStr">
        <is>
          <t>休日</t>
        </is>
      </c>
      <c r="C410" s="10" t="inlineStr">
        <is>
          <t>本線</t>
        </is>
      </c>
      <c r="D410" s="10" t="inlineStr">
        <is>
          <t>上り</t>
        </is>
      </c>
      <c r="E410" t="inlineStr">
        <is>
          <t>2006</t>
        </is>
      </c>
      <c r="F410" t="inlineStr">
        <is>
          <t>0221</t>
        </is>
      </c>
      <c r="G410" s="10" t="inlineStr">
        <is>
          <t>帷子ノ辻</t>
        </is>
      </c>
      <c r="H410" s="10" t="inlineStr">
        <is>
          <t>発</t>
        </is>
      </c>
      <c r="J410" s="10" t="inlineStr">
        <is>
          <t>営業</t>
        </is>
      </c>
      <c r="L410" t="inlineStr">
        <is>
          <t>20:30:35</t>
        </is>
      </c>
      <c r="M410" t="inlineStr">
        <is>
          <t>20:31:05</t>
        </is>
      </c>
    </row>
    <row r="411" ht="15" customHeight="1" s="37">
      <c r="A411" t="n">
        <v>11</v>
      </c>
      <c r="B411" s="10" t="inlineStr">
        <is>
          <t>休日</t>
        </is>
      </c>
      <c r="C411" s="10" t="inlineStr">
        <is>
          <t>本線</t>
        </is>
      </c>
      <c r="D411" s="10" t="inlineStr">
        <is>
          <t>上り</t>
        </is>
      </c>
      <c r="E411" t="inlineStr">
        <is>
          <t>2006</t>
        </is>
      </c>
      <c r="F411" t="inlineStr">
        <is>
          <t>0221</t>
        </is>
      </c>
      <c r="G411" s="10" t="inlineStr">
        <is>
          <t>太秦広隆寺</t>
        </is>
      </c>
      <c r="H411" s="10" t="inlineStr">
        <is>
          <t>発</t>
        </is>
      </c>
      <c r="J411" s="10" t="inlineStr">
        <is>
          <t>営業</t>
        </is>
      </c>
      <c r="L411" t="inlineStr">
        <is>
          <t>20:33:15</t>
        </is>
      </c>
      <c r="M411" t="inlineStr">
        <is>
          <t>20:33:35</t>
        </is>
      </c>
    </row>
    <row r="412" ht="15" customHeight="1" s="37">
      <c r="A412" t="n">
        <v>11</v>
      </c>
      <c r="B412" s="10" t="inlineStr">
        <is>
          <t>休日</t>
        </is>
      </c>
      <c r="C412" s="10" t="inlineStr">
        <is>
          <t>本線</t>
        </is>
      </c>
      <c r="D412" s="10" t="inlineStr">
        <is>
          <t>上り</t>
        </is>
      </c>
      <c r="E412" t="inlineStr">
        <is>
          <t>2006</t>
        </is>
      </c>
      <c r="F412" t="inlineStr">
        <is>
          <t>0221</t>
        </is>
      </c>
      <c r="G412" s="10" t="inlineStr">
        <is>
          <t>蚕ノ社</t>
        </is>
      </c>
      <c r="H412" s="10" t="inlineStr">
        <is>
          <t>発</t>
        </is>
      </c>
      <c r="J412" s="10" t="inlineStr">
        <is>
          <t>営業</t>
        </is>
      </c>
      <c r="L412" t="inlineStr">
        <is>
          <t>20:34:50</t>
        </is>
      </c>
      <c r="M412" t="inlineStr">
        <is>
          <t>20:35:10</t>
        </is>
      </c>
    </row>
    <row r="413" ht="15" customHeight="1" s="37">
      <c r="A413" t="n">
        <v>11</v>
      </c>
      <c r="B413" s="10" t="inlineStr">
        <is>
          <t>休日</t>
        </is>
      </c>
      <c r="C413" s="10" t="inlineStr">
        <is>
          <t>本線</t>
        </is>
      </c>
      <c r="D413" s="10" t="inlineStr">
        <is>
          <t>上り</t>
        </is>
      </c>
      <c r="E413" t="inlineStr">
        <is>
          <t>2006</t>
        </is>
      </c>
      <c r="F413" t="inlineStr">
        <is>
          <t>0221</t>
        </is>
      </c>
      <c r="G413" s="10" t="inlineStr">
        <is>
          <t>天神川</t>
        </is>
      </c>
      <c r="H413" s="10" t="inlineStr">
        <is>
          <t>発</t>
        </is>
      </c>
      <c r="J413" s="10" t="inlineStr">
        <is>
          <t>営業</t>
        </is>
      </c>
      <c r="L413" t="inlineStr">
        <is>
          <t>20:35:55</t>
        </is>
      </c>
      <c r="M413" t="inlineStr">
        <is>
          <t>20:36:20</t>
        </is>
      </c>
    </row>
    <row r="414" ht="15" customHeight="1" s="37">
      <c r="A414" t="n">
        <v>11</v>
      </c>
      <c r="B414" s="10" t="inlineStr">
        <is>
          <t>休日</t>
        </is>
      </c>
      <c r="C414" s="10" t="inlineStr">
        <is>
          <t>本線</t>
        </is>
      </c>
      <c r="D414" s="10" t="inlineStr">
        <is>
          <t>上り</t>
        </is>
      </c>
      <c r="E414" t="inlineStr">
        <is>
          <t>2006</t>
        </is>
      </c>
      <c r="F414" t="inlineStr">
        <is>
          <t>0221</t>
        </is>
      </c>
      <c r="G414" s="10" t="inlineStr">
        <is>
          <t>山ノ内</t>
        </is>
      </c>
      <c r="H414" s="10" t="inlineStr">
        <is>
          <t>発</t>
        </is>
      </c>
      <c r="J414" s="10" t="inlineStr">
        <is>
          <t>営業</t>
        </is>
      </c>
      <c r="L414" t="inlineStr">
        <is>
          <t>20:38:10</t>
        </is>
      </c>
      <c r="M414" t="inlineStr">
        <is>
          <t>20:38:35</t>
        </is>
      </c>
    </row>
    <row r="415" ht="15" customHeight="1" s="37">
      <c r="A415" t="n">
        <v>11</v>
      </c>
      <c r="B415" s="10" t="inlineStr">
        <is>
          <t>休日</t>
        </is>
      </c>
      <c r="C415" s="10" t="inlineStr">
        <is>
          <t>本線</t>
        </is>
      </c>
      <c r="D415" s="10" t="inlineStr">
        <is>
          <t>上り</t>
        </is>
      </c>
      <c r="E415" t="inlineStr">
        <is>
          <t>2006</t>
        </is>
      </c>
      <c r="F415" t="inlineStr">
        <is>
          <t>0221</t>
        </is>
      </c>
      <c r="G415" s="10" t="inlineStr">
        <is>
          <t>西大路三条</t>
        </is>
      </c>
      <c r="H415" s="10" t="inlineStr">
        <is>
          <t>発</t>
        </is>
      </c>
      <c r="J415" s="10" t="inlineStr">
        <is>
          <t>営業</t>
        </is>
      </c>
      <c r="L415" t="inlineStr">
        <is>
          <t>20:40:25</t>
        </is>
      </c>
      <c r="M415" t="inlineStr">
        <is>
          <t>20:40:40</t>
        </is>
      </c>
    </row>
    <row r="416" ht="15" customHeight="1" s="37">
      <c r="A416" t="n">
        <v>11</v>
      </c>
      <c r="B416" s="10" t="inlineStr">
        <is>
          <t>休日</t>
        </is>
      </c>
      <c r="C416" s="10" t="inlineStr">
        <is>
          <t>本線</t>
        </is>
      </c>
      <c r="D416" s="10" t="inlineStr">
        <is>
          <t>上り</t>
        </is>
      </c>
      <c r="E416" t="inlineStr">
        <is>
          <t>2006</t>
        </is>
      </c>
      <c r="F416" t="inlineStr">
        <is>
          <t>0221</t>
        </is>
      </c>
      <c r="G416" s="10" t="inlineStr">
        <is>
          <t>西院</t>
        </is>
      </c>
      <c r="H416" s="10" t="inlineStr">
        <is>
          <t>発</t>
        </is>
      </c>
      <c r="J416" s="10" t="inlineStr">
        <is>
          <t>営業</t>
        </is>
      </c>
      <c r="L416" t="inlineStr">
        <is>
          <t>20:42:35</t>
        </is>
      </c>
      <c r="M416" t="inlineStr">
        <is>
          <t>20:43:05</t>
        </is>
      </c>
    </row>
    <row r="417" ht="15" customHeight="1" s="37">
      <c r="A417" t="n">
        <v>11</v>
      </c>
      <c r="B417" s="10" t="inlineStr">
        <is>
          <t>休日</t>
        </is>
      </c>
      <c r="C417" s="10" t="inlineStr">
        <is>
          <t>本線</t>
        </is>
      </c>
      <c r="D417" s="10" t="inlineStr">
        <is>
          <t>上り</t>
        </is>
      </c>
      <c r="E417" t="inlineStr">
        <is>
          <t>2006</t>
        </is>
      </c>
      <c r="F417" t="inlineStr">
        <is>
          <t>0221</t>
        </is>
      </c>
      <c r="G417" s="10" t="inlineStr">
        <is>
          <t>四条大宮</t>
        </is>
      </c>
      <c r="H417" s="10" t="inlineStr">
        <is>
          <t>着</t>
        </is>
      </c>
      <c r="J417" s="10" t="inlineStr">
        <is>
          <t>営業</t>
        </is>
      </c>
      <c r="L417" t="inlineStr">
        <is>
          <t>20:46:00</t>
        </is>
      </c>
      <c r="N417" t="inlineStr">
        <is>
          <t>○</t>
        </is>
      </c>
      <c r="Q417" t="inlineStr">
        <is>
          <t>1</t>
        </is>
      </c>
    </row>
    <row r="418" ht="15" customHeight="1" s="37">
      <c r="A418" t="n">
        <v>11</v>
      </c>
      <c r="B418" s="10" t="inlineStr">
        <is>
          <t>休日</t>
        </is>
      </c>
      <c r="C418" s="10" t="inlineStr">
        <is>
          <t>本線</t>
        </is>
      </c>
      <c r="D418" s="10" t="inlineStr">
        <is>
          <t>下り</t>
        </is>
      </c>
      <c r="E418" t="inlineStr">
        <is>
          <t>2011</t>
        </is>
      </c>
      <c r="F418" t="inlineStr">
        <is>
          <t>0122</t>
        </is>
      </c>
      <c r="G418" s="10" t="inlineStr">
        <is>
          <t>四条大宮</t>
        </is>
      </c>
      <c r="H418" s="10" t="inlineStr">
        <is>
          <t>発</t>
        </is>
      </c>
      <c r="J418" s="10" t="inlineStr">
        <is>
          <t>営業</t>
        </is>
      </c>
      <c r="M418" t="inlineStr">
        <is>
          <t>20:53:00</t>
        </is>
      </c>
      <c r="Q418" t="inlineStr">
        <is>
          <t>1</t>
        </is>
      </c>
    </row>
    <row r="419" ht="15" customHeight="1" s="37">
      <c r="A419" t="n">
        <v>11</v>
      </c>
      <c r="B419" s="10" t="inlineStr">
        <is>
          <t>休日</t>
        </is>
      </c>
      <c r="C419" s="10" t="inlineStr">
        <is>
          <t>本線</t>
        </is>
      </c>
      <c r="D419" s="10" t="inlineStr">
        <is>
          <t>下り</t>
        </is>
      </c>
      <c r="E419" t="inlineStr">
        <is>
          <t>2011</t>
        </is>
      </c>
      <c r="F419" t="inlineStr">
        <is>
          <t>0122</t>
        </is>
      </c>
      <c r="G419" s="10" t="inlineStr">
        <is>
          <t>西院</t>
        </is>
      </c>
      <c r="H419" s="10" t="inlineStr">
        <is>
          <t>発</t>
        </is>
      </c>
      <c r="J419" s="10" t="inlineStr">
        <is>
          <t>営業</t>
        </is>
      </c>
      <c r="L419" t="inlineStr">
        <is>
          <t>20:55:50</t>
        </is>
      </c>
      <c r="M419" t="inlineStr">
        <is>
          <t>20:56:20</t>
        </is>
      </c>
    </row>
    <row r="420" ht="15" customHeight="1" s="37">
      <c r="A420" t="n">
        <v>11</v>
      </c>
      <c r="B420" s="10" t="inlineStr">
        <is>
          <t>休日</t>
        </is>
      </c>
      <c r="C420" s="10" t="inlineStr">
        <is>
          <t>本線</t>
        </is>
      </c>
      <c r="D420" s="10" t="inlineStr">
        <is>
          <t>下り</t>
        </is>
      </c>
      <c r="E420" t="inlineStr">
        <is>
          <t>2011</t>
        </is>
      </c>
      <c r="F420" t="inlineStr">
        <is>
          <t>0122</t>
        </is>
      </c>
      <c r="G420" s="10" t="inlineStr">
        <is>
          <t>西大路三条</t>
        </is>
      </c>
      <c r="H420" s="10" t="inlineStr">
        <is>
          <t>発</t>
        </is>
      </c>
      <c r="J420" s="10" t="inlineStr">
        <is>
          <t>営業</t>
        </is>
      </c>
      <c r="L420" t="inlineStr">
        <is>
          <t>20:58:10</t>
        </is>
      </c>
      <c r="M420" t="inlineStr">
        <is>
          <t>20:58:30</t>
        </is>
      </c>
    </row>
    <row r="421" ht="15" customHeight="1" s="37">
      <c r="A421" t="n">
        <v>11</v>
      </c>
      <c r="B421" s="10" t="inlineStr">
        <is>
          <t>休日</t>
        </is>
      </c>
      <c r="C421" s="10" t="inlineStr">
        <is>
          <t>本線</t>
        </is>
      </c>
      <c r="D421" s="10" t="inlineStr">
        <is>
          <t>下り</t>
        </is>
      </c>
      <c r="E421" t="inlineStr">
        <is>
          <t>2011</t>
        </is>
      </c>
      <c r="F421" t="inlineStr">
        <is>
          <t>0122</t>
        </is>
      </c>
      <c r="G421" s="10" t="inlineStr">
        <is>
          <t>山ノ内</t>
        </is>
      </c>
      <c r="H421" s="10" t="inlineStr">
        <is>
          <t>発</t>
        </is>
      </c>
      <c r="J421" s="10" t="inlineStr">
        <is>
          <t>営業</t>
        </is>
      </c>
      <c r="L421" t="inlineStr">
        <is>
          <t>21:00:25</t>
        </is>
      </c>
      <c r="M421" t="inlineStr">
        <is>
          <t>21:00:50</t>
        </is>
      </c>
    </row>
    <row r="422" ht="15" customHeight="1" s="37">
      <c r="A422" t="n">
        <v>11</v>
      </c>
      <c r="B422" s="10" t="inlineStr">
        <is>
          <t>休日</t>
        </is>
      </c>
      <c r="C422" s="10" t="inlineStr">
        <is>
          <t>本線</t>
        </is>
      </c>
      <c r="D422" s="10" t="inlineStr">
        <is>
          <t>下り</t>
        </is>
      </c>
      <c r="E422" t="inlineStr">
        <is>
          <t>2011</t>
        </is>
      </c>
      <c r="F422" t="inlineStr">
        <is>
          <t>0122</t>
        </is>
      </c>
      <c r="G422" s="10" t="inlineStr">
        <is>
          <t>天神川</t>
        </is>
      </c>
      <c r="H422" s="10" t="inlineStr">
        <is>
          <t>発</t>
        </is>
      </c>
      <c r="J422" s="10" t="inlineStr">
        <is>
          <t>営業</t>
        </is>
      </c>
      <c r="L422" t="inlineStr">
        <is>
          <t>21:02:50</t>
        </is>
      </c>
      <c r="M422" t="inlineStr">
        <is>
          <t>21:03:30</t>
        </is>
      </c>
    </row>
    <row r="423" ht="15" customHeight="1" s="37">
      <c r="A423" t="n">
        <v>11</v>
      </c>
      <c r="B423" s="10" t="inlineStr">
        <is>
          <t>休日</t>
        </is>
      </c>
      <c r="C423" s="10" t="inlineStr">
        <is>
          <t>本線</t>
        </is>
      </c>
      <c r="D423" s="10" t="inlineStr">
        <is>
          <t>下り</t>
        </is>
      </c>
      <c r="E423" t="inlineStr">
        <is>
          <t>2011</t>
        </is>
      </c>
      <c r="F423" t="inlineStr">
        <is>
          <t>0122</t>
        </is>
      </c>
      <c r="G423" s="10" t="inlineStr">
        <is>
          <t>蚕ノ社</t>
        </is>
      </c>
      <c r="H423" s="10" t="inlineStr">
        <is>
          <t>発</t>
        </is>
      </c>
      <c r="J423" s="10" t="inlineStr">
        <is>
          <t>営業</t>
        </is>
      </c>
      <c r="L423" t="inlineStr">
        <is>
          <t>21:04:20</t>
        </is>
      </c>
      <c r="M423" t="inlineStr">
        <is>
          <t>21:04:40</t>
        </is>
      </c>
    </row>
    <row r="424" ht="15" customHeight="1" s="37">
      <c r="A424" t="n">
        <v>11</v>
      </c>
      <c r="B424" s="10" t="inlineStr">
        <is>
          <t>休日</t>
        </is>
      </c>
      <c r="C424" s="10" t="inlineStr">
        <is>
          <t>本線</t>
        </is>
      </c>
      <c r="D424" s="10" t="inlineStr">
        <is>
          <t>下り</t>
        </is>
      </c>
      <c r="E424" t="inlineStr">
        <is>
          <t>2011</t>
        </is>
      </c>
      <c r="F424" t="inlineStr">
        <is>
          <t>0122</t>
        </is>
      </c>
      <c r="G424" s="10" t="inlineStr">
        <is>
          <t>太秦広隆寺</t>
        </is>
      </c>
      <c r="H424" s="10" t="inlineStr">
        <is>
          <t>発</t>
        </is>
      </c>
      <c r="J424" s="10" t="inlineStr">
        <is>
          <t>営業</t>
        </is>
      </c>
      <c r="L424" t="inlineStr">
        <is>
          <t>21:06:00</t>
        </is>
      </c>
      <c r="M424" t="inlineStr">
        <is>
          <t>21:06:20</t>
        </is>
      </c>
    </row>
    <row r="425" ht="15" customHeight="1" s="37">
      <c r="A425" t="n">
        <v>11</v>
      </c>
      <c r="B425" s="10" t="inlineStr">
        <is>
          <t>休日</t>
        </is>
      </c>
      <c r="C425" s="10" t="inlineStr">
        <is>
          <t>本線</t>
        </is>
      </c>
      <c r="D425" s="10" t="inlineStr">
        <is>
          <t>下り</t>
        </is>
      </c>
      <c r="E425" t="inlineStr">
        <is>
          <t>2011</t>
        </is>
      </c>
      <c r="F425" t="inlineStr">
        <is>
          <t>0122</t>
        </is>
      </c>
      <c r="G425" s="10" t="inlineStr">
        <is>
          <t>帷子ノ辻</t>
        </is>
      </c>
      <c r="H425" s="10" t="inlineStr">
        <is>
          <t>発</t>
        </is>
      </c>
      <c r="J425" s="10" t="inlineStr">
        <is>
          <t>営業</t>
        </is>
      </c>
      <c r="L425" t="inlineStr">
        <is>
          <t>21:08:20</t>
        </is>
      </c>
      <c r="M425" t="inlineStr">
        <is>
          <t>21:09:40</t>
        </is>
      </c>
    </row>
    <row r="426" ht="15" customHeight="1" s="37">
      <c r="A426" t="n">
        <v>11</v>
      </c>
      <c r="B426" s="10" t="inlineStr">
        <is>
          <t>休日</t>
        </is>
      </c>
      <c r="C426" s="10" t="inlineStr">
        <is>
          <t>本線</t>
        </is>
      </c>
      <c r="D426" s="10" t="inlineStr">
        <is>
          <t>下り</t>
        </is>
      </c>
      <c r="E426" t="inlineStr">
        <is>
          <t>2011</t>
        </is>
      </c>
      <c r="F426" t="inlineStr">
        <is>
          <t>0122</t>
        </is>
      </c>
      <c r="G426" s="10" t="inlineStr">
        <is>
          <t>有栖川</t>
        </is>
      </c>
      <c r="H426" s="10" t="inlineStr">
        <is>
          <t>発</t>
        </is>
      </c>
      <c r="J426" s="10" t="inlineStr">
        <is>
          <t>営業</t>
        </is>
      </c>
      <c r="L426" t="inlineStr">
        <is>
          <t>21:10:50</t>
        </is>
      </c>
      <c r="M426" t="inlineStr">
        <is>
          <t>21:11:15</t>
        </is>
      </c>
    </row>
    <row r="427" ht="15" customHeight="1" s="37">
      <c r="A427" t="n">
        <v>11</v>
      </c>
      <c r="B427" s="10" t="inlineStr">
        <is>
          <t>休日</t>
        </is>
      </c>
      <c r="C427" s="10" t="inlineStr">
        <is>
          <t>本線</t>
        </is>
      </c>
      <c r="D427" s="10" t="inlineStr">
        <is>
          <t>下り</t>
        </is>
      </c>
      <c r="E427" t="inlineStr">
        <is>
          <t>2011</t>
        </is>
      </c>
      <c r="F427" t="inlineStr">
        <is>
          <t>0122</t>
        </is>
      </c>
      <c r="G427" s="10" t="inlineStr">
        <is>
          <t>車折</t>
        </is>
      </c>
      <c r="H427" s="10" t="inlineStr">
        <is>
          <t>発</t>
        </is>
      </c>
      <c r="J427" s="10" t="inlineStr">
        <is>
          <t>営業</t>
        </is>
      </c>
      <c r="L427" t="inlineStr">
        <is>
          <t>21:12:40</t>
        </is>
      </c>
      <c r="M427" t="inlineStr">
        <is>
          <t>21:13:05</t>
        </is>
      </c>
    </row>
    <row r="428" ht="15" customHeight="1" s="37">
      <c r="A428" t="n">
        <v>11</v>
      </c>
      <c r="B428" s="10" t="inlineStr">
        <is>
          <t>休日</t>
        </is>
      </c>
      <c r="C428" s="10" t="inlineStr">
        <is>
          <t>本線</t>
        </is>
      </c>
      <c r="D428" s="10" t="inlineStr">
        <is>
          <t>下り</t>
        </is>
      </c>
      <c r="E428" t="inlineStr">
        <is>
          <t>2011</t>
        </is>
      </c>
      <c r="F428" t="inlineStr">
        <is>
          <t>0122</t>
        </is>
      </c>
      <c r="G428" s="10" t="inlineStr">
        <is>
          <t>鹿王院</t>
        </is>
      </c>
      <c r="H428" s="10" t="inlineStr">
        <is>
          <t>発</t>
        </is>
      </c>
      <c r="J428" s="10" t="inlineStr">
        <is>
          <t>営業</t>
        </is>
      </c>
      <c r="L428" t="inlineStr">
        <is>
          <t>21:14:00</t>
        </is>
      </c>
      <c r="M428" t="inlineStr">
        <is>
          <t>21:14:25</t>
        </is>
      </c>
    </row>
    <row r="429" ht="15" customHeight="1" s="37">
      <c r="A429" t="n">
        <v>11</v>
      </c>
      <c r="B429" s="10" t="inlineStr">
        <is>
          <t>休日</t>
        </is>
      </c>
      <c r="C429" s="10" t="inlineStr">
        <is>
          <t>本線</t>
        </is>
      </c>
      <c r="D429" s="10" t="inlineStr">
        <is>
          <t>下り</t>
        </is>
      </c>
      <c r="E429" t="inlineStr">
        <is>
          <t>2011</t>
        </is>
      </c>
      <c r="F429" t="inlineStr">
        <is>
          <t>0122</t>
        </is>
      </c>
      <c r="G429" s="10" t="inlineStr">
        <is>
          <t>嵯峨</t>
        </is>
      </c>
      <c r="H429" s="10" t="inlineStr">
        <is>
          <t>発</t>
        </is>
      </c>
      <c r="J429" s="10" t="inlineStr">
        <is>
          <t>営業</t>
        </is>
      </c>
      <c r="L429" t="inlineStr">
        <is>
          <t>21:15:30</t>
        </is>
      </c>
      <c r="M429" t="inlineStr">
        <is>
          <t>21:15:55</t>
        </is>
      </c>
    </row>
    <row r="430" ht="15" customHeight="1" s="37">
      <c r="A430" t="n">
        <v>11</v>
      </c>
      <c r="B430" s="10" t="inlineStr">
        <is>
          <t>休日</t>
        </is>
      </c>
      <c r="C430" s="10" t="inlineStr">
        <is>
          <t>本線</t>
        </is>
      </c>
      <c r="D430" s="10" t="inlineStr">
        <is>
          <t>下り</t>
        </is>
      </c>
      <c r="E430" t="inlineStr">
        <is>
          <t>2011</t>
        </is>
      </c>
      <c r="F430" t="inlineStr">
        <is>
          <t>0122</t>
        </is>
      </c>
      <c r="G430" s="10" t="inlineStr">
        <is>
          <t>嵐山</t>
        </is>
      </c>
      <c r="H430" s="10" t="inlineStr">
        <is>
          <t>着</t>
        </is>
      </c>
      <c r="J430" s="10" t="inlineStr">
        <is>
          <t>営業</t>
        </is>
      </c>
      <c r="L430" t="inlineStr">
        <is>
          <t>21:17:00</t>
        </is>
      </c>
      <c r="N430" t="inlineStr">
        <is>
          <t>○</t>
        </is>
      </c>
      <c r="Q430" t="inlineStr">
        <is>
          <t>1</t>
        </is>
      </c>
    </row>
    <row r="431" ht="15" customHeight="1" s="37">
      <c r="A431" t="n">
        <v>11</v>
      </c>
      <c r="B431" s="10" t="inlineStr">
        <is>
          <t>休日</t>
        </is>
      </c>
      <c r="C431" s="10" t="inlineStr">
        <is>
          <t>本線</t>
        </is>
      </c>
      <c r="D431" s="10" t="inlineStr">
        <is>
          <t>上り</t>
        </is>
      </c>
      <c r="E431" t="inlineStr">
        <is>
          <t>2106</t>
        </is>
      </c>
      <c r="F431" t="inlineStr">
        <is>
          <t>0221</t>
        </is>
      </c>
      <c r="G431" s="10" t="inlineStr">
        <is>
          <t>嵐山</t>
        </is>
      </c>
      <c r="H431" s="10" t="inlineStr">
        <is>
          <t>発</t>
        </is>
      </c>
      <c r="J431" s="10" t="inlineStr">
        <is>
          <t>営業</t>
        </is>
      </c>
      <c r="M431" t="inlineStr">
        <is>
          <t>21:24:00</t>
        </is>
      </c>
      <c r="Q431" t="inlineStr">
        <is>
          <t>1</t>
        </is>
      </c>
    </row>
    <row r="432" ht="15" customHeight="1" s="37">
      <c r="A432" t="n">
        <v>11</v>
      </c>
      <c r="B432" s="10" t="inlineStr">
        <is>
          <t>休日</t>
        </is>
      </c>
      <c r="C432" s="10" t="inlineStr">
        <is>
          <t>本線</t>
        </is>
      </c>
      <c r="D432" s="10" t="inlineStr">
        <is>
          <t>上り</t>
        </is>
      </c>
      <c r="E432" t="inlineStr">
        <is>
          <t>2106</t>
        </is>
      </c>
      <c r="F432" t="inlineStr">
        <is>
          <t>0221</t>
        </is>
      </c>
      <c r="G432" s="10" t="inlineStr">
        <is>
          <t>嵯峨</t>
        </is>
      </c>
      <c r="H432" s="10" t="inlineStr">
        <is>
          <t>発</t>
        </is>
      </c>
      <c r="J432" s="10" t="inlineStr">
        <is>
          <t>営業</t>
        </is>
      </c>
      <c r="L432" t="inlineStr">
        <is>
          <t>21:24:55</t>
        </is>
      </c>
      <c r="M432" t="inlineStr">
        <is>
          <t>21:25:10</t>
        </is>
      </c>
    </row>
    <row r="433" ht="15" customHeight="1" s="37">
      <c r="A433" t="n">
        <v>11</v>
      </c>
      <c r="B433" s="10" t="inlineStr">
        <is>
          <t>休日</t>
        </is>
      </c>
      <c r="C433" s="10" t="inlineStr">
        <is>
          <t>本線</t>
        </is>
      </c>
      <c r="D433" s="10" t="inlineStr">
        <is>
          <t>上り</t>
        </is>
      </c>
      <c r="E433" t="inlineStr">
        <is>
          <t>2106</t>
        </is>
      </c>
      <c r="F433" t="inlineStr">
        <is>
          <t>0221</t>
        </is>
      </c>
      <c r="G433" s="10" t="inlineStr">
        <is>
          <t>鹿王院</t>
        </is>
      </c>
      <c r="H433" s="10" t="inlineStr">
        <is>
          <t>発</t>
        </is>
      </c>
      <c r="J433" s="10" t="inlineStr">
        <is>
          <t>営業</t>
        </is>
      </c>
      <c r="L433" t="inlineStr">
        <is>
          <t>21:26:15</t>
        </is>
      </c>
      <c r="M433" t="inlineStr">
        <is>
          <t>21:26:30</t>
        </is>
      </c>
    </row>
    <row r="434" ht="15" customHeight="1" s="37">
      <c r="A434" t="n">
        <v>11</v>
      </c>
      <c r="B434" s="10" t="inlineStr">
        <is>
          <t>休日</t>
        </is>
      </c>
      <c r="C434" s="10" t="inlineStr">
        <is>
          <t>本線</t>
        </is>
      </c>
      <c r="D434" s="10" t="inlineStr">
        <is>
          <t>上り</t>
        </is>
      </c>
      <c r="E434" t="inlineStr">
        <is>
          <t>2106</t>
        </is>
      </c>
      <c r="F434" t="inlineStr">
        <is>
          <t>0221</t>
        </is>
      </c>
      <c r="G434" s="10" t="inlineStr">
        <is>
          <t>車折</t>
        </is>
      </c>
      <c r="H434" s="10" t="inlineStr">
        <is>
          <t>発</t>
        </is>
      </c>
      <c r="J434" s="10" t="inlineStr">
        <is>
          <t>営業</t>
        </is>
      </c>
      <c r="L434" t="inlineStr">
        <is>
          <t>21:27:25</t>
        </is>
      </c>
      <c r="M434" t="inlineStr">
        <is>
          <t>21:27:40</t>
        </is>
      </c>
    </row>
    <row r="435" ht="15" customHeight="1" s="37">
      <c r="A435" t="n">
        <v>11</v>
      </c>
      <c r="B435" s="10" t="inlineStr">
        <is>
          <t>休日</t>
        </is>
      </c>
      <c r="C435" s="10" t="inlineStr">
        <is>
          <t>本線</t>
        </is>
      </c>
      <c r="D435" s="10" t="inlineStr">
        <is>
          <t>上り</t>
        </is>
      </c>
      <c r="E435" t="inlineStr">
        <is>
          <t>2106</t>
        </is>
      </c>
      <c r="F435" t="inlineStr">
        <is>
          <t>0221</t>
        </is>
      </c>
      <c r="G435" s="10" t="inlineStr">
        <is>
          <t>有栖川</t>
        </is>
      </c>
      <c r="H435" s="10" t="inlineStr">
        <is>
          <t>発</t>
        </is>
      </c>
      <c r="J435" s="10" t="inlineStr">
        <is>
          <t>営業</t>
        </is>
      </c>
      <c r="L435" t="inlineStr">
        <is>
          <t>21:29:05</t>
        </is>
      </c>
      <c r="M435" t="inlineStr">
        <is>
          <t>21:29:20</t>
        </is>
      </c>
    </row>
    <row r="436" ht="15" customHeight="1" s="37">
      <c r="A436" t="n">
        <v>11</v>
      </c>
      <c r="B436" s="10" t="inlineStr">
        <is>
          <t>休日</t>
        </is>
      </c>
      <c r="C436" s="10" t="inlineStr">
        <is>
          <t>本線</t>
        </is>
      </c>
      <c r="D436" s="10" t="inlineStr">
        <is>
          <t>上り</t>
        </is>
      </c>
      <c r="E436" t="inlineStr">
        <is>
          <t>2106</t>
        </is>
      </c>
      <c r="F436" t="inlineStr">
        <is>
          <t>0221</t>
        </is>
      </c>
      <c r="G436" s="10" t="inlineStr">
        <is>
          <t>帷子ノ辻</t>
        </is>
      </c>
      <c r="H436" s="10" t="inlineStr">
        <is>
          <t>発</t>
        </is>
      </c>
      <c r="J436" s="10" t="inlineStr">
        <is>
          <t>営業</t>
        </is>
      </c>
      <c r="L436" t="inlineStr">
        <is>
          <t>21:30:35</t>
        </is>
      </c>
      <c r="M436" t="inlineStr">
        <is>
          <t>21:31:05</t>
        </is>
      </c>
    </row>
    <row r="437" ht="15" customHeight="1" s="37">
      <c r="A437" t="n">
        <v>11</v>
      </c>
      <c r="B437" s="10" t="inlineStr">
        <is>
          <t>休日</t>
        </is>
      </c>
      <c r="C437" s="10" t="inlineStr">
        <is>
          <t>本線</t>
        </is>
      </c>
      <c r="D437" s="10" t="inlineStr">
        <is>
          <t>上り</t>
        </is>
      </c>
      <c r="E437" t="inlineStr">
        <is>
          <t>2106</t>
        </is>
      </c>
      <c r="F437" t="inlineStr">
        <is>
          <t>0221</t>
        </is>
      </c>
      <c r="G437" s="10" t="inlineStr">
        <is>
          <t>太秦広隆寺</t>
        </is>
      </c>
      <c r="H437" s="10" t="inlineStr">
        <is>
          <t>発</t>
        </is>
      </c>
      <c r="J437" s="10" t="inlineStr">
        <is>
          <t>営業</t>
        </is>
      </c>
      <c r="L437" t="inlineStr">
        <is>
          <t>21:33:15</t>
        </is>
      </c>
      <c r="M437" t="inlineStr">
        <is>
          <t>21:33:35</t>
        </is>
      </c>
    </row>
    <row r="438" ht="15" customHeight="1" s="37">
      <c r="A438" t="n">
        <v>11</v>
      </c>
      <c r="B438" s="10" t="inlineStr">
        <is>
          <t>休日</t>
        </is>
      </c>
      <c r="C438" s="10" t="inlineStr">
        <is>
          <t>本線</t>
        </is>
      </c>
      <c r="D438" s="10" t="inlineStr">
        <is>
          <t>上り</t>
        </is>
      </c>
      <c r="E438" t="inlineStr">
        <is>
          <t>2106</t>
        </is>
      </c>
      <c r="F438" t="inlineStr">
        <is>
          <t>0221</t>
        </is>
      </c>
      <c r="G438" s="10" t="inlineStr">
        <is>
          <t>蚕ノ社</t>
        </is>
      </c>
      <c r="H438" s="10" t="inlineStr">
        <is>
          <t>発</t>
        </is>
      </c>
      <c r="J438" s="10" t="inlineStr">
        <is>
          <t>営業</t>
        </is>
      </c>
      <c r="L438" t="inlineStr">
        <is>
          <t>21:34:50</t>
        </is>
      </c>
      <c r="M438" t="inlineStr">
        <is>
          <t>21:35:10</t>
        </is>
      </c>
    </row>
    <row r="439" ht="15" customHeight="1" s="37">
      <c r="A439" t="n">
        <v>11</v>
      </c>
      <c r="B439" s="10" t="inlineStr">
        <is>
          <t>休日</t>
        </is>
      </c>
      <c r="C439" s="10" t="inlineStr">
        <is>
          <t>本線</t>
        </is>
      </c>
      <c r="D439" s="10" t="inlineStr">
        <is>
          <t>上り</t>
        </is>
      </c>
      <c r="E439" t="inlineStr">
        <is>
          <t>2106</t>
        </is>
      </c>
      <c r="F439" t="inlineStr">
        <is>
          <t>0221</t>
        </is>
      </c>
      <c r="G439" s="10" t="inlineStr">
        <is>
          <t>天神川</t>
        </is>
      </c>
      <c r="H439" s="10" t="inlineStr">
        <is>
          <t>発</t>
        </is>
      </c>
      <c r="J439" s="10" t="inlineStr">
        <is>
          <t>営業</t>
        </is>
      </c>
      <c r="L439" t="inlineStr">
        <is>
          <t>21:35:55</t>
        </is>
      </c>
      <c r="M439" t="inlineStr">
        <is>
          <t>21:36:20</t>
        </is>
      </c>
    </row>
    <row r="440" ht="15" customHeight="1" s="37">
      <c r="A440" t="n">
        <v>11</v>
      </c>
      <c r="B440" s="10" t="inlineStr">
        <is>
          <t>休日</t>
        </is>
      </c>
      <c r="C440" s="10" t="inlineStr">
        <is>
          <t>本線</t>
        </is>
      </c>
      <c r="D440" s="10" t="inlineStr">
        <is>
          <t>上り</t>
        </is>
      </c>
      <c r="E440" t="inlineStr">
        <is>
          <t>2106</t>
        </is>
      </c>
      <c r="F440" t="inlineStr">
        <is>
          <t>0221</t>
        </is>
      </c>
      <c r="G440" s="10" t="inlineStr">
        <is>
          <t>山ノ内</t>
        </is>
      </c>
      <c r="H440" s="10" t="inlineStr">
        <is>
          <t>発</t>
        </is>
      </c>
      <c r="J440" s="10" t="inlineStr">
        <is>
          <t>営業</t>
        </is>
      </c>
      <c r="L440" t="inlineStr">
        <is>
          <t>21:38:10</t>
        </is>
      </c>
      <c r="M440" t="inlineStr">
        <is>
          <t>21:38:35</t>
        </is>
      </c>
    </row>
    <row r="441" ht="15" customHeight="1" s="37">
      <c r="A441" t="n">
        <v>11</v>
      </c>
      <c r="B441" s="10" t="inlineStr">
        <is>
          <t>休日</t>
        </is>
      </c>
      <c r="C441" s="10" t="inlineStr">
        <is>
          <t>本線</t>
        </is>
      </c>
      <c r="D441" s="10" t="inlineStr">
        <is>
          <t>上り</t>
        </is>
      </c>
      <c r="E441" t="inlineStr">
        <is>
          <t>2106</t>
        </is>
      </c>
      <c r="F441" t="inlineStr">
        <is>
          <t>0221</t>
        </is>
      </c>
      <c r="G441" s="10" t="inlineStr">
        <is>
          <t>西大路三条</t>
        </is>
      </c>
      <c r="H441" s="10" t="inlineStr">
        <is>
          <t>発</t>
        </is>
      </c>
      <c r="J441" s="10" t="inlineStr">
        <is>
          <t>営業</t>
        </is>
      </c>
      <c r="L441" t="inlineStr">
        <is>
          <t>21:40:25</t>
        </is>
      </c>
      <c r="M441" t="inlineStr">
        <is>
          <t>21:40:40</t>
        </is>
      </c>
    </row>
    <row r="442" ht="15" customHeight="1" s="37">
      <c r="A442" t="n">
        <v>11</v>
      </c>
      <c r="B442" s="10" t="inlineStr">
        <is>
          <t>休日</t>
        </is>
      </c>
      <c r="C442" s="10" t="inlineStr">
        <is>
          <t>本線</t>
        </is>
      </c>
      <c r="D442" s="10" t="inlineStr">
        <is>
          <t>上り</t>
        </is>
      </c>
      <c r="E442" t="inlineStr">
        <is>
          <t>2106</t>
        </is>
      </c>
      <c r="F442" t="inlineStr">
        <is>
          <t>0221</t>
        </is>
      </c>
      <c r="G442" s="10" t="inlineStr">
        <is>
          <t>西院</t>
        </is>
      </c>
      <c r="H442" s="10" t="inlineStr">
        <is>
          <t>発</t>
        </is>
      </c>
      <c r="J442" s="10" t="inlineStr">
        <is>
          <t>営業</t>
        </is>
      </c>
      <c r="L442" t="inlineStr">
        <is>
          <t>21:42:35</t>
        </is>
      </c>
      <c r="M442" t="inlineStr">
        <is>
          <t>21:43:05</t>
        </is>
      </c>
    </row>
    <row r="443" ht="15" customHeight="1" s="37">
      <c r="A443" t="n">
        <v>11</v>
      </c>
      <c r="B443" s="10" t="inlineStr">
        <is>
          <t>休日</t>
        </is>
      </c>
      <c r="C443" s="10" t="inlineStr">
        <is>
          <t>本線</t>
        </is>
      </c>
      <c r="D443" s="10" t="inlineStr">
        <is>
          <t>上り</t>
        </is>
      </c>
      <c r="E443" t="inlineStr">
        <is>
          <t>2106</t>
        </is>
      </c>
      <c r="F443" t="inlineStr">
        <is>
          <t>0221</t>
        </is>
      </c>
      <c r="G443" s="10" t="inlineStr">
        <is>
          <t>四条大宮</t>
        </is>
      </c>
      <c r="H443" s="10" t="inlineStr">
        <is>
          <t>着</t>
        </is>
      </c>
      <c r="J443" s="10" t="inlineStr">
        <is>
          <t>営業</t>
        </is>
      </c>
      <c r="L443" t="inlineStr">
        <is>
          <t>21:46:00</t>
        </is>
      </c>
      <c r="N443" t="inlineStr">
        <is>
          <t>○</t>
        </is>
      </c>
      <c r="Q443" t="inlineStr">
        <is>
          <t>1</t>
        </is>
      </c>
    </row>
    <row r="444" ht="15" customHeight="1" s="37">
      <c r="A444" t="n">
        <v>11</v>
      </c>
      <c r="B444" s="10" t="inlineStr">
        <is>
          <t>休日</t>
        </is>
      </c>
      <c r="C444" s="10" t="inlineStr">
        <is>
          <t>本線</t>
        </is>
      </c>
      <c r="D444" s="10" t="inlineStr">
        <is>
          <t>下り</t>
        </is>
      </c>
      <c r="E444" t="inlineStr">
        <is>
          <t>2109</t>
        </is>
      </c>
      <c r="F444" t="inlineStr">
        <is>
          <t>0122</t>
        </is>
      </c>
      <c r="G444" s="10" t="inlineStr">
        <is>
          <t>四条大宮</t>
        </is>
      </c>
      <c r="H444" s="10" t="inlineStr">
        <is>
          <t>発</t>
        </is>
      </c>
      <c r="J444" s="10" t="inlineStr">
        <is>
          <t>営業</t>
        </is>
      </c>
      <c r="M444" t="inlineStr">
        <is>
          <t>21:51:00</t>
        </is>
      </c>
      <c r="Q444" t="inlineStr">
        <is>
          <t>1</t>
        </is>
      </c>
    </row>
    <row r="445" ht="15" customHeight="1" s="37">
      <c r="A445" t="n">
        <v>11</v>
      </c>
      <c r="B445" s="10" t="inlineStr">
        <is>
          <t>休日</t>
        </is>
      </c>
      <c r="C445" s="10" t="inlineStr">
        <is>
          <t>本線</t>
        </is>
      </c>
      <c r="D445" s="10" t="inlineStr">
        <is>
          <t>下り</t>
        </is>
      </c>
      <c r="E445" t="inlineStr">
        <is>
          <t>2109</t>
        </is>
      </c>
      <c r="F445" t="inlineStr">
        <is>
          <t>0122</t>
        </is>
      </c>
      <c r="G445" s="10" t="inlineStr">
        <is>
          <t>西院</t>
        </is>
      </c>
      <c r="H445" s="10" t="inlineStr">
        <is>
          <t>発</t>
        </is>
      </c>
      <c r="J445" s="10" t="inlineStr">
        <is>
          <t>営業</t>
        </is>
      </c>
      <c r="L445" t="inlineStr">
        <is>
          <t>21:53:50</t>
        </is>
      </c>
      <c r="M445" t="inlineStr">
        <is>
          <t>21:54:20</t>
        </is>
      </c>
    </row>
    <row r="446" ht="15" customHeight="1" s="37">
      <c r="A446" t="n">
        <v>11</v>
      </c>
      <c r="B446" s="10" t="inlineStr">
        <is>
          <t>休日</t>
        </is>
      </c>
      <c r="C446" s="10" t="inlineStr">
        <is>
          <t>本線</t>
        </is>
      </c>
      <c r="D446" s="10" t="inlineStr">
        <is>
          <t>下り</t>
        </is>
      </c>
      <c r="E446" t="inlineStr">
        <is>
          <t>2109</t>
        </is>
      </c>
      <c r="F446" t="inlineStr">
        <is>
          <t>0122</t>
        </is>
      </c>
      <c r="G446" s="10" t="inlineStr">
        <is>
          <t>西大路三条</t>
        </is>
      </c>
      <c r="H446" s="10" t="inlineStr">
        <is>
          <t>発</t>
        </is>
      </c>
      <c r="J446" s="10" t="inlineStr">
        <is>
          <t>営業</t>
        </is>
      </c>
      <c r="L446" t="inlineStr">
        <is>
          <t>21:56:10</t>
        </is>
      </c>
      <c r="M446" t="inlineStr">
        <is>
          <t>21:56:30</t>
        </is>
      </c>
    </row>
    <row r="447" ht="15" customHeight="1" s="37">
      <c r="A447" t="n">
        <v>11</v>
      </c>
      <c r="B447" s="10" t="inlineStr">
        <is>
          <t>休日</t>
        </is>
      </c>
      <c r="C447" s="10" t="inlineStr">
        <is>
          <t>本線</t>
        </is>
      </c>
      <c r="D447" s="10" t="inlineStr">
        <is>
          <t>下り</t>
        </is>
      </c>
      <c r="E447" t="inlineStr">
        <is>
          <t>2109</t>
        </is>
      </c>
      <c r="F447" t="inlineStr">
        <is>
          <t>0122</t>
        </is>
      </c>
      <c r="G447" s="10" t="inlineStr">
        <is>
          <t>山ノ内</t>
        </is>
      </c>
      <c r="H447" s="10" t="inlineStr">
        <is>
          <t>発</t>
        </is>
      </c>
      <c r="J447" s="10" t="inlineStr">
        <is>
          <t>営業</t>
        </is>
      </c>
      <c r="L447" t="inlineStr">
        <is>
          <t>21:58:25</t>
        </is>
      </c>
      <c r="M447" t="inlineStr">
        <is>
          <t>21:58:50</t>
        </is>
      </c>
    </row>
    <row r="448" ht="15" customHeight="1" s="37">
      <c r="A448" t="n">
        <v>11</v>
      </c>
      <c r="B448" s="10" t="inlineStr">
        <is>
          <t>休日</t>
        </is>
      </c>
      <c r="C448" s="10" t="inlineStr">
        <is>
          <t>本線</t>
        </is>
      </c>
      <c r="D448" s="10" t="inlineStr">
        <is>
          <t>下り</t>
        </is>
      </c>
      <c r="E448" t="inlineStr">
        <is>
          <t>2109</t>
        </is>
      </c>
      <c r="F448" t="inlineStr">
        <is>
          <t>0122</t>
        </is>
      </c>
      <c r="G448" s="10" t="inlineStr">
        <is>
          <t>天神川</t>
        </is>
      </c>
      <c r="H448" s="10" t="inlineStr">
        <is>
          <t>発</t>
        </is>
      </c>
      <c r="J448" s="10" t="inlineStr">
        <is>
          <t>営業</t>
        </is>
      </c>
      <c r="L448" t="inlineStr">
        <is>
          <t>22:00:50</t>
        </is>
      </c>
      <c r="M448" t="inlineStr">
        <is>
          <t>22:01:30</t>
        </is>
      </c>
    </row>
    <row r="449" ht="15" customHeight="1" s="37">
      <c r="A449" t="n">
        <v>11</v>
      </c>
      <c r="B449" s="10" t="inlineStr">
        <is>
          <t>休日</t>
        </is>
      </c>
      <c r="C449" s="10" t="inlineStr">
        <is>
          <t>本線</t>
        </is>
      </c>
      <c r="D449" s="10" t="inlineStr">
        <is>
          <t>下り</t>
        </is>
      </c>
      <c r="E449" t="inlineStr">
        <is>
          <t>2109</t>
        </is>
      </c>
      <c r="F449" t="inlineStr">
        <is>
          <t>0122</t>
        </is>
      </c>
      <c r="G449" s="10" t="inlineStr">
        <is>
          <t>蚕ノ社</t>
        </is>
      </c>
      <c r="H449" s="10" t="inlineStr">
        <is>
          <t>発</t>
        </is>
      </c>
      <c r="J449" s="10" t="inlineStr">
        <is>
          <t>営業</t>
        </is>
      </c>
      <c r="L449" t="inlineStr">
        <is>
          <t>22:02:20</t>
        </is>
      </c>
      <c r="M449" t="inlineStr">
        <is>
          <t>22:02:40</t>
        </is>
      </c>
    </row>
    <row r="450" ht="15" customHeight="1" s="37">
      <c r="A450" t="n">
        <v>11</v>
      </c>
      <c r="B450" s="10" t="inlineStr">
        <is>
          <t>休日</t>
        </is>
      </c>
      <c r="C450" s="10" t="inlineStr">
        <is>
          <t>本線</t>
        </is>
      </c>
      <c r="D450" s="10" t="inlineStr">
        <is>
          <t>下り</t>
        </is>
      </c>
      <c r="E450" t="inlineStr">
        <is>
          <t>2109</t>
        </is>
      </c>
      <c r="F450" t="inlineStr">
        <is>
          <t>0122</t>
        </is>
      </c>
      <c r="G450" s="10" t="inlineStr">
        <is>
          <t>太秦広隆寺</t>
        </is>
      </c>
      <c r="H450" s="10" t="inlineStr">
        <is>
          <t>発</t>
        </is>
      </c>
      <c r="J450" s="10" t="inlineStr">
        <is>
          <t>営業</t>
        </is>
      </c>
      <c r="L450" t="inlineStr">
        <is>
          <t>22:04:00</t>
        </is>
      </c>
      <c r="M450" t="inlineStr">
        <is>
          <t>22:04:20</t>
        </is>
      </c>
    </row>
    <row r="451" ht="15" customHeight="1" s="37">
      <c r="A451" t="n">
        <v>11</v>
      </c>
      <c r="B451" s="10" t="inlineStr">
        <is>
          <t>休日</t>
        </is>
      </c>
      <c r="C451" s="10" t="inlineStr">
        <is>
          <t>本線</t>
        </is>
      </c>
      <c r="D451" s="10" t="inlineStr">
        <is>
          <t>下り</t>
        </is>
      </c>
      <c r="E451" t="inlineStr">
        <is>
          <t>2109</t>
        </is>
      </c>
      <c r="F451" t="inlineStr">
        <is>
          <t>0122</t>
        </is>
      </c>
      <c r="G451" s="10" t="inlineStr">
        <is>
          <t>帷子ノ辻</t>
        </is>
      </c>
      <c r="H451" s="10" t="inlineStr">
        <is>
          <t>発</t>
        </is>
      </c>
      <c r="J451" s="10" t="inlineStr">
        <is>
          <t>営業</t>
        </is>
      </c>
      <c r="L451" t="inlineStr">
        <is>
          <t>22:06:20</t>
        </is>
      </c>
      <c r="M451" t="inlineStr">
        <is>
          <t>22:07:40</t>
        </is>
      </c>
    </row>
    <row r="452" ht="15" customHeight="1" s="37">
      <c r="A452" t="n">
        <v>11</v>
      </c>
      <c r="B452" s="10" t="inlineStr">
        <is>
          <t>休日</t>
        </is>
      </c>
      <c r="C452" s="10" t="inlineStr">
        <is>
          <t>本線</t>
        </is>
      </c>
      <c r="D452" s="10" t="inlineStr">
        <is>
          <t>下り</t>
        </is>
      </c>
      <c r="E452" t="inlineStr">
        <is>
          <t>2109</t>
        </is>
      </c>
      <c r="F452" t="inlineStr">
        <is>
          <t>0122</t>
        </is>
      </c>
      <c r="G452" s="10" t="inlineStr">
        <is>
          <t>有栖川</t>
        </is>
      </c>
      <c r="H452" s="10" t="inlineStr">
        <is>
          <t>発</t>
        </is>
      </c>
      <c r="J452" s="10" t="inlineStr">
        <is>
          <t>営業</t>
        </is>
      </c>
      <c r="L452" t="inlineStr">
        <is>
          <t>22:08:50</t>
        </is>
      </c>
      <c r="M452" t="inlineStr">
        <is>
          <t>22:09:15</t>
        </is>
      </c>
    </row>
    <row r="453" ht="15" customHeight="1" s="37">
      <c r="A453" t="n">
        <v>11</v>
      </c>
      <c r="B453" s="10" t="inlineStr">
        <is>
          <t>休日</t>
        </is>
      </c>
      <c r="C453" s="10" t="inlineStr">
        <is>
          <t>本線</t>
        </is>
      </c>
      <c r="D453" s="10" t="inlineStr">
        <is>
          <t>下り</t>
        </is>
      </c>
      <c r="E453" t="inlineStr">
        <is>
          <t>2109</t>
        </is>
      </c>
      <c r="F453" t="inlineStr">
        <is>
          <t>0122</t>
        </is>
      </c>
      <c r="G453" s="10" t="inlineStr">
        <is>
          <t>車折</t>
        </is>
      </c>
      <c r="H453" s="10" t="inlineStr">
        <is>
          <t>発</t>
        </is>
      </c>
      <c r="J453" s="10" t="inlineStr">
        <is>
          <t>営業</t>
        </is>
      </c>
      <c r="L453" t="inlineStr">
        <is>
          <t>22:10:40</t>
        </is>
      </c>
      <c r="M453" t="inlineStr">
        <is>
          <t>22:11:05</t>
        </is>
      </c>
    </row>
    <row r="454" ht="15" customHeight="1" s="37">
      <c r="A454" t="n">
        <v>11</v>
      </c>
      <c r="B454" s="10" t="inlineStr">
        <is>
          <t>休日</t>
        </is>
      </c>
      <c r="C454" s="10" t="inlineStr">
        <is>
          <t>本線</t>
        </is>
      </c>
      <c r="D454" s="10" t="inlineStr">
        <is>
          <t>下り</t>
        </is>
      </c>
      <c r="E454" t="inlineStr">
        <is>
          <t>2109</t>
        </is>
      </c>
      <c r="F454" t="inlineStr">
        <is>
          <t>0122</t>
        </is>
      </c>
      <c r="G454" s="10" t="inlineStr">
        <is>
          <t>鹿王院</t>
        </is>
      </c>
      <c r="H454" s="10" t="inlineStr">
        <is>
          <t>発</t>
        </is>
      </c>
      <c r="J454" s="10" t="inlineStr">
        <is>
          <t>営業</t>
        </is>
      </c>
      <c r="L454" t="inlineStr">
        <is>
          <t>22:12:00</t>
        </is>
      </c>
      <c r="M454" t="inlineStr">
        <is>
          <t>22:12:25</t>
        </is>
      </c>
    </row>
    <row r="455" ht="15" customHeight="1" s="37">
      <c r="A455" t="n">
        <v>11</v>
      </c>
      <c r="B455" s="10" t="inlineStr">
        <is>
          <t>休日</t>
        </is>
      </c>
      <c r="C455" s="10" t="inlineStr">
        <is>
          <t>本線</t>
        </is>
      </c>
      <c r="D455" s="10" t="inlineStr">
        <is>
          <t>下り</t>
        </is>
      </c>
      <c r="E455" t="inlineStr">
        <is>
          <t>2109</t>
        </is>
      </c>
      <c r="F455" t="inlineStr">
        <is>
          <t>0122</t>
        </is>
      </c>
      <c r="G455" s="10" t="inlineStr">
        <is>
          <t>嵯峨</t>
        </is>
      </c>
      <c r="H455" s="10" t="inlineStr">
        <is>
          <t>発</t>
        </is>
      </c>
      <c r="J455" s="10" t="inlineStr">
        <is>
          <t>営業</t>
        </is>
      </c>
      <c r="L455" t="inlineStr">
        <is>
          <t>22:13:30</t>
        </is>
      </c>
      <c r="M455" t="inlineStr">
        <is>
          <t>22:13:55</t>
        </is>
      </c>
    </row>
    <row r="456" ht="15" customHeight="1" s="37">
      <c r="A456" t="n">
        <v>11</v>
      </c>
      <c r="B456" s="10" t="inlineStr">
        <is>
          <t>休日</t>
        </is>
      </c>
      <c r="C456" s="10" t="inlineStr">
        <is>
          <t>本線</t>
        </is>
      </c>
      <c r="D456" s="10" t="inlineStr">
        <is>
          <t>下り</t>
        </is>
      </c>
      <c r="E456" t="inlineStr">
        <is>
          <t>2109</t>
        </is>
      </c>
      <c r="F456" t="inlineStr">
        <is>
          <t>0122</t>
        </is>
      </c>
      <c r="G456" s="10" t="inlineStr">
        <is>
          <t>嵐山</t>
        </is>
      </c>
      <c r="H456" s="10" t="inlineStr">
        <is>
          <t>着</t>
        </is>
      </c>
      <c r="J456" s="10" t="inlineStr">
        <is>
          <t>営業</t>
        </is>
      </c>
      <c r="L456" t="inlineStr">
        <is>
          <t>22:15:00</t>
        </is>
      </c>
      <c r="N456" t="inlineStr">
        <is>
          <t>○</t>
        </is>
      </c>
      <c r="Q456" t="inlineStr">
        <is>
          <t>1</t>
        </is>
      </c>
    </row>
    <row r="457" ht="15" customHeight="1" s="37">
      <c r="A457" t="n">
        <v>11</v>
      </c>
      <c r="B457" s="10" t="inlineStr">
        <is>
          <t>休日</t>
        </is>
      </c>
      <c r="C457" s="10" t="inlineStr">
        <is>
          <t>本線</t>
        </is>
      </c>
      <c r="D457" s="10" t="inlineStr">
        <is>
          <t>上り</t>
        </is>
      </c>
      <c r="E457" t="inlineStr">
        <is>
          <t>2204</t>
        </is>
      </c>
      <c r="F457" t="inlineStr">
        <is>
          <t>0221</t>
        </is>
      </c>
      <c r="G457" s="10" t="inlineStr">
        <is>
          <t>嵐山</t>
        </is>
      </c>
      <c r="H457" s="10" t="inlineStr">
        <is>
          <t>発</t>
        </is>
      </c>
      <c r="J457" s="10" t="inlineStr">
        <is>
          <t>営業</t>
        </is>
      </c>
      <c r="M457" t="inlineStr">
        <is>
          <t>22:20:00</t>
        </is>
      </c>
      <c r="Q457" t="inlineStr">
        <is>
          <t>1</t>
        </is>
      </c>
    </row>
    <row r="458" ht="15" customHeight="1" s="37">
      <c r="A458" t="n">
        <v>11</v>
      </c>
      <c r="B458" s="10" t="inlineStr">
        <is>
          <t>休日</t>
        </is>
      </c>
      <c r="C458" s="10" t="inlineStr">
        <is>
          <t>本線</t>
        </is>
      </c>
      <c r="D458" s="10" t="inlineStr">
        <is>
          <t>上り</t>
        </is>
      </c>
      <c r="E458" t="inlineStr">
        <is>
          <t>2204</t>
        </is>
      </c>
      <c r="F458" t="inlineStr">
        <is>
          <t>0221</t>
        </is>
      </c>
      <c r="G458" s="10" t="inlineStr">
        <is>
          <t>嵯峨</t>
        </is>
      </c>
      <c r="H458" s="10" t="inlineStr">
        <is>
          <t>発</t>
        </is>
      </c>
      <c r="J458" s="10" t="inlineStr">
        <is>
          <t>営業</t>
        </is>
      </c>
      <c r="L458" t="inlineStr">
        <is>
          <t>22:20:55</t>
        </is>
      </c>
      <c r="M458" t="inlineStr">
        <is>
          <t>22:21:10</t>
        </is>
      </c>
    </row>
    <row r="459" ht="15" customHeight="1" s="37">
      <c r="A459" t="n">
        <v>11</v>
      </c>
      <c r="B459" s="10" t="inlineStr">
        <is>
          <t>休日</t>
        </is>
      </c>
      <c r="C459" s="10" t="inlineStr">
        <is>
          <t>本線</t>
        </is>
      </c>
      <c r="D459" s="10" t="inlineStr">
        <is>
          <t>上り</t>
        </is>
      </c>
      <c r="E459" t="inlineStr">
        <is>
          <t>2204</t>
        </is>
      </c>
      <c r="F459" t="inlineStr">
        <is>
          <t>0221</t>
        </is>
      </c>
      <c r="G459" s="10" t="inlineStr">
        <is>
          <t>鹿王院</t>
        </is>
      </c>
      <c r="H459" s="10" t="inlineStr">
        <is>
          <t>発</t>
        </is>
      </c>
      <c r="J459" s="10" t="inlineStr">
        <is>
          <t>営業</t>
        </is>
      </c>
      <c r="L459" t="inlineStr">
        <is>
          <t>22:22:15</t>
        </is>
      </c>
      <c r="M459" t="inlineStr">
        <is>
          <t>22:22:30</t>
        </is>
      </c>
    </row>
    <row r="460" ht="15" customHeight="1" s="37">
      <c r="A460" t="n">
        <v>11</v>
      </c>
      <c r="B460" s="10" t="inlineStr">
        <is>
          <t>休日</t>
        </is>
      </c>
      <c r="C460" s="10" t="inlineStr">
        <is>
          <t>本線</t>
        </is>
      </c>
      <c r="D460" s="10" t="inlineStr">
        <is>
          <t>上り</t>
        </is>
      </c>
      <c r="E460" t="inlineStr">
        <is>
          <t>2204</t>
        </is>
      </c>
      <c r="F460" t="inlineStr">
        <is>
          <t>0221</t>
        </is>
      </c>
      <c r="G460" s="10" t="inlineStr">
        <is>
          <t>車折</t>
        </is>
      </c>
      <c r="H460" s="10" t="inlineStr">
        <is>
          <t>発</t>
        </is>
      </c>
      <c r="J460" s="10" t="inlineStr">
        <is>
          <t>営業</t>
        </is>
      </c>
      <c r="L460" t="inlineStr">
        <is>
          <t>22:23:25</t>
        </is>
      </c>
      <c r="M460" t="inlineStr">
        <is>
          <t>22:23:40</t>
        </is>
      </c>
    </row>
    <row r="461" ht="15" customHeight="1" s="37">
      <c r="A461" t="n">
        <v>11</v>
      </c>
      <c r="B461" s="10" t="inlineStr">
        <is>
          <t>休日</t>
        </is>
      </c>
      <c r="C461" s="10" t="inlineStr">
        <is>
          <t>本線</t>
        </is>
      </c>
      <c r="D461" s="10" t="inlineStr">
        <is>
          <t>上り</t>
        </is>
      </c>
      <c r="E461" t="inlineStr">
        <is>
          <t>2204</t>
        </is>
      </c>
      <c r="F461" t="inlineStr">
        <is>
          <t>0221</t>
        </is>
      </c>
      <c r="G461" s="10" t="inlineStr">
        <is>
          <t>有栖川</t>
        </is>
      </c>
      <c r="H461" s="10" t="inlineStr">
        <is>
          <t>発</t>
        </is>
      </c>
      <c r="J461" s="10" t="inlineStr">
        <is>
          <t>営業</t>
        </is>
      </c>
      <c r="L461" t="inlineStr">
        <is>
          <t>22:25:05</t>
        </is>
      </c>
      <c r="M461" t="inlineStr">
        <is>
          <t>22:25:20</t>
        </is>
      </c>
    </row>
    <row r="462" ht="15" customHeight="1" s="37">
      <c r="A462" t="n">
        <v>11</v>
      </c>
      <c r="B462" s="10" t="inlineStr">
        <is>
          <t>休日</t>
        </is>
      </c>
      <c r="C462" s="10" t="inlineStr">
        <is>
          <t>本線</t>
        </is>
      </c>
      <c r="D462" s="10" t="inlineStr">
        <is>
          <t>上り</t>
        </is>
      </c>
      <c r="E462" t="inlineStr">
        <is>
          <t>2204</t>
        </is>
      </c>
      <c r="F462" t="inlineStr">
        <is>
          <t>0221</t>
        </is>
      </c>
      <c r="G462" s="10" t="inlineStr">
        <is>
          <t>帷子ノ辻</t>
        </is>
      </c>
      <c r="H462" s="10" t="inlineStr">
        <is>
          <t>発</t>
        </is>
      </c>
      <c r="J462" s="10" t="inlineStr">
        <is>
          <t>営業</t>
        </is>
      </c>
      <c r="L462" t="inlineStr">
        <is>
          <t>22:26:35</t>
        </is>
      </c>
      <c r="M462" t="inlineStr">
        <is>
          <t>22:27:05</t>
        </is>
      </c>
    </row>
    <row r="463" ht="15" customHeight="1" s="37">
      <c r="A463" t="n">
        <v>11</v>
      </c>
      <c r="B463" s="10" t="inlineStr">
        <is>
          <t>休日</t>
        </is>
      </c>
      <c r="C463" s="10" t="inlineStr">
        <is>
          <t>本線</t>
        </is>
      </c>
      <c r="D463" s="10" t="inlineStr">
        <is>
          <t>上り</t>
        </is>
      </c>
      <c r="E463" t="inlineStr">
        <is>
          <t>2204</t>
        </is>
      </c>
      <c r="F463" t="inlineStr">
        <is>
          <t>0221</t>
        </is>
      </c>
      <c r="G463" s="10" t="inlineStr">
        <is>
          <t>太秦広隆寺</t>
        </is>
      </c>
      <c r="H463" s="10" t="inlineStr">
        <is>
          <t>発</t>
        </is>
      </c>
      <c r="J463" s="10" t="inlineStr">
        <is>
          <t>営業</t>
        </is>
      </c>
      <c r="L463" t="inlineStr">
        <is>
          <t>22:29:15</t>
        </is>
      </c>
      <c r="M463" t="inlineStr">
        <is>
          <t>22:29:35</t>
        </is>
      </c>
    </row>
    <row r="464" ht="15" customHeight="1" s="37">
      <c r="A464" t="n">
        <v>11</v>
      </c>
      <c r="B464" s="10" t="inlineStr">
        <is>
          <t>休日</t>
        </is>
      </c>
      <c r="C464" s="10" t="inlineStr">
        <is>
          <t>本線</t>
        </is>
      </c>
      <c r="D464" s="10" t="inlineStr">
        <is>
          <t>上り</t>
        </is>
      </c>
      <c r="E464" t="inlineStr">
        <is>
          <t>2204</t>
        </is>
      </c>
      <c r="F464" t="inlineStr">
        <is>
          <t>0221</t>
        </is>
      </c>
      <c r="G464" s="10" t="inlineStr">
        <is>
          <t>蚕ノ社</t>
        </is>
      </c>
      <c r="H464" s="10" t="inlineStr">
        <is>
          <t>発</t>
        </is>
      </c>
      <c r="J464" s="10" t="inlineStr">
        <is>
          <t>営業</t>
        </is>
      </c>
      <c r="L464" t="inlineStr">
        <is>
          <t>22:30:50</t>
        </is>
      </c>
      <c r="M464" t="inlineStr">
        <is>
          <t>22:31:10</t>
        </is>
      </c>
    </row>
    <row r="465" ht="15" customHeight="1" s="37">
      <c r="A465" t="n">
        <v>11</v>
      </c>
      <c r="B465" s="10" t="inlineStr">
        <is>
          <t>休日</t>
        </is>
      </c>
      <c r="C465" s="10" t="inlineStr">
        <is>
          <t>本線</t>
        </is>
      </c>
      <c r="D465" s="10" t="inlineStr">
        <is>
          <t>上り</t>
        </is>
      </c>
      <c r="E465" t="inlineStr">
        <is>
          <t>2204</t>
        </is>
      </c>
      <c r="F465" t="inlineStr">
        <is>
          <t>0221</t>
        </is>
      </c>
      <c r="G465" s="10" t="inlineStr">
        <is>
          <t>天神川</t>
        </is>
      </c>
      <c r="H465" s="10" t="inlineStr">
        <is>
          <t>発</t>
        </is>
      </c>
      <c r="J465" s="10" t="inlineStr">
        <is>
          <t>営業</t>
        </is>
      </c>
      <c r="L465" t="inlineStr">
        <is>
          <t>22:31:55</t>
        </is>
      </c>
      <c r="M465" t="inlineStr">
        <is>
          <t>22:32:20</t>
        </is>
      </c>
    </row>
    <row r="466" ht="15" customHeight="1" s="37">
      <c r="A466" t="n">
        <v>11</v>
      </c>
      <c r="B466" s="10" t="inlineStr">
        <is>
          <t>休日</t>
        </is>
      </c>
      <c r="C466" s="10" t="inlineStr">
        <is>
          <t>本線</t>
        </is>
      </c>
      <c r="D466" s="10" t="inlineStr">
        <is>
          <t>上り</t>
        </is>
      </c>
      <c r="E466" t="inlineStr">
        <is>
          <t>2204</t>
        </is>
      </c>
      <c r="F466" t="inlineStr">
        <is>
          <t>0221</t>
        </is>
      </c>
      <c r="G466" s="10" t="inlineStr">
        <is>
          <t>山ノ内</t>
        </is>
      </c>
      <c r="H466" s="10" t="inlineStr">
        <is>
          <t>発</t>
        </is>
      </c>
      <c r="J466" s="10" t="inlineStr">
        <is>
          <t>営業</t>
        </is>
      </c>
      <c r="L466" t="inlineStr">
        <is>
          <t>22:34:10</t>
        </is>
      </c>
      <c r="M466" t="inlineStr">
        <is>
          <t>22:34:35</t>
        </is>
      </c>
    </row>
    <row r="467" ht="15" customHeight="1" s="37">
      <c r="A467" t="n">
        <v>11</v>
      </c>
      <c r="B467" s="10" t="inlineStr">
        <is>
          <t>休日</t>
        </is>
      </c>
      <c r="C467" s="10" t="inlineStr">
        <is>
          <t>本線</t>
        </is>
      </c>
      <c r="D467" s="10" t="inlineStr">
        <is>
          <t>上り</t>
        </is>
      </c>
      <c r="E467" t="inlineStr">
        <is>
          <t>2204</t>
        </is>
      </c>
      <c r="F467" t="inlineStr">
        <is>
          <t>0221</t>
        </is>
      </c>
      <c r="G467" s="10" t="inlineStr">
        <is>
          <t>西大路三条</t>
        </is>
      </c>
      <c r="H467" s="10" t="inlineStr">
        <is>
          <t>発</t>
        </is>
      </c>
      <c r="J467" s="10" t="inlineStr">
        <is>
          <t>営業</t>
        </is>
      </c>
      <c r="L467" t="inlineStr">
        <is>
          <t>22:36:25</t>
        </is>
      </c>
      <c r="M467" t="inlineStr">
        <is>
          <t>22:36:40</t>
        </is>
      </c>
    </row>
    <row r="468" ht="15" customHeight="1" s="37">
      <c r="A468" t="n">
        <v>11</v>
      </c>
      <c r="B468" s="10" t="inlineStr">
        <is>
          <t>休日</t>
        </is>
      </c>
      <c r="C468" s="10" t="inlineStr">
        <is>
          <t>本線</t>
        </is>
      </c>
      <c r="D468" s="10" t="inlineStr">
        <is>
          <t>上り</t>
        </is>
      </c>
      <c r="E468" t="inlineStr">
        <is>
          <t>2204</t>
        </is>
      </c>
      <c r="F468" t="inlineStr">
        <is>
          <t>0221</t>
        </is>
      </c>
      <c r="G468" s="10" t="inlineStr">
        <is>
          <t>西院</t>
        </is>
      </c>
      <c r="H468" s="10" t="inlineStr">
        <is>
          <t>発</t>
        </is>
      </c>
      <c r="J468" s="10" t="inlineStr">
        <is>
          <t>営業</t>
        </is>
      </c>
      <c r="L468" t="inlineStr">
        <is>
          <t>22:38:35</t>
        </is>
      </c>
      <c r="M468" t="inlineStr">
        <is>
          <t>22:39:05</t>
        </is>
      </c>
    </row>
    <row r="469" ht="15" customHeight="1" s="37">
      <c r="A469" t="n">
        <v>11</v>
      </c>
      <c r="B469" s="10" t="inlineStr">
        <is>
          <t>休日</t>
        </is>
      </c>
      <c r="C469" s="10" t="inlineStr">
        <is>
          <t>本線</t>
        </is>
      </c>
      <c r="D469" s="10" t="inlineStr">
        <is>
          <t>上り</t>
        </is>
      </c>
      <c r="E469" t="inlineStr">
        <is>
          <t>2204</t>
        </is>
      </c>
      <c r="F469" t="inlineStr">
        <is>
          <t>0221</t>
        </is>
      </c>
      <c r="G469" s="10" t="inlineStr">
        <is>
          <t>四条大宮</t>
        </is>
      </c>
      <c r="H469" s="10" t="inlineStr">
        <is>
          <t>着</t>
        </is>
      </c>
      <c r="J469" s="10" t="inlineStr">
        <is>
          <t>営業</t>
        </is>
      </c>
      <c r="L469" t="inlineStr">
        <is>
          <t>22:42:00</t>
        </is>
      </c>
      <c r="N469" t="inlineStr">
        <is>
          <t>○</t>
        </is>
      </c>
      <c r="Q469" t="inlineStr">
        <is>
          <t>2</t>
        </is>
      </c>
      <c r="T469" t="inlineStr">
        <is>
          <t>○</t>
        </is>
      </c>
    </row>
    <row r="470" ht="15" customHeight="1" s="37">
      <c r="A470" t="n">
        <v>11</v>
      </c>
      <c r="B470" s="10" t="inlineStr">
        <is>
          <t>休日</t>
        </is>
      </c>
      <c r="C470" s="10" t="inlineStr">
        <is>
          <t>本線</t>
        </is>
      </c>
      <c r="D470" s="10" t="inlineStr">
        <is>
          <t>下り</t>
        </is>
      </c>
      <c r="E470" s="10" t="inlineStr">
        <is>
          <t>回2271</t>
        </is>
      </c>
      <c r="F470" s="10" t="inlineStr">
        <is>
          <t>回送</t>
        </is>
      </c>
      <c r="G470" s="10" t="inlineStr">
        <is>
          <t>四条大宮</t>
        </is>
      </c>
      <c r="H470" s="10" t="inlineStr">
        <is>
          <t>発</t>
        </is>
      </c>
      <c r="J470" s="10" t="inlineStr">
        <is>
          <t>回送</t>
        </is>
      </c>
      <c r="M470" t="inlineStr">
        <is>
          <t>22:47:00</t>
        </is>
      </c>
      <c r="Q470" t="inlineStr">
        <is>
          <t>2</t>
        </is>
      </c>
    </row>
    <row r="471" ht="15" customHeight="1" s="37">
      <c r="A471" t="n">
        <v>11</v>
      </c>
      <c r="B471" s="10" t="inlineStr">
        <is>
          <t>休日</t>
        </is>
      </c>
      <c r="C471" s="10" t="inlineStr">
        <is>
          <t>本線</t>
        </is>
      </c>
      <c r="D471" s="10" t="inlineStr">
        <is>
          <t>下り</t>
        </is>
      </c>
      <c r="E471" s="10" t="inlineStr">
        <is>
          <t>回2271</t>
        </is>
      </c>
      <c r="F471" s="10" t="inlineStr">
        <is>
          <t>回送</t>
        </is>
      </c>
      <c r="G471" s="10" t="inlineStr">
        <is>
          <t>西院</t>
        </is>
      </c>
      <c r="H471" s="10" t="inlineStr">
        <is>
          <t>着</t>
        </is>
      </c>
      <c r="J471" s="10" t="inlineStr">
        <is>
          <t>回送</t>
        </is>
      </c>
      <c r="L471" t="inlineStr">
        <is>
          <t>22:49:50</t>
        </is>
      </c>
    </row>
    <row r="472" ht="15" customHeight="1" s="37">
      <c r="A472" t="n">
        <v>11</v>
      </c>
      <c r="B472" s="10" t="inlineStr">
        <is>
          <t>休日</t>
        </is>
      </c>
      <c r="C472" s="10" t="inlineStr">
        <is>
          <t>本線</t>
        </is>
      </c>
      <c r="D472" s="10" t="inlineStr">
        <is>
          <t>下り</t>
        </is>
      </c>
      <c r="E472" s="10" t="inlineStr">
        <is>
          <t>連1407</t>
        </is>
      </c>
      <c r="F472" t="inlineStr">
        <is>
          <t>0112</t>
        </is>
      </c>
      <c r="G472" s="10" t="inlineStr">
        <is>
          <t>西院</t>
        </is>
      </c>
      <c r="H472" s="10" t="inlineStr">
        <is>
          <t>発</t>
        </is>
      </c>
      <c r="J472" s="10" t="inlineStr">
        <is>
          <t>営業</t>
        </is>
      </c>
      <c r="L472" t="inlineStr">
        <is>
          <t>14:35:50</t>
        </is>
      </c>
      <c r="M472" t="inlineStr">
        <is>
          <t>14:36:20</t>
        </is>
      </c>
      <c r="P472" t="inlineStr">
        <is>
          <t>D系統(終日)</t>
        </is>
      </c>
    </row>
    <row r="473" ht="15" customHeight="1" s="37">
      <c r="A473" t="n">
        <v>11</v>
      </c>
      <c r="B473" s="10" t="inlineStr">
        <is>
          <t>休日</t>
        </is>
      </c>
      <c r="C473" s="10" t="inlineStr">
        <is>
          <t>本線</t>
        </is>
      </c>
      <c r="D473" s="10" t="inlineStr">
        <is>
          <t>下り</t>
        </is>
      </c>
      <c r="E473" s="10" t="inlineStr">
        <is>
          <t>連1407</t>
        </is>
      </c>
      <c r="F473" t="inlineStr">
        <is>
          <t>0112</t>
        </is>
      </c>
      <c r="G473" s="10" t="inlineStr">
        <is>
          <t>西大路三条</t>
        </is>
      </c>
      <c r="H473" s="10" t="inlineStr">
        <is>
          <t>発</t>
        </is>
      </c>
      <c r="J473" s="10" t="inlineStr">
        <is>
          <t>営業</t>
        </is>
      </c>
      <c r="L473" t="inlineStr">
        <is>
          <t>14:38:10</t>
        </is>
      </c>
      <c r="M473" t="inlineStr">
        <is>
          <t>14:38:30</t>
        </is>
      </c>
      <c r="P473" t="inlineStr">
        <is>
          <t>D系統(終日)</t>
        </is>
      </c>
    </row>
    <row r="474" ht="15" customHeight="1" s="37">
      <c r="A474" t="n">
        <v>11</v>
      </c>
      <c r="B474" s="10" t="inlineStr">
        <is>
          <t>休日</t>
        </is>
      </c>
      <c r="C474" s="10" t="inlineStr">
        <is>
          <t>本線</t>
        </is>
      </c>
      <c r="D474" s="10" t="inlineStr">
        <is>
          <t>下り</t>
        </is>
      </c>
      <c r="E474" s="10" t="inlineStr">
        <is>
          <t>連1407</t>
        </is>
      </c>
      <c r="F474" t="inlineStr">
        <is>
          <t>0112</t>
        </is>
      </c>
      <c r="G474" s="10" t="inlineStr">
        <is>
          <t>山ノ内</t>
        </is>
      </c>
      <c r="H474" s="10" t="inlineStr">
        <is>
          <t>発</t>
        </is>
      </c>
      <c r="J474" s="10" t="inlineStr">
        <is>
          <t>営業</t>
        </is>
      </c>
      <c r="L474" t="inlineStr">
        <is>
          <t>14:40:25</t>
        </is>
      </c>
      <c r="M474" t="inlineStr">
        <is>
          <t>14:40:50</t>
        </is>
      </c>
      <c r="P474" t="inlineStr">
        <is>
          <t>D系統(終日)</t>
        </is>
      </c>
    </row>
    <row r="475" ht="15" customHeight="1" s="37">
      <c r="A475" t="n">
        <v>11</v>
      </c>
      <c r="B475" s="10" t="inlineStr">
        <is>
          <t>休日</t>
        </is>
      </c>
      <c r="C475" s="10" t="inlineStr">
        <is>
          <t>本線</t>
        </is>
      </c>
      <c r="D475" s="10" t="inlineStr">
        <is>
          <t>下り</t>
        </is>
      </c>
      <c r="E475" s="10" t="inlineStr">
        <is>
          <t>連1407</t>
        </is>
      </c>
      <c r="F475" t="inlineStr">
        <is>
          <t>0112</t>
        </is>
      </c>
      <c r="G475" s="10" t="inlineStr">
        <is>
          <t>天神川</t>
        </is>
      </c>
      <c r="H475" s="10" t="inlineStr">
        <is>
          <t>発</t>
        </is>
      </c>
      <c r="J475" s="10" t="inlineStr">
        <is>
          <t>営業</t>
        </is>
      </c>
      <c r="L475" t="inlineStr">
        <is>
          <t>14:42:50</t>
        </is>
      </c>
      <c r="M475" t="inlineStr">
        <is>
          <t>14:43:30</t>
        </is>
      </c>
      <c r="P475" t="inlineStr">
        <is>
          <t>D系統(終日)</t>
        </is>
      </c>
    </row>
    <row r="476" ht="15" customHeight="1" s="37">
      <c r="A476" t="n">
        <v>11</v>
      </c>
      <c r="B476" s="10" t="inlineStr">
        <is>
          <t>休日</t>
        </is>
      </c>
      <c r="C476" s="10" t="inlineStr">
        <is>
          <t>本線</t>
        </is>
      </c>
      <c r="D476" s="10" t="inlineStr">
        <is>
          <t>下り</t>
        </is>
      </c>
      <c r="E476" s="10" t="inlineStr">
        <is>
          <t>連1407</t>
        </is>
      </c>
      <c r="F476" t="inlineStr">
        <is>
          <t>0112</t>
        </is>
      </c>
      <c r="G476" s="10" t="inlineStr">
        <is>
          <t>蚕ノ社</t>
        </is>
      </c>
      <c r="H476" s="10" t="inlineStr">
        <is>
          <t>発</t>
        </is>
      </c>
      <c r="J476" s="10" t="inlineStr">
        <is>
          <t>営業</t>
        </is>
      </c>
      <c r="L476" t="inlineStr">
        <is>
          <t>14:44:20</t>
        </is>
      </c>
      <c r="M476" t="inlineStr">
        <is>
          <t>14:44:40</t>
        </is>
      </c>
      <c r="P476" t="inlineStr">
        <is>
          <t>D系統(終日)</t>
        </is>
      </c>
    </row>
    <row r="477" ht="15" customHeight="1" s="37">
      <c r="A477" t="n">
        <v>11</v>
      </c>
      <c r="B477" s="10" t="inlineStr">
        <is>
          <t>休日</t>
        </is>
      </c>
      <c r="C477" s="10" t="inlineStr">
        <is>
          <t>本線</t>
        </is>
      </c>
      <c r="D477" s="10" t="inlineStr">
        <is>
          <t>下り</t>
        </is>
      </c>
      <c r="E477" s="10" t="inlineStr">
        <is>
          <t>連1407</t>
        </is>
      </c>
      <c r="F477" t="inlineStr">
        <is>
          <t>0112</t>
        </is>
      </c>
      <c r="G477" s="10" t="inlineStr">
        <is>
          <t>太秦広隆寺</t>
        </is>
      </c>
      <c r="H477" s="10" t="inlineStr">
        <is>
          <t>発</t>
        </is>
      </c>
      <c r="J477" s="10" t="inlineStr">
        <is>
          <t>営業</t>
        </is>
      </c>
      <c r="L477" t="inlineStr">
        <is>
          <t>14:46:00</t>
        </is>
      </c>
      <c r="M477" t="inlineStr">
        <is>
          <t>14:46:20</t>
        </is>
      </c>
      <c r="P477" t="inlineStr">
        <is>
          <t>D系統(終日)</t>
        </is>
      </c>
    </row>
    <row r="478" ht="15" customHeight="1" s="37">
      <c r="A478" t="n">
        <v>11</v>
      </c>
      <c r="B478" s="10" t="inlineStr">
        <is>
          <t>休日</t>
        </is>
      </c>
      <c r="C478" s="10" t="inlineStr">
        <is>
          <t>本線</t>
        </is>
      </c>
      <c r="D478" s="10" t="inlineStr">
        <is>
          <t>下り</t>
        </is>
      </c>
      <c r="E478" s="10" t="inlineStr">
        <is>
          <t>連1407</t>
        </is>
      </c>
      <c r="F478" t="inlineStr">
        <is>
          <t>0112</t>
        </is>
      </c>
      <c r="G478" s="10" t="inlineStr">
        <is>
          <t>帷子ノ辻</t>
        </is>
      </c>
      <c r="H478" s="10" t="inlineStr">
        <is>
          <t>発</t>
        </is>
      </c>
      <c r="J478" s="10" t="inlineStr">
        <is>
          <t>営業</t>
        </is>
      </c>
      <c r="L478" t="inlineStr">
        <is>
          <t>14:48:20</t>
        </is>
      </c>
      <c r="M478" t="inlineStr">
        <is>
          <t>14:49:40</t>
        </is>
      </c>
      <c r="P478" t="inlineStr">
        <is>
          <t>D系統(終日)</t>
        </is>
      </c>
    </row>
    <row r="479" ht="15" customHeight="1" s="37">
      <c r="A479" t="n">
        <v>11</v>
      </c>
      <c r="B479" s="10" t="inlineStr">
        <is>
          <t>休日</t>
        </is>
      </c>
      <c r="C479" s="10" t="inlineStr">
        <is>
          <t>本線</t>
        </is>
      </c>
      <c r="D479" s="10" t="inlineStr">
        <is>
          <t>下り</t>
        </is>
      </c>
      <c r="E479" s="10" t="inlineStr">
        <is>
          <t>連1407</t>
        </is>
      </c>
      <c r="F479" t="inlineStr">
        <is>
          <t>0112</t>
        </is>
      </c>
      <c r="G479" s="10" t="inlineStr">
        <is>
          <t>有栖川</t>
        </is>
      </c>
      <c r="H479" s="10" t="inlineStr">
        <is>
          <t>発</t>
        </is>
      </c>
      <c r="J479" s="10" t="inlineStr">
        <is>
          <t>営業</t>
        </is>
      </c>
      <c r="L479" t="inlineStr">
        <is>
          <t>14:50:50</t>
        </is>
      </c>
      <c r="M479" t="inlineStr">
        <is>
          <t>14:51:15</t>
        </is>
      </c>
      <c r="P479" t="inlineStr">
        <is>
          <t>D系統(終日)</t>
        </is>
      </c>
    </row>
    <row r="480" ht="15" customHeight="1" s="37">
      <c r="A480" t="n">
        <v>11</v>
      </c>
      <c r="B480" s="10" t="inlineStr">
        <is>
          <t>休日</t>
        </is>
      </c>
      <c r="C480" s="10" t="inlineStr">
        <is>
          <t>本線</t>
        </is>
      </c>
      <c r="D480" s="10" t="inlineStr">
        <is>
          <t>下り</t>
        </is>
      </c>
      <c r="E480" s="10" t="inlineStr">
        <is>
          <t>連1407</t>
        </is>
      </c>
      <c r="F480" t="inlineStr">
        <is>
          <t>0112</t>
        </is>
      </c>
      <c r="G480" s="10" t="inlineStr">
        <is>
          <t>車折</t>
        </is>
      </c>
      <c r="H480" s="10" t="inlineStr">
        <is>
          <t>発</t>
        </is>
      </c>
      <c r="J480" s="10" t="inlineStr">
        <is>
          <t>営業</t>
        </is>
      </c>
      <c r="L480" t="inlineStr">
        <is>
          <t>14:52:40</t>
        </is>
      </c>
      <c r="M480" t="inlineStr">
        <is>
          <t>14:53:05</t>
        </is>
      </c>
      <c r="P480" t="inlineStr">
        <is>
          <t>D系統(終日)</t>
        </is>
      </c>
    </row>
    <row r="481" ht="15" customHeight="1" s="37">
      <c r="A481" t="n">
        <v>11</v>
      </c>
      <c r="B481" s="10" t="inlineStr">
        <is>
          <t>休日</t>
        </is>
      </c>
      <c r="C481" s="10" t="inlineStr">
        <is>
          <t>本線</t>
        </is>
      </c>
      <c r="D481" s="10" t="inlineStr">
        <is>
          <t>下り</t>
        </is>
      </c>
      <c r="E481" s="10" t="inlineStr">
        <is>
          <t>連1407</t>
        </is>
      </c>
      <c r="F481" t="inlineStr">
        <is>
          <t>0112</t>
        </is>
      </c>
      <c r="G481" s="10" t="inlineStr">
        <is>
          <t>鹿王院</t>
        </is>
      </c>
      <c r="H481" s="10" t="inlineStr">
        <is>
          <t>発</t>
        </is>
      </c>
      <c r="J481" s="10" t="inlineStr">
        <is>
          <t>営業</t>
        </is>
      </c>
      <c r="L481" t="inlineStr">
        <is>
          <t>14:54:00</t>
        </is>
      </c>
      <c r="M481" t="inlineStr">
        <is>
          <t>14:54:25</t>
        </is>
      </c>
      <c r="P481" t="inlineStr">
        <is>
          <t>D系統(終日)</t>
        </is>
      </c>
    </row>
    <row r="482" ht="15" customHeight="1" s="37">
      <c r="A482" t="n">
        <v>11</v>
      </c>
      <c r="B482" s="10" t="inlineStr">
        <is>
          <t>休日</t>
        </is>
      </c>
      <c r="C482" s="10" t="inlineStr">
        <is>
          <t>本線</t>
        </is>
      </c>
      <c r="D482" s="10" t="inlineStr">
        <is>
          <t>下り</t>
        </is>
      </c>
      <c r="E482" s="10" t="inlineStr">
        <is>
          <t>連1407</t>
        </is>
      </c>
      <c r="F482" t="inlineStr">
        <is>
          <t>0112</t>
        </is>
      </c>
      <c r="G482" s="10" t="inlineStr">
        <is>
          <t>嵯峨</t>
        </is>
      </c>
      <c r="H482" s="10" t="inlineStr">
        <is>
          <t>発</t>
        </is>
      </c>
      <c r="J482" s="10" t="inlineStr">
        <is>
          <t>営業</t>
        </is>
      </c>
      <c r="L482" t="inlineStr">
        <is>
          <t>14:55:30</t>
        </is>
      </c>
      <c r="M482" t="inlineStr">
        <is>
          <t>14:55:55</t>
        </is>
      </c>
      <c r="P482" t="inlineStr">
        <is>
          <t>D系統(終日)</t>
        </is>
      </c>
    </row>
    <row r="483" ht="15" customHeight="1" s="37">
      <c r="A483" t="n">
        <v>11</v>
      </c>
      <c r="B483" s="10" t="inlineStr">
        <is>
          <t>休日</t>
        </is>
      </c>
      <c r="C483" s="10" t="inlineStr">
        <is>
          <t>本線</t>
        </is>
      </c>
      <c r="D483" s="10" t="inlineStr">
        <is>
          <t>下り</t>
        </is>
      </c>
      <c r="E483" s="10" t="inlineStr">
        <is>
          <t>連1407</t>
        </is>
      </c>
      <c r="F483" t="inlineStr">
        <is>
          <t>0112</t>
        </is>
      </c>
      <c r="G483" s="10" t="inlineStr">
        <is>
          <t>嵐山</t>
        </is>
      </c>
      <c r="H483" s="10" t="inlineStr">
        <is>
          <t>着</t>
        </is>
      </c>
      <c r="J483" s="10" t="inlineStr">
        <is>
          <t>営業</t>
        </is>
      </c>
      <c r="L483" t="inlineStr">
        <is>
          <t>14:57:00</t>
        </is>
      </c>
      <c r="P483" t="inlineStr">
        <is>
          <t>D系統(終日)</t>
        </is>
      </c>
      <c r="Q483" t="inlineStr">
        <is>
          <t>1</t>
        </is>
      </c>
    </row>
    <row r="484" ht="15" customHeight="1" s="37">
      <c r="A484" t="n">
        <v>11</v>
      </c>
      <c r="B484" s="10" t="inlineStr">
        <is>
          <t>休日</t>
        </is>
      </c>
      <c r="C484" s="10" t="inlineStr">
        <is>
          <t>本線</t>
        </is>
      </c>
      <c r="D484" s="10" t="inlineStr">
        <is>
          <t>上り</t>
        </is>
      </c>
      <c r="E484" s="10" t="inlineStr">
        <is>
          <t>連1502</t>
        </is>
      </c>
      <c r="F484" t="inlineStr">
        <is>
          <t>0211</t>
        </is>
      </c>
      <c r="G484" s="10" t="inlineStr">
        <is>
          <t>嵐山</t>
        </is>
      </c>
      <c r="H484" s="10" t="inlineStr">
        <is>
          <t>発</t>
        </is>
      </c>
      <c r="J484" s="10" t="inlineStr">
        <is>
          <t>営業</t>
        </is>
      </c>
      <c r="M484" t="inlineStr">
        <is>
          <t>15:03:00</t>
        </is>
      </c>
      <c r="P484" t="inlineStr">
        <is>
          <t>D系統(終日)</t>
        </is>
      </c>
      <c r="Q484" t="inlineStr">
        <is>
          <t>1</t>
        </is>
      </c>
    </row>
    <row r="485" ht="15" customHeight="1" s="37">
      <c r="A485" t="n">
        <v>11</v>
      </c>
      <c r="B485" s="10" t="inlineStr">
        <is>
          <t>休日</t>
        </is>
      </c>
      <c r="C485" s="10" t="inlineStr">
        <is>
          <t>本線</t>
        </is>
      </c>
      <c r="D485" s="10" t="inlineStr">
        <is>
          <t>上り</t>
        </is>
      </c>
      <c r="E485" s="10" t="inlineStr">
        <is>
          <t>連1502</t>
        </is>
      </c>
      <c r="F485" t="inlineStr">
        <is>
          <t>0211</t>
        </is>
      </c>
      <c r="G485" s="10" t="inlineStr">
        <is>
          <t>嵯峨</t>
        </is>
      </c>
      <c r="H485" s="10" t="inlineStr">
        <is>
          <t>発</t>
        </is>
      </c>
      <c r="J485" s="10" t="inlineStr">
        <is>
          <t>営業</t>
        </is>
      </c>
      <c r="L485" t="inlineStr">
        <is>
          <t>15:03:55</t>
        </is>
      </c>
      <c r="M485" t="inlineStr">
        <is>
          <t>15:04:20</t>
        </is>
      </c>
      <c r="P485" t="inlineStr">
        <is>
          <t>D系統(終日)</t>
        </is>
      </c>
    </row>
    <row r="486" ht="15" customHeight="1" s="37">
      <c r="A486" t="n">
        <v>11</v>
      </c>
      <c r="B486" s="10" t="inlineStr">
        <is>
          <t>休日</t>
        </is>
      </c>
      <c r="C486" s="10" t="inlineStr">
        <is>
          <t>本線</t>
        </is>
      </c>
      <c r="D486" s="10" t="inlineStr">
        <is>
          <t>上り</t>
        </is>
      </c>
      <c r="E486" s="10" t="inlineStr">
        <is>
          <t>連1502</t>
        </is>
      </c>
      <c r="F486" t="inlineStr">
        <is>
          <t>0211</t>
        </is>
      </c>
      <c r="G486" s="10" t="inlineStr">
        <is>
          <t>鹿王院</t>
        </is>
      </c>
      <c r="H486" s="10" t="inlineStr">
        <is>
          <t>発</t>
        </is>
      </c>
      <c r="J486" s="10" t="inlineStr">
        <is>
          <t>営業</t>
        </is>
      </c>
      <c r="L486" t="inlineStr">
        <is>
          <t>15:05:25</t>
        </is>
      </c>
      <c r="M486" t="inlineStr">
        <is>
          <t>15:05:45</t>
        </is>
      </c>
      <c r="P486" t="inlineStr">
        <is>
          <t>D系統(終日)</t>
        </is>
      </c>
    </row>
    <row r="487" ht="15" customHeight="1" s="37">
      <c r="A487" t="n">
        <v>11</v>
      </c>
      <c r="B487" s="10" t="inlineStr">
        <is>
          <t>休日</t>
        </is>
      </c>
      <c r="C487" s="10" t="inlineStr">
        <is>
          <t>本線</t>
        </is>
      </c>
      <c r="D487" s="10" t="inlineStr">
        <is>
          <t>上り</t>
        </is>
      </c>
      <c r="E487" s="10" t="inlineStr">
        <is>
          <t>連1502</t>
        </is>
      </c>
      <c r="F487" t="inlineStr">
        <is>
          <t>0211</t>
        </is>
      </c>
      <c r="G487" s="10" t="inlineStr">
        <is>
          <t>車折</t>
        </is>
      </c>
      <c r="H487" s="10" t="inlineStr">
        <is>
          <t>発</t>
        </is>
      </c>
      <c r="J487" s="10" t="inlineStr">
        <is>
          <t>営業</t>
        </is>
      </c>
      <c r="L487" t="inlineStr">
        <is>
          <t>15:06:40</t>
        </is>
      </c>
      <c r="M487" t="inlineStr">
        <is>
          <t>15:07:10</t>
        </is>
      </c>
      <c r="P487" t="inlineStr">
        <is>
          <t>D系統(終日)</t>
        </is>
      </c>
    </row>
    <row r="488" ht="15" customHeight="1" s="37">
      <c r="A488" t="n">
        <v>11</v>
      </c>
      <c r="B488" s="10" t="inlineStr">
        <is>
          <t>休日</t>
        </is>
      </c>
      <c r="C488" s="10" t="inlineStr">
        <is>
          <t>本線</t>
        </is>
      </c>
      <c r="D488" s="10" t="inlineStr">
        <is>
          <t>上り</t>
        </is>
      </c>
      <c r="E488" s="10" t="inlineStr">
        <is>
          <t>連1502</t>
        </is>
      </c>
      <c r="F488" t="inlineStr">
        <is>
          <t>0211</t>
        </is>
      </c>
      <c r="G488" s="10" t="inlineStr">
        <is>
          <t>有栖川</t>
        </is>
      </c>
      <c r="H488" s="10" t="inlineStr">
        <is>
          <t>発</t>
        </is>
      </c>
      <c r="J488" s="10" t="inlineStr">
        <is>
          <t>営業</t>
        </is>
      </c>
      <c r="L488" t="inlineStr">
        <is>
          <t>15:08:35</t>
        </is>
      </c>
      <c r="M488" t="inlineStr">
        <is>
          <t>15:08:55</t>
        </is>
      </c>
      <c r="P488" t="inlineStr">
        <is>
          <t>D系統(終日)</t>
        </is>
      </c>
    </row>
    <row r="489" ht="15" customHeight="1" s="37">
      <c r="A489" t="n">
        <v>11</v>
      </c>
      <c r="B489" s="10" t="inlineStr">
        <is>
          <t>休日</t>
        </is>
      </c>
      <c r="C489" s="10" t="inlineStr">
        <is>
          <t>本線</t>
        </is>
      </c>
      <c r="D489" s="10" t="inlineStr">
        <is>
          <t>上り</t>
        </is>
      </c>
      <c r="E489" s="10" t="inlineStr">
        <is>
          <t>連1502</t>
        </is>
      </c>
      <c r="F489" t="inlineStr">
        <is>
          <t>0211</t>
        </is>
      </c>
      <c r="G489" s="10" t="inlineStr">
        <is>
          <t>帷子ノ辻</t>
        </is>
      </c>
      <c r="H489" s="10" t="inlineStr">
        <is>
          <t>発</t>
        </is>
      </c>
      <c r="J489" s="10" t="inlineStr">
        <is>
          <t>営業</t>
        </is>
      </c>
      <c r="L489" t="inlineStr">
        <is>
          <t>15:10:10</t>
        </is>
      </c>
      <c r="M489" t="inlineStr">
        <is>
          <t>15:11:15</t>
        </is>
      </c>
      <c r="P489" t="inlineStr">
        <is>
          <t>D系統(終日)</t>
        </is>
      </c>
    </row>
    <row r="490" ht="15" customHeight="1" s="37">
      <c r="A490" t="n">
        <v>11</v>
      </c>
      <c r="B490" s="10" t="inlineStr">
        <is>
          <t>休日</t>
        </is>
      </c>
      <c r="C490" s="10" t="inlineStr">
        <is>
          <t>本線</t>
        </is>
      </c>
      <c r="D490" s="10" t="inlineStr">
        <is>
          <t>上り</t>
        </is>
      </c>
      <c r="E490" s="10" t="inlineStr">
        <is>
          <t>連1502</t>
        </is>
      </c>
      <c r="F490" t="inlineStr">
        <is>
          <t>0211</t>
        </is>
      </c>
      <c r="G490" s="10" t="inlineStr">
        <is>
          <t>太秦広隆寺</t>
        </is>
      </c>
      <c r="H490" s="10" t="inlineStr">
        <is>
          <t>発</t>
        </is>
      </c>
      <c r="J490" s="10" t="inlineStr">
        <is>
          <t>営業</t>
        </is>
      </c>
      <c r="L490" t="inlineStr">
        <is>
          <t>15:13:25</t>
        </is>
      </c>
      <c r="M490" t="inlineStr">
        <is>
          <t>15:13:45</t>
        </is>
      </c>
      <c r="P490" t="inlineStr">
        <is>
          <t>D系統(終日)</t>
        </is>
      </c>
    </row>
    <row r="491" ht="15" customHeight="1" s="37">
      <c r="A491" t="n">
        <v>11</v>
      </c>
      <c r="B491" s="10" t="inlineStr">
        <is>
          <t>休日</t>
        </is>
      </c>
      <c r="C491" s="10" t="inlineStr">
        <is>
          <t>本線</t>
        </is>
      </c>
      <c r="D491" s="10" t="inlineStr">
        <is>
          <t>上り</t>
        </is>
      </c>
      <c r="E491" s="10" t="inlineStr">
        <is>
          <t>連1502</t>
        </is>
      </c>
      <c r="F491" t="inlineStr">
        <is>
          <t>0211</t>
        </is>
      </c>
      <c r="G491" s="10" t="inlineStr">
        <is>
          <t>蚕ノ社</t>
        </is>
      </c>
      <c r="H491" s="10" t="inlineStr">
        <is>
          <t>発</t>
        </is>
      </c>
      <c r="J491" s="10" t="inlineStr">
        <is>
          <t>営業</t>
        </is>
      </c>
      <c r="L491" t="inlineStr">
        <is>
          <t>15:15:00</t>
        </is>
      </c>
      <c r="M491" t="inlineStr">
        <is>
          <t>15:15:20</t>
        </is>
      </c>
      <c r="P491" t="inlineStr">
        <is>
          <t>D系統(終日)</t>
        </is>
      </c>
    </row>
    <row r="492" ht="15" customHeight="1" s="37">
      <c r="A492" t="n">
        <v>11</v>
      </c>
      <c r="B492" s="10" t="inlineStr">
        <is>
          <t>休日</t>
        </is>
      </c>
      <c r="C492" s="10" t="inlineStr">
        <is>
          <t>本線</t>
        </is>
      </c>
      <c r="D492" s="10" t="inlineStr">
        <is>
          <t>上り</t>
        </is>
      </c>
      <c r="E492" s="10" t="inlineStr">
        <is>
          <t>連1502</t>
        </is>
      </c>
      <c r="F492" t="inlineStr">
        <is>
          <t>0211</t>
        </is>
      </c>
      <c r="G492" s="10" t="inlineStr">
        <is>
          <t>天神川</t>
        </is>
      </c>
      <c r="H492" s="10" t="inlineStr">
        <is>
          <t>発</t>
        </is>
      </c>
      <c r="J492" s="10" t="inlineStr">
        <is>
          <t>営業</t>
        </is>
      </c>
      <c r="L492" t="inlineStr">
        <is>
          <t>15:16:05</t>
        </is>
      </c>
      <c r="M492" t="inlineStr">
        <is>
          <t>15:16:50</t>
        </is>
      </c>
      <c r="P492" t="inlineStr">
        <is>
          <t>D系統(終日)</t>
        </is>
      </c>
    </row>
    <row r="493" ht="15" customHeight="1" s="37">
      <c r="A493" t="n">
        <v>11</v>
      </c>
      <c r="B493" s="10" t="inlineStr">
        <is>
          <t>休日</t>
        </is>
      </c>
      <c r="C493" s="10" t="inlineStr">
        <is>
          <t>本線</t>
        </is>
      </c>
      <c r="D493" s="10" t="inlineStr">
        <is>
          <t>上り</t>
        </is>
      </c>
      <c r="E493" s="10" t="inlineStr">
        <is>
          <t>連1502</t>
        </is>
      </c>
      <c r="F493" t="inlineStr">
        <is>
          <t>0211</t>
        </is>
      </c>
      <c r="G493" s="10" t="inlineStr">
        <is>
          <t>山ノ内</t>
        </is>
      </c>
      <c r="H493" s="10" t="inlineStr">
        <is>
          <t>発</t>
        </is>
      </c>
      <c r="J493" s="10" t="inlineStr">
        <is>
          <t>営業</t>
        </is>
      </c>
      <c r="L493" t="inlineStr">
        <is>
          <t>15:18:40</t>
        </is>
      </c>
      <c r="M493" t="inlineStr">
        <is>
          <t>15:19:05</t>
        </is>
      </c>
      <c r="P493" t="inlineStr">
        <is>
          <t>D系統(終日)</t>
        </is>
      </c>
    </row>
    <row r="494" ht="15" customHeight="1" s="37">
      <c r="A494" t="n">
        <v>11</v>
      </c>
      <c r="B494" s="10" t="inlineStr">
        <is>
          <t>休日</t>
        </is>
      </c>
      <c r="C494" s="10" t="inlineStr">
        <is>
          <t>本線</t>
        </is>
      </c>
      <c r="D494" s="10" t="inlineStr">
        <is>
          <t>上り</t>
        </is>
      </c>
      <c r="E494" s="10" t="inlineStr">
        <is>
          <t>連1502</t>
        </is>
      </c>
      <c r="F494" t="inlineStr">
        <is>
          <t>0211</t>
        </is>
      </c>
      <c r="G494" s="10" t="inlineStr">
        <is>
          <t>西大路三条</t>
        </is>
      </c>
      <c r="H494" s="10" t="inlineStr">
        <is>
          <t>発</t>
        </is>
      </c>
      <c r="J494" s="10" t="inlineStr">
        <is>
          <t>営業</t>
        </is>
      </c>
      <c r="L494" t="inlineStr">
        <is>
          <t>15:20:55</t>
        </is>
      </c>
      <c r="M494" t="inlineStr">
        <is>
          <t>15:21:15</t>
        </is>
      </c>
      <c r="P494" t="inlineStr">
        <is>
          <t>D系統(終日)</t>
        </is>
      </c>
    </row>
    <row r="495" ht="15" customHeight="1" s="37">
      <c r="A495" t="n">
        <v>11</v>
      </c>
      <c r="B495" s="10" t="inlineStr">
        <is>
          <t>休日</t>
        </is>
      </c>
      <c r="C495" s="10" t="inlineStr">
        <is>
          <t>本線</t>
        </is>
      </c>
      <c r="D495" s="10" t="inlineStr">
        <is>
          <t>上り</t>
        </is>
      </c>
      <c r="E495" s="10" t="inlineStr">
        <is>
          <t>連1502</t>
        </is>
      </c>
      <c r="F495" t="inlineStr">
        <is>
          <t>0211</t>
        </is>
      </c>
      <c r="G495" s="10" t="inlineStr">
        <is>
          <t>西院</t>
        </is>
      </c>
      <c r="H495" s="10" t="inlineStr">
        <is>
          <t>発</t>
        </is>
      </c>
      <c r="J495" s="10" t="inlineStr">
        <is>
          <t>営業</t>
        </is>
      </c>
      <c r="L495" t="inlineStr">
        <is>
          <t>15:23:10</t>
        </is>
      </c>
      <c r="M495" t="inlineStr">
        <is>
          <t>15:24:05</t>
        </is>
      </c>
      <c r="P495" t="inlineStr">
        <is>
          <t>D系統(終日)</t>
        </is>
      </c>
    </row>
    <row r="496" ht="15" customHeight="1" s="37">
      <c r="A496" t="n">
        <v>11</v>
      </c>
      <c r="B496" s="10" t="inlineStr">
        <is>
          <t>休日</t>
        </is>
      </c>
      <c r="C496" s="10" t="inlineStr">
        <is>
          <t>本線</t>
        </is>
      </c>
      <c r="D496" s="10" t="inlineStr">
        <is>
          <t>上り</t>
        </is>
      </c>
      <c r="E496" s="10" t="inlineStr">
        <is>
          <t>連1502</t>
        </is>
      </c>
      <c r="F496" t="inlineStr">
        <is>
          <t>0211</t>
        </is>
      </c>
      <c r="G496" s="10" t="inlineStr">
        <is>
          <t>四条大宮</t>
        </is>
      </c>
      <c r="H496" s="10" t="inlineStr">
        <is>
          <t>着</t>
        </is>
      </c>
      <c r="J496" s="10" t="inlineStr">
        <is>
          <t>営業</t>
        </is>
      </c>
      <c r="L496" t="inlineStr">
        <is>
          <t>15:27:00</t>
        </is>
      </c>
      <c r="P496" t="inlineStr">
        <is>
          <t>D系統(終日)</t>
        </is>
      </c>
      <c r="Q496" t="inlineStr">
        <is>
          <t>1</t>
        </is>
      </c>
    </row>
    <row r="497" ht="15" customHeight="1" s="37">
      <c r="A497" t="n">
        <v>11</v>
      </c>
      <c r="B497" s="10" t="inlineStr">
        <is>
          <t>休日</t>
        </is>
      </c>
      <c r="C497" s="10" t="inlineStr">
        <is>
          <t>本線</t>
        </is>
      </c>
      <c r="D497" s="10" t="inlineStr">
        <is>
          <t>下り</t>
        </is>
      </c>
      <c r="E497" s="10" t="inlineStr">
        <is>
          <t>連1507</t>
        </is>
      </c>
      <c r="F497" t="inlineStr">
        <is>
          <t>0112</t>
        </is>
      </c>
      <c r="G497" s="10" t="inlineStr">
        <is>
          <t>四条大宮</t>
        </is>
      </c>
      <c r="H497" s="10" t="inlineStr">
        <is>
          <t>発</t>
        </is>
      </c>
      <c r="J497" s="10" t="inlineStr">
        <is>
          <t>営業</t>
        </is>
      </c>
      <c r="M497" t="inlineStr">
        <is>
          <t>15:33:00</t>
        </is>
      </c>
      <c r="P497" t="inlineStr">
        <is>
          <t>D系統(終日)</t>
        </is>
      </c>
      <c r="Q497" t="inlineStr">
        <is>
          <t>1</t>
        </is>
      </c>
    </row>
    <row r="498" ht="15" customHeight="1" s="37">
      <c r="A498" t="n">
        <v>11</v>
      </c>
      <c r="B498" s="10" t="inlineStr">
        <is>
          <t>休日</t>
        </is>
      </c>
      <c r="C498" s="10" t="inlineStr">
        <is>
          <t>本線</t>
        </is>
      </c>
      <c r="D498" s="10" t="inlineStr">
        <is>
          <t>下り</t>
        </is>
      </c>
      <c r="E498" s="10" t="inlineStr">
        <is>
          <t>連1507</t>
        </is>
      </c>
      <c r="F498" t="inlineStr">
        <is>
          <t>0112</t>
        </is>
      </c>
      <c r="G498" s="10" t="inlineStr">
        <is>
          <t>西院</t>
        </is>
      </c>
      <c r="H498" s="10" t="inlineStr">
        <is>
          <t>発</t>
        </is>
      </c>
      <c r="J498" s="10" t="inlineStr">
        <is>
          <t>営業</t>
        </is>
      </c>
      <c r="L498" t="inlineStr">
        <is>
          <t>15:35:50</t>
        </is>
      </c>
      <c r="M498" t="inlineStr">
        <is>
          <t>15:36:20</t>
        </is>
      </c>
      <c r="P498" t="inlineStr">
        <is>
          <t>D系統(終日)</t>
        </is>
      </c>
    </row>
    <row r="499" ht="15" customHeight="1" s="37">
      <c r="A499" t="n">
        <v>11</v>
      </c>
      <c r="B499" s="10" t="inlineStr">
        <is>
          <t>休日</t>
        </is>
      </c>
      <c r="C499" s="10" t="inlineStr">
        <is>
          <t>本線</t>
        </is>
      </c>
      <c r="D499" s="10" t="inlineStr">
        <is>
          <t>下り</t>
        </is>
      </c>
      <c r="E499" s="10" t="inlineStr">
        <is>
          <t>連1507</t>
        </is>
      </c>
      <c r="F499" t="inlineStr">
        <is>
          <t>0112</t>
        </is>
      </c>
      <c r="G499" s="10" t="inlineStr">
        <is>
          <t>西大路三条</t>
        </is>
      </c>
      <c r="H499" s="10" t="inlineStr">
        <is>
          <t>発</t>
        </is>
      </c>
      <c r="J499" s="10" t="inlineStr">
        <is>
          <t>営業</t>
        </is>
      </c>
      <c r="L499" t="inlineStr">
        <is>
          <t>15:38:10</t>
        </is>
      </c>
      <c r="M499" t="inlineStr">
        <is>
          <t>15:38:30</t>
        </is>
      </c>
      <c r="P499" t="inlineStr">
        <is>
          <t>D系統(終日)</t>
        </is>
      </c>
    </row>
    <row r="500" ht="15" customHeight="1" s="37">
      <c r="A500" t="n">
        <v>11</v>
      </c>
      <c r="B500" s="10" t="inlineStr">
        <is>
          <t>休日</t>
        </is>
      </c>
      <c r="C500" s="10" t="inlineStr">
        <is>
          <t>本線</t>
        </is>
      </c>
      <c r="D500" s="10" t="inlineStr">
        <is>
          <t>下り</t>
        </is>
      </c>
      <c r="E500" s="10" t="inlineStr">
        <is>
          <t>連1507</t>
        </is>
      </c>
      <c r="F500" t="inlineStr">
        <is>
          <t>0112</t>
        </is>
      </c>
      <c r="G500" s="10" t="inlineStr">
        <is>
          <t>山ノ内</t>
        </is>
      </c>
      <c r="H500" s="10" t="inlineStr">
        <is>
          <t>発</t>
        </is>
      </c>
      <c r="J500" s="10" t="inlineStr">
        <is>
          <t>営業</t>
        </is>
      </c>
      <c r="L500" t="inlineStr">
        <is>
          <t>15:40:25</t>
        </is>
      </c>
      <c r="M500" t="inlineStr">
        <is>
          <t>15:40:50</t>
        </is>
      </c>
      <c r="P500" t="inlineStr">
        <is>
          <t>D系統(終日)</t>
        </is>
      </c>
    </row>
    <row r="501" ht="15" customHeight="1" s="37">
      <c r="A501" t="n">
        <v>11</v>
      </c>
      <c r="B501" s="10" t="inlineStr">
        <is>
          <t>休日</t>
        </is>
      </c>
      <c r="C501" s="10" t="inlineStr">
        <is>
          <t>本線</t>
        </is>
      </c>
      <c r="D501" s="10" t="inlineStr">
        <is>
          <t>下り</t>
        </is>
      </c>
      <c r="E501" s="10" t="inlineStr">
        <is>
          <t>連1507</t>
        </is>
      </c>
      <c r="F501" t="inlineStr">
        <is>
          <t>0112</t>
        </is>
      </c>
      <c r="G501" s="10" t="inlineStr">
        <is>
          <t>天神川</t>
        </is>
      </c>
      <c r="H501" s="10" t="inlineStr">
        <is>
          <t>発</t>
        </is>
      </c>
      <c r="J501" s="10" t="inlineStr">
        <is>
          <t>営業</t>
        </is>
      </c>
      <c r="L501" t="inlineStr">
        <is>
          <t>15:42:50</t>
        </is>
      </c>
      <c r="M501" t="inlineStr">
        <is>
          <t>15:43:30</t>
        </is>
      </c>
      <c r="P501" t="inlineStr">
        <is>
          <t>D系統(終日)</t>
        </is>
      </c>
    </row>
    <row r="502" ht="15" customHeight="1" s="37">
      <c r="A502" t="n">
        <v>11</v>
      </c>
      <c r="B502" s="10" t="inlineStr">
        <is>
          <t>休日</t>
        </is>
      </c>
      <c r="C502" s="10" t="inlineStr">
        <is>
          <t>本線</t>
        </is>
      </c>
      <c r="D502" s="10" t="inlineStr">
        <is>
          <t>下り</t>
        </is>
      </c>
      <c r="E502" s="10" t="inlineStr">
        <is>
          <t>連1507</t>
        </is>
      </c>
      <c r="F502" t="inlineStr">
        <is>
          <t>0112</t>
        </is>
      </c>
      <c r="G502" s="10" t="inlineStr">
        <is>
          <t>蚕ノ社</t>
        </is>
      </c>
      <c r="H502" s="10" t="inlineStr">
        <is>
          <t>発</t>
        </is>
      </c>
      <c r="J502" s="10" t="inlineStr">
        <is>
          <t>営業</t>
        </is>
      </c>
      <c r="L502" t="inlineStr">
        <is>
          <t>15:44:20</t>
        </is>
      </c>
      <c r="M502" t="inlineStr">
        <is>
          <t>15:44:40</t>
        </is>
      </c>
      <c r="P502" t="inlineStr">
        <is>
          <t>D系統(終日)</t>
        </is>
      </c>
    </row>
    <row r="503" ht="15" customHeight="1" s="37">
      <c r="A503" t="n">
        <v>11</v>
      </c>
      <c r="B503" s="10" t="inlineStr">
        <is>
          <t>休日</t>
        </is>
      </c>
      <c r="C503" s="10" t="inlineStr">
        <is>
          <t>本線</t>
        </is>
      </c>
      <c r="D503" s="10" t="inlineStr">
        <is>
          <t>下り</t>
        </is>
      </c>
      <c r="E503" s="10" t="inlineStr">
        <is>
          <t>連1507</t>
        </is>
      </c>
      <c r="F503" t="inlineStr">
        <is>
          <t>0112</t>
        </is>
      </c>
      <c r="G503" s="10" t="inlineStr">
        <is>
          <t>太秦広隆寺</t>
        </is>
      </c>
      <c r="H503" s="10" t="inlineStr">
        <is>
          <t>発</t>
        </is>
      </c>
      <c r="J503" s="10" t="inlineStr">
        <is>
          <t>営業</t>
        </is>
      </c>
      <c r="L503" t="inlineStr">
        <is>
          <t>15:46:00</t>
        </is>
      </c>
      <c r="M503" t="inlineStr">
        <is>
          <t>15:46:20</t>
        </is>
      </c>
      <c r="P503" t="inlineStr">
        <is>
          <t>D系統(終日)</t>
        </is>
      </c>
    </row>
    <row r="504" ht="15" customHeight="1" s="37">
      <c r="A504" t="n">
        <v>11</v>
      </c>
      <c r="B504" s="10" t="inlineStr">
        <is>
          <t>休日</t>
        </is>
      </c>
      <c r="C504" s="10" t="inlineStr">
        <is>
          <t>本線</t>
        </is>
      </c>
      <c r="D504" s="10" t="inlineStr">
        <is>
          <t>下り</t>
        </is>
      </c>
      <c r="E504" s="10" t="inlineStr">
        <is>
          <t>連1507</t>
        </is>
      </c>
      <c r="F504" t="inlineStr">
        <is>
          <t>0112</t>
        </is>
      </c>
      <c r="G504" s="10" t="inlineStr">
        <is>
          <t>帷子ノ辻</t>
        </is>
      </c>
      <c r="H504" s="10" t="inlineStr">
        <is>
          <t>発</t>
        </is>
      </c>
      <c r="J504" s="10" t="inlineStr">
        <is>
          <t>営業</t>
        </is>
      </c>
      <c r="L504" t="inlineStr">
        <is>
          <t>15:48:20</t>
        </is>
      </c>
      <c r="M504" t="inlineStr">
        <is>
          <t>15:49:40</t>
        </is>
      </c>
      <c r="P504" t="inlineStr">
        <is>
          <t>D系統(終日)</t>
        </is>
      </c>
    </row>
    <row r="505" ht="15" customHeight="1" s="37">
      <c r="A505" t="n">
        <v>11</v>
      </c>
      <c r="B505" s="10" t="inlineStr">
        <is>
          <t>休日</t>
        </is>
      </c>
      <c r="C505" s="10" t="inlineStr">
        <is>
          <t>本線</t>
        </is>
      </c>
      <c r="D505" s="10" t="inlineStr">
        <is>
          <t>下り</t>
        </is>
      </c>
      <c r="E505" s="10" t="inlineStr">
        <is>
          <t>連1507</t>
        </is>
      </c>
      <c r="F505" t="inlineStr">
        <is>
          <t>0112</t>
        </is>
      </c>
      <c r="G505" s="10" t="inlineStr">
        <is>
          <t>有栖川</t>
        </is>
      </c>
      <c r="H505" s="10" t="inlineStr">
        <is>
          <t>発</t>
        </is>
      </c>
      <c r="J505" s="10" t="inlineStr">
        <is>
          <t>営業</t>
        </is>
      </c>
      <c r="L505" t="inlineStr">
        <is>
          <t>15:50:50</t>
        </is>
      </c>
      <c r="M505" t="inlineStr">
        <is>
          <t>15:51:15</t>
        </is>
      </c>
      <c r="P505" t="inlineStr">
        <is>
          <t>D系統(終日)</t>
        </is>
      </c>
    </row>
    <row r="506" ht="15" customHeight="1" s="37">
      <c r="A506" t="n">
        <v>11</v>
      </c>
      <c r="B506" s="10" t="inlineStr">
        <is>
          <t>休日</t>
        </is>
      </c>
      <c r="C506" s="10" t="inlineStr">
        <is>
          <t>本線</t>
        </is>
      </c>
      <c r="D506" s="10" t="inlineStr">
        <is>
          <t>下り</t>
        </is>
      </c>
      <c r="E506" s="10" t="inlineStr">
        <is>
          <t>連1507</t>
        </is>
      </c>
      <c r="F506" t="inlineStr">
        <is>
          <t>0112</t>
        </is>
      </c>
      <c r="G506" s="10" t="inlineStr">
        <is>
          <t>車折</t>
        </is>
      </c>
      <c r="H506" s="10" t="inlineStr">
        <is>
          <t>発</t>
        </is>
      </c>
      <c r="J506" s="10" t="inlineStr">
        <is>
          <t>営業</t>
        </is>
      </c>
      <c r="L506" t="inlineStr">
        <is>
          <t>15:52:40</t>
        </is>
      </c>
      <c r="M506" t="inlineStr">
        <is>
          <t>15:53:05</t>
        </is>
      </c>
      <c r="P506" t="inlineStr">
        <is>
          <t>D系統(終日)</t>
        </is>
      </c>
    </row>
    <row r="507" ht="15" customHeight="1" s="37">
      <c r="A507" t="n">
        <v>11</v>
      </c>
      <c r="B507" s="10" t="inlineStr">
        <is>
          <t>休日</t>
        </is>
      </c>
      <c r="C507" s="10" t="inlineStr">
        <is>
          <t>本線</t>
        </is>
      </c>
      <c r="D507" s="10" t="inlineStr">
        <is>
          <t>下り</t>
        </is>
      </c>
      <c r="E507" s="10" t="inlineStr">
        <is>
          <t>連1507</t>
        </is>
      </c>
      <c r="F507" t="inlineStr">
        <is>
          <t>0112</t>
        </is>
      </c>
      <c r="G507" s="10" t="inlineStr">
        <is>
          <t>鹿王院</t>
        </is>
      </c>
      <c r="H507" s="10" t="inlineStr">
        <is>
          <t>発</t>
        </is>
      </c>
      <c r="J507" s="10" t="inlineStr">
        <is>
          <t>営業</t>
        </is>
      </c>
      <c r="L507" t="inlineStr">
        <is>
          <t>15:54:00</t>
        </is>
      </c>
      <c r="M507" t="inlineStr">
        <is>
          <t>15:54:25</t>
        </is>
      </c>
      <c r="P507" t="inlineStr">
        <is>
          <t>D系統(終日)</t>
        </is>
      </c>
    </row>
    <row r="508" ht="15" customHeight="1" s="37">
      <c r="A508" t="n">
        <v>11</v>
      </c>
      <c r="B508" s="10" t="inlineStr">
        <is>
          <t>休日</t>
        </is>
      </c>
      <c r="C508" s="10" t="inlineStr">
        <is>
          <t>本線</t>
        </is>
      </c>
      <c r="D508" s="10" t="inlineStr">
        <is>
          <t>下り</t>
        </is>
      </c>
      <c r="E508" s="10" t="inlineStr">
        <is>
          <t>連1507</t>
        </is>
      </c>
      <c r="F508" t="inlineStr">
        <is>
          <t>0112</t>
        </is>
      </c>
      <c r="G508" s="10" t="inlineStr">
        <is>
          <t>嵯峨</t>
        </is>
      </c>
      <c r="H508" s="10" t="inlineStr">
        <is>
          <t>発</t>
        </is>
      </c>
      <c r="J508" s="10" t="inlineStr">
        <is>
          <t>営業</t>
        </is>
      </c>
      <c r="L508" t="inlineStr">
        <is>
          <t>15:55:30</t>
        </is>
      </c>
      <c r="M508" t="inlineStr">
        <is>
          <t>15:55:55</t>
        </is>
      </c>
      <c r="P508" t="inlineStr">
        <is>
          <t>D系統(終日)</t>
        </is>
      </c>
    </row>
    <row r="509" ht="15" customHeight="1" s="37">
      <c r="A509" t="n">
        <v>11</v>
      </c>
      <c r="B509" s="10" t="inlineStr">
        <is>
          <t>休日</t>
        </is>
      </c>
      <c r="C509" s="10" t="inlineStr">
        <is>
          <t>本線</t>
        </is>
      </c>
      <c r="D509" s="10" t="inlineStr">
        <is>
          <t>下り</t>
        </is>
      </c>
      <c r="E509" s="10" t="inlineStr">
        <is>
          <t>連1507</t>
        </is>
      </c>
      <c r="F509" t="inlineStr">
        <is>
          <t>0112</t>
        </is>
      </c>
      <c r="G509" s="10" t="inlineStr">
        <is>
          <t>嵐山</t>
        </is>
      </c>
      <c r="H509" s="10" t="inlineStr">
        <is>
          <t>着</t>
        </is>
      </c>
      <c r="J509" s="10" t="inlineStr">
        <is>
          <t>営業</t>
        </is>
      </c>
      <c r="L509" t="inlineStr">
        <is>
          <t>15:57:00</t>
        </is>
      </c>
      <c r="P509" t="inlineStr">
        <is>
          <t>D系統(終日)</t>
        </is>
      </c>
      <c r="Q509" t="inlineStr">
        <is>
          <t>1</t>
        </is>
      </c>
    </row>
    <row r="510" ht="15" customHeight="1" s="37">
      <c r="A510" t="n">
        <v>11</v>
      </c>
      <c r="B510" s="10" t="inlineStr">
        <is>
          <t>休日</t>
        </is>
      </c>
      <c r="C510" s="10" t="inlineStr">
        <is>
          <t>本線</t>
        </is>
      </c>
      <c r="D510" s="10" t="inlineStr">
        <is>
          <t>上り</t>
        </is>
      </c>
      <c r="E510" s="10" t="inlineStr">
        <is>
          <t>連1602</t>
        </is>
      </c>
      <c r="F510" t="inlineStr">
        <is>
          <t>2221</t>
        </is>
      </c>
      <c r="G510" s="10" t="inlineStr">
        <is>
          <t>嵐山</t>
        </is>
      </c>
      <c r="H510" s="10" t="inlineStr">
        <is>
          <t>発</t>
        </is>
      </c>
      <c r="J510" s="10" t="inlineStr">
        <is>
          <t>営業</t>
        </is>
      </c>
      <c r="M510" t="inlineStr">
        <is>
          <t>16:03:00</t>
        </is>
      </c>
      <c r="P510" t="inlineStr">
        <is>
          <t>D系統(終日)</t>
        </is>
      </c>
      <c r="Q510" t="inlineStr">
        <is>
          <t>1</t>
        </is>
      </c>
    </row>
    <row r="511" ht="15" customHeight="1" s="37">
      <c r="A511" t="n">
        <v>11</v>
      </c>
      <c r="B511" s="10" t="inlineStr">
        <is>
          <t>休日</t>
        </is>
      </c>
      <c r="C511" s="10" t="inlineStr">
        <is>
          <t>本線</t>
        </is>
      </c>
      <c r="D511" s="10" t="inlineStr">
        <is>
          <t>上り</t>
        </is>
      </c>
      <c r="E511" s="10" t="inlineStr">
        <is>
          <t>連1602</t>
        </is>
      </c>
      <c r="F511" t="inlineStr">
        <is>
          <t>2221</t>
        </is>
      </c>
      <c r="G511" s="10" t="inlineStr">
        <is>
          <t>嵯峨</t>
        </is>
      </c>
      <c r="H511" s="10" t="inlineStr">
        <is>
          <t>発</t>
        </is>
      </c>
      <c r="J511" s="10" t="inlineStr">
        <is>
          <t>営業</t>
        </is>
      </c>
      <c r="L511" t="inlineStr">
        <is>
          <t>16:03:55</t>
        </is>
      </c>
      <c r="M511" t="inlineStr">
        <is>
          <t>16:04:20</t>
        </is>
      </c>
      <c r="P511" t="inlineStr">
        <is>
          <t>D系統(終日)</t>
        </is>
      </c>
    </row>
    <row r="512" ht="15" customHeight="1" s="37">
      <c r="A512" t="n">
        <v>11</v>
      </c>
      <c r="B512" s="10" t="inlineStr">
        <is>
          <t>休日</t>
        </is>
      </c>
      <c r="C512" s="10" t="inlineStr">
        <is>
          <t>本線</t>
        </is>
      </c>
      <c r="D512" s="10" t="inlineStr">
        <is>
          <t>上り</t>
        </is>
      </c>
      <c r="E512" s="10" t="inlineStr">
        <is>
          <t>連1602</t>
        </is>
      </c>
      <c r="F512" t="inlineStr">
        <is>
          <t>2221</t>
        </is>
      </c>
      <c r="G512" s="10" t="inlineStr">
        <is>
          <t>鹿王院</t>
        </is>
      </c>
      <c r="H512" s="10" t="inlineStr">
        <is>
          <t>発</t>
        </is>
      </c>
      <c r="J512" s="10" t="inlineStr">
        <is>
          <t>営業</t>
        </is>
      </c>
      <c r="L512" t="inlineStr">
        <is>
          <t>16:05:25</t>
        </is>
      </c>
      <c r="M512" t="inlineStr">
        <is>
          <t>16:05:45</t>
        </is>
      </c>
      <c r="P512" t="inlineStr">
        <is>
          <t>D系統(終日)</t>
        </is>
      </c>
    </row>
    <row r="513" ht="15" customHeight="1" s="37">
      <c r="A513" t="n">
        <v>11</v>
      </c>
      <c r="B513" s="10" t="inlineStr">
        <is>
          <t>休日</t>
        </is>
      </c>
      <c r="C513" s="10" t="inlineStr">
        <is>
          <t>本線</t>
        </is>
      </c>
      <c r="D513" s="10" t="inlineStr">
        <is>
          <t>上り</t>
        </is>
      </c>
      <c r="E513" s="10" t="inlineStr">
        <is>
          <t>連1602</t>
        </is>
      </c>
      <c r="F513" t="inlineStr">
        <is>
          <t>2221</t>
        </is>
      </c>
      <c r="G513" s="10" t="inlineStr">
        <is>
          <t>車折</t>
        </is>
      </c>
      <c r="H513" s="10" t="inlineStr">
        <is>
          <t>発</t>
        </is>
      </c>
      <c r="J513" s="10" t="inlineStr">
        <is>
          <t>営業</t>
        </is>
      </c>
      <c r="L513" t="inlineStr">
        <is>
          <t>16:06:40</t>
        </is>
      </c>
      <c r="M513" t="inlineStr">
        <is>
          <t>16:07:10</t>
        </is>
      </c>
      <c r="P513" t="inlineStr">
        <is>
          <t>D系統(終日)</t>
        </is>
      </c>
    </row>
    <row r="514" ht="15" customHeight="1" s="37">
      <c r="A514" t="n">
        <v>11</v>
      </c>
      <c r="B514" s="10" t="inlineStr">
        <is>
          <t>休日</t>
        </is>
      </c>
      <c r="C514" s="10" t="inlineStr">
        <is>
          <t>本線</t>
        </is>
      </c>
      <c r="D514" s="10" t="inlineStr">
        <is>
          <t>上り</t>
        </is>
      </c>
      <c r="E514" s="10" t="inlineStr">
        <is>
          <t>連1602</t>
        </is>
      </c>
      <c r="F514" t="inlineStr">
        <is>
          <t>2221</t>
        </is>
      </c>
      <c r="G514" s="10" t="inlineStr">
        <is>
          <t>有栖川</t>
        </is>
      </c>
      <c r="H514" s="10" t="inlineStr">
        <is>
          <t>発</t>
        </is>
      </c>
      <c r="J514" s="10" t="inlineStr">
        <is>
          <t>営業</t>
        </is>
      </c>
      <c r="L514" t="inlineStr">
        <is>
          <t>16:08:35</t>
        </is>
      </c>
      <c r="M514" t="inlineStr">
        <is>
          <t>16:08:55</t>
        </is>
      </c>
      <c r="P514" t="inlineStr">
        <is>
          <t>D系統(終日)</t>
        </is>
      </c>
    </row>
    <row r="515" ht="15" customHeight="1" s="37">
      <c r="A515" t="n">
        <v>11</v>
      </c>
      <c r="B515" s="10" t="inlineStr">
        <is>
          <t>休日</t>
        </is>
      </c>
      <c r="C515" s="10" t="inlineStr">
        <is>
          <t>本線</t>
        </is>
      </c>
      <c r="D515" s="10" t="inlineStr">
        <is>
          <t>上り</t>
        </is>
      </c>
      <c r="E515" s="10" t="inlineStr">
        <is>
          <t>連1602</t>
        </is>
      </c>
      <c r="F515" t="inlineStr">
        <is>
          <t>2221</t>
        </is>
      </c>
      <c r="G515" s="10" t="inlineStr">
        <is>
          <t>帷子ノ辻</t>
        </is>
      </c>
      <c r="H515" s="10" t="inlineStr">
        <is>
          <t>発</t>
        </is>
      </c>
      <c r="J515" s="10" t="inlineStr">
        <is>
          <t>営業</t>
        </is>
      </c>
      <c r="L515" t="inlineStr">
        <is>
          <t>16:10:10</t>
        </is>
      </c>
      <c r="M515" t="inlineStr">
        <is>
          <t>16:11:15</t>
        </is>
      </c>
      <c r="P515" t="inlineStr">
        <is>
          <t>D系統(終日)</t>
        </is>
      </c>
    </row>
    <row r="516" ht="15" customHeight="1" s="37">
      <c r="A516" t="n">
        <v>11</v>
      </c>
      <c r="B516" s="10" t="inlineStr">
        <is>
          <t>休日</t>
        </is>
      </c>
      <c r="C516" s="10" t="inlineStr">
        <is>
          <t>本線</t>
        </is>
      </c>
      <c r="D516" s="10" t="inlineStr">
        <is>
          <t>上り</t>
        </is>
      </c>
      <c r="E516" s="10" t="inlineStr">
        <is>
          <t>連1602</t>
        </is>
      </c>
      <c r="F516" t="inlineStr">
        <is>
          <t>2221</t>
        </is>
      </c>
      <c r="G516" s="10" t="inlineStr">
        <is>
          <t>太秦広隆寺</t>
        </is>
      </c>
      <c r="H516" s="10" t="inlineStr">
        <is>
          <t>発</t>
        </is>
      </c>
      <c r="J516" s="10" t="inlineStr">
        <is>
          <t>営業</t>
        </is>
      </c>
      <c r="L516" t="inlineStr">
        <is>
          <t>16:13:25</t>
        </is>
      </c>
      <c r="M516" t="inlineStr">
        <is>
          <t>16:13:45</t>
        </is>
      </c>
      <c r="P516" t="inlineStr">
        <is>
          <t>D系統(終日)</t>
        </is>
      </c>
    </row>
    <row r="517" ht="15" customHeight="1" s="37">
      <c r="A517" t="n">
        <v>11</v>
      </c>
      <c r="B517" s="10" t="inlineStr">
        <is>
          <t>休日</t>
        </is>
      </c>
      <c r="C517" s="10" t="inlineStr">
        <is>
          <t>本線</t>
        </is>
      </c>
      <c r="D517" s="10" t="inlineStr">
        <is>
          <t>上り</t>
        </is>
      </c>
      <c r="E517" s="10" t="inlineStr">
        <is>
          <t>連1602</t>
        </is>
      </c>
      <c r="F517" t="inlineStr">
        <is>
          <t>2221</t>
        </is>
      </c>
      <c r="G517" s="10" t="inlineStr">
        <is>
          <t>蚕ノ社</t>
        </is>
      </c>
      <c r="H517" s="10" t="inlineStr">
        <is>
          <t>発</t>
        </is>
      </c>
      <c r="J517" s="10" t="inlineStr">
        <is>
          <t>営業</t>
        </is>
      </c>
      <c r="L517" t="inlineStr">
        <is>
          <t>16:15:00</t>
        </is>
      </c>
      <c r="M517" t="inlineStr">
        <is>
          <t>16:15:20</t>
        </is>
      </c>
      <c r="P517" t="inlineStr">
        <is>
          <t>D系統(終日)</t>
        </is>
      </c>
    </row>
    <row r="518" ht="15" customHeight="1" s="37">
      <c r="A518" t="n">
        <v>11</v>
      </c>
      <c r="B518" s="10" t="inlineStr">
        <is>
          <t>休日</t>
        </is>
      </c>
      <c r="C518" s="10" t="inlineStr">
        <is>
          <t>本線</t>
        </is>
      </c>
      <c r="D518" s="10" t="inlineStr">
        <is>
          <t>上り</t>
        </is>
      </c>
      <c r="E518" s="10" t="inlineStr">
        <is>
          <t>連1602</t>
        </is>
      </c>
      <c r="F518" t="inlineStr">
        <is>
          <t>2221</t>
        </is>
      </c>
      <c r="G518" s="10" t="inlineStr">
        <is>
          <t>天神川</t>
        </is>
      </c>
      <c r="H518" s="10" t="inlineStr">
        <is>
          <t>発</t>
        </is>
      </c>
      <c r="J518" s="10" t="inlineStr">
        <is>
          <t>営業</t>
        </is>
      </c>
      <c r="L518" t="inlineStr">
        <is>
          <t>16:16:05</t>
        </is>
      </c>
      <c r="M518" t="inlineStr">
        <is>
          <t>16:16:50</t>
        </is>
      </c>
      <c r="P518" t="inlineStr">
        <is>
          <t>D系統(終日)</t>
        </is>
      </c>
    </row>
    <row r="519" ht="15" customHeight="1" s="37">
      <c r="A519" t="n">
        <v>11</v>
      </c>
      <c r="B519" s="10" t="inlineStr">
        <is>
          <t>休日</t>
        </is>
      </c>
      <c r="C519" s="10" t="inlineStr">
        <is>
          <t>本線</t>
        </is>
      </c>
      <c r="D519" s="10" t="inlineStr">
        <is>
          <t>上り</t>
        </is>
      </c>
      <c r="E519" s="10" t="inlineStr">
        <is>
          <t>連1602</t>
        </is>
      </c>
      <c r="F519" t="inlineStr">
        <is>
          <t>2221</t>
        </is>
      </c>
      <c r="G519" s="10" t="inlineStr">
        <is>
          <t>山ノ内</t>
        </is>
      </c>
      <c r="H519" s="10" t="inlineStr">
        <is>
          <t>発</t>
        </is>
      </c>
      <c r="J519" s="10" t="inlineStr">
        <is>
          <t>営業</t>
        </is>
      </c>
      <c r="L519" t="inlineStr">
        <is>
          <t>16:18:40</t>
        </is>
      </c>
      <c r="M519" t="inlineStr">
        <is>
          <t>16:19:05</t>
        </is>
      </c>
      <c r="P519" t="inlineStr">
        <is>
          <t>D系統(終日)</t>
        </is>
      </c>
    </row>
    <row r="520" ht="15" customHeight="1" s="37">
      <c r="A520" t="n">
        <v>11</v>
      </c>
      <c r="B520" s="10" t="inlineStr">
        <is>
          <t>休日</t>
        </is>
      </c>
      <c r="C520" s="10" t="inlineStr">
        <is>
          <t>本線</t>
        </is>
      </c>
      <c r="D520" s="10" t="inlineStr">
        <is>
          <t>上り</t>
        </is>
      </c>
      <c r="E520" s="10" t="inlineStr">
        <is>
          <t>連1602</t>
        </is>
      </c>
      <c r="F520" t="inlineStr">
        <is>
          <t>2221</t>
        </is>
      </c>
      <c r="G520" s="10" t="inlineStr">
        <is>
          <t>西大路三条</t>
        </is>
      </c>
      <c r="H520" s="10" t="inlineStr">
        <is>
          <t>発</t>
        </is>
      </c>
      <c r="J520" s="10" t="inlineStr">
        <is>
          <t>営業</t>
        </is>
      </c>
      <c r="L520" t="inlineStr">
        <is>
          <t>16:20:55</t>
        </is>
      </c>
      <c r="M520" t="inlineStr">
        <is>
          <t>16:21:15</t>
        </is>
      </c>
      <c r="P520" t="inlineStr">
        <is>
          <t>D系統(終日)</t>
        </is>
      </c>
    </row>
    <row r="521" ht="15" customHeight="1" s="37">
      <c r="A521" t="n">
        <v>11</v>
      </c>
      <c r="B521" s="10" t="inlineStr">
        <is>
          <t>休日</t>
        </is>
      </c>
      <c r="C521" s="10" t="inlineStr">
        <is>
          <t>本線</t>
        </is>
      </c>
      <c r="D521" s="10" t="inlineStr">
        <is>
          <t>上り</t>
        </is>
      </c>
      <c r="E521" s="10" t="inlineStr">
        <is>
          <t>連1602</t>
        </is>
      </c>
      <c r="F521" t="inlineStr">
        <is>
          <t>2221</t>
        </is>
      </c>
      <c r="G521" s="10" t="inlineStr">
        <is>
          <t>西院</t>
        </is>
      </c>
      <c r="H521" s="10" t="inlineStr">
        <is>
          <t>発</t>
        </is>
      </c>
      <c r="J521" s="10" t="inlineStr">
        <is>
          <t>営業</t>
        </is>
      </c>
      <c r="L521" t="inlineStr">
        <is>
          <t>16:23:10</t>
        </is>
      </c>
      <c r="M521" t="inlineStr">
        <is>
          <t>16:24:05</t>
        </is>
      </c>
      <c r="P521" t="inlineStr">
        <is>
          <t>D系統(終日)</t>
        </is>
      </c>
    </row>
    <row r="522" ht="15" customHeight="1" s="37">
      <c r="A522" t="n">
        <v>11</v>
      </c>
      <c r="B522" s="10" t="inlineStr">
        <is>
          <t>休日</t>
        </is>
      </c>
      <c r="C522" s="10" t="inlineStr">
        <is>
          <t>本線</t>
        </is>
      </c>
      <c r="D522" s="10" t="inlineStr">
        <is>
          <t>上り</t>
        </is>
      </c>
      <c r="E522" s="10" t="inlineStr">
        <is>
          <t>連1602</t>
        </is>
      </c>
      <c r="F522" t="inlineStr">
        <is>
          <t>2221</t>
        </is>
      </c>
      <c r="G522" s="10" t="inlineStr">
        <is>
          <t>四条大宮</t>
        </is>
      </c>
      <c r="H522" s="10" t="inlineStr">
        <is>
          <t>着</t>
        </is>
      </c>
      <c r="J522" s="10" t="inlineStr">
        <is>
          <t>営業</t>
        </is>
      </c>
      <c r="L522" t="inlineStr">
        <is>
          <t>16:27:00</t>
        </is>
      </c>
      <c r="P522" t="inlineStr">
        <is>
          <t>D系統(終日)</t>
        </is>
      </c>
      <c r="Q522" t="inlineStr">
        <is>
          <t>1</t>
        </is>
      </c>
    </row>
    <row r="523" ht="15" customHeight="1" s="37">
      <c r="A523" t="n">
        <v>11</v>
      </c>
      <c r="B523" s="10" t="inlineStr">
        <is>
          <t>休日</t>
        </is>
      </c>
      <c r="C523" s="10" t="inlineStr">
        <is>
          <t>本線</t>
        </is>
      </c>
      <c r="D523" s="10" t="inlineStr">
        <is>
          <t>下り</t>
        </is>
      </c>
      <c r="E523" s="10" t="inlineStr">
        <is>
          <t>連1607</t>
        </is>
      </c>
      <c r="F523" t="inlineStr">
        <is>
          <t>3112</t>
        </is>
      </c>
      <c r="G523" s="10" t="inlineStr">
        <is>
          <t>四条大宮</t>
        </is>
      </c>
      <c r="H523" s="10" t="inlineStr">
        <is>
          <t>発</t>
        </is>
      </c>
      <c r="J523" s="10" t="inlineStr">
        <is>
          <t>営業</t>
        </is>
      </c>
      <c r="M523" t="inlineStr">
        <is>
          <t>16:33:00</t>
        </is>
      </c>
      <c r="P523" t="inlineStr">
        <is>
          <t>D系統(終日)</t>
        </is>
      </c>
      <c r="Q523" t="inlineStr">
        <is>
          <t>1</t>
        </is>
      </c>
    </row>
    <row r="524" ht="15" customHeight="1" s="37">
      <c r="A524" t="n">
        <v>11</v>
      </c>
      <c r="B524" s="10" t="inlineStr">
        <is>
          <t>休日</t>
        </is>
      </c>
      <c r="C524" s="10" t="inlineStr">
        <is>
          <t>本線</t>
        </is>
      </c>
      <c r="D524" s="10" t="inlineStr">
        <is>
          <t>下り</t>
        </is>
      </c>
      <c r="E524" s="10" t="inlineStr">
        <is>
          <t>連1607</t>
        </is>
      </c>
      <c r="F524" t="inlineStr">
        <is>
          <t>3112</t>
        </is>
      </c>
      <c r="G524" s="10" t="inlineStr">
        <is>
          <t>西院</t>
        </is>
      </c>
      <c r="H524" s="10" t="inlineStr">
        <is>
          <t>発</t>
        </is>
      </c>
      <c r="J524" s="10" t="inlineStr">
        <is>
          <t>営業</t>
        </is>
      </c>
      <c r="L524" t="inlineStr">
        <is>
          <t>16:35:50</t>
        </is>
      </c>
      <c r="M524" t="inlineStr">
        <is>
          <t>16:36:20</t>
        </is>
      </c>
      <c r="P524" t="inlineStr">
        <is>
          <t>D系統(終日)</t>
        </is>
      </c>
    </row>
    <row r="525" ht="15" customHeight="1" s="37">
      <c r="A525" t="n">
        <v>11</v>
      </c>
      <c r="B525" s="10" t="inlineStr">
        <is>
          <t>休日</t>
        </is>
      </c>
      <c r="C525" s="10" t="inlineStr">
        <is>
          <t>本線</t>
        </is>
      </c>
      <c r="D525" s="10" t="inlineStr">
        <is>
          <t>下り</t>
        </is>
      </c>
      <c r="E525" s="10" t="inlineStr">
        <is>
          <t>連1607</t>
        </is>
      </c>
      <c r="F525" t="inlineStr">
        <is>
          <t>3112</t>
        </is>
      </c>
      <c r="G525" s="10" t="inlineStr">
        <is>
          <t>西大路三条</t>
        </is>
      </c>
      <c r="H525" s="10" t="inlineStr">
        <is>
          <t>発</t>
        </is>
      </c>
      <c r="J525" s="10" t="inlineStr">
        <is>
          <t>営業</t>
        </is>
      </c>
      <c r="L525" t="inlineStr">
        <is>
          <t>16:38:10</t>
        </is>
      </c>
      <c r="M525" t="inlineStr">
        <is>
          <t>16:38:30</t>
        </is>
      </c>
      <c r="P525" t="inlineStr">
        <is>
          <t>D系統(終日)</t>
        </is>
      </c>
    </row>
    <row r="526" ht="15" customHeight="1" s="37">
      <c r="A526" t="n">
        <v>11</v>
      </c>
      <c r="B526" s="10" t="inlineStr">
        <is>
          <t>休日</t>
        </is>
      </c>
      <c r="C526" s="10" t="inlineStr">
        <is>
          <t>本線</t>
        </is>
      </c>
      <c r="D526" s="10" t="inlineStr">
        <is>
          <t>下り</t>
        </is>
      </c>
      <c r="E526" s="10" t="inlineStr">
        <is>
          <t>連1607</t>
        </is>
      </c>
      <c r="F526" t="inlineStr">
        <is>
          <t>3112</t>
        </is>
      </c>
      <c r="G526" s="10" t="inlineStr">
        <is>
          <t>山ノ内</t>
        </is>
      </c>
      <c r="H526" s="10" t="inlineStr">
        <is>
          <t>発</t>
        </is>
      </c>
      <c r="J526" s="10" t="inlineStr">
        <is>
          <t>営業</t>
        </is>
      </c>
      <c r="L526" t="inlineStr">
        <is>
          <t>16:40:25</t>
        </is>
      </c>
      <c r="M526" t="inlineStr">
        <is>
          <t>16:40:50</t>
        </is>
      </c>
      <c r="P526" t="inlineStr">
        <is>
          <t>D系統(終日)</t>
        </is>
      </c>
    </row>
    <row r="527" ht="15" customHeight="1" s="37">
      <c r="A527" t="n">
        <v>11</v>
      </c>
      <c r="B527" s="10" t="inlineStr">
        <is>
          <t>休日</t>
        </is>
      </c>
      <c r="C527" s="10" t="inlineStr">
        <is>
          <t>本線</t>
        </is>
      </c>
      <c r="D527" s="10" t="inlineStr">
        <is>
          <t>下り</t>
        </is>
      </c>
      <c r="E527" s="10" t="inlineStr">
        <is>
          <t>連1607</t>
        </is>
      </c>
      <c r="F527" t="inlineStr">
        <is>
          <t>3112</t>
        </is>
      </c>
      <c r="G527" s="10" t="inlineStr">
        <is>
          <t>天神川</t>
        </is>
      </c>
      <c r="H527" s="10" t="inlineStr">
        <is>
          <t>発</t>
        </is>
      </c>
      <c r="J527" s="10" t="inlineStr">
        <is>
          <t>営業</t>
        </is>
      </c>
      <c r="L527" t="inlineStr">
        <is>
          <t>16:42:50</t>
        </is>
      </c>
      <c r="M527" t="inlineStr">
        <is>
          <t>16:43:30</t>
        </is>
      </c>
      <c r="P527" t="inlineStr">
        <is>
          <t>D系統(終日)</t>
        </is>
      </c>
    </row>
    <row r="528" ht="15" customHeight="1" s="37">
      <c r="A528" t="n">
        <v>11</v>
      </c>
      <c r="B528" s="10" t="inlineStr">
        <is>
          <t>休日</t>
        </is>
      </c>
      <c r="C528" s="10" t="inlineStr">
        <is>
          <t>本線</t>
        </is>
      </c>
      <c r="D528" s="10" t="inlineStr">
        <is>
          <t>下り</t>
        </is>
      </c>
      <c r="E528" s="10" t="inlineStr">
        <is>
          <t>連1607</t>
        </is>
      </c>
      <c r="F528" t="inlineStr">
        <is>
          <t>3112</t>
        </is>
      </c>
      <c r="G528" s="10" t="inlineStr">
        <is>
          <t>蚕ノ社</t>
        </is>
      </c>
      <c r="H528" s="10" t="inlineStr">
        <is>
          <t>発</t>
        </is>
      </c>
      <c r="J528" s="10" t="inlineStr">
        <is>
          <t>営業</t>
        </is>
      </c>
      <c r="L528" t="inlineStr">
        <is>
          <t>16:44:20</t>
        </is>
      </c>
      <c r="M528" t="inlineStr">
        <is>
          <t>16:44:40</t>
        </is>
      </c>
      <c r="P528" t="inlineStr">
        <is>
          <t>D系統(終日)</t>
        </is>
      </c>
    </row>
    <row r="529" ht="15" customHeight="1" s="37">
      <c r="A529" t="n">
        <v>11</v>
      </c>
      <c r="B529" s="10" t="inlineStr">
        <is>
          <t>休日</t>
        </is>
      </c>
      <c r="C529" s="10" t="inlineStr">
        <is>
          <t>本線</t>
        </is>
      </c>
      <c r="D529" s="10" t="inlineStr">
        <is>
          <t>下り</t>
        </is>
      </c>
      <c r="E529" s="10" t="inlineStr">
        <is>
          <t>連1607</t>
        </is>
      </c>
      <c r="F529" t="inlineStr">
        <is>
          <t>3112</t>
        </is>
      </c>
      <c r="G529" s="10" t="inlineStr">
        <is>
          <t>太秦広隆寺</t>
        </is>
      </c>
      <c r="H529" s="10" t="inlineStr">
        <is>
          <t>発</t>
        </is>
      </c>
      <c r="J529" s="10" t="inlineStr">
        <is>
          <t>営業</t>
        </is>
      </c>
      <c r="L529" t="inlineStr">
        <is>
          <t>16:46:00</t>
        </is>
      </c>
      <c r="M529" t="inlineStr">
        <is>
          <t>16:46:20</t>
        </is>
      </c>
      <c r="P529" t="inlineStr">
        <is>
          <t>D系統(終日)</t>
        </is>
      </c>
    </row>
    <row r="530" ht="15" customHeight="1" s="37">
      <c r="A530" t="n">
        <v>11</v>
      </c>
      <c r="B530" s="10" t="inlineStr">
        <is>
          <t>休日</t>
        </is>
      </c>
      <c r="C530" s="10" t="inlineStr">
        <is>
          <t>本線</t>
        </is>
      </c>
      <c r="D530" s="10" t="inlineStr">
        <is>
          <t>下り</t>
        </is>
      </c>
      <c r="E530" s="10" t="inlineStr">
        <is>
          <t>連1607</t>
        </is>
      </c>
      <c r="F530" t="inlineStr">
        <is>
          <t>3112</t>
        </is>
      </c>
      <c r="G530" s="10" t="inlineStr">
        <is>
          <t>帷子ノ辻</t>
        </is>
      </c>
      <c r="H530" s="10" t="inlineStr">
        <is>
          <t>発</t>
        </is>
      </c>
      <c r="J530" s="10" t="inlineStr">
        <is>
          <t>営業</t>
        </is>
      </c>
      <c r="L530" t="inlineStr">
        <is>
          <t>16:48:20</t>
        </is>
      </c>
      <c r="M530" t="inlineStr">
        <is>
          <t>16:49:40</t>
        </is>
      </c>
      <c r="P530" t="inlineStr">
        <is>
          <t>D系統(終日)</t>
        </is>
      </c>
    </row>
    <row r="531" ht="15" customHeight="1" s="37">
      <c r="A531" t="n">
        <v>11</v>
      </c>
      <c r="B531" s="10" t="inlineStr">
        <is>
          <t>休日</t>
        </is>
      </c>
      <c r="C531" s="10" t="inlineStr">
        <is>
          <t>本線</t>
        </is>
      </c>
      <c r="D531" s="10" t="inlineStr">
        <is>
          <t>下り</t>
        </is>
      </c>
      <c r="E531" s="10" t="inlineStr">
        <is>
          <t>連1607</t>
        </is>
      </c>
      <c r="F531" t="inlineStr">
        <is>
          <t>3112</t>
        </is>
      </c>
      <c r="G531" s="10" t="inlineStr">
        <is>
          <t>有栖川</t>
        </is>
      </c>
      <c r="H531" s="10" t="inlineStr">
        <is>
          <t>発</t>
        </is>
      </c>
      <c r="J531" s="10" t="inlineStr">
        <is>
          <t>営業</t>
        </is>
      </c>
      <c r="L531" t="inlineStr">
        <is>
          <t>16:50:50</t>
        </is>
      </c>
      <c r="M531" t="inlineStr">
        <is>
          <t>16:51:15</t>
        </is>
      </c>
      <c r="P531" t="inlineStr">
        <is>
          <t>D系統(終日)</t>
        </is>
      </c>
    </row>
    <row r="532" ht="15" customHeight="1" s="37">
      <c r="A532" t="n">
        <v>11</v>
      </c>
      <c r="B532" s="10" t="inlineStr">
        <is>
          <t>休日</t>
        </is>
      </c>
      <c r="C532" s="10" t="inlineStr">
        <is>
          <t>本線</t>
        </is>
      </c>
      <c r="D532" s="10" t="inlineStr">
        <is>
          <t>下り</t>
        </is>
      </c>
      <c r="E532" s="10" t="inlineStr">
        <is>
          <t>連1607</t>
        </is>
      </c>
      <c r="F532" t="inlineStr">
        <is>
          <t>3112</t>
        </is>
      </c>
      <c r="G532" s="10" t="inlineStr">
        <is>
          <t>車折</t>
        </is>
      </c>
      <c r="H532" s="10" t="inlineStr">
        <is>
          <t>発</t>
        </is>
      </c>
      <c r="J532" s="10" t="inlineStr">
        <is>
          <t>営業</t>
        </is>
      </c>
      <c r="L532" t="inlineStr">
        <is>
          <t>16:52:40</t>
        </is>
      </c>
      <c r="M532" t="inlineStr">
        <is>
          <t>16:53:05</t>
        </is>
      </c>
      <c r="P532" t="inlineStr">
        <is>
          <t>D系統(終日)</t>
        </is>
      </c>
    </row>
    <row r="533" ht="15" customHeight="1" s="37">
      <c r="A533" t="n">
        <v>11</v>
      </c>
      <c r="B533" s="10" t="inlineStr">
        <is>
          <t>休日</t>
        </is>
      </c>
      <c r="C533" s="10" t="inlineStr">
        <is>
          <t>本線</t>
        </is>
      </c>
      <c r="D533" s="10" t="inlineStr">
        <is>
          <t>下り</t>
        </is>
      </c>
      <c r="E533" s="10" t="inlineStr">
        <is>
          <t>連1607</t>
        </is>
      </c>
      <c r="F533" t="inlineStr">
        <is>
          <t>3112</t>
        </is>
      </c>
      <c r="G533" s="10" t="inlineStr">
        <is>
          <t>鹿王院</t>
        </is>
      </c>
      <c r="H533" s="10" t="inlineStr">
        <is>
          <t>発</t>
        </is>
      </c>
      <c r="J533" s="10" t="inlineStr">
        <is>
          <t>営業</t>
        </is>
      </c>
      <c r="L533" t="inlineStr">
        <is>
          <t>16:54:00</t>
        </is>
      </c>
      <c r="M533" t="inlineStr">
        <is>
          <t>16:54:25</t>
        </is>
      </c>
      <c r="P533" t="inlineStr">
        <is>
          <t>D系統(終日)</t>
        </is>
      </c>
    </row>
    <row r="534" ht="15" customHeight="1" s="37">
      <c r="A534" t="n">
        <v>11</v>
      </c>
      <c r="B534" s="10" t="inlineStr">
        <is>
          <t>休日</t>
        </is>
      </c>
      <c r="C534" s="10" t="inlineStr">
        <is>
          <t>本線</t>
        </is>
      </c>
      <c r="D534" s="10" t="inlineStr">
        <is>
          <t>下り</t>
        </is>
      </c>
      <c r="E534" s="10" t="inlineStr">
        <is>
          <t>連1607</t>
        </is>
      </c>
      <c r="F534" t="inlineStr">
        <is>
          <t>3112</t>
        </is>
      </c>
      <c r="G534" s="10" t="inlineStr">
        <is>
          <t>嵯峨</t>
        </is>
      </c>
      <c r="H534" s="10" t="inlineStr">
        <is>
          <t>発</t>
        </is>
      </c>
      <c r="J534" s="10" t="inlineStr">
        <is>
          <t>営業</t>
        </is>
      </c>
      <c r="L534" t="inlineStr">
        <is>
          <t>16:55:30</t>
        </is>
      </c>
      <c r="M534" t="inlineStr">
        <is>
          <t>16:55:55</t>
        </is>
      </c>
      <c r="P534" t="inlineStr">
        <is>
          <t>D系統(終日)</t>
        </is>
      </c>
    </row>
    <row r="535" ht="15" customHeight="1" s="37">
      <c r="A535" t="n">
        <v>11</v>
      </c>
      <c r="B535" s="10" t="inlineStr">
        <is>
          <t>休日</t>
        </is>
      </c>
      <c r="C535" s="10" t="inlineStr">
        <is>
          <t>本線</t>
        </is>
      </c>
      <c r="D535" s="10" t="inlineStr">
        <is>
          <t>下り</t>
        </is>
      </c>
      <c r="E535" s="10" t="inlineStr">
        <is>
          <t>連1607</t>
        </is>
      </c>
      <c r="F535" t="inlineStr">
        <is>
          <t>3112</t>
        </is>
      </c>
      <c r="G535" s="10" t="inlineStr">
        <is>
          <t>嵐山</t>
        </is>
      </c>
      <c r="H535" s="10" t="inlineStr">
        <is>
          <t>着</t>
        </is>
      </c>
      <c r="J535" s="10" t="inlineStr">
        <is>
          <t>営業</t>
        </is>
      </c>
      <c r="L535" t="inlineStr">
        <is>
          <t>16:57:00</t>
        </is>
      </c>
      <c r="P535" t="inlineStr">
        <is>
          <t>D系統(終日)</t>
        </is>
      </c>
      <c r="Q535" t="inlineStr">
        <is>
          <t>1</t>
        </is>
      </c>
    </row>
    <row r="536" ht="15" customHeight="1" s="37">
      <c r="A536" t="n">
        <v>11</v>
      </c>
      <c r="B536" s="10" t="inlineStr">
        <is>
          <t>休日</t>
        </is>
      </c>
      <c r="C536" s="10" t="inlineStr">
        <is>
          <t>本線</t>
        </is>
      </c>
      <c r="D536" s="10" t="inlineStr">
        <is>
          <t>上り</t>
        </is>
      </c>
      <c r="E536" s="10" t="inlineStr">
        <is>
          <t>連1702</t>
        </is>
      </c>
      <c r="F536" t="inlineStr">
        <is>
          <t>2221</t>
        </is>
      </c>
      <c r="G536" s="10" t="inlineStr">
        <is>
          <t>嵐山</t>
        </is>
      </c>
      <c r="H536" s="10" t="inlineStr">
        <is>
          <t>発</t>
        </is>
      </c>
      <c r="J536" s="10" t="inlineStr">
        <is>
          <t>営業</t>
        </is>
      </c>
      <c r="M536" t="inlineStr">
        <is>
          <t>17:03:00</t>
        </is>
      </c>
      <c r="P536" t="inlineStr">
        <is>
          <t>D系統(終日)</t>
        </is>
      </c>
      <c r="Q536" t="inlineStr">
        <is>
          <t>1</t>
        </is>
      </c>
      <c r="U536" t="inlineStr">
        <is>
          <t>→西院 休憩(17:35〜18:56)</t>
        </is>
      </c>
    </row>
    <row r="537" ht="15" customHeight="1" s="37">
      <c r="A537" t="n">
        <v>11</v>
      </c>
      <c r="B537" s="10" t="inlineStr">
        <is>
          <t>休日</t>
        </is>
      </c>
      <c r="C537" s="10" t="inlineStr">
        <is>
          <t>本線</t>
        </is>
      </c>
      <c r="D537" s="10" t="inlineStr">
        <is>
          <t>上り</t>
        </is>
      </c>
      <c r="E537" s="10" t="inlineStr">
        <is>
          <t>連1702</t>
        </is>
      </c>
      <c r="F537" t="inlineStr">
        <is>
          <t>2221</t>
        </is>
      </c>
      <c r="G537" s="10" t="inlineStr">
        <is>
          <t>嵯峨</t>
        </is>
      </c>
      <c r="H537" s="10" t="inlineStr">
        <is>
          <t>発</t>
        </is>
      </c>
      <c r="J537" s="10" t="inlineStr">
        <is>
          <t>営業</t>
        </is>
      </c>
      <c r="L537" t="inlineStr">
        <is>
          <t>17:03:55</t>
        </is>
      </c>
      <c r="M537" t="inlineStr">
        <is>
          <t>17:04:20</t>
        </is>
      </c>
      <c r="P537" t="inlineStr">
        <is>
          <t>D系統(終日)</t>
        </is>
      </c>
      <c r="U537" t="inlineStr">
        <is>
          <t>→西院 休憩(17:35〜18:56)</t>
        </is>
      </c>
    </row>
    <row r="538" ht="15" customHeight="1" s="37">
      <c r="A538" t="n">
        <v>11</v>
      </c>
      <c r="B538" s="10" t="inlineStr">
        <is>
          <t>休日</t>
        </is>
      </c>
      <c r="C538" s="10" t="inlineStr">
        <is>
          <t>本線</t>
        </is>
      </c>
      <c r="D538" s="10" t="inlineStr">
        <is>
          <t>上り</t>
        </is>
      </c>
      <c r="E538" s="10" t="inlineStr">
        <is>
          <t>連1702</t>
        </is>
      </c>
      <c r="F538" t="inlineStr">
        <is>
          <t>2221</t>
        </is>
      </c>
      <c r="G538" s="10" t="inlineStr">
        <is>
          <t>鹿王院</t>
        </is>
      </c>
      <c r="H538" s="10" t="inlineStr">
        <is>
          <t>発</t>
        </is>
      </c>
      <c r="J538" s="10" t="inlineStr">
        <is>
          <t>営業</t>
        </is>
      </c>
      <c r="L538" t="inlineStr">
        <is>
          <t>17:05:25</t>
        </is>
      </c>
      <c r="M538" t="inlineStr">
        <is>
          <t>17:05:45</t>
        </is>
      </c>
      <c r="P538" t="inlineStr">
        <is>
          <t>D系統(終日)</t>
        </is>
      </c>
      <c r="U538" t="inlineStr">
        <is>
          <t>→西院 休憩(17:35〜18:56)</t>
        </is>
      </c>
    </row>
    <row r="539" ht="15" customHeight="1" s="37">
      <c r="A539" t="n">
        <v>11</v>
      </c>
      <c r="B539" s="10" t="inlineStr">
        <is>
          <t>休日</t>
        </is>
      </c>
      <c r="C539" s="10" t="inlineStr">
        <is>
          <t>本線</t>
        </is>
      </c>
      <c r="D539" s="10" t="inlineStr">
        <is>
          <t>上り</t>
        </is>
      </c>
      <c r="E539" s="10" t="inlineStr">
        <is>
          <t>連1702</t>
        </is>
      </c>
      <c r="F539" t="inlineStr">
        <is>
          <t>2221</t>
        </is>
      </c>
      <c r="G539" s="10" t="inlineStr">
        <is>
          <t>車折</t>
        </is>
      </c>
      <c r="H539" s="10" t="inlineStr">
        <is>
          <t>発</t>
        </is>
      </c>
      <c r="J539" s="10" t="inlineStr">
        <is>
          <t>営業</t>
        </is>
      </c>
      <c r="L539" t="inlineStr">
        <is>
          <t>17:06:40</t>
        </is>
      </c>
      <c r="M539" t="inlineStr">
        <is>
          <t>17:07:10</t>
        </is>
      </c>
      <c r="P539" t="inlineStr">
        <is>
          <t>D系統(終日)</t>
        </is>
      </c>
      <c r="U539" t="inlineStr">
        <is>
          <t>→西院 休憩(17:35〜18:56)</t>
        </is>
      </c>
    </row>
    <row r="540" ht="15" customHeight="1" s="37">
      <c r="A540" t="n">
        <v>11</v>
      </c>
      <c r="B540" s="10" t="inlineStr">
        <is>
          <t>休日</t>
        </is>
      </c>
      <c r="C540" s="10" t="inlineStr">
        <is>
          <t>本線</t>
        </is>
      </c>
      <c r="D540" s="10" t="inlineStr">
        <is>
          <t>上り</t>
        </is>
      </c>
      <c r="E540" s="10" t="inlineStr">
        <is>
          <t>連1702</t>
        </is>
      </c>
      <c r="F540" t="inlineStr">
        <is>
          <t>2221</t>
        </is>
      </c>
      <c r="G540" s="10" t="inlineStr">
        <is>
          <t>有栖川</t>
        </is>
      </c>
      <c r="H540" s="10" t="inlineStr">
        <is>
          <t>発</t>
        </is>
      </c>
      <c r="J540" s="10" t="inlineStr">
        <is>
          <t>営業</t>
        </is>
      </c>
      <c r="L540" t="inlineStr">
        <is>
          <t>17:08:35</t>
        </is>
      </c>
      <c r="M540" t="inlineStr">
        <is>
          <t>17:08:55</t>
        </is>
      </c>
      <c r="P540" t="inlineStr">
        <is>
          <t>D系統(終日)</t>
        </is>
      </c>
      <c r="U540" t="inlineStr">
        <is>
          <t>→西院 休憩(17:35〜18:56)</t>
        </is>
      </c>
    </row>
    <row r="541" ht="15" customHeight="1" s="37">
      <c r="A541" t="n">
        <v>11</v>
      </c>
      <c r="B541" s="10" t="inlineStr">
        <is>
          <t>休日</t>
        </is>
      </c>
      <c r="C541" s="10" t="inlineStr">
        <is>
          <t>本線</t>
        </is>
      </c>
      <c r="D541" s="10" t="inlineStr">
        <is>
          <t>上り</t>
        </is>
      </c>
      <c r="E541" s="10" t="inlineStr">
        <is>
          <t>連1702</t>
        </is>
      </c>
      <c r="F541" t="inlineStr">
        <is>
          <t>2221</t>
        </is>
      </c>
      <c r="G541" s="10" t="inlineStr">
        <is>
          <t>帷子ノ辻</t>
        </is>
      </c>
      <c r="H541" s="10" t="inlineStr">
        <is>
          <t>発</t>
        </is>
      </c>
      <c r="J541" s="10" t="inlineStr">
        <is>
          <t>営業</t>
        </is>
      </c>
      <c r="L541" t="inlineStr">
        <is>
          <t>17:10:10</t>
        </is>
      </c>
      <c r="M541" t="inlineStr">
        <is>
          <t>17:11:15</t>
        </is>
      </c>
      <c r="P541" t="inlineStr">
        <is>
          <t>D系統(終日)</t>
        </is>
      </c>
      <c r="U541" t="inlineStr">
        <is>
          <t>→西院 休憩(17:35〜18:56)</t>
        </is>
      </c>
    </row>
    <row r="542" ht="15" customHeight="1" s="37">
      <c r="A542" t="n">
        <v>11</v>
      </c>
      <c r="B542" s="10" t="inlineStr">
        <is>
          <t>休日</t>
        </is>
      </c>
      <c r="C542" s="10" t="inlineStr">
        <is>
          <t>本線</t>
        </is>
      </c>
      <c r="D542" s="10" t="inlineStr">
        <is>
          <t>上り</t>
        </is>
      </c>
      <c r="E542" s="10" t="inlineStr">
        <is>
          <t>連1702</t>
        </is>
      </c>
      <c r="F542" t="inlineStr">
        <is>
          <t>2221</t>
        </is>
      </c>
      <c r="G542" s="10" t="inlineStr">
        <is>
          <t>太秦広隆寺</t>
        </is>
      </c>
      <c r="H542" s="10" t="inlineStr">
        <is>
          <t>発</t>
        </is>
      </c>
      <c r="J542" s="10" t="inlineStr">
        <is>
          <t>営業</t>
        </is>
      </c>
      <c r="L542" t="inlineStr">
        <is>
          <t>17:13:25</t>
        </is>
      </c>
      <c r="M542" t="inlineStr">
        <is>
          <t>17:13:45</t>
        </is>
      </c>
      <c r="P542" t="inlineStr">
        <is>
          <t>D系統(終日)</t>
        </is>
      </c>
      <c r="U542" t="inlineStr">
        <is>
          <t>→西院 休憩(17:35〜18:56)</t>
        </is>
      </c>
    </row>
    <row r="543" ht="15" customHeight="1" s="37">
      <c r="A543" t="n">
        <v>11</v>
      </c>
      <c r="B543" s="10" t="inlineStr">
        <is>
          <t>休日</t>
        </is>
      </c>
      <c r="C543" s="10" t="inlineStr">
        <is>
          <t>本線</t>
        </is>
      </c>
      <c r="D543" s="10" t="inlineStr">
        <is>
          <t>上り</t>
        </is>
      </c>
      <c r="E543" s="10" t="inlineStr">
        <is>
          <t>連1702</t>
        </is>
      </c>
      <c r="F543" t="inlineStr">
        <is>
          <t>2221</t>
        </is>
      </c>
      <c r="G543" s="10" t="inlineStr">
        <is>
          <t>蚕ノ社</t>
        </is>
      </c>
      <c r="H543" s="10" t="inlineStr">
        <is>
          <t>発</t>
        </is>
      </c>
      <c r="J543" s="10" t="inlineStr">
        <is>
          <t>営業</t>
        </is>
      </c>
      <c r="L543" t="inlineStr">
        <is>
          <t>17:15:00</t>
        </is>
      </c>
      <c r="M543" t="inlineStr">
        <is>
          <t>17:15:20</t>
        </is>
      </c>
      <c r="P543" t="inlineStr">
        <is>
          <t>D系統(終日)</t>
        </is>
      </c>
      <c r="U543" t="inlineStr">
        <is>
          <t>→西院 休憩(17:35〜18:56)</t>
        </is>
      </c>
    </row>
    <row r="544" ht="15" customHeight="1" s="37">
      <c r="A544" t="n">
        <v>11</v>
      </c>
      <c r="B544" s="10" t="inlineStr">
        <is>
          <t>休日</t>
        </is>
      </c>
      <c r="C544" s="10" t="inlineStr">
        <is>
          <t>本線</t>
        </is>
      </c>
      <c r="D544" s="10" t="inlineStr">
        <is>
          <t>上り</t>
        </is>
      </c>
      <c r="E544" s="10" t="inlineStr">
        <is>
          <t>連1702</t>
        </is>
      </c>
      <c r="F544" t="inlineStr">
        <is>
          <t>2221</t>
        </is>
      </c>
      <c r="G544" s="10" t="inlineStr">
        <is>
          <t>天神川</t>
        </is>
      </c>
      <c r="H544" s="10" t="inlineStr">
        <is>
          <t>発</t>
        </is>
      </c>
      <c r="J544" s="10" t="inlineStr">
        <is>
          <t>営業</t>
        </is>
      </c>
      <c r="L544" t="inlineStr">
        <is>
          <t>17:16:05</t>
        </is>
      </c>
      <c r="M544" t="inlineStr">
        <is>
          <t>17:16:50</t>
        </is>
      </c>
      <c r="P544" t="inlineStr">
        <is>
          <t>D系統(終日)</t>
        </is>
      </c>
      <c r="U544" t="inlineStr">
        <is>
          <t>→西院 休憩(17:35〜18:56)</t>
        </is>
      </c>
    </row>
    <row r="545" ht="15" customHeight="1" s="37">
      <c r="A545" t="n">
        <v>11</v>
      </c>
      <c r="B545" s="10" t="inlineStr">
        <is>
          <t>休日</t>
        </is>
      </c>
      <c r="C545" s="10" t="inlineStr">
        <is>
          <t>本線</t>
        </is>
      </c>
      <c r="D545" s="10" t="inlineStr">
        <is>
          <t>上り</t>
        </is>
      </c>
      <c r="E545" s="10" t="inlineStr">
        <is>
          <t>連1702</t>
        </is>
      </c>
      <c r="F545" t="inlineStr">
        <is>
          <t>2221</t>
        </is>
      </c>
      <c r="G545" s="10" t="inlineStr">
        <is>
          <t>山ノ内</t>
        </is>
      </c>
      <c r="H545" s="10" t="inlineStr">
        <is>
          <t>発</t>
        </is>
      </c>
      <c r="J545" s="10" t="inlineStr">
        <is>
          <t>営業</t>
        </is>
      </c>
      <c r="L545" t="inlineStr">
        <is>
          <t>17:18:40</t>
        </is>
      </c>
      <c r="M545" t="inlineStr">
        <is>
          <t>17:19:05</t>
        </is>
      </c>
      <c r="P545" t="inlineStr">
        <is>
          <t>D系統(終日)</t>
        </is>
      </c>
      <c r="U545" t="inlineStr">
        <is>
          <t>→西院 休憩(17:35〜18:56)</t>
        </is>
      </c>
    </row>
    <row r="546" ht="15" customHeight="1" s="37">
      <c r="A546" t="n">
        <v>11</v>
      </c>
      <c r="B546" s="10" t="inlineStr">
        <is>
          <t>休日</t>
        </is>
      </c>
      <c r="C546" s="10" t="inlineStr">
        <is>
          <t>本線</t>
        </is>
      </c>
      <c r="D546" s="10" t="inlineStr">
        <is>
          <t>上り</t>
        </is>
      </c>
      <c r="E546" s="10" t="inlineStr">
        <is>
          <t>連1702</t>
        </is>
      </c>
      <c r="F546" t="inlineStr">
        <is>
          <t>2221</t>
        </is>
      </c>
      <c r="G546" s="10" t="inlineStr">
        <is>
          <t>西大路三条</t>
        </is>
      </c>
      <c r="H546" s="10" t="inlineStr">
        <is>
          <t>発</t>
        </is>
      </c>
      <c r="J546" s="10" t="inlineStr">
        <is>
          <t>営業</t>
        </is>
      </c>
      <c r="L546" t="inlineStr">
        <is>
          <t>17:20:55</t>
        </is>
      </c>
      <c r="M546" t="inlineStr">
        <is>
          <t>17:21:15</t>
        </is>
      </c>
      <c r="P546" t="inlineStr">
        <is>
          <t>D系統(終日)</t>
        </is>
      </c>
      <c r="U546" t="inlineStr">
        <is>
          <t>→西院 休憩(17:35〜18:56)</t>
        </is>
      </c>
    </row>
    <row r="547" ht="15" customHeight="1" s="37">
      <c r="A547" t="n">
        <v>11</v>
      </c>
      <c r="B547" s="10" t="inlineStr">
        <is>
          <t>休日</t>
        </is>
      </c>
      <c r="C547" s="10" t="inlineStr">
        <is>
          <t>本線</t>
        </is>
      </c>
      <c r="D547" s="10" t="inlineStr">
        <is>
          <t>上り</t>
        </is>
      </c>
      <c r="E547" s="10" t="inlineStr">
        <is>
          <t>連1702</t>
        </is>
      </c>
      <c r="F547" t="inlineStr">
        <is>
          <t>2221</t>
        </is>
      </c>
      <c r="G547" s="10" t="inlineStr">
        <is>
          <t>西院</t>
        </is>
      </c>
      <c r="H547" s="10" t="inlineStr">
        <is>
          <t>発</t>
        </is>
      </c>
      <c r="J547" s="10" t="inlineStr">
        <is>
          <t>営業</t>
        </is>
      </c>
      <c r="L547" t="inlineStr">
        <is>
          <t>17:23:10</t>
        </is>
      </c>
      <c r="M547" t="inlineStr">
        <is>
          <t>17:24:05</t>
        </is>
      </c>
      <c r="P547" t="inlineStr">
        <is>
          <t>D系統(終日)</t>
        </is>
      </c>
      <c r="U547" t="inlineStr">
        <is>
          <t>→西院 休憩(17:35〜18:56)</t>
        </is>
      </c>
    </row>
    <row r="548" ht="15" customHeight="1" s="37">
      <c r="A548" t="n">
        <v>11</v>
      </c>
      <c r="B548" s="10" t="inlineStr">
        <is>
          <t>休日</t>
        </is>
      </c>
      <c r="C548" s="10" t="inlineStr">
        <is>
          <t>本線</t>
        </is>
      </c>
      <c r="D548" s="10" t="inlineStr">
        <is>
          <t>上り</t>
        </is>
      </c>
      <c r="E548" s="10" t="inlineStr">
        <is>
          <t>連1702</t>
        </is>
      </c>
      <c r="F548" t="inlineStr">
        <is>
          <t>2221</t>
        </is>
      </c>
      <c r="G548" s="10" t="inlineStr">
        <is>
          <t>四条大宮</t>
        </is>
      </c>
      <c r="H548" s="10" t="inlineStr">
        <is>
          <t>着</t>
        </is>
      </c>
      <c r="J548" s="10" t="inlineStr">
        <is>
          <t>営業</t>
        </is>
      </c>
      <c r="L548" t="inlineStr">
        <is>
          <t>17:27:00</t>
        </is>
      </c>
      <c r="P548" t="inlineStr">
        <is>
          <t>D系統(終日)</t>
        </is>
      </c>
      <c r="Q548" t="inlineStr">
        <is>
          <t>1</t>
        </is>
      </c>
      <c r="U548" t="inlineStr">
        <is>
          <t>→西院 休憩(17:35〜18:56)</t>
        </is>
      </c>
    </row>
    <row r="549" ht="15" customHeight="1" s="37">
      <c r="A549" t="n">
        <v>11</v>
      </c>
      <c r="B549" s="10" t="inlineStr">
        <is>
          <t>休日</t>
        </is>
      </c>
      <c r="C549" s="10" t="inlineStr">
        <is>
          <t>本線</t>
        </is>
      </c>
      <c r="D549" s="10" t="inlineStr">
        <is>
          <t>下り</t>
        </is>
      </c>
      <c r="E549" s="10" t="inlineStr">
        <is>
          <t>連1707</t>
        </is>
      </c>
      <c r="F549" t="inlineStr">
        <is>
          <t>0122</t>
        </is>
      </c>
      <c r="G549" s="10" t="inlineStr">
        <is>
          <t>四条大宮</t>
        </is>
      </c>
      <c r="H549" s="10" t="inlineStr">
        <is>
          <t>発</t>
        </is>
      </c>
      <c r="J549" s="10" t="inlineStr">
        <is>
          <t>営業</t>
        </is>
      </c>
      <c r="M549" t="inlineStr">
        <is>
          <t>17:33:00</t>
        </is>
      </c>
      <c r="P549" t="inlineStr">
        <is>
          <t>D系統(終日)</t>
        </is>
      </c>
      <c r="Q549" t="inlineStr">
        <is>
          <t>1</t>
        </is>
      </c>
      <c r="U549" t="inlineStr">
        <is>
          <t>→西院 休憩(17:35〜18:56)</t>
        </is>
      </c>
    </row>
    <row r="550" ht="15" customHeight="1" s="37">
      <c r="A550" t="n">
        <v>11</v>
      </c>
      <c r="B550" s="10" t="inlineStr">
        <is>
          <t>休日</t>
        </is>
      </c>
      <c r="C550" s="10" t="inlineStr">
        <is>
          <t>本線</t>
        </is>
      </c>
      <c r="D550" s="10" t="inlineStr">
        <is>
          <t>下り</t>
        </is>
      </c>
      <c r="E550" s="10" t="inlineStr">
        <is>
          <t>連1707</t>
        </is>
      </c>
      <c r="F550" t="inlineStr">
        <is>
          <t>0122</t>
        </is>
      </c>
      <c r="G550" s="10" t="inlineStr">
        <is>
          <t>西院</t>
        </is>
      </c>
      <c r="H550" s="10" t="inlineStr">
        <is>
          <t>着</t>
        </is>
      </c>
      <c r="J550" s="10" t="inlineStr">
        <is>
          <t>営業</t>
        </is>
      </c>
      <c r="L550" t="inlineStr">
        <is>
          <t>17:35:50</t>
        </is>
      </c>
      <c r="M550" t="inlineStr">
        <is>
          <t>17:36:20</t>
        </is>
      </c>
      <c r="P550" t="inlineStr">
        <is>
          <t>D系統(終日)</t>
        </is>
      </c>
      <c r="U550" t="inlineStr">
        <is>
          <t>→西院 休憩(17:35〜18:56)</t>
        </is>
      </c>
    </row>
    <row r="551" ht="15" customHeight="1" s="37">
      <c r="A551" t="n">
        <v>12</v>
      </c>
      <c r="B551" s="10" t="inlineStr">
        <is>
          <t>休日</t>
        </is>
      </c>
      <c r="C551" s="10" t="inlineStr">
        <is>
          <t>本線</t>
        </is>
      </c>
      <c r="D551" s="10" t="inlineStr">
        <is>
          <t>下り</t>
        </is>
      </c>
      <c r="E551" t="inlineStr">
        <is>
          <t>1711</t>
        </is>
      </c>
      <c r="F551" t="inlineStr">
        <is>
          <t>0122</t>
        </is>
      </c>
      <c r="G551" s="10" t="inlineStr">
        <is>
          <t>西院</t>
        </is>
      </c>
      <c r="H551" s="10" t="inlineStr">
        <is>
          <t>発</t>
        </is>
      </c>
      <c r="J551" s="10" t="inlineStr">
        <is>
          <t>営業</t>
        </is>
      </c>
      <c r="L551" t="inlineStr">
        <is>
          <t>17:55:50</t>
        </is>
      </c>
      <c r="M551" t="inlineStr">
        <is>
          <t>17:56:20</t>
        </is>
      </c>
    </row>
    <row r="552" ht="15" customHeight="1" s="37">
      <c r="A552" t="n">
        <v>12</v>
      </c>
      <c r="B552" s="10" t="inlineStr">
        <is>
          <t>休日</t>
        </is>
      </c>
      <c r="C552" s="10" t="inlineStr">
        <is>
          <t>本線</t>
        </is>
      </c>
      <c r="D552" s="10" t="inlineStr">
        <is>
          <t>下り</t>
        </is>
      </c>
      <c r="E552" t="inlineStr">
        <is>
          <t>1711</t>
        </is>
      </c>
      <c r="F552" t="inlineStr">
        <is>
          <t>0122</t>
        </is>
      </c>
      <c r="G552" s="10" t="inlineStr">
        <is>
          <t>西大路三条</t>
        </is>
      </c>
      <c r="H552" s="10" t="inlineStr">
        <is>
          <t>発</t>
        </is>
      </c>
      <c r="J552" s="10" t="inlineStr">
        <is>
          <t>営業</t>
        </is>
      </c>
      <c r="L552" t="inlineStr">
        <is>
          <t>17:58:10</t>
        </is>
      </c>
      <c r="M552" t="inlineStr">
        <is>
          <t>17:58:30</t>
        </is>
      </c>
    </row>
    <row r="553" ht="15" customHeight="1" s="37">
      <c r="A553" t="n">
        <v>12</v>
      </c>
      <c r="B553" s="10" t="inlineStr">
        <is>
          <t>休日</t>
        </is>
      </c>
      <c r="C553" s="10" t="inlineStr">
        <is>
          <t>本線</t>
        </is>
      </c>
      <c r="D553" s="10" t="inlineStr">
        <is>
          <t>下り</t>
        </is>
      </c>
      <c r="E553" t="inlineStr">
        <is>
          <t>1711</t>
        </is>
      </c>
      <c r="F553" t="inlineStr">
        <is>
          <t>0122</t>
        </is>
      </c>
      <c r="G553" s="10" t="inlineStr">
        <is>
          <t>山ノ内</t>
        </is>
      </c>
      <c r="H553" s="10" t="inlineStr">
        <is>
          <t>発</t>
        </is>
      </c>
      <c r="J553" s="10" t="inlineStr">
        <is>
          <t>営業</t>
        </is>
      </c>
      <c r="L553" t="inlineStr">
        <is>
          <t>18:00:25</t>
        </is>
      </c>
      <c r="M553" t="inlineStr">
        <is>
          <t>18:00:50</t>
        </is>
      </c>
    </row>
    <row r="554" ht="15" customHeight="1" s="37">
      <c r="A554" t="n">
        <v>12</v>
      </c>
      <c r="B554" s="10" t="inlineStr">
        <is>
          <t>休日</t>
        </is>
      </c>
      <c r="C554" s="10" t="inlineStr">
        <is>
          <t>本線</t>
        </is>
      </c>
      <c r="D554" s="10" t="inlineStr">
        <is>
          <t>下り</t>
        </is>
      </c>
      <c r="E554" t="inlineStr">
        <is>
          <t>1711</t>
        </is>
      </c>
      <c r="F554" t="inlineStr">
        <is>
          <t>0122</t>
        </is>
      </c>
      <c r="G554" s="10" t="inlineStr">
        <is>
          <t>天神川</t>
        </is>
      </c>
      <c r="H554" s="10" t="inlineStr">
        <is>
          <t>発</t>
        </is>
      </c>
      <c r="J554" s="10" t="inlineStr">
        <is>
          <t>営業</t>
        </is>
      </c>
      <c r="L554" t="inlineStr">
        <is>
          <t>18:02:50</t>
        </is>
      </c>
      <c r="M554" t="inlineStr">
        <is>
          <t>18:03:30</t>
        </is>
      </c>
    </row>
    <row r="555" ht="15" customHeight="1" s="37">
      <c r="A555" t="n">
        <v>12</v>
      </c>
      <c r="B555" s="10" t="inlineStr">
        <is>
          <t>休日</t>
        </is>
      </c>
      <c r="C555" s="10" t="inlineStr">
        <is>
          <t>本線</t>
        </is>
      </c>
      <c r="D555" s="10" t="inlineStr">
        <is>
          <t>下り</t>
        </is>
      </c>
      <c r="E555" t="inlineStr">
        <is>
          <t>1711</t>
        </is>
      </c>
      <c r="F555" t="inlineStr">
        <is>
          <t>0122</t>
        </is>
      </c>
      <c r="G555" s="10" t="inlineStr">
        <is>
          <t>蚕ノ社</t>
        </is>
      </c>
      <c r="H555" s="10" t="inlineStr">
        <is>
          <t>発</t>
        </is>
      </c>
      <c r="J555" s="10" t="inlineStr">
        <is>
          <t>営業</t>
        </is>
      </c>
      <c r="L555" t="inlineStr">
        <is>
          <t>18:04:20</t>
        </is>
      </c>
      <c r="M555" t="inlineStr">
        <is>
          <t>18:04:40</t>
        </is>
      </c>
    </row>
    <row r="556" ht="15" customHeight="1" s="37">
      <c r="A556" t="n">
        <v>12</v>
      </c>
      <c r="B556" s="10" t="inlineStr">
        <is>
          <t>休日</t>
        </is>
      </c>
      <c r="C556" s="10" t="inlineStr">
        <is>
          <t>本線</t>
        </is>
      </c>
      <c r="D556" s="10" t="inlineStr">
        <is>
          <t>下り</t>
        </is>
      </c>
      <c r="E556" t="inlineStr">
        <is>
          <t>1711</t>
        </is>
      </c>
      <c r="F556" t="inlineStr">
        <is>
          <t>0122</t>
        </is>
      </c>
      <c r="G556" s="10" t="inlineStr">
        <is>
          <t>太秦広隆寺</t>
        </is>
      </c>
      <c r="H556" s="10" t="inlineStr">
        <is>
          <t>発</t>
        </is>
      </c>
      <c r="J556" s="10" t="inlineStr">
        <is>
          <t>営業</t>
        </is>
      </c>
      <c r="L556" t="inlineStr">
        <is>
          <t>18:06:00</t>
        </is>
      </c>
      <c r="M556" t="inlineStr">
        <is>
          <t>18:06:20</t>
        </is>
      </c>
    </row>
    <row r="557" ht="15" customHeight="1" s="37">
      <c r="A557" t="n">
        <v>12</v>
      </c>
      <c r="B557" s="10" t="inlineStr">
        <is>
          <t>休日</t>
        </is>
      </c>
      <c r="C557" s="10" t="inlineStr">
        <is>
          <t>本線</t>
        </is>
      </c>
      <c r="D557" s="10" t="inlineStr">
        <is>
          <t>下り</t>
        </is>
      </c>
      <c r="E557" t="inlineStr">
        <is>
          <t>1711</t>
        </is>
      </c>
      <c r="F557" t="inlineStr">
        <is>
          <t>0122</t>
        </is>
      </c>
      <c r="G557" s="10" t="inlineStr">
        <is>
          <t>帷子ノ辻</t>
        </is>
      </c>
      <c r="H557" s="10" t="inlineStr">
        <is>
          <t>発</t>
        </is>
      </c>
      <c r="J557" s="10" t="inlineStr">
        <is>
          <t>営業</t>
        </is>
      </c>
      <c r="L557" t="inlineStr">
        <is>
          <t>18:08:20</t>
        </is>
      </c>
      <c r="M557" t="inlineStr">
        <is>
          <t>18:09:40</t>
        </is>
      </c>
    </row>
    <row r="558" ht="15" customHeight="1" s="37">
      <c r="A558" t="n">
        <v>12</v>
      </c>
      <c r="B558" s="10" t="inlineStr">
        <is>
          <t>休日</t>
        </is>
      </c>
      <c r="C558" s="10" t="inlineStr">
        <is>
          <t>本線</t>
        </is>
      </c>
      <c r="D558" s="10" t="inlineStr">
        <is>
          <t>下り</t>
        </is>
      </c>
      <c r="E558" t="inlineStr">
        <is>
          <t>1711</t>
        </is>
      </c>
      <c r="F558" t="inlineStr">
        <is>
          <t>0122</t>
        </is>
      </c>
      <c r="G558" s="10" t="inlineStr">
        <is>
          <t>有栖川</t>
        </is>
      </c>
      <c r="H558" s="10" t="inlineStr">
        <is>
          <t>発</t>
        </is>
      </c>
      <c r="J558" s="10" t="inlineStr">
        <is>
          <t>営業</t>
        </is>
      </c>
      <c r="L558" t="inlineStr">
        <is>
          <t>18:10:50</t>
        </is>
      </c>
      <c r="M558" t="inlineStr">
        <is>
          <t>18:11:15</t>
        </is>
      </c>
    </row>
    <row r="559" ht="15" customHeight="1" s="37">
      <c r="A559" t="n">
        <v>12</v>
      </c>
      <c r="B559" s="10" t="inlineStr">
        <is>
          <t>休日</t>
        </is>
      </c>
      <c r="C559" s="10" t="inlineStr">
        <is>
          <t>本線</t>
        </is>
      </c>
      <c r="D559" s="10" t="inlineStr">
        <is>
          <t>下り</t>
        </is>
      </c>
      <c r="E559" t="inlineStr">
        <is>
          <t>1711</t>
        </is>
      </c>
      <c r="F559" t="inlineStr">
        <is>
          <t>0122</t>
        </is>
      </c>
      <c r="G559" s="10" t="inlineStr">
        <is>
          <t>車折</t>
        </is>
      </c>
      <c r="H559" s="10" t="inlineStr">
        <is>
          <t>発</t>
        </is>
      </c>
      <c r="J559" s="10" t="inlineStr">
        <is>
          <t>営業</t>
        </is>
      </c>
      <c r="L559" t="inlineStr">
        <is>
          <t>18:12:40</t>
        </is>
      </c>
      <c r="M559" t="inlineStr">
        <is>
          <t>18:13:05</t>
        </is>
      </c>
    </row>
    <row r="560" ht="15" customHeight="1" s="37">
      <c r="A560" t="n">
        <v>12</v>
      </c>
      <c r="B560" s="10" t="inlineStr">
        <is>
          <t>休日</t>
        </is>
      </c>
      <c r="C560" s="10" t="inlineStr">
        <is>
          <t>本線</t>
        </is>
      </c>
      <c r="D560" s="10" t="inlineStr">
        <is>
          <t>下り</t>
        </is>
      </c>
      <c r="E560" t="inlineStr">
        <is>
          <t>1711</t>
        </is>
      </c>
      <c r="F560" t="inlineStr">
        <is>
          <t>0122</t>
        </is>
      </c>
      <c r="G560" s="10" t="inlineStr">
        <is>
          <t>鹿王院</t>
        </is>
      </c>
      <c r="H560" s="10" t="inlineStr">
        <is>
          <t>発</t>
        </is>
      </c>
      <c r="J560" s="10" t="inlineStr">
        <is>
          <t>営業</t>
        </is>
      </c>
      <c r="L560" t="inlineStr">
        <is>
          <t>18:14:00</t>
        </is>
      </c>
      <c r="M560" t="inlineStr">
        <is>
          <t>18:14:25</t>
        </is>
      </c>
    </row>
    <row r="561" ht="15" customHeight="1" s="37">
      <c r="A561" t="n">
        <v>12</v>
      </c>
      <c r="B561" s="10" t="inlineStr">
        <is>
          <t>休日</t>
        </is>
      </c>
      <c r="C561" s="10" t="inlineStr">
        <is>
          <t>本線</t>
        </is>
      </c>
      <c r="D561" s="10" t="inlineStr">
        <is>
          <t>下り</t>
        </is>
      </c>
      <c r="E561" t="inlineStr">
        <is>
          <t>1711</t>
        </is>
      </c>
      <c r="F561" t="inlineStr">
        <is>
          <t>0122</t>
        </is>
      </c>
      <c r="G561" s="10" t="inlineStr">
        <is>
          <t>嵯峨</t>
        </is>
      </c>
      <c r="H561" s="10" t="inlineStr">
        <is>
          <t>発</t>
        </is>
      </c>
      <c r="J561" s="10" t="inlineStr">
        <is>
          <t>営業</t>
        </is>
      </c>
      <c r="L561" t="inlineStr">
        <is>
          <t>18:15:30</t>
        </is>
      </c>
      <c r="M561" t="inlineStr">
        <is>
          <t>18:15:55</t>
        </is>
      </c>
    </row>
    <row r="562" ht="15" customHeight="1" s="37">
      <c r="A562" t="n">
        <v>12</v>
      </c>
      <c r="B562" s="10" t="inlineStr">
        <is>
          <t>休日</t>
        </is>
      </c>
      <c r="C562" s="10" t="inlineStr">
        <is>
          <t>本線</t>
        </is>
      </c>
      <c r="D562" s="10" t="inlineStr">
        <is>
          <t>下り</t>
        </is>
      </c>
      <c r="E562" t="inlineStr">
        <is>
          <t>1711</t>
        </is>
      </c>
      <c r="F562" t="inlineStr">
        <is>
          <t>0122</t>
        </is>
      </c>
      <c r="G562" s="10" t="inlineStr">
        <is>
          <t>嵐山</t>
        </is>
      </c>
      <c r="H562" s="10" t="inlineStr">
        <is>
          <t>着</t>
        </is>
      </c>
      <c r="J562" s="10" t="inlineStr">
        <is>
          <t>営業</t>
        </is>
      </c>
      <c r="L562" t="inlineStr">
        <is>
          <t>18:17:00</t>
        </is>
      </c>
      <c r="N562" t="inlineStr">
        <is>
          <t>○</t>
        </is>
      </c>
      <c r="Q562" t="inlineStr">
        <is>
          <t>1</t>
        </is>
      </c>
    </row>
    <row r="563" ht="15" customHeight="1" s="37">
      <c r="A563" t="n">
        <v>12</v>
      </c>
      <c r="B563" s="10" t="inlineStr">
        <is>
          <t>休日</t>
        </is>
      </c>
      <c r="C563" s="10" t="inlineStr">
        <is>
          <t>本線</t>
        </is>
      </c>
      <c r="D563" s="10" t="inlineStr">
        <is>
          <t>上り</t>
        </is>
      </c>
      <c r="E563" t="inlineStr">
        <is>
          <t>1806</t>
        </is>
      </c>
      <c r="F563" t="inlineStr">
        <is>
          <t>2221</t>
        </is>
      </c>
      <c r="G563" s="10" t="inlineStr">
        <is>
          <t>嵐山</t>
        </is>
      </c>
      <c r="H563" s="10" t="inlineStr">
        <is>
          <t>発</t>
        </is>
      </c>
      <c r="J563" s="10" t="inlineStr">
        <is>
          <t>営業</t>
        </is>
      </c>
      <c r="M563" t="inlineStr">
        <is>
          <t>18:23:00</t>
        </is>
      </c>
      <c r="Q563" t="inlineStr">
        <is>
          <t>1</t>
        </is>
      </c>
      <c r="U563" t="inlineStr">
        <is>
          <t>→西院 休憩(18:56〜20:23)</t>
        </is>
      </c>
    </row>
    <row r="564" ht="15" customHeight="1" s="37">
      <c r="A564" t="n">
        <v>12</v>
      </c>
      <c r="B564" s="10" t="inlineStr">
        <is>
          <t>休日</t>
        </is>
      </c>
      <c r="C564" s="10" t="inlineStr">
        <is>
          <t>本線</t>
        </is>
      </c>
      <c r="D564" s="10" t="inlineStr">
        <is>
          <t>上り</t>
        </is>
      </c>
      <c r="E564" t="inlineStr">
        <is>
          <t>1806</t>
        </is>
      </c>
      <c r="F564" t="inlineStr">
        <is>
          <t>2221</t>
        </is>
      </c>
      <c r="G564" s="10" t="inlineStr">
        <is>
          <t>嵯峨</t>
        </is>
      </c>
      <c r="H564" s="10" t="inlineStr">
        <is>
          <t>発</t>
        </is>
      </c>
      <c r="J564" s="10" t="inlineStr">
        <is>
          <t>営業</t>
        </is>
      </c>
      <c r="L564" t="inlineStr">
        <is>
          <t>18:23:55</t>
        </is>
      </c>
      <c r="M564" t="inlineStr">
        <is>
          <t>18:24:20</t>
        </is>
      </c>
      <c r="U564" t="inlineStr">
        <is>
          <t>→西院 休憩(18:56〜20:23)</t>
        </is>
      </c>
    </row>
    <row r="565" ht="15" customHeight="1" s="37">
      <c r="A565" t="n">
        <v>12</v>
      </c>
      <c r="B565" s="10" t="inlineStr">
        <is>
          <t>休日</t>
        </is>
      </c>
      <c r="C565" s="10" t="inlineStr">
        <is>
          <t>本線</t>
        </is>
      </c>
      <c r="D565" s="10" t="inlineStr">
        <is>
          <t>上り</t>
        </is>
      </c>
      <c r="E565" t="inlineStr">
        <is>
          <t>1806</t>
        </is>
      </c>
      <c r="F565" t="inlineStr">
        <is>
          <t>2221</t>
        </is>
      </c>
      <c r="G565" s="10" t="inlineStr">
        <is>
          <t>鹿王院</t>
        </is>
      </c>
      <c r="H565" s="10" t="inlineStr">
        <is>
          <t>発</t>
        </is>
      </c>
      <c r="J565" s="10" t="inlineStr">
        <is>
          <t>営業</t>
        </is>
      </c>
      <c r="L565" t="inlineStr">
        <is>
          <t>18:25:25</t>
        </is>
      </c>
      <c r="M565" t="inlineStr">
        <is>
          <t>18:25:45</t>
        </is>
      </c>
      <c r="U565" t="inlineStr">
        <is>
          <t>→西院 休憩(18:56〜20:23)</t>
        </is>
      </c>
    </row>
    <row r="566" ht="15" customHeight="1" s="37">
      <c r="A566" t="n">
        <v>12</v>
      </c>
      <c r="B566" s="10" t="inlineStr">
        <is>
          <t>休日</t>
        </is>
      </c>
      <c r="C566" s="10" t="inlineStr">
        <is>
          <t>本線</t>
        </is>
      </c>
      <c r="D566" s="10" t="inlineStr">
        <is>
          <t>上り</t>
        </is>
      </c>
      <c r="E566" t="inlineStr">
        <is>
          <t>1806</t>
        </is>
      </c>
      <c r="F566" t="inlineStr">
        <is>
          <t>2221</t>
        </is>
      </c>
      <c r="G566" s="10" t="inlineStr">
        <is>
          <t>車折</t>
        </is>
      </c>
      <c r="H566" s="10" t="inlineStr">
        <is>
          <t>発</t>
        </is>
      </c>
      <c r="J566" s="10" t="inlineStr">
        <is>
          <t>営業</t>
        </is>
      </c>
      <c r="L566" t="inlineStr">
        <is>
          <t>18:26:40</t>
        </is>
      </c>
      <c r="M566" t="inlineStr">
        <is>
          <t>18:27:10</t>
        </is>
      </c>
      <c r="U566" t="inlineStr">
        <is>
          <t>→西院 休憩(18:56〜20:23)</t>
        </is>
      </c>
    </row>
    <row r="567" ht="15" customHeight="1" s="37">
      <c r="A567" t="n">
        <v>12</v>
      </c>
      <c r="B567" s="10" t="inlineStr">
        <is>
          <t>休日</t>
        </is>
      </c>
      <c r="C567" s="10" t="inlineStr">
        <is>
          <t>本線</t>
        </is>
      </c>
      <c r="D567" s="10" t="inlineStr">
        <is>
          <t>上り</t>
        </is>
      </c>
      <c r="E567" t="inlineStr">
        <is>
          <t>1806</t>
        </is>
      </c>
      <c r="F567" t="inlineStr">
        <is>
          <t>2221</t>
        </is>
      </c>
      <c r="G567" s="10" t="inlineStr">
        <is>
          <t>有栖川</t>
        </is>
      </c>
      <c r="H567" s="10" t="inlineStr">
        <is>
          <t>発</t>
        </is>
      </c>
      <c r="J567" s="10" t="inlineStr">
        <is>
          <t>営業</t>
        </is>
      </c>
      <c r="L567" t="inlineStr">
        <is>
          <t>18:28:35</t>
        </is>
      </c>
      <c r="M567" t="inlineStr">
        <is>
          <t>18:28:55</t>
        </is>
      </c>
      <c r="U567" t="inlineStr">
        <is>
          <t>→西院 休憩(18:56〜20:23)</t>
        </is>
      </c>
    </row>
    <row r="568" ht="15" customHeight="1" s="37">
      <c r="A568" t="n">
        <v>12</v>
      </c>
      <c r="B568" s="10" t="inlineStr">
        <is>
          <t>休日</t>
        </is>
      </c>
      <c r="C568" s="10" t="inlineStr">
        <is>
          <t>本線</t>
        </is>
      </c>
      <c r="D568" s="10" t="inlineStr">
        <is>
          <t>上り</t>
        </is>
      </c>
      <c r="E568" t="inlineStr">
        <is>
          <t>1806</t>
        </is>
      </c>
      <c r="F568" t="inlineStr">
        <is>
          <t>2221</t>
        </is>
      </c>
      <c r="G568" s="10" t="inlineStr">
        <is>
          <t>帷子ノ辻</t>
        </is>
      </c>
      <c r="H568" s="10" t="inlineStr">
        <is>
          <t>発</t>
        </is>
      </c>
      <c r="J568" s="10" t="inlineStr">
        <is>
          <t>営業</t>
        </is>
      </c>
      <c r="L568" t="inlineStr">
        <is>
          <t>18:30:10</t>
        </is>
      </c>
      <c r="M568" t="inlineStr">
        <is>
          <t>18:31:15</t>
        </is>
      </c>
      <c r="U568" t="inlineStr">
        <is>
          <t>→西院 休憩(18:56〜20:23)</t>
        </is>
      </c>
    </row>
    <row r="569" ht="15" customHeight="1" s="37">
      <c r="A569" t="n">
        <v>12</v>
      </c>
      <c r="B569" s="10" t="inlineStr">
        <is>
          <t>休日</t>
        </is>
      </c>
      <c r="C569" s="10" t="inlineStr">
        <is>
          <t>本線</t>
        </is>
      </c>
      <c r="D569" s="10" t="inlineStr">
        <is>
          <t>上り</t>
        </is>
      </c>
      <c r="E569" t="inlineStr">
        <is>
          <t>1806</t>
        </is>
      </c>
      <c r="F569" t="inlineStr">
        <is>
          <t>2221</t>
        </is>
      </c>
      <c r="G569" s="10" t="inlineStr">
        <is>
          <t>太秦広隆寺</t>
        </is>
      </c>
      <c r="H569" s="10" t="inlineStr">
        <is>
          <t>発</t>
        </is>
      </c>
      <c r="J569" s="10" t="inlineStr">
        <is>
          <t>営業</t>
        </is>
      </c>
      <c r="L569" t="inlineStr">
        <is>
          <t>18:33:25</t>
        </is>
      </c>
      <c r="M569" t="inlineStr">
        <is>
          <t>18:33:45</t>
        </is>
      </c>
      <c r="U569" t="inlineStr">
        <is>
          <t>→西院 休憩(18:56〜20:23)</t>
        </is>
      </c>
    </row>
    <row r="570" ht="15" customHeight="1" s="37">
      <c r="A570" t="n">
        <v>12</v>
      </c>
      <c r="B570" s="10" t="inlineStr">
        <is>
          <t>休日</t>
        </is>
      </c>
      <c r="C570" s="10" t="inlineStr">
        <is>
          <t>本線</t>
        </is>
      </c>
      <c r="D570" s="10" t="inlineStr">
        <is>
          <t>上り</t>
        </is>
      </c>
      <c r="E570" t="inlineStr">
        <is>
          <t>1806</t>
        </is>
      </c>
      <c r="F570" t="inlineStr">
        <is>
          <t>2221</t>
        </is>
      </c>
      <c r="G570" s="10" t="inlineStr">
        <is>
          <t>蚕ノ社</t>
        </is>
      </c>
      <c r="H570" s="10" t="inlineStr">
        <is>
          <t>発</t>
        </is>
      </c>
      <c r="J570" s="10" t="inlineStr">
        <is>
          <t>営業</t>
        </is>
      </c>
      <c r="L570" t="inlineStr">
        <is>
          <t>18:35:00</t>
        </is>
      </c>
      <c r="M570" t="inlineStr">
        <is>
          <t>18:35:20</t>
        </is>
      </c>
      <c r="U570" t="inlineStr">
        <is>
          <t>→西院 休憩(18:56〜20:23)</t>
        </is>
      </c>
    </row>
    <row r="571" ht="15" customHeight="1" s="37">
      <c r="A571" t="n">
        <v>12</v>
      </c>
      <c r="B571" s="10" t="inlineStr">
        <is>
          <t>休日</t>
        </is>
      </c>
      <c r="C571" s="10" t="inlineStr">
        <is>
          <t>本線</t>
        </is>
      </c>
      <c r="D571" s="10" t="inlineStr">
        <is>
          <t>上り</t>
        </is>
      </c>
      <c r="E571" t="inlineStr">
        <is>
          <t>1806</t>
        </is>
      </c>
      <c r="F571" t="inlineStr">
        <is>
          <t>2221</t>
        </is>
      </c>
      <c r="G571" s="10" t="inlineStr">
        <is>
          <t>天神川</t>
        </is>
      </c>
      <c r="H571" s="10" t="inlineStr">
        <is>
          <t>発</t>
        </is>
      </c>
      <c r="J571" s="10" t="inlineStr">
        <is>
          <t>営業</t>
        </is>
      </c>
      <c r="L571" t="inlineStr">
        <is>
          <t>18:36:05</t>
        </is>
      </c>
      <c r="M571" t="inlineStr">
        <is>
          <t>18:36:50</t>
        </is>
      </c>
      <c r="U571" t="inlineStr">
        <is>
          <t>→西院 休憩(18:56〜20:23)</t>
        </is>
      </c>
    </row>
    <row r="572" ht="15" customHeight="1" s="37">
      <c r="A572" t="n">
        <v>12</v>
      </c>
      <c r="B572" s="10" t="inlineStr">
        <is>
          <t>休日</t>
        </is>
      </c>
      <c r="C572" s="10" t="inlineStr">
        <is>
          <t>本線</t>
        </is>
      </c>
      <c r="D572" s="10" t="inlineStr">
        <is>
          <t>上り</t>
        </is>
      </c>
      <c r="E572" t="inlineStr">
        <is>
          <t>1806</t>
        </is>
      </c>
      <c r="F572" t="inlineStr">
        <is>
          <t>2221</t>
        </is>
      </c>
      <c r="G572" s="10" t="inlineStr">
        <is>
          <t>山ノ内</t>
        </is>
      </c>
      <c r="H572" s="10" t="inlineStr">
        <is>
          <t>発</t>
        </is>
      </c>
      <c r="J572" s="10" t="inlineStr">
        <is>
          <t>営業</t>
        </is>
      </c>
      <c r="L572" t="inlineStr">
        <is>
          <t>18:38:40</t>
        </is>
      </c>
      <c r="M572" t="inlineStr">
        <is>
          <t>18:39:05</t>
        </is>
      </c>
      <c r="U572" t="inlineStr">
        <is>
          <t>→西院 休憩(18:56〜20:23)</t>
        </is>
      </c>
    </row>
    <row r="573" ht="15" customHeight="1" s="37">
      <c r="A573" t="n">
        <v>12</v>
      </c>
      <c r="B573" s="10" t="inlineStr">
        <is>
          <t>休日</t>
        </is>
      </c>
      <c r="C573" s="10" t="inlineStr">
        <is>
          <t>本線</t>
        </is>
      </c>
      <c r="D573" s="10" t="inlineStr">
        <is>
          <t>上り</t>
        </is>
      </c>
      <c r="E573" t="inlineStr">
        <is>
          <t>1806</t>
        </is>
      </c>
      <c r="F573" t="inlineStr">
        <is>
          <t>2221</t>
        </is>
      </c>
      <c r="G573" s="10" t="inlineStr">
        <is>
          <t>西大路三条</t>
        </is>
      </c>
      <c r="H573" s="10" t="inlineStr">
        <is>
          <t>発</t>
        </is>
      </c>
      <c r="J573" s="10" t="inlineStr">
        <is>
          <t>営業</t>
        </is>
      </c>
      <c r="L573" t="inlineStr">
        <is>
          <t>18:40:55</t>
        </is>
      </c>
      <c r="M573" t="inlineStr">
        <is>
          <t>18:41:15</t>
        </is>
      </c>
      <c r="U573" t="inlineStr">
        <is>
          <t>→西院 休憩(18:56〜20:23)</t>
        </is>
      </c>
    </row>
    <row r="574" ht="15" customHeight="1" s="37">
      <c r="A574" t="n">
        <v>12</v>
      </c>
      <c r="B574" s="10" t="inlineStr">
        <is>
          <t>休日</t>
        </is>
      </c>
      <c r="C574" s="10" t="inlineStr">
        <is>
          <t>本線</t>
        </is>
      </c>
      <c r="D574" s="10" t="inlineStr">
        <is>
          <t>上り</t>
        </is>
      </c>
      <c r="E574" t="inlineStr">
        <is>
          <t>1806</t>
        </is>
      </c>
      <c r="F574" t="inlineStr">
        <is>
          <t>2221</t>
        </is>
      </c>
      <c r="G574" s="10" t="inlineStr">
        <is>
          <t>西院</t>
        </is>
      </c>
      <c r="H574" s="10" t="inlineStr">
        <is>
          <t>発</t>
        </is>
      </c>
      <c r="J574" s="10" t="inlineStr">
        <is>
          <t>営業</t>
        </is>
      </c>
      <c r="L574" t="inlineStr">
        <is>
          <t>18:43:10</t>
        </is>
      </c>
      <c r="M574" t="inlineStr">
        <is>
          <t>18:44:05</t>
        </is>
      </c>
      <c r="U574" t="inlineStr">
        <is>
          <t>→西院 休憩(18:56〜20:23)</t>
        </is>
      </c>
    </row>
    <row r="575" ht="15" customHeight="1" s="37">
      <c r="A575" t="n">
        <v>12</v>
      </c>
      <c r="B575" s="10" t="inlineStr">
        <is>
          <t>休日</t>
        </is>
      </c>
      <c r="C575" s="10" t="inlineStr">
        <is>
          <t>本線</t>
        </is>
      </c>
      <c r="D575" s="10" t="inlineStr">
        <is>
          <t>上り</t>
        </is>
      </c>
      <c r="E575" t="inlineStr">
        <is>
          <t>1806</t>
        </is>
      </c>
      <c r="F575" t="inlineStr">
        <is>
          <t>2221</t>
        </is>
      </c>
      <c r="G575" s="10" t="inlineStr">
        <is>
          <t>四条大宮</t>
        </is>
      </c>
      <c r="H575" s="10" t="inlineStr">
        <is>
          <t>着</t>
        </is>
      </c>
      <c r="J575" s="10" t="inlineStr">
        <is>
          <t>営業</t>
        </is>
      </c>
      <c r="L575" t="inlineStr">
        <is>
          <t>18:47:00</t>
        </is>
      </c>
      <c r="Q575" t="inlineStr">
        <is>
          <t>1</t>
        </is>
      </c>
      <c r="U575" t="inlineStr">
        <is>
          <t>→西院 休憩(18:56〜20:23)</t>
        </is>
      </c>
    </row>
    <row r="576" ht="15" customHeight="1" s="37">
      <c r="A576" t="n">
        <v>12</v>
      </c>
      <c r="B576" s="10" t="inlineStr">
        <is>
          <t>休日</t>
        </is>
      </c>
      <c r="C576" s="10" t="inlineStr">
        <is>
          <t>本線</t>
        </is>
      </c>
      <c r="D576" s="10" t="inlineStr">
        <is>
          <t>下り</t>
        </is>
      </c>
      <c r="E576" t="inlineStr">
        <is>
          <t>1811</t>
        </is>
      </c>
      <c r="F576" t="inlineStr">
        <is>
          <t>0122</t>
        </is>
      </c>
      <c r="G576" s="10" t="inlineStr">
        <is>
          <t>四条大宮</t>
        </is>
      </c>
      <c r="H576" s="10" t="inlineStr">
        <is>
          <t>発</t>
        </is>
      </c>
      <c r="J576" s="10" t="inlineStr">
        <is>
          <t>営業</t>
        </is>
      </c>
      <c r="M576" t="inlineStr">
        <is>
          <t>18:53:00</t>
        </is>
      </c>
      <c r="Q576" t="inlineStr">
        <is>
          <t>1</t>
        </is>
      </c>
      <c r="U576" t="inlineStr">
        <is>
          <t>→西院 休憩(18:56〜20:23)</t>
        </is>
      </c>
    </row>
    <row r="577" ht="15" customHeight="1" s="37">
      <c r="A577" t="n">
        <v>12</v>
      </c>
      <c r="B577" s="10" t="inlineStr">
        <is>
          <t>休日</t>
        </is>
      </c>
      <c r="C577" s="10" t="inlineStr">
        <is>
          <t>本線</t>
        </is>
      </c>
      <c r="D577" s="10" t="inlineStr">
        <is>
          <t>下り</t>
        </is>
      </c>
      <c r="E577" t="inlineStr">
        <is>
          <t>1811</t>
        </is>
      </c>
      <c r="F577" t="inlineStr">
        <is>
          <t>0122</t>
        </is>
      </c>
      <c r="G577" s="10" t="inlineStr">
        <is>
          <t>西院</t>
        </is>
      </c>
      <c r="H577" s="10" t="inlineStr">
        <is>
          <t>着</t>
        </is>
      </c>
      <c r="J577" s="10" t="inlineStr">
        <is>
          <t>営業</t>
        </is>
      </c>
      <c r="L577" t="inlineStr">
        <is>
          <t>18:55:50</t>
        </is>
      </c>
      <c r="M577" t="inlineStr">
        <is>
          <t>18:56:20</t>
        </is>
      </c>
      <c r="U577" t="inlineStr">
        <is>
          <t>→西院 休憩(18:56〜20:23)</t>
        </is>
      </c>
    </row>
    <row r="578" ht="15" customHeight="1" s="37">
      <c r="A578" t="n">
        <v>12</v>
      </c>
      <c r="B578" s="10" t="inlineStr">
        <is>
          <t>休日</t>
        </is>
      </c>
      <c r="C578" s="10" t="inlineStr">
        <is>
          <t>本線</t>
        </is>
      </c>
      <c r="D578" s="10" t="inlineStr">
        <is>
          <t>下り</t>
        </is>
      </c>
      <c r="E578" t="inlineStr">
        <is>
          <t>2007</t>
        </is>
      </c>
      <c r="F578" t="inlineStr">
        <is>
          <t>0122</t>
        </is>
      </c>
      <c r="G578" s="10" t="inlineStr">
        <is>
          <t>四条大宮</t>
        </is>
      </c>
      <c r="H578" s="10" t="inlineStr">
        <is>
          <t>発</t>
        </is>
      </c>
      <c r="J578" s="10" t="inlineStr">
        <is>
          <t>営業</t>
        </is>
      </c>
      <c r="M578" t="inlineStr">
        <is>
          <t>20:33:00</t>
        </is>
      </c>
      <c r="Q578" t="inlineStr">
        <is>
          <t>1</t>
        </is>
      </c>
    </row>
    <row r="579" ht="15" customHeight="1" s="37">
      <c r="A579" t="n">
        <v>12</v>
      </c>
      <c r="B579" s="10" t="inlineStr">
        <is>
          <t>休日</t>
        </is>
      </c>
      <c r="C579" s="10" t="inlineStr">
        <is>
          <t>本線</t>
        </is>
      </c>
      <c r="D579" s="10" t="inlineStr">
        <is>
          <t>下り</t>
        </is>
      </c>
      <c r="E579" t="inlineStr">
        <is>
          <t>2007</t>
        </is>
      </c>
      <c r="F579" t="inlineStr">
        <is>
          <t>0122</t>
        </is>
      </c>
      <c r="G579" s="10" t="inlineStr">
        <is>
          <t>西院</t>
        </is>
      </c>
      <c r="H579" s="10" t="inlineStr">
        <is>
          <t>発</t>
        </is>
      </c>
      <c r="J579" s="10" t="inlineStr">
        <is>
          <t>営業</t>
        </is>
      </c>
      <c r="L579" t="inlineStr">
        <is>
          <t>20:35:50</t>
        </is>
      </c>
      <c r="M579" t="inlineStr">
        <is>
          <t>20:36:20</t>
        </is>
      </c>
    </row>
    <row r="580" ht="15" customHeight="1" s="37">
      <c r="A580" t="n">
        <v>12</v>
      </c>
      <c r="B580" s="10" t="inlineStr">
        <is>
          <t>休日</t>
        </is>
      </c>
      <c r="C580" s="10" t="inlineStr">
        <is>
          <t>本線</t>
        </is>
      </c>
      <c r="D580" s="10" t="inlineStr">
        <is>
          <t>下り</t>
        </is>
      </c>
      <c r="E580" t="inlineStr">
        <is>
          <t>2007</t>
        </is>
      </c>
      <c r="F580" t="inlineStr">
        <is>
          <t>0122</t>
        </is>
      </c>
      <c r="G580" s="10" t="inlineStr">
        <is>
          <t>西大路三条</t>
        </is>
      </c>
      <c r="H580" s="10" t="inlineStr">
        <is>
          <t>発</t>
        </is>
      </c>
      <c r="J580" s="10" t="inlineStr">
        <is>
          <t>営業</t>
        </is>
      </c>
      <c r="L580" t="inlineStr">
        <is>
          <t>20:38:10</t>
        </is>
      </c>
      <c r="M580" t="inlineStr">
        <is>
          <t>20:38:30</t>
        </is>
      </c>
    </row>
    <row r="581" ht="15" customHeight="1" s="37">
      <c r="A581" t="n">
        <v>12</v>
      </c>
      <c r="B581" s="10" t="inlineStr">
        <is>
          <t>休日</t>
        </is>
      </c>
      <c r="C581" s="10" t="inlineStr">
        <is>
          <t>本線</t>
        </is>
      </c>
      <c r="D581" s="10" t="inlineStr">
        <is>
          <t>下り</t>
        </is>
      </c>
      <c r="E581" t="inlineStr">
        <is>
          <t>2007</t>
        </is>
      </c>
      <c r="F581" t="inlineStr">
        <is>
          <t>0122</t>
        </is>
      </c>
      <c r="G581" s="10" t="inlineStr">
        <is>
          <t>山ノ内</t>
        </is>
      </c>
      <c r="H581" s="10" t="inlineStr">
        <is>
          <t>発</t>
        </is>
      </c>
      <c r="J581" s="10" t="inlineStr">
        <is>
          <t>営業</t>
        </is>
      </c>
      <c r="L581" t="inlineStr">
        <is>
          <t>20:40:25</t>
        </is>
      </c>
      <c r="M581" t="inlineStr">
        <is>
          <t>20:40:50</t>
        </is>
      </c>
    </row>
    <row r="582" ht="15" customHeight="1" s="37">
      <c r="A582" t="n">
        <v>12</v>
      </c>
      <c r="B582" s="10" t="inlineStr">
        <is>
          <t>休日</t>
        </is>
      </c>
      <c r="C582" s="10" t="inlineStr">
        <is>
          <t>本線</t>
        </is>
      </c>
      <c r="D582" s="10" t="inlineStr">
        <is>
          <t>下り</t>
        </is>
      </c>
      <c r="E582" t="inlineStr">
        <is>
          <t>2007</t>
        </is>
      </c>
      <c r="F582" t="inlineStr">
        <is>
          <t>0122</t>
        </is>
      </c>
      <c r="G582" s="10" t="inlineStr">
        <is>
          <t>天神川</t>
        </is>
      </c>
      <c r="H582" s="10" t="inlineStr">
        <is>
          <t>発</t>
        </is>
      </c>
      <c r="J582" s="10" t="inlineStr">
        <is>
          <t>営業</t>
        </is>
      </c>
      <c r="L582" t="inlineStr">
        <is>
          <t>20:42:50</t>
        </is>
      </c>
      <c r="M582" t="inlineStr">
        <is>
          <t>20:43:30</t>
        </is>
      </c>
    </row>
    <row r="583" ht="15" customHeight="1" s="37">
      <c r="A583" t="n">
        <v>12</v>
      </c>
      <c r="B583" s="10" t="inlineStr">
        <is>
          <t>休日</t>
        </is>
      </c>
      <c r="C583" s="10" t="inlineStr">
        <is>
          <t>本線</t>
        </is>
      </c>
      <c r="D583" s="10" t="inlineStr">
        <is>
          <t>下り</t>
        </is>
      </c>
      <c r="E583" t="inlineStr">
        <is>
          <t>2007</t>
        </is>
      </c>
      <c r="F583" t="inlineStr">
        <is>
          <t>0122</t>
        </is>
      </c>
      <c r="G583" s="10" t="inlineStr">
        <is>
          <t>蚕ノ社</t>
        </is>
      </c>
      <c r="H583" s="10" t="inlineStr">
        <is>
          <t>発</t>
        </is>
      </c>
      <c r="J583" s="10" t="inlineStr">
        <is>
          <t>営業</t>
        </is>
      </c>
      <c r="L583" t="inlineStr">
        <is>
          <t>20:44:20</t>
        </is>
      </c>
      <c r="M583" t="inlineStr">
        <is>
          <t>20:44:40</t>
        </is>
      </c>
    </row>
    <row r="584" ht="15" customHeight="1" s="37">
      <c r="A584" t="n">
        <v>12</v>
      </c>
      <c r="B584" s="10" t="inlineStr">
        <is>
          <t>休日</t>
        </is>
      </c>
      <c r="C584" s="10" t="inlineStr">
        <is>
          <t>本線</t>
        </is>
      </c>
      <c r="D584" s="10" t="inlineStr">
        <is>
          <t>下り</t>
        </is>
      </c>
      <c r="E584" t="inlineStr">
        <is>
          <t>2007</t>
        </is>
      </c>
      <c r="F584" t="inlineStr">
        <is>
          <t>0122</t>
        </is>
      </c>
      <c r="G584" s="10" t="inlineStr">
        <is>
          <t>太秦広隆寺</t>
        </is>
      </c>
      <c r="H584" s="10" t="inlineStr">
        <is>
          <t>発</t>
        </is>
      </c>
      <c r="J584" s="10" t="inlineStr">
        <is>
          <t>営業</t>
        </is>
      </c>
      <c r="L584" t="inlineStr">
        <is>
          <t>20:46:00</t>
        </is>
      </c>
      <c r="M584" t="inlineStr">
        <is>
          <t>20:46:20</t>
        </is>
      </c>
    </row>
    <row r="585" ht="15" customHeight="1" s="37">
      <c r="A585" t="n">
        <v>12</v>
      </c>
      <c r="B585" s="10" t="inlineStr">
        <is>
          <t>休日</t>
        </is>
      </c>
      <c r="C585" s="10" t="inlineStr">
        <is>
          <t>本線</t>
        </is>
      </c>
      <c r="D585" s="10" t="inlineStr">
        <is>
          <t>下り</t>
        </is>
      </c>
      <c r="E585" t="inlineStr">
        <is>
          <t>2007</t>
        </is>
      </c>
      <c r="F585" t="inlineStr">
        <is>
          <t>0122</t>
        </is>
      </c>
      <c r="G585" s="10" t="inlineStr">
        <is>
          <t>帷子ノ辻</t>
        </is>
      </c>
      <c r="H585" s="10" t="inlineStr">
        <is>
          <t>発</t>
        </is>
      </c>
      <c r="J585" s="10" t="inlineStr">
        <is>
          <t>営業</t>
        </is>
      </c>
      <c r="L585" t="inlineStr">
        <is>
          <t>20:48:20</t>
        </is>
      </c>
      <c r="M585" t="inlineStr">
        <is>
          <t>20:49:40</t>
        </is>
      </c>
    </row>
    <row r="586" ht="15" customHeight="1" s="37">
      <c r="A586" t="n">
        <v>12</v>
      </c>
      <c r="B586" s="10" t="inlineStr">
        <is>
          <t>休日</t>
        </is>
      </c>
      <c r="C586" s="10" t="inlineStr">
        <is>
          <t>本線</t>
        </is>
      </c>
      <c r="D586" s="10" t="inlineStr">
        <is>
          <t>下り</t>
        </is>
      </c>
      <c r="E586" t="inlineStr">
        <is>
          <t>2007</t>
        </is>
      </c>
      <c r="F586" t="inlineStr">
        <is>
          <t>0122</t>
        </is>
      </c>
      <c r="G586" s="10" t="inlineStr">
        <is>
          <t>有栖川</t>
        </is>
      </c>
      <c r="H586" s="10" t="inlineStr">
        <is>
          <t>発</t>
        </is>
      </c>
      <c r="J586" s="10" t="inlineStr">
        <is>
          <t>営業</t>
        </is>
      </c>
      <c r="L586" t="inlineStr">
        <is>
          <t>20:50:50</t>
        </is>
      </c>
      <c r="M586" t="inlineStr">
        <is>
          <t>20:51:15</t>
        </is>
      </c>
    </row>
    <row r="587" ht="15" customHeight="1" s="37">
      <c r="A587" t="n">
        <v>12</v>
      </c>
      <c r="B587" s="10" t="inlineStr">
        <is>
          <t>休日</t>
        </is>
      </c>
      <c r="C587" s="10" t="inlineStr">
        <is>
          <t>本線</t>
        </is>
      </c>
      <c r="D587" s="10" t="inlineStr">
        <is>
          <t>下り</t>
        </is>
      </c>
      <c r="E587" t="inlineStr">
        <is>
          <t>2007</t>
        </is>
      </c>
      <c r="F587" t="inlineStr">
        <is>
          <t>0122</t>
        </is>
      </c>
      <c r="G587" s="10" t="inlineStr">
        <is>
          <t>車折</t>
        </is>
      </c>
      <c r="H587" s="10" t="inlineStr">
        <is>
          <t>発</t>
        </is>
      </c>
      <c r="J587" s="10" t="inlineStr">
        <is>
          <t>営業</t>
        </is>
      </c>
      <c r="L587" t="inlineStr">
        <is>
          <t>20:52:40</t>
        </is>
      </c>
      <c r="M587" t="inlineStr">
        <is>
          <t>20:53:05</t>
        </is>
      </c>
    </row>
    <row r="588" ht="15" customHeight="1" s="37">
      <c r="A588" t="n">
        <v>12</v>
      </c>
      <c r="B588" s="10" t="inlineStr">
        <is>
          <t>休日</t>
        </is>
      </c>
      <c r="C588" s="10" t="inlineStr">
        <is>
          <t>本線</t>
        </is>
      </c>
      <c r="D588" s="10" t="inlineStr">
        <is>
          <t>下り</t>
        </is>
      </c>
      <c r="E588" t="inlineStr">
        <is>
          <t>2007</t>
        </is>
      </c>
      <c r="F588" t="inlineStr">
        <is>
          <t>0122</t>
        </is>
      </c>
      <c r="G588" s="10" t="inlineStr">
        <is>
          <t>鹿王院</t>
        </is>
      </c>
      <c r="H588" s="10" t="inlineStr">
        <is>
          <t>発</t>
        </is>
      </c>
      <c r="J588" s="10" t="inlineStr">
        <is>
          <t>営業</t>
        </is>
      </c>
      <c r="L588" t="inlineStr">
        <is>
          <t>20:54:00</t>
        </is>
      </c>
      <c r="M588" t="inlineStr">
        <is>
          <t>20:54:25</t>
        </is>
      </c>
    </row>
    <row r="589" ht="15" customHeight="1" s="37">
      <c r="A589" t="n">
        <v>12</v>
      </c>
      <c r="B589" s="10" t="inlineStr">
        <is>
          <t>休日</t>
        </is>
      </c>
      <c r="C589" s="10" t="inlineStr">
        <is>
          <t>本線</t>
        </is>
      </c>
      <c r="D589" s="10" t="inlineStr">
        <is>
          <t>下り</t>
        </is>
      </c>
      <c r="E589" t="inlineStr">
        <is>
          <t>2007</t>
        </is>
      </c>
      <c r="F589" t="inlineStr">
        <is>
          <t>0122</t>
        </is>
      </c>
      <c r="G589" s="10" t="inlineStr">
        <is>
          <t>嵯峨</t>
        </is>
      </c>
      <c r="H589" s="10" t="inlineStr">
        <is>
          <t>発</t>
        </is>
      </c>
      <c r="J589" s="10" t="inlineStr">
        <is>
          <t>営業</t>
        </is>
      </c>
      <c r="L589" t="inlineStr">
        <is>
          <t>20:55:30</t>
        </is>
      </c>
      <c r="M589" t="inlineStr">
        <is>
          <t>20:55:55</t>
        </is>
      </c>
    </row>
    <row r="590" ht="16.5" customHeight="1" s="37">
      <c r="A590" t="n">
        <v>12</v>
      </c>
      <c r="B590" s="10" t="inlineStr">
        <is>
          <t>休日</t>
        </is>
      </c>
      <c r="C590" s="10" t="inlineStr">
        <is>
          <t>本線</t>
        </is>
      </c>
      <c r="D590" s="10" t="inlineStr">
        <is>
          <t>下り</t>
        </is>
      </c>
      <c r="E590" t="inlineStr">
        <is>
          <t>2007</t>
        </is>
      </c>
      <c r="F590" t="inlineStr">
        <is>
          <t>0122</t>
        </is>
      </c>
      <c r="G590" s="10" t="inlineStr">
        <is>
          <t>嵐山</t>
        </is>
      </c>
      <c r="H590" s="10" t="inlineStr">
        <is>
          <t>着</t>
        </is>
      </c>
      <c r="J590" s="10" t="inlineStr">
        <is>
          <t>営業</t>
        </is>
      </c>
      <c r="L590" t="inlineStr">
        <is>
          <t>20:57:00</t>
        </is>
      </c>
      <c r="N590" t="inlineStr">
        <is>
          <t>○</t>
        </is>
      </c>
      <c r="Q590" t="inlineStr">
        <is>
          <t>1</t>
        </is>
      </c>
    </row>
    <row r="591" ht="16.5" customHeight="1" s="37">
      <c r="A591" t="n">
        <v>12</v>
      </c>
      <c r="B591" s="10" t="inlineStr">
        <is>
          <t>休日</t>
        </is>
      </c>
      <c r="C591" s="10" t="inlineStr">
        <is>
          <t>本線</t>
        </is>
      </c>
      <c r="D591" s="10" t="inlineStr">
        <is>
          <t>上り</t>
        </is>
      </c>
      <c r="E591" t="inlineStr">
        <is>
          <t>2102</t>
        </is>
      </c>
      <c r="F591" t="inlineStr">
        <is>
          <t>0221</t>
        </is>
      </c>
      <c r="G591" s="10" t="inlineStr">
        <is>
          <t>嵐山</t>
        </is>
      </c>
      <c r="H591" s="10" t="inlineStr">
        <is>
          <t>発</t>
        </is>
      </c>
      <c r="J591" s="10" t="inlineStr">
        <is>
          <t>営業</t>
        </is>
      </c>
      <c r="M591" t="inlineStr">
        <is>
          <t>21:04:00</t>
        </is>
      </c>
      <c r="Q591" t="inlineStr">
        <is>
          <t>1</t>
        </is>
      </c>
    </row>
    <row r="592" ht="16.5" customHeight="1" s="37">
      <c r="A592" t="n">
        <v>12</v>
      </c>
      <c r="B592" s="10" t="inlineStr">
        <is>
          <t>休日</t>
        </is>
      </c>
      <c r="C592" s="10" t="inlineStr">
        <is>
          <t>本線</t>
        </is>
      </c>
      <c r="D592" s="10" t="inlineStr">
        <is>
          <t>上り</t>
        </is>
      </c>
      <c r="E592" t="inlineStr">
        <is>
          <t>2102</t>
        </is>
      </c>
      <c r="F592" t="inlineStr">
        <is>
          <t>0221</t>
        </is>
      </c>
      <c r="G592" s="10" t="inlineStr">
        <is>
          <t>嵯峨</t>
        </is>
      </c>
      <c r="H592" s="10" t="inlineStr">
        <is>
          <t>発</t>
        </is>
      </c>
      <c r="J592" s="10" t="inlineStr">
        <is>
          <t>営業</t>
        </is>
      </c>
      <c r="L592" t="inlineStr">
        <is>
          <t>21:04:55</t>
        </is>
      </c>
      <c r="M592" t="inlineStr">
        <is>
          <t>21:05:10</t>
        </is>
      </c>
    </row>
    <row r="593" ht="16.5" customHeight="1" s="37">
      <c r="A593" t="n">
        <v>12</v>
      </c>
      <c r="B593" s="10" t="inlineStr">
        <is>
          <t>休日</t>
        </is>
      </c>
      <c r="C593" s="10" t="inlineStr">
        <is>
          <t>本線</t>
        </is>
      </c>
      <c r="D593" s="10" t="inlineStr">
        <is>
          <t>上り</t>
        </is>
      </c>
      <c r="E593" t="inlineStr">
        <is>
          <t>2102</t>
        </is>
      </c>
      <c r="F593" t="inlineStr">
        <is>
          <t>0221</t>
        </is>
      </c>
      <c r="G593" s="10" t="inlineStr">
        <is>
          <t>鹿王院</t>
        </is>
      </c>
      <c r="H593" s="10" t="inlineStr">
        <is>
          <t>発</t>
        </is>
      </c>
      <c r="J593" s="10" t="inlineStr">
        <is>
          <t>営業</t>
        </is>
      </c>
      <c r="L593" t="inlineStr">
        <is>
          <t>21:06:15</t>
        </is>
      </c>
      <c r="M593" t="inlineStr">
        <is>
          <t>21:06:30</t>
        </is>
      </c>
    </row>
    <row r="594" ht="16.5" customHeight="1" s="37">
      <c r="A594" t="n">
        <v>12</v>
      </c>
      <c r="B594" s="10" t="inlineStr">
        <is>
          <t>休日</t>
        </is>
      </c>
      <c r="C594" s="10" t="inlineStr">
        <is>
          <t>本線</t>
        </is>
      </c>
      <c r="D594" s="10" t="inlineStr">
        <is>
          <t>上り</t>
        </is>
      </c>
      <c r="E594" t="inlineStr">
        <is>
          <t>2102</t>
        </is>
      </c>
      <c r="F594" t="inlineStr">
        <is>
          <t>0221</t>
        </is>
      </c>
      <c r="G594" s="10" t="inlineStr">
        <is>
          <t>車折</t>
        </is>
      </c>
      <c r="H594" s="10" t="inlineStr">
        <is>
          <t>発</t>
        </is>
      </c>
      <c r="J594" s="10" t="inlineStr">
        <is>
          <t>営業</t>
        </is>
      </c>
      <c r="L594" t="inlineStr">
        <is>
          <t>21:07:25</t>
        </is>
      </c>
      <c r="M594" t="inlineStr">
        <is>
          <t>21:07:40</t>
        </is>
      </c>
    </row>
    <row r="595" ht="16.5" customHeight="1" s="37">
      <c r="A595" t="n">
        <v>12</v>
      </c>
      <c r="B595" s="10" t="inlineStr">
        <is>
          <t>休日</t>
        </is>
      </c>
      <c r="C595" s="10" t="inlineStr">
        <is>
          <t>本線</t>
        </is>
      </c>
      <c r="D595" s="10" t="inlineStr">
        <is>
          <t>上り</t>
        </is>
      </c>
      <c r="E595" t="inlineStr">
        <is>
          <t>2102</t>
        </is>
      </c>
      <c r="F595" t="inlineStr">
        <is>
          <t>0221</t>
        </is>
      </c>
      <c r="G595" s="10" t="inlineStr">
        <is>
          <t>有栖川</t>
        </is>
      </c>
      <c r="H595" s="10" t="inlineStr">
        <is>
          <t>発</t>
        </is>
      </c>
      <c r="J595" s="10" t="inlineStr">
        <is>
          <t>営業</t>
        </is>
      </c>
      <c r="L595" t="inlineStr">
        <is>
          <t>21:09:05</t>
        </is>
      </c>
      <c r="M595" t="inlineStr">
        <is>
          <t>21:09:20</t>
        </is>
      </c>
    </row>
    <row r="596" ht="16.5" customHeight="1" s="37">
      <c r="A596" t="n">
        <v>12</v>
      </c>
      <c r="B596" s="10" t="inlineStr">
        <is>
          <t>休日</t>
        </is>
      </c>
      <c r="C596" s="10" t="inlineStr">
        <is>
          <t>本線</t>
        </is>
      </c>
      <c r="D596" s="10" t="inlineStr">
        <is>
          <t>上り</t>
        </is>
      </c>
      <c r="E596" t="inlineStr">
        <is>
          <t>2102</t>
        </is>
      </c>
      <c r="F596" t="inlineStr">
        <is>
          <t>0221</t>
        </is>
      </c>
      <c r="G596" s="10" t="inlineStr">
        <is>
          <t>帷子ノ辻</t>
        </is>
      </c>
      <c r="H596" s="10" t="inlineStr">
        <is>
          <t>発</t>
        </is>
      </c>
      <c r="J596" s="10" t="inlineStr">
        <is>
          <t>営業</t>
        </is>
      </c>
      <c r="L596" t="inlineStr">
        <is>
          <t>21:10:35</t>
        </is>
      </c>
      <c r="M596" t="inlineStr">
        <is>
          <t>21:11:05</t>
        </is>
      </c>
    </row>
    <row r="597" ht="15" customHeight="1" s="37">
      <c r="A597" t="n">
        <v>12</v>
      </c>
      <c r="B597" s="10" t="inlineStr">
        <is>
          <t>休日</t>
        </is>
      </c>
      <c r="C597" s="10" t="inlineStr">
        <is>
          <t>本線</t>
        </is>
      </c>
      <c r="D597" s="10" t="inlineStr">
        <is>
          <t>上り</t>
        </is>
      </c>
      <c r="E597" t="inlineStr">
        <is>
          <t>2102</t>
        </is>
      </c>
      <c r="F597" t="inlineStr">
        <is>
          <t>0221</t>
        </is>
      </c>
      <c r="G597" s="10" t="inlineStr">
        <is>
          <t>太秦広隆寺</t>
        </is>
      </c>
      <c r="H597" s="10" t="inlineStr">
        <is>
          <t>発</t>
        </is>
      </c>
      <c r="J597" s="10" t="inlineStr">
        <is>
          <t>営業</t>
        </is>
      </c>
      <c r="L597" t="inlineStr">
        <is>
          <t>21:13:15</t>
        </is>
      </c>
      <c r="M597" t="inlineStr">
        <is>
          <t>21:13:35</t>
        </is>
      </c>
    </row>
    <row r="598" ht="15" customHeight="1" s="37">
      <c r="A598" t="n">
        <v>12</v>
      </c>
      <c r="B598" s="10" t="inlineStr">
        <is>
          <t>休日</t>
        </is>
      </c>
      <c r="C598" s="10" t="inlineStr">
        <is>
          <t>本線</t>
        </is>
      </c>
      <c r="D598" s="10" t="inlineStr">
        <is>
          <t>上り</t>
        </is>
      </c>
      <c r="E598" t="inlineStr">
        <is>
          <t>2102</t>
        </is>
      </c>
      <c r="F598" t="inlineStr">
        <is>
          <t>0221</t>
        </is>
      </c>
      <c r="G598" s="10" t="inlineStr">
        <is>
          <t>蚕ノ社</t>
        </is>
      </c>
      <c r="H598" s="10" t="inlineStr">
        <is>
          <t>発</t>
        </is>
      </c>
      <c r="J598" s="10" t="inlineStr">
        <is>
          <t>営業</t>
        </is>
      </c>
      <c r="L598" t="inlineStr">
        <is>
          <t>21:14:50</t>
        </is>
      </c>
      <c r="M598" t="inlineStr">
        <is>
          <t>21:15:10</t>
        </is>
      </c>
    </row>
    <row r="599" ht="15" customHeight="1" s="37">
      <c r="A599" t="n">
        <v>12</v>
      </c>
      <c r="B599" s="10" t="inlineStr">
        <is>
          <t>休日</t>
        </is>
      </c>
      <c r="C599" s="10" t="inlineStr">
        <is>
          <t>本線</t>
        </is>
      </c>
      <c r="D599" s="10" t="inlineStr">
        <is>
          <t>上り</t>
        </is>
      </c>
      <c r="E599" t="inlineStr">
        <is>
          <t>2102</t>
        </is>
      </c>
      <c r="F599" t="inlineStr">
        <is>
          <t>0221</t>
        </is>
      </c>
      <c r="G599" s="10" t="inlineStr">
        <is>
          <t>天神川</t>
        </is>
      </c>
      <c r="H599" s="10" t="inlineStr">
        <is>
          <t>発</t>
        </is>
      </c>
      <c r="J599" s="10" t="inlineStr">
        <is>
          <t>営業</t>
        </is>
      </c>
      <c r="L599" t="inlineStr">
        <is>
          <t>21:15:55</t>
        </is>
      </c>
      <c r="M599" t="inlineStr">
        <is>
          <t>21:16:20</t>
        </is>
      </c>
    </row>
    <row r="600" ht="15" customHeight="1" s="37">
      <c r="A600" t="n">
        <v>12</v>
      </c>
      <c r="B600" s="10" t="inlineStr">
        <is>
          <t>休日</t>
        </is>
      </c>
      <c r="C600" s="10" t="inlineStr">
        <is>
          <t>本線</t>
        </is>
      </c>
      <c r="D600" s="10" t="inlineStr">
        <is>
          <t>上り</t>
        </is>
      </c>
      <c r="E600" t="inlineStr">
        <is>
          <t>2102</t>
        </is>
      </c>
      <c r="F600" t="inlineStr">
        <is>
          <t>0221</t>
        </is>
      </c>
      <c r="G600" s="10" t="inlineStr">
        <is>
          <t>山ノ内</t>
        </is>
      </c>
      <c r="H600" s="10" t="inlineStr">
        <is>
          <t>発</t>
        </is>
      </c>
      <c r="J600" s="10" t="inlineStr">
        <is>
          <t>営業</t>
        </is>
      </c>
      <c r="L600" t="inlineStr">
        <is>
          <t>21:18:10</t>
        </is>
      </c>
      <c r="M600" t="inlineStr">
        <is>
          <t>21:18:35</t>
        </is>
      </c>
    </row>
    <row r="601" ht="15" customHeight="1" s="37">
      <c r="A601" t="n">
        <v>12</v>
      </c>
      <c r="B601" s="10" t="inlineStr">
        <is>
          <t>休日</t>
        </is>
      </c>
      <c r="C601" s="10" t="inlineStr">
        <is>
          <t>本線</t>
        </is>
      </c>
      <c r="D601" s="10" t="inlineStr">
        <is>
          <t>上り</t>
        </is>
      </c>
      <c r="E601" t="inlineStr">
        <is>
          <t>2102</t>
        </is>
      </c>
      <c r="F601" t="inlineStr">
        <is>
          <t>0221</t>
        </is>
      </c>
      <c r="G601" s="10" t="inlineStr">
        <is>
          <t>西大路三条</t>
        </is>
      </c>
      <c r="H601" s="10" t="inlineStr">
        <is>
          <t>発</t>
        </is>
      </c>
      <c r="J601" s="10" t="inlineStr">
        <is>
          <t>営業</t>
        </is>
      </c>
      <c r="L601" t="inlineStr">
        <is>
          <t>21:20:25</t>
        </is>
      </c>
      <c r="M601" t="inlineStr">
        <is>
          <t>21:20:40</t>
        </is>
      </c>
    </row>
    <row r="602" ht="15" customHeight="1" s="37">
      <c r="A602" t="n">
        <v>12</v>
      </c>
      <c r="B602" s="10" t="inlineStr">
        <is>
          <t>休日</t>
        </is>
      </c>
      <c r="C602" s="10" t="inlineStr">
        <is>
          <t>本線</t>
        </is>
      </c>
      <c r="D602" s="10" t="inlineStr">
        <is>
          <t>上り</t>
        </is>
      </c>
      <c r="E602" t="inlineStr">
        <is>
          <t>2102</t>
        </is>
      </c>
      <c r="F602" t="inlineStr">
        <is>
          <t>0221</t>
        </is>
      </c>
      <c r="G602" s="10" t="inlineStr">
        <is>
          <t>西院</t>
        </is>
      </c>
      <c r="H602" s="10" t="inlineStr">
        <is>
          <t>発</t>
        </is>
      </c>
      <c r="J602" s="10" t="inlineStr">
        <is>
          <t>営業</t>
        </is>
      </c>
      <c r="L602" t="inlineStr">
        <is>
          <t>21:22:35</t>
        </is>
      </c>
      <c r="M602" t="inlineStr">
        <is>
          <t>21:23:05</t>
        </is>
      </c>
    </row>
    <row r="603" ht="15" customHeight="1" s="37">
      <c r="A603" t="n">
        <v>12</v>
      </c>
      <c r="B603" s="10" t="inlineStr">
        <is>
          <t>休日</t>
        </is>
      </c>
      <c r="C603" s="10" t="inlineStr">
        <is>
          <t>本線</t>
        </is>
      </c>
      <c r="D603" s="10" t="inlineStr">
        <is>
          <t>上り</t>
        </is>
      </c>
      <c r="E603" t="inlineStr">
        <is>
          <t>2102</t>
        </is>
      </c>
      <c r="F603" t="inlineStr">
        <is>
          <t>0221</t>
        </is>
      </c>
      <c r="G603" s="10" t="inlineStr">
        <is>
          <t>四条大宮</t>
        </is>
      </c>
      <c r="H603" s="10" t="inlineStr">
        <is>
          <t>着</t>
        </is>
      </c>
      <c r="J603" s="10" t="inlineStr">
        <is>
          <t>営業</t>
        </is>
      </c>
      <c r="L603" t="inlineStr">
        <is>
          <t>21:26:00</t>
        </is>
      </c>
      <c r="N603" t="inlineStr">
        <is>
          <t>○</t>
        </is>
      </c>
      <c r="Q603" t="inlineStr">
        <is>
          <t>2</t>
        </is>
      </c>
    </row>
    <row r="604" ht="15" customHeight="1" s="37">
      <c r="A604" t="n">
        <v>12</v>
      </c>
      <c r="B604" s="10" t="inlineStr">
        <is>
          <t>休日</t>
        </is>
      </c>
      <c r="C604" s="10" t="inlineStr">
        <is>
          <t>本線</t>
        </is>
      </c>
      <c r="D604" s="10" t="inlineStr">
        <is>
          <t>下り</t>
        </is>
      </c>
      <c r="E604" t="inlineStr">
        <is>
          <t>2107</t>
        </is>
      </c>
      <c r="F604" t="inlineStr">
        <is>
          <t>0122</t>
        </is>
      </c>
      <c r="G604" s="10" t="inlineStr">
        <is>
          <t>四条大宮</t>
        </is>
      </c>
      <c r="H604" s="10" t="inlineStr">
        <is>
          <t>発</t>
        </is>
      </c>
      <c r="J604" s="10" t="inlineStr">
        <is>
          <t>営業</t>
        </is>
      </c>
      <c r="M604" t="inlineStr">
        <is>
          <t>21:39:00</t>
        </is>
      </c>
      <c r="Q604" t="inlineStr">
        <is>
          <t>2</t>
        </is>
      </c>
    </row>
    <row r="605" ht="15" customHeight="1" s="37">
      <c r="A605" t="n">
        <v>12</v>
      </c>
      <c r="B605" s="10" t="inlineStr">
        <is>
          <t>休日</t>
        </is>
      </c>
      <c r="C605" s="10" t="inlineStr">
        <is>
          <t>本線</t>
        </is>
      </c>
      <c r="D605" s="10" t="inlineStr">
        <is>
          <t>下り</t>
        </is>
      </c>
      <c r="E605" t="inlineStr">
        <is>
          <t>2107</t>
        </is>
      </c>
      <c r="F605" t="inlineStr">
        <is>
          <t>0122</t>
        </is>
      </c>
      <c r="G605" s="10" t="inlineStr">
        <is>
          <t>西院</t>
        </is>
      </c>
      <c r="H605" s="10" t="inlineStr">
        <is>
          <t>発</t>
        </is>
      </c>
      <c r="J605" s="10" t="inlineStr">
        <is>
          <t>営業</t>
        </is>
      </c>
      <c r="L605" t="inlineStr">
        <is>
          <t>21:41:50</t>
        </is>
      </c>
      <c r="M605" t="inlineStr">
        <is>
          <t>21:42:20</t>
        </is>
      </c>
    </row>
    <row r="606" ht="15" customHeight="1" s="37">
      <c r="A606" t="n">
        <v>12</v>
      </c>
      <c r="B606" s="10" t="inlineStr">
        <is>
          <t>休日</t>
        </is>
      </c>
      <c r="C606" s="10" t="inlineStr">
        <is>
          <t>本線</t>
        </is>
      </c>
      <c r="D606" s="10" t="inlineStr">
        <is>
          <t>下り</t>
        </is>
      </c>
      <c r="E606" t="inlineStr">
        <is>
          <t>2107</t>
        </is>
      </c>
      <c r="F606" t="inlineStr">
        <is>
          <t>0122</t>
        </is>
      </c>
      <c r="G606" s="10" t="inlineStr">
        <is>
          <t>西大路三条</t>
        </is>
      </c>
      <c r="H606" s="10" t="inlineStr">
        <is>
          <t>発</t>
        </is>
      </c>
      <c r="J606" s="10" t="inlineStr">
        <is>
          <t>営業</t>
        </is>
      </c>
      <c r="L606" t="inlineStr">
        <is>
          <t>21:44:10</t>
        </is>
      </c>
      <c r="M606" t="inlineStr">
        <is>
          <t>21:44:30</t>
        </is>
      </c>
    </row>
    <row r="607" ht="15" customHeight="1" s="37">
      <c r="A607" t="n">
        <v>12</v>
      </c>
      <c r="B607" s="10" t="inlineStr">
        <is>
          <t>休日</t>
        </is>
      </c>
      <c r="C607" s="10" t="inlineStr">
        <is>
          <t>本線</t>
        </is>
      </c>
      <c r="D607" s="10" t="inlineStr">
        <is>
          <t>下り</t>
        </is>
      </c>
      <c r="E607" t="inlineStr">
        <is>
          <t>2107</t>
        </is>
      </c>
      <c r="F607" t="inlineStr">
        <is>
          <t>0122</t>
        </is>
      </c>
      <c r="G607" s="10" t="inlineStr">
        <is>
          <t>山ノ内</t>
        </is>
      </c>
      <c r="H607" s="10" t="inlineStr">
        <is>
          <t>発</t>
        </is>
      </c>
      <c r="J607" s="10" t="inlineStr">
        <is>
          <t>営業</t>
        </is>
      </c>
      <c r="L607" t="inlineStr">
        <is>
          <t>21:46:25</t>
        </is>
      </c>
      <c r="M607" t="inlineStr">
        <is>
          <t>21:46:50</t>
        </is>
      </c>
    </row>
    <row r="608" ht="15" customHeight="1" s="37">
      <c r="A608" t="n">
        <v>12</v>
      </c>
      <c r="B608" s="10" t="inlineStr">
        <is>
          <t>休日</t>
        </is>
      </c>
      <c r="C608" s="10" t="inlineStr">
        <is>
          <t>本線</t>
        </is>
      </c>
      <c r="D608" s="10" t="inlineStr">
        <is>
          <t>下り</t>
        </is>
      </c>
      <c r="E608" t="inlineStr">
        <is>
          <t>2107</t>
        </is>
      </c>
      <c r="F608" t="inlineStr">
        <is>
          <t>0122</t>
        </is>
      </c>
      <c r="G608" s="10" t="inlineStr">
        <is>
          <t>天神川</t>
        </is>
      </c>
      <c r="H608" s="10" t="inlineStr">
        <is>
          <t>発</t>
        </is>
      </c>
      <c r="J608" s="10" t="inlineStr">
        <is>
          <t>営業</t>
        </is>
      </c>
      <c r="L608" t="inlineStr">
        <is>
          <t>21:48:50</t>
        </is>
      </c>
      <c r="M608" t="inlineStr">
        <is>
          <t>21:49:30</t>
        </is>
      </c>
    </row>
    <row r="609" ht="15" customHeight="1" s="37">
      <c r="A609" t="n">
        <v>12</v>
      </c>
      <c r="B609" s="10" t="inlineStr">
        <is>
          <t>休日</t>
        </is>
      </c>
      <c r="C609" s="10" t="inlineStr">
        <is>
          <t>本線</t>
        </is>
      </c>
      <c r="D609" s="10" t="inlineStr">
        <is>
          <t>下り</t>
        </is>
      </c>
      <c r="E609" t="inlineStr">
        <is>
          <t>2107</t>
        </is>
      </c>
      <c r="F609" t="inlineStr">
        <is>
          <t>0122</t>
        </is>
      </c>
      <c r="G609" s="10" t="inlineStr">
        <is>
          <t>蚕ノ社</t>
        </is>
      </c>
      <c r="H609" s="10" t="inlineStr">
        <is>
          <t>発</t>
        </is>
      </c>
      <c r="J609" s="10" t="inlineStr">
        <is>
          <t>営業</t>
        </is>
      </c>
      <c r="L609" t="inlineStr">
        <is>
          <t>21:50:20</t>
        </is>
      </c>
      <c r="M609" t="inlineStr">
        <is>
          <t>21:50:40</t>
        </is>
      </c>
    </row>
    <row r="610" ht="15" customHeight="1" s="37">
      <c r="A610" t="n">
        <v>12</v>
      </c>
      <c r="B610" s="10" t="inlineStr">
        <is>
          <t>休日</t>
        </is>
      </c>
      <c r="C610" s="10" t="inlineStr">
        <is>
          <t>本線</t>
        </is>
      </c>
      <c r="D610" s="10" t="inlineStr">
        <is>
          <t>下り</t>
        </is>
      </c>
      <c r="E610" t="inlineStr">
        <is>
          <t>2107</t>
        </is>
      </c>
      <c r="F610" t="inlineStr">
        <is>
          <t>0122</t>
        </is>
      </c>
      <c r="G610" s="10" t="inlineStr">
        <is>
          <t>太秦広隆寺</t>
        </is>
      </c>
      <c r="H610" s="10" t="inlineStr">
        <is>
          <t>発</t>
        </is>
      </c>
      <c r="J610" s="10" t="inlineStr">
        <is>
          <t>営業</t>
        </is>
      </c>
      <c r="L610" t="inlineStr">
        <is>
          <t>21:52:00</t>
        </is>
      </c>
      <c r="M610" t="inlineStr">
        <is>
          <t>21:52:20</t>
        </is>
      </c>
    </row>
    <row r="611" ht="15" customHeight="1" s="37">
      <c r="A611" t="n">
        <v>12</v>
      </c>
      <c r="B611" s="10" t="inlineStr">
        <is>
          <t>休日</t>
        </is>
      </c>
      <c r="C611" s="10" t="inlineStr">
        <is>
          <t>本線</t>
        </is>
      </c>
      <c r="D611" s="10" t="inlineStr">
        <is>
          <t>下り</t>
        </is>
      </c>
      <c r="E611" t="inlineStr">
        <is>
          <t>2107</t>
        </is>
      </c>
      <c r="F611" t="inlineStr">
        <is>
          <t>0122</t>
        </is>
      </c>
      <c r="G611" s="10" t="inlineStr">
        <is>
          <t>帷子ノ辻</t>
        </is>
      </c>
      <c r="H611" s="10" t="inlineStr">
        <is>
          <t>発</t>
        </is>
      </c>
      <c r="J611" s="10" t="inlineStr">
        <is>
          <t>営業</t>
        </is>
      </c>
      <c r="L611" t="inlineStr">
        <is>
          <t>21:54:20</t>
        </is>
      </c>
      <c r="M611" t="inlineStr">
        <is>
          <t>21:55:40</t>
        </is>
      </c>
    </row>
    <row r="612" ht="15" customHeight="1" s="37">
      <c r="A612" t="n">
        <v>12</v>
      </c>
      <c r="B612" s="10" t="inlineStr">
        <is>
          <t>休日</t>
        </is>
      </c>
      <c r="C612" s="10" t="inlineStr">
        <is>
          <t>本線</t>
        </is>
      </c>
      <c r="D612" s="10" t="inlineStr">
        <is>
          <t>下り</t>
        </is>
      </c>
      <c r="E612" t="inlineStr">
        <is>
          <t>2107</t>
        </is>
      </c>
      <c r="F612" t="inlineStr">
        <is>
          <t>0122</t>
        </is>
      </c>
      <c r="G612" s="10" t="inlineStr">
        <is>
          <t>有栖川</t>
        </is>
      </c>
      <c r="H612" s="10" t="inlineStr">
        <is>
          <t>発</t>
        </is>
      </c>
      <c r="J612" s="10" t="inlineStr">
        <is>
          <t>営業</t>
        </is>
      </c>
      <c r="L612" t="inlineStr">
        <is>
          <t>21:56:50</t>
        </is>
      </c>
      <c r="M612" t="inlineStr">
        <is>
          <t>21:57:15</t>
        </is>
      </c>
    </row>
    <row r="613" ht="15" customHeight="1" s="37">
      <c r="A613" t="n">
        <v>12</v>
      </c>
      <c r="B613" s="10" t="inlineStr">
        <is>
          <t>休日</t>
        </is>
      </c>
      <c r="C613" s="10" t="inlineStr">
        <is>
          <t>本線</t>
        </is>
      </c>
      <c r="D613" s="10" t="inlineStr">
        <is>
          <t>下り</t>
        </is>
      </c>
      <c r="E613" t="inlineStr">
        <is>
          <t>2107</t>
        </is>
      </c>
      <c r="F613" t="inlineStr">
        <is>
          <t>0122</t>
        </is>
      </c>
      <c r="G613" s="10" t="inlineStr">
        <is>
          <t>車折</t>
        </is>
      </c>
      <c r="H613" s="10" t="inlineStr">
        <is>
          <t>発</t>
        </is>
      </c>
      <c r="J613" s="10" t="inlineStr">
        <is>
          <t>営業</t>
        </is>
      </c>
      <c r="L613" t="inlineStr">
        <is>
          <t>21:58:40</t>
        </is>
      </c>
      <c r="M613" t="inlineStr">
        <is>
          <t>21:59:05</t>
        </is>
      </c>
    </row>
    <row r="614" ht="15" customHeight="1" s="37">
      <c r="A614" t="n">
        <v>12</v>
      </c>
      <c r="B614" s="10" t="inlineStr">
        <is>
          <t>休日</t>
        </is>
      </c>
      <c r="C614" s="10" t="inlineStr">
        <is>
          <t>本線</t>
        </is>
      </c>
      <c r="D614" s="10" t="inlineStr">
        <is>
          <t>下り</t>
        </is>
      </c>
      <c r="E614" t="inlineStr">
        <is>
          <t>2107</t>
        </is>
      </c>
      <c r="F614" t="inlineStr">
        <is>
          <t>0122</t>
        </is>
      </c>
      <c r="G614" s="10" t="inlineStr">
        <is>
          <t>鹿王院</t>
        </is>
      </c>
      <c r="H614" s="10" t="inlineStr">
        <is>
          <t>発</t>
        </is>
      </c>
      <c r="J614" s="10" t="inlineStr">
        <is>
          <t>営業</t>
        </is>
      </c>
      <c r="L614" t="inlineStr">
        <is>
          <t>22:00:00</t>
        </is>
      </c>
      <c r="M614" t="inlineStr">
        <is>
          <t>22:00:25</t>
        </is>
      </c>
    </row>
    <row r="615" ht="15" customHeight="1" s="37">
      <c r="A615" t="n">
        <v>12</v>
      </c>
      <c r="B615" s="10" t="inlineStr">
        <is>
          <t>休日</t>
        </is>
      </c>
      <c r="C615" s="10" t="inlineStr">
        <is>
          <t>本線</t>
        </is>
      </c>
      <c r="D615" s="10" t="inlineStr">
        <is>
          <t>下り</t>
        </is>
      </c>
      <c r="E615" t="inlineStr">
        <is>
          <t>2107</t>
        </is>
      </c>
      <c r="F615" t="inlineStr">
        <is>
          <t>0122</t>
        </is>
      </c>
      <c r="G615" s="10" t="inlineStr">
        <is>
          <t>嵯峨</t>
        </is>
      </c>
      <c r="H615" s="10" t="inlineStr">
        <is>
          <t>発</t>
        </is>
      </c>
      <c r="J615" s="10" t="inlineStr">
        <is>
          <t>営業</t>
        </is>
      </c>
      <c r="L615" t="inlineStr">
        <is>
          <t>22:01:30</t>
        </is>
      </c>
      <c r="M615" t="inlineStr">
        <is>
          <t>22:01:55</t>
        </is>
      </c>
    </row>
    <row r="616" ht="15" customHeight="1" s="37">
      <c r="A616" t="n">
        <v>12</v>
      </c>
      <c r="B616" s="10" t="inlineStr">
        <is>
          <t>休日</t>
        </is>
      </c>
      <c r="C616" s="10" t="inlineStr">
        <is>
          <t>本線</t>
        </is>
      </c>
      <c r="D616" s="10" t="inlineStr">
        <is>
          <t>下り</t>
        </is>
      </c>
      <c r="E616" t="inlineStr">
        <is>
          <t>2107</t>
        </is>
      </c>
      <c r="F616" t="inlineStr">
        <is>
          <t>0122</t>
        </is>
      </c>
      <c r="G616" s="10" t="inlineStr">
        <is>
          <t>嵐山</t>
        </is>
      </c>
      <c r="H616" s="10" t="inlineStr">
        <is>
          <t>着</t>
        </is>
      </c>
      <c r="J616" s="10" t="inlineStr">
        <is>
          <t>営業</t>
        </is>
      </c>
      <c r="L616" t="inlineStr">
        <is>
          <t>22:03:00</t>
        </is>
      </c>
      <c r="N616" t="inlineStr">
        <is>
          <t>○</t>
        </is>
      </c>
      <c r="Q616" t="inlineStr">
        <is>
          <t>1</t>
        </is>
      </c>
    </row>
    <row r="617" ht="15" customHeight="1" s="37">
      <c r="A617" t="n">
        <v>12</v>
      </c>
      <c r="B617" s="10" t="inlineStr">
        <is>
          <t>休日</t>
        </is>
      </c>
      <c r="C617" s="10" t="inlineStr">
        <is>
          <t>本線</t>
        </is>
      </c>
      <c r="D617" s="10" t="inlineStr">
        <is>
          <t>上り</t>
        </is>
      </c>
      <c r="E617" t="inlineStr">
        <is>
          <t>2202</t>
        </is>
      </c>
      <c r="F617" t="inlineStr">
        <is>
          <t>0221</t>
        </is>
      </c>
      <c r="G617" s="10" t="inlineStr">
        <is>
          <t>嵐山</t>
        </is>
      </c>
      <c r="H617" s="10" t="inlineStr">
        <is>
          <t>発</t>
        </is>
      </c>
      <c r="J617" s="10" t="inlineStr">
        <is>
          <t>営業</t>
        </is>
      </c>
      <c r="M617" t="inlineStr">
        <is>
          <t>22:08:00</t>
        </is>
      </c>
      <c r="Q617" t="inlineStr">
        <is>
          <t>1</t>
        </is>
      </c>
    </row>
    <row r="618" ht="15" customHeight="1" s="37">
      <c r="A618" t="n">
        <v>12</v>
      </c>
      <c r="B618" s="10" t="inlineStr">
        <is>
          <t>休日</t>
        </is>
      </c>
      <c r="C618" s="10" t="inlineStr">
        <is>
          <t>本線</t>
        </is>
      </c>
      <c r="D618" s="10" t="inlineStr">
        <is>
          <t>上り</t>
        </is>
      </c>
      <c r="E618" t="inlineStr">
        <is>
          <t>2202</t>
        </is>
      </c>
      <c r="F618" t="inlineStr">
        <is>
          <t>0221</t>
        </is>
      </c>
      <c r="G618" s="10" t="inlineStr">
        <is>
          <t>嵯峨</t>
        </is>
      </c>
      <c r="H618" s="10" t="inlineStr">
        <is>
          <t>発</t>
        </is>
      </c>
      <c r="J618" s="10" t="inlineStr">
        <is>
          <t>営業</t>
        </is>
      </c>
      <c r="L618" t="inlineStr">
        <is>
          <t>22:08:55</t>
        </is>
      </c>
      <c r="M618" t="inlineStr">
        <is>
          <t>22:09:10</t>
        </is>
      </c>
    </row>
    <row r="619" ht="15" customHeight="1" s="37">
      <c r="A619" t="n">
        <v>12</v>
      </c>
      <c r="B619" s="10" t="inlineStr">
        <is>
          <t>休日</t>
        </is>
      </c>
      <c r="C619" s="10" t="inlineStr">
        <is>
          <t>本線</t>
        </is>
      </c>
      <c r="D619" s="10" t="inlineStr">
        <is>
          <t>上り</t>
        </is>
      </c>
      <c r="E619" t="inlineStr">
        <is>
          <t>2202</t>
        </is>
      </c>
      <c r="F619" t="inlineStr">
        <is>
          <t>0221</t>
        </is>
      </c>
      <c r="G619" s="10" t="inlineStr">
        <is>
          <t>鹿王院</t>
        </is>
      </c>
      <c r="H619" s="10" t="inlineStr">
        <is>
          <t>発</t>
        </is>
      </c>
      <c r="J619" s="10" t="inlineStr">
        <is>
          <t>営業</t>
        </is>
      </c>
      <c r="L619" t="inlineStr">
        <is>
          <t>22:10:15</t>
        </is>
      </c>
      <c r="M619" t="inlineStr">
        <is>
          <t>22:10:30</t>
        </is>
      </c>
    </row>
    <row r="620" ht="15" customHeight="1" s="37">
      <c r="A620" t="n">
        <v>12</v>
      </c>
      <c r="B620" s="10" t="inlineStr">
        <is>
          <t>休日</t>
        </is>
      </c>
      <c r="C620" s="10" t="inlineStr">
        <is>
          <t>本線</t>
        </is>
      </c>
      <c r="D620" s="10" t="inlineStr">
        <is>
          <t>上り</t>
        </is>
      </c>
      <c r="E620" t="inlineStr">
        <is>
          <t>2202</t>
        </is>
      </c>
      <c r="F620" t="inlineStr">
        <is>
          <t>0221</t>
        </is>
      </c>
      <c r="G620" s="10" t="inlineStr">
        <is>
          <t>車折</t>
        </is>
      </c>
      <c r="H620" s="10" t="inlineStr">
        <is>
          <t>発</t>
        </is>
      </c>
      <c r="J620" s="10" t="inlineStr">
        <is>
          <t>営業</t>
        </is>
      </c>
      <c r="L620" t="inlineStr">
        <is>
          <t>22:11:25</t>
        </is>
      </c>
      <c r="M620" t="inlineStr">
        <is>
          <t>22:11:40</t>
        </is>
      </c>
    </row>
    <row r="621" ht="15" customHeight="1" s="37">
      <c r="A621" t="n">
        <v>12</v>
      </c>
      <c r="B621" s="10" t="inlineStr">
        <is>
          <t>休日</t>
        </is>
      </c>
      <c r="C621" s="10" t="inlineStr">
        <is>
          <t>本線</t>
        </is>
      </c>
      <c r="D621" s="10" t="inlineStr">
        <is>
          <t>上り</t>
        </is>
      </c>
      <c r="E621" t="inlineStr">
        <is>
          <t>2202</t>
        </is>
      </c>
      <c r="F621" t="inlineStr">
        <is>
          <t>0221</t>
        </is>
      </c>
      <c r="G621" s="10" t="inlineStr">
        <is>
          <t>有栖川</t>
        </is>
      </c>
      <c r="H621" s="10" t="inlineStr">
        <is>
          <t>発</t>
        </is>
      </c>
      <c r="J621" s="10" t="inlineStr">
        <is>
          <t>営業</t>
        </is>
      </c>
      <c r="L621" t="inlineStr">
        <is>
          <t>22:13:05</t>
        </is>
      </c>
      <c r="M621" t="inlineStr">
        <is>
          <t>22:13:20</t>
        </is>
      </c>
    </row>
    <row r="622" ht="15" customHeight="1" s="37">
      <c r="A622" t="n">
        <v>12</v>
      </c>
      <c r="B622" s="10" t="inlineStr">
        <is>
          <t>休日</t>
        </is>
      </c>
      <c r="C622" s="10" t="inlineStr">
        <is>
          <t>本線</t>
        </is>
      </c>
      <c r="D622" s="10" t="inlineStr">
        <is>
          <t>上り</t>
        </is>
      </c>
      <c r="E622" t="inlineStr">
        <is>
          <t>2202</t>
        </is>
      </c>
      <c r="F622" t="inlineStr">
        <is>
          <t>0221</t>
        </is>
      </c>
      <c r="G622" s="10" t="inlineStr">
        <is>
          <t>帷子ノ辻</t>
        </is>
      </c>
      <c r="H622" s="10" t="inlineStr">
        <is>
          <t>発</t>
        </is>
      </c>
      <c r="J622" s="10" t="inlineStr">
        <is>
          <t>営業</t>
        </is>
      </c>
      <c r="L622" t="inlineStr">
        <is>
          <t>22:14:35</t>
        </is>
      </c>
      <c r="M622" t="inlineStr">
        <is>
          <t>22:15:05</t>
        </is>
      </c>
    </row>
    <row r="623" ht="15" customHeight="1" s="37">
      <c r="A623" t="n">
        <v>12</v>
      </c>
      <c r="B623" s="10" t="inlineStr">
        <is>
          <t>休日</t>
        </is>
      </c>
      <c r="C623" s="10" t="inlineStr">
        <is>
          <t>本線</t>
        </is>
      </c>
      <c r="D623" s="10" t="inlineStr">
        <is>
          <t>上り</t>
        </is>
      </c>
      <c r="E623" t="inlineStr">
        <is>
          <t>2202</t>
        </is>
      </c>
      <c r="F623" t="inlineStr">
        <is>
          <t>0221</t>
        </is>
      </c>
      <c r="G623" s="10" t="inlineStr">
        <is>
          <t>太秦広隆寺</t>
        </is>
      </c>
      <c r="H623" s="10" t="inlineStr">
        <is>
          <t>発</t>
        </is>
      </c>
      <c r="J623" s="10" t="inlineStr">
        <is>
          <t>営業</t>
        </is>
      </c>
      <c r="L623" t="inlineStr">
        <is>
          <t>22:17:15</t>
        </is>
      </c>
      <c r="M623" t="inlineStr">
        <is>
          <t>22:17:35</t>
        </is>
      </c>
    </row>
    <row r="624" ht="15" customHeight="1" s="37">
      <c r="A624" t="n">
        <v>12</v>
      </c>
      <c r="B624" s="10" t="inlineStr">
        <is>
          <t>休日</t>
        </is>
      </c>
      <c r="C624" s="10" t="inlineStr">
        <is>
          <t>本線</t>
        </is>
      </c>
      <c r="D624" s="10" t="inlineStr">
        <is>
          <t>上り</t>
        </is>
      </c>
      <c r="E624" t="inlineStr">
        <is>
          <t>2202</t>
        </is>
      </c>
      <c r="F624" t="inlineStr">
        <is>
          <t>0221</t>
        </is>
      </c>
      <c r="G624" s="10" t="inlineStr">
        <is>
          <t>蚕ノ社</t>
        </is>
      </c>
      <c r="H624" s="10" t="inlineStr">
        <is>
          <t>発</t>
        </is>
      </c>
      <c r="J624" s="10" t="inlineStr">
        <is>
          <t>営業</t>
        </is>
      </c>
      <c r="L624" t="inlineStr">
        <is>
          <t>22:18:50</t>
        </is>
      </c>
      <c r="M624" t="inlineStr">
        <is>
          <t>22:19:10</t>
        </is>
      </c>
    </row>
    <row r="625" ht="15" customHeight="1" s="37">
      <c r="A625" t="n">
        <v>12</v>
      </c>
      <c r="B625" s="10" t="inlineStr">
        <is>
          <t>休日</t>
        </is>
      </c>
      <c r="C625" s="10" t="inlineStr">
        <is>
          <t>本線</t>
        </is>
      </c>
      <c r="D625" s="10" t="inlineStr">
        <is>
          <t>上り</t>
        </is>
      </c>
      <c r="E625" t="inlineStr">
        <is>
          <t>2202</t>
        </is>
      </c>
      <c r="F625" t="inlineStr">
        <is>
          <t>0221</t>
        </is>
      </c>
      <c r="G625" s="10" t="inlineStr">
        <is>
          <t>天神川</t>
        </is>
      </c>
      <c r="H625" s="10" t="inlineStr">
        <is>
          <t>発</t>
        </is>
      </c>
      <c r="J625" s="10" t="inlineStr">
        <is>
          <t>営業</t>
        </is>
      </c>
      <c r="L625" t="inlineStr">
        <is>
          <t>22:19:55</t>
        </is>
      </c>
      <c r="M625" t="inlineStr">
        <is>
          <t>22:20:20</t>
        </is>
      </c>
    </row>
    <row r="626" ht="15" customHeight="1" s="37">
      <c r="A626" t="n">
        <v>12</v>
      </c>
      <c r="B626" s="10" t="inlineStr">
        <is>
          <t>休日</t>
        </is>
      </c>
      <c r="C626" s="10" t="inlineStr">
        <is>
          <t>本線</t>
        </is>
      </c>
      <c r="D626" s="10" t="inlineStr">
        <is>
          <t>上り</t>
        </is>
      </c>
      <c r="E626" t="inlineStr">
        <is>
          <t>2202</t>
        </is>
      </c>
      <c r="F626" t="inlineStr">
        <is>
          <t>0221</t>
        </is>
      </c>
      <c r="G626" s="10" t="inlineStr">
        <is>
          <t>山ノ内</t>
        </is>
      </c>
      <c r="H626" s="10" t="inlineStr">
        <is>
          <t>発</t>
        </is>
      </c>
      <c r="J626" s="10" t="inlineStr">
        <is>
          <t>営業</t>
        </is>
      </c>
      <c r="L626" t="inlineStr">
        <is>
          <t>22:22:10</t>
        </is>
      </c>
      <c r="M626" t="inlineStr">
        <is>
          <t>22:22:35</t>
        </is>
      </c>
    </row>
    <row r="627" ht="15" customHeight="1" s="37">
      <c r="A627" t="n">
        <v>12</v>
      </c>
      <c r="B627" s="10" t="inlineStr">
        <is>
          <t>休日</t>
        </is>
      </c>
      <c r="C627" s="10" t="inlineStr">
        <is>
          <t>本線</t>
        </is>
      </c>
      <c r="D627" s="10" t="inlineStr">
        <is>
          <t>上り</t>
        </is>
      </c>
      <c r="E627" t="inlineStr">
        <is>
          <t>2202</t>
        </is>
      </c>
      <c r="F627" t="inlineStr">
        <is>
          <t>0221</t>
        </is>
      </c>
      <c r="G627" s="10" t="inlineStr">
        <is>
          <t>西大路三条</t>
        </is>
      </c>
      <c r="H627" s="10" t="inlineStr">
        <is>
          <t>発</t>
        </is>
      </c>
      <c r="J627" s="10" t="inlineStr">
        <is>
          <t>営業</t>
        </is>
      </c>
      <c r="L627" t="inlineStr">
        <is>
          <t>22:24:25</t>
        </is>
      </c>
      <c r="M627" t="inlineStr">
        <is>
          <t>22:24:40</t>
        </is>
      </c>
    </row>
    <row r="628" ht="15" customHeight="1" s="37">
      <c r="A628" t="n">
        <v>12</v>
      </c>
      <c r="B628" s="10" t="inlineStr">
        <is>
          <t>休日</t>
        </is>
      </c>
      <c r="C628" s="10" t="inlineStr">
        <is>
          <t>本線</t>
        </is>
      </c>
      <c r="D628" s="10" t="inlineStr">
        <is>
          <t>上り</t>
        </is>
      </c>
      <c r="E628" t="inlineStr">
        <is>
          <t>2202</t>
        </is>
      </c>
      <c r="F628" t="inlineStr">
        <is>
          <t>0221</t>
        </is>
      </c>
      <c r="G628" s="10" t="inlineStr">
        <is>
          <t>西院</t>
        </is>
      </c>
      <c r="H628" s="10" t="inlineStr">
        <is>
          <t>発</t>
        </is>
      </c>
      <c r="J628" s="10" t="inlineStr">
        <is>
          <t>営業</t>
        </is>
      </c>
      <c r="L628" t="inlineStr">
        <is>
          <t>22:26:35</t>
        </is>
      </c>
      <c r="M628" t="inlineStr">
        <is>
          <t>22:27:05</t>
        </is>
      </c>
    </row>
    <row r="629" ht="15" customHeight="1" s="37">
      <c r="A629" t="n">
        <v>12</v>
      </c>
      <c r="B629" s="10" t="inlineStr">
        <is>
          <t>休日</t>
        </is>
      </c>
      <c r="C629" s="10" t="inlineStr">
        <is>
          <t>本線</t>
        </is>
      </c>
      <c r="D629" s="10" t="inlineStr">
        <is>
          <t>上り</t>
        </is>
      </c>
      <c r="E629" t="inlineStr">
        <is>
          <t>2202</t>
        </is>
      </c>
      <c r="F629" t="inlineStr">
        <is>
          <t>0221</t>
        </is>
      </c>
      <c r="G629" s="10" t="inlineStr">
        <is>
          <t>四条大宮</t>
        </is>
      </c>
      <c r="H629" s="10" t="inlineStr">
        <is>
          <t>着</t>
        </is>
      </c>
      <c r="J629" s="10" t="inlineStr">
        <is>
          <t>営業</t>
        </is>
      </c>
      <c r="L629" t="inlineStr">
        <is>
          <t>22:30:00</t>
        </is>
      </c>
      <c r="N629" t="inlineStr">
        <is>
          <t>○</t>
        </is>
      </c>
      <c r="Q629" t="inlineStr">
        <is>
          <t>1</t>
        </is>
      </c>
    </row>
    <row r="630" ht="15" customHeight="1" s="37">
      <c r="A630" t="n">
        <v>12</v>
      </c>
      <c r="B630" s="10" t="inlineStr">
        <is>
          <t>休日</t>
        </is>
      </c>
      <c r="C630" s="10" t="inlineStr">
        <is>
          <t>本線</t>
        </is>
      </c>
      <c r="D630" s="10" t="inlineStr">
        <is>
          <t>下り</t>
        </is>
      </c>
      <c r="E630" t="inlineStr">
        <is>
          <t>2207</t>
        </is>
      </c>
      <c r="F630" t="inlineStr">
        <is>
          <t>0122</t>
        </is>
      </c>
      <c r="G630" s="10" t="inlineStr">
        <is>
          <t>四条大宮</t>
        </is>
      </c>
      <c r="H630" s="10" t="inlineStr">
        <is>
          <t>発</t>
        </is>
      </c>
      <c r="J630" s="10" t="inlineStr">
        <is>
          <t>営業</t>
        </is>
      </c>
      <c r="M630" t="inlineStr">
        <is>
          <t>22:45:00</t>
        </is>
      </c>
      <c r="Q630" t="inlineStr">
        <is>
          <t>1</t>
        </is>
      </c>
    </row>
    <row r="631" ht="15" customHeight="1" s="37">
      <c r="A631" t="n">
        <v>12</v>
      </c>
      <c r="B631" s="10" t="inlineStr">
        <is>
          <t>休日</t>
        </is>
      </c>
      <c r="C631" s="10" t="inlineStr">
        <is>
          <t>本線</t>
        </is>
      </c>
      <c r="D631" s="10" t="inlineStr">
        <is>
          <t>下り</t>
        </is>
      </c>
      <c r="E631" t="inlineStr">
        <is>
          <t>2207</t>
        </is>
      </c>
      <c r="F631" t="inlineStr">
        <is>
          <t>0122</t>
        </is>
      </c>
      <c r="G631" s="10" t="inlineStr">
        <is>
          <t>西院</t>
        </is>
      </c>
      <c r="H631" s="10" t="inlineStr">
        <is>
          <t>発</t>
        </is>
      </c>
      <c r="J631" s="10" t="inlineStr">
        <is>
          <t>営業</t>
        </is>
      </c>
      <c r="L631" t="inlineStr">
        <is>
          <t>22:47:50</t>
        </is>
      </c>
      <c r="M631" t="inlineStr">
        <is>
          <t>22:48:20</t>
        </is>
      </c>
    </row>
    <row r="632" ht="15" customHeight="1" s="37">
      <c r="A632" t="n">
        <v>12</v>
      </c>
      <c r="B632" s="10" t="inlineStr">
        <is>
          <t>休日</t>
        </is>
      </c>
      <c r="C632" s="10" t="inlineStr">
        <is>
          <t>本線</t>
        </is>
      </c>
      <c r="D632" s="10" t="inlineStr">
        <is>
          <t>下り</t>
        </is>
      </c>
      <c r="E632" t="inlineStr">
        <is>
          <t>2207</t>
        </is>
      </c>
      <c r="F632" t="inlineStr">
        <is>
          <t>0122</t>
        </is>
      </c>
      <c r="G632" s="10" t="inlineStr">
        <is>
          <t>西大路三条</t>
        </is>
      </c>
      <c r="H632" s="10" t="inlineStr">
        <is>
          <t>発</t>
        </is>
      </c>
      <c r="J632" s="10" t="inlineStr">
        <is>
          <t>営業</t>
        </is>
      </c>
      <c r="L632" t="inlineStr">
        <is>
          <t>22:50:10</t>
        </is>
      </c>
      <c r="M632" t="inlineStr">
        <is>
          <t>22:50:30</t>
        </is>
      </c>
    </row>
    <row r="633" ht="15" customHeight="1" s="37">
      <c r="A633" t="n">
        <v>12</v>
      </c>
      <c r="B633" s="10" t="inlineStr">
        <is>
          <t>休日</t>
        </is>
      </c>
      <c r="C633" s="10" t="inlineStr">
        <is>
          <t>本線</t>
        </is>
      </c>
      <c r="D633" s="10" t="inlineStr">
        <is>
          <t>下り</t>
        </is>
      </c>
      <c r="E633" t="inlineStr">
        <is>
          <t>2207</t>
        </is>
      </c>
      <c r="F633" t="inlineStr">
        <is>
          <t>0122</t>
        </is>
      </c>
      <c r="G633" s="10" t="inlineStr">
        <is>
          <t>山ノ内</t>
        </is>
      </c>
      <c r="H633" s="10" t="inlineStr">
        <is>
          <t>発</t>
        </is>
      </c>
      <c r="J633" s="10" t="inlineStr">
        <is>
          <t>営業</t>
        </is>
      </c>
      <c r="L633" t="inlineStr">
        <is>
          <t>22:52:25</t>
        </is>
      </c>
      <c r="M633" t="inlineStr">
        <is>
          <t>22:52:50</t>
        </is>
      </c>
    </row>
    <row r="634" ht="15" customHeight="1" s="37">
      <c r="A634" t="n">
        <v>12</v>
      </c>
      <c r="B634" s="10" t="inlineStr">
        <is>
          <t>休日</t>
        </is>
      </c>
      <c r="C634" s="10" t="inlineStr">
        <is>
          <t>本線</t>
        </is>
      </c>
      <c r="D634" s="10" t="inlineStr">
        <is>
          <t>下り</t>
        </is>
      </c>
      <c r="E634" t="inlineStr">
        <is>
          <t>2207</t>
        </is>
      </c>
      <c r="F634" t="inlineStr">
        <is>
          <t>0122</t>
        </is>
      </c>
      <c r="G634" s="10" t="inlineStr">
        <is>
          <t>天神川</t>
        </is>
      </c>
      <c r="H634" s="10" t="inlineStr">
        <is>
          <t>発</t>
        </is>
      </c>
      <c r="J634" s="10" t="inlineStr">
        <is>
          <t>営業</t>
        </is>
      </c>
      <c r="L634" t="inlineStr">
        <is>
          <t>22:54:50</t>
        </is>
      </c>
      <c r="M634" t="inlineStr">
        <is>
          <t>22:55:30</t>
        </is>
      </c>
    </row>
    <row r="635" ht="15" customHeight="1" s="37">
      <c r="A635" t="n">
        <v>12</v>
      </c>
      <c r="B635" s="10" t="inlineStr">
        <is>
          <t>休日</t>
        </is>
      </c>
      <c r="C635" s="10" t="inlineStr">
        <is>
          <t>本線</t>
        </is>
      </c>
      <c r="D635" s="10" t="inlineStr">
        <is>
          <t>下り</t>
        </is>
      </c>
      <c r="E635" t="inlineStr">
        <is>
          <t>2207</t>
        </is>
      </c>
      <c r="F635" t="inlineStr">
        <is>
          <t>0122</t>
        </is>
      </c>
      <c r="G635" s="10" t="inlineStr">
        <is>
          <t>蚕ノ社</t>
        </is>
      </c>
      <c r="H635" s="10" t="inlineStr">
        <is>
          <t>発</t>
        </is>
      </c>
      <c r="J635" s="10" t="inlineStr">
        <is>
          <t>営業</t>
        </is>
      </c>
      <c r="L635" t="inlineStr">
        <is>
          <t>22:56:20</t>
        </is>
      </c>
      <c r="M635" t="inlineStr">
        <is>
          <t>22:56:40</t>
        </is>
      </c>
    </row>
    <row r="636" ht="15" customHeight="1" s="37">
      <c r="A636" t="n">
        <v>12</v>
      </c>
      <c r="B636" s="10" t="inlineStr">
        <is>
          <t>休日</t>
        </is>
      </c>
      <c r="C636" s="10" t="inlineStr">
        <is>
          <t>本線</t>
        </is>
      </c>
      <c r="D636" s="10" t="inlineStr">
        <is>
          <t>下り</t>
        </is>
      </c>
      <c r="E636" t="inlineStr">
        <is>
          <t>2207</t>
        </is>
      </c>
      <c r="F636" t="inlineStr">
        <is>
          <t>0122</t>
        </is>
      </c>
      <c r="G636" s="10" t="inlineStr">
        <is>
          <t>太秦広隆寺</t>
        </is>
      </c>
      <c r="H636" s="10" t="inlineStr">
        <is>
          <t>発</t>
        </is>
      </c>
      <c r="J636" s="10" t="inlineStr">
        <is>
          <t>営業</t>
        </is>
      </c>
      <c r="L636" t="inlineStr">
        <is>
          <t>22:58:00</t>
        </is>
      </c>
      <c r="M636" t="inlineStr">
        <is>
          <t>22:58:20</t>
        </is>
      </c>
    </row>
    <row r="637" ht="15" customHeight="1" s="37">
      <c r="A637" t="n">
        <v>12</v>
      </c>
      <c r="B637" s="10" t="inlineStr">
        <is>
          <t>休日</t>
        </is>
      </c>
      <c r="C637" s="10" t="inlineStr">
        <is>
          <t>本線</t>
        </is>
      </c>
      <c r="D637" s="10" t="inlineStr">
        <is>
          <t>下り</t>
        </is>
      </c>
      <c r="E637" t="inlineStr">
        <is>
          <t>2207</t>
        </is>
      </c>
      <c r="F637" t="inlineStr">
        <is>
          <t>0122</t>
        </is>
      </c>
      <c r="G637" s="10" t="inlineStr">
        <is>
          <t>帷子ノ辻</t>
        </is>
      </c>
      <c r="H637" s="10" t="inlineStr">
        <is>
          <t>発</t>
        </is>
      </c>
      <c r="J637" s="10" t="inlineStr">
        <is>
          <t>営業</t>
        </is>
      </c>
      <c r="L637" t="inlineStr">
        <is>
          <t>23:00:20</t>
        </is>
      </c>
      <c r="M637" t="inlineStr">
        <is>
          <t>23:01:40</t>
        </is>
      </c>
    </row>
    <row r="638" ht="15" customHeight="1" s="37">
      <c r="A638" t="n">
        <v>12</v>
      </c>
      <c r="B638" s="10" t="inlineStr">
        <is>
          <t>休日</t>
        </is>
      </c>
      <c r="C638" s="10" t="inlineStr">
        <is>
          <t>本線</t>
        </is>
      </c>
      <c r="D638" s="10" t="inlineStr">
        <is>
          <t>下り</t>
        </is>
      </c>
      <c r="E638" t="inlineStr">
        <is>
          <t>2207</t>
        </is>
      </c>
      <c r="F638" t="inlineStr">
        <is>
          <t>0122</t>
        </is>
      </c>
      <c r="G638" s="10" t="inlineStr">
        <is>
          <t>有栖川</t>
        </is>
      </c>
      <c r="H638" s="10" t="inlineStr">
        <is>
          <t>発</t>
        </is>
      </c>
      <c r="J638" s="10" t="inlineStr">
        <is>
          <t>営業</t>
        </is>
      </c>
      <c r="L638" t="inlineStr">
        <is>
          <t>23:02:50</t>
        </is>
      </c>
      <c r="M638" t="inlineStr">
        <is>
          <t>23:03:15</t>
        </is>
      </c>
    </row>
    <row r="639" ht="15" customHeight="1" s="37">
      <c r="A639" t="n">
        <v>12</v>
      </c>
      <c r="B639" s="10" t="inlineStr">
        <is>
          <t>休日</t>
        </is>
      </c>
      <c r="C639" s="10" t="inlineStr">
        <is>
          <t>本線</t>
        </is>
      </c>
      <c r="D639" s="10" t="inlineStr">
        <is>
          <t>下り</t>
        </is>
      </c>
      <c r="E639" t="inlineStr">
        <is>
          <t>2207</t>
        </is>
      </c>
      <c r="F639" t="inlineStr">
        <is>
          <t>0122</t>
        </is>
      </c>
      <c r="G639" s="10" t="inlineStr">
        <is>
          <t>車折</t>
        </is>
      </c>
      <c r="H639" s="10" t="inlineStr">
        <is>
          <t>発</t>
        </is>
      </c>
      <c r="J639" s="10" t="inlineStr">
        <is>
          <t>営業</t>
        </is>
      </c>
      <c r="L639" t="inlineStr">
        <is>
          <t>23:04:40</t>
        </is>
      </c>
      <c r="M639" t="inlineStr">
        <is>
          <t>23:05:05</t>
        </is>
      </c>
    </row>
    <row r="640" ht="15" customHeight="1" s="37">
      <c r="A640" t="n">
        <v>12</v>
      </c>
      <c r="B640" s="10" t="inlineStr">
        <is>
          <t>休日</t>
        </is>
      </c>
      <c r="C640" s="10" t="inlineStr">
        <is>
          <t>本線</t>
        </is>
      </c>
      <c r="D640" s="10" t="inlineStr">
        <is>
          <t>下り</t>
        </is>
      </c>
      <c r="E640" t="inlineStr">
        <is>
          <t>2207</t>
        </is>
      </c>
      <c r="F640" t="inlineStr">
        <is>
          <t>0122</t>
        </is>
      </c>
      <c r="G640" s="10" t="inlineStr">
        <is>
          <t>鹿王院</t>
        </is>
      </c>
      <c r="H640" s="10" t="inlineStr">
        <is>
          <t>発</t>
        </is>
      </c>
      <c r="J640" s="10" t="inlineStr">
        <is>
          <t>営業</t>
        </is>
      </c>
      <c r="L640" t="inlineStr">
        <is>
          <t>23:06:00</t>
        </is>
      </c>
      <c r="M640" t="inlineStr">
        <is>
          <t>23:06:25</t>
        </is>
      </c>
    </row>
    <row r="641" ht="15" customHeight="1" s="37">
      <c r="A641" t="n">
        <v>12</v>
      </c>
      <c r="B641" s="10" t="inlineStr">
        <is>
          <t>休日</t>
        </is>
      </c>
      <c r="C641" s="10" t="inlineStr">
        <is>
          <t>本線</t>
        </is>
      </c>
      <c r="D641" s="10" t="inlineStr">
        <is>
          <t>下り</t>
        </is>
      </c>
      <c r="E641" t="inlineStr">
        <is>
          <t>2207</t>
        </is>
      </c>
      <c r="F641" t="inlineStr">
        <is>
          <t>0122</t>
        </is>
      </c>
      <c r="G641" s="10" t="inlineStr">
        <is>
          <t>嵯峨</t>
        </is>
      </c>
      <c r="H641" s="10" t="inlineStr">
        <is>
          <t>発</t>
        </is>
      </c>
      <c r="J641" s="10" t="inlineStr">
        <is>
          <t>営業</t>
        </is>
      </c>
      <c r="L641" t="inlineStr">
        <is>
          <t>23:07:30</t>
        </is>
      </c>
      <c r="M641" t="inlineStr">
        <is>
          <t>23:07:55</t>
        </is>
      </c>
    </row>
    <row r="642" ht="15" customHeight="1" s="37">
      <c r="A642" t="n">
        <v>12</v>
      </c>
      <c r="B642" s="10" t="inlineStr">
        <is>
          <t>休日</t>
        </is>
      </c>
      <c r="C642" s="10" t="inlineStr">
        <is>
          <t>本線</t>
        </is>
      </c>
      <c r="D642" s="10" t="inlineStr">
        <is>
          <t>下り</t>
        </is>
      </c>
      <c r="E642" t="inlineStr">
        <is>
          <t>2207</t>
        </is>
      </c>
      <c r="F642" t="inlineStr">
        <is>
          <t>0122</t>
        </is>
      </c>
      <c r="G642" s="10" t="inlineStr">
        <is>
          <t>嵐山</t>
        </is>
      </c>
      <c r="H642" s="10" t="inlineStr">
        <is>
          <t>着</t>
        </is>
      </c>
      <c r="J642" s="10" t="inlineStr">
        <is>
          <t>営業</t>
        </is>
      </c>
      <c r="L642" t="inlineStr">
        <is>
          <t>23:09:00</t>
        </is>
      </c>
      <c r="N642" t="inlineStr">
        <is>
          <t>○</t>
        </is>
      </c>
      <c r="Q642" t="inlineStr">
        <is>
          <t>1</t>
        </is>
      </c>
    </row>
    <row r="643" ht="15" customHeight="1" s="37">
      <c r="A643" t="n">
        <v>12</v>
      </c>
      <c r="B643" s="10" t="inlineStr">
        <is>
          <t>休日</t>
        </is>
      </c>
      <c r="C643" s="10" t="inlineStr">
        <is>
          <t>本線</t>
        </is>
      </c>
      <c r="D643" s="10" t="inlineStr">
        <is>
          <t>上り</t>
        </is>
      </c>
      <c r="E643" t="inlineStr">
        <is>
          <t>2304</t>
        </is>
      </c>
      <c r="F643" t="inlineStr">
        <is>
          <t>0221</t>
        </is>
      </c>
      <c r="G643" s="10" t="inlineStr">
        <is>
          <t>嵐山</t>
        </is>
      </c>
      <c r="H643" s="10" t="inlineStr">
        <is>
          <t>発</t>
        </is>
      </c>
      <c r="J643" s="10" t="inlineStr">
        <is>
          <t>営業</t>
        </is>
      </c>
      <c r="M643" t="inlineStr">
        <is>
          <t>23:17:00</t>
        </is>
      </c>
      <c r="Q643" t="inlineStr">
        <is>
          <t>1</t>
        </is>
      </c>
    </row>
    <row r="644" ht="15" customHeight="1" s="37">
      <c r="A644" t="n">
        <v>12</v>
      </c>
      <c r="B644" s="10" t="inlineStr">
        <is>
          <t>休日</t>
        </is>
      </c>
      <c r="C644" s="10" t="inlineStr">
        <is>
          <t>本線</t>
        </is>
      </c>
      <c r="D644" s="10" t="inlineStr">
        <is>
          <t>上り</t>
        </is>
      </c>
      <c r="E644" t="inlineStr">
        <is>
          <t>2304</t>
        </is>
      </c>
      <c r="F644" t="inlineStr">
        <is>
          <t>0221</t>
        </is>
      </c>
      <c r="G644" s="10" t="inlineStr">
        <is>
          <t>嵯峨</t>
        </is>
      </c>
      <c r="H644" s="10" t="inlineStr">
        <is>
          <t>発</t>
        </is>
      </c>
      <c r="J644" s="10" t="inlineStr">
        <is>
          <t>営業</t>
        </is>
      </c>
      <c r="L644" t="inlineStr">
        <is>
          <t>23:17:55</t>
        </is>
      </c>
      <c r="M644" t="inlineStr">
        <is>
          <t>23:18:10</t>
        </is>
      </c>
    </row>
    <row r="645" ht="15" customHeight="1" s="37">
      <c r="A645" t="n">
        <v>12</v>
      </c>
      <c r="B645" s="10" t="inlineStr">
        <is>
          <t>休日</t>
        </is>
      </c>
      <c r="C645" s="10" t="inlineStr">
        <is>
          <t>本線</t>
        </is>
      </c>
      <c r="D645" s="10" t="inlineStr">
        <is>
          <t>上り</t>
        </is>
      </c>
      <c r="E645" t="inlineStr">
        <is>
          <t>2304</t>
        </is>
      </c>
      <c r="F645" t="inlineStr">
        <is>
          <t>0221</t>
        </is>
      </c>
      <c r="G645" s="10" t="inlineStr">
        <is>
          <t>鹿王院</t>
        </is>
      </c>
      <c r="H645" s="10" t="inlineStr">
        <is>
          <t>発</t>
        </is>
      </c>
      <c r="J645" s="10" t="inlineStr">
        <is>
          <t>営業</t>
        </is>
      </c>
      <c r="L645" t="inlineStr">
        <is>
          <t>23:19:15</t>
        </is>
      </c>
      <c r="M645" t="inlineStr">
        <is>
          <t>23:19:30</t>
        </is>
      </c>
    </row>
    <row r="646" ht="15" customHeight="1" s="37">
      <c r="A646" t="n">
        <v>12</v>
      </c>
      <c r="B646" s="10" t="inlineStr">
        <is>
          <t>休日</t>
        </is>
      </c>
      <c r="C646" s="10" t="inlineStr">
        <is>
          <t>本線</t>
        </is>
      </c>
      <c r="D646" s="10" t="inlineStr">
        <is>
          <t>上り</t>
        </is>
      </c>
      <c r="E646" t="inlineStr">
        <is>
          <t>2304</t>
        </is>
      </c>
      <c r="F646" t="inlineStr">
        <is>
          <t>0221</t>
        </is>
      </c>
      <c r="G646" s="10" t="inlineStr">
        <is>
          <t>車折</t>
        </is>
      </c>
      <c r="H646" s="10" t="inlineStr">
        <is>
          <t>発</t>
        </is>
      </c>
      <c r="J646" s="10" t="inlineStr">
        <is>
          <t>営業</t>
        </is>
      </c>
      <c r="L646" t="inlineStr">
        <is>
          <t>23:20:25</t>
        </is>
      </c>
      <c r="M646" t="inlineStr">
        <is>
          <t>23:20:40</t>
        </is>
      </c>
    </row>
    <row r="647" ht="15" customHeight="1" s="37">
      <c r="A647" t="n">
        <v>12</v>
      </c>
      <c r="B647" s="10" t="inlineStr">
        <is>
          <t>休日</t>
        </is>
      </c>
      <c r="C647" s="10" t="inlineStr">
        <is>
          <t>本線</t>
        </is>
      </c>
      <c r="D647" s="10" t="inlineStr">
        <is>
          <t>上り</t>
        </is>
      </c>
      <c r="E647" t="inlineStr">
        <is>
          <t>2304</t>
        </is>
      </c>
      <c r="F647" t="inlineStr">
        <is>
          <t>0221</t>
        </is>
      </c>
      <c r="G647" s="10" t="inlineStr">
        <is>
          <t>有栖川</t>
        </is>
      </c>
      <c r="H647" s="10" t="inlineStr">
        <is>
          <t>発</t>
        </is>
      </c>
      <c r="J647" s="10" t="inlineStr">
        <is>
          <t>営業</t>
        </is>
      </c>
      <c r="L647" t="inlineStr">
        <is>
          <t>23:22:05</t>
        </is>
      </c>
      <c r="M647" t="inlineStr">
        <is>
          <t>23:22:20</t>
        </is>
      </c>
    </row>
    <row r="648" ht="15" customHeight="1" s="37">
      <c r="A648" t="n">
        <v>12</v>
      </c>
      <c r="B648" t="inlineStr">
        <is>
          <t>休日</t>
        </is>
      </c>
      <c r="C648" t="inlineStr">
        <is>
          <t>本線</t>
        </is>
      </c>
      <c r="D648" t="inlineStr">
        <is>
          <t>上り</t>
        </is>
      </c>
      <c r="E648" t="inlineStr">
        <is>
          <t>2304</t>
        </is>
      </c>
      <c r="F648" t="inlineStr">
        <is>
          <t>0221</t>
        </is>
      </c>
      <c r="G648" t="inlineStr">
        <is>
          <t>帷子ノ辻</t>
        </is>
      </c>
      <c r="H648" t="inlineStr">
        <is>
          <t>発</t>
        </is>
      </c>
      <c r="J648" t="inlineStr">
        <is>
          <t>営業</t>
        </is>
      </c>
      <c r="L648" t="inlineStr">
        <is>
          <t>23:23:35</t>
        </is>
      </c>
      <c r="M648" t="inlineStr">
        <is>
          <t>23:24:05</t>
        </is>
      </c>
    </row>
    <row r="649" ht="15" customHeight="1" s="37">
      <c r="A649" t="n">
        <v>12</v>
      </c>
      <c r="B649" s="10" t="inlineStr">
        <is>
          <t>休日</t>
        </is>
      </c>
      <c r="C649" s="10" t="inlineStr">
        <is>
          <t>本線</t>
        </is>
      </c>
      <c r="D649" s="10" t="inlineStr">
        <is>
          <t>上り</t>
        </is>
      </c>
      <c r="E649" t="inlineStr">
        <is>
          <t>2304</t>
        </is>
      </c>
      <c r="F649" t="inlineStr">
        <is>
          <t>0221</t>
        </is>
      </c>
      <c r="G649" s="10" t="inlineStr">
        <is>
          <t>太秦広隆寺</t>
        </is>
      </c>
      <c r="H649" s="10" t="inlineStr">
        <is>
          <t>発</t>
        </is>
      </c>
      <c r="J649" s="10" t="inlineStr">
        <is>
          <t>営業</t>
        </is>
      </c>
      <c r="L649" t="inlineStr">
        <is>
          <t>23:26:15</t>
        </is>
      </c>
      <c r="M649" t="inlineStr">
        <is>
          <t>23:26:35</t>
        </is>
      </c>
    </row>
    <row r="650" ht="15" customHeight="1" s="37">
      <c r="A650" t="n">
        <v>12</v>
      </c>
      <c r="B650" s="10" t="inlineStr">
        <is>
          <t>休日</t>
        </is>
      </c>
      <c r="C650" s="10" t="inlineStr">
        <is>
          <t>本線</t>
        </is>
      </c>
      <c r="D650" s="10" t="inlineStr">
        <is>
          <t>上り</t>
        </is>
      </c>
      <c r="E650" t="inlineStr">
        <is>
          <t>2304</t>
        </is>
      </c>
      <c r="F650" t="inlineStr">
        <is>
          <t>0221</t>
        </is>
      </c>
      <c r="G650" s="10" t="inlineStr">
        <is>
          <t>蚕ノ社</t>
        </is>
      </c>
      <c r="H650" s="10" t="inlineStr">
        <is>
          <t>発</t>
        </is>
      </c>
      <c r="J650" s="10" t="inlineStr">
        <is>
          <t>営業</t>
        </is>
      </c>
      <c r="L650" t="inlineStr">
        <is>
          <t>23:27:50</t>
        </is>
      </c>
      <c r="M650" t="inlineStr">
        <is>
          <t>23:28:10</t>
        </is>
      </c>
    </row>
    <row r="651" ht="15" customHeight="1" s="37">
      <c r="A651" t="n">
        <v>12</v>
      </c>
      <c r="B651" s="10" t="inlineStr">
        <is>
          <t>休日</t>
        </is>
      </c>
      <c r="C651" s="10" t="inlineStr">
        <is>
          <t>本線</t>
        </is>
      </c>
      <c r="D651" s="10" t="inlineStr">
        <is>
          <t>上り</t>
        </is>
      </c>
      <c r="E651" t="inlineStr">
        <is>
          <t>2304</t>
        </is>
      </c>
      <c r="F651" t="inlineStr">
        <is>
          <t>0221</t>
        </is>
      </c>
      <c r="G651" s="10" t="inlineStr">
        <is>
          <t>天神川</t>
        </is>
      </c>
      <c r="H651" s="10" t="inlineStr">
        <is>
          <t>発</t>
        </is>
      </c>
      <c r="J651" s="10" t="inlineStr">
        <is>
          <t>営業</t>
        </is>
      </c>
      <c r="L651" t="inlineStr">
        <is>
          <t>23:28:55</t>
        </is>
      </c>
      <c r="M651" t="inlineStr">
        <is>
          <t>23:29:20</t>
        </is>
      </c>
    </row>
    <row r="652" ht="15" customHeight="1" s="37">
      <c r="A652" t="n">
        <v>12</v>
      </c>
      <c r="B652" s="10" t="inlineStr">
        <is>
          <t>休日</t>
        </is>
      </c>
      <c r="C652" s="10" t="inlineStr">
        <is>
          <t>本線</t>
        </is>
      </c>
      <c r="D652" s="10" t="inlineStr">
        <is>
          <t>上り</t>
        </is>
      </c>
      <c r="E652" t="inlineStr">
        <is>
          <t>2304</t>
        </is>
      </c>
      <c r="F652" t="inlineStr">
        <is>
          <t>0221</t>
        </is>
      </c>
      <c r="G652" s="10" t="inlineStr">
        <is>
          <t>山ノ内</t>
        </is>
      </c>
      <c r="H652" s="10" t="inlineStr">
        <is>
          <t>発</t>
        </is>
      </c>
      <c r="J652" s="10" t="inlineStr">
        <is>
          <t>営業</t>
        </is>
      </c>
      <c r="L652" t="inlineStr">
        <is>
          <t>23:31:10</t>
        </is>
      </c>
      <c r="M652" t="inlineStr">
        <is>
          <t>23:31:35</t>
        </is>
      </c>
    </row>
    <row r="653" ht="15" customHeight="1" s="37">
      <c r="A653" t="n">
        <v>12</v>
      </c>
      <c r="B653" s="10" t="inlineStr">
        <is>
          <t>休日</t>
        </is>
      </c>
      <c r="C653" s="10" t="inlineStr">
        <is>
          <t>本線</t>
        </is>
      </c>
      <c r="D653" s="10" t="inlineStr">
        <is>
          <t>上り</t>
        </is>
      </c>
      <c r="E653" t="inlineStr">
        <is>
          <t>2304</t>
        </is>
      </c>
      <c r="F653" t="inlineStr">
        <is>
          <t>0221</t>
        </is>
      </c>
      <c r="G653" s="10" t="inlineStr">
        <is>
          <t>西大路三条</t>
        </is>
      </c>
      <c r="H653" s="10" t="inlineStr">
        <is>
          <t>発</t>
        </is>
      </c>
      <c r="J653" s="10" t="inlineStr">
        <is>
          <t>営業</t>
        </is>
      </c>
      <c r="L653" t="inlineStr">
        <is>
          <t>23:33:25</t>
        </is>
      </c>
      <c r="M653" t="inlineStr">
        <is>
          <t>23:33:40</t>
        </is>
      </c>
    </row>
    <row r="654" ht="15" customHeight="1" s="37">
      <c r="A654" t="n">
        <v>12</v>
      </c>
      <c r="B654" s="10" t="inlineStr">
        <is>
          <t>休日</t>
        </is>
      </c>
      <c r="C654" s="10" t="inlineStr">
        <is>
          <t>本線</t>
        </is>
      </c>
      <c r="D654" s="10" t="inlineStr">
        <is>
          <t>上り</t>
        </is>
      </c>
      <c r="E654" t="inlineStr">
        <is>
          <t>2304</t>
        </is>
      </c>
      <c r="F654" t="inlineStr">
        <is>
          <t>0221</t>
        </is>
      </c>
      <c r="G654" s="10" t="inlineStr">
        <is>
          <t>西院</t>
        </is>
      </c>
      <c r="H654" s="10" t="inlineStr">
        <is>
          <t>発</t>
        </is>
      </c>
      <c r="J654" s="10" t="inlineStr">
        <is>
          <t>営業</t>
        </is>
      </c>
      <c r="L654" t="inlineStr">
        <is>
          <t>23:35:35</t>
        </is>
      </c>
      <c r="M654" t="inlineStr">
        <is>
          <t>23:36:05</t>
        </is>
      </c>
    </row>
    <row r="655" ht="15" customHeight="1" s="37">
      <c r="A655" t="n">
        <v>12</v>
      </c>
      <c r="B655" s="10" t="inlineStr">
        <is>
          <t>休日</t>
        </is>
      </c>
      <c r="C655" s="10" t="inlineStr">
        <is>
          <t>本線</t>
        </is>
      </c>
      <c r="D655" s="10" t="inlineStr">
        <is>
          <t>上り</t>
        </is>
      </c>
      <c r="E655" t="inlineStr">
        <is>
          <t>2304</t>
        </is>
      </c>
      <c r="F655" t="inlineStr">
        <is>
          <t>0221</t>
        </is>
      </c>
      <c r="G655" s="10" t="inlineStr">
        <is>
          <t>四条大宮</t>
        </is>
      </c>
      <c r="H655" s="10" t="inlineStr">
        <is>
          <t>着</t>
        </is>
      </c>
      <c r="J655" s="10" t="inlineStr">
        <is>
          <t>営業</t>
        </is>
      </c>
      <c r="L655" t="inlineStr">
        <is>
          <t>23:39:00</t>
        </is>
      </c>
      <c r="N655" t="inlineStr">
        <is>
          <t>○</t>
        </is>
      </c>
      <c r="Q655" t="inlineStr">
        <is>
          <t>2</t>
        </is>
      </c>
      <c r="T655" t="inlineStr">
        <is>
          <t>○</t>
        </is>
      </c>
    </row>
    <row r="656" ht="15" customHeight="1" s="37">
      <c r="A656" t="n">
        <v>12</v>
      </c>
      <c r="B656" s="10" t="inlineStr">
        <is>
          <t>休日</t>
        </is>
      </c>
      <c r="C656" s="10" t="inlineStr">
        <is>
          <t>本線</t>
        </is>
      </c>
      <c r="D656" s="10" t="inlineStr">
        <is>
          <t>下り</t>
        </is>
      </c>
      <c r="E656" s="10" t="inlineStr">
        <is>
          <t>回2371</t>
        </is>
      </c>
      <c r="F656" s="10" t="inlineStr">
        <is>
          <t>回送</t>
        </is>
      </c>
      <c r="G656" s="10" t="inlineStr">
        <is>
          <t>四条大宮</t>
        </is>
      </c>
      <c r="H656" s="10" t="inlineStr">
        <is>
          <t>発</t>
        </is>
      </c>
      <c r="J656" s="10" t="inlineStr">
        <is>
          <t>回送</t>
        </is>
      </c>
      <c r="M656" t="inlineStr">
        <is>
          <t>23:42:00</t>
        </is>
      </c>
      <c r="Q656" t="inlineStr">
        <is>
          <t>2</t>
        </is>
      </c>
    </row>
    <row r="657" ht="15" customHeight="1" s="37">
      <c r="A657" t="n">
        <v>12</v>
      </c>
      <c r="B657" s="10" t="inlineStr">
        <is>
          <t>休日</t>
        </is>
      </c>
      <c r="C657" s="10" t="inlineStr">
        <is>
          <t>本線</t>
        </is>
      </c>
      <c r="D657" s="10" t="inlineStr">
        <is>
          <t>下り</t>
        </is>
      </c>
      <c r="E657" s="10" t="inlineStr">
        <is>
          <t>回2371</t>
        </is>
      </c>
      <c r="F657" s="10" t="inlineStr">
        <is>
          <t>回送</t>
        </is>
      </c>
      <c r="G657" s="10" t="inlineStr">
        <is>
          <t>西院</t>
        </is>
      </c>
      <c r="H657" s="10" t="inlineStr">
        <is>
          <t>着</t>
        </is>
      </c>
      <c r="J657" s="10" t="inlineStr">
        <is>
          <t>回送</t>
        </is>
      </c>
      <c r="L657" t="inlineStr">
        <is>
          <t>23:44:50</t>
        </is>
      </c>
    </row>
    <row r="658" ht="15" customHeight="1" s="37">
      <c r="A658" t="n">
        <v>12</v>
      </c>
      <c r="B658" s="10" t="inlineStr">
        <is>
          <t>休日</t>
        </is>
      </c>
      <c r="C658" s="10" t="inlineStr">
        <is>
          <t>本線</t>
        </is>
      </c>
      <c r="D658" s="10" t="inlineStr">
        <is>
          <t>下り</t>
        </is>
      </c>
      <c r="E658" s="10" t="inlineStr">
        <is>
          <t>連1411</t>
        </is>
      </c>
      <c r="F658" t="inlineStr">
        <is>
          <t>0112</t>
        </is>
      </c>
      <c r="G658" s="10" t="inlineStr">
        <is>
          <t>西院</t>
        </is>
      </c>
      <c r="H658" s="10" t="inlineStr">
        <is>
          <t>発</t>
        </is>
      </c>
      <c r="J658" s="10" t="inlineStr">
        <is>
          <t>営業</t>
        </is>
      </c>
      <c r="L658" t="inlineStr">
        <is>
          <t>14:55:50</t>
        </is>
      </c>
      <c r="M658" t="inlineStr">
        <is>
          <t>14:56:20</t>
        </is>
      </c>
      <c r="P658" t="inlineStr">
        <is>
          <t>F系統(終日)</t>
        </is>
      </c>
    </row>
    <row r="659" ht="15" customHeight="1" s="37">
      <c r="A659" t="n">
        <v>12</v>
      </c>
      <c r="B659" s="10" t="inlineStr">
        <is>
          <t>休日</t>
        </is>
      </c>
      <c r="C659" s="10" t="inlineStr">
        <is>
          <t>本線</t>
        </is>
      </c>
      <c r="D659" s="10" t="inlineStr">
        <is>
          <t>下り</t>
        </is>
      </c>
      <c r="E659" s="10" t="inlineStr">
        <is>
          <t>連1411</t>
        </is>
      </c>
      <c r="F659" t="inlineStr">
        <is>
          <t>0112</t>
        </is>
      </c>
      <c r="G659" s="10" t="inlineStr">
        <is>
          <t>西大路三条</t>
        </is>
      </c>
      <c r="H659" s="10" t="inlineStr">
        <is>
          <t>発</t>
        </is>
      </c>
      <c r="J659" s="10" t="inlineStr">
        <is>
          <t>営業</t>
        </is>
      </c>
      <c r="L659" t="inlineStr">
        <is>
          <t>14:58:10</t>
        </is>
      </c>
      <c r="M659" t="inlineStr">
        <is>
          <t>14:58:30</t>
        </is>
      </c>
      <c r="P659" t="inlineStr">
        <is>
          <t>F系統(終日)</t>
        </is>
      </c>
    </row>
    <row r="660" ht="15" customHeight="1" s="37">
      <c r="A660" t="n">
        <v>12</v>
      </c>
      <c r="B660" s="10" t="inlineStr">
        <is>
          <t>休日</t>
        </is>
      </c>
      <c r="C660" s="10" t="inlineStr">
        <is>
          <t>本線</t>
        </is>
      </c>
      <c r="D660" s="10" t="inlineStr">
        <is>
          <t>下り</t>
        </is>
      </c>
      <c r="E660" s="10" t="inlineStr">
        <is>
          <t>連1411</t>
        </is>
      </c>
      <c r="F660" t="inlineStr">
        <is>
          <t>0112</t>
        </is>
      </c>
      <c r="G660" s="10" t="inlineStr">
        <is>
          <t>山ノ内</t>
        </is>
      </c>
      <c r="H660" s="10" t="inlineStr">
        <is>
          <t>発</t>
        </is>
      </c>
      <c r="J660" s="10" t="inlineStr">
        <is>
          <t>営業</t>
        </is>
      </c>
      <c r="L660" t="inlineStr">
        <is>
          <t>15:00:25</t>
        </is>
      </c>
      <c r="M660" t="inlineStr">
        <is>
          <t>15:00:50</t>
        </is>
      </c>
      <c r="P660" t="inlineStr">
        <is>
          <t>F系統(終日)</t>
        </is>
      </c>
    </row>
    <row r="661" ht="15" customHeight="1" s="37">
      <c r="A661" t="n">
        <v>12</v>
      </c>
      <c r="B661" s="10" t="inlineStr">
        <is>
          <t>休日</t>
        </is>
      </c>
      <c r="C661" s="10" t="inlineStr">
        <is>
          <t>本線</t>
        </is>
      </c>
      <c r="D661" s="10" t="inlineStr">
        <is>
          <t>下り</t>
        </is>
      </c>
      <c r="E661" s="10" t="inlineStr">
        <is>
          <t>連1411</t>
        </is>
      </c>
      <c r="F661" t="inlineStr">
        <is>
          <t>0112</t>
        </is>
      </c>
      <c r="G661" s="10" t="inlineStr">
        <is>
          <t>天神川</t>
        </is>
      </c>
      <c r="H661" s="10" t="inlineStr">
        <is>
          <t>発</t>
        </is>
      </c>
      <c r="J661" s="10" t="inlineStr">
        <is>
          <t>営業</t>
        </is>
      </c>
      <c r="L661" t="inlineStr">
        <is>
          <t>15:02:50</t>
        </is>
      </c>
      <c r="M661" t="inlineStr">
        <is>
          <t>15:03:30</t>
        </is>
      </c>
      <c r="P661" t="inlineStr">
        <is>
          <t>F系統(終日)</t>
        </is>
      </c>
    </row>
    <row r="662" ht="15" customHeight="1" s="37">
      <c r="A662" t="n">
        <v>12</v>
      </c>
      <c r="B662" s="10" t="inlineStr">
        <is>
          <t>休日</t>
        </is>
      </c>
      <c r="C662" s="10" t="inlineStr">
        <is>
          <t>本線</t>
        </is>
      </c>
      <c r="D662" s="10" t="inlineStr">
        <is>
          <t>下り</t>
        </is>
      </c>
      <c r="E662" s="10" t="inlineStr">
        <is>
          <t>連1411</t>
        </is>
      </c>
      <c r="F662" t="inlineStr">
        <is>
          <t>0112</t>
        </is>
      </c>
      <c r="G662" s="10" t="inlineStr">
        <is>
          <t>蚕ノ社</t>
        </is>
      </c>
      <c r="H662" s="10" t="inlineStr">
        <is>
          <t>発</t>
        </is>
      </c>
      <c r="J662" s="10" t="inlineStr">
        <is>
          <t>営業</t>
        </is>
      </c>
      <c r="L662" t="inlineStr">
        <is>
          <t>15:04:20</t>
        </is>
      </c>
      <c r="M662" t="inlineStr">
        <is>
          <t>15:04:40</t>
        </is>
      </c>
      <c r="P662" t="inlineStr">
        <is>
          <t>F系統(終日)</t>
        </is>
      </c>
    </row>
    <row r="663" ht="15" customHeight="1" s="37">
      <c r="A663" t="n">
        <v>12</v>
      </c>
      <c r="B663" s="10" t="inlineStr">
        <is>
          <t>休日</t>
        </is>
      </c>
      <c r="C663" s="10" t="inlineStr">
        <is>
          <t>本線</t>
        </is>
      </c>
      <c r="D663" s="10" t="inlineStr">
        <is>
          <t>下り</t>
        </is>
      </c>
      <c r="E663" s="10" t="inlineStr">
        <is>
          <t>連1411</t>
        </is>
      </c>
      <c r="F663" t="inlineStr">
        <is>
          <t>0112</t>
        </is>
      </c>
      <c r="G663" s="10" t="inlineStr">
        <is>
          <t>太秦広隆寺</t>
        </is>
      </c>
      <c r="H663" s="10" t="inlineStr">
        <is>
          <t>発</t>
        </is>
      </c>
      <c r="J663" s="10" t="inlineStr">
        <is>
          <t>営業</t>
        </is>
      </c>
      <c r="L663" t="inlineStr">
        <is>
          <t>15:06:00</t>
        </is>
      </c>
      <c r="M663" t="inlineStr">
        <is>
          <t>15:06:20</t>
        </is>
      </c>
      <c r="P663" t="inlineStr">
        <is>
          <t>F系統(終日)</t>
        </is>
      </c>
    </row>
    <row r="664" ht="15" customHeight="1" s="37">
      <c r="A664" t="n">
        <v>12</v>
      </c>
      <c r="B664" s="10" t="inlineStr">
        <is>
          <t>休日</t>
        </is>
      </c>
      <c r="C664" s="10" t="inlineStr">
        <is>
          <t>本線</t>
        </is>
      </c>
      <c r="D664" s="10" t="inlineStr">
        <is>
          <t>下り</t>
        </is>
      </c>
      <c r="E664" s="10" t="inlineStr">
        <is>
          <t>連1411</t>
        </is>
      </c>
      <c r="F664" t="inlineStr">
        <is>
          <t>0112</t>
        </is>
      </c>
      <c r="G664" s="10" t="inlineStr">
        <is>
          <t>帷子ノ辻</t>
        </is>
      </c>
      <c r="H664" s="10" t="inlineStr">
        <is>
          <t>発</t>
        </is>
      </c>
      <c r="J664" s="10" t="inlineStr">
        <is>
          <t>営業</t>
        </is>
      </c>
      <c r="L664" t="inlineStr">
        <is>
          <t>15:08:20</t>
        </is>
      </c>
      <c r="M664" t="inlineStr">
        <is>
          <t>15:09:40</t>
        </is>
      </c>
      <c r="P664" t="inlineStr">
        <is>
          <t>F系統(終日)</t>
        </is>
      </c>
    </row>
    <row r="665" ht="15" customHeight="1" s="37">
      <c r="A665" t="n">
        <v>12</v>
      </c>
      <c r="B665" s="10" t="inlineStr">
        <is>
          <t>休日</t>
        </is>
      </c>
      <c r="C665" s="10" t="inlineStr">
        <is>
          <t>本線</t>
        </is>
      </c>
      <c r="D665" s="10" t="inlineStr">
        <is>
          <t>下り</t>
        </is>
      </c>
      <c r="E665" s="10" t="inlineStr">
        <is>
          <t>連1411</t>
        </is>
      </c>
      <c r="F665" t="inlineStr">
        <is>
          <t>0112</t>
        </is>
      </c>
      <c r="G665" s="10" t="inlineStr">
        <is>
          <t>有栖川</t>
        </is>
      </c>
      <c r="H665" s="10" t="inlineStr">
        <is>
          <t>発</t>
        </is>
      </c>
      <c r="J665" s="10" t="inlineStr">
        <is>
          <t>営業</t>
        </is>
      </c>
      <c r="L665" t="inlineStr">
        <is>
          <t>15:10:50</t>
        </is>
      </c>
      <c r="M665" t="inlineStr">
        <is>
          <t>15:11:15</t>
        </is>
      </c>
      <c r="P665" t="inlineStr">
        <is>
          <t>F系統(終日)</t>
        </is>
      </c>
    </row>
    <row r="666" ht="15" customHeight="1" s="37">
      <c r="A666" t="n">
        <v>12</v>
      </c>
      <c r="B666" s="10" t="inlineStr">
        <is>
          <t>休日</t>
        </is>
      </c>
      <c r="C666" s="10" t="inlineStr">
        <is>
          <t>本線</t>
        </is>
      </c>
      <c r="D666" s="10" t="inlineStr">
        <is>
          <t>下り</t>
        </is>
      </c>
      <c r="E666" s="10" t="inlineStr">
        <is>
          <t>連1411</t>
        </is>
      </c>
      <c r="F666" t="inlineStr">
        <is>
          <t>0112</t>
        </is>
      </c>
      <c r="G666" s="10" t="inlineStr">
        <is>
          <t>車折</t>
        </is>
      </c>
      <c r="H666" s="10" t="inlineStr">
        <is>
          <t>発</t>
        </is>
      </c>
      <c r="J666" s="10" t="inlineStr">
        <is>
          <t>営業</t>
        </is>
      </c>
      <c r="L666" t="inlineStr">
        <is>
          <t>15:12:40</t>
        </is>
      </c>
      <c r="M666" t="inlineStr">
        <is>
          <t>15:13:05</t>
        </is>
      </c>
      <c r="P666" t="inlineStr">
        <is>
          <t>F系統(終日)</t>
        </is>
      </c>
    </row>
    <row r="667" ht="15" customHeight="1" s="37">
      <c r="A667" t="n">
        <v>12</v>
      </c>
      <c r="B667" s="10" t="inlineStr">
        <is>
          <t>休日</t>
        </is>
      </c>
      <c r="C667" s="10" t="inlineStr">
        <is>
          <t>本線</t>
        </is>
      </c>
      <c r="D667" s="10" t="inlineStr">
        <is>
          <t>下り</t>
        </is>
      </c>
      <c r="E667" s="10" t="inlineStr">
        <is>
          <t>連1411</t>
        </is>
      </c>
      <c r="F667" t="inlineStr">
        <is>
          <t>0112</t>
        </is>
      </c>
      <c r="G667" s="10" t="inlineStr">
        <is>
          <t>鹿王院</t>
        </is>
      </c>
      <c r="H667" s="10" t="inlineStr">
        <is>
          <t>発</t>
        </is>
      </c>
      <c r="J667" s="10" t="inlineStr">
        <is>
          <t>営業</t>
        </is>
      </c>
      <c r="L667" t="inlineStr">
        <is>
          <t>15:14:00</t>
        </is>
      </c>
      <c r="M667" t="inlineStr">
        <is>
          <t>15:14:25</t>
        </is>
      </c>
      <c r="P667" t="inlineStr">
        <is>
          <t>F系統(終日)</t>
        </is>
      </c>
    </row>
    <row r="668" ht="15" customHeight="1" s="37">
      <c r="A668" t="n">
        <v>12</v>
      </c>
      <c r="B668" s="10" t="inlineStr">
        <is>
          <t>休日</t>
        </is>
      </c>
      <c r="C668" s="10" t="inlineStr">
        <is>
          <t>本線</t>
        </is>
      </c>
      <c r="D668" s="10" t="inlineStr">
        <is>
          <t>下り</t>
        </is>
      </c>
      <c r="E668" s="10" t="inlineStr">
        <is>
          <t>連1411</t>
        </is>
      </c>
      <c r="F668" t="inlineStr">
        <is>
          <t>0112</t>
        </is>
      </c>
      <c r="G668" s="10" t="inlineStr">
        <is>
          <t>嵯峨</t>
        </is>
      </c>
      <c r="H668" s="10" t="inlineStr">
        <is>
          <t>発</t>
        </is>
      </c>
      <c r="J668" s="10" t="inlineStr">
        <is>
          <t>営業</t>
        </is>
      </c>
      <c r="L668" t="inlineStr">
        <is>
          <t>15:15:30</t>
        </is>
      </c>
      <c r="M668" t="inlineStr">
        <is>
          <t>15:15:55</t>
        </is>
      </c>
      <c r="P668" t="inlineStr">
        <is>
          <t>F系統(終日)</t>
        </is>
      </c>
    </row>
    <row r="669" ht="15" customHeight="1" s="37">
      <c r="A669" t="n">
        <v>12</v>
      </c>
      <c r="B669" s="10" t="inlineStr">
        <is>
          <t>休日</t>
        </is>
      </c>
      <c r="C669" s="10" t="inlineStr">
        <is>
          <t>本線</t>
        </is>
      </c>
      <c r="D669" s="10" t="inlineStr">
        <is>
          <t>下り</t>
        </is>
      </c>
      <c r="E669" s="10" t="inlineStr">
        <is>
          <t>連1411</t>
        </is>
      </c>
      <c r="F669" t="inlineStr">
        <is>
          <t>0112</t>
        </is>
      </c>
      <c r="G669" s="10" t="inlineStr">
        <is>
          <t>嵐山</t>
        </is>
      </c>
      <c r="H669" s="10" t="inlineStr">
        <is>
          <t>着</t>
        </is>
      </c>
      <c r="J669" s="10" t="inlineStr">
        <is>
          <t>営業</t>
        </is>
      </c>
      <c r="L669" t="inlineStr">
        <is>
          <t>15:17:00</t>
        </is>
      </c>
      <c r="P669" t="inlineStr">
        <is>
          <t>F系統(終日)</t>
        </is>
      </c>
      <c r="Q669" t="inlineStr">
        <is>
          <t>1</t>
        </is>
      </c>
    </row>
    <row r="670" ht="15" customHeight="1" s="37">
      <c r="A670" t="n">
        <v>12</v>
      </c>
      <c r="B670" s="10" t="inlineStr">
        <is>
          <t>休日</t>
        </is>
      </c>
      <c r="C670" s="10" t="inlineStr">
        <is>
          <t>本線</t>
        </is>
      </c>
      <c r="D670" s="10" t="inlineStr">
        <is>
          <t>上り</t>
        </is>
      </c>
      <c r="E670" s="10" t="inlineStr">
        <is>
          <t>連1506</t>
        </is>
      </c>
      <c r="F670" t="inlineStr">
        <is>
          <t>0211</t>
        </is>
      </c>
      <c r="G670" s="10" t="inlineStr">
        <is>
          <t>嵐山</t>
        </is>
      </c>
      <c r="H670" s="10" t="inlineStr">
        <is>
          <t>発</t>
        </is>
      </c>
      <c r="J670" s="10" t="inlineStr">
        <is>
          <t>営業</t>
        </is>
      </c>
      <c r="M670" t="inlineStr">
        <is>
          <t>15:23:00</t>
        </is>
      </c>
      <c r="P670" t="inlineStr">
        <is>
          <t>F系統(終日)</t>
        </is>
      </c>
      <c r="Q670" t="inlineStr">
        <is>
          <t>1</t>
        </is>
      </c>
    </row>
    <row r="671" ht="15" customHeight="1" s="37">
      <c r="A671" t="n">
        <v>12</v>
      </c>
      <c r="B671" s="10" t="inlineStr">
        <is>
          <t>休日</t>
        </is>
      </c>
      <c r="C671" s="10" t="inlineStr">
        <is>
          <t>本線</t>
        </is>
      </c>
      <c r="D671" s="10" t="inlineStr">
        <is>
          <t>上り</t>
        </is>
      </c>
      <c r="E671" s="10" t="inlineStr">
        <is>
          <t>連1506</t>
        </is>
      </c>
      <c r="F671" t="inlineStr">
        <is>
          <t>0211</t>
        </is>
      </c>
      <c r="G671" s="10" t="inlineStr">
        <is>
          <t>嵯峨</t>
        </is>
      </c>
      <c r="H671" s="10" t="inlineStr">
        <is>
          <t>発</t>
        </is>
      </c>
      <c r="J671" s="10" t="inlineStr">
        <is>
          <t>営業</t>
        </is>
      </c>
      <c r="L671" t="inlineStr">
        <is>
          <t>15:23:55</t>
        </is>
      </c>
      <c r="M671" t="inlineStr">
        <is>
          <t>15:24:20</t>
        </is>
      </c>
      <c r="P671" t="inlineStr">
        <is>
          <t>F系統(終日)</t>
        </is>
      </c>
    </row>
    <row r="672" ht="15" customHeight="1" s="37">
      <c r="A672" t="n">
        <v>12</v>
      </c>
      <c r="B672" s="10" t="inlineStr">
        <is>
          <t>休日</t>
        </is>
      </c>
      <c r="C672" s="10" t="inlineStr">
        <is>
          <t>本線</t>
        </is>
      </c>
      <c r="D672" s="10" t="inlineStr">
        <is>
          <t>上り</t>
        </is>
      </c>
      <c r="E672" s="10" t="inlineStr">
        <is>
          <t>連1506</t>
        </is>
      </c>
      <c r="F672" t="inlineStr">
        <is>
          <t>0211</t>
        </is>
      </c>
      <c r="G672" s="10" t="inlineStr">
        <is>
          <t>鹿王院</t>
        </is>
      </c>
      <c r="H672" s="10" t="inlineStr">
        <is>
          <t>発</t>
        </is>
      </c>
      <c r="J672" s="10" t="inlineStr">
        <is>
          <t>営業</t>
        </is>
      </c>
      <c r="L672" t="inlineStr">
        <is>
          <t>15:25:25</t>
        </is>
      </c>
      <c r="M672" t="inlineStr">
        <is>
          <t>15:25:45</t>
        </is>
      </c>
      <c r="P672" t="inlineStr">
        <is>
          <t>F系統(終日)</t>
        </is>
      </c>
    </row>
    <row r="673" ht="15" customHeight="1" s="37">
      <c r="A673" t="n">
        <v>12</v>
      </c>
      <c r="B673" s="10" t="inlineStr">
        <is>
          <t>休日</t>
        </is>
      </c>
      <c r="C673" s="10" t="inlineStr">
        <is>
          <t>本線</t>
        </is>
      </c>
      <c r="D673" s="10" t="inlineStr">
        <is>
          <t>上り</t>
        </is>
      </c>
      <c r="E673" s="10" t="inlineStr">
        <is>
          <t>連1506</t>
        </is>
      </c>
      <c r="F673" t="inlineStr">
        <is>
          <t>0211</t>
        </is>
      </c>
      <c r="G673" s="10" t="inlineStr">
        <is>
          <t>車折</t>
        </is>
      </c>
      <c r="H673" s="10" t="inlineStr">
        <is>
          <t>発</t>
        </is>
      </c>
      <c r="J673" s="10" t="inlineStr">
        <is>
          <t>営業</t>
        </is>
      </c>
      <c r="L673" t="inlineStr">
        <is>
          <t>15:26:40</t>
        </is>
      </c>
      <c r="M673" t="inlineStr">
        <is>
          <t>15:27:10</t>
        </is>
      </c>
      <c r="P673" t="inlineStr">
        <is>
          <t>F系統(終日)</t>
        </is>
      </c>
    </row>
    <row r="674" ht="15" customHeight="1" s="37">
      <c r="A674" t="n">
        <v>12</v>
      </c>
      <c r="B674" s="10" t="inlineStr">
        <is>
          <t>休日</t>
        </is>
      </c>
      <c r="C674" s="10" t="inlineStr">
        <is>
          <t>本線</t>
        </is>
      </c>
      <c r="D674" s="10" t="inlineStr">
        <is>
          <t>上り</t>
        </is>
      </c>
      <c r="E674" s="10" t="inlineStr">
        <is>
          <t>連1506</t>
        </is>
      </c>
      <c r="F674" t="inlineStr">
        <is>
          <t>0211</t>
        </is>
      </c>
      <c r="G674" s="10" t="inlineStr">
        <is>
          <t>有栖川</t>
        </is>
      </c>
      <c r="H674" s="10" t="inlineStr">
        <is>
          <t>発</t>
        </is>
      </c>
      <c r="J674" s="10" t="inlineStr">
        <is>
          <t>営業</t>
        </is>
      </c>
      <c r="L674" t="inlineStr">
        <is>
          <t>15:28:35</t>
        </is>
      </c>
      <c r="M674" t="inlineStr">
        <is>
          <t>15:28:55</t>
        </is>
      </c>
      <c r="P674" t="inlineStr">
        <is>
          <t>F系統(終日)</t>
        </is>
      </c>
    </row>
    <row r="675" ht="15" customHeight="1" s="37">
      <c r="A675" t="n">
        <v>12</v>
      </c>
      <c r="B675" s="10" t="inlineStr">
        <is>
          <t>休日</t>
        </is>
      </c>
      <c r="C675" s="10" t="inlineStr">
        <is>
          <t>本線</t>
        </is>
      </c>
      <c r="D675" s="10" t="inlineStr">
        <is>
          <t>上り</t>
        </is>
      </c>
      <c r="E675" s="10" t="inlineStr">
        <is>
          <t>連1506</t>
        </is>
      </c>
      <c r="F675" t="inlineStr">
        <is>
          <t>0211</t>
        </is>
      </c>
      <c r="G675" s="10" t="inlineStr">
        <is>
          <t>帷子ノ辻</t>
        </is>
      </c>
      <c r="H675" s="10" t="inlineStr">
        <is>
          <t>発</t>
        </is>
      </c>
      <c r="J675" s="10" t="inlineStr">
        <is>
          <t>営業</t>
        </is>
      </c>
      <c r="L675" t="inlineStr">
        <is>
          <t>15:30:10</t>
        </is>
      </c>
      <c r="M675" t="inlineStr">
        <is>
          <t>15:31:15</t>
        </is>
      </c>
      <c r="P675" t="inlineStr">
        <is>
          <t>F系統(終日)</t>
        </is>
      </c>
    </row>
    <row r="676" ht="15" customHeight="1" s="37">
      <c r="A676" t="n">
        <v>12</v>
      </c>
      <c r="B676" s="10" t="inlineStr">
        <is>
          <t>休日</t>
        </is>
      </c>
      <c r="C676" s="10" t="inlineStr">
        <is>
          <t>本線</t>
        </is>
      </c>
      <c r="D676" s="10" t="inlineStr">
        <is>
          <t>上り</t>
        </is>
      </c>
      <c r="E676" s="10" t="inlineStr">
        <is>
          <t>連1506</t>
        </is>
      </c>
      <c r="F676" t="inlineStr">
        <is>
          <t>0211</t>
        </is>
      </c>
      <c r="G676" s="10" t="inlineStr">
        <is>
          <t>太秦広隆寺</t>
        </is>
      </c>
      <c r="H676" s="10" t="inlineStr">
        <is>
          <t>発</t>
        </is>
      </c>
      <c r="J676" s="10" t="inlineStr">
        <is>
          <t>営業</t>
        </is>
      </c>
      <c r="L676" t="inlineStr">
        <is>
          <t>15:33:25</t>
        </is>
      </c>
      <c r="M676" t="inlineStr">
        <is>
          <t>15:33:45</t>
        </is>
      </c>
      <c r="P676" t="inlineStr">
        <is>
          <t>F系統(終日)</t>
        </is>
      </c>
    </row>
    <row r="677" ht="15" customHeight="1" s="37">
      <c r="A677" t="n">
        <v>12</v>
      </c>
      <c r="B677" s="10" t="inlineStr">
        <is>
          <t>休日</t>
        </is>
      </c>
      <c r="C677" s="10" t="inlineStr">
        <is>
          <t>本線</t>
        </is>
      </c>
      <c r="D677" s="10" t="inlineStr">
        <is>
          <t>上り</t>
        </is>
      </c>
      <c r="E677" s="10" t="inlineStr">
        <is>
          <t>連1506</t>
        </is>
      </c>
      <c r="F677" t="inlineStr">
        <is>
          <t>0211</t>
        </is>
      </c>
      <c r="G677" s="10" t="inlineStr">
        <is>
          <t>蚕ノ社</t>
        </is>
      </c>
      <c r="H677" s="10" t="inlineStr">
        <is>
          <t>発</t>
        </is>
      </c>
      <c r="J677" s="10" t="inlineStr">
        <is>
          <t>営業</t>
        </is>
      </c>
      <c r="L677" t="inlineStr">
        <is>
          <t>15:35:00</t>
        </is>
      </c>
      <c r="M677" t="inlineStr">
        <is>
          <t>15:35:20</t>
        </is>
      </c>
      <c r="P677" t="inlineStr">
        <is>
          <t>F系統(終日)</t>
        </is>
      </c>
    </row>
    <row r="678" ht="15" customHeight="1" s="37">
      <c r="A678" t="n">
        <v>12</v>
      </c>
      <c r="B678" s="10" t="inlineStr">
        <is>
          <t>休日</t>
        </is>
      </c>
      <c r="C678" s="10" t="inlineStr">
        <is>
          <t>本線</t>
        </is>
      </c>
      <c r="D678" s="10" t="inlineStr">
        <is>
          <t>上り</t>
        </is>
      </c>
      <c r="E678" s="10" t="inlineStr">
        <is>
          <t>連1506</t>
        </is>
      </c>
      <c r="F678" t="inlineStr">
        <is>
          <t>0211</t>
        </is>
      </c>
      <c r="G678" s="10" t="inlineStr">
        <is>
          <t>天神川</t>
        </is>
      </c>
      <c r="H678" s="10" t="inlineStr">
        <is>
          <t>発</t>
        </is>
      </c>
      <c r="J678" s="10" t="inlineStr">
        <is>
          <t>営業</t>
        </is>
      </c>
      <c r="L678" t="inlineStr">
        <is>
          <t>15:36:05</t>
        </is>
      </c>
      <c r="M678" t="inlineStr">
        <is>
          <t>15:36:50</t>
        </is>
      </c>
      <c r="P678" t="inlineStr">
        <is>
          <t>F系統(終日)</t>
        </is>
      </c>
    </row>
    <row r="679" ht="15" customHeight="1" s="37">
      <c r="A679" t="n">
        <v>12</v>
      </c>
      <c r="B679" s="10" t="inlineStr">
        <is>
          <t>休日</t>
        </is>
      </c>
      <c r="C679" s="10" t="inlineStr">
        <is>
          <t>本線</t>
        </is>
      </c>
      <c r="D679" s="10" t="inlineStr">
        <is>
          <t>上り</t>
        </is>
      </c>
      <c r="E679" s="10" t="inlineStr">
        <is>
          <t>連1506</t>
        </is>
      </c>
      <c r="F679" t="inlineStr">
        <is>
          <t>0211</t>
        </is>
      </c>
      <c r="G679" s="10" t="inlineStr">
        <is>
          <t>山ノ内</t>
        </is>
      </c>
      <c r="H679" s="10" t="inlineStr">
        <is>
          <t>発</t>
        </is>
      </c>
      <c r="J679" s="10" t="inlineStr">
        <is>
          <t>営業</t>
        </is>
      </c>
      <c r="L679" t="inlineStr">
        <is>
          <t>15:38:40</t>
        </is>
      </c>
      <c r="M679" t="inlineStr">
        <is>
          <t>15:39:05</t>
        </is>
      </c>
      <c r="P679" t="inlineStr">
        <is>
          <t>F系統(終日)</t>
        </is>
      </c>
    </row>
    <row r="680" ht="15" customHeight="1" s="37">
      <c r="A680" t="n">
        <v>12</v>
      </c>
      <c r="B680" s="10" t="inlineStr">
        <is>
          <t>休日</t>
        </is>
      </c>
      <c r="C680" s="10" t="inlineStr">
        <is>
          <t>本線</t>
        </is>
      </c>
      <c r="D680" s="10" t="inlineStr">
        <is>
          <t>上り</t>
        </is>
      </c>
      <c r="E680" s="10" t="inlineStr">
        <is>
          <t>連1506</t>
        </is>
      </c>
      <c r="F680" t="inlineStr">
        <is>
          <t>0211</t>
        </is>
      </c>
      <c r="G680" s="10" t="inlineStr">
        <is>
          <t>西大路三条</t>
        </is>
      </c>
      <c r="H680" s="10" t="inlineStr">
        <is>
          <t>発</t>
        </is>
      </c>
      <c r="J680" s="10" t="inlineStr">
        <is>
          <t>営業</t>
        </is>
      </c>
      <c r="L680" t="inlineStr">
        <is>
          <t>15:40:55</t>
        </is>
      </c>
      <c r="M680" t="inlineStr">
        <is>
          <t>15:41:15</t>
        </is>
      </c>
      <c r="P680" t="inlineStr">
        <is>
          <t>F系統(終日)</t>
        </is>
      </c>
    </row>
    <row r="681" ht="15" customHeight="1" s="37">
      <c r="A681" t="n">
        <v>12</v>
      </c>
      <c r="B681" s="10" t="inlineStr">
        <is>
          <t>休日</t>
        </is>
      </c>
      <c r="C681" s="10" t="inlineStr">
        <is>
          <t>本線</t>
        </is>
      </c>
      <c r="D681" s="10" t="inlineStr">
        <is>
          <t>上り</t>
        </is>
      </c>
      <c r="E681" s="10" t="inlineStr">
        <is>
          <t>連1506</t>
        </is>
      </c>
      <c r="F681" t="inlineStr">
        <is>
          <t>0211</t>
        </is>
      </c>
      <c r="G681" s="10" t="inlineStr">
        <is>
          <t>西院</t>
        </is>
      </c>
      <c r="H681" s="10" t="inlineStr">
        <is>
          <t>発</t>
        </is>
      </c>
      <c r="J681" s="10" t="inlineStr">
        <is>
          <t>営業</t>
        </is>
      </c>
      <c r="L681" t="inlineStr">
        <is>
          <t>15:43:10</t>
        </is>
      </c>
      <c r="M681" t="inlineStr">
        <is>
          <t>15:44:05</t>
        </is>
      </c>
      <c r="P681" t="inlineStr">
        <is>
          <t>F系統(終日)</t>
        </is>
      </c>
    </row>
    <row r="682" ht="15" customHeight="1" s="37">
      <c r="A682" t="n">
        <v>12</v>
      </c>
      <c r="B682" s="10" t="inlineStr">
        <is>
          <t>休日</t>
        </is>
      </c>
      <c r="C682" s="10" t="inlineStr">
        <is>
          <t>本線</t>
        </is>
      </c>
      <c r="D682" s="10" t="inlineStr">
        <is>
          <t>上り</t>
        </is>
      </c>
      <c r="E682" s="10" t="inlineStr">
        <is>
          <t>連1506</t>
        </is>
      </c>
      <c r="F682" t="inlineStr">
        <is>
          <t>0211</t>
        </is>
      </c>
      <c r="G682" s="10" t="inlineStr">
        <is>
          <t>四条大宮</t>
        </is>
      </c>
      <c r="H682" s="10" t="inlineStr">
        <is>
          <t>着</t>
        </is>
      </c>
      <c r="J682" s="10" t="inlineStr">
        <is>
          <t>営業</t>
        </is>
      </c>
      <c r="L682" t="inlineStr">
        <is>
          <t>15:47:00</t>
        </is>
      </c>
      <c r="P682" t="inlineStr">
        <is>
          <t>F系統(終日)</t>
        </is>
      </c>
      <c r="Q682" t="inlineStr">
        <is>
          <t>1</t>
        </is>
      </c>
    </row>
    <row r="683" ht="15" customHeight="1" s="37">
      <c r="A683" t="n">
        <v>12</v>
      </c>
      <c r="B683" s="10" t="inlineStr">
        <is>
          <t>休日</t>
        </is>
      </c>
      <c r="C683" s="10" t="inlineStr">
        <is>
          <t>本線</t>
        </is>
      </c>
      <c r="D683" s="10" t="inlineStr">
        <is>
          <t>下り</t>
        </is>
      </c>
      <c r="E683" s="10" t="inlineStr">
        <is>
          <t>連1511</t>
        </is>
      </c>
      <c r="F683" t="inlineStr">
        <is>
          <t>0112</t>
        </is>
      </c>
      <c r="G683" s="10" t="inlineStr">
        <is>
          <t>四条大宮</t>
        </is>
      </c>
      <c r="H683" s="10" t="inlineStr">
        <is>
          <t>発</t>
        </is>
      </c>
      <c r="J683" s="10" t="inlineStr">
        <is>
          <t>営業</t>
        </is>
      </c>
      <c r="M683" t="inlineStr">
        <is>
          <t>15:53:00</t>
        </is>
      </c>
      <c r="P683" t="inlineStr">
        <is>
          <t>F系統(終日)</t>
        </is>
      </c>
      <c r="Q683" t="inlineStr">
        <is>
          <t>1</t>
        </is>
      </c>
    </row>
    <row r="684" ht="15" customHeight="1" s="37">
      <c r="A684" t="n">
        <v>12</v>
      </c>
      <c r="B684" s="10" t="inlineStr">
        <is>
          <t>休日</t>
        </is>
      </c>
      <c r="C684" s="10" t="inlineStr">
        <is>
          <t>本線</t>
        </is>
      </c>
      <c r="D684" s="10" t="inlineStr">
        <is>
          <t>下り</t>
        </is>
      </c>
      <c r="E684" s="10" t="inlineStr">
        <is>
          <t>連1511</t>
        </is>
      </c>
      <c r="F684" t="inlineStr">
        <is>
          <t>0112</t>
        </is>
      </c>
      <c r="G684" s="10" t="inlineStr">
        <is>
          <t>西院</t>
        </is>
      </c>
      <c r="H684" s="10" t="inlineStr">
        <is>
          <t>発</t>
        </is>
      </c>
      <c r="J684" s="10" t="inlineStr">
        <is>
          <t>営業</t>
        </is>
      </c>
      <c r="L684" t="inlineStr">
        <is>
          <t>15:55:50</t>
        </is>
      </c>
      <c r="M684" t="inlineStr">
        <is>
          <t>15:56:20</t>
        </is>
      </c>
      <c r="P684" t="inlineStr">
        <is>
          <t>F系統(終日)</t>
        </is>
      </c>
    </row>
    <row r="685" ht="15" customHeight="1" s="37">
      <c r="A685" t="n">
        <v>12</v>
      </c>
      <c r="B685" s="10" t="inlineStr">
        <is>
          <t>休日</t>
        </is>
      </c>
      <c r="C685" s="10" t="inlineStr">
        <is>
          <t>本線</t>
        </is>
      </c>
      <c r="D685" s="10" t="inlineStr">
        <is>
          <t>下り</t>
        </is>
      </c>
      <c r="E685" s="10" t="inlineStr">
        <is>
          <t>連1511</t>
        </is>
      </c>
      <c r="F685" t="inlineStr">
        <is>
          <t>0112</t>
        </is>
      </c>
      <c r="G685" s="10" t="inlineStr">
        <is>
          <t>西大路三条</t>
        </is>
      </c>
      <c r="H685" s="10" t="inlineStr">
        <is>
          <t>発</t>
        </is>
      </c>
      <c r="J685" s="10" t="inlineStr">
        <is>
          <t>営業</t>
        </is>
      </c>
      <c r="L685" t="inlineStr">
        <is>
          <t>15:58:10</t>
        </is>
      </c>
      <c r="M685" t="inlineStr">
        <is>
          <t>15:58:30</t>
        </is>
      </c>
      <c r="P685" t="inlineStr">
        <is>
          <t>F系統(終日)</t>
        </is>
      </c>
    </row>
    <row r="686" ht="15" customHeight="1" s="37">
      <c r="A686" t="n">
        <v>12</v>
      </c>
      <c r="B686" s="10" t="inlineStr">
        <is>
          <t>休日</t>
        </is>
      </c>
      <c r="C686" s="10" t="inlineStr">
        <is>
          <t>本線</t>
        </is>
      </c>
      <c r="D686" s="10" t="inlineStr">
        <is>
          <t>下り</t>
        </is>
      </c>
      <c r="E686" s="10" t="inlineStr">
        <is>
          <t>連1511</t>
        </is>
      </c>
      <c r="F686" t="inlineStr">
        <is>
          <t>0112</t>
        </is>
      </c>
      <c r="G686" s="10" t="inlineStr">
        <is>
          <t>山ノ内</t>
        </is>
      </c>
      <c r="H686" s="10" t="inlineStr">
        <is>
          <t>発</t>
        </is>
      </c>
      <c r="J686" s="10" t="inlineStr">
        <is>
          <t>営業</t>
        </is>
      </c>
      <c r="L686" t="inlineStr">
        <is>
          <t>16:00:25</t>
        </is>
      </c>
      <c r="M686" t="inlineStr">
        <is>
          <t>16:00:50</t>
        </is>
      </c>
      <c r="P686" t="inlineStr">
        <is>
          <t>F系統(終日)</t>
        </is>
      </c>
    </row>
    <row r="687" ht="15" customHeight="1" s="37">
      <c r="A687" t="n">
        <v>12</v>
      </c>
      <c r="B687" s="10" t="inlineStr">
        <is>
          <t>休日</t>
        </is>
      </c>
      <c r="C687" s="10" t="inlineStr">
        <is>
          <t>本線</t>
        </is>
      </c>
      <c r="D687" s="10" t="inlineStr">
        <is>
          <t>下り</t>
        </is>
      </c>
      <c r="E687" s="10" t="inlineStr">
        <is>
          <t>連1511</t>
        </is>
      </c>
      <c r="F687" t="inlineStr">
        <is>
          <t>0112</t>
        </is>
      </c>
      <c r="G687" s="10" t="inlineStr">
        <is>
          <t>天神川</t>
        </is>
      </c>
      <c r="H687" s="10" t="inlineStr">
        <is>
          <t>発</t>
        </is>
      </c>
      <c r="J687" s="10" t="inlineStr">
        <is>
          <t>営業</t>
        </is>
      </c>
      <c r="L687" t="inlineStr">
        <is>
          <t>16:02:50</t>
        </is>
      </c>
      <c r="M687" t="inlineStr">
        <is>
          <t>16:03:30</t>
        </is>
      </c>
      <c r="P687" t="inlineStr">
        <is>
          <t>F系統(終日)</t>
        </is>
      </c>
    </row>
    <row r="688" ht="15" customHeight="1" s="37">
      <c r="A688" t="n">
        <v>12</v>
      </c>
      <c r="B688" s="10" t="inlineStr">
        <is>
          <t>休日</t>
        </is>
      </c>
      <c r="C688" s="10" t="inlineStr">
        <is>
          <t>本線</t>
        </is>
      </c>
      <c r="D688" s="10" t="inlineStr">
        <is>
          <t>下り</t>
        </is>
      </c>
      <c r="E688" s="10" t="inlineStr">
        <is>
          <t>連1511</t>
        </is>
      </c>
      <c r="F688" t="inlineStr">
        <is>
          <t>0112</t>
        </is>
      </c>
      <c r="G688" s="10" t="inlineStr">
        <is>
          <t>蚕ノ社</t>
        </is>
      </c>
      <c r="H688" s="10" t="inlineStr">
        <is>
          <t>発</t>
        </is>
      </c>
      <c r="J688" s="10" t="inlineStr">
        <is>
          <t>営業</t>
        </is>
      </c>
      <c r="L688" t="inlineStr">
        <is>
          <t>16:04:20</t>
        </is>
      </c>
      <c r="M688" t="inlineStr">
        <is>
          <t>16:04:40</t>
        </is>
      </c>
      <c r="P688" t="inlineStr">
        <is>
          <t>F系統(終日)</t>
        </is>
      </c>
    </row>
    <row r="689" ht="15" customHeight="1" s="37">
      <c r="A689" t="n">
        <v>12</v>
      </c>
      <c r="B689" s="10" t="inlineStr">
        <is>
          <t>休日</t>
        </is>
      </c>
      <c r="C689" s="10" t="inlineStr">
        <is>
          <t>本線</t>
        </is>
      </c>
      <c r="D689" s="10" t="inlineStr">
        <is>
          <t>下り</t>
        </is>
      </c>
      <c r="E689" s="10" t="inlineStr">
        <is>
          <t>連1511</t>
        </is>
      </c>
      <c r="F689" t="inlineStr">
        <is>
          <t>0112</t>
        </is>
      </c>
      <c r="G689" s="10" t="inlineStr">
        <is>
          <t>太秦広隆寺</t>
        </is>
      </c>
      <c r="H689" s="10" t="inlineStr">
        <is>
          <t>発</t>
        </is>
      </c>
      <c r="J689" s="10" t="inlineStr">
        <is>
          <t>営業</t>
        </is>
      </c>
      <c r="L689" t="inlineStr">
        <is>
          <t>16:06:00</t>
        </is>
      </c>
      <c r="M689" t="inlineStr">
        <is>
          <t>16:06:20</t>
        </is>
      </c>
      <c r="P689" t="inlineStr">
        <is>
          <t>F系統(終日)</t>
        </is>
      </c>
    </row>
    <row r="690" ht="15" customHeight="1" s="37">
      <c r="A690" t="n">
        <v>12</v>
      </c>
      <c r="B690" s="10" t="inlineStr">
        <is>
          <t>休日</t>
        </is>
      </c>
      <c r="C690" s="10" t="inlineStr">
        <is>
          <t>本線</t>
        </is>
      </c>
      <c r="D690" s="10" t="inlineStr">
        <is>
          <t>下り</t>
        </is>
      </c>
      <c r="E690" s="10" t="inlineStr">
        <is>
          <t>連1511</t>
        </is>
      </c>
      <c r="F690" t="inlineStr">
        <is>
          <t>0112</t>
        </is>
      </c>
      <c r="G690" s="10" t="inlineStr">
        <is>
          <t>帷子ノ辻</t>
        </is>
      </c>
      <c r="H690" s="10" t="inlineStr">
        <is>
          <t>発</t>
        </is>
      </c>
      <c r="J690" s="10" t="inlineStr">
        <is>
          <t>営業</t>
        </is>
      </c>
      <c r="L690" t="inlineStr">
        <is>
          <t>16:08:20</t>
        </is>
      </c>
      <c r="M690" t="inlineStr">
        <is>
          <t>16:09:40</t>
        </is>
      </c>
      <c r="P690" t="inlineStr">
        <is>
          <t>F系統(終日)</t>
        </is>
      </c>
    </row>
    <row r="691" ht="15" customHeight="1" s="37">
      <c r="A691" t="n">
        <v>12</v>
      </c>
      <c r="B691" s="10" t="inlineStr">
        <is>
          <t>休日</t>
        </is>
      </c>
      <c r="C691" s="10" t="inlineStr">
        <is>
          <t>本線</t>
        </is>
      </c>
      <c r="D691" s="10" t="inlineStr">
        <is>
          <t>下り</t>
        </is>
      </c>
      <c r="E691" s="10" t="inlineStr">
        <is>
          <t>連1511</t>
        </is>
      </c>
      <c r="F691" t="inlineStr">
        <is>
          <t>0112</t>
        </is>
      </c>
      <c r="G691" s="10" t="inlineStr">
        <is>
          <t>有栖川</t>
        </is>
      </c>
      <c r="H691" s="10" t="inlineStr">
        <is>
          <t>発</t>
        </is>
      </c>
      <c r="J691" s="10" t="inlineStr">
        <is>
          <t>営業</t>
        </is>
      </c>
      <c r="L691" t="inlineStr">
        <is>
          <t>16:10:50</t>
        </is>
      </c>
      <c r="M691" t="inlineStr">
        <is>
          <t>16:11:15</t>
        </is>
      </c>
      <c r="P691" t="inlineStr">
        <is>
          <t>F系統(終日)</t>
        </is>
      </c>
    </row>
    <row r="692" ht="15" customHeight="1" s="37">
      <c r="A692" t="n">
        <v>12</v>
      </c>
      <c r="B692" s="10" t="inlineStr">
        <is>
          <t>休日</t>
        </is>
      </c>
      <c r="C692" s="10" t="inlineStr">
        <is>
          <t>本線</t>
        </is>
      </c>
      <c r="D692" s="10" t="inlineStr">
        <is>
          <t>下り</t>
        </is>
      </c>
      <c r="E692" s="10" t="inlineStr">
        <is>
          <t>連1511</t>
        </is>
      </c>
      <c r="F692" t="inlineStr">
        <is>
          <t>0112</t>
        </is>
      </c>
      <c r="G692" s="10" t="inlineStr">
        <is>
          <t>車折</t>
        </is>
      </c>
      <c r="H692" s="10" t="inlineStr">
        <is>
          <t>発</t>
        </is>
      </c>
      <c r="J692" s="10" t="inlineStr">
        <is>
          <t>営業</t>
        </is>
      </c>
      <c r="L692" t="inlineStr">
        <is>
          <t>16:12:40</t>
        </is>
      </c>
      <c r="M692" t="inlineStr">
        <is>
          <t>16:13:05</t>
        </is>
      </c>
      <c r="P692" t="inlineStr">
        <is>
          <t>F系統(終日)</t>
        </is>
      </c>
    </row>
    <row r="693" ht="15" customHeight="1" s="37">
      <c r="A693" t="n">
        <v>12</v>
      </c>
      <c r="B693" s="10" t="inlineStr">
        <is>
          <t>休日</t>
        </is>
      </c>
      <c r="C693" s="10" t="inlineStr">
        <is>
          <t>本線</t>
        </is>
      </c>
      <c r="D693" s="10" t="inlineStr">
        <is>
          <t>下り</t>
        </is>
      </c>
      <c r="E693" s="10" t="inlineStr">
        <is>
          <t>連1511</t>
        </is>
      </c>
      <c r="F693" t="inlineStr">
        <is>
          <t>0112</t>
        </is>
      </c>
      <c r="G693" s="10" t="inlineStr">
        <is>
          <t>鹿王院</t>
        </is>
      </c>
      <c r="H693" s="10" t="inlineStr">
        <is>
          <t>発</t>
        </is>
      </c>
      <c r="J693" s="10" t="inlineStr">
        <is>
          <t>営業</t>
        </is>
      </c>
      <c r="L693" t="inlineStr">
        <is>
          <t>16:14:00</t>
        </is>
      </c>
      <c r="M693" t="inlineStr">
        <is>
          <t>16:14:25</t>
        </is>
      </c>
      <c r="P693" t="inlineStr">
        <is>
          <t>F系統(終日)</t>
        </is>
      </c>
    </row>
    <row r="694" ht="15" customHeight="1" s="37">
      <c r="A694" t="n">
        <v>12</v>
      </c>
      <c r="B694" s="10" t="inlineStr">
        <is>
          <t>休日</t>
        </is>
      </c>
      <c r="C694" s="10" t="inlineStr">
        <is>
          <t>本線</t>
        </is>
      </c>
      <c r="D694" s="10" t="inlineStr">
        <is>
          <t>下り</t>
        </is>
      </c>
      <c r="E694" s="10" t="inlineStr">
        <is>
          <t>連1511</t>
        </is>
      </c>
      <c r="F694" t="inlineStr">
        <is>
          <t>0112</t>
        </is>
      </c>
      <c r="G694" s="10" t="inlineStr">
        <is>
          <t>嵯峨</t>
        </is>
      </c>
      <c r="H694" s="10" t="inlineStr">
        <is>
          <t>発</t>
        </is>
      </c>
      <c r="J694" s="10" t="inlineStr">
        <is>
          <t>営業</t>
        </is>
      </c>
      <c r="L694" t="inlineStr">
        <is>
          <t>16:15:30</t>
        </is>
      </c>
      <c r="M694" t="inlineStr">
        <is>
          <t>16:15:55</t>
        </is>
      </c>
      <c r="P694" t="inlineStr">
        <is>
          <t>F系統(終日)</t>
        </is>
      </c>
    </row>
    <row r="695" ht="15" customHeight="1" s="37">
      <c r="A695" t="n">
        <v>12</v>
      </c>
      <c r="B695" s="10" t="inlineStr">
        <is>
          <t>休日</t>
        </is>
      </c>
      <c r="C695" s="10" t="inlineStr">
        <is>
          <t>本線</t>
        </is>
      </c>
      <c r="D695" s="10" t="inlineStr">
        <is>
          <t>下り</t>
        </is>
      </c>
      <c r="E695" s="10" t="inlineStr">
        <is>
          <t>連1511</t>
        </is>
      </c>
      <c r="F695" t="inlineStr">
        <is>
          <t>0112</t>
        </is>
      </c>
      <c r="G695" s="10" t="inlineStr">
        <is>
          <t>嵐山</t>
        </is>
      </c>
      <c r="H695" s="10" t="inlineStr">
        <is>
          <t>着</t>
        </is>
      </c>
      <c r="J695" s="10" t="inlineStr">
        <is>
          <t>営業</t>
        </is>
      </c>
      <c r="L695" t="inlineStr">
        <is>
          <t>16:17:00</t>
        </is>
      </c>
      <c r="P695" t="inlineStr">
        <is>
          <t>F系統(終日)</t>
        </is>
      </c>
      <c r="Q695" t="inlineStr">
        <is>
          <t>1</t>
        </is>
      </c>
    </row>
    <row r="696" ht="15" customHeight="1" s="37">
      <c r="A696" t="n">
        <v>12</v>
      </c>
      <c r="B696" s="10" t="inlineStr">
        <is>
          <t>休日</t>
        </is>
      </c>
      <c r="C696" s="10" t="inlineStr">
        <is>
          <t>本線</t>
        </is>
      </c>
      <c r="D696" s="10" t="inlineStr">
        <is>
          <t>上り</t>
        </is>
      </c>
      <c r="E696" s="10" t="inlineStr">
        <is>
          <t>連1606</t>
        </is>
      </c>
      <c r="F696" t="inlineStr">
        <is>
          <t>2221</t>
        </is>
      </c>
      <c r="G696" s="10" t="inlineStr">
        <is>
          <t>嵐山</t>
        </is>
      </c>
      <c r="H696" s="10" t="inlineStr">
        <is>
          <t>発</t>
        </is>
      </c>
      <c r="J696" s="10" t="inlineStr">
        <is>
          <t>営業</t>
        </is>
      </c>
      <c r="M696" t="inlineStr">
        <is>
          <t>16:23:00</t>
        </is>
      </c>
      <c r="P696" t="inlineStr">
        <is>
          <t>F系統(終日)</t>
        </is>
      </c>
      <c r="Q696" t="inlineStr">
        <is>
          <t>1</t>
        </is>
      </c>
    </row>
    <row r="697" ht="15" customHeight="1" s="37">
      <c r="A697" t="n">
        <v>12</v>
      </c>
      <c r="B697" s="10" t="inlineStr">
        <is>
          <t>休日</t>
        </is>
      </c>
      <c r="C697" s="10" t="inlineStr">
        <is>
          <t>本線</t>
        </is>
      </c>
      <c r="D697" s="10" t="inlineStr">
        <is>
          <t>上り</t>
        </is>
      </c>
      <c r="E697" s="10" t="inlineStr">
        <is>
          <t>連1606</t>
        </is>
      </c>
      <c r="F697" t="inlineStr">
        <is>
          <t>2221</t>
        </is>
      </c>
      <c r="G697" s="10" t="inlineStr">
        <is>
          <t>嵯峨</t>
        </is>
      </c>
      <c r="H697" s="10" t="inlineStr">
        <is>
          <t>発</t>
        </is>
      </c>
      <c r="J697" s="10" t="inlineStr">
        <is>
          <t>営業</t>
        </is>
      </c>
      <c r="L697" t="inlineStr">
        <is>
          <t>16:23:55</t>
        </is>
      </c>
      <c r="M697" t="inlineStr">
        <is>
          <t>16:24:20</t>
        </is>
      </c>
      <c r="P697" t="inlineStr">
        <is>
          <t>F系統(終日)</t>
        </is>
      </c>
    </row>
    <row r="698" ht="15" customHeight="1" s="37">
      <c r="A698" t="n">
        <v>12</v>
      </c>
      <c r="B698" s="10" t="inlineStr">
        <is>
          <t>休日</t>
        </is>
      </c>
      <c r="C698" s="10" t="inlineStr">
        <is>
          <t>本線</t>
        </is>
      </c>
      <c r="D698" s="10" t="inlineStr">
        <is>
          <t>上り</t>
        </is>
      </c>
      <c r="E698" s="10" t="inlineStr">
        <is>
          <t>連1606</t>
        </is>
      </c>
      <c r="F698" t="inlineStr">
        <is>
          <t>2221</t>
        </is>
      </c>
      <c r="G698" s="10" t="inlineStr">
        <is>
          <t>鹿王院</t>
        </is>
      </c>
      <c r="H698" s="10" t="inlineStr">
        <is>
          <t>発</t>
        </is>
      </c>
      <c r="J698" s="10" t="inlineStr">
        <is>
          <t>営業</t>
        </is>
      </c>
      <c r="L698" t="inlineStr">
        <is>
          <t>16:25:25</t>
        </is>
      </c>
      <c r="M698" t="inlineStr">
        <is>
          <t>16:25:45</t>
        </is>
      </c>
      <c r="P698" t="inlineStr">
        <is>
          <t>F系統(終日)</t>
        </is>
      </c>
    </row>
    <row r="699" ht="15" customHeight="1" s="37">
      <c r="A699" t="n">
        <v>12</v>
      </c>
      <c r="B699" s="10" t="inlineStr">
        <is>
          <t>休日</t>
        </is>
      </c>
      <c r="C699" s="10" t="inlineStr">
        <is>
          <t>本線</t>
        </is>
      </c>
      <c r="D699" s="10" t="inlineStr">
        <is>
          <t>上り</t>
        </is>
      </c>
      <c r="E699" s="10" t="inlineStr">
        <is>
          <t>連1606</t>
        </is>
      </c>
      <c r="F699" t="inlineStr">
        <is>
          <t>2221</t>
        </is>
      </c>
      <c r="G699" s="10" t="inlineStr">
        <is>
          <t>車折</t>
        </is>
      </c>
      <c r="H699" s="10" t="inlineStr">
        <is>
          <t>発</t>
        </is>
      </c>
      <c r="J699" s="10" t="inlineStr">
        <is>
          <t>営業</t>
        </is>
      </c>
      <c r="L699" t="inlineStr">
        <is>
          <t>16:26:40</t>
        </is>
      </c>
      <c r="M699" t="inlineStr">
        <is>
          <t>16:27:10</t>
        </is>
      </c>
      <c r="P699" t="inlineStr">
        <is>
          <t>F系統(終日)</t>
        </is>
      </c>
    </row>
    <row r="700" ht="15" customHeight="1" s="37">
      <c r="A700" t="n">
        <v>12</v>
      </c>
      <c r="B700" s="10" t="inlineStr">
        <is>
          <t>休日</t>
        </is>
      </c>
      <c r="C700" s="10" t="inlineStr">
        <is>
          <t>本線</t>
        </is>
      </c>
      <c r="D700" s="10" t="inlineStr">
        <is>
          <t>上り</t>
        </is>
      </c>
      <c r="E700" s="10" t="inlineStr">
        <is>
          <t>連1606</t>
        </is>
      </c>
      <c r="F700" t="inlineStr">
        <is>
          <t>2221</t>
        </is>
      </c>
      <c r="G700" s="10" t="inlineStr">
        <is>
          <t>有栖川</t>
        </is>
      </c>
      <c r="H700" s="10" t="inlineStr">
        <is>
          <t>発</t>
        </is>
      </c>
      <c r="J700" s="10" t="inlineStr">
        <is>
          <t>営業</t>
        </is>
      </c>
      <c r="L700" t="inlineStr">
        <is>
          <t>16:28:35</t>
        </is>
      </c>
      <c r="M700" t="inlineStr">
        <is>
          <t>16:28:55</t>
        </is>
      </c>
      <c r="P700" t="inlineStr">
        <is>
          <t>F系統(終日)</t>
        </is>
      </c>
    </row>
    <row r="701" ht="15" customHeight="1" s="37">
      <c r="A701" t="n">
        <v>12</v>
      </c>
      <c r="B701" s="10" t="inlineStr">
        <is>
          <t>休日</t>
        </is>
      </c>
      <c r="C701" s="10" t="inlineStr">
        <is>
          <t>本線</t>
        </is>
      </c>
      <c r="D701" s="10" t="inlineStr">
        <is>
          <t>上り</t>
        </is>
      </c>
      <c r="E701" s="10" t="inlineStr">
        <is>
          <t>連1606</t>
        </is>
      </c>
      <c r="F701" t="inlineStr">
        <is>
          <t>2221</t>
        </is>
      </c>
      <c r="G701" s="10" t="inlineStr">
        <is>
          <t>帷子ノ辻</t>
        </is>
      </c>
      <c r="H701" s="10" t="inlineStr">
        <is>
          <t>発</t>
        </is>
      </c>
      <c r="J701" s="10" t="inlineStr">
        <is>
          <t>営業</t>
        </is>
      </c>
      <c r="L701" t="inlineStr">
        <is>
          <t>16:30:10</t>
        </is>
      </c>
      <c r="M701" t="inlineStr">
        <is>
          <t>16:31:15</t>
        </is>
      </c>
      <c r="P701" t="inlineStr">
        <is>
          <t>F系統(終日)</t>
        </is>
      </c>
    </row>
    <row r="702" ht="15" customHeight="1" s="37">
      <c r="A702" t="n">
        <v>12</v>
      </c>
      <c r="B702" s="10" t="inlineStr">
        <is>
          <t>休日</t>
        </is>
      </c>
      <c r="C702" s="10" t="inlineStr">
        <is>
          <t>本線</t>
        </is>
      </c>
      <c r="D702" s="10" t="inlineStr">
        <is>
          <t>上り</t>
        </is>
      </c>
      <c r="E702" s="10" t="inlineStr">
        <is>
          <t>連1606</t>
        </is>
      </c>
      <c r="F702" t="inlineStr">
        <is>
          <t>2221</t>
        </is>
      </c>
      <c r="G702" s="10" t="inlineStr">
        <is>
          <t>太秦広隆寺</t>
        </is>
      </c>
      <c r="H702" s="10" t="inlineStr">
        <is>
          <t>発</t>
        </is>
      </c>
      <c r="J702" s="10" t="inlineStr">
        <is>
          <t>営業</t>
        </is>
      </c>
      <c r="L702" t="inlineStr">
        <is>
          <t>16:33:25</t>
        </is>
      </c>
      <c r="M702" t="inlineStr">
        <is>
          <t>16:33:45</t>
        </is>
      </c>
      <c r="P702" t="inlineStr">
        <is>
          <t>F系統(終日)</t>
        </is>
      </c>
    </row>
    <row r="703" ht="15" customHeight="1" s="37">
      <c r="A703" t="n">
        <v>12</v>
      </c>
      <c r="B703" s="10" t="inlineStr">
        <is>
          <t>休日</t>
        </is>
      </c>
      <c r="C703" s="10" t="inlineStr">
        <is>
          <t>本線</t>
        </is>
      </c>
      <c r="D703" s="10" t="inlineStr">
        <is>
          <t>上り</t>
        </is>
      </c>
      <c r="E703" s="10" t="inlineStr">
        <is>
          <t>連1606</t>
        </is>
      </c>
      <c r="F703" t="inlineStr">
        <is>
          <t>2221</t>
        </is>
      </c>
      <c r="G703" s="10" t="inlineStr">
        <is>
          <t>蚕ノ社</t>
        </is>
      </c>
      <c r="H703" s="10" t="inlineStr">
        <is>
          <t>発</t>
        </is>
      </c>
      <c r="J703" s="10" t="inlineStr">
        <is>
          <t>営業</t>
        </is>
      </c>
      <c r="L703" t="inlineStr">
        <is>
          <t>16:35:00</t>
        </is>
      </c>
      <c r="M703" t="inlineStr">
        <is>
          <t>16:35:20</t>
        </is>
      </c>
      <c r="P703" t="inlineStr">
        <is>
          <t>F系統(終日)</t>
        </is>
      </c>
    </row>
    <row r="704" ht="15" customHeight="1" s="37">
      <c r="A704" t="n">
        <v>12</v>
      </c>
      <c r="B704" s="10" t="inlineStr">
        <is>
          <t>休日</t>
        </is>
      </c>
      <c r="C704" s="10" t="inlineStr">
        <is>
          <t>本線</t>
        </is>
      </c>
      <c r="D704" s="10" t="inlineStr">
        <is>
          <t>上り</t>
        </is>
      </c>
      <c r="E704" s="10" t="inlineStr">
        <is>
          <t>連1606</t>
        </is>
      </c>
      <c r="F704" t="inlineStr">
        <is>
          <t>2221</t>
        </is>
      </c>
      <c r="G704" s="10" t="inlineStr">
        <is>
          <t>天神川</t>
        </is>
      </c>
      <c r="H704" s="10" t="inlineStr">
        <is>
          <t>発</t>
        </is>
      </c>
      <c r="J704" s="10" t="inlineStr">
        <is>
          <t>営業</t>
        </is>
      </c>
      <c r="L704" t="inlineStr">
        <is>
          <t>16:36:05</t>
        </is>
      </c>
      <c r="M704" t="inlineStr">
        <is>
          <t>16:36:50</t>
        </is>
      </c>
      <c r="P704" t="inlineStr">
        <is>
          <t>F系統(終日)</t>
        </is>
      </c>
    </row>
    <row r="705" ht="15" customHeight="1" s="37">
      <c r="A705" t="n">
        <v>12</v>
      </c>
      <c r="B705" s="10" t="inlineStr">
        <is>
          <t>休日</t>
        </is>
      </c>
      <c r="C705" s="10" t="inlineStr">
        <is>
          <t>本線</t>
        </is>
      </c>
      <c r="D705" s="10" t="inlineStr">
        <is>
          <t>上り</t>
        </is>
      </c>
      <c r="E705" s="10" t="inlineStr">
        <is>
          <t>連1606</t>
        </is>
      </c>
      <c r="F705" t="inlineStr">
        <is>
          <t>2221</t>
        </is>
      </c>
      <c r="G705" s="10" t="inlineStr">
        <is>
          <t>山ノ内</t>
        </is>
      </c>
      <c r="H705" s="10" t="inlineStr">
        <is>
          <t>発</t>
        </is>
      </c>
      <c r="J705" s="10" t="inlineStr">
        <is>
          <t>営業</t>
        </is>
      </c>
      <c r="L705" t="inlineStr">
        <is>
          <t>16:38:40</t>
        </is>
      </c>
      <c r="M705" t="inlineStr">
        <is>
          <t>16:39:05</t>
        </is>
      </c>
      <c r="P705" t="inlineStr">
        <is>
          <t>F系統(終日)</t>
        </is>
      </c>
    </row>
    <row r="706" ht="15" customHeight="1" s="37">
      <c r="A706" t="n">
        <v>12</v>
      </c>
      <c r="B706" s="10" t="inlineStr">
        <is>
          <t>休日</t>
        </is>
      </c>
      <c r="C706" s="10" t="inlineStr">
        <is>
          <t>本線</t>
        </is>
      </c>
      <c r="D706" s="10" t="inlineStr">
        <is>
          <t>上り</t>
        </is>
      </c>
      <c r="E706" s="10" t="inlineStr">
        <is>
          <t>連1606</t>
        </is>
      </c>
      <c r="F706" t="inlineStr">
        <is>
          <t>2221</t>
        </is>
      </c>
      <c r="G706" s="10" t="inlineStr">
        <is>
          <t>西大路三条</t>
        </is>
      </c>
      <c r="H706" s="10" t="inlineStr">
        <is>
          <t>発</t>
        </is>
      </c>
      <c r="J706" s="10" t="inlineStr">
        <is>
          <t>営業</t>
        </is>
      </c>
      <c r="L706" t="inlineStr">
        <is>
          <t>16:40:55</t>
        </is>
      </c>
      <c r="M706" t="inlineStr">
        <is>
          <t>16:41:15</t>
        </is>
      </c>
      <c r="P706" t="inlineStr">
        <is>
          <t>F系統(終日)</t>
        </is>
      </c>
    </row>
    <row r="707" ht="15" customHeight="1" s="37">
      <c r="A707" t="n">
        <v>12</v>
      </c>
      <c r="B707" s="10" t="inlineStr">
        <is>
          <t>休日</t>
        </is>
      </c>
      <c r="C707" s="10" t="inlineStr">
        <is>
          <t>本線</t>
        </is>
      </c>
      <c r="D707" s="10" t="inlineStr">
        <is>
          <t>上り</t>
        </is>
      </c>
      <c r="E707" s="10" t="inlineStr">
        <is>
          <t>連1606</t>
        </is>
      </c>
      <c r="F707" t="inlineStr">
        <is>
          <t>2221</t>
        </is>
      </c>
      <c r="G707" s="10" t="inlineStr">
        <is>
          <t>西院</t>
        </is>
      </c>
      <c r="H707" s="10" t="inlineStr">
        <is>
          <t>発</t>
        </is>
      </c>
      <c r="J707" s="10" t="inlineStr">
        <is>
          <t>営業</t>
        </is>
      </c>
      <c r="L707" t="inlineStr">
        <is>
          <t>16:43:10</t>
        </is>
      </c>
      <c r="M707" t="inlineStr">
        <is>
          <t>16:44:05</t>
        </is>
      </c>
      <c r="P707" t="inlineStr">
        <is>
          <t>F系統(終日)</t>
        </is>
      </c>
    </row>
    <row r="708" ht="15" customHeight="1" s="37">
      <c r="A708" t="n">
        <v>12</v>
      </c>
      <c r="B708" s="10" t="inlineStr">
        <is>
          <t>休日</t>
        </is>
      </c>
      <c r="C708" s="10" t="inlineStr">
        <is>
          <t>本線</t>
        </is>
      </c>
      <c r="D708" s="10" t="inlineStr">
        <is>
          <t>上り</t>
        </is>
      </c>
      <c r="E708" s="10" t="inlineStr">
        <is>
          <t>連1606</t>
        </is>
      </c>
      <c r="F708" t="inlineStr">
        <is>
          <t>2221</t>
        </is>
      </c>
      <c r="G708" s="10" t="inlineStr">
        <is>
          <t>四条大宮</t>
        </is>
      </c>
      <c r="H708" s="10" t="inlineStr">
        <is>
          <t>着</t>
        </is>
      </c>
      <c r="J708" s="10" t="inlineStr">
        <is>
          <t>営業</t>
        </is>
      </c>
      <c r="L708" t="inlineStr">
        <is>
          <t>16:47:00</t>
        </is>
      </c>
      <c r="P708" t="inlineStr">
        <is>
          <t>F系統(終日)</t>
        </is>
      </c>
      <c r="Q708" t="inlineStr">
        <is>
          <t>1</t>
        </is>
      </c>
    </row>
    <row r="709" ht="15" customHeight="1" s="37">
      <c r="A709" t="n">
        <v>12</v>
      </c>
      <c r="B709" s="10" t="inlineStr">
        <is>
          <t>休日</t>
        </is>
      </c>
      <c r="C709" s="10" t="inlineStr">
        <is>
          <t>本線</t>
        </is>
      </c>
      <c r="D709" s="10" t="inlineStr">
        <is>
          <t>下り</t>
        </is>
      </c>
      <c r="E709" s="10" t="inlineStr">
        <is>
          <t>連1611</t>
        </is>
      </c>
      <c r="F709" t="inlineStr">
        <is>
          <t>0112</t>
        </is>
      </c>
      <c r="G709" s="10" t="inlineStr">
        <is>
          <t>四条大宮</t>
        </is>
      </c>
      <c r="H709" s="10" t="inlineStr">
        <is>
          <t>発</t>
        </is>
      </c>
      <c r="J709" s="10" t="inlineStr">
        <is>
          <t>営業</t>
        </is>
      </c>
      <c r="M709" t="inlineStr">
        <is>
          <t>16:53:00</t>
        </is>
      </c>
      <c r="P709" t="inlineStr">
        <is>
          <t>F系統(終日)</t>
        </is>
      </c>
      <c r="Q709" t="inlineStr">
        <is>
          <t>1</t>
        </is>
      </c>
    </row>
    <row r="710" ht="15" customHeight="1" s="37">
      <c r="A710" t="n">
        <v>12</v>
      </c>
      <c r="B710" s="10" t="inlineStr">
        <is>
          <t>休日</t>
        </is>
      </c>
      <c r="C710" s="10" t="inlineStr">
        <is>
          <t>本線</t>
        </is>
      </c>
      <c r="D710" s="10" t="inlineStr">
        <is>
          <t>下り</t>
        </is>
      </c>
      <c r="E710" s="10" t="inlineStr">
        <is>
          <t>連1611</t>
        </is>
      </c>
      <c r="F710" t="inlineStr">
        <is>
          <t>0112</t>
        </is>
      </c>
      <c r="G710" s="10" t="inlineStr">
        <is>
          <t>西院</t>
        </is>
      </c>
      <c r="H710" s="10" t="inlineStr">
        <is>
          <t>発</t>
        </is>
      </c>
      <c r="J710" s="10" t="inlineStr">
        <is>
          <t>営業</t>
        </is>
      </c>
      <c r="L710" t="inlineStr">
        <is>
          <t>16:55:50</t>
        </is>
      </c>
      <c r="M710" t="inlineStr">
        <is>
          <t>16:56:20</t>
        </is>
      </c>
      <c r="P710" t="inlineStr">
        <is>
          <t>F系統(終日)</t>
        </is>
      </c>
    </row>
    <row r="711" ht="15" customHeight="1" s="37">
      <c r="A711" t="n">
        <v>12</v>
      </c>
      <c r="B711" s="10" t="inlineStr">
        <is>
          <t>休日</t>
        </is>
      </c>
      <c r="C711" s="10" t="inlineStr">
        <is>
          <t>本線</t>
        </is>
      </c>
      <c r="D711" s="10" t="inlineStr">
        <is>
          <t>下り</t>
        </is>
      </c>
      <c r="E711" s="10" t="inlineStr">
        <is>
          <t>連1611</t>
        </is>
      </c>
      <c r="F711" t="inlineStr">
        <is>
          <t>0112</t>
        </is>
      </c>
      <c r="G711" s="10" t="inlineStr">
        <is>
          <t>西大路三条</t>
        </is>
      </c>
      <c r="H711" s="10" t="inlineStr">
        <is>
          <t>発</t>
        </is>
      </c>
      <c r="J711" s="10" t="inlineStr">
        <is>
          <t>営業</t>
        </is>
      </c>
      <c r="L711" t="inlineStr">
        <is>
          <t>16:58:10</t>
        </is>
      </c>
      <c r="M711" t="inlineStr">
        <is>
          <t>16:58:30</t>
        </is>
      </c>
      <c r="P711" t="inlineStr">
        <is>
          <t>F系統(終日)</t>
        </is>
      </c>
    </row>
    <row r="712" ht="15" customHeight="1" s="37">
      <c r="A712" t="n">
        <v>12</v>
      </c>
      <c r="B712" s="10" t="inlineStr">
        <is>
          <t>休日</t>
        </is>
      </c>
      <c r="C712" s="10" t="inlineStr">
        <is>
          <t>本線</t>
        </is>
      </c>
      <c r="D712" s="10" t="inlineStr">
        <is>
          <t>下り</t>
        </is>
      </c>
      <c r="E712" s="10" t="inlineStr">
        <is>
          <t>連1611</t>
        </is>
      </c>
      <c r="F712" t="inlineStr">
        <is>
          <t>0112</t>
        </is>
      </c>
      <c r="G712" s="10" t="inlineStr">
        <is>
          <t>山ノ内</t>
        </is>
      </c>
      <c r="H712" s="10" t="inlineStr">
        <is>
          <t>発</t>
        </is>
      </c>
      <c r="J712" s="10" t="inlineStr">
        <is>
          <t>営業</t>
        </is>
      </c>
      <c r="L712" t="inlineStr">
        <is>
          <t>17:00:25</t>
        </is>
      </c>
      <c r="M712" t="inlineStr">
        <is>
          <t>17:00:50</t>
        </is>
      </c>
      <c r="P712" t="inlineStr">
        <is>
          <t>F系統(終日)</t>
        </is>
      </c>
    </row>
    <row r="713" ht="15" customHeight="1" s="37">
      <c r="A713" t="n">
        <v>12</v>
      </c>
      <c r="B713" s="10" t="inlineStr">
        <is>
          <t>休日</t>
        </is>
      </c>
      <c r="C713" s="10" t="inlineStr">
        <is>
          <t>本線</t>
        </is>
      </c>
      <c r="D713" s="10" t="inlineStr">
        <is>
          <t>下り</t>
        </is>
      </c>
      <c r="E713" s="10" t="inlineStr">
        <is>
          <t>連1611</t>
        </is>
      </c>
      <c r="F713" t="inlineStr">
        <is>
          <t>0112</t>
        </is>
      </c>
      <c r="G713" s="10" t="inlineStr">
        <is>
          <t>天神川</t>
        </is>
      </c>
      <c r="H713" s="10" t="inlineStr">
        <is>
          <t>発</t>
        </is>
      </c>
      <c r="J713" s="10" t="inlineStr">
        <is>
          <t>営業</t>
        </is>
      </c>
      <c r="L713" t="inlineStr">
        <is>
          <t>17:02:50</t>
        </is>
      </c>
      <c r="M713" t="inlineStr">
        <is>
          <t>17:03:30</t>
        </is>
      </c>
      <c r="P713" t="inlineStr">
        <is>
          <t>F系統(終日)</t>
        </is>
      </c>
    </row>
    <row r="714" ht="15" customHeight="1" s="37">
      <c r="A714" t="n">
        <v>12</v>
      </c>
      <c r="B714" s="10" t="inlineStr">
        <is>
          <t>休日</t>
        </is>
      </c>
      <c r="C714" s="10" t="inlineStr">
        <is>
          <t>本線</t>
        </is>
      </c>
      <c r="D714" s="10" t="inlineStr">
        <is>
          <t>下り</t>
        </is>
      </c>
      <c r="E714" s="10" t="inlineStr">
        <is>
          <t>連1611</t>
        </is>
      </c>
      <c r="F714" t="inlineStr">
        <is>
          <t>0112</t>
        </is>
      </c>
      <c r="G714" s="10" t="inlineStr">
        <is>
          <t>蚕ノ社</t>
        </is>
      </c>
      <c r="H714" s="10" t="inlineStr">
        <is>
          <t>発</t>
        </is>
      </c>
      <c r="J714" s="10" t="inlineStr">
        <is>
          <t>営業</t>
        </is>
      </c>
      <c r="L714" t="inlineStr">
        <is>
          <t>17:04:20</t>
        </is>
      </c>
      <c r="M714" t="inlineStr">
        <is>
          <t>17:04:40</t>
        </is>
      </c>
      <c r="P714" t="inlineStr">
        <is>
          <t>F系統(終日)</t>
        </is>
      </c>
    </row>
    <row r="715" ht="15" customHeight="1" s="37">
      <c r="A715" t="n">
        <v>12</v>
      </c>
      <c r="B715" s="10" t="inlineStr">
        <is>
          <t>休日</t>
        </is>
      </c>
      <c r="C715" s="10" t="inlineStr">
        <is>
          <t>本線</t>
        </is>
      </c>
      <c r="D715" s="10" t="inlineStr">
        <is>
          <t>下り</t>
        </is>
      </c>
      <c r="E715" s="10" t="inlineStr">
        <is>
          <t>連1611</t>
        </is>
      </c>
      <c r="F715" t="inlineStr">
        <is>
          <t>0112</t>
        </is>
      </c>
      <c r="G715" s="10" t="inlineStr">
        <is>
          <t>太秦広隆寺</t>
        </is>
      </c>
      <c r="H715" s="10" t="inlineStr">
        <is>
          <t>発</t>
        </is>
      </c>
      <c r="J715" s="10" t="inlineStr">
        <is>
          <t>営業</t>
        </is>
      </c>
      <c r="L715" t="inlineStr">
        <is>
          <t>17:06:00</t>
        </is>
      </c>
      <c r="M715" t="inlineStr">
        <is>
          <t>17:06:20</t>
        </is>
      </c>
      <c r="P715" t="inlineStr">
        <is>
          <t>F系統(終日)</t>
        </is>
      </c>
    </row>
    <row r="716" ht="15" customHeight="1" s="37">
      <c r="A716" t="n">
        <v>12</v>
      </c>
      <c r="B716" s="10" t="inlineStr">
        <is>
          <t>休日</t>
        </is>
      </c>
      <c r="C716" s="10" t="inlineStr">
        <is>
          <t>本線</t>
        </is>
      </c>
      <c r="D716" s="10" t="inlineStr">
        <is>
          <t>下り</t>
        </is>
      </c>
      <c r="E716" s="10" t="inlineStr">
        <is>
          <t>連1611</t>
        </is>
      </c>
      <c r="F716" t="inlineStr">
        <is>
          <t>0112</t>
        </is>
      </c>
      <c r="G716" s="10" t="inlineStr">
        <is>
          <t>帷子ノ辻</t>
        </is>
      </c>
      <c r="H716" s="10" t="inlineStr">
        <is>
          <t>発</t>
        </is>
      </c>
      <c r="J716" s="10" t="inlineStr">
        <is>
          <t>営業</t>
        </is>
      </c>
      <c r="L716" t="inlineStr">
        <is>
          <t>17:08:20</t>
        </is>
      </c>
      <c r="M716" t="inlineStr">
        <is>
          <t>17:09:40</t>
        </is>
      </c>
      <c r="P716" t="inlineStr">
        <is>
          <t>F系統(終日)</t>
        </is>
      </c>
    </row>
    <row r="717" ht="15" customHeight="1" s="37">
      <c r="A717" t="n">
        <v>12</v>
      </c>
      <c r="B717" s="10" t="inlineStr">
        <is>
          <t>休日</t>
        </is>
      </c>
      <c r="C717" s="10" t="inlineStr">
        <is>
          <t>本線</t>
        </is>
      </c>
      <c r="D717" s="10" t="inlineStr">
        <is>
          <t>下り</t>
        </is>
      </c>
      <c r="E717" s="10" t="inlineStr">
        <is>
          <t>連1611</t>
        </is>
      </c>
      <c r="F717" t="inlineStr">
        <is>
          <t>0112</t>
        </is>
      </c>
      <c r="G717" s="10" t="inlineStr">
        <is>
          <t>有栖川</t>
        </is>
      </c>
      <c r="H717" s="10" t="inlineStr">
        <is>
          <t>発</t>
        </is>
      </c>
      <c r="J717" s="10" t="inlineStr">
        <is>
          <t>営業</t>
        </is>
      </c>
      <c r="L717" t="inlineStr">
        <is>
          <t>17:10:50</t>
        </is>
      </c>
      <c r="M717" t="inlineStr">
        <is>
          <t>17:11:15</t>
        </is>
      </c>
      <c r="P717" t="inlineStr">
        <is>
          <t>F系統(終日)</t>
        </is>
      </c>
    </row>
    <row r="718" ht="15" customHeight="1" s="37">
      <c r="A718" t="n">
        <v>12</v>
      </c>
      <c r="B718" s="10" t="inlineStr">
        <is>
          <t>休日</t>
        </is>
      </c>
      <c r="C718" s="10" t="inlineStr">
        <is>
          <t>本線</t>
        </is>
      </c>
      <c r="D718" s="10" t="inlineStr">
        <is>
          <t>下り</t>
        </is>
      </c>
      <c r="E718" s="10" t="inlineStr">
        <is>
          <t>連1611</t>
        </is>
      </c>
      <c r="F718" t="inlineStr">
        <is>
          <t>0112</t>
        </is>
      </c>
      <c r="G718" s="10" t="inlineStr">
        <is>
          <t>車折</t>
        </is>
      </c>
      <c r="H718" s="10" t="inlineStr">
        <is>
          <t>発</t>
        </is>
      </c>
      <c r="J718" s="10" t="inlineStr">
        <is>
          <t>営業</t>
        </is>
      </c>
      <c r="L718" t="inlineStr">
        <is>
          <t>17:12:40</t>
        </is>
      </c>
      <c r="M718" t="inlineStr">
        <is>
          <t>17:13:05</t>
        </is>
      </c>
      <c r="P718" t="inlineStr">
        <is>
          <t>F系統(終日)</t>
        </is>
      </c>
    </row>
    <row r="719" ht="15" customHeight="1" s="37">
      <c r="A719" t="n">
        <v>12</v>
      </c>
      <c r="B719" s="10" t="inlineStr">
        <is>
          <t>休日</t>
        </is>
      </c>
      <c r="C719" s="10" t="inlineStr">
        <is>
          <t>本線</t>
        </is>
      </c>
      <c r="D719" s="10" t="inlineStr">
        <is>
          <t>下り</t>
        </is>
      </c>
      <c r="E719" s="10" t="inlineStr">
        <is>
          <t>連1611</t>
        </is>
      </c>
      <c r="F719" t="inlineStr">
        <is>
          <t>0112</t>
        </is>
      </c>
      <c r="G719" s="10" t="inlineStr">
        <is>
          <t>鹿王院</t>
        </is>
      </c>
      <c r="H719" s="10" t="inlineStr">
        <is>
          <t>発</t>
        </is>
      </c>
      <c r="J719" s="10" t="inlineStr">
        <is>
          <t>営業</t>
        </is>
      </c>
      <c r="L719" t="inlineStr">
        <is>
          <t>17:14:00</t>
        </is>
      </c>
      <c r="M719" t="inlineStr">
        <is>
          <t>17:14:25</t>
        </is>
      </c>
      <c r="P719" t="inlineStr">
        <is>
          <t>F系統(終日)</t>
        </is>
      </c>
    </row>
    <row r="720" ht="15" customHeight="1" s="37">
      <c r="A720" t="n">
        <v>12</v>
      </c>
      <c r="B720" s="10" t="inlineStr">
        <is>
          <t>休日</t>
        </is>
      </c>
      <c r="C720" s="10" t="inlineStr">
        <is>
          <t>本線</t>
        </is>
      </c>
      <c r="D720" s="10" t="inlineStr">
        <is>
          <t>下り</t>
        </is>
      </c>
      <c r="E720" s="10" t="inlineStr">
        <is>
          <t>連1611</t>
        </is>
      </c>
      <c r="F720" t="inlineStr">
        <is>
          <t>0112</t>
        </is>
      </c>
      <c r="G720" s="10" t="inlineStr">
        <is>
          <t>嵯峨</t>
        </is>
      </c>
      <c r="H720" s="10" t="inlineStr">
        <is>
          <t>発</t>
        </is>
      </c>
      <c r="J720" s="10" t="inlineStr">
        <is>
          <t>営業</t>
        </is>
      </c>
      <c r="L720" t="inlineStr">
        <is>
          <t>17:15:30</t>
        </is>
      </c>
      <c r="M720" t="inlineStr">
        <is>
          <t>17:15:55</t>
        </is>
      </c>
      <c r="P720" t="inlineStr">
        <is>
          <t>F系統(終日)</t>
        </is>
      </c>
    </row>
    <row r="721" ht="15" customHeight="1" s="37">
      <c r="A721" t="n">
        <v>12</v>
      </c>
      <c r="B721" s="10" t="inlineStr">
        <is>
          <t>休日</t>
        </is>
      </c>
      <c r="C721" s="10" t="inlineStr">
        <is>
          <t>本線</t>
        </is>
      </c>
      <c r="D721" s="10" t="inlineStr">
        <is>
          <t>下り</t>
        </is>
      </c>
      <c r="E721" s="10" t="inlineStr">
        <is>
          <t>連1611</t>
        </is>
      </c>
      <c r="F721" t="inlineStr">
        <is>
          <t>0112</t>
        </is>
      </c>
      <c r="G721" s="10" t="inlineStr">
        <is>
          <t>嵐山</t>
        </is>
      </c>
      <c r="H721" s="10" t="inlineStr">
        <is>
          <t>着</t>
        </is>
      </c>
      <c r="J721" s="10" t="inlineStr">
        <is>
          <t>営業</t>
        </is>
      </c>
      <c r="L721" t="inlineStr">
        <is>
          <t>17:17:00</t>
        </is>
      </c>
      <c r="P721" t="inlineStr">
        <is>
          <t>F系統(終日)</t>
        </is>
      </c>
      <c r="Q721" t="inlineStr">
        <is>
          <t>1</t>
        </is>
      </c>
    </row>
    <row r="722" ht="15" customHeight="1" s="37">
      <c r="A722" t="n">
        <v>12</v>
      </c>
      <c r="B722" s="10" t="inlineStr">
        <is>
          <t>休日</t>
        </is>
      </c>
      <c r="C722" s="10" t="inlineStr">
        <is>
          <t>本線</t>
        </is>
      </c>
      <c r="D722" s="10" t="inlineStr">
        <is>
          <t>上り</t>
        </is>
      </c>
      <c r="E722" s="10" t="inlineStr">
        <is>
          <t>連1706</t>
        </is>
      </c>
      <c r="F722" t="inlineStr">
        <is>
          <t>2221</t>
        </is>
      </c>
      <c r="G722" s="10" t="inlineStr">
        <is>
          <t>嵐山</t>
        </is>
      </c>
      <c r="H722" s="10" t="inlineStr">
        <is>
          <t>発</t>
        </is>
      </c>
      <c r="J722" s="10" t="inlineStr">
        <is>
          <t>営業</t>
        </is>
      </c>
      <c r="M722" t="inlineStr">
        <is>
          <t>17:23:00</t>
        </is>
      </c>
      <c r="P722" t="inlineStr">
        <is>
          <t>F系統(終日)</t>
        </is>
      </c>
      <c r="Q722" t="inlineStr">
        <is>
          <t>1</t>
        </is>
      </c>
    </row>
    <row r="723" ht="15" customHeight="1" s="37">
      <c r="A723" t="n">
        <v>12</v>
      </c>
      <c r="B723" s="10" t="inlineStr">
        <is>
          <t>休日</t>
        </is>
      </c>
      <c r="C723" s="10" t="inlineStr">
        <is>
          <t>本線</t>
        </is>
      </c>
      <c r="D723" s="10" t="inlineStr">
        <is>
          <t>上り</t>
        </is>
      </c>
      <c r="E723" s="10" t="inlineStr">
        <is>
          <t>連1706</t>
        </is>
      </c>
      <c r="F723" t="inlineStr">
        <is>
          <t>2221</t>
        </is>
      </c>
      <c r="G723" s="10" t="inlineStr">
        <is>
          <t>嵯峨</t>
        </is>
      </c>
      <c r="H723" s="10" t="inlineStr">
        <is>
          <t>発</t>
        </is>
      </c>
      <c r="J723" s="10" t="inlineStr">
        <is>
          <t>営業</t>
        </is>
      </c>
      <c r="L723" t="inlineStr">
        <is>
          <t>17:23:55</t>
        </is>
      </c>
      <c r="M723" t="inlineStr">
        <is>
          <t>17:24:20</t>
        </is>
      </c>
      <c r="P723" t="inlineStr">
        <is>
          <t>F系統(終日)</t>
        </is>
      </c>
    </row>
    <row r="724" ht="15" customHeight="1" s="37">
      <c r="A724" t="n">
        <v>12</v>
      </c>
      <c r="B724" s="10" t="inlineStr">
        <is>
          <t>休日</t>
        </is>
      </c>
      <c r="C724" s="10" t="inlineStr">
        <is>
          <t>本線</t>
        </is>
      </c>
      <c r="D724" s="10" t="inlineStr">
        <is>
          <t>上り</t>
        </is>
      </c>
      <c r="E724" s="10" t="inlineStr">
        <is>
          <t>連1706</t>
        </is>
      </c>
      <c r="F724" t="inlineStr">
        <is>
          <t>2221</t>
        </is>
      </c>
      <c r="G724" s="10" t="inlineStr">
        <is>
          <t>鹿王院</t>
        </is>
      </c>
      <c r="H724" s="10" t="inlineStr">
        <is>
          <t>発</t>
        </is>
      </c>
      <c r="J724" s="10" t="inlineStr">
        <is>
          <t>営業</t>
        </is>
      </c>
      <c r="L724" t="inlineStr">
        <is>
          <t>17:25:25</t>
        </is>
      </c>
      <c r="M724" t="inlineStr">
        <is>
          <t>17:25:45</t>
        </is>
      </c>
      <c r="P724" t="inlineStr">
        <is>
          <t>F系統(終日)</t>
        </is>
      </c>
    </row>
    <row r="725" ht="15" customHeight="1" s="37">
      <c r="A725" t="n">
        <v>12</v>
      </c>
      <c r="B725" s="10" t="inlineStr">
        <is>
          <t>休日</t>
        </is>
      </c>
      <c r="C725" s="10" t="inlineStr">
        <is>
          <t>本線</t>
        </is>
      </c>
      <c r="D725" s="10" t="inlineStr">
        <is>
          <t>上り</t>
        </is>
      </c>
      <c r="E725" s="10" t="inlineStr">
        <is>
          <t>連1706</t>
        </is>
      </c>
      <c r="F725" t="inlineStr">
        <is>
          <t>2221</t>
        </is>
      </c>
      <c r="G725" s="10" t="inlineStr">
        <is>
          <t>車折</t>
        </is>
      </c>
      <c r="H725" s="10" t="inlineStr">
        <is>
          <t>発</t>
        </is>
      </c>
      <c r="J725" s="10" t="inlineStr">
        <is>
          <t>営業</t>
        </is>
      </c>
      <c r="L725" t="inlineStr">
        <is>
          <t>17:26:40</t>
        </is>
      </c>
      <c r="M725" t="inlineStr">
        <is>
          <t>17:27:10</t>
        </is>
      </c>
      <c r="P725" t="inlineStr">
        <is>
          <t>F系統(終日)</t>
        </is>
      </c>
    </row>
    <row r="726" ht="15" customHeight="1" s="37">
      <c r="A726" t="n">
        <v>12</v>
      </c>
      <c r="B726" s="10" t="inlineStr">
        <is>
          <t>休日</t>
        </is>
      </c>
      <c r="C726" s="10" t="inlineStr">
        <is>
          <t>本線</t>
        </is>
      </c>
      <c r="D726" s="10" t="inlineStr">
        <is>
          <t>上り</t>
        </is>
      </c>
      <c r="E726" s="10" t="inlineStr">
        <is>
          <t>連1706</t>
        </is>
      </c>
      <c r="F726" t="inlineStr">
        <is>
          <t>2221</t>
        </is>
      </c>
      <c r="G726" s="10" t="inlineStr">
        <is>
          <t>有栖川</t>
        </is>
      </c>
      <c r="H726" s="10" t="inlineStr">
        <is>
          <t>発</t>
        </is>
      </c>
      <c r="J726" s="10" t="inlineStr">
        <is>
          <t>営業</t>
        </is>
      </c>
      <c r="L726" t="inlineStr">
        <is>
          <t>17:28:35</t>
        </is>
      </c>
      <c r="M726" t="inlineStr">
        <is>
          <t>17:28:55</t>
        </is>
      </c>
      <c r="P726" t="inlineStr">
        <is>
          <t>F系統(終日)</t>
        </is>
      </c>
    </row>
    <row r="727" ht="15" customHeight="1" s="37">
      <c r="A727" t="n">
        <v>12</v>
      </c>
      <c r="B727" s="10" t="inlineStr">
        <is>
          <t>休日</t>
        </is>
      </c>
      <c r="C727" s="10" t="inlineStr">
        <is>
          <t>本線</t>
        </is>
      </c>
      <c r="D727" s="10" t="inlineStr">
        <is>
          <t>上り</t>
        </is>
      </c>
      <c r="E727" s="10" t="inlineStr">
        <is>
          <t>連1706</t>
        </is>
      </c>
      <c r="F727" t="inlineStr">
        <is>
          <t>2221</t>
        </is>
      </c>
      <c r="G727" s="10" t="inlineStr">
        <is>
          <t>帷子ノ辻</t>
        </is>
      </c>
      <c r="H727" s="10" t="inlineStr">
        <is>
          <t>発</t>
        </is>
      </c>
      <c r="J727" s="10" t="inlineStr">
        <is>
          <t>営業</t>
        </is>
      </c>
      <c r="L727" t="inlineStr">
        <is>
          <t>17:30:10</t>
        </is>
      </c>
      <c r="M727" t="inlineStr">
        <is>
          <t>17:31:15</t>
        </is>
      </c>
      <c r="P727" t="inlineStr">
        <is>
          <t>F系統(終日)</t>
        </is>
      </c>
    </row>
    <row r="728" ht="15" customHeight="1" s="37">
      <c r="A728" t="n">
        <v>12</v>
      </c>
      <c r="B728" s="10" t="inlineStr">
        <is>
          <t>休日</t>
        </is>
      </c>
      <c r="C728" s="10" t="inlineStr">
        <is>
          <t>本線</t>
        </is>
      </c>
      <c r="D728" s="10" t="inlineStr">
        <is>
          <t>上り</t>
        </is>
      </c>
      <c r="E728" s="10" t="inlineStr">
        <is>
          <t>連1706</t>
        </is>
      </c>
      <c r="F728" t="inlineStr">
        <is>
          <t>2221</t>
        </is>
      </c>
      <c r="G728" s="10" t="inlineStr">
        <is>
          <t>太秦広隆寺</t>
        </is>
      </c>
      <c r="H728" s="10" t="inlineStr">
        <is>
          <t>発</t>
        </is>
      </c>
      <c r="J728" s="10" t="inlineStr">
        <is>
          <t>営業</t>
        </is>
      </c>
      <c r="L728" t="inlineStr">
        <is>
          <t>17:33:25</t>
        </is>
      </c>
      <c r="M728" t="inlineStr">
        <is>
          <t>17:33:45</t>
        </is>
      </c>
      <c r="P728" t="inlineStr">
        <is>
          <t>F系統(終日)</t>
        </is>
      </c>
    </row>
    <row r="729" ht="15" customHeight="1" s="37">
      <c r="A729" t="n">
        <v>12</v>
      </c>
      <c r="B729" s="10" t="inlineStr">
        <is>
          <t>休日</t>
        </is>
      </c>
      <c r="C729" s="10" t="inlineStr">
        <is>
          <t>本線</t>
        </is>
      </c>
      <c r="D729" s="10" t="inlineStr">
        <is>
          <t>上り</t>
        </is>
      </c>
      <c r="E729" s="10" t="inlineStr">
        <is>
          <t>連1706</t>
        </is>
      </c>
      <c r="F729" t="inlineStr">
        <is>
          <t>2221</t>
        </is>
      </c>
      <c r="G729" s="10" t="inlineStr">
        <is>
          <t>蚕ノ社</t>
        </is>
      </c>
      <c r="H729" s="10" t="inlineStr">
        <is>
          <t>発</t>
        </is>
      </c>
      <c r="J729" s="10" t="inlineStr">
        <is>
          <t>営業</t>
        </is>
      </c>
      <c r="L729" t="inlineStr">
        <is>
          <t>17:35:00</t>
        </is>
      </c>
      <c r="M729" t="inlineStr">
        <is>
          <t>17:35:20</t>
        </is>
      </c>
      <c r="P729" t="inlineStr">
        <is>
          <t>F系統(終日)</t>
        </is>
      </c>
    </row>
    <row r="730" ht="15" customHeight="1" s="37">
      <c r="A730" t="n">
        <v>12</v>
      </c>
      <c r="B730" s="10" t="inlineStr">
        <is>
          <t>休日</t>
        </is>
      </c>
      <c r="C730" s="10" t="inlineStr">
        <is>
          <t>本線</t>
        </is>
      </c>
      <c r="D730" s="10" t="inlineStr">
        <is>
          <t>上り</t>
        </is>
      </c>
      <c r="E730" s="10" t="inlineStr">
        <is>
          <t>連1706</t>
        </is>
      </c>
      <c r="F730" t="inlineStr">
        <is>
          <t>2221</t>
        </is>
      </c>
      <c r="G730" s="10" t="inlineStr">
        <is>
          <t>天神川</t>
        </is>
      </c>
      <c r="H730" s="10" t="inlineStr">
        <is>
          <t>発</t>
        </is>
      </c>
      <c r="J730" s="10" t="inlineStr">
        <is>
          <t>営業</t>
        </is>
      </c>
      <c r="L730" t="inlineStr">
        <is>
          <t>17:36:05</t>
        </is>
      </c>
      <c r="M730" t="inlineStr">
        <is>
          <t>17:36:50</t>
        </is>
      </c>
      <c r="P730" t="inlineStr">
        <is>
          <t>F系統(終日)</t>
        </is>
      </c>
    </row>
    <row r="731" ht="15" customHeight="1" s="37">
      <c r="A731" t="n">
        <v>12</v>
      </c>
      <c r="B731" s="10" t="inlineStr">
        <is>
          <t>休日</t>
        </is>
      </c>
      <c r="C731" s="10" t="inlineStr">
        <is>
          <t>本線</t>
        </is>
      </c>
      <c r="D731" s="10" t="inlineStr">
        <is>
          <t>上り</t>
        </is>
      </c>
      <c r="E731" s="10" t="inlineStr">
        <is>
          <t>連1706</t>
        </is>
      </c>
      <c r="F731" t="inlineStr">
        <is>
          <t>2221</t>
        </is>
      </c>
      <c r="G731" s="10" t="inlineStr">
        <is>
          <t>山ノ内</t>
        </is>
      </c>
      <c r="H731" s="10" t="inlineStr">
        <is>
          <t>発</t>
        </is>
      </c>
      <c r="J731" s="10" t="inlineStr">
        <is>
          <t>営業</t>
        </is>
      </c>
      <c r="L731" t="inlineStr">
        <is>
          <t>17:38:40</t>
        </is>
      </c>
      <c r="M731" t="inlineStr">
        <is>
          <t>17:39:05</t>
        </is>
      </c>
      <c r="P731" t="inlineStr">
        <is>
          <t>F系統(終日)</t>
        </is>
      </c>
    </row>
    <row r="732" ht="15" customHeight="1" s="37">
      <c r="A732" t="n">
        <v>12</v>
      </c>
      <c r="B732" s="10" t="inlineStr">
        <is>
          <t>休日</t>
        </is>
      </c>
      <c r="C732" s="10" t="inlineStr">
        <is>
          <t>本線</t>
        </is>
      </c>
      <c r="D732" s="10" t="inlineStr">
        <is>
          <t>上り</t>
        </is>
      </c>
      <c r="E732" s="10" t="inlineStr">
        <is>
          <t>連1706</t>
        </is>
      </c>
      <c r="F732" t="inlineStr">
        <is>
          <t>2221</t>
        </is>
      </c>
      <c r="G732" s="10" t="inlineStr">
        <is>
          <t>西大路三条</t>
        </is>
      </c>
      <c r="H732" s="10" t="inlineStr">
        <is>
          <t>発</t>
        </is>
      </c>
      <c r="J732" s="10" t="inlineStr">
        <is>
          <t>営業</t>
        </is>
      </c>
      <c r="L732" t="inlineStr">
        <is>
          <t>17:40:55</t>
        </is>
      </c>
      <c r="M732" t="inlineStr">
        <is>
          <t>17:41:15</t>
        </is>
      </c>
      <c r="P732" t="inlineStr">
        <is>
          <t>F系統(終日)</t>
        </is>
      </c>
    </row>
    <row r="733" ht="15" customHeight="1" s="37">
      <c r="A733" t="n">
        <v>12</v>
      </c>
      <c r="B733" s="10" t="inlineStr">
        <is>
          <t>休日</t>
        </is>
      </c>
      <c r="C733" s="10" t="inlineStr">
        <is>
          <t>本線</t>
        </is>
      </c>
      <c r="D733" s="10" t="inlineStr">
        <is>
          <t>上り</t>
        </is>
      </c>
      <c r="E733" s="10" t="inlineStr">
        <is>
          <t>連1706</t>
        </is>
      </c>
      <c r="F733" t="inlineStr">
        <is>
          <t>2221</t>
        </is>
      </c>
      <c r="G733" s="10" t="inlineStr">
        <is>
          <t>西院</t>
        </is>
      </c>
      <c r="H733" s="10" t="inlineStr">
        <is>
          <t>発</t>
        </is>
      </c>
      <c r="J733" s="10" t="inlineStr">
        <is>
          <t>営業</t>
        </is>
      </c>
      <c r="L733" t="inlineStr">
        <is>
          <t>17:43:10</t>
        </is>
      </c>
      <c r="M733" t="inlineStr">
        <is>
          <t>17:44:05</t>
        </is>
      </c>
      <c r="P733" t="inlineStr">
        <is>
          <t>F系統(終日)</t>
        </is>
      </c>
    </row>
    <row r="734" ht="15" customHeight="1" s="37">
      <c r="A734" t="n">
        <v>12</v>
      </c>
      <c r="B734" s="10" t="inlineStr">
        <is>
          <t>休日</t>
        </is>
      </c>
      <c r="C734" s="10" t="inlineStr">
        <is>
          <t>本線</t>
        </is>
      </c>
      <c r="D734" s="10" t="inlineStr">
        <is>
          <t>上り</t>
        </is>
      </c>
      <c r="E734" s="10" t="inlineStr">
        <is>
          <t>連1706</t>
        </is>
      </c>
      <c r="F734" t="inlineStr">
        <is>
          <t>2221</t>
        </is>
      </c>
      <c r="G734" s="10" t="inlineStr">
        <is>
          <t>四条大宮</t>
        </is>
      </c>
      <c r="H734" s="10" t="inlineStr">
        <is>
          <t>着</t>
        </is>
      </c>
      <c r="J734" s="10" t="inlineStr">
        <is>
          <t>営業</t>
        </is>
      </c>
      <c r="L734" t="inlineStr">
        <is>
          <t>17:47:00</t>
        </is>
      </c>
      <c r="P734" t="inlineStr">
        <is>
          <t>F系統(終日)</t>
        </is>
      </c>
      <c r="Q734" t="inlineStr">
        <is>
          <t>1</t>
        </is>
      </c>
    </row>
    <row r="735" ht="15" customHeight="1" s="37">
      <c r="A735" t="n">
        <v>12</v>
      </c>
      <c r="B735" s="10" t="inlineStr">
        <is>
          <t>休日</t>
        </is>
      </c>
      <c r="C735" s="10" t="inlineStr">
        <is>
          <t>本線</t>
        </is>
      </c>
      <c r="D735" s="10" t="inlineStr">
        <is>
          <t>下り</t>
        </is>
      </c>
      <c r="E735" s="10" t="inlineStr">
        <is>
          <t>連1711</t>
        </is>
      </c>
      <c r="F735" t="inlineStr">
        <is>
          <t>0122</t>
        </is>
      </c>
      <c r="G735" s="10" t="inlineStr">
        <is>
          <t>四条大宮</t>
        </is>
      </c>
      <c r="H735" s="10" t="inlineStr">
        <is>
          <t>発</t>
        </is>
      </c>
      <c r="J735" s="10" t="inlineStr">
        <is>
          <t>営業</t>
        </is>
      </c>
      <c r="M735" t="inlineStr">
        <is>
          <t>17:53:00</t>
        </is>
      </c>
      <c r="P735" t="inlineStr">
        <is>
          <t>F系統(終日)</t>
        </is>
      </c>
      <c r="Q735" t="inlineStr">
        <is>
          <t>1</t>
        </is>
      </c>
    </row>
    <row r="736" ht="15" customHeight="1" s="37">
      <c r="A736" t="n">
        <v>12</v>
      </c>
      <c r="B736" s="10" t="inlineStr">
        <is>
          <t>休日</t>
        </is>
      </c>
      <c r="C736" s="10" t="inlineStr">
        <is>
          <t>本線</t>
        </is>
      </c>
      <c r="D736" s="10" t="inlineStr">
        <is>
          <t>下り</t>
        </is>
      </c>
      <c r="E736" s="10" t="inlineStr">
        <is>
          <t>連1711</t>
        </is>
      </c>
      <c r="F736" t="inlineStr">
        <is>
          <t>0122</t>
        </is>
      </c>
      <c r="G736" s="10" t="inlineStr">
        <is>
          <t>西院</t>
        </is>
      </c>
      <c r="H736" s="10" t="inlineStr">
        <is>
          <t>着</t>
        </is>
      </c>
      <c r="J736" s="10" t="inlineStr">
        <is>
          <t>営業</t>
        </is>
      </c>
      <c r="L736" t="inlineStr">
        <is>
          <t>17:55:50</t>
        </is>
      </c>
      <c r="M736" t="inlineStr">
        <is>
          <t>17:56:20</t>
        </is>
      </c>
      <c r="P736" t="inlineStr">
        <is>
          <t>F系統(終日)</t>
        </is>
      </c>
    </row>
    <row r="737" ht="15" customHeight="1" s="37">
      <c r="A737" t="n">
        <v>13</v>
      </c>
      <c r="B737" s="10" t="inlineStr">
        <is>
          <t>休日</t>
        </is>
      </c>
      <c r="C737" s="10" t="inlineStr">
        <is>
          <t>本線</t>
        </is>
      </c>
      <c r="D737" s="10" t="inlineStr">
        <is>
          <t>下り</t>
        </is>
      </c>
      <c r="E737" t="inlineStr">
        <is>
          <t>1909</t>
        </is>
      </c>
      <c r="F737" t="inlineStr">
        <is>
          <t>0122</t>
        </is>
      </c>
      <c r="G737" s="10" t="inlineStr">
        <is>
          <t>西院</t>
        </is>
      </c>
      <c r="H737" s="10" t="inlineStr">
        <is>
          <t>発</t>
        </is>
      </c>
      <c r="J737" s="10" t="inlineStr">
        <is>
          <t>営業</t>
        </is>
      </c>
      <c r="L737" t="inlineStr">
        <is>
          <t>19:45:50</t>
        </is>
      </c>
      <c r="M737" t="inlineStr">
        <is>
          <t>19:46:20</t>
        </is>
      </c>
    </row>
    <row r="738" ht="15" customHeight="1" s="37">
      <c r="A738" t="n">
        <v>13</v>
      </c>
      <c r="B738" s="10" t="inlineStr">
        <is>
          <t>休日</t>
        </is>
      </c>
      <c r="C738" s="10" t="inlineStr">
        <is>
          <t>本線</t>
        </is>
      </c>
      <c r="D738" s="10" t="inlineStr">
        <is>
          <t>下り</t>
        </is>
      </c>
      <c r="E738" t="inlineStr">
        <is>
          <t>1909</t>
        </is>
      </c>
      <c r="F738" t="inlineStr">
        <is>
          <t>0122</t>
        </is>
      </c>
      <c r="G738" s="10" t="inlineStr">
        <is>
          <t>西大路三条</t>
        </is>
      </c>
      <c r="H738" s="10" t="inlineStr">
        <is>
          <t>発</t>
        </is>
      </c>
      <c r="J738" s="10" t="inlineStr">
        <is>
          <t>営業</t>
        </is>
      </c>
      <c r="L738" t="inlineStr">
        <is>
          <t>19:48:10</t>
        </is>
      </c>
      <c r="M738" t="inlineStr">
        <is>
          <t>19:48:30</t>
        </is>
      </c>
    </row>
    <row r="739" ht="15" customHeight="1" s="37">
      <c r="A739" t="n">
        <v>13</v>
      </c>
      <c r="B739" s="10" t="inlineStr">
        <is>
          <t>休日</t>
        </is>
      </c>
      <c r="C739" s="10" t="inlineStr">
        <is>
          <t>本線</t>
        </is>
      </c>
      <c r="D739" s="10" t="inlineStr">
        <is>
          <t>下り</t>
        </is>
      </c>
      <c r="E739" t="inlineStr">
        <is>
          <t>1909</t>
        </is>
      </c>
      <c r="F739" t="inlineStr">
        <is>
          <t>0122</t>
        </is>
      </c>
      <c r="G739" s="10" t="inlineStr">
        <is>
          <t>山ノ内</t>
        </is>
      </c>
      <c r="H739" s="10" t="inlineStr">
        <is>
          <t>発</t>
        </is>
      </c>
      <c r="J739" s="10" t="inlineStr">
        <is>
          <t>営業</t>
        </is>
      </c>
      <c r="L739" t="inlineStr">
        <is>
          <t>19:50:25</t>
        </is>
      </c>
      <c r="M739" t="inlineStr">
        <is>
          <t>19:50:50</t>
        </is>
      </c>
    </row>
    <row r="740" ht="15" customHeight="1" s="37">
      <c r="A740" t="n">
        <v>13</v>
      </c>
      <c r="B740" s="10" t="inlineStr">
        <is>
          <t>休日</t>
        </is>
      </c>
      <c r="C740" s="10" t="inlineStr">
        <is>
          <t>本線</t>
        </is>
      </c>
      <c r="D740" s="10" t="inlineStr">
        <is>
          <t>下り</t>
        </is>
      </c>
      <c r="E740" t="inlineStr">
        <is>
          <t>1909</t>
        </is>
      </c>
      <c r="F740" t="inlineStr">
        <is>
          <t>0122</t>
        </is>
      </c>
      <c r="G740" s="10" t="inlineStr">
        <is>
          <t>天神川</t>
        </is>
      </c>
      <c r="H740" s="10" t="inlineStr">
        <is>
          <t>発</t>
        </is>
      </c>
      <c r="J740" s="10" t="inlineStr">
        <is>
          <t>営業</t>
        </is>
      </c>
      <c r="L740" t="inlineStr">
        <is>
          <t>19:52:50</t>
        </is>
      </c>
      <c r="M740" t="inlineStr">
        <is>
          <t>19:53:30</t>
        </is>
      </c>
    </row>
    <row r="741" ht="15" customHeight="1" s="37">
      <c r="A741" t="n">
        <v>13</v>
      </c>
      <c r="B741" s="10" t="inlineStr">
        <is>
          <t>休日</t>
        </is>
      </c>
      <c r="C741" s="10" t="inlineStr">
        <is>
          <t>本線</t>
        </is>
      </c>
      <c r="D741" s="10" t="inlineStr">
        <is>
          <t>下り</t>
        </is>
      </c>
      <c r="E741" t="inlineStr">
        <is>
          <t>1909</t>
        </is>
      </c>
      <c r="F741" t="inlineStr">
        <is>
          <t>0122</t>
        </is>
      </c>
      <c r="G741" s="10" t="inlineStr">
        <is>
          <t>蚕ノ社</t>
        </is>
      </c>
      <c r="H741" s="10" t="inlineStr">
        <is>
          <t>発</t>
        </is>
      </c>
      <c r="J741" s="10" t="inlineStr">
        <is>
          <t>営業</t>
        </is>
      </c>
      <c r="L741" t="inlineStr">
        <is>
          <t>19:54:20</t>
        </is>
      </c>
      <c r="M741" t="inlineStr">
        <is>
          <t>19:54:40</t>
        </is>
      </c>
    </row>
    <row r="742" ht="15" customHeight="1" s="37">
      <c r="A742" t="n">
        <v>13</v>
      </c>
      <c r="B742" s="10" t="inlineStr">
        <is>
          <t>休日</t>
        </is>
      </c>
      <c r="C742" s="10" t="inlineStr">
        <is>
          <t>本線</t>
        </is>
      </c>
      <c r="D742" s="10" t="inlineStr">
        <is>
          <t>下り</t>
        </is>
      </c>
      <c r="E742" t="inlineStr">
        <is>
          <t>1909</t>
        </is>
      </c>
      <c r="F742" t="inlineStr">
        <is>
          <t>0122</t>
        </is>
      </c>
      <c r="G742" s="10" t="inlineStr">
        <is>
          <t>太秦広隆寺</t>
        </is>
      </c>
      <c r="H742" s="10" t="inlineStr">
        <is>
          <t>発</t>
        </is>
      </c>
      <c r="J742" s="10" t="inlineStr">
        <is>
          <t>営業</t>
        </is>
      </c>
      <c r="L742" t="inlineStr">
        <is>
          <t>19:56:00</t>
        </is>
      </c>
      <c r="M742" t="inlineStr">
        <is>
          <t>19:56:20</t>
        </is>
      </c>
    </row>
    <row r="743" ht="15" customHeight="1" s="37">
      <c r="A743" t="n">
        <v>13</v>
      </c>
      <c r="B743" s="10" t="inlineStr">
        <is>
          <t>休日</t>
        </is>
      </c>
      <c r="C743" s="10" t="inlineStr">
        <is>
          <t>本線</t>
        </is>
      </c>
      <c r="D743" s="10" t="inlineStr">
        <is>
          <t>下り</t>
        </is>
      </c>
      <c r="E743" t="inlineStr">
        <is>
          <t>1909</t>
        </is>
      </c>
      <c r="F743" t="inlineStr">
        <is>
          <t>0122</t>
        </is>
      </c>
      <c r="G743" s="10" t="inlineStr">
        <is>
          <t>帷子ノ辻</t>
        </is>
      </c>
      <c r="H743" s="10" t="inlineStr">
        <is>
          <t>発</t>
        </is>
      </c>
      <c r="J743" s="10" t="inlineStr">
        <is>
          <t>営業</t>
        </is>
      </c>
      <c r="L743" t="inlineStr">
        <is>
          <t>19:58:20</t>
        </is>
      </c>
      <c r="M743" t="inlineStr">
        <is>
          <t>19:59:40</t>
        </is>
      </c>
    </row>
    <row r="744" ht="15" customHeight="1" s="37">
      <c r="A744" t="n">
        <v>13</v>
      </c>
      <c r="B744" s="10" t="inlineStr">
        <is>
          <t>休日</t>
        </is>
      </c>
      <c r="C744" s="10" t="inlineStr">
        <is>
          <t>本線</t>
        </is>
      </c>
      <c r="D744" s="10" t="inlineStr">
        <is>
          <t>下り</t>
        </is>
      </c>
      <c r="E744" t="inlineStr">
        <is>
          <t>1909</t>
        </is>
      </c>
      <c r="F744" t="inlineStr">
        <is>
          <t>0122</t>
        </is>
      </c>
      <c r="G744" s="10" t="inlineStr">
        <is>
          <t>有栖川</t>
        </is>
      </c>
      <c r="H744" s="10" t="inlineStr">
        <is>
          <t>発</t>
        </is>
      </c>
      <c r="J744" s="10" t="inlineStr">
        <is>
          <t>営業</t>
        </is>
      </c>
      <c r="L744" t="inlineStr">
        <is>
          <t>20:00:50</t>
        </is>
      </c>
      <c r="M744" t="inlineStr">
        <is>
          <t>20:01:15</t>
        </is>
      </c>
    </row>
    <row r="745" ht="15" customHeight="1" s="37">
      <c r="A745" t="n">
        <v>13</v>
      </c>
      <c r="B745" s="10" t="inlineStr">
        <is>
          <t>休日</t>
        </is>
      </c>
      <c r="C745" s="10" t="inlineStr">
        <is>
          <t>本線</t>
        </is>
      </c>
      <c r="D745" s="10" t="inlineStr">
        <is>
          <t>下り</t>
        </is>
      </c>
      <c r="E745" t="inlineStr">
        <is>
          <t>1909</t>
        </is>
      </c>
      <c r="F745" t="inlineStr">
        <is>
          <t>0122</t>
        </is>
      </c>
      <c r="G745" s="10" t="inlineStr">
        <is>
          <t>車折</t>
        </is>
      </c>
      <c r="H745" s="10" t="inlineStr">
        <is>
          <t>発</t>
        </is>
      </c>
      <c r="J745" s="10" t="inlineStr">
        <is>
          <t>営業</t>
        </is>
      </c>
      <c r="L745" t="inlineStr">
        <is>
          <t>20:02:40</t>
        </is>
      </c>
      <c r="M745" t="inlineStr">
        <is>
          <t>20:03:05</t>
        </is>
      </c>
    </row>
    <row r="746" ht="15" customHeight="1" s="37">
      <c r="A746" t="n">
        <v>13</v>
      </c>
      <c r="B746" s="10" t="inlineStr">
        <is>
          <t>休日</t>
        </is>
      </c>
      <c r="C746" s="10" t="inlineStr">
        <is>
          <t>本線</t>
        </is>
      </c>
      <c r="D746" s="10" t="inlineStr">
        <is>
          <t>下り</t>
        </is>
      </c>
      <c r="E746" t="inlineStr">
        <is>
          <t>1909</t>
        </is>
      </c>
      <c r="F746" t="inlineStr">
        <is>
          <t>0122</t>
        </is>
      </c>
      <c r="G746" s="10" t="inlineStr">
        <is>
          <t>鹿王院</t>
        </is>
      </c>
      <c r="H746" s="10" t="inlineStr">
        <is>
          <t>発</t>
        </is>
      </c>
      <c r="J746" s="10" t="inlineStr">
        <is>
          <t>営業</t>
        </is>
      </c>
      <c r="L746" t="inlineStr">
        <is>
          <t>20:04:00</t>
        </is>
      </c>
      <c r="M746" t="inlineStr">
        <is>
          <t>20:04:25</t>
        </is>
      </c>
    </row>
    <row r="747" ht="15" customHeight="1" s="37">
      <c r="A747" t="n">
        <v>13</v>
      </c>
      <c r="B747" s="10" t="inlineStr">
        <is>
          <t>休日</t>
        </is>
      </c>
      <c r="C747" s="10" t="inlineStr">
        <is>
          <t>本線</t>
        </is>
      </c>
      <c r="D747" s="10" t="inlineStr">
        <is>
          <t>下り</t>
        </is>
      </c>
      <c r="E747" t="inlineStr">
        <is>
          <t>1909</t>
        </is>
      </c>
      <c r="F747" t="inlineStr">
        <is>
          <t>0122</t>
        </is>
      </c>
      <c r="G747" s="10" t="inlineStr">
        <is>
          <t>嵯峨</t>
        </is>
      </c>
      <c r="H747" s="10" t="inlineStr">
        <is>
          <t>発</t>
        </is>
      </c>
      <c r="J747" s="10" t="inlineStr">
        <is>
          <t>営業</t>
        </is>
      </c>
      <c r="L747" t="inlineStr">
        <is>
          <t>20:05:30</t>
        </is>
      </c>
      <c r="M747" t="inlineStr">
        <is>
          <t>20:05:55</t>
        </is>
      </c>
    </row>
    <row r="748" ht="15" customHeight="1" s="37">
      <c r="A748" t="n">
        <v>13</v>
      </c>
      <c r="B748" s="10" t="inlineStr">
        <is>
          <t>休日</t>
        </is>
      </c>
      <c r="C748" s="10" t="inlineStr">
        <is>
          <t>本線</t>
        </is>
      </c>
      <c r="D748" s="10" t="inlineStr">
        <is>
          <t>下り</t>
        </is>
      </c>
      <c r="E748" t="inlineStr">
        <is>
          <t>1909</t>
        </is>
      </c>
      <c r="F748" t="inlineStr">
        <is>
          <t>0122</t>
        </is>
      </c>
      <c r="G748" s="10" t="inlineStr">
        <is>
          <t>嵐山</t>
        </is>
      </c>
      <c r="H748" s="10" t="inlineStr">
        <is>
          <t>着</t>
        </is>
      </c>
      <c r="J748" s="10" t="inlineStr">
        <is>
          <t>営業</t>
        </is>
      </c>
      <c r="L748" t="inlineStr">
        <is>
          <t>20:07:00</t>
        </is>
      </c>
      <c r="N748" t="inlineStr">
        <is>
          <t>○</t>
        </is>
      </c>
      <c r="Q748" t="inlineStr">
        <is>
          <t>1</t>
        </is>
      </c>
    </row>
    <row r="749" ht="15" customHeight="1" s="37">
      <c r="A749" t="n">
        <v>13</v>
      </c>
      <c r="B749" s="10" t="inlineStr">
        <is>
          <t>休日</t>
        </is>
      </c>
      <c r="C749" s="10" t="inlineStr">
        <is>
          <t>本線</t>
        </is>
      </c>
      <c r="D749" s="10" t="inlineStr">
        <is>
          <t>上り</t>
        </is>
      </c>
      <c r="E749" t="inlineStr">
        <is>
          <t>2004</t>
        </is>
      </c>
      <c r="F749" t="inlineStr">
        <is>
          <t>0221</t>
        </is>
      </c>
      <c r="G749" s="10" t="inlineStr">
        <is>
          <t>嵐山</t>
        </is>
      </c>
      <c r="H749" s="10" t="inlineStr">
        <is>
          <t>発</t>
        </is>
      </c>
      <c r="J749" s="10" t="inlineStr">
        <is>
          <t>営業</t>
        </is>
      </c>
      <c r="M749" t="inlineStr">
        <is>
          <t>20:14:00</t>
        </is>
      </c>
      <c r="Q749" t="inlineStr">
        <is>
          <t>1</t>
        </is>
      </c>
    </row>
    <row r="750" ht="15" customHeight="1" s="37">
      <c r="A750" t="n">
        <v>13</v>
      </c>
      <c r="B750" s="10" t="inlineStr">
        <is>
          <t>休日</t>
        </is>
      </c>
      <c r="C750" s="10" t="inlineStr">
        <is>
          <t>本線</t>
        </is>
      </c>
      <c r="D750" s="10" t="inlineStr">
        <is>
          <t>上り</t>
        </is>
      </c>
      <c r="E750" t="inlineStr">
        <is>
          <t>2004</t>
        </is>
      </c>
      <c r="F750" t="inlineStr">
        <is>
          <t>0221</t>
        </is>
      </c>
      <c r="G750" s="10" t="inlineStr">
        <is>
          <t>嵯峨</t>
        </is>
      </c>
      <c r="H750" s="10" t="inlineStr">
        <is>
          <t>発</t>
        </is>
      </c>
      <c r="J750" s="10" t="inlineStr">
        <is>
          <t>営業</t>
        </is>
      </c>
      <c r="L750" t="inlineStr">
        <is>
          <t>20:14:55</t>
        </is>
      </c>
      <c r="M750" t="inlineStr">
        <is>
          <t>20:15:10</t>
        </is>
      </c>
    </row>
    <row r="751" ht="15" customHeight="1" s="37">
      <c r="A751" t="n">
        <v>13</v>
      </c>
      <c r="B751" s="10" t="inlineStr">
        <is>
          <t>休日</t>
        </is>
      </c>
      <c r="C751" s="10" t="inlineStr">
        <is>
          <t>本線</t>
        </is>
      </c>
      <c r="D751" s="10" t="inlineStr">
        <is>
          <t>上り</t>
        </is>
      </c>
      <c r="E751" t="inlineStr">
        <is>
          <t>2004</t>
        </is>
      </c>
      <c r="F751" t="inlineStr">
        <is>
          <t>0221</t>
        </is>
      </c>
      <c r="G751" s="10" t="inlineStr">
        <is>
          <t>鹿王院</t>
        </is>
      </c>
      <c r="H751" s="10" t="inlineStr">
        <is>
          <t>発</t>
        </is>
      </c>
      <c r="J751" s="10" t="inlineStr">
        <is>
          <t>営業</t>
        </is>
      </c>
      <c r="L751" t="inlineStr">
        <is>
          <t>20:16:15</t>
        </is>
      </c>
      <c r="M751" t="inlineStr">
        <is>
          <t>20:16:30</t>
        </is>
      </c>
    </row>
    <row r="752" ht="15" customHeight="1" s="37">
      <c r="A752" t="n">
        <v>13</v>
      </c>
      <c r="B752" s="10" t="inlineStr">
        <is>
          <t>休日</t>
        </is>
      </c>
      <c r="C752" s="10" t="inlineStr">
        <is>
          <t>本線</t>
        </is>
      </c>
      <c r="D752" s="10" t="inlineStr">
        <is>
          <t>上り</t>
        </is>
      </c>
      <c r="E752" t="inlineStr">
        <is>
          <t>2004</t>
        </is>
      </c>
      <c r="F752" t="inlineStr">
        <is>
          <t>0221</t>
        </is>
      </c>
      <c r="G752" s="10" t="inlineStr">
        <is>
          <t>車折</t>
        </is>
      </c>
      <c r="H752" s="10" t="inlineStr">
        <is>
          <t>発</t>
        </is>
      </c>
      <c r="J752" s="10" t="inlineStr">
        <is>
          <t>営業</t>
        </is>
      </c>
      <c r="L752" t="inlineStr">
        <is>
          <t>20:17:25</t>
        </is>
      </c>
      <c r="M752" t="inlineStr">
        <is>
          <t>20:17:40</t>
        </is>
      </c>
    </row>
    <row r="753" ht="15" customHeight="1" s="37">
      <c r="A753" t="n">
        <v>13</v>
      </c>
      <c r="B753" s="10" t="inlineStr">
        <is>
          <t>休日</t>
        </is>
      </c>
      <c r="C753" s="10" t="inlineStr">
        <is>
          <t>本線</t>
        </is>
      </c>
      <c r="D753" s="10" t="inlineStr">
        <is>
          <t>上り</t>
        </is>
      </c>
      <c r="E753" t="inlineStr">
        <is>
          <t>2004</t>
        </is>
      </c>
      <c r="F753" t="inlineStr">
        <is>
          <t>0221</t>
        </is>
      </c>
      <c r="G753" s="10" t="inlineStr">
        <is>
          <t>有栖川</t>
        </is>
      </c>
      <c r="H753" s="10" t="inlineStr">
        <is>
          <t>発</t>
        </is>
      </c>
      <c r="J753" s="10" t="inlineStr">
        <is>
          <t>営業</t>
        </is>
      </c>
      <c r="L753" t="inlineStr">
        <is>
          <t>20:19:05</t>
        </is>
      </c>
      <c r="M753" t="inlineStr">
        <is>
          <t>20:19:20</t>
        </is>
      </c>
    </row>
    <row r="754" ht="15" customHeight="1" s="37">
      <c r="A754" t="n">
        <v>13</v>
      </c>
      <c r="B754" s="10" t="inlineStr">
        <is>
          <t>休日</t>
        </is>
      </c>
      <c r="C754" s="10" t="inlineStr">
        <is>
          <t>本線</t>
        </is>
      </c>
      <c r="D754" s="10" t="inlineStr">
        <is>
          <t>上り</t>
        </is>
      </c>
      <c r="E754" t="inlineStr">
        <is>
          <t>2004</t>
        </is>
      </c>
      <c r="F754" t="inlineStr">
        <is>
          <t>0221</t>
        </is>
      </c>
      <c r="G754" s="10" t="inlineStr">
        <is>
          <t>帷子ノ辻</t>
        </is>
      </c>
      <c r="H754" s="10" t="inlineStr">
        <is>
          <t>発</t>
        </is>
      </c>
      <c r="J754" s="10" t="inlineStr">
        <is>
          <t>営業</t>
        </is>
      </c>
      <c r="L754" t="inlineStr">
        <is>
          <t>20:20:35</t>
        </is>
      </c>
      <c r="M754" t="inlineStr">
        <is>
          <t>20:21:05</t>
        </is>
      </c>
    </row>
    <row r="755" ht="15" customHeight="1" s="37">
      <c r="A755" t="n">
        <v>13</v>
      </c>
      <c r="B755" s="10" t="inlineStr">
        <is>
          <t>休日</t>
        </is>
      </c>
      <c r="C755" s="10" t="inlineStr">
        <is>
          <t>本線</t>
        </is>
      </c>
      <c r="D755" s="10" t="inlineStr">
        <is>
          <t>上り</t>
        </is>
      </c>
      <c r="E755" t="inlineStr">
        <is>
          <t>2004</t>
        </is>
      </c>
      <c r="F755" t="inlineStr">
        <is>
          <t>0221</t>
        </is>
      </c>
      <c r="G755" s="10" t="inlineStr">
        <is>
          <t>太秦広隆寺</t>
        </is>
      </c>
      <c r="H755" s="10" t="inlineStr">
        <is>
          <t>発</t>
        </is>
      </c>
      <c r="J755" s="10" t="inlineStr">
        <is>
          <t>営業</t>
        </is>
      </c>
      <c r="L755" t="inlineStr">
        <is>
          <t>20:23:15</t>
        </is>
      </c>
      <c r="M755" t="inlineStr">
        <is>
          <t>20:23:35</t>
        </is>
      </c>
    </row>
    <row r="756" ht="15" customHeight="1" s="37">
      <c r="A756" t="n">
        <v>13</v>
      </c>
      <c r="B756" s="10" t="inlineStr">
        <is>
          <t>休日</t>
        </is>
      </c>
      <c r="C756" s="10" t="inlineStr">
        <is>
          <t>本線</t>
        </is>
      </c>
      <c r="D756" s="10" t="inlineStr">
        <is>
          <t>上り</t>
        </is>
      </c>
      <c r="E756" t="inlineStr">
        <is>
          <t>2004</t>
        </is>
      </c>
      <c r="F756" t="inlineStr">
        <is>
          <t>0221</t>
        </is>
      </c>
      <c r="G756" s="10" t="inlineStr">
        <is>
          <t>蚕ノ社</t>
        </is>
      </c>
      <c r="H756" s="10" t="inlineStr">
        <is>
          <t>発</t>
        </is>
      </c>
      <c r="J756" s="10" t="inlineStr">
        <is>
          <t>営業</t>
        </is>
      </c>
      <c r="L756" t="inlineStr">
        <is>
          <t>20:24:50</t>
        </is>
      </c>
      <c r="M756" t="inlineStr">
        <is>
          <t>20:25:10</t>
        </is>
      </c>
    </row>
    <row r="757" ht="15" customHeight="1" s="37">
      <c r="A757" t="n">
        <v>13</v>
      </c>
      <c r="B757" s="10" t="inlineStr">
        <is>
          <t>休日</t>
        </is>
      </c>
      <c r="C757" s="10" t="inlineStr">
        <is>
          <t>本線</t>
        </is>
      </c>
      <c r="D757" s="10" t="inlineStr">
        <is>
          <t>上り</t>
        </is>
      </c>
      <c r="E757" t="inlineStr">
        <is>
          <t>2004</t>
        </is>
      </c>
      <c r="F757" t="inlineStr">
        <is>
          <t>0221</t>
        </is>
      </c>
      <c r="G757" s="10" t="inlineStr">
        <is>
          <t>天神川</t>
        </is>
      </c>
      <c r="H757" s="10" t="inlineStr">
        <is>
          <t>発</t>
        </is>
      </c>
      <c r="J757" s="10" t="inlineStr">
        <is>
          <t>営業</t>
        </is>
      </c>
      <c r="L757" t="inlineStr">
        <is>
          <t>20:25:55</t>
        </is>
      </c>
      <c r="M757" t="inlineStr">
        <is>
          <t>20:26:20</t>
        </is>
      </c>
    </row>
    <row r="758" ht="15" customHeight="1" s="37">
      <c r="A758" t="n">
        <v>13</v>
      </c>
      <c r="B758" s="10" t="inlineStr">
        <is>
          <t>休日</t>
        </is>
      </c>
      <c r="C758" s="10" t="inlineStr">
        <is>
          <t>本線</t>
        </is>
      </c>
      <c r="D758" s="10" t="inlineStr">
        <is>
          <t>上り</t>
        </is>
      </c>
      <c r="E758" t="inlineStr">
        <is>
          <t>2004</t>
        </is>
      </c>
      <c r="F758" t="inlineStr">
        <is>
          <t>0221</t>
        </is>
      </c>
      <c r="G758" s="10" t="inlineStr">
        <is>
          <t>山ノ内</t>
        </is>
      </c>
      <c r="H758" s="10" t="inlineStr">
        <is>
          <t>発</t>
        </is>
      </c>
      <c r="J758" s="10" t="inlineStr">
        <is>
          <t>営業</t>
        </is>
      </c>
      <c r="L758" t="inlineStr">
        <is>
          <t>20:28:10</t>
        </is>
      </c>
      <c r="M758" t="inlineStr">
        <is>
          <t>20:28:35</t>
        </is>
      </c>
    </row>
    <row r="759" ht="15" customHeight="1" s="37">
      <c r="A759" t="n">
        <v>13</v>
      </c>
      <c r="B759" s="10" t="inlineStr">
        <is>
          <t>休日</t>
        </is>
      </c>
      <c r="C759" s="10" t="inlineStr">
        <is>
          <t>本線</t>
        </is>
      </c>
      <c r="D759" s="10" t="inlineStr">
        <is>
          <t>上り</t>
        </is>
      </c>
      <c r="E759" t="inlineStr">
        <is>
          <t>2004</t>
        </is>
      </c>
      <c r="F759" t="inlineStr">
        <is>
          <t>0221</t>
        </is>
      </c>
      <c r="G759" s="10" t="inlineStr">
        <is>
          <t>西大路三条</t>
        </is>
      </c>
      <c r="H759" s="10" t="inlineStr">
        <is>
          <t>発</t>
        </is>
      </c>
      <c r="J759" s="10" t="inlineStr">
        <is>
          <t>営業</t>
        </is>
      </c>
      <c r="L759" t="inlineStr">
        <is>
          <t>20:30:25</t>
        </is>
      </c>
      <c r="M759" t="inlineStr">
        <is>
          <t>20:30:40</t>
        </is>
      </c>
    </row>
    <row r="760" ht="15" customHeight="1" s="37">
      <c r="A760" t="n">
        <v>13</v>
      </c>
      <c r="B760" s="10" t="inlineStr">
        <is>
          <t>休日</t>
        </is>
      </c>
      <c r="C760" s="10" t="inlineStr">
        <is>
          <t>本線</t>
        </is>
      </c>
      <c r="D760" s="10" t="inlineStr">
        <is>
          <t>上り</t>
        </is>
      </c>
      <c r="E760" t="inlineStr">
        <is>
          <t>2004</t>
        </is>
      </c>
      <c r="F760" t="inlineStr">
        <is>
          <t>0221</t>
        </is>
      </c>
      <c r="G760" s="10" t="inlineStr">
        <is>
          <t>西院</t>
        </is>
      </c>
      <c r="H760" s="10" t="inlineStr">
        <is>
          <t>発</t>
        </is>
      </c>
      <c r="J760" s="10" t="inlineStr">
        <is>
          <t>営業</t>
        </is>
      </c>
      <c r="L760" t="inlineStr">
        <is>
          <t>20:32:35</t>
        </is>
      </c>
      <c r="M760" t="inlineStr">
        <is>
          <t>20:33:05</t>
        </is>
      </c>
    </row>
    <row r="761" ht="15" customHeight="1" s="37">
      <c r="A761" t="n">
        <v>13</v>
      </c>
      <c r="B761" s="10" t="inlineStr">
        <is>
          <t>休日</t>
        </is>
      </c>
      <c r="C761" s="10" t="inlineStr">
        <is>
          <t>本線</t>
        </is>
      </c>
      <c r="D761" s="10" t="inlineStr">
        <is>
          <t>上り</t>
        </is>
      </c>
      <c r="E761" t="inlineStr">
        <is>
          <t>2004</t>
        </is>
      </c>
      <c r="F761" t="inlineStr">
        <is>
          <t>0221</t>
        </is>
      </c>
      <c r="G761" s="10" t="inlineStr">
        <is>
          <t>四条大宮</t>
        </is>
      </c>
      <c r="H761" s="10" t="inlineStr">
        <is>
          <t>着</t>
        </is>
      </c>
      <c r="J761" s="10" t="inlineStr">
        <is>
          <t>営業</t>
        </is>
      </c>
      <c r="L761" t="inlineStr">
        <is>
          <t>20:36:00</t>
        </is>
      </c>
      <c r="N761" t="inlineStr">
        <is>
          <t>○</t>
        </is>
      </c>
      <c r="Q761" t="inlineStr">
        <is>
          <t>1</t>
        </is>
      </c>
    </row>
    <row r="762" ht="15" customHeight="1" s="37">
      <c r="A762" t="n">
        <v>13</v>
      </c>
      <c r="B762" s="10" t="inlineStr">
        <is>
          <t>休日</t>
        </is>
      </c>
      <c r="C762" s="10" t="inlineStr">
        <is>
          <t>本線</t>
        </is>
      </c>
      <c r="D762" s="10" t="inlineStr">
        <is>
          <t>下り</t>
        </is>
      </c>
      <c r="E762" t="inlineStr">
        <is>
          <t>2009</t>
        </is>
      </c>
      <c r="F762" t="inlineStr">
        <is>
          <t>0122</t>
        </is>
      </c>
      <c r="G762" s="10" t="inlineStr">
        <is>
          <t>四条大宮</t>
        </is>
      </c>
      <c r="H762" s="10" t="inlineStr">
        <is>
          <t>発</t>
        </is>
      </c>
      <c r="J762" s="10" t="inlineStr">
        <is>
          <t>営業</t>
        </is>
      </c>
      <c r="M762" t="inlineStr">
        <is>
          <t>20:43:00</t>
        </is>
      </c>
      <c r="Q762" t="inlineStr">
        <is>
          <t>1</t>
        </is>
      </c>
    </row>
    <row r="763" ht="15" customHeight="1" s="37">
      <c r="A763" t="n">
        <v>13</v>
      </c>
      <c r="B763" s="10" t="inlineStr">
        <is>
          <t>休日</t>
        </is>
      </c>
      <c r="C763" s="10" t="inlineStr">
        <is>
          <t>本線</t>
        </is>
      </c>
      <c r="D763" s="10" t="inlineStr">
        <is>
          <t>下り</t>
        </is>
      </c>
      <c r="E763" t="inlineStr">
        <is>
          <t>2009</t>
        </is>
      </c>
      <c r="F763" t="inlineStr">
        <is>
          <t>0122</t>
        </is>
      </c>
      <c r="G763" s="10" t="inlineStr">
        <is>
          <t>西院</t>
        </is>
      </c>
      <c r="H763" s="10" t="inlineStr">
        <is>
          <t>発</t>
        </is>
      </c>
      <c r="J763" s="10" t="inlineStr">
        <is>
          <t>営業</t>
        </is>
      </c>
      <c r="L763" t="inlineStr">
        <is>
          <t>20:45:50</t>
        </is>
      </c>
      <c r="M763" t="inlineStr">
        <is>
          <t>20:46:20</t>
        </is>
      </c>
    </row>
    <row r="764" ht="15" customHeight="1" s="37">
      <c r="A764" t="n">
        <v>13</v>
      </c>
      <c r="B764" s="10" t="inlineStr">
        <is>
          <t>休日</t>
        </is>
      </c>
      <c r="C764" s="10" t="inlineStr">
        <is>
          <t>本線</t>
        </is>
      </c>
      <c r="D764" s="10" t="inlineStr">
        <is>
          <t>下り</t>
        </is>
      </c>
      <c r="E764" t="inlineStr">
        <is>
          <t>2009</t>
        </is>
      </c>
      <c r="F764" t="inlineStr">
        <is>
          <t>0122</t>
        </is>
      </c>
      <c r="G764" s="10" t="inlineStr">
        <is>
          <t>西大路三条</t>
        </is>
      </c>
      <c r="H764" s="10" t="inlineStr">
        <is>
          <t>発</t>
        </is>
      </c>
      <c r="J764" s="10" t="inlineStr">
        <is>
          <t>営業</t>
        </is>
      </c>
      <c r="L764" t="inlineStr">
        <is>
          <t>20:48:10</t>
        </is>
      </c>
      <c r="M764" t="inlineStr">
        <is>
          <t>20:48:30</t>
        </is>
      </c>
    </row>
    <row r="765" ht="15" customHeight="1" s="37">
      <c r="A765" t="n">
        <v>13</v>
      </c>
      <c r="B765" s="10" t="inlineStr">
        <is>
          <t>休日</t>
        </is>
      </c>
      <c r="C765" s="10" t="inlineStr">
        <is>
          <t>本線</t>
        </is>
      </c>
      <c r="D765" s="10" t="inlineStr">
        <is>
          <t>下り</t>
        </is>
      </c>
      <c r="E765" t="inlineStr">
        <is>
          <t>2009</t>
        </is>
      </c>
      <c r="F765" t="inlineStr">
        <is>
          <t>0122</t>
        </is>
      </c>
      <c r="G765" s="10" t="inlineStr">
        <is>
          <t>山ノ内</t>
        </is>
      </c>
      <c r="H765" s="10" t="inlineStr">
        <is>
          <t>発</t>
        </is>
      </c>
      <c r="J765" s="10" t="inlineStr">
        <is>
          <t>営業</t>
        </is>
      </c>
      <c r="L765" t="inlineStr">
        <is>
          <t>20:50:25</t>
        </is>
      </c>
      <c r="M765" t="inlineStr">
        <is>
          <t>20:50:50</t>
        </is>
      </c>
    </row>
    <row r="766" ht="15" customHeight="1" s="37">
      <c r="A766" t="n">
        <v>13</v>
      </c>
      <c r="B766" s="10" t="inlineStr">
        <is>
          <t>休日</t>
        </is>
      </c>
      <c r="C766" s="10" t="inlineStr">
        <is>
          <t>本線</t>
        </is>
      </c>
      <c r="D766" s="10" t="inlineStr">
        <is>
          <t>下り</t>
        </is>
      </c>
      <c r="E766" t="inlineStr">
        <is>
          <t>2009</t>
        </is>
      </c>
      <c r="F766" t="inlineStr">
        <is>
          <t>0122</t>
        </is>
      </c>
      <c r="G766" s="10" t="inlineStr">
        <is>
          <t>天神川</t>
        </is>
      </c>
      <c r="H766" s="10" t="inlineStr">
        <is>
          <t>発</t>
        </is>
      </c>
      <c r="J766" s="10" t="inlineStr">
        <is>
          <t>営業</t>
        </is>
      </c>
      <c r="L766" t="inlineStr">
        <is>
          <t>20:52:50</t>
        </is>
      </c>
      <c r="M766" t="inlineStr">
        <is>
          <t>20:53:30</t>
        </is>
      </c>
    </row>
    <row r="767" ht="15" customHeight="1" s="37">
      <c r="A767" t="n">
        <v>13</v>
      </c>
      <c r="B767" s="10" t="inlineStr">
        <is>
          <t>休日</t>
        </is>
      </c>
      <c r="C767" s="10" t="inlineStr">
        <is>
          <t>本線</t>
        </is>
      </c>
      <c r="D767" s="10" t="inlineStr">
        <is>
          <t>下り</t>
        </is>
      </c>
      <c r="E767" t="inlineStr">
        <is>
          <t>2009</t>
        </is>
      </c>
      <c r="F767" t="inlineStr">
        <is>
          <t>0122</t>
        </is>
      </c>
      <c r="G767" s="10" t="inlineStr">
        <is>
          <t>蚕ノ社</t>
        </is>
      </c>
      <c r="H767" s="10" t="inlineStr">
        <is>
          <t>発</t>
        </is>
      </c>
      <c r="J767" s="10" t="inlineStr">
        <is>
          <t>営業</t>
        </is>
      </c>
      <c r="L767" t="inlineStr">
        <is>
          <t>20:54:20</t>
        </is>
      </c>
      <c r="M767" t="inlineStr">
        <is>
          <t>20:54:40</t>
        </is>
      </c>
    </row>
    <row r="768" ht="15" customHeight="1" s="37">
      <c r="A768" t="n">
        <v>13</v>
      </c>
      <c r="B768" s="10" t="inlineStr">
        <is>
          <t>休日</t>
        </is>
      </c>
      <c r="C768" s="10" t="inlineStr">
        <is>
          <t>本線</t>
        </is>
      </c>
      <c r="D768" s="10" t="inlineStr">
        <is>
          <t>下り</t>
        </is>
      </c>
      <c r="E768" t="inlineStr">
        <is>
          <t>2009</t>
        </is>
      </c>
      <c r="F768" t="inlineStr">
        <is>
          <t>0122</t>
        </is>
      </c>
      <c r="G768" s="10" t="inlineStr">
        <is>
          <t>太秦広隆寺</t>
        </is>
      </c>
      <c r="H768" s="10" t="inlineStr">
        <is>
          <t>発</t>
        </is>
      </c>
      <c r="J768" s="10" t="inlineStr">
        <is>
          <t>営業</t>
        </is>
      </c>
      <c r="L768" t="inlineStr">
        <is>
          <t>20:56:00</t>
        </is>
      </c>
      <c r="M768" t="inlineStr">
        <is>
          <t>20:56:20</t>
        </is>
      </c>
    </row>
    <row r="769" ht="15" customHeight="1" s="37">
      <c r="A769" t="n">
        <v>13</v>
      </c>
      <c r="B769" s="10" t="inlineStr">
        <is>
          <t>休日</t>
        </is>
      </c>
      <c r="C769" s="10" t="inlineStr">
        <is>
          <t>本線</t>
        </is>
      </c>
      <c r="D769" s="10" t="inlineStr">
        <is>
          <t>下り</t>
        </is>
      </c>
      <c r="E769" t="inlineStr">
        <is>
          <t>2009</t>
        </is>
      </c>
      <c r="F769" t="inlineStr">
        <is>
          <t>0122</t>
        </is>
      </c>
      <c r="G769" s="10" t="inlineStr">
        <is>
          <t>帷子ノ辻</t>
        </is>
      </c>
      <c r="H769" s="10" t="inlineStr">
        <is>
          <t>発</t>
        </is>
      </c>
      <c r="J769" s="10" t="inlineStr">
        <is>
          <t>営業</t>
        </is>
      </c>
      <c r="L769" t="inlineStr">
        <is>
          <t>20:58:20</t>
        </is>
      </c>
      <c r="M769" t="inlineStr">
        <is>
          <t>20:59:40</t>
        </is>
      </c>
    </row>
    <row r="770" ht="15" customHeight="1" s="37">
      <c r="A770" t="n">
        <v>13</v>
      </c>
      <c r="B770" s="10" t="inlineStr">
        <is>
          <t>休日</t>
        </is>
      </c>
      <c r="C770" s="10" t="inlineStr">
        <is>
          <t>本線</t>
        </is>
      </c>
      <c r="D770" s="10" t="inlineStr">
        <is>
          <t>下り</t>
        </is>
      </c>
      <c r="E770" t="inlineStr">
        <is>
          <t>2009</t>
        </is>
      </c>
      <c r="F770" t="inlineStr">
        <is>
          <t>0122</t>
        </is>
      </c>
      <c r="G770" s="10" t="inlineStr">
        <is>
          <t>有栖川</t>
        </is>
      </c>
      <c r="H770" s="10" t="inlineStr">
        <is>
          <t>発</t>
        </is>
      </c>
      <c r="J770" s="10" t="inlineStr">
        <is>
          <t>営業</t>
        </is>
      </c>
      <c r="L770" t="inlineStr">
        <is>
          <t>21:00:50</t>
        </is>
      </c>
      <c r="M770" t="inlineStr">
        <is>
          <t>21:01:15</t>
        </is>
      </c>
    </row>
    <row r="771" ht="15" customHeight="1" s="37">
      <c r="A771" t="n">
        <v>13</v>
      </c>
      <c r="B771" s="10" t="inlineStr">
        <is>
          <t>休日</t>
        </is>
      </c>
      <c r="C771" s="10" t="inlineStr">
        <is>
          <t>本線</t>
        </is>
      </c>
      <c r="D771" s="10" t="inlineStr">
        <is>
          <t>下り</t>
        </is>
      </c>
      <c r="E771" t="inlineStr">
        <is>
          <t>2009</t>
        </is>
      </c>
      <c r="F771" t="inlineStr">
        <is>
          <t>0122</t>
        </is>
      </c>
      <c r="G771" s="10" t="inlineStr">
        <is>
          <t>車折</t>
        </is>
      </c>
      <c r="H771" s="10" t="inlineStr">
        <is>
          <t>発</t>
        </is>
      </c>
      <c r="J771" s="10" t="inlineStr">
        <is>
          <t>営業</t>
        </is>
      </c>
      <c r="L771" t="inlineStr">
        <is>
          <t>21:02:40</t>
        </is>
      </c>
      <c r="M771" t="inlineStr">
        <is>
          <t>21:03:05</t>
        </is>
      </c>
    </row>
    <row r="772" ht="15" customHeight="1" s="37">
      <c r="A772" t="n">
        <v>13</v>
      </c>
      <c r="B772" s="10" t="inlineStr">
        <is>
          <t>休日</t>
        </is>
      </c>
      <c r="C772" s="10" t="inlineStr">
        <is>
          <t>本線</t>
        </is>
      </c>
      <c r="D772" s="10" t="inlineStr">
        <is>
          <t>下り</t>
        </is>
      </c>
      <c r="E772" t="inlineStr">
        <is>
          <t>2009</t>
        </is>
      </c>
      <c r="F772" t="inlineStr">
        <is>
          <t>0122</t>
        </is>
      </c>
      <c r="G772" s="10" t="inlineStr">
        <is>
          <t>鹿王院</t>
        </is>
      </c>
      <c r="H772" s="10" t="inlineStr">
        <is>
          <t>発</t>
        </is>
      </c>
      <c r="J772" s="10" t="inlineStr">
        <is>
          <t>営業</t>
        </is>
      </c>
      <c r="L772" t="inlineStr">
        <is>
          <t>21:04:00</t>
        </is>
      </c>
      <c r="M772" t="inlineStr">
        <is>
          <t>21:04:25</t>
        </is>
      </c>
    </row>
    <row r="773" ht="15" customHeight="1" s="37">
      <c r="A773" t="n">
        <v>13</v>
      </c>
      <c r="B773" s="10" t="inlineStr">
        <is>
          <t>休日</t>
        </is>
      </c>
      <c r="C773" s="10" t="inlineStr">
        <is>
          <t>本線</t>
        </is>
      </c>
      <c r="D773" s="10" t="inlineStr">
        <is>
          <t>下り</t>
        </is>
      </c>
      <c r="E773" t="inlineStr">
        <is>
          <t>2009</t>
        </is>
      </c>
      <c r="F773" t="inlineStr">
        <is>
          <t>0122</t>
        </is>
      </c>
      <c r="G773" s="10" t="inlineStr">
        <is>
          <t>嵯峨</t>
        </is>
      </c>
      <c r="H773" s="10" t="inlineStr">
        <is>
          <t>発</t>
        </is>
      </c>
      <c r="J773" s="10" t="inlineStr">
        <is>
          <t>営業</t>
        </is>
      </c>
      <c r="L773" t="inlineStr">
        <is>
          <t>21:05:30</t>
        </is>
      </c>
      <c r="M773" t="inlineStr">
        <is>
          <t>21:05:55</t>
        </is>
      </c>
    </row>
    <row r="774" ht="15" customHeight="1" s="37">
      <c r="A774" t="n">
        <v>13</v>
      </c>
      <c r="B774" s="10" t="inlineStr">
        <is>
          <t>休日</t>
        </is>
      </c>
      <c r="C774" s="10" t="inlineStr">
        <is>
          <t>本線</t>
        </is>
      </c>
      <c r="D774" s="10" t="inlineStr">
        <is>
          <t>下り</t>
        </is>
      </c>
      <c r="E774" t="inlineStr">
        <is>
          <t>2009</t>
        </is>
      </c>
      <c r="F774" t="inlineStr">
        <is>
          <t>0122</t>
        </is>
      </c>
      <c r="G774" s="10" t="inlineStr">
        <is>
          <t>嵐山</t>
        </is>
      </c>
      <c r="H774" s="10" t="inlineStr">
        <is>
          <t>着</t>
        </is>
      </c>
      <c r="J774" s="10" t="inlineStr">
        <is>
          <t>営業</t>
        </is>
      </c>
      <c r="L774" t="inlineStr">
        <is>
          <t>21:07:00</t>
        </is>
      </c>
      <c r="N774" t="inlineStr">
        <is>
          <t>○</t>
        </is>
      </c>
      <c r="Q774" t="inlineStr">
        <is>
          <t>1</t>
        </is>
      </c>
    </row>
    <row r="775" ht="15" customHeight="1" s="37">
      <c r="A775" t="n">
        <v>13</v>
      </c>
      <c r="B775" s="10" t="inlineStr">
        <is>
          <t>休日</t>
        </is>
      </c>
      <c r="C775" s="10" t="inlineStr">
        <is>
          <t>本線</t>
        </is>
      </c>
      <c r="D775" s="10" t="inlineStr">
        <is>
          <t>上り</t>
        </is>
      </c>
      <c r="E775" t="inlineStr">
        <is>
          <t>2104</t>
        </is>
      </c>
      <c r="F775" t="inlineStr">
        <is>
          <t>0221</t>
        </is>
      </c>
      <c r="G775" s="10" t="inlineStr">
        <is>
          <t>嵐山</t>
        </is>
      </c>
      <c r="H775" s="10" t="inlineStr">
        <is>
          <t>発</t>
        </is>
      </c>
      <c r="J775" s="10" t="inlineStr">
        <is>
          <t>営業</t>
        </is>
      </c>
      <c r="M775" t="inlineStr">
        <is>
          <t>21:14:00</t>
        </is>
      </c>
      <c r="Q775" t="inlineStr">
        <is>
          <t>1</t>
        </is>
      </c>
      <c r="U775" t="inlineStr">
        <is>
          <t>→西院 休憩(21:43〜22:06)</t>
        </is>
      </c>
    </row>
    <row r="776" ht="15" customHeight="1" s="37">
      <c r="A776" t="n">
        <v>13</v>
      </c>
      <c r="B776" s="10" t="inlineStr">
        <is>
          <t>休日</t>
        </is>
      </c>
      <c r="C776" s="10" t="inlineStr">
        <is>
          <t>本線</t>
        </is>
      </c>
      <c r="D776" s="10" t="inlineStr">
        <is>
          <t>上り</t>
        </is>
      </c>
      <c r="E776" t="inlineStr">
        <is>
          <t>2104</t>
        </is>
      </c>
      <c r="F776" t="inlineStr">
        <is>
          <t>0221</t>
        </is>
      </c>
      <c r="G776" s="10" t="inlineStr">
        <is>
          <t>嵯峨</t>
        </is>
      </c>
      <c r="H776" s="10" t="inlineStr">
        <is>
          <t>発</t>
        </is>
      </c>
      <c r="J776" s="10" t="inlineStr">
        <is>
          <t>営業</t>
        </is>
      </c>
      <c r="L776" t="inlineStr">
        <is>
          <t>21:14:55</t>
        </is>
      </c>
      <c r="M776" t="inlineStr">
        <is>
          <t>21:15:10</t>
        </is>
      </c>
      <c r="U776" t="inlineStr">
        <is>
          <t>→西院 休憩(21:43〜22:06)</t>
        </is>
      </c>
    </row>
    <row r="777" ht="15" customHeight="1" s="37">
      <c r="A777" t="n">
        <v>13</v>
      </c>
      <c r="B777" s="10" t="inlineStr">
        <is>
          <t>休日</t>
        </is>
      </c>
      <c r="C777" s="10" t="inlineStr">
        <is>
          <t>本線</t>
        </is>
      </c>
      <c r="D777" s="10" t="inlineStr">
        <is>
          <t>上り</t>
        </is>
      </c>
      <c r="E777" t="inlineStr">
        <is>
          <t>2104</t>
        </is>
      </c>
      <c r="F777" t="inlineStr">
        <is>
          <t>0221</t>
        </is>
      </c>
      <c r="G777" s="10" t="inlineStr">
        <is>
          <t>鹿王院</t>
        </is>
      </c>
      <c r="H777" s="10" t="inlineStr">
        <is>
          <t>発</t>
        </is>
      </c>
      <c r="J777" s="10" t="inlineStr">
        <is>
          <t>営業</t>
        </is>
      </c>
      <c r="L777" t="inlineStr">
        <is>
          <t>21:16:15</t>
        </is>
      </c>
      <c r="M777" t="inlineStr">
        <is>
          <t>21:16:30</t>
        </is>
      </c>
      <c r="U777" t="inlineStr">
        <is>
          <t>→西院 休憩(21:43〜22:06)</t>
        </is>
      </c>
    </row>
    <row r="778" ht="15" customHeight="1" s="37">
      <c r="A778" t="n">
        <v>13</v>
      </c>
      <c r="B778" s="10" t="inlineStr">
        <is>
          <t>休日</t>
        </is>
      </c>
      <c r="C778" s="10" t="inlineStr">
        <is>
          <t>本線</t>
        </is>
      </c>
      <c r="D778" s="10" t="inlineStr">
        <is>
          <t>上り</t>
        </is>
      </c>
      <c r="E778" t="inlineStr">
        <is>
          <t>2104</t>
        </is>
      </c>
      <c r="F778" t="inlineStr">
        <is>
          <t>0221</t>
        </is>
      </c>
      <c r="G778" s="10" t="inlineStr">
        <is>
          <t>車折</t>
        </is>
      </c>
      <c r="H778" s="10" t="inlineStr">
        <is>
          <t>発</t>
        </is>
      </c>
      <c r="J778" s="10" t="inlineStr">
        <is>
          <t>営業</t>
        </is>
      </c>
      <c r="L778" t="inlineStr">
        <is>
          <t>21:17:25</t>
        </is>
      </c>
      <c r="M778" t="inlineStr">
        <is>
          <t>21:17:40</t>
        </is>
      </c>
      <c r="U778" t="inlineStr">
        <is>
          <t>→西院 休憩(21:43〜22:06)</t>
        </is>
      </c>
    </row>
    <row r="779" ht="15" customHeight="1" s="37">
      <c r="A779" t="n">
        <v>13</v>
      </c>
      <c r="B779" s="10" t="inlineStr">
        <is>
          <t>休日</t>
        </is>
      </c>
      <c r="C779" s="10" t="inlineStr">
        <is>
          <t>本線</t>
        </is>
      </c>
      <c r="D779" s="10" t="inlineStr">
        <is>
          <t>上り</t>
        </is>
      </c>
      <c r="E779" t="inlineStr">
        <is>
          <t>2104</t>
        </is>
      </c>
      <c r="F779" t="inlineStr">
        <is>
          <t>0221</t>
        </is>
      </c>
      <c r="G779" s="10" t="inlineStr">
        <is>
          <t>有栖川</t>
        </is>
      </c>
      <c r="H779" s="10" t="inlineStr">
        <is>
          <t>発</t>
        </is>
      </c>
      <c r="J779" s="10" t="inlineStr">
        <is>
          <t>営業</t>
        </is>
      </c>
      <c r="L779" t="inlineStr">
        <is>
          <t>21:19:05</t>
        </is>
      </c>
      <c r="M779" t="inlineStr">
        <is>
          <t>21:19:20</t>
        </is>
      </c>
      <c r="U779" t="inlineStr">
        <is>
          <t>→西院 休憩(21:43〜22:06)</t>
        </is>
      </c>
    </row>
    <row r="780" ht="15" customHeight="1" s="37">
      <c r="A780" t="n">
        <v>13</v>
      </c>
      <c r="B780" s="10" t="inlineStr">
        <is>
          <t>休日</t>
        </is>
      </c>
      <c r="C780" s="10" t="inlineStr">
        <is>
          <t>本線</t>
        </is>
      </c>
      <c r="D780" s="10" t="inlineStr">
        <is>
          <t>上り</t>
        </is>
      </c>
      <c r="E780" t="inlineStr">
        <is>
          <t>2104</t>
        </is>
      </c>
      <c r="F780" t="inlineStr">
        <is>
          <t>0221</t>
        </is>
      </c>
      <c r="G780" s="10" t="inlineStr">
        <is>
          <t>帷子ノ辻</t>
        </is>
      </c>
      <c r="H780" s="10" t="inlineStr">
        <is>
          <t>発</t>
        </is>
      </c>
      <c r="J780" s="10" t="inlineStr">
        <is>
          <t>営業</t>
        </is>
      </c>
      <c r="L780" t="inlineStr">
        <is>
          <t>21:20:35</t>
        </is>
      </c>
      <c r="M780" t="inlineStr">
        <is>
          <t>21:21:05</t>
        </is>
      </c>
      <c r="U780" t="inlineStr">
        <is>
          <t>→西院 休憩(21:43〜22:06)</t>
        </is>
      </c>
    </row>
    <row r="781" ht="15" customHeight="1" s="37">
      <c r="A781" t="n">
        <v>13</v>
      </c>
      <c r="B781" s="10" t="inlineStr">
        <is>
          <t>休日</t>
        </is>
      </c>
      <c r="C781" s="10" t="inlineStr">
        <is>
          <t>本線</t>
        </is>
      </c>
      <c r="D781" s="10" t="inlineStr">
        <is>
          <t>上り</t>
        </is>
      </c>
      <c r="E781" t="inlineStr">
        <is>
          <t>2104</t>
        </is>
      </c>
      <c r="F781" t="inlineStr">
        <is>
          <t>0221</t>
        </is>
      </c>
      <c r="G781" s="10" t="inlineStr">
        <is>
          <t>太秦広隆寺</t>
        </is>
      </c>
      <c r="H781" s="10" t="inlineStr">
        <is>
          <t>発</t>
        </is>
      </c>
      <c r="J781" s="10" t="inlineStr">
        <is>
          <t>営業</t>
        </is>
      </c>
      <c r="L781" t="inlineStr">
        <is>
          <t>21:23:15</t>
        </is>
      </c>
      <c r="M781" t="inlineStr">
        <is>
          <t>21:23:35</t>
        </is>
      </c>
      <c r="U781" t="inlineStr">
        <is>
          <t>→西院 休憩(21:43〜22:06)</t>
        </is>
      </c>
    </row>
    <row r="782" ht="15" customHeight="1" s="37">
      <c r="A782" t="n">
        <v>13</v>
      </c>
      <c r="B782" s="10" t="inlineStr">
        <is>
          <t>休日</t>
        </is>
      </c>
      <c r="C782" s="10" t="inlineStr">
        <is>
          <t>本線</t>
        </is>
      </c>
      <c r="D782" s="10" t="inlineStr">
        <is>
          <t>上り</t>
        </is>
      </c>
      <c r="E782" t="inlineStr">
        <is>
          <t>2104</t>
        </is>
      </c>
      <c r="F782" t="inlineStr">
        <is>
          <t>0221</t>
        </is>
      </c>
      <c r="G782" s="10" t="inlineStr">
        <is>
          <t>蚕ノ社</t>
        </is>
      </c>
      <c r="H782" s="10" t="inlineStr">
        <is>
          <t>発</t>
        </is>
      </c>
      <c r="J782" s="10" t="inlineStr">
        <is>
          <t>営業</t>
        </is>
      </c>
      <c r="L782" t="inlineStr">
        <is>
          <t>21:24:50</t>
        </is>
      </c>
      <c r="M782" t="inlineStr">
        <is>
          <t>21:25:10</t>
        </is>
      </c>
      <c r="U782" t="inlineStr">
        <is>
          <t>→西院 休憩(21:43〜22:06)</t>
        </is>
      </c>
    </row>
    <row r="783" ht="15" customHeight="1" s="37">
      <c r="A783" t="n">
        <v>13</v>
      </c>
      <c r="B783" s="10" t="inlineStr">
        <is>
          <t>休日</t>
        </is>
      </c>
      <c r="C783" s="10" t="inlineStr">
        <is>
          <t>本線</t>
        </is>
      </c>
      <c r="D783" s="10" t="inlineStr">
        <is>
          <t>上り</t>
        </is>
      </c>
      <c r="E783" t="inlineStr">
        <is>
          <t>2104</t>
        </is>
      </c>
      <c r="F783" t="inlineStr">
        <is>
          <t>0221</t>
        </is>
      </c>
      <c r="G783" s="10" t="inlineStr">
        <is>
          <t>天神川</t>
        </is>
      </c>
      <c r="H783" s="10" t="inlineStr">
        <is>
          <t>発</t>
        </is>
      </c>
      <c r="J783" s="10" t="inlineStr">
        <is>
          <t>営業</t>
        </is>
      </c>
      <c r="L783" t="inlineStr">
        <is>
          <t>21:25:55</t>
        </is>
      </c>
      <c r="M783" t="inlineStr">
        <is>
          <t>21:26:20</t>
        </is>
      </c>
      <c r="U783" t="inlineStr">
        <is>
          <t>→西院 休憩(21:43〜22:06)</t>
        </is>
      </c>
    </row>
    <row r="784" ht="15" customHeight="1" s="37">
      <c r="A784" t="n">
        <v>13</v>
      </c>
      <c r="B784" s="10" t="inlineStr">
        <is>
          <t>休日</t>
        </is>
      </c>
      <c r="C784" s="10" t="inlineStr">
        <is>
          <t>本線</t>
        </is>
      </c>
      <c r="D784" s="10" t="inlineStr">
        <is>
          <t>上り</t>
        </is>
      </c>
      <c r="E784" t="inlineStr">
        <is>
          <t>2104</t>
        </is>
      </c>
      <c r="F784" t="inlineStr">
        <is>
          <t>0221</t>
        </is>
      </c>
      <c r="G784" s="10" t="inlineStr">
        <is>
          <t>山ノ内</t>
        </is>
      </c>
      <c r="H784" s="10" t="inlineStr">
        <is>
          <t>発</t>
        </is>
      </c>
      <c r="J784" s="10" t="inlineStr">
        <is>
          <t>営業</t>
        </is>
      </c>
      <c r="L784" t="inlineStr">
        <is>
          <t>21:28:10</t>
        </is>
      </c>
      <c r="M784" t="inlineStr">
        <is>
          <t>21:28:35</t>
        </is>
      </c>
      <c r="U784" t="inlineStr">
        <is>
          <t>→西院 休憩(21:43〜22:06)</t>
        </is>
      </c>
    </row>
    <row r="785" ht="15" customHeight="1" s="37">
      <c r="A785" t="n">
        <v>13</v>
      </c>
      <c r="B785" s="10" t="inlineStr">
        <is>
          <t>休日</t>
        </is>
      </c>
      <c r="C785" s="10" t="inlineStr">
        <is>
          <t>本線</t>
        </is>
      </c>
      <c r="D785" s="10" t="inlineStr">
        <is>
          <t>上り</t>
        </is>
      </c>
      <c r="E785" t="inlineStr">
        <is>
          <t>2104</t>
        </is>
      </c>
      <c r="F785" t="inlineStr">
        <is>
          <t>0221</t>
        </is>
      </c>
      <c r="G785" s="10" t="inlineStr">
        <is>
          <t>西大路三条</t>
        </is>
      </c>
      <c r="H785" s="10" t="inlineStr">
        <is>
          <t>発</t>
        </is>
      </c>
      <c r="J785" s="10" t="inlineStr">
        <is>
          <t>営業</t>
        </is>
      </c>
      <c r="L785" t="inlineStr">
        <is>
          <t>21:30:25</t>
        </is>
      </c>
      <c r="M785" t="inlineStr">
        <is>
          <t>21:30:40</t>
        </is>
      </c>
      <c r="U785" t="inlineStr">
        <is>
          <t>→西院 休憩(21:43〜22:06)</t>
        </is>
      </c>
    </row>
    <row r="786" ht="15" customHeight="1" s="37">
      <c r="A786" t="n">
        <v>13</v>
      </c>
      <c r="B786" s="10" t="inlineStr">
        <is>
          <t>休日</t>
        </is>
      </c>
      <c r="C786" s="10" t="inlineStr">
        <is>
          <t>本線</t>
        </is>
      </c>
      <c r="D786" s="10" t="inlineStr">
        <is>
          <t>上り</t>
        </is>
      </c>
      <c r="E786" t="inlineStr">
        <is>
          <t>2104</t>
        </is>
      </c>
      <c r="F786" t="inlineStr">
        <is>
          <t>0221</t>
        </is>
      </c>
      <c r="G786" s="10" t="inlineStr">
        <is>
          <t>西院</t>
        </is>
      </c>
      <c r="H786" s="10" t="inlineStr">
        <is>
          <t>発</t>
        </is>
      </c>
      <c r="J786" s="10" t="inlineStr">
        <is>
          <t>営業</t>
        </is>
      </c>
      <c r="L786" t="inlineStr">
        <is>
          <t>21:32:35</t>
        </is>
      </c>
      <c r="M786" t="inlineStr">
        <is>
          <t>21:33:05</t>
        </is>
      </c>
      <c r="U786" t="inlineStr">
        <is>
          <t>→西院 休憩(21:43〜22:06)</t>
        </is>
      </c>
    </row>
    <row r="787" ht="15" customHeight="1" s="37">
      <c r="A787" t="n">
        <v>13</v>
      </c>
      <c r="B787" s="10" t="inlineStr">
        <is>
          <t>休日</t>
        </is>
      </c>
      <c r="C787" s="10" t="inlineStr">
        <is>
          <t>本線</t>
        </is>
      </c>
      <c r="D787" s="10" t="inlineStr">
        <is>
          <t>上り</t>
        </is>
      </c>
      <c r="E787" t="inlineStr">
        <is>
          <t>2104</t>
        </is>
      </c>
      <c r="F787" t="inlineStr">
        <is>
          <t>0221</t>
        </is>
      </c>
      <c r="G787" s="10" t="inlineStr">
        <is>
          <t>四条大宮</t>
        </is>
      </c>
      <c r="H787" s="10" t="inlineStr">
        <is>
          <t>着</t>
        </is>
      </c>
      <c r="J787" s="10" t="inlineStr">
        <is>
          <t>営業</t>
        </is>
      </c>
      <c r="L787" t="inlineStr">
        <is>
          <t>21:36:00</t>
        </is>
      </c>
      <c r="N787" t="inlineStr">
        <is>
          <t>○</t>
        </is>
      </c>
      <c r="Q787" t="inlineStr">
        <is>
          <t>1</t>
        </is>
      </c>
      <c r="U787" t="inlineStr">
        <is>
          <t>→西院 休憩(21:43〜22:06)</t>
        </is>
      </c>
    </row>
    <row r="788" ht="15" customHeight="1" s="37">
      <c r="A788" t="n">
        <v>13</v>
      </c>
      <c r="B788" s="10" t="inlineStr">
        <is>
          <t>休日</t>
        </is>
      </c>
      <c r="C788" s="10" t="inlineStr">
        <is>
          <t>本線</t>
        </is>
      </c>
      <c r="D788" s="10" t="inlineStr">
        <is>
          <t>下り</t>
        </is>
      </c>
      <c r="E788" t="inlineStr">
        <is>
          <t>2201</t>
        </is>
      </c>
      <c r="F788" t="inlineStr">
        <is>
          <t>0122</t>
        </is>
      </c>
      <c r="G788" s="10" t="inlineStr">
        <is>
          <t>西院</t>
        </is>
      </c>
      <c r="H788" s="10" t="inlineStr">
        <is>
          <t>発</t>
        </is>
      </c>
      <c r="J788" s="10" t="inlineStr">
        <is>
          <t>営業</t>
        </is>
      </c>
      <c r="L788" t="inlineStr">
        <is>
          <t>22:05:50</t>
        </is>
      </c>
      <c r="M788" t="inlineStr">
        <is>
          <t>22:06:20</t>
        </is>
      </c>
    </row>
    <row r="789" ht="15" customHeight="1" s="37">
      <c r="A789" t="n">
        <v>13</v>
      </c>
      <c r="B789" s="10" t="inlineStr">
        <is>
          <t>休日</t>
        </is>
      </c>
      <c r="C789" s="10" t="inlineStr">
        <is>
          <t>本線</t>
        </is>
      </c>
      <c r="D789" s="10" t="inlineStr">
        <is>
          <t>下り</t>
        </is>
      </c>
      <c r="E789" t="inlineStr">
        <is>
          <t>2201</t>
        </is>
      </c>
      <c r="F789" t="inlineStr">
        <is>
          <t>0122</t>
        </is>
      </c>
      <c r="G789" s="10" t="inlineStr">
        <is>
          <t>西大路三条</t>
        </is>
      </c>
      <c r="H789" s="10" t="inlineStr">
        <is>
          <t>発</t>
        </is>
      </c>
      <c r="J789" s="10" t="inlineStr">
        <is>
          <t>営業</t>
        </is>
      </c>
      <c r="L789" t="inlineStr">
        <is>
          <t>22:08:10</t>
        </is>
      </c>
      <c r="M789" t="inlineStr">
        <is>
          <t>22:08:30</t>
        </is>
      </c>
    </row>
    <row r="790" ht="15" customHeight="1" s="37">
      <c r="A790" t="n">
        <v>13</v>
      </c>
      <c r="B790" s="10" t="inlineStr">
        <is>
          <t>休日</t>
        </is>
      </c>
      <c r="C790" s="10" t="inlineStr">
        <is>
          <t>本線</t>
        </is>
      </c>
      <c r="D790" s="10" t="inlineStr">
        <is>
          <t>下り</t>
        </is>
      </c>
      <c r="E790" t="inlineStr">
        <is>
          <t>2201</t>
        </is>
      </c>
      <c r="F790" t="inlineStr">
        <is>
          <t>0122</t>
        </is>
      </c>
      <c r="G790" s="10" t="inlineStr">
        <is>
          <t>山ノ内</t>
        </is>
      </c>
      <c r="H790" s="10" t="inlineStr">
        <is>
          <t>発</t>
        </is>
      </c>
      <c r="J790" s="10" t="inlineStr">
        <is>
          <t>営業</t>
        </is>
      </c>
      <c r="L790" t="inlineStr">
        <is>
          <t>22:10:25</t>
        </is>
      </c>
      <c r="M790" t="inlineStr">
        <is>
          <t>22:10:50</t>
        </is>
      </c>
    </row>
    <row r="791" ht="15" customHeight="1" s="37">
      <c r="A791" t="n">
        <v>13</v>
      </c>
      <c r="B791" s="10" t="inlineStr">
        <is>
          <t>休日</t>
        </is>
      </c>
      <c r="C791" s="10" t="inlineStr">
        <is>
          <t>本線</t>
        </is>
      </c>
      <c r="D791" s="10" t="inlineStr">
        <is>
          <t>下り</t>
        </is>
      </c>
      <c r="E791" t="inlineStr">
        <is>
          <t>2201</t>
        </is>
      </c>
      <c r="F791" t="inlineStr">
        <is>
          <t>0122</t>
        </is>
      </c>
      <c r="G791" s="10" t="inlineStr">
        <is>
          <t>天神川</t>
        </is>
      </c>
      <c r="H791" s="10" t="inlineStr">
        <is>
          <t>発</t>
        </is>
      </c>
      <c r="J791" s="10" t="inlineStr">
        <is>
          <t>営業</t>
        </is>
      </c>
      <c r="L791" t="inlineStr">
        <is>
          <t>22:12:50</t>
        </is>
      </c>
      <c r="M791" t="inlineStr">
        <is>
          <t>22:13:30</t>
        </is>
      </c>
    </row>
    <row r="792" ht="15" customHeight="1" s="37">
      <c r="A792" t="n">
        <v>13</v>
      </c>
      <c r="B792" s="10" t="inlineStr">
        <is>
          <t>休日</t>
        </is>
      </c>
      <c r="C792" s="10" t="inlineStr">
        <is>
          <t>本線</t>
        </is>
      </c>
      <c r="D792" s="10" t="inlineStr">
        <is>
          <t>下り</t>
        </is>
      </c>
      <c r="E792" t="inlineStr">
        <is>
          <t>2201</t>
        </is>
      </c>
      <c r="F792" t="inlineStr">
        <is>
          <t>0122</t>
        </is>
      </c>
      <c r="G792" s="10" t="inlineStr">
        <is>
          <t>蚕ノ社</t>
        </is>
      </c>
      <c r="H792" s="10" t="inlineStr">
        <is>
          <t>発</t>
        </is>
      </c>
      <c r="J792" s="10" t="inlineStr">
        <is>
          <t>営業</t>
        </is>
      </c>
      <c r="L792" t="inlineStr">
        <is>
          <t>22:14:20</t>
        </is>
      </c>
      <c r="M792" t="inlineStr">
        <is>
          <t>22:14:40</t>
        </is>
      </c>
    </row>
    <row r="793" ht="15" customHeight="1" s="37">
      <c r="A793" t="n">
        <v>13</v>
      </c>
      <c r="B793" s="10" t="inlineStr">
        <is>
          <t>休日</t>
        </is>
      </c>
      <c r="C793" s="10" t="inlineStr">
        <is>
          <t>本線</t>
        </is>
      </c>
      <c r="D793" s="10" t="inlineStr">
        <is>
          <t>下り</t>
        </is>
      </c>
      <c r="E793" t="inlineStr">
        <is>
          <t>2201</t>
        </is>
      </c>
      <c r="F793" t="inlineStr">
        <is>
          <t>0122</t>
        </is>
      </c>
      <c r="G793" s="10" t="inlineStr">
        <is>
          <t>太秦広隆寺</t>
        </is>
      </c>
      <c r="H793" s="10" t="inlineStr">
        <is>
          <t>発</t>
        </is>
      </c>
      <c r="J793" s="10" t="inlineStr">
        <is>
          <t>営業</t>
        </is>
      </c>
      <c r="L793" t="inlineStr">
        <is>
          <t>22:16:00</t>
        </is>
      </c>
      <c r="M793" t="inlineStr">
        <is>
          <t>22:16:20</t>
        </is>
      </c>
    </row>
    <row r="794" ht="15" customHeight="1" s="37">
      <c r="A794" t="n">
        <v>13</v>
      </c>
      <c r="B794" s="10" t="inlineStr">
        <is>
          <t>休日</t>
        </is>
      </c>
      <c r="C794" s="10" t="inlineStr">
        <is>
          <t>本線</t>
        </is>
      </c>
      <c r="D794" s="10" t="inlineStr">
        <is>
          <t>下り</t>
        </is>
      </c>
      <c r="E794" t="inlineStr">
        <is>
          <t>2201</t>
        </is>
      </c>
      <c r="F794" t="inlineStr">
        <is>
          <t>0122</t>
        </is>
      </c>
      <c r="G794" s="10" t="inlineStr">
        <is>
          <t>帷子ノ辻</t>
        </is>
      </c>
      <c r="H794" s="10" t="inlineStr">
        <is>
          <t>発</t>
        </is>
      </c>
      <c r="J794" s="10" t="inlineStr">
        <is>
          <t>営業</t>
        </is>
      </c>
      <c r="L794" t="inlineStr">
        <is>
          <t>22:18:20</t>
        </is>
      </c>
      <c r="M794" t="inlineStr">
        <is>
          <t>22:19:40</t>
        </is>
      </c>
    </row>
    <row r="795" ht="15" customHeight="1" s="37">
      <c r="A795" t="n">
        <v>13</v>
      </c>
      <c r="B795" s="10" t="inlineStr">
        <is>
          <t>休日</t>
        </is>
      </c>
      <c r="C795" s="10" t="inlineStr">
        <is>
          <t>本線</t>
        </is>
      </c>
      <c r="D795" s="10" t="inlineStr">
        <is>
          <t>下り</t>
        </is>
      </c>
      <c r="E795" t="inlineStr">
        <is>
          <t>2201</t>
        </is>
      </c>
      <c r="F795" t="inlineStr">
        <is>
          <t>0122</t>
        </is>
      </c>
      <c r="G795" s="10" t="inlineStr">
        <is>
          <t>有栖川</t>
        </is>
      </c>
      <c r="H795" s="10" t="inlineStr">
        <is>
          <t>発</t>
        </is>
      </c>
      <c r="J795" s="10" t="inlineStr">
        <is>
          <t>営業</t>
        </is>
      </c>
      <c r="L795" t="inlineStr">
        <is>
          <t>22:20:50</t>
        </is>
      </c>
      <c r="M795" t="inlineStr">
        <is>
          <t>22:21:15</t>
        </is>
      </c>
    </row>
    <row r="796" ht="15" customHeight="1" s="37">
      <c r="A796" t="n">
        <v>13</v>
      </c>
      <c r="B796" s="10" t="inlineStr">
        <is>
          <t>休日</t>
        </is>
      </c>
      <c r="C796" s="10" t="inlineStr">
        <is>
          <t>本線</t>
        </is>
      </c>
      <c r="D796" s="10" t="inlineStr">
        <is>
          <t>下り</t>
        </is>
      </c>
      <c r="E796" t="inlineStr">
        <is>
          <t>2201</t>
        </is>
      </c>
      <c r="F796" t="inlineStr">
        <is>
          <t>0122</t>
        </is>
      </c>
      <c r="G796" s="10" t="inlineStr">
        <is>
          <t>車折</t>
        </is>
      </c>
      <c r="H796" s="10" t="inlineStr">
        <is>
          <t>発</t>
        </is>
      </c>
      <c r="J796" s="10" t="inlineStr">
        <is>
          <t>営業</t>
        </is>
      </c>
      <c r="L796" t="inlineStr">
        <is>
          <t>22:22:40</t>
        </is>
      </c>
      <c r="M796" t="inlineStr">
        <is>
          <t>22:23:05</t>
        </is>
      </c>
    </row>
    <row r="797" ht="15" customHeight="1" s="37">
      <c r="A797" t="n">
        <v>13</v>
      </c>
      <c r="B797" s="10" t="inlineStr">
        <is>
          <t>休日</t>
        </is>
      </c>
      <c r="C797" s="10" t="inlineStr">
        <is>
          <t>本線</t>
        </is>
      </c>
      <c r="D797" s="10" t="inlineStr">
        <is>
          <t>下り</t>
        </is>
      </c>
      <c r="E797" t="inlineStr">
        <is>
          <t>2201</t>
        </is>
      </c>
      <c r="F797" t="inlineStr">
        <is>
          <t>0122</t>
        </is>
      </c>
      <c r="G797" s="10" t="inlineStr">
        <is>
          <t>鹿王院</t>
        </is>
      </c>
      <c r="H797" s="10" t="inlineStr">
        <is>
          <t>発</t>
        </is>
      </c>
      <c r="J797" s="10" t="inlineStr">
        <is>
          <t>営業</t>
        </is>
      </c>
      <c r="L797" t="inlineStr">
        <is>
          <t>22:24:00</t>
        </is>
      </c>
      <c r="M797" t="inlineStr">
        <is>
          <t>22:24:25</t>
        </is>
      </c>
    </row>
    <row r="798" ht="15" customHeight="1" s="37">
      <c r="A798" t="n">
        <v>13</v>
      </c>
      <c r="B798" s="10" t="inlineStr">
        <is>
          <t>休日</t>
        </is>
      </c>
      <c r="C798" s="10" t="inlineStr">
        <is>
          <t>本線</t>
        </is>
      </c>
      <c r="D798" s="10" t="inlineStr">
        <is>
          <t>下り</t>
        </is>
      </c>
      <c r="E798" t="inlineStr">
        <is>
          <t>2201</t>
        </is>
      </c>
      <c r="F798" t="inlineStr">
        <is>
          <t>0122</t>
        </is>
      </c>
      <c r="G798" s="10" t="inlineStr">
        <is>
          <t>嵯峨</t>
        </is>
      </c>
      <c r="H798" s="10" t="inlineStr">
        <is>
          <t>発</t>
        </is>
      </c>
      <c r="J798" s="10" t="inlineStr">
        <is>
          <t>営業</t>
        </is>
      </c>
      <c r="L798" t="inlineStr">
        <is>
          <t>22:25:30</t>
        </is>
      </c>
      <c r="M798" t="inlineStr">
        <is>
          <t>22:25:55</t>
        </is>
      </c>
    </row>
    <row r="799" ht="15" customHeight="1" s="37">
      <c r="A799" t="n">
        <v>13</v>
      </c>
      <c r="B799" s="10" t="inlineStr">
        <is>
          <t>休日</t>
        </is>
      </c>
      <c r="C799" s="10" t="inlineStr">
        <is>
          <t>本線</t>
        </is>
      </c>
      <c r="D799" s="10" t="inlineStr">
        <is>
          <t>下り</t>
        </is>
      </c>
      <c r="E799" t="inlineStr">
        <is>
          <t>2201</t>
        </is>
      </c>
      <c r="F799" t="inlineStr">
        <is>
          <t>0122</t>
        </is>
      </c>
      <c r="G799" s="10" t="inlineStr">
        <is>
          <t>嵐山</t>
        </is>
      </c>
      <c r="H799" s="10" t="inlineStr">
        <is>
          <t>着</t>
        </is>
      </c>
      <c r="J799" s="10" t="inlineStr">
        <is>
          <t>営業</t>
        </is>
      </c>
      <c r="L799" t="inlineStr">
        <is>
          <t>22:27:00</t>
        </is>
      </c>
      <c r="N799" t="inlineStr">
        <is>
          <t>○</t>
        </is>
      </c>
      <c r="Q799" t="inlineStr">
        <is>
          <t>1</t>
        </is>
      </c>
    </row>
    <row r="800" ht="15" customHeight="1" s="37">
      <c r="A800" t="n">
        <v>13</v>
      </c>
      <c r="B800" s="10" t="inlineStr">
        <is>
          <t>休日</t>
        </is>
      </c>
      <c r="C800" s="10" t="inlineStr">
        <is>
          <t>本線</t>
        </is>
      </c>
      <c r="D800" s="10" t="inlineStr">
        <is>
          <t>上り</t>
        </is>
      </c>
      <c r="E800" t="inlineStr">
        <is>
          <t>2206</t>
        </is>
      </c>
      <c r="F800" t="inlineStr">
        <is>
          <t>0221</t>
        </is>
      </c>
      <c r="G800" s="10" t="inlineStr">
        <is>
          <t>嵐山</t>
        </is>
      </c>
      <c r="H800" s="10" t="inlineStr">
        <is>
          <t>発</t>
        </is>
      </c>
      <c r="J800" s="10" t="inlineStr">
        <is>
          <t>営業</t>
        </is>
      </c>
      <c r="M800" t="inlineStr">
        <is>
          <t>22:32:00</t>
        </is>
      </c>
      <c r="Q800" t="inlineStr">
        <is>
          <t>1</t>
        </is>
      </c>
    </row>
    <row r="801" ht="15" customHeight="1" s="37">
      <c r="A801" t="n">
        <v>13</v>
      </c>
      <c r="B801" s="10" t="inlineStr">
        <is>
          <t>休日</t>
        </is>
      </c>
      <c r="C801" s="10" t="inlineStr">
        <is>
          <t>本線</t>
        </is>
      </c>
      <c r="D801" s="10" t="inlineStr">
        <is>
          <t>上り</t>
        </is>
      </c>
      <c r="E801" t="inlineStr">
        <is>
          <t>2206</t>
        </is>
      </c>
      <c r="F801" t="inlineStr">
        <is>
          <t>0221</t>
        </is>
      </c>
      <c r="G801" s="10" t="inlineStr">
        <is>
          <t>嵯峨</t>
        </is>
      </c>
      <c r="H801" s="10" t="inlineStr">
        <is>
          <t>発</t>
        </is>
      </c>
      <c r="J801" s="10" t="inlineStr">
        <is>
          <t>営業</t>
        </is>
      </c>
      <c r="L801" t="inlineStr">
        <is>
          <t>22:32:55</t>
        </is>
      </c>
      <c r="M801" t="inlineStr">
        <is>
          <t>22:33:10</t>
        </is>
      </c>
    </row>
    <row r="802" ht="15" customHeight="1" s="37">
      <c r="A802" t="n">
        <v>13</v>
      </c>
      <c r="B802" s="10" t="inlineStr">
        <is>
          <t>休日</t>
        </is>
      </c>
      <c r="C802" s="10" t="inlineStr">
        <is>
          <t>本線</t>
        </is>
      </c>
      <c r="D802" s="10" t="inlineStr">
        <is>
          <t>上り</t>
        </is>
      </c>
      <c r="E802" t="inlineStr">
        <is>
          <t>2206</t>
        </is>
      </c>
      <c r="F802" t="inlineStr">
        <is>
          <t>0221</t>
        </is>
      </c>
      <c r="G802" s="10" t="inlineStr">
        <is>
          <t>鹿王院</t>
        </is>
      </c>
      <c r="H802" s="10" t="inlineStr">
        <is>
          <t>発</t>
        </is>
      </c>
      <c r="J802" s="10" t="inlineStr">
        <is>
          <t>営業</t>
        </is>
      </c>
      <c r="L802" t="inlineStr">
        <is>
          <t>22:34:15</t>
        </is>
      </c>
      <c r="M802" t="inlineStr">
        <is>
          <t>22:34:30</t>
        </is>
      </c>
    </row>
    <row r="803" ht="15" customHeight="1" s="37">
      <c r="A803" t="n">
        <v>13</v>
      </c>
      <c r="B803" s="10" t="inlineStr">
        <is>
          <t>休日</t>
        </is>
      </c>
      <c r="C803" s="10" t="inlineStr">
        <is>
          <t>本線</t>
        </is>
      </c>
      <c r="D803" s="10" t="inlineStr">
        <is>
          <t>上り</t>
        </is>
      </c>
      <c r="E803" t="inlineStr">
        <is>
          <t>2206</t>
        </is>
      </c>
      <c r="F803" t="inlineStr">
        <is>
          <t>0221</t>
        </is>
      </c>
      <c r="G803" s="10" t="inlineStr">
        <is>
          <t>車折</t>
        </is>
      </c>
      <c r="H803" s="10" t="inlineStr">
        <is>
          <t>発</t>
        </is>
      </c>
      <c r="J803" s="10" t="inlineStr">
        <is>
          <t>営業</t>
        </is>
      </c>
      <c r="L803" t="inlineStr">
        <is>
          <t>22:35:25</t>
        </is>
      </c>
      <c r="M803" t="inlineStr">
        <is>
          <t>22:35:40</t>
        </is>
      </c>
    </row>
    <row r="804" ht="15" customHeight="1" s="37">
      <c r="A804" t="n">
        <v>13</v>
      </c>
      <c r="B804" s="10" t="inlineStr">
        <is>
          <t>休日</t>
        </is>
      </c>
      <c r="C804" s="10" t="inlineStr">
        <is>
          <t>本線</t>
        </is>
      </c>
      <c r="D804" s="10" t="inlineStr">
        <is>
          <t>上り</t>
        </is>
      </c>
      <c r="E804" t="inlineStr">
        <is>
          <t>2206</t>
        </is>
      </c>
      <c r="F804" t="inlineStr">
        <is>
          <t>0221</t>
        </is>
      </c>
      <c r="G804" s="10" t="inlineStr">
        <is>
          <t>有栖川</t>
        </is>
      </c>
      <c r="H804" s="10" t="inlineStr">
        <is>
          <t>発</t>
        </is>
      </c>
      <c r="J804" s="10" t="inlineStr">
        <is>
          <t>営業</t>
        </is>
      </c>
      <c r="L804" t="inlineStr">
        <is>
          <t>22:37:05</t>
        </is>
      </c>
      <c r="M804" t="inlineStr">
        <is>
          <t>22:37:20</t>
        </is>
      </c>
    </row>
    <row r="805" ht="15" customHeight="1" s="37">
      <c r="A805" t="n">
        <v>13</v>
      </c>
      <c r="B805" s="10" t="inlineStr">
        <is>
          <t>休日</t>
        </is>
      </c>
      <c r="C805" s="10" t="inlineStr">
        <is>
          <t>本線</t>
        </is>
      </c>
      <c r="D805" s="10" t="inlineStr">
        <is>
          <t>上り</t>
        </is>
      </c>
      <c r="E805" t="inlineStr">
        <is>
          <t>2206</t>
        </is>
      </c>
      <c r="F805" t="inlineStr">
        <is>
          <t>0221</t>
        </is>
      </c>
      <c r="G805" s="10" t="inlineStr">
        <is>
          <t>帷子ノ辻</t>
        </is>
      </c>
      <c r="H805" s="10" t="inlineStr">
        <is>
          <t>発</t>
        </is>
      </c>
      <c r="J805" s="10" t="inlineStr">
        <is>
          <t>営業</t>
        </is>
      </c>
      <c r="L805" t="inlineStr">
        <is>
          <t>22:38:35</t>
        </is>
      </c>
      <c r="M805" t="inlineStr">
        <is>
          <t>22:39:05</t>
        </is>
      </c>
    </row>
    <row r="806" ht="15" customHeight="1" s="37">
      <c r="A806" t="n">
        <v>13</v>
      </c>
      <c r="B806" s="10" t="inlineStr">
        <is>
          <t>休日</t>
        </is>
      </c>
      <c r="C806" s="10" t="inlineStr">
        <is>
          <t>本線</t>
        </is>
      </c>
      <c r="D806" s="10" t="inlineStr">
        <is>
          <t>上り</t>
        </is>
      </c>
      <c r="E806" t="inlineStr">
        <is>
          <t>2206</t>
        </is>
      </c>
      <c r="F806" t="inlineStr">
        <is>
          <t>0221</t>
        </is>
      </c>
      <c r="G806" s="10" t="inlineStr">
        <is>
          <t>太秦広隆寺</t>
        </is>
      </c>
      <c r="H806" s="10" t="inlineStr">
        <is>
          <t>発</t>
        </is>
      </c>
      <c r="J806" s="10" t="inlineStr">
        <is>
          <t>営業</t>
        </is>
      </c>
      <c r="L806" t="inlineStr">
        <is>
          <t>22:41:15</t>
        </is>
      </c>
      <c r="M806" t="inlineStr">
        <is>
          <t>22:41:35</t>
        </is>
      </c>
    </row>
    <row r="807" ht="15" customHeight="1" s="37">
      <c r="A807" t="n">
        <v>13</v>
      </c>
      <c r="B807" s="10" t="inlineStr">
        <is>
          <t>休日</t>
        </is>
      </c>
      <c r="C807" s="10" t="inlineStr">
        <is>
          <t>本線</t>
        </is>
      </c>
      <c r="D807" s="10" t="inlineStr">
        <is>
          <t>上り</t>
        </is>
      </c>
      <c r="E807" t="inlineStr">
        <is>
          <t>2206</t>
        </is>
      </c>
      <c r="F807" t="inlineStr">
        <is>
          <t>0221</t>
        </is>
      </c>
      <c r="G807" s="10" t="inlineStr">
        <is>
          <t>蚕ノ社</t>
        </is>
      </c>
      <c r="H807" s="10" t="inlineStr">
        <is>
          <t>発</t>
        </is>
      </c>
      <c r="J807" s="10" t="inlineStr">
        <is>
          <t>営業</t>
        </is>
      </c>
      <c r="L807" t="inlineStr">
        <is>
          <t>22:42:50</t>
        </is>
      </c>
      <c r="M807" t="inlineStr">
        <is>
          <t>22:43:10</t>
        </is>
      </c>
    </row>
    <row r="808" ht="15" customHeight="1" s="37">
      <c r="A808" t="n">
        <v>13</v>
      </c>
      <c r="B808" s="10" t="inlineStr">
        <is>
          <t>休日</t>
        </is>
      </c>
      <c r="C808" s="10" t="inlineStr">
        <is>
          <t>本線</t>
        </is>
      </c>
      <c r="D808" s="10" t="inlineStr">
        <is>
          <t>上り</t>
        </is>
      </c>
      <c r="E808" t="inlineStr">
        <is>
          <t>2206</t>
        </is>
      </c>
      <c r="F808" t="inlineStr">
        <is>
          <t>0221</t>
        </is>
      </c>
      <c r="G808" s="10" t="inlineStr">
        <is>
          <t>天神川</t>
        </is>
      </c>
      <c r="H808" s="10" t="inlineStr">
        <is>
          <t>発</t>
        </is>
      </c>
      <c r="J808" s="10" t="inlineStr">
        <is>
          <t>営業</t>
        </is>
      </c>
      <c r="L808" t="inlineStr">
        <is>
          <t>22:43:55</t>
        </is>
      </c>
      <c r="M808" t="inlineStr">
        <is>
          <t>22:44:20</t>
        </is>
      </c>
    </row>
    <row r="809" ht="15" customHeight="1" s="37">
      <c r="A809" t="n">
        <v>13</v>
      </c>
      <c r="B809" s="10" t="inlineStr">
        <is>
          <t>休日</t>
        </is>
      </c>
      <c r="C809" s="10" t="inlineStr">
        <is>
          <t>本線</t>
        </is>
      </c>
      <c r="D809" s="10" t="inlineStr">
        <is>
          <t>上り</t>
        </is>
      </c>
      <c r="E809" t="inlineStr">
        <is>
          <t>2206</t>
        </is>
      </c>
      <c r="F809" t="inlineStr">
        <is>
          <t>0221</t>
        </is>
      </c>
      <c r="G809" s="10" t="inlineStr">
        <is>
          <t>山ノ内</t>
        </is>
      </c>
      <c r="H809" s="10" t="inlineStr">
        <is>
          <t>発</t>
        </is>
      </c>
      <c r="J809" s="10" t="inlineStr">
        <is>
          <t>営業</t>
        </is>
      </c>
      <c r="L809" t="inlineStr">
        <is>
          <t>22:46:10</t>
        </is>
      </c>
      <c r="M809" t="inlineStr">
        <is>
          <t>22:46:35</t>
        </is>
      </c>
    </row>
    <row r="810" ht="15" customHeight="1" s="37">
      <c r="A810" t="n">
        <v>13</v>
      </c>
      <c r="B810" s="10" t="inlineStr">
        <is>
          <t>休日</t>
        </is>
      </c>
      <c r="C810" s="10" t="inlineStr">
        <is>
          <t>本線</t>
        </is>
      </c>
      <c r="D810" s="10" t="inlineStr">
        <is>
          <t>上り</t>
        </is>
      </c>
      <c r="E810" t="inlineStr">
        <is>
          <t>2206</t>
        </is>
      </c>
      <c r="F810" t="inlineStr">
        <is>
          <t>0221</t>
        </is>
      </c>
      <c r="G810" s="10" t="inlineStr">
        <is>
          <t>西大路三条</t>
        </is>
      </c>
      <c r="H810" s="10" t="inlineStr">
        <is>
          <t>発</t>
        </is>
      </c>
      <c r="J810" s="10" t="inlineStr">
        <is>
          <t>営業</t>
        </is>
      </c>
      <c r="L810" t="inlineStr">
        <is>
          <t>22:48:25</t>
        </is>
      </c>
      <c r="M810" t="inlineStr">
        <is>
          <t>22:48:40</t>
        </is>
      </c>
    </row>
    <row r="811" ht="15" customHeight="1" s="37">
      <c r="A811" t="n">
        <v>13</v>
      </c>
      <c r="B811" s="10" t="inlineStr">
        <is>
          <t>休日</t>
        </is>
      </c>
      <c r="C811" s="10" t="inlineStr">
        <is>
          <t>本線</t>
        </is>
      </c>
      <c r="D811" s="10" t="inlineStr">
        <is>
          <t>上り</t>
        </is>
      </c>
      <c r="E811" t="inlineStr">
        <is>
          <t>2206</t>
        </is>
      </c>
      <c r="F811" t="inlineStr">
        <is>
          <t>0221</t>
        </is>
      </c>
      <c r="G811" s="10" t="inlineStr">
        <is>
          <t>西院</t>
        </is>
      </c>
      <c r="H811" s="10" t="inlineStr">
        <is>
          <t>発</t>
        </is>
      </c>
      <c r="J811" s="10" t="inlineStr">
        <is>
          <t>営業</t>
        </is>
      </c>
      <c r="L811" t="inlineStr">
        <is>
          <t>22:50:35</t>
        </is>
      </c>
      <c r="M811" t="inlineStr">
        <is>
          <t>22:51:05</t>
        </is>
      </c>
    </row>
    <row r="812" ht="15" customHeight="1" s="37">
      <c r="A812" t="n">
        <v>13</v>
      </c>
      <c r="B812" s="10" t="inlineStr">
        <is>
          <t>休日</t>
        </is>
      </c>
      <c r="C812" s="10" t="inlineStr">
        <is>
          <t>本線</t>
        </is>
      </c>
      <c r="D812" s="10" t="inlineStr">
        <is>
          <t>上り</t>
        </is>
      </c>
      <c r="E812" t="inlineStr">
        <is>
          <t>2206</t>
        </is>
      </c>
      <c r="F812" t="inlineStr">
        <is>
          <t>0221</t>
        </is>
      </c>
      <c r="G812" s="10" t="inlineStr">
        <is>
          <t>四条大宮</t>
        </is>
      </c>
      <c r="H812" s="10" t="inlineStr">
        <is>
          <t>着</t>
        </is>
      </c>
      <c r="J812" s="10" t="inlineStr">
        <is>
          <t>営業</t>
        </is>
      </c>
      <c r="L812" t="inlineStr">
        <is>
          <t>22:54:00</t>
        </is>
      </c>
      <c r="N812" t="inlineStr">
        <is>
          <t>○</t>
        </is>
      </c>
      <c r="Q812" t="inlineStr">
        <is>
          <t>1</t>
        </is>
      </c>
    </row>
    <row r="813" ht="15" customHeight="1" s="37">
      <c r="A813" t="n">
        <v>13</v>
      </c>
      <c r="B813" s="10" t="inlineStr">
        <is>
          <t>休日</t>
        </is>
      </c>
      <c r="C813" s="10" t="inlineStr">
        <is>
          <t>本線</t>
        </is>
      </c>
      <c r="D813" s="10" t="inlineStr">
        <is>
          <t>下り</t>
        </is>
      </c>
      <c r="E813" t="inlineStr">
        <is>
          <t>2301</t>
        </is>
      </c>
      <c r="F813" t="inlineStr">
        <is>
          <t>0122</t>
        </is>
      </c>
      <c r="G813" s="10" t="inlineStr">
        <is>
          <t>四条大宮</t>
        </is>
      </c>
      <c r="H813" s="10" t="inlineStr">
        <is>
          <t>発</t>
        </is>
      </c>
      <c r="J813" s="10" t="inlineStr">
        <is>
          <t>営業</t>
        </is>
      </c>
      <c r="M813" t="inlineStr">
        <is>
          <t>23:00:00</t>
        </is>
      </c>
      <c r="Q813" t="inlineStr">
        <is>
          <t>1</t>
        </is>
      </c>
    </row>
    <row r="814" ht="15" customHeight="1" s="37">
      <c r="A814" t="n">
        <v>13</v>
      </c>
      <c r="B814" s="10" t="inlineStr">
        <is>
          <t>休日</t>
        </is>
      </c>
      <c r="C814" s="10" t="inlineStr">
        <is>
          <t>本線</t>
        </is>
      </c>
      <c r="D814" s="10" t="inlineStr">
        <is>
          <t>下り</t>
        </is>
      </c>
      <c r="E814" t="inlineStr">
        <is>
          <t>2301</t>
        </is>
      </c>
      <c r="F814" t="inlineStr">
        <is>
          <t>0122</t>
        </is>
      </c>
      <c r="G814" s="10" t="inlineStr">
        <is>
          <t>西院</t>
        </is>
      </c>
      <c r="H814" s="10" t="inlineStr">
        <is>
          <t>発</t>
        </is>
      </c>
      <c r="J814" s="10" t="inlineStr">
        <is>
          <t>営業</t>
        </is>
      </c>
      <c r="L814" t="inlineStr">
        <is>
          <t>23:02:50</t>
        </is>
      </c>
      <c r="M814" t="inlineStr">
        <is>
          <t>23:03:20</t>
        </is>
      </c>
    </row>
    <row r="815" ht="15" customHeight="1" s="37">
      <c r="A815" t="n">
        <v>13</v>
      </c>
      <c r="B815" s="10" t="inlineStr">
        <is>
          <t>休日</t>
        </is>
      </c>
      <c r="C815" s="10" t="inlineStr">
        <is>
          <t>本線</t>
        </is>
      </c>
      <c r="D815" s="10" t="inlineStr">
        <is>
          <t>下り</t>
        </is>
      </c>
      <c r="E815" t="inlineStr">
        <is>
          <t>2301</t>
        </is>
      </c>
      <c r="F815" t="inlineStr">
        <is>
          <t>0122</t>
        </is>
      </c>
      <c r="G815" s="10" t="inlineStr">
        <is>
          <t>西大路三条</t>
        </is>
      </c>
      <c r="H815" s="10" t="inlineStr">
        <is>
          <t>発</t>
        </is>
      </c>
      <c r="J815" s="10" t="inlineStr">
        <is>
          <t>営業</t>
        </is>
      </c>
      <c r="L815" t="inlineStr">
        <is>
          <t>23:05:10</t>
        </is>
      </c>
      <c r="M815" t="inlineStr">
        <is>
          <t>23:05:30</t>
        </is>
      </c>
    </row>
    <row r="816" ht="15" customHeight="1" s="37">
      <c r="A816" t="n">
        <v>13</v>
      </c>
      <c r="B816" s="10" t="inlineStr">
        <is>
          <t>休日</t>
        </is>
      </c>
      <c r="C816" s="10" t="inlineStr">
        <is>
          <t>本線</t>
        </is>
      </c>
      <c r="D816" s="10" t="inlineStr">
        <is>
          <t>下り</t>
        </is>
      </c>
      <c r="E816" t="inlineStr">
        <is>
          <t>2301</t>
        </is>
      </c>
      <c r="F816" t="inlineStr">
        <is>
          <t>0122</t>
        </is>
      </c>
      <c r="G816" s="10" t="inlineStr">
        <is>
          <t>山ノ内</t>
        </is>
      </c>
      <c r="H816" s="10" t="inlineStr">
        <is>
          <t>発</t>
        </is>
      </c>
      <c r="J816" s="10" t="inlineStr">
        <is>
          <t>営業</t>
        </is>
      </c>
      <c r="L816" t="inlineStr">
        <is>
          <t>23:07:25</t>
        </is>
      </c>
      <c r="M816" t="inlineStr">
        <is>
          <t>23:07:50</t>
        </is>
      </c>
    </row>
    <row r="817" ht="15" customHeight="1" s="37">
      <c r="A817" t="n">
        <v>13</v>
      </c>
      <c r="B817" s="10" t="inlineStr">
        <is>
          <t>休日</t>
        </is>
      </c>
      <c r="C817" s="10" t="inlineStr">
        <is>
          <t>本線</t>
        </is>
      </c>
      <c r="D817" s="10" t="inlineStr">
        <is>
          <t>下り</t>
        </is>
      </c>
      <c r="E817" t="inlineStr">
        <is>
          <t>2301</t>
        </is>
      </c>
      <c r="F817" t="inlineStr">
        <is>
          <t>0122</t>
        </is>
      </c>
      <c r="G817" s="10" t="inlineStr">
        <is>
          <t>天神川</t>
        </is>
      </c>
      <c r="H817" s="10" t="inlineStr">
        <is>
          <t>発</t>
        </is>
      </c>
      <c r="J817" s="10" t="inlineStr">
        <is>
          <t>営業</t>
        </is>
      </c>
      <c r="L817" t="inlineStr">
        <is>
          <t>23:09:50</t>
        </is>
      </c>
      <c r="M817" t="inlineStr">
        <is>
          <t>23:10:30</t>
        </is>
      </c>
    </row>
    <row r="818" ht="15" customHeight="1" s="37">
      <c r="A818" t="n">
        <v>13</v>
      </c>
      <c r="B818" s="10" t="inlineStr">
        <is>
          <t>休日</t>
        </is>
      </c>
      <c r="C818" s="10" t="inlineStr">
        <is>
          <t>本線</t>
        </is>
      </c>
      <c r="D818" s="10" t="inlineStr">
        <is>
          <t>下り</t>
        </is>
      </c>
      <c r="E818" t="inlineStr">
        <is>
          <t>2301</t>
        </is>
      </c>
      <c r="F818" t="inlineStr">
        <is>
          <t>0122</t>
        </is>
      </c>
      <c r="G818" s="10" t="inlineStr">
        <is>
          <t>蚕ノ社</t>
        </is>
      </c>
      <c r="H818" s="10" t="inlineStr">
        <is>
          <t>発</t>
        </is>
      </c>
      <c r="J818" s="10" t="inlineStr">
        <is>
          <t>営業</t>
        </is>
      </c>
      <c r="L818" t="inlineStr">
        <is>
          <t>23:11:20</t>
        </is>
      </c>
      <c r="M818" t="inlineStr">
        <is>
          <t>23:11:40</t>
        </is>
      </c>
    </row>
    <row r="819" ht="15" customHeight="1" s="37">
      <c r="A819" t="n">
        <v>13</v>
      </c>
      <c r="B819" s="10" t="inlineStr">
        <is>
          <t>休日</t>
        </is>
      </c>
      <c r="C819" s="10" t="inlineStr">
        <is>
          <t>本線</t>
        </is>
      </c>
      <c r="D819" s="10" t="inlineStr">
        <is>
          <t>下り</t>
        </is>
      </c>
      <c r="E819" t="inlineStr">
        <is>
          <t>2301</t>
        </is>
      </c>
      <c r="F819" t="inlineStr">
        <is>
          <t>0122</t>
        </is>
      </c>
      <c r="G819" s="10" t="inlineStr">
        <is>
          <t>太秦広隆寺</t>
        </is>
      </c>
      <c r="H819" s="10" t="inlineStr">
        <is>
          <t>発</t>
        </is>
      </c>
      <c r="J819" s="10" t="inlineStr">
        <is>
          <t>営業</t>
        </is>
      </c>
      <c r="L819" t="inlineStr">
        <is>
          <t>23:13:00</t>
        </is>
      </c>
      <c r="M819" t="inlineStr">
        <is>
          <t>23:13:20</t>
        </is>
      </c>
    </row>
    <row r="820" ht="15" customHeight="1" s="37">
      <c r="A820" t="n">
        <v>13</v>
      </c>
      <c r="B820" s="10" t="inlineStr">
        <is>
          <t>休日</t>
        </is>
      </c>
      <c r="C820" s="10" t="inlineStr">
        <is>
          <t>本線</t>
        </is>
      </c>
      <c r="D820" s="10" t="inlineStr">
        <is>
          <t>下り</t>
        </is>
      </c>
      <c r="E820" t="inlineStr">
        <is>
          <t>2301</t>
        </is>
      </c>
      <c r="F820" t="inlineStr">
        <is>
          <t>0122</t>
        </is>
      </c>
      <c r="G820" s="10" t="inlineStr">
        <is>
          <t>有栖川</t>
        </is>
      </c>
      <c r="H820" s="10" t="inlineStr">
        <is>
          <t>発</t>
        </is>
      </c>
      <c r="J820" s="10" t="inlineStr">
        <is>
          <t>営業</t>
        </is>
      </c>
      <c r="L820" t="inlineStr">
        <is>
          <t>23:17:50</t>
        </is>
      </c>
      <c r="M820" t="inlineStr">
        <is>
          <t>23:18:15</t>
        </is>
      </c>
    </row>
    <row r="821" ht="15" customHeight="1" s="37">
      <c r="A821" t="n">
        <v>13</v>
      </c>
      <c r="B821" s="10" t="inlineStr">
        <is>
          <t>休日</t>
        </is>
      </c>
      <c r="C821" s="10" t="inlineStr">
        <is>
          <t>本線</t>
        </is>
      </c>
      <c r="D821" s="10" t="inlineStr">
        <is>
          <t>下り</t>
        </is>
      </c>
      <c r="E821" t="inlineStr">
        <is>
          <t>2301</t>
        </is>
      </c>
      <c r="F821" t="inlineStr">
        <is>
          <t>0122</t>
        </is>
      </c>
      <c r="G821" s="10" t="inlineStr">
        <is>
          <t>車折</t>
        </is>
      </c>
      <c r="H821" s="10" t="inlineStr">
        <is>
          <t>発</t>
        </is>
      </c>
      <c r="J821" s="10" t="inlineStr">
        <is>
          <t>営業</t>
        </is>
      </c>
      <c r="L821" t="inlineStr">
        <is>
          <t>23:19:40</t>
        </is>
      </c>
      <c r="M821" t="inlineStr">
        <is>
          <t>23:20:05</t>
        </is>
      </c>
    </row>
    <row r="822" ht="15" customHeight="1" s="37">
      <c r="A822" t="n">
        <v>13</v>
      </c>
      <c r="B822" s="10" t="inlineStr">
        <is>
          <t>休日</t>
        </is>
      </c>
      <c r="C822" s="10" t="inlineStr">
        <is>
          <t>本線</t>
        </is>
      </c>
      <c r="D822" s="10" t="inlineStr">
        <is>
          <t>下り</t>
        </is>
      </c>
      <c r="E822" t="inlineStr">
        <is>
          <t>2301</t>
        </is>
      </c>
      <c r="F822" t="inlineStr">
        <is>
          <t>0122</t>
        </is>
      </c>
      <c r="G822" s="10" t="inlineStr">
        <is>
          <t>鹿王院</t>
        </is>
      </c>
      <c r="H822" s="10" t="inlineStr">
        <is>
          <t>発</t>
        </is>
      </c>
      <c r="J822" s="10" t="inlineStr">
        <is>
          <t>営業</t>
        </is>
      </c>
      <c r="L822" t="inlineStr">
        <is>
          <t>23:21:00</t>
        </is>
      </c>
      <c r="M822" t="inlineStr">
        <is>
          <t>23:21:25</t>
        </is>
      </c>
    </row>
    <row r="823" ht="15" customHeight="1" s="37">
      <c r="A823" t="n">
        <v>13</v>
      </c>
      <c r="B823" s="10" t="inlineStr">
        <is>
          <t>休日</t>
        </is>
      </c>
      <c r="C823" s="10" t="inlineStr">
        <is>
          <t>本線</t>
        </is>
      </c>
      <c r="D823" s="10" t="inlineStr">
        <is>
          <t>下り</t>
        </is>
      </c>
      <c r="E823" t="inlineStr">
        <is>
          <t>2301</t>
        </is>
      </c>
      <c r="F823" t="inlineStr">
        <is>
          <t>0122</t>
        </is>
      </c>
      <c r="G823" s="10" t="inlineStr">
        <is>
          <t>嵯峨</t>
        </is>
      </c>
      <c r="H823" s="10" t="inlineStr">
        <is>
          <t>発</t>
        </is>
      </c>
      <c r="J823" s="10" t="inlineStr">
        <is>
          <t>営業</t>
        </is>
      </c>
      <c r="L823" t="inlineStr">
        <is>
          <t>23:22:30</t>
        </is>
      </c>
      <c r="M823" t="inlineStr">
        <is>
          <t>23:22:55</t>
        </is>
      </c>
    </row>
    <row r="824" ht="15" customHeight="1" s="37">
      <c r="A824" t="n">
        <v>13</v>
      </c>
      <c r="B824" s="10" t="inlineStr">
        <is>
          <t>休日</t>
        </is>
      </c>
      <c r="C824" s="10" t="inlineStr">
        <is>
          <t>本線</t>
        </is>
      </c>
      <c r="D824" s="10" t="inlineStr">
        <is>
          <t>下り</t>
        </is>
      </c>
      <c r="E824" t="inlineStr">
        <is>
          <t>2301</t>
        </is>
      </c>
      <c r="F824" t="inlineStr">
        <is>
          <t>0122</t>
        </is>
      </c>
      <c r="G824" s="10" t="inlineStr">
        <is>
          <t>嵐山</t>
        </is>
      </c>
      <c r="H824" s="10" t="inlineStr">
        <is>
          <t>着</t>
        </is>
      </c>
      <c r="J824" s="10" t="inlineStr">
        <is>
          <t>営業</t>
        </is>
      </c>
      <c r="L824" t="inlineStr">
        <is>
          <t>23:24:00</t>
        </is>
      </c>
      <c r="N824" t="inlineStr">
        <is>
          <t>○</t>
        </is>
      </c>
      <c r="Q824" t="inlineStr">
        <is>
          <t>1</t>
        </is>
      </c>
    </row>
    <row r="825" ht="15" customHeight="1" s="37">
      <c r="A825" t="n">
        <v>13</v>
      </c>
      <c r="B825" s="10" t="inlineStr">
        <is>
          <t>休日</t>
        </is>
      </c>
      <c r="C825" s="10" t="inlineStr">
        <is>
          <t>本線</t>
        </is>
      </c>
      <c r="D825" s="10" t="inlineStr">
        <is>
          <t>上り</t>
        </is>
      </c>
      <c r="E825" t="inlineStr">
        <is>
          <t>2306</t>
        </is>
      </c>
      <c r="F825" t="inlineStr">
        <is>
          <t>0225</t>
        </is>
      </c>
      <c r="G825" s="10" t="inlineStr">
        <is>
          <t>嵐山</t>
        </is>
      </c>
      <c r="H825" s="10" t="inlineStr">
        <is>
          <t>発</t>
        </is>
      </c>
      <c r="J825" s="10" t="inlineStr">
        <is>
          <t>営業</t>
        </is>
      </c>
      <c r="M825" t="inlineStr">
        <is>
          <t>23:32:00</t>
        </is>
      </c>
      <c r="Q825" t="inlineStr">
        <is>
          <t>1</t>
        </is>
      </c>
      <c r="R825" t="inlineStr">
        <is>
          <t>○</t>
        </is>
      </c>
    </row>
    <row r="826" ht="15" customHeight="1" s="37">
      <c r="A826" t="n">
        <v>13</v>
      </c>
      <c r="B826" s="10" t="inlineStr">
        <is>
          <t>休日</t>
        </is>
      </c>
      <c r="C826" s="10" t="inlineStr">
        <is>
          <t>本線</t>
        </is>
      </c>
      <c r="D826" s="10" t="inlineStr">
        <is>
          <t>上り</t>
        </is>
      </c>
      <c r="E826" t="inlineStr">
        <is>
          <t>2306</t>
        </is>
      </c>
      <c r="F826" t="inlineStr">
        <is>
          <t>0225</t>
        </is>
      </c>
      <c r="G826" s="10" t="inlineStr">
        <is>
          <t>嵯峨</t>
        </is>
      </c>
      <c r="H826" s="10" t="inlineStr">
        <is>
          <t>発</t>
        </is>
      </c>
      <c r="J826" s="10" t="inlineStr">
        <is>
          <t>営業</t>
        </is>
      </c>
      <c r="L826" t="inlineStr">
        <is>
          <t>23:32:55</t>
        </is>
      </c>
      <c r="M826" t="inlineStr">
        <is>
          <t>23:33:10</t>
        </is>
      </c>
      <c r="R826" t="inlineStr">
        <is>
          <t>○</t>
        </is>
      </c>
    </row>
    <row r="827" ht="15" customHeight="1" s="37">
      <c r="A827" t="n">
        <v>13</v>
      </c>
      <c r="B827" s="10" t="inlineStr">
        <is>
          <t>休日</t>
        </is>
      </c>
      <c r="C827" s="10" t="inlineStr">
        <is>
          <t>本線</t>
        </is>
      </c>
      <c r="D827" s="10" t="inlineStr">
        <is>
          <t>上り</t>
        </is>
      </c>
      <c r="E827" t="inlineStr">
        <is>
          <t>2306</t>
        </is>
      </c>
      <c r="F827" t="inlineStr">
        <is>
          <t>0225</t>
        </is>
      </c>
      <c r="G827" s="10" t="inlineStr">
        <is>
          <t>鹿王院</t>
        </is>
      </c>
      <c r="H827" s="10" t="inlineStr">
        <is>
          <t>発</t>
        </is>
      </c>
      <c r="J827" s="10" t="inlineStr">
        <is>
          <t>営業</t>
        </is>
      </c>
      <c r="L827" t="inlineStr">
        <is>
          <t>23:34:15</t>
        </is>
      </c>
      <c r="M827" t="inlineStr">
        <is>
          <t>23:34:30</t>
        </is>
      </c>
      <c r="R827" t="inlineStr">
        <is>
          <t>○</t>
        </is>
      </c>
    </row>
    <row r="828" ht="15" customHeight="1" s="37">
      <c r="A828" t="n">
        <v>13</v>
      </c>
      <c r="B828" s="10" t="inlineStr">
        <is>
          <t>休日</t>
        </is>
      </c>
      <c r="C828" s="10" t="inlineStr">
        <is>
          <t>本線</t>
        </is>
      </c>
      <c r="D828" s="10" t="inlineStr">
        <is>
          <t>上り</t>
        </is>
      </c>
      <c r="E828" t="inlineStr">
        <is>
          <t>2306</t>
        </is>
      </c>
      <c r="F828" t="inlineStr">
        <is>
          <t>0225</t>
        </is>
      </c>
      <c r="G828" s="10" t="inlineStr">
        <is>
          <t>車折</t>
        </is>
      </c>
      <c r="H828" s="10" t="inlineStr">
        <is>
          <t>発</t>
        </is>
      </c>
      <c r="J828" s="10" t="inlineStr">
        <is>
          <t>営業</t>
        </is>
      </c>
      <c r="L828" t="inlineStr">
        <is>
          <t>23:35:25</t>
        </is>
      </c>
      <c r="M828" t="inlineStr">
        <is>
          <t>23:35:40</t>
        </is>
      </c>
      <c r="R828" t="inlineStr">
        <is>
          <t>○</t>
        </is>
      </c>
    </row>
    <row r="829" ht="15" customHeight="1" s="37">
      <c r="A829" t="n">
        <v>13</v>
      </c>
      <c r="B829" s="10" t="inlineStr">
        <is>
          <t>休日</t>
        </is>
      </c>
      <c r="C829" s="10" t="inlineStr">
        <is>
          <t>本線</t>
        </is>
      </c>
      <c r="D829" s="10" t="inlineStr">
        <is>
          <t>上り</t>
        </is>
      </c>
      <c r="E829" t="inlineStr">
        <is>
          <t>2306</t>
        </is>
      </c>
      <c r="F829" t="inlineStr">
        <is>
          <t>0225</t>
        </is>
      </c>
      <c r="G829" s="10" t="inlineStr">
        <is>
          <t>有栖川</t>
        </is>
      </c>
      <c r="H829" s="10" t="inlineStr">
        <is>
          <t>発</t>
        </is>
      </c>
      <c r="J829" s="10" t="inlineStr">
        <is>
          <t>営業</t>
        </is>
      </c>
      <c r="L829" t="inlineStr">
        <is>
          <t>23:37:05</t>
        </is>
      </c>
      <c r="M829" t="inlineStr">
        <is>
          <t>23:37:20</t>
        </is>
      </c>
      <c r="R829" t="inlineStr">
        <is>
          <t>○</t>
        </is>
      </c>
    </row>
    <row r="830" ht="15" customHeight="1" s="37">
      <c r="A830" t="n">
        <v>13</v>
      </c>
      <c r="B830" s="10" t="inlineStr">
        <is>
          <t>休日</t>
        </is>
      </c>
      <c r="C830" s="10" t="inlineStr">
        <is>
          <t>本線</t>
        </is>
      </c>
      <c r="D830" s="10" t="inlineStr">
        <is>
          <t>上り</t>
        </is>
      </c>
      <c r="E830" t="inlineStr">
        <is>
          <t>2306</t>
        </is>
      </c>
      <c r="F830" t="inlineStr">
        <is>
          <t>0225</t>
        </is>
      </c>
      <c r="G830" s="10" t="inlineStr">
        <is>
          <t>帷子ノ辻</t>
        </is>
      </c>
      <c r="H830" s="10" t="inlineStr">
        <is>
          <t>発</t>
        </is>
      </c>
      <c r="J830" s="10" t="inlineStr">
        <is>
          <t>営業</t>
        </is>
      </c>
      <c r="L830" t="inlineStr">
        <is>
          <t>23:38:35</t>
        </is>
      </c>
      <c r="M830" t="inlineStr">
        <is>
          <t>23:39:05</t>
        </is>
      </c>
      <c r="R830" t="inlineStr">
        <is>
          <t>○</t>
        </is>
      </c>
    </row>
    <row r="831" ht="15" customHeight="1" s="37">
      <c r="A831" t="n">
        <v>13</v>
      </c>
      <c r="B831" s="10" t="inlineStr">
        <is>
          <t>休日</t>
        </is>
      </c>
      <c r="C831" s="10" t="inlineStr">
        <is>
          <t>本線</t>
        </is>
      </c>
      <c r="D831" s="10" t="inlineStr">
        <is>
          <t>上り</t>
        </is>
      </c>
      <c r="E831" t="inlineStr">
        <is>
          <t>2306</t>
        </is>
      </c>
      <c r="F831" t="inlineStr">
        <is>
          <t>0225</t>
        </is>
      </c>
      <c r="G831" s="10" t="inlineStr">
        <is>
          <t>太秦広隆寺</t>
        </is>
      </c>
      <c r="H831" s="10" t="inlineStr">
        <is>
          <t>発</t>
        </is>
      </c>
      <c r="J831" s="10" t="inlineStr">
        <is>
          <t>営業</t>
        </is>
      </c>
      <c r="L831" t="inlineStr">
        <is>
          <t>23:41:15</t>
        </is>
      </c>
      <c r="M831" t="inlineStr">
        <is>
          <t>23:41:35</t>
        </is>
      </c>
      <c r="R831" t="inlineStr">
        <is>
          <t>○</t>
        </is>
      </c>
    </row>
    <row r="832" ht="15" customHeight="1" s="37">
      <c r="A832" t="n">
        <v>13</v>
      </c>
      <c r="B832" s="10" t="inlineStr">
        <is>
          <t>休日</t>
        </is>
      </c>
      <c r="C832" s="10" t="inlineStr">
        <is>
          <t>本線</t>
        </is>
      </c>
      <c r="D832" s="10" t="inlineStr">
        <is>
          <t>上り</t>
        </is>
      </c>
      <c r="E832" t="inlineStr">
        <is>
          <t>2306</t>
        </is>
      </c>
      <c r="F832" t="inlineStr">
        <is>
          <t>0225</t>
        </is>
      </c>
      <c r="G832" s="10" t="inlineStr">
        <is>
          <t>蚕ノ社</t>
        </is>
      </c>
      <c r="H832" s="10" t="inlineStr">
        <is>
          <t>発</t>
        </is>
      </c>
      <c r="J832" s="10" t="inlineStr">
        <is>
          <t>営業</t>
        </is>
      </c>
      <c r="L832" t="inlineStr">
        <is>
          <t>23:42:50</t>
        </is>
      </c>
      <c r="M832" t="inlineStr">
        <is>
          <t>23:43:10</t>
        </is>
      </c>
      <c r="R832" t="inlineStr">
        <is>
          <t>○</t>
        </is>
      </c>
    </row>
    <row r="833" ht="15" customHeight="1" s="37">
      <c r="A833" t="n">
        <v>13</v>
      </c>
      <c r="B833" s="10" t="inlineStr">
        <is>
          <t>休日</t>
        </is>
      </c>
      <c r="C833" s="10" t="inlineStr">
        <is>
          <t>本線</t>
        </is>
      </c>
      <c r="D833" s="10" t="inlineStr">
        <is>
          <t>上り</t>
        </is>
      </c>
      <c r="E833" t="inlineStr">
        <is>
          <t>2306</t>
        </is>
      </c>
      <c r="F833" t="inlineStr">
        <is>
          <t>0225</t>
        </is>
      </c>
      <c r="G833" s="10" t="inlineStr">
        <is>
          <t>天神川</t>
        </is>
      </c>
      <c r="H833" s="10" t="inlineStr">
        <is>
          <t>発</t>
        </is>
      </c>
      <c r="J833" s="10" t="inlineStr">
        <is>
          <t>営業</t>
        </is>
      </c>
      <c r="L833" t="inlineStr">
        <is>
          <t>23:43:55</t>
        </is>
      </c>
      <c r="M833" t="inlineStr">
        <is>
          <t>23:44:20</t>
        </is>
      </c>
      <c r="R833" t="inlineStr">
        <is>
          <t>○</t>
        </is>
      </c>
    </row>
    <row r="834" ht="15" customHeight="1" s="37">
      <c r="A834" t="n">
        <v>13</v>
      </c>
      <c r="B834" s="10" t="inlineStr">
        <is>
          <t>休日</t>
        </is>
      </c>
      <c r="C834" s="10" t="inlineStr">
        <is>
          <t>本線</t>
        </is>
      </c>
      <c r="D834" s="10" t="inlineStr">
        <is>
          <t>上り</t>
        </is>
      </c>
      <c r="E834" t="inlineStr">
        <is>
          <t>2306</t>
        </is>
      </c>
      <c r="F834" t="inlineStr">
        <is>
          <t>0225</t>
        </is>
      </c>
      <c r="G834" s="10" t="inlineStr">
        <is>
          <t>山ノ内</t>
        </is>
      </c>
      <c r="H834" s="10" t="inlineStr">
        <is>
          <t>発</t>
        </is>
      </c>
      <c r="J834" s="10" t="inlineStr">
        <is>
          <t>営業</t>
        </is>
      </c>
      <c r="L834" t="inlineStr">
        <is>
          <t>23:46:10</t>
        </is>
      </c>
      <c r="M834" t="inlineStr">
        <is>
          <t>23:46:35</t>
        </is>
      </c>
      <c r="R834" t="inlineStr">
        <is>
          <t>○</t>
        </is>
      </c>
    </row>
    <row r="835" ht="15" customHeight="1" s="37">
      <c r="A835" t="n">
        <v>13</v>
      </c>
      <c r="B835" s="10" t="inlineStr">
        <is>
          <t>休日</t>
        </is>
      </c>
      <c r="C835" s="10" t="inlineStr">
        <is>
          <t>本線</t>
        </is>
      </c>
      <c r="D835" s="10" t="inlineStr">
        <is>
          <t>上り</t>
        </is>
      </c>
      <c r="E835" t="inlineStr">
        <is>
          <t>2306</t>
        </is>
      </c>
      <c r="F835" t="inlineStr">
        <is>
          <t>0225</t>
        </is>
      </c>
      <c r="G835" s="10" t="inlineStr">
        <is>
          <t>西大路三条</t>
        </is>
      </c>
      <c r="H835" s="10" t="inlineStr">
        <is>
          <t>発</t>
        </is>
      </c>
      <c r="J835" s="10" t="inlineStr">
        <is>
          <t>営業</t>
        </is>
      </c>
      <c r="L835" t="inlineStr">
        <is>
          <t>23:48:25</t>
        </is>
      </c>
      <c r="M835" t="inlineStr">
        <is>
          <t>23:48:40</t>
        </is>
      </c>
      <c r="R835" t="inlineStr">
        <is>
          <t>○</t>
        </is>
      </c>
    </row>
    <row r="836" ht="15" customHeight="1" s="37">
      <c r="A836" t="n">
        <v>13</v>
      </c>
      <c r="B836" s="10" t="inlineStr">
        <is>
          <t>休日</t>
        </is>
      </c>
      <c r="C836" s="10" t="inlineStr">
        <is>
          <t>本線</t>
        </is>
      </c>
      <c r="D836" s="10" t="inlineStr">
        <is>
          <t>上り</t>
        </is>
      </c>
      <c r="E836" t="inlineStr">
        <is>
          <t>2306</t>
        </is>
      </c>
      <c r="F836" t="inlineStr">
        <is>
          <t>0225</t>
        </is>
      </c>
      <c r="G836" s="10" t="inlineStr">
        <is>
          <t>西院</t>
        </is>
      </c>
      <c r="H836" s="10" t="inlineStr">
        <is>
          <t>着</t>
        </is>
      </c>
      <c r="J836" s="10" t="inlineStr">
        <is>
          <t>営業</t>
        </is>
      </c>
      <c r="L836" t="inlineStr">
        <is>
          <t>23:50:35</t>
        </is>
      </c>
      <c r="R836" t="inlineStr">
        <is>
          <t>○</t>
        </is>
      </c>
      <c r="T836" t="inlineStr">
        <is>
          <t>○</t>
        </is>
      </c>
    </row>
    <row r="837" ht="15" customHeight="1" s="37">
      <c r="A837" t="n">
        <v>13</v>
      </c>
      <c r="B837" s="10" t="inlineStr">
        <is>
          <t>休日</t>
        </is>
      </c>
      <c r="C837" s="10" t="inlineStr">
        <is>
          <t>本線</t>
        </is>
      </c>
      <c r="D837" s="10" t="inlineStr">
        <is>
          <t>下り</t>
        </is>
      </c>
      <c r="E837" s="10" t="inlineStr">
        <is>
          <t>回2171</t>
        </is>
      </c>
      <c r="F837" s="10" t="inlineStr">
        <is>
          <t>回送</t>
        </is>
      </c>
      <c r="G837" s="10" t="inlineStr">
        <is>
          <t>四条大宮</t>
        </is>
      </c>
      <c r="H837" s="10" t="inlineStr">
        <is>
          <t>発</t>
        </is>
      </c>
      <c r="J837" s="10" t="inlineStr">
        <is>
          <t>回送</t>
        </is>
      </c>
      <c r="M837" t="inlineStr">
        <is>
          <t>21:41:00</t>
        </is>
      </c>
      <c r="O837" t="inlineStr">
        <is>
          <t>返却:四大金庫(金庫2・納金袋1) 12系統担当 回2171で西院21:43入庫</t>
        </is>
      </c>
      <c r="Q837" t="inlineStr">
        <is>
          <t>1</t>
        </is>
      </c>
    </row>
    <row r="838" ht="15" customHeight="1" s="37">
      <c r="A838" t="n">
        <v>13</v>
      </c>
      <c r="B838" s="10" t="inlineStr">
        <is>
          <t>休日</t>
        </is>
      </c>
      <c r="C838" s="10" t="inlineStr">
        <is>
          <t>本線</t>
        </is>
      </c>
      <c r="D838" s="10" t="inlineStr">
        <is>
          <t>下り</t>
        </is>
      </c>
      <c r="E838" s="10" t="inlineStr">
        <is>
          <t>回2171</t>
        </is>
      </c>
      <c r="F838" s="10" t="inlineStr">
        <is>
          <t>回送</t>
        </is>
      </c>
      <c r="G838" s="10" t="inlineStr">
        <is>
          <t>西院</t>
        </is>
      </c>
      <c r="H838" s="10" t="inlineStr">
        <is>
          <t>着</t>
        </is>
      </c>
      <c r="J838" s="10" t="inlineStr">
        <is>
          <t>回送</t>
        </is>
      </c>
      <c r="L838" t="inlineStr">
        <is>
          <t>21:43:50</t>
        </is>
      </c>
      <c r="O838" t="inlineStr">
        <is>
          <t>返却:四大金庫(金庫2・納金袋1) 12系統担当 回2171で西院21:43入庫</t>
        </is>
      </c>
    </row>
    <row r="839" ht="15" customHeight="1" s="37">
      <c r="A839" t="n">
        <v>13</v>
      </c>
      <c r="B839" s="10" t="inlineStr">
        <is>
          <t>休日</t>
        </is>
      </c>
      <c r="C839" s="10" t="inlineStr">
        <is>
          <t>本線</t>
        </is>
      </c>
      <c r="D839" s="10" t="inlineStr">
        <is>
          <t>下り</t>
        </is>
      </c>
      <c r="E839" s="10" t="inlineStr">
        <is>
          <t>連1505</t>
        </is>
      </c>
      <c r="F839" t="inlineStr">
        <is>
          <t>0112</t>
        </is>
      </c>
      <c r="G839" s="10" t="inlineStr">
        <is>
          <t>西院</t>
        </is>
      </c>
      <c r="H839" s="10" t="inlineStr">
        <is>
          <t>発</t>
        </is>
      </c>
      <c r="J839" s="10" t="inlineStr">
        <is>
          <t>営業</t>
        </is>
      </c>
      <c r="L839" t="inlineStr">
        <is>
          <t>15:25:50</t>
        </is>
      </c>
      <c r="M839" t="inlineStr">
        <is>
          <t>15:26:20</t>
        </is>
      </c>
      <c r="P839" t="inlineStr">
        <is>
          <t>C系統(終日)</t>
        </is>
      </c>
    </row>
    <row r="840" ht="15" customHeight="1" s="37">
      <c r="A840" t="n">
        <v>13</v>
      </c>
      <c r="B840" s="10" t="inlineStr">
        <is>
          <t>休日</t>
        </is>
      </c>
      <c r="C840" s="10" t="inlineStr">
        <is>
          <t>本線</t>
        </is>
      </c>
      <c r="D840" s="10" t="inlineStr">
        <is>
          <t>下り</t>
        </is>
      </c>
      <c r="E840" s="10" t="inlineStr">
        <is>
          <t>連1505</t>
        </is>
      </c>
      <c r="F840" t="inlineStr">
        <is>
          <t>0112</t>
        </is>
      </c>
      <c r="G840" s="10" t="inlineStr">
        <is>
          <t>西大路三条</t>
        </is>
      </c>
      <c r="H840" s="10" t="inlineStr">
        <is>
          <t>発</t>
        </is>
      </c>
      <c r="J840" s="10" t="inlineStr">
        <is>
          <t>営業</t>
        </is>
      </c>
      <c r="L840" t="inlineStr">
        <is>
          <t>15:28:10</t>
        </is>
      </c>
      <c r="M840" t="inlineStr">
        <is>
          <t>15:28:30</t>
        </is>
      </c>
      <c r="P840" t="inlineStr">
        <is>
          <t>C系統(終日)</t>
        </is>
      </c>
    </row>
    <row r="841" ht="15" customHeight="1" s="37">
      <c r="A841" t="n">
        <v>13</v>
      </c>
      <c r="B841" s="10" t="inlineStr">
        <is>
          <t>休日</t>
        </is>
      </c>
      <c r="C841" s="10" t="inlineStr">
        <is>
          <t>本線</t>
        </is>
      </c>
      <c r="D841" s="10" t="inlineStr">
        <is>
          <t>下り</t>
        </is>
      </c>
      <c r="E841" s="10" t="inlineStr">
        <is>
          <t>連1505</t>
        </is>
      </c>
      <c r="F841" t="inlineStr">
        <is>
          <t>0112</t>
        </is>
      </c>
      <c r="G841" s="10" t="inlineStr">
        <is>
          <t>山ノ内</t>
        </is>
      </c>
      <c r="H841" s="10" t="inlineStr">
        <is>
          <t>発</t>
        </is>
      </c>
      <c r="J841" s="10" t="inlineStr">
        <is>
          <t>営業</t>
        </is>
      </c>
      <c r="L841" t="inlineStr">
        <is>
          <t>15:30:25</t>
        </is>
      </c>
      <c r="M841" t="inlineStr">
        <is>
          <t>15:30:50</t>
        </is>
      </c>
      <c r="P841" t="inlineStr">
        <is>
          <t>C系統(終日)</t>
        </is>
      </c>
    </row>
    <row r="842" ht="15" customHeight="1" s="37">
      <c r="A842" t="n">
        <v>13</v>
      </c>
      <c r="B842" s="10" t="inlineStr">
        <is>
          <t>休日</t>
        </is>
      </c>
      <c r="C842" s="10" t="inlineStr">
        <is>
          <t>本線</t>
        </is>
      </c>
      <c r="D842" s="10" t="inlineStr">
        <is>
          <t>下り</t>
        </is>
      </c>
      <c r="E842" s="10" t="inlineStr">
        <is>
          <t>連1505</t>
        </is>
      </c>
      <c r="F842" t="inlineStr">
        <is>
          <t>0112</t>
        </is>
      </c>
      <c r="G842" s="10" t="inlineStr">
        <is>
          <t>天神川</t>
        </is>
      </c>
      <c r="H842" s="10" t="inlineStr">
        <is>
          <t>発</t>
        </is>
      </c>
      <c r="J842" s="10" t="inlineStr">
        <is>
          <t>営業</t>
        </is>
      </c>
      <c r="L842" t="inlineStr">
        <is>
          <t>15:32:50</t>
        </is>
      </c>
      <c r="M842" t="inlineStr">
        <is>
          <t>15:33:30</t>
        </is>
      </c>
      <c r="P842" t="inlineStr">
        <is>
          <t>C系統(終日)</t>
        </is>
      </c>
    </row>
    <row r="843" ht="15" customHeight="1" s="37">
      <c r="A843" t="n">
        <v>13</v>
      </c>
      <c r="B843" s="10" t="inlineStr">
        <is>
          <t>休日</t>
        </is>
      </c>
      <c r="C843" s="10" t="inlineStr">
        <is>
          <t>本線</t>
        </is>
      </c>
      <c r="D843" s="10" t="inlineStr">
        <is>
          <t>下り</t>
        </is>
      </c>
      <c r="E843" s="10" t="inlineStr">
        <is>
          <t>連1505</t>
        </is>
      </c>
      <c r="F843" t="inlineStr">
        <is>
          <t>0112</t>
        </is>
      </c>
      <c r="G843" s="10" t="inlineStr">
        <is>
          <t>蚕ノ社</t>
        </is>
      </c>
      <c r="H843" s="10" t="inlineStr">
        <is>
          <t>発</t>
        </is>
      </c>
      <c r="J843" s="10" t="inlineStr">
        <is>
          <t>営業</t>
        </is>
      </c>
      <c r="L843" t="inlineStr">
        <is>
          <t>15:34:20</t>
        </is>
      </c>
      <c r="M843" t="inlineStr">
        <is>
          <t>15:34:40</t>
        </is>
      </c>
      <c r="P843" t="inlineStr">
        <is>
          <t>C系統(終日)</t>
        </is>
      </c>
    </row>
    <row r="844" ht="15" customHeight="1" s="37">
      <c r="A844" t="n">
        <v>13</v>
      </c>
      <c r="B844" s="10" t="inlineStr">
        <is>
          <t>休日</t>
        </is>
      </c>
      <c r="C844" s="10" t="inlineStr">
        <is>
          <t>本線</t>
        </is>
      </c>
      <c r="D844" s="10" t="inlineStr">
        <is>
          <t>下り</t>
        </is>
      </c>
      <c r="E844" s="10" t="inlineStr">
        <is>
          <t>連1505</t>
        </is>
      </c>
      <c r="F844" t="inlineStr">
        <is>
          <t>0112</t>
        </is>
      </c>
      <c r="G844" s="10" t="inlineStr">
        <is>
          <t>太秦広隆寺</t>
        </is>
      </c>
      <c r="H844" s="10" t="inlineStr">
        <is>
          <t>発</t>
        </is>
      </c>
      <c r="J844" s="10" t="inlineStr">
        <is>
          <t>営業</t>
        </is>
      </c>
      <c r="L844" t="inlineStr">
        <is>
          <t>15:36:00</t>
        </is>
      </c>
      <c r="M844" t="inlineStr">
        <is>
          <t>15:36:20</t>
        </is>
      </c>
      <c r="P844" t="inlineStr">
        <is>
          <t>C系統(終日)</t>
        </is>
      </c>
    </row>
    <row r="845" ht="15" customHeight="1" s="37">
      <c r="A845" t="n">
        <v>13</v>
      </c>
      <c r="B845" s="10" t="inlineStr">
        <is>
          <t>休日</t>
        </is>
      </c>
      <c r="C845" s="10" t="inlineStr">
        <is>
          <t>本線</t>
        </is>
      </c>
      <c r="D845" s="10" t="inlineStr">
        <is>
          <t>下り</t>
        </is>
      </c>
      <c r="E845" s="10" t="inlineStr">
        <is>
          <t>連1505</t>
        </is>
      </c>
      <c r="F845" t="inlineStr">
        <is>
          <t>0112</t>
        </is>
      </c>
      <c r="G845" s="10" t="inlineStr">
        <is>
          <t>帷子ノ辻</t>
        </is>
      </c>
      <c r="H845" s="10" t="inlineStr">
        <is>
          <t>発</t>
        </is>
      </c>
      <c r="J845" s="10" t="inlineStr">
        <is>
          <t>営業</t>
        </is>
      </c>
      <c r="L845" t="inlineStr">
        <is>
          <t>15:38:20</t>
        </is>
      </c>
      <c r="M845" t="inlineStr">
        <is>
          <t>15:39:40</t>
        </is>
      </c>
      <c r="P845" t="inlineStr">
        <is>
          <t>C系統(終日)</t>
        </is>
      </c>
    </row>
    <row r="846" ht="15" customHeight="1" s="37">
      <c r="A846" t="n">
        <v>13</v>
      </c>
      <c r="B846" s="10" t="inlineStr">
        <is>
          <t>休日</t>
        </is>
      </c>
      <c r="C846" s="10" t="inlineStr">
        <is>
          <t>本線</t>
        </is>
      </c>
      <c r="D846" s="10" t="inlineStr">
        <is>
          <t>下り</t>
        </is>
      </c>
      <c r="E846" s="10" t="inlineStr">
        <is>
          <t>連1505</t>
        </is>
      </c>
      <c r="F846" t="inlineStr">
        <is>
          <t>0112</t>
        </is>
      </c>
      <c r="G846" s="10" t="inlineStr">
        <is>
          <t>有栖川</t>
        </is>
      </c>
      <c r="H846" s="10" t="inlineStr">
        <is>
          <t>発</t>
        </is>
      </c>
      <c r="J846" s="10" t="inlineStr">
        <is>
          <t>営業</t>
        </is>
      </c>
      <c r="L846" t="inlineStr">
        <is>
          <t>15:40:50</t>
        </is>
      </c>
      <c r="M846" t="inlineStr">
        <is>
          <t>15:41:15</t>
        </is>
      </c>
      <c r="P846" t="inlineStr">
        <is>
          <t>C系統(終日)</t>
        </is>
      </c>
    </row>
    <row r="847" ht="15" customHeight="1" s="37">
      <c r="A847" t="n">
        <v>13</v>
      </c>
      <c r="B847" s="10" t="inlineStr">
        <is>
          <t>休日</t>
        </is>
      </c>
      <c r="C847" s="10" t="inlineStr">
        <is>
          <t>本線</t>
        </is>
      </c>
      <c r="D847" s="10" t="inlineStr">
        <is>
          <t>下り</t>
        </is>
      </c>
      <c r="E847" s="10" t="inlineStr">
        <is>
          <t>連1505</t>
        </is>
      </c>
      <c r="F847" t="inlineStr">
        <is>
          <t>0112</t>
        </is>
      </c>
      <c r="G847" s="10" t="inlineStr">
        <is>
          <t>車折</t>
        </is>
      </c>
      <c r="H847" s="10" t="inlineStr">
        <is>
          <t>発</t>
        </is>
      </c>
      <c r="J847" s="10" t="inlineStr">
        <is>
          <t>営業</t>
        </is>
      </c>
      <c r="L847" t="inlineStr">
        <is>
          <t>15:42:40</t>
        </is>
      </c>
      <c r="M847" t="inlineStr">
        <is>
          <t>15:43:05</t>
        </is>
      </c>
      <c r="P847" t="inlineStr">
        <is>
          <t>C系統(終日)</t>
        </is>
      </c>
    </row>
    <row r="848" ht="15" customHeight="1" s="37">
      <c r="A848" t="n">
        <v>13</v>
      </c>
      <c r="B848" s="10" t="inlineStr">
        <is>
          <t>休日</t>
        </is>
      </c>
      <c r="C848" s="10" t="inlineStr">
        <is>
          <t>本線</t>
        </is>
      </c>
      <c r="D848" s="10" t="inlineStr">
        <is>
          <t>下り</t>
        </is>
      </c>
      <c r="E848" s="10" t="inlineStr">
        <is>
          <t>連1505</t>
        </is>
      </c>
      <c r="F848" t="inlineStr">
        <is>
          <t>0112</t>
        </is>
      </c>
      <c r="G848" s="10" t="inlineStr">
        <is>
          <t>鹿王院</t>
        </is>
      </c>
      <c r="H848" s="10" t="inlineStr">
        <is>
          <t>発</t>
        </is>
      </c>
      <c r="J848" s="10" t="inlineStr">
        <is>
          <t>営業</t>
        </is>
      </c>
      <c r="L848" t="inlineStr">
        <is>
          <t>15:44:00</t>
        </is>
      </c>
      <c r="M848" t="inlineStr">
        <is>
          <t>15:44:25</t>
        </is>
      </c>
      <c r="P848" t="inlineStr">
        <is>
          <t>C系統(終日)</t>
        </is>
      </c>
    </row>
    <row r="849" ht="15" customHeight="1" s="37">
      <c r="A849" t="n">
        <v>13</v>
      </c>
      <c r="B849" s="10" t="inlineStr">
        <is>
          <t>休日</t>
        </is>
      </c>
      <c r="C849" s="10" t="inlineStr">
        <is>
          <t>本線</t>
        </is>
      </c>
      <c r="D849" s="10" t="inlineStr">
        <is>
          <t>下り</t>
        </is>
      </c>
      <c r="E849" s="10" t="inlineStr">
        <is>
          <t>連1505</t>
        </is>
      </c>
      <c r="F849" t="inlineStr">
        <is>
          <t>0112</t>
        </is>
      </c>
      <c r="G849" s="10" t="inlineStr">
        <is>
          <t>嵯峨</t>
        </is>
      </c>
      <c r="H849" s="10" t="inlineStr">
        <is>
          <t>発</t>
        </is>
      </c>
      <c r="J849" s="10" t="inlineStr">
        <is>
          <t>営業</t>
        </is>
      </c>
      <c r="L849" t="inlineStr">
        <is>
          <t>15:45:30</t>
        </is>
      </c>
      <c r="M849" t="inlineStr">
        <is>
          <t>15:45:55</t>
        </is>
      </c>
      <c r="P849" t="inlineStr">
        <is>
          <t>C系統(終日)</t>
        </is>
      </c>
    </row>
    <row r="850" ht="15" customHeight="1" s="37">
      <c r="A850" t="n">
        <v>13</v>
      </c>
      <c r="B850" s="10" t="inlineStr">
        <is>
          <t>休日</t>
        </is>
      </c>
      <c r="C850" s="10" t="inlineStr">
        <is>
          <t>本線</t>
        </is>
      </c>
      <c r="D850" s="10" t="inlineStr">
        <is>
          <t>下り</t>
        </is>
      </c>
      <c r="E850" s="10" t="inlineStr">
        <is>
          <t>連1505</t>
        </is>
      </c>
      <c r="F850" t="inlineStr">
        <is>
          <t>0112</t>
        </is>
      </c>
      <c r="G850" s="10" t="inlineStr">
        <is>
          <t>嵐山</t>
        </is>
      </c>
      <c r="H850" s="10" t="inlineStr">
        <is>
          <t>着</t>
        </is>
      </c>
      <c r="J850" s="10" t="inlineStr">
        <is>
          <t>営業</t>
        </is>
      </c>
      <c r="L850" t="inlineStr">
        <is>
          <t>15:47:00</t>
        </is>
      </c>
      <c r="P850" t="inlineStr">
        <is>
          <t>C系統(終日)</t>
        </is>
      </c>
      <c r="Q850" t="inlineStr">
        <is>
          <t>1</t>
        </is>
      </c>
    </row>
    <row r="851" ht="15" customHeight="1" s="37">
      <c r="A851" t="n">
        <v>13</v>
      </c>
      <c r="B851" s="10" t="inlineStr">
        <is>
          <t>休日</t>
        </is>
      </c>
      <c r="C851" s="10" t="inlineStr">
        <is>
          <t>本線</t>
        </is>
      </c>
      <c r="D851" s="10" t="inlineStr">
        <is>
          <t>上り</t>
        </is>
      </c>
      <c r="E851" s="10" t="inlineStr">
        <is>
          <t>連1512</t>
        </is>
      </c>
      <c r="F851" t="inlineStr">
        <is>
          <t>2221</t>
        </is>
      </c>
      <c r="G851" s="10" t="inlineStr">
        <is>
          <t>嵐山</t>
        </is>
      </c>
      <c r="H851" s="10" t="inlineStr">
        <is>
          <t>発</t>
        </is>
      </c>
      <c r="J851" s="10" t="inlineStr">
        <is>
          <t>営業</t>
        </is>
      </c>
      <c r="M851" t="inlineStr">
        <is>
          <t>15:53:00</t>
        </is>
      </c>
      <c r="P851" t="inlineStr">
        <is>
          <t>C系統(終日)</t>
        </is>
      </c>
      <c r="Q851" t="inlineStr">
        <is>
          <t>1</t>
        </is>
      </c>
    </row>
    <row r="852" ht="15" customHeight="1" s="37">
      <c r="A852" t="n">
        <v>13</v>
      </c>
      <c r="B852" s="10" t="inlineStr">
        <is>
          <t>休日</t>
        </is>
      </c>
      <c r="C852" s="10" t="inlineStr">
        <is>
          <t>本線</t>
        </is>
      </c>
      <c r="D852" s="10" t="inlineStr">
        <is>
          <t>上り</t>
        </is>
      </c>
      <c r="E852" s="10" t="inlineStr">
        <is>
          <t>連1512</t>
        </is>
      </c>
      <c r="F852" t="inlineStr">
        <is>
          <t>2221</t>
        </is>
      </c>
      <c r="G852" s="10" t="inlineStr">
        <is>
          <t>嵯峨</t>
        </is>
      </c>
      <c r="H852" s="10" t="inlineStr">
        <is>
          <t>発</t>
        </is>
      </c>
      <c r="J852" s="10" t="inlineStr">
        <is>
          <t>営業</t>
        </is>
      </c>
      <c r="L852" t="inlineStr">
        <is>
          <t>15:53:55</t>
        </is>
      </c>
      <c r="M852" t="inlineStr">
        <is>
          <t>15:54:20</t>
        </is>
      </c>
      <c r="P852" t="inlineStr">
        <is>
          <t>C系統(終日)</t>
        </is>
      </c>
    </row>
    <row r="853" ht="15" customHeight="1" s="37">
      <c r="A853" t="n">
        <v>13</v>
      </c>
      <c r="B853" s="10" t="inlineStr">
        <is>
          <t>休日</t>
        </is>
      </c>
      <c r="C853" s="10" t="inlineStr">
        <is>
          <t>本線</t>
        </is>
      </c>
      <c r="D853" s="10" t="inlineStr">
        <is>
          <t>上り</t>
        </is>
      </c>
      <c r="E853" s="10" t="inlineStr">
        <is>
          <t>連1512</t>
        </is>
      </c>
      <c r="F853" t="inlineStr">
        <is>
          <t>2221</t>
        </is>
      </c>
      <c r="G853" s="10" t="inlineStr">
        <is>
          <t>鹿王院</t>
        </is>
      </c>
      <c r="H853" s="10" t="inlineStr">
        <is>
          <t>発</t>
        </is>
      </c>
      <c r="J853" s="10" t="inlineStr">
        <is>
          <t>営業</t>
        </is>
      </c>
      <c r="L853" t="inlineStr">
        <is>
          <t>15:55:25</t>
        </is>
      </c>
      <c r="M853" t="inlineStr">
        <is>
          <t>15:55:45</t>
        </is>
      </c>
      <c r="P853" t="inlineStr">
        <is>
          <t>C系統(終日)</t>
        </is>
      </c>
    </row>
    <row r="854" ht="15" customHeight="1" s="37">
      <c r="A854" t="n">
        <v>13</v>
      </c>
      <c r="B854" s="10" t="inlineStr">
        <is>
          <t>休日</t>
        </is>
      </c>
      <c r="C854" s="10" t="inlineStr">
        <is>
          <t>本線</t>
        </is>
      </c>
      <c r="D854" s="10" t="inlineStr">
        <is>
          <t>上り</t>
        </is>
      </c>
      <c r="E854" s="10" t="inlineStr">
        <is>
          <t>連1512</t>
        </is>
      </c>
      <c r="F854" t="inlineStr">
        <is>
          <t>2221</t>
        </is>
      </c>
      <c r="G854" s="10" t="inlineStr">
        <is>
          <t>車折</t>
        </is>
      </c>
      <c r="H854" s="10" t="inlineStr">
        <is>
          <t>発</t>
        </is>
      </c>
      <c r="J854" s="10" t="inlineStr">
        <is>
          <t>営業</t>
        </is>
      </c>
      <c r="L854" t="inlineStr">
        <is>
          <t>15:56:40</t>
        </is>
      </c>
      <c r="M854" t="inlineStr">
        <is>
          <t>15:57:10</t>
        </is>
      </c>
      <c r="P854" t="inlineStr">
        <is>
          <t>C系統(終日)</t>
        </is>
      </c>
    </row>
    <row r="855" ht="15" customHeight="1" s="37">
      <c r="A855" t="n">
        <v>13</v>
      </c>
      <c r="B855" s="10" t="inlineStr">
        <is>
          <t>休日</t>
        </is>
      </c>
      <c r="C855" s="10" t="inlineStr">
        <is>
          <t>本線</t>
        </is>
      </c>
      <c r="D855" s="10" t="inlineStr">
        <is>
          <t>上り</t>
        </is>
      </c>
      <c r="E855" s="10" t="inlineStr">
        <is>
          <t>連1512</t>
        </is>
      </c>
      <c r="F855" t="inlineStr">
        <is>
          <t>2221</t>
        </is>
      </c>
      <c r="G855" s="10" t="inlineStr">
        <is>
          <t>有栖川</t>
        </is>
      </c>
      <c r="H855" s="10" t="inlineStr">
        <is>
          <t>発</t>
        </is>
      </c>
      <c r="J855" s="10" t="inlineStr">
        <is>
          <t>営業</t>
        </is>
      </c>
      <c r="L855" t="inlineStr">
        <is>
          <t>15:58:35</t>
        </is>
      </c>
      <c r="M855" t="inlineStr">
        <is>
          <t>15:58:55</t>
        </is>
      </c>
      <c r="P855" t="inlineStr">
        <is>
          <t>C系統(終日)</t>
        </is>
      </c>
    </row>
    <row r="856" ht="15" customHeight="1" s="37">
      <c r="A856" t="n">
        <v>13</v>
      </c>
      <c r="B856" s="10" t="inlineStr">
        <is>
          <t>休日</t>
        </is>
      </c>
      <c r="C856" s="10" t="inlineStr">
        <is>
          <t>本線</t>
        </is>
      </c>
      <c r="D856" s="10" t="inlineStr">
        <is>
          <t>上り</t>
        </is>
      </c>
      <c r="E856" s="10" t="inlineStr">
        <is>
          <t>連1512</t>
        </is>
      </c>
      <c r="F856" t="inlineStr">
        <is>
          <t>2221</t>
        </is>
      </c>
      <c r="G856" s="10" t="inlineStr">
        <is>
          <t>帷子ノ辻</t>
        </is>
      </c>
      <c r="H856" s="10" t="inlineStr">
        <is>
          <t>発</t>
        </is>
      </c>
      <c r="J856" s="10" t="inlineStr">
        <is>
          <t>営業</t>
        </is>
      </c>
      <c r="L856" t="inlineStr">
        <is>
          <t>16:00:10</t>
        </is>
      </c>
      <c r="M856" t="inlineStr">
        <is>
          <t>16:01:15</t>
        </is>
      </c>
      <c r="P856" t="inlineStr">
        <is>
          <t>C系統(終日)</t>
        </is>
      </c>
    </row>
    <row r="857" ht="15" customHeight="1" s="37">
      <c r="A857" t="n">
        <v>13</v>
      </c>
      <c r="B857" s="10" t="inlineStr">
        <is>
          <t>休日</t>
        </is>
      </c>
      <c r="C857" s="10" t="inlineStr">
        <is>
          <t>本線</t>
        </is>
      </c>
      <c r="D857" s="10" t="inlineStr">
        <is>
          <t>上り</t>
        </is>
      </c>
      <c r="E857" s="10" t="inlineStr">
        <is>
          <t>連1512</t>
        </is>
      </c>
      <c r="F857" t="inlineStr">
        <is>
          <t>2221</t>
        </is>
      </c>
      <c r="G857" s="10" t="inlineStr">
        <is>
          <t>太秦広隆寺</t>
        </is>
      </c>
      <c r="H857" s="10" t="inlineStr">
        <is>
          <t>発</t>
        </is>
      </c>
      <c r="J857" s="10" t="inlineStr">
        <is>
          <t>営業</t>
        </is>
      </c>
      <c r="L857" t="inlineStr">
        <is>
          <t>16:03:25</t>
        </is>
      </c>
      <c r="M857" t="inlineStr">
        <is>
          <t>16:03:45</t>
        </is>
      </c>
      <c r="P857" t="inlineStr">
        <is>
          <t>C系統(終日)</t>
        </is>
      </c>
    </row>
    <row r="858" ht="15" customHeight="1" s="37">
      <c r="A858" t="n">
        <v>13</v>
      </c>
      <c r="B858" s="10" t="inlineStr">
        <is>
          <t>休日</t>
        </is>
      </c>
      <c r="C858" s="10" t="inlineStr">
        <is>
          <t>本線</t>
        </is>
      </c>
      <c r="D858" s="10" t="inlineStr">
        <is>
          <t>上り</t>
        </is>
      </c>
      <c r="E858" s="10" t="inlineStr">
        <is>
          <t>連1512</t>
        </is>
      </c>
      <c r="F858" t="inlineStr">
        <is>
          <t>2221</t>
        </is>
      </c>
      <c r="G858" s="10" t="inlineStr">
        <is>
          <t>蚕ノ社</t>
        </is>
      </c>
      <c r="H858" s="10" t="inlineStr">
        <is>
          <t>発</t>
        </is>
      </c>
      <c r="J858" s="10" t="inlineStr">
        <is>
          <t>営業</t>
        </is>
      </c>
      <c r="L858" t="inlineStr">
        <is>
          <t>16:05:00</t>
        </is>
      </c>
      <c r="M858" t="inlineStr">
        <is>
          <t>16:05:20</t>
        </is>
      </c>
      <c r="P858" t="inlineStr">
        <is>
          <t>C系統(終日)</t>
        </is>
      </c>
    </row>
    <row r="859" ht="15" customHeight="1" s="37">
      <c r="A859" t="n">
        <v>13</v>
      </c>
      <c r="B859" s="10" t="inlineStr">
        <is>
          <t>休日</t>
        </is>
      </c>
      <c r="C859" s="10" t="inlineStr">
        <is>
          <t>本線</t>
        </is>
      </c>
      <c r="D859" s="10" t="inlineStr">
        <is>
          <t>上り</t>
        </is>
      </c>
      <c r="E859" s="10" t="inlineStr">
        <is>
          <t>連1512</t>
        </is>
      </c>
      <c r="F859" t="inlineStr">
        <is>
          <t>2221</t>
        </is>
      </c>
      <c r="G859" s="10" t="inlineStr">
        <is>
          <t>天神川</t>
        </is>
      </c>
      <c r="H859" s="10" t="inlineStr">
        <is>
          <t>発</t>
        </is>
      </c>
      <c r="J859" s="10" t="inlineStr">
        <is>
          <t>営業</t>
        </is>
      </c>
      <c r="L859" t="inlineStr">
        <is>
          <t>16:06:05</t>
        </is>
      </c>
      <c r="M859" t="inlineStr">
        <is>
          <t>16:06:50</t>
        </is>
      </c>
      <c r="P859" t="inlineStr">
        <is>
          <t>C系統(終日)</t>
        </is>
      </c>
    </row>
    <row r="860" ht="15" customHeight="1" s="37">
      <c r="A860" t="n">
        <v>13</v>
      </c>
      <c r="B860" s="10" t="inlineStr">
        <is>
          <t>休日</t>
        </is>
      </c>
      <c r="C860" s="10" t="inlineStr">
        <is>
          <t>本線</t>
        </is>
      </c>
      <c r="D860" s="10" t="inlineStr">
        <is>
          <t>上り</t>
        </is>
      </c>
      <c r="E860" s="10" t="inlineStr">
        <is>
          <t>連1512</t>
        </is>
      </c>
      <c r="F860" t="inlineStr">
        <is>
          <t>2221</t>
        </is>
      </c>
      <c r="G860" s="10" t="inlineStr">
        <is>
          <t>山ノ内</t>
        </is>
      </c>
      <c r="H860" s="10" t="inlineStr">
        <is>
          <t>発</t>
        </is>
      </c>
      <c r="J860" s="10" t="inlineStr">
        <is>
          <t>営業</t>
        </is>
      </c>
      <c r="L860" t="inlineStr">
        <is>
          <t>16:08:40</t>
        </is>
      </c>
      <c r="M860" t="inlineStr">
        <is>
          <t>16:09:05</t>
        </is>
      </c>
      <c r="P860" t="inlineStr">
        <is>
          <t>C系統(終日)</t>
        </is>
      </c>
    </row>
    <row r="861" ht="15" customHeight="1" s="37">
      <c r="A861" t="n">
        <v>13</v>
      </c>
      <c r="B861" s="10" t="inlineStr">
        <is>
          <t>休日</t>
        </is>
      </c>
      <c r="C861" s="10" t="inlineStr">
        <is>
          <t>本線</t>
        </is>
      </c>
      <c r="D861" s="10" t="inlineStr">
        <is>
          <t>上り</t>
        </is>
      </c>
      <c r="E861" s="10" t="inlineStr">
        <is>
          <t>連1512</t>
        </is>
      </c>
      <c r="F861" t="inlineStr">
        <is>
          <t>2221</t>
        </is>
      </c>
      <c r="G861" s="10" t="inlineStr">
        <is>
          <t>西大路三条</t>
        </is>
      </c>
      <c r="H861" s="10" t="inlineStr">
        <is>
          <t>発</t>
        </is>
      </c>
      <c r="J861" s="10" t="inlineStr">
        <is>
          <t>営業</t>
        </is>
      </c>
      <c r="L861" t="inlineStr">
        <is>
          <t>16:10:55</t>
        </is>
      </c>
      <c r="M861" t="inlineStr">
        <is>
          <t>16:11:15</t>
        </is>
      </c>
      <c r="P861" t="inlineStr">
        <is>
          <t>C系統(終日)</t>
        </is>
      </c>
    </row>
    <row r="862" ht="15" customHeight="1" s="37">
      <c r="A862" t="n">
        <v>13</v>
      </c>
      <c r="B862" s="10" t="inlineStr">
        <is>
          <t>休日</t>
        </is>
      </c>
      <c r="C862" s="10" t="inlineStr">
        <is>
          <t>本線</t>
        </is>
      </c>
      <c r="D862" s="10" t="inlineStr">
        <is>
          <t>上り</t>
        </is>
      </c>
      <c r="E862" s="10" t="inlineStr">
        <is>
          <t>連1512</t>
        </is>
      </c>
      <c r="F862" t="inlineStr">
        <is>
          <t>2221</t>
        </is>
      </c>
      <c r="G862" s="10" t="inlineStr">
        <is>
          <t>西院</t>
        </is>
      </c>
      <c r="H862" s="10" t="inlineStr">
        <is>
          <t>発</t>
        </is>
      </c>
      <c r="J862" s="10" t="inlineStr">
        <is>
          <t>営業</t>
        </is>
      </c>
      <c r="L862" t="inlineStr">
        <is>
          <t>16:13:10</t>
        </is>
      </c>
      <c r="M862" t="inlineStr">
        <is>
          <t>16:14:05</t>
        </is>
      </c>
      <c r="P862" t="inlineStr">
        <is>
          <t>C系統(終日)</t>
        </is>
      </c>
    </row>
    <row r="863" ht="15" customHeight="1" s="37">
      <c r="A863" t="n">
        <v>13</v>
      </c>
      <c r="B863" s="10" t="inlineStr">
        <is>
          <t>休日</t>
        </is>
      </c>
      <c r="C863" s="10" t="inlineStr">
        <is>
          <t>本線</t>
        </is>
      </c>
      <c r="D863" s="10" t="inlineStr">
        <is>
          <t>上り</t>
        </is>
      </c>
      <c r="E863" s="10" t="inlineStr">
        <is>
          <t>連1512</t>
        </is>
      </c>
      <c r="F863" t="inlineStr">
        <is>
          <t>2221</t>
        </is>
      </c>
      <c r="G863" s="10" t="inlineStr">
        <is>
          <t>四条大宮</t>
        </is>
      </c>
      <c r="H863" s="10" t="inlineStr">
        <is>
          <t>着</t>
        </is>
      </c>
      <c r="J863" s="10" t="inlineStr">
        <is>
          <t>営業</t>
        </is>
      </c>
      <c r="L863" t="inlineStr">
        <is>
          <t>16:17:00</t>
        </is>
      </c>
      <c r="P863" t="inlineStr">
        <is>
          <t>C系統(終日)</t>
        </is>
      </c>
      <c r="Q863" t="inlineStr">
        <is>
          <t>1</t>
        </is>
      </c>
    </row>
    <row r="864" ht="15" customHeight="1" s="37">
      <c r="A864" t="n">
        <v>13</v>
      </c>
      <c r="B864" s="10" t="inlineStr">
        <is>
          <t>休日</t>
        </is>
      </c>
      <c r="C864" s="10" t="inlineStr">
        <is>
          <t>本線</t>
        </is>
      </c>
      <c r="D864" s="10" t="inlineStr">
        <is>
          <t>下り</t>
        </is>
      </c>
      <c r="E864" s="10" t="inlineStr">
        <is>
          <t>連1605</t>
        </is>
      </c>
      <c r="F864" t="inlineStr">
        <is>
          <t>3122</t>
        </is>
      </c>
      <c r="G864" s="10" t="inlineStr">
        <is>
          <t>四条大宮</t>
        </is>
      </c>
      <c r="H864" s="10" t="inlineStr">
        <is>
          <t>発</t>
        </is>
      </c>
      <c r="J864" s="10" t="inlineStr">
        <is>
          <t>営業</t>
        </is>
      </c>
      <c r="M864" t="inlineStr">
        <is>
          <t>16:23:00</t>
        </is>
      </c>
      <c r="P864" t="inlineStr">
        <is>
          <t>C系統(終日)</t>
        </is>
      </c>
      <c r="Q864" t="inlineStr">
        <is>
          <t>1</t>
        </is>
      </c>
    </row>
    <row r="865" ht="15" customHeight="1" s="37">
      <c r="A865" t="n">
        <v>13</v>
      </c>
      <c r="B865" s="10" t="inlineStr">
        <is>
          <t>休日</t>
        </is>
      </c>
      <c r="C865" s="10" t="inlineStr">
        <is>
          <t>本線</t>
        </is>
      </c>
      <c r="D865" s="10" t="inlineStr">
        <is>
          <t>下り</t>
        </is>
      </c>
      <c r="E865" s="10" t="inlineStr">
        <is>
          <t>連1605</t>
        </is>
      </c>
      <c r="F865" t="inlineStr">
        <is>
          <t>3122</t>
        </is>
      </c>
      <c r="G865" s="10" t="inlineStr">
        <is>
          <t>西院</t>
        </is>
      </c>
      <c r="H865" s="10" t="inlineStr">
        <is>
          <t>発</t>
        </is>
      </c>
      <c r="J865" s="10" t="inlineStr">
        <is>
          <t>営業</t>
        </is>
      </c>
      <c r="L865" t="inlineStr">
        <is>
          <t>16:25:50</t>
        </is>
      </c>
      <c r="M865" t="inlineStr">
        <is>
          <t>16:26:20</t>
        </is>
      </c>
      <c r="P865" t="inlineStr">
        <is>
          <t>C系統(終日)</t>
        </is>
      </c>
    </row>
    <row r="866" ht="15" customHeight="1" s="37">
      <c r="A866" t="n">
        <v>13</v>
      </c>
      <c r="B866" s="10" t="inlineStr">
        <is>
          <t>休日</t>
        </is>
      </c>
      <c r="C866" s="10" t="inlineStr">
        <is>
          <t>本線</t>
        </is>
      </c>
      <c r="D866" s="10" t="inlineStr">
        <is>
          <t>下り</t>
        </is>
      </c>
      <c r="E866" s="10" t="inlineStr">
        <is>
          <t>連1605</t>
        </is>
      </c>
      <c r="F866" t="inlineStr">
        <is>
          <t>3122</t>
        </is>
      </c>
      <c r="G866" s="10" t="inlineStr">
        <is>
          <t>西大路三条</t>
        </is>
      </c>
      <c r="H866" s="10" t="inlineStr">
        <is>
          <t>発</t>
        </is>
      </c>
      <c r="J866" s="10" t="inlineStr">
        <is>
          <t>営業</t>
        </is>
      </c>
      <c r="L866" t="inlineStr">
        <is>
          <t>16:28:10</t>
        </is>
      </c>
      <c r="M866" t="inlineStr">
        <is>
          <t>16:28:30</t>
        </is>
      </c>
      <c r="P866" t="inlineStr">
        <is>
          <t>C系統(終日)</t>
        </is>
      </c>
    </row>
    <row r="867" ht="15" customHeight="1" s="37">
      <c r="A867" t="n">
        <v>13</v>
      </c>
      <c r="B867" s="10" t="inlineStr">
        <is>
          <t>休日</t>
        </is>
      </c>
      <c r="C867" s="10" t="inlineStr">
        <is>
          <t>本線</t>
        </is>
      </c>
      <c r="D867" s="10" t="inlineStr">
        <is>
          <t>下り</t>
        </is>
      </c>
      <c r="E867" s="10" t="inlineStr">
        <is>
          <t>連1605</t>
        </is>
      </c>
      <c r="F867" t="inlineStr">
        <is>
          <t>3122</t>
        </is>
      </c>
      <c r="G867" s="10" t="inlineStr">
        <is>
          <t>山ノ内</t>
        </is>
      </c>
      <c r="H867" s="10" t="inlineStr">
        <is>
          <t>発</t>
        </is>
      </c>
      <c r="J867" s="10" t="inlineStr">
        <is>
          <t>営業</t>
        </is>
      </c>
      <c r="L867" t="inlineStr">
        <is>
          <t>16:30:25</t>
        </is>
      </c>
      <c r="M867" t="inlineStr">
        <is>
          <t>16:30:50</t>
        </is>
      </c>
      <c r="P867" t="inlineStr">
        <is>
          <t>C系統(終日)</t>
        </is>
      </c>
    </row>
    <row r="868" ht="15" customHeight="1" s="37">
      <c r="A868" t="n">
        <v>13</v>
      </c>
      <c r="B868" s="10" t="inlineStr">
        <is>
          <t>休日</t>
        </is>
      </c>
      <c r="C868" s="10" t="inlineStr">
        <is>
          <t>本線</t>
        </is>
      </c>
      <c r="D868" s="10" t="inlineStr">
        <is>
          <t>下り</t>
        </is>
      </c>
      <c r="E868" s="10" t="inlineStr">
        <is>
          <t>連1605</t>
        </is>
      </c>
      <c r="F868" t="inlineStr">
        <is>
          <t>3122</t>
        </is>
      </c>
      <c r="G868" s="10" t="inlineStr">
        <is>
          <t>天神川</t>
        </is>
      </c>
      <c r="H868" s="10" t="inlineStr">
        <is>
          <t>発</t>
        </is>
      </c>
      <c r="J868" s="10" t="inlineStr">
        <is>
          <t>営業</t>
        </is>
      </c>
      <c r="L868" t="inlineStr">
        <is>
          <t>16:32:50</t>
        </is>
      </c>
      <c r="M868" t="inlineStr">
        <is>
          <t>16:33:30</t>
        </is>
      </c>
      <c r="P868" t="inlineStr">
        <is>
          <t>C系統(終日)</t>
        </is>
      </c>
    </row>
    <row r="869" ht="15" customHeight="1" s="37">
      <c r="A869" t="n">
        <v>13</v>
      </c>
      <c r="B869" s="10" t="inlineStr">
        <is>
          <t>休日</t>
        </is>
      </c>
      <c r="C869" s="10" t="inlineStr">
        <is>
          <t>本線</t>
        </is>
      </c>
      <c r="D869" s="10" t="inlineStr">
        <is>
          <t>下り</t>
        </is>
      </c>
      <c r="E869" s="10" t="inlineStr">
        <is>
          <t>連1605</t>
        </is>
      </c>
      <c r="F869" t="inlineStr">
        <is>
          <t>3122</t>
        </is>
      </c>
      <c r="G869" s="10" t="inlineStr">
        <is>
          <t>蚕ノ社</t>
        </is>
      </c>
      <c r="H869" s="10" t="inlineStr">
        <is>
          <t>発</t>
        </is>
      </c>
      <c r="J869" s="10" t="inlineStr">
        <is>
          <t>営業</t>
        </is>
      </c>
      <c r="L869" t="inlineStr">
        <is>
          <t>16:34:20</t>
        </is>
      </c>
      <c r="M869" t="inlineStr">
        <is>
          <t>16:34:40</t>
        </is>
      </c>
      <c r="P869" t="inlineStr">
        <is>
          <t>C系統(終日)</t>
        </is>
      </c>
    </row>
    <row r="870" ht="15" customHeight="1" s="37">
      <c r="A870" t="n">
        <v>13</v>
      </c>
      <c r="B870" s="10" t="inlineStr">
        <is>
          <t>休日</t>
        </is>
      </c>
      <c r="C870" s="10" t="inlineStr">
        <is>
          <t>本線</t>
        </is>
      </c>
      <c r="D870" s="10" t="inlineStr">
        <is>
          <t>下り</t>
        </is>
      </c>
      <c r="E870" s="10" t="inlineStr">
        <is>
          <t>連1605</t>
        </is>
      </c>
      <c r="F870" t="inlineStr">
        <is>
          <t>3122</t>
        </is>
      </c>
      <c r="G870" s="10" t="inlineStr">
        <is>
          <t>太秦広隆寺</t>
        </is>
      </c>
      <c r="H870" s="10" t="inlineStr">
        <is>
          <t>発</t>
        </is>
      </c>
      <c r="J870" s="10" t="inlineStr">
        <is>
          <t>営業</t>
        </is>
      </c>
      <c r="L870" t="inlineStr">
        <is>
          <t>16:36:00</t>
        </is>
      </c>
      <c r="M870" t="inlineStr">
        <is>
          <t>16:36:20</t>
        </is>
      </c>
      <c r="P870" t="inlineStr">
        <is>
          <t>C系統(終日)</t>
        </is>
      </c>
    </row>
    <row r="871" ht="15" customHeight="1" s="37">
      <c r="A871" t="n">
        <v>13</v>
      </c>
      <c r="B871" s="10" t="inlineStr">
        <is>
          <t>休日</t>
        </is>
      </c>
      <c r="C871" s="10" t="inlineStr">
        <is>
          <t>本線</t>
        </is>
      </c>
      <c r="D871" s="10" t="inlineStr">
        <is>
          <t>下り</t>
        </is>
      </c>
      <c r="E871" s="10" t="inlineStr">
        <is>
          <t>連1605</t>
        </is>
      </c>
      <c r="F871" t="inlineStr">
        <is>
          <t>3122</t>
        </is>
      </c>
      <c r="G871" s="10" t="inlineStr">
        <is>
          <t>帷子ノ辻</t>
        </is>
      </c>
      <c r="H871" s="10" t="inlineStr">
        <is>
          <t>発</t>
        </is>
      </c>
      <c r="J871" s="10" t="inlineStr">
        <is>
          <t>営業</t>
        </is>
      </c>
      <c r="L871" t="inlineStr">
        <is>
          <t>16:38:20</t>
        </is>
      </c>
      <c r="M871" t="inlineStr">
        <is>
          <t>16:39:40</t>
        </is>
      </c>
      <c r="P871" t="inlineStr">
        <is>
          <t>C系統(終日)</t>
        </is>
      </c>
    </row>
    <row r="872" ht="15" customHeight="1" s="37">
      <c r="A872" t="n">
        <v>13</v>
      </c>
      <c r="B872" s="10" t="inlineStr">
        <is>
          <t>休日</t>
        </is>
      </c>
      <c r="C872" s="10" t="inlineStr">
        <is>
          <t>本線</t>
        </is>
      </c>
      <c r="D872" s="10" t="inlineStr">
        <is>
          <t>下り</t>
        </is>
      </c>
      <c r="E872" s="10" t="inlineStr">
        <is>
          <t>連1605</t>
        </is>
      </c>
      <c r="F872" t="inlineStr">
        <is>
          <t>3122</t>
        </is>
      </c>
      <c r="G872" s="10" t="inlineStr">
        <is>
          <t>有栖川</t>
        </is>
      </c>
      <c r="H872" s="10" t="inlineStr">
        <is>
          <t>発</t>
        </is>
      </c>
      <c r="J872" s="10" t="inlineStr">
        <is>
          <t>営業</t>
        </is>
      </c>
      <c r="L872" t="inlineStr">
        <is>
          <t>16:40:50</t>
        </is>
      </c>
      <c r="M872" t="inlineStr">
        <is>
          <t>16:41:15</t>
        </is>
      </c>
      <c r="P872" t="inlineStr">
        <is>
          <t>C系統(終日)</t>
        </is>
      </c>
    </row>
    <row r="873" ht="15" customHeight="1" s="37">
      <c r="A873" t="n">
        <v>13</v>
      </c>
      <c r="B873" s="10" t="inlineStr">
        <is>
          <t>休日</t>
        </is>
      </c>
      <c r="C873" s="10" t="inlineStr">
        <is>
          <t>本線</t>
        </is>
      </c>
      <c r="D873" s="10" t="inlineStr">
        <is>
          <t>下り</t>
        </is>
      </c>
      <c r="E873" s="10" t="inlineStr">
        <is>
          <t>連1605</t>
        </is>
      </c>
      <c r="F873" t="inlineStr">
        <is>
          <t>3122</t>
        </is>
      </c>
      <c r="G873" s="10" t="inlineStr">
        <is>
          <t>車折</t>
        </is>
      </c>
      <c r="H873" s="10" t="inlineStr">
        <is>
          <t>発</t>
        </is>
      </c>
      <c r="J873" s="10" t="inlineStr">
        <is>
          <t>営業</t>
        </is>
      </c>
      <c r="L873" t="inlineStr">
        <is>
          <t>16:42:40</t>
        </is>
      </c>
      <c r="M873" t="inlineStr">
        <is>
          <t>16:43:05</t>
        </is>
      </c>
      <c r="P873" t="inlineStr">
        <is>
          <t>C系統(終日)</t>
        </is>
      </c>
    </row>
    <row r="874" ht="15" customHeight="1" s="37">
      <c r="A874" t="n">
        <v>13</v>
      </c>
      <c r="B874" s="10" t="inlineStr">
        <is>
          <t>休日</t>
        </is>
      </c>
      <c r="C874" s="10" t="inlineStr">
        <is>
          <t>本線</t>
        </is>
      </c>
      <c r="D874" s="10" t="inlineStr">
        <is>
          <t>下り</t>
        </is>
      </c>
      <c r="E874" s="10" t="inlineStr">
        <is>
          <t>連1605</t>
        </is>
      </c>
      <c r="F874" t="inlineStr">
        <is>
          <t>3122</t>
        </is>
      </c>
      <c r="G874" s="10" t="inlineStr">
        <is>
          <t>鹿王院</t>
        </is>
      </c>
      <c r="H874" s="10" t="inlineStr">
        <is>
          <t>発</t>
        </is>
      </c>
      <c r="J874" s="10" t="inlineStr">
        <is>
          <t>営業</t>
        </is>
      </c>
      <c r="L874" t="inlineStr">
        <is>
          <t>16:44:00</t>
        </is>
      </c>
      <c r="M874" t="inlineStr">
        <is>
          <t>16:44:25</t>
        </is>
      </c>
      <c r="P874" t="inlineStr">
        <is>
          <t>C系統(終日)</t>
        </is>
      </c>
    </row>
    <row r="875" ht="15" customHeight="1" s="37">
      <c r="A875" t="n">
        <v>13</v>
      </c>
      <c r="B875" s="10" t="inlineStr">
        <is>
          <t>休日</t>
        </is>
      </c>
      <c r="C875" s="10" t="inlineStr">
        <is>
          <t>本線</t>
        </is>
      </c>
      <c r="D875" s="10" t="inlineStr">
        <is>
          <t>下り</t>
        </is>
      </c>
      <c r="E875" s="10" t="inlineStr">
        <is>
          <t>連1605</t>
        </is>
      </c>
      <c r="F875" t="inlineStr">
        <is>
          <t>3122</t>
        </is>
      </c>
      <c r="G875" s="10" t="inlineStr">
        <is>
          <t>嵯峨</t>
        </is>
      </c>
      <c r="H875" s="10" t="inlineStr">
        <is>
          <t>発</t>
        </is>
      </c>
      <c r="J875" s="10" t="inlineStr">
        <is>
          <t>営業</t>
        </is>
      </c>
      <c r="L875" t="inlineStr">
        <is>
          <t>16:45:30</t>
        </is>
      </c>
      <c r="M875" t="inlineStr">
        <is>
          <t>16:45:55</t>
        </is>
      </c>
      <c r="P875" t="inlineStr">
        <is>
          <t>C系統(終日)</t>
        </is>
      </c>
    </row>
    <row r="876" ht="15" customHeight="1" s="37">
      <c r="A876" t="n">
        <v>13</v>
      </c>
      <c r="B876" s="10" t="inlineStr">
        <is>
          <t>休日</t>
        </is>
      </c>
      <c r="C876" s="10" t="inlineStr">
        <is>
          <t>本線</t>
        </is>
      </c>
      <c r="D876" s="10" t="inlineStr">
        <is>
          <t>下り</t>
        </is>
      </c>
      <c r="E876" s="10" t="inlineStr">
        <is>
          <t>連1605</t>
        </is>
      </c>
      <c r="F876" t="inlineStr">
        <is>
          <t>3122</t>
        </is>
      </c>
      <c r="G876" s="10" t="inlineStr">
        <is>
          <t>嵐山</t>
        </is>
      </c>
      <c r="H876" s="10" t="inlineStr">
        <is>
          <t>着</t>
        </is>
      </c>
      <c r="J876" s="10" t="inlineStr">
        <is>
          <t>営業</t>
        </is>
      </c>
      <c r="L876" t="inlineStr">
        <is>
          <t>16:47:00</t>
        </is>
      </c>
      <c r="P876" t="inlineStr">
        <is>
          <t>C系統(終日)</t>
        </is>
      </c>
      <c r="Q876" t="inlineStr">
        <is>
          <t>1</t>
        </is>
      </c>
    </row>
    <row r="877" ht="15" customHeight="1" s="37">
      <c r="A877" t="n">
        <v>13</v>
      </c>
      <c r="B877" s="10" t="inlineStr">
        <is>
          <t>休日</t>
        </is>
      </c>
      <c r="C877" s="10" t="inlineStr">
        <is>
          <t>本線</t>
        </is>
      </c>
      <c r="D877" s="10" t="inlineStr">
        <is>
          <t>上り</t>
        </is>
      </c>
      <c r="E877" s="10" t="inlineStr">
        <is>
          <t>連1612</t>
        </is>
      </c>
      <c r="F877" t="inlineStr">
        <is>
          <t>2221</t>
        </is>
      </c>
      <c r="G877" s="10" t="inlineStr">
        <is>
          <t>嵐山</t>
        </is>
      </c>
      <c r="H877" s="10" t="inlineStr">
        <is>
          <t>発</t>
        </is>
      </c>
      <c r="J877" s="10" t="inlineStr">
        <is>
          <t>営業</t>
        </is>
      </c>
      <c r="M877" t="inlineStr">
        <is>
          <t>16:53:00</t>
        </is>
      </c>
      <c r="P877" t="inlineStr">
        <is>
          <t>C系統(終日)</t>
        </is>
      </c>
      <c r="Q877" t="inlineStr">
        <is>
          <t>1</t>
        </is>
      </c>
    </row>
    <row r="878" ht="15" customHeight="1" s="37">
      <c r="A878" t="n">
        <v>13</v>
      </c>
      <c r="B878" s="10" t="inlineStr">
        <is>
          <t>休日</t>
        </is>
      </c>
      <c r="C878" s="10" t="inlineStr">
        <is>
          <t>本線</t>
        </is>
      </c>
      <c r="D878" s="10" t="inlineStr">
        <is>
          <t>上り</t>
        </is>
      </c>
      <c r="E878" s="10" t="inlineStr">
        <is>
          <t>連1612</t>
        </is>
      </c>
      <c r="F878" t="inlineStr">
        <is>
          <t>2221</t>
        </is>
      </c>
      <c r="G878" s="10" t="inlineStr">
        <is>
          <t>嵯峨</t>
        </is>
      </c>
      <c r="H878" s="10" t="inlineStr">
        <is>
          <t>発</t>
        </is>
      </c>
      <c r="J878" s="10" t="inlineStr">
        <is>
          <t>営業</t>
        </is>
      </c>
      <c r="L878" t="inlineStr">
        <is>
          <t>16:53:55</t>
        </is>
      </c>
      <c r="M878" t="inlineStr">
        <is>
          <t>16:54:20</t>
        </is>
      </c>
      <c r="P878" t="inlineStr">
        <is>
          <t>C系統(終日)</t>
        </is>
      </c>
    </row>
    <row r="879" ht="15" customHeight="1" s="37">
      <c r="A879" t="n">
        <v>13</v>
      </c>
      <c r="B879" s="10" t="inlineStr">
        <is>
          <t>休日</t>
        </is>
      </c>
      <c r="C879" s="10" t="inlineStr">
        <is>
          <t>本線</t>
        </is>
      </c>
      <c r="D879" s="10" t="inlineStr">
        <is>
          <t>上り</t>
        </is>
      </c>
      <c r="E879" s="10" t="inlineStr">
        <is>
          <t>連1612</t>
        </is>
      </c>
      <c r="F879" t="inlineStr">
        <is>
          <t>2221</t>
        </is>
      </c>
      <c r="G879" s="10" t="inlineStr">
        <is>
          <t>鹿王院</t>
        </is>
      </c>
      <c r="H879" s="10" t="inlineStr">
        <is>
          <t>発</t>
        </is>
      </c>
      <c r="J879" s="10" t="inlineStr">
        <is>
          <t>営業</t>
        </is>
      </c>
      <c r="L879" t="inlineStr">
        <is>
          <t>16:55:25</t>
        </is>
      </c>
      <c r="M879" t="inlineStr">
        <is>
          <t>16:55:45</t>
        </is>
      </c>
      <c r="P879" t="inlineStr">
        <is>
          <t>C系統(終日)</t>
        </is>
      </c>
    </row>
    <row r="880" ht="15" customHeight="1" s="37">
      <c r="A880" t="n">
        <v>13</v>
      </c>
      <c r="B880" s="10" t="inlineStr">
        <is>
          <t>休日</t>
        </is>
      </c>
      <c r="C880" s="10" t="inlineStr">
        <is>
          <t>本線</t>
        </is>
      </c>
      <c r="D880" s="10" t="inlineStr">
        <is>
          <t>上り</t>
        </is>
      </c>
      <c r="E880" s="10" t="inlineStr">
        <is>
          <t>連1612</t>
        </is>
      </c>
      <c r="F880" t="inlineStr">
        <is>
          <t>2221</t>
        </is>
      </c>
      <c r="G880" s="10" t="inlineStr">
        <is>
          <t>車折</t>
        </is>
      </c>
      <c r="H880" s="10" t="inlineStr">
        <is>
          <t>発</t>
        </is>
      </c>
      <c r="J880" s="10" t="inlineStr">
        <is>
          <t>営業</t>
        </is>
      </c>
      <c r="L880" t="inlineStr">
        <is>
          <t>16:56:40</t>
        </is>
      </c>
      <c r="M880" t="inlineStr">
        <is>
          <t>16:57:10</t>
        </is>
      </c>
      <c r="P880" t="inlineStr">
        <is>
          <t>C系統(終日)</t>
        </is>
      </c>
    </row>
    <row r="881" ht="15" customHeight="1" s="37">
      <c r="A881" t="n">
        <v>13</v>
      </c>
      <c r="B881" s="10" t="inlineStr">
        <is>
          <t>休日</t>
        </is>
      </c>
      <c r="C881" s="10" t="inlineStr">
        <is>
          <t>本線</t>
        </is>
      </c>
      <c r="D881" s="10" t="inlineStr">
        <is>
          <t>上り</t>
        </is>
      </c>
      <c r="E881" s="10" t="inlineStr">
        <is>
          <t>連1612</t>
        </is>
      </c>
      <c r="F881" t="inlineStr">
        <is>
          <t>2221</t>
        </is>
      </c>
      <c r="G881" s="10" t="inlineStr">
        <is>
          <t>有栖川</t>
        </is>
      </c>
      <c r="H881" s="10" t="inlineStr">
        <is>
          <t>発</t>
        </is>
      </c>
      <c r="J881" s="10" t="inlineStr">
        <is>
          <t>営業</t>
        </is>
      </c>
      <c r="L881" t="inlineStr">
        <is>
          <t>16:58:35</t>
        </is>
      </c>
      <c r="M881" t="inlineStr">
        <is>
          <t>16:58:55</t>
        </is>
      </c>
      <c r="P881" t="inlineStr">
        <is>
          <t>C系統(終日)</t>
        </is>
      </c>
    </row>
    <row r="882" ht="15" customHeight="1" s="37">
      <c r="A882" t="n">
        <v>13</v>
      </c>
      <c r="B882" s="10" t="inlineStr">
        <is>
          <t>休日</t>
        </is>
      </c>
      <c r="C882" s="10" t="inlineStr">
        <is>
          <t>本線</t>
        </is>
      </c>
      <c r="D882" s="10" t="inlineStr">
        <is>
          <t>上り</t>
        </is>
      </c>
      <c r="E882" s="10" t="inlineStr">
        <is>
          <t>連1612</t>
        </is>
      </c>
      <c r="F882" t="inlineStr">
        <is>
          <t>2221</t>
        </is>
      </c>
      <c r="G882" s="10" t="inlineStr">
        <is>
          <t>帷子ノ辻</t>
        </is>
      </c>
      <c r="H882" s="10" t="inlineStr">
        <is>
          <t>発</t>
        </is>
      </c>
      <c r="J882" s="10" t="inlineStr">
        <is>
          <t>営業</t>
        </is>
      </c>
      <c r="L882" t="inlineStr">
        <is>
          <t>17:00:10</t>
        </is>
      </c>
      <c r="M882" t="inlineStr">
        <is>
          <t>17:01:15</t>
        </is>
      </c>
      <c r="P882" t="inlineStr">
        <is>
          <t>C系統(終日)</t>
        </is>
      </c>
    </row>
    <row r="883" ht="15" customHeight="1" s="37">
      <c r="A883" t="n">
        <v>13</v>
      </c>
      <c r="B883" s="10" t="inlineStr">
        <is>
          <t>休日</t>
        </is>
      </c>
      <c r="C883" s="10" t="inlineStr">
        <is>
          <t>本線</t>
        </is>
      </c>
      <c r="D883" s="10" t="inlineStr">
        <is>
          <t>上り</t>
        </is>
      </c>
      <c r="E883" s="10" t="inlineStr">
        <is>
          <t>連1612</t>
        </is>
      </c>
      <c r="F883" t="inlineStr">
        <is>
          <t>2221</t>
        </is>
      </c>
      <c r="G883" s="10" t="inlineStr">
        <is>
          <t>太秦広隆寺</t>
        </is>
      </c>
      <c r="H883" s="10" t="inlineStr">
        <is>
          <t>発</t>
        </is>
      </c>
      <c r="J883" s="10" t="inlineStr">
        <is>
          <t>営業</t>
        </is>
      </c>
      <c r="L883" t="inlineStr">
        <is>
          <t>17:03:25</t>
        </is>
      </c>
      <c r="M883" t="inlineStr">
        <is>
          <t>17:03:45</t>
        </is>
      </c>
      <c r="P883" t="inlineStr">
        <is>
          <t>C系統(終日)</t>
        </is>
      </c>
    </row>
    <row r="884" ht="15" customHeight="1" s="37">
      <c r="A884" t="n">
        <v>13</v>
      </c>
      <c r="B884" s="10" t="inlineStr">
        <is>
          <t>休日</t>
        </is>
      </c>
      <c r="C884" s="10" t="inlineStr">
        <is>
          <t>本線</t>
        </is>
      </c>
      <c r="D884" s="10" t="inlineStr">
        <is>
          <t>上り</t>
        </is>
      </c>
      <c r="E884" s="10" t="inlineStr">
        <is>
          <t>連1612</t>
        </is>
      </c>
      <c r="F884" t="inlineStr">
        <is>
          <t>2221</t>
        </is>
      </c>
      <c r="G884" s="10" t="inlineStr">
        <is>
          <t>蚕ノ社</t>
        </is>
      </c>
      <c r="H884" s="10" t="inlineStr">
        <is>
          <t>発</t>
        </is>
      </c>
      <c r="J884" s="10" t="inlineStr">
        <is>
          <t>営業</t>
        </is>
      </c>
      <c r="L884" t="inlineStr">
        <is>
          <t>17:05:00</t>
        </is>
      </c>
      <c r="M884" t="inlineStr">
        <is>
          <t>17:05:20</t>
        </is>
      </c>
      <c r="P884" t="inlineStr">
        <is>
          <t>C系統(終日)</t>
        </is>
      </c>
    </row>
    <row r="885" ht="15" customHeight="1" s="37">
      <c r="A885" t="n">
        <v>13</v>
      </c>
      <c r="B885" s="10" t="inlineStr">
        <is>
          <t>休日</t>
        </is>
      </c>
      <c r="C885" s="10" t="inlineStr">
        <is>
          <t>本線</t>
        </is>
      </c>
      <c r="D885" s="10" t="inlineStr">
        <is>
          <t>上り</t>
        </is>
      </c>
      <c r="E885" s="10" t="inlineStr">
        <is>
          <t>連1612</t>
        </is>
      </c>
      <c r="F885" t="inlineStr">
        <is>
          <t>2221</t>
        </is>
      </c>
      <c r="G885" s="10" t="inlineStr">
        <is>
          <t>天神川</t>
        </is>
      </c>
      <c r="H885" s="10" t="inlineStr">
        <is>
          <t>発</t>
        </is>
      </c>
      <c r="J885" s="10" t="inlineStr">
        <is>
          <t>営業</t>
        </is>
      </c>
      <c r="L885" t="inlineStr">
        <is>
          <t>17:06:05</t>
        </is>
      </c>
      <c r="M885" t="inlineStr">
        <is>
          <t>17:06:50</t>
        </is>
      </c>
      <c r="P885" t="inlineStr">
        <is>
          <t>C系統(終日)</t>
        </is>
      </c>
    </row>
    <row r="886" ht="15" customHeight="1" s="37">
      <c r="A886" t="n">
        <v>13</v>
      </c>
      <c r="B886" s="10" t="inlineStr">
        <is>
          <t>休日</t>
        </is>
      </c>
      <c r="C886" s="10" t="inlineStr">
        <is>
          <t>本線</t>
        </is>
      </c>
      <c r="D886" s="10" t="inlineStr">
        <is>
          <t>上り</t>
        </is>
      </c>
      <c r="E886" s="10" t="inlineStr">
        <is>
          <t>連1612</t>
        </is>
      </c>
      <c r="F886" t="inlineStr">
        <is>
          <t>2221</t>
        </is>
      </c>
      <c r="G886" s="10" t="inlineStr">
        <is>
          <t>山ノ内</t>
        </is>
      </c>
      <c r="H886" s="10" t="inlineStr">
        <is>
          <t>発</t>
        </is>
      </c>
      <c r="J886" s="10" t="inlineStr">
        <is>
          <t>営業</t>
        </is>
      </c>
      <c r="L886" t="inlineStr">
        <is>
          <t>17:08:40</t>
        </is>
      </c>
      <c r="M886" t="inlineStr">
        <is>
          <t>17:09:05</t>
        </is>
      </c>
      <c r="P886" t="inlineStr">
        <is>
          <t>C系統(終日)</t>
        </is>
      </c>
    </row>
    <row r="887" ht="15" customHeight="1" s="37">
      <c r="A887" t="n">
        <v>13</v>
      </c>
      <c r="B887" s="10" t="inlineStr">
        <is>
          <t>休日</t>
        </is>
      </c>
      <c r="C887" s="10" t="inlineStr">
        <is>
          <t>本線</t>
        </is>
      </c>
      <c r="D887" s="10" t="inlineStr">
        <is>
          <t>上り</t>
        </is>
      </c>
      <c r="E887" s="10" t="inlineStr">
        <is>
          <t>連1612</t>
        </is>
      </c>
      <c r="F887" t="inlineStr">
        <is>
          <t>2221</t>
        </is>
      </c>
      <c r="G887" s="10" t="inlineStr">
        <is>
          <t>西大路三条</t>
        </is>
      </c>
      <c r="H887" s="10" t="inlineStr">
        <is>
          <t>発</t>
        </is>
      </c>
      <c r="J887" s="10" t="inlineStr">
        <is>
          <t>営業</t>
        </is>
      </c>
      <c r="L887" t="inlineStr">
        <is>
          <t>17:10:55</t>
        </is>
      </c>
      <c r="M887" t="inlineStr">
        <is>
          <t>17:11:15</t>
        </is>
      </c>
      <c r="P887" t="inlineStr">
        <is>
          <t>C系統(終日)</t>
        </is>
      </c>
    </row>
    <row r="888" ht="15" customHeight="1" s="37">
      <c r="A888" t="n">
        <v>13</v>
      </c>
      <c r="B888" s="10" t="inlineStr">
        <is>
          <t>休日</t>
        </is>
      </c>
      <c r="C888" s="10" t="inlineStr">
        <is>
          <t>本線</t>
        </is>
      </c>
      <c r="D888" s="10" t="inlineStr">
        <is>
          <t>上り</t>
        </is>
      </c>
      <c r="E888" s="10" t="inlineStr">
        <is>
          <t>連1612</t>
        </is>
      </c>
      <c r="F888" t="inlineStr">
        <is>
          <t>2221</t>
        </is>
      </c>
      <c r="G888" s="10" t="inlineStr">
        <is>
          <t>西院</t>
        </is>
      </c>
      <c r="H888" s="10" t="inlineStr">
        <is>
          <t>発</t>
        </is>
      </c>
      <c r="J888" s="10" t="inlineStr">
        <is>
          <t>営業</t>
        </is>
      </c>
      <c r="L888" t="inlineStr">
        <is>
          <t>17:13:10</t>
        </is>
      </c>
      <c r="M888" t="inlineStr">
        <is>
          <t>17:14:05</t>
        </is>
      </c>
      <c r="P888" t="inlineStr">
        <is>
          <t>C系統(終日)</t>
        </is>
      </c>
    </row>
    <row r="889" ht="15" customHeight="1" s="37">
      <c r="A889" t="n">
        <v>13</v>
      </c>
      <c r="B889" s="10" t="inlineStr">
        <is>
          <t>休日</t>
        </is>
      </c>
      <c r="C889" s="10" t="inlineStr">
        <is>
          <t>本線</t>
        </is>
      </c>
      <c r="D889" s="10" t="inlineStr">
        <is>
          <t>上り</t>
        </is>
      </c>
      <c r="E889" s="10" t="inlineStr">
        <is>
          <t>連1612</t>
        </is>
      </c>
      <c r="F889" t="inlineStr">
        <is>
          <t>2221</t>
        </is>
      </c>
      <c r="G889" s="10" t="inlineStr">
        <is>
          <t>四条大宮</t>
        </is>
      </c>
      <c r="H889" s="10" t="inlineStr">
        <is>
          <t>着</t>
        </is>
      </c>
      <c r="J889" s="10" t="inlineStr">
        <is>
          <t>営業</t>
        </is>
      </c>
      <c r="L889" t="inlineStr">
        <is>
          <t>17:17:00</t>
        </is>
      </c>
      <c r="P889" t="inlineStr">
        <is>
          <t>C系統(終日)</t>
        </is>
      </c>
      <c r="Q889" t="inlineStr">
        <is>
          <t>1</t>
        </is>
      </c>
    </row>
    <row r="890" ht="15" customHeight="1" s="37">
      <c r="A890" t="n">
        <v>13</v>
      </c>
      <c r="B890" s="10" t="inlineStr">
        <is>
          <t>休日</t>
        </is>
      </c>
      <c r="C890" s="10" t="inlineStr">
        <is>
          <t>本線</t>
        </is>
      </c>
      <c r="D890" s="10" t="inlineStr">
        <is>
          <t>下り</t>
        </is>
      </c>
      <c r="E890" s="10" t="inlineStr">
        <is>
          <t>連1705</t>
        </is>
      </c>
      <c r="F890" t="inlineStr">
        <is>
          <t>0122</t>
        </is>
      </c>
      <c r="G890" s="10" t="inlineStr">
        <is>
          <t>四条大宮</t>
        </is>
      </c>
      <c r="H890" s="10" t="inlineStr">
        <is>
          <t>発</t>
        </is>
      </c>
      <c r="J890" s="10" t="inlineStr">
        <is>
          <t>営業</t>
        </is>
      </c>
      <c r="M890" t="inlineStr">
        <is>
          <t>17:23:00</t>
        </is>
      </c>
      <c r="P890" t="inlineStr">
        <is>
          <t>C系統(終日)</t>
        </is>
      </c>
      <c r="Q890" t="inlineStr">
        <is>
          <t>1</t>
        </is>
      </c>
    </row>
    <row r="891" ht="15" customHeight="1" s="37">
      <c r="A891" t="n">
        <v>13</v>
      </c>
      <c r="B891" s="10" t="inlineStr">
        <is>
          <t>休日</t>
        </is>
      </c>
      <c r="C891" s="10" t="inlineStr">
        <is>
          <t>本線</t>
        </is>
      </c>
      <c r="D891" s="10" t="inlineStr">
        <is>
          <t>下り</t>
        </is>
      </c>
      <c r="E891" s="10" t="inlineStr">
        <is>
          <t>連1705</t>
        </is>
      </c>
      <c r="F891" t="inlineStr">
        <is>
          <t>0122</t>
        </is>
      </c>
      <c r="G891" s="10" t="inlineStr">
        <is>
          <t>西院</t>
        </is>
      </c>
      <c r="H891" s="10" t="inlineStr">
        <is>
          <t>発</t>
        </is>
      </c>
      <c r="J891" s="10" t="inlineStr">
        <is>
          <t>営業</t>
        </is>
      </c>
      <c r="L891" t="inlineStr">
        <is>
          <t>17:25:50</t>
        </is>
      </c>
      <c r="M891" t="inlineStr">
        <is>
          <t>17:26:20</t>
        </is>
      </c>
      <c r="P891" t="inlineStr">
        <is>
          <t>C系統(終日)</t>
        </is>
      </c>
    </row>
    <row r="892" ht="15" customHeight="1" s="37">
      <c r="A892" t="n">
        <v>13</v>
      </c>
      <c r="B892" s="10" t="inlineStr">
        <is>
          <t>休日</t>
        </is>
      </c>
      <c r="C892" s="10" t="inlineStr">
        <is>
          <t>本線</t>
        </is>
      </c>
      <c r="D892" s="10" t="inlineStr">
        <is>
          <t>下り</t>
        </is>
      </c>
      <c r="E892" s="10" t="inlineStr">
        <is>
          <t>連1705</t>
        </is>
      </c>
      <c r="F892" t="inlineStr">
        <is>
          <t>0122</t>
        </is>
      </c>
      <c r="G892" s="10" t="inlineStr">
        <is>
          <t>西大路三条</t>
        </is>
      </c>
      <c r="H892" s="10" t="inlineStr">
        <is>
          <t>発</t>
        </is>
      </c>
      <c r="J892" s="10" t="inlineStr">
        <is>
          <t>営業</t>
        </is>
      </c>
      <c r="L892" t="inlineStr">
        <is>
          <t>17:28:10</t>
        </is>
      </c>
      <c r="M892" t="inlineStr">
        <is>
          <t>17:28:30</t>
        </is>
      </c>
      <c r="P892" t="inlineStr">
        <is>
          <t>C系統(終日)</t>
        </is>
      </c>
    </row>
    <row r="893" ht="15" customHeight="1" s="37">
      <c r="A893" t="n">
        <v>13</v>
      </c>
      <c r="B893" s="10" t="inlineStr">
        <is>
          <t>休日</t>
        </is>
      </c>
      <c r="C893" s="10" t="inlineStr">
        <is>
          <t>本線</t>
        </is>
      </c>
      <c r="D893" s="10" t="inlineStr">
        <is>
          <t>下り</t>
        </is>
      </c>
      <c r="E893" s="10" t="inlineStr">
        <is>
          <t>連1705</t>
        </is>
      </c>
      <c r="F893" t="inlineStr">
        <is>
          <t>0122</t>
        </is>
      </c>
      <c r="G893" s="10" t="inlineStr">
        <is>
          <t>山ノ内</t>
        </is>
      </c>
      <c r="H893" s="10" t="inlineStr">
        <is>
          <t>発</t>
        </is>
      </c>
      <c r="J893" s="10" t="inlineStr">
        <is>
          <t>営業</t>
        </is>
      </c>
      <c r="L893" t="inlineStr">
        <is>
          <t>17:30:25</t>
        </is>
      </c>
      <c r="M893" t="inlineStr">
        <is>
          <t>17:30:50</t>
        </is>
      </c>
      <c r="P893" t="inlineStr">
        <is>
          <t>C系統(終日)</t>
        </is>
      </c>
    </row>
    <row r="894" ht="15" customHeight="1" s="37">
      <c r="A894" t="n">
        <v>13</v>
      </c>
      <c r="B894" s="10" t="inlineStr">
        <is>
          <t>休日</t>
        </is>
      </c>
      <c r="C894" s="10" t="inlineStr">
        <is>
          <t>本線</t>
        </is>
      </c>
      <c r="D894" s="10" t="inlineStr">
        <is>
          <t>下り</t>
        </is>
      </c>
      <c r="E894" s="10" t="inlineStr">
        <is>
          <t>連1705</t>
        </is>
      </c>
      <c r="F894" t="inlineStr">
        <is>
          <t>0122</t>
        </is>
      </c>
      <c r="G894" s="10" t="inlineStr">
        <is>
          <t>天神川</t>
        </is>
      </c>
      <c r="H894" s="10" t="inlineStr">
        <is>
          <t>発</t>
        </is>
      </c>
      <c r="J894" s="10" t="inlineStr">
        <is>
          <t>営業</t>
        </is>
      </c>
      <c r="L894" t="inlineStr">
        <is>
          <t>17:32:50</t>
        </is>
      </c>
      <c r="M894" t="inlineStr">
        <is>
          <t>17:33:30</t>
        </is>
      </c>
      <c r="P894" t="inlineStr">
        <is>
          <t>C系統(終日)</t>
        </is>
      </c>
    </row>
    <row r="895" ht="15" customHeight="1" s="37">
      <c r="A895" t="n">
        <v>13</v>
      </c>
      <c r="B895" s="10" t="inlineStr">
        <is>
          <t>休日</t>
        </is>
      </c>
      <c r="C895" s="10" t="inlineStr">
        <is>
          <t>本線</t>
        </is>
      </c>
      <c r="D895" s="10" t="inlineStr">
        <is>
          <t>下り</t>
        </is>
      </c>
      <c r="E895" s="10" t="inlineStr">
        <is>
          <t>連1705</t>
        </is>
      </c>
      <c r="F895" t="inlineStr">
        <is>
          <t>0122</t>
        </is>
      </c>
      <c r="G895" s="10" t="inlineStr">
        <is>
          <t>蚕ノ社</t>
        </is>
      </c>
      <c r="H895" s="10" t="inlineStr">
        <is>
          <t>発</t>
        </is>
      </c>
      <c r="J895" s="10" t="inlineStr">
        <is>
          <t>営業</t>
        </is>
      </c>
      <c r="L895" t="inlineStr">
        <is>
          <t>17:34:20</t>
        </is>
      </c>
      <c r="M895" t="inlineStr">
        <is>
          <t>17:34:40</t>
        </is>
      </c>
      <c r="P895" t="inlineStr">
        <is>
          <t>C系統(終日)</t>
        </is>
      </c>
    </row>
    <row r="896" ht="15" customHeight="1" s="37">
      <c r="A896" t="n">
        <v>13</v>
      </c>
      <c r="B896" s="10" t="inlineStr">
        <is>
          <t>休日</t>
        </is>
      </c>
      <c r="C896" s="10" t="inlineStr">
        <is>
          <t>本線</t>
        </is>
      </c>
      <c r="D896" s="10" t="inlineStr">
        <is>
          <t>下り</t>
        </is>
      </c>
      <c r="E896" s="10" t="inlineStr">
        <is>
          <t>連1705</t>
        </is>
      </c>
      <c r="F896" t="inlineStr">
        <is>
          <t>0122</t>
        </is>
      </c>
      <c r="G896" s="10" t="inlineStr">
        <is>
          <t>太秦広隆寺</t>
        </is>
      </c>
      <c r="H896" s="10" t="inlineStr">
        <is>
          <t>発</t>
        </is>
      </c>
      <c r="J896" s="10" t="inlineStr">
        <is>
          <t>営業</t>
        </is>
      </c>
      <c r="L896" t="inlineStr">
        <is>
          <t>17:36:00</t>
        </is>
      </c>
      <c r="M896" t="inlineStr">
        <is>
          <t>17:36:20</t>
        </is>
      </c>
      <c r="P896" t="inlineStr">
        <is>
          <t>C系統(終日)</t>
        </is>
      </c>
    </row>
    <row r="897" ht="15" customHeight="1" s="37">
      <c r="A897" t="n">
        <v>13</v>
      </c>
      <c r="B897" s="10" t="inlineStr">
        <is>
          <t>休日</t>
        </is>
      </c>
      <c r="C897" s="10" t="inlineStr">
        <is>
          <t>本線</t>
        </is>
      </c>
      <c r="D897" s="10" t="inlineStr">
        <is>
          <t>下り</t>
        </is>
      </c>
      <c r="E897" s="10" t="inlineStr">
        <is>
          <t>連1705</t>
        </is>
      </c>
      <c r="F897" t="inlineStr">
        <is>
          <t>0122</t>
        </is>
      </c>
      <c r="G897" s="10" t="inlineStr">
        <is>
          <t>帷子ノ辻</t>
        </is>
      </c>
      <c r="H897" s="10" t="inlineStr">
        <is>
          <t>発</t>
        </is>
      </c>
      <c r="J897" s="10" t="inlineStr">
        <is>
          <t>営業</t>
        </is>
      </c>
      <c r="L897" t="inlineStr">
        <is>
          <t>17:38:20</t>
        </is>
      </c>
      <c r="M897" t="inlineStr">
        <is>
          <t>17:39:40</t>
        </is>
      </c>
      <c r="P897" t="inlineStr">
        <is>
          <t>C系統(終日)</t>
        </is>
      </c>
    </row>
    <row r="898" ht="15" customHeight="1" s="37">
      <c r="A898" t="n">
        <v>13</v>
      </c>
      <c r="B898" s="10" t="inlineStr">
        <is>
          <t>休日</t>
        </is>
      </c>
      <c r="C898" s="10" t="inlineStr">
        <is>
          <t>本線</t>
        </is>
      </c>
      <c r="D898" s="10" t="inlineStr">
        <is>
          <t>下り</t>
        </is>
      </c>
      <c r="E898" s="10" t="inlineStr">
        <is>
          <t>連1705</t>
        </is>
      </c>
      <c r="F898" t="inlineStr">
        <is>
          <t>0122</t>
        </is>
      </c>
      <c r="G898" s="10" t="inlineStr">
        <is>
          <t>有栖川</t>
        </is>
      </c>
      <c r="H898" s="10" t="inlineStr">
        <is>
          <t>発</t>
        </is>
      </c>
      <c r="J898" s="10" t="inlineStr">
        <is>
          <t>営業</t>
        </is>
      </c>
      <c r="L898" t="inlineStr">
        <is>
          <t>17:40:50</t>
        </is>
      </c>
      <c r="M898" t="inlineStr">
        <is>
          <t>17:41:15</t>
        </is>
      </c>
      <c r="P898" t="inlineStr">
        <is>
          <t>C系統(終日)</t>
        </is>
      </c>
    </row>
    <row r="899" ht="15" customHeight="1" s="37">
      <c r="A899" t="n">
        <v>13</v>
      </c>
      <c r="B899" s="10" t="inlineStr">
        <is>
          <t>休日</t>
        </is>
      </c>
      <c r="C899" s="10" t="inlineStr">
        <is>
          <t>本線</t>
        </is>
      </c>
      <c r="D899" s="10" t="inlineStr">
        <is>
          <t>下り</t>
        </is>
      </c>
      <c r="E899" s="10" t="inlineStr">
        <is>
          <t>連1705</t>
        </is>
      </c>
      <c r="F899" t="inlineStr">
        <is>
          <t>0122</t>
        </is>
      </c>
      <c r="G899" s="10" t="inlineStr">
        <is>
          <t>車折</t>
        </is>
      </c>
      <c r="H899" s="10" t="inlineStr">
        <is>
          <t>発</t>
        </is>
      </c>
      <c r="J899" s="10" t="inlineStr">
        <is>
          <t>営業</t>
        </is>
      </c>
      <c r="L899" t="inlineStr">
        <is>
          <t>17:42:40</t>
        </is>
      </c>
      <c r="M899" t="inlineStr">
        <is>
          <t>17:43:05</t>
        </is>
      </c>
      <c r="P899" t="inlineStr">
        <is>
          <t>C系統(終日)</t>
        </is>
      </c>
    </row>
    <row r="900" ht="15" customHeight="1" s="37">
      <c r="A900" t="n">
        <v>13</v>
      </c>
      <c r="B900" s="10" t="inlineStr">
        <is>
          <t>休日</t>
        </is>
      </c>
      <c r="C900" s="10" t="inlineStr">
        <is>
          <t>本線</t>
        </is>
      </c>
      <c r="D900" s="10" t="inlineStr">
        <is>
          <t>下り</t>
        </is>
      </c>
      <c r="E900" s="10" t="inlineStr">
        <is>
          <t>連1705</t>
        </is>
      </c>
      <c r="F900" t="inlineStr">
        <is>
          <t>0122</t>
        </is>
      </c>
      <c r="G900" s="10" t="inlineStr">
        <is>
          <t>鹿王院</t>
        </is>
      </c>
      <c r="H900" s="10" t="inlineStr">
        <is>
          <t>発</t>
        </is>
      </c>
      <c r="J900" s="10" t="inlineStr">
        <is>
          <t>営業</t>
        </is>
      </c>
      <c r="L900" t="inlineStr">
        <is>
          <t>17:44:00</t>
        </is>
      </c>
      <c r="M900" t="inlineStr">
        <is>
          <t>17:44:25</t>
        </is>
      </c>
      <c r="P900" t="inlineStr">
        <is>
          <t>C系統(終日)</t>
        </is>
      </c>
    </row>
    <row r="901" ht="15" customHeight="1" s="37">
      <c r="A901" t="n">
        <v>13</v>
      </c>
      <c r="B901" s="10" t="inlineStr">
        <is>
          <t>休日</t>
        </is>
      </c>
      <c r="C901" s="10" t="inlineStr">
        <is>
          <t>本線</t>
        </is>
      </c>
      <c r="D901" s="10" t="inlineStr">
        <is>
          <t>下り</t>
        </is>
      </c>
      <c r="E901" s="10" t="inlineStr">
        <is>
          <t>連1705</t>
        </is>
      </c>
      <c r="F901" t="inlineStr">
        <is>
          <t>0122</t>
        </is>
      </c>
      <c r="G901" s="10" t="inlineStr">
        <is>
          <t>嵯峨</t>
        </is>
      </c>
      <c r="H901" s="10" t="inlineStr">
        <is>
          <t>発</t>
        </is>
      </c>
      <c r="J901" s="10" t="inlineStr">
        <is>
          <t>営業</t>
        </is>
      </c>
      <c r="L901" t="inlineStr">
        <is>
          <t>17:45:30</t>
        </is>
      </c>
      <c r="M901" t="inlineStr">
        <is>
          <t>17:45:55</t>
        </is>
      </c>
      <c r="P901" t="inlineStr">
        <is>
          <t>C系統(終日)</t>
        </is>
      </c>
    </row>
    <row r="902" ht="15" customHeight="1" s="37">
      <c r="A902" t="n">
        <v>13</v>
      </c>
      <c r="B902" s="10" t="inlineStr">
        <is>
          <t>休日</t>
        </is>
      </c>
      <c r="C902" s="10" t="inlineStr">
        <is>
          <t>本線</t>
        </is>
      </c>
      <c r="D902" s="10" t="inlineStr">
        <is>
          <t>下り</t>
        </is>
      </c>
      <c r="E902" s="10" t="inlineStr">
        <is>
          <t>連1705</t>
        </is>
      </c>
      <c r="F902" t="inlineStr">
        <is>
          <t>0122</t>
        </is>
      </c>
      <c r="G902" s="10" t="inlineStr">
        <is>
          <t>嵐山</t>
        </is>
      </c>
      <c r="H902" s="10" t="inlineStr">
        <is>
          <t>着</t>
        </is>
      </c>
      <c r="J902" s="10" t="inlineStr">
        <is>
          <t>営業</t>
        </is>
      </c>
      <c r="L902" t="inlineStr">
        <is>
          <t>17:47:00</t>
        </is>
      </c>
      <c r="N902" t="inlineStr">
        <is>
          <t>○</t>
        </is>
      </c>
      <c r="P902" t="inlineStr">
        <is>
          <t>C系統(終日)</t>
        </is>
      </c>
      <c r="Q902" t="inlineStr">
        <is>
          <t>1</t>
        </is>
      </c>
    </row>
    <row r="903" ht="15" customHeight="1" s="37">
      <c r="A903" t="n">
        <v>13</v>
      </c>
      <c r="B903" s="10" t="inlineStr">
        <is>
          <t>休日</t>
        </is>
      </c>
      <c r="C903" s="10" t="inlineStr">
        <is>
          <t>本線</t>
        </is>
      </c>
      <c r="D903" s="10" t="inlineStr">
        <is>
          <t>上り</t>
        </is>
      </c>
      <c r="E903" s="10" t="inlineStr">
        <is>
          <t>連1712</t>
        </is>
      </c>
      <c r="F903" t="inlineStr">
        <is>
          <t>2221</t>
        </is>
      </c>
      <c r="G903" s="10" t="inlineStr">
        <is>
          <t>嵐山</t>
        </is>
      </c>
      <c r="H903" s="10" t="inlineStr">
        <is>
          <t>発</t>
        </is>
      </c>
      <c r="J903" s="10" t="inlineStr">
        <is>
          <t>営業</t>
        </is>
      </c>
      <c r="M903" t="inlineStr">
        <is>
          <t>17:53:00</t>
        </is>
      </c>
      <c r="P903" t="inlineStr">
        <is>
          <t>C系統(終日)</t>
        </is>
      </c>
      <c r="Q903" t="inlineStr">
        <is>
          <t>1</t>
        </is>
      </c>
      <c r="U903" t="inlineStr">
        <is>
          <t>→西院 休憩(18:25〜19:46)</t>
        </is>
      </c>
    </row>
    <row r="904" ht="15" customHeight="1" s="37">
      <c r="A904" t="n">
        <v>13</v>
      </c>
      <c r="B904" s="10" t="inlineStr">
        <is>
          <t>休日</t>
        </is>
      </c>
      <c r="C904" s="10" t="inlineStr">
        <is>
          <t>本線</t>
        </is>
      </c>
      <c r="D904" s="10" t="inlineStr">
        <is>
          <t>上り</t>
        </is>
      </c>
      <c r="E904" s="10" t="inlineStr">
        <is>
          <t>連1712</t>
        </is>
      </c>
      <c r="F904" t="inlineStr">
        <is>
          <t>2221</t>
        </is>
      </c>
      <c r="G904" s="10" t="inlineStr">
        <is>
          <t>嵯峨</t>
        </is>
      </c>
      <c r="H904" s="10" t="inlineStr">
        <is>
          <t>発</t>
        </is>
      </c>
      <c r="J904" s="10" t="inlineStr">
        <is>
          <t>営業</t>
        </is>
      </c>
      <c r="L904" t="inlineStr">
        <is>
          <t>17:53:55</t>
        </is>
      </c>
      <c r="M904" t="inlineStr">
        <is>
          <t>17:54:20</t>
        </is>
      </c>
      <c r="P904" t="inlineStr">
        <is>
          <t>C系統(終日)</t>
        </is>
      </c>
      <c r="U904" t="inlineStr">
        <is>
          <t>→西院 休憩(18:25〜19:46)</t>
        </is>
      </c>
    </row>
    <row r="905" ht="15" customHeight="1" s="37">
      <c r="A905" t="n">
        <v>13</v>
      </c>
      <c r="B905" s="10" t="inlineStr">
        <is>
          <t>休日</t>
        </is>
      </c>
      <c r="C905" s="10" t="inlineStr">
        <is>
          <t>本線</t>
        </is>
      </c>
      <c r="D905" s="10" t="inlineStr">
        <is>
          <t>上り</t>
        </is>
      </c>
      <c r="E905" s="10" t="inlineStr">
        <is>
          <t>連1712</t>
        </is>
      </c>
      <c r="F905" t="inlineStr">
        <is>
          <t>2221</t>
        </is>
      </c>
      <c r="G905" s="10" t="inlineStr">
        <is>
          <t>鹿王院</t>
        </is>
      </c>
      <c r="H905" s="10" t="inlineStr">
        <is>
          <t>発</t>
        </is>
      </c>
      <c r="J905" s="10" t="inlineStr">
        <is>
          <t>営業</t>
        </is>
      </c>
      <c r="L905" t="inlineStr">
        <is>
          <t>17:55:25</t>
        </is>
      </c>
      <c r="M905" t="inlineStr">
        <is>
          <t>17:55:45</t>
        </is>
      </c>
      <c r="P905" t="inlineStr">
        <is>
          <t>C系統(終日)</t>
        </is>
      </c>
      <c r="U905" t="inlineStr">
        <is>
          <t>→西院 休憩(18:25〜19:46)</t>
        </is>
      </c>
    </row>
    <row r="906" ht="15" customHeight="1" s="37">
      <c r="A906" t="n">
        <v>13</v>
      </c>
      <c r="B906" s="10" t="inlineStr">
        <is>
          <t>休日</t>
        </is>
      </c>
      <c r="C906" s="10" t="inlineStr">
        <is>
          <t>本線</t>
        </is>
      </c>
      <c r="D906" s="10" t="inlineStr">
        <is>
          <t>上り</t>
        </is>
      </c>
      <c r="E906" s="10" t="inlineStr">
        <is>
          <t>連1712</t>
        </is>
      </c>
      <c r="F906" t="inlineStr">
        <is>
          <t>2221</t>
        </is>
      </c>
      <c r="G906" s="10" t="inlineStr">
        <is>
          <t>車折</t>
        </is>
      </c>
      <c r="H906" s="10" t="inlineStr">
        <is>
          <t>発</t>
        </is>
      </c>
      <c r="J906" s="10" t="inlineStr">
        <is>
          <t>営業</t>
        </is>
      </c>
      <c r="L906" t="inlineStr">
        <is>
          <t>17:56:40</t>
        </is>
      </c>
      <c r="M906" t="inlineStr">
        <is>
          <t>17:57:10</t>
        </is>
      </c>
      <c r="P906" t="inlineStr">
        <is>
          <t>C系統(終日)</t>
        </is>
      </c>
      <c r="U906" t="inlineStr">
        <is>
          <t>→西院 休憩(18:25〜19:46)</t>
        </is>
      </c>
    </row>
    <row r="907" ht="15" customHeight="1" s="37">
      <c r="A907" t="n">
        <v>13</v>
      </c>
      <c r="B907" s="10" t="inlineStr">
        <is>
          <t>休日</t>
        </is>
      </c>
      <c r="C907" s="10" t="inlineStr">
        <is>
          <t>本線</t>
        </is>
      </c>
      <c r="D907" s="10" t="inlineStr">
        <is>
          <t>上り</t>
        </is>
      </c>
      <c r="E907" s="10" t="inlineStr">
        <is>
          <t>連1712</t>
        </is>
      </c>
      <c r="F907" t="inlineStr">
        <is>
          <t>2221</t>
        </is>
      </c>
      <c r="G907" s="10" t="inlineStr">
        <is>
          <t>有栖川</t>
        </is>
      </c>
      <c r="H907" s="10" t="inlineStr">
        <is>
          <t>発</t>
        </is>
      </c>
      <c r="J907" s="10" t="inlineStr">
        <is>
          <t>営業</t>
        </is>
      </c>
      <c r="L907" t="inlineStr">
        <is>
          <t>17:58:35</t>
        </is>
      </c>
      <c r="M907" t="inlineStr">
        <is>
          <t>17:58:55</t>
        </is>
      </c>
      <c r="P907" t="inlineStr">
        <is>
          <t>C系統(終日)</t>
        </is>
      </c>
      <c r="U907" t="inlineStr">
        <is>
          <t>→西院 休憩(18:25〜19:46)</t>
        </is>
      </c>
    </row>
    <row r="908" ht="15" customHeight="1" s="37">
      <c r="A908" t="n">
        <v>13</v>
      </c>
      <c r="B908" s="10" t="inlineStr">
        <is>
          <t>休日</t>
        </is>
      </c>
      <c r="C908" s="10" t="inlineStr">
        <is>
          <t>本線</t>
        </is>
      </c>
      <c r="D908" s="10" t="inlineStr">
        <is>
          <t>上り</t>
        </is>
      </c>
      <c r="E908" s="10" t="inlineStr">
        <is>
          <t>連1712</t>
        </is>
      </c>
      <c r="F908" t="inlineStr">
        <is>
          <t>2221</t>
        </is>
      </c>
      <c r="G908" s="10" t="inlineStr">
        <is>
          <t>帷子ノ辻</t>
        </is>
      </c>
      <c r="H908" s="10" t="inlineStr">
        <is>
          <t>発</t>
        </is>
      </c>
      <c r="J908" s="10" t="inlineStr">
        <is>
          <t>営業</t>
        </is>
      </c>
      <c r="L908" t="inlineStr">
        <is>
          <t>18:00:10</t>
        </is>
      </c>
      <c r="M908" t="inlineStr">
        <is>
          <t>18:01:15</t>
        </is>
      </c>
      <c r="P908" t="inlineStr">
        <is>
          <t>C系統(終日)</t>
        </is>
      </c>
      <c r="U908" t="inlineStr">
        <is>
          <t>→西院 休憩(18:25〜19:46)</t>
        </is>
      </c>
    </row>
    <row r="909" ht="15" customHeight="1" s="37">
      <c r="A909" t="n">
        <v>13</v>
      </c>
      <c r="B909" s="10" t="inlineStr">
        <is>
          <t>休日</t>
        </is>
      </c>
      <c r="C909" s="10" t="inlineStr">
        <is>
          <t>本線</t>
        </is>
      </c>
      <c r="D909" s="10" t="inlineStr">
        <is>
          <t>上り</t>
        </is>
      </c>
      <c r="E909" s="10" t="inlineStr">
        <is>
          <t>連1712</t>
        </is>
      </c>
      <c r="F909" t="inlineStr">
        <is>
          <t>2221</t>
        </is>
      </c>
      <c r="G909" s="10" t="inlineStr">
        <is>
          <t>太秦広隆寺</t>
        </is>
      </c>
      <c r="H909" s="10" t="inlineStr">
        <is>
          <t>発</t>
        </is>
      </c>
      <c r="J909" s="10" t="inlineStr">
        <is>
          <t>営業</t>
        </is>
      </c>
      <c r="L909" t="inlineStr">
        <is>
          <t>18:03:25</t>
        </is>
      </c>
      <c r="M909" t="inlineStr">
        <is>
          <t>18:03:45</t>
        </is>
      </c>
      <c r="P909" t="inlineStr">
        <is>
          <t>C系統(終日)</t>
        </is>
      </c>
      <c r="U909" t="inlineStr">
        <is>
          <t>→西院 休憩(18:25〜19:46)</t>
        </is>
      </c>
    </row>
    <row r="910" ht="15" customHeight="1" s="37">
      <c r="A910" t="n">
        <v>13</v>
      </c>
      <c r="B910" s="10" t="inlineStr">
        <is>
          <t>休日</t>
        </is>
      </c>
      <c r="C910" s="10" t="inlineStr">
        <is>
          <t>本線</t>
        </is>
      </c>
      <c r="D910" s="10" t="inlineStr">
        <is>
          <t>上り</t>
        </is>
      </c>
      <c r="E910" s="10" t="inlineStr">
        <is>
          <t>連1712</t>
        </is>
      </c>
      <c r="F910" t="inlineStr">
        <is>
          <t>2221</t>
        </is>
      </c>
      <c r="G910" s="10" t="inlineStr">
        <is>
          <t>蚕ノ社</t>
        </is>
      </c>
      <c r="H910" s="10" t="inlineStr">
        <is>
          <t>発</t>
        </is>
      </c>
      <c r="J910" s="10" t="inlineStr">
        <is>
          <t>営業</t>
        </is>
      </c>
      <c r="L910" t="inlineStr">
        <is>
          <t>18:05:00</t>
        </is>
      </c>
      <c r="M910" t="inlineStr">
        <is>
          <t>18:05:20</t>
        </is>
      </c>
      <c r="P910" t="inlineStr">
        <is>
          <t>C系統(終日)</t>
        </is>
      </c>
      <c r="U910" t="inlineStr">
        <is>
          <t>→西院 休憩(18:25〜19:46)</t>
        </is>
      </c>
    </row>
    <row r="911" ht="15" customHeight="1" s="37">
      <c r="A911" t="n">
        <v>13</v>
      </c>
      <c r="B911" s="10" t="inlineStr">
        <is>
          <t>休日</t>
        </is>
      </c>
      <c r="C911" s="10" t="inlineStr">
        <is>
          <t>本線</t>
        </is>
      </c>
      <c r="D911" s="10" t="inlineStr">
        <is>
          <t>上り</t>
        </is>
      </c>
      <c r="E911" s="10" t="inlineStr">
        <is>
          <t>連1712</t>
        </is>
      </c>
      <c r="F911" t="inlineStr">
        <is>
          <t>2221</t>
        </is>
      </c>
      <c r="G911" s="10" t="inlineStr">
        <is>
          <t>天神川</t>
        </is>
      </c>
      <c r="H911" s="10" t="inlineStr">
        <is>
          <t>発</t>
        </is>
      </c>
      <c r="J911" s="10" t="inlineStr">
        <is>
          <t>営業</t>
        </is>
      </c>
      <c r="L911" t="inlineStr">
        <is>
          <t>18:06:05</t>
        </is>
      </c>
      <c r="M911" t="inlineStr">
        <is>
          <t>18:06:50</t>
        </is>
      </c>
      <c r="P911" t="inlineStr">
        <is>
          <t>C系統(終日)</t>
        </is>
      </c>
      <c r="U911" t="inlineStr">
        <is>
          <t>→西院 休憩(18:25〜19:46)</t>
        </is>
      </c>
    </row>
    <row r="912" ht="15" customHeight="1" s="37">
      <c r="A912" t="n">
        <v>13</v>
      </c>
      <c r="B912" s="10" t="inlineStr">
        <is>
          <t>休日</t>
        </is>
      </c>
      <c r="C912" s="10" t="inlineStr">
        <is>
          <t>本線</t>
        </is>
      </c>
      <c r="D912" s="10" t="inlineStr">
        <is>
          <t>上り</t>
        </is>
      </c>
      <c r="E912" s="10" t="inlineStr">
        <is>
          <t>連1712</t>
        </is>
      </c>
      <c r="F912" t="inlineStr">
        <is>
          <t>2221</t>
        </is>
      </c>
      <c r="G912" s="10" t="inlineStr">
        <is>
          <t>山ノ内</t>
        </is>
      </c>
      <c r="H912" s="10" t="inlineStr">
        <is>
          <t>発</t>
        </is>
      </c>
      <c r="J912" s="10" t="inlineStr">
        <is>
          <t>営業</t>
        </is>
      </c>
      <c r="L912" t="inlineStr">
        <is>
          <t>18:08:40</t>
        </is>
      </c>
      <c r="M912" t="inlineStr">
        <is>
          <t>18:09:05</t>
        </is>
      </c>
      <c r="P912" t="inlineStr">
        <is>
          <t>C系統(終日)</t>
        </is>
      </c>
      <c r="U912" t="inlineStr">
        <is>
          <t>→西院 休憩(18:25〜19:46)</t>
        </is>
      </c>
    </row>
    <row r="913" ht="15" customHeight="1" s="37">
      <c r="A913" t="n">
        <v>13</v>
      </c>
      <c r="B913" s="10" t="inlineStr">
        <is>
          <t>休日</t>
        </is>
      </c>
      <c r="C913" s="10" t="inlineStr">
        <is>
          <t>本線</t>
        </is>
      </c>
      <c r="D913" s="10" t="inlineStr">
        <is>
          <t>上り</t>
        </is>
      </c>
      <c r="E913" s="10" t="inlineStr">
        <is>
          <t>連1712</t>
        </is>
      </c>
      <c r="F913" t="inlineStr">
        <is>
          <t>2221</t>
        </is>
      </c>
      <c r="G913" s="10" t="inlineStr">
        <is>
          <t>西大路三条</t>
        </is>
      </c>
      <c r="H913" s="10" t="inlineStr">
        <is>
          <t>発</t>
        </is>
      </c>
      <c r="J913" s="10" t="inlineStr">
        <is>
          <t>営業</t>
        </is>
      </c>
      <c r="L913" t="inlineStr">
        <is>
          <t>18:10:55</t>
        </is>
      </c>
      <c r="M913" t="inlineStr">
        <is>
          <t>18:11:15</t>
        </is>
      </c>
      <c r="P913" t="inlineStr">
        <is>
          <t>C系統(終日)</t>
        </is>
      </c>
      <c r="U913" t="inlineStr">
        <is>
          <t>→西院 休憩(18:25〜19:46)</t>
        </is>
      </c>
    </row>
    <row r="914" ht="15" customHeight="1" s="37">
      <c r="A914" t="n">
        <v>13</v>
      </c>
      <c r="B914" s="10" t="inlineStr">
        <is>
          <t>休日</t>
        </is>
      </c>
      <c r="C914" s="10" t="inlineStr">
        <is>
          <t>本線</t>
        </is>
      </c>
      <c r="D914" s="10" t="inlineStr">
        <is>
          <t>上り</t>
        </is>
      </c>
      <c r="E914" s="10" t="inlineStr">
        <is>
          <t>連1712</t>
        </is>
      </c>
      <c r="F914" t="inlineStr">
        <is>
          <t>2221</t>
        </is>
      </c>
      <c r="G914" s="10" t="inlineStr">
        <is>
          <t>西院</t>
        </is>
      </c>
      <c r="H914" s="10" t="inlineStr">
        <is>
          <t>発</t>
        </is>
      </c>
      <c r="J914" s="10" t="inlineStr">
        <is>
          <t>営業</t>
        </is>
      </c>
      <c r="L914" t="inlineStr">
        <is>
          <t>18:13:10</t>
        </is>
      </c>
      <c r="M914" t="inlineStr">
        <is>
          <t>18:14:05</t>
        </is>
      </c>
      <c r="P914" t="inlineStr">
        <is>
          <t>C系統(終日)</t>
        </is>
      </c>
      <c r="U914" t="inlineStr">
        <is>
          <t>→西院 休憩(18:25〜19:46)</t>
        </is>
      </c>
    </row>
    <row r="915" ht="15" customHeight="1" s="37">
      <c r="A915" t="n">
        <v>13</v>
      </c>
      <c r="B915" s="10" t="inlineStr">
        <is>
          <t>休日</t>
        </is>
      </c>
      <c r="C915" s="10" t="inlineStr">
        <is>
          <t>本線</t>
        </is>
      </c>
      <c r="D915" s="10" t="inlineStr">
        <is>
          <t>上り</t>
        </is>
      </c>
      <c r="E915" s="10" t="inlineStr">
        <is>
          <t>連1712</t>
        </is>
      </c>
      <c r="F915" t="inlineStr">
        <is>
          <t>2221</t>
        </is>
      </c>
      <c r="G915" s="10" t="inlineStr">
        <is>
          <t>四条大宮</t>
        </is>
      </c>
      <c r="H915" s="10" t="inlineStr">
        <is>
          <t>着</t>
        </is>
      </c>
      <c r="J915" s="10" t="inlineStr">
        <is>
          <t>営業</t>
        </is>
      </c>
      <c r="L915" t="inlineStr">
        <is>
          <t>18:17:00</t>
        </is>
      </c>
      <c r="P915" t="inlineStr">
        <is>
          <t>C系統(終日)</t>
        </is>
      </c>
      <c r="Q915" t="inlineStr">
        <is>
          <t>1</t>
        </is>
      </c>
      <c r="U915" t="inlineStr">
        <is>
          <t>→西院 休憩(18:25〜19:46)</t>
        </is>
      </c>
    </row>
    <row r="916" ht="15" customHeight="1" s="37">
      <c r="A916" t="n">
        <v>13</v>
      </c>
      <c r="B916" s="10" t="inlineStr">
        <is>
          <t>休日</t>
        </is>
      </c>
      <c r="C916" s="10" t="inlineStr">
        <is>
          <t>本線</t>
        </is>
      </c>
      <c r="D916" s="10" t="inlineStr">
        <is>
          <t>下り</t>
        </is>
      </c>
      <c r="E916" s="10" t="inlineStr">
        <is>
          <t>連1805</t>
        </is>
      </c>
      <c r="F916" t="inlineStr">
        <is>
          <t>0122</t>
        </is>
      </c>
      <c r="G916" s="10" t="inlineStr">
        <is>
          <t>四条大宮</t>
        </is>
      </c>
      <c r="H916" s="10" t="inlineStr">
        <is>
          <t>発</t>
        </is>
      </c>
      <c r="J916" s="10" t="inlineStr">
        <is>
          <t>営業</t>
        </is>
      </c>
      <c r="M916" t="inlineStr">
        <is>
          <t>18:23:00</t>
        </is>
      </c>
      <c r="P916" t="inlineStr">
        <is>
          <t>C系統(終日)</t>
        </is>
      </c>
      <c r="Q916" t="inlineStr">
        <is>
          <t>1</t>
        </is>
      </c>
      <c r="U916" t="inlineStr">
        <is>
          <t>→西院 休憩(18:25〜19:46)</t>
        </is>
      </c>
    </row>
    <row r="917" ht="15" customHeight="1" s="37">
      <c r="A917" t="n">
        <v>13</v>
      </c>
      <c r="B917" s="10" t="inlineStr">
        <is>
          <t>休日</t>
        </is>
      </c>
      <c r="C917" s="10" t="inlineStr">
        <is>
          <t>本線</t>
        </is>
      </c>
      <c r="D917" s="10" t="inlineStr">
        <is>
          <t>下り</t>
        </is>
      </c>
      <c r="E917" s="10" t="inlineStr">
        <is>
          <t>連1805</t>
        </is>
      </c>
      <c r="F917" t="inlineStr">
        <is>
          <t>0122</t>
        </is>
      </c>
      <c r="G917" s="10" t="inlineStr">
        <is>
          <t>西院</t>
        </is>
      </c>
      <c r="H917" s="10" t="inlineStr">
        <is>
          <t>着</t>
        </is>
      </c>
      <c r="J917" s="10" t="inlineStr">
        <is>
          <t>営業</t>
        </is>
      </c>
      <c r="L917" t="inlineStr">
        <is>
          <t>18:25:50</t>
        </is>
      </c>
      <c r="M917" t="inlineStr">
        <is>
          <t>18:26:20</t>
        </is>
      </c>
      <c r="P917" t="inlineStr">
        <is>
          <t>C系統(終日)</t>
        </is>
      </c>
      <c r="U917" t="inlineStr">
        <is>
          <t>→西院 休憩(18:25〜19:46)</t>
        </is>
      </c>
    </row>
    <row r="918" ht="15" customHeight="1" s="37">
      <c r="A918" t="n">
        <v>14</v>
      </c>
      <c r="B918" s="10" t="inlineStr">
        <is>
          <t>休日</t>
        </is>
      </c>
      <c r="C918" s="10" t="inlineStr">
        <is>
          <t>本線</t>
        </is>
      </c>
      <c r="D918" s="10" t="inlineStr">
        <is>
          <t>下り</t>
        </is>
      </c>
      <c r="E918" t="inlineStr">
        <is>
          <t>1709</t>
        </is>
      </c>
      <c r="F918" t="inlineStr">
        <is>
          <t>0122</t>
        </is>
      </c>
      <c r="G918" s="10" t="inlineStr">
        <is>
          <t>西院</t>
        </is>
      </c>
      <c r="H918" s="10" t="inlineStr">
        <is>
          <t>発</t>
        </is>
      </c>
      <c r="J918" s="10" t="inlineStr">
        <is>
          <t>営業</t>
        </is>
      </c>
      <c r="L918" t="inlineStr">
        <is>
          <t>17:45:50</t>
        </is>
      </c>
      <c r="M918" t="inlineStr">
        <is>
          <t>17:46:20</t>
        </is>
      </c>
    </row>
    <row r="919" ht="15" customHeight="1" s="37">
      <c r="A919" t="n">
        <v>14</v>
      </c>
      <c r="B919" s="10" t="inlineStr">
        <is>
          <t>休日</t>
        </is>
      </c>
      <c r="C919" s="10" t="inlineStr">
        <is>
          <t>本線</t>
        </is>
      </c>
      <c r="D919" s="10" t="inlineStr">
        <is>
          <t>下り</t>
        </is>
      </c>
      <c r="E919" t="inlineStr">
        <is>
          <t>1709</t>
        </is>
      </c>
      <c r="F919" t="inlineStr">
        <is>
          <t>0122</t>
        </is>
      </c>
      <c r="G919" s="10" t="inlineStr">
        <is>
          <t>西大路三条</t>
        </is>
      </c>
      <c r="H919" s="10" t="inlineStr">
        <is>
          <t>発</t>
        </is>
      </c>
      <c r="J919" s="10" t="inlineStr">
        <is>
          <t>営業</t>
        </is>
      </c>
      <c r="L919" t="inlineStr">
        <is>
          <t>17:48:10</t>
        </is>
      </c>
      <c r="M919" t="inlineStr">
        <is>
          <t>17:48:30</t>
        </is>
      </c>
    </row>
    <row r="920" ht="15" customHeight="1" s="37">
      <c r="A920" t="n">
        <v>14</v>
      </c>
      <c r="B920" s="10" t="inlineStr">
        <is>
          <t>休日</t>
        </is>
      </c>
      <c r="C920" s="10" t="inlineStr">
        <is>
          <t>本線</t>
        </is>
      </c>
      <c r="D920" s="10" t="inlineStr">
        <is>
          <t>下り</t>
        </is>
      </c>
      <c r="E920" t="inlineStr">
        <is>
          <t>1709</t>
        </is>
      </c>
      <c r="F920" t="inlineStr">
        <is>
          <t>0122</t>
        </is>
      </c>
      <c r="G920" s="10" t="inlineStr">
        <is>
          <t>山ノ内</t>
        </is>
      </c>
      <c r="H920" s="10" t="inlineStr">
        <is>
          <t>発</t>
        </is>
      </c>
      <c r="J920" s="10" t="inlineStr">
        <is>
          <t>営業</t>
        </is>
      </c>
      <c r="L920" t="inlineStr">
        <is>
          <t>17:50:25</t>
        </is>
      </c>
      <c r="M920" t="inlineStr">
        <is>
          <t>17:50:50</t>
        </is>
      </c>
    </row>
    <row r="921" ht="15" customHeight="1" s="37">
      <c r="A921" t="n">
        <v>14</v>
      </c>
      <c r="B921" s="10" t="inlineStr">
        <is>
          <t>休日</t>
        </is>
      </c>
      <c r="C921" s="10" t="inlineStr">
        <is>
          <t>本線</t>
        </is>
      </c>
      <c r="D921" s="10" t="inlineStr">
        <is>
          <t>下り</t>
        </is>
      </c>
      <c r="E921" t="inlineStr">
        <is>
          <t>1709</t>
        </is>
      </c>
      <c r="F921" t="inlineStr">
        <is>
          <t>0122</t>
        </is>
      </c>
      <c r="G921" s="10" t="inlineStr">
        <is>
          <t>天神川</t>
        </is>
      </c>
      <c r="H921" s="10" t="inlineStr">
        <is>
          <t>発</t>
        </is>
      </c>
      <c r="J921" s="10" t="inlineStr">
        <is>
          <t>営業</t>
        </is>
      </c>
      <c r="L921" t="inlineStr">
        <is>
          <t>17:52:50</t>
        </is>
      </c>
      <c r="M921" t="inlineStr">
        <is>
          <t>17:53:30</t>
        </is>
      </c>
    </row>
    <row r="922" ht="15" customHeight="1" s="37">
      <c r="A922" t="n">
        <v>14</v>
      </c>
      <c r="B922" s="10" t="inlineStr">
        <is>
          <t>休日</t>
        </is>
      </c>
      <c r="C922" s="10" t="inlineStr">
        <is>
          <t>本線</t>
        </is>
      </c>
      <c r="D922" s="10" t="inlineStr">
        <is>
          <t>下り</t>
        </is>
      </c>
      <c r="E922" t="inlineStr">
        <is>
          <t>1709</t>
        </is>
      </c>
      <c r="F922" t="inlineStr">
        <is>
          <t>0122</t>
        </is>
      </c>
      <c r="G922" s="10" t="inlineStr">
        <is>
          <t>蚕ノ社</t>
        </is>
      </c>
      <c r="H922" s="10" t="inlineStr">
        <is>
          <t>発</t>
        </is>
      </c>
      <c r="J922" s="10" t="inlineStr">
        <is>
          <t>営業</t>
        </is>
      </c>
      <c r="L922" t="inlineStr">
        <is>
          <t>17:54:20</t>
        </is>
      </c>
      <c r="M922" t="inlineStr">
        <is>
          <t>17:54:40</t>
        </is>
      </c>
    </row>
    <row r="923" ht="15" customHeight="1" s="37">
      <c r="A923" t="n">
        <v>14</v>
      </c>
      <c r="B923" s="10" t="inlineStr">
        <is>
          <t>休日</t>
        </is>
      </c>
      <c r="C923" s="10" t="inlineStr">
        <is>
          <t>本線</t>
        </is>
      </c>
      <c r="D923" s="10" t="inlineStr">
        <is>
          <t>下り</t>
        </is>
      </c>
      <c r="E923" t="inlineStr">
        <is>
          <t>1709</t>
        </is>
      </c>
      <c r="F923" t="inlineStr">
        <is>
          <t>0122</t>
        </is>
      </c>
      <c r="G923" s="10" t="inlineStr">
        <is>
          <t>太秦広隆寺</t>
        </is>
      </c>
      <c r="H923" s="10" t="inlineStr">
        <is>
          <t>発</t>
        </is>
      </c>
      <c r="J923" s="10" t="inlineStr">
        <is>
          <t>営業</t>
        </is>
      </c>
      <c r="L923" t="inlineStr">
        <is>
          <t>17:56:00</t>
        </is>
      </c>
      <c r="M923" t="inlineStr">
        <is>
          <t>17:56:20</t>
        </is>
      </c>
    </row>
    <row r="924" ht="15" customHeight="1" s="37">
      <c r="A924" t="n">
        <v>14</v>
      </c>
      <c r="B924" s="10" t="inlineStr">
        <is>
          <t>休日</t>
        </is>
      </c>
      <c r="C924" s="10" t="inlineStr">
        <is>
          <t>本線</t>
        </is>
      </c>
      <c r="D924" s="10" t="inlineStr">
        <is>
          <t>下り</t>
        </is>
      </c>
      <c r="E924" t="inlineStr">
        <is>
          <t>1709</t>
        </is>
      </c>
      <c r="F924" t="inlineStr">
        <is>
          <t>0122</t>
        </is>
      </c>
      <c r="G924" s="10" t="inlineStr">
        <is>
          <t>帷子ノ辻</t>
        </is>
      </c>
      <c r="H924" s="10" t="inlineStr">
        <is>
          <t>発</t>
        </is>
      </c>
      <c r="J924" s="10" t="inlineStr">
        <is>
          <t>営業</t>
        </is>
      </c>
      <c r="L924" t="inlineStr">
        <is>
          <t>17:58:20</t>
        </is>
      </c>
      <c r="M924" t="inlineStr">
        <is>
          <t>17:59:40</t>
        </is>
      </c>
    </row>
    <row r="925" ht="15" customHeight="1" s="37">
      <c r="A925" t="n">
        <v>14</v>
      </c>
      <c r="B925" s="10" t="inlineStr">
        <is>
          <t>休日</t>
        </is>
      </c>
      <c r="C925" s="10" t="inlineStr">
        <is>
          <t>本線</t>
        </is>
      </c>
      <c r="D925" s="10" t="inlineStr">
        <is>
          <t>下り</t>
        </is>
      </c>
      <c r="E925" t="inlineStr">
        <is>
          <t>1709</t>
        </is>
      </c>
      <c r="F925" t="inlineStr">
        <is>
          <t>0122</t>
        </is>
      </c>
      <c r="G925" s="10" t="inlineStr">
        <is>
          <t>有栖川</t>
        </is>
      </c>
      <c r="H925" s="10" t="inlineStr">
        <is>
          <t>発</t>
        </is>
      </c>
      <c r="J925" s="10" t="inlineStr">
        <is>
          <t>営業</t>
        </is>
      </c>
      <c r="L925" t="inlineStr">
        <is>
          <t>18:00:50</t>
        </is>
      </c>
      <c r="M925" t="inlineStr">
        <is>
          <t>18:01:15</t>
        </is>
      </c>
    </row>
    <row r="926" ht="15" customHeight="1" s="37">
      <c r="A926" t="n">
        <v>14</v>
      </c>
      <c r="B926" s="10" t="inlineStr">
        <is>
          <t>休日</t>
        </is>
      </c>
      <c r="C926" s="10" t="inlineStr">
        <is>
          <t>本線</t>
        </is>
      </c>
      <c r="D926" s="10" t="inlineStr">
        <is>
          <t>下り</t>
        </is>
      </c>
      <c r="E926" t="inlineStr">
        <is>
          <t>1709</t>
        </is>
      </c>
      <c r="F926" t="inlineStr">
        <is>
          <t>0122</t>
        </is>
      </c>
      <c r="G926" s="10" t="inlineStr">
        <is>
          <t>車折</t>
        </is>
      </c>
      <c r="H926" s="10" t="inlineStr">
        <is>
          <t>発</t>
        </is>
      </c>
      <c r="J926" s="10" t="inlineStr">
        <is>
          <t>営業</t>
        </is>
      </c>
      <c r="L926" t="inlineStr">
        <is>
          <t>18:02:40</t>
        </is>
      </c>
      <c r="M926" t="inlineStr">
        <is>
          <t>18:03:05</t>
        </is>
      </c>
    </row>
    <row r="927" ht="15" customHeight="1" s="37">
      <c r="A927" t="n">
        <v>14</v>
      </c>
      <c r="B927" s="10" t="inlineStr">
        <is>
          <t>休日</t>
        </is>
      </c>
      <c r="C927" s="10" t="inlineStr">
        <is>
          <t>本線</t>
        </is>
      </c>
      <c r="D927" s="10" t="inlineStr">
        <is>
          <t>下り</t>
        </is>
      </c>
      <c r="E927" t="inlineStr">
        <is>
          <t>1709</t>
        </is>
      </c>
      <c r="F927" t="inlineStr">
        <is>
          <t>0122</t>
        </is>
      </c>
      <c r="G927" s="10" t="inlineStr">
        <is>
          <t>鹿王院</t>
        </is>
      </c>
      <c r="H927" s="10" t="inlineStr">
        <is>
          <t>発</t>
        </is>
      </c>
      <c r="J927" s="10" t="inlineStr">
        <is>
          <t>営業</t>
        </is>
      </c>
      <c r="L927" t="inlineStr">
        <is>
          <t>18:04:00</t>
        </is>
      </c>
      <c r="M927" t="inlineStr">
        <is>
          <t>18:04:25</t>
        </is>
      </c>
    </row>
    <row r="928" ht="15" customHeight="1" s="37">
      <c r="A928" t="n">
        <v>14</v>
      </c>
      <c r="B928" s="10" t="inlineStr">
        <is>
          <t>休日</t>
        </is>
      </c>
      <c r="C928" s="10" t="inlineStr">
        <is>
          <t>本線</t>
        </is>
      </c>
      <c r="D928" s="10" t="inlineStr">
        <is>
          <t>下り</t>
        </is>
      </c>
      <c r="E928" t="inlineStr">
        <is>
          <t>1709</t>
        </is>
      </c>
      <c r="F928" t="inlineStr">
        <is>
          <t>0122</t>
        </is>
      </c>
      <c r="G928" s="10" t="inlineStr">
        <is>
          <t>嵯峨</t>
        </is>
      </c>
      <c r="H928" s="10" t="inlineStr">
        <is>
          <t>発</t>
        </is>
      </c>
      <c r="J928" s="10" t="inlineStr">
        <is>
          <t>営業</t>
        </is>
      </c>
      <c r="L928" t="inlineStr">
        <is>
          <t>18:05:30</t>
        </is>
      </c>
      <c r="M928" t="inlineStr">
        <is>
          <t>18:05:55</t>
        </is>
      </c>
    </row>
    <row r="929" ht="15" customHeight="1" s="37">
      <c r="A929" t="n">
        <v>14</v>
      </c>
      <c r="B929" s="10" t="inlineStr">
        <is>
          <t>休日</t>
        </is>
      </c>
      <c r="C929" s="10" t="inlineStr">
        <is>
          <t>本線</t>
        </is>
      </c>
      <c r="D929" s="10" t="inlineStr">
        <is>
          <t>下り</t>
        </is>
      </c>
      <c r="E929" t="inlineStr">
        <is>
          <t>1709</t>
        </is>
      </c>
      <c r="F929" t="inlineStr">
        <is>
          <t>0122</t>
        </is>
      </c>
      <c r="G929" s="10" t="inlineStr">
        <is>
          <t>嵐山</t>
        </is>
      </c>
      <c r="H929" s="10" t="inlineStr">
        <is>
          <t>着</t>
        </is>
      </c>
      <c r="J929" s="10" t="inlineStr">
        <is>
          <t>営業</t>
        </is>
      </c>
      <c r="L929" t="inlineStr">
        <is>
          <t>18:07:00</t>
        </is>
      </c>
      <c r="N929" t="inlineStr">
        <is>
          <t>○</t>
        </is>
      </c>
      <c r="Q929" t="inlineStr">
        <is>
          <t>1</t>
        </is>
      </c>
    </row>
    <row r="930" ht="15" customHeight="1" s="37">
      <c r="A930" t="n">
        <v>14</v>
      </c>
      <c r="B930" s="10" t="inlineStr">
        <is>
          <t>休日</t>
        </is>
      </c>
      <c r="C930" s="10" t="inlineStr">
        <is>
          <t>本線</t>
        </is>
      </c>
      <c r="D930" s="10" t="inlineStr">
        <is>
          <t>上り</t>
        </is>
      </c>
      <c r="E930" t="inlineStr">
        <is>
          <t>1804</t>
        </is>
      </c>
      <c r="F930" t="inlineStr">
        <is>
          <t>2221</t>
        </is>
      </c>
      <c r="G930" s="10" t="inlineStr">
        <is>
          <t>嵐山</t>
        </is>
      </c>
      <c r="H930" s="10" t="inlineStr">
        <is>
          <t>発</t>
        </is>
      </c>
      <c r="J930" s="10" t="inlineStr">
        <is>
          <t>営業</t>
        </is>
      </c>
      <c r="M930" t="inlineStr">
        <is>
          <t>18:13:00</t>
        </is>
      </c>
      <c r="Q930" t="inlineStr">
        <is>
          <t>1</t>
        </is>
      </c>
    </row>
    <row r="931" ht="15" customHeight="1" s="37">
      <c r="A931" t="n">
        <v>14</v>
      </c>
      <c r="B931" s="10" t="inlineStr">
        <is>
          <t>休日</t>
        </is>
      </c>
      <c r="C931" s="10" t="inlineStr">
        <is>
          <t>本線</t>
        </is>
      </c>
      <c r="D931" s="10" t="inlineStr">
        <is>
          <t>上り</t>
        </is>
      </c>
      <c r="E931" t="inlineStr">
        <is>
          <t>1804</t>
        </is>
      </c>
      <c r="F931" t="inlineStr">
        <is>
          <t>2221</t>
        </is>
      </c>
      <c r="G931" s="10" t="inlineStr">
        <is>
          <t>嵯峨</t>
        </is>
      </c>
      <c r="H931" s="10" t="inlineStr">
        <is>
          <t>発</t>
        </is>
      </c>
      <c r="J931" s="10" t="inlineStr">
        <is>
          <t>営業</t>
        </is>
      </c>
      <c r="L931" t="inlineStr">
        <is>
          <t>18:13:55</t>
        </is>
      </c>
      <c r="M931" t="inlineStr">
        <is>
          <t>18:14:20</t>
        </is>
      </c>
    </row>
    <row r="932" ht="15" customHeight="1" s="37">
      <c r="A932" t="n">
        <v>14</v>
      </c>
      <c r="B932" s="10" t="inlineStr">
        <is>
          <t>休日</t>
        </is>
      </c>
      <c r="C932" s="10" t="inlineStr">
        <is>
          <t>本線</t>
        </is>
      </c>
      <c r="D932" s="10" t="inlineStr">
        <is>
          <t>上り</t>
        </is>
      </c>
      <c r="E932" t="inlineStr">
        <is>
          <t>1804</t>
        </is>
      </c>
      <c r="F932" t="inlineStr">
        <is>
          <t>2221</t>
        </is>
      </c>
      <c r="G932" s="10" t="inlineStr">
        <is>
          <t>鹿王院</t>
        </is>
      </c>
      <c r="H932" s="10" t="inlineStr">
        <is>
          <t>発</t>
        </is>
      </c>
      <c r="J932" s="10" t="inlineStr">
        <is>
          <t>営業</t>
        </is>
      </c>
      <c r="L932" t="inlineStr">
        <is>
          <t>18:15:25</t>
        </is>
      </c>
      <c r="M932" t="inlineStr">
        <is>
          <t>18:15:45</t>
        </is>
      </c>
    </row>
    <row r="933" ht="15" customHeight="1" s="37">
      <c r="A933" t="n">
        <v>14</v>
      </c>
      <c r="B933" s="10" t="inlineStr">
        <is>
          <t>休日</t>
        </is>
      </c>
      <c r="C933" s="10" t="inlineStr">
        <is>
          <t>本線</t>
        </is>
      </c>
      <c r="D933" s="10" t="inlineStr">
        <is>
          <t>上り</t>
        </is>
      </c>
      <c r="E933" t="inlineStr">
        <is>
          <t>1804</t>
        </is>
      </c>
      <c r="F933" t="inlineStr">
        <is>
          <t>2221</t>
        </is>
      </c>
      <c r="G933" s="10" t="inlineStr">
        <is>
          <t>車折</t>
        </is>
      </c>
      <c r="H933" s="10" t="inlineStr">
        <is>
          <t>発</t>
        </is>
      </c>
      <c r="J933" s="10" t="inlineStr">
        <is>
          <t>営業</t>
        </is>
      </c>
      <c r="L933" t="inlineStr">
        <is>
          <t>18:16:40</t>
        </is>
      </c>
      <c r="M933" t="inlineStr">
        <is>
          <t>18:17:10</t>
        </is>
      </c>
    </row>
    <row r="934" ht="15" customHeight="1" s="37">
      <c r="A934" t="n">
        <v>14</v>
      </c>
      <c r="B934" s="10" t="inlineStr">
        <is>
          <t>休日</t>
        </is>
      </c>
      <c r="C934" s="10" t="inlineStr">
        <is>
          <t>本線</t>
        </is>
      </c>
      <c r="D934" s="10" t="inlineStr">
        <is>
          <t>上り</t>
        </is>
      </c>
      <c r="E934" t="inlineStr">
        <is>
          <t>1804</t>
        </is>
      </c>
      <c r="F934" t="inlineStr">
        <is>
          <t>2221</t>
        </is>
      </c>
      <c r="G934" s="10" t="inlineStr">
        <is>
          <t>有栖川</t>
        </is>
      </c>
      <c r="H934" s="10" t="inlineStr">
        <is>
          <t>発</t>
        </is>
      </c>
      <c r="J934" s="10" t="inlineStr">
        <is>
          <t>営業</t>
        </is>
      </c>
      <c r="L934" t="inlineStr">
        <is>
          <t>18:18:35</t>
        </is>
      </c>
      <c r="M934" t="inlineStr">
        <is>
          <t>18:18:55</t>
        </is>
      </c>
    </row>
    <row r="935" ht="15" customHeight="1" s="37">
      <c r="A935" t="n">
        <v>14</v>
      </c>
      <c r="B935" s="10" t="inlineStr">
        <is>
          <t>休日</t>
        </is>
      </c>
      <c r="C935" s="10" t="inlineStr">
        <is>
          <t>本線</t>
        </is>
      </c>
      <c r="D935" s="10" t="inlineStr">
        <is>
          <t>上り</t>
        </is>
      </c>
      <c r="E935" t="inlineStr">
        <is>
          <t>1804</t>
        </is>
      </c>
      <c r="F935" t="inlineStr">
        <is>
          <t>2221</t>
        </is>
      </c>
      <c r="G935" s="10" t="inlineStr">
        <is>
          <t>帷子ノ辻</t>
        </is>
      </c>
      <c r="H935" s="10" t="inlineStr">
        <is>
          <t>発</t>
        </is>
      </c>
      <c r="J935" s="10" t="inlineStr">
        <is>
          <t>営業</t>
        </is>
      </c>
      <c r="L935" t="inlineStr">
        <is>
          <t>18:20:10</t>
        </is>
      </c>
      <c r="M935" t="inlineStr">
        <is>
          <t>18:21:15</t>
        </is>
      </c>
    </row>
    <row r="936" ht="15" customHeight="1" s="37">
      <c r="A936" t="n">
        <v>14</v>
      </c>
      <c r="B936" s="10" t="inlineStr">
        <is>
          <t>休日</t>
        </is>
      </c>
      <c r="C936" s="10" t="inlineStr">
        <is>
          <t>本線</t>
        </is>
      </c>
      <c r="D936" s="10" t="inlineStr">
        <is>
          <t>上り</t>
        </is>
      </c>
      <c r="E936" t="inlineStr">
        <is>
          <t>1804</t>
        </is>
      </c>
      <c r="F936" t="inlineStr">
        <is>
          <t>2221</t>
        </is>
      </c>
      <c r="G936" s="10" t="inlineStr">
        <is>
          <t>太秦広隆寺</t>
        </is>
      </c>
      <c r="H936" s="10" t="inlineStr">
        <is>
          <t>発</t>
        </is>
      </c>
      <c r="J936" s="10" t="inlineStr">
        <is>
          <t>営業</t>
        </is>
      </c>
      <c r="L936" t="inlineStr">
        <is>
          <t>18:23:25</t>
        </is>
      </c>
      <c r="M936" t="inlineStr">
        <is>
          <t>18:23:45</t>
        </is>
      </c>
    </row>
    <row r="937" ht="15" customHeight="1" s="37">
      <c r="A937" t="n">
        <v>14</v>
      </c>
      <c r="B937" s="10" t="inlineStr">
        <is>
          <t>休日</t>
        </is>
      </c>
      <c r="C937" s="10" t="inlineStr">
        <is>
          <t>本線</t>
        </is>
      </c>
      <c r="D937" s="10" t="inlineStr">
        <is>
          <t>上り</t>
        </is>
      </c>
      <c r="E937" t="inlineStr">
        <is>
          <t>1804</t>
        </is>
      </c>
      <c r="F937" t="inlineStr">
        <is>
          <t>2221</t>
        </is>
      </c>
      <c r="G937" s="10" t="inlineStr">
        <is>
          <t>蚕ノ社</t>
        </is>
      </c>
      <c r="H937" s="10" t="inlineStr">
        <is>
          <t>発</t>
        </is>
      </c>
      <c r="J937" s="10" t="inlineStr">
        <is>
          <t>営業</t>
        </is>
      </c>
      <c r="L937" t="inlineStr">
        <is>
          <t>18:25:00</t>
        </is>
      </c>
      <c r="M937" t="inlineStr">
        <is>
          <t>18:25:20</t>
        </is>
      </c>
    </row>
    <row r="938" ht="15" customHeight="1" s="37">
      <c r="A938" t="n">
        <v>14</v>
      </c>
      <c r="B938" s="10" t="inlineStr">
        <is>
          <t>休日</t>
        </is>
      </c>
      <c r="C938" s="10" t="inlineStr">
        <is>
          <t>本線</t>
        </is>
      </c>
      <c r="D938" s="10" t="inlineStr">
        <is>
          <t>上り</t>
        </is>
      </c>
      <c r="E938" t="inlineStr">
        <is>
          <t>1804</t>
        </is>
      </c>
      <c r="F938" t="inlineStr">
        <is>
          <t>2221</t>
        </is>
      </c>
      <c r="G938" s="10" t="inlineStr">
        <is>
          <t>天神川</t>
        </is>
      </c>
      <c r="H938" s="10" t="inlineStr">
        <is>
          <t>発</t>
        </is>
      </c>
      <c r="J938" s="10" t="inlineStr">
        <is>
          <t>営業</t>
        </is>
      </c>
      <c r="L938" t="inlineStr">
        <is>
          <t>18:26:05</t>
        </is>
      </c>
      <c r="M938" t="inlineStr">
        <is>
          <t>18:26:50</t>
        </is>
      </c>
    </row>
    <row r="939" ht="15" customHeight="1" s="37">
      <c r="A939" t="n">
        <v>14</v>
      </c>
      <c r="B939" s="10" t="inlineStr">
        <is>
          <t>休日</t>
        </is>
      </c>
      <c r="C939" s="10" t="inlineStr">
        <is>
          <t>本線</t>
        </is>
      </c>
      <c r="D939" s="10" t="inlineStr">
        <is>
          <t>上り</t>
        </is>
      </c>
      <c r="E939" t="inlineStr">
        <is>
          <t>1804</t>
        </is>
      </c>
      <c r="F939" t="inlineStr">
        <is>
          <t>2221</t>
        </is>
      </c>
      <c r="G939" s="10" t="inlineStr">
        <is>
          <t>山ノ内</t>
        </is>
      </c>
      <c r="H939" s="10" t="inlineStr">
        <is>
          <t>発</t>
        </is>
      </c>
      <c r="J939" s="10" t="inlineStr">
        <is>
          <t>営業</t>
        </is>
      </c>
      <c r="L939" t="inlineStr">
        <is>
          <t>18:28:40</t>
        </is>
      </c>
      <c r="M939" t="inlineStr">
        <is>
          <t>18:29:05</t>
        </is>
      </c>
    </row>
    <row r="940" ht="15" customHeight="1" s="37">
      <c r="A940" t="n">
        <v>14</v>
      </c>
      <c r="B940" s="10" t="inlineStr">
        <is>
          <t>休日</t>
        </is>
      </c>
      <c r="C940" s="10" t="inlineStr">
        <is>
          <t>本線</t>
        </is>
      </c>
      <c r="D940" s="10" t="inlineStr">
        <is>
          <t>上り</t>
        </is>
      </c>
      <c r="E940" t="inlineStr">
        <is>
          <t>1804</t>
        </is>
      </c>
      <c r="F940" t="inlineStr">
        <is>
          <t>2221</t>
        </is>
      </c>
      <c r="G940" s="10" t="inlineStr">
        <is>
          <t>西大路三条</t>
        </is>
      </c>
      <c r="H940" s="10" t="inlineStr">
        <is>
          <t>発</t>
        </is>
      </c>
      <c r="J940" s="10" t="inlineStr">
        <is>
          <t>営業</t>
        </is>
      </c>
      <c r="L940" t="inlineStr">
        <is>
          <t>18:30:55</t>
        </is>
      </c>
      <c r="M940" t="inlineStr">
        <is>
          <t>18:31:15</t>
        </is>
      </c>
    </row>
    <row r="941" ht="15" customHeight="1" s="37">
      <c r="A941" t="n">
        <v>14</v>
      </c>
      <c r="B941" s="10" t="inlineStr">
        <is>
          <t>休日</t>
        </is>
      </c>
      <c r="C941" s="10" t="inlineStr">
        <is>
          <t>本線</t>
        </is>
      </c>
      <c r="D941" s="10" t="inlineStr">
        <is>
          <t>上り</t>
        </is>
      </c>
      <c r="E941" t="inlineStr">
        <is>
          <t>1804</t>
        </is>
      </c>
      <c r="F941" t="inlineStr">
        <is>
          <t>2221</t>
        </is>
      </c>
      <c r="G941" s="10" t="inlineStr">
        <is>
          <t>西院</t>
        </is>
      </c>
      <c r="H941" s="10" t="inlineStr">
        <is>
          <t>発</t>
        </is>
      </c>
      <c r="J941" s="10" t="inlineStr">
        <is>
          <t>営業</t>
        </is>
      </c>
      <c r="L941" t="inlineStr">
        <is>
          <t>18:33:10</t>
        </is>
      </c>
      <c r="M941" t="inlineStr">
        <is>
          <t>18:34:05</t>
        </is>
      </c>
    </row>
    <row r="942" ht="15" customHeight="1" s="37">
      <c r="A942" t="n">
        <v>14</v>
      </c>
      <c r="B942" s="10" t="inlineStr">
        <is>
          <t>休日</t>
        </is>
      </c>
      <c r="C942" s="10" t="inlineStr">
        <is>
          <t>本線</t>
        </is>
      </c>
      <c r="D942" s="10" t="inlineStr">
        <is>
          <t>上り</t>
        </is>
      </c>
      <c r="E942" t="inlineStr">
        <is>
          <t>1804</t>
        </is>
      </c>
      <c r="F942" t="inlineStr">
        <is>
          <t>2221</t>
        </is>
      </c>
      <c r="G942" s="10" t="inlineStr">
        <is>
          <t>四条大宮</t>
        </is>
      </c>
      <c r="H942" s="10" t="inlineStr">
        <is>
          <t>着</t>
        </is>
      </c>
      <c r="J942" s="10" t="inlineStr">
        <is>
          <t>営業</t>
        </is>
      </c>
      <c r="L942" t="inlineStr">
        <is>
          <t>18:37:00</t>
        </is>
      </c>
      <c r="Q942" t="inlineStr">
        <is>
          <t>1</t>
        </is>
      </c>
    </row>
    <row r="943" ht="15" customHeight="1" s="37">
      <c r="A943" t="n">
        <v>14</v>
      </c>
      <c r="B943" s="10" t="inlineStr">
        <is>
          <t>休日</t>
        </is>
      </c>
      <c r="C943" s="10" t="inlineStr">
        <is>
          <t>本線</t>
        </is>
      </c>
      <c r="D943" s="10" t="inlineStr">
        <is>
          <t>下り</t>
        </is>
      </c>
      <c r="E943" t="inlineStr">
        <is>
          <t>1809</t>
        </is>
      </c>
      <c r="F943" t="inlineStr">
        <is>
          <t>0122</t>
        </is>
      </c>
      <c r="G943" s="10" t="inlineStr">
        <is>
          <t>四条大宮</t>
        </is>
      </c>
      <c r="H943" s="10" t="inlineStr">
        <is>
          <t>発</t>
        </is>
      </c>
      <c r="J943" s="10" t="inlineStr">
        <is>
          <t>営業</t>
        </is>
      </c>
      <c r="M943" t="inlineStr">
        <is>
          <t>18:43:00</t>
        </is>
      </c>
      <c r="Q943" t="inlineStr">
        <is>
          <t>1</t>
        </is>
      </c>
    </row>
    <row r="944" ht="15" customHeight="1" s="37">
      <c r="A944" t="n">
        <v>14</v>
      </c>
      <c r="B944" s="10" t="inlineStr">
        <is>
          <t>休日</t>
        </is>
      </c>
      <c r="C944" s="10" t="inlineStr">
        <is>
          <t>本線</t>
        </is>
      </c>
      <c r="D944" s="10" t="inlineStr">
        <is>
          <t>下り</t>
        </is>
      </c>
      <c r="E944" t="inlineStr">
        <is>
          <t>1809</t>
        </is>
      </c>
      <c r="F944" t="inlineStr">
        <is>
          <t>0122</t>
        </is>
      </c>
      <c r="G944" s="10" t="inlineStr">
        <is>
          <t>西院</t>
        </is>
      </c>
      <c r="H944" s="10" t="inlineStr">
        <is>
          <t>発</t>
        </is>
      </c>
      <c r="J944" s="10" t="inlineStr">
        <is>
          <t>営業</t>
        </is>
      </c>
      <c r="L944" t="inlineStr">
        <is>
          <t>18:45:50</t>
        </is>
      </c>
      <c r="M944" t="inlineStr">
        <is>
          <t>18:46:20</t>
        </is>
      </c>
    </row>
    <row r="945" ht="15" customHeight="1" s="37">
      <c r="A945" t="n">
        <v>14</v>
      </c>
      <c r="B945" s="10" t="inlineStr">
        <is>
          <t>休日</t>
        </is>
      </c>
      <c r="C945" s="10" t="inlineStr">
        <is>
          <t>本線</t>
        </is>
      </c>
      <c r="D945" s="10" t="inlineStr">
        <is>
          <t>下り</t>
        </is>
      </c>
      <c r="E945" t="inlineStr">
        <is>
          <t>1809</t>
        </is>
      </c>
      <c r="F945" t="inlineStr">
        <is>
          <t>0122</t>
        </is>
      </c>
      <c r="G945" s="10" t="inlineStr">
        <is>
          <t>西大路三条</t>
        </is>
      </c>
      <c r="H945" s="10" t="inlineStr">
        <is>
          <t>発</t>
        </is>
      </c>
      <c r="J945" s="10" t="inlineStr">
        <is>
          <t>営業</t>
        </is>
      </c>
      <c r="L945" t="inlineStr">
        <is>
          <t>18:48:10</t>
        </is>
      </c>
      <c r="M945" t="inlineStr">
        <is>
          <t>18:48:30</t>
        </is>
      </c>
    </row>
    <row r="946" ht="15" customHeight="1" s="37">
      <c r="A946" t="n">
        <v>14</v>
      </c>
      <c r="B946" s="10" t="inlineStr">
        <is>
          <t>休日</t>
        </is>
      </c>
      <c r="C946" s="10" t="inlineStr">
        <is>
          <t>本線</t>
        </is>
      </c>
      <c r="D946" s="10" t="inlineStr">
        <is>
          <t>下り</t>
        </is>
      </c>
      <c r="E946" t="inlineStr">
        <is>
          <t>1809</t>
        </is>
      </c>
      <c r="F946" t="inlineStr">
        <is>
          <t>0122</t>
        </is>
      </c>
      <c r="G946" s="10" t="inlineStr">
        <is>
          <t>山ノ内</t>
        </is>
      </c>
      <c r="H946" s="10" t="inlineStr">
        <is>
          <t>発</t>
        </is>
      </c>
      <c r="J946" s="10" t="inlineStr">
        <is>
          <t>営業</t>
        </is>
      </c>
      <c r="L946" t="inlineStr">
        <is>
          <t>18:50:25</t>
        </is>
      </c>
      <c r="M946" t="inlineStr">
        <is>
          <t>18:50:50</t>
        </is>
      </c>
    </row>
    <row r="947" ht="15" customHeight="1" s="37">
      <c r="A947" t="n">
        <v>14</v>
      </c>
      <c r="B947" s="10" t="inlineStr">
        <is>
          <t>休日</t>
        </is>
      </c>
      <c r="C947" s="10" t="inlineStr">
        <is>
          <t>本線</t>
        </is>
      </c>
      <c r="D947" s="10" t="inlineStr">
        <is>
          <t>下り</t>
        </is>
      </c>
      <c r="E947" t="inlineStr">
        <is>
          <t>1809</t>
        </is>
      </c>
      <c r="F947" t="inlineStr">
        <is>
          <t>0122</t>
        </is>
      </c>
      <c r="G947" s="10" t="inlineStr">
        <is>
          <t>天神川</t>
        </is>
      </c>
      <c r="H947" s="10" t="inlineStr">
        <is>
          <t>発</t>
        </is>
      </c>
      <c r="J947" s="10" t="inlineStr">
        <is>
          <t>営業</t>
        </is>
      </c>
      <c r="L947" t="inlineStr">
        <is>
          <t>18:52:50</t>
        </is>
      </c>
      <c r="M947" t="inlineStr">
        <is>
          <t>18:53:30</t>
        </is>
      </c>
    </row>
    <row r="948" ht="15" customHeight="1" s="37">
      <c r="A948" t="n">
        <v>14</v>
      </c>
      <c r="B948" s="10" t="inlineStr">
        <is>
          <t>休日</t>
        </is>
      </c>
      <c r="C948" s="10" t="inlineStr">
        <is>
          <t>本線</t>
        </is>
      </c>
      <c r="D948" s="10" t="inlineStr">
        <is>
          <t>下り</t>
        </is>
      </c>
      <c r="E948" t="inlineStr">
        <is>
          <t>1809</t>
        </is>
      </c>
      <c r="F948" t="inlineStr">
        <is>
          <t>0122</t>
        </is>
      </c>
      <c r="G948" s="10" t="inlineStr">
        <is>
          <t>蚕ノ社</t>
        </is>
      </c>
      <c r="H948" s="10" t="inlineStr">
        <is>
          <t>発</t>
        </is>
      </c>
      <c r="J948" s="10" t="inlineStr">
        <is>
          <t>営業</t>
        </is>
      </c>
      <c r="L948" t="inlineStr">
        <is>
          <t>18:54:20</t>
        </is>
      </c>
      <c r="M948" t="inlineStr">
        <is>
          <t>18:54:40</t>
        </is>
      </c>
    </row>
    <row r="949" ht="15" customHeight="1" s="37">
      <c r="A949" t="n">
        <v>14</v>
      </c>
      <c r="B949" s="10" t="inlineStr">
        <is>
          <t>休日</t>
        </is>
      </c>
      <c r="C949" s="10" t="inlineStr">
        <is>
          <t>本線</t>
        </is>
      </c>
      <c r="D949" s="10" t="inlineStr">
        <is>
          <t>下り</t>
        </is>
      </c>
      <c r="E949" t="inlineStr">
        <is>
          <t>1809</t>
        </is>
      </c>
      <c r="F949" t="inlineStr">
        <is>
          <t>0122</t>
        </is>
      </c>
      <c r="G949" s="10" t="inlineStr">
        <is>
          <t>太秦広隆寺</t>
        </is>
      </c>
      <c r="H949" s="10" t="inlineStr">
        <is>
          <t>発</t>
        </is>
      </c>
      <c r="J949" s="10" t="inlineStr">
        <is>
          <t>営業</t>
        </is>
      </c>
      <c r="L949" t="inlineStr">
        <is>
          <t>18:56:00</t>
        </is>
      </c>
      <c r="M949" t="inlineStr">
        <is>
          <t>18:56:20</t>
        </is>
      </c>
    </row>
    <row r="950" ht="15" customHeight="1" s="37">
      <c r="A950" t="n">
        <v>14</v>
      </c>
      <c r="B950" s="10" t="inlineStr">
        <is>
          <t>休日</t>
        </is>
      </c>
      <c r="C950" s="10" t="inlineStr">
        <is>
          <t>本線</t>
        </is>
      </c>
      <c r="D950" s="10" t="inlineStr">
        <is>
          <t>下り</t>
        </is>
      </c>
      <c r="E950" t="inlineStr">
        <is>
          <t>1809</t>
        </is>
      </c>
      <c r="F950" t="inlineStr">
        <is>
          <t>0122</t>
        </is>
      </c>
      <c r="G950" s="10" t="inlineStr">
        <is>
          <t>帷子ノ辻</t>
        </is>
      </c>
      <c r="H950" s="10" t="inlineStr">
        <is>
          <t>発</t>
        </is>
      </c>
      <c r="J950" s="10" t="inlineStr">
        <is>
          <t>営業</t>
        </is>
      </c>
      <c r="L950" t="inlineStr">
        <is>
          <t>18:58:20</t>
        </is>
      </c>
      <c r="M950" t="inlineStr">
        <is>
          <t>18:59:40</t>
        </is>
      </c>
    </row>
    <row r="951" ht="15" customHeight="1" s="37">
      <c r="A951" t="n">
        <v>14</v>
      </c>
      <c r="B951" s="10" t="inlineStr">
        <is>
          <t>休日</t>
        </is>
      </c>
      <c r="C951" s="10" t="inlineStr">
        <is>
          <t>本線</t>
        </is>
      </c>
      <c r="D951" s="10" t="inlineStr">
        <is>
          <t>下り</t>
        </is>
      </c>
      <c r="E951" t="inlineStr">
        <is>
          <t>1809</t>
        </is>
      </c>
      <c r="F951" t="inlineStr">
        <is>
          <t>0122</t>
        </is>
      </c>
      <c r="G951" s="10" t="inlineStr">
        <is>
          <t>有栖川</t>
        </is>
      </c>
      <c r="H951" s="10" t="inlineStr">
        <is>
          <t>発</t>
        </is>
      </c>
      <c r="J951" s="10" t="inlineStr">
        <is>
          <t>営業</t>
        </is>
      </c>
      <c r="L951" t="inlineStr">
        <is>
          <t>19:00:50</t>
        </is>
      </c>
      <c r="M951" t="inlineStr">
        <is>
          <t>19:01:15</t>
        </is>
      </c>
    </row>
    <row r="952" ht="15" customHeight="1" s="37">
      <c r="A952" t="n">
        <v>14</v>
      </c>
      <c r="B952" s="10" t="inlineStr">
        <is>
          <t>休日</t>
        </is>
      </c>
      <c r="C952" s="10" t="inlineStr">
        <is>
          <t>本線</t>
        </is>
      </c>
      <c r="D952" s="10" t="inlineStr">
        <is>
          <t>下り</t>
        </is>
      </c>
      <c r="E952" t="inlineStr">
        <is>
          <t>1809</t>
        </is>
      </c>
      <c r="F952" t="inlineStr">
        <is>
          <t>0122</t>
        </is>
      </c>
      <c r="G952" s="10" t="inlineStr">
        <is>
          <t>車折</t>
        </is>
      </c>
      <c r="H952" s="10" t="inlineStr">
        <is>
          <t>発</t>
        </is>
      </c>
      <c r="J952" s="10" t="inlineStr">
        <is>
          <t>営業</t>
        </is>
      </c>
      <c r="L952" t="inlineStr">
        <is>
          <t>19:02:40</t>
        </is>
      </c>
      <c r="M952" t="inlineStr">
        <is>
          <t>19:03:05</t>
        </is>
      </c>
    </row>
    <row r="953" ht="15" customHeight="1" s="37">
      <c r="A953" t="n">
        <v>14</v>
      </c>
      <c r="B953" s="10" t="inlineStr">
        <is>
          <t>休日</t>
        </is>
      </c>
      <c r="C953" s="10" t="inlineStr">
        <is>
          <t>本線</t>
        </is>
      </c>
      <c r="D953" s="10" t="inlineStr">
        <is>
          <t>下り</t>
        </is>
      </c>
      <c r="E953" t="inlineStr">
        <is>
          <t>1809</t>
        </is>
      </c>
      <c r="F953" t="inlineStr">
        <is>
          <t>0122</t>
        </is>
      </c>
      <c r="G953" s="10" t="inlineStr">
        <is>
          <t>鹿王院</t>
        </is>
      </c>
      <c r="H953" s="10" t="inlineStr">
        <is>
          <t>発</t>
        </is>
      </c>
      <c r="J953" s="10" t="inlineStr">
        <is>
          <t>営業</t>
        </is>
      </c>
      <c r="L953" t="inlineStr">
        <is>
          <t>19:04:00</t>
        </is>
      </c>
      <c r="M953" t="inlineStr">
        <is>
          <t>19:04:25</t>
        </is>
      </c>
    </row>
    <row r="954" ht="15" customHeight="1" s="37">
      <c r="A954" t="n">
        <v>14</v>
      </c>
      <c r="B954" s="10" t="inlineStr">
        <is>
          <t>休日</t>
        </is>
      </c>
      <c r="C954" s="10" t="inlineStr">
        <is>
          <t>本線</t>
        </is>
      </c>
      <c r="D954" s="10" t="inlineStr">
        <is>
          <t>下り</t>
        </is>
      </c>
      <c r="E954" t="inlineStr">
        <is>
          <t>1809</t>
        </is>
      </c>
      <c r="F954" t="inlineStr">
        <is>
          <t>0122</t>
        </is>
      </c>
      <c r="G954" s="10" t="inlineStr">
        <is>
          <t>嵯峨</t>
        </is>
      </c>
      <c r="H954" s="10" t="inlineStr">
        <is>
          <t>発</t>
        </is>
      </c>
      <c r="J954" s="10" t="inlineStr">
        <is>
          <t>営業</t>
        </is>
      </c>
      <c r="L954" t="inlineStr">
        <is>
          <t>19:05:30</t>
        </is>
      </c>
      <c r="M954" t="inlineStr">
        <is>
          <t>19:05:55</t>
        </is>
      </c>
    </row>
    <row r="955" ht="15" customHeight="1" s="37">
      <c r="A955" t="n">
        <v>14</v>
      </c>
      <c r="B955" s="10" t="inlineStr">
        <is>
          <t>休日</t>
        </is>
      </c>
      <c r="C955" s="10" t="inlineStr">
        <is>
          <t>本線</t>
        </is>
      </c>
      <c r="D955" s="10" t="inlineStr">
        <is>
          <t>下り</t>
        </is>
      </c>
      <c r="E955" t="inlineStr">
        <is>
          <t>1809</t>
        </is>
      </c>
      <c r="F955" t="inlineStr">
        <is>
          <t>0122</t>
        </is>
      </c>
      <c r="G955" s="10" t="inlineStr">
        <is>
          <t>嵐山</t>
        </is>
      </c>
      <c r="H955" s="10" t="inlineStr">
        <is>
          <t>着</t>
        </is>
      </c>
      <c r="J955" s="10" t="inlineStr">
        <is>
          <t>営業</t>
        </is>
      </c>
      <c r="L955" t="inlineStr">
        <is>
          <t>19:07:00</t>
        </is>
      </c>
      <c r="N955" t="inlineStr">
        <is>
          <t>○</t>
        </is>
      </c>
      <c r="Q955" t="inlineStr">
        <is>
          <t>1</t>
        </is>
      </c>
    </row>
    <row r="956" ht="15" customHeight="1" s="37">
      <c r="A956" t="n">
        <v>14</v>
      </c>
      <c r="B956" s="10" t="inlineStr">
        <is>
          <t>休日</t>
        </is>
      </c>
      <c r="C956" s="10" t="inlineStr">
        <is>
          <t>本線</t>
        </is>
      </c>
      <c r="D956" s="10" t="inlineStr">
        <is>
          <t>上り</t>
        </is>
      </c>
      <c r="E956" t="inlineStr">
        <is>
          <t>1904</t>
        </is>
      </c>
      <c r="F956" t="inlineStr">
        <is>
          <t>2221</t>
        </is>
      </c>
      <c r="G956" s="10" t="inlineStr">
        <is>
          <t>嵐山</t>
        </is>
      </c>
      <c r="H956" s="10" t="inlineStr">
        <is>
          <t>発</t>
        </is>
      </c>
      <c r="J956" s="10" t="inlineStr">
        <is>
          <t>営業</t>
        </is>
      </c>
      <c r="M956" t="inlineStr">
        <is>
          <t>19:13:00</t>
        </is>
      </c>
      <c r="Q956" t="inlineStr">
        <is>
          <t>1</t>
        </is>
      </c>
      <c r="U956" t="inlineStr">
        <is>
          <t>→西院 休憩(19:46〜21:02)</t>
        </is>
      </c>
    </row>
    <row r="957" ht="15" customHeight="1" s="37">
      <c r="A957" t="n">
        <v>14</v>
      </c>
      <c r="B957" s="10" t="inlineStr">
        <is>
          <t>休日</t>
        </is>
      </c>
      <c r="C957" s="10" t="inlineStr">
        <is>
          <t>本線</t>
        </is>
      </c>
      <c r="D957" s="10" t="inlineStr">
        <is>
          <t>上り</t>
        </is>
      </c>
      <c r="E957" t="inlineStr">
        <is>
          <t>1904</t>
        </is>
      </c>
      <c r="F957" t="inlineStr">
        <is>
          <t>2221</t>
        </is>
      </c>
      <c r="G957" s="10" t="inlineStr">
        <is>
          <t>嵯峨</t>
        </is>
      </c>
      <c r="H957" s="10" t="inlineStr">
        <is>
          <t>発</t>
        </is>
      </c>
      <c r="J957" s="10" t="inlineStr">
        <is>
          <t>営業</t>
        </is>
      </c>
      <c r="L957" t="inlineStr">
        <is>
          <t>19:13:55</t>
        </is>
      </c>
      <c r="M957" t="inlineStr">
        <is>
          <t>19:14:20</t>
        </is>
      </c>
      <c r="U957" t="inlineStr">
        <is>
          <t>→西院 休憩(19:46〜21:02)</t>
        </is>
      </c>
    </row>
    <row r="958" ht="15" customHeight="1" s="37">
      <c r="A958" t="n">
        <v>14</v>
      </c>
      <c r="B958" s="10" t="inlineStr">
        <is>
          <t>休日</t>
        </is>
      </c>
      <c r="C958" s="10" t="inlineStr">
        <is>
          <t>本線</t>
        </is>
      </c>
      <c r="D958" s="10" t="inlineStr">
        <is>
          <t>上り</t>
        </is>
      </c>
      <c r="E958" t="inlineStr">
        <is>
          <t>1904</t>
        </is>
      </c>
      <c r="F958" t="inlineStr">
        <is>
          <t>2221</t>
        </is>
      </c>
      <c r="G958" s="10" t="inlineStr">
        <is>
          <t>鹿王院</t>
        </is>
      </c>
      <c r="H958" s="10" t="inlineStr">
        <is>
          <t>発</t>
        </is>
      </c>
      <c r="J958" s="10" t="inlineStr">
        <is>
          <t>営業</t>
        </is>
      </c>
      <c r="L958" t="inlineStr">
        <is>
          <t>19:15:25</t>
        </is>
      </c>
      <c r="M958" t="inlineStr">
        <is>
          <t>19:15:45</t>
        </is>
      </c>
      <c r="U958" t="inlineStr">
        <is>
          <t>→西院 休憩(19:46〜21:02)</t>
        </is>
      </c>
    </row>
    <row r="959" ht="15" customHeight="1" s="37">
      <c r="A959" t="n">
        <v>14</v>
      </c>
      <c r="B959" s="10" t="inlineStr">
        <is>
          <t>休日</t>
        </is>
      </c>
      <c r="C959" s="10" t="inlineStr">
        <is>
          <t>本線</t>
        </is>
      </c>
      <c r="D959" s="10" t="inlineStr">
        <is>
          <t>上り</t>
        </is>
      </c>
      <c r="E959" t="inlineStr">
        <is>
          <t>1904</t>
        </is>
      </c>
      <c r="F959" t="inlineStr">
        <is>
          <t>2221</t>
        </is>
      </c>
      <c r="G959" s="10" t="inlineStr">
        <is>
          <t>車折</t>
        </is>
      </c>
      <c r="H959" s="10" t="inlineStr">
        <is>
          <t>発</t>
        </is>
      </c>
      <c r="J959" s="10" t="inlineStr">
        <is>
          <t>営業</t>
        </is>
      </c>
      <c r="L959" t="inlineStr">
        <is>
          <t>19:16:40</t>
        </is>
      </c>
      <c r="M959" t="inlineStr">
        <is>
          <t>19:17:10</t>
        </is>
      </c>
      <c r="U959" t="inlineStr">
        <is>
          <t>→西院 休憩(19:46〜21:02)</t>
        </is>
      </c>
    </row>
    <row r="960" ht="15" customHeight="1" s="37">
      <c r="A960" t="n">
        <v>14</v>
      </c>
      <c r="B960" s="10" t="inlineStr">
        <is>
          <t>休日</t>
        </is>
      </c>
      <c r="C960" s="10" t="inlineStr">
        <is>
          <t>本線</t>
        </is>
      </c>
      <c r="D960" s="10" t="inlineStr">
        <is>
          <t>上り</t>
        </is>
      </c>
      <c r="E960" t="inlineStr">
        <is>
          <t>1904</t>
        </is>
      </c>
      <c r="F960" t="inlineStr">
        <is>
          <t>2221</t>
        </is>
      </c>
      <c r="G960" s="10" t="inlineStr">
        <is>
          <t>有栖川</t>
        </is>
      </c>
      <c r="H960" s="10" t="inlineStr">
        <is>
          <t>発</t>
        </is>
      </c>
      <c r="J960" s="10" t="inlineStr">
        <is>
          <t>営業</t>
        </is>
      </c>
      <c r="L960" t="inlineStr">
        <is>
          <t>19:18:35</t>
        </is>
      </c>
      <c r="M960" t="inlineStr">
        <is>
          <t>19:18:55</t>
        </is>
      </c>
      <c r="U960" t="inlineStr">
        <is>
          <t>→西院 休憩(19:46〜21:02)</t>
        </is>
      </c>
    </row>
    <row r="961" ht="15" customHeight="1" s="37">
      <c r="A961" t="n">
        <v>14</v>
      </c>
      <c r="B961" s="10" t="inlineStr">
        <is>
          <t>休日</t>
        </is>
      </c>
      <c r="C961" s="10" t="inlineStr">
        <is>
          <t>本線</t>
        </is>
      </c>
      <c r="D961" s="10" t="inlineStr">
        <is>
          <t>上り</t>
        </is>
      </c>
      <c r="E961" t="inlineStr">
        <is>
          <t>1904</t>
        </is>
      </c>
      <c r="F961" t="inlineStr">
        <is>
          <t>2221</t>
        </is>
      </c>
      <c r="G961" s="10" t="inlineStr">
        <is>
          <t>帷子ノ辻</t>
        </is>
      </c>
      <c r="H961" s="10" t="inlineStr">
        <is>
          <t>発</t>
        </is>
      </c>
      <c r="J961" s="10" t="inlineStr">
        <is>
          <t>営業</t>
        </is>
      </c>
      <c r="L961" t="inlineStr">
        <is>
          <t>19:20:10</t>
        </is>
      </c>
      <c r="M961" t="inlineStr">
        <is>
          <t>19:21:15</t>
        </is>
      </c>
      <c r="U961" t="inlineStr">
        <is>
          <t>→西院 休憩(19:46〜21:02)</t>
        </is>
      </c>
    </row>
    <row r="962" ht="15" customHeight="1" s="37">
      <c r="A962" t="n">
        <v>14</v>
      </c>
      <c r="B962" s="10" t="inlineStr">
        <is>
          <t>休日</t>
        </is>
      </c>
      <c r="C962" s="10" t="inlineStr">
        <is>
          <t>本線</t>
        </is>
      </c>
      <c r="D962" s="10" t="inlineStr">
        <is>
          <t>上り</t>
        </is>
      </c>
      <c r="E962" t="inlineStr">
        <is>
          <t>1904</t>
        </is>
      </c>
      <c r="F962" t="inlineStr">
        <is>
          <t>2221</t>
        </is>
      </c>
      <c r="G962" s="10" t="inlineStr">
        <is>
          <t>太秦広隆寺</t>
        </is>
      </c>
      <c r="H962" s="10" t="inlineStr">
        <is>
          <t>発</t>
        </is>
      </c>
      <c r="J962" s="10" t="inlineStr">
        <is>
          <t>営業</t>
        </is>
      </c>
      <c r="L962" t="inlineStr">
        <is>
          <t>19:23:25</t>
        </is>
      </c>
      <c r="M962" t="inlineStr">
        <is>
          <t>19:23:45</t>
        </is>
      </c>
      <c r="U962" t="inlineStr">
        <is>
          <t>→西院 休憩(19:46〜21:02)</t>
        </is>
      </c>
    </row>
    <row r="963" ht="15" customHeight="1" s="37">
      <c r="A963" t="n">
        <v>14</v>
      </c>
      <c r="B963" s="10" t="inlineStr">
        <is>
          <t>休日</t>
        </is>
      </c>
      <c r="C963" s="10" t="inlineStr">
        <is>
          <t>本線</t>
        </is>
      </c>
      <c r="D963" s="10" t="inlineStr">
        <is>
          <t>上り</t>
        </is>
      </c>
      <c r="E963" t="inlineStr">
        <is>
          <t>1904</t>
        </is>
      </c>
      <c r="F963" t="inlineStr">
        <is>
          <t>2221</t>
        </is>
      </c>
      <c r="G963" s="10" t="inlineStr">
        <is>
          <t>蚕ノ社</t>
        </is>
      </c>
      <c r="H963" s="10" t="inlineStr">
        <is>
          <t>発</t>
        </is>
      </c>
      <c r="J963" s="10" t="inlineStr">
        <is>
          <t>営業</t>
        </is>
      </c>
      <c r="L963" t="inlineStr">
        <is>
          <t>19:25:00</t>
        </is>
      </c>
      <c r="M963" t="inlineStr">
        <is>
          <t>19:25:20</t>
        </is>
      </c>
      <c r="U963" t="inlineStr">
        <is>
          <t>→西院 休憩(19:46〜21:02)</t>
        </is>
      </c>
    </row>
    <row r="964" ht="15" customHeight="1" s="37">
      <c r="A964" t="n">
        <v>14</v>
      </c>
      <c r="B964" s="10" t="inlineStr">
        <is>
          <t>休日</t>
        </is>
      </c>
      <c r="C964" s="10" t="inlineStr">
        <is>
          <t>本線</t>
        </is>
      </c>
      <c r="D964" s="10" t="inlineStr">
        <is>
          <t>上り</t>
        </is>
      </c>
      <c r="E964" t="inlineStr">
        <is>
          <t>1904</t>
        </is>
      </c>
      <c r="F964" t="inlineStr">
        <is>
          <t>2221</t>
        </is>
      </c>
      <c r="G964" s="10" t="inlineStr">
        <is>
          <t>天神川</t>
        </is>
      </c>
      <c r="H964" s="10" t="inlineStr">
        <is>
          <t>発</t>
        </is>
      </c>
      <c r="J964" s="10" t="inlineStr">
        <is>
          <t>営業</t>
        </is>
      </c>
      <c r="L964" t="inlineStr">
        <is>
          <t>19:26:05</t>
        </is>
      </c>
      <c r="M964" t="inlineStr">
        <is>
          <t>19:26:50</t>
        </is>
      </c>
      <c r="U964" t="inlineStr">
        <is>
          <t>→西院 休憩(19:46〜21:02)</t>
        </is>
      </c>
    </row>
    <row r="965" ht="15" customHeight="1" s="37">
      <c r="A965" t="n">
        <v>14</v>
      </c>
      <c r="B965" s="10" t="inlineStr">
        <is>
          <t>休日</t>
        </is>
      </c>
      <c r="C965" s="10" t="inlineStr">
        <is>
          <t>本線</t>
        </is>
      </c>
      <c r="D965" s="10" t="inlineStr">
        <is>
          <t>上り</t>
        </is>
      </c>
      <c r="E965" t="inlineStr">
        <is>
          <t>1904</t>
        </is>
      </c>
      <c r="F965" t="inlineStr">
        <is>
          <t>2221</t>
        </is>
      </c>
      <c r="G965" s="10" t="inlineStr">
        <is>
          <t>山ノ内</t>
        </is>
      </c>
      <c r="H965" s="10" t="inlineStr">
        <is>
          <t>発</t>
        </is>
      </c>
      <c r="J965" s="10" t="inlineStr">
        <is>
          <t>営業</t>
        </is>
      </c>
      <c r="L965" t="inlineStr">
        <is>
          <t>19:28:40</t>
        </is>
      </c>
      <c r="M965" t="inlineStr">
        <is>
          <t>19:29:05</t>
        </is>
      </c>
      <c r="U965" t="inlineStr">
        <is>
          <t>→西院 休憩(19:46〜21:02)</t>
        </is>
      </c>
    </row>
    <row r="966" ht="15" customHeight="1" s="37">
      <c r="A966" t="n">
        <v>14</v>
      </c>
      <c r="B966" s="10" t="inlineStr">
        <is>
          <t>休日</t>
        </is>
      </c>
      <c r="C966" s="10" t="inlineStr">
        <is>
          <t>本線</t>
        </is>
      </c>
      <c r="D966" s="10" t="inlineStr">
        <is>
          <t>上り</t>
        </is>
      </c>
      <c r="E966" t="inlineStr">
        <is>
          <t>1904</t>
        </is>
      </c>
      <c r="F966" t="inlineStr">
        <is>
          <t>2221</t>
        </is>
      </c>
      <c r="G966" s="10" t="inlineStr">
        <is>
          <t>西大路三条</t>
        </is>
      </c>
      <c r="H966" s="10" t="inlineStr">
        <is>
          <t>発</t>
        </is>
      </c>
      <c r="J966" s="10" t="inlineStr">
        <is>
          <t>営業</t>
        </is>
      </c>
      <c r="L966" t="inlineStr">
        <is>
          <t>19:30:55</t>
        </is>
      </c>
      <c r="M966" t="inlineStr">
        <is>
          <t>19:31:15</t>
        </is>
      </c>
      <c r="U966" t="inlineStr">
        <is>
          <t>→西院 休憩(19:46〜21:02)</t>
        </is>
      </c>
    </row>
    <row r="967" ht="15" customHeight="1" s="37">
      <c r="A967" t="n">
        <v>14</v>
      </c>
      <c r="B967" s="10" t="inlineStr">
        <is>
          <t>休日</t>
        </is>
      </c>
      <c r="C967" s="10" t="inlineStr">
        <is>
          <t>本線</t>
        </is>
      </c>
      <c r="D967" s="10" t="inlineStr">
        <is>
          <t>上り</t>
        </is>
      </c>
      <c r="E967" t="inlineStr">
        <is>
          <t>1904</t>
        </is>
      </c>
      <c r="F967" t="inlineStr">
        <is>
          <t>2221</t>
        </is>
      </c>
      <c r="G967" s="10" t="inlineStr">
        <is>
          <t>西院</t>
        </is>
      </c>
      <c r="H967" s="10" t="inlineStr">
        <is>
          <t>発</t>
        </is>
      </c>
      <c r="J967" s="10" t="inlineStr">
        <is>
          <t>営業</t>
        </is>
      </c>
      <c r="L967" t="inlineStr">
        <is>
          <t>19:33:10</t>
        </is>
      </c>
      <c r="M967" t="inlineStr">
        <is>
          <t>19:34:05</t>
        </is>
      </c>
      <c r="U967" t="inlineStr">
        <is>
          <t>→西院 休憩(19:46〜21:02)</t>
        </is>
      </c>
    </row>
    <row r="968" ht="15" customHeight="1" s="37">
      <c r="A968" t="n">
        <v>14</v>
      </c>
      <c r="B968" s="10" t="inlineStr">
        <is>
          <t>休日</t>
        </is>
      </c>
      <c r="C968" s="10" t="inlineStr">
        <is>
          <t>本線</t>
        </is>
      </c>
      <c r="D968" s="10" t="inlineStr">
        <is>
          <t>上り</t>
        </is>
      </c>
      <c r="E968" t="inlineStr">
        <is>
          <t>1904</t>
        </is>
      </c>
      <c r="F968" t="inlineStr">
        <is>
          <t>2221</t>
        </is>
      </c>
      <c r="G968" s="10" t="inlineStr">
        <is>
          <t>四条大宮</t>
        </is>
      </c>
      <c r="H968" s="10" t="inlineStr">
        <is>
          <t>着</t>
        </is>
      </c>
      <c r="J968" s="10" t="inlineStr">
        <is>
          <t>営業</t>
        </is>
      </c>
      <c r="L968" t="inlineStr">
        <is>
          <t>19:37:00</t>
        </is>
      </c>
      <c r="Q968" t="inlineStr">
        <is>
          <t>1</t>
        </is>
      </c>
      <c r="U968" t="inlineStr">
        <is>
          <t>→西院 休憩(19:46〜21:02)</t>
        </is>
      </c>
    </row>
    <row r="969" ht="15" customHeight="1" s="37">
      <c r="A969" t="n">
        <v>14</v>
      </c>
      <c r="B969" s="10" t="inlineStr">
        <is>
          <t>休日</t>
        </is>
      </c>
      <c r="C969" s="10" t="inlineStr">
        <is>
          <t>本線</t>
        </is>
      </c>
      <c r="D969" s="10" t="inlineStr">
        <is>
          <t>下り</t>
        </is>
      </c>
      <c r="E969" t="inlineStr">
        <is>
          <t>1909</t>
        </is>
      </c>
      <c r="F969" t="inlineStr">
        <is>
          <t>0122</t>
        </is>
      </c>
      <c r="G969" s="10" t="inlineStr">
        <is>
          <t>四条大宮</t>
        </is>
      </c>
      <c r="H969" s="10" t="inlineStr">
        <is>
          <t>発</t>
        </is>
      </c>
      <c r="J969" s="10" t="inlineStr">
        <is>
          <t>営業</t>
        </is>
      </c>
      <c r="M969" t="inlineStr">
        <is>
          <t>19:43:00</t>
        </is>
      </c>
      <c r="Q969" t="inlineStr">
        <is>
          <t>1</t>
        </is>
      </c>
      <c r="U969" t="inlineStr">
        <is>
          <t>→西院 休憩(19:46〜21:02)</t>
        </is>
      </c>
    </row>
    <row r="970" ht="15" customHeight="1" s="37">
      <c r="A970" t="n">
        <v>14</v>
      </c>
      <c r="B970" s="10" t="inlineStr">
        <is>
          <t>休日</t>
        </is>
      </c>
      <c r="C970" s="10" t="inlineStr">
        <is>
          <t>本線</t>
        </is>
      </c>
      <c r="D970" s="10" t="inlineStr">
        <is>
          <t>下り</t>
        </is>
      </c>
      <c r="E970" t="inlineStr">
        <is>
          <t>1909</t>
        </is>
      </c>
      <c r="F970" t="inlineStr">
        <is>
          <t>0122</t>
        </is>
      </c>
      <c r="G970" s="10" t="inlineStr">
        <is>
          <t>西院</t>
        </is>
      </c>
      <c r="H970" s="10" t="inlineStr">
        <is>
          <t>着</t>
        </is>
      </c>
      <c r="J970" s="10" t="inlineStr">
        <is>
          <t>営業</t>
        </is>
      </c>
      <c r="L970" t="inlineStr">
        <is>
          <t>19:45:50</t>
        </is>
      </c>
      <c r="M970" t="inlineStr">
        <is>
          <t>19:46:20</t>
        </is>
      </c>
      <c r="U970" t="inlineStr">
        <is>
          <t>→西院 休憩(19:46〜21:02)</t>
        </is>
      </c>
    </row>
    <row r="971" ht="15" customHeight="1" s="37">
      <c r="A971" t="n">
        <v>14</v>
      </c>
      <c r="B971" s="10" t="inlineStr">
        <is>
          <t>休日</t>
        </is>
      </c>
      <c r="C971" s="10" t="inlineStr">
        <is>
          <t>本線</t>
        </is>
      </c>
      <c r="D971" s="10" t="inlineStr">
        <is>
          <t>下り</t>
        </is>
      </c>
      <c r="E971" t="inlineStr">
        <is>
          <t>2103</t>
        </is>
      </c>
      <c r="F971" t="inlineStr">
        <is>
          <t>0122</t>
        </is>
      </c>
      <c r="G971" s="10" t="inlineStr">
        <is>
          <t>四条大宮</t>
        </is>
      </c>
      <c r="H971" s="10" t="inlineStr">
        <is>
          <t>発</t>
        </is>
      </c>
      <c r="J971" s="10" t="inlineStr">
        <is>
          <t>営業</t>
        </is>
      </c>
      <c r="M971" t="inlineStr">
        <is>
          <t>21:15:00</t>
        </is>
      </c>
      <c r="Q971" t="inlineStr">
        <is>
          <t>1</t>
        </is>
      </c>
    </row>
    <row r="972" ht="15" customHeight="1" s="37">
      <c r="A972" t="n">
        <v>14</v>
      </c>
      <c r="B972" s="10" t="inlineStr">
        <is>
          <t>休日</t>
        </is>
      </c>
      <c r="C972" s="10" t="inlineStr">
        <is>
          <t>本線</t>
        </is>
      </c>
      <c r="D972" s="10" t="inlineStr">
        <is>
          <t>下り</t>
        </is>
      </c>
      <c r="E972" t="inlineStr">
        <is>
          <t>2103</t>
        </is>
      </c>
      <c r="F972" t="inlineStr">
        <is>
          <t>0122</t>
        </is>
      </c>
      <c r="G972" s="10" t="inlineStr">
        <is>
          <t>西院</t>
        </is>
      </c>
      <c r="H972" s="10" t="inlineStr">
        <is>
          <t>発</t>
        </is>
      </c>
      <c r="J972" s="10" t="inlineStr">
        <is>
          <t>営業</t>
        </is>
      </c>
      <c r="L972" t="inlineStr">
        <is>
          <t>21:17:50</t>
        </is>
      </c>
      <c r="M972" t="inlineStr">
        <is>
          <t>21:18:20</t>
        </is>
      </c>
    </row>
    <row r="973" ht="15" customHeight="1" s="37">
      <c r="A973" t="n">
        <v>14</v>
      </c>
      <c r="B973" s="10" t="inlineStr">
        <is>
          <t>休日</t>
        </is>
      </c>
      <c r="C973" s="10" t="inlineStr">
        <is>
          <t>本線</t>
        </is>
      </c>
      <c r="D973" s="10" t="inlineStr">
        <is>
          <t>下り</t>
        </is>
      </c>
      <c r="E973" t="inlineStr">
        <is>
          <t>2103</t>
        </is>
      </c>
      <c r="F973" t="inlineStr">
        <is>
          <t>0122</t>
        </is>
      </c>
      <c r="G973" s="10" t="inlineStr">
        <is>
          <t>西大路三条</t>
        </is>
      </c>
      <c r="H973" s="10" t="inlineStr">
        <is>
          <t>発</t>
        </is>
      </c>
      <c r="J973" s="10" t="inlineStr">
        <is>
          <t>営業</t>
        </is>
      </c>
      <c r="L973" t="inlineStr">
        <is>
          <t>21:20:10</t>
        </is>
      </c>
      <c r="M973" t="inlineStr">
        <is>
          <t>21:20:30</t>
        </is>
      </c>
    </row>
    <row r="974" ht="15" customHeight="1" s="37">
      <c r="A974" t="n">
        <v>14</v>
      </c>
      <c r="B974" s="10" t="inlineStr">
        <is>
          <t>休日</t>
        </is>
      </c>
      <c r="C974" s="10" t="inlineStr">
        <is>
          <t>本線</t>
        </is>
      </c>
      <c r="D974" s="10" t="inlineStr">
        <is>
          <t>下り</t>
        </is>
      </c>
      <c r="E974" t="inlineStr">
        <is>
          <t>2103</t>
        </is>
      </c>
      <c r="F974" t="inlineStr">
        <is>
          <t>0122</t>
        </is>
      </c>
      <c r="G974" s="10" t="inlineStr">
        <is>
          <t>山ノ内</t>
        </is>
      </c>
      <c r="H974" s="10" t="inlineStr">
        <is>
          <t>発</t>
        </is>
      </c>
      <c r="J974" s="10" t="inlineStr">
        <is>
          <t>営業</t>
        </is>
      </c>
      <c r="L974" t="inlineStr">
        <is>
          <t>21:22:25</t>
        </is>
      </c>
      <c r="M974" t="inlineStr">
        <is>
          <t>21:22:50</t>
        </is>
      </c>
    </row>
    <row r="975" ht="15" customHeight="1" s="37">
      <c r="A975" t="n">
        <v>14</v>
      </c>
      <c r="B975" s="10" t="inlineStr">
        <is>
          <t>休日</t>
        </is>
      </c>
      <c r="C975" s="10" t="inlineStr">
        <is>
          <t>本線</t>
        </is>
      </c>
      <c r="D975" s="10" t="inlineStr">
        <is>
          <t>下り</t>
        </is>
      </c>
      <c r="E975" t="inlineStr">
        <is>
          <t>2103</t>
        </is>
      </c>
      <c r="F975" t="inlineStr">
        <is>
          <t>0122</t>
        </is>
      </c>
      <c r="G975" s="10" t="inlineStr">
        <is>
          <t>天神川</t>
        </is>
      </c>
      <c r="H975" s="10" t="inlineStr">
        <is>
          <t>発</t>
        </is>
      </c>
      <c r="J975" s="10" t="inlineStr">
        <is>
          <t>営業</t>
        </is>
      </c>
      <c r="L975" t="inlineStr">
        <is>
          <t>21:24:50</t>
        </is>
      </c>
      <c r="M975" t="inlineStr">
        <is>
          <t>21:25:30</t>
        </is>
      </c>
    </row>
    <row r="976" ht="15" customHeight="1" s="37">
      <c r="A976" t="n">
        <v>14</v>
      </c>
      <c r="B976" s="10" t="inlineStr">
        <is>
          <t>休日</t>
        </is>
      </c>
      <c r="C976" s="10" t="inlineStr">
        <is>
          <t>本線</t>
        </is>
      </c>
      <c r="D976" s="10" t="inlineStr">
        <is>
          <t>下り</t>
        </is>
      </c>
      <c r="E976" t="inlineStr">
        <is>
          <t>2103</t>
        </is>
      </c>
      <c r="F976" t="inlineStr">
        <is>
          <t>0122</t>
        </is>
      </c>
      <c r="G976" s="10" t="inlineStr">
        <is>
          <t>蚕ノ社</t>
        </is>
      </c>
      <c r="H976" s="10" t="inlineStr">
        <is>
          <t>発</t>
        </is>
      </c>
      <c r="J976" s="10" t="inlineStr">
        <is>
          <t>営業</t>
        </is>
      </c>
      <c r="L976" t="inlineStr">
        <is>
          <t>21:26:20</t>
        </is>
      </c>
      <c r="M976" t="inlineStr">
        <is>
          <t>21:26:40</t>
        </is>
      </c>
    </row>
    <row r="977" ht="15" customHeight="1" s="37">
      <c r="A977" t="n">
        <v>14</v>
      </c>
      <c r="B977" s="10" t="inlineStr">
        <is>
          <t>休日</t>
        </is>
      </c>
      <c r="C977" s="10" t="inlineStr">
        <is>
          <t>本線</t>
        </is>
      </c>
      <c r="D977" s="10" t="inlineStr">
        <is>
          <t>下り</t>
        </is>
      </c>
      <c r="E977" t="inlineStr">
        <is>
          <t>2103</t>
        </is>
      </c>
      <c r="F977" t="inlineStr">
        <is>
          <t>0122</t>
        </is>
      </c>
      <c r="G977" s="10" t="inlineStr">
        <is>
          <t>太秦広隆寺</t>
        </is>
      </c>
      <c r="H977" s="10" t="inlineStr">
        <is>
          <t>発</t>
        </is>
      </c>
      <c r="J977" s="10" t="inlineStr">
        <is>
          <t>営業</t>
        </is>
      </c>
      <c r="L977" t="inlineStr">
        <is>
          <t>21:28:00</t>
        </is>
      </c>
      <c r="M977" t="inlineStr">
        <is>
          <t>21:28:20</t>
        </is>
      </c>
    </row>
    <row r="978" ht="15" customHeight="1" s="37">
      <c r="A978" t="n">
        <v>14</v>
      </c>
      <c r="B978" s="10" t="inlineStr">
        <is>
          <t>休日</t>
        </is>
      </c>
      <c r="C978" s="10" t="inlineStr">
        <is>
          <t>本線</t>
        </is>
      </c>
      <c r="D978" s="10" t="inlineStr">
        <is>
          <t>下り</t>
        </is>
      </c>
      <c r="E978" t="inlineStr">
        <is>
          <t>2103</t>
        </is>
      </c>
      <c r="F978" t="inlineStr">
        <is>
          <t>0122</t>
        </is>
      </c>
      <c r="G978" s="10" t="inlineStr">
        <is>
          <t>帷子ノ辻</t>
        </is>
      </c>
      <c r="H978" s="10" t="inlineStr">
        <is>
          <t>発</t>
        </is>
      </c>
      <c r="J978" s="10" t="inlineStr">
        <is>
          <t>営業</t>
        </is>
      </c>
      <c r="L978" t="inlineStr">
        <is>
          <t>21:30:20</t>
        </is>
      </c>
      <c r="M978" t="inlineStr">
        <is>
          <t>21:31:40</t>
        </is>
      </c>
    </row>
    <row r="979" ht="15" customHeight="1" s="37">
      <c r="A979" t="n">
        <v>14</v>
      </c>
      <c r="B979" s="10" t="inlineStr">
        <is>
          <t>休日</t>
        </is>
      </c>
      <c r="C979" s="10" t="inlineStr">
        <is>
          <t>本線</t>
        </is>
      </c>
      <c r="D979" s="10" t="inlineStr">
        <is>
          <t>下り</t>
        </is>
      </c>
      <c r="E979" t="inlineStr">
        <is>
          <t>2103</t>
        </is>
      </c>
      <c r="F979" t="inlineStr">
        <is>
          <t>0122</t>
        </is>
      </c>
      <c r="G979" s="10" t="inlineStr">
        <is>
          <t>有栖川</t>
        </is>
      </c>
      <c r="H979" s="10" t="inlineStr">
        <is>
          <t>発</t>
        </is>
      </c>
      <c r="J979" s="10" t="inlineStr">
        <is>
          <t>営業</t>
        </is>
      </c>
      <c r="L979" t="inlineStr">
        <is>
          <t>21:32:50</t>
        </is>
      </c>
      <c r="M979" t="inlineStr">
        <is>
          <t>21:33:15</t>
        </is>
      </c>
    </row>
    <row r="980" ht="15" customHeight="1" s="37">
      <c r="A980" t="n">
        <v>14</v>
      </c>
      <c r="B980" s="10" t="inlineStr">
        <is>
          <t>休日</t>
        </is>
      </c>
      <c r="C980" s="10" t="inlineStr">
        <is>
          <t>本線</t>
        </is>
      </c>
      <c r="D980" s="10" t="inlineStr">
        <is>
          <t>下り</t>
        </is>
      </c>
      <c r="E980" t="inlineStr">
        <is>
          <t>2103</t>
        </is>
      </c>
      <c r="F980" t="inlineStr">
        <is>
          <t>0122</t>
        </is>
      </c>
      <c r="G980" s="10" t="inlineStr">
        <is>
          <t>車折</t>
        </is>
      </c>
      <c r="H980" s="10" t="inlineStr">
        <is>
          <t>発</t>
        </is>
      </c>
      <c r="J980" s="10" t="inlineStr">
        <is>
          <t>営業</t>
        </is>
      </c>
      <c r="L980" t="inlineStr">
        <is>
          <t>21:34:40</t>
        </is>
      </c>
      <c r="M980" t="inlineStr">
        <is>
          <t>21:35:05</t>
        </is>
      </c>
    </row>
    <row r="981" ht="15" customHeight="1" s="37">
      <c r="A981" t="n">
        <v>14</v>
      </c>
      <c r="B981" s="10" t="inlineStr">
        <is>
          <t>休日</t>
        </is>
      </c>
      <c r="C981" s="10" t="inlineStr">
        <is>
          <t>本線</t>
        </is>
      </c>
      <c r="D981" s="10" t="inlineStr">
        <is>
          <t>下り</t>
        </is>
      </c>
      <c r="E981" t="inlineStr">
        <is>
          <t>2103</t>
        </is>
      </c>
      <c r="F981" t="inlineStr">
        <is>
          <t>0122</t>
        </is>
      </c>
      <c r="G981" s="10" t="inlineStr">
        <is>
          <t>鹿王院</t>
        </is>
      </c>
      <c r="H981" s="10" t="inlineStr">
        <is>
          <t>発</t>
        </is>
      </c>
      <c r="J981" s="10" t="inlineStr">
        <is>
          <t>営業</t>
        </is>
      </c>
      <c r="L981" t="inlineStr">
        <is>
          <t>21:36:00</t>
        </is>
      </c>
      <c r="M981" t="inlineStr">
        <is>
          <t>21:36:25</t>
        </is>
      </c>
    </row>
    <row r="982" ht="15" customHeight="1" s="37">
      <c r="A982" t="n">
        <v>14</v>
      </c>
      <c r="B982" s="10" t="inlineStr">
        <is>
          <t>休日</t>
        </is>
      </c>
      <c r="C982" s="10" t="inlineStr">
        <is>
          <t>本線</t>
        </is>
      </c>
      <c r="D982" s="10" t="inlineStr">
        <is>
          <t>下り</t>
        </is>
      </c>
      <c r="E982" t="inlineStr">
        <is>
          <t>2103</t>
        </is>
      </c>
      <c r="F982" t="inlineStr">
        <is>
          <t>0122</t>
        </is>
      </c>
      <c r="G982" s="10" t="inlineStr">
        <is>
          <t>嵯峨</t>
        </is>
      </c>
      <c r="H982" s="10" t="inlineStr">
        <is>
          <t>発</t>
        </is>
      </c>
      <c r="J982" s="10" t="inlineStr">
        <is>
          <t>営業</t>
        </is>
      </c>
      <c r="L982" t="inlineStr">
        <is>
          <t>21:37:30</t>
        </is>
      </c>
      <c r="M982" t="inlineStr">
        <is>
          <t>21:37:55</t>
        </is>
      </c>
    </row>
    <row r="983" ht="15" customHeight="1" s="37">
      <c r="A983" t="n">
        <v>14</v>
      </c>
      <c r="B983" s="10" t="inlineStr">
        <is>
          <t>休日</t>
        </is>
      </c>
      <c r="C983" s="10" t="inlineStr">
        <is>
          <t>本線</t>
        </is>
      </c>
      <c r="D983" s="10" t="inlineStr">
        <is>
          <t>下り</t>
        </is>
      </c>
      <c r="E983" t="inlineStr">
        <is>
          <t>2103</t>
        </is>
      </c>
      <c r="F983" t="inlineStr">
        <is>
          <t>0122</t>
        </is>
      </c>
      <c r="G983" s="10" t="inlineStr">
        <is>
          <t>嵐山</t>
        </is>
      </c>
      <c r="H983" s="10" t="inlineStr">
        <is>
          <t>着</t>
        </is>
      </c>
      <c r="J983" s="10" t="inlineStr">
        <is>
          <t>営業</t>
        </is>
      </c>
      <c r="L983" t="inlineStr">
        <is>
          <t>21:39:00</t>
        </is>
      </c>
      <c r="N983" t="inlineStr">
        <is>
          <t>○</t>
        </is>
      </c>
      <c r="Q983" t="inlineStr">
        <is>
          <t>1</t>
        </is>
      </c>
    </row>
    <row r="984" ht="15" customHeight="1" s="37">
      <c r="A984" t="n">
        <v>14</v>
      </c>
      <c r="B984" s="10" t="inlineStr">
        <is>
          <t>休日</t>
        </is>
      </c>
      <c r="C984" s="10" t="inlineStr">
        <is>
          <t>本線</t>
        </is>
      </c>
      <c r="D984" s="10" t="inlineStr">
        <is>
          <t>上り</t>
        </is>
      </c>
      <c r="E984" t="inlineStr">
        <is>
          <t>2110</t>
        </is>
      </c>
      <c r="F984" t="inlineStr">
        <is>
          <t>0221</t>
        </is>
      </c>
      <c r="G984" s="10" t="inlineStr">
        <is>
          <t>嵐山</t>
        </is>
      </c>
      <c r="H984" s="10" t="inlineStr">
        <is>
          <t>発</t>
        </is>
      </c>
      <c r="J984" s="10" t="inlineStr">
        <is>
          <t>営業</t>
        </is>
      </c>
      <c r="M984" t="inlineStr">
        <is>
          <t>21:44:00</t>
        </is>
      </c>
      <c r="Q984" t="inlineStr">
        <is>
          <t>1</t>
        </is>
      </c>
    </row>
    <row r="985" ht="15" customHeight="1" s="37">
      <c r="A985" t="n">
        <v>14</v>
      </c>
      <c r="B985" s="10" t="inlineStr">
        <is>
          <t>休日</t>
        </is>
      </c>
      <c r="C985" s="10" t="inlineStr">
        <is>
          <t>本線</t>
        </is>
      </c>
      <c r="D985" s="10" t="inlineStr">
        <is>
          <t>上り</t>
        </is>
      </c>
      <c r="E985" t="inlineStr">
        <is>
          <t>2110</t>
        </is>
      </c>
      <c r="F985" t="inlineStr">
        <is>
          <t>0221</t>
        </is>
      </c>
      <c r="G985" s="10" t="inlineStr">
        <is>
          <t>嵯峨</t>
        </is>
      </c>
      <c r="H985" s="10" t="inlineStr">
        <is>
          <t>発</t>
        </is>
      </c>
      <c r="J985" s="10" t="inlineStr">
        <is>
          <t>営業</t>
        </is>
      </c>
      <c r="L985" t="inlineStr">
        <is>
          <t>21:44:55</t>
        </is>
      </c>
      <c r="M985" t="inlineStr">
        <is>
          <t>21:45:10</t>
        </is>
      </c>
    </row>
    <row r="986" ht="15" customHeight="1" s="37">
      <c r="A986" t="n">
        <v>14</v>
      </c>
      <c r="B986" s="10" t="inlineStr">
        <is>
          <t>休日</t>
        </is>
      </c>
      <c r="C986" s="10" t="inlineStr">
        <is>
          <t>本線</t>
        </is>
      </c>
      <c r="D986" s="10" t="inlineStr">
        <is>
          <t>上り</t>
        </is>
      </c>
      <c r="E986" t="inlineStr">
        <is>
          <t>2110</t>
        </is>
      </c>
      <c r="F986" t="inlineStr">
        <is>
          <t>0221</t>
        </is>
      </c>
      <c r="G986" s="10" t="inlineStr">
        <is>
          <t>鹿王院</t>
        </is>
      </c>
      <c r="H986" s="10" t="inlineStr">
        <is>
          <t>発</t>
        </is>
      </c>
      <c r="J986" s="10" t="inlineStr">
        <is>
          <t>営業</t>
        </is>
      </c>
      <c r="L986" t="inlineStr">
        <is>
          <t>21:46:15</t>
        </is>
      </c>
      <c r="M986" t="inlineStr">
        <is>
          <t>21:46:30</t>
        </is>
      </c>
    </row>
    <row r="987" ht="15" customHeight="1" s="37">
      <c r="A987" t="n">
        <v>14</v>
      </c>
      <c r="B987" s="10" t="inlineStr">
        <is>
          <t>休日</t>
        </is>
      </c>
      <c r="C987" s="10" t="inlineStr">
        <is>
          <t>本線</t>
        </is>
      </c>
      <c r="D987" s="10" t="inlineStr">
        <is>
          <t>上り</t>
        </is>
      </c>
      <c r="E987" t="inlineStr">
        <is>
          <t>2110</t>
        </is>
      </c>
      <c r="F987" t="inlineStr">
        <is>
          <t>0221</t>
        </is>
      </c>
      <c r="G987" s="10" t="inlineStr">
        <is>
          <t>車折</t>
        </is>
      </c>
      <c r="H987" s="10" t="inlineStr">
        <is>
          <t>発</t>
        </is>
      </c>
      <c r="J987" s="10" t="inlineStr">
        <is>
          <t>営業</t>
        </is>
      </c>
      <c r="L987" t="inlineStr">
        <is>
          <t>21:47:25</t>
        </is>
      </c>
      <c r="M987" t="inlineStr">
        <is>
          <t>21:47:40</t>
        </is>
      </c>
    </row>
    <row r="988" ht="15" customHeight="1" s="37">
      <c r="A988" t="n">
        <v>14</v>
      </c>
      <c r="B988" s="10" t="inlineStr">
        <is>
          <t>休日</t>
        </is>
      </c>
      <c r="C988" s="10" t="inlineStr">
        <is>
          <t>本線</t>
        </is>
      </c>
      <c r="D988" s="10" t="inlineStr">
        <is>
          <t>上り</t>
        </is>
      </c>
      <c r="E988" t="inlineStr">
        <is>
          <t>2110</t>
        </is>
      </c>
      <c r="F988" t="inlineStr">
        <is>
          <t>0221</t>
        </is>
      </c>
      <c r="G988" s="10" t="inlineStr">
        <is>
          <t>有栖川</t>
        </is>
      </c>
      <c r="H988" s="10" t="inlineStr">
        <is>
          <t>発</t>
        </is>
      </c>
      <c r="J988" s="10" t="inlineStr">
        <is>
          <t>営業</t>
        </is>
      </c>
      <c r="L988" t="inlineStr">
        <is>
          <t>21:49:05</t>
        </is>
      </c>
      <c r="M988" t="inlineStr">
        <is>
          <t>21:49:20</t>
        </is>
      </c>
    </row>
    <row r="989" ht="15" customHeight="1" s="37">
      <c r="A989" t="n">
        <v>14</v>
      </c>
      <c r="B989" s="10" t="inlineStr">
        <is>
          <t>休日</t>
        </is>
      </c>
      <c r="C989" s="10" t="inlineStr">
        <is>
          <t>本線</t>
        </is>
      </c>
      <c r="D989" s="10" t="inlineStr">
        <is>
          <t>上り</t>
        </is>
      </c>
      <c r="E989" t="inlineStr">
        <is>
          <t>2110</t>
        </is>
      </c>
      <c r="F989" t="inlineStr">
        <is>
          <t>0221</t>
        </is>
      </c>
      <c r="G989" s="10" t="inlineStr">
        <is>
          <t>帷子ノ辻</t>
        </is>
      </c>
      <c r="H989" s="10" t="inlineStr">
        <is>
          <t>発</t>
        </is>
      </c>
      <c r="J989" s="10" t="inlineStr">
        <is>
          <t>営業</t>
        </is>
      </c>
      <c r="L989" t="inlineStr">
        <is>
          <t>21:50:35</t>
        </is>
      </c>
      <c r="M989" t="inlineStr">
        <is>
          <t>21:51:05</t>
        </is>
      </c>
    </row>
    <row r="990" ht="15" customHeight="1" s="37">
      <c r="A990" t="n">
        <v>14</v>
      </c>
      <c r="B990" s="10" t="inlineStr">
        <is>
          <t>休日</t>
        </is>
      </c>
      <c r="C990" s="10" t="inlineStr">
        <is>
          <t>本線</t>
        </is>
      </c>
      <c r="D990" s="10" t="inlineStr">
        <is>
          <t>上り</t>
        </is>
      </c>
      <c r="E990" t="inlineStr">
        <is>
          <t>2110</t>
        </is>
      </c>
      <c r="F990" t="inlineStr">
        <is>
          <t>0221</t>
        </is>
      </c>
      <c r="G990" s="10" t="inlineStr">
        <is>
          <t>太秦広隆寺</t>
        </is>
      </c>
      <c r="H990" s="10" t="inlineStr">
        <is>
          <t>発</t>
        </is>
      </c>
      <c r="J990" s="10" t="inlineStr">
        <is>
          <t>営業</t>
        </is>
      </c>
      <c r="L990" t="inlineStr">
        <is>
          <t>21:53:15</t>
        </is>
      </c>
      <c r="M990" t="inlineStr">
        <is>
          <t>21:53:35</t>
        </is>
      </c>
    </row>
    <row r="991" ht="15" customHeight="1" s="37">
      <c r="A991" t="n">
        <v>14</v>
      </c>
      <c r="B991" s="10" t="inlineStr">
        <is>
          <t>休日</t>
        </is>
      </c>
      <c r="C991" s="10" t="inlineStr">
        <is>
          <t>本線</t>
        </is>
      </c>
      <c r="D991" s="10" t="inlineStr">
        <is>
          <t>上り</t>
        </is>
      </c>
      <c r="E991" t="inlineStr">
        <is>
          <t>2110</t>
        </is>
      </c>
      <c r="F991" t="inlineStr">
        <is>
          <t>0221</t>
        </is>
      </c>
      <c r="G991" s="10" t="inlineStr">
        <is>
          <t>蚕ノ社</t>
        </is>
      </c>
      <c r="H991" s="10" t="inlineStr">
        <is>
          <t>発</t>
        </is>
      </c>
      <c r="J991" s="10" t="inlineStr">
        <is>
          <t>営業</t>
        </is>
      </c>
      <c r="L991" t="inlineStr">
        <is>
          <t>21:54:50</t>
        </is>
      </c>
      <c r="M991" t="inlineStr">
        <is>
          <t>21:55:10</t>
        </is>
      </c>
    </row>
    <row r="992" ht="15" customHeight="1" s="37">
      <c r="A992" t="n">
        <v>14</v>
      </c>
      <c r="B992" s="10" t="inlineStr">
        <is>
          <t>休日</t>
        </is>
      </c>
      <c r="C992" s="10" t="inlineStr">
        <is>
          <t>本線</t>
        </is>
      </c>
      <c r="D992" s="10" t="inlineStr">
        <is>
          <t>上り</t>
        </is>
      </c>
      <c r="E992" t="inlineStr">
        <is>
          <t>2110</t>
        </is>
      </c>
      <c r="F992" t="inlineStr">
        <is>
          <t>0221</t>
        </is>
      </c>
      <c r="G992" s="10" t="inlineStr">
        <is>
          <t>天神川</t>
        </is>
      </c>
      <c r="H992" s="10" t="inlineStr">
        <is>
          <t>発</t>
        </is>
      </c>
      <c r="J992" s="10" t="inlineStr">
        <is>
          <t>営業</t>
        </is>
      </c>
      <c r="L992" t="inlineStr">
        <is>
          <t>21:55:55</t>
        </is>
      </c>
      <c r="M992" t="inlineStr">
        <is>
          <t>21:56:20</t>
        </is>
      </c>
    </row>
    <row r="993" ht="15" customHeight="1" s="37">
      <c r="A993" t="n">
        <v>14</v>
      </c>
      <c r="B993" s="10" t="inlineStr">
        <is>
          <t>休日</t>
        </is>
      </c>
      <c r="C993" s="10" t="inlineStr">
        <is>
          <t>本線</t>
        </is>
      </c>
      <c r="D993" s="10" t="inlineStr">
        <is>
          <t>上り</t>
        </is>
      </c>
      <c r="E993" t="inlineStr">
        <is>
          <t>2110</t>
        </is>
      </c>
      <c r="F993" t="inlineStr">
        <is>
          <t>0221</t>
        </is>
      </c>
      <c r="G993" s="10" t="inlineStr">
        <is>
          <t>山ノ内</t>
        </is>
      </c>
      <c r="H993" s="10" t="inlineStr">
        <is>
          <t>発</t>
        </is>
      </c>
      <c r="J993" s="10" t="inlineStr">
        <is>
          <t>営業</t>
        </is>
      </c>
      <c r="L993" t="inlineStr">
        <is>
          <t>21:58:10</t>
        </is>
      </c>
      <c r="M993" t="inlineStr">
        <is>
          <t>21:58:35</t>
        </is>
      </c>
    </row>
    <row r="994" ht="15" customHeight="1" s="37">
      <c r="A994" t="n">
        <v>14</v>
      </c>
      <c r="B994" s="10" t="inlineStr">
        <is>
          <t>休日</t>
        </is>
      </c>
      <c r="C994" s="10" t="inlineStr">
        <is>
          <t>本線</t>
        </is>
      </c>
      <c r="D994" s="10" t="inlineStr">
        <is>
          <t>上り</t>
        </is>
      </c>
      <c r="E994" t="inlineStr">
        <is>
          <t>2110</t>
        </is>
      </c>
      <c r="F994" t="inlineStr">
        <is>
          <t>0221</t>
        </is>
      </c>
      <c r="G994" s="10" t="inlineStr">
        <is>
          <t>西大路三条</t>
        </is>
      </c>
      <c r="H994" s="10" t="inlineStr">
        <is>
          <t>発</t>
        </is>
      </c>
      <c r="J994" s="10" t="inlineStr">
        <is>
          <t>営業</t>
        </is>
      </c>
      <c r="L994" t="inlineStr">
        <is>
          <t>22:00:25</t>
        </is>
      </c>
      <c r="M994" t="inlineStr">
        <is>
          <t>22:00:40</t>
        </is>
      </c>
    </row>
    <row r="995" ht="15" customHeight="1" s="37">
      <c r="A995" t="n">
        <v>14</v>
      </c>
      <c r="B995" s="10" t="inlineStr">
        <is>
          <t>休日</t>
        </is>
      </c>
      <c r="C995" s="10" t="inlineStr">
        <is>
          <t>本線</t>
        </is>
      </c>
      <c r="D995" s="10" t="inlineStr">
        <is>
          <t>上り</t>
        </is>
      </c>
      <c r="E995" t="inlineStr">
        <is>
          <t>2110</t>
        </is>
      </c>
      <c r="F995" t="inlineStr">
        <is>
          <t>0221</t>
        </is>
      </c>
      <c r="G995" s="10" t="inlineStr">
        <is>
          <t>西院</t>
        </is>
      </c>
      <c r="H995" s="10" t="inlineStr">
        <is>
          <t>発</t>
        </is>
      </c>
      <c r="J995" s="10" t="inlineStr">
        <is>
          <t>営業</t>
        </is>
      </c>
      <c r="L995" t="inlineStr">
        <is>
          <t>22:02:35</t>
        </is>
      </c>
      <c r="M995" t="inlineStr">
        <is>
          <t>22:03:05</t>
        </is>
      </c>
    </row>
    <row r="996" ht="15" customHeight="1" s="37">
      <c r="A996" t="n">
        <v>14</v>
      </c>
      <c r="B996" s="10" t="inlineStr">
        <is>
          <t>休日</t>
        </is>
      </c>
      <c r="C996" s="10" t="inlineStr">
        <is>
          <t>本線</t>
        </is>
      </c>
      <c r="D996" s="10" t="inlineStr">
        <is>
          <t>上り</t>
        </is>
      </c>
      <c r="E996" t="inlineStr">
        <is>
          <t>2110</t>
        </is>
      </c>
      <c r="F996" t="inlineStr">
        <is>
          <t>0221</t>
        </is>
      </c>
      <c r="G996" s="10" t="inlineStr">
        <is>
          <t>四条大宮</t>
        </is>
      </c>
      <c r="H996" s="10" t="inlineStr">
        <is>
          <t>着</t>
        </is>
      </c>
      <c r="J996" s="10" t="inlineStr">
        <is>
          <t>営業</t>
        </is>
      </c>
      <c r="L996" t="inlineStr">
        <is>
          <t>22:06:00</t>
        </is>
      </c>
      <c r="N996" t="inlineStr">
        <is>
          <t>○</t>
        </is>
      </c>
      <c r="Q996" t="inlineStr">
        <is>
          <t>1</t>
        </is>
      </c>
    </row>
    <row r="997" ht="15" customHeight="1" s="37">
      <c r="A997" t="n">
        <v>14</v>
      </c>
      <c r="B997" s="10" t="inlineStr">
        <is>
          <t>休日</t>
        </is>
      </c>
      <c r="C997" s="10" t="inlineStr">
        <is>
          <t>本線</t>
        </is>
      </c>
      <c r="D997" s="10" t="inlineStr">
        <is>
          <t>下り</t>
        </is>
      </c>
      <c r="E997" t="inlineStr">
        <is>
          <t>2203</t>
        </is>
      </c>
      <c r="F997" t="inlineStr">
        <is>
          <t>0122</t>
        </is>
      </c>
      <c r="G997" s="10" t="inlineStr">
        <is>
          <t>四条大宮</t>
        </is>
      </c>
      <c r="H997" s="10" t="inlineStr">
        <is>
          <t>発</t>
        </is>
      </c>
      <c r="J997" s="10" t="inlineStr">
        <is>
          <t>営業</t>
        </is>
      </c>
      <c r="M997" t="inlineStr">
        <is>
          <t>22:15:00</t>
        </is>
      </c>
      <c r="Q997" t="inlineStr">
        <is>
          <t>1</t>
        </is>
      </c>
    </row>
    <row r="998" ht="15" customHeight="1" s="37">
      <c r="A998" t="n">
        <v>14</v>
      </c>
      <c r="B998" s="10" t="inlineStr">
        <is>
          <t>休日</t>
        </is>
      </c>
      <c r="C998" s="10" t="inlineStr">
        <is>
          <t>本線</t>
        </is>
      </c>
      <c r="D998" s="10" t="inlineStr">
        <is>
          <t>下り</t>
        </is>
      </c>
      <c r="E998" t="inlineStr">
        <is>
          <t>2203</t>
        </is>
      </c>
      <c r="F998" t="inlineStr">
        <is>
          <t>0122</t>
        </is>
      </c>
      <c r="G998" s="10" t="inlineStr">
        <is>
          <t>西院</t>
        </is>
      </c>
      <c r="H998" s="10" t="inlineStr">
        <is>
          <t>発</t>
        </is>
      </c>
      <c r="J998" s="10" t="inlineStr">
        <is>
          <t>営業</t>
        </is>
      </c>
      <c r="L998" t="inlineStr">
        <is>
          <t>22:17:50</t>
        </is>
      </c>
      <c r="M998" t="inlineStr">
        <is>
          <t>22:18:20</t>
        </is>
      </c>
    </row>
    <row r="999" ht="15" customHeight="1" s="37">
      <c r="A999" t="n">
        <v>14</v>
      </c>
      <c r="B999" s="10" t="inlineStr">
        <is>
          <t>休日</t>
        </is>
      </c>
      <c r="C999" s="10" t="inlineStr">
        <is>
          <t>本線</t>
        </is>
      </c>
      <c r="D999" s="10" t="inlineStr">
        <is>
          <t>下り</t>
        </is>
      </c>
      <c r="E999" t="inlineStr">
        <is>
          <t>2203</t>
        </is>
      </c>
      <c r="F999" t="inlineStr">
        <is>
          <t>0122</t>
        </is>
      </c>
      <c r="G999" s="10" t="inlineStr">
        <is>
          <t>西大路三条</t>
        </is>
      </c>
      <c r="H999" s="10" t="inlineStr">
        <is>
          <t>発</t>
        </is>
      </c>
      <c r="J999" s="10" t="inlineStr">
        <is>
          <t>営業</t>
        </is>
      </c>
      <c r="L999" t="inlineStr">
        <is>
          <t>22:20:10</t>
        </is>
      </c>
      <c r="M999" t="inlineStr">
        <is>
          <t>22:20:30</t>
        </is>
      </c>
    </row>
    <row r="1000" ht="15" customHeight="1" s="37">
      <c r="A1000" t="n">
        <v>14</v>
      </c>
      <c r="B1000" s="10" t="inlineStr">
        <is>
          <t>休日</t>
        </is>
      </c>
      <c r="C1000" s="10" t="inlineStr">
        <is>
          <t>本線</t>
        </is>
      </c>
      <c r="D1000" s="10" t="inlineStr">
        <is>
          <t>下り</t>
        </is>
      </c>
      <c r="E1000" t="inlineStr">
        <is>
          <t>2203</t>
        </is>
      </c>
      <c r="F1000" t="inlineStr">
        <is>
          <t>0122</t>
        </is>
      </c>
      <c r="G1000" s="10" t="inlineStr">
        <is>
          <t>山ノ内</t>
        </is>
      </c>
      <c r="H1000" s="10" t="inlineStr">
        <is>
          <t>発</t>
        </is>
      </c>
      <c r="J1000" s="10" t="inlineStr">
        <is>
          <t>営業</t>
        </is>
      </c>
      <c r="L1000" t="inlineStr">
        <is>
          <t>22:22:25</t>
        </is>
      </c>
      <c r="M1000" t="inlineStr">
        <is>
          <t>22:22:50</t>
        </is>
      </c>
    </row>
    <row r="1001" ht="15" customHeight="1" s="37">
      <c r="A1001" t="n">
        <v>14</v>
      </c>
      <c r="B1001" s="10" t="inlineStr">
        <is>
          <t>休日</t>
        </is>
      </c>
      <c r="C1001" s="10" t="inlineStr">
        <is>
          <t>本線</t>
        </is>
      </c>
      <c r="D1001" s="10" t="inlineStr">
        <is>
          <t>下り</t>
        </is>
      </c>
      <c r="E1001" t="inlineStr">
        <is>
          <t>2203</t>
        </is>
      </c>
      <c r="F1001" t="inlineStr">
        <is>
          <t>0122</t>
        </is>
      </c>
      <c r="G1001" s="10" t="inlineStr">
        <is>
          <t>天神川</t>
        </is>
      </c>
      <c r="H1001" s="10" t="inlineStr">
        <is>
          <t>発</t>
        </is>
      </c>
      <c r="J1001" s="10" t="inlineStr">
        <is>
          <t>営業</t>
        </is>
      </c>
      <c r="L1001" t="inlineStr">
        <is>
          <t>22:24:50</t>
        </is>
      </c>
      <c r="M1001" t="inlineStr">
        <is>
          <t>22:25:30</t>
        </is>
      </c>
    </row>
    <row r="1002" ht="15" customHeight="1" s="37">
      <c r="A1002" t="n">
        <v>14</v>
      </c>
      <c r="B1002" s="10" t="inlineStr">
        <is>
          <t>休日</t>
        </is>
      </c>
      <c r="C1002" s="10" t="inlineStr">
        <is>
          <t>本線</t>
        </is>
      </c>
      <c r="D1002" s="10" t="inlineStr">
        <is>
          <t>下り</t>
        </is>
      </c>
      <c r="E1002" t="inlineStr">
        <is>
          <t>2203</t>
        </is>
      </c>
      <c r="F1002" t="inlineStr">
        <is>
          <t>0122</t>
        </is>
      </c>
      <c r="G1002" s="10" t="inlineStr">
        <is>
          <t>蚕ノ社</t>
        </is>
      </c>
      <c r="H1002" s="10" t="inlineStr">
        <is>
          <t>発</t>
        </is>
      </c>
      <c r="J1002" s="10" t="inlineStr">
        <is>
          <t>営業</t>
        </is>
      </c>
      <c r="L1002" t="inlineStr">
        <is>
          <t>22:26:20</t>
        </is>
      </c>
      <c r="M1002" t="inlineStr">
        <is>
          <t>22:26:40</t>
        </is>
      </c>
    </row>
    <row r="1003" ht="15" customHeight="1" s="37">
      <c r="A1003" t="n">
        <v>14</v>
      </c>
      <c r="B1003" s="10" t="inlineStr">
        <is>
          <t>休日</t>
        </is>
      </c>
      <c r="C1003" s="10" t="inlineStr">
        <is>
          <t>本線</t>
        </is>
      </c>
      <c r="D1003" s="10" t="inlineStr">
        <is>
          <t>下り</t>
        </is>
      </c>
      <c r="E1003" t="inlineStr">
        <is>
          <t>2203</t>
        </is>
      </c>
      <c r="F1003" t="inlineStr">
        <is>
          <t>0122</t>
        </is>
      </c>
      <c r="G1003" s="10" t="inlineStr">
        <is>
          <t>太秦広隆寺</t>
        </is>
      </c>
      <c r="H1003" s="10" t="inlineStr">
        <is>
          <t>発</t>
        </is>
      </c>
      <c r="J1003" s="10" t="inlineStr">
        <is>
          <t>営業</t>
        </is>
      </c>
      <c r="L1003" t="inlineStr">
        <is>
          <t>22:28:00</t>
        </is>
      </c>
      <c r="M1003" t="inlineStr">
        <is>
          <t>22:28:20</t>
        </is>
      </c>
    </row>
    <row r="1004" ht="15" customHeight="1" s="37">
      <c r="A1004" t="n">
        <v>14</v>
      </c>
      <c r="B1004" s="10" t="inlineStr">
        <is>
          <t>休日</t>
        </is>
      </c>
      <c r="C1004" s="10" t="inlineStr">
        <is>
          <t>本線</t>
        </is>
      </c>
      <c r="D1004" s="10" t="inlineStr">
        <is>
          <t>下り</t>
        </is>
      </c>
      <c r="E1004" t="inlineStr">
        <is>
          <t>2203</t>
        </is>
      </c>
      <c r="F1004" t="inlineStr">
        <is>
          <t>0122</t>
        </is>
      </c>
      <c r="G1004" s="10" t="inlineStr">
        <is>
          <t>帷子ノ辻</t>
        </is>
      </c>
      <c r="H1004" s="10" t="inlineStr">
        <is>
          <t>発</t>
        </is>
      </c>
      <c r="J1004" s="10" t="inlineStr">
        <is>
          <t>営業</t>
        </is>
      </c>
      <c r="L1004" t="inlineStr">
        <is>
          <t>22:30:20</t>
        </is>
      </c>
      <c r="M1004" t="inlineStr">
        <is>
          <t>22:31:40</t>
        </is>
      </c>
    </row>
    <row r="1005" ht="15" customHeight="1" s="37">
      <c r="A1005" t="n">
        <v>14</v>
      </c>
      <c r="B1005" s="10" t="inlineStr">
        <is>
          <t>休日</t>
        </is>
      </c>
      <c r="C1005" s="10" t="inlineStr">
        <is>
          <t>本線</t>
        </is>
      </c>
      <c r="D1005" s="10" t="inlineStr">
        <is>
          <t>下り</t>
        </is>
      </c>
      <c r="E1005" t="inlineStr">
        <is>
          <t>2203</t>
        </is>
      </c>
      <c r="F1005" t="inlineStr">
        <is>
          <t>0122</t>
        </is>
      </c>
      <c r="G1005" s="10" t="inlineStr">
        <is>
          <t>有栖川</t>
        </is>
      </c>
      <c r="H1005" s="10" t="inlineStr">
        <is>
          <t>発</t>
        </is>
      </c>
      <c r="J1005" s="10" t="inlineStr">
        <is>
          <t>営業</t>
        </is>
      </c>
      <c r="L1005" t="inlineStr">
        <is>
          <t>22:32:50</t>
        </is>
      </c>
      <c r="M1005" t="inlineStr">
        <is>
          <t>22:33:15</t>
        </is>
      </c>
    </row>
    <row r="1006" ht="15" customHeight="1" s="37">
      <c r="A1006" t="n">
        <v>14</v>
      </c>
      <c r="B1006" s="10" t="inlineStr">
        <is>
          <t>休日</t>
        </is>
      </c>
      <c r="C1006" s="10" t="inlineStr">
        <is>
          <t>本線</t>
        </is>
      </c>
      <c r="D1006" s="10" t="inlineStr">
        <is>
          <t>下り</t>
        </is>
      </c>
      <c r="E1006" t="inlineStr">
        <is>
          <t>2203</t>
        </is>
      </c>
      <c r="F1006" t="inlineStr">
        <is>
          <t>0122</t>
        </is>
      </c>
      <c r="G1006" s="10" t="inlineStr">
        <is>
          <t>車折</t>
        </is>
      </c>
      <c r="H1006" s="10" t="inlineStr">
        <is>
          <t>発</t>
        </is>
      </c>
      <c r="J1006" s="10" t="inlineStr">
        <is>
          <t>営業</t>
        </is>
      </c>
      <c r="L1006" t="inlineStr">
        <is>
          <t>22:34:40</t>
        </is>
      </c>
      <c r="M1006" t="inlineStr">
        <is>
          <t>22:35:05</t>
        </is>
      </c>
    </row>
    <row r="1007" ht="15" customHeight="1" s="37">
      <c r="A1007" t="n">
        <v>14</v>
      </c>
      <c r="B1007" s="10" t="inlineStr">
        <is>
          <t>休日</t>
        </is>
      </c>
      <c r="C1007" s="10" t="inlineStr">
        <is>
          <t>本線</t>
        </is>
      </c>
      <c r="D1007" s="10" t="inlineStr">
        <is>
          <t>下り</t>
        </is>
      </c>
      <c r="E1007" t="inlineStr">
        <is>
          <t>2203</t>
        </is>
      </c>
      <c r="F1007" t="inlineStr">
        <is>
          <t>0122</t>
        </is>
      </c>
      <c r="G1007" s="10" t="inlineStr">
        <is>
          <t>鹿王院</t>
        </is>
      </c>
      <c r="H1007" s="10" t="inlineStr">
        <is>
          <t>発</t>
        </is>
      </c>
      <c r="J1007" s="10" t="inlineStr">
        <is>
          <t>営業</t>
        </is>
      </c>
      <c r="L1007" t="inlineStr">
        <is>
          <t>22:36:00</t>
        </is>
      </c>
      <c r="M1007" t="inlineStr">
        <is>
          <t>22:36:25</t>
        </is>
      </c>
    </row>
    <row r="1008" ht="15" customHeight="1" s="37">
      <c r="A1008" t="n">
        <v>14</v>
      </c>
      <c r="B1008" s="10" t="inlineStr">
        <is>
          <t>休日</t>
        </is>
      </c>
      <c r="C1008" s="10" t="inlineStr">
        <is>
          <t>本線</t>
        </is>
      </c>
      <c r="D1008" s="10" t="inlineStr">
        <is>
          <t>下り</t>
        </is>
      </c>
      <c r="E1008" t="inlineStr">
        <is>
          <t>2203</t>
        </is>
      </c>
      <c r="F1008" t="inlineStr">
        <is>
          <t>0122</t>
        </is>
      </c>
      <c r="G1008" s="10" t="inlineStr">
        <is>
          <t>嵯峨</t>
        </is>
      </c>
      <c r="H1008" s="10" t="inlineStr">
        <is>
          <t>発</t>
        </is>
      </c>
      <c r="J1008" s="10" t="inlineStr">
        <is>
          <t>営業</t>
        </is>
      </c>
      <c r="L1008" t="inlineStr">
        <is>
          <t>22:37:30</t>
        </is>
      </c>
      <c r="M1008" t="inlineStr">
        <is>
          <t>22:37:55</t>
        </is>
      </c>
    </row>
    <row r="1009" ht="15" customHeight="1" s="37">
      <c r="A1009" t="n">
        <v>14</v>
      </c>
      <c r="B1009" s="10" t="inlineStr">
        <is>
          <t>休日</t>
        </is>
      </c>
      <c r="C1009" s="10" t="inlineStr">
        <is>
          <t>本線</t>
        </is>
      </c>
      <c r="D1009" s="10" t="inlineStr">
        <is>
          <t>下り</t>
        </is>
      </c>
      <c r="E1009" t="inlineStr">
        <is>
          <t>2203</t>
        </is>
      </c>
      <c r="F1009" t="inlineStr">
        <is>
          <t>0122</t>
        </is>
      </c>
      <c r="G1009" s="10" t="inlineStr">
        <is>
          <t>嵐山</t>
        </is>
      </c>
      <c r="H1009" s="10" t="inlineStr">
        <is>
          <t>着</t>
        </is>
      </c>
      <c r="J1009" s="10" t="inlineStr">
        <is>
          <t>営業</t>
        </is>
      </c>
      <c r="L1009" t="inlineStr">
        <is>
          <t>22:39:00</t>
        </is>
      </c>
      <c r="N1009" t="inlineStr">
        <is>
          <t>○</t>
        </is>
      </c>
      <c r="Q1009" t="inlineStr">
        <is>
          <t>1</t>
        </is>
      </c>
    </row>
    <row r="1010" ht="15" customHeight="1" s="37">
      <c r="A1010" t="n">
        <v>14</v>
      </c>
      <c r="B1010" s="10" t="inlineStr">
        <is>
          <t>休日</t>
        </is>
      </c>
      <c r="C1010" s="10" t="inlineStr">
        <is>
          <t>本線</t>
        </is>
      </c>
      <c r="D1010" s="10" t="inlineStr">
        <is>
          <t>上り</t>
        </is>
      </c>
      <c r="E1010" t="inlineStr">
        <is>
          <t>2208</t>
        </is>
      </c>
      <c r="F1010" t="inlineStr">
        <is>
          <t>0221</t>
        </is>
      </c>
      <c r="G1010" s="10" t="inlineStr">
        <is>
          <t>嵐山</t>
        </is>
      </c>
      <c r="H1010" s="10" t="inlineStr">
        <is>
          <t>発</t>
        </is>
      </c>
      <c r="J1010" s="10" t="inlineStr">
        <is>
          <t>営業</t>
        </is>
      </c>
      <c r="M1010" t="inlineStr">
        <is>
          <t>22:47:00</t>
        </is>
      </c>
      <c r="Q1010" t="inlineStr">
        <is>
          <t>1</t>
        </is>
      </c>
    </row>
    <row r="1011" ht="15" customHeight="1" s="37">
      <c r="A1011" t="n">
        <v>14</v>
      </c>
      <c r="B1011" s="10" t="inlineStr">
        <is>
          <t>休日</t>
        </is>
      </c>
      <c r="C1011" s="10" t="inlineStr">
        <is>
          <t>本線</t>
        </is>
      </c>
      <c r="D1011" s="10" t="inlineStr">
        <is>
          <t>上り</t>
        </is>
      </c>
      <c r="E1011" t="inlineStr">
        <is>
          <t>2208</t>
        </is>
      </c>
      <c r="F1011" t="inlineStr">
        <is>
          <t>0221</t>
        </is>
      </c>
      <c r="G1011" s="10" t="inlineStr">
        <is>
          <t>嵯峨</t>
        </is>
      </c>
      <c r="H1011" s="10" t="inlineStr">
        <is>
          <t>発</t>
        </is>
      </c>
      <c r="J1011" s="10" t="inlineStr">
        <is>
          <t>営業</t>
        </is>
      </c>
      <c r="L1011" t="inlineStr">
        <is>
          <t>22:47:55</t>
        </is>
      </c>
      <c r="M1011" t="inlineStr">
        <is>
          <t>22:48:10</t>
        </is>
      </c>
    </row>
    <row r="1012" ht="15" customHeight="1" s="37">
      <c r="A1012" t="n">
        <v>14</v>
      </c>
      <c r="B1012" s="10" t="inlineStr">
        <is>
          <t>休日</t>
        </is>
      </c>
      <c r="C1012" s="10" t="inlineStr">
        <is>
          <t>本線</t>
        </is>
      </c>
      <c r="D1012" s="10" t="inlineStr">
        <is>
          <t>上り</t>
        </is>
      </c>
      <c r="E1012" t="inlineStr">
        <is>
          <t>2208</t>
        </is>
      </c>
      <c r="F1012" t="inlineStr">
        <is>
          <t>0221</t>
        </is>
      </c>
      <c r="G1012" s="10" t="inlineStr">
        <is>
          <t>鹿王院</t>
        </is>
      </c>
      <c r="H1012" s="10" t="inlineStr">
        <is>
          <t>発</t>
        </is>
      </c>
      <c r="J1012" s="10" t="inlineStr">
        <is>
          <t>営業</t>
        </is>
      </c>
      <c r="L1012" t="inlineStr">
        <is>
          <t>22:49:15</t>
        </is>
      </c>
      <c r="M1012" t="inlineStr">
        <is>
          <t>22:49:30</t>
        </is>
      </c>
    </row>
    <row r="1013" ht="15" customHeight="1" s="37">
      <c r="A1013" t="n">
        <v>14</v>
      </c>
      <c r="B1013" s="10" t="inlineStr">
        <is>
          <t>休日</t>
        </is>
      </c>
      <c r="C1013" s="10" t="inlineStr">
        <is>
          <t>本線</t>
        </is>
      </c>
      <c r="D1013" s="10" t="inlineStr">
        <is>
          <t>上り</t>
        </is>
      </c>
      <c r="E1013" t="inlineStr">
        <is>
          <t>2208</t>
        </is>
      </c>
      <c r="F1013" t="inlineStr">
        <is>
          <t>0221</t>
        </is>
      </c>
      <c r="G1013" s="10" t="inlineStr">
        <is>
          <t>車折</t>
        </is>
      </c>
      <c r="H1013" s="10" t="inlineStr">
        <is>
          <t>発</t>
        </is>
      </c>
      <c r="J1013" s="10" t="inlineStr">
        <is>
          <t>営業</t>
        </is>
      </c>
      <c r="L1013" t="inlineStr">
        <is>
          <t>22:50:25</t>
        </is>
      </c>
      <c r="M1013" t="inlineStr">
        <is>
          <t>22:50:40</t>
        </is>
      </c>
    </row>
    <row r="1014" ht="15" customHeight="1" s="37">
      <c r="A1014" t="n">
        <v>14</v>
      </c>
      <c r="B1014" s="10" t="inlineStr">
        <is>
          <t>休日</t>
        </is>
      </c>
      <c r="C1014" s="10" t="inlineStr">
        <is>
          <t>本線</t>
        </is>
      </c>
      <c r="D1014" s="10" t="inlineStr">
        <is>
          <t>上り</t>
        </is>
      </c>
      <c r="E1014" t="inlineStr">
        <is>
          <t>2208</t>
        </is>
      </c>
      <c r="F1014" t="inlineStr">
        <is>
          <t>0221</t>
        </is>
      </c>
      <c r="G1014" s="10" t="inlineStr">
        <is>
          <t>有栖川</t>
        </is>
      </c>
      <c r="H1014" s="10" t="inlineStr">
        <is>
          <t>発</t>
        </is>
      </c>
      <c r="J1014" s="10" t="inlineStr">
        <is>
          <t>営業</t>
        </is>
      </c>
      <c r="L1014" t="inlineStr">
        <is>
          <t>22:52:05</t>
        </is>
      </c>
      <c r="M1014" t="inlineStr">
        <is>
          <t>22:52:20</t>
        </is>
      </c>
    </row>
    <row r="1015" ht="15" customHeight="1" s="37">
      <c r="A1015" t="n">
        <v>14</v>
      </c>
      <c r="B1015" s="10" t="inlineStr">
        <is>
          <t>休日</t>
        </is>
      </c>
      <c r="C1015" s="10" t="inlineStr">
        <is>
          <t>本線</t>
        </is>
      </c>
      <c r="D1015" s="10" t="inlineStr">
        <is>
          <t>上り</t>
        </is>
      </c>
      <c r="E1015" t="inlineStr">
        <is>
          <t>2208</t>
        </is>
      </c>
      <c r="F1015" t="inlineStr">
        <is>
          <t>0221</t>
        </is>
      </c>
      <c r="G1015" s="10" t="inlineStr">
        <is>
          <t>帷子ノ辻</t>
        </is>
      </c>
      <c r="H1015" s="10" t="inlineStr">
        <is>
          <t>発</t>
        </is>
      </c>
      <c r="J1015" s="10" t="inlineStr">
        <is>
          <t>営業</t>
        </is>
      </c>
      <c r="L1015" t="inlineStr">
        <is>
          <t>22:53:35</t>
        </is>
      </c>
      <c r="M1015" t="inlineStr">
        <is>
          <t>22:54:05</t>
        </is>
      </c>
    </row>
    <row r="1016" ht="15" customHeight="1" s="37">
      <c r="A1016" t="n">
        <v>14</v>
      </c>
      <c r="B1016" s="10" t="inlineStr">
        <is>
          <t>休日</t>
        </is>
      </c>
      <c r="C1016" s="10" t="inlineStr">
        <is>
          <t>本線</t>
        </is>
      </c>
      <c r="D1016" s="10" t="inlineStr">
        <is>
          <t>上り</t>
        </is>
      </c>
      <c r="E1016" t="inlineStr">
        <is>
          <t>2208</t>
        </is>
      </c>
      <c r="F1016" t="inlineStr">
        <is>
          <t>0221</t>
        </is>
      </c>
      <c r="G1016" s="10" t="inlineStr">
        <is>
          <t>太秦広隆寺</t>
        </is>
      </c>
      <c r="H1016" s="10" t="inlineStr">
        <is>
          <t>発</t>
        </is>
      </c>
      <c r="J1016" s="10" t="inlineStr">
        <is>
          <t>営業</t>
        </is>
      </c>
      <c r="L1016" t="inlineStr">
        <is>
          <t>22:56:15</t>
        </is>
      </c>
      <c r="M1016" t="inlineStr">
        <is>
          <t>22:56:35</t>
        </is>
      </c>
    </row>
    <row r="1017" ht="15" customHeight="1" s="37">
      <c r="A1017" t="n">
        <v>14</v>
      </c>
      <c r="B1017" s="10" t="inlineStr">
        <is>
          <t>休日</t>
        </is>
      </c>
      <c r="C1017" s="10" t="inlineStr">
        <is>
          <t>本線</t>
        </is>
      </c>
      <c r="D1017" s="10" t="inlineStr">
        <is>
          <t>上り</t>
        </is>
      </c>
      <c r="E1017" t="inlineStr">
        <is>
          <t>2208</t>
        </is>
      </c>
      <c r="F1017" t="inlineStr">
        <is>
          <t>0221</t>
        </is>
      </c>
      <c r="G1017" s="10" t="inlineStr">
        <is>
          <t>蚕ノ社</t>
        </is>
      </c>
      <c r="H1017" s="10" t="inlineStr">
        <is>
          <t>発</t>
        </is>
      </c>
      <c r="J1017" s="10" t="inlineStr">
        <is>
          <t>営業</t>
        </is>
      </c>
      <c r="L1017" t="inlineStr">
        <is>
          <t>22:57:50</t>
        </is>
      </c>
      <c r="M1017" t="inlineStr">
        <is>
          <t>22:58:10</t>
        </is>
      </c>
    </row>
    <row r="1018" ht="15" customHeight="1" s="37">
      <c r="A1018" t="n">
        <v>14</v>
      </c>
      <c r="B1018" s="10" t="inlineStr">
        <is>
          <t>休日</t>
        </is>
      </c>
      <c r="C1018" s="10" t="inlineStr">
        <is>
          <t>本線</t>
        </is>
      </c>
      <c r="D1018" s="10" t="inlineStr">
        <is>
          <t>上り</t>
        </is>
      </c>
      <c r="E1018" t="inlineStr">
        <is>
          <t>2208</t>
        </is>
      </c>
      <c r="F1018" t="inlineStr">
        <is>
          <t>0221</t>
        </is>
      </c>
      <c r="G1018" s="10" t="inlineStr">
        <is>
          <t>天神川</t>
        </is>
      </c>
      <c r="H1018" s="10" t="inlineStr">
        <is>
          <t>発</t>
        </is>
      </c>
      <c r="J1018" s="10" t="inlineStr">
        <is>
          <t>営業</t>
        </is>
      </c>
      <c r="L1018" t="inlineStr">
        <is>
          <t>22:58:55</t>
        </is>
      </c>
      <c r="M1018" t="inlineStr">
        <is>
          <t>22:59:20</t>
        </is>
      </c>
    </row>
    <row r="1019" ht="15" customHeight="1" s="37">
      <c r="A1019" t="n">
        <v>14</v>
      </c>
      <c r="B1019" s="10" t="inlineStr">
        <is>
          <t>休日</t>
        </is>
      </c>
      <c r="C1019" s="10" t="inlineStr">
        <is>
          <t>本線</t>
        </is>
      </c>
      <c r="D1019" s="10" t="inlineStr">
        <is>
          <t>上り</t>
        </is>
      </c>
      <c r="E1019" t="inlineStr">
        <is>
          <t>2208</t>
        </is>
      </c>
      <c r="F1019" t="inlineStr">
        <is>
          <t>0221</t>
        </is>
      </c>
      <c r="G1019" s="10" t="inlineStr">
        <is>
          <t>山ノ内</t>
        </is>
      </c>
      <c r="H1019" s="10" t="inlineStr">
        <is>
          <t>発</t>
        </is>
      </c>
      <c r="J1019" s="10" t="inlineStr">
        <is>
          <t>営業</t>
        </is>
      </c>
      <c r="L1019" t="inlineStr">
        <is>
          <t>23:01:10</t>
        </is>
      </c>
      <c r="M1019" t="inlineStr">
        <is>
          <t>23:01:35</t>
        </is>
      </c>
    </row>
    <row r="1020" ht="15" customHeight="1" s="37">
      <c r="A1020" t="n">
        <v>14</v>
      </c>
      <c r="B1020" s="10" t="inlineStr">
        <is>
          <t>休日</t>
        </is>
      </c>
      <c r="C1020" s="10" t="inlineStr">
        <is>
          <t>本線</t>
        </is>
      </c>
      <c r="D1020" s="10" t="inlineStr">
        <is>
          <t>上り</t>
        </is>
      </c>
      <c r="E1020" t="inlineStr">
        <is>
          <t>2208</t>
        </is>
      </c>
      <c r="F1020" t="inlineStr">
        <is>
          <t>0221</t>
        </is>
      </c>
      <c r="G1020" s="10" t="inlineStr">
        <is>
          <t>西大路三条</t>
        </is>
      </c>
      <c r="H1020" s="10" t="inlineStr">
        <is>
          <t>発</t>
        </is>
      </c>
      <c r="J1020" s="10" t="inlineStr">
        <is>
          <t>営業</t>
        </is>
      </c>
      <c r="L1020" t="inlineStr">
        <is>
          <t>23:03:25</t>
        </is>
      </c>
      <c r="M1020" t="inlineStr">
        <is>
          <t>23:03:40</t>
        </is>
      </c>
    </row>
    <row r="1021" ht="15" customHeight="1" s="37">
      <c r="A1021" t="n">
        <v>14</v>
      </c>
      <c r="B1021" s="10" t="inlineStr">
        <is>
          <t>休日</t>
        </is>
      </c>
      <c r="C1021" s="10" t="inlineStr">
        <is>
          <t>本線</t>
        </is>
      </c>
      <c r="D1021" s="10" t="inlineStr">
        <is>
          <t>上り</t>
        </is>
      </c>
      <c r="E1021" t="inlineStr">
        <is>
          <t>2208</t>
        </is>
      </c>
      <c r="F1021" t="inlineStr">
        <is>
          <t>0221</t>
        </is>
      </c>
      <c r="G1021" s="10" t="inlineStr">
        <is>
          <t>西院</t>
        </is>
      </c>
      <c r="H1021" s="10" t="inlineStr">
        <is>
          <t>発</t>
        </is>
      </c>
      <c r="J1021" s="10" t="inlineStr">
        <is>
          <t>営業</t>
        </is>
      </c>
      <c r="L1021" t="inlineStr">
        <is>
          <t>23:05:35</t>
        </is>
      </c>
      <c r="M1021" t="inlineStr">
        <is>
          <t>23:06:05</t>
        </is>
      </c>
    </row>
    <row r="1022" ht="15" customHeight="1" s="37">
      <c r="A1022" t="n">
        <v>14</v>
      </c>
      <c r="B1022" s="10" t="inlineStr">
        <is>
          <t>休日</t>
        </is>
      </c>
      <c r="C1022" s="10" t="inlineStr">
        <is>
          <t>本線</t>
        </is>
      </c>
      <c r="D1022" s="10" t="inlineStr">
        <is>
          <t>上り</t>
        </is>
      </c>
      <c r="E1022" t="inlineStr">
        <is>
          <t>2208</t>
        </is>
      </c>
      <c r="F1022" t="inlineStr">
        <is>
          <t>0221</t>
        </is>
      </c>
      <c r="G1022" s="10" t="inlineStr">
        <is>
          <t>四条大宮</t>
        </is>
      </c>
      <c r="H1022" s="10" t="inlineStr">
        <is>
          <t>着</t>
        </is>
      </c>
      <c r="J1022" s="10" t="inlineStr">
        <is>
          <t>営業</t>
        </is>
      </c>
      <c r="L1022" t="inlineStr">
        <is>
          <t>23:09:00</t>
        </is>
      </c>
      <c r="N1022" t="inlineStr">
        <is>
          <t>○</t>
        </is>
      </c>
      <c r="Q1022" t="inlineStr">
        <is>
          <t>1</t>
        </is>
      </c>
    </row>
    <row r="1023" ht="15" customHeight="1" s="37">
      <c r="A1023" t="n">
        <v>14</v>
      </c>
      <c r="B1023" s="10" t="inlineStr">
        <is>
          <t>休日</t>
        </is>
      </c>
      <c r="C1023" s="10" t="inlineStr">
        <is>
          <t>本線</t>
        </is>
      </c>
      <c r="D1023" s="10" t="inlineStr">
        <is>
          <t>下り</t>
        </is>
      </c>
      <c r="E1023" t="inlineStr">
        <is>
          <t>2303</t>
        </is>
      </c>
      <c r="F1023" t="inlineStr">
        <is>
          <t>0182</t>
        </is>
      </c>
      <c r="G1023" s="10" t="inlineStr">
        <is>
          <t>四条大宮</t>
        </is>
      </c>
      <c r="H1023" s="10" t="inlineStr">
        <is>
          <t>発</t>
        </is>
      </c>
      <c r="J1023" s="10" t="inlineStr">
        <is>
          <t>営業</t>
        </is>
      </c>
      <c r="M1023" t="inlineStr">
        <is>
          <t>23:20:00</t>
        </is>
      </c>
      <c r="Q1023" t="inlineStr">
        <is>
          <t>1</t>
        </is>
      </c>
    </row>
    <row r="1024" ht="15" customHeight="1" s="37">
      <c r="A1024" t="n">
        <v>14</v>
      </c>
      <c r="B1024" s="10" t="inlineStr">
        <is>
          <t>休日</t>
        </is>
      </c>
      <c r="C1024" s="10" t="inlineStr">
        <is>
          <t>本線</t>
        </is>
      </c>
      <c r="D1024" s="10" t="inlineStr">
        <is>
          <t>下り</t>
        </is>
      </c>
      <c r="E1024" t="inlineStr">
        <is>
          <t>2303</t>
        </is>
      </c>
      <c r="F1024" t="inlineStr">
        <is>
          <t>0182</t>
        </is>
      </c>
      <c r="G1024" s="10" t="inlineStr">
        <is>
          <t>西院</t>
        </is>
      </c>
      <c r="H1024" s="10" t="inlineStr">
        <is>
          <t>発</t>
        </is>
      </c>
      <c r="J1024" s="10" t="inlineStr">
        <is>
          <t>営業</t>
        </is>
      </c>
      <c r="L1024" t="inlineStr">
        <is>
          <t>23:22:50</t>
        </is>
      </c>
      <c r="M1024" t="inlineStr">
        <is>
          <t>23:23:20</t>
        </is>
      </c>
    </row>
    <row r="1025" ht="15" customHeight="1" s="37">
      <c r="A1025" t="n">
        <v>14</v>
      </c>
      <c r="B1025" s="10" t="inlineStr">
        <is>
          <t>休日</t>
        </is>
      </c>
      <c r="C1025" s="10" t="inlineStr">
        <is>
          <t>本線</t>
        </is>
      </c>
      <c r="D1025" s="10" t="inlineStr">
        <is>
          <t>下り</t>
        </is>
      </c>
      <c r="E1025" t="inlineStr">
        <is>
          <t>2303</t>
        </is>
      </c>
      <c r="F1025" t="inlineStr">
        <is>
          <t>0182</t>
        </is>
      </c>
      <c r="G1025" s="10" t="inlineStr">
        <is>
          <t>西大路三条</t>
        </is>
      </c>
      <c r="H1025" s="10" t="inlineStr">
        <is>
          <t>発</t>
        </is>
      </c>
      <c r="J1025" s="10" t="inlineStr">
        <is>
          <t>営業</t>
        </is>
      </c>
      <c r="L1025" t="inlineStr">
        <is>
          <t>23:25:10</t>
        </is>
      </c>
      <c r="M1025" t="inlineStr">
        <is>
          <t>23:25:30</t>
        </is>
      </c>
    </row>
    <row r="1026" ht="15" customHeight="1" s="37">
      <c r="A1026" t="n">
        <v>14</v>
      </c>
      <c r="B1026" s="10" t="inlineStr">
        <is>
          <t>休日</t>
        </is>
      </c>
      <c r="C1026" s="10" t="inlineStr">
        <is>
          <t>本線</t>
        </is>
      </c>
      <c r="D1026" s="10" t="inlineStr">
        <is>
          <t>下り</t>
        </is>
      </c>
      <c r="E1026" t="inlineStr">
        <is>
          <t>2303</t>
        </is>
      </c>
      <c r="F1026" t="inlineStr">
        <is>
          <t>0182</t>
        </is>
      </c>
      <c r="G1026" s="10" t="inlineStr">
        <is>
          <t>山ノ内</t>
        </is>
      </c>
      <c r="H1026" s="10" t="inlineStr">
        <is>
          <t>発</t>
        </is>
      </c>
      <c r="J1026" s="10" t="inlineStr">
        <is>
          <t>営業</t>
        </is>
      </c>
      <c r="L1026" t="inlineStr">
        <is>
          <t>23:27:25</t>
        </is>
      </c>
      <c r="M1026" t="inlineStr">
        <is>
          <t>23:27:50</t>
        </is>
      </c>
    </row>
    <row r="1027" ht="15" customHeight="1" s="37">
      <c r="A1027" t="n">
        <v>14</v>
      </c>
      <c r="B1027" s="10" t="inlineStr">
        <is>
          <t>休日</t>
        </is>
      </c>
      <c r="C1027" s="10" t="inlineStr">
        <is>
          <t>本線</t>
        </is>
      </c>
      <c r="D1027" s="10" t="inlineStr">
        <is>
          <t>下り</t>
        </is>
      </c>
      <c r="E1027" t="inlineStr">
        <is>
          <t>2303</t>
        </is>
      </c>
      <c r="F1027" t="inlineStr">
        <is>
          <t>0182</t>
        </is>
      </c>
      <c r="G1027" s="10" t="inlineStr">
        <is>
          <t>天神川</t>
        </is>
      </c>
      <c r="H1027" s="10" t="inlineStr">
        <is>
          <t>発</t>
        </is>
      </c>
      <c r="J1027" s="10" t="inlineStr">
        <is>
          <t>営業</t>
        </is>
      </c>
      <c r="L1027" t="inlineStr">
        <is>
          <t>23:29:50</t>
        </is>
      </c>
      <c r="M1027" t="inlineStr">
        <is>
          <t>23:30:30</t>
        </is>
      </c>
    </row>
    <row r="1028" ht="15" customHeight="1" s="37">
      <c r="A1028" t="n">
        <v>14</v>
      </c>
      <c r="B1028" s="10" t="inlineStr">
        <is>
          <t>休日</t>
        </is>
      </c>
      <c r="C1028" s="10" t="inlineStr">
        <is>
          <t>本線</t>
        </is>
      </c>
      <c r="D1028" s="10" t="inlineStr">
        <is>
          <t>下り</t>
        </is>
      </c>
      <c r="E1028" t="inlineStr">
        <is>
          <t>2303</t>
        </is>
      </c>
      <c r="F1028" t="inlineStr">
        <is>
          <t>0182</t>
        </is>
      </c>
      <c r="G1028" s="10" t="inlineStr">
        <is>
          <t>蚕ノ社</t>
        </is>
      </c>
      <c r="H1028" s="10" t="inlineStr">
        <is>
          <t>発</t>
        </is>
      </c>
      <c r="J1028" s="10" t="inlineStr">
        <is>
          <t>営業</t>
        </is>
      </c>
      <c r="L1028" t="inlineStr">
        <is>
          <t>23:31:20</t>
        </is>
      </c>
      <c r="M1028" t="inlineStr">
        <is>
          <t>23:31:40</t>
        </is>
      </c>
    </row>
    <row r="1029" ht="15" customHeight="1" s="37">
      <c r="A1029" t="n">
        <v>14</v>
      </c>
      <c r="B1029" s="10" t="inlineStr">
        <is>
          <t>休日</t>
        </is>
      </c>
      <c r="C1029" s="10" t="inlineStr">
        <is>
          <t>本線</t>
        </is>
      </c>
      <c r="D1029" s="10" t="inlineStr">
        <is>
          <t>下り</t>
        </is>
      </c>
      <c r="E1029" t="inlineStr">
        <is>
          <t>2303</t>
        </is>
      </c>
      <c r="F1029" t="inlineStr">
        <is>
          <t>0182</t>
        </is>
      </c>
      <c r="G1029" s="10" t="inlineStr">
        <is>
          <t>太秦広隆寺</t>
        </is>
      </c>
      <c r="H1029" s="10" t="inlineStr">
        <is>
          <t>発</t>
        </is>
      </c>
      <c r="J1029" s="10" t="inlineStr">
        <is>
          <t>営業</t>
        </is>
      </c>
      <c r="L1029" t="inlineStr">
        <is>
          <t>23:33:00</t>
        </is>
      </c>
      <c r="M1029" t="inlineStr">
        <is>
          <t>23:33:20</t>
        </is>
      </c>
    </row>
    <row r="1030" ht="15" customHeight="1" s="37">
      <c r="A1030" t="n">
        <v>14</v>
      </c>
      <c r="B1030" s="10" t="inlineStr">
        <is>
          <t>休日</t>
        </is>
      </c>
      <c r="C1030" s="10" t="inlineStr">
        <is>
          <t>本線</t>
        </is>
      </c>
      <c r="D1030" s="10" t="inlineStr">
        <is>
          <t>下り</t>
        </is>
      </c>
      <c r="E1030" t="inlineStr">
        <is>
          <t>2303</t>
        </is>
      </c>
      <c r="F1030" t="inlineStr">
        <is>
          <t>0182</t>
        </is>
      </c>
      <c r="G1030" s="10" t="inlineStr">
        <is>
          <t>帷子ノ辻</t>
        </is>
      </c>
      <c r="H1030" s="10" t="inlineStr">
        <is>
          <t>発</t>
        </is>
      </c>
      <c r="J1030" s="10" t="inlineStr">
        <is>
          <t>営業</t>
        </is>
      </c>
      <c r="L1030" t="inlineStr">
        <is>
          <t>23:35:20</t>
        </is>
      </c>
      <c r="M1030" t="inlineStr">
        <is>
          <t>23:36:40</t>
        </is>
      </c>
    </row>
    <row r="1031" ht="15" customHeight="1" s="37">
      <c r="A1031" t="n">
        <v>14</v>
      </c>
      <c r="B1031" s="10" t="inlineStr">
        <is>
          <t>休日</t>
        </is>
      </c>
      <c r="C1031" s="10" t="inlineStr">
        <is>
          <t>本線</t>
        </is>
      </c>
      <c r="D1031" s="10" t="inlineStr">
        <is>
          <t>下り</t>
        </is>
      </c>
      <c r="E1031" t="inlineStr">
        <is>
          <t>2303</t>
        </is>
      </c>
      <c r="F1031" t="inlineStr">
        <is>
          <t>0182</t>
        </is>
      </c>
      <c r="G1031" s="10" t="inlineStr">
        <is>
          <t>有栖川</t>
        </is>
      </c>
      <c r="H1031" s="10" t="inlineStr">
        <is>
          <t>発</t>
        </is>
      </c>
      <c r="J1031" s="10" t="inlineStr">
        <is>
          <t>営業</t>
        </is>
      </c>
      <c r="L1031" t="inlineStr">
        <is>
          <t>23:37:50</t>
        </is>
      </c>
      <c r="M1031" t="inlineStr">
        <is>
          <t>23:38:15</t>
        </is>
      </c>
    </row>
    <row r="1032" ht="15" customHeight="1" s="37">
      <c r="A1032" t="n">
        <v>14</v>
      </c>
      <c r="B1032" s="10" t="inlineStr">
        <is>
          <t>休日</t>
        </is>
      </c>
      <c r="C1032" s="10" t="inlineStr">
        <is>
          <t>本線</t>
        </is>
      </c>
      <c r="D1032" s="10" t="inlineStr">
        <is>
          <t>下り</t>
        </is>
      </c>
      <c r="E1032" t="inlineStr">
        <is>
          <t>2303</t>
        </is>
      </c>
      <c r="F1032" t="inlineStr">
        <is>
          <t>0182</t>
        </is>
      </c>
      <c r="G1032" s="10" t="inlineStr">
        <is>
          <t>車折</t>
        </is>
      </c>
      <c r="H1032" s="10" t="inlineStr">
        <is>
          <t>発</t>
        </is>
      </c>
      <c r="J1032" s="10" t="inlineStr">
        <is>
          <t>営業</t>
        </is>
      </c>
      <c r="L1032" t="inlineStr">
        <is>
          <t>23:39:40</t>
        </is>
      </c>
      <c r="M1032" t="inlineStr">
        <is>
          <t>23:40:05</t>
        </is>
      </c>
    </row>
    <row r="1033" ht="15" customHeight="1" s="37">
      <c r="A1033" t="n">
        <v>14</v>
      </c>
      <c r="B1033" s="10" t="inlineStr">
        <is>
          <t>休日</t>
        </is>
      </c>
      <c r="C1033" s="10" t="inlineStr">
        <is>
          <t>本線</t>
        </is>
      </c>
      <c r="D1033" s="10" t="inlineStr">
        <is>
          <t>下り</t>
        </is>
      </c>
      <c r="E1033" t="inlineStr">
        <is>
          <t>2303</t>
        </is>
      </c>
      <c r="F1033" t="inlineStr">
        <is>
          <t>0182</t>
        </is>
      </c>
      <c r="G1033" s="10" t="inlineStr">
        <is>
          <t>鹿王院</t>
        </is>
      </c>
      <c r="H1033" s="10" t="inlineStr">
        <is>
          <t>発</t>
        </is>
      </c>
      <c r="J1033" s="10" t="inlineStr">
        <is>
          <t>営業</t>
        </is>
      </c>
      <c r="L1033" t="inlineStr">
        <is>
          <t>23:41:00</t>
        </is>
      </c>
      <c r="M1033" t="inlineStr">
        <is>
          <t>23:41:25</t>
        </is>
      </c>
    </row>
    <row r="1034" ht="15" customHeight="1" s="37">
      <c r="A1034" t="n">
        <v>14</v>
      </c>
      <c r="B1034" s="10" t="inlineStr">
        <is>
          <t>休日</t>
        </is>
      </c>
      <c r="C1034" s="10" t="inlineStr">
        <is>
          <t>本線</t>
        </is>
      </c>
      <c r="D1034" s="10" t="inlineStr">
        <is>
          <t>下り</t>
        </is>
      </c>
      <c r="E1034" t="inlineStr">
        <is>
          <t>2303</t>
        </is>
      </c>
      <c r="F1034" t="inlineStr">
        <is>
          <t>0182</t>
        </is>
      </c>
      <c r="G1034" s="10" t="inlineStr">
        <is>
          <t>嵯峨</t>
        </is>
      </c>
      <c r="H1034" s="10" t="inlineStr">
        <is>
          <t>発</t>
        </is>
      </c>
      <c r="J1034" s="10" t="inlineStr">
        <is>
          <t>営業</t>
        </is>
      </c>
      <c r="L1034" t="inlineStr">
        <is>
          <t>23:42:30</t>
        </is>
      </c>
      <c r="M1034" t="inlineStr">
        <is>
          <t>23:42:55</t>
        </is>
      </c>
    </row>
    <row r="1035" ht="15" customHeight="1" s="37">
      <c r="A1035" t="n">
        <v>14</v>
      </c>
      <c r="B1035" s="10" t="inlineStr">
        <is>
          <t>休日</t>
        </is>
      </c>
      <c r="C1035" s="10" t="inlineStr">
        <is>
          <t>本線</t>
        </is>
      </c>
      <c r="D1035" s="10" t="inlineStr">
        <is>
          <t>下り</t>
        </is>
      </c>
      <c r="E1035" t="inlineStr">
        <is>
          <t>2303</t>
        </is>
      </c>
      <c r="F1035" t="inlineStr">
        <is>
          <t>0182</t>
        </is>
      </c>
      <c r="G1035" s="10" t="inlineStr">
        <is>
          <t>嵐山</t>
        </is>
      </c>
      <c r="H1035" s="10" t="inlineStr">
        <is>
          <t>着</t>
        </is>
      </c>
      <c r="J1035" s="10" t="inlineStr">
        <is>
          <t>営業</t>
        </is>
      </c>
      <c r="L1035" t="inlineStr">
        <is>
          <t>23:44:00</t>
        </is>
      </c>
      <c r="N1035" t="inlineStr">
        <is>
          <t>○</t>
        </is>
      </c>
      <c r="Q1035" t="inlineStr">
        <is>
          <t>1</t>
        </is>
      </c>
    </row>
    <row r="1036" ht="15" customHeight="1" s="37">
      <c r="A1036" t="n">
        <v>14</v>
      </c>
      <c r="B1036" s="10" t="inlineStr">
        <is>
          <t>休日</t>
        </is>
      </c>
      <c r="C1036" s="10" t="inlineStr">
        <is>
          <t>本線</t>
        </is>
      </c>
      <c r="D1036" s="10" t="inlineStr">
        <is>
          <t>上り</t>
        </is>
      </c>
      <c r="E1036" t="inlineStr">
        <is>
          <t>2308</t>
        </is>
      </c>
      <c r="F1036" t="inlineStr">
        <is>
          <t>0225</t>
        </is>
      </c>
      <c r="G1036" s="10" t="inlineStr">
        <is>
          <t>嵐山</t>
        </is>
      </c>
      <c r="H1036" s="10" t="inlineStr">
        <is>
          <t>発</t>
        </is>
      </c>
      <c r="I1036" t="inlineStr">
        <is>
          <t>○</t>
        </is>
      </c>
      <c r="J1036" s="10" t="inlineStr">
        <is>
          <t>営業</t>
        </is>
      </c>
      <c r="M1036" t="inlineStr">
        <is>
          <t>23:47:00</t>
        </is>
      </c>
      <c r="Q1036" t="inlineStr">
        <is>
          <t>1</t>
        </is>
      </c>
      <c r="R1036" t="inlineStr">
        <is>
          <t>○</t>
        </is>
      </c>
    </row>
    <row r="1037" ht="15" customHeight="1" s="37">
      <c r="A1037" t="n">
        <v>14</v>
      </c>
      <c r="B1037" s="10" t="inlineStr">
        <is>
          <t>休日</t>
        </is>
      </c>
      <c r="C1037" s="10" t="inlineStr">
        <is>
          <t>本線</t>
        </is>
      </c>
      <c r="D1037" s="10" t="inlineStr">
        <is>
          <t>上り</t>
        </is>
      </c>
      <c r="E1037" t="inlineStr">
        <is>
          <t>2308</t>
        </is>
      </c>
      <c r="F1037" t="inlineStr">
        <is>
          <t>0225</t>
        </is>
      </c>
      <c r="G1037" s="10" t="inlineStr">
        <is>
          <t>嵯峨</t>
        </is>
      </c>
      <c r="H1037" s="10" t="inlineStr">
        <is>
          <t>発</t>
        </is>
      </c>
      <c r="I1037" t="inlineStr">
        <is>
          <t>○</t>
        </is>
      </c>
      <c r="J1037" s="10" t="inlineStr">
        <is>
          <t>営業</t>
        </is>
      </c>
      <c r="L1037" t="inlineStr">
        <is>
          <t>23:47:55</t>
        </is>
      </c>
      <c r="M1037" t="inlineStr">
        <is>
          <t>23:48:10</t>
        </is>
      </c>
      <c r="R1037" t="inlineStr">
        <is>
          <t>○</t>
        </is>
      </c>
    </row>
    <row r="1038" ht="15" customHeight="1" s="37">
      <c r="A1038" t="n">
        <v>14</v>
      </c>
      <c r="B1038" s="10" t="inlineStr">
        <is>
          <t>休日</t>
        </is>
      </c>
      <c r="C1038" s="10" t="inlineStr">
        <is>
          <t>本線</t>
        </is>
      </c>
      <c r="D1038" s="10" t="inlineStr">
        <is>
          <t>上り</t>
        </is>
      </c>
      <c r="E1038" t="inlineStr">
        <is>
          <t>2308</t>
        </is>
      </c>
      <c r="F1038" t="inlineStr">
        <is>
          <t>0225</t>
        </is>
      </c>
      <c r="G1038" s="10" t="inlineStr">
        <is>
          <t>鹿王院</t>
        </is>
      </c>
      <c r="H1038" s="10" t="inlineStr">
        <is>
          <t>発</t>
        </is>
      </c>
      <c r="I1038" t="inlineStr">
        <is>
          <t>○</t>
        </is>
      </c>
      <c r="J1038" s="10" t="inlineStr">
        <is>
          <t>営業</t>
        </is>
      </c>
      <c r="L1038" t="inlineStr">
        <is>
          <t>23:49:15</t>
        </is>
      </c>
      <c r="M1038" t="inlineStr">
        <is>
          <t>23:49:30</t>
        </is>
      </c>
      <c r="R1038" t="inlineStr">
        <is>
          <t>○</t>
        </is>
      </c>
    </row>
    <row r="1039" ht="15" customHeight="1" s="37">
      <c r="A1039" t="n">
        <v>14</v>
      </c>
      <c r="B1039" s="10" t="inlineStr">
        <is>
          <t>休日</t>
        </is>
      </c>
      <c r="C1039" s="10" t="inlineStr">
        <is>
          <t>本線</t>
        </is>
      </c>
      <c r="D1039" s="10" t="inlineStr">
        <is>
          <t>上り</t>
        </is>
      </c>
      <c r="E1039" t="inlineStr">
        <is>
          <t>2308</t>
        </is>
      </c>
      <c r="F1039" t="inlineStr">
        <is>
          <t>0225</t>
        </is>
      </c>
      <c r="G1039" s="10" t="inlineStr">
        <is>
          <t>車折</t>
        </is>
      </c>
      <c r="H1039" s="10" t="inlineStr">
        <is>
          <t>発</t>
        </is>
      </c>
      <c r="I1039" t="inlineStr">
        <is>
          <t>○</t>
        </is>
      </c>
      <c r="J1039" s="10" t="inlineStr">
        <is>
          <t>営業</t>
        </is>
      </c>
      <c r="L1039" t="inlineStr">
        <is>
          <t>23:50:25</t>
        </is>
      </c>
      <c r="M1039" t="inlineStr">
        <is>
          <t>23:50:40</t>
        </is>
      </c>
      <c r="R1039" t="inlineStr">
        <is>
          <t>○</t>
        </is>
      </c>
    </row>
    <row r="1040" ht="15" customHeight="1" s="37">
      <c r="A1040" t="n">
        <v>14</v>
      </c>
      <c r="B1040" s="10" t="inlineStr">
        <is>
          <t>休日</t>
        </is>
      </c>
      <c r="C1040" s="10" t="inlineStr">
        <is>
          <t>本線</t>
        </is>
      </c>
      <c r="D1040" s="10" t="inlineStr">
        <is>
          <t>上り</t>
        </is>
      </c>
      <c r="E1040" t="inlineStr">
        <is>
          <t>2308</t>
        </is>
      </c>
      <c r="F1040" t="inlineStr">
        <is>
          <t>0225</t>
        </is>
      </c>
      <c r="G1040" s="10" t="inlineStr">
        <is>
          <t>有栖川</t>
        </is>
      </c>
      <c r="H1040" s="10" t="inlineStr">
        <is>
          <t>発</t>
        </is>
      </c>
      <c r="I1040" t="inlineStr">
        <is>
          <t>○</t>
        </is>
      </c>
      <c r="J1040" s="10" t="inlineStr">
        <is>
          <t>営業</t>
        </is>
      </c>
      <c r="L1040" t="inlineStr">
        <is>
          <t>23:52:05</t>
        </is>
      </c>
      <c r="M1040" t="inlineStr">
        <is>
          <t>23:52:20</t>
        </is>
      </c>
      <c r="R1040" t="inlineStr">
        <is>
          <t>○</t>
        </is>
      </c>
    </row>
    <row r="1041" ht="15" customHeight="1" s="37">
      <c r="A1041" t="n">
        <v>14</v>
      </c>
      <c r="B1041" s="10" t="inlineStr">
        <is>
          <t>休日</t>
        </is>
      </c>
      <c r="C1041" s="10" t="inlineStr">
        <is>
          <t>本線</t>
        </is>
      </c>
      <c r="D1041" s="10" t="inlineStr">
        <is>
          <t>上り</t>
        </is>
      </c>
      <c r="E1041" t="inlineStr">
        <is>
          <t>2308</t>
        </is>
      </c>
      <c r="F1041" t="inlineStr">
        <is>
          <t>0225</t>
        </is>
      </c>
      <c r="G1041" s="10" t="inlineStr">
        <is>
          <t>帷子ノ辻</t>
        </is>
      </c>
      <c r="H1041" s="10" t="inlineStr">
        <is>
          <t>発</t>
        </is>
      </c>
      <c r="I1041" t="inlineStr">
        <is>
          <t>○</t>
        </is>
      </c>
      <c r="J1041" s="10" t="inlineStr">
        <is>
          <t>営業</t>
        </is>
      </c>
      <c r="L1041" t="inlineStr">
        <is>
          <t>23:53:35</t>
        </is>
      </c>
      <c r="M1041" t="inlineStr">
        <is>
          <t>23:54:05</t>
        </is>
      </c>
      <c r="R1041" t="inlineStr">
        <is>
          <t>○</t>
        </is>
      </c>
    </row>
    <row r="1042" ht="15" customHeight="1" s="37">
      <c r="A1042" t="n">
        <v>14</v>
      </c>
      <c r="B1042" s="10" t="inlineStr">
        <is>
          <t>休日</t>
        </is>
      </c>
      <c r="C1042" s="10" t="inlineStr">
        <is>
          <t>本線</t>
        </is>
      </c>
      <c r="D1042" s="10" t="inlineStr">
        <is>
          <t>上り</t>
        </is>
      </c>
      <c r="E1042" t="inlineStr">
        <is>
          <t>2308</t>
        </is>
      </c>
      <c r="F1042" t="inlineStr">
        <is>
          <t>0225</t>
        </is>
      </c>
      <c r="G1042" s="10" t="inlineStr">
        <is>
          <t>太秦広隆寺</t>
        </is>
      </c>
      <c r="H1042" s="10" t="inlineStr">
        <is>
          <t>発</t>
        </is>
      </c>
      <c r="I1042" t="inlineStr">
        <is>
          <t>○</t>
        </is>
      </c>
      <c r="J1042" s="10" t="inlineStr">
        <is>
          <t>営業</t>
        </is>
      </c>
      <c r="L1042" t="inlineStr">
        <is>
          <t>23:56:15</t>
        </is>
      </c>
      <c r="M1042" t="inlineStr">
        <is>
          <t>23:56:35</t>
        </is>
      </c>
      <c r="R1042" t="inlineStr">
        <is>
          <t>○</t>
        </is>
      </c>
    </row>
    <row r="1043" ht="15" customHeight="1" s="37">
      <c r="A1043" t="n">
        <v>14</v>
      </c>
      <c r="B1043" s="10" t="inlineStr">
        <is>
          <t>休日</t>
        </is>
      </c>
      <c r="C1043" s="10" t="inlineStr">
        <is>
          <t>本線</t>
        </is>
      </c>
      <c r="D1043" s="10" t="inlineStr">
        <is>
          <t>上り</t>
        </is>
      </c>
      <c r="E1043" t="inlineStr">
        <is>
          <t>2308</t>
        </is>
      </c>
      <c r="F1043" t="inlineStr">
        <is>
          <t>0225</t>
        </is>
      </c>
      <c r="G1043" s="10" t="inlineStr">
        <is>
          <t>蚕ノ社</t>
        </is>
      </c>
      <c r="H1043" s="10" t="inlineStr">
        <is>
          <t>発</t>
        </is>
      </c>
      <c r="I1043" t="inlineStr">
        <is>
          <t>○</t>
        </is>
      </c>
      <c r="J1043" s="10" t="inlineStr">
        <is>
          <t>営業</t>
        </is>
      </c>
      <c r="L1043" t="inlineStr">
        <is>
          <t>23:57:50</t>
        </is>
      </c>
      <c r="M1043" t="inlineStr">
        <is>
          <t>23:58:10</t>
        </is>
      </c>
      <c r="R1043" t="inlineStr">
        <is>
          <t>○</t>
        </is>
      </c>
    </row>
    <row r="1044" ht="15" customHeight="1" s="37">
      <c r="A1044" t="n">
        <v>14</v>
      </c>
      <c r="B1044" s="10" t="inlineStr">
        <is>
          <t>休日</t>
        </is>
      </c>
      <c r="C1044" s="10" t="inlineStr">
        <is>
          <t>本線</t>
        </is>
      </c>
      <c r="D1044" s="10" t="inlineStr">
        <is>
          <t>上り</t>
        </is>
      </c>
      <c r="E1044" t="inlineStr">
        <is>
          <t>2308</t>
        </is>
      </c>
      <c r="F1044" t="inlineStr">
        <is>
          <t>0225</t>
        </is>
      </c>
      <c r="G1044" s="10" t="inlineStr">
        <is>
          <t>天神川</t>
        </is>
      </c>
      <c r="H1044" s="10" t="inlineStr">
        <is>
          <t>発</t>
        </is>
      </c>
      <c r="I1044" t="inlineStr">
        <is>
          <t>○</t>
        </is>
      </c>
      <c r="J1044" s="10" t="inlineStr">
        <is>
          <t>営業</t>
        </is>
      </c>
      <c r="L1044" t="inlineStr">
        <is>
          <t>23:58:55</t>
        </is>
      </c>
      <c r="M1044" t="inlineStr">
        <is>
          <t>23:59:20</t>
        </is>
      </c>
      <c r="R1044" t="inlineStr">
        <is>
          <t>○</t>
        </is>
      </c>
    </row>
    <row r="1045" ht="15" customHeight="1" s="37">
      <c r="A1045" t="n">
        <v>14</v>
      </c>
      <c r="B1045" s="10" t="inlineStr">
        <is>
          <t>休日</t>
        </is>
      </c>
      <c r="C1045" s="10" t="inlineStr">
        <is>
          <t>本線</t>
        </is>
      </c>
      <c r="D1045" s="10" t="inlineStr">
        <is>
          <t>上り</t>
        </is>
      </c>
      <c r="E1045" t="inlineStr">
        <is>
          <t>2308</t>
        </is>
      </c>
      <c r="F1045" t="inlineStr">
        <is>
          <t>0225</t>
        </is>
      </c>
      <c r="G1045" s="10" t="inlineStr">
        <is>
          <t>山ノ内</t>
        </is>
      </c>
      <c r="H1045" s="10" t="inlineStr">
        <is>
          <t>発</t>
        </is>
      </c>
      <c r="I1045" t="inlineStr">
        <is>
          <t>○</t>
        </is>
      </c>
      <c r="J1045" s="10" t="inlineStr">
        <is>
          <t>営業</t>
        </is>
      </c>
      <c r="L1045" t="inlineStr">
        <is>
          <t>24:01:10</t>
        </is>
      </c>
      <c r="M1045" t="inlineStr">
        <is>
          <t>24:01:35</t>
        </is>
      </c>
      <c r="R1045" t="inlineStr">
        <is>
          <t>○</t>
        </is>
      </c>
    </row>
    <row r="1046" ht="15" customHeight="1" s="37">
      <c r="A1046" t="n">
        <v>14</v>
      </c>
      <c r="B1046" s="10" t="inlineStr">
        <is>
          <t>休日</t>
        </is>
      </c>
      <c r="C1046" s="10" t="inlineStr">
        <is>
          <t>本線</t>
        </is>
      </c>
      <c r="D1046" s="10" t="inlineStr">
        <is>
          <t>上り</t>
        </is>
      </c>
      <c r="E1046" t="inlineStr">
        <is>
          <t>2308</t>
        </is>
      </c>
      <c r="F1046" t="inlineStr">
        <is>
          <t>0225</t>
        </is>
      </c>
      <c r="G1046" s="10" t="inlineStr">
        <is>
          <t>西大路三条</t>
        </is>
      </c>
      <c r="H1046" s="10" t="inlineStr">
        <is>
          <t>発</t>
        </is>
      </c>
      <c r="I1046" t="inlineStr">
        <is>
          <t>○</t>
        </is>
      </c>
      <c r="J1046" s="10" t="inlineStr">
        <is>
          <t>営業</t>
        </is>
      </c>
      <c r="L1046" t="inlineStr">
        <is>
          <t>24:03:25</t>
        </is>
      </c>
      <c r="M1046" t="inlineStr">
        <is>
          <t>24:03:40</t>
        </is>
      </c>
      <c r="R1046" t="inlineStr">
        <is>
          <t>○</t>
        </is>
      </c>
    </row>
    <row r="1047" ht="15" customHeight="1" s="37">
      <c r="A1047" t="n">
        <v>14</v>
      </c>
      <c r="B1047" s="10" t="inlineStr">
        <is>
          <t>休日</t>
        </is>
      </c>
      <c r="C1047" s="10" t="inlineStr">
        <is>
          <t>本線</t>
        </is>
      </c>
      <c r="D1047" s="10" t="inlineStr">
        <is>
          <t>上り</t>
        </is>
      </c>
      <c r="E1047" t="inlineStr">
        <is>
          <t>2308</t>
        </is>
      </c>
      <c r="F1047" t="inlineStr">
        <is>
          <t>0225</t>
        </is>
      </c>
      <c r="G1047" s="10" t="inlineStr">
        <is>
          <t>西院</t>
        </is>
      </c>
      <c r="H1047" s="10" t="inlineStr">
        <is>
          <t>着</t>
        </is>
      </c>
      <c r="I1047" t="inlineStr">
        <is>
          <t>○</t>
        </is>
      </c>
      <c r="J1047" s="10" t="inlineStr">
        <is>
          <t>営業</t>
        </is>
      </c>
      <c r="L1047" t="inlineStr">
        <is>
          <t>24:05:35</t>
        </is>
      </c>
      <c r="R1047" t="inlineStr">
        <is>
          <t>○</t>
        </is>
      </c>
      <c r="T1047" t="inlineStr">
        <is>
          <t>○</t>
        </is>
      </c>
    </row>
    <row r="1048" ht="15" customHeight="1" s="37">
      <c r="A1048" t="n">
        <v>14</v>
      </c>
      <c r="B1048" s="10" t="inlineStr">
        <is>
          <t>休日</t>
        </is>
      </c>
      <c r="C1048" s="10" t="inlineStr">
        <is>
          <t>本線</t>
        </is>
      </c>
      <c r="D1048" s="10" t="inlineStr">
        <is>
          <t>下り</t>
        </is>
      </c>
      <c r="E1048" s="10" t="inlineStr">
        <is>
          <t>連1509</t>
        </is>
      </c>
      <c r="F1048" t="inlineStr">
        <is>
          <t>0112</t>
        </is>
      </c>
      <c r="G1048" s="10" t="inlineStr">
        <is>
          <t>西院</t>
        </is>
      </c>
      <c r="H1048" s="10" t="inlineStr">
        <is>
          <t>発</t>
        </is>
      </c>
      <c r="J1048" s="10" t="inlineStr">
        <is>
          <t>営業</t>
        </is>
      </c>
      <c r="L1048" t="inlineStr">
        <is>
          <t>15:45:50</t>
        </is>
      </c>
      <c r="M1048" t="inlineStr">
        <is>
          <t>15:46:20</t>
        </is>
      </c>
      <c r="P1048" t="inlineStr">
        <is>
          <t>E系統(終日)</t>
        </is>
      </c>
    </row>
    <row r="1049" ht="15" customHeight="1" s="37">
      <c r="A1049" t="n">
        <v>14</v>
      </c>
      <c r="B1049" s="10" t="inlineStr">
        <is>
          <t>休日</t>
        </is>
      </c>
      <c r="C1049" s="10" t="inlineStr">
        <is>
          <t>本線</t>
        </is>
      </c>
      <c r="D1049" s="10" t="inlineStr">
        <is>
          <t>下り</t>
        </is>
      </c>
      <c r="E1049" s="10" t="inlineStr">
        <is>
          <t>連1509</t>
        </is>
      </c>
      <c r="F1049" t="inlineStr">
        <is>
          <t>0112</t>
        </is>
      </c>
      <c r="G1049" s="10" t="inlineStr">
        <is>
          <t>西大路三条</t>
        </is>
      </c>
      <c r="H1049" s="10" t="inlineStr">
        <is>
          <t>発</t>
        </is>
      </c>
      <c r="J1049" s="10" t="inlineStr">
        <is>
          <t>営業</t>
        </is>
      </c>
      <c r="L1049" t="inlineStr">
        <is>
          <t>15:48:10</t>
        </is>
      </c>
      <c r="M1049" t="inlineStr">
        <is>
          <t>15:48:30</t>
        </is>
      </c>
      <c r="P1049" t="inlineStr">
        <is>
          <t>E系統(終日)</t>
        </is>
      </c>
    </row>
    <row r="1050" ht="15" customHeight="1" s="37">
      <c r="A1050" t="n">
        <v>14</v>
      </c>
      <c r="B1050" s="10" t="inlineStr">
        <is>
          <t>休日</t>
        </is>
      </c>
      <c r="C1050" s="10" t="inlineStr">
        <is>
          <t>本線</t>
        </is>
      </c>
      <c r="D1050" s="10" t="inlineStr">
        <is>
          <t>下り</t>
        </is>
      </c>
      <c r="E1050" s="10" t="inlineStr">
        <is>
          <t>連1509</t>
        </is>
      </c>
      <c r="F1050" t="inlineStr">
        <is>
          <t>0112</t>
        </is>
      </c>
      <c r="G1050" s="10" t="inlineStr">
        <is>
          <t>山ノ内</t>
        </is>
      </c>
      <c r="H1050" s="10" t="inlineStr">
        <is>
          <t>発</t>
        </is>
      </c>
      <c r="J1050" s="10" t="inlineStr">
        <is>
          <t>営業</t>
        </is>
      </c>
      <c r="L1050" t="inlineStr">
        <is>
          <t>15:50:25</t>
        </is>
      </c>
      <c r="M1050" t="inlineStr">
        <is>
          <t>15:50:50</t>
        </is>
      </c>
      <c r="P1050" t="inlineStr">
        <is>
          <t>E系統(終日)</t>
        </is>
      </c>
    </row>
    <row r="1051" ht="15" customHeight="1" s="37">
      <c r="A1051" t="n">
        <v>14</v>
      </c>
      <c r="B1051" s="10" t="inlineStr">
        <is>
          <t>休日</t>
        </is>
      </c>
      <c r="C1051" s="10" t="inlineStr">
        <is>
          <t>本線</t>
        </is>
      </c>
      <c r="D1051" s="10" t="inlineStr">
        <is>
          <t>下り</t>
        </is>
      </c>
      <c r="E1051" s="10" t="inlineStr">
        <is>
          <t>連1509</t>
        </is>
      </c>
      <c r="F1051" t="inlineStr">
        <is>
          <t>0112</t>
        </is>
      </c>
      <c r="G1051" s="10" t="inlineStr">
        <is>
          <t>天神川</t>
        </is>
      </c>
      <c r="H1051" s="10" t="inlineStr">
        <is>
          <t>発</t>
        </is>
      </c>
      <c r="J1051" s="10" t="inlineStr">
        <is>
          <t>営業</t>
        </is>
      </c>
      <c r="L1051" t="inlineStr">
        <is>
          <t>15:52:50</t>
        </is>
      </c>
      <c r="M1051" t="inlineStr">
        <is>
          <t>15:53:30</t>
        </is>
      </c>
      <c r="P1051" t="inlineStr">
        <is>
          <t>E系統(終日)</t>
        </is>
      </c>
    </row>
    <row r="1052" ht="15" customHeight="1" s="37">
      <c r="A1052" t="n">
        <v>14</v>
      </c>
      <c r="B1052" s="10" t="inlineStr">
        <is>
          <t>休日</t>
        </is>
      </c>
      <c r="C1052" s="10" t="inlineStr">
        <is>
          <t>本線</t>
        </is>
      </c>
      <c r="D1052" s="10" t="inlineStr">
        <is>
          <t>下り</t>
        </is>
      </c>
      <c r="E1052" s="10" t="inlineStr">
        <is>
          <t>連1509</t>
        </is>
      </c>
      <c r="F1052" t="inlineStr">
        <is>
          <t>0112</t>
        </is>
      </c>
      <c r="G1052" s="10" t="inlineStr">
        <is>
          <t>蚕ノ社</t>
        </is>
      </c>
      <c r="H1052" s="10" t="inlineStr">
        <is>
          <t>発</t>
        </is>
      </c>
      <c r="J1052" s="10" t="inlineStr">
        <is>
          <t>営業</t>
        </is>
      </c>
      <c r="L1052" t="inlineStr">
        <is>
          <t>15:54:20</t>
        </is>
      </c>
      <c r="M1052" t="inlineStr">
        <is>
          <t>15:54:40</t>
        </is>
      </c>
      <c r="P1052" t="inlineStr">
        <is>
          <t>E系統(終日)</t>
        </is>
      </c>
    </row>
    <row r="1053" ht="15" customHeight="1" s="37">
      <c r="A1053" t="n">
        <v>14</v>
      </c>
      <c r="B1053" s="10" t="inlineStr">
        <is>
          <t>休日</t>
        </is>
      </c>
      <c r="C1053" s="10" t="inlineStr">
        <is>
          <t>本線</t>
        </is>
      </c>
      <c r="D1053" s="10" t="inlineStr">
        <is>
          <t>下り</t>
        </is>
      </c>
      <c r="E1053" s="10" t="inlineStr">
        <is>
          <t>連1509</t>
        </is>
      </c>
      <c r="F1053" t="inlineStr">
        <is>
          <t>0112</t>
        </is>
      </c>
      <c r="G1053" s="10" t="inlineStr">
        <is>
          <t>太秦広隆寺</t>
        </is>
      </c>
      <c r="H1053" s="10" t="inlineStr">
        <is>
          <t>発</t>
        </is>
      </c>
      <c r="J1053" s="10" t="inlineStr">
        <is>
          <t>営業</t>
        </is>
      </c>
      <c r="L1053" t="inlineStr">
        <is>
          <t>15:56:00</t>
        </is>
      </c>
      <c r="M1053" t="inlineStr">
        <is>
          <t>15:56:20</t>
        </is>
      </c>
      <c r="P1053" t="inlineStr">
        <is>
          <t>E系統(終日)</t>
        </is>
      </c>
    </row>
    <row r="1054" ht="15" customHeight="1" s="37">
      <c r="A1054" t="n">
        <v>14</v>
      </c>
      <c r="B1054" s="10" t="inlineStr">
        <is>
          <t>休日</t>
        </is>
      </c>
      <c r="C1054" s="10" t="inlineStr">
        <is>
          <t>本線</t>
        </is>
      </c>
      <c r="D1054" s="10" t="inlineStr">
        <is>
          <t>下り</t>
        </is>
      </c>
      <c r="E1054" s="10" t="inlineStr">
        <is>
          <t>連1509</t>
        </is>
      </c>
      <c r="F1054" t="inlineStr">
        <is>
          <t>0112</t>
        </is>
      </c>
      <c r="G1054" s="10" t="inlineStr">
        <is>
          <t>帷子ノ辻</t>
        </is>
      </c>
      <c r="H1054" s="10" t="inlineStr">
        <is>
          <t>発</t>
        </is>
      </c>
      <c r="J1054" s="10" t="inlineStr">
        <is>
          <t>営業</t>
        </is>
      </c>
      <c r="L1054" t="inlineStr">
        <is>
          <t>15:58:20</t>
        </is>
      </c>
      <c r="M1054" t="inlineStr">
        <is>
          <t>15:59:40</t>
        </is>
      </c>
      <c r="P1054" t="inlineStr">
        <is>
          <t>E系統(終日)</t>
        </is>
      </c>
    </row>
    <row r="1055" ht="15" customHeight="1" s="37">
      <c r="A1055" t="n">
        <v>14</v>
      </c>
      <c r="B1055" s="10" t="inlineStr">
        <is>
          <t>休日</t>
        </is>
      </c>
      <c r="C1055" s="10" t="inlineStr">
        <is>
          <t>本線</t>
        </is>
      </c>
      <c r="D1055" s="10" t="inlineStr">
        <is>
          <t>下り</t>
        </is>
      </c>
      <c r="E1055" s="10" t="inlineStr">
        <is>
          <t>連1509</t>
        </is>
      </c>
      <c r="F1055" t="inlineStr">
        <is>
          <t>0112</t>
        </is>
      </c>
      <c r="G1055" s="10" t="inlineStr">
        <is>
          <t>有栖川</t>
        </is>
      </c>
      <c r="H1055" s="10" t="inlineStr">
        <is>
          <t>発</t>
        </is>
      </c>
      <c r="J1055" s="10" t="inlineStr">
        <is>
          <t>営業</t>
        </is>
      </c>
      <c r="L1055" t="inlineStr">
        <is>
          <t>16:00:50</t>
        </is>
      </c>
      <c r="M1055" t="inlineStr">
        <is>
          <t>16:01:15</t>
        </is>
      </c>
      <c r="P1055" t="inlineStr">
        <is>
          <t>E系統(終日)</t>
        </is>
      </c>
    </row>
    <row r="1056" ht="15" customHeight="1" s="37">
      <c r="A1056" t="n">
        <v>14</v>
      </c>
      <c r="B1056" s="10" t="inlineStr">
        <is>
          <t>休日</t>
        </is>
      </c>
      <c r="C1056" s="10" t="inlineStr">
        <is>
          <t>本線</t>
        </is>
      </c>
      <c r="D1056" s="10" t="inlineStr">
        <is>
          <t>下り</t>
        </is>
      </c>
      <c r="E1056" s="10" t="inlineStr">
        <is>
          <t>連1509</t>
        </is>
      </c>
      <c r="F1056" t="inlineStr">
        <is>
          <t>0112</t>
        </is>
      </c>
      <c r="G1056" s="10" t="inlineStr">
        <is>
          <t>車折</t>
        </is>
      </c>
      <c r="H1056" s="10" t="inlineStr">
        <is>
          <t>発</t>
        </is>
      </c>
      <c r="J1056" s="10" t="inlineStr">
        <is>
          <t>営業</t>
        </is>
      </c>
      <c r="L1056" t="inlineStr">
        <is>
          <t>16:02:40</t>
        </is>
      </c>
      <c r="M1056" t="inlineStr">
        <is>
          <t>16:03:05</t>
        </is>
      </c>
      <c r="P1056" t="inlineStr">
        <is>
          <t>E系統(終日)</t>
        </is>
      </c>
    </row>
    <row r="1057" ht="15" customHeight="1" s="37">
      <c r="A1057" t="n">
        <v>14</v>
      </c>
      <c r="B1057" s="10" t="inlineStr">
        <is>
          <t>休日</t>
        </is>
      </c>
      <c r="C1057" s="10" t="inlineStr">
        <is>
          <t>本線</t>
        </is>
      </c>
      <c r="D1057" s="10" t="inlineStr">
        <is>
          <t>下り</t>
        </is>
      </c>
      <c r="E1057" s="10" t="inlineStr">
        <is>
          <t>連1509</t>
        </is>
      </c>
      <c r="F1057" t="inlineStr">
        <is>
          <t>0112</t>
        </is>
      </c>
      <c r="G1057" s="10" t="inlineStr">
        <is>
          <t>鹿王院</t>
        </is>
      </c>
      <c r="H1057" s="10" t="inlineStr">
        <is>
          <t>発</t>
        </is>
      </c>
      <c r="J1057" s="10" t="inlineStr">
        <is>
          <t>営業</t>
        </is>
      </c>
      <c r="L1057" t="inlineStr">
        <is>
          <t>16:04:00</t>
        </is>
      </c>
      <c r="M1057" t="inlineStr">
        <is>
          <t>16:04:25</t>
        </is>
      </c>
      <c r="P1057" t="inlineStr">
        <is>
          <t>E系統(終日)</t>
        </is>
      </c>
    </row>
    <row r="1058" ht="15" customHeight="1" s="37">
      <c r="A1058" t="n">
        <v>14</v>
      </c>
      <c r="B1058" s="10" t="inlineStr">
        <is>
          <t>休日</t>
        </is>
      </c>
      <c r="C1058" s="10" t="inlineStr">
        <is>
          <t>本線</t>
        </is>
      </c>
      <c r="D1058" s="10" t="inlineStr">
        <is>
          <t>下り</t>
        </is>
      </c>
      <c r="E1058" s="10" t="inlineStr">
        <is>
          <t>連1509</t>
        </is>
      </c>
      <c r="F1058" t="inlineStr">
        <is>
          <t>0112</t>
        </is>
      </c>
      <c r="G1058" s="10" t="inlineStr">
        <is>
          <t>嵯峨</t>
        </is>
      </c>
      <c r="H1058" s="10" t="inlineStr">
        <is>
          <t>発</t>
        </is>
      </c>
      <c r="J1058" s="10" t="inlineStr">
        <is>
          <t>営業</t>
        </is>
      </c>
      <c r="L1058" t="inlineStr">
        <is>
          <t>16:05:30</t>
        </is>
      </c>
      <c r="M1058" t="inlineStr">
        <is>
          <t>16:05:55</t>
        </is>
      </c>
      <c r="P1058" t="inlineStr">
        <is>
          <t>E系統(終日)</t>
        </is>
      </c>
    </row>
    <row r="1059" ht="15" customHeight="1" s="37">
      <c r="A1059" t="n">
        <v>14</v>
      </c>
      <c r="B1059" s="10" t="inlineStr">
        <is>
          <t>休日</t>
        </is>
      </c>
      <c r="C1059" s="10" t="inlineStr">
        <is>
          <t>本線</t>
        </is>
      </c>
      <c r="D1059" s="10" t="inlineStr">
        <is>
          <t>下り</t>
        </is>
      </c>
      <c r="E1059" s="10" t="inlineStr">
        <is>
          <t>連1509</t>
        </is>
      </c>
      <c r="F1059" t="inlineStr">
        <is>
          <t>0112</t>
        </is>
      </c>
      <c r="G1059" s="10" t="inlineStr">
        <is>
          <t>嵐山</t>
        </is>
      </c>
      <c r="H1059" s="10" t="inlineStr">
        <is>
          <t>着</t>
        </is>
      </c>
      <c r="J1059" s="10" t="inlineStr">
        <is>
          <t>営業</t>
        </is>
      </c>
      <c r="L1059" t="inlineStr">
        <is>
          <t>16:07:00</t>
        </is>
      </c>
      <c r="P1059" t="inlineStr">
        <is>
          <t>E系統(終日)</t>
        </is>
      </c>
      <c r="Q1059" t="inlineStr">
        <is>
          <t>1</t>
        </is>
      </c>
    </row>
    <row r="1060" ht="15" customHeight="1" s="37">
      <c r="A1060" t="n">
        <v>14</v>
      </c>
      <c r="B1060" s="10" t="inlineStr">
        <is>
          <t>休日</t>
        </is>
      </c>
      <c r="C1060" s="10" t="inlineStr">
        <is>
          <t>本線</t>
        </is>
      </c>
      <c r="D1060" s="10" t="inlineStr">
        <is>
          <t>上り</t>
        </is>
      </c>
      <c r="E1060" s="10" t="inlineStr">
        <is>
          <t>連1604</t>
        </is>
      </c>
      <c r="F1060" t="inlineStr">
        <is>
          <t>2221</t>
        </is>
      </c>
      <c r="G1060" s="10" t="inlineStr">
        <is>
          <t>嵐山</t>
        </is>
      </c>
      <c r="H1060" s="10" t="inlineStr">
        <is>
          <t>発</t>
        </is>
      </c>
      <c r="J1060" s="10" t="inlineStr">
        <is>
          <t>営業</t>
        </is>
      </c>
      <c r="M1060" t="inlineStr">
        <is>
          <t>16:13:00</t>
        </is>
      </c>
      <c r="P1060" t="inlineStr">
        <is>
          <t>E系統(終日)</t>
        </is>
      </c>
      <c r="Q1060" t="inlineStr">
        <is>
          <t>1</t>
        </is>
      </c>
    </row>
    <row r="1061" ht="15" customHeight="1" s="37">
      <c r="A1061" t="n">
        <v>14</v>
      </c>
      <c r="B1061" s="10" t="inlineStr">
        <is>
          <t>休日</t>
        </is>
      </c>
      <c r="C1061" s="10" t="inlineStr">
        <is>
          <t>本線</t>
        </is>
      </c>
      <c r="D1061" s="10" t="inlineStr">
        <is>
          <t>上り</t>
        </is>
      </c>
      <c r="E1061" s="10" t="inlineStr">
        <is>
          <t>連1604</t>
        </is>
      </c>
      <c r="F1061" t="inlineStr">
        <is>
          <t>2221</t>
        </is>
      </c>
      <c r="G1061" s="10" t="inlineStr">
        <is>
          <t>嵯峨</t>
        </is>
      </c>
      <c r="H1061" s="10" t="inlineStr">
        <is>
          <t>発</t>
        </is>
      </c>
      <c r="J1061" s="10" t="inlineStr">
        <is>
          <t>営業</t>
        </is>
      </c>
      <c r="L1061" t="inlineStr">
        <is>
          <t>16:13:55</t>
        </is>
      </c>
      <c r="M1061" t="inlineStr">
        <is>
          <t>16:14:20</t>
        </is>
      </c>
      <c r="P1061" t="inlineStr">
        <is>
          <t>E系統(終日)</t>
        </is>
      </c>
    </row>
    <row r="1062" ht="15" customHeight="1" s="37">
      <c r="A1062" t="n">
        <v>14</v>
      </c>
      <c r="B1062" s="10" t="inlineStr">
        <is>
          <t>休日</t>
        </is>
      </c>
      <c r="C1062" s="10" t="inlineStr">
        <is>
          <t>本線</t>
        </is>
      </c>
      <c r="D1062" s="10" t="inlineStr">
        <is>
          <t>上り</t>
        </is>
      </c>
      <c r="E1062" s="10" t="inlineStr">
        <is>
          <t>連1604</t>
        </is>
      </c>
      <c r="F1062" t="inlineStr">
        <is>
          <t>2221</t>
        </is>
      </c>
      <c r="G1062" s="10" t="inlineStr">
        <is>
          <t>鹿王院</t>
        </is>
      </c>
      <c r="H1062" s="10" t="inlineStr">
        <is>
          <t>発</t>
        </is>
      </c>
      <c r="J1062" s="10" t="inlineStr">
        <is>
          <t>営業</t>
        </is>
      </c>
      <c r="L1062" t="inlineStr">
        <is>
          <t>16:15:25</t>
        </is>
      </c>
      <c r="M1062" t="inlineStr">
        <is>
          <t>16:15:45</t>
        </is>
      </c>
      <c r="P1062" t="inlineStr">
        <is>
          <t>E系統(終日)</t>
        </is>
      </c>
    </row>
    <row r="1063" ht="15" customHeight="1" s="37">
      <c r="A1063" t="n">
        <v>14</v>
      </c>
      <c r="B1063" s="10" t="inlineStr">
        <is>
          <t>休日</t>
        </is>
      </c>
      <c r="C1063" s="10" t="inlineStr">
        <is>
          <t>本線</t>
        </is>
      </c>
      <c r="D1063" s="10" t="inlineStr">
        <is>
          <t>上り</t>
        </is>
      </c>
      <c r="E1063" s="10" t="inlineStr">
        <is>
          <t>連1604</t>
        </is>
      </c>
      <c r="F1063" t="inlineStr">
        <is>
          <t>2221</t>
        </is>
      </c>
      <c r="G1063" s="10" t="inlineStr">
        <is>
          <t>車折</t>
        </is>
      </c>
      <c r="H1063" s="10" t="inlineStr">
        <is>
          <t>発</t>
        </is>
      </c>
      <c r="J1063" s="10" t="inlineStr">
        <is>
          <t>営業</t>
        </is>
      </c>
      <c r="L1063" t="inlineStr">
        <is>
          <t>16:16:40</t>
        </is>
      </c>
      <c r="M1063" t="inlineStr">
        <is>
          <t>16:17:10</t>
        </is>
      </c>
      <c r="P1063" t="inlineStr">
        <is>
          <t>E系統(終日)</t>
        </is>
      </c>
    </row>
    <row r="1064" ht="15" customHeight="1" s="37">
      <c r="A1064" t="n">
        <v>14</v>
      </c>
      <c r="B1064" s="10" t="inlineStr">
        <is>
          <t>休日</t>
        </is>
      </c>
      <c r="C1064" s="10" t="inlineStr">
        <is>
          <t>本線</t>
        </is>
      </c>
      <c r="D1064" s="10" t="inlineStr">
        <is>
          <t>上り</t>
        </is>
      </c>
      <c r="E1064" s="10" t="inlineStr">
        <is>
          <t>連1604</t>
        </is>
      </c>
      <c r="F1064" t="inlineStr">
        <is>
          <t>2221</t>
        </is>
      </c>
      <c r="G1064" s="10" t="inlineStr">
        <is>
          <t>有栖川</t>
        </is>
      </c>
      <c r="H1064" s="10" t="inlineStr">
        <is>
          <t>発</t>
        </is>
      </c>
      <c r="J1064" s="10" t="inlineStr">
        <is>
          <t>営業</t>
        </is>
      </c>
      <c r="L1064" t="inlineStr">
        <is>
          <t>16:18:35</t>
        </is>
      </c>
      <c r="M1064" t="inlineStr">
        <is>
          <t>16:18:55</t>
        </is>
      </c>
      <c r="P1064" t="inlineStr">
        <is>
          <t>E系統(終日)</t>
        </is>
      </c>
    </row>
    <row r="1065" ht="15" customHeight="1" s="37">
      <c r="A1065" t="n">
        <v>14</v>
      </c>
      <c r="B1065" s="10" t="inlineStr">
        <is>
          <t>休日</t>
        </is>
      </c>
      <c r="C1065" s="10" t="inlineStr">
        <is>
          <t>本線</t>
        </is>
      </c>
      <c r="D1065" s="10" t="inlineStr">
        <is>
          <t>上り</t>
        </is>
      </c>
      <c r="E1065" s="10" t="inlineStr">
        <is>
          <t>連1604</t>
        </is>
      </c>
      <c r="F1065" t="inlineStr">
        <is>
          <t>2221</t>
        </is>
      </c>
      <c r="G1065" s="10" t="inlineStr">
        <is>
          <t>帷子ノ辻</t>
        </is>
      </c>
      <c r="H1065" s="10" t="inlineStr">
        <is>
          <t>発</t>
        </is>
      </c>
      <c r="J1065" s="10" t="inlineStr">
        <is>
          <t>営業</t>
        </is>
      </c>
      <c r="L1065" t="inlineStr">
        <is>
          <t>16:20:10</t>
        </is>
      </c>
      <c r="M1065" t="inlineStr">
        <is>
          <t>16:21:15</t>
        </is>
      </c>
      <c r="P1065" t="inlineStr">
        <is>
          <t>E系統(終日)</t>
        </is>
      </c>
    </row>
    <row r="1066" ht="15" customHeight="1" s="37">
      <c r="A1066" t="n">
        <v>14</v>
      </c>
      <c r="B1066" s="10" t="inlineStr">
        <is>
          <t>休日</t>
        </is>
      </c>
      <c r="C1066" s="10" t="inlineStr">
        <is>
          <t>本線</t>
        </is>
      </c>
      <c r="D1066" s="10" t="inlineStr">
        <is>
          <t>上り</t>
        </is>
      </c>
      <c r="E1066" s="10" t="inlineStr">
        <is>
          <t>連1604</t>
        </is>
      </c>
      <c r="F1066" t="inlineStr">
        <is>
          <t>2221</t>
        </is>
      </c>
      <c r="G1066" s="10" t="inlineStr">
        <is>
          <t>太秦広隆寺</t>
        </is>
      </c>
      <c r="H1066" s="10" t="inlineStr">
        <is>
          <t>発</t>
        </is>
      </c>
      <c r="J1066" s="10" t="inlineStr">
        <is>
          <t>営業</t>
        </is>
      </c>
      <c r="L1066" t="inlineStr">
        <is>
          <t>16:23:25</t>
        </is>
      </c>
      <c r="M1066" t="inlineStr">
        <is>
          <t>16:23:45</t>
        </is>
      </c>
      <c r="P1066" t="inlineStr">
        <is>
          <t>E系統(終日)</t>
        </is>
      </c>
    </row>
    <row r="1067" ht="15" customHeight="1" s="37">
      <c r="A1067" t="n">
        <v>14</v>
      </c>
      <c r="B1067" s="10" t="inlineStr">
        <is>
          <t>休日</t>
        </is>
      </c>
      <c r="C1067" s="10" t="inlineStr">
        <is>
          <t>本線</t>
        </is>
      </c>
      <c r="D1067" s="10" t="inlineStr">
        <is>
          <t>上り</t>
        </is>
      </c>
      <c r="E1067" s="10" t="inlineStr">
        <is>
          <t>連1604</t>
        </is>
      </c>
      <c r="F1067" t="inlineStr">
        <is>
          <t>2221</t>
        </is>
      </c>
      <c r="G1067" s="10" t="inlineStr">
        <is>
          <t>蚕ノ社</t>
        </is>
      </c>
      <c r="H1067" s="10" t="inlineStr">
        <is>
          <t>発</t>
        </is>
      </c>
      <c r="J1067" s="10" t="inlineStr">
        <is>
          <t>営業</t>
        </is>
      </c>
      <c r="L1067" t="inlineStr">
        <is>
          <t>16:25:00</t>
        </is>
      </c>
      <c r="M1067" t="inlineStr">
        <is>
          <t>16:25:20</t>
        </is>
      </c>
      <c r="P1067" t="inlineStr">
        <is>
          <t>E系統(終日)</t>
        </is>
      </c>
    </row>
    <row r="1068" ht="15" customHeight="1" s="37">
      <c r="A1068" t="n">
        <v>14</v>
      </c>
      <c r="B1068" s="10" t="inlineStr">
        <is>
          <t>休日</t>
        </is>
      </c>
      <c r="C1068" s="10" t="inlineStr">
        <is>
          <t>本線</t>
        </is>
      </c>
      <c r="D1068" s="10" t="inlineStr">
        <is>
          <t>上り</t>
        </is>
      </c>
      <c r="E1068" s="10" t="inlineStr">
        <is>
          <t>連1604</t>
        </is>
      </c>
      <c r="F1068" t="inlineStr">
        <is>
          <t>2221</t>
        </is>
      </c>
      <c r="G1068" s="10" t="inlineStr">
        <is>
          <t>天神川</t>
        </is>
      </c>
      <c r="H1068" s="10" t="inlineStr">
        <is>
          <t>発</t>
        </is>
      </c>
      <c r="J1068" s="10" t="inlineStr">
        <is>
          <t>営業</t>
        </is>
      </c>
      <c r="L1068" t="inlineStr">
        <is>
          <t>16:26:05</t>
        </is>
      </c>
      <c r="M1068" t="inlineStr">
        <is>
          <t>16:26:50</t>
        </is>
      </c>
      <c r="P1068" t="inlineStr">
        <is>
          <t>E系統(終日)</t>
        </is>
      </c>
    </row>
    <row r="1069" ht="15" customHeight="1" s="37">
      <c r="A1069" t="n">
        <v>14</v>
      </c>
      <c r="B1069" s="10" t="inlineStr">
        <is>
          <t>休日</t>
        </is>
      </c>
      <c r="C1069" s="10" t="inlineStr">
        <is>
          <t>本線</t>
        </is>
      </c>
      <c r="D1069" s="10" t="inlineStr">
        <is>
          <t>上り</t>
        </is>
      </c>
      <c r="E1069" s="10" t="inlineStr">
        <is>
          <t>連1604</t>
        </is>
      </c>
      <c r="F1069" t="inlineStr">
        <is>
          <t>2221</t>
        </is>
      </c>
      <c r="G1069" s="10" t="inlineStr">
        <is>
          <t>山ノ内</t>
        </is>
      </c>
      <c r="H1069" s="10" t="inlineStr">
        <is>
          <t>発</t>
        </is>
      </c>
      <c r="J1069" s="10" t="inlineStr">
        <is>
          <t>営業</t>
        </is>
      </c>
      <c r="L1069" t="inlineStr">
        <is>
          <t>16:28:40</t>
        </is>
      </c>
      <c r="M1069" t="inlineStr">
        <is>
          <t>16:29:05</t>
        </is>
      </c>
      <c r="P1069" t="inlineStr">
        <is>
          <t>E系統(終日)</t>
        </is>
      </c>
    </row>
    <row r="1070" ht="15" customHeight="1" s="37">
      <c r="A1070" t="n">
        <v>14</v>
      </c>
      <c r="B1070" s="10" t="inlineStr">
        <is>
          <t>休日</t>
        </is>
      </c>
      <c r="C1070" s="10" t="inlineStr">
        <is>
          <t>本線</t>
        </is>
      </c>
      <c r="D1070" s="10" t="inlineStr">
        <is>
          <t>上り</t>
        </is>
      </c>
      <c r="E1070" s="10" t="inlineStr">
        <is>
          <t>連1604</t>
        </is>
      </c>
      <c r="F1070" t="inlineStr">
        <is>
          <t>2221</t>
        </is>
      </c>
      <c r="G1070" s="10" t="inlineStr">
        <is>
          <t>西大路三条</t>
        </is>
      </c>
      <c r="H1070" s="10" t="inlineStr">
        <is>
          <t>発</t>
        </is>
      </c>
      <c r="J1070" s="10" t="inlineStr">
        <is>
          <t>営業</t>
        </is>
      </c>
      <c r="L1070" t="inlineStr">
        <is>
          <t>16:30:55</t>
        </is>
      </c>
      <c r="M1070" t="inlineStr">
        <is>
          <t>16:31:15</t>
        </is>
      </c>
      <c r="P1070" t="inlineStr">
        <is>
          <t>E系統(終日)</t>
        </is>
      </c>
    </row>
    <row r="1071" ht="15" customHeight="1" s="37">
      <c r="A1071" t="n">
        <v>14</v>
      </c>
      <c r="B1071" s="10" t="inlineStr">
        <is>
          <t>休日</t>
        </is>
      </c>
      <c r="C1071" s="10" t="inlineStr">
        <is>
          <t>本線</t>
        </is>
      </c>
      <c r="D1071" s="10" t="inlineStr">
        <is>
          <t>上り</t>
        </is>
      </c>
      <c r="E1071" s="10" t="inlineStr">
        <is>
          <t>連1604</t>
        </is>
      </c>
      <c r="F1071" t="inlineStr">
        <is>
          <t>2221</t>
        </is>
      </c>
      <c r="G1071" s="10" t="inlineStr">
        <is>
          <t>西院</t>
        </is>
      </c>
      <c r="H1071" s="10" t="inlineStr">
        <is>
          <t>発</t>
        </is>
      </c>
      <c r="J1071" s="10" t="inlineStr">
        <is>
          <t>営業</t>
        </is>
      </c>
      <c r="L1071" t="inlineStr">
        <is>
          <t>16:33:10</t>
        </is>
      </c>
      <c r="M1071" t="inlineStr">
        <is>
          <t>16:34:05</t>
        </is>
      </c>
      <c r="P1071" t="inlineStr">
        <is>
          <t>E系統(終日)</t>
        </is>
      </c>
    </row>
    <row r="1072" ht="15" customHeight="1" s="37">
      <c r="A1072" t="n">
        <v>14</v>
      </c>
      <c r="B1072" s="10" t="inlineStr">
        <is>
          <t>休日</t>
        </is>
      </c>
      <c r="C1072" s="10" t="inlineStr">
        <is>
          <t>本線</t>
        </is>
      </c>
      <c r="D1072" s="10" t="inlineStr">
        <is>
          <t>上り</t>
        </is>
      </c>
      <c r="E1072" s="10" t="inlineStr">
        <is>
          <t>連1604</t>
        </is>
      </c>
      <c r="F1072" t="inlineStr">
        <is>
          <t>2221</t>
        </is>
      </c>
      <c r="G1072" s="10" t="inlineStr">
        <is>
          <t>四条大宮</t>
        </is>
      </c>
      <c r="H1072" s="10" t="inlineStr">
        <is>
          <t>着</t>
        </is>
      </c>
      <c r="J1072" s="10" t="inlineStr">
        <is>
          <t>営業</t>
        </is>
      </c>
      <c r="L1072" t="inlineStr">
        <is>
          <t>16:37:00</t>
        </is>
      </c>
      <c r="P1072" t="inlineStr">
        <is>
          <t>E系統(終日)</t>
        </is>
      </c>
      <c r="Q1072" t="inlineStr">
        <is>
          <t>1</t>
        </is>
      </c>
    </row>
    <row r="1073" ht="15" customHeight="1" s="37">
      <c r="A1073" t="n">
        <v>14</v>
      </c>
      <c r="B1073" s="10" t="inlineStr">
        <is>
          <t>休日</t>
        </is>
      </c>
      <c r="C1073" s="10" t="inlineStr">
        <is>
          <t>本線</t>
        </is>
      </c>
      <c r="D1073" s="10" t="inlineStr">
        <is>
          <t>下り</t>
        </is>
      </c>
      <c r="E1073" s="10" t="inlineStr">
        <is>
          <t>連1609</t>
        </is>
      </c>
      <c r="F1073" t="inlineStr">
        <is>
          <t>3112</t>
        </is>
      </c>
      <c r="G1073" s="10" t="inlineStr">
        <is>
          <t>四条大宮</t>
        </is>
      </c>
      <c r="H1073" s="10" t="inlineStr">
        <is>
          <t>発</t>
        </is>
      </c>
      <c r="J1073" s="10" t="inlineStr">
        <is>
          <t>営業</t>
        </is>
      </c>
      <c r="M1073" t="inlineStr">
        <is>
          <t>16:43:00</t>
        </is>
      </c>
      <c r="P1073" t="inlineStr">
        <is>
          <t>E系統(終日)</t>
        </is>
      </c>
      <c r="Q1073" t="inlineStr">
        <is>
          <t>1</t>
        </is>
      </c>
    </row>
    <row r="1074" ht="15" customHeight="1" s="37">
      <c r="A1074" t="n">
        <v>14</v>
      </c>
      <c r="B1074" s="10" t="inlineStr">
        <is>
          <t>休日</t>
        </is>
      </c>
      <c r="C1074" s="10" t="inlineStr">
        <is>
          <t>本線</t>
        </is>
      </c>
      <c r="D1074" s="10" t="inlineStr">
        <is>
          <t>下り</t>
        </is>
      </c>
      <c r="E1074" s="10" t="inlineStr">
        <is>
          <t>連1609</t>
        </is>
      </c>
      <c r="F1074" t="inlineStr">
        <is>
          <t>3112</t>
        </is>
      </c>
      <c r="G1074" s="10" t="inlineStr">
        <is>
          <t>西院</t>
        </is>
      </c>
      <c r="H1074" s="10" t="inlineStr">
        <is>
          <t>発</t>
        </is>
      </c>
      <c r="J1074" s="10" t="inlineStr">
        <is>
          <t>営業</t>
        </is>
      </c>
      <c r="L1074" t="inlineStr">
        <is>
          <t>16:45:50</t>
        </is>
      </c>
      <c r="M1074" t="inlineStr">
        <is>
          <t>16:46:20</t>
        </is>
      </c>
      <c r="P1074" t="inlineStr">
        <is>
          <t>E系統(終日)</t>
        </is>
      </c>
    </row>
    <row r="1075" ht="15" customHeight="1" s="37">
      <c r="A1075" t="n">
        <v>14</v>
      </c>
      <c r="B1075" s="10" t="inlineStr">
        <is>
          <t>休日</t>
        </is>
      </c>
      <c r="C1075" s="10" t="inlineStr">
        <is>
          <t>本線</t>
        </is>
      </c>
      <c r="D1075" s="10" t="inlineStr">
        <is>
          <t>下り</t>
        </is>
      </c>
      <c r="E1075" s="10" t="inlineStr">
        <is>
          <t>連1609</t>
        </is>
      </c>
      <c r="F1075" t="inlineStr">
        <is>
          <t>3112</t>
        </is>
      </c>
      <c r="G1075" s="10" t="inlineStr">
        <is>
          <t>西大路三条</t>
        </is>
      </c>
      <c r="H1075" s="10" t="inlineStr">
        <is>
          <t>発</t>
        </is>
      </c>
      <c r="J1075" s="10" t="inlineStr">
        <is>
          <t>営業</t>
        </is>
      </c>
      <c r="L1075" t="inlineStr">
        <is>
          <t>16:48:10</t>
        </is>
      </c>
      <c r="M1075" t="inlineStr">
        <is>
          <t>16:48:30</t>
        </is>
      </c>
      <c r="P1075" t="inlineStr">
        <is>
          <t>E系統(終日)</t>
        </is>
      </c>
    </row>
    <row r="1076" ht="15" customHeight="1" s="37">
      <c r="A1076" t="n">
        <v>14</v>
      </c>
      <c r="B1076" s="10" t="inlineStr">
        <is>
          <t>休日</t>
        </is>
      </c>
      <c r="C1076" s="10" t="inlineStr">
        <is>
          <t>本線</t>
        </is>
      </c>
      <c r="D1076" s="10" t="inlineStr">
        <is>
          <t>下り</t>
        </is>
      </c>
      <c r="E1076" s="10" t="inlineStr">
        <is>
          <t>連1609</t>
        </is>
      </c>
      <c r="F1076" t="inlineStr">
        <is>
          <t>3112</t>
        </is>
      </c>
      <c r="G1076" s="10" t="inlineStr">
        <is>
          <t>山ノ内</t>
        </is>
      </c>
      <c r="H1076" s="10" t="inlineStr">
        <is>
          <t>発</t>
        </is>
      </c>
      <c r="J1076" s="10" t="inlineStr">
        <is>
          <t>営業</t>
        </is>
      </c>
      <c r="L1076" t="inlineStr">
        <is>
          <t>16:50:25</t>
        </is>
      </c>
      <c r="M1076" t="inlineStr">
        <is>
          <t>16:50:50</t>
        </is>
      </c>
      <c r="P1076" t="inlineStr">
        <is>
          <t>E系統(終日)</t>
        </is>
      </c>
    </row>
    <row r="1077" ht="15" customHeight="1" s="37">
      <c r="A1077" t="n">
        <v>14</v>
      </c>
      <c r="B1077" s="10" t="inlineStr">
        <is>
          <t>休日</t>
        </is>
      </c>
      <c r="C1077" s="10" t="inlineStr">
        <is>
          <t>本線</t>
        </is>
      </c>
      <c r="D1077" s="10" t="inlineStr">
        <is>
          <t>下り</t>
        </is>
      </c>
      <c r="E1077" s="10" t="inlineStr">
        <is>
          <t>連1609</t>
        </is>
      </c>
      <c r="F1077" t="inlineStr">
        <is>
          <t>3112</t>
        </is>
      </c>
      <c r="G1077" s="10" t="inlineStr">
        <is>
          <t>天神川</t>
        </is>
      </c>
      <c r="H1077" s="10" t="inlineStr">
        <is>
          <t>発</t>
        </is>
      </c>
      <c r="J1077" s="10" t="inlineStr">
        <is>
          <t>営業</t>
        </is>
      </c>
      <c r="L1077" t="inlineStr">
        <is>
          <t>16:52:50</t>
        </is>
      </c>
      <c r="M1077" t="inlineStr">
        <is>
          <t>16:53:30</t>
        </is>
      </c>
      <c r="P1077" t="inlineStr">
        <is>
          <t>E系統(終日)</t>
        </is>
      </c>
    </row>
    <row r="1078" ht="15" customHeight="1" s="37">
      <c r="A1078" t="n">
        <v>14</v>
      </c>
      <c r="B1078" s="10" t="inlineStr">
        <is>
          <t>休日</t>
        </is>
      </c>
      <c r="C1078" s="10" t="inlineStr">
        <is>
          <t>本線</t>
        </is>
      </c>
      <c r="D1078" s="10" t="inlineStr">
        <is>
          <t>下り</t>
        </is>
      </c>
      <c r="E1078" s="10" t="inlineStr">
        <is>
          <t>連1609</t>
        </is>
      </c>
      <c r="F1078" t="inlineStr">
        <is>
          <t>3112</t>
        </is>
      </c>
      <c r="G1078" s="10" t="inlineStr">
        <is>
          <t>蚕ノ社</t>
        </is>
      </c>
      <c r="H1078" s="10" t="inlineStr">
        <is>
          <t>発</t>
        </is>
      </c>
      <c r="J1078" s="10" t="inlineStr">
        <is>
          <t>営業</t>
        </is>
      </c>
      <c r="L1078" t="inlineStr">
        <is>
          <t>16:54:20</t>
        </is>
      </c>
      <c r="M1078" t="inlineStr">
        <is>
          <t>16:54:40</t>
        </is>
      </c>
      <c r="P1078" t="inlineStr">
        <is>
          <t>E系統(終日)</t>
        </is>
      </c>
    </row>
    <row r="1079" ht="15" customHeight="1" s="37">
      <c r="A1079" t="n">
        <v>14</v>
      </c>
      <c r="B1079" s="10" t="inlineStr">
        <is>
          <t>休日</t>
        </is>
      </c>
      <c r="C1079" s="10" t="inlineStr">
        <is>
          <t>本線</t>
        </is>
      </c>
      <c r="D1079" s="10" t="inlineStr">
        <is>
          <t>下り</t>
        </is>
      </c>
      <c r="E1079" s="10" t="inlineStr">
        <is>
          <t>連1609</t>
        </is>
      </c>
      <c r="F1079" t="inlineStr">
        <is>
          <t>3112</t>
        </is>
      </c>
      <c r="G1079" s="10" t="inlineStr">
        <is>
          <t>太秦広隆寺</t>
        </is>
      </c>
      <c r="H1079" s="10" t="inlineStr">
        <is>
          <t>発</t>
        </is>
      </c>
      <c r="J1079" s="10" t="inlineStr">
        <is>
          <t>営業</t>
        </is>
      </c>
      <c r="L1079" t="inlineStr">
        <is>
          <t>16:56:00</t>
        </is>
      </c>
      <c r="M1079" t="inlineStr">
        <is>
          <t>16:56:20</t>
        </is>
      </c>
      <c r="P1079" t="inlineStr">
        <is>
          <t>E系統(終日)</t>
        </is>
      </c>
    </row>
    <row r="1080" ht="15" customHeight="1" s="37">
      <c r="A1080" t="n">
        <v>14</v>
      </c>
      <c r="B1080" s="10" t="inlineStr">
        <is>
          <t>休日</t>
        </is>
      </c>
      <c r="C1080" s="10" t="inlineStr">
        <is>
          <t>本線</t>
        </is>
      </c>
      <c r="D1080" s="10" t="inlineStr">
        <is>
          <t>下り</t>
        </is>
      </c>
      <c r="E1080" s="10" t="inlineStr">
        <is>
          <t>連1609</t>
        </is>
      </c>
      <c r="F1080" t="inlineStr">
        <is>
          <t>3112</t>
        </is>
      </c>
      <c r="G1080" s="10" t="inlineStr">
        <is>
          <t>帷子ノ辻</t>
        </is>
      </c>
      <c r="H1080" s="10" t="inlineStr">
        <is>
          <t>発</t>
        </is>
      </c>
      <c r="J1080" s="10" t="inlineStr">
        <is>
          <t>営業</t>
        </is>
      </c>
      <c r="L1080" t="inlineStr">
        <is>
          <t>16:58:20</t>
        </is>
      </c>
      <c r="M1080" t="inlineStr">
        <is>
          <t>16:59:40</t>
        </is>
      </c>
      <c r="P1080" t="inlineStr">
        <is>
          <t>E系統(終日)</t>
        </is>
      </c>
    </row>
    <row r="1081" ht="15" customHeight="1" s="37">
      <c r="A1081" t="n">
        <v>14</v>
      </c>
      <c r="B1081" s="10" t="inlineStr">
        <is>
          <t>休日</t>
        </is>
      </c>
      <c r="C1081" s="10" t="inlineStr">
        <is>
          <t>本線</t>
        </is>
      </c>
      <c r="D1081" s="10" t="inlineStr">
        <is>
          <t>下り</t>
        </is>
      </c>
      <c r="E1081" s="10" t="inlineStr">
        <is>
          <t>連1609</t>
        </is>
      </c>
      <c r="F1081" t="inlineStr">
        <is>
          <t>3112</t>
        </is>
      </c>
      <c r="G1081" s="10" t="inlineStr">
        <is>
          <t>有栖川</t>
        </is>
      </c>
      <c r="H1081" s="10" t="inlineStr">
        <is>
          <t>発</t>
        </is>
      </c>
      <c r="J1081" s="10" t="inlineStr">
        <is>
          <t>営業</t>
        </is>
      </c>
      <c r="L1081" t="inlineStr">
        <is>
          <t>17:00:50</t>
        </is>
      </c>
      <c r="M1081" t="inlineStr">
        <is>
          <t>17:01:15</t>
        </is>
      </c>
      <c r="P1081" t="inlineStr">
        <is>
          <t>E系統(終日)</t>
        </is>
      </c>
    </row>
    <row r="1082" ht="15" customHeight="1" s="37">
      <c r="A1082" t="n">
        <v>14</v>
      </c>
      <c r="B1082" s="10" t="inlineStr">
        <is>
          <t>休日</t>
        </is>
      </c>
      <c r="C1082" s="10" t="inlineStr">
        <is>
          <t>本線</t>
        </is>
      </c>
      <c r="D1082" s="10" t="inlineStr">
        <is>
          <t>下り</t>
        </is>
      </c>
      <c r="E1082" s="10" t="inlineStr">
        <is>
          <t>連1609</t>
        </is>
      </c>
      <c r="F1082" t="inlineStr">
        <is>
          <t>3112</t>
        </is>
      </c>
      <c r="G1082" s="10" t="inlineStr">
        <is>
          <t>車折</t>
        </is>
      </c>
      <c r="H1082" s="10" t="inlineStr">
        <is>
          <t>発</t>
        </is>
      </c>
      <c r="J1082" s="10" t="inlineStr">
        <is>
          <t>営業</t>
        </is>
      </c>
      <c r="L1082" t="inlineStr">
        <is>
          <t>17:02:40</t>
        </is>
      </c>
      <c r="M1082" t="inlineStr">
        <is>
          <t>17:03:05</t>
        </is>
      </c>
      <c r="P1082" t="inlineStr">
        <is>
          <t>E系統(終日)</t>
        </is>
      </c>
    </row>
    <row r="1083" ht="15" customHeight="1" s="37">
      <c r="A1083" t="n">
        <v>14</v>
      </c>
      <c r="B1083" s="10" t="inlineStr">
        <is>
          <t>休日</t>
        </is>
      </c>
      <c r="C1083" s="10" t="inlineStr">
        <is>
          <t>本線</t>
        </is>
      </c>
      <c r="D1083" s="10" t="inlineStr">
        <is>
          <t>下り</t>
        </is>
      </c>
      <c r="E1083" s="10" t="inlineStr">
        <is>
          <t>連1609</t>
        </is>
      </c>
      <c r="F1083" t="inlineStr">
        <is>
          <t>3112</t>
        </is>
      </c>
      <c r="G1083" s="10" t="inlineStr">
        <is>
          <t>鹿王院</t>
        </is>
      </c>
      <c r="H1083" s="10" t="inlineStr">
        <is>
          <t>発</t>
        </is>
      </c>
      <c r="J1083" s="10" t="inlineStr">
        <is>
          <t>営業</t>
        </is>
      </c>
      <c r="L1083" t="inlineStr">
        <is>
          <t>17:04:00</t>
        </is>
      </c>
      <c r="M1083" t="inlineStr">
        <is>
          <t>17:04:25</t>
        </is>
      </c>
      <c r="P1083" t="inlineStr">
        <is>
          <t>E系統(終日)</t>
        </is>
      </c>
    </row>
    <row r="1084" ht="15" customHeight="1" s="37">
      <c r="A1084" t="n">
        <v>14</v>
      </c>
      <c r="B1084" s="10" t="inlineStr">
        <is>
          <t>休日</t>
        </is>
      </c>
      <c r="C1084" s="10" t="inlineStr">
        <is>
          <t>本線</t>
        </is>
      </c>
      <c r="D1084" s="10" t="inlineStr">
        <is>
          <t>下り</t>
        </is>
      </c>
      <c r="E1084" s="10" t="inlineStr">
        <is>
          <t>連1609</t>
        </is>
      </c>
      <c r="F1084" t="inlineStr">
        <is>
          <t>3112</t>
        </is>
      </c>
      <c r="G1084" s="10" t="inlineStr">
        <is>
          <t>嵯峨</t>
        </is>
      </c>
      <c r="H1084" s="10" t="inlineStr">
        <is>
          <t>発</t>
        </is>
      </c>
      <c r="J1084" s="10" t="inlineStr">
        <is>
          <t>営業</t>
        </is>
      </c>
      <c r="L1084" t="inlineStr">
        <is>
          <t>17:05:30</t>
        </is>
      </c>
      <c r="M1084" t="inlineStr">
        <is>
          <t>17:05:55</t>
        </is>
      </c>
      <c r="P1084" t="inlineStr">
        <is>
          <t>E系統(終日)</t>
        </is>
      </c>
    </row>
    <row r="1085" ht="15" customHeight="1" s="37">
      <c r="A1085" t="n">
        <v>14</v>
      </c>
      <c r="B1085" s="10" t="inlineStr">
        <is>
          <t>休日</t>
        </is>
      </c>
      <c r="C1085" s="10" t="inlineStr">
        <is>
          <t>本線</t>
        </is>
      </c>
      <c r="D1085" s="10" t="inlineStr">
        <is>
          <t>下り</t>
        </is>
      </c>
      <c r="E1085" s="10" t="inlineStr">
        <is>
          <t>連1609</t>
        </is>
      </c>
      <c r="F1085" t="inlineStr">
        <is>
          <t>3112</t>
        </is>
      </c>
      <c r="G1085" s="10" t="inlineStr">
        <is>
          <t>嵐山</t>
        </is>
      </c>
      <c r="H1085" s="10" t="inlineStr">
        <is>
          <t>着</t>
        </is>
      </c>
      <c r="J1085" s="10" t="inlineStr">
        <is>
          <t>営業</t>
        </is>
      </c>
      <c r="L1085" t="inlineStr">
        <is>
          <t>17:07:00</t>
        </is>
      </c>
      <c r="P1085" t="inlineStr">
        <is>
          <t>E系統(終日)</t>
        </is>
      </c>
      <c r="Q1085" t="inlineStr">
        <is>
          <t>1</t>
        </is>
      </c>
    </row>
    <row r="1086" ht="15" customHeight="1" s="37">
      <c r="A1086" t="n">
        <v>14</v>
      </c>
      <c r="B1086" s="10" t="inlineStr">
        <is>
          <t>休日</t>
        </is>
      </c>
      <c r="C1086" s="10" t="inlineStr">
        <is>
          <t>本線</t>
        </is>
      </c>
      <c r="D1086" s="10" t="inlineStr">
        <is>
          <t>上り</t>
        </is>
      </c>
      <c r="E1086" s="10" t="inlineStr">
        <is>
          <t>連1704</t>
        </is>
      </c>
      <c r="F1086" t="inlineStr">
        <is>
          <t>2221</t>
        </is>
      </c>
      <c r="G1086" s="10" t="inlineStr">
        <is>
          <t>嵐山</t>
        </is>
      </c>
      <c r="H1086" s="10" t="inlineStr">
        <is>
          <t>発</t>
        </is>
      </c>
      <c r="J1086" s="10" t="inlineStr">
        <is>
          <t>営業</t>
        </is>
      </c>
      <c r="M1086" t="inlineStr">
        <is>
          <t>17:13:00</t>
        </is>
      </c>
      <c r="P1086" t="inlineStr">
        <is>
          <t>E系統(終日)</t>
        </is>
      </c>
      <c r="Q1086" t="inlineStr">
        <is>
          <t>1</t>
        </is>
      </c>
    </row>
    <row r="1087" ht="15" customHeight="1" s="37">
      <c r="A1087" t="n">
        <v>14</v>
      </c>
      <c r="B1087" s="10" t="inlineStr">
        <is>
          <t>休日</t>
        </is>
      </c>
      <c r="C1087" s="10" t="inlineStr">
        <is>
          <t>本線</t>
        </is>
      </c>
      <c r="D1087" s="10" t="inlineStr">
        <is>
          <t>上り</t>
        </is>
      </c>
      <c r="E1087" s="10" t="inlineStr">
        <is>
          <t>連1704</t>
        </is>
      </c>
      <c r="F1087" t="inlineStr">
        <is>
          <t>2221</t>
        </is>
      </c>
      <c r="G1087" s="10" t="inlineStr">
        <is>
          <t>嵯峨</t>
        </is>
      </c>
      <c r="H1087" s="10" t="inlineStr">
        <is>
          <t>発</t>
        </is>
      </c>
      <c r="J1087" s="10" t="inlineStr">
        <is>
          <t>営業</t>
        </is>
      </c>
      <c r="L1087" t="inlineStr">
        <is>
          <t>17:13:55</t>
        </is>
      </c>
      <c r="M1087" t="inlineStr">
        <is>
          <t>17:14:20</t>
        </is>
      </c>
      <c r="P1087" t="inlineStr">
        <is>
          <t>E系統(終日)</t>
        </is>
      </c>
    </row>
    <row r="1088" ht="15" customHeight="1" s="37">
      <c r="A1088" t="n">
        <v>14</v>
      </c>
      <c r="B1088" s="10" t="inlineStr">
        <is>
          <t>休日</t>
        </is>
      </c>
      <c r="C1088" s="10" t="inlineStr">
        <is>
          <t>本線</t>
        </is>
      </c>
      <c r="D1088" s="10" t="inlineStr">
        <is>
          <t>上り</t>
        </is>
      </c>
      <c r="E1088" s="10" t="inlineStr">
        <is>
          <t>連1704</t>
        </is>
      </c>
      <c r="F1088" t="inlineStr">
        <is>
          <t>2221</t>
        </is>
      </c>
      <c r="G1088" s="10" t="inlineStr">
        <is>
          <t>鹿王院</t>
        </is>
      </c>
      <c r="H1088" s="10" t="inlineStr">
        <is>
          <t>発</t>
        </is>
      </c>
      <c r="J1088" s="10" t="inlineStr">
        <is>
          <t>営業</t>
        </is>
      </c>
      <c r="L1088" t="inlineStr">
        <is>
          <t>17:15:25</t>
        </is>
      </c>
      <c r="M1088" t="inlineStr">
        <is>
          <t>17:15:45</t>
        </is>
      </c>
      <c r="P1088" t="inlineStr">
        <is>
          <t>E系統(終日)</t>
        </is>
      </c>
    </row>
    <row r="1089" ht="15" customHeight="1" s="37">
      <c r="A1089" t="n">
        <v>14</v>
      </c>
      <c r="B1089" s="10" t="inlineStr">
        <is>
          <t>休日</t>
        </is>
      </c>
      <c r="C1089" s="10" t="inlineStr">
        <is>
          <t>本線</t>
        </is>
      </c>
      <c r="D1089" s="10" t="inlineStr">
        <is>
          <t>上り</t>
        </is>
      </c>
      <c r="E1089" s="10" t="inlineStr">
        <is>
          <t>連1704</t>
        </is>
      </c>
      <c r="F1089" t="inlineStr">
        <is>
          <t>2221</t>
        </is>
      </c>
      <c r="G1089" s="10" t="inlineStr">
        <is>
          <t>車折</t>
        </is>
      </c>
      <c r="H1089" s="10" t="inlineStr">
        <is>
          <t>発</t>
        </is>
      </c>
      <c r="J1089" s="10" t="inlineStr">
        <is>
          <t>営業</t>
        </is>
      </c>
      <c r="L1089" t="inlineStr">
        <is>
          <t>17:16:40</t>
        </is>
      </c>
      <c r="M1089" t="inlineStr">
        <is>
          <t>17:17:10</t>
        </is>
      </c>
      <c r="P1089" t="inlineStr">
        <is>
          <t>E系統(終日)</t>
        </is>
      </c>
    </row>
    <row r="1090" ht="15" customHeight="1" s="37">
      <c r="A1090" t="n">
        <v>14</v>
      </c>
      <c r="B1090" s="10" t="inlineStr">
        <is>
          <t>休日</t>
        </is>
      </c>
      <c r="C1090" s="10" t="inlineStr">
        <is>
          <t>本線</t>
        </is>
      </c>
      <c r="D1090" s="10" t="inlineStr">
        <is>
          <t>上り</t>
        </is>
      </c>
      <c r="E1090" s="10" t="inlineStr">
        <is>
          <t>連1704</t>
        </is>
      </c>
      <c r="F1090" t="inlineStr">
        <is>
          <t>2221</t>
        </is>
      </c>
      <c r="G1090" s="10" t="inlineStr">
        <is>
          <t>有栖川</t>
        </is>
      </c>
      <c r="H1090" s="10" t="inlineStr">
        <is>
          <t>発</t>
        </is>
      </c>
      <c r="J1090" s="10" t="inlineStr">
        <is>
          <t>営業</t>
        </is>
      </c>
      <c r="L1090" t="inlineStr">
        <is>
          <t>17:18:35</t>
        </is>
      </c>
      <c r="M1090" t="inlineStr">
        <is>
          <t>17:18:55</t>
        </is>
      </c>
      <c r="P1090" t="inlineStr">
        <is>
          <t>E系統(終日)</t>
        </is>
      </c>
    </row>
    <row r="1091" ht="15" customHeight="1" s="37">
      <c r="A1091" t="n">
        <v>14</v>
      </c>
      <c r="B1091" s="10" t="inlineStr">
        <is>
          <t>休日</t>
        </is>
      </c>
      <c r="C1091" s="10" t="inlineStr">
        <is>
          <t>本線</t>
        </is>
      </c>
      <c r="D1091" s="10" t="inlineStr">
        <is>
          <t>上り</t>
        </is>
      </c>
      <c r="E1091" s="10" t="inlineStr">
        <is>
          <t>連1704</t>
        </is>
      </c>
      <c r="F1091" t="inlineStr">
        <is>
          <t>2221</t>
        </is>
      </c>
      <c r="G1091" s="10" t="inlineStr">
        <is>
          <t>帷子ノ辻</t>
        </is>
      </c>
      <c r="H1091" s="10" t="inlineStr">
        <is>
          <t>発</t>
        </is>
      </c>
      <c r="J1091" s="10" t="inlineStr">
        <is>
          <t>営業</t>
        </is>
      </c>
      <c r="L1091" t="inlineStr">
        <is>
          <t>17:20:10</t>
        </is>
      </c>
      <c r="M1091" t="inlineStr">
        <is>
          <t>17:21:15</t>
        </is>
      </c>
      <c r="P1091" t="inlineStr">
        <is>
          <t>E系統(終日)</t>
        </is>
      </c>
    </row>
    <row r="1092" ht="15" customHeight="1" s="37">
      <c r="A1092" t="n">
        <v>14</v>
      </c>
      <c r="B1092" s="10" t="inlineStr">
        <is>
          <t>休日</t>
        </is>
      </c>
      <c r="C1092" s="10" t="inlineStr">
        <is>
          <t>本線</t>
        </is>
      </c>
      <c r="D1092" s="10" t="inlineStr">
        <is>
          <t>上り</t>
        </is>
      </c>
      <c r="E1092" s="10" t="inlineStr">
        <is>
          <t>連1704</t>
        </is>
      </c>
      <c r="F1092" t="inlineStr">
        <is>
          <t>2221</t>
        </is>
      </c>
      <c r="G1092" s="10" t="inlineStr">
        <is>
          <t>太秦広隆寺</t>
        </is>
      </c>
      <c r="H1092" s="10" t="inlineStr">
        <is>
          <t>発</t>
        </is>
      </c>
      <c r="J1092" s="10" t="inlineStr">
        <is>
          <t>営業</t>
        </is>
      </c>
      <c r="L1092" t="inlineStr">
        <is>
          <t>17:23:25</t>
        </is>
      </c>
      <c r="M1092" t="inlineStr">
        <is>
          <t>17:23:45</t>
        </is>
      </c>
      <c r="P1092" t="inlineStr">
        <is>
          <t>E系統(終日)</t>
        </is>
      </c>
    </row>
    <row r="1093" ht="15" customHeight="1" s="37">
      <c r="A1093" t="n">
        <v>14</v>
      </c>
      <c r="B1093" s="10" t="inlineStr">
        <is>
          <t>休日</t>
        </is>
      </c>
      <c r="C1093" s="10" t="inlineStr">
        <is>
          <t>本線</t>
        </is>
      </c>
      <c r="D1093" s="10" t="inlineStr">
        <is>
          <t>上り</t>
        </is>
      </c>
      <c r="E1093" s="10" t="inlineStr">
        <is>
          <t>連1704</t>
        </is>
      </c>
      <c r="F1093" t="inlineStr">
        <is>
          <t>2221</t>
        </is>
      </c>
      <c r="G1093" s="10" t="inlineStr">
        <is>
          <t>蚕ノ社</t>
        </is>
      </c>
      <c r="H1093" s="10" t="inlineStr">
        <is>
          <t>発</t>
        </is>
      </c>
      <c r="J1093" s="10" t="inlineStr">
        <is>
          <t>営業</t>
        </is>
      </c>
      <c r="L1093" t="inlineStr">
        <is>
          <t>17:25:00</t>
        </is>
      </c>
      <c r="M1093" t="inlineStr">
        <is>
          <t>17:25:20</t>
        </is>
      </c>
      <c r="P1093" t="inlineStr">
        <is>
          <t>E系統(終日)</t>
        </is>
      </c>
    </row>
    <row r="1094" ht="15" customHeight="1" s="37">
      <c r="A1094" t="n">
        <v>14</v>
      </c>
      <c r="B1094" s="10" t="inlineStr">
        <is>
          <t>休日</t>
        </is>
      </c>
      <c r="C1094" s="10" t="inlineStr">
        <is>
          <t>本線</t>
        </is>
      </c>
      <c r="D1094" s="10" t="inlineStr">
        <is>
          <t>上り</t>
        </is>
      </c>
      <c r="E1094" s="10" t="inlineStr">
        <is>
          <t>連1704</t>
        </is>
      </c>
      <c r="F1094" t="inlineStr">
        <is>
          <t>2221</t>
        </is>
      </c>
      <c r="G1094" s="10" t="inlineStr">
        <is>
          <t>天神川</t>
        </is>
      </c>
      <c r="H1094" s="10" t="inlineStr">
        <is>
          <t>発</t>
        </is>
      </c>
      <c r="J1094" s="10" t="inlineStr">
        <is>
          <t>営業</t>
        </is>
      </c>
      <c r="L1094" t="inlineStr">
        <is>
          <t>17:26:05</t>
        </is>
      </c>
      <c r="M1094" t="inlineStr">
        <is>
          <t>17:26:50</t>
        </is>
      </c>
      <c r="P1094" t="inlineStr">
        <is>
          <t>E系統(終日)</t>
        </is>
      </c>
    </row>
    <row r="1095" ht="15" customHeight="1" s="37">
      <c r="A1095" t="n">
        <v>14</v>
      </c>
      <c r="B1095" s="10" t="inlineStr">
        <is>
          <t>休日</t>
        </is>
      </c>
      <c r="C1095" s="10" t="inlineStr">
        <is>
          <t>本線</t>
        </is>
      </c>
      <c r="D1095" s="10" t="inlineStr">
        <is>
          <t>上り</t>
        </is>
      </c>
      <c r="E1095" s="10" t="inlineStr">
        <is>
          <t>連1704</t>
        </is>
      </c>
      <c r="F1095" t="inlineStr">
        <is>
          <t>2221</t>
        </is>
      </c>
      <c r="G1095" s="10" t="inlineStr">
        <is>
          <t>山ノ内</t>
        </is>
      </c>
      <c r="H1095" s="10" t="inlineStr">
        <is>
          <t>発</t>
        </is>
      </c>
      <c r="J1095" s="10" t="inlineStr">
        <is>
          <t>営業</t>
        </is>
      </c>
      <c r="L1095" t="inlineStr">
        <is>
          <t>17:28:40</t>
        </is>
      </c>
      <c r="M1095" t="inlineStr">
        <is>
          <t>17:29:05</t>
        </is>
      </c>
      <c r="P1095" t="inlineStr">
        <is>
          <t>E系統(終日)</t>
        </is>
      </c>
    </row>
    <row r="1096" ht="15" customHeight="1" s="37">
      <c r="A1096" t="n">
        <v>14</v>
      </c>
      <c r="B1096" s="10" t="inlineStr">
        <is>
          <t>休日</t>
        </is>
      </c>
      <c r="C1096" s="10" t="inlineStr">
        <is>
          <t>本線</t>
        </is>
      </c>
      <c r="D1096" s="10" t="inlineStr">
        <is>
          <t>上り</t>
        </is>
      </c>
      <c r="E1096" s="10" t="inlineStr">
        <is>
          <t>連1704</t>
        </is>
      </c>
      <c r="F1096" t="inlineStr">
        <is>
          <t>2221</t>
        </is>
      </c>
      <c r="G1096" s="10" t="inlineStr">
        <is>
          <t>西大路三条</t>
        </is>
      </c>
      <c r="H1096" s="10" t="inlineStr">
        <is>
          <t>発</t>
        </is>
      </c>
      <c r="J1096" s="10" t="inlineStr">
        <is>
          <t>営業</t>
        </is>
      </c>
      <c r="L1096" t="inlineStr">
        <is>
          <t>17:30:55</t>
        </is>
      </c>
      <c r="M1096" t="inlineStr">
        <is>
          <t>17:31:15</t>
        </is>
      </c>
      <c r="P1096" t="inlineStr">
        <is>
          <t>E系統(終日)</t>
        </is>
      </c>
    </row>
    <row r="1097" ht="15" customHeight="1" s="37">
      <c r="A1097" t="n">
        <v>14</v>
      </c>
      <c r="B1097" s="10" t="inlineStr">
        <is>
          <t>休日</t>
        </is>
      </c>
      <c r="C1097" s="10" t="inlineStr">
        <is>
          <t>本線</t>
        </is>
      </c>
      <c r="D1097" s="10" t="inlineStr">
        <is>
          <t>上り</t>
        </is>
      </c>
      <c r="E1097" s="10" t="inlineStr">
        <is>
          <t>連1704</t>
        </is>
      </c>
      <c r="F1097" t="inlineStr">
        <is>
          <t>2221</t>
        </is>
      </c>
      <c r="G1097" s="10" t="inlineStr">
        <is>
          <t>西院</t>
        </is>
      </c>
      <c r="H1097" s="10" t="inlineStr">
        <is>
          <t>発</t>
        </is>
      </c>
      <c r="J1097" s="10" t="inlineStr">
        <is>
          <t>営業</t>
        </is>
      </c>
      <c r="L1097" t="inlineStr">
        <is>
          <t>17:33:10</t>
        </is>
      </c>
      <c r="M1097" t="inlineStr">
        <is>
          <t>17:34:05</t>
        </is>
      </c>
      <c r="P1097" t="inlineStr">
        <is>
          <t>E系統(終日)</t>
        </is>
      </c>
    </row>
    <row r="1098" ht="15" customHeight="1" s="37">
      <c r="A1098" t="n">
        <v>14</v>
      </c>
      <c r="B1098" s="10" t="inlineStr">
        <is>
          <t>休日</t>
        </is>
      </c>
      <c r="C1098" s="10" t="inlineStr">
        <is>
          <t>本線</t>
        </is>
      </c>
      <c r="D1098" s="10" t="inlineStr">
        <is>
          <t>上り</t>
        </is>
      </c>
      <c r="E1098" s="10" t="inlineStr">
        <is>
          <t>連1704</t>
        </is>
      </c>
      <c r="F1098" t="inlineStr">
        <is>
          <t>2221</t>
        </is>
      </c>
      <c r="G1098" s="10" t="inlineStr">
        <is>
          <t>四条大宮</t>
        </is>
      </c>
      <c r="H1098" s="10" t="inlineStr">
        <is>
          <t>着</t>
        </is>
      </c>
      <c r="J1098" s="10" t="inlineStr">
        <is>
          <t>営業</t>
        </is>
      </c>
      <c r="L1098" t="inlineStr">
        <is>
          <t>17:37:00</t>
        </is>
      </c>
      <c r="P1098" t="inlineStr">
        <is>
          <t>E系統(終日)</t>
        </is>
      </c>
      <c r="Q1098" t="inlineStr">
        <is>
          <t>1</t>
        </is>
      </c>
    </row>
    <row r="1099" ht="15" customHeight="1" s="37">
      <c r="A1099" t="n">
        <v>14</v>
      </c>
      <c r="B1099" s="10" t="inlineStr">
        <is>
          <t>休日</t>
        </is>
      </c>
      <c r="C1099" s="10" t="inlineStr">
        <is>
          <t>本線</t>
        </is>
      </c>
      <c r="D1099" s="10" t="inlineStr">
        <is>
          <t>下り</t>
        </is>
      </c>
      <c r="E1099" s="10" t="inlineStr">
        <is>
          <t>連1709</t>
        </is>
      </c>
      <c r="F1099" t="inlineStr">
        <is>
          <t>0122</t>
        </is>
      </c>
      <c r="G1099" s="10" t="inlineStr">
        <is>
          <t>四条大宮</t>
        </is>
      </c>
      <c r="H1099" s="10" t="inlineStr">
        <is>
          <t>発</t>
        </is>
      </c>
      <c r="J1099" s="10" t="inlineStr">
        <is>
          <t>営業</t>
        </is>
      </c>
      <c r="M1099" t="inlineStr">
        <is>
          <t>17:43:00</t>
        </is>
      </c>
      <c r="P1099" t="inlineStr">
        <is>
          <t>E系統(終日)</t>
        </is>
      </c>
      <c r="Q1099" t="inlineStr">
        <is>
          <t>1</t>
        </is>
      </c>
    </row>
    <row r="1100" ht="15" customHeight="1" s="37">
      <c r="A1100" t="n">
        <v>14</v>
      </c>
      <c r="B1100" s="10" t="inlineStr">
        <is>
          <t>休日</t>
        </is>
      </c>
      <c r="C1100" s="10" t="inlineStr">
        <is>
          <t>本線</t>
        </is>
      </c>
      <c r="D1100" s="10" t="inlineStr">
        <is>
          <t>下り</t>
        </is>
      </c>
      <c r="E1100" s="10" t="inlineStr">
        <is>
          <t>連1709</t>
        </is>
      </c>
      <c r="F1100" t="inlineStr">
        <is>
          <t>0122</t>
        </is>
      </c>
      <c r="G1100" s="10" t="inlineStr">
        <is>
          <t>西院</t>
        </is>
      </c>
      <c r="H1100" s="10" t="inlineStr">
        <is>
          <t>着</t>
        </is>
      </c>
      <c r="J1100" s="10" t="inlineStr">
        <is>
          <t>営業</t>
        </is>
      </c>
      <c r="L1100" t="inlineStr">
        <is>
          <t>17:45:50</t>
        </is>
      </c>
      <c r="M1100" t="inlineStr">
        <is>
          <t>17:46:20</t>
        </is>
      </c>
      <c r="P1100" t="inlineStr">
        <is>
          <t>E系統(終日)</t>
        </is>
      </c>
    </row>
    <row r="1101" ht="15" customHeight="1" s="37">
      <c r="A1101" t="n">
        <v>15</v>
      </c>
      <c r="B1101" s="10" t="inlineStr">
        <is>
          <t>休日</t>
        </is>
      </c>
      <c r="C1101" s="10" t="inlineStr">
        <is>
          <t>本線</t>
        </is>
      </c>
      <c r="D1101" s="10" t="inlineStr">
        <is>
          <t>下り</t>
        </is>
      </c>
      <c r="E1101" t="inlineStr">
        <is>
          <t>1803</t>
        </is>
      </c>
      <c r="F1101" t="inlineStr">
        <is>
          <t>0122</t>
        </is>
      </c>
      <c r="G1101" s="10" t="inlineStr">
        <is>
          <t>西院</t>
        </is>
      </c>
      <c r="H1101" s="10" t="inlineStr">
        <is>
          <t>発</t>
        </is>
      </c>
      <c r="J1101" s="10" t="inlineStr">
        <is>
          <t>営業</t>
        </is>
      </c>
      <c r="L1101" t="inlineStr">
        <is>
          <t>18:15:50</t>
        </is>
      </c>
      <c r="M1101" t="inlineStr">
        <is>
          <t>18:16:20</t>
        </is>
      </c>
    </row>
    <row r="1102" ht="15" customHeight="1" s="37">
      <c r="A1102" t="n">
        <v>15</v>
      </c>
      <c r="B1102" s="10" t="inlineStr">
        <is>
          <t>休日</t>
        </is>
      </c>
      <c r="C1102" s="10" t="inlineStr">
        <is>
          <t>本線</t>
        </is>
      </c>
      <c r="D1102" s="10" t="inlineStr">
        <is>
          <t>下り</t>
        </is>
      </c>
      <c r="E1102" t="inlineStr">
        <is>
          <t>1803</t>
        </is>
      </c>
      <c r="F1102" t="inlineStr">
        <is>
          <t>0122</t>
        </is>
      </c>
      <c r="G1102" s="10" t="inlineStr">
        <is>
          <t>西大路三条</t>
        </is>
      </c>
      <c r="H1102" s="10" t="inlineStr">
        <is>
          <t>発</t>
        </is>
      </c>
      <c r="J1102" s="10" t="inlineStr">
        <is>
          <t>営業</t>
        </is>
      </c>
      <c r="L1102" t="inlineStr">
        <is>
          <t>18:18:10</t>
        </is>
      </c>
      <c r="M1102" t="inlineStr">
        <is>
          <t>18:18:30</t>
        </is>
      </c>
    </row>
    <row r="1103" ht="15" customHeight="1" s="37">
      <c r="A1103" t="n">
        <v>15</v>
      </c>
      <c r="B1103" s="10" t="inlineStr">
        <is>
          <t>休日</t>
        </is>
      </c>
      <c r="C1103" s="10" t="inlineStr">
        <is>
          <t>本線</t>
        </is>
      </c>
      <c r="D1103" s="10" t="inlineStr">
        <is>
          <t>下り</t>
        </is>
      </c>
      <c r="E1103" t="inlineStr">
        <is>
          <t>1803</t>
        </is>
      </c>
      <c r="F1103" t="inlineStr">
        <is>
          <t>0122</t>
        </is>
      </c>
      <c r="G1103" s="10" t="inlineStr">
        <is>
          <t>山ノ内</t>
        </is>
      </c>
      <c r="H1103" s="10" t="inlineStr">
        <is>
          <t>発</t>
        </is>
      </c>
      <c r="J1103" s="10" t="inlineStr">
        <is>
          <t>営業</t>
        </is>
      </c>
      <c r="L1103" t="inlineStr">
        <is>
          <t>18:20:25</t>
        </is>
      </c>
      <c r="M1103" t="inlineStr">
        <is>
          <t>18:20:50</t>
        </is>
      </c>
    </row>
    <row r="1104" ht="15" customHeight="1" s="37">
      <c r="A1104" t="n">
        <v>15</v>
      </c>
      <c r="B1104" s="10" t="inlineStr">
        <is>
          <t>休日</t>
        </is>
      </c>
      <c r="C1104" s="10" t="inlineStr">
        <is>
          <t>本線</t>
        </is>
      </c>
      <c r="D1104" s="10" t="inlineStr">
        <is>
          <t>下り</t>
        </is>
      </c>
      <c r="E1104" t="inlineStr">
        <is>
          <t>1803</t>
        </is>
      </c>
      <c r="F1104" t="inlineStr">
        <is>
          <t>0122</t>
        </is>
      </c>
      <c r="G1104" s="10" t="inlineStr">
        <is>
          <t>天神川</t>
        </is>
      </c>
      <c r="H1104" s="10" t="inlineStr">
        <is>
          <t>発</t>
        </is>
      </c>
      <c r="J1104" s="10" t="inlineStr">
        <is>
          <t>営業</t>
        </is>
      </c>
      <c r="L1104" t="inlineStr">
        <is>
          <t>18:22:50</t>
        </is>
      </c>
      <c r="M1104" t="inlineStr">
        <is>
          <t>18:23:30</t>
        </is>
      </c>
    </row>
    <row r="1105" ht="15" customHeight="1" s="37">
      <c r="A1105" t="n">
        <v>15</v>
      </c>
      <c r="B1105" s="10" t="inlineStr">
        <is>
          <t>休日</t>
        </is>
      </c>
      <c r="C1105" s="10" t="inlineStr">
        <is>
          <t>本線</t>
        </is>
      </c>
      <c r="D1105" s="10" t="inlineStr">
        <is>
          <t>下り</t>
        </is>
      </c>
      <c r="E1105" t="inlineStr">
        <is>
          <t>1803</t>
        </is>
      </c>
      <c r="F1105" t="inlineStr">
        <is>
          <t>0122</t>
        </is>
      </c>
      <c r="G1105" s="10" t="inlineStr">
        <is>
          <t>蚕ノ社</t>
        </is>
      </c>
      <c r="H1105" s="10" t="inlineStr">
        <is>
          <t>発</t>
        </is>
      </c>
      <c r="J1105" s="10" t="inlineStr">
        <is>
          <t>営業</t>
        </is>
      </c>
      <c r="L1105" t="inlineStr">
        <is>
          <t>18:24:20</t>
        </is>
      </c>
      <c r="M1105" t="inlineStr">
        <is>
          <t>18:24:40</t>
        </is>
      </c>
    </row>
    <row r="1106" ht="15" customHeight="1" s="37">
      <c r="A1106" t="n">
        <v>15</v>
      </c>
      <c r="B1106" s="10" t="inlineStr">
        <is>
          <t>休日</t>
        </is>
      </c>
      <c r="C1106" s="10" t="inlineStr">
        <is>
          <t>本線</t>
        </is>
      </c>
      <c r="D1106" s="10" t="inlineStr">
        <is>
          <t>下り</t>
        </is>
      </c>
      <c r="E1106" t="inlineStr">
        <is>
          <t>1803</t>
        </is>
      </c>
      <c r="F1106" t="inlineStr">
        <is>
          <t>0122</t>
        </is>
      </c>
      <c r="G1106" s="10" t="inlineStr">
        <is>
          <t>太秦広隆寺</t>
        </is>
      </c>
      <c r="H1106" s="10" t="inlineStr">
        <is>
          <t>発</t>
        </is>
      </c>
      <c r="J1106" s="10" t="inlineStr">
        <is>
          <t>営業</t>
        </is>
      </c>
      <c r="L1106" t="inlineStr">
        <is>
          <t>18:26:00</t>
        </is>
      </c>
      <c r="M1106" t="inlineStr">
        <is>
          <t>18:26:20</t>
        </is>
      </c>
    </row>
    <row r="1107" ht="15" customHeight="1" s="37">
      <c r="A1107" t="n">
        <v>15</v>
      </c>
      <c r="B1107" s="10" t="inlineStr">
        <is>
          <t>休日</t>
        </is>
      </c>
      <c r="C1107" s="10" t="inlineStr">
        <is>
          <t>本線</t>
        </is>
      </c>
      <c r="D1107" s="10" t="inlineStr">
        <is>
          <t>下り</t>
        </is>
      </c>
      <c r="E1107" t="inlineStr">
        <is>
          <t>1803</t>
        </is>
      </c>
      <c r="F1107" t="inlineStr">
        <is>
          <t>0122</t>
        </is>
      </c>
      <c r="G1107" s="10" t="inlineStr">
        <is>
          <t>帷子ノ辻</t>
        </is>
      </c>
      <c r="H1107" s="10" t="inlineStr">
        <is>
          <t>発</t>
        </is>
      </c>
      <c r="J1107" s="10" t="inlineStr">
        <is>
          <t>営業</t>
        </is>
      </c>
      <c r="L1107" t="inlineStr">
        <is>
          <t>18:28:20</t>
        </is>
      </c>
      <c r="M1107" t="inlineStr">
        <is>
          <t>18:29:40</t>
        </is>
      </c>
    </row>
    <row r="1108" ht="15" customHeight="1" s="37">
      <c r="A1108" t="n">
        <v>15</v>
      </c>
      <c r="B1108" s="10" t="inlineStr">
        <is>
          <t>休日</t>
        </is>
      </c>
      <c r="C1108" s="10" t="inlineStr">
        <is>
          <t>本線</t>
        </is>
      </c>
      <c r="D1108" s="10" t="inlineStr">
        <is>
          <t>下り</t>
        </is>
      </c>
      <c r="E1108" t="inlineStr">
        <is>
          <t>1803</t>
        </is>
      </c>
      <c r="F1108" t="inlineStr">
        <is>
          <t>0122</t>
        </is>
      </c>
      <c r="G1108" s="10" t="inlineStr">
        <is>
          <t>有栖川</t>
        </is>
      </c>
      <c r="H1108" s="10" t="inlineStr">
        <is>
          <t>発</t>
        </is>
      </c>
      <c r="J1108" s="10" t="inlineStr">
        <is>
          <t>営業</t>
        </is>
      </c>
      <c r="L1108" t="inlineStr">
        <is>
          <t>18:30:50</t>
        </is>
      </c>
      <c r="M1108" t="inlineStr">
        <is>
          <t>18:31:15</t>
        </is>
      </c>
    </row>
    <row r="1109" ht="15" customHeight="1" s="37">
      <c r="A1109" t="n">
        <v>15</v>
      </c>
      <c r="B1109" s="10" t="inlineStr">
        <is>
          <t>休日</t>
        </is>
      </c>
      <c r="C1109" s="10" t="inlineStr">
        <is>
          <t>本線</t>
        </is>
      </c>
      <c r="D1109" s="10" t="inlineStr">
        <is>
          <t>下り</t>
        </is>
      </c>
      <c r="E1109" t="inlineStr">
        <is>
          <t>1803</t>
        </is>
      </c>
      <c r="F1109" t="inlineStr">
        <is>
          <t>0122</t>
        </is>
      </c>
      <c r="G1109" s="10" t="inlineStr">
        <is>
          <t>車折</t>
        </is>
      </c>
      <c r="H1109" s="10" t="inlineStr">
        <is>
          <t>発</t>
        </is>
      </c>
      <c r="J1109" s="10" t="inlineStr">
        <is>
          <t>営業</t>
        </is>
      </c>
      <c r="L1109" t="inlineStr">
        <is>
          <t>18:32:40</t>
        </is>
      </c>
      <c r="M1109" t="inlineStr">
        <is>
          <t>18:33:05</t>
        </is>
      </c>
    </row>
    <row r="1110" ht="15" customHeight="1" s="37">
      <c r="A1110" t="n">
        <v>15</v>
      </c>
      <c r="B1110" s="10" t="inlineStr">
        <is>
          <t>休日</t>
        </is>
      </c>
      <c r="C1110" s="10" t="inlineStr">
        <is>
          <t>本線</t>
        </is>
      </c>
      <c r="D1110" s="10" t="inlineStr">
        <is>
          <t>下り</t>
        </is>
      </c>
      <c r="E1110" t="inlineStr">
        <is>
          <t>1803</t>
        </is>
      </c>
      <c r="F1110" t="inlineStr">
        <is>
          <t>0122</t>
        </is>
      </c>
      <c r="G1110" s="10" t="inlineStr">
        <is>
          <t>鹿王院</t>
        </is>
      </c>
      <c r="H1110" s="10" t="inlineStr">
        <is>
          <t>発</t>
        </is>
      </c>
      <c r="J1110" s="10" t="inlineStr">
        <is>
          <t>営業</t>
        </is>
      </c>
      <c r="L1110" t="inlineStr">
        <is>
          <t>18:34:00</t>
        </is>
      </c>
      <c r="M1110" t="inlineStr">
        <is>
          <t>18:34:25</t>
        </is>
      </c>
    </row>
    <row r="1111" ht="15" customHeight="1" s="37">
      <c r="A1111" t="n">
        <v>15</v>
      </c>
      <c r="B1111" s="10" t="inlineStr">
        <is>
          <t>休日</t>
        </is>
      </c>
      <c r="C1111" s="10" t="inlineStr">
        <is>
          <t>本線</t>
        </is>
      </c>
      <c r="D1111" s="10" t="inlineStr">
        <is>
          <t>下り</t>
        </is>
      </c>
      <c r="E1111" t="inlineStr">
        <is>
          <t>1803</t>
        </is>
      </c>
      <c r="F1111" t="inlineStr">
        <is>
          <t>0122</t>
        </is>
      </c>
      <c r="G1111" s="10" t="inlineStr">
        <is>
          <t>嵯峨</t>
        </is>
      </c>
      <c r="H1111" s="10" t="inlineStr">
        <is>
          <t>発</t>
        </is>
      </c>
      <c r="J1111" s="10" t="inlineStr">
        <is>
          <t>営業</t>
        </is>
      </c>
      <c r="L1111" t="inlineStr">
        <is>
          <t>18:35:30</t>
        </is>
      </c>
      <c r="M1111" t="inlineStr">
        <is>
          <t>18:35:55</t>
        </is>
      </c>
    </row>
    <row r="1112" ht="15" customHeight="1" s="37">
      <c r="A1112" t="n">
        <v>15</v>
      </c>
      <c r="B1112" s="10" t="inlineStr">
        <is>
          <t>休日</t>
        </is>
      </c>
      <c r="C1112" s="10" t="inlineStr">
        <is>
          <t>本線</t>
        </is>
      </c>
      <c r="D1112" s="10" t="inlineStr">
        <is>
          <t>下り</t>
        </is>
      </c>
      <c r="E1112" t="inlineStr">
        <is>
          <t>1803</t>
        </is>
      </c>
      <c r="F1112" t="inlineStr">
        <is>
          <t>0122</t>
        </is>
      </c>
      <c r="G1112" s="10" t="inlineStr">
        <is>
          <t>嵐山</t>
        </is>
      </c>
      <c r="H1112" s="10" t="inlineStr">
        <is>
          <t>着</t>
        </is>
      </c>
      <c r="J1112" s="10" t="inlineStr">
        <is>
          <t>営業</t>
        </is>
      </c>
      <c r="L1112" t="inlineStr">
        <is>
          <t>18:37:00</t>
        </is>
      </c>
      <c r="N1112" t="inlineStr">
        <is>
          <t>○</t>
        </is>
      </c>
      <c r="Q1112" t="inlineStr">
        <is>
          <t>1</t>
        </is>
      </c>
    </row>
    <row r="1113" ht="15" customHeight="1" s="37">
      <c r="A1113" t="n">
        <v>15</v>
      </c>
      <c r="B1113" s="10" t="inlineStr">
        <is>
          <t>休日</t>
        </is>
      </c>
      <c r="C1113" s="10" t="inlineStr">
        <is>
          <t>本線</t>
        </is>
      </c>
      <c r="D1113" s="10" t="inlineStr">
        <is>
          <t>上り</t>
        </is>
      </c>
      <c r="E1113" t="inlineStr">
        <is>
          <t>1810</t>
        </is>
      </c>
      <c r="F1113" t="inlineStr">
        <is>
          <t>2221</t>
        </is>
      </c>
      <c r="G1113" s="10" t="inlineStr">
        <is>
          <t>嵐山</t>
        </is>
      </c>
      <c r="H1113" s="10" t="inlineStr">
        <is>
          <t>発</t>
        </is>
      </c>
      <c r="J1113" s="10" t="inlineStr">
        <is>
          <t>営業</t>
        </is>
      </c>
      <c r="M1113" t="inlineStr">
        <is>
          <t>18:43:00</t>
        </is>
      </c>
      <c r="Q1113" t="inlineStr">
        <is>
          <t>1</t>
        </is>
      </c>
    </row>
    <row r="1114" ht="15" customHeight="1" s="37">
      <c r="A1114" t="n">
        <v>15</v>
      </c>
      <c r="B1114" s="10" t="inlineStr">
        <is>
          <t>休日</t>
        </is>
      </c>
      <c r="C1114" s="10" t="inlineStr">
        <is>
          <t>本線</t>
        </is>
      </c>
      <c r="D1114" s="10" t="inlineStr">
        <is>
          <t>上り</t>
        </is>
      </c>
      <c r="E1114" t="inlineStr">
        <is>
          <t>1810</t>
        </is>
      </c>
      <c r="F1114" t="inlineStr">
        <is>
          <t>2221</t>
        </is>
      </c>
      <c r="G1114" s="10" t="inlineStr">
        <is>
          <t>嵯峨</t>
        </is>
      </c>
      <c r="H1114" s="10" t="inlineStr">
        <is>
          <t>発</t>
        </is>
      </c>
      <c r="J1114" s="10" t="inlineStr">
        <is>
          <t>営業</t>
        </is>
      </c>
      <c r="L1114" t="inlineStr">
        <is>
          <t>18:43:55</t>
        </is>
      </c>
      <c r="M1114" t="inlineStr">
        <is>
          <t>18:44:20</t>
        </is>
      </c>
    </row>
    <row r="1115" ht="15" customHeight="1" s="37">
      <c r="A1115" t="n">
        <v>15</v>
      </c>
      <c r="B1115" s="10" t="inlineStr">
        <is>
          <t>休日</t>
        </is>
      </c>
      <c r="C1115" s="10" t="inlineStr">
        <is>
          <t>本線</t>
        </is>
      </c>
      <c r="D1115" s="10" t="inlineStr">
        <is>
          <t>上り</t>
        </is>
      </c>
      <c r="E1115" t="inlineStr">
        <is>
          <t>1810</t>
        </is>
      </c>
      <c r="F1115" t="inlineStr">
        <is>
          <t>2221</t>
        </is>
      </c>
      <c r="G1115" s="10" t="inlineStr">
        <is>
          <t>鹿王院</t>
        </is>
      </c>
      <c r="H1115" s="10" t="inlineStr">
        <is>
          <t>発</t>
        </is>
      </c>
      <c r="J1115" s="10" t="inlineStr">
        <is>
          <t>営業</t>
        </is>
      </c>
      <c r="L1115" t="inlineStr">
        <is>
          <t>18:45:25</t>
        </is>
      </c>
      <c r="M1115" t="inlineStr">
        <is>
          <t>18:45:45</t>
        </is>
      </c>
    </row>
    <row r="1116" ht="15" customHeight="1" s="37">
      <c r="A1116" t="n">
        <v>15</v>
      </c>
      <c r="B1116" s="10" t="inlineStr">
        <is>
          <t>休日</t>
        </is>
      </c>
      <c r="C1116" s="10" t="inlineStr">
        <is>
          <t>本線</t>
        </is>
      </c>
      <c r="D1116" s="10" t="inlineStr">
        <is>
          <t>上り</t>
        </is>
      </c>
      <c r="E1116" t="inlineStr">
        <is>
          <t>1810</t>
        </is>
      </c>
      <c r="F1116" t="inlineStr">
        <is>
          <t>2221</t>
        </is>
      </c>
      <c r="G1116" s="10" t="inlineStr">
        <is>
          <t>車折</t>
        </is>
      </c>
      <c r="H1116" s="10" t="inlineStr">
        <is>
          <t>発</t>
        </is>
      </c>
      <c r="J1116" s="10" t="inlineStr">
        <is>
          <t>営業</t>
        </is>
      </c>
      <c r="L1116" t="inlineStr">
        <is>
          <t>18:46:40</t>
        </is>
      </c>
      <c r="M1116" t="inlineStr">
        <is>
          <t>18:47:10</t>
        </is>
      </c>
    </row>
    <row r="1117" ht="15" customHeight="1" s="37">
      <c r="A1117" t="n">
        <v>15</v>
      </c>
      <c r="B1117" s="10" t="inlineStr">
        <is>
          <t>休日</t>
        </is>
      </c>
      <c r="C1117" s="10" t="inlineStr">
        <is>
          <t>本線</t>
        </is>
      </c>
      <c r="D1117" s="10" t="inlineStr">
        <is>
          <t>上り</t>
        </is>
      </c>
      <c r="E1117" t="inlineStr">
        <is>
          <t>1810</t>
        </is>
      </c>
      <c r="F1117" t="inlineStr">
        <is>
          <t>2221</t>
        </is>
      </c>
      <c r="G1117" s="10" t="inlineStr">
        <is>
          <t>有栖川</t>
        </is>
      </c>
      <c r="H1117" s="10" t="inlineStr">
        <is>
          <t>発</t>
        </is>
      </c>
      <c r="J1117" s="10" t="inlineStr">
        <is>
          <t>営業</t>
        </is>
      </c>
      <c r="L1117" t="inlineStr">
        <is>
          <t>18:48:35</t>
        </is>
      </c>
      <c r="M1117" t="inlineStr">
        <is>
          <t>18:48:55</t>
        </is>
      </c>
    </row>
    <row r="1118" ht="15" customHeight="1" s="37">
      <c r="A1118" t="n">
        <v>15</v>
      </c>
      <c r="B1118" s="10" t="inlineStr">
        <is>
          <t>休日</t>
        </is>
      </c>
      <c r="C1118" s="10" t="inlineStr">
        <is>
          <t>本線</t>
        </is>
      </c>
      <c r="D1118" s="10" t="inlineStr">
        <is>
          <t>上り</t>
        </is>
      </c>
      <c r="E1118" t="inlineStr">
        <is>
          <t>1810</t>
        </is>
      </c>
      <c r="F1118" t="inlineStr">
        <is>
          <t>2221</t>
        </is>
      </c>
      <c r="G1118" s="10" t="inlineStr">
        <is>
          <t>帷子ノ辻</t>
        </is>
      </c>
      <c r="H1118" s="10" t="inlineStr">
        <is>
          <t>発</t>
        </is>
      </c>
      <c r="J1118" s="10" t="inlineStr">
        <is>
          <t>営業</t>
        </is>
      </c>
      <c r="L1118" t="inlineStr">
        <is>
          <t>18:50:10</t>
        </is>
      </c>
      <c r="M1118" t="inlineStr">
        <is>
          <t>18:51:15</t>
        </is>
      </c>
    </row>
    <row r="1119" ht="15" customHeight="1" s="37">
      <c r="A1119" t="n">
        <v>15</v>
      </c>
      <c r="B1119" s="10" t="inlineStr">
        <is>
          <t>休日</t>
        </is>
      </c>
      <c r="C1119" s="10" t="inlineStr">
        <is>
          <t>本線</t>
        </is>
      </c>
      <c r="D1119" s="10" t="inlineStr">
        <is>
          <t>上り</t>
        </is>
      </c>
      <c r="E1119" t="inlineStr">
        <is>
          <t>1810</t>
        </is>
      </c>
      <c r="F1119" t="inlineStr">
        <is>
          <t>2221</t>
        </is>
      </c>
      <c r="G1119" s="10" t="inlineStr">
        <is>
          <t>太秦広隆寺</t>
        </is>
      </c>
      <c r="H1119" s="10" t="inlineStr">
        <is>
          <t>発</t>
        </is>
      </c>
      <c r="J1119" s="10" t="inlineStr">
        <is>
          <t>営業</t>
        </is>
      </c>
      <c r="L1119" t="inlineStr">
        <is>
          <t>18:53:25</t>
        </is>
      </c>
      <c r="M1119" t="inlineStr">
        <is>
          <t>18:53:45</t>
        </is>
      </c>
    </row>
    <row r="1120" ht="15" customHeight="1" s="37">
      <c r="A1120" t="n">
        <v>15</v>
      </c>
      <c r="B1120" s="10" t="inlineStr">
        <is>
          <t>休日</t>
        </is>
      </c>
      <c r="C1120" s="10" t="inlineStr">
        <is>
          <t>本線</t>
        </is>
      </c>
      <c r="D1120" s="10" t="inlineStr">
        <is>
          <t>上り</t>
        </is>
      </c>
      <c r="E1120" t="inlineStr">
        <is>
          <t>1810</t>
        </is>
      </c>
      <c r="F1120" t="inlineStr">
        <is>
          <t>2221</t>
        </is>
      </c>
      <c r="G1120" s="10" t="inlineStr">
        <is>
          <t>蚕ノ社</t>
        </is>
      </c>
      <c r="H1120" s="10" t="inlineStr">
        <is>
          <t>発</t>
        </is>
      </c>
      <c r="J1120" s="10" t="inlineStr">
        <is>
          <t>営業</t>
        </is>
      </c>
      <c r="L1120" t="inlineStr">
        <is>
          <t>18:55:00</t>
        </is>
      </c>
      <c r="M1120" t="inlineStr">
        <is>
          <t>18:55:20</t>
        </is>
      </c>
    </row>
    <row r="1121" ht="15" customHeight="1" s="37">
      <c r="A1121" t="n">
        <v>15</v>
      </c>
      <c r="B1121" s="10" t="inlineStr">
        <is>
          <t>休日</t>
        </is>
      </c>
      <c r="C1121" s="10" t="inlineStr">
        <is>
          <t>本線</t>
        </is>
      </c>
      <c r="D1121" s="10" t="inlineStr">
        <is>
          <t>上り</t>
        </is>
      </c>
      <c r="E1121" t="inlineStr">
        <is>
          <t>1810</t>
        </is>
      </c>
      <c r="F1121" t="inlineStr">
        <is>
          <t>2221</t>
        </is>
      </c>
      <c r="G1121" s="10" t="inlineStr">
        <is>
          <t>天神川</t>
        </is>
      </c>
      <c r="H1121" s="10" t="inlineStr">
        <is>
          <t>発</t>
        </is>
      </c>
      <c r="J1121" s="10" t="inlineStr">
        <is>
          <t>営業</t>
        </is>
      </c>
      <c r="L1121" t="inlineStr">
        <is>
          <t>18:56:05</t>
        </is>
      </c>
      <c r="M1121" t="inlineStr">
        <is>
          <t>18:56:50</t>
        </is>
      </c>
    </row>
    <row r="1122" ht="15" customHeight="1" s="37">
      <c r="A1122" t="n">
        <v>15</v>
      </c>
      <c r="B1122" s="10" t="inlineStr">
        <is>
          <t>休日</t>
        </is>
      </c>
      <c r="C1122" s="10" t="inlineStr">
        <is>
          <t>本線</t>
        </is>
      </c>
      <c r="D1122" s="10" t="inlineStr">
        <is>
          <t>上り</t>
        </is>
      </c>
      <c r="E1122" t="inlineStr">
        <is>
          <t>1810</t>
        </is>
      </c>
      <c r="F1122" t="inlineStr">
        <is>
          <t>2221</t>
        </is>
      </c>
      <c r="G1122" s="10" t="inlineStr">
        <is>
          <t>山ノ内</t>
        </is>
      </c>
      <c r="H1122" s="10" t="inlineStr">
        <is>
          <t>発</t>
        </is>
      </c>
      <c r="J1122" s="10" t="inlineStr">
        <is>
          <t>営業</t>
        </is>
      </c>
      <c r="L1122" t="inlineStr">
        <is>
          <t>18:58:40</t>
        </is>
      </c>
      <c r="M1122" t="inlineStr">
        <is>
          <t>18:59:05</t>
        </is>
      </c>
    </row>
    <row r="1123" ht="15" customHeight="1" s="37">
      <c r="A1123" t="n">
        <v>15</v>
      </c>
      <c r="B1123" s="10" t="inlineStr">
        <is>
          <t>休日</t>
        </is>
      </c>
      <c r="C1123" s="10" t="inlineStr">
        <is>
          <t>本線</t>
        </is>
      </c>
      <c r="D1123" s="10" t="inlineStr">
        <is>
          <t>上り</t>
        </is>
      </c>
      <c r="E1123" t="inlineStr">
        <is>
          <t>1810</t>
        </is>
      </c>
      <c r="F1123" t="inlineStr">
        <is>
          <t>2221</t>
        </is>
      </c>
      <c r="G1123" s="10" t="inlineStr">
        <is>
          <t>西大路三条</t>
        </is>
      </c>
      <c r="H1123" s="10" t="inlineStr">
        <is>
          <t>発</t>
        </is>
      </c>
      <c r="J1123" s="10" t="inlineStr">
        <is>
          <t>営業</t>
        </is>
      </c>
      <c r="L1123" t="inlineStr">
        <is>
          <t>19:00:55</t>
        </is>
      </c>
      <c r="M1123" t="inlineStr">
        <is>
          <t>19:01:15</t>
        </is>
      </c>
    </row>
    <row r="1124" ht="15" customHeight="1" s="37">
      <c r="A1124" t="n">
        <v>15</v>
      </c>
      <c r="B1124" s="10" t="inlineStr">
        <is>
          <t>休日</t>
        </is>
      </c>
      <c r="C1124" s="10" t="inlineStr">
        <is>
          <t>本線</t>
        </is>
      </c>
      <c r="D1124" s="10" t="inlineStr">
        <is>
          <t>上り</t>
        </is>
      </c>
      <c r="E1124" t="inlineStr">
        <is>
          <t>1810</t>
        </is>
      </c>
      <c r="F1124" t="inlineStr">
        <is>
          <t>2221</t>
        </is>
      </c>
      <c r="G1124" s="10" t="inlineStr">
        <is>
          <t>西院</t>
        </is>
      </c>
      <c r="H1124" s="10" t="inlineStr">
        <is>
          <t>発</t>
        </is>
      </c>
      <c r="J1124" s="10" t="inlineStr">
        <is>
          <t>営業</t>
        </is>
      </c>
      <c r="L1124" t="inlineStr">
        <is>
          <t>19:03:10</t>
        </is>
      </c>
      <c r="M1124" t="inlineStr">
        <is>
          <t>19:04:05</t>
        </is>
      </c>
    </row>
    <row r="1125" ht="15" customHeight="1" s="37">
      <c r="A1125" t="n">
        <v>15</v>
      </c>
      <c r="B1125" s="10" t="inlineStr">
        <is>
          <t>休日</t>
        </is>
      </c>
      <c r="C1125" s="10" t="inlineStr">
        <is>
          <t>本線</t>
        </is>
      </c>
      <c r="D1125" s="10" t="inlineStr">
        <is>
          <t>上り</t>
        </is>
      </c>
      <c r="E1125" t="inlineStr">
        <is>
          <t>1810</t>
        </is>
      </c>
      <c r="F1125" t="inlineStr">
        <is>
          <t>2221</t>
        </is>
      </c>
      <c r="G1125" s="10" t="inlineStr">
        <is>
          <t>四条大宮</t>
        </is>
      </c>
      <c r="H1125" s="10" t="inlineStr">
        <is>
          <t>着</t>
        </is>
      </c>
      <c r="J1125" s="10" t="inlineStr">
        <is>
          <t>営業</t>
        </is>
      </c>
      <c r="L1125" t="inlineStr">
        <is>
          <t>19:07:00</t>
        </is>
      </c>
      <c r="Q1125" t="inlineStr">
        <is>
          <t>1</t>
        </is>
      </c>
    </row>
    <row r="1126" ht="15" customHeight="1" s="37">
      <c r="A1126" t="n">
        <v>15</v>
      </c>
      <c r="B1126" s="10" t="inlineStr">
        <is>
          <t>休日</t>
        </is>
      </c>
      <c r="C1126" s="10" t="inlineStr">
        <is>
          <t>本線</t>
        </is>
      </c>
      <c r="D1126" s="10" t="inlineStr">
        <is>
          <t>下り</t>
        </is>
      </c>
      <c r="E1126" t="inlineStr">
        <is>
          <t>1903</t>
        </is>
      </c>
      <c r="F1126" t="inlineStr">
        <is>
          <t>0122</t>
        </is>
      </c>
      <c r="G1126" s="10" t="inlineStr">
        <is>
          <t>四条大宮</t>
        </is>
      </c>
      <c r="H1126" s="10" t="inlineStr">
        <is>
          <t>発</t>
        </is>
      </c>
      <c r="J1126" s="10" t="inlineStr">
        <is>
          <t>営業</t>
        </is>
      </c>
      <c r="M1126" t="inlineStr">
        <is>
          <t>19:13:00</t>
        </is>
      </c>
      <c r="Q1126" t="inlineStr">
        <is>
          <t>1</t>
        </is>
      </c>
    </row>
    <row r="1127" ht="15" customHeight="1" s="37">
      <c r="A1127" t="n">
        <v>15</v>
      </c>
      <c r="B1127" s="10" t="inlineStr">
        <is>
          <t>休日</t>
        </is>
      </c>
      <c r="C1127" s="10" t="inlineStr">
        <is>
          <t>本線</t>
        </is>
      </c>
      <c r="D1127" s="10" t="inlineStr">
        <is>
          <t>下り</t>
        </is>
      </c>
      <c r="E1127" t="inlineStr">
        <is>
          <t>1903</t>
        </is>
      </c>
      <c r="F1127" t="inlineStr">
        <is>
          <t>0122</t>
        </is>
      </c>
      <c r="G1127" s="10" t="inlineStr">
        <is>
          <t>西院</t>
        </is>
      </c>
      <c r="H1127" s="10" t="inlineStr">
        <is>
          <t>発</t>
        </is>
      </c>
      <c r="J1127" s="10" t="inlineStr">
        <is>
          <t>営業</t>
        </is>
      </c>
      <c r="L1127" t="inlineStr">
        <is>
          <t>19:15:50</t>
        </is>
      </c>
      <c r="M1127" t="inlineStr">
        <is>
          <t>19:16:20</t>
        </is>
      </c>
    </row>
    <row r="1128" ht="15" customHeight="1" s="37">
      <c r="A1128" t="n">
        <v>15</v>
      </c>
      <c r="B1128" s="10" t="inlineStr">
        <is>
          <t>休日</t>
        </is>
      </c>
      <c r="C1128" s="10" t="inlineStr">
        <is>
          <t>本線</t>
        </is>
      </c>
      <c r="D1128" s="10" t="inlineStr">
        <is>
          <t>下り</t>
        </is>
      </c>
      <c r="E1128" t="inlineStr">
        <is>
          <t>1903</t>
        </is>
      </c>
      <c r="F1128" t="inlineStr">
        <is>
          <t>0122</t>
        </is>
      </c>
      <c r="G1128" s="10" t="inlineStr">
        <is>
          <t>西大路三条</t>
        </is>
      </c>
      <c r="H1128" s="10" t="inlineStr">
        <is>
          <t>発</t>
        </is>
      </c>
      <c r="J1128" s="10" t="inlineStr">
        <is>
          <t>営業</t>
        </is>
      </c>
      <c r="L1128" t="inlineStr">
        <is>
          <t>19:18:10</t>
        </is>
      </c>
      <c r="M1128" t="inlineStr">
        <is>
          <t>19:18:30</t>
        </is>
      </c>
    </row>
    <row r="1129" ht="15" customHeight="1" s="37">
      <c r="A1129" t="n">
        <v>15</v>
      </c>
      <c r="B1129" s="10" t="inlineStr">
        <is>
          <t>休日</t>
        </is>
      </c>
      <c r="C1129" s="10" t="inlineStr">
        <is>
          <t>本線</t>
        </is>
      </c>
      <c r="D1129" s="10" t="inlineStr">
        <is>
          <t>下り</t>
        </is>
      </c>
      <c r="E1129" t="inlineStr">
        <is>
          <t>1903</t>
        </is>
      </c>
      <c r="F1129" t="inlineStr">
        <is>
          <t>0122</t>
        </is>
      </c>
      <c r="G1129" s="10" t="inlineStr">
        <is>
          <t>山ノ内</t>
        </is>
      </c>
      <c r="H1129" s="10" t="inlineStr">
        <is>
          <t>発</t>
        </is>
      </c>
      <c r="J1129" s="10" t="inlineStr">
        <is>
          <t>営業</t>
        </is>
      </c>
      <c r="L1129" t="inlineStr">
        <is>
          <t>19:20:25</t>
        </is>
      </c>
      <c r="M1129" t="inlineStr">
        <is>
          <t>19:20:50</t>
        </is>
      </c>
    </row>
    <row r="1130" ht="15" customHeight="1" s="37">
      <c r="A1130" t="n">
        <v>15</v>
      </c>
      <c r="B1130" s="10" t="inlineStr">
        <is>
          <t>休日</t>
        </is>
      </c>
      <c r="C1130" s="10" t="inlineStr">
        <is>
          <t>本線</t>
        </is>
      </c>
      <c r="D1130" s="10" t="inlineStr">
        <is>
          <t>下り</t>
        </is>
      </c>
      <c r="E1130" t="inlineStr">
        <is>
          <t>1903</t>
        </is>
      </c>
      <c r="F1130" t="inlineStr">
        <is>
          <t>0122</t>
        </is>
      </c>
      <c r="G1130" s="10" t="inlineStr">
        <is>
          <t>天神川</t>
        </is>
      </c>
      <c r="H1130" s="10" t="inlineStr">
        <is>
          <t>発</t>
        </is>
      </c>
      <c r="J1130" s="10" t="inlineStr">
        <is>
          <t>営業</t>
        </is>
      </c>
      <c r="L1130" t="inlineStr">
        <is>
          <t>19:22:50</t>
        </is>
      </c>
      <c r="M1130" t="inlineStr">
        <is>
          <t>19:23:30</t>
        </is>
      </c>
    </row>
    <row r="1131" ht="15" customHeight="1" s="37">
      <c r="A1131" t="n">
        <v>15</v>
      </c>
      <c r="B1131" s="10" t="inlineStr">
        <is>
          <t>休日</t>
        </is>
      </c>
      <c r="C1131" s="10" t="inlineStr">
        <is>
          <t>本線</t>
        </is>
      </c>
      <c r="D1131" s="10" t="inlineStr">
        <is>
          <t>下り</t>
        </is>
      </c>
      <c r="E1131" t="inlineStr">
        <is>
          <t>1903</t>
        </is>
      </c>
      <c r="F1131" t="inlineStr">
        <is>
          <t>0122</t>
        </is>
      </c>
      <c r="G1131" s="10" t="inlineStr">
        <is>
          <t>蚕ノ社</t>
        </is>
      </c>
      <c r="H1131" s="10" t="inlineStr">
        <is>
          <t>発</t>
        </is>
      </c>
      <c r="J1131" s="10" t="inlineStr">
        <is>
          <t>営業</t>
        </is>
      </c>
      <c r="L1131" t="inlineStr">
        <is>
          <t>19:24:20</t>
        </is>
      </c>
      <c r="M1131" t="inlineStr">
        <is>
          <t>19:24:40</t>
        </is>
      </c>
    </row>
    <row r="1132" ht="15" customHeight="1" s="37">
      <c r="A1132" t="n">
        <v>15</v>
      </c>
      <c r="B1132" s="10" t="inlineStr">
        <is>
          <t>休日</t>
        </is>
      </c>
      <c r="C1132" s="10" t="inlineStr">
        <is>
          <t>本線</t>
        </is>
      </c>
      <c r="D1132" s="10" t="inlineStr">
        <is>
          <t>下り</t>
        </is>
      </c>
      <c r="E1132" t="inlineStr">
        <is>
          <t>1903</t>
        </is>
      </c>
      <c r="F1132" t="inlineStr">
        <is>
          <t>0122</t>
        </is>
      </c>
      <c r="G1132" s="10" t="inlineStr">
        <is>
          <t>太秦広隆寺</t>
        </is>
      </c>
      <c r="H1132" s="10" t="inlineStr">
        <is>
          <t>発</t>
        </is>
      </c>
      <c r="J1132" s="10" t="inlineStr">
        <is>
          <t>営業</t>
        </is>
      </c>
      <c r="L1132" t="inlineStr">
        <is>
          <t>19:26:00</t>
        </is>
      </c>
      <c r="M1132" t="inlineStr">
        <is>
          <t>19:26:20</t>
        </is>
      </c>
    </row>
    <row r="1133" ht="15" customHeight="1" s="37">
      <c r="A1133" t="n">
        <v>15</v>
      </c>
      <c r="B1133" s="10" t="inlineStr">
        <is>
          <t>休日</t>
        </is>
      </c>
      <c r="C1133" s="10" t="inlineStr">
        <is>
          <t>本線</t>
        </is>
      </c>
      <c r="D1133" s="10" t="inlineStr">
        <is>
          <t>下り</t>
        </is>
      </c>
      <c r="E1133" t="inlineStr">
        <is>
          <t>1903</t>
        </is>
      </c>
      <c r="F1133" t="inlineStr">
        <is>
          <t>0122</t>
        </is>
      </c>
      <c r="G1133" s="10" t="inlineStr">
        <is>
          <t>帷子ノ辻</t>
        </is>
      </c>
      <c r="H1133" s="10" t="inlineStr">
        <is>
          <t>発</t>
        </is>
      </c>
      <c r="J1133" s="10" t="inlineStr">
        <is>
          <t>営業</t>
        </is>
      </c>
      <c r="L1133" t="inlineStr">
        <is>
          <t>19:28:20</t>
        </is>
      </c>
      <c r="M1133" t="inlineStr">
        <is>
          <t>19:29:40</t>
        </is>
      </c>
    </row>
    <row r="1134" ht="15" customHeight="1" s="37">
      <c r="A1134" t="n">
        <v>15</v>
      </c>
      <c r="B1134" s="10" t="inlineStr">
        <is>
          <t>休日</t>
        </is>
      </c>
      <c r="C1134" s="10" t="inlineStr">
        <is>
          <t>本線</t>
        </is>
      </c>
      <c r="D1134" s="10" t="inlineStr">
        <is>
          <t>下り</t>
        </is>
      </c>
      <c r="E1134" t="inlineStr">
        <is>
          <t>1903</t>
        </is>
      </c>
      <c r="F1134" t="inlineStr">
        <is>
          <t>0122</t>
        </is>
      </c>
      <c r="G1134" s="10" t="inlineStr">
        <is>
          <t>有栖川</t>
        </is>
      </c>
      <c r="H1134" s="10" t="inlineStr">
        <is>
          <t>発</t>
        </is>
      </c>
      <c r="J1134" s="10" t="inlineStr">
        <is>
          <t>営業</t>
        </is>
      </c>
      <c r="L1134" t="inlineStr">
        <is>
          <t>19:30:50</t>
        </is>
      </c>
      <c r="M1134" t="inlineStr">
        <is>
          <t>19:31:15</t>
        </is>
      </c>
    </row>
    <row r="1135" ht="15" customHeight="1" s="37">
      <c r="A1135" t="n">
        <v>15</v>
      </c>
      <c r="B1135" s="10" t="inlineStr">
        <is>
          <t>休日</t>
        </is>
      </c>
      <c r="C1135" s="10" t="inlineStr">
        <is>
          <t>本線</t>
        </is>
      </c>
      <c r="D1135" s="10" t="inlineStr">
        <is>
          <t>下り</t>
        </is>
      </c>
      <c r="E1135" t="inlineStr">
        <is>
          <t>1903</t>
        </is>
      </c>
      <c r="F1135" t="inlineStr">
        <is>
          <t>0122</t>
        </is>
      </c>
      <c r="G1135" s="10" t="inlineStr">
        <is>
          <t>車折</t>
        </is>
      </c>
      <c r="H1135" s="10" t="inlineStr">
        <is>
          <t>発</t>
        </is>
      </c>
      <c r="J1135" s="10" t="inlineStr">
        <is>
          <t>営業</t>
        </is>
      </c>
      <c r="L1135" t="inlineStr">
        <is>
          <t>19:32:40</t>
        </is>
      </c>
      <c r="M1135" t="inlineStr">
        <is>
          <t>19:33:05</t>
        </is>
      </c>
    </row>
    <row r="1136" ht="15" customHeight="1" s="37">
      <c r="A1136" t="n">
        <v>15</v>
      </c>
      <c r="B1136" s="10" t="inlineStr">
        <is>
          <t>休日</t>
        </is>
      </c>
      <c r="C1136" s="10" t="inlineStr">
        <is>
          <t>本線</t>
        </is>
      </c>
      <c r="D1136" s="10" t="inlineStr">
        <is>
          <t>下り</t>
        </is>
      </c>
      <c r="E1136" t="inlineStr">
        <is>
          <t>1903</t>
        </is>
      </c>
      <c r="F1136" t="inlineStr">
        <is>
          <t>0122</t>
        </is>
      </c>
      <c r="G1136" s="10" t="inlineStr">
        <is>
          <t>鹿王院</t>
        </is>
      </c>
      <c r="H1136" s="10" t="inlineStr">
        <is>
          <t>発</t>
        </is>
      </c>
      <c r="J1136" s="10" t="inlineStr">
        <is>
          <t>営業</t>
        </is>
      </c>
      <c r="L1136" t="inlineStr">
        <is>
          <t>19:34:00</t>
        </is>
      </c>
      <c r="M1136" t="inlineStr">
        <is>
          <t>19:34:25</t>
        </is>
      </c>
    </row>
    <row r="1137" ht="15" customHeight="1" s="37">
      <c r="A1137" t="n">
        <v>15</v>
      </c>
      <c r="B1137" s="10" t="inlineStr">
        <is>
          <t>休日</t>
        </is>
      </c>
      <c r="C1137" s="10" t="inlineStr">
        <is>
          <t>本線</t>
        </is>
      </c>
      <c r="D1137" s="10" t="inlineStr">
        <is>
          <t>下り</t>
        </is>
      </c>
      <c r="E1137" t="inlineStr">
        <is>
          <t>1903</t>
        </is>
      </c>
      <c r="F1137" t="inlineStr">
        <is>
          <t>0122</t>
        </is>
      </c>
      <c r="G1137" s="10" t="inlineStr">
        <is>
          <t>嵯峨</t>
        </is>
      </c>
      <c r="H1137" s="10" t="inlineStr">
        <is>
          <t>発</t>
        </is>
      </c>
      <c r="J1137" s="10" t="inlineStr">
        <is>
          <t>営業</t>
        </is>
      </c>
      <c r="L1137" t="inlineStr">
        <is>
          <t>19:35:30</t>
        </is>
      </c>
      <c r="M1137" t="inlineStr">
        <is>
          <t>19:35:55</t>
        </is>
      </c>
    </row>
    <row r="1138" ht="15" customHeight="1" s="37">
      <c r="A1138" t="n">
        <v>15</v>
      </c>
      <c r="B1138" s="10" t="inlineStr">
        <is>
          <t>休日</t>
        </is>
      </c>
      <c r="C1138" s="10" t="inlineStr">
        <is>
          <t>本線</t>
        </is>
      </c>
      <c r="D1138" s="10" t="inlineStr">
        <is>
          <t>下り</t>
        </is>
      </c>
      <c r="E1138" t="inlineStr">
        <is>
          <t>1903</t>
        </is>
      </c>
      <c r="F1138" t="inlineStr">
        <is>
          <t>0122</t>
        </is>
      </c>
      <c r="G1138" s="10" t="inlineStr">
        <is>
          <t>嵐山</t>
        </is>
      </c>
      <c r="H1138" s="10" t="inlineStr">
        <is>
          <t>着</t>
        </is>
      </c>
      <c r="J1138" s="10" t="inlineStr">
        <is>
          <t>営業</t>
        </is>
      </c>
      <c r="L1138" t="inlineStr">
        <is>
          <t>19:37:00</t>
        </is>
      </c>
      <c r="N1138" t="inlineStr">
        <is>
          <t>○</t>
        </is>
      </c>
      <c r="Q1138" t="inlineStr">
        <is>
          <t>1</t>
        </is>
      </c>
    </row>
    <row r="1139" ht="15" customHeight="1" s="37">
      <c r="A1139" t="n">
        <v>15</v>
      </c>
      <c r="B1139" s="10" t="inlineStr">
        <is>
          <t>休日</t>
        </is>
      </c>
      <c r="C1139" s="10" t="inlineStr">
        <is>
          <t>本線</t>
        </is>
      </c>
      <c r="D1139" s="10" t="inlineStr">
        <is>
          <t>上り</t>
        </is>
      </c>
      <c r="E1139" t="inlineStr">
        <is>
          <t>1910</t>
        </is>
      </c>
      <c r="F1139" t="inlineStr">
        <is>
          <t>0221</t>
        </is>
      </c>
      <c r="G1139" s="10" t="inlineStr">
        <is>
          <t>嵐山</t>
        </is>
      </c>
      <c r="H1139" s="10" t="inlineStr">
        <is>
          <t>発</t>
        </is>
      </c>
      <c r="J1139" s="10" t="inlineStr">
        <is>
          <t>営業</t>
        </is>
      </c>
      <c r="M1139" t="inlineStr">
        <is>
          <t>19:43:00</t>
        </is>
      </c>
      <c r="Q1139" t="inlineStr">
        <is>
          <t>1</t>
        </is>
      </c>
    </row>
    <row r="1140" ht="15" customHeight="1" s="37">
      <c r="A1140" t="n">
        <v>15</v>
      </c>
      <c r="B1140" s="10" t="inlineStr">
        <is>
          <t>休日</t>
        </is>
      </c>
      <c r="C1140" s="10" t="inlineStr">
        <is>
          <t>本線</t>
        </is>
      </c>
      <c r="D1140" s="10" t="inlineStr">
        <is>
          <t>上り</t>
        </is>
      </c>
      <c r="E1140" t="inlineStr">
        <is>
          <t>1910</t>
        </is>
      </c>
      <c r="F1140" t="inlineStr">
        <is>
          <t>0221</t>
        </is>
      </c>
      <c r="G1140" s="10" t="inlineStr">
        <is>
          <t>嵯峨</t>
        </is>
      </c>
      <c r="H1140" s="10" t="inlineStr">
        <is>
          <t>発</t>
        </is>
      </c>
      <c r="J1140" s="10" t="inlineStr">
        <is>
          <t>営業</t>
        </is>
      </c>
      <c r="L1140" t="inlineStr">
        <is>
          <t>19:43:55</t>
        </is>
      </c>
      <c r="M1140" t="inlineStr">
        <is>
          <t>19:44:20</t>
        </is>
      </c>
    </row>
    <row r="1141" ht="15" customHeight="1" s="37">
      <c r="A1141" t="n">
        <v>15</v>
      </c>
      <c r="B1141" s="10" t="inlineStr">
        <is>
          <t>休日</t>
        </is>
      </c>
      <c r="C1141" s="10" t="inlineStr">
        <is>
          <t>本線</t>
        </is>
      </c>
      <c r="D1141" s="10" t="inlineStr">
        <is>
          <t>上り</t>
        </is>
      </c>
      <c r="E1141" t="inlineStr">
        <is>
          <t>1910</t>
        </is>
      </c>
      <c r="F1141" t="inlineStr">
        <is>
          <t>0221</t>
        </is>
      </c>
      <c r="G1141" s="10" t="inlineStr">
        <is>
          <t>鹿王院</t>
        </is>
      </c>
      <c r="H1141" s="10" t="inlineStr">
        <is>
          <t>発</t>
        </is>
      </c>
      <c r="J1141" s="10" t="inlineStr">
        <is>
          <t>営業</t>
        </is>
      </c>
      <c r="L1141" t="inlineStr">
        <is>
          <t>19:45:25</t>
        </is>
      </c>
      <c r="M1141" t="inlineStr">
        <is>
          <t>19:45:45</t>
        </is>
      </c>
    </row>
    <row r="1142" ht="15" customHeight="1" s="37">
      <c r="A1142" t="n">
        <v>15</v>
      </c>
      <c r="B1142" s="10" t="inlineStr">
        <is>
          <t>休日</t>
        </is>
      </c>
      <c r="C1142" s="10" t="inlineStr">
        <is>
          <t>本線</t>
        </is>
      </c>
      <c r="D1142" s="10" t="inlineStr">
        <is>
          <t>上り</t>
        </is>
      </c>
      <c r="E1142" t="inlineStr">
        <is>
          <t>1910</t>
        </is>
      </c>
      <c r="F1142" t="inlineStr">
        <is>
          <t>0221</t>
        </is>
      </c>
      <c r="G1142" s="10" t="inlineStr">
        <is>
          <t>車折</t>
        </is>
      </c>
      <c r="H1142" s="10" t="inlineStr">
        <is>
          <t>発</t>
        </is>
      </c>
      <c r="J1142" s="10" t="inlineStr">
        <is>
          <t>営業</t>
        </is>
      </c>
      <c r="L1142" t="inlineStr">
        <is>
          <t>19:46:40</t>
        </is>
      </c>
      <c r="M1142" t="inlineStr">
        <is>
          <t>19:47:10</t>
        </is>
      </c>
    </row>
    <row r="1143" ht="15" customHeight="1" s="37">
      <c r="A1143" t="n">
        <v>15</v>
      </c>
      <c r="B1143" s="10" t="inlineStr">
        <is>
          <t>休日</t>
        </is>
      </c>
      <c r="C1143" s="10" t="inlineStr">
        <is>
          <t>本線</t>
        </is>
      </c>
      <c r="D1143" s="10" t="inlineStr">
        <is>
          <t>上り</t>
        </is>
      </c>
      <c r="E1143" t="inlineStr">
        <is>
          <t>1910</t>
        </is>
      </c>
      <c r="F1143" t="inlineStr">
        <is>
          <t>0221</t>
        </is>
      </c>
      <c r="G1143" s="10" t="inlineStr">
        <is>
          <t>有栖川</t>
        </is>
      </c>
      <c r="H1143" s="10" t="inlineStr">
        <is>
          <t>発</t>
        </is>
      </c>
      <c r="J1143" s="10" t="inlineStr">
        <is>
          <t>営業</t>
        </is>
      </c>
      <c r="L1143" t="inlineStr">
        <is>
          <t>19:48:35</t>
        </is>
      </c>
      <c r="M1143" t="inlineStr">
        <is>
          <t>19:48:55</t>
        </is>
      </c>
    </row>
    <row r="1144" ht="15" customHeight="1" s="37">
      <c r="A1144" t="n">
        <v>15</v>
      </c>
      <c r="B1144" s="10" t="inlineStr">
        <is>
          <t>休日</t>
        </is>
      </c>
      <c r="C1144" s="10" t="inlineStr">
        <is>
          <t>本線</t>
        </is>
      </c>
      <c r="D1144" s="10" t="inlineStr">
        <is>
          <t>上り</t>
        </is>
      </c>
      <c r="E1144" t="inlineStr">
        <is>
          <t>1910</t>
        </is>
      </c>
      <c r="F1144" t="inlineStr">
        <is>
          <t>0221</t>
        </is>
      </c>
      <c r="G1144" s="10" t="inlineStr">
        <is>
          <t>帷子ノ辻</t>
        </is>
      </c>
      <c r="H1144" s="10" t="inlineStr">
        <is>
          <t>発</t>
        </is>
      </c>
      <c r="J1144" s="10" t="inlineStr">
        <is>
          <t>営業</t>
        </is>
      </c>
      <c r="L1144" t="inlineStr">
        <is>
          <t>19:50:10</t>
        </is>
      </c>
      <c r="M1144" t="inlineStr">
        <is>
          <t>19:51:15</t>
        </is>
      </c>
    </row>
    <row r="1145" ht="15" customHeight="1" s="37">
      <c r="A1145" t="n">
        <v>15</v>
      </c>
      <c r="B1145" s="10" t="inlineStr">
        <is>
          <t>休日</t>
        </is>
      </c>
      <c r="C1145" s="10" t="inlineStr">
        <is>
          <t>本線</t>
        </is>
      </c>
      <c r="D1145" s="10" t="inlineStr">
        <is>
          <t>上り</t>
        </is>
      </c>
      <c r="E1145" t="inlineStr">
        <is>
          <t>1910</t>
        </is>
      </c>
      <c r="F1145" t="inlineStr">
        <is>
          <t>0221</t>
        </is>
      </c>
      <c r="G1145" s="10" t="inlineStr">
        <is>
          <t>太秦広隆寺</t>
        </is>
      </c>
      <c r="H1145" s="10" t="inlineStr">
        <is>
          <t>発</t>
        </is>
      </c>
      <c r="J1145" s="10" t="inlineStr">
        <is>
          <t>営業</t>
        </is>
      </c>
      <c r="L1145" t="inlineStr">
        <is>
          <t>19:53:25</t>
        </is>
      </c>
      <c r="M1145" t="inlineStr">
        <is>
          <t>19:53:45</t>
        </is>
      </c>
    </row>
    <row r="1146" ht="15" customHeight="1" s="37">
      <c r="A1146" t="n">
        <v>15</v>
      </c>
      <c r="B1146" s="10" t="inlineStr">
        <is>
          <t>休日</t>
        </is>
      </c>
      <c r="C1146" s="10" t="inlineStr">
        <is>
          <t>本線</t>
        </is>
      </c>
      <c r="D1146" s="10" t="inlineStr">
        <is>
          <t>上り</t>
        </is>
      </c>
      <c r="E1146" t="inlineStr">
        <is>
          <t>1910</t>
        </is>
      </c>
      <c r="F1146" t="inlineStr">
        <is>
          <t>0221</t>
        </is>
      </c>
      <c r="G1146" s="10" t="inlineStr">
        <is>
          <t>蚕ノ社</t>
        </is>
      </c>
      <c r="H1146" s="10" t="inlineStr">
        <is>
          <t>発</t>
        </is>
      </c>
      <c r="J1146" s="10" t="inlineStr">
        <is>
          <t>営業</t>
        </is>
      </c>
      <c r="L1146" t="inlineStr">
        <is>
          <t>19:55:00</t>
        </is>
      </c>
      <c r="M1146" t="inlineStr">
        <is>
          <t>19:55:20</t>
        </is>
      </c>
    </row>
    <row r="1147" ht="15" customHeight="1" s="37">
      <c r="A1147" t="n">
        <v>15</v>
      </c>
      <c r="B1147" s="10" t="inlineStr">
        <is>
          <t>休日</t>
        </is>
      </c>
      <c r="C1147" s="10" t="inlineStr">
        <is>
          <t>本線</t>
        </is>
      </c>
      <c r="D1147" s="10" t="inlineStr">
        <is>
          <t>上り</t>
        </is>
      </c>
      <c r="E1147" t="inlineStr">
        <is>
          <t>1910</t>
        </is>
      </c>
      <c r="F1147" t="inlineStr">
        <is>
          <t>0221</t>
        </is>
      </c>
      <c r="G1147" s="10" t="inlineStr">
        <is>
          <t>天神川</t>
        </is>
      </c>
      <c r="H1147" s="10" t="inlineStr">
        <is>
          <t>発</t>
        </is>
      </c>
      <c r="J1147" s="10" t="inlineStr">
        <is>
          <t>営業</t>
        </is>
      </c>
      <c r="L1147" t="inlineStr">
        <is>
          <t>19:56:05</t>
        </is>
      </c>
      <c r="M1147" t="inlineStr">
        <is>
          <t>19:56:50</t>
        </is>
      </c>
    </row>
    <row r="1148" ht="15" customHeight="1" s="37">
      <c r="A1148" t="n">
        <v>15</v>
      </c>
      <c r="B1148" s="10" t="inlineStr">
        <is>
          <t>休日</t>
        </is>
      </c>
      <c r="C1148" s="10" t="inlineStr">
        <is>
          <t>本線</t>
        </is>
      </c>
      <c r="D1148" s="10" t="inlineStr">
        <is>
          <t>上り</t>
        </is>
      </c>
      <c r="E1148" t="inlineStr">
        <is>
          <t>1910</t>
        </is>
      </c>
      <c r="F1148" t="inlineStr">
        <is>
          <t>0221</t>
        </is>
      </c>
      <c r="G1148" s="10" t="inlineStr">
        <is>
          <t>山ノ内</t>
        </is>
      </c>
      <c r="H1148" s="10" t="inlineStr">
        <is>
          <t>発</t>
        </is>
      </c>
      <c r="J1148" s="10" t="inlineStr">
        <is>
          <t>営業</t>
        </is>
      </c>
      <c r="L1148" t="inlineStr">
        <is>
          <t>19:58:40</t>
        </is>
      </c>
      <c r="M1148" t="inlineStr">
        <is>
          <t>19:59:05</t>
        </is>
      </c>
    </row>
    <row r="1149" ht="15" customHeight="1" s="37">
      <c r="A1149" t="n">
        <v>15</v>
      </c>
      <c r="B1149" s="10" t="inlineStr">
        <is>
          <t>休日</t>
        </is>
      </c>
      <c r="C1149" s="10" t="inlineStr">
        <is>
          <t>本線</t>
        </is>
      </c>
      <c r="D1149" s="10" t="inlineStr">
        <is>
          <t>上り</t>
        </is>
      </c>
      <c r="E1149" t="inlineStr">
        <is>
          <t>1910</t>
        </is>
      </c>
      <c r="F1149" t="inlineStr">
        <is>
          <t>0221</t>
        </is>
      </c>
      <c r="G1149" s="10" t="inlineStr">
        <is>
          <t>西大路三条</t>
        </is>
      </c>
      <c r="H1149" s="10" t="inlineStr">
        <is>
          <t>発</t>
        </is>
      </c>
      <c r="J1149" s="10" t="inlineStr">
        <is>
          <t>営業</t>
        </is>
      </c>
      <c r="L1149" t="inlineStr">
        <is>
          <t>20:00:55</t>
        </is>
      </c>
      <c r="M1149" t="inlineStr">
        <is>
          <t>20:01:15</t>
        </is>
      </c>
    </row>
    <row r="1150" ht="15" customHeight="1" s="37">
      <c r="A1150" t="n">
        <v>15</v>
      </c>
      <c r="B1150" s="10" t="inlineStr">
        <is>
          <t>休日</t>
        </is>
      </c>
      <c r="C1150" s="10" t="inlineStr">
        <is>
          <t>本線</t>
        </is>
      </c>
      <c r="D1150" s="10" t="inlineStr">
        <is>
          <t>上り</t>
        </is>
      </c>
      <c r="E1150" t="inlineStr">
        <is>
          <t>1910</t>
        </is>
      </c>
      <c r="F1150" t="inlineStr">
        <is>
          <t>0221</t>
        </is>
      </c>
      <c r="G1150" s="10" t="inlineStr">
        <is>
          <t>西院</t>
        </is>
      </c>
      <c r="H1150" s="10" t="inlineStr">
        <is>
          <t>発</t>
        </is>
      </c>
      <c r="J1150" s="10" t="inlineStr">
        <is>
          <t>営業</t>
        </is>
      </c>
      <c r="L1150" t="inlineStr">
        <is>
          <t>20:03:10</t>
        </is>
      </c>
      <c r="M1150" t="inlineStr">
        <is>
          <t>20:04:05</t>
        </is>
      </c>
    </row>
    <row r="1151" ht="15" customHeight="1" s="37">
      <c r="A1151" t="n">
        <v>15</v>
      </c>
      <c r="B1151" s="10" t="inlineStr">
        <is>
          <t>休日</t>
        </is>
      </c>
      <c r="C1151" s="10" t="inlineStr">
        <is>
          <t>本線</t>
        </is>
      </c>
      <c r="D1151" s="10" t="inlineStr">
        <is>
          <t>上り</t>
        </is>
      </c>
      <c r="E1151" t="inlineStr">
        <is>
          <t>1910</t>
        </is>
      </c>
      <c r="F1151" t="inlineStr">
        <is>
          <t>0221</t>
        </is>
      </c>
      <c r="G1151" s="10" t="inlineStr">
        <is>
          <t>四条大宮</t>
        </is>
      </c>
      <c r="H1151" s="10" t="inlineStr">
        <is>
          <t>着</t>
        </is>
      </c>
      <c r="J1151" s="10" t="inlineStr">
        <is>
          <t>営業</t>
        </is>
      </c>
      <c r="L1151" t="inlineStr">
        <is>
          <t>20:07:00</t>
        </is>
      </c>
      <c r="N1151" t="inlineStr">
        <is>
          <t>○</t>
        </is>
      </c>
      <c r="Q1151" t="inlineStr">
        <is>
          <t>1</t>
        </is>
      </c>
    </row>
    <row r="1152" ht="15" customHeight="1" s="37">
      <c r="A1152" t="n">
        <v>15</v>
      </c>
      <c r="B1152" s="10" t="inlineStr">
        <is>
          <t>休日</t>
        </is>
      </c>
      <c r="C1152" s="10" t="inlineStr">
        <is>
          <t>本線</t>
        </is>
      </c>
      <c r="D1152" s="10" t="inlineStr">
        <is>
          <t>下り</t>
        </is>
      </c>
      <c r="E1152" t="inlineStr">
        <is>
          <t>2003</t>
        </is>
      </c>
      <c r="F1152" t="inlineStr">
        <is>
          <t>0122</t>
        </is>
      </c>
      <c r="G1152" s="10" t="inlineStr">
        <is>
          <t>四条大宮</t>
        </is>
      </c>
      <c r="H1152" s="10" t="inlineStr">
        <is>
          <t>発</t>
        </is>
      </c>
      <c r="J1152" s="10" t="inlineStr">
        <is>
          <t>営業</t>
        </is>
      </c>
      <c r="M1152" t="inlineStr">
        <is>
          <t>20:13:00</t>
        </is>
      </c>
      <c r="Q1152" t="inlineStr">
        <is>
          <t>1</t>
        </is>
      </c>
    </row>
    <row r="1153" ht="15" customHeight="1" s="37">
      <c r="A1153" t="n">
        <v>15</v>
      </c>
      <c r="B1153" s="10" t="inlineStr">
        <is>
          <t>休日</t>
        </is>
      </c>
      <c r="C1153" s="10" t="inlineStr">
        <is>
          <t>本線</t>
        </is>
      </c>
      <c r="D1153" s="10" t="inlineStr">
        <is>
          <t>下り</t>
        </is>
      </c>
      <c r="E1153" t="inlineStr">
        <is>
          <t>2003</t>
        </is>
      </c>
      <c r="F1153" t="inlineStr">
        <is>
          <t>0122</t>
        </is>
      </c>
      <c r="G1153" s="10" t="inlineStr">
        <is>
          <t>西院</t>
        </is>
      </c>
      <c r="H1153" s="10" t="inlineStr">
        <is>
          <t>発</t>
        </is>
      </c>
      <c r="J1153" s="10" t="inlineStr">
        <is>
          <t>営業</t>
        </is>
      </c>
      <c r="L1153" t="inlineStr">
        <is>
          <t>20:15:50</t>
        </is>
      </c>
      <c r="M1153" t="inlineStr">
        <is>
          <t>20:16:20</t>
        </is>
      </c>
    </row>
    <row r="1154" ht="15" customHeight="1" s="37">
      <c r="A1154" t="n">
        <v>15</v>
      </c>
      <c r="B1154" s="10" t="inlineStr">
        <is>
          <t>休日</t>
        </is>
      </c>
      <c r="C1154" s="10" t="inlineStr">
        <is>
          <t>本線</t>
        </is>
      </c>
      <c r="D1154" s="10" t="inlineStr">
        <is>
          <t>下り</t>
        </is>
      </c>
      <c r="E1154" t="inlineStr">
        <is>
          <t>2003</t>
        </is>
      </c>
      <c r="F1154" t="inlineStr">
        <is>
          <t>0122</t>
        </is>
      </c>
      <c r="G1154" s="10" t="inlineStr">
        <is>
          <t>西大路三条</t>
        </is>
      </c>
      <c r="H1154" s="10" t="inlineStr">
        <is>
          <t>発</t>
        </is>
      </c>
      <c r="J1154" s="10" t="inlineStr">
        <is>
          <t>営業</t>
        </is>
      </c>
      <c r="L1154" t="inlineStr">
        <is>
          <t>20:18:10</t>
        </is>
      </c>
      <c r="M1154" t="inlineStr">
        <is>
          <t>20:18:30</t>
        </is>
      </c>
    </row>
    <row r="1155" ht="15" customHeight="1" s="37">
      <c r="A1155" t="n">
        <v>15</v>
      </c>
      <c r="B1155" s="10" t="inlineStr">
        <is>
          <t>休日</t>
        </is>
      </c>
      <c r="C1155" s="10" t="inlineStr">
        <is>
          <t>本線</t>
        </is>
      </c>
      <c r="D1155" s="10" t="inlineStr">
        <is>
          <t>下り</t>
        </is>
      </c>
      <c r="E1155" t="inlineStr">
        <is>
          <t>2003</t>
        </is>
      </c>
      <c r="F1155" t="inlineStr">
        <is>
          <t>0122</t>
        </is>
      </c>
      <c r="G1155" s="10" t="inlineStr">
        <is>
          <t>山ノ内</t>
        </is>
      </c>
      <c r="H1155" s="10" t="inlineStr">
        <is>
          <t>発</t>
        </is>
      </c>
      <c r="J1155" s="10" t="inlineStr">
        <is>
          <t>営業</t>
        </is>
      </c>
      <c r="L1155" t="inlineStr">
        <is>
          <t>20:20:25</t>
        </is>
      </c>
      <c r="M1155" t="inlineStr">
        <is>
          <t>20:20:50</t>
        </is>
      </c>
    </row>
    <row r="1156" ht="15" customHeight="1" s="37">
      <c r="A1156" t="n">
        <v>15</v>
      </c>
      <c r="B1156" s="10" t="inlineStr">
        <is>
          <t>休日</t>
        </is>
      </c>
      <c r="C1156" s="10" t="inlineStr">
        <is>
          <t>本線</t>
        </is>
      </c>
      <c r="D1156" s="10" t="inlineStr">
        <is>
          <t>下り</t>
        </is>
      </c>
      <c r="E1156" t="inlineStr">
        <is>
          <t>2003</t>
        </is>
      </c>
      <c r="F1156" t="inlineStr">
        <is>
          <t>0122</t>
        </is>
      </c>
      <c r="G1156" s="10" t="inlineStr">
        <is>
          <t>天神川</t>
        </is>
      </c>
      <c r="H1156" s="10" t="inlineStr">
        <is>
          <t>発</t>
        </is>
      </c>
      <c r="J1156" s="10" t="inlineStr">
        <is>
          <t>営業</t>
        </is>
      </c>
      <c r="L1156" t="inlineStr">
        <is>
          <t>20:22:50</t>
        </is>
      </c>
      <c r="M1156" t="inlineStr">
        <is>
          <t>20:23:30</t>
        </is>
      </c>
    </row>
    <row r="1157" ht="15" customHeight="1" s="37">
      <c r="A1157" t="n">
        <v>15</v>
      </c>
      <c r="B1157" s="10" t="inlineStr">
        <is>
          <t>休日</t>
        </is>
      </c>
      <c r="C1157" s="10" t="inlineStr">
        <is>
          <t>本線</t>
        </is>
      </c>
      <c r="D1157" s="10" t="inlineStr">
        <is>
          <t>下り</t>
        </is>
      </c>
      <c r="E1157" t="inlineStr">
        <is>
          <t>2003</t>
        </is>
      </c>
      <c r="F1157" t="inlineStr">
        <is>
          <t>0122</t>
        </is>
      </c>
      <c r="G1157" s="10" t="inlineStr">
        <is>
          <t>蚕ノ社</t>
        </is>
      </c>
      <c r="H1157" s="10" t="inlineStr">
        <is>
          <t>発</t>
        </is>
      </c>
      <c r="J1157" s="10" t="inlineStr">
        <is>
          <t>営業</t>
        </is>
      </c>
      <c r="L1157" t="inlineStr">
        <is>
          <t>20:24:20</t>
        </is>
      </c>
      <c r="M1157" t="inlineStr">
        <is>
          <t>20:24:40</t>
        </is>
      </c>
    </row>
    <row r="1158" ht="15" customHeight="1" s="37">
      <c r="A1158" t="n">
        <v>15</v>
      </c>
      <c r="B1158" s="10" t="inlineStr">
        <is>
          <t>休日</t>
        </is>
      </c>
      <c r="C1158" s="10" t="inlineStr">
        <is>
          <t>本線</t>
        </is>
      </c>
      <c r="D1158" s="10" t="inlineStr">
        <is>
          <t>下り</t>
        </is>
      </c>
      <c r="E1158" t="inlineStr">
        <is>
          <t>2003</t>
        </is>
      </c>
      <c r="F1158" t="inlineStr">
        <is>
          <t>0122</t>
        </is>
      </c>
      <c r="G1158" s="10" t="inlineStr">
        <is>
          <t>太秦広隆寺</t>
        </is>
      </c>
      <c r="H1158" s="10" t="inlineStr">
        <is>
          <t>発</t>
        </is>
      </c>
      <c r="J1158" s="10" t="inlineStr">
        <is>
          <t>営業</t>
        </is>
      </c>
      <c r="L1158" t="inlineStr">
        <is>
          <t>20:26:00</t>
        </is>
      </c>
      <c r="M1158" t="inlineStr">
        <is>
          <t>20:26:20</t>
        </is>
      </c>
    </row>
    <row r="1159" ht="15" customHeight="1" s="37">
      <c r="A1159" t="n">
        <v>15</v>
      </c>
      <c r="B1159" s="10" t="inlineStr">
        <is>
          <t>休日</t>
        </is>
      </c>
      <c r="C1159" s="10" t="inlineStr">
        <is>
          <t>本線</t>
        </is>
      </c>
      <c r="D1159" s="10" t="inlineStr">
        <is>
          <t>下り</t>
        </is>
      </c>
      <c r="E1159" t="inlineStr">
        <is>
          <t>2003</t>
        </is>
      </c>
      <c r="F1159" t="inlineStr">
        <is>
          <t>0122</t>
        </is>
      </c>
      <c r="G1159" s="10" t="inlineStr">
        <is>
          <t>帷子ノ辻</t>
        </is>
      </c>
      <c r="H1159" s="10" t="inlineStr">
        <is>
          <t>発</t>
        </is>
      </c>
      <c r="J1159" s="10" t="inlineStr">
        <is>
          <t>営業</t>
        </is>
      </c>
      <c r="L1159" t="inlineStr">
        <is>
          <t>20:28:20</t>
        </is>
      </c>
      <c r="M1159" t="inlineStr">
        <is>
          <t>20:29:40</t>
        </is>
      </c>
    </row>
    <row r="1160" ht="15" customHeight="1" s="37">
      <c r="A1160" t="n">
        <v>15</v>
      </c>
      <c r="B1160" s="10" t="inlineStr">
        <is>
          <t>休日</t>
        </is>
      </c>
      <c r="C1160" s="10" t="inlineStr">
        <is>
          <t>本線</t>
        </is>
      </c>
      <c r="D1160" s="10" t="inlineStr">
        <is>
          <t>下り</t>
        </is>
      </c>
      <c r="E1160" t="inlineStr">
        <is>
          <t>2003</t>
        </is>
      </c>
      <c r="F1160" t="inlineStr">
        <is>
          <t>0122</t>
        </is>
      </c>
      <c r="G1160" s="10" t="inlineStr">
        <is>
          <t>有栖川</t>
        </is>
      </c>
      <c r="H1160" s="10" t="inlineStr">
        <is>
          <t>発</t>
        </is>
      </c>
      <c r="J1160" s="10" t="inlineStr">
        <is>
          <t>営業</t>
        </is>
      </c>
      <c r="L1160" t="inlineStr">
        <is>
          <t>20:30:50</t>
        </is>
      </c>
      <c r="M1160" t="inlineStr">
        <is>
          <t>20:31:15</t>
        </is>
      </c>
    </row>
    <row r="1161" ht="15" customHeight="1" s="37">
      <c r="A1161" t="n">
        <v>15</v>
      </c>
      <c r="B1161" s="10" t="inlineStr">
        <is>
          <t>休日</t>
        </is>
      </c>
      <c r="C1161" s="10" t="inlineStr">
        <is>
          <t>本線</t>
        </is>
      </c>
      <c r="D1161" s="10" t="inlineStr">
        <is>
          <t>下り</t>
        </is>
      </c>
      <c r="E1161" t="inlineStr">
        <is>
          <t>2003</t>
        </is>
      </c>
      <c r="F1161" t="inlineStr">
        <is>
          <t>0122</t>
        </is>
      </c>
      <c r="G1161" s="10" t="inlineStr">
        <is>
          <t>車折</t>
        </is>
      </c>
      <c r="H1161" s="10" t="inlineStr">
        <is>
          <t>発</t>
        </is>
      </c>
      <c r="J1161" s="10" t="inlineStr">
        <is>
          <t>営業</t>
        </is>
      </c>
      <c r="L1161" t="inlineStr">
        <is>
          <t>20:32:40</t>
        </is>
      </c>
      <c r="M1161" t="inlineStr">
        <is>
          <t>20:33:05</t>
        </is>
      </c>
    </row>
    <row r="1162" ht="15" customHeight="1" s="37">
      <c r="A1162" t="n">
        <v>15</v>
      </c>
      <c r="B1162" s="10" t="inlineStr">
        <is>
          <t>休日</t>
        </is>
      </c>
      <c r="C1162" s="10" t="inlineStr">
        <is>
          <t>本線</t>
        </is>
      </c>
      <c r="D1162" s="10" t="inlineStr">
        <is>
          <t>下り</t>
        </is>
      </c>
      <c r="E1162" t="inlineStr">
        <is>
          <t>2003</t>
        </is>
      </c>
      <c r="F1162" t="inlineStr">
        <is>
          <t>0122</t>
        </is>
      </c>
      <c r="G1162" s="10" t="inlineStr">
        <is>
          <t>鹿王院</t>
        </is>
      </c>
      <c r="H1162" s="10" t="inlineStr">
        <is>
          <t>発</t>
        </is>
      </c>
      <c r="J1162" s="10" t="inlineStr">
        <is>
          <t>営業</t>
        </is>
      </c>
      <c r="L1162" t="inlineStr">
        <is>
          <t>20:34:00</t>
        </is>
      </c>
      <c r="M1162" t="inlineStr">
        <is>
          <t>20:34:25</t>
        </is>
      </c>
    </row>
    <row r="1163" ht="15" customHeight="1" s="37">
      <c r="A1163" t="n">
        <v>15</v>
      </c>
      <c r="B1163" s="10" t="inlineStr">
        <is>
          <t>休日</t>
        </is>
      </c>
      <c r="C1163" s="10" t="inlineStr">
        <is>
          <t>本線</t>
        </is>
      </c>
      <c r="D1163" s="10" t="inlineStr">
        <is>
          <t>下り</t>
        </is>
      </c>
      <c r="E1163" t="inlineStr">
        <is>
          <t>2003</t>
        </is>
      </c>
      <c r="F1163" t="inlineStr">
        <is>
          <t>0122</t>
        </is>
      </c>
      <c r="G1163" s="10" t="inlineStr">
        <is>
          <t>嵯峨</t>
        </is>
      </c>
      <c r="H1163" s="10" t="inlineStr">
        <is>
          <t>発</t>
        </is>
      </c>
      <c r="J1163" s="10" t="inlineStr">
        <is>
          <t>営業</t>
        </is>
      </c>
      <c r="L1163" t="inlineStr">
        <is>
          <t>20:35:30</t>
        </is>
      </c>
      <c r="M1163" t="inlineStr">
        <is>
          <t>20:35:55</t>
        </is>
      </c>
    </row>
    <row r="1164" ht="15" customHeight="1" s="37">
      <c r="A1164" t="n">
        <v>15</v>
      </c>
      <c r="B1164" s="10" t="inlineStr">
        <is>
          <t>休日</t>
        </is>
      </c>
      <c r="C1164" s="10" t="inlineStr">
        <is>
          <t>本線</t>
        </is>
      </c>
      <c r="D1164" s="10" t="inlineStr">
        <is>
          <t>下り</t>
        </is>
      </c>
      <c r="E1164" t="inlineStr">
        <is>
          <t>2003</t>
        </is>
      </c>
      <c r="F1164" t="inlineStr">
        <is>
          <t>0122</t>
        </is>
      </c>
      <c r="G1164" s="10" t="inlineStr">
        <is>
          <t>嵐山</t>
        </is>
      </c>
      <c r="H1164" s="10" t="inlineStr">
        <is>
          <t>着</t>
        </is>
      </c>
      <c r="J1164" s="10" t="inlineStr">
        <is>
          <t>営業</t>
        </is>
      </c>
      <c r="L1164" t="inlineStr">
        <is>
          <t>20:37:00</t>
        </is>
      </c>
      <c r="N1164" t="inlineStr">
        <is>
          <t>○</t>
        </is>
      </c>
      <c r="Q1164" t="inlineStr">
        <is>
          <t>1</t>
        </is>
      </c>
    </row>
    <row r="1165" ht="15" customHeight="1" s="37">
      <c r="A1165" t="n">
        <v>15</v>
      </c>
      <c r="B1165" s="10" t="inlineStr">
        <is>
          <t>休日</t>
        </is>
      </c>
      <c r="C1165" s="10" t="inlineStr">
        <is>
          <t>本線</t>
        </is>
      </c>
      <c r="D1165" s="10" t="inlineStr">
        <is>
          <t>上り</t>
        </is>
      </c>
      <c r="E1165" t="inlineStr">
        <is>
          <t>2010</t>
        </is>
      </c>
      <c r="F1165" t="inlineStr">
        <is>
          <t>0221</t>
        </is>
      </c>
      <c r="G1165" s="10" t="inlineStr">
        <is>
          <t>嵐山</t>
        </is>
      </c>
      <c r="H1165" s="10" t="inlineStr">
        <is>
          <t>発</t>
        </is>
      </c>
      <c r="J1165" s="10" t="inlineStr">
        <is>
          <t>営業</t>
        </is>
      </c>
      <c r="M1165" t="inlineStr">
        <is>
          <t>20:44:00</t>
        </is>
      </c>
      <c r="Q1165" t="inlineStr">
        <is>
          <t>1</t>
        </is>
      </c>
      <c r="U1165" t="inlineStr">
        <is>
          <t>→西院 休憩(21:02〜22:15)</t>
        </is>
      </c>
    </row>
    <row r="1166" ht="15" customHeight="1" s="37">
      <c r="A1166" t="n">
        <v>15</v>
      </c>
      <c r="B1166" s="10" t="inlineStr">
        <is>
          <t>休日</t>
        </is>
      </c>
      <c r="C1166" s="10" t="inlineStr">
        <is>
          <t>本線</t>
        </is>
      </c>
      <c r="D1166" s="10" t="inlineStr">
        <is>
          <t>上り</t>
        </is>
      </c>
      <c r="E1166" t="inlineStr">
        <is>
          <t>2010</t>
        </is>
      </c>
      <c r="F1166" t="inlineStr">
        <is>
          <t>0221</t>
        </is>
      </c>
      <c r="G1166" s="10" t="inlineStr">
        <is>
          <t>嵯峨</t>
        </is>
      </c>
      <c r="H1166" s="10" t="inlineStr">
        <is>
          <t>発</t>
        </is>
      </c>
      <c r="J1166" s="10" t="inlineStr">
        <is>
          <t>営業</t>
        </is>
      </c>
      <c r="L1166" t="inlineStr">
        <is>
          <t>20:44:55</t>
        </is>
      </c>
      <c r="M1166" t="inlineStr">
        <is>
          <t>20:45:10</t>
        </is>
      </c>
      <c r="U1166" t="inlineStr">
        <is>
          <t>→西院 休憩(21:02〜22:15)</t>
        </is>
      </c>
    </row>
    <row r="1167" ht="15" customHeight="1" s="37">
      <c r="A1167" t="n">
        <v>15</v>
      </c>
      <c r="B1167" s="10" t="inlineStr">
        <is>
          <t>休日</t>
        </is>
      </c>
      <c r="C1167" s="10" t="inlineStr">
        <is>
          <t>本線</t>
        </is>
      </c>
      <c r="D1167" s="10" t="inlineStr">
        <is>
          <t>上り</t>
        </is>
      </c>
      <c r="E1167" t="inlineStr">
        <is>
          <t>2010</t>
        </is>
      </c>
      <c r="F1167" t="inlineStr">
        <is>
          <t>0221</t>
        </is>
      </c>
      <c r="G1167" s="10" t="inlineStr">
        <is>
          <t>鹿王院</t>
        </is>
      </c>
      <c r="H1167" s="10" t="inlineStr">
        <is>
          <t>発</t>
        </is>
      </c>
      <c r="J1167" s="10" t="inlineStr">
        <is>
          <t>営業</t>
        </is>
      </c>
      <c r="L1167" t="inlineStr">
        <is>
          <t>20:46:15</t>
        </is>
      </c>
      <c r="M1167" t="inlineStr">
        <is>
          <t>20:46:30</t>
        </is>
      </c>
      <c r="U1167" t="inlineStr">
        <is>
          <t>→西院 休憩(21:02〜22:15)</t>
        </is>
      </c>
    </row>
    <row r="1168" ht="15" customHeight="1" s="37">
      <c r="A1168" t="n">
        <v>15</v>
      </c>
      <c r="B1168" s="10" t="inlineStr">
        <is>
          <t>休日</t>
        </is>
      </c>
      <c r="C1168" s="10" t="inlineStr">
        <is>
          <t>本線</t>
        </is>
      </c>
      <c r="D1168" s="10" t="inlineStr">
        <is>
          <t>上り</t>
        </is>
      </c>
      <c r="E1168" t="inlineStr">
        <is>
          <t>2010</t>
        </is>
      </c>
      <c r="F1168" t="inlineStr">
        <is>
          <t>0221</t>
        </is>
      </c>
      <c r="G1168" s="10" t="inlineStr">
        <is>
          <t>車折</t>
        </is>
      </c>
      <c r="H1168" s="10" t="inlineStr">
        <is>
          <t>発</t>
        </is>
      </c>
      <c r="J1168" s="10" t="inlineStr">
        <is>
          <t>営業</t>
        </is>
      </c>
      <c r="L1168" t="inlineStr">
        <is>
          <t>20:47:25</t>
        </is>
      </c>
      <c r="M1168" t="inlineStr">
        <is>
          <t>20:47:40</t>
        </is>
      </c>
      <c r="U1168" t="inlineStr">
        <is>
          <t>→西院 休憩(21:02〜22:15)</t>
        </is>
      </c>
    </row>
    <row r="1169" ht="15" customHeight="1" s="37">
      <c r="A1169" t="n">
        <v>15</v>
      </c>
      <c r="B1169" s="10" t="inlineStr">
        <is>
          <t>休日</t>
        </is>
      </c>
      <c r="C1169" s="10" t="inlineStr">
        <is>
          <t>本線</t>
        </is>
      </c>
      <c r="D1169" s="10" t="inlineStr">
        <is>
          <t>上り</t>
        </is>
      </c>
      <c r="E1169" t="inlineStr">
        <is>
          <t>2010</t>
        </is>
      </c>
      <c r="F1169" t="inlineStr">
        <is>
          <t>0221</t>
        </is>
      </c>
      <c r="G1169" s="10" t="inlineStr">
        <is>
          <t>有栖川</t>
        </is>
      </c>
      <c r="H1169" s="10" t="inlineStr">
        <is>
          <t>発</t>
        </is>
      </c>
      <c r="J1169" s="10" t="inlineStr">
        <is>
          <t>営業</t>
        </is>
      </c>
      <c r="L1169" t="inlineStr">
        <is>
          <t>20:49:05</t>
        </is>
      </c>
      <c r="M1169" t="inlineStr">
        <is>
          <t>20:49:20</t>
        </is>
      </c>
      <c r="U1169" t="inlineStr">
        <is>
          <t>→西院 休憩(21:02〜22:15)</t>
        </is>
      </c>
    </row>
    <row r="1170" ht="15" customHeight="1" s="37">
      <c r="A1170" t="n">
        <v>15</v>
      </c>
      <c r="B1170" s="10" t="inlineStr">
        <is>
          <t>休日</t>
        </is>
      </c>
      <c r="C1170" s="10" t="inlineStr">
        <is>
          <t>本線</t>
        </is>
      </c>
      <c r="D1170" s="10" t="inlineStr">
        <is>
          <t>上り</t>
        </is>
      </c>
      <c r="E1170" t="inlineStr">
        <is>
          <t>2010</t>
        </is>
      </c>
      <c r="F1170" t="inlineStr">
        <is>
          <t>0221</t>
        </is>
      </c>
      <c r="G1170" s="10" t="inlineStr">
        <is>
          <t>帷子ノ辻</t>
        </is>
      </c>
      <c r="H1170" s="10" t="inlineStr">
        <is>
          <t>発</t>
        </is>
      </c>
      <c r="J1170" s="10" t="inlineStr">
        <is>
          <t>営業</t>
        </is>
      </c>
      <c r="L1170" t="inlineStr">
        <is>
          <t>20:50:35</t>
        </is>
      </c>
      <c r="M1170" t="inlineStr">
        <is>
          <t>20:51:05</t>
        </is>
      </c>
      <c r="U1170" t="inlineStr">
        <is>
          <t>→西院 休憩(21:02〜22:15)</t>
        </is>
      </c>
    </row>
    <row r="1171" ht="15" customHeight="1" s="37">
      <c r="A1171" t="n">
        <v>15</v>
      </c>
      <c r="B1171" s="10" t="inlineStr">
        <is>
          <t>休日</t>
        </is>
      </c>
      <c r="C1171" s="10" t="inlineStr">
        <is>
          <t>本線</t>
        </is>
      </c>
      <c r="D1171" s="10" t="inlineStr">
        <is>
          <t>上り</t>
        </is>
      </c>
      <c r="E1171" t="inlineStr">
        <is>
          <t>2010</t>
        </is>
      </c>
      <c r="F1171" t="inlineStr">
        <is>
          <t>0221</t>
        </is>
      </c>
      <c r="G1171" s="10" t="inlineStr">
        <is>
          <t>太秦広隆寺</t>
        </is>
      </c>
      <c r="H1171" s="10" t="inlineStr">
        <is>
          <t>発</t>
        </is>
      </c>
      <c r="J1171" s="10" t="inlineStr">
        <is>
          <t>営業</t>
        </is>
      </c>
      <c r="L1171" t="inlineStr">
        <is>
          <t>20:53:15</t>
        </is>
      </c>
      <c r="M1171" t="inlineStr">
        <is>
          <t>20:53:35</t>
        </is>
      </c>
      <c r="U1171" t="inlineStr">
        <is>
          <t>→西院 休憩(21:02〜22:15)</t>
        </is>
      </c>
    </row>
    <row r="1172" ht="15" customHeight="1" s="37">
      <c r="A1172" t="n">
        <v>15</v>
      </c>
      <c r="B1172" s="10" t="inlineStr">
        <is>
          <t>休日</t>
        </is>
      </c>
      <c r="C1172" s="10" t="inlineStr">
        <is>
          <t>本線</t>
        </is>
      </c>
      <c r="D1172" s="10" t="inlineStr">
        <is>
          <t>上り</t>
        </is>
      </c>
      <c r="E1172" t="inlineStr">
        <is>
          <t>2010</t>
        </is>
      </c>
      <c r="F1172" t="inlineStr">
        <is>
          <t>0221</t>
        </is>
      </c>
      <c r="G1172" s="10" t="inlineStr">
        <is>
          <t>蚕ノ社</t>
        </is>
      </c>
      <c r="H1172" s="10" t="inlineStr">
        <is>
          <t>発</t>
        </is>
      </c>
      <c r="J1172" s="10" t="inlineStr">
        <is>
          <t>営業</t>
        </is>
      </c>
      <c r="L1172" t="inlineStr">
        <is>
          <t>20:54:50</t>
        </is>
      </c>
      <c r="M1172" t="inlineStr">
        <is>
          <t>20:55:10</t>
        </is>
      </c>
      <c r="U1172" t="inlineStr">
        <is>
          <t>→西院 休憩(21:02〜22:15)</t>
        </is>
      </c>
    </row>
    <row r="1173" ht="15" customHeight="1" s="37">
      <c r="A1173" t="n">
        <v>15</v>
      </c>
      <c r="B1173" s="10" t="inlineStr">
        <is>
          <t>休日</t>
        </is>
      </c>
      <c r="C1173" s="10" t="inlineStr">
        <is>
          <t>本線</t>
        </is>
      </c>
      <c r="D1173" s="10" t="inlineStr">
        <is>
          <t>上り</t>
        </is>
      </c>
      <c r="E1173" t="inlineStr">
        <is>
          <t>2010</t>
        </is>
      </c>
      <c r="F1173" t="inlineStr">
        <is>
          <t>0221</t>
        </is>
      </c>
      <c r="G1173" s="10" t="inlineStr">
        <is>
          <t>天神川</t>
        </is>
      </c>
      <c r="H1173" s="10" t="inlineStr">
        <is>
          <t>発</t>
        </is>
      </c>
      <c r="J1173" s="10" t="inlineStr">
        <is>
          <t>営業</t>
        </is>
      </c>
      <c r="L1173" t="inlineStr">
        <is>
          <t>20:55:55</t>
        </is>
      </c>
      <c r="M1173" t="inlineStr">
        <is>
          <t>20:56:20</t>
        </is>
      </c>
      <c r="U1173" t="inlineStr">
        <is>
          <t>→西院 休憩(21:02〜22:15)</t>
        </is>
      </c>
    </row>
    <row r="1174" ht="15" customHeight="1" s="37">
      <c r="A1174" t="n">
        <v>15</v>
      </c>
      <c r="B1174" s="10" t="inlineStr">
        <is>
          <t>休日</t>
        </is>
      </c>
      <c r="C1174" s="10" t="inlineStr">
        <is>
          <t>本線</t>
        </is>
      </c>
      <c r="D1174" s="10" t="inlineStr">
        <is>
          <t>上り</t>
        </is>
      </c>
      <c r="E1174" t="inlineStr">
        <is>
          <t>2010</t>
        </is>
      </c>
      <c r="F1174" t="inlineStr">
        <is>
          <t>0221</t>
        </is>
      </c>
      <c r="G1174" s="10" t="inlineStr">
        <is>
          <t>山ノ内</t>
        </is>
      </c>
      <c r="H1174" s="10" t="inlineStr">
        <is>
          <t>発</t>
        </is>
      </c>
      <c r="J1174" s="10" t="inlineStr">
        <is>
          <t>営業</t>
        </is>
      </c>
      <c r="L1174" t="inlineStr">
        <is>
          <t>20:58:10</t>
        </is>
      </c>
      <c r="M1174" t="inlineStr">
        <is>
          <t>20:58:35</t>
        </is>
      </c>
      <c r="U1174" t="inlineStr">
        <is>
          <t>→西院 休憩(21:02〜22:15)</t>
        </is>
      </c>
    </row>
    <row r="1175" ht="15" customHeight="1" s="37">
      <c r="A1175" t="n">
        <v>15</v>
      </c>
      <c r="B1175" s="10" t="inlineStr">
        <is>
          <t>休日</t>
        </is>
      </c>
      <c r="C1175" s="10" t="inlineStr">
        <is>
          <t>本線</t>
        </is>
      </c>
      <c r="D1175" s="10" t="inlineStr">
        <is>
          <t>上り</t>
        </is>
      </c>
      <c r="E1175" t="inlineStr">
        <is>
          <t>2010</t>
        </is>
      </c>
      <c r="F1175" t="inlineStr">
        <is>
          <t>0221</t>
        </is>
      </c>
      <c r="G1175" s="10" t="inlineStr">
        <is>
          <t>西大路三条</t>
        </is>
      </c>
      <c r="H1175" s="10" t="inlineStr">
        <is>
          <t>発</t>
        </is>
      </c>
      <c r="J1175" s="10" t="inlineStr">
        <is>
          <t>営業</t>
        </is>
      </c>
      <c r="L1175" t="inlineStr">
        <is>
          <t>21:00:25</t>
        </is>
      </c>
      <c r="M1175" t="inlineStr">
        <is>
          <t>21:00:40</t>
        </is>
      </c>
      <c r="U1175" t="inlineStr">
        <is>
          <t>→西院 休憩(21:02〜22:15)</t>
        </is>
      </c>
    </row>
    <row r="1176" ht="15" customHeight="1" s="37">
      <c r="A1176" t="n">
        <v>15</v>
      </c>
      <c r="B1176" s="10" t="inlineStr">
        <is>
          <t>休日</t>
        </is>
      </c>
      <c r="C1176" s="10" t="inlineStr">
        <is>
          <t>本線</t>
        </is>
      </c>
      <c r="D1176" s="10" t="inlineStr">
        <is>
          <t>上り</t>
        </is>
      </c>
      <c r="E1176" t="inlineStr">
        <is>
          <t>2010</t>
        </is>
      </c>
      <c r="F1176" t="inlineStr">
        <is>
          <t>0221</t>
        </is>
      </c>
      <c r="G1176" s="10" t="inlineStr">
        <is>
          <t>西院</t>
        </is>
      </c>
      <c r="H1176" s="10" t="inlineStr">
        <is>
          <t>着</t>
        </is>
      </c>
      <c r="J1176" s="10" t="inlineStr">
        <is>
          <t>営業</t>
        </is>
      </c>
      <c r="L1176" t="inlineStr">
        <is>
          <t>21:02:35</t>
        </is>
      </c>
      <c r="M1176" t="inlineStr">
        <is>
          <t>21:03:05</t>
        </is>
      </c>
      <c r="U1176" t="inlineStr">
        <is>
          <t>→西院 休憩(21:02〜22:15)</t>
        </is>
      </c>
    </row>
    <row r="1177" ht="15" customHeight="1" s="37">
      <c r="A1177" t="n">
        <v>15</v>
      </c>
      <c r="B1177" s="10" t="inlineStr">
        <is>
          <t>休日</t>
        </is>
      </c>
      <c r="C1177" s="10" t="inlineStr">
        <is>
          <t>本線</t>
        </is>
      </c>
      <c r="D1177" s="10" t="inlineStr">
        <is>
          <t>下り</t>
        </is>
      </c>
      <c r="E1177" t="inlineStr">
        <is>
          <t>2205</t>
        </is>
      </c>
      <c r="F1177" t="inlineStr">
        <is>
          <t>0122</t>
        </is>
      </c>
      <c r="G1177" s="10" t="inlineStr">
        <is>
          <t>四条大宮</t>
        </is>
      </c>
      <c r="H1177" s="10" t="inlineStr">
        <is>
          <t>発</t>
        </is>
      </c>
      <c r="J1177" s="10" t="inlineStr">
        <is>
          <t>営業</t>
        </is>
      </c>
      <c r="M1177" t="inlineStr">
        <is>
          <t>22:30:00</t>
        </is>
      </c>
      <c r="Q1177" t="inlineStr">
        <is>
          <t>2</t>
        </is>
      </c>
    </row>
    <row r="1178" ht="15" customHeight="1" s="37">
      <c r="A1178" t="n">
        <v>15</v>
      </c>
      <c r="B1178" s="10" t="inlineStr">
        <is>
          <t>休日</t>
        </is>
      </c>
      <c r="C1178" s="10" t="inlineStr">
        <is>
          <t>本線</t>
        </is>
      </c>
      <c r="D1178" s="10" t="inlineStr">
        <is>
          <t>下り</t>
        </is>
      </c>
      <c r="E1178" t="inlineStr">
        <is>
          <t>2205</t>
        </is>
      </c>
      <c r="F1178" t="inlineStr">
        <is>
          <t>0122</t>
        </is>
      </c>
      <c r="G1178" s="10" t="inlineStr">
        <is>
          <t>西院</t>
        </is>
      </c>
      <c r="H1178" s="10" t="inlineStr">
        <is>
          <t>発</t>
        </is>
      </c>
      <c r="J1178" s="10" t="inlineStr">
        <is>
          <t>営業</t>
        </is>
      </c>
      <c r="L1178" t="inlineStr">
        <is>
          <t>22:32:50</t>
        </is>
      </c>
      <c r="M1178" t="inlineStr">
        <is>
          <t>22:33:20</t>
        </is>
      </c>
    </row>
    <row r="1179" ht="16.5" customHeight="1" s="37">
      <c r="A1179" t="n">
        <v>15</v>
      </c>
      <c r="B1179" s="10" t="inlineStr">
        <is>
          <t>休日</t>
        </is>
      </c>
      <c r="C1179" s="10" t="inlineStr">
        <is>
          <t>本線</t>
        </is>
      </c>
      <c r="D1179" s="10" t="inlineStr">
        <is>
          <t>下り</t>
        </is>
      </c>
      <c r="E1179" t="inlineStr">
        <is>
          <t>2205</t>
        </is>
      </c>
      <c r="F1179" t="inlineStr">
        <is>
          <t>0122</t>
        </is>
      </c>
      <c r="G1179" s="10" t="inlineStr">
        <is>
          <t>西大路三条</t>
        </is>
      </c>
      <c r="H1179" s="10" t="inlineStr">
        <is>
          <t>発</t>
        </is>
      </c>
      <c r="J1179" s="10" t="inlineStr">
        <is>
          <t>営業</t>
        </is>
      </c>
      <c r="L1179" t="inlineStr">
        <is>
          <t>22:35:10</t>
        </is>
      </c>
      <c r="M1179" t="inlineStr">
        <is>
          <t>22:35:30</t>
        </is>
      </c>
    </row>
    <row r="1180" ht="16.5" customHeight="1" s="37">
      <c r="A1180" t="n">
        <v>15</v>
      </c>
      <c r="B1180" s="10" t="inlineStr">
        <is>
          <t>休日</t>
        </is>
      </c>
      <c r="C1180" s="10" t="inlineStr">
        <is>
          <t>本線</t>
        </is>
      </c>
      <c r="D1180" s="10" t="inlineStr">
        <is>
          <t>下り</t>
        </is>
      </c>
      <c r="E1180" t="inlineStr">
        <is>
          <t>2205</t>
        </is>
      </c>
      <c r="F1180" t="inlineStr">
        <is>
          <t>0122</t>
        </is>
      </c>
      <c r="G1180" s="10" t="inlineStr">
        <is>
          <t>山ノ内</t>
        </is>
      </c>
      <c r="H1180" s="10" t="inlineStr">
        <is>
          <t>発</t>
        </is>
      </c>
      <c r="J1180" s="10" t="inlineStr">
        <is>
          <t>営業</t>
        </is>
      </c>
      <c r="L1180" t="inlineStr">
        <is>
          <t>22:37:25</t>
        </is>
      </c>
      <c r="M1180" t="inlineStr">
        <is>
          <t>22:37:50</t>
        </is>
      </c>
    </row>
    <row r="1181" ht="16.5" customHeight="1" s="37">
      <c r="A1181" t="n">
        <v>15</v>
      </c>
      <c r="B1181" s="10" t="inlineStr">
        <is>
          <t>休日</t>
        </is>
      </c>
      <c r="C1181" s="10" t="inlineStr">
        <is>
          <t>本線</t>
        </is>
      </c>
      <c r="D1181" s="10" t="inlineStr">
        <is>
          <t>下り</t>
        </is>
      </c>
      <c r="E1181" t="inlineStr">
        <is>
          <t>2205</t>
        </is>
      </c>
      <c r="F1181" t="inlineStr">
        <is>
          <t>0122</t>
        </is>
      </c>
      <c r="G1181" s="10" t="inlineStr">
        <is>
          <t>天神川</t>
        </is>
      </c>
      <c r="H1181" s="10" t="inlineStr">
        <is>
          <t>発</t>
        </is>
      </c>
      <c r="J1181" s="10" t="inlineStr">
        <is>
          <t>営業</t>
        </is>
      </c>
      <c r="L1181" t="inlineStr">
        <is>
          <t>22:39:50</t>
        </is>
      </c>
      <c r="M1181" t="inlineStr">
        <is>
          <t>22:40:30</t>
        </is>
      </c>
    </row>
    <row r="1182" ht="16.5" customHeight="1" s="37">
      <c r="A1182" t="n">
        <v>15</v>
      </c>
      <c r="B1182" s="10" t="inlineStr">
        <is>
          <t>休日</t>
        </is>
      </c>
      <c r="C1182" s="10" t="inlineStr">
        <is>
          <t>本線</t>
        </is>
      </c>
      <c r="D1182" s="10" t="inlineStr">
        <is>
          <t>下り</t>
        </is>
      </c>
      <c r="E1182" t="inlineStr">
        <is>
          <t>2205</t>
        </is>
      </c>
      <c r="F1182" t="inlineStr">
        <is>
          <t>0122</t>
        </is>
      </c>
      <c r="G1182" s="10" t="inlineStr">
        <is>
          <t>蚕ノ社</t>
        </is>
      </c>
      <c r="H1182" s="10" t="inlineStr">
        <is>
          <t>発</t>
        </is>
      </c>
      <c r="J1182" s="10" t="inlineStr">
        <is>
          <t>営業</t>
        </is>
      </c>
      <c r="L1182" t="inlineStr">
        <is>
          <t>22:41:20</t>
        </is>
      </c>
      <c r="M1182" t="inlineStr">
        <is>
          <t>22:41:40</t>
        </is>
      </c>
    </row>
    <row r="1183" ht="16.5" customHeight="1" s="37">
      <c r="A1183" t="n">
        <v>15</v>
      </c>
      <c r="B1183" s="10" t="inlineStr">
        <is>
          <t>休日</t>
        </is>
      </c>
      <c r="C1183" s="10" t="inlineStr">
        <is>
          <t>本線</t>
        </is>
      </c>
      <c r="D1183" s="10" t="inlineStr">
        <is>
          <t>下り</t>
        </is>
      </c>
      <c r="E1183" t="inlineStr">
        <is>
          <t>2205</t>
        </is>
      </c>
      <c r="F1183" t="inlineStr">
        <is>
          <t>0122</t>
        </is>
      </c>
      <c r="G1183" s="10" t="inlineStr">
        <is>
          <t>太秦広隆寺</t>
        </is>
      </c>
      <c r="H1183" s="10" t="inlineStr">
        <is>
          <t>発</t>
        </is>
      </c>
      <c r="J1183" s="10" t="inlineStr">
        <is>
          <t>営業</t>
        </is>
      </c>
      <c r="L1183" t="inlineStr">
        <is>
          <t>22:43:00</t>
        </is>
      </c>
      <c r="M1183" t="inlineStr">
        <is>
          <t>22:43:20</t>
        </is>
      </c>
    </row>
    <row r="1184" ht="16.5" customHeight="1" s="37">
      <c r="A1184" t="n">
        <v>15</v>
      </c>
      <c r="B1184" s="10" t="inlineStr">
        <is>
          <t>休日</t>
        </is>
      </c>
      <c r="C1184" s="10" t="inlineStr">
        <is>
          <t>本線</t>
        </is>
      </c>
      <c r="D1184" s="10" t="inlineStr">
        <is>
          <t>下り</t>
        </is>
      </c>
      <c r="E1184" t="inlineStr">
        <is>
          <t>2205</t>
        </is>
      </c>
      <c r="F1184" t="inlineStr">
        <is>
          <t>0122</t>
        </is>
      </c>
      <c r="G1184" s="10" t="inlineStr">
        <is>
          <t>帷子ノ辻</t>
        </is>
      </c>
      <c r="H1184" s="10" t="inlineStr">
        <is>
          <t>発</t>
        </is>
      </c>
      <c r="J1184" s="10" t="inlineStr">
        <is>
          <t>営業</t>
        </is>
      </c>
      <c r="L1184" t="inlineStr">
        <is>
          <t>22:45:20</t>
        </is>
      </c>
      <c r="M1184" t="inlineStr">
        <is>
          <t>22:46:40</t>
        </is>
      </c>
    </row>
    <row r="1185" ht="16.5" customHeight="1" s="37">
      <c r="A1185" t="n">
        <v>15</v>
      </c>
      <c r="B1185" s="10" t="inlineStr">
        <is>
          <t>休日</t>
        </is>
      </c>
      <c r="C1185" s="10" t="inlineStr">
        <is>
          <t>本線</t>
        </is>
      </c>
      <c r="D1185" s="10" t="inlineStr">
        <is>
          <t>下り</t>
        </is>
      </c>
      <c r="E1185" t="inlineStr">
        <is>
          <t>2205</t>
        </is>
      </c>
      <c r="F1185" t="inlineStr">
        <is>
          <t>0122</t>
        </is>
      </c>
      <c r="G1185" s="10" t="inlineStr">
        <is>
          <t>有栖川</t>
        </is>
      </c>
      <c r="H1185" s="10" t="inlineStr">
        <is>
          <t>発</t>
        </is>
      </c>
      <c r="J1185" s="10" t="inlineStr">
        <is>
          <t>営業</t>
        </is>
      </c>
      <c r="L1185" t="inlineStr">
        <is>
          <t>22:47:50</t>
        </is>
      </c>
      <c r="M1185" t="inlineStr">
        <is>
          <t>22:48:15</t>
        </is>
      </c>
    </row>
    <row r="1186" ht="15" customHeight="1" s="37">
      <c r="A1186" t="n">
        <v>15</v>
      </c>
      <c r="B1186" s="10" t="inlineStr">
        <is>
          <t>休日</t>
        </is>
      </c>
      <c r="C1186" s="10" t="inlineStr">
        <is>
          <t>本線</t>
        </is>
      </c>
      <c r="D1186" s="10" t="inlineStr">
        <is>
          <t>下り</t>
        </is>
      </c>
      <c r="E1186" t="inlineStr">
        <is>
          <t>2205</t>
        </is>
      </c>
      <c r="F1186" t="inlineStr">
        <is>
          <t>0122</t>
        </is>
      </c>
      <c r="G1186" s="10" t="inlineStr">
        <is>
          <t>車折</t>
        </is>
      </c>
      <c r="H1186" s="10" t="inlineStr">
        <is>
          <t>発</t>
        </is>
      </c>
      <c r="J1186" s="10" t="inlineStr">
        <is>
          <t>営業</t>
        </is>
      </c>
      <c r="L1186" t="inlineStr">
        <is>
          <t>22:49:40</t>
        </is>
      </c>
      <c r="M1186" t="inlineStr">
        <is>
          <t>22:50:05</t>
        </is>
      </c>
    </row>
    <row r="1187" ht="15" customHeight="1" s="37">
      <c r="A1187" t="n">
        <v>15</v>
      </c>
      <c r="B1187" s="10" t="inlineStr">
        <is>
          <t>休日</t>
        </is>
      </c>
      <c r="C1187" s="10" t="inlineStr">
        <is>
          <t>本線</t>
        </is>
      </c>
      <c r="D1187" s="10" t="inlineStr">
        <is>
          <t>下り</t>
        </is>
      </c>
      <c r="E1187" t="inlineStr">
        <is>
          <t>2205</t>
        </is>
      </c>
      <c r="F1187" t="inlineStr">
        <is>
          <t>0122</t>
        </is>
      </c>
      <c r="G1187" s="10" t="inlineStr">
        <is>
          <t>鹿王院</t>
        </is>
      </c>
      <c r="H1187" s="10" t="inlineStr">
        <is>
          <t>発</t>
        </is>
      </c>
      <c r="J1187" s="10" t="inlineStr">
        <is>
          <t>営業</t>
        </is>
      </c>
      <c r="L1187" t="inlineStr">
        <is>
          <t>22:51:00</t>
        </is>
      </c>
      <c r="M1187" t="inlineStr">
        <is>
          <t>22:51:25</t>
        </is>
      </c>
    </row>
    <row r="1188" ht="15" customHeight="1" s="37">
      <c r="A1188" t="n">
        <v>15</v>
      </c>
      <c r="B1188" s="10" t="inlineStr">
        <is>
          <t>休日</t>
        </is>
      </c>
      <c r="C1188" s="10" t="inlineStr">
        <is>
          <t>本線</t>
        </is>
      </c>
      <c r="D1188" s="10" t="inlineStr">
        <is>
          <t>下り</t>
        </is>
      </c>
      <c r="E1188" t="inlineStr">
        <is>
          <t>2205</t>
        </is>
      </c>
      <c r="F1188" t="inlineStr">
        <is>
          <t>0122</t>
        </is>
      </c>
      <c r="G1188" s="10" t="inlineStr">
        <is>
          <t>嵯峨</t>
        </is>
      </c>
      <c r="H1188" s="10" t="inlineStr">
        <is>
          <t>発</t>
        </is>
      </c>
      <c r="J1188" s="10" t="inlineStr">
        <is>
          <t>営業</t>
        </is>
      </c>
      <c r="L1188" t="inlineStr">
        <is>
          <t>22:52:30</t>
        </is>
      </c>
      <c r="M1188" t="inlineStr">
        <is>
          <t>22:52:55</t>
        </is>
      </c>
    </row>
    <row r="1189" ht="15" customHeight="1" s="37">
      <c r="A1189" t="n">
        <v>15</v>
      </c>
      <c r="B1189" s="10" t="inlineStr">
        <is>
          <t>休日</t>
        </is>
      </c>
      <c r="C1189" s="10" t="inlineStr">
        <is>
          <t>本線</t>
        </is>
      </c>
      <c r="D1189" s="10" t="inlineStr">
        <is>
          <t>下り</t>
        </is>
      </c>
      <c r="E1189" t="inlineStr">
        <is>
          <t>2205</t>
        </is>
      </c>
      <c r="F1189" t="inlineStr">
        <is>
          <t>0122</t>
        </is>
      </c>
      <c r="G1189" s="10" t="inlineStr">
        <is>
          <t>嵐山</t>
        </is>
      </c>
      <c r="H1189" s="10" t="inlineStr">
        <is>
          <t>着</t>
        </is>
      </c>
      <c r="J1189" s="10" t="inlineStr">
        <is>
          <t>営業</t>
        </is>
      </c>
      <c r="L1189" t="inlineStr">
        <is>
          <t>22:54:00</t>
        </is>
      </c>
      <c r="N1189" t="inlineStr">
        <is>
          <t>○</t>
        </is>
      </c>
      <c r="Q1189" t="inlineStr">
        <is>
          <t>1</t>
        </is>
      </c>
    </row>
    <row r="1190" ht="15" customHeight="1" s="37">
      <c r="A1190" t="n">
        <v>15</v>
      </c>
      <c r="B1190" s="10" t="inlineStr">
        <is>
          <t>休日</t>
        </is>
      </c>
      <c r="C1190" s="10" t="inlineStr">
        <is>
          <t>本線</t>
        </is>
      </c>
      <c r="D1190" s="10" t="inlineStr">
        <is>
          <t>上り</t>
        </is>
      </c>
      <c r="E1190" t="inlineStr">
        <is>
          <t>2302</t>
        </is>
      </c>
      <c r="F1190" t="inlineStr">
        <is>
          <t>0221</t>
        </is>
      </c>
      <c r="G1190" s="10" t="inlineStr">
        <is>
          <t>嵐山</t>
        </is>
      </c>
      <c r="H1190" s="10" t="inlineStr">
        <is>
          <t>発</t>
        </is>
      </c>
      <c r="J1190" s="10" t="inlineStr">
        <is>
          <t>営業</t>
        </is>
      </c>
      <c r="M1190" t="inlineStr">
        <is>
          <t>23:02:00</t>
        </is>
      </c>
      <c r="Q1190" t="inlineStr">
        <is>
          <t>1</t>
        </is>
      </c>
    </row>
    <row r="1191" ht="15" customHeight="1" s="37">
      <c r="A1191" t="n">
        <v>15</v>
      </c>
      <c r="B1191" s="10" t="inlineStr">
        <is>
          <t>休日</t>
        </is>
      </c>
      <c r="C1191" s="10" t="inlineStr">
        <is>
          <t>本線</t>
        </is>
      </c>
      <c r="D1191" s="10" t="inlineStr">
        <is>
          <t>上り</t>
        </is>
      </c>
      <c r="E1191" t="inlineStr">
        <is>
          <t>2302</t>
        </is>
      </c>
      <c r="F1191" t="inlineStr">
        <is>
          <t>0221</t>
        </is>
      </c>
      <c r="G1191" s="10" t="inlineStr">
        <is>
          <t>嵯峨</t>
        </is>
      </c>
      <c r="H1191" s="10" t="inlineStr">
        <is>
          <t>発</t>
        </is>
      </c>
      <c r="J1191" s="10" t="inlineStr">
        <is>
          <t>営業</t>
        </is>
      </c>
      <c r="L1191" t="inlineStr">
        <is>
          <t>23:02:55</t>
        </is>
      </c>
      <c r="M1191" t="inlineStr">
        <is>
          <t>23:03:10</t>
        </is>
      </c>
    </row>
    <row r="1192" ht="15" customHeight="1" s="37">
      <c r="A1192" t="n">
        <v>15</v>
      </c>
      <c r="B1192" s="10" t="inlineStr">
        <is>
          <t>休日</t>
        </is>
      </c>
      <c r="C1192" s="10" t="inlineStr">
        <is>
          <t>本線</t>
        </is>
      </c>
      <c r="D1192" s="10" t="inlineStr">
        <is>
          <t>上り</t>
        </is>
      </c>
      <c r="E1192" t="inlineStr">
        <is>
          <t>2302</t>
        </is>
      </c>
      <c r="F1192" t="inlineStr">
        <is>
          <t>0221</t>
        </is>
      </c>
      <c r="G1192" s="10" t="inlineStr">
        <is>
          <t>鹿王院</t>
        </is>
      </c>
      <c r="H1192" s="10" t="inlineStr">
        <is>
          <t>発</t>
        </is>
      </c>
      <c r="J1192" s="10" t="inlineStr">
        <is>
          <t>営業</t>
        </is>
      </c>
      <c r="L1192" t="inlineStr">
        <is>
          <t>23:04:15</t>
        </is>
      </c>
      <c r="M1192" t="inlineStr">
        <is>
          <t>23:04:30</t>
        </is>
      </c>
    </row>
    <row r="1193" ht="15" customHeight="1" s="37">
      <c r="A1193" t="n">
        <v>15</v>
      </c>
      <c r="B1193" s="10" t="inlineStr">
        <is>
          <t>休日</t>
        </is>
      </c>
      <c r="C1193" s="10" t="inlineStr">
        <is>
          <t>本線</t>
        </is>
      </c>
      <c r="D1193" s="10" t="inlineStr">
        <is>
          <t>上り</t>
        </is>
      </c>
      <c r="E1193" t="inlineStr">
        <is>
          <t>2302</t>
        </is>
      </c>
      <c r="F1193" t="inlineStr">
        <is>
          <t>0221</t>
        </is>
      </c>
      <c r="G1193" s="10" t="inlineStr">
        <is>
          <t>車折</t>
        </is>
      </c>
      <c r="H1193" s="10" t="inlineStr">
        <is>
          <t>発</t>
        </is>
      </c>
      <c r="J1193" s="10" t="inlineStr">
        <is>
          <t>営業</t>
        </is>
      </c>
      <c r="L1193" t="inlineStr">
        <is>
          <t>23:05:25</t>
        </is>
      </c>
      <c r="M1193" t="inlineStr">
        <is>
          <t>23:05:40</t>
        </is>
      </c>
    </row>
    <row r="1194" ht="15" customHeight="1" s="37">
      <c r="A1194" t="n">
        <v>15</v>
      </c>
      <c r="B1194" s="10" t="inlineStr">
        <is>
          <t>休日</t>
        </is>
      </c>
      <c r="C1194" s="10" t="inlineStr">
        <is>
          <t>本線</t>
        </is>
      </c>
      <c r="D1194" s="10" t="inlineStr">
        <is>
          <t>上り</t>
        </is>
      </c>
      <c r="E1194" t="inlineStr">
        <is>
          <t>2302</t>
        </is>
      </c>
      <c r="F1194" t="inlineStr">
        <is>
          <t>0221</t>
        </is>
      </c>
      <c r="G1194" s="10" t="inlineStr">
        <is>
          <t>有栖川</t>
        </is>
      </c>
      <c r="H1194" s="10" t="inlineStr">
        <is>
          <t>発</t>
        </is>
      </c>
      <c r="J1194" s="10" t="inlineStr">
        <is>
          <t>営業</t>
        </is>
      </c>
      <c r="L1194" t="inlineStr">
        <is>
          <t>23:07:05</t>
        </is>
      </c>
      <c r="M1194" t="inlineStr">
        <is>
          <t>23:07:20</t>
        </is>
      </c>
    </row>
    <row r="1195" ht="15" customHeight="1" s="37">
      <c r="A1195" t="n">
        <v>15</v>
      </c>
      <c r="B1195" s="10" t="inlineStr">
        <is>
          <t>休日</t>
        </is>
      </c>
      <c r="C1195" s="10" t="inlineStr">
        <is>
          <t>本線</t>
        </is>
      </c>
      <c r="D1195" s="10" t="inlineStr">
        <is>
          <t>上り</t>
        </is>
      </c>
      <c r="E1195" t="inlineStr">
        <is>
          <t>2302</t>
        </is>
      </c>
      <c r="F1195" t="inlineStr">
        <is>
          <t>0221</t>
        </is>
      </c>
      <c r="G1195" s="10" t="inlineStr">
        <is>
          <t>帷子ノ辻</t>
        </is>
      </c>
      <c r="H1195" s="10" t="inlineStr">
        <is>
          <t>発</t>
        </is>
      </c>
      <c r="J1195" s="10" t="inlineStr">
        <is>
          <t>営業</t>
        </is>
      </c>
      <c r="L1195" t="inlineStr">
        <is>
          <t>23:08:35</t>
        </is>
      </c>
      <c r="M1195" t="inlineStr">
        <is>
          <t>23:09:05</t>
        </is>
      </c>
    </row>
    <row r="1196" ht="15" customHeight="1" s="37">
      <c r="A1196" t="n">
        <v>15</v>
      </c>
      <c r="B1196" s="10" t="inlineStr">
        <is>
          <t>休日</t>
        </is>
      </c>
      <c r="C1196" s="10" t="inlineStr">
        <is>
          <t>本線</t>
        </is>
      </c>
      <c r="D1196" s="10" t="inlineStr">
        <is>
          <t>上り</t>
        </is>
      </c>
      <c r="E1196" t="inlineStr">
        <is>
          <t>2302</t>
        </is>
      </c>
      <c r="F1196" t="inlineStr">
        <is>
          <t>0221</t>
        </is>
      </c>
      <c r="G1196" s="10" t="inlineStr">
        <is>
          <t>太秦広隆寺</t>
        </is>
      </c>
      <c r="H1196" s="10" t="inlineStr">
        <is>
          <t>発</t>
        </is>
      </c>
      <c r="J1196" s="10" t="inlineStr">
        <is>
          <t>営業</t>
        </is>
      </c>
      <c r="L1196" t="inlineStr">
        <is>
          <t>23:11:15</t>
        </is>
      </c>
      <c r="M1196" t="inlineStr">
        <is>
          <t>23:11:35</t>
        </is>
      </c>
    </row>
    <row r="1197" ht="15" customHeight="1" s="37">
      <c r="A1197" t="n">
        <v>15</v>
      </c>
      <c r="B1197" s="10" t="inlineStr">
        <is>
          <t>休日</t>
        </is>
      </c>
      <c r="C1197" s="10" t="inlineStr">
        <is>
          <t>本線</t>
        </is>
      </c>
      <c r="D1197" s="10" t="inlineStr">
        <is>
          <t>上り</t>
        </is>
      </c>
      <c r="E1197" t="inlineStr">
        <is>
          <t>2302</t>
        </is>
      </c>
      <c r="F1197" t="inlineStr">
        <is>
          <t>0221</t>
        </is>
      </c>
      <c r="G1197" s="10" t="inlineStr">
        <is>
          <t>蚕ノ社</t>
        </is>
      </c>
      <c r="H1197" s="10" t="inlineStr">
        <is>
          <t>発</t>
        </is>
      </c>
      <c r="J1197" s="10" t="inlineStr">
        <is>
          <t>営業</t>
        </is>
      </c>
      <c r="L1197" t="inlineStr">
        <is>
          <t>23:12:50</t>
        </is>
      </c>
      <c r="M1197" t="inlineStr">
        <is>
          <t>23:13:10</t>
        </is>
      </c>
    </row>
    <row r="1198" ht="15" customHeight="1" s="37">
      <c r="A1198" t="n">
        <v>15</v>
      </c>
      <c r="B1198" s="10" t="inlineStr">
        <is>
          <t>休日</t>
        </is>
      </c>
      <c r="C1198" s="10" t="inlineStr">
        <is>
          <t>本線</t>
        </is>
      </c>
      <c r="D1198" s="10" t="inlineStr">
        <is>
          <t>上り</t>
        </is>
      </c>
      <c r="E1198" t="inlineStr">
        <is>
          <t>2302</t>
        </is>
      </c>
      <c r="F1198" t="inlineStr">
        <is>
          <t>0221</t>
        </is>
      </c>
      <c r="G1198" s="10" t="inlineStr">
        <is>
          <t>天神川</t>
        </is>
      </c>
      <c r="H1198" s="10" t="inlineStr">
        <is>
          <t>発</t>
        </is>
      </c>
      <c r="J1198" s="10" t="inlineStr">
        <is>
          <t>営業</t>
        </is>
      </c>
      <c r="L1198" t="inlineStr">
        <is>
          <t>23:13:55</t>
        </is>
      </c>
      <c r="M1198" t="inlineStr">
        <is>
          <t>23:14:20</t>
        </is>
      </c>
    </row>
    <row r="1199" ht="15" customHeight="1" s="37">
      <c r="A1199" t="n">
        <v>15</v>
      </c>
      <c r="B1199" s="10" t="inlineStr">
        <is>
          <t>休日</t>
        </is>
      </c>
      <c r="C1199" s="10" t="inlineStr">
        <is>
          <t>本線</t>
        </is>
      </c>
      <c r="D1199" s="10" t="inlineStr">
        <is>
          <t>上り</t>
        </is>
      </c>
      <c r="E1199" t="inlineStr">
        <is>
          <t>2302</t>
        </is>
      </c>
      <c r="F1199" t="inlineStr">
        <is>
          <t>0221</t>
        </is>
      </c>
      <c r="G1199" s="10" t="inlineStr">
        <is>
          <t>山ノ内</t>
        </is>
      </c>
      <c r="H1199" s="10" t="inlineStr">
        <is>
          <t>発</t>
        </is>
      </c>
      <c r="J1199" s="10" t="inlineStr">
        <is>
          <t>営業</t>
        </is>
      </c>
      <c r="L1199" t="inlineStr">
        <is>
          <t>23:16:10</t>
        </is>
      </c>
      <c r="M1199" t="inlineStr">
        <is>
          <t>23:16:35</t>
        </is>
      </c>
    </row>
    <row r="1200" ht="15" customHeight="1" s="37">
      <c r="A1200" t="n">
        <v>15</v>
      </c>
      <c r="B1200" s="10" t="inlineStr">
        <is>
          <t>休日</t>
        </is>
      </c>
      <c r="C1200" s="10" t="inlineStr">
        <is>
          <t>本線</t>
        </is>
      </c>
      <c r="D1200" s="10" t="inlineStr">
        <is>
          <t>上り</t>
        </is>
      </c>
      <c r="E1200" t="inlineStr">
        <is>
          <t>2302</t>
        </is>
      </c>
      <c r="F1200" t="inlineStr">
        <is>
          <t>0221</t>
        </is>
      </c>
      <c r="G1200" s="10" t="inlineStr">
        <is>
          <t>西大路三条</t>
        </is>
      </c>
      <c r="H1200" s="10" t="inlineStr">
        <is>
          <t>発</t>
        </is>
      </c>
      <c r="J1200" s="10" t="inlineStr">
        <is>
          <t>営業</t>
        </is>
      </c>
      <c r="L1200" t="inlineStr">
        <is>
          <t>23:18:25</t>
        </is>
      </c>
      <c r="M1200" t="inlineStr">
        <is>
          <t>23:18:40</t>
        </is>
      </c>
    </row>
    <row r="1201" ht="15" customHeight="1" s="37">
      <c r="A1201" t="n">
        <v>15</v>
      </c>
      <c r="B1201" s="10" t="inlineStr">
        <is>
          <t>休日</t>
        </is>
      </c>
      <c r="C1201" s="10" t="inlineStr">
        <is>
          <t>本線</t>
        </is>
      </c>
      <c r="D1201" s="10" t="inlineStr">
        <is>
          <t>上り</t>
        </is>
      </c>
      <c r="E1201" t="inlineStr">
        <is>
          <t>2302</t>
        </is>
      </c>
      <c r="F1201" t="inlineStr">
        <is>
          <t>0221</t>
        </is>
      </c>
      <c r="G1201" s="10" t="inlineStr">
        <is>
          <t>西院</t>
        </is>
      </c>
      <c r="H1201" s="10" t="inlineStr">
        <is>
          <t>発</t>
        </is>
      </c>
      <c r="J1201" s="10" t="inlineStr">
        <is>
          <t>営業</t>
        </is>
      </c>
      <c r="L1201" t="inlineStr">
        <is>
          <t>23:20:35</t>
        </is>
      </c>
      <c r="M1201" t="inlineStr">
        <is>
          <t>23:21:05</t>
        </is>
      </c>
    </row>
    <row r="1202" ht="15" customHeight="1" s="37">
      <c r="A1202" t="n">
        <v>15</v>
      </c>
      <c r="B1202" s="10" t="inlineStr">
        <is>
          <t>休日</t>
        </is>
      </c>
      <c r="C1202" s="10" t="inlineStr">
        <is>
          <t>本線</t>
        </is>
      </c>
      <c r="D1202" s="10" t="inlineStr">
        <is>
          <t>上り</t>
        </is>
      </c>
      <c r="E1202" t="inlineStr">
        <is>
          <t>2302</t>
        </is>
      </c>
      <c r="F1202" t="inlineStr">
        <is>
          <t>0221</t>
        </is>
      </c>
      <c r="G1202" s="10" t="inlineStr">
        <is>
          <t>四条大宮</t>
        </is>
      </c>
      <c r="H1202" s="10" t="inlineStr">
        <is>
          <t>着</t>
        </is>
      </c>
      <c r="J1202" s="10" t="inlineStr">
        <is>
          <t>営業</t>
        </is>
      </c>
      <c r="L1202" t="inlineStr">
        <is>
          <t>23:24:00</t>
        </is>
      </c>
      <c r="N1202" t="inlineStr">
        <is>
          <t>○</t>
        </is>
      </c>
      <c r="Q1202" t="inlineStr">
        <is>
          <t>1</t>
        </is>
      </c>
    </row>
    <row r="1203" ht="15" customHeight="1" s="37">
      <c r="A1203" t="n">
        <v>15</v>
      </c>
      <c r="B1203" s="10" t="inlineStr">
        <is>
          <t>休日</t>
        </is>
      </c>
      <c r="C1203" s="10" t="inlineStr">
        <is>
          <t>本線</t>
        </is>
      </c>
      <c r="D1203" s="10" t="inlineStr">
        <is>
          <t>下り</t>
        </is>
      </c>
      <c r="E1203" t="inlineStr">
        <is>
          <t>2305</t>
        </is>
      </c>
      <c r="F1203" t="inlineStr">
        <is>
          <t>0182</t>
        </is>
      </c>
      <c r="G1203" s="10" t="inlineStr">
        <is>
          <t>四条大宮</t>
        </is>
      </c>
      <c r="H1203" s="10" t="inlineStr">
        <is>
          <t>発</t>
        </is>
      </c>
      <c r="I1203" t="inlineStr">
        <is>
          <t>○</t>
        </is>
      </c>
      <c r="J1203" s="10" t="inlineStr">
        <is>
          <t>営業</t>
        </is>
      </c>
      <c r="M1203" t="inlineStr">
        <is>
          <t>23:40:00</t>
        </is>
      </c>
      <c r="Q1203" t="inlineStr">
        <is>
          <t>1</t>
        </is>
      </c>
    </row>
    <row r="1204" ht="15" customHeight="1" s="37">
      <c r="A1204" t="n">
        <v>15</v>
      </c>
      <c r="B1204" s="10" t="inlineStr">
        <is>
          <t>休日</t>
        </is>
      </c>
      <c r="C1204" s="10" t="inlineStr">
        <is>
          <t>本線</t>
        </is>
      </c>
      <c r="D1204" s="10" t="inlineStr">
        <is>
          <t>下り</t>
        </is>
      </c>
      <c r="E1204" t="inlineStr">
        <is>
          <t>2305</t>
        </is>
      </c>
      <c r="F1204" t="inlineStr">
        <is>
          <t>0182</t>
        </is>
      </c>
      <c r="G1204" s="10" t="inlineStr">
        <is>
          <t>西院</t>
        </is>
      </c>
      <c r="H1204" s="10" t="inlineStr">
        <is>
          <t>発</t>
        </is>
      </c>
      <c r="I1204" t="inlineStr">
        <is>
          <t>○</t>
        </is>
      </c>
      <c r="J1204" s="10" t="inlineStr">
        <is>
          <t>営業</t>
        </is>
      </c>
      <c r="L1204" t="inlineStr">
        <is>
          <t>23:42:50</t>
        </is>
      </c>
      <c r="M1204" t="inlineStr">
        <is>
          <t>23:43:20</t>
        </is>
      </c>
    </row>
    <row r="1205" ht="15" customHeight="1" s="37">
      <c r="A1205" t="n">
        <v>15</v>
      </c>
      <c r="B1205" s="10" t="inlineStr">
        <is>
          <t>休日</t>
        </is>
      </c>
      <c r="C1205" s="10" t="inlineStr">
        <is>
          <t>本線</t>
        </is>
      </c>
      <c r="D1205" s="10" t="inlineStr">
        <is>
          <t>下り</t>
        </is>
      </c>
      <c r="E1205" t="inlineStr">
        <is>
          <t>2305</t>
        </is>
      </c>
      <c r="F1205" t="inlineStr">
        <is>
          <t>0182</t>
        </is>
      </c>
      <c r="G1205" s="10" t="inlineStr">
        <is>
          <t>西大路三条</t>
        </is>
      </c>
      <c r="H1205" s="10" t="inlineStr">
        <is>
          <t>発</t>
        </is>
      </c>
      <c r="I1205" t="inlineStr">
        <is>
          <t>○</t>
        </is>
      </c>
      <c r="J1205" s="10" t="inlineStr">
        <is>
          <t>営業</t>
        </is>
      </c>
      <c r="L1205" t="inlineStr">
        <is>
          <t>23:45:10</t>
        </is>
      </c>
      <c r="M1205" t="inlineStr">
        <is>
          <t>23:45:30</t>
        </is>
      </c>
    </row>
    <row r="1206" ht="15" customHeight="1" s="37">
      <c r="A1206" t="n">
        <v>15</v>
      </c>
      <c r="B1206" s="10" t="inlineStr">
        <is>
          <t>休日</t>
        </is>
      </c>
      <c r="C1206" s="10" t="inlineStr">
        <is>
          <t>本線</t>
        </is>
      </c>
      <c r="D1206" s="10" t="inlineStr">
        <is>
          <t>下り</t>
        </is>
      </c>
      <c r="E1206" t="inlineStr">
        <is>
          <t>2305</t>
        </is>
      </c>
      <c r="F1206" t="inlineStr">
        <is>
          <t>0182</t>
        </is>
      </c>
      <c r="G1206" s="10" t="inlineStr">
        <is>
          <t>山ノ内</t>
        </is>
      </c>
      <c r="H1206" s="10" t="inlineStr">
        <is>
          <t>発</t>
        </is>
      </c>
      <c r="I1206" t="inlineStr">
        <is>
          <t>○</t>
        </is>
      </c>
      <c r="J1206" s="10" t="inlineStr">
        <is>
          <t>営業</t>
        </is>
      </c>
      <c r="L1206" t="inlineStr">
        <is>
          <t>23:47:25</t>
        </is>
      </c>
      <c r="M1206" t="inlineStr">
        <is>
          <t>23:47:50</t>
        </is>
      </c>
    </row>
    <row r="1207" ht="15" customHeight="1" s="37">
      <c r="A1207" t="n">
        <v>15</v>
      </c>
      <c r="B1207" s="10" t="inlineStr">
        <is>
          <t>休日</t>
        </is>
      </c>
      <c r="C1207" s="10" t="inlineStr">
        <is>
          <t>本線</t>
        </is>
      </c>
      <c r="D1207" s="10" t="inlineStr">
        <is>
          <t>下り</t>
        </is>
      </c>
      <c r="E1207" t="inlineStr">
        <is>
          <t>2305</t>
        </is>
      </c>
      <c r="F1207" t="inlineStr">
        <is>
          <t>0182</t>
        </is>
      </c>
      <c r="G1207" s="10" t="inlineStr">
        <is>
          <t>天神川</t>
        </is>
      </c>
      <c r="H1207" s="10" t="inlineStr">
        <is>
          <t>発</t>
        </is>
      </c>
      <c r="I1207" t="inlineStr">
        <is>
          <t>○</t>
        </is>
      </c>
      <c r="J1207" s="10" t="inlineStr">
        <is>
          <t>営業</t>
        </is>
      </c>
      <c r="L1207" t="inlineStr">
        <is>
          <t>23:49:50</t>
        </is>
      </c>
      <c r="M1207" t="inlineStr">
        <is>
          <t>23:50:30</t>
        </is>
      </c>
    </row>
    <row r="1208" ht="15" customHeight="1" s="37">
      <c r="A1208" t="n">
        <v>15</v>
      </c>
      <c r="B1208" s="10" t="inlineStr">
        <is>
          <t>休日</t>
        </is>
      </c>
      <c r="C1208" s="10" t="inlineStr">
        <is>
          <t>本線</t>
        </is>
      </c>
      <c r="D1208" s="10" t="inlineStr">
        <is>
          <t>下り</t>
        </is>
      </c>
      <c r="E1208" t="inlineStr">
        <is>
          <t>2305</t>
        </is>
      </c>
      <c r="F1208" t="inlineStr">
        <is>
          <t>0182</t>
        </is>
      </c>
      <c r="G1208" s="10" t="inlineStr">
        <is>
          <t>蚕ノ社</t>
        </is>
      </c>
      <c r="H1208" s="10" t="inlineStr">
        <is>
          <t>発</t>
        </is>
      </c>
      <c r="I1208" t="inlineStr">
        <is>
          <t>○</t>
        </is>
      </c>
      <c r="J1208" s="10" t="inlineStr">
        <is>
          <t>営業</t>
        </is>
      </c>
      <c r="L1208" t="inlineStr">
        <is>
          <t>23:51:20</t>
        </is>
      </c>
      <c r="M1208" t="inlineStr">
        <is>
          <t>23:51:40</t>
        </is>
      </c>
    </row>
    <row r="1209" ht="15" customHeight="1" s="37">
      <c r="A1209" t="n">
        <v>15</v>
      </c>
      <c r="B1209" s="10" t="inlineStr">
        <is>
          <t>休日</t>
        </is>
      </c>
      <c r="C1209" s="10" t="inlineStr">
        <is>
          <t>本線</t>
        </is>
      </c>
      <c r="D1209" s="10" t="inlineStr">
        <is>
          <t>下り</t>
        </is>
      </c>
      <c r="E1209" t="inlineStr">
        <is>
          <t>2305</t>
        </is>
      </c>
      <c r="F1209" t="inlineStr">
        <is>
          <t>0182</t>
        </is>
      </c>
      <c r="G1209" s="10" t="inlineStr">
        <is>
          <t>太秦広隆寺</t>
        </is>
      </c>
      <c r="H1209" s="10" t="inlineStr">
        <is>
          <t>発</t>
        </is>
      </c>
      <c r="I1209" t="inlineStr">
        <is>
          <t>○</t>
        </is>
      </c>
      <c r="J1209" s="10" t="inlineStr">
        <is>
          <t>営業</t>
        </is>
      </c>
      <c r="L1209" t="inlineStr">
        <is>
          <t>23:53:00</t>
        </is>
      </c>
      <c r="M1209" t="inlineStr">
        <is>
          <t>23:53:20</t>
        </is>
      </c>
    </row>
    <row r="1210" ht="15" customHeight="1" s="37">
      <c r="A1210" t="n">
        <v>15</v>
      </c>
      <c r="B1210" s="10" t="inlineStr">
        <is>
          <t>休日</t>
        </is>
      </c>
      <c r="C1210" s="10" t="inlineStr">
        <is>
          <t>本線</t>
        </is>
      </c>
      <c r="D1210" s="10" t="inlineStr">
        <is>
          <t>下り</t>
        </is>
      </c>
      <c r="E1210" t="inlineStr">
        <is>
          <t>2305</t>
        </is>
      </c>
      <c r="F1210" t="inlineStr">
        <is>
          <t>0182</t>
        </is>
      </c>
      <c r="G1210" s="10" t="inlineStr">
        <is>
          <t>帷子ノ辻</t>
        </is>
      </c>
      <c r="H1210" s="10" t="inlineStr">
        <is>
          <t>発</t>
        </is>
      </c>
      <c r="I1210" t="inlineStr">
        <is>
          <t>○</t>
        </is>
      </c>
      <c r="J1210" s="10" t="inlineStr">
        <is>
          <t>営業</t>
        </is>
      </c>
      <c r="L1210" t="inlineStr">
        <is>
          <t>23:55:20</t>
        </is>
      </c>
      <c r="M1210" t="inlineStr">
        <is>
          <t>23:56:40</t>
        </is>
      </c>
    </row>
    <row r="1211" ht="15" customHeight="1" s="37">
      <c r="A1211" t="n">
        <v>15</v>
      </c>
      <c r="B1211" s="10" t="inlineStr">
        <is>
          <t>休日</t>
        </is>
      </c>
      <c r="C1211" s="10" t="inlineStr">
        <is>
          <t>本線</t>
        </is>
      </c>
      <c r="D1211" s="10" t="inlineStr">
        <is>
          <t>下り</t>
        </is>
      </c>
      <c r="E1211" t="inlineStr">
        <is>
          <t>2305</t>
        </is>
      </c>
      <c r="F1211" t="inlineStr">
        <is>
          <t>0182</t>
        </is>
      </c>
      <c r="G1211" s="10" t="inlineStr">
        <is>
          <t>有栖川</t>
        </is>
      </c>
      <c r="H1211" s="10" t="inlineStr">
        <is>
          <t>発</t>
        </is>
      </c>
      <c r="I1211" t="inlineStr">
        <is>
          <t>○</t>
        </is>
      </c>
      <c r="J1211" s="10" t="inlineStr">
        <is>
          <t>営業</t>
        </is>
      </c>
      <c r="L1211" t="inlineStr">
        <is>
          <t>23:57:50</t>
        </is>
      </c>
      <c r="M1211" t="inlineStr">
        <is>
          <t>23:58:15</t>
        </is>
      </c>
    </row>
    <row r="1212" ht="15" customHeight="1" s="37">
      <c r="A1212" t="n">
        <v>15</v>
      </c>
      <c r="B1212" s="10" t="inlineStr">
        <is>
          <t>休日</t>
        </is>
      </c>
      <c r="C1212" s="10" t="inlineStr">
        <is>
          <t>本線</t>
        </is>
      </c>
      <c r="D1212" s="10" t="inlineStr">
        <is>
          <t>下り</t>
        </is>
      </c>
      <c r="E1212" t="inlineStr">
        <is>
          <t>2305</t>
        </is>
      </c>
      <c r="F1212" t="inlineStr">
        <is>
          <t>0182</t>
        </is>
      </c>
      <c r="G1212" s="10" t="inlineStr">
        <is>
          <t>車折</t>
        </is>
      </c>
      <c r="H1212" s="10" t="inlineStr">
        <is>
          <t>発</t>
        </is>
      </c>
      <c r="I1212" t="inlineStr">
        <is>
          <t>○</t>
        </is>
      </c>
      <c r="J1212" s="10" t="inlineStr">
        <is>
          <t>営業</t>
        </is>
      </c>
      <c r="L1212" t="inlineStr">
        <is>
          <t>23:59:40</t>
        </is>
      </c>
      <c r="M1212" t="inlineStr">
        <is>
          <t>24:00:05</t>
        </is>
      </c>
    </row>
    <row r="1213" ht="15" customHeight="1" s="37">
      <c r="A1213" t="n">
        <v>15</v>
      </c>
      <c r="B1213" s="10" t="inlineStr">
        <is>
          <t>休日</t>
        </is>
      </c>
      <c r="C1213" s="10" t="inlineStr">
        <is>
          <t>本線</t>
        </is>
      </c>
      <c r="D1213" s="10" t="inlineStr">
        <is>
          <t>下り</t>
        </is>
      </c>
      <c r="E1213" t="inlineStr">
        <is>
          <t>2305</t>
        </is>
      </c>
      <c r="F1213" t="inlineStr">
        <is>
          <t>0182</t>
        </is>
      </c>
      <c r="G1213" s="10" t="inlineStr">
        <is>
          <t>鹿王院</t>
        </is>
      </c>
      <c r="H1213" s="10" t="inlineStr">
        <is>
          <t>発</t>
        </is>
      </c>
      <c r="I1213" t="inlineStr">
        <is>
          <t>○</t>
        </is>
      </c>
      <c r="J1213" s="10" t="inlineStr">
        <is>
          <t>営業</t>
        </is>
      </c>
      <c r="L1213" t="inlineStr">
        <is>
          <t>24:01:00</t>
        </is>
      </c>
      <c r="M1213" t="inlineStr">
        <is>
          <t>24:01:25</t>
        </is>
      </c>
    </row>
    <row r="1214" ht="15" customHeight="1" s="37">
      <c r="A1214" t="n">
        <v>15</v>
      </c>
      <c r="B1214" s="10" t="inlineStr">
        <is>
          <t>休日</t>
        </is>
      </c>
      <c r="C1214" s="10" t="inlineStr">
        <is>
          <t>本線</t>
        </is>
      </c>
      <c r="D1214" s="10" t="inlineStr">
        <is>
          <t>下り</t>
        </is>
      </c>
      <c r="E1214" t="inlineStr">
        <is>
          <t>2305</t>
        </is>
      </c>
      <c r="F1214" t="inlineStr">
        <is>
          <t>0182</t>
        </is>
      </c>
      <c r="G1214" s="10" t="inlineStr">
        <is>
          <t>嵯峨</t>
        </is>
      </c>
      <c r="H1214" s="10" t="inlineStr">
        <is>
          <t>発</t>
        </is>
      </c>
      <c r="I1214" t="inlineStr">
        <is>
          <t>○</t>
        </is>
      </c>
      <c r="J1214" s="10" t="inlineStr">
        <is>
          <t>営業</t>
        </is>
      </c>
      <c r="L1214" t="inlineStr">
        <is>
          <t>24:02:30</t>
        </is>
      </c>
      <c r="M1214" t="inlineStr">
        <is>
          <t>24:02:55</t>
        </is>
      </c>
    </row>
    <row r="1215" ht="15" customHeight="1" s="37">
      <c r="A1215" t="n">
        <v>15</v>
      </c>
      <c r="B1215" s="10" t="inlineStr">
        <is>
          <t>休日</t>
        </is>
      </c>
      <c r="C1215" s="10" t="inlineStr">
        <is>
          <t>本線</t>
        </is>
      </c>
      <c r="D1215" s="10" t="inlineStr">
        <is>
          <t>下り</t>
        </is>
      </c>
      <c r="E1215" t="inlineStr">
        <is>
          <t>2305</t>
        </is>
      </c>
      <c r="F1215" t="inlineStr">
        <is>
          <t>0182</t>
        </is>
      </c>
      <c r="G1215" s="10" t="inlineStr">
        <is>
          <t>嵐山</t>
        </is>
      </c>
      <c r="H1215" s="10" t="inlineStr">
        <is>
          <t>着</t>
        </is>
      </c>
      <c r="I1215" t="inlineStr">
        <is>
          <t>○</t>
        </is>
      </c>
      <c r="J1215" s="10" t="inlineStr">
        <is>
          <t>営業</t>
        </is>
      </c>
      <c r="L1215" t="inlineStr">
        <is>
          <t>24:04:00</t>
        </is>
      </c>
      <c r="N1215" t="inlineStr">
        <is>
          <t>○</t>
        </is>
      </c>
      <c r="Q1215" t="inlineStr">
        <is>
          <t>1</t>
        </is>
      </c>
    </row>
    <row r="1216" ht="15" customHeight="1" s="37">
      <c r="A1216" t="n">
        <v>15</v>
      </c>
      <c r="B1216" s="10" t="inlineStr">
        <is>
          <t>休日</t>
        </is>
      </c>
      <c r="C1216" s="10" t="inlineStr">
        <is>
          <t>本線</t>
        </is>
      </c>
      <c r="D1216" s="10" t="inlineStr">
        <is>
          <t>上り</t>
        </is>
      </c>
      <c r="E1216" t="inlineStr">
        <is>
          <t>2402</t>
        </is>
      </c>
      <c r="F1216" t="inlineStr">
        <is>
          <t>0205</t>
        </is>
      </c>
      <c r="G1216" s="10" t="inlineStr">
        <is>
          <t>嵐山</t>
        </is>
      </c>
      <c r="H1216" s="10" t="inlineStr">
        <is>
          <t>発</t>
        </is>
      </c>
      <c r="I1216" t="inlineStr">
        <is>
          <t>○</t>
        </is>
      </c>
      <c r="J1216" s="10" t="inlineStr">
        <is>
          <t>営業</t>
        </is>
      </c>
      <c r="M1216" t="inlineStr">
        <is>
          <t>24:07:00</t>
        </is>
      </c>
      <c r="Q1216" t="inlineStr">
        <is>
          <t>1</t>
        </is>
      </c>
      <c r="R1216" t="inlineStr">
        <is>
          <t>○</t>
        </is>
      </c>
    </row>
    <row r="1217" ht="15" customHeight="1" s="37">
      <c r="A1217" t="n">
        <v>15</v>
      </c>
      <c r="B1217" s="10" t="inlineStr">
        <is>
          <t>休日</t>
        </is>
      </c>
      <c r="C1217" s="10" t="inlineStr">
        <is>
          <t>本線</t>
        </is>
      </c>
      <c r="D1217" s="10" t="inlineStr">
        <is>
          <t>上り</t>
        </is>
      </c>
      <c r="E1217" t="inlineStr">
        <is>
          <t>2402</t>
        </is>
      </c>
      <c r="F1217" t="inlineStr">
        <is>
          <t>0205</t>
        </is>
      </c>
      <c r="G1217" s="10" t="inlineStr">
        <is>
          <t>嵯峨</t>
        </is>
      </c>
      <c r="H1217" s="10" t="inlineStr">
        <is>
          <t>発</t>
        </is>
      </c>
      <c r="I1217" t="inlineStr">
        <is>
          <t>○</t>
        </is>
      </c>
      <c r="J1217" s="10" t="inlineStr">
        <is>
          <t>営業</t>
        </is>
      </c>
      <c r="L1217" t="inlineStr">
        <is>
          <t>24:07:55</t>
        </is>
      </c>
      <c r="M1217" t="inlineStr">
        <is>
          <t>24:08:10</t>
        </is>
      </c>
      <c r="R1217" t="inlineStr">
        <is>
          <t>○</t>
        </is>
      </c>
    </row>
    <row r="1218" ht="15" customHeight="1" s="37">
      <c r="A1218" t="n">
        <v>15</v>
      </c>
      <c r="B1218" s="10" t="inlineStr">
        <is>
          <t>休日</t>
        </is>
      </c>
      <c r="C1218" s="10" t="inlineStr">
        <is>
          <t>本線</t>
        </is>
      </c>
      <c r="D1218" s="10" t="inlineStr">
        <is>
          <t>上り</t>
        </is>
      </c>
      <c r="E1218" t="inlineStr">
        <is>
          <t>2402</t>
        </is>
      </c>
      <c r="F1218" t="inlineStr">
        <is>
          <t>0205</t>
        </is>
      </c>
      <c r="G1218" s="10" t="inlineStr">
        <is>
          <t>鹿王院</t>
        </is>
      </c>
      <c r="H1218" s="10" t="inlineStr">
        <is>
          <t>発</t>
        </is>
      </c>
      <c r="I1218" t="inlineStr">
        <is>
          <t>○</t>
        </is>
      </c>
      <c r="J1218" s="10" t="inlineStr">
        <is>
          <t>営業</t>
        </is>
      </c>
      <c r="L1218" t="inlineStr">
        <is>
          <t>24:09:15</t>
        </is>
      </c>
      <c r="M1218" t="inlineStr">
        <is>
          <t>24:09:30</t>
        </is>
      </c>
      <c r="R1218" t="inlineStr">
        <is>
          <t>○</t>
        </is>
      </c>
    </row>
    <row r="1219" ht="15" customHeight="1" s="37">
      <c r="A1219" t="n">
        <v>15</v>
      </c>
      <c r="B1219" s="10" t="inlineStr">
        <is>
          <t>休日</t>
        </is>
      </c>
      <c r="C1219" s="10" t="inlineStr">
        <is>
          <t>本線</t>
        </is>
      </c>
      <c r="D1219" s="10" t="inlineStr">
        <is>
          <t>上り</t>
        </is>
      </c>
      <c r="E1219" t="inlineStr">
        <is>
          <t>2402</t>
        </is>
      </c>
      <c r="F1219" t="inlineStr">
        <is>
          <t>0205</t>
        </is>
      </c>
      <c r="G1219" s="10" t="inlineStr">
        <is>
          <t>車折</t>
        </is>
      </c>
      <c r="H1219" s="10" t="inlineStr">
        <is>
          <t>発</t>
        </is>
      </c>
      <c r="I1219" t="inlineStr">
        <is>
          <t>○</t>
        </is>
      </c>
      <c r="J1219" s="10" t="inlineStr">
        <is>
          <t>営業</t>
        </is>
      </c>
      <c r="L1219" t="inlineStr">
        <is>
          <t>24:10:25</t>
        </is>
      </c>
      <c r="M1219" t="inlineStr">
        <is>
          <t>24:10:40</t>
        </is>
      </c>
      <c r="R1219" t="inlineStr">
        <is>
          <t>○</t>
        </is>
      </c>
    </row>
    <row r="1220" ht="15" customHeight="1" s="37">
      <c r="A1220" t="n">
        <v>15</v>
      </c>
      <c r="B1220" s="10" t="inlineStr">
        <is>
          <t>休日</t>
        </is>
      </c>
      <c r="C1220" s="10" t="inlineStr">
        <is>
          <t>本線</t>
        </is>
      </c>
      <c r="D1220" s="10" t="inlineStr">
        <is>
          <t>上り</t>
        </is>
      </c>
      <c r="E1220" t="inlineStr">
        <is>
          <t>2402</t>
        </is>
      </c>
      <c r="F1220" t="inlineStr">
        <is>
          <t>0205</t>
        </is>
      </c>
      <c r="G1220" s="10" t="inlineStr">
        <is>
          <t>有栖川</t>
        </is>
      </c>
      <c r="H1220" s="10" t="inlineStr">
        <is>
          <t>発</t>
        </is>
      </c>
      <c r="I1220" t="inlineStr">
        <is>
          <t>○</t>
        </is>
      </c>
      <c r="J1220" s="10" t="inlineStr">
        <is>
          <t>営業</t>
        </is>
      </c>
      <c r="L1220" t="inlineStr">
        <is>
          <t>24:12:05</t>
        </is>
      </c>
      <c r="M1220" t="inlineStr">
        <is>
          <t>24:12:20</t>
        </is>
      </c>
      <c r="R1220" t="inlineStr">
        <is>
          <t>○</t>
        </is>
      </c>
    </row>
    <row r="1221" ht="15" customHeight="1" s="37">
      <c r="A1221" t="n">
        <v>15</v>
      </c>
      <c r="B1221" s="10" t="inlineStr">
        <is>
          <t>休日</t>
        </is>
      </c>
      <c r="C1221" s="10" t="inlineStr">
        <is>
          <t>本線</t>
        </is>
      </c>
      <c r="D1221" s="10" t="inlineStr">
        <is>
          <t>上り</t>
        </is>
      </c>
      <c r="E1221" t="inlineStr">
        <is>
          <t>2402</t>
        </is>
      </c>
      <c r="F1221" t="inlineStr">
        <is>
          <t>0205</t>
        </is>
      </c>
      <c r="G1221" s="10" t="inlineStr">
        <is>
          <t>帷子ノ辻</t>
        </is>
      </c>
      <c r="H1221" s="10" t="inlineStr">
        <is>
          <t>発</t>
        </is>
      </c>
      <c r="I1221" t="inlineStr">
        <is>
          <t>○</t>
        </is>
      </c>
      <c r="J1221" s="10" t="inlineStr">
        <is>
          <t>営業</t>
        </is>
      </c>
      <c r="L1221" t="inlineStr">
        <is>
          <t>24:13:35</t>
        </is>
      </c>
      <c r="M1221" t="inlineStr">
        <is>
          <t>24:14:05</t>
        </is>
      </c>
      <c r="N1221" t="inlineStr">
        <is>
          <t>○</t>
        </is>
      </c>
      <c r="R1221" t="inlineStr">
        <is>
          <t>○</t>
        </is>
      </c>
    </row>
    <row r="1222" ht="15" customHeight="1" s="37">
      <c r="A1222" t="n">
        <v>15</v>
      </c>
      <c r="B1222" s="10" t="inlineStr">
        <is>
          <t>休日</t>
        </is>
      </c>
      <c r="C1222" s="10" t="inlineStr">
        <is>
          <t>本線</t>
        </is>
      </c>
      <c r="D1222" s="10" t="inlineStr">
        <is>
          <t>上り</t>
        </is>
      </c>
      <c r="E1222" t="inlineStr">
        <is>
          <t>2402</t>
        </is>
      </c>
      <c r="F1222" t="inlineStr">
        <is>
          <t>0205</t>
        </is>
      </c>
      <c r="G1222" s="10" t="inlineStr">
        <is>
          <t>太秦広隆寺</t>
        </is>
      </c>
      <c r="H1222" s="10" t="inlineStr">
        <is>
          <t>発</t>
        </is>
      </c>
      <c r="I1222" t="inlineStr">
        <is>
          <t>○</t>
        </is>
      </c>
      <c r="J1222" s="10" t="inlineStr">
        <is>
          <t>営業</t>
        </is>
      </c>
      <c r="L1222" t="inlineStr">
        <is>
          <t>24:16:15</t>
        </is>
      </c>
      <c r="M1222" t="inlineStr">
        <is>
          <t>24:16:35</t>
        </is>
      </c>
      <c r="R1222" t="inlineStr">
        <is>
          <t>○</t>
        </is>
      </c>
    </row>
    <row r="1223" ht="15" customHeight="1" s="37">
      <c r="A1223" t="n">
        <v>15</v>
      </c>
      <c r="B1223" s="10" t="inlineStr">
        <is>
          <t>休日</t>
        </is>
      </c>
      <c r="C1223" s="10" t="inlineStr">
        <is>
          <t>本線</t>
        </is>
      </c>
      <c r="D1223" s="10" t="inlineStr">
        <is>
          <t>上り</t>
        </is>
      </c>
      <c r="E1223" t="inlineStr">
        <is>
          <t>2402</t>
        </is>
      </c>
      <c r="F1223" t="inlineStr">
        <is>
          <t>0205</t>
        </is>
      </c>
      <c r="G1223" s="10" t="inlineStr">
        <is>
          <t>蚕ノ社</t>
        </is>
      </c>
      <c r="H1223" s="10" t="inlineStr">
        <is>
          <t>発</t>
        </is>
      </c>
      <c r="I1223" t="inlineStr">
        <is>
          <t>○</t>
        </is>
      </c>
      <c r="J1223" s="10" t="inlineStr">
        <is>
          <t>営業</t>
        </is>
      </c>
      <c r="L1223" t="inlineStr">
        <is>
          <t>24:17:50</t>
        </is>
      </c>
      <c r="M1223" t="inlineStr">
        <is>
          <t>24:18:10</t>
        </is>
      </c>
      <c r="R1223" t="inlineStr">
        <is>
          <t>○</t>
        </is>
      </c>
    </row>
    <row r="1224" ht="15" customHeight="1" s="37">
      <c r="A1224" t="n">
        <v>15</v>
      </c>
      <c r="B1224" s="10" t="inlineStr">
        <is>
          <t>休日</t>
        </is>
      </c>
      <c r="C1224" s="10" t="inlineStr">
        <is>
          <t>本線</t>
        </is>
      </c>
      <c r="D1224" s="10" t="inlineStr">
        <is>
          <t>上り</t>
        </is>
      </c>
      <c r="E1224" t="inlineStr">
        <is>
          <t>2402</t>
        </is>
      </c>
      <c r="F1224" t="inlineStr">
        <is>
          <t>0205</t>
        </is>
      </c>
      <c r="G1224" s="10" t="inlineStr">
        <is>
          <t>天神川</t>
        </is>
      </c>
      <c r="H1224" s="10" t="inlineStr">
        <is>
          <t>発</t>
        </is>
      </c>
      <c r="I1224" t="inlineStr">
        <is>
          <t>○</t>
        </is>
      </c>
      <c r="J1224" s="10" t="inlineStr">
        <is>
          <t>営業</t>
        </is>
      </c>
      <c r="L1224" t="inlineStr">
        <is>
          <t>24:18:55</t>
        </is>
      </c>
      <c r="M1224" t="inlineStr">
        <is>
          <t>24:19:20</t>
        </is>
      </c>
      <c r="R1224" t="inlineStr">
        <is>
          <t>○</t>
        </is>
      </c>
    </row>
    <row r="1225" ht="15" customHeight="1" s="37">
      <c r="A1225" t="n">
        <v>15</v>
      </c>
      <c r="B1225" s="10" t="inlineStr">
        <is>
          <t>休日</t>
        </is>
      </c>
      <c r="C1225" s="10" t="inlineStr">
        <is>
          <t>本線</t>
        </is>
      </c>
      <c r="D1225" s="10" t="inlineStr">
        <is>
          <t>上り</t>
        </is>
      </c>
      <c r="E1225" t="inlineStr">
        <is>
          <t>2402</t>
        </is>
      </c>
      <c r="F1225" t="inlineStr">
        <is>
          <t>0205</t>
        </is>
      </c>
      <c r="G1225" s="10" t="inlineStr">
        <is>
          <t>山ノ内</t>
        </is>
      </c>
      <c r="H1225" s="10" t="inlineStr">
        <is>
          <t>発</t>
        </is>
      </c>
      <c r="I1225" t="inlineStr">
        <is>
          <t>○</t>
        </is>
      </c>
      <c r="J1225" s="10" t="inlineStr">
        <is>
          <t>営業</t>
        </is>
      </c>
      <c r="L1225" t="inlineStr">
        <is>
          <t>24:21:10</t>
        </is>
      </c>
      <c r="M1225" t="inlineStr">
        <is>
          <t>24:21:35</t>
        </is>
      </c>
      <c r="R1225" t="inlineStr">
        <is>
          <t>○</t>
        </is>
      </c>
    </row>
    <row r="1226" ht="15" customHeight="1" s="37">
      <c r="A1226" t="n">
        <v>15</v>
      </c>
      <c r="B1226" s="10" t="inlineStr">
        <is>
          <t>休日</t>
        </is>
      </c>
      <c r="C1226" s="10" t="inlineStr">
        <is>
          <t>本線</t>
        </is>
      </c>
      <c r="D1226" s="10" t="inlineStr">
        <is>
          <t>上り</t>
        </is>
      </c>
      <c r="E1226" t="inlineStr">
        <is>
          <t>2402</t>
        </is>
      </c>
      <c r="F1226" t="inlineStr">
        <is>
          <t>0205</t>
        </is>
      </c>
      <c r="G1226" s="10" t="inlineStr">
        <is>
          <t>西大路三条</t>
        </is>
      </c>
      <c r="H1226" s="10" t="inlineStr">
        <is>
          <t>発</t>
        </is>
      </c>
      <c r="I1226" t="inlineStr">
        <is>
          <t>○</t>
        </is>
      </c>
      <c r="J1226" s="10" t="inlineStr">
        <is>
          <t>営業</t>
        </is>
      </c>
      <c r="L1226" t="inlineStr">
        <is>
          <t>24:23:25</t>
        </is>
      </c>
      <c r="M1226" t="inlineStr">
        <is>
          <t>24:23:40</t>
        </is>
      </c>
      <c r="R1226" t="inlineStr">
        <is>
          <t>○</t>
        </is>
      </c>
    </row>
    <row r="1227" ht="15" customHeight="1" s="37">
      <c r="A1227" t="n">
        <v>15</v>
      </c>
      <c r="B1227" s="10" t="inlineStr">
        <is>
          <t>休日</t>
        </is>
      </c>
      <c r="C1227" s="10" t="inlineStr">
        <is>
          <t>本線</t>
        </is>
      </c>
      <c r="D1227" s="10" t="inlineStr">
        <is>
          <t>上り</t>
        </is>
      </c>
      <c r="E1227" t="inlineStr">
        <is>
          <t>2402</t>
        </is>
      </c>
      <c r="F1227" t="inlineStr">
        <is>
          <t>0205</t>
        </is>
      </c>
      <c r="G1227" s="10" t="inlineStr">
        <is>
          <t>西院</t>
        </is>
      </c>
      <c r="H1227" s="10" t="inlineStr">
        <is>
          <t>着</t>
        </is>
      </c>
      <c r="I1227" t="inlineStr">
        <is>
          <t>○</t>
        </is>
      </c>
      <c r="J1227" s="10" t="inlineStr">
        <is>
          <t>営業</t>
        </is>
      </c>
      <c r="L1227" t="inlineStr">
        <is>
          <t>24:25:35</t>
        </is>
      </c>
      <c r="R1227" t="inlineStr">
        <is>
          <t>○</t>
        </is>
      </c>
      <c r="T1227" t="inlineStr">
        <is>
          <t>○</t>
        </is>
      </c>
    </row>
    <row r="1228" ht="15" customHeight="1" s="37">
      <c r="A1228" t="n">
        <v>15</v>
      </c>
      <c r="B1228" s="10" t="inlineStr">
        <is>
          <t>休日</t>
        </is>
      </c>
      <c r="C1228" s="10" t="inlineStr">
        <is>
          <t>本線</t>
        </is>
      </c>
      <c r="D1228" s="10" t="inlineStr">
        <is>
          <t>下り</t>
        </is>
      </c>
      <c r="E1228" s="10" t="inlineStr">
        <is>
          <t>連1703</t>
        </is>
      </c>
      <c r="F1228" t="inlineStr">
        <is>
          <t>0122</t>
        </is>
      </c>
      <c r="G1228" s="10" t="inlineStr">
        <is>
          <t>西院</t>
        </is>
      </c>
      <c r="H1228" s="10" t="inlineStr">
        <is>
          <t>発</t>
        </is>
      </c>
      <c r="J1228" s="10" t="inlineStr">
        <is>
          <t>営業</t>
        </is>
      </c>
      <c r="L1228" t="inlineStr">
        <is>
          <t>17:15:50</t>
        </is>
      </c>
      <c r="M1228" t="inlineStr">
        <is>
          <t>17:16:20</t>
        </is>
      </c>
      <c r="P1228" t="inlineStr">
        <is>
          <t>B系統(終日)</t>
        </is>
      </c>
    </row>
    <row r="1229" ht="15" customHeight="1" s="37">
      <c r="A1229" t="n">
        <v>15</v>
      </c>
      <c r="B1229" s="10" t="inlineStr">
        <is>
          <t>休日</t>
        </is>
      </c>
      <c r="C1229" s="10" t="inlineStr">
        <is>
          <t>本線</t>
        </is>
      </c>
      <c r="D1229" s="10" t="inlineStr">
        <is>
          <t>下り</t>
        </is>
      </c>
      <c r="E1229" s="10" t="inlineStr">
        <is>
          <t>連1703</t>
        </is>
      </c>
      <c r="F1229" t="inlineStr">
        <is>
          <t>0122</t>
        </is>
      </c>
      <c r="G1229" s="10" t="inlineStr">
        <is>
          <t>西大路三条</t>
        </is>
      </c>
      <c r="H1229" s="10" t="inlineStr">
        <is>
          <t>発</t>
        </is>
      </c>
      <c r="J1229" s="10" t="inlineStr">
        <is>
          <t>営業</t>
        </is>
      </c>
      <c r="L1229" t="inlineStr">
        <is>
          <t>17:18:10</t>
        </is>
      </c>
      <c r="M1229" t="inlineStr">
        <is>
          <t>17:18:30</t>
        </is>
      </c>
      <c r="P1229" t="inlineStr">
        <is>
          <t>B系統(終日)</t>
        </is>
      </c>
    </row>
    <row r="1230" ht="15" customHeight="1" s="37">
      <c r="A1230" t="n">
        <v>15</v>
      </c>
      <c r="B1230" s="10" t="inlineStr">
        <is>
          <t>休日</t>
        </is>
      </c>
      <c r="C1230" s="10" t="inlineStr">
        <is>
          <t>本線</t>
        </is>
      </c>
      <c r="D1230" s="10" t="inlineStr">
        <is>
          <t>下り</t>
        </is>
      </c>
      <c r="E1230" s="10" t="inlineStr">
        <is>
          <t>連1703</t>
        </is>
      </c>
      <c r="F1230" t="inlineStr">
        <is>
          <t>0122</t>
        </is>
      </c>
      <c r="G1230" s="10" t="inlineStr">
        <is>
          <t>山ノ内</t>
        </is>
      </c>
      <c r="H1230" s="10" t="inlineStr">
        <is>
          <t>発</t>
        </is>
      </c>
      <c r="J1230" s="10" t="inlineStr">
        <is>
          <t>営業</t>
        </is>
      </c>
      <c r="L1230" t="inlineStr">
        <is>
          <t>17:20:25</t>
        </is>
      </c>
      <c r="M1230" t="inlineStr">
        <is>
          <t>17:20:50</t>
        </is>
      </c>
      <c r="P1230" t="inlineStr">
        <is>
          <t>B系統(終日)</t>
        </is>
      </c>
    </row>
    <row r="1231" ht="15" customHeight="1" s="37">
      <c r="A1231" t="n">
        <v>15</v>
      </c>
      <c r="B1231" s="10" t="inlineStr">
        <is>
          <t>休日</t>
        </is>
      </c>
      <c r="C1231" s="10" t="inlineStr">
        <is>
          <t>本線</t>
        </is>
      </c>
      <c r="D1231" s="10" t="inlineStr">
        <is>
          <t>下り</t>
        </is>
      </c>
      <c r="E1231" s="10" t="inlineStr">
        <is>
          <t>連1703</t>
        </is>
      </c>
      <c r="F1231" t="inlineStr">
        <is>
          <t>0122</t>
        </is>
      </c>
      <c r="G1231" s="10" t="inlineStr">
        <is>
          <t>天神川</t>
        </is>
      </c>
      <c r="H1231" s="10" t="inlineStr">
        <is>
          <t>発</t>
        </is>
      </c>
      <c r="J1231" s="10" t="inlineStr">
        <is>
          <t>営業</t>
        </is>
      </c>
      <c r="L1231" t="inlineStr">
        <is>
          <t>17:22:50</t>
        </is>
      </c>
      <c r="M1231" t="inlineStr">
        <is>
          <t>17:23:30</t>
        </is>
      </c>
      <c r="P1231" t="inlineStr">
        <is>
          <t>B系統(終日)</t>
        </is>
      </c>
    </row>
    <row r="1232" ht="15" customHeight="1" s="37">
      <c r="A1232" t="n">
        <v>15</v>
      </c>
      <c r="B1232" s="10" t="inlineStr">
        <is>
          <t>休日</t>
        </is>
      </c>
      <c r="C1232" s="10" t="inlineStr">
        <is>
          <t>本線</t>
        </is>
      </c>
      <c r="D1232" s="10" t="inlineStr">
        <is>
          <t>下り</t>
        </is>
      </c>
      <c r="E1232" s="10" t="inlineStr">
        <is>
          <t>連1703</t>
        </is>
      </c>
      <c r="F1232" t="inlineStr">
        <is>
          <t>0122</t>
        </is>
      </c>
      <c r="G1232" s="10" t="inlineStr">
        <is>
          <t>蚕ノ社</t>
        </is>
      </c>
      <c r="H1232" s="10" t="inlineStr">
        <is>
          <t>発</t>
        </is>
      </c>
      <c r="J1232" s="10" t="inlineStr">
        <is>
          <t>営業</t>
        </is>
      </c>
      <c r="L1232" t="inlineStr">
        <is>
          <t>17:24:20</t>
        </is>
      </c>
      <c r="M1232" t="inlineStr">
        <is>
          <t>17:24:40</t>
        </is>
      </c>
      <c r="P1232" t="inlineStr">
        <is>
          <t>B系統(終日)</t>
        </is>
      </c>
    </row>
    <row r="1233" ht="15" customHeight="1" s="37">
      <c r="A1233" t="n">
        <v>15</v>
      </c>
      <c r="B1233" s="10" t="inlineStr">
        <is>
          <t>休日</t>
        </is>
      </c>
      <c r="C1233" s="10" t="inlineStr">
        <is>
          <t>本線</t>
        </is>
      </c>
      <c r="D1233" s="10" t="inlineStr">
        <is>
          <t>下り</t>
        </is>
      </c>
      <c r="E1233" s="10" t="inlineStr">
        <is>
          <t>連1703</t>
        </is>
      </c>
      <c r="F1233" t="inlineStr">
        <is>
          <t>0122</t>
        </is>
      </c>
      <c r="G1233" s="10" t="inlineStr">
        <is>
          <t>太秦広隆寺</t>
        </is>
      </c>
      <c r="H1233" s="10" t="inlineStr">
        <is>
          <t>発</t>
        </is>
      </c>
      <c r="J1233" s="10" t="inlineStr">
        <is>
          <t>営業</t>
        </is>
      </c>
      <c r="L1233" t="inlineStr">
        <is>
          <t>17:26:00</t>
        </is>
      </c>
      <c r="M1233" t="inlineStr">
        <is>
          <t>17:26:20</t>
        </is>
      </c>
      <c r="P1233" t="inlineStr">
        <is>
          <t>B系統(終日)</t>
        </is>
      </c>
    </row>
    <row r="1234" ht="15" customHeight="1" s="37">
      <c r="A1234" t="n">
        <v>15</v>
      </c>
      <c r="B1234" s="10" t="inlineStr">
        <is>
          <t>休日</t>
        </is>
      </c>
      <c r="C1234" s="10" t="inlineStr">
        <is>
          <t>本線</t>
        </is>
      </c>
      <c r="D1234" s="10" t="inlineStr">
        <is>
          <t>下り</t>
        </is>
      </c>
      <c r="E1234" s="10" t="inlineStr">
        <is>
          <t>連1703</t>
        </is>
      </c>
      <c r="F1234" t="inlineStr">
        <is>
          <t>0122</t>
        </is>
      </c>
      <c r="G1234" s="10" t="inlineStr">
        <is>
          <t>帷子ノ辻</t>
        </is>
      </c>
      <c r="H1234" s="10" t="inlineStr">
        <is>
          <t>発</t>
        </is>
      </c>
      <c r="J1234" s="10" t="inlineStr">
        <is>
          <t>営業</t>
        </is>
      </c>
      <c r="L1234" t="inlineStr">
        <is>
          <t>17:28:20</t>
        </is>
      </c>
      <c r="M1234" t="inlineStr">
        <is>
          <t>17:29:40</t>
        </is>
      </c>
      <c r="P1234" t="inlineStr">
        <is>
          <t>B系統(終日)</t>
        </is>
      </c>
    </row>
    <row r="1235" ht="15" customHeight="1" s="37">
      <c r="A1235" t="n">
        <v>15</v>
      </c>
      <c r="B1235" s="10" t="inlineStr">
        <is>
          <t>休日</t>
        </is>
      </c>
      <c r="C1235" s="10" t="inlineStr">
        <is>
          <t>本線</t>
        </is>
      </c>
      <c r="D1235" s="10" t="inlineStr">
        <is>
          <t>下り</t>
        </is>
      </c>
      <c r="E1235" s="10" t="inlineStr">
        <is>
          <t>連1703</t>
        </is>
      </c>
      <c r="F1235" t="inlineStr">
        <is>
          <t>0122</t>
        </is>
      </c>
      <c r="G1235" s="10" t="inlineStr">
        <is>
          <t>有栖川</t>
        </is>
      </c>
      <c r="H1235" s="10" t="inlineStr">
        <is>
          <t>発</t>
        </is>
      </c>
      <c r="J1235" s="10" t="inlineStr">
        <is>
          <t>営業</t>
        </is>
      </c>
      <c r="L1235" t="inlineStr">
        <is>
          <t>17:30:50</t>
        </is>
      </c>
      <c r="M1235" t="inlineStr">
        <is>
          <t>17:31:15</t>
        </is>
      </c>
      <c r="P1235" t="inlineStr">
        <is>
          <t>B系統(終日)</t>
        </is>
      </c>
    </row>
    <row r="1236" ht="15" customHeight="1" s="37">
      <c r="A1236" t="n">
        <v>15</v>
      </c>
      <c r="B1236" s="10" t="inlineStr">
        <is>
          <t>休日</t>
        </is>
      </c>
      <c r="C1236" s="10" t="inlineStr">
        <is>
          <t>本線</t>
        </is>
      </c>
      <c r="D1236" s="10" t="inlineStr">
        <is>
          <t>下り</t>
        </is>
      </c>
      <c r="E1236" s="10" t="inlineStr">
        <is>
          <t>連1703</t>
        </is>
      </c>
      <c r="F1236" t="inlineStr">
        <is>
          <t>0122</t>
        </is>
      </c>
      <c r="G1236" s="10" t="inlineStr">
        <is>
          <t>車折</t>
        </is>
      </c>
      <c r="H1236" s="10" t="inlineStr">
        <is>
          <t>発</t>
        </is>
      </c>
      <c r="J1236" s="10" t="inlineStr">
        <is>
          <t>営業</t>
        </is>
      </c>
      <c r="L1236" t="inlineStr">
        <is>
          <t>17:32:40</t>
        </is>
      </c>
      <c r="M1236" t="inlineStr">
        <is>
          <t>17:33:05</t>
        </is>
      </c>
      <c r="P1236" t="inlineStr">
        <is>
          <t>B系統(終日)</t>
        </is>
      </c>
    </row>
    <row r="1237" ht="15" customHeight="1" s="37">
      <c r="A1237" t="n">
        <v>15</v>
      </c>
      <c r="B1237" s="10" t="inlineStr">
        <is>
          <t>休日</t>
        </is>
      </c>
      <c r="C1237" s="10" t="inlineStr">
        <is>
          <t>本線</t>
        </is>
      </c>
      <c r="D1237" s="10" t="inlineStr">
        <is>
          <t>下り</t>
        </is>
      </c>
      <c r="E1237" s="10" t="inlineStr">
        <is>
          <t>連1703</t>
        </is>
      </c>
      <c r="F1237" t="inlineStr">
        <is>
          <t>0122</t>
        </is>
      </c>
      <c r="G1237" s="10" t="inlineStr">
        <is>
          <t>鹿王院</t>
        </is>
      </c>
      <c r="H1237" s="10" t="inlineStr">
        <is>
          <t>発</t>
        </is>
      </c>
      <c r="J1237" s="10" t="inlineStr">
        <is>
          <t>営業</t>
        </is>
      </c>
      <c r="L1237" t="inlineStr">
        <is>
          <t>17:34:00</t>
        </is>
      </c>
      <c r="M1237" t="inlineStr">
        <is>
          <t>17:34:25</t>
        </is>
      </c>
      <c r="P1237" t="inlineStr">
        <is>
          <t>B系統(終日)</t>
        </is>
      </c>
    </row>
    <row r="1238" ht="15" customHeight="1" s="37">
      <c r="A1238" t="n">
        <v>15</v>
      </c>
      <c r="B1238" s="10" t="inlineStr">
        <is>
          <t>休日</t>
        </is>
      </c>
      <c r="C1238" s="10" t="inlineStr">
        <is>
          <t>本線</t>
        </is>
      </c>
      <c r="D1238" s="10" t="inlineStr">
        <is>
          <t>下り</t>
        </is>
      </c>
      <c r="E1238" s="10" t="inlineStr">
        <is>
          <t>連1703</t>
        </is>
      </c>
      <c r="F1238" t="inlineStr">
        <is>
          <t>0122</t>
        </is>
      </c>
      <c r="G1238" s="10" t="inlineStr">
        <is>
          <t>嵯峨</t>
        </is>
      </c>
      <c r="H1238" s="10" t="inlineStr">
        <is>
          <t>発</t>
        </is>
      </c>
      <c r="J1238" s="10" t="inlineStr">
        <is>
          <t>営業</t>
        </is>
      </c>
      <c r="L1238" t="inlineStr">
        <is>
          <t>17:35:30</t>
        </is>
      </c>
      <c r="M1238" t="inlineStr">
        <is>
          <t>17:35:55</t>
        </is>
      </c>
      <c r="P1238" t="inlineStr">
        <is>
          <t>B系統(終日)</t>
        </is>
      </c>
    </row>
    <row r="1239" ht="15" customHeight="1" s="37">
      <c r="A1239" t="n">
        <v>15</v>
      </c>
      <c r="B1239" s="10" t="inlineStr">
        <is>
          <t>休日</t>
        </is>
      </c>
      <c r="C1239" s="10" t="inlineStr">
        <is>
          <t>本線</t>
        </is>
      </c>
      <c r="D1239" s="10" t="inlineStr">
        <is>
          <t>下り</t>
        </is>
      </c>
      <c r="E1239" s="10" t="inlineStr">
        <is>
          <t>連1703</t>
        </is>
      </c>
      <c r="F1239" t="inlineStr">
        <is>
          <t>0122</t>
        </is>
      </c>
      <c r="G1239" s="10" t="inlineStr">
        <is>
          <t>嵐山</t>
        </is>
      </c>
      <c r="H1239" s="10" t="inlineStr">
        <is>
          <t>着</t>
        </is>
      </c>
      <c r="J1239" s="10" t="inlineStr">
        <is>
          <t>営業</t>
        </is>
      </c>
      <c r="L1239" t="inlineStr">
        <is>
          <t>17:37:00</t>
        </is>
      </c>
      <c r="N1239" t="inlineStr">
        <is>
          <t>○</t>
        </is>
      </c>
      <c r="P1239" t="inlineStr">
        <is>
          <t>B系統(終日)</t>
        </is>
      </c>
      <c r="Q1239" t="inlineStr">
        <is>
          <t>1</t>
        </is>
      </c>
    </row>
    <row r="1240" ht="15" customHeight="1" s="37">
      <c r="A1240" t="n">
        <v>15</v>
      </c>
      <c r="B1240" s="10" t="inlineStr">
        <is>
          <t>休日</t>
        </is>
      </c>
      <c r="C1240" s="10" t="inlineStr">
        <is>
          <t>本線</t>
        </is>
      </c>
      <c r="D1240" s="10" t="inlineStr">
        <is>
          <t>上り</t>
        </is>
      </c>
      <c r="E1240" s="10" t="inlineStr">
        <is>
          <t>連1710</t>
        </is>
      </c>
      <c r="F1240" t="inlineStr">
        <is>
          <t>2221</t>
        </is>
      </c>
      <c r="G1240" s="10" t="inlineStr">
        <is>
          <t>嵐山</t>
        </is>
      </c>
      <c r="H1240" s="10" t="inlineStr">
        <is>
          <t>発</t>
        </is>
      </c>
      <c r="J1240" s="10" t="inlineStr">
        <is>
          <t>営業</t>
        </is>
      </c>
      <c r="M1240" t="inlineStr">
        <is>
          <t>17:43:00</t>
        </is>
      </c>
      <c r="P1240" t="inlineStr">
        <is>
          <t>B系統(終日)</t>
        </is>
      </c>
      <c r="Q1240" t="inlineStr">
        <is>
          <t>1</t>
        </is>
      </c>
    </row>
    <row r="1241" ht="15" customHeight="1" s="37">
      <c r="A1241" t="n">
        <v>15</v>
      </c>
      <c r="B1241" s="10" t="inlineStr">
        <is>
          <t>休日</t>
        </is>
      </c>
      <c r="C1241" s="10" t="inlineStr">
        <is>
          <t>本線</t>
        </is>
      </c>
      <c r="D1241" s="10" t="inlineStr">
        <is>
          <t>上り</t>
        </is>
      </c>
      <c r="E1241" s="10" t="inlineStr">
        <is>
          <t>連1710</t>
        </is>
      </c>
      <c r="F1241" t="inlineStr">
        <is>
          <t>2221</t>
        </is>
      </c>
      <c r="G1241" s="10" t="inlineStr">
        <is>
          <t>嵯峨</t>
        </is>
      </c>
      <c r="H1241" s="10" t="inlineStr">
        <is>
          <t>発</t>
        </is>
      </c>
      <c r="J1241" s="10" t="inlineStr">
        <is>
          <t>営業</t>
        </is>
      </c>
      <c r="L1241" t="inlineStr">
        <is>
          <t>17:43:55</t>
        </is>
      </c>
      <c r="M1241" t="inlineStr">
        <is>
          <t>17:44:20</t>
        </is>
      </c>
      <c r="P1241" t="inlineStr">
        <is>
          <t>B系統(終日)</t>
        </is>
      </c>
    </row>
    <row r="1242" ht="15" customHeight="1" s="37">
      <c r="A1242" t="n">
        <v>15</v>
      </c>
      <c r="B1242" s="10" t="inlineStr">
        <is>
          <t>休日</t>
        </is>
      </c>
      <c r="C1242" s="10" t="inlineStr">
        <is>
          <t>本線</t>
        </is>
      </c>
      <c r="D1242" s="10" t="inlineStr">
        <is>
          <t>上り</t>
        </is>
      </c>
      <c r="E1242" s="10" t="inlineStr">
        <is>
          <t>連1710</t>
        </is>
      </c>
      <c r="F1242" t="inlineStr">
        <is>
          <t>2221</t>
        </is>
      </c>
      <c r="G1242" s="10" t="inlineStr">
        <is>
          <t>鹿王院</t>
        </is>
      </c>
      <c r="H1242" s="10" t="inlineStr">
        <is>
          <t>発</t>
        </is>
      </c>
      <c r="J1242" s="10" t="inlineStr">
        <is>
          <t>営業</t>
        </is>
      </c>
      <c r="L1242" t="inlineStr">
        <is>
          <t>17:45:25</t>
        </is>
      </c>
      <c r="M1242" t="inlineStr">
        <is>
          <t>17:45:45</t>
        </is>
      </c>
      <c r="P1242" t="inlineStr">
        <is>
          <t>B系統(終日)</t>
        </is>
      </c>
    </row>
    <row r="1243" ht="15" customHeight="1" s="37">
      <c r="A1243" t="n">
        <v>15</v>
      </c>
      <c r="B1243" s="10" t="inlineStr">
        <is>
          <t>休日</t>
        </is>
      </c>
      <c r="C1243" s="10" t="inlineStr">
        <is>
          <t>本線</t>
        </is>
      </c>
      <c r="D1243" s="10" t="inlineStr">
        <is>
          <t>上り</t>
        </is>
      </c>
      <c r="E1243" s="10" t="inlineStr">
        <is>
          <t>連1710</t>
        </is>
      </c>
      <c r="F1243" t="inlineStr">
        <is>
          <t>2221</t>
        </is>
      </c>
      <c r="G1243" s="10" t="inlineStr">
        <is>
          <t>車折</t>
        </is>
      </c>
      <c r="H1243" s="10" t="inlineStr">
        <is>
          <t>発</t>
        </is>
      </c>
      <c r="J1243" s="10" t="inlineStr">
        <is>
          <t>営業</t>
        </is>
      </c>
      <c r="L1243" t="inlineStr">
        <is>
          <t>17:46:40</t>
        </is>
      </c>
      <c r="M1243" t="inlineStr">
        <is>
          <t>17:47:10</t>
        </is>
      </c>
      <c r="P1243" t="inlineStr">
        <is>
          <t>B系統(終日)</t>
        </is>
      </c>
    </row>
    <row r="1244" ht="15" customHeight="1" s="37">
      <c r="A1244" t="n">
        <v>15</v>
      </c>
      <c r="B1244" s="10" t="inlineStr">
        <is>
          <t>休日</t>
        </is>
      </c>
      <c r="C1244" s="10" t="inlineStr">
        <is>
          <t>本線</t>
        </is>
      </c>
      <c r="D1244" s="10" t="inlineStr">
        <is>
          <t>上り</t>
        </is>
      </c>
      <c r="E1244" s="10" t="inlineStr">
        <is>
          <t>連1710</t>
        </is>
      </c>
      <c r="F1244" t="inlineStr">
        <is>
          <t>2221</t>
        </is>
      </c>
      <c r="G1244" s="10" t="inlineStr">
        <is>
          <t>有栖川</t>
        </is>
      </c>
      <c r="H1244" s="10" t="inlineStr">
        <is>
          <t>発</t>
        </is>
      </c>
      <c r="J1244" s="10" t="inlineStr">
        <is>
          <t>営業</t>
        </is>
      </c>
      <c r="L1244" t="inlineStr">
        <is>
          <t>17:48:35</t>
        </is>
      </c>
      <c r="M1244" t="inlineStr">
        <is>
          <t>17:48:55</t>
        </is>
      </c>
      <c r="P1244" t="inlineStr">
        <is>
          <t>B系統(終日)</t>
        </is>
      </c>
    </row>
    <row r="1245" ht="15" customHeight="1" s="37">
      <c r="A1245" t="n">
        <v>15</v>
      </c>
      <c r="B1245" s="10" t="inlineStr">
        <is>
          <t>休日</t>
        </is>
      </c>
      <c r="C1245" s="10" t="inlineStr">
        <is>
          <t>本線</t>
        </is>
      </c>
      <c r="D1245" s="10" t="inlineStr">
        <is>
          <t>上り</t>
        </is>
      </c>
      <c r="E1245" s="10" t="inlineStr">
        <is>
          <t>連1710</t>
        </is>
      </c>
      <c r="F1245" t="inlineStr">
        <is>
          <t>2221</t>
        </is>
      </c>
      <c r="G1245" s="10" t="inlineStr">
        <is>
          <t>帷子ノ辻</t>
        </is>
      </c>
      <c r="H1245" s="10" t="inlineStr">
        <is>
          <t>発</t>
        </is>
      </c>
      <c r="J1245" s="10" t="inlineStr">
        <is>
          <t>営業</t>
        </is>
      </c>
      <c r="L1245" t="inlineStr">
        <is>
          <t>17:50:10</t>
        </is>
      </c>
      <c r="M1245" t="inlineStr">
        <is>
          <t>17:51:15</t>
        </is>
      </c>
      <c r="P1245" t="inlineStr">
        <is>
          <t>B系統(終日)</t>
        </is>
      </c>
    </row>
    <row r="1246" ht="15" customHeight="1" s="37">
      <c r="A1246" t="n">
        <v>15</v>
      </c>
      <c r="B1246" s="10" t="inlineStr">
        <is>
          <t>休日</t>
        </is>
      </c>
      <c r="C1246" s="10" t="inlineStr">
        <is>
          <t>本線</t>
        </is>
      </c>
      <c r="D1246" s="10" t="inlineStr">
        <is>
          <t>上り</t>
        </is>
      </c>
      <c r="E1246" s="10" t="inlineStr">
        <is>
          <t>連1710</t>
        </is>
      </c>
      <c r="F1246" t="inlineStr">
        <is>
          <t>2221</t>
        </is>
      </c>
      <c r="G1246" s="10" t="inlineStr">
        <is>
          <t>太秦広隆寺</t>
        </is>
      </c>
      <c r="H1246" s="10" t="inlineStr">
        <is>
          <t>発</t>
        </is>
      </c>
      <c r="J1246" s="10" t="inlineStr">
        <is>
          <t>営業</t>
        </is>
      </c>
      <c r="L1246" t="inlineStr">
        <is>
          <t>17:53:25</t>
        </is>
      </c>
      <c r="M1246" t="inlineStr">
        <is>
          <t>17:53:45</t>
        </is>
      </c>
      <c r="P1246" t="inlineStr">
        <is>
          <t>B系統(終日)</t>
        </is>
      </c>
    </row>
    <row r="1247" ht="15" customHeight="1" s="37">
      <c r="A1247" t="n">
        <v>15</v>
      </c>
      <c r="B1247" s="10" t="inlineStr">
        <is>
          <t>休日</t>
        </is>
      </c>
      <c r="C1247" s="10" t="inlineStr">
        <is>
          <t>本線</t>
        </is>
      </c>
      <c r="D1247" s="10" t="inlineStr">
        <is>
          <t>上り</t>
        </is>
      </c>
      <c r="E1247" s="10" t="inlineStr">
        <is>
          <t>連1710</t>
        </is>
      </c>
      <c r="F1247" t="inlineStr">
        <is>
          <t>2221</t>
        </is>
      </c>
      <c r="G1247" s="10" t="inlineStr">
        <is>
          <t>蚕ノ社</t>
        </is>
      </c>
      <c r="H1247" s="10" t="inlineStr">
        <is>
          <t>発</t>
        </is>
      </c>
      <c r="J1247" s="10" t="inlineStr">
        <is>
          <t>営業</t>
        </is>
      </c>
      <c r="L1247" t="inlineStr">
        <is>
          <t>17:55:00</t>
        </is>
      </c>
      <c r="M1247" t="inlineStr">
        <is>
          <t>17:55:20</t>
        </is>
      </c>
      <c r="P1247" t="inlineStr">
        <is>
          <t>B系統(終日)</t>
        </is>
      </c>
    </row>
    <row r="1248" ht="15" customHeight="1" s="37">
      <c r="A1248" t="n">
        <v>15</v>
      </c>
      <c r="B1248" s="10" t="inlineStr">
        <is>
          <t>休日</t>
        </is>
      </c>
      <c r="C1248" s="10" t="inlineStr">
        <is>
          <t>本線</t>
        </is>
      </c>
      <c r="D1248" s="10" t="inlineStr">
        <is>
          <t>上り</t>
        </is>
      </c>
      <c r="E1248" s="10" t="inlineStr">
        <is>
          <t>連1710</t>
        </is>
      </c>
      <c r="F1248" t="inlineStr">
        <is>
          <t>2221</t>
        </is>
      </c>
      <c r="G1248" s="10" t="inlineStr">
        <is>
          <t>天神川</t>
        </is>
      </c>
      <c r="H1248" s="10" t="inlineStr">
        <is>
          <t>発</t>
        </is>
      </c>
      <c r="J1248" s="10" t="inlineStr">
        <is>
          <t>営業</t>
        </is>
      </c>
      <c r="L1248" t="inlineStr">
        <is>
          <t>17:56:05</t>
        </is>
      </c>
      <c r="M1248" t="inlineStr">
        <is>
          <t>17:56:50</t>
        </is>
      </c>
      <c r="P1248" t="inlineStr">
        <is>
          <t>B系統(終日)</t>
        </is>
      </c>
    </row>
    <row r="1249" ht="15" customHeight="1" s="37">
      <c r="A1249" t="n">
        <v>15</v>
      </c>
      <c r="B1249" s="10" t="inlineStr">
        <is>
          <t>休日</t>
        </is>
      </c>
      <c r="C1249" s="10" t="inlineStr">
        <is>
          <t>本線</t>
        </is>
      </c>
      <c r="D1249" s="10" t="inlineStr">
        <is>
          <t>上り</t>
        </is>
      </c>
      <c r="E1249" s="10" t="inlineStr">
        <is>
          <t>連1710</t>
        </is>
      </c>
      <c r="F1249" t="inlineStr">
        <is>
          <t>2221</t>
        </is>
      </c>
      <c r="G1249" s="10" t="inlineStr">
        <is>
          <t>山ノ内</t>
        </is>
      </c>
      <c r="H1249" s="10" t="inlineStr">
        <is>
          <t>発</t>
        </is>
      </c>
      <c r="J1249" s="10" t="inlineStr">
        <is>
          <t>営業</t>
        </is>
      </c>
      <c r="L1249" t="inlineStr">
        <is>
          <t>17:58:40</t>
        </is>
      </c>
      <c r="M1249" t="inlineStr">
        <is>
          <t>17:59:05</t>
        </is>
      </c>
      <c r="P1249" t="inlineStr">
        <is>
          <t>B系統(終日)</t>
        </is>
      </c>
    </row>
    <row r="1250" ht="15" customHeight="1" s="37">
      <c r="A1250" t="n">
        <v>15</v>
      </c>
      <c r="B1250" s="10" t="inlineStr">
        <is>
          <t>休日</t>
        </is>
      </c>
      <c r="C1250" s="10" t="inlineStr">
        <is>
          <t>本線</t>
        </is>
      </c>
      <c r="D1250" s="10" t="inlineStr">
        <is>
          <t>上り</t>
        </is>
      </c>
      <c r="E1250" s="10" t="inlineStr">
        <is>
          <t>連1710</t>
        </is>
      </c>
      <c r="F1250" t="inlineStr">
        <is>
          <t>2221</t>
        </is>
      </c>
      <c r="G1250" s="10" t="inlineStr">
        <is>
          <t>西大路三条</t>
        </is>
      </c>
      <c r="H1250" s="10" t="inlineStr">
        <is>
          <t>発</t>
        </is>
      </c>
      <c r="J1250" s="10" t="inlineStr">
        <is>
          <t>営業</t>
        </is>
      </c>
      <c r="L1250" t="inlineStr">
        <is>
          <t>18:00:55</t>
        </is>
      </c>
      <c r="M1250" t="inlineStr">
        <is>
          <t>18:01:15</t>
        </is>
      </c>
      <c r="P1250" t="inlineStr">
        <is>
          <t>B系統(終日)</t>
        </is>
      </c>
    </row>
    <row r="1251" ht="15" customHeight="1" s="37">
      <c r="A1251" t="n">
        <v>15</v>
      </c>
      <c r="B1251" s="10" t="inlineStr">
        <is>
          <t>休日</t>
        </is>
      </c>
      <c r="C1251" s="10" t="inlineStr">
        <is>
          <t>本線</t>
        </is>
      </c>
      <c r="D1251" s="10" t="inlineStr">
        <is>
          <t>上り</t>
        </is>
      </c>
      <c r="E1251" s="10" t="inlineStr">
        <is>
          <t>連1710</t>
        </is>
      </c>
      <c r="F1251" t="inlineStr">
        <is>
          <t>2221</t>
        </is>
      </c>
      <c r="G1251" s="10" t="inlineStr">
        <is>
          <t>西院</t>
        </is>
      </c>
      <c r="H1251" s="10" t="inlineStr">
        <is>
          <t>発</t>
        </is>
      </c>
      <c r="J1251" s="10" t="inlineStr">
        <is>
          <t>営業</t>
        </is>
      </c>
      <c r="L1251" t="inlineStr">
        <is>
          <t>18:03:10</t>
        </is>
      </c>
      <c r="M1251" t="inlineStr">
        <is>
          <t>18:04:05</t>
        </is>
      </c>
      <c r="P1251" t="inlineStr">
        <is>
          <t>B系統(終日)</t>
        </is>
      </c>
    </row>
    <row r="1252" ht="15" customHeight="1" s="37">
      <c r="A1252" t="n">
        <v>15</v>
      </c>
      <c r="B1252" s="10" t="inlineStr">
        <is>
          <t>休日</t>
        </is>
      </c>
      <c r="C1252" s="10" t="inlineStr">
        <is>
          <t>本線</t>
        </is>
      </c>
      <c r="D1252" s="10" t="inlineStr">
        <is>
          <t>上り</t>
        </is>
      </c>
      <c r="E1252" s="10" t="inlineStr">
        <is>
          <t>連1710</t>
        </is>
      </c>
      <c r="F1252" t="inlineStr">
        <is>
          <t>2221</t>
        </is>
      </c>
      <c r="G1252" s="10" t="inlineStr">
        <is>
          <t>四条大宮</t>
        </is>
      </c>
      <c r="H1252" s="10" t="inlineStr">
        <is>
          <t>着</t>
        </is>
      </c>
      <c r="J1252" s="10" t="inlineStr">
        <is>
          <t>営業</t>
        </is>
      </c>
      <c r="L1252" t="inlineStr">
        <is>
          <t>18:07:00</t>
        </is>
      </c>
      <c r="P1252" t="inlineStr">
        <is>
          <t>B系統(終日)</t>
        </is>
      </c>
      <c r="Q1252" t="inlineStr">
        <is>
          <t>1</t>
        </is>
      </c>
    </row>
    <row r="1253" ht="15" customHeight="1" s="37">
      <c r="A1253" t="n">
        <v>15</v>
      </c>
      <c r="B1253" s="10" t="inlineStr">
        <is>
          <t>休日</t>
        </is>
      </c>
      <c r="C1253" s="10" t="inlineStr">
        <is>
          <t>本線</t>
        </is>
      </c>
      <c r="D1253" s="10" t="inlineStr">
        <is>
          <t>下り</t>
        </is>
      </c>
      <c r="E1253" s="10" t="inlineStr">
        <is>
          <t>連1803</t>
        </is>
      </c>
      <c r="F1253" t="inlineStr">
        <is>
          <t>0122</t>
        </is>
      </c>
      <c r="G1253" s="10" t="inlineStr">
        <is>
          <t>四条大宮</t>
        </is>
      </c>
      <c r="H1253" s="10" t="inlineStr">
        <is>
          <t>発</t>
        </is>
      </c>
      <c r="J1253" s="10" t="inlineStr">
        <is>
          <t>営業</t>
        </is>
      </c>
      <c r="M1253" t="inlineStr">
        <is>
          <t>18:13:00</t>
        </is>
      </c>
      <c r="P1253" t="inlineStr">
        <is>
          <t>B系統(終日)</t>
        </is>
      </c>
      <c r="Q1253" t="inlineStr">
        <is>
          <t>1</t>
        </is>
      </c>
    </row>
    <row r="1254" ht="15" customHeight="1" s="37">
      <c r="A1254" t="n">
        <v>15</v>
      </c>
      <c r="B1254" s="10" t="inlineStr">
        <is>
          <t>休日</t>
        </is>
      </c>
      <c r="C1254" s="10" t="inlineStr">
        <is>
          <t>本線</t>
        </is>
      </c>
      <c r="D1254" s="10" t="inlineStr">
        <is>
          <t>下り</t>
        </is>
      </c>
      <c r="E1254" s="10" t="inlineStr">
        <is>
          <t>連1803</t>
        </is>
      </c>
      <c r="F1254" t="inlineStr">
        <is>
          <t>0122</t>
        </is>
      </c>
      <c r="G1254" s="10" t="inlineStr">
        <is>
          <t>西院</t>
        </is>
      </c>
      <c r="H1254" s="10" t="inlineStr">
        <is>
          <t>着</t>
        </is>
      </c>
      <c r="J1254" s="10" t="inlineStr">
        <is>
          <t>営業</t>
        </is>
      </c>
      <c r="L1254" t="inlineStr">
        <is>
          <t>18:15:50</t>
        </is>
      </c>
      <c r="M1254" t="inlineStr">
        <is>
          <t>18:16:20</t>
        </is>
      </c>
      <c r="P1254" t="inlineStr">
        <is>
          <t>B系統(終日)</t>
        </is>
      </c>
    </row>
    <row r="1255" ht="15" customHeight="1" s="37">
      <c r="A1255" t="n">
        <v>16</v>
      </c>
      <c r="B1255" s="10" t="inlineStr">
        <is>
          <t>休日</t>
        </is>
      </c>
      <c r="C1255" s="10" t="inlineStr">
        <is>
          <t>北野線</t>
        </is>
      </c>
      <c r="D1255" s="10" t="inlineStr">
        <is>
          <t>上り</t>
        </is>
      </c>
      <c r="E1255" t="inlineStr">
        <is>
          <t>0552</t>
        </is>
      </c>
      <c r="F1255" t="inlineStr">
        <is>
          <t>0304</t>
        </is>
      </c>
      <c r="G1255" s="10" t="inlineStr">
        <is>
          <t>帷子ノ辻</t>
        </is>
      </c>
      <c r="H1255" s="10" t="inlineStr">
        <is>
          <t>発</t>
        </is>
      </c>
      <c r="J1255" s="10" t="inlineStr">
        <is>
          <t>営業</t>
        </is>
      </c>
      <c r="K1255" t="inlineStr">
        <is>
          <t>←0591</t>
        </is>
      </c>
      <c r="M1255" t="inlineStr">
        <is>
          <t>5:48:50</t>
        </is>
      </c>
      <c r="O1255" t="inlineStr">
        <is>
          <t>積込:北白金庫(金庫2・納金袋1) 16系統Ⅰ側 北白6:00着</t>
        </is>
      </c>
      <c r="Q1255" t="inlineStr">
        <is>
          <t>4出</t>
        </is>
      </c>
    </row>
    <row r="1256" ht="15" customHeight="1" s="37">
      <c r="A1256" t="n">
        <v>16</v>
      </c>
      <c r="B1256" s="10" t="inlineStr">
        <is>
          <t>休日</t>
        </is>
      </c>
      <c r="C1256" s="10" t="inlineStr">
        <is>
          <t>北野線</t>
        </is>
      </c>
      <c r="D1256" s="10" t="inlineStr">
        <is>
          <t>上り</t>
        </is>
      </c>
      <c r="E1256" t="inlineStr">
        <is>
          <t>0552</t>
        </is>
      </c>
      <c r="F1256" t="inlineStr">
        <is>
          <t>0304</t>
        </is>
      </c>
      <c r="G1256" s="10" t="inlineStr">
        <is>
          <t>撮影所前</t>
        </is>
      </c>
      <c r="H1256" s="10" t="inlineStr">
        <is>
          <t>発</t>
        </is>
      </c>
      <c r="J1256" s="10" t="inlineStr">
        <is>
          <t>営業</t>
        </is>
      </c>
      <c r="K1256" t="inlineStr">
        <is>
          <t>←0591</t>
        </is>
      </c>
      <c r="L1256" t="inlineStr">
        <is>
          <t>5:49:50</t>
        </is>
      </c>
      <c r="M1256" t="inlineStr">
        <is>
          <t>5:49:55</t>
        </is>
      </c>
      <c r="O1256" t="inlineStr">
        <is>
          <t>積込:北白金庫(金庫2・納金袋1) 16系統Ⅰ側 北白6:00着</t>
        </is>
      </c>
    </row>
    <row r="1257" ht="15" customHeight="1" s="37">
      <c r="A1257" t="n">
        <v>16</v>
      </c>
      <c r="B1257" s="10" t="inlineStr">
        <is>
          <t>休日</t>
        </is>
      </c>
      <c r="C1257" s="10" t="inlineStr">
        <is>
          <t>北野線</t>
        </is>
      </c>
      <c r="D1257" s="10" t="inlineStr">
        <is>
          <t>上り</t>
        </is>
      </c>
      <c r="E1257" t="inlineStr">
        <is>
          <t>0552</t>
        </is>
      </c>
      <c r="F1257" t="inlineStr">
        <is>
          <t>0304</t>
        </is>
      </c>
      <c r="G1257" s="10" t="inlineStr">
        <is>
          <t>常盤</t>
        </is>
      </c>
      <c r="H1257" s="10" t="inlineStr">
        <is>
          <t>発</t>
        </is>
      </c>
      <c r="J1257" s="10" t="inlineStr">
        <is>
          <t>営業</t>
        </is>
      </c>
      <c r="K1257" t="inlineStr">
        <is>
          <t>←0591</t>
        </is>
      </c>
      <c r="L1257" t="inlineStr">
        <is>
          <t>5:51:15</t>
        </is>
      </c>
      <c r="M1257" t="inlineStr">
        <is>
          <t>5:51:35</t>
        </is>
      </c>
      <c r="O1257" t="inlineStr">
        <is>
          <t>積込:北白金庫(金庫2・納金袋1) 16系統Ⅰ側 北白6:00着</t>
        </is>
      </c>
    </row>
    <row r="1258" ht="15" customHeight="1" s="37">
      <c r="A1258" t="n">
        <v>16</v>
      </c>
      <c r="B1258" s="10" t="inlineStr">
        <is>
          <t>休日</t>
        </is>
      </c>
      <c r="C1258" s="10" t="inlineStr">
        <is>
          <t>北野線</t>
        </is>
      </c>
      <c r="D1258" s="10" t="inlineStr">
        <is>
          <t>上り</t>
        </is>
      </c>
      <c r="E1258" t="inlineStr">
        <is>
          <t>0552</t>
        </is>
      </c>
      <c r="F1258" t="inlineStr">
        <is>
          <t>0304</t>
        </is>
      </c>
      <c r="G1258" s="10" t="inlineStr">
        <is>
          <t>鳴滝</t>
        </is>
      </c>
      <c r="H1258" s="10" t="inlineStr">
        <is>
          <t>発</t>
        </is>
      </c>
      <c r="J1258" s="10" t="inlineStr">
        <is>
          <t>営業</t>
        </is>
      </c>
      <c r="K1258" t="inlineStr">
        <is>
          <t>←0591</t>
        </is>
      </c>
      <c r="L1258" t="inlineStr">
        <is>
          <t>5:52:35</t>
        </is>
      </c>
      <c r="M1258" t="inlineStr">
        <is>
          <t>5:52:55</t>
        </is>
      </c>
      <c r="O1258" t="inlineStr">
        <is>
          <t>積込:北白金庫(金庫2・納金袋1) 16系統Ⅰ側 北白6:00着</t>
        </is>
      </c>
    </row>
    <row r="1259" ht="15" customHeight="1" s="37">
      <c r="A1259" t="n">
        <v>16</v>
      </c>
      <c r="B1259" s="10" t="inlineStr">
        <is>
          <t>休日</t>
        </is>
      </c>
      <c r="C1259" s="10" t="inlineStr">
        <is>
          <t>北野線</t>
        </is>
      </c>
      <c r="D1259" s="10" t="inlineStr">
        <is>
          <t>上り</t>
        </is>
      </c>
      <c r="E1259" t="inlineStr">
        <is>
          <t>0552</t>
        </is>
      </c>
      <c r="F1259" t="inlineStr">
        <is>
          <t>0304</t>
        </is>
      </c>
      <c r="G1259" s="10" t="inlineStr">
        <is>
          <t>宇多野</t>
        </is>
      </c>
      <c r="H1259" s="10" t="inlineStr">
        <is>
          <t>発</t>
        </is>
      </c>
      <c r="J1259" s="10" t="inlineStr">
        <is>
          <t>営業</t>
        </is>
      </c>
      <c r="K1259" t="inlineStr">
        <is>
          <t>←0591</t>
        </is>
      </c>
      <c r="L1259" t="inlineStr">
        <is>
          <t>5:54:15</t>
        </is>
      </c>
      <c r="M1259" t="inlineStr">
        <is>
          <t>5:54:30</t>
        </is>
      </c>
      <c r="O1259" t="inlineStr">
        <is>
          <t>積込:北白金庫(金庫2・納金袋1) 16系統Ⅰ側 北白6:00着</t>
        </is>
      </c>
    </row>
    <row r="1260" ht="15" customHeight="1" s="37">
      <c r="A1260" t="n">
        <v>16</v>
      </c>
      <c r="B1260" s="10" t="inlineStr">
        <is>
          <t>休日</t>
        </is>
      </c>
      <c r="C1260" s="10" t="inlineStr">
        <is>
          <t>北野線</t>
        </is>
      </c>
      <c r="D1260" s="10" t="inlineStr">
        <is>
          <t>上り</t>
        </is>
      </c>
      <c r="E1260" t="inlineStr">
        <is>
          <t>0552</t>
        </is>
      </c>
      <c r="F1260" t="inlineStr">
        <is>
          <t>0304</t>
        </is>
      </c>
      <c r="G1260" s="10" t="inlineStr">
        <is>
          <t>御室仁和寺</t>
        </is>
      </c>
      <c r="H1260" s="10" t="inlineStr">
        <is>
          <t>発</t>
        </is>
      </c>
      <c r="J1260" s="10" t="inlineStr">
        <is>
          <t>営業</t>
        </is>
      </c>
      <c r="K1260" t="inlineStr">
        <is>
          <t>←0591</t>
        </is>
      </c>
      <c r="L1260" t="inlineStr">
        <is>
          <t>5:55:30</t>
        </is>
      </c>
      <c r="M1260" t="inlineStr">
        <is>
          <t>5:55:50</t>
        </is>
      </c>
      <c r="O1260" t="inlineStr">
        <is>
          <t>積込:北白金庫(金庫2・納金袋1) 16系統Ⅰ側 北白6:00着</t>
        </is>
      </c>
    </row>
    <row r="1261" ht="15" customHeight="1" s="37">
      <c r="A1261" t="n">
        <v>16</v>
      </c>
      <c r="B1261" s="10" t="inlineStr">
        <is>
          <t>休日</t>
        </is>
      </c>
      <c r="C1261" s="10" t="inlineStr">
        <is>
          <t>北野線</t>
        </is>
      </c>
      <c r="D1261" s="10" t="inlineStr">
        <is>
          <t>上り</t>
        </is>
      </c>
      <c r="E1261" t="inlineStr">
        <is>
          <t>0552</t>
        </is>
      </c>
      <c r="F1261" t="inlineStr">
        <is>
          <t>0304</t>
        </is>
      </c>
      <c r="G1261" s="10" t="inlineStr">
        <is>
          <t>妙心寺</t>
        </is>
      </c>
      <c r="H1261" s="10" t="inlineStr">
        <is>
          <t>発</t>
        </is>
      </c>
      <c r="J1261" s="10" t="inlineStr">
        <is>
          <t>営業</t>
        </is>
      </c>
      <c r="K1261" t="inlineStr">
        <is>
          <t>←0591</t>
        </is>
      </c>
      <c r="L1261" t="inlineStr">
        <is>
          <t>5:56:50</t>
        </is>
      </c>
      <c r="M1261" t="inlineStr">
        <is>
          <t>5:56:55</t>
        </is>
      </c>
      <c r="O1261" t="inlineStr">
        <is>
          <t>積込:北白金庫(金庫2・納金袋1) 16系統Ⅰ側 北白6:00着</t>
        </is>
      </c>
    </row>
    <row r="1262" ht="15" customHeight="1" s="37">
      <c r="A1262" t="n">
        <v>16</v>
      </c>
      <c r="B1262" s="10" t="inlineStr">
        <is>
          <t>休日</t>
        </is>
      </c>
      <c r="C1262" s="10" t="inlineStr">
        <is>
          <t>北野線</t>
        </is>
      </c>
      <c r="D1262" s="10" t="inlineStr">
        <is>
          <t>上り</t>
        </is>
      </c>
      <c r="E1262" t="inlineStr">
        <is>
          <t>0552</t>
        </is>
      </c>
      <c r="F1262" t="inlineStr">
        <is>
          <t>0304</t>
        </is>
      </c>
      <c r="G1262" s="10" t="inlineStr">
        <is>
          <t>龍安寺</t>
        </is>
      </c>
      <c r="H1262" s="10" t="inlineStr">
        <is>
          <t>発</t>
        </is>
      </c>
      <c r="J1262" s="10" t="inlineStr">
        <is>
          <t>営業</t>
        </is>
      </c>
      <c r="K1262" t="inlineStr">
        <is>
          <t>←0591</t>
        </is>
      </c>
      <c r="L1262" t="inlineStr">
        <is>
          <t>5:57:50</t>
        </is>
      </c>
      <c r="M1262" t="inlineStr">
        <is>
          <t>5:58:10</t>
        </is>
      </c>
      <c r="O1262" t="inlineStr">
        <is>
          <t>積込:北白金庫(金庫2・納金袋1) 16系統Ⅰ側 北白6:00着</t>
        </is>
      </c>
    </row>
    <row r="1263" ht="15" customHeight="1" s="37">
      <c r="A1263" t="n">
        <v>16</v>
      </c>
      <c r="B1263" s="10" t="inlineStr">
        <is>
          <t>休日</t>
        </is>
      </c>
      <c r="C1263" s="10" t="inlineStr">
        <is>
          <t>北野線</t>
        </is>
      </c>
      <c r="D1263" s="10" t="inlineStr">
        <is>
          <t>上り</t>
        </is>
      </c>
      <c r="E1263" t="inlineStr">
        <is>
          <t>0552</t>
        </is>
      </c>
      <c r="F1263" t="inlineStr">
        <is>
          <t>0304</t>
        </is>
      </c>
      <c r="G1263" s="10" t="inlineStr">
        <is>
          <t>等持院</t>
        </is>
      </c>
      <c r="H1263" s="10" t="inlineStr">
        <is>
          <t>発</t>
        </is>
      </c>
      <c r="J1263" s="10" t="inlineStr">
        <is>
          <t>営業</t>
        </is>
      </c>
      <c r="K1263" t="inlineStr">
        <is>
          <t>←0591</t>
        </is>
      </c>
      <c r="L1263" t="inlineStr">
        <is>
          <t>5:58:50</t>
        </is>
      </c>
      <c r="M1263" t="inlineStr">
        <is>
          <t>5:58:55</t>
        </is>
      </c>
      <c r="O1263" t="inlineStr">
        <is>
          <t>積込:北白金庫(金庫2・納金袋1) 16系統Ⅰ側 北白6:00着</t>
        </is>
      </c>
    </row>
    <row r="1264" ht="15" customHeight="1" s="37">
      <c r="A1264" t="n">
        <v>16</v>
      </c>
      <c r="B1264" s="10" t="inlineStr">
        <is>
          <t>休日</t>
        </is>
      </c>
      <c r="C1264" s="10" t="inlineStr">
        <is>
          <t>北野線</t>
        </is>
      </c>
      <c r="D1264" s="10" t="inlineStr">
        <is>
          <t>上り</t>
        </is>
      </c>
      <c r="E1264" t="inlineStr">
        <is>
          <t>0552</t>
        </is>
      </c>
      <c r="F1264" t="inlineStr">
        <is>
          <t>0304</t>
        </is>
      </c>
      <c r="G1264" s="10" t="inlineStr">
        <is>
          <t>北野白梅町</t>
        </is>
      </c>
      <c r="H1264" s="10" t="inlineStr">
        <is>
          <t>着</t>
        </is>
      </c>
      <c r="J1264" s="10" t="inlineStr">
        <is>
          <t>営業</t>
        </is>
      </c>
      <c r="K1264" t="inlineStr">
        <is>
          <t>←0591</t>
        </is>
      </c>
      <c r="L1264" t="inlineStr">
        <is>
          <t>6:00:40</t>
        </is>
      </c>
      <c r="N1264" t="inlineStr">
        <is>
          <t>○</t>
        </is>
      </c>
      <c r="O1264" t="inlineStr">
        <is>
          <t>積込:北白金庫(金庫2・納金袋1) 16系統Ⅰ側 北白6:00着</t>
        </is>
      </c>
      <c r="Q1264" t="inlineStr">
        <is>
          <t>1</t>
        </is>
      </c>
    </row>
    <row r="1265" ht="15" customHeight="1" s="37">
      <c r="A1265" t="n">
        <v>16</v>
      </c>
      <c r="B1265" s="10" t="inlineStr">
        <is>
          <t>休日</t>
        </is>
      </c>
      <c r="C1265" s="10" t="inlineStr">
        <is>
          <t>本線</t>
        </is>
      </c>
      <c r="D1265" s="10" t="inlineStr">
        <is>
          <t>下り</t>
        </is>
      </c>
      <c r="E1265" t="inlineStr">
        <is>
          <t>0591</t>
        </is>
      </c>
      <c r="F1265" t="inlineStr">
        <is>
          <t>0504</t>
        </is>
      </c>
      <c r="G1265" s="10" t="inlineStr">
        <is>
          <t>西院</t>
        </is>
      </c>
      <c r="H1265" s="10" t="inlineStr">
        <is>
          <t>発</t>
        </is>
      </c>
      <c r="J1265" s="10" t="inlineStr">
        <is>
          <t>営業</t>
        </is>
      </c>
      <c r="K1265" t="inlineStr">
        <is>
          <t>→0552</t>
        </is>
      </c>
      <c r="M1265" t="inlineStr">
        <is>
          <t>5:33:20</t>
        </is>
      </c>
    </row>
    <row r="1266" ht="15" customHeight="1" s="37">
      <c r="A1266" t="n">
        <v>16</v>
      </c>
      <c r="B1266" s="10" t="inlineStr">
        <is>
          <t>休日</t>
        </is>
      </c>
      <c r="C1266" s="10" t="inlineStr">
        <is>
          <t>本線</t>
        </is>
      </c>
      <c r="D1266" s="10" t="inlineStr">
        <is>
          <t>下り</t>
        </is>
      </c>
      <c r="E1266" t="inlineStr">
        <is>
          <t>0591</t>
        </is>
      </c>
      <c r="F1266" t="inlineStr">
        <is>
          <t>0504</t>
        </is>
      </c>
      <c r="G1266" s="10" t="inlineStr">
        <is>
          <t>西大路三条</t>
        </is>
      </c>
      <c r="H1266" s="10" t="inlineStr">
        <is>
          <t>発</t>
        </is>
      </c>
      <c r="J1266" s="10" t="inlineStr">
        <is>
          <t>営業</t>
        </is>
      </c>
      <c r="K1266" t="inlineStr">
        <is>
          <t>→0552</t>
        </is>
      </c>
      <c r="L1266" t="inlineStr">
        <is>
          <t>5:35:10</t>
        </is>
      </c>
      <c r="M1266" t="inlineStr">
        <is>
          <t>5:35:25</t>
        </is>
      </c>
    </row>
    <row r="1267" ht="15" customHeight="1" s="37">
      <c r="A1267" t="n">
        <v>16</v>
      </c>
      <c r="B1267" s="10" t="inlineStr">
        <is>
          <t>休日</t>
        </is>
      </c>
      <c r="C1267" s="10" t="inlineStr">
        <is>
          <t>本線</t>
        </is>
      </c>
      <c r="D1267" s="10" t="inlineStr">
        <is>
          <t>下り</t>
        </is>
      </c>
      <c r="E1267" t="inlineStr">
        <is>
          <t>0591</t>
        </is>
      </c>
      <c r="F1267" t="inlineStr">
        <is>
          <t>0504</t>
        </is>
      </c>
      <c r="G1267" s="10" t="inlineStr">
        <is>
          <t>山ノ内</t>
        </is>
      </c>
      <c r="H1267" s="10" t="inlineStr">
        <is>
          <t>発</t>
        </is>
      </c>
      <c r="J1267" s="10" t="inlineStr">
        <is>
          <t>営業</t>
        </is>
      </c>
      <c r="K1267" t="inlineStr">
        <is>
          <t>→0552</t>
        </is>
      </c>
      <c r="L1267" t="inlineStr">
        <is>
          <t>5:37:20</t>
        </is>
      </c>
      <c r="M1267" t="inlineStr">
        <is>
          <t>5:37:45</t>
        </is>
      </c>
    </row>
    <row r="1268" ht="15" customHeight="1" s="37">
      <c r="A1268" t="n">
        <v>16</v>
      </c>
      <c r="B1268" s="10" t="inlineStr">
        <is>
          <t>休日</t>
        </is>
      </c>
      <c r="C1268" s="10" t="inlineStr">
        <is>
          <t>本線</t>
        </is>
      </c>
      <c r="D1268" s="10" t="inlineStr">
        <is>
          <t>下り</t>
        </is>
      </c>
      <c r="E1268" t="inlineStr">
        <is>
          <t>0591</t>
        </is>
      </c>
      <c r="F1268" t="inlineStr">
        <is>
          <t>0504</t>
        </is>
      </c>
      <c r="G1268" s="10" t="inlineStr">
        <is>
          <t>天神川</t>
        </is>
      </c>
      <c r="H1268" s="10" t="inlineStr">
        <is>
          <t>発</t>
        </is>
      </c>
      <c r="J1268" s="10" t="inlineStr">
        <is>
          <t>営業</t>
        </is>
      </c>
      <c r="K1268" t="inlineStr">
        <is>
          <t>→0552</t>
        </is>
      </c>
      <c r="L1268" t="inlineStr">
        <is>
          <t>5:39:45</t>
        </is>
      </c>
      <c r="M1268" t="inlineStr">
        <is>
          <t>5:40:10</t>
        </is>
      </c>
    </row>
    <row r="1269" ht="15" customHeight="1" s="37">
      <c r="A1269" t="n">
        <v>16</v>
      </c>
      <c r="B1269" s="10" t="inlineStr">
        <is>
          <t>休日</t>
        </is>
      </c>
      <c r="C1269" s="10" t="inlineStr">
        <is>
          <t>本線</t>
        </is>
      </c>
      <c r="D1269" s="10" t="inlineStr">
        <is>
          <t>下り</t>
        </is>
      </c>
      <c r="E1269" t="inlineStr">
        <is>
          <t>0591</t>
        </is>
      </c>
      <c r="F1269" t="inlineStr">
        <is>
          <t>0504</t>
        </is>
      </c>
      <c r="G1269" s="10" t="inlineStr">
        <is>
          <t>蚕ノ社</t>
        </is>
      </c>
      <c r="H1269" s="10" t="inlineStr">
        <is>
          <t>発</t>
        </is>
      </c>
      <c r="J1269" s="10" t="inlineStr">
        <is>
          <t>営業</t>
        </is>
      </c>
      <c r="K1269" t="inlineStr">
        <is>
          <t>→0552</t>
        </is>
      </c>
      <c r="L1269" t="inlineStr">
        <is>
          <t>5:41:00</t>
        </is>
      </c>
      <c r="M1269" t="inlineStr">
        <is>
          <t>5:41:15</t>
        </is>
      </c>
    </row>
    <row r="1270" ht="15" customHeight="1" s="37">
      <c r="A1270" t="n">
        <v>16</v>
      </c>
      <c r="B1270" s="10" t="inlineStr">
        <is>
          <t>休日</t>
        </is>
      </c>
      <c r="C1270" s="10" t="inlineStr">
        <is>
          <t>本線</t>
        </is>
      </c>
      <c r="D1270" s="10" t="inlineStr">
        <is>
          <t>下り</t>
        </is>
      </c>
      <c r="E1270" t="inlineStr">
        <is>
          <t>0591</t>
        </is>
      </c>
      <c r="F1270" t="inlineStr">
        <is>
          <t>0504</t>
        </is>
      </c>
      <c r="G1270" s="10" t="inlineStr">
        <is>
          <t>太秦広隆寺</t>
        </is>
      </c>
      <c r="H1270" s="10" t="inlineStr">
        <is>
          <t>発</t>
        </is>
      </c>
      <c r="J1270" s="10" t="inlineStr">
        <is>
          <t>営業</t>
        </is>
      </c>
      <c r="K1270" t="inlineStr">
        <is>
          <t>→0552</t>
        </is>
      </c>
      <c r="L1270" t="inlineStr">
        <is>
          <t>5:42:35</t>
        </is>
      </c>
      <c r="M1270" t="inlineStr">
        <is>
          <t>5:42:50</t>
        </is>
      </c>
    </row>
    <row r="1271" ht="15" customHeight="1" s="37">
      <c r="A1271" t="n">
        <v>16</v>
      </c>
      <c r="B1271" s="10" t="inlineStr">
        <is>
          <t>休日</t>
        </is>
      </c>
      <c r="C1271" s="10" t="inlineStr">
        <is>
          <t>本線</t>
        </is>
      </c>
      <c r="D1271" s="10" t="inlineStr">
        <is>
          <t>下り</t>
        </is>
      </c>
      <c r="E1271" t="inlineStr">
        <is>
          <t>0591</t>
        </is>
      </c>
      <c r="F1271" t="inlineStr">
        <is>
          <t>0504</t>
        </is>
      </c>
      <c r="G1271" s="10" t="inlineStr">
        <is>
          <t>帷子ノ辻</t>
        </is>
      </c>
      <c r="H1271" s="10" t="inlineStr">
        <is>
          <t>着</t>
        </is>
      </c>
      <c r="J1271" s="10" t="inlineStr">
        <is>
          <t>営業</t>
        </is>
      </c>
      <c r="K1271" t="inlineStr">
        <is>
          <t>→0552</t>
        </is>
      </c>
      <c r="L1271" t="inlineStr">
        <is>
          <t>5:44:50</t>
        </is>
      </c>
      <c r="N1271" t="inlineStr">
        <is>
          <t>○</t>
        </is>
      </c>
    </row>
    <row r="1272" ht="15" customHeight="1" s="37">
      <c r="A1272" t="n">
        <v>16</v>
      </c>
      <c r="B1272" s="10" t="inlineStr">
        <is>
          <t>休日</t>
        </is>
      </c>
      <c r="C1272" s="10" t="inlineStr">
        <is>
          <t>北野線</t>
        </is>
      </c>
      <c r="D1272" s="10" t="inlineStr">
        <is>
          <t>下り</t>
        </is>
      </c>
      <c r="E1272" t="inlineStr">
        <is>
          <t>0651</t>
        </is>
      </c>
      <c r="F1272" t="inlineStr">
        <is>
          <t>0403</t>
        </is>
      </c>
      <c r="G1272" s="10" t="inlineStr">
        <is>
          <t>北野白梅町</t>
        </is>
      </c>
      <c r="H1272" s="10" t="inlineStr">
        <is>
          <t>発</t>
        </is>
      </c>
      <c r="J1272" s="10" t="inlineStr">
        <is>
          <t>営業</t>
        </is>
      </c>
      <c r="M1272" t="inlineStr">
        <is>
          <t>6:03:40</t>
        </is>
      </c>
      <c r="Q1272" t="inlineStr">
        <is>
          <t>1</t>
        </is>
      </c>
    </row>
    <row r="1273" ht="15" customHeight="1" s="37">
      <c r="A1273" t="n">
        <v>16</v>
      </c>
      <c r="B1273" s="10" t="inlineStr">
        <is>
          <t>休日</t>
        </is>
      </c>
      <c r="C1273" s="10" t="inlineStr">
        <is>
          <t>北野線</t>
        </is>
      </c>
      <c r="D1273" s="10" t="inlineStr">
        <is>
          <t>下り</t>
        </is>
      </c>
      <c r="E1273" t="inlineStr">
        <is>
          <t>0651</t>
        </is>
      </c>
      <c r="F1273" t="inlineStr">
        <is>
          <t>0403</t>
        </is>
      </c>
      <c r="G1273" s="10" t="inlineStr">
        <is>
          <t>等持院</t>
        </is>
      </c>
      <c r="H1273" s="10" t="inlineStr">
        <is>
          <t>発</t>
        </is>
      </c>
      <c r="J1273" s="10" t="inlineStr">
        <is>
          <t>営業</t>
        </is>
      </c>
      <c r="L1273" t="inlineStr">
        <is>
          <t>6:05:05</t>
        </is>
      </c>
      <c r="M1273" t="inlineStr">
        <is>
          <t>6:05:15</t>
        </is>
      </c>
    </row>
    <row r="1274" ht="15" customHeight="1" s="37">
      <c r="A1274" t="n">
        <v>16</v>
      </c>
      <c r="B1274" s="10" t="inlineStr">
        <is>
          <t>休日</t>
        </is>
      </c>
      <c r="C1274" s="10" t="inlineStr">
        <is>
          <t>北野線</t>
        </is>
      </c>
      <c r="D1274" s="10" t="inlineStr">
        <is>
          <t>下り</t>
        </is>
      </c>
      <c r="E1274" t="inlineStr">
        <is>
          <t>0651</t>
        </is>
      </c>
      <c r="F1274" t="inlineStr">
        <is>
          <t>0403</t>
        </is>
      </c>
      <c r="G1274" s="10" t="inlineStr">
        <is>
          <t>龍安寺</t>
        </is>
      </c>
      <c r="H1274" s="10" t="inlineStr">
        <is>
          <t>発</t>
        </is>
      </c>
      <c r="J1274" s="10" t="inlineStr">
        <is>
          <t>営業</t>
        </is>
      </c>
      <c r="L1274" t="inlineStr">
        <is>
          <t>6:06:05</t>
        </is>
      </c>
      <c r="M1274" t="inlineStr">
        <is>
          <t>6:06:25</t>
        </is>
      </c>
    </row>
    <row r="1275" ht="15" customHeight="1" s="37">
      <c r="A1275" t="n">
        <v>16</v>
      </c>
      <c r="B1275" s="10" t="inlineStr">
        <is>
          <t>休日</t>
        </is>
      </c>
      <c r="C1275" s="10" t="inlineStr">
        <is>
          <t>北野線</t>
        </is>
      </c>
      <c r="D1275" s="10" t="inlineStr">
        <is>
          <t>下り</t>
        </is>
      </c>
      <c r="E1275" t="inlineStr">
        <is>
          <t>0651</t>
        </is>
      </c>
      <c r="F1275" t="inlineStr">
        <is>
          <t>0403</t>
        </is>
      </c>
      <c r="G1275" s="10" t="inlineStr">
        <is>
          <t>妙心寺</t>
        </is>
      </c>
      <c r="H1275" s="10" t="inlineStr">
        <is>
          <t>発</t>
        </is>
      </c>
      <c r="J1275" s="10" t="inlineStr">
        <is>
          <t>営業</t>
        </is>
      </c>
      <c r="L1275" t="inlineStr">
        <is>
          <t>6:07:20</t>
        </is>
      </c>
      <c r="M1275" t="inlineStr">
        <is>
          <t>6:07:30</t>
        </is>
      </c>
    </row>
    <row r="1276" ht="15" customHeight="1" s="37">
      <c r="A1276" t="n">
        <v>16</v>
      </c>
      <c r="B1276" s="10" t="inlineStr">
        <is>
          <t>休日</t>
        </is>
      </c>
      <c r="C1276" s="10" t="inlineStr">
        <is>
          <t>北野線</t>
        </is>
      </c>
      <c r="D1276" s="10" t="inlineStr">
        <is>
          <t>下り</t>
        </is>
      </c>
      <c r="E1276" t="inlineStr">
        <is>
          <t>0651</t>
        </is>
      </c>
      <c r="F1276" t="inlineStr">
        <is>
          <t>0403</t>
        </is>
      </c>
      <c r="G1276" s="10" t="inlineStr">
        <is>
          <t>御室仁和寺</t>
        </is>
      </c>
      <c r="H1276" s="10" t="inlineStr">
        <is>
          <t>発</t>
        </is>
      </c>
      <c r="J1276" s="10" t="inlineStr">
        <is>
          <t>営業</t>
        </is>
      </c>
      <c r="L1276" t="inlineStr">
        <is>
          <t>6:08:30</t>
        </is>
      </c>
      <c r="M1276" t="inlineStr">
        <is>
          <t>6:08:35</t>
        </is>
      </c>
    </row>
    <row r="1277" ht="15" customHeight="1" s="37">
      <c r="A1277" t="n">
        <v>16</v>
      </c>
      <c r="B1277" s="10" t="inlineStr">
        <is>
          <t>休日</t>
        </is>
      </c>
      <c r="C1277" s="10" t="inlineStr">
        <is>
          <t>北野線</t>
        </is>
      </c>
      <c r="D1277" s="10" t="inlineStr">
        <is>
          <t>下り</t>
        </is>
      </c>
      <c r="E1277" t="inlineStr">
        <is>
          <t>0651</t>
        </is>
      </c>
      <c r="F1277" t="inlineStr">
        <is>
          <t>0403</t>
        </is>
      </c>
      <c r="G1277" s="10" t="inlineStr">
        <is>
          <t>宇多野</t>
        </is>
      </c>
      <c r="H1277" s="10" t="inlineStr">
        <is>
          <t>発</t>
        </is>
      </c>
      <c r="J1277" s="10" t="inlineStr">
        <is>
          <t>営業</t>
        </is>
      </c>
      <c r="L1277" t="inlineStr">
        <is>
          <t>6:09:35</t>
        </is>
      </c>
      <c r="M1277" t="inlineStr">
        <is>
          <t>6:09:45</t>
        </is>
      </c>
    </row>
    <row r="1278" ht="15" customHeight="1" s="37">
      <c r="A1278" t="n">
        <v>16</v>
      </c>
      <c r="B1278" s="10" t="inlineStr">
        <is>
          <t>休日</t>
        </is>
      </c>
      <c r="C1278" s="10" t="inlineStr">
        <is>
          <t>北野線</t>
        </is>
      </c>
      <c r="D1278" s="10" t="inlineStr">
        <is>
          <t>下り</t>
        </is>
      </c>
      <c r="E1278" t="inlineStr">
        <is>
          <t>0651</t>
        </is>
      </c>
      <c r="F1278" t="inlineStr">
        <is>
          <t>0403</t>
        </is>
      </c>
      <c r="G1278" s="10" t="inlineStr">
        <is>
          <t>鳴滝</t>
        </is>
      </c>
      <c r="H1278" s="10" t="inlineStr">
        <is>
          <t>発</t>
        </is>
      </c>
      <c r="J1278" s="10" t="inlineStr">
        <is>
          <t>営業</t>
        </is>
      </c>
      <c r="L1278" t="inlineStr">
        <is>
          <t>6:11:05</t>
        </is>
      </c>
      <c r="M1278" t="inlineStr">
        <is>
          <t>6:11:15</t>
        </is>
      </c>
    </row>
    <row r="1279" ht="15" customHeight="1" s="37">
      <c r="A1279" t="n">
        <v>16</v>
      </c>
      <c r="B1279" s="10" t="inlineStr">
        <is>
          <t>休日</t>
        </is>
      </c>
      <c r="C1279" s="10" t="inlineStr">
        <is>
          <t>北野線</t>
        </is>
      </c>
      <c r="D1279" s="10" t="inlineStr">
        <is>
          <t>下り</t>
        </is>
      </c>
      <c r="E1279" t="inlineStr">
        <is>
          <t>0651</t>
        </is>
      </c>
      <c r="F1279" t="inlineStr">
        <is>
          <t>0403</t>
        </is>
      </c>
      <c r="G1279" s="10" t="inlineStr">
        <is>
          <t>常盤</t>
        </is>
      </c>
      <c r="H1279" s="10" t="inlineStr">
        <is>
          <t>発</t>
        </is>
      </c>
      <c r="J1279" s="10" t="inlineStr">
        <is>
          <t>営業</t>
        </is>
      </c>
      <c r="L1279" t="inlineStr">
        <is>
          <t>6:12:05</t>
        </is>
      </c>
      <c r="M1279" t="inlineStr">
        <is>
          <t>6:12:25</t>
        </is>
      </c>
    </row>
    <row r="1280" ht="15" customHeight="1" s="37">
      <c r="A1280" t="n">
        <v>16</v>
      </c>
      <c r="B1280" s="10" t="inlineStr">
        <is>
          <t>休日</t>
        </is>
      </c>
      <c r="C1280" s="10" t="inlineStr">
        <is>
          <t>北野線</t>
        </is>
      </c>
      <c r="D1280" s="10" t="inlineStr">
        <is>
          <t>下り</t>
        </is>
      </c>
      <c r="E1280" t="inlineStr">
        <is>
          <t>0651</t>
        </is>
      </c>
      <c r="F1280" t="inlineStr">
        <is>
          <t>0403</t>
        </is>
      </c>
      <c r="G1280" s="10" t="inlineStr">
        <is>
          <t>撮影所前</t>
        </is>
      </c>
      <c r="H1280" s="10" t="inlineStr">
        <is>
          <t>発</t>
        </is>
      </c>
      <c r="J1280" s="10" t="inlineStr">
        <is>
          <t>営業</t>
        </is>
      </c>
      <c r="L1280" t="inlineStr">
        <is>
          <t>6:13:45</t>
        </is>
      </c>
      <c r="M1280" t="inlineStr">
        <is>
          <t>6:13:55</t>
        </is>
      </c>
    </row>
    <row r="1281" ht="15" customHeight="1" s="37">
      <c r="A1281" t="n">
        <v>16</v>
      </c>
      <c r="B1281" s="10" t="inlineStr">
        <is>
          <t>休日</t>
        </is>
      </c>
      <c r="C1281" s="10" t="inlineStr">
        <is>
          <t>北野線</t>
        </is>
      </c>
      <c r="D1281" s="10" t="inlineStr">
        <is>
          <t>下り</t>
        </is>
      </c>
      <c r="E1281" t="inlineStr">
        <is>
          <t>0651</t>
        </is>
      </c>
      <c r="F1281" t="inlineStr">
        <is>
          <t>0403</t>
        </is>
      </c>
      <c r="G1281" s="10" t="inlineStr">
        <is>
          <t>帷子ノ辻</t>
        </is>
      </c>
      <c r="H1281" s="10" t="inlineStr">
        <is>
          <t>着</t>
        </is>
      </c>
      <c r="J1281" s="10" t="inlineStr">
        <is>
          <t>営業</t>
        </is>
      </c>
      <c r="L1281" t="inlineStr">
        <is>
          <t>6:15:00</t>
        </is>
      </c>
      <c r="N1281" t="inlineStr">
        <is>
          <t>○</t>
        </is>
      </c>
      <c r="Q1281" t="inlineStr">
        <is>
          <t>4</t>
        </is>
      </c>
    </row>
    <row r="1282" ht="15" customHeight="1" s="37">
      <c r="A1282" t="n">
        <v>16</v>
      </c>
      <c r="B1282" s="10" t="inlineStr">
        <is>
          <t>休日</t>
        </is>
      </c>
      <c r="C1282" s="10" t="inlineStr">
        <is>
          <t>北野線</t>
        </is>
      </c>
      <c r="D1282" s="10" t="inlineStr">
        <is>
          <t>上り</t>
        </is>
      </c>
      <c r="E1282" t="inlineStr">
        <is>
          <t>0654</t>
        </is>
      </c>
      <c r="F1282" t="inlineStr">
        <is>
          <t>0304</t>
        </is>
      </c>
      <c r="G1282" s="10" t="inlineStr">
        <is>
          <t>帷子ノ辻</t>
        </is>
      </c>
      <c r="H1282" s="10" t="inlineStr">
        <is>
          <t>発</t>
        </is>
      </c>
      <c r="J1282" s="10" t="inlineStr">
        <is>
          <t>営業</t>
        </is>
      </c>
      <c r="M1282" t="inlineStr">
        <is>
          <t>6:18:00</t>
        </is>
      </c>
      <c r="Q1282" t="inlineStr">
        <is>
          <t>4</t>
        </is>
      </c>
    </row>
    <row r="1283" ht="15" customHeight="1" s="37">
      <c r="A1283" t="n">
        <v>16</v>
      </c>
      <c r="B1283" s="10" t="inlineStr">
        <is>
          <t>休日</t>
        </is>
      </c>
      <c r="C1283" s="10" t="inlineStr">
        <is>
          <t>北野線</t>
        </is>
      </c>
      <c r="D1283" s="10" t="inlineStr">
        <is>
          <t>上り</t>
        </is>
      </c>
      <c r="E1283" t="inlineStr">
        <is>
          <t>0654</t>
        </is>
      </c>
      <c r="F1283" t="inlineStr">
        <is>
          <t>0304</t>
        </is>
      </c>
      <c r="G1283" s="10" t="inlineStr">
        <is>
          <t>撮影所前</t>
        </is>
      </c>
      <c r="H1283" s="10" t="inlineStr">
        <is>
          <t>発</t>
        </is>
      </c>
      <c r="J1283" s="10" t="inlineStr">
        <is>
          <t>営業</t>
        </is>
      </c>
      <c r="L1283" t="inlineStr">
        <is>
          <t>6:19:00</t>
        </is>
      </c>
      <c r="M1283" t="inlineStr">
        <is>
          <t>6:19:15</t>
        </is>
      </c>
    </row>
    <row r="1284" ht="15" customHeight="1" s="37">
      <c r="A1284" t="n">
        <v>16</v>
      </c>
      <c r="B1284" s="10" t="inlineStr">
        <is>
          <t>休日</t>
        </is>
      </c>
      <c r="C1284" s="10" t="inlineStr">
        <is>
          <t>北野線</t>
        </is>
      </c>
      <c r="D1284" s="10" t="inlineStr">
        <is>
          <t>上り</t>
        </is>
      </c>
      <c r="E1284" t="inlineStr">
        <is>
          <t>0654</t>
        </is>
      </c>
      <c r="F1284" t="inlineStr">
        <is>
          <t>0304</t>
        </is>
      </c>
      <c r="G1284" s="10" t="inlineStr">
        <is>
          <t>常盤</t>
        </is>
      </c>
      <c r="H1284" s="10" t="inlineStr">
        <is>
          <t>発</t>
        </is>
      </c>
      <c r="J1284" s="10" t="inlineStr">
        <is>
          <t>営業</t>
        </is>
      </c>
      <c r="L1284" t="inlineStr">
        <is>
          <t>6:20:35</t>
        </is>
      </c>
      <c r="M1284" t="inlineStr">
        <is>
          <t>6:20:55</t>
        </is>
      </c>
    </row>
    <row r="1285" ht="15" customHeight="1" s="37">
      <c r="A1285" t="n">
        <v>16</v>
      </c>
      <c r="B1285" s="10" t="inlineStr">
        <is>
          <t>休日</t>
        </is>
      </c>
      <c r="C1285" s="10" t="inlineStr">
        <is>
          <t>北野線</t>
        </is>
      </c>
      <c r="D1285" s="10" t="inlineStr">
        <is>
          <t>上り</t>
        </is>
      </c>
      <c r="E1285" t="inlineStr">
        <is>
          <t>0654</t>
        </is>
      </c>
      <c r="F1285" t="inlineStr">
        <is>
          <t>0304</t>
        </is>
      </c>
      <c r="G1285" s="10" t="inlineStr">
        <is>
          <t>鳴滝</t>
        </is>
      </c>
      <c r="H1285" s="10" t="inlineStr">
        <is>
          <t>発</t>
        </is>
      </c>
      <c r="J1285" s="10" t="inlineStr">
        <is>
          <t>営業</t>
        </is>
      </c>
      <c r="L1285" t="inlineStr">
        <is>
          <t>6:21:55</t>
        </is>
      </c>
      <c r="M1285" t="inlineStr">
        <is>
          <t>6:22:15</t>
        </is>
      </c>
    </row>
    <row r="1286" ht="15" customHeight="1" s="37">
      <c r="A1286" t="n">
        <v>16</v>
      </c>
      <c r="B1286" s="10" t="inlineStr">
        <is>
          <t>休日</t>
        </is>
      </c>
      <c r="C1286" s="10" t="inlineStr">
        <is>
          <t>北野線</t>
        </is>
      </c>
      <c r="D1286" s="10" t="inlineStr">
        <is>
          <t>上り</t>
        </is>
      </c>
      <c r="E1286" t="inlineStr">
        <is>
          <t>0654</t>
        </is>
      </c>
      <c r="F1286" t="inlineStr">
        <is>
          <t>0304</t>
        </is>
      </c>
      <c r="G1286" s="10" t="inlineStr">
        <is>
          <t>宇多野</t>
        </is>
      </c>
      <c r="H1286" s="10" t="inlineStr">
        <is>
          <t>発</t>
        </is>
      </c>
      <c r="J1286" s="10" t="inlineStr">
        <is>
          <t>営業</t>
        </is>
      </c>
      <c r="L1286" t="inlineStr">
        <is>
          <t>6:23:35</t>
        </is>
      </c>
      <c r="M1286" t="inlineStr">
        <is>
          <t>6:23:50</t>
        </is>
      </c>
    </row>
    <row r="1287" ht="15" customHeight="1" s="37">
      <c r="A1287" t="n">
        <v>16</v>
      </c>
      <c r="B1287" s="10" t="inlineStr">
        <is>
          <t>休日</t>
        </is>
      </c>
      <c r="C1287" s="10" t="inlineStr">
        <is>
          <t>北野線</t>
        </is>
      </c>
      <c r="D1287" s="10" t="inlineStr">
        <is>
          <t>上り</t>
        </is>
      </c>
      <c r="E1287" t="inlineStr">
        <is>
          <t>0654</t>
        </is>
      </c>
      <c r="F1287" t="inlineStr">
        <is>
          <t>0304</t>
        </is>
      </c>
      <c r="G1287" s="10" t="inlineStr">
        <is>
          <t>御室仁和寺</t>
        </is>
      </c>
      <c r="H1287" s="10" t="inlineStr">
        <is>
          <t>発</t>
        </is>
      </c>
      <c r="J1287" s="10" t="inlineStr">
        <is>
          <t>営業</t>
        </is>
      </c>
      <c r="L1287" t="inlineStr">
        <is>
          <t>6:24:50</t>
        </is>
      </c>
      <c r="M1287" t="inlineStr">
        <is>
          <t>6:24:55</t>
        </is>
      </c>
    </row>
    <row r="1288" ht="15" customHeight="1" s="37">
      <c r="A1288" t="n">
        <v>16</v>
      </c>
      <c r="B1288" s="10" t="inlineStr">
        <is>
          <t>休日</t>
        </is>
      </c>
      <c r="C1288" s="10" t="inlineStr">
        <is>
          <t>北野線</t>
        </is>
      </c>
      <c r="D1288" s="10" t="inlineStr">
        <is>
          <t>上り</t>
        </is>
      </c>
      <c r="E1288" t="inlineStr">
        <is>
          <t>0654</t>
        </is>
      </c>
      <c r="F1288" t="inlineStr">
        <is>
          <t>0304</t>
        </is>
      </c>
      <c r="G1288" s="10" t="inlineStr">
        <is>
          <t>妙心寺</t>
        </is>
      </c>
      <c r="H1288" s="10" t="inlineStr">
        <is>
          <t>発</t>
        </is>
      </c>
      <c r="J1288" s="10" t="inlineStr">
        <is>
          <t>営業</t>
        </is>
      </c>
      <c r="L1288" t="inlineStr">
        <is>
          <t>6:25:55</t>
        </is>
      </c>
      <c r="M1288" t="inlineStr">
        <is>
          <t>6:26:10</t>
        </is>
      </c>
    </row>
    <row r="1289" ht="15" customHeight="1" s="37">
      <c r="A1289" t="n">
        <v>16</v>
      </c>
      <c r="B1289" s="10" t="inlineStr">
        <is>
          <t>休日</t>
        </is>
      </c>
      <c r="C1289" s="10" t="inlineStr">
        <is>
          <t>北野線</t>
        </is>
      </c>
      <c r="D1289" s="10" t="inlineStr">
        <is>
          <t>上り</t>
        </is>
      </c>
      <c r="E1289" t="inlineStr">
        <is>
          <t>0654</t>
        </is>
      </c>
      <c r="F1289" t="inlineStr">
        <is>
          <t>0304</t>
        </is>
      </c>
      <c r="G1289" s="10" t="inlineStr">
        <is>
          <t>龍安寺</t>
        </is>
      </c>
      <c r="H1289" s="10" t="inlineStr">
        <is>
          <t>発</t>
        </is>
      </c>
      <c r="J1289" s="10" t="inlineStr">
        <is>
          <t>営業</t>
        </is>
      </c>
      <c r="L1289" t="inlineStr">
        <is>
          <t>6:27:05</t>
        </is>
      </c>
      <c r="M1289" t="inlineStr">
        <is>
          <t>6:27:25</t>
        </is>
      </c>
    </row>
    <row r="1290" ht="15" customHeight="1" s="37">
      <c r="A1290" t="n">
        <v>16</v>
      </c>
      <c r="B1290" s="10" t="inlineStr">
        <is>
          <t>休日</t>
        </is>
      </c>
      <c r="C1290" s="10" t="inlineStr">
        <is>
          <t>北野線</t>
        </is>
      </c>
      <c r="D1290" s="10" t="inlineStr">
        <is>
          <t>上り</t>
        </is>
      </c>
      <c r="E1290" t="inlineStr">
        <is>
          <t>0654</t>
        </is>
      </c>
      <c r="F1290" t="inlineStr">
        <is>
          <t>0304</t>
        </is>
      </c>
      <c r="G1290" s="10" t="inlineStr">
        <is>
          <t>等持院</t>
        </is>
      </c>
      <c r="H1290" s="10" t="inlineStr">
        <is>
          <t>発</t>
        </is>
      </c>
      <c r="J1290" s="10" t="inlineStr">
        <is>
          <t>営業</t>
        </is>
      </c>
      <c r="L1290" t="inlineStr">
        <is>
          <t>6:28:05</t>
        </is>
      </c>
      <c r="M1290" t="inlineStr">
        <is>
          <t>6:28:15</t>
        </is>
      </c>
    </row>
    <row r="1291" ht="15" customHeight="1" s="37">
      <c r="A1291" t="n">
        <v>16</v>
      </c>
      <c r="B1291" s="10" t="inlineStr">
        <is>
          <t>休日</t>
        </is>
      </c>
      <c r="C1291" s="10" t="inlineStr">
        <is>
          <t>北野線</t>
        </is>
      </c>
      <c r="D1291" s="10" t="inlineStr">
        <is>
          <t>上り</t>
        </is>
      </c>
      <c r="E1291" t="inlineStr">
        <is>
          <t>0654</t>
        </is>
      </c>
      <c r="F1291" t="inlineStr">
        <is>
          <t>0304</t>
        </is>
      </c>
      <c r="G1291" s="10" t="inlineStr">
        <is>
          <t>北野白梅町</t>
        </is>
      </c>
      <c r="H1291" s="10" t="inlineStr">
        <is>
          <t>着</t>
        </is>
      </c>
      <c r="J1291" s="10" t="inlineStr">
        <is>
          <t>営業</t>
        </is>
      </c>
      <c r="L1291" t="inlineStr">
        <is>
          <t>6:29:50</t>
        </is>
      </c>
      <c r="N1291" t="inlineStr">
        <is>
          <t>○</t>
        </is>
      </c>
      <c r="Q1291" t="inlineStr">
        <is>
          <t>1</t>
        </is>
      </c>
    </row>
    <row r="1292" ht="15" customHeight="1" s="37">
      <c r="A1292" t="n">
        <v>16</v>
      </c>
      <c r="B1292" s="10" t="inlineStr">
        <is>
          <t>休日</t>
        </is>
      </c>
      <c r="C1292" s="10" t="inlineStr">
        <is>
          <t>北野線</t>
        </is>
      </c>
      <c r="D1292" s="10" t="inlineStr">
        <is>
          <t>下り</t>
        </is>
      </c>
      <c r="E1292" t="inlineStr">
        <is>
          <t>0655</t>
        </is>
      </c>
      <c r="F1292" t="inlineStr">
        <is>
          <t>0453</t>
        </is>
      </c>
      <c r="G1292" s="10" t="inlineStr">
        <is>
          <t>北野白梅町</t>
        </is>
      </c>
      <c r="H1292" s="10" t="inlineStr">
        <is>
          <t>発</t>
        </is>
      </c>
      <c r="J1292" s="10" t="inlineStr">
        <is>
          <t>営業</t>
        </is>
      </c>
      <c r="M1292" t="inlineStr">
        <is>
          <t>6:36:00</t>
        </is>
      </c>
      <c r="Q1292" t="inlineStr">
        <is>
          <t>1</t>
        </is>
      </c>
    </row>
    <row r="1293" ht="15" customHeight="1" s="37">
      <c r="A1293" t="n">
        <v>16</v>
      </c>
      <c r="B1293" s="10" t="inlineStr">
        <is>
          <t>休日</t>
        </is>
      </c>
      <c r="C1293" s="10" t="inlineStr">
        <is>
          <t>北野線</t>
        </is>
      </c>
      <c r="D1293" s="10" t="inlineStr">
        <is>
          <t>下り</t>
        </is>
      </c>
      <c r="E1293" t="inlineStr">
        <is>
          <t>0655</t>
        </is>
      </c>
      <c r="F1293" t="inlineStr">
        <is>
          <t>0453</t>
        </is>
      </c>
      <c r="G1293" s="10" t="inlineStr">
        <is>
          <t>等持院</t>
        </is>
      </c>
      <c r="H1293" s="10" t="inlineStr">
        <is>
          <t>発</t>
        </is>
      </c>
      <c r="J1293" s="10" t="inlineStr">
        <is>
          <t>営業</t>
        </is>
      </c>
      <c r="L1293" t="inlineStr">
        <is>
          <t>6:37:25</t>
        </is>
      </c>
      <c r="M1293" t="inlineStr">
        <is>
          <t>6:37:35</t>
        </is>
      </c>
    </row>
    <row r="1294" ht="15" customHeight="1" s="37">
      <c r="A1294" t="n">
        <v>16</v>
      </c>
      <c r="B1294" s="10" t="inlineStr">
        <is>
          <t>休日</t>
        </is>
      </c>
      <c r="C1294" s="10" t="inlineStr">
        <is>
          <t>北野線</t>
        </is>
      </c>
      <c r="D1294" s="10" t="inlineStr">
        <is>
          <t>下り</t>
        </is>
      </c>
      <c r="E1294" t="inlineStr">
        <is>
          <t>0655</t>
        </is>
      </c>
      <c r="F1294" t="inlineStr">
        <is>
          <t>0453</t>
        </is>
      </c>
      <c r="G1294" s="10" t="inlineStr">
        <is>
          <t>龍安寺</t>
        </is>
      </c>
      <c r="H1294" s="10" t="inlineStr">
        <is>
          <t>発</t>
        </is>
      </c>
      <c r="J1294" s="10" t="inlineStr">
        <is>
          <t>営業</t>
        </is>
      </c>
      <c r="L1294" t="inlineStr">
        <is>
          <t>6:38:25</t>
        </is>
      </c>
      <c r="M1294" t="inlineStr">
        <is>
          <t>6:38:45</t>
        </is>
      </c>
    </row>
    <row r="1295" ht="15" customHeight="1" s="37">
      <c r="A1295" t="n">
        <v>16</v>
      </c>
      <c r="B1295" s="10" t="inlineStr">
        <is>
          <t>休日</t>
        </is>
      </c>
      <c r="C1295" s="10" t="inlineStr">
        <is>
          <t>北野線</t>
        </is>
      </c>
      <c r="D1295" s="10" t="inlineStr">
        <is>
          <t>下り</t>
        </is>
      </c>
      <c r="E1295" t="inlineStr">
        <is>
          <t>0655</t>
        </is>
      </c>
      <c r="F1295" t="inlineStr">
        <is>
          <t>0453</t>
        </is>
      </c>
      <c r="G1295" s="10" t="inlineStr">
        <is>
          <t>妙心寺</t>
        </is>
      </c>
      <c r="H1295" s="10" t="inlineStr">
        <is>
          <t>発</t>
        </is>
      </c>
      <c r="J1295" s="10" t="inlineStr">
        <is>
          <t>営業</t>
        </is>
      </c>
      <c r="L1295" t="inlineStr">
        <is>
          <t>6:39:40</t>
        </is>
      </c>
      <c r="M1295" t="inlineStr">
        <is>
          <t>6:39:50</t>
        </is>
      </c>
    </row>
    <row r="1296" ht="15" customHeight="1" s="37">
      <c r="A1296" t="n">
        <v>16</v>
      </c>
      <c r="B1296" s="10" t="inlineStr">
        <is>
          <t>休日</t>
        </is>
      </c>
      <c r="C1296" s="10" t="inlineStr">
        <is>
          <t>北野線</t>
        </is>
      </c>
      <c r="D1296" s="10" t="inlineStr">
        <is>
          <t>下り</t>
        </is>
      </c>
      <c r="E1296" t="inlineStr">
        <is>
          <t>0655</t>
        </is>
      </c>
      <c r="F1296" t="inlineStr">
        <is>
          <t>0453</t>
        </is>
      </c>
      <c r="G1296" s="10" t="inlineStr">
        <is>
          <t>御室仁和寺</t>
        </is>
      </c>
      <c r="H1296" s="10" t="inlineStr">
        <is>
          <t>発</t>
        </is>
      </c>
      <c r="J1296" s="10" t="inlineStr">
        <is>
          <t>営業</t>
        </is>
      </c>
      <c r="L1296" t="inlineStr">
        <is>
          <t>6:40:50</t>
        </is>
      </c>
      <c r="M1296" t="inlineStr">
        <is>
          <t>6:40:55</t>
        </is>
      </c>
    </row>
    <row r="1297" ht="15" customHeight="1" s="37">
      <c r="A1297" t="n">
        <v>16</v>
      </c>
      <c r="B1297" s="10" t="inlineStr">
        <is>
          <t>休日</t>
        </is>
      </c>
      <c r="C1297" s="10" t="inlineStr">
        <is>
          <t>北野線</t>
        </is>
      </c>
      <c r="D1297" s="10" t="inlineStr">
        <is>
          <t>下り</t>
        </is>
      </c>
      <c r="E1297" t="inlineStr">
        <is>
          <t>0655</t>
        </is>
      </c>
      <c r="F1297" t="inlineStr">
        <is>
          <t>0453</t>
        </is>
      </c>
      <c r="G1297" s="10" t="inlineStr">
        <is>
          <t>宇多野</t>
        </is>
      </c>
      <c r="H1297" s="10" t="inlineStr">
        <is>
          <t>発</t>
        </is>
      </c>
      <c r="J1297" s="10" t="inlineStr">
        <is>
          <t>営業</t>
        </is>
      </c>
      <c r="L1297" t="inlineStr">
        <is>
          <t>6:41:55</t>
        </is>
      </c>
      <c r="M1297" t="inlineStr">
        <is>
          <t>6:42:05</t>
        </is>
      </c>
    </row>
    <row r="1298" ht="15" customHeight="1" s="37">
      <c r="A1298" t="n">
        <v>16</v>
      </c>
      <c r="B1298" s="10" t="inlineStr">
        <is>
          <t>休日</t>
        </is>
      </c>
      <c r="C1298" s="10" t="inlineStr">
        <is>
          <t>北野線</t>
        </is>
      </c>
      <c r="D1298" s="10" t="inlineStr">
        <is>
          <t>下り</t>
        </is>
      </c>
      <c r="E1298" t="inlineStr">
        <is>
          <t>0655</t>
        </is>
      </c>
      <c r="F1298" t="inlineStr">
        <is>
          <t>0453</t>
        </is>
      </c>
      <c r="G1298" s="10" t="inlineStr">
        <is>
          <t>鳴滝</t>
        </is>
      </c>
      <c r="H1298" s="10" t="inlineStr">
        <is>
          <t>発</t>
        </is>
      </c>
      <c r="J1298" s="10" t="inlineStr">
        <is>
          <t>営業</t>
        </is>
      </c>
      <c r="L1298" t="inlineStr">
        <is>
          <t>6:43:25</t>
        </is>
      </c>
      <c r="M1298" t="inlineStr">
        <is>
          <t>6:43:35</t>
        </is>
      </c>
    </row>
    <row r="1299" ht="15" customHeight="1" s="37">
      <c r="A1299" t="n">
        <v>16</v>
      </c>
      <c r="B1299" s="10" t="inlineStr">
        <is>
          <t>休日</t>
        </is>
      </c>
      <c r="C1299" s="10" t="inlineStr">
        <is>
          <t>北野線</t>
        </is>
      </c>
      <c r="D1299" s="10" t="inlineStr">
        <is>
          <t>下り</t>
        </is>
      </c>
      <c r="E1299" t="inlineStr">
        <is>
          <t>0655</t>
        </is>
      </c>
      <c r="F1299" t="inlineStr">
        <is>
          <t>0453</t>
        </is>
      </c>
      <c r="G1299" s="10" t="inlineStr">
        <is>
          <t>常盤</t>
        </is>
      </c>
      <c r="H1299" s="10" t="inlineStr">
        <is>
          <t>発</t>
        </is>
      </c>
      <c r="J1299" s="10" t="inlineStr">
        <is>
          <t>営業</t>
        </is>
      </c>
      <c r="L1299" t="inlineStr">
        <is>
          <t>6:44:25</t>
        </is>
      </c>
      <c r="M1299" t="inlineStr">
        <is>
          <t>6:44:35</t>
        </is>
      </c>
    </row>
    <row r="1300" ht="15" customHeight="1" s="37">
      <c r="A1300" t="n">
        <v>16</v>
      </c>
      <c r="B1300" s="10" t="inlineStr">
        <is>
          <t>休日</t>
        </is>
      </c>
      <c r="C1300" s="10" t="inlineStr">
        <is>
          <t>北野線</t>
        </is>
      </c>
      <c r="D1300" s="10" t="inlineStr">
        <is>
          <t>下り</t>
        </is>
      </c>
      <c r="E1300" t="inlineStr">
        <is>
          <t>0655</t>
        </is>
      </c>
      <c r="F1300" t="inlineStr">
        <is>
          <t>0453</t>
        </is>
      </c>
      <c r="G1300" s="10" t="inlineStr">
        <is>
          <t>撮影所前</t>
        </is>
      </c>
      <c r="H1300" s="10" t="inlineStr">
        <is>
          <t>発</t>
        </is>
      </c>
      <c r="J1300" s="10" t="inlineStr">
        <is>
          <t>営業</t>
        </is>
      </c>
      <c r="L1300" t="inlineStr">
        <is>
          <t>6:45:55</t>
        </is>
      </c>
      <c r="M1300" t="inlineStr">
        <is>
          <t>6:46:05</t>
        </is>
      </c>
    </row>
    <row r="1301" ht="15" customHeight="1" s="37">
      <c r="A1301" t="n">
        <v>16</v>
      </c>
      <c r="B1301" s="10" t="inlineStr">
        <is>
          <t>休日</t>
        </is>
      </c>
      <c r="C1301" s="10" t="inlineStr">
        <is>
          <t>北野線</t>
        </is>
      </c>
      <c r="D1301" s="10" t="inlineStr">
        <is>
          <t>下り</t>
        </is>
      </c>
      <c r="E1301" t="inlineStr">
        <is>
          <t>0655</t>
        </is>
      </c>
      <c r="F1301" t="inlineStr">
        <is>
          <t>0453</t>
        </is>
      </c>
      <c r="G1301" s="10" t="inlineStr">
        <is>
          <t>帷子ノ辻</t>
        </is>
      </c>
      <c r="H1301" s="10" t="inlineStr">
        <is>
          <t>着</t>
        </is>
      </c>
      <c r="J1301" s="10" t="inlineStr">
        <is>
          <t>営業</t>
        </is>
      </c>
      <c r="L1301" t="inlineStr">
        <is>
          <t>6:47:00</t>
        </is>
      </c>
      <c r="Q1301" t="inlineStr">
        <is>
          <t>4</t>
        </is>
      </c>
    </row>
    <row r="1302" ht="15" customHeight="1" s="37">
      <c r="A1302" t="n">
        <v>16</v>
      </c>
      <c r="B1302" s="10" t="inlineStr">
        <is>
          <t>休日</t>
        </is>
      </c>
      <c r="C1302" s="10" t="inlineStr">
        <is>
          <t>北野線</t>
        </is>
      </c>
      <c r="D1302" s="10" t="inlineStr">
        <is>
          <t>上り</t>
        </is>
      </c>
      <c r="E1302" t="inlineStr">
        <is>
          <t>0658</t>
        </is>
      </c>
      <c r="F1302" t="inlineStr">
        <is>
          <t>0304</t>
        </is>
      </c>
      <c r="G1302" s="10" t="inlineStr">
        <is>
          <t>帷子ノ辻</t>
        </is>
      </c>
      <c r="H1302" s="10" t="inlineStr">
        <is>
          <t>発</t>
        </is>
      </c>
      <c r="J1302" s="10" t="inlineStr">
        <is>
          <t>営業</t>
        </is>
      </c>
      <c r="M1302" t="inlineStr">
        <is>
          <t>6:50:00</t>
        </is>
      </c>
      <c r="Q1302" t="inlineStr">
        <is>
          <t>4</t>
        </is>
      </c>
    </row>
    <row r="1303" ht="15" customHeight="1" s="37">
      <c r="A1303" t="n">
        <v>16</v>
      </c>
      <c r="B1303" s="10" t="inlineStr">
        <is>
          <t>休日</t>
        </is>
      </c>
      <c r="C1303" s="10" t="inlineStr">
        <is>
          <t>北野線</t>
        </is>
      </c>
      <c r="D1303" s="10" t="inlineStr">
        <is>
          <t>上り</t>
        </is>
      </c>
      <c r="E1303" t="inlineStr">
        <is>
          <t>0658</t>
        </is>
      </c>
      <c r="F1303" t="inlineStr">
        <is>
          <t>0304</t>
        </is>
      </c>
      <c r="G1303" s="10" t="inlineStr">
        <is>
          <t>撮影所前</t>
        </is>
      </c>
      <c r="H1303" s="10" t="inlineStr">
        <is>
          <t>発</t>
        </is>
      </c>
      <c r="J1303" s="10" t="inlineStr">
        <is>
          <t>営業</t>
        </is>
      </c>
      <c r="L1303" t="inlineStr">
        <is>
          <t>6:51:00</t>
        </is>
      </c>
      <c r="M1303" t="inlineStr">
        <is>
          <t>6:51:15</t>
        </is>
      </c>
    </row>
    <row r="1304" ht="15" customHeight="1" s="37">
      <c r="A1304" t="n">
        <v>16</v>
      </c>
      <c r="B1304" s="10" t="inlineStr">
        <is>
          <t>休日</t>
        </is>
      </c>
      <c r="C1304" s="10" t="inlineStr">
        <is>
          <t>北野線</t>
        </is>
      </c>
      <c r="D1304" s="10" t="inlineStr">
        <is>
          <t>上り</t>
        </is>
      </c>
      <c r="E1304" t="inlineStr">
        <is>
          <t>0658</t>
        </is>
      </c>
      <c r="F1304" t="inlineStr">
        <is>
          <t>0304</t>
        </is>
      </c>
      <c r="G1304" s="10" t="inlineStr">
        <is>
          <t>常盤</t>
        </is>
      </c>
      <c r="H1304" s="10" t="inlineStr">
        <is>
          <t>発</t>
        </is>
      </c>
      <c r="J1304" s="10" t="inlineStr">
        <is>
          <t>営業</t>
        </is>
      </c>
      <c r="L1304" t="inlineStr">
        <is>
          <t>6:52:35</t>
        </is>
      </c>
      <c r="M1304" t="inlineStr">
        <is>
          <t>6:52:55</t>
        </is>
      </c>
    </row>
    <row r="1305" ht="15" customHeight="1" s="37">
      <c r="A1305" t="n">
        <v>16</v>
      </c>
      <c r="B1305" s="10" t="inlineStr">
        <is>
          <t>休日</t>
        </is>
      </c>
      <c r="C1305" s="10" t="inlineStr">
        <is>
          <t>北野線</t>
        </is>
      </c>
      <c r="D1305" s="10" t="inlineStr">
        <is>
          <t>上り</t>
        </is>
      </c>
      <c r="E1305" t="inlineStr">
        <is>
          <t>0658</t>
        </is>
      </c>
      <c r="F1305" t="inlineStr">
        <is>
          <t>0304</t>
        </is>
      </c>
      <c r="G1305" s="10" t="inlineStr">
        <is>
          <t>鳴滝</t>
        </is>
      </c>
      <c r="H1305" s="10" t="inlineStr">
        <is>
          <t>発</t>
        </is>
      </c>
      <c r="J1305" s="10" t="inlineStr">
        <is>
          <t>営業</t>
        </is>
      </c>
      <c r="L1305" t="inlineStr">
        <is>
          <t>6:53:55</t>
        </is>
      </c>
      <c r="M1305" t="inlineStr">
        <is>
          <t>6:54:15</t>
        </is>
      </c>
    </row>
    <row r="1306" ht="15" customHeight="1" s="37">
      <c r="A1306" t="n">
        <v>16</v>
      </c>
      <c r="B1306" s="10" t="inlineStr">
        <is>
          <t>休日</t>
        </is>
      </c>
      <c r="C1306" s="10" t="inlineStr">
        <is>
          <t>北野線</t>
        </is>
      </c>
      <c r="D1306" s="10" t="inlineStr">
        <is>
          <t>上り</t>
        </is>
      </c>
      <c r="E1306" t="inlineStr">
        <is>
          <t>0658</t>
        </is>
      </c>
      <c r="F1306" t="inlineStr">
        <is>
          <t>0304</t>
        </is>
      </c>
      <c r="G1306" s="10" t="inlineStr">
        <is>
          <t>宇多野</t>
        </is>
      </c>
      <c r="H1306" s="10" t="inlineStr">
        <is>
          <t>発</t>
        </is>
      </c>
      <c r="J1306" s="10" t="inlineStr">
        <is>
          <t>営業</t>
        </is>
      </c>
      <c r="L1306" t="inlineStr">
        <is>
          <t>6:55:35</t>
        </is>
      </c>
      <c r="M1306" t="inlineStr">
        <is>
          <t>6:55:50</t>
        </is>
      </c>
    </row>
    <row r="1307" ht="15" customHeight="1" s="37">
      <c r="A1307" t="n">
        <v>16</v>
      </c>
      <c r="B1307" s="10" t="inlineStr">
        <is>
          <t>休日</t>
        </is>
      </c>
      <c r="C1307" s="10" t="inlineStr">
        <is>
          <t>北野線</t>
        </is>
      </c>
      <c r="D1307" s="10" t="inlineStr">
        <is>
          <t>上り</t>
        </is>
      </c>
      <c r="E1307" t="inlineStr">
        <is>
          <t>0658</t>
        </is>
      </c>
      <c r="F1307" t="inlineStr">
        <is>
          <t>0304</t>
        </is>
      </c>
      <c r="G1307" s="10" t="inlineStr">
        <is>
          <t>御室仁和寺</t>
        </is>
      </c>
      <c r="H1307" s="10" t="inlineStr">
        <is>
          <t>発</t>
        </is>
      </c>
      <c r="J1307" s="10" t="inlineStr">
        <is>
          <t>営業</t>
        </is>
      </c>
      <c r="L1307" t="inlineStr">
        <is>
          <t>6:56:50</t>
        </is>
      </c>
      <c r="M1307" t="inlineStr">
        <is>
          <t>6:56:55</t>
        </is>
      </c>
    </row>
    <row r="1308" ht="15" customHeight="1" s="37">
      <c r="A1308" t="n">
        <v>16</v>
      </c>
      <c r="B1308" s="10" t="inlineStr">
        <is>
          <t>休日</t>
        </is>
      </c>
      <c r="C1308" s="10" t="inlineStr">
        <is>
          <t>北野線</t>
        </is>
      </c>
      <c r="D1308" s="10" t="inlineStr">
        <is>
          <t>上り</t>
        </is>
      </c>
      <c r="E1308" t="inlineStr">
        <is>
          <t>0658</t>
        </is>
      </c>
      <c r="F1308" t="inlineStr">
        <is>
          <t>0304</t>
        </is>
      </c>
      <c r="G1308" s="10" t="inlineStr">
        <is>
          <t>妙心寺</t>
        </is>
      </c>
      <c r="H1308" s="10" t="inlineStr">
        <is>
          <t>発</t>
        </is>
      </c>
      <c r="J1308" s="10" t="inlineStr">
        <is>
          <t>営業</t>
        </is>
      </c>
      <c r="L1308" t="inlineStr">
        <is>
          <t>6:57:55</t>
        </is>
      </c>
      <c r="M1308" t="inlineStr">
        <is>
          <t>6:58:10</t>
        </is>
      </c>
    </row>
    <row r="1309" ht="15" customHeight="1" s="37">
      <c r="A1309" t="n">
        <v>16</v>
      </c>
      <c r="B1309" s="10" t="inlineStr">
        <is>
          <t>休日</t>
        </is>
      </c>
      <c r="C1309" s="10" t="inlineStr">
        <is>
          <t>北野線</t>
        </is>
      </c>
      <c r="D1309" s="10" t="inlineStr">
        <is>
          <t>上り</t>
        </is>
      </c>
      <c r="E1309" t="inlineStr">
        <is>
          <t>0658</t>
        </is>
      </c>
      <c r="F1309" t="inlineStr">
        <is>
          <t>0304</t>
        </is>
      </c>
      <c r="G1309" s="10" t="inlineStr">
        <is>
          <t>龍安寺</t>
        </is>
      </c>
      <c r="H1309" s="10" t="inlineStr">
        <is>
          <t>発</t>
        </is>
      </c>
      <c r="J1309" s="10" t="inlineStr">
        <is>
          <t>営業</t>
        </is>
      </c>
      <c r="L1309" t="inlineStr">
        <is>
          <t>6:59:05</t>
        </is>
      </c>
      <c r="M1309" t="inlineStr">
        <is>
          <t>6:59:25</t>
        </is>
      </c>
    </row>
    <row r="1310" ht="15" customHeight="1" s="37">
      <c r="A1310" t="n">
        <v>16</v>
      </c>
      <c r="B1310" s="10" t="inlineStr">
        <is>
          <t>休日</t>
        </is>
      </c>
      <c r="C1310" s="10" t="inlineStr">
        <is>
          <t>北野線</t>
        </is>
      </c>
      <c r="D1310" s="10" t="inlineStr">
        <is>
          <t>上り</t>
        </is>
      </c>
      <c r="E1310" t="inlineStr">
        <is>
          <t>0658</t>
        </is>
      </c>
      <c r="F1310" t="inlineStr">
        <is>
          <t>0304</t>
        </is>
      </c>
      <c r="G1310" s="10" t="inlineStr">
        <is>
          <t>等持院</t>
        </is>
      </c>
      <c r="H1310" s="10" t="inlineStr">
        <is>
          <t>発</t>
        </is>
      </c>
      <c r="J1310" s="10" t="inlineStr">
        <is>
          <t>営業</t>
        </is>
      </c>
      <c r="L1310" t="inlineStr">
        <is>
          <t>7:00:05</t>
        </is>
      </c>
      <c r="M1310" t="inlineStr">
        <is>
          <t>7:00:15</t>
        </is>
      </c>
    </row>
    <row r="1311" ht="15" customHeight="1" s="37">
      <c r="A1311" t="n">
        <v>16</v>
      </c>
      <c r="B1311" s="10" t="inlineStr">
        <is>
          <t>休日</t>
        </is>
      </c>
      <c r="C1311" s="10" t="inlineStr">
        <is>
          <t>北野線</t>
        </is>
      </c>
      <c r="D1311" s="10" t="inlineStr">
        <is>
          <t>上り</t>
        </is>
      </c>
      <c r="E1311" t="inlineStr">
        <is>
          <t>0658</t>
        </is>
      </c>
      <c r="F1311" t="inlineStr">
        <is>
          <t>0304</t>
        </is>
      </c>
      <c r="G1311" s="10" t="inlineStr">
        <is>
          <t>北野白梅町</t>
        </is>
      </c>
      <c r="H1311" s="10" t="inlineStr">
        <is>
          <t>着</t>
        </is>
      </c>
      <c r="J1311" s="10" t="inlineStr">
        <is>
          <t>営業</t>
        </is>
      </c>
      <c r="L1311" t="inlineStr">
        <is>
          <t>7:01:50</t>
        </is>
      </c>
      <c r="N1311" t="inlineStr">
        <is>
          <t>○</t>
        </is>
      </c>
      <c r="Q1311" t="inlineStr">
        <is>
          <t>1</t>
        </is>
      </c>
    </row>
    <row r="1312" ht="15" customHeight="1" s="37">
      <c r="A1312" t="n">
        <v>16</v>
      </c>
      <c r="B1312" s="10" t="inlineStr">
        <is>
          <t>休日</t>
        </is>
      </c>
      <c r="C1312" s="10" t="inlineStr">
        <is>
          <t>北野線</t>
        </is>
      </c>
      <c r="D1312" s="10" t="inlineStr">
        <is>
          <t>下り</t>
        </is>
      </c>
      <c r="E1312" t="inlineStr">
        <is>
          <t>0751</t>
        </is>
      </c>
      <c r="F1312" t="inlineStr">
        <is>
          <t>0453</t>
        </is>
      </c>
      <c r="G1312" s="10" t="inlineStr">
        <is>
          <t>北野白梅町</t>
        </is>
      </c>
      <c r="H1312" s="10" t="inlineStr">
        <is>
          <t>発</t>
        </is>
      </c>
      <c r="J1312" s="10" t="inlineStr">
        <is>
          <t>営業</t>
        </is>
      </c>
      <c r="M1312" t="inlineStr">
        <is>
          <t>7:13:00</t>
        </is>
      </c>
      <c r="Q1312" t="inlineStr">
        <is>
          <t>1</t>
        </is>
      </c>
    </row>
    <row r="1313" ht="15" customHeight="1" s="37">
      <c r="A1313" t="n">
        <v>16</v>
      </c>
      <c r="B1313" s="10" t="inlineStr">
        <is>
          <t>休日</t>
        </is>
      </c>
      <c r="C1313" s="10" t="inlineStr">
        <is>
          <t>北野線</t>
        </is>
      </c>
      <c r="D1313" s="10" t="inlineStr">
        <is>
          <t>下り</t>
        </is>
      </c>
      <c r="E1313" t="inlineStr">
        <is>
          <t>0751</t>
        </is>
      </c>
      <c r="F1313" t="inlineStr">
        <is>
          <t>0453</t>
        </is>
      </c>
      <c r="G1313" s="10" t="inlineStr">
        <is>
          <t>等持院</t>
        </is>
      </c>
      <c r="H1313" s="10" t="inlineStr">
        <is>
          <t>発</t>
        </is>
      </c>
      <c r="J1313" s="10" t="inlineStr">
        <is>
          <t>営業</t>
        </is>
      </c>
      <c r="L1313" t="inlineStr">
        <is>
          <t>7:14:25</t>
        </is>
      </c>
      <c r="M1313" t="inlineStr">
        <is>
          <t>7:14:35</t>
        </is>
      </c>
    </row>
    <row r="1314" ht="15" customHeight="1" s="37">
      <c r="A1314" t="n">
        <v>16</v>
      </c>
      <c r="B1314" s="10" t="inlineStr">
        <is>
          <t>休日</t>
        </is>
      </c>
      <c r="C1314" s="10" t="inlineStr">
        <is>
          <t>北野線</t>
        </is>
      </c>
      <c r="D1314" s="10" t="inlineStr">
        <is>
          <t>下り</t>
        </is>
      </c>
      <c r="E1314" t="inlineStr">
        <is>
          <t>0751</t>
        </is>
      </c>
      <c r="F1314" t="inlineStr">
        <is>
          <t>0453</t>
        </is>
      </c>
      <c r="G1314" s="10" t="inlineStr">
        <is>
          <t>龍安寺</t>
        </is>
      </c>
      <c r="H1314" s="10" t="inlineStr">
        <is>
          <t>発</t>
        </is>
      </c>
      <c r="J1314" s="10" t="inlineStr">
        <is>
          <t>営業</t>
        </is>
      </c>
      <c r="L1314" t="inlineStr">
        <is>
          <t>7:15:25</t>
        </is>
      </c>
      <c r="M1314" t="inlineStr">
        <is>
          <t>7:15:50</t>
        </is>
      </c>
    </row>
    <row r="1315" ht="15" customHeight="1" s="37">
      <c r="A1315" t="n">
        <v>16</v>
      </c>
      <c r="B1315" s="10" t="inlineStr">
        <is>
          <t>休日</t>
        </is>
      </c>
      <c r="C1315" s="10" t="inlineStr">
        <is>
          <t>北野線</t>
        </is>
      </c>
      <c r="D1315" s="10" t="inlineStr">
        <is>
          <t>下り</t>
        </is>
      </c>
      <c r="E1315" t="inlineStr">
        <is>
          <t>0751</t>
        </is>
      </c>
      <c r="F1315" t="inlineStr">
        <is>
          <t>0453</t>
        </is>
      </c>
      <c r="G1315" s="10" t="inlineStr">
        <is>
          <t>妙心寺</t>
        </is>
      </c>
      <c r="H1315" s="10" t="inlineStr">
        <is>
          <t>発</t>
        </is>
      </c>
      <c r="J1315" s="10" t="inlineStr">
        <is>
          <t>営業</t>
        </is>
      </c>
      <c r="L1315" t="inlineStr">
        <is>
          <t>7:16:40</t>
        </is>
      </c>
      <c r="M1315" t="inlineStr">
        <is>
          <t>7:16:50</t>
        </is>
      </c>
    </row>
    <row r="1316" ht="15" customHeight="1" s="37">
      <c r="A1316" t="n">
        <v>16</v>
      </c>
      <c r="B1316" s="10" t="inlineStr">
        <is>
          <t>休日</t>
        </is>
      </c>
      <c r="C1316" s="10" t="inlineStr">
        <is>
          <t>北野線</t>
        </is>
      </c>
      <c r="D1316" s="10" t="inlineStr">
        <is>
          <t>下り</t>
        </is>
      </c>
      <c r="E1316" t="inlineStr">
        <is>
          <t>0751</t>
        </is>
      </c>
      <c r="F1316" t="inlineStr">
        <is>
          <t>0453</t>
        </is>
      </c>
      <c r="G1316" s="10" t="inlineStr">
        <is>
          <t>御室仁和寺</t>
        </is>
      </c>
      <c r="H1316" s="10" t="inlineStr">
        <is>
          <t>発</t>
        </is>
      </c>
      <c r="J1316" s="10" t="inlineStr">
        <is>
          <t>営業</t>
        </is>
      </c>
      <c r="L1316" t="inlineStr">
        <is>
          <t>7:17:50</t>
        </is>
      </c>
      <c r="M1316" t="inlineStr">
        <is>
          <t>7:18:05</t>
        </is>
      </c>
    </row>
    <row r="1317" ht="15" customHeight="1" s="37">
      <c r="A1317" t="n">
        <v>16</v>
      </c>
      <c r="B1317" s="10" t="inlineStr">
        <is>
          <t>休日</t>
        </is>
      </c>
      <c r="C1317" s="10" t="inlineStr">
        <is>
          <t>北野線</t>
        </is>
      </c>
      <c r="D1317" s="10" t="inlineStr">
        <is>
          <t>下り</t>
        </is>
      </c>
      <c r="E1317" t="inlineStr">
        <is>
          <t>0751</t>
        </is>
      </c>
      <c r="F1317" t="inlineStr">
        <is>
          <t>0453</t>
        </is>
      </c>
      <c r="G1317" s="10" t="inlineStr">
        <is>
          <t>宇多野</t>
        </is>
      </c>
      <c r="H1317" s="10" t="inlineStr">
        <is>
          <t>発</t>
        </is>
      </c>
      <c r="J1317" s="10" t="inlineStr">
        <is>
          <t>営業</t>
        </is>
      </c>
      <c r="L1317" t="inlineStr">
        <is>
          <t>7:19:05</t>
        </is>
      </c>
      <c r="M1317" t="inlineStr">
        <is>
          <t>7:19:15</t>
        </is>
      </c>
    </row>
    <row r="1318" ht="15" customHeight="1" s="37">
      <c r="A1318" t="n">
        <v>16</v>
      </c>
      <c r="B1318" s="10" t="inlineStr">
        <is>
          <t>休日</t>
        </is>
      </c>
      <c r="C1318" s="10" t="inlineStr">
        <is>
          <t>北野線</t>
        </is>
      </c>
      <c r="D1318" s="10" t="inlineStr">
        <is>
          <t>下り</t>
        </is>
      </c>
      <c r="E1318" t="inlineStr">
        <is>
          <t>0751</t>
        </is>
      </c>
      <c r="F1318" t="inlineStr">
        <is>
          <t>0453</t>
        </is>
      </c>
      <c r="G1318" s="10" t="inlineStr">
        <is>
          <t>鳴滝</t>
        </is>
      </c>
      <c r="H1318" s="10" t="inlineStr">
        <is>
          <t>発</t>
        </is>
      </c>
      <c r="J1318" s="10" t="inlineStr">
        <is>
          <t>営業</t>
        </is>
      </c>
      <c r="L1318" t="inlineStr">
        <is>
          <t>7:20:35</t>
        </is>
      </c>
      <c r="M1318" t="inlineStr">
        <is>
          <t>7:20:45</t>
        </is>
      </c>
    </row>
    <row r="1319" ht="15" customHeight="1" s="37">
      <c r="A1319" t="n">
        <v>16</v>
      </c>
      <c r="B1319" s="10" t="inlineStr">
        <is>
          <t>休日</t>
        </is>
      </c>
      <c r="C1319" s="10" t="inlineStr">
        <is>
          <t>北野線</t>
        </is>
      </c>
      <c r="D1319" s="10" t="inlineStr">
        <is>
          <t>下り</t>
        </is>
      </c>
      <c r="E1319" t="inlineStr">
        <is>
          <t>0751</t>
        </is>
      </c>
      <c r="F1319" t="inlineStr">
        <is>
          <t>0453</t>
        </is>
      </c>
      <c r="G1319" s="10" t="inlineStr">
        <is>
          <t>常盤</t>
        </is>
      </c>
      <c r="H1319" s="10" t="inlineStr">
        <is>
          <t>発</t>
        </is>
      </c>
      <c r="J1319" s="10" t="inlineStr">
        <is>
          <t>営業</t>
        </is>
      </c>
      <c r="L1319" t="inlineStr">
        <is>
          <t>7:21:35</t>
        </is>
      </c>
      <c r="M1319" t="inlineStr">
        <is>
          <t>7:21:55</t>
        </is>
      </c>
    </row>
    <row r="1320" ht="15" customHeight="1" s="37">
      <c r="A1320" t="n">
        <v>16</v>
      </c>
      <c r="B1320" s="10" t="inlineStr">
        <is>
          <t>休日</t>
        </is>
      </c>
      <c r="C1320" s="10" t="inlineStr">
        <is>
          <t>北野線</t>
        </is>
      </c>
      <c r="D1320" s="10" t="inlineStr">
        <is>
          <t>下り</t>
        </is>
      </c>
      <c r="E1320" t="inlineStr">
        <is>
          <t>0751</t>
        </is>
      </c>
      <c r="F1320" t="inlineStr">
        <is>
          <t>0453</t>
        </is>
      </c>
      <c r="G1320" s="10" t="inlineStr">
        <is>
          <t>撮影所前</t>
        </is>
      </c>
      <c r="H1320" s="10" t="inlineStr">
        <is>
          <t>発</t>
        </is>
      </c>
      <c r="J1320" s="10" t="inlineStr">
        <is>
          <t>営業</t>
        </is>
      </c>
      <c r="L1320" t="inlineStr">
        <is>
          <t>7:23:15</t>
        </is>
      </c>
      <c r="M1320" t="inlineStr">
        <is>
          <t>7:23:30</t>
        </is>
      </c>
    </row>
    <row r="1321" ht="15" customHeight="1" s="37">
      <c r="A1321" t="n">
        <v>16</v>
      </c>
      <c r="B1321" s="10" t="inlineStr">
        <is>
          <t>休日</t>
        </is>
      </c>
      <c r="C1321" s="10" t="inlineStr">
        <is>
          <t>北野線</t>
        </is>
      </c>
      <c r="D1321" s="10" t="inlineStr">
        <is>
          <t>下り</t>
        </is>
      </c>
      <c r="E1321" t="inlineStr">
        <is>
          <t>0751</t>
        </is>
      </c>
      <c r="F1321" t="inlineStr">
        <is>
          <t>0453</t>
        </is>
      </c>
      <c r="G1321" s="10" t="inlineStr">
        <is>
          <t>帷子ノ辻</t>
        </is>
      </c>
      <c r="H1321" s="10" t="inlineStr">
        <is>
          <t>着</t>
        </is>
      </c>
      <c r="J1321" s="10" t="inlineStr">
        <is>
          <t>営業</t>
        </is>
      </c>
      <c r="L1321" t="inlineStr">
        <is>
          <t>7:24:25</t>
        </is>
      </c>
      <c r="Q1321" t="inlineStr">
        <is>
          <t>3</t>
        </is>
      </c>
    </row>
    <row r="1322" ht="15" customHeight="1" s="37">
      <c r="A1322" t="n">
        <v>16</v>
      </c>
      <c r="B1322" s="10" t="inlineStr">
        <is>
          <t>休日</t>
        </is>
      </c>
      <c r="C1322" s="10" t="inlineStr">
        <is>
          <t>北野線</t>
        </is>
      </c>
      <c r="D1322" s="10" t="inlineStr">
        <is>
          <t>上り</t>
        </is>
      </c>
      <c r="E1322" t="inlineStr">
        <is>
          <t>0758</t>
        </is>
      </c>
      <c r="F1322" t="inlineStr">
        <is>
          <t>0354</t>
        </is>
      </c>
      <c r="G1322" s="10" t="inlineStr">
        <is>
          <t>帷子ノ辻</t>
        </is>
      </c>
      <c r="H1322" s="10" t="inlineStr">
        <is>
          <t>発</t>
        </is>
      </c>
      <c r="J1322" s="10" t="inlineStr">
        <is>
          <t>営業</t>
        </is>
      </c>
      <c r="M1322" t="inlineStr">
        <is>
          <t>7:36:25</t>
        </is>
      </c>
      <c r="Q1322" t="inlineStr">
        <is>
          <t>3</t>
        </is>
      </c>
    </row>
    <row r="1323" ht="15" customHeight="1" s="37">
      <c r="A1323" t="n">
        <v>16</v>
      </c>
      <c r="B1323" s="10" t="inlineStr">
        <is>
          <t>休日</t>
        </is>
      </c>
      <c r="C1323" s="10" t="inlineStr">
        <is>
          <t>北野線</t>
        </is>
      </c>
      <c r="D1323" s="10" t="inlineStr">
        <is>
          <t>上り</t>
        </is>
      </c>
      <c r="E1323" t="inlineStr">
        <is>
          <t>0758</t>
        </is>
      </c>
      <c r="F1323" t="inlineStr">
        <is>
          <t>0354</t>
        </is>
      </c>
      <c r="G1323" s="10" t="inlineStr">
        <is>
          <t>撮影所前</t>
        </is>
      </c>
      <c r="H1323" s="10" t="inlineStr">
        <is>
          <t>発</t>
        </is>
      </c>
      <c r="J1323" s="10" t="inlineStr">
        <is>
          <t>営業</t>
        </is>
      </c>
      <c r="L1323" t="inlineStr">
        <is>
          <t>7:37:25</t>
        </is>
      </c>
      <c r="M1323" t="inlineStr">
        <is>
          <t>7:37:40</t>
        </is>
      </c>
    </row>
    <row r="1324" ht="15" customHeight="1" s="37">
      <c r="A1324" t="n">
        <v>16</v>
      </c>
      <c r="B1324" s="10" t="inlineStr">
        <is>
          <t>休日</t>
        </is>
      </c>
      <c r="C1324" s="10" t="inlineStr">
        <is>
          <t>北野線</t>
        </is>
      </c>
      <c r="D1324" s="10" t="inlineStr">
        <is>
          <t>上り</t>
        </is>
      </c>
      <c r="E1324" t="inlineStr">
        <is>
          <t>0758</t>
        </is>
      </c>
      <c r="F1324" t="inlineStr">
        <is>
          <t>0354</t>
        </is>
      </c>
      <c r="G1324" s="10" t="inlineStr">
        <is>
          <t>常盤</t>
        </is>
      </c>
      <c r="H1324" s="10" t="inlineStr">
        <is>
          <t>発</t>
        </is>
      </c>
      <c r="J1324" s="10" t="inlineStr">
        <is>
          <t>営業</t>
        </is>
      </c>
      <c r="L1324" t="inlineStr">
        <is>
          <t>7:39:00</t>
        </is>
      </c>
      <c r="M1324" t="inlineStr">
        <is>
          <t>7:39:20</t>
        </is>
      </c>
    </row>
    <row r="1325" ht="15" customHeight="1" s="37">
      <c r="A1325" t="n">
        <v>16</v>
      </c>
      <c r="B1325" s="10" t="inlineStr">
        <is>
          <t>休日</t>
        </is>
      </c>
      <c r="C1325" s="10" t="inlineStr">
        <is>
          <t>北野線</t>
        </is>
      </c>
      <c r="D1325" s="10" t="inlineStr">
        <is>
          <t>上り</t>
        </is>
      </c>
      <c r="E1325" t="inlineStr">
        <is>
          <t>0758</t>
        </is>
      </c>
      <c r="F1325" t="inlineStr">
        <is>
          <t>0354</t>
        </is>
      </c>
      <c r="G1325" s="10" t="inlineStr">
        <is>
          <t>鳴滝</t>
        </is>
      </c>
      <c r="H1325" s="10" t="inlineStr">
        <is>
          <t>発</t>
        </is>
      </c>
      <c r="J1325" s="10" t="inlineStr">
        <is>
          <t>営業</t>
        </is>
      </c>
      <c r="L1325" t="inlineStr">
        <is>
          <t>7:40:20</t>
        </is>
      </c>
      <c r="M1325" t="inlineStr">
        <is>
          <t>7:40:40</t>
        </is>
      </c>
    </row>
    <row r="1326" ht="15" customHeight="1" s="37">
      <c r="A1326" t="n">
        <v>16</v>
      </c>
      <c r="B1326" s="10" t="inlineStr">
        <is>
          <t>休日</t>
        </is>
      </c>
      <c r="C1326" s="10" t="inlineStr">
        <is>
          <t>北野線</t>
        </is>
      </c>
      <c r="D1326" s="10" t="inlineStr">
        <is>
          <t>上り</t>
        </is>
      </c>
      <c r="E1326" t="inlineStr">
        <is>
          <t>0758</t>
        </is>
      </c>
      <c r="F1326" t="inlineStr">
        <is>
          <t>0354</t>
        </is>
      </c>
      <c r="G1326" s="10" t="inlineStr">
        <is>
          <t>宇多野</t>
        </is>
      </c>
      <c r="H1326" s="10" t="inlineStr">
        <is>
          <t>発</t>
        </is>
      </c>
      <c r="J1326" s="10" t="inlineStr">
        <is>
          <t>営業</t>
        </is>
      </c>
      <c r="L1326" t="inlineStr">
        <is>
          <t>7:42:00</t>
        </is>
      </c>
      <c r="M1326" t="inlineStr">
        <is>
          <t>7:42:15</t>
        </is>
      </c>
    </row>
    <row r="1327" ht="15" customHeight="1" s="37">
      <c r="A1327" t="n">
        <v>16</v>
      </c>
      <c r="B1327" s="10" t="inlineStr">
        <is>
          <t>休日</t>
        </is>
      </c>
      <c r="C1327" s="10" t="inlineStr">
        <is>
          <t>北野線</t>
        </is>
      </c>
      <c r="D1327" s="10" t="inlineStr">
        <is>
          <t>上り</t>
        </is>
      </c>
      <c r="E1327" t="inlineStr">
        <is>
          <t>0758</t>
        </is>
      </c>
      <c r="F1327" t="inlineStr">
        <is>
          <t>0354</t>
        </is>
      </c>
      <c r="G1327" s="10" t="inlineStr">
        <is>
          <t>御室仁和寺</t>
        </is>
      </c>
      <c r="H1327" s="10" t="inlineStr">
        <is>
          <t>発</t>
        </is>
      </c>
      <c r="J1327" s="10" t="inlineStr">
        <is>
          <t>営業</t>
        </is>
      </c>
      <c r="L1327" t="inlineStr">
        <is>
          <t>7:43:15</t>
        </is>
      </c>
      <c r="M1327" t="inlineStr">
        <is>
          <t>7:43:35</t>
        </is>
      </c>
    </row>
    <row r="1328" ht="15" customHeight="1" s="37">
      <c r="A1328" t="n">
        <v>16</v>
      </c>
      <c r="B1328" s="10" t="inlineStr">
        <is>
          <t>休日</t>
        </is>
      </c>
      <c r="C1328" s="10" t="inlineStr">
        <is>
          <t>北野線</t>
        </is>
      </c>
      <c r="D1328" s="10" t="inlineStr">
        <is>
          <t>上り</t>
        </is>
      </c>
      <c r="E1328" t="inlineStr">
        <is>
          <t>0758</t>
        </is>
      </c>
      <c r="F1328" t="inlineStr">
        <is>
          <t>0354</t>
        </is>
      </c>
      <c r="G1328" s="10" t="inlineStr">
        <is>
          <t>妙心寺</t>
        </is>
      </c>
      <c r="H1328" s="10" t="inlineStr">
        <is>
          <t>発</t>
        </is>
      </c>
      <c r="J1328" s="10" t="inlineStr">
        <is>
          <t>営業</t>
        </is>
      </c>
      <c r="L1328" t="inlineStr">
        <is>
          <t>7:44:35</t>
        </is>
      </c>
      <c r="M1328" t="inlineStr">
        <is>
          <t>7:44:50</t>
        </is>
      </c>
    </row>
    <row r="1329" ht="15" customHeight="1" s="37">
      <c r="A1329" t="n">
        <v>16</v>
      </c>
      <c r="B1329" s="10" t="inlineStr">
        <is>
          <t>休日</t>
        </is>
      </c>
      <c r="C1329" s="10" t="inlineStr">
        <is>
          <t>北野線</t>
        </is>
      </c>
      <c r="D1329" s="10" t="inlineStr">
        <is>
          <t>上り</t>
        </is>
      </c>
      <c r="E1329" t="inlineStr">
        <is>
          <t>0758</t>
        </is>
      </c>
      <c r="F1329" t="inlineStr">
        <is>
          <t>0354</t>
        </is>
      </c>
      <c r="G1329" s="10" t="inlineStr">
        <is>
          <t>龍安寺</t>
        </is>
      </c>
      <c r="H1329" s="10" t="inlineStr">
        <is>
          <t>発</t>
        </is>
      </c>
      <c r="J1329" s="10" t="inlineStr">
        <is>
          <t>営業</t>
        </is>
      </c>
      <c r="L1329" t="inlineStr">
        <is>
          <t>7:45:45</t>
        </is>
      </c>
      <c r="M1329" t="inlineStr">
        <is>
          <t>7:45:55</t>
        </is>
      </c>
    </row>
    <row r="1330" ht="15" customHeight="1" s="37">
      <c r="A1330" t="n">
        <v>16</v>
      </c>
      <c r="B1330" s="10" t="inlineStr">
        <is>
          <t>休日</t>
        </is>
      </c>
      <c r="C1330" s="10" t="inlineStr">
        <is>
          <t>北野線</t>
        </is>
      </c>
      <c r="D1330" s="10" t="inlineStr">
        <is>
          <t>上り</t>
        </is>
      </c>
      <c r="E1330" t="inlineStr">
        <is>
          <t>0758</t>
        </is>
      </c>
      <c r="F1330" t="inlineStr">
        <is>
          <t>0354</t>
        </is>
      </c>
      <c r="G1330" s="10" t="inlineStr">
        <is>
          <t>等持院</t>
        </is>
      </c>
      <c r="H1330" s="10" t="inlineStr">
        <is>
          <t>発</t>
        </is>
      </c>
      <c r="J1330" s="10" t="inlineStr">
        <is>
          <t>営業</t>
        </is>
      </c>
      <c r="L1330" t="inlineStr">
        <is>
          <t>7:46:35</t>
        </is>
      </c>
      <c r="M1330" t="inlineStr">
        <is>
          <t>7:46:55</t>
        </is>
      </c>
    </row>
    <row r="1331" ht="15" customHeight="1" s="37">
      <c r="A1331" t="n">
        <v>16</v>
      </c>
      <c r="B1331" s="10" t="inlineStr">
        <is>
          <t>休日</t>
        </is>
      </c>
      <c r="C1331" s="10" t="inlineStr">
        <is>
          <t>北野線</t>
        </is>
      </c>
      <c r="D1331" s="10" t="inlineStr">
        <is>
          <t>上り</t>
        </is>
      </c>
      <c r="E1331" t="inlineStr">
        <is>
          <t>0758</t>
        </is>
      </c>
      <c r="F1331" t="inlineStr">
        <is>
          <t>0354</t>
        </is>
      </c>
      <c r="G1331" s="10" t="inlineStr">
        <is>
          <t>北野白梅町</t>
        </is>
      </c>
      <c r="H1331" s="10" t="inlineStr">
        <is>
          <t>着</t>
        </is>
      </c>
      <c r="J1331" s="10" t="inlineStr">
        <is>
          <t>営業</t>
        </is>
      </c>
      <c r="L1331" t="inlineStr">
        <is>
          <t>7:48:15</t>
        </is>
      </c>
      <c r="Q1331" t="inlineStr">
        <is>
          <t>1</t>
        </is>
      </c>
    </row>
    <row r="1332" ht="15" customHeight="1" s="37">
      <c r="A1332" t="n">
        <v>16</v>
      </c>
      <c r="B1332" s="10" t="inlineStr">
        <is>
          <t>休日</t>
        </is>
      </c>
      <c r="C1332" s="10" t="inlineStr">
        <is>
          <t>北野線</t>
        </is>
      </c>
      <c r="D1332" s="10" t="inlineStr">
        <is>
          <t>下り</t>
        </is>
      </c>
      <c r="E1332" t="inlineStr">
        <is>
          <t>0759</t>
        </is>
      </c>
      <c r="F1332" t="inlineStr">
        <is>
          <t>0453</t>
        </is>
      </c>
      <c r="G1332" s="10" t="inlineStr">
        <is>
          <t>北野白梅町</t>
        </is>
      </c>
      <c r="H1332" s="10" t="inlineStr">
        <is>
          <t>発</t>
        </is>
      </c>
      <c r="J1332" s="10" t="inlineStr">
        <is>
          <t>営業</t>
        </is>
      </c>
      <c r="M1332" t="inlineStr">
        <is>
          <t>7:53:00</t>
        </is>
      </c>
      <c r="Q1332" t="inlineStr">
        <is>
          <t>1</t>
        </is>
      </c>
    </row>
    <row r="1333" ht="15" customHeight="1" s="37">
      <c r="A1333" t="n">
        <v>16</v>
      </c>
      <c r="B1333" s="10" t="inlineStr">
        <is>
          <t>休日</t>
        </is>
      </c>
      <c r="C1333" s="10" t="inlineStr">
        <is>
          <t>北野線</t>
        </is>
      </c>
      <c r="D1333" s="10" t="inlineStr">
        <is>
          <t>下り</t>
        </is>
      </c>
      <c r="E1333" t="inlineStr">
        <is>
          <t>0759</t>
        </is>
      </c>
      <c r="F1333" t="inlineStr">
        <is>
          <t>0453</t>
        </is>
      </c>
      <c r="G1333" s="10" t="inlineStr">
        <is>
          <t>等持院</t>
        </is>
      </c>
      <c r="H1333" s="10" t="inlineStr">
        <is>
          <t>発</t>
        </is>
      </c>
      <c r="J1333" s="10" t="inlineStr">
        <is>
          <t>営業</t>
        </is>
      </c>
      <c r="L1333" t="inlineStr">
        <is>
          <t>7:54:25</t>
        </is>
      </c>
      <c r="M1333" t="inlineStr">
        <is>
          <t>7:54:35</t>
        </is>
      </c>
    </row>
    <row r="1334" ht="15" customHeight="1" s="37">
      <c r="A1334" t="n">
        <v>16</v>
      </c>
      <c r="B1334" s="10" t="inlineStr">
        <is>
          <t>休日</t>
        </is>
      </c>
      <c r="C1334" s="10" t="inlineStr">
        <is>
          <t>北野線</t>
        </is>
      </c>
      <c r="D1334" s="10" t="inlineStr">
        <is>
          <t>下り</t>
        </is>
      </c>
      <c r="E1334" t="inlineStr">
        <is>
          <t>0759</t>
        </is>
      </c>
      <c r="F1334" t="inlineStr">
        <is>
          <t>0453</t>
        </is>
      </c>
      <c r="G1334" s="10" t="inlineStr">
        <is>
          <t>龍安寺</t>
        </is>
      </c>
      <c r="H1334" s="10" t="inlineStr">
        <is>
          <t>発</t>
        </is>
      </c>
      <c r="J1334" s="10" t="inlineStr">
        <is>
          <t>営業</t>
        </is>
      </c>
      <c r="L1334" t="inlineStr">
        <is>
          <t>7:55:25</t>
        </is>
      </c>
      <c r="M1334" t="inlineStr">
        <is>
          <t>7:55:50</t>
        </is>
      </c>
    </row>
    <row r="1335" ht="15" customHeight="1" s="37">
      <c r="A1335" t="n">
        <v>16</v>
      </c>
      <c r="B1335" s="10" t="inlineStr">
        <is>
          <t>休日</t>
        </is>
      </c>
      <c r="C1335" s="10" t="inlineStr">
        <is>
          <t>北野線</t>
        </is>
      </c>
      <c r="D1335" s="10" t="inlineStr">
        <is>
          <t>下り</t>
        </is>
      </c>
      <c r="E1335" t="inlineStr">
        <is>
          <t>0759</t>
        </is>
      </c>
      <c r="F1335" t="inlineStr">
        <is>
          <t>0453</t>
        </is>
      </c>
      <c r="G1335" s="10" t="inlineStr">
        <is>
          <t>妙心寺</t>
        </is>
      </c>
      <c r="H1335" s="10" t="inlineStr">
        <is>
          <t>発</t>
        </is>
      </c>
      <c r="J1335" s="10" t="inlineStr">
        <is>
          <t>営業</t>
        </is>
      </c>
      <c r="L1335" t="inlineStr">
        <is>
          <t>7:56:40</t>
        </is>
      </c>
      <c r="M1335" t="inlineStr">
        <is>
          <t>7:56:50</t>
        </is>
      </c>
    </row>
    <row r="1336" ht="15" customHeight="1" s="37">
      <c r="A1336" t="n">
        <v>16</v>
      </c>
      <c r="B1336" s="10" t="inlineStr">
        <is>
          <t>休日</t>
        </is>
      </c>
      <c r="C1336" s="10" t="inlineStr">
        <is>
          <t>北野線</t>
        </is>
      </c>
      <c r="D1336" s="10" t="inlineStr">
        <is>
          <t>下り</t>
        </is>
      </c>
      <c r="E1336" t="inlineStr">
        <is>
          <t>0759</t>
        </is>
      </c>
      <c r="F1336" t="inlineStr">
        <is>
          <t>0453</t>
        </is>
      </c>
      <c r="G1336" s="10" t="inlineStr">
        <is>
          <t>御室仁和寺</t>
        </is>
      </c>
      <c r="H1336" s="10" t="inlineStr">
        <is>
          <t>発</t>
        </is>
      </c>
      <c r="J1336" s="10" t="inlineStr">
        <is>
          <t>営業</t>
        </is>
      </c>
      <c r="L1336" t="inlineStr">
        <is>
          <t>7:57:50</t>
        </is>
      </c>
      <c r="M1336" t="inlineStr">
        <is>
          <t>7:58:05</t>
        </is>
      </c>
    </row>
    <row r="1337" ht="15" customHeight="1" s="37">
      <c r="A1337" t="n">
        <v>16</v>
      </c>
      <c r="B1337" s="10" t="inlineStr">
        <is>
          <t>休日</t>
        </is>
      </c>
      <c r="C1337" s="10" t="inlineStr">
        <is>
          <t>北野線</t>
        </is>
      </c>
      <c r="D1337" s="10" t="inlineStr">
        <is>
          <t>下り</t>
        </is>
      </c>
      <c r="E1337" t="inlineStr">
        <is>
          <t>0759</t>
        </is>
      </c>
      <c r="F1337" t="inlineStr">
        <is>
          <t>0453</t>
        </is>
      </c>
      <c r="G1337" s="10" t="inlineStr">
        <is>
          <t>宇多野</t>
        </is>
      </c>
      <c r="H1337" s="10" t="inlineStr">
        <is>
          <t>発</t>
        </is>
      </c>
      <c r="J1337" s="10" t="inlineStr">
        <is>
          <t>営業</t>
        </is>
      </c>
      <c r="L1337" t="inlineStr">
        <is>
          <t>7:59:05</t>
        </is>
      </c>
      <c r="M1337" t="inlineStr">
        <is>
          <t>7:59:15</t>
        </is>
      </c>
    </row>
    <row r="1338" ht="15" customHeight="1" s="37">
      <c r="A1338" t="n">
        <v>16</v>
      </c>
      <c r="B1338" s="10" t="inlineStr">
        <is>
          <t>休日</t>
        </is>
      </c>
      <c r="C1338" s="10" t="inlineStr">
        <is>
          <t>北野線</t>
        </is>
      </c>
      <c r="D1338" s="10" t="inlineStr">
        <is>
          <t>下り</t>
        </is>
      </c>
      <c r="E1338" t="inlineStr">
        <is>
          <t>0759</t>
        </is>
      </c>
      <c r="F1338" t="inlineStr">
        <is>
          <t>0453</t>
        </is>
      </c>
      <c r="G1338" s="10" t="inlineStr">
        <is>
          <t>鳴滝</t>
        </is>
      </c>
      <c r="H1338" s="10" t="inlineStr">
        <is>
          <t>発</t>
        </is>
      </c>
      <c r="J1338" s="10" t="inlineStr">
        <is>
          <t>営業</t>
        </is>
      </c>
      <c r="L1338" t="inlineStr">
        <is>
          <t>8:00:35</t>
        </is>
      </c>
      <c r="M1338" t="inlineStr">
        <is>
          <t>8:00:45</t>
        </is>
      </c>
    </row>
    <row r="1339" ht="15" customHeight="1" s="37">
      <c r="A1339" t="n">
        <v>16</v>
      </c>
      <c r="B1339" s="10" t="inlineStr">
        <is>
          <t>休日</t>
        </is>
      </c>
      <c r="C1339" s="10" t="inlineStr">
        <is>
          <t>北野線</t>
        </is>
      </c>
      <c r="D1339" s="10" t="inlineStr">
        <is>
          <t>下り</t>
        </is>
      </c>
      <c r="E1339" t="inlineStr">
        <is>
          <t>0759</t>
        </is>
      </c>
      <c r="F1339" t="inlineStr">
        <is>
          <t>0453</t>
        </is>
      </c>
      <c r="G1339" s="10" t="inlineStr">
        <is>
          <t>常盤</t>
        </is>
      </c>
      <c r="H1339" s="10" t="inlineStr">
        <is>
          <t>発</t>
        </is>
      </c>
      <c r="J1339" s="10" t="inlineStr">
        <is>
          <t>営業</t>
        </is>
      </c>
      <c r="L1339" t="inlineStr">
        <is>
          <t>8:01:35</t>
        </is>
      </c>
      <c r="M1339" t="inlineStr">
        <is>
          <t>8:01:55</t>
        </is>
      </c>
    </row>
    <row r="1340" ht="15" customHeight="1" s="37">
      <c r="A1340" t="n">
        <v>16</v>
      </c>
      <c r="B1340" s="10" t="inlineStr">
        <is>
          <t>休日</t>
        </is>
      </c>
      <c r="C1340" s="10" t="inlineStr">
        <is>
          <t>北野線</t>
        </is>
      </c>
      <c r="D1340" s="10" t="inlineStr">
        <is>
          <t>下り</t>
        </is>
      </c>
      <c r="E1340" t="inlineStr">
        <is>
          <t>0759</t>
        </is>
      </c>
      <c r="F1340" t="inlineStr">
        <is>
          <t>0453</t>
        </is>
      </c>
      <c r="G1340" s="10" t="inlineStr">
        <is>
          <t>撮影所前</t>
        </is>
      </c>
      <c r="H1340" s="10" t="inlineStr">
        <is>
          <t>発</t>
        </is>
      </c>
      <c r="J1340" s="10" t="inlineStr">
        <is>
          <t>営業</t>
        </is>
      </c>
      <c r="L1340" t="inlineStr">
        <is>
          <t>8:03:15</t>
        </is>
      </c>
      <c r="M1340" t="inlineStr">
        <is>
          <t>8:03:30</t>
        </is>
      </c>
    </row>
    <row r="1341" ht="15" customHeight="1" s="37">
      <c r="A1341" t="n">
        <v>16</v>
      </c>
      <c r="B1341" s="10" t="inlineStr">
        <is>
          <t>休日</t>
        </is>
      </c>
      <c r="C1341" s="10" t="inlineStr">
        <is>
          <t>北野線</t>
        </is>
      </c>
      <c r="D1341" s="10" t="inlineStr">
        <is>
          <t>下り</t>
        </is>
      </c>
      <c r="E1341" t="inlineStr">
        <is>
          <t>0759</t>
        </is>
      </c>
      <c r="F1341" t="inlineStr">
        <is>
          <t>0453</t>
        </is>
      </c>
      <c r="G1341" s="10" t="inlineStr">
        <is>
          <t>帷子ノ辻</t>
        </is>
      </c>
      <c r="H1341" s="10" t="inlineStr">
        <is>
          <t>着</t>
        </is>
      </c>
      <c r="J1341" s="10" t="inlineStr">
        <is>
          <t>営業</t>
        </is>
      </c>
      <c r="L1341" t="inlineStr">
        <is>
          <t>8:04:25</t>
        </is>
      </c>
      <c r="Q1341" t="inlineStr">
        <is>
          <t>3</t>
        </is>
      </c>
    </row>
    <row r="1342" ht="15" customHeight="1" s="37">
      <c r="A1342" t="n">
        <v>16</v>
      </c>
      <c r="B1342" s="10" t="inlineStr">
        <is>
          <t>休日</t>
        </is>
      </c>
      <c r="C1342" s="10" t="inlineStr">
        <is>
          <t>北野線</t>
        </is>
      </c>
      <c r="D1342" s="10" t="inlineStr">
        <is>
          <t>上り</t>
        </is>
      </c>
      <c r="E1342" t="inlineStr">
        <is>
          <t>0854</t>
        </is>
      </c>
      <c r="F1342" t="inlineStr">
        <is>
          <t>0354</t>
        </is>
      </c>
      <c r="G1342" s="10" t="inlineStr">
        <is>
          <t>帷子ノ辻</t>
        </is>
      </c>
      <c r="H1342" s="10" t="inlineStr">
        <is>
          <t>発</t>
        </is>
      </c>
      <c r="J1342" s="10" t="inlineStr">
        <is>
          <t>営業</t>
        </is>
      </c>
      <c r="M1342" t="inlineStr">
        <is>
          <t>8:16:25</t>
        </is>
      </c>
      <c r="Q1342" t="inlineStr">
        <is>
          <t>3</t>
        </is>
      </c>
      <c r="U1342" t="inlineStr">
        <is>
          <t>→帷子ノ辻 休憩(8:44〜9:46)</t>
        </is>
      </c>
    </row>
    <row r="1343" ht="15" customHeight="1" s="37">
      <c r="A1343" t="n">
        <v>16</v>
      </c>
      <c r="B1343" s="10" t="inlineStr">
        <is>
          <t>休日</t>
        </is>
      </c>
      <c r="C1343" s="10" t="inlineStr">
        <is>
          <t>北野線</t>
        </is>
      </c>
      <c r="D1343" s="10" t="inlineStr">
        <is>
          <t>上り</t>
        </is>
      </c>
      <c r="E1343" t="inlineStr">
        <is>
          <t>0854</t>
        </is>
      </c>
      <c r="F1343" t="inlineStr">
        <is>
          <t>0354</t>
        </is>
      </c>
      <c r="G1343" s="10" t="inlineStr">
        <is>
          <t>撮影所前</t>
        </is>
      </c>
      <c r="H1343" s="10" t="inlineStr">
        <is>
          <t>発</t>
        </is>
      </c>
      <c r="J1343" s="10" t="inlineStr">
        <is>
          <t>営業</t>
        </is>
      </c>
      <c r="L1343" t="inlineStr">
        <is>
          <t>8:17:25</t>
        </is>
      </c>
      <c r="M1343" t="inlineStr">
        <is>
          <t>8:17:40</t>
        </is>
      </c>
      <c r="U1343" t="inlineStr">
        <is>
          <t>→帷子ノ辻 休憩(8:44〜9:46)</t>
        </is>
      </c>
    </row>
    <row r="1344" ht="15" customHeight="1" s="37">
      <c r="A1344" t="n">
        <v>16</v>
      </c>
      <c r="B1344" s="10" t="inlineStr">
        <is>
          <t>休日</t>
        </is>
      </c>
      <c r="C1344" s="10" t="inlineStr">
        <is>
          <t>北野線</t>
        </is>
      </c>
      <c r="D1344" s="10" t="inlineStr">
        <is>
          <t>上り</t>
        </is>
      </c>
      <c r="E1344" t="inlineStr">
        <is>
          <t>0854</t>
        </is>
      </c>
      <c r="F1344" t="inlineStr">
        <is>
          <t>0354</t>
        </is>
      </c>
      <c r="G1344" s="10" t="inlineStr">
        <is>
          <t>常盤</t>
        </is>
      </c>
      <c r="H1344" s="10" t="inlineStr">
        <is>
          <t>発</t>
        </is>
      </c>
      <c r="J1344" s="10" t="inlineStr">
        <is>
          <t>営業</t>
        </is>
      </c>
      <c r="L1344" t="inlineStr">
        <is>
          <t>8:19:00</t>
        </is>
      </c>
      <c r="M1344" t="inlineStr">
        <is>
          <t>8:19:20</t>
        </is>
      </c>
      <c r="U1344" t="inlineStr">
        <is>
          <t>→帷子ノ辻 休憩(8:44〜9:46)</t>
        </is>
      </c>
    </row>
    <row r="1345" ht="15" customHeight="1" s="37">
      <c r="A1345" t="n">
        <v>16</v>
      </c>
      <c r="B1345" s="10" t="inlineStr">
        <is>
          <t>休日</t>
        </is>
      </c>
      <c r="C1345" s="10" t="inlineStr">
        <is>
          <t>北野線</t>
        </is>
      </c>
      <c r="D1345" s="10" t="inlineStr">
        <is>
          <t>上り</t>
        </is>
      </c>
      <c r="E1345" t="inlineStr">
        <is>
          <t>0854</t>
        </is>
      </c>
      <c r="F1345" t="inlineStr">
        <is>
          <t>0354</t>
        </is>
      </c>
      <c r="G1345" s="10" t="inlineStr">
        <is>
          <t>鳴滝</t>
        </is>
      </c>
      <c r="H1345" s="10" t="inlineStr">
        <is>
          <t>発</t>
        </is>
      </c>
      <c r="J1345" s="10" t="inlineStr">
        <is>
          <t>営業</t>
        </is>
      </c>
      <c r="L1345" t="inlineStr">
        <is>
          <t>8:20:20</t>
        </is>
      </c>
      <c r="M1345" t="inlineStr">
        <is>
          <t>8:20:40</t>
        </is>
      </c>
      <c r="U1345" t="inlineStr">
        <is>
          <t>→帷子ノ辻 休憩(8:44〜9:46)</t>
        </is>
      </c>
    </row>
    <row r="1346" ht="15" customHeight="1" s="37">
      <c r="A1346" t="n">
        <v>16</v>
      </c>
      <c r="B1346" s="10" t="inlineStr">
        <is>
          <t>休日</t>
        </is>
      </c>
      <c r="C1346" s="10" t="inlineStr">
        <is>
          <t>北野線</t>
        </is>
      </c>
      <c r="D1346" s="10" t="inlineStr">
        <is>
          <t>上り</t>
        </is>
      </c>
      <c r="E1346" t="inlineStr">
        <is>
          <t>0854</t>
        </is>
      </c>
      <c r="F1346" t="inlineStr">
        <is>
          <t>0354</t>
        </is>
      </c>
      <c r="G1346" s="10" t="inlineStr">
        <is>
          <t>宇多野</t>
        </is>
      </c>
      <c r="H1346" s="10" t="inlineStr">
        <is>
          <t>発</t>
        </is>
      </c>
      <c r="J1346" s="10" t="inlineStr">
        <is>
          <t>営業</t>
        </is>
      </c>
      <c r="L1346" t="inlineStr">
        <is>
          <t>8:22:00</t>
        </is>
      </c>
      <c r="M1346" t="inlineStr">
        <is>
          <t>8:22:15</t>
        </is>
      </c>
      <c r="U1346" t="inlineStr">
        <is>
          <t>→帷子ノ辻 休憩(8:44〜9:46)</t>
        </is>
      </c>
    </row>
    <row r="1347" ht="15" customHeight="1" s="37">
      <c r="A1347" t="n">
        <v>16</v>
      </c>
      <c r="B1347" s="10" t="inlineStr">
        <is>
          <t>休日</t>
        </is>
      </c>
      <c r="C1347" s="10" t="inlineStr">
        <is>
          <t>北野線</t>
        </is>
      </c>
      <c r="D1347" s="10" t="inlineStr">
        <is>
          <t>上り</t>
        </is>
      </c>
      <c r="E1347" t="inlineStr">
        <is>
          <t>0854</t>
        </is>
      </c>
      <c r="F1347" t="inlineStr">
        <is>
          <t>0354</t>
        </is>
      </c>
      <c r="G1347" s="10" t="inlineStr">
        <is>
          <t>御室仁和寺</t>
        </is>
      </c>
      <c r="H1347" s="10" t="inlineStr">
        <is>
          <t>発</t>
        </is>
      </c>
      <c r="J1347" s="10" t="inlineStr">
        <is>
          <t>営業</t>
        </is>
      </c>
      <c r="L1347" t="inlineStr">
        <is>
          <t>8:23:15</t>
        </is>
      </c>
      <c r="M1347" t="inlineStr">
        <is>
          <t>8:23:35</t>
        </is>
      </c>
      <c r="U1347" t="inlineStr">
        <is>
          <t>→帷子ノ辻 休憩(8:44〜9:46)</t>
        </is>
      </c>
    </row>
    <row r="1348" ht="15" customHeight="1" s="37">
      <c r="A1348" t="n">
        <v>16</v>
      </c>
      <c r="B1348" s="10" t="inlineStr">
        <is>
          <t>休日</t>
        </is>
      </c>
      <c r="C1348" s="10" t="inlineStr">
        <is>
          <t>北野線</t>
        </is>
      </c>
      <c r="D1348" s="10" t="inlineStr">
        <is>
          <t>上り</t>
        </is>
      </c>
      <c r="E1348" t="inlineStr">
        <is>
          <t>0854</t>
        </is>
      </c>
      <c r="F1348" t="inlineStr">
        <is>
          <t>0354</t>
        </is>
      </c>
      <c r="G1348" s="10" t="inlineStr">
        <is>
          <t>妙心寺</t>
        </is>
      </c>
      <c r="H1348" s="10" t="inlineStr">
        <is>
          <t>発</t>
        </is>
      </c>
      <c r="J1348" s="10" t="inlineStr">
        <is>
          <t>営業</t>
        </is>
      </c>
      <c r="L1348" t="inlineStr">
        <is>
          <t>8:24:35</t>
        </is>
      </c>
      <c r="M1348" t="inlineStr">
        <is>
          <t>8:24:50</t>
        </is>
      </c>
      <c r="U1348" t="inlineStr">
        <is>
          <t>→帷子ノ辻 休憩(8:44〜9:46)</t>
        </is>
      </c>
    </row>
    <row r="1349" ht="15" customHeight="1" s="37">
      <c r="A1349" t="n">
        <v>16</v>
      </c>
      <c r="B1349" s="10" t="inlineStr">
        <is>
          <t>休日</t>
        </is>
      </c>
      <c r="C1349" s="10" t="inlineStr">
        <is>
          <t>北野線</t>
        </is>
      </c>
      <c r="D1349" s="10" t="inlineStr">
        <is>
          <t>上り</t>
        </is>
      </c>
      <c r="E1349" t="inlineStr">
        <is>
          <t>0854</t>
        </is>
      </c>
      <c r="F1349" t="inlineStr">
        <is>
          <t>0354</t>
        </is>
      </c>
      <c r="G1349" s="10" t="inlineStr">
        <is>
          <t>龍安寺</t>
        </is>
      </c>
      <c r="H1349" s="10" t="inlineStr">
        <is>
          <t>発</t>
        </is>
      </c>
      <c r="J1349" s="10" t="inlineStr">
        <is>
          <t>営業</t>
        </is>
      </c>
      <c r="L1349" t="inlineStr">
        <is>
          <t>8:25:45</t>
        </is>
      </c>
      <c r="M1349" t="inlineStr">
        <is>
          <t>8:25:55</t>
        </is>
      </c>
      <c r="U1349" t="inlineStr">
        <is>
          <t>→帷子ノ辻 休憩(8:44〜9:46)</t>
        </is>
      </c>
    </row>
    <row r="1350" ht="15" customHeight="1" s="37">
      <c r="A1350" t="n">
        <v>16</v>
      </c>
      <c r="B1350" s="10" t="inlineStr">
        <is>
          <t>休日</t>
        </is>
      </c>
      <c r="C1350" s="10" t="inlineStr">
        <is>
          <t>北野線</t>
        </is>
      </c>
      <c r="D1350" s="10" t="inlineStr">
        <is>
          <t>上り</t>
        </is>
      </c>
      <c r="E1350" t="inlineStr">
        <is>
          <t>0854</t>
        </is>
      </c>
      <c r="F1350" t="inlineStr">
        <is>
          <t>0354</t>
        </is>
      </c>
      <c r="G1350" s="10" t="inlineStr">
        <is>
          <t>等持院</t>
        </is>
      </c>
      <c r="H1350" s="10" t="inlineStr">
        <is>
          <t>発</t>
        </is>
      </c>
      <c r="J1350" s="10" t="inlineStr">
        <is>
          <t>営業</t>
        </is>
      </c>
      <c r="L1350" t="inlineStr">
        <is>
          <t>8:26:35</t>
        </is>
      </c>
      <c r="M1350" t="inlineStr">
        <is>
          <t>8:26:55</t>
        </is>
      </c>
      <c r="U1350" t="inlineStr">
        <is>
          <t>→帷子ノ辻 休憩(8:44〜9:46)</t>
        </is>
      </c>
    </row>
    <row r="1351" ht="15" customHeight="1" s="37">
      <c r="A1351" t="n">
        <v>16</v>
      </c>
      <c r="B1351" s="10" t="inlineStr">
        <is>
          <t>休日</t>
        </is>
      </c>
      <c r="C1351" s="10" t="inlineStr">
        <is>
          <t>北野線</t>
        </is>
      </c>
      <c r="D1351" s="10" t="inlineStr">
        <is>
          <t>上り</t>
        </is>
      </c>
      <c r="E1351" t="inlineStr">
        <is>
          <t>0854</t>
        </is>
      </c>
      <c r="F1351" t="inlineStr">
        <is>
          <t>0354</t>
        </is>
      </c>
      <c r="G1351" s="10" t="inlineStr">
        <is>
          <t>北野白梅町</t>
        </is>
      </c>
      <c r="H1351" s="10" t="inlineStr">
        <is>
          <t>着</t>
        </is>
      </c>
      <c r="J1351" s="10" t="inlineStr">
        <is>
          <t>営業</t>
        </is>
      </c>
      <c r="L1351" t="inlineStr">
        <is>
          <t>8:28:15</t>
        </is>
      </c>
      <c r="Q1351" t="inlineStr">
        <is>
          <t>1</t>
        </is>
      </c>
      <c r="U1351" t="inlineStr">
        <is>
          <t>→帷子ノ辻 休憩(8:44〜9:46)</t>
        </is>
      </c>
    </row>
    <row r="1352" ht="15" customHeight="1" s="37">
      <c r="A1352" t="n">
        <v>16</v>
      </c>
      <c r="B1352" s="10" t="inlineStr">
        <is>
          <t>休日</t>
        </is>
      </c>
      <c r="C1352" s="10" t="inlineStr">
        <is>
          <t>北野線</t>
        </is>
      </c>
      <c r="D1352" s="10" t="inlineStr">
        <is>
          <t>下り</t>
        </is>
      </c>
      <c r="E1352" t="inlineStr">
        <is>
          <t>0857</t>
        </is>
      </c>
      <c r="F1352" t="inlineStr">
        <is>
          <t>0453</t>
        </is>
      </c>
      <c r="G1352" s="10" t="inlineStr">
        <is>
          <t>北野白梅町</t>
        </is>
      </c>
      <c r="H1352" s="10" t="inlineStr">
        <is>
          <t>発</t>
        </is>
      </c>
      <c r="J1352" s="10" t="inlineStr">
        <is>
          <t>営業</t>
        </is>
      </c>
      <c r="M1352" t="inlineStr">
        <is>
          <t>8:33:00</t>
        </is>
      </c>
      <c r="Q1352" t="inlineStr">
        <is>
          <t>1</t>
        </is>
      </c>
      <c r="U1352" t="inlineStr">
        <is>
          <t>→帷子ノ辻 休憩(8:44〜9:46)</t>
        </is>
      </c>
    </row>
    <row r="1353" ht="15" customHeight="1" s="37">
      <c r="A1353" t="n">
        <v>16</v>
      </c>
      <c r="B1353" s="10" t="inlineStr">
        <is>
          <t>休日</t>
        </is>
      </c>
      <c r="C1353" s="10" t="inlineStr">
        <is>
          <t>北野線</t>
        </is>
      </c>
      <c r="D1353" s="10" t="inlineStr">
        <is>
          <t>下り</t>
        </is>
      </c>
      <c r="E1353" t="inlineStr">
        <is>
          <t>0857</t>
        </is>
      </c>
      <c r="F1353" t="inlineStr">
        <is>
          <t>0453</t>
        </is>
      </c>
      <c r="G1353" s="10" t="inlineStr">
        <is>
          <t>等持院</t>
        </is>
      </c>
      <c r="H1353" s="10" t="inlineStr">
        <is>
          <t>発</t>
        </is>
      </c>
      <c r="J1353" s="10" t="inlineStr">
        <is>
          <t>営業</t>
        </is>
      </c>
      <c r="L1353" t="inlineStr">
        <is>
          <t>8:34:25</t>
        </is>
      </c>
      <c r="M1353" t="inlineStr">
        <is>
          <t>8:34:35</t>
        </is>
      </c>
      <c r="U1353" t="inlineStr">
        <is>
          <t>→帷子ノ辻 休憩(8:44〜9:46)</t>
        </is>
      </c>
    </row>
    <row r="1354" ht="15" customHeight="1" s="37">
      <c r="A1354" t="n">
        <v>16</v>
      </c>
      <c r="B1354" s="10" t="inlineStr">
        <is>
          <t>休日</t>
        </is>
      </c>
      <c r="C1354" s="10" t="inlineStr">
        <is>
          <t>北野線</t>
        </is>
      </c>
      <c r="D1354" s="10" t="inlineStr">
        <is>
          <t>下り</t>
        </is>
      </c>
      <c r="E1354" t="inlineStr">
        <is>
          <t>0857</t>
        </is>
      </c>
      <c r="F1354" t="inlineStr">
        <is>
          <t>0453</t>
        </is>
      </c>
      <c r="G1354" s="10" t="inlineStr">
        <is>
          <t>龍安寺</t>
        </is>
      </c>
      <c r="H1354" s="10" t="inlineStr">
        <is>
          <t>発</t>
        </is>
      </c>
      <c r="J1354" s="10" t="inlineStr">
        <is>
          <t>営業</t>
        </is>
      </c>
      <c r="L1354" t="inlineStr">
        <is>
          <t>8:35:25</t>
        </is>
      </c>
      <c r="M1354" t="inlineStr">
        <is>
          <t>8:35:50</t>
        </is>
      </c>
      <c r="U1354" t="inlineStr">
        <is>
          <t>→帷子ノ辻 休憩(8:44〜9:46)</t>
        </is>
      </c>
    </row>
    <row r="1355" ht="15" customHeight="1" s="37">
      <c r="A1355" t="n">
        <v>16</v>
      </c>
      <c r="B1355" s="10" t="inlineStr">
        <is>
          <t>休日</t>
        </is>
      </c>
      <c r="C1355" s="10" t="inlineStr">
        <is>
          <t>北野線</t>
        </is>
      </c>
      <c r="D1355" s="10" t="inlineStr">
        <is>
          <t>下り</t>
        </is>
      </c>
      <c r="E1355" t="inlineStr">
        <is>
          <t>0857</t>
        </is>
      </c>
      <c r="F1355" t="inlineStr">
        <is>
          <t>0453</t>
        </is>
      </c>
      <c r="G1355" s="10" t="inlineStr">
        <is>
          <t>妙心寺</t>
        </is>
      </c>
      <c r="H1355" s="10" t="inlineStr">
        <is>
          <t>発</t>
        </is>
      </c>
      <c r="J1355" s="10" t="inlineStr">
        <is>
          <t>営業</t>
        </is>
      </c>
      <c r="L1355" t="inlineStr">
        <is>
          <t>8:36:40</t>
        </is>
      </c>
      <c r="M1355" t="inlineStr">
        <is>
          <t>8:36:50</t>
        </is>
      </c>
      <c r="U1355" t="inlineStr">
        <is>
          <t>→帷子ノ辻 休憩(8:44〜9:46)</t>
        </is>
      </c>
    </row>
    <row r="1356" ht="15" customHeight="1" s="37">
      <c r="A1356" t="n">
        <v>16</v>
      </c>
      <c r="B1356" s="10" t="inlineStr">
        <is>
          <t>休日</t>
        </is>
      </c>
      <c r="C1356" s="10" t="inlineStr">
        <is>
          <t>北野線</t>
        </is>
      </c>
      <c r="D1356" s="10" t="inlineStr">
        <is>
          <t>下り</t>
        </is>
      </c>
      <c r="E1356" t="inlineStr">
        <is>
          <t>0857</t>
        </is>
      </c>
      <c r="F1356" t="inlineStr">
        <is>
          <t>0453</t>
        </is>
      </c>
      <c r="G1356" s="10" t="inlineStr">
        <is>
          <t>御室仁和寺</t>
        </is>
      </c>
      <c r="H1356" s="10" t="inlineStr">
        <is>
          <t>発</t>
        </is>
      </c>
      <c r="J1356" s="10" t="inlineStr">
        <is>
          <t>営業</t>
        </is>
      </c>
      <c r="L1356" t="inlineStr">
        <is>
          <t>8:37:50</t>
        </is>
      </c>
      <c r="M1356" t="inlineStr">
        <is>
          <t>8:38:05</t>
        </is>
      </c>
      <c r="U1356" t="inlineStr">
        <is>
          <t>→帷子ノ辻 休憩(8:44〜9:46)</t>
        </is>
      </c>
    </row>
    <row r="1357" ht="15" customHeight="1" s="37">
      <c r="A1357" t="n">
        <v>16</v>
      </c>
      <c r="B1357" s="10" t="inlineStr">
        <is>
          <t>休日</t>
        </is>
      </c>
      <c r="C1357" s="10" t="inlineStr">
        <is>
          <t>北野線</t>
        </is>
      </c>
      <c r="D1357" s="10" t="inlineStr">
        <is>
          <t>下り</t>
        </is>
      </c>
      <c r="E1357" t="inlineStr">
        <is>
          <t>0857</t>
        </is>
      </c>
      <c r="F1357" t="inlineStr">
        <is>
          <t>0453</t>
        </is>
      </c>
      <c r="G1357" s="10" t="inlineStr">
        <is>
          <t>宇多野</t>
        </is>
      </c>
      <c r="H1357" s="10" t="inlineStr">
        <is>
          <t>発</t>
        </is>
      </c>
      <c r="J1357" s="10" t="inlineStr">
        <is>
          <t>営業</t>
        </is>
      </c>
      <c r="L1357" t="inlineStr">
        <is>
          <t>8:39:05</t>
        </is>
      </c>
      <c r="M1357" t="inlineStr">
        <is>
          <t>8:39:15</t>
        </is>
      </c>
      <c r="U1357" t="inlineStr">
        <is>
          <t>→帷子ノ辻 休憩(8:44〜9:46)</t>
        </is>
      </c>
    </row>
    <row r="1358" ht="15" customHeight="1" s="37">
      <c r="A1358" t="n">
        <v>16</v>
      </c>
      <c r="B1358" s="10" t="inlineStr">
        <is>
          <t>休日</t>
        </is>
      </c>
      <c r="C1358" s="10" t="inlineStr">
        <is>
          <t>北野線</t>
        </is>
      </c>
      <c r="D1358" s="10" t="inlineStr">
        <is>
          <t>下り</t>
        </is>
      </c>
      <c r="E1358" t="inlineStr">
        <is>
          <t>0857</t>
        </is>
      </c>
      <c r="F1358" t="inlineStr">
        <is>
          <t>0453</t>
        </is>
      </c>
      <c r="G1358" s="10" t="inlineStr">
        <is>
          <t>鳴滝</t>
        </is>
      </c>
      <c r="H1358" s="10" t="inlineStr">
        <is>
          <t>発</t>
        </is>
      </c>
      <c r="J1358" s="10" t="inlineStr">
        <is>
          <t>営業</t>
        </is>
      </c>
      <c r="L1358" t="inlineStr">
        <is>
          <t>8:40:35</t>
        </is>
      </c>
      <c r="M1358" t="inlineStr">
        <is>
          <t>8:40:45</t>
        </is>
      </c>
      <c r="U1358" t="inlineStr">
        <is>
          <t>→帷子ノ辻 休憩(8:44〜9:46)</t>
        </is>
      </c>
    </row>
    <row r="1359" ht="15" customHeight="1" s="37">
      <c r="A1359" t="n">
        <v>16</v>
      </c>
      <c r="B1359" s="10" t="inlineStr">
        <is>
          <t>休日</t>
        </is>
      </c>
      <c r="C1359" s="10" t="inlineStr">
        <is>
          <t>北野線</t>
        </is>
      </c>
      <c r="D1359" s="10" t="inlineStr">
        <is>
          <t>下り</t>
        </is>
      </c>
      <c r="E1359" t="inlineStr">
        <is>
          <t>0857</t>
        </is>
      </c>
      <c r="F1359" t="inlineStr">
        <is>
          <t>0453</t>
        </is>
      </c>
      <c r="G1359" s="10" t="inlineStr">
        <is>
          <t>常盤</t>
        </is>
      </c>
      <c r="H1359" s="10" t="inlineStr">
        <is>
          <t>発</t>
        </is>
      </c>
      <c r="J1359" s="10" t="inlineStr">
        <is>
          <t>営業</t>
        </is>
      </c>
      <c r="L1359" t="inlineStr">
        <is>
          <t>8:41:35</t>
        </is>
      </c>
      <c r="M1359" t="inlineStr">
        <is>
          <t>8:41:55</t>
        </is>
      </c>
      <c r="U1359" t="inlineStr">
        <is>
          <t>→帷子ノ辻 休憩(8:44〜9:46)</t>
        </is>
      </c>
    </row>
    <row r="1360" ht="15" customHeight="1" s="37">
      <c r="A1360" t="n">
        <v>16</v>
      </c>
      <c r="B1360" s="10" t="inlineStr">
        <is>
          <t>休日</t>
        </is>
      </c>
      <c r="C1360" s="10" t="inlineStr">
        <is>
          <t>北野線</t>
        </is>
      </c>
      <c r="D1360" s="10" t="inlineStr">
        <is>
          <t>下り</t>
        </is>
      </c>
      <c r="E1360" t="inlineStr">
        <is>
          <t>0857</t>
        </is>
      </c>
      <c r="F1360" t="inlineStr">
        <is>
          <t>0453</t>
        </is>
      </c>
      <c r="G1360" s="10" t="inlineStr">
        <is>
          <t>撮影所前</t>
        </is>
      </c>
      <c r="H1360" s="10" t="inlineStr">
        <is>
          <t>発</t>
        </is>
      </c>
      <c r="J1360" s="10" t="inlineStr">
        <is>
          <t>営業</t>
        </is>
      </c>
      <c r="L1360" t="inlineStr">
        <is>
          <t>8:43:15</t>
        </is>
      </c>
      <c r="M1360" t="inlineStr">
        <is>
          <t>8:43:30</t>
        </is>
      </c>
      <c r="U1360" t="inlineStr">
        <is>
          <t>→帷子ノ辻 休憩(8:44〜9:46)</t>
        </is>
      </c>
    </row>
    <row r="1361" ht="15" customHeight="1" s="37">
      <c r="A1361" t="n">
        <v>16</v>
      </c>
      <c r="B1361" s="10" t="inlineStr">
        <is>
          <t>休日</t>
        </is>
      </c>
      <c r="C1361" s="10" t="inlineStr">
        <is>
          <t>北野線</t>
        </is>
      </c>
      <c r="D1361" s="10" t="inlineStr">
        <is>
          <t>下り</t>
        </is>
      </c>
      <c r="E1361" t="inlineStr">
        <is>
          <t>0857</t>
        </is>
      </c>
      <c r="F1361" t="inlineStr">
        <is>
          <t>0453</t>
        </is>
      </c>
      <c r="G1361" s="10" t="inlineStr">
        <is>
          <t>帷子ノ辻</t>
        </is>
      </c>
      <c r="H1361" s="10" t="inlineStr">
        <is>
          <t>着</t>
        </is>
      </c>
      <c r="J1361" s="10" t="inlineStr">
        <is>
          <t>営業</t>
        </is>
      </c>
      <c r="L1361" t="inlineStr">
        <is>
          <t>8:44:25</t>
        </is>
      </c>
      <c r="Q1361" t="inlineStr">
        <is>
          <t>3</t>
        </is>
      </c>
      <c r="U1361" t="inlineStr">
        <is>
          <t>→帷子ノ辻 休憩(8:44〜9:46)</t>
        </is>
      </c>
    </row>
    <row r="1362" ht="15" customHeight="1" s="37">
      <c r="A1362" t="n">
        <v>16</v>
      </c>
      <c r="B1362" s="10" t="inlineStr">
        <is>
          <t>休日</t>
        </is>
      </c>
      <c r="C1362" s="10" t="inlineStr">
        <is>
          <t>北野線</t>
        </is>
      </c>
      <c r="D1362" s="10" t="inlineStr">
        <is>
          <t>上り</t>
        </is>
      </c>
      <c r="E1362" t="inlineStr">
        <is>
          <t>0960</t>
        </is>
      </c>
      <c r="F1362" t="inlineStr">
        <is>
          <t>0354</t>
        </is>
      </c>
      <c r="G1362" s="10" t="inlineStr">
        <is>
          <t>帷子ノ辻</t>
        </is>
      </c>
      <c r="H1362" s="10" t="inlineStr">
        <is>
          <t>発</t>
        </is>
      </c>
      <c r="J1362" s="10" t="inlineStr">
        <is>
          <t>営業</t>
        </is>
      </c>
      <c r="M1362" t="inlineStr">
        <is>
          <t>9:46:25</t>
        </is>
      </c>
      <c r="Q1362" t="inlineStr">
        <is>
          <t>4</t>
        </is>
      </c>
    </row>
    <row r="1363" ht="15" customHeight="1" s="37">
      <c r="A1363" t="n">
        <v>16</v>
      </c>
      <c r="B1363" s="10" t="inlineStr">
        <is>
          <t>休日</t>
        </is>
      </c>
      <c r="C1363" s="10" t="inlineStr">
        <is>
          <t>北野線</t>
        </is>
      </c>
      <c r="D1363" s="10" t="inlineStr">
        <is>
          <t>上り</t>
        </is>
      </c>
      <c r="E1363" t="inlineStr">
        <is>
          <t>0960</t>
        </is>
      </c>
      <c r="F1363" t="inlineStr">
        <is>
          <t>0354</t>
        </is>
      </c>
      <c r="G1363" s="10" t="inlineStr">
        <is>
          <t>撮影所前</t>
        </is>
      </c>
      <c r="H1363" s="10" t="inlineStr">
        <is>
          <t>発</t>
        </is>
      </c>
      <c r="J1363" s="10" t="inlineStr">
        <is>
          <t>営業</t>
        </is>
      </c>
      <c r="L1363" t="inlineStr">
        <is>
          <t>9:47:25</t>
        </is>
      </c>
      <c r="M1363" t="inlineStr">
        <is>
          <t>9:47:40</t>
        </is>
      </c>
    </row>
    <row r="1364" ht="15" customHeight="1" s="37">
      <c r="A1364" t="n">
        <v>16</v>
      </c>
      <c r="B1364" s="10" t="inlineStr">
        <is>
          <t>休日</t>
        </is>
      </c>
      <c r="C1364" s="10" t="inlineStr">
        <is>
          <t>北野線</t>
        </is>
      </c>
      <c r="D1364" s="10" t="inlineStr">
        <is>
          <t>上り</t>
        </is>
      </c>
      <c r="E1364" t="inlineStr">
        <is>
          <t>0960</t>
        </is>
      </c>
      <c r="F1364" t="inlineStr">
        <is>
          <t>0354</t>
        </is>
      </c>
      <c r="G1364" s="10" t="inlineStr">
        <is>
          <t>常盤</t>
        </is>
      </c>
      <c r="H1364" s="10" t="inlineStr">
        <is>
          <t>発</t>
        </is>
      </c>
      <c r="J1364" s="10" t="inlineStr">
        <is>
          <t>営業</t>
        </is>
      </c>
      <c r="L1364" t="inlineStr">
        <is>
          <t>9:49:00</t>
        </is>
      </c>
      <c r="M1364" t="inlineStr">
        <is>
          <t>9:49:20</t>
        </is>
      </c>
    </row>
    <row r="1365" ht="15" customHeight="1" s="37">
      <c r="A1365" t="n">
        <v>16</v>
      </c>
      <c r="B1365" s="10" t="inlineStr">
        <is>
          <t>休日</t>
        </is>
      </c>
      <c r="C1365" s="10" t="inlineStr">
        <is>
          <t>北野線</t>
        </is>
      </c>
      <c r="D1365" s="10" t="inlineStr">
        <is>
          <t>上り</t>
        </is>
      </c>
      <c r="E1365" t="inlineStr">
        <is>
          <t>0960</t>
        </is>
      </c>
      <c r="F1365" t="inlineStr">
        <is>
          <t>0354</t>
        </is>
      </c>
      <c r="G1365" s="10" t="inlineStr">
        <is>
          <t>鳴滝</t>
        </is>
      </c>
      <c r="H1365" s="10" t="inlineStr">
        <is>
          <t>発</t>
        </is>
      </c>
      <c r="J1365" s="10" t="inlineStr">
        <is>
          <t>営業</t>
        </is>
      </c>
      <c r="L1365" t="inlineStr">
        <is>
          <t>9:50:20</t>
        </is>
      </c>
      <c r="M1365" t="inlineStr">
        <is>
          <t>9:50:40</t>
        </is>
      </c>
    </row>
    <row r="1366" ht="15" customHeight="1" s="37">
      <c r="A1366" t="n">
        <v>16</v>
      </c>
      <c r="B1366" s="10" t="inlineStr">
        <is>
          <t>休日</t>
        </is>
      </c>
      <c r="C1366" s="10" t="inlineStr">
        <is>
          <t>北野線</t>
        </is>
      </c>
      <c r="D1366" s="10" t="inlineStr">
        <is>
          <t>上り</t>
        </is>
      </c>
      <c r="E1366" t="inlineStr">
        <is>
          <t>0960</t>
        </is>
      </c>
      <c r="F1366" t="inlineStr">
        <is>
          <t>0354</t>
        </is>
      </c>
      <c r="G1366" s="10" t="inlineStr">
        <is>
          <t>宇多野</t>
        </is>
      </c>
      <c r="H1366" s="10" t="inlineStr">
        <is>
          <t>発</t>
        </is>
      </c>
      <c r="J1366" s="10" t="inlineStr">
        <is>
          <t>営業</t>
        </is>
      </c>
      <c r="L1366" t="inlineStr">
        <is>
          <t>9:52:00</t>
        </is>
      </c>
      <c r="M1366" t="inlineStr">
        <is>
          <t>9:52:15</t>
        </is>
      </c>
    </row>
    <row r="1367" ht="15" customHeight="1" s="37">
      <c r="A1367" t="n">
        <v>16</v>
      </c>
      <c r="B1367" s="10" t="inlineStr">
        <is>
          <t>休日</t>
        </is>
      </c>
      <c r="C1367" s="10" t="inlineStr">
        <is>
          <t>北野線</t>
        </is>
      </c>
      <c r="D1367" s="10" t="inlineStr">
        <is>
          <t>上り</t>
        </is>
      </c>
      <c r="E1367" t="inlineStr">
        <is>
          <t>0960</t>
        </is>
      </c>
      <c r="F1367" t="inlineStr">
        <is>
          <t>0354</t>
        </is>
      </c>
      <c r="G1367" s="10" t="inlineStr">
        <is>
          <t>御室仁和寺</t>
        </is>
      </c>
      <c r="H1367" s="10" t="inlineStr">
        <is>
          <t>発</t>
        </is>
      </c>
      <c r="J1367" s="10" t="inlineStr">
        <is>
          <t>営業</t>
        </is>
      </c>
      <c r="L1367" t="inlineStr">
        <is>
          <t>9:53:15</t>
        </is>
      </c>
      <c r="M1367" t="inlineStr">
        <is>
          <t>9:53:35</t>
        </is>
      </c>
    </row>
    <row r="1368" ht="15" customHeight="1" s="37">
      <c r="A1368" t="n">
        <v>16</v>
      </c>
      <c r="B1368" s="10" t="inlineStr">
        <is>
          <t>休日</t>
        </is>
      </c>
      <c r="C1368" s="10" t="inlineStr">
        <is>
          <t>北野線</t>
        </is>
      </c>
      <c r="D1368" s="10" t="inlineStr">
        <is>
          <t>上り</t>
        </is>
      </c>
      <c r="E1368" t="inlineStr">
        <is>
          <t>0960</t>
        </is>
      </c>
      <c r="F1368" t="inlineStr">
        <is>
          <t>0354</t>
        </is>
      </c>
      <c r="G1368" s="10" t="inlineStr">
        <is>
          <t>妙心寺</t>
        </is>
      </c>
      <c r="H1368" s="10" t="inlineStr">
        <is>
          <t>発</t>
        </is>
      </c>
      <c r="J1368" s="10" t="inlineStr">
        <is>
          <t>営業</t>
        </is>
      </c>
      <c r="L1368" t="inlineStr">
        <is>
          <t>9:54:35</t>
        </is>
      </c>
      <c r="M1368" t="inlineStr">
        <is>
          <t>9:54:50</t>
        </is>
      </c>
    </row>
    <row r="1369" ht="15" customHeight="1" s="37">
      <c r="A1369" t="n">
        <v>16</v>
      </c>
      <c r="B1369" s="10" t="inlineStr">
        <is>
          <t>休日</t>
        </is>
      </c>
      <c r="C1369" s="10" t="inlineStr">
        <is>
          <t>北野線</t>
        </is>
      </c>
      <c r="D1369" s="10" t="inlineStr">
        <is>
          <t>上り</t>
        </is>
      </c>
      <c r="E1369" t="inlineStr">
        <is>
          <t>0960</t>
        </is>
      </c>
      <c r="F1369" t="inlineStr">
        <is>
          <t>0354</t>
        </is>
      </c>
      <c r="G1369" s="10" t="inlineStr">
        <is>
          <t>龍安寺</t>
        </is>
      </c>
      <c r="H1369" s="10" t="inlineStr">
        <is>
          <t>発</t>
        </is>
      </c>
      <c r="J1369" s="10" t="inlineStr">
        <is>
          <t>営業</t>
        </is>
      </c>
      <c r="L1369" t="inlineStr">
        <is>
          <t>9:55:45</t>
        </is>
      </c>
      <c r="M1369" t="inlineStr">
        <is>
          <t>9:55:55</t>
        </is>
      </c>
    </row>
    <row r="1370" ht="15" customHeight="1" s="37">
      <c r="A1370" t="n">
        <v>16</v>
      </c>
      <c r="B1370" s="10" t="inlineStr">
        <is>
          <t>休日</t>
        </is>
      </c>
      <c r="C1370" s="10" t="inlineStr">
        <is>
          <t>北野線</t>
        </is>
      </c>
      <c r="D1370" s="10" t="inlineStr">
        <is>
          <t>上り</t>
        </is>
      </c>
      <c r="E1370" t="inlineStr">
        <is>
          <t>0960</t>
        </is>
      </c>
      <c r="F1370" t="inlineStr">
        <is>
          <t>0354</t>
        </is>
      </c>
      <c r="G1370" s="10" t="inlineStr">
        <is>
          <t>等持院</t>
        </is>
      </c>
      <c r="H1370" s="10" t="inlineStr">
        <is>
          <t>発</t>
        </is>
      </c>
      <c r="J1370" s="10" t="inlineStr">
        <is>
          <t>営業</t>
        </is>
      </c>
      <c r="L1370" t="inlineStr">
        <is>
          <t>9:56:35</t>
        </is>
      </c>
      <c r="M1370" t="inlineStr">
        <is>
          <t>9:56:55</t>
        </is>
      </c>
    </row>
    <row r="1371" ht="15" customHeight="1" s="37">
      <c r="A1371" t="n">
        <v>16</v>
      </c>
      <c r="B1371" s="10" t="inlineStr">
        <is>
          <t>休日</t>
        </is>
      </c>
      <c r="C1371" s="10" t="inlineStr">
        <is>
          <t>北野線</t>
        </is>
      </c>
      <c r="D1371" s="10" t="inlineStr">
        <is>
          <t>上り</t>
        </is>
      </c>
      <c r="E1371" t="inlineStr">
        <is>
          <t>0960</t>
        </is>
      </c>
      <c r="F1371" t="inlineStr">
        <is>
          <t>0354</t>
        </is>
      </c>
      <c r="G1371" s="10" t="inlineStr">
        <is>
          <t>北野白梅町</t>
        </is>
      </c>
      <c r="H1371" s="10" t="inlineStr">
        <is>
          <t>着</t>
        </is>
      </c>
      <c r="J1371" s="10" t="inlineStr">
        <is>
          <t>営業</t>
        </is>
      </c>
      <c r="L1371" t="inlineStr">
        <is>
          <t>9:58:15</t>
        </is>
      </c>
      <c r="Q1371" t="inlineStr">
        <is>
          <t>1</t>
        </is>
      </c>
    </row>
    <row r="1372" ht="15" customHeight="1" s="37">
      <c r="A1372" t="n">
        <v>16</v>
      </c>
      <c r="B1372" s="10" t="inlineStr">
        <is>
          <t>休日</t>
        </is>
      </c>
      <c r="C1372" s="10" t="inlineStr">
        <is>
          <t>北野線</t>
        </is>
      </c>
      <c r="D1372" s="10" t="inlineStr">
        <is>
          <t>下り</t>
        </is>
      </c>
      <c r="E1372" t="inlineStr">
        <is>
          <t>1051</t>
        </is>
      </c>
      <c r="F1372" t="inlineStr">
        <is>
          <t>0453</t>
        </is>
      </c>
      <c r="G1372" s="10" t="inlineStr">
        <is>
          <t>北野白梅町</t>
        </is>
      </c>
      <c r="H1372" s="10" t="inlineStr">
        <is>
          <t>発</t>
        </is>
      </c>
      <c r="J1372" s="10" t="inlineStr">
        <is>
          <t>営業</t>
        </is>
      </c>
      <c r="M1372" t="inlineStr">
        <is>
          <t>10:03:00</t>
        </is>
      </c>
      <c r="Q1372" t="inlineStr">
        <is>
          <t>1</t>
        </is>
      </c>
    </row>
    <row r="1373" ht="15" customHeight="1" s="37">
      <c r="A1373" t="n">
        <v>16</v>
      </c>
      <c r="B1373" s="10" t="inlineStr">
        <is>
          <t>休日</t>
        </is>
      </c>
      <c r="C1373" s="10" t="inlineStr">
        <is>
          <t>北野線</t>
        </is>
      </c>
      <c r="D1373" s="10" t="inlineStr">
        <is>
          <t>下り</t>
        </is>
      </c>
      <c r="E1373" t="inlineStr">
        <is>
          <t>1051</t>
        </is>
      </c>
      <c r="F1373" t="inlineStr">
        <is>
          <t>0453</t>
        </is>
      </c>
      <c r="G1373" s="10" t="inlineStr">
        <is>
          <t>等持院</t>
        </is>
      </c>
      <c r="H1373" s="10" t="inlineStr">
        <is>
          <t>発</t>
        </is>
      </c>
      <c r="J1373" s="10" t="inlineStr">
        <is>
          <t>営業</t>
        </is>
      </c>
      <c r="L1373" t="inlineStr">
        <is>
          <t>10:04:25</t>
        </is>
      </c>
      <c r="M1373" t="inlineStr">
        <is>
          <t>10:04:35</t>
        </is>
      </c>
    </row>
    <row r="1374" ht="15" customHeight="1" s="37">
      <c r="A1374" t="n">
        <v>16</v>
      </c>
      <c r="B1374" s="10" t="inlineStr">
        <is>
          <t>休日</t>
        </is>
      </c>
      <c r="C1374" s="10" t="inlineStr">
        <is>
          <t>北野線</t>
        </is>
      </c>
      <c r="D1374" s="10" t="inlineStr">
        <is>
          <t>下り</t>
        </is>
      </c>
      <c r="E1374" t="inlineStr">
        <is>
          <t>1051</t>
        </is>
      </c>
      <c r="F1374" t="inlineStr">
        <is>
          <t>0453</t>
        </is>
      </c>
      <c r="G1374" s="10" t="inlineStr">
        <is>
          <t>龍安寺</t>
        </is>
      </c>
      <c r="H1374" s="10" t="inlineStr">
        <is>
          <t>発</t>
        </is>
      </c>
      <c r="J1374" s="10" t="inlineStr">
        <is>
          <t>営業</t>
        </is>
      </c>
      <c r="L1374" t="inlineStr">
        <is>
          <t>10:05:25</t>
        </is>
      </c>
      <c r="M1374" t="inlineStr">
        <is>
          <t>10:05:50</t>
        </is>
      </c>
    </row>
    <row r="1375" ht="15" customHeight="1" s="37">
      <c r="A1375" t="n">
        <v>16</v>
      </c>
      <c r="B1375" s="10" t="inlineStr">
        <is>
          <t>休日</t>
        </is>
      </c>
      <c r="C1375" s="10" t="inlineStr">
        <is>
          <t>北野線</t>
        </is>
      </c>
      <c r="D1375" s="10" t="inlineStr">
        <is>
          <t>下り</t>
        </is>
      </c>
      <c r="E1375" t="inlineStr">
        <is>
          <t>1051</t>
        </is>
      </c>
      <c r="F1375" t="inlineStr">
        <is>
          <t>0453</t>
        </is>
      </c>
      <c r="G1375" s="10" t="inlineStr">
        <is>
          <t>妙心寺</t>
        </is>
      </c>
      <c r="H1375" s="10" t="inlineStr">
        <is>
          <t>発</t>
        </is>
      </c>
      <c r="J1375" s="10" t="inlineStr">
        <is>
          <t>営業</t>
        </is>
      </c>
      <c r="L1375" t="inlineStr">
        <is>
          <t>10:06:40</t>
        </is>
      </c>
      <c r="M1375" t="inlineStr">
        <is>
          <t>10:06:50</t>
        </is>
      </c>
    </row>
    <row r="1376" ht="15" customHeight="1" s="37">
      <c r="A1376" t="n">
        <v>16</v>
      </c>
      <c r="B1376" s="10" t="inlineStr">
        <is>
          <t>休日</t>
        </is>
      </c>
      <c r="C1376" s="10" t="inlineStr">
        <is>
          <t>北野線</t>
        </is>
      </c>
      <c r="D1376" s="10" t="inlineStr">
        <is>
          <t>下り</t>
        </is>
      </c>
      <c r="E1376" t="inlineStr">
        <is>
          <t>1051</t>
        </is>
      </c>
      <c r="F1376" t="inlineStr">
        <is>
          <t>0453</t>
        </is>
      </c>
      <c r="G1376" s="10" t="inlineStr">
        <is>
          <t>御室仁和寺</t>
        </is>
      </c>
      <c r="H1376" s="10" t="inlineStr">
        <is>
          <t>発</t>
        </is>
      </c>
      <c r="J1376" s="10" t="inlineStr">
        <is>
          <t>営業</t>
        </is>
      </c>
      <c r="L1376" t="inlineStr">
        <is>
          <t>10:07:50</t>
        </is>
      </c>
      <c r="M1376" t="inlineStr">
        <is>
          <t>10:08:05</t>
        </is>
      </c>
    </row>
    <row r="1377" ht="15" customHeight="1" s="37">
      <c r="A1377" t="n">
        <v>16</v>
      </c>
      <c r="B1377" s="10" t="inlineStr">
        <is>
          <t>休日</t>
        </is>
      </c>
      <c r="C1377" s="10" t="inlineStr">
        <is>
          <t>北野線</t>
        </is>
      </c>
      <c r="D1377" s="10" t="inlineStr">
        <is>
          <t>下り</t>
        </is>
      </c>
      <c r="E1377" t="inlineStr">
        <is>
          <t>1051</t>
        </is>
      </c>
      <c r="F1377" t="inlineStr">
        <is>
          <t>0453</t>
        </is>
      </c>
      <c r="G1377" s="10" t="inlineStr">
        <is>
          <t>宇多野</t>
        </is>
      </c>
      <c r="H1377" s="10" t="inlineStr">
        <is>
          <t>発</t>
        </is>
      </c>
      <c r="J1377" s="10" t="inlineStr">
        <is>
          <t>営業</t>
        </is>
      </c>
      <c r="L1377" t="inlineStr">
        <is>
          <t>10:09:05</t>
        </is>
      </c>
      <c r="M1377" t="inlineStr">
        <is>
          <t>10:09:15</t>
        </is>
      </c>
    </row>
    <row r="1378" ht="15" customHeight="1" s="37">
      <c r="A1378" t="n">
        <v>16</v>
      </c>
      <c r="B1378" s="10" t="inlineStr">
        <is>
          <t>休日</t>
        </is>
      </c>
      <c r="C1378" s="10" t="inlineStr">
        <is>
          <t>北野線</t>
        </is>
      </c>
      <c r="D1378" s="10" t="inlineStr">
        <is>
          <t>下り</t>
        </is>
      </c>
      <c r="E1378" t="inlineStr">
        <is>
          <t>1051</t>
        </is>
      </c>
      <c r="F1378" t="inlineStr">
        <is>
          <t>0453</t>
        </is>
      </c>
      <c r="G1378" s="10" t="inlineStr">
        <is>
          <t>鳴滝</t>
        </is>
      </c>
      <c r="H1378" s="10" t="inlineStr">
        <is>
          <t>発</t>
        </is>
      </c>
      <c r="J1378" s="10" t="inlineStr">
        <is>
          <t>営業</t>
        </is>
      </c>
      <c r="L1378" t="inlineStr">
        <is>
          <t>10:10:35</t>
        </is>
      </c>
      <c r="M1378" t="inlineStr">
        <is>
          <t>10:10:45</t>
        </is>
      </c>
    </row>
    <row r="1379" ht="15" customHeight="1" s="37">
      <c r="A1379" t="n">
        <v>16</v>
      </c>
      <c r="B1379" s="10" t="inlineStr">
        <is>
          <t>休日</t>
        </is>
      </c>
      <c r="C1379" s="10" t="inlineStr">
        <is>
          <t>北野線</t>
        </is>
      </c>
      <c r="D1379" s="10" t="inlineStr">
        <is>
          <t>下り</t>
        </is>
      </c>
      <c r="E1379" t="inlineStr">
        <is>
          <t>1051</t>
        </is>
      </c>
      <c r="F1379" t="inlineStr">
        <is>
          <t>0453</t>
        </is>
      </c>
      <c r="G1379" s="10" t="inlineStr">
        <is>
          <t>常盤</t>
        </is>
      </c>
      <c r="H1379" s="10" t="inlineStr">
        <is>
          <t>発</t>
        </is>
      </c>
      <c r="J1379" s="10" t="inlineStr">
        <is>
          <t>営業</t>
        </is>
      </c>
      <c r="L1379" t="inlineStr">
        <is>
          <t>10:11:35</t>
        </is>
      </c>
      <c r="M1379" t="inlineStr">
        <is>
          <t>10:11:55</t>
        </is>
      </c>
    </row>
    <row r="1380" ht="15" customHeight="1" s="37">
      <c r="A1380" t="n">
        <v>16</v>
      </c>
      <c r="B1380" s="10" t="inlineStr">
        <is>
          <t>休日</t>
        </is>
      </c>
      <c r="C1380" s="10" t="inlineStr">
        <is>
          <t>北野線</t>
        </is>
      </c>
      <c r="D1380" s="10" t="inlineStr">
        <is>
          <t>下り</t>
        </is>
      </c>
      <c r="E1380" t="inlineStr">
        <is>
          <t>1051</t>
        </is>
      </c>
      <c r="F1380" t="inlineStr">
        <is>
          <t>0453</t>
        </is>
      </c>
      <c r="G1380" s="10" t="inlineStr">
        <is>
          <t>撮影所前</t>
        </is>
      </c>
      <c r="H1380" s="10" t="inlineStr">
        <is>
          <t>発</t>
        </is>
      </c>
      <c r="J1380" s="10" t="inlineStr">
        <is>
          <t>営業</t>
        </is>
      </c>
      <c r="L1380" t="inlineStr">
        <is>
          <t>10:13:15</t>
        </is>
      </c>
      <c r="M1380" t="inlineStr">
        <is>
          <t>10:13:30</t>
        </is>
      </c>
    </row>
    <row r="1381" ht="15" customHeight="1" s="37">
      <c r="A1381" t="n">
        <v>16</v>
      </c>
      <c r="B1381" s="10" t="inlineStr">
        <is>
          <t>休日</t>
        </is>
      </c>
      <c r="C1381" s="10" t="inlineStr">
        <is>
          <t>北野線</t>
        </is>
      </c>
      <c r="D1381" s="10" t="inlineStr">
        <is>
          <t>下り</t>
        </is>
      </c>
      <c r="E1381" t="inlineStr">
        <is>
          <t>1051</t>
        </is>
      </c>
      <c r="F1381" t="inlineStr">
        <is>
          <t>0453</t>
        </is>
      </c>
      <c r="G1381" s="10" t="inlineStr">
        <is>
          <t>帷子ノ辻</t>
        </is>
      </c>
      <c r="H1381" s="10" t="inlineStr">
        <is>
          <t>着</t>
        </is>
      </c>
      <c r="J1381" s="10" t="inlineStr">
        <is>
          <t>営業</t>
        </is>
      </c>
      <c r="L1381" t="inlineStr">
        <is>
          <t>10:14:25</t>
        </is>
      </c>
      <c r="Q1381" t="inlineStr">
        <is>
          <t>4</t>
        </is>
      </c>
    </row>
    <row r="1382" ht="15" customHeight="1" s="37">
      <c r="A1382" t="n">
        <v>16</v>
      </c>
      <c r="B1382" s="10" t="inlineStr">
        <is>
          <t>休日</t>
        </is>
      </c>
      <c r="C1382" s="10" t="inlineStr">
        <is>
          <t>北野線</t>
        </is>
      </c>
      <c r="D1382" s="10" t="inlineStr">
        <is>
          <t>上り</t>
        </is>
      </c>
      <c r="E1382" t="inlineStr">
        <is>
          <t>1056</t>
        </is>
      </c>
      <c r="F1382" t="inlineStr">
        <is>
          <t>0354</t>
        </is>
      </c>
      <c r="G1382" s="10" t="inlineStr">
        <is>
          <t>帷子ノ辻</t>
        </is>
      </c>
      <c r="H1382" s="10" t="inlineStr">
        <is>
          <t>発</t>
        </is>
      </c>
      <c r="J1382" s="10" t="inlineStr">
        <is>
          <t>営業</t>
        </is>
      </c>
      <c r="M1382" t="inlineStr">
        <is>
          <t>10:26:25</t>
        </is>
      </c>
      <c r="Q1382" t="inlineStr">
        <is>
          <t>4</t>
        </is>
      </c>
    </row>
    <row r="1383" ht="15" customHeight="1" s="37">
      <c r="A1383" t="n">
        <v>16</v>
      </c>
      <c r="B1383" s="10" t="inlineStr">
        <is>
          <t>休日</t>
        </is>
      </c>
      <c r="C1383" s="10" t="inlineStr">
        <is>
          <t>北野線</t>
        </is>
      </c>
      <c r="D1383" s="10" t="inlineStr">
        <is>
          <t>上り</t>
        </is>
      </c>
      <c r="E1383" t="inlineStr">
        <is>
          <t>1056</t>
        </is>
      </c>
      <c r="F1383" t="inlineStr">
        <is>
          <t>0354</t>
        </is>
      </c>
      <c r="G1383" s="10" t="inlineStr">
        <is>
          <t>撮影所前</t>
        </is>
      </c>
      <c r="H1383" s="10" t="inlineStr">
        <is>
          <t>発</t>
        </is>
      </c>
      <c r="J1383" s="10" t="inlineStr">
        <is>
          <t>営業</t>
        </is>
      </c>
      <c r="L1383" t="inlineStr">
        <is>
          <t>10:27:25</t>
        </is>
      </c>
      <c r="M1383" t="inlineStr">
        <is>
          <t>10:27:40</t>
        </is>
      </c>
    </row>
    <row r="1384" ht="15" customHeight="1" s="37">
      <c r="A1384" t="n">
        <v>16</v>
      </c>
      <c r="B1384" s="10" t="inlineStr">
        <is>
          <t>休日</t>
        </is>
      </c>
      <c r="C1384" s="10" t="inlineStr">
        <is>
          <t>北野線</t>
        </is>
      </c>
      <c r="D1384" s="10" t="inlineStr">
        <is>
          <t>上り</t>
        </is>
      </c>
      <c r="E1384" t="inlineStr">
        <is>
          <t>1056</t>
        </is>
      </c>
      <c r="F1384" t="inlineStr">
        <is>
          <t>0354</t>
        </is>
      </c>
      <c r="G1384" s="10" t="inlineStr">
        <is>
          <t>常盤</t>
        </is>
      </c>
      <c r="H1384" s="10" t="inlineStr">
        <is>
          <t>発</t>
        </is>
      </c>
      <c r="J1384" s="10" t="inlineStr">
        <is>
          <t>営業</t>
        </is>
      </c>
      <c r="L1384" t="inlineStr">
        <is>
          <t>10:29:00</t>
        </is>
      </c>
      <c r="M1384" t="inlineStr">
        <is>
          <t>10:29:20</t>
        </is>
      </c>
    </row>
    <row r="1385" ht="15" customHeight="1" s="37">
      <c r="A1385" t="n">
        <v>16</v>
      </c>
      <c r="B1385" s="10" t="inlineStr">
        <is>
          <t>休日</t>
        </is>
      </c>
      <c r="C1385" s="10" t="inlineStr">
        <is>
          <t>北野線</t>
        </is>
      </c>
      <c r="D1385" s="10" t="inlineStr">
        <is>
          <t>上り</t>
        </is>
      </c>
      <c r="E1385" t="inlineStr">
        <is>
          <t>1056</t>
        </is>
      </c>
      <c r="F1385" t="inlineStr">
        <is>
          <t>0354</t>
        </is>
      </c>
      <c r="G1385" s="10" t="inlineStr">
        <is>
          <t>鳴滝</t>
        </is>
      </c>
      <c r="H1385" s="10" t="inlineStr">
        <is>
          <t>発</t>
        </is>
      </c>
      <c r="J1385" s="10" t="inlineStr">
        <is>
          <t>営業</t>
        </is>
      </c>
      <c r="L1385" t="inlineStr">
        <is>
          <t>10:30:20</t>
        </is>
      </c>
      <c r="M1385" t="inlineStr">
        <is>
          <t>10:30:40</t>
        </is>
      </c>
    </row>
    <row r="1386" ht="15" customHeight="1" s="37">
      <c r="A1386" t="n">
        <v>16</v>
      </c>
      <c r="B1386" s="10" t="inlineStr">
        <is>
          <t>休日</t>
        </is>
      </c>
      <c r="C1386" s="10" t="inlineStr">
        <is>
          <t>北野線</t>
        </is>
      </c>
      <c r="D1386" s="10" t="inlineStr">
        <is>
          <t>上り</t>
        </is>
      </c>
      <c r="E1386" t="inlineStr">
        <is>
          <t>1056</t>
        </is>
      </c>
      <c r="F1386" t="inlineStr">
        <is>
          <t>0354</t>
        </is>
      </c>
      <c r="G1386" s="10" t="inlineStr">
        <is>
          <t>宇多野</t>
        </is>
      </c>
      <c r="H1386" s="10" t="inlineStr">
        <is>
          <t>発</t>
        </is>
      </c>
      <c r="J1386" s="10" t="inlineStr">
        <is>
          <t>営業</t>
        </is>
      </c>
      <c r="L1386" t="inlineStr">
        <is>
          <t>10:32:00</t>
        </is>
      </c>
      <c r="M1386" t="inlineStr">
        <is>
          <t>10:32:15</t>
        </is>
      </c>
    </row>
    <row r="1387" ht="15" customHeight="1" s="37">
      <c r="A1387" t="n">
        <v>16</v>
      </c>
      <c r="B1387" s="10" t="inlineStr">
        <is>
          <t>休日</t>
        </is>
      </c>
      <c r="C1387" s="10" t="inlineStr">
        <is>
          <t>北野線</t>
        </is>
      </c>
      <c r="D1387" s="10" t="inlineStr">
        <is>
          <t>上り</t>
        </is>
      </c>
      <c r="E1387" t="inlineStr">
        <is>
          <t>1056</t>
        </is>
      </c>
      <c r="F1387" t="inlineStr">
        <is>
          <t>0354</t>
        </is>
      </c>
      <c r="G1387" s="10" t="inlineStr">
        <is>
          <t>御室仁和寺</t>
        </is>
      </c>
      <c r="H1387" s="10" t="inlineStr">
        <is>
          <t>発</t>
        </is>
      </c>
      <c r="J1387" s="10" t="inlineStr">
        <is>
          <t>営業</t>
        </is>
      </c>
      <c r="L1387" t="inlineStr">
        <is>
          <t>10:33:15</t>
        </is>
      </c>
      <c r="M1387" t="inlineStr">
        <is>
          <t>10:33:35</t>
        </is>
      </c>
    </row>
    <row r="1388" ht="15" customHeight="1" s="37">
      <c r="A1388" t="n">
        <v>16</v>
      </c>
      <c r="B1388" s="10" t="inlineStr">
        <is>
          <t>休日</t>
        </is>
      </c>
      <c r="C1388" s="10" t="inlineStr">
        <is>
          <t>北野線</t>
        </is>
      </c>
      <c r="D1388" s="10" t="inlineStr">
        <is>
          <t>上り</t>
        </is>
      </c>
      <c r="E1388" t="inlineStr">
        <is>
          <t>1056</t>
        </is>
      </c>
      <c r="F1388" t="inlineStr">
        <is>
          <t>0354</t>
        </is>
      </c>
      <c r="G1388" s="10" t="inlineStr">
        <is>
          <t>妙心寺</t>
        </is>
      </c>
      <c r="H1388" s="10" t="inlineStr">
        <is>
          <t>発</t>
        </is>
      </c>
      <c r="J1388" s="10" t="inlineStr">
        <is>
          <t>営業</t>
        </is>
      </c>
      <c r="L1388" t="inlineStr">
        <is>
          <t>10:34:35</t>
        </is>
      </c>
      <c r="M1388" t="inlineStr">
        <is>
          <t>10:34:50</t>
        </is>
      </c>
    </row>
    <row r="1389" ht="15" customHeight="1" s="37">
      <c r="A1389" t="n">
        <v>16</v>
      </c>
      <c r="B1389" s="10" t="inlineStr">
        <is>
          <t>休日</t>
        </is>
      </c>
      <c r="C1389" s="10" t="inlineStr">
        <is>
          <t>北野線</t>
        </is>
      </c>
      <c r="D1389" s="10" t="inlineStr">
        <is>
          <t>上り</t>
        </is>
      </c>
      <c r="E1389" t="inlineStr">
        <is>
          <t>1056</t>
        </is>
      </c>
      <c r="F1389" t="inlineStr">
        <is>
          <t>0354</t>
        </is>
      </c>
      <c r="G1389" s="10" t="inlineStr">
        <is>
          <t>龍安寺</t>
        </is>
      </c>
      <c r="H1389" s="10" t="inlineStr">
        <is>
          <t>発</t>
        </is>
      </c>
      <c r="J1389" s="10" t="inlineStr">
        <is>
          <t>営業</t>
        </is>
      </c>
      <c r="L1389" t="inlineStr">
        <is>
          <t>10:35:45</t>
        </is>
      </c>
      <c r="M1389" t="inlineStr">
        <is>
          <t>10:35:55</t>
        </is>
      </c>
    </row>
    <row r="1390" ht="15" customHeight="1" s="37">
      <c r="A1390" t="n">
        <v>16</v>
      </c>
      <c r="B1390" s="10" t="inlineStr">
        <is>
          <t>休日</t>
        </is>
      </c>
      <c r="C1390" s="10" t="inlineStr">
        <is>
          <t>北野線</t>
        </is>
      </c>
      <c r="D1390" s="10" t="inlineStr">
        <is>
          <t>上り</t>
        </is>
      </c>
      <c r="E1390" t="inlineStr">
        <is>
          <t>1056</t>
        </is>
      </c>
      <c r="F1390" t="inlineStr">
        <is>
          <t>0354</t>
        </is>
      </c>
      <c r="G1390" s="10" t="inlineStr">
        <is>
          <t>等持院</t>
        </is>
      </c>
      <c r="H1390" s="10" t="inlineStr">
        <is>
          <t>発</t>
        </is>
      </c>
      <c r="J1390" s="10" t="inlineStr">
        <is>
          <t>営業</t>
        </is>
      </c>
      <c r="L1390" t="inlineStr">
        <is>
          <t>10:36:35</t>
        </is>
      </c>
      <c r="M1390" t="inlineStr">
        <is>
          <t>10:36:55</t>
        </is>
      </c>
    </row>
    <row r="1391" ht="15" customHeight="1" s="37">
      <c r="A1391" t="n">
        <v>16</v>
      </c>
      <c r="B1391" s="10" t="inlineStr">
        <is>
          <t>休日</t>
        </is>
      </c>
      <c r="C1391" s="10" t="inlineStr">
        <is>
          <t>北野線</t>
        </is>
      </c>
      <c r="D1391" s="10" t="inlineStr">
        <is>
          <t>上り</t>
        </is>
      </c>
      <c r="E1391" t="inlineStr">
        <is>
          <t>1056</t>
        </is>
      </c>
      <c r="F1391" t="inlineStr">
        <is>
          <t>0354</t>
        </is>
      </c>
      <c r="G1391" s="10" t="inlineStr">
        <is>
          <t>北野白梅町</t>
        </is>
      </c>
      <c r="H1391" s="10" t="inlineStr">
        <is>
          <t>着</t>
        </is>
      </c>
      <c r="J1391" s="10" t="inlineStr">
        <is>
          <t>営業</t>
        </is>
      </c>
      <c r="L1391" t="inlineStr">
        <is>
          <t>10:38:15</t>
        </is>
      </c>
      <c r="Q1391" t="inlineStr">
        <is>
          <t>1</t>
        </is>
      </c>
    </row>
    <row r="1392" ht="15" customHeight="1" s="37">
      <c r="A1392" t="n">
        <v>16</v>
      </c>
      <c r="B1392" s="10" t="inlineStr">
        <is>
          <t>休日</t>
        </is>
      </c>
      <c r="C1392" s="10" t="inlineStr">
        <is>
          <t>北野線</t>
        </is>
      </c>
      <c r="D1392" s="10" t="inlineStr">
        <is>
          <t>下り</t>
        </is>
      </c>
      <c r="E1392" t="inlineStr">
        <is>
          <t>1059</t>
        </is>
      </c>
      <c r="F1392" t="inlineStr">
        <is>
          <t>0453</t>
        </is>
      </c>
      <c r="G1392" s="10" t="inlineStr">
        <is>
          <t>北野白梅町</t>
        </is>
      </c>
      <c r="H1392" s="10" t="inlineStr">
        <is>
          <t>発</t>
        </is>
      </c>
      <c r="J1392" s="10" t="inlineStr">
        <is>
          <t>営業</t>
        </is>
      </c>
      <c r="M1392" t="inlineStr">
        <is>
          <t>10:43:00</t>
        </is>
      </c>
      <c r="Q1392" t="inlineStr">
        <is>
          <t>1</t>
        </is>
      </c>
    </row>
    <row r="1393" ht="15" customHeight="1" s="37">
      <c r="A1393" t="n">
        <v>16</v>
      </c>
      <c r="B1393" s="10" t="inlineStr">
        <is>
          <t>休日</t>
        </is>
      </c>
      <c r="C1393" s="10" t="inlineStr">
        <is>
          <t>北野線</t>
        </is>
      </c>
      <c r="D1393" s="10" t="inlineStr">
        <is>
          <t>下り</t>
        </is>
      </c>
      <c r="E1393" t="inlineStr">
        <is>
          <t>1059</t>
        </is>
      </c>
      <c r="F1393" t="inlineStr">
        <is>
          <t>0453</t>
        </is>
      </c>
      <c r="G1393" s="10" t="inlineStr">
        <is>
          <t>等持院</t>
        </is>
      </c>
      <c r="H1393" s="10" t="inlineStr">
        <is>
          <t>発</t>
        </is>
      </c>
      <c r="J1393" s="10" t="inlineStr">
        <is>
          <t>営業</t>
        </is>
      </c>
      <c r="L1393" t="inlineStr">
        <is>
          <t>10:44:25</t>
        </is>
      </c>
      <c r="M1393" t="inlineStr">
        <is>
          <t>10:44:35</t>
        </is>
      </c>
    </row>
    <row r="1394" ht="15" customHeight="1" s="37">
      <c r="A1394" t="n">
        <v>16</v>
      </c>
      <c r="B1394" s="10" t="inlineStr">
        <is>
          <t>休日</t>
        </is>
      </c>
      <c r="C1394" s="10" t="inlineStr">
        <is>
          <t>北野線</t>
        </is>
      </c>
      <c r="D1394" s="10" t="inlineStr">
        <is>
          <t>下り</t>
        </is>
      </c>
      <c r="E1394" t="inlineStr">
        <is>
          <t>1059</t>
        </is>
      </c>
      <c r="F1394" t="inlineStr">
        <is>
          <t>0453</t>
        </is>
      </c>
      <c r="G1394" s="10" t="inlineStr">
        <is>
          <t>龍安寺</t>
        </is>
      </c>
      <c r="H1394" s="10" t="inlineStr">
        <is>
          <t>発</t>
        </is>
      </c>
      <c r="J1394" s="10" t="inlineStr">
        <is>
          <t>営業</t>
        </is>
      </c>
      <c r="L1394" t="inlineStr">
        <is>
          <t>10:45:25</t>
        </is>
      </c>
      <c r="M1394" t="inlineStr">
        <is>
          <t>10:45:50</t>
        </is>
      </c>
    </row>
    <row r="1395" ht="15" customHeight="1" s="37">
      <c r="A1395" t="n">
        <v>16</v>
      </c>
      <c r="B1395" s="10" t="inlineStr">
        <is>
          <t>休日</t>
        </is>
      </c>
      <c r="C1395" s="10" t="inlineStr">
        <is>
          <t>北野線</t>
        </is>
      </c>
      <c r="D1395" s="10" t="inlineStr">
        <is>
          <t>下り</t>
        </is>
      </c>
      <c r="E1395" t="inlineStr">
        <is>
          <t>1059</t>
        </is>
      </c>
      <c r="F1395" t="inlineStr">
        <is>
          <t>0453</t>
        </is>
      </c>
      <c r="G1395" s="10" t="inlineStr">
        <is>
          <t>妙心寺</t>
        </is>
      </c>
      <c r="H1395" s="10" t="inlineStr">
        <is>
          <t>発</t>
        </is>
      </c>
      <c r="J1395" s="10" t="inlineStr">
        <is>
          <t>営業</t>
        </is>
      </c>
      <c r="L1395" t="inlineStr">
        <is>
          <t>10:46:40</t>
        </is>
      </c>
      <c r="M1395" t="inlineStr">
        <is>
          <t>10:46:50</t>
        </is>
      </c>
    </row>
    <row r="1396" ht="15" customHeight="1" s="37">
      <c r="A1396" t="n">
        <v>16</v>
      </c>
      <c r="B1396" s="10" t="inlineStr">
        <is>
          <t>休日</t>
        </is>
      </c>
      <c r="C1396" s="10" t="inlineStr">
        <is>
          <t>北野線</t>
        </is>
      </c>
      <c r="D1396" s="10" t="inlineStr">
        <is>
          <t>下り</t>
        </is>
      </c>
      <c r="E1396" t="inlineStr">
        <is>
          <t>1059</t>
        </is>
      </c>
      <c r="F1396" t="inlineStr">
        <is>
          <t>0453</t>
        </is>
      </c>
      <c r="G1396" s="10" t="inlineStr">
        <is>
          <t>御室仁和寺</t>
        </is>
      </c>
      <c r="H1396" s="10" t="inlineStr">
        <is>
          <t>発</t>
        </is>
      </c>
      <c r="J1396" s="10" t="inlineStr">
        <is>
          <t>営業</t>
        </is>
      </c>
      <c r="L1396" t="inlineStr">
        <is>
          <t>10:47:50</t>
        </is>
      </c>
      <c r="M1396" t="inlineStr">
        <is>
          <t>10:48:05</t>
        </is>
      </c>
    </row>
    <row r="1397" ht="15" customHeight="1" s="37">
      <c r="A1397" t="n">
        <v>16</v>
      </c>
      <c r="B1397" s="10" t="inlineStr">
        <is>
          <t>休日</t>
        </is>
      </c>
      <c r="C1397" s="10" t="inlineStr">
        <is>
          <t>北野線</t>
        </is>
      </c>
      <c r="D1397" s="10" t="inlineStr">
        <is>
          <t>下り</t>
        </is>
      </c>
      <c r="E1397" t="inlineStr">
        <is>
          <t>1059</t>
        </is>
      </c>
      <c r="F1397" t="inlineStr">
        <is>
          <t>0453</t>
        </is>
      </c>
      <c r="G1397" s="10" t="inlineStr">
        <is>
          <t>宇多野</t>
        </is>
      </c>
      <c r="H1397" s="10" t="inlineStr">
        <is>
          <t>発</t>
        </is>
      </c>
      <c r="J1397" s="10" t="inlineStr">
        <is>
          <t>営業</t>
        </is>
      </c>
      <c r="L1397" t="inlineStr">
        <is>
          <t>10:49:05</t>
        </is>
      </c>
      <c r="M1397" t="inlineStr">
        <is>
          <t>10:49:15</t>
        </is>
      </c>
    </row>
    <row r="1398" ht="15" customHeight="1" s="37">
      <c r="A1398" t="n">
        <v>16</v>
      </c>
      <c r="B1398" s="10" t="inlineStr">
        <is>
          <t>休日</t>
        </is>
      </c>
      <c r="C1398" s="10" t="inlineStr">
        <is>
          <t>北野線</t>
        </is>
      </c>
      <c r="D1398" s="10" t="inlineStr">
        <is>
          <t>下り</t>
        </is>
      </c>
      <c r="E1398" t="inlineStr">
        <is>
          <t>1059</t>
        </is>
      </c>
      <c r="F1398" t="inlineStr">
        <is>
          <t>0453</t>
        </is>
      </c>
      <c r="G1398" s="10" t="inlineStr">
        <is>
          <t>鳴滝</t>
        </is>
      </c>
      <c r="H1398" s="10" t="inlineStr">
        <is>
          <t>発</t>
        </is>
      </c>
      <c r="J1398" s="10" t="inlineStr">
        <is>
          <t>営業</t>
        </is>
      </c>
      <c r="L1398" t="inlineStr">
        <is>
          <t>10:50:35</t>
        </is>
      </c>
      <c r="M1398" t="inlineStr">
        <is>
          <t>10:50:45</t>
        </is>
      </c>
    </row>
    <row r="1399" ht="15" customHeight="1" s="37">
      <c r="A1399" t="n">
        <v>16</v>
      </c>
      <c r="B1399" s="10" t="inlineStr">
        <is>
          <t>休日</t>
        </is>
      </c>
      <c r="C1399" s="10" t="inlineStr">
        <is>
          <t>北野線</t>
        </is>
      </c>
      <c r="D1399" s="10" t="inlineStr">
        <is>
          <t>下り</t>
        </is>
      </c>
      <c r="E1399" t="inlineStr">
        <is>
          <t>1059</t>
        </is>
      </c>
      <c r="F1399" t="inlineStr">
        <is>
          <t>0453</t>
        </is>
      </c>
      <c r="G1399" s="10" t="inlineStr">
        <is>
          <t>常盤</t>
        </is>
      </c>
      <c r="H1399" s="10" t="inlineStr">
        <is>
          <t>発</t>
        </is>
      </c>
      <c r="J1399" s="10" t="inlineStr">
        <is>
          <t>営業</t>
        </is>
      </c>
      <c r="L1399" t="inlineStr">
        <is>
          <t>10:51:35</t>
        </is>
      </c>
      <c r="M1399" t="inlineStr">
        <is>
          <t>10:51:55</t>
        </is>
      </c>
    </row>
    <row r="1400" ht="15" customHeight="1" s="37">
      <c r="A1400" t="n">
        <v>16</v>
      </c>
      <c r="B1400" s="10" t="inlineStr">
        <is>
          <t>休日</t>
        </is>
      </c>
      <c r="C1400" s="10" t="inlineStr">
        <is>
          <t>北野線</t>
        </is>
      </c>
      <c r="D1400" s="10" t="inlineStr">
        <is>
          <t>下り</t>
        </is>
      </c>
      <c r="E1400" t="inlineStr">
        <is>
          <t>1059</t>
        </is>
      </c>
      <c r="F1400" t="inlineStr">
        <is>
          <t>0453</t>
        </is>
      </c>
      <c r="G1400" s="10" t="inlineStr">
        <is>
          <t>撮影所前</t>
        </is>
      </c>
      <c r="H1400" s="10" t="inlineStr">
        <is>
          <t>発</t>
        </is>
      </c>
      <c r="J1400" s="10" t="inlineStr">
        <is>
          <t>営業</t>
        </is>
      </c>
      <c r="L1400" t="inlineStr">
        <is>
          <t>10:53:15</t>
        </is>
      </c>
      <c r="M1400" t="inlineStr">
        <is>
          <t>10:53:30</t>
        </is>
      </c>
    </row>
    <row r="1401" ht="15" customHeight="1" s="37">
      <c r="A1401" t="n">
        <v>16</v>
      </c>
      <c r="B1401" s="10" t="inlineStr">
        <is>
          <t>休日</t>
        </is>
      </c>
      <c r="C1401" s="10" t="inlineStr">
        <is>
          <t>北野線</t>
        </is>
      </c>
      <c r="D1401" s="10" t="inlineStr">
        <is>
          <t>下り</t>
        </is>
      </c>
      <c r="E1401" t="inlineStr">
        <is>
          <t>1059</t>
        </is>
      </c>
      <c r="F1401" t="inlineStr">
        <is>
          <t>0453</t>
        </is>
      </c>
      <c r="G1401" s="10" t="inlineStr">
        <is>
          <t>帷子ノ辻</t>
        </is>
      </c>
      <c r="H1401" s="10" t="inlineStr">
        <is>
          <t>着</t>
        </is>
      </c>
      <c r="J1401" s="10" t="inlineStr">
        <is>
          <t>営業</t>
        </is>
      </c>
      <c r="L1401" t="inlineStr">
        <is>
          <t>10:54:25</t>
        </is>
      </c>
      <c r="Q1401" t="inlineStr">
        <is>
          <t>4</t>
        </is>
      </c>
    </row>
    <row r="1402" ht="15" customHeight="1" s="37">
      <c r="A1402" t="n">
        <v>16</v>
      </c>
      <c r="B1402" s="10" t="inlineStr">
        <is>
          <t>休日</t>
        </is>
      </c>
      <c r="C1402" s="10" t="inlineStr">
        <is>
          <t>北野線</t>
        </is>
      </c>
      <c r="D1402" s="10" t="inlineStr">
        <is>
          <t>上り</t>
        </is>
      </c>
      <c r="E1402" t="inlineStr">
        <is>
          <t>1152</t>
        </is>
      </c>
      <c r="F1402" t="inlineStr">
        <is>
          <t>0354</t>
        </is>
      </c>
      <c r="G1402" s="10" t="inlineStr">
        <is>
          <t>帷子ノ辻</t>
        </is>
      </c>
      <c r="H1402" s="10" t="inlineStr">
        <is>
          <t>発</t>
        </is>
      </c>
      <c r="J1402" s="10" t="inlineStr">
        <is>
          <t>営業</t>
        </is>
      </c>
      <c r="M1402" t="inlineStr">
        <is>
          <t>11:06:25</t>
        </is>
      </c>
      <c r="Q1402" t="inlineStr">
        <is>
          <t>4</t>
        </is>
      </c>
    </row>
    <row r="1403" ht="15" customHeight="1" s="37">
      <c r="A1403" t="n">
        <v>16</v>
      </c>
      <c r="B1403" s="10" t="inlineStr">
        <is>
          <t>休日</t>
        </is>
      </c>
      <c r="C1403" s="10" t="inlineStr">
        <is>
          <t>北野線</t>
        </is>
      </c>
      <c r="D1403" s="10" t="inlineStr">
        <is>
          <t>上り</t>
        </is>
      </c>
      <c r="E1403" t="inlineStr">
        <is>
          <t>1152</t>
        </is>
      </c>
      <c r="F1403" t="inlineStr">
        <is>
          <t>0354</t>
        </is>
      </c>
      <c r="G1403" s="10" t="inlineStr">
        <is>
          <t>撮影所前</t>
        </is>
      </c>
      <c r="H1403" s="10" t="inlineStr">
        <is>
          <t>発</t>
        </is>
      </c>
      <c r="J1403" s="10" t="inlineStr">
        <is>
          <t>営業</t>
        </is>
      </c>
      <c r="L1403" t="inlineStr">
        <is>
          <t>11:07:25</t>
        </is>
      </c>
      <c r="M1403" t="inlineStr">
        <is>
          <t>11:07:40</t>
        </is>
      </c>
    </row>
    <row r="1404" ht="15" customHeight="1" s="37">
      <c r="A1404" t="n">
        <v>16</v>
      </c>
      <c r="B1404" s="10" t="inlineStr">
        <is>
          <t>休日</t>
        </is>
      </c>
      <c r="C1404" s="10" t="inlineStr">
        <is>
          <t>北野線</t>
        </is>
      </c>
      <c r="D1404" s="10" t="inlineStr">
        <is>
          <t>上り</t>
        </is>
      </c>
      <c r="E1404" t="inlineStr">
        <is>
          <t>1152</t>
        </is>
      </c>
      <c r="F1404" t="inlineStr">
        <is>
          <t>0354</t>
        </is>
      </c>
      <c r="G1404" s="10" t="inlineStr">
        <is>
          <t>常盤</t>
        </is>
      </c>
      <c r="H1404" s="10" t="inlineStr">
        <is>
          <t>発</t>
        </is>
      </c>
      <c r="J1404" s="10" t="inlineStr">
        <is>
          <t>営業</t>
        </is>
      </c>
      <c r="L1404" t="inlineStr">
        <is>
          <t>11:09:00</t>
        </is>
      </c>
      <c r="M1404" t="inlineStr">
        <is>
          <t>11:09:20</t>
        </is>
      </c>
    </row>
    <row r="1405" ht="15" customHeight="1" s="37">
      <c r="A1405" t="n">
        <v>16</v>
      </c>
      <c r="B1405" s="10" t="inlineStr">
        <is>
          <t>休日</t>
        </is>
      </c>
      <c r="C1405" s="10" t="inlineStr">
        <is>
          <t>北野線</t>
        </is>
      </c>
      <c r="D1405" s="10" t="inlineStr">
        <is>
          <t>上り</t>
        </is>
      </c>
      <c r="E1405" t="inlineStr">
        <is>
          <t>1152</t>
        </is>
      </c>
      <c r="F1405" t="inlineStr">
        <is>
          <t>0354</t>
        </is>
      </c>
      <c r="G1405" s="10" t="inlineStr">
        <is>
          <t>鳴滝</t>
        </is>
      </c>
      <c r="H1405" s="10" t="inlineStr">
        <is>
          <t>発</t>
        </is>
      </c>
      <c r="J1405" s="10" t="inlineStr">
        <is>
          <t>営業</t>
        </is>
      </c>
      <c r="L1405" t="inlineStr">
        <is>
          <t>11:10:20</t>
        </is>
      </c>
      <c r="M1405" t="inlineStr">
        <is>
          <t>11:10:40</t>
        </is>
      </c>
    </row>
    <row r="1406" ht="15" customHeight="1" s="37">
      <c r="A1406" t="n">
        <v>16</v>
      </c>
      <c r="B1406" s="10" t="inlineStr">
        <is>
          <t>休日</t>
        </is>
      </c>
      <c r="C1406" s="10" t="inlineStr">
        <is>
          <t>北野線</t>
        </is>
      </c>
      <c r="D1406" s="10" t="inlineStr">
        <is>
          <t>上り</t>
        </is>
      </c>
      <c r="E1406" t="inlineStr">
        <is>
          <t>1152</t>
        </is>
      </c>
      <c r="F1406" t="inlineStr">
        <is>
          <t>0354</t>
        </is>
      </c>
      <c r="G1406" s="10" t="inlineStr">
        <is>
          <t>宇多野</t>
        </is>
      </c>
      <c r="H1406" s="10" t="inlineStr">
        <is>
          <t>発</t>
        </is>
      </c>
      <c r="J1406" s="10" t="inlineStr">
        <is>
          <t>営業</t>
        </is>
      </c>
      <c r="L1406" t="inlineStr">
        <is>
          <t>11:12:00</t>
        </is>
      </c>
      <c r="M1406" t="inlineStr">
        <is>
          <t>11:12:15</t>
        </is>
      </c>
    </row>
    <row r="1407" ht="15" customHeight="1" s="37">
      <c r="A1407" t="n">
        <v>16</v>
      </c>
      <c r="B1407" s="10" t="inlineStr">
        <is>
          <t>休日</t>
        </is>
      </c>
      <c r="C1407" s="10" t="inlineStr">
        <is>
          <t>北野線</t>
        </is>
      </c>
      <c r="D1407" s="10" t="inlineStr">
        <is>
          <t>上り</t>
        </is>
      </c>
      <c r="E1407" t="inlineStr">
        <is>
          <t>1152</t>
        </is>
      </c>
      <c r="F1407" t="inlineStr">
        <is>
          <t>0354</t>
        </is>
      </c>
      <c r="G1407" s="10" t="inlineStr">
        <is>
          <t>御室仁和寺</t>
        </is>
      </c>
      <c r="H1407" s="10" t="inlineStr">
        <is>
          <t>発</t>
        </is>
      </c>
      <c r="J1407" s="10" t="inlineStr">
        <is>
          <t>営業</t>
        </is>
      </c>
      <c r="L1407" t="inlineStr">
        <is>
          <t>11:13:15</t>
        </is>
      </c>
      <c r="M1407" t="inlineStr">
        <is>
          <t>11:13:35</t>
        </is>
      </c>
    </row>
    <row r="1408" ht="15" customHeight="1" s="37">
      <c r="A1408" t="n">
        <v>16</v>
      </c>
      <c r="B1408" s="10" t="inlineStr">
        <is>
          <t>休日</t>
        </is>
      </c>
      <c r="C1408" s="10" t="inlineStr">
        <is>
          <t>北野線</t>
        </is>
      </c>
      <c r="D1408" s="10" t="inlineStr">
        <is>
          <t>上り</t>
        </is>
      </c>
      <c r="E1408" t="inlineStr">
        <is>
          <t>1152</t>
        </is>
      </c>
      <c r="F1408" t="inlineStr">
        <is>
          <t>0354</t>
        </is>
      </c>
      <c r="G1408" s="10" t="inlineStr">
        <is>
          <t>妙心寺</t>
        </is>
      </c>
      <c r="H1408" s="10" t="inlineStr">
        <is>
          <t>発</t>
        </is>
      </c>
      <c r="J1408" s="10" t="inlineStr">
        <is>
          <t>営業</t>
        </is>
      </c>
      <c r="L1408" t="inlineStr">
        <is>
          <t>11:14:35</t>
        </is>
      </c>
      <c r="M1408" t="inlineStr">
        <is>
          <t>11:14:50</t>
        </is>
      </c>
    </row>
    <row r="1409" ht="15" customHeight="1" s="37">
      <c r="A1409" t="n">
        <v>16</v>
      </c>
      <c r="B1409" s="10" t="inlineStr">
        <is>
          <t>休日</t>
        </is>
      </c>
      <c r="C1409" s="10" t="inlineStr">
        <is>
          <t>北野線</t>
        </is>
      </c>
      <c r="D1409" s="10" t="inlineStr">
        <is>
          <t>上り</t>
        </is>
      </c>
      <c r="E1409" t="inlineStr">
        <is>
          <t>1152</t>
        </is>
      </c>
      <c r="F1409" t="inlineStr">
        <is>
          <t>0354</t>
        </is>
      </c>
      <c r="G1409" s="10" t="inlineStr">
        <is>
          <t>龍安寺</t>
        </is>
      </c>
      <c r="H1409" s="10" t="inlineStr">
        <is>
          <t>発</t>
        </is>
      </c>
      <c r="J1409" s="10" t="inlineStr">
        <is>
          <t>営業</t>
        </is>
      </c>
      <c r="L1409" t="inlineStr">
        <is>
          <t>11:15:45</t>
        </is>
      </c>
      <c r="M1409" t="inlineStr">
        <is>
          <t>11:15:55</t>
        </is>
      </c>
    </row>
    <row r="1410" ht="15" customHeight="1" s="37">
      <c r="A1410" t="n">
        <v>16</v>
      </c>
      <c r="B1410" s="10" t="inlineStr">
        <is>
          <t>休日</t>
        </is>
      </c>
      <c r="C1410" s="10" t="inlineStr">
        <is>
          <t>北野線</t>
        </is>
      </c>
      <c r="D1410" s="10" t="inlineStr">
        <is>
          <t>上り</t>
        </is>
      </c>
      <c r="E1410" t="inlineStr">
        <is>
          <t>1152</t>
        </is>
      </c>
      <c r="F1410" t="inlineStr">
        <is>
          <t>0354</t>
        </is>
      </c>
      <c r="G1410" s="10" t="inlineStr">
        <is>
          <t>等持院</t>
        </is>
      </c>
      <c r="H1410" s="10" t="inlineStr">
        <is>
          <t>発</t>
        </is>
      </c>
      <c r="J1410" s="10" t="inlineStr">
        <is>
          <t>営業</t>
        </is>
      </c>
      <c r="L1410" t="inlineStr">
        <is>
          <t>11:16:35</t>
        </is>
      </c>
      <c r="M1410" t="inlineStr">
        <is>
          <t>11:16:55</t>
        </is>
      </c>
    </row>
    <row r="1411" ht="15" customHeight="1" s="37">
      <c r="A1411" t="n">
        <v>16</v>
      </c>
      <c r="B1411" s="10" t="inlineStr">
        <is>
          <t>休日</t>
        </is>
      </c>
      <c r="C1411" s="10" t="inlineStr">
        <is>
          <t>北野線</t>
        </is>
      </c>
      <c r="D1411" s="10" t="inlineStr">
        <is>
          <t>上り</t>
        </is>
      </c>
      <c r="E1411" t="inlineStr">
        <is>
          <t>1152</t>
        </is>
      </c>
      <c r="F1411" t="inlineStr">
        <is>
          <t>0354</t>
        </is>
      </c>
      <c r="G1411" s="10" t="inlineStr">
        <is>
          <t>北野白梅町</t>
        </is>
      </c>
      <c r="H1411" s="10" t="inlineStr">
        <is>
          <t>着</t>
        </is>
      </c>
      <c r="J1411" s="10" t="inlineStr">
        <is>
          <t>営業</t>
        </is>
      </c>
      <c r="L1411" t="inlineStr">
        <is>
          <t>11:18:15</t>
        </is>
      </c>
      <c r="Q1411" t="inlineStr">
        <is>
          <t>1</t>
        </is>
      </c>
    </row>
    <row r="1412" ht="15" customHeight="1" s="37">
      <c r="A1412" t="n">
        <v>16</v>
      </c>
      <c r="B1412" s="10" t="inlineStr">
        <is>
          <t>休日</t>
        </is>
      </c>
      <c r="C1412" s="10" t="inlineStr">
        <is>
          <t>北野線</t>
        </is>
      </c>
      <c r="D1412" s="10" t="inlineStr">
        <is>
          <t>下り</t>
        </is>
      </c>
      <c r="E1412" t="inlineStr">
        <is>
          <t>1155</t>
        </is>
      </c>
      <c r="F1412" t="inlineStr">
        <is>
          <t>0453</t>
        </is>
      </c>
      <c r="G1412" s="10" t="inlineStr">
        <is>
          <t>北野白梅町</t>
        </is>
      </c>
      <c r="H1412" s="10" t="inlineStr">
        <is>
          <t>発</t>
        </is>
      </c>
      <c r="J1412" s="10" t="inlineStr">
        <is>
          <t>営業</t>
        </is>
      </c>
      <c r="M1412" t="inlineStr">
        <is>
          <t>11:23:00</t>
        </is>
      </c>
      <c r="Q1412" t="inlineStr">
        <is>
          <t>1</t>
        </is>
      </c>
    </row>
    <row r="1413" ht="15" customHeight="1" s="37">
      <c r="A1413" t="n">
        <v>16</v>
      </c>
      <c r="B1413" s="10" t="inlineStr">
        <is>
          <t>休日</t>
        </is>
      </c>
      <c r="C1413" s="10" t="inlineStr">
        <is>
          <t>北野線</t>
        </is>
      </c>
      <c r="D1413" s="10" t="inlineStr">
        <is>
          <t>下り</t>
        </is>
      </c>
      <c r="E1413" t="inlineStr">
        <is>
          <t>1155</t>
        </is>
      </c>
      <c r="F1413" t="inlineStr">
        <is>
          <t>0453</t>
        </is>
      </c>
      <c r="G1413" s="10" t="inlineStr">
        <is>
          <t>等持院</t>
        </is>
      </c>
      <c r="H1413" s="10" t="inlineStr">
        <is>
          <t>発</t>
        </is>
      </c>
      <c r="J1413" s="10" t="inlineStr">
        <is>
          <t>営業</t>
        </is>
      </c>
      <c r="L1413" t="inlineStr">
        <is>
          <t>11:24:25</t>
        </is>
      </c>
      <c r="M1413" t="inlineStr">
        <is>
          <t>11:24:35</t>
        </is>
      </c>
    </row>
    <row r="1414" ht="15" customHeight="1" s="37">
      <c r="A1414" t="n">
        <v>16</v>
      </c>
      <c r="B1414" s="10" t="inlineStr">
        <is>
          <t>休日</t>
        </is>
      </c>
      <c r="C1414" s="10" t="inlineStr">
        <is>
          <t>北野線</t>
        </is>
      </c>
      <c r="D1414" s="10" t="inlineStr">
        <is>
          <t>下り</t>
        </is>
      </c>
      <c r="E1414" t="inlineStr">
        <is>
          <t>1155</t>
        </is>
      </c>
      <c r="F1414" t="inlineStr">
        <is>
          <t>0453</t>
        </is>
      </c>
      <c r="G1414" s="10" t="inlineStr">
        <is>
          <t>龍安寺</t>
        </is>
      </c>
      <c r="H1414" s="10" t="inlineStr">
        <is>
          <t>発</t>
        </is>
      </c>
      <c r="J1414" s="10" t="inlineStr">
        <is>
          <t>営業</t>
        </is>
      </c>
      <c r="L1414" t="inlineStr">
        <is>
          <t>11:25:25</t>
        </is>
      </c>
      <c r="M1414" t="inlineStr">
        <is>
          <t>11:25:50</t>
        </is>
      </c>
    </row>
    <row r="1415" ht="15" customHeight="1" s="37">
      <c r="A1415" t="n">
        <v>16</v>
      </c>
      <c r="B1415" s="10" t="inlineStr">
        <is>
          <t>休日</t>
        </is>
      </c>
      <c r="C1415" s="10" t="inlineStr">
        <is>
          <t>北野線</t>
        </is>
      </c>
      <c r="D1415" s="10" t="inlineStr">
        <is>
          <t>下り</t>
        </is>
      </c>
      <c r="E1415" t="inlineStr">
        <is>
          <t>1155</t>
        </is>
      </c>
      <c r="F1415" t="inlineStr">
        <is>
          <t>0453</t>
        </is>
      </c>
      <c r="G1415" s="10" t="inlineStr">
        <is>
          <t>妙心寺</t>
        </is>
      </c>
      <c r="H1415" s="10" t="inlineStr">
        <is>
          <t>発</t>
        </is>
      </c>
      <c r="J1415" s="10" t="inlineStr">
        <is>
          <t>営業</t>
        </is>
      </c>
      <c r="L1415" t="inlineStr">
        <is>
          <t>11:26:40</t>
        </is>
      </c>
      <c r="M1415" t="inlineStr">
        <is>
          <t>11:26:50</t>
        </is>
      </c>
    </row>
    <row r="1416" ht="15" customHeight="1" s="37">
      <c r="A1416" t="n">
        <v>16</v>
      </c>
      <c r="B1416" s="10" t="inlineStr">
        <is>
          <t>休日</t>
        </is>
      </c>
      <c r="C1416" s="10" t="inlineStr">
        <is>
          <t>北野線</t>
        </is>
      </c>
      <c r="D1416" s="10" t="inlineStr">
        <is>
          <t>下り</t>
        </is>
      </c>
      <c r="E1416" t="inlineStr">
        <is>
          <t>1155</t>
        </is>
      </c>
      <c r="F1416" t="inlineStr">
        <is>
          <t>0453</t>
        </is>
      </c>
      <c r="G1416" s="10" t="inlineStr">
        <is>
          <t>御室仁和寺</t>
        </is>
      </c>
      <c r="H1416" s="10" t="inlineStr">
        <is>
          <t>発</t>
        </is>
      </c>
      <c r="J1416" s="10" t="inlineStr">
        <is>
          <t>営業</t>
        </is>
      </c>
      <c r="L1416" t="inlineStr">
        <is>
          <t>11:27:50</t>
        </is>
      </c>
      <c r="M1416" t="inlineStr">
        <is>
          <t>11:28:05</t>
        </is>
      </c>
    </row>
    <row r="1417" ht="15" customHeight="1" s="37">
      <c r="A1417" t="n">
        <v>16</v>
      </c>
      <c r="B1417" s="10" t="inlineStr">
        <is>
          <t>休日</t>
        </is>
      </c>
      <c r="C1417" s="10" t="inlineStr">
        <is>
          <t>北野線</t>
        </is>
      </c>
      <c r="D1417" s="10" t="inlineStr">
        <is>
          <t>下り</t>
        </is>
      </c>
      <c r="E1417" t="inlineStr">
        <is>
          <t>1155</t>
        </is>
      </c>
      <c r="F1417" t="inlineStr">
        <is>
          <t>0453</t>
        </is>
      </c>
      <c r="G1417" s="10" t="inlineStr">
        <is>
          <t>宇多野</t>
        </is>
      </c>
      <c r="H1417" s="10" t="inlineStr">
        <is>
          <t>発</t>
        </is>
      </c>
      <c r="J1417" s="10" t="inlineStr">
        <is>
          <t>営業</t>
        </is>
      </c>
      <c r="L1417" t="inlineStr">
        <is>
          <t>11:29:05</t>
        </is>
      </c>
      <c r="M1417" t="inlineStr">
        <is>
          <t>11:29:15</t>
        </is>
      </c>
    </row>
    <row r="1418" ht="15" customHeight="1" s="37">
      <c r="A1418" t="n">
        <v>16</v>
      </c>
      <c r="B1418" s="10" t="inlineStr">
        <is>
          <t>休日</t>
        </is>
      </c>
      <c r="C1418" s="10" t="inlineStr">
        <is>
          <t>北野線</t>
        </is>
      </c>
      <c r="D1418" s="10" t="inlineStr">
        <is>
          <t>下り</t>
        </is>
      </c>
      <c r="E1418" t="inlineStr">
        <is>
          <t>1155</t>
        </is>
      </c>
      <c r="F1418" t="inlineStr">
        <is>
          <t>0453</t>
        </is>
      </c>
      <c r="G1418" s="10" t="inlineStr">
        <is>
          <t>鳴滝</t>
        </is>
      </c>
      <c r="H1418" s="10" t="inlineStr">
        <is>
          <t>発</t>
        </is>
      </c>
      <c r="J1418" s="10" t="inlineStr">
        <is>
          <t>営業</t>
        </is>
      </c>
      <c r="L1418" t="inlineStr">
        <is>
          <t>11:30:35</t>
        </is>
      </c>
      <c r="M1418" t="inlineStr">
        <is>
          <t>11:30:45</t>
        </is>
      </c>
    </row>
    <row r="1419" ht="15" customHeight="1" s="37">
      <c r="A1419" t="n">
        <v>16</v>
      </c>
      <c r="B1419" s="10" t="inlineStr">
        <is>
          <t>休日</t>
        </is>
      </c>
      <c r="C1419" s="10" t="inlineStr">
        <is>
          <t>北野線</t>
        </is>
      </c>
      <c r="D1419" s="10" t="inlineStr">
        <is>
          <t>下り</t>
        </is>
      </c>
      <c r="E1419" t="inlineStr">
        <is>
          <t>1155</t>
        </is>
      </c>
      <c r="F1419" t="inlineStr">
        <is>
          <t>0453</t>
        </is>
      </c>
      <c r="G1419" s="10" t="inlineStr">
        <is>
          <t>常盤</t>
        </is>
      </c>
      <c r="H1419" s="10" t="inlineStr">
        <is>
          <t>発</t>
        </is>
      </c>
      <c r="J1419" s="10" t="inlineStr">
        <is>
          <t>営業</t>
        </is>
      </c>
      <c r="L1419" t="inlineStr">
        <is>
          <t>11:31:35</t>
        </is>
      </c>
      <c r="M1419" t="inlineStr">
        <is>
          <t>11:31:55</t>
        </is>
      </c>
    </row>
    <row r="1420" ht="15" customHeight="1" s="37">
      <c r="A1420" t="n">
        <v>16</v>
      </c>
      <c r="B1420" s="10" t="inlineStr">
        <is>
          <t>休日</t>
        </is>
      </c>
      <c r="C1420" s="10" t="inlineStr">
        <is>
          <t>北野線</t>
        </is>
      </c>
      <c r="D1420" s="10" t="inlineStr">
        <is>
          <t>下り</t>
        </is>
      </c>
      <c r="E1420" t="inlineStr">
        <is>
          <t>1155</t>
        </is>
      </c>
      <c r="F1420" t="inlineStr">
        <is>
          <t>0453</t>
        </is>
      </c>
      <c r="G1420" s="10" t="inlineStr">
        <is>
          <t>撮影所前</t>
        </is>
      </c>
      <c r="H1420" s="10" t="inlineStr">
        <is>
          <t>発</t>
        </is>
      </c>
      <c r="J1420" s="10" t="inlineStr">
        <is>
          <t>営業</t>
        </is>
      </c>
      <c r="L1420" t="inlineStr">
        <is>
          <t>11:33:15</t>
        </is>
      </c>
      <c r="M1420" t="inlineStr">
        <is>
          <t>11:33:30</t>
        </is>
      </c>
    </row>
    <row r="1421" ht="15" customHeight="1" s="37">
      <c r="A1421" t="n">
        <v>16</v>
      </c>
      <c r="B1421" s="10" t="inlineStr">
        <is>
          <t>休日</t>
        </is>
      </c>
      <c r="C1421" s="10" t="inlineStr">
        <is>
          <t>北野線</t>
        </is>
      </c>
      <c r="D1421" s="10" t="inlineStr">
        <is>
          <t>下り</t>
        </is>
      </c>
      <c r="E1421" t="inlineStr">
        <is>
          <t>1155</t>
        </is>
      </c>
      <c r="F1421" t="inlineStr">
        <is>
          <t>0453</t>
        </is>
      </c>
      <c r="G1421" s="10" t="inlineStr">
        <is>
          <t>帷子ノ辻</t>
        </is>
      </c>
      <c r="H1421" s="10" t="inlineStr">
        <is>
          <t>着</t>
        </is>
      </c>
      <c r="J1421" s="10" t="inlineStr">
        <is>
          <t>営業</t>
        </is>
      </c>
      <c r="L1421" t="inlineStr">
        <is>
          <t>11:34:25</t>
        </is>
      </c>
      <c r="Q1421" t="inlineStr">
        <is>
          <t>4</t>
        </is>
      </c>
    </row>
    <row r="1422" ht="15" customHeight="1" s="37">
      <c r="A1422" t="n">
        <v>16</v>
      </c>
      <c r="B1422" s="10" t="inlineStr">
        <is>
          <t>休日</t>
        </is>
      </c>
      <c r="C1422" s="10" t="inlineStr">
        <is>
          <t>北野線</t>
        </is>
      </c>
      <c r="D1422" s="10" t="inlineStr">
        <is>
          <t>上り</t>
        </is>
      </c>
      <c r="E1422" t="inlineStr">
        <is>
          <t>1160</t>
        </is>
      </c>
      <c r="F1422" t="inlineStr">
        <is>
          <t>0354</t>
        </is>
      </c>
      <c r="G1422" s="10" t="inlineStr">
        <is>
          <t>帷子ノ辻</t>
        </is>
      </c>
      <c r="H1422" s="10" t="inlineStr">
        <is>
          <t>発</t>
        </is>
      </c>
      <c r="J1422" s="10" t="inlineStr">
        <is>
          <t>営業</t>
        </is>
      </c>
      <c r="M1422" t="inlineStr">
        <is>
          <t>11:46:25</t>
        </is>
      </c>
      <c r="Q1422" t="inlineStr">
        <is>
          <t>4</t>
        </is>
      </c>
    </row>
    <row r="1423" ht="15" customHeight="1" s="37">
      <c r="A1423" t="n">
        <v>16</v>
      </c>
      <c r="B1423" s="10" t="inlineStr">
        <is>
          <t>休日</t>
        </is>
      </c>
      <c r="C1423" s="10" t="inlineStr">
        <is>
          <t>北野線</t>
        </is>
      </c>
      <c r="D1423" s="10" t="inlineStr">
        <is>
          <t>上り</t>
        </is>
      </c>
      <c r="E1423" t="inlineStr">
        <is>
          <t>1160</t>
        </is>
      </c>
      <c r="F1423" t="inlineStr">
        <is>
          <t>0354</t>
        </is>
      </c>
      <c r="G1423" s="10" t="inlineStr">
        <is>
          <t>撮影所前</t>
        </is>
      </c>
      <c r="H1423" s="10" t="inlineStr">
        <is>
          <t>発</t>
        </is>
      </c>
      <c r="J1423" s="10" t="inlineStr">
        <is>
          <t>営業</t>
        </is>
      </c>
      <c r="L1423" t="inlineStr">
        <is>
          <t>11:47:25</t>
        </is>
      </c>
      <c r="M1423" t="inlineStr">
        <is>
          <t>11:47:40</t>
        </is>
      </c>
    </row>
    <row r="1424" ht="15" customHeight="1" s="37">
      <c r="A1424" t="n">
        <v>16</v>
      </c>
      <c r="B1424" s="10" t="inlineStr">
        <is>
          <t>休日</t>
        </is>
      </c>
      <c r="C1424" s="10" t="inlineStr">
        <is>
          <t>北野線</t>
        </is>
      </c>
      <c r="D1424" s="10" t="inlineStr">
        <is>
          <t>上り</t>
        </is>
      </c>
      <c r="E1424" t="inlineStr">
        <is>
          <t>1160</t>
        </is>
      </c>
      <c r="F1424" t="inlineStr">
        <is>
          <t>0354</t>
        </is>
      </c>
      <c r="G1424" s="10" t="inlineStr">
        <is>
          <t>常盤</t>
        </is>
      </c>
      <c r="H1424" s="10" t="inlineStr">
        <is>
          <t>発</t>
        </is>
      </c>
      <c r="J1424" s="10" t="inlineStr">
        <is>
          <t>営業</t>
        </is>
      </c>
      <c r="L1424" t="inlineStr">
        <is>
          <t>11:49:00</t>
        </is>
      </c>
      <c r="M1424" t="inlineStr">
        <is>
          <t>11:49:20</t>
        </is>
      </c>
    </row>
    <row r="1425" ht="15" customHeight="1" s="37">
      <c r="A1425" t="n">
        <v>16</v>
      </c>
      <c r="B1425" s="10" t="inlineStr">
        <is>
          <t>休日</t>
        </is>
      </c>
      <c r="C1425" s="10" t="inlineStr">
        <is>
          <t>北野線</t>
        </is>
      </c>
      <c r="D1425" s="10" t="inlineStr">
        <is>
          <t>上り</t>
        </is>
      </c>
      <c r="E1425" t="inlineStr">
        <is>
          <t>1160</t>
        </is>
      </c>
      <c r="F1425" t="inlineStr">
        <is>
          <t>0354</t>
        </is>
      </c>
      <c r="G1425" s="10" t="inlineStr">
        <is>
          <t>鳴滝</t>
        </is>
      </c>
      <c r="H1425" s="10" t="inlineStr">
        <is>
          <t>発</t>
        </is>
      </c>
      <c r="J1425" s="10" t="inlineStr">
        <is>
          <t>営業</t>
        </is>
      </c>
      <c r="L1425" t="inlineStr">
        <is>
          <t>11:50:20</t>
        </is>
      </c>
      <c r="M1425" t="inlineStr">
        <is>
          <t>11:50:40</t>
        </is>
      </c>
    </row>
    <row r="1426" ht="15" customHeight="1" s="37">
      <c r="A1426" t="n">
        <v>16</v>
      </c>
      <c r="B1426" s="10" t="inlineStr">
        <is>
          <t>休日</t>
        </is>
      </c>
      <c r="C1426" s="10" t="inlineStr">
        <is>
          <t>北野線</t>
        </is>
      </c>
      <c r="D1426" s="10" t="inlineStr">
        <is>
          <t>上り</t>
        </is>
      </c>
      <c r="E1426" t="inlineStr">
        <is>
          <t>1160</t>
        </is>
      </c>
      <c r="F1426" t="inlineStr">
        <is>
          <t>0354</t>
        </is>
      </c>
      <c r="G1426" s="10" t="inlineStr">
        <is>
          <t>宇多野</t>
        </is>
      </c>
      <c r="H1426" s="10" t="inlineStr">
        <is>
          <t>発</t>
        </is>
      </c>
      <c r="J1426" s="10" t="inlineStr">
        <is>
          <t>営業</t>
        </is>
      </c>
      <c r="L1426" t="inlineStr">
        <is>
          <t>11:52:00</t>
        </is>
      </c>
      <c r="M1426" t="inlineStr">
        <is>
          <t>11:52:15</t>
        </is>
      </c>
    </row>
    <row r="1427" ht="15" customHeight="1" s="37">
      <c r="A1427" t="n">
        <v>16</v>
      </c>
      <c r="B1427" s="10" t="inlineStr">
        <is>
          <t>休日</t>
        </is>
      </c>
      <c r="C1427" s="10" t="inlineStr">
        <is>
          <t>北野線</t>
        </is>
      </c>
      <c r="D1427" s="10" t="inlineStr">
        <is>
          <t>上り</t>
        </is>
      </c>
      <c r="E1427" t="inlineStr">
        <is>
          <t>1160</t>
        </is>
      </c>
      <c r="F1427" t="inlineStr">
        <is>
          <t>0354</t>
        </is>
      </c>
      <c r="G1427" s="10" t="inlineStr">
        <is>
          <t>御室仁和寺</t>
        </is>
      </c>
      <c r="H1427" s="10" t="inlineStr">
        <is>
          <t>発</t>
        </is>
      </c>
      <c r="J1427" s="10" t="inlineStr">
        <is>
          <t>営業</t>
        </is>
      </c>
      <c r="L1427" t="inlineStr">
        <is>
          <t>11:53:15</t>
        </is>
      </c>
      <c r="M1427" t="inlineStr">
        <is>
          <t>11:53:35</t>
        </is>
      </c>
    </row>
    <row r="1428" ht="15" customHeight="1" s="37">
      <c r="A1428" t="n">
        <v>16</v>
      </c>
      <c r="B1428" s="10" t="inlineStr">
        <is>
          <t>休日</t>
        </is>
      </c>
      <c r="C1428" s="10" t="inlineStr">
        <is>
          <t>北野線</t>
        </is>
      </c>
      <c r="D1428" s="10" t="inlineStr">
        <is>
          <t>上り</t>
        </is>
      </c>
      <c r="E1428" t="inlineStr">
        <is>
          <t>1160</t>
        </is>
      </c>
      <c r="F1428" t="inlineStr">
        <is>
          <t>0354</t>
        </is>
      </c>
      <c r="G1428" s="10" t="inlineStr">
        <is>
          <t>妙心寺</t>
        </is>
      </c>
      <c r="H1428" s="10" t="inlineStr">
        <is>
          <t>発</t>
        </is>
      </c>
      <c r="J1428" s="10" t="inlineStr">
        <is>
          <t>営業</t>
        </is>
      </c>
      <c r="L1428" t="inlineStr">
        <is>
          <t>11:54:35</t>
        </is>
      </c>
      <c r="M1428" t="inlineStr">
        <is>
          <t>11:54:50</t>
        </is>
      </c>
    </row>
    <row r="1429" ht="15" customHeight="1" s="37">
      <c r="A1429" t="n">
        <v>16</v>
      </c>
      <c r="B1429" s="10" t="inlineStr">
        <is>
          <t>休日</t>
        </is>
      </c>
      <c r="C1429" s="10" t="inlineStr">
        <is>
          <t>北野線</t>
        </is>
      </c>
      <c r="D1429" s="10" t="inlineStr">
        <is>
          <t>上り</t>
        </is>
      </c>
      <c r="E1429" t="inlineStr">
        <is>
          <t>1160</t>
        </is>
      </c>
      <c r="F1429" t="inlineStr">
        <is>
          <t>0354</t>
        </is>
      </c>
      <c r="G1429" s="10" t="inlineStr">
        <is>
          <t>龍安寺</t>
        </is>
      </c>
      <c r="H1429" s="10" t="inlineStr">
        <is>
          <t>発</t>
        </is>
      </c>
      <c r="J1429" s="10" t="inlineStr">
        <is>
          <t>営業</t>
        </is>
      </c>
      <c r="L1429" t="inlineStr">
        <is>
          <t>11:55:45</t>
        </is>
      </c>
      <c r="M1429" t="inlineStr">
        <is>
          <t>11:55:55</t>
        </is>
      </c>
    </row>
    <row r="1430" ht="15" customHeight="1" s="37">
      <c r="A1430" t="n">
        <v>16</v>
      </c>
      <c r="B1430" s="10" t="inlineStr">
        <is>
          <t>休日</t>
        </is>
      </c>
      <c r="C1430" s="10" t="inlineStr">
        <is>
          <t>北野線</t>
        </is>
      </c>
      <c r="D1430" s="10" t="inlineStr">
        <is>
          <t>上り</t>
        </is>
      </c>
      <c r="E1430" t="inlineStr">
        <is>
          <t>1160</t>
        </is>
      </c>
      <c r="F1430" t="inlineStr">
        <is>
          <t>0354</t>
        </is>
      </c>
      <c r="G1430" s="10" t="inlineStr">
        <is>
          <t>等持院</t>
        </is>
      </c>
      <c r="H1430" s="10" t="inlineStr">
        <is>
          <t>発</t>
        </is>
      </c>
      <c r="J1430" s="10" t="inlineStr">
        <is>
          <t>営業</t>
        </is>
      </c>
      <c r="L1430" t="inlineStr">
        <is>
          <t>11:56:35</t>
        </is>
      </c>
      <c r="M1430" t="inlineStr">
        <is>
          <t>11:56:55</t>
        </is>
      </c>
    </row>
    <row r="1431" ht="15" customHeight="1" s="37">
      <c r="A1431" t="n">
        <v>16</v>
      </c>
      <c r="B1431" s="10" t="inlineStr">
        <is>
          <t>休日</t>
        </is>
      </c>
      <c r="C1431" s="10" t="inlineStr">
        <is>
          <t>北野線</t>
        </is>
      </c>
      <c r="D1431" s="10" t="inlineStr">
        <is>
          <t>上り</t>
        </is>
      </c>
      <c r="E1431" t="inlineStr">
        <is>
          <t>1160</t>
        </is>
      </c>
      <c r="F1431" t="inlineStr">
        <is>
          <t>0354</t>
        </is>
      </c>
      <c r="G1431" s="10" t="inlineStr">
        <is>
          <t>北野白梅町</t>
        </is>
      </c>
      <c r="H1431" s="10" t="inlineStr">
        <is>
          <t>着</t>
        </is>
      </c>
      <c r="J1431" s="10" t="inlineStr">
        <is>
          <t>営業</t>
        </is>
      </c>
      <c r="L1431" t="inlineStr">
        <is>
          <t>11:58:15</t>
        </is>
      </c>
      <c r="Q1431" t="inlineStr">
        <is>
          <t>1</t>
        </is>
      </c>
    </row>
    <row r="1432" ht="15" customHeight="1" s="37">
      <c r="A1432" t="n">
        <v>16</v>
      </c>
      <c r="B1432" s="10" t="inlineStr">
        <is>
          <t>休日</t>
        </is>
      </c>
      <c r="C1432" s="10" t="inlineStr">
        <is>
          <t>北野線</t>
        </is>
      </c>
      <c r="D1432" s="10" t="inlineStr">
        <is>
          <t>下り</t>
        </is>
      </c>
      <c r="E1432" t="inlineStr">
        <is>
          <t>1251</t>
        </is>
      </c>
      <c r="F1432" t="inlineStr">
        <is>
          <t>0453</t>
        </is>
      </c>
      <c r="G1432" s="10" t="inlineStr">
        <is>
          <t>北野白梅町</t>
        </is>
      </c>
      <c r="H1432" s="10" t="inlineStr">
        <is>
          <t>発</t>
        </is>
      </c>
      <c r="J1432" s="10" t="inlineStr">
        <is>
          <t>営業</t>
        </is>
      </c>
      <c r="M1432" t="inlineStr">
        <is>
          <t>12:03:00</t>
        </is>
      </c>
      <c r="Q1432" t="inlineStr">
        <is>
          <t>1</t>
        </is>
      </c>
    </row>
    <row r="1433" ht="15" customHeight="1" s="37">
      <c r="A1433" t="n">
        <v>16</v>
      </c>
      <c r="B1433" s="10" t="inlineStr">
        <is>
          <t>休日</t>
        </is>
      </c>
      <c r="C1433" s="10" t="inlineStr">
        <is>
          <t>北野線</t>
        </is>
      </c>
      <c r="D1433" s="10" t="inlineStr">
        <is>
          <t>下り</t>
        </is>
      </c>
      <c r="E1433" t="inlineStr">
        <is>
          <t>1251</t>
        </is>
      </c>
      <c r="F1433" t="inlineStr">
        <is>
          <t>0453</t>
        </is>
      </c>
      <c r="G1433" s="10" t="inlineStr">
        <is>
          <t>等持院</t>
        </is>
      </c>
      <c r="H1433" s="10" t="inlineStr">
        <is>
          <t>発</t>
        </is>
      </c>
      <c r="J1433" s="10" t="inlineStr">
        <is>
          <t>営業</t>
        </is>
      </c>
      <c r="L1433" t="inlineStr">
        <is>
          <t>12:04:25</t>
        </is>
      </c>
      <c r="M1433" t="inlineStr">
        <is>
          <t>12:04:35</t>
        </is>
      </c>
    </row>
    <row r="1434" ht="15" customHeight="1" s="37">
      <c r="A1434" t="n">
        <v>16</v>
      </c>
      <c r="B1434" s="10" t="inlineStr">
        <is>
          <t>休日</t>
        </is>
      </c>
      <c r="C1434" s="10" t="inlineStr">
        <is>
          <t>北野線</t>
        </is>
      </c>
      <c r="D1434" s="10" t="inlineStr">
        <is>
          <t>下り</t>
        </is>
      </c>
      <c r="E1434" t="inlineStr">
        <is>
          <t>1251</t>
        </is>
      </c>
      <c r="F1434" t="inlineStr">
        <is>
          <t>0453</t>
        </is>
      </c>
      <c r="G1434" s="10" t="inlineStr">
        <is>
          <t>龍安寺</t>
        </is>
      </c>
      <c r="H1434" s="10" t="inlineStr">
        <is>
          <t>発</t>
        </is>
      </c>
      <c r="J1434" s="10" t="inlineStr">
        <is>
          <t>営業</t>
        </is>
      </c>
      <c r="L1434" t="inlineStr">
        <is>
          <t>12:05:25</t>
        </is>
      </c>
      <c r="M1434" t="inlineStr">
        <is>
          <t>12:05:50</t>
        </is>
      </c>
    </row>
    <row r="1435" ht="15" customHeight="1" s="37">
      <c r="A1435" t="n">
        <v>16</v>
      </c>
      <c r="B1435" s="10" t="inlineStr">
        <is>
          <t>休日</t>
        </is>
      </c>
      <c r="C1435" s="10" t="inlineStr">
        <is>
          <t>北野線</t>
        </is>
      </c>
      <c r="D1435" s="10" t="inlineStr">
        <is>
          <t>下り</t>
        </is>
      </c>
      <c r="E1435" t="inlineStr">
        <is>
          <t>1251</t>
        </is>
      </c>
      <c r="F1435" t="inlineStr">
        <is>
          <t>0453</t>
        </is>
      </c>
      <c r="G1435" s="10" t="inlineStr">
        <is>
          <t>妙心寺</t>
        </is>
      </c>
      <c r="H1435" s="10" t="inlineStr">
        <is>
          <t>発</t>
        </is>
      </c>
      <c r="J1435" s="10" t="inlineStr">
        <is>
          <t>営業</t>
        </is>
      </c>
      <c r="L1435" t="inlineStr">
        <is>
          <t>12:06:40</t>
        </is>
      </c>
      <c r="M1435" t="inlineStr">
        <is>
          <t>12:06:50</t>
        </is>
      </c>
    </row>
    <row r="1436" ht="15" customHeight="1" s="37">
      <c r="A1436" t="n">
        <v>16</v>
      </c>
      <c r="B1436" s="10" t="inlineStr">
        <is>
          <t>休日</t>
        </is>
      </c>
      <c r="C1436" s="10" t="inlineStr">
        <is>
          <t>北野線</t>
        </is>
      </c>
      <c r="D1436" s="10" t="inlineStr">
        <is>
          <t>下り</t>
        </is>
      </c>
      <c r="E1436" t="inlineStr">
        <is>
          <t>1251</t>
        </is>
      </c>
      <c r="F1436" t="inlineStr">
        <is>
          <t>0453</t>
        </is>
      </c>
      <c r="G1436" s="10" t="inlineStr">
        <is>
          <t>御室仁和寺</t>
        </is>
      </c>
      <c r="H1436" s="10" t="inlineStr">
        <is>
          <t>発</t>
        </is>
      </c>
      <c r="J1436" s="10" t="inlineStr">
        <is>
          <t>営業</t>
        </is>
      </c>
      <c r="L1436" t="inlineStr">
        <is>
          <t>12:07:50</t>
        </is>
      </c>
      <c r="M1436" t="inlineStr">
        <is>
          <t>12:08:05</t>
        </is>
      </c>
    </row>
    <row r="1437" ht="15" customHeight="1" s="37">
      <c r="A1437" t="n">
        <v>16</v>
      </c>
      <c r="B1437" s="10" t="inlineStr">
        <is>
          <t>休日</t>
        </is>
      </c>
      <c r="C1437" s="10" t="inlineStr">
        <is>
          <t>北野線</t>
        </is>
      </c>
      <c r="D1437" s="10" t="inlineStr">
        <is>
          <t>下り</t>
        </is>
      </c>
      <c r="E1437" t="inlineStr">
        <is>
          <t>1251</t>
        </is>
      </c>
      <c r="F1437" t="inlineStr">
        <is>
          <t>0453</t>
        </is>
      </c>
      <c r="G1437" s="10" t="inlineStr">
        <is>
          <t>宇多野</t>
        </is>
      </c>
      <c r="H1437" s="10" t="inlineStr">
        <is>
          <t>発</t>
        </is>
      </c>
      <c r="J1437" s="10" t="inlineStr">
        <is>
          <t>営業</t>
        </is>
      </c>
      <c r="L1437" t="inlineStr">
        <is>
          <t>12:09:05</t>
        </is>
      </c>
      <c r="M1437" t="inlineStr">
        <is>
          <t>12:09:15</t>
        </is>
      </c>
    </row>
    <row r="1438" ht="15" customHeight="1" s="37">
      <c r="A1438" t="n">
        <v>16</v>
      </c>
      <c r="B1438" s="10" t="inlineStr">
        <is>
          <t>休日</t>
        </is>
      </c>
      <c r="C1438" s="10" t="inlineStr">
        <is>
          <t>北野線</t>
        </is>
      </c>
      <c r="D1438" s="10" t="inlineStr">
        <is>
          <t>下り</t>
        </is>
      </c>
      <c r="E1438" t="inlineStr">
        <is>
          <t>1251</t>
        </is>
      </c>
      <c r="F1438" t="inlineStr">
        <is>
          <t>0453</t>
        </is>
      </c>
      <c r="G1438" s="10" t="inlineStr">
        <is>
          <t>鳴滝</t>
        </is>
      </c>
      <c r="H1438" s="10" t="inlineStr">
        <is>
          <t>発</t>
        </is>
      </c>
      <c r="J1438" s="10" t="inlineStr">
        <is>
          <t>営業</t>
        </is>
      </c>
      <c r="L1438" t="inlineStr">
        <is>
          <t>12:10:35</t>
        </is>
      </c>
      <c r="M1438" t="inlineStr">
        <is>
          <t>12:10:45</t>
        </is>
      </c>
    </row>
    <row r="1439" ht="15" customHeight="1" s="37">
      <c r="A1439" t="n">
        <v>16</v>
      </c>
      <c r="B1439" s="10" t="inlineStr">
        <is>
          <t>休日</t>
        </is>
      </c>
      <c r="C1439" s="10" t="inlineStr">
        <is>
          <t>北野線</t>
        </is>
      </c>
      <c r="D1439" s="10" t="inlineStr">
        <is>
          <t>下り</t>
        </is>
      </c>
      <c r="E1439" t="inlineStr">
        <is>
          <t>1251</t>
        </is>
      </c>
      <c r="F1439" t="inlineStr">
        <is>
          <t>0453</t>
        </is>
      </c>
      <c r="G1439" s="10" t="inlineStr">
        <is>
          <t>常盤</t>
        </is>
      </c>
      <c r="H1439" s="10" t="inlineStr">
        <is>
          <t>発</t>
        </is>
      </c>
      <c r="J1439" s="10" t="inlineStr">
        <is>
          <t>営業</t>
        </is>
      </c>
      <c r="L1439" t="inlineStr">
        <is>
          <t>12:11:35</t>
        </is>
      </c>
      <c r="M1439" t="inlineStr">
        <is>
          <t>12:11:55</t>
        </is>
      </c>
    </row>
    <row r="1440" ht="15" customHeight="1" s="37">
      <c r="A1440" t="n">
        <v>16</v>
      </c>
      <c r="B1440" s="10" t="inlineStr">
        <is>
          <t>休日</t>
        </is>
      </c>
      <c r="C1440" s="10" t="inlineStr">
        <is>
          <t>北野線</t>
        </is>
      </c>
      <c r="D1440" s="10" t="inlineStr">
        <is>
          <t>下り</t>
        </is>
      </c>
      <c r="E1440" t="inlineStr">
        <is>
          <t>1251</t>
        </is>
      </c>
      <c r="F1440" t="inlineStr">
        <is>
          <t>0453</t>
        </is>
      </c>
      <c r="G1440" s="10" t="inlineStr">
        <is>
          <t>撮影所前</t>
        </is>
      </c>
      <c r="H1440" s="10" t="inlineStr">
        <is>
          <t>発</t>
        </is>
      </c>
      <c r="J1440" s="10" t="inlineStr">
        <is>
          <t>営業</t>
        </is>
      </c>
      <c r="L1440" t="inlineStr">
        <is>
          <t>12:13:15</t>
        </is>
      </c>
      <c r="M1440" t="inlineStr">
        <is>
          <t>12:13:30</t>
        </is>
      </c>
    </row>
    <row r="1441" ht="15" customHeight="1" s="37">
      <c r="A1441" t="n">
        <v>16</v>
      </c>
      <c r="B1441" s="10" t="inlineStr">
        <is>
          <t>休日</t>
        </is>
      </c>
      <c r="C1441" s="10" t="inlineStr">
        <is>
          <t>北野線</t>
        </is>
      </c>
      <c r="D1441" s="10" t="inlineStr">
        <is>
          <t>下り</t>
        </is>
      </c>
      <c r="E1441" t="inlineStr">
        <is>
          <t>1251</t>
        </is>
      </c>
      <c r="F1441" t="inlineStr">
        <is>
          <t>0453</t>
        </is>
      </c>
      <c r="G1441" s="10" t="inlineStr">
        <is>
          <t>帷子ノ辻</t>
        </is>
      </c>
      <c r="H1441" s="10" t="inlineStr">
        <is>
          <t>着</t>
        </is>
      </c>
      <c r="J1441" s="10" t="inlineStr">
        <is>
          <t>営業</t>
        </is>
      </c>
      <c r="L1441" t="inlineStr">
        <is>
          <t>12:14:25</t>
        </is>
      </c>
      <c r="Q1441" t="inlineStr">
        <is>
          <t>4</t>
        </is>
      </c>
    </row>
    <row r="1442" ht="15" customHeight="1" s="37">
      <c r="A1442" t="n">
        <v>16</v>
      </c>
      <c r="B1442" s="10" t="inlineStr">
        <is>
          <t>休日</t>
        </is>
      </c>
      <c r="C1442" s="10" t="inlineStr">
        <is>
          <t>北野線</t>
        </is>
      </c>
      <c r="D1442" s="10" t="inlineStr">
        <is>
          <t>上り</t>
        </is>
      </c>
      <c r="E1442" t="inlineStr">
        <is>
          <t>1256</t>
        </is>
      </c>
      <c r="F1442" t="inlineStr">
        <is>
          <t>0354</t>
        </is>
      </c>
      <c r="G1442" s="10" t="inlineStr">
        <is>
          <t>帷子ノ辻</t>
        </is>
      </c>
      <c r="H1442" s="10" t="inlineStr">
        <is>
          <t>発</t>
        </is>
      </c>
      <c r="J1442" s="10" t="inlineStr">
        <is>
          <t>営業</t>
        </is>
      </c>
      <c r="M1442" t="inlineStr">
        <is>
          <t>12:26:25</t>
        </is>
      </c>
      <c r="Q1442" t="inlineStr">
        <is>
          <t>4</t>
        </is>
      </c>
    </row>
    <row r="1443" ht="15" customHeight="1" s="37">
      <c r="A1443" t="n">
        <v>16</v>
      </c>
      <c r="B1443" s="10" t="inlineStr">
        <is>
          <t>休日</t>
        </is>
      </c>
      <c r="C1443" s="10" t="inlineStr">
        <is>
          <t>北野線</t>
        </is>
      </c>
      <c r="D1443" s="10" t="inlineStr">
        <is>
          <t>上り</t>
        </is>
      </c>
      <c r="E1443" t="inlineStr">
        <is>
          <t>1256</t>
        </is>
      </c>
      <c r="F1443" t="inlineStr">
        <is>
          <t>0354</t>
        </is>
      </c>
      <c r="G1443" s="10" t="inlineStr">
        <is>
          <t>撮影所前</t>
        </is>
      </c>
      <c r="H1443" s="10" t="inlineStr">
        <is>
          <t>発</t>
        </is>
      </c>
      <c r="J1443" s="10" t="inlineStr">
        <is>
          <t>営業</t>
        </is>
      </c>
      <c r="L1443" t="inlineStr">
        <is>
          <t>12:27:25</t>
        </is>
      </c>
      <c r="M1443" t="inlineStr">
        <is>
          <t>12:27:40</t>
        </is>
      </c>
    </row>
    <row r="1444" ht="15" customHeight="1" s="37">
      <c r="A1444" t="n">
        <v>16</v>
      </c>
      <c r="B1444" s="10" t="inlineStr">
        <is>
          <t>休日</t>
        </is>
      </c>
      <c r="C1444" s="10" t="inlineStr">
        <is>
          <t>北野線</t>
        </is>
      </c>
      <c r="D1444" s="10" t="inlineStr">
        <is>
          <t>上り</t>
        </is>
      </c>
      <c r="E1444" t="inlineStr">
        <is>
          <t>1256</t>
        </is>
      </c>
      <c r="F1444" t="inlineStr">
        <is>
          <t>0354</t>
        </is>
      </c>
      <c r="G1444" s="10" t="inlineStr">
        <is>
          <t>常盤</t>
        </is>
      </c>
      <c r="H1444" s="10" t="inlineStr">
        <is>
          <t>発</t>
        </is>
      </c>
      <c r="J1444" s="10" t="inlineStr">
        <is>
          <t>営業</t>
        </is>
      </c>
      <c r="L1444" t="inlineStr">
        <is>
          <t>12:29:00</t>
        </is>
      </c>
      <c r="M1444" t="inlineStr">
        <is>
          <t>12:29:20</t>
        </is>
      </c>
    </row>
    <row r="1445" ht="15" customHeight="1" s="37">
      <c r="A1445" t="n">
        <v>16</v>
      </c>
      <c r="B1445" s="10" t="inlineStr">
        <is>
          <t>休日</t>
        </is>
      </c>
      <c r="C1445" s="10" t="inlineStr">
        <is>
          <t>北野線</t>
        </is>
      </c>
      <c r="D1445" s="10" t="inlineStr">
        <is>
          <t>上り</t>
        </is>
      </c>
      <c r="E1445" t="inlineStr">
        <is>
          <t>1256</t>
        </is>
      </c>
      <c r="F1445" t="inlineStr">
        <is>
          <t>0354</t>
        </is>
      </c>
      <c r="G1445" s="10" t="inlineStr">
        <is>
          <t>鳴滝</t>
        </is>
      </c>
      <c r="H1445" s="10" t="inlineStr">
        <is>
          <t>発</t>
        </is>
      </c>
      <c r="J1445" s="10" t="inlineStr">
        <is>
          <t>営業</t>
        </is>
      </c>
      <c r="L1445" t="inlineStr">
        <is>
          <t>12:30:20</t>
        </is>
      </c>
      <c r="M1445" t="inlineStr">
        <is>
          <t>12:30:40</t>
        </is>
      </c>
    </row>
    <row r="1446" ht="15" customHeight="1" s="37">
      <c r="A1446" t="n">
        <v>16</v>
      </c>
      <c r="B1446" s="10" t="inlineStr">
        <is>
          <t>休日</t>
        </is>
      </c>
      <c r="C1446" s="10" t="inlineStr">
        <is>
          <t>北野線</t>
        </is>
      </c>
      <c r="D1446" s="10" t="inlineStr">
        <is>
          <t>上り</t>
        </is>
      </c>
      <c r="E1446" t="inlineStr">
        <is>
          <t>1256</t>
        </is>
      </c>
      <c r="F1446" t="inlineStr">
        <is>
          <t>0354</t>
        </is>
      </c>
      <c r="G1446" s="10" t="inlineStr">
        <is>
          <t>宇多野</t>
        </is>
      </c>
      <c r="H1446" s="10" t="inlineStr">
        <is>
          <t>発</t>
        </is>
      </c>
      <c r="J1446" s="10" t="inlineStr">
        <is>
          <t>営業</t>
        </is>
      </c>
      <c r="L1446" t="inlineStr">
        <is>
          <t>12:32:00</t>
        </is>
      </c>
      <c r="M1446" t="inlineStr">
        <is>
          <t>12:32:15</t>
        </is>
      </c>
    </row>
    <row r="1447" ht="15" customHeight="1" s="37">
      <c r="A1447" t="n">
        <v>16</v>
      </c>
      <c r="B1447" s="10" t="inlineStr">
        <is>
          <t>休日</t>
        </is>
      </c>
      <c r="C1447" s="10" t="inlineStr">
        <is>
          <t>北野線</t>
        </is>
      </c>
      <c r="D1447" s="10" t="inlineStr">
        <is>
          <t>上り</t>
        </is>
      </c>
      <c r="E1447" t="inlineStr">
        <is>
          <t>1256</t>
        </is>
      </c>
      <c r="F1447" t="inlineStr">
        <is>
          <t>0354</t>
        </is>
      </c>
      <c r="G1447" s="10" t="inlineStr">
        <is>
          <t>御室仁和寺</t>
        </is>
      </c>
      <c r="H1447" s="10" t="inlineStr">
        <is>
          <t>発</t>
        </is>
      </c>
      <c r="J1447" s="10" t="inlineStr">
        <is>
          <t>営業</t>
        </is>
      </c>
      <c r="L1447" t="inlineStr">
        <is>
          <t>12:33:15</t>
        </is>
      </c>
      <c r="M1447" t="inlineStr">
        <is>
          <t>12:33:35</t>
        </is>
      </c>
    </row>
    <row r="1448" ht="15" customHeight="1" s="37">
      <c r="A1448" t="n">
        <v>16</v>
      </c>
      <c r="B1448" s="10" t="inlineStr">
        <is>
          <t>休日</t>
        </is>
      </c>
      <c r="C1448" s="10" t="inlineStr">
        <is>
          <t>北野線</t>
        </is>
      </c>
      <c r="D1448" s="10" t="inlineStr">
        <is>
          <t>上り</t>
        </is>
      </c>
      <c r="E1448" t="inlineStr">
        <is>
          <t>1256</t>
        </is>
      </c>
      <c r="F1448" t="inlineStr">
        <is>
          <t>0354</t>
        </is>
      </c>
      <c r="G1448" s="10" t="inlineStr">
        <is>
          <t>妙心寺</t>
        </is>
      </c>
      <c r="H1448" s="10" t="inlineStr">
        <is>
          <t>発</t>
        </is>
      </c>
      <c r="J1448" s="10" t="inlineStr">
        <is>
          <t>営業</t>
        </is>
      </c>
      <c r="L1448" t="inlineStr">
        <is>
          <t>12:34:35</t>
        </is>
      </c>
      <c r="M1448" t="inlineStr">
        <is>
          <t>12:34:50</t>
        </is>
      </c>
    </row>
    <row r="1449" ht="15" customHeight="1" s="37">
      <c r="A1449" t="n">
        <v>16</v>
      </c>
      <c r="B1449" s="10" t="inlineStr">
        <is>
          <t>休日</t>
        </is>
      </c>
      <c r="C1449" s="10" t="inlineStr">
        <is>
          <t>北野線</t>
        </is>
      </c>
      <c r="D1449" s="10" t="inlineStr">
        <is>
          <t>上り</t>
        </is>
      </c>
      <c r="E1449" t="inlineStr">
        <is>
          <t>1256</t>
        </is>
      </c>
      <c r="F1449" t="inlineStr">
        <is>
          <t>0354</t>
        </is>
      </c>
      <c r="G1449" s="10" t="inlineStr">
        <is>
          <t>龍安寺</t>
        </is>
      </c>
      <c r="H1449" s="10" t="inlineStr">
        <is>
          <t>発</t>
        </is>
      </c>
      <c r="J1449" s="10" t="inlineStr">
        <is>
          <t>営業</t>
        </is>
      </c>
      <c r="L1449" t="inlineStr">
        <is>
          <t>12:35:45</t>
        </is>
      </c>
      <c r="M1449" t="inlineStr">
        <is>
          <t>12:35:55</t>
        </is>
      </c>
    </row>
    <row r="1450" ht="15" customHeight="1" s="37">
      <c r="A1450" t="n">
        <v>16</v>
      </c>
      <c r="B1450" s="10" t="inlineStr">
        <is>
          <t>休日</t>
        </is>
      </c>
      <c r="C1450" s="10" t="inlineStr">
        <is>
          <t>北野線</t>
        </is>
      </c>
      <c r="D1450" s="10" t="inlineStr">
        <is>
          <t>上り</t>
        </is>
      </c>
      <c r="E1450" t="inlineStr">
        <is>
          <t>1256</t>
        </is>
      </c>
      <c r="F1450" t="inlineStr">
        <is>
          <t>0354</t>
        </is>
      </c>
      <c r="G1450" s="10" t="inlineStr">
        <is>
          <t>等持院</t>
        </is>
      </c>
      <c r="H1450" s="10" t="inlineStr">
        <is>
          <t>発</t>
        </is>
      </c>
      <c r="J1450" s="10" t="inlineStr">
        <is>
          <t>営業</t>
        </is>
      </c>
      <c r="L1450" t="inlineStr">
        <is>
          <t>12:36:35</t>
        </is>
      </c>
      <c r="M1450" t="inlineStr">
        <is>
          <t>12:36:55</t>
        </is>
      </c>
    </row>
    <row r="1451" ht="15" customHeight="1" s="37">
      <c r="A1451" t="n">
        <v>16</v>
      </c>
      <c r="B1451" s="10" t="inlineStr">
        <is>
          <t>休日</t>
        </is>
      </c>
      <c r="C1451" s="10" t="inlineStr">
        <is>
          <t>北野線</t>
        </is>
      </c>
      <c r="D1451" s="10" t="inlineStr">
        <is>
          <t>上り</t>
        </is>
      </c>
      <c r="E1451" t="inlineStr">
        <is>
          <t>1256</t>
        </is>
      </c>
      <c r="F1451" t="inlineStr">
        <is>
          <t>0354</t>
        </is>
      </c>
      <c r="G1451" s="10" t="inlineStr">
        <is>
          <t>北野白梅町</t>
        </is>
      </c>
      <c r="H1451" s="10" t="inlineStr">
        <is>
          <t>着</t>
        </is>
      </c>
      <c r="J1451" s="10" t="inlineStr">
        <is>
          <t>営業</t>
        </is>
      </c>
      <c r="L1451" t="inlineStr">
        <is>
          <t>12:38:15</t>
        </is>
      </c>
      <c r="Q1451" t="inlineStr">
        <is>
          <t>1</t>
        </is>
      </c>
    </row>
    <row r="1452" ht="15" customHeight="1" s="37">
      <c r="A1452" t="n">
        <v>16</v>
      </c>
      <c r="B1452" s="10" t="inlineStr">
        <is>
          <t>休日</t>
        </is>
      </c>
      <c r="C1452" s="10" t="inlineStr">
        <is>
          <t>北野線</t>
        </is>
      </c>
      <c r="D1452" s="10" t="inlineStr">
        <is>
          <t>下り</t>
        </is>
      </c>
      <c r="E1452" t="inlineStr">
        <is>
          <t>1259</t>
        </is>
      </c>
      <c r="F1452" t="inlineStr">
        <is>
          <t>0453</t>
        </is>
      </c>
      <c r="G1452" s="10" t="inlineStr">
        <is>
          <t>北野白梅町</t>
        </is>
      </c>
      <c r="H1452" s="10" t="inlineStr">
        <is>
          <t>発</t>
        </is>
      </c>
      <c r="J1452" s="10" t="inlineStr">
        <is>
          <t>営業</t>
        </is>
      </c>
      <c r="M1452" t="inlineStr">
        <is>
          <t>12:43:00</t>
        </is>
      </c>
      <c r="Q1452" t="inlineStr">
        <is>
          <t>1</t>
        </is>
      </c>
    </row>
    <row r="1453" ht="15" customHeight="1" s="37">
      <c r="A1453" t="n">
        <v>16</v>
      </c>
      <c r="B1453" s="10" t="inlineStr">
        <is>
          <t>休日</t>
        </is>
      </c>
      <c r="C1453" s="10" t="inlineStr">
        <is>
          <t>北野線</t>
        </is>
      </c>
      <c r="D1453" s="10" t="inlineStr">
        <is>
          <t>下り</t>
        </is>
      </c>
      <c r="E1453" t="inlineStr">
        <is>
          <t>1259</t>
        </is>
      </c>
      <c r="F1453" t="inlineStr">
        <is>
          <t>0453</t>
        </is>
      </c>
      <c r="G1453" s="10" t="inlineStr">
        <is>
          <t>等持院</t>
        </is>
      </c>
      <c r="H1453" s="10" t="inlineStr">
        <is>
          <t>発</t>
        </is>
      </c>
      <c r="J1453" s="10" t="inlineStr">
        <is>
          <t>営業</t>
        </is>
      </c>
      <c r="L1453" t="inlineStr">
        <is>
          <t>12:44:25</t>
        </is>
      </c>
      <c r="M1453" t="inlineStr">
        <is>
          <t>12:44:35</t>
        </is>
      </c>
    </row>
    <row r="1454" ht="15" customHeight="1" s="37">
      <c r="A1454" t="n">
        <v>16</v>
      </c>
      <c r="B1454" s="10" t="inlineStr">
        <is>
          <t>休日</t>
        </is>
      </c>
      <c r="C1454" s="10" t="inlineStr">
        <is>
          <t>北野線</t>
        </is>
      </c>
      <c r="D1454" s="10" t="inlineStr">
        <is>
          <t>下り</t>
        </is>
      </c>
      <c r="E1454" t="inlineStr">
        <is>
          <t>1259</t>
        </is>
      </c>
      <c r="F1454" t="inlineStr">
        <is>
          <t>0453</t>
        </is>
      </c>
      <c r="G1454" s="10" t="inlineStr">
        <is>
          <t>龍安寺</t>
        </is>
      </c>
      <c r="H1454" s="10" t="inlineStr">
        <is>
          <t>発</t>
        </is>
      </c>
      <c r="J1454" s="10" t="inlineStr">
        <is>
          <t>営業</t>
        </is>
      </c>
      <c r="L1454" t="inlineStr">
        <is>
          <t>12:45:25</t>
        </is>
      </c>
      <c r="M1454" t="inlineStr">
        <is>
          <t>12:45:50</t>
        </is>
      </c>
    </row>
    <row r="1455" ht="15" customHeight="1" s="37">
      <c r="A1455" t="n">
        <v>16</v>
      </c>
      <c r="B1455" s="10" t="inlineStr">
        <is>
          <t>休日</t>
        </is>
      </c>
      <c r="C1455" s="10" t="inlineStr">
        <is>
          <t>北野線</t>
        </is>
      </c>
      <c r="D1455" s="10" t="inlineStr">
        <is>
          <t>下り</t>
        </is>
      </c>
      <c r="E1455" t="inlineStr">
        <is>
          <t>1259</t>
        </is>
      </c>
      <c r="F1455" t="inlineStr">
        <is>
          <t>0453</t>
        </is>
      </c>
      <c r="G1455" s="10" t="inlineStr">
        <is>
          <t>妙心寺</t>
        </is>
      </c>
      <c r="H1455" s="10" t="inlineStr">
        <is>
          <t>発</t>
        </is>
      </c>
      <c r="J1455" s="10" t="inlineStr">
        <is>
          <t>営業</t>
        </is>
      </c>
      <c r="L1455" t="inlineStr">
        <is>
          <t>12:46:40</t>
        </is>
      </c>
      <c r="M1455" t="inlineStr">
        <is>
          <t>12:46:50</t>
        </is>
      </c>
    </row>
    <row r="1456" ht="15" customHeight="1" s="37">
      <c r="A1456" t="n">
        <v>16</v>
      </c>
      <c r="B1456" s="10" t="inlineStr">
        <is>
          <t>休日</t>
        </is>
      </c>
      <c r="C1456" s="10" t="inlineStr">
        <is>
          <t>北野線</t>
        </is>
      </c>
      <c r="D1456" s="10" t="inlineStr">
        <is>
          <t>下り</t>
        </is>
      </c>
      <c r="E1456" t="inlineStr">
        <is>
          <t>1259</t>
        </is>
      </c>
      <c r="F1456" t="inlineStr">
        <is>
          <t>0453</t>
        </is>
      </c>
      <c r="G1456" s="10" t="inlineStr">
        <is>
          <t>御室仁和寺</t>
        </is>
      </c>
      <c r="H1456" s="10" t="inlineStr">
        <is>
          <t>発</t>
        </is>
      </c>
      <c r="J1456" s="10" t="inlineStr">
        <is>
          <t>営業</t>
        </is>
      </c>
      <c r="L1456" t="inlineStr">
        <is>
          <t>12:47:50</t>
        </is>
      </c>
      <c r="M1456" t="inlineStr">
        <is>
          <t>12:48:05</t>
        </is>
      </c>
    </row>
    <row r="1457" ht="15" customHeight="1" s="37">
      <c r="A1457" t="n">
        <v>16</v>
      </c>
      <c r="B1457" s="10" t="inlineStr">
        <is>
          <t>休日</t>
        </is>
      </c>
      <c r="C1457" s="10" t="inlineStr">
        <is>
          <t>北野線</t>
        </is>
      </c>
      <c r="D1457" s="10" t="inlineStr">
        <is>
          <t>下り</t>
        </is>
      </c>
      <c r="E1457" t="inlineStr">
        <is>
          <t>1259</t>
        </is>
      </c>
      <c r="F1457" t="inlineStr">
        <is>
          <t>0453</t>
        </is>
      </c>
      <c r="G1457" s="10" t="inlineStr">
        <is>
          <t>宇多野</t>
        </is>
      </c>
      <c r="H1457" s="10" t="inlineStr">
        <is>
          <t>発</t>
        </is>
      </c>
      <c r="J1457" s="10" t="inlineStr">
        <is>
          <t>営業</t>
        </is>
      </c>
      <c r="L1457" t="inlineStr">
        <is>
          <t>12:49:05</t>
        </is>
      </c>
      <c r="M1457" t="inlineStr">
        <is>
          <t>12:49:15</t>
        </is>
      </c>
    </row>
    <row r="1458" ht="15" customHeight="1" s="37">
      <c r="A1458" t="n">
        <v>16</v>
      </c>
      <c r="B1458" s="10" t="inlineStr">
        <is>
          <t>休日</t>
        </is>
      </c>
      <c r="C1458" s="10" t="inlineStr">
        <is>
          <t>北野線</t>
        </is>
      </c>
      <c r="D1458" s="10" t="inlineStr">
        <is>
          <t>下り</t>
        </is>
      </c>
      <c r="E1458" t="inlineStr">
        <is>
          <t>1259</t>
        </is>
      </c>
      <c r="F1458" t="inlineStr">
        <is>
          <t>0453</t>
        </is>
      </c>
      <c r="G1458" s="10" t="inlineStr">
        <is>
          <t>鳴滝</t>
        </is>
      </c>
      <c r="H1458" s="10" t="inlineStr">
        <is>
          <t>発</t>
        </is>
      </c>
      <c r="J1458" s="10" t="inlineStr">
        <is>
          <t>営業</t>
        </is>
      </c>
      <c r="L1458" t="inlineStr">
        <is>
          <t>12:50:35</t>
        </is>
      </c>
      <c r="M1458" t="inlineStr">
        <is>
          <t>12:50:45</t>
        </is>
      </c>
    </row>
    <row r="1459" ht="15" customHeight="1" s="37">
      <c r="A1459" t="n">
        <v>16</v>
      </c>
      <c r="B1459" s="10" t="inlineStr">
        <is>
          <t>休日</t>
        </is>
      </c>
      <c r="C1459" s="10" t="inlineStr">
        <is>
          <t>北野線</t>
        </is>
      </c>
      <c r="D1459" s="10" t="inlineStr">
        <is>
          <t>下り</t>
        </is>
      </c>
      <c r="E1459" t="inlineStr">
        <is>
          <t>1259</t>
        </is>
      </c>
      <c r="F1459" t="inlineStr">
        <is>
          <t>0453</t>
        </is>
      </c>
      <c r="G1459" s="10" t="inlineStr">
        <is>
          <t>常盤</t>
        </is>
      </c>
      <c r="H1459" s="10" t="inlineStr">
        <is>
          <t>発</t>
        </is>
      </c>
      <c r="J1459" s="10" t="inlineStr">
        <is>
          <t>営業</t>
        </is>
      </c>
      <c r="L1459" t="inlineStr">
        <is>
          <t>12:51:35</t>
        </is>
      </c>
      <c r="M1459" t="inlineStr">
        <is>
          <t>12:51:55</t>
        </is>
      </c>
    </row>
    <row r="1460" ht="15" customHeight="1" s="37">
      <c r="A1460" t="n">
        <v>16</v>
      </c>
      <c r="B1460" s="10" t="inlineStr">
        <is>
          <t>休日</t>
        </is>
      </c>
      <c r="C1460" s="10" t="inlineStr">
        <is>
          <t>北野線</t>
        </is>
      </c>
      <c r="D1460" s="10" t="inlineStr">
        <is>
          <t>下り</t>
        </is>
      </c>
      <c r="E1460" t="inlineStr">
        <is>
          <t>1259</t>
        </is>
      </c>
      <c r="F1460" t="inlineStr">
        <is>
          <t>0453</t>
        </is>
      </c>
      <c r="G1460" s="10" t="inlineStr">
        <is>
          <t>撮影所前</t>
        </is>
      </c>
      <c r="H1460" s="10" t="inlineStr">
        <is>
          <t>発</t>
        </is>
      </c>
      <c r="J1460" s="10" t="inlineStr">
        <is>
          <t>営業</t>
        </is>
      </c>
      <c r="L1460" t="inlineStr">
        <is>
          <t>12:53:15</t>
        </is>
      </c>
      <c r="M1460" t="inlineStr">
        <is>
          <t>12:53:30</t>
        </is>
      </c>
    </row>
    <row r="1461" ht="15" customHeight="1" s="37">
      <c r="A1461" t="n">
        <v>16</v>
      </c>
      <c r="B1461" s="10" t="inlineStr">
        <is>
          <t>休日</t>
        </is>
      </c>
      <c r="C1461" s="10" t="inlineStr">
        <is>
          <t>北野線</t>
        </is>
      </c>
      <c r="D1461" s="10" t="inlineStr">
        <is>
          <t>下り</t>
        </is>
      </c>
      <c r="E1461" t="inlineStr">
        <is>
          <t>1259</t>
        </is>
      </c>
      <c r="F1461" t="inlineStr">
        <is>
          <t>0453</t>
        </is>
      </c>
      <c r="G1461" s="10" t="inlineStr">
        <is>
          <t>帷子ノ辻</t>
        </is>
      </c>
      <c r="H1461" s="10" t="inlineStr">
        <is>
          <t>着</t>
        </is>
      </c>
      <c r="J1461" s="10" t="inlineStr">
        <is>
          <t>営業</t>
        </is>
      </c>
      <c r="L1461" t="inlineStr">
        <is>
          <t>12:54:25</t>
        </is>
      </c>
      <c r="Q1461" t="inlineStr">
        <is>
          <t>4</t>
        </is>
      </c>
    </row>
    <row r="1462" ht="15" customHeight="1" s="37">
      <c r="A1462" t="n">
        <v>16</v>
      </c>
      <c r="B1462" s="10" t="inlineStr">
        <is>
          <t>休日</t>
        </is>
      </c>
      <c r="C1462" s="10" t="inlineStr">
        <is>
          <t>北野線</t>
        </is>
      </c>
      <c r="D1462" s="10" t="inlineStr">
        <is>
          <t>上り</t>
        </is>
      </c>
      <c r="E1462" t="inlineStr">
        <is>
          <t>1352</t>
        </is>
      </c>
      <c r="F1462" t="inlineStr">
        <is>
          <t>0354</t>
        </is>
      </c>
      <c r="G1462" s="10" t="inlineStr">
        <is>
          <t>帷子ノ辻</t>
        </is>
      </c>
      <c r="H1462" s="10" t="inlineStr">
        <is>
          <t>発</t>
        </is>
      </c>
      <c r="J1462" s="10" t="inlineStr">
        <is>
          <t>営業</t>
        </is>
      </c>
      <c r="M1462" t="inlineStr">
        <is>
          <t>13:06:25</t>
        </is>
      </c>
      <c r="Q1462" t="inlineStr">
        <is>
          <t>4</t>
        </is>
      </c>
    </row>
    <row r="1463" ht="15" customHeight="1" s="37">
      <c r="A1463" t="n">
        <v>16</v>
      </c>
      <c r="B1463" s="10" t="inlineStr">
        <is>
          <t>休日</t>
        </is>
      </c>
      <c r="C1463" s="10" t="inlineStr">
        <is>
          <t>北野線</t>
        </is>
      </c>
      <c r="D1463" s="10" t="inlineStr">
        <is>
          <t>上り</t>
        </is>
      </c>
      <c r="E1463" t="inlineStr">
        <is>
          <t>1352</t>
        </is>
      </c>
      <c r="F1463" t="inlineStr">
        <is>
          <t>0354</t>
        </is>
      </c>
      <c r="G1463" s="10" t="inlineStr">
        <is>
          <t>撮影所前</t>
        </is>
      </c>
      <c r="H1463" s="10" t="inlineStr">
        <is>
          <t>発</t>
        </is>
      </c>
      <c r="J1463" s="10" t="inlineStr">
        <is>
          <t>営業</t>
        </is>
      </c>
      <c r="L1463" t="inlineStr">
        <is>
          <t>13:07:25</t>
        </is>
      </c>
      <c r="M1463" t="inlineStr">
        <is>
          <t>13:07:40</t>
        </is>
      </c>
    </row>
    <row r="1464" ht="15" customHeight="1" s="37">
      <c r="A1464" t="n">
        <v>16</v>
      </c>
      <c r="B1464" s="10" t="inlineStr">
        <is>
          <t>休日</t>
        </is>
      </c>
      <c r="C1464" s="10" t="inlineStr">
        <is>
          <t>北野線</t>
        </is>
      </c>
      <c r="D1464" s="10" t="inlineStr">
        <is>
          <t>上り</t>
        </is>
      </c>
      <c r="E1464" t="inlineStr">
        <is>
          <t>1352</t>
        </is>
      </c>
      <c r="F1464" t="inlineStr">
        <is>
          <t>0354</t>
        </is>
      </c>
      <c r="G1464" s="10" t="inlineStr">
        <is>
          <t>常盤</t>
        </is>
      </c>
      <c r="H1464" s="10" t="inlineStr">
        <is>
          <t>発</t>
        </is>
      </c>
      <c r="J1464" s="10" t="inlineStr">
        <is>
          <t>営業</t>
        </is>
      </c>
      <c r="L1464" t="inlineStr">
        <is>
          <t>13:09:00</t>
        </is>
      </c>
      <c r="M1464" t="inlineStr">
        <is>
          <t>13:09:20</t>
        </is>
      </c>
    </row>
    <row r="1465" ht="15" customHeight="1" s="37">
      <c r="A1465" t="n">
        <v>16</v>
      </c>
      <c r="B1465" s="10" t="inlineStr">
        <is>
          <t>休日</t>
        </is>
      </c>
      <c r="C1465" s="10" t="inlineStr">
        <is>
          <t>北野線</t>
        </is>
      </c>
      <c r="D1465" s="10" t="inlineStr">
        <is>
          <t>上り</t>
        </is>
      </c>
      <c r="E1465" t="inlineStr">
        <is>
          <t>1352</t>
        </is>
      </c>
      <c r="F1465" t="inlineStr">
        <is>
          <t>0354</t>
        </is>
      </c>
      <c r="G1465" s="10" t="inlineStr">
        <is>
          <t>鳴滝</t>
        </is>
      </c>
      <c r="H1465" s="10" t="inlineStr">
        <is>
          <t>発</t>
        </is>
      </c>
      <c r="J1465" s="10" t="inlineStr">
        <is>
          <t>営業</t>
        </is>
      </c>
      <c r="L1465" t="inlineStr">
        <is>
          <t>13:10:20</t>
        </is>
      </c>
      <c r="M1465" t="inlineStr">
        <is>
          <t>13:10:40</t>
        </is>
      </c>
    </row>
    <row r="1466" ht="15" customHeight="1" s="37">
      <c r="A1466" t="n">
        <v>16</v>
      </c>
      <c r="B1466" s="10" t="inlineStr">
        <is>
          <t>休日</t>
        </is>
      </c>
      <c r="C1466" s="10" t="inlineStr">
        <is>
          <t>北野線</t>
        </is>
      </c>
      <c r="D1466" s="10" t="inlineStr">
        <is>
          <t>上り</t>
        </is>
      </c>
      <c r="E1466" t="inlineStr">
        <is>
          <t>1352</t>
        </is>
      </c>
      <c r="F1466" t="inlineStr">
        <is>
          <t>0354</t>
        </is>
      </c>
      <c r="G1466" s="10" t="inlineStr">
        <is>
          <t>宇多野</t>
        </is>
      </c>
      <c r="H1466" s="10" t="inlineStr">
        <is>
          <t>発</t>
        </is>
      </c>
      <c r="J1466" s="10" t="inlineStr">
        <is>
          <t>営業</t>
        </is>
      </c>
      <c r="L1466" t="inlineStr">
        <is>
          <t>13:12:00</t>
        </is>
      </c>
      <c r="M1466" t="inlineStr">
        <is>
          <t>13:12:15</t>
        </is>
      </c>
    </row>
    <row r="1467" ht="15" customHeight="1" s="37">
      <c r="A1467" t="n">
        <v>16</v>
      </c>
      <c r="B1467" s="10" t="inlineStr">
        <is>
          <t>休日</t>
        </is>
      </c>
      <c r="C1467" s="10" t="inlineStr">
        <is>
          <t>北野線</t>
        </is>
      </c>
      <c r="D1467" s="10" t="inlineStr">
        <is>
          <t>上り</t>
        </is>
      </c>
      <c r="E1467" t="inlineStr">
        <is>
          <t>1352</t>
        </is>
      </c>
      <c r="F1467" t="inlineStr">
        <is>
          <t>0354</t>
        </is>
      </c>
      <c r="G1467" s="10" t="inlineStr">
        <is>
          <t>御室仁和寺</t>
        </is>
      </c>
      <c r="H1467" s="10" t="inlineStr">
        <is>
          <t>発</t>
        </is>
      </c>
      <c r="J1467" s="10" t="inlineStr">
        <is>
          <t>営業</t>
        </is>
      </c>
      <c r="L1467" t="inlineStr">
        <is>
          <t>13:13:15</t>
        </is>
      </c>
      <c r="M1467" t="inlineStr">
        <is>
          <t>13:13:35</t>
        </is>
      </c>
    </row>
    <row r="1468" ht="15" customHeight="1" s="37">
      <c r="A1468" t="n">
        <v>16</v>
      </c>
      <c r="B1468" s="10" t="inlineStr">
        <is>
          <t>休日</t>
        </is>
      </c>
      <c r="C1468" s="10" t="inlineStr">
        <is>
          <t>北野線</t>
        </is>
      </c>
      <c r="D1468" s="10" t="inlineStr">
        <is>
          <t>上り</t>
        </is>
      </c>
      <c r="E1468" t="inlineStr">
        <is>
          <t>1352</t>
        </is>
      </c>
      <c r="F1468" t="inlineStr">
        <is>
          <t>0354</t>
        </is>
      </c>
      <c r="G1468" s="10" t="inlineStr">
        <is>
          <t>妙心寺</t>
        </is>
      </c>
      <c r="H1468" s="10" t="inlineStr">
        <is>
          <t>発</t>
        </is>
      </c>
      <c r="J1468" s="10" t="inlineStr">
        <is>
          <t>営業</t>
        </is>
      </c>
      <c r="L1468" t="inlineStr">
        <is>
          <t>13:14:35</t>
        </is>
      </c>
      <c r="M1468" t="inlineStr">
        <is>
          <t>13:14:50</t>
        </is>
      </c>
    </row>
    <row r="1469" ht="15" customHeight="1" s="37">
      <c r="A1469" t="n">
        <v>16</v>
      </c>
      <c r="B1469" s="10" t="inlineStr">
        <is>
          <t>休日</t>
        </is>
      </c>
      <c r="C1469" s="10" t="inlineStr">
        <is>
          <t>北野線</t>
        </is>
      </c>
      <c r="D1469" s="10" t="inlineStr">
        <is>
          <t>上り</t>
        </is>
      </c>
      <c r="E1469" t="inlineStr">
        <is>
          <t>1352</t>
        </is>
      </c>
      <c r="F1469" t="inlineStr">
        <is>
          <t>0354</t>
        </is>
      </c>
      <c r="G1469" s="10" t="inlineStr">
        <is>
          <t>龍安寺</t>
        </is>
      </c>
      <c r="H1469" s="10" t="inlineStr">
        <is>
          <t>発</t>
        </is>
      </c>
      <c r="J1469" s="10" t="inlineStr">
        <is>
          <t>営業</t>
        </is>
      </c>
      <c r="L1469" t="inlineStr">
        <is>
          <t>13:15:45</t>
        </is>
      </c>
      <c r="M1469" t="inlineStr">
        <is>
          <t>13:15:55</t>
        </is>
      </c>
    </row>
    <row r="1470" ht="15" customHeight="1" s="37">
      <c r="A1470" t="n">
        <v>16</v>
      </c>
      <c r="B1470" s="10" t="inlineStr">
        <is>
          <t>休日</t>
        </is>
      </c>
      <c r="C1470" s="10" t="inlineStr">
        <is>
          <t>北野線</t>
        </is>
      </c>
      <c r="D1470" s="10" t="inlineStr">
        <is>
          <t>上り</t>
        </is>
      </c>
      <c r="E1470" t="inlineStr">
        <is>
          <t>1352</t>
        </is>
      </c>
      <c r="F1470" t="inlineStr">
        <is>
          <t>0354</t>
        </is>
      </c>
      <c r="G1470" s="10" t="inlineStr">
        <is>
          <t>等持院</t>
        </is>
      </c>
      <c r="H1470" s="10" t="inlineStr">
        <is>
          <t>発</t>
        </is>
      </c>
      <c r="J1470" s="10" t="inlineStr">
        <is>
          <t>営業</t>
        </is>
      </c>
      <c r="L1470" t="inlineStr">
        <is>
          <t>13:16:35</t>
        </is>
      </c>
      <c r="M1470" t="inlineStr">
        <is>
          <t>13:16:55</t>
        </is>
      </c>
    </row>
    <row r="1471" ht="15" customHeight="1" s="37">
      <c r="A1471" t="n">
        <v>16</v>
      </c>
      <c r="B1471" s="10" t="inlineStr">
        <is>
          <t>休日</t>
        </is>
      </c>
      <c r="C1471" s="10" t="inlineStr">
        <is>
          <t>北野線</t>
        </is>
      </c>
      <c r="D1471" s="10" t="inlineStr">
        <is>
          <t>上り</t>
        </is>
      </c>
      <c r="E1471" t="inlineStr">
        <is>
          <t>1352</t>
        </is>
      </c>
      <c r="F1471" t="inlineStr">
        <is>
          <t>0354</t>
        </is>
      </c>
      <c r="G1471" s="10" t="inlineStr">
        <is>
          <t>北野白梅町</t>
        </is>
      </c>
      <c r="H1471" s="10" t="inlineStr">
        <is>
          <t>着</t>
        </is>
      </c>
      <c r="J1471" s="10" t="inlineStr">
        <is>
          <t>営業</t>
        </is>
      </c>
      <c r="L1471" t="inlineStr">
        <is>
          <t>13:18:15</t>
        </is>
      </c>
      <c r="Q1471" t="inlineStr">
        <is>
          <t>1</t>
        </is>
      </c>
    </row>
    <row r="1472" ht="15" customHeight="1" s="37">
      <c r="A1472" t="n">
        <v>16</v>
      </c>
      <c r="B1472" s="10" t="inlineStr">
        <is>
          <t>休日</t>
        </is>
      </c>
      <c r="C1472" s="10" t="inlineStr">
        <is>
          <t>北野線</t>
        </is>
      </c>
      <c r="D1472" s="10" t="inlineStr">
        <is>
          <t>下り</t>
        </is>
      </c>
      <c r="E1472" t="inlineStr">
        <is>
          <t>1355</t>
        </is>
      </c>
      <c r="F1472" t="inlineStr">
        <is>
          <t>0453</t>
        </is>
      </c>
      <c r="G1472" s="10" t="inlineStr">
        <is>
          <t>北野白梅町</t>
        </is>
      </c>
      <c r="H1472" s="10" t="inlineStr">
        <is>
          <t>発</t>
        </is>
      </c>
      <c r="J1472" s="10" t="inlineStr">
        <is>
          <t>営業</t>
        </is>
      </c>
      <c r="M1472" t="inlineStr">
        <is>
          <t>13:23:00</t>
        </is>
      </c>
      <c r="Q1472" t="inlineStr">
        <is>
          <t>1</t>
        </is>
      </c>
    </row>
    <row r="1473" ht="15" customHeight="1" s="37">
      <c r="A1473" t="n">
        <v>16</v>
      </c>
      <c r="B1473" s="10" t="inlineStr">
        <is>
          <t>休日</t>
        </is>
      </c>
      <c r="C1473" s="10" t="inlineStr">
        <is>
          <t>北野線</t>
        </is>
      </c>
      <c r="D1473" s="10" t="inlineStr">
        <is>
          <t>下り</t>
        </is>
      </c>
      <c r="E1473" t="inlineStr">
        <is>
          <t>1355</t>
        </is>
      </c>
      <c r="F1473" t="inlineStr">
        <is>
          <t>0453</t>
        </is>
      </c>
      <c r="G1473" s="10" t="inlineStr">
        <is>
          <t>等持院</t>
        </is>
      </c>
      <c r="H1473" s="10" t="inlineStr">
        <is>
          <t>発</t>
        </is>
      </c>
      <c r="J1473" s="10" t="inlineStr">
        <is>
          <t>営業</t>
        </is>
      </c>
      <c r="L1473" t="inlineStr">
        <is>
          <t>13:24:25</t>
        </is>
      </c>
      <c r="M1473" t="inlineStr">
        <is>
          <t>13:24:35</t>
        </is>
      </c>
    </row>
    <row r="1474" ht="15" customHeight="1" s="37">
      <c r="A1474" t="n">
        <v>16</v>
      </c>
      <c r="B1474" s="10" t="inlineStr">
        <is>
          <t>休日</t>
        </is>
      </c>
      <c r="C1474" s="10" t="inlineStr">
        <is>
          <t>北野線</t>
        </is>
      </c>
      <c r="D1474" s="10" t="inlineStr">
        <is>
          <t>下り</t>
        </is>
      </c>
      <c r="E1474" t="inlineStr">
        <is>
          <t>1355</t>
        </is>
      </c>
      <c r="F1474" t="inlineStr">
        <is>
          <t>0453</t>
        </is>
      </c>
      <c r="G1474" s="10" t="inlineStr">
        <is>
          <t>龍安寺</t>
        </is>
      </c>
      <c r="H1474" s="10" t="inlineStr">
        <is>
          <t>発</t>
        </is>
      </c>
      <c r="J1474" s="10" t="inlineStr">
        <is>
          <t>営業</t>
        </is>
      </c>
      <c r="L1474" t="inlineStr">
        <is>
          <t>13:25:25</t>
        </is>
      </c>
      <c r="M1474" t="inlineStr">
        <is>
          <t>13:25:50</t>
        </is>
      </c>
    </row>
    <row r="1475" ht="15" customHeight="1" s="37">
      <c r="A1475" t="n">
        <v>16</v>
      </c>
      <c r="B1475" s="10" t="inlineStr">
        <is>
          <t>休日</t>
        </is>
      </c>
      <c r="C1475" s="10" t="inlineStr">
        <is>
          <t>北野線</t>
        </is>
      </c>
      <c r="D1475" s="10" t="inlineStr">
        <is>
          <t>下り</t>
        </is>
      </c>
      <c r="E1475" t="inlineStr">
        <is>
          <t>1355</t>
        </is>
      </c>
      <c r="F1475" t="inlineStr">
        <is>
          <t>0453</t>
        </is>
      </c>
      <c r="G1475" s="10" t="inlineStr">
        <is>
          <t>妙心寺</t>
        </is>
      </c>
      <c r="H1475" s="10" t="inlineStr">
        <is>
          <t>発</t>
        </is>
      </c>
      <c r="J1475" s="10" t="inlineStr">
        <is>
          <t>営業</t>
        </is>
      </c>
      <c r="L1475" t="inlineStr">
        <is>
          <t>13:26:40</t>
        </is>
      </c>
      <c r="M1475" t="inlineStr">
        <is>
          <t>13:26:50</t>
        </is>
      </c>
    </row>
    <row r="1476" ht="15" customHeight="1" s="37">
      <c r="A1476" t="n">
        <v>16</v>
      </c>
      <c r="B1476" s="10" t="inlineStr">
        <is>
          <t>休日</t>
        </is>
      </c>
      <c r="C1476" s="10" t="inlineStr">
        <is>
          <t>北野線</t>
        </is>
      </c>
      <c r="D1476" s="10" t="inlineStr">
        <is>
          <t>下り</t>
        </is>
      </c>
      <c r="E1476" t="inlineStr">
        <is>
          <t>1355</t>
        </is>
      </c>
      <c r="F1476" t="inlineStr">
        <is>
          <t>0453</t>
        </is>
      </c>
      <c r="G1476" s="10" t="inlineStr">
        <is>
          <t>御室仁和寺</t>
        </is>
      </c>
      <c r="H1476" s="10" t="inlineStr">
        <is>
          <t>発</t>
        </is>
      </c>
      <c r="J1476" s="10" t="inlineStr">
        <is>
          <t>営業</t>
        </is>
      </c>
      <c r="L1476" t="inlineStr">
        <is>
          <t>13:27:50</t>
        </is>
      </c>
      <c r="M1476" t="inlineStr">
        <is>
          <t>13:28:05</t>
        </is>
      </c>
    </row>
    <row r="1477" ht="15" customHeight="1" s="37">
      <c r="A1477" t="n">
        <v>16</v>
      </c>
      <c r="B1477" s="10" t="inlineStr">
        <is>
          <t>休日</t>
        </is>
      </c>
      <c r="C1477" s="10" t="inlineStr">
        <is>
          <t>北野線</t>
        </is>
      </c>
      <c r="D1477" s="10" t="inlineStr">
        <is>
          <t>下り</t>
        </is>
      </c>
      <c r="E1477" t="inlineStr">
        <is>
          <t>1355</t>
        </is>
      </c>
      <c r="F1477" t="inlineStr">
        <is>
          <t>0453</t>
        </is>
      </c>
      <c r="G1477" s="10" t="inlineStr">
        <is>
          <t>宇多野</t>
        </is>
      </c>
      <c r="H1477" s="10" t="inlineStr">
        <is>
          <t>発</t>
        </is>
      </c>
      <c r="J1477" s="10" t="inlineStr">
        <is>
          <t>営業</t>
        </is>
      </c>
      <c r="L1477" t="inlineStr">
        <is>
          <t>13:29:05</t>
        </is>
      </c>
      <c r="M1477" t="inlineStr">
        <is>
          <t>13:29:15</t>
        </is>
      </c>
    </row>
    <row r="1478" ht="15" customHeight="1" s="37">
      <c r="A1478" t="n">
        <v>16</v>
      </c>
      <c r="B1478" s="10" t="inlineStr">
        <is>
          <t>休日</t>
        </is>
      </c>
      <c r="C1478" s="10" t="inlineStr">
        <is>
          <t>北野線</t>
        </is>
      </c>
      <c r="D1478" s="10" t="inlineStr">
        <is>
          <t>下り</t>
        </is>
      </c>
      <c r="E1478" t="inlineStr">
        <is>
          <t>1355</t>
        </is>
      </c>
      <c r="F1478" t="inlineStr">
        <is>
          <t>0453</t>
        </is>
      </c>
      <c r="G1478" s="10" t="inlineStr">
        <is>
          <t>鳴滝</t>
        </is>
      </c>
      <c r="H1478" s="10" t="inlineStr">
        <is>
          <t>発</t>
        </is>
      </c>
      <c r="J1478" s="10" t="inlineStr">
        <is>
          <t>営業</t>
        </is>
      </c>
      <c r="L1478" t="inlineStr">
        <is>
          <t>13:30:35</t>
        </is>
      </c>
      <c r="M1478" t="inlineStr">
        <is>
          <t>13:30:45</t>
        </is>
      </c>
    </row>
    <row r="1479" ht="15" customHeight="1" s="37">
      <c r="A1479" t="n">
        <v>16</v>
      </c>
      <c r="B1479" s="10" t="inlineStr">
        <is>
          <t>休日</t>
        </is>
      </c>
      <c r="C1479" s="10" t="inlineStr">
        <is>
          <t>北野線</t>
        </is>
      </c>
      <c r="D1479" s="10" t="inlineStr">
        <is>
          <t>下り</t>
        </is>
      </c>
      <c r="E1479" t="inlineStr">
        <is>
          <t>1355</t>
        </is>
      </c>
      <c r="F1479" t="inlineStr">
        <is>
          <t>0453</t>
        </is>
      </c>
      <c r="G1479" s="10" t="inlineStr">
        <is>
          <t>常盤</t>
        </is>
      </c>
      <c r="H1479" s="10" t="inlineStr">
        <is>
          <t>発</t>
        </is>
      </c>
      <c r="J1479" s="10" t="inlineStr">
        <is>
          <t>営業</t>
        </is>
      </c>
      <c r="L1479" t="inlineStr">
        <is>
          <t>13:31:35</t>
        </is>
      </c>
      <c r="M1479" t="inlineStr">
        <is>
          <t>13:31:55</t>
        </is>
      </c>
    </row>
    <row r="1480" ht="15" customHeight="1" s="37">
      <c r="A1480" t="n">
        <v>16</v>
      </c>
      <c r="B1480" s="10" t="inlineStr">
        <is>
          <t>休日</t>
        </is>
      </c>
      <c r="C1480" s="10" t="inlineStr">
        <is>
          <t>北野線</t>
        </is>
      </c>
      <c r="D1480" s="10" t="inlineStr">
        <is>
          <t>下り</t>
        </is>
      </c>
      <c r="E1480" t="inlineStr">
        <is>
          <t>1355</t>
        </is>
      </c>
      <c r="F1480" t="inlineStr">
        <is>
          <t>0453</t>
        </is>
      </c>
      <c r="G1480" s="10" t="inlineStr">
        <is>
          <t>撮影所前</t>
        </is>
      </c>
      <c r="H1480" s="10" t="inlineStr">
        <is>
          <t>発</t>
        </is>
      </c>
      <c r="J1480" s="10" t="inlineStr">
        <is>
          <t>営業</t>
        </is>
      </c>
      <c r="L1480" t="inlineStr">
        <is>
          <t>13:33:15</t>
        </is>
      </c>
      <c r="M1480" t="inlineStr">
        <is>
          <t>13:33:30</t>
        </is>
      </c>
    </row>
    <row r="1481" ht="15" customHeight="1" s="37">
      <c r="A1481" t="n">
        <v>16</v>
      </c>
      <c r="B1481" s="10" t="inlineStr">
        <is>
          <t>休日</t>
        </is>
      </c>
      <c r="C1481" s="10" t="inlineStr">
        <is>
          <t>北野線</t>
        </is>
      </c>
      <c r="D1481" s="10" t="inlineStr">
        <is>
          <t>下り</t>
        </is>
      </c>
      <c r="E1481" t="inlineStr">
        <is>
          <t>1355</t>
        </is>
      </c>
      <c r="F1481" t="inlineStr">
        <is>
          <t>0453</t>
        </is>
      </c>
      <c r="G1481" s="10" t="inlineStr">
        <is>
          <t>帷子ノ辻</t>
        </is>
      </c>
      <c r="H1481" s="10" t="inlineStr">
        <is>
          <t>着</t>
        </is>
      </c>
      <c r="J1481" s="10" t="inlineStr">
        <is>
          <t>営業</t>
        </is>
      </c>
      <c r="L1481" t="inlineStr">
        <is>
          <t>13:34:25</t>
        </is>
      </c>
      <c r="Q1481" t="inlineStr">
        <is>
          <t>4</t>
        </is>
      </c>
      <c r="T1481" t="inlineStr">
        <is>
          <t>○</t>
        </is>
      </c>
    </row>
    <row r="1482" ht="15" customHeight="1" s="37">
      <c r="A1482" t="n">
        <v>16</v>
      </c>
      <c r="B1482" s="10" t="inlineStr">
        <is>
          <t>休日</t>
        </is>
      </c>
      <c r="C1482" s="10" t="inlineStr">
        <is>
          <t>本線</t>
        </is>
      </c>
      <c r="D1482" s="10" t="inlineStr">
        <is>
          <t>上り</t>
        </is>
      </c>
      <c r="E1482" t="inlineStr">
        <is>
          <t>16系統②便乗</t>
        </is>
      </c>
      <c r="F1482" s="10" t="inlineStr">
        <is>
          <t>便乗</t>
        </is>
      </c>
      <c r="G1482" s="10" t="inlineStr">
        <is>
          <t>帷子ノ辻</t>
        </is>
      </c>
      <c r="H1482" s="10" t="inlineStr">
        <is>
          <t>発</t>
        </is>
      </c>
      <c r="J1482" s="10" t="inlineStr">
        <is>
          <t>便乗</t>
        </is>
      </c>
      <c r="L1482" t="inlineStr">
        <is>
          <t>13:40:10</t>
        </is>
      </c>
      <c r="M1482" t="inlineStr">
        <is>
          <t>13:41:15</t>
        </is>
      </c>
      <c r="S1482" t="inlineStr">
        <is>
          <t>連1308</t>
        </is>
      </c>
    </row>
    <row r="1483" ht="15" customHeight="1" s="37">
      <c r="A1483" t="n">
        <v>16</v>
      </c>
      <c r="B1483" s="10" t="inlineStr">
        <is>
          <t>休日</t>
        </is>
      </c>
      <c r="C1483" s="10" t="inlineStr">
        <is>
          <t>本線</t>
        </is>
      </c>
      <c r="D1483" s="10" t="inlineStr">
        <is>
          <t>上り</t>
        </is>
      </c>
      <c r="E1483" t="inlineStr">
        <is>
          <t>16系統②便乗</t>
        </is>
      </c>
      <c r="F1483" s="10" t="inlineStr">
        <is>
          <t>便乗</t>
        </is>
      </c>
      <c r="G1483" s="10" t="inlineStr">
        <is>
          <t>太秦広隆寺</t>
        </is>
      </c>
      <c r="H1483" s="10" t="inlineStr">
        <is>
          <t>発</t>
        </is>
      </c>
      <c r="J1483" s="10" t="inlineStr">
        <is>
          <t>便乗</t>
        </is>
      </c>
      <c r="L1483" t="inlineStr">
        <is>
          <t>13:43:25</t>
        </is>
      </c>
      <c r="M1483" t="inlineStr">
        <is>
          <t>13:43:45</t>
        </is>
      </c>
      <c r="S1483" t="inlineStr">
        <is>
          <t>連1308</t>
        </is>
      </c>
    </row>
    <row r="1484" ht="15" customHeight="1" s="37">
      <c r="A1484" t="n">
        <v>16</v>
      </c>
      <c r="B1484" s="10" t="inlineStr">
        <is>
          <t>休日</t>
        </is>
      </c>
      <c r="C1484" s="10" t="inlineStr">
        <is>
          <t>本線</t>
        </is>
      </c>
      <c r="D1484" s="10" t="inlineStr">
        <is>
          <t>上り</t>
        </is>
      </c>
      <c r="E1484" t="inlineStr">
        <is>
          <t>16系統②便乗</t>
        </is>
      </c>
      <c r="F1484" s="10" t="inlineStr">
        <is>
          <t>便乗</t>
        </is>
      </c>
      <c r="G1484" s="10" t="inlineStr">
        <is>
          <t>蚕ノ社</t>
        </is>
      </c>
      <c r="H1484" s="10" t="inlineStr">
        <is>
          <t>発</t>
        </is>
      </c>
      <c r="J1484" s="10" t="inlineStr">
        <is>
          <t>便乗</t>
        </is>
      </c>
      <c r="L1484" t="inlineStr">
        <is>
          <t>13:45:00</t>
        </is>
      </c>
      <c r="M1484" t="inlineStr">
        <is>
          <t>13:45:20</t>
        </is>
      </c>
      <c r="S1484" t="inlineStr">
        <is>
          <t>連1308</t>
        </is>
      </c>
    </row>
    <row r="1485" ht="15" customHeight="1" s="37">
      <c r="A1485" t="n">
        <v>16</v>
      </c>
      <c r="B1485" s="10" t="inlineStr">
        <is>
          <t>休日</t>
        </is>
      </c>
      <c r="C1485" s="10" t="inlineStr">
        <is>
          <t>本線</t>
        </is>
      </c>
      <c r="D1485" s="10" t="inlineStr">
        <is>
          <t>上り</t>
        </is>
      </c>
      <c r="E1485" t="inlineStr">
        <is>
          <t>16系統②便乗</t>
        </is>
      </c>
      <c r="F1485" s="10" t="inlineStr">
        <is>
          <t>便乗</t>
        </is>
      </c>
      <c r="G1485" s="10" t="inlineStr">
        <is>
          <t>天神川</t>
        </is>
      </c>
      <c r="H1485" s="10" t="inlineStr">
        <is>
          <t>発</t>
        </is>
      </c>
      <c r="J1485" s="10" t="inlineStr">
        <is>
          <t>便乗</t>
        </is>
      </c>
      <c r="L1485" t="inlineStr">
        <is>
          <t>13:46:05</t>
        </is>
      </c>
      <c r="M1485" t="inlineStr">
        <is>
          <t>13:46:50</t>
        </is>
      </c>
      <c r="S1485" t="inlineStr">
        <is>
          <t>連1308</t>
        </is>
      </c>
    </row>
    <row r="1486" ht="15" customHeight="1" s="37">
      <c r="A1486" t="n">
        <v>16</v>
      </c>
      <c r="B1486" s="10" t="inlineStr">
        <is>
          <t>休日</t>
        </is>
      </c>
      <c r="C1486" s="10" t="inlineStr">
        <is>
          <t>本線</t>
        </is>
      </c>
      <c r="D1486" s="10" t="inlineStr">
        <is>
          <t>上り</t>
        </is>
      </c>
      <c r="E1486" t="inlineStr">
        <is>
          <t>16系統②便乗</t>
        </is>
      </c>
      <c r="F1486" s="10" t="inlineStr">
        <is>
          <t>便乗</t>
        </is>
      </c>
      <c r="G1486" s="10" t="inlineStr">
        <is>
          <t>山ノ内</t>
        </is>
      </c>
      <c r="H1486" s="10" t="inlineStr">
        <is>
          <t>発</t>
        </is>
      </c>
      <c r="J1486" s="10" t="inlineStr">
        <is>
          <t>便乗</t>
        </is>
      </c>
      <c r="L1486" t="inlineStr">
        <is>
          <t>13:48:40</t>
        </is>
      </c>
      <c r="M1486" t="inlineStr">
        <is>
          <t>13:49:05</t>
        </is>
      </c>
      <c r="S1486" t="inlineStr">
        <is>
          <t>連1308</t>
        </is>
      </c>
    </row>
    <row r="1487" ht="15" customHeight="1" s="37">
      <c r="A1487" t="n">
        <v>16</v>
      </c>
      <c r="B1487" s="10" t="inlineStr">
        <is>
          <t>休日</t>
        </is>
      </c>
      <c r="C1487" s="10" t="inlineStr">
        <is>
          <t>本線</t>
        </is>
      </c>
      <c r="D1487" s="10" t="inlineStr">
        <is>
          <t>上り</t>
        </is>
      </c>
      <c r="E1487" t="inlineStr">
        <is>
          <t>16系統②便乗</t>
        </is>
      </c>
      <c r="F1487" s="10" t="inlineStr">
        <is>
          <t>便乗</t>
        </is>
      </c>
      <c r="G1487" s="10" t="inlineStr">
        <is>
          <t>西大路三条</t>
        </is>
      </c>
      <c r="H1487" s="10" t="inlineStr">
        <is>
          <t>発</t>
        </is>
      </c>
      <c r="J1487" s="10" t="inlineStr">
        <is>
          <t>便乗</t>
        </is>
      </c>
      <c r="L1487" t="inlineStr">
        <is>
          <t>13:50:55</t>
        </is>
      </c>
      <c r="M1487" t="inlineStr">
        <is>
          <t>13:51:15</t>
        </is>
      </c>
      <c r="S1487" t="inlineStr">
        <is>
          <t>連1308</t>
        </is>
      </c>
    </row>
    <row r="1488" ht="15" customHeight="1" s="37">
      <c r="A1488" t="n">
        <v>16</v>
      </c>
      <c r="B1488" s="10" t="inlineStr">
        <is>
          <t>休日</t>
        </is>
      </c>
      <c r="C1488" s="10" t="inlineStr">
        <is>
          <t>本線</t>
        </is>
      </c>
      <c r="D1488" s="10" t="inlineStr">
        <is>
          <t>上り</t>
        </is>
      </c>
      <c r="E1488" t="inlineStr">
        <is>
          <t>16系統②便乗</t>
        </is>
      </c>
      <c r="F1488" s="10" t="inlineStr">
        <is>
          <t>便乗</t>
        </is>
      </c>
      <c r="G1488" s="10" t="inlineStr">
        <is>
          <t>西院</t>
        </is>
      </c>
      <c r="H1488" s="10" t="inlineStr">
        <is>
          <t>着</t>
        </is>
      </c>
      <c r="J1488" s="10" t="inlineStr">
        <is>
          <t>便乗</t>
        </is>
      </c>
      <c r="L1488" t="inlineStr">
        <is>
          <t>13:53:10</t>
        </is>
      </c>
      <c r="M1488" t="inlineStr">
        <is>
          <t>13:54:05</t>
        </is>
      </c>
      <c r="S1488" t="inlineStr">
        <is>
          <t>連1308</t>
        </is>
      </c>
    </row>
    <row r="1489" ht="15" customHeight="1" s="37">
      <c r="A1489" t="n">
        <v>17</v>
      </c>
      <c r="B1489" s="10" t="inlineStr">
        <is>
          <t>休日</t>
        </is>
      </c>
      <c r="C1489" s="10" t="inlineStr">
        <is>
          <t>本線</t>
        </is>
      </c>
      <c r="D1489" s="10" t="inlineStr">
        <is>
          <t>下り</t>
        </is>
      </c>
      <c r="E1489" t="inlineStr">
        <is>
          <t>0593</t>
        </is>
      </c>
      <c r="F1489" t="inlineStr">
        <is>
          <t>0504</t>
        </is>
      </c>
      <c r="G1489" s="10" t="inlineStr">
        <is>
          <t>西院</t>
        </is>
      </c>
      <c r="H1489" s="10" t="inlineStr">
        <is>
          <t>発</t>
        </is>
      </c>
      <c r="J1489" s="10" t="inlineStr">
        <is>
          <t>営業</t>
        </is>
      </c>
      <c r="K1489" t="inlineStr">
        <is>
          <t>→0652</t>
        </is>
      </c>
      <c r="M1489" t="inlineStr">
        <is>
          <t>5:40:20</t>
        </is>
      </c>
      <c r="O1489" t="inlineStr">
        <is>
          <t>積込:帷子金庫(金庫2・納金袋1)+帷子留置車(金庫2) 17系統Ⅱ側 帷子5:51着</t>
        </is>
      </c>
    </row>
    <row r="1490" ht="15" customHeight="1" s="37">
      <c r="A1490" t="n">
        <v>17</v>
      </c>
      <c r="B1490" s="10" t="inlineStr">
        <is>
          <t>休日</t>
        </is>
      </c>
      <c r="C1490" s="10" t="inlineStr">
        <is>
          <t>本線</t>
        </is>
      </c>
      <c r="D1490" s="10" t="inlineStr">
        <is>
          <t>下り</t>
        </is>
      </c>
      <c r="E1490" t="inlineStr">
        <is>
          <t>0593</t>
        </is>
      </c>
      <c r="F1490" t="inlineStr">
        <is>
          <t>0504</t>
        </is>
      </c>
      <c r="G1490" s="10" t="inlineStr">
        <is>
          <t>西大路三条</t>
        </is>
      </c>
      <c r="H1490" s="10" t="inlineStr">
        <is>
          <t>発</t>
        </is>
      </c>
      <c r="J1490" s="10" t="inlineStr">
        <is>
          <t>営業</t>
        </is>
      </c>
      <c r="K1490" t="inlineStr">
        <is>
          <t>→0652</t>
        </is>
      </c>
      <c r="L1490" t="inlineStr">
        <is>
          <t>5:42:10</t>
        </is>
      </c>
      <c r="M1490" t="inlineStr">
        <is>
          <t>5:42:25</t>
        </is>
      </c>
      <c r="O1490" t="inlineStr">
        <is>
          <t>積込:帷子金庫(金庫2・納金袋1)+帷子留置車(金庫2) 17系統Ⅱ側 帷子5:51着</t>
        </is>
      </c>
    </row>
    <row r="1491" ht="15" customHeight="1" s="37">
      <c r="A1491" t="n">
        <v>17</v>
      </c>
      <c r="B1491" s="10" t="inlineStr">
        <is>
          <t>休日</t>
        </is>
      </c>
      <c r="C1491" s="10" t="inlineStr">
        <is>
          <t>本線</t>
        </is>
      </c>
      <c r="D1491" s="10" t="inlineStr">
        <is>
          <t>下り</t>
        </is>
      </c>
      <c r="E1491" t="inlineStr">
        <is>
          <t>0593</t>
        </is>
      </c>
      <c r="F1491" t="inlineStr">
        <is>
          <t>0504</t>
        </is>
      </c>
      <c r="G1491" s="10" t="inlineStr">
        <is>
          <t>山ノ内</t>
        </is>
      </c>
      <c r="H1491" s="10" t="inlineStr">
        <is>
          <t>発</t>
        </is>
      </c>
      <c r="J1491" s="10" t="inlineStr">
        <is>
          <t>営業</t>
        </is>
      </c>
      <c r="K1491" t="inlineStr">
        <is>
          <t>→0652</t>
        </is>
      </c>
      <c r="L1491" t="inlineStr">
        <is>
          <t>5:44:20</t>
        </is>
      </c>
      <c r="M1491" t="inlineStr">
        <is>
          <t>5:44:45</t>
        </is>
      </c>
      <c r="O1491" t="inlineStr">
        <is>
          <t>積込:帷子金庫(金庫2・納金袋1)+帷子留置車(金庫2) 17系統Ⅱ側 帷子5:51着</t>
        </is>
      </c>
    </row>
    <row r="1492" ht="15" customHeight="1" s="37">
      <c r="A1492" t="n">
        <v>17</v>
      </c>
      <c r="B1492" s="10" t="inlineStr">
        <is>
          <t>休日</t>
        </is>
      </c>
      <c r="C1492" s="10" t="inlineStr">
        <is>
          <t>本線</t>
        </is>
      </c>
      <c r="D1492" s="10" t="inlineStr">
        <is>
          <t>下り</t>
        </is>
      </c>
      <c r="E1492" t="inlineStr">
        <is>
          <t>0593</t>
        </is>
      </c>
      <c r="F1492" t="inlineStr">
        <is>
          <t>0504</t>
        </is>
      </c>
      <c r="G1492" s="10" t="inlineStr">
        <is>
          <t>天神川</t>
        </is>
      </c>
      <c r="H1492" s="10" t="inlineStr">
        <is>
          <t>発</t>
        </is>
      </c>
      <c r="J1492" s="10" t="inlineStr">
        <is>
          <t>営業</t>
        </is>
      </c>
      <c r="K1492" t="inlineStr">
        <is>
          <t>→0652</t>
        </is>
      </c>
      <c r="L1492" t="inlineStr">
        <is>
          <t>5:46:45</t>
        </is>
      </c>
      <c r="M1492" t="inlineStr">
        <is>
          <t>5:47:10</t>
        </is>
      </c>
      <c r="O1492" t="inlineStr">
        <is>
          <t>積込:帷子金庫(金庫2・納金袋1)+帷子留置車(金庫2) 17系統Ⅱ側 帷子5:51着</t>
        </is>
      </c>
    </row>
    <row r="1493" ht="15" customHeight="1" s="37">
      <c r="A1493" t="n">
        <v>17</v>
      </c>
      <c r="B1493" s="10" t="inlineStr">
        <is>
          <t>休日</t>
        </is>
      </c>
      <c r="C1493" s="10" t="inlineStr">
        <is>
          <t>本線</t>
        </is>
      </c>
      <c r="D1493" s="10" t="inlineStr">
        <is>
          <t>下り</t>
        </is>
      </c>
      <c r="E1493" t="inlineStr">
        <is>
          <t>0593</t>
        </is>
      </c>
      <c r="F1493" t="inlineStr">
        <is>
          <t>0504</t>
        </is>
      </c>
      <c r="G1493" s="10" t="inlineStr">
        <is>
          <t>蚕ノ社</t>
        </is>
      </c>
      <c r="H1493" s="10" t="inlineStr">
        <is>
          <t>発</t>
        </is>
      </c>
      <c r="J1493" s="10" t="inlineStr">
        <is>
          <t>営業</t>
        </is>
      </c>
      <c r="K1493" t="inlineStr">
        <is>
          <t>→0652</t>
        </is>
      </c>
      <c r="L1493" t="inlineStr">
        <is>
          <t>5:48:00</t>
        </is>
      </c>
      <c r="M1493" t="inlineStr">
        <is>
          <t>5:48:15</t>
        </is>
      </c>
      <c r="O1493" t="inlineStr">
        <is>
          <t>積込:帷子金庫(金庫2・納金袋1)+帷子留置車(金庫2) 17系統Ⅱ側 帷子5:51着</t>
        </is>
      </c>
    </row>
    <row r="1494" ht="15" customHeight="1" s="37">
      <c r="A1494" t="n">
        <v>17</v>
      </c>
      <c r="B1494" s="10" t="inlineStr">
        <is>
          <t>休日</t>
        </is>
      </c>
      <c r="C1494" s="10" t="inlineStr">
        <is>
          <t>本線</t>
        </is>
      </c>
      <c r="D1494" s="10" t="inlineStr">
        <is>
          <t>下り</t>
        </is>
      </c>
      <c r="E1494" t="inlineStr">
        <is>
          <t>0593</t>
        </is>
      </c>
      <c r="F1494" t="inlineStr">
        <is>
          <t>0504</t>
        </is>
      </c>
      <c r="G1494" s="10" t="inlineStr">
        <is>
          <t>太秦広隆寺</t>
        </is>
      </c>
      <c r="H1494" s="10" t="inlineStr">
        <is>
          <t>発</t>
        </is>
      </c>
      <c r="J1494" s="10" t="inlineStr">
        <is>
          <t>営業</t>
        </is>
      </c>
      <c r="K1494" t="inlineStr">
        <is>
          <t>→0652</t>
        </is>
      </c>
      <c r="L1494" t="inlineStr">
        <is>
          <t>5:49:35</t>
        </is>
      </c>
      <c r="M1494" t="inlineStr">
        <is>
          <t>5:49:50</t>
        </is>
      </c>
      <c r="O1494" t="inlineStr">
        <is>
          <t>積込:帷子金庫(金庫2・納金袋1)+帷子留置車(金庫2) 17系統Ⅱ側 帷子5:51着</t>
        </is>
      </c>
    </row>
    <row r="1495" ht="15" customHeight="1" s="37">
      <c r="A1495" t="n">
        <v>17</v>
      </c>
      <c r="B1495" s="10" t="inlineStr">
        <is>
          <t>休日</t>
        </is>
      </c>
      <c r="C1495" s="10" t="inlineStr">
        <is>
          <t>本線</t>
        </is>
      </c>
      <c r="D1495" s="10" t="inlineStr">
        <is>
          <t>下り</t>
        </is>
      </c>
      <c r="E1495" t="inlineStr">
        <is>
          <t>0593</t>
        </is>
      </c>
      <c r="F1495" t="inlineStr">
        <is>
          <t>0504</t>
        </is>
      </c>
      <c r="G1495" s="10" t="inlineStr">
        <is>
          <t>帷子ノ辻</t>
        </is>
      </c>
      <c r="H1495" s="10" t="inlineStr">
        <is>
          <t>着</t>
        </is>
      </c>
      <c r="J1495" s="10" t="inlineStr">
        <is>
          <t>営業</t>
        </is>
      </c>
      <c r="K1495" t="inlineStr">
        <is>
          <t>→0652</t>
        </is>
      </c>
      <c r="L1495" t="inlineStr">
        <is>
          <t>5:51:50</t>
        </is>
      </c>
      <c r="N1495" t="inlineStr">
        <is>
          <t>○</t>
        </is>
      </c>
      <c r="O1495" t="inlineStr">
        <is>
          <t>積込:帷子金庫(金庫2・納金袋1)+帷子留置車(金庫2) 17系統Ⅱ側 帷子5:51着</t>
        </is>
      </c>
    </row>
    <row r="1496" ht="15" customHeight="1" s="37">
      <c r="A1496" t="n">
        <v>17</v>
      </c>
      <c r="B1496" s="10" t="inlineStr">
        <is>
          <t>休日</t>
        </is>
      </c>
      <c r="C1496" s="10" t="inlineStr">
        <is>
          <t>北野線</t>
        </is>
      </c>
      <c r="D1496" s="10" t="inlineStr">
        <is>
          <t>上り</t>
        </is>
      </c>
      <c r="E1496" t="inlineStr">
        <is>
          <t>0652</t>
        </is>
      </c>
      <c r="F1496" t="inlineStr">
        <is>
          <t>0304</t>
        </is>
      </c>
      <c r="G1496" s="10" t="inlineStr">
        <is>
          <t>帷子ノ辻</t>
        </is>
      </c>
      <c r="H1496" s="10" t="inlineStr">
        <is>
          <t>発</t>
        </is>
      </c>
      <c r="J1496" s="10" t="inlineStr">
        <is>
          <t>営業</t>
        </is>
      </c>
      <c r="K1496" t="inlineStr">
        <is>
          <t>←0593</t>
        </is>
      </c>
      <c r="M1496" t="inlineStr">
        <is>
          <t>6:01:45</t>
        </is>
      </c>
      <c r="Q1496" t="inlineStr">
        <is>
          <t>4出</t>
        </is>
      </c>
    </row>
    <row r="1497" ht="15" customHeight="1" s="37">
      <c r="A1497" t="n">
        <v>17</v>
      </c>
      <c r="B1497" s="10" t="inlineStr">
        <is>
          <t>休日</t>
        </is>
      </c>
      <c r="C1497" s="10" t="inlineStr">
        <is>
          <t>北野線</t>
        </is>
      </c>
      <c r="D1497" s="10" t="inlineStr">
        <is>
          <t>上り</t>
        </is>
      </c>
      <c r="E1497" t="inlineStr">
        <is>
          <t>0652</t>
        </is>
      </c>
      <c r="F1497" t="inlineStr">
        <is>
          <t>0304</t>
        </is>
      </c>
      <c r="G1497" s="10" t="inlineStr">
        <is>
          <t>撮影所前</t>
        </is>
      </c>
      <c r="H1497" s="10" t="inlineStr">
        <is>
          <t>発</t>
        </is>
      </c>
      <c r="J1497" s="10" t="inlineStr">
        <is>
          <t>営業</t>
        </is>
      </c>
      <c r="K1497" t="inlineStr">
        <is>
          <t>←0593</t>
        </is>
      </c>
      <c r="L1497" t="inlineStr">
        <is>
          <t>6:02:45</t>
        </is>
      </c>
      <c r="M1497" t="inlineStr">
        <is>
          <t>6:02:55</t>
        </is>
      </c>
    </row>
    <row r="1498" ht="15" customHeight="1" s="37">
      <c r="A1498" t="n">
        <v>17</v>
      </c>
      <c r="B1498" s="10" t="inlineStr">
        <is>
          <t>休日</t>
        </is>
      </c>
      <c r="C1498" s="10" t="inlineStr">
        <is>
          <t>北野線</t>
        </is>
      </c>
      <c r="D1498" s="10" t="inlineStr">
        <is>
          <t>上り</t>
        </is>
      </c>
      <c r="E1498" t="inlineStr">
        <is>
          <t>0652</t>
        </is>
      </c>
      <c r="F1498" t="inlineStr">
        <is>
          <t>0304</t>
        </is>
      </c>
      <c r="G1498" s="10" t="inlineStr">
        <is>
          <t>常盤</t>
        </is>
      </c>
      <c r="H1498" s="10" t="inlineStr">
        <is>
          <t>発</t>
        </is>
      </c>
      <c r="J1498" s="10" t="inlineStr">
        <is>
          <t>営業</t>
        </is>
      </c>
      <c r="K1498" t="inlineStr">
        <is>
          <t>←0593</t>
        </is>
      </c>
      <c r="L1498" t="inlineStr">
        <is>
          <t>6:04:15</t>
        </is>
      </c>
      <c r="M1498" t="inlineStr">
        <is>
          <t>6:04:35</t>
        </is>
      </c>
    </row>
    <row r="1499" ht="15" customHeight="1" s="37">
      <c r="A1499" t="n">
        <v>17</v>
      </c>
      <c r="B1499" s="10" t="inlineStr">
        <is>
          <t>休日</t>
        </is>
      </c>
      <c r="C1499" s="10" t="inlineStr">
        <is>
          <t>北野線</t>
        </is>
      </c>
      <c r="D1499" s="10" t="inlineStr">
        <is>
          <t>上り</t>
        </is>
      </c>
      <c r="E1499" t="inlineStr">
        <is>
          <t>0652</t>
        </is>
      </c>
      <c r="F1499" t="inlineStr">
        <is>
          <t>0304</t>
        </is>
      </c>
      <c r="G1499" s="10" t="inlineStr">
        <is>
          <t>鳴滝</t>
        </is>
      </c>
      <c r="H1499" s="10" t="inlineStr">
        <is>
          <t>発</t>
        </is>
      </c>
      <c r="J1499" s="10" t="inlineStr">
        <is>
          <t>営業</t>
        </is>
      </c>
      <c r="K1499" t="inlineStr">
        <is>
          <t>←0593</t>
        </is>
      </c>
      <c r="L1499" t="inlineStr">
        <is>
          <t>6:05:35</t>
        </is>
      </c>
      <c r="M1499" t="inlineStr">
        <is>
          <t>6:05:55</t>
        </is>
      </c>
    </row>
    <row r="1500" ht="15" customHeight="1" s="37">
      <c r="A1500" t="n">
        <v>17</v>
      </c>
      <c r="B1500" s="10" t="inlineStr">
        <is>
          <t>休日</t>
        </is>
      </c>
      <c r="C1500" s="10" t="inlineStr">
        <is>
          <t>北野線</t>
        </is>
      </c>
      <c r="D1500" s="10" t="inlineStr">
        <is>
          <t>上り</t>
        </is>
      </c>
      <c r="E1500" t="inlineStr">
        <is>
          <t>0652</t>
        </is>
      </c>
      <c r="F1500" t="inlineStr">
        <is>
          <t>0304</t>
        </is>
      </c>
      <c r="G1500" s="10" t="inlineStr">
        <is>
          <t>宇多野</t>
        </is>
      </c>
      <c r="H1500" s="10" t="inlineStr">
        <is>
          <t>発</t>
        </is>
      </c>
      <c r="J1500" s="10" t="inlineStr">
        <is>
          <t>営業</t>
        </is>
      </c>
      <c r="K1500" t="inlineStr">
        <is>
          <t>←0593</t>
        </is>
      </c>
      <c r="L1500" t="inlineStr">
        <is>
          <t>6:07:15</t>
        </is>
      </c>
      <c r="M1500" t="inlineStr">
        <is>
          <t>6:07:30</t>
        </is>
      </c>
    </row>
    <row r="1501" ht="15" customHeight="1" s="37">
      <c r="A1501" t="n">
        <v>17</v>
      </c>
      <c r="B1501" s="10" t="inlineStr">
        <is>
          <t>休日</t>
        </is>
      </c>
      <c r="C1501" s="10" t="inlineStr">
        <is>
          <t>北野線</t>
        </is>
      </c>
      <c r="D1501" s="10" t="inlineStr">
        <is>
          <t>上り</t>
        </is>
      </c>
      <c r="E1501" t="inlineStr">
        <is>
          <t>0652</t>
        </is>
      </c>
      <c r="F1501" t="inlineStr">
        <is>
          <t>0304</t>
        </is>
      </c>
      <c r="G1501" s="10" t="inlineStr">
        <is>
          <t>御室仁和寺</t>
        </is>
      </c>
      <c r="H1501" s="10" t="inlineStr">
        <is>
          <t>発</t>
        </is>
      </c>
      <c r="J1501" s="10" t="inlineStr">
        <is>
          <t>営業</t>
        </is>
      </c>
      <c r="K1501" t="inlineStr">
        <is>
          <t>←0593</t>
        </is>
      </c>
      <c r="L1501" t="inlineStr">
        <is>
          <t>6:08:30</t>
        </is>
      </c>
      <c r="M1501" t="inlineStr">
        <is>
          <t>6:08:50</t>
        </is>
      </c>
    </row>
    <row r="1502" ht="15" customHeight="1" s="37">
      <c r="A1502" t="n">
        <v>17</v>
      </c>
      <c r="B1502" s="10" t="inlineStr">
        <is>
          <t>休日</t>
        </is>
      </c>
      <c r="C1502" s="10" t="inlineStr">
        <is>
          <t>北野線</t>
        </is>
      </c>
      <c r="D1502" s="10" t="inlineStr">
        <is>
          <t>上り</t>
        </is>
      </c>
      <c r="E1502" t="inlineStr">
        <is>
          <t>0652</t>
        </is>
      </c>
      <c r="F1502" t="inlineStr">
        <is>
          <t>0304</t>
        </is>
      </c>
      <c r="G1502" s="10" t="inlineStr">
        <is>
          <t>妙心寺</t>
        </is>
      </c>
      <c r="H1502" s="10" t="inlineStr">
        <is>
          <t>発</t>
        </is>
      </c>
      <c r="J1502" s="10" t="inlineStr">
        <is>
          <t>営業</t>
        </is>
      </c>
      <c r="K1502" t="inlineStr">
        <is>
          <t>←0593</t>
        </is>
      </c>
      <c r="L1502" t="inlineStr">
        <is>
          <t>6:09:50</t>
        </is>
      </c>
      <c r="M1502" t="inlineStr">
        <is>
          <t>6:09:55</t>
        </is>
      </c>
    </row>
    <row r="1503" ht="15" customHeight="1" s="37">
      <c r="A1503" t="n">
        <v>17</v>
      </c>
      <c r="B1503" s="10" t="inlineStr">
        <is>
          <t>休日</t>
        </is>
      </c>
      <c r="C1503" s="10" t="inlineStr">
        <is>
          <t>北野線</t>
        </is>
      </c>
      <c r="D1503" s="10" t="inlineStr">
        <is>
          <t>上り</t>
        </is>
      </c>
      <c r="E1503" t="inlineStr">
        <is>
          <t>0652</t>
        </is>
      </c>
      <c r="F1503" t="inlineStr">
        <is>
          <t>0304</t>
        </is>
      </c>
      <c r="G1503" s="10" t="inlineStr">
        <is>
          <t>龍安寺</t>
        </is>
      </c>
      <c r="H1503" s="10" t="inlineStr">
        <is>
          <t>発</t>
        </is>
      </c>
      <c r="J1503" s="10" t="inlineStr">
        <is>
          <t>営業</t>
        </is>
      </c>
      <c r="K1503" t="inlineStr">
        <is>
          <t>←0593</t>
        </is>
      </c>
      <c r="L1503" t="inlineStr">
        <is>
          <t>6:10:50</t>
        </is>
      </c>
      <c r="M1503" t="inlineStr">
        <is>
          <t>6:10:55</t>
        </is>
      </c>
    </row>
    <row r="1504" ht="15" customHeight="1" s="37">
      <c r="A1504" t="n">
        <v>17</v>
      </c>
      <c r="B1504" s="10" t="inlineStr">
        <is>
          <t>休日</t>
        </is>
      </c>
      <c r="C1504" s="10" t="inlineStr">
        <is>
          <t>北野線</t>
        </is>
      </c>
      <c r="D1504" s="10" t="inlineStr">
        <is>
          <t>上り</t>
        </is>
      </c>
      <c r="E1504" t="inlineStr">
        <is>
          <t>0652</t>
        </is>
      </c>
      <c r="F1504" t="inlineStr">
        <is>
          <t>0304</t>
        </is>
      </c>
      <c r="G1504" s="10" t="inlineStr">
        <is>
          <t>等持院</t>
        </is>
      </c>
      <c r="H1504" s="10" t="inlineStr">
        <is>
          <t>発</t>
        </is>
      </c>
      <c r="J1504" s="10" t="inlineStr">
        <is>
          <t>営業</t>
        </is>
      </c>
      <c r="K1504" t="inlineStr">
        <is>
          <t>←0593</t>
        </is>
      </c>
      <c r="L1504" t="inlineStr">
        <is>
          <t>6:11:35</t>
        </is>
      </c>
      <c r="M1504" t="inlineStr">
        <is>
          <t>6:11:45</t>
        </is>
      </c>
    </row>
    <row r="1505" ht="15" customHeight="1" s="37">
      <c r="A1505" t="n">
        <v>17</v>
      </c>
      <c r="B1505" s="10" t="inlineStr">
        <is>
          <t>休日</t>
        </is>
      </c>
      <c r="C1505" s="10" t="inlineStr">
        <is>
          <t>北野線</t>
        </is>
      </c>
      <c r="D1505" s="10" t="inlineStr">
        <is>
          <t>上り</t>
        </is>
      </c>
      <c r="E1505" t="inlineStr">
        <is>
          <t>0652</t>
        </is>
      </c>
      <c r="F1505" t="inlineStr">
        <is>
          <t>0304</t>
        </is>
      </c>
      <c r="G1505" s="10" t="inlineStr">
        <is>
          <t>北野白梅町</t>
        </is>
      </c>
      <c r="H1505" s="10" t="inlineStr">
        <is>
          <t>着</t>
        </is>
      </c>
      <c r="J1505" s="10" t="inlineStr">
        <is>
          <t>営業</t>
        </is>
      </c>
      <c r="K1505" t="inlineStr">
        <is>
          <t>←0593</t>
        </is>
      </c>
      <c r="L1505" t="inlineStr">
        <is>
          <t>6:13:35</t>
        </is>
      </c>
      <c r="N1505" t="inlineStr">
        <is>
          <t>○</t>
        </is>
      </c>
      <c r="Q1505" t="inlineStr">
        <is>
          <t>1</t>
        </is>
      </c>
    </row>
    <row r="1506" ht="15" customHeight="1" s="37">
      <c r="A1506" t="n">
        <v>17</v>
      </c>
      <c r="B1506" s="10" t="inlineStr">
        <is>
          <t>休日</t>
        </is>
      </c>
      <c r="C1506" s="10" t="inlineStr">
        <is>
          <t>北野線</t>
        </is>
      </c>
      <c r="D1506" s="10" t="inlineStr">
        <is>
          <t>下り</t>
        </is>
      </c>
      <c r="E1506" t="inlineStr">
        <is>
          <t>0653</t>
        </is>
      </c>
      <c r="F1506" t="inlineStr">
        <is>
          <t>0403</t>
        </is>
      </c>
      <c r="G1506" s="10" t="inlineStr">
        <is>
          <t>北野白梅町</t>
        </is>
      </c>
      <c r="H1506" s="10" t="inlineStr">
        <is>
          <t>発</t>
        </is>
      </c>
      <c r="J1506" s="10" t="inlineStr">
        <is>
          <t>営業</t>
        </is>
      </c>
      <c r="M1506" t="inlineStr">
        <is>
          <t>6:19:50</t>
        </is>
      </c>
      <c r="Q1506" t="inlineStr">
        <is>
          <t>1</t>
        </is>
      </c>
    </row>
    <row r="1507" ht="15" customHeight="1" s="37">
      <c r="A1507" t="n">
        <v>17</v>
      </c>
      <c r="B1507" s="10" t="inlineStr">
        <is>
          <t>休日</t>
        </is>
      </c>
      <c r="C1507" s="10" t="inlineStr">
        <is>
          <t>北野線</t>
        </is>
      </c>
      <c r="D1507" s="10" t="inlineStr">
        <is>
          <t>下り</t>
        </is>
      </c>
      <c r="E1507" t="inlineStr">
        <is>
          <t>0653</t>
        </is>
      </c>
      <c r="F1507" t="inlineStr">
        <is>
          <t>0403</t>
        </is>
      </c>
      <c r="G1507" s="10" t="inlineStr">
        <is>
          <t>等持院</t>
        </is>
      </c>
      <c r="H1507" s="10" t="inlineStr">
        <is>
          <t>発</t>
        </is>
      </c>
      <c r="J1507" s="10" t="inlineStr">
        <is>
          <t>営業</t>
        </is>
      </c>
      <c r="L1507" t="inlineStr">
        <is>
          <t>6:21:15</t>
        </is>
      </c>
      <c r="M1507" t="inlineStr">
        <is>
          <t>6:21:25</t>
        </is>
      </c>
    </row>
    <row r="1508" ht="15" customHeight="1" s="37">
      <c r="A1508" t="n">
        <v>17</v>
      </c>
      <c r="B1508" s="10" t="inlineStr">
        <is>
          <t>休日</t>
        </is>
      </c>
      <c r="C1508" s="10" t="inlineStr">
        <is>
          <t>北野線</t>
        </is>
      </c>
      <c r="D1508" s="10" t="inlineStr">
        <is>
          <t>下り</t>
        </is>
      </c>
      <c r="E1508" t="inlineStr">
        <is>
          <t>0653</t>
        </is>
      </c>
      <c r="F1508" t="inlineStr">
        <is>
          <t>0403</t>
        </is>
      </c>
      <c r="G1508" s="10" t="inlineStr">
        <is>
          <t>龍安寺</t>
        </is>
      </c>
      <c r="H1508" s="10" t="inlineStr">
        <is>
          <t>発</t>
        </is>
      </c>
      <c r="J1508" s="10" t="inlineStr">
        <is>
          <t>営業</t>
        </is>
      </c>
      <c r="L1508" t="inlineStr">
        <is>
          <t>6:22:15</t>
        </is>
      </c>
      <c r="M1508" t="inlineStr">
        <is>
          <t>6:22:35</t>
        </is>
      </c>
    </row>
    <row r="1509" ht="15" customHeight="1" s="37">
      <c r="A1509" t="n">
        <v>17</v>
      </c>
      <c r="B1509" s="10" t="inlineStr">
        <is>
          <t>休日</t>
        </is>
      </c>
      <c r="C1509" s="10" t="inlineStr">
        <is>
          <t>北野線</t>
        </is>
      </c>
      <c r="D1509" s="10" t="inlineStr">
        <is>
          <t>下り</t>
        </is>
      </c>
      <c r="E1509" t="inlineStr">
        <is>
          <t>0653</t>
        </is>
      </c>
      <c r="F1509" t="inlineStr">
        <is>
          <t>0403</t>
        </is>
      </c>
      <c r="G1509" s="10" t="inlineStr">
        <is>
          <t>妙心寺</t>
        </is>
      </c>
      <c r="H1509" s="10" t="inlineStr">
        <is>
          <t>発</t>
        </is>
      </c>
      <c r="J1509" s="10" t="inlineStr">
        <is>
          <t>営業</t>
        </is>
      </c>
      <c r="L1509" t="inlineStr">
        <is>
          <t>6:23:30</t>
        </is>
      </c>
      <c r="M1509" t="inlineStr">
        <is>
          <t>6:23:40</t>
        </is>
      </c>
    </row>
    <row r="1510" ht="15" customHeight="1" s="37">
      <c r="A1510" t="n">
        <v>17</v>
      </c>
      <c r="B1510" s="10" t="inlineStr">
        <is>
          <t>休日</t>
        </is>
      </c>
      <c r="C1510" s="10" t="inlineStr">
        <is>
          <t>北野線</t>
        </is>
      </c>
      <c r="D1510" s="10" t="inlineStr">
        <is>
          <t>下り</t>
        </is>
      </c>
      <c r="E1510" t="inlineStr">
        <is>
          <t>0653</t>
        </is>
      </c>
      <c r="F1510" t="inlineStr">
        <is>
          <t>0403</t>
        </is>
      </c>
      <c r="G1510" s="10" t="inlineStr">
        <is>
          <t>御室仁和寺</t>
        </is>
      </c>
      <c r="H1510" s="10" t="inlineStr">
        <is>
          <t>発</t>
        </is>
      </c>
      <c r="J1510" s="10" t="inlineStr">
        <is>
          <t>営業</t>
        </is>
      </c>
      <c r="L1510" t="inlineStr">
        <is>
          <t>6:24:40</t>
        </is>
      </c>
      <c r="M1510" t="inlineStr">
        <is>
          <t>6:24:50</t>
        </is>
      </c>
    </row>
    <row r="1511" ht="15" customHeight="1" s="37">
      <c r="A1511" t="n">
        <v>17</v>
      </c>
      <c r="B1511" s="10" t="inlineStr">
        <is>
          <t>休日</t>
        </is>
      </c>
      <c r="C1511" s="10" t="inlineStr">
        <is>
          <t>北野線</t>
        </is>
      </c>
      <c r="D1511" s="10" t="inlineStr">
        <is>
          <t>下り</t>
        </is>
      </c>
      <c r="E1511" t="inlineStr">
        <is>
          <t>0653</t>
        </is>
      </c>
      <c r="F1511" t="inlineStr">
        <is>
          <t>0403</t>
        </is>
      </c>
      <c r="G1511" s="10" t="inlineStr">
        <is>
          <t>宇多野</t>
        </is>
      </c>
      <c r="H1511" s="10" t="inlineStr">
        <is>
          <t>発</t>
        </is>
      </c>
      <c r="J1511" s="10" t="inlineStr">
        <is>
          <t>営業</t>
        </is>
      </c>
      <c r="L1511" t="inlineStr">
        <is>
          <t>6:25:50</t>
        </is>
      </c>
      <c r="M1511" t="inlineStr">
        <is>
          <t>6:25:55</t>
        </is>
      </c>
    </row>
    <row r="1512" ht="15" customHeight="1" s="37">
      <c r="A1512" t="n">
        <v>17</v>
      </c>
      <c r="B1512" s="10" t="inlineStr">
        <is>
          <t>休日</t>
        </is>
      </c>
      <c r="C1512" s="10" t="inlineStr">
        <is>
          <t>北野線</t>
        </is>
      </c>
      <c r="D1512" s="10" t="inlineStr">
        <is>
          <t>下り</t>
        </is>
      </c>
      <c r="E1512" t="inlineStr">
        <is>
          <t>0653</t>
        </is>
      </c>
      <c r="F1512" t="inlineStr">
        <is>
          <t>0403</t>
        </is>
      </c>
      <c r="G1512" s="10" t="inlineStr">
        <is>
          <t>鳴滝</t>
        </is>
      </c>
      <c r="H1512" s="10" t="inlineStr">
        <is>
          <t>発</t>
        </is>
      </c>
      <c r="J1512" s="10" t="inlineStr">
        <is>
          <t>営業</t>
        </is>
      </c>
      <c r="L1512" t="inlineStr">
        <is>
          <t>6:27:15</t>
        </is>
      </c>
      <c r="M1512" t="inlineStr">
        <is>
          <t>6:27:25</t>
        </is>
      </c>
    </row>
    <row r="1513" ht="15" customHeight="1" s="37">
      <c r="A1513" t="n">
        <v>17</v>
      </c>
      <c r="B1513" s="10" t="inlineStr">
        <is>
          <t>休日</t>
        </is>
      </c>
      <c r="C1513" s="10" t="inlineStr">
        <is>
          <t>北野線</t>
        </is>
      </c>
      <c r="D1513" s="10" t="inlineStr">
        <is>
          <t>下り</t>
        </is>
      </c>
      <c r="E1513" t="inlineStr">
        <is>
          <t>0653</t>
        </is>
      </c>
      <c r="F1513" t="inlineStr">
        <is>
          <t>0403</t>
        </is>
      </c>
      <c r="G1513" s="10" t="inlineStr">
        <is>
          <t>常盤</t>
        </is>
      </c>
      <c r="H1513" s="10" t="inlineStr">
        <is>
          <t>発</t>
        </is>
      </c>
      <c r="J1513" s="10" t="inlineStr">
        <is>
          <t>営業</t>
        </is>
      </c>
      <c r="L1513" t="inlineStr">
        <is>
          <t>6:28:15</t>
        </is>
      </c>
      <c r="M1513" t="inlineStr">
        <is>
          <t>6:28:30</t>
        </is>
      </c>
    </row>
    <row r="1514" ht="15" customHeight="1" s="37">
      <c r="A1514" t="n">
        <v>17</v>
      </c>
      <c r="B1514" s="10" t="inlineStr">
        <is>
          <t>休日</t>
        </is>
      </c>
      <c r="C1514" s="10" t="inlineStr">
        <is>
          <t>北野線</t>
        </is>
      </c>
      <c r="D1514" s="10" t="inlineStr">
        <is>
          <t>下り</t>
        </is>
      </c>
      <c r="E1514" t="inlineStr">
        <is>
          <t>0653</t>
        </is>
      </c>
      <c r="F1514" t="inlineStr">
        <is>
          <t>0403</t>
        </is>
      </c>
      <c r="G1514" s="10" t="inlineStr">
        <is>
          <t>撮影所前</t>
        </is>
      </c>
      <c r="H1514" s="10" t="inlineStr">
        <is>
          <t>発</t>
        </is>
      </c>
      <c r="J1514" s="10" t="inlineStr">
        <is>
          <t>営業</t>
        </is>
      </c>
      <c r="L1514" t="inlineStr">
        <is>
          <t>6:29:50</t>
        </is>
      </c>
      <c r="M1514" t="inlineStr">
        <is>
          <t>6:29:55</t>
        </is>
      </c>
    </row>
    <row r="1515" ht="15" customHeight="1" s="37">
      <c r="A1515" t="n">
        <v>17</v>
      </c>
      <c r="B1515" s="10" t="inlineStr">
        <is>
          <t>休日</t>
        </is>
      </c>
      <c r="C1515" s="10" t="inlineStr">
        <is>
          <t>北野線</t>
        </is>
      </c>
      <c r="D1515" s="10" t="inlineStr">
        <is>
          <t>下り</t>
        </is>
      </c>
      <c r="E1515" t="inlineStr">
        <is>
          <t>0653</t>
        </is>
      </c>
      <c r="F1515" t="inlineStr">
        <is>
          <t>0403</t>
        </is>
      </c>
      <c r="G1515" s="10" t="inlineStr">
        <is>
          <t>帷子ノ辻</t>
        </is>
      </c>
      <c r="H1515" s="10" t="inlineStr">
        <is>
          <t>着</t>
        </is>
      </c>
      <c r="J1515" s="10" t="inlineStr">
        <is>
          <t>営業</t>
        </is>
      </c>
      <c r="L1515" t="inlineStr">
        <is>
          <t>6:31:00</t>
        </is>
      </c>
      <c r="N1515" t="inlineStr">
        <is>
          <t>○</t>
        </is>
      </c>
      <c r="Q1515" t="inlineStr">
        <is>
          <t>4</t>
        </is>
      </c>
    </row>
    <row r="1516" ht="15" customHeight="1" s="37">
      <c r="A1516" t="n">
        <v>17</v>
      </c>
      <c r="B1516" s="10" t="inlineStr">
        <is>
          <t>休日</t>
        </is>
      </c>
      <c r="C1516" s="10" t="inlineStr">
        <is>
          <t>北野線</t>
        </is>
      </c>
      <c r="D1516" s="10" t="inlineStr">
        <is>
          <t>上り</t>
        </is>
      </c>
      <c r="E1516" t="inlineStr">
        <is>
          <t>0656</t>
        </is>
      </c>
      <c r="F1516" t="inlineStr">
        <is>
          <t>0304</t>
        </is>
      </c>
      <c r="G1516" s="10" t="inlineStr">
        <is>
          <t>帷子ノ辻</t>
        </is>
      </c>
      <c r="H1516" s="10" t="inlineStr">
        <is>
          <t>発</t>
        </is>
      </c>
      <c r="J1516" s="10" t="inlineStr">
        <is>
          <t>営業</t>
        </is>
      </c>
      <c r="M1516" t="inlineStr">
        <is>
          <t>6:34:00</t>
        </is>
      </c>
      <c r="Q1516" t="inlineStr">
        <is>
          <t>4</t>
        </is>
      </c>
    </row>
    <row r="1517" ht="15" customHeight="1" s="37">
      <c r="A1517" t="n">
        <v>17</v>
      </c>
      <c r="B1517" s="10" t="inlineStr">
        <is>
          <t>休日</t>
        </is>
      </c>
      <c r="C1517" s="10" t="inlineStr">
        <is>
          <t>北野線</t>
        </is>
      </c>
      <c r="D1517" s="10" t="inlineStr">
        <is>
          <t>上り</t>
        </is>
      </c>
      <c r="E1517" t="inlineStr">
        <is>
          <t>0656</t>
        </is>
      </c>
      <c r="F1517" t="inlineStr">
        <is>
          <t>0304</t>
        </is>
      </c>
      <c r="G1517" s="10" t="inlineStr">
        <is>
          <t>撮影所前</t>
        </is>
      </c>
      <c r="H1517" s="10" t="inlineStr">
        <is>
          <t>発</t>
        </is>
      </c>
      <c r="J1517" s="10" t="inlineStr">
        <is>
          <t>営業</t>
        </is>
      </c>
      <c r="L1517" t="inlineStr">
        <is>
          <t>6:35:00</t>
        </is>
      </c>
      <c r="M1517" t="inlineStr">
        <is>
          <t>6:35:15</t>
        </is>
      </c>
    </row>
    <row r="1518" ht="15" customHeight="1" s="37">
      <c r="A1518" t="n">
        <v>17</v>
      </c>
      <c r="B1518" s="10" t="inlineStr">
        <is>
          <t>休日</t>
        </is>
      </c>
      <c r="C1518" s="10" t="inlineStr">
        <is>
          <t>北野線</t>
        </is>
      </c>
      <c r="D1518" s="10" t="inlineStr">
        <is>
          <t>上り</t>
        </is>
      </c>
      <c r="E1518" t="inlineStr">
        <is>
          <t>0656</t>
        </is>
      </c>
      <c r="F1518" t="inlineStr">
        <is>
          <t>0304</t>
        </is>
      </c>
      <c r="G1518" s="10" t="inlineStr">
        <is>
          <t>常盤</t>
        </is>
      </c>
      <c r="H1518" s="10" t="inlineStr">
        <is>
          <t>発</t>
        </is>
      </c>
      <c r="J1518" s="10" t="inlineStr">
        <is>
          <t>営業</t>
        </is>
      </c>
      <c r="L1518" t="inlineStr">
        <is>
          <t>6:36:35</t>
        </is>
      </c>
      <c r="M1518" t="inlineStr">
        <is>
          <t>6:36:55</t>
        </is>
      </c>
    </row>
    <row r="1519" ht="15" customHeight="1" s="37">
      <c r="A1519" t="n">
        <v>17</v>
      </c>
      <c r="B1519" s="10" t="inlineStr">
        <is>
          <t>休日</t>
        </is>
      </c>
      <c r="C1519" s="10" t="inlineStr">
        <is>
          <t>北野線</t>
        </is>
      </c>
      <c r="D1519" s="10" t="inlineStr">
        <is>
          <t>上り</t>
        </is>
      </c>
      <c r="E1519" t="inlineStr">
        <is>
          <t>0656</t>
        </is>
      </c>
      <c r="F1519" t="inlineStr">
        <is>
          <t>0304</t>
        </is>
      </c>
      <c r="G1519" s="10" t="inlineStr">
        <is>
          <t>鳴滝</t>
        </is>
      </c>
      <c r="H1519" s="10" t="inlineStr">
        <is>
          <t>発</t>
        </is>
      </c>
      <c r="J1519" s="10" t="inlineStr">
        <is>
          <t>営業</t>
        </is>
      </c>
      <c r="L1519" t="inlineStr">
        <is>
          <t>6:37:55</t>
        </is>
      </c>
      <c r="M1519" t="inlineStr">
        <is>
          <t>6:38:15</t>
        </is>
      </c>
    </row>
    <row r="1520" ht="15" customHeight="1" s="37">
      <c r="A1520" t="n">
        <v>17</v>
      </c>
      <c r="B1520" s="10" t="inlineStr">
        <is>
          <t>休日</t>
        </is>
      </c>
      <c r="C1520" s="10" t="inlineStr">
        <is>
          <t>北野線</t>
        </is>
      </c>
      <c r="D1520" s="10" t="inlineStr">
        <is>
          <t>上り</t>
        </is>
      </c>
      <c r="E1520" t="inlineStr">
        <is>
          <t>0656</t>
        </is>
      </c>
      <c r="F1520" t="inlineStr">
        <is>
          <t>0304</t>
        </is>
      </c>
      <c r="G1520" s="10" t="inlineStr">
        <is>
          <t>宇多野</t>
        </is>
      </c>
      <c r="H1520" s="10" t="inlineStr">
        <is>
          <t>発</t>
        </is>
      </c>
      <c r="J1520" s="10" t="inlineStr">
        <is>
          <t>営業</t>
        </is>
      </c>
      <c r="L1520" t="inlineStr">
        <is>
          <t>6:39:35</t>
        </is>
      </c>
      <c r="M1520" t="inlineStr">
        <is>
          <t>6:39:50</t>
        </is>
      </c>
    </row>
    <row r="1521" ht="15" customHeight="1" s="37">
      <c r="A1521" t="n">
        <v>17</v>
      </c>
      <c r="B1521" s="10" t="inlineStr">
        <is>
          <t>休日</t>
        </is>
      </c>
      <c r="C1521" s="10" t="inlineStr">
        <is>
          <t>北野線</t>
        </is>
      </c>
      <c r="D1521" s="10" t="inlineStr">
        <is>
          <t>上り</t>
        </is>
      </c>
      <c r="E1521" t="inlineStr">
        <is>
          <t>0656</t>
        </is>
      </c>
      <c r="F1521" t="inlineStr">
        <is>
          <t>0304</t>
        </is>
      </c>
      <c r="G1521" s="10" t="inlineStr">
        <is>
          <t>御室仁和寺</t>
        </is>
      </c>
      <c r="H1521" s="10" t="inlineStr">
        <is>
          <t>発</t>
        </is>
      </c>
      <c r="J1521" s="10" t="inlineStr">
        <is>
          <t>営業</t>
        </is>
      </c>
      <c r="L1521" t="inlineStr">
        <is>
          <t>6:40:50</t>
        </is>
      </c>
      <c r="M1521" t="inlineStr">
        <is>
          <t>6:40:55</t>
        </is>
      </c>
    </row>
    <row r="1522" ht="15" customHeight="1" s="37">
      <c r="A1522" t="n">
        <v>17</v>
      </c>
      <c r="B1522" s="10" t="inlineStr">
        <is>
          <t>休日</t>
        </is>
      </c>
      <c r="C1522" s="10" t="inlineStr">
        <is>
          <t>北野線</t>
        </is>
      </c>
      <c r="D1522" s="10" t="inlineStr">
        <is>
          <t>上り</t>
        </is>
      </c>
      <c r="E1522" t="inlineStr">
        <is>
          <t>0656</t>
        </is>
      </c>
      <c r="F1522" t="inlineStr">
        <is>
          <t>0304</t>
        </is>
      </c>
      <c r="G1522" s="10" t="inlineStr">
        <is>
          <t>妙心寺</t>
        </is>
      </c>
      <c r="H1522" s="10" t="inlineStr">
        <is>
          <t>発</t>
        </is>
      </c>
      <c r="J1522" s="10" t="inlineStr">
        <is>
          <t>営業</t>
        </is>
      </c>
      <c r="L1522" t="inlineStr">
        <is>
          <t>6:41:55</t>
        </is>
      </c>
      <c r="M1522" t="inlineStr">
        <is>
          <t>6:42:10</t>
        </is>
      </c>
    </row>
    <row r="1523" ht="15" customHeight="1" s="37">
      <c r="A1523" t="n">
        <v>17</v>
      </c>
      <c r="B1523" s="10" t="inlineStr">
        <is>
          <t>休日</t>
        </is>
      </c>
      <c r="C1523" s="10" t="inlineStr">
        <is>
          <t>北野線</t>
        </is>
      </c>
      <c r="D1523" s="10" t="inlineStr">
        <is>
          <t>上り</t>
        </is>
      </c>
      <c r="E1523" t="inlineStr">
        <is>
          <t>0656</t>
        </is>
      </c>
      <c r="F1523" t="inlineStr">
        <is>
          <t>0304</t>
        </is>
      </c>
      <c r="G1523" s="10" t="inlineStr">
        <is>
          <t>龍安寺</t>
        </is>
      </c>
      <c r="H1523" s="10" t="inlineStr">
        <is>
          <t>発</t>
        </is>
      </c>
      <c r="J1523" s="10" t="inlineStr">
        <is>
          <t>営業</t>
        </is>
      </c>
      <c r="L1523" t="inlineStr">
        <is>
          <t>6:43:05</t>
        </is>
      </c>
      <c r="M1523" t="inlineStr">
        <is>
          <t>6:43:25</t>
        </is>
      </c>
    </row>
    <row r="1524" ht="15" customHeight="1" s="37">
      <c r="A1524" t="n">
        <v>17</v>
      </c>
      <c r="B1524" s="10" t="inlineStr">
        <is>
          <t>休日</t>
        </is>
      </c>
      <c r="C1524" s="10" t="inlineStr">
        <is>
          <t>北野線</t>
        </is>
      </c>
      <c r="D1524" s="10" t="inlineStr">
        <is>
          <t>上り</t>
        </is>
      </c>
      <c r="E1524" t="inlineStr">
        <is>
          <t>0656</t>
        </is>
      </c>
      <c r="F1524" t="inlineStr">
        <is>
          <t>0304</t>
        </is>
      </c>
      <c r="G1524" s="10" t="inlineStr">
        <is>
          <t>等持院</t>
        </is>
      </c>
      <c r="H1524" s="10" t="inlineStr">
        <is>
          <t>発</t>
        </is>
      </c>
      <c r="J1524" s="10" t="inlineStr">
        <is>
          <t>営業</t>
        </is>
      </c>
      <c r="L1524" t="inlineStr">
        <is>
          <t>6:44:05</t>
        </is>
      </c>
      <c r="M1524" t="inlineStr">
        <is>
          <t>6:44:15</t>
        </is>
      </c>
    </row>
    <row r="1525" ht="15" customHeight="1" s="37">
      <c r="A1525" t="n">
        <v>17</v>
      </c>
      <c r="B1525" s="10" t="inlineStr">
        <is>
          <t>休日</t>
        </is>
      </c>
      <c r="C1525" s="10" t="inlineStr">
        <is>
          <t>北野線</t>
        </is>
      </c>
      <c r="D1525" s="10" t="inlineStr">
        <is>
          <t>上り</t>
        </is>
      </c>
      <c r="E1525" t="inlineStr">
        <is>
          <t>0656</t>
        </is>
      </c>
      <c r="F1525" t="inlineStr">
        <is>
          <t>0304</t>
        </is>
      </c>
      <c r="G1525" s="10" t="inlineStr">
        <is>
          <t>北野白梅町</t>
        </is>
      </c>
      <c r="H1525" s="10" t="inlineStr">
        <is>
          <t>着</t>
        </is>
      </c>
      <c r="J1525" s="10" t="inlineStr">
        <is>
          <t>営業</t>
        </is>
      </c>
      <c r="L1525" t="inlineStr">
        <is>
          <t>6:45:50</t>
        </is>
      </c>
      <c r="N1525" t="inlineStr">
        <is>
          <t>○</t>
        </is>
      </c>
      <c r="Q1525" t="inlineStr">
        <is>
          <t>1</t>
        </is>
      </c>
    </row>
    <row r="1526" ht="15" customHeight="1" s="37">
      <c r="A1526" t="n">
        <v>17</v>
      </c>
      <c r="B1526" s="10" t="inlineStr">
        <is>
          <t>休日</t>
        </is>
      </c>
      <c r="C1526" s="10" t="inlineStr">
        <is>
          <t>北野線</t>
        </is>
      </c>
      <c r="D1526" s="10" t="inlineStr">
        <is>
          <t>下り</t>
        </is>
      </c>
      <c r="E1526" t="inlineStr">
        <is>
          <t>0657</t>
        </is>
      </c>
      <c r="F1526" t="inlineStr">
        <is>
          <t>0453</t>
        </is>
      </c>
      <c r="G1526" s="10" t="inlineStr">
        <is>
          <t>北野白梅町</t>
        </is>
      </c>
      <c r="H1526" s="10" t="inlineStr">
        <is>
          <t>発</t>
        </is>
      </c>
      <c r="J1526" s="10" t="inlineStr">
        <is>
          <t>営業</t>
        </is>
      </c>
      <c r="M1526" t="inlineStr">
        <is>
          <t>6:52:00</t>
        </is>
      </c>
      <c r="Q1526" t="inlineStr">
        <is>
          <t>1</t>
        </is>
      </c>
    </row>
    <row r="1527" ht="15" customHeight="1" s="37">
      <c r="A1527" t="n">
        <v>17</v>
      </c>
      <c r="B1527" s="10" t="inlineStr">
        <is>
          <t>休日</t>
        </is>
      </c>
      <c r="C1527" s="10" t="inlineStr">
        <is>
          <t>北野線</t>
        </is>
      </c>
      <c r="D1527" s="10" t="inlineStr">
        <is>
          <t>下り</t>
        </is>
      </c>
      <c r="E1527" t="inlineStr">
        <is>
          <t>0657</t>
        </is>
      </c>
      <c r="F1527" t="inlineStr">
        <is>
          <t>0453</t>
        </is>
      </c>
      <c r="G1527" s="10" t="inlineStr">
        <is>
          <t>等持院</t>
        </is>
      </c>
      <c r="H1527" s="10" t="inlineStr">
        <is>
          <t>発</t>
        </is>
      </c>
      <c r="J1527" s="10" t="inlineStr">
        <is>
          <t>営業</t>
        </is>
      </c>
      <c r="L1527" t="inlineStr">
        <is>
          <t>6:53:25</t>
        </is>
      </c>
      <c r="M1527" t="inlineStr">
        <is>
          <t>6:53:35</t>
        </is>
      </c>
    </row>
    <row r="1528" ht="15" customHeight="1" s="37">
      <c r="A1528" t="n">
        <v>17</v>
      </c>
      <c r="B1528" s="10" t="inlineStr">
        <is>
          <t>休日</t>
        </is>
      </c>
      <c r="C1528" s="10" t="inlineStr">
        <is>
          <t>北野線</t>
        </is>
      </c>
      <c r="D1528" s="10" t="inlineStr">
        <is>
          <t>下り</t>
        </is>
      </c>
      <c r="E1528" t="inlineStr">
        <is>
          <t>0657</t>
        </is>
      </c>
      <c r="F1528" t="inlineStr">
        <is>
          <t>0453</t>
        </is>
      </c>
      <c r="G1528" s="10" t="inlineStr">
        <is>
          <t>龍安寺</t>
        </is>
      </c>
      <c r="H1528" s="10" t="inlineStr">
        <is>
          <t>発</t>
        </is>
      </c>
      <c r="J1528" s="10" t="inlineStr">
        <is>
          <t>営業</t>
        </is>
      </c>
      <c r="L1528" t="inlineStr">
        <is>
          <t>6:54:25</t>
        </is>
      </c>
      <c r="M1528" t="inlineStr">
        <is>
          <t>6:54:45</t>
        </is>
      </c>
    </row>
    <row r="1529" ht="15" customHeight="1" s="37">
      <c r="A1529" t="n">
        <v>17</v>
      </c>
      <c r="B1529" s="10" t="inlineStr">
        <is>
          <t>休日</t>
        </is>
      </c>
      <c r="C1529" s="10" t="inlineStr">
        <is>
          <t>北野線</t>
        </is>
      </c>
      <c r="D1529" s="10" t="inlineStr">
        <is>
          <t>下り</t>
        </is>
      </c>
      <c r="E1529" t="inlineStr">
        <is>
          <t>0657</t>
        </is>
      </c>
      <c r="F1529" t="inlineStr">
        <is>
          <t>0453</t>
        </is>
      </c>
      <c r="G1529" s="10" t="inlineStr">
        <is>
          <t>妙心寺</t>
        </is>
      </c>
      <c r="H1529" s="10" t="inlineStr">
        <is>
          <t>発</t>
        </is>
      </c>
      <c r="J1529" s="10" t="inlineStr">
        <is>
          <t>営業</t>
        </is>
      </c>
      <c r="L1529" t="inlineStr">
        <is>
          <t>6:55:40</t>
        </is>
      </c>
      <c r="M1529" t="inlineStr">
        <is>
          <t>6:55:50</t>
        </is>
      </c>
    </row>
    <row r="1530" ht="15" customHeight="1" s="37">
      <c r="A1530" t="n">
        <v>17</v>
      </c>
      <c r="B1530" s="10" t="inlineStr">
        <is>
          <t>休日</t>
        </is>
      </c>
      <c r="C1530" s="10" t="inlineStr">
        <is>
          <t>北野線</t>
        </is>
      </c>
      <c r="D1530" s="10" t="inlineStr">
        <is>
          <t>下り</t>
        </is>
      </c>
      <c r="E1530" t="inlineStr">
        <is>
          <t>0657</t>
        </is>
      </c>
      <c r="F1530" t="inlineStr">
        <is>
          <t>0453</t>
        </is>
      </c>
      <c r="G1530" s="10" t="inlineStr">
        <is>
          <t>御室仁和寺</t>
        </is>
      </c>
      <c r="H1530" s="10" t="inlineStr">
        <is>
          <t>発</t>
        </is>
      </c>
      <c r="J1530" s="10" t="inlineStr">
        <is>
          <t>営業</t>
        </is>
      </c>
      <c r="L1530" t="inlineStr">
        <is>
          <t>6:56:50</t>
        </is>
      </c>
      <c r="M1530" t="inlineStr">
        <is>
          <t>6:56:55</t>
        </is>
      </c>
    </row>
    <row r="1531" ht="15" customHeight="1" s="37">
      <c r="A1531" t="n">
        <v>17</v>
      </c>
      <c r="B1531" s="10" t="inlineStr">
        <is>
          <t>休日</t>
        </is>
      </c>
      <c r="C1531" s="10" t="inlineStr">
        <is>
          <t>北野線</t>
        </is>
      </c>
      <c r="D1531" s="10" t="inlineStr">
        <is>
          <t>下り</t>
        </is>
      </c>
      <c r="E1531" t="inlineStr">
        <is>
          <t>0657</t>
        </is>
      </c>
      <c r="F1531" t="inlineStr">
        <is>
          <t>0453</t>
        </is>
      </c>
      <c r="G1531" s="10" t="inlineStr">
        <is>
          <t>宇多野</t>
        </is>
      </c>
      <c r="H1531" s="10" t="inlineStr">
        <is>
          <t>発</t>
        </is>
      </c>
      <c r="J1531" s="10" t="inlineStr">
        <is>
          <t>営業</t>
        </is>
      </c>
      <c r="L1531" t="inlineStr">
        <is>
          <t>6:57:55</t>
        </is>
      </c>
      <c r="M1531" t="inlineStr">
        <is>
          <t>6:58:05</t>
        </is>
      </c>
    </row>
    <row r="1532" ht="15" customHeight="1" s="37">
      <c r="A1532" t="n">
        <v>17</v>
      </c>
      <c r="B1532" s="10" t="inlineStr">
        <is>
          <t>休日</t>
        </is>
      </c>
      <c r="C1532" s="10" t="inlineStr">
        <is>
          <t>北野線</t>
        </is>
      </c>
      <c r="D1532" s="10" t="inlineStr">
        <is>
          <t>下り</t>
        </is>
      </c>
      <c r="E1532" t="inlineStr">
        <is>
          <t>0657</t>
        </is>
      </c>
      <c r="F1532" t="inlineStr">
        <is>
          <t>0453</t>
        </is>
      </c>
      <c r="G1532" s="10" t="inlineStr">
        <is>
          <t>鳴滝</t>
        </is>
      </c>
      <c r="H1532" s="10" t="inlineStr">
        <is>
          <t>発</t>
        </is>
      </c>
      <c r="J1532" s="10" t="inlineStr">
        <is>
          <t>営業</t>
        </is>
      </c>
      <c r="L1532" t="inlineStr">
        <is>
          <t>6:59:25</t>
        </is>
      </c>
      <c r="M1532" t="inlineStr">
        <is>
          <t>6:59:35</t>
        </is>
      </c>
    </row>
    <row r="1533" ht="15" customHeight="1" s="37">
      <c r="A1533" t="n">
        <v>17</v>
      </c>
      <c r="B1533" s="10" t="inlineStr">
        <is>
          <t>休日</t>
        </is>
      </c>
      <c r="C1533" s="10" t="inlineStr">
        <is>
          <t>北野線</t>
        </is>
      </c>
      <c r="D1533" s="10" t="inlineStr">
        <is>
          <t>下り</t>
        </is>
      </c>
      <c r="E1533" t="inlineStr">
        <is>
          <t>0657</t>
        </is>
      </c>
      <c r="F1533" t="inlineStr">
        <is>
          <t>0453</t>
        </is>
      </c>
      <c r="G1533" s="10" t="inlineStr">
        <is>
          <t>常盤</t>
        </is>
      </c>
      <c r="H1533" s="10" t="inlineStr">
        <is>
          <t>発</t>
        </is>
      </c>
      <c r="J1533" s="10" t="inlineStr">
        <is>
          <t>営業</t>
        </is>
      </c>
      <c r="L1533" t="inlineStr">
        <is>
          <t>7:00:25</t>
        </is>
      </c>
      <c r="M1533" t="inlineStr">
        <is>
          <t>7:00:35</t>
        </is>
      </c>
    </row>
    <row r="1534" ht="15" customHeight="1" s="37">
      <c r="A1534" t="n">
        <v>17</v>
      </c>
      <c r="B1534" s="10" t="inlineStr">
        <is>
          <t>休日</t>
        </is>
      </c>
      <c r="C1534" s="10" t="inlineStr">
        <is>
          <t>北野線</t>
        </is>
      </c>
      <c r="D1534" s="10" t="inlineStr">
        <is>
          <t>下り</t>
        </is>
      </c>
      <c r="E1534" t="inlineStr">
        <is>
          <t>0657</t>
        </is>
      </c>
      <c r="F1534" t="inlineStr">
        <is>
          <t>0453</t>
        </is>
      </c>
      <c r="G1534" s="10" t="inlineStr">
        <is>
          <t>撮影所前</t>
        </is>
      </c>
      <c r="H1534" s="10" t="inlineStr">
        <is>
          <t>発</t>
        </is>
      </c>
      <c r="J1534" s="10" t="inlineStr">
        <is>
          <t>営業</t>
        </is>
      </c>
      <c r="L1534" t="inlineStr">
        <is>
          <t>7:01:55</t>
        </is>
      </c>
      <c r="M1534" t="inlineStr">
        <is>
          <t>7:02:05</t>
        </is>
      </c>
    </row>
    <row r="1535" ht="15" customHeight="1" s="37">
      <c r="A1535" t="n">
        <v>17</v>
      </c>
      <c r="B1535" s="10" t="inlineStr">
        <is>
          <t>休日</t>
        </is>
      </c>
      <c r="C1535" s="10" t="inlineStr">
        <is>
          <t>北野線</t>
        </is>
      </c>
      <c r="D1535" s="10" t="inlineStr">
        <is>
          <t>下り</t>
        </is>
      </c>
      <c r="E1535" t="inlineStr">
        <is>
          <t>0657</t>
        </is>
      </c>
      <c r="F1535" t="inlineStr">
        <is>
          <t>0453</t>
        </is>
      </c>
      <c r="G1535" s="10" t="inlineStr">
        <is>
          <t>帷子ノ辻</t>
        </is>
      </c>
      <c r="H1535" s="10" t="inlineStr">
        <is>
          <t>着</t>
        </is>
      </c>
      <c r="J1535" s="10" t="inlineStr">
        <is>
          <t>営業</t>
        </is>
      </c>
      <c r="L1535" t="inlineStr">
        <is>
          <t>7:03:00</t>
        </is>
      </c>
      <c r="Q1535" t="inlineStr">
        <is>
          <t>4</t>
        </is>
      </c>
    </row>
    <row r="1536" ht="15" customHeight="1" s="37">
      <c r="A1536" t="n">
        <v>17</v>
      </c>
      <c r="B1536" s="10" t="inlineStr">
        <is>
          <t>休日</t>
        </is>
      </c>
      <c r="C1536" s="10" t="inlineStr">
        <is>
          <t>北野線</t>
        </is>
      </c>
      <c r="D1536" s="10" t="inlineStr">
        <is>
          <t>上り</t>
        </is>
      </c>
      <c r="E1536" t="inlineStr">
        <is>
          <t>0752</t>
        </is>
      </c>
      <c r="F1536" t="inlineStr">
        <is>
          <t>0354</t>
        </is>
      </c>
      <c r="G1536" s="10" t="inlineStr">
        <is>
          <t>帷子ノ辻</t>
        </is>
      </c>
      <c r="H1536" s="10" t="inlineStr">
        <is>
          <t>発</t>
        </is>
      </c>
      <c r="J1536" s="10" t="inlineStr">
        <is>
          <t>営業</t>
        </is>
      </c>
      <c r="M1536" t="inlineStr">
        <is>
          <t>7:06:25</t>
        </is>
      </c>
      <c r="Q1536" t="inlineStr">
        <is>
          <t>4</t>
        </is>
      </c>
    </row>
    <row r="1537" ht="15" customHeight="1" s="37">
      <c r="A1537" t="n">
        <v>17</v>
      </c>
      <c r="B1537" s="10" t="inlineStr">
        <is>
          <t>休日</t>
        </is>
      </c>
      <c r="C1537" s="10" t="inlineStr">
        <is>
          <t>北野線</t>
        </is>
      </c>
      <c r="D1537" s="10" t="inlineStr">
        <is>
          <t>上り</t>
        </is>
      </c>
      <c r="E1537" t="inlineStr">
        <is>
          <t>0752</t>
        </is>
      </c>
      <c r="F1537" t="inlineStr">
        <is>
          <t>0354</t>
        </is>
      </c>
      <c r="G1537" s="10" t="inlineStr">
        <is>
          <t>撮影所前</t>
        </is>
      </c>
      <c r="H1537" s="10" t="inlineStr">
        <is>
          <t>発</t>
        </is>
      </c>
      <c r="J1537" s="10" t="inlineStr">
        <is>
          <t>営業</t>
        </is>
      </c>
      <c r="L1537" t="inlineStr">
        <is>
          <t>7:07:25</t>
        </is>
      </c>
      <c r="M1537" t="inlineStr">
        <is>
          <t>7:07:40</t>
        </is>
      </c>
    </row>
    <row r="1538" ht="15" customHeight="1" s="37">
      <c r="A1538" t="n">
        <v>17</v>
      </c>
      <c r="B1538" s="10" t="inlineStr">
        <is>
          <t>休日</t>
        </is>
      </c>
      <c r="C1538" s="10" t="inlineStr">
        <is>
          <t>北野線</t>
        </is>
      </c>
      <c r="D1538" s="10" t="inlineStr">
        <is>
          <t>上り</t>
        </is>
      </c>
      <c r="E1538" t="inlineStr">
        <is>
          <t>0752</t>
        </is>
      </c>
      <c r="F1538" t="inlineStr">
        <is>
          <t>0354</t>
        </is>
      </c>
      <c r="G1538" s="10" t="inlineStr">
        <is>
          <t>常盤</t>
        </is>
      </c>
      <c r="H1538" s="10" t="inlineStr">
        <is>
          <t>発</t>
        </is>
      </c>
      <c r="J1538" s="10" t="inlineStr">
        <is>
          <t>営業</t>
        </is>
      </c>
      <c r="L1538" t="inlineStr">
        <is>
          <t>7:09:00</t>
        </is>
      </c>
      <c r="M1538" t="inlineStr">
        <is>
          <t>7:09:20</t>
        </is>
      </c>
    </row>
    <row r="1539" ht="15" customHeight="1" s="37">
      <c r="A1539" t="n">
        <v>17</v>
      </c>
      <c r="B1539" s="10" t="inlineStr">
        <is>
          <t>休日</t>
        </is>
      </c>
      <c r="C1539" s="10" t="inlineStr">
        <is>
          <t>北野線</t>
        </is>
      </c>
      <c r="D1539" s="10" t="inlineStr">
        <is>
          <t>上り</t>
        </is>
      </c>
      <c r="E1539" t="inlineStr">
        <is>
          <t>0752</t>
        </is>
      </c>
      <c r="F1539" t="inlineStr">
        <is>
          <t>0354</t>
        </is>
      </c>
      <c r="G1539" s="10" t="inlineStr">
        <is>
          <t>鳴滝</t>
        </is>
      </c>
      <c r="H1539" s="10" t="inlineStr">
        <is>
          <t>発</t>
        </is>
      </c>
      <c r="J1539" s="10" t="inlineStr">
        <is>
          <t>営業</t>
        </is>
      </c>
      <c r="L1539" t="inlineStr">
        <is>
          <t>7:10:20</t>
        </is>
      </c>
      <c r="M1539" t="inlineStr">
        <is>
          <t>7:10:40</t>
        </is>
      </c>
    </row>
    <row r="1540" ht="15" customHeight="1" s="37">
      <c r="A1540" t="n">
        <v>17</v>
      </c>
      <c r="B1540" s="10" t="inlineStr">
        <is>
          <t>休日</t>
        </is>
      </c>
      <c r="C1540" s="10" t="inlineStr">
        <is>
          <t>北野線</t>
        </is>
      </c>
      <c r="D1540" s="10" t="inlineStr">
        <is>
          <t>上り</t>
        </is>
      </c>
      <c r="E1540" t="inlineStr">
        <is>
          <t>0752</t>
        </is>
      </c>
      <c r="F1540" t="inlineStr">
        <is>
          <t>0354</t>
        </is>
      </c>
      <c r="G1540" s="10" t="inlineStr">
        <is>
          <t>宇多野</t>
        </is>
      </c>
      <c r="H1540" s="10" t="inlineStr">
        <is>
          <t>発</t>
        </is>
      </c>
      <c r="J1540" s="10" t="inlineStr">
        <is>
          <t>営業</t>
        </is>
      </c>
      <c r="L1540" t="inlineStr">
        <is>
          <t>7:12:00</t>
        </is>
      </c>
      <c r="M1540" t="inlineStr">
        <is>
          <t>7:12:15</t>
        </is>
      </c>
    </row>
    <row r="1541" ht="15" customHeight="1" s="37">
      <c r="A1541" t="n">
        <v>17</v>
      </c>
      <c r="B1541" s="10" t="inlineStr">
        <is>
          <t>休日</t>
        </is>
      </c>
      <c r="C1541" s="10" t="inlineStr">
        <is>
          <t>北野線</t>
        </is>
      </c>
      <c r="D1541" s="10" t="inlineStr">
        <is>
          <t>上り</t>
        </is>
      </c>
      <c r="E1541" t="inlineStr">
        <is>
          <t>0752</t>
        </is>
      </c>
      <c r="F1541" t="inlineStr">
        <is>
          <t>0354</t>
        </is>
      </c>
      <c r="G1541" s="10" t="inlineStr">
        <is>
          <t>御室仁和寺</t>
        </is>
      </c>
      <c r="H1541" s="10" t="inlineStr">
        <is>
          <t>発</t>
        </is>
      </c>
      <c r="J1541" s="10" t="inlineStr">
        <is>
          <t>営業</t>
        </is>
      </c>
      <c r="L1541" t="inlineStr">
        <is>
          <t>7:13:15</t>
        </is>
      </c>
      <c r="M1541" t="inlineStr">
        <is>
          <t>7:13:35</t>
        </is>
      </c>
    </row>
    <row r="1542" ht="15" customHeight="1" s="37">
      <c r="A1542" t="n">
        <v>17</v>
      </c>
      <c r="B1542" s="10" t="inlineStr">
        <is>
          <t>休日</t>
        </is>
      </c>
      <c r="C1542" s="10" t="inlineStr">
        <is>
          <t>北野線</t>
        </is>
      </c>
      <c r="D1542" s="10" t="inlineStr">
        <is>
          <t>上り</t>
        </is>
      </c>
      <c r="E1542" t="inlineStr">
        <is>
          <t>0752</t>
        </is>
      </c>
      <c r="F1542" t="inlineStr">
        <is>
          <t>0354</t>
        </is>
      </c>
      <c r="G1542" s="10" t="inlineStr">
        <is>
          <t>妙心寺</t>
        </is>
      </c>
      <c r="H1542" s="10" t="inlineStr">
        <is>
          <t>発</t>
        </is>
      </c>
      <c r="J1542" s="10" t="inlineStr">
        <is>
          <t>営業</t>
        </is>
      </c>
      <c r="L1542" t="inlineStr">
        <is>
          <t>7:14:35</t>
        </is>
      </c>
      <c r="M1542" t="inlineStr">
        <is>
          <t>7:14:50</t>
        </is>
      </c>
    </row>
    <row r="1543" ht="15" customHeight="1" s="37">
      <c r="A1543" t="n">
        <v>17</v>
      </c>
      <c r="B1543" s="10" t="inlineStr">
        <is>
          <t>休日</t>
        </is>
      </c>
      <c r="C1543" s="10" t="inlineStr">
        <is>
          <t>北野線</t>
        </is>
      </c>
      <c r="D1543" s="10" t="inlineStr">
        <is>
          <t>上り</t>
        </is>
      </c>
      <c r="E1543" t="inlineStr">
        <is>
          <t>0752</t>
        </is>
      </c>
      <c r="F1543" t="inlineStr">
        <is>
          <t>0354</t>
        </is>
      </c>
      <c r="G1543" s="10" t="inlineStr">
        <is>
          <t>龍安寺</t>
        </is>
      </c>
      <c r="H1543" s="10" t="inlineStr">
        <is>
          <t>発</t>
        </is>
      </c>
      <c r="J1543" s="10" t="inlineStr">
        <is>
          <t>営業</t>
        </is>
      </c>
      <c r="L1543" t="inlineStr">
        <is>
          <t>7:15:45</t>
        </is>
      </c>
      <c r="M1543" t="inlineStr">
        <is>
          <t>7:15:55</t>
        </is>
      </c>
    </row>
    <row r="1544" ht="15" customHeight="1" s="37">
      <c r="A1544" t="n">
        <v>17</v>
      </c>
      <c r="B1544" s="10" t="inlineStr">
        <is>
          <t>休日</t>
        </is>
      </c>
      <c r="C1544" s="10" t="inlineStr">
        <is>
          <t>北野線</t>
        </is>
      </c>
      <c r="D1544" s="10" t="inlineStr">
        <is>
          <t>上り</t>
        </is>
      </c>
      <c r="E1544" t="inlineStr">
        <is>
          <t>0752</t>
        </is>
      </c>
      <c r="F1544" t="inlineStr">
        <is>
          <t>0354</t>
        </is>
      </c>
      <c r="G1544" s="10" t="inlineStr">
        <is>
          <t>等持院</t>
        </is>
      </c>
      <c r="H1544" s="10" t="inlineStr">
        <is>
          <t>発</t>
        </is>
      </c>
      <c r="J1544" s="10" t="inlineStr">
        <is>
          <t>営業</t>
        </is>
      </c>
      <c r="L1544" t="inlineStr">
        <is>
          <t>7:16:35</t>
        </is>
      </c>
      <c r="M1544" t="inlineStr">
        <is>
          <t>7:16:55</t>
        </is>
      </c>
    </row>
    <row r="1545" ht="15" customHeight="1" s="37">
      <c r="A1545" t="n">
        <v>17</v>
      </c>
      <c r="B1545" s="10" t="inlineStr">
        <is>
          <t>休日</t>
        </is>
      </c>
      <c r="C1545" s="10" t="inlineStr">
        <is>
          <t>北野線</t>
        </is>
      </c>
      <c r="D1545" s="10" t="inlineStr">
        <is>
          <t>上り</t>
        </is>
      </c>
      <c r="E1545" t="inlineStr">
        <is>
          <t>0752</t>
        </is>
      </c>
      <c r="F1545" t="inlineStr">
        <is>
          <t>0354</t>
        </is>
      </c>
      <c r="G1545" s="10" t="inlineStr">
        <is>
          <t>北野白梅町</t>
        </is>
      </c>
      <c r="H1545" s="10" t="inlineStr">
        <is>
          <t>着</t>
        </is>
      </c>
      <c r="J1545" s="10" t="inlineStr">
        <is>
          <t>営業</t>
        </is>
      </c>
      <c r="L1545" t="inlineStr">
        <is>
          <t>7:18:15</t>
        </is>
      </c>
      <c r="Q1545" t="inlineStr">
        <is>
          <t>1</t>
        </is>
      </c>
    </row>
    <row r="1546" ht="15" customHeight="1" s="37">
      <c r="A1546" t="n">
        <v>17</v>
      </c>
      <c r="B1546" s="10" t="inlineStr">
        <is>
          <t>休日</t>
        </is>
      </c>
      <c r="C1546" s="10" t="inlineStr">
        <is>
          <t>北野線</t>
        </is>
      </c>
      <c r="D1546" s="10" t="inlineStr">
        <is>
          <t>下り</t>
        </is>
      </c>
      <c r="E1546" t="inlineStr">
        <is>
          <t>0753</t>
        </is>
      </c>
      <c r="F1546" t="inlineStr">
        <is>
          <t>0453</t>
        </is>
      </c>
      <c r="G1546" s="10" t="inlineStr">
        <is>
          <t>北野白梅町</t>
        </is>
      </c>
      <c r="H1546" s="10" t="inlineStr">
        <is>
          <t>発</t>
        </is>
      </c>
      <c r="J1546" s="10" t="inlineStr">
        <is>
          <t>営業</t>
        </is>
      </c>
      <c r="M1546" t="inlineStr">
        <is>
          <t>7:23:00</t>
        </is>
      </c>
      <c r="Q1546" t="inlineStr">
        <is>
          <t>1</t>
        </is>
      </c>
    </row>
    <row r="1547" ht="15" customHeight="1" s="37">
      <c r="A1547" t="n">
        <v>17</v>
      </c>
      <c r="B1547" s="10" t="inlineStr">
        <is>
          <t>休日</t>
        </is>
      </c>
      <c r="C1547" s="10" t="inlineStr">
        <is>
          <t>北野線</t>
        </is>
      </c>
      <c r="D1547" s="10" t="inlineStr">
        <is>
          <t>下り</t>
        </is>
      </c>
      <c r="E1547" t="inlineStr">
        <is>
          <t>0753</t>
        </is>
      </c>
      <c r="F1547" t="inlineStr">
        <is>
          <t>0453</t>
        </is>
      </c>
      <c r="G1547" s="10" t="inlineStr">
        <is>
          <t>等持院</t>
        </is>
      </c>
      <c r="H1547" s="10" t="inlineStr">
        <is>
          <t>発</t>
        </is>
      </c>
      <c r="J1547" s="10" t="inlineStr">
        <is>
          <t>営業</t>
        </is>
      </c>
      <c r="L1547" t="inlineStr">
        <is>
          <t>7:24:25</t>
        </is>
      </c>
      <c r="M1547" t="inlineStr">
        <is>
          <t>7:24:35</t>
        </is>
      </c>
    </row>
    <row r="1548" ht="15" customHeight="1" s="37">
      <c r="A1548" t="n">
        <v>17</v>
      </c>
      <c r="B1548" s="10" t="inlineStr">
        <is>
          <t>休日</t>
        </is>
      </c>
      <c r="C1548" s="10" t="inlineStr">
        <is>
          <t>北野線</t>
        </is>
      </c>
      <c r="D1548" s="10" t="inlineStr">
        <is>
          <t>下り</t>
        </is>
      </c>
      <c r="E1548" t="inlineStr">
        <is>
          <t>0753</t>
        </is>
      </c>
      <c r="F1548" t="inlineStr">
        <is>
          <t>0453</t>
        </is>
      </c>
      <c r="G1548" s="10" t="inlineStr">
        <is>
          <t>龍安寺</t>
        </is>
      </c>
      <c r="H1548" s="10" t="inlineStr">
        <is>
          <t>発</t>
        </is>
      </c>
      <c r="J1548" s="10" t="inlineStr">
        <is>
          <t>営業</t>
        </is>
      </c>
      <c r="L1548" t="inlineStr">
        <is>
          <t>7:25:25</t>
        </is>
      </c>
      <c r="M1548" t="inlineStr">
        <is>
          <t>7:25:50</t>
        </is>
      </c>
    </row>
    <row r="1549" ht="15" customHeight="1" s="37">
      <c r="A1549" t="n">
        <v>17</v>
      </c>
      <c r="B1549" s="10" t="inlineStr">
        <is>
          <t>休日</t>
        </is>
      </c>
      <c r="C1549" s="10" t="inlineStr">
        <is>
          <t>北野線</t>
        </is>
      </c>
      <c r="D1549" s="10" t="inlineStr">
        <is>
          <t>下り</t>
        </is>
      </c>
      <c r="E1549" t="inlineStr">
        <is>
          <t>0753</t>
        </is>
      </c>
      <c r="F1549" t="inlineStr">
        <is>
          <t>0453</t>
        </is>
      </c>
      <c r="G1549" s="10" t="inlineStr">
        <is>
          <t>妙心寺</t>
        </is>
      </c>
      <c r="H1549" s="10" t="inlineStr">
        <is>
          <t>発</t>
        </is>
      </c>
      <c r="J1549" s="10" t="inlineStr">
        <is>
          <t>営業</t>
        </is>
      </c>
      <c r="L1549" t="inlineStr">
        <is>
          <t>7:26:40</t>
        </is>
      </c>
      <c r="M1549" t="inlineStr">
        <is>
          <t>7:26:50</t>
        </is>
      </c>
    </row>
    <row r="1550" ht="15" customHeight="1" s="37">
      <c r="A1550" t="n">
        <v>17</v>
      </c>
      <c r="B1550" s="10" t="inlineStr">
        <is>
          <t>休日</t>
        </is>
      </c>
      <c r="C1550" s="10" t="inlineStr">
        <is>
          <t>北野線</t>
        </is>
      </c>
      <c r="D1550" s="10" t="inlineStr">
        <is>
          <t>下り</t>
        </is>
      </c>
      <c r="E1550" t="inlineStr">
        <is>
          <t>0753</t>
        </is>
      </c>
      <c r="F1550" t="inlineStr">
        <is>
          <t>0453</t>
        </is>
      </c>
      <c r="G1550" s="10" t="inlineStr">
        <is>
          <t>御室仁和寺</t>
        </is>
      </c>
      <c r="H1550" s="10" t="inlineStr">
        <is>
          <t>発</t>
        </is>
      </c>
      <c r="J1550" s="10" t="inlineStr">
        <is>
          <t>営業</t>
        </is>
      </c>
      <c r="L1550" t="inlineStr">
        <is>
          <t>7:27:50</t>
        </is>
      </c>
      <c r="M1550" t="inlineStr">
        <is>
          <t>7:28:05</t>
        </is>
      </c>
    </row>
    <row r="1551" ht="15" customHeight="1" s="37">
      <c r="A1551" t="n">
        <v>17</v>
      </c>
      <c r="B1551" s="10" t="inlineStr">
        <is>
          <t>休日</t>
        </is>
      </c>
      <c r="C1551" s="10" t="inlineStr">
        <is>
          <t>北野線</t>
        </is>
      </c>
      <c r="D1551" s="10" t="inlineStr">
        <is>
          <t>下り</t>
        </is>
      </c>
      <c r="E1551" t="inlineStr">
        <is>
          <t>0753</t>
        </is>
      </c>
      <c r="F1551" t="inlineStr">
        <is>
          <t>0453</t>
        </is>
      </c>
      <c r="G1551" s="10" t="inlineStr">
        <is>
          <t>宇多野</t>
        </is>
      </c>
      <c r="H1551" s="10" t="inlineStr">
        <is>
          <t>発</t>
        </is>
      </c>
      <c r="J1551" s="10" t="inlineStr">
        <is>
          <t>営業</t>
        </is>
      </c>
      <c r="L1551" t="inlineStr">
        <is>
          <t>7:29:05</t>
        </is>
      </c>
      <c r="M1551" t="inlineStr">
        <is>
          <t>7:29:15</t>
        </is>
      </c>
    </row>
    <row r="1552" ht="15" customHeight="1" s="37">
      <c r="A1552" t="n">
        <v>17</v>
      </c>
      <c r="B1552" s="10" t="inlineStr">
        <is>
          <t>休日</t>
        </is>
      </c>
      <c r="C1552" s="10" t="inlineStr">
        <is>
          <t>北野線</t>
        </is>
      </c>
      <c r="D1552" s="10" t="inlineStr">
        <is>
          <t>下り</t>
        </is>
      </c>
      <c r="E1552" t="inlineStr">
        <is>
          <t>0753</t>
        </is>
      </c>
      <c r="F1552" t="inlineStr">
        <is>
          <t>0453</t>
        </is>
      </c>
      <c r="G1552" s="10" t="inlineStr">
        <is>
          <t>鳴滝</t>
        </is>
      </c>
      <c r="H1552" s="10" t="inlineStr">
        <is>
          <t>発</t>
        </is>
      </c>
      <c r="J1552" s="10" t="inlineStr">
        <is>
          <t>営業</t>
        </is>
      </c>
      <c r="L1552" t="inlineStr">
        <is>
          <t>7:30:35</t>
        </is>
      </c>
      <c r="M1552" t="inlineStr">
        <is>
          <t>7:30:45</t>
        </is>
      </c>
    </row>
    <row r="1553" ht="15" customHeight="1" s="37">
      <c r="A1553" t="n">
        <v>17</v>
      </c>
      <c r="B1553" s="10" t="inlineStr">
        <is>
          <t>休日</t>
        </is>
      </c>
      <c r="C1553" s="10" t="inlineStr">
        <is>
          <t>北野線</t>
        </is>
      </c>
      <c r="D1553" s="10" t="inlineStr">
        <is>
          <t>下り</t>
        </is>
      </c>
      <c r="E1553" t="inlineStr">
        <is>
          <t>0753</t>
        </is>
      </c>
      <c r="F1553" t="inlineStr">
        <is>
          <t>0453</t>
        </is>
      </c>
      <c r="G1553" s="10" t="inlineStr">
        <is>
          <t>常盤</t>
        </is>
      </c>
      <c r="H1553" s="10" t="inlineStr">
        <is>
          <t>発</t>
        </is>
      </c>
      <c r="J1553" s="10" t="inlineStr">
        <is>
          <t>営業</t>
        </is>
      </c>
      <c r="L1553" t="inlineStr">
        <is>
          <t>7:31:35</t>
        </is>
      </c>
      <c r="M1553" t="inlineStr">
        <is>
          <t>7:31:55</t>
        </is>
      </c>
    </row>
    <row r="1554" ht="15" customHeight="1" s="37">
      <c r="A1554" t="n">
        <v>17</v>
      </c>
      <c r="B1554" s="10" t="inlineStr">
        <is>
          <t>休日</t>
        </is>
      </c>
      <c r="C1554" s="10" t="inlineStr">
        <is>
          <t>北野線</t>
        </is>
      </c>
      <c r="D1554" s="10" t="inlineStr">
        <is>
          <t>下り</t>
        </is>
      </c>
      <c r="E1554" t="inlineStr">
        <is>
          <t>0753</t>
        </is>
      </c>
      <c r="F1554" t="inlineStr">
        <is>
          <t>0453</t>
        </is>
      </c>
      <c r="G1554" s="10" t="inlineStr">
        <is>
          <t>撮影所前</t>
        </is>
      </c>
      <c r="H1554" s="10" t="inlineStr">
        <is>
          <t>発</t>
        </is>
      </c>
      <c r="J1554" s="10" t="inlineStr">
        <is>
          <t>営業</t>
        </is>
      </c>
      <c r="L1554" t="inlineStr">
        <is>
          <t>7:33:15</t>
        </is>
      </c>
      <c r="M1554" t="inlineStr">
        <is>
          <t>7:33:30</t>
        </is>
      </c>
    </row>
    <row r="1555" ht="15" customHeight="1" s="37">
      <c r="A1555" t="n">
        <v>17</v>
      </c>
      <c r="B1555" s="10" t="inlineStr">
        <is>
          <t>休日</t>
        </is>
      </c>
      <c r="C1555" s="10" t="inlineStr">
        <is>
          <t>北野線</t>
        </is>
      </c>
      <c r="D1555" s="10" t="inlineStr">
        <is>
          <t>下り</t>
        </is>
      </c>
      <c r="E1555" t="inlineStr">
        <is>
          <t>0753</t>
        </is>
      </c>
      <c r="F1555" t="inlineStr">
        <is>
          <t>0453</t>
        </is>
      </c>
      <c r="G1555" s="10" t="inlineStr">
        <is>
          <t>帷子ノ辻</t>
        </is>
      </c>
      <c r="H1555" s="10" t="inlineStr">
        <is>
          <t>着</t>
        </is>
      </c>
      <c r="J1555" s="10" t="inlineStr">
        <is>
          <t>営業</t>
        </is>
      </c>
      <c r="L1555" t="inlineStr">
        <is>
          <t>7:34:25</t>
        </is>
      </c>
      <c r="Q1555" t="inlineStr">
        <is>
          <t>4</t>
        </is>
      </c>
    </row>
    <row r="1556" ht="15" customHeight="1" s="37">
      <c r="A1556" t="n">
        <v>17</v>
      </c>
      <c r="B1556" s="10" t="inlineStr">
        <is>
          <t>休日</t>
        </is>
      </c>
      <c r="C1556" s="10" t="inlineStr">
        <is>
          <t>北野線</t>
        </is>
      </c>
      <c r="D1556" s="10" t="inlineStr">
        <is>
          <t>上り</t>
        </is>
      </c>
      <c r="E1556" t="inlineStr">
        <is>
          <t>0760</t>
        </is>
      </c>
      <c r="F1556" t="inlineStr">
        <is>
          <t>0354</t>
        </is>
      </c>
      <c r="G1556" s="10" t="inlineStr">
        <is>
          <t>帷子ノ辻</t>
        </is>
      </c>
      <c r="H1556" s="10" t="inlineStr">
        <is>
          <t>発</t>
        </is>
      </c>
      <c r="J1556" s="10" t="inlineStr">
        <is>
          <t>営業</t>
        </is>
      </c>
      <c r="M1556" t="inlineStr">
        <is>
          <t>7:46:25</t>
        </is>
      </c>
      <c r="Q1556" t="inlineStr">
        <is>
          <t>4</t>
        </is>
      </c>
    </row>
    <row r="1557" ht="15" customHeight="1" s="37">
      <c r="A1557" t="n">
        <v>17</v>
      </c>
      <c r="B1557" s="10" t="inlineStr">
        <is>
          <t>休日</t>
        </is>
      </c>
      <c r="C1557" s="10" t="inlineStr">
        <is>
          <t>北野線</t>
        </is>
      </c>
      <c r="D1557" s="10" t="inlineStr">
        <is>
          <t>上り</t>
        </is>
      </c>
      <c r="E1557" t="inlineStr">
        <is>
          <t>0760</t>
        </is>
      </c>
      <c r="F1557" t="inlineStr">
        <is>
          <t>0354</t>
        </is>
      </c>
      <c r="G1557" s="10" t="inlineStr">
        <is>
          <t>撮影所前</t>
        </is>
      </c>
      <c r="H1557" s="10" t="inlineStr">
        <is>
          <t>発</t>
        </is>
      </c>
      <c r="J1557" s="10" t="inlineStr">
        <is>
          <t>営業</t>
        </is>
      </c>
      <c r="L1557" t="inlineStr">
        <is>
          <t>7:47:25</t>
        </is>
      </c>
      <c r="M1557" t="inlineStr">
        <is>
          <t>7:47:40</t>
        </is>
      </c>
    </row>
    <row r="1558" ht="15" customHeight="1" s="37">
      <c r="A1558" t="n">
        <v>17</v>
      </c>
      <c r="B1558" s="10" t="inlineStr">
        <is>
          <t>休日</t>
        </is>
      </c>
      <c r="C1558" s="10" t="inlineStr">
        <is>
          <t>北野線</t>
        </is>
      </c>
      <c r="D1558" s="10" t="inlineStr">
        <is>
          <t>上り</t>
        </is>
      </c>
      <c r="E1558" t="inlineStr">
        <is>
          <t>0760</t>
        </is>
      </c>
      <c r="F1558" t="inlineStr">
        <is>
          <t>0354</t>
        </is>
      </c>
      <c r="G1558" s="10" t="inlineStr">
        <is>
          <t>常盤</t>
        </is>
      </c>
      <c r="H1558" s="10" t="inlineStr">
        <is>
          <t>発</t>
        </is>
      </c>
      <c r="J1558" s="10" t="inlineStr">
        <is>
          <t>営業</t>
        </is>
      </c>
      <c r="L1558" t="inlineStr">
        <is>
          <t>7:49:00</t>
        </is>
      </c>
      <c r="M1558" t="inlineStr">
        <is>
          <t>7:49:20</t>
        </is>
      </c>
    </row>
    <row r="1559" ht="15" customHeight="1" s="37">
      <c r="A1559" t="n">
        <v>17</v>
      </c>
      <c r="B1559" s="10" t="inlineStr">
        <is>
          <t>休日</t>
        </is>
      </c>
      <c r="C1559" s="10" t="inlineStr">
        <is>
          <t>北野線</t>
        </is>
      </c>
      <c r="D1559" s="10" t="inlineStr">
        <is>
          <t>上り</t>
        </is>
      </c>
      <c r="E1559" t="inlineStr">
        <is>
          <t>0760</t>
        </is>
      </c>
      <c r="F1559" t="inlineStr">
        <is>
          <t>0354</t>
        </is>
      </c>
      <c r="G1559" s="10" t="inlineStr">
        <is>
          <t>鳴滝</t>
        </is>
      </c>
      <c r="H1559" s="10" t="inlineStr">
        <is>
          <t>発</t>
        </is>
      </c>
      <c r="J1559" s="10" t="inlineStr">
        <is>
          <t>営業</t>
        </is>
      </c>
      <c r="L1559" t="inlineStr">
        <is>
          <t>7:50:20</t>
        </is>
      </c>
      <c r="M1559" t="inlineStr">
        <is>
          <t>7:50:40</t>
        </is>
      </c>
    </row>
    <row r="1560" ht="15" customHeight="1" s="37">
      <c r="A1560" t="n">
        <v>17</v>
      </c>
      <c r="B1560" s="10" t="inlineStr">
        <is>
          <t>休日</t>
        </is>
      </c>
      <c r="C1560" s="10" t="inlineStr">
        <is>
          <t>北野線</t>
        </is>
      </c>
      <c r="D1560" s="10" t="inlineStr">
        <is>
          <t>上り</t>
        </is>
      </c>
      <c r="E1560" t="inlineStr">
        <is>
          <t>0760</t>
        </is>
      </c>
      <c r="F1560" t="inlineStr">
        <is>
          <t>0354</t>
        </is>
      </c>
      <c r="G1560" s="10" t="inlineStr">
        <is>
          <t>宇多野</t>
        </is>
      </c>
      <c r="H1560" s="10" t="inlineStr">
        <is>
          <t>発</t>
        </is>
      </c>
      <c r="J1560" s="10" t="inlineStr">
        <is>
          <t>営業</t>
        </is>
      </c>
      <c r="L1560" t="inlineStr">
        <is>
          <t>7:52:00</t>
        </is>
      </c>
      <c r="M1560" t="inlineStr">
        <is>
          <t>7:52:15</t>
        </is>
      </c>
    </row>
    <row r="1561" ht="15" customHeight="1" s="37">
      <c r="A1561" t="n">
        <v>17</v>
      </c>
      <c r="B1561" s="10" t="inlineStr">
        <is>
          <t>休日</t>
        </is>
      </c>
      <c r="C1561" s="10" t="inlineStr">
        <is>
          <t>北野線</t>
        </is>
      </c>
      <c r="D1561" s="10" t="inlineStr">
        <is>
          <t>上り</t>
        </is>
      </c>
      <c r="E1561" t="inlineStr">
        <is>
          <t>0760</t>
        </is>
      </c>
      <c r="F1561" t="inlineStr">
        <is>
          <t>0354</t>
        </is>
      </c>
      <c r="G1561" s="10" t="inlineStr">
        <is>
          <t>御室仁和寺</t>
        </is>
      </c>
      <c r="H1561" s="10" t="inlineStr">
        <is>
          <t>発</t>
        </is>
      </c>
      <c r="J1561" s="10" t="inlineStr">
        <is>
          <t>営業</t>
        </is>
      </c>
      <c r="L1561" t="inlineStr">
        <is>
          <t>7:53:15</t>
        </is>
      </c>
      <c r="M1561" t="inlineStr">
        <is>
          <t>7:53:35</t>
        </is>
      </c>
    </row>
    <row r="1562" ht="15" customHeight="1" s="37">
      <c r="A1562" t="n">
        <v>17</v>
      </c>
      <c r="B1562" s="10" t="inlineStr">
        <is>
          <t>休日</t>
        </is>
      </c>
      <c r="C1562" s="10" t="inlineStr">
        <is>
          <t>北野線</t>
        </is>
      </c>
      <c r="D1562" s="10" t="inlineStr">
        <is>
          <t>上り</t>
        </is>
      </c>
      <c r="E1562" t="inlineStr">
        <is>
          <t>0760</t>
        </is>
      </c>
      <c r="F1562" t="inlineStr">
        <is>
          <t>0354</t>
        </is>
      </c>
      <c r="G1562" s="10" t="inlineStr">
        <is>
          <t>妙心寺</t>
        </is>
      </c>
      <c r="H1562" s="10" t="inlineStr">
        <is>
          <t>発</t>
        </is>
      </c>
      <c r="J1562" s="10" t="inlineStr">
        <is>
          <t>営業</t>
        </is>
      </c>
      <c r="L1562" t="inlineStr">
        <is>
          <t>7:54:35</t>
        </is>
      </c>
      <c r="M1562" t="inlineStr">
        <is>
          <t>7:54:50</t>
        </is>
      </c>
    </row>
    <row r="1563" ht="15" customHeight="1" s="37">
      <c r="A1563" t="n">
        <v>17</v>
      </c>
      <c r="B1563" s="10" t="inlineStr">
        <is>
          <t>休日</t>
        </is>
      </c>
      <c r="C1563" s="10" t="inlineStr">
        <is>
          <t>北野線</t>
        </is>
      </c>
      <c r="D1563" s="10" t="inlineStr">
        <is>
          <t>上り</t>
        </is>
      </c>
      <c r="E1563" t="inlineStr">
        <is>
          <t>0760</t>
        </is>
      </c>
      <c r="F1563" t="inlineStr">
        <is>
          <t>0354</t>
        </is>
      </c>
      <c r="G1563" s="10" t="inlineStr">
        <is>
          <t>龍安寺</t>
        </is>
      </c>
      <c r="H1563" s="10" t="inlineStr">
        <is>
          <t>発</t>
        </is>
      </c>
      <c r="J1563" s="10" t="inlineStr">
        <is>
          <t>営業</t>
        </is>
      </c>
      <c r="L1563" t="inlineStr">
        <is>
          <t>7:55:45</t>
        </is>
      </c>
      <c r="M1563" t="inlineStr">
        <is>
          <t>7:55:55</t>
        </is>
      </c>
    </row>
    <row r="1564" ht="15" customHeight="1" s="37">
      <c r="A1564" t="n">
        <v>17</v>
      </c>
      <c r="B1564" s="10" t="inlineStr">
        <is>
          <t>休日</t>
        </is>
      </c>
      <c r="C1564" s="10" t="inlineStr">
        <is>
          <t>北野線</t>
        </is>
      </c>
      <c r="D1564" s="10" t="inlineStr">
        <is>
          <t>上り</t>
        </is>
      </c>
      <c r="E1564" t="inlineStr">
        <is>
          <t>0760</t>
        </is>
      </c>
      <c r="F1564" t="inlineStr">
        <is>
          <t>0354</t>
        </is>
      </c>
      <c r="G1564" s="10" t="inlineStr">
        <is>
          <t>等持院</t>
        </is>
      </c>
      <c r="H1564" s="10" t="inlineStr">
        <is>
          <t>発</t>
        </is>
      </c>
      <c r="J1564" s="10" t="inlineStr">
        <is>
          <t>営業</t>
        </is>
      </c>
      <c r="L1564" t="inlineStr">
        <is>
          <t>7:56:35</t>
        </is>
      </c>
      <c r="M1564" t="inlineStr">
        <is>
          <t>7:56:55</t>
        </is>
      </c>
    </row>
    <row r="1565" ht="15" customHeight="1" s="37">
      <c r="A1565" t="n">
        <v>17</v>
      </c>
      <c r="B1565" s="10" t="inlineStr">
        <is>
          <t>休日</t>
        </is>
      </c>
      <c r="C1565" s="10" t="inlineStr">
        <is>
          <t>北野線</t>
        </is>
      </c>
      <c r="D1565" s="10" t="inlineStr">
        <is>
          <t>上り</t>
        </is>
      </c>
      <c r="E1565" t="inlineStr">
        <is>
          <t>0760</t>
        </is>
      </c>
      <c r="F1565" t="inlineStr">
        <is>
          <t>0354</t>
        </is>
      </c>
      <c r="G1565" s="10" t="inlineStr">
        <is>
          <t>北野白梅町</t>
        </is>
      </c>
      <c r="H1565" s="10" t="inlineStr">
        <is>
          <t>着</t>
        </is>
      </c>
      <c r="J1565" s="10" t="inlineStr">
        <is>
          <t>営業</t>
        </is>
      </c>
      <c r="L1565" t="inlineStr">
        <is>
          <t>7:58:15</t>
        </is>
      </c>
      <c r="Q1565" t="inlineStr">
        <is>
          <t>1</t>
        </is>
      </c>
    </row>
    <row r="1566" ht="16.5" customHeight="1" s="37">
      <c r="A1566" t="n">
        <v>17</v>
      </c>
      <c r="B1566" s="10" t="inlineStr">
        <is>
          <t>休日</t>
        </is>
      </c>
      <c r="C1566" s="10" t="inlineStr">
        <is>
          <t>北野線</t>
        </is>
      </c>
      <c r="D1566" s="10" t="inlineStr">
        <is>
          <t>下り</t>
        </is>
      </c>
      <c r="E1566" t="inlineStr">
        <is>
          <t>0851</t>
        </is>
      </c>
      <c r="F1566" t="inlineStr">
        <is>
          <t>0453</t>
        </is>
      </c>
      <c r="G1566" s="10" t="inlineStr">
        <is>
          <t>北野白梅町</t>
        </is>
      </c>
      <c r="H1566" s="10" t="inlineStr">
        <is>
          <t>発</t>
        </is>
      </c>
      <c r="J1566" s="10" t="inlineStr">
        <is>
          <t>営業</t>
        </is>
      </c>
      <c r="M1566" t="inlineStr">
        <is>
          <t>8:03:00</t>
        </is>
      </c>
      <c r="Q1566" t="inlineStr">
        <is>
          <t>1</t>
        </is>
      </c>
    </row>
    <row r="1567" ht="16.5" customHeight="1" s="37">
      <c r="A1567" t="n">
        <v>17</v>
      </c>
      <c r="B1567" s="10" t="inlineStr">
        <is>
          <t>休日</t>
        </is>
      </c>
      <c r="C1567" s="10" t="inlineStr">
        <is>
          <t>北野線</t>
        </is>
      </c>
      <c r="D1567" s="10" t="inlineStr">
        <is>
          <t>下り</t>
        </is>
      </c>
      <c r="E1567" t="inlineStr">
        <is>
          <t>0851</t>
        </is>
      </c>
      <c r="F1567" t="inlineStr">
        <is>
          <t>0453</t>
        </is>
      </c>
      <c r="G1567" s="10" t="inlineStr">
        <is>
          <t>等持院</t>
        </is>
      </c>
      <c r="H1567" s="10" t="inlineStr">
        <is>
          <t>発</t>
        </is>
      </c>
      <c r="J1567" s="10" t="inlineStr">
        <is>
          <t>営業</t>
        </is>
      </c>
      <c r="L1567" t="inlineStr">
        <is>
          <t>8:04:25</t>
        </is>
      </c>
      <c r="M1567" t="inlineStr">
        <is>
          <t>8:04:35</t>
        </is>
      </c>
    </row>
    <row r="1568" ht="16.5" customHeight="1" s="37">
      <c r="A1568" t="n">
        <v>17</v>
      </c>
      <c r="B1568" s="10" t="inlineStr">
        <is>
          <t>休日</t>
        </is>
      </c>
      <c r="C1568" s="10" t="inlineStr">
        <is>
          <t>北野線</t>
        </is>
      </c>
      <c r="D1568" s="10" t="inlineStr">
        <is>
          <t>下り</t>
        </is>
      </c>
      <c r="E1568" t="inlineStr">
        <is>
          <t>0851</t>
        </is>
      </c>
      <c r="F1568" t="inlineStr">
        <is>
          <t>0453</t>
        </is>
      </c>
      <c r="G1568" s="10" t="inlineStr">
        <is>
          <t>龍安寺</t>
        </is>
      </c>
      <c r="H1568" s="10" t="inlineStr">
        <is>
          <t>発</t>
        </is>
      </c>
      <c r="J1568" s="10" t="inlineStr">
        <is>
          <t>営業</t>
        </is>
      </c>
      <c r="L1568" t="inlineStr">
        <is>
          <t>8:05:25</t>
        </is>
      </c>
      <c r="M1568" t="inlineStr">
        <is>
          <t>8:05:50</t>
        </is>
      </c>
    </row>
    <row r="1569" ht="16.5" customHeight="1" s="37">
      <c r="A1569" t="n">
        <v>17</v>
      </c>
      <c r="B1569" s="10" t="inlineStr">
        <is>
          <t>休日</t>
        </is>
      </c>
      <c r="C1569" s="10" t="inlineStr">
        <is>
          <t>北野線</t>
        </is>
      </c>
      <c r="D1569" s="10" t="inlineStr">
        <is>
          <t>下り</t>
        </is>
      </c>
      <c r="E1569" t="inlineStr">
        <is>
          <t>0851</t>
        </is>
      </c>
      <c r="F1569" t="inlineStr">
        <is>
          <t>0453</t>
        </is>
      </c>
      <c r="G1569" s="10" t="inlineStr">
        <is>
          <t>妙心寺</t>
        </is>
      </c>
      <c r="H1569" s="10" t="inlineStr">
        <is>
          <t>発</t>
        </is>
      </c>
      <c r="J1569" s="10" t="inlineStr">
        <is>
          <t>営業</t>
        </is>
      </c>
      <c r="L1569" t="inlineStr">
        <is>
          <t>8:06:40</t>
        </is>
      </c>
      <c r="M1569" t="inlineStr">
        <is>
          <t>8:06:50</t>
        </is>
      </c>
    </row>
    <row r="1570" ht="16.5" customHeight="1" s="37">
      <c r="A1570" t="n">
        <v>17</v>
      </c>
      <c r="B1570" s="10" t="inlineStr">
        <is>
          <t>休日</t>
        </is>
      </c>
      <c r="C1570" s="10" t="inlineStr">
        <is>
          <t>北野線</t>
        </is>
      </c>
      <c r="D1570" s="10" t="inlineStr">
        <is>
          <t>下り</t>
        </is>
      </c>
      <c r="E1570" t="inlineStr">
        <is>
          <t>0851</t>
        </is>
      </c>
      <c r="F1570" t="inlineStr">
        <is>
          <t>0453</t>
        </is>
      </c>
      <c r="G1570" s="10" t="inlineStr">
        <is>
          <t>御室仁和寺</t>
        </is>
      </c>
      <c r="H1570" s="10" t="inlineStr">
        <is>
          <t>発</t>
        </is>
      </c>
      <c r="J1570" s="10" t="inlineStr">
        <is>
          <t>営業</t>
        </is>
      </c>
      <c r="L1570" t="inlineStr">
        <is>
          <t>8:07:50</t>
        </is>
      </c>
      <c r="M1570" t="inlineStr">
        <is>
          <t>8:08:05</t>
        </is>
      </c>
    </row>
    <row r="1571" ht="16.5" customHeight="1" s="37">
      <c r="A1571" t="n">
        <v>17</v>
      </c>
      <c r="B1571" s="10" t="inlineStr">
        <is>
          <t>休日</t>
        </is>
      </c>
      <c r="C1571" s="10" t="inlineStr">
        <is>
          <t>北野線</t>
        </is>
      </c>
      <c r="D1571" s="10" t="inlineStr">
        <is>
          <t>下り</t>
        </is>
      </c>
      <c r="E1571" t="inlineStr">
        <is>
          <t>0851</t>
        </is>
      </c>
      <c r="F1571" t="inlineStr">
        <is>
          <t>0453</t>
        </is>
      </c>
      <c r="G1571" s="10" t="inlineStr">
        <is>
          <t>宇多野</t>
        </is>
      </c>
      <c r="H1571" s="10" t="inlineStr">
        <is>
          <t>発</t>
        </is>
      </c>
      <c r="J1571" s="10" t="inlineStr">
        <is>
          <t>営業</t>
        </is>
      </c>
      <c r="L1571" t="inlineStr">
        <is>
          <t>8:09:05</t>
        </is>
      </c>
      <c r="M1571" t="inlineStr">
        <is>
          <t>8:09:15</t>
        </is>
      </c>
    </row>
    <row r="1572" ht="16.5" customHeight="1" s="37">
      <c r="A1572" t="n">
        <v>17</v>
      </c>
      <c r="B1572" s="10" t="inlineStr">
        <is>
          <t>休日</t>
        </is>
      </c>
      <c r="C1572" s="10" t="inlineStr">
        <is>
          <t>北野線</t>
        </is>
      </c>
      <c r="D1572" s="10" t="inlineStr">
        <is>
          <t>下り</t>
        </is>
      </c>
      <c r="E1572" t="inlineStr">
        <is>
          <t>0851</t>
        </is>
      </c>
      <c r="F1572" t="inlineStr">
        <is>
          <t>0453</t>
        </is>
      </c>
      <c r="G1572" s="10" t="inlineStr">
        <is>
          <t>鳴滝</t>
        </is>
      </c>
      <c r="H1572" s="10" t="inlineStr">
        <is>
          <t>発</t>
        </is>
      </c>
      <c r="J1572" s="10" t="inlineStr">
        <is>
          <t>営業</t>
        </is>
      </c>
      <c r="L1572" t="inlineStr">
        <is>
          <t>8:10:35</t>
        </is>
      </c>
      <c r="M1572" t="inlineStr">
        <is>
          <t>8:10:45</t>
        </is>
      </c>
    </row>
    <row r="1573" ht="15" customHeight="1" s="37">
      <c r="A1573" t="n">
        <v>17</v>
      </c>
      <c r="B1573" s="10" t="inlineStr">
        <is>
          <t>休日</t>
        </is>
      </c>
      <c r="C1573" s="10" t="inlineStr">
        <is>
          <t>北野線</t>
        </is>
      </c>
      <c r="D1573" s="10" t="inlineStr">
        <is>
          <t>下り</t>
        </is>
      </c>
      <c r="E1573" t="inlineStr">
        <is>
          <t>0851</t>
        </is>
      </c>
      <c r="F1573" t="inlineStr">
        <is>
          <t>0453</t>
        </is>
      </c>
      <c r="G1573" s="10" t="inlineStr">
        <is>
          <t>常盤</t>
        </is>
      </c>
      <c r="H1573" s="10" t="inlineStr">
        <is>
          <t>発</t>
        </is>
      </c>
      <c r="J1573" s="10" t="inlineStr">
        <is>
          <t>営業</t>
        </is>
      </c>
      <c r="L1573" t="inlineStr">
        <is>
          <t>8:11:35</t>
        </is>
      </c>
      <c r="M1573" t="inlineStr">
        <is>
          <t>8:11:55</t>
        </is>
      </c>
    </row>
    <row r="1574" ht="15" customHeight="1" s="37">
      <c r="A1574" t="n">
        <v>17</v>
      </c>
      <c r="B1574" s="10" t="inlineStr">
        <is>
          <t>休日</t>
        </is>
      </c>
      <c r="C1574" s="10" t="inlineStr">
        <is>
          <t>北野線</t>
        </is>
      </c>
      <c r="D1574" s="10" t="inlineStr">
        <is>
          <t>下り</t>
        </is>
      </c>
      <c r="E1574" t="inlineStr">
        <is>
          <t>0851</t>
        </is>
      </c>
      <c r="F1574" t="inlineStr">
        <is>
          <t>0453</t>
        </is>
      </c>
      <c r="G1574" s="10" t="inlineStr">
        <is>
          <t>撮影所前</t>
        </is>
      </c>
      <c r="H1574" s="10" t="inlineStr">
        <is>
          <t>発</t>
        </is>
      </c>
      <c r="J1574" s="10" t="inlineStr">
        <is>
          <t>営業</t>
        </is>
      </c>
      <c r="L1574" t="inlineStr">
        <is>
          <t>8:13:15</t>
        </is>
      </c>
      <c r="M1574" t="inlineStr">
        <is>
          <t>8:13:30</t>
        </is>
      </c>
    </row>
    <row r="1575" ht="15" customHeight="1" s="37">
      <c r="A1575" t="n">
        <v>17</v>
      </c>
      <c r="B1575" s="10" t="inlineStr">
        <is>
          <t>休日</t>
        </is>
      </c>
      <c r="C1575" s="10" t="inlineStr">
        <is>
          <t>北野線</t>
        </is>
      </c>
      <c r="D1575" s="10" t="inlineStr">
        <is>
          <t>下り</t>
        </is>
      </c>
      <c r="E1575" t="inlineStr">
        <is>
          <t>0851</t>
        </is>
      </c>
      <c r="F1575" t="inlineStr">
        <is>
          <t>0453</t>
        </is>
      </c>
      <c r="G1575" s="10" t="inlineStr">
        <is>
          <t>帷子ノ辻</t>
        </is>
      </c>
      <c r="H1575" s="10" t="inlineStr">
        <is>
          <t>着</t>
        </is>
      </c>
      <c r="J1575" s="10" t="inlineStr">
        <is>
          <t>営業</t>
        </is>
      </c>
      <c r="L1575" t="inlineStr">
        <is>
          <t>8:14:25</t>
        </is>
      </c>
      <c r="Q1575" t="inlineStr">
        <is>
          <t>4</t>
        </is>
      </c>
    </row>
    <row r="1576" ht="15" customHeight="1" s="37">
      <c r="A1576" t="n">
        <v>17</v>
      </c>
      <c r="B1576" s="10" t="inlineStr">
        <is>
          <t>休日</t>
        </is>
      </c>
      <c r="C1576" s="10" t="inlineStr">
        <is>
          <t>北野線</t>
        </is>
      </c>
      <c r="D1576" s="10" t="inlineStr">
        <is>
          <t>上り</t>
        </is>
      </c>
      <c r="E1576" t="inlineStr">
        <is>
          <t>0856</t>
        </is>
      </c>
      <c r="F1576" t="inlineStr">
        <is>
          <t>0354</t>
        </is>
      </c>
      <c r="G1576" s="10" t="inlineStr">
        <is>
          <t>帷子ノ辻</t>
        </is>
      </c>
      <c r="H1576" s="10" t="inlineStr">
        <is>
          <t>発</t>
        </is>
      </c>
      <c r="J1576" s="10" t="inlineStr">
        <is>
          <t>営業</t>
        </is>
      </c>
      <c r="M1576" t="inlineStr">
        <is>
          <t>8:26:25</t>
        </is>
      </c>
      <c r="Q1576" t="inlineStr">
        <is>
          <t>4</t>
        </is>
      </c>
    </row>
    <row r="1577" ht="15" customHeight="1" s="37">
      <c r="A1577" t="n">
        <v>17</v>
      </c>
      <c r="B1577" s="10" t="inlineStr">
        <is>
          <t>休日</t>
        </is>
      </c>
      <c r="C1577" s="10" t="inlineStr">
        <is>
          <t>北野線</t>
        </is>
      </c>
      <c r="D1577" s="10" t="inlineStr">
        <is>
          <t>上り</t>
        </is>
      </c>
      <c r="E1577" t="inlineStr">
        <is>
          <t>0856</t>
        </is>
      </c>
      <c r="F1577" t="inlineStr">
        <is>
          <t>0354</t>
        </is>
      </c>
      <c r="G1577" s="10" t="inlineStr">
        <is>
          <t>撮影所前</t>
        </is>
      </c>
      <c r="H1577" s="10" t="inlineStr">
        <is>
          <t>発</t>
        </is>
      </c>
      <c r="J1577" s="10" t="inlineStr">
        <is>
          <t>営業</t>
        </is>
      </c>
      <c r="L1577" t="inlineStr">
        <is>
          <t>8:27:25</t>
        </is>
      </c>
      <c r="M1577" t="inlineStr">
        <is>
          <t>8:27:40</t>
        </is>
      </c>
    </row>
    <row r="1578" ht="15" customHeight="1" s="37">
      <c r="A1578" t="n">
        <v>17</v>
      </c>
      <c r="B1578" s="10" t="inlineStr">
        <is>
          <t>休日</t>
        </is>
      </c>
      <c r="C1578" s="10" t="inlineStr">
        <is>
          <t>北野線</t>
        </is>
      </c>
      <c r="D1578" s="10" t="inlineStr">
        <is>
          <t>上り</t>
        </is>
      </c>
      <c r="E1578" t="inlineStr">
        <is>
          <t>0856</t>
        </is>
      </c>
      <c r="F1578" t="inlineStr">
        <is>
          <t>0354</t>
        </is>
      </c>
      <c r="G1578" s="10" t="inlineStr">
        <is>
          <t>常盤</t>
        </is>
      </c>
      <c r="H1578" s="10" t="inlineStr">
        <is>
          <t>発</t>
        </is>
      </c>
      <c r="J1578" s="10" t="inlineStr">
        <is>
          <t>営業</t>
        </is>
      </c>
      <c r="L1578" t="inlineStr">
        <is>
          <t>8:29:00</t>
        </is>
      </c>
      <c r="M1578" t="inlineStr">
        <is>
          <t>8:29:20</t>
        </is>
      </c>
    </row>
    <row r="1579" ht="15" customHeight="1" s="37">
      <c r="A1579" t="n">
        <v>17</v>
      </c>
      <c r="B1579" s="10" t="inlineStr">
        <is>
          <t>休日</t>
        </is>
      </c>
      <c r="C1579" s="10" t="inlineStr">
        <is>
          <t>北野線</t>
        </is>
      </c>
      <c r="D1579" s="10" t="inlineStr">
        <is>
          <t>上り</t>
        </is>
      </c>
      <c r="E1579" t="inlineStr">
        <is>
          <t>0856</t>
        </is>
      </c>
      <c r="F1579" t="inlineStr">
        <is>
          <t>0354</t>
        </is>
      </c>
      <c r="G1579" s="10" t="inlineStr">
        <is>
          <t>鳴滝</t>
        </is>
      </c>
      <c r="H1579" s="10" t="inlineStr">
        <is>
          <t>発</t>
        </is>
      </c>
      <c r="J1579" s="10" t="inlineStr">
        <is>
          <t>営業</t>
        </is>
      </c>
      <c r="L1579" t="inlineStr">
        <is>
          <t>8:30:20</t>
        </is>
      </c>
      <c r="M1579" t="inlineStr">
        <is>
          <t>8:30:40</t>
        </is>
      </c>
    </row>
    <row r="1580" ht="15" customHeight="1" s="37">
      <c r="A1580" t="n">
        <v>17</v>
      </c>
      <c r="B1580" s="10" t="inlineStr">
        <is>
          <t>休日</t>
        </is>
      </c>
      <c r="C1580" s="10" t="inlineStr">
        <is>
          <t>北野線</t>
        </is>
      </c>
      <c r="D1580" s="10" t="inlineStr">
        <is>
          <t>上り</t>
        </is>
      </c>
      <c r="E1580" t="inlineStr">
        <is>
          <t>0856</t>
        </is>
      </c>
      <c r="F1580" t="inlineStr">
        <is>
          <t>0354</t>
        </is>
      </c>
      <c r="G1580" s="10" t="inlineStr">
        <is>
          <t>宇多野</t>
        </is>
      </c>
      <c r="H1580" s="10" t="inlineStr">
        <is>
          <t>発</t>
        </is>
      </c>
      <c r="J1580" s="10" t="inlineStr">
        <is>
          <t>営業</t>
        </is>
      </c>
      <c r="L1580" t="inlineStr">
        <is>
          <t>8:32:00</t>
        </is>
      </c>
      <c r="M1580" t="inlineStr">
        <is>
          <t>8:32:15</t>
        </is>
      </c>
    </row>
    <row r="1581" ht="15" customHeight="1" s="37">
      <c r="A1581" t="n">
        <v>17</v>
      </c>
      <c r="B1581" s="10" t="inlineStr">
        <is>
          <t>休日</t>
        </is>
      </c>
      <c r="C1581" s="10" t="inlineStr">
        <is>
          <t>北野線</t>
        </is>
      </c>
      <c r="D1581" s="10" t="inlineStr">
        <is>
          <t>上り</t>
        </is>
      </c>
      <c r="E1581" t="inlineStr">
        <is>
          <t>0856</t>
        </is>
      </c>
      <c r="F1581" t="inlineStr">
        <is>
          <t>0354</t>
        </is>
      </c>
      <c r="G1581" s="10" t="inlineStr">
        <is>
          <t>御室仁和寺</t>
        </is>
      </c>
      <c r="H1581" s="10" t="inlineStr">
        <is>
          <t>発</t>
        </is>
      </c>
      <c r="J1581" s="10" t="inlineStr">
        <is>
          <t>営業</t>
        </is>
      </c>
      <c r="L1581" t="inlineStr">
        <is>
          <t>8:33:15</t>
        </is>
      </c>
      <c r="M1581" t="inlineStr">
        <is>
          <t>8:33:35</t>
        </is>
      </c>
    </row>
    <row r="1582" ht="15" customHeight="1" s="37">
      <c r="A1582" t="n">
        <v>17</v>
      </c>
      <c r="B1582" s="10" t="inlineStr">
        <is>
          <t>休日</t>
        </is>
      </c>
      <c r="C1582" s="10" t="inlineStr">
        <is>
          <t>北野線</t>
        </is>
      </c>
      <c r="D1582" s="10" t="inlineStr">
        <is>
          <t>上り</t>
        </is>
      </c>
      <c r="E1582" t="inlineStr">
        <is>
          <t>0856</t>
        </is>
      </c>
      <c r="F1582" t="inlineStr">
        <is>
          <t>0354</t>
        </is>
      </c>
      <c r="G1582" s="10" t="inlineStr">
        <is>
          <t>妙心寺</t>
        </is>
      </c>
      <c r="H1582" s="10" t="inlineStr">
        <is>
          <t>発</t>
        </is>
      </c>
      <c r="J1582" s="10" t="inlineStr">
        <is>
          <t>営業</t>
        </is>
      </c>
      <c r="L1582" t="inlineStr">
        <is>
          <t>8:34:35</t>
        </is>
      </c>
      <c r="M1582" t="inlineStr">
        <is>
          <t>8:34:50</t>
        </is>
      </c>
    </row>
    <row r="1583" ht="15" customHeight="1" s="37">
      <c r="A1583" t="n">
        <v>17</v>
      </c>
      <c r="B1583" s="10" t="inlineStr">
        <is>
          <t>休日</t>
        </is>
      </c>
      <c r="C1583" s="10" t="inlineStr">
        <is>
          <t>北野線</t>
        </is>
      </c>
      <c r="D1583" s="10" t="inlineStr">
        <is>
          <t>上り</t>
        </is>
      </c>
      <c r="E1583" t="inlineStr">
        <is>
          <t>0856</t>
        </is>
      </c>
      <c r="F1583" t="inlineStr">
        <is>
          <t>0354</t>
        </is>
      </c>
      <c r="G1583" s="10" t="inlineStr">
        <is>
          <t>龍安寺</t>
        </is>
      </c>
      <c r="H1583" s="10" t="inlineStr">
        <is>
          <t>発</t>
        </is>
      </c>
      <c r="J1583" s="10" t="inlineStr">
        <is>
          <t>営業</t>
        </is>
      </c>
      <c r="L1583" t="inlineStr">
        <is>
          <t>8:35:45</t>
        </is>
      </c>
      <c r="M1583" t="inlineStr">
        <is>
          <t>8:35:55</t>
        </is>
      </c>
    </row>
    <row r="1584" ht="15" customHeight="1" s="37">
      <c r="A1584" t="n">
        <v>17</v>
      </c>
      <c r="B1584" s="10" t="inlineStr">
        <is>
          <t>休日</t>
        </is>
      </c>
      <c r="C1584" s="10" t="inlineStr">
        <is>
          <t>北野線</t>
        </is>
      </c>
      <c r="D1584" s="10" t="inlineStr">
        <is>
          <t>上り</t>
        </is>
      </c>
      <c r="E1584" t="inlineStr">
        <is>
          <t>0856</t>
        </is>
      </c>
      <c r="F1584" t="inlineStr">
        <is>
          <t>0354</t>
        </is>
      </c>
      <c r="G1584" s="10" t="inlineStr">
        <is>
          <t>等持院</t>
        </is>
      </c>
      <c r="H1584" s="10" t="inlineStr">
        <is>
          <t>発</t>
        </is>
      </c>
      <c r="J1584" s="10" t="inlineStr">
        <is>
          <t>営業</t>
        </is>
      </c>
      <c r="L1584" t="inlineStr">
        <is>
          <t>8:36:35</t>
        </is>
      </c>
      <c r="M1584" t="inlineStr">
        <is>
          <t>8:36:55</t>
        </is>
      </c>
    </row>
    <row r="1585" ht="15" customHeight="1" s="37">
      <c r="A1585" t="n">
        <v>17</v>
      </c>
      <c r="B1585" s="10" t="inlineStr">
        <is>
          <t>休日</t>
        </is>
      </c>
      <c r="C1585" s="10" t="inlineStr">
        <is>
          <t>北野線</t>
        </is>
      </c>
      <c r="D1585" s="10" t="inlineStr">
        <is>
          <t>上り</t>
        </is>
      </c>
      <c r="E1585" t="inlineStr">
        <is>
          <t>0856</t>
        </is>
      </c>
      <c r="F1585" t="inlineStr">
        <is>
          <t>0354</t>
        </is>
      </c>
      <c r="G1585" s="10" t="inlineStr">
        <is>
          <t>北野白梅町</t>
        </is>
      </c>
      <c r="H1585" s="10" t="inlineStr">
        <is>
          <t>着</t>
        </is>
      </c>
      <c r="J1585" s="10" t="inlineStr">
        <is>
          <t>営業</t>
        </is>
      </c>
      <c r="L1585" t="inlineStr">
        <is>
          <t>8:38:15</t>
        </is>
      </c>
      <c r="Q1585" t="inlineStr">
        <is>
          <t>1</t>
        </is>
      </c>
    </row>
    <row r="1586" ht="15" customHeight="1" s="37">
      <c r="A1586" t="n">
        <v>17</v>
      </c>
      <c r="B1586" s="10" t="inlineStr">
        <is>
          <t>休日</t>
        </is>
      </c>
      <c r="C1586" s="10" t="inlineStr">
        <is>
          <t>北野線</t>
        </is>
      </c>
      <c r="D1586" s="10" t="inlineStr">
        <is>
          <t>下り</t>
        </is>
      </c>
      <c r="E1586" t="inlineStr">
        <is>
          <t>0859</t>
        </is>
      </c>
      <c r="F1586" t="inlineStr">
        <is>
          <t>0453</t>
        </is>
      </c>
      <c r="G1586" s="10" t="inlineStr">
        <is>
          <t>北野白梅町</t>
        </is>
      </c>
      <c r="H1586" s="10" t="inlineStr">
        <is>
          <t>発</t>
        </is>
      </c>
      <c r="J1586" s="10" t="inlineStr">
        <is>
          <t>営業</t>
        </is>
      </c>
      <c r="M1586" t="inlineStr">
        <is>
          <t>8:43:00</t>
        </is>
      </c>
      <c r="Q1586" t="inlineStr">
        <is>
          <t>1</t>
        </is>
      </c>
    </row>
    <row r="1587" ht="15" customHeight="1" s="37">
      <c r="A1587" t="n">
        <v>17</v>
      </c>
      <c r="B1587" s="10" t="inlineStr">
        <is>
          <t>休日</t>
        </is>
      </c>
      <c r="C1587" s="10" t="inlineStr">
        <is>
          <t>北野線</t>
        </is>
      </c>
      <c r="D1587" s="10" t="inlineStr">
        <is>
          <t>下り</t>
        </is>
      </c>
      <c r="E1587" t="inlineStr">
        <is>
          <t>0859</t>
        </is>
      </c>
      <c r="F1587" t="inlineStr">
        <is>
          <t>0453</t>
        </is>
      </c>
      <c r="G1587" s="10" t="inlineStr">
        <is>
          <t>等持院</t>
        </is>
      </c>
      <c r="H1587" s="10" t="inlineStr">
        <is>
          <t>発</t>
        </is>
      </c>
      <c r="J1587" s="10" t="inlineStr">
        <is>
          <t>営業</t>
        </is>
      </c>
      <c r="L1587" t="inlineStr">
        <is>
          <t>8:44:25</t>
        </is>
      </c>
      <c r="M1587" t="inlineStr">
        <is>
          <t>8:44:35</t>
        </is>
      </c>
    </row>
    <row r="1588" ht="15" customHeight="1" s="37">
      <c r="A1588" t="n">
        <v>17</v>
      </c>
      <c r="B1588" s="10" t="inlineStr">
        <is>
          <t>休日</t>
        </is>
      </c>
      <c r="C1588" s="10" t="inlineStr">
        <is>
          <t>北野線</t>
        </is>
      </c>
      <c r="D1588" s="10" t="inlineStr">
        <is>
          <t>下り</t>
        </is>
      </c>
      <c r="E1588" t="inlineStr">
        <is>
          <t>0859</t>
        </is>
      </c>
      <c r="F1588" t="inlineStr">
        <is>
          <t>0453</t>
        </is>
      </c>
      <c r="G1588" s="10" t="inlineStr">
        <is>
          <t>龍安寺</t>
        </is>
      </c>
      <c r="H1588" s="10" t="inlineStr">
        <is>
          <t>発</t>
        </is>
      </c>
      <c r="J1588" s="10" t="inlineStr">
        <is>
          <t>営業</t>
        </is>
      </c>
      <c r="L1588" t="inlineStr">
        <is>
          <t>8:45:25</t>
        </is>
      </c>
      <c r="M1588" t="inlineStr">
        <is>
          <t>8:45:50</t>
        </is>
      </c>
    </row>
    <row r="1589" ht="15" customHeight="1" s="37">
      <c r="A1589" t="n">
        <v>17</v>
      </c>
      <c r="B1589" s="10" t="inlineStr">
        <is>
          <t>休日</t>
        </is>
      </c>
      <c r="C1589" s="10" t="inlineStr">
        <is>
          <t>北野線</t>
        </is>
      </c>
      <c r="D1589" s="10" t="inlineStr">
        <is>
          <t>下り</t>
        </is>
      </c>
      <c r="E1589" t="inlineStr">
        <is>
          <t>0859</t>
        </is>
      </c>
      <c r="F1589" t="inlineStr">
        <is>
          <t>0453</t>
        </is>
      </c>
      <c r="G1589" s="10" t="inlineStr">
        <is>
          <t>妙心寺</t>
        </is>
      </c>
      <c r="H1589" s="10" t="inlineStr">
        <is>
          <t>発</t>
        </is>
      </c>
      <c r="J1589" s="10" t="inlineStr">
        <is>
          <t>営業</t>
        </is>
      </c>
      <c r="L1589" t="inlineStr">
        <is>
          <t>8:46:40</t>
        </is>
      </c>
      <c r="M1589" t="inlineStr">
        <is>
          <t>8:46:50</t>
        </is>
      </c>
    </row>
    <row r="1590" ht="15" customHeight="1" s="37">
      <c r="A1590" t="n">
        <v>17</v>
      </c>
      <c r="B1590" s="10" t="inlineStr">
        <is>
          <t>休日</t>
        </is>
      </c>
      <c r="C1590" s="10" t="inlineStr">
        <is>
          <t>北野線</t>
        </is>
      </c>
      <c r="D1590" s="10" t="inlineStr">
        <is>
          <t>下り</t>
        </is>
      </c>
      <c r="E1590" t="inlineStr">
        <is>
          <t>0859</t>
        </is>
      </c>
      <c r="F1590" t="inlineStr">
        <is>
          <t>0453</t>
        </is>
      </c>
      <c r="G1590" s="10" t="inlineStr">
        <is>
          <t>御室仁和寺</t>
        </is>
      </c>
      <c r="H1590" s="10" t="inlineStr">
        <is>
          <t>発</t>
        </is>
      </c>
      <c r="J1590" s="10" t="inlineStr">
        <is>
          <t>営業</t>
        </is>
      </c>
      <c r="L1590" t="inlineStr">
        <is>
          <t>8:47:50</t>
        </is>
      </c>
      <c r="M1590" t="inlineStr">
        <is>
          <t>8:48:05</t>
        </is>
      </c>
    </row>
    <row r="1591" ht="15" customHeight="1" s="37">
      <c r="A1591" t="n">
        <v>17</v>
      </c>
      <c r="B1591" s="10" t="inlineStr">
        <is>
          <t>休日</t>
        </is>
      </c>
      <c r="C1591" s="10" t="inlineStr">
        <is>
          <t>北野線</t>
        </is>
      </c>
      <c r="D1591" s="10" t="inlineStr">
        <is>
          <t>下り</t>
        </is>
      </c>
      <c r="E1591" t="inlineStr">
        <is>
          <t>0859</t>
        </is>
      </c>
      <c r="F1591" t="inlineStr">
        <is>
          <t>0453</t>
        </is>
      </c>
      <c r="G1591" s="10" t="inlineStr">
        <is>
          <t>宇多野</t>
        </is>
      </c>
      <c r="H1591" s="10" t="inlineStr">
        <is>
          <t>発</t>
        </is>
      </c>
      <c r="J1591" s="10" t="inlineStr">
        <is>
          <t>営業</t>
        </is>
      </c>
      <c r="L1591" t="inlineStr">
        <is>
          <t>8:49:05</t>
        </is>
      </c>
      <c r="M1591" t="inlineStr">
        <is>
          <t>8:49:15</t>
        </is>
      </c>
    </row>
    <row r="1592" ht="15" customHeight="1" s="37">
      <c r="A1592" t="n">
        <v>17</v>
      </c>
      <c r="B1592" s="10" t="inlineStr">
        <is>
          <t>休日</t>
        </is>
      </c>
      <c r="C1592" s="10" t="inlineStr">
        <is>
          <t>北野線</t>
        </is>
      </c>
      <c r="D1592" s="10" t="inlineStr">
        <is>
          <t>下り</t>
        </is>
      </c>
      <c r="E1592" t="inlineStr">
        <is>
          <t>0859</t>
        </is>
      </c>
      <c r="F1592" t="inlineStr">
        <is>
          <t>0453</t>
        </is>
      </c>
      <c r="G1592" s="10" t="inlineStr">
        <is>
          <t>鳴滝</t>
        </is>
      </c>
      <c r="H1592" s="10" t="inlineStr">
        <is>
          <t>発</t>
        </is>
      </c>
      <c r="J1592" s="10" t="inlineStr">
        <is>
          <t>営業</t>
        </is>
      </c>
      <c r="L1592" t="inlineStr">
        <is>
          <t>8:50:35</t>
        </is>
      </c>
      <c r="M1592" t="inlineStr">
        <is>
          <t>8:50:45</t>
        </is>
      </c>
    </row>
    <row r="1593" ht="15" customHeight="1" s="37">
      <c r="A1593" t="n">
        <v>17</v>
      </c>
      <c r="B1593" s="10" t="inlineStr">
        <is>
          <t>休日</t>
        </is>
      </c>
      <c r="C1593" s="10" t="inlineStr">
        <is>
          <t>北野線</t>
        </is>
      </c>
      <c r="D1593" s="10" t="inlineStr">
        <is>
          <t>下り</t>
        </is>
      </c>
      <c r="E1593" t="inlineStr">
        <is>
          <t>0859</t>
        </is>
      </c>
      <c r="F1593" t="inlineStr">
        <is>
          <t>0453</t>
        </is>
      </c>
      <c r="G1593" s="10" t="inlineStr">
        <is>
          <t>常盤</t>
        </is>
      </c>
      <c r="H1593" s="10" t="inlineStr">
        <is>
          <t>発</t>
        </is>
      </c>
      <c r="J1593" s="10" t="inlineStr">
        <is>
          <t>営業</t>
        </is>
      </c>
      <c r="L1593" t="inlineStr">
        <is>
          <t>8:51:35</t>
        </is>
      </c>
      <c r="M1593" t="inlineStr">
        <is>
          <t>8:51:55</t>
        </is>
      </c>
    </row>
    <row r="1594" ht="15" customHeight="1" s="37">
      <c r="A1594" t="n">
        <v>17</v>
      </c>
      <c r="B1594" s="10" t="inlineStr">
        <is>
          <t>休日</t>
        </is>
      </c>
      <c r="C1594" s="10" t="inlineStr">
        <is>
          <t>北野線</t>
        </is>
      </c>
      <c r="D1594" s="10" t="inlineStr">
        <is>
          <t>下り</t>
        </is>
      </c>
      <c r="E1594" t="inlineStr">
        <is>
          <t>0859</t>
        </is>
      </c>
      <c r="F1594" t="inlineStr">
        <is>
          <t>0453</t>
        </is>
      </c>
      <c r="G1594" s="10" t="inlineStr">
        <is>
          <t>撮影所前</t>
        </is>
      </c>
      <c r="H1594" s="10" t="inlineStr">
        <is>
          <t>発</t>
        </is>
      </c>
      <c r="J1594" s="10" t="inlineStr">
        <is>
          <t>営業</t>
        </is>
      </c>
      <c r="L1594" t="inlineStr">
        <is>
          <t>8:53:15</t>
        </is>
      </c>
      <c r="M1594" t="inlineStr">
        <is>
          <t>8:53:30</t>
        </is>
      </c>
    </row>
    <row r="1595" ht="15" customHeight="1" s="37">
      <c r="A1595" t="n">
        <v>17</v>
      </c>
      <c r="B1595" s="10" t="inlineStr">
        <is>
          <t>休日</t>
        </is>
      </c>
      <c r="C1595" s="10" t="inlineStr">
        <is>
          <t>北野線</t>
        </is>
      </c>
      <c r="D1595" s="10" t="inlineStr">
        <is>
          <t>下り</t>
        </is>
      </c>
      <c r="E1595" t="inlineStr">
        <is>
          <t>0859</t>
        </is>
      </c>
      <c r="F1595" t="inlineStr">
        <is>
          <t>0453</t>
        </is>
      </c>
      <c r="G1595" s="10" t="inlineStr">
        <is>
          <t>帷子ノ辻</t>
        </is>
      </c>
      <c r="H1595" s="10" t="inlineStr">
        <is>
          <t>着</t>
        </is>
      </c>
      <c r="J1595" s="10" t="inlineStr">
        <is>
          <t>営業</t>
        </is>
      </c>
      <c r="L1595" t="inlineStr">
        <is>
          <t>8:54:25</t>
        </is>
      </c>
      <c r="Q1595" t="inlineStr">
        <is>
          <t>4</t>
        </is>
      </c>
    </row>
    <row r="1596" ht="15" customHeight="1" s="37">
      <c r="A1596" t="n">
        <v>17</v>
      </c>
      <c r="B1596" s="10" t="inlineStr">
        <is>
          <t>休日</t>
        </is>
      </c>
      <c r="C1596" s="10" t="inlineStr">
        <is>
          <t>北野線</t>
        </is>
      </c>
      <c r="D1596" s="10" t="inlineStr">
        <is>
          <t>上り</t>
        </is>
      </c>
      <c r="E1596" t="inlineStr">
        <is>
          <t>0952</t>
        </is>
      </c>
      <c r="F1596" t="inlineStr">
        <is>
          <t>0354</t>
        </is>
      </c>
      <c r="G1596" s="10" t="inlineStr">
        <is>
          <t>帷子ノ辻</t>
        </is>
      </c>
      <c r="H1596" s="10" t="inlineStr">
        <is>
          <t>発</t>
        </is>
      </c>
      <c r="J1596" s="10" t="inlineStr">
        <is>
          <t>営業</t>
        </is>
      </c>
      <c r="M1596" t="inlineStr">
        <is>
          <t>9:06:25</t>
        </is>
      </c>
      <c r="Q1596" t="inlineStr">
        <is>
          <t>4</t>
        </is>
      </c>
      <c r="U1596" t="inlineStr">
        <is>
          <t>→帷子ノ辻 休憩(9:34〜10:36)</t>
        </is>
      </c>
    </row>
    <row r="1597" ht="15" customHeight="1" s="37">
      <c r="A1597" t="n">
        <v>17</v>
      </c>
      <c r="B1597" s="10" t="inlineStr">
        <is>
          <t>休日</t>
        </is>
      </c>
      <c r="C1597" s="10" t="inlineStr">
        <is>
          <t>北野線</t>
        </is>
      </c>
      <c r="D1597" s="10" t="inlineStr">
        <is>
          <t>上り</t>
        </is>
      </c>
      <c r="E1597" t="inlineStr">
        <is>
          <t>0952</t>
        </is>
      </c>
      <c r="F1597" t="inlineStr">
        <is>
          <t>0354</t>
        </is>
      </c>
      <c r="G1597" s="10" t="inlineStr">
        <is>
          <t>撮影所前</t>
        </is>
      </c>
      <c r="H1597" s="10" t="inlineStr">
        <is>
          <t>発</t>
        </is>
      </c>
      <c r="J1597" s="10" t="inlineStr">
        <is>
          <t>営業</t>
        </is>
      </c>
      <c r="L1597" t="inlineStr">
        <is>
          <t>9:07:25</t>
        </is>
      </c>
      <c r="M1597" t="inlineStr">
        <is>
          <t>9:07:40</t>
        </is>
      </c>
      <c r="U1597" t="inlineStr">
        <is>
          <t>→帷子ノ辻 休憩(9:34〜10:36)</t>
        </is>
      </c>
    </row>
    <row r="1598" ht="15" customHeight="1" s="37">
      <c r="A1598" t="n">
        <v>17</v>
      </c>
      <c r="B1598" s="10" t="inlineStr">
        <is>
          <t>休日</t>
        </is>
      </c>
      <c r="C1598" s="10" t="inlineStr">
        <is>
          <t>北野線</t>
        </is>
      </c>
      <c r="D1598" s="10" t="inlineStr">
        <is>
          <t>上り</t>
        </is>
      </c>
      <c r="E1598" t="inlineStr">
        <is>
          <t>0952</t>
        </is>
      </c>
      <c r="F1598" t="inlineStr">
        <is>
          <t>0354</t>
        </is>
      </c>
      <c r="G1598" s="10" t="inlineStr">
        <is>
          <t>常盤</t>
        </is>
      </c>
      <c r="H1598" s="10" t="inlineStr">
        <is>
          <t>発</t>
        </is>
      </c>
      <c r="J1598" s="10" t="inlineStr">
        <is>
          <t>営業</t>
        </is>
      </c>
      <c r="L1598" t="inlineStr">
        <is>
          <t>9:09:00</t>
        </is>
      </c>
      <c r="M1598" t="inlineStr">
        <is>
          <t>9:09:20</t>
        </is>
      </c>
      <c r="U1598" t="inlineStr">
        <is>
          <t>→帷子ノ辻 休憩(9:34〜10:36)</t>
        </is>
      </c>
    </row>
    <row r="1599" ht="15" customHeight="1" s="37">
      <c r="A1599" t="n">
        <v>17</v>
      </c>
      <c r="B1599" s="10" t="inlineStr">
        <is>
          <t>休日</t>
        </is>
      </c>
      <c r="C1599" s="10" t="inlineStr">
        <is>
          <t>北野線</t>
        </is>
      </c>
      <c r="D1599" s="10" t="inlineStr">
        <is>
          <t>上り</t>
        </is>
      </c>
      <c r="E1599" t="inlineStr">
        <is>
          <t>0952</t>
        </is>
      </c>
      <c r="F1599" t="inlineStr">
        <is>
          <t>0354</t>
        </is>
      </c>
      <c r="G1599" s="10" t="inlineStr">
        <is>
          <t>鳴滝</t>
        </is>
      </c>
      <c r="H1599" s="10" t="inlineStr">
        <is>
          <t>発</t>
        </is>
      </c>
      <c r="J1599" s="10" t="inlineStr">
        <is>
          <t>営業</t>
        </is>
      </c>
      <c r="L1599" t="inlineStr">
        <is>
          <t>9:10:20</t>
        </is>
      </c>
      <c r="M1599" t="inlineStr">
        <is>
          <t>9:10:40</t>
        </is>
      </c>
      <c r="U1599" t="inlineStr">
        <is>
          <t>→帷子ノ辻 休憩(9:34〜10:36)</t>
        </is>
      </c>
    </row>
    <row r="1600" ht="15" customHeight="1" s="37">
      <c r="A1600" t="n">
        <v>17</v>
      </c>
      <c r="B1600" s="10" t="inlineStr">
        <is>
          <t>休日</t>
        </is>
      </c>
      <c r="C1600" s="10" t="inlineStr">
        <is>
          <t>北野線</t>
        </is>
      </c>
      <c r="D1600" s="10" t="inlineStr">
        <is>
          <t>上り</t>
        </is>
      </c>
      <c r="E1600" t="inlineStr">
        <is>
          <t>0952</t>
        </is>
      </c>
      <c r="F1600" t="inlineStr">
        <is>
          <t>0354</t>
        </is>
      </c>
      <c r="G1600" s="10" t="inlineStr">
        <is>
          <t>宇多野</t>
        </is>
      </c>
      <c r="H1600" s="10" t="inlineStr">
        <is>
          <t>発</t>
        </is>
      </c>
      <c r="J1600" s="10" t="inlineStr">
        <is>
          <t>営業</t>
        </is>
      </c>
      <c r="L1600" t="inlineStr">
        <is>
          <t>9:12:00</t>
        </is>
      </c>
      <c r="M1600" t="inlineStr">
        <is>
          <t>9:12:15</t>
        </is>
      </c>
      <c r="U1600" t="inlineStr">
        <is>
          <t>→帷子ノ辻 休憩(9:34〜10:36)</t>
        </is>
      </c>
    </row>
    <row r="1601" ht="15" customHeight="1" s="37">
      <c r="A1601" t="n">
        <v>17</v>
      </c>
      <c r="B1601" s="10" t="inlineStr">
        <is>
          <t>休日</t>
        </is>
      </c>
      <c r="C1601" s="10" t="inlineStr">
        <is>
          <t>北野線</t>
        </is>
      </c>
      <c r="D1601" s="10" t="inlineStr">
        <is>
          <t>上り</t>
        </is>
      </c>
      <c r="E1601" t="inlineStr">
        <is>
          <t>0952</t>
        </is>
      </c>
      <c r="F1601" t="inlineStr">
        <is>
          <t>0354</t>
        </is>
      </c>
      <c r="G1601" s="10" t="inlineStr">
        <is>
          <t>御室仁和寺</t>
        </is>
      </c>
      <c r="H1601" s="10" t="inlineStr">
        <is>
          <t>発</t>
        </is>
      </c>
      <c r="J1601" s="10" t="inlineStr">
        <is>
          <t>営業</t>
        </is>
      </c>
      <c r="L1601" t="inlineStr">
        <is>
          <t>9:13:15</t>
        </is>
      </c>
      <c r="M1601" t="inlineStr">
        <is>
          <t>9:13:35</t>
        </is>
      </c>
      <c r="U1601" t="inlineStr">
        <is>
          <t>→帷子ノ辻 休憩(9:34〜10:36)</t>
        </is>
      </c>
    </row>
    <row r="1602" ht="15" customHeight="1" s="37">
      <c r="A1602" t="n">
        <v>17</v>
      </c>
      <c r="B1602" s="10" t="inlineStr">
        <is>
          <t>休日</t>
        </is>
      </c>
      <c r="C1602" s="10" t="inlineStr">
        <is>
          <t>北野線</t>
        </is>
      </c>
      <c r="D1602" s="10" t="inlineStr">
        <is>
          <t>上り</t>
        </is>
      </c>
      <c r="E1602" t="inlineStr">
        <is>
          <t>0952</t>
        </is>
      </c>
      <c r="F1602" t="inlineStr">
        <is>
          <t>0354</t>
        </is>
      </c>
      <c r="G1602" s="10" t="inlineStr">
        <is>
          <t>妙心寺</t>
        </is>
      </c>
      <c r="H1602" s="10" t="inlineStr">
        <is>
          <t>発</t>
        </is>
      </c>
      <c r="J1602" s="10" t="inlineStr">
        <is>
          <t>営業</t>
        </is>
      </c>
      <c r="L1602" t="inlineStr">
        <is>
          <t>9:14:35</t>
        </is>
      </c>
      <c r="M1602" t="inlineStr">
        <is>
          <t>9:14:50</t>
        </is>
      </c>
      <c r="U1602" t="inlineStr">
        <is>
          <t>→帷子ノ辻 休憩(9:34〜10:36)</t>
        </is>
      </c>
    </row>
    <row r="1603" ht="15" customHeight="1" s="37">
      <c r="A1603" t="n">
        <v>17</v>
      </c>
      <c r="B1603" s="10" t="inlineStr">
        <is>
          <t>休日</t>
        </is>
      </c>
      <c r="C1603" s="10" t="inlineStr">
        <is>
          <t>北野線</t>
        </is>
      </c>
      <c r="D1603" s="10" t="inlineStr">
        <is>
          <t>上り</t>
        </is>
      </c>
      <c r="E1603" t="inlineStr">
        <is>
          <t>0952</t>
        </is>
      </c>
      <c r="F1603" t="inlineStr">
        <is>
          <t>0354</t>
        </is>
      </c>
      <c r="G1603" s="10" t="inlineStr">
        <is>
          <t>龍安寺</t>
        </is>
      </c>
      <c r="H1603" s="10" t="inlineStr">
        <is>
          <t>発</t>
        </is>
      </c>
      <c r="J1603" s="10" t="inlineStr">
        <is>
          <t>営業</t>
        </is>
      </c>
      <c r="L1603" t="inlineStr">
        <is>
          <t>9:15:45</t>
        </is>
      </c>
      <c r="M1603" t="inlineStr">
        <is>
          <t>9:15:55</t>
        </is>
      </c>
      <c r="U1603" t="inlineStr">
        <is>
          <t>→帷子ノ辻 休憩(9:34〜10:36)</t>
        </is>
      </c>
    </row>
    <row r="1604" ht="15" customHeight="1" s="37">
      <c r="A1604" t="n">
        <v>17</v>
      </c>
      <c r="B1604" s="10" t="inlineStr">
        <is>
          <t>休日</t>
        </is>
      </c>
      <c r="C1604" s="10" t="inlineStr">
        <is>
          <t>北野線</t>
        </is>
      </c>
      <c r="D1604" s="10" t="inlineStr">
        <is>
          <t>上り</t>
        </is>
      </c>
      <c r="E1604" t="inlineStr">
        <is>
          <t>0952</t>
        </is>
      </c>
      <c r="F1604" t="inlineStr">
        <is>
          <t>0354</t>
        </is>
      </c>
      <c r="G1604" s="10" t="inlineStr">
        <is>
          <t>等持院</t>
        </is>
      </c>
      <c r="H1604" s="10" t="inlineStr">
        <is>
          <t>発</t>
        </is>
      </c>
      <c r="J1604" s="10" t="inlineStr">
        <is>
          <t>営業</t>
        </is>
      </c>
      <c r="L1604" t="inlineStr">
        <is>
          <t>9:16:35</t>
        </is>
      </c>
      <c r="M1604" t="inlineStr">
        <is>
          <t>9:16:55</t>
        </is>
      </c>
      <c r="U1604" t="inlineStr">
        <is>
          <t>→帷子ノ辻 休憩(9:34〜10:36)</t>
        </is>
      </c>
    </row>
    <row r="1605" ht="15" customHeight="1" s="37">
      <c r="A1605" t="n">
        <v>17</v>
      </c>
      <c r="B1605" s="10" t="inlineStr">
        <is>
          <t>休日</t>
        </is>
      </c>
      <c r="C1605" s="10" t="inlineStr">
        <is>
          <t>北野線</t>
        </is>
      </c>
      <c r="D1605" s="10" t="inlineStr">
        <is>
          <t>上り</t>
        </is>
      </c>
      <c r="E1605" t="inlineStr">
        <is>
          <t>0952</t>
        </is>
      </c>
      <c r="F1605" t="inlineStr">
        <is>
          <t>0354</t>
        </is>
      </c>
      <c r="G1605" s="10" t="inlineStr">
        <is>
          <t>北野白梅町</t>
        </is>
      </c>
      <c r="H1605" s="10" t="inlineStr">
        <is>
          <t>着</t>
        </is>
      </c>
      <c r="J1605" s="10" t="inlineStr">
        <is>
          <t>営業</t>
        </is>
      </c>
      <c r="L1605" t="inlineStr">
        <is>
          <t>9:18:15</t>
        </is>
      </c>
      <c r="Q1605" t="inlineStr">
        <is>
          <t>1</t>
        </is>
      </c>
      <c r="U1605" t="inlineStr">
        <is>
          <t>→帷子ノ辻 休憩(9:34〜10:36)</t>
        </is>
      </c>
    </row>
    <row r="1606" ht="15" customHeight="1" s="37">
      <c r="A1606" t="n">
        <v>17</v>
      </c>
      <c r="B1606" s="10" t="inlineStr">
        <is>
          <t>休日</t>
        </is>
      </c>
      <c r="C1606" s="10" t="inlineStr">
        <is>
          <t>北野線</t>
        </is>
      </c>
      <c r="D1606" s="10" t="inlineStr">
        <is>
          <t>下り</t>
        </is>
      </c>
      <c r="E1606" t="inlineStr">
        <is>
          <t>0955</t>
        </is>
      </c>
      <c r="F1606" t="inlineStr">
        <is>
          <t>0453</t>
        </is>
      </c>
      <c r="G1606" s="10" t="inlineStr">
        <is>
          <t>北野白梅町</t>
        </is>
      </c>
      <c r="H1606" s="10" t="inlineStr">
        <is>
          <t>発</t>
        </is>
      </c>
      <c r="J1606" s="10" t="inlineStr">
        <is>
          <t>営業</t>
        </is>
      </c>
      <c r="M1606" t="inlineStr">
        <is>
          <t>9:23:00</t>
        </is>
      </c>
      <c r="Q1606" t="inlineStr">
        <is>
          <t>1</t>
        </is>
      </c>
      <c r="U1606" t="inlineStr">
        <is>
          <t>→帷子ノ辻 休憩(9:34〜10:36)</t>
        </is>
      </c>
    </row>
    <row r="1607" ht="15" customHeight="1" s="37">
      <c r="A1607" t="n">
        <v>17</v>
      </c>
      <c r="B1607" s="10" t="inlineStr">
        <is>
          <t>休日</t>
        </is>
      </c>
      <c r="C1607" s="10" t="inlineStr">
        <is>
          <t>北野線</t>
        </is>
      </c>
      <c r="D1607" s="10" t="inlineStr">
        <is>
          <t>下り</t>
        </is>
      </c>
      <c r="E1607" t="inlineStr">
        <is>
          <t>0955</t>
        </is>
      </c>
      <c r="F1607" t="inlineStr">
        <is>
          <t>0453</t>
        </is>
      </c>
      <c r="G1607" s="10" t="inlineStr">
        <is>
          <t>等持院</t>
        </is>
      </c>
      <c r="H1607" s="10" t="inlineStr">
        <is>
          <t>発</t>
        </is>
      </c>
      <c r="J1607" s="10" t="inlineStr">
        <is>
          <t>営業</t>
        </is>
      </c>
      <c r="L1607" t="inlineStr">
        <is>
          <t>9:24:25</t>
        </is>
      </c>
      <c r="M1607" t="inlineStr">
        <is>
          <t>9:24:35</t>
        </is>
      </c>
      <c r="U1607" t="inlineStr">
        <is>
          <t>→帷子ノ辻 休憩(9:34〜10:36)</t>
        </is>
      </c>
    </row>
    <row r="1608" ht="15" customHeight="1" s="37">
      <c r="A1608" t="n">
        <v>17</v>
      </c>
      <c r="B1608" s="10" t="inlineStr">
        <is>
          <t>休日</t>
        </is>
      </c>
      <c r="C1608" s="10" t="inlineStr">
        <is>
          <t>北野線</t>
        </is>
      </c>
      <c r="D1608" s="10" t="inlineStr">
        <is>
          <t>下り</t>
        </is>
      </c>
      <c r="E1608" t="inlineStr">
        <is>
          <t>0955</t>
        </is>
      </c>
      <c r="F1608" t="inlineStr">
        <is>
          <t>0453</t>
        </is>
      </c>
      <c r="G1608" s="10" t="inlineStr">
        <is>
          <t>龍安寺</t>
        </is>
      </c>
      <c r="H1608" s="10" t="inlineStr">
        <is>
          <t>発</t>
        </is>
      </c>
      <c r="J1608" s="10" t="inlineStr">
        <is>
          <t>営業</t>
        </is>
      </c>
      <c r="L1608" t="inlineStr">
        <is>
          <t>9:25:25</t>
        </is>
      </c>
      <c r="M1608" t="inlineStr">
        <is>
          <t>9:25:50</t>
        </is>
      </c>
      <c r="U1608" t="inlineStr">
        <is>
          <t>→帷子ノ辻 休憩(9:34〜10:36)</t>
        </is>
      </c>
    </row>
    <row r="1609" ht="15" customHeight="1" s="37">
      <c r="A1609" t="n">
        <v>17</v>
      </c>
      <c r="B1609" s="10" t="inlineStr">
        <is>
          <t>休日</t>
        </is>
      </c>
      <c r="C1609" s="10" t="inlineStr">
        <is>
          <t>北野線</t>
        </is>
      </c>
      <c r="D1609" s="10" t="inlineStr">
        <is>
          <t>下り</t>
        </is>
      </c>
      <c r="E1609" t="inlineStr">
        <is>
          <t>0955</t>
        </is>
      </c>
      <c r="F1609" t="inlineStr">
        <is>
          <t>0453</t>
        </is>
      </c>
      <c r="G1609" s="10" t="inlineStr">
        <is>
          <t>妙心寺</t>
        </is>
      </c>
      <c r="H1609" s="10" t="inlineStr">
        <is>
          <t>発</t>
        </is>
      </c>
      <c r="J1609" s="10" t="inlineStr">
        <is>
          <t>営業</t>
        </is>
      </c>
      <c r="L1609" t="inlineStr">
        <is>
          <t>9:26:40</t>
        </is>
      </c>
      <c r="M1609" t="inlineStr">
        <is>
          <t>9:26:50</t>
        </is>
      </c>
      <c r="U1609" t="inlineStr">
        <is>
          <t>→帷子ノ辻 休憩(9:34〜10:36)</t>
        </is>
      </c>
    </row>
    <row r="1610" ht="15" customHeight="1" s="37">
      <c r="A1610" t="n">
        <v>17</v>
      </c>
      <c r="B1610" s="10" t="inlineStr">
        <is>
          <t>休日</t>
        </is>
      </c>
      <c r="C1610" s="10" t="inlineStr">
        <is>
          <t>北野線</t>
        </is>
      </c>
      <c r="D1610" s="10" t="inlineStr">
        <is>
          <t>下り</t>
        </is>
      </c>
      <c r="E1610" t="inlineStr">
        <is>
          <t>0955</t>
        </is>
      </c>
      <c r="F1610" t="inlineStr">
        <is>
          <t>0453</t>
        </is>
      </c>
      <c r="G1610" s="10" t="inlineStr">
        <is>
          <t>御室仁和寺</t>
        </is>
      </c>
      <c r="H1610" s="10" t="inlineStr">
        <is>
          <t>発</t>
        </is>
      </c>
      <c r="J1610" s="10" t="inlineStr">
        <is>
          <t>営業</t>
        </is>
      </c>
      <c r="L1610" t="inlineStr">
        <is>
          <t>9:27:50</t>
        </is>
      </c>
      <c r="M1610" t="inlineStr">
        <is>
          <t>9:28:05</t>
        </is>
      </c>
      <c r="U1610" t="inlineStr">
        <is>
          <t>→帷子ノ辻 休憩(9:34〜10:36)</t>
        </is>
      </c>
    </row>
    <row r="1611" ht="15" customHeight="1" s="37">
      <c r="A1611" t="n">
        <v>17</v>
      </c>
      <c r="B1611" s="10" t="inlineStr">
        <is>
          <t>休日</t>
        </is>
      </c>
      <c r="C1611" s="10" t="inlineStr">
        <is>
          <t>北野線</t>
        </is>
      </c>
      <c r="D1611" s="10" t="inlineStr">
        <is>
          <t>下り</t>
        </is>
      </c>
      <c r="E1611" t="inlineStr">
        <is>
          <t>0955</t>
        </is>
      </c>
      <c r="F1611" t="inlineStr">
        <is>
          <t>0453</t>
        </is>
      </c>
      <c r="G1611" s="10" t="inlineStr">
        <is>
          <t>宇多野</t>
        </is>
      </c>
      <c r="H1611" s="10" t="inlineStr">
        <is>
          <t>発</t>
        </is>
      </c>
      <c r="J1611" s="10" t="inlineStr">
        <is>
          <t>営業</t>
        </is>
      </c>
      <c r="L1611" t="inlineStr">
        <is>
          <t>9:29:05</t>
        </is>
      </c>
      <c r="M1611" t="inlineStr">
        <is>
          <t>9:29:15</t>
        </is>
      </c>
      <c r="U1611" t="inlineStr">
        <is>
          <t>→帷子ノ辻 休憩(9:34〜10:36)</t>
        </is>
      </c>
    </row>
    <row r="1612" ht="15" customHeight="1" s="37">
      <c r="A1612" t="n">
        <v>17</v>
      </c>
      <c r="B1612" s="10" t="inlineStr">
        <is>
          <t>休日</t>
        </is>
      </c>
      <c r="C1612" s="10" t="inlineStr">
        <is>
          <t>北野線</t>
        </is>
      </c>
      <c r="D1612" s="10" t="inlineStr">
        <is>
          <t>下り</t>
        </is>
      </c>
      <c r="E1612" t="inlineStr">
        <is>
          <t>0955</t>
        </is>
      </c>
      <c r="F1612" t="inlineStr">
        <is>
          <t>0453</t>
        </is>
      </c>
      <c r="G1612" s="10" t="inlineStr">
        <is>
          <t>鳴滝</t>
        </is>
      </c>
      <c r="H1612" s="10" t="inlineStr">
        <is>
          <t>発</t>
        </is>
      </c>
      <c r="J1612" s="10" t="inlineStr">
        <is>
          <t>営業</t>
        </is>
      </c>
      <c r="L1612" t="inlineStr">
        <is>
          <t>9:30:35</t>
        </is>
      </c>
      <c r="M1612" t="inlineStr">
        <is>
          <t>9:30:45</t>
        </is>
      </c>
      <c r="U1612" t="inlineStr">
        <is>
          <t>→帷子ノ辻 休憩(9:34〜10:36)</t>
        </is>
      </c>
    </row>
    <row r="1613" ht="15" customHeight="1" s="37">
      <c r="A1613" t="n">
        <v>17</v>
      </c>
      <c r="B1613" s="10" t="inlineStr">
        <is>
          <t>休日</t>
        </is>
      </c>
      <c r="C1613" s="10" t="inlineStr">
        <is>
          <t>北野線</t>
        </is>
      </c>
      <c r="D1613" s="10" t="inlineStr">
        <is>
          <t>下り</t>
        </is>
      </c>
      <c r="E1613" t="inlineStr">
        <is>
          <t>0955</t>
        </is>
      </c>
      <c r="F1613" t="inlineStr">
        <is>
          <t>0453</t>
        </is>
      </c>
      <c r="G1613" s="10" t="inlineStr">
        <is>
          <t>常盤</t>
        </is>
      </c>
      <c r="H1613" s="10" t="inlineStr">
        <is>
          <t>発</t>
        </is>
      </c>
      <c r="J1613" s="10" t="inlineStr">
        <is>
          <t>営業</t>
        </is>
      </c>
      <c r="L1613" t="inlineStr">
        <is>
          <t>9:31:35</t>
        </is>
      </c>
      <c r="M1613" t="inlineStr">
        <is>
          <t>9:31:55</t>
        </is>
      </c>
      <c r="U1613" t="inlineStr">
        <is>
          <t>→帷子ノ辻 休憩(9:34〜10:36)</t>
        </is>
      </c>
    </row>
    <row r="1614" ht="15" customHeight="1" s="37">
      <c r="A1614" t="n">
        <v>17</v>
      </c>
      <c r="B1614" s="10" t="inlineStr">
        <is>
          <t>休日</t>
        </is>
      </c>
      <c r="C1614" s="10" t="inlineStr">
        <is>
          <t>北野線</t>
        </is>
      </c>
      <c r="D1614" s="10" t="inlineStr">
        <is>
          <t>下り</t>
        </is>
      </c>
      <c r="E1614" t="inlineStr">
        <is>
          <t>0955</t>
        </is>
      </c>
      <c r="F1614" t="inlineStr">
        <is>
          <t>0453</t>
        </is>
      </c>
      <c r="G1614" s="10" t="inlineStr">
        <is>
          <t>撮影所前</t>
        </is>
      </c>
      <c r="H1614" s="10" t="inlineStr">
        <is>
          <t>発</t>
        </is>
      </c>
      <c r="J1614" s="10" t="inlineStr">
        <is>
          <t>営業</t>
        </is>
      </c>
      <c r="L1614" t="inlineStr">
        <is>
          <t>9:33:15</t>
        </is>
      </c>
      <c r="M1614" t="inlineStr">
        <is>
          <t>9:33:30</t>
        </is>
      </c>
      <c r="U1614" t="inlineStr">
        <is>
          <t>→帷子ノ辻 休憩(9:34〜10:36)</t>
        </is>
      </c>
    </row>
    <row r="1615" ht="15" customHeight="1" s="37">
      <c r="A1615" t="n">
        <v>17</v>
      </c>
      <c r="B1615" s="10" t="inlineStr">
        <is>
          <t>休日</t>
        </is>
      </c>
      <c r="C1615" s="10" t="inlineStr">
        <is>
          <t>北野線</t>
        </is>
      </c>
      <c r="D1615" s="10" t="inlineStr">
        <is>
          <t>下り</t>
        </is>
      </c>
      <c r="E1615" t="inlineStr">
        <is>
          <t>0955</t>
        </is>
      </c>
      <c r="F1615" t="inlineStr">
        <is>
          <t>0453</t>
        </is>
      </c>
      <c r="G1615" s="10" t="inlineStr">
        <is>
          <t>帷子ノ辻</t>
        </is>
      </c>
      <c r="H1615" s="10" t="inlineStr">
        <is>
          <t>着</t>
        </is>
      </c>
      <c r="J1615" s="10" t="inlineStr">
        <is>
          <t>営業</t>
        </is>
      </c>
      <c r="L1615" t="inlineStr">
        <is>
          <t>9:34:25</t>
        </is>
      </c>
      <c r="Q1615" t="inlineStr">
        <is>
          <t>4</t>
        </is>
      </c>
      <c r="U1615" t="inlineStr">
        <is>
          <t>→帷子ノ辻 休憩(9:34〜10:36)</t>
        </is>
      </c>
    </row>
    <row r="1616" ht="15" customHeight="1" s="37">
      <c r="A1616" t="n">
        <v>17</v>
      </c>
      <c r="B1616" s="10" t="inlineStr">
        <is>
          <t>休日</t>
        </is>
      </c>
      <c r="C1616" s="10" t="inlineStr">
        <is>
          <t>北野線</t>
        </is>
      </c>
      <c r="D1616" s="10" t="inlineStr">
        <is>
          <t>上り</t>
        </is>
      </c>
      <c r="E1616" t="inlineStr">
        <is>
          <t>1058</t>
        </is>
      </c>
      <c r="F1616" t="inlineStr">
        <is>
          <t>0354</t>
        </is>
      </c>
      <c r="G1616" s="10" t="inlineStr">
        <is>
          <t>帷子ノ辻</t>
        </is>
      </c>
      <c r="H1616" s="10" t="inlineStr">
        <is>
          <t>発</t>
        </is>
      </c>
      <c r="J1616" s="10" t="inlineStr">
        <is>
          <t>営業</t>
        </is>
      </c>
      <c r="M1616" t="inlineStr">
        <is>
          <t>10:36:25</t>
        </is>
      </c>
      <c r="Q1616" t="inlineStr">
        <is>
          <t>3</t>
        </is>
      </c>
    </row>
    <row r="1617" ht="15" customHeight="1" s="37">
      <c r="A1617" t="n">
        <v>17</v>
      </c>
      <c r="B1617" s="10" t="inlineStr">
        <is>
          <t>休日</t>
        </is>
      </c>
      <c r="C1617" s="10" t="inlineStr">
        <is>
          <t>北野線</t>
        </is>
      </c>
      <c r="D1617" s="10" t="inlineStr">
        <is>
          <t>上り</t>
        </is>
      </c>
      <c r="E1617" t="inlineStr">
        <is>
          <t>1058</t>
        </is>
      </c>
      <c r="F1617" t="inlineStr">
        <is>
          <t>0354</t>
        </is>
      </c>
      <c r="G1617" s="10" t="inlineStr">
        <is>
          <t>撮影所前</t>
        </is>
      </c>
      <c r="H1617" s="10" t="inlineStr">
        <is>
          <t>発</t>
        </is>
      </c>
      <c r="J1617" s="10" t="inlineStr">
        <is>
          <t>営業</t>
        </is>
      </c>
      <c r="L1617" t="inlineStr">
        <is>
          <t>10:37:25</t>
        </is>
      </c>
      <c r="M1617" t="inlineStr">
        <is>
          <t>10:37:40</t>
        </is>
      </c>
    </row>
    <row r="1618" ht="15" customHeight="1" s="37">
      <c r="A1618" t="n">
        <v>17</v>
      </c>
      <c r="B1618" s="10" t="inlineStr">
        <is>
          <t>休日</t>
        </is>
      </c>
      <c r="C1618" s="10" t="inlineStr">
        <is>
          <t>北野線</t>
        </is>
      </c>
      <c r="D1618" s="10" t="inlineStr">
        <is>
          <t>上り</t>
        </is>
      </c>
      <c r="E1618" t="inlineStr">
        <is>
          <t>1058</t>
        </is>
      </c>
      <c r="F1618" t="inlineStr">
        <is>
          <t>0354</t>
        </is>
      </c>
      <c r="G1618" s="10" t="inlineStr">
        <is>
          <t>常盤</t>
        </is>
      </c>
      <c r="H1618" s="10" t="inlineStr">
        <is>
          <t>発</t>
        </is>
      </c>
      <c r="J1618" s="10" t="inlineStr">
        <is>
          <t>営業</t>
        </is>
      </c>
      <c r="L1618" t="inlineStr">
        <is>
          <t>10:39:00</t>
        </is>
      </c>
      <c r="M1618" t="inlineStr">
        <is>
          <t>10:39:20</t>
        </is>
      </c>
    </row>
    <row r="1619" ht="15" customHeight="1" s="37">
      <c r="A1619" t="n">
        <v>17</v>
      </c>
      <c r="B1619" s="10" t="inlineStr">
        <is>
          <t>休日</t>
        </is>
      </c>
      <c r="C1619" s="10" t="inlineStr">
        <is>
          <t>北野線</t>
        </is>
      </c>
      <c r="D1619" s="10" t="inlineStr">
        <is>
          <t>上り</t>
        </is>
      </c>
      <c r="E1619" t="inlineStr">
        <is>
          <t>1058</t>
        </is>
      </c>
      <c r="F1619" t="inlineStr">
        <is>
          <t>0354</t>
        </is>
      </c>
      <c r="G1619" s="10" t="inlineStr">
        <is>
          <t>鳴滝</t>
        </is>
      </c>
      <c r="H1619" s="10" t="inlineStr">
        <is>
          <t>発</t>
        </is>
      </c>
      <c r="J1619" s="10" t="inlineStr">
        <is>
          <t>営業</t>
        </is>
      </c>
      <c r="L1619" t="inlineStr">
        <is>
          <t>10:40:20</t>
        </is>
      </c>
      <c r="M1619" t="inlineStr">
        <is>
          <t>10:40:40</t>
        </is>
      </c>
    </row>
    <row r="1620" ht="15" customHeight="1" s="37">
      <c r="A1620" t="n">
        <v>17</v>
      </c>
      <c r="B1620" s="10" t="inlineStr">
        <is>
          <t>休日</t>
        </is>
      </c>
      <c r="C1620" s="10" t="inlineStr">
        <is>
          <t>北野線</t>
        </is>
      </c>
      <c r="D1620" s="10" t="inlineStr">
        <is>
          <t>上り</t>
        </is>
      </c>
      <c r="E1620" t="inlineStr">
        <is>
          <t>1058</t>
        </is>
      </c>
      <c r="F1620" t="inlineStr">
        <is>
          <t>0354</t>
        </is>
      </c>
      <c r="G1620" s="10" t="inlineStr">
        <is>
          <t>宇多野</t>
        </is>
      </c>
      <c r="H1620" s="10" t="inlineStr">
        <is>
          <t>発</t>
        </is>
      </c>
      <c r="J1620" s="10" t="inlineStr">
        <is>
          <t>営業</t>
        </is>
      </c>
      <c r="L1620" t="inlineStr">
        <is>
          <t>10:42:00</t>
        </is>
      </c>
      <c r="M1620" t="inlineStr">
        <is>
          <t>10:42:15</t>
        </is>
      </c>
    </row>
    <row r="1621" ht="15" customHeight="1" s="37">
      <c r="A1621" t="n">
        <v>17</v>
      </c>
      <c r="B1621" s="10" t="inlineStr">
        <is>
          <t>休日</t>
        </is>
      </c>
      <c r="C1621" s="10" t="inlineStr">
        <is>
          <t>北野線</t>
        </is>
      </c>
      <c r="D1621" s="10" t="inlineStr">
        <is>
          <t>上り</t>
        </is>
      </c>
      <c r="E1621" t="inlineStr">
        <is>
          <t>1058</t>
        </is>
      </c>
      <c r="F1621" t="inlineStr">
        <is>
          <t>0354</t>
        </is>
      </c>
      <c r="G1621" s="10" t="inlineStr">
        <is>
          <t>御室仁和寺</t>
        </is>
      </c>
      <c r="H1621" s="10" t="inlineStr">
        <is>
          <t>発</t>
        </is>
      </c>
      <c r="J1621" s="10" t="inlineStr">
        <is>
          <t>営業</t>
        </is>
      </c>
      <c r="L1621" t="inlineStr">
        <is>
          <t>10:43:15</t>
        </is>
      </c>
      <c r="M1621" t="inlineStr">
        <is>
          <t>10:43:35</t>
        </is>
      </c>
    </row>
    <row r="1622" ht="15" customHeight="1" s="37">
      <c r="A1622" t="n">
        <v>17</v>
      </c>
      <c r="B1622" s="10" t="inlineStr">
        <is>
          <t>休日</t>
        </is>
      </c>
      <c r="C1622" s="10" t="inlineStr">
        <is>
          <t>北野線</t>
        </is>
      </c>
      <c r="D1622" s="10" t="inlineStr">
        <is>
          <t>上り</t>
        </is>
      </c>
      <c r="E1622" t="inlineStr">
        <is>
          <t>1058</t>
        </is>
      </c>
      <c r="F1622" t="inlineStr">
        <is>
          <t>0354</t>
        </is>
      </c>
      <c r="G1622" s="10" t="inlineStr">
        <is>
          <t>妙心寺</t>
        </is>
      </c>
      <c r="H1622" s="10" t="inlineStr">
        <is>
          <t>発</t>
        </is>
      </c>
      <c r="J1622" s="10" t="inlineStr">
        <is>
          <t>営業</t>
        </is>
      </c>
      <c r="L1622" t="inlineStr">
        <is>
          <t>10:44:35</t>
        </is>
      </c>
      <c r="M1622" t="inlineStr">
        <is>
          <t>10:44:50</t>
        </is>
      </c>
    </row>
    <row r="1623" ht="15" customHeight="1" s="37">
      <c r="A1623" t="n">
        <v>17</v>
      </c>
      <c r="B1623" s="10" t="inlineStr">
        <is>
          <t>休日</t>
        </is>
      </c>
      <c r="C1623" s="10" t="inlineStr">
        <is>
          <t>北野線</t>
        </is>
      </c>
      <c r="D1623" s="10" t="inlineStr">
        <is>
          <t>上り</t>
        </is>
      </c>
      <c r="E1623" t="inlineStr">
        <is>
          <t>1058</t>
        </is>
      </c>
      <c r="F1623" t="inlineStr">
        <is>
          <t>0354</t>
        </is>
      </c>
      <c r="G1623" s="10" t="inlineStr">
        <is>
          <t>龍安寺</t>
        </is>
      </c>
      <c r="H1623" s="10" t="inlineStr">
        <is>
          <t>発</t>
        </is>
      </c>
      <c r="J1623" s="10" t="inlineStr">
        <is>
          <t>営業</t>
        </is>
      </c>
      <c r="L1623" t="inlineStr">
        <is>
          <t>10:45:45</t>
        </is>
      </c>
      <c r="M1623" t="inlineStr">
        <is>
          <t>10:45:55</t>
        </is>
      </c>
    </row>
    <row r="1624" ht="15" customHeight="1" s="37">
      <c r="A1624" t="n">
        <v>17</v>
      </c>
      <c r="B1624" s="10" t="inlineStr">
        <is>
          <t>休日</t>
        </is>
      </c>
      <c r="C1624" s="10" t="inlineStr">
        <is>
          <t>北野線</t>
        </is>
      </c>
      <c r="D1624" s="10" t="inlineStr">
        <is>
          <t>上り</t>
        </is>
      </c>
      <c r="E1624" t="inlineStr">
        <is>
          <t>1058</t>
        </is>
      </c>
      <c r="F1624" t="inlineStr">
        <is>
          <t>0354</t>
        </is>
      </c>
      <c r="G1624" s="10" t="inlineStr">
        <is>
          <t>等持院</t>
        </is>
      </c>
      <c r="H1624" s="10" t="inlineStr">
        <is>
          <t>発</t>
        </is>
      </c>
      <c r="J1624" s="10" t="inlineStr">
        <is>
          <t>営業</t>
        </is>
      </c>
      <c r="L1624" t="inlineStr">
        <is>
          <t>10:46:35</t>
        </is>
      </c>
      <c r="M1624" t="inlineStr">
        <is>
          <t>10:46:55</t>
        </is>
      </c>
    </row>
    <row r="1625" ht="15" customHeight="1" s="37">
      <c r="A1625" t="n">
        <v>17</v>
      </c>
      <c r="B1625" s="10" t="inlineStr">
        <is>
          <t>休日</t>
        </is>
      </c>
      <c r="C1625" s="10" t="inlineStr">
        <is>
          <t>北野線</t>
        </is>
      </c>
      <c r="D1625" s="10" t="inlineStr">
        <is>
          <t>上り</t>
        </is>
      </c>
      <c r="E1625" t="inlineStr">
        <is>
          <t>1058</t>
        </is>
      </c>
      <c r="F1625" t="inlineStr">
        <is>
          <t>0354</t>
        </is>
      </c>
      <c r="G1625" s="10" t="inlineStr">
        <is>
          <t>北野白梅町</t>
        </is>
      </c>
      <c r="H1625" s="10" t="inlineStr">
        <is>
          <t>着</t>
        </is>
      </c>
      <c r="J1625" s="10" t="inlineStr">
        <is>
          <t>営業</t>
        </is>
      </c>
      <c r="L1625" t="inlineStr">
        <is>
          <t>10:48:15</t>
        </is>
      </c>
      <c r="Q1625" t="inlineStr">
        <is>
          <t>1</t>
        </is>
      </c>
    </row>
    <row r="1626" ht="15" customHeight="1" s="37">
      <c r="A1626" t="n">
        <v>17</v>
      </c>
      <c r="B1626" s="10" t="inlineStr">
        <is>
          <t>休日</t>
        </is>
      </c>
      <c r="C1626" s="10" t="inlineStr">
        <is>
          <t>北野線</t>
        </is>
      </c>
      <c r="D1626" s="10" t="inlineStr">
        <is>
          <t>下り</t>
        </is>
      </c>
      <c r="E1626" t="inlineStr">
        <is>
          <t>1061</t>
        </is>
      </c>
      <c r="F1626" t="inlineStr">
        <is>
          <t>0453</t>
        </is>
      </c>
      <c r="G1626" s="10" t="inlineStr">
        <is>
          <t>北野白梅町</t>
        </is>
      </c>
      <c r="H1626" s="10" t="inlineStr">
        <is>
          <t>発</t>
        </is>
      </c>
      <c r="J1626" s="10" t="inlineStr">
        <is>
          <t>営業</t>
        </is>
      </c>
      <c r="M1626" t="inlineStr">
        <is>
          <t>10:53:00</t>
        </is>
      </c>
      <c r="Q1626" t="inlineStr">
        <is>
          <t>1</t>
        </is>
      </c>
    </row>
    <row r="1627" ht="15" customHeight="1" s="37">
      <c r="A1627" t="n">
        <v>17</v>
      </c>
      <c r="B1627" s="10" t="inlineStr">
        <is>
          <t>休日</t>
        </is>
      </c>
      <c r="C1627" s="10" t="inlineStr">
        <is>
          <t>北野線</t>
        </is>
      </c>
      <c r="D1627" s="10" t="inlineStr">
        <is>
          <t>下り</t>
        </is>
      </c>
      <c r="E1627" t="inlineStr">
        <is>
          <t>1061</t>
        </is>
      </c>
      <c r="F1627" t="inlineStr">
        <is>
          <t>0453</t>
        </is>
      </c>
      <c r="G1627" s="10" t="inlineStr">
        <is>
          <t>等持院</t>
        </is>
      </c>
      <c r="H1627" s="10" t="inlineStr">
        <is>
          <t>発</t>
        </is>
      </c>
      <c r="J1627" s="10" t="inlineStr">
        <is>
          <t>営業</t>
        </is>
      </c>
      <c r="L1627" t="inlineStr">
        <is>
          <t>10:54:25</t>
        </is>
      </c>
      <c r="M1627" t="inlineStr">
        <is>
          <t>10:54:35</t>
        </is>
      </c>
    </row>
    <row r="1628" ht="15" customHeight="1" s="37">
      <c r="A1628" t="n">
        <v>17</v>
      </c>
      <c r="B1628" s="10" t="inlineStr">
        <is>
          <t>休日</t>
        </is>
      </c>
      <c r="C1628" s="10" t="inlineStr">
        <is>
          <t>北野線</t>
        </is>
      </c>
      <c r="D1628" s="10" t="inlineStr">
        <is>
          <t>下り</t>
        </is>
      </c>
      <c r="E1628" t="inlineStr">
        <is>
          <t>1061</t>
        </is>
      </c>
      <c r="F1628" t="inlineStr">
        <is>
          <t>0453</t>
        </is>
      </c>
      <c r="G1628" s="10" t="inlineStr">
        <is>
          <t>龍安寺</t>
        </is>
      </c>
      <c r="H1628" s="10" t="inlineStr">
        <is>
          <t>発</t>
        </is>
      </c>
      <c r="J1628" s="10" t="inlineStr">
        <is>
          <t>営業</t>
        </is>
      </c>
      <c r="L1628" t="inlineStr">
        <is>
          <t>10:55:25</t>
        </is>
      </c>
      <c r="M1628" t="inlineStr">
        <is>
          <t>10:55:50</t>
        </is>
      </c>
    </row>
    <row r="1629" ht="15" customHeight="1" s="37">
      <c r="A1629" t="n">
        <v>17</v>
      </c>
      <c r="B1629" s="10" t="inlineStr">
        <is>
          <t>休日</t>
        </is>
      </c>
      <c r="C1629" s="10" t="inlineStr">
        <is>
          <t>北野線</t>
        </is>
      </c>
      <c r="D1629" s="10" t="inlineStr">
        <is>
          <t>下り</t>
        </is>
      </c>
      <c r="E1629" t="inlineStr">
        <is>
          <t>1061</t>
        </is>
      </c>
      <c r="F1629" t="inlineStr">
        <is>
          <t>0453</t>
        </is>
      </c>
      <c r="G1629" s="10" t="inlineStr">
        <is>
          <t>妙心寺</t>
        </is>
      </c>
      <c r="H1629" s="10" t="inlineStr">
        <is>
          <t>発</t>
        </is>
      </c>
      <c r="J1629" s="10" t="inlineStr">
        <is>
          <t>営業</t>
        </is>
      </c>
      <c r="L1629" t="inlineStr">
        <is>
          <t>10:56:40</t>
        </is>
      </c>
      <c r="M1629" t="inlineStr">
        <is>
          <t>10:56:50</t>
        </is>
      </c>
    </row>
    <row r="1630" ht="15" customHeight="1" s="37">
      <c r="A1630" t="n">
        <v>17</v>
      </c>
      <c r="B1630" s="10" t="inlineStr">
        <is>
          <t>休日</t>
        </is>
      </c>
      <c r="C1630" s="10" t="inlineStr">
        <is>
          <t>北野線</t>
        </is>
      </c>
      <c r="D1630" s="10" t="inlineStr">
        <is>
          <t>下り</t>
        </is>
      </c>
      <c r="E1630" t="inlineStr">
        <is>
          <t>1061</t>
        </is>
      </c>
      <c r="F1630" t="inlineStr">
        <is>
          <t>0453</t>
        </is>
      </c>
      <c r="G1630" s="10" t="inlineStr">
        <is>
          <t>御室仁和寺</t>
        </is>
      </c>
      <c r="H1630" s="10" t="inlineStr">
        <is>
          <t>発</t>
        </is>
      </c>
      <c r="J1630" s="10" t="inlineStr">
        <is>
          <t>営業</t>
        </is>
      </c>
      <c r="L1630" t="inlineStr">
        <is>
          <t>10:57:50</t>
        </is>
      </c>
      <c r="M1630" t="inlineStr">
        <is>
          <t>10:58:05</t>
        </is>
      </c>
    </row>
    <row r="1631" ht="15" customHeight="1" s="37">
      <c r="A1631" t="n">
        <v>17</v>
      </c>
      <c r="B1631" s="10" t="inlineStr">
        <is>
          <t>休日</t>
        </is>
      </c>
      <c r="C1631" s="10" t="inlineStr">
        <is>
          <t>北野線</t>
        </is>
      </c>
      <c r="D1631" s="10" t="inlineStr">
        <is>
          <t>下り</t>
        </is>
      </c>
      <c r="E1631" t="inlineStr">
        <is>
          <t>1061</t>
        </is>
      </c>
      <c r="F1631" t="inlineStr">
        <is>
          <t>0453</t>
        </is>
      </c>
      <c r="G1631" s="10" t="inlineStr">
        <is>
          <t>宇多野</t>
        </is>
      </c>
      <c r="H1631" s="10" t="inlineStr">
        <is>
          <t>発</t>
        </is>
      </c>
      <c r="J1631" s="10" t="inlineStr">
        <is>
          <t>営業</t>
        </is>
      </c>
      <c r="L1631" t="inlineStr">
        <is>
          <t>10:59:05</t>
        </is>
      </c>
      <c r="M1631" t="inlineStr">
        <is>
          <t>10:59:15</t>
        </is>
      </c>
    </row>
    <row r="1632" ht="15" customHeight="1" s="37">
      <c r="A1632" t="n">
        <v>17</v>
      </c>
      <c r="B1632" s="10" t="inlineStr">
        <is>
          <t>休日</t>
        </is>
      </c>
      <c r="C1632" s="10" t="inlineStr">
        <is>
          <t>北野線</t>
        </is>
      </c>
      <c r="D1632" s="10" t="inlineStr">
        <is>
          <t>下り</t>
        </is>
      </c>
      <c r="E1632" t="inlineStr">
        <is>
          <t>1061</t>
        </is>
      </c>
      <c r="F1632" t="inlineStr">
        <is>
          <t>0453</t>
        </is>
      </c>
      <c r="G1632" s="10" t="inlineStr">
        <is>
          <t>鳴滝</t>
        </is>
      </c>
      <c r="H1632" s="10" t="inlineStr">
        <is>
          <t>発</t>
        </is>
      </c>
      <c r="J1632" s="10" t="inlineStr">
        <is>
          <t>営業</t>
        </is>
      </c>
      <c r="L1632" t="inlineStr">
        <is>
          <t>11:00:35</t>
        </is>
      </c>
      <c r="M1632" t="inlineStr">
        <is>
          <t>11:00:45</t>
        </is>
      </c>
    </row>
    <row r="1633" ht="15" customHeight="1" s="37">
      <c r="A1633" t="n">
        <v>17</v>
      </c>
      <c r="B1633" s="10" t="inlineStr">
        <is>
          <t>休日</t>
        </is>
      </c>
      <c r="C1633" s="10" t="inlineStr">
        <is>
          <t>北野線</t>
        </is>
      </c>
      <c r="D1633" s="10" t="inlineStr">
        <is>
          <t>下り</t>
        </is>
      </c>
      <c r="E1633" t="inlineStr">
        <is>
          <t>1061</t>
        </is>
      </c>
      <c r="F1633" t="inlineStr">
        <is>
          <t>0453</t>
        </is>
      </c>
      <c r="G1633" s="10" t="inlineStr">
        <is>
          <t>常盤</t>
        </is>
      </c>
      <c r="H1633" s="10" t="inlineStr">
        <is>
          <t>発</t>
        </is>
      </c>
      <c r="J1633" s="10" t="inlineStr">
        <is>
          <t>営業</t>
        </is>
      </c>
      <c r="L1633" t="inlineStr">
        <is>
          <t>11:01:35</t>
        </is>
      </c>
      <c r="M1633" t="inlineStr">
        <is>
          <t>11:01:55</t>
        </is>
      </c>
    </row>
    <row r="1634" ht="15" customHeight="1" s="37">
      <c r="A1634" t="n">
        <v>17</v>
      </c>
      <c r="B1634" s="10" t="inlineStr">
        <is>
          <t>休日</t>
        </is>
      </c>
      <c r="C1634" s="10" t="inlineStr">
        <is>
          <t>北野線</t>
        </is>
      </c>
      <c r="D1634" s="10" t="inlineStr">
        <is>
          <t>下り</t>
        </is>
      </c>
      <c r="E1634" t="inlineStr">
        <is>
          <t>1061</t>
        </is>
      </c>
      <c r="F1634" t="inlineStr">
        <is>
          <t>0453</t>
        </is>
      </c>
      <c r="G1634" s="10" t="inlineStr">
        <is>
          <t>撮影所前</t>
        </is>
      </c>
      <c r="H1634" s="10" t="inlineStr">
        <is>
          <t>発</t>
        </is>
      </c>
      <c r="J1634" s="10" t="inlineStr">
        <is>
          <t>営業</t>
        </is>
      </c>
      <c r="L1634" t="inlineStr">
        <is>
          <t>11:03:15</t>
        </is>
      </c>
      <c r="M1634" t="inlineStr">
        <is>
          <t>11:03:30</t>
        </is>
      </c>
    </row>
    <row r="1635" ht="15" customHeight="1" s="37">
      <c r="A1635" t="n">
        <v>17</v>
      </c>
      <c r="B1635" s="10" t="inlineStr">
        <is>
          <t>休日</t>
        </is>
      </c>
      <c r="C1635" s="10" t="inlineStr">
        <is>
          <t>北野線</t>
        </is>
      </c>
      <c r="D1635" s="10" t="inlineStr">
        <is>
          <t>下り</t>
        </is>
      </c>
      <c r="E1635" t="inlineStr">
        <is>
          <t>1061</t>
        </is>
      </c>
      <c r="F1635" t="inlineStr">
        <is>
          <t>0453</t>
        </is>
      </c>
      <c r="G1635" s="10" t="inlineStr">
        <is>
          <t>帷子ノ辻</t>
        </is>
      </c>
      <c r="H1635" s="10" t="inlineStr">
        <is>
          <t>着</t>
        </is>
      </c>
      <c r="J1635" s="10" t="inlineStr">
        <is>
          <t>営業</t>
        </is>
      </c>
      <c r="L1635" t="inlineStr">
        <is>
          <t>11:04:25</t>
        </is>
      </c>
      <c r="Q1635" t="inlineStr">
        <is>
          <t>3</t>
        </is>
      </c>
    </row>
    <row r="1636" ht="15" customHeight="1" s="37">
      <c r="A1636" t="n">
        <v>17</v>
      </c>
      <c r="B1636" s="10" t="inlineStr">
        <is>
          <t>休日</t>
        </is>
      </c>
      <c r="C1636" s="10" t="inlineStr">
        <is>
          <t>北野線</t>
        </is>
      </c>
      <c r="D1636" s="10" t="inlineStr">
        <is>
          <t>上り</t>
        </is>
      </c>
      <c r="E1636" t="inlineStr">
        <is>
          <t>1154</t>
        </is>
      </c>
      <c r="F1636" t="inlineStr">
        <is>
          <t>0354</t>
        </is>
      </c>
      <c r="G1636" s="10" t="inlineStr">
        <is>
          <t>帷子ノ辻</t>
        </is>
      </c>
      <c r="H1636" s="10" t="inlineStr">
        <is>
          <t>発</t>
        </is>
      </c>
      <c r="J1636" s="10" t="inlineStr">
        <is>
          <t>営業</t>
        </is>
      </c>
      <c r="M1636" t="inlineStr">
        <is>
          <t>11:16:25</t>
        </is>
      </c>
      <c r="Q1636" t="inlineStr">
        <is>
          <t>3</t>
        </is>
      </c>
    </row>
    <row r="1637" ht="15" customHeight="1" s="37">
      <c r="A1637" t="n">
        <v>17</v>
      </c>
      <c r="B1637" s="10" t="inlineStr">
        <is>
          <t>休日</t>
        </is>
      </c>
      <c r="C1637" s="10" t="inlineStr">
        <is>
          <t>北野線</t>
        </is>
      </c>
      <c r="D1637" s="10" t="inlineStr">
        <is>
          <t>上り</t>
        </is>
      </c>
      <c r="E1637" t="inlineStr">
        <is>
          <t>1154</t>
        </is>
      </c>
      <c r="F1637" t="inlineStr">
        <is>
          <t>0354</t>
        </is>
      </c>
      <c r="G1637" s="10" t="inlineStr">
        <is>
          <t>撮影所前</t>
        </is>
      </c>
      <c r="H1637" s="10" t="inlineStr">
        <is>
          <t>発</t>
        </is>
      </c>
      <c r="J1637" s="10" t="inlineStr">
        <is>
          <t>営業</t>
        </is>
      </c>
      <c r="L1637" t="inlineStr">
        <is>
          <t>11:17:25</t>
        </is>
      </c>
      <c r="M1637" t="inlineStr">
        <is>
          <t>11:17:40</t>
        </is>
      </c>
    </row>
    <row r="1638" ht="15" customHeight="1" s="37">
      <c r="A1638" t="n">
        <v>17</v>
      </c>
      <c r="B1638" s="10" t="inlineStr">
        <is>
          <t>休日</t>
        </is>
      </c>
      <c r="C1638" s="10" t="inlineStr">
        <is>
          <t>北野線</t>
        </is>
      </c>
      <c r="D1638" s="10" t="inlineStr">
        <is>
          <t>上り</t>
        </is>
      </c>
      <c r="E1638" t="inlineStr">
        <is>
          <t>1154</t>
        </is>
      </c>
      <c r="F1638" t="inlineStr">
        <is>
          <t>0354</t>
        </is>
      </c>
      <c r="G1638" s="10" t="inlineStr">
        <is>
          <t>常盤</t>
        </is>
      </c>
      <c r="H1638" s="10" t="inlineStr">
        <is>
          <t>発</t>
        </is>
      </c>
      <c r="J1638" s="10" t="inlineStr">
        <is>
          <t>営業</t>
        </is>
      </c>
      <c r="L1638" t="inlineStr">
        <is>
          <t>11:19:00</t>
        </is>
      </c>
      <c r="M1638" t="inlineStr">
        <is>
          <t>11:19:20</t>
        </is>
      </c>
    </row>
    <row r="1639" ht="15" customHeight="1" s="37">
      <c r="A1639" t="n">
        <v>17</v>
      </c>
      <c r="B1639" s="10" t="inlineStr">
        <is>
          <t>休日</t>
        </is>
      </c>
      <c r="C1639" s="10" t="inlineStr">
        <is>
          <t>北野線</t>
        </is>
      </c>
      <c r="D1639" s="10" t="inlineStr">
        <is>
          <t>上り</t>
        </is>
      </c>
      <c r="E1639" t="inlineStr">
        <is>
          <t>1154</t>
        </is>
      </c>
      <c r="F1639" t="inlineStr">
        <is>
          <t>0354</t>
        </is>
      </c>
      <c r="G1639" s="10" t="inlineStr">
        <is>
          <t>鳴滝</t>
        </is>
      </c>
      <c r="H1639" s="10" t="inlineStr">
        <is>
          <t>発</t>
        </is>
      </c>
      <c r="J1639" s="10" t="inlineStr">
        <is>
          <t>営業</t>
        </is>
      </c>
      <c r="L1639" t="inlineStr">
        <is>
          <t>11:20:20</t>
        </is>
      </c>
      <c r="M1639" t="inlineStr">
        <is>
          <t>11:20:40</t>
        </is>
      </c>
    </row>
    <row r="1640" ht="15" customHeight="1" s="37">
      <c r="A1640" t="n">
        <v>17</v>
      </c>
      <c r="B1640" s="10" t="inlineStr">
        <is>
          <t>休日</t>
        </is>
      </c>
      <c r="C1640" s="10" t="inlineStr">
        <is>
          <t>北野線</t>
        </is>
      </c>
      <c r="D1640" s="10" t="inlineStr">
        <is>
          <t>上り</t>
        </is>
      </c>
      <c r="E1640" t="inlineStr">
        <is>
          <t>1154</t>
        </is>
      </c>
      <c r="F1640" t="inlineStr">
        <is>
          <t>0354</t>
        </is>
      </c>
      <c r="G1640" s="10" t="inlineStr">
        <is>
          <t>宇多野</t>
        </is>
      </c>
      <c r="H1640" s="10" t="inlineStr">
        <is>
          <t>発</t>
        </is>
      </c>
      <c r="J1640" s="10" t="inlineStr">
        <is>
          <t>営業</t>
        </is>
      </c>
      <c r="L1640" t="inlineStr">
        <is>
          <t>11:22:00</t>
        </is>
      </c>
      <c r="M1640" t="inlineStr">
        <is>
          <t>11:22:15</t>
        </is>
      </c>
    </row>
    <row r="1641" ht="15" customHeight="1" s="37">
      <c r="A1641" t="n">
        <v>17</v>
      </c>
      <c r="B1641" s="10" t="inlineStr">
        <is>
          <t>休日</t>
        </is>
      </c>
      <c r="C1641" s="10" t="inlineStr">
        <is>
          <t>北野線</t>
        </is>
      </c>
      <c r="D1641" s="10" t="inlineStr">
        <is>
          <t>上り</t>
        </is>
      </c>
      <c r="E1641" t="inlineStr">
        <is>
          <t>1154</t>
        </is>
      </c>
      <c r="F1641" t="inlineStr">
        <is>
          <t>0354</t>
        </is>
      </c>
      <c r="G1641" s="10" t="inlineStr">
        <is>
          <t>御室仁和寺</t>
        </is>
      </c>
      <c r="H1641" s="10" t="inlineStr">
        <is>
          <t>発</t>
        </is>
      </c>
      <c r="J1641" s="10" t="inlineStr">
        <is>
          <t>営業</t>
        </is>
      </c>
      <c r="L1641" t="inlineStr">
        <is>
          <t>11:23:15</t>
        </is>
      </c>
      <c r="M1641" t="inlineStr">
        <is>
          <t>11:23:35</t>
        </is>
      </c>
    </row>
    <row r="1642" ht="15" customHeight="1" s="37">
      <c r="A1642" t="n">
        <v>17</v>
      </c>
      <c r="B1642" s="10" t="inlineStr">
        <is>
          <t>休日</t>
        </is>
      </c>
      <c r="C1642" s="10" t="inlineStr">
        <is>
          <t>北野線</t>
        </is>
      </c>
      <c r="D1642" s="10" t="inlineStr">
        <is>
          <t>上り</t>
        </is>
      </c>
      <c r="E1642" t="inlineStr">
        <is>
          <t>1154</t>
        </is>
      </c>
      <c r="F1642" t="inlineStr">
        <is>
          <t>0354</t>
        </is>
      </c>
      <c r="G1642" s="10" t="inlineStr">
        <is>
          <t>妙心寺</t>
        </is>
      </c>
      <c r="H1642" s="10" t="inlineStr">
        <is>
          <t>発</t>
        </is>
      </c>
      <c r="J1642" s="10" t="inlineStr">
        <is>
          <t>営業</t>
        </is>
      </c>
      <c r="L1642" t="inlineStr">
        <is>
          <t>11:24:35</t>
        </is>
      </c>
      <c r="M1642" t="inlineStr">
        <is>
          <t>11:24:50</t>
        </is>
      </c>
    </row>
    <row r="1643" ht="15" customHeight="1" s="37">
      <c r="A1643" t="n">
        <v>17</v>
      </c>
      <c r="B1643" s="10" t="inlineStr">
        <is>
          <t>休日</t>
        </is>
      </c>
      <c r="C1643" s="10" t="inlineStr">
        <is>
          <t>北野線</t>
        </is>
      </c>
      <c r="D1643" s="10" t="inlineStr">
        <is>
          <t>上り</t>
        </is>
      </c>
      <c r="E1643" t="inlineStr">
        <is>
          <t>1154</t>
        </is>
      </c>
      <c r="F1643" t="inlineStr">
        <is>
          <t>0354</t>
        </is>
      </c>
      <c r="G1643" s="10" t="inlineStr">
        <is>
          <t>龍安寺</t>
        </is>
      </c>
      <c r="H1643" s="10" t="inlineStr">
        <is>
          <t>発</t>
        </is>
      </c>
      <c r="J1643" s="10" t="inlineStr">
        <is>
          <t>営業</t>
        </is>
      </c>
      <c r="L1643" t="inlineStr">
        <is>
          <t>11:25:45</t>
        </is>
      </c>
      <c r="M1643" t="inlineStr">
        <is>
          <t>11:25:55</t>
        </is>
      </c>
    </row>
    <row r="1644" ht="15" customHeight="1" s="37">
      <c r="A1644" t="n">
        <v>17</v>
      </c>
      <c r="B1644" s="10" t="inlineStr">
        <is>
          <t>休日</t>
        </is>
      </c>
      <c r="C1644" s="10" t="inlineStr">
        <is>
          <t>北野線</t>
        </is>
      </c>
      <c r="D1644" s="10" t="inlineStr">
        <is>
          <t>上り</t>
        </is>
      </c>
      <c r="E1644" t="inlineStr">
        <is>
          <t>1154</t>
        </is>
      </c>
      <c r="F1644" t="inlineStr">
        <is>
          <t>0354</t>
        </is>
      </c>
      <c r="G1644" s="10" t="inlineStr">
        <is>
          <t>等持院</t>
        </is>
      </c>
      <c r="H1644" s="10" t="inlineStr">
        <is>
          <t>発</t>
        </is>
      </c>
      <c r="J1644" s="10" t="inlineStr">
        <is>
          <t>営業</t>
        </is>
      </c>
      <c r="L1644" t="inlineStr">
        <is>
          <t>11:26:35</t>
        </is>
      </c>
      <c r="M1644" t="inlineStr">
        <is>
          <t>11:26:55</t>
        </is>
      </c>
    </row>
    <row r="1645" ht="15" customHeight="1" s="37">
      <c r="A1645" t="n">
        <v>17</v>
      </c>
      <c r="B1645" s="10" t="inlineStr">
        <is>
          <t>休日</t>
        </is>
      </c>
      <c r="C1645" s="10" t="inlineStr">
        <is>
          <t>北野線</t>
        </is>
      </c>
      <c r="D1645" s="10" t="inlineStr">
        <is>
          <t>上り</t>
        </is>
      </c>
      <c r="E1645" t="inlineStr">
        <is>
          <t>1154</t>
        </is>
      </c>
      <c r="F1645" t="inlineStr">
        <is>
          <t>0354</t>
        </is>
      </c>
      <c r="G1645" s="10" t="inlineStr">
        <is>
          <t>北野白梅町</t>
        </is>
      </c>
      <c r="H1645" s="10" t="inlineStr">
        <is>
          <t>着</t>
        </is>
      </c>
      <c r="J1645" s="10" t="inlineStr">
        <is>
          <t>営業</t>
        </is>
      </c>
      <c r="L1645" t="inlineStr">
        <is>
          <t>11:28:15</t>
        </is>
      </c>
      <c r="Q1645" t="inlineStr">
        <is>
          <t>1</t>
        </is>
      </c>
    </row>
    <row r="1646" ht="15" customHeight="1" s="37">
      <c r="A1646" t="n">
        <v>17</v>
      </c>
      <c r="B1646" s="10" t="inlineStr">
        <is>
          <t>休日</t>
        </is>
      </c>
      <c r="C1646" s="10" t="inlineStr">
        <is>
          <t>北野線</t>
        </is>
      </c>
      <c r="D1646" s="10" t="inlineStr">
        <is>
          <t>下り</t>
        </is>
      </c>
      <c r="E1646" t="inlineStr">
        <is>
          <t>1157</t>
        </is>
      </c>
      <c r="F1646" t="inlineStr">
        <is>
          <t>0453</t>
        </is>
      </c>
      <c r="G1646" s="10" t="inlineStr">
        <is>
          <t>北野白梅町</t>
        </is>
      </c>
      <c r="H1646" s="10" t="inlineStr">
        <is>
          <t>発</t>
        </is>
      </c>
      <c r="J1646" s="10" t="inlineStr">
        <is>
          <t>営業</t>
        </is>
      </c>
      <c r="M1646" t="inlineStr">
        <is>
          <t>11:33:00</t>
        </is>
      </c>
      <c r="Q1646" t="inlineStr">
        <is>
          <t>1</t>
        </is>
      </c>
    </row>
    <row r="1647" ht="15" customHeight="1" s="37">
      <c r="A1647" t="n">
        <v>17</v>
      </c>
      <c r="B1647" s="10" t="inlineStr">
        <is>
          <t>休日</t>
        </is>
      </c>
      <c r="C1647" s="10" t="inlineStr">
        <is>
          <t>北野線</t>
        </is>
      </c>
      <c r="D1647" s="10" t="inlineStr">
        <is>
          <t>下り</t>
        </is>
      </c>
      <c r="E1647" t="inlineStr">
        <is>
          <t>1157</t>
        </is>
      </c>
      <c r="F1647" t="inlineStr">
        <is>
          <t>0453</t>
        </is>
      </c>
      <c r="G1647" s="10" t="inlineStr">
        <is>
          <t>等持院</t>
        </is>
      </c>
      <c r="H1647" s="10" t="inlineStr">
        <is>
          <t>発</t>
        </is>
      </c>
      <c r="J1647" s="10" t="inlineStr">
        <is>
          <t>営業</t>
        </is>
      </c>
      <c r="L1647" t="inlineStr">
        <is>
          <t>11:34:25</t>
        </is>
      </c>
      <c r="M1647" t="inlineStr">
        <is>
          <t>11:34:35</t>
        </is>
      </c>
    </row>
    <row r="1648" ht="15" customHeight="1" s="37">
      <c r="A1648" t="n">
        <v>17</v>
      </c>
      <c r="B1648" s="10" t="inlineStr">
        <is>
          <t>休日</t>
        </is>
      </c>
      <c r="C1648" s="10" t="inlineStr">
        <is>
          <t>北野線</t>
        </is>
      </c>
      <c r="D1648" s="10" t="inlineStr">
        <is>
          <t>下り</t>
        </is>
      </c>
      <c r="E1648" t="inlineStr">
        <is>
          <t>1157</t>
        </is>
      </c>
      <c r="F1648" t="inlineStr">
        <is>
          <t>0453</t>
        </is>
      </c>
      <c r="G1648" s="10" t="inlineStr">
        <is>
          <t>龍安寺</t>
        </is>
      </c>
      <c r="H1648" s="10" t="inlineStr">
        <is>
          <t>発</t>
        </is>
      </c>
      <c r="J1648" s="10" t="inlineStr">
        <is>
          <t>営業</t>
        </is>
      </c>
      <c r="L1648" t="inlineStr">
        <is>
          <t>11:35:25</t>
        </is>
      </c>
      <c r="M1648" t="inlineStr">
        <is>
          <t>11:35:50</t>
        </is>
      </c>
    </row>
    <row r="1649" ht="15" customHeight="1" s="37">
      <c r="A1649" t="n">
        <v>17</v>
      </c>
      <c r="B1649" s="10" t="inlineStr">
        <is>
          <t>休日</t>
        </is>
      </c>
      <c r="C1649" s="10" t="inlineStr">
        <is>
          <t>北野線</t>
        </is>
      </c>
      <c r="D1649" s="10" t="inlineStr">
        <is>
          <t>下り</t>
        </is>
      </c>
      <c r="E1649" t="inlineStr">
        <is>
          <t>1157</t>
        </is>
      </c>
      <c r="F1649" t="inlineStr">
        <is>
          <t>0453</t>
        </is>
      </c>
      <c r="G1649" s="10" t="inlineStr">
        <is>
          <t>妙心寺</t>
        </is>
      </c>
      <c r="H1649" s="10" t="inlineStr">
        <is>
          <t>発</t>
        </is>
      </c>
      <c r="J1649" s="10" t="inlineStr">
        <is>
          <t>営業</t>
        </is>
      </c>
      <c r="L1649" t="inlineStr">
        <is>
          <t>11:36:40</t>
        </is>
      </c>
      <c r="M1649" t="inlineStr">
        <is>
          <t>11:36:50</t>
        </is>
      </c>
    </row>
    <row r="1650" ht="15" customHeight="1" s="37">
      <c r="A1650" t="n">
        <v>17</v>
      </c>
      <c r="B1650" s="10" t="inlineStr">
        <is>
          <t>休日</t>
        </is>
      </c>
      <c r="C1650" s="10" t="inlineStr">
        <is>
          <t>北野線</t>
        </is>
      </c>
      <c r="D1650" s="10" t="inlineStr">
        <is>
          <t>下り</t>
        </is>
      </c>
      <c r="E1650" t="inlineStr">
        <is>
          <t>1157</t>
        </is>
      </c>
      <c r="F1650" t="inlineStr">
        <is>
          <t>0453</t>
        </is>
      </c>
      <c r="G1650" s="10" t="inlineStr">
        <is>
          <t>御室仁和寺</t>
        </is>
      </c>
      <c r="H1650" s="10" t="inlineStr">
        <is>
          <t>発</t>
        </is>
      </c>
      <c r="J1650" s="10" t="inlineStr">
        <is>
          <t>営業</t>
        </is>
      </c>
      <c r="L1650" t="inlineStr">
        <is>
          <t>11:37:50</t>
        </is>
      </c>
      <c r="M1650" t="inlineStr">
        <is>
          <t>11:38:05</t>
        </is>
      </c>
    </row>
    <row r="1651" ht="15" customHeight="1" s="37">
      <c r="A1651" t="n">
        <v>17</v>
      </c>
      <c r="B1651" s="10" t="inlineStr">
        <is>
          <t>休日</t>
        </is>
      </c>
      <c r="C1651" s="10" t="inlineStr">
        <is>
          <t>北野線</t>
        </is>
      </c>
      <c r="D1651" s="10" t="inlineStr">
        <is>
          <t>下り</t>
        </is>
      </c>
      <c r="E1651" t="inlineStr">
        <is>
          <t>1157</t>
        </is>
      </c>
      <c r="F1651" t="inlineStr">
        <is>
          <t>0453</t>
        </is>
      </c>
      <c r="G1651" s="10" t="inlineStr">
        <is>
          <t>宇多野</t>
        </is>
      </c>
      <c r="H1651" s="10" t="inlineStr">
        <is>
          <t>発</t>
        </is>
      </c>
      <c r="J1651" s="10" t="inlineStr">
        <is>
          <t>営業</t>
        </is>
      </c>
      <c r="L1651" t="inlineStr">
        <is>
          <t>11:39:05</t>
        </is>
      </c>
      <c r="M1651" t="inlineStr">
        <is>
          <t>11:39:15</t>
        </is>
      </c>
    </row>
    <row r="1652" ht="15" customHeight="1" s="37">
      <c r="A1652" t="n">
        <v>17</v>
      </c>
      <c r="B1652" s="10" t="inlineStr">
        <is>
          <t>休日</t>
        </is>
      </c>
      <c r="C1652" s="10" t="inlineStr">
        <is>
          <t>北野線</t>
        </is>
      </c>
      <c r="D1652" s="10" t="inlineStr">
        <is>
          <t>下り</t>
        </is>
      </c>
      <c r="E1652" t="inlineStr">
        <is>
          <t>1157</t>
        </is>
      </c>
      <c r="F1652" t="inlineStr">
        <is>
          <t>0453</t>
        </is>
      </c>
      <c r="G1652" s="10" t="inlineStr">
        <is>
          <t>鳴滝</t>
        </is>
      </c>
      <c r="H1652" s="10" t="inlineStr">
        <is>
          <t>発</t>
        </is>
      </c>
      <c r="J1652" s="10" t="inlineStr">
        <is>
          <t>営業</t>
        </is>
      </c>
      <c r="L1652" t="inlineStr">
        <is>
          <t>11:40:35</t>
        </is>
      </c>
      <c r="M1652" t="inlineStr">
        <is>
          <t>11:40:45</t>
        </is>
      </c>
    </row>
    <row r="1653" ht="15" customHeight="1" s="37">
      <c r="A1653" t="n">
        <v>17</v>
      </c>
      <c r="B1653" s="10" t="inlineStr">
        <is>
          <t>休日</t>
        </is>
      </c>
      <c r="C1653" s="10" t="inlineStr">
        <is>
          <t>北野線</t>
        </is>
      </c>
      <c r="D1653" s="10" t="inlineStr">
        <is>
          <t>下り</t>
        </is>
      </c>
      <c r="E1653" t="inlineStr">
        <is>
          <t>1157</t>
        </is>
      </c>
      <c r="F1653" t="inlineStr">
        <is>
          <t>0453</t>
        </is>
      </c>
      <c r="G1653" s="10" t="inlineStr">
        <is>
          <t>常盤</t>
        </is>
      </c>
      <c r="H1653" s="10" t="inlineStr">
        <is>
          <t>発</t>
        </is>
      </c>
      <c r="J1653" s="10" t="inlineStr">
        <is>
          <t>営業</t>
        </is>
      </c>
      <c r="L1653" t="inlineStr">
        <is>
          <t>11:41:35</t>
        </is>
      </c>
      <c r="M1653" t="inlineStr">
        <is>
          <t>11:41:55</t>
        </is>
      </c>
    </row>
    <row r="1654" ht="15" customHeight="1" s="37">
      <c r="A1654" t="n">
        <v>17</v>
      </c>
      <c r="B1654" s="10" t="inlineStr">
        <is>
          <t>休日</t>
        </is>
      </c>
      <c r="C1654" s="10" t="inlineStr">
        <is>
          <t>北野線</t>
        </is>
      </c>
      <c r="D1654" s="10" t="inlineStr">
        <is>
          <t>下り</t>
        </is>
      </c>
      <c r="E1654" t="inlineStr">
        <is>
          <t>1157</t>
        </is>
      </c>
      <c r="F1654" t="inlineStr">
        <is>
          <t>0453</t>
        </is>
      </c>
      <c r="G1654" s="10" t="inlineStr">
        <is>
          <t>撮影所前</t>
        </is>
      </c>
      <c r="H1654" s="10" t="inlineStr">
        <is>
          <t>発</t>
        </is>
      </c>
      <c r="J1654" s="10" t="inlineStr">
        <is>
          <t>営業</t>
        </is>
      </c>
      <c r="L1654" t="inlineStr">
        <is>
          <t>11:43:15</t>
        </is>
      </c>
      <c r="M1654" t="inlineStr">
        <is>
          <t>11:43:30</t>
        </is>
      </c>
    </row>
    <row r="1655" ht="15" customHeight="1" s="37">
      <c r="A1655" t="n">
        <v>17</v>
      </c>
      <c r="B1655" s="10" t="inlineStr">
        <is>
          <t>休日</t>
        </is>
      </c>
      <c r="C1655" s="10" t="inlineStr">
        <is>
          <t>北野線</t>
        </is>
      </c>
      <c r="D1655" s="10" t="inlineStr">
        <is>
          <t>下り</t>
        </is>
      </c>
      <c r="E1655" t="inlineStr">
        <is>
          <t>1157</t>
        </is>
      </c>
      <c r="F1655" t="inlineStr">
        <is>
          <t>0453</t>
        </is>
      </c>
      <c r="G1655" s="10" t="inlineStr">
        <is>
          <t>帷子ノ辻</t>
        </is>
      </c>
      <c r="H1655" s="10" t="inlineStr">
        <is>
          <t>着</t>
        </is>
      </c>
      <c r="J1655" s="10" t="inlineStr">
        <is>
          <t>営業</t>
        </is>
      </c>
      <c r="L1655" t="inlineStr">
        <is>
          <t>11:44:25</t>
        </is>
      </c>
      <c r="Q1655" t="inlineStr">
        <is>
          <t>3</t>
        </is>
      </c>
    </row>
    <row r="1656" ht="15" customHeight="1" s="37">
      <c r="A1656" t="n">
        <v>17</v>
      </c>
      <c r="B1656" s="10" t="inlineStr">
        <is>
          <t>休日</t>
        </is>
      </c>
      <c r="C1656" s="10" t="inlineStr">
        <is>
          <t>北野線</t>
        </is>
      </c>
      <c r="D1656" s="10" t="inlineStr">
        <is>
          <t>上り</t>
        </is>
      </c>
      <c r="E1656" t="inlineStr">
        <is>
          <t>1162</t>
        </is>
      </c>
      <c r="F1656" t="inlineStr">
        <is>
          <t>0354</t>
        </is>
      </c>
      <c r="G1656" s="10" t="inlineStr">
        <is>
          <t>帷子ノ辻</t>
        </is>
      </c>
      <c r="H1656" s="10" t="inlineStr">
        <is>
          <t>発</t>
        </is>
      </c>
      <c r="J1656" s="10" t="inlineStr">
        <is>
          <t>営業</t>
        </is>
      </c>
      <c r="M1656" t="inlineStr">
        <is>
          <t>11:56:25</t>
        </is>
      </c>
      <c r="Q1656" t="inlineStr">
        <is>
          <t>3</t>
        </is>
      </c>
    </row>
    <row r="1657" ht="15" customHeight="1" s="37">
      <c r="A1657" t="n">
        <v>17</v>
      </c>
      <c r="B1657" s="10" t="inlineStr">
        <is>
          <t>休日</t>
        </is>
      </c>
      <c r="C1657" s="10" t="inlineStr">
        <is>
          <t>北野線</t>
        </is>
      </c>
      <c r="D1657" s="10" t="inlineStr">
        <is>
          <t>上り</t>
        </is>
      </c>
      <c r="E1657" t="inlineStr">
        <is>
          <t>1162</t>
        </is>
      </c>
      <c r="F1657" t="inlineStr">
        <is>
          <t>0354</t>
        </is>
      </c>
      <c r="G1657" s="10" t="inlineStr">
        <is>
          <t>撮影所前</t>
        </is>
      </c>
      <c r="H1657" s="10" t="inlineStr">
        <is>
          <t>発</t>
        </is>
      </c>
      <c r="J1657" s="10" t="inlineStr">
        <is>
          <t>営業</t>
        </is>
      </c>
      <c r="L1657" t="inlineStr">
        <is>
          <t>11:57:25</t>
        </is>
      </c>
      <c r="M1657" t="inlineStr">
        <is>
          <t>11:57:40</t>
        </is>
      </c>
    </row>
    <row r="1658" ht="15" customHeight="1" s="37">
      <c r="A1658" t="n">
        <v>17</v>
      </c>
      <c r="B1658" s="10" t="inlineStr">
        <is>
          <t>休日</t>
        </is>
      </c>
      <c r="C1658" s="10" t="inlineStr">
        <is>
          <t>北野線</t>
        </is>
      </c>
      <c r="D1658" s="10" t="inlineStr">
        <is>
          <t>上り</t>
        </is>
      </c>
      <c r="E1658" t="inlineStr">
        <is>
          <t>1162</t>
        </is>
      </c>
      <c r="F1658" t="inlineStr">
        <is>
          <t>0354</t>
        </is>
      </c>
      <c r="G1658" s="10" t="inlineStr">
        <is>
          <t>常盤</t>
        </is>
      </c>
      <c r="H1658" s="10" t="inlineStr">
        <is>
          <t>発</t>
        </is>
      </c>
      <c r="J1658" s="10" t="inlineStr">
        <is>
          <t>営業</t>
        </is>
      </c>
      <c r="L1658" t="inlineStr">
        <is>
          <t>11:59:00</t>
        </is>
      </c>
      <c r="M1658" t="inlineStr">
        <is>
          <t>11:59:20</t>
        </is>
      </c>
    </row>
    <row r="1659" ht="15" customHeight="1" s="37">
      <c r="A1659" t="n">
        <v>17</v>
      </c>
      <c r="B1659" s="10" t="inlineStr">
        <is>
          <t>休日</t>
        </is>
      </c>
      <c r="C1659" s="10" t="inlineStr">
        <is>
          <t>北野線</t>
        </is>
      </c>
      <c r="D1659" s="10" t="inlineStr">
        <is>
          <t>上り</t>
        </is>
      </c>
      <c r="E1659" t="inlineStr">
        <is>
          <t>1162</t>
        </is>
      </c>
      <c r="F1659" t="inlineStr">
        <is>
          <t>0354</t>
        </is>
      </c>
      <c r="G1659" s="10" t="inlineStr">
        <is>
          <t>鳴滝</t>
        </is>
      </c>
      <c r="H1659" s="10" t="inlineStr">
        <is>
          <t>発</t>
        </is>
      </c>
      <c r="J1659" s="10" t="inlineStr">
        <is>
          <t>営業</t>
        </is>
      </c>
      <c r="L1659" t="inlineStr">
        <is>
          <t>12:00:20</t>
        </is>
      </c>
      <c r="M1659" t="inlineStr">
        <is>
          <t>12:00:40</t>
        </is>
      </c>
    </row>
    <row r="1660" ht="15" customHeight="1" s="37">
      <c r="A1660" t="n">
        <v>17</v>
      </c>
      <c r="B1660" s="10" t="inlineStr">
        <is>
          <t>休日</t>
        </is>
      </c>
      <c r="C1660" s="10" t="inlineStr">
        <is>
          <t>北野線</t>
        </is>
      </c>
      <c r="D1660" s="10" t="inlineStr">
        <is>
          <t>上り</t>
        </is>
      </c>
      <c r="E1660" t="inlineStr">
        <is>
          <t>1162</t>
        </is>
      </c>
      <c r="F1660" t="inlineStr">
        <is>
          <t>0354</t>
        </is>
      </c>
      <c r="G1660" s="10" t="inlineStr">
        <is>
          <t>宇多野</t>
        </is>
      </c>
      <c r="H1660" s="10" t="inlineStr">
        <is>
          <t>発</t>
        </is>
      </c>
      <c r="J1660" s="10" t="inlineStr">
        <is>
          <t>営業</t>
        </is>
      </c>
      <c r="L1660" t="inlineStr">
        <is>
          <t>12:02:00</t>
        </is>
      </c>
      <c r="M1660" t="inlineStr">
        <is>
          <t>12:02:15</t>
        </is>
      </c>
    </row>
    <row r="1661" ht="15" customHeight="1" s="37">
      <c r="A1661" t="n">
        <v>17</v>
      </c>
      <c r="B1661" s="10" t="inlineStr">
        <is>
          <t>休日</t>
        </is>
      </c>
      <c r="C1661" s="10" t="inlineStr">
        <is>
          <t>北野線</t>
        </is>
      </c>
      <c r="D1661" s="10" t="inlineStr">
        <is>
          <t>上り</t>
        </is>
      </c>
      <c r="E1661" t="inlineStr">
        <is>
          <t>1162</t>
        </is>
      </c>
      <c r="F1661" t="inlineStr">
        <is>
          <t>0354</t>
        </is>
      </c>
      <c r="G1661" s="10" t="inlineStr">
        <is>
          <t>御室仁和寺</t>
        </is>
      </c>
      <c r="H1661" s="10" t="inlineStr">
        <is>
          <t>発</t>
        </is>
      </c>
      <c r="J1661" s="10" t="inlineStr">
        <is>
          <t>営業</t>
        </is>
      </c>
      <c r="L1661" t="inlineStr">
        <is>
          <t>12:03:15</t>
        </is>
      </c>
      <c r="M1661" t="inlineStr">
        <is>
          <t>12:03:35</t>
        </is>
      </c>
    </row>
    <row r="1662" ht="15" customHeight="1" s="37">
      <c r="A1662" t="n">
        <v>17</v>
      </c>
      <c r="B1662" s="10" t="inlineStr">
        <is>
          <t>休日</t>
        </is>
      </c>
      <c r="C1662" s="10" t="inlineStr">
        <is>
          <t>北野線</t>
        </is>
      </c>
      <c r="D1662" s="10" t="inlineStr">
        <is>
          <t>上り</t>
        </is>
      </c>
      <c r="E1662" t="inlineStr">
        <is>
          <t>1162</t>
        </is>
      </c>
      <c r="F1662" t="inlineStr">
        <is>
          <t>0354</t>
        </is>
      </c>
      <c r="G1662" s="10" t="inlineStr">
        <is>
          <t>妙心寺</t>
        </is>
      </c>
      <c r="H1662" s="10" t="inlineStr">
        <is>
          <t>発</t>
        </is>
      </c>
      <c r="J1662" s="10" t="inlineStr">
        <is>
          <t>営業</t>
        </is>
      </c>
      <c r="L1662" t="inlineStr">
        <is>
          <t>12:04:35</t>
        </is>
      </c>
      <c r="M1662" t="inlineStr">
        <is>
          <t>12:04:50</t>
        </is>
      </c>
    </row>
    <row r="1663" ht="15" customHeight="1" s="37">
      <c r="A1663" t="n">
        <v>17</v>
      </c>
      <c r="B1663" s="10" t="inlineStr">
        <is>
          <t>休日</t>
        </is>
      </c>
      <c r="C1663" s="10" t="inlineStr">
        <is>
          <t>北野線</t>
        </is>
      </c>
      <c r="D1663" s="10" t="inlineStr">
        <is>
          <t>上り</t>
        </is>
      </c>
      <c r="E1663" t="inlineStr">
        <is>
          <t>1162</t>
        </is>
      </c>
      <c r="F1663" t="inlineStr">
        <is>
          <t>0354</t>
        </is>
      </c>
      <c r="G1663" s="10" t="inlineStr">
        <is>
          <t>龍安寺</t>
        </is>
      </c>
      <c r="H1663" s="10" t="inlineStr">
        <is>
          <t>発</t>
        </is>
      </c>
      <c r="J1663" s="10" t="inlineStr">
        <is>
          <t>営業</t>
        </is>
      </c>
      <c r="L1663" t="inlineStr">
        <is>
          <t>12:05:45</t>
        </is>
      </c>
      <c r="M1663" t="inlineStr">
        <is>
          <t>12:05:55</t>
        </is>
      </c>
    </row>
    <row r="1664" ht="15" customHeight="1" s="37">
      <c r="A1664" t="n">
        <v>17</v>
      </c>
      <c r="B1664" s="10" t="inlineStr">
        <is>
          <t>休日</t>
        </is>
      </c>
      <c r="C1664" s="10" t="inlineStr">
        <is>
          <t>北野線</t>
        </is>
      </c>
      <c r="D1664" s="10" t="inlineStr">
        <is>
          <t>上り</t>
        </is>
      </c>
      <c r="E1664" t="inlineStr">
        <is>
          <t>1162</t>
        </is>
      </c>
      <c r="F1664" t="inlineStr">
        <is>
          <t>0354</t>
        </is>
      </c>
      <c r="G1664" s="10" t="inlineStr">
        <is>
          <t>等持院</t>
        </is>
      </c>
      <c r="H1664" s="10" t="inlineStr">
        <is>
          <t>発</t>
        </is>
      </c>
      <c r="J1664" s="10" t="inlineStr">
        <is>
          <t>営業</t>
        </is>
      </c>
      <c r="L1664" t="inlineStr">
        <is>
          <t>12:06:35</t>
        </is>
      </c>
      <c r="M1664" t="inlineStr">
        <is>
          <t>12:06:55</t>
        </is>
      </c>
    </row>
    <row r="1665" ht="15" customHeight="1" s="37">
      <c r="A1665" t="n">
        <v>17</v>
      </c>
      <c r="B1665" s="10" t="inlineStr">
        <is>
          <t>休日</t>
        </is>
      </c>
      <c r="C1665" s="10" t="inlineStr">
        <is>
          <t>北野線</t>
        </is>
      </c>
      <c r="D1665" s="10" t="inlineStr">
        <is>
          <t>上り</t>
        </is>
      </c>
      <c r="E1665" t="inlineStr">
        <is>
          <t>1162</t>
        </is>
      </c>
      <c r="F1665" t="inlineStr">
        <is>
          <t>0354</t>
        </is>
      </c>
      <c r="G1665" s="10" t="inlineStr">
        <is>
          <t>北野白梅町</t>
        </is>
      </c>
      <c r="H1665" s="10" t="inlineStr">
        <is>
          <t>着</t>
        </is>
      </c>
      <c r="J1665" s="10" t="inlineStr">
        <is>
          <t>営業</t>
        </is>
      </c>
      <c r="L1665" t="inlineStr">
        <is>
          <t>12:08:15</t>
        </is>
      </c>
      <c r="Q1665" t="inlineStr">
        <is>
          <t>1</t>
        </is>
      </c>
    </row>
    <row r="1666" ht="15" customHeight="1" s="37">
      <c r="A1666" t="n">
        <v>17</v>
      </c>
      <c r="B1666" s="10" t="inlineStr">
        <is>
          <t>休日</t>
        </is>
      </c>
      <c r="C1666" s="10" t="inlineStr">
        <is>
          <t>北野線</t>
        </is>
      </c>
      <c r="D1666" s="10" t="inlineStr">
        <is>
          <t>下り</t>
        </is>
      </c>
      <c r="E1666" t="inlineStr">
        <is>
          <t>1253</t>
        </is>
      </c>
      <c r="F1666" t="inlineStr">
        <is>
          <t>0453</t>
        </is>
      </c>
      <c r="G1666" s="10" t="inlineStr">
        <is>
          <t>北野白梅町</t>
        </is>
      </c>
      <c r="H1666" s="10" t="inlineStr">
        <is>
          <t>発</t>
        </is>
      </c>
      <c r="J1666" s="10" t="inlineStr">
        <is>
          <t>営業</t>
        </is>
      </c>
      <c r="M1666" t="inlineStr">
        <is>
          <t>12:13:00</t>
        </is>
      </c>
      <c r="Q1666" t="inlineStr">
        <is>
          <t>1</t>
        </is>
      </c>
    </row>
    <row r="1667" ht="15" customHeight="1" s="37">
      <c r="A1667" t="n">
        <v>17</v>
      </c>
      <c r="B1667" s="10" t="inlineStr">
        <is>
          <t>休日</t>
        </is>
      </c>
      <c r="C1667" s="10" t="inlineStr">
        <is>
          <t>北野線</t>
        </is>
      </c>
      <c r="D1667" s="10" t="inlineStr">
        <is>
          <t>下り</t>
        </is>
      </c>
      <c r="E1667" t="inlineStr">
        <is>
          <t>1253</t>
        </is>
      </c>
      <c r="F1667" t="inlineStr">
        <is>
          <t>0453</t>
        </is>
      </c>
      <c r="G1667" s="10" t="inlineStr">
        <is>
          <t>等持院</t>
        </is>
      </c>
      <c r="H1667" s="10" t="inlineStr">
        <is>
          <t>発</t>
        </is>
      </c>
      <c r="J1667" s="10" t="inlineStr">
        <is>
          <t>営業</t>
        </is>
      </c>
      <c r="L1667" t="inlineStr">
        <is>
          <t>12:14:25</t>
        </is>
      </c>
      <c r="M1667" t="inlineStr">
        <is>
          <t>12:14:35</t>
        </is>
      </c>
    </row>
    <row r="1668" ht="15" customHeight="1" s="37">
      <c r="A1668" t="n">
        <v>17</v>
      </c>
      <c r="B1668" s="10" t="inlineStr">
        <is>
          <t>休日</t>
        </is>
      </c>
      <c r="C1668" s="10" t="inlineStr">
        <is>
          <t>北野線</t>
        </is>
      </c>
      <c r="D1668" s="10" t="inlineStr">
        <is>
          <t>下り</t>
        </is>
      </c>
      <c r="E1668" t="inlineStr">
        <is>
          <t>1253</t>
        </is>
      </c>
      <c r="F1668" t="inlineStr">
        <is>
          <t>0453</t>
        </is>
      </c>
      <c r="G1668" s="10" t="inlineStr">
        <is>
          <t>龍安寺</t>
        </is>
      </c>
      <c r="H1668" s="10" t="inlineStr">
        <is>
          <t>発</t>
        </is>
      </c>
      <c r="J1668" s="10" t="inlineStr">
        <is>
          <t>営業</t>
        </is>
      </c>
      <c r="L1668" t="inlineStr">
        <is>
          <t>12:15:25</t>
        </is>
      </c>
      <c r="M1668" t="inlineStr">
        <is>
          <t>12:15:50</t>
        </is>
      </c>
    </row>
    <row r="1669" ht="15" customHeight="1" s="37">
      <c r="A1669" t="n">
        <v>17</v>
      </c>
      <c r="B1669" s="10" t="inlineStr">
        <is>
          <t>休日</t>
        </is>
      </c>
      <c r="C1669" s="10" t="inlineStr">
        <is>
          <t>北野線</t>
        </is>
      </c>
      <c r="D1669" s="10" t="inlineStr">
        <is>
          <t>下り</t>
        </is>
      </c>
      <c r="E1669" t="inlineStr">
        <is>
          <t>1253</t>
        </is>
      </c>
      <c r="F1669" t="inlineStr">
        <is>
          <t>0453</t>
        </is>
      </c>
      <c r="G1669" s="10" t="inlineStr">
        <is>
          <t>妙心寺</t>
        </is>
      </c>
      <c r="H1669" s="10" t="inlineStr">
        <is>
          <t>発</t>
        </is>
      </c>
      <c r="J1669" s="10" t="inlineStr">
        <is>
          <t>営業</t>
        </is>
      </c>
      <c r="L1669" t="inlineStr">
        <is>
          <t>12:16:40</t>
        </is>
      </c>
      <c r="M1669" t="inlineStr">
        <is>
          <t>12:16:50</t>
        </is>
      </c>
    </row>
    <row r="1670" ht="15" customHeight="1" s="37">
      <c r="A1670" t="n">
        <v>17</v>
      </c>
      <c r="B1670" s="10" t="inlineStr">
        <is>
          <t>休日</t>
        </is>
      </c>
      <c r="C1670" s="10" t="inlineStr">
        <is>
          <t>北野線</t>
        </is>
      </c>
      <c r="D1670" s="10" t="inlineStr">
        <is>
          <t>下り</t>
        </is>
      </c>
      <c r="E1670" t="inlineStr">
        <is>
          <t>1253</t>
        </is>
      </c>
      <c r="F1670" t="inlineStr">
        <is>
          <t>0453</t>
        </is>
      </c>
      <c r="G1670" s="10" t="inlineStr">
        <is>
          <t>御室仁和寺</t>
        </is>
      </c>
      <c r="H1670" s="10" t="inlineStr">
        <is>
          <t>発</t>
        </is>
      </c>
      <c r="J1670" s="10" t="inlineStr">
        <is>
          <t>営業</t>
        </is>
      </c>
      <c r="L1670" t="inlineStr">
        <is>
          <t>12:17:50</t>
        </is>
      </c>
      <c r="M1670" t="inlineStr">
        <is>
          <t>12:18:05</t>
        </is>
      </c>
    </row>
    <row r="1671" ht="15" customHeight="1" s="37">
      <c r="A1671" t="n">
        <v>17</v>
      </c>
      <c r="B1671" s="10" t="inlineStr">
        <is>
          <t>休日</t>
        </is>
      </c>
      <c r="C1671" s="10" t="inlineStr">
        <is>
          <t>北野線</t>
        </is>
      </c>
      <c r="D1671" s="10" t="inlineStr">
        <is>
          <t>下り</t>
        </is>
      </c>
      <c r="E1671" t="inlineStr">
        <is>
          <t>1253</t>
        </is>
      </c>
      <c r="F1671" t="inlineStr">
        <is>
          <t>0453</t>
        </is>
      </c>
      <c r="G1671" s="10" t="inlineStr">
        <is>
          <t>宇多野</t>
        </is>
      </c>
      <c r="H1671" s="10" t="inlineStr">
        <is>
          <t>発</t>
        </is>
      </c>
      <c r="J1671" s="10" t="inlineStr">
        <is>
          <t>営業</t>
        </is>
      </c>
      <c r="L1671" t="inlineStr">
        <is>
          <t>12:19:05</t>
        </is>
      </c>
      <c r="M1671" t="inlineStr">
        <is>
          <t>12:19:15</t>
        </is>
      </c>
    </row>
    <row r="1672" ht="15" customHeight="1" s="37">
      <c r="A1672" t="n">
        <v>17</v>
      </c>
      <c r="B1672" s="10" t="inlineStr">
        <is>
          <t>休日</t>
        </is>
      </c>
      <c r="C1672" s="10" t="inlineStr">
        <is>
          <t>北野線</t>
        </is>
      </c>
      <c r="D1672" s="10" t="inlineStr">
        <is>
          <t>下り</t>
        </is>
      </c>
      <c r="E1672" t="inlineStr">
        <is>
          <t>1253</t>
        </is>
      </c>
      <c r="F1672" t="inlineStr">
        <is>
          <t>0453</t>
        </is>
      </c>
      <c r="G1672" s="10" t="inlineStr">
        <is>
          <t>鳴滝</t>
        </is>
      </c>
      <c r="H1672" s="10" t="inlineStr">
        <is>
          <t>発</t>
        </is>
      </c>
      <c r="J1672" s="10" t="inlineStr">
        <is>
          <t>営業</t>
        </is>
      </c>
      <c r="L1672" t="inlineStr">
        <is>
          <t>12:20:35</t>
        </is>
      </c>
      <c r="M1672" t="inlineStr">
        <is>
          <t>12:20:45</t>
        </is>
      </c>
    </row>
    <row r="1673" ht="15" customHeight="1" s="37">
      <c r="A1673" t="n">
        <v>17</v>
      </c>
      <c r="B1673" s="10" t="inlineStr">
        <is>
          <t>休日</t>
        </is>
      </c>
      <c r="C1673" s="10" t="inlineStr">
        <is>
          <t>北野線</t>
        </is>
      </c>
      <c r="D1673" s="10" t="inlineStr">
        <is>
          <t>下り</t>
        </is>
      </c>
      <c r="E1673" t="inlineStr">
        <is>
          <t>1253</t>
        </is>
      </c>
      <c r="F1673" t="inlineStr">
        <is>
          <t>0453</t>
        </is>
      </c>
      <c r="G1673" s="10" t="inlineStr">
        <is>
          <t>常盤</t>
        </is>
      </c>
      <c r="H1673" s="10" t="inlineStr">
        <is>
          <t>発</t>
        </is>
      </c>
      <c r="J1673" s="10" t="inlineStr">
        <is>
          <t>営業</t>
        </is>
      </c>
      <c r="L1673" t="inlineStr">
        <is>
          <t>12:21:35</t>
        </is>
      </c>
      <c r="M1673" t="inlineStr">
        <is>
          <t>12:21:55</t>
        </is>
      </c>
    </row>
    <row r="1674" ht="15" customHeight="1" s="37">
      <c r="A1674" t="n">
        <v>17</v>
      </c>
      <c r="B1674" s="10" t="inlineStr">
        <is>
          <t>休日</t>
        </is>
      </c>
      <c r="C1674" s="10" t="inlineStr">
        <is>
          <t>北野線</t>
        </is>
      </c>
      <c r="D1674" s="10" t="inlineStr">
        <is>
          <t>下り</t>
        </is>
      </c>
      <c r="E1674" t="inlineStr">
        <is>
          <t>1253</t>
        </is>
      </c>
      <c r="F1674" t="inlineStr">
        <is>
          <t>0453</t>
        </is>
      </c>
      <c r="G1674" s="10" t="inlineStr">
        <is>
          <t>撮影所前</t>
        </is>
      </c>
      <c r="H1674" s="10" t="inlineStr">
        <is>
          <t>発</t>
        </is>
      </c>
      <c r="J1674" s="10" t="inlineStr">
        <is>
          <t>営業</t>
        </is>
      </c>
      <c r="L1674" t="inlineStr">
        <is>
          <t>12:23:15</t>
        </is>
      </c>
      <c r="M1674" t="inlineStr">
        <is>
          <t>12:23:30</t>
        </is>
      </c>
    </row>
    <row r="1675" ht="15" customHeight="1" s="37">
      <c r="A1675" t="n">
        <v>17</v>
      </c>
      <c r="B1675" s="10" t="inlineStr">
        <is>
          <t>休日</t>
        </is>
      </c>
      <c r="C1675" s="10" t="inlineStr">
        <is>
          <t>北野線</t>
        </is>
      </c>
      <c r="D1675" s="10" t="inlineStr">
        <is>
          <t>下り</t>
        </is>
      </c>
      <c r="E1675" t="inlineStr">
        <is>
          <t>1253</t>
        </is>
      </c>
      <c r="F1675" t="inlineStr">
        <is>
          <t>0453</t>
        </is>
      </c>
      <c r="G1675" s="10" t="inlineStr">
        <is>
          <t>帷子ノ辻</t>
        </is>
      </c>
      <c r="H1675" s="10" t="inlineStr">
        <is>
          <t>着</t>
        </is>
      </c>
      <c r="J1675" s="10" t="inlineStr">
        <is>
          <t>営業</t>
        </is>
      </c>
      <c r="L1675" t="inlineStr">
        <is>
          <t>12:24:25</t>
        </is>
      </c>
      <c r="Q1675" t="inlineStr">
        <is>
          <t>3</t>
        </is>
      </c>
    </row>
    <row r="1676" ht="15" customHeight="1" s="37">
      <c r="A1676" t="n">
        <v>17</v>
      </c>
      <c r="B1676" s="10" t="inlineStr">
        <is>
          <t>休日</t>
        </is>
      </c>
      <c r="C1676" s="10" t="inlineStr">
        <is>
          <t>北野線</t>
        </is>
      </c>
      <c r="D1676" s="10" t="inlineStr">
        <is>
          <t>上り</t>
        </is>
      </c>
      <c r="E1676" t="inlineStr">
        <is>
          <t>1258</t>
        </is>
      </c>
      <c r="F1676" t="inlineStr">
        <is>
          <t>0354</t>
        </is>
      </c>
      <c r="G1676" s="10" t="inlineStr">
        <is>
          <t>帷子ノ辻</t>
        </is>
      </c>
      <c r="H1676" s="10" t="inlineStr">
        <is>
          <t>発</t>
        </is>
      </c>
      <c r="J1676" s="10" t="inlineStr">
        <is>
          <t>営業</t>
        </is>
      </c>
      <c r="M1676" t="inlineStr">
        <is>
          <t>12:36:25</t>
        </is>
      </c>
      <c r="Q1676" t="inlineStr">
        <is>
          <t>3</t>
        </is>
      </c>
    </row>
    <row r="1677" ht="15" customHeight="1" s="37">
      <c r="A1677" t="n">
        <v>17</v>
      </c>
      <c r="B1677" s="10" t="inlineStr">
        <is>
          <t>休日</t>
        </is>
      </c>
      <c r="C1677" s="10" t="inlineStr">
        <is>
          <t>北野線</t>
        </is>
      </c>
      <c r="D1677" s="10" t="inlineStr">
        <is>
          <t>上り</t>
        </is>
      </c>
      <c r="E1677" t="inlineStr">
        <is>
          <t>1258</t>
        </is>
      </c>
      <c r="F1677" t="inlineStr">
        <is>
          <t>0354</t>
        </is>
      </c>
      <c r="G1677" s="10" t="inlineStr">
        <is>
          <t>撮影所前</t>
        </is>
      </c>
      <c r="H1677" s="10" t="inlineStr">
        <is>
          <t>発</t>
        </is>
      </c>
      <c r="J1677" s="10" t="inlineStr">
        <is>
          <t>営業</t>
        </is>
      </c>
      <c r="L1677" t="inlineStr">
        <is>
          <t>12:37:25</t>
        </is>
      </c>
      <c r="M1677" t="inlineStr">
        <is>
          <t>12:37:40</t>
        </is>
      </c>
    </row>
    <row r="1678" ht="15" customHeight="1" s="37">
      <c r="A1678" t="n">
        <v>17</v>
      </c>
      <c r="B1678" s="10" t="inlineStr">
        <is>
          <t>休日</t>
        </is>
      </c>
      <c r="C1678" s="10" t="inlineStr">
        <is>
          <t>北野線</t>
        </is>
      </c>
      <c r="D1678" s="10" t="inlineStr">
        <is>
          <t>上り</t>
        </is>
      </c>
      <c r="E1678" t="inlineStr">
        <is>
          <t>1258</t>
        </is>
      </c>
      <c r="F1678" t="inlineStr">
        <is>
          <t>0354</t>
        </is>
      </c>
      <c r="G1678" s="10" t="inlineStr">
        <is>
          <t>常盤</t>
        </is>
      </c>
      <c r="H1678" s="10" t="inlineStr">
        <is>
          <t>発</t>
        </is>
      </c>
      <c r="J1678" s="10" t="inlineStr">
        <is>
          <t>営業</t>
        </is>
      </c>
      <c r="L1678" t="inlineStr">
        <is>
          <t>12:39:00</t>
        </is>
      </c>
      <c r="M1678" t="inlineStr">
        <is>
          <t>12:39:20</t>
        </is>
      </c>
    </row>
    <row r="1679" ht="15" customHeight="1" s="37">
      <c r="A1679" t="n">
        <v>17</v>
      </c>
      <c r="B1679" s="10" t="inlineStr">
        <is>
          <t>休日</t>
        </is>
      </c>
      <c r="C1679" s="10" t="inlineStr">
        <is>
          <t>北野線</t>
        </is>
      </c>
      <c r="D1679" s="10" t="inlineStr">
        <is>
          <t>上り</t>
        </is>
      </c>
      <c r="E1679" t="inlineStr">
        <is>
          <t>1258</t>
        </is>
      </c>
      <c r="F1679" t="inlineStr">
        <is>
          <t>0354</t>
        </is>
      </c>
      <c r="G1679" s="10" t="inlineStr">
        <is>
          <t>鳴滝</t>
        </is>
      </c>
      <c r="H1679" s="10" t="inlineStr">
        <is>
          <t>発</t>
        </is>
      </c>
      <c r="J1679" s="10" t="inlineStr">
        <is>
          <t>営業</t>
        </is>
      </c>
      <c r="L1679" t="inlineStr">
        <is>
          <t>12:40:20</t>
        </is>
      </c>
      <c r="M1679" t="inlineStr">
        <is>
          <t>12:40:40</t>
        </is>
      </c>
    </row>
    <row r="1680" ht="15" customHeight="1" s="37">
      <c r="A1680" t="n">
        <v>17</v>
      </c>
      <c r="B1680" s="10" t="inlineStr">
        <is>
          <t>休日</t>
        </is>
      </c>
      <c r="C1680" s="10" t="inlineStr">
        <is>
          <t>北野線</t>
        </is>
      </c>
      <c r="D1680" s="10" t="inlineStr">
        <is>
          <t>上り</t>
        </is>
      </c>
      <c r="E1680" t="inlineStr">
        <is>
          <t>1258</t>
        </is>
      </c>
      <c r="F1680" t="inlineStr">
        <is>
          <t>0354</t>
        </is>
      </c>
      <c r="G1680" s="10" t="inlineStr">
        <is>
          <t>宇多野</t>
        </is>
      </c>
      <c r="H1680" s="10" t="inlineStr">
        <is>
          <t>発</t>
        </is>
      </c>
      <c r="J1680" s="10" t="inlineStr">
        <is>
          <t>営業</t>
        </is>
      </c>
      <c r="L1680" t="inlineStr">
        <is>
          <t>12:42:00</t>
        </is>
      </c>
      <c r="M1680" t="inlineStr">
        <is>
          <t>12:42:15</t>
        </is>
      </c>
    </row>
    <row r="1681" ht="15" customHeight="1" s="37">
      <c r="A1681" t="n">
        <v>17</v>
      </c>
      <c r="B1681" s="10" t="inlineStr">
        <is>
          <t>休日</t>
        </is>
      </c>
      <c r="C1681" s="10" t="inlineStr">
        <is>
          <t>北野線</t>
        </is>
      </c>
      <c r="D1681" s="10" t="inlineStr">
        <is>
          <t>上り</t>
        </is>
      </c>
      <c r="E1681" t="inlineStr">
        <is>
          <t>1258</t>
        </is>
      </c>
      <c r="F1681" t="inlineStr">
        <is>
          <t>0354</t>
        </is>
      </c>
      <c r="G1681" s="10" t="inlineStr">
        <is>
          <t>御室仁和寺</t>
        </is>
      </c>
      <c r="H1681" s="10" t="inlineStr">
        <is>
          <t>発</t>
        </is>
      </c>
      <c r="J1681" s="10" t="inlineStr">
        <is>
          <t>営業</t>
        </is>
      </c>
      <c r="L1681" t="inlineStr">
        <is>
          <t>12:43:15</t>
        </is>
      </c>
      <c r="M1681" t="inlineStr">
        <is>
          <t>12:43:35</t>
        </is>
      </c>
    </row>
    <row r="1682" ht="15" customHeight="1" s="37">
      <c r="A1682" t="n">
        <v>17</v>
      </c>
      <c r="B1682" s="10" t="inlineStr">
        <is>
          <t>休日</t>
        </is>
      </c>
      <c r="C1682" s="10" t="inlineStr">
        <is>
          <t>北野線</t>
        </is>
      </c>
      <c r="D1682" s="10" t="inlineStr">
        <is>
          <t>上り</t>
        </is>
      </c>
      <c r="E1682" t="inlineStr">
        <is>
          <t>1258</t>
        </is>
      </c>
      <c r="F1682" t="inlineStr">
        <is>
          <t>0354</t>
        </is>
      </c>
      <c r="G1682" s="10" t="inlineStr">
        <is>
          <t>妙心寺</t>
        </is>
      </c>
      <c r="H1682" s="10" t="inlineStr">
        <is>
          <t>発</t>
        </is>
      </c>
      <c r="J1682" s="10" t="inlineStr">
        <is>
          <t>営業</t>
        </is>
      </c>
      <c r="L1682" t="inlineStr">
        <is>
          <t>12:44:35</t>
        </is>
      </c>
      <c r="M1682" t="inlineStr">
        <is>
          <t>12:44:50</t>
        </is>
      </c>
    </row>
    <row r="1683" ht="15" customHeight="1" s="37">
      <c r="A1683" t="n">
        <v>17</v>
      </c>
      <c r="B1683" s="10" t="inlineStr">
        <is>
          <t>休日</t>
        </is>
      </c>
      <c r="C1683" s="10" t="inlineStr">
        <is>
          <t>北野線</t>
        </is>
      </c>
      <c r="D1683" s="10" t="inlineStr">
        <is>
          <t>上り</t>
        </is>
      </c>
      <c r="E1683" t="inlineStr">
        <is>
          <t>1258</t>
        </is>
      </c>
      <c r="F1683" t="inlineStr">
        <is>
          <t>0354</t>
        </is>
      </c>
      <c r="G1683" s="10" t="inlineStr">
        <is>
          <t>龍安寺</t>
        </is>
      </c>
      <c r="H1683" s="10" t="inlineStr">
        <is>
          <t>発</t>
        </is>
      </c>
      <c r="J1683" s="10" t="inlineStr">
        <is>
          <t>営業</t>
        </is>
      </c>
      <c r="L1683" t="inlineStr">
        <is>
          <t>12:45:45</t>
        </is>
      </c>
      <c r="M1683" t="inlineStr">
        <is>
          <t>12:45:55</t>
        </is>
      </c>
    </row>
    <row r="1684" ht="15" customHeight="1" s="37">
      <c r="A1684" t="n">
        <v>17</v>
      </c>
      <c r="B1684" s="10" t="inlineStr">
        <is>
          <t>休日</t>
        </is>
      </c>
      <c r="C1684" s="10" t="inlineStr">
        <is>
          <t>北野線</t>
        </is>
      </c>
      <c r="D1684" s="10" t="inlineStr">
        <is>
          <t>上り</t>
        </is>
      </c>
      <c r="E1684" t="inlineStr">
        <is>
          <t>1258</t>
        </is>
      </c>
      <c r="F1684" t="inlineStr">
        <is>
          <t>0354</t>
        </is>
      </c>
      <c r="G1684" s="10" t="inlineStr">
        <is>
          <t>等持院</t>
        </is>
      </c>
      <c r="H1684" s="10" t="inlineStr">
        <is>
          <t>発</t>
        </is>
      </c>
      <c r="J1684" s="10" t="inlineStr">
        <is>
          <t>営業</t>
        </is>
      </c>
      <c r="L1684" t="inlineStr">
        <is>
          <t>12:46:35</t>
        </is>
      </c>
      <c r="M1684" t="inlineStr">
        <is>
          <t>12:46:55</t>
        </is>
      </c>
    </row>
    <row r="1685" ht="15" customHeight="1" s="37">
      <c r="A1685" t="n">
        <v>17</v>
      </c>
      <c r="B1685" s="10" t="inlineStr">
        <is>
          <t>休日</t>
        </is>
      </c>
      <c r="C1685" s="10" t="inlineStr">
        <is>
          <t>北野線</t>
        </is>
      </c>
      <c r="D1685" s="10" t="inlineStr">
        <is>
          <t>上り</t>
        </is>
      </c>
      <c r="E1685" t="inlineStr">
        <is>
          <t>1258</t>
        </is>
      </c>
      <c r="F1685" t="inlineStr">
        <is>
          <t>0354</t>
        </is>
      </c>
      <c r="G1685" s="10" t="inlineStr">
        <is>
          <t>北野白梅町</t>
        </is>
      </c>
      <c r="H1685" s="10" t="inlineStr">
        <is>
          <t>着</t>
        </is>
      </c>
      <c r="J1685" s="10" t="inlineStr">
        <is>
          <t>営業</t>
        </is>
      </c>
      <c r="L1685" t="inlineStr">
        <is>
          <t>12:48:15</t>
        </is>
      </c>
      <c r="Q1685" t="inlineStr">
        <is>
          <t>1</t>
        </is>
      </c>
    </row>
    <row r="1686" ht="15" customHeight="1" s="37">
      <c r="A1686" t="n">
        <v>17</v>
      </c>
      <c r="B1686" s="10" t="inlineStr">
        <is>
          <t>休日</t>
        </is>
      </c>
      <c r="C1686" s="10" t="inlineStr">
        <is>
          <t>北野線</t>
        </is>
      </c>
      <c r="D1686" s="10" t="inlineStr">
        <is>
          <t>下り</t>
        </is>
      </c>
      <c r="E1686" t="inlineStr">
        <is>
          <t>1261</t>
        </is>
      </c>
      <c r="F1686" t="inlineStr">
        <is>
          <t>0453</t>
        </is>
      </c>
      <c r="G1686" s="10" t="inlineStr">
        <is>
          <t>北野白梅町</t>
        </is>
      </c>
      <c r="H1686" s="10" t="inlineStr">
        <is>
          <t>発</t>
        </is>
      </c>
      <c r="J1686" s="10" t="inlineStr">
        <is>
          <t>営業</t>
        </is>
      </c>
      <c r="M1686" t="inlineStr">
        <is>
          <t>12:53:00</t>
        </is>
      </c>
      <c r="Q1686" t="inlineStr">
        <is>
          <t>1</t>
        </is>
      </c>
    </row>
    <row r="1687" ht="15" customHeight="1" s="37">
      <c r="A1687" t="n">
        <v>17</v>
      </c>
      <c r="B1687" s="10" t="inlineStr">
        <is>
          <t>休日</t>
        </is>
      </c>
      <c r="C1687" s="10" t="inlineStr">
        <is>
          <t>北野線</t>
        </is>
      </c>
      <c r="D1687" s="10" t="inlineStr">
        <is>
          <t>下り</t>
        </is>
      </c>
      <c r="E1687" t="inlineStr">
        <is>
          <t>1261</t>
        </is>
      </c>
      <c r="F1687" t="inlineStr">
        <is>
          <t>0453</t>
        </is>
      </c>
      <c r="G1687" s="10" t="inlineStr">
        <is>
          <t>等持院</t>
        </is>
      </c>
      <c r="H1687" s="10" t="inlineStr">
        <is>
          <t>発</t>
        </is>
      </c>
      <c r="J1687" s="10" t="inlineStr">
        <is>
          <t>営業</t>
        </is>
      </c>
      <c r="L1687" t="inlineStr">
        <is>
          <t>12:54:25</t>
        </is>
      </c>
      <c r="M1687" t="inlineStr">
        <is>
          <t>12:54:35</t>
        </is>
      </c>
    </row>
    <row r="1688" ht="15" customHeight="1" s="37">
      <c r="A1688" t="n">
        <v>17</v>
      </c>
      <c r="B1688" s="10" t="inlineStr">
        <is>
          <t>休日</t>
        </is>
      </c>
      <c r="C1688" s="10" t="inlineStr">
        <is>
          <t>北野線</t>
        </is>
      </c>
      <c r="D1688" s="10" t="inlineStr">
        <is>
          <t>下り</t>
        </is>
      </c>
      <c r="E1688" t="inlineStr">
        <is>
          <t>1261</t>
        </is>
      </c>
      <c r="F1688" t="inlineStr">
        <is>
          <t>0453</t>
        </is>
      </c>
      <c r="G1688" s="10" t="inlineStr">
        <is>
          <t>龍安寺</t>
        </is>
      </c>
      <c r="H1688" s="10" t="inlineStr">
        <is>
          <t>発</t>
        </is>
      </c>
      <c r="J1688" s="10" t="inlineStr">
        <is>
          <t>営業</t>
        </is>
      </c>
      <c r="L1688" t="inlineStr">
        <is>
          <t>12:55:25</t>
        </is>
      </c>
      <c r="M1688" t="inlineStr">
        <is>
          <t>12:55:50</t>
        </is>
      </c>
    </row>
    <row r="1689" ht="15" customHeight="1" s="37">
      <c r="A1689" t="n">
        <v>17</v>
      </c>
      <c r="B1689" s="10" t="inlineStr">
        <is>
          <t>休日</t>
        </is>
      </c>
      <c r="C1689" s="10" t="inlineStr">
        <is>
          <t>北野線</t>
        </is>
      </c>
      <c r="D1689" s="10" t="inlineStr">
        <is>
          <t>下り</t>
        </is>
      </c>
      <c r="E1689" t="inlineStr">
        <is>
          <t>1261</t>
        </is>
      </c>
      <c r="F1689" t="inlineStr">
        <is>
          <t>0453</t>
        </is>
      </c>
      <c r="G1689" s="10" t="inlineStr">
        <is>
          <t>妙心寺</t>
        </is>
      </c>
      <c r="H1689" s="10" t="inlineStr">
        <is>
          <t>発</t>
        </is>
      </c>
      <c r="J1689" s="10" t="inlineStr">
        <is>
          <t>営業</t>
        </is>
      </c>
      <c r="L1689" t="inlineStr">
        <is>
          <t>12:56:40</t>
        </is>
      </c>
      <c r="M1689" t="inlineStr">
        <is>
          <t>12:56:50</t>
        </is>
      </c>
    </row>
    <row r="1690" ht="15" customHeight="1" s="37">
      <c r="A1690" t="n">
        <v>17</v>
      </c>
      <c r="B1690" s="10" t="inlineStr">
        <is>
          <t>休日</t>
        </is>
      </c>
      <c r="C1690" s="10" t="inlineStr">
        <is>
          <t>北野線</t>
        </is>
      </c>
      <c r="D1690" s="10" t="inlineStr">
        <is>
          <t>下り</t>
        </is>
      </c>
      <c r="E1690" t="inlineStr">
        <is>
          <t>1261</t>
        </is>
      </c>
      <c r="F1690" t="inlineStr">
        <is>
          <t>0453</t>
        </is>
      </c>
      <c r="G1690" s="10" t="inlineStr">
        <is>
          <t>御室仁和寺</t>
        </is>
      </c>
      <c r="H1690" s="10" t="inlineStr">
        <is>
          <t>発</t>
        </is>
      </c>
      <c r="J1690" s="10" t="inlineStr">
        <is>
          <t>営業</t>
        </is>
      </c>
      <c r="L1690" t="inlineStr">
        <is>
          <t>12:57:50</t>
        </is>
      </c>
      <c r="M1690" t="inlineStr">
        <is>
          <t>12:58:05</t>
        </is>
      </c>
    </row>
    <row r="1691" ht="15" customHeight="1" s="37">
      <c r="A1691" t="n">
        <v>17</v>
      </c>
      <c r="B1691" s="10" t="inlineStr">
        <is>
          <t>休日</t>
        </is>
      </c>
      <c r="C1691" s="10" t="inlineStr">
        <is>
          <t>北野線</t>
        </is>
      </c>
      <c r="D1691" s="10" t="inlineStr">
        <is>
          <t>下り</t>
        </is>
      </c>
      <c r="E1691" t="inlineStr">
        <is>
          <t>1261</t>
        </is>
      </c>
      <c r="F1691" t="inlineStr">
        <is>
          <t>0453</t>
        </is>
      </c>
      <c r="G1691" s="10" t="inlineStr">
        <is>
          <t>宇多野</t>
        </is>
      </c>
      <c r="H1691" s="10" t="inlineStr">
        <is>
          <t>発</t>
        </is>
      </c>
      <c r="J1691" s="10" t="inlineStr">
        <is>
          <t>営業</t>
        </is>
      </c>
      <c r="L1691" t="inlineStr">
        <is>
          <t>12:59:05</t>
        </is>
      </c>
      <c r="M1691" t="inlineStr">
        <is>
          <t>12:59:15</t>
        </is>
      </c>
    </row>
    <row r="1692" ht="15" customHeight="1" s="37">
      <c r="A1692" t="n">
        <v>17</v>
      </c>
      <c r="B1692" s="10" t="inlineStr">
        <is>
          <t>休日</t>
        </is>
      </c>
      <c r="C1692" s="10" t="inlineStr">
        <is>
          <t>北野線</t>
        </is>
      </c>
      <c r="D1692" s="10" t="inlineStr">
        <is>
          <t>下り</t>
        </is>
      </c>
      <c r="E1692" t="inlineStr">
        <is>
          <t>1261</t>
        </is>
      </c>
      <c r="F1692" t="inlineStr">
        <is>
          <t>0453</t>
        </is>
      </c>
      <c r="G1692" s="10" t="inlineStr">
        <is>
          <t>鳴滝</t>
        </is>
      </c>
      <c r="H1692" s="10" t="inlineStr">
        <is>
          <t>発</t>
        </is>
      </c>
      <c r="J1692" s="10" t="inlineStr">
        <is>
          <t>営業</t>
        </is>
      </c>
      <c r="L1692" t="inlineStr">
        <is>
          <t>13:00:35</t>
        </is>
      </c>
      <c r="M1692" t="inlineStr">
        <is>
          <t>13:00:45</t>
        </is>
      </c>
    </row>
    <row r="1693" ht="15" customHeight="1" s="37">
      <c r="A1693" t="n">
        <v>17</v>
      </c>
      <c r="B1693" s="10" t="inlineStr">
        <is>
          <t>休日</t>
        </is>
      </c>
      <c r="C1693" s="10" t="inlineStr">
        <is>
          <t>北野線</t>
        </is>
      </c>
      <c r="D1693" s="10" t="inlineStr">
        <is>
          <t>下り</t>
        </is>
      </c>
      <c r="E1693" t="inlineStr">
        <is>
          <t>1261</t>
        </is>
      </c>
      <c r="F1693" t="inlineStr">
        <is>
          <t>0453</t>
        </is>
      </c>
      <c r="G1693" s="10" t="inlineStr">
        <is>
          <t>常盤</t>
        </is>
      </c>
      <c r="H1693" s="10" t="inlineStr">
        <is>
          <t>発</t>
        </is>
      </c>
      <c r="J1693" s="10" t="inlineStr">
        <is>
          <t>営業</t>
        </is>
      </c>
      <c r="L1693" t="inlineStr">
        <is>
          <t>13:01:35</t>
        </is>
      </c>
      <c r="M1693" t="inlineStr">
        <is>
          <t>13:01:55</t>
        </is>
      </c>
    </row>
    <row r="1694" ht="15" customHeight="1" s="37">
      <c r="A1694" t="n">
        <v>17</v>
      </c>
      <c r="B1694" s="10" t="inlineStr">
        <is>
          <t>休日</t>
        </is>
      </c>
      <c r="C1694" s="10" t="inlineStr">
        <is>
          <t>北野線</t>
        </is>
      </c>
      <c r="D1694" s="10" t="inlineStr">
        <is>
          <t>下り</t>
        </is>
      </c>
      <c r="E1694" t="inlineStr">
        <is>
          <t>1261</t>
        </is>
      </c>
      <c r="F1694" t="inlineStr">
        <is>
          <t>0453</t>
        </is>
      </c>
      <c r="G1694" s="10" t="inlineStr">
        <is>
          <t>撮影所前</t>
        </is>
      </c>
      <c r="H1694" s="10" t="inlineStr">
        <is>
          <t>発</t>
        </is>
      </c>
      <c r="J1694" s="10" t="inlineStr">
        <is>
          <t>営業</t>
        </is>
      </c>
      <c r="L1694" t="inlineStr">
        <is>
          <t>13:03:15</t>
        </is>
      </c>
      <c r="M1694" t="inlineStr">
        <is>
          <t>13:03:30</t>
        </is>
      </c>
    </row>
    <row r="1695" ht="15" customHeight="1" s="37">
      <c r="A1695" t="n">
        <v>17</v>
      </c>
      <c r="B1695" s="10" t="inlineStr">
        <is>
          <t>休日</t>
        </is>
      </c>
      <c r="C1695" s="10" t="inlineStr">
        <is>
          <t>北野線</t>
        </is>
      </c>
      <c r="D1695" s="10" t="inlineStr">
        <is>
          <t>下り</t>
        </is>
      </c>
      <c r="E1695" t="inlineStr">
        <is>
          <t>1261</t>
        </is>
      </c>
      <c r="F1695" t="inlineStr">
        <is>
          <t>0453</t>
        </is>
      </c>
      <c r="G1695" s="10" t="inlineStr">
        <is>
          <t>帷子ノ辻</t>
        </is>
      </c>
      <c r="H1695" s="10" t="inlineStr">
        <is>
          <t>着</t>
        </is>
      </c>
      <c r="J1695" s="10" t="inlineStr">
        <is>
          <t>営業</t>
        </is>
      </c>
      <c r="L1695" t="inlineStr">
        <is>
          <t>13:04:25</t>
        </is>
      </c>
      <c r="Q1695" t="inlineStr">
        <is>
          <t>3</t>
        </is>
      </c>
    </row>
    <row r="1696" ht="15" customHeight="1" s="37">
      <c r="A1696" t="n">
        <v>17</v>
      </c>
      <c r="B1696" s="10" t="inlineStr">
        <is>
          <t>休日</t>
        </is>
      </c>
      <c r="C1696" s="10" t="inlineStr">
        <is>
          <t>北野線</t>
        </is>
      </c>
      <c r="D1696" s="10" t="inlineStr">
        <is>
          <t>上り</t>
        </is>
      </c>
      <c r="E1696" t="inlineStr">
        <is>
          <t>1354</t>
        </is>
      </c>
      <c r="F1696" t="inlineStr">
        <is>
          <t>0354</t>
        </is>
      </c>
      <c r="G1696" s="10" t="inlineStr">
        <is>
          <t>帷子ノ辻</t>
        </is>
      </c>
      <c r="H1696" s="10" t="inlineStr">
        <is>
          <t>発</t>
        </is>
      </c>
      <c r="J1696" s="10" t="inlineStr">
        <is>
          <t>営業</t>
        </is>
      </c>
      <c r="M1696" t="inlineStr">
        <is>
          <t>13:16:25</t>
        </is>
      </c>
      <c r="Q1696" t="inlineStr">
        <is>
          <t>3</t>
        </is>
      </c>
    </row>
    <row r="1697" ht="15" customHeight="1" s="37">
      <c r="A1697" t="n">
        <v>17</v>
      </c>
      <c r="B1697" s="10" t="inlineStr">
        <is>
          <t>休日</t>
        </is>
      </c>
      <c r="C1697" s="10" t="inlineStr">
        <is>
          <t>北野線</t>
        </is>
      </c>
      <c r="D1697" s="10" t="inlineStr">
        <is>
          <t>上り</t>
        </is>
      </c>
      <c r="E1697" t="inlineStr">
        <is>
          <t>1354</t>
        </is>
      </c>
      <c r="F1697" t="inlineStr">
        <is>
          <t>0354</t>
        </is>
      </c>
      <c r="G1697" s="10" t="inlineStr">
        <is>
          <t>撮影所前</t>
        </is>
      </c>
      <c r="H1697" s="10" t="inlineStr">
        <is>
          <t>発</t>
        </is>
      </c>
      <c r="J1697" s="10" t="inlineStr">
        <is>
          <t>営業</t>
        </is>
      </c>
      <c r="L1697" t="inlineStr">
        <is>
          <t>13:17:25</t>
        </is>
      </c>
      <c r="M1697" t="inlineStr">
        <is>
          <t>13:17:40</t>
        </is>
      </c>
    </row>
    <row r="1698" ht="15" customHeight="1" s="37">
      <c r="A1698" t="n">
        <v>17</v>
      </c>
      <c r="B1698" s="10" t="inlineStr">
        <is>
          <t>休日</t>
        </is>
      </c>
      <c r="C1698" s="10" t="inlineStr">
        <is>
          <t>北野線</t>
        </is>
      </c>
      <c r="D1698" s="10" t="inlineStr">
        <is>
          <t>上り</t>
        </is>
      </c>
      <c r="E1698" t="inlineStr">
        <is>
          <t>1354</t>
        </is>
      </c>
      <c r="F1698" t="inlineStr">
        <is>
          <t>0354</t>
        </is>
      </c>
      <c r="G1698" s="10" t="inlineStr">
        <is>
          <t>常盤</t>
        </is>
      </c>
      <c r="H1698" s="10" t="inlineStr">
        <is>
          <t>発</t>
        </is>
      </c>
      <c r="J1698" s="10" t="inlineStr">
        <is>
          <t>営業</t>
        </is>
      </c>
      <c r="L1698" t="inlineStr">
        <is>
          <t>13:19:00</t>
        </is>
      </c>
      <c r="M1698" t="inlineStr">
        <is>
          <t>13:19:20</t>
        </is>
      </c>
    </row>
    <row r="1699" ht="15" customHeight="1" s="37">
      <c r="A1699" t="n">
        <v>17</v>
      </c>
      <c r="B1699" s="10" t="inlineStr">
        <is>
          <t>休日</t>
        </is>
      </c>
      <c r="C1699" s="10" t="inlineStr">
        <is>
          <t>北野線</t>
        </is>
      </c>
      <c r="D1699" s="10" t="inlineStr">
        <is>
          <t>上り</t>
        </is>
      </c>
      <c r="E1699" t="inlineStr">
        <is>
          <t>1354</t>
        </is>
      </c>
      <c r="F1699" t="inlineStr">
        <is>
          <t>0354</t>
        </is>
      </c>
      <c r="G1699" s="10" t="inlineStr">
        <is>
          <t>鳴滝</t>
        </is>
      </c>
      <c r="H1699" s="10" t="inlineStr">
        <is>
          <t>発</t>
        </is>
      </c>
      <c r="J1699" s="10" t="inlineStr">
        <is>
          <t>営業</t>
        </is>
      </c>
      <c r="L1699" t="inlineStr">
        <is>
          <t>13:20:20</t>
        </is>
      </c>
      <c r="M1699" t="inlineStr">
        <is>
          <t>13:20:40</t>
        </is>
      </c>
    </row>
    <row r="1700" ht="15" customHeight="1" s="37">
      <c r="A1700" t="n">
        <v>17</v>
      </c>
      <c r="B1700" s="10" t="inlineStr">
        <is>
          <t>休日</t>
        </is>
      </c>
      <c r="C1700" s="10" t="inlineStr">
        <is>
          <t>北野線</t>
        </is>
      </c>
      <c r="D1700" s="10" t="inlineStr">
        <is>
          <t>上り</t>
        </is>
      </c>
      <c r="E1700" t="inlineStr">
        <is>
          <t>1354</t>
        </is>
      </c>
      <c r="F1700" t="inlineStr">
        <is>
          <t>0354</t>
        </is>
      </c>
      <c r="G1700" s="10" t="inlineStr">
        <is>
          <t>宇多野</t>
        </is>
      </c>
      <c r="H1700" s="10" t="inlineStr">
        <is>
          <t>発</t>
        </is>
      </c>
      <c r="J1700" s="10" t="inlineStr">
        <is>
          <t>営業</t>
        </is>
      </c>
      <c r="L1700" t="inlineStr">
        <is>
          <t>13:22:00</t>
        </is>
      </c>
      <c r="M1700" t="inlineStr">
        <is>
          <t>13:22:15</t>
        </is>
      </c>
    </row>
    <row r="1701" ht="15" customHeight="1" s="37">
      <c r="A1701" t="n">
        <v>17</v>
      </c>
      <c r="B1701" s="10" t="inlineStr">
        <is>
          <t>休日</t>
        </is>
      </c>
      <c r="C1701" s="10" t="inlineStr">
        <is>
          <t>北野線</t>
        </is>
      </c>
      <c r="D1701" s="10" t="inlineStr">
        <is>
          <t>上り</t>
        </is>
      </c>
      <c r="E1701" t="inlineStr">
        <is>
          <t>1354</t>
        </is>
      </c>
      <c r="F1701" t="inlineStr">
        <is>
          <t>0354</t>
        </is>
      </c>
      <c r="G1701" s="10" t="inlineStr">
        <is>
          <t>御室仁和寺</t>
        </is>
      </c>
      <c r="H1701" s="10" t="inlineStr">
        <is>
          <t>発</t>
        </is>
      </c>
      <c r="J1701" s="10" t="inlineStr">
        <is>
          <t>営業</t>
        </is>
      </c>
      <c r="L1701" t="inlineStr">
        <is>
          <t>13:23:15</t>
        </is>
      </c>
      <c r="M1701" t="inlineStr">
        <is>
          <t>13:23:35</t>
        </is>
      </c>
    </row>
    <row r="1702" ht="15" customHeight="1" s="37">
      <c r="A1702" t="n">
        <v>17</v>
      </c>
      <c r="B1702" s="10" t="inlineStr">
        <is>
          <t>休日</t>
        </is>
      </c>
      <c r="C1702" s="10" t="inlineStr">
        <is>
          <t>北野線</t>
        </is>
      </c>
      <c r="D1702" s="10" t="inlineStr">
        <is>
          <t>上り</t>
        </is>
      </c>
      <c r="E1702" t="inlineStr">
        <is>
          <t>1354</t>
        </is>
      </c>
      <c r="F1702" t="inlineStr">
        <is>
          <t>0354</t>
        </is>
      </c>
      <c r="G1702" s="10" t="inlineStr">
        <is>
          <t>妙心寺</t>
        </is>
      </c>
      <c r="H1702" s="10" t="inlineStr">
        <is>
          <t>発</t>
        </is>
      </c>
      <c r="J1702" s="10" t="inlineStr">
        <is>
          <t>営業</t>
        </is>
      </c>
      <c r="L1702" t="inlineStr">
        <is>
          <t>13:24:35</t>
        </is>
      </c>
      <c r="M1702" t="inlineStr">
        <is>
          <t>13:24:50</t>
        </is>
      </c>
    </row>
    <row r="1703" ht="15" customHeight="1" s="37">
      <c r="A1703" t="n">
        <v>17</v>
      </c>
      <c r="B1703" s="10" t="inlineStr">
        <is>
          <t>休日</t>
        </is>
      </c>
      <c r="C1703" s="10" t="inlineStr">
        <is>
          <t>北野線</t>
        </is>
      </c>
      <c r="D1703" s="10" t="inlineStr">
        <is>
          <t>上り</t>
        </is>
      </c>
      <c r="E1703" t="inlineStr">
        <is>
          <t>1354</t>
        </is>
      </c>
      <c r="F1703" t="inlineStr">
        <is>
          <t>0354</t>
        </is>
      </c>
      <c r="G1703" s="10" t="inlineStr">
        <is>
          <t>龍安寺</t>
        </is>
      </c>
      <c r="H1703" s="10" t="inlineStr">
        <is>
          <t>発</t>
        </is>
      </c>
      <c r="J1703" s="10" t="inlineStr">
        <is>
          <t>営業</t>
        </is>
      </c>
      <c r="L1703" t="inlineStr">
        <is>
          <t>13:25:45</t>
        </is>
      </c>
      <c r="M1703" t="inlineStr">
        <is>
          <t>13:25:55</t>
        </is>
      </c>
    </row>
    <row r="1704" ht="15" customHeight="1" s="37">
      <c r="A1704" t="n">
        <v>17</v>
      </c>
      <c r="B1704" s="10" t="inlineStr">
        <is>
          <t>休日</t>
        </is>
      </c>
      <c r="C1704" s="10" t="inlineStr">
        <is>
          <t>北野線</t>
        </is>
      </c>
      <c r="D1704" s="10" t="inlineStr">
        <is>
          <t>上り</t>
        </is>
      </c>
      <c r="E1704" t="inlineStr">
        <is>
          <t>1354</t>
        </is>
      </c>
      <c r="F1704" t="inlineStr">
        <is>
          <t>0354</t>
        </is>
      </c>
      <c r="G1704" s="10" t="inlineStr">
        <is>
          <t>等持院</t>
        </is>
      </c>
      <c r="H1704" s="10" t="inlineStr">
        <is>
          <t>発</t>
        </is>
      </c>
      <c r="J1704" s="10" t="inlineStr">
        <is>
          <t>営業</t>
        </is>
      </c>
      <c r="L1704" t="inlineStr">
        <is>
          <t>13:26:35</t>
        </is>
      </c>
      <c r="M1704" t="inlineStr">
        <is>
          <t>13:26:55</t>
        </is>
      </c>
    </row>
    <row r="1705" ht="15" customHeight="1" s="37">
      <c r="A1705" t="n">
        <v>17</v>
      </c>
      <c r="B1705" s="10" t="inlineStr">
        <is>
          <t>休日</t>
        </is>
      </c>
      <c r="C1705" s="10" t="inlineStr">
        <is>
          <t>北野線</t>
        </is>
      </c>
      <c r="D1705" s="10" t="inlineStr">
        <is>
          <t>上り</t>
        </is>
      </c>
      <c r="E1705" t="inlineStr">
        <is>
          <t>1354</t>
        </is>
      </c>
      <c r="F1705" t="inlineStr">
        <is>
          <t>0354</t>
        </is>
      </c>
      <c r="G1705" s="10" t="inlineStr">
        <is>
          <t>北野白梅町</t>
        </is>
      </c>
      <c r="H1705" s="10" t="inlineStr">
        <is>
          <t>着</t>
        </is>
      </c>
      <c r="J1705" s="10" t="inlineStr">
        <is>
          <t>営業</t>
        </is>
      </c>
      <c r="L1705" t="inlineStr">
        <is>
          <t>13:28:15</t>
        </is>
      </c>
      <c r="Q1705" t="inlineStr">
        <is>
          <t>1</t>
        </is>
      </c>
    </row>
    <row r="1706" ht="15" customHeight="1" s="37">
      <c r="A1706" t="n">
        <v>17</v>
      </c>
      <c r="B1706" s="10" t="inlineStr">
        <is>
          <t>休日</t>
        </is>
      </c>
      <c r="C1706" s="10" t="inlineStr">
        <is>
          <t>北野線</t>
        </is>
      </c>
      <c r="D1706" s="10" t="inlineStr">
        <is>
          <t>下り</t>
        </is>
      </c>
      <c r="E1706" t="inlineStr">
        <is>
          <t>1357</t>
        </is>
      </c>
      <c r="F1706" t="inlineStr">
        <is>
          <t>0453</t>
        </is>
      </c>
      <c r="G1706" s="10" t="inlineStr">
        <is>
          <t>北野白梅町</t>
        </is>
      </c>
      <c r="H1706" s="10" t="inlineStr">
        <is>
          <t>発</t>
        </is>
      </c>
      <c r="J1706" s="10" t="inlineStr">
        <is>
          <t>営業</t>
        </is>
      </c>
      <c r="M1706" t="inlineStr">
        <is>
          <t>13:33:00</t>
        </is>
      </c>
      <c r="Q1706" t="inlineStr">
        <is>
          <t>1</t>
        </is>
      </c>
    </row>
    <row r="1707" ht="15" customHeight="1" s="37">
      <c r="A1707" t="n">
        <v>17</v>
      </c>
      <c r="B1707" s="10" t="inlineStr">
        <is>
          <t>休日</t>
        </is>
      </c>
      <c r="C1707" s="10" t="inlineStr">
        <is>
          <t>北野線</t>
        </is>
      </c>
      <c r="D1707" s="10" t="inlineStr">
        <is>
          <t>下り</t>
        </is>
      </c>
      <c r="E1707" t="inlineStr">
        <is>
          <t>1357</t>
        </is>
      </c>
      <c r="F1707" t="inlineStr">
        <is>
          <t>0453</t>
        </is>
      </c>
      <c r="G1707" s="10" t="inlineStr">
        <is>
          <t>等持院</t>
        </is>
      </c>
      <c r="H1707" s="10" t="inlineStr">
        <is>
          <t>発</t>
        </is>
      </c>
      <c r="J1707" s="10" t="inlineStr">
        <is>
          <t>営業</t>
        </is>
      </c>
      <c r="L1707" t="inlineStr">
        <is>
          <t>13:34:25</t>
        </is>
      </c>
      <c r="M1707" t="inlineStr">
        <is>
          <t>13:34:35</t>
        </is>
      </c>
    </row>
    <row r="1708" ht="15" customHeight="1" s="37">
      <c r="A1708" t="n">
        <v>17</v>
      </c>
      <c r="B1708" s="10" t="inlineStr">
        <is>
          <t>休日</t>
        </is>
      </c>
      <c r="C1708" s="10" t="inlineStr">
        <is>
          <t>北野線</t>
        </is>
      </c>
      <c r="D1708" s="10" t="inlineStr">
        <is>
          <t>下り</t>
        </is>
      </c>
      <c r="E1708" t="inlineStr">
        <is>
          <t>1357</t>
        </is>
      </c>
      <c r="F1708" t="inlineStr">
        <is>
          <t>0453</t>
        </is>
      </c>
      <c r="G1708" s="10" t="inlineStr">
        <is>
          <t>龍安寺</t>
        </is>
      </c>
      <c r="H1708" s="10" t="inlineStr">
        <is>
          <t>発</t>
        </is>
      </c>
      <c r="J1708" s="10" t="inlineStr">
        <is>
          <t>営業</t>
        </is>
      </c>
      <c r="L1708" t="inlineStr">
        <is>
          <t>13:35:25</t>
        </is>
      </c>
      <c r="M1708" t="inlineStr">
        <is>
          <t>13:35:50</t>
        </is>
      </c>
    </row>
    <row r="1709" ht="15" customHeight="1" s="37">
      <c r="A1709" t="n">
        <v>17</v>
      </c>
      <c r="B1709" s="10" t="inlineStr">
        <is>
          <t>休日</t>
        </is>
      </c>
      <c r="C1709" s="10" t="inlineStr">
        <is>
          <t>北野線</t>
        </is>
      </c>
      <c r="D1709" s="10" t="inlineStr">
        <is>
          <t>下り</t>
        </is>
      </c>
      <c r="E1709" t="inlineStr">
        <is>
          <t>1357</t>
        </is>
      </c>
      <c r="F1709" t="inlineStr">
        <is>
          <t>0453</t>
        </is>
      </c>
      <c r="G1709" s="10" t="inlineStr">
        <is>
          <t>妙心寺</t>
        </is>
      </c>
      <c r="H1709" s="10" t="inlineStr">
        <is>
          <t>発</t>
        </is>
      </c>
      <c r="J1709" s="10" t="inlineStr">
        <is>
          <t>営業</t>
        </is>
      </c>
      <c r="L1709" t="inlineStr">
        <is>
          <t>13:36:40</t>
        </is>
      </c>
      <c r="M1709" t="inlineStr">
        <is>
          <t>13:36:50</t>
        </is>
      </c>
    </row>
    <row r="1710" ht="15" customHeight="1" s="37">
      <c r="A1710" t="n">
        <v>17</v>
      </c>
      <c r="B1710" s="10" t="inlineStr">
        <is>
          <t>休日</t>
        </is>
      </c>
      <c r="C1710" s="10" t="inlineStr">
        <is>
          <t>北野線</t>
        </is>
      </c>
      <c r="D1710" s="10" t="inlineStr">
        <is>
          <t>下り</t>
        </is>
      </c>
      <c r="E1710" t="inlineStr">
        <is>
          <t>1357</t>
        </is>
      </c>
      <c r="F1710" t="inlineStr">
        <is>
          <t>0453</t>
        </is>
      </c>
      <c r="G1710" s="10" t="inlineStr">
        <is>
          <t>御室仁和寺</t>
        </is>
      </c>
      <c r="H1710" s="10" t="inlineStr">
        <is>
          <t>発</t>
        </is>
      </c>
      <c r="J1710" s="10" t="inlineStr">
        <is>
          <t>営業</t>
        </is>
      </c>
      <c r="L1710" t="inlineStr">
        <is>
          <t>13:37:50</t>
        </is>
      </c>
      <c r="M1710" t="inlineStr">
        <is>
          <t>13:38:05</t>
        </is>
      </c>
    </row>
    <row r="1711" ht="15" customHeight="1" s="37">
      <c r="A1711" t="n">
        <v>17</v>
      </c>
      <c r="B1711" s="10" t="inlineStr">
        <is>
          <t>休日</t>
        </is>
      </c>
      <c r="C1711" s="10" t="inlineStr">
        <is>
          <t>北野線</t>
        </is>
      </c>
      <c r="D1711" s="10" t="inlineStr">
        <is>
          <t>下り</t>
        </is>
      </c>
      <c r="E1711" t="inlineStr">
        <is>
          <t>1357</t>
        </is>
      </c>
      <c r="F1711" t="inlineStr">
        <is>
          <t>0453</t>
        </is>
      </c>
      <c r="G1711" s="10" t="inlineStr">
        <is>
          <t>宇多野</t>
        </is>
      </c>
      <c r="H1711" s="10" t="inlineStr">
        <is>
          <t>発</t>
        </is>
      </c>
      <c r="J1711" s="10" t="inlineStr">
        <is>
          <t>営業</t>
        </is>
      </c>
      <c r="L1711" t="inlineStr">
        <is>
          <t>13:39:05</t>
        </is>
      </c>
      <c r="M1711" t="inlineStr">
        <is>
          <t>13:39:15</t>
        </is>
      </c>
    </row>
    <row r="1712" ht="15" customHeight="1" s="37">
      <c r="A1712" t="n">
        <v>17</v>
      </c>
      <c r="B1712" s="10" t="inlineStr">
        <is>
          <t>休日</t>
        </is>
      </c>
      <c r="C1712" s="10" t="inlineStr">
        <is>
          <t>北野線</t>
        </is>
      </c>
      <c r="D1712" s="10" t="inlineStr">
        <is>
          <t>下り</t>
        </is>
      </c>
      <c r="E1712" t="inlineStr">
        <is>
          <t>1357</t>
        </is>
      </c>
      <c r="F1712" t="inlineStr">
        <is>
          <t>0453</t>
        </is>
      </c>
      <c r="G1712" s="10" t="inlineStr">
        <is>
          <t>鳴滝</t>
        </is>
      </c>
      <c r="H1712" s="10" t="inlineStr">
        <is>
          <t>発</t>
        </is>
      </c>
      <c r="J1712" s="10" t="inlineStr">
        <is>
          <t>営業</t>
        </is>
      </c>
      <c r="L1712" t="inlineStr">
        <is>
          <t>13:40:35</t>
        </is>
      </c>
      <c r="M1712" t="inlineStr">
        <is>
          <t>13:40:45</t>
        </is>
      </c>
    </row>
    <row r="1713" ht="15" customHeight="1" s="37">
      <c r="A1713" t="n">
        <v>17</v>
      </c>
      <c r="B1713" s="10" t="inlineStr">
        <is>
          <t>休日</t>
        </is>
      </c>
      <c r="C1713" s="10" t="inlineStr">
        <is>
          <t>北野線</t>
        </is>
      </c>
      <c r="D1713" s="10" t="inlineStr">
        <is>
          <t>下り</t>
        </is>
      </c>
      <c r="E1713" t="inlineStr">
        <is>
          <t>1357</t>
        </is>
      </c>
      <c r="F1713" t="inlineStr">
        <is>
          <t>0453</t>
        </is>
      </c>
      <c r="G1713" s="10" t="inlineStr">
        <is>
          <t>常盤</t>
        </is>
      </c>
      <c r="H1713" s="10" t="inlineStr">
        <is>
          <t>発</t>
        </is>
      </c>
      <c r="J1713" s="10" t="inlineStr">
        <is>
          <t>営業</t>
        </is>
      </c>
      <c r="L1713" t="inlineStr">
        <is>
          <t>13:41:35</t>
        </is>
      </c>
      <c r="M1713" t="inlineStr">
        <is>
          <t>13:41:55</t>
        </is>
      </c>
    </row>
    <row r="1714" ht="15" customHeight="1" s="37">
      <c r="A1714" t="n">
        <v>17</v>
      </c>
      <c r="B1714" s="10" t="inlineStr">
        <is>
          <t>休日</t>
        </is>
      </c>
      <c r="C1714" s="10" t="inlineStr">
        <is>
          <t>北野線</t>
        </is>
      </c>
      <c r="D1714" s="10" t="inlineStr">
        <is>
          <t>下り</t>
        </is>
      </c>
      <c r="E1714" t="inlineStr">
        <is>
          <t>1357</t>
        </is>
      </c>
      <c r="F1714" t="inlineStr">
        <is>
          <t>0453</t>
        </is>
      </c>
      <c r="G1714" s="10" t="inlineStr">
        <is>
          <t>撮影所前</t>
        </is>
      </c>
      <c r="H1714" s="10" t="inlineStr">
        <is>
          <t>発</t>
        </is>
      </c>
      <c r="J1714" s="10" t="inlineStr">
        <is>
          <t>営業</t>
        </is>
      </c>
      <c r="L1714" t="inlineStr">
        <is>
          <t>13:43:15</t>
        </is>
      </c>
      <c r="M1714" t="inlineStr">
        <is>
          <t>13:43:30</t>
        </is>
      </c>
    </row>
    <row r="1715" ht="15" customHeight="1" s="37">
      <c r="A1715" t="n">
        <v>17</v>
      </c>
      <c r="B1715" s="10" t="inlineStr">
        <is>
          <t>休日</t>
        </is>
      </c>
      <c r="C1715" s="10" t="inlineStr">
        <is>
          <t>北野線</t>
        </is>
      </c>
      <c r="D1715" s="10" t="inlineStr">
        <is>
          <t>下り</t>
        </is>
      </c>
      <c r="E1715" t="inlineStr">
        <is>
          <t>1357</t>
        </is>
      </c>
      <c r="F1715" t="inlineStr">
        <is>
          <t>0453</t>
        </is>
      </c>
      <c r="G1715" s="10" t="inlineStr">
        <is>
          <t>帷子ノ辻</t>
        </is>
      </c>
      <c r="H1715" s="10" t="inlineStr">
        <is>
          <t>着</t>
        </is>
      </c>
      <c r="J1715" s="10" t="inlineStr">
        <is>
          <t>営業</t>
        </is>
      </c>
      <c r="L1715" t="inlineStr">
        <is>
          <t>13:44:25</t>
        </is>
      </c>
      <c r="Q1715" t="inlineStr">
        <is>
          <t>3</t>
        </is>
      </c>
      <c r="T1715" t="inlineStr">
        <is>
          <t>○</t>
        </is>
      </c>
    </row>
    <row r="1716" ht="15" customHeight="1" s="37">
      <c r="A1716" t="n">
        <v>17</v>
      </c>
      <c r="B1716" s="10" t="inlineStr">
        <is>
          <t>休日</t>
        </is>
      </c>
      <c r="C1716" s="10" t="inlineStr">
        <is>
          <t>本線</t>
        </is>
      </c>
      <c r="D1716" s="10" t="inlineStr">
        <is>
          <t>上り</t>
        </is>
      </c>
      <c r="E1716" t="inlineStr">
        <is>
          <t>17系統③便乗</t>
        </is>
      </c>
      <c r="F1716" s="10" t="inlineStr">
        <is>
          <t>便乗</t>
        </is>
      </c>
      <c r="G1716" s="10" t="inlineStr">
        <is>
          <t>帷子ノ辻</t>
        </is>
      </c>
      <c r="H1716" s="10" t="inlineStr">
        <is>
          <t>発</t>
        </is>
      </c>
      <c r="J1716" s="10" t="inlineStr">
        <is>
          <t>便乗</t>
        </is>
      </c>
      <c r="L1716" t="inlineStr">
        <is>
          <t>13:50:10</t>
        </is>
      </c>
      <c r="M1716" t="inlineStr">
        <is>
          <t>13:51:15</t>
        </is>
      </c>
      <c r="S1716" t="inlineStr">
        <is>
          <t>連1310</t>
        </is>
      </c>
    </row>
    <row r="1717" ht="15" customHeight="1" s="37">
      <c r="A1717" t="n">
        <v>17</v>
      </c>
      <c r="B1717" s="10" t="inlineStr">
        <is>
          <t>休日</t>
        </is>
      </c>
      <c r="C1717" s="10" t="inlineStr">
        <is>
          <t>本線</t>
        </is>
      </c>
      <c r="D1717" s="10" t="inlineStr">
        <is>
          <t>上り</t>
        </is>
      </c>
      <c r="E1717" t="inlineStr">
        <is>
          <t>17系統③便乗</t>
        </is>
      </c>
      <c r="F1717" s="10" t="inlineStr">
        <is>
          <t>便乗</t>
        </is>
      </c>
      <c r="G1717" s="10" t="inlineStr">
        <is>
          <t>太秦広隆寺</t>
        </is>
      </c>
      <c r="H1717" s="10" t="inlineStr">
        <is>
          <t>発</t>
        </is>
      </c>
      <c r="J1717" s="10" t="inlineStr">
        <is>
          <t>便乗</t>
        </is>
      </c>
      <c r="L1717" t="inlineStr">
        <is>
          <t>13:53:25</t>
        </is>
      </c>
      <c r="M1717" t="inlineStr">
        <is>
          <t>13:53:45</t>
        </is>
      </c>
      <c r="S1717" t="inlineStr">
        <is>
          <t>連1310</t>
        </is>
      </c>
    </row>
    <row r="1718" ht="15" customHeight="1" s="37">
      <c r="A1718" t="n">
        <v>17</v>
      </c>
      <c r="B1718" s="10" t="inlineStr">
        <is>
          <t>休日</t>
        </is>
      </c>
      <c r="C1718" s="10" t="inlineStr">
        <is>
          <t>本線</t>
        </is>
      </c>
      <c r="D1718" s="10" t="inlineStr">
        <is>
          <t>上り</t>
        </is>
      </c>
      <c r="E1718" t="inlineStr">
        <is>
          <t>17系統③便乗</t>
        </is>
      </c>
      <c r="F1718" s="10" t="inlineStr">
        <is>
          <t>便乗</t>
        </is>
      </c>
      <c r="G1718" s="10" t="inlineStr">
        <is>
          <t>蚕ノ社</t>
        </is>
      </c>
      <c r="H1718" s="10" t="inlineStr">
        <is>
          <t>発</t>
        </is>
      </c>
      <c r="J1718" s="10" t="inlineStr">
        <is>
          <t>便乗</t>
        </is>
      </c>
      <c r="L1718" t="inlineStr">
        <is>
          <t>13:55:00</t>
        </is>
      </c>
      <c r="M1718" t="inlineStr">
        <is>
          <t>13:55:20</t>
        </is>
      </c>
      <c r="S1718" t="inlineStr">
        <is>
          <t>連1310</t>
        </is>
      </c>
    </row>
    <row r="1719" ht="15" customHeight="1" s="37">
      <c r="A1719" t="n">
        <v>17</v>
      </c>
      <c r="B1719" s="10" t="inlineStr">
        <is>
          <t>休日</t>
        </is>
      </c>
      <c r="C1719" s="10" t="inlineStr">
        <is>
          <t>本線</t>
        </is>
      </c>
      <c r="D1719" s="10" t="inlineStr">
        <is>
          <t>上り</t>
        </is>
      </c>
      <c r="E1719" t="inlineStr">
        <is>
          <t>17系統③便乗</t>
        </is>
      </c>
      <c r="F1719" s="10" t="inlineStr">
        <is>
          <t>便乗</t>
        </is>
      </c>
      <c r="G1719" s="10" t="inlineStr">
        <is>
          <t>天神川</t>
        </is>
      </c>
      <c r="H1719" s="10" t="inlineStr">
        <is>
          <t>発</t>
        </is>
      </c>
      <c r="J1719" s="10" t="inlineStr">
        <is>
          <t>便乗</t>
        </is>
      </c>
      <c r="L1719" t="inlineStr">
        <is>
          <t>13:56:05</t>
        </is>
      </c>
      <c r="M1719" t="inlineStr">
        <is>
          <t>13:56:50</t>
        </is>
      </c>
      <c r="S1719" t="inlineStr">
        <is>
          <t>連1310</t>
        </is>
      </c>
    </row>
    <row r="1720" ht="15" customHeight="1" s="37">
      <c r="A1720" t="n">
        <v>17</v>
      </c>
      <c r="B1720" s="10" t="inlineStr">
        <is>
          <t>休日</t>
        </is>
      </c>
      <c r="C1720" s="10" t="inlineStr">
        <is>
          <t>本線</t>
        </is>
      </c>
      <c r="D1720" s="10" t="inlineStr">
        <is>
          <t>上り</t>
        </is>
      </c>
      <c r="E1720" t="inlineStr">
        <is>
          <t>17系統③便乗</t>
        </is>
      </c>
      <c r="F1720" s="10" t="inlineStr">
        <is>
          <t>便乗</t>
        </is>
      </c>
      <c r="G1720" s="10" t="inlineStr">
        <is>
          <t>山ノ内</t>
        </is>
      </c>
      <c r="H1720" s="10" t="inlineStr">
        <is>
          <t>発</t>
        </is>
      </c>
      <c r="J1720" s="10" t="inlineStr">
        <is>
          <t>便乗</t>
        </is>
      </c>
      <c r="L1720" t="inlineStr">
        <is>
          <t>13:58:40</t>
        </is>
      </c>
      <c r="M1720" t="inlineStr">
        <is>
          <t>13:59:05</t>
        </is>
      </c>
      <c r="S1720" t="inlineStr">
        <is>
          <t>連1310</t>
        </is>
      </c>
    </row>
    <row r="1721" ht="15" customHeight="1" s="37">
      <c r="A1721" t="n">
        <v>17</v>
      </c>
      <c r="B1721" s="10" t="inlineStr">
        <is>
          <t>休日</t>
        </is>
      </c>
      <c r="C1721" s="10" t="inlineStr">
        <is>
          <t>本線</t>
        </is>
      </c>
      <c r="D1721" s="10" t="inlineStr">
        <is>
          <t>上り</t>
        </is>
      </c>
      <c r="E1721" t="inlineStr">
        <is>
          <t>17系統③便乗</t>
        </is>
      </c>
      <c r="F1721" s="10" t="inlineStr">
        <is>
          <t>便乗</t>
        </is>
      </c>
      <c r="G1721" s="10" t="inlineStr">
        <is>
          <t>西大路三条</t>
        </is>
      </c>
      <c r="H1721" s="10" t="inlineStr">
        <is>
          <t>発</t>
        </is>
      </c>
      <c r="J1721" s="10" t="inlineStr">
        <is>
          <t>便乗</t>
        </is>
      </c>
      <c r="L1721" t="inlineStr">
        <is>
          <t>14:00:55</t>
        </is>
      </c>
      <c r="M1721" t="inlineStr">
        <is>
          <t>14:01:15</t>
        </is>
      </c>
      <c r="S1721" t="inlineStr">
        <is>
          <t>連1310</t>
        </is>
      </c>
    </row>
    <row r="1722" ht="15" customHeight="1" s="37">
      <c r="A1722" t="n">
        <v>17</v>
      </c>
      <c r="B1722" s="10" t="inlineStr">
        <is>
          <t>休日</t>
        </is>
      </c>
      <c r="C1722" s="10" t="inlineStr">
        <is>
          <t>本線</t>
        </is>
      </c>
      <c r="D1722" s="10" t="inlineStr">
        <is>
          <t>上り</t>
        </is>
      </c>
      <c r="E1722" t="inlineStr">
        <is>
          <t>17系統③便乗</t>
        </is>
      </c>
      <c r="F1722" s="10" t="inlineStr">
        <is>
          <t>便乗</t>
        </is>
      </c>
      <c r="G1722" s="10" t="inlineStr">
        <is>
          <t>西院</t>
        </is>
      </c>
      <c r="H1722" s="10" t="inlineStr">
        <is>
          <t>着</t>
        </is>
      </c>
      <c r="J1722" s="10" t="inlineStr">
        <is>
          <t>便乗</t>
        </is>
      </c>
      <c r="L1722" t="inlineStr">
        <is>
          <t>14:03:10</t>
        </is>
      </c>
      <c r="M1722" t="inlineStr">
        <is>
          <t>14:04:05</t>
        </is>
      </c>
      <c r="S1722" t="inlineStr">
        <is>
          <t>連1310</t>
        </is>
      </c>
    </row>
    <row r="1723" ht="15" customHeight="1" s="37">
      <c r="A1723" t="n">
        <v>18</v>
      </c>
      <c r="B1723" s="10" t="inlineStr">
        <is>
          <t>休日</t>
        </is>
      </c>
      <c r="C1723" s="10" t="inlineStr">
        <is>
          <t>北野線</t>
        </is>
      </c>
      <c r="D1723" s="10" t="inlineStr">
        <is>
          <t>上り</t>
        </is>
      </c>
      <c r="E1723" t="inlineStr">
        <is>
          <t>0754</t>
        </is>
      </c>
      <c r="F1723" t="inlineStr">
        <is>
          <t>0354</t>
        </is>
      </c>
      <c r="G1723" s="10" t="inlineStr">
        <is>
          <t>帷子ノ辻</t>
        </is>
      </c>
      <c r="H1723" s="10" t="inlineStr">
        <is>
          <t>発</t>
        </is>
      </c>
      <c r="J1723" s="10" t="inlineStr">
        <is>
          <t>営業</t>
        </is>
      </c>
      <c r="M1723" t="inlineStr">
        <is>
          <t>7:16:25</t>
        </is>
      </c>
      <c r="Q1723" t="inlineStr">
        <is>
          <t>3留</t>
        </is>
      </c>
    </row>
    <row r="1724" ht="15" customHeight="1" s="37">
      <c r="A1724" t="n">
        <v>18</v>
      </c>
      <c r="B1724" s="10" t="inlineStr">
        <is>
          <t>休日</t>
        </is>
      </c>
      <c r="C1724" s="10" t="inlineStr">
        <is>
          <t>北野線</t>
        </is>
      </c>
      <c r="D1724" s="10" t="inlineStr">
        <is>
          <t>上り</t>
        </is>
      </c>
      <c r="E1724" t="inlineStr">
        <is>
          <t>0754</t>
        </is>
      </c>
      <c r="F1724" t="inlineStr">
        <is>
          <t>0354</t>
        </is>
      </c>
      <c r="G1724" s="10" t="inlineStr">
        <is>
          <t>撮影所前</t>
        </is>
      </c>
      <c r="H1724" s="10" t="inlineStr">
        <is>
          <t>発</t>
        </is>
      </c>
      <c r="J1724" s="10" t="inlineStr">
        <is>
          <t>営業</t>
        </is>
      </c>
      <c r="L1724" t="inlineStr">
        <is>
          <t>7:17:25</t>
        </is>
      </c>
      <c r="M1724" t="inlineStr">
        <is>
          <t>7:17:40</t>
        </is>
      </c>
    </row>
    <row r="1725" ht="15" customHeight="1" s="37">
      <c r="A1725" t="n">
        <v>18</v>
      </c>
      <c r="B1725" s="10" t="inlineStr">
        <is>
          <t>休日</t>
        </is>
      </c>
      <c r="C1725" s="10" t="inlineStr">
        <is>
          <t>北野線</t>
        </is>
      </c>
      <c r="D1725" s="10" t="inlineStr">
        <is>
          <t>上り</t>
        </is>
      </c>
      <c r="E1725" t="inlineStr">
        <is>
          <t>0754</t>
        </is>
      </c>
      <c r="F1725" t="inlineStr">
        <is>
          <t>0354</t>
        </is>
      </c>
      <c r="G1725" s="10" t="inlineStr">
        <is>
          <t>常盤</t>
        </is>
      </c>
      <c r="H1725" s="10" t="inlineStr">
        <is>
          <t>発</t>
        </is>
      </c>
      <c r="J1725" s="10" t="inlineStr">
        <is>
          <t>営業</t>
        </is>
      </c>
      <c r="L1725" t="inlineStr">
        <is>
          <t>7:19:00</t>
        </is>
      </c>
      <c r="M1725" t="inlineStr">
        <is>
          <t>7:19:20</t>
        </is>
      </c>
    </row>
    <row r="1726" ht="15" customHeight="1" s="37">
      <c r="A1726" t="n">
        <v>18</v>
      </c>
      <c r="B1726" s="10" t="inlineStr">
        <is>
          <t>休日</t>
        </is>
      </c>
      <c r="C1726" s="10" t="inlineStr">
        <is>
          <t>北野線</t>
        </is>
      </c>
      <c r="D1726" s="10" t="inlineStr">
        <is>
          <t>上り</t>
        </is>
      </c>
      <c r="E1726" t="inlineStr">
        <is>
          <t>0754</t>
        </is>
      </c>
      <c r="F1726" t="inlineStr">
        <is>
          <t>0354</t>
        </is>
      </c>
      <c r="G1726" s="10" t="inlineStr">
        <is>
          <t>鳴滝</t>
        </is>
      </c>
      <c r="H1726" s="10" t="inlineStr">
        <is>
          <t>発</t>
        </is>
      </c>
      <c r="J1726" s="10" t="inlineStr">
        <is>
          <t>営業</t>
        </is>
      </c>
      <c r="L1726" t="inlineStr">
        <is>
          <t>7:20:20</t>
        </is>
      </c>
      <c r="M1726" t="inlineStr">
        <is>
          <t>7:20:40</t>
        </is>
      </c>
    </row>
    <row r="1727" ht="15" customHeight="1" s="37">
      <c r="A1727" t="n">
        <v>18</v>
      </c>
      <c r="B1727" s="10" t="inlineStr">
        <is>
          <t>休日</t>
        </is>
      </c>
      <c r="C1727" s="10" t="inlineStr">
        <is>
          <t>北野線</t>
        </is>
      </c>
      <c r="D1727" s="10" t="inlineStr">
        <is>
          <t>上り</t>
        </is>
      </c>
      <c r="E1727" t="inlineStr">
        <is>
          <t>0754</t>
        </is>
      </c>
      <c r="F1727" t="inlineStr">
        <is>
          <t>0354</t>
        </is>
      </c>
      <c r="G1727" s="10" t="inlineStr">
        <is>
          <t>宇多野</t>
        </is>
      </c>
      <c r="H1727" s="10" t="inlineStr">
        <is>
          <t>発</t>
        </is>
      </c>
      <c r="J1727" s="10" t="inlineStr">
        <is>
          <t>営業</t>
        </is>
      </c>
      <c r="L1727" t="inlineStr">
        <is>
          <t>7:22:00</t>
        </is>
      </c>
      <c r="M1727" t="inlineStr">
        <is>
          <t>7:22:15</t>
        </is>
      </c>
    </row>
    <row r="1728" ht="15" customHeight="1" s="37">
      <c r="A1728" t="n">
        <v>18</v>
      </c>
      <c r="B1728" s="10" t="inlineStr">
        <is>
          <t>休日</t>
        </is>
      </c>
      <c r="C1728" s="10" t="inlineStr">
        <is>
          <t>北野線</t>
        </is>
      </c>
      <c r="D1728" s="10" t="inlineStr">
        <is>
          <t>上り</t>
        </is>
      </c>
      <c r="E1728" t="inlineStr">
        <is>
          <t>0754</t>
        </is>
      </c>
      <c r="F1728" t="inlineStr">
        <is>
          <t>0354</t>
        </is>
      </c>
      <c r="G1728" s="10" t="inlineStr">
        <is>
          <t>御室仁和寺</t>
        </is>
      </c>
      <c r="H1728" s="10" t="inlineStr">
        <is>
          <t>発</t>
        </is>
      </c>
      <c r="J1728" s="10" t="inlineStr">
        <is>
          <t>営業</t>
        </is>
      </c>
      <c r="L1728" t="inlineStr">
        <is>
          <t>7:23:15</t>
        </is>
      </c>
      <c r="M1728" t="inlineStr">
        <is>
          <t>7:23:35</t>
        </is>
      </c>
    </row>
    <row r="1729" ht="15" customHeight="1" s="37">
      <c r="A1729" t="n">
        <v>18</v>
      </c>
      <c r="B1729" s="10" t="inlineStr">
        <is>
          <t>休日</t>
        </is>
      </c>
      <c r="C1729" s="10" t="inlineStr">
        <is>
          <t>北野線</t>
        </is>
      </c>
      <c r="D1729" s="10" t="inlineStr">
        <is>
          <t>上り</t>
        </is>
      </c>
      <c r="E1729" t="inlineStr">
        <is>
          <t>0754</t>
        </is>
      </c>
      <c r="F1729" t="inlineStr">
        <is>
          <t>0354</t>
        </is>
      </c>
      <c r="G1729" s="10" t="inlineStr">
        <is>
          <t>妙心寺</t>
        </is>
      </c>
      <c r="H1729" s="10" t="inlineStr">
        <is>
          <t>発</t>
        </is>
      </c>
      <c r="J1729" s="10" t="inlineStr">
        <is>
          <t>営業</t>
        </is>
      </c>
      <c r="L1729" t="inlineStr">
        <is>
          <t>7:24:35</t>
        </is>
      </c>
      <c r="M1729" t="inlineStr">
        <is>
          <t>7:24:50</t>
        </is>
      </c>
    </row>
    <row r="1730" ht="15" customHeight="1" s="37">
      <c r="A1730" t="n">
        <v>18</v>
      </c>
      <c r="B1730" s="10" t="inlineStr">
        <is>
          <t>休日</t>
        </is>
      </c>
      <c r="C1730" s="10" t="inlineStr">
        <is>
          <t>北野線</t>
        </is>
      </c>
      <c r="D1730" s="10" t="inlineStr">
        <is>
          <t>上り</t>
        </is>
      </c>
      <c r="E1730" t="inlineStr">
        <is>
          <t>0754</t>
        </is>
      </c>
      <c r="F1730" t="inlineStr">
        <is>
          <t>0354</t>
        </is>
      </c>
      <c r="G1730" s="10" t="inlineStr">
        <is>
          <t>龍安寺</t>
        </is>
      </c>
      <c r="H1730" s="10" t="inlineStr">
        <is>
          <t>発</t>
        </is>
      </c>
      <c r="J1730" s="10" t="inlineStr">
        <is>
          <t>営業</t>
        </is>
      </c>
      <c r="L1730" t="inlineStr">
        <is>
          <t>7:25:45</t>
        </is>
      </c>
      <c r="M1730" t="inlineStr">
        <is>
          <t>7:25:55</t>
        </is>
      </c>
    </row>
    <row r="1731" ht="15" customHeight="1" s="37">
      <c r="A1731" t="n">
        <v>18</v>
      </c>
      <c r="B1731" s="10" t="inlineStr">
        <is>
          <t>休日</t>
        </is>
      </c>
      <c r="C1731" s="10" t="inlineStr">
        <is>
          <t>北野線</t>
        </is>
      </c>
      <c r="D1731" s="10" t="inlineStr">
        <is>
          <t>上り</t>
        </is>
      </c>
      <c r="E1731" t="inlineStr">
        <is>
          <t>0754</t>
        </is>
      </c>
      <c r="F1731" t="inlineStr">
        <is>
          <t>0354</t>
        </is>
      </c>
      <c r="G1731" s="10" t="inlineStr">
        <is>
          <t>等持院</t>
        </is>
      </c>
      <c r="H1731" s="10" t="inlineStr">
        <is>
          <t>発</t>
        </is>
      </c>
      <c r="J1731" s="10" t="inlineStr">
        <is>
          <t>営業</t>
        </is>
      </c>
      <c r="L1731" t="inlineStr">
        <is>
          <t>7:26:35</t>
        </is>
      </c>
      <c r="M1731" t="inlineStr">
        <is>
          <t>7:26:55</t>
        </is>
      </c>
    </row>
    <row r="1732" ht="15" customHeight="1" s="37">
      <c r="A1732" t="n">
        <v>18</v>
      </c>
      <c r="B1732" s="10" t="inlineStr">
        <is>
          <t>休日</t>
        </is>
      </c>
      <c r="C1732" s="10" t="inlineStr">
        <is>
          <t>北野線</t>
        </is>
      </c>
      <c r="D1732" s="10" t="inlineStr">
        <is>
          <t>上り</t>
        </is>
      </c>
      <c r="E1732" t="inlineStr">
        <is>
          <t>0754</t>
        </is>
      </c>
      <c r="F1732" t="inlineStr">
        <is>
          <t>0354</t>
        </is>
      </c>
      <c r="G1732" s="10" t="inlineStr">
        <is>
          <t>北野白梅町</t>
        </is>
      </c>
      <c r="H1732" s="10" t="inlineStr">
        <is>
          <t>着</t>
        </is>
      </c>
      <c r="J1732" s="10" t="inlineStr">
        <is>
          <t>営業</t>
        </is>
      </c>
      <c r="L1732" t="inlineStr">
        <is>
          <t>7:28:15</t>
        </is>
      </c>
      <c r="Q1732" t="inlineStr">
        <is>
          <t>1</t>
        </is>
      </c>
    </row>
    <row r="1733" ht="15" customHeight="1" s="37">
      <c r="A1733" t="n">
        <v>18</v>
      </c>
      <c r="B1733" s="10" t="inlineStr">
        <is>
          <t>休日</t>
        </is>
      </c>
      <c r="C1733" s="10" t="inlineStr">
        <is>
          <t>北野線</t>
        </is>
      </c>
      <c r="D1733" s="10" t="inlineStr">
        <is>
          <t>下り</t>
        </is>
      </c>
      <c r="E1733" t="inlineStr">
        <is>
          <t>0755</t>
        </is>
      </c>
      <c r="F1733" t="inlineStr">
        <is>
          <t>0453</t>
        </is>
      </c>
      <c r="G1733" s="10" t="inlineStr">
        <is>
          <t>北野白梅町</t>
        </is>
      </c>
      <c r="H1733" s="10" t="inlineStr">
        <is>
          <t>発</t>
        </is>
      </c>
      <c r="J1733" s="10" t="inlineStr">
        <is>
          <t>営業</t>
        </is>
      </c>
      <c r="M1733" t="inlineStr">
        <is>
          <t>7:33:00</t>
        </is>
      </c>
      <c r="Q1733" t="inlineStr">
        <is>
          <t>1</t>
        </is>
      </c>
    </row>
    <row r="1734" ht="15" customHeight="1" s="37">
      <c r="A1734" t="n">
        <v>18</v>
      </c>
      <c r="B1734" s="10" t="inlineStr">
        <is>
          <t>休日</t>
        </is>
      </c>
      <c r="C1734" s="10" t="inlineStr">
        <is>
          <t>北野線</t>
        </is>
      </c>
      <c r="D1734" s="10" t="inlineStr">
        <is>
          <t>下り</t>
        </is>
      </c>
      <c r="E1734" t="inlineStr">
        <is>
          <t>0755</t>
        </is>
      </c>
      <c r="F1734" t="inlineStr">
        <is>
          <t>0453</t>
        </is>
      </c>
      <c r="G1734" s="10" t="inlineStr">
        <is>
          <t>等持院</t>
        </is>
      </c>
      <c r="H1734" s="10" t="inlineStr">
        <is>
          <t>発</t>
        </is>
      </c>
      <c r="J1734" s="10" t="inlineStr">
        <is>
          <t>営業</t>
        </is>
      </c>
      <c r="L1734" t="inlineStr">
        <is>
          <t>7:34:25</t>
        </is>
      </c>
      <c r="M1734" t="inlineStr">
        <is>
          <t>7:34:35</t>
        </is>
      </c>
    </row>
    <row r="1735" ht="15" customHeight="1" s="37">
      <c r="A1735" t="n">
        <v>18</v>
      </c>
      <c r="B1735" s="10" t="inlineStr">
        <is>
          <t>休日</t>
        </is>
      </c>
      <c r="C1735" s="10" t="inlineStr">
        <is>
          <t>北野線</t>
        </is>
      </c>
      <c r="D1735" s="10" t="inlineStr">
        <is>
          <t>下り</t>
        </is>
      </c>
      <c r="E1735" t="inlineStr">
        <is>
          <t>0755</t>
        </is>
      </c>
      <c r="F1735" t="inlineStr">
        <is>
          <t>0453</t>
        </is>
      </c>
      <c r="G1735" s="10" t="inlineStr">
        <is>
          <t>龍安寺</t>
        </is>
      </c>
      <c r="H1735" s="10" t="inlineStr">
        <is>
          <t>発</t>
        </is>
      </c>
      <c r="J1735" s="10" t="inlineStr">
        <is>
          <t>営業</t>
        </is>
      </c>
      <c r="L1735" t="inlineStr">
        <is>
          <t>7:35:25</t>
        </is>
      </c>
      <c r="M1735" t="inlineStr">
        <is>
          <t>7:35:50</t>
        </is>
      </c>
    </row>
    <row r="1736" ht="15" customHeight="1" s="37">
      <c r="A1736" t="n">
        <v>18</v>
      </c>
      <c r="B1736" s="10" t="inlineStr">
        <is>
          <t>休日</t>
        </is>
      </c>
      <c r="C1736" s="10" t="inlineStr">
        <is>
          <t>北野線</t>
        </is>
      </c>
      <c r="D1736" s="10" t="inlineStr">
        <is>
          <t>下り</t>
        </is>
      </c>
      <c r="E1736" t="inlineStr">
        <is>
          <t>0755</t>
        </is>
      </c>
      <c r="F1736" t="inlineStr">
        <is>
          <t>0453</t>
        </is>
      </c>
      <c r="G1736" s="10" t="inlineStr">
        <is>
          <t>妙心寺</t>
        </is>
      </c>
      <c r="H1736" s="10" t="inlineStr">
        <is>
          <t>発</t>
        </is>
      </c>
      <c r="J1736" s="10" t="inlineStr">
        <is>
          <t>営業</t>
        </is>
      </c>
      <c r="L1736" t="inlineStr">
        <is>
          <t>7:36:40</t>
        </is>
      </c>
      <c r="M1736" t="inlineStr">
        <is>
          <t>7:36:50</t>
        </is>
      </c>
    </row>
    <row r="1737" ht="15" customHeight="1" s="37">
      <c r="A1737" t="n">
        <v>18</v>
      </c>
      <c r="B1737" s="10" t="inlineStr">
        <is>
          <t>休日</t>
        </is>
      </c>
      <c r="C1737" s="10" t="inlineStr">
        <is>
          <t>北野線</t>
        </is>
      </c>
      <c r="D1737" s="10" t="inlineStr">
        <is>
          <t>下り</t>
        </is>
      </c>
      <c r="E1737" t="inlineStr">
        <is>
          <t>0755</t>
        </is>
      </c>
      <c r="F1737" t="inlineStr">
        <is>
          <t>0453</t>
        </is>
      </c>
      <c r="G1737" s="10" t="inlineStr">
        <is>
          <t>御室仁和寺</t>
        </is>
      </c>
      <c r="H1737" s="10" t="inlineStr">
        <is>
          <t>発</t>
        </is>
      </c>
      <c r="J1737" s="10" t="inlineStr">
        <is>
          <t>営業</t>
        </is>
      </c>
      <c r="L1737" t="inlineStr">
        <is>
          <t>7:37:50</t>
        </is>
      </c>
      <c r="M1737" t="inlineStr">
        <is>
          <t>7:38:05</t>
        </is>
      </c>
    </row>
    <row r="1738" ht="15" customHeight="1" s="37">
      <c r="A1738" t="n">
        <v>18</v>
      </c>
      <c r="B1738" s="10" t="inlineStr">
        <is>
          <t>休日</t>
        </is>
      </c>
      <c r="C1738" s="10" t="inlineStr">
        <is>
          <t>北野線</t>
        </is>
      </c>
      <c r="D1738" s="10" t="inlineStr">
        <is>
          <t>下り</t>
        </is>
      </c>
      <c r="E1738" t="inlineStr">
        <is>
          <t>0755</t>
        </is>
      </c>
      <c r="F1738" t="inlineStr">
        <is>
          <t>0453</t>
        </is>
      </c>
      <c r="G1738" s="10" t="inlineStr">
        <is>
          <t>宇多野</t>
        </is>
      </c>
      <c r="H1738" s="10" t="inlineStr">
        <is>
          <t>発</t>
        </is>
      </c>
      <c r="J1738" s="10" t="inlineStr">
        <is>
          <t>営業</t>
        </is>
      </c>
      <c r="L1738" t="inlineStr">
        <is>
          <t>7:39:05</t>
        </is>
      </c>
      <c r="M1738" t="inlineStr">
        <is>
          <t>7:39:15</t>
        </is>
      </c>
    </row>
    <row r="1739" ht="15" customHeight="1" s="37">
      <c r="A1739" t="n">
        <v>18</v>
      </c>
      <c r="B1739" s="10" t="inlineStr">
        <is>
          <t>休日</t>
        </is>
      </c>
      <c r="C1739" s="10" t="inlineStr">
        <is>
          <t>北野線</t>
        </is>
      </c>
      <c r="D1739" s="10" t="inlineStr">
        <is>
          <t>下り</t>
        </is>
      </c>
      <c r="E1739" t="inlineStr">
        <is>
          <t>0755</t>
        </is>
      </c>
      <c r="F1739" t="inlineStr">
        <is>
          <t>0453</t>
        </is>
      </c>
      <c r="G1739" s="10" t="inlineStr">
        <is>
          <t>鳴滝</t>
        </is>
      </c>
      <c r="H1739" s="10" t="inlineStr">
        <is>
          <t>発</t>
        </is>
      </c>
      <c r="J1739" s="10" t="inlineStr">
        <is>
          <t>営業</t>
        </is>
      </c>
      <c r="L1739" t="inlineStr">
        <is>
          <t>7:40:35</t>
        </is>
      </c>
      <c r="M1739" t="inlineStr">
        <is>
          <t>7:40:45</t>
        </is>
      </c>
    </row>
    <row r="1740" ht="15" customHeight="1" s="37">
      <c r="A1740" t="n">
        <v>18</v>
      </c>
      <c r="B1740" s="10" t="inlineStr">
        <is>
          <t>休日</t>
        </is>
      </c>
      <c r="C1740" s="10" t="inlineStr">
        <is>
          <t>北野線</t>
        </is>
      </c>
      <c r="D1740" s="10" t="inlineStr">
        <is>
          <t>下り</t>
        </is>
      </c>
      <c r="E1740" t="inlineStr">
        <is>
          <t>0755</t>
        </is>
      </c>
      <c r="F1740" t="inlineStr">
        <is>
          <t>0453</t>
        </is>
      </c>
      <c r="G1740" s="10" t="inlineStr">
        <is>
          <t>常盤</t>
        </is>
      </c>
      <c r="H1740" s="10" t="inlineStr">
        <is>
          <t>発</t>
        </is>
      </c>
      <c r="J1740" s="10" t="inlineStr">
        <is>
          <t>営業</t>
        </is>
      </c>
      <c r="L1740" t="inlineStr">
        <is>
          <t>7:41:35</t>
        </is>
      </c>
      <c r="M1740" t="inlineStr">
        <is>
          <t>7:41:55</t>
        </is>
      </c>
    </row>
    <row r="1741" ht="15" customHeight="1" s="37">
      <c r="A1741" t="n">
        <v>18</v>
      </c>
      <c r="B1741" s="10" t="inlineStr">
        <is>
          <t>休日</t>
        </is>
      </c>
      <c r="C1741" s="10" t="inlineStr">
        <is>
          <t>北野線</t>
        </is>
      </c>
      <c r="D1741" s="10" t="inlineStr">
        <is>
          <t>下り</t>
        </is>
      </c>
      <c r="E1741" t="inlineStr">
        <is>
          <t>0755</t>
        </is>
      </c>
      <c r="F1741" t="inlineStr">
        <is>
          <t>0453</t>
        </is>
      </c>
      <c r="G1741" s="10" t="inlineStr">
        <is>
          <t>撮影所前</t>
        </is>
      </c>
      <c r="H1741" s="10" t="inlineStr">
        <is>
          <t>発</t>
        </is>
      </c>
      <c r="J1741" s="10" t="inlineStr">
        <is>
          <t>営業</t>
        </is>
      </c>
      <c r="L1741" t="inlineStr">
        <is>
          <t>7:43:15</t>
        </is>
      </c>
      <c r="M1741" t="inlineStr">
        <is>
          <t>7:43:30</t>
        </is>
      </c>
    </row>
    <row r="1742" ht="15" customHeight="1" s="37">
      <c r="A1742" t="n">
        <v>18</v>
      </c>
      <c r="B1742" s="10" t="inlineStr">
        <is>
          <t>休日</t>
        </is>
      </c>
      <c r="C1742" s="10" t="inlineStr">
        <is>
          <t>北野線</t>
        </is>
      </c>
      <c r="D1742" s="10" t="inlineStr">
        <is>
          <t>下り</t>
        </is>
      </c>
      <c r="E1742" t="inlineStr">
        <is>
          <t>0755</t>
        </is>
      </c>
      <c r="F1742" t="inlineStr">
        <is>
          <t>0453</t>
        </is>
      </c>
      <c r="G1742" s="10" t="inlineStr">
        <is>
          <t>帷子ノ辻</t>
        </is>
      </c>
      <c r="H1742" s="10" t="inlineStr">
        <is>
          <t>着</t>
        </is>
      </c>
      <c r="J1742" s="10" t="inlineStr">
        <is>
          <t>営業</t>
        </is>
      </c>
      <c r="L1742" t="inlineStr">
        <is>
          <t>7:44:25</t>
        </is>
      </c>
      <c r="Q1742" t="inlineStr">
        <is>
          <t>3</t>
        </is>
      </c>
    </row>
    <row r="1743" ht="15" customHeight="1" s="37">
      <c r="A1743" t="n">
        <v>18</v>
      </c>
      <c r="B1743" s="10" t="inlineStr">
        <is>
          <t>休日</t>
        </is>
      </c>
      <c r="C1743" s="10" t="inlineStr">
        <is>
          <t>北野線</t>
        </is>
      </c>
      <c r="D1743" s="10" t="inlineStr">
        <is>
          <t>上り</t>
        </is>
      </c>
      <c r="E1743" t="inlineStr">
        <is>
          <t>0762</t>
        </is>
      </c>
      <c r="F1743" t="inlineStr">
        <is>
          <t>0354</t>
        </is>
      </c>
      <c r="G1743" s="10" t="inlineStr">
        <is>
          <t>帷子ノ辻</t>
        </is>
      </c>
      <c r="H1743" s="10" t="inlineStr">
        <is>
          <t>発</t>
        </is>
      </c>
      <c r="J1743" s="10" t="inlineStr">
        <is>
          <t>営業</t>
        </is>
      </c>
      <c r="M1743" t="inlineStr">
        <is>
          <t>7:56:25</t>
        </is>
      </c>
      <c r="Q1743" t="inlineStr">
        <is>
          <t>3</t>
        </is>
      </c>
    </row>
    <row r="1744" ht="15" customHeight="1" s="37">
      <c r="A1744" t="n">
        <v>18</v>
      </c>
      <c r="B1744" s="10" t="inlineStr">
        <is>
          <t>休日</t>
        </is>
      </c>
      <c r="C1744" s="10" t="inlineStr">
        <is>
          <t>北野線</t>
        </is>
      </c>
      <c r="D1744" s="10" t="inlineStr">
        <is>
          <t>上り</t>
        </is>
      </c>
      <c r="E1744" t="inlineStr">
        <is>
          <t>0762</t>
        </is>
      </c>
      <c r="F1744" t="inlineStr">
        <is>
          <t>0354</t>
        </is>
      </c>
      <c r="G1744" s="10" t="inlineStr">
        <is>
          <t>撮影所前</t>
        </is>
      </c>
      <c r="H1744" s="10" t="inlineStr">
        <is>
          <t>発</t>
        </is>
      </c>
      <c r="J1744" s="10" t="inlineStr">
        <is>
          <t>営業</t>
        </is>
      </c>
      <c r="L1744" t="inlineStr">
        <is>
          <t>7:57:25</t>
        </is>
      </c>
      <c r="M1744" t="inlineStr">
        <is>
          <t>7:57:40</t>
        </is>
      </c>
    </row>
    <row r="1745" ht="15" customHeight="1" s="37">
      <c r="A1745" t="n">
        <v>18</v>
      </c>
      <c r="B1745" s="10" t="inlineStr">
        <is>
          <t>休日</t>
        </is>
      </c>
      <c r="C1745" s="10" t="inlineStr">
        <is>
          <t>北野線</t>
        </is>
      </c>
      <c r="D1745" s="10" t="inlineStr">
        <is>
          <t>上り</t>
        </is>
      </c>
      <c r="E1745" t="inlineStr">
        <is>
          <t>0762</t>
        </is>
      </c>
      <c r="F1745" t="inlineStr">
        <is>
          <t>0354</t>
        </is>
      </c>
      <c r="G1745" s="10" t="inlineStr">
        <is>
          <t>常盤</t>
        </is>
      </c>
      <c r="H1745" s="10" t="inlineStr">
        <is>
          <t>発</t>
        </is>
      </c>
      <c r="J1745" s="10" t="inlineStr">
        <is>
          <t>営業</t>
        </is>
      </c>
      <c r="L1745" t="inlineStr">
        <is>
          <t>7:59:00</t>
        </is>
      </c>
      <c r="M1745" t="inlineStr">
        <is>
          <t>7:59:20</t>
        </is>
      </c>
    </row>
    <row r="1746" ht="15" customHeight="1" s="37">
      <c r="A1746" t="n">
        <v>18</v>
      </c>
      <c r="B1746" s="10" t="inlineStr">
        <is>
          <t>休日</t>
        </is>
      </c>
      <c r="C1746" s="10" t="inlineStr">
        <is>
          <t>北野線</t>
        </is>
      </c>
      <c r="D1746" s="10" t="inlineStr">
        <is>
          <t>上り</t>
        </is>
      </c>
      <c r="E1746" t="inlineStr">
        <is>
          <t>0762</t>
        </is>
      </c>
      <c r="F1746" t="inlineStr">
        <is>
          <t>0354</t>
        </is>
      </c>
      <c r="G1746" s="10" t="inlineStr">
        <is>
          <t>鳴滝</t>
        </is>
      </c>
      <c r="H1746" s="10" t="inlineStr">
        <is>
          <t>発</t>
        </is>
      </c>
      <c r="J1746" s="10" t="inlineStr">
        <is>
          <t>営業</t>
        </is>
      </c>
      <c r="L1746" t="inlineStr">
        <is>
          <t>8:00:20</t>
        </is>
      </c>
      <c r="M1746" t="inlineStr">
        <is>
          <t>8:00:40</t>
        </is>
      </c>
    </row>
    <row r="1747" ht="15" customHeight="1" s="37">
      <c r="A1747" t="n">
        <v>18</v>
      </c>
      <c r="B1747" s="10" t="inlineStr">
        <is>
          <t>休日</t>
        </is>
      </c>
      <c r="C1747" s="10" t="inlineStr">
        <is>
          <t>北野線</t>
        </is>
      </c>
      <c r="D1747" s="10" t="inlineStr">
        <is>
          <t>上り</t>
        </is>
      </c>
      <c r="E1747" t="inlineStr">
        <is>
          <t>0762</t>
        </is>
      </c>
      <c r="F1747" t="inlineStr">
        <is>
          <t>0354</t>
        </is>
      </c>
      <c r="G1747" s="10" t="inlineStr">
        <is>
          <t>宇多野</t>
        </is>
      </c>
      <c r="H1747" s="10" t="inlineStr">
        <is>
          <t>発</t>
        </is>
      </c>
      <c r="J1747" s="10" t="inlineStr">
        <is>
          <t>営業</t>
        </is>
      </c>
      <c r="L1747" t="inlineStr">
        <is>
          <t>8:02:00</t>
        </is>
      </c>
      <c r="M1747" t="inlineStr">
        <is>
          <t>8:02:15</t>
        </is>
      </c>
    </row>
    <row r="1748" ht="15" customHeight="1" s="37">
      <c r="A1748" t="n">
        <v>18</v>
      </c>
      <c r="B1748" s="10" t="inlineStr">
        <is>
          <t>休日</t>
        </is>
      </c>
      <c r="C1748" s="10" t="inlineStr">
        <is>
          <t>北野線</t>
        </is>
      </c>
      <c r="D1748" s="10" t="inlineStr">
        <is>
          <t>上り</t>
        </is>
      </c>
      <c r="E1748" t="inlineStr">
        <is>
          <t>0762</t>
        </is>
      </c>
      <c r="F1748" t="inlineStr">
        <is>
          <t>0354</t>
        </is>
      </c>
      <c r="G1748" s="10" t="inlineStr">
        <is>
          <t>御室仁和寺</t>
        </is>
      </c>
      <c r="H1748" s="10" t="inlineStr">
        <is>
          <t>発</t>
        </is>
      </c>
      <c r="J1748" s="10" t="inlineStr">
        <is>
          <t>営業</t>
        </is>
      </c>
      <c r="L1748" t="inlineStr">
        <is>
          <t>8:03:15</t>
        </is>
      </c>
      <c r="M1748" t="inlineStr">
        <is>
          <t>8:03:35</t>
        </is>
      </c>
    </row>
    <row r="1749" ht="15" customHeight="1" s="37">
      <c r="A1749" t="n">
        <v>18</v>
      </c>
      <c r="B1749" s="10" t="inlineStr">
        <is>
          <t>休日</t>
        </is>
      </c>
      <c r="C1749" s="10" t="inlineStr">
        <is>
          <t>北野線</t>
        </is>
      </c>
      <c r="D1749" s="10" t="inlineStr">
        <is>
          <t>上り</t>
        </is>
      </c>
      <c r="E1749" t="inlineStr">
        <is>
          <t>0762</t>
        </is>
      </c>
      <c r="F1749" t="inlineStr">
        <is>
          <t>0354</t>
        </is>
      </c>
      <c r="G1749" s="10" t="inlineStr">
        <is>
          <t>妙心寺</t>
        </is>
      </c>
      <c r="H1749" s="10" t="inlineStr">
        <is>
          <t>発</t>
        </is>
      </c>
      <c r="J1749" s="10" t="inlineStr">
        <is>
          <t>営業</t>
        </is>
      </c>
      <c r="L1749" t="inlineStr">
        <is>
          <t>8:04:35</t>
        </is>
      </c>
      <c r="M1749" t="inlineStr">
        <is>
          <t>8:04:50</t>
        </is>
      </c>
    </row>
    <row r="1750" ht="15" customHeight="1" s="37">
      <c r="A1750" t="n">
        <v>18</v>
      </c>
      <c r="B1750" s="10" t="inlineStr">
        <is>
          <t>休日</t>
        </is>
      </c>
      <c r="C1750" s="10" t="inlineStr">
        <is>
          <t>北野線</t>
        </is>
      </c>
      <c r="D1750" s="10" t="inlineStr">
        <is>
          <t>上り</t>
        </is>
      </c>
      <c r="E1750" t="inlineStr">
        <is>
          <t>0762</t>
        </is>
      </c>
      <c r="F1750" t="inlineStr">
        <is>
          <t>0354</t>
        </is>
      </c>
      <c r="G1750" s="10" t="inlineStr">
        <is>
          <t>龍安寺</t>
        </is>
      </c>
      <c r="H1750" s="10" t="inlineStr">
        <is>
          <t>発</t>
        </is>
      </c>
      <c r="J1750" s="10" t="inlineStr">
        <is>
          <t>営業</t>
        </is>
      </c>
      <c r="L1750" t="inlineStr">
        <is>
          <t>8:05:45</t>
        </is>
      </c>
      <c r="M1750" t="inlineStr">
        <is>
          <t>8:05:55</t>
        </is>
      </c>
    </row>
    <row r="1751" ht="15" customHeight="1" s="37">
      <c r="A1751" t="n">
        <v>18</v>
      </c>
      <c r="B1751" s="10" t="inlineStr">
        <is>
          <t>休日</t>
        </is>
      </c>
      <c r="C1751" s="10" t="inlineStr">
        <is>
          <t>北野線</t>
        </is>
      </c>
      <c r="D1751" s="10" t="inlineStr">
        <is>
          <t>上り</t>
        </is>
      </c>
      <c r="E1751" t="inlineStr">
        <is>
          <t>0762</t>
        </is>
      </c>
      <c r="F1751" t="inlineStr">
        <is>
          <t>0354</t>
        </is>
      </c>
      <c r="G1751" s="10" t="inlineStr">
        <is>
          <t>等持院</t>
        </is>
      </c>
      <c r="H1751" s="10" t="inlineStr">
        <is>
          <t>発</t>
        </is>
      </c>
      <c r="J1751" s="10" t="inlineStr">
        <is>
          <t>営業</t>
        </is>
      </c>
      <c r="L1751" t="inlineStr">
        <is>
          <t>8:06:35</t>
        </is>
      </c>
      <c r="M1751" t="inlineStr">
        <is>
          <t>8:06:55</t>
        </is>
      </c>
    </row>
    <row r="1752" ht="15" customHeight="1" s="37">
      <c r="A1752" t="n">
        <v>18</v>
      </c>
      <c r="B1752" s="10" t="inlineStr">
        <is>
          <t>休日</t>
        </is>
      </c>
      <c r="C1752" s="10" t="inlineStr">
        <is>
          <t>北野線</t>
        </is>
      </c>
      <c r="D1752" s="10" t="inlineStr">
        <is>
          <t>上り</t>
        </is>
      </c>
      <c r="E1752" t="inlineStr">
        <is>
          <t>0762</t>
        </is>
      </c>
      <c r="F1752" t="inlineStr">
        <is>
          <t>0354</t>
        </is>
      </c>
      <c r="G1752" s="10" t="inlineStr">
        <is>
          <t>北野白梅町</t>
        </is>
      </c>
      <c r="H1752" s="10" t="inlineStr">
        <is>
          <t>着</t>
        </is>
      </c>
      <c r="J1752" s="10" t="inlineStr">
        <is>
          <t>営業</t>
        </is>
      </c>
      <c r="L1752" t="inlineStr">
        <is>
          <t>8:08:15</t>
        </is>
      </c>
      <c r="Q1752" t="inlineStr">
        <is>
          <t>1</t>
        </is>
      </c>
    </row>
    <row r="1753" ht="15" customHeight="1" s="37">
      <c r="A1753" t="n">
        <v>18</v>
      </c>
      <c r="B1753" s="10" t="inlineStr">
        <is>
          <t>休日</t>
        </is>
      </c>
      <c r="C1753" s="10" t="inlineStr">
        <is>
          <t>北野線</t>
        </is>
      </c>
      <c r="D1753" s="10" t="inlineStr">
        <is>
          <t>下り</t>
        </is>
      </c>
      <c r="E1753" t="inlineStr">
        <is>
          <t>0853</t>
        </is>
      </c>
      <c r="F1753" t="inlineStr">
        <is>
          <t>0453</t>
        </is>
      </c>
      <c r="G1753" s="10" t="inlineStr">
        <is>
          <t>北野白梅町</t>
        </is>
      </c>
      <c r="H1753" s="10" t="inlineStr">
        <is>
          <t>発</t>
        </is>
      </c>
      <c r="J1753" s="10" t="inlineStr">
        <is>
          <t>営業</t>
        </is>
      </c>
      <c r="M1753" t="inlineStr">
        <is>
          <t>8:13:00</t>
        </is>
      </c>
      <c r="Q1753" t="inlineStr">
        <is>
          <t>1</t>
        </is>
      </c>
    </row>
    <row r="1754" ht="15" customHeight="1" s="37">
      <c r="A1754" t="n">
        <v>18</v>
      </c>
      <c r="B1754" s="10" t="inlineStr">
        <is>
          <t>休日</t>
        </is>
      </c>
      <c r="C1754" s="10" t="inlineStr">
        <is>
          <t>北野線</t>
        </is>
      </c>
      <c r="D1754" s="10" t="inlineStr">
        <is>
          <t>下り</t>
        </is>
      </c>
      <c r="E1754" t="inlineStr">
        <is>
          <t>0853</t>
        </is>
      </c>
      <c r="F1754" t="inlineStr">
        <is>
          <t>0453</t>
        </is>
      </c>
      <c r="G1754" s="10" t="inlineStr">
        <is>
          <t>等持院</t>
        </is>
      </c>
      <c r="H1754" s="10" t="inlineStr">
        <is>
          <t>発</t>
        </is>
      </c>
      <c r="J1754" s="10" t="inlineStr">
        <is>
          <t>営業</t>
        </is>
      </c>
      <c r="L1754" t="inlineStr">
        <is>
          <t>8:14:25</t>
        </is>
      </c>
      <c r="M1754" t="inlineStr">
        <is>
          <t>8:14:35</t>
        </is>
      </c>
    </row>
    <row r="1755" ht="15" customHeight="1" s="37">
      <c r="A1755" t="n">
        <v>18</v>
      </c>
      <c r="B1755" s="10" t="inlineStr">
        <is>
          <t>休日</t>
        </is>
      </c>
      <c r="C1755" s="10" t="inlineStr">
        <is>
          <t>北野線</t>
        </is>
      </c>
      <c r="D1755" s="10" t="inlineStr">
        <is>
          <t>下り</t>
        </is>
      </c>
      <c r="E1755" t="inlineStr">
        <is>
          <t>0853</t>
        </is>
      </c>
      <c r="F1755" t="inlineStr">
        <is>
          <t>0453</t>
        </is>
      </c>
      <c r="G1755" s="10" t="inlineStr">
        <is>
          <t>龍安寺</t>
        </is>
      </c>
      <c r="H1755" s="10" t="inlineStr">
        <is>
          <t>発</t>
        </is>
      </c>
      <c r="J1755" s="10" t="inlineStr">
        <is>
          <t>営業</t>
        </is>
      </c>
      <c r="L1755" t="inlineStr">
        <is>
          <t>8:15:25</t>
        </is>
      </c>
      <c r="M1755" t="inlineStr">
        <is>
          <t>8:15:50</t>
        </is>
      </c>
    </row>
    <row r="1756" ht="15" customHeight="1" s="37">
      <c r="A1756" t="n">
        <v>18</v>
      </c>
      <c r="B1756" s="10" t="inlineStr">
        <is>
          <t>休日</t>
        </is>
      </c>
      <c r="C1756" s="10" t="inlineStr">
        <is>
          <t>北野線</t>
        </is>
      </c>
      <c r="D1756" s="10" t="inlineStr">
        <is>
          <t>下り</t>
        </is>
      </c>
      <c r="E1756" t="inlineStr">
        <is>
          <t>0853</t>
        </is>
      </c>
      <c r="F1756" t="inlineStr">
        <is>
          <t>0453</t>
        </is>
      </c>
      <c r="G1756" s="10" t="inlineStr">
        <is>
          <t>妙心寺</t>
        </is>
      </c>
      <c r="H1756" s="10" t="inlineStr">
        <is>
          <t>発</t>
        </is>
      </c>
      <c r="J1756" s="10" t="inlineStr">
        <is>
          <t>営業</t>
        </is>
      </c>
      <c r="L1756" t="inlineStr">
        <is>
          <t>8:16:40</t>
        </is>
      </c>
      <c r="M1756" t="inlineStr">
        <is>
          <t>8:16:50</t>
        </is>
      </c>
    </row>
    <row r="1757" ht="15" customHeight="1" s="37">
      <c r="A1757" t="n">
        <v>18</v>
      </c>
      <c r="B1757" s="10" t="inlineStr">
        <is>
          <t>休日</t>
        </is>
      </c>
      <c r="C1757" s="10" t="inlineStr">
        <is>
          <t>北野線</t>
        </is>
      </c>
      <c r="D1757" s="10" t="inlineStr">
        <is>
          <t>下り</t>
        </is>
      </c>
      <c r="E1757" t="inlineStr">
        <is>
          <t>0853</t>
        </is>
      </c>
      <c r="F1757" t="inlineStr">
        <is>
          <t>0453</t>
        </is>
      </c>
      <c r="G1757" s="10" t="inlineStr">
        <is>
          <t>御室仁和寺</t>
        </is>
      </c>
      <c r="H1757" s="10" t="inlineStr">
        <is>
          <t>発</t>
        </is>
      </c>
      <c r="J1757" s="10" t="inlineStr">
        <is>
          <t>営業</t>
        </is>
      </c>
      <c r="L1757" t="inlineStr">
        <is>
          <t>8:17:50</t>
        </is>
      </c>
      <c r="M1757" t="inlineStr">
        <is>
          <t>8:18:05</t>
        </is>
      </c>
    </row>
    <row r="1758" ht="15" customHeight="1" s="37">
      <c r="A1758" t="n">
        <v>18</v>
      </c>
      <c r="B1758" s="10" t="inlineStr">
        <is>
          <t>休日</t>
        </is>
      </c>
      <c r="C1758" s="10" t="inlineStr">
        <is>
          <t>北野線</t>
        </is>
      </c>
      <c r="D1758" s="10" t="inlineStr">
        <is>
          <t>下り</t>
        </is>
      </c>
      <c r="E1758" t="inlineStr">
        <is>
          <t>0853</t>
        </is>
      </c>
      <c r="F1758" t="inlineStr">
        <is>
          <t>0453</t>
        </is>
      </c>
      <c r="G1758" s="10" t="inlineStr">
        <is>
          <t>宇多野</t>
        </is>
      </c>
      <c r="H1758" s="10" t="inlineStr">
        <is>
          <t>発</t>
        </is>
      </c>
      <c r="J1758" s="10" t="inlineStr">
        <is>
          <t>営業</t>
        </is>
      </c>
      <c r="L1758" t="inlineStr">
        <is>
          <t>8:19:05</t>
        </is>
      </c>
      <c r="M1758" t="inlineStr">
        <is>
          <t>8:19:15</t>
        </is>
      </c>
    </row>
    <row r="1759" ht="15" customHeight="1" s="37">
      <c r="A1759" t="n">
        <v>18</v>
      </c>
      <c r="B1759" s="10" t="inlineStr">
        <is>
          <t>休日</t>
        </is>
      </c>
      <c r="C1759" s="10" t="inlineStr">
        <is>
          <t>北野線</t>
        </is>
      </c>
      <c r="D1759" s="10" t="inlineStr">
        <is>
          <t>下り</t>
        </is>
      </c>
      <c r="E1759" t="inlineStr">
        <is>
          <t>0853</t>
        </is>
      </c>
      <c r="F1759" t="inlineStr">
        <is>
          <t>0453</t>
        </is>
      </c>
      <c r="G1759" s="10" t="inlineStr">
        <is>
          <t>鳴滝</t>
        </is>
      </c>
      <c r="H1759" s="10" t="inlineStr">
        <is>
          <t>発</t>
        </is>
      </c>
      <c r="J1759" s="10" t="inlineStr">
        <is>
          <t>営業</t>
        </is>
      </c>
      <c r="L1759" t="inlineStr">
        <is>
          <t>8:20:35</t>
        </is>
      </c>
      <c r="M1759" t="inlineStr">
        <is>
          <t>8:20:45</t>
        </is>
      </c>
    </row>
    <row r="1760" ht="15" customHeight="1" s="37">
      <c r="A1760" t="n">
        <v>18</v>
      </c>
      <c r="B1760" s="10" t="inlineStr">
        <is>
          <t>休日</t>
        </is>
      </c>
      <c r="C1760" s="10" t="inlineStr">
        <is>
          <t>北野線</t>
        </is>
      </c>
      <c r="D1760" s="10" t="inlineStr">
        <is>
          <t>下り</t>
        </is>
      </c>
      <c r="E1760" t="inlineStr">
        <is>
          <t>0853</t>
        </is>
      </c>
      <c r="F1760" t="inlineStr">
        <is>
          <t>0453</t>
        </is>
      </c>
      <c r="G1760" s="10" t="inlineStr">
        <is>
          <t>常盤</t>
        </is>
      </c>
      <c r="H1760" s="10" t="inlineStr">
        <is>
          <t>発</t>
        </is>
      </c>
      <c r="J1760" s="10" t="inlineStr">
        <is>
          <t>営業</t>
        </is>
      </c>
      <c r="L1760" t="inlineStr">
        <is>
          <t>8:21:35</t>
        </is>
      </c>
      <c r="M1760" t="inlineStr">
        <is>
          <t>8:21:55</t>
        </is>
      </c>
    </row>
    <row r="1761" ht="15" customHeight="1" s="37">
      <c r="A1761" t="n">
        <v>18</v>
      </c>
      <c r="B1761" s="10" t="inlineStr">
        <is>
          <t>休日</t>
        </is>
      </c>
      <c r="C1761" s="10" t="inlineStr">
        <is>
          <t>北野線</t>
        </is>
      </c>
      <c r="D1761" s="10" t="inlineStr">
        <is>
          <t>下り</t>
        </is>
      </c>
      <c r="E1761" t="inlineStr">
        <is>
          <t>0853</t>
        </is>
      </c>
      <c r="F1761" t="inlineStr">
        <is>
          <t>0453</t>
        </is>
      </c>
      <c r="G1761" s="10" t="inlineStr">
        <is>
          <t>撮影所前</t>
        </is>
      </c>
      <c r="H1761" s="10" t="inlineStr">
        <is>
          <t>発</t>
        </is>
      </c>
      <c r="J1761" s="10" t="inlineStr">
        <is>
          <t>営業</t>
        </is>
      </c>
      <c r="L1761" t="inlineStr">
        <is>
          <t>8:23:15</t>
        </is>
      </c>
      <c r="M1761" t="inlineStr">
        <is>
          <t>8:23:30</t>
        </is>
      </c>
    </row>
    <row r="1762" ht="15" customHeight="1" s="37">
      <c r="A1762" t="n">
        <v>18</v>
      </c>
      <c r="B1762" s="10" t="inlineStr">
        <is>
          <t>休日</t>
        </is>
      </c>
      <c r="C1762" s="10" t="inlineStr">
        <is>
          <t>北野線</t>
        </is>
      </c>
      <c r="D1762" s="10" t="inlineStr">
        <is>
          <t>下り</t>
        </is>
      </c>
      <c r="E1762" t="inlineStr">
        <is>
          <t>0853</t>
        </is>
      </c>
      <c r="F1762" t="inlineStr">
        <is>
          <t>0453</t>
        </is>
      </c>
      <c r="G1762" s="10" t="inlineStr">
        <is>
          <t>帷子ノ辻</t>
        </is>
      </c>
      <c r="H1762" s="10" t="inlineStr">
        <is>
          <t>着</t>
        </is>
      </c>
      <c r="J1762" s="10" t="inlineStr">
        <is>
          <t>営業</t>
        </is>
      </c>
      <c r="L1762" t="inlineStr">
        <is>
          <t>8:24:25</t>
        </is>
      </c>
      <c r="Q1762" t="inlineStr">
        <is>
          <t>3</t>
        </is>
      </c>
    </row>
    <row r="1763" ht="15" customHeight="1" s="37">
      <c r="A1763" t="n">
        <v>18</v>
      </c>
      <c r="B1763" s="10" t="inlineStr">
        <is>
          <t>休日</t>
        </is>
      </c>
      <c r="C1763" s="10" t="inlineStr">
        <is>
          <t>北野線</t>
        </is>
      </c>
      <c r="D1763" s="10" t="inlineStr">
        <is>
          <t>上り</t>
        </is>
      </c>
      <c r="E1763" t="inlineStr">
        <is>
          <t>0858</t>
        </is>
      </c>
      <c r="F1763" t="inlineStr">
        <is>
          <t>0354</t>
        </is>
      </c>
      <c r="G1763" s="10" t="inlineStr">
        <is>
          <t>帷子ノ辻</t>
        </is>
      </c>
      <c r="H1763" s="10" t="inlineStr">
        <is>
          <t>発</t>
        </is>
      </c>
      <c r="J1763" s="10" t="inlineStr">
        <is>
          <t>営業</t>
        </is>
      </c>
      <c r="M1763" t="inlineStr">
        <is>
          <t>8:36:25</t>
        </is>
      </c>
      <c r="Q1763" t="inlineStr">
        <is>
          <t>3</t>
        </is>
      </c>
    </row>
    <row r="1764" ht="15" customHeight="1" s="37">
      <c r="A1764" t="n">
        <v>18</v>
      </c>
      <c r="B1764" s="10" t="inlineStr">
        <is>
          <t>休日</t>
        </is>
      </c>
      <c r="C1764" s="10" t="inlineStr">
        <is>
          <t>北野線</t>
        </is>
      </c>
      <c r="D1764" s="10" t="inlineStr">
        <is>
          <t>上り</t>
        </is>
      </c>
      <c r="E1764" t="inlineStr">
        <is>
          <t>0858</t>
        </is>
      </c>
      <c r="F1764" t="inlineStr">
        <is>
          <t>0354</t>
        </is>
      </c>
      <c r="G1764" s="10" t="inlineStr">
        <is>
          <t>撮影所前</t>
        </is>
      </c>
      <c r="H1764" s="10" t="inlineStr">
        <is>
          <t>発</t>
        </is>
      </c>
      <c r="J1764" s="10" t="inlineStr">
        <is>
          <t>営業</t>
        </is>
      </c>
      <c r="L1764" t="inlineStr">
        <is>
          <t>8:37:25</t>
        </is>
      </c>
      <c r="M1764" t="inlineStr">
        <is>
          <t>8:37:40</t>
        </is>
      </c>
    </row>
    <row r="1765" ht="15" customHeight="1" s="37">
      <c r="A1765" t="n">
        <v>18</v>
      </c>
      <c r="B1765" s="10" t="inlineStr">
        <is>
          <t>休日</t>
        </is>
      </c>
      <c r="C1765" s="10" t="inlineStr">
        <is>
          <t>北野線</t>
        </is>
      </c>
      <c r="D1765" s="10" t="inlineStr">
        <is>
          <t>上り</t>
        </is>
      </c>
      <c r="E1765" t="inlineStr">
        <is>
          <t>0858</t>
        </is>
      </c>
      <c r="F1765" t="inlineStr">
        <is>
          <t>0354</t>
        </is>
      </c>
      <c r="G1765" s="10" t="inlineStr">
        <is>
          <t>常盤</t>
        </is>
      </c>
      <c r="H1765" s="10" t="inlineStr">
        <is>
          <t>発</t>
        </is>
      </c>
      <c r="J1765" s="10" t="inlineStr">
        <is>
          <t>営業</t>
        </is>
      </c>
      <c r="L1765" t="inlineStr">
        <is>
          <t>8:39:00</t>
        </is>
      </c>
      <c r="M1765" t="inlineStr">
        <is>
          <t>8:39:20</t>
        </is>
      </c>
    </row>
    <row r="1766" ht="15" customHeight="1" s="37">
      <c r="A1766" t="n">
        <v>18</v>
      </c>
      <c r="B1766" s="10" t="inlineStr">
        <is>
          <t>休日</t>
        </is>
      </c>
      <c r="C1766" s="10" t="inlineStr">
        <is>
          <t>北野線</t>
        </is>
      </c>
      <c r="D1766" s="10" t="inlineStr">
        <is>
          <t>上り</t>
        </is>
      </c>
      <c r="E1766" t="inlineStr">
        <is>
          <t>0858</t>
        </is>
      </c>
      <c r="F1766" t="inlineStr">
        <is>
          <t>0354</t>
        </is>
      </c>
      <c r="G1766" s="10" t="inlineStr">
        <is>
          <t>鳴滝</t>
        </is>
      </c>
      <c r="H1766" s="10" t="inlineStr">
        <is>
          <t>発</t>
        </is>
      </c>
      <c r="J1766" s="10" t="inlineStr">
        <is>
          <t>営業</t>
        </is>
      </c>
      <c r="L1766" t="inlineStr">
        <is>
          <t>8:40:20</t>
        </is>
      </c>
      <c r="M1766" t="inlineStr">
        <is>
          <t>8:40:40</t>
        </is>
      </c>
    </row>
    <row r="1767" ht="15" customHeight="1" s="37">
      <c r="A1767" t="n">
        <v>18</v>
      </c>
      <c r="B1767" s="10" t="inlineStr">
        <is>
          <t>休日</t>
        </is>
      </c>
      <c r="C1767" s="10" t="inlineStr">
        <is>
          <t>北野線</t>
        </is>
      </c>
      <c r="D1767" s="10" t="inlineStr">
        <is>
          <t>上り</t>
        </is>
      </c>
      <c r="E1767" t="inlineStr">
        <is>
          <t>0858</t>
        </is>
      </c>
      <c r="F1767" t="inlineStr">
        <is>
          <t>0354</t>
        </is>
      </c>
      <c r="G1767" s="10" t="inlineStr">
        <is>
          <t>宇多野</t>
        </is>
      </c>
      <c r="H1767" s="10" t="inlineStr">
        <is>
          <t>発</t>
        </is>
      </c>
      <c r="J1767" s="10" t="inlineStr">
        <is>
          <t>営業</t>
        </is>
      </c>
      <c r="L1767" t="inlineStr">
        <is>
          <t>8:42:00</t>
        </is>
      </c>
      <c r="M1767" t="inlineStr">
        <is>
          <t>8:42:15</t>
        </is>
      </c>
    </row>
    <row r="1768" ht="15" customHeight="1" s="37">
      <c r="A1768" t="n">
        <v>18</v>
      </c>
      <c r="B1768" s="10" t="inlineStr">
        <is>
          <t>休日</t>
        </is>
      </c>
      <c r="C1768" s="10" t="inlineStr">
        <is>
          <t>北野線</t>
        </is>
      </c>
      <c r="D1768" s="10" t="inlineStr">
        <is>
          <t>上り</t>
        </is>
      </c>
      <c r="E1768" t="inlineStr">
        <is>
          <t>0858</t>
        </is>
      </c>
      <c r="F1768" t="inlineStr">
        <is>
          <t>0354</t>
        </is>
      </c>
      <c r="G1768" s="10" t="inlineStr">
        <is>
          <t>御室仁和寺</t>
        </is>
      </c>
      <c r="H1768" s="10" t="inlineStr">
        <is>
          <t>発</t>
        </is>
      </c>
      <c r="J1768" s="10" t="inlineStr">
        <is>
          <t>営業</t>
        </is>
      </c>
      <c r="L1768" t="inlineStr">
        <is>
          <t>8:43:15</t>
        </is>
      </c>
      <c r="M1768" t="inlineStr">
        <is>
          <t>8:43:35</t>
        </is>
      </c>
    </row>
    <row r="1769" ht="15" customHeight="1" s="37">
      <c r="A1769" t="n">
        <v>18</v>
      </c>
      <c r="B1769" s="10" t="inlineStr">
        <is>
          <t>休日</t>
        </is>
      </c>
      <c r="C1769" s="10" t="inlineStr">
        <is>
          <t>北野線</t>
        </is>
      </c>
      <c r="D1769" s="10" t="inlineStr">
        <is>
          <t>上り</t>
        </is>
      </c>
      <c r="E1769" t="inlineStr">
        <is>
          <t>0858</t>
        </is>
      </c>
      <c r="F1769" t="inlineStr">
        <is>
          <t>0354</t>
        </is>
      </c>
      <c r="G1769" s="10" t="inlineStr">
        <is>
          <t>妙心寺</t>
        </is>
      </c>
      <c r="H1769" s="10" t="inlineStr">
        <is>
          <t>発</t>
        </is>
      </c>
      <c r="J1769" s="10" t="inlineStr">
        <is>
          <t>営業</t>
        </is>
      </c>
      <c r="L1769" t="inlineStr">
        <is>
          <t>8:44:35</t>
        </is>
      </c>
      <c r="M1769" t="inlineStr">
        <is>
          <t>8:44:50</t>
        </is>
      </c>
    </row>
    <row r="1770" ht="15" customHeight="1" s="37">
      <c r="A1770" t="n">
        <v>18</v>
      </c>
      <c r="B1770" s="10" t="inlineStr">
        <is>
          <t>休日</t>
        </is>
      </c>
      <c r="C1770" s="10" t="inlineStr">
        <is>
          <t>北野線</t>
        </is>
      </c>
      <c r="D1770" s="10" t="inlineStr">
        <is>
          <t>上り</t>
        </is>
      </c>
      <c r="E1770" t="inlineStr">
        <is>
          <t>0858</t>
        </is>
      </c>
      <c r="F1770" t="inlineStr">
        <is>
          <t>0354</t>
        </is>
      </c>
      <c r="G1770" s="10" t="inlineStr">
        <is>
          <t>龍安寺</t>
        </is>
      </c>
      <c r="H1770" s="10" t="inlineStr">
        <is>
          <t>発</t>
        </is>
      </c>
      <c r="J1770" s="10" t="inlineStr">
        <is>
          <t>営業</t>
        </is>
      </c>
      <c r="L1770" t="inlineStr">
        <is>
          <t>8:45:45</t>
        </is>
      </c>
      <c r="M1770" t="inlineStr">
        <is>
          <t>8:45:55</t>
        </is>
      </c>
    </row>
    <row r="1771" ht="15" customHeight="1" s="37">
      <c r="A1771" t="n">
        <v>18</v>
      </c>
      <c r="B1771" s="10" t="inlineStr">
        <is>
          <t>休日</t>
        </is>
      </c>
      <c r="C1771" s="10" t="inlineStr">
        <is>
          <t>北野線</t>
        </is>
      </c>
      <c r="D1771" s="10" t="inlineStr">
        <is>
          <t>上り</t>
        </is>
      </c>
      <c r="E1771" t="inlineStr">
        <is>
          <t>0858</t>
        </is>
      </c>
      <c r="F1771" t="inlineStr">
        <is>
          <t>0354</t>
        </is>
      </c>
      <c r="G1771" s="10" t="inlineStr">
        <is>
          <t>等持院</t>
        </is>
      </c>
      <c r="H1771" s="10" t="inlineStr">
        <is>
          <t>発</t>
        </is>
      </c>
      <c r="J1771" s="10" t="inlineStr">
        <is>
          <t>営業</t>
        </is>
      </c>
      <c r="L1771" t="inlineStr">
        <is>
          <t>8:46:35</t>
        </is>
      </c>
      <c r="M1771" t="inlineStr">
        <is>
          <t>8:46:55</t>
        </is>
      </c>
    </row>
    <row r="1772" ht="15" customHeight="1" s="37">
      <c r="A1772" t="n">
        <v>18</v>
      </c>
      <c r="B1772" s="10" t="inlineStr">
        <is>
          <t>休日</t>
        </is>
      </c>
      <c r="C1772" s="10" t="inlineStr">
        <is>
          <t>北野線</t>
        </is>
      </c>
      <c r="D1772" s="10" t="inlineStr">
        <is>
          <t>上り</t>
        </is>
      </c>
      <c r="E1772" t="inlineStr">
        <is>
          <t>0858</t>
        </is>
      </c>
      <c r="F1772" t="inlineStr">
        <is>
          <t>0354</t>
        </is>
      </c>
      <c r="G1772" s="10" t="inlineStr">
        <is>
          <t>北野白梅町</t>
        </is>
      </c>
      <c r="H1772" s="10" t="inlineStr">
        <is>
          <t>着</t>
        </is>
      </c>
      <c r="J1772" s="10" t="inlineStr">
        <is>
          <t>営業</t>
        </is>
      </c>
      <c r="L1772" t="inlineStr">
        <is>
          <t>8:48:15</t>
        </is>
      </c>
      <c r="Q1772" t="inlineStr">
        <is>
          <t>1</t>
        </is>
      </c>
    </row>
    <row r="1773" ht="15" customHeight="1" s="37">
      <c r="A1773" t="n">
        <v>18</v>
      </c>
      <c r="B1773" s="10" t="inlineStr">
        <is>
          <t>休日</t>
        </is>
      </c>
      <c r="C1773" s="10" t="inlineStr">
        <is>
          <t>北野線</t>
        </is>
      </c>
      <c r="D1773" s="10" t="inlineStr">
        <is>
          <t>下り</t>
        </is>
      </c>
      <c r="E1773" t="inlineStr">
        <is>
          <t>0861</t>
        </is>
      </c>
      <c r="F1773" t="inlineStr">
        <is>
          <t>0453</t>
        </is>
      </c>
      <c r="G1773" s="10" t="inlineStr">
        <is>
          <t>北野白梅町</t>
        </is>
      </c>
      <c r="H1773" s="10" t="inlineStr">
        <is>
          <t>発</t>
        </is>
      </c>
      <c r="J1773" s="10" t="inlineStr">
        <is>
          <t>営業</t>
        </is>
      </c>
      <c r="M1773" t="inlineStr">
        <is>
          <t>8:53:00</t>
        </is>
      </c>
      <c r="Q1773" t="inlineStr">
        <is>
          <t>1</t>
        </is>
      </c>
    </row>
    <row r="1774" ht="15" customHeight="1" s="37">
      <c r="A1774" t="n">
        <v>18</v>
      </c>
      <c r="B1774" s="10" t="inlineStr">
        <is>
          <t>休日</t>
        </is>
      </c>
      <c r="C1774" s="10" t="inlineStr">
        <is>
          <t>北野線</t>
        </is>
      </c>
      <c r="D1774" s="10" t="inlineStr">
        <is>
          <t>下り</t>
        </is>
      </c>
      <c r="E1774" t="inlineStr">
        <is>
          <t>0861</t>
        </is>
      </c>
      <c r="F1774" t="inlineStr">
        <is>
          <t>0453</t>
        </is>
      </c>
      <c r="G1774" s="10" t="inlineStr">
        <is>
          <t>等持院</t>
        </is>
      </c>
      <c r="H1774" s="10" t="inlineStr">
        <is>
          <t>発</t>
        </is>
      </c>
      <c r="J1774" s="10" t="inlineStr">
        <is>
          <t>営業</t>
        </is>
      </c>
      <c r="L1774" t="inlineStr">
        <is>
          <t>8:54:25</t>
        </is>
      </c>
      <c r="M1774" t="inlineStr">
        <is>
          <t>8:54:35</t>
        </is>
      </c>
    </row>
    <row r="1775" ht="15" customHeight="1" s="37">
      <c r="A1775" t="n">
        <v>18</v>
      </c>
      <c r="B1775" s="10" t="inlineStr">
        <is>
          <t>休日</t>
        </is>
      </c>
      <c r="C1775" s="10" t="inlineStr">
        <is>
          <t>北野線</t>
        </is>
      </c>
      <c r="D1775" s="10" t="inlineStr">
        <is>
          <t>下り</t>
        </is>
      </c>
      <c r="E1775" t="inlineStr">
        <is>
          <t>0861</t>
        </is>
      </c>
      <c r="F1775" t="inlineStr">
        <is>
          <t>0453</t>
        </is>
      </c>
      <c r="G1775" s="10" t="inlineStr">
        <is>
          <t>龍安寺</t>
        </is>
      </c>
      <c r="H1775" s="10" t="inlineStr">
        <is>
          <t>発</t>
        </is>
      </c>
      <c r="J1775" s="10" t="inlineStr">
        <is>
          <t>営業</t>
        </is>
      </c>
      <c r="L1775" t="inlineStr">
        <is>
          <t>8:55:25</t>
        </is>
      </c>
      <c r="M1775" t="inlineStr">
        <is>
          <t>8:55:50</t>
        </is>
      </c>
    </row>
    <row r="1776" ht="15" customHeight="1" s="37">
      <c r="A1776" t="n">
        <v>18</v>
      </c>
      <c r="B1776" s="10" t="inlineStr">
        <is>
          <t>休日</t>
        </is>
      </c>
      <c r="C1776" s="10" t="inlineStr">
        <is>
          <t>北野線</t>
        </is>
      </c>
      <c r="D1776" s="10" t="inlineStr">
        <is>
          <t>下り</t>
        </is>
      </c>
      <c r="E1776" t="inlineStr">
        <is>
          <t>0861</t>
        </is>
      </c>
      <c r="F1776" t="inlineStr">
        <is>
          <t>0453</t>
        </is>
      </c>
      <c r="G1776" s="10" t="inlineStr">
        <is>
          <t>妙心寺</t>
        </is>
      </c>
      <c r="H1776" s="10" t="inlineStr">
        <is>
          <t>発</t>
        </is>
      </c>
      <c r="J1776" s="10" t="inlineStr">
        <is>
          <t>営業</t>
        </is>
      </c>
      <c r="L1776" t="inlineStr">
        <is>
          <t>8:56:40</t>
        </is>
      </c>
      <c r="M1776" t="inlineStr">
        <is>
          <t>8:56:50</t>
        </is>
      </c>
    </row>
    <row r="1777" ht="16.5" customHeight="1" s="37">
      <c r="A1777" t="n">
        <v>18</v>
      </c>
      <c r="B1777" s="10" t="inlineStr">
        <is>
          <t>休日</t>
        </is>
      </c>
      <c r="C1777" s="10" t="inlineStr">
        <is>
          <t>北野線</t>
        </is>
      </c>
      <c r="D1777" s="10" t="inlineStr">
        <is>
          <t>下り</t>
        </is>
      </c>
      <c r="E1777" t="inlineStr">
        <is>
          <t>0861</t>
        </is>
      </c>
      <c r="F1777" t="inlineStr">
        <is>
          <t>0453</t>
        </is>
      </c>
      <c r="G1777" s="10" t="inlineStr">
        <is>
          <t>御室仁和寺</t>
        </is>
      </c>
      <c r="H1777" s="10" t="inlineStr">
        <is>
          <t>発</t>
        </is>
      </c>
      <c r="J1777" s="10" t="inlineStr">
        <is>
          <t>営業</t>
        </is>
      </c>
      <c r="L1777" t="inlineStr">
        <is>
          <t>8:57:50</t>
        </is>
      </c>
      <c r="M1777" t="inlineStr">
        <is>
          <t>8:58:05</t>
        </is>
      </c>
    </row>
    <row r="1778" ht="16.5" customHeight="1" s="37">
      <c r="A1778" t="n">
        <v>18</v>
      </c>
      <c r="B1778" s="10" t="inlineStr">
        <is>
          <t>休日</t>
        </is>
      </c>
      <c r="C1778" s="10" t="inlineStr">
        <is>
          <t>北野線</t>
        </is>
      </c>
      <c r="D1778" s="10" t="inlineStr">
        <is>
          <t>下り</t>
        </is>
      </c>
      <c r="E1778" t="inlineStr">
        <is>
          <t>0861</t>
        </is>
      </c>
      <c r="F1778" t="inlineStr">
        <is>
          <t>0453</t>
        </is>
      </c>
      <c r="G1778" s="10" t="inlineStr">
        <is>
          <t>宇多野</t>
        </is>
      </c>
      <c r="H1778" s="10" t="inlineStr">
        <is>
          <t>発</t>
        </is>
      </c>
      <c r="J1778" s="10" t="inlineStr">
        <is>
          <t>営業</t>
        </is>
      </c>
      <c r="L1778" t="inlineStr">
        <is>
          <t>8:59:05</t>
        </is>
      </c>
      <c r="M1778" t="inlineStr">
        <is>
          <t>8:59:15</t>
        </is>
      </c>
    </row>
    <row r="1779" ht="16.5" customHeight="1" s="37">
      <c r="A1779" t="n">
        <v>18</v>
      </c>
      <c r="B1779" s="10" t="inlineStr">
        <is>
          <t>休日</t>
        </is>
      </c>
      <c r="C1779" s="10" t="inlineStr">
        <is>
          <t>北野線</t>
        </is>
      </c>
      <c r="D1779" s="10" t="inlineStr">
        <is>
          <t>下り</t>
        </is>
      </c>
      <c r="E1779" t="inlineStr">
        <is>
          <t>0861</t>
        </is>
      </c>
      <c r="F1779" t="inlineStr">
        <is>
          <t>0453</t>
        </is>
      </c>
      <c r="G1779" s="10" t="inlineStr">
        <is>
          <t>鳴滝</t>
        </is>
      </c>
      <c r="H1779" s="10" t="inlineStr">
        <is>
          <t>発</t>
        </is>
      </c>
      <c r="J1779" s="10" t="inlineStr">
        <is>
          <t>営業</t>
        </is>
      </c>
      <c r="L1779" t="inlineStr">
        <is>
          <t>9:00:35</t>
        </is>
      </c>
      <c r="M1779" t="inlineStr">
        <is>
          <t>9:00:45</t>
        </is>
      </c>
    </row>
    <row r="1780" ht="16.5" customHeight="1" s="37">
      <c r="A1780" t="n">
        <v>18</v>
      </c>
      <c r="B1780" s="10" t="inlineStr">
        <is>
          <t>休日</t>
        </is>
      </c>
      <c r="C1780" s="10" t="inlineStr">
        <is>
          <t>北野線</t>
        </is>
      </c>
      <c r="D1780" s="10" t="inlineStr">
        <is>
          <t>下り</t>
        </is>
      </c>
      <c r="E1780" t="inlineStr">
        <is>
          <t>0861</t>
        </is>
      </c>
      <c r="F1780" t="inlineStr">
        <is>
          <t>0453</t>
        </is>
      </c>
      <c r="G1780" s="10" t="inlineStr">
        <is>
          <t>常盤</t>
        </is>
      </c>
      <c r="H1780" s="10" t="inlineStr">
        <is>
          <t>発</t>
        </is>
      </c>
      <c r="J1780" s="10" t="inlineStr">
        <is>
          <t>営業</t>
        </is>
      </c>
      <c r="L1780" t="inlineStr">
        <is>
          <t>9:01:35</t>
        </is>
      </c>
      <c r="M1780" t="inlineStr">
        <is>
          <t>9:01:55</t>
        </is>
      </c>
    </row>
    <row r="1781" ht="16.5" customHeight="1" s="37">
      <c r="A1781" t="n">
        <v>18</v>
      </c>
      <c r="B1781" s="10" t="inlineStr">
        <is>
          <t>休日</t>
        </is>
      </c>
      <c r="C1781" s="10" t="inlineStr">
        <is>
          <t>北野線</t>
        </is>
      </c>
      <c r="D1781" s="10" t="inlineStr">
        <is>
          <t>下り</t>
        </is>
      </c>
      <c r="E1781" t="inlineStr">
        <is>
          <t>0861</t>
        </is>
      </c>
      <c r="F1781" t="inlineStr">
        <is>
          <t>0453</t>
        </is>
      </c>
      <c r="G1781" s="10" t="inlineStr">
        <is>
          <t>撮影所前</t>
        </is>
      </c>
      <c r="H1781" s="10" t="inlineStr">
        <is>
          <t>発</t>
        </is>
      </c>
      <c r="J1781" s="10" t="inlineStr">
        <is>
          <t>営業</t>
        </is>
      </c>
      <c r="L1781" t="inlineStr">
        <is>
          <t>9:03:15</t>
        </is>
      </c>
      <c r="M1781" t="inlineStr">
        <is>
          <t>9:03:30</t>
        </is>
      </c>
    </row>
    <row r="1782" ht="16.5" customHeight="1" s="37">
      <c r="A1782" t="n">
        <v>18</v>
      </c>
      <c r="B1782" s="10" t="inlineStr">
        <is>
          <t>休日</t>
        </is>
      </c>
      <c r="C1782" s="10" t="inlineStr">
        <is>
          <t>北野線</t>
        </is>
      </c>
      <c r="D1782" s="10" t="inlineStr">
        <is>
          <t>下り</t>
        </is>
      </c>
      <c r="E1782" t="inlineStr">
        <is>
          <t>0861</t>
        </is>
      </c>
      <c r="F1782" t="inlineStr">
        <is>
          <t>0453</t>
        </is>
      </c>
      <c r="G1782" s="10" t="inlineStr">
        <is>
          <t>帷子ノ辻</t>
        </is>
      </c>
      <c r="H1782" s="10" t="inlineStr">
        <is>
          <t>着</t>
        </is>
      </c>
      <c r="J1782" s="10" t="inlineStr">
        <is>
          <t>営業</t>
        </is>
      </c>
      <c r="L1782" t="inlineStr">
        <is>
          <t>9:04:25</t>
        </is>
      </c>
      <c r="Q1782" t="inlineStr">
        <is>
          <t>3</t>
        </is>
      </c>
    </row>
    <row r="1783" ht="16.5" customHeight="1" s="37">
      <c r="A1783" t="n">
        <v>18</v>
      </c>
      <c r="B1783" s="10" t="inlineStr">
        <is>
          <t>休日</t>
        </is>
      </c>
      <c r="C1783" s="10" t="inlineStr">
        <is>
          <t>北野線</t>
        </is>
      </c>
      <c r="D1783" s="10" t="inlineStr">
        <is>
          <t>上り</t>
        </is>
      </c>
      <c r="E1783" t="inlineStr">
        <is>
          <t>0954</t>
        </is>
      </c>
      <c r="F1783" t="inlineStr">
        <is>
          <t>0354</t>
        </is>
      </c>
      <c r="G1783" s="10" t="inlineStr">
        <is>
          <t>帷子ノ辻</t>
        </is>
      </c>
      <c r="H1783" s="10" t="inlineStr">
        <is>
          <t>発</t>
        </is>
      </c>
      <c r="J1783" s="10" t="inlineStr">
        <is>
          <t>営業</t>
        </is>
      </c>
      <c r="M1783" t="inlineStr">
        <is>
          <t>9:16:25</t>
        </is>
      </c>
      <c r="Q1783" t="inlineStr">
        <is>
          <t>3</t>
        </is>
      </c>
    </row>
    <row r="1784" ht="15" customHeight="1" s="37">
      <c r="A1784" t="n">
        <v>18</v>
      </c>
      <c r="B1784" s="10" t="inlineStr">
        <is>
          <t>休日</t>
        </is>
      </c>
      <c r="C1784" s="10" t="inlineStr">
        <is>
          <t>北野線</t>
        </is>
      </c>
      <c r="D1784" s="10" t="inlineStr">
        <is>
          <t>上り</t>
        </is>
      </c>
      <c r="E1784" t="inlineStr">
        <is>
          <t>0954</t>
        </is>
      </c>
      <c r="F1784" t="inlineStr">
        <is>
          <t>0354</t>
        </is>
      </c>
      <c r="G1784" s="10" t="inlineStr">
        <is>
          <t>撮影所前</t>
        </is>
      </c>
      <c r="H1784" s="10" t="inlineStr">
        <is>
          <t>発</t>
        </is>
      </c>
      <c r="J1784" s="10" t="inlineStr">
        <is>
          <t>営業</t>
        </is>
      </c>
      <c r="L1784" t="inlineStr">
        <is>
          <t>9:17:25</t>
        </is>
      </c>
      <c r="M1784" t="inlineStr">
        <is>
          <t>9:17:40</t>
        </is>
      </c>
    </row>
    <row r="1785" ht="15" customHeight="1" s="37">
      <c r="A1785" t="n">
        <v>18</v>
      </c>
      <c r="B1785" s="10" t="inlineStr">
        <is>
          <t>休日</t>
        </is>
      </c>
      <c r="C1785" s="10" t="inlineStr">
        <is>
          <t>北野線</t>
        </is>
      </c>
      <c r="D1785" s="10" t="inlineStr">
        <is>
          <t>上り</t>
        </is>
      </c>
      <c r="E1785" t="inlineStr">
        <is>
          <t>0954</t>
        </is>
      </c>
      <c r="F1785" t="inlineStr">
        <is>
          <t>0354</t>
        </is>
      </c>
      <c r="G1785" s="10" t="inlineStr">
        <is>
          <t>常盤</t>
        </is>
      </c>
      <c r="H1785" s="10" t="inlineStr">
        <is>
          <t>発</t>
        </is>
      </c>
      <c r="J1785" s="10" t="inlineStr">
        <is>
          <t>営業</t>
        </is>
      </c>
      <c r="L1785" t="inlineStr">
        <is>
          <t>9:19:00</t>
        </is>
      </c>
      <c r="M1785" t="inlineStr">
        <is>
          <t>9:19:20</t>
        </is>
      </c>
    </row>
    <row r="1786" ht="15" customHeight="1" s="37">
      <c r="A1786" t="n">
        <v>18</v>
      </c>
      <c r="B1786" s="10" t="inlineStr">
        <is>
          <t>休日</t>
        </is>
      </c>
      <c r="C1786" s="10" t="inlineStr">
        <is>
          <t>北野線</t>
        </is>
      </c>
      <c r="D1786" s="10" t="inlineStr">
        <is>
          <t>上り</t>
        </is>
      </c>
      <c r="E1786" t="inlineStr">
        <is>
          <t>0954</t>
        </is>
      </c>
      <c r="F1786" t="inlineStr">
        <is>
          <t>0354</t>
        </is>
      </c>
      <c r="G1786" s="10" t="inlineStr">
        <is>
          <t>鳴滝</t>
        </is>
      </c>
      <c r="H1786" s="10" t="inlineStr">
        <is>
          <t>発</t>
        </is>
      </c>
      <c r="J1786" s="10" t="inlineStr">
        <is>
          <t>営業</t>
        </is>
      </c>
      <c r="L1786" t="inlineStr">
        <is>
          <t>9:20:20</t>
        </is>
      </c>
      <c r="M1786" t="inlineStr">
        <is>
          <t>9:20:40</t>
        </is>
      </c>
    </row>
    <row r="1787" ht="15" customHeight="1" s="37">
      <c r="A1787" t="n">
        <v>18</v>
      </c>
      <c r="B1787" s="10" t="inlineStr">
        <is>
          <t>休日</t>
        </is>
      </c>
      <c r="C1787" s="10" t="inlineStr">
        <is>
          <t>北野線</t>
        </is>
      </c>
      <c r="D1787" s="10" t="inlineStr">
        <is>
          <t>上り</t>
        </is>
      </c>
      <c r="E1787" t="inlineStr">
        <is>
          <t>0954</t>
        </is>
      </c>
      <c r="F1787" t="inlineStr">
        <is>
          <t>0354</t>
        </is>
      </c>
      <c r="G1787" s="10" t="inlineStr">
        <is>
          <t>宇多野</t>
        </is>
      </c>
      <c r="H1787" s="10" t="inlineStr">
        <is>
          <t>発</t>
        </is>
      </c>
      <c r="J1787" s="10" t="inlineStr">
        <is>
          <t>営業</t>
        </is>
      </c>
      <c r="L1787" t="inlineStr">
        <is>
          <t>9:22:00</t>
        </is>
      </c>
      <c r="M1787" t="inlineStr">
        <is>
          <t>9:22:15</t>
        </is>
      </c>
    </row>
    <row r="1788" ht="15" customHeight="1" s="37">
      <c r="A1788" t="n">
        <v>18</v>
      </c>
      <c r="B1788" s="10" t="inlineStr">
        <is>
          <t>休日</t>
        </is>
      </c>
      <c r="C1788" s="10" t="inlineStr">
        <is>
          <t>北野線</t>
        </is>
      </c>
      <c r="D1788" s="10" t="inlineStr">
        <is>
          <t>上り</t>
        </is>
      </c>
      <c r="E1788" t="inlineStr">
        <is>
          <t>0954</t>
        </is>
      </c>
      <c r="F1788" t="inlineStr">
        <is>
          <t>0354</t>
        </is>
      </c>
      <c r="G1788" s="10" t="inlineStr">
        <is>
          <t>御室仁和寺</t>
        </is>
      </c>
      <c r="H1788" s="10" t="inlineStr">
        <is>
          <t>発</t>
        </is>
      </c>
      <c r="J1788" s="10" t="inlineStr">
        <is>
          <t>営業</t>
        </is>
      </c>
      <c r="L1788" t="inlineStr">
        <is>
          <t>9:23:15</t>
        </is>
      </c>
      <c r="M1788" t="inlineStr">
        <is>
          <t>9:23:35</t>
        </is>
      </c>
    </row>
    <row r="1789" ht="15" customHeight="1" s="37">
      <c r="A1789" t="n">
        <v>18</v>
      </c>
      <c r="B1789" s="10" t="inlineStr">
        <is>
          <t>休日</t>
        </is>
      </c>
      <c r="C1789" s="10" t="inlineStr">
        <is>
          <t>北野線</t>
        </is>
      </c>
      <c r="D1789" s="10" t="inlineStr">
        <is>
          <t>上り</t>
        </is>
      </c>
      <c r="E1789" t="inlineStr">
        <is>
          <t>0954</t>
        </is>
      </c>
      <c r="F1789" t="inlineStr">
        <is>
          <t>0354</t>
        </is>
      </c>
      <c r="G1789" s="10" t="inlineStr">
        <is>
          <t>妙心寺</t>
        </is>
      </c>
      <c r="H1789" s="10" t="inlineStr">
        <is>
          <t>発</t>
        </is>
      </c>
      <c r="J1789" s="10" t="inlineStr">
        <is>
          <t>営業</t>
        </is>
      </c>
      <c r="L1789" t="inlineStr">
        <is>
          <t>9:24:35</t>
        </is>
      </c>
      <c r="M1789" t="inlineStr">
        <is>
          <t>9:24:50</t>
        </is>
      </c>
    </row>
    <row r="1790" ht="15" customHeight="1" s="37">
      <c r="A1790" t="n">
        <v>18</v>
      </c>
      <c r="B1790" s="10" t="inlineStr">
        <is>
          <t>休日</t>
        </is>
      </c>
      <c r="C1790" s="10" t="inlineStr">
        <is>
          <t>北野線</t>
        </is>
      </c>
      <c r="D1790" s="10" t="inlineStr">
        <is>
          <t>上り</t>
        </is>
      </c>
      <c r="E1790" t="inlineStr">
        <is>
          <t>0954</t>
        </is>
      </c>
      <c r="F1790" t="inlineStr">
        <is>
          <t>0354</t>
        </is>
      </c>
      <c r="G1790" s="10" t="inlineStr">
        <is>
          <t>龍安寺</t>
        </is>
      </c>
      <c r="H1790" s="10" t="inlineStr">
        <is>
          <t>発</t>
        </is>
      </c>
      <c r="J1790" s="10" t="inlineStr">
        <is>
          <t>営業</t>
        </is>
      </c>
      <c r="L1790" t="inlineStr">
        <is>
          <t>9:25:45</t>
        </is>
      </c>
      <c r="M1790" t="inlineStr">
        <is>
          <t>9:25:55</t>
        </is>
      </c>
    </row>
    <row r="1791" ht="15" customHeight="1" s="37">
      <c r="A1791" t="n">
        <v>18</v>
      </c>
      <c r="B1791" s="10" t="inlineStr">
        <is>
          <t>休日</t>
        </is>
      </c>
      <c r="C1791" s="10" t="inlineStr">
        <is>
          <t>北野線</t>
        </is>
      </c>
      <c r="D1791" s="10" t="inlineStr">
        <is>
          <t>上り</t>
        </is>
      </c>
      <c r="E1791" t="inlineStr">
        <is>
          <t>0954</t>
        </is>
      </c>
      <c r="F1791" t="inlineStr">
        <is>
          <t>0354</t>
        </is>
      </c>
      <c r="G1791" s="10" t="inlineStr">
        <is>
          <t>等持院</t>
        </is>
      </c>
      <c r="H1791" s="10" t="inlineStr">
        <is>
          <t>発</t>
        </is>
      </c>
      <c r="J1791" s="10" t="inlineStr">
        <is>
          <t>営業</t>
        </is>
      </c>
      <c r="L1791" t="inlineStr">
        <is>
          <t>9:26:35</t>
        </is>
      </c>
      <c r="M1791" t="inlineStr">
        <is>
          <t>9:26:55</t>
        </is>
      </c>
    </row>
    <row r="1792" ht="15" customHeight="1" s="37">
      <c r="A1792" t="n">
        <v>18</v>
      </c>
      <c r="B1792" s="10" t="inlineStr">
        <is>
          <t>休日</t>
        </is>
      </c>
      <c r="C1792" s="10" t="inlineStr">
        <is>
          <t>北野線</t>
        </is>
      </c>
      <c r="D1792" s="10" t="inlineStr">
        <is>
          <t>上り</t>
        </is>
      </c>
      <c r="E1792" t="inlineStr">
        <is>
          <t>0954</t>
        </is>
      </c>
      <c r="F1792" t="inlineStr">
        <is>
          <t>0354</t>
        </is>
      </c>
      <c r="G1792" s="10" t="inlineStr">
        <is>
          <t>北野白梅町</t>
        </is>
      </c>
      <c r="H1792" s="10" t="inlineStr">
        <is>
          <t>着</t>
        </is>
      </c>
      <c r="J1792" s="10" t="inlineStr">
        <is>
          <t>営業</t>
        </is>
      </c>
      <c r="L1792" t="inlineStr">
        <is>
          <t>9:28:15</t>
        </is>
      </c>
      <c r="Q1792" t="inlineStr">
        <is>
          <t>1</t>
        </is>
      </c>
    </row>
    <row r="1793" ht="15" customHeight="1" s="37">
      <c r="A1793" t="n">
        <v>18</v>
      </c>
      <c r="B1793" s="10" t="inlineStr">
        <is>
          <t>休日</t>
        </is>
      </c>
      <c r="C1793" s="10" t="inlineStr">
        <is>
          <t>北野線</t>
        </is>
      </c>
      <c r="D1793" s="10" t="inlineStr">
        <is>
          <t>下り</t>
        </is>
      </c>
      <c r="E1793" t="inlineStr">
        <is>
          <t>0957</t>
        </is>
      </c>
      <c r="F1793" t="inlineStr">
        <is>
          <t>0453</t>
        </is>
      </c>
      <c r="G1793" s="10" t="inlineStr">
        <is>
          <t>北野白梅町</t>
        </is>
      </c>
      <c r="H1793" s="10" t="inlineStr">
        <is>
          <t>発</t>
        </is>
      </c>
      <c r="J1793" s="10" t="inlineStr">
        <is>
          <t>営業</t>
        </is>
      </c>
      <c r="M1793" t="inlineStr">
        <is>
          <t>9:33:00</t>
        </is>
      </c>
      <c r="Q1793" t="inlineStr">
        <is>
          <t>1</t>
        </is>
      </c>
    </row>
    <row r="1794" ht="15" customHeight="1" s="37">
      <c r="A1794" t="n">
        <v>18</v>
      </c>
      <c r="B1794" s="10" t="inlineStr">
        <is>
          <t>休日</t>
        </is>
      </c>
      <c r="C1794" s="10" t="inlineStr">
        <is>
          <t>北野線</t>
        </is>
      </c>
      <c r="D1794" s="10" t="inlineStr">
        <is>
          <t>下り</t>
        </is>
      </c>
      <c r="E1794" t="inlineStr">
        <is>
          <t>0957</t>
        </is>
      </c>
      <c r="F1794" t="inlineStr">
        <is>
          <t>0453</t>
        </is>
      </c>
      <c r="G1794" s="10" t="inlineStr">
        <is>
          <t>等持院</t>
        </is>
      </c>
      <c r="H1794" s="10" t="inlineStr">
        <is>
          <t>発</t>
        </is>
      </c>
      <c r="J1794" s="10" t="inlineStr">
        <is>
          <t>営業</t>
        </is>
      </c>
      <c r="L1794" t="inlineStr">
        <is>
          <t>9:34:25</t>
        </is>
      </c>
      <c r="M1794" t="inlineStr">
        <is>
          <t>9:34:35</t>
        </is>
      </c>
    </row>
    <row r="1795" ht="15" customHeight="1" s="37">
      <c r="A1795" t="n">
        <v>18</v>
      </c>
      <c r="B1795" s="10" t="inlineStr">
        <is>
          <t>休日</t>
        </is>
      </c>
      <c r="C1795" s="10" t="inlineStr">
        <is>
          <t>北野線</t>
        </is>
      </c>
      <c r="D1795" s="10" t="inlineStr">
        <is>
          <t>下り</t>
        </is>
      </c>
      <c r="E1795" t="inlineStr">
        <is>
          <t>0957</t>
        </is>
      </c>
      <c r="F1795" t="inlineStr">
        <is>
          <t>0453</t>
        </is>
      </c>
      <c r="G1795" s="10" t="inlineStr">
        <is>
          <t>龍安寺</t>
        </is>
      </c>
      <c r="H1795" s="10" t="inlineStr">
        <is>
          <t>発</t>
        </is>
      </c>
      <c r="J1795" s="10" t="inlineStr">
        <is>
          <t>営業</t>
        </is>
      </c>
      <c r="L1795" t="inlineStr">
        <is>
          <t>9:35:25</t>
        </is>
      </c>
      <c r="M1795" t="inlineStr">
        <is>
          <t>9:35:50</t>
        </is>
      </c>
    </row>
    <row r="1796" ht="15" customHeight="1" s="37">
      <c r="A1796" t="n">
        <v>18</v>
      </c>
      <c r="B1796" s="10" t="inlineStr">
        <is>
          <t>休日</t>
        </is>
      </c>
      <c r="C1796" s="10" t="inlineStr">
        <is>
          <t>北野線</t>
        </is>
      </c>
      <c r="D1796" s="10" t="inlineStr">
        <is>
          <t>下り</t>
        </is>
      </c>
      <c r="E1796" t="inlineStr">
        <is>
          <t>0957</t>
        </is>
      </c>
      <c r="F1796" t="inlineStr">
        <is>
          <t>0453</t>
        </is>
      </c>
      <c r="G1796" s="10" t="inlineStr">
        <is>
          <t>妙心寺</t>
        </is>
      </c>
      <c r="H1796" s="10" t="inlineStr">
        <is>
          <t>発</t>
        </is>
      </c>
      <c r="J1796" s="10" t="inlineStr">
        <is>
          <t>営業</t>
        </is>
      </c>
      <c r="L1796" t="inlineStr">
        <is>
          <t>9:36:40</t>
        </is>
      </c>
      <c r="M1796" t="inlineStr">
        <is>
          <t>9:36:50</t>
        </is>
      </c>
    </row>
    <row r="1797" ht="15" customHeight="1" s="37">
      <c r="A1797" t="n">
        <v>18</v>
      </c>
      <c r="B1797" s="10" t="inlineStr">
        <is>
          <t>休日</t>
        </is>
      </c>
      <c r="C1797" s="10" t="inlineStr">
        <is>
          <t>北野線</t>
        </is>
      </c>
      <c r="D1797" s="10" t="inlineStr">
        <is>
          <t>下り</t>
        </is>
      </c>
      <c r="E1797" t="inlineStr">
        <is>
          <t>0957</t>
        </is>
      </c>
      <c r="F1797" t="inlineStr">
        <is>
          <t>0453</t>
        </is>
      </c>
      <c r="G1797" s="10" t="inlineStr">
        <is>
          <t>御室仁和寺</t>
        </is>
      </c>
      <c r="H1797" s="10" t="inlineStr">
        <is>
          <t>発</t>
        </is>
      </c>
      <c r="J1797" s="10" t="inlineStr">
        <is>
          <t>営業</t>
        </is>
      </c>
      <c r="L1797" t="inlineStr">
        <is>
          <t>9:37:50</t>
        </is>
      </c>
      <c r="M1797" t="inlineStr">
        <is>
          <t>9:38:05</t>
        </is>
      </c>
    </row>
    <row r="1798" ht="15" customHeight="1" s="37">
      <c r="A1798" t="n">
        <v>18</v>
      </c>
      <c r="B1798" s="10" t="inlineStr">
        <is>
          <t>休日</t>
        </is>
      </c>
      <c r="C1798" s="10" t="inlineStr">
        <is>
          <t>北野線</t>
        </is>
      </c>
      <c r="D1798" s="10" t="inlineStr">
        <is>
          <t>下り</t>
        </is>
      </c>
      <c r="E1798" t="inlineStr">
        <is>
          <t>0957</t>
        </is>
      </c>
      <c r="F1798" t="inlineStr">
        <is>
          <t>0453</t>
        </is>
      </c>
      <c r="G1798" s="10" t="inlineStr">
        <is>
          <t>宇多野</t>
        </is>
      </c>
      <c r="H1798" s="10" t="inlineStr">
        <is>
          <t>発</t>
        </is>
      </c>
      <c r="J1798" s="10" t="inlineStr">
        <is>
          <t>営業</t>
        </is>
      </c>
      <c r="L1798" t="inlineStr">
        <is>
          <t>9:39:05</t>
        </is>
      </c>
      <c r="M1798" t="inlineStr">
        <is>
          <t>9:39:15</t>
        </is>
      </c>
    </row>
    <row r="1799" ht="15" customHeight="1" s="37">
      <c r="A1799" t="n">
        <v>18</v>
      </c>
      <c r="B1799" s="10" t="inlineStr">
        <is>
          <t>休日</t>
        </is>
      </c>
      <c r="C1799" s="10" t="inlineStr">
        <is>
          <t>北野線</t>
        </is>
      </c>
      <c r="D1799" s="10" t="inlineStr">
        <is>
          <t>下り</t>
        </is>
      </c>
      <c r="E1799" t="inlineStr">
        <is>
          <t>0957</t>
        </is>
      </c>
      <c r="F1799" t="inlineStr">
        <is>
          <t>0453</t>
        </is>
      </c>
      <c r="G1799" s="10" t="inlineStr">
        <is>
          <t>鳴滝</t>
        </is>
      </c>
      <c r="H1799" s="10" t="inlineStr">
        <is>
          <t>発</t>
        </is>
      </c>
      <c r="J1799" s="10" t="inlineStr">
        <is>
          <t>営業</t>
        </is>
      </c>
      <c r="L1799" t="inlineStr">
        <is>
          <t>9:40:35</t>
        </is>
      </c>
      <c r="M1799" t="inlineStr">
        <is>
          <t>9:40:45</t>
        </is>
      </c>
    </row>
    <row r="1800" ht="15" customHeight="1" s="37">
      <c r="A1800" t="n">
        <v>18</v>
      </c>
      <c r="B1800" s="10" t="inlineStr">
        <is>
          <t>休日</t>
        </is>
      </c>
      <c r="C1800" s="10" t="inlineStr">
        <is>
          <t>北野線</t>
        </is>
      </c>
      <c r="D1800" s="10" t="inlineStr">
        <is>
          <t>下り</t>
        </is>
      </c>
      <c r="E1800" t="inlineStr">
        <is>
          <t>0957</t>
        </is>
      </c>
      <c r="F1800" t="inlineStr">
        <is>
          <t>0453</t>
        </is>
      </c>
      <c r="G1800" s="10" t="inlineStr">
        <is>
          <t>常盤</t>
        </is>
      </c>
      <c r="H1800" s="10" t="inlineStr">
        <is>
          <t>発</t>
        </is>
      </c>
      <c r="J1800" s="10" t="inlineStr">
        <is>
          <t>営業</t>
        </is>
      </c>
      <c r="L1800" t="inlineStr">
        <is>
          <t>9:41:35</t>
        </is>
      </c>
      <c r="M1800" t="inlineStr">
        <is>
          <t>9:41:55</t>
        </is>
      </c>
    </row>
    <row r="1801" ht="15" customHeight="1" s="37">
      <c r="A1801" t="n">
        <v>18</v>
      </c>
      <c r="B1801" s="10" t="inlineStr">
        <is>
          <t>休日</t>
        </is>
      </c>
      <c r="C1801" s="10" t="inlineStr">
        <is>
          <t>北野線</t>
        </is>
      </c>
      <c r="D1801" s="10" t="inlineStr">
        <is>
          <t>下り</t>
        </is>
      </c>
      <c r="E1801" t="inlineStr">
        <is>
          <t>0957</t>
        </is>
      </c>
      <c r="F1801" t="inlineStr">
        <is>
          <t>0453</t>
        </is>
      </c>
      <c r="G1801" s="10" t="inlineStr">
        <is>
          <t>撮影所前</t>
        </is>
      </c>
      <c r="H1801" s="10" t="inlineStr">
        <is>
          <t>発</t>
        </is>
      </c>
      <c r="J1801" s="10" t="inlineStr">
        <is>
          <t>営業</t>
        </is>
      </c>
      <c r="L1801" t="inlineStr">
        <is>
          <t>9:43:15</t>
        </is>
      </c>
      <c r="M1801" t="inlineStr">
        <is>
          <t>9:43:30</t>
        </is>
      </c>
    </row>
    <row r="1802" ht="15" customHeight="1" s="37">
      <c r="A1802" t="n">
        <v>18</v>
      </c>
      <c r="B1802" s="10" t="inlineStr">
        <is>
          <t>休日</t>
        </is>
      </c>
      <c r="C1802" s="10" t="inlineStr">
        <is>
          <t>北野線</t>
        </is>
      </c>
      <c r="D1802" s="10" t="inlineStr">
        <is>
          <t>下り</t>
        </is>
      </c>
      <c r="E1802" t="inlineStr">
        <is>
          <t>0957</t>
        </is>
      </c>
      <c r="F1802" t="inlineStr">
        <is>
          <t>0453</t>
        </is>
      </c>
      <c r="G1802" s="10" t="inlineStr">
        <is>
          <t>帷子ノ辻</t>
        </is>
      </c>
      <c r="H1802" s="10" t="inlineStr">
        <is>
          <t>着</t>
        </is>
      </c>
      <c r="J1802" s="10" t="inlineStr">
        <is>
          <t>営業</t>
        </is>
      </c>
      <c r="L1802" t="inlineStr">
        <is>
          <t>9:44:25</t>
        </is>
      </c>
      <c r="Q1802" t="inlineStr">
        <is>
          <t>3</t>
        </is>
      </c>
    </row>
    <row r="1803" ht="15" customHeight="1" s="37">
      <c r="A1803" t="n">
        <v>18</v>
      </c>
      <c r="B1803" s="10" t="inlineStr">
        <is>
          <t>休日</t>
        </is>
      </c>
      <c r="C1803" s="10" t="inlineStr">
        <is>
          <t>北野線</t>
        </is>
      </c>
      <c r="D1803" s="10" t="inlineStr">
        <is>
          <t>上り</t>
        </is>
      </c>
      <c r="E1803" t="inlineStr">
        <is>
          <t>0962</t>
        </is>
      </c>
      <c r="F1803" t="inlineStr">
        <is>
          <t>0354</t>
        </is>
      </c>
      <c r="G1803" s="10" t="inlineStr">
        <is>
          <t>帷子ノ辻</t>
        </is>
      </c>
      <c r="H1803" s="10" t="inlineStr">
        <is>
          <t>発</t>
        </is>
      </c>
      <c r="J1803" s="10" t="inlineStr">
        <is>
          <t>営業</t>
        </is>
      </c>
      <c r="M1803" t="inlineStr">
        <is>
          <t>9:56:25</t>
        </is>
      </c>
      <c r="Q1803" t="inlineStr">
        <is>
          <t>3</t>
        </is>
      </c>
      <c r="U1803" t="inlineStr">
        <is>
          <t>→帷子ノ辻 休憩(10:24〜11:26)</t>
        </is>
      </c>
    </row>
    <row r="1804" ht="15" customHeight="1" s="37">
      <c r="A1804" t="n">
        <v>18</v>
      </c>
      <c r="B1804" s="10" t="inlineStr">
        <is>
          <t>休日</t>
        </is>
      </c>
      <c r="C1804" s="10" t="inlineStr">
        <is>
          <t>北野線</t>
        </is>
      </c>
      <c r="D1804" s="10" t="inlineStr">
        <is>
          <t>上り</t>
        </is>
      </c>
      <c r="E1804" t="inlineStr">
        <is>
          <t>0962</t>
        </is>
      </c>
      <c r="F1804" t="inlineStr">
        <is>
          <t>0354</t>
        </is>
      </c>
      <c r="G1804" s="10" t="inlineStr">
        <is>
          <t>撮影所前</t>
        </is>
      </c>
      <c r="H1804" s="10" t="inlineStr">
        <is>
          <t>発</t>
        </is>
      </c>
      <c r="J1804" s="10" t="inlineStr">
        <is>
          <t>営業</t>
        </is>
      </c>
      <c r="L1804" t="inlineStr">
        <is>
          <t>9:57:25</t>
        </is>
      </c>
      <c r="M1804" t="inlineStr">
        <is>
          <t>9:57:40</t>
        </is>
      </c>
      <c r="U1804" t="inlineStr">
        <is>
          <t>→帷子ノ辻 休憩(10:24〜11:26)</t>
        </is>
      </c>
    </row>
    <row r="1805" ht="15" customHeight="1" s="37">
      <c r="A1805" t="n">
        <v>18</v>
      </c>
      <c r="B1805" s="10" t="inlineStr">
        <is>
          <t>休日</t>
        </is>
      </c>
      <c r="C1805" s="10" t="inlineStr">
        <is>
          <t>北野線</t>
        </is>
      </c>
      <c r="D1805" s="10" t="inlineStr">
        <is>
          <t>上り</t>
        </is>
      </c>
      <c r="E1805" t="inlineStr">
        <is>
          <t>0962</t>
        </is>
      </c>
      <c r="F1805" t="inlineStr">
        <is>
          <t>0354</t>
        </is>
      </c>
      <c r="G1805" s="10" t="inlineStr">
        <is>
          <t>常盤</t>
        </is>
      </c>
      <c r="H1805" s="10" t="inlineStr">
        <is>
          <t>発</t>
        </is>
      </c>
      <c r="J1805" s="10" t="inlineStr">
        <is>
          <t>営業</t>
        </is>
      </c>
      <c r="L1805" t="inlineStr">
        <is>
          <t>9:59:00</t>
        </is>
      </c>
      <c r="M1805" t="inlineStr">
        <is>
          <t>9:59:20</t>
        </is>
      </c>
      <c r="U1805" t="inlineStr">
        <is>
          <t>→帷子ノ辻 休憩(10:24〜11:26)</t>
        </is>
      </c>
    </row>
    <row r="1806" ht="15" customHeight="1" s="37">
      <c r="A1806" t="n">
        <v>18</v>
      </c>
      <c r="B1806" s="10" t="inlineStr">
        <is>
          <t>休日</t>
        </is>
      </c>
      <c r="C1806" s="10" t="inlineStr">
        <is>
          <t>北野線</t>
        </is>
      </c>
      <c r="D1806" s="10" t="inlineStr">
        <is>
          <t>上り</t>
        </is>
      </c>
      <c r="E1806" t="inlineStr">
        <is>
          <t>0962</t>
        </is>
      </c>
      <c r="F1806" t="inlineStr">
        <is>
          <t>0354</t>
        </is>
      </c>
      <c r="G1806" s="10" t="inlineStr">
        <is>
          <t>鳴滝</t>
        </is>
      </c>
      <c r="H1806" s="10" t="inlineStr">
        <is>
          <t>発</t>
        </is>
      </c>
      <c r="J1806" s="10" t="inlineStr">
        <is>
          <t>営業</t>
        </is>
      </c>
      <c r="L1806" t="inlineStr">
        <is>
          <t>10:00:20</t>
        </is>
      </c>
      <c r="M1806" t="inlineStr">
        <is>
          <t>10:00:40</t>
        </is>
      </c>
      <c r="U1806" t="inlineStr">
        <is>
          <t>→帷子ノ辻 休憩(10:24〜11:26)</t>
        </is>
      </c>
    </row>
    <row r="1807" ht="15" customHeight="1" s="37">
      <c r="A1807" t="n">
        <v>18</v>
      </c>
      <c r="B1807" s="10" t="inlineStr">
        <is>
          <t>休日</t>
        </is>
      </c>
      <c r="C1807" s="10" t="inlineStr">
        <is>
          <t>北野線</t>
        </is>
      </c>
      <c r="D1807" s="10" t="inlineStr">
        <is>
          <t>上り</t>
        </is>
      </c>
      <c r="E1807" t="inlineStr">
        <is>
          <t>0962</t>
        </is>
      </c>
      <c r="F1807" t="inlineStr">
        <is>
          <t>0354</t>
        </is>
      </c>
      <c r="G1807" s="10" t="inlineStr">
        <is>
          <t>宇多野</t>
        </is>
      </c>
      <c r="H1807" s="10" t="inlineStr">
        <is>
          <t>発</t>
        </is>
      </c>
      <c r="J1807" s="10" t="inlineStr">
        <is>
          <t>営業</t>
        </is>
      </c>
      <c r="L1807" t="inlineStr">
        <is>
          <t>10:02:00</t>
        </is>
      </c>
      <c r="M1807" t="inlineStr">
        <is>
          <t>10:02:15</t>
        </is>
      </c>
      <c r="U1807" t="inlineStr">
        <is>
          <t>→帷子ノ辻 休憩(10:24〜11:26)</t>
        </is>
      </c>
    </row>
    <row r="1808" ht="15" customHeight="1" s="37">
      <c r="A1808" t="n">
        <v>18</v>
      </c>
      <c r="B1808" s="10" t="inlineStr">
        <is>
          <t>休日</t>
        </is>
      </c>
      <c r="C1808" s="10" t="inlineStr">
        <is>
          <t>北野線</t>
        </is>
      </c>
      <c r="D1808" s="10" t="inlineStr">
        <is>
          <t>上り</t>
        </is>
      </c>
      <c r="E1808" t="inlineStr">
        <is>
          <t>0962</t>
        </is>
      </c>
      <c r="F1808" t="inlineStr">
        <is>
          <t>0354</t>
        </is>
      </c>
      <c r="G1808" s="10" t="inlineStr">
        <is>
          <t>御室仁和寺</t>
        </is>
      </c>
      <c r="H1808" s="10" t="inlineStr">
        <is>
          <t>発</t>
        </is>
      </c>
      <c r="J1808" s="10" t="inlineStr">
        <is>
          <t>営業</t>
        </is>
      </c>
      <c r="L1808" t="inlineStr">
        <is>
          <t>10:03:15</t>
        </is>
      </c>
      <c r="M1808" t="inlineStr">
        <is>
          <t>10:03:35</t>
        </is>
      </c>
      <c r="U1808" t="inlineStr">
        <is>
          <t>→帷子ノ辻 休憩(10:24〜11:26)</t>
        </is>
      </c>
    </row>
    <row r="1809" ht="15" customHeight="1" s="37">
      <c r="A1809" t="n">
        <v>18</v>
      </c>
      <c r="B1809" s="10" t="inlineStr">
        <is>
          <t>休日</t>
        </is>
      </c>
      <c r="C1809" s="10" t="inlineStr">
        <is>
          <t>北野線</t>
        </is>
      </c>
      <c r="D1809" s="10" t="inlineStr">
        <is>
          <t>上り</t>
        </is>
      </c>
      <c r="E1809" t="inlineStr">
        <is>
          <t>0962</t>
        </is>
      </c>
      <c r="F1809" t="inlineStr">
        <is>
          <t>0354</t>
        </is>
      </c>
      <c r="G1809" s="10" t="inlineStr">
        <is>
          <t>妙心寺</t>
        </is>
      </c>
      <c r="H1809" s="10" t="inlineStr">
        <is>
          <t>発</t>
        </is>
      </c>
      <c r="J1809" s="10" t="inlineStr">
        <is>
          <t>営業</t>
        </is>
      </c>
      <c r="L1809" t="inlineStr">
        <is>
          <t>10:04:35</t>
        </is>
      </c>
      <c r="M1809" t="inlineStr">
        <is>
          <t>10:04:50</t>
        </is>
      </c>
      <c r="U1809" t="inlineStr">
        <is>
          <t>→帷子ノ辻 休憩(10:24〜11:26)</t>
        </is>
      </c>
    </row>
    <row r="1810" ht="15" customHeight="1" s="37">
      <c r="A1810" t="n">
        <v>18</v>
      </c>
      <c r="B1810" s="10" t="inlineStr">
        <is>
          <t>休日</t>
        </is>
      </c>
      <c r="C1810" s="10" t="inlineStr">
        <is>
          <t>北野線</t>
        </is>
      </c>
      <c r="D1810" s="10" t="inlineStr">
        <is>
          <t>上り</t>
        </is>
      </c>
      <c r="E1810" t="inlineStr">
        <is>
          <t>0962</t>
        </is>
      </c>
      <c r="F1810" t="inlineStr">
        <is>
          <t>0354</t>
        </is>
      </c>
      <c r="G1810" s="10" t="inlineStr">
        <is>
          <t>龍安寺</t>
        </is>
      </c>
      <c r="H1810" s="10" t="inlineStr">
        <is>
          <t>発</t>
        </is>
      </c>
      <c r="J1810" s="10" t="inlineStr">
        <is>
          <t>営業</t>
        </is>
      </c>
      <c r="L1810" t="inlineStr">
        <is>
          <t>10:05:45</t>
        </is>
      </c>
      <c r="M1810" t="inlineStr">
        <is>
          <t>10:05:55</t>
        </is>
      </c>
      <c r="U1810" t="inlineStr">
        <is>
          <t>→帷子ノ辻 休憩(10:24〜11:26)</t>
        </is>
      </c>
    </row>
    <row r="1811" ht="15" customHeight="1" s="37">
      <c r="A1811" t="n">
        <v>18</v>
      </c>
      <c r="B1811" s="10" t="inlineStr">
        <is>
          <t>休日</t>
        </is>
      </c>
      <c r="C1811" s="10" t="inlineStr">
        <is>
          <t>北野線</t>
        </is>
      </c>
      <c r="D1811" s="10" t="inlineStr">
        <is>
          <t>上り</t>
        </is>
      </c>
      <c r="E1811" t="inlineStr">
        <is>
          <t>0962</t>
        </is>
      </c>
      <c r="F1811" t="inlineStr">
        <is>
          <t>0354</t>
        </is>
      </c>
      <c r="G1811" s="10" t="inlineStr">
        <is>
          <t>等持院</t>
        </is>
      </c>
      <c r="H1811" s="10" t="inlineStr">
        <is>
          <t>発</t>
        </is>
      </c>
      <c r="J1811" s="10" t="inlineStr">
        <is>
          <t>営業</t>
        </is>
      </c>
      <c r="L1811" t="inlineStr">
        <is>
          <t>10:06:35</t>
        </is>
      </c>
      <c r="M1811" t="inlineStr">
        <is>
          <t>10:06:55</t>
        </is>
      </c>
      <c r="U1811" t="inlineStr">
        <is>
          <t>→帷子ノ辻 休憩(10:24〜11:26)</t>
        </is>
      </c>
    </row>
    <row r="1812" ht="15" customHeight="1" s="37">
      <c r="A1812" t="n">
        <v>18</v>
      </c>
      <c r="B1812" s="10" t="inlineStr">
        <is>
          <t>休日</t>
        </is>
      </c>
      <c r="C1812" s="10" t="inlineStr">
        <is>
          <t>北野線</t>
        </is>
      </c>
      <c r="D1812" s="10" t="inlineStr">
        <is>
          <t>上り</t>
        </is>
      </c>
      <c r="E1812" t="inlineStr">
        <is>
          <t>0962</t>
        </is>
      </c>
      <c r="F1812" t="inlineStr">
        <is>
          <t>0354</t>
        </is>
      </c>
      <c r="G1812" s="10" t="inlineStr">
        <is>
          <t>北野白梅町</t>
        </is>
      </c>
      <c r="H1812" s="10" t="inlineStr">
        <is>
          <t>着</t>
        </is>
      </c>
      <c r="J1812" s="10" t="inlineStr">
        <is>
          <t>営業</t>
        </is>
      </c>
      <c r="L1812" t="inlineStr">
        <is>
          <t>10:08:15</t>
        </is>
      </c>
      <c r="Q1812" t="inlineStr">
        <is>
          <t>1</t>
        </is>
      </c>
      <c r="U1812" t="inlineStr">
        <is>
          <t>→帷子ノ辻 休憩(10:24〜11:26)</t>
        </is>
      </c>
    </row>
    <row r="1813" ht="15" customHeight="1" s="37">
      <c r="A1813" t="n">
        <v>18</v>
      </c>
      <c r="B1813" s="10" t="inlineStr">
        <is>
          <t>休日</t>
        </is>
      </c>
      <c r="C1813" s="10" t="inlineStr">
        <is>
          <t>北野線</t>
        </is>
      </c>
      <c r="D1813" s="10" t="inlineStr">
        <is>
          <t>下り</t>
        </is>
      </c>
      <c r="E1813" t="inlineStr">
        <is>
          <t>1053</t>
        </is>
      </c>
      <c r="F1813" t="inlineStr">
        <is>
          <t>0453</t>
        </is>
      </c>
      <c r="G1813" s="10" t="inlineStr">
        <is>
          <t>北野白梅町</t>
        </is>
      </c>
      <c r="H1813" s="10" t="inlineStr">
        <is>
          <t>発</t>
        </is>
      </c>
      <c r="J1813" s="10" t="inlineStr">
        <is>
          <t>営業</t>
        </is>
      </c>
      <c r="M1813" t="inlineStr">
        <is>
          <t>10:13:00</t>
        </is>
      </c>
      <c r="Q1813" t="inlineStr">
        <is>
          <t>1</t>
        </is>
      </c>
      <c r="U1813" t="inlineStr">
        <is>
          <t>→帷子ノ辻 休憩(10:24〜11:26)</t>
        </is>
      </c>
    </row>
    <row r="1814" ht="15" customHeight="1" s="37">
      <c r="A1814" t="n">
        <v>18</v>
      </c>
      <c r="B1814" s="10" t="inlineStr">
        <is>
          <t>休日</t>
        </is>
      </c>
      <c r="C1814" s="10" t="inlineStr">
        <is>
          <t>北野線</t>
        </is>
      </c>
      <c r="D1814" s="10" t="inlineStr">
        <is>
          <t>下り</t>
        </is>
      </c>
      <c r="E1814" t="inlineStr">
        <is>
          <t>1053</t>
        </is>
      </c>
      <c r="F1814" t="inlineStr">
        <is>
          <t>0453</t>
        </is>
      </c>
      <c r="G1814" s="10" t="inlineStr">
        <is>
          <t>等持院</t>
        </is>
      </c>
      <c r="H1814" s="10" t="inlineStr">
        <is>
          <t>発</t>
        </is>
      </c>
      <c r="J1814" s="10" t="inlineStr">
        <is>
          <t>営業</t>
        </is>
      </c>
      <c r="L1814" t="inlineStr">
        <is>
          <t>10:14:25</t>
        </is>
      </c>
      <c r="M1814" t="inlineStr">
        <is>
          <t>10:14:35</t>
        </is>
      </c>
      <c r="U1814" t="inlineStr">
        <is>
          <t>→帷子ノ辻 休憩(10:24〜11:26)</t>
        </is>
      </c>
    </row>
    <row r="1815" ht="15" customHeight="1" s="37">
      <c r="A1815" t="n">
        <v>18</v>
      </c>
      <c r="B1815" s="10" t="inlineStr">
        <is>
          <t>休日</t>
        </is>
      </c>
      <c r="C1815" s="10" t="inlineStr">
        <is>
          <t>北野線</t>
        </is>
      </c>
      <c r="D1815" s="10" t="inlineStr">
        <is>
          <t>下り</t>
        </is>
      </c>
      <c r="E1815" t="inlineStr">
        <is>
          <t>1053</t>
        </is>
      </c>
      <c r="F1815" t="inlineStr">
        <is>
          <t>0453</t>
        </is>
      </c>
      <c r="G1815" s="10" t="inlineStr">
        <is>
          <t>龍安寺</t>
        </is>
      </c>
      <c r="H1815" s="10" t="inlineStr">
        <is>
          <t>発</t>
        </is>
      </c>
      <c r="J1815" s="10" t="inlineStr">
        <is>
          <t>営業</t>
        </is>
      </c>
      <c r="L1815" t="inlineStr">
        <is>
          <t>10:15:25</t>
        </is>
      </c>
      <c r="M1815" t="inlineStr">
        <is>
          <t>10:15:50</t>
        </is>
      </c>
      <c r="U1815" t="inlineStr">
        <is>
          <t>→帷子ノ辻 休憩(10:24〜11:26)</t>
        </is>
      </c>
    </row>
    <row r="1816" ht="15" customHeight="1" s="37">
      <c r="A1816" t="n">
        <v>18</v>
      </c>
      <c r="B1816" s="10" t="inlineStr">
        <is>
          <t>休日</t>
        </is>
      </c>
      <c r="C1816" s="10" t="inlineStr">
        <is>
          <t>北野線</t>
        </is>
      </c>
      <c r="D1816" s="10" t="inlineStr">
        <is>
          <t>下り</t>
        </is>
      </c>
      <c r="E1816" t="inlineStr">
        <is>
          <t>1053</t>
        </is>
      </c>
      <c r="F1816" t="inlineStr">
        <is>
          <t>0453</t>
        </is>
      </c>
      <c r="G1816" s="10" t="inlineStr">
        <is>
          <t>妙心寺</t>
        </is>
      </c>
      <c r="H1816" s="10" t="inlineStr">
        <is>
          <t>発</t>
        </is>
      </c>
      <c r="J1816" s="10" t="inlineStr">
        <is>
          <t>営業</t>
        </is>
      </c>
      <c r="L1816" t="inlineStr">
        <is>
          <t>10:16:40</t>
        </is>
      </c>
      <c r="M1816" t="inlineStr">
        <is>
          <t>10:16:50</t>
        </is>
      </c>
      <c r="U1816" t="inlineStr">
        <is>
          <t>→帷子ノ辻 休憩(10:24〜11:26)</t>
        </is>
      </c>
    </row>
    <row r="1817" ht="15" customHeight="1" s="37">
      <c r="A1817" t="n">
        <v>18</v>
      </c>
      <c r="B1817" s="10" t="inlineStr">
        <is>
          <t>休日</t>
        </is>
      </c>
      <c r="C1817" s="10" t="inlineStr">
        <is>
          <t>北野線</t>
        </is>
      </c>
      <c r="D1817" s="10" t="inlineStr">
        <is>
          <t>下り</t>
        </is>
      </c>
      <c r="E1817" t="inlineStr">
        <is>
          <t>1053</t>
        </is>
      </c>
      <c r="F1817" t="inlineStr">
        <is>
          <t>0453</t>
        </is>
      </c>
      <c r="G1817" s="10" t="inlineStr">
        <is>
          <t>御室仁和寺</t>
        </is>
      </c>
      <c r="H1817" s="10" t="inlineStr">
        <is>
          <t>発</t>
        </is>
      </c>
      <c r="J1817" s="10" t="inlineStr">
        <is>
          <t>営業</t>
        </is>
      </c>
      <c r="L1817" t="inlineStr">
        <is>
          <t>10:17:50</t>
        </is>
      </c>
      <c r="M1817" t="inlineStr">
        <is>
          <t>10:18:05</t>
        </is>
      </c>
      <c r="U1817" t="inlineStr">
        <is>
          <t>→帷子ノ辻 休憩(10:24〜11:26)</t>
        </is>
      </c>
    </row>
    <row r="1818" ht="15" customHeight="1" s="37">
      <c r="A1818" t="n">
        <v>18</v>
      </c>
      <c r="B1818" s="10" t="inlineStr">
        <is>
          <t>休日</t>
        </is>
      </c>
      <c r="C1818" s="10" t="inlineStr">
        <is>
          <t>北野線</t>
        </is>
      </c>
      <c r="D1818" s="10" t="inlineStr">
        <is>
          <t>下り</t>
        </is>
      </c>
      <c r="E1818" t="inlineStr">
        <is>
          <t>1053</t>
        </is>
      </c>
      <c r="F1818" t="inlineStr">
        <is>
          <t>0453</t>
        </is>
      </c>
      <c r="G1818" s="10" t="inlineStr">
        <is>
          <t>宇多野</t>
        </is>
      </c>
      <c r="H1818" s="10" t="inlineStr">
        <is>
          <t>発</t>
        </is>
      </c>
      <c r="J1818" s="10" t="inlineStr">
        <is>
          <t>営業</t>
        </is>
      </c>
      <c r="L1818" t="inlineStr">
        <is>
          <t>10:19:05</t>
        </is>
      </c>
      <c r="M1818" t="inlineStr">
        <is>
          <t>10:19:15</t>
        </is>
      </c>
      <c r="U1818" t="inlineStr">
        <is>
          <t>→帷子ノ辻 休憩(10:24〜11:26)</t>
        </is>
      </c>
    </row>
    <row r="1819" ht="15" customHeight="1" s="37">
      <c r="A1819" t="n">
        <v>18</v>
      </c>
      <c r="B1819" s="10" t="inlineStr">
        <is>
          <t>休日</t>
        </is>
      </c>
      <c r="C1819" s="10" t="inlineStr">
        <is>
          <t>北野線</t>
        </is>
      </c>
      <c r="D1819" s="10" t="inlineStr">
        <is>
          <t>下り</t>
        </is>
      </c>
      <c r="E1819" t="inlineStr">
        <is>
          <t>1053</t>
        </is>
      </c>
      <c r="F1819" t="inlineStr">
        <is>
          <t>0453</t>
        </is>
      </c>
      <c r="G1819" s="10" t="inlineStr">
        <is>
          <t>鳴滝</t>
        </is>
      </c>
      <c r="H1819" s="10" t="inlineStr">
        <is>
          <t>発</t>
        </is>
      </c>
      <c r="J1819" s="10" t="inlineStr">
        <is>
          <t>営業</t>
        </is>
      </c>
      <c r="L1819" t="inlineStr">
        <is>
          <t>10:20:35</t>
        </is>
      </c>
      <c r="M1819" t="inlineStr">
        <is>
          <t>10:20:45</t>
        </is>
      </c>
      <c r="U1819" t="inlineStr">
        <is>
          <t>→帷子ノ辻 休憩(10:24〜11:26)</t>
        </is>
      </c>
    </row>
    <row r="1820" ht="15" customHeight="1" s="37">
      <c r="A1820" t="n">
        <v>18</v>
      </c>
      <c r="B1820" s="10" t="inlineStr">
        <is>
          <t>休日</t>
        </is>
      </c>
      <c r="C1820" s="10" t="inlineStr">
        <is>
          <t>北野線</t>
        </is>
      </c>
      <c r="D1820" s="10" t="inlineStr">
        <is>
          <t>下り</t>
        </is>
      </c>
      <c r="E1820" t="inlineStr">
        <is>
          <t>1053</t>
        </is>
      </c>
      <c r="F1820" t="inlineStr">
        <is>
          <t>0453</t>
        </is>
      </c>
      <c r="G1820" s="10" t="inlineStr">
        <is>
          <t>常盤</t>
        </is>
      </c>
      <c r="H1820" s="10" t="inlineStr">
        <is>
          <t>発</t>
        </is>
      </c>
      <c r="J1820" s="10" t="inlineStr">
        <is>
          <t>営業</t>
        </is>
      </c>
      <c r="L1820" t="inlineStr">
        <is>
          <t>10:21:35</t>
        </is>
      </c>
      <c r="M1820" t="inlineStr">
        <is>
          <t>10:21:55</t>
        </is>
      </c>
      <c r="U1820" t="inlineStr">
        <is>
          <t>→帷子ノ辻 休憩(10:24〜11:26)</t>
        </is>
      </c>
    </row>
    <row r="1821" ht="15" customHeight="1" s="37">
      <c r="A1821" t="n">
        <v>18</v>
      </c>
      <c r="B1821" s="10" t="inlineStr">
        <is>
          <t>休日</t>
        </is>
      </c>
      <c r="C1821" s="10" t="inlineStr">
        <is>
          <t>北野線</t>
        </is>
      </c>
      <c r="D1821" s="10" t="inlineStr">
        <is>
          <t>下り</t>
        </is>
      </c>
      <c r="E1821" t="inlineStr">
        <is>
          <t>1053</t>
        </is>
      </c>
      <c r="F1821" t="inlineStr">
        <is>
          <t>0453</t>
        </is>
      </c>
      <c r="G1821" s="10" t="inlineStr">
        <is>
          <t>撮影所前</t>
        </is>
      </c>
      <c r="H1821" s="10" t="inlineStr">
        <is>
          <t>発</t>
        </is>
      </c>
      <c r="J1821" s="10" t="inlineStr">
        <is>
          <t>営業</t>
        </is>
      </c>
      <c r="L1821" t="inlineStr">
        <is>
          <t>10:23:15</t>
        </is>
      </c>
      <c r="M1821" t="inlineStr">
        <is>
          <t>10:23:30</t>
        </is>
      </c>
      <c r="U1821" t="inlineStr">
        <is>
          <t>→帷子ノ辻 休憩(10:24〜11:26)</t>
        </is>
      </c>
    </row>
    <row r="1822" ht="15" customHeight="1" s="37">
      <c r="A1822" t="n">
        <v>18</v>
      </c>
      <c r="B1822" s="10" t="inlineStr">
        <is>
          <t>休日</t>
        </is>
      </c>
      <c r="C1822" s="10" t="inlineStr">
        <is>
          <t>北野線</t>
        </is>
      </c>
      <c r="D1822" s="10" t="inlineStr">
        <is>
          <t>下り</t>
        </is>
      </c>
      <c r="E1822" t="inlineStr">
        <is>
          <t>1053</t>
        </is>
      </c>
      <c r="F1822" t="inlineStr">
        <is>
          <t>0453</t>
        </is>
      </c>
      <c r="G1822" s="10" t="inlineStr">
        <is>
          <t>帷子ノ辻</t>
        </is>
      </c>
      <c r="H1822" s="10" t="inlineStr">
        <is>
          <t>着</t>
        </is>
      </c>
      <c r="J1822" s="10" t="inlineStr">
        <is>
          <t>営業</t>
        </is>
      </c>
      <c r="L1822" t="inlineStr">
        <is>
          <t>10:24:25</t>
        </is>
      </c>
      <c r="Q1822" t="inlineStr">
        <is>
          <t>3</t>
        </is>
      </c>
      <c r="U1822" t="inlineStr">
        <is>
          <t>→帷子ノ辻 休憩(10:24〜11:26)</t>
        </is>
      </c>
    </row>
    <row r="1823" ht="15" customHeight="1" s="37">
      <c r="A1823" t="n">
        <v>18</v>
      </c>
      <c r="B1823" s="10" t="inlineStr">
        <is>
          <t>休日</t>
        </is>
      </c>
      <c r="C1823" s="10" t="inlineStr">
        <is>
          <t>北野線</t>
        </is>
      </c>
      <c r="D1823" s="10" t="inlineStr">
        <is>
          <t>上り</t>
        </is>
      </c>
      <c r="E1823" t="inlineStr">
        <is>
          <t>1156</t>
        </is>
      </c>
      <c r="F1823" t="inlineStr">
        <is>
          <t>0354</t>
        </is>
      </c>
      <c r="G1823" s="10" t="inlineStr">
        <is>
          <t>帷子ノ辻</t>
        </is>
      </c>
      <c r="H1823" s="10" t="inlineStr">
        <is>
          <t>発</t>
        </is>
      </c>
      <c r="J1823" s="10" t="inlineStr">
        <is>
          <t>営業</t>
        </is>
      </c>
      <c r="M1823" t="inlineStr">
        <is>
          <t>11:26:25</t>
        </is>
      </c>
      <c r="Q1823" t="inlineStr">
        <is>
          <t>4</t>
        </is>
      </c>
    </row>
    <row r="1824" ht="15" customHeight="1" s="37">
      <c r="A1824" t="n">
        <v>18</v>
      </c>
      <c r="B1824" s="10" t="inlineStr">
        <is>
          <t>休日</t>
        </is>
      </c>
      <c r="C1824" s="10" t="inlineStr">
        <is>
          <t>北野線</t>
        </is>
      </c>
      <c r="D1824" s="10" t="inlineStr">
        <is>
          <t>上り</t>
        </is>
      </c>
      <c r="E1824" t="inlineStr">
        <is>
          <t>1156</t>
        </is>
      </c>
      <c r="F1824" t="inlineStr">
        <is>
          <t>0354</t>
        </is>
      </c>
      <c r="G1824" s="10" t="inlineStr">
        <is>
          <t>撮影所前</t>
        </is>
      </c>
      <c r="H1824" s="10" t="inlineStr">
        <is>
          <t>発</t>
        </is>
      </c>
      <c r="J1824" s="10" t="inlineStr">
        <is>
          <t>営業</t>
        </is>
      </c>
      <c r="L1824" t="inlineStr">
        <is>
          <t>11:27:25</t>
        </is>
      </c>
      <c r="M1824" t="inlineStr">
        <is>
          <t>11:27:40</t>
        </is>
      </c>
    </row>
    <row r="1825" ht="15" customHeight="1" s="37">
      <c r="A1825" t="n">
        <v>18</v>
      </c>
      <c r="B1825" s="10" t="inlineStr">
        <is>
          <t>休日</t>
        </is>
      </c>
      <c r="C1825" s="10" t="inlineStr">
        <is>
          <t>北野線</t>
        </is>
      </c>
      <c r="D1825" s="10" t="inlineStr">
        <is>
          <t>上り</t>
        </is>
      </c>
      <c r="E1825" t="inlineStr">
        <is>
          <t>1156</t>
        </is>
      </c>
      <c r="F1825" t="inlineStr">
        <is>
          <t>0354</t>
        </is>
      </c>
      <c r="G1825" s="10" t="inlineStr">
        <is>
          <t>常盤</t>
        </is>
      </c>
      <c r="H1825" s="10" t="inlineStr">
        <is>
          <t>発</t>
        </is>
      </c>
      <c r="J1825" s="10" t="inlineStr">
        <is>
          <t>営業</t>
        </is>
      </c>
      <c r="L1825" t="inlineStr">
        <is>
          <t>11:29:00</t>
        </is>
      </c>
      <c r="M1825" t="inlineStr">
        <is>
          <t>11:29:20</t>
        </is>
      </c>
    </row>
    <row r="1826" ht="15" customHeight="1" s="37">
      <c r="A1826" t="n">
        <v>18</v>
      </c>
      <c r="B1826" s="10" t="inlineStr">
        <is>
          <t>休日</t>
        </is>
      </c>
      <c r="C1826" s="10" t="inlineStr">
        <is>
          <t>北野線</t>
        </is>
      </c>
      <c r="D1826" s="10" t="inlineStr">
        <is>
          <t>上り</t>
        </is>
      </c>
      <c r="E1826" t="inlineStr">
        <is>
          <t>1156</t>
        </is>
      </c>
      <c r="F1826" t="inlineStr">
        <is>
          <t>0354</t>
        </is>
      </c>
      <c r="G1826" s="10" t="inlineStr">
        <is>
          <t>鳴滝</t>
        </is>
      </c>
      <c r="H1826" s="10" t="inlineStr">
        <is>
          <t>発</t>
        </is>
      </c>
      <c r="J1826" s="10" t="inlineStr">
        <is>
          <t>営業</t>
        </is>
      </c>
      <c r="L1826" t="inlineStr">
        <is>
          <t>11:30:20</t>
        </is>
      </c>
      <c r="M1826" t="inlineStr">
        <is>
          <t>11:30:40</t>
        </is>
      </c>
    </row>
    <row r="1827" ht="15" customHeight="1" s="37">
      <c r="A1827" t="n">
        <v>18</v>
      </c>
      <c r="B1827" s="10" t="inlineStr">
        <is>
          <t>休日</t>
        </is>
      </c>
      <c r="C1827" s="10" t="inlineStr">
        <is>
          <t>北野線</t>
        </is>
      </c>
      <c r="D1827" s="10" t="inlineStr">
        <is>
          <t>上り</t>
        </is>
      </c>
      <c r="E1827" t="inlineStr">
        <is>
          <t>1156</t>
        </is>
      </c>
      <c r="F1827" t="inlineStr">
        <is>
          <t>0354</t>
        </is>
      </c>
      <c r="G1827" s="10" t="inlineStr">
        <is>
          <t>宇多野</t>
        </is>
      </c>
      <c r="H1827" s="10" t="inlineStr">
        <is>
          <t>発</t>
        </is>
      </c>
      <c r="J1827" s="10" t="inlineStr">
        <is>
          <t>営業</t>
        </is>
      </c>
      <c r="L1827" t="inlineStr">
        <is>
          <t>11:32:00</t>
        </is>
      </c>
      <c r="M1827" t="inlineStr">
        <is>
          <t>11:32:15</t>
        </is>
      </c>
    </row>
    <row r="1828" ht="15" customHeight="1" s="37">
      <c r="A1828" t="n">
        <v>18</v>
      </c>
      <c r="B1828" s="10" t="inlineStr">
        <is>
          <t>休日</t>
        </is>
      </c>
      <c r="C1828" s="10" t="inlineStr">
        <is>
          <t>北野線</t>
        </is>
      </c>
      <c r="D1828" s="10" t="inlineStr">
        <is>
          <t>上り</t>
        </is>
      </c>
      <c r="E1828" t="inlineStr">
        <is>
          <t>1156</t>
        </is>
      </c>
      <c r="F1828" t="inlineStr">
        <is>
          <t>0354</t>
        </is>
      </c>
      <c r="G1828" s="10" t="inlineStr">
        <is>
          <t>御室仁和寺</t>
        </is>
      </c>
      <c r="H1828" s="10" t="inlineStr">
        <is>
          <t>発</t>
        </is>
      </c>
      <c r="J1828" s="10" t="inlineStr">
        <is>
          <t>営業</t>
        </is>
      </c>
      <c r="L1828" t="inlineStr">
        <is>
          <t>11:33:15</t>
        </is>
      </c>
      <c r="M1828" t="inlineStr">
        <is>
          <t>11:33:35</t>
        </is>
      </c>
    </row>
    <row r="1829" ht="15" customHeight="1" s="37">
      <c r="A1829" t="n">
        <v>18</v>
      </c>
      <c r="B1829" s="10" t="inlineStr">
        <is>
          <t>休日</t>
        </is>
      </c>
      <c r="C1829" s="10" t="inlineStr">
        <is>
          <t>北野線</t>
        </is>
      </c>
      <c r="D1829" s="10" t="inlineStr">
        <is>
          <t>上り</t>
        </is>
      </c>
      <c r="E1829" t="inlineStr">
        <is>
          <t>1156</t>
        </is>
      </c>
      <c r="F1829" t="inlineStr">
        <is>
          <t>0354</t>
        </is>
      </c>
      <c r="G1829" s="10" t="inlineStr">
        <is>
          <t>妙心寺</t>
        </is>
      </c>
      <c r="H1829" s="10" t="inlineStr">
        <is>
          <t>発</t>
        </is>
      </c>
      <c r="J1829" s="10" t="inlineStr">
        <is>
          <t>営業</t>
        </is>
      </c>
      <c r="L1829" t="inlineStr">
        <is>
          <t>11:34:35</t>
        </is>
      </c>
      <c r="M1829" t="inlineStr">
        <is>
          <t>11:34:50</t>
        </is>
      </c>
    </row>
    <row r="1830" ht="15" customHeight="1" s="37">
      <c r="A1830" t="n">
        <v>18</v>
      </c>
      <c r="B1830" s="10" t="inlineStr">
        <is>
          <t>休日</t>
        </is>
      </c>
      <c r="C1830" s="10" t="inlineStr">
        <is>
          <t>北野線</t>
        </is>
      </c>
      <c r="D1830" s="10" t="inlineStr">
        <is>
          <t>上り</t>
        </is>
      </c>
      <c r="E1830" t="inlineStr">
        <is>
          <t>1156</t>
        </is>
      </c>
      <c r="F1830" t="inlineStr">
        <is>
          <t>0354</t>
        </is>
      </c>
      <c r="G1830" s="10" t="inlineStr">
        <is>
          <t>龍安寺</t>
        </is>
      </c>
      <c r="H1830" s="10" t="inlineStr">
        <is>
          <t>発</t>
        </is>
      </c>
      <c r="J1830" s="10" t="inlineStr">
        <is>
          <t>営業</t>
        </is>
      </c>
      <c r="L1830" t="inlineStr">
        <is>
          <t>11:35:45</t>
        </is>
      </c>
      <c r="M1830" t="inlineStr">
        <is>
          <t>11:35:55</t>
        </is>
      </c>
    </row>
    <row r="1831" ht="15" customHeight="1" s="37">
      <c r="A1831" t="n">
        <v>18</v>
      </c>
      <c r="B1831" s="10" t="inlineStr">
        <is>
          <t>休日</t>
        </is>
      </c>
      <c r="C1831" s="10" t="inlineStr">
        <is>
          <t>北野線</t>
        </is>
      </c>
      <c r="D1831" s="10" t="inlineStr">
        <is>
          <t>上り</t>
        </is>
      </c>
      <c r="E1831" t="inlineStr">
        <is>
          <t>1156</t>
        </is>
      </c>
      <c r="F1831" t="inlineStr">
        <is>
          <t>0354</t>
        </is>
      </c>
      <c r="G1831" s="10" t="inlineStr">
        <is>
          <t>等持院</t>
        </is>
      </c>
      <c r="H1831" s="10" t="inlineStr">
        <is>
          <t>発</t>
        </is>
      </c>
      <c r="J1831" s="10" t="inlineStr">
        <is>
          <t>営業</t>
        </is>
      </c>
      <c r="L1831" t="inlineStr">
        <is>
          <t>11:36:35</t>
        </is>
      </c>
      <c r="M1831" t="inlineStr">
        <is>
          <t>11:36:55</t>
        </is>
      </c>
    </row>
    <row r="1832" ht="15" customHeight="1" s="37">
      <c r="A1832" t="n">
        <v>18</v>
      </c>
      <c r="B1832" s="10" t="inlineStr">
        <is>
          <t>休日</t>
        </is>
      </c>
      <c r="C1832" s="10" t="inlineStr">
        <is>
          <t>北野線</t>
        </is>
      </c>
      <c r="D1832" s="10" t="inlineStr">
        <is>
          <t>上り</t>
        </is>
      </c>
      <c r="E1832" t="inlineStr">
        <is>
          <t>1156</t>
        </is>
      </c>
      <c r="F1832" t="inlineStr">
        <is>
          <t>0354</t>
        </is>
      </c>
      <c r="G1832" s="10" t="inlineStr">
        <is>
          <t>北野白梅町</t>
        </is>
      </c>
      <c r="H1832" s="10" t="inlineStr">
        <is>
          <t>着</t>
        </is>
      </c>
      <c r="J1832" s="10" t="inlineStr">
        <is>
          <t>営業</t>
        </is>
      </c>
      <c r="L1832" t="inlineStr">
        <is>
          <t>11:38:15</t>
        </is>
      </c>
      <c r="Q1832" t="inlineStr">
        <is>
          <t>1</t>
        </is>
      </c>
    </row>
    <row r="1833" ht="15" customHeight="1" s="37">
      <c r="A1833" t="n">
        <v>18</v>
      </c>
      <c r="B1833" s="10" t="inlineStr">
        <is>
          <t>休日</t>
        </is>
      </c>
      <c r="C1833" s="10" t="inlineStr">
        <is>
          <t>北野線</t>
        </is>
      </c>
      <c r="D1833" s="10" t="inlineStr">
        <is>
          <t>下り</t>
        </is>
      </c>
      <c r="E1833" t="inlineStr">
        <is>
          <t>1159</t>
        </is>
      </c>
      <c r="F1833" t="inlineStr">
        <is>
          <t>0453</t>
        </is>
      </c>
      <c r="G1833" s="10" t="inlineStr">
        <is>
          <t>北野白梅町</t>
        </is>
      </c>
      <c r="H1833" s="10" t="inlineStr">
        <is>
          <t>発</t>
        </is>
      </c>
      <c r="J1833" s="10" t="inlineStr">
        <is>
          <t>営業</t>
        </is>
      </c>
      <c r="M1833" t="inlineStr">
        <is>
          <t>11:43:00</t>
        </is>
      </c>
      <c r="Q1833" t="inlineStr">
        <is>
          <t>1</t>
        </is>
      </c>
    </row>
    <row r="1834" ht="15" customHeight="1" s="37">
      <c r="A1834" t="n">
        <v>18</v>
      </c>
      <c r="B1834" s="10" t="inlineStr">
        <is>
          <t>休日</t>
        </is>
      </c>
      <c r="C1834" s="10" t="inlineStr">
        <is>
          <t>北野線</t>
        </is>
      </c>
      <c r="D1834" s="10" t="inlineStr">
        <is>
          <t>下り</t>
        </is>
      </c>
      <c r="E1834" t="inlineStr">
        <is>
          <t>1159</t>
        </is>
      </c>
      <c r="F1834" t="inlineStr">
        <is>
          <t>0453</t>
        </is>
      </c>
      <c r="G1834" s="10" t="inlineStr">
        <is>
          <t>等持院</t>
        </is>
      </c>
      <c r="H1834" s="10" t="inlineStr">
        <is>
          <t>発</t>
        </is>
      </c>
      <c r="J1834" s="10" t="inlineStr">
        <is>
          <t>営業</t>
        </is>
      </c>
      <c r="L1834" t="inlineStr">
        <is>
          <t>11:44:25</t>
        </is>
      </c>
      <c r="M1834" t="inlineStr">
        <is>
          <t>11:44:35</t>
        </is>
      </c>
    </row>
    <row r="1835" ht="15" customHeight="1" s="37">
      <c r="A1835" t="n">
        <v>18</v>
      </c>
      <c r="B1835" s="10" t="inlineStr">
        <is>
          <t>休日</t>
        </is>
      </c>
      <c r="C1835" s="10" t="inlineStr">
        <is>
          <t>北野線</t>
        </is>
      </c>
      <c r="D1835" s="10" t="inlineStr">
        <is>
          <t>下り</t>
        </is>
      </c>
      <c r="E1835" t="inlineStr">
        <is>
          <t>1159</t>
        </is>
      </c>
      <c r="F1835" t="inlineStr">
        <is>
          <t>0453</t>
        </is>
      </c>
      <c r="G1835" s="10" t="inlineStr">
        <is>
          <t>龍安寺</t>
        </is>
      </c>
      <c r="H1835" s="10" t="inlineStr">
        <is>
          <t>発</t>
        </is>
      </c>
      <c r="J1835" s="10" t="inlineStr">
        <is>
          <t>営業</t>
        </is>
      </c>
      <c r="L1835" t="inlineStr">
        <is>
          <t>11:45:25</t>
        </is>
      </c>
      <c r="M1835" t="inlineStr">
        <is>
          <t>11:45:50</t>
        </is>
      </c>
    </row>
    <row r="1836" ht="15" customHeight="1" s="37">
      <c r="A1836" t="n">
        <v>18</v>
      </c>
      <c r="B1836" s="10" t="inlineStr">
        <is>
          <t>休日</t>
        </is>
      </c>
      <c r="C1836" s="10" t="inlineStr">
        <is>
          <t>北野線</t>
        </is>
      </c>
      <c r="D1836" s="10" t="inlineStr">
        <is>
          <t>下り</t>
        </is>
      </c>
      <c r="E1836" t="inlineStr">
        <is>
          <t>1159</t>
        </is>
      </c>
      <c r="F1836" t="inlineStr">
        <is>
          <t>0453</t>
        </is>
      </c>
      <c r="G1836" s="10" t="inlineStr">
        <is>
          <t>妙心寺</t>
        </is>
      </c>
      <c r="H1836" s="10" t="inlineStr">
        <is>
          <t>発</t>
        </is>
      </c>
      <c r="J1836" s="10" t="inlineStr">
        <is>
          <t>営業</t>
        </is>
      </c>
      <c r="L1836" t="inlineStr">
        <is>
          <t>11:46:40</t>
        </is>
      </c>
      <c r="M1836" t="inlineStr">
        <is>
          <t>11:46:50</t>
        </is>
      </c>
    </row>
    <row r="1837" ht="15" customHeight="1" s="37">
      <c r="A1837" t="n">
        <v>18</v>
      </c>
      <c r="B1837" s="10" t="inlineStr">
        <is>
          <t>休日</t>
        </is>
      </c>
      <c r="C1837" s="10" t="inlineStr">
        <is>
          <t>北野線</t>
        </is>
      </c>
      <c r="D1837" s="10" t="inlineStr">
        <is>
          <t>下り</t>
        </is>
      </c>
      <c r="E1837" t="inlineStr">
        <is>
          <t>1159</t>
        </is>
      </c>
      <c r="F1837" t="inlineStr">
        <is>
          <t>0453</t>
        </is>
      </c>
      <c r="G1837" s="10" t="inlineStr">
        <is>
          <t>御室仁和寺</t>
        </is>
      </c>
      <c r="H1837" s="10" t="inlineStr">
        <is>
          <t>発</t>
        </is>
      </c>
      <c r="J1837" s="10" t="inlineStr">
        <is>
          <t>営業</t>
        </is>
      </c>
      <c r="L1837" t="inlineStr">
        <is>
          <t>11:47:50</t>
        </is>
      </c>
      <c r="M1837" t="inlineStr">
        <is>
          <t>11:48:05</t>
        </is>
      </c>
    </row>
    <row r="1838" ht="15" customHeight="1" s="37">
      <c r="A1838" t="n">
        <v>18</v>
      </c>
      <c r="B1838" s="10" t="inlineStr">
        <is>
          <t>休日</t>
        </is>
      </c>
      <c r="C1838" s="10" t="inlineStr">
        <is>
          <t>北野線</t>
        </is>
      </c>
      <c r="D1838" s="10" t="inlineStr">
        <is>
          <t>下り</t>
        </is>
      </c>
      <c r="E1838" t="inlineStr">
        <is>
          <t>1159</t>
        </is>
      </c>
      <c r="F1838" t="inlineStr">
        <is>
          <t>0453</t>
        </is>
      </c>
      <c r="G1838" s="10" t="inlineStr">
        <is>
          <t>宇多野</t>
        </is>
      </c>
      <c r="H1838" s="10" t="inlineStr">
        <is>
          <t>発</t>
        </is>
      </c>
      <c r="J1838" s="10" t="inlineStr">
        <is>
          <t>営業</t>
        </is>
      </c>
      <c r="L1838" t="inlineStr">
        <is>
          <t>11:49:05</t>
        </is>
      </c>
      <c r="M1838" t="inlineStr">
        <is>
          <t>11:49:15</t>
        </is>
      </c>
    </row>
    <row r="1839" ht="15" customHeight="1" s="37">
      <c r="A1839" t="n">
        <v>18</v>
      </c>
      <c r="B1839" s="10" t="inlineStr">
        <is>
          <t>休日</t>
        </is>
      </c>
      <c r="C1839" s="10" t="inlineStr">
        <is>
          <t>北野線</t>
        </is>
      </c>
      <c r="D1839" s="10" t="inlineStr">
        <is>
          <t>下り</t>
        </is>
      </c>
      <c r="E1839" t="inlineStr">
        <is>
          <t>1159</t>
        </is>
      </c>
      <c r="F1839" t="inlineStr">
        <is>
          <t>0453</t>
        </is>
      </c>
      <c r="G1839" s="10" t="inlineStr">
        <is>
          <t>鳴滝</t>
        </is>
      </c>
      <c r="H1839" s="10" t="inlineStr">
        <is>
          <t>発</t>
        </is>
      </c>
      <c r="J1839" s="10" t="inlineStr">
        <is>
          <t>営業</t>
        </is>
      </c>
      <c r="L1839" t="inlineStr">
        <is>
          <t>11:50:35</t>
        </is>
      </c>
      <c r="M1839" t="inlineStr">
        <is>
          <t>11:50:45</t>
        </is>
      </c>
    </row>
    <row r="1840" ht="15" customHeight="1" s="37">
      <c r="A1840" t="n">
        <v>18</v>
      </c>
      <c r="B1840" s="10" t="inlineStr">
        <is>
          <t>休日</t>
        </is>
      </c>
      <c r="C1840" s="10" t="inlineStr">
        <is>
          <t>北野線</t>
        </is>
      </c>
      <c r="D1840" s="10" t="inlineStr">
        <is>
          <t>下り</t>
        </is>
      </c>
      <c r="E1840" t="inlineStr">
        <is>
          <t>1159</t>
        </is>
      </c>
      <c r="F1840" t="inlineStr">
        <is>
          <t>0453</t>
        </is>
      </c>
      <c r="G1840" s="10" t="inlineStr">
        <is>
          <t>常盤</t>
        </is>
      </c>
      <c r="H1840" s="10" t="inlineStr">
        <is>
          <t>発</t>
        </is>
      </c>
      <c r="J1840" s="10" t="inlineStr">
        <is>
          <t>営業</t>
        </is>
      </c>
      <c r="L1840" t="inlineStr">
        <is>
          <t>11:51:35</t>
        </is>
      </c>
      <c r="M1840" t="inlineStr">
        <is>
          <t>11:51:55</t>
        </is>
      </c>
    </row>
    <row r="1841" ht="15" customHeight="1" s="37">
      <c r="A1841" t="n">
        <v>18</v>
      </c>
      <c r="B1841" s="10" t="inlineStr">
        <is>
          <t>休日</t>
        </is>
      </c>
      <c r="C1841" s="10" t="inlineStr">
        <is>
          <t>北野線</t>
        </is>
      </c>
      <c r="D1841" s="10" t="inlineStr">
        <is>
          <t>下り</t>
        </is>
      </c>
      <c r="E1841" t="inlineStr">
        <is>
          <t>1159</t>
        </is>
      </c>
      <c r="F1841" t="inlineStr">
        <is>
          <t>0453</t>
        </is>
      </c>
      <c r="G1841" s="10" t="inlineStr">
        <is>
          <t>撮影所前</t>
        </is>
      </c>
      <c r="H1841" s="10" t="inlineStr">
        <is>
          <t>発</t>
        </is>
      </c>
      <c r="J1841" s="10" t="inlineStr">
        <is>
          <t>営業</t>
        </is>
      </c>
      <c r="L1841" t="inlineStr">
        <is>
          <t>11:53:15</t>
        </is>
      </c>
      <c r="M1841" t="inlineStr">
        <is>
          <t>11:53:30</t>
        </is>
      </c>
    </row>
    <row r="1842" ht="15" customHeight="1" s="37">
      <c r="A1842" t="n">
        <v>18</v>
      </c>
      <c r="B1842" s="10" t="inlineStr">
        <is>
          <t>休日</t>
        </is>
      </c>
      <c r="C1842" s="10" t="inlineStr">
        <is>
          <t>北野線</t>
        </is>
      </c>
      <c r="D1842" s="10" t="inlineStr">
        <is>
          <t>下り</t>
        </is>
      </c>
      <c r="E1842" t="inlineStr">
        <is>
          <t>1159</t>
        </is>
      </c>
      <c r="F1842" t="inlineStr">
        <is>
          <t>0453</t>
        </is>
      </c>
      <c r="G1842" s="10" t="inlineStr">
        <is>
          <t>帷子ノ辻</t>
        </is>
      </c>
      <c r="H1842" s="10" t="inlineStr">
        <is>
          <t>着</t>
        </is>
      </c>
      <c r="J1842" s="10" t="inlineStr">
        <is>
          <t>営業</t>
        </is>
      </c>
      <c r="L1842" t="inlineStr">
        <is>
          <t>11:54:25</t>
        </is>
      </c>
      <c r="Q1842" t="inlineStr">
        <is>
          <t>4</t>
        </is>
      </c>
    </row>
    <row r="1843" ht="15" customHeight="1" s="37">
      <c r="A1843" t="n">
        <v>18</v>
      </c>
      <c r="B1843" s="10" t="inlineStr">
        <is>
          <t>休日</t>
        </is>
      </c>
      <c r="C1843" s="10" t="inlineStr">
        <is>
          <t>北野線</t>
        </is>
      </c>
      <c r="D1843" s="10" t="inlineStr">
        <is>
          <t>上り</t>
        </is>
      </c>
      <c r="E1843" t="inlineStr">
        <is>
          <t>1252</t>
        </is>
      </c>
      <c r="F1843" t="inlineStr">
        <is>
          <t>0354</t>
        </is>
      </c>
      <c r="G1843" s="10" t="inlineStr">
        <is>
          <t>帷子ノ辻</t>
        </is>
      </c>
      <c r="H1843" s="10" t="inlineStr">
        <is>
          <t>発</t>
        </is>
      </c>
      <c r="J1843" s="10" t="inlineStr">
        <is>
          <t>営業</t>
        </is>
      </c>
      <c r="M1843" t="inlineStr">
        <is>
          <t>12:06:25</t>
        </is>
      </c>
      <c r="Q1843" t="inlineStr">
        <is>
          <t>4</t>
        </is>
      </c>
    </row>
    <row r="1844" ht="15" customHeight="1" s="37">
      <c r="A1844" t="n">
        <v>18</v>
      </c>
      <c r="B1844" s="10" t="inlineStr">
        <is>
          <t>休日</t>
        </is>
      </c>
      <c r="C1844" s="10" t="inlineStr">
        <is>
          <t>北野線</t>
        </is>
      </c>
      <c r="D1844" s="10" t="inlineStr">
        <is>
          <t>上り</t>
        </is>
      </c>
      <c r="E1844" t="inlineStr">
        <is>
          <t>1252</t>
        </is>
      </c>
      <c r="F1844" t="inlineStr">
        <is>
          <t>0354</t>
        </is>
      </c>
      <c r="G1844" s="10" t="inlineStr">
        <is>
          <t>撮影所前</t>
        </is>
      </c>
      <c r="H1844" s="10" t="inlineStr">
        <is>
          <t>発</t>
        </is>
      </c>
      <c r="J1844" s="10" t="inlineStr">
        <is>
          <t>営業</t>
        </is>
      </c>
      <c r="L1844" t="inlineStr">
        <is>
          <t>12:07:25</t>
        </is>
      </c>
      <c r="M1844" t="inlineStr">
        <is>
          <t>12:07:40</t>
        </is>
      </c>
    </row>
    <row r="1845" ht="15" customHeight="1" s="37">
      <c r="A1845" t="n">
        <v>18</v>
      </c>
      <c r="B1845" s="10" t="inlineStr">
        <is>
          <t>休日</t>
        </is>
      </c>
      <c r="C1845" s="10" t="inlineStr">
        <is>
          <t>北野線</t>
        </is>
      </c>
      <c r="D1845" s="10" t="inlineStr">
        <is>
          <t>上り</t>
        </is>
      </c>
      <c r="E1845" t="inlineStr">
        <is>
          <t>1252</t>
        </is>
      </c>
      <c r="F1845" t="inlineStr">
        <is>
          <t>0354</t>
        </is>
      </c>
      <c r="G1845" s="10" t="inlineStr">
        <is>
          <t>常盤</t>
        </is>
      </c>
      <c r="H1845" s="10" t="inlineStr">
        <is>
          <t>発</t>
        </is>
      </c>
      <c r="J1845" s="10" t="inlineStr">
        <is>
          <t>営業</t>
        </is>
      </c>
      <c r="L1845" t="inlineStr">
        <is>
          <t>12:09:00</t>
        </is>
      </c>
      <c r="M1845" t="inlineStr">
        <is>
          <t>12:09:20</t>
        </is>
      </c>
    </row>
    <row r="1846" ht="15" customHeight="1" s="37">
      <c r="A1846" t="n">
        <v>18</v>
      </c>
      <c r="B1846" s="10" t="inlineStr">
        <is>
          <t>休日</t>
        </is>
      </c>
      <c r="C1846" s="10" t="inlineStr">
        <is>
          <t>北野線</t>
        </is>
      </c>
      <c r="D1846" s="10" t="inlineStr">
        <is>
          <t>上り</t>
        </is>
      </c>
      <c r="E1846" t="inlineStr">
        <is>
          <t>1252</t>
        </is>
      </c>
      <c r="F1846" t="inlineStr">
        <is>
          <t>0354</t>
        </is>
      </c>
      <c r="G1846" s="10" t="inlineStr">
        <is>
          <t>鳴滝</t>
        </is>
      </c>
      <c r="H1846" s="10" t="inlineStr">
        <is>
          <t>発</t>
        </is>
      </c>
      <c r="J1846" s="10" t="inlineStr">
        <is>
          <t>営業</t>
        </is>
      </c>
      <c r="L1846" t="inlineStr">
        <is>
          <t>12:10:20</t>
        </is>
      </c>
      <c r="M1846" t="inlineStr">
        <is>
          <t>12:10:40</t>
        </is>
      </c>
    </row>
    <row r="1847" ht="15" customHeight="1" s="37">
      <c r="A1847" t="n">
        <v>18</v>
      </c>
      <c r="B1847" s="10" t="inlineStr">
        <is>
          <t>休日</t>
        </is>
      </c>
      <c r="C1847" s="10" t="inlineStr">
        <is>
          <t>北野線</t>
        </is>
      </c>
      <c r="D1847" s="10" t="inlineStr">
        <is>
          <t>上り</t>
        </is>
      </c>
      <c r="E1847" t="inlineStr">
        <is>
          <t>1252</t>
        </is>
      </c>
      <c r="F1847" t="inlineStr">
        <is>
          <t>0354</t>
        </is>
      </c>
      <c r="G1847" s="10" t="inlineStr">
        <is>
          <t>宇多野</t>
        </is>
      </c>
      <c r="H1847" s="10" t="inlineStr">
        <is>
          <t>発</t>
        </is>
      </c>
      <c r="J1847" s="10" t="inlineStr">
        <is>
          <t>営業</t>
        </is>
      </c>
      <c r="L1847" t="inlineStr">
        <is>
          <t>12:12:00</t>
        </is>
      </c>
      <c r="M1847" t="inlineStr">
        <is>
          <t>12:12:15</t>
        </is>
      </c>
    </row>
    <row r="1848" ht="15" customHeight="1" s="37">
      <c r="A1848" t="n">
        <v>18</v>
      </c>
      <c r="B1848" s="10" t="inlineStr">
        <is>
          <t>休日</t>
        </is>
      </c>
      <c r="C1848" s="10" t="inlineStr">
        <is>
          <t>北野線</t>
        </is>
      </c>
      <c r="D1848" s="10" t="inlineStr">
        <is>
          <t>上り</t>
        </is>
      </c>
      <c r="E1848" t="inlineStr">
        <is>
          <t>1252</t>
        </is>
      </c>
      <c r="F1848" t="inlineStr">
        <is>
          <t>0354</t>
        </is>
      </c>
      <c r="G1848" s="10" t="inlineStr">
        <is>
          <t>御室仁和寺</t>
        </is>
      </c>
      <c r="H1848" s="10" t="inlineStr">
        <is>
          <t>発</t>
        </is>
      </c>
      <c r="J1848" s="10" t="inlineStr">
        <is>
          <t>営業</t>
        </is>
      </c>
      <c r="L1848" t="inlineStr">
        <is>
          <t>12:13:15</t>
        </is>
      </c>
      <c r="M1848" t="inlineStr">
        <is>
          <t>12:13:35</t>
        </is>
      </c>
    </row>
    <row r="1849" ht="15" customHeight="1" s="37">
      <c r="A1849" t="n">
        <v>18</v>
      </c>
      <c r="B1849" s="10" t="inlineStr">
        <is>
          <t>休日</t>
        </is>
      </c>
      <c r="C1849" s="10" t="inlineStr">
        <is>
          <t>北野線</t>
        </is>
      </c>
      <c r="D1849" s="10" t="inlineStr">
        <is>
          <t>上り</t>
        </is>
      </c>
      <c r="E1849" t="inlineStr">
        <is>
          <t>1252</t>
        </is>
      </c>
      <c r="F1849" t="inlineStr">
        <is>
          <t>0354</t>
        </is>
      </c>
      <c r="G1849" s="10" t="inlineStr">
        <is>
          <t>妙心寺</t>
        </is>
      </c>
      <c r="H1849" s="10" t="inlineStr">
        <is>
          <t>発</t>
        </is>
      </c>
      <c r="J1849" s="10" t="inlineStr">
        <is>
          <t>営業</t>
        </is>
      </c>
      <c r="L1849" t="inlineStr">
        <is>
          <t>12:14:35</t>
        </is>
      </c>
      <c r="M1849" t="inlineStr">
        <is>
          <t>12:14:50</t>
        </is>
      </c>
    </row>
    <row r="1850" ht="15" customHeight="1" s="37">
      <c r="A1850" t="n">
        <v>18</v>
      </c>
      <c r="B1850" s="10" t="inlineStr">
        <is>
          <t>休日</t>
        </is>
      </c>
      <c r="C1850" s="10" t="inlineStr">
        <is>
          <t>北野線</t>
        </is>
      </c>
      <c r="D1850" s="10" t="inlineStr">
        <is>
          <t>上り</t>
        </is>
      </c>
      <c r="E1850" t="inlineStr">
        <is>
          <t>1252</t>
        </is>
      </c>
      <c r="F1850" t="inlineStr">
        <is>
          <t>0354</t>
        </is>
      </c>
      <c r="G1850" s="10" t="inlineStr">
        <is>
          <t>龍安寺</t>
        </is>
      </c>
      <c r="H1850" s="10" t="inlineStr">
        <is>
          <t>発</t>
        </is>
      </c>
      <c r="J1850" s="10" t="inlineStr">
        <is>
          <t>営業</t>
        </is>
      </c>
      <c r="L1850" t="inlineStr">
        <is>
          <t>12:15:45</t>
        </is>
      </c>
      <c r="M1850" t="inlineStr">
        <is>
          <t>12:15:55</t>
        </is>
      </c>
    </row>
    <row r="1851" ht="15" customHeight="1" s="37">
      <c r="A1851" t="n">
        <v>18</v>
      </c>
      <c r="B1851" s="10" t="inlineStr">
        <is>
          <t>休日</t>
        </is>
      </c>
      <c r="C1851" s="10" t="inlineStr">
        <is>
          <t>北野線</t>
        </is>
      </c>
      <c r="D1851" s="10" t="inlineStr">
        <is>
          <t>上り</t>
        </is>
      </c>
      <c r="E1851" t="inlineStr">
        <is>
          <t>1252</t>
        </is>
      </c>
      <c r="F1851" t="inlineStr">
        <is>
          <t>0354</t>
        </is>
      </c>
      <c r="G1851" s="10" t="inlineStr">
        <is>
          <t>等持院</t>
        </is>
      </c>
      <c r="H1851" s="10" t="inlineStr">
        <is>
          <t>発</t>
        </is>
      </c>
      <c r="J1851" s="10" t="inlineStr">
        <is>
          <t>営業</t>
        </is>
      </c>
      <c r="L1851" t="inlineStr">
        <is>
          <t>12:16:35</t>
        </is>
      </c>
      <c r="M1851" t="inlineStr">
        <is>
          <t>12:16:55</t>
        </is>
      </c>
    </row>
    <row r="1852" ht="15" customHeight="1" s="37">
      <c r="A1852" t="n">
        <v>18</v>
      </c>
      <c r="B1852" s="10" t="inlineStr">
        <is>
          <t>休日</t>
        </is>
      </c>
      <c r="C1852" s="10" t="inlineStr">
        <is>
          <t>北野線</t>
        </is>
      </c>
      <c r="D1852" s="10" t="inlineStr">
        <is>
          <t>上り</t>
        </is>
      </c>
      <c r="E1852" t="inlineStr">
        <is>
          <t>1252</t>
        </is>
      </c>
      <c r="F1852" t="inlineStr">
        <is>
          <t>0354</t>
        </is>
      </c>
      <c r="G1852" s="10" t="inlineStr">
        <is>
          <t>北野白梅町</t>
        </is>
      </c>
      <c r="H1852" s="10" t="inlineStr">
        <is>
          <t>着</t>
        </is>
      </c>
      <c r="J1852" s="10" t="inlineStr">
        <is>
          <t>営業</t>
        </is>
      </c>
      <c r="L1852" t="inlineStr">
        <is>
          <t>12:18:15</t>
        </is>
      </c>
      <c r="Q1852" t="inlineStr">
        <is>
          <t>1</t>
        </is>
      </c>
    </row>
    <row r="1853" ht="15" customHeight="1" s="37">
      <c r="A1853" t="n">
        <v>18</v>
      </c>
      <c r="B1853" s="10" t="inlineStr">
        <is>
          <t>休日</t>
        </is>
      </c>
      <c r="C1853" s="10" t="inlineStr">
        <is>
          <t>北野線</t>
        </is>
      </c>
      <c r="D1853" s="10" t="inlineStr">
        <is>
          <t>下り</t>
        </is>
      </c>
      <c r="E1853" t="inlineStr">
        <is>
          <t>1255</t>
        </is>
      </c>
      <c r="F1853" t="inlineStr">
        <is>
          <t>0453</t>
        </is>
      </c>
      <c r="G1853" s="10" t="inlineStr">
        <is>
          <t>北野白梅町</t>
        </is>
      </c>
      <c r="H1853" s="10" t="inlineStr">
        <is>
          <t>発</t>
        </is>
      </c>
      <c r="J1853" s="10" t="inlineStr">
        <is>
          <t>営業</t>
        </is>
      </c>
      <c r="M1853" t="inlineStr">
        <is>
          <t>12:23:00</t>
        </is>
      </c>
      <c r="Q1853" t="inlineStr">
        <is>
          <t>1</t>
        </is>
      </c>
    </row>
    <row r="1854" ht="15" customHeight="1" s="37">
      <c r="A1854" t="n">
        <v>18</v>
      </c>
      <c r="B1854" s="10" t="inlineStr">
        <is>
          <t>休日</t>
        </is>
      </c>
      <c r="C1854" s="10" t="inlineStr">
        <is>
          <t>北野線</t>
        </is>
      </c>
      <c r="D1854" s="10" t="inlineStr">
        <is>
          <t>下り</t>
        </is>
      </c>
      <c r="E1854" t="inlineStr">
        <is>
          <t>1255</t>
        </is>
      </c>
      <c r="F1854" t="inlineStr">
        <is>
          <t>0453</t>
        </is>
      </c>
      <c r="G1854" s="10" t="inlineStr">
        <is>
          <t>等持院</t>
        </is>
      </c>
      <c r="H1854" s="10" t="inlineStr">
        <is>
          <t>発</t>
        </is>
      </c>
      <c r="J1854" s="10" t="inlineStr">
        <is>
          <t>営業</t>
        </is>
      </c>
      <c r="L1854" t="inlineStr">
        <is>
          <t>12:24:25</t>
        </is>
      </c>
      <c r="M1854" t="inlineStr">
        <is>
          <t>12:24:35</t>
        </is>
      </c>
    </row>
    <row r="1855" ht="15" customHeight="1" s="37">
      <c r="A1855" t="n">
        <v>18</v>
      </c>
      <c r="B1855" s="10" t="inlineStr">
        <is>
          <t>休日</t>
        </is>
      </c>
      <c r="C1855" s="10" t="inlineStr">
        <is>
          <t>北野線</t>
        </is>
      </c>
      <c r="D1855" s="10" t="inlineStr">
        <is>
          <t>下り</t>
        </is>
      </c>
      <c r="E1855" t="inlineStr">
        <is>
          <t>1255</t>
        </is>
      </c>
      <c r="F1855" t="inlineStr">
        <is>
          <t>0453</t>
        </is>
      </c>
      <c r="G1855" s="10" t="inlineStr">
        <is>
          <t>龍安寺</t>
        </is>
      </c>
      <c r="H1855" s="10" t="inlineStr">
        <is>
          <t>発</t>
        </is>
      </c>
      <c r="J1855" s="10" t="inlineStr">
        <is>
          <t>営業</t>
        </is>
      </c>
      <c r="L1855" t="inlineStr">
        <is>
          <t>12:25:25</t>
        </is>
      </c>
      <c r="M1855" t="inlineStr">
        <is>
          <t>12:25:50</t>
        </is>
      </c>
    </row>
    <row r="1856" ht="15" customHeight="1" s="37">
      <c r="A1856" t="n">
        <v>18</v>
      </c>
      <c r="B1856" s="10" t="inlineStr">
        <is>
          <t>休日</t>
        </is>
      </c>
      <c r="C1856" s="10" t="inlineStr">
        <is>
          <t>北野線</t>
        </is>
      </c>
      <c r="D1856" s="10" t="inlineStr">
        <is>
          <t>下り</t>
        </is>
      </c>
      <c r="E1856" t="inlineStr">
        <is>
          <t>1255</t>
        </is>
      </c>
      <c r="F1856" t="inlineStr">
        <is>
          <t>0453</t>
        </is>
      </c>
      <c r="G1856" s="10" t="inlineStr">
        <is>
          <t>妙心寺</t>
        </is>
      </c>
      <c r="H1856" s="10" t="inlineStr">
        <is>
          <t>発</t>
        </is>
      </c>
      <c r="J1856" s="10" t="inlineStr">
        <is>
          <t>営業</t>
        </is>
      </c>
      <c r="L1856" t="inlineStr">
        <is>
          <t>12:26:40</t>
        </is>
      </c>
      <c r="M1856" t="inlineStr">
        <is>
          <t>12:26:50</t>
        </is>
      </c>
    </row>
    <row r="1857" ht="15" customHeight="1" s="37">
      <c r="A1857" t="n">
        <v>18</v>
      </c>
      <c r="B1857" s="10" t="inlineStr">
        <is>
          <t>休日</t>
        </is>
      </c>
      <c r="C1857" s="10" t="inlineStr">
        <is>
          <t>北野線</t>
        </is>
      </c>
      <c r="D1857" s="10" t="inlineStr">
        <is>
          <t>下り</t>
        </is>
      </c>
      <c r="E1857" t="inlineStr">
        <is>
          <t>1255</t>
        </is>
      </c>
      <c r="F1857" t="inlineStr">
        <is>
          <t>0453</t>
        </is>
      </c>
      <c r="G1857" s="10" t="inlineStr">
        <is>
          <t>御室仁和寺</t>
        </is>
      </c>
      <c r="H1857" s="10" t="inlineStr">
        <is>
          <t>発</t>
        </is>
      </c>
      <c r="J1857" s="10" t="inlineStr">
        <is>
          <t>営業</t>
        </is>
      </c>
      <c r="L1857" t="inlineStr">
        <is>
          <t>12:27:50</t>
        </is>
      </c>
      <c r="M1857" t="inlineStr">
        <is>
          <t>12:28:05</t>
        </is>
      </c>
    </row>
    <row r="1858" ht="15" customHeight="1" s="37">
      <c r="A1858" t="n">
        <v>18</v>
      </c>
      <c r="B1858" s="10" t="inlineStr">
        <is>
          <t>休日</t>
        </is>
      </c>
      <c r="C1858" s="10" t="inlineStr">
        <is>
          <t>北野線</t>
        </is>
      </c>
      <c r="D1858" s="10" t="inlineStr">
        <is>
          <t>下り</t>
        </is>
      </c>
      <c r="E1858" t="inlineStr">
        <is>
          <t>1255</t>
        </is>
      </c>
      <c r="F1858" t="inlineStr">
        <is>
          <t>0453</t>
        </is>
      </c>
      <c r="G1858" s="10" t="inlineStr">
        <is>
          <t>宇多野</t>
        </is>
      </c>
      <c r="H1858" s="10" t="inlineStr">
        <is>
          <t>発</t>
        </is>
      </c>
      <c r="J1858" s="10" t="inlineStr">
        <is>
          <t>営業</t>
        </is>
      </c>
      <c r="L1858" t="inlineStr">
        <is>
          <t>12:29:05</t>
        </is>
      </c>
      <c r="M1858" t="inlineStr">
        <is>
          <t>12:29:15</t>
        </is>
      </c>
    </row>
    <row r="1859" ht="15" customHeight="1" s="37">
      <c r="A1859" t="n">
        <v>18</v>
      </c>
      <c r="B1859" s="10" t="inlineStr">
        <is>
          <t>休日</t>
        </is>
      </c>
      <c r="C1859" s="10" t="inlineStr">
        <is>
          <t>北野線</t>
        </is>
      </c>
      <c r="D1859" s="10" t="inlineStr">
        <is>
          <t>下り</t>
        </is>
      </c>
      <c r="E1859" t="inlineStr">
        <is>
          <t>1255</t>
        </is>
      </c>
      <c r="F1859" t="inlineStr">
        <is>
          <t>0453</t>
        </is>
      </c>
      <c r="G1859" s="10" t="inlineStr">
        <is>
          <t>鳴滝</t>
        </is>
      </c>
      <c r="H1859" s="10" t="inlineStr">
        <is>
          <t>発</t>
        </is>
      </c>
      <c r="J1859" s="10" t="inlineStr">
        <is>
          <t>営業</t>
        </is>
      </c>
      <c r="L1859" t="inlineStr">
        <is>
          <t>12:30:35</t>
        </is>
      </c>
      <c r="M1859" t="inlineStr">
        <is>
          <t>12:30:45</t>
        </is>
      </c>
    </row>
    <row r="1860" ht="15" customHeight="1" s="37">
      <c r="A1860" t="n">
        <v>18</v>
      </c>
      <c r="B1860" s="10" t="inlineStr">
        <is>
          <t>休日</t>
        </is>
      </c>
      <c r="C1860" s="10" t="inlineStr">
        <is>
          <t>北野線</t>
        </is>
      </c>
      <c r="D1860" s="10" t="inlineStr">
        <is>
          <t>下り</t>
        </is>
      </c>
      <c r="E1860" t="inlineStr">
        <is>
          <t>1255</t>
        </is>
      </c>
      <c r="F1860" t="inlineStr">
        <is>
          <t>0453</t>
        </is>
      </c>
      <c r="G1860" s="10" t="inlineStr">
        <is>
          <t>常盤</t>
        </is>
      </c>
      <c r="H1860" s="10" t="inlineStr">
        <is>
          <t>発</t>
        </is>
      </c>
      <c r="J1860" s="10" t="inlineStr">
        <is>
          <t>営業</t>
        </is>
      </c>
      <c r="L1860" t="inlineStr">
        <is>
          <t>12:31:35</t>
        </is>
      </c>
      <c r="M1860" t="inlineStr">
        <is>
          <t>12:31:55</t>
        </is>
      </c>
    </row>
    <row r="1861" ht="15" customHeight="1" s="37">
      <c r="A1861" t="n">
        <v>18</v>
      </c>
      <c r="B1861" s="10" t="inlineStr">
        <is>
          <t>休日</t>
        </is>
      </c>
      <c r="C1861" s="10" t="inlineStr">
        <is>
          <t>北野線</t>
        </is>
      </c>
      <c r="D1861" s="10" t="inlineStr">
        <is>
          <t>下り</t>
        </is>
      </c>
      <c r="E1861" t="inlineStr">
        <is>
          <t>1255</t>
        </is>
      </c>
      <c r="F1861" t="inlineStr">
        <is>
          <t>0453</t>
        </is>
      </c>
      <c r="G1861" s="10" t="inlineStr">
        <is>
          <t>撮影所前</t>
        </is>
      </c>
      <c r="H1861" s="10" t="inlineStr">
        <is>
          <t>発</t>
        </is>
      </c>
      <c r="J1861" s="10" t="inlineStr">
        <is>
          <t>営業</t>
        </is>
      </c>
      <c r="L1861" t="inlineStr">
        <is>
          <t>12:33:15</t>
        </is>
      </c>
      <c r="M1861" t="inlineStr">
        <is>
          <t>12:33:30</t>
        </is>
      </c>
    </row>
    <row r="1862" ht="15" customHeight="1" s="37">
      <c r="A1862" t="n">
        <v>18</v>
      </c>
      <c r="B1862" s="10" t="inlineStr">
        <is>
          <t>休日</t>
        </is>
      </c>
      <c r="C1862" s="10" t="inlineStr">
        <is>
          <t>北野線</t>
        </is>
      </c>
      <c r="D1862" s="10" t="inlineStr">
        <is>
          <t>下り</t>
        </is>
      </c>
      <c r="E1862" t="inlineStr">
        <is>
          <t>1255</t>
        </is>
      </c>
      <c r="F1862" t="inlineStr">
        <is>
          <t>0453</t>
        </is>
      </c>
      <c r="G1862" s="10" t="inlineStr">
        <is>
          <t>帷子ノ辻</t>
        </is>
      </c>
      <c r="H1862" s="10" t="inlineStr">
        <is>
          <t>着</t>
        </is>
      </c>
      <c r="J1862" s="10" t="inlineStr">
        <is>
          <t>営業</t>
        </is>
      </c>
      <c r="L1862" t="inlineStr">
        <is>
          <t>12:34:25</t>
        </is>
      </c>
      <c r="Q1862" t="inlineStr">
        <is>
          <t>4</t>
        </is>
      </c>
    </row>
    <row r="1863" ht="15" customHeight="1" s="37">
      <c r="A1863" t="n">
        <v>18</v>
      </c>
      <c r="B1863" s="10" t="inlineStr">
        <is>
          <t>休日</t>
        </is>
      </c>
      <c r="C1863" s="10" t="inlineStr">
        <is>
          <t>北野線</t>
        </is>
      </c>
      <c r="D1863" s="10" t="inlineStr">
        <is>
          <t>上り</t>
        </is>
      </c>
      <c r="E1863" t="inlineStr">
        <is>
          <t>1260</t>
        </is>
      </c>
      <c r="F1863" t="inlineStr">
        <is>
          <t>0354</t>
        </is>
      </c>
      <c r="G1863" s="10" t="inlineStr">
        <is>
          <t>帷子ノ辻</t>
        </is>
      </c>
      <c r="H1863" s="10" t="inlineStr">
        <is>
          <t>発</t>
        </is>
      </c>
      <c r="J1863" s="10" t="inlineStr">
        <is>
          <t>営業</t>
        </is>
      </c>
      <c r="M1863" t="inlineStr">
        <is>
          <t>12:46:25</t>
        </is>
      </c>
      <c r="Q1863" t="inlineStr">
        <is>
          <t>4</t>
        </is>
      </c>
    </row>
    <row r="1864" ht="15" customHeight="1" s="37">
      <c r="A1864" t="n">
        <v>18</v>
      </c>
      <c r="B1864" s="10" t="inlineStr">
        <is>
          <t>休日</t>
        </is>
      </c>
      <c r="C1864" s="10" t="inlineStr">
        <is>
          <t>北野線</t>
        </is>
      </c>
      <c r="D1864" s="10" t="inlineStr">
        <is>
          <t>上り</t>
        </is>
      </c>
      <c r="E1864" t="inlineStr">
        <is>
          <t>1260</t>
        </is>
      </c>
      <c r="F1864" t="inlineStr">
        <is>
          <t>0354</t>
        </is>
      </c>
      <c r="G1864" s="10" t="inlineStr">
        <is>
          <t>撮影所前</t>
        </is>
      </c>
      <c r="H1864" s="10" t="inlineStr">
        <is>
          <t>発</t>
        </is>
      </c>
      <c r="J1864" s="10" t="inlineStr">
        <is>
          <t>営業</t>
        </is>
      </c>
      <c r="L1864" t="inlineStr">
        <is>
          <t>12:47:25</t>
        </is>
      </c>
      <c r="M1864" t="inlineStr">
        <is>
          <t>12:47:40</t>
        </is>
      </c>
    </row>
    <row r="1865" ht="15" customHeight="1" s="37">
      <c r="A1865" t="n">
        <v>18</v>
      </c>
      <c r="B1865" s="10" t="inlineStr">
        <is>
          <t>休日</t>
        </is>
      </c>
      <c r="C1865" s="10" t="inlineStr">
        <is>
          <t>北野線</t>
        </is>
      </c>
      <c r="D1865" s="10" t="inlineStr">
        <is>
          <t>上り</t>
        </is>
      </c>
      <c r="E1865" t="inlineStr">
        <is>
          <t>1260</t>
        </is>
      </c>
      <c r="F1865" t="inlineStr">
        <is>
          <t>0354</t>
        </is>
      </c>
      <c r="G1865" s="10" t="inlineStr">
        <is>
          <t>常盤</t>
        </is>
      </c>
      <c r="H1865" s="10" t="inlineStr">
        <is>
          <t>発</t>
        </is>
      </c>
      <c r="J1865" s="10" t="inlineStr">
        <is>
          <t>営業</t>
        </is>
      </c>
      <c r="L1865" t="inlineStr">
        <is>
          <t>12:49:00</t>
        </is>
      </c>
      <c r="M1865" t="inlineStr">
        <is>
          <t>12:49:20</t>
        </is>
      </c>
    </row>
    <row r="1866" ht="15" customHeight="1" s="37">
      <c r="A1866" t="n">
        <v>18</v>
      </c>
      <c r="B1866" s="10" t="inlineStr">
        <is>
          <t>休日</t>
        </is>
      </c>
      <c r="C1866" s="10" t="inlineStr">
        <is>
          <t>北野線</t>
        </is>
      </c>
      <c r="D1866" s="10" t="inlineStr">
        <is>
          <t>上り</t>
        </is>
      </c>
      <c r="E1866" t="inlineStr">
        <is>
          <t>1260</t>
        </is>
      </c>
      <c r="F1866" t="inlineStr">
        <is>
          <t>0354</t>
        </is>
      </c>
      <c r="G1866" s="10" t="inlineStr">
        <is>
          <t>鳴滝</t>
        </is>
      </c>
      <c r="H1866" s="10" t="inlineStr">
        <is>
          <t>発</t>
        </is>
      </c>
      <c r="J1866" s="10" t="inlineStr">
        <is>
          <t>営業</t>
        </is>
      </c>
      <c r="L1866" t="inlineStr">
        <is>
          <t>12:50:20</t>
        </is>
      </c>
      <c r="M1866" t="inlineStr">
        <is>
          <t>12:50:40</t>
        </is>
      </c>
    </row>
    <row r="1867" ht="15" customHeight="1" s="37">
      <c r="A1867" t="n">
        <v>18</v>
      </c>
      <c r="B1867" s="10" t="inlineStr">
        <is>
          <t>休日</t>
        </is>
      </c>
      <c r="C1867" s="10" t="inlineStr">
        <is>
          <t>北野線</t>
        </is>
      </c>
      <c r="D1867" s="10" t="inlineStr">
        <is>
          <t>上り</t>
        </is>
      </c>
      <c r="E1867" t="inlineStr">
        <is>
          <t>1260</t>
        </is>
      </c>
      <c r="F1867" t="inlineStr">
        <is>
          <t>0354</t>
        </is>
      </c>
      <c r="G1867" s="10" t="inlineStr">
        <is>
          <t>宇多野</t>
        </is>
      </c>
      <c r="H1867" s="10" t="inlineStr">
        <is>
          <t>発</t>
        </is>
      </c>
      <c r="J1867" s="10" t="inlineStr">
        <is>
          <t>営業</t>
        </is>
      </c>
      <c r="L1867" t="inlineStr">
        <is>
          <t>12:52:00</t>
        </is>
      </c>
      <c r="M1867" t="inlineStr">
        <is>
          <t>12:52:15</t>
        </is>
      </c>
    </row>
    <row r="1868" ht="15" customHeight="1" s="37">
      <c r="A1868" t="n">
        <v>18</v>
      </c>
      <c r="B1868" s="10" t="inlineStr">
        <is>
          <t>休日</t>
        </is>
      </c>
      <c r="C1868" s="10" t="inlineStr">
        <is>
          <t>北野線</t>
        </is>
      </c>
      <c r="D1868" s="10" t="inlineStr">
        <is>
          <t>上り</t>
        </is>
      </c>
      <c r="E1868" t="inlineStr">
        <is>
          <t>1260</t>
        </is>
      </c>
      <c r="F1868" t="inlineStr">
        <is>
          <t>0354</t>
        </is>
      </c>
      <c r="G1868" s="10" t="inlineStr">
        <is>
          <t>御室仁和寺</t>
        </is>
      </c>
      <c r="H1868" s="10" t="inlineStr">
        <is>
          <t>発</t>
        </is>
      </c>
      <c r="J1868" s="10" t="inlineStr">
        <is>
          <t>営業</t>
        </is>
      </c>
      <c r="L1868" t="inlineStr">
        <is>
          <t>12:53:15</t>
        </is>
      </c>
      <c r="M1868" t="inlineStr">
        <is>
          <t>12:53:35</t>
        </is>
      </c>
    </row>
    <row r="1869" ht="15" customHeight="1" s="37">
      <c r="A1869" t="n">
        <v>18</v>
      </c>
      <c r="B1869" s="10" t="inlineStr">
        <is>
          <t>休日</t>
        </is>
      </c>
      <c r="C1869" s="10" t="inlineStr">
        <is>
          <t>北野線</t>
        </is>
      </c>
      <c r="D1869" s="10" t="inlineStr">
        <is>
          <t>上り</t>
        </is>
      </c>
      <c r="E1869" t="inlineStr">
        <is>
          <t>1260</t>
        </is>
      </c>
      <c r="F1869" t="inlineStr">
        <is>
          <t>0354</t>
        </is>
      </c>
      <c r="G1869" s="10" t="inlineStr">
        <is>
          <t>妙心寺</t>
        </is>
      </c>
      <c r="H1869" s="10" t="inlineStr">
        <is>
          <t>発</t>
        </is>
      </c>
      <c r="J1869" s="10" t="inlineStr">
        <is>
          <t>営業</t>
        </is>
      </c>
      <c r="L1869" t="inlineStr">
        <is>
          <t>12:54:35</t>
        </is>
      </c>
      <c r="M1869" t="inlineStr">
        <is>
          <t>12:54:50</t>
        </is>
      </c>
    </row>
    <row r="1870" ht="15" customHeight="1" s="37">
      <c r="A1870" t="n">
        <v>18</v>
      </c>
      <c r="B1870" s="10" t="inlineStr">
        <is>
          <t>休日</t>
        </is>
      </c>
      <c r="C1870" s="10" t="inlineStr">
        <is>
          <t>北野線</t>
        </is>
      </c>
      <c r="D1870" s="10" t="inlineStr">
        <is>
          <t>上り</t>
        </is>
      </c>
      <c r="E1870" t="inlineStr">
        <is>
          <t>1260</t>
        </is>
      </c>
      <c r="F1870" t="inlineStr">
        <is>
          <t>0354</t>
        </is>
      </c>
      <c r="G1870" s="10" t="inlineStr">
        <is>
          <t>龍安寺</t>
        </is>
      </c>
      <c r="H1870" s="10" t="inlineStr">
        <is>
          <t>発</t>
        </is>
      </c>
      <c r="J1870" s="10" t="inlineStr">
        <is>
          <t>営業</t>
        </is>
      </c>
      <c r="L1870" t="inlineStr">
        <is>
          <t>12:55:45</t>
        </is>
      </c>
      <c r="M1870" t="inlineStr">
        <is>
          <t>12:55:55</t>
        </is>
      </c>
    </row>
    <row r="1871" ht="15" customHeight="1" s="37">
      <c r="A1871" t="n">
        <v>18</v>
      </c>
      <c r="B1871" s="10" t="inlineStr">
        <is>
          <t>休日</t>
        </is>
      </c>
      <c r="C1871" s="10" t="inlineStr">
        <is>
          <t>北野線</t>
        </is>
      </c>
      <c r="D1871" s="10" t="inlineStr">
        <is>
          <t>上り</t>
        </is>
      </c>
      <c r="E1871" t="inlineStr">
        <is>
          <t>1260</t>
        </is>
      </c>
      <c r="F1871" t="inlineStr">
        <is>
          <t>0354</t>
        </is>
      </c>
      <c r="G1871" s="10" t="inlineStr">
        <is>
          <t>等持院</t>
        </is>
      </c>
      <c r="H1871" s="10" t="inlineStr">
        <is>
          <t>発</t>
        </is>
      </c>
      <c r="J1871" s="10" t="inlineStr">
        <is>
          <t>営業</t>
        </is>
      </c>
      <c r="L1871" t="inlineStr">
        <is>
          <t>12:56:35</t>
        </is>
      </c>
      <c r="M1871" t="inlineStr">
        <is>
          <t>12:56:55</t>
        </is>
      </c>
    </row>
    <row r="1872" ht="15" customHeight="1" s="37">
      <c r="A1872" t="n">
        <v>18</v>
      </c>
      <c r="B1872" s="10" t="inlineStr">
        <is>
          <t>休日</t>
        </is>
      </c>
      <c r="C1872" s="10" t="inlineStr">
        <is>
          <t>北野線</t>
        </is>
      </c>
      <c r="D1872" s="10" t="inlineStr">
        <is>
          <t>上り</t>
        </is>
      </c>
      <c r="E1872" t="inlineStr">
        <is>
          <t>1260</t>
        </is>
      </c>
      <c r="F1872" t="inlineStr">
        <is>
          <t>0354</t>
        </is>
      </c>
      <c r="G1872" s="10" t="inlineStr">
        <is>
          <t>北野白梅町</t>
        </is>
      </c>
      <c r="H1872" s="10" t="inlineStr">
        <is>
          <t>着</t>
        </is>
      </c>
      <c r="J1872" s="10" t="inlineStr">
        <is>
          <t>営業</t>
        </is>
      </c>
      <c r="L1872" t="inlineStr">
        <is>
          <t>12:58:15</t>
        </is>
      </c>
      <c r="Q1872" t="inlineStr">
        <is>
          <t>1</t>
        </is>
      </c>
    </row>
    <row r="1873" ht="15" customHeight="1" s="37">
      <c r="A1873" t="n">
        <v>18</v>
      </c>
      <c r="B1873" s="10" t="inlineStr">
        <is>
          <t>休日</t>
        </is>
      </c>
      <c r="C1873" s="10" t="inlineStr">
        <is>
          <t>北野線</t>
        </is>
      </c>
      <c r="D1873" s="10" t="inlineStr">
        <is>
          <t>下り</t>
        </is>
      </c>
      <c r="E1873" t="inlineStr">
        <is>
          <t>1351</t>
        </is>
      </c>
      <c r="F1873" t="inlineStr">
        <is>
          <t>0453</t>
        </is>
      </c>
      <c r="G1873" s="10" t="inlineStr">
        <is>
          <t>北野白梅町</t>
        </is>
      </c>
      <c r="H1873" s="10" t="inlineStr">
        <is>
          <t>発</t>
        </is>
      </c>
      <c r="J1873" s="10" t="inlineStr">
        <is>
          <t>営業</t>
        </is>
      </c>
      <c r="M1873" t="inlineStr">
        <is>
          <t>13:03:00</t>
        </is>
      </c>
      <c r="Q1873" t="inlineStr">
        <is>
          <t>1</t>
        </is>
      </c>
    </row>
    <row r="1874" ht="15" customHeight="1" s="37">
      <c r="A1874" t="n">
        <v>18</v>
      </c>
      <c r="B1874" s="10" t="inlineStr">
        <is>
          <t>休日</t>
        </is>
      </c>
      <c r="C1874" s="10" t="inlineStr">
        <is>
          <t>北野線</t>
        </is>
      </c>
      <c r="D1874" s="10" t="inlineStr">
        <is>
          <t>下り</t>
        </is>
      </c>
      <c r="E1874" t="inlineStr">
        <is>
          <t>1351</t>
        </is>
      </c>
      <c r="F1874" t="inlineStr">
        <is>
          <t>0453</t>
        </is>
      </c>
      <c r="G1874" s="10" t="inlineStr">
        <is>
          <t>等持院</t>
        </is>
      </c>
      <c r="H1874" s="10" t="inlineStr">
        <is>
          <t>発</t>
        </is>
      </c>
      <c r="J1874" s="10" t="inlineStr">
        <is>
          <t>営業</t>
        </is>
      </c>
      <c r="L1874" t="inlineStr">
        <is>
          <t>13:04:25</t>
        </is>
      </c>
      <c r="M1874" t="inlineStr">
        <is>
          <t>13:04:35</t>
        </is>
      </c>
    </row>
    <row r="1875" ht="15" customHeight="1" s="37">
      <c r="A1875" t="n">
        <v>18</v>
      </c>
      <c r="B1875" s="10" t="inlineStr">
        <is>
          <t>休日</t>
        </is>
      </c>
      <c r="C1875" s="10" t="inlineStr">
        <is>
          <t>北野線</t>
        </is>
      </c>
      <c r="D1875" s="10" t="inlineStr">
        <is>
          <t>下り</t>
        </is>
      </c>
      <c r="E1875" t="inlineStr">
        <is>
          <t>1351</t>
        </is>
      </c>
      <c r="F1875" t="inlineStr">
        <is>
          <t>0453</t>
        </is>
      </c>
      <c r="G1875" s="10" t="inlineStr">
        <is>
          <t>龍安寺</t>
        </is>
      </c>
      <c r="H1875" s="10" t="inlineStr">
        <is>
          <t>発</t>
        </is>
      </c>
      <c r="J1875" s="10" t="inlineStr">
        <is>
          <t>営業</t>
        </is>
      </c>
      <c r="L1875" t="inlineStr">
        <is>
          <t>13:05:25</t>
        </is>
      </c>
      <c r="M1875" t="inlineStr">
        <is>
          <t>13:05:50</t>
        </is>
      </c>
    </row>
    <row r="1876" ht="15" customHeight="1" s="37">
      <c r="A1876" t="n">
        <v>18</v>
      </c>
      <c r="B1876" s="10" t="inlineStr">
        <is>
          <t>休日</t>
        </is>
      </c>
      <c r="C1876" s="10" t="inlineStr">
        <is>
          <t>北野線</t>
        </is>
      </c>
      <c r="D1876" s="10" t="inlineStr">
        <is>
          <t>下り</t>
        </is>
      </c>
      <c r="E1876" t="inlineStr">
        <is>
          <t>1351</t>
        </is>
      </c>
      <c r="F1876" t="inlineStr">
        <is>
          <t>0453</t>
        </is>
      </c>
      <c r="G1876" s="10" t="inlineStr">
        <is>
          <t>妙心寺</t>
        </is>
      </c>
      <c r="H1876" s="10" t="inlineStr">
        <is>
          <t>発</t>
        </is>
      </c>
      <c r="J1876" s="10" t="inlineStr">
        <is>
          <t>営業</t>
        </is>
      </c>
      <c r="L1876" t="inlineStr">
        <is>
          <t>13:06:40</t>
        </is>
      </c>
      <c r="M1876" t="inlineStr">
        <is>
          <t>13:06:50</t>
        </is>
      </c>
    </row>
    <row r="1877" ht="15" customHeight="1" s="37">
      <c r="A1877" t="n">
        <v>18</v>
      </c>
      <c r="B1877" s="10" t="inlineStr">
        <is>
          <t>休日</t>
        </is>
      </c>
      <c r="C1877" s="10" t="inlineStr">
        <is>
          <t>北野線</t>
        </is>
      </c>
      <c r="D1877" s="10" t="inlineStr">
        <is>
          <t>下り</t>
        </is>
      </c>
      <c r="E1877" t="inlineStr">
        <is>
          <t>1351</t>
        </is>
      </c>
      <c r="F1877" t="inlineStr">
        <is>
          <t>0453</t>
        </is>
      </c>
      <c r="G1877" s="10" t="inlineStr">
        <is>
          <t>御室仁和寺</t>
        </is>
      </c>
      <c r="H1877" s="10" t="inlineStr">
        <is>
          <t>発</t>
        </is>
      </c>
      <c r="J1877" s="10" t="inlineStr">
        <is>
          <t>営業</t>
        </is>
      </c>
      <c r="L1877" t="inlineStr">
        <is>
          <t>13:07:50</t>
        </is>
      </c>
      <c r="M1877" t="inlineStr">
        <is>
          <t>13:08:05</t>
        </is>
      </c>
    </row>
    <row r="1878" ht="15" customHeight="1" s="37">
      <c r="A1878" t="n">
        <v>18</v>
      </c>
      <c r="B1878" s="10" t="inlineStr">
        <is>
          <t>休日</t>
        </is>
      </c>
      <c r="C1878" s="10" t="inlineStr">
        <is>
          <t>北野線</t>
        </is>
      </c>
      <c r="D1878" s="10" t="inlineStr">
        <is>
          <t>下り</t>
        </is>
      </c>
      <c r="E1878" t="inlineStr">
        <is>
          <t>1351</t>
        </is>
      </c>
      <c r="F1878" t="inlineStr">
        <is>
          <t>0453</t>
        </is>
      </c>
      <c r="G1878" s="10" t="inlineStr">
        <is>
          <t>宇多野</t>
        </is>
      </c>
      <c r="H1878" s="10" t="inlineStr">
        <is>
          <t>発</t>
        </is>
      </c>
      <c r="J1878" s="10" t="inlineStr">
        <is>
          <t>営業</t>
        </is>
      </c>
      <c r="L1878" t="inlineStr">
        <is>
          <t>13:09:05</t>
        </is>
      </c>
      <c r="M1878" t="inlineStr">
        <is>
          <t>13:09:15</t>
        </is>
      </c>
    </row>
    <row r="1879" ht="15" customHeight="1" s="37">
      <c r="A1879" t="n">
        <v>18</v>
      </c>
      <c r="B1879" s="10" t="inlineStr">
        <is>
          <t>休日</t>
        </is>
      </c>
      <c r="C1879" s="10" t="inlineStr">
        <is>
          <t>北野線</t>
        </is>
      </c>
      <c r="D1879" s="10" t="inlineStr">
        <is>
          <t>下り</t>
        </is>
      </c>
      <c r="E1879" t="inlineStr">
        <is>
          <t>1351</t>
        </is>
      </c>
      <c r="F1879" t="inlineStr">
        <is>
          <t>0453</t>
        </is>
      </c>
      <c r="G1879" s="10" t="inlineStr">
        <is>
          <t>鳴滝</t>
        </is>
      </c>
      <c r="H1879" s="10" t="inlineStr">
        <is>
          <t>発</t>
        </is>
      </c>
      <c r="J1879" s="10" t="inlineStr">
        <is>
          <t>営業</t>
        </is>
      </c>
      <c r="L1879" t="inlineStr">
        <is>
          <t>13:10:35</t>
        </is>
      </c>
      <c r="M1879" t="inlineStr">
        <is>
          <t>13:10:45</t>
        </is>
      </c>
    </row>
    <row r="1880" ht="15" customHeight="1" s="37">
      <c r="A1880" t="n">
        <v>18</v>
      </c>
      <c r="B1880" s="10" t="inlineStr">
        <is>
          <t>休日</t>
        </is>
      </c>
      <c r="C1880" s="10" t="inlineStr">
        <is>
          <t>北野線</t>
        </is>
      </c>
      <c r="D1880" s="10" t="inlineStr">
        <is>
          <t>下り</t>
        </is>
      </c>
      <c r="E1880" t="inlineStr">
        <is>
          <t>1351</t>
        </is>
      </c>
      <c r="F1880" t="inlineStr">
        <is>
          <t>0453</t>
        </is>
      </c>
      <c r="G1880" s="10" t="inlineStr">
        <is>
          <t>常盤</t>
        </is>
      </c>
      <c r="H1880" s="10" t="inlineStr">
        <is>
          <t>発</t>
        </is>
      </c>
      <c r="J1880" s="10" t="inlineStr">
        <is>
          <t>営業</t>
        </is>
      </c>
      <c r="L1880" t="inlineStr">
        <is>
          <t>13:11:35</t>
        </is>
      </c>
      <c r="M1880" t="inlineStr">
        <is>
          <t>13:11:55</t>
        </is>
      </c>
    </row>
    <row r="1881" ht="15" customHeight="1" s="37">
      <c r="A1881" t="n">
        <v>18</v>
      </c>
      <c r="B1881" s="10" t="inlineStr">
        <is>
          <t>休日</t>
        </is>
      </c>
      <c r="C1881" s="10" t="inlineStr">
        <is>
          <t>北野線</t>
        </is>
      </c>
      <c r="D1881" s="10" t="inlineStr">
        <is>
          <t>下り</t>
        </is>
      </c>
      <c r="E1881" t="inlineStr">
        <is>
          <t>1351</t>
        </is>
      </c>
      <c r="F1881" t="inlineStr">
        <is>
          <t>0453</t>
        </is>
      </c>
      <c r="G1881" s="10" t="inlineStr">
        <is>
          <t>撮影所前</t>
        </is>
      </c>
      <c r="H1881" s="10" t="inlineStr">
        <is>
          <t>発</t>
        </is>
      </c>
      <c r="J1881" s="10" t="inlineStr">
        <is>
          <t>営業</t>
        </is>
      </c>
      <c r="L1881" t="inlineStr">
        <is>
          <t>13:13:15</t>
        </is>
      </c>
      <c r="M1881" t="inlineStr">
        <is>
          <t>13:13:30</t>
        </is>
      </c>
    </row>
    <row r="1882" ht="15" customHeight="1" s="37">
      <c r="A1882" t="n">
        <v>18</v>
      </c>
      <c r="B1882" s="10" t="inlineStr">
        <is>
          <t>休日</t>
        </is>
      </c>
      <c r="C1882" s="10" t="inlineStr">
        <is>
          <t>北野線</t>
        </is>
      </c>
      <c r="D1882" s="10" t="inlineStr">
        <is>
          <t>下り</t>
        </is>
      </c>
      <c r="E1882" t="inlineStr">
        <is>
          <t>1351</t>
        </is>
      </c>
      <c r="F1882" t="inlineStr">
        <is>
          <t>0453</t>
        </is>
      </c>
      <c r="G1882" s="10" t="inlineStr">
        <is>
          <t>帷子ノ辻</t>
        </is>
      </c>
      <c r="H1882" s="10" t="inlineStr">
        <is>
          <t>着</t>
        </is>
      </c>
      <c r="J1882" s="10" t="inlineStr">
        <is>
          <t>営業</t>
        </is>
      </c>
      <c r="L1882" t="inlineStr">
        <is>
          <t>13:14:25</t>
        </is>
      </c>
      <c r="Q1882" t="inlineStr">
        <is>
          <t>4</t>
        </is>
      </c>
    </row>
    <row r="1883" ht="15" customHeight="1" s="37">
      <c r="A1883" t="n">
        <v>18</v>
      </c>
      <c r="B1883" s="10" t="inlineStr">
        <is>
          <t>休日</t>
        </is>
      </c>
      <c r="C1883" s="10" t="inlineStr">
        <is>
          <t>北野線</t>
        </is>
      </c>
      <c r="D1883" s="10" t="inlineStr">
        <is>
          <t>上り</t>
        </is>
      </c>
      <c r="E1883" t="inlineStr">
        <is>
          <t>1356</t>
        </is>
      </c>
      <c r="F1883" t="inlineStr">
        <is>
          <t>0354</t>
        </is>
      </c>
      <c r="G1883" s="10" t="inlineStr">
        <is>
          <t>帷子ノ辻</t>
        </is>
      </c>
      <c r="H1883" s="10" t="inlineStr">
        <is>
          <t>発</t>
        </is>
      </c>
      <c r="J1883" s="10" t="inlineStr">
        <is>
          <t>営業</t>
        </is>
      </c>
      <c r="M1883" t="inlineStr">
        <is>
          <t>13:26:25</t>
        </is>
      </c>
      <c r="Q1883" t="inlineStr">
        <is>
          <t>4</t>
        </is>
      </c>
    </row>
    <row r="1884" ht="15" customHeight="1" s="37">
      <c r="A1884" t="n">
        <v>18</v>
      </c>
      <c r="B1884" s="10" t="inlineStr">
        <is>
          <t>休日</t>
        </is>
      </c>
      <c r="C1884" s="10" t="inlineStr">
        <is>
          <t>北野線</t>
        </is>
      </c>
      <c r="D1884" s="10" t="inlineStr">
        <is>
          <t>上り</t>
        </is>
      </c>
      <c r="E1884" t="inlineStr">
        <is>
          <t>1356</t>
        </is>
      </c>
      <c r="F1884" t="inlineStr">
        <is>
          <t>0354</t>
        </is>
      </c>
      <c r="G1884" s="10" t="inlineStr">
        <is>
          <t>撮影所前</t>
        </is>
      </c>
      <c r="H1884" s="10" t="inlineStr">
        <is>
          <t>発</t>
        </is>
      </c>
      <c r="J1884" s="10" t="inlineStr">
        <is>
          <t>営業</t>
        </is>
      </c>
      <c r="L1884" t="inlineStr">
        <is>
          <t>13:27:25</t>
        </is>
      </c>
      <c r="M1884" t="inlineStr">
        <is>
          <t>13:27:40</t>
        </is>
      </c>
    </row>
    <row r="1885" ht="15" customHeight="1" s="37">
      <c r="A1885" t="n">
        <v>18</v>
      </c>
      <c r="B1885" s="10" t="inlineStr">
        <is>
          <t>休日</t>
        </is>
      </c>
      <c r="C1885" s="10" t="inlineStr">
        <is>
          <t>北野線</t>
        </is>
      </c>
      <c r="D1885" s="10" t="inlineStr">
        <is>
          <t>上り</t>
        </is>
      </c>
      <c r="E1885" t="inlineStr">
        <is>
          <t>1356</t>
        </is>
      </c>
      <c r="F1885" t="inlineStr">
        <is>
          <t>0354</t>
        </is>
      </c>
      <c r="G1885" s="10" t="inlineStr">
        <is>
          <t>常盤</t>
        </is>
      </c>
      <c r="H1885" s="10" t="inlineStr">
        <is>
          <t>発</t>
        </is>
      </c>
      <c r="J1885" s="10" t="inlineStr">
        <is>
          <t>営業</t>
        </is>
      </c>
      <c r="L1885" t="inlineStr">
        <is>
          <t>13:29:00</t>
        </is>
      </c>
      <c r="M1885" t="inlineStr">
        <is>
          <t>13:29:20</t>
        </is>
      </c>
    </row>
    <row r="1886" ht="15" customHeight="1" s="37">
      <c r="A1886" t="n">
        <v>18</v>
      </c>
      <c r="B1886" s="10" t="inlineStr">
        <is>
          <t>休日</t>
        </is>
      </c>
      <c r="C1886" s="10" t="inlineStr">
        <is>
          <t>北野線</t>
        </is>
      </c>
      <c r="D1886" s="10" t="inlineStr">
        <is>
          <t>上り</t>
        </is>
      </c>
      <c r="E1886" t="inlineStr">
        <is>
          <t>1356</t>
        </is>
      </c>
      <c r="F1886" t="inlineStr">
        <is>
          <t>0354</t>
        </is>
      </c>
      <c r="G1886" s="10" t="inlineStr">
        <is>
          <t>鳴滝</t>
        </is>
      </c>
      <c r="H1886" s="10" t="inlineStr">
        <is>
          <t>発</t>
        </is>
      </c>
      <c r="J1886" s="10" t="inlineStr">
        <is>
          <t>営業</t>
        </is>
      </c>
      <c r="L1886" t="inlineStr">
        <is>
          <t>13:30:20</t>
        </is>
      </c>
      <c r="M1886" t="inlineStr">
        <is>
          <t>13:30:40</t>
        </is>
      </c>
    </row>
    <row r="1887" ht="15" customHeight="1" s="37">
      <c r="A1887" t="n">
        <v>18</v>
      </c>
      <c r="B1887" s="10" t="inlineStr">
        <is>
          <t>休日</t>
        </is>
      </c>
      <c r="C1887" s="10" t="inlineStr">
        <is>
          <t>北野線</t>
        </is>
      </c>
      <c r="D1887" s="10" t="inlineStr">
        <is>
          <t>上り</t>
        </is>
      </c>
      <c r="E1887" t="inlineStr">
        <is>
          <t>1356</t>
        </is>
      </c>
      <c r="F1887" t="inlineStr">
        <is>
          <t>0354</t>
        </is>
      </c>
      <c r="G1887" s="10" t="inlineStr">
        <is>
          <t>宇多野</t>
        </is>
      </c>
      <c r="H1887" s="10" t="inlineStr">
        <is>
          <t>発</t>
        </is>
      </c>
      <c r="J1887" s="10" t="inlineStr">
        <is>
          <t>営業</t>
        </is>
      </c>
      <c r="L1887" t="inlineStr">
        <is>
          <t>13:32:00</t>
        </is>
      </c>
      <c r="M1887" t="inlineStr">
        <is>
          <t>13:32:15</t>
        </is>
      </c>
    </row>
    <row r="1888" ht="15" customHeight="1" s="37">
      <c r="A1888" t="n">
        <v>18</v>
      </c>
      <c r="B1888" s="10" t="inlineStr">
        <is>
          <t>休日</t>
        </is>
      </c>
      <c r="C1888" s="10" t="inlineStr">
        <is>
          <t>北野線</t>
        </is>
      </c>
      <c r="D1888" s="10" t="inlineStr">
        <is>
          <t>上り</t>
        </is>
      </c>
      <c r="E1888" t="inlineStr">
        <is>
          <t>1356</t>
        </is>
      </c>
      <c r="F1888" t="inlineStr">
        <is>
          <t>0354</t>
        </is>
      </c>
      <c r="G1888" s="10" t="inlineStr">
        <is>
          <t>御室仁和寺</t>
        </is>
      </c>
      <c r="H1888" s="10" t="inlineStr">
        <is>
          <t>発</t>
        </is>
      </c>
      <c r="J1888" s="10" t="inlineStr">
        <is>
          <t>営業</t>
        </is>
      </c>
      <c r="L1888" t="inlineStr">
        <is>
          <t>13:33:15</t>
        </is>
      </c>
      <c r="M1888" t="inlineStr">
        <is>
          <t>13:33:35</t>
        </is>
      </c>
    </row>
    <row r="1889" ht="15" customHeight="1" s="37">
      <c r="A1889" t="n">
        <v>18</v>
      </c>
      <c r="B1889" s="10" t="inlineStr">
        <is>
          <t>休日</t>
        </is>
      </c>
      <c r="C1889" s="10" t="inlineStr">
        <is>
          <t>北野線</t>
        </is>
      </c>
      <c r="D1889" s="10" t="inlineStr">
        <is>
          <t>上り</t>
        </is>
      </c>
      <c r="E1889" t="inlineStr">
        <is>
          <t>1356</t>
        </is>
      </c>
      <c r="F1889" t="inlineStr">
        <is>
          <t>0354</t>
        </is>
      </c>
      <c r="G1889" s="10" t="inlineStr">
        <is>
          <t>妙心寺</t>
        </is>
      </c>
      <c r="H1889" s="10" t="inlineStr">
        <is>
          <t>発</t>
        </is>
      </c>
      <c r="J1889" s="10" t="inlineStr">
        <is>
          <t>営業</t>
        </is>
      </c>
      <c r="L1889" t="inlineStr">
        <is>
          <t>13:34:35</t>
        </is>
      </c>
      <c r="M1889" t="inlineStr">
        <is>
          <t>13:34:50</t>
        </is>
      </c>
    </row>
    <row r="1890" ht="15" customHeight="1" s="37">
      <c r="A1890" t="n">
        <v>18</v>
      </c>
      <c r="B1890" s="10" t="inlineStr">
        <is>
          <t>休日</t>
        </is>
      </c>
      <c r="C1890" s="10" t="inlineStr">
        <is>
          <t>北野線</t>
        </is>
      </c>
      <c r="D1890" s="10" t="inlineStr">
        <is>
          <t>上り</t>
        </is>
      </c>
      <c r="E1890" t="inlineStr">
        <is>
          <t>1356</t>
        </is>
      </c>
      <c r="F1890" t="inlineStr">
        <is>
          <t>0354</t>
        </is>
      </c>
      <c r="G1890" s="10" t="inlineStr">
        <is>
          <t>龍安寺</t>
        </is>
      </c>
      <c r="H1890" s="10" t="inlineStr">
        <is>
          <t>発</t>
        </is>
      </c>
      <c r="J1890" s="10" t="inlineStr">
        <is>
          <t>営業</t>
        </is>
      </c>
      <c r="L1890" t="inlineStr">
        <is>
          <t>13:35:45</t>
        </is>
      </c>
      <c r="M1890" t="inlineStr">
        <is>
          <t>13:35:55</t>
        </is>
      </c>
    </row>
    <row r="1891" ht="15" customHeight="1" s="37">
      <c r="A1891" t="n">
        <v>18</v>
      </c>
      <c r="B1891" s="10" t="inlineStr">
        <is>
          <t>休日</t>
        </is>
      </c>
      <c r="C1891" s="10" t="inlineStr">
        <is>
          <t>北野線</t>
        </is>
      </c>
      <c r="D1891" s="10" t="inlineStr">
        <is>
          <t>上り</t>
        </is>
      </c>
      <c r="E1891" t="inlineStr">
        <is>
          <t>1356</t>
        </is>
      </c>
      <c r="F1891" t="inlineStr">
        <is>
          <t>0354</t>
        </is>
      </c>
      <c r="G1891" s="10" t="inlineStr">
        <is>
          <t>等持院</t>
        </is>
      </c>
      <c r="H1891" s="10" t="inlineStr">
        <is>
          <t>発</t>
        </is>
      </c>
      <c r="J1891" s="10" t="inlineStr">
        <is>
          <t>営業</t>
        </is>
      </c>
      <c r="L1891" t="inlineStr">
        <is>
          <t>13:36:35</t>
        </is>
      </c>
      <c r="M1891" t="inlineStr">
        <is>
          <t>13:36:55</t>
        </is>
      </c>
    </row>
    <row r="1892" ht="15" customHeight="1" s="37">
      <c r="A1892" t="n">
        <v>18</v>
      </c>
      <c r="B1892" s="10" t="inlineStr">
        <is>
          <t>休日</t>
        </is>
      </c>
      <c r="C1892" s="10" t="inlineStr">
        <is>
          <t>北野線</t>
        </is>
      </c>
      <c r="D1892" s="10" t="inlineStr">
        <is>
          <t>上り</t>
        </is>
      </c>
      <c r="E1892" t="inlineStr">
        <is>
          <t>1356</t>
        </is>
      </c>
      <c r="F1892" t="inlineStr">
        <is>
          <t>0354</t>
        </is>
      </c>
      <c r="G1892" s="10" t="inlineStr">
        <is>
          <t>北野白梅町</t>
        </is>
      </c>
      <c r="H1892" s="10" t="inlineStr">
        <is>
          <t>着</t>
        </is>
      </c>
      <c r="J1892" s="10" t="inlineStr">
        <is>
          <t>営業</t>
        </is>
      </c>
      <c r="L1892" t="inlineStr">
        <is>
          <t>13:38:15</t>
        </is>
      </c>
      <c r="Q1892" t="inlineStr">
        <is>
          <t>1</t>
        </is>
      </c>
    </row>
    <row r="1893" ht="15" customHeight="1" s="37">
      <c r="A1893" t="n">
        <v>18</v>
      </c>
      <c r="B1893" s="10" t="inlineStr">
        <is>
          <t>休日</t>
        </is>
      </c>
      <c r="C1893" s="10" t="inlineStr">
        <is>
          <t>北野線</t>
        </is>
      </c>
      <c r="D1893" s="10" t="inlineStr">
        <is>
          <t>下り</t>
        </is>
      </c>
      <c r="E1893" t="inlineStr">
        <is>
          <t>1359</t>
        </is>
      </c>
      <c r="F1893" t="inlineStr">
        <is>
          <t>0453</t>
        </is>
      </c>
      <c r="G1893" s="10" t="inlineStr">
        <is>
          <t>北野白梅町</t>
        </is>
      </c>
      <c r="H1893" s="10" t="inlineStr">
        <is>
          <t>発</t>
        </is>
      </c>
      <c r="J1893" s="10" t="inlineStr">
        <is>
          <t>営業</t>
        </is>
      </c>
      <c r="M1893" t="inlineStr">
        <is>
          <t>13:43:00</t>
        </is>
      </c>
      <c r="Q1893" t="inlineStr">
        <is>
          <t>1</t>
        </is>
      </c>
    </row>
    <row r="1894" ht="15" customHeight="1" s="37">
      <c r="A1894" t="n">
        <v>18</v>
      </c>
      <c r="B1894" s="10" t="inlineStr">
        <is>
          <t>休日</t>
        </is>
      </c>
      <c r="C1894" s="10" t="inlineStr">
        <is>
          <t>北野線</t>
        </is>
      </c>
      <c r="D1894" s="10" t="inlineStr">
        <is>
          <t>下り</t>
        </is>
      </c>
      <c r="E1894" t="inlineStr">
        <is>
          <t>1359</t>
        </is>
      </c>
      <c r="F1894" t="inlineStr">
        <is>
          <t>0453</t>
        </is>
      </c>
      <c r="G1894" s="10" t="inlineStr">
        <is>
          <t>等持院</t>
        </is>
      </c>
      <c r="H1894" s="10" t="inlineStr">
        <is>
          <t>発</t>
        </is>
      </c>
      <c r="J1894" s="10" t="inlineStr">
        <is>
          <t>営業</t>
        </is>
      </c>
      <c r="L1894" t="inlineStr">
        <is>
          <t>13:44:25</t>
        </is>
      </c>
      <c r="M1894" t="inlineStr">
        <is>
          <t>13:44:35</t>
        </is>
      </c>
    </row>
    <row r="1895" ht="15" customHeight="1" s="37">
      <c r="A1895" t="n">
        <v>18</v>
      </c>
      <c r="B1895" s="10" t="inlineStr">
        <is>
          <t>休日</t>
        </is>
      </c>
      <c r="C1895" s="10" t="inlineStr">
        <is>
          <t>北野線</t>
        </is>
      </c>
      <c r="D1895" s="10" t="inlineStr">
        <is>
          <t>下り</t>
        </is>
      </c>
      <c r="E1895" t="inlineStr">
        <is>
          <t>1359</t>
        </is>
      </c>
      <c r="F1895" t="inlineStr">
        <is>
          <t>0453</t>
        </is>
      </c>
      <c r="G1895" s="10" t="inlineStr">
        <is>
          <t>龍安寺</t>
        </is>
      </c>
      <c r="H1895" s="10" t="inlineStr">
        <is>
          <t>発</t>
        </is>
      </c>
      <c r="J1895" s="10" t="inlineStr">
        <is>
          <t>営業</t>
        </is>
      </c>
      <c r="L1895" t="inlineStr">
        <is>
          <t>13:45:25</t>
        </is>
      </c>
      <c r="M1895" t="inlineStr">
        <is>
          <t>13:45:50</t>
        </is>
      </c>
    </row>
    <row r="1896" ht="15" customHeight="1" s="37">
      <c r="A1896" t="n">
        <v>18</v>
      </c>
      <c r="B1896" s="10" t="inlineStr">
        <is>
          <t>休日</t>
        </is>
      </c>
      <c r="C1896" s="10" t="inlineStr">
        <is>
          <t>北野線</t>
        </is>
      </c>
      <c r="D1896" s="10" t="inlineStr">
        <is>
          <t>下り</t>
        </is>
      </c>
      <c r="E1896" t="inlineStr">
        <is>
          <t>1359</t>
        </is>
      </c>
      <c r="F1896" t="inlineStr">
        <is>
          <t>0453</t>
        </is>
      </c>
      <c r="G1896" s="10" t="inlineStr">
        <is>
          <t>妙心寺</t>
        </is>
      </c>
      <c r="H1896" s="10" t="inlineStr">
        <is>
          <t>発</t>
        </is>
      </c>
      <c r="J1896" s="10" t="inlineStr">
        <is>
          <t>営業</t>
        </is>
      </c>
      <c r="L1896" t="inlineStr">
        <is>
          <t>13:46:40</t>
        </is>
      </c>
      <c r="M1896" t="inlineStr">
        <is>
          <t>13:46:50</t>
        </is>
      </c>
    </row>
    <row r="1897" ht="15" customHeight="1" s="37">
      <c r="A1897" t="n">
        <v>18</v>
      </c>
      <c r="B1897" s="10" t="inlineStr">
        <is>
          <t>休日</t>
        </is>
      </c>
      <c r="C1897" s="10" t="inlineStr">
        <is>
          <t>北野線</t>
        </is>
      </c>
      <c r="D1897" s="10" t="inlineStr">
        <is>
          <t>下り</t>
        </is>
      </c>
      <c r="E1897" t="inlineStr">
        <is>
          <t>1359</t>
        </is>
      </c>
      <c r="F1897" t="inlineStr">
        <is>
          <t>0453</t>
        </is>
      </c>
      <c r="G1897" s="10" t="inlineStr">
        <is>
          <t>御室仁和寺</t>
        </is>
      </c>
      <c r="H1897" s="10" t="inlineStr">
        <is>
          <t>発</t>
        </is>
      </c>
      <c r="J1897" s="10" t="inlineStr">
        <is>
          <t>営業</t>
        </is>
      </c>
      <c r="L1897" t="inlineStr">
        <is>
          <t>13:47:50</t>
        </is>
      </c>
      <c r="M1897" t="inlineStr">
        <is>
          <t>13:48:05</t>
        </is>
      </c>
    </row>
    <row r="1898" ht="15" customHeight="1" s="37">
      <c r="A1898" t="n">
        <v>18</v>
      </c>
      <c r="B1898" s="10" t="inlineStr">
        <is>
          <t>休日</t>
        </is>
      </c>
      <c r="C1898" s="10" t="inlineStr">
        <is>
          <t>北野線</t>
        </is>
      </c>
      <c r="D1898" s="10" t="inlineStr">
        <is>
          <t>下り</t>
        </is>
      </c>
      <c r="E1898" t="inlineStr">
        <is>
          <t>1359</t>
        </is>
      </c>
      <c r="F1898" t="inlineStr">
        <is>
          <t>0453</t>
        </is>
      </c>
      <c r="G1898" s="10" t="inlineStr">
        <is>
          <t>宇多野</t>
        </is>
      </c>
      <c r="H1898" s="10" t="inlineStr">
        <is>
          <t>発</t>
        </is>
      </c>
      <c r="J1898" s="10" t="inlineStr">
        <is>
          <t>営業</t>
        </is>
      </c>
      <c r="L1898" t="inlineStr">
        <is>
          <t>13:49:05</t>
        </is>
      </c>
      <c r="M1898" t="inlineStr">
        <is>
          <t>13:49:15</t>
        </is>
      </c>
    </row>
    <row r="1899" ht="15" customHeight="1" s="37">
      <c r="A1899" t="n">
        <v>18</v>
      </c>
      <c r="B1899" s="10" t="inlineStr">
        <is>
          <t>休日</t>
        </is>
      </c>
      <c r="C1899" s="10" t="inlineStr">
        <is>
          <t>北野線</t>
        </is>
      </c>
      <c r="D1899" s="10" t="inlineStr">
        <is>
          <t>下り</t>
        </is>
      </c>
      <c r="E1899" t="inlineStr">
        <is>
          <t>1359</t>
        </is>
      </c>
      <c r="F1899" t="inlineStr">
        <is>
          <t>0453</t>
        </is>
      </c>
      <c r="G1899" s="10" t="inlineStr">
        <is>
          <t>鳴滝</t>
        </is>
      </c>
      <c r="H1899" s="10" t="inlineStr">
        <is>
          <t>発</t>
        </is>
      </c>
      <c r="J1899" s="10" t="inlineStr">
        <is>
          <t>営業</t>
        </is>
      </c>
      <c r="L1899" t="inlineStr">
        <is>
          <t>13:50:35</t>
        </is>
      </c>
      <c r="M1899" t="inlineStr">
        <is>
          <t>13:50:45</t>
        </is>
      </c>
    </row>
    <row r="1900" ht="15" customHeight="1" s="37">
      <c r="A1900" t="n">
        <v>18</v>
      </c>
      <c r="B1900" s="10" t="inlineStr">
        <is>
          <t>休日</t>
        </is>
      </c>
      <c r="C1900" s="10" t="inlineStr">
        <is>
          <t>北野線</t>
        </is>
      </c>
      <c r="D1900" s="10" t="inlineStr">
        <is>
          <t>下り</t>
        </is>
      </c>
      <c r="E1900" t="inlineStr">
        <is>
          <t>1359</t>
        </is>
      </c>
      <c r="F1900" t="inlineStr">
        <is>
          <t>0453</t>
        </is>
      </c>
      <c r="G1900" s="10" t="inlineStr">
        <is>
          <t>常盤</t>
        </is>
      </c>
      <c r="H1900" s="10" t="inlineStr">
        <is>
          <t>発</t>
        </is>
      </c>
      <c r="J1900" s="10" t="inlineStr">
        <is>
          <t>営業</t>
        </is>
      </c>
      <c r="L1900" t="inlineStr">
        <is>
          <t>13:51:35</t>
        </is>
      </c>
      <c r="M1900" t="inlineStr">
        <is>
          <t>13:51:55</t>
        </is>
      </c>
    </row>
    <row r="1901" ht="15" customHeight="1" s="37">
      <c r="A1901" t="n">
        <v>18</v>
      </c>
      <c r="B1901" s="10" t="inlineStr">
        <is>
          <t>休日</t>
        </is>
      </c>
      <c r="C1901" s="10" t="inlineStr">
        <is>
          <t>北野線</t>
        </is>
      </c>
      <c r="D1901" s="10" t="inlineStr">
        <is>
          <t>下り</t>
        </is>
      </c>
      <c r="E1901" t="inlineStr">
        <is>
          <t>1359</t>
        </is>
      </c>
      <c r="F1901" t="inlineStr">
        <is>
          <t>0453</t>
        </is>
      </c>
      <c r="G1901" s="10" t="inlineStr">
        <is>
          <t>撮影所前</t>
        </is>
      </c>
      <c r="H1901" s="10" t="inlineStr">
        <is>
          <t>発</t>
        </is>
      </c>
      <c r="J1901" s="10" t="inlineStr">
        <is>
          <t>営業</t>
        </is>
      </c>
      <c r="L1901" t="inlineStr">
        <is>
          <t>13:53:15</t>
        </is>
      </c>
      <c r="M1901" t="inlineStr">
        <is>
          <t>13:53:30</t>
        </is>
      </c>
    </row>
    <row r="1902" ht="15" customHeight="1" s="37">
      <c r="A1902" t="n">
        <v>18</v>
      </c>
      <c r="B1902" s="10" t="inlineStr">
        <is>
          <t>休日</t>
        </is>
      </c>
      <c r="C1902" s="10" t="inlineStr">
        <is>
          <t>北野線</t>
        </is>
      </c>
      <c r="D1902" s="10" t="inlineStr">
        <is>
          <t>下り</t>
        </is>
      </c>
      <c r="E1902" t="inlineStr">
        <is>
          <t>1359</t>
        </is>
      </c>
      <c r="F1902" t="inlineStr">
        <is>
          <t>0453</t>
        </is>
      </c>
      <c r="G1902" s="10" t="inlineStr">
        <is>
          <t>帷子ノ辻</t>
        </is>
      </c>
      <c r="H1902" s="10" t="inlineStr">
        <is>
          <t>着</t>
        </is>
      </c>
      <c r="J1902" s="10" t="inlineStr">
        <is>
          <t>営業</t>
        </is>
      </c>
      <c r="L1902" t="inlineStr">
        <is>
          <t>13:54:25</t>
        </is>
      </c>
      <c r="Q1902" t="inlineStr">
        <is>
          <t>4</t>
        </is>
      </c>
    </row>
    <row r="1903" ht="15" customHeight="1" s="37">
      <c r="A1903" t="n">
        <v>18</v>
      </c>
      <c r="B1903" s="10" t="inlineStr">
        <is>
          <t>休日</t>
        </is>
      </c>
      <c r="C1903" s="10" t="inlineStr">
        <is>
          <t>北野線</t>
        </is>
      </c>
      <c r="D1903" s="10" t="inlineStr">
        <is>
          <t>上り</t>
        </is>
      </c>
      <c r="E1903" t="inlineStr">
        <is>
          <t>1452</t>
        </is>
      </c>
      <c r="F1903" t="inlineStr">
        <is>
          <t>0354</t>
        </is>
      </c>
      <c r="G1903" s="10" t="inlineStr">
        <is>
          <t>帷子ノ辻</t>
        </is>
      </c>
      <c r="H1903" s="10" t="inlineStr">
        <is>
          <t>発</t>
        </is>
      </c>
      <c r="J1903" s="10" t="inlineStr">
        <is>
          <t>営業</t>
        </is>
      </c>
      <c r="M1903" t="inlineStr">
        <is>
          <t>14:06:25</t>
        </is>
      </c>
      <c r="Q1903" t="inlineStr">
        <is>
          <t>4</t>
        </is>
      </c>
    </row>
    <row r="1904" ht="15" customHeight="1" s="37">
      <c r="A1904" t="n">
        <v>18</v>
      </c>
      <c r="B1904" s="10" t="inlineStr">
        <is>
          <t>休日</t>
        </is>
      </c>
      <c r="C1904" s="10" t="inlineStr">
        <is>
          <t>北野線</t>
        </is>
      </c>
      <c r="D1904" s="10" t="inlineStr">
        <is>
          <t>上り</t>
        </is>
      </c>
      <c r="E1904" t="inlineStr">
        <is>
          <t>1452</t>
        </is>
      </c>
      <c r="F1904" t="inlineStr">
        <is>
          <t>0354</t>
        </is>
      </c>
      <c r="G1904" s="10" t="inlineStr">
        <is>
          <t>撮影所前</t>
        </is>
      </c>
      <c r="H1904" s="10" t="inlineStr">
        <is>
          <t>発</t>
        </is>
      </c>
      <c r="J1904" s="10" t="inlineStr">
        <is>
          <t>営業</t>
        </is>
      </c>
      <c r="L1904" t="inlineStr">
        <is>
          <t>14:07:25</t>
        </is>
      </c>
      <c r="M1904" t="inlineStr">
        <is>
          <t>14:07:40</t>
        </is>
      </c>
    </row>
    <row r="1905" ht="15" customHeight="1" s="37">
      <c r="A1905" t="n">
        <v>18</v>
      </c>
      <c r="B1905" s="10" t="inlineStr">
        <is>
          <t>休日</t>
        </is>
      </c>
      <c r="C1905" s="10" t="inlineStr">
        <is>
          <t>北野線</t>
        </is>
      </c>
      <c r="D1905" s="10" t="inlineStr">
        <is>
          <t>上り</t>
        </is>
      </c>
      <c r="E1905" t="inlineStr">
        <is>
          <t>1452</t>
        </is>
      </c>
      <c r="F1905" t="inlineStr">
        <is>
          <t>0354</t>
        </is>
      </c>
      <c r="G1905" s="10" t="inlineStr">
        <is>
          <t>常盤</t>
        </is>
      </c>
      <c r="H1905" s="10" t="inlineStr">
        <is>
          <t>発</t>
        </is>
      </c>
      <c r="J1905" s="10" t="inlineStr">
        <is>
          <t>営業</t>
        </is>
      </c>
      <c r="L1905" t="inlineStr">
        <is>
          <t>14:09:00</t>
        </is>
      </c>
      <c r="M1905" t="inlineStr">
        <is>
          <t>14:09:20</t>
        </is>
      </c>
    </row>
    <row r="1906" ht="15" customHeight="1" s="37">
      <c r="A1906" t="n">
        <v>18</v>
      </c>
      <c r="B1906" s="10" t="inlineStr">
        <is>
          <t>休日</t>
        </is>
      </c>
      <c r="C1906" s="10" t="inlineStr">
        <is>
          <t>北野線</t>
        </is>
      </c>
      <c r="D1906" s="10" t="inlineStr">
        <is>
          <t>上り</t>
        </is>
      </c>
      <c r="E1906" t="inlineStr">
        <is>
          <t>1452</t>
        </is>
      </c>
      <c r="F1906" t="inlineStr">
        <is>
          <t>0354</t>
        </is>
      </c>
      <c r="G1906" s="10" t="inlineStr">
        <is>
          <t>鳴滝</t>
        </is>
      </c>
      <c r="H1906" s="10" t="inlineStr">
        <is>
          <t>発</t>
        </is>
      </c>
      <c r="J1906" s="10" t="inlineStr">
        <is>
          <t>営業</t>
        </is>
      </c>
      <c r="L1906" t="inlineStr">
        <is>
          <t>14:10:20</t>
        </is>
      </c>
      <c r="M1906" t="inlineStr">
        <is>
          <t>14:10:40</t>
        </is>
      </c>
    </row>
    <row r="1907" ht="15" customHeight="1" s="37">
      <c r="A1907" t="n">
        <v>18</v>
      </c>
      <c r="B1907" s="10" t="inlineStr">
        <is>
          <t>休日</t>
        </is>
      </c>
      <c r="C1907" s="10" t="inlineStr">
        <is>
          <t>北野線</t>
        </is>
      </c>
      <c r="D1907" s="10" t="inlineStr">
        <is>
          <t>上り</t>
        </is>
      </c>
      <c r="E1907" t="inlineStr">
        <is>
          <t>1452</t>
        </is>
      </c>
      <c r="F1907" t="inlineStr">
        <is>
          <t>0354</t>
        </is>
      </c>
      <c r="G1907" s="10" t="inlineStr">
        <is>
          <t>宇多野</t>
        </is>
      </c>
      <c r="H1907" s="10" t="inlineStr">
        <is>
          <t>発</t>
        </is>
      </c>
      <c r="J1907" s="10" t="inlineStr">
        <is>
          <t>営業</t>
        </is>
      </c>
      <c r="L1907" t="inlineStr">
        <is>
          <t>14:12:00</t>
        </is>
      </c>
      <c r="M1907" t="inlineStr">
        <is>
          <t>14:12:15</t>
        </is>
      </c>
    </row>
    <row r="1908" ht="15" customHeight="1" s="37">
      <c r="A1908" t="n">
        <v>18</v>
      </c>
      <c r="B1908" s="10" t="inlineStr">
        <is>
          <t>休日</t>
        </is>
      </c>
      <c r="C1908" s="10" t="inlineStr">
        <is>
          <t>北野線</t>
        </is>
      </c>
      <c r="D1908" s="10" t="inlineStr">
        <is>
          <t>上り</t>
        </is>
      </c>
      <c r="E1908" t="inlineStr">
        <is>
          <t>1452</t>
        </is>
      </c>
      <c r="F1908" t="inlineStr">
        <is>
          <t>0354</t>
        </is>
      </c>
      <c r="G1908" s="10" t="inlineStr">
        <is>
          <t>御室仁和寺</t>
        </is>
      </c>
      <c r="H1908" s="10" t="inlineStr">
        <is>
          <t>発</t>
        </is>
      </c>
      <c r="J1908" s="10" t="inlineStr">
        <is>
          <t>営業</t>
        </is>
      </c>
      <c r="L1908" t="inlineStr">
        <is>
          <t>14:13:15</t>
        </is>
      </c>
      <c r="M1908" t="inlineStr">
        <is>
          <t>14:13:35</t>
        </is>
      </c>
    </row>
    <row r="1909" ht="15" customHeight="1" s="37">
      <c r="A1909" t="n">
        <v>18</v>
      </c>
      <c r="B1909" s="10" t="inlineStr">
        <is>
          <t>休日</t>
        </is>
      </c>
      <c r="C1909" s="10" t="inlineStr">
        <is>
          <t>北野線</t>
        </is>
      </c>
      <c r="D1909" s="10" t="inlineStr">
        <is>
          <t>上り</t>
        </is>
      </c>
      <c r="E1909" t="inlineStr">
        <is>
          <t>1452</t>
        </is>
      </c>
      <c r="F1909" t="inlineStr">
        <is>
          <t>0354</t>
        </is>
      </c>
      <c r="G1909" s="10" t="inlineStr">
        <is>
          <t>妙心寺</t>
        </is>
      </c>
      <c r="H1909" s="10" t="inlineStr">
        <is>
          <t>発</t>
        </is>
      </c>
      <c r="J1909" s="10" t="inlineStr">
        <is>
          <t>営業</t>
        </is>
      </c>
      <c r="L1909" t="inlineStr">
        <is>
          <t>14:14:35</t>
        </is>
      </c>
      <c r="M1909" t="inlineStr">
        <is>
          <t>14:14:50</t>
        </is>
      </c>
    </row>
    <row r="1910" ht="15" customHeight="1" s="37">
      <c r="A1910" t="n">
        <v>18</v>
      </c>
      <c r="B1910" s="10" t="inlineStr">
        <is>
          <t>休日</t>
        </is>
      </c>
      <c r="C1910" s="10" t="inlineStr">
        <is>
          <t>北野線</t>
        </is>
      </c>
      <c r="D1910" s="10" t="inlineStr">
        <is>
          <t>上り</t>
        </is>
      </c>
      <c r="E1910" t="inlineStr">
        <is>
          <t>1452</t>
        </is>
      </c>
      <c r="F1910" t="inlineStr">
        <is>
          <t>0354</t>
        </is>
      </c>
      <c r="G1910" s="10" t="inlineStr">
        <is>
          <t>龍安寺</t>
        </is>
      </c>
      <c r="H1910" s="10" t="inlineStr">
        <is>
          <t>発</t>
        </is>
      </c>
      <c r="J1910" s="10" t="inlineStr">
        <is>
          <t>営業</t>
        </is>
      </c>
      <c r="L1910" t="inlineStr">
        <is>
          <t>14:15:45</t>
        </is>
      </c>
      <c r="M1910" t="inlineStr">
        <is>
          <t>14:15:55</t>
        </is>
      </c>
    </row>
    <row r="1911" ht="15" customHeight="1" s="37">
      <c r="A1911" t="n">
        <v>18</v>
      </c>
      <c r="B1911" s="10" t="inlineStr">
        <is>
          <t>休日</t>
        </is>
      </c>
      <c r="C1911" s="10" t="inlineStr">
        <is>
          <t>北野線</t>
        </is>
      </c>
      <c r="D1911" s="10" t="inlineStr">
        <is>
          <t>上り</t>
        </is>
      </c>
      <c r="E1911" t="inlineStr">
        <is>
          <t>1452</t>
        </is>
      </c>
      <c r="F1911" t="inlineStr">
        <is>
          <t>0354</t>
        </is>
      </c>
      <c r="G1911" s="10" t="inlineStr">
        <is>
          <t>等持院</t>
        </is>
      </c>
      <c r="H1911" s="10" t="inlineStr">
        <is>
          <t>発</t>
        </is>
      </c>
      <c r="J1911" s="10" t="inlineStr">
        <is>
          <t>営業</t>
        </is>
      </c>
      <c r="L1911" t="inlineStr">
        <is>
          <t>14:16:35</t>
        </is>
      </c>
      <c r="M1911" t="inlineStr">
        <is>
          <t>14:16:55</t>
        </is>
      </c>
    </row>
    <row r="1912" ht="15" customHeight="1" s="37">
      <c r="A1912" t="n">
        <v>18</v>
      </c>
      <c r="B1912" s="10" t="inlineStr">
        <is>
          <t>休日</t>
        </is>
      </c>
      <c r="C1912" s="10" t="inlineStr">
        <is>
          <t>北野線</t>
        </is>
      </c>
      <c r="D1912" s="10" t="inlineStr">
        <is>
          <t>上り</t>
        </is>
      </c>
      <c r="E1912" t="inlineStr">
        <is>
          <t>1452</t>
        </is>
      </c>
      <c r="F1912" t="inlineStr">
        <is>
          <t>0354</t>
        </is>
      </c>
      <c r="G1912" s="10" t="inlineStr">
        <is>
          <t>北野白梅町</t>
        </is>
      </c>
      <c r="H1912" s="10" t="inlineStr">
        <is>
          <t>着</t>
        </is>
      </c>
      <c r="J1912" s="10" t="inlineStr">
        <is>
          <t>営業</t>
        </is>
      </c>
      <c r="L1912" t="inlineStr">
        <is>
          <t>14:18:15</t>
        </is>
      </c>
      <c r="Q1912" t="inlineStr">
        <is>
          <t>1</t>
        </is>
      </c>
    </row>
    <row r="1913" ht="15" customHeight="1" s="37">
      <c r="A1913" t="n">
        <v>18</v>
      </c>
      <c r="B1913" s="10" t="inlineStr">
        <is>
          <t>休日</t>
        </is>
      </c>
      <c r="C1913" s="10" t="inlineStr">
        <is>
          <t>北野線</t>
        </is>
      </c>
      <c r="D1913" s="10" t="inlineStr">
        <is>
          <t>下り</t>
        </is>
      </c>
      <c r="E1913" t="inlineStr">
        <is>
          <t>1455</t>
        </is>
      </c>
      <c r="F1913" t="inlineStr">
        <is>
          <t>0453</t>
        </is>
      </c>
      <c r="G1913" s="10" t="inlineStr">
        <is>
          <t>北野白梅町</t>
        </is>
      </c>
      <c r="H1913" s="10" t="inlineStr">
        <is>
          <t>発</t>
        </is>
      </c>
      <c r="J1913" s="10" t="inlineStr">
        <is>
          <t>営業</t>
        </is>
      </c>
      <c r="M1913" t="inlineStr">
        <is>
          <t>14:23:00</t>
        </is>
      </c>
      <c r="Q1913" t="inlineStr">
        <is>
          <t>1</t>
        </is>
      </c>
    </row>
    <row r="1914" ht="15" customHeight="1" s="37">
      <c r="A1914" t="n">
        <v>18</v>
      </c>
      <c r="B1914" s="10" t="inlineStr">
        <is>
          <t>休日</t>
        </is>
      </c>
      <c r="C1914" s="10" t="inlineStr">
        <is>
          <t>北野線</t>
        </is>
      </c>
      <c r="D1914" s="10" t="inlineStr">
        <is>
          <t>下り</t>
        </is>
      </c>
      <c r="E1914" t="inlineStr">
        <is>
          <t>1455</t>
        </is>
      </c>
      <c r="F1914" t="inlineStr">
        <is>
          <t>0453</t>
        </is>
      </c>
      <c r="G1914" s="10" t="inlineStr">
        <is>
          <t>等持院</t>
        </is>
      </c>
      <c r="H1914" s="10" t="inlineStr">
        <is>
          <t>発</t>
        </is>
      </c>
      <c r="J1914" s="10" t="inlineStr">
        <is>
          <t>営業</t>
        </is>
      </c>
      <c r="L1914" t="inlineStr">
        <is>
          <t>14:24:25</t>
        </is>
      </c>
      <c r="M1914" t="inlineStr">
        <is>
          <t>14:24:35</t>
        </is>
      </c>
    </row>
    <row r="1915" ht="15" customHeight="1" s="37">
      <c r="A1915" t="n">
        <v>18</v>
      </c>
      <c r="B1915" s="10" t="inlineStr">
        <is>
          <t>休日</t>
        </is>
      </c>
      <c r="C1915" s="10" t="inlineStr">
        <is>
          <t>北野線</t>
        </is>
      </c>
      <c r="D1915" s="10" t="inlineStr">
        <is>
          <t>下り</t>
        </is>
      </c>
      <c r="E1915" t="inlineStr">
        <is>
          <t>1455</t>
        </is>
      </c>
      <c r="F1915" t="inlineStr">
        <is>
          <t>0453</t>
        </is>
      </c>
      <c r="G1915" s="10" t="inlineStr">
        <is>
          <t>龍安寺</t>
        </is>
      </c>
      <c r="H1915" s="10" t="inlineStr">
        <is>
          <t>発</t>
        </is>
      </c>
      <c r="J1915" s="10" t="inlineStr">
        <is>
          <t>営業</t>
        </is>
      </c>
      <c r="L1915" t="inlineStr">
        <is>
          <t>14:25:25</t>
        </is>
      </c>
      <c r="M1915" t="inlineStr">
        <is>
          <t>14:25:50</t>
        </is>
      </c>
    </row>
    <row r="1916" ht="15" customHeight="1" s="37">
      <c r="A1916" t="n">
        <v>18</v>
      </c>
      <c r="B1916" s="10" t="inlineStr">
        <is>
          <t>休日</t>
        </is>
      </c>
      <c r="C1916" s="10" t="inlineStr">
        <is>
          <t>北野線</t>
        </is>
      </c>
      <c r="D1916" s="10" t="inlineStr">
        <is>
          <t>下り</t>
        </is>
      </c>
      <c r="E1916" t="inlineStr">
        <is>
          <t>1455</t>
        </is>
      </c>
      <c r="F1916" t="inlineStr">
        <is>
          <t>0453</t>
        </is>
      </c>
      <c r="G1916" s="10" t="inlineStr">
        <is>
          <t>妙心寺</t>
        </is>
      </c>
      <c r="H1916" s="10" t="inlineStr">
        <is>
          <t>発</t>
        </is>
      </c>
      <c r="J1916" s="10" t="inlineStr">
        <is>
          <t>営業</t>
        </is>
      </c>
      <c r="L1916" t="inlineStr">
        <is>
          <t>14:26:40</t>
        </is>
      </c>
      <c r="M1916" t="inlineStr">
        <is>
          <t>14:26:50</t>
        </is>
      </c>
    </row>
    <row r="1917" ht="15" customHeight="1" s="37">
      <c r="A1917" t="n">
        <v>18</v>
      </c>
      <c r="B1917" s="10" t="inlineStr">
        <is>
          <t>休日</t>
        </is>
      </c>
      <c r="C1917" s="10" t="inlineStr">
        <is>
          <t>北野線</t>
        </is>
      </c>
      <c r="D1917" s="10" t="inlineStr">
        <is>
          <t>下り</t>
        </is>
      </c>
      <c r="E1917" t="inlineStr">
        <is>
          <t>1455</t>
        </is>
      </c>
      <c r="F1917" t="inlineStr">
        <is>
          <t>0453</t>
        </is>
      </c>
      <c r="G1917" s="10" t="inlineStr">
        <is>
          <t>御室仁和寺</t>
        </is>
      </c>
      <c r="H1917" s="10" t="inlineStr">
        <is>
          <t>発</t>
        </is>
      </c>
      <c r="J1917" s="10" t="inlineStr">
        <is>
          <t>営業</t>
        </is>
      </c>
      <c r="L1917" t="inlineStr">
        <is>
          <t>14:27:50</t>
        </is>
      </c>
      <c r="M1917" t="inlineStr">
        <is>
          <t>14:28:05</t>
        </is>
      </c>
    </row>
    <row r="1918" ht="15" customHeight="1" s="37">
      <c r="A1918" t="n">
        <v>18</v>
      </c>
      <c r="B1918" s="10" t="inlineStr">
        <is>
          <t>休日</t>
        </is>
      </c>
      <c r="C1918" s="10" t="inlineStr">
        <is>
          <t>北野線</t>
        </is>
      </c>
      <c r="D1918" s="10" t="inlineStr">
        <is>
          <t>下り</t>
        </is>
      </c>
      <c r="E1918" t="inlineStr">
        <is>
          <t>1455</t>
        </is>
      </c>
      <c r="F1918" t="inlineStr">
        <is>
          <t>0453</t>
        </is>
      </c>
      <c r="G1918" s="10" t="inlineStr">
        <is>
          <t>宇多野</t>
        </is>
      </c>
      <c r="H1918" s="10" t="inlineStr">
        <is>
          <t>発</t>
        </is>
      </c>
      <c r="J1918" s="10" t="inlineStr">
        <is>
          <t>営業</t>
        </is>
      </c>
      <c r="L1918" t="inlineStr">
        <is>
          <t>14:29:05</t>
        </is>
      </c>
      <c r="M1918" t="inlineStr">
        <is>
          <t>14:29:15</t>
        </is>
      </c>
    </row>
    <row r="1919" ht="15" customHeight="1" s="37">
      <c r="A1919" t="n">
        <v>18</v>
      </c>
      <c r="B1919" s="10" t="inlineStr">
        <is>
          <t>休日</t>
        </is>
      </c>
      <c r="C1919" s="10" t="inlineStr">
        <is>
          <t>北野線</t>
        </is>
      </c>
      <c r="D1919" s="10" t="inlineStr">
        <is>
          <t>下り</t>
        </is>
      </c>
      <c r="E1919" t="inlineStr">
        <is>
          <t>1455</t>
        </is>
      </c>
      <c r="F1919" t="inlineStr">
        <is>
          <t>0453</t>
        </is>
      </c>
      <c r="G1919" s="10" t="inlineStr">
        <is>
          <t>鳴滝</t>
        </is>
      </c>
      <c r="H1919" s="10" t="inlineStr">
        <is>
          <t>発</t>
        </is>
      </c>
      <c r="J1919" s="10" t="inlineStr">
        <is>
          <t>営業</t>
        </is>
      </c>
      <c r="L1919" t="inlineStr">
        <is>
          <t>14:30:35</t>
        </is>
      </c>
      <c r="M1919" t="inlineStr">
        <is>
          <t>14:30:45</t>
        </is>
      </c>
    </row>
    <row r="1920" ht="15" customHeight="1" s="37">
      <c r="A1920" t="n">
        <v>18</v>
      </c>
      <c r="B1920" s="10" t="inlineStr">
        <is>
          <t>休日</t>
        </is>
      </c>
      <c r="C1920" s="10" t="inlineStr">
        <is>
          <t>北野線</t>
        </is>
      </c>
      <c r="D1920" s="10" t="inlineStr">
        <is>
          <t>下り</t>
        </is>
      </c>
      <c r="E1920" t="inlineStr">
        <is>
          <t>1455</t>
        </is>
      </c>
      <c r="F1920" t="inlineStr">
        <is>
          <t>0453</t>
        </is>
      </c>
      <c r="G1920" s="10" t="inlineStr">
        <is>
          <t>常盤</t>
        </is>
      </c>
      <c r="H1920" s="10" t="inlineStr">
        <is>
          <t>発</t>
        </is>
      </c>
      <c r="J1920" s="10" t="inlineStr">
        <is>
          <t>営業</t>
        </is>
      </c>
      <c r="L1920" t="inlineStr">
        <is>
          <t>14:31:35</t>
        </is>
      </c>
      <c r="M1920" t="inlineStr">
        <is>
          <t>14:31:55</t>
        </is>
      </c>
    </row>
    <row r="1921" ht="15" customHeight="1" s="37">
      <c r="A1921" t="n">
        <v>18</v>
      </c>
      <c r="B1921" s="10" t="inlineStr">
        <is>
          <t>休日</t>
        </is>
      </c>
      <c r="C1921" s="10" t="inlineStr">
        <is>
          <t>北野線</t>
        </is>
      </c>
      <c r="D1921" s="10" t="inlineStr">
        <is>
          <t>下り</t>
        </is>
      </c>
      <c r="E1921" t="inlineStr">
        <is>
          <t>1455</t>
        </is>
      </c>
      <c r="F1921" t="inlineStr">
        <is>
          <t>0453</t>
        </is>
      </c>
      <c r="G1921" s="10" t="inlineStr">
        <is>
          <t>撮影所前</t>
        </is>
      </c>
      <c r="H1921" s="10" t="inlineStr">
        <is>
          <t>発</t>
        </is>
      </c>
      <c r="J1921" s="10" t="inlineStr">
        <is>
          <t>営業</t>
        </is>
      </c>
      <c r="L1921" t="inlineStr">
        <is>
          <t>14:33:15</t>
        </is>
      </c>
      <c r="M1921" t="inlineStr">
        <is>
          <t>14:33:30</t>
        </is>
      </c>
    </row>
    <row r="1922" ht="15" customHeight="1" s="37">
      <c r="A1922" t="n">
        <v>18</v>
      </c>
      <c r="B1922" s="10" t="inlineStr">
        <is>
          <t>休日</t>
        </is>
      </c>
      <c r="C1922" s="10" t="inlineStr">
        <is>
          <t>北野線</t>
        </is>
      </c>
      <c r="D1922" s="10" t="inlineStr">
        <is>
          <t>下り</t>
        </is>
      </c>
      <c r="E1922" t="inlineStr">
        <is>
          <t>1455</t>
        </is>
      </c>
      <c r="F1922" t="inlineStr">
        <is>
          <t>0453</t>
        </is>
      </c>
      <c r="G1922" s="10" t="inlineStr">
        <is>
          <t>帷子ノ辻</t>
        </is>
      </c>
      <c r="H1922" s="10" t="inlineStr">
        <is>
          <t>着</t>
        </is>
      </c>
      <c r="J1922" s="10" t="inlineStr">
        <is>
          <t>営業</t>
        </is>
      </c>
      <c r="L1922" t="inlineStr">
        <is>
          <t>14:34:25</t>
        </is>
      </c>
      <c r="Q1922" t="inlineStr">
        <is>
          <t>4</t>
        </is>
      </c>
      <c r="T1922" t="inlineStr">
        <is>
          <t>○</t>
        </is>
      </c>
    </row>
    <row r="1923" ht="15" customHeight="1" s="37">
      <c r="A1923" t="n">
        <v>18</v>
      </c>
      <c r="B1923" s="10" t="inlineStr">
        <is>
          <t>休日</t>
        </is>
      </c>
      <c r="C1923" s="10" t="inlineStr">
        <is>
          <t>本線</t>
        </is>
      </c>
      <c r="D1923" s="10" t="inlineStr">
        <is>
          <t>下り</t>
        </is>
      </c>
      <c r="E1923" t="inlineStr">
        <is>
          <t>18系統②便乗</t>
        </is>
      </c>
      <c r="F1923" s="10" t="inlineStr">
        <is>
          <t>便乗</t>
        </is>
      </c>
      <c r="G1923" s="10" t="inlineStr">
        <is>
          <t>西院</t>
        </is>
      </c>
      <c r="H1923" s="10" t="inlineStr">
        <is>
          <t>発</t>
        </is>
      </c>
      <c r="J1923" s="10" t="inlineStr">
        <is>
          <t>便乗</t>
        </is>
      </c>
      <c r="L1923" t="inlineStr">
        <is>
          <t>6:42:50</t>
        </is>
      </c>
      <c r="M1923" t="inlineStr">
        <is>
          <t>6:43:20</t>
        </is>
      </c>
      <c r="S1923" t="inlineStr">
        <is>
          <t>0609</t>
        </is>
      </c>
    </row>
    <row r="1924" ht="15" customHeight="1" s="37">
      <c r="A1924" t="n">
        <v>18</v>
      </c>
      <c r="B1924" s="10" t="inlineStr">
        <is>
          <t>休日</t>
        </is>
      </c>
      <c r="C1924" s="10" t="inlineStr">
        <is>
          <t>本線</t>
        </is>
      </c>
      <c r="D1924" s="10" t="inlineStr">
        <is>
          <t>下り</t>
        </is>
      </c>
      <c r="E1924" t="inlineStr">
        <is>
          <t>18系統②便乗</t>
        </is>
      </c>
      <c r="F1924" s="10" t="inlineStr">
        <is>
          <t>便乗</t>
        </is>
      </c>
      <c r="G1924" s="10" t="inlineStr">
        <is>
          <t>西大路三条</t>
        </is>
      </c>
      <c r="H1924" s="10" t="inlineStr">
        <is>
          <t>発</t>
        </is>
      </c>
      <c r="J1924" s="10" t="inlineStr">
        <is>
          <t>便乗</t>
        </is>
      </c>
      <c r="L1924" t="inlineStr">
        <is>
          <t>6:45:10</t>
        </is>
      </c>
      <c r="M1924" t="inlineStr">
        <is>
          <t>6:45:25</t>
        </is>
      </c>
      <c r="S1924" t="inlineStr">
        <is>
          <t>0609</t>
        </is>
      </c>
    </row>
    <row r="1925" ht="15" customHeight="1" s="37">
      <c r="A1925" t="n">
        <v>18</v>
      </c>
      <c r="B1925" s="10" t="inlineStr">
        <is>
          <t>休日</t>
        </is>
      </c>
      <c r="C1925" s="10" t="inlineStr">
        <is>
          <t>本線</t>
        </is>
      </c>
      <c r="D1925" s="10" t="inlineStr">
        <is>
          <t>下り</t>
        </is>
      </c>
      <c r="E1925" t="inlineStr">
        <is>
          <t>18系統②便乗</t>
        </is>
      </c>
      <c r="F1925" s="10" t="inlineStr">
        <is>
          <t>便乗</t>
        </is>
      </c>
      <c r="G1925" s="10" t="inlineStr">
        <is>
          <t>山ノ内</t>
        </is>
      </c>
      <c r="H1925" s="10" t="inlineStr">
        <is>
          <t>発</t>
        </is>
      </c>
      <c r="J1925" s="10" t="inlineStr">
        <is>
          <t>便乗</t>
        </is>
      </c>
      <c r="L1925" t="inlineStr">
        <is>
          <t>6:47:20</t>
        </is>
      </c>
      <c r="M1925" t="inlineStr">
        <is>
          <t>6:47:45</t>
        </is>
      </c>
      <c r="S1925" t="inlineStr">
        <is>
          <t>0609</t>
        </is>
      </c>
    </row>
    <row r="1926" ht="15" customHeight="1" s="37">
      <c r="A1926" t="n">
        <v>18</v>
      </c>
      <c r="B1926" s="10" t="inlineStr">
        <is>
          <t>休日</t>
        </is>
      </c>
      <c r="C1926" s="10" t="inlineStr">
        <is>
          <t>本線</t>
        </is>
      </c>
      <c r="D1926" s="10" t="inlineStr">
        <is>
          <t>下り</t>
        </is>
      </c>
      <c r="E1926" t="inlineStr">
        <is>
          <t>18系統②便乗</t>
        </is>
      </c>
      <c r="F1926" s="10" t="inlineStr">
        <is>
          <t>便乗</t>
        </is>
      </c>
      <c r="G1926" s="10" t="inlineStr">
        <is>
          <t>天神川</t>
        </is>
      </c>
      <c r="H1926" s="10" t="inlineStr">
        <is>
          <t>発</t>
        </is>
      </c>
      <c r="J1926" s="10" t="inlineStr">
        <is>
          <t>便乗</t>
        </is>
      </c>
      <c r="L1926" t="inlineStr">
        <is>
          <t>6:49:45</t>
        </is>
      </c>
      <c r="M1926" t="inlineStr">
        <is>
          <t>6:50:10</t>
        </is>
      </c>
      <c r="S1926" t="inlineStr">
        <is>
          <t>0609</t>
        </is>
      </c>
    </row>
    <row r="1927" ht="15" customHeight="1" s="37">
      <c r="A1927" t="n">
        <v>18</v>
      </c>
      <c r="B1927" s="10" t="inlineStr">
        <is>
          <t>休日</t>
        </is>
      </c>
      <c r="C1927" s="10" t="inlineStr">
        <is>
          <t>本線</t>
        </is>
      </c>
      <c r="D1927" s="10" t="inlineStr">
        <is>
          <t>下り</t>
        </is>
      </c>
      <c r="E1927" t="inlineStr">
        <is>
          <t>18系統②便乗</t>
        </is>
      </c>
      <c r="F1927" s="10" t="inlineStr">
        <is>
          <t>便乗</t>
        </is>
      </c>
      <c r="G1927" s="10" t="inlineStr">
        <is>
          <t>蚕ノ社</t>
        </is>
      </c>
      <c r="H1927" s="10" t="inlineStr">
        <is>
          <t>発</t>
        </is>
      </c>
      <c r="J1927" s="10" t="inlineStr">
        <is>
          <t>便乗</t>
        </is>
      </c>
      <c r="L1927" t="inlineStr">
        <is>
          <t>6:51:00</t>
        </is>
      </c>
      <c r="M1927" t="inlineStr">
        <is>
          <t>6:51:15</t>
        </is>
      </c>
      <c r="S1927" t="inlineStr">
        <is>
          <t>0609</t>
        </is>
      </c>
    </row>
    <row r="1928" ht="15" customHeight="1" s="37">
      <c r="A1928" t="n">
        <v>18</v>
      </c>
      <c r="B1928" s="10" t="inlineStr">
        <is>
          <t>休日</t>
        </is>
      </c>
      <c r="C1928" s="10" t="inlineStr">
        <is>
          <t>本線</t>
        </is>
      </c>
      <c r="D1928" s="10" t="inlineStr">
        <is>
          <t>下り</t>
        </is>
      </c>
      <c r="E1928" t="inlineStr">
        <is>
          <t>18系統②便乗</t>
        </is>
      </c>
      <c r="F1928" s="10" t="inlineStr">
        <is>
          <t>便乗</t>
        </is>
      </c>
      <c r="G1928" s="10" t="inlineStr">
        <is>
          <t>太秦広隆寺</t>
        </is>
      </c>
      <c r="H1928" s="10" t="inlineStr">
        <is>
          <t>発</t>
        </is>
      </c>
      <c r="J1928" s="10" t="inlineStr">
        <is>
          <t>便乗</t>
        </is>
      </c>
      <c r="L1928" t="inlineStr">
        <is>
          <t>6:52:35</t>
        </is>
      </c>
      <c r="M1928" t="inlineStr">
        <is>
          <t>6:52:50</t>
        </is>
      </c>
      <c r="S1928" t="inlineStr">
        <is>
          <t>0609</t>
        </is>
      </c>
    </row>
    <row r="1929" ht="15" customHeight="1" s="37">
      <c r="A1929" t="n">
        <v>18</v>
      </c>
      <c r="B1929" s="10" t="inlineStr">
        <is>
          <t>休日</t>
        </is>
      </c>
      <c r="C1929" s="10" t="inlineStr">
        <is>
          <t>本線</t>
        </is>
      </c>
      <c r="D1929" s="10" t="inlineStr">
        <is>
          <t>下り</t>
        </is>
      </c>
      <c r="E1929" t="inlineStr">
        <is>
          <t>18系統②便乗</t>
        </is>
      </c>
      <c r="F1929" s="10" t="inlineStr">
        <is>
          <t>便乗</t>
        </is>
      </c>
      <c r="G1929" s="10" t="inlineStr">
        <is>
          <t>帷子ノ辻</t>
        </is>
      </c>
      <c r="H1929" s="10" t="inlineStr">
        <is>
          <t>着</t>
        </is>
      </c>
      <c r="J1929" s="10" t="inlineStr">
        <is>
          <t>便乗</t>
        </is>
      </c>
      <c r="L1929" t="inlineStr">
        <is>
          <t>6:54:50</t>
        </is>
      </c>
      <c r="M1929" t="inlineStr">
        <is>
          <t>6:55:20</t>
        </is>
      </c>
      <c r="S1929" t="inlineStr">
        <is>
          <t>0609</t>
        </is>
      </c>
    </row>
    <row r="1930" ht="15" customHeight="1" s="37">
      <c r="A1930" t="n">
        <v>18</v>
      </c>
      <c r="B1930" s="10" t="inlineStr">
        <is>
          <t>休日</t>
        </is>
      </c>
      <c r="C1930" s="10" t="inlineStr">
        <is>
          <t>本線</t>
        </is>
      </c>
      <c r="D1930" s="10" t="inlineStr">
        <is>
          <t>上り</t>
        </is>
      </c>
      <c r="E1930" t="inlineStr">
        <is>
          <t>18系統⑩便乗</t>
        </is>
      </c>
      <c r="F1930" s="10" t="inlineStr">
        <is>
          <t>便乗</t>
        </is>
      </c>
      <c r="G1930" s="10" t="inlineStr">
        <is>
          <t>帷子ノ辻</t>
        </is>
      </c>
      <c r="H1930" s="10" t="inlineStr">
        <is>
          <t>発</t>
        </is>
      </c>
      <c r="J1930" s="10" t="inlineStr">
        <is>
          <t>便乗</t>
        </is>
      </c>
      <c r="L1930" t="inlineStr">
        <is>
          <t>14:40:10</t>
        </is>
      </c>
      <c r="M1930" t="inlineStr">
        <is>
          <t>14:41:15</t>
        </is>
      </c>
      <c r="S1930" t="inlineStr">
        <is>
          <t>連1408</t>
        </is>
      </c>
    </row>
    <row r="1931" ht="15" customHeight="1" s="37">
      <c r="A1931" t="n">
        <v>18</v>
      </c>
      <c r="B1931" s="10" t="inlineStr">
        <is>
          <t>休日</t>
        </is>
      </c>
      <c r="C1931" s="10" t="inlineStr">
        <is>
          <t>本線</t>
        </is>
      </c>
      <c r="D1931" s="10" t="inlineStr">
        <is>
          <t>上り</t>
        </is>
      </c>
      <c r="E1931" t="inlineStr">
        <is>
          <t>18系統⑩便乗</t>
        </is>
      </c>
      <c r="F1931" s="10" t="inlineStr">
        <is>
          <t>便乗</t>
        </is>
      </c>
      <c r="G1931" s="10" t="inlineStr">
        <is>
          <t>太秦広隆寺</t>
        </is>
      </c>
      <c r="H1931" s="10" t="inlineStr">
        <is>
          <t>発</t>
        </is>
      </c>
      <c r="J1931" s="10" t="inlineStr">
        <is>
          <t>便乗</t>
        </is>
      </c>
      <c r="L1931" t="inlineStr">
        <is>
          <t>14:43:25</t>
        </is>
      </c>
      <c r="M1931" t="inlineStr">
        <is>
          <t>14:43:45</t>
        </is>
      </c>
      <c r="S1931" t="inlineStr">
        <is>
          <t>連1408</t>
        </is>
      </c>
    </row>
    <row r="1932" ht="15" customHeight="1" s="37">
      <c r="A1932" t="n">
        <v>18</v>
      </c>
      <c r="B1932" s="10" t="inlineStr">
        <is>
          <t>休日</t>
        </is>
      </c>
      <c r="C1932" s="10" t="inlineStr">
        <is>
          <t>本線</t>
        </is>
      </c>
      <c r="D1932" s="10" t="inlineStr">
        <is>
          <t>上り</t>
        </is>
      </c>
      <c r="E1932" t="inlineStr">
        <is>
          <t>18系統⑩便乗</t>
        </is>
      </c>
      <c r="F1932" s="10" t="inlineStr">
        <is>
          <t>便乗</t>
        </is>
      </c>
      <c r="G1932" s="10" t="inlineStr">
        <is>
          <t>蚕ノ社</t>
        </is>
      </c>
      <c r="H1932" s="10" t="inlineStr">
        <is>
          <t>発</t>
        </is>
      </c>
      <c r="J1932" s="10" t="inlineStr">
        <is>
          <t>便乗</t>
        </is>
      </c>
      <c r="L1932" t="inlineStr">
        <is>
          <t>14:45:00</t>
        </is>
      </c>
      <c r="M1932" t="inlineStr">
        <is>
          <t>14:45:20</t>
        </is>
      </c>
      <c r="S1932" t="inlineStr">
        <is>
          <t>連1408</t>
        </is>
      </c>
    </row>
    <row r="1933" ht="15" customHeight="1" s="37">
      <c r="A1933" t="n">
        <v>18</v>
      </c>
      <c r="B1933" s="10" t="inlineStr">
        <is>
          <t>休日</t>
        </is>
      </c>
      <c r="C1933" s="10" t="inlineStr">
        <is>
          <t>本線</t>
        </is>
      </c>
      <c r="D1933" s="10" t="inlineStr">
        <is>
          <t>上り</t>
        </is>
      </c>
      <c r="E1933" t="inlineStr">
        <is>
          <t>18系統⑩便乗</t>
        </is>
      </c>
      <c r="F1933" s="10" t="inlineStr">
        <is>
          <t>便乗</t>
        </is>
      </c>
      <c r="G1933" s="10" t="inlineStr">
        <is>
          <t>天神川</t>
        </is>
      </c>
      <c r="H1933" s="10" t="inlineStr">
        <is>
          <t>発</t>
        </is>
      </c>
      <c r="J1933" s="10" t="inlineStr">
        <is>
          <t>便乗</t>
        </is>
      </c>
      <c r="L1933" t="inlineStr">
        <is>
          <t>14:46:05</t>
        </is>
      </c>
      <c r="M1933" t="inlineStr">
        <is>
          <t>14:46:50</t>
        </is>
      </c>
      <c r="S1933" t="inlineStr">
        <is>
          <t>連1408</t>
        </is>
      </c>
    </row>
    <row r="1934" ht="15" customHeight="1" s="37">
      <c r="A1934" t="n">
        <v>18</v>
      </c>
      <c r="B1934" s="10" t="inlineStr">
        <is>
          <t>休日</t>
        </is>
      </c>
      <c r="C1934" s="10" t="inlineStr">
        <is>
          <t>本線</t>
        </is>
      </c>
      <c r="D1934" s="10" t="inlineStr">
        <is>
          <t>上り</t>
        </is>
      </c>
      <c r="E1934" t="inlineStr">
        <is>
          <t>18系統⑩便乗</t>
        </is>
      </c>
      <c r="F1934" s="10" t="inlineStr">
        <is>
          <t>便乗</t>
        </is>
      </c>
      <c r="G1934" s="10" t="inlineStr">
        <is>
          <t>山ノ内</t>
        </is>
      </c>
      <c r="H1934" s="10" t="inlineStr">
        <is>
          <t>発</t>
        </is>
      </c>
      <c r="J1934" s="10" t="inlineStr">
        <is>
          <t>便乗</t>
        </is>
      </c>
      <c r="L1934" t="inlineStr">
        <is>
          <t>14:48:40</t>
        </is>
      </c>
      <c r="M1934" t="inlineStr">
        <is>
          <t>14:49:05</t>
        </is>
      </c>
      <c r="S1934" t="inlineStr">
        <is>
          <t>連1408</t>
        </is>
      </c>
    </row>
    <row r="1935" ht="15" customHeight="1" s="37">
      <c r="A1935" t="n">
        <v>18</v>
      </c>
      <c r="B1935" s="10" t="inlineStr">
        <is>
          <t>休日</t>
        </is>
      </c>
      <c r="C1935" s="10" t="inlineStr">
        <is>
          <t>本線</t>
        </is>
      </c>
      <c r="D1935" s="10" t="inlineStr">
        <is>
          <t>上り</t>
        </is>
      </c>
      <c r="E1935" t="inlineStr">
        <is>
          <t>18系統⑩便乗</t>
        </is>
      </c>
      <c r="F1935" s="10" t="inlineStr">
        <is>
          <t>便乗</t>
        </is>
      </c>
      <c r="G1935" s="10" t="inlineStr">
        <is>
          <t>西大路三条</t>
        </is>
      </c>
      <c r="H1935" s="10" t="inlineStr">
        <is>
          <t>発</t>
        </is>
      </c>
      <c r="J1935" s="10" t="inlineStr">
        <is>
          <t>便乗</t>
        </is>
      </c>
      <c r="L1935" t="inlineStr">
        <is>
          <t>14:50:55</t>
        </is>
      </c>
      <c r="M1935" t="inlineStr">
        <is>
          <t>14:51:15</t>
        </is>
      </c>
      <c r="S1935" t="inlineStr">
        <is>
          <t>連1408</t>
        </is>
      </c>
    </row>
    <row r="1936" ht="15" customHeight="1" s="37">
      <c r="A1936" t="n">
        <v>18</v>
      </c>
      <c r="B1936" s="10" t="inlineStr">
        <is>
          <t>休日</t>
        </is>
      </c>
      <c r="C1936" s="10" t="inlineStr">
        <is>
          <t>本線</t>
        </is>
      </c>
      <c r="D1936" s="10" t="inlineStr">
        <is>
          <t>上り</t>
        </is>
      </c>
      <c r="E1936" t="inlineStr">
        <is>
          <t>18系統⑩便乗</t>
        </is>
      </c>
      <c r="F1936" s="10" t="inlineStr">
        <is>
          <t>便乗</t>
        </is>
      </c>
      <c r="G1936" s="10" t="inlineStr">
        <is>
          <t>西院</t>
        </is>
      </c>
      <c r="H1936" s="10" t="inlineStr">
        <is>
          <t>着</t>
        </is>
      </c>
      <c r="J1936" s="10" t="inlineStr">
        <is>
          <t>便乗</t>
        </is>
      </c>
      <c r="L1936" t="inlineStr">
        <is>
          <t>14:53:10</t>
        </is>
      </c>
      <c r="M1936" t="inlineStr">
        <is>
          <t>14:54:05</t>
        </is>
      </c>
      <c r="S1936" t="inlineStr">
        <is>
          <t>連1408</t>
        </is>
      </c>
    </row>
    <row r="1937" ht="15" customHeight="1" s="37">
      <c r="A1937" t="n">
        <v>19</v>
      </c>
      <c r="B1937" s="10" t="inlineStr">
        <is>
          <t>休日</t>
        </is>
      </c>
      <c r="C1937" s="10" t="inlineStr">
        <is>
          <t>北野線</t>
        </is>
      </c>
      <c r="D1937" s="10" t="inlineStr">
        <is>
          <t>上り</t>
        </is>
      </c>
      <c r="E1937" t="inlineStr">
        <is>
          <t>0756</t>
        </is>
      </c>
      <c r="F1937" t="inlineStr">
        <is>
          <t>0354</t>
        </is>
      </c>
      <c r="G1937" s="10" t="inlineStr">
        <is>
          <t>帷子ノ辻</t>
        </is>
      </c>
      <c r="H1937" s="10" t="inlineStr">
        <is>
          <t>発</t>
        </is>
      </c>
      <c r="J1937" s="10" t="inlineStr">
        <is>
          <t>営業</t>
        </is>
      </c>
      <c r="K1937" s="10" t="inlineStr">
        <is>
          <t>←回0791</t>
        </is>
      </c>
      <c r="M1937" t="inlineStr">
        <is>
          <t>7:26:25</t>
        </is>
      </c>
      <c r="Q1937" t="inlineStr">
        <is>
          <t>4出</t>
        </is>
      </c>
    </row>
    <row r="1938" ht="15" customHeight="1" s="37">
      <c r="A1938" t="n">
        <v>19</v>
      </c>
      <c r="B1938" s="10" t="inlineStr">
        <is>
          <t>休日</t>
        </is>
      </c>
      <c r="C1938" s="10" t="inlineStr">
        <is>
          <t>北野線</t>
        </is>
      </c>
      <c r="D1938" s="10" t="inlineStr">
        <is>
          <t>上り</t>
        </is>
      </c>
      <c r="E1938" t="inlineStr">
        <is>
          <t>0756</t>
        </is>
      </c>
      <c r="F1938" t="inlineStr">
        <is>
          <t>0354</t>
        </is>
      </c>
      <c r="G1938" s="10" t="inlineStr">
        <is>
          <t>撮影所前</t>
        </is>
      </c>
      <c r="H1938" s="10" t="inlineStr">
        <is>
          <t>発</t>
        </is>
      </c>
      <c r="J1938" s="10" t="inlineStr">
        <is>
          <t>営業</t>
        </is>
      </c>
      <c r="K1938" s="10" t="inlineStr">
        <is>
          <t>←回0791</t>
        </is>
      </c>
      <c r="L1938" t="inlineStr">
        <is>
          <t>7:27:25</t>
        </is>
      </c>
      <c r="M1938" t="inlineStr">
        <is>
          <t>7:27:40</t>
        </is>
      </c>
    </row>
    <row r="1939" ht="15" customHeight="1" s="37">
      <c r="A1939" t="n">
        <v>19</v>
      </c>
      <c r="B1939" s="10" t="inlineStr">
        <is>
          <t>休日</t>
        </is>
      </c>
      <c r="C1939" s="10" t="inlineStr">
        <is>
          <t>北野線</t>
        </is>
      </c>
      <c r="D1939" s="10" t="inlineStr">
        <is>
          <t>上り</t>
        </is>
      </c>
      <c r="E1939" t="inlineStr">
        <is>
          <t>0756</t>
        </is>
      </c>
      <c r="F1939" t="inlineStr">
        <is>
          <t>0354</t>
        </is>
      </c>
      <c r="G1939" s="10" t="inlineStr">
        <is>
          <t>常盤</t>
        </is>
      </c>
      <c r="H1939" s="10" t="inlineStr">
        <is>
          <t>発</t>
        </is>
      </c>
      <c r="J1939" s="10" t="inlineStr">
        <is>
          <t>営業</t>
        </is>
      </c>
      <c r="K1939" s="10" t="inlineStr">
        <is>
          <t>←回0791</t>
        </is>
      </c>
      <c r="L1939" t="inlineStr">
        <is>
          <t>7:29:00</t>
        </is>
      </c>
      <c r="M1939" t="inlineStr">
        <is>
          <t>7:29:20</t>
        </is>
      </c>
    </row>
    <row r="1940" ht="15" customHeight="1" s="37">
      <c r="A1940" t="n">
        <v>19</v>
      </c>
      <c r="B1940" s="10" t="inlineStr">
        <is>
          <t>休日</t>
        </is>
      </c>
      <c r="C1940" s="10" t="inlineStr">
        <is>
          <t>北野線</t>
        </is>
      </c>
      <c r="D1940" s="10" t="inlineStr">
        <is>
          <t>上り</t>
        </is>
      </c>
      <c r="E1940" t="inlineStr">
        <is>
          <t>0756</t>
        </is>
      </c>
      <c r="F1940" t="inlineStr">
        <is>
          <t>0354</t>
        </is>
      </c>
      <c r="G1940" s="10" t="inlineStr">
        <is>
          <t>鳴滝</t>
        </is>
      </c>
      <c r="H1940" s="10" t="inlineStr">
        <is>
          <t>発</t>
        </is>
      </c>
      <c r="J1940" s="10" t="inlineStr">
        <is>
          <t>営業</t>
        </is>
      </c>
      <c r="K1940" s="10" t="inlineStr">
        <is>
          <t>←回0791</t>
        </is>
      </c>
      <c r="L1940" t="inlineStr">
        <is>
          <t>7:30:20</t>
        </is>
      </c>
      <c r="M1940" t="inlineStr">
        <is>
          <t>7:30:40</t>
        </is>
      </c>
    </row>
    <row r="1941" ht="15" customHeight="1" s="37">
      <c r="A1941" t="n">
        <v>19</v>
      </c>
      <c r="B1941" s="10" t="inlineStr">
        <is>
          <t>休日</t>
        </is>
      </c>
      <c r="C1941" s="10" t="inlineStr">
        <is>
          <t>北野線</t>
        </is>
      </c>
      <c r="D1941" s="10" t="inlineStr">
        <is>
          <t>上り</t>
        </is>
      </c>
      <c r="E1941" t="inlineStr">
        <is>
          <t>0756</t>
        </is>
      </c>
      <c r="F1941" t="inlineStr">
        <is>
          <t>0354</t>
        </is>
      </c>
      <c r="G1941" s="10" t="inlineStr">
        <is>
          <t>宇多野</t>
        </is>
      </c>
      <c r="H1941" s="10" t="inlineStr">
        <is>
          <t>発</t>
        </is>
      </c>
      <c r="J1941" s="10" t="inlineStr">
        <is>
          <t>営業</t>
        </is>
      </c>
      <c r="K1941" s="10" t="inlineStr">
        <is>
          <t>←回0791</t>
        </is>
      </c>
      <c r="L1941" t="inlineStr">
        <is>
          <t>7:32:00</t>
        </is>
      </c>
      <c r="M1941" t="inlineStr">
        <is>
          <t>7:32:15</t>
        </is>
      </c>
    </row>
    <row r="1942" ht="15" customHeight="1" s="37">
      <c r="A1942" t="n">
        <v>19</v>
      </c>
      <c r="B1942" s="10" t="inlineStr">
        <is>
          <t>休日</t>
        </is>
      </c>
      <c r="C1942" s="10" t="inlineStr">
        <is>
          <t>北野線</t>
        </is>
      </c>
      <c r="D1942" s="10" t="inlineStr">
        <is>
          <t>上り</t>
        </is>
      </c>
      <c r="E1942" t="inlineStr">
        <is>
          <t>0756</t>
        </is>
      </c>
      <c r="F1942" t="inlineStr">
        <is>
          <t>0354</t>
        </is>
      </c>
      <c r="G1942" s="10" t="inlineStr">
        <is>
          <t>御室仁和寺</t>
        </is>
      </c>
      <c r="H1942" s="10" t="inlineStr">
        <is>
          <t>発</t>
        </is>
      </c>
      <c r="J1942" s="10" t="inlineStr">
        <is>
          <t>営業</t>
        </is>
      </c>
      <c r="K1942" s="10" t="inlineStr">
        <is>
          <t>←回0791</t>
        </is>
      </c>
      <c r="L1942" t="inlineStr">
        <is>
          <t>7:33:15</t>
        </is>
      </c>
      <c r="M1942" t="inlineStr">
        <is>
          <t>7:33:35</t>
        </is>
      </c>
    </row>
    <row r="1943" ht="15" customHeight="1" s="37">
      <c r="A1943" t="n">
        <v>19</v>
      </c>
      <c r="B1943" s="10" t="inlineStr">
        <is>
          <t>休日</t>
        </is>
      </c>
      <c r="C1943" s="10" t="inlineStr">
        <is>
          <t>北野線</t>
        </is>
      </c>
      <c r="D1943" s="10" t="inlineStr">
        <is>
          <t>上り</t>
        </is>
      </c>
      <c r="E1943" t="inlineStr">
        <is>
          <t>0756</t>
        </is>
      </c>
      <c r="F1943" t="inlineStr">
        <is>
          <t>0354</t>
        </is>
      </c>
      <c r="G1943" s="10" t="inlineStr">
        <is>
          <t>妙心寺</t>
        </is>
      </c>
      <c r="H1943" s="10" t="inlineStr">
        <is>
          <t>発</t>
        </is>
      </c>
      <c r="J1943" s="10" t="inlineStr">
        <is>
          <t>営業</t>
        </is>
      </c>
      <c r="K1943" s="10" t="inlineStr">
        <is>
          <t>←回0791</t>
        </is>
      </c>
      <c r="L1943" t="inlineStr">
        <is>
          <t>7:34:35</t>
        </is>
      </c>
      <c r="M1943" t="inlineStr">
        <is>
          <t>7:34:50</t>
        </is>
      </c>
    </row>
    <row r="1944" ht="15" customHeight="1" s="37">
      <c r="A1944" t="n">
        <v>19</v>
      </c>
      <c r="B1944" s="10" t="inlineStr">
        <is>
          <t>休日</t>
        </is>
      </c>
      <c r="C1944" s="10" t="inlineStr">
        <is>
          <t>北野線</t>
        </is>
      </c>
      <c r="D1944" s="10" t="inlineStr">
        <is>
          <t>上り</t>
        </is>
      </c>
      <c r="E1944" t="inlineStr">
        <is>
          <t>0756</t>
        </is>
      </c>
      <c r="F1944" t="inlineStr">
        <is>
          <t>0354</t>
        </is>
      </c>
      <c r="G1944" s="10" t="inlineStr">
        <is>
          <t>龍安寺</t>
        </is>
      </c>
      <c r="H1944" s="10" t="inlineStr">
        <is>
          <t>発</t>
        </is>
      </c>
      <c r="J1944" s="10" t="inlineStr">
        <is>
          <t>営業</t>
        </is>
      </c>
      <c r="K1944" s="10" t="inlineStr">
        <is>
          <t>←回0791</t>
        </is>
      </c>
      <c r="L1944" t="inlineStr">
        <is>
          <t>7:35:45</t>
        </is>
      </c>
      <c r="M1944" t="inlineStr">
        <is>
          <t>7:35:55</t>
        </is>
      </c>
    </row>
    <row r="1945" ht="15" customHeight="1" s="37">
      <c r="A1945" t="n">
        <v>19</v>
      </c>
      <c r="B1945" s="10" t="inlineStr">
        <is>
          <t>休日</t>
        </is>
      </c>
      <c r="C1945" s="10" t="inlineStr">
        <is>
          <t>北野線</t>
        </is>
      </c>
      <c r="D1945" s="10" t="inlineStr">
        <is>
          <t>上り</t>
        </is>
      </c>
      <c r="E1945" t="inlineStr">
        <is>
          <t>0756</t>
        </is>
      </c>
      <c r="F1945" t="inlineStr">
        <is>
          <t>0354</t>
        </is>
      </c>
      <c r="G1945" s="10" t="inlineStr">
        <is>
          <t>等持院</t>
        </is>
      </c>
      <c r="H1945" s="10" t="inlineStr">
        <is>
          <t>発</t>
        </is>
      </c>
      <c r="J1945" s="10" t="inlineStr">
        <is>
          <t>営業</t>
        </is>
      </c>
      <c r="K1945" s="10" t="inlineStr">
        <is>
          <t>←回0791</t>
        </is>
      </c>
      <c r="L1945" t="inlineStr">
        <is>
          <t>7:36:35</t>
        </is>
      </c>
      <c r="M1945" t="inlineStr">
        <is>
          <t>7:36:55</t>
        </is>
      </c>
    </row>
    <row r="1946" ht="15" customHeight="1" s="37">
      <c r="A1946" t="n">
        <v>19</v>
      </c>
      <c r="B1946" s="10" t="inlineStr">
        <is>
          <t>休日</t>
        </is>
      </c>
      <c r="C1946" s="10" t="inlineStr">
        <is>
          <t>北野線</t>
        </is>
      </c>
      <c r="D1946" s="10" t="inlineStr">
        <is>
          <t>上り</t>
        </is>
      </c>
      <c r="E1946" t="inlineStr">
        <is>
          <t>0756</t>
        </is>
      </c>
      <c r="F1946" t="inlineStr">
        <is>
          <t>0354</t>
        </is>
      </c>
      <c r="G1946" s="10" t="inlineStr">
        <is>
          <t>北野白梅町</t>
        </is>
      </c>
      <c r="H1946" s="10" t="inlineStr">
        <is>
          <t>着</t>
        </is>
      </c>
      <c r="J1946" s="10" t="inlineStr">
        <is>
          <t>営業</t>
        </is>
      </c>
      <c r="K1946" s="10" t="inlineStr">
        <is>
          <t>←回0791</t>
        </is>
      </c>
      <c r="L1946" t="inlineStr">
        <is>
          <t>7:38:15</t>
        </is>
      </c>
      <c r="Q1946" t="inlineStr">
        <is>
          <t>1</t>
        </is>
      </c>
    </row>
    <row r="1947" ht="15" customHeight="1" s="37">
      <c r="A1947" t="n">
        <v>19</v>
      </c>
      <c r="B1947" s="10" t="inlineStr">
        <is>
          <t>休日</t>
        </is>
      </c>
      <c r="C1947" s="10" t="inlineStr">
        <is>
          <t>北野線</t>
        </is>
      </c>
      <c r="D1947" s="10" t="inlineStr">
        <is>
          <t>下り</t>
        </is>
      </c>
      <c r="E1947" t="inlineStr">
        <is>
          <t>0757</t>
        </is>
      </c>
      <c r="F1947" t="inlineStr">
        <is>
          <t>0453</t>
        </is>
      </c>
      <c r="G1947" s="10" t="inlineStr">
        <is>
          <t>北野白梅町</t>
        </is>
      </c>
      <c r="H1947" s="10" t="inlineStr">
        <is>
          <t>発</t>
        </is>
      </c>
      <c r="J1947" s="10" t="inlineStr">
        <is>
          <t>営業</t>
        </is>
      </c>
      <c r="M1947" t="inlineStr">
        <is>
          <t>7:43:00</t>
        </is>
      </c>
      <c r="Q1947" t="inlineStr">
        <is>
          <t>1</t>
        </is>
      </c>
    </row>
    <row r="1948" ht="15" customHeight="1" s="37">
      <c r="A1948" t="n">
        <v>19</v>
      </c>
      <c r="B1948" s="10" t="inlineStr">
        <is>
          <t>休日</t>
        </is>
      </c>
      <c r="C1948" s="10" t="inlineStr">
        <is>
          <t>北野線</t>
        </is>
      </c>
      <c r="D1948" s="10" t="inlineStr">
        <is>
          <t>下り</t>
        </is>
      </c>
      <c r="E1948" t="inlineStr">
        <is>
          <t>0757</t>
        </is>
      </c>
      <c r="F1948" t="inlineStr">
        <is>
          <t>0453</t>
        </is>
      </c>
      <c r="G1948" s="10" t="inlineStr">
        <is>
          <t>等持院</t>
        </is>
      </c>
      <c r="H1948" s="10" t="inlineStr">
        <is>
          <t>発</t>
        </is>
      </c>
      <c r="J1948" s="10" t="inlineStr">
        <is>
          <t>営業</t>
        </is>
      </c>
      <c r="L1948" t="inlineStr">
        <is>
          <t>7:44:25</t>
        </is>
      </c>
      <c r="M1948" t="inlineStr">
        <is>
          <t>7:44:35</t>
        </is>
      </c>
    </row>
    <row r="1949" ht="15" customHeight="1" s="37">
      <c r="A1949" t="n">
        <v>19</v>
      </c>
      <c r="B1949" s="10" t="inlineStr">
        <is>
          <t>休日</t>
        </is>
      </c>
      <c r="C1949" s="10" t="inlineStr">
        <is>
          <t>北野線</t>
        </is>
      </c>
      <c r="D1949" s="10" t="inlineStr">
        <is>
          <t>下り</t>
        </is>
      </c>
      <c r="E1949" t="inlineStr">
        <is>
          <t>0757</t>
        </is>
      </c>
      <c r="F1949" t="inlineStr">
        <is>
          <t>0453</t>
        </is>
      </c>
      <c r="G1949" s="10" t="inlineStr">
        <is>
          <t>龍安寺</t>
        </is>
      </c>
      <c r="H1949" s="10" t="inlineStr">
        <is>
          <t>発</t>
        </is>
      </c>
      <c r="J1949" s="10" t="inlineStr">
        <is>
          <t>営業</t>
        </is>
      </c>
      <c r="L1949" t="inlineStr">
        <is>
          <t>7:45:25</t>
        </is>
      </c>
      <c r="M1949" t="inlineStr">
        <is>
          <t>7:45:50</t>
        </is>
      </c>
    </row>
    <row r="1950" ht="15" customHeight="1" s="37">
      <c r="A1950" t="n">
        <v>19</v>
      </c>
      <c r="B1950" s="10" t="inlineStr">
        <is>
          <t>休日</t>
        </is>
      </c>
      <c r="C1950" s="10" t="inlineStr">
        <is>
          <t>北野線</t>
        </is>
      </c>
      <c r="D1950" s="10" t="inlineStr">
        <is>
          <t>下り</t>
        </is>
      </c>
      <c r="E1950" t="inlineStr">
        <is>
          <t>0757</t>
        </is>
      </c>
      <c r="F1950" t="inlineStr">
        <is>
          <t>0453</t>
        </is>
      </c>
      <c r="G1950" s="10" t="inlineStr">
        <is>
          <t>妙心寺</t>
        </is>
      </c>
      <c r="H1950" s="10" t="inlineStr">
        <is>
          <t>発</t>
        </is>
      </c>
      <c r="J1950" s="10" t="inlineStr">
        <is>
          <t>営業</t>
        </is>
      </c>
      <c r="L1950" t="inlineStr">
        <is>
          <t>7:46:40</t>
        </is>
      </c>
      <c r="M1950" t="inlineStr">
        <is>
          <t>7:46:50</t>
        </is>
      </c>
    </row>
    <row r="1951" ht="15" customHeight="1" s="37">
      <c r="A1951" t="n">
        <v>19</v>
      </c>
      <c r="B1951" s="10" t="inlineStr">
        <is>
          <t>休日</t>
        </is>
      </c>
      <c r="C1951" s="10" t="inlineStr">
        <is>
          <t>北野線</t>
        </is>
      </c>
      <c r="D1951" s="10" t="inlineStr">
        <is>
          <t>下り</t>
        </is>
      </c>
      <c r="E1951" t="inlineStr">
        <is>
          <t>0757</t>
        </is>
      </c>
      <c r="F1951" t="inlineStr">
        <is>
          <t>0453</t>
        </is>
      </c>
      <c r="G1951" s="10" t="inlineStr">
        <is>
          <t>御室仁和寺</t>
        </is>
      </c>
      <c r="H1951" s="10" t="inlineStr">
        <is>
          <t>発</t>
        </is>
      </c>
      <c r="J1951" s="10" t="inlineStr">
        <is>
          <t>営業</t>
        </is>
      </c>
      <c r="L1951" t="inlineStr">
        <is>
          <t>7:47:50</t>
        </is>
      </c>
      <c r="M1951" t="inlineStr">
        <is>
          <t>7:48:05</t>
        </is>
      </c>
    </row>
    <row r="1952" ht="15" customHeight="1" s="37">
      <c r="A1952" t="n">
        <v>19</v>
      </c>
      <c r="B1952" s="10" t="inlineStr">
        <is>
          <t>休日</t>
        </is>
      </c>
      <c r="C1952" s="10" t="inlineStr">
        <is>
          <t>北野線</t>
        </is>
      </c>
      <c r="D1952" s="10" t="inlineStr">
        <is>
          <t>下り</t>
        </is>
      </c>
      <c r="E1952" t="inlineStr">
        <is>
          <t>0757</t>
        </is>
      </c>
      <c r="F1952" t="inlineStr">
        <is>
          <t>0453</t>
        </is>
      </c>
      <c r="G1952" s="10" t="inlineStr">
        <is>
          <t>宇多野</t>
        </is>
      </c>
      <c r="H1952" s="10" t="inlineStr">
        <is>
          <t>発</t>
        </is>
      </c>
      <c r="J1952" s="10" t="inlineStr">
        <is>
          <t>営業</t>
        </is>
      </c>
      <c r="L1952" t="inlineStr">
        <is>
          <t>7:49:05</t>
        </is>
      </c>
      <c r="M1952" t="inlineStr">
        <is>
          <t>7:49:15</t>
        </is>
      </c>
    </row>
    <row r="1953" ht="15" customHeight="1" s="37">
      <c r="A1953" t="n">
        <v>19</v>
      </c>
      <c r="B1953" s="10" t="inlineStr">
        <is>
          <t>休日</t>
        </is>
      </c>
      <c r="C1953" s="10" t="inlineStr">
        <is>
          <t>北野線</t>
        </is>
      </c>
      <c r="D1953" s="10" t="inlineStr">
        <is>
          <t>下り</t>
        </is>
      </c>
      <c r="E1953" t="inlineStr">
        <is>
          <t>0757</t>
        </is>
      </c>
      <c r="F1953" t="inlineStr">
        <is>
          <t>0453</t>
        </is>
      </c>
      <c r="G1953" s="10" t="inlineStr">
        <is>
          <t>鳴滝</t>
        </is>
      </c>
      <c r="H1953" s="10" t="inlineStr">
        <is>
          <t>発</t>
        </is>
      </c>
      <c r="J1953" s="10" t="inlineStr">
        <is>
          <t>営業</t>
        </is>
      </c>
      <c r="L1953" t="inlineStr">
        <is>
          <t>7:50:35</t>
        </is>
      </c>
      <c r="M1953" t="inlineStr">
        <is>
          <t>7:50:45</t>
        </is>
      </c>
    </row>
    <row r="1954" ht="15" customHeight="1" s="37">
      <c r="A1954" t="n">
        <v>19</v>
      </c>
      <c r="B1954" s="10" t="inlineStr">
        <is>
          <t>休日</t>
        </is>
      </c>
      <c r="C1954" s="10" t="inlineStr">
        <is>
          <t>北野線</t>
        </is>
      </c>
      <c r="D1954" s="10" t="inlineStr">
        <is>
          <t>下り</t>
        </is>
      </c>
      <c r="E1954" t="inlineStr">
        <is>
          <t>0757</t>
        </is>
      </c>
      <c r="F1954" t="inlineStr">
        <is>
          <t>0453</t>
        </is>
      </c>
      <c r="G1954" s="10" t="inlineStr">
        <is>
          <t>常盤</t>
        </is>
      </c>
      <c r="H1954" s="10" t="inlineStr">
        <is>
          <t>発</t>
        </is>
      </c>
      <c r="J1954" s="10" t="inlineStr">
        <is>
          <t>営業</t>
        </is>
      </c>
      <c r="L1954" t="inlineStr">
        <is>
          <t>7:51:35</t>
        </is>
      </c>
      <c r="M1954" t="inlineStr">
        <is>
          <t>7:51:55</t>
        </is>
      </c>
    </row>
    <row r="1955" ht="15" customHeight="1" s="37">
      <c r="A1955" t="n">
        <v>19</v>
      </c>
      <c r="B1955" s="10" t="inlineStr">
        <is>
          <t>休日</t>
        </is>
      </c>
      <c r="C1955" s="10" t="inlineStr">
        <is>
          <t>北野線</t>
        </is>
      </c>
      <c r="D1955" s="10" t="inlineStr">
        <is>
          <t>下り</t>
        </is>
      </c>
      <c r="E1955" t="inlineStr">
        <is>
          <t>0757</t>
        </is>
      </c>
      <c r="F1955" t="inlineStr">
        <is>
          <t>0453</t>
        </is>
      </c>
      <c r="G1955" s="10" t="inlineStr">
        <is>
          <t>撮影所前</t>
        </is>
      </c>
      <c r="H1955" s="10" t="inlineStr">
        <is>
          <t>発</t>
        </is>
      </c>
      <c r="J1955" s="10" t="inlineStr">
        <is>
          <t>営業</t>
        </is>
      </c>
      <c r="L1955" t="inlineStr">
        <is>
          <t>7:53:15</t>
        </is>
      </c>
      <c r="M1955" t="inlineStr">
        <is>
          <t>7:53:30</t>
        </is>
      </c>
    </row>
    <row r="1956" ht="15" customHeight="1" s="37">
      <c r="A1956" t="n">
        <v>19</v>
      </c>
      <c r="B1956" s="10" t="inlineStr">
        <is>
          <t>休日</t>
        </is>
      </c>
      <c r="C1956" s="10" t="inlineStr">
        <is>
          <t>北野線</t>
        </is>
      </c>
      <c r="D1956" s="10" t="inlineStr">
        <is>
          <t>下り</t>
        </is>
      </c>
      <c r="E1956" t="inlineStr">
        <is>
          <t>0757</t>
        </is>
      </c>
      <c r="F1956" t="inlineStr">
        <is>
          <t>0453</t>
        </is>
      </c>
      <c r="G1956" s="10" t="inlineStr">
        <is>
          <t>帷子ノ辻</t>
        </is>
      </c>
      <c r="H1956" s="10" t="inlineStr">
        <is>
          <t>着</t>
        </is>
      </c>
      <c r="J1956" s="10" t="inlineStr">
        <is>
          <t>営業</t>
        </is>
      </c>
      <c r="L1956" t="inlineStr">
        <is>
          <t>7:54:25</t>
        </is>
      </c>
      <c r="Q1956" t="inlineStr">
        <is>
          <t>4</t>
        </is>
      </c>
    </row>
    <row r="1957" ht="15" customHeight="1" s="37">
      <c r="A1957" t="n">
        <v>19</v>
      </c>
      <c r="B1957" s="10" t="inlineStr">
        <is>
          <t>休日</t>
        </is>
      </c>
      <c r="C1957" s="10" t="inlineStr">
        <is>
          <t>北野線</t>
        </is>
      </c>
      <c r="D1957" s="10" t="inlineStr">
        <is>
          <t>上り</t>
        </is>
      </c>
      <c r="E1957" t="inlineStr">
        <is>
          <t>0852</t>
        </is>
      </c>
      <c r="F1957" t="inlineStr">
        <is>
          <t>0354</t>
        </is>
      </c>
      <c r="G1957" s="10" t="inlineStr">
        <is>
          <t>帷子ノ辻</t>
        </is>
      </c>
      <c r="H1957" s="10" t="inlineStr">
        <is>
          <t>発</t>
        </is>
      </c>
      <c r="J1957" s="10" t="inlineStr">
        <is>
          <t>営業</t>
        </is>
      </c>
      <c r="M1957" t="inlineStr">
        <is>
          <t>8:06:25</t>
        </is>
      </c>
      <c r="Q1957" t="inlineStr">
        <is>
          <t>4</t>
        </is>
      </c>
    </row>
    <row r="1958" ht="15" customHeight="1" s="37">
      <c r="A1958" t="n">
        <v>19</v>
      </c>
      <c r="B1958" s="10" t="inlineStr">
        <is>
          <t>休日</t>
        </is>
      </c>
      <c r="C1958" s="10" t="inlineStr">
        <is>
          <t>北野線</t>
        </is>
      </c>
      <c r="D1958" s="10" t="inlineStr">
        <is>
          <t>上り</t>
        </is>
      </c>
      <c r="E1958" t="inlineStr">
        <is>
          <t>0852</t>
        </is>
      </c>
      <c r="F1958" t="inlineStr">
        <is>
          <t>0354</t>
        </is>
      </c>
      <c r="G1958" s="10" t="inlineStr">
        <is>
          <t>撮影所前</t>
        </is>
      </c>
      <c r="H1958" s="10" t="inlineStr">
        <is>
          <t>発</t>
        </is>
      </c>
      <c r="J1958" s="10" t="inlineStr">
        <is>
          <t>営業</t>
        </is>
      </c>
      <c r="L1958" t="inlineStr">
        <is>
          <t>8:07:25</t>
        </is>
      </c>
      <c r="M1958" t="inlineStr">
        <is>
          <t>8:07:40</t>
        </is>
      </c>
    </row>
    <row r="1959" ht="15" customHeight="1" s="37">
      <c r="A1959" t="n">
        <v>19</v>
      </c>
      <c r="B1959" s="10" t="inlineStr">
        <is>
          <t>休日</t>
        </is>
      </c>
      <c r="C1959" s="10" t="inlineStr">
        <is>
          <t>北野線</t>
        </is>
      </c>
      <c r="D1959" s="10" t="inlineStr">
        <is>
          <t>上り</t>
        </is>
      </c>
      <c r="E1959" t="inlineStr">
        <is>
          <t>0852</t>
        </is>
      </c>
      <c r="F1959" t="inlineStr">
        <is>
          <t>0354</t>
        </is>
      </c>
      <c r="G1959" s="10" t="inlineStr">
        <is>
          <t>常盤</t>
        </is>
      </c>
      <c r="H1959" s="10" t="inlineStr">
        <is>
          <t>発</t>
        </is>
      </c>
      <c r="J1959" s="10" t="inlineStr">
        <is>
          <t>営業</t>
        </is>
      </c>
      <c r="L1959" t="inlineStr">
        <is>
          <t>8:09:00</t>
        </is>
      </c>
      <c r="M1959" t="inlineStr">
        <is>
          <t>8:09:20</t>
        </is>
      </c>
    </row>
    <row r="1960" ht="15" customHeight="1" s="37">
      <c r="A1960" t="n">
        <v>19</v>
      </c>
      <c r="B1960" s="10" t="inlineStr">
        <is>
          <t>休日</t>
        </is>
      </c>
      <c r="C1960" s="10" t="inlineStr">
        <is>
          <t>北野線</t>
        </is>
      </c>
      <c r="D1960" s="10" t="inlineStr">
        <is>
          <t>上り</t>
        </is>
      </c>
      <c r="E1960" t="inlineStr">
        <is>
          <t>0852</t>
        </is>
      </c>
      <c r="F1960" t="inlineStr">
        <is>
          <t>0354</t>
        </is>
      </c>
      <c r="G1960" s="10" t="inlineStr">
        <is>
          <t>鳴滝</t>
        </is>
      </c>
      <c r="H1960" s="10" t="inlineStr">
        <is>
          <t>発</t>
        </is>
      </c>
      <c r="J1960" s="10" t="inlineStr">
        <is>
          <t>営業</t>
        </is>
      </c>
      <c r="L1960" t="inlineStr">
        <is>
          <t>8:10:20</t>
        </is>
      </c>
      <c r="M1960" t="inlineStr">
        <is>
          <t>8:10:40</t>
        </is>
      </c>
    </row>
    <row r="1961" ht="15" customHeight="1" s="37">
      <c r="A1961" t="n">
        <v>19</v>
      </c>
      <c r="B1961" s="10" t="inlineStr">
        <is>
          <t>休日</t>
        </is>
      </c>
      <c r="C1961" s="10" t="inlineStr">
        <is>
          <t>北野線</t>
        </is>
      </c>
      <c r="D1961" s="10" t="inlineStr">
        <is>
          <t>上り</t>
        </is>
      </c>
      <c r="E1961" t="inlineStr">
        <is>
          <t>0852</t>
        </is>
      </c>
      <c r="F1961" t="inlineStr">
        <is>
          <t>0354</t>
        </is>
      </c>
      <c r="G1961" s="10" t="inlineStr">
        <is>
          <t>宇多野</t>
        </is>
      </c>
      <c r="H1961" s="10" t="inlineStr">
        <is>
          <t>発</t>
        </is>
      </c>
      <c r="J1961" s="10" t="inlineStr">
        <is>
          <t>営業</t>
        </is>
      </c>
      <c r="L1961" t="inlineStr">
        <is>
          <t>8:12:00</t>
        </is>
      </c>
      <c r="M1961" t="inlineStr">
        <is>
          <t>8:12:15</t>
        </is>
      </c>
    </row>
    <row r="1962" ht="15" customHeight="1" s="37">
      <c r="A1962" t="n">
        <v>19</v>
      </c>
      <c r="B1962" s="10" t="inlineStr">
        <is>
          <t>休日</t>
        </is>
      </c>
      <c r="C1962" s="10" t="inlineStr">
        <is>
          <t>北野線</t>
        </is>
      </c>
      <c r="D1962" s="10" t="inlineStr">
        <is>
          <t>上り</t>
        </is>
      </c>
      <c r="E1962" t="inlineStr">
        <is>
          <t>0852</t>
        </is>
      </c>
      <c r="F1962" t="inlineStr">
        <is>
          <t>0354</t>
        </is>
      </c>
      <c r="G1962" s="10" t="inlineStr">
        <is>
          <t>御室仁和寺</t>
        </is>
      </c>
      <c r="H1962" s="10" t="inlineStr">
        <is>
          <t>発</t>
        </is>
      </c>
      <c r="J1962" s="10" t="inlineStr">
        <is>
          <t>営業</t>
        </is>
      </c>
      <c r="L1962" t="inlineStr">
        <is>
          <t>8:13:15</t>
        </is>
      </c>
      <c r="M1962" t="inlineStr">
        <is>
          <t>8:13:35</t>
        </is>
      </c>
    </row>
    <row r="1963" ht="15" customHeight="1" s="37">
      <c r="A1963" t="n">
        <v>19</v>
      </c>
      <c r="B1963" s="10" t="inlineStr">
        <is>
          <t>休日</t>
        </is>
      </c>
      <c r="C1963" s="10" t="inlineStr">
        <is>
          <t>北野線</t>
        </is>
      </c>
      <c r="D1963" s="10" t="inlineStr">
        <is>
          <t>上り</t>
        </is>
      </c>
      <c r="E1963" t="inlineStr">
        <is>
          <t>0852</t>
        </is>
      </c>
      <c r="F1963" t="inlineStr">
        <is>
          <t>0354</t>
        </is>
      </c>
      <c r="G1963" s="10" t="inlineStr">
        <is>
          <t>妙心寺</t>
        </is>
      </c>
      <c r="H1963" s="10" t="inlineStr">
        <is>
          <t>発</t>
        </is>
      </c>
      <c r="J1963" s="10" t="inlineStr">
        <is>
          <t>営業</t>
        </is>
      </c>
      <c r="L1963" t="inlineStr">
        <is>
          <t>8:14:35</t>
        </is>
      </c>
      <c r="M1963" t="inlineStr">
        <is>
          <t>8:14:50</t>
        </is>
      </c>
    </row>
    <row r="1964" ht="15" customHeight="1" s="37">
      <c r="A1964" t="n">
        <v>19</v>
      </c>
      <c r="B1964" s="10" t="inlineStr">
        <is>
          <t>休日</t>
        </is>
      </c>
      <c r="C1964" s="10" t="inlineStr">
        <is>
          <t>北野線</t>
        </is>
      </c>
      <c r="D1964" s="10" t="inlineStr">
        <is>
          <t>上り</t>
        </is>
      </c>
      <c r="E1964" t="inlineStr">
        <is>
          <t>0852</t>
        </is>
      </c>
      <c r="F1964" t="inlineStr">
        <is>
          <t>0354</t>
        </is>
      </c>
      <c r="G1964" s="10" t="inlineStr">
        <is>
          <t>龍安寺</t>
        </is>
      </c>
      <c r="H1964" s="10" t="inlineStr">
        <is>
          <t>発</t>
        </is>
      </c>
      <c r="J1964" s="10" t="inlineStr">
        <is>
          <t>営業</t>
        </is>
      </c>
      <c r="L1964" t="inlineStr">
        <is>
          <t>8:15:45</t>
        </is>
      </c>
      <c r="M1964" t="inlineStr">
        <is>
          <t>8:15:55</t>
        </is>
      </c>
    </row>
    <row r="1965" ht="16.5" customHeight="1" s="37">
      <c r="A1965" t="n">
        <v>19</v>
      </c>
      <c r="B1965" s="10" t="inlineStr">
        <is>
          <t>休日</t>
        </is>
      </c>
      <c r="C1965" s="10" t="inlineStr">
        <is>
          <t>北野線</t>
        </is>
      </c>
      <c r="D1965" s="10" t="inlineStr">
        <is>
          <t>上り</t>
        </is>
      </c>
      <c r="E1965" t="inlineStr">
        <is>
          <t>0852</t>
        </is>
      </c>
      <c r="F1965" t="inlineStr">
        <is>
          <t>0354</t>
        </is>
      </c>
      <c r="G1965" s="10" t="inlineStr">
        <is>
          <t>等持院</t>
        </is>
      </c>
      <c r="H1965" s="10" t="inlineStr">
        <is>
          <t>発</t>
        </is>
      </c>
      <c r="J1965" s="10" t="inlineStr">
        <is>
          <t>営業</t>
        </is>
      </c>
      <c r="L1965" t="inlineStr">
        <is>
          <t>8:16:35</t>
        </is>
      </c>
      <c r="M1965" t="inlineStr">
        <is>
          <t>8:16:55</t>
        </is>
      </c>
    </row>
    <row r="1966" ht="16.5" customHeight="1" s="37">
      <c r="A1966" t="n">
        <v>19</v>
      </c>
      <c r="B1966" s="10" t="inlineStr">
        <is>
          <t>休日</t>
        </is>
      </c>
      <c r="C1966" s="10" t="inlineStr">
        <is>
          <t>北野線</t>
        </is>
      </c>
      <c r="D1966" s="10" t="inlineStr">
        <is>
          <t>上り</t>
        </is>
      </c>
      <c r="E1966" t="inlineStr">
        <is>
          <t>0852</t>
        </is>
      </c>
      <c r="F1966" t="inlineStr">
        <is>
          <t>0354</t>
        </is>
      </c>
      <c r="G1966" s="10" t="inlineStr">
        <is>
          <t>北野白梅町</t>
        </is>
      </c>
      <c r="H1966" s="10" t="inlineStr">
        <is>
          <t>着</t>
        </is>
      </c>
      <c r="J1966" s="10" t="inlineStr">
        <is>
          <t>営業</t>
        </is>
      </c>
      <c r="L1966" t="inlineStr">
        <is>
          <t>8:18:15</t>
        </is>
      </c>
      <c r="Q1966" t="inlineStr">
        <is>
          <t>1</t>
        </is>
      </c>
    </row>
    <row r="1967" ht="15" customHeight="1" s="37">
      <c r="A1967" t="n">
        <v>19</v>
      </c>
      <c r="B1967" s="10" t="inlineStr">
        <is>
          <t>休日</t>
        </is>
      </c>
      <c r="C1967" s="10" t="inlineStr">
        <is>
          <t>北野線</t>
        </is>
      </c>
      <c r="D1967" s="10" t="inlineStr">
        <is>
          <t>下り</t>
        </is>
      </c>
      <c r="E1967" t="inlineStr">
        <is>
          <t>0855</t>
        </is>
      </c>
      <c r="F1967" t="inlineStr">
        <is>
          <t>0453</t>
        </is>
      </c>
      <c r="G1967" s="10" t="inlineStr">
        <is>
          <t>北野白梅町</t>
        </is>
      </c>
      <c r="H1967" s="10" t="inlineStr">
        <is>
          <t>発</t>
        </is>
      </c>
      <c r="J1967" s="10" t="inlineStr">
        <is>
          <t>営業</t>
        </is>
      </c>
      <c r="M1967" t="inlineStr">
        <is>
          <t>8:23:00</t>
        </is>
      </c>
      <c r="Q1967" t="inlineStr">
        <is>
          <t>1</t>
        </is>
      </c>
    </row>
    <row r="1968" ht="15" customHeight="1" s="37">
      <c r="A1968" t="n">
        <v>19</v>
      </c>
      <c r="B1968" s="10" t="inlineStr">
        <is>
          <t>休日</t>
        </is>
      </c>
      <c r="C1968" s="10" t="inlineStr">
        <is>
          <t>北野線</t>
        </is>
      </c>
      <c r="D1968" s="10" t="inlineStr">
        <is>
          <t>下り</t>
        </is>
      </c>
      <c r="E1968" t="inlineStr">
        <is>
          <t>0855</t>
        </is>
      </c>
      <c r="F1968" t="inlineStr">
        <is>
          <t>0453</t>
        </is>
      </c>
      <c r="G1968" s="10" t="inlineStr">
        <is>
          <t>等持院</t>
        </is>
      </c>
      <c r="H1968" s="10" t="inlineStr">
        <is>
          <t>発</t>
        </is>
      </c>
      <c r="J1968" s="10" t="inlineStr">
        <is>
          <t>営業</t>
        </is>
      </c>
      <c r="L1968" t="inlineStr">
        <is>
          <t>8:24:25</t>
        </is>
      </c>
      <c r="M1968" t="inlineStr">
        <is>
          <t>8:24:35</t>
        </is>
      </c>
    </row>
    <row r="1969" ht="15" customHeight="1" s="37">
      <c r="A1969" t="n">
        <v>19</v>
      </c>
      <c r="B1969" s="10" t="inlineStr">
        <is>
          <t>休日</t>
        </is>
      </c>
      <c r="C1969" s="10" t="inlineStr">
        <is>
          <t>北野線</t>
        </is>
      </c>
      <c r="D1969" s="10" t="inlineStr">
        <is>
          <t>下り</t>
        </is>
      </c>
      <c r="E1969" t="inlineStr">
        <is>
          <t>0855</t>
        </is>
      </c>
      <c r="F1969" t="inlineStr">
        <is>
          <t>0453</t>
        </is>
      </c>
      <c r="G1969" s="10" t="inlineStr">
        <is>
          <t>龍安寺</t>
        </is>
      </c>
      <c r="H1969" s="10" t="inlineStr">
        <is>
          <t>発</t>
        </is>
      </c>
      <c r="J1969" s="10" t="inlineStr">
        <is>
          <t>営業</t>
        </is>
      </c>
      <c r="L1969" t="inlineStr">
        <is>
          <t>8:25:25</t>
        </is>
      </c>
      <c r="M1969" t="inlineStr">
        <is>
          <t>8:25:50</t>
        </is>
      </c>
    </row>
    <row r="1970" ht="15" customHeight="1" s="37">
      <c r="A1970" t="n">
        <v>19</v>
      </c>
      <c r="B1970" s="10" t="inlineStr">
        <is>
          <t>休日</t>
        </is>
      </c>
      <c r="C1970" s="10" t="inlineStr">
        <is>
          <t>北野線</t>
        </is>
      </c>
      <c r="D1970" s="10" t="inlineStr">
        <is>
          <t>下り</t>
        </is>
      </c>
      <c r="E1970" t="inlineStr">
        <is>
          <t>0855</t>
        </is>
      </c>
      <c r="F1970" t="inlineStr">
        <is>
          <t>0453</t>
        </is>
      </c>
      <c r="G1970" s="10" t="inlineStr">
        <is>
          <t>妙心寺</t>
        </is>
      </c>
      <c r="H1970" s="10" t="inlineStr">
        <is>
          <t>発</t>
        </is>
      </c>
      <c r="J1970" s="10" t="inlineStr">
        <is>
          <t>営業</t>
        </is>
      </c>
      <c r="L1970" t="inlineStr">
        <is>
          <t>8:26:40</t>
        </is>
      </c>
      <c r="M1970" t="inlineStr">
        <is>
          <t>8:26:50</t>
        </is>
      </c>
    </row>
    <row r="1971" ht="15" customHeight="1" s="37">
      <c r="A1971" t="n">
        <v>19</v>
      </c>
      <c r="B1971" s="10" t="inlineStr">
        <is>
          <t>休日</t>
        </is>
      </c>
      <c r="C1971" s="10" t="inlineStr">
        <is>
          <t>北野線</t>
        </is>
      </c>
      <c r="D1971" s="10" t="inlineStr">
        <is>
          <t>下り</t>
        </is>
      </c>
      <c r="E1971" t="inlineStr">
        <is>
          <t>0855</t>
        </is>
      </c>
      <c r="F1971" t="inlineStr">
        <is>
          <t>0453</t>
        </is>
      </c>
      <c r="G1971" s="10" t="inlineStr">
        <is>
          <t>御室仁和寺</t>
        </is>
      </c>
      <c r="H1971" s="10" t="inlineStr">
        <is>
          <t>発</t>
        </is>
      </c>
      <c r="J1971" s="10" t="inlineStr">
        <is>
          <t>営業</t>
        </is>
      </c>
      <c r="L1971" t="inlineStr">
        <is>
          <t>8:27:50</t>
        </is>
      </c>
      <c r="M1971" t="inlineStr">
        <is>
          <t>8:28:05</t>
        </is>
      </c>
    </row>
    <row r="1972" ht="15" customHeight="1" s="37">
      <c r="A1972" t="n">
        <v>19</v>
      </c>
      <c r="B1972" s="10" t="inlineStr">
        <is>
          <t>休日</t>
        </is>
      </c>
      <c r="C1972" s="10" t="inlineStr">
        <is>
          <t>北野線</t>
        </is>
      </c>
      <c r="D1972" s="10" t="inlineStr">
        <is>
          <t>下り</t>
        </is>
      </c>
      <c r="E1972" t="inlineStr">
        <is>
          <t>0855</t>
        </is>
      </c>
      <c r="F1972" t="inlineStr">
        <is>
          <t>0453</t>
        </is>
      </c>
      <c r="G1972" s="10" t="inlineStr">
        <is>
          <t>宇多野</t>
        </is>
      </c>
      <c r="H1972" s="10" t="inlineStr">
        <is>
          <t>発</t>
        </is>
      </c>
      <c r="J1972" s="10" t="inlineStr">
        <is>
          <t>営業</t>
        </is>
      </c>
      <c r="L1972" t="inlineStr">
        <is>
          <t>8:29:05</t>
        </is>
      </c>
      <c r="M1972" t="inlineStr">
        <is>
          <t>8:29:15</t>
        </is>
      </c>
    </row>
    <row r="1973" ht="15" customHeight="1" s="37">
      <c r="A1973" t="n">
        <v>19</v>
      </c>
      <c r="B1973" s="10" t="inlineStr">
        <is>
          <t>休日</t>
        </is>
      </c>
      <c r="C1973" s="10" t="inlineStr">
        <is>
          <t>北野線</t>
        </is>
      </c>
      <c r="D1973" s="10" t="inlineStr">
        <is>
          <t>下り</t>
        </is>
      </c>
      <c r="E1973" t="inlineStr">
        <is>
          <t>0855</t>
        </is>
      </c>
      <c r="F1973" t="inlineStr">
        <is>
          <t>0453</t>
        </is>
      </c>
      <c r="G1973" s="10" t="inlineStr">
        <is>
          <t>鳴滝</t>
        </is>
      </c>
      <c r="H1973" s="10" t="inlineStr">
        <is>
          <t>発</t>
        </is>
      </c>
      <c r="J1973" s="10" t="inlineStr">
        <is>
          <t>営業</t>
        </is>
      </c>
      <c r="L1973" t="inlineStr">
        <is>
          <t>8:30:35</t>
        </is>
      </c>
      <c r="M1973" t="inlineStr">
        <is>
          <t>8:30:45</t>
        </is>
      </c>
    </row>
    <row r="1974" ht="15" customHeight="1" s="37">
      <c r="A1974" t="n">
        <v>19</v>
      </c>
      <c r="B1974" s="10" t="inlineStr">
        <is>
          <t>休日</t>
        </is>
      </c>
      <c r="C1974" s="10" t="inlineStr">
        <is>
          <t>北野線</t>
        </is>
      </c>
      <c r="D1974" s="10" t="inlineStr">
        <is>
          <t>下り</t>
        </is>
      </c>
      <c r="E1974" t="inlineStr">
        <is>
          <t>0855</t>
        </is>
      </c>
      <c r="F1974" t="inlineStr">
        <is>
          <t>0453</t>
        </is>
      </c>
      <c r="G1974" s="10" t="inlineStr">
        <is>
          <t>常盤</t>
        </is>
      </c>
      <c r="H1974" s="10" t="inlineStr">
        <is>
          <t>発</t>
        </is>
      </c>
      <c r="J1974" s="10" t="inlineStr">
        <is>
          <t>営業</t>
        </is>
      </c>
      <c r="L1974" t="inlineStr">
        <is>
          <t>8:31:35</t>
        </is>
      </c>
      <c r="M1974" t="inlineStr">
        <is>
          <t>8:31:55</t>
        </is>
      </c>
    </row>
    <row r="1975" ht="15" customHeight="1" s="37">
      <c r="A1975" t="n">
        <v>19</v>
      </c>
      <c r="B1975" s="10" t="inlineStr">
        <is>
          <t>休日</t>
        </is>
      </c>
      <c r="C1975" s="10" t="inlineStr">
        <is>
          <t>北野線</t>
        </is>
      </c>
      <c r="D1975" s="10" t="inlineStr">
        <is>
          <t>下り</t>
        </is>
      </c>
      <c r="E1975" t="inlineStr">
        <is>
          <t>0855</t>
        </is>
      </c>
      <c r="F1975" t="inlineStr">
        <is>
          <t>0453</t>
        </is>
      </c>
      <c r="G1975" s="10" t="inlineStr">
        <is>
          <t>撮影所前</t>
        </is>
      </c>
      <c r="H1975" s="10" t="inlineStr">
        <is>
          <t>発</t>
        </is>
      </c>
      <c r="J1975" s="10" t="inlineStr">
        <is>
          <t>営業</t>
        </is>
      </c>
      <c r="L1975" t="inlineStr">
        <is>
          <t>8:33:15</t>
        </is>
      </c>
      <c r="M1975" t="inlineStr">
        <is>
          <t>8:33:30</t>
        </is>
      </c>
    </row>
    <row r="1976" ht="15" customHeight="1" s="37">
      <c r="A1976" t="n">
        <v>19</v>
      </c>
      <c r="B1976" s="10" t="inlineStr">
        <is>
          <t>休日</t>
        </is>
      </c>
      <c r="C1976" s="10" t="inlineStr">
        <is>
          <t>北野線</t>
        </is>
      </c>
      <c r="D1976" s="10" t="inlineStr">
        <is>
          <t>下り</t>
        </is>
      </c>
      <c r="E1976" t="inlineStr">
        <is>
          <t>0855</t>
        </is>
      </c>
      <c r="F1976" t="inlineStr">
        <is>
          <t>0453</t>
        </is>
      </c>
      <c r="G1976" s="10" t="inlineStr">
        <is>
          <t>帷子ノ辻</t>
        </is>
      </c>
      <c r="H1976" s="10" t="inlineStr">
        <is>
          <t>着</t>
        </is>
      </c>
      <c r="J1976" s="10" t="inlineStr">
        <is>
          <t>営業</t>
        </is>
      </c>
      <c r="L1976" t="inlineStr">
        <is>
          <t>8:34:25</t>
        </is>
      </c>
      <c r="Q1976" t="inlineStr">
        <is>
          <t>4</t>
        </is>
      </c>
    </row>
    <row r="1977" ht="15" customHeight="1" s="37">
      <c r="A1977" t="n">
        <v>19</v>
      </c>
      <c r="B1977" s="10" t="inlineStr">
        <is>
          <t>休日</t>
        </is>
      </c>
      <c r="C1977" s="10" t="inlineStr">
        <is>
          <t>北野線</t>
        </is>
      </c>
      <c r="D1977" s="10" t="inlineStr">
        <is>
          <t>上り</t>
        </is>
      </c>
      <c r="E1977" t="inlineStr">
        <is>
          <t>0860</t>
        </is>
      </c>
      <c r="F1977" t="inlineStr">
        <is>
          <t>0354</t>
        </is>
      </c>
      <c r="G1977" s="10" t="inlineStr">
        <is>
          <t>帷子ノ辻</t>
        </is>
      </c>
      <c r="H1977" s="10" t="inlineStr">
        <is>
          <t>発</t>
        </is>
      </c>
      <c r="J1977" s="10" t="inlineStr">
        <is>
          <t>営業</t>
        </is>
      </c>
      <c r="M1977" t="inlineStr">
        <is>
          <t>8:46:25</t>
        </is>
      </c>
      <c r="Q1977" t="inlineStr">
        <is>
          <t>4</t>
        </is>
      </c>
    </row>
    <row r="1978" ht="15" customHeight="1" s="37">
      <c r="A1978" t="n">
        <v>19</v>
      </c>
      <c r="B1978" s="10" t="inlineStr">
        <is>
          <t>休日</t>
        </is>
      </c>
      <c r="C1978" s="10" t="inlineStr">
        <is>
          <t>北野線</t>
        </is>
      </c>
      <c r="D1978" s="10" t="inlineStr">
        <is>
          <t>上り</t>
        </is>
      </c>
      <c r="E1978" t="inlineStr">
        <is>
          <t>0860</t>
        </is>
      </c>
      <c r="F1978" t="inlineStr">
        <is>
          <t>0354</t>
        </is>
      </c>
      <c r="G1978" s="10" t="inlineStr">
        <is>
          <t>撮影所前</t>
        </is>
      </c>
      <c r="H1978" s="10" t="inlineStr">
        <is>
          <t>発</t>
        </is>
      </c>
      <c r="J1978" s="10" t="inlineStr">
        <is>
          <t>営業</t>
        </is>
      </c>
      <c r="L1978" t="inlineStr">
        <is>
          <t>8:47:25</t>
        </is>
      </c>
      <c r="M1978" t="inlineStr">
        <is>
          <t>8:47:40</t>
        </is>
      </c>
    </row>
    <row r="1979" ht="15" customHeight="1" s="37">
      <c r="A1979" t="n">
        <v>19</v>
      </c>
      <c r="B1979" s="10" t="inlineStr">
        <is>
          <t>休日</t>
        </is>
      </c>
      <c r="C1979" s="10" t="inlineStr">
        <is>
          <t>北野線</t>
        </is>
      </c>
      <c r="D1979" s="10" t="inlineStr">
        <is>
          <t>上り</t>
        </is>
      </c>
      <c r="E1979" t="inlineStr">
        <is>
          <t>0860</t>
        </is>
      </c>
      <c r="F1979" t="inlineStr">
        <is>
          <t>0354</t>
        </is>
      </c>
      <c r="G1979" s="10" t="inlineStr">
        <is>
          <t>常盤</t>
        </is>
      </c>
      <c r="H1979" s="10" t="inlineStr">
        <is>
          <t>発</t>
        </is>
      </c>
      <c r="J1979" s="10" t="inlineStr">
        <is>
          <t>営業</t>
        </is>
      </c>
      <c r="L1979" t="inlineStr">
        <is>
          <t>8:49:00</t>
        </is>
      </c>
      <c r="M1979" t="inlineStr">
        <is>
          <t>8:49:20</t>
        </is>
      </c>
    </row>
    <row r="1980" ht="15" customHeight="1" s="37">
      <c r="A1980" t="n">
        <v>19</v>
      </c>
      <c r="B1980" s="10" t="inlineStr">
        <is>
          <t>休日</t>
        </is>
      </c>
      <c r="C1980" s="10" t="inlineStr">
        <is>
          <t>北野線</t>
        </is>
      </c>
      <c r="D1980" s="10" t="inlineStr">
        <is>
          <t>上り</t>
        </is>
      </c>
      <c r="E1980" t="inlineStr">
        <is>
          <t>0860</t>
        </is>
      </c>
      <c r="F1980" t="inlineStr">
        <is>
          <t>0354</t>
        </is>
      </c>
      <c r="G1980" s="10" t="inlineStr">
        <is>
          <t>鳴滝</t>
        </is>
      </c>
      <c r="H1980" s="10" t="inlineStr">
        <is>
          <t>発</t>
        </is>
      </c>
      <c r="J1980" s="10" t="inlineStr">
        <is>
          <t>営業</t>
        </is>
      </c>
      <c r="L1980" t="inlineStr">
        <is>
          <t>8:50:20</t>
        </is>
      </c>
      <c r="M1980" t="inlineStr">
        <is>
          <t>8:50:40</t>
        </is>
      </c>
    </row>
    <row r="1981" ht="15" customHeight="1" s="37">
      <c r="A1981" t="n">
        <v>19</v>
      </c>
      <c r="B1981" s="10" t="inlineStr">
        <is>
          <t>休日</t>
        </is>
      </c>
      <c r="C1981" s="10" t="inlineStr">
        <is>
          <t>北野線</t>
        </is>
      </c>
      <c r="D1981" s="10" t="inlineStr">
        <is>
          <t>上り</t>
        </is>
      </c>
      <c r="E1981" t="inlineStr">
        <is>
          <t>0860</t>
        </is>
      </c>
      <c r="F1981" t="inlineStr">
        <is>
          <t>0354</t>
        </is>
      </c>
      <c r="G1981" s="10" t="inlineStr">
        <is>
          <t>宇多野</t>
        </is>
      </c>
      <c r="H1981" s="10" t="inlineStr">
        <is>
          <t>発</t>
        </is>
      </c>
      <c r="J1981" s="10" t="inlineStr">
        <is>
          <t>営業</t>
        </is>
      </c>
      <c r="L1981" t="inlineStr">
        <is>
          <t>8:52:00</t>
        </is>
      </c>
      <c r="M1981" t="inlineStr">
        <is>
          <t>8:52:15</t>
        </is>
      </c>
    </row>
    <row r="1982" ht="15" customHeight="1" s="37">
      <c r="A1982" t="n">
        <v>19</v>
      </c>
      <c r="B1982" s="10" t="inlineStr">
        <is>
          <t>休日</t>
        </is>
      </c>
      <c r="C1982" s="10" t="inlineStr">
        <is>
          <t>北野線</t>
        </is>
      </c>
      <c r="D1982" s="10" t="inlineStr">
        <is>
          <t>上り</t>
        </is>
      </c>
      <c r="E1982" t="inlineStr">
        <is>
          <t>0860</t>
        </is>
      </c>
      <c r="F1982" t="inlineStr">
        <is>
          <t>0354</t>
        </is>
      </c>
      <c r="G1982" s="10" t="inlineStr">
        <is>
          <t>御室仁和寺</t>
        </is>
      </c>
      <c r="H1982" s="10" t="inlineStr">
        <is>
          <t>発</t>
        </is>
      </c>
      <c r="J1982" s="10" t="inlineStr">
        <is>
          <t>営業</t>
        </is>
      </c>
      <c r="L1982" t="inlineStr">
        <is>
          <t>8:53:15</t>
        </is>
      </c>
      <c r="M1982" t="inlineStr">
        <is>
          <t>8:53:35</t>
        </is>
      </c>
    </row>
    <row r="1983" ht="15" customHeight="1" s="37">
      <c r="A1983" t="n">
        <v>19</v>
      </c>
      <c r="B1983" s="10" t="inlineStr">
        <is>
          <t>休日</t>
        </is>
      </c>
      <c r="C1983" s="10" t="inlineStr">
        <is>
          <t>北野線</t>
        </is>
      </c>
      <c r="D1983" s="10" t="inlineStr">
        <is>
          <t>上り</t>
        </is>
      </c>
      <c r="E1983" t="inlineStr">
        <is>
          <t>0860</t>
        </is>
      </c>
      <c r="F1983" t="inlineStr">
        <is>
          <t>0354</t>
        </is>
      </c>
      <c r="G1983" s="10" t="inlineStr">
        <is>
          <t>妙心寺</t>
        </is>
      </c>
      <c r="H1983" s="10" t="inlineStr">
        <is>
          <t>発</t>
        </is>
      </c>
      <c r="J1983" s="10" t="inlineStr">
        <is>
          <t>営業</t>
        </is>
      </c>
      <c r="L1983" t="inlineStr">
        <is>
          <t>8:54:35</t>
        </is>
      </c>
      <c r="M1983" t="inlineStr">
        <is>
          <t>8:54:50</t>
        </is>
      </c>
    </row>
    <row r="1984" ht="15" customHeight="1" s="37">
      <c r="A1984" t="n">
        <v>19</v>
      </c>
      <c r="B1984" s="10" t="inlineStr">
        <is>
          <t>休日</t>
        </is>
      </c>
      <c r="C1984" s="10" t="inlineStr">
        <is>
          <t>北野線</t>
        </is>
      </c>
      <c r="D1984" s="10" t="inlineStr">
        <is>
          <t>上り</t>
        </is>
      </c>
      <c r="E1984" t="inlineStr">
        <is>
          <t>0860</t>
        </is>
      </c>
      <c r="F1984" t="inlineStr">
        <is>
          <t>0354</t>
        </is>
      </c>
      <c r="G1984" s="10" t="inlineStr">
        <is>
          <t>龍安寺</t>
        </is>
      </c>
      <c r="H1984" s="10" t="inlineStr">
        <is>
          <t>発</t>
        </is>
      </c>
      <c r="J1984" s="10" t="inlineStr">
        <is>
          <t>営業</t>
        </is>
      </c>
      <c r="L1984" t="inlineStr">
        <is>
          <t>8:55:45</t>
        </is>
      </c>
      <c r="M1984" t="inlineStr">
        <is>
          <t>8:55:55</t>
        </is>
      </c>
    </row>
    <row r="1985" ht="15" customHeight="1" s="37">
      <c r="A1985" t="n">
        <v>19</v>
      </c>
      <c r="B1985" s="10" t="inlineStr">
        <is>
          <t>休日</t>
        </is>
      </c>
      <c r="C1985" s="10" t="inlineStr">
        <is>
          <t>北野線</t>
        </is>
      </c>
      <c r="D1985" s="10" t="inlineStr">
        <is>
          <t>上り</t>
        </is>
      </c>
      <c r="E1985" t="inlineStr">
        <is>
          <t>0860</t>
        </is>
      </c>
      <c r="F1985" t="inlineStr">
        <is>
          <t>0354</t>
        </is>
      </c>
      <c r="G1985" s="10" t="inlineStr">
        <is>
          <t>等持院</t>
        </is>
      </c>
      <c r="H1985" s="10" t="inlineStr">
        <is>
          <t>発</t>
        </is>
      </c>
      <c r="J1985" s="10" t="inlineStr">
        <is>
          <t>営業</t>
        </is>
      </c>
      <c r="L1985" t="inlineStr">
        <is>
          <t>8:56:35</t>
        </is>
      </c>
      <c r="M1985" t="inlineStr">
        <is>
          <t>8:56:55</t>
        </is>
      </c>
    </row>
    <row r="1986" ht="15" customHeight="1" s="37">
      <c r="A1986" t="n">
        <v>19</v>
      </c>
      <c r="B1986" s="10" t="inlineStr">
        <is>
          <t>休日</t>
        </is>
      </c>
      <c r="C1986" s="10" t="inlineStr">
        <is>
          <t>北野線</t>
        </is>
      </c>
      <c r="D1986" s="10" t="inlineStr">
        <is>
          <t>上り</t>
        </is>
      </c>
      <c r="E1986" t="inlineStr">
        <is>
          <t>0860</t>
        </is>
      </c>
      <c r="F1986" t="inlineStr">
        <is>
          <t>0354</t>
        </is>
      </c>
      <c r="G1986" s="10" t="inlineStr">
        <is>
          <t>北野白梅町</t>
        </is>
      </c>
      <c r="H1986" s="10" t="inlineStr">
        <is>
          <t>着</t>
        </is>
      </c>
      <c r="J1986" s="10" t="inlineStr">
        <is>
          <t>営業</t>
        </is>
      </c>
      <c r="L1986" t="inlineStr">
        <is>
          <t>8:58:15</t>
        </is>
      </c>
      <c r="Q1986" t="inlineStr">
        <is>
          <t>1</t>
        </is>
      </c>
    </row>
    <row r="1987" ht="15" customHeight="1" s="37">
      <c r="A1987" t="n">
        <v>19</v>
      </c>
      <c r="B1987" s="10" t="inlineStr">
        <is>
          <t>休日</t>
        </is>
      </c>
      <c r="C1987" s="10" t="inlineStr">
        <is>
          <t>北野線</t>
        </is>
      </c>
      <c r="D1987" s="10" t="inlineStr">
        <is>
          <t>下り</t>
        </is>
      </c>
      <c r="E1987" t="inlineStr">
        <is>
          <t>0951</t>
        </is>
      </c>
      <c r="F1987" t="inlineStr">
        <is>
          <t>0453</t>
        </is>
      </c>
      <c r="G1987" s="10" t="inlineStr">
        <is>
          <t>北野白梅町</t>
        </is>
      </c>
      <c r="H1987" s="10" t="inlineStr">
        <is>
          <t>発</t>
        </is>
      </c>
      <c r="J1987" s="10" t="inlineStr">
        <is>
          <t>営業</t>
        </is>
      </c>
      <c r="M1987" t="inlineStr">
        <is>
          <t>9:03:00</t>
        </is>
      </c>
      <c r="Q1987" t="inlineStr">
        <is>
          <t>1</t>
        </is>
      </c>
    </row>
    <row r="1988" ht="15" customHeight="1" s="37">
      <c r="A1988" t="n">
        <v>19</v>
      </c>
      <c r="B1988" s="10" t="inlineStr">
        <is>
          <t>休日</t>
        </is>
      </c>
      <c r="C1988" s="10" t="inlineStr">
        <is>
          <t>北野線</t>
        </is>
      </c>
      <c r="D1988" s="10" t="inlineStr">
        <is>
          <t>下り</t>
        </is>
      </c>
      <c r="E1988" t="inlineStr">
        <is>
          <t>0951</t>
        </is>
      </c>
      <c r="F1988" t="inlineStr">
        <is>
          <t>0453</t>
        </is>
      </c>
      <c r="G1988" s="10" t="inlineStr">
        <is>
          <t>等持院</t>
        </is>
      </c>
      <c r="H1988" s="10" t="inlineStr">
        <is>
          <t>発</t>
        </is>
      </c>
      <c r="J1988" s="10" t="inlineStr">
        <is>
          <t>営業</t>
        </is>
      </c>
      <c r="L1988" t="inlineStr">
        <is>
          <t>9:04:25</t>
        </is>
      </c>
      <c r="M1988" t="inlineStr">
        <is>
          <t>9:04:35</t>
        </is>
      </c>
    </row>
    <row r="1989" ht="15" customHeight="1" s="37">
      <c r="A1989" t="n">
        <v>19</v>
      </c>
      <c r="B1989" s="10" t="inlineStr">
        <is>
          <t>休日</t>
        </is>
      </c>
      <c r="C1989" s="10" t="inlineStr">
        <is>
          <t>北野線</t>
        </is>
      </c>
      <c r="D1989" s="10" t="inlineStr">
        <is>
          <t>下り</t>
        </is>
      </c>
      <c r="E1989" t="inlineStr">
        <is>
          <t>0951</t>
        </is>
      </c>
      <c r="F1989" t="inlineStr">
        <is>
          <t>0453</t>
        </is>
      </c>
      <c r="G1989" s="10" t="inlineStr">
        <is>
          <t>龍安寺</t>
        </is>
      </c>
      <c r="H1989" s="10" t="inlineStr">
        <is>
          <t>発</t>
        </is>
      </c>
      <c r="J1989" s="10" t="inlineStr">
        <is>
          <t>営業</t>
        </is>
      </c>
      <c r="L1989" t="inlineStr">
        <is>
          <t>9:05:25</t>
        </is>
      </c>
      <c r="M1989" t="inlineStr">
        <is>
          <t>9:05:50</t>
        </is>
      </c>
    </row>
    <row r="1990" ht="15" customHeight="1" s="37">
      <c r="A1990" t="n">
        <v>19</v>
      </c>
      <c r="B1990" s="10" t="inlineStr">
        <is>
          <t>休日</t>
        </is>
      </c>
      <c r="C1990" s="10" t="inlineStr">
        <is>
          <t>北野線</t>
        </is>
      </c>
      <c r="D1990" s="10" t="inlineStr">
        <is>
          <t>下り</t>
        </is>
      </c>
      <c r="E1990" t="inlineStr">
        <is>
          <t>0951</t>
        </is>
      </c>
      <c r="F1990" t="inlineStr">
        <is>
          <t>0453</t>
        </is>
      </c>
      <c r="G1990" s="10" t="inlineStr">
        <is>
          <t>妙心寺</t>
        </is>
      </c>
      <c r="H1990" s="10" t="inlineStr">
        <is>
          <t>発</t>
        </is>
      </c>
      <c r="J1990" s="10" t="inlineStr">
        <is>
          <t>営業</t>
        </is>
      </c>
      <c r="L1990" t="inlineStr">
        <is>
          <t>9:06:40</t>
        </is>
      </c>
      <c r="M1990" t="inlineStr">
        <is>
          <t>9:06:50</t>
        </is>
      </c>
    </row>
    <row r="1991" ht="15" customHeight="1" s="37">
      <c r="A1991" t="n">
        <v>19</v>
      </c>
      <c r="B1991" s="10" t="inlineStr">
        <is>
          <t>休日</t>
        </is>
      </c>
      <c r="C1991" s="10" t="inlineStr">
        <is>
          <t>北野線</t>
        </is>
      </c>
      <c r="D1991" s="10" t="inlineStr">
        <is>
          <t>下り</t>
        </is>
      </c>
      <c r="E1991" t="inlineStr">
        <is>
          <t>0951</t>
        </is>
      </c>
      <c r="F1991" t="inlineStr">
        <is>
          <t>0453</t>
        </is>
      </c>
      <c r="G1991" s="10" t="inlineStr">
        <is>
          <t>御室仁和寺</t>
        </is>
      </c>
      <c r="H1991" s="10" t="inlineStr">
        <is>
          <t>発</t>
        </is>
      </c>
      <c r="J1991" s="10" t="inlineStr">
        <is>
          <t>営業</t>
        </is>
      </c>
      <c r="L1991" t="inlineStr">
        <is>
          <t>9:07:50</t>
        </is>
      </c>
      <c r="M1991" t="inlineStr">
        <is>
          <t>9:08:05</t>
        </is>
      </c>
    </row>
    <row r="1992" ht="15" customHeight="1" s="37">
      <c r="A1992" t="n">
        <v>19</v>
      </c>
      <c r="B1992" s="10" t="inlineStr">
        <is>
          <t>休日</t>
        </is>
      </c>
      <c r="C1992" s="10" t="inlineStr">
        <is>
          <t>北野線</t>
        </is>
      </c>
      <c r="D1992" s="10" t="inlineStr">
        <is>
          <t>下り</t>
        </is>
      </c>
      <c r="E1992" t="inlineStr">
        <is>
          <t>0951</t>
        </is>
      </c>
      <c r="F1992" t="inlineStr">
        <is>
          <t>0453</t>
        </is>
      </c>
      <c r="G1992" s="10" t="inlineStr">
        <is>
          <t>宇多野</t>
        </is>
      </c>
      <c r="H1992" s="10" t="inlineStr">
        <is>
          <t>発</t>
        </is>
      </c>
      <c r="J1992" s="10" t="inlineStr">
        <is>
          <t>営業</t>
        </is>
      </c>
      <c r="L1992" t="inlineStr">
        <is>
          <t>9:09:05</t>
        </is>
      </c>
      <c r="M1992" t="inlineStr">
        <is>
          <t>9:09:15</t>
        </is>
      </c>
    </row>
    <row r="1993" ht="15" customHeight="1" s="37">
      <c r="A1993" t="n">
        <v>19</v>
      </c>
      <c r="B1993" s="10" t="inlineStr">
        <is>
          <t>休日</t>
        </is>
      </c>
      <c r="C1993" s="10" t="inlineStr">
        <is>
          <t>北野線</t>
        </is>
      </c>
      <c r="D1993" s="10" t="inlineStr">
        <is>
          <t>下り</t>
        </is>
      </c>
      <c r="E1993" t="inlineStr">
        <is>
          <t>0951</t>
        </is>
      </c>
      <c r="F1993" t="inlineStr">
        <is>
          <t>0453</t>
        </is>
      </c>
      <c r="G1993" s="10" t="inlineStr">
        <is>
          <t>鳴滝</t>
        </is>
      </c>
      <c r="H1993" s="10" t="inlineStr">
        <is>
          <t>発</t>
        </is>
      </c>
      <c r="J1993" s="10" t="inlineStr">
        <is>
          <t>営業</t>
        </is>
      </c>
      <c r="L1993" t="inlineStr">
        <is>
          <t>9:10:35</t>
        </is>
      </c>
      <c r="M1993" t="inlineStr">
        <is>
          <t>9:10:45</t>
        </is>
      </c>
    </row>
    <row r="1994" ht="15" customHeight="1" s="37">
      <c r="A1994" t="n">
        <v>19</v>
      </c>
      <c r="B1994" s="10" t="inlineStr">
        <is>
          <t>休日</t>
        </is>
      </c>
      <c r="C1994" s="10" t="inlineStr">
        <is>
          <t>北野線</t>
        </is>
      </c>
      <c r="D1994" s="10" t="inlineStr">
        <is>
          <t>下り</t>
        </is>
      </c>
      <c r="E1994" t="inlineStr">
        <is>
          <t>0951</t>
        </is>
      </c>
      <c r="F1994" t="inlineStr">
        <is>
          <t>0453</t>
        </is>
      </c>
      <c r="G1994" s="10" t="inlineStr">
        <is>
          <t>常盤</t>
        </is>
      </c>
      <c r="H1994" s="10" t="inlineStr">
        <is>
          <t>発</t>
        </is>
      </c>
      <c r="J1994" s="10" t="inlineStr">
        <is>
          <t>営業</t>
        </is>
      </c>
      <c r="L1994" t="inlineStr">
        <is>
          <t>9:11:35</t>
        </is>
      </c>
      <c r="M1994" t="inlineStr">
        <is>
          <t>9:11:55</t>
        </is>
      </c>
    </row>
    <row r="1995" ht="15" customHeight="1" s="37">
      <c r="A1995" t="n">
        <v>19</v>
      </c>
      <c r="B1995" s="10" t="inlineStr">
        <is>
          <t>休日</t>
        </is>
      </c>
      <c r="C1995" s="10" t="inlineStr">
        <is>
          <t>北野線</t>
        </is>
      </c>
      <c r="D1995" s="10" t="inlineStr">
        <is>
          <t>下り</t>
        </is>
      </c>
      <c r="E1995" t="inlineStr">
        <is>
          <t>0951</t>
        </is>
      </c>
      <c r="F1995" t="inlineStr">
        <is>
          <t>0453</t>
        </is>
      </c>
      <c r="G1995" s="10" t="inlineStr">
        <is>
          <t>撮影所前</t>
        </is>
      </c>
      <c r="H1995" s="10" t="inlineStr">
        <is>
          <t>発</t>
        </is>
      </c>
      <c r="J1995" s="10" t="inlineStr">
        <is>
          <t>営業</t>
        </is>
      </c>
      <c r="L1995" t="inlineStr">
        <is>
          <t>9:13:15</t>
        </is>
      </c>
      <c r="M1995" t="inlineStr">
        <is>
          <t>9:13:30</t>
        </is>
      </c>
    </row>
    <row r="1996" ht="15" customHeight="1" s="37">
      <c r="A1996" t="n">
        <v>19</v>
      </c>
      <c r="B1996" s="10" t="inlineStr">
        <is>
          <t>休日</t>
        </is>
      </c>
      <c r="C1996" s="10" t="inlineStr">
        <is>
          <t>北野線</t>
        </is>
      </c>
      <c r="D1996" s="10" t="inlineStr">
        <is>
          <t>下り</t>
        </is>
      </c>
      <c r="E1996" t="inlineStr">
        <is>
          <t>0951</t>
        </is>
      </c>
      <c r="F1996" t="inlineStr">
        <is>
          <t>0453</t>
        </is>
      </c>
      <c r="G1996" s="10" t="inlineStr">
        <is>
          <t>帷子ノ辻</t>
        </is>
      </c>
      <c r="H1996" s="10" t="inlineStr">
        <is>
          <t>着</t>
        </is>
      </c>
      <c r="J1996" s="10" t="inlineStr">
        <is>
          <t>営業</t>
        </is>
      </c>
      <c r="L1996" t="inlineStr">
        <is>
          <t>9:14:25</t>
        </is>
      </c>
      <c r="Q1996" t="inlineStr">
        <is>
          <t>4</t>
        </is>
      </c>
    </row>
    <row r="1997" ht="15" customHeight="1" s="37">
      <c r="A1997" t="n">
        <v>19</v>
      </c>
      <c r="B1997" s="10" t="inlineStr">
        <is>
          <t>休日</t>
        </is>
      </c>
      <c r="C1997" s="10" t="inlineStr">
        <is>
          <t>北野線</t>
        </is>
      </c>
      <c r="D1997" s="10" t="inlineStr">
        <is>
          <t>上り</t>
        </is>
      </c>
      <c r="E1997" t="inlineStr">
        <is>
          <t>0956</t>
        </is>
      </c>
      <c r="F1997" t="inlineStr">
        <is>
          <t>0354</t>
        </is>
      </c>
      <c r="G1997" s="10" t="inlineStr">
        <is>
          <t>帷子ノ辻</t>
        </is>
      </c>
      <c r="H1997" s="10" t="inlineStr">
        <is>
          <t>発</t>
        </is>
      </c>
      <c r="J1997" s="10" t="inlineStr">
        <is>
          <t>営業</t>
        </is>
      </c>
      <c r="M1997" t="inlineStr">
        <is>
          <t>9:26:25</t>
        </is>
      </c>
      <c r="Q1997" t="inlineStr">
        <is>
          <t>4</t>
        </is>
      </c>
    </row>
    <row r="1998" ht="15" customHeight="1" s="37">
      <c r="A1998" t="n">
        <v>19</v>
      </c>
      <c r="B1998" s="10" t="inlineStr">
        <is>
          <t>休日</t>
        </is>
      </c>
      <c r="C1998" s="10" t="inlineStr">
        <is>
          <t>北野線</t>
        </is>
      </c>
      <c r="D1998" s="10" t="inlineStr">
        <is>
          <t>上り</t>
        </is>
      </c>
      <c r="E1998" t="inlineStr">
        <is>
          <t>0956</t>
        </is>
      </c>
      <c r="F1998" t="inlineStr">
        <is>
          <t>0354</t>
        </is>
      </c>
      <c r="G1998" s="10" t="inlineStr">
        <is>
          <t>撮影所前</t>
        </is>
      </c>
      <c r="H1998" s="10" t="inlineStr">
        <is>
          <t>発</t>
        </is>
      </c>
      <c r="J1998" s="10" t="inlineStr">
        <is>
          <t>営業</t>
        </is>
      </c>
      <c r="L1998" t="inlineStr">
        <is>
          <t>9:27:25</t>
        </is>
      </c>
      <c r="M1998" t="inlineStr">
        <is>
          <t>9:27:40</t>
        </is>
      </c>
    </row>
    <row r="1999" ht="15" customHeight="1" s="37">
      <c r="A1999" t="n">
        <v>19</v>
      </c>
      <c r="B1999" s="10" t="inlineStr">
        <is>
          <t>休日</t>
        </is>
      </c>
      <c r="C1999" s="10" t="inlineStr">
        <is>
          <t>北野線</t>
        </is>
      </c>
      <c r="D1999" s="10" t="inlineStr">
        <is>
          <t>上り</t>
        </is>
      </c>
      <c r="E1999" t="inlineStr">
        <is>
          <t>0956</t>
        </is>
      </c>
      <c r="F1999" t="inlineStr">
        <is>
          <t>0354</t>
        </is>
      </c>
      <c r="G1999" s="10" t="inlineStr">
        <is>
          <t>常盤</t>
        </is>
      </c>
      <c r="H1999" s="10" t="inlineStr">
        <is>
          <t>発</t>
        </is>
      </c>
      <c r="J1999" s="10" t="inlineStr">
        <is>
          <t>営業</t>
        </is>
      </c>
      <c r="L1999" t="inlineStr">
        <is>
          <t>9:29:00</t>
        </is>
      </c>
      <c r="M1999" t="inlineStr">
        <is>
          <t>9:29:20</t>
        </is>
      </c>
    </row>
    <row r="2000" ht="15" customHeight="1" s="37">
      <c r="A2000" t="n">
        <v>19</v>
      </c>
      <c r="B2000" s="10" t="inlineStr">
        <is>
          <t>休日</t>
        </is>
      </c>
      <c r="C2000" s="10" t="inlineStr">
        <is>
          <t>北野線</t>
        </is>
      </c>
      <c r="D2000" s="10" t="inlineStr">
        <is>
          <t>上り</t>
        </is>
      </c>
      <c r="E2000" t="inlineStr">
        <is>
          <t>0956</t>
        </is>
      </c>
      <c r="F2000" t="inlineStr">
        <is>
          <t>0354</t>
        </is>
      </c>
      <c r="G2000" s="10" t="inlineStr">
        <is>
          <t>鳴滝</t>
        </is>
      </c>
      <c r="H2000" s="10" t="inlineStr">
        <is>
          <t>発</t>
        </is>
      </c>
      <c r="J2000" s="10" t="inlineStr">
        <is>
          <t>営業</t>
        </is>
      </c>
      <c r="L2000" t="inlineStr">
        <is>
          <t>9:30:20</t>
        </is>
      </c>
      <c r="M2000" t="inlineStr">
        <is>
          <t>9:30:40</t>
        </is>
      </c>
    </row>
    <row r="2001" ht="15" customHeight="1" s="37">
      <c r="A2001" t="n">
        <v>19</v>
      </c>
      <c r="B2001" s="10" t="inlineStr">
        <is>
          <t>休日</t>
        </is>
      </c>
      <c r="C2001" s="10" t="inlineStr">
        <is>
          <t>北野線</t>
        </is>
      </c>
      <c r="D2001" s="10" t="inlineStr">
        <is>
          <t>上り</t>
        </is>
      </c>
      <c r="E2001" t="inlineStr">
        <is>
          <t>0956</t>
        </is>
      </c>
      <c r="F2001" t="inlineStr">
        <is>
          <t>0354</t>
        </is>
      </c>
      <c r="G2001" s="10" t="inlineStr">
        <is>
          <t>宇多野</t>
        </is>
      </c>
      <c r="H2001" s="10" t="inlineStr">
        <is>
          <t>発</t>
        </is>
      </c>
      <c r="J2001" s="10" t="inlineStr">
        <is>
          <t>営業</t>
        </is>
      </c>
      <c r="L2001" t="inlineStr">
        <is>
          <t>9:32:00</t>
        </is>
      </c>
      <c r="M2001" t="inlineStr">
        <is>
          <t>9:32:15</t>
        </is>
      </c>
    </row>
    <row r="2002" ht="15" customHeight="1" s="37">
      <c r="A2002" t="n">
        <v>19</v>
      </c>
      <c r="B2002" s="10" t="inlineStr">
        <is>
          <t>休日</t>
        </is>
      </c>
      <c r="C2002" s="10" t="inlineStr">
        <is>
          <t>北野線</t>
        </is>
      </c>
      <c r="D2002" s="10" t="inlineStr">
        <is>
          <t>上り</t>
        </is>
      </c>
      <c r="E2002" t="inlineStr">
        <is>
          <t>0956</t>
        </is>
      </c>
      <c r="F2002" t="inlineStr">
        <is>
          <t>0354</t>
        </is>
      </c>
      <c r="G2002" s="10" t="inlineStr">
        <is>
          <t>御室仁和寺</t>
        </is>
      </c>
      <c r="H2002" s="10" t="inlineStr">
        <is>
          <t>発</t>
        </is>
      </c>
      <c r="J2002" s="10" t="inlineStr">
        <is>
          <t>営業</t>
        </is>
      </c>
      <c r="L2002" t="inlineStr">
        <is>
          <t>9:33:15</t>
        </is>
      </c>
      <c r="M2002" t="inlineStr">
        <is>
          <t>9:33:35</t>
        </is>
      </c>
    </row>
    <row r="2003" ht="15" customHeight="1" s="37">
      <c r="A2003" t="n">
        <v>19</v>
      </c>
      <c r="B2003" s="10" t="inlineStr">
        <is>
          <t>休日</t>
        </is>
      </c>
      <c r="C2003" s="10" t="inlineStr">
        <is>
          <t>北野線</t>
        </is>
      </c>
      <c r="D2003" s="10" t="inlineStr">
        <is>
          <t>上り</t>
        </is>
      </c>
      <c r="E2003" t="inlineStr">
        <is>
          <t>0956</t>
        </is>
      </c>
      <c r="F2003" t="inlineStr">
        <is>
          <t>0354</t>
        </is>
      </c>
      <c r="G2003" s="10" t="inlineStr">
        <is>
          <t>妙心寺</t>
        </is>
      </c>
      <c r="H2003" s="10" t="inlineStr">
        <is>
          <t>発</t>
        </is>
      </c>
      <c r="J2003" s="10" t="inlineStr">
        <is>
          <t>営業</t>
        </is>
      </c>
      <c r="L2003" t="inlineStr">
        <is>
          <t>9:34:35</t>
        </is>
      </c>
      <c r="M2003" t="inlineStr">
        <is>
          <t>9:34:50</t>
        </is>
      </c>
    </row>
    <row r="2004" ht="15" customHeight="1" s="37">
      <c r="A2004" t="n">
        <v>19</v>
      </c>
      <c r="B2004" s="10" t="inlineStr">
        <is>
          <t>休日</t>
        </is>
      </c>
      <c r="C2004" s="10" t="inlineStr">
        <is>
          <t>北野線</t>
        </is>
      </c>
      <c r="D2004" s="10" t="inlineStr">
        <is>
          <t>上り</t>
        </is>
      </c>
      <c r="E2004" t="inlineStr">
        <is>
          <t>0956</t>
        </is>
      </c>
      <c r="F2004" t="inlineStr">
        <is>
          <t>0354</t>
        </is>
      </c>
      <c r="G2004" s="10" t="inlineStr">
        <is>
          <t>龍安寺</t>
        </is>
      </c>
      <c r="H2004" s="10" t="inlineStr">
        <is>
          <t>発</t>
        </is>
      </c>
      <c r="J2004" s="10" t="inlineStr">
        <is>
          <t>営業</t>
        </is>
      </c>
      <c r="L2004" t="inlineStr">
        <is>
          <t>9:35:45</t>
        </is>
      </c>
      <c r="M2004" t="inlineStr">
        <is>
          <t>9:35:55</t>
        </is>
      </c>
    </row>
    <row r="2005" ht="15" customHeight="1" s="37">
      <c r="A2005" t="n">
        <v>19</v>
      </c>
      <c r="B2005" s="10" t="inlineStr">
        <is>
          <t>休日</t>
        </is>
      </c>
      <c r="C2005" s="10" t="inlineStr">
        <is>
          <t>北野線</t>
        </is>
      </c>
      <c r="D2005" s="10" t="inlineStr">
        <is>
          <t>上り</t>
        </is>
      </c>
      <c r="E2005" t="inlineStr">
        <is>
          <t>0956</t>
        </is>
      </c>
      <c r="F2005" t="inlineStr">
        <is>
          <t>0354</t>
        </is>
      </c>
      <c r="G2005" s="10" t="inlineStr">
        <is>
          <t>等持院</t>
        </is>
      </c>
      <c r="H2005" s="10" t="inlineStr">
        <is>
          <t>発</t>
        </is>
      </c>
      <c r="J2005" s="10" t="inlineStr">
        <is>
          <t>営業</t>
        </is>
      </c>
      <c r="L2005" t="inlineStr">
        <is>
          <t>9:36:35</t>
        </is>
      </c>
      <c r="M2005" t="inlineStr">
        <is>
          <t>9:36:55</t>
        </is>
      </c>
    </row>
    <row r="2006" ht="15" customHeight="1" s="37">
      <c r="A2006" t="n">
        <v>19</v>
      </c>
      <c r="B2006" s="10" t="inlineStr">
        <is>
          <t>休日</t>
        </is>
      </c>
      <c r="C2006" s="10" t="inlineStr">
        <is>
          <t>北野線</t>
        </is>
      </c>
      <c r="D2006" s="10" t="inlineStr">
        <is>
          <t>上り</t>
        </is>
      </c>
      <c r="E2006" t="inlineStr">
        <is>
          <t>0956</t>
        </is>
      </c>
      <c r="F2006" t="inlineStr">
        <is>
          <t>0354</t>
        </is>
      </c>
      <c r="G2006" s="10" t="inlineStr">
        <is>
          <t>北野白梅町</t>
        </is>
      </c>
      <c r="H2006" s="10" t="inlineStr">
        <is>
          <t>着</t>
        </is>
      </c>
      <c r="J2006" s="10" t="inlineStr">
        <is>
          <t>営業</t>
        </is>
      </c>
      <c r="L2006" t="inlineStr">
        <is>
          <t>9:38:15</t>
        </is>
      </c>
      <c r="Q2006" t="inlineStr">
        <is>
          <t>1</t>
        </is>
      </c>
    </row>
    <row r="2007" ht="15" customHeight="1" s="37">
      <c r="A2007" t="n">
        <v>19</v>
      </c>
      <c r="B2007" s="10" t="inlineStr">
        <is>
          <t>休日</t>
        </is>
      </c>
      <c r="C2007" s="10" t="inlineStr">
        <is>
          <t>北野線</t>
        </is>
      </c>
      <c r="D2007" s="10" t="inlineStr">
        <is>
          <t>下り</t>
        </is>
      </c>
      <c r="E2007" t="inlineStr">
        <is>
          <t>0959</t>
        </is>
      </c>
      <c r="F2007" t="inlineStr">
        <is>
          <t>0453</t>
        </is>
      </c>
      <c r="G2007" s="10" t="inlineStr">
        <is>
          <t>北野白梅町</t>
        </is>
      </c>
      <c r="H2007" s="10" t="inlineStr">
        <is>
          <t>発</t>
        </is>
      </c>
      <c r="J2007" s="10" t="inlineStr">
        <is>
          <t>営業</t>
        </is>
      </c>
      <c r="M2007" t="inlineStr">
        <is>
          <t>9:43:00</t>
        </is>
      </c>
      <c r="Q2007" t="inlineStr">
        <is>
          <t>1</t>
        </is>
      </c>
    </row>
    <row r="2008" ht="15" customHeight="1" s="37">
      <c r="A2008" t="n">
        <v>19</v>
      </c>
      <c r="B2008" s="10" t="inlineStr">
        <is>
          <t>休日</t>
        </is>
      </c>
      <c r="C2008" s="10" t="inlineStr">
        <is>
          <t>北野線</t>
        </is>
      </c>
      <c r="D2008" s="10" t="inlineStr">
        <is>
          <t>下り</t>
        </is>
      </c>
      <c r="E2008" t="inlineStr">
        <is>
          <t>0959</t>
        </is>
      </c>
      <c r="F2008" t="inlineStr">
        <is>
          <t>0453</t>
        </is>
      </c>
      <c r="G2008" s="10" t="inlineStr">
        <is>
          <t>等持院</t>
        </is>
      </c>
      <c r="H2008" s="10" t="inlineStr">
        <is>
          <t>発</t>
        </is>
      </c>
      <c r="J2008" s="10" t="inlineStr">
        <is>
          <t>営業</t>
        </is>
      </c>
      <c r="L2008" t="inlineStr">
        <is>
          <t>9:44:25</t>
        </is>
      </c>
      <c r="M2008" t="inlineStr">
        <is>
          <t>9:44:35</t>
        </is>
      </c>
    </row>
    <row r="2009" ht="15" customHeight="1" s="37">
      <c r="A2009" t="n">
        <v>19</v>
      </c>
      <c r="B2009" s="10" t="inlineStr">
        <is>
          <t>休日</t>
        </is>
      </c>
      <c r="C2009" s="10" t="inlineStr">
        <is>
          <t>北野線</t>
        </is>
      </c>
      <c r="D2009" s="10" t="inlineStr">
        <is>
          <t>下り</t>
        </is>
      </c>
      <c r="E2009" t="inlineStr">
        <is>
          <t>0959</t>
        </is>
      </c>
      <c r="F2009" t="inlineStr">
        <is>
          <t>0453</t>
        </is>
      </c>
      <c r="G2009" s="10" t="inlineStr">
        <is>
          <t>龍安寺</t>
        </is>
      </c>
      <c r="H2009" s="10" t="inlineStr">
        <is>
          <t>発</t>
        </is>
      </c>
      <c r="J2009" s="10" t="inlineStr">
        <is>
          <t>営業</t>
        </is>
      </c>
      <c r="L2009" t="inlineStr">
        <is>
          <t>9:45:25</t>
        </is>
      </c>
      <c r="M2009" t="inlineStr">
        <is>
          <t>9:45:50</t>
        </is>
      </c>
    </row>
    <row r="2010" ht="15" customHeight="1" s="37">
      <c r="A2010" t="n">
        <v>19</v>
      </c>
      <c r="B2010" s="10" t="inlineStr">
        <is>
          <t>休日</t>
        </is>
      </c>
      <c r="C2010" s="10" t="inlineStr">
        <is>
          <t>北野線</t>
        </is>
      </c>
      <c r="D2010" s="10" t="inlineStr">
        <is>
          <t>下り</t>
        </is>
      </c>
      <c r="E2010" t="inlineStr">
        <is>
          <t>0959</t>
        </is>
      </c>
      <c r="F2010" t="inlineStr">
        <is>
          <t>0453</t>
        </is>
      </c>
      <c r="G2010" s="10" t="inlineStr">
        <is>
          <t>妙心寺</t>
        </is>
      </c>
      <c r="H2010" s="10" t="inlineStr">
        <is>
          <t>発</t>
        </is>
      </c>
      <c r="J2010" s="10" t="inlineStr">
        <is>
          <t>営業</t>
        </is>
      </c>
      <c r="L2010" t="inlineStr">
        <is>
          <t>9:46:40</t>
        </is>
      </c>
      <c r="M2010" t="inlineStr">
        <is>
          <t>9:46:50</t>
        </is>
      </c>
    </row>
    <row r="2011" ht="15" customHeight="1" s="37">
      <c r="A2011" t="n">
        <v>19</v>
      </c>
      <c r="B2011" s="10" t="inlineStr">
        <is>
          <t>休日</t>
        </is>
      </c>
      <c r="C2011" s="10" t="inlineStr">
        <is>
          <t>北野線</t>
        </is>
      </c>
      <c r="D2011" s="10" t="inlineStr">
        <is>
          <t>下り</t>
        </is>
      </c>
      <c r="E2011" t="inlineStr">
        <is>
          <t>0959</t>
        </is>
      </c>
      <c r="F2011" t="inlineStr">
        <is>
          <t>0453</t>
        </is>
      </c>
      <c r="G2011" s="10" t="inlineStr">
        <is>
          <t>御室仁和寺</t>
        </is>
      </c>
      <c r="H2011" s="10" t="inlineStr">
        <is>
          <t>発</t>
        </is>
      </c>
      <c r="J2011" s="10" t="inlineStr">
        <is>
          <t>営業</t>
        </is>
      </c>
      <c r="L2011" t="inlineStr">
        <is>
          <t>9:47:50</t>
        </is>
      </c>
      <c r="M2011" t="inlineStr">
        <is>
          <t>9:48:05</t>
        </is>
      </c>
    </row>
    <row r="2012" ht="15" customHeight="1" s="37">
      <c r="A2012" t="n">
        <v>19</v>
      </c>
      <c r="B2012" s="10" t="inlineStr">
        <is>
          <t>休日</t>
        </is>
      </c>
      <c r="C2012" s="10" t="inlineStr">
        <is>
          <t>北野線</t>
        </is>
      </c>
      <c r="D2012" s="10" t="inlineStr">
        <is>
          <t>下り</t>
        </is>
      </c>
      <c r="E2012" t="inlineStr">
        <is>
          <t>0959</t>
        </is>
      </c>
      <c r="F2012" t="inlineStr">
        <is>
          <t>0453</t>
        </is>
      </c>
      <c r="G2012" s="10" t="inlineStr">
        <is>
          <t>宇多野</t>
        </is>
      </c>
      <c r="H2012" s="10" t="inlineStr">
        <is>
          <t>発</t>
        </is>
      </c>
      <c r="J2012" s="10" t="inlineStr">
        <is>
          <t>営業</t>
        </is>
      </c>
      <c r="L2012" t="inlineStr">
        <is>
          <t>9:49:05</t>
        </is>
      </c>
      <c r="M2012" t="inlineStr">
        <is>
          <t>9:49:15</t>
        </is>
      </c>
    </row>
    <row r="2013" ht="15" customHeight="1" s="37">
      <c r="A2013" t="n">
        <v>19</v>
      </c>
      <c r="B2013" s="10" t="inlineStr">
        <is>
          <t>休日</t>
        </is>
      </c>
      <c r="C2013" s="10" t="inlineStr">
        <is>
          <t>北野線</t>
        </is>
      </c>
      <c r="D2013" s="10" t="inlineStr">
        <is>
          <t>下り</t>
        </is>
      </c>
      <c r="E2013" t="inlineStr">
        <is>
          <t>0959</t>
        </is>
      </c>
      <c r="F2013" t="inlineStr">
        <is>
          <t>0453</t>
        </is>
      </c>
      <c r="G2013" s="10" t="inlineStr">
        <is>
          <t>鳴滝</t>
        </is>
      </c>
      <c r="H2013" s="10" t="inlineStr">
        <is>
          <t>発</t>
        </is>
      </c>
      <c r="J2013" s="10" t="inlineStr">
        <is>
          <t>営業</t>
        </is>
      </c>
      <c r="L2013" t="inlineStr">
        <is>
          <t>9:50:35</t>
        </is>
      </c>
      <c r="M2013" t="inlineStr">
        <is>
          <t>9:50:45</t>
        </is>
      </c>
    </row>
    <row r="2014" ht="15" customHeight="1" s="37">
      <c r="A2014" t="n">
        <v>19</v>
      </c>
      <c r="B2014" s="10" t="inlineStr">
        <is>
          <t>休日</t>
        </is>
      </c>
      <c r="C2014" s="10" t="inlineStr">
        <is>
          <t>北野線</t>
        </is>
      </c>
      <c r="D2014" s="10" t="inlineStr">
        <is>
          <t>下り</t>
        </is>
      </c>
      <c r="E2014" t="inlineStr">
        <is>
          <t>0959</t>
        </is>
      </c>
      <c r="F2014" t="inlineStr">
        <is>
          <t>0453</t>
        </is>
      </c>
      <c r="G2014" s="10" t="inlineStr">
        <is>
          <t>常盤</t>
        </is>
      </c>
      <c r="H2014" s="10" t="inlineStr">
        <is>
          <t>発</t>
        </is>
      </c>
      <c r="J2014" s="10" t="inlineStr">
        <is>
          <t>営業</t>
        </is>
      </c>
      <c r="L2014" t="inlineStr">
        <is>
          <t>9:51:35</t>
        </is>
      </c>
      <c r="M2014" t="inlineStr">
        <is>
          <t>9:51:55</t>
        </is>
      </c>
    </row>
    <row r="2015" ht="15" customHeight="1" s="37">
      <c r="A2015" t="n">
        <v>19</v>
      </c>
      <c r="B2015" s="10" t="inlineStr">
        <is>
          <t>休日</t>
        </is>
      </c>
      <c r="C2015" s="10" t="inlineStr">
        <is>
          <t>北野線</t>
        </is>
      </c>
      <c r="D2015" s="10" t="inlineStr">
        <is>
          <t>下り</t>
        </is>
      </c>
      <c r="E2015" t="inlineStr">
        <is>
          <t>0959</t>
        </is>
      </c>
      <c r="F2015" t="inlineStr">
        <is>
          <t>0453</t>
        </is>
      </c>
      <c r="G2015" s="10" t="inlineStr">
        <is>
          <t>撮影所前</t>
        </is>
      </c>
      <c r="H2015" s="10" t="inlineStr">
        <is>
          <t>発</t>
        </is>
      </c>
      <c r="J2015" s="10" t="inlineStr">
        <is>
          <t>営業</t>
        </is>
      </c>
      <c r="L2015" t="inlineStr">
        <is>
          <t>9:53:15</t>
        </is>
      </c>
      <c r="M2015" t="inlineStr">
        <is>
          <t>9:53:30</t>
        </is>
      </c>
    </row>
    <row r="2016" ht="15" customHeight="1" s="37">
      <c r="A2016" t="n">
        <v>19</v>
      </c>
      <c r="B2016" s="10" t="inlineStr">
        <is>
          <t>休日</t>
        </is>
      </c>
      <c r="C2016" s="10" t="inlineStr">
        <is>
          <t>北野線</t>
        </is>
      </c>
      <c r="D2016" s="10" t="inlineStr">
        <is>
          <t>下り</t>
        </is>
      </c>
      <c r="E2016" t="inlineStr">
        <is>
          <t>0959</t>
        </is>
      </c>
      <c r="F2016" t="inlineStr">
        <is>
          <t>0453</t>
        </is>
      </c>
      <c r="G2016" s="10" t="inlineStr">
        <is>
          <t>帷子ノ辻</t>
        </is>
      </c>
      <c r="H2016" s="10" t="inlineStr">
        <is>
          <t>着</t>
        </is>
      </c>
      <c r="J2016" s="10" t="inlineStr">
        <is>
          <t>営業</t>
        </is>
      </c>
      <c r="L2016" t="inlineStr">
        <is>
          <t>9:54:25</t>
        </is>
      </c>
      <c r="Q2016" t="inlineStr">
        <is>
          <t>4</t>
        </is>
      </c>
    </row>
    <row r="2017" ht="15" customHeight="1" s="37">
      <c r="A2017" t="n">
        <v>19</v>
      </c>
      <c r="B2017" s="10" t="inlineStr">
        <is>
          <t>休日</t>
        </is>
      </c>
      <c r="C2017" s="10" t="inlineStr">
        <is>
          <t>北野線</t>
        </is>
      </c>
      <c r="D2017" s="10" t="inlineStr">
        <is>
          <t>上り</t>
        </is>
      </c>
      <c r="E2017" t="inlineStr">
        <is>
          <t>1052</t>
        </is>
      </c>
      <c r="F2017" t="inlineStr">
        <is>
          <t>0354</t>
        </is>
      </c>
      <c r="G2017" s="10" t="inlineStr">
        <is>
          <t>帷子ノ辻</t>
        </is>
      </c>
      <c r="H2017" s="10" t="inlineStr">
        <is>
          <t>発</t>
        </is>
      </c>
      <c r="J2017" s="10" t="inlineStr">
        <is>
          <t>営業</t>
        </is>
      </c>
      <c r="M2017" t="inlineStr">
        <is>
          <t>10:06:25</t>
        </is>
      </c>
      <c r="Q2017" t="inlineStr">
        <is>
          <t>4</t>
        </is>
      </c>
    </row>
    <row r="2018" ht="15" customHeight="1" s="37">
      <c r="A2018" t="n">
        <v>19</v>
      </c>
      <c r="B2018" s="10" t="inlineStr">
        <is>
          <t>休日</t>
        </is>
      </c>
      <c r="C2018" s="10" t="inlineStr">
        <is>
          <t>北野線</t>
        </is>
      </c>
      <c r="D2018" s="10" t="inlineStr">
        <is>
          <t>上り</t>
        </is>
      </c>
      <c r="E2018" t="inlineStr">
        <is>
          <t>1052</t>
        </is>
      </c>
      <c r="F2018" t="inlineStr">
        <is>
          <t>0354</t>
        </is>
      </c>
      <c r="G2018" s="10" t="inlineStr">
        <is>
          <t>撮影所前</t>
        </is>
      </c>
      <c r="H2018" s="10" t="inlineStr">
        <is>
          <t>発</t>
        </is>
      </c>
      <c r="J2018" s="10" t="inlineStr">
        <is>
          <t>営業</t>
        </is>
      </c>
      <c r="L2018" t="inlineStr">
        <is>
          <t>10:07:25</t>
        </is>
      </c>
      <c r="M2018" t="inlineStr">
        <is>
          <t>10:07:40</t>
        </is>
      </c>
    </row>
    <row r="2019" ht="15" customHeight="1" s="37">
      <c r="A2019" t="n">
        <v>19</v>
      </c>
      <c r="B2019" s="10" t="inlineStr">
        <is>
          <t>休日</t>
        </is>
      </c>
      <c r="C2019" s="10" t="inlineStr">
        <is>
          <t>北野線</t>
        </is>
      </c>
      <c r="D2019" s="10" t="inlineStr">
        <is>
          <t>上り</t>
        </is>
      </c>
      <c r="E2019" t="inlineStr">
        <is>
          <t>1052</t>
        </is>
      </c>
      <c r="F2019" t="inlineStr">
        <is>
          <t>0354</t>
        </is>
      </c>
      <c r="G2019" s="10" t="inlineStr">
        <is>
          <t>常盤</t>
        </is>
      </c>
      <c r="H2019" s="10" t="inlineStr">
        <is>
          <t>発</t>
        </is>
      </c>
      <c r="J2019" s="10" t="inlineStr">
        <is>
          <t>営業</t>
        </is>
      </c>
      <c r="L2019" t="inlineStr">
        <is>
          <t>10:09:00</t>
        </is>
      </c>
      <c r="M2019" t="inlineStr">
        <is>
          <t>10:09:20</t>
        </is>
      </c>
    </row>
    <row r="2020" ht="15" customHeight="1" s="37">
      <c r="A2020" t="n">
        <v>19</v>
      </c>
      <c r="B2020" s="10" t="inlineStr">
        <is>
          <t>休日</t>
        </is>
      </c>
      <c r="C2020" s="10" t="inlineStr">
        <is>
          <t>北野線</t>
        </is>
      </c>
      <c r="D2020" s="10" t="inlineStr">
        <is>
          <t>上り</t>
        </is>
      </c>
      <c r="E2020" t="inlineStr">
        <is>
          <t>1052</t>
        </is>
      </c>
      <c r="F2020" t="inlineStr">
        <is>
          <t>0354</t>
        </is>
      </c>
      <c r="G2020" s="10" t="inlineStr">
        <is>
          <t>鳴滝</t>
        </is>
      </c>
      <c r="H2020" s="10" t="inlineStr">
        <is>
          <t>発</t>
        </is>
      </c>
      <c r="J2020" s="10" t="inlineStr">
        <is>
          <t>営業</t>
        </is>
      </c>
      <c r="L2020" t="inlineStr">
        <is>
          <t>10:10:20</t>
        </is>
      </c>
      <c r="M2020" t="inlineStr">
        <is>
          <t>10:10:40</t>
        </is>
      </c>
    </row>
    <row r="2021" ht="15" customHeight="1" s="37">
      <c r="A2021" t="n">
        <v>19</v>
      </c>
      <c r="B2021" s="10" t="inlineStr">
        <is>
          <t>休日</t>
        </is>
      </c>
      <c r="C2021" s="10" t="inlineStr">
        <is>
          <t>北野線</t>
        </is>
      </c>
      <c r="D2021" s="10" t="inlineStr">
        <is>
          <t>上り</t>
        </is>
      </c>
      <c r="E2021" t="inlineStr">
        <is>
          <t>1052</t>
        </is>
      </c>
      <c r="F2021" t="inlineStr">
        <is>
          <t>0354</t>
        </is>
      </c>
      <c r="G2021" s="10" t="inlineStr">
        <is>
          <t>宇多野</t>
        </is>
      </c>
      <c r="H2021" s="10" t="inlineStr">
        <is>
          <t>発</t>
        </is>
      </c>
      <c r="J2021" s="10" t="inlineStr">
        <is>
          <t>営業</t>
        </is>
      </c>
      <c r="L2021" t="inlineStr">
        <is>
          <t>10:12:00</t>
        </is>
      </c>
      <c r="M2021" t="inlineStr">
        <is>
          <t>10:12:15</t>
        </is>
      </c>
    </row>
    <row r="2022" ht="15" customHeight="1" s="37">
      <c r="A2022" t="n">
        <v>19</v>
      </c>
      <c r="B2022" s="10" t="inlineStr">
        <is>
          <t>休日</t>
        </is>
      </c>
      <c r="C2022" s="10" t="inlineStr">
        <is>
          <t>北野線</t>
        </is>
      </c>
      <c r="D2022" s="10" t="inlineStr">
        <is>
          <t>上り</t>
        </is>
      </c>
      <c r="E2022" t="inlineStr">
        <is>
          <t>1052</t>
        </is>
      </c>
      <c r="F2022" t="inlineStr">
        <is>
          <t>0354</t>
        </is>
      </c>
      <c r="G2022" s="10" t="inlineStr">
        <is>
          <t>御室仁和寺</t>
        </is>
      </c>
      <c r="H2022" s="10" t="inlineStr">
        <is>
          <t>発</t>
        </is>
      </c>
      <c r="J2022" s="10" t="inlineStr">
        <is>
          <t>営業</t>
        </is>
      </c>
      <c r="L2022" t="inlineStr">
        <is>
          <t>10:13:15</t>
        </is>
      </c>
      <c r="M2022" t="inlineStr">
        <is>
          <t>10:13:35</t>
        </is>
      </c>
    </row>
    <row r="2023" ht="15" customHeight="1" s="37">
      <c r="A2023" t="n">
        <v>19</v>
      </c>
      <c r="B2023" s="10" t="inlineStr">
        <is>
          <t>休日</t>
        </is>
      </c>
      <c r="C2023" s="10" t="inlineStr">
        <is>
          <t>北野線</t>
        </is>
      </c>
      <c r="D2023" s="10" t="inlineStr">
        <is>
          <t>上り</t>
        </is>
      </c>
      <c r="E2023" t="inlineStr">
        <is>
          <t>1052</t>
        </is>
      </c>
      <c r="F2023" t="inlineStr">
        <is>
          <t>0354</t>
        </is>
      </c>
      <c r="G2023" s="10" t="inlineStr">
        <is>
          <t>妙心寺</t>
        </is>
      </c>
      <c r="H2023" s="10" t="inlineStr">
        <is>
          <t>発</t>
        </is>
      </c>
      <c r="J2023" s="10" t="inlineStr">
        <is>
          <t>営業</t>
        </is>
      </c>
      <c r="L2023" t="inlineStr">
        <is>
          <t>10:14:35</t>
        </is>
      </c>
      <c r="M2023" t="inlineStr">
        <is>
          <t>10:14:50</t>
        </is>
      </c>
    </row>
    <row r="2024" ht="15" customHeight="1" s="37">
      <c r="A2024" t="n">
        <v>19</v>
      </c>
      <c r="B2024" s="10" t="inlineStr">
        <is>
          <t>休日</t>
        </is>
      </c>
      <c r="C2024" s="10" t="inlineStr">
        <is>
          <t>北野線</t>
        </is>
      </c>
      <c r="D2024" s="10" t="inlineStr">
        <is>
          <t>上り</t>
        </is>
      </c>
      <c r="E2024" t="inlineStr">
        <is>
          <t>1052</t>
        </is>
      </c>
      <c r="F2024" t="inlineStr">
        <is>
          <t>0354</t>
        </is>
      </c>
      <c r="G2024" s="10" t="inlineStr">
        <is>
          <t>龍安寺</t>
        </is>
      </c>
      <c r="H2024" s="10" t="inlineStr">
        <is>
          <t>発</t>
        </is>
      </c>
      <c r="J2024" s="10" t="inlineStr">
        <is>
          <t>営業</t>
        </is>
      </c>
      <c r="L2024" t="inlineStr">
        <is>
          <t>10:15:45</t>
        </is>
      </c>
      <c r="M2024" t="inlineStr">
        <is>
          <t>10:15:55</t>
        </is>
      </c>
    </row>
    <row r="2025" ht="15" customHeight="1" s="37">
      <c r="A2025" t="n">
        <v>19</v>
      </c>
      <c r="B2025" s="10" t="inlineStr">
        <is>
          <t>休日</t>
        </is>
      </c>
      <c r="C2025" s="10" t="inlineStr">
        <is>
          <t>北野線</t>
        </is>
      </c>
      <c r="D2025" s="10" t="inlineStr">
        <is>
          <t>上り</t>
        </is>
      </c>
      <c r="E2025" t="inlineStr">
        <is>
          <t>1052</t>
        </is>
      </c>
      <c r="F2025" t="inlineStr">
        <is>
          <t>0354</t>
        </is>
      </c>
      <c r="G2025" s="10" t="inlineStr">
        <is>
          <t>等持院</t>
        </is>
      </c>
      <c r="H2025" s="10" t="inlineStr">
        <is>
          <t>発</t>
        </is>
      </c>
      <c r="J2025" s="10" t="inlineStr">
        <is>
          <t>営業</t>
        </is>
      </c>
      <c r="L2025" t="inlineStr">
        <is>
          <t>10:16:35</t>
        </is>
      </c>
      <c r="M2025" t="inlineStr">
        <is>
          <t>10:16:55</t>
        </is>
      </c>
    </row>
    <row r="2026" ht="15" customHeight="1" s="37">
      <c r="A2026" t="n">
        <v>19</v>
      </c>
      <c r="B2026" s="10" t="inlineStr">
        <is>
          <t>休日</t>
        </is>
      </c>
      <c r="C2026" s="10" t="inlineStr">
        <is>
          <t>北野線</t>
        </is>
      </c>
      <c r="D2026" s="10" t="inlineStr">
        <is>
          <t>上り</t>
        </is>
      </c>
      <c r="E2026" t="inlineStr">
        <is>
          <t>1052</t>
        </is>
      </c>
      <c r="F2026" t="inlineStr">
        <is>
          <t>0354</t>
        </is>
      </c>
      <c r="G2026" s="10" t="inlineStr">
        <is>
          <t>北野白梅町</t>
        </is>
      </c>
      <c r="H2026" s="10" t="inlineStr">
        <is>
          <t>着</t>
        </is>
      </c>
      <c r="J2026" s="10" t="inlineStr">
        <is>
          <t>営業</t>
        </is>
      </c>
      <c r="L2026" t="inlineStr">
        <is>
          <t>10:18:15</t>
        </is>
      </c>
      <c r="Q2026" t="inlineStr">
        <is>
          <t>1</t>
        </is>
      </c>
    </row>
    <row r="2027" ht="15" customHeight="1" s="37">
      <c r="A2027" t="n">
        <v>19</v>
      </c>
      <c r="B2027" s="10" t="inlineStr">
        <is>
          <t>休日</t>
        </is>
      </c>
      <c r="C2027" s="10" t="inlineStr">
        <is>
          <t>北野線</t>
        </is>
      </c>
      <c r="D2027" s="10" t="inlineStr">
        <is>
          <t>下り</t>
        </is>
      </c>
      <c r="E2027" t="inlineStr">
        <is>
          <t>1055</t>
        </is>
      </c>
      <c r="F2027" t="inlineStr">
        <is>
          <t>0453</t>
        </is>
      </c>
      <c r="G2027" s="10" t="inlineStr">
        <is>
          <t>北野白梅町</t>
        </is>
      </c>
      <c r="H2027" s="10" t="inlineStr">
        <is>
          <t>発</t>
        </is>
      </c>
      <c r="J2027" s="10" t="inlineStr">
        <is>
          <t>営業</t>
        </is>
      </c>
      <c r="M2027" t="inlineStr">
        <is>
          <t>10:23:00</t>
        </is>
      </c>
      <c r="Q2027" t="inlineStr">
        <is>
          <t>1</t>
        </is>
      </c>
    </row>
    <row r="2028" ht="15" customHeight="1" s="37">
      <c r="A2028" t="n">
        <v>19</v>
      </c>
      <c r="B2028" s="10" t="inlineStr">
        <is>
          <t>休日</t>
        </is>
      </c>
      <c r="C2028" s="10" t="inlineStr">
        <is>
          <t>北野線</t>
        </is>
      </c>
      <c r="D2028" s="10" t="inlineStr">
        <is>
          <t>下り</t>
        </is>
      </c>
      <c r="E2028" t="inlineStr">
        <is>
          <t>1055</t>
        </is>
      </c>
      <c r="F2028" t="inlineStr">
        <is>
          <t>0453</t>
        </is>
      </c>
      <c r="G2028" s="10" t="inlineStr">
        <is>
          <t>等持院</t>
        </is>
      </c>
      <c r="H2028" s="10" t="inlineStr">
        <is>
          <t>発</t>
        </is>
      </c>
      <c r="J2028" s="10" t="inlineStr">
        <is>
          <t>営業</t>
        </is>
      </c>
      <c r="L2028" t="inlineStr">
        <is>
          <t>10:24:25</t>
        </is>
      </c>
      <c r="M2028" t="inlineStr">
        <is>
          <t>10:24:35</t>
        </is>
      </c>
    </row>
    <row r="2029" ht="15" customHeight="1" s="37">
      <c r="A2029" t="n">
        <v>19</v>
      </c>
      <c r="B2029" s="10" t="inlineStr">
        <is>
          <t>休日</t>
        </is>
      </c>
      <c r="C2029" s="10" t="inlineStr">
        <is>
          <t>北野線</t>
        </is>
      </c>
      <c r="D2029" s="10" t="inlineStr">
        <is>
          <t>下り</t>
        </is>
      </c>
      <c r="E2029" t="inlineStr">
        <is>
          <t>1055</t>
        </is>
      </c>
      <c r="F2029" t="inlineStr">
        <is>
          <t>0453</t>
        </is>
      </c>
      <c r="G2029" s="10" t="inlineStr">
        <is>
          <t>龍安寺</t>
        </is>
      </c>
      <c r="H2029" s="10" t="inlineStr">
        <is>
          <t>発</t>
        </is>
      </c>
      <c r="J2029" s="10" t="inlineStr">
        <is>
          <t>営業</t>
        </is>
      </c>
      <c r="L2029" t="inlineStr">
        <is>
          <t>10:25:25</t>
        </is>
      </c>
      <c r="M2029" t="inlineStr">
        <is>
          <t>10:25:50</t>
        </is>
      </c>
    </row>
    <row r="2030" ht="15" customHeight="1" s="37">
      <c r="A2030" t="n">
        <v>19</v>
      </c>
      <c r="B2030" s="10" t="inlineStr">
        <is>
          <t>休日</t>
        </is>
      </c>
      <c r="C2030" s="10" t="inlineStr">
        <is>
          <t>北野線</t>
        </is>
      </c>
      <c r="D2030" s="10" t="inlineStr">
        <is>
          <t>下り</t>
        </is>
      </c>
      <c r="E2030" t="inlineStr">
        <is>
          <t>1055</t>
        </is>
      </c>
      <c r="F2030" t="inlineStr">
        <is>
          <t>0453</t>
        </is>
      </c>
      <c r="G2030" s="10" t="inlineStr">
        <is>
          <t>妙心寺</t>
        </is>
      </c>
      <c r="H2030" s="10" t="inlineStr">
        <is>
          <t>発</t>
        </is>
      </c>
      <c r="J2030" s="10" t="inlineStr">
        <is>
          <t>営業</t>
        </is>
      </c>
      <c r="L2030" t="inlineStr">
        <is>
          <t>10:26:40</t>
        </is>
      </c>
      <c r="M2030" t="inlineStr">
        <is>
          <t>10:26:50</t>
        </is>
      </c>
    </row>
    <row r="2031" ht="15" customHeight="1" s="37">
      <c r="A2031" t="n">
        <v>19</v>
      </c>
      <c r="B2031" s="10" t="inlineStr">
        <is>
          <t>休日</t>
        </is>
      </c>
      <c r="C2031" s="10" t="inlineStr">
        <is>
          <t>北野線</t>
        </is>
      </c>
      <c r="D2031" s="10" t="inlineStr">
        <is>
          <t>下り</t>
        </is>
      </c>
      <c r="E2031" t="inlineStr">
        <is>
          <t>1055</t>
        </is>
      </c>
      <c r="F2031" t="inlineStr">
        <is>
          <t>0453</t>
        </is>
      </c>
      <c r="G2031" s="10" t="inlineStr">
        <is>
          <t>御室仁和寺</t>
        </is>
      </c>
      <c r="H2031" s="10" t="inlineStr">
        <is>
          <t>発</t>
        </is>
      </c>
      <c r="J2031" s="10" t="inlineStr">
        <is>
          <t>営業</t>
        </is>
      </c>
      <c r="L2031" t="inlineStr">
        <is>
          <t>10:27:50</t>
        </is>
      </c>
      <c r="M2031" t="inlineStr">
        <is>
          <t>10:28:05</t>
        </is>
      </c>
    </row>
    <row r="2032" ht="15" customHeight="1" s="37">
      <c r="A2032" t="n">
        <v>19</v>
      </c>
      <c r="B2032" s="10" t="inlineStr">
        <is>
          <t>休日</t>
        </is>
      </c>
      <c r="C2032" s="10" t="inlineStr">
        <is>
          <t>北野線</t>
        </is>
      </c>
      <c r="D2032" s="10" t="inlineStr">
        <is>
          <t>下り</t>
        </is>
      </c>
      <c r="E2032" t="inlineStr">
        <is>
          <t>1055</t>
        </is>
      </c>
      <c r="F2032" t="inlineStr">
        <is>
          <t>0453</t>
        </is>
      </c>
      <c r="G2032" s="10" t="inlineStr">
        <is>
          <t>宇多野</t>
        </is>
      </c>
      <c r="H2032" s="10" t="inlineStr">
        <is>
          <t>発</t>
        </is>
      </c>
      <c r="J2032" s="10" t="inlineStr">
        <is>
          <t>営業</t>
        </is>
      </c>
      <c r="L2032" t="inlineStr">
        <is>
          <t>10:29:05</t>
        </is>
      </c>
      <c r="M2032" t="inlineStr">
        <is>
          <t>10:29:15</t>
        </is>
      </c>
    </row>
    <row r="2033" ht="15" customHeight="1" s="37">
      <c r="A2033" t="n">
        <v>19</v>
      </c>
      <c r="B2033" s="10" t="inlineStr">
        <is>
          <t>休日</t>
        </is>
      </c>
      <c r="C2033" s="10" t="inlineStr">
        <is>
          <t>北野線</t>
        </is>
      </c>
      <c r="D2033" s="10" t="inlineStr">
        <is>
          <t>下り</t>
        </is>
      </c>
      <c r="E2033" t="inlineStr">
        <is>
          <t>1055</t>
        </is>
      </c>
      <c r="F2033" t="inlineStr">
        <is>
          <t>0453</t>
        </is>
      </c>
      <c r="G2033" s="10" t="inlineStr">
        <is>
          <t>鳴滝</t>
        </is>
      </c>
      <c r="H2033" s="10" t="inlineStr">
        <is>
          <t>発</t>
        </is>
      </c>
      <c r="J2033" s="10" t="inlineStr">
        <is>
          <t>営業</t>
        </is>
      </c>
      <c r="L2033" t="inlineStr">
        <is>
          <t>10:30:35</t>
        </is>
      </c>
      <c r="M2033" t="inlineStr">
        <is>
          <t>10:30:45</t>
        </is>
      </c>
    </row>
    <row r="2034" ht="15" customHeight="1" s="37">
      <c r="A2034" t="n">
        <v>19</v>
      </c>
      <c r="B2034" s="10" t="inlineStr">
        <is>
          <t>休日</t>
        </is>
      </c>
      <c r="C2034" s="10" t="inlineStr">
        <is>
          <t>北野線</t>
        </is>
      </c>
      <c r="D2034" s="10" t="inlineStr">
        <is>
          <t>下り</t>
        </is>
      </c>
      <c r="E2034" t="inlineStr">
        <is>
          <t>1055</t>
        </is>
      </c>
      <c r="F2034" t="inlineStr">
        <is>
          <t>0453</t>
        </is>
      </c>
      <c r="G2034" s="10" t="inlineStr">
        <is>
          <t>常盤</t>
        </is>
      </c>
      <c r="H2034" s="10" t="inlineStr">
        <is>
          <t>発</t>
        </is>
      </c>
      <c r="J2034" s="10" t="inlineStr">
        <is>
          <t>営業</t>
        </is>
      </c>
      <c r="L2034" t="inlineStr">
        <is>
          <t>10:31:35</t>
        </is>
      </c>
      <c r="M2034" t="inlineStr">
        <is>
          <t>10:31:55</t>
        </is>
      </c>
    </row>
    <row r="2035" ht="15" customHeight="1" s="37">
      <c r="A2035" t="n">
        <v>19</v>
      </c>
      <c r="B2035" s="10" t="inlineStr">
        <is>
          <t>休日</t>
        </is>
      </c>
      <c r="C2035" s="10" t="inlineStr">
        <is>
          <t>北野線</t>
        </is>
      </c>
      <c r="D2035" s="10" t="inlineStr">
        <is>
          <t>下り</t>
        </is>
      </c>
      <c r="E2035" t="inlineStr">
        <is>
          <t>1055</t>
        </is>
      </c>
      <c r="F2035" t="inlineStr">
        <is>
          <t>0453</t>
        </is>
      </c>
      <c r="G2035" s="10" t="inlineStr">
        <is>
          <t>撮影所前</t>
        </is>
      </c>
      <c r="H2035" s="10" t="inlineStr">
        <is>
          <t>発</t>
        </is>
      </c>
      <c r="J2035" s="10" t="inlineStr">
        <is>
          <t>営業</t>
        </is>
      </c>
      <c r="L2035" t="inlineStr">
        <is>
          <t>10:33:15</t>
        </is>
      </c>
      <c r="M2035" t="inlineStr">
        <is>
          <t>10:33:30</t>
        </is>
      </c>
    </row>
    <row r="2036" ht="15" customHeight="1" s="37">
      <c r="A2036" t="n">
        <v>19</v>
      </c>
      <c r="B2036" s="10" t="inlineStr">
        <is>
          <t>休日</t>
        </is>
      </c>
      <c r="C2036" s="10" t="inlineStr">
        <is>
          <t>北野線</t>
        </is>
      </c>
      <c r="D2036" s="10" t="inlineStr">
        <is>
          <t>下り</t>
        </is>
      </c>
      <c r="E2036" t="inlineStr">
        <is>
          <t>1055</t>
        </is>
      </c>
      <c r="F2036" t="inlineStr">
        <is>
          <t>0453</t>
        </is>
      </c>
      <c r="G2036" s="10" t="inlineStr">
        <is>
          <t>帷子ノ辻</t>
        </is>
      </c>
      <c r="H2036" s="10" t="inlineStr">
        <is>
          <t>着</t>
        </is>
      </c>
      <c r="J2036" s="10" t="inlineStr">
        <is>
          <t>営業</t>
        </is>
      </c>
      <c r="L2036" t="inlineStr">
        <is>
          <t>10:34:25</t>
        </is>
      </c>
      <c r="Q2036" t="inlineStr">
        <is>
          <t>4</t>
        </is>
      </c>
    </row>
    <row r="2037" ht="15" customHeight="1" s="37">
      <c r="A2037" t="n">
        <v>19</v>
      </c>
      <c r="B2037" s="10" t="inlineStr">
        <is>
          <t>休日</t>
        </is>
      </c>
      <c r="C2037" s="10" t="inlineStr">
        <is>
          <t>北野線</t>
        </is>
      </c>
      <c r="D2037" s="10" t="inlineStr">
        <is>
          <t>上り</t>
        </is>
      </c>
      <c r="E2037" t="inlineStr">
        <is>
          <t>1060</t>
        </is>
      </c>
      <c r="F2037" t="inlineStr">
        <is>
          <t>0354</t>
        </is>
      </c>
      <c r="G2037" s="10" t="inlineStr">
        <is>
          <t>帷子ノ辻</t>
        </is>
      </c>
      <c r="H2037" s="10" t="inlineStr">
        <is>
          <t>発</t>
        </is>
      </c>
      <c r="J2037" s="10" t="inlineStr">
        <is>
          <t>営業</t>
        </is>
      </c>
      <c r="M2037" t="inlineStr">
        <is>
          <t>10:46:25</t>
        </is>
      </c>
      <c r="Q2037" t="inlineStr">
        <is>
          <t>4</t>
        </is>
      </c>
      <c r="U2037" t="inlineStr">
        <is>
          <t>→帷子ノ辻 休憩(11:14〜12:16)</t>
        </is>
      </c>
    </row>
    <row r="2038" ht="15" customHeight="1" s="37">
      <c r="A2038" t="n">
        <v>19</v>
      </c>
      <c r="B2038" s="10" t="inlineStr">
        <is>
          <t>休日</t>
        </is>
      </c>
      <c r="C2038" s="10" t="inlineStr">
        <is>
          <t>北野線</t>
        </is>
      </c>
      <c r="D2038" s="10" t="inlineStr">
        <is>
          <t>上り</t>
        </is>
      </c>
      <c r="E2038" t="inlineStr">
        <is>
          <t>1060</t>
        </is>
      </c>
      <c r="F2038" t="inlineStr">
        <is>
          <t>0354</t>
        </is>
      </c>
      <c r="G2038" s="10" t="inlineStr">
        <is>
          <t>撮影所前</t>
        </is>
      </c>
      <c r="H2038" s="10" t="inlineStr">
        <is>
          <t>発</t>
        </is>
      </c>
      <c r="J2038" s="10" t="inlineStr">
        <is>
          <t>営業</t>
        </is>
      </c>
      <c r="L2038" t="inlineStr">
        <is>
          <t>10:47:25</t>
        </is>
      </c>
      <c r="M2038" t="inlineStr">
        <is>
          <t>10:47:40</t>
        </is>
      </c>
      <c r="U2038" t="inlineStr">
        <is>
          <t>→帷子ノ辻 休憩(11:14〜12:16)</t>
        </is>
      </c>
    </row>
    <row r="2039" ht="15" customHeight="1" s="37">
      <c r="A2039" t="n">
        <v>19</v>
      </c>
      <c r="B2039" s="10" t="inlineStr">
        <is>
          <t>休日</t>
        </is>
      </c>
      <c r="C2039" s="10" t="inlineStr">
        <is>
          <t>北野線</t>
        </is>
      </c>
      <c r="D2039" s="10" t="inlineStr">
        <is>
          <t>上り</t>
        </is>
      </c>
      <c r="E2039" t="inlineStr">
        <is>
          <t>1060</t>
        </is>
      </c>
      <c r="F2039" t="inlineStr">
        <is>
          <t>0354</t>
        </is>
      </c>
      <c r="G2039" s="10" t="inlineStr">
        <is>
          <t>常盤</t>
        </is>
      </c>
      <c r="H2039" s="10" t="inlineStr">
        <is>
          <t>発</t>
        </is>
      </c>
      <c r="J2039" s="10" t="inlineStr">
        <is>
          <t>営業</t>
        </is>
      </c>
      <c r="L2039" t="inlineStr">
        <is>
          <t>10:49:00</t>
        </is>
      </c>
      <c r="M2039" t="inlineStr">
        <is>
          <t>10:49:20</t>
        </is>
      </c>
      <c r="U2039" t="inlineStr">
        <is>
          <t>→帷子ノ辻 休憩(11:14〜12:16)</t>
        </is>
      </c>
    </row>
    <row r="2040" ht="15" customHeight="1" s="37">
      <c r="A2040" t="n">
        <v>19</v>
      </c>
      <c r="B2040" s="10" t="inlineStr">
        <is>
          <t>休日</t>
        </is>
      </c>
      <c r="C2040" s="10" t="inlineStr">
        <is>
          <t>北野線</t>
        </is>
      </c>
      <c r="D2040" s="10" t="inlineStr">
        <is>
          <t>上り</t>
        </is>
      </c>
      <c r="E2040" t="inlineStr">
        <is>
          <t>1060</t>
        </is>
      </c>
      <c r="F2040" t="inlineStr">
        <is>
          <t>0354</t>
        </is>
      </c>
      <c r="G2040" s="10" t="inlineStr">
        <is>
          <t>鳴滝</t>
        </is>
      </c>
      <c r="H2040" s="10" t="inlineStr">
        <is>
          <t>発</t>
        </is>
      </c>
      <c r="J2040" s="10" t="inlineStr">
        <is>
          <t>営業</t>
        </is>
      </c>
      <c r="L2040" t="inlineStr">
        <is>
          <t>10:50:20</t>
        </is>
      </c>
      <c r="M2040" t="inlineStr">
        <is>
          <t>10:50:40</t>
        </is>
      </c>
      <c r="U2040" t="inlineStr">
        <is>
          <t>→帷子ノ辻 休憩(11:14〜12:16)</t>
        </is>
      </c>
    </row>
    <row r="2041" ht="15" customHeight="1" s="37">
      <c r="A2041" t="n">
        <v>19</v>
      </c>
      <c r="B2041" s="10" t="inlineStr">
        <is>
          <t>休日</t>
        </is>
      </c>
      <c r="C2041" s="10" t="inlineStr">
        <is>
          <t>北野線</t>
        </is>
      </c>
      <c r="D2041" s="10" t="inlineStr">
        <is>
          <t>上り</t>
        </is>
      </c>
      <c r="E2041" t="inlineStr">
        <is>
          <t>1060</t>
        </is>
      </c>
      <c r="F2041" t="inlineStr">
        <is>
          <t>0354</t>
        </is>
      </c>
      <c r="G2041" s="10" t="inlineStr">
        <is>
          <t>宇多野</t>
        </is>
      </c>
      <c r="H2041" s="10" t="inlineStr">
        <is>
          <t>発</t>
        </is>
      </c>
      <c r="J2041" s="10" t="inlineStr">
        <is>
          <t>営業</t>
        </is>
      </c>
      <c r="L2041" t="inlineStr">
        <is>
          <t>10:52:00</t>
        </is>
      </c>
      <c r="M2041" t="inlineStr">
        <is>
          <t>10:52:15</t>
        </is>
      </c>
      <c r="U2041" t="inlineStr">
        <is>
          <t>→帷子ノ辻 休憩(11:14〜12:16)</t>
        </is>
      </c>
    </row>
    <row r="2042" ht="15" customHeight="1" s="37">
      <c r="A2042" t="n">
        <v>19</v>
      </c>
      <c r="B2042" s="10" t="inlineStr">
        <is>
          <t>休日</t>
        </is>
      </c>
      <c r="C2042" s="10" t="inlineStr">
        <is>
          <t>北野線</t>
        </is>
      </c>
      <c r="D2042" s="10" t="inlineStr">
        <is>
          <t>上り</t>
        </is>
      </c>
      <c r="E2042" t="inlineStr">
        <is>
          <t>1060</t>
        </is>
      </c>
      <c r="F2042" t="inlineStr">
        <is>
          <t>0354</t>
        </is>
      </c>
      <c r="G2042" s="10" t="inlineStr">
        <is>
          <t>御室仁和寺</t>
        </is>
      </c>
      <c r="H2042" s="10" t="inlineStr">
        <is>
          <t>発</t>
        </is>
      </c>
      <c r="J2042" s="10" t="inlineStr">
        <is>
          <t>営業</t>
        </is>
      </c>
      <c r="L2042" t="inlineStr">
        <is>
          <t>10:53:15</t>
        </is>
      </c>
      <c r="M2042" t="inlineStr">
        <is>
          <t>10:53:35</t>
        </is>
      </c>
      <c r="U2042" t="inlineStr">
        <is>
          <t>→帷子ノ辻 休憩(11:14〜12:16)</t>
        </is>
      </c>
    </row>
    <row r="2043" ht="15" customHeight="1" s="37">
      <c r="A2043" t="n">
        <v>19</v>
      </c>
      <c r="B2043" s="10" t="inlineStr">
        <is>
          <t>休日</t>
        </is>
      </c>
      <c r="C2043" s="10" t="inlineStr">
        <is>
          <t>北野線</t>
        </is>
      </c>
      <c r="D2043" s="10" t="inlineStr">
        <is>
          <t>上り</t>
        </is>
      </c>
      <c r="E2043" t="inlineStr">
        <is>
          <t>1060</t>
        </is>
      </c>
      <c r="F2043" t="inlineStr">
        <is>
          <t>0354</t>
        </is>
      </c>
      <c r="G2043" s="10" t="inlineStr">
        <is>
          <t>妙心寺</t>
        </is>
      </c>
      <c r="H2043" s="10" t="inlineStr">
        <is>
          <t>発</t>
        </is>
      </c>
      <c r="J2043" s="10" t="inlineStr">
        <is>
          <t>営業</t>
        </is>
      </c>
      <c r="L2043" t="inlineStr">
        <is>
          <t>10:54:35</t>
        </is>
      </c>
      <c r="M2043" t="inlineStr">
        <is>
          <t>10:54:50</t>
        </is>
      </c>
      <c r="U2043" t="inlineStr">
        <is>
          <t>→帷子ノ辻 休憩(11:14〜12:16)</t>
        </is>
      </c>
    </row>
    <row r="2044" ht="15" customHeight="1" s="37">
      <c r="A2044" t="n">
        <v>19</v>
      </c>
      <c r="B2044" s="10" t="inlineStr">
        <is>
          <t>休日</t>
        </is>
      </c>
      <c r="C2044" s="10" t="inlineStr">
        <is>
          <t>北野線</t>
        </is>
      </c>
      <c r="D2044" s="10" t="inlineStr">
        <is>
          <t>上り</t>
        </is>
      </c>
      <c r="E2044" t="inlineStr">
        <is>
          <t>1060</t>
        </is>
      </c>
      <c r="F2044" t="inlineStr">
        <is>
          <t>0354</t>
        </is>
      </c>
      <c r="G2044" s="10" t="inlineStr">
        <is>
          <t>龍安寺</t>
        </is>
      </c>
      <c r="H2044" s="10" t="inlineStr">
        <is>
          <t>発</t>
        </is>
      </c>
      <c r="J2044" s="10" t="inlineStr">
        <is>
          <t>営業</t>
        </is>
      </c>
      <c r="L2044" t="inlineStr">
        <is>
          <t>10:55:45</t>
        </is>
      </c>
      <c r="M2044" t="inlineStr">
        <is>
          <t>10:55:55</t>
        </is>
      </c>
      <c r="U2044" t="inlineStr">
        <is>
          <t>→帷子ノ辻 休憩(11:14〜12:16)</t>
        </is>
      </c>
    </row>
    <row r="2045" ht="15" customHeight="1" s="37">
      <c r="A2045" t="n">
        <v>19</v>
      </c>
      <c r="B2045" s="10" t="inlineStr">
        <is>
          <t>休日</t>
        </is>
      </c>
      <c r="C2045" s="10" t="inlineStr">
        <is>
          <t>北野線</t>
        </is>
      </c>
      <c r="D2045" s="10" t="inlineStr">
        <is>
          <t>上り</t>
        </is>
      </c>
      <c r="E2045" t="inlineStr">
        <is>
          <t>1060</t>
        </is>
      </c>
      <c r="F2045" t="inlineStr">
        <is>
          <t>0354</t>
        </is>
      </c>
      <c r="G2045" s="10" t="inlineStr">
        <is>
          <t>等持院</t>
        </is>
      </c>
      <c r="H2045" s="10" t="inlineStr">
        <is>
          <t>発</t>
        </is>
      </c>
      <c r="J2045" s="10" t="inlineStr">
        <is>
          <t>営業</t>
        </is>
      </c>
      <c r="L2045" t="inlineStr">
        <is>
          <t>10:56:35</t>
        </is>
      </c>
      <c r="M2045" t="inlineStr">
        <is>
          <t>10:56:55</t>
        </is>
      </c>
      <c r="U2045" t="inlineStr">
        <is>
          <t>→帷子ノ辻 休憩(11:14〜12:16)</t>
        </is>
      </c>
    </row>
    <row r="2046" ht="15" customHeight="1" s="37">
      <c r="A2046" t="n">
        <v>19</v>
      </c>
      <c r="B2046" s="10" t="inlineStr">
        <is>
          <t>休日</t>
        </is>
      </c>
      <c r="C2046" s="10" t="inlineStr">
        <is>
          <t>北野線</t>
        </is>
      </c>
      <c r="D2046" s="10" t="inlineStr">
        <is>
          <t>上り</t>
        </is>
      </c>
      <c r="E2046" t="inlineStr">
        <is>
          <t>1060</t>
        </is>
      </c>
      <c r="F2046" t="inlineStr">
        <is>
          <t>0354</t>
        </is>
      </c>
      <c r="G2046" s="10" t="inlineStr">
        <is>
          <t>北野白梅町</t>
        </is>
      </c>
      <c r="H2046" s="10" t="inlineStr">
        <is>
          <t>着</t>
        </is>
      </c>
      <c r="J2046" s="10" t="inlineStr">
        <is>
          <t>営業</t>
        </is>
      </c>
      <c r="L2046" t="inlineStr">
        <is>
          <t>10:58:15</t>
        </is>
      </c>
      <c r="Q2046" t="inlineStr">
        <is>
          <t>1</t>
        </is>
      </c>
      <c r="U2046" t="inlineStr">
        <is>
          <t>→帷子ノ辻 休憩(11:14〜12:16)</t>
        </is>
      </c>
    </row>
    <row r="2047" ht="15" customHeight="1" s="37">
      <c r="A2047" t="n">
        <v>19</v>
      </c>
      <c r="B2047" s="10" t="inlineStr">
        <is>
          <t>休日</t>
        </is>
      </c>
      <c r="C2047" s="10" t="inlineStr">
        <is>
          <t>北野線</t>
        </is>
      </c>
      <c r="D2047" s="10" t="inlineStr">
        <is>
          <t>下り</t>
        </is>
      </c>
      <c r="E2047" t="inlineStr">
        <is>
          <t>1151</t>
        </is>
      </c>
      <c r="F2047" t="inlineStr">
        <is>
          <t>0453</t>
        </is>
      </c>
      <c r="G2047" s="10" t="inlineStr">
        <is>
          <t>北野白梅町</t>
        </is>
      </c>
      <c r="H2047" s="10" t="inlineStr">
        <is>
          <t>発</t>
        </is>
      </c>
      <c r="J2047" s="10" t="inlineStr">
        <is>
          <t>営業</t>
        </is>
      </c>
      <c r="M2047" t="inlineStr">
        <is>
          <t>11:03:00</t>
        </is>
      </c>
      <c r="Q2047" t="inlineStr">
        <is>
          <t>1</t>
        </is>
      </c>
      <c r="U2047" t="inlineStr">
        <is>
          <t>→帷子ノ辻 休憩(11:14〜12:16)</t>
        </is>
      </c>
    </row>
    <row r="2048" ht="15" customHeight="1" s="37">
      <c r="A2048" t="n">
        <v>19</v>
      </c>
      <c r="B2048" s="10" t="inlineStr">
        <is>
          <t>休日</t>
        </is>
      </c>
      <c r="C2048" s="10" t="inlineStr">
        <is>
          <t>北野線</t>
        </is>
      </c>
      <c r="D2048" s="10" t="inlineStr">
        <is>
          <t>下り</t>
        </is>
      </c>
      <c r="E2048" t="inlineStr">
        <is>
          <t>1151</t>
        </is>
      </c>
      <c r="F2048" t="inlineStr">
        <is>
          <t>0453</t>
        </is>
      </c>
      <c r="G2048" s="10" t="inlineStr">
        <is>
          <t>等持院</t>
        </is>
      </c>
      <c r="H2048" s="10" t="inlineStr">
        <is>
          <t>発</t>
        </is>
      </c>
      <c r="J2048" s="10" t="inlineStr">
        <is>
          <t>営業</t>
        </is>
      </c>
      <c r="L2048" t="inlineStr">
        <is>
          <t>11:04:25</t>
        </is>
      </c>
      <c r="M2048" t="inlineStr">
        <is>
          <t>11:04:35</t>
        </is>
      </c>
      <c r="U2048" t="inlineStr">
        <is>
          <t>→帷子ノ辻 休憩(11:14〜12:16)</t>
        </is>
      </c>
    </row>
    <row r="2049" ht="15" customHeight="1" s="37">
      <c r="A2049" t="n">
        <v>19</v>
      </c>
      <c r="B2049" s="10" t="inlineStr">
        <is>
          <t>休日</t>
        </is>
      </c>
      <c r="C2049" s="10" t="inlineStr">
        <is>
          <t>北野線</t>
        </is>
      </c>
      <c r="D2049" s="10" t="inlineStr">
        <is>
          <t>下り</t>
        </is>
      </c>
      <c r="E2049" t="inlineStr">
        <is>
          <t>1151</t>
        </is>
      </c>
      <c r="F2049" t="inlineStr">
        <is>
          <t>0453</t>
        </is>
      </c>
      <c r="G2049" s="10" t="inlineStr">
        <is>
          <t>龍安寺</t>
        </is>
      </c>
      <c r="H2049" s="10" t="inlineStr">
        <is>
          <t>発</t>
        </is>
      </c>
      <c r="J2049" s="10" t="inlineStr">
        <is>
          <t>営業</t>
        </is>
      </c>
      <c r="L2049" t="inlineStr">
        <is>
          <t>11:05:25</t>
        </is>
      </c>
      <c r="M2049" t="inlineStr">
        <is>
          <t>11:05:50</t>
        </is>
      </c>
      <c r="U2049" t="inlineStr">
        <is>
          <t>→帷子ノ辻 休憩(11:14〜12:16)</t>
        </is>
      </c>
    </row>
    <row r="2050" ht="15" customHeight="1" s="37">
      <c r="A2050" t="n">
        <v>19</v>
      </c>
      <c r="B2050" s="10" t="inlineStr">
        <is>
          <t>休日</t>
        </is>
      </c>
      <c r="C2050" s="10" t="inlineStr">
        <is>
          <t>北野線</t>
        </is>
      </c>
      <c r="D2050" s="10" t="inlineStr">
        <is>
          <t>下り</t>
        </is>
      </c>
      <c r="E2050" t="inlineStr">
        <is>
          <t>1151</t>
        </is>
      </c>
      <c r="F2050" t="inlineStr">
        <is>
          <t>0453</t>
        </is>
      </c>
      <c r="G2050" s="10" t="inlineStr">
        <is>
          <t>妙心寺</t>
        </is>
      </c>
      <c r="H2050" s="10" t="inlineStr">
        <is>
          <t>発</t>
        </is>
      </c>
      <c r="J2050" s="10" t="inlineStr">
        <is>
          <t>営業</t>
        </is>
      </c>
      <c r="L2050" t="inlineStr">
        <is>
          <t>11:06:40</t>
        </is>
      </c>
      <c r="M2050" t="inlineStr">
        <is>
          <t>11:06:50</t>
        </is>
      </c>
      <c r="U2050" t="inlineStr">
        <is>
          <t>→帷子ノ辻 休憩(11:14〜12:16)</t>
        </is>
      </c>
    </row>
    <row r="2051" ht="15" customHeight="1" s="37">
      <c r="A2051" t="n">
        <v>19</v>
      </c>
      <c r="B2051" s="10" t="inlineStr">
        <is>
          <t>休日</t>
        </is>
      </c>
      <c r="C2051" s="10" t="inlineStr">
        <is>
          <t>北野線</t>
        </is>
      </c>
      <c r="D2051" s="10" t="inlineStr">
        <is>
          <t>下り</t>
        </is>
      </c>
      <c r="E2051" t="inlineStr">
        <is>
          <t>1151</t>
        </is>
      </c>
      <c r="F2051" t="inlineStr">
        <is>
          <t>0453</t>
        </is>
      </c>
      <c r="G2051" s="10" t="inlineStr">
        <is>
          <t>御室仁和寺</t>
        </is>
      </c>
      <c r="H2051" s="10" t="inlineStr">
        <is>
          <t>発</t>
        </is>
      </c>
      <c r="J2051" s="10" t="inlineStr">
        <is>
          <t>営業</t>
        </is>
      </c>
      <c r="L2051" t="inlineStr">
        <is>
          <t>11:07:50</t>
        </is>
      </c>
      <c r="M2051" t="inlineStr">
        <is>
          <t>11:08:05</t>
        </is>
      </c>
      <c r="U2051" t="inlineStr">
        <is>
          <t>→帷子ノ辻 休憩(11:14〜12:16)</t>
        </is>
      </c>
    </row>
    <row r="2052" ht="15" customHeight="1" s="37">
      <c r="A2052" t="n">
        <v>19</v>
      </c>
      <c r="B2052" s="10" t="inlineStr">
        <is>
          <t>休日</t>
        </is>
      </c>
      <c r="C2052" s="10" t="inlineStr">
        <is>
          <t>北野線</t>
        </is>
      </c>
      <c r="D2052" s="10" t="inlineStr">
        <is>
          <t>下り</t>
        </is>
      </c>
      <c r="E2052" t="inlineStr">
        <is>
          <t>1151</t>
        </is>
      </c>
      <c r="F2052" t="inlineStr">
        <is>
          <t>0453</t>
        </is>
      </c>
      <c r="G2052" s="10" t="inlineStr">
        <is>
          <t>宇多野</t>
        </is>
      </c>
      <c r="H2052" s="10" t="inlineStr">
        <is>
          <t>発</t>
        </is>
      </c>
      <c r="J2052" s="10" t="inlineStr">
        <is>
          <t>営業</t>
        </is>
      </c>
      <c r="L2052" t="inlineStr">
        <is>
          <t>11:09:05</t>
        </is>
      </c>
      <c r="M2052" t="inlineStr">
        <is>
          <t>11:09:15</t>
        </is>
      </c>
      <c r="U2052" t="inlineStr">
        <is>
          <t>→帷子ノ辻 休憩(11:14〜12:16)</t>
        </is>
      </c>
    </row>
    <row r="2053" ht="15" customHeight="1" s="37">
      <c r="A2053" t="n">
        <v>19</v>
      </c>
      <c r="B2053" s="10" t="inlineStr">
        <is>
          <t>休日</t>
        </is>
      </c>
      <c r="C2053" s="10" t="inlineStr">
        <is>
          <t>北野線</t>
        </is>
      </c>
      <c r="D2053" s="10" t="inlineStr">
        <is>
          <t>下り</t>
        </is>
      </c>
      <c r="E2053" t="inlineStr">
        <is>
          <t>1151</t>
        </is>
      </c>
      <c r="F2053" t="inlineStr">
        <is>
          <t>0453</t>
        </is>
      </c>
      <c r="G2053" s="10" t="inlineStr">
        <is>
          <t>鳴滝</t>
        </is>
      </c>
      <c r="H2053" s="10" t="inlineStr">
        <is>
          <t>発</t>
        </is>
      </c>
      <c r="J2053" s="10" t="inlineStr">
        <is>
          <t>営業</t>
        </is>
      </c>
      <c r="L2053" t="inlineStr">
        <is>
          <t>11:10:35</t>
        </is>
      </c>
      <c r="M2053" t="inlineStr">
        <is>
          <t>11:10:45</t>
        </is>
      </c>
      <c r="U2053" t="inlineStr">
        <is>
          <t>→帷子ノ辻 休憩(11:14〜12:16)</t>
        </is>
      </c>
    </row>
    <row r="2054" ht="15" customHeight="1" s="37">
      <c r="A2054" t="n">
        <v>19</v>
      </c>
      <c r="B2054" s="10" t="inlineStr">
        <is>
          <t>休日</t>
        </is>
      </c>
      <c r="C2054" s="10" t="inlineStr">
        <is>
          <t>北野線</t>
        </is>
      </c>
      <c r="D2054" s="10" t="inlineStr">
        <is>
          <t>下り</t>
        </is>
      </c>
      <c r="E2054" t="inlineStr">
        <is>
          <t>1151</t>
        </is>
      </c>
      <c r="F2054" t="inlineStr">
        <is>
          <t>0453</t>
        </is>
      </c>
      <c r="G2054" s="10" t="inlineStr">
        <is>
          <t>常盤</t>
        </is>
      </c>
      <c r="H2054" s="10" t="inlineStr">
        <is>
          <t>発</t>
        </is>
      </c>
      <c r="J2054" s="10" t="inlineStr">
        <is>
          <t>営業</t>
        </is>
      </c>
      <c r="L2054" t="inlineStr">
        <is>
          <t>11:11:35</t>
        </is>
      </c>
      <c r="M2054" t="inlineStr">
        <is>
          <t>11:11:55</t>
        </is>
      </c>
      <c r="U2054" t="inlineStr">
        <is>
          <t>→帷子ノ辻 休憩(11:14〜12:16)</t>
        </is>
      </c>
    </row>
    <row r="2055" ht="15" customHeight="1" s="37">
      <c r="A2055" t="n">
        <v>19</v>
      </c>
      <c r="B2055" s="10" t="inlineStr">
        <is>
          <t>休日</t>
        </is>
      </c>
      <c r="C2055" s="10" t="inlineStr">
        <is>
          <t>北野線</t>
        </is>
      </c>
      <c r="D2055" s="10" t="inlineStr">
        <is>
          <t>下り</t>
        </is>
      </c>
      <c r="E2055" t="inlineStr">
        <is>
          <t>1151</t>
        </is>
      </c>
      <c r="F2055" t="inlineStr">
        <is>
          <t>0453</t>
        </is>
      </c>
      <c r="G2055" s="10" t="inlineStr">
        <is>
          <t>撮影所前</t>
        </is>
      </c>
      <c r="H2055" s="10" t="inlineStr">
        <is>
          <t>発</t>
        </is>
      </c>
      <c r="J2055" s="10" t="inlineStr">
        <is>
          <t>営業</t>
        </is>
      </c>
      <c r="L2055" t="inlineStr">
        <is>
          <t>11:13:15</t>
        </is>
      </c>
      <c r="M2055" t="inlineStr">
        <is>
          <t>11:13:30</t>
        </is>
      </c>
      <c r="U2055" t="inlineStr">
        <is>
          <t>→帷子ノ辻 休憩(11:14〜12:16)</t>
        </is>
      </c>
    </row>
    <row r="2056" ht="15" customHeight="1" s="37">
      <c r="A2056" t="n">
        <v>19</v>
      </c>
      <c r="B2056" s="10" t="inlineStr">
        <is>
          <t>休日</t>
        </is>
      </c>
      <c r="C2056" s="10" t="inlineStr">
        <is>
          <t>北野線</t>
        </is>
      </c>
      <c r="D2056" s="10" t="inlineStr">
        <is>
          <t>下り</t>
        </is>
      </c>
      <c r="E2056" t="inlineStr">
        <is>
          <t>1151</t>
        </is>
      </c>
      <c r="F2056" t="inlineStr">
        <is>
          <t>0453</t>
        </is>
      </c>
      <c r="G2056" s="10" t="inlineStr">
        <is>
          <t>帷子ノ辻</t>
        </is>
      </c>
      <c r="H2056" s="10" t="inlineStr">
        <is>
          <t>着</t>
        </is>
      </c>
      <c r="J2056" s="10" t="inlineStr">
        <is>
          <t>営業</t>
        </is>
      </c>
      <c r="L2056" t="inlineStr">
        <is>
          <t>11:14:25</t>
        </is>
      </c>
      <c r="Q2056" t="inlineStr">
        <is>
          <t>4</t>
        </is>
      </c>
      <c r="U2056" t="inlineStr">
        <is>
          <t>→帷子ノ辻 休憩(11:14〜12:16)</t>
        </is>
      </c>
    </row>
    <row r="2057" ht="15" customHeight="1" s="37">
      <c r="A2057" t="n">
        <v>19</v>
      </c>
      <c r="B2057" s="10" t="inlineStr">
        <is>
          <t>休日</t>
        </is>
      </c>
      <c r="C2057" s="10" t="inlineStr">
        <is>
          <t>北野線</t>
        </is>
      </c>
      <c r="D2057" s="10" t="inlineStr">
        <is>
          <t>上り</t>
        </is>
      </c>
      <c r="E2057" t="inlineStr">
        <is>
          <t>1254</t>
        </is>
      </c>
      <c r="F2057" t="inlineStr">
        <is>
          <t>0354</t>
        </is>
      </c>
      <c r="G2057" s="10" t="inlineStr">
        <is>
          <t>帷子ノ辻</t>
        </is>
      </c>
      <c r="H2057" s="10" t="inlineStr">
        <is>
          <t>発</t>
        </is>
      </c>
      <c r="J2057" s="10" t="inlineStr">
        <is>
          <t>営業</t>
        </is>
      </c>
      <c r="M2057" t="inlineStr">
        <is>
          <t>12:16:25</t>
        </is>
      </c>
      <c r="Q2057" t="inlineStr">
        <is>
          <t>3</t>
        </is>
      </c>
    </row>
    <row r="2058" ht="15" customHeight="1" s="37">
      <c r="A2058" t="n">
        <v>19</v>
      </c>
      <c r="B2058" s="10" t="inlineStr">
        <is>
          <t>休日</t>
        </is>
      </c>
      <c r="C2058" s="10" t="inlineStr">
        <is>
          <t>北野線</t>
        </is>
      </c>
      <c r="D2058" s="10" t="inlineStr">
        <is>
          <t>上り</t>
        </is>
      </c>
      <c r="E2058" t="inlineStr">
        <is>
          <t>1254</t>
        </is>
      </c>
      <c r="F2058" t="inlineStr">
        <is>
          <t>0354</t>
        </is>
      </c>
      <c r="G2058" s="10" t="inlineStr">
        <is>
          <t>撮影所前</t>
        </is>
      </c>
      <c r="H2058" s="10" t="inlineStr">
        <is>
          <t>発</t>
        </is>
      </c>
      <c r="J2058" s="10" t="inlineStr">
        <is>
          <t>営業</t>
        </is>
      </c>
      <c r="L2058" t="inlineStr">
        <is>
          <t>12:17:25</t>
        </is>
      </c>
      <c r="M2058" t="inlineStr">
        <is>
          <t>12:17:40</t>
        </is>
      </c>
    </row>
    <row r="2059" ht="15" customHeight="1" s="37">
      <c r="A2059" t="n">
        <v>19</v>
      </c>
      <c r="B2059" s="10" t="inlineStr">
        <is>
          <t>休日</t>
        </is>
      </c>
      <c r="C2059" s="10" t="inlineStr">
        <is>
          <t>北野線</t>
        </is>
      </c>
      <c r="D2059" s="10" t="inlineStr">
        <is>
          <t>上り</t>
        </is>
      </c>
      <c r="E2059" t="inlineStr">
        <is>
          <t>1254</t>
        </is>
      </c>
      <c r="F2059" t="inlineStr">
        <is>
          <t>0354</t>
        </is>
      </c>
      <c r="G2059" s="10" t="inlineStr">
        <is>
          <t>常盤</t>
        </is>
      </c>
      <c r="H2059" s="10" t="inlineStr">
        <is>
          <t>発</t>
        </is>
      </c>
      <c r="J2059" s="10" t="inlineStr">
        <is>
          <t>営業</t>
        </is>
      </c>
      <c r="L2059" t="inlineStr">
        <is>
          <t>12:19:00</t>
        </is>
      </c>
      <c r="M2059" t="inlineStr">
        <is>
          <t>12:19:20</t>
        </is>
      </c>
    </row>
    <row r="2060" ht="15" customHeight="1" s="37">
      <c r="A2060" t="n">
        <v>19</v>
      </c>
      <c r="B2060" s="10" t="inlineStr">
        <is>
          <t>休日</t>
        </is>
      </c>
      <c r="C2060" s="10" t="inlineStr">
        <is>
          <t>北野線</t>
        </is>
      </c>
      <c r="D2060" s="10" t="inlineStr">
        <is>
          <t>上り</t>
        </is>
      </c>
      <c r="E2060" t="inlineStr">
        <is>
          <t>1254</t>
        </is>
      </c>
      <c r="F2060" t="inlineStr">
        <is>
          <t>0354</t>
        </is>
      </c>
      <c r="G2060" s="10" t="inlineStr">
        <is>
          <t>鳴滝</t>
        </is>
      </c>
      <c r="H2060" s="10" t="inlineStr">
        <is>
          <t>発</t>
        </is>
      </c>
      <c r="J2060" s="10" t="inlineStr">
        <is>
          <t>営業</t>
        </is>
      </c>
      <c r="L2060" t="inlineStr">
        <is>
          <t>12:20:20</t>
        </is>
      </c>
      <c r="M2060" t="inlineStr">
        <is>
          <t>12:20:40</t>
        </is>
      </c>
    </row>
    <row r="2061" ht="15" customHeight="1" s="37">
      <c r="A2061" t="n">
        <v>19</v>
      </c>
      <c r="B2061" s="10" t="inlineStr">
        <is>
          <t>休日</t>
        </is>
      </c>
      <c r="C2061" s="10" t="inlineStr">
        <is>
          <t>北野線</t>
        </is>
      </c>
      <c r="D2061" s="10" t="inlineStr">
        <is>
          <t>上り</t>
        </is>
      </c>
      <c r="E2061" t="inlineStr">
        <is>
          <t>1254</t>
        </is>
      </c>
      <c r="F2061" t="inlineStr">
        <is>
          <t>0354</t>
        </is>
      </c>
      <c r="G2061" s="10" t="inlineStr">
        <is>
          <t>宇多野</t>
        </is>
      </c>
      <c r="H2061" s="10" t="inlineStr">
        <is>
          <t>発</t>
        </is>
      </c>
      <c r="J2061" s="10" t="inlineStr">
        <is>
          <t>営業</t>
        </is>
      </c>
      <c r="L2061" t="inlineStr">
        <is>
          <t>12:22:00</t>
        </is>
      </c>
      <c r="M2061" t="inlineStr">
        <is>
          <t>12:22:15</t>
        </is>
      </c>
    </row>
    <row r="2062" ht="15" customHeight="1" s="37">
      <c r="A2062" t="n">
        <v>19</v>
      </c>
      <c r="B2062" s="10" t="inlineStr">
        <is>
          <t>休日</t>
        </is>
      </c>
      <c r="C2062" s="10" t="inlineStr">
        <is>
          <t>北野線</t>
        </is>
      </c>
      <c r="D2062" s="10" t="inlineStr">
        <is>
          <t>上り</t>
        </is>
      </c>
      <c r="E2062" t="inlineStr">
        <is>
          <t>1254</t>
        </is>
      </c>
      <c r="F2062" t="inlineStr">
        <is>
          <t>0354</t>
        </is>
      </c>
      <c r="G2062" s="10" t="inlineStr">
        <is>
          <t>御室仁和寺</t>
        </is>
      </c>
      <c r="H2062" s="10" t="inlineStr">
        <is>
          <t>発</t>
        </is>
      </c>
      <c r="J2062" s="10" t="inlineStr">
        <is>
          <t>営業</t>
        </is>
      </c>
      <c r="L2062" t="inlineStr">
        <is>
          <t>12:23:15</t>
        </is>
      </c>
      <c r="M2062" t="inlineStr">
        <is>
          <t>12:23:35</t>
        </is>
      </c>
    </row>
    <row r="2063" ht="15" customHeight="1" s="37">
      <c r="A2063" t="n">
        <v>19</v>
      </c>
      <c r="B2063" s="10" t="inlineStr">
        <is>
          <t>休日</t>
        </is>
      </c>
      <c r="C2063" s="10" t="inlineStr">
        <is>
          <t>北野線</t>
        </is>
      </c>
      <c r="D2063" s="10" t="inlineStr">
        <is>
          <t>上り</t>
        </is>
      </c>
      <c r="E2063" t="inlineStr">
        <is>
          <t>1254</t>
        </is>
      </c>
      <c r="F2063" t="inlineStr">
        <is>
          <t>0354</t>
        </is>
      </c>
      <c r="G2063" s="10" t="inlineStr">
        <is>
          <t>妙心寺</t>
        </is>
      </c>
      <c r="H2063" s="10" t="inlineStr">
        <is>
          <t>発</t>
        </is>
      </c>
      <c r="J2063" s="10" t="inlineStr">
        <is>
          <t>営業</t>
        </is>
      </c>
      <c r="L2063" t="inlineStr">
        <is>
          <t>12:24:35</t>
        </is>
      </c>
      <c r="M2063" t="inlineStr">
        <is>
          <t>12:24:50</t>
        </is>
      </c>
    </row>
    <row r="2064" ht="15" customHeight="1" s="37">
      <c r="A2064" t="n">
        <v>19</v>
      </c>
      <c r="B2064" s="10" t="inlineStr">
        <is>
          <t>休日</t>
        </is>
      </c>
      <c r="C2064" s="10" t="inlineStr">
        <is>
          <t>北野線</t>
        </is>
      </c>
      <c r="D2064" s="10" t="inlineStr">
        <is>
          <t>上り</t>
        </is>
      </c>
      <c r="E2064" t="inlineStr">
        <is>
          <t>1254</t>
        </is>
      </c>
      <c r="F2064" t="inlineStr">
        <is>
          <t>0354</t>
        </is>
      </c>
      <c r="G2064" s="10" t="inlineStr">
        <is>
          <t>龍安寺</t>
        </is>
      </c>
      <c r="H2064" s="10" t="inlineStr">
        <is>
          <t>発</t>
        </is>
      </c>
      <c r="J2064" s="10" t="inlineStr">
        <is>
          <t>営業</t>
        </is>
      </c>
      <c r="L2064" t="inlineStr">
        <is>
          <t>12:25:45</t>
        </is>
      </c>
      <c r="M2064" t="inlineStr">
        <is>
          <t>12:25:55</t>
        </is>
      </c>
    </row>
    <row r="2065" ht="15" customHeight="1" s="37">
      <c r="A2065" t="n">
        <v>19</v>
      </c>
      <c r="B2065" s="10" t="inlineStr">
        <is>
          <t>休日</t>
        </is>
      </c>
      <c r="C2065" s="10" t="inlineStr">
        <is>
          <t>北野線</t>
        </is>
      </c>
      <c r="D2065" s="10" t="inlineStr">
        <is>
          <t>上り</t>
        </is>
      </c>
      <c r="E2065" t="inlineStr">
        <is>
          <t>1254</t>
        </is>
      </c>
      <c r="F2065" t="inlineStr">
        <is>
          <t>0354</t>
        </is>
      </c>
      <c r="G2065" s="10" t="inlineStr">
        <is>
          <t>等持院</t>
        </is>
      </c>
      <c r="H2065" s="10" t="inlineStr">
        <is>
          <t>発</t>
        </is>
      </c>
      <c r="J2065" s="10" t="inlineStr">
        <is>
          <t>営業</t>
        </is>
      </c>
      <c r="L2065" t="inlineStr">
        <is>
          <t>12:26:35</t>
        </is>
      </c>
      <c r="M2065" t="inlineStr">
        <is>
          <t>12:26:55</t>
        </is>
      </c>
    </row>
    <row r="2066" ht="15" customHeight="1" s="37">
      <c r="A2066" t="n">
        <v>19</v>
      </c>
      <c r="B2066" s="10" t="inlineStr">
        <is>
          <t>休日</t>
        </is>
      </c>
      <c r="C2066" s="10" t="inlineStr">
        <is>
          <t>北野線</t>
        </is>
      </c>
      <c r="D2066" s="10" t="inlineStr">
        <is>
          <t>上り</t>
        </is>
      </c>
      <c r="E2066" t="inlineStr">
        <is>
          <t>1254</t>
        </is>
      </c>
      <c r="F2066" t="inlineStr">
        <is>
          <t>0354</t>
        </is>
      </c>
      <c r="G2066" s="10" t="inlineStr">
        <is>
          <t>北野白梅町</t>
        </is>
      </c>
      <c r="H2066" s="10" t="inlineStr">
        <is>
          <t>着</t>
        </is>
      </c>
      <c r="J2066" s="10" t="inlineStr">
        <is>
          <t>営業</t>
        </is>
      </c>
      <c r="L2066" t="inlineStr">
        <is>
          <t>12:28:15</t>
        </is>
      </c>
      <c r="Q2066" t="inlineStr">
        <is>
          <t>1</t>
        </is>
      </c>
    </row>
    <row r="2067" ht="15" customHeight="1" s="37">
      <c r="A2067" t="n">
        <v>19</v>
      </c>
      <c r="B2067" s="10" t="inlineStr">
        <is>
          <t>休日</t>
        </is>
      </c>
      <c r="C2067" s="10" t="inlineStr">
        <is>
          <t>北野線</t>
        </is>
      </c>
      <c r="D2067" s="10" t="inlineStr">
        <is>
          <t>下り</t>
        </is>
      </c>
      <c r="E2067" t="inlineStr">
        <is>
          <t>1257</t>
        </is>
      </c>
      <c r="F2067" t="inlineStr">
        <is>
          <t>0453</t>
        </is>
      </c>
      <c r="G2067" s="10" t="inlineStr">
        <is>
          <t>北野白梅町</t>
        </is>
      </c>
      <c r="H2067" s="10" t="inlineStr">
        <is>
          <t>発</t>
        </is>
      </c>
      <c r="J2067" s="10" t="inlineStr">
        <is>
          <t>営業</t>
        </is>
      </c>
      <c r="M2067" t="inlineStr">
        <is>
          <t>12:33:00</t>
        </is>
      </c>
      <c r="Q2067" t="inlineStr">
        <is>
          <t>1</t>
        </is>
      </c>
    </row>
    <row r="2068" ht="15" customHeight="1" s="37">
      <c r="A2068" t="n">
        <v>19</v>
      </c>
      <c r="B2068" s="10" t="inlineStr">
        <is>
          <t>休日</t>
        </is>
      </c>
      <c r="C2068" s="10" t="inlineStr">
        <is>
          <t>北野線</t>
        </is>
      </c>
      <c r="D2068" s="10" t="inlineStr">
        <is>
          <t>下り</t>
        </is>
      </c>
      <c r="E2068" t="inlineStr">
        <is>
          <t>1257</t>
        </is>
      </c>
      <c r="F2068" t="inlineStr">
        <is>
          <t>0453</t>
        </is>
      </c>
      <c r="G2068" s="10" t="inlineStr">
        <is>
          <t>等持院</t>
        </is>
      </c>
      <c r="H2068" s="10" t="inlineStr">
        <is>
          <t>発</t>
        </is>
      </c>
      <c r="J2068" s="10" t="inlineStr">
        <is>
          <t>営業</t>
        </is>
      </c>
      <c r="L2068" t="inlineStr">
        <is>
          <t>12:34:25</t>
        </is>
      </c>
      <c r="M2068" t="inlineStr">
        <is>
          <t>12:34:35</t>
        </is>
      </c>
    </row>
    <row r="2069" ht="15" customHeight="1" s="37">
      <c r="A2069" t="n">
        <v>19</v>
      </c>
      <c r="B2069" s="10" t="inlineStr">
        <is>
          <t>休日</t>
        </is>
      </c>
      <c r="C2069" s="10" t="inlineStr">
        <is>
          <t>北野線</t>
        </is>
      </c>
      <c r="D2069" s="10" t="inlineStr">
        <is>
          <t>下り</t>
        </is>
      </c>
      <c r="E2069" t="inlineStr">
        <is>
          <t>1257</t>
        </is>
      </c>
      <c r="F2069" t="inlineStr">
        <is>
          <t>0453</t>
        </is>
      </c>
      <c r="G2069" s="10" t="inlineStr">
        <is>
          <t>龍安寺</t>
        </is>
      </c>
      <c r="H2069" s="10" t="inlineStr">
        <is>
          <t>発</t>
        </is>
      </c>
      <c r="J2069" s="10" t="inlineStr">
        <is>
          <t>営業</t>
        </is>
      </c>
      <c r="L2069" t="inlineStr">
        <is>
          <t>12:35:25</t>
        </is>
      </c>
      <c r="M2069" t="inlineStr">
        <is>
          <t>12:35:50</t>
        </is>
      </c>
    </row>
    <row r="2070" ht="15" customHeight="1" s="37">
      <c r="A2070" t="n">
        <v>19</v>
      </c>
      <c r="B2070" s="10" t="inlineStr">
        <is>
          <t>休日</t>
        </is>
      </c>
      <c r="C2070" s="10" t="inlineStr">
        <is>
          <t>北野線</t>
        </is>
      </c>
      <c r="D2070" s="10" t="inlineStr">
        <is>
          <t>下り</t>
        </is>
      </c>
      <c r="E2070" t="inlineStr">
        <is>
          <t>1257</t>
        </is>
      </c>
      <c r="F2070" t="inlineStr">
        <is>
          <t>0453</t>
        </is>
      </c>
      <c r="G2070" s="10" t="inlineStr">
        <is>
          <t>妙心寺</t>
        </is>
      </c>
      <c r="H2070" s="10" t="inlineStr">
        <is>
          <t>発</t>
        </is>
      </c>
      <c r="J2070" s="10" t="inlineStr">
        <is>
          <t>営業</t>
        </is>
      </c>
      <c r="L2070" t="inlineStr">
        <is>
          <t>12:36:40</t>
        </is>
      </c>
      <c r="M2070" t="inlineStr">
        <is>
          <t>12:36:50</t>
        </is>
      </c>
    </row>
    <row r="2071" ht="15" customHeight="1" s="37">
      <c r="A2071" t="n">
        <v>19</v>
      </c>
      <c r="B2071" s="10" t="inlineStr">
        <is>
          <t>休日</t>
        </is>
      </c>
      <c r="C2071" s="10" t="inlineStr">
        <is>
          <t>北野線</t>
        </is>
      </c>
      <c r="D2071" s="10" t="inlineStr">
        <is>
          <t>下り</t>
        </is>
      </c>
      <c r="E2071" t="inlineStr">
        <is>
          <t>1257</t>
        </is>
      </c>
      <c r="F2071" t="inlineStr">
        <is>
          <t>0453</t>
        </is>
      </c>
      <c r="G2071" s="10" t="inlineStr">
        <is>
          <t>御室仁和寺</t>
        </is>
      </c>
      <c r="H2071" s="10" t="inlineStr">
        <is>
          <t>発</t>
        </is>
      </c>
      <c r="J2071" s="10" t="inlineStr">
        <is>
          <t>営業</t>
        </is>
      </c>
      <c r="L2071" t="inlineStr">
        <is>
          <t>12:37:50</t>
        </is>
      </c>
      <c r="M2071" t="inlineStr">
        <is>
          <t>12:38:05</t>
        </is>
      </c>
    </row>
    <row r="2072" ht="15" customHeight="1" s="37">
      <c r="A2072" t="n">
        <v>19</v>
      </c>
      <c r="B2072" s="10" t="inlineStr">
        <is>
          <t>休日</t>
        </is>
      </c>
      <c r="C2072" s="10" t="inlineStr">
        <is>
          <t>北野線</t>
        </is>
      </c>
      <c r="D2072" s="10" t="inlineStr">
        <is>
          <t>下り</t>
        </is>
      </c>
      <c r="E2072" t="inlineStr">
        <is>
          <t>1257</t>
        </is>
      </c>
      <c r="F2072" t="inlineStr">
        <is>
          <t>0453</t>
        </is>
      </c>
      <c r="G2072" s="10" t="inlineStr">
        <is>
          <t>宇多野</t>
        </is>
      </c>
      <c r="H2072" s="10" t="inlineStr">
        <is>
          <t>発</t>
        </is>
      </c>
      <c r="J2072" s="10" t="inlineStr">
        <is>
          <t>営業</t>
        </is>
      </c>
      <c r="L2072" t="inlineStr">
        <is>
          <t>12:39:05</t>
        </is>
      </c>
      <c r="M2072" t="inlineStr">
        <is>
          <t>12:39:15</t>
        </is>
      </c>
    </row>
    <row r="2073" ht="15" customHeight="1" s="37">
      <c r="A2073" t="n">
        <v>19</v>
      </c>
      <c r="B2073" s="10" t="inlineStr">
        <is>
          <t>休日</t>
        </is>
      </c>
      <c r="C2073" s="10" t="inlineStr">
        <is>
          <t>北野線</t>
        </is>
      </c>
      <c r="D2073" s="10" t="inlineStr">
        <is>
          <t>下り</t>
        </is>
      </c>
      <c r="E2073" t="inlineStr">
        <is>
          <t>1257</t>
        </is>
      </c>
      <c r="F2073" t="inlineStr">
        <is>
          <t>0453</t>
        </is>
      </c>
      <c r="G2073" s="10" t="inlineStr">
        <is>
          <t>鳴滝</t>
        </is>
      </c>
      <c r="H2073" s="10" t="inlineStr">
        <is>
          <t>発</t>
        </is>
      </c>
      <c r="J2073" s="10" t="inlineStr">
        <is>
          <t>営業</t>
        </is>
      </c>
      <c r="L2073" t="inlineStr">
        <is>
          <t>12:40:35</t>
        </is>
      </c>
      <c r="M2073" t="inlineStr">
        <is>
          <t>12:40:45</t>
        </is>
      </c>
    </row>
    <row r="2074" ht="15" customHeight="1" s="37">
      <c r="A2074" t="n">
        <v>19</v>
      </c>
      <c r="B2074" s="10" t="inlineStr">
        <is>
          <t>休日</t>
        </is>
      </c>
      <c r="C2074" s="10" t="inlineStr">
        <is>
          <t>北野線</t>
        </is>
      </c>
      <c r="D2074" s="10" t="inlineStr">
        <is>
          <t>下り</t>
        </is>
      </c>
      <c r="E2074" t="inlineStr">
        <is>
          <t>1257</t>
        </is>
      </c>
      <c r="F2074" t="inlineStr">
        <is>
          <t>0453</t>
        </is>
      </c>
      <c r="G2074" s="10" t="inlineStr">
        <is>
          <t>常盤</t>
        </is>
      </c>
      <c r="H2074" s="10" t="inlineStr">
        <is>
          <t>発</t>
        </is>
      </c>
      <c r="J2074" s="10" t="inlineStr">
        <is>
          <t>営業</t>
        </is>
      </c>
      <c r="L2074" t="inlineStr">
        <is>
          <t>12:41:35</t>
        </is>
      </c>
      <c r="M2074" t="inlineStr">
        <is>
          <t>12:41:55</t>
        </is>
      </c>
    </row>
    <row r="2075" ht="15" customHeight="1" s="37">
      <c r="A2075" t="n">
        <v>19</v>
      </c>
      <c r="B2075" s="10" t="inlineStr">
        <is>
          <t>休日</t>
        </is>
      </c>
      <c r="C2075" s="10" t="inlineStr">
        <is>
          <t>北野線</t>
        </is>
      </c>
      <c r="D2075" s="10" t="inlineStr">
        <is>
          <t>下り</t>
        </is>
      </c>
      <c r="E2075" t="inlineStr">
        <is>
          <t>1257</t>
        </is>
      </c>
      <c r="F2075" t="inlineStr">
        <is>
          <t>0453</t>
        </is>
      </c>
      <c r="G2075" s="10" t="inlineStr">
        <is>
          <t>撮影所前</t>
        </is>
      </c>
      <c r="H2075" s="10" t="inlineStr">
        <is>
          <t>発</t>
        </is>
      </c>
      <c r="J2075" s="10" t="inlineStr">
        <is>
          <t>営業</t>
        </is>
      </c>
      <c r="L2075" t="inlineStr">
        <is>
          <t>12:43:15</t>
        </is>
      </c>
      <c r="M2075" t="inlineStr">
        <is>
          <t>12:43:30</t>
        </is>
      </c>
    </row>
    <row r="2076" ht="15" customHeight="1" s="37">
      <c r="A2076" t="n">
        <v>19</v>
      </c>
      <c r="B2076" s="10" t="inlineStr">
        <is>
          <t>休日</t>
        </is>
      </c>
      <c r="C2076" s="10" t="inlineStr">
        <is>
          <t>北野線</t>
        </is>
      </c>
      <c r="D2076" s="10" t="inlineStr">
        <is>
          <t>下り</t>
        </is>
      </c>
      <c r="E2076" t="inlineStr">
        <is>
          <t>1257</t>
        </is>
      </c>
      <c r="F2076" t="inlineStr">
        <is>
          <t>0453</t>
        </is>
      </c>
      <c r="G2076" s="10" t="inlineStr">
        <is>
          <t>帷子ノ辻</t>
        </is>
      </c>
      <c r="H2076" s="10" t="inlineStr">
        <is>
          <t>着</t>
        </is>
      </c>
      <c r="J2076" s="10" t="inlineStr">
        <is>
          <t>営業</t>
        </is>
      </c>
      <c r="L2076" t="inlineStr">
        <is>
          <t>12:44:25</t>
        </is>
      </c>
      <c r="Q2076" t="inlineStr">
        <is>
          <t>3</t>
        </is>
      </c>
    </row>
    <row r="2077" ht="15" customHeight="1" s="37">
      <c r="A2077" t="n">
        <v>19</v>
      </c>
      <c r="B2077" s="10" t="inlineStr">
        <is>
          <t>休日</t>
        </is>
      </c>
      <c r="C2077" s="10" t="inlineStr">
        <is>
          <t>北野線</t>
        </is>
      </c>
      <c r="D2077" s="10" t="inlineStr">
        <is>
          <t>上り</t>
        </is>
      </c>
      <c r="E2077" t="inlineStr">
        <is>
          <t>1262</t>
        </is>
      </c>
      <c r="F2077" t="inlineStr">
        <is>
          <t>0354</t>
        </is>
      </c>
      <c r="G2077" s="10" t="inlineStr">
        <is>
          <t>帷子ノ辻</t>
        </is>
      </c>
      <c r="H2077" s="10" t="inlineStr">
        <is>
          <t>発</t>
        </is>
      </c>
      <c r="J2077" s="10" t="inlineStr">
        <is>
          <t>営業</t>
        </is>
      </c>
      <c r="M2077" t="inlineStr">
        <is>
          <t>12:56:25</t>
        </is>
      </c>
      <c r="Q2077" t="inlineStr">
        <is>
          <t>3</t>
        </is>
      </c>
    </row>
    <row r="2078" ht="15" customHeight="1" s="37">
      <c r="A2078" t="n">
        <v>19</v>
      </c>
      <c r="B2078" s="10" t="inlineStr">
        <is>
          <t>休日</t>
        </is>
      </c>
      <c r="C2078" s="10" t="inlineStr">
        <is>
          <t>北野線</t>
        </is>
      </c>
      <c r="D2078" s="10" t="inlineStr">
        <is>
          <t>上り</t>
        </is>
      </c>
      <c r="E2078" t="inlineStr">
        <is>
          <t>1262</t>
        </is>
      </c>
      <c r="F2078" t="inlineStr">
        <is>
          <t>0354</t>
        </is>
      </c>
      <c r="G2078" s="10" t="inlineStr">
        <is>
          <t>撮影所前</t>
        </is>
      </c>
      <c r="H2078" s="10" t="inlineStr">
        <is>
          <t>発</t>
        </is>
      </c>
      <c r="J2078" s="10" t="inlineStr">
        <is>
          <t>営業</t>
        </is>
      </c>
      <c r="L2078" t="inlineStr">
        <is>
          <t>12:57:25</t>
        </is>
      </c>
      <c r="M2078" t="inlineStr">
        <is>
          <t>12:57:40</t>
        </is>
      </c>
    </row>
    <row r="2079" ht="15" customHeight="1" s="37">
      <c r="A2079" t="n">
        <v>19</v>
      </c>
      <c r="B2079" s="10" t="inlineStr">
        <is>
          <t>休日</t>
        </is>
      </c>
      <c r="C2079" s="10" t="inlineStr">
        <is>
          <t>北野線</t>
        </is>
      </c>
      <c r="D2079" s="10" t="inlineStr">
        <is>
          <t>上り</t>
        </is>
      </c>
      <c r="E2079" t="inlineStr">
        <is>
          <t>1262</t>
        </is>
      </c>
      <c r="F2079" t="inlineStr">
        <is>
          <t>0354</t>
        </is>
      </c>
      <c r="G2079" s="10" t="inlineStr">
        <is>
          <t>常盤</t>
        </is>
      </c>
      <c r="H2079" s="10" t="inlineStr">
        <is>
          <t>発</t>
        </is>
      </c>
      <c r="J2079" s="10" t="inlineStr">
        <is>
          <t>営業</t>
        </is>
      </c>
      <c r="L2079" t="inlineStr">
        <is>
          <t>12:59:00</t>
        </is>
      </c>
      <c r="M2079" t="inlineStr">
        <is>
          <t>12:59:20</t>
        </is>
      </c>
    </row>
    <row r="2080" ht="15" customHeight="1" s="37">
      <c r="A2080" t="n">
        <v>19</v>
      </c>
      <c r="B2080" s="10" t="inlineStr">
        <is>
          <t>休日</t>
        </is>
      </c>
      <c r="C2080" s="10" t="inlineStr">
        <is>
          <t>北野線</t>
        </is>
      </c>
      <c r="D2080" s="10" t="inlineStr">
        <is>
          <t>上り</t>
        </is>
      </c>
      <c r="E2080" t="inlineStr">
        <is>
          <t>1262</t>
        </is>
      </c>
      <c r="F2080" t="inlineStr">
        <is>
          <t>0354</t>
        </is>
      </c>
      <c r="G2080" s="10" t="inlineStr">
        <is>
          <t>鳴滝</t>
        </is>
      </c>
      <c r="H2080" s="10" t="inlineStr">
        <is>
          <t>発</t>
        </is>
      </c>
      <c r="J2080" s="10" t="inlineStr">
        <is>
          <t>営業</t>
        </is>
      </c>
      <c r="L2080" t="inlineStr">
        <is>
          <t>13:00:20</t>
        </is>
      </c>
      <c r="M2080" t="inlineStr">
        <is>
          <t>13:00:40</t>
        </is>
      </c>
    </row>
    <row r="2081" ht="15" customHeight="1" s="37">
      <c r="A2081" t="n">
        <v>19</v>
      </c>
      <c r="B2081" s="10" t="inlineStr">
        <is>
          <t>休日</t>
        </is>
      </c>
      <c r="C2081" s="10" t="inlineStr">
        <is>
          <t>北野線</t>
        </is>
      </c>
      <c r="D2081" s="10" t="inlineStr">
        <is>
          <t>上り</t>
        </is>
      </c>
      <c r="E2081" t="inlineStr">
        <is>
          <t>1262</t>
        </is>
      </c>
      <c r="F2081" t="inlineStr">
        <is>
          <t>0354</t>
        </is>
      </c>
      <c r="G2081" s="10" t="inlineStr">
        <is>
          <t>宇多野</t>
        </is>
      </c>
      <c r="H2081" s="10" t="inlineStr">
        <is>
          <t>発</t>
        </is>
      </c>
      <c r="J2081" s="10" t="inlineStr">
        <is>
          <t>営業</t>
        </is>
      </c>
      <c r="L2081" t="inlineStr">
        <is>
          <t>13:02:00</t>
        </is>
      </c>
      <c r="M2081" t="inlineStr">
        <is>
          <t>13:02:15</t>
        </is>
      </c>
    </row>
    <row r="2082" ht="15" customHeight="1" s="37">
      <c r="A2082" t="n">
        <v>19</v>
      </c>
      <c r="B2082" s="10" t="inlineStr">
        <is>
          <t>休日</t>
        </is>
      </c>
      <c r="C2082" s="10" t="inlineStr">
        <is>
          <t>北野線</t>
        </is>
      </c>
      <c r="D2082" s="10" t="inlineStr">
        <is>
          <t>上り</t>
        </is>
      </c>
      <c r="E2082" t="inlineStr">
        <is>
          <t>1262</t>
        </is>
      </c>
      <c r="F2082" t="inlineStr">
        <is>
          <t>0354</t>
        </is>
      </c>
      <c r="G2082" s="10" t="inlineStr">
        <is>
          <t>御室仁和寺</t>
        </is>
      </c>
      <c r="H2082" s="10" t="inlineStr">
        <is>
          <t>発</t>
        </is>
      </c>
      <c r="J2082" s="10" t="inlineStr">
        <is>
          <t>営業</t>
        </is>
      </c>
      <c r="L2082" t="inlineStr">
        <is>
          <t>13:03:15</t>
        </is>
      </c>
      <c r="M2082" t="inlineStr">
        <is>
          <t>13:03:35</t>
        </is>
      </c>
    </row>
    <row r="2083" ht="15" customHeight="1" s="37">
      <c r="A2083" t="n">
        <v>19</v>
      </c>
      <c r="B2083" s="10" t="inlineStr">
        <is>
          <t>休日</t>
        </is>
      </c>
      <c r="C2083" s="10" t="inlineStr">
        <is>
          <t>北野線</t>
        </is>
      </c>
      <c r="D2083" s="10" t="inlineStr">
        <is>
          <t>上り</t>
        </is>
      </c>
      <c r="E2083" t="inlineStr">
        <is>
          <t>1262</t>
        </is>
      </c>
      <c r="F2083" t="inlineStr">
        <is>
          <t>0354</t>
        </is>
      </c>
      <c r="G2083" s="10" t="inlineStr">
        <is>
          <t>妙心寺</t>
        </is>
      </c>
      <c r="H2083" s="10" t="inlineStr">
        <is>
          <t>発</t>
        </is>
      </c>
      <c r="J2083" s="10" t="inlineStr">
        <is>
          <t>営業</t>
        </is>
      </c>
      <c r="L2083" t="inlineStr">
        <is>
          <t>13:04:35</t>
        </is>
      </c>
      <c r="M2083" t="inlineStr">
        <is>
          <t>13:04:50</t>
        </is>
      </c>
    </row>
    <row r="2084" ht="15" customHeight="1" s="37">
      <c r="A2084" t="n">
        <v>19</v>
      </c>
      <c r="B2084" s="10" t="inlineStr">
        <is>
          <t>休日</t>
        </is>
      </c>
      <c r="C2084" s="10" t="inlineStr">
        <is>
          <t>北野線</t>
        </is>
      </c>
      <c r="D2084" s="10" t="inlineStr">
        <is>
          <t>上り</t>
        </is>
      </c>
      <c r="E2084" t="inlineStr">
        <is>
          <t>1262</t>
        </is>
      </c>
      <c r="F2084" t="inlineStr">
        <is>
          <t>0354</t>
        </is>
      </c>
      <c r="G2084" s="10" t="inlineStr">
        <is>
          <t>龍安寺</t>
        </is>
      </c>
      <c r="H2084" s="10" t="inlineStr">
        <is>
          <t>発</t>
        </is>
      </c>
      <c r="J2084" s="10" t="inlineStr">
        <is>
          <t>営業</t>
        </is>
      </c>
      <c r="L2084" t="inlineStr">
        <is>
          <t>13:05:45</t>
        </is>
      </c>
      <c r="M2084" t="inlineStr">
        <is>
          <t>13:05:55</t>
        </is>
      </c>
    </row>
    <row r="2085" ht="15" customHeight="1" s="37">
      <c r="A2085" t="n">
        <v>19</v>
      </c>
      <c r="B2085" s="10" t="inlineStr">
        <is>
          <t>休日</t>
        </is>
      </c>
      <c r="C2085" s="10" t="inlineStr">
        <is>
          <t>北野線</t>
        </is>
      </c>
      <c r="D2085" s="10" t="inlineStr">
        <is>
          <t>上り</t>
        </is>
      </c>
      <c r="E2085" t="inlineStr">
        <is>
          <t>1262</t>
        </is>
      </c>
      <c r="F2085" t="inlineStr">
        <is>
          <t>0354</t>
        </is>
      </c>
      <c r="G2085" s="10" t="inlineStr">
        <is>
          <t>等持院</t>
        </is>
      </c>
      <c r="H2085" s="10" t="inlineStr">
        <is>
          <t>発</t>
        </is>
      </c>
      <c r="J2085" s="10" t="inlineStr">
        <is>
          <t>営業</t>
        </is>
      </c>
      <c r="L2085" t="inlineStr">
        <is>
          <t>13:06:35</t>
        </is>
      </c>
      <c r="M2085" t="inlineStr">
        <is>
          <t>13:06:55</t>
        </is>
      </c>
    </row>
    <row r="2086" ht="15" customHeight="1" s="37">
      <c r="A2086" t="n">
        <v>19</v>
      </c>
      <c r="B2086" s="10" t="inlineStr">
        <is>
          <t>休日</t>
        </is>
      </c>
      <c r="C2086" s="10" t="inlineStr">
        <is>
          <t>北野線</t>
        </is>
      </c>
      <c r="D2086" s="10" t="inlineStr">
        <is>
          <t>上り</t>
        </is>
      </c>
      <c r="E2086" t="inlineStr">
        <is>
          <t>1262</t>
        </is>
      </c>
      <c r="F2086" t="inlineStr">
        <is>
          <t>0354</t>
        </is>
      </c>
      <c r="G2086" s="10" t="inlineStr">
        <is>
          <t>北野白梅町</t>
        </is>
      </c>
      <c r="H2086" s="10" t="inlineStr">
        <is>
          <t>着</t>
        </is>
      </c>
      <c r="J2086" s="10" t="inlineStr">
        <is>
          <t>営業</t>
        </is>
      </c>
      <c r="L2086" t="inlineStr">
        <is>
          <t>13:08:15</t>
        </is>
      </c>
      <c r="Q2086" t="inlineStr">
        <is>
          <t>1</t>
        </is>
      </c>
    </row>
    <row r="2087" ht="15" customHeight="1" s="37">
      <c r="A2087" t="n">
        <v>19</v>
      </c>
      <c r="B2087" s="10" t="inlineStr">
        <is>
          <t>休日</t>
        </is>
      </c>
      <c r="C2087" s="10" t="inlineStr">
        <is>
          <t>北野線</t>
        </is>
      </c>
      <c r="D2087" s="10" t="inlineStr">
        <is>
          <t>下り</t>
        </is>
      </c>
      <c r="E2087" t="inlineStr">
        <is>
          <t>1353</t>
        </is>
      </c>
      <c r="F2087" t="inlineStr">
        <is>
          <t>0453</t>
        </is>
      </c>
      <c r="G2087" s="10" t="inlineStr">
        <is>
          <t>北野白梅町</t>
        </is>
      </c>
      <c r="H2087" s="10" t="inlineStr">
        <is>
          <t>発</t>
        </is>
      </c>
      <c r="J2087" s="10" t="inlineStr">
        <is>
          <t>営業</t>
        </is>
      </c>
      <c r="M2087" t="inlineStr">
        <is>
          <t>13:13:00</t>
        </is>
      </c>
      <c r="Q2087" t="inlineStr">
        <is>
          <t>1</t>
        </is>
      </c>
    </row>
    <row r="2088" ht="15" customHeight="1" s="37">
      <c r="A2088" t="n">
        <v>19</v>
      </c>
      <c r="B2088" s="10" t="inlineStr">
        <is>
          <t>休日</t>
        </is>
      </c>
      <c r="C2088" s="10" t="inlineStr">
        <is>
          <t>北野線</t>
        </is>
      </c>
      <c r="D2088" s="10" t="inlineStr">
        <is>
          <t>下り</t>
        </is>
      </c>
      <c r="E2088" t="inlineStr">
        <is>
          <t>1353</t>
        </is>
      </c>
      <c r="F2088" t="inlineStr">
        <is>
          <t>0453</t>
        </is>
      </c>
      <c r="G2088" s="10" t="inlineStr">
        <is>
          <t>等持院</t>
        </is>
      </c>
      <c r="H2088" s="10" t="inlineStr">
        <is>
          <t>発</t>
        </is>
      </c>
      <c r="J2088" s="10" t="inlineStr">
        <is>
          <t>営業</t>
        </is>
      </c>
      <c r="L2088" t="inlineStr">
        <is>
          <t>13:14:25</t>
        </is>
      </c>
      <c r="M2088" t="inlineStr">
        <is>
          <t>13:14:35</t>
        </is>
      </c>
    </row>
    <row r="2089" ht="15" customHeight="1" s="37">
      <c r="A2089" t="n">
        <v>19</v>
      </c>
      <c r="B2089" s="10" t="inlineStr">
        <is>
          <t>休日</t>
        </is>
      </c>
      <c r="C2089" s="10" t="inlineStr">
        <is>
          <t>北野線</t>
        </is>
      </c>
      <c r="D2089" s="10" t="inlineStr">
        <is>
          <t>下り</t>
        </is>
      </c>
      <c r="E2089" t="inlineStr">
        <is>
          <t>1353</t>
        </is>
      </c>
      <c r="F2089" t="inlineStr">
        <is>
          <t>0453</t>
        </is>
      </c>
      <c r="G2089" s="10" t="inlineStr">
        <is>
          <t>龍安寺</t>
        </is>
      </c>
      <c r="H2089" s="10" t="inlineStr">
        <is>
          <t>発</t>
        </is>
      </c>
      <c r="J2089" s="10" t="inlineStr">
        <is>
          <t>営業</t>
        </is>
      </c>
      <c r="L2089" t="inlineStr">
        <is>
          <t>13:15:25</t>
        </is>
      </c>
      <c r="M2089" t="inlineStr">
        <is>
          <t>13:15:50</t>
        </is>
      </c>
    </row>
    <row r="2090" ht="15" customHeight="1" s="37">
      <c r="A2090" t="n">
        <v>19</v>
      </c>
      <c r="B2090" s="10" t="inlineStr">
        <is>
          <t>休日</t>
        </is>
      </c>
      <c r="C2090" s="10" t="inlineStr">
        <is>
          <t>北野線</t>
        </is>
      </c>
      <c r="D2090" s="10" t="inlineStr">
        <is>
          <t>下り</t>
        </is>
      </c>
      <c r="E2090" t="inlineStr">
        <is>
          <t>1353</t>
        </is>
      </c>
      <c r="F2090" t="inlineStr">
        <is>
          <t>0453</t>
        </is>
      </c>
      <c r="G2090" s="10" t="inlineStr">
        <is>
          <t>妙心寺</t>
        </is>
      </c>
      <c r="H2090" s="10" t="inlineStr">
        <is>
          <t>発</t>
        </is>
      </c>
      <c r="J2090" s="10" t="inlineStr">
        <is>
          <t>営業</t>
        </is>
      </c>
      <c r="L2090" t="inlineStr">
        <is>
          <t>13:16:40</t>
        </is>
      </c>
      <c r="M2090" t="inlineStr">
        <is>
          <t>13:16:50</t>
        </is>
      </c>
    </row>
    <row r="2091" ht="15" customHeight="1" s="37">
      <c r="A2091" t="n">
        <v>19</v>
      </c>
      <c r="B2091" s="10" t="inlineStr">
        <is>
          <t>休日</t>
        </is>
      </c>
      <c r="C2091" s="10" t="inlineStr">
        <is>
          <t>北野線</t>
        </is>
      </c>
      <c r="D2091" s="10" t="inlineStr">
        <is>
          <t>下り</t>
        </is>
      </c>
      <c r="E2091" t="inlineStr">
        <is>
          <t>1353</t>
        </is>
      </c>
      <c r="F2091" t="inlineStr">
        <is>
          <t>0453</t>
        </is>
      </c>
      <c r="G2091" s="10" t="inlineStr">
        <is>
          <t>御室仁和寺</t>
        </is>
      </c>
      <c r="H2091" s="10" t="inlineStr">
        <is>
          <t>発</t>
        </is>
      </c>
      <c r="J2091" s="10" t="inlineStr">
        <is>
          <t>営業</t>
        </is>
      </c>
      <c r="L2091" t="inlineStr">
        <is>
          <t>13:17:50</t>
        </is>
      </c>
      <c r="M2091" t="inlineStr">
        <is>
          <t>13:18:05</t>
        </is>
      </c>
    </row>
    <row r="2092" ht="15" customHeight="1" s="37">
      <c r="A2092" t="n">
        <v>19</v>
      </c>
      <c r="B2092" s="10" t="inlineStr">
        <is>
          <t>休日</t>
        </is>
      </c>
      <c r="C2092" s="10" t="inlineStr">
        <is>
          <t>北野線</t>
        </is>
      </c>
      <c r="D2092" s="10" t="inlineStr">
        <is>
          <t>下り</t>
        </is>
      </c>
      <c r="E2092" t="inlineStr">
        <is>
          <t>1353</t>
        </is>
      </c>
      <c r="F2092" t="inlineStr">
        <is>
          <t>0453</t>
        </is>
      </c>
      <c r="G2092" s="10" t="inlineStr">
        <is>
          <t>宇多野</t>
        </is>
      </c>
      <c r="H2092" s="10" t="inlineStr">
        <is>
          <t>発</t>
        </is>
      </c>
      <c r="J2092" s="10" t="inlineStr">
        <is>
          <t>営業</t>
        </is>
      </c>
      <c r="L2092" t="inlineStr">
        <is>
          <t>13:19:05</t>
        </is>
      </c>
      <c r="M2092" t="inlineStr">
        <is>
          <t>13:19:15</t>
        </is>
      </c>
    </row>
    <row r="2093" ht="15" customHeight="1" s="37">
      <c r="A2093" t="n">
        <v>19</v>
      </c>
      <c r="B2093" s="10" t="inlineStr">
        <is>
          <t>休日</t>
        </is>
      </c>
      <c r="C2093" s="10" t="inlineStr">
        <is>
          <t>北野線</t>
        </is>
      </c>
      <c r="D2093" s="10" t="inlineStr">
        <is>
          <t>下り</t>
        </is>
      </c>
      <c r="E2093" t="inlineStr">
        <is>
          <t>1353</t>
        </is>
      </c>
      <c r="F2093" t="inlineStr">
        <is>
          <t>0453</t>
        </is>
      </c>
      <c r="G2093" s="10" t="inlineStr">
        <is>
          <t>鳴滝</t>
        </is>
      </c>
      <c r="H2093" s="10" t="inlineStr">
        <is>
          <t>発</t>
        </is>
      </c>
      <c r="J2093" s="10" t="inlineStr">
        <is>
          <t>営業</t>
        </is>
      </c>
      <c r="L2093" t="inlineStr">
        <is>
          <t>13:20:35</t>
        </is>
      </c>
      <c r="M2093" t="inlineStr">
        <is>
          <t>13:20:45</t>
        </is>
      </c>
    </row>
    <row r="2094" ht="15" customHeight="1" s="37">
      <c r="A2094" t="n">
        <v>19</v>
      </c>
      <c r="B2094" s="10" t="inlineStr">
        <is>
          <t>休日</t>
        </is>
      </c>
      <c r="C2094" s="10" t="inlineStr">
        <is>
          <t>北野線</t>
        </is>
      </c>
      <c r="D2094" s="10" t="inlineStr">
        <is>
          <t>下り</t>
        </is>
      </c>
      <c r="E2094" t="inlineStr">
        <is>
          <t>1353</t>
        </is>
      </c>
      <c r="F2094" t="inlineStr">
        <is>
          <t>0453</t>
        </is>
      </c>
      <c r="G2094" s="10" t="inlineStr">
        <is>
          <t>常盤</t>
        </is>
      </c>
      <c r="H2094" s="10" t="inlineStr">
        <is>
          <t>発</t>
        </is>
      </c>
      <c r="J2094" s="10" t="inlineStr">
        <is>
          <t>営業</t>
        </is>
      </c>
      <c r="L2094" t="inlineStr">
        <is>
          <t>13:21:35</t>
        </is>
      </c>
      <c r="M2094" t="inlineStr">
        <is>
          <t>13:21:55</t>
        </is>
      </c>
    </row>
    <row r="2095" ht="15" customHeight="1" s="37">
      <c r="A2095" t="n">
        <v>19</v>
      </c>
      <c r="B2095" s="10" t="inlineStr">
        <is>
          <t>休日</t>
        </is>
      </c>
      <c r="C2095" s="10" t="inlineStr">
        <is>
          <t>北野線</t>
        </is>
      </c>
      <c r="D2095" s="10" t="inlineStr">
        <is>
          <t>下り</t>
        </is>
      </c>
      <c r="E2095" t="inlineStr">
        <is>
          <t>1353</t>
        </is>
      </c>
      <c r="F2095" t="inlineStr">
        <is>
          <t>0453</t>
        </is>
      </c>
      <c r="G2095" s="10" t="inlineStr">
        <is>
          <t>撮影所前</t>
        </is>
      </c>
      <c r="H2095" s="10" t="inlineStr">
        <is>
          <t>発</t>
        </is>
      </c>
      <c r="J2095" s="10" t="inlineStr">
        <is>
          <t>営業</t>
        </is>
      </c>
      <c r="L2095" t="inlineStr">
        <is>
          <t>13:23:15</t>
        </is>
      </c>
      <c r="M2095" t="inlineStr">
        <is>
          <t>13:23:30</t>
        </is>
      </c>
    </row>
    <row r="2096" ht="15" customHeight="1" s="37">
      <c r="A2096" t="n">
        <v>19</v>
      </c>
      <c r="B2096" s="10" t="inlineStr">
        <is>
          <t>休日</t>
        </is>
      </c>
      <c r="C2096" s="10" t="inlineStr">
        <is>
          <t>北野線</t>
        </is>
      </c>
      <c r="D2096" s="10" t="inlineStr">
        <is>
          <t>下り</t>
        </is>
      </c>
      <c r="E2096" t="inlineStr">
        <is>
          <t>1353</t>
        </is>
      </c>
      <c r="F2096" t="inlineStr">
        <is>
          <t>0453</t>
        </is>
      </c>
      <c r="G2096" s="10" t="inlineStr">
        <is>
          <t>帷子ノ辻</t>
        </is>
      </c>
      <c r="H2096" s="10" t="inlineStr">
        <is>
          <t>着</t>
        </is>
      </c>
      <c r="J2096" s="10" t="inlineStr">
        <is>
          <t>営業</t>
        </is>
      </c>
      <c r="L2096" t="inlineStr">
        <is>
          <t>13:24:25</t>
        </is>
      </c>
      <c r="Q2096" t="inlineStr">
        <is>
          <t>3</t>
        </is>
      </c>
    </row>
    <row r="2097" ht="15" customHeight="1" s="37">
      <c r="A2097" t="n">
        <v>19</v>
      </c>
      <c r="B2097" s="10" t="inlineStr">
        <is>
          <t>休日</t>
        </is>
      </c>
      <c r="C2097" s="10" t="inlineStr">
        <is>
          <t>北野線</t>
        </is>
      </c>
      <c r="D2097" s="10" t="inlineStr">
        <is>
          <t>上り</t>
        </is>
      </c>
      <c r="E2097" t="inlineStr">
        <is>
          <t>1358</t>
        </is>
      </c>
      <c r="F2097" t="inlineStr">
        <is>
          <t>0354</t>
        </is>
      </c>
      <c r="G2097" s="10" t="inlineStr">
        <is>
          <t>帷子ノ辻</t>
        </is>
      </c>
      <c r="H2097" s="10" t="inlineStr">
        <is>
          <t>発</t>
        </is>
      </c>
      <c r="J2097" s="10" t="inlineStr">
        <is>
          <t>営業</t>
        </is>
      </c>
      <c r="M2097" t="inlineStr">
        <is>
          <t>13:36:25</t>
        </is>
      </c>
      <c r="Q2097" t="inlineStr">
        <is>
          <t>3</t>
        </is>
      </c>
    </row>
    <row r="2098" ht="15" customHeight="1" s="37">
      <c r="A2098" t="n">
        <v>19</v>
      </c>
      <c r="B2098" s="10" t="inlineStr">
        <is>
          <t>休日</t>
        </is>
      </c>
      <c r="C2098" s="10" t="inlineStr">
        <is>
          <t>北野線</t>
        </is>
      </c>
      <c r="D2098" s="10" t="inlineStr">
        <is>
          <t>上り</t>
        </is>
      </c>
      <c r="E2098" t="inlineStr">
        <is>
          <t>1358</t>
        </is>
      </c>
      <c r="F2098" t="inlineStr">
        <is>
          <t>0354</t>
        </is>
      </c>
      <c r="G2098" s="10" t="inlineStr">
        <is>
          <t>撮影所前</t>
        </is>
      </c>
      <c r="H2098" s="10" t="inlineStr">
        <is>
          <t>発</t>
        </is>
      </c>
      <c r="J2098" s="10" t="inlineStr">
        <is>
          <t>営業</t>
        </is>
      </c>
      <c r="L2098" t="inlineStr">
        <is>
          <t>13:37:25</t>
        </is>
      </c>
      <c r="M2098" t="inlineStr">
        <is>
          <t>13:37:40</t>
        </is>
      </c>
    </row>
    <row r="2099" ht="15" customHeight="1" s="37">
      <c r="A2099" t="n">
        <v>19</v>
      </c>
      <c r="B2099" s="10" t="inlineStr">
        <is>
          <t>休日</t>
        </is>
      </c>
      <c r="C2099" s="10" t="inlineStr">
        <is>
          <t>北野線</t>
        </is>
      </c>
      <c r="D2099" s="10" t="inlineStr">
        <is>
          <t>上り</t>
        </is>
      </c>
      <c r="E2099" t="inlineStr">
        <is>
          <t>1358</t>
        </is>
      </c>
      <c r="F2099" t="inlineStr">
        <is>
          <t>0354</t>
        </is>
      </c>
      <c r="G2099" s="10" t="inlineStr">
        <is>
          <t>常盤</t>
        </is>
      </c>
      <c r="H2099" s="10" t="inlineStr">
        <is>
          <t>発</t>
        </is>
      </c>
      <c r="J2099" s="10" t="inlineStr">
        <is>
          <t>営業</t>
        </is>
      </c>
      <c r="L2099" t="inlineStr">
        <is>
          <t>13:39:00</t>
        </is>
      </c>
      <c r="M2099" t="inlineStr">
        <is>
          <t>13:39:20</t>
        </is>
      </c>
    </row>
    <row r="2100" ht="15" customHeight="1" s="37">
      <c r="A2100" t="n">
        <v>19</v>
      </c>
      <c r="B2100" s="10" t="inlineStr">
        <is>
          <t>休日</t>
        </is>
      </c>
      <c r="C2100" s="10" t="inlineStr">
        <is>
          <t>北野線</t>
        </is>
      </c>
      <c r="D2100" s="10" t="inlineStr">
        <is>
          <t>上り</t>
        </is>
      </c>
      <c r="E2100" t="inlineStr">
        <is>
          <t>1358</t>
        </is>
      </c>
      <c r="F2100" t="inlineStr">
        <is>
          <t>0354</t>
        </is>
      </c>
      <c r="G2100" s="10" t="inlineStr">
        <is>
          <t>鳴滝</t>
        </is>
      </c>
      <c r="H2100" s="10" t="inlineStr">
        <is>
          <t>発</t>
        </is>
      </c>
      <c r="J2100" s="10" t="inlineStr">
        <is>
          <t>営業</t>
        </is>
      </c>
      <c r="L2100" t="inlineStr">
        <is>
          <t>13:40:20</t>
        </is>
      </c>
      <c r="M2100" t="inlineStr">
        <is>
          <t>13:40:40</t>
        </is>
      </c>
    </row>
    <row r="2101" ht="15" customHeight="1" s="37">
      <c r="A2101" t="n">
        <v>19</v>
      </c>
      <c r="B2101" s="10" t="inlineStr">
        <is>
          <t>休日</t>
        </is>
      </c>
      <c r="C2101" s="10" t="inlineStr">
        <is>
          <t>北野線</t>
        </is>
      </c>
      <c r="D2101" s="10" t="inlineStr">
        <is>
          <t>上り</t>
        </is>
      </c>
      <c r="E2101" t="inlineStr">
        <is>
          <t>1358</t>
        </is>
      </c>
      <c r="F2101" t="inlineStr">
        <is>
          <t>0354</t>
        </is>
      </c>
      <c r="G2101" s="10" t="inlineStr">
        <is>
          <t>宇多野</t>
        </is>
      </c>
      <c r="H2101" s="10" t="inlineStr">
        <is>
          <t>発</t>
        </is>
      </c>
      <c r="J2101" s="10" t="inlineStr">
        <is>
          <t>営業</t>
        </is>
      </c>
      <c r="L2101" t="inlineStr">
        <is>
          <t>13:42:00</t>
        </is>
      </c>
      <c r="M2101" t="inlineStr">
        <is>
          <t>13:42:15</t>
        </is>
      </c>
    </row>
    <row r="2102" ht="15" customHeight="1" s="37">
      <c r="A2102" t="n">
        <v>19</v>
      </c>
      <c r="B2102" s="10" t="inlineStr">
        <is>
          <t>休日</t>
        </is>
      </c>
      <c r="C2102" s="10" t="inlineStr">
        <is>
          <t>北野線</t>
        </is>
      </c>
      <c r="D2102" s="10" t="inlineStr">
        <is>
          <t>上り</t>
        </is>
      </c>
      <c r="E2102" t="inlineStr">
        <is>
          <t>1358</t>
        </is>
      </c>
      <c r="F2102" t="inlineStr">
        <is>
          <t>0354</t>
        </is>
      </c>
      <c r="G2102" s="10" t="inlineStr">
        <is>
          <t>御室仁和寺</t>
        </is>
      </c>
      <c r="H2102" s="10" t="inlineStr">
        <is>
          <t>発</t>
        </is>
      </c>
      <c r="J2102" s="10" t="inlineStr">
        <is>
          <t>営業</t>
        </is>
      </c>
      <c r="L2102" t="inlineStr">
        <is>
          <t>13:43:15</t>
        </is>
      </c>
      <c r="M2102" t="inlineStr">
        <is>
          <t>13:43:35</t>
        </is>
      </c>
    </row>
    <row r="2103" ht="15" customHeight="1" s="37">
      <c r="A2103" t="n">
        <v>19</v>
      </c>
      <c r="B2103" s="10" t="inlineStr">
        <is>
          <t>休日</t>
        </is>
      </c>
      <c r="C2103" s="10" t="inlineStr">
        <is>
          <t>北野線</t>
        </is>
      </c>
      <c r="D2103" s="10" t="inlineStr">
        <is>
          <t>上り</t>
        </is>
      </c>
      <c r="E2103" t="inlineStr">
        <is>
          <t>1358</t>
        </is>
      </c>
      <c r="F2103" t="inlineStr">
        <is>
          <t>0354</t>
        </is>
      </c>
      <c r="G2103" s="10" t="inlineStr">
        <is>
          <t>妙心寺</t>
        </is>
      </c>
      <c r="H2103" s="10" t="inlineStr">
        <is>
          <t>発</t>
        </is>
      </c>
      <c r="J2103" s="10" t="inlineStr">
        <is>
          <t>営業</t>
        </is>
      </c>
      <c r="L2103" t="inlineStr">
        <is>
          <t>13:44:35</t>
        </is>
      </c>
      <c r="M2103" t="inlineStr">
        <is>
          <t>13:44:50</t>
        </is>
      </c>
    </row>
    <row r="2104" ht="15" customHeight="1" s="37">
      <c r="A2104" t="n">
        <v>19</v>
      </c>
      <c r="B2104" s="10" t="inlineStr">
        <is>
          <t>休日</t>
        </is>
      </c>
      <c r="C2104" s="10" t="inlineStr">
        <is>
          <t>北野線</t>
        </is>
      </c>
      <c r="D2104" s="10" t="inlineStr">
        <is>
          <t>上り</t>
        </is>
      </c>
      <c r="E2104" t="inlineStr">
        <is>
          <t>1358</t>
        </is>
      </c>
      <c r="F2104" t="inlineStr">
        <is>
          <t>0354</t>
        </is>
      </c>
      <c r="G2104" s="10" t="inlineStr">
        <is>
          <t>龍安寺</t>
        </is>
      </c>
      <c r="H2104" s="10" t="inlineStr">
        <is>
          <t>発</t>
        </is>
      </c>
      <c r="J2104" s="10" t="inlineStr">
        <is>
          <t>営業</t>
        </is>
      </c>
      <c r="L2104" t="inlineStr">
        <is>
          <t>13:45:45</t>
        </is>
      </c>
      <c r="M2104" t="inlineStr">
        <is>
          <t>13:45:55</t>
        </is>
      </c>
    </row>
    <row r="2105" ht="15" customHeight="1" s="37">
      <c r="A2105" t="n">
        <v>19</v>
      </c>
      <c r="B2105" s="10" t="inlineStr">
        <is>
          <t>休日</t>
        </is>
      </c>
      <c r="C2105" s="10" t="inlineStr">
        <is>
          <t>北野線</t>
        </is>
      </c>
      <c r="D2105" s="10" t="inlineStr">
        <is>
          <t>上り</t>
        </is>
      </c>
      <c r="E2105" t="inlineStr">
        <is>
          <t>1358</t>
        </is>
      </c>
      <c r="F2105" t="inlineStr">
        <is>
          <t>0354</t>
        </is>
      </c>
      <c r="G2105" s="10" t="inlineStr">
        <is>
          <t>等持院</t>
        </is>
      </c>
      <c r="H2105" s="10" t="inlineStr">
        <is>
          <t>発</t>
        </is>
      </c>
      <c r="J2105" s="10" t="inlineStr">
        <is>
          <t>営業</t>
        </is>
      </c>
      <c r="L2105" t="inlineStr">
        <is>
          <t>13:46:35</t>
        </is>
      </c>
      <c r="M2105" t="inlineStr">
        <is>
          <t>13:46:55</t>
        </is>
      </c>
    </row>
    <row r="2106" ht="15" customHeight="1" s="37">
      <c r="A2106" t="n">
        <v>19</v>
      </c>
      <c r="B2106" s="10" t="inlineStr">
        <is>
          <t>休日</t>
        </is>
      </c>
      <c r="C2106" s="10" t="inlineStr">
        <is>
          <t>北野線</t>
        </is>
      </c>
      <c r="D2106" s="10" t="inlineStr">
        <is>
          <t>上り</t>
        </is>
      </c>
      <c r="E2106" t="inlineStr">
        <is>
          <t>1358</t>
        </is>
      </c>
      <c r="F2106" t="inlineStr">
        <is>
          <t>0354</t>
        </is>
      </c>
      <c r="G2106" s="10" t="inlineStr">
        <is>
          <t>北野白梅町</t>
        </is>
      </c>
      <c r="H2106" s="10" t="inlineStr">
        <is>
          <t>着</t>
        </is>
      </c>
      <c r="J2106" s="10" t="inlineStr">
        <is>
          <t>営業</t>
        </is>
      </c>
      <c r="L2106" t="inlineStr">
        <is>
          <t>13:48:15</t>
        </is>
      </c>
      <c r="Q2106" t="inlineStr">
        <is>
          <t>1</t>
        </is>
      </c>
    </row>
    <row r="2107" ht="15" customHeight="1" s="37">
      <c r="A2107" t="n">
        <v>19</v>
      </c>
      <c r="B2107" s="10" t="inlineStr">
        <is>
          <t>休日</t>
        </is>
      </c>
      <c r="C2107" s="10" t="inlineStr">
        <is>
          <t>北野線</t>
        </is>
      </c>
      <c r="D2107" s="10" t="inlineStr">
        <is>
          <t>下り</t>
        </is>
      </c>
      <c r="E2107" t="inlineStr">
        <is>
          <t>1361</t>
        </is>
      </c>
      <c r="F2107" t="inlineStr">
        <is>
          <t>0453</t>
        </is>
      </c>
      <c r="G2107" s="10" t="inlineStr">
        <is>
          <t>北野白梅町</t>
        </is>
      </c>
      <c r="H2107" s="10" t="inlineStr">
        <is>
          <t>発</t>
        </is>
      </c>
      <c r="J2107" s="10" t="inlineStr">
        <is>
          <t>営業</t>
        </is>
      </c>
      <c r="M2107" t="inlineStr">
        <is>
          <t>13:53:00</t>
        </is>
      </c>
      <c r="Q2107" t="inlineStr">
        <is>
          <t>1</t>
        </is>
      </c>
    </row>
    <row r="2108" ht="15" customHeight="1" s="37">
      <c r="A2108" t="n">
        <v>19</v>
      </c>
      <c r="B2108" s="10" t="inlineStr">
        <is>
          <t>休日</t>
        </is>
      </c>
      <c r="C2108" s="10" t="inlineStr">
        <is>
          <t>北野線</t>
        </is>
      </c>
      <c r="D2108" s="10" t="inlineStr">
        <is>
          <t>下り</t>
        </is>
      </c>
      <c r="E2108" t="inlineStr">
        <is>
          <t>1361</t>
        </is>
      </c>
      <c r="F2108" t="inlineStr">
        <is>
          <t>0453</t>
        </is>
      </c>
      <c r="G2108" s="10" t="inlineStr">
        <is>
          <t>等持院</t>
        </is>
      </c>
      <c r="H2108" s="10" t="inlineStr">
        <is>
          <t>発</t>
        </is>
      </c>
      <c r="J2108" s="10" t="inlineStr">
        <is>
          <t>営業</t>
        </is>
      </c>
      <c r="L2108" t="inlineStr">
        <is>
          <t>13:54:25</t>
        </is>
      </c>
      <c r="M2108" t="inlineStr">
        <is>
          <t>13:54:35</t>
        </is>
      </c>
    </row>
    <row r="2109" ht="15" customHeight="1" s="37">
      <c r="A2109" t="n">
        <v>19</v>
      </c>
      <c r="B2109" s="10" t="inlineStr">
        <is>
          <t>休日</t>
        </is>
      </c>
      <c r="C2109" s="10" t="inlineStr">
        <is>
          <t>北野線</t>
        </is>
      </c>
      <c r="D2109" s="10" t="inlineStr">
        <is>
          <t>下り</t>
        </is>
      </c>
      <c r="E2109" t="inlineStr">
        <is>
          <t>1361</t>
        </is>
      </c>
      <c r="F2109" t="inlineStr">
        <is>
          <t>0453</t>
        </is>
      </c>
      <c r="G2109" s="10" t="inlineStr">
        <is>
          <t>龍安寺</t>
        </is>
      </c>
      <c r="H2109" s="10" t="inlineStr">
        <is>
          <t>発</t>
        </is>
      </c>
      <c r="J2109" s="10" t="inlineStr">
        <is>
          <t>営業</t>
        </is>
      </c>
      <c r="L2109" t="inlineStr">
        <is>
          <t>13:55:25</t>
        </is>
      </c>
      <c r="M2109" t="inlineStr">
        <is>
          <t>13:55:50</t>
        </is>
      </c>
    </row>
    <row r="2110" ht="15" customHeight="1" s="37">
      <c r="A2110" t="n">
        <v>19</v>
      </c>
      <c r="B2110" s="10" t="inlineStr">
        <is>
          <t>休日</t>
        </is>
      </c>
      <c r="C2110" s="10" t="inlineStr">
        <is>
          <t>北野線</t>
        </is>
      </c>
      <c r="D2110" s="10" t="inlineStr">
        <is>
          <t>下り</t>
        </is>
      </c>
      <c r="E2110" t="inlineStr">
        <is>
          <t>1361</t>
        </is>
      </c>
      <c r="F2110" t="inlineStr">
        <is>
          <t>0453</t>
        </is>
      </c>
      <c r="G2110" s="10" t="inlineStr">
        <is>
          <t>妙心寺</t>
        </is>
      </c>
      <c r="H2110" s="10" t="inlineStr">
        <is>
          <t>発</t>
        </is>
      </c>
      <c r="J2110" s="10" t="inlineStr">
        <is>
          <t>営業</t>
        </is>
      </c>
      <c r="L2110" t="inlineStr">
        <is>
          <t>13:56:40</t>
        </is>
      </c>
      <c r="M2110" t="inlineStr">
        <is>
          <t>13:56:50</t>
        </is>
      </c>
    </row>
    <row r="2111" ht="15" customHeight="1" s="37">
      <c r="A2111" t="n">
        <v>19</v>
      </c>
      <c r="B2111" s="10" t="inlineStr">
        <is>
          <t>休日</t>
        </is>
      </c>
      <c r="C2111" s="10" t="inlineStr">
        <is>
          <t>北野線</t>
        </is>
      </c>
      <c r="D2111" s="10" t="inlineStr">
        <is>
          <t>下り</t>
        </is>
      </c>
      <c r="E2111" t="inlineStr">
        <is>
          <t>1361</t>
        </is>
      </c>
      <c r="F2111" t="inlineStr">
        <is>
          <t>0453</t>
        </is>
      </c>
      <c r="G2111" s="10" t="inlineStr">
        <is>
          <t>御室仁和寺</t>
        </is>
      </c>
      <c r="H2111" s="10" t="inlineStr">
        <is>
          <t>発</t>
        </is>
      </c>
      <c r="J2111" s="10" t="inlineStr">
        <is>
          <t>営業</t>
        </is>
      </c>
      <c r="L2111" t="inlineStr">
        <is>
          <t>13:57:50</t>
        </is>
      </c>
      <c r="M2111" t="inlineStr">
        <is>
          <t>13:58:05</t>
        </is>
      </c>
    </row>
    <row r="2112" ht="15" customHeight="1" s="37">
      <c r="A2112" t="n">
        <v>19</v>
      </c>
      <c r="B2112" s="10" t="inlineStr">
        <is>
          <t>休日</t>
        </is>
      </c>
      <c r="C2112" s="10" t="inlineStr">
        <is>
          <t>北野線</t>
        </is>
      </c>
      <c r="D2112" s="10" t="inlineStr">
        <is>
          <t>下り</t>
        </is>
      </c>
      <c r="E2112" t="inlineStr">
        <is>
          <t>1361</t>
        </is>
      </c>
      <c r="F2112" t="inlineStr">
        <is>
          <t>0453</t>
        </is>
      </c>
      <c r="G2112" s="10" t="inlineStr">
        <is>
          <t>宇多野</t>
        </is>
      </c>
      <c r="H2112" s="10" t="inlineStr">
        <is>
          <t>発</t>
        </is>
      </c>
      <c r="J2112" s="10" t="inlineStr">
        <is>
          <t>営業</t>
        </is>
      </c>
      <c r="L2112" t="inlineStr">
        <is>
          <t>13:59:05</t>
        </is>
      </c>
      <c r="M2112" t="inlineStr">
        <is>
          <t>13:59:15</t>
        </is>
      </c>
    </row>
    <row r="2113" ht="15" customHeight="1" s="37">
      <c r="A2113" t="n">
        <v>19</v>
      </c>
      <c r="B2113" s="10" t="inlineStr">
        <is>
          <t>休日</t>
        </is>
      </c>
      <c r="C2113" s="10" t="inlineStr">
        <is>
          <t>北野線</t>
        </is>
      </c>
      <c r="D2113" s="10" t="inlineStr">
        <is>
          <t>下り</t>
        </is>
      </c>
      <c r="E2113" t="inlineStr">
        <is>
          <t>1361</t>
        </is>
      </c>
      <c r="F2113" t="inlineStr">
        <is>
          <t>0453</t>
        </is>
      </c>
      <c r="G2113" s="10" t="inlineStr">
        <is>
          <t>鳴滝</t>
        </is>
      </c>
      <c r="H2113" s="10" t="inlineStr">
        <is>
          <t>発</t>
        </is>
      </c>
      <c r="J2113" s="10" t="inlineStr">
        <is>
          <t>営業</t>
        </is>
      </c>
      <c r="L2113" t="inlineStr">
        <is>
          <t>14:00:35</t>
        </is>
      </c>
      <c r="M2113" t="inlineStr">
        <is>
          <t>14:00:45</t>
        </is>
      </c>
    </row>
    <row r="2114" ht="15" customHeight="1" s="37">
      <c r="A2114" t="n">
        <v>19</v>
      </c>
      <c r="B2114" s="10" t="inlineStr">
        <is>
          <t>休日</t>
        </is>
      </c>
      <c r="C2114" s="10" t="inlineStr">
        <is>
          <t>北野線</t>
        </is>
      </c>
      <c r="D2114" s="10" t="inlineStr">
        <is>
          <t>下り</t>
        </is>
      </c>
      <c r="E2114" t="inlineStr">
        <is>
          <t>1361</t>
        </is>
      </c>
      <c r="F2114" t="inlineStr">
        <is>
          <t>0453</t>
        </is>
      </c>
      <c r="G2114" s="10" t="inlineStr">
        <is>
          <t>常盤</t>
        </is>
      </c>
      <c r="H2114" s="10" t="inlineStr">
        <is>
          <t>発</t>
        </is>
      </c>
      <c r="J2114" s="10" t="inlineStr">
        <is>
          <t>営業</t>
        </is>
      </c>
      <c r="L2114" t="inlineStr">
        <is>
          <t>14:01:35</t>
        </is>
      </c>
      <c r="M2114" t="inlineStr">
        <is>
          <t>14:01:55</t>
        </is>
      </c>
    </row>
    <row r="2115" ht="15" customHeight="1" s="37">
      <c r="A2115" t="n">
        <v>19</v>
      </c>
      <c r="B2115" s="10" t="inlineStr">
        <is>
          <t>休日</t>
        </is>
      </c>
      <c r="C2115" s="10" t="inlineStr">
        <is>
          <t>北野線</t>
        </is>
      </c>
      <c r="D2115" s="10" t="inlineStr">
        <is>
          <t>下り</t>
        </is>
      </c>
      <c r="E2115" t="inlineStr">
        <is>
          <t>1361</t>
        </is>
      </c>
      <c r="F2115" t="inlineStr">
        <is>
          <t>0453</t>
        </is>
      </c>
      <c r="G2115" s="10" t="inlineStr">
        <is>
          <t>撮影所前</t>
        </is>
      </c>
      <c r="H2115" s="10" t="inlineStr">
        <is>
          <t>発</t>
        </is>
      </c>
      <c r="J2115" s="10" t="inlineStr">
        <is>
          <t>営業</t>
        </is>
      </c>
      <c r="L2115" t="inlineStr">
        <is>
          <t>14:03:15</t>
        </is>
      </c>
      <c r="M2115" t="inlineStr">
        <is>
          <t>14:03:30</t>
        </is>
      </c>
    </row>
    <row r="2116" ht="15" customHeight="1" s="37">
      <c r="A2116" t="n">
        <v>19</v>
      </c>
      <c r="B2116" s="10" t="inlineStr">
        <is>
          <t>休日</t>
        </is>
      </c>
      <c r="C2116" s="10" t="inlineStr">
        <is>
          <t>北野線</t>
        </is>
      </c>
      <c r="D2116" s="10" t="inlineStr">
        <is>
          <t>下り</t>
        </is>
      </c>
      <c r="E2116" t="inlineStr">
        <is>
          <t>1361</t>
        </is>
      </c>
      <c r="F2116" t="inlineStr">
        <is>
          <t>0453</t>
        </is>
      </c>
      <c r="G2116" s="10" t="inlineStr">
        <is>
          <t>帷子ノ辻</t>
        </is>
      </c>
      <c r="H2116" s="10" t="inlineStr">
        <is>
          <t>着</t>
        </is>
      </c>
      <c r="J2116" s="10" t="inlineStr">
        <is>
          <t>営業</t>
        </is>
      </c>
      <c r="L2116" t="inlineStr">
        <is>
          <t>14:04:25</t>
        </is>
      </c>
      <c r="Q2116" t="inlineStr">
        <is>
          <t>3</t>
        </is>
      </c>
    </row>
    <row r="2117" ht="15" customHeight="1" s="37">
      <c r="A2117" t="n">
        <v>19</v>
      </c>
      <c r="B2117" s="10" t="inlineStr">
        <is>
          <t>休日</t>
        </is>
      </c>
      <c r="C2117" s="10" t="inlineStr">
        <is>
          <t>北野線</t>
        </is>
      </c>
      <c r="D2117" s="10" t="inlineStr">
        <is>
          <t>上り</t>
        </is>
      </c>
      <c r="E2117" t="inlineStr">
        <is>
          <t>1454</t>
        </is>
      </c>
      <c r="F2117" t="inlineStr">
        <is>
          <t>0354</t>
        </is>
      </c>
      <c r="G2117" s="10" t="inlineStr">
        <is>
          <t>帷子ノ辻</t>
        </is>
      </c>
      <c r="H2117" s="10" t="inlineStr">
        <is>
          <t>発</t>
        </is>
      </c>
      <c r="J2117" s="10" t="inlineStr">
        <is>
          <t>営業</t>
        </is>
      </c>
      <c r="M2117" t="inlineStr">
        <is>
          <t>14:16:25</t>
        </is>
      </c>
      <c r="Q2117" t="inlineStr">
        <is>
          <t>3</t>
        </is>
      </c>
    </row>
    <row r="2118" ht="15" customHeight="1" s="37">
      <c r="A2118" t="n">
        <v>19</v>
      </c>
      <c r="B2118" s="10" t="inlineStr">
        <is>
          <t>休日</t>
        </is>
      </c>
      <c r="C2118" s="10" t="inlineStr">
        <is>
          <t>北野線</t>
        </is>
      </c>
      <c r="D2118" s="10" t="inlineStr">
        <is>
          <t>上り</t>
        </is>
      </c>
      <c r="E2118" t="inlineStr">
        <is>
          <t>1454</t>
        </is>
      </c>
      <c r="F2118" t="inlineStr">
        <is>
          <t>0354</t>
        </is>
      </c>
      <c r="G2118" s="10" t="inlineStr">
        <is>
          <t>撮影所前</t>
        </is>
      </c>
      <c r="H2118" s="10" t="inlineStr">
        <is>
          <t>発</t>
        </is>
      </c>
      <c r="J2118" s="10" t="inlineStr">
        <is>
          <t>営業</t>
        </is>
      </c>
      <c r="L2118" t="inlineStr">
        <is>
          <t>14:17:25</t>
        </is>
      </c>
      <c r="M2118" t="inlineStr">
        <is>
          <t>14:17:40</t>
        </is>
      </c>
    </row>
    <row r="2119" ht="15" customHeight="1" s="37">
      <c r="A2119" t="n">
        <v>19</v>
      </c>
      <c r="B2119" s="10" t="inlineStr">
        <is>
          <t>休日</t>
        </is>
      </c>
      <c r="C2119" s="10" t="inlineStr">
        <is>
          <t>北野線</t>
        </is>
      </c>
      <c r="D2119" s="10" t="inlineStr">
        <is>
          <t>上り</t>
        </is>
      </c>
      <c r="E2119" t="inlineStr">
        <is>
          <t>1454</t>
        </is>
      </c>
      <c r="F2119" t="inlineStr">
        <is>
          <t>0354</t>
        </is>
      </c>
      <c r="G2119" s="10" t="inlineStr">
        <is>
          <t>常盤</t>
        </is>
      </c>
      <c r="H2119" s="10" t="inlineStr">
        <is>
          <t>発</t>
        </is>
      </c>
      <c r="J2119" s="10" t="inlineStr">
        <is>
          <t>営業</t>
        </is>
      </c>
      <c r="L2119" t="inlineStr">
        <is>
          <t>14:19:00</t>
        </is>
      </c>
      <c r="M2119" t="inlineStr">
        <is>
          <t>14:19:20</t>
        </is>
      </c>
    </row>
    <row r="2120" ht="15" customHeight="1" s="37">
      <c r="A2120" t="n">
        <v>19</v>
      </c>
      <c r="B2120" s="10" t="inlineStr">
        <is>
          <t>休日</t>
        </is>
      </c>
      <c r="C2120" s="10" t="inlineStr">
        <is>
          <t>北野線</t>
        </is>
      </c>
      <c r="D2120" s="10" t="inlineStr">
        <is>
          <t>上り</t>
        </is>
      </c>
      <c r="E2120" t="inlineStr">
        <is>
          <t>1454</t>
        </is>
      </c>
      <c r="F2120" t="inlineStr">
        <is>
          <t>0354</t>
        </is>
      </c>
      <c r="G2120" s="10" t="inlineStr">
        <is>
          <t>鳴滝</t>
        </is>
      </c>
      <c r="H2120" s="10" t="inlineStr">
        <is>
          <t>発</t>
        </is>
      </c>
      <c r="J2120" s="10" t="inlineStr">
        <is>
          <t>営業</t>
        </is>
      </c>
      <c r="L2120" t="inlineStr">
        <is>
          <t>14:20:20</t>
        </is>
      </c>
      <c r="M2120" t="inlineStr">
        <is>
          <t>14:20:40</t>
        </is>
      </c>
    </row>
    <row r="2121" ht="15" customHeight="1" s="37">
      <c r="A2121" t="n">
        <v>19</v>
      </c>
      <c r="B2121" s="10" t="inlineStr">
        <is>
          <t>休日</t>
        </is>
      </c>
      <c r="C2121" s="10" t="inlineStr">
        <is>
          <t>北野線</t>
        </is>
      </c>
      <c r="D2121" s="10" t="inlineStr">
        <is>
          <t>上り</t>
        </is>
      </c>
      <c r="E2121" t="inlineStr">
        <is>
          <t>1454</t>
        </is>
      </c>
      <c r="F2121" t="inlineStr">
        <is>
          <t>0354</t>
        </is>
      </c>
      <c r="G2121" s="10" t="inlineStr">
        <is>
          <t>宇多野</t>
        </is>
      </c>
      <c r="H2121" s="10" t="inlineStr">
        <is>
          <t>発</t>
        </is>
      </c>
      <c r="J2121" s="10" t="inlineStr">
        <is>
          <t>営業</t>
        </is>
      </c>
      <c r="L2121" t="inlineStr">
        <is>
          <t>14:22:00</t>
        </is>
      </c>
      <c r="M2121" t="inlineStr">
        <is>
          <t>14:22:15</t>
        </is>
      </c>
    </row>
    <row r="2122" ht="16.5" customHeight="1" s="37">
      <c r="A2122" t="n">
        <v>19</v>
      </c>
      <c r="B2122" s="10" t="inlineStr">
        <is>
          <t>休日</t>
        </is>
      </c>
      <c r="C2122" s="10" t="inlineStr">
        <is>
          <t>北野線</t>
        </is>
      </c>
      <c r="D2122" s="10" t="inlineStr">
        <is>
          <t>上り</t>
        </is>
      </c>
      <c r="E2122" t="inlineStr">
        <is>
          <t>1454</t>
        </is>
      </c>
      <c r="F2122" t="inlineStr">
        <is>
          <t>0354</t>
        </is>
      </c>
      <c r="G2122" s="10" t="inlineStr">
        <is>
          <t>御室仁和寺</t>
        </is>
      </c>
      <c r="H2122" s="10" t="inlineStr">
        <is>
          <t>発</t>
        </is>
      </c>
      <c r="J2122" s="10" t="inlineStr">
        <is>
          <t>営業</t>
        </is>
      </c>
      <c r="L2122" t="inlineStr">
        <is>
          <t>14:23:15</t>
        </is>
      </c>
      <c r="M2122" t="inlineStr">
        <is>
          <t>14:23:35</t>
        </is>
      </c>
    </row>
    <row r="2123" ht="16.5" customHeight="1" s="37">
      <c r="A2123" t="n">
        <v>19</v>
      </c>
      <c r="B2123" s="10" t="inlineStr">
        <is>
          <t>休日</t>
        </is>
      </c>
      <c r="C2123" s="10" t="inlineStr">
        <is>
          <t>北野線</t>
        </is>
      </c>
      <c r="D2123" s="10" t="inlineStr">
        <is>
          <t>上り</t>
        </is>
      </c>
      <c r="E2123" t="inlineStr">
        <is>
          <t>1454</t>
        </is>
      </c>
      <c r="F2123" t="inlineStr">
        <is>
          <t>0354</t>
        </is>
      </c>
      <c r="G2123" s="10" t="inlineStr">
        <is>
          <t>妙心寺</t>
        </is>
      </c>
      <c r="H2123" s="10" t="inlineStr">
        <is>
          <t>発</t>
        </is>
      </c>
      <c r="J2123" s="10" t="inlineStr">
        <is>
          <t>営業</t>
        </is>
      </c>
      <c r="L2123" t="inlineStr">
        <is>
          <t>14:24:35</t>
        </is>
      </c>
      <c r="M2123" t="inlineStr">
        <is>
          <t>14:24:50</t>
        </is>
      </c>
    </row>
    <row r="2124" ht="16.5" customHeight="1" s="37">
      <c r="A2124" t="n">
        <v>19</v>
      </c>
      <c r="B2124" s="10" t="inlineStr">
        <is>
          <t>休日</t>
        </is>
      </c>
      <c r="C2124" s="10" t="inlineStr">
        <is>
          <t>北野線</t>
        </is>
      </c>
      <c r="D2124" s="10" t="inlineStr">
        <is>
          <t>上り</t>
        </is>
      </c>
      <c r="E2124" t="inlineStr">
        <is>
          <t>1454</t>
        </is>
      </c>
      <c r="F2124" t="inlineStr">
        <is>
          <t>0354</t>
        </is>
      </c>
      <c r="G2124" s="10" t="inlineStr">
        <is>
          <t>龍安寺</t>
        </is>
      </c>
      <c r="H2124" s="10" t="inlineStr">
        <is>
          <t>発</t>
        </is>
      </c>
      <c r="J2124" s="10" t="inlineStr">
        <is>
          <t>営業</t>
        </is>
      </c>
      <c r="L2124" t="inlineStr">
        <is>
          <t>14:25:45</t>
        </is>
      </c>
      <c r="M2124" t="inlineStr">
        <is>
          <t>14:25:55</t>
        </is>
      </c>
    </row>
    <row r="2125" ht="16.5" customHeight="1" s="37">
      <c r="A2125" t="n">
        <v>19</v>
      </c>
      <c r="B2125" s="10" t="inlineStr">
        <is>
          <t>休日</t>
        </is>
      </c>
      <c r="C2125" s="10" t="inlineStr">
        <is>
          <t>北野線</t>
        </is>
      </c>
      <c r="D2125" s="10" t="inlineStr">
        <is>
          <t>上り</t>
        </is>
      </c>
      <c r="E2125" t="inlineStr">
        <is>
          <t>1454</t>
        </is>
      </c>
      <c r="F2125" t="inlineStr">
        <is>
          <t>0354</t>
        </is>
      </c>
      <c r="G2125" s="10" t="inlineStr">
        <is>
          <t>等持院</t>
        </is>
      </c>
      <c r="H2125" s="10" t="inlineStr">
        <is>
          <t>発</t>
        </is>
      </c>
      <c r="J2125" s="10" t="inlineStr">
        <is>
          <t>営業</t>
        </is>
      </c>
      <c r="L2125" t="inlineStr">
        <is>
          <t>14:26:35</t>
        </is>
      </c>
      <c r="M2125" t="inlineStr">
        <is>
          <t>14:26:55</t>
        </is>
      </c>
    </row>
    <row r="2126" ht="16.5" customHeight="1" s="37">
      <c r="A2126" t="n">
        <v>19</v>
      </c>
      <c r="B2126" s="10" t="inlineStr">
        <is>
          <t>休日</t>
        </is>
      </c>
      <c r="C2126" s="10" t="inlineStr">
        <is>
          <t>北野線</t>
        </is>
      </c>
      <c r="D2126" s="10" t="inlineStr">
        <is>
          <t>上り</t>
        </is>
      </c>
      <c r="E2126" t="inlineStr">
        <is>
          <t>1454</t>
        </is>
      </c>
      <c r="F2126" t="inlineStr">
        <is>
          <t>0354</t>
        </is>
      </c>
      <c r="G2126" s="10" t="inlineStr">
        <is>
          <t>北野白梅町</t>
        </is>
      </c>
      <c r="H2126" s="10" t="inlineStr">
        <is>
          <t>着</t>
        </is>
      </c>
      <c r="J2126" s="10" t="inlineStr">
        <is>
          <t>営業</t>
        </is>
      </c>
      <c r="L2126" t="inlineStr">
        <is>
          <t>14:28:15</t>
        </is>
      </c>
      <c r="Q2126" t="inlineStr">
        <is>
          <t>1</t>
        </is>
      </c>
    </row>
    <row r="2127" ht="16.5" customHeight="1" s="37">
      <c r="A2127" t="n">
        <v>19</v>
      </c>
      <c r="B2127" s="10" t="inlineStr">
        <is>
          <t>休日</t>
        </is>
      </c>
      <c r="C2127" s="10" t="inlineStr">
        <is>
          <t>北野線</t>
        </is>
      </c>
      <c r="D2127" s="10" t="inlineStr">
        <is>
          <t>下り</t>
        </is>
      </c>
      <c r="E2127" t="inlineStr">
        <is>
          <t>1457</t>
        </is>
      </c>
      <c r="F2127" t="inlineStr">
        <is>
          <t>0453</t>
        </is>
      </c>
      <c r="G2127" s="10" t="inlineStr">
        <is>
          <t>北野白梅町</t>
        </is>
      </c>
      <c r="H2127" s="10" t="inlineStr">
        <is>
          <t>発</t>
        </is>
      </c>
      <c r="J2127" s="10" t="inlineStr">
        <is>
          <t>営業</t>
        </is>
      </c>
      <c r="M2127" t="inlineStr">
        <is>
          <t>14:33:00</t>
        </is>
      </c>
      <c r="Q2127" t="inlineStr">
        <is>
          <t>1</t>
        </is>
      </c>
    </row>
    <row r="2128" ht="16.5" customHeight="1" s="37">
      <c r="A2128" t="n">
        <v>19</v>
      </c>
      <c r="B2128" s="10" t="inlineStr">
        <is>
          <t>休日</t>
        </is>
      </c>
      <c r="C2128" s="10" t="inlineStr">
        <is>
          <t>北野線</t>
        </is>
      </c>
      <c r="D2128" s="10" t="inlineStr">
        <is>
          <t>下り</t>
        </is>
      </c>
      <c r="E2128" t="inlineStr">
        <is>
          <t>1457</t>
        </is>
      </c>
      <c r="F2128" t="inlineStr">
        <is>
          <t>0453</t>
        </is>
      </c>
      <c r="G2128" s="10" t="inlineStr">
        <is>
          <t>等持院</t>
        </is>
      </c>
      <c r="H2128" s="10" t="inlineStr">
        <is>
          <t>発</t>
        </is>
      </c>
      <c r="J2128" s="10" t="inlineStr">
        <is>
          <t>営業</t>
        </is>
      </c>
      <c r="L2128" t="inlineStr">
        <is>
          <t>14:34:25</t>
        </is>
      </c>
      <c r="M2128" t="inlineStr">
        <is>
          <t>14:34:35</t>
        </is>
      </c>
    </row>
    <row r="2129" ht="16.5" customHeight="1" s="37">
      <c r="A2129" t="n">
        <v>19</v>
      </c>
      <c r="B2129" s="10" t="inlineStr">
        <is>
          <t>休日</t>
        </is>
      </c>
      <c r="C2129" s="10" t="inlineStr">
        <is>
          <t>北野線</t>
        </is>
      </c>
      <c r="D2129" s="10" t="inlineStr">
        <is>
          <t>下り</t>
        </is>
      </c>
      <c r="E2129" t="inlineStr">
        <is>
          <t>1457</t>
        </is>
      </c>
      <c r="F2129" t="inlineStr">
        <is>
          <t>0453</t>
        </is>
      </c>
      <c r="G2129" s="10" t="inlineStr">
        <is>
          <t>龍安寺</t>
        </is>
      </c>
      <c r="H2129" s="10" t="inlineStr">
        <is>
          <t>発</t>
        </is>
      </c>
      <c r="J2129" s="10" t="inlineStr">
        <is>
          <t>営業</t>
        </is>
      </c>
      <c r="L2129" t="inlineStr">
        <is>
          <t>14:35:25</t>
        </is>
      </c>
      <c r="M2129" t="inlineStr">
        <is>
          <t>14:35:50</t>
        </is>
      </c>
    </row>
    <row r="2130" ht="16.5" customHeight="1" s="37">
      <c r="A2130" t="n">
        <v>19</v>
      </c>
      <c r="B2130" s="10" t="inlineStr">
        <is>
          <t>休日</t>
        </is>
      </c>
      <c r="C2130" s="10" t="inlineStr">
        <is>
          <t>北野線</t>
        </is>
      </c>
      <c r="D2130" s="10" t="inlineStr">
        <is>
          <t>下り</t>
        </is>
      </c>
      <c r="E2130" t="inlineStr">
        <is>
          <t>1457</t>
        </is>
      </c>
      <c r="F2130" t="inlineStr">
        <is>
          <t>0453</t>
        </is>
      </c>
      <c r="G2130" s="10" t="inlineStr">
        <is>
          <t>妙心寺</t>
        </is>
      </c>
      <c r="H2130" s="10" t="inlineStr">
        <is>
          <t>発</t>
        </is>
      </c>
      <c r="J2130" s="10" t="inlineStr">
        <is>
          <t>営業</t>
        </is>
      </c>
      <c r="L2130" t="inlineStr">
        <is>
          <t>14:36:40</t>
        </is>
      </c>
      <c r="M2130" t="inlineStr">
        <is>
          <t>14:36:50</t>
        </is>
      </c>
    </row>
    <row r="2131" ht="16.5" customHeight="1" s="37">
      <c r="A2131" t="n">
        <v>19</v>
      </c>
      <c r="B2131" s="10" t="inlineStr">
        <is>
          <t>休日</t>
        </is>
      </c>
      <c r="C2131" s="10" t="inlineStr">
        <is>
          <t>北野線</t>
        </is>
      </c>
      <c r="D2131" s="10" t="inlineStr">
        <is>
          <t>下り</t>
        </is>
      </c>
      <c r="E2131" t="inlineStr">
        <is>
          <t>1457</t>
        </is>
      </c>
      <c r="F2131" t="inlineStr">
        <is>
          <t>0453</t>
        </is>
      </c>
      <c r="G2131" s="10" t="inlineStr">
        <is>
          <t>御室仁和寺</t>
        </is>
      </c>
      <c r="H2131" s="10" t="inlineStr">
        <is>
          <t>発</t>
        </is>
      </c>
      <c r="J2131" s="10" t="inlineStr">
        <is>
          <t>営業</t>
        </is>
      </c>
      <c r="L2131" t="inlineStr">
        <is>
          <t>14:37:50</t>
        </is>
      </c>
      <c r="M2131" t="inlineStr">
        <is>
          <t>14:38:05</t>
        </is>
      </c>
    </row>
    <row r="2132" ht="16.5" customHeight="1" s="37">
      <c r="A2132" t="n">
        <v>19</v>
      </c>
      <c r="B2132" s="10" t="inlineStr">
        <is>
          <t>休日</t>
        </is>
      </c>
      <c r="C2132" s="10" t="inlineStr">
        <is>
          <t>北野線</t>
        </is>
      </c>
      <c r="D2132" s="10" t="inlineStr">
        <is>
          <t>下り</t>
        </is>
      </c>
      <c r="E2132" t="inlineStr">
        <is>
          <t>1457</t>
        </is>
      </c>
      <c r="F2132" t="inlineStr">
        <is>
          <t>0453</t>
        </is>
      </c>
      <c r="G2132" s="10" t="inlineStr">
        <is>
          <t>宇多野</t>
        </is>
      </c>
      <c r="H2132" s="10" t="inlineStr">
        <is>
          <t>発</t>
        </is>
      </c>
      <c r="J2132" s="10" t="inlineStr">
        <is>
          <t>営業</t>
        </is>
      </c>
      <c r="L2132" t="inlineStr">
        <is>
          <t>14:39:05</t>
        </is>
      </c>
      <c r="M2132" t="inlineStr">
        <is>
          <t>14:39:15</t>
        </is>
      </c>
    </row>
    <row r="2133" ht="16.5" customHeight="1" s="37">
      <c r="A2133" t="n">
        <v>19</v>
      </c>
      <c r="B2133" s="10" t="inlineStr">
        <is>
          <t>休日</t>
        </is>
      </c>
      <c r="C2133" s="10" t="inlineStr">
        <is>
          <t>北野線</t>
        </is>
      </c>
      <c r="D2133" s="10" t="inlineStr">
        <is>
          <t>下り</t>
        </is>
      </c>
      <c r="E2133" t="inlineStr">
        <is>
          <t>1457</t>
        </is>
      </c>
      <c r="F2133" t="inlineStr">
        <is>
          <t>0453</t>
        </is>
      </c>
      <c r="G2133" s="10" t="inlineStr">
        <is>
          <t>鳴滝</t>
        </is>
      </c>
      <c r="H2133" s="10" t="inlineStr">
        <is>
          <t>発</t>
        </is>
      </c>
      <c r="J2133" s="10" t="inlineStr">
        <is>
          <t>営業</t>
        </is>
      </c>
      <c r="L2133" t="inlineStr">
        <is>
          <t>14:40:35</t>
        </is>
      </c>
      <c r="M2133" t="inlineStr">
        <is>
          <t>14:40:45</t>
        </is>
      </c>
    </row>
    <row r="2134" ht="16.5" customHeight="1" s="37">
      <c r="A2134" t="n">
        <v>19</v>
      </c>
      <c r="B2134" s="10" t="inlineStr">
        <is>
          <t>休日</t>
        </is>
      </c>
      <c r="C2134" s="10" t="inlineStr">
        <is>
          <t>北野線</t>
        </is>
      </c>
      <c r="D2134" s="10" t="inlineStr">
        <is>
          <t>下り</t>
        </is>
      </c>
      <c r="E2134" t="inlineStr">
        <is>
          <t>1457</t>
        </is>
      </c>
      <c r="F2134" t="inlineStr">
        <is>
          <t>0453</t>
        </is>
      </c>
      <c r="G2134" s="10" t="inlineStr">
        <is>
          <t>常盤</t>
        </is>
      </c>
      <c r="H2134" s="10" t="inlineStr">
        <is>
          <t>発</t>
        </is>
      </c>
      <c r="J2134" s="10" t="inlineStr">
        <is>
          <t>営業</t>
        </is>
      </c>
      <c r="L2134" t="inlineStr">
        <is>
          <t>14:41:35</t>
        </is>
      </c>
      <c r="M2134" t="inlineStr">
        <is>
          <t>14:41:55</t>
        </is>
      </c>
    </row>
    <row r="2135" ht="16.5" customHeight="1" s="37">
      <c r="A2135" t="n">
        <v>19</v>
      </c>
      <c r="B2135" s="10" t="inlineStr">
        <is>
          <t>休日</t>
        </is>
      </c>
      <c r="C2135" s="10" t="inlineStr">
        <is>
          <t>北野線</t>
        </is>
      </c>
      <c r="D2135" s="10" t="inlineStr">
        <is>
          <t>下り</t>
        </is>
      </c>
      <c r="E2135" t="inlineStr">
        <is>
          <t>1457</t>
        </is>
      </c>
      <c r="F2135" t="inlineStr">
        <is>
          <t>0453</t>
        </is>
      </c>
      <c r="G2135" s="10" t="inlineStr">
        <is>
          <t>撮影所前</t>
        </is>
      </c>
      <c r="H2135" s="10" t="inlineStr">
        <is>
          <t>発</t>
        </is>
      </c>
      <c r="J2135" s="10" t="inlineStr">
        <is>
          <t>営業</t>
        </is>
      </c>
      <c r="L2135" t="inlineStr">
        <is>
          <t>14:43:15</t>
        </is>
      </c>
      <c r="M2135" t="inlineStr">
        <is>
          <t>14:43:30</t>
        </is>
      </c>
    </row>
    <row r="2136" ht="16.5" customHeight="1" s="37">
      <c r="A2136" t="n">
        <v>19</v>
      </c>
      <c r="B2136" s="10" t="inlineStr">
        <is>
          <t>休日</t>
        </is>
      </c>
      <c r="C2136" s="10" t="inlineStr">
        <is>
          <t>北野線</t>
        </is>
      </c>
      <c r="D2136" s="10" t="inlineStr">
        <is>
          <t>下り</t>
        </is>
      </c>
      <c r="E2136" t="inlineStr">
        <is>
          <t>1457</t>
        </is>
      </c>
      <c r="F2136" t="inlineStr">
        <is>
          <t>0453</t>
        </is>
      </c>
      <c r="G2136" s="10" t="inlineStr">
        <is>
          <t>帷子ノ辻</t>
        </is>
      </c>
      <c r="H2136" s="10" t="inlineStr">
        <is>
          <t>着</t>
        </is>
      </c>
      <c r="J2136" s="10" t="inlineStr">
        <is>
          <t>営業</t>
        </is>
      </c>
      <c r="L2136" t="inlineStr">
        <is>
          <t>14:44:25</t>
        </is>
      </c>
      <c r="Q2136" t="inlineStr">
        <is>
          <t>3</t>
        </is>
      </c>
    </row>
    <row r="2137" ht="16.5" customHeight="1" s="37">
      <c r="A2137" t="n">
        <v>19</v>
      </c>
      <c r="B2137" s="10" t="inlineStr">
        <is>
          <t>休日</t>
        </is>
      </c>
      <c r="C2137" s="10" t="inlineStr">
        <is>
          <t>北野線</t>
        </is>
      </c>
      <c r="D2137" s="10" t="inlineStr">
        <is>
          <t>上り</t>
        </is>
      </c>
      <c r="E2137" t="inlineStr">
        <is>
          <t>1462</t>
        </is>
      </c>
      <c r="F2137" t="inlineStr">
        <is>
          <t>0354</t>
        </is>
      </c>
      <c r="G2137" s="10" t="inlineStr">
        <is>
          <t>帷子ノ辻</t>
        </is>
      </c>
      <c r="H2137" s="10" t="inlineStr">
        <is>
          <t>発</t>
        </is>
      </c>
      <c r="J2137" s="10" t="inlineStr">
        <is>
          <t>営業</t>
        </is>
      </c>
      <c r="M2137" t="inlineStr">
        <is>
          <t>14:56:25</t>
        </is>
      </c>
      <c r="Q2137" t="inlineStr">
        <is>
          <t>3</t>
        </is>
      </c>
    </row>
    <row r="2138" ht="16.5" customHeight="1" s="37">
      <c r="A2138" t="n">
        <v>19</v>
      </c>
      <c r="B2138" s="10" t="inlineStr">
        <is>
          <t>休日</t>
        </is>
      </c>
      <c r="C2138" s="10" t="inlineStr">
        <is>
          <t>北野線</t>
        </is>
      </c>
      <c r="D2138" s="10" t="inlineStr">
        <is>
          <t>上り</t>
        </is>
      </c>
      <c r="E2138" t="inlineStr">
        <is>
          <t>1462</t>
        </is>
      </c>
      <c r="F2138" t="inlineStr">
        <is>
          <t>0354</t>
        </is>
      </c>
      <c r="G2138" s="10" t="inlineStr">
        <is>
          <t>撮影所前</t>
        </is>
      </c>
      <c r="H2138" s="10" t="inlineStr">
        <is>
          <t>発</t>
        </is>
      </c>
      <c r="J2138" s="10" t="inlineStr">
        <is>
          <t>営業</t>
        </is>
      </c>
      <c r="L2138" t="inlineStr">
        <is>
          <t>14:57:25</t>
        </is>
      </c>
      <c r="M2138" t="inlineStr">
        <is>
          <t>14:57:40</t>
        </is>
      </c>
    </row>
    <row r="2139" ht="16.5" customHeight="1" s="37">
      <c r="A2139" t="n">
        <v>19</v>
      </c>
      <c r="B2139" s="10" t="inlineStr">
        <is>
          <t>休日</t>
        </is>
      </c>
      <c r="C2139" s="10" t="inlineStr">
        <is>
          <t>北野線</t>
        </is>
      </c>
      <c r="D2139" s="10" t="inlineStr">
        <is>
          <t>上り</t>
        </is>
      </c>
      <c r="E2139" t="inlineStr">
        <is>
          <t>1462</t>
        </is>
      </c>
      <c r="F2139" t="inlineStr">
        <is>
          <t>0354</t>
        </is>
      </c>
      <c r="G2139" s="10" t="inlineStr">
        <is>
          <t>常盤</t>
        </is>
      </c>
      <c r="H2139" s="10" t="inlineStr">
        <is>
          <t>発</t>
        </is>
      </c>
      <c r="J2139" s="10" t="inlineStr">
        <is>
          <t>営業</t>
        </is>
      </c>
      <c r="L2139" t="inlineStr">
        <is>
          <t>14:59:00</t>
        </is>
      </c>
      <c r="M2139" t="inlineStr">
        <is>
          <t>14:59:20</t>
        </is>
      </c>
    </row>
    <row r="2140" ht="16.5" customHeight="1" s="37">
      <c r="A2140" t="n">
        <v>19</v>
      </c>
      <c r="B2140" s="10" t="inlineStr">
        <is>
          <t>休日</t>
        </is>
      </c>
      <c r="C2140" s="10" t="inlineStr">
        <is>
          <t>北野線</t>
        </is>
      </c>
      <c r="D2140" s="10" t="inlineStr">
        <is>
          <t>上り</t>
        </is>
      </c>
      <c r="E2140" t="inlineStr">
        <is>
          <t>1462</t>
        </is>
      </c>
      <c r="F2140" t="inlineStr">
        <is>
          <t>0354</t>
        </is>
      </c>
      <c r="G2140" s="10" t="inlineStr">
        <is>
          <t>鳴滝</t>
        </is>
      </c>
      <c r="H2140" s="10" t="inlineStr">
        <is>
          <t>発</t>
        </is>
      </c>
      <c r="J2140" s="10" t="inlineStr">
        <is>
          <t>営業</t>
        </is>
      </c>
      <c r="L2140" t="inlineStr">
        <is>
          <t>15:00:20</t>
        </is>
      </c>
      <c r="M2140" t="inlineStr">
        <is>
          <t>15:00:40</t>
        </is>
      </c>
    </row>
    <row r="2141" ht="16.5" customHeight="1" s="37">
      <c r="A2141" t="n">
        <v>19</v>
      </c>
      <c r="B2141" s="10" t="inlineStr">
        <is>
          <t>休日</t>
        </is>
      </c>
      <c r="C2141" s="10" t="inlineStr">
        <is>
          <t>北野線</t>
        </is>
      </c>
      <c r="D2141" s="10" t="inlineStr">
        <is>
          <t>上り</t>
        </is>
      </c>
      <c r="E2141" t="inlineStr">
        <is>
          <t>1462</t>
        </is>
      </c>
      <c r="F2141" t="inlineStr">
        <is>
          <t>0354</t>
        </is>
      </c>
      <c r="G2141" s="10" t="inlineStr">
        <is>
          <t>宇多野</t>
        </is>
      </c>
      <c r="H2141" s="10" t="inlineStr">
        <is>
          <t>発</t>
        </is>
      </c>
      <c r="J2141" s="10" t="inlineStr">
        <is>
          <t>営業</t>
        </is>
      </c>
      <c r="L2141" t="inlineStr">
        <is>
          <t>15:02:00</t>
        </is>
      </c>
      <c r="M2141" t="inlineStr">
        <is>
          <t>15:02:15</t>
        </is>
      </c>
    </row>
    <row r="2142" ht="16.5" customHeight="1" s="37">
      <c r="A2142" t="n">
        <v>19</v>
      </c>
      <c r="B2142" s="10" t="inlineStr">
        <is>
          <t>休日</t>
        </is>
      </c>
      <c r="C2142" s="10" t="inlineStr">
        <is>
          <t>北野線</t>
        </is>
      </c>
      <c r="D2142" s="10" t="inlineStr">
        <is>
          <t>上り</t>
        </is>
      </c>
      <c r="E2142" t="inlineStr">
        <is>
          <t>1462</t>
        </is>
      </c>
      <c r="F2142" t="inlineStr">
        <is>
          <t>0354</t>
        </is>
      </c>
      <c r="G2142" s="10" t="inlineStr">
        <is>
          <t>御室仁和寺</t>
        </is>
      </c>
      <c r="H2142" s="10" t="inlineStr">
        <is>
          <t>発</t>
        </is>
      </c>
      <c r="J2142" s="10" t="inlineStr">
        <is>
          <t>営業</t>
        </is>
      </c>
      <c r="L2142" t="inlineStr">
        <is>
          <t>15:03:15</t>
        </is>
      </c>
      <c r="M2142" t="inlineStr">
        <is>
          <t>15:03:35</t>
        </is>
      </c>
    </row>
    <row r="2143" ht="16.5" customHeight="1" s="37">
      <c r="A2143" t="n">
        <v>19</v>
      </c>
      <c r="B2143" s="10" t="inlineStr">
        <is>
          <t>休日</t>
        </is>
      </c>
      <c r="C2143" s="10" t="inlineStr">
        <is>
          <t>北野線</t>
        </is>
      </c>
      <c r="D2143" s="10" t="inlineStr">
        <is>
          <t>上り</t>
        </is>
      </c>
      <c r="E2143" t="inlineStr">
        <is>
          <t>1462</t>
        </is>
      </c>
      <c r="F2143" t="inlineStr">
        <is>
          <t>0354</t>
        </is>
      </c>
      <c r="G2143" s="10" t="inlineStr">
        <is>
          <t>妙心寺</t>
        </is>
      </c>
      <c r="H2143" s="10" t="inlineStr">
        <is>
          <t>発</t>
        </is>
      </c>
      <c r="J2143" s="10" t="inlineStr">
        <is>
          <t>営業</t>
        </is>
      </c>
      <c r="L2143" t="inlineStr">
        <is>
          <t>15:04:35</t>
        </is>
      </c>
      <c r="M2143" t="inlineStr">
        <is>
          <t>15:04:50</t>
        </is>
      </c>
    </row>
    <row r="2144" ht="16.5" customHeight="1" s="37">
      <c r="A2144" t="n">
        <v>19</v>
      </c>
      <c r="B2144" s="10" t="inlineStr">
        <is>
          <t>休日</t>
        </is>
      </c>
      <c r="C2144" s="10" t="inlineStr">
        <is>
          <t>北野線</t>
        </is>
      </c>
      <c r="D2144" s="10" t="inlineStr">
        <is>
          <t>上り</t>
        </is>
      </c>
      <c r="E2144" t="inlineStr">
        <is>
          <t>1462</t>
        </is>
      </c>
      <c r="F2144" t="inlineStr">
        <is>
          <t>0354</t>
        </is>
      </c>
      <c r="G2144" s="10" t="inlineStr">
        <is>
          <t>龍安寺</t>
        </is>
      </c>
      <c r="H2144" s="10" t="inlineStr">
        <is>
          <t>発</t>
        </is>
      </c>
      <c r="J2144" s="10" t="inlineStr">
        <is>
          <t>営業</t>
        </is>
      </c>
      <c r="L2144" t="inlineStr">
        <is>
          <t>15:05:45</t>
        </is>
      </c>
      <c r="M2144" t="inlineStr">
        <is>
          <t>15:05:55</t>
        </is>
      </c>
    </row>
    <row r="2145" ht="16.5" customHeight="1" s="37">
      <c r="A2145" t="n">
        <v>19</v>
      </c>
      <c r="B2145" s="10" t="inlineStr">
        <is>
          <t>休日</t>
        </is>
      </c>
      <c r="C2145" s="10" t="inlineStr">
        <is>
          <t>北野線</t>
        </is>
      </c>
      <c r="D2145" s="10" t="inlineStr">
        <is>
          <t>上り</t>
        </is>
      </c>
      <c r="E2145" t="inlineStr">
        <is>
          <t>1462</t>
        </is>
      </c>
      <c r="F2145" t="inlineStr">
        <is>
          <t>0354</t>
        </is>
      </c>
      <c r="G2145" s="10" t="inlineStr">
        <is>
          <t>等持院</t>
        </is>
      </c>
      <c r="H2145" s="10" t="inlineStr">
        <is>
          <t>発</t>
        </is>
      </c>
      <c r="J2145" s="10" t="inlineStr">
        <is>
          <t>営業</t>
        </is>
      </c>
      <c r="L2145" t="inlineStr">
        <is>
          <t>15:06:35</t>
        </is>
      </c>
      <c r="M2145" t="inlineStr">
        <is>
          <t>15:06:55</t>
        </is>
      </c>
    </row>
    <row r="2146" ht="16.5" customHeight="1" s="37">
      <c r="A2146" t="n">
        <v>19</v>
      </c>
      <c r="B2146" s="10" t="inlineStr">
        <is>
          <t>休日</t>
        </is>
      </c>
      <c r="C2146" s="10" t="inlineStr">
        <is>
          <t>北野線</t>
        </is>
      </c>
      <c r="D2146" s="10" t="inlineStr">
        <is>
          <t>上り</t>
        </is>
      </c>
      <c r="E2146" t="inlineStr">
        <is>
          <t>1462</t>
        </is>
      </c>
      <c r="F2146" t="inlineStr">
        <is>
          <t>0354</t>
        </is>
      </c>
      <c r="G2146" s="10" t="inlineStr">
        <is>
          <t>北野白梅町</t>
        </is>
      </c>
      <c r="H2146" s="10" t="inlineStr">
        <is>
          <t>着</t>
        </is>
      </c>
      <c r="J2146" s="10" t="inlineStr">
        <is>
          <t>営業</t>
        </is>
      </c>
      <c r="L2146" t="inlineStr">
        <is>
          <t>15:08:15</t>
        </is>
      </c>
      <c r="Q2146" t="inlineStr">
        <is>
          <t>1</t>
        </is>
      </c>
    </row>
    <row r="2147" ht="16.5" customHeight="1" s="37">
      <c r="A2147" t="n">
        <v>19</v>
      </c>
      <c r="B2147" s="10" t="inlineStr">
        <is>
          <t>休日</t>
        </is>
      </c>
      <c r="C2147" s="10" t="inlineStr">
        <is>
          <t>北野線</t>
        </is>
      </c>
      <c r="D2147" s="10" t="inlineStr">
        <is>
          <t>下り</t>
        </is>
      </c>
      <c r="E2147" t="inlineStr">
        <is>
          <t>1553</t>
        </is>
      </c>
      <c r="F2147" t="inlineStr">
        <is>
          <t>0453</t>
        </is>
      </c>
      <c r="G2147" s="10" t="inlineStr">
        <is>
          <t>北野白梅町</t>
        </is>
      </c>
      <c r="H2147" s="10" t="inlineStr">
        <is>
          <t>発</t>
        </is>
      </c>
      <c r="J2147" s="10" t="inlineStr">
        <is>
          <t>営業</t>
        </is>
      </c>
      <c r="M2147" t="inlineStr">
        <is>
          <t>15:13:00</t>
        </is>
      </c>
      <c r="Q2147" t="inlineStr">
        <is>
          <t>1</t>
        </is>
      </c>
    </row>
    <row r="2148" ht="16.5" customHeight="1" s="37">
      <c r="A2148" t="n">
        <v>19</v>
      </c>
      <c r="B2148" s="10" t="inlineStr">
        <is>
          <t>休日</t>
        </is>
      </c>
      <c r="C2148" s="10" t="inlineStr">
        <is>
          <t>北野線</t>
        </is>
      </c>
      <c r="D2148" s="10" t="inlineStr">
        <is>
          <t>下り</t>
        </is>
      </c>
      <c r="E2148" t="inlineStr">
        <is>
          <t>1553</t>
        </is>
      </c>
      <c r="F2148" t="inlineStr">
        <is>
          <t>0453</t>
        </is>
      </c>
      <c r="G2148" s="10" t="inlineStr">
        <is>
          <t>等持院</t>
        </is>
      </c>
      <c r="H2148" s="10" t="inlineStr">
        <is>
          <t>発</t>
        </is>
      </c>
      <c r="J2148" s="10" t="inlineStr">
        <is>
          <t>営業</t>
        </is>
      </c>
      <c r="L2148" t="inlineStr">
        <is>
          <t>15:14:25</t>
        </is>
      </c>
      <c r="M2148" t="inlineStr">
        <is>
          <t>15:14:35</t>
        </is>
      </c>
    </row>
    <row r="2149" ht="16.5" customHeight="1" s="37">
      <c r="A2149" t="n">
        <v>19</v>
      </c>
      <c r="B2149" s="10" t="inlineStr">
        <is>
          <t>休日</t>
        </is>
      </c>
      <c r="C2149" s="10" t="inlineStr">
        <is>
          <t>北野線</t>
        </is>
      </c>
      <c r="D2149" s="10" t="inlineStr">
        <is>
          <t>下り</t>
        </is>
      </c>
      <c r="E2149" t="inlineStr">
        <is>
          <t>1553</t>
        </is>
      </c>
      <c r="F2149" t="inlineStr">
        <is>
          <t>0453</t>
        </is>
      </c>
      <c r="G2149" s="10" t="inlineStr">
        <is>
          <t>龍安寺</t>
        </is>
      </c>
      <c r="H2149" s="10" t="inlineStr">
        <is>
          <t>発</t>
        </is>
      </c>
      <c r="J2149" s="10" t="inlineStr">
        <is>
          <t>営業</t>
        </is>
      </c>
      <c r="L2149" t="inlineStr">
        <is>
          <t>15:15:25</t>
        </is>
      </c>
      <c r="M2149" t="inlineStr">
        <is>
          <t>15:15:50</t>
        </is>
      </c>
    </row>
    <row r="2150" ht="15" customHeight="1" s="37">
      <c r="A2150" t="n">
        <v>19</v>
      </c>
      <c r="B2150" s="10" t="inlineStr">
        <is>
          <t>休日</t>
        </is>
      </c>
      <c r="C2150" s="10" t="inlineStr">
        <is>
          <t>北野線</t>
        </is>
      </c>
      <c r="D2150" s="10" t="inlineStr">
        <is>
          <t>下り</t>
        </is>
      </c>
      <c r="E2150" t="inlineStr">
        <is>
          <t>1553</t>
        </is>
      </c>
      <c r="F2150" t="inlineStr">
        <is>
          <t>0453</t>
        </is>
      </c>
      <c r="G2150" s="10" t="inlineStr">
        <is>
          <t>妙心寺</t>
        </is>
      </c>
      <c r="H2150" s="10" t="inlineStr">
        <is>
          <t>発</t>
        </is>
      </c>
      <c r="J2150" s="10" t="inlineStr">
        <is>
          <t>営業</t>
        </is>
      </c>
      <c r="L2150" t="inlineStr">
        <is>
          <t>15:16:40</t>
        </is>
      </c>
      <c r="M2150" t="inlineStr">
        <is>
          <t>15:16:50</t>
        </is>
      </c>
    </row>
    <row r="2151" ht="15" customHeight="1" s="37">
      <c r="A2151" t="n">
        <v>19</v>
      </c>
      <c r="B2151" s="10" t="inlineStr">
        <is>
          <t>休日</t>
        </is>
      </c>
      <c r="C2151" s="10" t="inlineStr">
        <is>
          <t>北野線</t>
        </is>
      </c>
      <c r="D2151" s="10" t="inlineStr">
        <is>
          <t>下り</t>
        </is>
      </c>
      <c r="E2151" t="inlineStr">
        <is>
          <t>1553</t>
        </is>
      </c>
      <c r="F2151" t="inlineStr">
        <is>
          <t>0453</t>
        </is>
      </c>
      <c r="G2151" s="10" t="inlineStr">
        <is>
          <t>御室仁和寺</t>
        </is>
      </c>
      <c r="H2151" s="10" t="inlineStr">
        <is>
          <t>発</t>
        </is>
      </c>
      <c r="J2151" s="10" t="inlineStr">
        <is>
          <t>営業</t>
        </is>
      </c>
      <c r="L2151" t="inlineStr">
        <is>
          <t>15:17:50</t>
        </is>
      </c>
      <c r="M2151" t="inlineStr">
        <is>
          <t>15:18:05</t>
        </is>
      </c>
    </row>
    <row r="2152" ht="15" customHeight="1" s="37">
      <c r="A2152" t="n">
        <v>19</v>
      </c>
      <c r="B2152" s="10" t="inlineStr">
        <is>
          <t>休日</t>
        </is>
      </c>
      <c r="C2152" s="10" t="inlineStr">
        <is>
          <t>北野線</t>
        </is>
      </c>
      <c r="D2152" s="10" t="inlineStr">
        <is>
          <t>下り</t>
        </is>
      </c>
      <c r="E2152" t="inlineStr">
        <is>
          <t>1553</t>
        </is>
      </c>
      <c r="F2152" t="inlineStr">
        <is>
          <t>0453</t>
        </is>
      </c>
      <c r="G2152" s="10" t="inlineStr">
        <is>
          <t>宇多野</t>
        </is>
      </c>
      <c r="H2152" s="10" t="inlineStr">
        <is>
          <t>発</t>
        </is>
      </c>
      <c r="J2152" s="10" t="inlineStr">
        <is>
          <t>営業</t>
        </is>
      </c>
      <c r="L2152" t="inlineStr">
        <is>
          <t>15:19:05</t>
        </is>
      </c>
      <c r="M2152" t="inlineStr">
        <is>
          <t>15:19:15</t>
        </is>
      </c>
    </row>
    <row r="2153" ht="15" customHeight="1" s="37">
      <c r="A2153" t="n">
        <v>19</v>
      </c>
      <c r="B2153" s="10" t="inlineStr">
        <is>
          <t>休日</t>
        </is>
      </c>
      <c r="C2153" s="10" t="inlineStr">
        <is>
          <t>北野線</t>
        </is>
      </c>
      <c r="D2153" s="10" t="inlineStr">
        <is>
          <t>下り</t>
        </is>
      </c>
      <c r="E2153" t="inlineStr">
        <is>
          <t>1553</t>
        </is>
      </c>
      <c r="F2153" t="inlineStr">
        <is>
          <t>0453</t>
        </is>
      </c>
      <c r="G2153" s="10" t="inlineStr">
        <is>
          <t>鳴滝</t>
        </is>
      </c>
      <c r="H2153" s="10" t="inlineStr">
        <is>
          <t>発</t>
        </is>
      </c>
      <c r="J2153" s="10" t="inlineStr">
        <is>
          <t>営業</t>
        </is>
      </c>
      <c r="L2153" t="inlineStr">
        <is>
          <t>15:20:35</t>
        </is>
      </c>
      <c r="M2153" t="inlineStr">
        <is>
          <t>15:20:45</t>
        </is>
      </c>
    </row>
    <row r="2154" ht="15" customHeight="1" s="37">
      <c r="A2154" t="n">
        <v>19</v>
      </c>
      <c r="B2154" s="10" t="inlineStr">
        <is>
          <t>休日</t>
        </is>
      </c>
      <c r="C2154" s="10" t="inlineStr">
        <is>
          <t>北野線</t>
        </is>
      </c>
      <c r="D2154" s="10" t="inlineStr">
        <is>
          <t>下り</t>
        </is>
      </c>
      <c r="E2154" t="inlineStr">
        <is>
          <t>1553</t>
        </is>
      </c>
      <c r="F2154" t="inlineStr">
        <is>
          <t>0453</t>
        </is>
      </c>
      <c r="G2154" s="10" t="inlineStr">
        <is>
          <t>常盤</t>
        </is>
      </c>
      <c r="H2154" s="10" t="inlineStr">
        <is>
          <t>発</t>
        </is>
      </c>
      <c r="J2154" s="10" t="inlineStr">
        <is>
          <t>営業</t>
        </is>
      </c>
      <c r="L2154" t="inlineStr">
        <is>
          <t>15:21:35</t>
        </is>
      </c>
      <c r="M2154" t="inlineStr">
        <is>
          <t>15:21:55</t>
        </is>
      </c>
    </row>
    <row r="2155" ht="15" customHeight="1" s="37">
      <c r="A2155" t="n">
        <v>19</v>
      </c>
      <c r="B2155" s="10" t="inlineStr">
        <is>
          <t>休日</t>
        </is>
      </c>
      <c r="C2155" s="10" t="inlineStr">
        <is>
          <t>北野線</t>
        </is>
      </c>
      <c r="D2155" s="10" t="inlineStr">
        <is>
          <t>下り</t>
        </is>
      </c>
      <c r="E2155" t="inlineStr">
        <is>
          <t>1553</t>
        </is>
      </c>
      <c r="F2155" t="inlineStr">
        <is>
          <t>0453</t>
        </is>
      </c>
      <c r="G2155" s="10" t="inlineStr">
        <is>
          <t>撮影所前</t>
        </is>
      </c>
      <c r="H2155" s="10" t="inlineStr">
        <is>
          <t>発</t>
        </is>
      </c>
      <c r="J2155" s="10" t="inlineStr">
        <is>
          <t>営業</t>
        </is>
      </c>
      <c r="L2155" t="inlineStr">
        <is>
          <t>15:23:15</t>
        </is>
      </c>
      <c r="M2155" t="inlineStr">
        <is>
          <t>15:23:30</t>
        </is>
      </c>
    </row>
    <row r="2156" ht="15" customHeight="1" s="37">
      <c r="A2156" t="n">
        <v>19</v>
      </c>
      <c r="B2156" s="10" t="inlineStr">
        <is>
          <t>休日</t>
        </is>
      </c>
      <c r="C2156" s="10" t="inlineStr">
        <is>
          <t>北野線</t>
        </is>
      </c>
      <c r="D2156" s="10" t="inlineStr">
        <is>
          <t>下り</t>
        </is>
      </c>
      <c r="E2156" t="inlineStr">
        <is>
          <t>1553</t>
        </is>
      </c>
      <c r="F2156" t="inlineStr">
        <is>
          <t>0453</t>
        </is>
      </c>
      <c r="G2156" s="10" t="inlineStr">
        <is>
          <t>帷子ノ辻</t>
        </is>
      </c>
      <c r="H2156" s="10" t="inlineStr">
        <is>
          <t>着</t>
        </is>
      </c>
      <c r="J2156" s="10" t="inlineStr">
        <is>
          <t>営業</t>
        </is>
      </c>
      <c r="L2156" t="inlineStr">
        <is>
          <t>15:24:25</t>
        </is>
      </c>
      <c r="Q2156" t="inlineStr">
        <is>
          <t>3</t>
        </is>
      </c>
      <c r="T2156" t="inlineStr">
        <is>
          <t>○</t>
        </is>
      </c>
    </row>
    <row r="2157" ht="15" customHeight="1" s="37">
      <c r="A2157" t="n">
        <v>19</v>
      </c>
      <c r="B2157" s="10" t="inlineStr">
        <is>
          <t>休日</t>
        </is>
      </c>
      <c r="C2157" s="10" t="inlineStr">
        <is>
          <t>本線</t>
        </is>
      </c>
      <c r="D2157" s="10" t="inlineStr">
        <is>
          <t>上り</t>
        </is>
      </c>
      <c r="E2157" t="inlineStr">
        <is>
          <t>19系統⑫便乗</t>
        </is>
      </c>
      <c r="F2157" s="10" t="inlineStr">
        <is>
          <t>便乗</t>
        </is>
      </c>
      <c r="G2157" s="10" t="inlineStr">
        <is>
          <t>帷子ノ辻</t>
        </is>
      </c>
      <c r="H2157" s="10" t="inlineStr">
        <is>
          <t>発</t>
        </is>
      </c>
      <c r="J2157" s="10" t="inlineStr">
        <is>
          <t>便乗</t>
        </is>
      </c>
      <c r="L2157" t="inlineStr">
        <is>
          <t>15:30:10</t>
        </is>
      </c>
      <c r="M2157" t="inlineStr">
        <is>
          <t>15:31:15</t>
        </is>
      </c>
      <c r="S2157" t="inlineStr">
        <is>
          <t>連1506</t>
        </is>
      </c>
    </row>
    <row r="2158" ht="15" customHeight="1" s="37">
      <c r="A2158" t="n">
        <v>19</v>
      </c>
      <c r="B2158" s="10" t="inlineStr">
        <is>
          <t>休日</t>
        </is>
      </c>
      <c r="C2158" s="10" t="inlineStr">
        <is>
          <t>本線</t>
        </is>
      </c>
      <c r="D2158" s="10" t="inlineStr">
        <is>
          <t>上り</t>
        </is>
      </c>
      <c r="E2158" t="inlineStr">
        <is>
          <t>19系統⑫便乗</t>
        </is>
      </c>
      <c r="F2158" s="10" t="inlineStr">
        <is>
          <t>便乗</t>
        </is>
      </c>
      <c r="G2158" s="10" t="inlineStr">
        <is>
          <t>太秦広隆寺</t>
        </is>
      </c>
      <c r="H2158" s="10" t="inlineStr">
        <is>
          <t>発</t>
        </is>
      </c>
      <c r="J2158" s="10" t="inlineStr">
        <is>
          <t>便乗</t>
        </is>
      </c>
      <c r="L2158" t="inlineStr">
        <is>
          <t>15:33:25</t>
        </is>
      </c>
      <c r="M2158" t="inlineStr">
        <is>
          <t>15:33:45</t>
        </is>
      </c>
      <c r="S2158" t="inlineStr">
        <is>
          <t>連1506</t>
        </is>
      </c>
    </row>
    <row r="2159" ht="15" customHeight="1" s="37">
      <c r="A2159" t="n">
        <v>19</v>
      </c>
      <c r="B2159" s="10" t="inlineStr">
        <is>
          <t>休日</t>
        </is>
      </c>
      <c r="C2159" s="10" t="inlineStr">
        <is>
          <t>本線</t>
        </is>
      </c>
      <c r="D2159" s="10" t="inlineStr">
        <is>
          <t>上り</t>
        </is>
      </c>
      <c r="E2159" t="inlineStr">
        <is>
          <t>19系統⑫便乗</t>
        </is>
      </c>
      <c r="F2159" s="10" t="inlineStr">
        <is>
          <t>便乗</t>
        </is>
      </c>
      <c r="G2159" s="10" t="inlineStr">
        <is>
          <t>蚕ノ社</t>
        </is>
      </c>
      <c r="H2159" s="10" t="inlineStr">
        <is>
          <t>発</t>
        </is>
      </c>
      <c r="J2159" s="10" t="inlineStr">
        <is>
          <t>便乗</t>
        </is>
      </c>
      <c r="L2159" t="inlineStr">
        <is>
          <t>15:35:00</t>
        </is>
      </c>
      <c r="M2159" t="inlineStr">
        <is>
          <t>15:35:20</t>
        </is>
      </c>
      <c r="S2159" t="inlineStr">
        <is>
          <t>連1506</t>
        </is>
      </c>
    </row>
    <row r="2160" ht="15" customHeight="1" s="37">
      <c r="A2160" t="n">
        <v>19</v>
      </c>
      <c r="B2160" s="10" t="inlineStr">
        <is>
          <t>休日</t>
        </is>
      </c>
      <c r="C2160" s="10" t="inlineStr">
        <is>
          <t>本線</t>
        </is>
      </c>
      <c r="D2160" s="10" t="inlineStr">
        <is>
          <t>上り</t>
        </is>
      </c>
      <c r="E2160" t="inlineStr">
        <is>
          <t>19系統⑫便乗</t>
        </is>
      </c>
      <c r="F2160" s="10" t="inlineStr">
        <is>
          <t>便乗</t>
        </is>
      </c>
      <c r="G2160" s="10" t="inlineStr">
        <is>
          <t>天神川</t>
        </is>
      </c>
      <c r="H2160" s="10" t="inlineStr">
        <is>
          <t>発</t>
        </is>
      </c>
      <c r="J2160" s="10" t="inlineStr">
        <is>
          <t>便乗</t>
        </is>
      </c>
      <c r="L2160" t="inlineStr">
        <is>
          <t>15:36:05</t>
        </is>
      </c>
      <c r="M2160" t="inlineStr">
        <is>
          <t>15:36:50</t>
        </is>
      </c>
      <c r="S2160" t="inlineStr">
        <is>
          <t>連1506</t>
        </is>
      </c>
    </row>
    <row r="2161" ht="15" customHeight="1" s="37">
      <c r="A2161" t="n">
        <v>19</v>
      </c>
      <c r="B2161" s="10" t="inlineStr">
        <is>
          <t>休日</t>
        </is>
      </c>
      <c r="C2161" s="10" t="inlineStr">
        <is>
          <t>本線</t>
        </is>
      </c>
      <c r="D2161" s="10" t="inlineStr">
        <is>
          <t>上り</t>
        </is>
      </c>
      <c r="E2161" t="inlineStr">
        <is>
          <t>19系統⑫便乗</t>
        </is>
      </c>
      <c r="F2161" s="10" t="inlineStr">
        <is>
          <t>便乗</t>
        </is>
      </c>
      <c r="G2161" s="10" t="inlineStr">
        <is>
          <t>山ノ内</t>
        </is>
      </c>
      <c r="H2161" s="10" t="inlineStr">
        <is>
          <t>発</t>
        </is>
      </c>
      <c r="J2161" s="10" t="inlineStr">
        <is>
          <t>便乗</t>
        </is>
      </c>
      <c r="L2161" t="inlineStr">
        <is>
          <t>15:38:40</t>
        </is>
      </c>
      <c r="M2161" t="inlineStr">
        <is>
          <t>15:39:05</t>
        </is>
      </c>
      <c r="S2161" t="inlineStr">
        <is>
          <t>連1506</t>
        </is>
      </c>
    </row>
    <row r="2162" ht="15" customHeight="1" s="37">
      <c r="A2162" t="n">
        <v>19</v>
      </c>
      <c r="B2162" s="10" t="inlineStr">
        <is>
          <t>休日</t>
        </is>
      </c>
      <c r="C2162" s="10" t="inlineStr">
        <is>
          <t>本線</t>
        </is>
      </c>
      <c r="D2162" s="10" t="inlineStr">
        <is>
          <t>上り</t>
        </is>
      </c>
      <c r="E2162" t="inlineStr">
        <is>
          <t>19系統⑫便乗</t>
        </is>
      </c>
      <c r="F2162" s="10" t="inlineStr">
        <is>
          <t>便乗</t>
        </is>
      </c>
      <c r="G2162" s="10" t="inlineStr">
        <is>
          <t>西大路三条</t>
        </is>
      </c>
      <c r="H2162" s="10" t="inlineStr">
        <is>
          <t>発</t>
        </is>
      </c>
      <c r="J2162" s="10" t="inlineStr">
        <is>
          <t>便乗</t>
        </is>
      </c>
      <c r="L2162" t="inlineStr">
        <is>
          <t>15:40:55</t>
        </is>
      </c>
      <c r="M2162" t="inlineStr">
        <is>
          <t>15:41:15</t>
        </is>
      </c>
      <c r="S2162" t="inlineStr">
        <is>
          <t>連1506</t>
        </is>
      </c>
    </row>
    <row r="2163" ht="15" customHeight="1" s="37">
      <c r="A2163" t="n">
        <v>19</v>
      </c>
      <c r="B2163" s="10" t="inlineStr">
        <is>
          <t>休日</t>
        </is>
      </c>
      <c r="C2163" s="10" t="inlineStr">
        <is>
          <t>本線</t>
        </is>
      </c>
      <c r="D2163" s="10" t="inlineStr">
        <is>
          <t>上り</t>
        </is>
      </c>
      <c r="E2163" t="inlineStr">
        <is>
          <t>19系統⑫便乗</t>
        </is>
      </c>
      <c r="F2163" s="10" t="inlineStr">
        <is>
          <t>便乗</t>
        </is>
      </c>
      <c r="G2163" s="10" t="inlineStr">
        <is>
          <t>西院</t>
        </is>
      </c>
      <c r="H2163" s="10" t="inlineStr">
        <is>
          <t>着</t>
        </is>
      </c>
      <c r="J2163" s="10" t="inlineStr">
        <is>
          <t>便乗</t>
        </is>
      </c>
      <c r="L2163" t="inlineStr">
        <is>
          <t>15:43:10</t>
        </is>
      </c>
      <c r="M2163" t="inlineStr">
        <is>
          <t>15:44:05</t>
        </is>
      </c>
      <c r="S2163" t="inlineStr">
        <is>
          <t>連1506</t>
        </is>
      </c>
    </row>
    <row r="2164" ht="15" customHeight="1" s="37">
      <c r="A2164" t="n">
        <v>19</v>
      </c>
      <c r="B2164" s="10" t="inlineStr">
        <is>
          <t>休日</t>
        </is>
      </c>
      <c r="C2164" s="10" t="inlineStr">
        <is>
          <t>本線</t>
        </is>
      </c>
      <c r="D2164" s="10" t="inlineStr">
        <is>
          <t>下り</t>
        </is>
      </c>
      <c r="E2164" s="10" t="inlineStr">
        <is>
          <t>回0791</t>
        </is>
      </c>
      <c r="G2164" s="10" t="inlineStr">
        <is>
          <t>西院</t>
        </is>
      </c>
      <c r="H2164" s="10" t="inlineStr">
        <is>
          <t>発</t>
        </is>
      </c>
      <c r="J2164" s="10" t="inlineStr">
        <is>
          <t>回送</t>
        </is>
      </c>
      <c r="K2164" t="inlineStr">
        <is>
          <t>→0756</t>
        </is>
      </c>
      <c r="M2164" t="inlineStr">
        <is>
          <t>7:10:20</t>
        </is>
      </c>
    </row>
    <row r="2165" ht="15" customHeight="1" s="37">
      <c r="A2165" t="n">
        <v>19</v>
      </c>
      <c r="B2165" s="10" t="inlineStr">
        <is>
          <t>休日</t>
        </is>
      </c>
      <c r="C2165" s="10" t="inlineStr">
        <is>
          <t>本線</t>
        </is>
      </c>
      <c r="D2165" s="10" t="inlineStr">
        <is>
          <t>下り</t>
        </is>
      </c>
      <c r="E2165" s="10" t="inlineStr">
        <is>
          <t>回0791</t>
        </is>
      </c>
      <c r="G2165" s="10" t="inlineStr">
        <is>
          <t>西大路三条</t>
        </is>
      </c>
      <c r="H2165" s="10" t="inlineStr">
        <is>
          <t>発</t>
        </is>
      </c>
      <c r="J2165" s="10" t="inlineStr">
        <is>
          <t>回送</t>
        </is>
      </c>
      <c r="K2165" t="inlineStr">
        <is>
          <t>→0756</t>
        </is>
      </c>
      <c r="L2165" t="inlineStr">
        <is>
          <t>7:12:10</t>
        </is>
      </c>
      <c r="M2165" t="inlineStr">
        <is>
          <t>7:12:25</t>
        </is>
      </c>
    </row>
    <row r="2166" ht="15" customHeight="1" s="37">
      <c r="A2166" t="n">
        <v>19</v>
      </c>
      <c r="B2166" s="10" t="inlineStr">
        <is>
          <t>休日</t>
        </is>
      </c>
      <c r="C2166" s="10" t="inlineStr">
        <is>
          <t>本線</t>
        </is>
      </c>
      <c r="D2166" s="10" t="inlineStr">
        <is>
          <t>下り</t>
        </is>
      </c>
      <c r="E2166" s="10" t="inlineStr">
        <is>
          <t>回0791</t>
        </is>
      </c>
      <c r="G2166" s="10" t="inlineStr">
        <is>
          <t>山ノ内</t>
        </is>
      </c>
      <c r="H2166" s="10" t="inlineStr">
        <is>
          <t>発</t>
        </is>
      </c>
      <c r="J2166" s="10" t="inlineStr">
        <is>
          <t>回送</t>
        </is>
      </c>
      <c r="K2166" t="inlineStr">
        <is>
          <t>→0756</t>
        </is>
      </c>
      <c r="L2166" t="inlineStr">
        <is>
          <t>7:14:20</t>
        </is>
      </c>
      <c r="M2166" t="inlineStr">
        <is>
          <t>7:14:45</t>
        </is>
      </c>
    </row>
    <row r="2167" ht="15" customHeight="1" s="37">
      <c r="A2167" t="n">
        <v>19</v>
      </c>
      <c r="B2167" s="10" t="inlineStr">
        <is>
          <t>休日</t>
        </is>
      </c>
      <c r="C2167" s="10" t="inlineStr">
        <is>
          <t>本線</t>
        </is>
      </c>
      <c r="D2167" s="10" t="inlineStr">
        <is>
          <t>下り</t>
        </is>
      </c>
      <c r="E2167" s="10" t="inlineStr">
        <is>
          <t>回0791</t>
        </is>
      </c>
      <c r="G2167" s="10" t="inlineStr">
        <is>
          <t>天神川</t>
        </is>
      </c>
      <c r="H2167" s="10" t="inlineStr">
        <is>
          <t>発</t>
        </is>
      </c>
      <c r="J2167" s="10" t="inlineStr">
        <is>
          <t>回送</t>
        </is>
      </c>
      <c r="K2167" t="inlineStr">
        <is>
          <t>→0756</t>
        </is>
      </c>
      <c r="L2167" t="inlineStr">
        <is>
          <t>7:16:45</t>
        </is>
      </c>
      <c r="M2167" t="inlineStr">
        <is>
          <t>7:17:10</t>
        </is>
      </c>
    </row>
    <row r="2168" ht="15" customHeight="1" s="37">
      <c r="A2168" t="n">
        <v>19</v>
      </c>
      <c r="B2168" s="10" t="inlineStr">
        <is>
          <t>休日</t>
        </is>
      </c>
      <c r="C2168" s="10" t="inlineStr">
        <is>
          <t>本線</t>
        </is>
      </c>
      <c r="D2168" s="10" t="inlineStr">
        <is>
          <t>下り</t>
        </is>
      </c>
      <c r="E2168" s="10" t="inlineStr">
        <is>
          <t>回0791</t>
        </is>
      </c>
      <c r="G2168" s="10" t="inlineStr">
        <is>
          <t>蚕ノ社</t>
        </is>
      </c>
      <c r="H2168" s="10" t="inlineStr">
        <is>
          <t>発</t>
        </is>
      </c>
      <c r="J2168" s="10" t="inlineStr">
        <is>
          <t>回送</t>
        </is>
      </c>
      <c r="K2168" t="inlineStr">
        <is>
          <t>→0756</t>
        </is>
      </c>
      <c r="L2168" t="inlineStr">
        <is>
          <t>7:18:00</t>
        </is>
      </c>
      <c r="M2168" t="inlineStr">
        <is>
          <t>7:18:15</t>
        </is>
      </c>
    </row>
    <row r="2169" ht="15" customHeight="1" s="37">
      <c r="A2169" t="n">
        <v>19</v>
      </c>
      <c r="B2169" s="10" t="inlineStr">
        <is>
          <t>休日</t>
        </is>
      </c>
      <c r="C2169" s="10" t="inlineStr">
        <is>
          <t>本線</t>
        </is>
      </c>
      <c r="D2169" s="10" t="inlineStr">
        <is>
          <t>下り</t>
        </is>
      </c>
      <c r="E2169" s="10" t="inlineStr">
        <is>
          <t>回0791</t>
        </is>
      </c>
      <c r="G2169" s="10" t="inlineStr">
        <is>
          <t>太秦広隆寺</t>
        </is>
      </c>
      <c r="H2169" s="10" t="inlineStr">
        <is>
          <t>発</t>
        </is>
      </c>
      <c r="J2169" s="10" t="inlineStr">
        <is>
          <t>回送</t>
        </is>
      </c>
      <c r="K2169" t="inlineStr">
        <is>
          <t>→0756</t>
        </is>
      </c>
      <c r="L2169" t="inlineStr">
        <is>
          <t>7:19:35</t>
        </is>
      </c>
      <c r="M2169" t="inlineStr">
        <is>
          <t>7:19:50</t>
        </is>
      </c>
    </row>
    <row r="2170" ht="15" customHeight="1" s="37">
      <c r="A2170" t="n">
        <v>19</v>
      </c>
      <c r="B2170" s="10" t="inlineStr">
        <is>
          <t>休日</t>
        </is>
      </c>
      <c r="C2170" s="10" t="inlineStr">
        <is>
          <t>本線</t>
        </is>
      </c>
      <c r="D2170" s="10" t="inlineStr">
        <is>
          <t>下り</t>
        </is>
      </c>
      <c r="E2170" s="10" t="inlineStr">
        <is>
          <t>回0791</t>
        </is>
      </c>
      <c r="G2170" s="10" t="inlineStr">
        <is>
          <t>帷子ノ辻</t>
        </is>
      </c>
      <c r="H2170" s="10" t="inlineStr">
        <is>
          <t>着</t>
        </is>
      </c>
      <c r="J2170" s="10" t="inlineStr">
        <is>
          <t>回送</t>
        </is>
      </c>
      <c r="K2170" t="inlineStr">
        <is>
          <t>→0756</t>
        </is>
      </c>
      <c r="L2170" t="inlineStr">
        <is>
          <t>7:21:50</t>
        </is>
      </c>
    </row>
    <row r="2171" ht="15" customHeight="1" s="37">
      <c r="A2171" t="n">
        <v>2</v>
      </c>
      <c r="B2171" s="10" t="inlineStr">
        <is>
          <t>休日</t>
        </is>
      </c>
      <c r="C2171" s="10" t="inlineStr">
        <is>
          <t>本線</t>
        </is>
      </c>
      <c r="D2171" s="10" t="inlineStr">
        <is>
          <t>下り</t>
        </is>
      </c>
      <c r="E2171" t="inlineStr">
        <is>
          <t>0503</t>
        </is>
      </c>
      <c r="F2171" t="inlineStr">
        <is>
          <t>0502</t>
        </is>
      </c>
      <c r="G2171" s="10" t="inlineStr">
        <is>
          <t>西院</t>
        </is>
      </c>
      <c r="H2171" s="10" t="inlineStr">
        <is>
          <t>発</t>
        </is>
      </c>
      <c r="J2171" s="10" t="inlineStr">
        <is>
          <t>営業</t>
        </is>
      </c>
      <c r="M2171" t="inlineStr">
        <is>
          <t>5:45:20</t>
        </is>
      </c>
    </row>
    <row r="2172" ht="15" customHeight="1" s="37">
      <c r="A2172" t="n">
        <v>2</v>
      </c>
      <c r="B2172" s="10" t="inlineStr">
        <is>
          <t>休日</t>
        </is>
      </c>
      <c r="C2172" s="10" t="inlineStr">
        <is>
          <t>本線</t>
        </is>
      </c>
      <c r="D2172" s="10" t="inlineStr">
        <is>
          <t>下り</t>
        </is>
      </c>
      <c r="E2172" t="inlineStr">
        <is>
          <t>0503</t>
        </is>
      </c>
      <c r="F2172" t="inlineStr">
        <is>
          <t>0502</t>
        </is>
      </c>
      <c r="G2172" s="10" t="inlineStr">
        <is>
          <t>西大路三条</t>
        </is>
      </c>
      <c r="H2172" s="10" t="inlineStr">
        <is>
          <t>発</t>
        </is>
      </c>
      <c r="J2172" s="10" t="inlineStr">
        <is>
          <t>営業</t>
        </is>
      </c>
      <c r="L2172" t="inlineStr">
        <is>
          <t>5:47:10</t>
        </is>
      </c>
      <c r="M2172" t="inlineStr">
        <is>
          <t>5:47:25</t>
        </is>
      </c>
    </row>
    <row r="2173" ht="15" customHeight="1" s="37">
      <c r="A2173" t="n">
        <v>2</v>
      </c>
      <c r="B2173" s="10" t="inlineStr">
        <is>
          <t>休日</t>
        </is>
      </c>
      <c r="C2173" s="10" t="inlineStr">
        <is>
          <t>本線</t>
        </is>
      </c>
      <c r="D2173" s="10" t="inlineStr">
        <is>
          <t>下り</t>
        </is>
      </c>
      <c r="E2173" t="inlineStr">
        <is>
          <t>0503</t>
        </is>
      </c>
      <c r="F2173" t="inlineStr">
        <is>
          <t>0502</t>
        </is>
      </c>
      <c r="G2173" s="10" t="inlineStr">
        <is>
          <t>山ノ内</t>
        </is>
      </c>
      <c r="H2173" s="10" t="inlineStr">
        <is>
          <t>発</t>
        </is>
      </c>
      <c r="J2173" s="10" t="inlineStr">
        <is>
          <t>営業</t>
        </is>
      </c>
      <c r="L2173" t="inlineStr">
        <is>
          <t>5:49:20</t>
        </is>
      </c>
      <c r="M2173" t="inlineStr">
        <is>
          <t>5:49:45</t>
        </is>
      </c>
    </row>
    <row r="2174" ht="15" customHeight="1" s="37">
      <c r="A2174" t="n">
        <v>2</v>
      </c>
      <c r="B2174" s="10" t="inlineStr">
        <is>
          <t>休日</t>
        </is>
      </c>
      <c r="C2174" s="10" t="inlineStr">
        <is>
          <t>本線</t>
        </is>
      </c>
      <c r="D2174" s="10" t="inlineStr">
        <is>
          <t>下り</t>
        </is>
      </c>
      <c r="E2174" t="inlineStr">
        <is>
          <t>0503</t>
        </is>
      </c>
      <c r="F2174" t="inlineStr">
        <is>
          <t>0502</t>
        </is>
      </c>
      <c r="G2174" s="10" t="inlineStr">
        <is>
          <t>天神川</t>
        </is>
      </c>
      <c r="H2174" s="10" t="inlineStr">
        <is>
          <t>発</t>
        </is>
      </c>
      <c r="J2174" s="10" t="inlineStr">
        <is>
          <t>営業</t>
        </is>
      </c>
      <c r="L2174" t="inlineStr">
        <is>
          <t>5:51:45</t>
        </is>
      </c>
      <c r="M2174" t="inlineStr">
        <is>
          <t>5:52:10</t>
        </is>
      </c>
    </row>
    <row r="2175" ht="15" customHeight="1" s="37">
      <c r="A2175" t="n">
        <v>2</v>
      </c>
      <c r="B2175" s="10" t="inlineStr">
        <is>
          <t>休日</t>
        </is>
      </c>
      <c r="C2175" s="10" t="inlineStr">
        <is>
          <t>本線</t>
        </is>
      </c>
      <c r="D2175" s="10" t="inlineStr">
        <is>
          <t>下り</t>
        </is>
      </c>
      <c r="E2175" t="inlineStr">
        <is>
          <t>0503</t>
        </is>
      </c>
      <c r="F2175" t="inlineStr">
        <is>
          <t>0502</t>
        </is>
      </c>
      <c r="G2175" s="10" t="inlineStr">
        <is>
          <t>蚕ノ社</t>
        </is>
      </c>
      <c r="H2175" s="10" t="inlineStr">
        <is>
          <t>発</t>
        </is>
      </c>
      <c r="J2175" s="10" t="inlineStr">
        <is>
          <t>営業</t>
        </is>
      </c>
      <c r="L2175" t="inlineStr">
        <is>
          <t>5:53:00</t>
        </is>
      </c>
      <c r="M2175" t="inlineStr">
        <is>
          <t>5:53:15</t>
        </is>
      </c>
    </row>
    <row r="2176" ht="15" customHeight="1" s="37">
      <c r="A2176" t="n">
        <v>2</v>
      </c>
      <c r="B2176" s="10" t="inlineStr">
        <is>
          <t>休日</t>
        </is>
      </c>
      <c r="C2176" s="10" t="inlineStr">
        <is>
          <t>本線</t>
        </is>
      </c>
      <c r="D2176" s="10" t="inlineStr">
        <is>
          <t>下り</t>
        </is>
      </c>
      <c r="E2176" t="inlineStr">
        <is>
          <t>0503</t>
        </is>
      </c>
      <c r="F2176" t="inlineStr">
        <is>
          <t>0502</t>
        </is>
      </c>
      <c r="G2176" s="10" t="inlineStr">
        <is>
          <t>太秦広隆寺</t>
        </is>
      </c>
      <c r="H2176" s="10" t="inlineStr">
        <is>
          <t>発</t>
        </is>
      </c>
      <c r="J2176" s="10" t="inlineStr">
        <is>
          <t>営業</t>
        </is>
      </c>
      <c r="L2176" t="inlineStr">
        <is>
          <t>5:54:35</t>
        </is>
      </c>
      <c r="M2176" t="inlineStr">
        <is>
          <t>5:54:50</t>
        </is>
      </c>
    </row>
    <row r="2177" ht="15" customHeight="1" s="37">
      <c r="A2177" t="n">
        <v>2</v>
      </c>
      <c r="B2177" s="10" t="inlineStr">
        <is>
          <t>休日</t>
        </is>
      </c>
      <c r="C2177" s="10" t="inlineStr">
        <is>
          <t>本線</t>
        </is>
      </c>
      <c r="D2177" s="10" t="inlineStr">
        <is>
          <t>下り</t>
        </is>
      </c>
      <c r="E2177" t="inlineStr">
        <is>
          <t>0503</t>
        </is>
      </c>
      <c r="F2177" t="inlineStr">
        <is>
          <t>0502</t>
        </is>
      </c>
      <c r="G2177" s="10" t="inlineStr">
        <is>
          <t>帷子ノ辻</t>
        </is>
      </c>
      <c r="H2177" s="10" t="inlineStr">
        <is>
          <t>発</t>
        </is>
      </c>
      <c r="J2177" s="10" t="inlineStr">
        <is>
          <t>営業</t>
        </is>
      </c>
      <c r="L2177" t="inlineStr">
        <is>
          <t>5:56:50</t>
        </is>
      </c>
      <c r="M2177" t="inlineStr">
        <is>
          <t>5:57:20</t>
        </is>
      </c>
      <c r="N2177" t="inlineStr">
        <is>
          <t>○</t>
        </is>
      </c>
    </row>
    <row r="2178" ht="15" customHeight="1" s="37">
      <c r="A2178" t="n">
        <v>2</v>
      </c>
      <c r="B2178" s="10" t="inlineStr">
        <is>
          <t>休日</t>
        </is>
      </c>
      <c r="C2178" s="10" t="inlineStr">
        <is>
          <t>本線</t>
        </is>
      </c>
      <c r="D2178" s="10" t="inlineStr">
        <is>
          <t>下り</t>
        </is>
      </c>
      <c r="E2178" t="inlineStr">
        <is>
          <t>0503</t>
        </is>
      </c>
      <c r="F2178" t="inlineStr">
        <is>
          <t>0502</t>
        </is>
      </c>
      <c r="G2178" s="10" t="inlineStr">
        <is>
          <t>有栖川</t>
        </is>
      </c>
      <c r="H2178" s="10" t="inlineStr">
        <is>
          <t>発</t>
        </is>
      </c>
      <c r="J2178" s="10" t="inlineStr">
        <is>
          <t>営業</t>
        </is>
      </c>
      <c r="L2178" t="inlineStr">
        <is>
          <t>5:58:30</t>
        </is>
      </c>
      <c r="M2178" t="inlineStr">
        <is>
          <t>5:58:45</t>
        </is>
      </c>
    </row>
    <row r="2179" ht="15" customHeight="1" s="37">
      <c r="A2179" t="n">
        <v>2</v>
      </c>
      <c r="B2179" s="10" t="inlineStr">
        <is>
          <t>休日</t>
        </is>
      </c>
      <c r="C2179" s="10" t="inlineStr">
        <is>
          <t>本線</t>
        </is>
      </c>
      <c r="D2179" s="10" t="inlineStr">
        <is>
          <t>下り</t>
        </is>
      </c>
      <c r="E2179" t="inlineStr">
        <is>
          <t>0503</t>
        </is>
      </c>
      <c r="F2179" t="inlineStr">
        <is>
          <t>0502</t>
        </is>
      </c>
      <c r="G2179" s="10" t="inlineStr">
        <is>
          <t>車折</t>
        </is>
      </c>
      <c r="H2179" s="10" t="inlineStr">
        <is>
          <t>発</t>
        </is>
      </c>
      <c r="J2179" s="10" t="inlineStr">
        <is>
          <t>営業</t>
        </is>
      </c>
      <c r="L2179" t="inlineStr">
        <is>
          <t>6:00:10</t>
        </is>
      </c>
      <c r="M2179" t="inlineStr">
        <is>
          <t>6:00:25</t>
        </is>
      </c>
    </row>
    <row r="2180" ht="15" customHeight="1" s="37">
      <c r="A2180" t="n">
        <v>2</v>
      </c>
      <c r="B2180" s="10" t="inlineStr">
        <is>
          <t>休日</t>
        </is>
      </c>
      <c r="C2180" s="10" t="inlineStr">
        <is>
          <t>本線</t>
        </is>
      </c>
      <c r="D2180" s="10" t="inlineStr">
        <is>
          <t>下り</t>
        </is>
      </c>
      <c r="E2180" t="inlineStr">
        <is>
          <t>0503</t>
        </is>
      </c>
      <c r="F2180" t="inlineStr">
        <is>
          <t>0502</t>
        </is>
      </c>
      <c r="G2180" s="10" t="inlineStr">
        <is>
          <t>鹿王院</t>
        </is>
      </c>
      <c r="H2180" s="10" t="inlineStr">
        <is>
          <t>発</t>
        </is>
      </c>
      <c r="J2180" s="10" t="inlineStr">
        <is>
          <t>営業</t>
        </is>
      </c>
      <c r="L2180" t="inlineStr">
        <is>
          <t>6:01:20</t>
        </is>
      </c>
      <c r="M2180" t="inlineStr">
        <is>
          <t>6:01:35</t>
        </is>
      </c>
    </row>
    <row r="2181" ht="15" customHeight="1" s="37">
      <c r="A2181" t="n">
        <v>2</v>
      </c>
      <c r="B2181" s="10" t="inlineStr">
        <is>
          <t>休日</t>
        </is>
      </c>
      <c r="C2181" s="10" t="inlineStr">
        <is>
          <t>本線</t>
        </is>
      </c>
      <c r="D2181" s="10" t="inlineStr">
        <is>
          <t>下り</t>
        </is>
      </c>
      <c r="E2181" t="inlineStr">
        <is>
          <t>0503</t>
        </is>
      </c>
      <c r="F2181" t="inlineStr">
        <is>
          <t>0502</t>
        </is>
      </c>
      <c r="G2181" s="10" t="inlineStr">
        <is>
          <t>嵯峨</t>
        </is>
      </c>
      <c r="H2181" s="10" t="inlineStr">
        <is>
          <t>発</t>
        </is>
      </c>
      <c r="J2181" s="10" t="inlineStr">
        <is>
          <t>営業</t>
        </is>
      </c>
      <c r="L2181" t="inlineStr">
        <is>
          <t>6:02:40</t>
        </is>
      </c>
      <c r="M2181" t="inlineStr">
        <is>
          <t>6:02:55</t>
        </is>
      </c>
    </row>
    <row r="2182" ht="15" customHeight="1" s="37">
      <c r="A2182" t="n">
        <v>2</v>
      </c>
      <c r="B2182" s="10" t="inlineStr">
        <is>
          <t>休日</t>
        </is>
      </c>
      <c r="C2182" s="10" t="inlineStr">
        <is>
          <t>本線</t>
        </is>
      </c>
      <c r="D2182" s="10" t="inlineStr">
        <is>
          <t>下り</t>
        </is>
      </c>
      <c r="E2182" t="inlineStr">
        <is>
          <t>0503</t>
        </is>
      </c>
      <c r="F2182" t="inlineStr">
        <is>
          <t>0502</t>
        </is>
      </c>
      <c r="G2182" s="10" t="inlineStr">
        <is>
          <t>嵐山</t>
        </is>
      </c>
      <c r="H2182" s="10" t="inlineStr">
        <is>
          <t>着</t>
        </is>
      </c>
      <c r="J2182" s="10" t="inlineStr">
        <is>
          <t>営業</t>
        </is>
      </c>
      <c r="L2182" t="inlineStr">
        <is>
          <t>6:04:00</t>
        </is>
      </c>
      <c r="N2182" t="inlineStr">
        <is>
          <t>○</t>
        </is>
      </c>
      <c r="Q2182" t="inlineStr">
        <is>
          <t>1</t>
        </is>
      </c>
    </row>
    <row r="2183" ht="15" customHeight="1" s="37">
      <c r="A2183" t="n">
        <v>2</v>
      </c>
      <c r="B2183" s="10" t="inlineStr">
        <is>
          <t>休日</t>
        </is>
      </c>
      <c r="C2183" s="10" t="inlineStr">
        <is>
          <t>本線</t>
        </is>
      </c>
      <c r="D2183" s="10" t="inlineStr">
        <is>
          <t>上り</t>
        </is>
      </c>
      <c r="E2183" t="inlineStr">
        <is>
          <t>0602</t>
        </is>
      </c>
      <c r="F2183" t="inlineStr">
        <is>
          <t>0201</t>
        </is>
      </c>
      <c r="G2183" s="10" t="inlineStr">
        <is>
          <t>嵐山</t>
        </is>
      </c>
      <c r="H2183" s="10" t="inlineStr">
        <is>
          <t>発</t>
        </is>
      </c>
      <c r="J2183" s="10" t="inlineStr">
        <is>
          <t>営業</t>
        </is>
      </c>
      <c r="M2183" t="inlineStr">
        <is>
          <t>6:09:00</t>
        </is>
      </c>
      <c r="Q2183" t="inlineStr">
        <is>
          <t>1</t>
        </is>
      </c>
    </row>
    <row r="2184" ht="15" customHeight="1" s="37">
      <c r="A2184" t="n">
        <v>2</v>
      </c>
      <c r="B2184" s="10" t="inlineStr">
        <is>
          <t>休日</t>
        </is>
      </c>
      <c r="C2184" s="10" t="inlineStr">
        <is>
          <t>本線</t>
        </is>
      </c>
      <c r="D2184" s="10" t="inlineStr">
        <is>
          <t>上り</t>
        </is>
      </c>
      <c r="E2184" t="inlineStr">
        <is>
          <t>0602</t>
        </is>
      </c>
      <c r="F2184" t="inlineStr">
        <is>
          <t>0201</t>
        </is>
      </c>
      <c r="G2184" s="10" t="inlineStr">
        <is>
          <t>嵯峨</t>
        </is>
      </c>
      <c r="H2184" s="10" t="inlineStr">
        <is>
          <t>発</t>
        </is>
      </c>
      <c r="J2184" s="10" t="inlineStr">
        <is>
          <t>営業</t>
        </is>
      </c>
      <c r="L2184" t="inlineStr">
        <is>
          <t>6:09:55</t>
        </is>
      </c>
      <c r="M2184" t="inlineStr">
        <is>
          <t>6:10:20</t>
        </is>
      </c>
    </row>
    <row r="2185" ht="15" customHeight="1" s="37">
      <c r="A2185" t="n">
        <v>2</v>
      </c>
      <c r="B2185" s="10" t="inlineStr">
        <is>
          <t>休日</t>
        </is>
      </c>
      <c r="C2185" s="10" t="inlineStr">
        <is>
          <t>本線</t>
        </is>
      </c>
      <c r="D2185" s="10" t="inlineStr">
        <is>
          <t>上り</t>
        </is>
      </c>
      <c r="E2185" t="inlineStr">
        <is>
          <t>0602</t>
        </is>
      </c>
      <c r="F2185" t="inlineStr">
        <is>
          <t>0201</t>
        </is>
      </c>
      <c r="G2185" s="10" t="inlineStr">
        <is>
          <t>鹿王院</t>
        </is>
      </c>
      <c r="H2185" s="10" t="inlineStr">
        <is>
          <t>発</t>
        </is>
      </c>
      <c r="J2185" s="10" t="inlineStr">
        <is>
          <t>営業</t>
        </is>
      </c>
      <c r="L2185" t="inlineStr">
        <is>
          <t>6:11:25</t>
        </is>
      </c>
      <c r="M2185" t="inlineStr">
        <is>
          <t>6:11:45</t>
        </is>
      </c>
    </row>
    <row r="2186" ht="15" customHeight="1" s="37">
      <c r="A2186" t="n">
        <v>2</v>
      </c>
      <c r="B2186" s="10" t="inlineStr">
        <is>
          <t>休日</t>
        </is>
      </c>
      <c r="C2186" s="10" t="inlineStr">
        <is>
          <t>本線</t>
        </is>
      </c>
      <c r="D2186" s="10" t="inlineStr">
        <is>
          <t>上り</t>
        </is>
      </c>
      <c r="E2186" t="inlineStr">
        <is>
          <t>0602</t>
        </is>
      </c>
      <c r="F2186" t="inlineStr">
        <is>
          <t>0201</t>
        </is>
      </c>
      <c r="G2186" s="10" t="inlineStr">
        <is>
          <t>車折</t>
        </is>
      </c>
      <c r="H2186" s="10" t="inlineStr">
        <is>
          <t>発</t>
        </is>
      </c>
      <c r="J2186" s="10" t="inlineStr">
        <is>
          <t>営業</t>
        </is>
      </c>
      <c r="L2186" t="inlineStr">
        <is>
          <t>6:12:40</t>
        </is>
      </c>
      <c r="M2186" t="inlineStr">
        <is>
          <t>6:13:10</t>
        </is>
      </c>
    </row>
    <row r="2187" ht="15" customHeight="1" s="37">
      <c r="A2187" t="n">
        <v>2</v>
      </c>
      <c r="B2187" s="10" t="inlineStr">
        <is>
          <t>休日</t>
        </is>
      </c>
      <c r="C2187" s="10" t="inlineStr">
        <is>
          <t>本線</t>
        </is>
      </c>
      <c r="D2187" s="10" t="inlineStr">
        <is>
          <t>上り</t>
        </is>
      </c>
      <c r="E2187" t="inlineStr">
        <is>
          <t>0602</t>
        </is>
      </c>
      <c r="F2187" t="inlineStr">
        <is>
          <t>0201</t>
        </is>
      </c>
      <c r="G2187" s="10" t="inlineStr">
        <is>
          <t>有栖川</t>
        </is>
      </c>
      <c r="H2187" s="10" t="inlineStr">
        <is>
          <t>発</t>
        </is>
      </c>
      <c r="J2187" s="10" t="inlineStr">
        <is>
          <t>営業</t>
        </is>
      </c>
      <c r="L2187" t="inlineStr">
        <is>
          <t>6:14:35</t>
        </is>
      </c>
      <c r="M2187" t="inlineStr">
        <is>
          <t>6:14:55</t>
        </is>
      </c>
    </row>
    <row r="2188" ht="15" customHeight="1" s="37">
      <c r="A2188" t="n">
        <v>2</v>
      </c>
      <c r="B2188" s="10" t="inlineStr">
        <is>
          <t>休日</t>
        </is>
      </c>
      <c r="C2188" s="10" t="inlineStr">
        <is>
          <t>本線</t>
        </is>
      </c>
      <c r="D2188" s="10" t="inlineStr">
        <is>
          <t>上り</t>
        </is>
      </c>
      <c r="E2188" t="inlineStr">
        <is>
          <t>0602</t>
        </is>
      </c>
      <c r="F2188" t="inlineStr">
        <is>
          <t>0201</t>
        </is>
      </c>
      <c r="G2188" s="10" t="inlineStr">
        <is>
          <t>帷子ノ辻</t>
        </is>
      </c>
      <c r="H2188" s="10" t="inlineStr">
        <is>
          <t>発</t>
        </is>
      </c>
      <c r="J2188" s="10" t="inlineStr">
        <is>
          <t>営業</t>
        </is>
      </c>
      <c r="L2188" t="inlineStr">
        <is>
          <t>6:16:10</t>
        </is>
      </c>
      <c r="M2188" t="inlineStr">
        <is>
          <t>6:17:15</t>
        </is>
      </c>
      <c r="N2188" t="inlineStr">
        <is>
          <t>○</t>
        </is>
      </c>
    </row>
    <row r="2189" ht="15" customHeight="1" s="37">
      <c r="A2189" t="n">
        <v>2</v>
      </c>
      <c r="B2189" s="10" t="inlineStr">
        <is>
          <t>休日</t>
        </is>
      </c>
      <c r="C2189" s="10" t="inlineStr">
        <is>
          <t>本線</t>
        </is>
      </c>
      <c r="D2189" s="10" t="inlineStr">
        <is>
          <t>上り</t>
        </is>
      </c>
      <c r="E2189" t="inlineStr">
        <is>
          <t>0602</t>
        </is>
      </c>
      <c r="F2189" t="inlineStr">
        <is>
          <t>0201</t>
        </is>
      </c>
      <c r="G2189" s="10" t="inlineStr">
        <is>
          <t>太秦広隆寺</t>
        </is>
      </c>
      <c r="H2189" s="10" t="inlineStr">
        <is>
          <t>発</t>
        </is>
      </c>
      <c r="J2189" s="10" t="inlineStr">
        <is>
          <t>営業</t>
        </is>
      </c>
      <c r="L2189" t="inlineStr">
        <is>
          <t>6:19:25</t>
        </is>
      </c>
      <c r="M2189" t="inlineStr">
        <is>
          <t>6:19:45</t>
        </is>
      </c>
    </row>
    <row r="2190" ht="15" customHeight="1" s="37">
      <c r="A2190" t="n">
        <v>2</v>
      </c>
      <c r="B2190" s="10" t="inlineStr">
        <is>
          <t>休日</t>
        </is>
      </c>
      <c r="C2190" s="10" t="inlineStr">
        <is>
          <t>本線</t>
        </is>
      </c>
      <c r="D2190" s="10" t="inlineStr">
        <is>
          <t>上り</t>
        </is>
      </c>
      <c r="E2190" t="inlineStr">
        <is>
          <t>0602</t>
        </is>
      </c>
      <c r="F2190" t="inlineStr">
        <is>
          <t>0201</t>
        </is>
      </c>
      <c r="G2190" s="10" t="inlineStr">
        <is>
          <t>蚕ノ社</t>
        </is>
      </c>
      <c r="H2190" s="10" t="inlineStr">
        <is>
          <t>発</t>
        </is>
      </c>
      <c r="J2190" s="10" t="inlineStr">
        <is>
          <t>営業</t>
        </is>
      </c>
      <c r="L2190" t="inlineStr">
        <is>
          <t>6:21:00</t>
        </is>
      </c>
      <c r="M2190" t="inlineStr">
        <is>
          <t>6:21:20</t>
        </is>
      </c>
    </row>
    <row r="2191" ht="15" customHeight="1" s="37">
      <c r="A2191" t="n">
        <v>2</v>
      </c>
      <c r="B2191" s="10" t="inlineStr">
        <is>
          <t>休日</t>
        </is>
      </c>
      <c r="C2191" s="10" t="inlineStr">
        <is>
          <t>本線</t>
        </is>
      </c>
      <c r="D2191" s="10" t="inlineStr">
        <is>
          <t>上り</t>
        </is>
      </c>
      <c r="E2191" t="inlineStr">
        <is>
          <t>0602</t>
        </is>
      </c>
      <c r="F2191" t="inlineStr">
        <is>
          <t>0201</t>
        </is>
      </c>
      <c r="G2191" s="10" t="inlineStr">
        <is>
          <t>天神川</t>
        </is>
      </c>
      <c r="H2191" s="10" t="inlineStr">
        <is>
          <t>発</t>
        </is>
      </c>
      <c r="J2191" s="10" t="inlineStr">
        <is>
          <t>営業</t>
        </is>
      </c>
      <c r="L2191" t="inlineStr">
        <is>
          <t>6:22:05</t>
        </is>
      </c>
      <c r="M2191" t="inlineStr">
        <is>
          <t>6:22:50</t>
        </is>
      </c>
    </row>
    <row r="2192" ht="15" customHeight="1" s="37">
      <c r="A2192" t="n">
        <v>2</v>
      </c>
      <c r="B2192" s="10" t="inlineStr">
        <is>
          <t>休日</t>
        </is>
      </c>
      <c r="C2192" s="10" t="inlineStr">
        <is>
          <t>本線</t>
        </is>
      </c>
      <c r="D2192" s="10" t="inlineStr">
        <is>
          <t>上り</t>
        </is>
      </c>
      <c r="E2192" t="inlineStr">
        <is>
          <t>0602</t>
        </is>
      </c>
      <c r="F2192" t="inlineStr">
        <is>
          <t>0201</t>
        </is>
      </c>
      <c r="G2192" s="10" t="inlineStr">
        <is>
          <t>山ノ内</t>
        </is>
      </c>
      <c r="H2192" s="10" t="inlineStr">
        <is>
          <t>発</t>
        </is>
      </c>
      <c r="J2192" s="10" t="inlineStr">
        <is>
          <t>営業</t>
        </is>
      </c>
      <c r="L2192" t="inlineStr">
        <is>
          <t>6:24:40</t>
        </is>
      </c>
      <c r="M2192" t="inlineStr">
        <is>
          <t>6:25:05</t>
        </is>
      </c>
    </row>
    <row r="2193" ht="15" customHeight="1" s="37">
      <c r="A2193" t="n">
        <v>2</v>
      </c>
      <c r="B2193" s="10" t="inlineStr">
        <is>
          <t>休日</t>
        </is>
      </c>
      <c r="C2193" s="10" t="inlineStr">
        <is>
          <t>本線</t>
        </is>
      </c>
      <c r="D2193" s="10" t="inlineStr">
        <is>
          <t>上り</t>
        </is>
      </c>
      <c r="E2193" t="inlineStr">
        <is>
          <t>0602</t>
        </is>
      </c>
      <c r="F2193" t="inlineStr">
        <is>
          <t>0201</t>
        </is>
      </c>
      <c r="G2193" s="10" t="inlineStr">
        <is>
          <t>西大路三条</t>
        </is>
      </c>
      <c r="H2193" s="10" t="inlineStr">
        <is>
          <t>発</t>
        </is>
      </c>
      <c r="J2193" s="10" t="inlineStr">
        <is>
          <t>営業</t>
        </is>
      </c>
      <c r="L2193" t="inlineStr">
        <is>
          <t>6:26:55</t>
        </is>
      </c>
      <c r="M2193" t="inlineStr">
        <is>
          <t>6:27:15</t>
        </is>
      </c>
    </row>
    <row r="2194" ht="15" customHeight="1" s="37">
      <c r="A2194" t="n">
        <v>2</v>
      </c>
      <c r="B2194" s="10" t="inlineStr">
        <is>
          <t>休日</t>
        </is>
      </c>
      <c r="C2194" s="10" t="inlineStr">
        <is>
          <t>本線</t>
        </is>
      </c>
      <c r="D2194" s="10" t="inlineStr">
        <is>
          <t>上り</t>
        </is>
      </c>
      <c r="E2194" t="inlineStr">
        <is>
          <t>0602</t>
        </is>
      </c>
      <c r="F2194" t="inlineStr">
        <is>
          <t>0201</t>
        </is>
      </c>
      <c r="G2194" s="10" t="inlineStr">
        <is>
          <t>西院</t>
        </is>
      </c>
      <c r="H2194" s="10" t="inlineStr">
        <is>
          <t>発</t>
        </is>
      </c>
      <c r="J2194" s="10" t="inlineStr">
        <is>
          <t>営業</t>
        </is>
      </c>
      <c r="L2194" t="inlineStr">
        <is>
          <t>6:29:10</t>
        </is>
      </c>
      <c r="M2194" t="inlineStr">
        <is>
          <t>6:30:05</t>
        </is>
      </c>
    </row>
    <row r="2195" ht="15" customHeight="1" s="37">
      <c r="A2195" t="n">
        <v>2</v>
      </c>
      <c r="B2195" s="10" t="inlineStr">
        <is>
          <t>休日</t>
        </is>
      </c>
      <c r="C2195" s="10" t="inlineStr">
        <is>
          <t>本線</t>
        </is>
      </c>
      <c r="D2195" s="10" t="inlineStr">
        <is>
          <t>上り</t>
        </is>
      </c>
      <c r="E2195" t="inlineStr">
        <is>
          <t>0602</t>
        </is>
      </c>
      <c r="F2195" t="inlineStr">
        <is>
          <t>0201</t>
        </is>
      </c>
      <c r="G2195" s="10" t="inlineStr">
        <is>
          <t>四条大宮</t>
        </is>
      </c>
      <c r="H2195" s="10" t="inlineStr">
        <is>
          <t>着</t>
        </is>
      </c>
      <c r="J2195" s="10" t="inlineStr">
        <is>
          <t>営業</t>
        </is>
      </c>
      <c r="L2195" t="inlineStr">
        <is>
          <t>6:33:00</t>
        </is>
      </c>
      <c r="N2195" t="inlineStr">
        <is>
          <t>○</t>
        </is>
      </c>
      <c r="Q2195" t="inlineStr">
        <is>
          <t>1</t>
        </is>
      </c>
    </row>
    <row r="2196" ht="15" customHeight="1" s="37">
      <c r="A2196" t="n">
        <v>2</v>
      </c>
      <c r="B2196" s="10" t="inlineStr">
        <is>
          <t>休日</t>
        </is>
      </c>
      <c r="C2196" s="10" t="inlineStr">
        <is>
          <t>本線</t>
        </is>
      </c>
      <c r="D2196" s="10" t="inlineStr">
        <is>
          <t>下り</t>
        </is>
      </c>
      <c r="E2196" t="inlineStr">
        <is>
          <t>0609</t>
        </is>
      </c>
      <c r="F2196" t="inlineStr">
        <is>
          <t>0122</t>
        </is>
      </c>
      <c r="G2196" s="10" t="inlineStr">
        <is>
          <t>四条大宮</t>
        </is>
      </c>
      <c r="H2196" s="10" t="inlineStr">
        <is>
          <t>発</t>
        </is>
      </c>
      <c r="J2196" s="10" t="inlineStr">
        <is>
          <t>営業</t>
        </is>
      </c>
      <c r="M2196" t="inlineStr">
        <is>
          <t>6:40:00</t>
        </is>
      </c>
      <c r="Q2196" t="inlineStr">
        <is>
          <t>1</t>
        </is>
      </c>
    </row>
    <row r="2197" ht="15" customHeight="1" s="37">
      <c r="A2197" t="n">
        <v>2</v>
      </c>
      <c r="B2197" s="10" t="inlineStr">
        <is>
          <t>休日</t>
        </is>
      </c>
      <c r="C2197" s="10" t="inlineStr">
        <is>
          <t>本線</t>
        </is>
      </c>
      <c r="D2197" s="10" t="inlineStr">
        <is>
          <t>下り</t>
        </is>
      </c>
      <c r="E2197" t="inlineStr">
        <is>
          <t>0609</t>
        </is>
      </c>
      <c r="F2197" t="inlineStr">
        <is>
          <t>0122</t>
        </is>
      </c>
      <c r="G2197" s="10" t="inlineStr">
        <is>
          <t>西院</t>
        </is>
      </c>
      <c r="H2197" s="10" t="inlineStr">
        <is>
          <t>発</t>
        </is>
      </c>
      <c r="J2197" s="10" t="inlineStr">
        <is>
          <t>営業</t>
        </is>
      </c>
      <c r="L2197" t="inlineStr">
        <is>
          <t>6:42:50</t>
        </is>
      </c>
      <c r="M2197" t="inlineStr">
        <is>
          <t>6:43:20</t>
        </is>
      </c>
    </row>
    <row r="2198" ht="15" customHeight="1" s="37">
      <c r="A2198" t="n">
        <v>2</v>
      </c>
      <c r="B2198" s="10" t="inlineStr">
        <is>
          <t>休日</t>
        </is>
      </c>
      <c r="C2198" s="10" t="inlineStr">
        <is>
          <t>本線</t>
        </is>
      </c>
      <c r="D2198" s="10" t="inlineStr">
        <is>
          <t>下り</t>
        </is>
      </c>
      <c r="E2198" t="inlineStr">
        <is>
          <t>0609</t>
        </is>
      </c>
      <c r="F2198" t="inlineStr">
        <is>
          <t>0122</t>
        </is>
      </c>
      <c r="G2198" s="10" t="inlineStr">
        <is>
          <t>西大路三条</t>
        </is>
      </c>
      <c r="H2198" s="10" t="inlineStr">
        <is>
          <t>発</t>
        </is>
      </c>
      <c r="J2198" s="10" t="inlineStr">
        <is>
          <t>営業</t>
        </is>
      </c>
      <c r="L2198" t="inlineStr">
        <is>
          <t>6:45:10</t>
        </is>
      </c>
      <c r="M2198" t="inlineStr">
        <is>
          <t>6:45:25</t>
        </is>
      </c>
    </row>
    <row r="2199" ht="15" customHeight="1" s="37">
      <c r="A2199" t="n">
        <v>2</v>
      </c>
      <c r="B2199" s="10" t="inlineStr">
        <is>
          <t>休日</t>
        </is>
      </c>
      <c r="C2199" s="10" t="inlineStr">
        <is>
          <t>本線</t>
        </is>
      </c>
      <c r="D2199" s="10" t="inlineStr">
        <is>
          <t>下り</t>
        </is>
      </c>
      <c r="E2199" t="inlineStr">
        <is>
          <t>0609</t>
        </is>
      </c>
      <c r="F2199" t="inlineStr">
        <is>
          <t>0122</t>
        </is>
      </c>
      <c r="G2199" s="10" t="inlineStr">
        <is>
          <t>山ノ内</t>
        </is>
      </c>
      <c r="H2199" s="10" t="inlineStr">
        <is>
          <t>発</t>
        </is>
      </c>
      <c r="J2199" s="10" t="inlineStr">
        <is>
          <t>営業</t>
        </is>
      </c>
      <c r="L2199" t="inlineStr">
        <is>
          <t>6:47:20</t>
        </is>
      </c>
      <c r="M2199" t="inlineStr">
        <is>
          <t>6:47:45</t>
        </is>
      </c>
    </row>
    <row r="2200" ht="15" customHeight="1" s="37">
      <c r="A2200" t="n">
        <v>2</v>
      </c>
      <c r="B2200" s="10" t="inlineStr">
        <is>
          <t>休日</t>
        </is>
      </c>
      <c r="C2200" s="10" t="inlineStr">
        <is>
          <t>本線</t>
        </is>
      </c>
      <c r="D2200" s="10" t="inlineStr">
        <is>
          <t>下り</t>
        </is>
      </c>
      <c r="E2200" t="inlineStr">
        <is>
          <t>0609</t>
        </is>
      </c>
      <c r="F2200" t="inlineStr">
        <is>
          <t>0122</t>
        </is>
      </c>
      <c r="G2200" s="10" t="inlineStr">
        <is>
          <t>天神川</t>
        </is>
      </c>
      <c r="H2200" s="10" t="inlineStr">
        <is>
          <t>発</t>
        </is>
      </c>
      <c r="J2200" s="10" t="inlineStr">
        <is>
          <t>営業</t>
        </is>
      </c>
      <c r="L2200" t="inlineStr">
        <is>
          <t>6:49:45</t>
        </is>
      </c>
      <c r="M2200" t="inlineStr">
        <is>
          <t>6:50:10</t>
        </is>
      </c>
    </row>
    <row r="2201" ht="15" customHeight="1" s="37">
      <c r="A2201" t="n">
        <v>2</v>
      </c>
      <c r="B2201" s="10" t="inlineStr">
        <is>
          <t>休日</t>
        </is>
      </c>
      <c r="C2201" s="10" t="inlineStr">
        <is>
          <t>本線</t>
        </is>
      </c>
      <c r="D2201" s="10" t="inlineStr">
        <is>
          <t>下り</t>
        </is>
      </c>
      <c r="E2201" t="inlineStr">
        <is>
          <t>0609</t>
        </is>
      </c>
      <c r="F2201" t="inlineStr">
        <is>
          <t>0122</t>
        </is>
      </c>
      <c r="G2201" s="10" t="inlineStr">
        <is>
          <t>蚕ノ社</t>
        </is>
      </c>
      <c r="H2201" s="10" t="inlineStr">
        <is>
          <t>発</t>
        </is>
      </c>
      <c r="J2201" s="10" t="inlineStr">
        <is>
          <t>営業</t>
        </is>
      </c>
      <c r="L2201" t="inlineStr">
        <is>
          <t>6:51:00</t>
        </is>
      </c>
      <c r="M2201" t="inlineStr">
        <is>
          <t>6:51:15</t>
        </is>
      </c>
    </row>
    <row r="2202" ht="15" customHeight="1" s="37">
      <c r="A2202" t="n">
        <v>2</v>
      </c>
      <c r="B2202" s="10" t="inlineStr">
        <is>
          <t>休日</t>
        </is>
      </c>
      <c r="C2202" s="10" t="inlineStr">
        <is>
          <t>本線</t>
        </is>
      </c>
      <c r="D2202" s="10" t="inlineStr">
        <is>
          <t>下り</t>
        </is>
      </c>
      <c r="E2202" t="inlineStr">
        <is>
          <t>0609</t>
        </is>
      </c>
      <c r="F2202" t="inlineStr">
        <is>
          <t>0122</t>
        </is>
      </c>
      <c r="G2202" s="10" t="inlineStr">
        <is>
          <t>太秦広隆寺</t>
        </is>
      </c>
      <c r="H2202" s="10" t="inlineStr">
        <is>
          <t>発</t>
        </is>
      </c>
      <c r="J2202" s="10" t="inlineStr">
        <is>
          <t>営業</t>
        </is>
      </c>
      <c r="L2202" t="inlineStr">
        <is>
          <t>6:52:35</t>
        </is>
      </c>
      <c r="M2202" t="inlineStr">
        <is>
          <t>6:52:50</t>
        </is>
      </c>
    </row>
    <row r="2203" ht="15" customHeight="1" s="37">
      <c r="A2203" t="n">
        <v>2</v>
      </c>
      <c r="B2203" s="10" t="inlineStr">
        <is>
          <t>休日</t>
        </is>
      </c>
      <c r="C2203" s="10" t="inlineStr">
        <is>
          <t>本線</t>
        </is>
      </c>
      <c r="D2203" s="10" t="inlineStr">
        <is>
          <t>下り</t>
        </is>
      </c>
      <c r="E2203" t="inlineStr">
        <is>
          <t>0609</t>
        </is>
      </c>
      <c r="F2203" t="inlineStr">
        <is>
          <t>0122</t>
        </is>
      </c>
      <c r="G2203" s="10" t="inlineStr">
        <is>
          <t>帷子ノ辻</t>
        </is>
      </c>
      <c r="H2203" s="10" t="inlineStr">
        <is>
          <t>発</t>
        </is>
      </c>
      <c r="J2203" s="10" t="inlineStr">
        <is>
          <t>営業</t>
        </is>
      </c>
      <c r="L2203" t="inlineStr">
        <is>
          <t>6:54:50</t>
        </is>
      </c>
      <c r="M2203" t="inlineStr">
        <is>
          <t>6:55:20</t>
        </is>
      </c>
    </row>
    <row r="2204" ht="15" customHeight="1" s="37">
      <c r="A2204" t="n">
        <v>2</v>
      </c>
      <c r="B2204" s="10" t="inlineStr">
        <is>
          <t>休日</t>
        </is>
      </c>
      <c r="C2204" s="10" t="inlineStr">
        <is>
          <t>本線</t>
        </is>
      </c>
      <c r="D2204" s="10" t="inlineStr">
        <is>
          <t>下り</t>
        </is>
      </c>
      <c r="E2204" t="inlineStr">
        <is>
          <t>0609</t>
        </is>
      </c>
      <c r="F2204" t="inlineStr">
        <is>
          <t>0122</t>
        </is>
      </c>
      <c r="G2204" s="10" t="inlineStr">
        <is>
          <t>有栖川</t>
        </is>
      </c>
      <c r="H2204" s="10" t="inlineStr">
        <is>
          <t>発</t>
        </is>
      </c>
      <c r="J2204" s="10" t="inlineStr">
        <is>
          <t>営業</t>
        </is>
      </c>
      <c r="L2204" t="inlineStr">
        <is>
          <t>6:56:30</t>
        </is>
      </c>
      <c r="M2204" t="inlineStr">
        <is>
          <t>6:56:45</t>
        </is>
      </c>
    </row>
    <row r="2205" ht="15" customHeight="1" s="37">
      <c r="A2205" t="n">
        <v>2</v>
      </c>
      <c r="B2205" s="10" t="inlineStr">
        <is>
          <t>休日</t>
        </is>
      </c>
      <c r="C2205" s="10" t="inlineStr">
        <is>
          <t>本線</t>
        </is>
      </c>
      <c r="D2205" s="10" t="inlineStr">
        <is>
          <t>下り</t>
        </is>
      </c>
      <c r="E2205" t="inlineStr">
        <is>
          <t>0609</t>
        </is>
      </c>
      <c r="F2205" t="inlineStr">
        <is>
          <t>0122</t>
        </is>
      </c>
      <c r="G2205" s="10" t="inlineStr">
        <is>
          <t>車折</t>
        </is>
      </c>
      <c r="H2205" s="10" t="inlineStr">
        <is>
          <t>発</t>
        </is>
      </c>
      <c r="J2205" s="10" t="inlineStr">
        <is>
          <t>営業</t>
        </is>
      </c>
      <c r="L2205" t="inlineStr">
        <is>
          <t>6:58:10</t>
        </is>
      </c>
      <c r="M2205" t="inlineStr">
        <is>
          <t>6:58:25</t>
        </is>
      </c>
    </row>
    <row r="2206" ht="15" customHeight="1" s="37">
      <c r="A2206" t="n">
        <v>2</v>
      </c>
      <c r="B2206" s="10" t="inlineStr">
        <is>
          <t>休日</t>
        </is>
      </c>
      <c r="C2206" s="10" t="inlineStr">
        <is>
          <t>本線</t>
        </is>
      </c>
      <c r="D2206" s="10" t="inlineStr">
        <is>
          <t>下り</t>
        </is>
      </c>
      <c r="E2206" t="inlineStr">
        <is>
          <t>0609</t>
        </is>
      </c>
      <c r="F2206" t="inlineStr">
        <is>
          <t>0122</t>
        </is>
      </c>
      <c r="G2206" s="10" t="inlineStr">
        <is>
          <t>鹿王院</t>
        </is>
      </c>
      <c r="H2206" s="10" t="inlineStr">
        <is>
          <t>発</t>
        </is>
      </c>
      <c r="J2206" s="10" t="inlineStr">
        <is>
          <t>営業</t>
        </is>
      </c>
      <c r="L2206" t="inlineStr">
        <is>
          <t>6:59:20</t>
        </is>
      </c>
      <c r="M2206" t="inlineStr">
        <is>
          <t>6:59:35</t>
        </is>
      </c>
    </row>
    <row r="2207" ht="15" customHeight="1" s="37">
      <c r="A2207" t="n">
        <v>2</v>
      </c>
      <c r="B2207" s="10" t="inlineStr">
        <is>
          <t>休日</t>
        </is>
      </c>
      <c r="C2207" s="10" t="inlineStr">
        <is>
          <t>本線</t>
        </is>
      </c>
      <c r="D2207" s="10" t="inlineStr">
        <is>
          <t>下り</t>
        </is>
      </c>
      <c r="E2207" t="inlineStr">
        <is>
          <t>0609</t>
        </is>
      </c>
      <c r="F2207" t="inlineStr">
        <is>
          <t>0122</t>
        </is>
      </c>
      <c r="G2207" s="10" t="inlineStr">
        <is>
          <t>嵯峨</t>
        </is>
      </c>
      <c r="H2207" s="10" t="inlineStr">
        <is>
          <t>発</t>
        </is>
      </c>
      <c r="J2207" s="10" t="inlineStr">
        <is>
          <t>営業</t>
        </is>
      </c>
      <c r="L2207" t="inlineStr">
        <is>
          <t>7:00:40</t>
        </is>
      </c>
      <c r="M2207" t="inlineStr">
        <is>
          <t>7:00:55</t>
        </is>
      </c>
    </row>
    <row r="2208" ht="15" customHeight="1" s="37">
      <c r="A2208" t="n">
        <v>2</v>
      </c>
      <c r="B2208" s="10" t="inlineStr">
        <is>
          <t>休日</t>
        </is>
      </c>
      <c r="C2208" s="10" t="inlineStr">
        <is>
          <t>本線</t>
        </is>
      </c>
      <c r="D2208" s="10" t="inlineStr">
        <is>
          <t>下り</t>
        </is>
      </c>
      <c r="E2208" t="inlineStr">
        <is>
          <t>0609</t>
        </is>
      </c>
      <c r="F2208" t="inlineStr">
        <is>
          <t>0122</t>
        </is>
      </c>
      <c r="G2208" s="10" t="inlineStr">
        <is>
          <t>嵐山</t>
        </is>
      </c>
      <c r="H2208" s="10" t="inlineStr">
        <is>
          <t>着</t>
        </is>
      </c>
      <c r="J2208" s="10" t="inlineStr">
        <is>
          <t>営業</t>
        </is>
      </c>
      <c r="L2208" t="inlineStr">
        <is>
          <t>7:02:00</t>
        </is>
      </c>
      <c r="N2208" t="inlineStr">
        <is>
          <t>○</t>
        </is>
      </c>
      <c r="Q2208" t="inlineStr">
        <is>
          <t>2</t>
        </is>
      </c>
    </row>
    <row r="2209" ht="15" customHeight="1" s="37">
      <c r="A2209" t="n">
        <v>2</v>
      </c>
      <c r="B2209" s="10" t="inlineStr">
        <is>
          <t>休日</t>
        </is>
      </c>
      <c r="C2209" s="10" t="inlineStr">
        <is>
          <t>本線</t>
        </is>
      </c>
      <c r="D2209" s="10" t="inlineStr">
        <is>
          <t>上り</t>
        </is>
      </c>
      <c r="E2209" t="inlineStr">
        <is>
          <t>0704</t>
        </is>
      </c>
      <c r="F2209" t="inlineStr">
        <is>
          <t>2221</t>
        </is>
      </c>
      <c r="G2209" s="10" t="inlineStr">
        <is>
          <t>嵐山</t>
        </is>
      </c>
      <c r="H2209" s="10" t="inlineStr">
        <is>
          <t>発</t>
        </is>
      </c>
      <c r="J2209" s="10" t="inlineStr">
        <is>
          <t>営業</t>
        </is>
      </c>
      <c r="M2209" t="inlineStr">
        <is>
          <t>7:13:00</t>
        </is>
      </c>
      <c r="Q2209" t="inlineStr">
        <is>
          <t>2</t>
        </is>
      </c>
    </row>
    <row r="2210" ht="15" customHeight="1" s="37">
      <c r="A2210" t="n">
        <v>2</v>
      </c>
      <c r="B2210" s="10" t="inlineStr">
        <is>
          <t>休日</t>
        </is>
      </c>
      <c r="C2210" s="10" t="inlineStr">
        <is>
          <t>本線</t>
        </is>
      </c>
      <c r="D2210" s="10" t="inlineStr">
        <is>
          <t>上り</t>
        </is>
      </c>
      <c r="E2210" t="inlineStr">
        <is>
          <t>0704</t>
        </is>
      </c>
      <c r="F2210" t="inlineStr">
        <is>
          <t>2221</t>
        </is>
      </c>
      <c r="G2210" s="10" t="inlineStr">
        <is>
          <t>嵯峨</t>
        </is>
      </c>
      <c r="H2210" s="10" t="inlineStr">
        <is>
          <t>発</t>
        </is>
      </c>
      <c r="J2210" s="10" t="inlineStr">
        <is>
          <t>営業</t>
        </is>
      </c>
      <c r="L2210" t="inlineStr">
        <is>
          <t>7:13:55</t>
        </is>
      </c>
      <c r="M2210" t="inlineStr">
        <is>
          <t>7:14:20</t>
        </is>
      </c>
    </row>
    <row r="2211" ht="15" customHeight="1" s="37">
      <c r="A2211" t="n">
        <v>2</v>
      </c>
      <c r="B2211" s="10" t="inlineStr">
        <is>
          <t>休日</t>
        </is>
      </c>
      <c r="C2211" s="10" t="inlineStr">
        <is>
          <t>本線</t>
        </is>
      </c>
      <c r="D2211" s="10" t="inlineStr">
        <is>
          <t>上り</t>
        </is>
      </c>
      <c r="E2211" t="inlineStr">
        <is>
          <t>0704</t>
        </is>
      </c>
      <c r="F2211" t="inlineStr">
        <is>
          <t>2221</t>
        </is>
      </c>
      <c r="G2211" s="10" t="inlineStr">
        <is>
          <t>鹿王院</t>
        </is>
      </c>
      <c r="H2211" s="10" t="inlineStr">
        <is>
          <t>発</t>
        </is>
      </c>
      <c r="J2211" s="10" t="inlineStr">
        <is>
          <t>営業</t>
        </is>
      </c>
      <c r="L2211" t="inlineStr">
        <is>
          <t>7:15:25</t>
        </is>
      </c>
      <c r="M2211" t="inlineStr">
        <is>
          <t>7:15:45</t>
        </is>
      </c>
    </row>
    <row r="2212" ht="15" customHeight="1" s="37">
      <c r="A2212" t="n">
        <v>2</v>
      </c>
      <c r="B2212" s="10" t="inlineStr">
        <is>
          <t>休日</t>
        </is>
      </c>
      <c r="C2212" s="10" t="inlineStr">
        <is>
          <t>本線</t>
        </is>
      </c>
      <c r="D2212" s="10" t="inlineStr">
        <is>
          <t>上り</t>
        </is>
      </c>
      <c r="E2212" t="inlineStr">
        <is>
          <t>0704</t>
        </is>
      </c>
      <c r="F2212" t="inlineStr">
        <is>
          <t>2221</t>
        </is>
      </c>
      <c r="G2212" s="10" t="inlineStr">
        <is>
          <t>車折</t>
        </is>
      </c>
      <c r="H2212" s="10" t="inlineStr">
        <is>
          <t>発</t>
        </is>
      </c>
      <c r="J2212" s="10" t="inlineStr">
        <is>
          <t>営業</t>
        </is>
      </c>
      <c r="L2212" t="inlineStr">
        <is>
          <t>7:16:40</t>
        </is>
      </c>
      <c r="M2212" t="inlineStr">
        <is>
          <t>7:17:10</t>
        </is>
      </c>
    </row>
    <row r="2213" ht="15" customHeight="1" s="37">
      <c r="A2213" t="n">
        <v>2</v>
      </c>
      <c r="B2213" s="10" t="inlineStr">
        <is>
          <t>休日</t>
        </is>
      </c>
      <c r="C2213" s="10" t="inlineStr">
        <is>
          <t>本線</t>
        </is>
      </c>
      <c r="D2213" s="10" t="inlineStr">
        <is>
          <t>上り</t>
        </is>
      </c>
      <c r="E2213" t="inlineStr">
        <is>
          <t>0704</t>
        </is>
      </c>
      <c r="F2213" t="inlineStr">
        <is>
          <t>2221</t>
        </is>
      </c>
      <c r="G2213" s="10" t="inlineStr">
        <is>
          <t>有栖川</t>
        </is>
      </c>
      <c r="H2213" s="10" t="inlineStr">
        <is>
          <t>発</t>
        </is>
      </c>
      <c r="J2213" s="10" t="inlineStr">
        <is>
          <t>営業</t>
        </is>
      </c>
      <c r="L2213" t="inlineStr">
        <is>
          <t>7:18:35</t>
        </is>
      </c>
      <c r="M2213" t="inlineStr">
        <is>
          <t>7:18:55</t>
        </is>
      </c>
    </row>
    <row r="2214" ht="15" customHeight="1" s="37">
      <c r="A2214" t="n">
        <v>2</v>
      </c>
      <c r="B2214" s="10" t="inlineStr">
        <is>
          <t>休日</t>
        </is>
      </c>
      <c r="C2214" s="10" t="inlineStr">
        <is>
          <t>本線</t>
        </is>
      </c>
      <c r="D2214" s="10" t="inlineStr">
        <is>
          <t>上り</t>
        </is>
      </c>
      <c r="E2214" t="inlineStr">
        <is>
          <t>0704</t>
        </is>
      </c>
      <c r="F2214" t="inlineStr">
        <is>
          <t>2221</t>
        </is>
      </c>
      <c r="G2214" s="10" t="inlineStr">
        <is>
          <t>帷子ノ辻</t>
        </is>
      </c>
      <c r="H2214" s="10" t="inlineStr">
        <is>
          <t>発</t>
        </is>
      </c>
      <c r="J2214" s="10" t="inlineStr">
        <is>
          <t>営業</t>
        </is>
      </c>
      <c r="L2214" t="inlineStr">
        <is>
          <t>7:20:10</t>
        </is>
      </c>
      <c r="M2214" t="inlineStr">
        <is>
          <t>7:21:15</t>
        </is>
      </c>
    </row>
    <row r="2215" ht="15" customHeight="1" s="37">
      <c r="A2215" t="n">
        <v>2</v>
      </c>
      <c r="B2215" s="10" t="inlineStr">
        <is>
          <t>休日</t>
        </is>
      </c>
      <c r="C2215" s="10" t="inlineStr">
        <is>
          <t>本線</t>
        </is>
      </c>
      <c r="D2215" s="10" t="inlineStr">
        <is>
          <t>上り</t>
        </is>
      </c>
      <c r="E2215" t="inlineStr">
        <is>
          <t>0704</t>
        </is>
      </c>
      <c r="F2215" t="inlineStr">
        <is>
          <t>2221</t>
        </is>
      </c>
      <c r="G2215" s="10" t="inlineStr">
        <is>
          <t>太秦広隆寺</t>
        </is>
      </c>
      <c r="H2215" s="10" t="inlineStr">
        <is>
          <t>発</t>
        </is>
      </c>
      <c r="J2215" s="10" t="inlineStr">
        <is>
          <t>営業</t>
        </is>
      </c>
      <c r="L2215" t="inlineStr">
        <is>
          <t>7:23:25</t>
        </is>
      </c>
      <c r="M2215" t="inlineStr">
        <is>
          <t>7:23:45</t>
        </is>
      </c>
    </row>
    <row r="2216" ht="15" customHeight="1" s="37">
      <c r="A2216" t="n">
        <v>2</v>
      </c>
      <c r="B2216" s="10" t="inlineStr">
        <is>
          <t>休日</t>
        </is>
      </c>
      <c r="C2216" s="10" t="inlineStr">
        <is>
          <t>本線</t>
        </is>
      </c>
      <c r="D2216" s="10" t="inlineStr">
        <is>
          <t>上り</t>
        </is>
      </c>
      <c r="E2216" t="inlineStr">
        <is>
          <t>0704</t>
        </is>
      </c>
      <c r="F2216" t="inlineStr">
        <is>
          <t>2221</t>
        </is>
      </c>
      <c r="G2216" s="10" t="inlineStr">
        <is>
          <t>蚕ノ社</t>
        </is>
      </c>
      <c r="H2216" s="10" t="inlineStr">
        <is>
          <t>発</t>
        </is>
      </c>
      <c r="J2216" s="10" t="inlineStr">
        <is>
          <t>営業</t>
        </is>
      </c>
      <c r="L2216" t="inlineStr">
        <is>
          <t>7:25:00</t>
        </is>
      </c>
      <c r="M2216" t="inlineStr">
        <is>
          <t>7:25:20</t>
        </is>
      </c>
    </row>
    <row r="2217" ht="15" customHeight="1" s="37">
      <c r="A2217" t="n">
        <v>2</v>
      </c>
      <c r="B2217" s="10" t="inlineStr">
        <is>
          <t>休日</t>
        </is>
      </c>
      <c r="C2217" s="10" t="inlineStr">
        <is>
          <t>本線</t>
        </is>
      </c>
      <c r="D2217" s="10" t="inlineStr">
        <is>
          <t>上り</t>
        </is>
      </c>
      <c r="E2217" t="inlineStr">
        <is>
          <t>0704</t>
        </is>
      </c>
      <c r="F2217" t="inlineStr">
        <is>
          <t>2221</t>
        </is>
      </c>
      <c r="G2217" s="10" t="inlineStr">
        <is>
          <t>天神川</t>
        </is>
      </c>
      <c r="H2217" s="10" t="inlineStr">
        <is>
          <t>発</t>
        </is>
      </c>
      <c r="J2217" s="10" t="inlineStr">
        <is>
          <t>営業</t>
        </is>
      </c>
      <c r="L2217" t="inlineStr">
        <is>
          <t>7:26:05</t>
        </is>
      </c>
      <c r="M2217" t="inlineStr">
        <is>
          <t>7:26:50</t>
        </is>
      </c>
    </row>
    <row r="2218" ht="15" customHeight="1" s="37">
      <c r="A2218" t="n">
        <v>2</v>
      </c>
      <c r="B2218" s="10" t="inlineStr">
        <is>
          <t>休日</t>
        </is>
      </c>
      <c r="C2218" s="10" t="inlineStr">
        <is>
          <t>本線</t>
        </is>
      </c>
      <c r="D2218" s="10" t="inlineStr">
        <is>
          <t>上り</t>
        </is>
      </c>
      <c r="E2218" t="inlineStr">
        <is>
          <t>0704</t>
        </is>
      </c>
      <c r="F2218" t="inlineStr">
        <is>
          <t>2221</t>
        </is>
      </c>
      <c r="G2218" s="10" t="inlineStr">
        <is>
          <t>山ノ内</t>
        </is>
      </c>
      <c r="H2218" s="10" t="inlineStr">
        <is>
          <t>発</t>
        </is>
      </c>
      <c r="J2218" s="10" t="inlineStr">
        <is>
          <t>営業</t>
        </is>
      </c>
      <c r="L2218" t="inlineStr">
        <is>
          <t>7:28:40</t>
        </is>
      </c>
      <c r="M2218" t="inlineStr">
        <is>
          <t>7:29:05</t>
        </is>
      </c>
    </row>
    <row r="2219" ht="15" customHeight="1" s="37">
      <c r="A2219" t="n">
        <v>2</v>
      </c>
      <c r="B2219" s="10" t="inlineStr">
        <is>
          <t>休日</t>
        </is>
      </c>
      <c r="C2219" s="10" t="inlineStr">
        <is>
          <t>本線</t>
        </is>
      </c>
      <c r="D2219" s="10" t="inlineStr">
        <is>
          <t>上り</t>
        </is>
      </c>
      <c r="E2219" t="inlineStr">
        <is>
          <t>0704</t>
        </is>
      </c>
      <c r="F2219" t="inlineStr">
        <is>
          <t>2221</t>
        </is>
      </c>
      <c r="G2219" s="10" t="inlineStr">
        <is>
          <t>西大路三条</t>
        </is>
      </c>
      <c r="H2219" s="10" t="inlineStr">
        <is>
          <t>発</t>
        </is>
      </c>
      <c r="J2219" s="10" t="inlineStr">
        <is>
          <t>営業</t>
        </is>
      </c>
      <c r="L2219" t="inlineStr">
        <is>
          <t>7:30:55</t>
        </is>
      </c>
      <c r="M2219" t="inlineStr">
        <is>
          <t>7:31:15</t>
        </is>
      </c>
    </row>
    <row r="2220" ht="15" customHeight="1" s="37">
      <c r="A2220" t="n">
        <v>2</v>
      </c>
      <c r="B2220" s="10" t="inlineStr">
        <is>
          <t>休日</t>
        </is>
      </c>
      <c r="C2220" s="10" t="inlineStr">
        <is>
          <t>本線</t>
        </is>
      </c>
      <c r="D2220" s="10" t="inlineStr">
        <is>
          <t>上り</t>
        </is>
      </c>
      <c r="E2220" t="inlineStr">
        <is>
          <t>0704</t>
        </is>
      </c>
      <c r="F2220" t="inlineStr">
        <is>
          <t>2221</t>
        </is>
      </c>
      <c r="G2220" s="10" t="inlineStr">
        <is>
          <t>西院</t>
        </is>
      </c>
      <c r="H2220" s="10" t="inlineStr">
        <is>
          <t>発</t>
        </is>
      </c>
      <c r="J2220" s="10" t="inlineStr">
        <is>
          <t>営業</t>
        </is>
      </c>
      <c r="L2220" t="inlineStr">
        <is>
          <t>7:33:10</t>
        </is>
      </c>
      <c r="M2220" t="inlineStr">
        <is>
          <t>7:34:05</t>
        </is>
      </c>
    </row>
    <row r="2221" ht="15" customHeight="1" s="37">
      <c r="A2221" t="n">
        <v>2</v>
      </c>
      <c r="B2221" s="10" t="inlineStr">
        <is>
          <t>休日</t>
        </is>
      </c>
      <c r="C2221" s="10" t="inlineStr">
        <is>
          <t>本線</t>
        </is>
      </c>
      <c r="D2221" s="10" t="inlineStr">
        <is>
          <t>上り</t>
        </is>
      </c>
      <c r="E2221" t="inlineStr">
        <is>
          <t>0704</t>
        </is>
      </c>
      <c r="F2221" t="inlineStr">
        <is>
          <t>2221</t>
        </is>
      </c>
      <c r="G2221" s="10" t="inlineStr">
        <is>
          <t>四条大宮</t>
        </is>
      </c>
      <c r="H2221" s="10" t="inlineStr">
        <is>
          <t>着</t>
        </is>
      </c>
      <c r="J2221" s="10" t="inlineStr">
        <is>
          <t>営業</t>
        </is>
      </c>
      <c r="L2221" t="inlineStr">
        <is>
          <t>7:37:00</t>
        </is>
      </c>
      <c r="Q2221" t="inlineStr">
        <is>
          <t>1</t>
        </is>
      </c>
    </row>
    <row r="2222" ht="15" customHeight="1" s="37">
      <c r="A2222" t="n">
        <v>2</v>
      </c>
      <c r="B2222" s="10" t="inlineStr">
        <is>
          <t>休日</t>
        </is>
      </c>
      <c r="C2222" s="10" t="inlineStr">
        <is>
          <t>本線</t>
        </is>
      </c>
      <c r="D2222" s="10" t="inlineStr">
        <is>
          <t>下り</t>
        </is>
      </c>
      <c r="E2222" t="inlineStr">
        <is>
          <t>0709</t>
        </is>
      </c>
      <c r="F2222" t="inlineStr">
        <is>
          <t>0122</t>
        </is>
      </c>
      <c r="G2222" s="10" t="inlineStr">
        <is>
          <t>四条大宮</t>
        </is>
      </c>
      <c r="H2222" s="10" t="inlineStr">
        <is>
          <t>発</t>
        </is>
      </c>
      <c r="J2222" s="10" t="inlineStr">
        <is>
          <t>営業</t>
        </is>
      </c>
      <c r="M2222" t="inlineStr">
        <is>
          <t>7:43:00</t>
        </is>
      </c>
      <c r="Q2222" t="inlineStr">
        <is>
          <t>1</t>
        </is>
      </c>
    </row>
    <row r="2223" ht="15" customHeight="1" s="37">
      <c r="A2223" t="n">
        <v>2</v>
      </c>
      <c r="B2223" s="10" t="inlineStr">
        <is>
          <t>休日</t>
        </is>
      </c>
      <c r="C2223" s="10" t="inlineStr">
        <is>
          <t>本線</t>
        </is>
      </c>
      <c r="D2223" s="10" t="inlineStr">
        <is>
          <t>下り</t>
        </is>
      </c>
      <c r="E2223" t="inlineStr">
        <is>
          <t>0709</t>
        </is>
      </c>
      <c r="F2223" t="inlineStr">
        <is>
          <t>0122</t>
        </is>
      </c>
      <c r="G2223" s="10" t="inlineStr">
        <is>
          <t>西院</t>
        </is>
      </c>
      <c r="H2223" s="10" t="inlineStr">
        <is>
          <t>発</t>
        </is>
      </c>
      <c r="J2223" s="10" t="inlineStr">
        <is>
          <t>営業</t>
        </is>
      </c>
      <c r="L2223" t="inlineStr">
        <is>
          <t>7:45:50</t>
        </is>
      </c>
      <c r="M2223" t="inlineStr">
        <is>
          <t>7:46:20</t>
        </is>
      </c>
    </row>
    <row r="2224" ht="15" customHeight="1" s="37">
      <c r="A2224" t="n">
        <v>2</v>
      </c>
      <c r="B2224" s="10" t="inlineStr">
        <is>
          <t>休日</t>
        </is>
      </c>
      <c r="C2224" s="10" t="inlineStr">
        <is>
          <t>本線</t>
        </is>
      </c>
      <c r="D2224" s="10" t="inlineStr">
        <is>
          <t>下り</t>
        </is>
      </c>
      <c r="E2224" t="inlineStr">
        <is>
          <t>0709</t>
        </is>
      </c>
      <c r="F2224" t="inlineStr">
        <is>
          <t>0122</t>
        </is>
      </c>
      <c r="G2224" s="10" t="inlineStr">
        <is>
          <t>西大路三条</t>
        </is>
      </c>
      <c r="H2224" s="10" t="inlineStr">
        <is>
          <t>発</t>
        </is>
      </c>
      <c r="J2224" s="10" t="inlineStr">
        <is>
          <t>営業</t>
        </is>
      </c>
      <c r="L2224" t="inlineStr">
        <is>
          <t>7:48:10</t>
        </is>
      </c>
      <c r="M2224" t="inlineStr">
        <is>
          <t>7:48:30</t>
        </is>
      </c>
    </row>
    <row r="2225" ht="15" customHeight="1" s="37">
      <c r="A2225" t="n">
        <v>2</v>
      </c>
      <c r="B2225" s="10" t="inlineStr">
        <is>
          <t>休日</t>
        </is>
      </c>
      <c r="C2225" s="10" t="inlineStr">
        <is>
          <t>本線</t>
        </is>
      </c>
      <c r="D2225" s="10" t="inlineStr">
        <is>
          <t>下り</t>
        </is>
      </c>
      <c r="E2225" t="inlineStr">
        <is>
          <t>0709</t>
        </is>
      </c>
      <c r="F2225" t="inlineStr">
        <is>
          <t>0122</t>
        </is>
      </c>
      <c r="G2225" s="10" t="inlineStr">
        <is>
          <t>山ノ内</t>
        </is>
      </c>
      <c r="H2225" s="10" t="inlineStr">
        <is>
          <t>発</t>
        </is>
      </c>
      <c r="J2225" s="10" t="inlineStr">
        <is>
          <t>営業</t>
        </is>
      </c>
      <c r="L2225" t="inlineStr">
        <is>
          <t>7:50:25</t>
        </is>
      </c>
      <c r="M2225" t="inlineStr">
        <is>
          <t>7:50:50</t>
        </is>
      </c>
    </row>
    <row r="2226" ht="15" customHeight="1" s="37">
      <c r="A2226" t="n">
        <v>2</v>
      </c>
      <c r="B2226" s="10" t="inlineStr">
        <is>
          <t>休日</t>
        </is>
      </c>
      <c r="C2226" s="10" t="inlineStr">
        <is>
          <t>本線</t>
        </is>
      </c>
      <c r="D2226" s="10" t="inlineStr">
        <is>
          <t>下り</t>
        </is>
      </c>
      <c r="E2226" t="inlineStr">
        <is>
          <t>0709</t>
        </is>
      </c>
      <c r="F2226" t="inlineStr">
        <is>
          <t>0122</t>
        </is>
      </c>
      <c r="G2226" s="10" t="inlineStr">
        <is>
          <t>天神川</t>
        </is>
      </c>
      <c r="H2226" s="10" t="inlineStr">
        <is>
          <t>発</t>
        </is>
      </c>
      <c r="J2226" s="10" t="inlineStr">
        <is>
          <t>営業</t>
        </is>
      </c>
      <c r="L2226" t="inlineStr">
        <is>
          <t>7:52:50</t>
        </is>
      </c>
      <c r="M2226" t="inlineStr">
        <is>
          <t>7:53:30</t>
        </is>
      </c>
    </row>
    <row r="2227" ht="15" customHeight="1" s="37">
      <c r="A2227" t="n">
        <v>2</v>
      </c>
      <c r="B2227" s="10" t="inlineStr">
        <is>
          <t>休日</t>
        </is>
      </c>
      <c r="C2227" s="10" t="inlineStr">
        <is>
          <t>本線</t>
        </is>
      </c>
      <c r="D2227" s="10" t="inlineStr">
        <is>
          <t>下り</t>
        </is>
      </c>
      <c r="E2227" t="inlineStr">
        <is>
          <t>0709</t>
        </is>
      </c>
      <c r="F2227" t="inlineStr">
        <is>
          <t>0122</t>
        </is>
      </c>
      <c r="G2227" s="10" t="inlineStr">
        <is>
          <t>蚕ノ社</t>
        </is>
      </c>
      <c r="H2227" s="10" t="inlineStr">
        <is>
          <t>発</t>
        </is>
      </c>
      <c r="J2227" s="10" t="inlineStr">
        <is>
          <t>営業</t>
        </is>
      </c>
      <c r="L2227" t="inlineStr">
        <is>
          <t>7:54:20</t>
        </is>
      </c>
      <c r="M2227" t="inlineStr">
        <is>
          <t>7:54:40</t>
        </is>
      </c>
    </row>
    <row r="2228" ht="15" customHeight="1" s="37">
      <c r="A2228" t="n">
        <v>2</v>
      </c>
      <c r="B2228" s="10" t="inlineStr">
        <is>
          <t>休日</t>
        </is>
      </c>
      <c r="C2228" s="10" t="inlineStr">
        <is>
          <t>本線</t>
        </is>
      </c>
      <c r="D2228" s="10" t="inlineStr">
        <is>
          <t>下り</t>
        </is>
      </c>
      <c r="E2228" t="inlineStr">
        <is>
          <t>0709</t>
        </is>
      </c>
      <c r="F2228" t="inlineStr">
        <is>
          <t>0122</t>
        </is>
      </c>
      <c r="G2228" s="10" t="inlineStr">
        <is>
          <t>太秦広隆寺</t>
        </is>
      </c>
      <c r="H2228" s="10" t="inlineStr">
        <is>
          <t>発</t>
        </is>
      </c>
      <c r="J2228" s="10" t="inlineStr">
        <is>
          <t>営業</t>
        </is>
      </c>
      <c r="L2228" t="inlineStr">
        <is>
          <t>7:56:00</t>
        </is>
      </c>
      <c r="M2228" t="inlineStr">
        <is>
          <t>7:56:20</t>
        </is>
      </c>
    </row>
    <row r="2229" ht="15" customHeight="1" s="37">
      <c r="A2229" t="n">
        <v>2</v>
      </c>
      <c r="B2229" s="10" t="inlineStr">
        <is>
          <t>休日</t>
        </is>
      </c>
      <c r="C2229" s="10" t="inlineStr">
        <is>
          <t>本線</t>
        </is>
      </c>
      <c r="D2229" s="10" t="inlineStr">
        <is>
          <t>下り</t>
        </is>
      </c>
      <c r="E2229" t="inlineStr">
        <is>
          <t>0709</t>
        </is>
      </c>
      <c r="F2229" t="inlineStr">
        <is>
          <t>0122</t>
        </is>
      </c>
      <c r="G2229" s="10" t="inlineStr">
        <is>
          <t>帷子ノ辻</t>
        </is>
      </c>
      <c r="H2229" s="10" t="inlineStr">
        <is>
          <t>発</t>
        </is>
      </c>
      <c r="J2229" s="10" t="inlineStr">
        <is>
          <t>営業</t>
        </is>
      </c>
      <c r="L2229" t="inlineStr">
        <is>
          <t>7:58:20</t>
        </is>
      </c>
      <c r="M2229" t="inlineStr">
        <is>
          <t>7:59:40</t>
        </is>
      </c>
    </row>
    <row r="2230" ht="15" customHeight="1" s="37">
      <c r="A2230" t="n">
        <v>2</v>
      </c>
      <c r="B2230" s="10" t="inlineStr">
        <is>
          <t>休日</t>
        </is>
      </c>
      <c r="C2230" s="10" t="inlineStr">
        <is>
          <t>本線</t>
        </is>
      </c>
      <c r="D2230" s="10" t="inlineStr">
        <is>
          <t>下り</t>
        </is>
      </c>
      <c r="E2230" t="inlineStr">
        <is>
          <t>0709</t>
        </is>
      </c>
      <c r="F2230" t="inlineStr">
        <is>
          <t>0122</t>
        </is>
      </c>
      <c r="G2230" s="10" t="inlineStr">
        <is>
          <t>有栖川</t>
        </is>
      </c>
      <c r="H2230" s="10" t="inlineStr">
        <is>
          <t>発</t>
        </is>
      </c>
      <c r="J2230" s="10" t="inlineStr">
        <is>
          <t>営業</t>
        </is>
      </c>
      <c r="L2230" t="inlineStr">
        <is>
          <t>8:00:50</t>
        </is>
      </c>
      <c r="M2230" t="inlineStr">
        <is>
          <t>8:01:15</t>
        </is>
      </c>
    </row>
    <row r="2231" ht="15" customHeight="1" s="37">
      <c r="A2231" t="n">
        <v>2</v>
      </c>
      <c r="B2231" s="10" t="inlineStr">
        <is>
          <t>休日</t>
        </is>
      </c>
      <c r="C2231" s="10" t="inlineStr">
        <is>
          <t>本線</t>
        </is>
      </c>
      <c r="D2231" s="10" t="inlineStr">
        <is>
          <t>下り</t>
        </is>
      </c>
      <c r="E2231" t="inlineStr">
        <is>
          <t>0709</t>
        </is>
      </c>
      <c r="F2231" t="inlineStr">
        <is>
          <t>0122</t>
        </is>
      </c>
      <c r="G2231" s="10" t="inlineStr">
        <is>
          <t>車折</t>
        </is>
      </c>
      <c r="H2231" s="10" t="inlineStr">
        <is>
          <t>発</t>
        </is>
      </c>
      <c r="J2231" s="10" t="inlineStr">
        <is>
          <t>営業</t>
        </is>
      </c>
      <c r="L2231" t="inlineStr">
        <is>
          <t>8:02:40</t>
        </is>
      </c>
      <c r="M2231" t="inlineStr">
        <is>
          <t>8:03:05</t>
        </is>
      </c>
    </row>
    <row r="2232" ht="15" customHeight="1" s="37">
      <c r="A2232" t="n">
        <v>2</v>
      </c>
      <c r="B2232" s="10" t="inlineStr">
        <is>
          <t>休日</t>
        </is>
      </c>
      <c r="C2232" s="10" t="inlineStr">
        <is>
          <t>本線</t>
        </is>
      </c>
      <c r="D2232" s="10" t="inlineStr">
        <is>
          <t>下り</t>
        </is>
      </c>
      <c r="E2232" t="inlineStr">
        <is>
          <t>0709</t>
        </is>
      </c>
      <c r="F2232" t="inlineStr">
        <is>
          <t>0122</t>
        </is>
      </c>
      <c r="G2232" s="10" t="inlineStr">
        <is>
          <t>鹿王院</t>
        </is>
      </c>
      <c r="H2232" s="10" t="inlineStr">
        <is>
          <t>発</t>
        </is>
      </c>
      <c r="J2232" s="10" t="inlineStr">
        <is>
          <t>営業</t>
        </is>
      </c>
      <c r="L2232" t="inlineStr">
        <is>
          <t>8:04:00</t>
        </is>
      </c>
      <c r="M2232" t="inlineStr">
        <is>
          <t>8:04:25</t>
        </is>
      </c>
    </row>
    <row r="2233" ht="15" customHeight="1" s="37">
      <c r="A2233" t="n">
        <v>2</v>
      </c>
      <c r="B2233" s="10" t="inlineStr">
        <is>
          <t>休日</t>
        </is>
      </c>
      <c r="C2233" s="10" t="inlineStr">
        <is>
          <t>本線</t>
        </is>
      </c>
      <c r="D2233" s="10" t="inlineStr">
        <is>
          <t>下り</t>
        </is>
      </c>
      <c r="E2233" t="inlineStr">
        <is>
          <t>0709</t>
        </is>
      </c>
      <c r="F2233" t="inlineStr">
        <is>
          <t>0122</t>
        </is>
      </c>
      <c r="G2233" s="10" t="inlineStr">
        <is>
          <t>嵯峨</t>
        </is>
      </c>
      <c r="H2233" s="10" t="inlineStr">
        <is>
          <t>発</t>
        </is>
      </c>
      <c r="J2233" s="10" t="inlineStr">
        <is>
          <t>営業</t>
        </is>
      </c>
      <c r="L2233" t="inlineStr">
        <is>
          <t>8:05:30</t>
        </is>
      </c>
      <c r="M2233" t="inlineStr">
        <is>
          <t>8:05:55</t>
        </is>
      </c>
    </row>
    <row r="2234" ht="15" customHeight="1" s="37">
      <c r="A2234" t="n">
        <v>2</v>
      </c>
      <c r="B2234" s="10" t="inlineStr">
        <is>
          <t>休日</t>
        </is>
      </c>
      <c r="C2234" s="10" t="inlineStr">
        <is>
          <t>本線</t>
        </is>
      </c>
      <c r="D2234" s="10" t="inlineStr">
        <is>
          <t>下り</t>
        </is>
      </c>
      <c r="E2234" t="inlineStr">
        <is>
          <t>0709</t>
        </is>
      </c>
      <c r="F2234" t="inlineStr">
        <is>
          <t>0122</t>
        </is>
      </c>
      <c r="G2234" s="10" t="inlineStr">
        <is>
          <t>嵐山</t>
        </is>
      </c>
      <c r="H2234" s="10" t="inlineStr">
        <is>
          <t>着</t>
        </is>
      </c>
      <c r="J2234" s="10" t="inlineStr">
        <is>
          <t>営業</t>
        </is>
      </c>
      <c r="L2234" t="inlineStr">
        <is>
          <t>8:07:00</t>
        </is>
      </c>
      <c r="N2234" t="inlineStr">
        <is>
          <t>○</t>
        </is>
      </c>
      <c r="Q2234" t="inlineStr">
        <is>
          <t>1</t>
        </is>
      </c>
    </row>
    <row r="2235" ht="15" customHeight="1" s="37">
      <c r="A2235" t="n">
        <v>2</v>
      </c>
      <c r="B2235" s="10" t="inlineStr">
        <is>
          <t>休日</t>
        </is>
      </c>
      <c r="C2235" s="10" t="inlineStr">
        <is>
          <t>本線</t>
        </is>
      </c>
      <c r="D2235" s="10" t="inlineStr">
        <is>
          <t>上り</t>
        </is>
      </c>
      <c r="E2235" t="inlineStr">
        <is>
          <t>0804</t>
        </is>
      </c>
      <c r="F2235" t="inlineStr">
        <is>
          <t>2221</t>
        </is>
      </c>
      <c r="G2235" s="10" t="inlineStr">
        <is>
          <t>嵐山</t>
        </is>
      </c>
      <c r="H2235" s="10" t="inlineStr">
        <is>
          <t>発</t>
        </is>
      </c>
      <c r="J2235" s="10" t="inlineStr">
        <is>
          <t>営業</t>
        </is>
      </c>
      <c r="M2235" t="inlineStr">
        <is>
          <t>8:13:00</t>
        </is>
      </c>
      <c r="Q2235" t="inlineStr">
        <is>
          <t>1</t>
        </is>
      </c>
    </row>
    <row r="2236" ht="15" customHeight="1" s="37">
      <c r="A2236" t="n">
        <v>2</v>
      </c>
      <c r="B2236" s="10" t="inlineStr">
        <is>
          <t>休日</t>
        </is>
      </c>
      <c r="C2236" s="10" t="inlineStr">
        <is>
          <t>本線</t>
        </is>
      </c>
      <c r="D2236" s="10" t="inlineStr">
        <is>
          <t>上り</t>
        </is>
      </c>
      <c r="E2236" t="inlineStr">
        <is>
          <t>0804</t>
        </is>
      </c>
      <c r="F2236" t="inlineStr">
        <is>
          <t>2221</t>
        </is>
      </c>
      <c r="G2236" s="10" t="inlineStr">
        <is>
          <t>嵯峨</t>
        </is>
      </c>
      <c r="H2236" s="10" t="inlineStr">
        <is>
          <t>発</t>
        </is>
      </c>
      <c r="J2236" s="10" t="inlineStr">
        <is>
          <t>営業</t>
        </is>
      </c>
      <c r="L2236" t="inlineStr">
        <is>
          <t>8:13:55</t>
        </is>
      </c>
      <c r="M2236" t="inlineStr">
        <is>
          <t>8:14:20</t>
        </is>
      </c>
    </row>
    <row r="2237" ht="15" customHeight="1" s="37">
      <c r="A2237" t="n">
        <v>2</v>
      </c>
      <c r="B2237" s="10" t="inlineStr">
        <is>
          <t>休日</t>
        </is>
      </c>
      <c r="C2237" s="10" t="inlineStr">
        <is>
          <t>本線</t>
        </is>
      </c>
      <c r="D2237" s="10" t="inlineStr">
        <is>
          <t>上り</t>
        </is>
      </c>
      <c r="E2237" t="inlineStr">
        <is>
          <t>0804</t>
        </is>
      </c>
      <c r="F2237" t="inlineStr">
        <is>
          <t>2221</t>
        </is>
      </c>
      <c r="G2237" s="10" t="inlineStr">
        <is>
          <t>鹿王院</t>
        </is>
      </c>
      <c r="H2237" s="10" t="inlineStr">
        <is>
          <t>発</t>
        </is>
      </c>
      <c r="J2237" s="10" t="inlineStr">
        <is>
          <t>営業</t>
        </is>
      </c>
      <c r="L2237" t="inlineStr">
        <is>
          <t>8:15:25</t>
        </is>
      </c>
      <c r="M2237" t="inlineStr">
        <is>
          <t>8:15:45</t>
        </is>
      </c>
    </row>
    <row r="2238" ht="15" customHeight="1" s="37">
      <c r="A2238" t="n">
        <v>2</v>
      </c>
      <c r="B2238" s="10" t="inlineStr">
        <is>
          <t>休日</t>
        </is>
      </c>
      <c r="C2238" s="10" t="inlineStr">
        <is>
          <t>本線</t>
        </is>
      </c>
      <c r="D2238" s="10" t="inlineStr">
        <is>
          <t>上り</t>
        </is>
      </c>
      <c r="E2238" t="inlineStr">
        <is>
          <t>0804</t>
        </is>
      </c>
      <c r="F2238" t="inlineStr">
        <is>
          <t>2221</t>
        </is>
      </c>
      <c r="G2238" s="10" t="inlineStr">
        <is>
          <t>車折</t>
        </is>
      </c>
      <c r="H2238" s="10" t="inlineStr">
        <is>
          <t>発</t>
        </is>
      </c>
      <c r="J2238" s="10" t="inlineStr">
        <is>
          <t>営業</t>
        </is>
      </c>
      <c r="L2238" t="inlineStr">
        <is>
          <t>8:16:40</t>
        </is>
      </c>
      <c r="M2238" t="inlineStr">
        <is>
          <t>8:17:10</t>
        </is>
      </c>
    </row>
    <row r="2239" ht="15" customHeight="1" s="37">
      <c r="A2239" t="n">
        <v>2</v>
      </c>
      <c r="B2239" s="10" t="inlineStr">
        <is>
          <t>休日</t>
        </is>
      </c>
      <c r="C2239" s="10" t="inlineStr">
        <is>
          <t>本線</t>
        </is>
      </c>
      <c r="D2239" s="10" t="inlineStr">
        <is>
          <t>上り</t>
        </is>
      </c>
      <c r="E2239" t="inlineStr">
        <is>
          <t>0804</t>
        </is>
      </c>
      <c r="F2239" t="inlineStr">
        <is>
          <t>2221</t>
        </is>
      </c>
      <c r="G2239" s="10" t="inlineStr">
        <is>
          <t>有栖川</t>
        </is>
      </c>
      <c r="H2239" s="10" t="inlineStr">
        <is>
          <t>発</t>
        </is>
      </c>
      <c r="J2239" s="10" t="inlineStr">
        <is>
          <t>営業</t>
        </is>
      </c>
      <c r="L2239" t="inlineStr">
        <is>
          <t>8:18:35</t>
        </is>
      </c>
      <c r="M2239" t="inlineStr">
        <is>
          <t>8:18:55</t>
        </is>
      </c>
    </row>
    <row r="2240" ht="15" customHeight="1" s="37">
      <c r="A2240" t="n">
        <v>2</v>
      </c>
      <c r="B2240" s="10" t="inlineStr">
        <is>
          <t>休日</t>
        </is>
      </c>
      <c r="C2240" s="10" t="inlineStr">
        <is>
          <t>本線</t>
        </is>
      </c>
      <c r="D2240" s="10" t="inlineStr">
        <is>
          <t>上り</t>
        </is>
      </c>
      <c r="E2240" t="inlineStr">
        <is>
          <t>0804</t>
        </is>
      </c>
      <c r="F2240" t="inlineStr">
        <is>
          <t>2221</t>
        </is>
      </c>
      <c r="G2240" s="10" t="inlineStr">
        <is>
          <t>帷子ノ辻</t>
        </is>
      </c>
      <c r="H2240" s="10" t="inlineStr">
        <is>
          <t>発</t>
        </is>
      </c>
      <c r="J2240" s="10" t="inlineStr">
        <is>
          <t>営業</t>
        </is>
      </c>
      <c r="L2240" t="inlineStr">
        <is>
          <t>8:20:10</t>
        </is>
      </c>
      <c r="M2240" t="inlineStr">
        <is>
          <t>8:21:15</t>
        </is>
      </c>
    </row>
    <row r="2241" ht="15" customHeight="1" s="37">
      <c r="A2241" t="n">
        <v>2</v>
      </c>
      <c r="B2241" s="10" t="inlineStr">
        <is>
          <t>休日</t>
        </is>
      </c>
      <c r="C2241" s="10" t="inlineStr">
        <is>
          <t>本線</t>
        </is>
      </c>
      <c r="D2241" s="10" t="inlineStr">
        <is>
          <t>上り</t>
        </is>
      </c>
      <c r="E2241" t="inlineStr">
        <is>
          <t>0804</t>
        </is>
      </c>
      <c r="F2241" t="inlineStr">
        <is>
          <t>2221</t>
        </is>
      </c>
      <c r="G2241" s="10" t="inlineStr">
        <is>
          <t>太秦広隆寺</t>
        </is>
      </c>
      <c r="H2241" s="10" t="inlineStr">
        <is>
          <t>発</t>
        </is>
      </c>
      <c r="J2241" s="10" t="inlineStr">
        <is>
          <t>営業</t>
        </is>
      </c>
      <c r="L2241" t="inlineStr">
        <is>
          <t>8:23:25</t>
        </is>
      </c>
      <c r="M2241" t="inlineStr">
        <is>
          <t>8:23:45</t>
        </is>
      </c>
    </row>
    <row r="2242" ht="15" customHeight="1" s="37">
      <c r="A2242" t="n">
        <v>2</v>
      </c>
      <c r="B2242" s="10" t="inlineStr">
        <is>
          <t>休日</t>
        </is>
      </c>
      <c r="C2242" s="10" t="inlineStr">
        <is>
          <t>本線</t>
        </is>
      </c>
      <c r="D2242" s="10" t="inlineStr">
        <is>
          <t>上り</t>
        </is>
      </c>
      <c r="E2242" t="inlineStr">
        <is>
          <t>0804</t>
        </is>
      </c>
      <c r="F2242" t="inlineStr">
        <is>
          <t>2221</t>
        </is>
      </c>
      <c r="G2242" s="10" t="inlineStr">
        <is>
          <t>蚕ノ社</t>
        </is>
      </c>
      <c r="H2242" s="10" t="inlineStr">
        <is>
          <t>発</t>
        </is>
      </c>
      <c r="J2242" s="10" t="inlineStr">
        <is>
          <t>営業</t>
        </is>
      </c>
      <c r="L2242" t="inlineStr">
        <is>
          <t>8:25:00</t>
        </is>
      </c>
      <c r="M2242" t="inlineStr">
        <is>
          <t>8:25:20</t>
        </is>
      </c>
    </row>
    <row r="2243" ht="15" customHeight="1" s="37">
      <c r="A2243" t="n">
        <v>2</v>
      </c>
      <c r="B2243" s="10" t="inlineStr">
        <is>
          <t>休日</t>
        </is>
      </c>
      <c r="C2243" s="10" t="inlineStr">
        <is>
          <t>本線</t>
        </is>
      </c>
      <c r="D2243" s="10" t="inlineStr">
        <is>
          <t>上り</t>
        </is>
      </c>
      <c r="E2243" t="inlineStr">
        <is>
          <t>0804</t>
        </is>
      </c>
      <c r="F2243" t="inlineStr">
        <is>
          <t>2221</t>
        </is>
      </c>
      <c r="G2243" s="10" t="inlineStr">
        <is>
          <t>天神川</t>
        </is>
      </c>
      <c r="H2243" s="10" t="inlineStr">
        <is>
          <t>発</t>
        </is>
      </c>
      <c r="J2243" s="10" t="inlineStr">
        <is>
          <t>営業</t>
        </is>
      </c>
      <c r="L2243" t="inlineStr">
        <is>
          <t>8:26:05</t>
        </is>
      </c>
      <c r="M2243" t="inlineStr">
        <is>
          <t>8:26:50</t>
        </is>
      </c>
    </row>
    <row r="2244" ht="15" customHeight="1" s="37">
      <c r="A2244" t="n">
        <v>2</v>
      </c>
      <c r="B2244" s="10" t="inlineStr">
        <is>
          <t>休日</t>
        </is>
      </c>
      <c r="C2244" s="10" t="inlineStr">
        <is>
          <t>本線</t>
        </is>
      </c>
      <c r="D2244" s="10" t="inlineStr">
        <is>
          <t>上り</t>
        </is>
      </c>
      <c r="E2244" t="inlineStr">
        <is>
          <t>0804</t>
        </is>
      </c>
      <c r="F2244" t="inlineStr">
        <is>
          <t>2221</t>
        </is>
      </c>
      <c r="G2244" s="10" t="inlineStr">
        <is>
          <t>山ノ内</t>
        </is>
      </c>
      <c r="H2244" s="10" t="inlineStr">
        <is>
          <t>発</t>
        </is>
      </c>
      <c r="J2244" s="10" t="inlineStr">
        <is>
          <t>営業</t>
        </is>
      </c>
      <c r="L2244" t="inlineStr">
        <is>
          <t>8:28:40</t>
        </is>
      </c>
      <c r="M2244" t="inlineStr">
        <is>
          <t>8:29:05</t>
        </is>
      </c>
    </row>
    <row r="2245" ht="15" customHeight="1" s="37">
      <c r="A2245" t="n">
        <v>2</v>
      </c>
      <c r="B2245" s="10" t="inlineStr">
        <is>
          <t>休日</t>
        </is>
      </c>
      <c r="C2245" s="10" t="inlineStr">
        <is>
          <t>本線</t>
        </is>
      </c>
      <c r="D2245" s="10" t="inlineStr">
        <is>
          <t>上り</t>
        </is>
      </c>
      <c r="E2245" t="inlineStr">
        <is>
          <t>0804</t>
        </is>
      </c>
      <c r="F2245" t="inlineStr">
        <is>
          <t>2221</t>
        </is>
      </c>
      <c r="G2245" s="10" t="inlineStr">
        <is>
          <t>西大路三条</t>
        </is>
      </c>
      <c r="H2245" s="10" t="inlineStr">
        <is>
          <t>発</t>
        </is>
      </c>
      <c r="J2245" s="10" t="inlineStr">
        <is>
          <t>営業</t>
        </is>
      </c>
      <c r="L2245" t="inlineStr">
        <is>
          <t>8:30:55</t>
        </is>
      </c>
      <c r="M2245" t="inlineStr">
        <is>
          <t>8:31:15</t>
        </is>
      </c>
    </row>
    <row r="2246" ht="15" customHeight="1" s="37">
      <c r="A2246" t="n">
        <v>2</v>
      </c>
      <c r="B2246" s="10" t="inlineStr">
        <is>
          <t>休日</t>
        </is>
      </c>
      <c r="C2246" s="10" t="inlineStr">
        <is>
          <t>本線</t>
        </is>
      </c>
      <c r="D2246" s="10" t="inlineStr">
        <is>
          <t>上り</t>
        </is>
      </c>
      <c r="E2246" t="inlineStr">
        <is>
          <t>0804</t>
        </is>
      </c>
      <c r="F2246" t="inlineStr">
        <is>
          <t>2221</t>
        </is>
      </c>
      <c r="G2246" s="10" t="inlineStr">
        <is>
          <t>西院</t>
        </is>
      </c>
      <c r="H2246" s="10" t="inlineStr">
        <is>
          <t>発</t>
        </is>
      </c>
      <c r="J2246" s="10" t="inlineStr">
        <is>
          <t>営業</t>
        </is>
      </c>
      <c r="L2246" t="inlineStr">
        <is>
          <t>8:33:10</t>
        </is>
      </c>
      <c r="M2246" t="inlineStr">
        <is>
          <t>8:34:05</t>
        </is>
      </c>
    </row>
    <row r="2247" ht="15" customHeight="1" s="37">
      <c r="A2247" t="n">
        <v>2</v>
      </c>
      <c r="B2247" s="10" t="inlineStr">
        <is>
          <t>休日</t>
        </is>
      </c>
      <c r="C2247" s="10" t="inlineStr">
        <is>
          <t>本線</t>
        </is>
      </c>
      <c r="D2247" s="10" t="inlineStr">
        <is>
          <t>上り</t>
        </is>
      </c>
      <c r="E2247" t="inlineStr">
        <is>
          <t>0804</t>
        </is>
      </c>
      <c r="F2247" t="inlineStr">
        <is>
          <t>2221</t>
        </is>
      </c>
      <c r="G2247" s="10" t="inlineStr">
        <is>
          <t>四条大宮</t>
        </is>
      </c>
      <c r="H2247" s="10" t="inlineStr">
        <is>
          <t>着</t>
        </is>
      </c>
      <c r="J2247" s="10" t="inlineStr">
        <is>
          <t>営業</t>
        </is>
      </c>
      <c r="L2247" t="inlineStr">
        <is>
          <t>8:37:00</t>
        </is>
      </c>
      <c r="Q2247" t="inlineStr">
        <is>
          <t>1</t>
        </is>
      </c>
    </row>
    <row r="2248" ht="15" customHeight="1" s="37">
      <c r="A2248" t="n">
        <v>2</v>
      </c>
      <c r="B2248" s="10" t="inlineStr">
        <is>
          <t>休日</t>
        </is>
      </c>
      <c r="C2248" s="10" t="inlineStr">
        <is>
          <t>本線</t>
        </is>
      </c>
      <c r="D2248" s="10" t="inlineStr">
        <is>
          <t>下り</t>
        </is>
      </c>
      <c r="E2248" t="inlineStr">
        <is>
          <t>0809</t>
        </is>
      </c>
      <c r="F2248" t="inlineStr">
        <is>
          <t>0112</t>
        </is>
      </c>
      <c r="G2248" s="10" t="inlineStr">
        <is>
          <t>四条大宮</t>
        </is>
      </c>
      <c r="H2248" s="10" t="inlineStr">
        <is>
          <t>発</t>
        </is>
      </c>
      <c r="J2248" s="10" t="inlineStr">
        <is>
          <t>営業</t>
        </is>
      </c>
      <c r="M2248" t="inlineStr">
        <is>
          <t>8:43:00</t>
        </is>
      </c>
      <c r="Q2248" t="inlineStr">
        <is>
          <t>1</t>
        </is>
      </c>
    </row>
    <row r="2249" ht="15" customHeight="1" s="37">
      <c r="A2249" t="n">
        <v>2</v>
      </c>
      <c r="B2249" s="10" t="inlineStr">
        <is>
          <t>休日</t>
        </is>
      </c>
      <c r="C2249" s="10" t="inlineStr">
        <is>
          <t>本線</t>
        </is>
      </c>
      <c r="D2249" s="10" t="inlineStr">
        <is>
          <t>下り</t>
        </is>
      </c>
      <c r="E2249" t="inlineStr">
        <is>
          <t>0809</t>
        </is>
      </c>
      <c r="F2249" t="inlineStr">
        <is>
          <t>0112</t>
        </is>
      </c>
      <c r="G2249" s="10" t="inlineStr">
        <is>
          <t>西院</t>
        </is>
      </c>
      <c r="H2249" s="10" t="inlineStr">
        <is>
          <t>発</t>
        </is>
      </c>
      <c r="J2249" s="10" t="inlineStr">
        <is>
          <t>営業</t>
        </is>
      </c>
      <c r="L2249" t="inlineStr">
        <is>
          <t>8:45:50</t>
        </is>
      </c>
      <c r="M2249" t="inlineStr">
        <is>
          <t>8:46:20</t>
        </is>
      </c>
    </row>
    <row r="2250" ht="15" customHeight="1" s="37">
      <c r="A2250" t="n">
        <v>2</v>
      </c>
      <c r="B2250" s="10" t="inlineStr">
        <is>
          <t>休日</t>
        </is>
      </c>
      <c r="C2250" s="10" t="inlineStr">
        <is>
          <t>本線</t>
        </is>
      </c>
      <c r="D2250" s="10" t="inlineStr">
        <is>
          <t>下り</t>
        </is>
      </c>
      <c r="E2250" t="inlineStr">
        <is>
          <t>0809</t>
        </is>
      </c>
      <c r="F2250" t="inlineStr">
        <is>
          <t>0112</t>
        </is>
      </c>
      <c r="G2250" s="10" t="inlineStr">
        <is>
          <t>西大路三条</t>
        </is>
      </c>
      <c r="H2250" s="10" t="inlineStr">
        <is>
          <t>発</t>
        </is>
      </c>
      <c r="J2250" s="10" t="inlineStr">
        <is>
          <t>営業</t>
        </is>
      </c>
      <c r="L2250" t="inlineStr">
        <is>
          <t>8:48:10</t>
        </is>
      </c>
      <c r="M2250" t="inlineStr">
        <is>
          <t>8:48:30</t>
        </is>
      </c>
    </row>
    <row r="2251" ht="15" customHeight="1" s="37">
      <c r="A2251" t="n">
        <v>2</v>
      </c>
      <c r="B2251" s="10" t="inlineStr">
        <is>
          <t>休日</t>
        </is>
      </c>
      <c r="C2251" s="10" t="inlineStr">
        <is>
          <t>本線</t>
        </is>
      </c>
      <c r="D2251" s="10" t="inlineStr">
        <is>
          <t>下り</t>
        </is>
      </c>
      <c r="E2251" t="inlineStr">
        <is>
          <t>0809</t>
        </is>
      </c>
      <c r="F2251" t="inlineStr">
        <is>
          <t>0112</t>
        </is>
      </c>
      <c r="G2251" s="10" t="inlineStr">
        <is>
          <t>山ノ内</t>
        </is>
      </c>
      <c r="H2251" s="10" t="inlineStr">
        <is>
          <t>発</t>
        </is>
      </c>
      <c r="J2251" s="10" t="inlineStr">
        <is>
          <t>営業</t>
        </is>
      </c>
      <c r="L2251" t="inlineStr">
        <is>
          <t>8:50:25</t>
        </is>
      </c>
      <c r="M2251" t="inlineStr">
        <is>
          <t>8:50:50</t>
        </is>
      </c>
    </row>
    <row r="2252" ht="15" customHeight="1" s="37">
      <c r="A2252" t="n">
        <v>2</v>
      </c>
      <c r="B2252" s="10" t="inlineStr">
        <is>
          <t>休日</t>
        </is>
      </c>
      <c r="C2252" s="10" t="inlineStr">
        <is>
          <t>本線</t>
        </is>
      </c>
      <c r="D2252" s="10" t="inlineStr">
        <is>
          <t>下り</t>
        </is>
      </c>
      <c r="E2252" t="inlineStr">
        <is>
          <t>0809</t>
        </is>
      </c>
      <c r="F2252" t="inlineStr">
        <is>
          <t>0112</t>
        </is>
      </c>
      <c r="G2252" s="10" t="inlineStr">
        <is>
          <t>天神川</t>
        </is>
      </c>
      <c r="H2252" s="10" t="inlineStr">
        <is>
          <t>発</t>
        </is>
      </c>
      <c r="J2252" s="10" t="inlineStr">
        <is>
          <t>営業</t>
        </is>
      </c>
      <c r="L2252" t="inlineStr">
        <is>
          <t>8:52:50</t>
        </is>
      </c>
      <c r="M2252" t="inlineStr">
        <is>
          <t>8:53:30</t>
        </is>
      </c>
    </row>
    <row r="2253" ht="15" customHeight="1" s="37">
      <c r="A2253" t="n">
        <v>2</v>
      </c>
      <c r="B2253" s="10" t="inlineStr">
        <is>
          <t>休日</t>
        </is>
      </c>
      <c r="C2253" s="10" t="inlineStr">
        <is>
          <t>本線</t>
        </is>
      </c>
      <c r="D2253" s="10" t="inlineStr">
        <is>
          <t>下り</t>
        </is>
      </c>
      <c r="E2253" t="inlineStr">
        <is>
          <t>0809</t>
        </is>
      </c>
      <c r="F2253" t="inlineStr">
        <is>
          <t>0112</t>
        </is>
      </c>
      <c r="G2253" s="10" t="inlineStr">
        <is>
          <t>蚕ノ社</t>
        </is>
      </c>
      <c r="H2253" s="10" t="inlineStr">
        <is>
          <t>発</t>
        </is>
      </c>
      <c r="J2253" s="10" t="inlineStr">
        <is>
          <t>営業</t>
        </is>
      </c>
      <c r="L2253" t="inlineStr">
        <is>
          <t>8:54:20</t>
        </is>
      </c>
      <c r="M2253" t="inlineStr">
        <is>
          <t>8:54:40</t>
        </is>
      </c>
    </row>
    <row r="2254" ht="15" customHeight="1" s="37">
      <c r="A2254" t="n">
        <v>2</v>
      </c>
      <c r="B2254" s="10" t="inlineStr">
        <is>
          <t>休日</t>
        </is>
      </c>
      <c r="C2254" s="10" t="inlineStr">
        <is>
          <t>本線</t>
        </is>
      </c>
      <c r="D2254" s="10" t="inlineStr">
        <is>
          <t>下り</t>
        </is>
      </c>
      <c r="E2254" t="inlineStr">
        <is>
          <t>0809</t>
        </is>
      </c>
      <c r="F2254" t="inlineStr">
        <is>
          <t>0112</t>
        </is>
      </c>
      <c r="G2254" s="10" t="inlineStr">
        <is>
          <t>太秦広隆寺</t>
        </is>
      </c>
      <c r="H2254" s="10" t="inlineStr">
        <is>
          <t>発</t>
        </is>
      </c>
      <c r="J2254" s="10" t="inlineStr">
        <is>
          <t>営業</t>
        </is>
      </c>
      <c r="L2254" t="inlineStr">
        <is>
          <t>8:56:00</t>
        </is>
      </c>
      <c r="M2254" t="inlineStr">
        <is>
          <t>8:56:20</t>
        </is>
      </c>
    </row>
    <row r="2255" ht="15" customHeight="1" s="37">
      <c r="A2255" t="n">
        <v>2</v>
      </c>
      <c r="B2255" s="10" t="inlineStr">
        <is>
          <t>休日</t>
        </is>
      </c>
      <c r="C2255" s="10" t="inlineStr">
        <is>
          <t>本線</t>
        </is>
      </c>
      <c r="D2255" s="10" t="inlineStr">
        <is>
          <t>下り</t>
        </is>
      </c>
      <c r="E2255" t="inlineStr">
        <is>
          <t>0809</t>
        </is>
      </c>
      <c r="F2255" t="inlineStr">
        <is>
          <t>0112</t>
        </is>
      </c>
      <c r="G2255" s="10" t="inlineStr">
        <is>
          <t>帷子ノ辻</t>
        </is>
      </c>
      <c r="H2255" s="10" t="inlineStr">
        <is>
          <t>発</t>
        </is>
      </c>
      <c r="J2255" s="10" t="inlineStr">
        <is>
          <t>営業</t>
        </is>
      </c>
      <c r="L2255" t="inlineStr">
        <is>
          <t>8:58:20</t>
        </is>
      </c>
      <c r="M2255" t="inlineStr">
        <is>
          <t>8:59:40</t>
        </is>
      </c>
    </row>
    <row r="2256" ht="15" customHeight="1" s="37">
      <c r="A2256" t="n">
        <v>2</v>
      </c>
      <c r="B2256" s="10" t="inlineStr">
        <is>
          <t>休日</t>
        </is>
      </c>
      <c r="C2256" s="10" t="inlineStr">
        <is>
          <t>本線</t>
        </is>
      </c>
      <c r="D2256" s="10" t="inlineStr">
        <is>
          <t>下り</t>
        </is>
      </c>
      <c r="E2256" t="inlineStr">
        <is>
          <t>0809</t>
        </is>
      </c>
      <c r="F2256" t="inlineStr">
        <is>
          <t>0112</t>
        </is>
      </c>
      <c r="G2256" s="10" t="inlineStr">
        <is>
          <t>有栖川</t>
        </is>
      </c>
      <c r="H2256" s="10" t="inlineStr">
        <is>
          <t>発</t>
        </is>
      </c>
      <c r="J2256" s="10" t="inlineStr">
        <is>
          <t>営業</t>
        </is>
      </c>
      <c r="L2256" t="inlineStr">
        <is>
          <t>9:00:50</t>
        </is>
      </c>
      <c r="M2256" t="inlineStr">
        <is>
          <t>9:01:15</t>
        </is>
      </c>
    </row>
    <row r="2257" ht="15" customHeight="1" s="37">
      <c r="A2257" t="n">
        <v>2</v>
      </c>
      <c r="B2257" s="10" t="inlineStr">
        <is>
          <t>休日</t>
        </is>
      </c>
      <c r="C2257" s="10" t="inlineStr">
        <is>
          <t>本線</t>
        </is>
      </c>
      <c r="D2257" s="10" t="inlineStr">
        <is>
          <t>下り</t>
        </is>
      </c>
      <c r="E2257" t="inlineStr">
        <is>
          <t>0809</t>
        </is>
      </c>
      <c r="F2257" t="inlineStr">
        <is>
          <t>0112</t>
        </is>
      </c>
      <c r="G2257" s="10" t="inlineStr">
        <is>
          <t>車折</t>
        </is>
      </c>
      <c r="H2257" s="10" t="inlineStr">
        <is>
          <t>発</t>
        </is>
      </c>
      <c r="J2257" s="10" t="inlineStr">
        <is>
          <t>営業</t>
        </is>
      </c>
      <c r="L2257" t="inlineStr">
        <is>
          <t>9:02:40</t>
        </is>
      </c>
      <c r="M2257" t="inlineStr">
        <is>
          <t>9:03:05</t>
        </is>
      </c>
    </row>
    <row r="2258" ht="15" customHeight="1" s="37">
      <c r="A2258" t="n">
        <v>2</v>
      </c>
      <c r="B2258" s="10" t="inlineStr">
        <is>
          <t>休日</t>
        </is>
      </c>
      <c r="C2258" s="10" t="inlineStr">
        <is>
          <t>本線</t>
        </is>
      </c>
      <c r="D2258" s="10" t="inlineStr">
        <is>
          <t>下り</t>
        </is>
      </c>
      <c r="E2258" t="inlineStr">
        <is>
          <t>0809</t>
        </is>
      </c>
      <c r="F2258" t="inlineStr">
        <is>
          <t>0112</t>
        </is>
      </c>
      <c r="G2258" s="10" t="inlineStr">
        <is>
          <t>鹿王院</t>
        </is>
      </c>
      <c r="H2258" s="10" t="inlineStr">
        <is>
          <t>発</t>
        </is>
      </c>
      <c r="J2258" s="10" t="inlineStr">
        <is>
          <t>営業</t>
        </is>
      </c>
      <c r="L2258" t="inlineStr">
        <is>
          <t>9:04:00</t>
        </is>
      </c>
      <c r="M2258" t="inlineStr">
        <is>
          <t>9:04:25</t>
        </is>
      </c>
    </row>
    <row r="2259" ht="15" customHeight="1" s="37">
      <c r="A2259" t="n">
        <v>2</v>
      </c>
      <c r="B2259" s="10" t="inlineStr">
        <is>
          <t>休日</t>
        </is>
      </c>
      <c r="C2259" s="10" t="inlineStr">
        <is>
          <t>本線</t>
        </is>
      </c>
      <c r="D2259" s="10" t="inlineStr">
        <is>
          <t>下り</t>
        </is>
      </c>
      <c r="E2259" t="inlineStr">
        <is>
          <t>0809</t>
        </is>
      </c>
      <c r="F2259" t="inlineStr">
        <is>
          <t>0112</t>
        </is>
      </c>
      <c r="G2259" s="10" t="inlineStr">
        <is>
          <t>嵯峨</t>
        </is>
      </c>
      <c r="H2259" s="10" t="inlineStr">
        <is>
          <t>発</t>
        </is>
      </c>
      <c r="J2259" s="10" t="inlineStr">
        <is>
          <t>営業</t>
        </is>
      </c>
      <c r="L2259" t="inlineStr">
        <is>
          <t>9:05:30</t>
        </is>
      </c>
      <c r="M2259" t="inlineStr">
        <is>
          <t>9:05:55</t>
        </is>
      </c>
    </row>
    <row r="2260" ht="15" customHeight="1" s="37">
      <c r="A2260" t="n">
        <v>2</v>
      </c>
      <c r="B2260" s="10" t="inlineStr">
        <is>
          <t>休日</t>
        </is>
      </c>
      <c r="C2260" s="10" t="inlineStr">
        <is>
          <t>本線</t>
        </is>
      </c>
      <c r="D2260" s="10" t="inlineStr">
        <is>
          <t>下り</t>
        </is>
      </c>
      <c r="E2260" t="inlineStr">
        <is>
          <t>0809</t>
        </is>
      </c>
      <c r="F2260" t="inlineStr">
        <is>
          <t>0112</t>
        </is>
      </c>
      <c r="G2260" s="10" t="inlineStr">
        <is>
          <t>嵐山</t>
        </is>
      </c>
      <c r="H2260" s="10" t="inlineStr">
        <is>
          <t>着</t>
        </is>
      </c>
      <c r="J2260" s="10" t="inlineStr">
        <is>
          <t>営業</t>
        </is>
      </c>
      <c r="L2260" t="inlineStr">
        <is>
          <t>9:07:00</t>
        </is>
      </c>
      <c r="Q2260" t="inlineStr">
        <is>
          <t>1</t>
        </is>
      </c>
    </row>
    <row r="2261" ht="15" customHeight="1" s="37">
      <c r="A2261" t="n">
        <v>2</v>
      </c>
      <c r="B2261" s="10" t="inlineStr">
        <is>
          <t>休日</t>
        </is>
      </c>
      <c r="C2261" s="10" t="inlineStr">
        <is>
          <t>本線</t>
        </is>
      </c>
      <c r="D2261" s="10" t="inlineStr">
        <is>
          <t>上り</t>
        </is>
      </c>
      <c r="E2261" t="inlineStr">
        <is>
          <t>0904</t>
        </is>
      </c>
      <c r="F2261" t="inlineStr">
        <is>
          <t>0211</t>
        </is>
      </c>
      <c r="G2261" s="10" t="inlineStr">
        <is>
          <t>嵐山</t>
        </is>
      </c>
      <c r="H2261" s="10" t="inlineStr">
        <is>
          <t>発</t>
        </is>
      </c>
      <c r="J2261" s="10" t="inlineStr">
        <is>
          <t>営業</t>
        </is>
      </c>
      <c r="M2261" t="inlineStr">
        <is>
          <t>9:13:00</t>
        </is>
      </c>
      <c r="Q2261" t="inlineStr">
        <is>
          <t>1</t>
        </is>
      </c>
      <c r="U2261" t="inlineStr">
        <is>
          <t>→西院 休憩(9:46〜11:06)</t>
        </is>
      </c>
    </row>
    <row r="2262" ht="15" customHeight="1" s="37">
      <c r="A2262" t="n">
        <v>2</v>
      </c>
      <c r="B2262" s="10" t="inlineStr">
        <is>
          <t>休日</t>
        </is>
      </c>
      <c r="C2262" s="10" t="inlineStr">
        <is>
          <t>本線</t>
        </is>
      </c>
      <c r="D2262" s="10" t="inlineStr">
        <is>
          <t>上り</t>
        </is>
      </c>
      <c r="E2262" t="inlineStr">
        <is>
          <t>0904</t>
        </is>
      </c>
      <c r="F2262" t="inlineStr">
        <is>
          <t>0211</t>
        </is>
      </c>
      <c r="G2262" s="10" t="inlineStr">
        <is>
          <t>嵯峨</t>
        </is>
      </c>
      <c r="H2262" s="10" t="inlineStr">
        <is>
          <t>発</t>
        </is>
      </c>
      <c r="J2262" s="10" t="inlineStr">
        <is>
          <t>営業</t>
        </is>
      </c>
      <c r="L2262" t="inlineStr">
        <is>
          <t>9:13:55</t>
        </is>
      </c>
      <c r="M2262" t="inlineStr">
        <is>
          <t>9:14:20</t>
        </is>
      </c>
      <c r="U2262" t="inlineStr">
        <is>
          <t>→西院 休憩(9:46〜11:06)</t>
        </is>
      </c>
    </row>
    <row r="2263" ht="15" customHeight="1" s="37">
      <c r="A2263" t="n">
        <v>2</v>
      </c>
      <c r="B2263" s="10" t="inlineStr">
        <is>
          <t>休日</t>
        </is>
      </c>
      <c r="C2263" s="10" t="inlineStr">
        <is>
          <t>本線</t>
        </is>
      </c>
      <c r="D2263" s="10" t="inlineStr">
        <is>
          <t>上り</t>
        </is>
      </c>
      <c r="E2263" t="inlineStr">
        <is>
          <t>0904</t>
        </is>
      </c>
      <c r="F2263" t="inlineStr">
        <is>
          <t>0211</t>
        </is>
      </c>
      <c r="G2263" s="10" t="inlineStr">
        <is>
          <t>鹿王院</t>
        </is>
      </c>
      <c r="H2263" s="10" t="inlineStr">
        <is>
          <t>発</t>
        </is>
      </c>
      <c r="J2263" s="10" t="inlineStr">
        <is>
          <t>営業</t>
        </is>
      </c>
      <c r="L2263" t="inlineStr">
        <is>
          <t>9:15:25</t>
        </is>
      </c>
      <c r="M2263" t="inlineStr">
        <is>
          <t>9:15:45</t>
        </is>
      </c>
      <c r="U2263" t="inlineStr">
        <is>
          <t>→西院 休憩(9:46〜11:06)</t>
        </is>
      </c>
    </row>
    <row r="2264" ht="15" customHeight="1" s="37">
      <c r="A2264" t="n">
        <v>2</v>
      </c>
      <c r="B2264" s="10" t="inlineStr">
        <is>
          <t>休日</t>
        </is>
      </c>
      <c r="C2264" s="10" t="inlineStr">
        <is>
          <t>本線</t>
        </is>
      </c>
      <c r="D2264" s="10" t="inlineStr">
        <is>
          <t>上り</t>
        </is>
      </c>
      <c r="E2264" t="inlineStr">
        <is>
          <t>0904</t>
        </is>
      </c>
      <c r="F2264" t="inlineStr">
        <is>
          <t>0211</t>
        </is>
      </c>
      <c r="G2264" s="10" t="inlineStr">
        <is>
          <t>車折</t>
        </is>
      </c>
      <c r="H2264" s="10" t="inlineStr">
        <is>
          <t>発</t>
        </is>
      </c>
      <c r="J2264" s="10" t="inlineStr">
        <is>
          <t>営業</t>
        </is>
      </c>
      <c r="L2264" t="inlineStr">
        <is>
          <t>9:16:40</t>
        </is>
      </c>
      <c r="M2264" t="inlineStr">
        <is>
          <t>9:17:10</t>
        </is>
      </c>
      <c r="U2264" t="inlineStr">
        <is>
          <t>→西院 休憩(9:46〜11:06)</t>
        </is>
      </c>
    </row>
    <row r="2265" ht="15" customHeight="1" s="37">
      <c r="A2265" t="n">
        <v>2</v>
      </c>
      <c r="B2265" s="10" t="inlineStr">
        <is>
          <t>休日</t>
        </is>
      </c>
      <c r="C2265" s="10" t="inlineStr">
        <is>
          <t>本線</t>
        </is>
      </c>
      <c r="D2265" s="10" t="inlineStr">
        <is>
          <t>上り</t>
        </is>
      </c>
      <c r="E2265" t="inlineStr">
        <is>
          <t>0904</t>
        </is>
      </c>
      <c r="F2265" t="inlineStr">
        <is>
          <t>0211</t>
        </is>
      </c>
      <c r="G2265" s="10" t="inlineStr">
        <is>
          <t>有栖川</t>
        </is>
      </c>
      <c r="H2265" s="10" t="inlineStr">
        <is>
          <t>発</t>
        </is>
      </c>
      <c r="J2265" s="10" t="inlineStr">
        <is>
          <t>営業</t>
        </is>
      </c>
      <c r="L2265" t="inlineStr">
        <is>
          <t>9:18:35</t>
        </is>
      </c>
      <c r="M2265" t="inlineStr">
        <is>
          <t>9:18:55</t>
        </is>
      </c>
      <c r="U2265" t="inlineStr">
        <is>
          <t>→西院 休憩(9:46〜11:06)</t>
        </is>
      </c>
    </row>
    <row r="2266" ht="15" customHeight="1" s="37">
      <c r="A2266" t="n">
        <v>2</v>
      </c>
      <c r="B2266" s="10" t="inlineStr">
        <is>
          <t>休日</t>
        </is>
      </c>
      <c r="C2266" s="10" t="inlineStr">
        <is>
          <t>本線</t>
        </is>
      </c>
      <c r="D2266" s="10" t="inlineStr">
        <is>
          <t>上り</t>
        </is>
      </c>
      <c r="E2266" t="inlineStr">
        <is>
          <t>0904</t>
        </is>
      </c>
      <c r="F2266" t="inlineStr">
        <is>
          <t>0211</t>
        </is>
      </c>
      <c r="G2266" s="10" t="inlineStr">
        <is>
          <t>帷子ノ辻</t>
        </is>
      </c>
      <c r="H2266" s="10" t="inlineStr">
        <is>
          <t>発</t>
        </is>
      </c>
      <c r="J2266" s="10" t="inlineStr">
        <is>
          <t>営業</t>
        </is>
      </c>
      <c r="L2266" t="inlineStr">
        <is>
          <t>9:20:10</t>
        </is>
      </c>
      <c r="M2266" t="inlineStr">
        <is>
          <t>9:21:15</t>
        </is>
      </c>
      <c r="U2266" t="inlineStr">
        <is>
          <t>→西院 休憩(9:46〜11:06)</t>
        </is>
      </c>
    </row>
    <row r="2267" ht="15" customHeight="1" s="37">
      <c r="A2267" t="n">
        <v>2</v>
      </c>
      <c r="B2267" s="10" t="inlineStr">
        <is>
          <t>休日</t>
        </is>
      </c>
      <c r="C2267" s="10" t="inlineStr">
        <is>
          <t>本線</t>
        </is>
      </c>
      <c r="D2267" s="10" t="inlineStr">
        <is>
          <t>上り</t>
        </is>
      </c>
      <c r="E2267" t="inlineStr">
        <is>
          <t>0904</t>
        </is>
      </c>
      <c r="F2267" t="inlineStr">
        <is>
          <t>0211</t>
        </is>
      </c>
      <c r="G2267" s="10" t="inlineStr">
        <is>
          <t>太秦広隆寺</t>
        </is>
      </c>
      <c r="H2267" s="10" t="inlineStr">
        <is>
          <t>発</t>
        </is>
      </c>
      <c r="J2267" s="10" t="inlineStr">
        <is>
          <t>営業</t>
        </is>
      </c>
      <c r="L2267" t="inlineStr">
        <is>
          <t>9:23:25</t>
        </is>
      </c>
      <c r="M2267" t="inlineStr">
        <is>
          <t>9:23:45</t>
        </is>
      </c>
      <c r="U2267" t="inlineStr">
        <is>
          <t>→西院 休憩(9:46〜11:06)</t>
        </is>
      </c>
    </row>
    <row r="2268" ht="15" customHeight="1" s="37">
      <c r="A2268" t="n">
        <v>2</v>
      </c>
      <c r="B2268" s="10" t="inlineStr">
        <is>
          <t>休日</t>
        </is>
      </c>
      <c r="C2268" s="10" t="inlineStr">
        <is>
          <t>本線</t>
        </is>
      </c>
      <c r="D2268" s="10" t="inlineStr">
        <is>
          <t>上り</t>
        </is>
      </c>
      <c r="E2268" t="inlineStr">
        <is>
          <t>0904</t>
        </is>
      </c>
      <c r="F2268" t="inlineStr">
        <is>
          <t>0211</t>
        </is>
      </c>
      <c r="G2268" s="10" t="inlineStr">
        <is>
          <t>蚕ノ社</t>
        </is>
      </c>
      <c r="H2268" s="10" t="inlineStr">
        <is>
          <t>発</t>
        </is>
      </c>
      <c r="J2268" s="10" t="inlineStr">
        <is>
          <t>営業</t>
        </is>
      </c>
      <c r="L2268" t="inlineStr">
        <is>
          <t>9:25:00</t>
        </is>
      </c>
      <c r="M2268" t="inlineStr">
        <is>
          <t>9:25:20</t>
        </is>
      </c>
      <c r="U2268" t="inlineStr">
        <is>
          <t>→西院 休憩(9:46〜11:06)</t>
        </is>
      </c>
    </row>
    <row r="2269" ht="15" customHeight="1" s="37">
      <c r="A2269" t="n">
        <v>2</v>
      </c>
      <c r="B2269" s="10" t="inlineStr">
        <is>
          <t>休日</t>
        </is>
      </c>
      <c r="C2269" s="10" t="inlineStr">
        <is>
          <t>本線</t>
        </is>
      </c>
      <c r="D2269" s="10" t="inlineStr">
        <is>
          <t>上り</t>
        </is>
      </c>
      <c r="E2269" t="inlineStr">
        <is>
          <t>0904</t>
        </is>
      </c>
      <c r="F2269" t="inlineStr">
        <is>
          <t>0211</t>
        </is>
      </c>
      <c r="G2269" s="10" t="inlineStr">
        <is>
          <t>天神川</t>
        </is>
      </c>
      <c r="H2269" s="10" t="inlineStr">
        <is>
          <t>発</t>
        </is>
      </c>
      <c r="J2269" s="10" t="inlineStr">
        <is>
          <t>営業</t>
        </is>
      </c>
      <c r="L2269" t="inlineStr">
        <is>
          <t>9:26:05</t>
        </is>
      </c>
      <c r="M2269" t="inlineStr">
        <is>
          <t>9:26:50</t>
        </is>
      </c>
      <c r="U2269" t="inlineStr">
        <is>
          <t>→西院 休憩(9:46〜11:06)</t>
        </is>
      </c>
    </row>
    <row r="2270" ht="15" customHeight="1" s="37">
      <c r="A2270" t="n">
        <v>2</v>
      </c>
      <c r="B2270" s="10" t="inlineStr">
        <is>
          <t>休日</t>
        </is>
      </c>
      <c r="C2270" s="10" t="inlineStr">
        <is>
          <t>本線</t>
        </is>
      </c>
      <c r="D2270" s="10" t="inlineStr">
        <is>
          <t>上り</t>
        </is>
      </c>
      <c r="E2270" t="inlineStr">
        <is>
          <t>0904</t>
        </is>
      </c>
      <c r="F2270" t="inlineStr">
        <is>
          <t>0211</t>
        </is>
      </c>
      <c r="G2270" s="10" t="inlineStr">
        <is>
          <t>山ノ内</t>
        </is>
      </c>
      <c r="H2270" s="10" t="inlineStr">
        <is>
          <t>発</t>
        </is>
      </c>
      <c r="J2270" s="10" t="inlineStr">
        <is>
          <t>営業</t>
        </is>
      </c>
      <c r="L2270" t="inlineStr">
        <is>
          <t>9:28:40</t>
        </is>
      </c>
      <c r="M2270" t="inlineStr">
        <is>
          <t>9:29:05</t>
        </is>
      </c>
      <c r="U2270" t="inlineStr">
        <is>
          <t>→西院 休憩(9:46〜11:06)</t>
        </is>
      </c>
    </row>
    <row r="2271" ht="15" customHeight="1" s="37">
      <c r="A2271" t="n">
        <v>2</v>
      </c>
      <c r="B2271" s="10" t="inlineStr">
        <is>
          <t>休日</t>
        </is>
      </c>
      <c r="C2271" s="10" t="inlineStr">
        <is>
          <t>本線</t>
        </is>
      </c>
      <c r="D2271" s="10" t="inlineStr">
        <is>
          <t>上り</t>
        </is>
      </c>
      <c r="E2271" t="inlineStr">
        <is>
          <t>0904</t>
        </is>
      </c>
      <c r="F2271" t="inlineStr">
        <is>
          <t>0211</t>
        </is>
      </c>
      <c r="G2271" s="10" t="inlineStr">
        <is>
          <t>西大路三条</t>
        </is>
      </c>
      <c r="H2271" s="10" t="inlineStr">
        <is>
          <t>発</t>
        </is>
      </c>
      <c r="J2271" s="10" t="inlineStr">
        <is>
          <t>営業</t>
        </is>
      </c>
      <c r="L2271" t="inlineStr">
        <is>
          <t>9:30:55</t>
        </is>
      </c>
      <c r="M2271" t="inlineStr">
        <is>
          <t>9:31:15</t>
        </is>
      </c>
      <c r="U2271" t="inlineStr">
        <is>
          <t>→西院 休憩(9:46〜11:06)</t>
        </is>
      </c>
    </row>
    <row r="2272" ht="15" customHeight="1" s="37">
      <c r="A2272" t="n">
        <v>2</v>
      </c>
      <c r="B2272" s="10" t="inlineStr">
        <is>
          <t>休日</t>
        </is>
      </c>
      <c r="C2272" s="10" t="inlineStr">
        <is>
          <t>本線</t>
        </is>
      </c>
      <c r="D2272" s="10" t="inlineStr">
        <is>
          <t>上り</t>
        </is>
      </c>
      <c r="E2272" t="inlineStr">
        <is>
          <t>0904</t>
        </is>
      </c>
      <c r="F2272" t="inlineStr">
        <is>
          <t>0211</t>
        </is>
      </c>
      <c r="G2272" s="10" t="inlineStr">
        <is>
          <t>西院</t>
        </is>
      </c>
      <c r="H2272" s="10" t="inlineStr">
        <is>
          <t>発</t>
        </is>
      </c>
      <c r="J2272" s="10" t="inlineStr">
        <is>
          <t>営業</t>
        </is>
      </c>
      <c r="L2272" t="inlineStr">
        <is>
          <t>9:33:10</t>
        </is>
      </c>
      <c r="M2272" t="inlineStr">
        <is>
          <t>9:34:05</t>
        </is>
      </c>
      <c r="U2272" t="inlineStr">
        <is>
          <t>→西院 休憩(9:46〜11:06)</t>
        </is>
      </c>
    </row>
    <row r="2273" ht="15" customHeight="1" s="37">
      <c r="A2273" t="n">
        <v>2</v>
      </c>
      <c r="B2273" s="10" t="inlineStr">
        <is>
          <t>休日</t>
        </is>
      </c>
      <c r="C2273" s="10" t="inlineStr">
        <is>
          <t>本線</t>
        </is>
      </c>
      <c r="D2273" s="10" t="inlineStr">
        <is>
          <t>上り</t>
        </is>
      </c>
      <c r="E2273" t="inlineStr">
        <is>
          <t>0904</t>
        </is>
      </c>
      <c r="F2273" t="inlineStr">
        <is>
          <t>0211</t>
        </is>
      </c>
      <c r="G2273" s="10" t="inlineStr">
        <is>
          <t>四条大宮</t>
        </is>
      </c>
      <c r="H2273" s="10" t="inlineStr">
        <is>
          <t>着</t>
        </is>
      </c>
      <c r="J2273" s="10" t="inlineStr">
        <is>
          <t>営業</t>
        </is>
      </c>
      <c r="L2273" t="inlineStr">
        <is>
          <t>9:37:00</t>
        </is>
      </c>
      <c r="Q2273" t="inlineStr">
        <is>
          <t>1</t>
        </is>
      </c>
      <c r="U2273" t="inlineStr">
        <is>
          <t>→西院 休憩(9:46〜11:06)</t>
        </is>
      </c>
    </row>
    <row r="2274" ht="15" customHeight="1" s="37">
      <c r="A2274" t="n">
        <v>2</v>
      </c>
      <c r="B2274" s="10" t="inlineStr">
        <is>
          <t>休日</t>
        </is>
      </c>
      <c r="C2274" s="10" t="inlineStr">
        <is>
          <t>本線</t>
        </is>
      </c>
      <c r="D2274" s="10" t="inlineStr">
        <is>
          <t>下り</t>
        </is>
      </c>
      <c r="E2274" t="inlineStr">
        <is>
          <t>0909</t>
        </is>
      </c>
      <c r="F2274" t="inlineStr">
        <is>
          <t>0112</t>
        </is>
      </c>
      <c r="G2274" s="10" t="inlineStr">
        <is>
          <t>四条大宮</t>
        </is>
      </c>
      <c r="H2274" s="10" t="inlineStr">
        <is>
          <t>発</t>
        </is>
      </c>
      <c r="J2274" s="10" t="inlineStr">
        <is>
          <t>営業</t>
        </is>
      </c>
      <c r="M2274" t="inlineStr">
        <is>
          <t>9:43:00</t>
        </is>
      </c>
      <c r="Q2274" t="inlineStr">
        <is>
          <t>1</t>
        </is>
      </c>
      <c r="U2274" t="inlineStr">
        <is>
          <t>→西院 休憩(9:46〜11:06)</t>
        </is>
      </c>
    </row>
    <row r="2275" ht="15" customHeight="1" s="37">
      <c r="A2275" t="n">
        <v>2</v>
      </c>
      <c r="B2275" s="10" t="inlineStr">
        <is>
          <t>休日</t>
        </is>
      </c>
      <c r="C2275" s="10" t="inlineStr">
        <is>
          <t>本線</t>
        </is>
      </c>
      <c r="D2275" s="10" t="inlineStr">
        <is>
          <t>下り</t>
        </is>
      </c>
      <c r="E2275" t="inlineStr">
        <is>
          <t>0909</t>
        </is>
      </c>
      <c r="F2275" t="inlineStr">
        <is>
          <t>0112</t>
        </is>
      </c>
      <c r="G2275" s="10" t="inlineStr">
        <is>
          <t>西院</t>
        </is>
      </c>
      <c r="H2275" s="10" t="inlineStr">
        <is>
          <t>着</t>
        </is>
      </c>
      <c r="J2275" s="10" t="inlineStr">
        <is>
          <t>営業</t>
        </is>
      </c>
      <c r="L2275" t="inlineStr">
        <is>
          <t>9:45:50</t>
        </is>
      </c>
      <c r="M2275" t="inlineStr">
        <is>
          <t>9:46:20</t>
        </is>
      </c>
      <c r="U2275" t="inlineStr">
        <is>
          <t>→西院 休憩(9:46〜11:06)</t>
        </is>
      </c>
    </row>
    <row r="2276" ht="15" customHeight="1" s="37">
      <c r="A2276" t="n">
        <v>2</v>
      </c>
      <c r="B2276" s="10" t="inlineStr">
        <is>
          <t>休日</t>
        </is>
      </c>
      <c r="C2276" s="10" t="inlineStr">
        <is>
          <t>本線</t>
        </is>
      </c>
      <c r="D2276" s="10" t="inlineStr">
        <is>
          <t>下り</t>
        </is>
      </c>
      <c r="E2276" t="inlineStr">
        <is>
          <t>1101</t>
        </is>
      </c>
      <c r="F2276" t="inlineStr">
        <is>
          <t>0112</t>
        </is>
      </c>
      <c r="G2276" s="10" t="inlineStr">
        <is>
          <t>西院</t>
        </is>
      </c>
      <c r="H2276" s="10" t="inlineStr">
        <is>
          <t>発</t>
        </is>
      </c>
      <c r="J2276" s="10" t="inlineStr">
        <is>
          <t>営業</t>
        </is>
      </c>
      <c r="L2276" t="inlineStr">
        <is>
          <t>11:05:50</t>
        </is>
      </c>
      <c r="M2276" t="inlineStr">
        <is>
          <t>11:06:20</t>
        </is>
      </c>
    </row>
    <row r="2277" ht="15" customHeight="1" s="37">
      <c r="A2277" t="n">
        <v>2</v>
      </c>
      <c r="B2277" s="10" t="inlineStr">
        <is>
          <t>休日</t>
        </is>
      </c>
      <c r="C2277" s="10" t="inlineStr">
        <is>
          <t>本線</t>
        </is>
      </c>
      <c r="D2277" s="10" t="inlineStr">
        <is>
          <t>下り</t>
        </is>
      </c>
      <c r="E2277" t="inlineStr">
        <is>
          <t>1101</t>
        </is>
      </c>
      <c r="F2277" t="inlineStr">
        <is>
          <t>0112</t>
        </is>
      </c>
      <c r="G2277" s="10" t="inlineStr">
        <is>
          <t>西大路三条</t>
        </is>
      </c>
      <c r="H2277" s="10" t="inlineStr">
        <is>
          <t>発</t>
        </is>
      </c>
      <c r="J2277" s="10" t="inlineStr">
        <is>
          <t>営業</t>
        </is>
      </c>
      <c r="L2277" t="inlineStr">
        <is>
          <t>11:08:10</t>
        </is>
      </c>
      <c r="M2277" t="inlineStr">
        <is>
          <t>11:08:30</t>
        </is>
      </c>
    </row>
    <row r="2278" ht="15" customHeight="1" s="37">
      <c r="A2278" t="n">
        <v>2</v>
      </c>
      <c r="B2278" s="10" t="inlineStr">
        <is>
          <t>休日</t>
        </is>
      </c>
      <c r="C2278" s="10" t="inlineStr">
        <is>
          <t>本線</t>
        </is>
      </c>
      <c r="D2278" s="10" t="inlineStr">
        <is>
          <t>下り</t>
        </is>
      </c>
      <c r="E2278" t="inlineStr">
        <is>
          <t>1101</t>
        </is>
      </c>
      <c r="F2278" t="inlineStr">
        <is>
          <t>0112</t>
        </is>
      </c>
      <c r="G2278" s="10" t="inlineStr">
        <is>
          <t>山ノ内</t>
        </is>
      </c>
      <c r="H2278" s="10" t="inlineStr">
        <is>
          <t>発</t>
        </is>
      </c>
      <c r="J2278" s="10" t="inlineStr">
        <is>
          <t>営業</t>
        </is>
      </c>
      <c r="L2278" t="inlineStr">
        <is>
          <t>11:10:25</t>
        </is>
      </c>
      <c r="M2278" t="inlineStr">
        <is>
          <t>11:10:50</t>
        </is>
      </c>
    </row>
    <row r="2279" ht="15" customHeight="1" s="37">
      <c r="A2279" t="n">
        <v>2</v>
      </c>
      <c r="B2279" s="10" t="inlineStr">
        <is>
          <t>休日</t>
        </is>
      </c>
      <c r="C2279" s="10" t="inlineStr">
        <is>
          <t>本線</t>
        </is>
      </c>
      <c r="D2279" s="10" t="inlineStr">
        <is>
          <t>下り</t>
        </is>
      </c>
      <c r="E2279" t="inlineStr">
        <is>
          <t>1101</t>
        </is>
      </c>
      <c r="F2279" t="inlineStr">
        <is>
          <t>0112</t>
        </is>
      </c>
      <c r="G2279" s="10" t="inlineStr">
        <is>
          <t>天神川</t>
        </is>
      </c>
      <c r="H2279" s="10" t="inlineStr">
        <is>
          <t>発</t>
        </is>
      </c>
      <c r="J2279" s="10" t="inlineStr">
        <is>
          <t>営業</t>
        </is>
      </c>
      <c r="L2279" t="inlineStr">
        <is>
          <t>11:12:50</t>
        </is>
      </c>
      <c r="M2279" t="inlineStr">
        <is>
          <t>11:13:30</t>
        </is>
      </c>
    </row>
    <row r="2280" ht="15" customHeight="1" s="37">
      <c r="A2280" t="n">
        <v>2</v>
      </c>
      <c r="B2280" s="10" t="inlineStr">
        <is>
          <t>休日</t>
        </is>
      </c>
      <c r="C2280" s="10" t="inlineStr">
        <is>
          <t>本線</t>
        </is>
      </c>
      <c r="D2280" s="10" t="inlineStr">
        <is>
          <t>下り</t>
        </is>
      </c>
      <c r="E2280" t="inlineStr">
        <is>
          <t>1101</t>
        </is>
      </c>
      <c r="F2280" t="inlineStr">
        <is>
          <t>0112</t>
        </is>
      </c>
      <c r="G2280" s="10" t="inlineStr">
        <is>
          <t>蚕ノ社</t>
        </is>
      </c>
      <c r="H2280" s="10" t="inlineStr">
        <is>
          <t>発</t>
        </is>
      </c>
      <c r="J2280" s="10" t="inlineStr">
        <is>
          <t>営業</t>
        </is>
      </c>
      <c r="L2280" t="inlineStr">
        <is>
          <t>11:14:20</t>
        </is>
      </c>
      <c r="M2280" t="inlineStr">
        <is>
          <t>11:14:40</t>
        </is>
      </c>
    </row>
    <row r="2281" ht="15" customHeight="1" s="37">
      <c r="A2281" t="n">
        <v>2</v>
      </c>
      <c r="B2281" s="10" t="inlineStr">
        <is>
          <t>休日</t>
        </is>
      </c>
      <c r="C2281" s="10" t="inlineStr">
        <is>
          <t>本線</t>
        </is>
      </c>
      <c r="D2281" s="10" t="inlineStr">
        <is>
          <t>下り</t>
        </is>
      </c>
      <c r="E2281" t="inlineStr">
        <is>
          <t>1101</t>
        </is>
      </c>
      <c r="F2281" t="inlineStr">
        <is>
          <t>0112</t>
        </is>
      </c>
      <c r="G2281" s="10" t="inlineStr">
        <is>
          <t>太秦広隆寺</t>
        </is>
      </c>
      <c r="H2281" s="10" t="inlineStr">
        <is>
          <t>発</t>
        </is>
      </c>
      <c r="J2281" s="10" t="inlineStr">
        <is>
          <t>営業</t>
        </is>
      </c>
      <c r="L2281" t="inlineStr">
        <is>
          <t>11:16:00</t>
        </is>
      </c>
      <c r="M2281" t="inlineStr">
        <is>
          <t>11:16:20</t>
        </is>
      </c>
    </row>
    <row r="2282" ht="15" customHeight="1" s="37">
      <c r="A2282" t="n">
        <v>2</v>
      </c>
      <c r="B2282" s="10" t="inlineStr">
        <is>
          <t>休日</t>
        </is>
      </c>
      <c r="C2282" s="10" t="inlineStr">
        <is>
          <t>本線</t>
        </is>
      </c>
      <c r="D2282" s="10" t="inlineStr">
        <is>
          <t>下り</t>
        </is>
      </c>
      <c r="E2282" t="inlineStr">
        <is>
          <t>1101</t>
        </is>
      </c>
      <c r="F2282" t="inlineStr">
        <is>
          <t>0112</t>
        </is>
      </c>
      <c r="G2282" s="10" t="inlineStr">
        <is>
          <t>帷子ノ辻</t>
        </is>
      </c>
      <c r="H2282" s="10" t="inlineStr">
        <is>
          <t>発</t>
        </is>
      </c>
      <c r="J2282" s="10" t="inlineStr">
        <is>
          <t>営業</t>
        </is>
      </c>
      <c r="L2282" t="inlineStr">
        <is>
          <t>11:18:20</t>
        </is>
      </c>
      <c r="M2282" t="inlineStr">
        <is>
          <t>11:19:40</t>
        </is>
      </c>
    </row>
    <row r="2283" ht="15" customHeight="1" s="37">
      <c r="A2283" t="n">
        <v>2</v>
      </c>
      <c r="B2283" s="10" t="inlineStr">
        <is>
          <t>休日</t>
        </is>
      </c>
      <c r="C2283" s="10" t="inlineStr">
        <is>
          <t>本線</t>
        </is>
      </c>
      <c r="D2283" s="10" t="inlineStr">
        <is>
          <t>下り</t>
        </is>
      </c>
      <c r="E2283" t="inlineStr">
        <is>
          <t>1101</t>
        </is>
      </c>
      <c r="F2283" t="inlineStr">
        <is>
          <t>0112</t>
        </is>
      </c>
      <c r="G2283" s="10" t="inlineStr">
        <is>
          <t>有栖川</t>
        </is>
      </c>
      <c r="H2283" s="10" t="inlineStr">
        <is>
          <t>発</t>
        </is>
      </c>
      <c r="J2283" s="10" t="inlineStr">
        <is>
          <t>営業</t>
        </is>
      </c>
      <c r="L2283" t="inlineStr">
        <is>
          <t>11:20:50</t>
        </is>
      </c>
      <c r="M2283" t="inlineStr">
        <is>
          <t>11:21:15</t>
        </is>
      </c>
    </row>
    <row r="2284" ht="15" customHeight="1" s="37">
      <c r="A2284" t="n">
        <v>2</v>
      </c>
      <c r="B2284" s="10" t="inlineStr">
        <is>
          <t>休日</t>
        </is>
      </c>
      <c r="C2284" s="10" t="inlineStr">
        <is>
          <t>本線</t>
        </is>
      </c>
      <c r="D2284" s="10" t="inlineStr">
        <is>
          <t>下り</t>
        </is>
      </c>
      <c r="E2284" t="inlineStr">
        <is>
          <t>1101</t>
        </is>
      </c>
      <c r="F2284" t="inlineStr">
        <is>
          <t>0112</t>
        </is>
      </c>
      <c r="G2284" s="10" t="inlineStr">
        <is>
          <t>車折</t>
        </is>
      </c>
      <c r="H2284" s="10" t="inlineStr">
        <is>
          <t>発</t>
        </is>
      </c>
      <c r="J2284" s="10" t="inlineStr">
        <is>
          <t>営業</t>
        </is>
      </c>
      <c r="L2284" t="inlineStr">
        <is>
          <t>11:22:40</t>
        </is>
      </c>
      <c r="M2284" t="inlineStr">
        <is>
          <t>11:23:05</t>
        </is>
      </c>
    </row>
    <row r="2285" ht="15" customHeight="1" s="37">
      <c r="A2285" t="n">
        <v>2</v>
      </c>
      <c r="B2285" s="10" t="inlineStr">
        <is>
          <t>休日</t>
        </is>
      </c>
      <c r="C2285" s="10" t="inlineStr">
        <is>
          <t>本線</t>
        </is>
      </c>
      <c r="D2285" s="10" t="inlineStr">
        <is>
          <t>下り</t>
        </is>
      </c>
      <c r="E2285" t="inlineStr">
        <is>
          <t>1101</t>
        </is>
      </c>
      <c r="F2285" t="inlineStr">
        <is>
          <t>0112</t>
        </is>
      </c>
      <c r="G2285" s="10" t="inlineStr">
        <is>
          <t>鹿王院</t>
        </is>
      </c>
      <c r="H2285" s="10" t="inlineStr">
        <is>
          <t>発</t>
        </is>
      </c>
      <c r="J2285" s="10" t="inlineStr">
        <is>
          <t>営業</t>
        </is>
      </c>
      <c r="L2285" t="inlineStr">
        <is>
          <t>11:24:00</t>
        </is>
      </c>
      <c r="M2285" t="inlineStr">
        <is>
          <t>11:24:25</t>
        </is>
      </c>
    </row>
    <row r="2286" ht="15" customHeight="1" s="37">
      <c r="A2286" t="n">
        <v>2</v>
      </c>
      <c r="B2286" s="10" t="inlineStr">
        <is>
          <t>休日</t>
        </is>
      </c>
      <c r="C2286" s="10" t="inlineStr">
        <is>
          <t>本線</t>
        </is>
      </c>
      <c r="D2286" s="10" t="inlineStr">
        <is>
          <t>下り</t>
        </is>
      </c>
      <c r="E2286" t="inlineStr">
        <is>
          <t>1101</t>
        </is>
      </c>
      <c r="F2286" t="inlineStr">
        <is>
          <t>0112</t>
        </is>
      </c>
      <c r="G2286" s="10" t="inlineStr">
        <is>
          <t>嵯峨</t>
        </is>
      </c>
      <c r="H2286" s="10" t="inlineStr">
        <is>
          <t>発</t>
        </is>
      </c>
      <c r="J2286" s="10" t="inlineStr">
        <is>
          <t>営業</t>
        </is>
      </c>
      <c r="L2286" t="inlineStr">
        <is>
          <t>11:25:30</t>
        </is>
      </c>
      <c r="M2286" t="inlineStr">
        <is>
          <t>11:25:55</t>
        </is>
      </c>
    </row>
    <row r="2287" ht="15" customHeight="1" s="37">
      <c r="A2287" t="n">
        <v>2</v>
      </c>
      <c r="B2287" s="10" t="inlineStr">
        <is>
          <t>休日</t>
        </is>
      </c>
      <c r="C2287" s="10" t="inlineStr">
        <is>
          <t>本線</t>
        </is>
      </c>
      <c r="D2287" s="10" t="inlineStr">
        <is>
          <t>下り</t>
        </is>
      </c>
      <c r="E2287" t="inlineStr">
        <is>
          <t>1101</t>
        </is>
      </c>
      <c r="F2287" t="inlineStr">
        <is>
          <t>0112</t>
        </is>
      </c>
      <c r="G2287" s="10" t="inlineStr">
        <is>
          <t>嵐山</t>
        </is>
      </c>
      <c r="H2287" s="10" t="inlineStr">
        <is>
          <t>着</t>
        </is>
      </c>
      <c r="J2287" s="10" t="inlineStr">
        <is>
          <t>営業</t>
        </is>
      </c>
      <c r="L2287" t="inlineStr">
        <is>
          <t>11:27:00</t>
        </is>
      </c>
      <c r="Q2287" t="inlineStr">
        <is>
          <t>1</t>
        </is>
      </c>
    </row>
    <row r="2288" ht="15" customHeight="1" s="37">
      <c r="A2288" t="n">
        <v>2</v>
      </c>
      <c r="B2288" s="10" t="inlineStr">
        <is>
          <t>休日</t>
        </is>
      </c>
      <c r="C2288" s="10" t="inlineStr">
        <is>
          <t>本線</t>
        </is>
      </c>
      <c r="D2288" s="10" t="inlineStr">
        <is>
          <t>上り</t>
        </is>
      </c>
      <c r="E2288" t="inlineStr">
        <is>
          <t>1108</t>
        </is>
      </c>
      <c r="F2288" t="inlineStr">
        <is>
          <t>0211</t>
        </is>
      </c>
      <c r="G2288" s="10" t="inlineStr">
        <is>
          <t>嵐山</t>
        </is>
      </c>
      <c r="H2288" s="10" t="inlineStr">
        <is>
          <t>発</t>
        </is>
      </c>
      <c r="J2288" s="10" t="inlineStr">
        <is>
          <t>営業</t>
        </is>
      </c>
      <c r="M2288" t="inlineStr">
        <is>
          <t>11:33:00</t>
        </is>
      </c>
      <c r="Q2288" t="inlineStr">
        <is>
          <t>1</t>
        </is>
      </c>
    </row>
    <row r="2289" ht="15" customHeight="1" s="37">
      <c r="A2289" t="n">
        <v>2</v>
      </c>
      <c r="B2289" s="10" t="inlineStr">
        <is>
          <t>休日</t>
        </is>
      </c>
      <c r="C2289" s="10" t="inlineStr">
        <is>
          <t>本線</t>
        </is>
      </c>
      <c r="D2289" s="10" t="inlineStr">
        <is>
          <t>上り</t>
        </is>
      </c>
      <c r="E2289" t="inlineStr">
        <is>
          <t>1108</t>
        </is>
      </c>
      <c r="F2289" t="inlineStr">
        <is>
          <t>0211</t>
        </is>
      </c>
      <c r="G2289" s="10" t="inlineStr">
        <is>
          <t>嵯峨</t>
        </is>
      </c>
      <c r="H2289" s="10" t="inlineStr">
        <is>
          <t>発</t>
        </is>
      </c>
      <c r="J2289" s="10" t="inlineStr">
        <is>
          <t>営業</t>
        </is>
      </c>
      <c r="L2289" t="inlineStr">
        <is>
          <t>11:33:55</t>
        </is>
      </c>
      <c r="M2289" t="inlineStr">
        <is>
          <t>11:34:20</t>
        </is>
      </c>
    </row>
    <row r="2290" ht="15" customHeight="1" s="37">
      <c r="A2290" t="n">
        <v>2</v>
      </c>
      <c r="B2290" s="10" t="inlineStr">
        <is>
          <t>休日</t>
        </is>
      </c>
      <c r="C2290" s="10" t="inlineStr">
        <is>
          <t>本線</t>
        </is>
      </c>
      <c r="D2290" s="10" t="inlineStr">
        <is>
          <t>上り</t>
        </is>
      </c>
      <c r="E2290" t="inlineStr">
        <is>
          <t>1108</t>
        </is>
      </c>
      <c r="F2290" t="inlineStr">
        <is>
          <t>0211</t>
        </is>
      </c>
      <c r="G2290" s="10" t="inlineStr">
        <is>
          <t>鹿王院</t>
        </is>
      </c>
      <c r="H2290" s="10" t="inlineStr">
        <is>
          <t>発</t>
        </is>
      </c>
      <c r="J2290" s="10" t="inlineStr">
        <is>
          <t>営業</t>
        </is>
      </c>
      <c r="L2290" t="inlineStr">
        <is>
          <t>11:35:25</t>
        </is>
      </c>
      <c r="M2290" t="inlineStr">
        <is>
          <t>11:35:45</t>
        </is>
      </c>
    </row>
    <row r="2291" ht="15" customHeight="1" s="37">
      <c r="A2291" t="n">
        <v>2</v>
      </c>
      <c r="B2291" s="10" t="inlineStr">
        <is>
          <t>休日</t>
        </is>
      </c>
      <c r="C2291" s="10" t="inlineStr">
        <is>
          <t>本線</t>
        </is>
      </c>
      <c r="D2291" s="10" t="inlineStr">
        <is>
          <t>上り</t>
        </is>
      </c>
      <c r="E2291" t="inlineStr">
        <is>
          <t>1108</t>
        </is>
      </c>
      <c r="F2291" t="inlineStr">
        <is>
          <t>0211</t>
        </is>
      </c>
      <c r="G2291" s="10" t="inlineStr">
        <is>
          <t>車折</t>
        </is>
      </c>
      <c r="H2291" s="10" t="inlineStr">
        <is>
          <t>発</t>
        </is>
      </c>
      <c r="J2291" s="10" t="inlineStr">
        <is>
          <t>営業</t>
        </is>
      </c>
      <c r="L2291" t="inlineStr">
        <is>
          <t>11:36:40</t>
        </is>
      </c>
      <c r="M2291" t="inlineStr">
        <is>
          <t>11:37:10</t>
        </is>
      </c>
    </row>
    <row r="2292" ht="15" customHeight="1" s="37">
      <c r="A2292" t="n">
        <v>2</v>
      </c>
      <c r="B2292" s="10" t="inlineStr">
        <is>
          <t>休日</t>
        </is>
      </c>
      <c r="C2292" s="10" t="inlineStr">
        <is>
          <t>本線</t>
        </is>
      </c>
      <c r="D2292" s="10" t="inlineStr">
        <is>
          <t>上り</t>
        </is>
      </c>
      <c r="E2292" t="inlineStr">
        <is>
          <t>1108</t>
        </is>
      </c>
      <c r="F2292" t="inlineStr">
        <is>
          <t>0211</t>
        </is>
      </c>
      <c r="G2292" s="10" t="inlineStr">
        <is>
          <t>有栖川</t>
        </is>
      </c>
      <c r="H2292" s="10" t="inlineStr">
        <is>
          <t>発</t>
        </is>
      </c>
      <c r="J2292" s="10" t="inlineStr">
        <is>
          <t>営業</t>
        </is>
      </c>
      <c r="L2292" t="inlineStr">
        <is>
          <t>11:38:35</t>
        </is>
      </c>
      <c r="M2292" t="inlineStr">
        <is>
          <t>11:38:55</t>
        </is>
      </c>
    </row>
    <row r="2293" ht="15" customHeight="1" s="37">
      <c r="A2293" t="n">
        <v>2</v>
      </c>
      <c r="B2293" s="10" t="inlineStr">
        <is>
          <t>休日</t>
        </is>
      </c>
      <c r="C2293" s="10" t="inlineStr">
        <is>
          <t>本線</t>
        </is>
      </c>
      <c r="D2293" s="10" t="inlineStr">
        <is>
          <t>上り</t>
        </is>
      </c>
      <c r="E2293" t="inlineStr">
        <is>
          <t>1108</t>
        </is>
      </c>
      <c r="F2293" t="inlineStr">
        <is>
          <t>0211</t>
        </is>
      </c>
      <c r="G2293" s="10" t="inlineStr">
        <is>
          <t>帷子ノ辻</t>
        </is>
      </c>
      <c r="H2293" s="10" t="inlineStr">
        <is>
          <t>発</t>
        </is>
      </c>
      <c r="J2293" s="10" t="inlineStr">
        <is>
          <t>営業</t>
        </is>
      </c>
      <c r="L2293" t="inlineStr">
        <is>
          <t>11:40:10</t>
        </is>
      </c>
      <c r="M2293" t="inlineStr">
        <is>
          <t>11:41:15</t>
        </is>
      </c>
    </row>
    <row r="2294" ht="15" customHeight="1" s="37">
      <c r="A2294" t="n">
        <v>2</v>
      </c>
      <c r="B2294" s="10" t="inlineStr">
        <is>
          <t>休日</t>
        </is>
      </c>
      <c r="C2294" s="10" t="inlineStr">
        <is>
          <t>本線</t>
        </is>
      </c>
      <c r="D2294" s="10" t="inlineStr">
        <is>
          <t>上り</t>
        </is>
      </c>
      <c r="E2294" t="inlineStr">
        <is>
          <t>1108</t>
        </is>
      </c>
      <c r="F2294" t="inlineStr">
        <is>
          <t>0211</t>
        </is>
      </c>
      <c r="G2294" s="10" t="inlineStr">
        <is>
          <t>太秦広隆寺</t>
        </is>
      </c>
      <c r="H2294" s="10" t="inlineStr">
        <is>
          <t>発</t>
        </is>
      </c>
      <c r="J2294" s="10" t="inlineStr">
        <is>
          <t>営業</t>
        </is>
      </c>
      <c r="L2294" t="inlineStr">
        <is>
          <t>11:43:25</t>
        </is>
      </c>
      <c r="M2294" t="inlineStr">
        <is>
          <t>11:43:45</t>
        </is>
      </c>
    </row>
    <row r="2295" ht="15" customHeight="1" s="37">
      <c r="A2295" t="n">
        <v>2</v>
      </c>
      <c r="B2295" s="10" t="inlineStr">
        <is>
          <t>休日</t>
        </is>
      </c>
      <c r="C2295" s="10" t="inlineStr">
        <is>
          <t>本線</t>
        </is>
      </c>
      <c r="D2295" s="10" t="inlineStr">
        <is>
          <t>上り</t>
        </is>
      </c>
      <c r="E2295" t="inlineStr">
        <is>
          <t>1108</t>
        </is>
      </c>
      <c r="F2295" t="inlineStr">
        <is>
          <t>0211</t>
        </is>
      </c>
      <c r="G2295" s="10" t="inlineStr">
        <is>
          <t>蚕ノ社</t>
        </is>
      </c>
      <c r="H2295" s="10" t="inlineStr">
        <is>
          <t>発</t>
        </is>
      </c>
      <c r="J2295" s="10" t="inlineStr">
        <is>
          <t>営業</t>
        </is>
      </c>
      <c r="L2295" t="inlineStr">
        <is>
          <t>11:45:00</t>
        </is>
      </c>
      <c r="M2295" t="inlineStr">
        <is>
          <t>11:45:20</t>
        </is>
      </c>
    </row>
    <row r="2296" ht="15" customHeight="1" s="37">
      <c r="A2296" t="n">
        <v>2</v>
      </c>
      <c r="B2296" s="10" t="inlineStr">
        <is>
          <t>休日</t>
        </is>
      </c>
      <c r="C2296" s="10" t="inlineStr">
        <is>
          <t>本線</t>
        </is>
      </c>
      <c r="D2296" s="10" t="inlineStr">
        <is>
          <t>上り</t>
        </is>
      </c>
      <c r="E2296" t="inlineStr">
        <is>
          <t>1108</t>
        </is>
      </c>
      <c r="F2296" t="inlineStr">
        <is>
          <t>0211</t>
        </is>
      </c>
      <c r="G2296" s="10" t="inlineStr">
        <is>
          <t>天神川</t>
        </is>
      </c>
      <c r="H2296" s="10" t="inlineStr">
        <is>
          <t>発</t>
        </is>
      </c>
      <c r="J2296" s="10" t="inlineStr">
        <is>
          <t>営業</t>
        </is>
      </c>
      <c r="L2296" t="inlineStr">
        <is>
          <t>11:46:05</t>
        </is>
      </c>
      <c r="M2296" t="inlineStr">
        <is>
          <t>11:46:50</t>
        </is>
      </c>
    </row>
    <row r="2297" ht="15" customHeight="1" s="37">
      <c r="A2297" t="n">
        <v>2</v>
      </c>
      <c r="B2297" s="10" t="inlineStr">
        <is>
          <t>休日</t>
        </is>
      </c>
      <c r="C2297" s="10" t="inlineStr">
        <is>
          <t>本線</t>
        </is>
      </c>
      <c r="D2297" s="10" t="inlineStr">
        <is>
          <t>上り</t>
        </is>
      </c>
      <c r="E2297" t="inlineStr">
        <is>
          <t>1108</t>
        </is>
      </c>
      <c r="F2297" t="inlineStr">
        <is>
          <t>0211</t>
        </is>
      </c>
      <c r="G2297" s="10" t="inlineStr">
        <is>
          <t>山ノ内</t>
        </is>
      </c>
      <c r="H2297" s="10" t="inlineStr">
        <is>
          <t>発</t>
        </is>
      </c>
      <c r="J2297" s="10" t="inlineStr">
        <is>
          <t>営業</t>
        </is>
      </c>
      <c r="L2297" t="inlineStr">
        <is>
          <t>11:48:40</t>
        </is>
      </c>
      <c r="M2297" t="inlineStr">
        <is>
          <t>11:49:05</t>
        </is>
      </c>
    </row>
    <row r="2298" ht="15" customHeight="1" s="37">
      <c r="A2298" t="n">
        <v>2</v>
      </c>
      <c r="B2298" s="10" t="inlineStr">
        <is>
          <t>休日</t>
        </is>
      </c>
      <c r="C2298" s="10" t="inlineStr">
        <is>
          <t>本線</t>
        </is>
      </c>
      <c r="D2298" s="10" t="inlineStr">
        <is>
          <t>上り</t>
        </is>
      </c>
      <c r="E2298" t="inlineStr">
        <is>
          <t>1108</t>
        </is>
      </c>
      <c r="F2298" t="inlineStr">
        <is>
          <t>0211</t>
        </is>
      </c>
      <c r="G2298" s="10" t="inlineStr">
        <is>
          <t>西大路三条</t>
        </is>
      </c>
      <c r="H2298" s="10" t="inlineStr">
        <is>
          <t>発</t>
        </is>
      </c>
      <c r="J2298" s="10" t="inlineStr">
        <is>
          <t>営業</t>
        </is>
      </c>
      <c r="L2298" t="inlineStr">
        <is>
          <t>11:50:55</t>
        </is>
      </c>
      <c r="M2298" t="inlineStr">
        <is>
          <t>11:51:15</t>
        </is>
      </c>
    </row>
    <row r="2299" ht="15" customHeight="1" s="37">
      <c r="A2299" t="n">
        <v>2</v>
      </c>
      <c r="B2299" s="10" t="inlineStr">
        <is>
          <t>休日</t>
        </is>
      </c>
      <c r="C2299" s="10" t="inlineStr">
        <is>
          <t>本線</t>
        </is>
      </c>
      <c r="D2299" s="10" t="inlineStr">
        <is>
          <t>上り</t>
        </is>
      </c>
      <c r="E2299" t="inlineStr">
        <is>
          <t>1108</t>
        </is>
      </c>
      <c r="F2299" t="inlineStr">
        <is>
          <t>0211</t>
        </is>
      </c>
      <c r="G2299" s="10" t="inlineStr">
        <is>
          <t>西院</t>
        </is>
      </c>
      <c r="H2299" s="10" t="inlineStr">
        <is>
          <t>発</t>
        </is>
      </c>
      <c r="J2299" s="10" t="inlineStr">
        <is>
          <t>営業</t>
        </is>
      </c>
      <c r="L2299" t="inlineStr">
        <is>
          <t>11:53:10</t>
        </is>
      </c>
      <c r="M2299" t="inlineStr">
        <is>
          <t>11:54:05</t>
        </is>
      </c>
    </row>
    <row r="2300" ht="15" customHeight="1" s="37">
      <c r="A2300" t="n">
        <v>2</v>
      </c>
      <c r="B2300" s="10" t="inlineStr">
        <is>
          <t>休日</t>
        </is>
      </c>
      <c r="C2300" s="10" t="inlineStr">
        <is>
          <t>本線</t>
        </is>
      </c>
      <c r="D2300" s="10" t="inlineStr">
        <is>
          <t>上り</t>
        </is>
      </c>
      <c r="E2300" t="inlineStr">
        <is>
          <t>1108</t>
        </is>
      </c>
      <c r="F2300" t="inlineStr">
        <is>
          <t>0211</t>
        </is>
      </c>
      <c r="G2300" s="10" t="inlineStr">
        <is>
          <t>四条大宮</t>
        </is>
      </c>
      <c r="H2300" s="10" t="inlineStr">
        <is>
          <t>着</t>
        </is>
      </c>
      <c r="J2300" s="10" t="inlineStr">
        <is>
          <t>営業</t>
        </is>
      </c>
      <c r="L2300" t="inlineStr">
        <is>
          <t>11:57:00</t>
        </is>
      </c>
      <c r="Q2300" t="inlineStr">
        <is>
          <t>1</t>
        </is>
      </c>
    </row>
    <row r="2301" ht="15" customHeight="1" s="37">
      <c r="A2301" t="n">
        <v>2</v>
      </c>
      <c r="B2301" s="10" t="inlineStr">
        <is>
          <t>休日</t>
        </is>
      </c>
      <c r="C2301" s="10" t="inlineStr">
        <is>
          <t>本線</t>
        </is>
      </c>
      <c r="D2301" s="10" t="inlineStr">
        <is>
          <t>下り</t>
        </is>
      </c>
      <c r="E2301" t="inlineStr">
        <is>
          <t>1201</t>
        </is>
      </c>
      <c r="F2301" t="inlineStr">
        <is>
          <t>0112</t>
        </is>
      </c>
      <c r="G2301" s="10" t="inlineStr">
        <is>
          <t>四条大宮</t>
        </is>
      </c>
      <c r="H2301" s="10" t="inlineStr">
        <is>
          <t>発</t>
        </is>
      </c>
      <c r="J2301" s="10" t="inlineStr">
        <is>
          <t>営業</t>
        </is>
      </c>
      <c r="M2301" t="inlineStr">
        <is>
          <t>12:03:00</t>
        </is>
      </c>
      <c r="Q2301" t="inlineStr">
        <is>
          <t>1</t>
        </is>
      </c>
    </row>
    <row r="2302" ht="15" customHeight="1" s="37">
      <c r="A2302" t="n">
        <v>2</v>
      </c>
      <c r="B2302" s="10" t="inlineStr">
        <is>
          <t>休日</t>
        </is>
      </c>
      <c r="C2302" s="10" t="inlineStr">
        <is>
          <t>本線</t>
        </is>
      </c>
      <c r="D2302" s="10" t="inlineStr">
        <is>
          <t>下り</t>
        </is>
      </c>
      <c r="E2302" t="inlineStr">
        <is>
          <t>1201</t>
        </is>
      </c>
      <c r="F2302" t="inlineStr">
        <is>
          <t>0112</t>
        </is>
      </c>
      <c r="G2302" s="10" t="inlineStr">
        <is>
          <t>西院</t>
        </is>
      </c>
      <c r="H2302" s="10" t="inlineStr">
        <is>
          <t>発</t>
        </is>
      </c>
      <c r="J2302" s="10" t="inlineStr">
        <is>
          <t>営業</t>
        </is>
      </c>
      <c r="L2302" t="inlineStr">
        <is>
          <t>12:05:50</t>
        </is>
      </c>
      <c r="M2302" t="inlineStr">
        <is>
          <t>12:06:20</t>
        </is>
      </c>
    </row>
    <row r="2303" ht="15" customHeight="1" s="37">
      <c r="A2303" t="n">
        <v>2</v>
      </c>
      <c r="B2303" s="10" t="inlineStr">
        <is>
          <t>休日</t>
        </is>
      </c>
      <c r="C2303" s="10" t="inlineStr">
        <is>
          <t>本線</t>
        </is>
      </c>
      <c r="D2303" s="10" t="inlineStr">
        <is>
          <t>下り</t>
        </is>
      </c>
      <c r="E2303" t="inlineStr">
        <is>
          <t>1201</t>
        </is>
      </c>
      <c r="F2303" t="inlineStr">
        <is>
          <t>0112</t>
        </is>
      </c>
      <c r="G2303" s="10" t="inlineStr">
        <is>
          <t>西大路三条</t>
        </is>
      </c>
      <c r="H2303" s="10" t="inlineStr">
        <is>
          <t>発</t>
        </is>
      </c>
      <c r="J2303" s="10" t="inlineStr">
        <is>
          <t>営業</t>
        </is>
      </c>
      <c r="L2303" t="inlineStr">
        <is>
          <t>12:08:10</t>
        </is>
      </c>
      <c r="M2303" t="inlineStr">
        <is>
          <t>12:08:30</t>
        </is>
      </c>
    </row>
    <row r="2304" ht="15" customHeight="1" s="37">
      <c r="A2304" t="n">
        <v>2</v>
      </c>
      <c r="B2304" s="10" t="inlineStr">
        <is>
          <t>休日</t>
        </is>
      </c>
      <c r="C2304" s="10" t="inlineStr">
        <is>
          <t>本線</t>
        </is>
      </c>
      <c r="D2304" s="10" t="inlineStr">
        <is>
          <t>下り</t>
        </is>
      </c>
      <c r="E2304" t="inlineStr">
        <is>
          <t>1201</t>
        </is>
      </c>
      <c r="F2304" t="inlineStr">
        <is>
          <t>0112</t>
        </is>
      </c>
      <c r="G2304" s="10" t="inlineStr">
        <is>
          <t>山ノ内</t>
        </is>
      </c>
      <c r="H2304" s="10" t="inlineStr">
        <is>
          <t>発</t>
        </is>
      </c>
      <c r="J2304" s="10" t="inlineStr">
        <is>
          <t>営業</t>
        </is>
      </c>
      <c r="L2304" t="inlineStr">
        <is>
          <t>12:10:25</t>
        </is>
      </c>
      <c r="M2304" t="inlineStr">
        <is>
          <t>12:10:50</t>
        </is>
      </c>
    </row>
    <row r="2305" ht="16.5" customHeight="1" s="37">
      <c r="A2305" t="n">
        <v>2</v>
      </c>
      <c r="B2305" s="10" t="inlineStr">
        <is>
          <t>休日</t>
        </is>
      </c>
      <c r="C2305" s="10" t="inlineStr">
        <is>
          <t>本線</t>
        </is>
      </c>
      <c r="D2305" s="10" t="inlineStr">
        <is>
          <t>下り</t>
        </is>
      </c>
      <c r="E2305" t="inlineStr">
        <is>
          <t>1201</t>
        </is>
      </c>
      <c r="F2305" t="inlineStr">
        <is>
          <t>0112</t>
        </is>
      </c>
      <c r="G2305" s="10" t="inlineStr">
        <is>
          <t>天神川</t>
        </is>
      </c>
      <c r="H2305" s="10" t="inlineStr">
        <is>
          <t>発</t>
        </is>
      </c>
      <c r="J2305" s="10" t="inlineStr">
        <is>
          <t>営業</t>
        </is>
      </c>
      <c r="L2305" t="inlineStr">
        <is>
          <t>12:12:50</t>
        </is>
      </c>
      <c r="M2305" t="inlineStr">
        <is>
          <t>12:13:30</t>
        </is>
      </c>
    </row>
    <row r="2306" ht="16.5" customHeight="1" s="37">
      <c r="A2306" t="n">
        <v>2</v>
      </c>
      <c r="B2306" s="10" t="inlineStr">
        <is>
          <t>休日</t>
        </is>
      </c>
      <c r="C2306" s="10" t="inlineStr">
        <is>
          <t>本線</t>
        </is>
      </c>
      <c r="D2306" s="10" t="inlineStr">
        <is>
          <t>下り</t>
        </is>
      </c>
      <c r="E2306" t="inlineStr">
        <is>
          <t>1201</t>
        </is>
      </c>
      <c r="F2306" t="inlineStr">
        <is>
          <t>0112</t>
        </is>
      </c>
      <c r="G2306" s="10" t="inlineStr">
        <is>
          <t>蚕ノ社</t>
        </is>
      </c>
      <c r="H2306" s="10" t="inlineStr">
        <is>
          <t>発</t>
        </is>
      </c>
      <c r="J2306" s="10" t="inlineStr">
        <is>
          <t>営業</t>
        </is>
      </c>
      <c r="L2306" t="inlineStr">
        <is>
          <t>12:14:20</t>
        </is>
      </c>
      <c r="M2306" t="inlineStr">
        <is>
          <t>12:14:40</t>
        </is>
      </c>
    </row>
    <row r="2307" ht="16.5" customHeight="1" s="37">
      <c r="A2307" t="n">
        <v>2</v>
      </c>
      <c r="B2307" s="10" t="inlineStr">
        <is>
          <t>休日</t>
        </is>
      </c>
      <c r="C2307" s="10" t="inlineStr">
        <is>
          <t>本線</t>
        </is>
      </c>
      <c r="D2307" s="10" t="inlineStr">
        <is>
          <t>下り</t>
        </is>
      </c>
      <c r="E2307" t="inlineStr">
        <is>
          <t>1201</t>
        </is>
      </c>
      <c r="F2307" t="inlineStr">
        <is>
          <t>0112</t>
        </is>
      </c>
      <c r="G2307" s="10" t="inlineStr">
        <is>
          <t>太秦広隆寺</t>
        </is>
      </c>
      <c r="H2307" s="10" t="inlineStr">
        <is>
          <t>発</t>
        </is>
      </c>
      <c r="J2307" s="10" t="inlineStr">
        <is>
          <t>営業</t>
        </is>
      </c>
      <c r="L2307" t="inlineStr">
        <is>
          <t>12:16:00</t>
        </is>
      </c>
      <c r="M2307" t="inlineStr">
        <is>
          <t>12:16:20</t>
        </is>
      </c>
    </row>
    <row r="2308" ht="16.5" customHeight="1" s="37">
      <c r="A2308" t="n">
        <v>2</v>
      </c>
      <c r="B2308" s="10" t="inlineStr">
        <is>
          <t>休日</t>
        </is>
      </c>
      <c r="C2308" s="10" t="inlineStr">
        <is>
          <t>本線</t>
        </is>
      </c>
      <c r="D2308" s="10" t="inlineStr">
        <is>
          <t>下り</t>
        </is>
      </c>
      <c r="E2308" t="inlineStr">
        <is>
          <t>1201</t>
        </is>
      </c>
      <c r="F2308" t="inlineStr">
        <is>
          <t>0112</t>
        </is>
      </c>
      <c r="G2308" s="10" t="inlineStr">
        <is>
          <t>帷子ノ辻</t>
        </is>
      </c>
      <c r="H2308" s="10" t="inlineStr">
        <is>
          <t>発</t>
        </is>
      </c>
      <c r="J2308" s="10" t="inlineStr">
        <is>
          <t>営業</t>
        </is>
      </c>
      <c r="L2308" t="inlineStr">
        <is>
          <t>12:18:20</t>
        </is>
      </c>
      <c r="M2308" t="inlineStr">
        <is>
          <t>12:19:40</t>
        </is>
      </c>
    </row>
    <row r="2309" ht="16.5" customHeight="1" s="37">
      <c r="A2309" t="n">
        <v>2</v>
      </c>
      <c r="B2309" s="10" t="inlineStr">
        <is>
          <t>休日</t>
        </is>
      </c>
      <c r="C2309" s="10" t="inlineStr">
        <is>
          <t>本線</t>
        </is>
      </c>
      <c r="D2309" s="10" t="inlineStr">
        <is>
          <t>下り</t>
        </is>
      </c>
      <c r="E2309" t="inlineStr">
        <is>
          <t>1201</t>
        </is>
      </c>
      <c r="F2309" t="inlineStr">
        <is>
          <t>0112</t>
        </is>
      </c>
      <c r="G2309" s="10" t="inlineStr">
        <is>
          <t>有栖川</t>
        </is>
      </c>
      <c r="H2309" s="10" t="inlineStr">
        <is>
          <t>発</t>
        </is>
      </c>
      <c r="J2309" s="10" t="inlineStr">
        <is>
          <t>営業</t>
        </is>
      </c>
      <c r="L2309" t="inlineStr">
        <is>
          <t>12:20:50</t>
        </is>
      </c>
      <c r="M2309" t="inlineStr">
        <is>
          <t>12:21:15</t>
        </is>
      </c>
    </row>
    <row r="2310" ht="16.5" customHeight="1" s="37">
      <c r="A2310" t="n">
        <v>2</v>
      </c>
      <c r="B2310" s="10" t="inlineStr">
        <is>
          <t>休日</t>
        </is>
      </c>
      <c r="C2310" s="10" t="inlineStr">
        <is>
          <t>本線</t>
        </is>
      </c>
      <c r="D2310" s="10" t="inlineStr">
        <is>
          <t>下り</t>
        </is>
      </c>
      <c r="E2310" t="inlineStr">
        <is>
          <t>1201</t>
        </is>
      </c>
      <c r="F2310" t="inlineStr">
        <is>
          <t>0112</t>
        </is>
      </c>
      <c r="G2310" s="10" t="inlineStr">
        <is>
          <t>車折</t>
        </is>
      </c>
      <c r="H2310" s="10" t="inlineStr">
        <is>
          <t>発</t>
        </is>
      </c>
      <c r="J2310" s="10" t="inlineStr">
        <is>
          <t>営業</t>
        </is>
      </c>
      <c r="L2310" t="inlineStr">
        <is>
          <t>12:22:40</t>
        </is>
      </c>
      <c r="M2310" t="inlineStr">
        <is>
          <t>12:23:05</t>
        </is>
      </c>
    </row>
    <row r="2311" ht="16.5" customHeight="1" s="37">
      <c r="A2311" t="n">
        <v>2</v>
      </c>
      <c r="B2311" s="10" t="inlineStr">
        <is>
          <t>休日</t>
        </is>
      </c>
      <c r="C2311" s="10" t="inlineStr">
        <is>
          <t>本線</t>
        </is>
      </c>
      <c r="D2311" s="10" t="inlineStr">
        <is>
          <t>下り</t>
        </is>
      </c>
      <c r="E2311" t="inlineStr">
        <is>
          <t>1201</t>
        </is>
      </c>
      <c r="F2311" t="inlineStr">
        <is>
          <t>0112</t>
        </is>
      </c>
      <c r="G2311" s="10" t="inlineStr">
        <is>
          <t>鹿王院</t>
        </is>
      </c>
      <c r="H2311" s="10" t="inlineStr">
        <is>
          <t>発</t>
        </is>
      </c>
      <c r="J2311" s="10" t="inlineStr">
        <is>
          <t>営業</t>
        </is>
      </c>
      <c r="L2311" t="inlineStr">
        <is>
          <t>12:24:00</t>
        </is>
      </c>
      <c r="M2311" t="inlineStr">
        <is>
          <t>12:24:25</t>
        </is>
      </c>
    </row>
    <row r="2312" ht="16.5" customHeight="1" s="37">
      <c r="A2312" t="n">
        <v>2</v>
      </c>
      <c r="B2312" s="10" t="inlineStr">
        <is>
          <t>休日</t>
        </is>
      </c>
      <c r="C2312" s="10" t="inlineStr">
        <is>
          <t>本線</t>
        </is>
      </c>
      <c r="D2312" s="10" t="inlineStr">
        <is>
          <t>下り</t>
        </is>
      </c>
      <c r="E2312" t="inlineStr">
        <is>
          <t>1201</t>
        </is>
      </c>
      <c r="F2312" t="inlineStr">
        <is>
          <t>0112</t>
        </is>
      </c>
      <c r="G2312" s="10" t="inlineStr">
        <is>
          <t>嵯峨</t>
        </is>
      </c>
      <c r="H2312" s="10" t="inlineStr">
        <is>
          <t>発</t>
        </is>
      </c>
      <c r="J2312" s="10" t="inlineStr">
        <is>
          <t>営業</t>
        </is>
      </c>
      <c r="L2312" t="inlineStr">
        <is>
          <t>12:25:30</t>
        </is>
      </c>
      <c r="M2312" t="inlineStr">
        <is>
          <t>12:25:55</t>
        </is>
      </c>
    </row>
    <row r="2313" ht="16.5" customHeight="1" s="37">
      <c r="A2313" t="n">
        <v>2</v>
      </c>
      <c r="B2313" s="10" t="inlineStr">
        <is>
          <t>休日</t>
        </is>
      </c>
      <c r="C2313" s="10" t="inlineStr">
        <is>
          <t>本線</t>
        </is>
      </c>
      <c r="D2313" s="10" t="inlineStr">
        <is>
          <t>下り</t>
        </is>
      </c>
      <c r="E2313" t="inlineStr">
        <is>
          <t>1201</t>
        </is>
      </c>
      <c r="F2313" t="inlineStr">
        <is>
          <t>0112</t>
        </is>
      </c>
      <c r="G2313" s="10" t="inlineStr">
        <is>
          <t>嵐山</t>
        </is>
      </c>
      <c r="H2313" s="10" t="inlineStr">
        <is>
          <t>着</t>
        </is>
      </c>
      <c r="J2313" s="10" t="inlineStr">
        <is>
          <t>営業</t>
        </is>
      </c>
      <c r="L2313" t="inlineStr">
        <is>
          <t>12:27:00</t>
        </is>
      </c>
      <c r="Q2313" t="inlineStr">
        <is>
          <t>1</t>
        </is>
      </c>
    </row>
    <row r="2314" ht="16.5" customHeight="1" s="37">
      <c r="A2314" t="n">
        <v>2</v>
      </c>
      <c r="B2314" s="10" t="inlineStr">
        <is>
          <t>休日</t>
        </is>
      </c>
      <c r="C2314" s="10" t="inlineStr">
        <is>
          <t>本線</t>
        </is>
      </c>
      <c r="D2314" s="10" t="inlineStr">
        <is>
          <t>上り</t>
        </is>
      </c>
      <c r="E2314" t="inlineStr">
        <is>
          <t>1208</t>
        </is>
      </c>
      <c r="F2314" t="inlineStr">
        <is>
          <t>0211</t>
        </is>
      </c>
      <c r="G2314" s="10" t="inlineStr">
        <is>
          <t>嵐山</t>
        </is>
      </c>
      <c r="H2314" s="10" t="inlineStr">
        <is>
          <t>発</t>
        </is>
      </c>
      <c r="J2314" s="10" t="inlineStr">
        <is>
          <t>営業</t>
        </is>
      </c>
      <c r="M2314" t="inlineStr">
        <is>
          <t>12:33:00</t>
        </is>
      </c>
      <c r="Q2314" t="inlineStr">
        <is>
          <t>1</t>
        </is>
      </c>
    </row>
    <row r="2315" ht="16.5" customHeight="1" s="37">
      <c r="A2315" t="n">
        <v>2</v>
      </c>
      <c r="B2315" s="10" t="inlineStr">
        <is>
          <t>休日</t>
        </is>
      </c>
      <c r="C2315" s="10" t="inlineStr">
        <is>
          <t>本線</t>
        </is>
      </c>
      <c r="D2315" s="10" t="inlineStr">
        <is>
          <t>上り</t>
        </is>
      </c>
      <c r="E2315" t="inlineStr">
        <is>
          <t>1208</t>
        </is>
      </c>
      <c r="F2315" t="inlineStr">
        <is>
          <t>0211</t>
        </is>
      </c>
      <c r="G2315" s="10" t="inlineStr">
        <is>
          <t>嵯峨</t>
        </is>
      </c>
      <c r="H2315" s="10" t="inlineStr">
        <is>
          <t>発</t>
        </is>
      </c>
      <c r="J2315" s="10" t="inlineStr">
        <is>
          <t>営業</t>
        </is>
      </c>
      <c r="L2315" t="inlineStr">
        <is>
          <t>12:33:55</t>
        </is>
      </c>
      <c r="M2315" t="inlineStr">
        <is>
          <t>12:34:20</t>
        </is>
      </c>
    </row>
    <row r="2316" ht="16.5" customHeight="1" s="37">
      <c r="A2316" t="n">
        <v>2</v>
      </c>
      <c r="B2316" s="10" t="inlineStr">
        <is>
          <t>休日</t>
        </is>
      </c>
      <c r="C2316" s="10" t="inlineStr">
        <is>
          <t>本線</t>
        </is>
      </c>
      <c r="D2316" s="10" t="inlineStr">
        <is>
          <t>上り</t>
        </is>
      </c>
      <c r="E2316" t="inlineStr">
        <is>
          <t>1208</t>
        </is>
      </c>
      <c r="F2316" t="inlineStr">
        <is>
          <t>0211</t>
        </is>
      </c>
      <c r="G2316" s="10" t="inlineStr">
        <is>
          <t>鹿王院</t>
        </is>
      </c>
      <c r="H2316" s="10" t="inlineStr">
        <is>
          <t>発</t>
        </is>
      </c>
      <c r="J2316" s="10" t="inlineStr">
        <is>
          <t>営業</t>
        </is>
      </c>
      <c r="L2316" t="inlineStr">
        <is>
          <t>12:35:25</t>
        </is>
      </c>
      <c r="M2316" t="inlineStr">
        <is>
          <t>12:35:45</t>
        </is>
      </c>
    </row>
    <row r="2317" ht="16.5" customHeight="1" s="37">
      <c r="A2317" t="n">
        <v>2</v>
      </c>
      <c r="B2317" s="10" t="inlineStr">
        <is>
          <t>休日</t>
        </is>
      </c>
      <c r="C2317" s="10" t="inlineStr">
        <is>
          <t>本線</t>
        </is>
      </c>
      <c r="D2317" s="10" t="inlineStr">
        <is>
          <t>上り</t>
        </is>
      </c>
      <c r="E2317" t="inlineStr">
        <is>
          <t>1208</t>
        </is>
      </c>
      <c r="F2317" t="inlineStr">
        <is>
          <t>0211</t>
        </is>
      </c>
      <c r="G2317" s="10" t="inlineStr">
        <is>
          <t>車折</t>
        </is>
      </c>
      <c r="H2317" s="10" t="inlineStr">
        <is>
          <t>発</t>
        </is>
      </c>
      <c r="J2317" s="10" t="inlineStr">
        <is>
          <t>営業</t>
        </is>
      </c>
      <c r="L2317" t="inlineStr">
        <is>
          <t>12:36:40</t>
        </is>
      </c>
      <c r="M2317" t="inlineStr">
        <is>
          <t>12:37:10</t>
        </is>
      </c>
    </row>
    <row r="2318" ht="16.5" customHeight="1" s="37">
      <c r="A2318" t="n">
        <v>2</v>
      </c>
      <c r="B2318" s="10" t="inlineStr">
        <is>
          <t>休日</t>
        </is>
      </c>
      <c r="C2318" s="10" t="inlineStr">
        <is>
          <t>本線</t>
        </is>
      </c>
      <c r="D2318" s="10" t="inlineStr">
        <is>
          <t>上り</t>
        </is>
      </c>
      <c r="E2318" t="inlineStr">
        <is>
          <t>1208</t>
        </is>
      </c>
      <c r="F2318" t="inlineStr">
        <is>
          <t>0211</t>
        </is>
      </c>
      <c r="G2318" s="10" t="inlineStr">
        <is>
          <t>有栖川</t>
        </is>
      </c>
      <c r="H2318" s="10" t="inlineStr">
        <is>
          <t>発</t>
        </is>
      </c>
      <c r="J2318" s="10" t="inlineStr">
        <is>
          <t>営業</t>
        </is>
      </c>
      <c r="L2318" t="inlineStr">
        <is>
          <t>12:38:35</t>
        </is>
      </c>
      <c r="M2318" t="inlineStr">
        <is>
          <t>12:38:55</t>
        </is>
      </c>
    </row>
    <row r="2319" ht="16.5" customHeight="1" s="37">
      <c r="A2319" t="n">
        <v>2</v>
      </c>
      <c r="B2319" s="10" t="inlineStr">
        <is>
          <t>休日</t>
        </is>
      </c>
      <c r="C2319" s="10" t="inlineStr">
        <is>
          <t>本線</t>
        </is>
      </c>
      <c r="D2319" s="10" t="inlineStr">
        <is>
          <t>上り</t>
        </is>
      </c>
      <c r="E2319" t="inlineStr">
        <is>
          <t>1208</t>
        </is>
      </c>
      <c r="F2319" t="inlineStr">
        <is>
          <t>0211</t>
        </is>
      </c>
      <c r="G2319" s="10" t="inlineStr">
        <is>
          <t>帷子ノ辻</t>
        </is>
      </c>
      <c r="H2319" s="10" t="inlineStr">
        <is>
          <t>発</t>
        </is>
      </c>
      <c r="J2319" s="10" t="inlineStr">
        <is>
          <t>営業</t>
        </is>
      </c>
      <c r="L2319" t="inlineStr">
        <is>
          <t>12:40:10</t>
        </is>
      </c>
      <c r="M2319" t="inlineStr">
        <is>
          <t>12:41:15</t>
        </is>
      </c>
    </row>
    <row r="2320" ht="16.5" customHeight="1" s="37">
      <c r="A2320" t="n">
        <v>2</v>
      </c>
      <c r="B2320" s="10" t="inlineStr">
        <is>
          <t>休日</t>
        </is>
      </c>
      <c r="C2320" s="10" t="inlineStr">
        <is>
          <t>本線</t>
        </is>
      </c>
      <c r="D2320" s="10" t="inlineStr">
        <is>
          <t>上り</t>
        </is>
      </c>
      <c r="E2320" t="inlineStr">
        <is>
          <t>1208</t>
        </is>
      </c>
      <c r="F2320" t="inlineStr">
        <is>
          <t>0211</t>
        </is>
      </c>
      <c r="G2320" s="10" t="inlineStr">
        <is>
          <t>太秦広隆寺</t>
        </is>
      </c>
      <c r="H2320" s="10" t="inlineStr">
        <is>
          <t>発</t>
        </is>
      </c>
      <c r="J2320" s="10" t="inlineStr">
        <is>
          <t>営業</t>
        </is>
      </c>
      <c r="L2320" t="inlineStr">
        <is>
          <t>12:43:25</t>
        </is>
      </c>
      <c r="M2320" t="inlineStr">
        <is>
          <t>12:43:45</t>
        </is>
      </c>
    </row>
    <row r="2321" ht="16.5" customHeight="1" s="37">
      <c r="A2321" t="n">
        <v>2</v>
      </c>
      <c r="B2321" s="10" t="inlineStr">
        <is>
          <t>休日</t>
        </is>
      </c>
      <c r="C2321" s="10" t="inlineStr">
        <is>
          <t>本線</t>
        </is>
      </c>
      <c r="D2321" s="10" t="inlineStr">
        <is>
          <t>上り</t>
        </is>
      </c>
      <c r="E2321" t="inlineStr">
        <is>
          <t>1208</t>
        </is>
      </c>
      <c r="F2321" t="inlineStr">
        <is>
          <t>0211</t>
        </is>
      </c>
      <c r="G2321" s="10" t="inlineStr">
        <is>
          <t>蚕ノ社</t>
        </is>
      </c>
      <c r="H2321" s="10" t="inlineStr">
        <is>
          <t>発</t>
        </is>
      </c>
      <c r="J2321" s="10" t="inlineStr">
        <is>
          <t>営業</t>
        </is>
      </c>
      <c r="L2321" t="inlineStr">
        <is>
          <t>12:45:00</t>
        </is>
      </c>
      <c r="M2321" t="inlineStr">
        <is>
          <t>12:45:20</t>
        </is>
      </c>
    </row>
    <row r="2322" ht="16.5" customHeight="1" s="37">
      <c r="A2322" t="n">
        <v>2</v>
      </c>
      <c r="B2322" s="10" t="inlineStr">
        <is>
          <t>休日</t>
        </is>
      </c>
      <c r="C2322" s="10" t="inlineStr">
        <is>
          <t>本線</t>
        </is>
      </c>
      <c r="D2322" s="10" t="inlineStr">
        <is>
          <t>上り</t>
        </is>
      </c>
      <c r="E2322" t="inlineStr">
        <is>
          <t>1208</t>
        </is>
      </c>
      <c r="F2322" t="inlineStr">
        <is>
          <t>0211</t>
        </is>
      </c>
      <c r="G2322" s="10" t="inlineStr">
        <is>
          <t>天神川</t>
        </is>
      </c>
      <c r="H2322" s="10" t="inlineStr">
        <is>
          <t>発</t>
        </is>
      </c>
      <c r="J2322" s="10" t="inlineStr">
        <is>
          <t>営業</t>
        </is>
      </c>
      <c r="L2322" t="inlineStr">
        <is>
          <t>12:46:05</t>
        </is>
      </c>
      <c r="M2322" t="inlineStr">
        <is>
          <t>12:46:50</t>
        </is>
      </c>
    </row>
    <row r="2323" ht="16.5" customHeight="1" s="37">
      <c r="A2323" t="n">
        <v>2</v>
      </c>
      <c r="B2323" s="10" t="inlineStr">
        <is>
          <t>休日</t>
        </is>
      </c>
      <c r="C2323" s="10" t="inlineStr">
        <is>
          <t>本線</t>
        </is>
      </c>
      <c r="D2323" s="10" t="inlineStr">
        <is>
          <t>上り</t>
        </is>
      </c>
      <c r="E2323" t="inlineStr">
        <is>
          <t>1208</t>
        </is>
      </c>
      <c r="F2323" t="inlineStr">
        <is>
          <t>0211</t>
        </is>
      </c>
      <c r="G2323" s="10" t="inlineStr">
        <is>
          <t>山ノ内</t>
        </is>
      </c>
      <c r="H2323" s="10" t="inlineStr">
        <is>
          <t>発</t>
        </is>
      </c>
      <c r="J2323" s="10" t="inlineStr">
        <is>
          <t>営業</t>
        </is>
      </c>
      <c r="L2323" t="inlineStr">
        <is>
          <t>12:48:40</t>
        </is>
      </c>
      <c r="M2323" t="inlineStr">
        <is>
          <t>12:49:05</t>
        </is>
      </c>
    </row>
    <row r="2324" ht="16.5" customHeight="1" s="37">
      <c r="A2324" t="n">
        <v>2</v>
      </c>
      <c r="B2324" s="10" t="inlineStr">
        <is>
          <t>休日</t>
        </is>
      </c>
      <c r="C2324" s="10" t="inlineStr">
        <is>
          <t>本線</t>
        </is>
      </c>
      <c r="D2324" s="10" t="inlineStr">
        <is>
          <t>上り</t>
        </is>
      </c>
      <c r="E2324" t="inlineStr">
        <is>
          <t>1208</t>
        </is>
      </c>
      <c r="F2324" t="inlineStr">
        <is>
          <t>0211</t>
        </is>
      </c>
      <c r="G2324" s="10" t="inlineStr">
        <is>
          <t>西大路三条</t>
        </is>
      </c>
      <c r="H2324" s="10" t="inlineStr">
        <is>
          <t>発</t>
        </is>
      </c>
      <c r="J2324" s="10" t="inlineStr">
        <is>
          <t>営業</t>
        </is>
      </c>
      <c r="L2324" t="inlineStr">
        <is>
          <t>12:50:55</t>
        </is>
      </c>
      <c r="M2324" t="inlineStr">
        <is>
          <t>12:51:15</t>
        </is>
      </c>
    </row>
    <row r="2325" ht="16.5" customHeight="1" s="37">
      <c r="A2325" t="n">
        <v>2</v>
      </c>
      <c r="B2325" s="10" t="inlineStr">
        <is>
          <t>休日</t>
        </is>
      </c>
      <c r="C2325" s="10" t="inlineStr">
        <is>
          <t>本線</t>
        </is>
      </c>
      <c r="D2325" s="10" t="inlineStr">
        <is>
          <t>上り</t>
        </is>
      </c>
      <c r="E2325" t="inlineStr">
        <is>
          <t>1208</t>
        </is>
      </c>
      <c r="F2325" t="inlineStr">
        <is>
          <t>0211</t>
        </is>
      </c>
      <c r="G2325" s="10" t="inlineStr">
        <is>
          <t>西院</t>
        </is>
      </c>
      <c r="H2325" s="10" t="inlineStr">
        <is>
          <t>発</t>
        </is>
      </c>
      <c r="J2325" s="10" t="inlineStr">
        <is>
          <t>営業</t>
        </is>
      </c>
      <c r="L2325" t="inlineStr">
        <is>
          <t>12:53:10</t>
        </is>
      </c>
      <c r="M2325" t="inlineStr">
        <is>
          <t>12:54:05</t>
        </is>
      </c>
    </row>
    <row r="2326" ht="16.5" customHeight="1" s="37">
      <c r="A2326" t="n">
        <v>2</v>
      </c>
      <c r="B2326" s="10" t="inlineStr">
        <is>
          <t>休日</t>
        </is>
      </c>
      <c r="C2326" s="10" t="inlineStr">
        <is>
          <t>本線</t>
        </is>
      </c>
      <c r="D2326" s="10" t="inlineStr">
        <is>
          <t>上り</t>
        </is>
      </c>
      <c r="E2326" t="inlineStr">
        <is>
          <t>1208</t>
        </is>
      </c>
      <c r="F2326" t="inlineStr">
        <is>
          <t>0211</t>
        </is>
      </c>
      <c r="G2326" s="10" t="inlineStr">
        <is>
          <t>四条大宮</t>
        </is>
      </c>
      <c r="H2326" s="10" t="inlineStr">
        <is>
          <t>着</t>
        </is>
      </c>
      <c r="J2326" s="10" t="inlineStr">
        <is>
          <t>営業</t>
        </is>
      </c>
      <c r="L2326" t="inlineStr">
        <is>
          <t>12:57:00</t>
        </is>
      </c>
      <c r="Q2326" t="inlineStr">
        <is>
          <t>1</t>
        </is>
      </c>
    </row>
    <row r="2327" ht="16.5" customHeight="1" s="37">
      <c r="A2327" t="n">
        <v>2</v>
      </c>
      <c r="B2327" s="10" t="inlineStr">
        <is>
          <t>休日</t>
        </is>
      </c>
      <c r="C2327" s="10" t="inlineStr">
        <is>
          <t>本線</t>
        </is>
      </c>
      <c r="D2327" s="10" t="inlineStr">
        <is>
          <t>下り</t>
        </is>
      </c>
      <c r="E2327" s="10" t="inlineStr">
        <is>
          <t>連1301</t>
        </is>
      </c>
      <c r="F2327" t="inlineStr">
        <is>
          <t>0112</t>
        </is>
      </c>
      <c r="G2327" s="10" t="inlineStr">
        <is>
          <t>四条大宮</t>
        </is>
      </c>
      <c r="H2327" s="10" t="inlineStr">
        <is>
          <t>発</t>
        </is>
      </c>
      <c r="J2327" s="10" t="inlineStr">
        <is>
          <t>営業</t>
        </is>
      </c>
      <c r="M2327" t="inlineStr">
        <is>
          <t>13:03:00</t>
        </is>
      </c>
      <c r="P2327" t="inlineStr">
        <is>
          <t>A系統(終日)</t>
        </is>
      </c>
      <c r="Q2327" t="inlineStr">
        <is>
          <t>2</t>
        </is>
      </c>
    </row>
    <row r="2328" ht="16.5" customHeight="1" s="37">
      <c r="A2328" t="n">
        <v>2</v>
      </c>
      <c r="B2328" s="10" t="inlineStr">
        <is>
          <t>休日</t>
        </is>
      </c>
      <c r="C2328" s="10" t="inlineStr">
        <is>
          <t>本線</t>
        </is>
      </c>
      <c r="D2328" s="10" t="inlineStr">
        <is>
          <t>下り</t>
        </is>
      </c>
      <c r="E2328" s="10" t="inlineStr">
        <is>
          <t>連1301</t>
        </is>
      </c>
      <c r="F2328" t="inlineStr">
        <is>
          <t>0112</t>
        </is>
      </c>
      <c r="G2328" s="10" t="inlineStr">
        <is>
          <t>西院</t>
        </is>
      </c>
      <c r="H2328" s="10" t="inlineStr">
        <is>
          <t>発</t>
        </is>
      </c>
      <c r="J2328" s="10" t="inlineStr">
        <is>
          <t>営業</t>
        </is>
      </c>
      <c r="L2328" t="inlineStr">
        <is>
          <t>13:05:50</t>
        </is>
      </c>
      <c r="M2328" t="inlineStr">
        <is>
          <t>13:06:20</t>
        </is>
      </c>
      <c r="P2328" t="inlineStr">
        <is>
          <t>A系統(終日)</t>
        </is>
      </c>
    </row>
    <row r="2329" ht="16.5" customHeight="1" s="37">
      <c r="A2329" t="n">
        <v>2</v>
      </c>
      <c r="B2329" s="10" t="inlineStr">
        <is>
          <t>休日</t>
        </is>
      </c>
      <c r="C2329" s="10" t="inlineStr">
        <is>
          <t>本線</t>
        </is>
      </c>
      <c r="D2329" s="10" t="inlineStr">
        <is>
          <t>下り</t>
        </is>
      </c>
      <c r="E2329" s="10" t="inlineStr">
        <is>
          <t>連1301</t>
        </is>
      </c>
      <c r="F2329" t="inlineStr">
        <is>
          <t>0112</t>
        </is>
      </c>
      <c r="G2329" s="10" t="inlineStr">
        <is>
          <t>西大路三条</t>
        </is>
      </c>
      <c r="H2329" s="10" t="inlineStr">
        <is>
          <t>発</t>
        </is>
      </c>
      <c r="J2329" s="10" t="inlineStr">
        <is>
          <t>営業</t>
        </is>
      </c>
      <c r="L2329" t="inlineStr">
        <is>
          <t>13:08:10</t>
        </is>
      </c>
      <c r="M2329" t="inlineStr">
        <is>
          <t>13:08:30</t>
        </is>
      </c>
      <c r="P2329" t="inlineStr">
        <is>
          <t>A系統(終日)</t>
        </is>
      </c>
    </row>
    <row r="2330" ht="16.5" customHeight="1" s="37">
      <c r="A2330" t="n">
        <v>2</v>
      </c>
      <c r="B2330" s="10" t="inlineStr">
        <is>
          <t>休日</t>
        </is>
      </c>
      <c r="C2330" s="10" t="inlineStr">
        <is>
          <t>本線</t>
        </is>
      </c>
      <c r="D2330" s="10" t="inlineStr">
        <is>
          <t>下り</t>
        </is>
      </c>
      <c r="E2330" s="10" t="inlineStr">
        <is>
          <t>連1301</t>
        </is>
      </c>
      <c r="F2330" t="inlineStr">
        <is>
          <t>0112</t>
        </is>
      </c>
      <c r="G2330" s="10" t="inlineStr">
        <is>
          <t>山ノ内</t>
        </is>
      </c>
      <c r="H2330" s="10" t="inlineStr">
        <is>
          <t>発</t>
        </is>
      </c>
      <c r="J2330" s="10" t="inlineStr">
        <is>
          <t>営業</t>
        </is>
      </c>
      <c r="L2330" t="inlineStr">
        <is>
          <t>13:10:25</t>
        </is>
      </c>
      <c r="M2330" t="inlineStr">
        <is>
          <t>13:10:50</t>
        </is>
      </c>
      <c r="P2330" t="inlineStr">
        <is>
          <t>A系統(終日)</t>
        </is>
      </c>
    </row>
    <row r="2331" ht="16.5" customHeight="1" s="37">
      <c r="A2331" t="n">
        <v>2</v>
      </c>
      <c r="B2331" s="10" t="inlineStr">
        <is>
          <t>休日</t>
        </is>
      </c>
      <c r="C2331" s="10" t="inlineStr">
        <is>
          <t>本線</t>
        </is>
      </c>
      <c r="D2331" s="10" t="inlineStr">
        <is>
          <t>下り</t>
        </is>
      </c>
      <c r="E2331" s="10" t="inlineStr">
        <is>
          <t>連1301</t>
        </is>
      </c>
      <c r="F2331" t="inlineStr">
        <is>
          <t>0112</t>
        </is>
      </c>
      <c r="G2331" s="10" t="inlineStr">
        <is>
          <t>天神川</t>
        </is>
      </c>
      <c r="H2331" s="10" t="inlineStr">
        <is>
          <t>発</t>
        </is>
      </c>
      <c r="J2331" s="10" t="inlineStr">
        <is>
          <t>営業</t>
        </is>
      </c>
      <c r="L2331" t="inlineStr">
        <is>
          <t>13:12:50</t>
        </is>
      </c>
      <c r="M2331" t="inlineStr">
        <is>
          <t>13:13:30</t>
        </is>
      </c>
      <c r="P2331" t="inlineStr">
        <is>
          <t>A系統(終日)</t>
        </is>
      </c>
    </row>
    <row r="2332" ht="16.5" customHeight="1" s="37">
      <c r="A2332" t="n">
        <v>2</v>
      </c>
      <c r="B2332" s="10" t="inlineStr">
        <is>
          <t>休日</t>
        </is>
      </c>
      <c r="C2332" s="10" t="inlineStr">
        <is>
          <t>本線</t>
        </is>
      </c>
      <c r="D2332" s="10" t="inlineStr">
        <is>
          <t>下り</t>
        </is>
      </c>
      <c r="E2332" s="10" t="inlineStr">
        <is>
          <t>連1301</t>
        </is>
      </c>
      <c r="F2332" t="inlineStr">
        <is>
          <t>0112</t>
        </is>
      </c>
      <c r="G2332" s="10" t="inlineStr">
        <is>
          <t>蚕ノ社</t>
        </is>
      </c>
      <c r="H2332" s="10" t="inlineStr">
        <is>
          <t>発</t>
        </is>
      </c>
      <c r="J2332" s="10" t="inlineStr">
        <is>
          <t>営業</t>
        </is>
      </c>
      <c r="L2332" t="inlineStr">
        <is>
          <t>13:14:20</t>
        </is>
      </c>
      <c r="M2332" t="inlineStr">
        <is>
          <t>13:14:40</t>
        </is>
      </c>
      <c r="P2332" t="inlineStr">
        <is>
          <t>A系統(終日)</t>
        </is>
      </c>
    </row>
    <row r="2333" ht="16.5" customHeight="1" s="37">
      <c r="A2333" t="n">
        <v>2</v>
      </c>
      <c r="B2333" s="10" t="inlineStr">
        <is>
          <t>休日</t>
        </is>
      </c>
      <c r="C2333" s="10" t="inlineStr">
        <is>
          <t>本線</t>
        </is>
      </c>
      <c r="D2333" s="10" t="inlineStr">
        <is>
          <t>下り</t>
        </is>
      </c>
      <c r="E2333" s="10" t="inlineStr">
        <is>
          <t>連1301</t>
        </is>
      </c>
      <c r="F2333" t="inlineStr">
        <is>
          <t>0112</t>
        </is>
      </c>
      <c r="G2333" s="10" t="inlineStr">
        <is>
          <t>太秦広隆寺</t>
        </is>
      </c>
      <c r="H2333" s="10" t="inlineStr">
        <is>
          <t>発</t>
        </is>
      </c>
      <c r="J2333" s="10" t="inlineStr">
        <is>
          <t>営業</t>
        </is>
      </c>
      <c r="L2333" t="inlineStr">
        <is>
          <t>13:16:00</t>
        </is>
      </c>
      <c r="M2333" t="inlineStr">
        <is>
          <t>13:16:20</t>
        </is>
      </c>
      <c r="P2333" t="inlineStr">
        <is>
          <t>A系統(終日)</t>
        </is>
      </c>
    </row>
    <row r="2334" ht="15" customHeight="1" s="37">
      <c r="A2334" t="n">
        <v>2</v>
      </c>
      <c r="B2334" s="10" t="inlineStr">
        <is>
          <t>休日</t>
        </is>
      </c>
      <c r="C2334" s="10" t="inlineStr">
        <is>
          <t>本線</t>
        </is>
      </c>
      <c r="D2334" s="10" t="inlineStr">
        <is>
          <t>下り</t>
        </is>
      </c>
      <c r="E2334" s="10" t="inlineStr">
        <is>
          <t>連1301</t>
        </is>
      </c>
      <c r="F2334" t="inlineStr">
        <is>
          <t>0112</t>
        </is>
      </c>
      <c r="G2334" s="10" t="inlineStr">
        <is>
          <t>帷子ノ辻</t>
        </is>
      </c>
      <c r="H2334" s="10" t="inlineStr">
        <is>
          <t>発</t>
        </is>
      </c>
      <c r="J2334" s="10" t="inlineStr">
        <is>
          <t>営業</t>
        </is>
      </c>
      <c r="L2334" t="inlineStr">
        <is>
          <t>13:18:20</t>
        </is>
      </c>
      <c r="M2334" t="inlineStr">
        <is>
          <t>13:19:40</t>
        </is>
      </c>
      <c r="P2334" t="inlineStr">
        <is>
          <t>A系統(終日)</t>
        </is>
      </c>
    </row>
    <row r="2335" ht="15" customHeight="1" s="37">
      <c r="A2335" t="n">
        <v>2</v>
      </c>
      <c r="B2335" s="10" t="inlineStr">
        <is>
          <t>休日</t>
        </is>
      </c>
      <c r="C2335" s="10" t="inlineStr">
        <is>
          <t>本線</t>
        </is>
      </c>
      <c r="D2335" s="10" t="inlineStr">
        <is>
          <t>下り</t>
        </is>
      </c>
      <c r="E2335" s="10" t="inlineStr">
        <is>
          <t>連1301</t>
        </is>
      </c>
      <c r="F2335" t="inlineStr">
        <is>
          <t>0112</t>
        </is>
      </c>
      <c r="G2335" s="10" t="inlineStr">
        <is>
          <t>有栖川</t>
        </is>
      </c>
      <c r="H2335" s="10" t="inlineStr">
        <is>
          <t>発</t>
        </is>
      </c>
      <c r="J2335" s="10" t="inlineStr">
        <is>
          <t>営業</t>
        </is>
      </c>
      <c r="L2335" t="inlineStr">
        <is>
          <t>13:20:50</t>
        </is>
      </c>
      <c r="M2335" t="inlineStr">
        <is>
          <t>13:21:15</t>
        </is>
      </c>
      <c r="P2335" t="inlineStr">
        <is>
          <t>A系統(終日)</t>
        </is>
      </c>
    </row>
    <row r="2336" ht="15" customHeight="1" s="37">
      <c r="A2336" t="n">
        <v>2</v>
      </c>
      <c r="B2336" s="10" t="inlineStr">
        <is>
          <t>休日</t>
        </is>
      </c>
      <c r="C2336" s="10" t="inlineStr">
        <is>
          <t>本線</t>
        </is>
      </c>
      <c r="D2336" s="10" t="inlineStr">
        <is>
          <t>下り</t>
        </is>
      </c>
      <c r="E2336" s="10" t="inlineStr">
        <is>
          <t>連1301</t>
        </is>
      </c>
      <c r="F2336" t="inlineStr">
        <is>
          <t>0112</t>
        </is>
      </c>
      <c r="G2336" s="10" t="inlineStr">
        <is>
          <t>車折</t>
        </is>
      </c>
      <c r="H2336" s="10" t="inlineStr">
        <is>
          <t>発</t>
        </is>
      </c>
      <c r="J2336" s="10" t="inlineStr">
        <is>
          <t>営業</t>
        </is>
      </c>
      <c r="L2336" t="inlineStr">
        <is>
          <t>13:22:40</t>
        </is>
      </c>
      <c r="M2336" t="inlineStr">
        <is>
          <t>13:23:05</t>
        </is>
      </c>
      <c r="P2336" t="inlineStr">
        <is>
          <t>A系統(終日)</t>
        </is>
      </c>
    </row>
    <row r="2337" ht="15" customHeight="1" s="37">
      <c r="A2337" t="n">
        <v>2</v>
      </c>
      <c r="B2337" s="10" t="inlineStr">
        <is>
          <t>休日</t>
        </is>
      </c>
      <c r="C2337" s="10" t="inlineStr">
        <is>
          <t>本線</t>
        </is>
      </c>
      <c r="D2337" s="10" t="inlineStr">
        <is>
          <t>下り</t>
        </is>
      </c>
      <c r="E2337" s="10" t="inlineStr">
        <is>
          <t>連1301</t>
        </is>
      </c>
      <c r="F2337" t="inlineStr">
        <is>
          <t>0112</t>
        </is>
      </c>
      <c r="G2337" s="10" t="inlineStr">
        <is>
          <t>鹿王院</t>
        </is>
      </c>
      <c r="H2337" s="10" t="inlineStr">
        <is>
          <t>発</t>
        </is>
      </c>
      <c r="J2337" s="10" t="inlineStr">
        <is>
          <t>営業</t>
        </is>
      </c>
      <c r="L2337" t="inlineStr">
        <is>
          <t>13:24:00</t>
        </is>
      </c>
      <c r="M2337" t="inlineStr">
        <is>
          <t>13:24:25</t>
        </is>
      </c>
      <c r="P2337" t="inlineStr">
        <is>
          <t>A系統(終日)</t>
        </is>
      </c>
    </row>
    <row r="2338" ht="15" customHeight="1" s="37">
      <c r="A2338" t="n">
        <v>2</v>
      </c>
      <c r="B2338" s="10" t="inlineStr">
        <is>
          <t>休日</t>
        </is>
      </c>
      <c r="C2338" s="10" t="inlineStr">
        <is>
          <t>本線</t>
        </is>
      </c>
      <c r="D2338" s="10" t="inlineStr">
        <is>
          <t>下り</t>
        </is>
      </c>
      <c r="E2338" s="10" t="inlineStr">
        <is>
          <t>連1301</t>
        </is>
      </c>
      <c r="F2338" t="inlineStr">
        <is>
          <t>0112</t>
        </is>
      </c>
      <c r="G2338" s="10" t="inlineStr">
        <is>
          <t>嵯峨</t>
        </is>
      </c>
      <c r="H2338" s="10" t="inlineStr">
        <is>
          <t>発</t>
        </is>
      </c>
      <c r="J2338" s="10" t="inlineStr">
        <is>
          <t>営業</t>
        </is>
      </c>
      <c r="L2338" t="inlineStr">
        <is>
          <t>13:25:30</t>
        </is>
      </c>
      <c r="M2338" t="inlineStr">
        <is>
          <t>13:25:55</t>
        </is>
      </c>
      <c r="P2338" t="inlineStr">
        <is>
          <t>A系統(終日)</t>
        </is>
      </c>
    </row>
    <row r="2339" ht="15" customHeight="1" s="37">
      <c r="A2339" t="n">
        <v>2</v>
      </c>
      <c r="B2339" s="10" t="inlineStr">
        <is>
          <t>休日</t>
        </is>
      </c>
      <c r="C2339" s="10" t="inlineStr">
        <is>
          <t>本線</t>
        </is>
      </c>
      <c r="D2339" s="10" t="inlineStr">
        <is>
          <t>下り</t>
        </is>
      </c>
      <c r="E2339" s="10" t="inlineStr">
        <is>
          <t>連1301</t>
        </is>
      </c>
      <c r="F2339" t="inlineStr">
        <is>
          <t>0112</t>
        </is>
      </c>
      <c r="G2339" s="10" t="inlineStr">
        <is>
          <t>嵐山</t>
        </is>
      </c>
      <c r="H2339" s="10" t="inlineStr">
        <is>
          <t>着</t>
        </is>
      </c>
      <c r="J2339" s="10" t="inlineStr">
        <is>
          <t>営業</t>
        </is>
      </c>
      <c r="L2339" t="inlineStr">
        <is>
          <t>13:27:00</t>
        </is>
      </c>
      <c r="P2339" t="inlineStr">
        <is>
          <t>A系統(終日)</t>
        </is>
      </c>
      <c r="Q2339" t="inlineStr">
        <is>
          <t>1</t>
        </is>
      </c>
    </row>
    <row r="2340" ht="15" customHeight="1" s="37">
      <c r="A2340" t="n">
        <v>2</v>
      </c>
      <c r="B2340" s="10" t="inlineStr">
        <is>
          <t>休日</t>
        </is>
      </c>
      <c r="C2340" s="10" t="inlineStr">
        <is>
          <t>本線</t>
        </is>
      </c>
      <c r="D2340" s="10" t="inlineStr">
        <is>
          <t>上り</t>
        </is>
      </c>
      <c r="E2340" s="10" t="inlineStr">
        <is>
          <t>連1308</t>
        </is>
      </c>
      <c r="F2340" t="inlineStr">
        <is>
          <t>0211</t>
        </is>
      </c>
      <c r="G2340" s="10" t="inlineStr">
        <is>
          <t>嵐山</t>
        </is>
      </c>
      <c r="H2340" s="10" t="inlineStr">
        <is>
          <t>発</t>
        </is>
      </c>
      <c r="J2340" s="10" t="inlineStr">
        <is>
          <t>営業</t>
        </is>
      </c>
      <c r="M2340" t="inlineStr">
        <is>
          <t>13:33:00</t>
        </is>
      </c>
      <c r="P2340" t="inlineStr">
        <is>
          <t>A系統(終日)</t>
        </is>
      </c>
      <c r="Q2340" t="inlineStr">
        <is>
          <t>1</t>
        </is>
      </c>
    </row>
    <row r="2341" ht="15" customHeight="1" s="37">
      <c r="A2341" t="n">
        <v>2</v>
      </c>
      <c r="B2341" s="10" t="inlineStr">
        <is>
          <t>休日</t>
        </is>
      </c>
      <c r="C2341" s="10" t="inlineStr">
        <is>
          <t>本線</t>
        </is>
      </c>
      <c r="D2341" s="10" t="inlineStr">
        <is>
          <t>上り</t>
        </is>
      </c>
      <c r="E2341" s="10" t="inlineStr">
        <is>
          <t>連1308</t>
        </is>
      </c>
      <c r="F2341" t="inlineStr">
        <is>
          <t>0211</t>
        </is>
      </c>
      <c r="G2341" s="10" t="inlineStr">
        <is>
          <t>嵯峨</t>
        </is>
      </c>
      <c r="H2341" s="10" t="inlineStr">
        <is>
          <t>発</t>
        </is>
      </c>
      <c r="J2341" s="10" t="inlineStr">
        <is>
          <t>営業</t>
        </is>
      </c>
      <c r="L2341" t="inlineStr">
        <is>
          <t>13:33:55</t>
        </is>
      </c>
      <c r="M2341" t="inlineStr">
        <is>
          <t>13:34:20</t>
        </is>
      </c>
      <c r="P2341" t="inlineStr">
        <is>
          <t>A系統(終日)</t>
        </is>
      </c>
    </row>
    <row r="2342" ht="15" customHeight="1" s="37">
      <c r="A2342" t="n">
        <v>2</v>
      </c>
      <c r="B2342" s="10" t="inlineStr">
        <is>
          <t>休日</t>
        </is>
      </c>
      <c r="C2342" s="10" t="inlineStr">
        <is>
          <t>本線</t>
        </is>
      </c>
      <c r="D2342" s="10" t="inlineStr">
        <is>
          <t>上り</t>
        </is>
      </c>
      <c r="E2342" s="10" t="inlineStr">
        <is>
          <t>連1308</t>
        </is>
      </c>
      <c r="F2342" t="inlineStr">
        <is>
          <t>0211</t>
        </is>
      </c>
      <c r="G2342" s="10" t="inlineStr">
        <is>
          <t>鹿王院</t>
        </is>
      </c>
      <c r="H2342" s="10" t="inlineStr">
        <is>
          <t>発</t>
        </is>
      </c>
      <c r="J2342" s="10" t="inlineStr">
        <is>
          <t>営業</t>
        </is>
      </c>
      <c r="L2342" t="inlineStr">
        <is>
          <t>13:35:25</t>
        </is>
      </c>
      <c r="M2342" t="inlineStr">
        <is>
          <t>13:35:45</t>
        </is>
      </c>
      <c r="P2342" t="inlineStr">
        <is>
          <t>A系統(終日)</t>
        </is>
      </c>
    </row>
    <row r="2343" ht="15" customHeight="1" s="37">
      <c r="A2343" t="n">
        <v>2</v>
      </c>
      <c r="B2343" s="10" t="inlineStr">
        <is>
          <t>休日</t>
        </is>
      </c>
      <c r="C2343" s="10" t="inlineStr">
        <is>
          <t>本線</t>
        </is>
      </c>
      <c r="D2343" s="10" t="inlineStr">
        <is>
          <t>上り</t>
        </is>
      </c>
      <c r="E2343" s="10" t="inlineStr">
        <is>
          <t>連1308</t>
        </is>
      </c>
      <c r="F2343" t="inlineStr">
        <is>
          <t>0211</t>
        </is>
      </c>
      <c r="G2343" s="10" t="inlineStr">
        <is>
          <t>車折</t>
        </is>
      </c>
      <c r="H2343" s="10" t="inlineStr">
        <is>
          <t>発</t>
        </is>
      </c>
      <c r="J2343" s="10" t="inlineStr">
        <is>
          <t>営業</t>
        </is>
      </c>
      <c r="L2343" t="inlineStr">
        <is>
          <t>13:36:40</t>
        </is>
      </c>
      <c r="M2343" t="inlineStr">
        <is>
          <t>13:37:10</t>
        </is>
      </c>
      <c r="P2343" t="inlineStr">
        <is>
          <t>A系統(終日)</t>
        </is>
      </c>
    </row>
    <row r="2344" ht="15" customHeight="1" s="37">
      <c r="A2344" t="n">
        <v>2</v>
      </c>
      <c r="B2344" s="10" t="inlineStr">
        <is>
          <t>休日</t>
        </is>
      </c>
      <c r="C2344" s="10" t="inlineStr">
        <is>
          <t>本線</t>
        </is>
      </c>
      <c r="D2344" s="10" t="inlineStr">
        <is>
          <t>上り</t>
        </is>
      </c>
      <c r="E2344" s="10" t="inlineStr">
        <is>
          <t>連1308</t>
        </is>
      </c>
      <c r="F2344" t="inlineStr">
        <is>
          <t>0211</t>
        </is>
      </c>
      <c r="G2344" s="10" t="inlineStr">
        <is>
          <t>有栖川</t>
        </is>
      </c>
      <c r="H2344" s="10" t="inlineStr">
        <is>
          <t>発</t>
        </is>
      </c>
      <c r="J2344" s="10" t="inlineStr">
        <is>
          <t>営業</t>
        </is>
      </c>
      <c r="L2344" t="inlineStr">
        <is>
          <t>13:38:35</t>
        </is>
      </c>
      <c r="M2344" t="inlineStr">
        <is>
          <t>13:38:55</t>
        </is>
      </c>
      <c r="P2344" t="inlineStr">
        <is>
          <t>A系統(終日)</t>
        </is>
      </c>
    </row>
    <row r="2345" ht="15" customHeight="1" s="37">
      <c r="A2345" t="n">
        <v>2</v>
      </c>
      <c r="B2345" s="10" t="inlineStr">
        <is>
          <t>休日</t>
        </is>
      </c>
      <c r="C2345" s="10" t="inlineStr">
        <is>
          <t>本線</t>
        </is>
      </c>
      <c r="D2345" s="10" t="inlineStr">
        <is>
          <t>上り</t>
        </is>
      </c>
      <c r="E2345" s="10" t="inlineStr">
        <is>
          <t>連1308</t>
        </is>
      </c>
      <c r="F2345" t="inlineStr">
        <is>
          <t>0211</t>
        </is>
      </c>
      <c r="G2345" s="10" t="inlineStr">
        <is>
          <t>帷子ノ辻</t>
        </is>
      </c>
      <c r="H2345" s="10" t="inlineStr">
        <is>
          <t>発</t>
        </is>
      </c>
      <c r="J2345" s="10" t="inlineStr">
        <is>
          <t>営業</t>
        </is>
      </c>
      <c r="L2345" t="inlineStr">
        <is>
          <t>13:40:10</t>
        </is>
      </c>
      <c r="M2345" t="inlineStr">
        <is>
          <t>13:41:15</t>
        </is>
      </c>
      <c r="P2345" t="inlineStr">
        <is>
          <t>A系統(終日)</t>
        </is>
      </c>
    </row>
    <row r="2346" ht="15" customHeight="1" s="37">
      <c r="A2346" t="n">
        <v>2</v>
      </c>
      <c r="B2346" s="10" t="inlineStr">
        <is>
          <t>休日</t>
        </is>
      </c>
      <c r="C2346" s="10" t="inlineStr">
        <is>
          <t>本線</t>
        </is>
      </c>
      <c r="D2346" s="10" t="inlineStr">
        <is>
          <t>上り</t>
        </is>
      </c>
      <c r="E2346" s="10" t="inlineStr">
        <is>
          <t>連1308</t>
        </is>
      </c>
      <c r="F2346" t="inlineStr">
        <is>
          <t>0211</t>
        </is>
      </c>
      <c r="G2346" s="10" t="inlineStr">
        <is>
          <t>太秦広隆寺</t>
        </is>
      </c>
      <c r="H2346" s="10" t="inlineStr">
        <is>
          <t>発</t>
        </is>
      </c>
      <c r="J2346" s="10" t="inlineStr">
        <is>
          <t>営業</t>
        </is>
      </c>
      <c r="L2346" t="inlineStr">
        <is>
          <t>13:43:25</t>
        </is>
      </c>
      <c r="M2346" t="inlineStr">
        <is>
          <t>13:43:45</t>
        </is>
      </c>
      <c r="P2346" t="inlineStr">
        <is>
          <t>A系統(終日)</t>
        </is>
      </c>
    </row>
    <row r="2347" ht="15" customHeight="1" s="37">
      <c r="A2347" t="n">
        <v>2</v>
      </c>
      <c r="B2347" s="10" t="inlineStr">
        <is>
          <t>休日</t>
        </is>
      </c>
      <c r="C2347" s="10" t="inlineStr">
        <is>
          <t>本線</t>
        </is>
      </c>
      <c r="D2347" s="10" t="inlineStr">
        <is>
          <t>上り</t>
        </is>
      </c>
      <c r="E2347" s="10" t="inlineStr">
        <is>
          <t>連1308</t>
        </is>
      </c>
      <c r="F2347" t="inlineStr">
        <is>
          <t>0211</t>
        </is>
      </c>
      <c r="G2347" s="10" t="inlineStr">
        <is>
          <t>蚕ノ社</t>
        </is>
      </c>
      <c r="H2347" s="10" t="inlineStr">
        <is>
          <t>発</t>
        </is>
      </c>
      <c r="J2347" s="10" t="inlineStr">
        <is>
          <t>営業</t>
        </is>
      </c>
      <c r="L2347" t="inlineStr">
        <is>
          <t>13:45:00</t>
        </is>
      </c>
      <c r="M2347" t="inlineStr">
        <is>
          <t>13:45:20</t>
        </is>
      </c>
      <c r="P2347" t="inlineStr">
        <is>
          <t>A系統(終日)</t>
        </is>
      </c>
    </row>
    <row r="2348" ht="15" customHeight="1" s="37">
      <c r="A2348" t="n">
        <v>2</v>
      </c>
      <c r="B2348" s="10" t="inlineStr">
        <is>
          <t>休日</t>
        </is>
      </c>
      <c r="C2348" s="10" t="inlineStr">
        <is>
          <t>本線</t>
        </is>
      </c>
      <c r="D2348" s="10" t="inlineStr">
        <is>
          <t>上り</t>
        </is>
      </c>
      <c r="E2348" s="10" t="inlineStr">
        <is>
          <t>連1308</t>
        </is>
      </c>
      <c r="F2348" t="inlineStr">
        <is>
          <t>0211</t>
        </is>
      </c>
      <c r="G2348" s="10" t="inlineStr">
        <is>
          <t>天神川</t>
        </is>
      </c>
      <c r="H2348" s="10" t="inlineStr">
        <is>
          <t>発</t>
        </is>
      </c>
      <c r="J2348" s="10" t="inlineStr">
        <is>
          <t>営業</t>
        </is>
      </c>
      <c r="L2348" t="inlineStr">
        <is>
          <t>13:46:05</t>
        </is>
      </c>
      <c r="M2348" t="inlineStr">
        <is>
          <t>13:46:50</t>
        </is>
      </c>
      <c r="P2348" t="inlineStr">
        <is>
          <t>A系統(終日)</t>
        </is>
      </c>
    </row>
    <row r="2349" ht="15" customHeight="1" s="37">
      <c r="A2349" t="n">
        <v>2</v>
      </c>
      <c r="B2349" s="10" t="inlineStr">
        <is>
          <t>休日</t>
        </is>
      </c>
      <c r="C2349" s="10" t="inlineStr">
        <is>
          <t>本線</t>
        </is>
      </c>
      <c r="D2349" s="10" t="inlineStr">
        <is>
          <t>上り</t>
        </is>
      </c>
      <c r="E2349" s="10" t="inlineStr">
        <is>
          <t>連1308</t>
        </is>
      </c>
      <c r="F2349" t="inlineStr">
        <is>
          <t>0211</t>
        </is>
      </c>
      <c r="G2349" s="10" t="inlineStr">
        <is>
          <t>山ノ内</t>
        </is>
      </c>
      <c r="H2349" s="10" t="inlineStr">
        <is>
          <t>発</t>
        </is>
      </c>
      <c r="J2349" s="10" t="inlineStr">
        <is>
          <t>営業</t>
        </is>
      </c>
      <c r="L2349" t="inlineStr">
        <is>
          <t>13:48:40</t>
        </is>
      </c>
      <c r="M2349" t="inlineStr">
        <is>
          <t>13:49:05</t>
        </is>
      </c>
      <c r="P2349" t="inlineStr">
        <is>
          <t>A系統(終日)</t>
        </is>
      </c>
    </row>
    <row r="2350" ht="15" customHeight="1" s="37">
      <c r="A2350" t="n">
        <v>2</v>
      </c>
      <c r="B2350" s="10" t="inlineStr">
        <is>
          <t>休日</t>
        </is>
      </c>
      <c r="C2350" s="10" t="inlineStr">
        <is>
          <t>本線</t>
        </is>
      </c>
      <c r="D2350" s="10" t="inlineStr">
        <is>
          <t>上り</t>
        </is>
      </c>
      <c r="E2350" s="10" t="inlineStr">
        <is>
          <t>連1308</t>
        </is>
      </c>
      <c r="F2350" t="inlineStr">
        <is>
          <t>0211</t>
        </is>
      </c>
      <c r="G2350" s="10" t="inlineStr">
        <is>
          <t>西大路三条</t>
        </is>
      </c>
      <c r="H2350" s="10" t="inlineStr">
        <is>
          <t>発</t>
        </is>
      </c>
      <c r="J2350" s="10" t="inlineStr">
        <is>
          <t>営業</t>
        </is>
      </c>
      <c r="L2350" t="inlineStr">
        <is>
          <t>13:50:55</t>
        </is>
      </c>
      <c r="M2350" t="inlineStr">
        <is>
          <t>13:51:15</t>
        </is>
      </c>
      <c r="P2350" t="inlineStr">
        <is>
          <t>A系統(終日)</t>
        </is>
      </c>
    </row>
    <row r="2351" ht="15" customHeight="1" s="37">
      <c r="A2351" t="n">
        <v>2</v>
      </c>
      <c r="B2351" s="10" t="inlineStr">
        <is>
          <t>休日</t>
        </is>
      </c>
      <c r="C2351" s="10" t="inlineStr">
        <is>
          <t>本線</t>
        </is>
      </c>
      <c r="D2351" s="10" t="inlineStr">
        <is>
          <t>上り</t>
        </is>
      </c>
      <c r="E2351" s="10" t="inlineStr">
        <is>
          <t>連1308</t>
        </is>
      </c>
      <c r="F2351" t="inlineStr">
        <is>
          <t>0211</t>
        </is>
      </c>
      <c r="G2351" s="10" t="inlineStr">
        <is>
          <t>西院</t>
        </is>
      </c>
      <c r="H2351" s="10" t="inlineStr">
        <is>
          <t>発</t>
        </is>
      </c>
      <c r="J2351" s="10" t="inlineStr">
        <is>
          <t>営業</t>
        </is>
      </c>
      <c r="L2351" t="inlineStr">
        <is>
          <t>13:53:10</t>
        </is>
      </c>
      <c r="M2351" t="inlineStr">
        <is>
          <t>13:54:05</t>
        </is>
      </c>
      <c r="P2351" t="inlineStr">
        <is>
          <t>A系統(終日)</t>
        </is>
      </c>
    </row>
    <row r="2352" ht="15" customHeight="1" s="37">
      <c r="A2352" t="n">
        <v>2</v>
      </c>
      <c r="B2352" s="10" t="inlineStr">
        <is>
          <t>休日</t>
        </is>
      </c>
      <c r="C2352" s="10" t="inlineStr">
        <is>
          <t>本線</t>
        </is>
      </c>
      <c r="D2352" s="10" t="inlineStr">
        <is>
          <t>上り</t>
        </is>
      </c>
      <c r="E2352" s="10" t="inlineStr">
        <is>
          <t>連1308</t>
        </is>
      </c>
      <c r="F2352" t="inlineStr">
        <is>
          <t>0211</t>
        </is>
      </c>
      <c r="G2352" s="10" t="inlineStr">
        <is>
          <t>四条大宮</t>
        </is>
      </c>
      <c r="H2352" s="10" t="inlineStr">
        <is>
          <t>着</t>
        </is>
      </c>
      <c r="J2352" s="10" t="inlineStr">
        <is>
          <t>営業</t>
        </is>
      </c>
      <c r="L2352" t="inlineStr">
        <is>
          <t>13:57:00</t>
        </is>
      </c>
      <c r="P2352" t="inlineStr">
        <is>
          <t>A系統(終日)</t>
        </is>
      </c>
      <c r="Q2352" t="inlineStr">
        <is>
          <t>1</t>
        </is>
      </c>
    </row>
    <row r="2353" ht="15" customHeight="1" s="37">
      <c r="A2353" t="n">
        <v>2</v>
      </c>
      <c r="B2353" s="10" t="inlineStr">
        <is>
          <t>休日</t>
        </is>
      </c>
      <c r="C2353" s="10" t="inlineStr">
        <is>
          <t>本線</t>
        </is>
      </c>
      <c r="D2353" s="10" t="inlineStr">
        <is>
          <t>下り</t>
        </is>
      </c>
      <c r="E2353" s="10" t="inlineStr">
        <is>
          <t>連1401</t>
        </is>
      </c>
      <c r="F2353" t="inlineStr">
        <is>
          <t>0112</t>
        </is>
      </c>
      <c r="G2353" s="10" t="inlineStr">
        <is>
          <t>四条大宮</t>
        </is>
      </c>
      <c r="H2353" s="10" t="inlineStr">
        <is>
          <t>発</t>
        </is>
      </c>
      <c r="J2353" s="10" t="inlineStr">
        <is>
          <t>営業</t>
        </is>
      </c>
      <c r="M2353" t="inlineStr">
        <is>
          <t>14:03:00</t>
        </is>
      </c>
      <c r="P2353" t="inlineStr">
        <is>
          <t>A系統(終日)</t>
        </is>
      </c>
      <c r="Q2353" t="inlineStr">
        <is>
          <t>1</t>
        </is>
      </c>
    </row>
    <row r="2354" ht="15" customHeight="1" s="37">
      <c r="A2354" t="n">
        <v>2</v>
      </c>
      <c r="B2354" s="10" t="inlineStr">
        <is>
          <t>休日</t>
        </is>
      </c>
      <c r="C2354" s="10" t="inlineStr">
        <is>
          <t>本線</t>
        </is>
      </c>
      <c r="D2354" s="10" t="inlineStr">
        <is>
          <t>下り</t>
        </is>
      </c>
      <c r="E2354" s="10" t="inlineStr">
        <is>
          <t>連1401</t>
        </is>
      </c>
      <c r="F2354" t="inlineStr">
        <is>
          <t>0112</t>
        </is>
      </c>
      <c r="G2354" s="10" t="inlineStr">
        <is>
          <t>西院</t>
        </is>
      </c>
      <c r="H2354" s="10" t="inlineStr">
        <is>
          <t>着</t>
        </is>
      </c>
      <c r="J2354" s="10" t="inlineStr">
        <is>
          <t>営業</t>
        </is>
      </c>
      <c r="L2354" t="inlineStr">
        <is>
          <t>14:05:50</t>
        </is>
      </c>
      <c r="M2354" t="inlineStr">
        <is>
          <t>14:06:20</t>
        </is>
      </c>
      <c r="P2354" t="inlineStr">
        <is>
          <t>A系統(終日)</t>
        </is>
      </c>
      <c r="T2354" t="inlineStr">
        <is>
          <t>○</t>
        </is>
      </c>
    </row>
    <row r="2355" ht="15" customHeight="1" s="37">
      <c r="A2355" t="n">
        <v>20</v>
      </c>
      <c r="B2355" s="10" t="inlineStr">
        <is>
          <t>休日</t>
        </is>
      </c>
      <c r="C2355" s="10" t="inlineStr">
        <is>
          <t>北野線</t>
        </is>
      </c>
      <c r="D2355" s="10" t="inlineStr">
        <is>
          <t>上り</t>
        </is>
      </c>
      <c r="E2355" t="inlineStr">
        <is>
          <t>0862</t>
        </is>
      </c>
      <c r="F2355" t="inlineStr">
        <is>
          <t>0354</t>
        </is>
      </c>
      <c r="G2355" s="10" t="inlineStr">
        <is>
          <t>帷子ノ辻</t>
        </is>
      </c>
      <c r="H2355" s="10" t="inlineStr">
        <is>
          <t>発</t>
        </is>
      </c>
      <c r="J2355" s="10" t="inlineStr">
        <is>
          <t>営業</t>
        </is>
      </c>
      <c r="M2355" t="inlineStr">
        <is>
          <t>8:56:25</t>
        </is>
      </c>
      <c r="Q2355" t="inlineStr">
        <is>
          <t>3</t>
        </is>
      </c>
    </row>
    <row r="2356" ht="15" customHeight="1" s="37">
      <c r="A2356" t="n">
        <v>20</v>
      </c>
      <c r="B2356" s="10" t="inlineStr">
        <is>
          <t>休日</t>
        </is>
      </c>
      <c r="C2356" s="10" t="inlineStr">
        <is>
          <t>北野線</t>
        </is>
      </c>
      <c r="D2356" s="10" t="inlineStr">
        <is>
          <t>上り</t>
        </is>
      </c>
      <c r="E2356" t="inlineStr">
        <is>
          <t>0862</t>
        </is>
      </c>
      <c r="F2356" t="inlineStr">
        <is>
          <t>0354</t>
        </is>
      </c>
      <c r="G2356" s="10" t="inlineStr">
        <is>
          <t>撮影所前</t>
        </is>
      </c>
      <c r="H2356" s="10" t="inlineStr">
        <is>
          <t>発</t>
        </is>
      </c>
      <c r="J2356" s="10" t="inlineStr">
        <is>
          <t>営業</t>
        </is>
      </c>
      <c r="L2356" t="inlineStr">
        <is>
          <t>8:57:25</t>
        </is>
      </c>
      <c r="M2356" t="inlineStr">
        <is>
          <t>8:57:40</t>
        </is>
      </c>
    </row>
    <row r="2357" ht="15" customHeight="1" s="37">
      <c r="A2357" t="n">
        <v>20</v>
      </c>
      <c r="B2357" s="10" t="inlineStr">
        <is>
          <t>休日</t>
        </is>
      </c>
      <c r="C2357" s="10" t="inlineStr">
        <is>
          <t>北野線</t>
        </is>
      </c>
      <c r="D2357" s="10" t="inlineStr">
        <is>
          <t>上り</t>
        </is>
      </c>
      <c r="E2357" t="inlineStr">
        <is>
          <t>0862</t>
        </is>
      </c>
      <c r="F2357" t="inlineStr">
        <is>
          <t>0354</t>
        </is>
      </c>
      <c r="G2357" s="10" t="inlineStr">
        <is>
          <t>常盤</t>
        </is>
      </c>
      <c r="H2357" s="10" t="inlineStr">
        <is>
          <t>発</t>
        </is>
      </c>
      <c r="J2357" s="10" t="inlineStr">
        <is>
          <t>営業</t>
        </is>
      </c>
      <c r="L2357" t="inlineStr">
        <is>
          <t>8:59:00</t>
        </is>
      </c>
      <c r="M2357" t="inlineStr">
        <is>
          <t>8:59:20</t>
        </is>
      </c>
    </row>
    <row r="2358" ht="15" customHeight="1" s="37">
      <c r="A2358" t="n">
        <v>20</v>
      </c>
      <c r="B2358" s="10" t="inlineStr">
        <is>
          <t>休日</t>
        </is>
      </c>
      <c r="C2358" s="10" t="inlineStr">
        <is>
          <t>北野線</t>
        </is>
      </c>
      <c r="D2358" s="10" t="inlineStr">
        <is>
          <t>上り</t>
        </is>
      </c>
      <c r="E2358" t="inlineStr">
        <is>
          <t>0862</t>
        </is>
      </c>
      <c r="F2358" t="inlineStr">
        <is>
          <t>0354</t>
        </is>
      </c>
      <c r="G2358" s="10" t="inlineStr">
        <is>
          <t>鳴滝</t>
        </is>
      </c>
      <c r="H2358" s="10" t="inlineStr">
        <is>
          <t>発</t>
        </is>
      </c>
      <c r="J2358" s="10" t="inlineStr">
        <is>
          <t>営業</t>
        </is>
      </c>
      <c r="L2358" t="inlineStr">
        <is>
          <t>9:00:20</t>
        </is>
      </c>
      <c r="M2358" t="inlineStr">
        <is>
          <t>9:00:40</t>
        </is>
      </c>
    </row>
    <row r="2359" ht="15" customHeight="1" s="37">
      <c r="A2359" t="n">
        <v>20</v>
      </c>
      <c r="B2359" s="10" t="inlineStr">
        <is>
          <t>休日</t>
        </is>
      </c>
      <c r="C2359" s="10" t="inlineStr">
        <is>
          <t>北野線</t>
        </is>
      </c>
      <c r="D2359" s="10" t="inlineStr">
        <is>
          <t>上り</t>
        </is>
      </c>
      <c r="E2359" t="inlineStr">
        <is>
          <t>0862</t>
        </is>
      </c>
      <c r="F2359" t="inlineStr">
        <is>
          <t>0354</t>
        </is>
      </c>
      <c r="G2359" s="10" t="inlineStr">
        <is>
          <t>宇多野</t>
        </is>
      </c>
      <c r="H2359" s="10" t="inlineStr">
        <is>
          <t>発</t>
        </is>
      </c>
      <c r="J2359" s="10" t="inlineStr">
        <is>
          <t>営業</t>
        </is>
      </c>
      <c r="L2359" t="inlineStr">
        <is>
          <t>9:02:00</t>
        </is>
      </c>
      <c r="M2359" t="inlineStr">
        <is>
          <t>9:02:15</t>
        </is>
      </c>
    </row>
    <row r="2360" ht="15" customHeight="1" s="37">
      <c r="A2360" t="n">
        <v>20</v>
      </c>
      <c r="B2360" s="10" t="inlineStr">
        <is>
          <t>休日</t>
        </is>
      </c>
      <c r="C2360" s="10" t="inlineStr">
        <is>
          <t>北野線</t>
        </is>
      </c>
      <c r="D2360" s="10" t="inlineStr">
        <is>
          <t>上り</t>
        </is>
      </c>
      <c r="E2360" t="inlineStr">
        <is>
          <t>0862</t>
        </is>
      </c>
      <c r="F2360" t="inlineStr">
        <is>
          <t>0354</t>
        </is>
      </c>
      <c r="G2360" s="10" t="inlineStr">
        <is>
          <t>御室仁和寺</t>
        </is>
      </c>
      <c r="H2360" s="10" t="inlineStr">
        <is>
          <t>発</t>
        </is>
      </c>
      <c r="J2360" s="10" t="inlineStr">
        <is>
          <t>営業</t>
        </is>
      </c>
      <c r="L2360" t="inlineStr">
        <is>
          <t>9:03:15</t>
        </is>
      </c>
      <c r="M2360" t="inlineStr">
        <is>
          <t>9:03:35</t>
        </is>
      </c>
    </row>
    <row r="2361" ht="15" customHeight="1" s="37">
      <c r="A2361" t="n">
        <v>20</v>
      </c>
      <c r="B2361" s="10" t="inlineStr">
        <is>
          <t>休日</t>
        </is>
      </c>
      <c r="C2361" s="10" t="inlineStr">
        <is>
          <t>北野線</t>
        </is>
      </c>
      <c r="D2361" s="10" t="inlineStr">
        <is>
          <t>上り</t>
        </is>
      </c>
      <c r="E2361" t="inlineStr">
        <is>
          <t>0862</t>
        </is>
      </c>
      <c r="F2361" t="inlineStr">
        <is>
          <t>0354</t>
        </is>
      </c>
      <c r="G2361" s="10" t="inlineStr">
        <is>
          <t>妙心寺</t>
        </is>
      </c>
      <c r="H2361" s="10" t="inlineStr">
        <is>
          <t>発</t>
        </is>
      </c>
      <c r="J2361" s="10" t="inlineStr">
        <is>
          <t>営業</t>
        </is>
      </c>
      <c r="L2361" t="inlineStr">
        <is>
          <t>9:04:35</t>
        </is>
      </c>
      <c r="M2361" t="inlineStr">
        <is>
          <t>9:04:50</t>
        </is>
      </c>
    </row>
    <row r="2362" ht="15" customHeight="1" s="37">
      <c r="A2362" t="n">
        <v>20</v>
      </c>
      <c r="B2362" s="10" t="inlineStr">
        <is>
          <t>休日</t>
        </is>
      </c>
      <c r="C2362" s="10" t="inlineStr">
        <is>
          <t>北野線</t>
        </is>
      </c>
      <c r="D2362" s="10" t="inlineStr">
        <is>
          <t>上り</t>
        </is>
      </c>
      <c r="E2362" t="inlineStr">
        <is>
          <t>0862</t>
        </is>
      </c>
      <c r="F2362" t="inlineStr">
        <is>
          <t>0354</t>
        </is>
      </c>
      <c r="G2362" s="10" t="inlineStr">
        <is>
          <t>龍安寺</t>
        </is>
      </c>
      <c r="H2362" s="10" t="inlineStr">
        <is>
          <t>発</t>
        </is>
      </c>
      <c r="J2362" s="10" t="inlineStr">
        <is>
          <t>営業</t>
        </is>
      </c>
      <c r="L2362" t="inlineStr">
        <is>
          <t>9:05:45</t>
        </is>
      </c>
      <c r="M2362" t="inlineStr">
        <is>
          <t>9:05:55</t>
        </is>
      </c>
    </row>
    <row r="2363" ht="15" customHeight="1" s="37">
      <c r="A2363" t="n">
        <v>20</v>
      </c>
      <c r="B2363" s="10" t="inlineStr">
        <is>
          <t>休日</t>
        </is>
      </c>
      <c r="C2363" s="10" t="inlineStr">
        <is>
          <t>北野線</t>
        </is>
      </c>
      <c r="D2363" s="10" t="inlineStr">
        <is>
          <t>上り</t>
        </is>
      </c>
      <c r="E2363" t="inlineStr">
        <is>
          <t>0862</t>
        </is>
      </c>
      <c r="F2363" t="inlineStr">
        <is>
          <t>0354</t>
        </is>
      </c>
      <c r="G2363" s="10" t="inlineStr">
        <is>
          <t>等持院</t>
        </is>
      </c>
      <c r="H2363" s="10" t="inlineStr">
        <is>
          <t>発</t>
        </is>
      </c>
      <c r="J2363" s="10" t="inlineStr">
        <is>
          <t>営業</t>
        </is>
      </c>
      <c r="L2363" t="inlineStr">
        <is>
          <t>9:06:35</t>
        </is>
      </c>
      <c r="M2363" t="inlineStr">
        <is>
          <t>9:06:55</t>
        </is>
      </c>
    </row>
    <row r="2364" ht="15" customHeight="1" s="37">
      <c r="A2364" t="n">
        <v>20</v>
      </c>
      <c r="B2364" s="10" t="inlineStr">
        <is>
          <t>休日</t>
        </is>
      </c>
      <c r="C2364" s="10" t="inlineStr">
        <is>
          <t>北野線</t>
        </is>
      </c>
      <c r="D2364" s="10" t="inlineStr">
        <is>
          <t>上り</t>
        </is>
      </c>
      <c r="E2364" t="inlineStr">
        <is>
          <t>0862</t>
        </is>
      </c>
      <c r="F2364" t="inlineStr">
        <is>
          <t>0354</t>
        </is>
      </c>
      <c r="G2364" s="10" t="inlineStr">
        <is>
          <t>北野白梅町</t>
        </is>
      </c>
      <c r="H2364" s="10" t="inlineStr">
        <is>
          <t>着</t>
        </is>
      </c>
      <c r="J2364" s="10" t="inlineStr">
        <is>
          <t>営業</t>
        </is>
      </c>
      <c r="L2364" t="inlineStr">
        <is>
          <t>9:08:15</t>
        </is>
      </c>
      <c r="Q2364" t="inlineStr">
        <is>
          <t>1</t>
        </is>
      </c>
    </row>
    <row r="2365" ht="15" customHeight="1" s="37">
      <c r="A2365" t="n">
        <v>20</v>
      </c>
      <c r="B2365" s="10" t="inlineStr">
        <is>
          <t>休日</t>
        </is>
      </c>
      <c r="C2365" s="10" t="inlineStr">
        <is>
          <t>北野線</t>
        </is>
      </c>
      <c r="D2365" s="10" t="inlineStr">
        <is>
          <t>下り</t>
        </is>
      </c>
      <c r="E2365" t="inlineStr">
        <is>
          <t>0953</t>
        </is>
      </c>
      <c r="F2365" t="inlineStr">
        <is>
          <t>0453</t>
        </is>
      </c>
      <c r="G2365" s="10" t="inlineStr">
        <is>
          <t>北野白梅町</t>
        </is>
      </c>
      <c r="H2365" s="10" t="inlineStr">
        <is>
          <t>発</t>
        </is>
      </c>
      <c r="J2365" s="10" t="inlineStr">
        <is>
          <t>営業</t>
        </is>
      </c>
      <c r="M2365" t="inlineStr">
        <is>
          <t>9:13:00</t>
        </is>
      </c>
      <c r="Q2365" t="inlineStr">
        <is>
          <t>1</t>
        </is>
      </c>
    </row>
    <row r="2366" ht="15" customHeight="1" s="37">
      <c r="A2366" t="n">
        <v>20</v>
      </c>
      <c r="B2366" s="10" t="inlineStr">
        <is>
          <t>休日</t>
        </is>
      </c>
      <c r="C2366" s="10" t="inlineStr">
        <is>
          <t>北野線</t>
        </is>
      </c>
      <c r="D2366" s="10" t="inlineStr">
        <is>
          <t>下り</t>
        </is>
      </c>
      <c r="E2366" t="inlineStr">
        <is>
          <t>0953</t>
        </is>
      </c>
      <c r="F2366" t="inlineStr">
        <is>
          <t>0453</t>
        </is>
      </c>
      <c r="G2366" s="10" t="inlineStr">
        <is>
          <t>等持院</t>
        </is>
      </c>
      <c r="H2366" s="10" t="inlineStr">
        <is>
          <t>発</t>
        </is>
      </c>
      <c r="J2366" s="10" t="inlineStr">
        <is>
          <t>営業</t>
        </is>
      </c>
      <c r="L2366" t="inlineStr">
        <is>
          <t>9:14:25</t>
        </is>
      </c>
      <c r="M2366" t="inlineStr">
        <is>
          <t>9:14:35</t>
        </is>
      </c>
    </row>
    <row r="2367" ht="15" customHeight="1" s="37">
      <c r="A2367" t="n">
        <v>20</v>
      </c>
      <c r="B2367" s="10" t="inlineStr">
        <is>
          <t>休日</t>
        </is>
      </c>
      <c r="C2367" s="10" t="inlineStr">
        <is>
          <t>北野線</t>
        </is>
      </c>
      <c r="D2367" s="10" t="inlineStr">
        <is>
          <t>下り</t>
        </is>
      </c>
      <c r="E2367" t="inlineStr">
        <is>
          <t>0953</t>
        </is>
      </c>
      <c r="F2367" t="inlineStr">
        <is>
          <t>0453</t>
        </is>
      </c>
      <c r="G2367" s="10" t="inlineStr">
        <is>
          <t>龍安寺</t>
        </is>
      </c>
      <c r="H2367" s="10" t="inlineStr">
        <is>
          <t>発</t>
        </is>
      </c>
      <c r="J2367" s="10" t="inlineStr">
        <is>
          <t>営業</t>
        </is>
      </c>
      <c r="L2367" t="inlineStr">
        <is>
          <t>9:15:25</t>
        </is>
      </c>
      <c r="M2367" t="inlineStr">
        <is>
          <t>9:15:50</t>
        </is>
      </c>
    </row>
    <row r="2368" ht="15" customHeight="1" s="37">
      <c r="A2368" t="n">
        <v>20</v>
      </c>
      <c r="B2368" s="10" t="inlineStr">
        <is>
          <t>休日</t>
        </is>
      </c>
      <c r="C2368" s="10" t="inlineStr">
        <is>
          <t>北野線</t>
        </is>
      </c>
      <c r="D2368" s="10" t="inlineStr">
        <is>
          <t>下り</t>
        </is>
      </c>
      <c r="E2368" t="inlineStr">
        <is>
          <t>0953</t>
        </is>
      </c>
      <c r="F2368" t="inlineStr">
        <is>
          <t>0453</t>
        </is>
      </c>
      <c r="G2368" s="10" t="inlineStr">
        <is>
          <t>妙心寺</t>
        </is>
      </c>
      <c r="H2368" s="10" t="inlineStr">
        <is>
          <t>発</t>
        </is>
      </c>
      <c r="J2368" s="10" t="inlineStr">
        <is>
          <t>営業</t>
        </is>
      </c>
      <c r="L2368" t="inlineStr">
        <is>
          <t>9:16:40</t>
        </is>
      </c>
      <c r="M2368" t="inlineStr">
        <is>
          <t>9:16:50</t>
        </is>
      </c>
    </row>
    <row r="2369" ht="15" customHeight="1" s="37">
      <c r="A2369" t="n">
        <v>20</v>
      </c>
      <c r="B2369" s="10" t="inlineStr">
        <is>
          <t>休日</t>
        </is>
      </c>
      <c r="C2369" s="10" t="inlineStr">
        <is>
          <t>北野線</t>
        </is>
      </c>
      <c r="D2369" s="10" t="inlineStr">
        <is>
          <t>下り</t>
        </is>
      </c>
      <c r="E2369" t="inlineStr">
        <is>
          <t>0953</t>
        </is>
      </c>
      <c r="F2369" t="inlineStr">
        <is>
          <t>0453</t>
        </is>
      </c>
      <c r="G2369" s="10" t="inlineStr">
        <is>
          <t>御室仁和寺</t>
        </is>
      </c>
      <c r="H2369" s="10" t="inlineStr">
        <is>
          <t>発</t>
        </is>
      </c>
      <c r="J2369" s="10" t="inlineStr">
        <is>
          <t>営業</t>
        </is>
      </c>
      <c r="L2369" t="inlineStr">
        <is>
          <t>9:17:50</t>
        </is>
      </c>
      <c r="M2369" t="inlineStr">
        <is>
          <t>9:18:05</t>
        </is>
      </c>
    </row>
    <row r="2370" ht="15" customHeight="1" s="37">
      <c r="A2370" t="n">
        <v>20</v>
      </c>
      <c r="B2370" s="10" t="inlineStr">
        <is>
          <t>休日</t>
        </is>
      </c>
      <c r="C2370" s="10" t="inlineStr">
        <is>
          <t>北野線</t>
        </is>
      </c>
      <c r="D2370" s="10" t="inlineStr">
        <is>
          <t>下り</t>
        </is>
      </c>
      <c r="E2370" t="inlineStr">
        <is>
          <t>0953</t>
        </is>
      </c>
      <c r="F2370" t="inlineStr">
        <is>
          <t>0453</t>
        </is>
      </c>
      <c r="G2370" s="10" t="inlineStr">
        <is>
          <t>宇多野</t>
        </is>
      </c>
      <c r="H2370" s="10" t="inlineStr">
        <is>
          <t>発</t>
        </is>
      </c>
      <c r="J2370" s="10" t="inlineStr">
        <is>
          <t>営業</t>
        </is>
      </c>
      <c r="L2370" t="inlineStr">
        <is>
          <t>9:19:05</t>
        </is>
      </c>
      <c r="M2370" t="inlineStr">
        <is>
          <t>9:19:15</t>
        </is>
      </c>
    </row>
    <row r="2371" ht="15" customHeight="1" s="37">
      <c r="A2371" t="n">
        <v>20</v>
      </c>
      <c r="B2371" s="10" t="inlineStr">
        <is>
          <t>休日</t>
        </is>
      </c>
      <c r="C2371" s="10" t="inlineStr">
        <is>
          <t>北野線</t>
        </is>
      </c>
      <c r="D2371" s="10" t="inlineStr">
        <is>
          <t>下り</t>
        </is>
      </c>
      <c r="E2371" t="inlineStr">
        <is>
          <t>0953</t>
        </is>
      </c>
      <c r="F2371" t="inlineStr">
        <is>
          <t>0453</t>
        </is>
      </c>
      <c r="G2371" s="10" t="inlineStr">
        <is>
          <t>鳴滝</t>
        </is>
      </c>
      <c r="H2371" s="10" t="inlineStr">
        <is>
          <t>発</t>
        </is>
      </c>
      <c r="J2371" s="10" t="inlineStr">
        <is>
          <t>営業</t>
        </is>
      </c>
      <c r="L2371" t="inlineStr">
        <is>
          <t>9:20:35</t>
        </is>
      </c>
      <c r="M2371" t="inlineStr">
        <is>
          <t>9:20:45</t>
        </is>
      </c>
    </row>
    <row r="2372" ht="15" customHeight="1" s="37">
      <c r="A2372" t="n">
        <v>20</v>
      </c>
      <c r="B2372" s="10" t="inlineStr">
        <is>
          <t>休日</t>
        </is>
      </c>
      <c r="C2372" s="10" t="inlineStr">
        <is>
          <t>北野線</t>
        </is>
      </c>
      <c r="D2372" s="10" t="inlineStr">
        <is>
          <t>下り</t>
        </is>
      </c>
      <c r="E2372" t="inlineStr">
        <is>
          <t>0953</t>
        </is>
      </c>
      <c r="F2372" t="inlineStr">
        <is>
          <t>0453</t>
        </is>
      </c>
      <c r="G2372" s="10" t="inlineStr">
        <is>
          <t>常盤</t>
        </is>
      </c>
      <c r="H2372" s="10" t="inlineStr">
        <is>
          <t>発</t>
        </is>
      </c>
      <c r="J2372" s="10" t="inlineStr">
        <is>
          <t>営業</t>
        </is>
      </c>
      <c r="L2372" t="inlineStr">
        <is>
          <t>9:21:35</t>
        </is>
      </c>
      <c r="M2372" t="inlineStr">
        <is>
          <t>9:21:55</t>
        </is>
      </c>
    </row>
    <row r="2373" ht="15" customHeight="1" s="37">
      <c r="A2373" t="n">
        <v>20</v>
      </c>
      <c r="B2373" s="10" t="inlineStr">
        <is>
          <t>休日</t>
        </is>
      </c>
      <c r="C2373" s="10" t="inlineStr">
        <is>
          <t>北野線</t>
        </is>
      </c>
      <c r="D2373" s="10" t="inlineStr">
        <is>
          <t>下り</t>
        </is>
      </c>
      <c r="E2373" t="inlineStr">
        <is>
          <t>0953</t>
        </is>
      </c>
      <c r="F2373" t="inlineStr">
        <is>
          <t>0453</t>
        </is>
      </c>
      <c r="G2373" s="10" t="inlineStr">
        <is>
          <t>撮影所前</t>
        </is>
      </c>
      <c r="H2373" s="10" t="inlineStr">
        <is>
          <t>発</t>
        </is>
      </c>
      <c r="J2373" s="10" t="inlineStr">
        <is>
          <t>営業</t>
        </is>
      </c>
      <c r="L2373" t="inlineStr">
        <is>
          <t>9:23:15</t>
        </is>
      </c>
      <c r="M2373" t="inlineStr">
        <is>
          <t>9:23:30</t>
        </is>
      </c>
    </row>
    <row r="2374" ht="15" customHeight="1" s="37">
      <c r="A2374" t="n">
        <v>20</v>
      </c>
      <c r="B2374" s="10" t="inlineStr">
        <is>
          <t>休日</t>
        </is>
      </c>
      <c r="C2374" s="10" t="inlineStr">
        <is>
          <t>北野線</t>
        </is>
      </c>
      <c r="D2374" s="10" t="inlineStr">
        <is>
          <t>下り</t>
        </is>
      </c>
      <c r="E2374" t="inlineStr">
        <is>
          <t>0953</t>
        </is>
      </c>
      <c r="F2374" t="inlineStr">
        <is>
          <t>0453</t>
        </is>
      </c>
      <c r="G2374" s="10" t="inlineStr">
        <is>
          <t>帷子ノ辻</t>
        </is>
      </c>
      <c r="H2374" s="10" t="inlineStr">
        <is>
          <t>着</t>
        </is>
      </c>
      <c r="J2374" s="10" t="inlineStr">
        <is>
          <t>営業</t>
        </is>
      </c>
      <c r="L2374" t="inlineStr">
        <is>
          <t>9:24:25</t>
        </is>
      </c>
      <c r="Q2374" t="inlineStr">
        <is>
          <t>3</t>
        </is>
      </c>
    </row>
    <row r="2375" ht="15" customHeight="1" s="37">
      <c r="A2375" t="n">
        <v>20</v>
      </c>
      <c r="B2375" s="10" t="inlineStr">
        <is>
          <t>休日</t>
        </is>
      </c>
      <c r="C2375" s="10" t="inlineStr">
        <is>
          <t>北野線</t>
        </is>
      </c>
      <c r="D2375" s="10" t="inlineStr">
        <is>
          <t>上り</t>
        </is>
      </c>
      <c r="E2375" t="inlineStr">
        <is>
          <t>0958</t>
        </is>
      </c>
      <c r="F2375" t="inlineStr">
        <is>
          <t>0354</t>
        </is>
      </c>
      <c r="G2375" s="10" t="inlineStr">
        <is>
          <t>帷子ノ辻</t>
        </is>
      </c>
      <c r="H2375" s="10" t="inlineStr">
        <is>
          <t>発</t>
        </is>
      </c>
      <c r="J2375" s="10" t="inlineStr">
        <is>
          <t>営業</t>
        </is>
      </c>
      <c r="M2375" t="inlineStr">
        <is>
          <t>9:36:25</t>
        </is>
      </c>
      <c r="Q2375" t="inlineStr">
        <is>
          <t>3</t>
        </is>
      </c>
    </row>
    <row r="2376" ht="15" customHeight="1" s="37">
      <c r="A2376" t="n">
        <v>20</v>
      </c>
      <c r="B2376" s="10" t="inlineStr">
        <is>
          <t>休日</t>
        </is>
      </c>
      <c r="C2376" s="10" t="inlineStr">
        <is>
          <t>北野線</t>
        </is>
      </c>
      <c r="D2376" s="10" t="inlineStr">
        <is>
          <t>上り</t>
        </is>
      </c>
      <c r="E2376" t="inlineStr">
        <is>
          <t>0958</t>
        </is>
      </c>
      <c r="F2376" t="inlineStr">
        <is>
          <t>0354</t>
        </is>
      </c>
      <c r="G2376" s="10" t="inlineStr">
        <is>
          <t>撮影所前</t>
        </is>
      </c>
      <c r="H2376" s="10" t="inlineStr">
        <is>
          <t>発</t>
        </is>
      </c>
      <c r="J2376" s="10" t="inlineStr">
        <is>
          <t>営業</t>
        </is>
      </c>
      <c r="L2376" t="inlineStr">
        <is>
          <t>9:37:25</t>
        </is>
      </c>
      <c r="M2376" t="inlineStr">
        <is>
          <t>9:37:40</t>
        </is>
      </c>
    </row>
    <row r="2377" ht="15" customHeight="1" s="37">
      <c r="A2377" t="n">
        <v>20</v>
      </c>
      <c r="B2377" s="10" t="inlineStr">
        <is>
          <t>休日</t>
        </is>
      </c>
      <c r="C2377" s="10" t="inlineStr">
        <is>
          <t>北野線</t>
        </is>
      </c>
      <c r="D2377" s="10" t="inlineStr">
        <is>
          <t>上り</t>
        </is>
      </c>
      <c r="E2377" t="inlineStr">
        <is>
          <t>0958</t>
        </is>
      </c>
      <c r="F2377" t="inlineStr">
        <is>
          <t>0354</t>
        </is>
      </c>
      <c r="G2377" s="10" t="inlineStr">
        <is>
          <t>常盤</t>
        </is>
      </c>
      <c r="H2377" s="10" t="inlineStr">
        <is>
          <t>発</t>
        </is>
      </c>
      <c r="J2377" s="10" t="inlineStr">
        <is>
          <t>営業</t>
        </is>
      </c>
      <c r="L2377" t="inlineStr">
        <is>
          <t>9:39:00</t>
        </is>
      </c>
      <c r="M2377" t="inlineStr">
        <is>
          <t>9:39:20</t>
        </is>
      </c>
    </row>
    <row r="2378" ht="15" customHeight="1" s="37">
      <c r="A2378" t="n">
        <v>20</v>
      </c>
      <c r="B2378" s="10" t="inlineStr">
        <is>
          <t>休日</t>
        </is>
      </c>
      <c r="C2378" s="10" t="inlineStr">
        <is>
          <t>北野線</t>
        </is>
      </c>
      <c r="D2378" s="10" t="inlineStr">
        <is>
          <t>上り</t>
        </is>
      </c>
      <c r="E2378" t="inlineStr">
        <is>
          <t>0958</t>
        </is>
      </c>
      <c r="F2378" t="inlineStr">
        <is>
          <t>0354</t>
        </is>
      </c>
      <c r="G2378" s="10" t="inlineStr">
        <is>
          <t>鳴滝</t>
        </is>
      </c>
      <c r="H2378" s="10" t="inlineStr">
        <is>
          <t>発</t>
        </is>
      </c>
      <c r="J2378" s="10" t="inlineStr">
        <is>
          <t>営業</t>
        </is>
      </c>
      <c r="L2378" t="inlineStr">
        <is>
          <t>9:40:20</t>
        </is>
      </c>
      <c r="M2378" t="inlineStr">
        <is>
          <t>9:40:40</t>
        </is>
      </c>
    </row>
    <row r="2379" ht="15" customHeight="1" s="37">
      <c r="A2379" t="n">
        <v>20</v>
      </c>
      <c r="B2379" s="10" t="inlineStr">
        <is>
          <t>休日</t>
        </is>
      </c>
      <c r="C2379" s="10" t="inlineStr">
        <is>
          <t>北野線</t>
        </is>
      </c>
      <c r="D2379" s="10" t="inlineStr">
        <is>
          <t>上り</t>
        </is>
      </c>
      <c r="E2379" t="inlineStr">
        <is>
          <t>0958</t>
        </is>
      </c>
      <c r="F2379" t="inlineStr">
        <is>
          <t>0354</t>
        </is>
      </c>
      <c r="G2379" s="10" t="inlineStr">
        <is>
          <t>宇多野</t>
        </is>
      </c>
      <c r="H2379" s="10" t="inlineStr">
        <is>
          <t>発</t>
        </is>
      </c>
      <c r="J2379" s="10" t="inlineStr">
        <is>
          <t>営業</t>
        </is>
      </c>
      <c r="L2379" t="inlineStr">
        <is>
          <t>9:42:00</t>
        </is>
      </c>
      <c r="M2379" t="inlineStr">
        <is>
          <t>9:42:15</t>
        </is>
      </c>
    </row>
    <row r="2380" ht="15" customHeight="1" s="37">
      <c r="A2380" t="n">
        <v>20</v>
      </c>
      <c r="B2380" s="10" t="inlineStr">
        <is>
          <t>休日</t>
        </is>
      </c>
      <c r="C2380" s="10" t="inlineStr">
        <is>
          <t>北野線</t>
        </is>
      </c>
      <c r="D2380" s="10" t="inlineStr">
        <is>
          <t>上り</t>
        </is>
      </c>
      <c r="E2380" t="inlineStr">
        <is>
          <t>0958</t>
        </is>
      </c>
      <c r="F2380" t="inlineStr">
        <is>
          <t>0354</t>
        </is>
      </c>
      <c r="G2380" s="10" t="inlineStr">
        <is>
          <t>御室仁和寺</t>
        </is>
      </c>
      <c r="H2380" s="10" t="inlineStr">
        <is>
          <t>発</t>
        </is>
      </c>
      <c r="J2380" s="10" t="inlineStr">
        <is>
          <t>営業</t>
        </is>
      </c>
      <c r="L2380" t="inlineStr">
        <is>
          <t>9:43:15</t>
        </is>
      </c>
      <c r="M2380" t="inlineStr">
        <is>
          <t>9:43:35</t>
        </is>
      </c>
    </row>
    <row r="2381" ht="15" customHeight="1" s="37">
      <c r="A2381" t="n">
        <v>20</v>
      </c>
      <c r="B2381" s="10" t="inlineStr">
        <is>
          <t>休日</t>
        </is>
      </c>
      <c r="C2381" s="10" t="inlineStr">
        <is>
          <t>北野線</t>
        </is>
      </c>
      <c r="D2381" s="10" t="inlineStr">
        <is>
          <t>上り</t>
        </is>
      </c>
      <c r="E2381" t="inlineStr">
        <is>
          <t>0958</t>
        </is>
      </c>
      <c r="F2381" t="inlineStr">
        <is>
          <t>0354</t>
        </is>
      </c>
      <c r="G2381" s="10" t="inlineStr">
        <is>
          <t>妙心寺</t>
        </is>
      </c>
      <c r="H2381" s="10" t="inlineStr">
        <is>
          <t>発</t>
        </is>
      </c>
      <c r="J2381" s="10" t="inlineStr">
        <is>
          <t>営業</t>
        </is>
      </c>
      <c r="L2381" t="inlineStr">
        <is>
          <t>9:44:35</t>
        </is>
      </c>
      <c r="M2381" t="inlineStr">
        <is>
          <t>9:44:50</t>
        </is>
      </c>
    </row>
    <row r="2382" ht="15" customHeight="1" s="37">
      <c r="A2382" t="n">
        <v>20</v>
      </c>
      <c r="B2382" s="10" t="inlineStr">
        <is>
          <t>休日</t>
        </is>
      </c>
      <c r="C2382" s="10" t="inlineStr">
        <is>
          <t>北野線</t>
        </is>
      </c>
      <c r="D2382" s="10" t="inlineStr">
        <is>
          <t>上り</t>
        </is>
      </c>
      <c r="E2382" t="inlineStr">
        <is>
          <t>0958</t>
        </is>
      </c>
      <c r="F2382" t="inlineStr">
        <is>
          <t>0354</t>
        </is>
      </c>
      <c r="G2382" s="10" t="inlineStr">
        <is>
          <t>龍安寺</t>
        </is>
      </c>
      <c r="H2382" s="10" t="inlineStr">
        <is>
          <t>発</t>
        </is>
      </c>
      <c r="J2382" s="10" t="inlineStr">
        <is>
          <t>営業</t>
        </is>
      </c>
      <c r="L2382" t="inlineStr">
        <is>
          <t>9:45:45</t>
        </is>
      </c>
      <c r="M2382" t="inlineStr">
        <is>
          <t>9:45:55</t>
        </is>
      </c>
    </row>
    <row r="2383" ht="15" customHeight="1" s="37">
      <c r="A2383" t="n">
        <v>20</v>
      </c>
      <c r="B2383" s="10" t="inlineStr">
        <is>
          <t>休日</t>
        </is>
      </c>
      <c r="C2383" s="10" t="inlineStr">
        <is>
          <t>北野線</t>
        </is>
      </c>
      <c r="D2383" s="10" t="inlineStr">
        <is>
          <t>上り</t>
        </is>
      </c>
      <c r="E2383" t="inlineStr">
        <is>
          <t>0958</t>
        </is>
      </c>
      <c r="F2383" t="inlineStr">
        <is>
          <t>0354</t>
        </is>
      </c>
      <c r="G2383" s="10" t="inlineStr">
        <is>
          <t>等持院</t>
        </is>
      </c>
      <c r="H2383" s="10" t="inlineStr">
        <is>
          <t>発</t>
        </is>
      </c>
      <c r="J2383" s="10" t="inlineStr">
        <is>
          <t>営業</t>
        </is>
      </c>
      <c r="L2383" t="inlineStr">
        <is>
          <t>9:46:35</t>
        </is>
      </c>
      <c r="M2383" t="inlineStr">
        <is>
          <t>9:46:55</t>
        </is>
      </c>
    </row>
    <row r="2384" ht="15" customHeight="1" s="37">
      <c r="A2384" t="n">
        <v>20</v>
      </c>
      <c r="B2384" s="10" t="inlineStr">
        <is>
          <t>休日</t>
        </is>
      </c>
      <c r="C2384" s="10" t="inlineStr">
        <is>
          <t>北野線</t>
        </is>
      </c>
      <c r="D2384" s="10" t="inlineStr">
        <is>
          <t>上り</t>
        </is>
      </c>
      <c r="E2384" t="inlineStr">
        <is>
          <t>0958</t>
        </is>
      </c>
      <c r="F2384" t="inlineStr">
        <is>
          <t>0354</t>
        </is>
      </c>
      <c r="G2384" s="10" t="inlineStr">
        <is>
          <t>北野白梅町</t>
        </is>
      </c>
      <c r="H2384" s="10" t="inlineStr">
        <is>
          <t>着</t>
        </is>
      </c>
      <c r="J2384" s="10" t="inlineStr">
        <is>
          <t>営業</t>
        </is>
      </c>
      <c r="L2384" t="inlineStr">
        <is>
          <t>9:48:15</t>
        </is>
      </c>
      <c r="Q2384" t="inlineStr">
        <is>
          <t>1</t>
        </is>
      </c>
    </row>
    <row r="2385" ht="15" customHeight="1" s="37">
      <c r="A2385" t="n">
        <v>20</v>
      </c>
      <c r="B2385" s="10" t="inlineStr">
        <is>
          <t>休日</t>
        </is>
      </c>
      <c r="C2385" s="10" t="inlineStr">
        <is>
          <t>北野線</t>
        </is>
      </c>
      <c r="D2385" s="10" t="inlineStr">
        <is>
          <t>下り</t>
        </is>
      </c>
      <c r="E2385" t="inlineStr">
        <is>
          <t>0961</t>
        </is>
      </c>
      <c r="F2385" t="inlineStr">
        <is>
          <t>0453</t>
        </is>
      </c>
      <c r="G2385" s="10" t="inlineStr">
        <is>
          <t>北野白梅町</t>
        </is>
      </c>
      <c r="H2385" s="10" t="inlineStr">
        <is>
          <t>発</t>
        </is>
      </c>
      <c r="J2385" s="10" t="inlineStr">
        <is>
          <t>営業</t>
        </is>
      </c>
      <c r="M2385" t="inlineStr">
        <is>
          <t>9:53:00</t>
        </is>
      </c>
      <c r="Q2385" t="inlineStr">
        <is>
          <t>1</t>
        </is>
      </c>
    </row>
    <row r="2386" ht="15" customHeight="1" s="37">
      <c r="A2386" t="n">
        <v>20</v>
      </c>
      <c r="B2386" s="10" t="inlineStr">
        <is>
          <t>休日</t>
        </is>
      </c>
      <c r="C2386" s="10" t="inlineStr">
        <is>
          <t>北野線</t>
        </is>
      </c>
      <c r="D2386" s="10" t="inlineStr">
        <is>
          <t>下り</t>
        </is>
      </c>
      <c r="E2386" t="inlineStr">
        <is>
          <t>0961</t>
        </is>
      </c>
      <c r="F2386" t="inlineStr">
        <is>
          <t>0453</t>
        </is>
      </c>
      <c r="G2386" s="10" t="inlineStr">
        <is>
          <t>等持院</t>
        </is>
      </c>
      <c r="H2386" s="10" t="inlineStr">
        <is>
          <t>発</t>
        </is>
      </c>
      <c r="J2386" s="10" t="inlineStr">
        <is>
          <t>営業</t>
        </is>
      </c>
      <c r="L2386" t="inlineStr">
        <is>
          <t>9:54:25</t>
        </is>
      </c>
      <c r="M2386" t="inlineStr">
        <is>
          <t>9:54:35</t>
        </is>
      </c>
    </row>
    <row r="2387" ht="15" customHeight="1" s="37">
      <c r="A2387" t="n">
        <v>20</v>
      </c>
      <c r="B2387" s="10" t="inlineStr">
        <is>
          <t>休日</t>
        </is>
      </c>
      <c r="C2387" s="10" t="inlineStr">
        <is>
          <t>北野線</t>
        </is>
      </c>
      <c r="D2387" s="10" t="inlineStr">
        <is>
          <t>下り</t>
        </is>
      </c>
      <c r="E2387" t="inlineStr">
        <is>
          <t>0961</t>
        </is>
      </c>
      <c r="F2387" t="inlineStr">
        <is>
          <t>0453</t>
        </is>
      </c>
      <c r="G2387" s="10" t="inlineStr">
        <is>
          <t>龍安寺</t>
        </is>
      </c>
      <c r="H2387" s="10" t="inlineStr">
        <is>
          <t>発</t>
        </is>
      </c>
      <c r="J2387" s="10" t="inlineStr">
        <is>
          <t>営業</t>
        </is>
      </c>
      <c r="L2387" t="inlineStr">
        <is>
          <t>9:55:25</t>
        </is>
      </c>
      <c r="M2387" t="inlineStr">
        <is>
          <t>9:55:50</t>
        </is>
      </c>
    </row>
    <row r="2388" ht="15" customHeight="1" s="37">
      <c r="A2388" t="n">
        <v>20</v>
      </c>
      <c r="B2388" s="10" t="inlineStr">
        <is>
          <t>休日</t>
        </is>
      </c>
      <c r="C2388" s="10" t="inlineStr">
        <is>
          <t>北野線</t>
        </is>
      </c>
      <c r="D2388" s="10" t="inlineStr">
        <is>
          <t>下り</t>
        </is>
      </c>
      <c r="E2388" t="inlineStr">
        <is>
          <t>0961</t>
        </is>
      </c>
      <c r="F2388" t="inlineStr">
        <is>
          <t>0453</t>
        </is>
      </c>
      <c r="G2388" s="10" t="inlineStr">
        <is>
          <t>妙心寺</t>
        </is>
      </c>
      <c r="H2388" s="10" t="inlineStr">
        <is>
          <t>発</t>
        </is>
      </c>
      <c r="J2388" s="10" t="inlineStr">
        <is>
          <t>営業</t>
        </is>
      </c>
      <c r="L2388" t="inlineStr">
        <is>
          <t>9:56:40</t>
        </is>
      </c>
      <c r="M2388" t="inlineStr">
        <is>
          <t>9:56:50</t>
        </is>
      </c>
    </row>
    <row r="2389" ht="15" customHeight="1" s="37">
      <c r="A2389" t="n">
        <v>20</v>
      </c>
      <c r="B2389" s="10" t="inlineStr">
        <is>
          <t>休日</t>
        </is>
      </c>
      <c r="C2389" s="10" t="inlineStr">
        <is>
          <t>北野線</t>
        </is>
      </c>
      <c r="D2389" s="10" t="inlineStr">
        <is>
          <t>下り</t>
        </is>
      </c>
      <c r="E2389" t="inlineStr">
        <is>
          <t>0961</t>
        </is>
      </c>
      <c r="F2389" t="inlineStr">
        <is>
          <t>0453</t>
        </is>
      </c>
      <c r="G2389" s="10" t="inlineStr">
        <is>
          <t>御室仁和寺</t>
        </is>
      </c>
      <c r="H2389" s="10" t="inlineStr">
        <is>
          <t>発</t>
        </is>
      </c>
      <c r="J2389" s="10" t="inlineStr">
        <is>
          <t>営業</t>
        </is>
      </c>
      <c r="L2389" t="inlineStr">
        <is>
          <t>9:57:50</t>
        </is>
      </c>
      <c r="M2389" t="inlineStr">
        <is>
          <t>9:58:05</t>
        </is>
      </c>
    </row>
    <row r="2390" ht="15" customHeight="1" s="37">
      <c r="A2390" t="n">
        <v>20</v>
      </c>
      <c r="B2390" s="10" t="inlineStr">
        <is>
          <t>休日</t>
        </is>
      </c>
      <c r="C2390" s="10" t="inlineStr">
        <is>
          <t>北野線</t>
        </is>
      </c>
      <c r="D2390" s="10" t="inlineStr">
        <is>
          <t>下り</t>
        </is>
      </c>
      <c r="E2390" t="inlineStr">
        <is>
          <t>0961</t>
        </is>
      </c>
      <c r="F2390" t="inlineStr">
        <is>
          <t>0453</t>
        </is>
      </c>
      <c r="G2390" s="10" t="inlineStr">
        <is>
          <t>宇多野</t>
        </is>
      </c>
      <c r="H2390" s="10" t="inlineStr">
        <is>
          <t>発</t>
        </is>
      </c>
      <c r="J2390" s="10" t="inlineStr">
        <is>
          <t>営業</t>
        </is>
      </c>
      <c r="L2390" t="inlineStr">
        <is>
          <t>9:59:05</t>
        </is>
      </c>
      <c r="M2390" t="inlineStr">
        <is>
          <t>9:59:15</t>
        </is>
      </c>
    </row>
    <row r="2391" ht="15" customHeight="1" s="37">
      <c r="A2391" t="n">
        <v>20</v>
      </c>
      <c r="B2391" s="10" t="inlineStr">
        <is>
          <t>休日</t>
        </is>
      </c>
      <c r="C2391" s="10" t="inlineStr">
        <is>
          <t>北野線</t>
        </is>
      </c>
      <c r="D2391" s="10" t="inlineStr">
        <is>
          <t>下り</t>
        </is>
      </c>
      <c r="E2391" t="inlineStr">
        <is>
          <t>0961</t>
        </is>
      </c>
      <c r="F2391" t="inlineStr">
        <is>
          <t>0453</t>
        </is>
      </c>
      <c r="G2391" s="10" t="inlineStr">
        <is>
          <t>鳴滝</t>
        </is>
      </c>
      <c r="H2391" s="10" t="inlineStr">
        <is>
          <t>発</t>
        </is>
      </c>
      <c r="J2391" s="10" t="inlineStr">
        <is>
          <t>営業</t>
        </is>
      </c>
      <c r="L2391" t="inlineStr">
        <is>
          <t>10:00:35</t>
        </is>
      </c>
      <c r="M2391" t="inlineStr">
        <is>
          <t>10:00:45</t>
        </is>
      </c>
    </row>
    <row r="2392" ht="15" customHeight="1" s="37">
      <c r="A2392" t="n">
        <v>20</v>
      </c>
      <c r="B2392" s="10" t="inlineStr">
        <is>
          <t>休日</t>
        </is>
      </c>
      <c r="C2392" s="10" t="inlineStr">
        <is>
          <t>北野線</t>
        </is>
      </c>
      <c r="D2392" s="10" t="inlineStr">
        <is>
          <t>下り</t>
        </is>
      </c>
      <c r="E2392" t="inlineStr">
        <is>
          <t>0961</t>
        </is>
      </c>
      <c r="F2392" t="inlineStr">
        <is>
          <t>0453</t>
        </is>
      </c>
      <c r="G2392" s="10" t="inlineStr">
        <is>
          <t>常盤</t>
        </is>
      </c>
      <c r="H2392" s="10" t="inlineStr">
        <is>
          <t>発</t>
        </is>
      </c>
      <c r="J2392" s="10" t="inlineStr">
        <is>
          <t>営業</t>
        </is>
      </c>
      <c r="L2392" t="inlineStr">
        <is>
          <t>10:01:35</t>
        </is>
      </c>
      <c r="M2392" t="inlineStr">
        <is>
          <t>10:01:55</t>
        </is>
      </c>
    </row>
    <row r="2393" ht="15" customHeight="1" s="37">
      <c r="A2393" t="n">
        <v>20</v>
      </c>
      <c r="B2393" s="10" t="inlineStr">
        <is>
          <t>休日</t>
        </is>
      </c>
      <c r="C2393" s="10" t="inlineStr">
        <is>
          <t>北野線</t>
        </is>
      </c>
      <c r="D2393" s="10" t="inlineStr">
        <is>
          <t>下り</t>
        </is>
      </c>
      <c r="E2393" t="inlineStr">
        <is>
          <t>0961</t>
        </is>
      </c>
      <c r="F2393" t="inlineStr">
        <is>
          <t>0453</t>
        </is>
      </c>
      <c r="G2393" s="10" t="inlineStr">
        <is>
          <t>撮影所前</t>
        </is>
      </c>
      <c r="H2393" s="10" t="inlineStr">
        <is>
          <t>発</t>
        </is>
      </c>
      <c r="J2393" s="10" t="inlineStr">
        <is>
          <t>営業</t>
        </is>
      </c>
      <c r="L2393" t="inlineStr">
        <is>
          <t>10:03:15</t>
        </is>
      </c>
      <c r="M2393" t="inlineStr">
        <is>
          <t>10:03:30</t>
        </is>
      </c>
    </row>
    <row r="2394" ht="15" customHeight="1" s="37">
      <c r="A2394" t="n">
        <v>20</v>
      </c>
      <c r="B2394" s="10" t="inlineStr">
        <is>
          <t>休日</t>
        </is>
      </c>
      <c r="C2394" s="10" t="inlineStr">
        <is>
          <t>北野線</t>
        </is>
      </c>
      <c r="D2394" s="10" t="inlineStr">
        <is>
          <t>下り</t>
        </is>
      </c>
      <c r="E2394" t="inlineStr">
        <is>
          <t>0961</t>
        </is>
      </c>
      <c r="F2394" t="inlineStr">
        <is>
          <t>0453</t>
        </is>
      </c>
      <c r="G2394" s="10" t="inlineStr">
        <is>
          <t>帷子ノ辻</t>
        </is>
      </c>
      <c r="H2394" s="10" t="inlineStr">
        <is>
          <t>着</t>
        </is>
      </c>
      <c r="J2394" s="10" t="inlineStr">
        <is>
          <t>営業</t>
        </is>
      </c>
      <c r="L2394" t="inlineStr">
        <is>
          <t>10:04:25</t>
        </is>
      </c>
      <c r="Q2394" t="inlineStr">
        <is>
          <t>3</t>
        </is>
      </c>
    </row>
    <row r="2395" ht="15" customHeight="1" s="37">
      <c r="A2395" t="n">
        <v>20</v>
      </c>
      <c r="B2395" s="10" t="inlineStr">
        <is>
          <t>休日</t>
        </is>
      </c>
      <c r="C2395" s="10" t="inlineStr">
        <is>
          <t>北野線</t>
        </is>
      </c>
      <c r="D2395" s="10" t="inlineStr">
        <is>
          <t>上り</t>
        </is>
      </c>
      <c r="E2395" t="inlineStr">
        <is>
          <t>1054</t>
        </is>
      </c>
      <c r="F2395" t="inlineStr">
        <is>
          <t>0354</t>
        </is>
      </c>
      <c r="G2395" s="10" t="inlineStr">
        <is>
          <t>帷子ノ辻</t>
        </is>
      </c>
      <c r="H2395" s="10" t="inlineStr">
        <is>
          <t>発</t>
        </is>
      </c>
      <c r="J2395" s="10" t="inlineStr">
        <is>
          <t>営業</t>
        </is>
      </c>
      <c r="M2395" t="inlineStr">
        <is>
          <t>10:16:25</t>
        </is>
      </c>
      <c r="Q2395" t="inlineStr">
        <is>
          <t>3</t>
        </is>
      </c>
    </row>
    <row r="2396" ht="15" customHeight="1" s="37">
      <c r="A2396" t="n">
        <v>20</v>
      </c>
      <c r="B2396" s="10" t="inlineStr">
        <is>
          <t>休日</t>
        </is>
      </c>
      <c r="C2396" s="10" t="inlineStr">
        <is>
          <t>北野線</t>
        </is>
      </c>
      <c r="D2396" s="10" t="inlineStr">
        <is>
          <t>上り</t>
        </is>
      </c>
      <c r="E2396" t="inlineStr">
        <is>
          <t>1054</t>
        </is>
      </c>
      <c r="F2396" t="inlineStr">
        <is>
          <t>0354</t>
        </is>
      </c>
      <c r="G2396" s="10" t="inlineStr">
        <is>
          <t>撮影所前</t>
        </is>
      </c>
      <c r="H2396" s="10" t="inlineStr">
        <is>
          <t>発</t>
        </is>
      </c>
      <c r="J2396" s="10" t="inlineStr">
        <is>
          <t>営業</t>
        </is>
      </c>
      <c r="L2396" t="inlineStr">
        <is>
          <t>10:17:25</t>
        </is>
      </c>
      <c r="M2396" t="inlineStr">
        <is>
          <t>10:17:40</t>
        </is>
      </c>
    </row>
    <row r="2397" ht="15" customHeight="1" s="37">
      <c r="A2397" t="n">
        <v>20</v>
      </c>
      <c r="B2397" s="10" t="inlineStr">
        <is>
          <t>休日</t>
        </is>
      </c>
      <c r="C2397" s="10" t="inlineStr">
        <is>
          <t>北野線</t>
        </is>
      </c>
      <c r="D2397" s="10" t="inlineStr">
        <is>
          <t>上り</t>
        </is>
      </c>
      <c r="E2397" t="inlineStr">
        <is>
          <t>1054</t>
        </is>
      </c>
      <c r="F2397" t="inlineStr">
        <is>
          <t>0354</t>
        </is>
      </c>
      <c r="G2397" s="10" t="inlineStr">
        <is>
          <t>常盤</t>
        </is>
      </c>
      <c r="H2397" s="10" t="inlineStr">
        <is>
          <t>発</t>
        </is>
      </c>
      <c r="J2397" s="10" t="inlineStr">
        <is>
          <t>営業</t>
        </is>
      </c>
      <c r="L2397" t="inlineStr">
        <is>
          <t>10:19:00</t>
        </is>
      </c>
      <c r="M2397" t="inlineStr">
        <is>
          <t>10:19:20</t>
        </is>
      </c>
    </row>
    <row r="2398" ht="15" customHeight="1" s="37">
      <c r="A2398" t="n">
        <v>20</v>
      </c>
      <c r="B2398" s="10" t="inlineStr">
        <is>
          <t>休日</t>
        </is>
      </c>
      <c r="C2398" s="10" t="inlineStr">
        <is>
          <t>北野線</t>
        </is>
      </c>
      <c r="D2398" s="10" t="inlineStr">
        <is>
          <t>上り</t>
        </is>
      </c>
      <c r="E2398" t="inlineStr">
        <is>
          <t>1054</t>
        </is>
      </c>
      <c r="F2398" t="inlineStr">
        <is>
          <t>0354</t>
        </is>
      </c>
      <c r="G2398" s="10" t="inlineStr">
        <is>
          <t>鳴滝</t>
        </is>
      </c>
      <c r="H2398" s="10" t="inlineStr">
        <is>
          <t>発</t>
        </is>
      </c>
      <c r="J2398" s="10" t="inlineStr">
        <is>
          <t>営業</t>
        </is>
      </c>
      <c r="L2398" t="inlineStr">
        <is>
          <t>10:20:20</t>
        </is>
      </c>
      <c r="M2398" t="inlineStr">
        <is>
          <t>10:20:40</t>
        </is>
      </c>
    </row>
    <row r="2399" ht="15" customHeight="1" s="37">
      <c r="A2399" t="n">
        <v>20</v>
      </c>
      <c r="B2399" s="10" t="inlineStr">
        <is>
          <t>休日</t>
        </is>
      </c>
      <c r="C2399" s="10" t="inlineStr">
        <is>
          <t>北野線</t>
        </is>
      </c>
      <c r="D2399" s="10" t="inlineStr">
        <is>
          <t>上り</t>
        </is>
      </c>
      <c r="E2399" t="inlineStr">
        <is>
          <t>1054</t>
        </is>
      </c>
      <c r="F2399" t="inlineStr">
        <is>
          <t>0354</t>
        </is>
      </c>
      <c r="G2399" s="10" t="inlineStr">
        <is>
          <t>宇多野</t>
        </is>
      </c>
      <c r="H2399" s="10" t="inlineStr">
        <is>
          <t>発</t>
        </is>
      </c>
      <c r="J2399" s="10" t="inlineStr">
        <is>
          <t>営業</t>
        </is>
      </c>
      <c r="L2399" t="inlineStr">
        <is>
          <t>10:22:00</t>
        </is>
      </c>
      <c r="M2399" t="inlineStr">
        <is>
          <t>10:22:15</t>
        </is>
      </c>
    </row>
    <row r="2400" ht="15" customHeight="1" s="37">
      <c r="A2400" t="n">
        <v>20</v>
      </c>
      <c r="B2400" s="10" t="inlineStr">
        <is>
          <t>休日</t>
        </is>
      </c>
      <c r="C2400" s="10" t="inlineStr">
        <is>
          <t>北野線</t>
        </is>
      </c>
      <c r="D2400" s="10" t="inlineStr">
        <is>
          <t>上り</t>
        </is>
      </c>
      <c r="E2400" t="inlineStr">
        <is>
          <t>1054</t>
        </is>
      </c>
      <c r="F2400" t="inlineStr">
        <is>
          <t>0354</t>
        </is>
      </c>
      <c r="G2400" s="10" t="inlineStr">
        <is>
          <t>御室仁和寺</t>
        </is>
      </c>
      <c r="H2400" s="10" t="inlineStr">
        <is>
          <t>発</t>
        </is>
      </c>
      <c r="J2400" s="10" t="inlineStr">
        <is>
          <t>営業</t>
        </is>
      </c>
      <c r="L2400" t="inlineStr">
        <is>
          <t>10:23:15</t>
        </is>
      </c>
      <c r="M2400" t="inlineStr">
        <is>
          <t>10:23:35</t>
        </is>
      </c>
    </row>
    <row r="2401" ht="15" customHeight="1" s="37">
      <c r="A2401" t="n">
        <v>20</v>
      </c>
      <c r="B2401" s="10" t="inlineStr">
        <is>
          <t>休日</t>
        </is>
      </c>
      <c r="C2401" s="10" t="inlineStr">
        <is>
          <t>北野線</t>
        </is>
      </c>
      <c r="D2401" s="10" t="inlineStr">
        <is>
          <t>上り</t>
        </is>
      </c>
      <c r="E2401" t="inlineStr">
        <is>
          <t>1054</t>
        </is>
      </c>
      <c r="F2401" t="inlineStr">
        <is>
          <t>0354</t>
        </is>
      </c>
      <c r="G2401" s="10" t="inlineStr">
        <is>
          <t>妙心寺</t>
        </is>
      </c>
      <c r="H2401" s="10" t="inlineStr">
        <is>
          <t>発</t>
        </is>
      </c>
      <c r="J2401" s="10" t="inlineStr">
        <is>
          <t>営業</t>
        </is>
      </c>
      <c r="L2401" t="inlineStr">
        <is>
          <t>10:24:35</t>
        </is>
      </c>
      <c r="M2401" t="inlineStr">
        <is>
          <t>10:24:50</t>
        </is>
      </c>
    </row>
    <row r="2402" ht="15" customHeight="1" s="37">
      <c r="A2402" t="n">
        <v>20</v>
      </c>
      <c r="B2402" s="10" t="inlineStr">
        <is>
          <t>休日</t>
        </is>
      </c>
      <c r="C2402" s="10" t="inlineStr">
        <is>
          <t>北野線</t>
        </is>
      </c>
      <c r="D2402" s="10" t="inlineStr">
        <is>
          <t>上り</t>
        </is>
      </c>
      <c r="E2402" t="inlineStr">
        <is>
          <t>1054</t>
        </is>
      </c>
      <c r="F2402" t="inlineStr">
        <is>
          <t>0354</t>
        </is>
      </c>
      <c r="G2402" s="10" t="inlineStr">
        <is>
          <t>龍安寺</t>
        </is>
      </c>
      <c r="H2402" s="10" t="inlineStr">
        <is>
          <t>発</t>
        </is>
      </c>
      <c r="J2402" s="10" t="inlineStr">
        <is>
          <t>営業</t>
        </is>
      </c>
      <c r="L2402" t="inlineStr">
        <is>
          <t>10:25:45</t>
        </is>
      </c>
      <c r="M2402" t="inlineStr">
        <is>
          <t>10:25:55</t>
        </is>
      </c>
    </row>
    <row r="2403" ht="15" customHeight="1" s="37">
      <c r="A2403" t="n">
        <v>20</v>
      </c>
      <c r="B2403" s="10" t="inlineStr">
        <is>
          <t>休日</t>
        </is>
      </c>
      <c r="C2403" s="10" t="inlineStr">
        <is>
          <t>北野線</t>
        </is>
      </c>
      <c r="D2403" s="10" t="inlineStr">
        <is>
          <t>上り</t>
        </is>
      </c>
      <c r="E2403" t="inlineStr">
        <is>
          <t>1054</t>
        </is>
      </c>
      <c r="F2403" t="inlineStr">
        <is>
          <t>0354</t>
        </is>
      </c>
      <c r="G2403" s="10" t="inlineStr">
        <is>
          <t>等持院</t>
        </is>
      </c>
      <c r="H2403" s="10" t="inlineStr">
        <is>
          <t>発</t>
        </is>
      </c>
      <c r="J2403" s="10" t="inlineStr">
        <is>
          <t>営業</t>
        </is>
      </c>
      <c r="L2403" t="inlineStr">
        <is>
          <t>10:26:35</t>
        </is>
      </c>
      <c r="M2403" t="inlineStr">
        <is>
          <t>10:26:55</t>
        </is>
      </c>
    </row>
    <row r="2404" ht="15" customHeight="1" s="37">
      <c r="A2404" t="n">
        <v>20</v>
      </c>
      <c r="B2404" s="10" t="inlineStr">
        <is>
          <t>休日</t>
        </is>
      </c>
      <c r="C2404" s="10" t="inlineStr">
        <is>
          <t>北野線</t>
        </is>
      </c>
      <c r="D2404" s="10" t="inlineStr">
        <is>
          <t>上り</t>
        </is>
      </c>
      <c r="E2404" t="inlineStr">
        <is>
          <t>1054</t>
        </is>
      </c>
      <c r="F2404" t="inlineStr">
        <is>
          <t>0354</t>
        </is>
      </c>
      <c r="G2404" s="10" t="inlineStr">
        <is>
          <t>北野白梅町</t>
        </is>
      </c>
      <c r="H2404" s="10" t="inlineStr">
        <is>
          <t>着</t>
        </is>
      </c>
      <c r="J2404" s="10" t="inlineStr">
        <is>
          <t>営業</t>
        </is>
      </c>
      <c r="L2404" t="inlineStr">
        <is>
          <t>10:28:15</t>
        </is>
      </c>
      <c r="Q2404" t="inlineStr">
        <is>
          <t>1</t>
        </is>
      </c>
    </row>
    <row r="2405" ht="15" customHeight="1" s="37">
      <c r="A2405" t="n">
        <v>20</v>
      </c>
      <c r="B2405" s="10" t="inlineStr">
        <is>
          <t>休日</t>
        </is>
      </c>
      <c r="C2405" s="10" t="inlineStr">
        <is>
          <t>北野線</t>
        </is>
      </c>
      <c r="D2405" s="10" t="inlineStr">
        <is>
          <t>下り</t>
        </is>
      </c>
      <c r="E2405" t="inlineStr">
        <is>
          <t>1057</t>
        </is>
      </c>
      <c r="F2405" t="inlineStr">
        <is>
          <t>0453</t>
        </is>
      </c>
      <c r="G2405" s="10" t="inlineStr">
        <is>
          <t>北野白梅町</t>
        </is>
      </c>
      <c r="H2405" s="10" t="inlineStr">
        <is>
          <t>発</t>
        </is>
      </c>
      <c r="J2405" s="10" t="inlineStr">
        <is>
          <t>営業</t>
        </is>
      </c>
      <c r="M2405" t="inlineStr">
        <is>
          <t>10:33:00</t>
        </is>
      </c>
      <c r="Q2405" t="inlineStr">
        <is>
          <t>1</t>
        </is>
      </c>
    </row>
    <row r="2406" ht="15" customHeight="1" s="37">
      <c r="A2406" t="n">
        <v>20</v>
      </c>
      <c r="B2406" s="10" t="inlineStr">
        <is>
          <t>休日</t>
        </is>
      </c>
      <c r="C2406" s="10" t="inlineStr">
        <is>
          <t>北野線</t>
        </is>
      </c>
      <c r="D2406" s="10" t="inlineStr">
        <is>
          <t>下り</t>
        </is>
      </c>
      <c r="E2406" t="inlineStr">
        <is>
          <t>1057</t>
        </is>
      </c>
      <c r="F2406" t="inlineStr">
        <is>
          <t>0453</t>
        </is>
      </c>
      <c r="G2406" s="10" t="inlineStr">
        <is>
          <t>等持院</t>
        </is>
      </c>
      <c r="H2406" s="10" t="inlineStr">
        <is>
          <t>発</t>
        </is>
      </c>
      <c r="J2406" s="10" t="inlineStr">
        <is>
          <t>営業</t>
        </is>
      </c>
      <c r="L2406" t="inlineStr">
        <is>
          <t>10:34:25</t>
        </is>
      </c>
      <c r="M2406" t="inlineStr">
        <is>
          <t>10:34:35</t>
        </is>
      </c>
    </row>
    <row r="2407" ht="15" customHeight="1" s="37">
      <c r="A2407" t="n">
        <v>20</v>
      </c>
      <c r="B2407" s="10" t="inlineStr">
        <is>
          <t>休日</t>
        </is>
      </c>
      <c r="C2407" s="10" t="inlineStr">
        <is>
          <t>北野線</t>
        </is>
      </c>
      <c r="D2407" s="10" t="inlineStr">
        <is>
          <t>下り</t>
        </is>
      </c>
      <c r="E2407" t="inlineStr">
        <is>
          <t>1057</t>
        </is>
      </c>
      <c r="F2407" t="inlineStr">
        <is>
          <t>0453</t>
        </is>
      </c>
      <c r="G2407" s="10" t="inlineStr">
        <is>
          <t>龍安寺</t>
        </is>
      </c>
      <c r="H2407" s="10" t="inlineStr">
        <is>
          <t>発</t>
        </is>
      </c>
      <c r="J2407" s="10" t="inlineStr">
        <is>
          <t>営業</t>
        </is>
      </c>
      <c r="L2407" t="inlineStr">
        <is>
          <t>10:35:25</t>
        </is>
      </c>
      <c r="M2407" t="inlineStr">
        <is>
          <t>10:35:50</t>
        </is>
      </c>
    </row>
    <row r="2408" ht="15" customHeight="1" s="37">
      <c r="A2408" t="n">
        <v>20</v>
      </c>
      <c r="B2408" s="10" t="inlineStr">
        <is>
          <t>休日</t>
        </is>
      </c>
      <c r="C2408" s="10" t="inlineStr">
        <is>
          <t>北野線</t>
        </is>
      </c>
      <c r="D2408" s="10" t="inlineStr">
        <is>
          <t>下り</t>
        </is>
      </c>
      <c r="E2408" t="inlineStr">
        <is>
          <t>1057</t>
        </is>
      </c>
      <c r="F2408" t="inlineStr">
        <is>
          <t>0453</t>
        </is>
      </c>
      <c r="G2408" s="10" t="inlineStr">
        <is>
          <t>妙心寺</t>
        </is>
      </c>
      <c r="H2408" s="10" t="inlineStr">
        <is>
          <t>発</t>
        </is>
      </c>
      <c r="J2408" s="10" t="inlineStr">
        <is>
          <t>営業</t>
        </is>
      </c>
      <c r="L2408" t="inlineStr">
        <is>
          <t>10:36:40</t>
        </is>
      </c>
      <c r="M2408" t="inlineStr">
        <is>
          <t>10:36:50</t>
        </is>
      </c>
    </row>
    <row r="2409" ht="15" customHeight="1" s="37">
      <c r="A2409" t="n">
        <v>20</v>
      </c>
      <c r="B2409" s="10" t="inlineStr">
        <is>
          <t>休日</t>
        </is>
      </c>
      <c r="C2409" s="10" t="inlineStr">
        <is>
          <t>北野線</t>
        </is>
      </c>
      <c r="D2409" s="10" t="inlineStr">
        <is>
          <t>下り</t>
        </is>
      </c>
      <c r="E2409" t="inlineStr">
        <is>
          <t>1057</t>
        </is>
      </c>
      <c r="F2409" t="inlineStr">
        <is>
          <t>0453</t>
        </is>
      </c>
      <c r="G2409" s="10" t="inlineStr">
        <is>
          <t>御室仁和寺</t>
        </is>
      </c>
      <c r="H2409" s="10" t="inlineStr">
        <is>
          <t>発</t>
        </is>
      </c>
      <c r="J2409" s="10" t="inlineStr">
        <is>
          <t>営業</t>
        </is>
      </c>
      <c r="L2409" t="inlineStr">
        <is>
          <t>10:37:50</t>
        </is>
      </c>
      <c r="M2409" t="inlineStr">
        <is>
          <t>10:38:05</t>
        </is>
      </c>
    </row>
    <row r="2410" ht="15" customHeight="1" s="37">
      <c r="A2410" t="n">
        <v>20</v>
      </c>
      <c r="B2410" s="10" t="inlineStr">
        <is>
          <t>休日</t>
        </is>
      </c>
      <c r="C2410" s="10" t="inlineStr">
        <is>
          <t>北野線</t>
        </is>
      </c>
      <c r="D2410" s="10" t="inlineStr">
        <is>
          <t>下り</t>
        </is>
      </c>
      <c r="E2410" t="inlineStr">
        <is>
          <t>1057</t>
        </is>
      </c>
      <c r="F2410" t="inlineStr">
        <is>
          <t>0453</t>
        </is>
      </c>
      <c r="G2410" s="10" t="inlineStr">
        <is>
          <t>宇多野</t>
        </is>
      </c>
      <c r="H2410" s="10" t="inlineStr">
        <is>
          <t>発</t>
        </is>
      </c>
      <c r="J2410" s="10" t="inlineStr">
        <is>
          <t>営業</t>
        </is>
      </c>
      <c r="L2410" t="inlineStr">
        <is>
          <t>10:39:05</t>
        </is>
      </c>
      <c r="M2410" t="inlineStr">
        <is>
          <t>10:39:15</t>
        </is>
      </c>
    </row>
    <row r="2411" ht="15" customHeight="1" s="37">
      <c r="A2411" t="n">
        <v>20</v>
      </c>
      <c r="B2411" s="10" t="inlineStr">
        <is>
          <t>休日</t>
        </is>
      </c>
      <c r="C2411" s="10" t="inlineStr">
        <is>
          <t>北野線</t>
        </is>
      </c>
      <c r="D2411" s="10" t="inlineStr">
        <is>
          <t>下り</t>
        </is>
      </c>
      <c r="E2411" t="inlineStr">
        <is>
          <t>1057</t>
        </is>
      </c>
      <c r="F2411" t="inlineStr">
        <is>
          <t>0453</t>
        </is>
      </c>
      <c r="G2411" s="10" t="inlineStr">
        <is>
          <t>鳴滝</t>
        </is>
      </c>
      <c r="H2411" s="10" t="inlineStr">
        <is>
          <t>発</t>
        </is>
      </c>
      <c r="J2411" s="10" t="inlineStr">
        <is>
          <t>営業</t>
        </is>
      </c>
      <c r="L2411" t="inlineStr">
        <is>
          <t>10:40:35</t>
        </is>
      </c>
      <c r="M2411" t="inlineStr">
        <is>
          <t>10:40:45</t>
        </is>
      </c>
    </row>
    <row r="2412" ht="15" customHeight="1" s="37">
      <c r="A2412" t="n">
        <v>20</v>
      </c>
      <c r="B2412" s="10" t="inlineStr">
        <is>
          <t>休日</t>
        </is>
      </c>
      <c r="C2412" s="10" t="inlineStr">
        <is>
          <t>北野線</t>
        </is>
      </c>
      <c r="D2412" s="10" t="inlineStr">
        <is>
          <t>下り</t>
        </is>
      </c>
      <c r="E2412" t="inlineStr">
        <is>
          <t>1057</t>
        </is>
      </c>
      <c r="F2412" t="inlineStr">
        <is>
          <t>0453</t>
        </is>
      </c>
      <c r="G2412" s="10" t="inlineStr">
        <is>
          <t>常盤</t>
        </is>
      </c>
      <c r="H2412" s="10" t="inlineStr">
        <is>
          <t>発</t>
        </is>
      </c>
      <c r="J2412" s="10" t="inlineStr">
        <is>
          <t>営業</t>
        </is>
      </c>
      <c r="L2412" t="inlineStr">
        <is>
          <t>10:41:35</t>
        </is>
      </c>
      <c r="M2412" t="inlineStr">
        <is>
          <t>10:41:55</t>
        </is>
      </c>
    </row>
    <row r="2413" ht="15" customHeight="1" s="37">
      <c r="A2413" t="n">
        <v>20</v>
      </c>
      <c r="B2413" s="10" t="inlineStr">
        <is>
          <t>休日</t>
        </is>
      </c>
      <c r="C2413" s="10" t="inlineStr">
        <is>
          <t>北野線</t>
        </is>
      </c>
      <c r="D2413" s="10" t="inlineStr">
        <is>
          <t>下り</t>
        </is>
      </c>
      <c r="E2413" t="inlineStr">
        <is>
          <t>1057</t>
        </is>
      </c>
      <c r="F2413" t="inlineStr">
        <is>
          <t>0453</t>
        </is>
      </c>
      <c r="G2413" s="10" t="inlineStr">
        <is>
          <t>撮影所前</t>
        </is>
      </c>
      <c r="H2413" s="10" t="inlineStr">
        <is>
          <t>発</t>
        </is>
      </c>
      <c r="J2413" s="10" t="inlineStr">
        <is>
          <t>営業</t>
        </is>
      </c>
      <c r="L2413" t="inlineStr">
        <is>
          <t>10:43:15</t>
        </is>
      </c>
      <c r="M2413" t="inlineStr">
        <is>
          <t>10:43:30</t>
        </is>
      </c>
    </row>
    <row r="2414" ht="15" customHeight="1" s="37">
      <c r="A2414" t="n">
        <v>20</v>
      </c>
      <c r="B2414" s="10" t="inlineStr">
        <is>
          <t>休日</t>
        </is>
      </c>
      <c r="C2414" s="10" t="inlineStr">
        <is>
          <t>北野線</t>
        </is>
      </c>
      <c r="D2414" s="10" t="inlineStr">
        <is>
          <t>下り</t>
        </is>
      </c>
      <c r="E2414" t="inlineStr">
        <is>
          <t>1057</t>
        </is>
      </c>
      <c r="F2414" t="inlineStr">
        <is>
          <t>0453</t>
        </is>
      </c>
      <c r="G2414" s="10" t="inlineStr">
        <is>
          <t>帷子ノ辻</t>
        </is>
      </c>
      <c r="H2414" s="10" t="inlineStr">
        <is>
          <t>着</t>
        </is>
      </c>
      <c r="J2414" s="10" t="inlineStr">
        <is>
          <t>営業</t>
        </is>
      </c>
      <c r="L2414" t="inlineStr">
        <is>
          <t>10:44:25</t>
        </is>
      </c>
      <c r="Q2414" t="inlineStr">
        <is>
          <t>3</t>
        </is>
      </c>
    </row>
    <row r="2415" ht="15" customHeight="1" s="37">
      <c r="A2415" t="n">
        <v>20</v>
      </c>
      <c r="B2415" s="10" t="inlineStr">
        <is>
          <t>休日</t>
        </is>
      </c>
      <c r="C2415" s="10" t="inlineStr">
        <is>
          <t>北野線</t>
        </is>
      </c>
      <c r="D2415" s="10" t="inlineStr">
        <is>
          <t>上り</t>
        </is>
      </c>
      <c r="E2415" t="inlineStr">
        <is>
          <t>1062</t>
        </is>
      </c>
      <c r="F2415" t="inlineStr">
        <is>
          <t>0354</t>
        </is>
      </c>
      <c r="G2415" s="10" t="inlineStr">
        <is>
          <t>帷子ノ辻</t>
        </is>
      </c>
      <c r="H2415" s="10" t="inlineStr">
        <is>
          <t>発</t>
        </is>
      </c>
      <c r="J2415" s="10" t="inlineStr">
        <is>
          <t>営業</t>
        </is>
      </c>
      <c r="M2415" t="inlineStr">
        <is>
          <t>10:56:25</t>
        </is>
      </c>
      <c r="Q2415" t="inlineStr">
        <is>
          <t>3</t>
        </is>
      </c>
    </row>
    <row r="2416" ht="15" customHeight="1" s="37">
      <c r="A2416" t="n">
        <v>20</v>
      </c>
      <c r="B2416" s="10" t="inlineStr">
        <is>
          <t>休日</t>
        </is>
      </c>
      <c r="C2416" s="10" t="inlineStr">
        <is>
          <t>北野線</t>
        </is>
      </c>
      <c r="D2416" s="10" t="inlineStr">
        <is>
          <t>上り</t>
        </is>
      </c>
      <c r="E2416" t="inlineStr">
        <is>
          <t>1062</t>
        </is>
      </c>
      <c r="F2416" t="inlineStr">
        <is>
          <t>0354</t>
        </is>
      </c>
      <c r="G2416" s="10" t="inlineStr">
        <is>
          <t>撮影所前</t>
        </is>
      </c>
      <c r="H2416" s="10" t="inlineStr">
        <is>
          <t>発</t>
        </is>
      </c>
      <c r="J2416" s="10" t="inlineStr">
        <is>
          <t>営業</t>
        </is>
      </c>
      <c r="L2416" t="inlineStr">
        <is>
          <t>10:57:25</t>
        </is>
      </c>
      <c r="M2416" t="inlineStr">
        <is>
          <t>10:57:40</t>
        </is>
      </c>
    </row>
    <row r="2417" ht="15" customHeight="1" s="37">
      <c r="A2417" t="n">
        <v>20</v>
      </c>
      <c r="B2417" s="10" t="inlineStr">
        <is>
          <t>休日</t>
        </is>
      </c>
      <c r="C2417" s="10" t="inlineStr">
        <is>
          <t>北野線</t>
        </is>
      </c>
      <c r="D2417" s="10" t="inlineStr">
        <is>
          <t>上り</t>
        </is>
      </c>
      <c r="E2417" t="inlineStr">
        <is>
          <t>1062</t>
        </is>
      </c>
      <c r="F2417" t="inlineStr">
        <is>
          <t>0354</t>
        </is>
      </c>
      <c r="G2417" s="10" t="inlineStr">
        <is>
          <t>常盤</t>
        </is>
      </c>
      <c r="H2417" s="10" t="inlineStr">
        <is>
          <t>発</t>
        </is>
      </c>
      <c r="J2417" s="10" t="inlineStr">
        <is>
          <t>営業</t>
        </is>
      </c>
      <c r="L2417" t="inlineStr">
        <is>
          <t>10:59:00</t>
        </is>
      </c>
      <c r="M2417" t="inlineStr">
        <is>
          <t>10:59:20</t>
        </is>
      </c>
    </row>
    <row r="2418" ht="15" customHeight="1" s="37">
      <c r="A2418" t="n">
        <v>20</v>
      </c>
      <c r="B2418" s="10" t="inlineStr">
        <is>
          <t>休日</t>
        </is>
      </c>
      <c r="C2418" s="10" t="inlineStr">
        <is>
          <t>北野線</t>
        </is>
      </c>
      <c r="D2418" s="10" t="inlineStr">
        <is>
          <t>上り</t>
        </is>
      </c>
      <c r="E2418" t="inlineStr">
        <is>
          <t>1062</t>
        </is>
      </c>
      <c r="F2418" t="inlineStr">
        <is>
          <t>0354</t>
        </is>
      </c>
      <c r="G2418" s="10" t="inlineStr">
        <is>
          <t>鳴滝</t>
        </is>
      </c>
      <c r="H2418" s="10" t="inlineStr">
        <is>
          <t>発</t>
        </is>
      </c>
      <c r="J2418" s="10" t="inlineStr">
        <is>
          <t>営業</t>
        </is>
      </c>
      <c r="L2418" t="inlineStr">
        <is>
          <t>11:00:20</t>
        </is>
      </c>
      <c r="M2418" t="inlineStr">
        <is>
          <t>11:00:40</t>
        </is>
      </c>
    </row>
    <row r="2419" ht="15" customHeight="1" s="37">
      <c r="A2419" t="n">
        <v>20</v>
      </c>
      <c r="B2419" s="10" t="inlineStr">
        <is>
          <t>休日</t>
        </is>
      </c>
      <c r="C2419" s="10" t="inlineStr">
        <is>
          <t>北野線</t>
        </is>
      </c>
      <c r="D2419" s="10" t="inlineStr">
        <is>
          <t>上り</t>
        </is>
      </c>
      <c r="E2419" t="inlineStr">
        <is>
          <t>1062</t>
        </is>
      </c>
      <c r="F2419" t="inlineStr">
        <is>
          <t>0354</t>
        </is>
      </c>
      <c r="G2419" s="10" t="inlineStr">
        <is>
          <t>宇多野</t>
        </is>
      </c>
      <c r="H2419" s="10" t="inlineStr">
        <is>
          <t>発</t>
        </is>
      </c>
      <c r="J2419" s="10" t="inlineStr">
        <is>
          <t>営業</t>
        </is>
      </c>
      <c r="L2419" t="inlineStr">
        <is>
          <t>11:02:00</t>
        </is>
      </c>
      <c r="M2419" t="inlineStr">
        <is>
          <t>11:02:15</t>
        </is>
      </c>
    </row>
    <row r="2420" ht="15" customHeight="1" s="37">
      <c r="A2420" t="n">
        <v>20</v>
      </c>
      <c r="B2420" s="10" t="inlineStr">
        <is>
          <t>休日</t>
        </is>
      </c>
      <c r="C2420" s="10" t="inlineStr">
        <is>
          <t>北野線</t>
        </is>
      </c>
      <c r="D2420" s="10" t="inlineStr">
        <is>
          <t>上り</t>
        </is>
      </c>
      <c r="E2420" t="inlineStr">
        <is>
          <t>1062</t>
        </is>
      </c>
      <c r="F2420" t="inlineStr">
        <is>
          <t>0354</t>
        </is>
      </c>
      <c r="G2420" s="10" t="inlineStr">
        <is>
          <t>御室仁和寺</t>
        </is>
      </c>
      <c r="H2420" s="10" t="inlineStr">
        <is>
          <t>発</t>
        </is>
      </c>
      <c r="J2420" s="10" t="inlineStr">
        <is>
          <t>営業</t>
        </is>
      </c>
      <c r="L2420" t="inlineStr">
        <is>
          <t>11:03:15</t>
        </is>
      </c>
      <c r="M2420" t="inlineStr">
        <is>
          <t>11:03:35</t>
        </is>
      </c>
    </row>
    <row r="2421" ht="15" customHeight="1" s="37">
      <c r="A2421" t="n">
        <v>20</v>
      </c>
      <c r="B2421" s="10" t="inlineStr">
        <is>
          <t>休日</t>
        </is>
      </c>
      <c r="C2421" s="10" t="inlineStr">
        <is>
          <t>北野線</t>
        </is>
      </c>
      <c r="D2421" s="10" t="inlineStr">
        <is>
          <t>上り</t>
        </is>
      </c>
      <c r="E2421" t="inlineStr">
        <is>
          <t>1062</t>
        </is>
      </c>
      <c r="F2421" t="inlineStr">
        <is>
          <t>0354</t>
        </is>
      </c>
      <c r="G2421" s="10" t="inlineStr">
        <is>
          <t>妙心寺</t>
        </is>
      </c>
      <c r="H2421" s="10" t="inlineStr">
        <is>
          <t>発</t>
        </is>
      </c>
      <c r="J2421" s="10" t="inlineStr">
        <is>
          <t>営業</t>
        </is>
      </c>
      <c r="L2421" t="inlineStr">
        <is>
          <t>11:04:35</t>
        </is>
      </c>
      <c r="M2421" t="inlineStr">
        <is>
          <t>11:04:50</t>
        </is>
      </c>
    </row>
    <row r="2422" ht="15" customHeight="1" s="37">
      <c r="A2422" t="n">
        <v>20</v>
      </c>
      <c r="B2422" s="10" t="inlineStr">
        <is>
          <t>休日</t>
        </is>
      </c>
      <c r="C2422" s="10" t="inlineStr">
        <is>
          <t>北野線</t>
        </is>
      </c>
      <c r="D2422" s="10" t="inlineStr">
        <is>
          <t>上り</t>
        </is>
      </c>
      <c r="E2422" t="inlineStr">
        <is>
          <t>1062</t>
        </is>
      </c>
      <c r="F2422" t="inlineStr">
        <is>
          <t>0354</t>
        </is>
      </c>
      <c r="G2422" s="10" t="inlineStr">
        <is>
          <t>龍安寺</t>
        </is>
      </c>
      <c r="H2422" s="10" t="inlineStr">
        <is>
          <t>発</t>
        </is>
      </c>
      <c r="J2422" s="10" t="inlineStr">
        <is>
          <t>営業</t>
        </is>
      </c>
      <c r="L2422" t="inlineStr">
        <is>
          <t>11:05:45</t>
        </is>
      </c>
      <c r="M2422" t="inlineStr">
        <is>
          <t>11:05:55</t>
        </is>
      </c>
    </row>
    <row r="2423" ht="15" customHeight="1" s="37">
      <c r="A2423" t="n">
        <v>20</v>
      </c>
      <c r="B2423" s="10" t="inlineStr">
        <is>
          <t>休日</t>
        </is>
      </c>
      <c r="C2423" s="10" t="inlineStr">
        <is>
          <t>北野線</t>
        </is>
      </c>
      <c r="D2423" s="10" t="inlineStr">
        <is>
          <t>上り</t>
        </is>
      </c>
      <c r="E2423" t="inlineStr">
        <is>
          <t>1062</t>
        </is>
      </c>
      <c r="F2423" t="inlineStr">
        <is>
          <t>0354</t>
        </is>
      </c>
      <c r="G2423" s="10" t="inlineStr">
        <is>
          <t>等持院</t>
        </is>
      </c>
      <c r="H2423" s="10" t="inlineStr">
        <is>
          <t>発</t>
        </is>
      </c>
      <c r="J2423" s="10" t="inlineStr">
        <is>
          <t>営業</t>
        </is>
      </c>
      <c r="L2423" t="inlineStr">
        <is>
          <t>11:06:35</t>
        </is>
      </c>
      <c r="M2423" t="inlineStr">
        <is>
          <t>11:06:55</t>
        </is>
      </c>
    </row>
    <row r="2424" ht="15" customHeight="1" s="37">
      <c r="A2424" t="n">
        <v>20</v>
      </c>
      <c r="B2424" s="10" t="inlineStr">
        <is>
          <t>休日</t>
        </is>
      </c>
      <c r="C2424" s="10" t="inlineStr">
        <is>
          <t>北野線</t>
        </is>
      </c>
      <c r="D2424" s="10" t="inlineStr">
        <is>
          <t>上り</t>
        </is>
      </c>
      <c r="E2424" t="inlineStr">
        <is>
          <t>1062</t>
        </is>
      </c>
      <c r="F2424" t="inlineStr">
        <is>
          <t>0354</t>
        </is>
      </c>
      <c r="G2424" s="10" t="inlineStr">
        <is>
          <t>北野白梅町</t>
        </is>
      </c>
      <c r="H2424" s="10" t="inlineStr">
        <is>
          <t>着</t>
        </is>
      </c>
      <c r="J2424" s="10" t="inlineStr">
        <is>
          <t>営業</t>
        </is>
      </c>
      <c r="L2424" t="inlineStr">
        <is>
          <t>11:08:15</t>
        </is>
      </c>
      <c r="Q2424" t="inlineStr">
        <is>
          <t>1</t>
        </is>
      </c>
    </row>
    <row r="2425" ht="15" customHeight="1" s="37">
      <c r="A2425" t="n">
        <v>20</v>
      </c>
      <c r="B2425" s="10" t="inlineStr">
        <is>
          <t>休日</t>
        </is>
      </c>
      <c r="C2425" s="10" t="inlineStr">
        <is>
          <t>北野線</t>
        </is>
      </c>
      <c r="D2425" s="10" t="inlineStr">
        <is>
          <t>下り</t>
        </is>
      </c>
      <c r="E2425" t="inlineStr">
        <is>
          <t>1153</t>
        </is>
      </c>
      <c r="F2425" t="inlineStr">
        <is>
          <t>0453</t>
        </is>
      </c>
      <c r="G2425" s="10" t="inlineStr">
        <is>
          <t>北野白梅町</t>
        </is>
      </c>
      <c r="H2425" s="10" t="inlineStr">
        <is>
          <t>発</t>
        </is>
      </c>
      <c r="J2425" s="10" t="inlineStr">
        <is>
          <t>営業</t>
        </is>
      </c>
      <c r="M2425" t="inlineStr">
        <is>
          <t>11:13:00</t>
        </is>
      </c>
      <c r="Q2425" t="inlineStr">
        <is>
          <t>1</t>
        </is>
      </c>
    </row>
    <row r="2426" ht="15" customHeight="1" s="37">
      <c r="A2426" t="n">
        <v>20</v>
      </c>
      <c r="B2426" s="10" t="inlineStr">
        <is>
          <t>休日</t>
        </is>
      </c>
      <c r="C2426" s="10" t="inlineStr">
        <is>
          <t>北野線</t>
        </is>
      </c>
      <c r="D2426" s="10" t="inlineStr">
        <is>
          <t>下り</t>
        </is>
      </c>
      <c r="E2426" t="inlineStr">
        <is>
          <t>1153</t>
        </is>
      </c>
      <c r="F2426" t="inlineStr">
        <is>
          <t>0453</t>
        </is>
      </c>
      <c r="G2426" s="10" t="inlineStr">
        <is>
          <t>等持院</t>
        </is>
      </c>
      <c r="H2426" s="10" t="inlineStr">
        <is>
          <t>発</t>
        </is>
      </c>
      <c r="J2426" s="10" t="inlineStr">
        <is>
          <t>営業</t>
        </is>
      </c>
      <c r="L2426" t="inlineStr">
        <is>
          <t>11:14:25</t>
        </is>
      </c>
      <c r="M2426" t="inlineStr">
        <is>
          <t>11:14:35</t>
        </is>
      </c>
    </row>
    <row r="2427" ht="15" customHeight="1" s="37">
      <c r="A2427" t="n">
        <v>20</v>
      </c>
      <c r="B2427" s="10" t="inlineStr">
        <is>
          <t>休日</t>
        </is>
      </c>
      <c r="C2427" s="10" t="inlineStr">
        <is>
          <t>北野線</t>
        </is>
      </c>
      <c r="D2427" s="10" t="inlineStr">
        <is>
          <t>下り</t>
        </is>
      </c>
      <c r="E2427" t="inlineStr">
        <is>
          <t>1153</t>
        </is>
      </c>
      <c r="F2427" t="inlineStr">
        <is>
          <t>0453</t>
        </is>
      </c>
      <c r="G2427" s="10" t="inlineStr">
        <is>
          <t>龍安寺</t>
        </is>
      </c>
      <c r="H2427" s="10" t="inlineStr">
        <is>
          <t>発</t>
        </is>
      </c>
      <c r="J2427" s="10" t="inlineStr">
        <is>
          <t>営業</t>
        </is>
      </c>
      <c r="L2427" t="inlineStr">
        <is>
          <t>11:15:25</t>
        </is>
      </c>
      <c r="M2427" t="inlineStr">
        <is>
          <t>11:15:50</t>
        </is>
      </c>
    </row>
    <row r="2428" ht="15" customHeight="1" s="37">
      <c r="A2428" t="n">
        <v>20</v>
      </c>
      <c r="B2428" s="10" t="inlineStr">
        <is>
          <t>休日</t>
        </is>
      </c>
      <c r="C2428" s="10" t="inlineStr">
        <is>
          <t>北野線</t>
        </is>
      </c>
      <c r="D2428" s="10" t="inlineStr">
        <is>
          <t>下り</t>
        </is>
      </c>
      <c r="E2428" t="inlineStr">
        <is>
          <t>1153</t>
        </is>
      </c>
      <c r="F2428" t="inlineStr">
        <is>
          <t>0453</t>
        </is>
      </c>
      <c r="G2428" s="10" t="inlineStr">
        <is>
          <t>妙心寺</t>
        </is>
      </c>
      <c r="H2428" s="10" t="inlineStr">
        <is>
          <t>発</t>
        </is>
      </c>
      <c r="J2428" s="10" t="inlineStr">
        <is>
          <t>営業</t>
        </is>
      </c>
      <c r="L2428" t="inlineStr">
        <is>
          <t>11:16:40</t>
        </is>
      </c>
      <c r="M2428" t="inlineStr">
        <is>
          <t>11:16:50</t>
        </is>
      </c>
    </row>
    <row r="2429" ht="15" customHeight="1" s="37">
      <c r="A2429" t="n">
        <v>20</v>
      </c>
      <c r="B2429" s="10" t="inlineStr">
        <is>
          <t>休日</t>
        </is>
      </c>
      <c r="C2429" s="10" t="inlineStr">
        <is>
          <t>北野線</t>
        </is>
      </c>
      <c r="D2429" s="10" t="inlineStr">
        <is>
          <t>下り</t>
        </is>
      </c>
      <c r="E2429" t="inlineStr">
        <is>
          <t>1153</t>
        </is>
      </c>
      <c r="F2429" t="inlineStr">
        <is>
          <t>0453</t>
        </is>
      </c>
      <c r="G2429" s="10" t="inlineStr">
        <is>
          <t>御室仁和寺</t>
        </is>
      </c>
      <c r="H2429" s="10" t="inlineStr">
        <is>
          <t>発</t>
        </is>
      </c>
      <c r="J2429" s="10" t="inlineStr">
        <is>
          <t>営業</t>
        </is>
      </c>
      <c r="L2429" t="inlineStr">
        <is>
          <t>11:17:50</t>
        </is>
      </c>
      <c r="M2429" t="inlineStr">
        <is>
          <t>11:18:05</t>
        </is>
      </c>
    </row>
    <row r="2430" ht="15" customHeight="1" s="37">
      <c r="A2430" t="n">
        <v>20</v>
      </c>
      <c r="B2430" s="10" t="inlineStr">
        <is>
          <t>休日</t>
        </is>
      </c>
      <c r="C2430" s="10" t="inlineStr">
        <is>
          <t>北野線</t>
        </is>
      </c>
      <c r="D2430" s="10" t="inlineStr">
        <is>
          <t>下り</t>
        </is>
      </c>
      <c r="E2430" t="inlineStr">
        <is>
          <t>1153</t>
        </is>
      </c>
      <c r="F2430" t="inlineStr">
        <is>
          <t>0453</t>
        </is>
      </c>
      <c r="G2430" s="10" t="inlineStr">
        <is>
          <t>宇多野</t>
        </is>
      </c>
      <c r="H2430" s="10" t="inlineStr">
        <is>
          <t>発</t>
        </is>
      </c>
      <c r="J2430" s="10" t="inlineStr">
        <is>
          <t>営業</t>
        </is>
      </c>
      <c r="L2430" t="inlineStr">
        <is>
          <t>11:19:05</t>
        </is>
      </c>
      <c r="M2430" t="inlineStr">
        <is>
          <t>11:19:15</t>
        </is>
      </c>
    </row>
    <row r="2431" ht="15" customHeight="1" s="37">
      <c r="A2431" t="n">
        <v>20</v>
      </c>
      <c r="B2431" s="10" t="inlineStr">
        <is>
          <t>休日</t>
        </is>
      </c>
      <c r="C2431" s="10" t="inlineStr">
        <is>
          <t>北野線</t>
        </is>
      </c>
      <c r="D2431" s="10" t="inlineStr">
        <is>
          <t>下り</t>
        </is>
      </c>
      <c r="E2431" t="inlineStr">
        <is>
          <t>1153</t>
        </is>
      </c>
      <c r="F2431" t="inlineStr">
        <is>
          <t>0453</t>
        </is>
      </c>
      <c r="G2431" s="10" t="inlineStr">
        <is>
          <t>鳴滝</t>
        </is>
      </c>
      <c r="H2431" s="10" t="inlineStr">
        <is>
          <t>発</t>
        </is>
      </c>
      <c r="J2431" s="10" t="inlineStr">
        <is>
          <t>営業</t>
        </is>
      </c>
      <c r="L2431" t="inlineStr">
        <is>
          <t>11:20:35</t>
        </is>
      </c>
      <c r="M2431" t="inlineStr">
        <is>
          <t>11:20:45</t>
        </is>
      </c>
    </row>
    <row r="2432" ht="15" customHeight="1" s="37">
      <c r="A2432" t="n">
        <v>20</v>
      </c>
      <c r="B2432" s="10" t="inlineStr">
        <is>
          <t>休日</t>
        </is>
      </c>
      <c r="C2432" s="10" t="inlineStr">
        <is>
          <t>北野線</t>
        </is>
      </c>
      <c r="D2432" s="10" t="inlineStr">
        <is>
          <t>下り</t>
        </is>
      </c>
      <c r="E2432" t="inlineStr">
        <is>
          <t>1153</t>
        </is>
      </c>
      <c r="F2432" t="inlineStr">
        <is>
          <t>0453</t>
        </is>
      </c>
      <c r="G2432" s="10" t="inlineStr">
        <is>
          <t>常盤</t>
        </is>
      </c>
      <c r="H2432" s="10" t="inlineStr">
        <is>
          <t>発</t>
        </is>
      </c>
      <c r="J2432" s="10" t="inlineStr">
        <is>
          <t>営業</t>
        </is>
      </c>
      <c r="L2432" t="inlineStr">
        <is>
          <t>11:21:35</t>
        </is>
      </c>
      <c r="M2432" t="inlineStr">
        <is>
          <t>11:21:55</t>
        </is>
      </c>
    </row>
    <row r="2433" ht="15" customHeight="1" s="37">
      <c r="A2433" t="n">
        <v>20</v>
      </c>
      <c r="B2433" s="10" t="inlineStr">
        <is>
          <t>休日</t>
        </is>
      </c>
      <c r="C2433" s="10" t="inlineStr">
        <is>
          <t>北野線</t>
        </is>
      </c>
      <c r="D2433" s="10" t="inlineStr">
        <is>
          <t>下り</t>
        </is>
      </c>
      <c r="E2433" t="inlineStr">
        <is>
          <t>1153</t>
        </is>
      </c>
      <c r="F2433" t="inlineStr">
        <is>
          <t>0453</t>
        </is>
      </c>
      <c r="G2433" s="10" t="inlineStr">
        <is>
          <t>撮影所前</t>
        </is>
      </c>
      <c r="H2433" s="10" t="inlineStr">
        <is>
          <t>発</t>
        </is>
      </c>
      <c r="J2433" s="10" t="inlineStr">
        <is>
          <t>営業</t>
        </is>
      </c>
      <c r="L2433" t="inlineStr">
        <is>
          <t>11:23:15</t>
        </is>
      </c>
      <c r="M2433" t="inlineStr">
        <is>
          <t>11:23:30</t>
        </is>
      </c>
    </row>
    <row r="2434" ht="15" customHeight="1" s="37">
      <c r="A2434" t="n">
        <v>20</v>
      </c>
      <c r="B2434" s="10" t="inlineStr">
        <is>
          <t>休日</t>
        </is>
      </c>
      <c r="C2434" s="10" t="inlineStr">
        <is>
          <t>北野線</t>
        </is>
      </c>
      <c r="D2434" s="10" t="inlineStr">
        <is>
          <t>下り</t>
        </is>
      </c>
      <c r="E2434" t="inlineStr">
        <is>
          <t>1153</t>
        </is>
      </c>
      <c r="F2434" t="inlineStr">
        <is>
          <t>0453</t>
        </is>
      </c>
      <c r="G2434" s="10" t="inlineStr">
        <is>
          <t>帷子ノ辻</t>
        </is>
      </c>
      <c r="H2434" s="10" t="inlineStr">
        <is>
          <t>着</t>
        </is>
      </c>
      <c r="J2434" s="10" t="inlineStr">
        <is>
          <t>営業</t>
        </is>
      </c>
      <c r="L2434" t="inlineStr">
        <is>
          <t>11:24:25</t>
        </is>
      </c>
      <c r="Q2434" t="inlineStr">
        <is>
          <t>3</t>
        </is>
      </c>
    </row>
    <row r="2435" ht="15" customHeight="1" s="37">
      <c r="A2435" t="n">
        <v>20</v>
      </c>
      <c r="B2435" s="10" t="inlineStr">
        <is>
          <t>休日</t>
        </is>
      </c>
      <c r="C2435" s="10" t="inlineStr">
        <is>
          <t>北野線</t>
        </is>
      </c>
      <c r="D2435" s="10" t="inlineStr">
        <is>
          <t>上り</t>
        </is>
      </c>
      <c r="E2435" t="inlineStr">
        <is>
          <t>1158</t>
        </is>
      </c>
      <c r="F2435" t="inlineStr">
        <is>
          <t>0354</t>
        </is>
      </c>
      <c r="G2435" s="10" t="inlineStr">
        <is>
          <t>帷子ノ辻</t>
        </is>
      </c>
      <c r="H2435" s="10" t="inlineStr">
        <is>
          <t>発</t>
        </is>
      </c>
      <c r="J2435" s="10" t="inlineStr">
        <is>
          <t>営業</t>
        </is>
      </c>
      <c r="M2435" t="inlineStr">
        <is>
          <t>11:36:25</t>
        </is>
      </c>
      <c r="Q2435" t="inlineStr">
        <is>
          <t>3</t>
        </is>
      </c>
      <c r="U2435" t="inlineStr">
        <is>
          <t>→帷子ノ辻 退勤(中休302分)</t>
        </is>
      </c>
    </row>
    <row r="2436" ht="15" customHeight="1" s="37">
      <c r="A2436" t="n">
        <v>20</v>
      </c>
      <c r="B2436" s="10" t="inlineStr">
        <is>
          <t>休日</t>
        </is>
      </c>
      <c r="C2436" s="10" t="inlineStr">
        <is>
          <t>北野線</t>
        </is>
      </c>
      <c r="D2436" s="10" t="inlineStr">
        <is>
          <t>上り</t>
        </is>
      </c>
      <c r="E2436" t="inlineStr">
        <is>
          <t>1158</t>
        </is>
      </c>
      <c r="F2436" t="inlineStr">
        <is>
          <t>0354</t>
        </is>
      </c>
      <c r="G2436" s="10" t="inlineStr">
        <is>
          <t>撮影所前</t>
        </is>
      </c>
      <c r="H2436" s="10" t="inlineStr">
        <is>
          <t>発</t>
        </is>
      </c>
      <c r="J2436" s="10" t="inlineStr">
        <is>
          <t>営業</t>
        </is>
      </c>
      <c r="L2436" t="inlineStr">
        <is>
          <t>11:37:25</t>
        </is>
      </c>
      <c r="M2436" t="inlineStr">
        <is>
          <t>11:37:40</t>
        </is>
      </c>
      <c r="U2436" t="inlineStr">
        <is>
          <t>→帷子ノ辻 退勤(中休302分)</t>
        </is>
      </c>
    </row>
    <row r="2437" ht="15" customHeight="1" s="37">
      <c r="A2437" t="n">
        <v>20</v>
      </c>
      <c r="B2437" s="10" t="inlineStr">
        <is>
          <t>休日</t>
        </is>
      </c>
      <c r="C2437" s="10" t="inlineStr">
        <is>
          <t>北野線</t>
        </is>
      </c>
      <c r="D2437" s="10" t="inlineStr">
        <is>
          <t>上り</t>
        </is>
      </c>
      <c r="E2437" t="inlineStr">
        <is>
          <t>1158</t>
        </is>
      </c>
      <c r="F2437" t="inlineStr">
        <is>
          <t>0354</t>
        </is>
      </c>
      <c r="G2437" s="10" t="inlineStr">
        <is>
          <t>常盤</t>
        </is>
      </c>
      <c r="H2437" s="10" t="inlineStr">
        <is>
          <t>発</t>
        </is>
      </c>
      <c r="J2437" s="10" t="inlineStr">
        <is>
          <t>営業</t>
        </is>
      </c>
      <c r="L2437" t="inlineStr">
        <is>
          <t>11:39:00</t>
        </is>
      </c>
      <c r="M2437" t="inlineStr">
        <is>
          <t>11:39:20</t>
        </is>
      </c>
      <c r="U2437" t="inlineStr">
        <is>
          <t>→帷子ノ辻 退勤(中休302分)</t>
        </is>
      </c>
    </row>
    <row r="2438" ht="15" customHeight="1" s="37">
      <c r="A2438" t="n">
        <v>20</v>
      </c>
      <c r="B2438" s="10" t="inlineStr">
        <is>
          <t>休日</t>
        </is>
      </c>
      <c r="C2438" s="10" t="inlineStr">
        <is>
          <t>北野線</t>
        </is>
      </c>
      <c r="D2438" s="10" t="inlineStr">
        <is>
          <t>上り</t>
        </is>
      </c>
      <c r="E2438" t="inlineStr">
        <is>
          <t>1158</t>
        </is>
      </c>
      <c r="F2438" t="inlineStr">
        <is>
          <t>0354</t>
        </is>
      </c>
      <c r="G2438" s="10" t="inlineStr">
        <is>
          <t>鳴滝</t>
        </is>
      </c>
      <c r="H2438" s="10" t="inlineStr">
        <is>
          <t>発</t>
        </is>
      </c>
      <c r="J2438" s="10" t="inlineStr">
        <is>
          <t>営業</t>
        </is>
      </c>
      <c r="L2438" t="inlineStr">
        <is>
          <t>11:40:20</t>
        </is>
      </c>
      <c r="M2438" t="inlineStr">
        <is>
          <t>11:40:40</t>
        </is>
      </c>
      <c r="U2438" t="inlineStr">
        <is>
          <t>→帷子ノ辻 退勤(中休302分)</t>
        </is>
      </c>
    </row>
    <row r="2439" ht="15" customHeight="1" s="37">
      <c r="A2439" t="n">
        <v>20</v>
      </c>
      <c r="B2439" s="10" t="inlineStr">
        <is>
          <t>休日</t>
        </is>
      </c>
      <c r="C2439" s="10" t="inlineStr">
        <is>
          <t>北野線</t>
        </is>
      </c>
      <c r="D2439" s="10" t="inlineStr">
        <is>
          <t>上り</t>
        </is>
      </c>
      <c r="E2439" t="inlineStr">
        <is>
          <t>1158</t>
        </is>
      </c>
      <c r="F2439" t="inlineStr">
        <is>
          <t>0354</t>
        </is>
      </c>
      <c r="G2439" s="10" t="inlineStr">
        <is>
          <t>宇多野</t>
        </is>
      </c>
      <c r="H2439" s="10" t="inlineStr">
        <is>
          <t>発</t>
        </is>
      </c>
      <c r="J2439" s="10" t="inlineStr">
        <is>
          <t>営業</t>
        </is>
      </c>
      <c r="L2439" t="inlineStr">
        <is>
          <t>11:42:00</t>
        </is>
      </c>
      <c r="M2439" t="inlineStr">
        <is>
          <t>11:42:15</t>
        </is>
      </c>
      <c r="U2439" t="inlineStr">
        <is>
          <t>→帷子ノ辻 退勤(中休302分)</t>
        </is>
      </c>
    </row>
    <row r="2440" ht="15" customHeight="1" s="37">
      <c r="A2440" t="n">
        <v>20</v>
      </c>
      <c r="B2440" s="10" t="inlineStr">
        <is>
          <t>休日</t>
        </is>
      </c>
      <c r="C2440" s="10" t="inlineStr">
        <is>
          <t>北野線</t>
        </is>
      </c>
      <c r="D2440" s="10" t="inlineStr">
        <is>
          <t>上り</t>
        </is>
      </c>
      <c r="E2440" t="inlineStr">
        <is>
          <t>1158</t>
        </is>
      </c>
      <c r="F2440" t="inlineStr">
        <is>
          <t>0354</t>
        </is>
      </c>
      <c r="G2440" s="10" t="inlineStr">
        <is>
          <t>御室仁和寺</t>
        </is>
      </c>
      <c r="H2440" s="10" t="inlineStr">
        <is>
          <t>発</t>
        </is>
      </c>
      <c r="J2440" s="10" t="inlineStr">
        <is>
          <t>営業</t>
        </is>
      </c>
      <c r="L2440" t="inlineStr">
        <is>
          <t>11:43:15</t>
        </is>
      </c>
      <c r="M2440" t="inlineStr">
        <is>
          <t>11:43:35</t>
        </is>
      </c>
      <c r="U2440" t="inlineStr">
        <is>
          <t>→帷子ノ辻 退勤(中休302分)</t>
        </is>
      </c>
    </row>
    <row r="2441" ht="15" customHeight="1" s="37">
      <c r="A2441" t="n">
        <v>20</v>
      </c>
      <c r="B2441" s="10" t="inlineStr">
        <is>
          <t>休日</t>
        </is>
      </c>
      <c r="C2441" s="10" t="inlineStr">
        <is>
          <t>北野線</t>
        </is>
      </c>
      <c r="D2441" s="10" t="inlineStr">
        <is>
          <t>上り</t>
        </is>
      </c>
      <c r="E2441" t="inlineStr">
        <is>
          <t>1158</t>
        </is>
      </c>
      <c r="F2441" t="inlineStr">
        <is>
          <t>0354</t>
        </is>
      </c>
      <c r="G2441" s="10" t="inlineStr">
        <is>
          <t>妙心寺</t>
        </is>
      </c>
      <c r="H2441" s="10" t="inlineStr">
        <is>
          <t>発</t>
        </is>
      </c>
      <c r="J2441" s="10" t="inlineStr">
        <is>
          <t>営業</t>
        </is>
      </c>
      <c r="L2441" t="inlineStr">
        <is>
          <t>11:44:35</t>
        </is>
      </c>
      <c r="M2441" t="inlineStr">
        <is>
          <t>11:44:50</t>
        </is>
      </c>
      <c r="U2441" t="inlineStr">
        <is>
          <t>→帷子ノ辻 退勤(中休302分)</t>
        </is>
      </c>
    </row>
    <row r="2442" ht="15" customHeight="1" s="37">
      <c r="A2442" t="n">
        <v>20</v>
      </c>
      <c r="B2442" s="10" t="inlineStr">
        <is>
          <t>休日</t>
        </is>
      </c>
      <c r="C2442" s="10" t="inlineStr">
        <is>
          <t>北野線</t>
        </is>
      </c>
      <c r="D2442" s="10" t="inlineStr">
        <is>
          <t>上り</t>
        </is>
      </c>
      <c r="E2442" t="inlineStr">
        <is>
          <t>1158</t>
        </is>
      </c>
      <c r="F2442" t="inlineStr">
        <is>
          <t>0354</t>
        </is>
      </c>
      <c r="G2442" s="10" t="inlineStr">
        <is>
          <t>龍安寺</t>
        </is>
      </c>
      <c r="H2442" s="10" t="inlineStr">
        <is>
          <t>発</t>
        </is>
      </c>
      <c r="J2442" s="10" t="inlineStr">
        <is>
          <t>営業</t>
        </is>
      </c>
      <c r="L2442" t="inlineStr">
        <is>
          <t>11:45:45</t>
        </is>
      </c>
      <c r="M2442" t="inlineStr">
        <is>
          <t>11:45:55</t>
        </is>
      </c>
      <c r="U2442" t="inlineStr">
        <is>
          <t>→帷子ノ辻 退勤(中休302分)</t>
        </is>
      </c>
    </row>
    <row r="2443" ht="15" customHeight="1" s="37">
      <c r="A2443" t="n">
        <v>20</v>
      </c>
      <c r="B2443" s="10" t="inlineStr">
        <is>
          <t>休日</t>
        </is>
      </c>
      <c r="C2443" s="10" t="inlineStr">
        <is>
          <t>北野線</t>
        </is>
      </c>
      <c r="D2443" s="10" t="inlineStr">
        <is>
          <t>上り</t>
        </is>
      </c>
      <c r="E2443" t="inlineStr">
        <is>
          <t>1158</t>
        </is>
      </c>
      <c r="F2443" t="inlineStr">
        <is>
          <t>0354</t>
        </is>
      </c>
      <c r="G2443" s="10" t="inlineStr">
        <is>
          <t>等持院</t>
        </is>
      </c>
      <c r="H2443" s="10" t="inlineStr">
        <is>
          <t>発</t>
        </is>
      </c>
      <c r="J2443" s="10" t="inlineStr">
        <is>
          <t>営業</t>
        </is>
      </c>
      <c r="L2443" t="inlineStr">
        <is>
          <t>11:46:35</t>
        </is>
      </c>
      <c r="M2443" t="inlineStr">
        <is>
          <t>11:46:55</t>
        </is>
      </c>
      <c r="U2443" t="inlineStr">
        <is>
          <t>→帷子ノ辻 退勤(中休302分)</t>
        </is>
      </c>
    </row>
    <row r="2444" ht="15" customHeight="1" s="37">
      <c r="A2444" t="n">
        <v>20</v>
      </c>
      <c r="B2444" s="10" t="inlineStr">
        <is>
          <t>休日</t>
        </is>
      </c>
      <c r="C2444" s="10" t="inlineStr">
        <is>
          <t>北野線</t>
        </is>
      </c>
      <c r="D2444" s="10" t="inlineStr">
        <is>
          <t>上り</t>
        </is>
      </c>
      <c r="E2444" t="inlineStr">
        <is>
          <t>1158</t>
        </is>
      </c>
      <c r="F2444" t="inlineStr">
        <is>
          <t>0354</t>
        </is>
      </c>
      <c r="G2444" s="10" t="inlineStr">
        <is>
          <t>北野白梅町</t>
        </is>
      </c>
      <c r="H2444" s="10" t="inlineStr">
        <is>
          <t>着</t>
        </is>
      </c>
      <c r="J2444" s="10" t="inlineStr">
        <is>
          <t>営業</t>
        </is>
      </c>
      <c r="L2444" t="inlineStr">
        <is>
          <t>11:48:15</t>
        </is>
      </c>
      <c r="Q2444" t="inlineStr">
        <is>
          <t>1</t>
        </is>
      </c>
      <c r="U2444" t="inlineStr">
        <is>
          <t>→帷子ノ辻 退勤(中休302分)</t>
        </is>
      </c>
    </row>
    <row r="2445" ht="15" customHeight="1" s="37">
      <c r="A2445" t="n">
        <v>20</v>
      </c>
      <c r="B2445" s="10" t="inlineStr">
        <is>
          <t>休日</t>
        </is>
      </c>
      <c r="C2445" s="10" t="inlineStr">
        <is>
          <t>北野線</t>
        </is>
      </c>
      <c r="D2445" s="10" t="inlineStr">
        <is>
          <t>下り</t>
        </is>
      </c>
      <c r="E2445" t="inlineStr">
        <is>
          <t>1161</t>
        </is>
      </c>
      <c r="F2445" t="inlineStr">
        <is>
          <t>0453</t>
        </is>
      </c>
      <c r="G2445" s="10" t="inlineStr">
        <is>
          <t>北野白梅町</t>
        </is>
      </c>
      <c r="H2445" s="10" t="inlineStr">
        <is>
          <t>発</t>
        </is>
      </c>
      <c r="J2445" s="10" t="inlineStr">
        <is>
          <t>営業</t>
        </is>
      </c>
      <c r="M2445" t="inlineStr">
        <is>
          <t>11:53:00</t>
        </is>
      </c>
      <c r="Q2445" t="inlineStr">
        <is>
          <t>1</t>
        </is>
      </c>
      <c r="U2445" t="inlineStr">
        <is>
          <t>→帷子ノ辻 退勤(中休302分)</t>
        </is>
      </c>
    </row>
    <row r="2446" ht="15" customHeight="1" s="37">
      <c r="A2446" t="n">
        <v>20</v>
      </c>
      <c r="B2446" s="10" t="inlineStr">
        <is>
          <t>休日</t>
        </is>
      </c>
      <c r="C2446" s="10" t="inlineStr">
        <is>
          <t>北野線</t>
        </is>
      </c>
      <c r="D2446" s="10" t="inlineStr">
        <is>
          <t>下り</t>
        </is>
      </c>
      <c r="E2446" t="inlineStr">
        <is>
          <t>1161</t>
        </is>
      </c>
      <c r="F2446" t="inlineStr">
        <is>
          <t>0453</t>
        </is>
      </c>
      <c r="G2446" s="10" t="inlineStr">
        <is>
          <t>等持院</t>
        </is>
      </c>
      <c r="H2446" s="10" t="inlineStr">
        <is>
          <t>発</t>
        </is>
      </c>
      <c r="J2446" s="10" t="inlineStr">
        <is>
          <t>営業</t>
        </is>
      </c>
      <c r="L2446" t="inlineStr">
        <is>
          <t>11:54:25</t>
        </is>
      </c>
      <c r="M2446" t="inlineStr">
        <is>
          <t>11:54:35</t>
        </is>
      </c>
      <c r="U2446" t="inlineStr">
        <is>
          <t>→帷子ノ辻 退勤(中休302分)</t>
        </is>
      </c>
    </row>
    <row r="2447" ht="15" customHeight="1" s="37">
      <c r="A2447" t="n">
        <v>20</v>
      </c>
      <c r="B2447" s="10" t="inlineStr">
        <is>
          <t>休日</t>
        </is>
      </c>
      <c r="C2447" s="10" t="inlineStr">
        <is>
          <t>北野線</t>
        </is>
      </c>
      <c r="D2447" s="10" t="inlineStr">
        <is>
          <t>下り</t>
        </is>
      </c>
      <c r="E2447" t="inlineStr">
        <is>
          <t>1161</t>
        </is>
      </c>
      <c r="F2447" t="inlineStr">
        <is>
          <t>0453</t>
        </is>
      </c>
      <c r="G2447" s="10" t="inlineStr">
        <is>
          <t>龍安寺</t>
        </is>
      </c>
      <c r="H2447" s="10" t="inlineStr">
        <is>
          <t>発</t>
        </is>
      </c>
      <c r="J2447" s="10" t="inlineStr">
        <is>
          <t>営業</t>
        </is>
      </c>
      <c r="L2447" t="inlineStr">
        <is>
          <t>11:55:25</t>
        </is>
      </c>
      <c r="M2447" t="inlineStr">
        <is>
          <t>11:55:50</t>
        </is>
      </c>
      <c r="U2447" t="inlineStr">
        <is>
          <t>→帷子ノ辻 退勤(中休302分)</t>
        </is>
      </c>
    </row>
    <row r="2448" ht="15" customHeight="1" s="37">
      <c r="A2448" t="n">
        <v>20</v>
      </c>
      <c r="B2448" s="10" t="inlineStr">
        <is>
          <t>休日</t>
        </is>
      </c>
      <c r="C2448" s="10" t="inlineStr">
        <is>
          <t>北野線</t>
        </is>
      </c>
      <c r="D2448" s="10" t="inlineStr">
        <is>
          <t>下り</t>
        </is>
      </c>
      <c r="E2448" t="inlineStr">
        <is>
          <t>1161</t>
        </is>
      </c>
      <c r="F2448" t="inlineStr">
        <is>
          <t>0453</t>
        </is>
      </c>
      <c r="G2448" s="10" t="inlineStr">
        <is>
          <t>妙心寺</t>
        </is>
      </c>
      <c r="H2448" s="10" t="inlineStr">
        <is>
          <t>発</t>
        </is>
      </c>
      <c r="J2448" s="10" t="inlineStr">
        <is>
          <t>営業</t>
        </is>
      </c>
      <c r="L2448" t="inlineStr">
        <is>
          <t>11:56:40</t>
        </is>
      </c>
      <c r="M2448" t="inlineStr">
        <is>
          <t>11:56:50</t>
        </is>
      </c>
      <c r="U2448" t="inlineStr">
        <is>
          <t>→帷子ノ辻 退勤(中休302分)</t>
        </is>
      </c>
    </row>
    <row r="2449" ht="15" customHeight="1" s="37">
      <c r="A2449" t="n">
        <v>20</v>
      </c>
      <c r="B2449" s="10" t="inlineStr">
        <is>
          <t>休日</t>
        </is>
      </c>
      <c r="C2449" s="10" t="inlineStr">
        <is>
          <t>北野線</t>
        </is>
      </c>
      <c r="D2449" s="10" t="inlineStr">
        <is>
          <t>下り</t>
        </is>
      </c>
      <c r="E2449" t="inlineStr">
        <is>
          <t>1161</t>
        </is>
      </c>
      <c r="F2449" t="inlineStr">
        <is>
          <t>0453</t>
        </is>
      </c>
      <c r="G2449" s="10" t="inlineStr">
        <is>
          <t>御室仁和寺</t>
        </is>
      </c>
      <c r="H2449" s="10" t="inlineStr">
        <is>
          <t>発</t>
        </is>
      </c>
      <c r="J2449" s="10" t="inlineStr">
        <is>
          <t>営業</t>
        </is>
      </c>
      <c r="L2449" t="inlineStr">
        <is>
          <t>11:57:50</t>
        </is>
      </c>
      <c r="M2449" t="inlineStr">
        <is>
          <t>11:58:05</t>
        </is>
      </c>
      <c r="U2449" t="inlineStr">
        <is>
          <t>→帷子ノ辻 退勤(中休302分)</t>
        </is>
      </c>
    </row>
    <row r="2450" ht="15" customHeight="1" s="37">
      <c r="A2450" t="n">
        <v>20</v>
      </c>
      <c r="B2450" s="10" t="inlineStr">
        <is>
          <t>休日</t>
        </is>
      </c>
      <c r="C2450" s="10" t="inlineStr">
        <is>
          <t>北野線</t>
        </is>
      </c>
      <c r="D2450" s="10" t="inlineStr">
        <is>
          <t>下り</t>
        </is>
      </c>
      <c r="E2450" t="inlineStr">
        <is>
          <t>1161</t>
        </is>
      </c>
      <c r="F2450" t="inlineStr">
        <is>
          <t>0453</t>
        </is>
      </c>
      <c r="G2450" s="10" t="inlineStr">
        <is>
          <t>宇多野</t>
        </is>
      </c>
      <c r="H2450" s="10" t="inlineStr">
        <is>
          <t>発</t>
        </is>
      </c>
      <c r="J2450" s="10" t="inlineStr">
        <is>
          <t>営業</t>
        </is>
      </c>
      <c r="L2450" t="inlineStr">
        <is>
          <t>11:59:05</t>
        </is>
      </c>
      <c r="M2450" t="inlineStr">
        <is>
          <t>11:59:15</t>
        </is>
      </c>
      <c r="U2450" t="inlineStr">
        <is>
          <t>→帷子ノ辻 退勤(中休302分)</t>
        </is>
      </c>
    </row>
    <row r="2451" ht="15" customHeight="1" s="37">
      <c r="A2451" t="n">
        <v>20</v>
      </c>
      <c r="B2451" s="10" t="inlineStr">
        <is>
          <t>休日</t>
        </is>
      </c>
      <c r="C2451" s="10" t="inlineStr">
        <is>
          <t>北野線</t>
        </is>
      </c>
      <c r="D2451" s="10" t="inlineStr">
        <is>
          <t>下り</t>
        </is>
      </c>
      <c r="E2451" t="inlineStr">
        <is>
          <t>1161</t>
        </is>
      </c>
      <c r="F2451" t="inlineStr">
        <is>
          <t>0453</t>
        </is>
      </c>
      <c r="G2451" s="10" t="inlineStr">
        <is>
          <t>鳴滝</t>
        </is>
      </c>
      <c r="H2451" s="10" t="inlineStr">
        <is>
          <t>発</t>
        </is>
      </c>
      <c r="J2451" s="10" t="inlineStr">
        <is>
          <t>営業</t>
        </is>
      </c>
      <c r="L2451" t="inlineStr">
        <is>
          <t>12:00:35</t>
        </is>
      </c>
      <c r="M2451" t="inlineStr">
        <is>
          <t>12:00:45</t>
        </is>
      </c>
      <c r="U2451" t="inlineStr">
        <is>
          <t>→帷子ノ辻 退勤(中休302分)</t>
        </is>
      </c>
    </row>
    <row r="2452" ht="15" customHeight="1" s="37">
      <c r="A2452" t="n">
        <v>20</v>
      </c>
      <c r="B2452" s="10" t="inlineStr">
        <is>
          <t>休日</t>
        </is>
      </c>
      <c r="C2452" s="10" t="inlineStr">
        <is>
          <t>北野線</t>
        </is>
      </c>
      <c r="D2452" s="10" t="inlineStr">
        <is>
          <t>下り</t>
        </is>
      </c>
      <c r="E2452" t="inlineStr">
        <is>
          <t>1161</t>
        </is>
      </c>
      <c r="F2452" t="inlineStr">
        <is>
          <t>0453</t>
        </is>
      </c>
      <c r="G2452" s="10" t="inlineStr">
        <is>
          <t>常盤</t>
        </is>
      </c>
      <c r="H2452" s="10" t="inlineStr">
        <is>
          <t>発</t>
        </is>
      </c>
      <c r="J2452" s="10" t="inlineStr">
        <is>
          <t>営業</t>
        </is>
      </c>
      <c r="L2452" t="inlineStr">
        <is>
          <t>12:01:35</t>
        </is>
      </c>
      <c r="M2452" t="inlineStr">
        <is>
          <t>12:01:55</t>
        </is>
      </c>
      <c r="U2452" t="inlineStr">
        <is>
          <t>→帷子ノ辻 退勤(中休302分)</t>
        </is>
      </c>
    </row>
    <row r="2453" ht="15" customHeight="1" s="37">
      <c r="A2453" t="n">
        <v>20</v>
      </c>
      <c r="B2453" s="10" t="inlineStr">
        <is>
          <t>休日</t>
        </is>
      </c>
      <c r="C2453" s="10" t="inlineStr">
        <is>
          <t>北野線</t>
        </is>
      </c>
      <c r="D2453" s="10" t="inlineStr">
        <is>
          <t>下り</t>
        </is>
      </c>
      <c r="E2453" t="inlineStr">
        <is>
          <t>1161</t>
        </is>
      </c>
      <c r="F2453" t="inlineStr">
        <is>
          <t>0453</t>
        </is>
      </c>
      <c r="G2453" s="10" t="inlineStr">
        <is>
          <t>撮影所前</t>
        </is>
      </c>
      <c r="H2453" s="10" t="inlineStr">
        <is>
          <t>発</t>
        </is>
      </c>
      <c r="J2453" s="10" t="inlineStr">
        <is>
          <t>営業</t>
        </is>
      </c>
      <c r="L2453" t="inlineStr">
        <is>
          <t>12:03:15</t>
        </is>
      </c>
      <c r="M2453" t="inlineStr">
        <is>
          <t>12:03:30</t>
        </is>
      </c>
      <c r="U2453" t="inlineStr">
        <is>
          <t>→帷子ノ辻 退勤(中休302分)</t>
        </is>
      </c>
    </row>
    <row r="2454" ht="15" customHeight="1" s="37">
      <c r="A2454" t="n">
        <v>20</v>
      </c>
      <c r="B2454" s="10" t="inlineStr">
        <is>
          <t>休日</t>
        </is>
      </c>
      <c r="C2454" s="10" t="inlineStr">
        <is>
          <t>北野線</t>
        </is>
      </c>
      <c r="D2454" s="10" t="inlineStr">
        <is>
          <t>下り</t>
        </is>
      </c>
      <c r="E2454" t="inlineStr">
        <is>
          <t>1161</t>
        </is>
      </c>
      <c r="F2454" t="inlineStr">
        <is>
          <t>0453</t>
        </is>
      </c>
      <c r="G2454" s="10" t="inlineStr">
        <is>
          <t>帷子ノ辻</t>
        </is>
      </c>
      <c r="H2454" s="10" t="inlineStr">
        <is>
          <t>着</t>
        </is>
      </c>
      <c r="J2454" s="10" t="inlineStr">
        <is>
          <t>営業</t>
        </is>
      </c>
      <c r="L2454" t="inlineStr">
        <is>
          <t>12:04:25</t>
        </is>
      </c>
      <c r="Q2454" t="inlineStr">
        <is>
          <t>3</t>
        </is>
      </c>
      <c r="U2454" t="inlineStr">
        <is>
          <t>→帷子ノ辻 退勤(中休302分)</t>
        </is>
      </c>
    </row>
    <row r="2455" ht="15" customHeight="1" s="37">
      <c r="A2455" t="n">
        <v>20</v>
      </c>
      <c r="B2455" s="10" t="inlineStr">
        <is>
          <t>休日</t>
        </is>
      </c>
      <c r="C2455" s="10" t="inlineStr">
        <is>
          <t>北野線</t>
        </is>
      </c>
      <c r="D2455" s="10" t="inlineStr">
        <is>
          <t>上り</t>
        </is>
      </c>
      <c r="E2455" t="inlineStr">
        <is>
          <t>1752</t>
        </is>
      </c>
      <c r="F2455" t="inlineStr">
        <is>
          <t>0354</t>
        </is>
      </c>
      <c r="G2455" s="10" t="inlineStr">
        <is>
          <t>帷子ノ辻</t>
        </is>
      </c>
      <c r="H2455" s="10" t="inlineStr">
        <is>
          <t>発</t>
        </is>
      </c>
      <c r="J2455" s="10" t="inlineStr">
        <is>
          <t>営業</t>
        </is>
      </c>
      <c r="M2455" t="inlineStr">
        <is>
          <t>17:06:25</t>
        </is>
      </c>
      <c r="Q2455" t="inlineStr">
        <is>
          <t>4</t>
        </is>
      </c>
    </row>
    <row r="2456" ht="15" customHeight="1" s="37">
      <c r="A2456" t="n">
        <v>20</v>
      </c>
      <c r="B2456" s="10" t="inlineStr">
        <is>
          <t>休日</t>
        </is>
      </c>
      <c r="C2456" s="10" t="inlineStr">
        <is>
          <t>北野線</t>
        </is>
      </c>
      <c r="D2456" s="10" t="inlineStr">
        <is>
          <t>上り</t>
        </is>
      </c>
      <c r="E2456" t="inlineStr">
        <is>
          <t>1752</t>
        </is>
      </c>
      <c r="F2456" t="inlineStr">
        <is>
          <t>0354</t>
        </is>
      </c>
      <c r="G2456" s="10" t="inlineStr">
        <is>
          <t>撮影所前</t>
        </is>
      </c>
      <c r="H2456" s="10" t="inlineStr">
        <is>
          <t>発</t>
        </is>
      </c>
      <c r="J2456" s="10" t="inlineStr">
        <is>
          <t>営業</t>
        </is>
      </c>
      <c r="L2456" t="inlineStr">
        <is>
          <t>17:07:25</t>
        </is>
      </c>
      <c r="M2456" t="inlineStr">
        <is>
          <t>17:07:40</t>
        </is>
      </c>
    </row>
    <row r="2457" ht="15" customHeight="1" s="37">
      <c r="A2457" t="n">
        <v>20</v>
      </c>
      <c r="B2457" s="10" t="inlineStr">
        <is>
          <t>休日</t>
        </is>
      </c>
      <c r="C2457" s="10" t="inlineStr">
        <is>
          <t>北野線</t>
        </is>
      </c>
      <c r="D2457" s="10" t="inlineStr">
        <is>
          <t>上り</t>
        </is>
      </c>
      <c r="E2457" t="inlineStr">
        <is>
          <t>1752</t>
        </is>
      </c>
      <c r="F2457" t="inlineStr">
        <is>
          <t>0354</t>
        </is>
      </c>
      <c r="G2457" s="10" t="inlineStr">
        <is>
          <t>常盤</t>
        </is>
      </c>
      <c r="H2457" s="10" t="inlineStr">
        <is>
          <t>発</t>
        </is>
      </c>
      <c r="J2457" s="10" t="inlineStr">
        <is>
          <t>営業</t>
        </is>
      </c>
      <c r="L2457" t="inlineStr">
        <is>
          <t>17:09:00</t>
        </is>
      </c>
      <c r="M2457" t="inlineStr">
        <is>
          <t>17:09:20</t>
        </is>
      </c>
    </row>
    <row r="2458" ht="15" customHeight="1" s="37">
      <c r="A2458" t="n">
        <v>20</v>
      </c>
      <c r="B2458" s="10" t="inlineStr">
        <is>
          <t>休日</t>
        </is>
      </c>
      <c r="C2458" s="10" t="inlineStr">
        <is>
          <t>北野線</t>
        </is>
      </c>
      <c r="D2458" s="10" t="inlineStr">
        <is>
          <t>上り</t>
        </is>
      </c>
      <c r="E2458" t="inlineStr">
        <is>
          <t>1752</t>
        </is>
      </c>
      <c r="F2458" t="inlineStr">
        <is>
          <t>0354</t>
        </is>
      </c>
      <c r="G2458" s="10" t="inlineStr">
        <is>
          <t>鳴滝</t>
        </is>
      </c>
      <c r="H2458" s="10" t="inlineStr">
        <is>
          <t>発</t>
        </is>
      </c>
      <c r="J2458" s="10" t="inlineStr">
        <is>
          <t>営業</t>
        </is>
      </c>
      <c r="L2458" t="inlineStr">
        <is>
          <t>17:10:20</t>
        </is>
      </c>
      <c r="M2458" t="inlineStr">
        <is>
          <t>17:10:40</t>
        </is>
      </c>
    </row>
    <row r="2459" ht="15" customHeight="1" s="37">
      <c r="A2459" t="n">
        <v>20</v>
      </c>
      <c r="B2459" s="10" t="inlineStr">
        <is>
          <t>休日</t>
        </is>
      </c>
      <c r="C2459" s="10" t="inlineStr">
        <is>
          <t>北野線</t>
        </is>
      </c>
      <c r="D2459" s="10" t="inlineStr">
        <is>
          <t>上り</t>
        </is>
      </c>
      <c r="E2459" t="inlineStr">
        <is>
          <t>1752</t>
        </is>
      </c>
      <c r="F2459" t="inlineStr">
        <is>
          <t>0354</t>
        </is>
      </c>
      <c r="G2459" s="10" t="inlineStr">
        <is>
          <t>宇多野</t>
        </is>
      </c>
      <c r="H2459" s="10" t="inlineStr">
        <is>
          <t>発</t>
        </is>
      </c>
      <c r="J2459" s="10" t="inlineStr">
        <is>
          <t>営業</t>
        </is>
      </c>
      <c r="L2459" t="inlineStr">
        <is>
          <t>17:12:00</t>
        </is>
      </c>
      <c r="M2459" t="inlineStr">
        <is>
          <t>17:12:15</t>
        </is>
      </c>
    </row>
    <row r="2460" ht="15" customHeight="1" s="37">
      <c r="A2460" t="n">
        <v>20</v>
      </c>
      <c r="B2460" s="10" t="inlineStr">
        <is>
          <t>休日</t>
        </is>
      </c>
      <c r="C2460" s="10" t="inlineStr">
        <is>
          <t>北野線</t>
        </is>
      </c>
      <c r="D2460" s="10" t="inlineStr">
        <is>
          <t>上り</t>
        </is>
      </c>
      <c r="E2460" t="inlineStr">
        <is>
          <t>1752</t>
        </is>
      </c>
      <c r="F2460" t="inlineStr">
        <is>
          <t>0354</t>
        </is>
      </c>
      <c r="G2460" s="10" t="inlineStr">
        <is>
          <t>御室仁和寺</t>
        </is>
      </c>
      <c r="H2460" s="10" t="inlineStr">
        <is>
          <t>発</t>
        </is>
      </c>
      <c r="J2460" s="10" t="inlineStr">
        <is>
          <t>営業</t>
        </is>
      </c>
      <c r="L2460" t="inlineStr">
        <is>
          <t>17:13:15</t>
        </is>
      </c>
      <c r="M2460" t="inlineStr">
        <is>
          <t>17:13:35</t>
        </is>
      </c>
    </row>
    <row r="2461" ht="15" customHeight="1" s="37">
      <c r="A2461" t="n">
        <v>20</v>
      </c>
      <c r="B2461" s="10" t="inlineStr">
        <is>
          <t>休日</t>
        </is>
      </c>
      <c r="C2461" s="10" t="inlineStr">
        <is>
          <t>北野線</t>
        </is>
      </c>
      <c r="D2461" s="10" t="inlineStr">
        <is>
          <t>上り</t>
        </is>
      </c>
      <c r="E2461" t="inlineStr">
        <is>
          <t>1752</t>
        </is>
      </c>
      <c r="F2461" t="inlineStr">
        <is>
          <t>0354</t>
        </is>
      </c>
      <c r="G2461" s="10" t="inlineStr">
        <is>
          <t>妙心寺</t>
        </is>
      </c>
      <c r="H2461" s="10" t="inlineStr">
        <is>
          <t>発</t>
        </is>
      </c>
      <c r="J2461" s="10" t="inlineStr">
        <is>
          <t>営業</t>
        </is>
      </c>
      <c r="L2461" t="inlineStr">
        <is>
          <t>17:14:35</t>
        </is>
      </c>
      <c r="M2461" t="inlineStr">
        <is>
          <t>17:14:50</t>
        </is>
      </c>
    </row>
    <row r="2462" ht="15" customHeight="1" s="37">
      <c r="A2462" t="n">
        <v>20</v>
      </c>
      <c r="B2462" s="10" t="inlineStr">
        <is>
          <t>休日</t>
        </is>
      </c>
      <c r="C2462" s="10" t="inlineStr">
        <is>
          <t>北野線</t>
        </is>
      </c>
      <c r="D2462" s="10" t="inlineStr">
        <is>
          <t>上り</t>
        </is>
      </c>
      <c r="E2462" t="inlineStr">
        <is>
          <t>1752</t>
        </is>
      </c>
      <c r="F2462" t="inlineStr">
        <is>
          <t>0354</t>
        </is>
      </c>
      <c r="G2462" s="10" t="inlineStr">
        <is>
          <t>龍安寺</t>
        </is>
      </c>
      <c r="H2462" s="10" t="inlineStr">
        <is>
          <t>発</t>
        </is>
      </c>
      <c r="J2462" s="10" t="inlineStr">
        <is>
          <t>営業</t>
        </is>
      </c>
      <c r="L2462" t="inlineStr">
        <is>
          <t>17:15:45</t>
        </is>
      </c>
      <c r="M2462" t="inlineStr">
        <is>
          <t>17:15:55</t>
        </is>
      </c>
    </row>
    <row r="2463" ht="15" customHeight="1" s="37">
      <c r="A2463" t="n">
        <v>20</v>
      </c>
      <c r="B2463" s="10" t="inlineStr">
        <is>
          <t>休日</t>
        </is>
      </c>
      <c r="C2463" s="10" t="inlineStr">
        <is>
          <t>北野線</t>
        </is>
      </c>
      <c r="D2463" s="10" t="inlineStr">
        <is>
          <t>上り</t>
        </is>
      </c>
      <c r="E2463" t="inlineStr">
        <is>
          <t>1752</t>
        </is>
      </c>
      <c r="F2463" t="inlineStr">
        <is>
          <t>0354</t>
        </is>
      </c>
      <c r="G2463" s="10" t="inlineStr">
        <is>
          <t>等持院</t>
        </is>
      </c>
      <c r="H2463" s="10" t="inlineStr">
        <is>
          <t>発</t>
        </is>
      </c>
      <c r="J2463" s="10" t="inlineStr">
        <is>
          <t>営業</t>
        </is>
      </c>
      <c r="L2463" t="inlineStr">
        <is>
          <t>17:16:35</t>
        </is>
      </c>
      <c r="M2463" t="inlineStr">
        <is>
          <t>17:16:55</t>
        </is>
      </c>
    </row>
    <row r="2464" ht="15" customHeight="1" s="37">
      <c r="A2464" t="n">
        <v>20</v>
      </c>
      <c r="B2464" s="10" t="inlineStr">
        <is>
          <t>休日</t>
        </is>
      </c>
      <c r="C2464" s="10" t="inlineStr">
        <is>
          <t>北野線</t>
        </is>
      </c>
      <c r="D2464" s="10" t="inlineStr">
        <is>
          <t>上り</t>
        </is>
      </c>
      <c r="E2464" t="inlineStr">
        <is>
          <t>1752</t>
        </is>
      </c>
      <c r="F2464" t="inlineStr">
        <is>
          <t>0354</t>
        </is>
      </c>
      <c r="G2464" s="10" t="inlineStr">
        <is>
          <t>北野白梅町</t>
        </is>
      </c>
      <c r="H2464" s="10" t="inlineStr">
        <is>
          <t>着</t>
        </is>
      </c>
      <c r="J2464" s="10" t="inlineStr">
        <is>
          <t>営業</t>
        </is>
      </c>
      <c r="L2464" t="inlineStr">
        <is>
          <t>17:18:15</t>
        </is>
      </c>
      <c r="Q2464" t="inlineStr">
        <is>
          <t>1</t>
        </is>
      </c>
    </row>
    <row r="2465" ht="15" customHeight="1" s="37">
      <c r="A2465" t="n">
        <v>20</v>
      </c>
      <c r="B2465" s="10" t="inlineStr">
        <is>
          <t>休日</t>
        </is>
      </c>
      <c r="C2465" s="10" t="inlineStr">
        <is>
          <t>北野線</t>
        </is>
      </c>
      <c r="D2465" s="10" t="inlineStr">
        <is>
          <t>下り</t>
        </is>
      </c>
      <c r="E2465" t="inlineStr">
        <is>
          <t>1755</t>
        </is>
      </c>
      <c r="F2465" t="inlineStr">
        <is>
          <t>0453</t>
        </is>
      </c>
      <c r="G2465" s="10" t="inlineStr">
        <is>
          <t>北野白梅町</t>
        </is>
      </c>
      <c r="H2465" s="10" t="inlineStr">
        <is>
          <t>発</t>
        </is>
      </c>
      <c r="J2465" s="10" t="inlineStr">
        <is>
          <t>営業</t>
        </is>
      </c>
      <c r="M2465" t="inlineStr">
        <is>
          <t>17:23:00</t>
        </is>
      </c>
      <c r="Q2465" t="inlineStr">
        <is>
          <t>1</t>
        </is>
      </c>
    </row>
    <row r="2466" ht="15" customHeight="1" s="37">
      <c r="A2466" t="n">
        <v>20</v>
      </c>
      <c r="B2466" s="10" t="inlineStr">
        <is>
          <t>休日</t>
        </is>
      </c>
      <c r="C2466" s="10" t="inlineStr">
        <is>
          <t>北野線</t>
        </is>
      </c>
      <c r="D2466" s="10" t="inlineStr">
        <is>
          <t>下り</t>
        </is>
      </c>
      <c r="E2466" t="inlineStr">
        <is>
          <t>1755</t>
        </is>
      </c>
      <c r="F2466" t="inlineStr">
        <is>
          <t>0453</t>
        </is>
      </c>
      <c r="G2466" s="10" t="inlineStr">
        <is>
          <t>等持院</t>
        </is>
      </c>
      <c r="H2466" s="10" t="inlineStr">
        <is>
          <t>発</t>
        </is>
      </c>
      <c r="J2466" s="10" t="inlineStr">
        <is>
          <t>営業</t>
        </is>
      </c>
      <c r="L2466" t="inlineStr">
        <is>
          <t>17:24:25</t>
        </is>
      </c>
      <c r="M2466" t="inlineStr">
        <is>
          <t>17:24:35</t>
        </is>
      </c>
    </row>
    <row r="2467" ht="15" customHeight="1" s="37">
      <c r="A2467" t="n">
        <v>20</v>
      </c>
      <c r="B2467" s="10" t="inlineStr">
        <is>
          <t>休日</t>
        </is>
      </c>
      <c r="C2467" s="10" t="inlineStr">
        <is>
          <t>北野線</t>
        </is>
      </c>
      <c r="D2467" s="10" t="inlineStr">
        <is>
          <t>下り</t>
        </is>
      </c>
      <c r="E2467" t="inlineStr">
        <is>
          <t>1755</t>
        </is>
      </c>
      <c r="F2467" t="inlineStr">
        <is>
          <t>0453</t>
        </is>
      </c>
      <c r="G2467" s="10" t="inlineStr">
        <is>
          <t>龍安寺</t>
        </is>
      </c>
      <c r="H2467" s="10" t="inlineStr">
        <is>
          <t>発</t>
        </is>
      </c>
      <c r="J2467" s="10" t="inlineStr">
        <is>
          <t>営業</t>
        </is>
      </c>
      <c r="L2467" t="inlineStr">
        <is>
          <t>17:25:25</t>
        </is>
      </c>
      <c r="M2467" t="inlineStr">
        <is>
          <t>17:25:50</t>
        </is>
      </c>
    </row>
    <row r="2468" ht="15" customHeight="1" s="37">
      <c r="A2468" t="n">
        <v>20</v>
      </c>
      <c r="B2468" s="10" t="inlineStr">
        <is>
          <t>休日</t>
        </is>
      </c>
      <c r="C2468" s="10" t="inlineStr">
        <is>
          <t>北野線</t>
        </is>
      </c>
      <c r="D2468" s="10" t="inlineStr">
        <is>
          <t>下り</t>
        </is>
      </c>
      <c r="E2468" t="inlineStr">
        <is>
          <t>1755</t>
        </is>
      </c>
      <c r="F2468" t="inlineStr">
        <is>
          <t>0453</t>
        </is>
      </c>
      <c r="G2468" s="10" t="inlineStr">
        <is>
          <t>妙心寺</t>
        </is>
      </c>
      <c r="H2468" s="10" t="inlineStr">
        <is>
          <t>発</t>
        </is>
      </c>
      <c r="J2468" s="10" t="inlineStr">
        <is>
          <t>営業</t>
        </is>
      </c>
      <c r="L2468" t="inlineStr">
        <is>
          <t>17:26:40</t>
        </is>
      </c>
      <c r="M2468" t="inlineStr">
        <is>
          <t>17:26:50</t>
        </is>
      </c>
    </row>
    <row r="2469" ht="15" customHeight="1" s="37">
      <c r="A2469" t="n">
        <v>20</v>
      </c>
      <c r="B2469" s="10" t="inlineStr">
        <is>
          <t>休日</t>
        </is>
      </c>
      <c r="C2469" s="10" t="inlineStr">
        <is>
          <t>北野線</t>
        </is>
      </c>
      <c r="D2469" s="10" t="inlineStr">
        <is>
          <t>下り</t>
        </is>
      </c>
      <c r="E2469" t="inlineStr">
        <is>
          <t>1755</t>
        </is>
      </c>
      <c r="F2469" t="inlineStr">
        <is>
          <t>0453</t>
        </is>
      </c>
      <c r="G2469" s="10" t="inlineStr">
        <is>
          <t>御室仁和寺</t>
        </is>
      </c>
      <c r="H2469" s="10" t="inlineStr">
        <is>
          <t>発</t>
        </is>
      </c>
      <c r="J2469" s="10" t="inlineStr">
        <is>
          <t>営業</t>
        </is>
      </c>
      <c r="L2469" t="inlineStr">
        <is>
          <t>17:27:50</t>
        </is>
      </c>
      <c r="M2469" t="inlineStr">
        <is>
          <t>17:28:05</t>
        </is>
      </c>
    </row>
    <row r="2470" ht="15" customHeight="1" s="37">
      <c r="A2470" t="n">
        <v>20</v>
      </c>
      <c r="B2470" s="10" t="inlineStr">
        <is>
          <t>休日</t>
        </is>
      </c>
      <c r="C2470" s="10" t="inlineStr">
        <is>
          <t>北野線</t>
        </is>
      </c>
      <c r="D2470" s="10" t="inlineStr">
        <is>
          <t>下り</t>
        </is>
      </c>
      <c r="E2470" t="inlineStr">
        <is>
          <t>1755</t>
        </is>
      </c>
      <c r="F2470" t="inlineStr">
        <is>
          <t>0453</t>
        </is>
      </c>
      <c r="G2470" s="10" t="inlineStr">
        <is>
          <t>宇多野</t>
        </is>
      </c>
      <c r="H2470" s="10" t="inlineStr">
        <is>
          <t>発</t>
        </is>
      </c>
      <c r="J2470" s="10" t="inlineStr">
        <is>
          <t>営業</t>
        </is>
      </c>
      <c r="L2470" t="inlineStr">
        <is>
          <t>17:29:05</t>
        </is>
      </c>
      <c r="M2470" t="inlineStr">
        <is>
          <t>17:29:15</t>
        </is>
      </c>
    </row>
    <row r="2471" ht="15" customHeight="1" s="37">
      <c r="A2471" t="n">
        <v>20</v>
      </c>
      <c r="B2471" s="10" t="inlineStr">
        <is>
          <t>休日</t>
        </is>
      </c>
      <c r="C2471" s="10" t="inlineStr">
        <is>
          <t>北野線</t>
        </is>
      </c>
      <c r="D2471" s="10" t="inlineStr">
        <is>
          <t>下り</t>
        </is>
      </c>
      <c r="E2471" t="inlineStr">
        <is>
          <t>1755</t>
        </is>
      </c>
      <c r="F2471" t="inlineStr">
        <is>
          <t>0453</t>
        </is>
      </c>
      <c r="G2471" s="10" t="inlineStr">
        <is>
          <t>鳴滝</t>
        </is>
      </c>
      <c r="H2471" s="10" t="inlineStr">
        <is>
          <t>発</t>
        </is>
      </c>
      <c r="J2471" s="10" t="inlineStr">
        <is>
          <t>営業</t>
        </is>
      </c>
      <c r="L2471" t="inlineStr">
        <is>
          <t>17:30:35</t>
        </is>
      </c>
      <c r="M2471" t="inlineStr">
        <is>
          <t>17:30:45</t>
        </is>
      </c>
    </row>
    <row r="2472" ht="15" customHeight="1" s="37">
      <c r="A2472" t="n">
        <v>20</v>
      </c>
      <c r="B2472" s="10" t="inlineStr">
        <is>
          <t>休日</t>
        </is>
      </c>
      <c r="C2472" s="10" t="inlineStr">
        <is>
          <t>北野線</t>
        </is>
      </c>
      <c r="D2472" s="10" t="inlineStr">
        <is>
          <t>下り</t>
        </is>
      </c>
      <c r="E2472" t="inlineStr">
        <is>
          <t>1755</t>
        </is>
      </c>
      <c r="F2472" t="inlineStr">
        <is>
          <t>0453</t>
        </is>
      </c>
      <c r="G2472" s="10" t="inlineStr">
        <is>
          <t>常盤</t>
        </is>
      </c>
      <c r="H2472" s="10" t="inlineStr">
        <is>
          <t>発</t>
        </is>
      </c>
      <c r="J2472" s="10" t="inlineStr">
        <is>
          <t>営業</t>
        </is>
      </c>
      <c r="L2472" t="inlineStr">
        <is>
          <t>17:31:35</t>
        </is>
      </c>
      <c r="M2472" t="inlineStr">
        <is>
          <t>17:31:55</t>
        </is>
      </c>
    </row>
    <row r="2473" ht="15" customHeight="1" s="37">
      <c r="A2473" t="n">
        <v>20</v>
      </c>
      <c r="B2473" s="10" t="inlineStr">
        <is>
          <t>休日</t>
        </is>
      </c>
      <c r="C2473" s="10" t="inlineStr">
        <is>
          <t>北野線</t>
        </is>
      </c>
      <c r="D2473" s="10" t="inlineStr">
        <is>
          <t>下り</t>
        </is>
      </c>
      <c r="E2473" t="inlineStr">
        <is>
          <t>1755</t>
        </is>
      </c>
      <c r="F2473" t="inlineStr">
        <is>
          <t>0453</t>
        </is>
      </c>
      <c r="G2473" s="10" t="inlineStr">
        <is>
          <t>撮影所前</t>
        </is>
      </c>
      <c r="H2473" s="10" t="inlineStr">
        <is>
          <t>発</t>
        </is>
      </c>
      <c r="J2473" s="10" t="inlineStr">
        <is>
          <t>営業</t>
        </is>
      </c>
      <c r="L2473" t="inlineStr">
        <is>
          <t>17:33:15</t>
        </is>
      </c>
      <c r="M2473" t="inlineStr">
        <is>
          <t>17:33:30</t>
        </is>
      </c>
    </row>
    <row r="2474" ht="15" customHeight="1" s="37">
      <c r="A2474" t="n">
        <v>20</v>
      </c>
      <c r="B2474" s="10" t="inlineStr">
        <is>
          <t>休日</t>
        </is>
      </c>
      <c r="C2474" s="10" t="inlineStr">
        <is>
          <t>北野線</t>
        </is>
      </c>
      <c r="D2474" s="10" t="inlineStr">
        <is>
          <t>下り</t>
        </is>
      </c>
      <c r="E2474" t="inlineStr">
        <is>
          <t>1755</t>
        </is>
      </c>
      <c r="F2474" t="inlineStr">
        <is>
          <t>0453</t>
        </is>
      </c>
      <c r="G2474" s="10" t="inlineStr">
        <is>
          <t>帷子ノ辻</t>
        </is>
      </c>
      <c r="H2474" s="10" t="inlineStr">
        <is>
          <t>着</t>
        </is>
      </c>
      <c r="J2474" s="10" t="inlineStr">
        <is>
          <t>営業</t>
        </is>
      </c>
      <c r="L2474" t="inlineStr">
        <is>
          <t>17:34:25</t>
        </is>
      </c>
      <c r="Q2474" t="inlineStr">
        <is>
          <t>4</t>
        </is>
      </c>
    </row>
    <row r="2475" ht="15" customHeight="1" s="37">
      <c r="A2475" t="n">
        <v>20</v>
      </c>
      <c r="B2475" s="10" t="inlineStr">
        <is>
          <t>休日</t>
        </is>
      </c>
      <c r="C2475" s="10" t="inlineStr">
        <is>
          <t>北野線</t>
        </is>
      </c>
      <c r="D2475" s="10" t="inlineStr">
        <is>
          <t>上り</t>
        </is>
      </c>
      <c r="E2475" t="inlineStr">
        <is>
          <t>1760</t>
        </is>
      </c>
      <c r="F2475" t="inlineStr">
        <is>
          <t>0354</t>
        </is>
      </c>
      <c r="G2475" s="10" t="inlineStr">
        <is>
          <t>帷子ノ辻</t>
        </is>
      </c>
      <c r="H2475" s="10" t="inlineStr">
        <is>
          <t>発</t>
        </is>
      </c>
      <c r="J2475" s="10" t="inlineStr">
        <is>
          <t>営業</t>
        </is>
      </c>
      <c r="M2475" t="inlineStr">
        <is>
          <t>17:46:25</t>
        </is>
      </c>
      <c r="Q2475" t="inlineStr">
        <is>
          <t>4</t>
        </is>
      </c>
    </row>
    <row r="2476" ht="15" customHeight="1" s="37">
      <c r="A2476" t="n">
        <v>20</v>
      </c>
      <c r="B2476" s="10" t="inlineStr">
        <is>
          <t>休日</t>
        </is>
      </c>
      <c r="C2476" s="10" t="inlineStr">
        <is>
          <t>北野線</t>
        </is>
      </c>
      <c r="D2476" s="10" t="inlineStr">
        <is>
          <t>上り</t>
        </is>
      </c>
      <c r="E2476" t="inlineStr">
        <is>
          <t>1760</t>
        </is>
      </c>
      <c r="F2476" t="inlineStr">
        <is>
          <t>0354</t>
        </is>
      </c>
      <c r="G2476" s="10" t="inlineStr">
        <is>
          <t>撮影所前</t>
        </is>
      </c>
      <c r="H2476" s="10" t="inlineStr">
        <is>
          <t>発</t>
        </is>
      </c>
      <c r="J2476" s="10" t="inlineStr">
        <is>
          <t>営業</t>
        </is>
      </c>
      <c r="L2476" t="inlineStr">
        <is>
          <t>17:47:25</t>
        </is>
      </c>
      <c r="M2476" t="inlineStr">
        <is>
          <t>17:47:40</t>
        </is>
      </c>
    </row>
    <row r="2477" ht="15" customHeight="1" s="37">
      <c r="A2477" t="n">
        <v>20</v>
      </c>
      <c r="B2477" s="10" t="inlineStr">
        <is>
          <t>休日</t>
        </is>
      </c>
      <c r="C2477" s="10" t="inlineStr">
        <is>
          <t>北野線</t>
        </is>
      </c>
      <c r="D2477" s="10" t="inlineStr">
        <is>
          <t>上り</t>
        </is>
      </c>
      <c r="E2477" t="inlineStr">
        <is>
          <t>1760</t>
        </is>
      </c>
      <c r="F2477" t="inlineStr">
        <is>
          <t>0354</t>
        </is>
      </c>
      <c r="G2477" s="10" t="inlineStr">
        <is>
          <t>常盤</t>
        </is>
      </c>
      <c r="H2477" s="10" t="inlineStr">
        <is>
          <t>発</t>
        </is>
      </c>
      <c r="J2477" s="10" t="inlineStr">
        <is>
          <t>営業</t>
        </is>
      </c>
      <c r="L2477" t="inlineStr">
        <is>
          <t>17:49:00</t>
        </is>
      </c>
      <c r="M2477" t="inlineStr">
        <is>
          <t>17:49:20</t>
        </is>
      </c>
    </row>
    <row r="2478" ht="15" customHeight="1" s="37">
      <c r="A2478" t="n">
        <v>20</v>
      </c>
      <c r="B2478" s="10" t="inlineStr">
        <is>
          <t>休日</t>
        </is>
      </c>
      <c r="C2478" s="10" t="inlineStr">
        <is>
          <t>北野線</t>
        </is>
      </c>
      <c r="D2478" s="10" t="inlineStr">
        <is>
          <t>上り</t>
        </is>
      </c>
      <c r="E2478" t="inlineStr">
        <is>
          <t>1760</t>
        </is>
      </c>
      <c r="F2478" t="inlineStr">
        <is>
          <t>0354</t>
        </is>
      </c>
      <c r="G2478" s="10" t="inlineStr">
        <is>
          <t>鳴滝</t>
        </is>
      </c>
      <c r="H2478" s="10" t="inlineStr">
        <is>
          <t>発</t>
        </is>
      </c>
      <c r="J2478" s="10" t="inlineStr">
        <is>
          <t>営業</t>
        </is>
      </c>
      <c r="L2478" t="inlineStr">
        <is>
          <t>17:50:20</t>
        </is>
      </c>
      <c r="M2478" t="inlineStr">
        <is>
          <t>17:50:40</t>
        </is>
      </c>
    </row>
    <row r="2479" ht="15" customHeight="1" s="37">
      <c r="A2479" t="n">
        <v>20</v>
      </c>
      <c r="B2479" s="10" t="inlineStr">
        <is>
          <t>休日</t>
        </is>
      </c>
      <c r="C2479" s="10" t="inlineStr">
        <is>
          <t>北野線</t>
        </is>
      </c>
      <c r="D2479" s="10" t="inlineStr">
        <is>
          <t>上り</t>
        </is>
      </c>
      <c r="E2479" t="inlineStr">
        <is>
          <t>1760</t>
        </is>
      </c>
      <c r="F2479" t="inlineStr">
        <is>
          <t>0354</t>
        </is>
      </c>
      <c r="G2479" s="10" t="inlineStr">
        <is>
          <t>宇多野</t>
        </is>
      </c>
      <c r="H2479" s="10" t="inlineStr">
        <is>
          <t>発</t>
        </is>
      </c>
      <c r="J2479" s="10" t="inlineStr">
        <is>
          <t>営業</t>
        </is>
      </c>
      <c r="L2479" t="inlineStr">
        <is>
          <t>17:52:00</t>
        </is>
      </c>
      <c r="M2479" t="inlineStr">
        <is>
          <t>17:52:15</t>
        </is>
      </c>
    </row>
    <row r="2480" ht="15" customHeight="1" s="37">
      <c r="A2480" t="n">
        <v>20</v>
      </c>
      <c r="B2480" s="10" t="inlineStr">
        <is>
          <t>休日</t>
        </is>
      </c>
      <c r="C2480" s="10" t="inlineStr">
        <is>
          <t>北野線</t>
        </is>
      </c>
      <c r="D2480" s="10" t="inlineStr">
        <is>
          <t>上り</t>
        </is>
      </c>
      <c r="E2480" t="inlineStr">
        <is>
          <t>1760</t>
        </is>
      </c>
      <c r="F2480" t="inlineStr">
        <is>
          <t>0354</t>
        </is>
      </c>
      <c r="G2480" s="10" t="inlineStr">
        <is>
          <t>御室仁和寺</t>
        </is>
      </c>
      <c r="H2480" s="10" t="inlineStr">
        <is>
          <t>発</t>
        </is>
      </c>
      <c r="J2480" s="10" t="inlineStr">
        <is>
          <t>営業</t>
        </is>
      </c>
      <c r="L2480" t="inlineStr">
        <is>
          <t>17:53:15</t>
        </is>
      </c>
      <c r="M2480" t="inlineStr">
        <is>
          <t>17:53:35</t>
        </is>
      </c>
    </row>
    <row r="2481" ht="15" customHeight="1" s="37">
      <c r="A2481" t="n">
        <v>20</v>
      </c>
      <c r="B2481" s="10" t="inlineStr">
        <is>
          <t>休日</t>
        </is>
      </c>
      <c r="C2481" s="10" t="inlineStr">
        <is>
          <t>北野線</t>
        </is>
      </c>
      <c r="D2481" s="10" t="inlineStr">
        <is>
          <t>上り</t>
        </is>
      </c>
      <c r="E2481" t="inlineStr">
        <is>
          <t>1760</t>
        </is>
      </c>
      <c r="F2481" t="inlineStr">
        <is>
          <t>0354</t>
        </is>
      </c>
      <c r="G2481" s="10" t="inlineStr">
        <is>
          <t>妙心寺</t>
        </is>
      </c>
      <c r="H2481" s="10" t="inlineStr">
        <is>
          <t>発</t>
        </is>
      </c>
      <c r="J2481" s="10" t="inlineStr">
        <is>
          <t>営業</t>
        </is>
      </c>
      <c r="L2481" t="inlineStr">
        <is>
          <t>17:54:35</t>
        </is>
      </c>
      <c r="M2481" t="inlineStr">
        <is>
          <t>17:54:50</t>
        </is>
      </c>
    </row>
    <row r="2482" ht="15" customHeight="1" s="37">
      <c r="A2482" t="n">
        <v>20</v>
      </c>
      <c r="B2482" s="10" t="inlineStr">
        <is>
          <t>休日</t>
        </is>
      </c>
      <c r="C2482" s="10" t="inlineStr">
        <is>
          <t>北野線</t>
        </is>
      </c>
      <c r="D2482" s="10" t="inlineStr">
        <is>
          <t>上り</t>
        </is>
      </c>
      <c r="E2482" t="inlineStr">
        <is>
          <t>1760</t>
        </is>
      </c>
      <c r="F2482" t="inlineStr">
        <is>
          <t>0354</t>
        </is>
      </c>
      <c r="G2482" s="10" t="inlineStr">
        <is>
          <t>龍安寺</t>
        </is>
      </c>
      <c r="H2482" s="10" t="inlineStr">
        <is>
          <t>発</t>
        </is>
      </c>
      <c r="J2482" s="10" t="inlineStr">
        <is>
          <t>営業</t>
        </is>
      </c>
      <c r="L2482" t="inlineStr">
        <is>
          <t>17:55:45</t>
        </is>
      </c>
      <c r="M2482" t="inlineStr">
        <is>
          <t>17:55:55</t>
        </is>
      </c>
    </row>
    <row r="2483" ht="15" customHeight="1" s="37">
      <c r="A2483" t="n">
        <v>20</v>
      </c>
      <c r="B2483" s="10" t="inlineStr">
        <is>
          <t>休日</t>
        </is>
      </c>
      <c r="C2483" s="10" t="inlineStr">
        <is>
          <t>北野線</t>
        </is>
      </c>
      <c r="D2483" s="10" t="inlineStr">
        <is>
          <t>上り</t>
        </is>
      </c>
      <c r="E2483" t="inlineStr">
        <is>
          <t>1760</t>
        </is>
      </c>
      <c r="F2483" t="inlineStr">
        <is>
          <t>0354</t>
        </is>
      </c>
      <c r="G2483" s="10" t="inlineStr">
        <is>
          <t>等持院</t>
        </is>
      </c>
      <c r="H2483" s="10" t="inlineStr">
        <is>
          <t>発</t>
        </is>
      </c>
      <c r="J2483" s="10" t="inlineStr">
        <is>
          <t>営業</t>
        </is>
      </c>
      <c r="L2483" t="inlineStr">
        <is>
          <t>17:56:35</t>
        </is>
      </c>
      <c r="M2483" t="inlineStr">
        <is>
          <t>17:56:55</t>
        </is>
      </c>
    </row>
    <row r="2484" ht="15" customHeight="1" s="37">
      <c r="A2484" t="n">
        <v>20</v>
      </c>
      <c r="B2484" s="10" t="inlineStr">
        <is>
          <t>休日</t>
        </is>
      </c>
      <c r="C2484" s="10" t="inlineStr">
        <is>
          <t>北野線</t>
        </is>
      </c>
      <c r="D2484" s="10" t="inlineStr">
        <is>
          <t>上り</t>
        </is>
      </c>
      <c r="E2484" t="inlineStr">
        <is>
          <t>1760</t>
        </is>
      </c>
      <c r="F2484" t="inlineStr">
        <is>
          <t>0354</t>
        </is>
      </c>
      <c r="G2484" s="10" t="inlineStr">
        <is>
          <t>北野白梅町</t>
        </is>
      </c>
      <c r="H2484" s="10" t="inlineStr">
        <is>
          <t>着</t>
        </is>
      </c>
      <c r="J2484" s="10" t="inlineStr">
        <is>
          <t>営業</t>
        </is>
      </c>
      <c r="L2484" t="inlineStr">
        <is>
          <t>17:58:15</t>
        </is>
      </c>
      <c r="Q2484" t="inlineStr">
        <is>
          <t>1</t>
        </is>
      </c>
    </row>
    <row r="2485" ht="15" customHeight="1" s="37">
      <c r="A2485" t="n">
        <v>20</v>
      </c>
      <c r="B2485" s="10" t="inlineStr">
        <is>
          <t>休日</t>
        </is>
      </c>
      <c r="C2485" s="10" t="inlineStr">
        <is>
          <t>北野線</t>
        </is>
      </c>
      <c r="D2485" s="10" t="inlineStr">
        <is>
          <t>下り</t>
        </is>
      </c>
      <c r="E2485" t="inlineStr">
        <is>
          <t>1851</t>
        </is>
      </c>
      <c r="F2485" t="inlineStr">
        <is>
          <t>0453</t>
        </is>
      </c>
      <c r="G2485" s="10" t="inlineStr">
        <is>
          <t>北野白梅町</t>
        </is>
      </c>
      <c r="H2485" s="10" t="inlineStr">
        <is>
          <t>発</t>
        </is>
      </c>
      <c r="J2485" s="10" t="inlineStr">
        <is>
          <t>営業</t>
        </is>
      </c>
      <c r="M2485" t="inlineStr">
        <is>
          <t>18:03:00</t>
        </is>
      </c>
      <c r="Q2485" t="inlineStr">
        <is>
          <t>1</t>
        </is>
      </c>
    </row>
    <row r="2486" ht="15" customHeight="1" s="37">
      <c r="A2486" t="n">
        <v>20</v>
      </c>
      <c r="B2486" s="10" t="inlineStr">
        <is>
          <t>休日</t>
        </is>
      </c>
      <c r="C2486" s="10" t="inlineStr">
        <is>
          <t>北野線</t>
        </is>
      </c>
      <c r="D2486" s="10" t="inlineStr">
        <is>
          <t>下り</t>
        </is>
      </c>
      <c r="E2486" t="inlineStr">
        <is>
          <t>1851</t>
        </is>
      </c>
      <c r="F2486" t="inlineStr">
        <is>
          <t>0453</t>
        </is>
      </c>
      <c r="G2486" s="10" t="inlineStr">
        <is>
          <t>等持院</t>
        </is>
      </c>
      <c r="H2486" s="10" t="inlineStr">
        <is>
          <t>発</t>
        </is>
      </c>
      <c r="J2486" s="10" t="inlineStr">
        <is>
          <t>営業</t>
        </is>
      </c>
      <c r="L2486" t="inlineStr">
        <is>
          <t>18:04:25</t>
        </is>
      </c>
      <c r="M2486" t="inlineStr">
        <is>
          <t>18:04:35</t>
        </is>
      </c>
    </row>
    <row r="2487" ht="15" customHeight="1" s="37">
      <c r="A2487" t="n">
        <v>20</v>
      </c>
      <c r="B2487" s="10" t="inlineStr">
        <is>
          <t>休日</t>
        </is>
      </c>
      <c r="C2487" s="10" t="inlineStr">
        <is>
          <t>北野線</t>
        </is>
      </c>
      <c r="D2487" s="10" t="inlineStr">
        <is>
          <t>下り</t>
        </is>
      </c>
      <c r="E2487" t="inlineStr">
        <is>
          <t>1851</t>
        </is>
      </c>
      <c r="F2487" t="inlineStr">
        <is>
          <t>0453</t>
        </is>
      </c>
      <c r="G2487" s="10" t="inlineStr">
        <is>
          <t>龍安寺</t>
        </is>
      </c>
      <c r="H2487" s="10" t="inlineStr">
        <is>
          <t>発</t>
        </is>
      </c>
      <c r="J2487" s="10" t="inlineStr">
        <is>
          <t>営業</t>
        </is>
      </c>
      <c r="L2487" t="inlineStr">
        <is>
          <t>18:05:25</t>
        </is>
      </c>
      <c r="M2487" t="inlineStr">
        <is>
          <t>18:05:50</t>
        </is>
      </c>
    </row>
    <row r="2488" ht="15" customHeight="1" s="37">
      <c r="A2488" t="n">
        <v>20</v>
      </c>
      <c r="B2488" s="10" t="inlineStr">
        <is>
          <t>休日</t>
        </is>
      </c>
      <c r="C2488" s="10" t="inlineStr">
        <is>
          <t>北野線</t>
        </is>
      </c>
      <c r="D2488" s="10" t="inlineStr">
        <is>
          <t>下り</t>
        </is>
      </c>
      <c r="E2488" t="inlineStr">
        <is>
          <t>1851</t>
        </is>
      </c>
      <c r="F2488" t="inlineStr">
        <is>
          <t>0453</t>
        </is>
      </c>
      <c r="G2488" s="10" t="inlineStr">
        <is>
          <t>妙心寺</t>
        </is>
      </c>
      <c r="H2488" s="10" t="inlineStr">
        <is>
          <t>発</t>
        </is>
      </c>
      <c r="J2488" s="10" t="inlineStr">
        <is>
          <t>営業</t>
        </is>
      </c>
      <c r="L2488" t="inlineStr">
        <is>
          <t>18:06:40</t>
        </is>
      </c>
      <c r="M2488" t="inlineStr">
        <is>
          <t>18:06:50</t>
        </is>
      </c>
    </row>
    <row r="2489" ht="15" customHeight="1" s="37">
      <c r="A2489" t="n">
        <v>20</v>
      </c>
      <c r="B2489" s="10" t="inlineStr">
        <is>
          <t>休日</t>
        </is>
      </c>
      <c r="C2489" s="10" t="inlineStr">
        <is>
          <t>北野線</t>
        </is>
      </c>
      <c r="D2489" s="10" t="inlineStr">
        <is>
          <t>下り</t>
        </is>
      </c>
      <c r="E2489" t="inlineStr">
        <is>
          <t>1851</t>
        </is>
      </c>
      <c r="F2489" t="inlineStr">
        <is>
          <t>0453</t>
        </is>
      </c>
      <c r="G2489" s="10" t="inlineStr">
        <is>
          <t>御室仁和寺</t>
        </is>
      </c>
      <c r="H2489" s="10" t="inlineStr">
        <is>
          <t>発</t>
        </is>
      </c>
      <c r="J2489" s="10" t="inlineStr">
        <is>
          <t>営業</t>
        </is>
      </c>
      <c r="L2489" t="inlineStr">
        <is>
          <t>18:07:50</t>
        </is>
      </c>
      <c r="M2489" t="inlineStr">
        <is>
          <t>18:08:05</t>
        </is>
      </c>
    </row>
    <row r="2490" ht="15" customHeight="1" s="37">
      <c r="A2490" t="n">
        <v>20</v>
      </c>
      <c r="B2490" s="10" t="inlineStr">
        <is>
          <t>休日</t>
        </is>
      </c>
      <c r="C2490" s="10" t="inlineStr">
        <is>
          <t>北野線</t>
        </is>
      </c>
      <c r="D2490" s="10" t="inlineStr">
        <is>
          <t>下り</t>
        </is>
      </c>
      <c r="E2490" t="inlineStr">
        <is>
          <t>1851</t>
        </is>
      </c>
      <c r="F2490" t="inlineStr">
        <is>
          <t>0453</t>
        </is>
      </c>
      <c r="G2490" s="10" t="inlineStr">
        <is>
          <t>宇多野</t>
        </is>
      </c>
      <c r="H2490" s="10" t="inlineStr">
        <is>
          <t>発</t>
        </is>
      </c>
      <c r="J2490" s="10" t="inlineStr">
        <is>
          <t>営業</t>
        </is>
      </c>
      <c r="L2490" t="inlineStr">
        <is>
          <t>18:09:05</t>
        </is>
      </c>
      <c r="M2490" t="inlineStr">
        <is>
          <t>18:09:15</t>
        </is>
      </c>
    </row>
    <row r="2491" ht="16.5" customHeight="1" s="37">
      <c r="A2491" t="n">
        <v>20</v>
      </c>
      <c r="B2491" s="10" t="inlineStr">
        <is>
          <t>休日</t>
        </is>
      </c>
      <c r="C2491" s="10" t="inlineStr">
        <is>
          <t>北野線</t>
        </is>
      </c>
      <c r="D2491" s="10" t="inlineStr">
        <is>
          <t>下り</t>
        </is>
      </c>
      <c r="E2491" t="inlineStr">
        <is>
          <t>1851</t>
        </is>
      </c>
      <c r="F2491" t="inlineStr">
        <is>
          <t>0453</t>
        </is>
      </c>
      <c r="G2491" s="10" t="inlineStr">
        <is>
          <t>鳴滝</t>
        </is>
      </c>
      <c r="H2491" s="10" t="inlineStr">
        <is>
          <t>発</t>
        </is>
      </c>
      <c r="J2491" s="10" t="inlineStr">
        <is>
          <t>営業</t>
        </is>
      </c>
      <c r="L2491" t="inlineStr">
        <is>
          <t>18:10:35</t>
        </is>
      </c>
      <c r="M2491" t="inlineStr">
        <is>
          <t>18:10:45</t>
        </is>
      </c>
    </row>
    <row r="2492" ht="16.5" customHeight="1" s="37">
      <c r="A2492" t="n">
        <v>20</v>
      </c>
      <c r="B2492" s="10" t="inlineStr">
        <is>
          <t>休日</t>
        </is>
      </c>
      <c r="C2492" s="10" t="inlineStr">
        <is>
          <t>北野線</t>
        </is>
      </c>
      <c r="D2492" s="10" t="inlineStr">
        <is>
          <t>下り</t>
        </is>
      </c>
      <c r="E2492" t="inlineStr">
        <is>
          <t>1851</t>
        </is>
      </c>
      <c r="F2492" t="inlineStr">
        <is>
          <t>0453</t>
        </is>
      </c>
      <c r="G2492" s="10" t="inlineStr">
        <is>
          <t>常盤</t>
        </is>
      </c>
      <c r="H2492" s="10" t="inlineStr">
        <is>
          <t>発</t>
        </is>
      </c>
      <c r="J2492" s="10" t="inlineStr">
        <is>
          <t>営業</t>
        </is>
      </c>
      <c r="L2492" t="inlineStr">
        <is>
          <t>18:11:35</t>
        </is>
      </c>
      <c r="M2492" t="inlineStr">
        <is>
          <t>18:11:55</t>
        </is>
      </c>
    </row>
    <row r="2493" ht="16.5" customHeight="1" s="37">
      <c r="A2493" t="n">
        <v>20</v>
      </c>
      <c r="B2493" s="10" t="inlineStr">
        <is>
          <t>休日</t>
        </is>
      </c>
      <c r="C2493" s="10" t="inlineStr">
        <is>
          <t>北野線</t>
        </is>
      </c>
      <c r="D2493" s="10" t="inlineStr">
        <is>
          <t>下り</t>
        </is>
      </c>
      <c r="E2493" t="inlineStr">
        <is>
          <t>1851</t>
        </is>
      </c>
      <c r="F2493" t="inlineStr">
        <is>
          <t>0453</t>
        </is>
      </c>
      <c r="G2493" s="10" t="inlineStr">
        <is>
          <t>撮影所前</t>
        </is>
      </c>
      <c r="H2493" s="10" t="inlineStr">
        <is>
          <t>発</t>
        </is>
      </c>
      <c r="J2493" s="10" t="inlineStr">
        <is>
          <t>営業</t>
        </is>
      </c>
      <c r="L2493" t="inlineStr">
        <is>
          <t>18:13:15</t>
        </is>
      </c>
      <c r="M2493" t="inlineStr">
        <is>
          <t>18:13:30</t>
        </is>
      </c>
    </row>
    <row r="2494" ht="16.5" customHeight="1" s="37">
      <c r="A2494" t="n">
        <v>20</v>
      </c>
      <c r="B2494" s="10" t="inlineStr">
        <is>
          <t>休日</t>
        </is>
      </c>
      <c r="C2494" s="10" t="inlineStr">
        <is>
          <t>北野線</t>
        </is>
      </c>
      <c r="D2494" s="10" t="inlineStr">
        <is>
          <t>下り</t>
        </is>
      </c>
      <c r="E2494" t="inlineStr">
        <is>
          <t>1851</t>
        </is>
      </c>
      <c r="F2494" t="inlineStr">
        <is>
          <t>0453</t>
        </is>
      </c>
      <c r="G2494" s="10" t="inlineStr">
        <is>
          <t>帷子ノ辻</t>
        </is>
      </c>
      <c r="H2494" s="10" t="inlineStr">
        <is>
          <t>着</t>
        </is>
      </c>
      <c r="J2494" s="10" t="inlineStr">
        <is>
          <t>営業</t>
        </is>
      </c>
      <c r="L2494" t="inlineStr">
        <is>
          <t>18:14:25</t>
        </is>
      </c>
      <c r="Q2494" t="inlineStr">
        <is>
          <t>4</t>
        </is>
      </c>
    </row>
    <row r="2495" ht="16.5" customHeight="1" s="37">
      <c r="A2495" t="n">
        <v>20</v>
      </c>
      <c r="B2495" s="10" t="inlineStr">
        <is>
          <t>休日</t>
        </is>
      </c>
      <c r="C2495" s="10" t="inlineStr">
        <is>
          <t>北野線</t>
        </is>
      </c>
      <c r="D2495" s="10" t="inlineStr">
        <is>
          <t>上り</t>
        </is>
      </c>
      <c r="E2495" t="inlineStr">
        <is>
          <t>1856</t>
        </is>
      </c>
      <c r="F2495" t="inlineStr">
        <is>
          <t>0304</t>
        </is>
      </c>
      <c r="G2495" s="10" t="inlineStr">
        <is>
          <t>帷子ノ辻</t>
        </is>
      </c>
      <c r="H2495" s="10" t="inlineStr">
        <is>
          <t>発</t>
        </is>
      </c>
      <c r="J2495" s="10" t="inlineStr">
        <is>
          <t>営業</t>
        </is>
      </c>
      <c r="M2495" t="inlineStr">
        <is>
          <t>18:26:25</t>
        </is>
      </c>
      <c r="Q2495" t="inlineStr">
        <is>
          <t>4</t>
        </is>
      </c>
    </row>
    <row r="2496" ht="16.5" customHeight="1" s="37">
      <c r="A2496" t="n">
        <v>20</v>
      </c>
      <c r="B2496" s="10" t="inlineStr">
        <is>
          <t>休日</t>
        </is>
      </c>
      <c r="C2496" s="10" t="inlineStr">
        <is>
          <t>北野線</t>
        </is>
      </c>
      <c r="D2496" s="10" t="inlineStr">
        <is>
          <t>上り</t>
        </is>
      </c>
      <c r="E2496" t="inlineStr">
        <is>
          <t>1856</t>
        </is>
      </c>
      <c r="F2496" t="inlineStr">
        <is>
          <t>0304</t>
        </is>
      </c>
      <c r="G2496" s="10" t="inlineStr">
        <is>
          <t>撮影所前</t>
        </is>
      </c>
      <c r="H2496" s="10" t="inlineStr">
        <is>
          <t>発</t>
        </is>
      </c>
      <c r="J2496" s="10" t="inlineStr">
        <is>
          <t>営業</t>
        </is>
      </c>
      <c r="L2496" t="inlineStr">
        <is>
          <t>18:27:25</t>
        </is>
      </c>
      <c r="M2496" t="inlineStr">
        <is>
          <t>18:27:40</t>
        </is>
      </c>
    </row>
    <row r="2497" ht="16.5" customHeight="1" s="37">
      <c r="A2497" t="n">
        <v>20</v>
      </c>
      <c r="B2497" s="10" t="inlineStr">
        <is>
          <t>休日</t>
        </is>
      </c>
      <c r="C2497" s="10" t="inlineStr">
        <is>
          <t>北野線</t>
        </is>
      </c>
      <c r="D2497" s="10" t="inlineStr">
        <is>
          <t>上り</t>
        </is>
      </c>
      <c r="E2497" t="inlineStr">
        <is>
          <t>1856</t>
        </is>
      </c>
      <c r="F2497" t="inlineStr">
        <is>
          <t>0304</t>
        </is>
      </c>
      <c r="G2497" s="10" t="inlineStr">
        <is>
          <t>常盤</t>
        </is>
      </c>
      <c r="H2497" s="10" t="inlineStr">
        <is>
          <t>発</t>
        </is>
      </c>
      <c r="J2497" s="10" t="inlineStr">
        <is>
          <t>営業</t>
        </is>
      </c>
      <c r="L2497" t="inlineStr">
        <is>
          <t>18:29:00</t>
        </is>
      </c>
      <c r="M2497" t="inlineStr">
        <is>
          <t>18:29:20</t>
        </is>
      </c>
    </row>
    <row r="2498" ht="16.5" customHeight="1" s="37">
      <c r="A2498" t="n">
        <v>20</v>
      </c>
      <c r="B2498" s="10" t="inlineStr">
        <is>
          <t>休日</t>
        </is>
      </c>
      <c r="C2498" s="10" t="inlineStr">
        <is>
          <t>北野線</t>
        </is>
      </c>
      <c r="D2498" s="10" t="inlineStr">
        <is>
          <t>上り</t>
        </is>
      </c>
      <c r="E2498" t="inlineStr">
        <is>
          <t>1856</t>
        </is>
      </c>
      <c r="F2498" t="inlineStr">
        <is>
          <t>0304</t>
        </is>
      </c>
      <c r="G2498" s="10" t="inlineStr">
        <is>
          <t>鳴滝</t>
        </is>
      </c>
      <c r="H2498" s="10" t="inlineStr">
        <is>
          <t>発</t>
        </is>
      </c>
      <c r="J2498" s="10" t="inlineStr">
        <is>
          <t>営業</t>
        </is>
      </c>
      <c r="L2498" t="inlineStr">
        <is>
          <t>18:30:20</t>
        </is>
      </c>
      <c r="M2498" t="inlineStr">
        <is>
          <t>18:30:40</t>
        </is>
      </c>
    </row>
    <row r="2499" ht="16.5" customHeight="1" s="37">
      <c r="A2499" t="n">
        <v>20</v>
      </c>
      <c r="B2499" s="10" t="inlineStr">
        <is>
          <t>休日</t>
        </is>
      </c>
      <c r="C2499" s="10" t="inlineStr">
        <is>
          <t>北野線</t>
        </is>
      </c>
      <c r="D2499" s="10" t="inlineStr">
        <is>
          <t>上り</t>
        </is>
      </c>
      <c r="E2499" t="inlineStr">
        <is>
          <t>1856</t>
        </is>
      </c>
      <c r="F2499" t="inlineStr">
        <is>
          <t>0304</t>
        </is>
      </c>
      <c r="G2499" s="10" t="inlineStr">
        <is>
          <t>宇多野</t>
        </is>
      </c>
      <c r="H2499" s="10" t="inlineStr">
        <is>
          <t>発</t>
        </is>
      </c>
      <c r="J2499" s="10" t="inlineStr">
        <is>
          <t>営業</t>
        </is>
      </c>
      <c r="L2499" t="inlineStr">
        <is>
          <t>18:32:00</t>
        </is>
      </c>
      <c r="M2499" t="inlineStr">
        <is>
          <t>18:32:15</t>
        </is>
      </c>
    </row>
    <row r="2500" ht="16.5" customHeight="1" s="37">
      <c r="A2500" t="n">
        <v>20</v>
      </c>
      <c r="B2500" s="10" t="inlineStr">
        <is>
          <t>休日</t>
        </is>
      </c>
      <c r="C2500" s="10" t="inlineStr">
        <is>
          <t>北野線</t>
        </is>
      </c>
      <c r="D2500" s="10" t="inlineStr">
        <is>
          <t>上り</t>
        </is>
      </c>
      <c r="E2500" t="inlineStr">
        <is>
          <t>1856</t>
        </is>
      </c>
      <c r="F2500" t="inlineStr">
        <is>
          <t>0304</t>
        </is>
      </c>
      <c r="G2500" s="10" t="inlineStr">
        <is>
          <t>御室仁和寺</t>
        </is>
      </c>
      <c r="H2500" s="10" t="inlineStr">
        <is>
          <t>発</t>
        </is>
      </c>
      <c r="J2500" s="10" t="inlineStr">
        <is>
          <t>営業</t>
        </is>
      </c>
      <c r="L2500" t="inlineStr">
        <is>
          <t>18:33:15</t>
        </is>
      </c>
      <c r="M2500" t="inlineStr">
        <is>
          <t>18:33:35</t>
        </is>
      </c>
    </row>
    <row r="2501" ht="16.5" customHeight="1" s="37">
      <c r="A2501" t="n">
        <v>20</v>
      </c>
      <c r="B2501" s="10" t="inlineStr">
        <is>
          <t>休日</t>
        </is>
      </c>
      <c r="C2501" s="10" t="inlineStr">
        <is>
          <t>北野線</t>
        </is>
      </c>
      <c r="D2501" s="10" t="inlineStr">
        <is>
          <t>上り</t>
        </is>
      </c>
      <c r="E2501" t="inlineStr">
        <is>
          <t>1856</t>
        </is>
      </c>
      <c r="F2501" t="inlineStr">
        <is>
          <t>0304</t>
        </is>
      </c>
      <c r="G2501" s="10" t="inlineStr">
        <is>
          <t>妙心寺</t>
        </is>
      </c>
      <c r="H2501" s="10" t="inlineStr">
        <is>
          <t>発</t>
        </is>
      </c>
      <c r="J2501" s="10" t="inlineStr">
        <is>
          <t>営業</t>
        </is>
      </c>
      <c r="L2501" t="inlineStr">
        <is>
          <t>18:34:35</t>
        </is>
      </c>
      <c r="M2501" t="inlineStr">
        <is>
          <t>18:34:50</t>
        </is>
      </c>
    </row>
    <row r="2502" ht="16.5" customHeight="1" s="37">
      <c r="A2502" t="n">
        <v>20</v>
      </c>
      <c r="B2502" s="10" t="inlineStr">
        <is>
          <t>休日</t>
        </is>
      </c>
      <c r="C2502" s="10" t="inlineStr">
        <is>
          <t>北野線</t>
        </is>
      </c>
      <c r="D2502" s="10" t="inlineStr">
        <is>
          <t>上り</t>
        </is>
      </c>
      <c r="E2502" t="inlineStr">
        <is>
          <t>1856</t>
        </is>
      </c>
      <c r="F2502" t="inlineStr">
        <is>
          <t>0304</t>
        </is>
      </c>
      <c r="G2502" s="10" t="inlineStr">
        <is>
          <t>龍安寺</t>
        </is>
      </c>
      <c r="H2502" s="10" t="inlineStr">
        <is>
          <t>発</t>
        </is>
      </c>
      <c r="J2502" s="10" t="inlineStr">
        <is>
          <t>営業</t>
        </is>
      </c>
      <c r="L2502" t="inlineStr">
        <is>
          <t>18:35:45</t>
        </is>
      </c>
      <c r="M2502" t="inlineStr">
        <is>
          <t>18:35:55</t>
        </is>
      </c>
    </row>
    <row r="2503" ht="16.5" customHeight="1" s="37">
      <c r="A2503" t="n">
        <v>20</v>
      </c>
      <c r="B2503" s="10" t="inlineStr">
        <is>
          <t>休日</t>
        </is>
      </c>
      <c r="C2503" s="10" t="inlineStr">
        <is>
          <t>北野線</t>
        </is>
      </c>
      <c r="D2503" s="10" t="inlineStr">
        <is>
          <t>上り</t>
        </is>
      </c>
      <c r="E2503" t="inlineStr">
        <is>
          <t>1856</t>
        </is>
      </c>
      <c r="F2503" t="inlineStr">
        <is>
          <t>0304</t>
        </is>
      </c>
      <c r="G2503" s="10" t="inlineStr">
        <is>
          <t>等持院</t>
        </is>
      </c>
      <c r="H2503" s="10" t="inlineStr">
        <is>
          <t>発</t>
        </is>
      </c>
      <c r="J2503" s="10" t="inlineStr">
        <is>
          <t>営業</t>
        </is>
      </c>
      <c r="L2503" t="inlineStr">
        <is>
          <t>18:36:35</t>
        </is>
      </c>
      <c r="M2503" t="inlineStr">
        <is>
          <t>18:36:55</t>
        </is>
      </c>
    </row>
    <row r="2504" ht="16.5" customHeight="1" s="37">
      <c r="A2504" t="n">
        <v>20</v>
      </c>
      <c r="B2504" s="10" t="inlineStr">
        <is>
          <t>休日</t>
        </is>
      </c>
      <c r="C2504" s="10" t="inlineStr">
        <is>
          <t>北野線</t>
        </is>
      </c>
      <c r="D2504" s="10" t="inlineStr">
        <is>
          <t>上り</t>
        </is>
      </c>
      <c r="E2504" t="inlineStr">
        <is>
          <t>1856</t>
        </is>
      </c>
      <c r="F2504" t="inlineStr">
        <is>
          <t>0304</t>
        </is>
      </c>
      <c r="G2504" s="10" t="inlineStr">
        <is>
          <t>北野白梅町</t>
        </is>
      </c>
      <c r="H2504" s="10" t="inlineStr">
        <is>
          <t>着</t>
        </is>
      </c>
      <c r="J2504" s="10" t="inlineStr">
        <is>
          <t>営業</t>
        </is>
      </c>
      <c r="L2504" t="inlineStr">
        <is>
          <t>18:38:15</t>
        </is>
      </c>
      <c r="N2504" t="inlineStr">
        <is>
          <t>○</t>
        </is>
      </c>
      <c r="Q2504" t="inlineStr">
        <is>
          <t>1</t>
        </is>
      </c>
    </row>
    <row r="2505" ht="16.5" customHeight="1" s="37">
      <c r="A2505" t="n">
        <v>20</v>
      </c>
      <c r="B2505" s="10" t="inlineStr">
        <is>
          <t>休日</t>
        </is>
      </c>
      <c r="C2505" s="10" t="inlineStr">
        <is>
          <t>北野線</t>
        </is>
      </c>
      <c r="D2505" s="10" t="inlineStr">
        <is>
          <t>下り</t>
        </is>
      </c>
      <c r="E2505" t="inlineStr">
        <is>
          <t>1859</t>
        </is>
      </c>
      <c r="F2505" t="inlineStr">
        <is>
          <t>0453</t>
        </is>
      </c>
      <c r="G2505" s="10" t="inlineStr">
        <is>
          <t>北野白梅町</t>
        </is>
      </c>
      <c r="H2505" s="10" t="inlineStr">
        <is>
          <t>発</t>
        </is>
      </c>
      <c r="J2505" s="10" t="inlineStr">
        <is>
          <t>営業</t>
        </is>
      </c>
      <c r="M2505" t="inlineStr">
        <is>
          <t>18:43:00</t>
        </is>
      </c>
      <c r="Q2505" t="inlineStr">
        <is>
          <t>1</t>
        </is>
      </c>
    </row>
    <row r="2506" ht="16.5" customHeight="1" s="37">
      <c r="A2506" t="n">
        <v>20</v>
      </c>
      <c r="B2506" s="10" t="inlineStr">
        <is>
          <t>休日</t>
        </is>
      </c>
      <c r="C2506" s="10" t="inlineStr">
        <is>
          <t>北野線</t>
        </is>
      </c>
      <c r="D2506" s="10" t="inlineStr">
        <is>
          <t>下り</t>
        </is>
      </c>
      <c r="E2506" t="inlineStr">
        <is>
          <t>1859</t>
        </is>
      </c>
      <c r="F2506" t="inlineStr">
        <is>
          <t>0453</t>
        </is>
      </c>
      <c r="G2506" s="10" t="inlineStr">
        <is>
          <t>等持院</t>
        </is>
      </c>
      <c r="H2506" s="10" t="inlineStr">
        <is>
          <t>発</t>
        </is>
      </c>
      <c r="J2506" s="10" t="inlineStr">
        <is>
          <t>営業</t>
        </is>
      </c>
      <c r="L2506" t="inlineStr">
        <is>
          <t>18:44:25</t>
        </is>
      </c>
      <c r="M2506" t="inlineStr">
        <is>
          <t>18:44:35</t>
        </is>
      </c>
    </row>
    <row r="2507" ht="16.5" customHeight="1" s="37">
      <c r="A2507" t="n">
        <v>20</v>
      </c>
      <c r="B2507" s="10" t="inlineStr">
        <is>
          <t>休日</t>
        </is>
      </c>
      <c r="C2507" s="10" t="inlineStr">
        <is>
          <t>北野線</t>
        </is>
      </c>
      <c r="D2507" s="10" t="inlineStr">
        <is>
          <t>下り</t>
        </is>
      </c>
      <c r="E2507" t="inlineStr">
        <is>
          <t>1859</t>
        </is>
      </c>
      <c r="F2507" t="inlineStr">
        <is>
          <t>0453</t>
        </is>
      </c>
      <c r="G2507" s="10" t="inlineStr">
        <is>
          <t>龍安寺</t>
        </is>
      </c>
      <c r="H2507" s="10" t="inlineStr">
        <is>
          <t>発</t>
        </is>
      </c>
      <c r="J2507" s="10" t="inlineStr">
        <is>
          <t>営業</t>
        </is>
      </c>
      <c r="L2507" t="inlineStr">
        <is>
          <t>18:45:25</t>
        </is>
      </c>
      <c r="M2507" t="inlineStr">
        <is>
          <t>18:45:50</t>
        </is>
      </c>
    </row>
    <row r="2508" ht="16.5" customHeight="1" s="37">
      <c r="A2508" t="n">
        <v>20</v>
      </c>
      <c r="B2508" s="10" t="inlineStr">
        <is>
          <t>休日</t>
        </is>
      </c>
      <c r="C2508" s="10" t="inlineStr">
        <is>
          <t>北野線</t>
        </is>
      </c>
      <c r="D2508" s="10" t="inlineStr">
        <is>
          <t>下り</t>
        </is>
      </c>
      <c r="E2508" t="inlineStr">
        <is>
          <t>1859</t>
        </is>
      </c>
      <c r="F2508" t="inlineStr">
        <is>
          <t>0453</t>
        </is>
      </c>
      <c r="G2508" s="10" t="inlineStr">
        <is>
          <t>妙心寺</t>
        </is>
      </c>
      <c r="H2508" s="10" t="inlineStr">
        <is>
          <t>発</t>
        </is>
      </c>
      <c r="J2508" s="10" t="inlineStr">
        <is>
          <t>営業</t>
        </is>
      </c>
      <c r="L2508" t="inlineStr">
        <is>
          <t>18:46:40</t>
        </is>
      </c>
      <c r="M2508" t="inlineStr">
        <is>
          <t>18:46:50</t>
        </is>
      </c>
    </row>
    <row r="2509" ht="16.5" customHeight="1" s="37">
      <c r="A2509" t="n">
        <v>20</v>
      </c>
      <c r="B2509" s="10" t="inlineStr">
        <is>
          <t>休日</t>
        </is>
      </c>
      <c r="C2509" s="10" t="inlineStr">
        <is>
          <t>北野線</t>
        </is>
      </c>
      <c r="D2509" s="10" t="inlineStr">
        <is>
          <t>下り</t>
        </is>
      </c>
      <c r="E2509" t="inlineStr">
        <is>
          <t>1859</t>
        </is>
      </c>
      <c r="F2509" t="inlineStr">
        <is>
          <t>0453</t>
        </is>
      </c>
      <c r="G2509" s="10" t="inlineStr">
        <is>
          <t>御室仁和寺</t>
        </is>
      </c>
      <c r="H2509" s="10" t="inlineStr">
        <is>
          <t>発</t>
        </is>
      </c>
      <c r="J2509" s="10" t="inlineStr">
        <is>
          <t>営業</t>
        </is>
      </c>
      <c r="L2509" t="inlineStr">
        <is>
          <t>18:47:50</t>
        </is>
      </c>
      <c r="M2509" t="inlineStr">
        <is>
          <t>18:48:05</t>
        </is>
      </c>
    </row>
    <row r="2510" ht="16.5" customHeight="1" s="37">
      <c r="A2510" t="n">
        <v>20</v>
      </c>
      <c r="B2510" s="10" t="inlineStr">
        <is>
          <t>休日</t>
        </is>
      </c>
      <c r="C2510" s="10" t="inlineStr">
        <is>
          <t>北野線</t>
        </is>
      </c>
      <c r="D2510" s="10" t="inlineStr">
        <is>
          <t>下り</t>
        </is>
      </c>
      <c r="E2510" t="inlineStr">
        <is>
          <t>1859</t>
        </is>
      </c>
      <c r="F2510" t="inlineStr">
        <is>
          <t>0453</t>
        </is>
      </c>
      <c r="G2510" s="10" t="inlineStr">
        <is>
          <t>宇多野</t>
        </is>
      </c>
      <c r="H2510" s="10" t="inlineStr">
        <is>
          <t>発</t>
        </is>
      </c>
      <c r="J2510" s="10" t="inlineStr">
        <is>
          <t>営業</t>
        </is>
      </c>
      <c r="L2510" t="inlineStr">
        <is>
          <t>18:49:05</t>
        </is>
      </c>
      <c r="M2510" t="inlineStr">
        <is>
          <t>18:49:15</t>
        </is>
      </c>
    </row>
    <row r="2511" ht="16.5" customHeight="1" s="37">
      <c r="A2511" t="n">
        <v>20</v>
      </c>
      <c r="B2511" s="10" t="inlineStr">
        <is>
          <t>休日</t>
        </is>
      </c>
      <c r="C2511" s="10" t="inlineStr">
        <is>
          <t>北野線</t>
        </is>
      </c>
      <c r="D2511" s="10" t="inlineStr">
        <is>
          <t>下り</t>
        </is>
      </c>
      <c r="E2511" t="inlineStr">
        <is>
          <t>1859</t>
        </is>
      </c>
      <c r="F2511" t="inlineStr">
        <is>
          <t>0453</t>
        </is>
      </c>
      <c r="G2511" s="10" t="inlineStr">
        <is>
          <t>鳴滝</t>
        </is>
      </c>
      <c r="H2511" s="10" t="inlineStr">
        <is>
          <t>発</t>
        </is>
      </c>
      <c r="J2511" s="10" t="inlineStr">
        <is>
          <t>営業</t>
        </is>
      </c>
      <c r="L2511" t="inlineStr">
        <is>
          <t>18:50:35</t>
        </is>
      </c>
      <c r="M2511" t="inlineStr">
        <is>
          <t>18:50:45</t>
        </is>
      </c>
    </row>
    <row r="2512" ht="16.5" customHeight="1" s="37">
      <c r="A2512" t="n">
        <v>20</v>
      </c>
      <c r="B2512" s="10" t="inlineStr">
        <is>
          <t>休日</t>
        </is>
      </c>
      <c r="C2512" s="10" t="inlineStr">
        <is>
          <t>北野線</t>
        </is>
      </c>
      <c r="D2512" s="10" t="inlineStr">
        <is>
          <t>下り</t>
        </is>
      </c>
      <c r="E2512" t="inlineStr">
        <is>
          <t>1859</t>
        </is>
      </c>
      <c r="F2512" t="inlineStr">
        <is>
          <t>0453</t>
        </is>
      </c>
      <c r="G2512" s="10" t="inlineStr">
        <is>
          <t>常盤</t>
        </is>
      </c>
      <c r="H2512" s="10" t="inlineStr">
        <is>
          <t>発</t>
        </is>
      </c>
      <c r="J2512" s="10" t="inlineStr">
        <is>
          <t>営業</t>
        </is>
      </c>
      <c r="L2512" t="inlineStr">
        <is>
          <t>18:51:35</t>
        </is>
      </c>
      <c r="M2512" t="inlineStr">
        <is>
          <t>18:51:55</t>
        </is>
      </c>
    </row>
    <row r="2513" ht="16.5" customHeight="1" s="37">
      <c r="A2513" t="n">
        <v>20</v>
      </c>
      <c r="B2513" s="10" t="inlineStr">
        <is>
          <t>休日</t>
        </is>
      </c>
      <c r="C2513" s="10" t="inlineStr">
        <is>
          <t>北野線</t>
        </is>
      </c>
      <c r="D2513" s="10" t="inlineStr">
        <is>
          <t>下り</t>
        </is>
      </c>
      <c r="E2513" t="inlineStr">
        <is>
          <t>1859</t>
        </is>
      </c>
      <c r="F2513" t="inlineStr">
        <is>
          <t>0453</t>
        </is>
      </c>
      <c r="G2513" s="10" t="inlineStr">
        <is>
          <t>撮影所前</t>
        </is>
      </c>
      <c r="H2513" s="10" t="inlineStr">
        <is>
          <t>発</t>
        </is>
      </c>
      <c r="J2513" s="10" t="inlineStr">
        <is>
          <t>営業</t>
        </is>
      </c>
      <c r="L2513" t="inlineStr">
        <is>
          <t>18:53:15</t>
        </is>
      </c>
      <c r="M2513" t="inlineStr">
        <is>
          <t>18:53:30</t>
        </is>
      </c>
    </row>
    <row r="2514" ht="16.5" customHeight="1" s="37">
      <c r="A2514" t="n">
        <v>20</v>
      </c>
      <c r="B2514" s="10" t="inlineStr">
        <is>
          <t>休日</t>
        </is>
      </c>
      <c r="C2514" s="10" t="inlineStr">
        <is>
          <t>北野線</t>
        </is>
      </c>
      <c r="D2514" s="10" t="inlineStr">
        <is>
          <t>下り</t>
        </is>
      </c>
      <c r="E2514" t="inlineStr">
        <is>
          <t>1859</t>
        </is>
      </c>
      <c r="F2514" t="inlineStr">
        <is>
          <t>0453</t>
        </is>
      </c>
      <c r="G2514" s="10" t="inlineStr">
        <is>
          <t>帷子ノ辻</t>
        </is>
      </c>
      <c r="H2514" s="10" t="inlineStr">
        <is>
          <t>着</t>
        </is>
      </c>
      <c r="J2514" s="10" t="inlineStr">
        <is>
          <t>営業</t>
        </is>
      </c>
      <c r="L2514" t="inlineStr">
        <is>
          <t>18:54:25</t>
        </is>
      </c>
      <c r="Q2514" t="inlineStr">
        <is>
          <t>4</t>
        </is>
      </c>
    </row>
    <row r="2515" ht="16.5" customHeight="1" s="37">
      <c r="A2515" t="n">
        <v>20</v>
      </c>
      <c r="B2515" s="10" t="inlineStr">
        <is>
          <t>休日</t>
        </is>
      </c>
      <c r="C2515" s="10" t="inlineStr">
        <is>
          <t>北野線</t>
        </is>
      </c>
      <c r="D2515" s="10" t="inlineStr">
        <is>
          <t>上り</t>
        </is>
      </c>
      <c r="E2515" t="inlineStr">
        <is>
          <t>1952</t>
        </is>
      </c>
      <c r="F2515" t="inlineStr">
        <is>
          <t>0304</t>
        </is>
      </c>
      <c r="G2515" s="10" t="inlineStr">
        <is>
          <t>帷子ノ辻</t>
        </is>
      </c>
      <c r="H2515" s="10" t="inlineStr">
        <is>
          <t>発</t>
        </is>
      </c>
      <c r="J2515" s="10" t="inlineStr">
        <is>
          <t>営業</t>
        </is>
      </c>
      <c r="M2515" t="inlineStr">
        <is>
          <t>19:06:25</t>
        </is>
      </c>
      <c r="Q2515" t="inlineStr">
        <is>
          <t>4</t>
        </is>
      </c>
    </row>
    <row r="2516" ht="16.5" customHeight="1" s="37">
      <c r="A2516" t="n">
        <v>20</v>
      </c>
      <c r="B2516" s="10" t="inlineStr">
        <is>
          <t>休日</t>
        </is>
      </c>
      <c r="C2516" s="10" t="inlineStr">
        <is>
          <t>北野線</t>
        </is>
      </c>
      <c r="D2516" s="10" t="inlineStr">
        <is>
          <t>上り</t>
        </is>
      </c>
      <c r="E2516" t="inlineStr">
        <is>
          <t>1952</t>
        </is>
      </c>
      <c r="F2516" t="inlineStr">
        <is>
          <t>0304</t>
        </is>
      </c>
      <c r="G2516" s="10" t="inlineStr">
        <is>
          <t>撮影所前</t>
        </is>
      </c>
      <c r="H2516" s="10" t="inlineStr">
        <is>
          <t>発</t>
        </is>
      </c>
      <c r="J2516" s="10" t="inlineStr">
        <is>
          <t>営業</t>
        </is>
      </c>
      <c r="L2516" t="inlineStr">
        <is>
          <t>19:07:25</t>
        </is>
      </c>
      <c r="M2516" t="inlineStr">
        <is>
          <t>19:07:40</t>
        </is>
      </c>
    </row>
    <row r="2517" ht="16.5" customHeight="1" s="37">
      <c r="A2517" t="n">
        <v>20</v>
      </c>
      <c r="B2517" s="10" t="inlineStr">
        <is>
          <t>休日</t>
        </is>
      </c>
      <c r="C2517" s="10" t="inlineStr">
        <is>
          <t>北野線</t>
        </is>
      </c>
      <c r="D2517" s="10" t="inlineStr">
        <is>
          <t>上り</t>
        </is>
      </c>
      <c r="E2517" t="inlineStr">
        <is>
          <t>1952</t>
        </is>
      </c>
      <c r="F2517" t="inlineStr">
        <is>
          <t>0304</t>
        </is>
      </c>
      <c r="G2517" s="10" t="inlineStr">
        <is>
          <t>常盤</t>
        </is>
      </c>
      <c r="H2517" s="10" t="inlineStr">
        <is>
          <t>発</t>
        </is>
      </c>
      <c r="J2517" s="10" t="inlineStr">
        <is>
          <t>営業</t>
        </is>
      </c>
      <c r="L2517" t="inlineStr">
        <is>
          <t>19:09:00</t>
        </is>
      </c>
      <c r="M2517" t="inlineStr">
        <is>
          <t>19:09:20</t>
        </is>
      </c>
    </row>
    <row r="2518" ht="16.5" customHeight="1" s="37">
      <c r="A2518" t="n">
        <v>20</v>
      </c>
      <c r="B2518" s="10" t="inlineStr">
        <is>
          <t>休日</t>
        </is>
      </c>
      <c r="C2518" s="10" t="inlineStr">
        <is>
          <t>北野線</t>
        </is>
      </c>
      <c r="D2518" s="10" t="inlineStr">
        <is>
          <t>上り</t>
        </is>
      </c>
      <c r="E2518" t="inlineStr">
        <is>
          <t>1952</t>
        </is>
      </c>
      <c r="F2518" t="inlineStr">
        <is>
          <t>0304</t>
        </is>
      </c>
      <c r="G2518" s="10" t="inlineStr">
        <is>
          <t>鳴滝</t>
        </is>
      </c>
      <c r="H2518" s="10" t="inlineStr">
        <is>
          <t>発</t>
        </is>
      </c>
      <c r="J2518" s="10" t="inlineStr">
        <is>
          <t>営業</t>
        </is>
      </c>
      <c r="L2518" t="inlineStr">
        <is>
          <t>19:10:20</t>
        </is>
      </c>
      <c r="M2518" t="inlineStr">
        <is>
          <t>19:10:40</t>
        </is>
      </c>
    </row>
    <row r="2519" ht="15" customHeight="1" s="37">
      <c r="A2519" t="n">
        <v>20</v>
      </c>
      <c r="B2519" s="10" t="inlineStr">
        <is>
          <t>休日</t>
        </is>
      </c>
      <c r="C2519" s="10" t="inlineStr">
        <is>
          <t>北野線</t>
        </is>
      </c>
      <c r="D2519" s="10" t="inlineStr">
        <is>
          <t>上り</t>
        </is>
      </c>
      <c r="E2519" t="inlineStr">
        <is>
          <t>1952</t>
        </is>
      </c>
      <c r="F2519" t="inlineStr">
        <is>
          <t>0304</t>
        </is>
      </c>
      <c r="G2519" s="10" t="inlineStr">
        <is>
          <t>宇多野</t>
        </is>
      </c>
      <c r="H2519" s="10" t="inlineStr">
        <is>
          <t>発</t>
        </is>
      </c>
      <c r="J2519" s="10" t="inlineStr">
        <is>
          <t>営業</t>
        </is>
      </c>
      <c r="L2519" t="inlineStr">
        <is>
          <t>19:12:00</t>
        </is>
      </c>
      <c r="M2519" t="inlineStr">
        <is>
          <t>19:12:15</t>
        </is>
      </c>
    </row>
    <row r="2520" ht="15" customHeight="1" s="37">
      <c r="A2520" t="n">
        <v>20</v>
      </c>
      <c r="B2520" s="10" t="inlineStr">
        <is>
          <t>休日</t>
        </is>
      </c>
      <c r="C2520" s="10" t="inlineStr">
        <is>
          <t>北野線</t>
        </is>
      </c>
      <c r="D2520" s="10" t="inlineStr">
        <is>
          <t>上り</t>
        </is>
      </c>
      <c r="E2520" t="inlineStr">
        <is>
          <t>1952</t>
        </is>
      </c>
      <c r="F2520" t="inlineStr">
        <is>
          <t>0304</t>
        </is>
      </c>
      <c r="G2520" s="10" t="inlineStr">
        <is>
          <t>御室仁和寺</t>
        </is>
      </c>
      <c r="H2520" s="10" t="inlineStr">
        <is>
          <t>発</t>
        </is>
      </c>
      <c r="J2520" s="10" t="inlineStr">
        <is>
          <t>営業</t>
        </is>
      </c>
      <c r="L2520" t="inlineStr">
        <is>
          <t>19:13:15</t>
        </is>
      </c>
      <c r="M2520" t="inlineStr">
        <is>
          <t>19:13:35</t>
        </is>
      </c>
    </row>
    <row r="2521" ht="15" customHeight="1" s="37">
      <c r="A2521" t="n">
        <v>20</v>
      </c>
      <c r="B2521" s="10" t="inlineStr">
        <is>
          <t>休日</t>
        </is>
      </c>
      <c r="C2521" s="10" t="inlineStr">
        <is>
          <t>北野線</t>
        </is>
      </c>
      <c r="D2521" s="10" t="inlineStr">
        <is>
          <t>上り</t>
        </is>
      </c>
      <c r="E2521" t="inlineStr">
        <is>
          <t>1952</t>
        </is>
      </c>
      <c r="F2521" t="inlineStr">
        <is>
          <t>0304</t>
        </is>
      </c>
      <c r="G2521" s="10" t="inlineStr">
        <is>
          <t>妙心寺</t>
        </is>
      </c>
      <c r="H2521" s="10" t="inlineStr">
        <is>
          <t>発</t>
        </is>
      </c>
      <c r="J2521" s="10" t="inlineStr">
        <is>
          <t>営業</t>
        </is>
      </c>
      <c r="L2521" t="inlineStr">
        <is>
          <t>19:14:35</t>
        </is>
      </c>
      <c r="M2521" t="inlineStr">
        <is>
          <t>19:14:50</t>
        </is>
      </c>
    </row>
    <row r="2522" ht="15" customHeight="1" s="37">
      <c r="A2522" t="n">
        <v>20</v>
      </c>
      <c r="B2522" s="10" t="inlineStr">
        <is>
          <t>休日</t>
        </is>
      </c>
      <c r="C2522" s="10" t="inlineStr">
        <is>
          <t>北野線</t>
        </is>
      </c>
      <c r="D2522" s="10" t="inlineStr">
        <is>
          <t>上り</t>
        </is>
      </c>
      <c r="E2522" t="inlineStr">
        <is>
          <t>1952</t>
        </is>
      </c>
      <c r="F2522" t="inlineStr">
        <is>
          <t>0304</t>
        </is>
      </c>
      <c r="G2522" s="10" t="inlineStr">
        <is>
          <t>龍安寺</t>
        </is>
      </c>
      <c r="H2522" s="10" t="inlineStr">
        <is>
          <t>発</t>
        </is>
      </c>
      <c r="J2522" s="10" t="inlineStr">
        <is>
          <t>営業</t>
        </is>
      </c>
      <c r="L2522" t="inlineStr">
        <is>
          <t>19:15:45</t>
        </is>
      </c>
      <c r="M2522" t="inlineStr">
        <is>
          <t>19:15:55</t>
        </is>
      </c>
    </row>
    <row r="2523" ht="15" customHeight="1" s="37">
      <c r="A2523" t="n">
        <v>20</v>
      </c>
      <c r="B2523" s="10" t="inlineStr">
        <is>
          <t>休日</t>
        </is>
      </c>
      <c r="C2523" s="10" t="inlineStr">
        <is>
          <t>北野線</t>
        </is>
      </c>
      <c r="D2523" s="10" t="inlineStr">
        <is>
          <t>上り</t>
        </is>
      </c>
      <c r="E2523" t="inlineStr">
        <is>
          <t>1952</t>
        </is>
      </c>
      <c r="F2523" t="inlineStr">
        <is>
          <t>0304</t>
        </is>
      </c>
      <c r="G2523" s="10" t="inlineStr">
        <is>
          <t>等持院</t>
        </is>
      </c>
      <c r="H2523" s="10" t="inlineStr">
        <is>
          <t>発</t>
        </is>
      </c>
      <c r="J2523" s="10" t="inlineStr">
        <is>
          <t>営業</t>
        </is>
      </c>
      <c r="L2523" t="inlineStr">
        <is>
          <t>19:16:35</t>
        </is>
      </c>
      <c r="M2523" t="inlineStr">
        <is>
          <t>19:16:55</t>
        </is>
      </c>
    </row>
    <row r="2524" ht="15" customHeight="1" s="37">
      <c r="A2524" t="n">
        <v>20</v>
      </c>
      <c r="B2524" s="10" t="inlineStr">
        <is>
          <t>休日</t>
        </is>
      </c>
      <c r="C2524" s="10" t="inlineStr">
        <is>
          <t>北野線</t>
        </is>
      </c>
      <c r="D2524" s="10" t="inlineStr">
        <is>
          <t>上り</t>
        </is>
      </c>
      <c r="E2524" t="inlineStr">
        <is>
          <t>1952</t>
        </is>
      </c>
      <c r="F2524" t="inlineStr">
        <is>
          <t>0304</t>
        </is>
      </c>
      <c r="G2524" s="10" t="inlineStr">
        <is>
          <t>北野白梅町</t>
        </is>
      </c>
      <c r="H2524" s="10" t="inlineStr">
        <is>
          <t>着</t>
        </is>
      </c>
      <c r="J2524" s="10" t="inlineStr">
        <is>
          <t>営業</t>
        </is>
      </c>
      <c r="L2524" t="inlineStr">
        <is>
          <t>19:18:15</t>
        </is>
      </c>
      <c r="N2524" t="inlineStr">
        <is>
          <t>○</t>
        </is>
      </c>
      <c r="Q2524" t="inlineStr">
        <is>
          <t>1</t>
        </is>
      </c>
    </row>
    <row r="2525" ht="15" customHeight="1" s="37">
      <c r="A2525" t="n">
        <v>20</v>
      </c>
      <c r="B2525" s="10" t="inlineStr">
        <is>
          <t>休日</t>
        </is>
      </c>
      <c r="C2525" s="10" t="inlineStr">
        <is>
          <t>北野線</t>
        </is>
      </c>
      <c r="D2525" s="10" t="inlineStr">
        <is>
          <t>下り</t>
        </is>
      </c>
      <c r="E2525" t="inlineStr">
        <is>
          <t>1955</t>
        </is>
      </c>
      <c r="F2525" t="inlineStr">
        <is>
          <t>0453</t>
        </is>
      </c>
      <c r="G2525" s="10" t="inlineStr">
        <is>
          <t>北野白梅町</t>
        </is>
      </c>
      <c r="H2525" s="10" t="inlineStr">
        <is>
          <t>発</t>
        </is>
      </c>
      <c r="J2525" s="10" t="inlineStr">
        <is>
          <t>営業</t>
        </is>
      </c>
      <c r="M2525" t="inlineStr">
        <is>
          <t>19:23:00</t>
        </is>
      </c>
      <c r="Q2525" t="inlineStr">
        <is>
          <t>1</t>
        </is>
      </c>
    </row>
    <row r="2526" ht="15" customHeight="1" s="37">
      <c r="A2526" t="n">
        <v>20</v>
      </c>
      <c r="B2526" s="10" t="inlineStr">
        <is>
          <t>休日</t>
        </is>
      </c>
      <c r="C2526" s="10" t="inlineStr">
        <is>
          <t>北野線</t>
        </is>
      </c>
      <c r="D2526" s="10" t="inlineStr">
        <is>
          <t>下り</t>
        </is>
      </c>
      <c r="E2526" t="inlineStr">
        <is>
          <t>1955</t>
        </is>
      </c>
      <c r="F2526" t="inlineStr">
        <is>
          <t>0453</t>
        </is>
      </c>
      <c r="G2526" s="10" t="inlineStr">
        <is>
          <t>等持院</t>
        </is>
      </c>
      <c r="H2526" s="10" t="inlineStr">
        <is>
          <t>発</t>
        </is>
      </c>
      <c r="J2526" s="10" t="inlineStr">
        <is>
          <t>営業</t>
        </is>
      </c>
      <c r="L2526" t="inlineStr">
        <is>
          <t>19:24:25</t>
        </is>
      </c>
      <c r="M2526" t="inlineStr">
        <is>
          <t>19:24:35</t>
        </is>
      </c>
    </row>
    <row r="2527" ht="15" customHeight="1" s="37">
      <c r="A2527" t="n">
        <v>20</v>
      </c>
      <c r="B2527" s="10" t="inlineStr">
        <is>
          <t>休日</t>
        </is>
      </c>
      <c r="C2527" s="10" t="inlineStr">
        <is>
          <t>北野線</t>
        </is>
      </c>
      <c r="D2527" s="10" t="inlineStr">
        <is>
          <t>下り</t>
        </is>
      </c>
      <c r="E2527" t="inlineStr">
        <is>
          <t>1955</t>
        </is>
      </c>
      <c r="F2527" t="inlineStr">
        <is>
          <t>0453</t>
        </is>
      </c>
      <c r="G2527" s="10" t="inlineStr">
        <is>
          <t>龍安寺</t>
        </is>
      </c>
      <c r="H2527" s="10" t="inlineStr">
        <is>
          <t>発</t>
        </is>
      </c>
      <c r="J2527" s="10" t="inlineStr">
        <is>
          <t>営業</t>
        </is>
      </c>
      <c r="L2527" t="inlineStr">
        <is>
          <t>19:25:25</t>
        </is>
      </c>
      <c r="M2527" t="inlineStr">
        <is>
          <t>19:25:50</t>
        </is>
      </c>
    </row>
    <row r="2528" ht="15" customHeight="1" s="37">
      <c r="A2528" t="n">
        <v>20</v>
      </c>
      <c r="B2528" s="10" t="inlineStr">
        <is>
          <t>休日</t>
        </is>
      </c>
      <c r="C2528" s="10" t="inlineStr">
        <is>
          <t>北野線</t>
        </is>
      </c>
      <c r="D2528" s="10" t="inlineStr">
        <is>
          <t>下り</t>
        </is>
      </c>
      <c r="E2528" t="inlineStr">
        <is>
          <t>1955</t>
        </is>
      </c>
      <c r="F2528" t="inlineStr">
        <is>
          <t>0453</t>
        </is>
      </c>
      <c r="G2528" s="10" t="inlineStr">
        <is>
          <t>妙心寺</t>
        </is>
      </c>
      <c r="H2528" s="10" t="inlineStr">
        <is>
          <t>発</t>
        </is>
      </c>
      <c r="J2528" s="10" t="inlineStr">
        <is>
          <t>営業</t>
        </is>
      </c>
      <c r="L2528" t="inlineStr">
        <is>
          <t>19:26:40</t>
        </is>
      </c>
      <c r="M2528" t="inlineStr">
        <is>
          <t>19:26:50</t>
        </is>
      </c>
    </row>
    <row r="2529" ht="15" customHeight="1" s="37">
      <c r="A2529" t="n">
        <v>20</v>
      </c>
      <c r="B2529" s="10" t="inlineStr">
        <is>
          <t>休日</t>
        </is>
      </c>
      <c r="C2529" s="10" t="inlineStr">
        <is>
          <t>北野線</t>
        </is>
      </c>
      <c r="D2529" s="10" t="inlineStr">
        <is>
          <t>下り</t>
        </is>
      </c>
      <c r="E2529" t="inlineStr">
        <is>
          <t>1955</t>
        </is>
      </c>
      <c r="F2529" t="inlineStr">
        <is>
          <t>0453</t>
        </is>
      </c>
      <c r="G2529" s="10" t="inlineStr">
        <is>
          <t>御室仁和寺</t>
        </is>
      </c>
      <c r="H2529" s="10" t="inlineStr">
        <is>
          <t>発</t>
        </is>
      </c>
      <c r="J2529" s="10" t="inlineStr">
        <is>
          <t>営業</t>
        </is>
      </c>
      <c r="L2529" t="inlineStr">
        <is>
          <t>19:27:50</t>
        </is>
      </c>
      <c r="M2529" t="inlineStr">
        <is>
          <t>19:28:05</t>
        </is>
      </c>
    </row>
    <row r="2530" ht="15" customHeight="1" s="37">
      <c r="A2530" t="n">
        <v>20</v>
      </c>
      <c r="B2530" s="10" t="inlineStr">
        <is>
          <t>休日</t>
        </is>
      </c>
      <c r="C2530" s="10" t="inlineStr">
        <is>
          <t>北野線</t>
        </is>
      </c>
      <c r="D2530" s="10" t="inlineStr">
        <is>
          <t>下り</t>
        </is>
      </c>
      <c r="E2530" t="inlineStr">
        <is>
          <t>1955</t>
        </is>
      </c>
      <c r="F2530" t="inlineStr">
        <is>
          <t>0453</t>
        </is>
      </c>
      <c r="G2530" s="10" t="inlineStr">
        <is>
          <t>宇多野</t>
        </is>
      </c>
      <c r="H2530" s="10" t="inlineStr">
        <is>
          <t>発</t>
        </is>
      </c>
      <c r="J2530" s="10" t="inlineStr">
        <is>
          <t>営業</t>
        </is>
      </c>
      <c r="L2530" t="inlineStr">
        <is>
          <t>19:29:05</t>
        </is>
      </c>
      <c r="M2530" t="inlineStr">
        <is>
          <t>19:29:15</t>
        </is>
      </c>
    </row>
    <row r="2531" ht="15" customHeight="1" s="37">
      <c r="A2531" t="n">
        <v>20</v>
      </c>
      <c r="B2531" s="10" t="inlineStr">
        <is>
          <t>休日</t>
        </is>
      </c>
      <c r="C2531" s="10" t="inlineStr">
        <is>
          <t>北野線</t>
        </is>
      </c>
      <c r="D2531" s="10" t="inlineStr">
        <is>
          <t>下り</t>
        </is>
      </c>
      <c r="E2531" t="inlineStr">
        <is>
          <t>1955</t>
        </is>
      </c>
      <c r="F2531" t="inlineStr">
        <is>
          <t>0453</t>
        </is>
      </c>
      <c r="G2531" s="10" t="inlineStr">
        <is>
          <t>鳴滝</t>
        </is>
      </c>
      <c r="H2531" s="10" t="inlineStr">
        <is>
          <t>発</t>
        </is>
      </c>
      <c r="J2531" s="10" t="inlineStr">
        <is>
          <t>営業</t>
        </is>
      </c>
      <c r="L2531" t="inlineStr">
        <is>
          <t>19:30:35</t>
        </is>
      </c>
      <c r="M2531" t="inlineStr">
        <is>
          <t>19:30:45</t>
        </is>
      </c>
    </row>
    <row r="2532" ht="15" customHeight="1" s="37">
      <c r="A2532" t="n">
        <v>20</v>
      </c>
      <c r="B2532" s="10" t="inlineStr">
        <is>
          <t>休日</t>
        </is>
      </c>
      <c r="C2532" s="10" t="inlineStr">
        <is>
          <t>北野線</t>
        </is>
      </c>
      <c r="D2532" s="10" t="inlineStr">
        <is>
          <t>下り</t>
        </is>
      </c>
      <c r="E2532" t="inlineStr">
        <is>
          <t>1955</t>
        </is>
      </c>
      <c r="F2532" t="inlineStr">
        <is>
          <t>0453</t>
        </is>
      </c>
      <c r="G2532" s="10" t="inlineStr">
        <is>
          <t>常盤</t>
        </is>
      </c>
      <c r="H2532" s="10" t="inlineStr">
        <is>
          <t>発</t>
        </is>
      </c>
      <c r="J2532" s="10" t="inlineStr">
        <is>
          <t>営業</t>
        </is>
      </c>
      <c r="L2532" t="inlineStr">
        <is>
          <t>19:31:35</t>
        </is>
      </c>
      <c r="M2532" t="inlineStr">
        <is>
          <t>19:31:55</t>
        </is>
      </c>
    </row>
    <row r="2533" ht="15" customHeight="1" s="37">
      <c r="A2533" t="n">
        <v>20</v>
      </c>
      <c r="B2533" s="10" t="inlineStr">
        <is>
          <t>休日</t>
        </is>
      </c>
      <c r="C2533" s="10" t="inlineStr">
        <is>
          <t>北野線</t>
        </is>
      </c>
      <c r="D2533" s="10" t="inlineStr">
        <is>
          <t>下り</t>
        </is>
      </c>
      <c r="E2533" t="inlineStr">
        <is>
          <t>1955</t>
        </is>
      </c>
      <c r="F2533" t="inlineStr">
        <is>
          <t>0453</t>
        </is>
      </c>
      <c r="G2533" s="10" t="inlineStr">
        <is>
          <t>撮影所前</t>
        </is>
      </c>
      <c r="H2533" s="10" t="inlineStr">
        <is>
          <t>発</t>
        </is>
      </c>
      <c r="J2533" s="10" t="inlineStr">
        <is>
          <t>営業</t>
        </is>
      </c>
      <c r="L2533" t="inlineStr">
        <is>
          <t>19:33:15</t>
        </is>
      </c>
      <c r="M2533" t="inlineStr">
        <is>
          <t>19:33:30</t>
        </is>
      </c>
    </row>
    <row r="2534" ht="15" customHeight="1" s="37">
      <c r="A2534" t="n">
        <v>20</v>
      </c>
      <c r="B2534" s="10" t="inlineStr">
        <is>
          <t>休日</t>
        </is>
      </c>
      <c r="C2534" s="10" t="inlineStr">
        <is>
          <t>北野線</t>
        </is>
      </c>
      <c r="D2534" s="10" t="inlineStr">
        <is>
          <t>下り</t>
        </is>
      </c>
      <c r="E2534" t="inlineStr">
        <is>
          <t>1955</t>
        </is>
      </c>
      <c r="F2534" t="inlineStr">
        <is>
          <t>0453</t>
        </is>
      </c>
      <c r="G2534" s="10" t="inlineStr">
        <is>
          <t>帷子ノ辻</t>
        </is>
      </c>
      <c r="H2534" s="10" t="inlineStr">
        <is>
          <t>着</t>
        </is>
      </c>
      <c r="J2534" s="10" t="inlineStr">
        <is>
          <t>営業</t>
        </is>
      </c>
      <c r="L2534" t="inlineStr">
        <is>
          <t>19:34:25</t>
        </is>
      </c>
      <c r="Q2534" t="inlineStr">
        <is>
          <t>4</t>
        </is>
      </c>
    </row>
    <row r="2535" ht="15" customHeight="1" s="37">
      <c r="A2535" t="n">
        <v>20</v>
      </c>
      <c r="B2535" s="10" t="inlineStr">
        <is>
          <t>休日</t>
        </is>
      </c>
      <c r="C2535" s="10" t="inlineStr">
        <is>
          <t>北野線</t>
        </is>
      </c>
      <c r="D2535" s="10" t="inlineStr">
        <is>
          <t>上り</t>
        </is>
      </c>
      <c r="E2535" t="inlineStr">
        <is>
          <t>1960</t>
        </is>
      </c>
      <c r="F2535" t="inlineStr">
        <is>
          <t>0304</t>
        </is>
      </c>
      <c r="G2535" s="10" t="inlineStr">
        <is>
          <t>帷子ノ辻</t>
        </is>
      </c>
      <c r="H2535" s="10" t="inlineStr">
        <is>
          <t>発</t>
        </is>
      </c>
      <c r="J2535" s="10" t="inlineStr">
        <is>
          <t>営業</t>
        </is>
      </c>
      <c r="M2535" t="inlineStr">
        <is>
          <t>19:46:25</t>
        </is>
      </c>
      <c r="Q2535" t="inlineStr">
        <is>
          <t>4</t>
        </is>
      </c>
    </row>
    <row r="2536" ht="15" customHeight="1" s="37">
      <c r="A2536" t="n">
        <v>20</v>
      </c>
      <c r="B2536" s="10" t="inlineStr">
        <is>
          <t>休日</t>
        </is>
      </c>
      <c r="C2536" s="10" t="inlineStr">
        <is>
          <t>北野線</t>
        </is>
      </c>
      <c r="D2536" s="10" t="inlineStr">
        <is>
          <t>上り</t>
        </is>
      </c>
      <c r="E2536" t="inlineStr">
        <is>
          <t>1960</t>
        </is>
      </c>
      <c r="F2536" t="inlineStr">
        <is>
          <t>0304</t>
        </is>
      </c>
      <c r="G2536" s="10" t="inlineStr">
        <is>
          <t>撮影所前</t>
        </is>
      </c>
      <c r="H2536" s="10" t="inlineStr">
        <is>
          <t>発</t>
        </is>
      </c>
      <c r="J2536" s="10" t="inlineStr">
        <is>
          <t>営業</t>
        </is>
      </c>
      <c r="L2536" t="inlineStr">
        <is>
          <t>19:47:25</t>
        </is>
      </c>
      <c r="M2536" t="inlineStr">
        <is>
          <t>19:47:40</t>
        </is>
      </c>
    </row>
    <row r="2537" ht="15" customHeight="1" s="37">
      <c r="A2537" t="n">
        <v>20</v>
      </c>
      <c r="B2537" s="10" t="inlineStr">
        <is>
          <t>休日</t>
        </is>
      </c>
      <c r="C2537" s="10" t="inlineStr">
        <is>
          <t>北野線</t>
        </is>
      </c>
      <c r="D2537" s="10" t="inlineStr">
        <is>
          <t>上り</t>
        </is>
      </c>
      <c r="E2537" t="inlineStr">
        <is>
          <t>1960</t>
        </is>
      </c>
      <c r="F2537" t="inlineStr">
        <is>
          <t>0304</t>
        </is>
      </c>
      <c r="G2537" s="10" t="inlineStr">
        <is>
          <t>常盤</t>
        </is>
      </c>
      <c r="H2537" s="10" t="inlineStr">
        <is>
          <t>発</t>
        </is>
      </c>
      <c r="J2537" s="10" t="inlineStr">
        <is>
          <t>営業</t>
        </is>
      </c>
      <c r="L2537" t="inlineStr">
        <is>
          <t>19:49:00</t>
        </is>
      </c>
      <c r="M2537" t="inlineStr">
        <is>
          <t>19:49:20</t>
        </is>
      </c>
    </row>
    <row r="2538" ht="15" customHeight="1" s="37">
      <c r="A2538" t="n">
        <v>20</v>
      </c>
      <c r="B2538" s="10" t="inlineStr">
        <is>
          <t>休日</t>
        </is>
      </c>
      <c r="C2538" s="10" t="inlineStr">
        <is>
          <t>北野線</t>
        </is>
      </c>
      <c r="D2538" s="10" t="inlineStr">
        <is>
          <t>上り</t>
        </is>
      </c>
      <c r="E2538" t="inlineStr">
        <is>
          <t>1960</t>
        </is>
      </c>
      <c r="F2538" t="inlineStr">
        <is>
          <t>0304</t>
        </is>
      </c>
      <c r="G2538" s="10" t="inlineStr">
        <is>
          <t>鳴滝</t>
        </is>
      </c>
      <c r="H2538" s="10" t="inlineStr">
        <is>
          <t>発</t>
        </is>
      </c>
      <c r="J2538" s="10" t="inlineStr">
        <is>
          <t>営業</t>
        </is>
      </c>
      <c r="L2538" t="inlineStr">
        <is>
          <t>19:50:20</t>
        </is>
      </c>
      <c r="M2538" t="inlineStr">
        <is>
          <t>19:50:40</t>
        </is>
      </c>
    </row>
    <row r="2539" ht="15" customHeight="1" s="37">
      <c r="A2539" t="n">
        <v>20</v>
      </c>
      <c r="B2539" s="10" t="inlineStr">
        <is>
          <t>休日</t>
        </is>
      </c>
      <c r="C2539" s="10" t="inlineStr">
        <is>
          <t>北野線</t>
        </is>
      </c>
      <c r="D2539" s="10" t="inlineStr">
        <is>
          <t>上り</t>
        </is>
      </c>
      <c r="E2539" t="inlineStr">
        <is>
          <t>1960</t>
        </is>
      </c>
      <c r="F2539" t="inlineStr">
        <is>
          <t>0304</t>
        </is>
      </c>
      <c r="G2539" s="10" t="inlineStr">
        <is>
          <t>宇多野</t>
        </is>
      </c>
      <c r="H2539" s="10" t="inlineStr">
        <is>
          <t>発</t>
        </is>
      </c>
      <c r="J2539" s="10" t="inlineStr">
        <is>
          <t>営業</t>
        </is>
      </c>
      <c r="L2539" t="inlineStr">
        <is>
          <t>19:52:00</t>
        </is>
      </c>
      <c r="M2539" t="inlineStr">
        <is>
          <t>19:52:15</t>
        </is>
      </c>
    </row>
    <row r="2540" ht="15" customHeight="1" s="37">
      <c r="A2540" t="n">
        <v>20</v>
      </c>
      <c r="B2540" s="10" t="inlineStr">
        <is>
          <t>休日</t>
        </is>
      </c>
      <c r="C2540" s="10" t="inlineStr">
        <is>
          <t>北野線</t>
        </is>
      </c>
      <c r="D2540" s="10" t="inlineStr">
        <is>
          <t>上り</t>
        </is>
      </c>
      <c r="E2540" t="inlineStr">
        <is>
          <t>1960</t>
        </is>
      </c>
      <c r="F2540" t="inlineStr">
        <is>
          <t>0304</t>
        </is>
      </c>
      <c r="G2540" s="10" t="inlineStr">
        <is>
          <t>御室仁和寺</t>
        </is>
      </c>
      <c r="H2540" s="10" t="inlineStr">
        <is>
          <t>発</t>
        </is>
      </c>
      <c r="J2540" s="10" t="inlineStr">
        <is>
          <t>営業</t>
        </is>
      </c>
      <c r="L2540" t="inlineStr">
        <is>
          <t>19:53:15</t>
        </is>
      </c>
      <c r="M2540" t="inlineStr">
        <is>
          <t>19:53:35</t>
        </is>
      </c>
    </row>
    <row r="2541" ht="15" customHeight="1" s="37">
      <c r="A2541" t="n">
        <v>20</v>
      </c>
      <c r="B2541" s="10" t="inlineStr">
        <is>
          <t>休日</t>
        </is>
      </c>
      <c r="C2541" s="10" t="inlineStr">
        <is>
          <t>北野線</t>
        </is>
      </c>
      <c r="D2541" s="10" t="inlineStr">
        <is>
          <t>上り</t>
        </is>
      </c>
      <c r="E2541" t="inlineStr">
        <is>
          <t>1960</t>
        </is>
      </c>
      <c r="F2541" t="inlineStr">
        <is>
          <t>0304</t>
        </is>
      </c>
      <c r="G2541" s="10" t="inlineStr">
        <is>
          <t>妙心寺</t>
        </is>
      </c>
      <c r="H2541" s="10" t="inlineStr">
        <is>
          <t>発</t>
        </is>
      </c>
      <c r="J2541" s="10" t="inlineStr">
        <is>
          <t>営業</t>
        </is>
      </c>
      <c r="L2541" t="inlineStr">
        <is>
          <t>19:54:35</t>
        </is>
      </c>
      <c r="M2541" t="inlineStr">
        <is>
          <t>19:54:50</t>
        </is>
      </c>
    </row>
    <row r="2542" ht="15" customHeight="1" s="37">
      <c r="A2542" t="n">
        <v>20</v>
      </c>
      <c r="B2542" s="10" t="inlineStr">
        <is>
          <t>休日</t>
        </is>
      </c>
      <c r="C2542" s="10" t="inlineStr">
        <is>
          <t>北野線</t>
        </is>
      </c>
      <c r="D2542" s="10" t="inlineStr">
        <is>
          <t>上り</t>
        </is>
      </c>
      <c r="E2542" t="inlineStr">
        <is>
          <t>1960</t>
        </is>
      </c>
      <c r="F2542" t="inlineStr">
        <is>
          <t>0304</t>
        </is>
      </c>
      <c r="G2542" s="10" t="inlineStr">
        <is>
          <t>龍安寺</t>
        </is>
      </c>
      <c r="H2542" s="10" t="inlineStr">
        <is>
          <t>発</t>
        </is>
      </c>
      <c r="J2542" s="10" t="inlineStr">
        <is>
          <t>営業</t>
        </is>
      </c>
      <c r="L2542" t="inlineStr">
        <is>
          <t>19:55:45</t>
        </is>
      </c>
      <c r="M2542" t="inlineStr">
        <is>
          <t>19:55:55</t>
        </is>
      </c>
    </row>
    <row r="2543" ht="15" customHeight="1" s="37">
      <c r="A2543" t="n">
        <v>20</v>
      </c>
      <c r="B2543" s="10" t="inlineStr">
        <is>
          <t>休日</t>
        </is>
      </c>
      <c r="C2543" s="10" t="inlineStr">
        <is>
          <t>北野線</t>
        </is>
      </c>
      <c r="D2543" s="10" t="inlineStr">
        <is>
          <t>上り</t>
        </is>
      </c>
      <c r="E2543" t="inlineStr">
        <is>
          <t>1960</t>
        </is>
      </c>
      <c r="F2543" t="inlineStr">
        <is>
          <t>0304</t>
        </is>
      </c>
      <c r="G2543" s="10" t="inlineStr">
        <is>
          <t>等持院</t>
        </is>
      </c>
      <c r="H2543" s="10" t="inlineStr">
        <is>
          <t>発</t>
        </is>
      </c>
      <c r="J2543" s="10" t="inlineStr">
        <is>
          <t>営業</t>
        </is>
      </c>
      <c r="L2543" t="inlineStr">
        <is>
          <t>19:56:35</t>
        </is>
      </c>
      <c r="M2543" t="inlineStr">
        <is>
          <t>19:56:55</t>
        </is>
      </c>
    </row>
    <row r="2544" ht="15" customHeight="1" s="37">
      <c r="A2544" t="n">
        <v>20</v>
      </c>
      <c r="B2544" s="10" t="inlineStr">
        <is>
          <t>休日</t>
        </is>
      </c>
      <c r="C2544" s="10" t="inlineStr">
        <is>
          <t>北野線</t>
        </is>
      </c>
      <c r="D2544" s="10" t="inlineStr">
        <is>
          <t>上り</t>
        </is>
      </c>
      <c r="E2544" t="inlineStr">
        <is>
          <t>1960</t>
        </is>
      </c>
      <c r="F2544" t="inlineStr">
        <is>
          <t>0304</t>
        </is>
      </c>
      <c r="G2544" s="10" t="inlineStr">
        <is>
          <t>北野白梅町</t>
        </is>
      </c>
      <c r="H2544" s="10" t="inlineStr">
        <is>
          <t>着</t>
        </is>
      </c>
      <c r="J2544" s="10" t="inlineStr">
        <is>
          <t>営業</t>
        </is>
      </c>
      <c r="L2544" t="inlineStr">
        <is>
          <t>19:58:15</t>
        </is>
      </c>
      <c r="N2544" t="inlineStr">
        <is>
          <t>○</t>
        </is>
      </c>
      <c r="Q2544" t="inlineStr">
        <is>
          <t>1</t>
        </is>
      </c>
    </row>
    <row r="2545" ht="15" customHeight="1" s="37">
      <c r="A2545" t="n">
        <v>20</v>
      </c>
      <c r="B2545" s="10" t="inlineStr">
        <is>
          <t>休日</t>
        </is>
      </c>
      <c r="C2545" s="10" t="inlineStr">
        <is>
          <t>北野線</t>
        </is>
      </c>
      <c r="D2545" s="10" t="inlineStr">
        <is>
          <t>下り</t>
        </is>
      </c>
      <c r="E2545" t="inlineStr">
        <is>
          <t>2051</t>
        </is>
      </c>
      <c r="F2545" t="inlineStr">
        <is>
          <t>0453</t>
        </is>
      </c>
      <c r="G2545" s="10" t="inlineStr">
        <is>
          <t>北野白梅町</t>
        </is>
      </c>
      <c r="H2545" s="10" t="inlineStr">
        <is>
          <t>発</t>
        </is>
      </c>
      <c r="J2545" s="10" t="inlineStr">
        <is>
          <t>営業</t>
        </is>
      </c>
      <c r="M2545" t="inlineStr">
        <is>
          <t>20:03:00</t>
        </is>
      </c>
      <c r="Q2545" t="inlineStr">
        <is>
          <t>1</t>
        </is>
      </c>
    </row>
    <row r="2546" ht="15" customHeight="1" s="37">
      <c r="A2546" t="n">
        <v>20</v>
      </c>
      <c r="B2546" s="10" t="inlineStr">
        <is>
          <t>休日</t>
        </is>
      </c>
      <c r="C2546" s="10" t="inlineStr">
        <is>
          <t>北野線</t>
        </is>
      </c>
      <c r="D2546" s="10" t="inlineStr">
        <is>
          <t>下り</t>
        </is>
      </c>
      <c r="E2546" t="inlineStr">
        <is>
          <t>2051</t>
        </is>
      </c>
      <c r="F2546" t="inlineStr">
        <is>
          <t>0453</t>
        </is>
      </c>
      <c r="G2546" s="10" t="inlineStr">
        <is>
          <t>等持院</t>
        </is>
      </c>
      <c r="H2546" s="10" t="inlineStr">
        <is>
          <t>発</t>
        </is>
      </c>
      <c r="J2546" s="10" t="inlineStr">
        <is>
          <t>営業</t>
        </is>
      </c>
      <c r="L2546" t="inlineStr">
        <is>
          <t>20:04:25</t>
        </is>
      </c>
      <c r="M2546" t="inlineStr">
        <is>
          <t>20:04:35</t>
        </is>
      </c>
    </row>
    <row r="2547" ht="15" customHeight="1" s="37">
      <c r="A2547" t="n">
        <v>20</v>
      </c>
      <c r="B2547" s="10" t="inlineStr">
        <is>
          <t>休日</t>
        </is>
      </c>
      <c r="C2547" s="10" t="inlineStr">
        <is>
          <t>北野線</t>
        </is>
      </c>
      <c r="D2547" s="10" t="inlineStr">
        <is>
          <t>下り</t>
        </is>
      </c>
      <c r="E2547" t="inlineStr">
        <is>
          <t>2051</t>
        </is>
      </c>
      <c r="F2547" t="inlineStr">
        <is>
          <t>0453</t>
        </is>
      </c>
      <c r="G2547" s="10" t="inlineStr">
        <is>
          <t>龍安寺</t>
        </is>
      </c>
      <c r="H2547" s="10" t="inlineStr">
        <is>
          <t>発</t>
        </is>
      </c>
      <c r="J2547" s="10" t="inlineStr">
        <is>
          <t>営業</t>
        </is>
      </c>
      <c r="L2547" t="inlineStr">
        <is>
          <t>20:05:25</t>
        </is>
      </c>
      <c r="M2547" t="inlineStr">
        <is>
          <t>20:05:50</t>
        </is>
      </c>
    </row>
    <row r="2548" ht="15" customHeight="1" s="37">
      <c r="A2548" t="n">
        <v>20</v>
      </c>
      <c r="B2548" s="10" t="inlineStr">
        <is>
          <t>休日</t>
        </is>
      </c>
      <c r="C2548" s="10" t="inlineStr">
        <is>
          <t>北野線</t>
        </is>
      </c>
      <c r="D2548" s="10" t="inlineStr">
        <is>
          <t>下り</t>
        </is>
      </c>
      <c r="E2548" t="inlineStr">
        <is>
          <t>2051</t>
        </is>
      </c>
      <c r="F2548" t="inlineStr">
        <is>
          <t>0453</t>
        </is>
      </c>
      <c r="G2548" s="10" t="inlineStr">
        <is>
          <t>妙心寺</t>
        </is>
      </c>
      <c r="H2548" s="10" t="inlineStr">
        <is>
          <t>発</t>
        </is>
      </c>
      <c r="J2548" s="10" t="inlineStr">
        <is>
          <t>営業</t>
        </is>
      </c>
      <c r="L2548" t="inlineStr">
        <is>
          <t>20:06:40</t>
        </is>
      </c>
      <c r="M2548" t="inlineStr">
        <is>
          <t>20:06:50</t>
        </is>
      </c>
    </row>
    <row r="2549" ht="15" customHeight="1" s="37">
      <c r="A2549" t="n">
        <v>20</v>
      </c>
      <c r="B2549" s="10" t="inlineStr">
        <is>
          <t>休日</t>
        </is>
      </c>
      <c r="C2549" s="10" t="inlineStr">
        <is>
          <t>北野線</t>
        </is>
      </c>
      <c r="D2549" s="10" t="inlineStr">
        <is>
          <t>下り</t>
        </is>
      </c>
      <c r="E2549" t="inlineStr">
        <is>
          <t>2051</t>
        </is>
      </c>
      <c r="F2549" t="inlineStr">
        <is>
          <t>0453</t>
        </is>
      </c>
      <c r="G2549" s="10" t="inlineStr">
        <is>
          <t>御室仁和寺</t>
        </is>
      </c>
      <c r="H2549" s="10" t="inlineStr">
        <is>
          <t>発</t>
        </is>
      </c>
      <c r="J2549" s="10" t="inlineStr">
        <is>
          <t>営業</t>
        </is>
      </c>
      <c r="L2549" t="inlineStr">
        <is>
          <t>20:07:50</t>
        </is>
      </c>
      <c r="M2549" t="inlineStr">
        <is>
          <t>20:08:05</t>
        </is>
      </c>
    </row>
    <row r="2550" ht="15" customHeight="1" s="37">
      <c r="A2550" t="n">
        <v>20</v>
      </c>
      <c r="B2550" s="10" t="inlineStr">
        <is>
          <t>休日</t>
        </is>
      </c>
      <c r="C2550" s="10" t="inlineStr">
        <is>
          <t>北野線</t>
        </is>
      </c>
      <c r="D2550" s="10" t="inlineStr">
        <is>
          <t>下り</t>
        </is>
      </c>
      <c r="E2550" t="inlineStr">
        <is>
          <t>2051</t>
        </is>
      </c>
      <c r="F2550" t="inlineStr">
        <is>
          <t>0453</t>
        </is>
      </c>
      <c r="G2550" s="10" t="inlineStr">
        <is>
          <t>宇多野</t>
        </is>
      </c>
      <c r="H2550" s="10" t="inlineStr">
        <is>
          <t>発</t>
        </is>
      </c>
      <c r="J2550" s="10" t="inlineStr">
        <is>
          <t>営業</t>
        </is>
      </c>
      <c r="L2550" t="inlineStr">
        <is>
          <t>20:09:05</t>
        </is>
      </c>
      <c r="M2550" t="inlineStr">
        <is>
          <t>20:09:15</t>
        </is>
      </c>
    </row>
    <row r="2551" ht="15" customHeight="1" s="37">
      <c r="A2551" t="n">
        <v>20</v>
      </c>
      <c r="B2551" s="10" t="inlineStr">
        <is>
          <t>休日</t>
        </is>
      </c>
      <c r="C2551" s="10" t="inlineStr">
        <is>
          <t>北野線</t>
        </is>
      </c>
      <c r="D2551" s="10" t="inlineStr">
        <is>
          <t>下り</t>
        </is>
      </c>
      <c r="E2551" t="inlineStr">
        <is>
          <t>2051</t>
        </is>
      </c>
      <c r="F2551" t="inlineStr">
        <is>
          <t>0453</t>
        </is>
      </c>
      <c r="G2551" s="10" t="inlineStr">
        <is>
          <t>鳴滝</t>
        </is>
      </c>
      <c r="H2551" s="10" t="inlineStr">
        <is>
          <t>発</t>
        </is>
      </c>
      <c r="J2551" s="10" t="inlineStr">
        <is>
          <t>営業</t>
        </is>
      </c>
      <c r="L2551" t="inlineStr">
        <is>
          <t>20:10:35</t>
        </is>
      </c>
      <c r="M2551" t="inlineStr">
        <is>
          <t>20:10:45</t>
        </is>
      </c>
    </row>
    <row r="2552" ht="15" customHeight="1" s="37">
      <c r="A2552" t="n">
        <v>20</v>
      </c>
      <c r="B2552" s="10" t="inlineStr">
        <is>
          <t>休日</t>
        </is>
      </c>
      <c r="C2552" s="10" t="inlineStr">
        <is>
          <t>北野線</t>
        </is>
      </c>
      <c r="D2552" s="10" t="inlineStr">
        <is>
          <t>下り</t>
        </is>
      </c>
      <c r="E2552" t="inlineStr">
        <is>
          <t>2051</t>
        </is>
      </c>
      <c r="F2552" t="inlineStr">
        <is>
          <t>0453</t>
        </is>
      </c>
      <c r="G2552" s="10" t="inlineStr">
        <is>
          <t>常盤</t>
        </is>
      </c>
      <c r="H2552" s="10" t="inlineStr">
        <is>
          <t>発</t>
        </is>
      </c>
      <c r="J2552" s="10" t="inlineStr">
        <is>
          <t>営業</t>
        </is>
      </c>
      <c r="L2552" t="inlineStr">
        <is>
          <t>20:11:35</t>
        </is>
      </c>
      <c r="M2552" t="inlineStr">
        <is>
          <t>20:11:55</t>
        </is>
      </c>
    </row>
    <row r="2553" ht="15" customHeight="1" s="37">
      <c r="A2553" t="n">
        <v>20</v>
      </c>
      <c r="B2553" s="10" t="inlineStr">
        <is>
          <t>休日</t>
        </is>
      </c>
      <c r="C2553" s="10" t="inlineStr">
        <is>
          <t>北野線</t>
        </is>
      </c>
      <c r="D2553" s="10" t="inlineStr">
        <is>
          <t>下り</t>
        </is>
      </c>
      <c r="E2553" t="inlineStr">
        <is>
          <t>2051</t>
        </is>
      </c>
      <c r="F2553" t="inlineStr">
        <is>
          <t>0453</t>
        </is>
      </c>
      <c r="G2553" s="10" t="inlineStr">
        <is>
          <t>撮影所前</t>
        </is>
      </c>
      <c r="H2553" s="10" t="inlineStr">
        <is>
          <t>発</t>
        </is>
      </c>
      <c r="J2553" s="10" t="inlineStr">
        <is>
          <t>営業</t>
        </is>
      </c>
      <c r="L2553" t="inlineStr">
        <is>
          <t>20:13:15</t>
        </is>
      </c>
      <c r="M2553" t="inlineStr">
        <is>
          <t>20:13:30</t>
        </is>
      </c>
    </row>
    <row r="2554" ht="15" customHeight="1" s="37">
      <c r="A2554" t="n">
        <v>20</v>
      </c>
      <c r="B2554" s="10" t="inlineStr">
        <is>
          <t>休日</t>
        </is>
      </c>
      <c r="C2554" s="10" t="inlineStr">
        <is>
          <t>北野線</t>
        </is>
      </c>
      <c r="D2554" s="10" t="inlineStr">
        <is>
          <t>下り</t>
        </is>
      </c>
      <c r="E2554" t="inlineStr">
        <is>
          <t>2051</t>
        </is>
      </c>
      <c r="F2554" t="inlineStr">
        <is>
          <t>0453</t>
        </is>
      </c>
      <c r="G2554" s="10" t="inlineStr">
        <is>
          <t>帷子ノ辻</t>
        </is>
      </c>
      <c r="H2554" s="10" t="inlineStr">
        <is>
          <t>着</t>
        </is>
      </c>
      <c r="J2554" s="10" t="inlineStr">
        <is>
          <t>営業</t>
        </is>
      </c>
      <c r="L2554" t="inlineStr">
        <is>
          <t>20:14:25</t>
        </is>
      </c>
      <c r="Q2554" t="inlineStr">
        <is>
          <t>4</t>
        </is>
      </c>
    </row>
    <row r="2555" ht="15" customHeight="1" s="37">
      <c r="A2555" t="n">
        <v>20</v>
      </c>
      <c r="B2555" s="10" t="inlineStr">
        <is>
          <t>休日</t>
        </is>
      </c>
      <c r="C2555" s="10" t="inlineStr">
        <is>
          <t>北野線</t>
        </is>
      </c>
      <c r="D2555" s="10" t="inlineStr">
        <is>
          <t>上り</t>
        </is>
      </c>
      <c r="E2555" t="inlineStr">
        <is>
          <t>2058</t>
        </is>
      </c>
      <c r="F2555" t="inlineStr">
        <is>
          <t>0304</t>
        </is>
      </c>
      <c r="G2555" s="10" t="inlineStr">
        <is>
          <t>帷子ノ辻</t>
        </is>
      </c>
      <c r="H2555" s="10" t="inlineStr">
        <is>
          <t>発</t>
        </is>
      </c>
      <c r="J2555" s="10" t="inlineStr">
        <is>
          <t>営業</t>
        </is>
      </c>
      <c r="M2555" t="inlineStr">
        <is>
          <t>20:36:25</t>
        </is>
      </c>
      <c r="Q2555" t="inlineStr">
        <is>
          <t>3</t>
        </is>
      </c>
    </row>
    <row r="2556" ht="15" customHeight="1" s="37">
      <c r="A2556" t="n">
        <v>20</v>
      </c>
      <c r="B2556" s="10" t="inlineStr">
        <is>
          <t>休日</t>
        </is>
      </c>
      <c r="C2556" s="10" t="inlineStr">
        <is>
          <t>北野線</t>
        </is>
      </c>
      <c r="D2556" s="10" t="inlineStr">
        <is>
          <t>上り</t>
        </is>
      </c>
      <c r="E2556" t="inlineStr">
        <is>
          <t>2058</t>
        </is>
      </c>
      <c r="F2556" t="inlineStr">
        <is>
          <t>0304</t>
        </is>
      </c>
      <c r="G2556" s="10" t="inlineStr">
        <is>
          <t>撮影所前</t>
        </is>
      </c>
      <c r="H2556" s="10" t="inlineStr">
        <is>
          <t>発</t>
        </is>
      </c>
      <c r="J2556" s="10" t="inlineStr">
        <is>
          <t>営業</t>
        </is>
      </c>
      <c r="L2556" t="inlineStr">
        <is>
          <t>20:37:25</t>
        </is>
      </c>
      <c r="M2556" t="inlineStr">
        <is>
          <t>20:37:40</t>
        </is>
      </c>
    </row>
    <row r="2557" ht="15" customHeight="1" s="37">
      <c r="A2557" t="n">
        <v>20</v>
      </c>
      <c r="B2557" s="10" t="inlineStr">
        <is>
          <t>休日</t>
        </is>
      </c>
      <c r="C2557" s="10" t="inlineStr">
        <is>
          <t>北野線</t>
        </is>
      </c>
      <c r="D2557" s="10" t="inlineStr">
        <is>
          <t>上り</t>
        </is>
      </c>
      <c r="E2557" t="inlineStr">
        <is>
          <t>2058</t>
        </is>
      </c>
      <c r="F2557" t="inlineStr">
        <is>
          <t>0304</t>
        </is>
      </c>
      <c r="G2557" s="10" t="inlineStr">
        <is>
          <t>常盤</t>
        </is>
      </c>
      <c r="H2557" s="10" t="inlineStr">
        <is>
          <t>発</t>
        </is>
      </c>
      <c r="J2557" s="10" t="inlineStr">
        <is>
          <t>営業</t>
        </is>
      </c>
      <c r="L2557" t="inlineStr">
        <is>
          <t>20:39:00</t>
        </is>
      </c>
      <c r="M2557" t="inlineStr">
        <is>
          <t>20:39:20</t>
        </is>
      </c>
    </row>
    <row r="2558" ht="15" customHeight="1" s="37">
      <c r="A2558" t="n">
        <v>20</v>
      </c>
      <c r="B2558" s="10" t="inlineStr">
        <is>
          <t>休日</t>
        </is>
      </c>
      <c r="C2558" s="10" t="inlineStr">
        <is>
          <t>北野線</t>
        </is>
      </c>
      <c r="D2558" s="10" t="inlineStr">
        <is>
          <t>上り</t>
        </is>
      </c>
      <c r="E2558" t="inlineStr">
        <is>
          <t>2058</t>
        </is>
      </c>
      <c r="F2558" t="inlineStr">
        <is>
          <t>0304</t>
        </is>
      </c>
      <c r="G2558" s="10" t="inlineStr">
        <is>
          <t>鳴滝</t>
        </is>
      </c>
      <c r="H2558" s="10" t="inlineStr">
        <is>
          <t>発</t>
        </is>
      </c>
      <c r="J2558" s="10" t="inlineStr">
        <is>
          <t>営業</t>
        </is>
      </c>
      <c r="L2558" t="inlineStr">
        <is>
          <t>20:40:20</t>
        </is>
      </c>
      <c r="M2558" t="inlineStr">
        <is>
          <t>20:40:40</t>
        </is>
      </c>
    </row>
    <row r="2559" ht="15" customHeight="1" s="37">
      <c r="A2559" t="n">
        <v>20</v>
      </c>
      <c r="B2559" s="10" t="inlineStr">
        <is>
          <t>休日</t>
        </is>
      </c>
      <c r="C2559" s="10" t="inlineStr">
        <is>
          <t>北野線</t>
        </is>
      </c>
      <c r="D2559" s="10" t="inlineStr">
        <is>
          <t>上り</t>
        </is>
      </c>
      <c r="E2559" t="inlineStr">
        <is>
          <t>2058</t>
        </is>
      </c>
      <c r="F2559" t="inlineStr">
        <is>
          <t>0304</t>
        </is>
      </c>
      <c r="G2559" s="10" t="inlineStr">
        <is>
          <t>宇多野</t>
        </is>
      </c>
      <c r="H2559" s="10" t="inlineStr">
        <is>
          <t>発</t>
        </is>
      </c>
      <c r="J2559" s="10" t="inlineStr">
        <is>
          <t>営業</t>
        </is>
      </c>
      <c r="L2559" t="inlineStr">
        <is>
          <t>20:42:00</t>
        </is>
      </c>
      <c r="M2559" t="inlineStr">
        <is>
          <t>20:42:15</t>
        </is>
      </c>
    </row>
    <row r="2560" ht="15" customHeight="1" s="37">
      <c r="A2560" t="n">
        <v>20</v>
      </c>
      <c r="B2560" s="10" t="inlineStr">
        <is>
          <t>休日</t>
        </is>
      </c>
      <c r="C2560" s="10" t="inlineStr">
        <is>
          <t>北野線</t>
        </is>
      </c>
      <c r="D2560" s="10" t="inlineStr">
        <is>
          <t>上り</t>
        </is>
      </c>
      <c r="E2560" t="inlineStr">
        <is>
          <t>2058</t>
        </is>
      </c>
      <c r="F2560" t="inlineStr">
        <is>
          <t>0304</t>
        </is>
      </c>
      <c r="G2560" s="10" t="inlineStr">
        <is>
          <t>御室仁和寺</t>
        </is>
      </c>
      <c r="H2560" s="10" t="inlineStr">
        <is>
          <t>発</t>
        </is>
      </c>
      <c r="J2560" s="10" t="inlineStr">
        <is>
          <t>営業</t>
        </is>
      </c>
      <c r="L2560" t="inlineStr">
        <is>
          <t>20:43:15</t>
        </is>
      </c>
      <c r="M2560" t="inlineStr">
        <is>
          <t>20:43:35</t>
        </is>
      </c>
    </row>
    <row r="2561" ht="15" customHeight="1" s="37">
      <c r="A2561" t="n">
        <v>20</v>
      </c>
      <c r="B2561" s="10" t="inlineStr">
        <is>
          <t>休日</t>
        </is>
      </c>
      <c r="C2561" s="10" t="inlineStr">
        <is>
          <t>北野線</t>
        </is>
      </c>
      <c r="D2561" s="10" t="inlineStr">
        <is>
          <t>上り</t>
        </is>
      </c>
      <c r="E2561" t="inlineStr">
        <is>
          <t>2058</t>
        </is>
      </c>
      <c r="F2561" t="inlineStr">
        <is>
          <t>0304</t>
        </is>
      </c>
      <c r="G2561" s="10" t="inlineStr">
        <is>
          <t>妙心寺</t>
        </is>
      </c>
      <c r="H2561" s="10" t="inlineStr">
        <is>
          <t>発</t>
        </is>
      </c>
      <c r="J2561" s="10" t="inlineStr">
        <is>
          <t>営業</t>
        </is>
      </c>
      <c r="L2561" t="inlineStr">
        <is>
          <t>20:44:35</t>
        </is>
      </c>
      <c r="M2561" t="inlineStr">
        <is>
          <t>20:44:50</t>
        </is>
      </c>
    </row>
    <row r="2562" ht="15" customHeight="1" s="37">
      <c r="A2562" t="n">
        <v>20</v>
      </c>
      <c r="B2562" s="10" t="inlineStr">
        <is>
          <t>休日</t>
        </is>
      </c>
      <c r="C2562" s="10" t="inlineStr">
        <is>
          <t>北野線</t>
        </is>
      </c>
      <c r="D2562" s="10" t="inlineStr">
        <is>
          <t>上り</t>
        </is>
      </c>
      <c r="E2562" t="inlineStr">
        <is>
          <t>2058</t>
        </is>
      </c>
      <c r="F2562" t="inlineStr">
        <is>
          <t>0304</t>
        </is>
      </c>
      <c r="G2562" s="10" t="inlineStr">
        <is>
          <t>龍安寺</t>
        </is>
      </c>
      <c r="H2562" s="10" t="inlineStr">
        <is>
          <t>発</t>
        </is>
      </c>
      <c r="J2562" s="10" t="inlineStr">
        <is>
          <t>営業</t>
        </is>
      </c>
      <c r="L2562" t="inlineStr">
        <is>
          <t>20:45:45</t>
        </is>
      </c>
      <c r="M2562" t="inlineStr">
        <is>
          <t>20:45:55</t>
        </is>
      </c>
    </row>
    <row r="2563" ht="15" customHeight="1" s="37">
      <c r="A2563" t="n">
        <v>20</v>
      </c>
      <c r="B2563" s="10" t="inlineStr">
        <is>
          <t>休日</t>
        </is>
      </c>
      <c r="C2563" s="10" t="inlineStr">
        <is>
          <t>北野線</t>
        </is>
      </c>
      <c r="D2563" s="10" t="inlineStr">
        <is>
          <t>上り</t>
        </is>
      </c>
      <c r="E2563" t="inlineStr">
        <is>
          <t>2058</t>
        </is>
      </c>
      <c r="F2563" t="inlineStr">
        <is>
          <t>0304</t>
        </is>
      </c>
      <c r="G2563" s="10" t="inlineStr">
        <is>
          <t>等持院</t>
        </is>
      </c>
      <c r="H2563" s="10" t="inlineStr">
        <is>
          <t>発</t>
        </is>
      </c>
      <c r="J2563" s="10" t="inlineStr">
        <is>
          <t>営業</t>
        </is>
      </c>
      <c r="L2563" t="inlineStr">
        <is>
          <t>20:46:35</t>
        </is>
      </c>
      <c r="M2563" t="inlineStr">
        <is>
          <t>20:46:55</t>
        </is>
      </c>
    </row>
    <row r="2564" ht="15" customHeight="1" s="37">
      <c r="A2564" t="n">
        <v>20</v>
      </c>
      <c r="B2564" s="10" t="inlineStr">
        <is>
          <t>休日</t>
        </is>
      </c>
      <c r="C2564" s="10" t="inlineStr">
        <is>
          <t>北野線</t>
        </is>
      </c>
      <c r="D2564" s="10" t="inlineStr">
        <is>
          <t>上り</t>
        </is>
      </c>
      <c r="E2564" t="inlineStr">
        <is>
          <t>2058</t>
        </is>
      </c>
      <c r="F2564" t="inlineStr">
        <is>
          <t>0304</t>
        </is>
      </c>
      <c r="G2564" s="10" t="inlineStr">
        <is>
          <t>北野白梅町</t>
        </is>
      </c>
      <c r="H2564" s="10" t="inlineStr">
        <is>
          <t>着</t>
        </is>
      </c>
      <c r="J2564" s="10" t="inlineStr">
        <is>
          <t>営業</t>
        </is>
      </c>
      <c r="L2564" t="inlineStr">
        <is>
          <t>20:48:15</t>
        </is>
      </c>
      <c r="N2564" t="inlineStr">
        <is>
          <t>○</t>
        </is>
      </c>
      <c r="Q2564" t="inlineStr">
        <is>
          <t>1</t>
        </is>
      </c>
    </row>
    <row r="2565" ht="15" customHeight="1" s="37">
      <c r="A2565" t="n">
        <v>20</v>
      </c>
      <c r="B2565" s="10" t="inlineStr">
        <is>
          <t>休日</t>
        </is>
      </c>
      <c r="C2565" s="10" t="inlineStr">
        <is>
          <t>北野線</t>
        </is>
      </c>
      <c r="D2565" s="10" t="inlineStr">
        <is>
          <t>下り</t>
        </is>
      </c>
      <c r="E2565" t="inlineStr">
        <is>
          <t>2061</t>
        </is>
      </c>
      <c r="F2565" t="inlineStr">
        <is>
          <t>0453</t>
        </is>
      </c>
      <c r="G2565" s="10" t="inlineStr">
        <is>
          <t>北野白梅町</t>
        </is>
      </c>
      <c r="H2565" s="10" t="inlineStr">
        <is>
          <t>発</t>
        </is>
      </c>
      <c r="J2565" s="10" t="inlineStr">
        <is>
          <t>営業</t>
        </is>
      </c>
      <c r="M2565" t="inlineStr">
        <is>
          <t>20:53:00</t>
        </is>
      </c>
      <c r="Q2565" t="inlineStr">
        <is>
          <t>1</t>
        </is>
      </c>
    </row>
    <row r="2566" ht="15" customHeight="1" s="37">
      <c r="A2566" t="n">
        <v>20</v>
      </c>
      <c r="B2566" s="10" t="inlineStr">
        <is>
          <t>休日</t>
        </is>
      </c>
      <c r="C2566" s="10" t="inlineStr">
        <is>
          <t>北野線</t>
        </is>
      </c>
      <c r="D2566" s="10" t="inlineStr">
        <is>
          <t>下り</t>
        </is>
      </c>
      <c r="E2566" t="inlineStr">
        <is>
          <t>2061</t>
        </is>
      </c>
      <c r="F2566" t="inlineStr">
        <is>
          <t>0453</t>
        </is>
      </c>
      <c r="G2566" s="10" t="inlineStr">
        <is>
          <t>等持院</t>
        </is>
      </c>
      <c r="H2566" s="10" t="inlineStr">
        <is>
          <t>発</t>
        </is>
      </c>
      <c r="J2566" s="10" t="inlineStr">
        <is>
          <t>営業</t>
        </is>
      </c>
      <c r="L2566" t="inlineStr">
        <is>
          <t>20:54:25</t>
        </is>
      </c>
      <c r="M2566" t="inlineStr">
        <is>
          <t>20:54:35</t>
        </is>
      </c>
    </row>
    <row r="2567" ht="15" customHeight="1" s="37">
      <c r="A2567" t="n">
        <v>20</v>
      </c>
      <c r="B2567" s="10" t="inlineStr">
        <is>
          <t>休日</t>
        </is>
      </c>
      <c r="C2567" s="10" t="inlineStr">
        <is>
          <t>北野線</t>
        </is>
      </c>
      <c r="D2567" s="10" t="inlineStr">
        <is>
          <t>下り</t>
        </is>
      </c>
      <c r="E2567" t="inlineStr">
        <is>
          <t>2061</t>
        </is>
      </c>
      <c r="F2567" t="inlineStr">
        <is>
          <t>0453</t>
        </is>
      </c>
      <c r="G2567" s="10" t="inlineStr">
        <is>
          <t>龍安寺</t>
        </is>
      </c>
      <c r="H2567" s="10" t="inlineStr">
        <is>
          <t>発</t>
        </is>
      </c>
      <c r="J2567" s="10" t="inlineStr">
        <is>
          <t>営業</t>
        </is>
      </c>
      <c r="L2567" t="inlineStr">
        <is>
          <t>20:55:25</t>
        </is>
      </c>
      <c r="M2567" t="inlineStr">
        <is>
          <t>20:55:50</t>
        </is>
      </c>
    </row>
    <row r="2568" ht="15" customHeight="1" s="37">
      <c r="A2568" t="n">
        <v>20</v>
      </c>
      <c r="B2568" s="10" t="inlineStr">
        <is>
          <t>休日</t>
        </is>
      </c>
      <c r="C2568" s="10" t="inlineStr">
        <is>
          <t>北野線</t>
        </is>
      </c>
      <c r="D2568" s="10" t="inlineStr">
        <is>
          <t>下り</t>
        </is>
      </c>
      <c r="E2568" t="inlineStr">
        <is>
          <t>2061</t>
        </is>
      </c>
      <c r="F2568" t="inlineStr">
        <is>
          <t>0453</t>
        </is>
      </c>
      <c r="G2568" s="10" t="inlineStr">
        <is>
          <t>妙心寺</t>
        </is>
      </c>
      <c r="H2568" s="10" t="inlineStr">
        <is>
          <t>発</t>
        </is>
      </c>
      <c r="J2568" s="10" t="inlineStr">
        <is>
          <t>営業</t>
        </is>
      </c>
      <c r="L2568" t="inlineStr">
        <is>
          <t>20:56:40</t>
        </is>
      </c>
      <c r="M2568" t="inlineStr">
        <is>
          <t>20:56:50</t>
        </is>
      </c>
    </row>
    <row r="2569" ht="15" customHeight="1" s="37">
      <c r="A2569" t="n">
        <v>20</v>
      </c>
      <c r="B2569" s="10" t="inlineStr">
        <is>
          <t>休日</t>
        </is>
      </c>
      <c r="C2569" s="10" t="inlineStr">
        <is>
          <t>北野線</t>
        </is>
      </c>
      <c r="D2569" s="10" t="inlineStr">
        <is>
          <t>下り</t>
        </is>
      </c>
      <c r="E2569" t="inlineStr">
        <is>
          <t>2061</t>
        </is>
      </c>
      <c r="F2569" t="inlineStr">
        <is>
          <t>0453</t>
        </is>
      </c>
      <c r="G2569" s="10" t="inlineStr">
        <is>
          <t>御室仁和寺</t>
        </is>
      </c>
      <c r="H2569" s="10" t="inlineStr">
        <is>
          <t>発</t>
        </is>
      </c>
      <c r="J2569" s="10" t="inlineStr">
        <is>
          <t>営業</t>
        </is>
      </c>
      <c r="L2569" t="inlineStr">
        <is>
          <t>20:57:50</t>
        </is>
      </c>
      <c r="M2569" t="inlineStr">
        <is>
          <t>20:58:05</t>
        </is>
      </c>
    </row>
    <row r="2570" ht="15" customHeight="1" s="37">
      <c r="A2570" t="n">
        <v>20</v>
      </c>
      <c r="B2570" s="10" t="inlineStr">
        <is>
          <t>休日</t>
        </is>
      </c>
      <c r="C2570" s="10" t="inlineStr">
        <is>
          <t>北野線</t>
        </is>
      </c>
      <c r="D2570" s="10" t="inlineStr">
        <is>
          <t>下り</t>
        </is>
      </c>
      <c r="E2570" t="inlineStr">
        <is>
          <t>2061</t>
        </is>
      </c>
      <c r="F2570" t="inlineStr">
        <is>
          <t>0453</t>
        </is>
      </c>
      <c r="G2570" s="10" t="inlineStr">
        <is>
          <t>宇多野</t>
        </is>
      </c>
      <c r="H2570" s="10" t="inlineStr">
        <is>
          <t>発</t>
        </is>
      </c>
      <c r="J2570" s="10" t="inlineStr">
        <is>
          <t>営業</t>
        </is>
      </c>
      <c r="L2570" t="inlineStr">
        <is>
          <t>20:59:05</t>
        </is>
      </c>
      <c r="M2570" t="inlineStr">
        <is>
          <t>20:59:15</t>
        </is>
      </c>
    </row>
    <row r="2571" ht="15" customHeight="1" s="37">
      <c r="A2571" t="n">
        <v>20</v>
      </c>
      <c r="B2571" s="10" t="inlineStr">
        <is>
          <t>休日</t>
        </is>
      </c>
      <c r="C2571" s="10" t="inlineStr">
        <is>
          <t>北野線</t>
        </is>
      </c>
      <c r="D2571" s="10" t="inlineStr">
        <is>
          <t>下り</t>
        </is>
      </c>
      <c r="E2571" t="inlineStr">
        <is>
          <t>2061</t>
        </is>
      </c>
      <c r="F2571" t="inlineStr">
        <is>
          <t>0453</t>
        </is>
      </c>
      <c r="G2571" s="10" t="inlineStr">
        <is>
          <t>鳴滝</t>
        </is>
      </c>
      <c r="H2571" s="10" t="inlineStr">
        <is>
          <t>発</t>
        </is>
      </c>
      <c r="J2571" s="10" t="inlineStr">
        <is>
          <t>営業</t>
        </is>
      </c>
      <c r="L2571" t="inlineStr">
        <is>
          <t>21:00:35</t>
        </is>
      </c>
      <c r="M2571" t="inlineStr">
        <is>
          <t>21:00:45</t>
        </is>
      </c>
    </row>
    <row r="2572" ht="15" customHeight="1" s="37">
      <c r="A2572" t="n">
        <v>20</v>
      </c>
      <c r="B2572" s="10" t="inlineStr">
        <is>
          <t>休日</t>
        </is>
      </c>
      <c r="C2572" s="10" t="inlineStr">
        <is>
          <t>北野線</t>
        </is>
      </c>
      <c r="D2572" s="10" t="inlineStr">
        <is>
          <t>下り</t>
        </is>
      </c>
      <c r="E2572" t="inlineStr">
        <is>
          <t>2061</t>
        </is>
      </c>
      <c r="F2572" t="inlineStr">
        <is>
          <t>0453</t>
        </is>
      </c>
      <c r="G2572" s="10" t="inlineStr">
        <is>
          <t>常盤</t>
        </is>
      </c>
      <c r="H2572" s="10" t="inlineStr">
        <is>
          <t>発</t>
        </is>
      </c>
      <c r="J2572" s="10" t="inlineStr">
        <is>
          <t>営業</t>
        </is>
      </c>
      <c r="L2572" t="inlineStr">
        <is>
          <t>21:01:35</t>
        </is>
      </c>
      <c r="M2572" t="inlineStr">
        <is>
          <t>21:01:55</t>
        </is>
      </c>
    </row>
    <row r="2573" ht="15" customHeight="1" s="37">
      <c r="A2573" t="n">
        <v>20</v>
      </c>
      <c r="B2573" s="10" t="inlineStr">
        <is>
          <t>休日</t>
        </is>
      </c>
      <c r="C2573" s="10" t="inlineStr">
        <is>
          <t>北野線</t>
        </is>
      </c>
      <c r="D2573" s="10" t="inlineStr">
        <is>
          <t>下り</t>
        </is>
      </c>
      <c r="E2573" t="inlineStr">
        <is>
          <t>2061</t>
        </is>
      </c>
      <c r="F2573" t="inlineStr">
        <is>
          <t>0453</t>
        </is>
      </c>
      <c r="G2573" s="10" t="inlineStr">
        <is>
          <t>撮影所前</t>
        </is>
      </c>
      <c r="H2573" s="10" t="inlineStr">
        <is>
          <t>発</t>
        </is>
      </c>
      <c r="J2573" s="10" t="inlineStr">
        <is>
          <t>営業</t>
        </is>
      </c>
      <c r="L2573" t="inlineStr">
        <is>
          <t>21:03:15</t>
        </is>
      </c>
      <c r="M2573" t="inlineStr">
        <is>
          <t>21:03:30</t>
        </is>
      </c>
    </row>
    <row r="2574" ht="15" customHeight="1" s="37">
      <c r="A2574" t="n">
        <v>20</v>
      </c>
      <c r="B2574" s="10" t="inlineStr">
        <is>
          <t>休日</t>
        </is>
      </c>
      <c r="C2574" s="10" t="inlineStr">
        <is>
          <t>北野線</t>
        </is>
      </c>
      <c r="D2574" s="10" t="inlineStr">
        <is>
          <t>下り</t>
        </is>
      </c>
      <c r="E2574" t="inlineStr">
        <is>
          <t>2061</t>
        </is>
      </c>
      <c r="F2574" t="inlineStr">
        <is>
          <t>0453</t>
        </is>
      </c>
      <c r="G2574" s="10" t="inlineStr">
        <is>
          <t>帷子ノ辻</t>
        </is>
      </c>
      <c r="H2574" s="10" t="inlineStr">
        <is>
          <t>着</t>
        </is>
      </c>
      <c r="J2574" s="10" t="inlineStr">
        <is>
          <t>営業</t>
        </is>
      </c>
      <c r="L2574" t="inlineStr">
        <is>
          <t>21:04:25</t>
        </is>
      </c>
      <c r="Q2574" t="inlineStr">
        <is>
          <t>3</t>
        </is>
      </c>
      <c r="T2574" t="inlineStr">
        <is>
          <t>○</t>
        </is>
      </c>
    </row>
    <row r="2575" ht="15" customHeight="1" s="37">
      <c r="A2575" t="n">
        <v>20</v>
      </c>
      <c r="B2575" s="10" t="inlineStr">
        <is>
          <t>休日</t>
        </is>
      </c>
      <c r="C2575" s="10" t="inlineStr">
        <is>
          <t>本線</t>
        </is>
      </c>
      <c r="D2575" s="10" t="inlineStr">
        <is>
          <t>上り</t>
        </is>
      </c>
      <c r="E2575" t="inlineStr">
        <is>
          <t>20系統④便乗</t>
        </is>
      </c>
      <c r="F2575" s="10" t="inlineStr">
        <is>
          <t>便乗</t>
        </is>
      </c>
      <c r="G2575" s="10" t="inlineStr">
        <is>
          <t>帷子ノ辻</t>
        </is>
      </c>
      <c r="H2575" s="10" t="inlineStr">
        <is>
          <t>発</t>
        </is>
      </c>
      <c r="J2575" s="10" t="inlineStr">
        <is>
          <t>便乗</t>
        </is>
      </c>
      <c r="L2575" t="inlineStr">
        <is>
          <t>12:10:10</t>
        </is>
      </c>
      <c r="M2575" t="inlineStr">
        <is>
          <t>12:11:15</t>
        </is>
      </c>
      <c r="S2575" t="inlineStr">
        <is>
          <t>1202</t>
        </is>
      </c>
    </row>
    <row r="2576" ht="15" customHeight="1" s="37">
      <c r="A2576" t="n">
        <v>20</v>
      </c>
      <c r="B2576" s="10" t="inlineStr">
        <is>
          <t>休日</t>
        </is>
      </c>
      <c r="C2576" s="10" t="inlineStr">
        <is>
          <t>本線</t>
        </is>
      </c>
      <c r="D2576" s="10" t="inlineStr">
        <is>
          <t>上り</t>
        </is>
      </c>
      <c r="E2576" t="inlineStr">
        <is>
          <t>20系統④便乗</t>
        </is>
      </c>
      <c r="F2576" s="10" t="inlineStr">
        <is>
          <t>便乗</t>
        </is>
      </c>
      <c r="G2576" s="10" t="inlineStr">
        <is>
          <t>太秦広隆寺</t>
        </is>
      </c>
      <c r="H2576" s="10" t="inlineStr">
        <is>
          <t>発</t>
        </is>
      </c>
      <c r="J2576" s="10" t="inlineStr">
        <is>
          <t>便乗</t>
        </is>
      </c>
      <c r="L2576" t="inlineStr">
        <is>
          <t>12:13:25</t>
        </is>
      </c>
      <c r="M2576" t="inlineStr">
        <is>
          <t>12:13:45</t>
        </is>
      </c>
      <c r="S2576" t="inlineStr">
        <is>
          <t>1202</t>
        </is>
      </c>
    </row>
    <row r="2577" ht="15" customHeight="1" s="37">
      <c r="A2577" t="n">
        <v>20</v>
      </c>
      <c r="B2577" s="10" t="inlineStr">
        <is>
          <t>休日</t>
        </is>
      </c>
      <c r="C2577" s="10" t="inlineStr">
        <is>
          <t>本線</t>
        </is>
      </c>
      <c r="D2577" s="10" t="inlineStr">
        <is>
          <t>上り</t>
        </is>
      </c>
      <c r="E2577" t="inlineStr">
        <is>
          <t>20系統④便乗</t>
        </is>
      </c>
      <c r="F2577" s="10" t="inlineStr">
        <is>
          <t>便乗</t>
        </is>
      </c>
      <c r="G2577" s="10" t="inlineStr">
        <is>
          <t>蚕ノ社</t>
        </is>
      </c>
      <c r="H2577" s="10" t="inlineStr">
        <is>
          <t>発</t>
        </is>
      </c>
      <c r="J2577" s="10" t="inlineStr">
        <is>
          <t>便乗</t>
        </is>
      </c>
      <c r="L2577" t="inlineStr">
        <is>
          <t>12:15:00</t>
        </is>
      </c>
      <c r="M2577" t="inlineStr">
        <is>
          <t>12:15:20</t>
        </is>
      </c>
      <c r="S2577" t="inlineStr">
        <is>
          <t>1202</t>
        </is>
      </c>
    </row>
    <row r="2578" ht="15" customHeight="1" s="37">
      <c r="A2578" t="n">
        <v>20</v>
      </c>
      <c r="B2578" s="10" t="inlineStr">
        <is>
          <t>休日</t>
        </is>
      </c>
      <c r="C2578" s="10" t="inlineStr">
        <is>
          <t>本線</t>
        </is>
      </c>
      <c r="D2578" s="10" t="inlineStr">
        <is>
          <t>上り</t>
        </is>
      </c>
      <c r="E2578" t="inlineStr">
        <is>
          <t>20系統④便乗</t>
        </is>
      </c>
      <c r="F2578" s="10" t="inlineStr">
        <is>
          <t>便乗</t>
        </is>
      </c>
      <c r="G2578" s="10" t="inlineStr">
        <is>
          <t>天神川</t>
        </is>
      </c>
      <c r="H2578" s="10" t="inlineStr">
        <is>
          <t>発</t>
        </is>
      </c>
      <c r="J2578" s="10" t="inlineStr">
        <is>
          <t>便乗</t>
        </is>
      </c>
      <c r="L2578" t="inlineStr">
        <is>
          <t>12:16:05</t>
        </is>
      </c>
      <c r="M2578" t="inlineStr">
        <is>
          <t>12:16:50</t>
        </is>
      </c>
      <c r="S2578" t="inlineStr">
        <is>
          <t>1202</t>
        </is>
      </c>
    </row>
    <row r="2579" ht="15" customHeight="1" s="37">
      <c r="A2579" t="n">
        <v>20</v>
      </c>
      <c r="B2579" s="10" t="inlineStr">
        <is>
          <t>休日</t>
        </is>
      </c>
      <c r="C2579" s="10" t="inlineStr">
        <is>
          <t>本線</t>
        </is>
      </c>
      <c r="D2579" s="10" t="inlineStr">
        <is>
          <t>上り</t>
        </is>
      </c>
      <c r="E2579" t="inlineStr">
        <is>
          <t>20系統④便乗</t>
        </is>
      </c>
      <c r="F2579" s="10" t="inlineStr">
        <is>
          <t>便乗</t>
        </is>
      </c>
      <c r="G2579" s="10" t="inlineStr">
        <is>
          <t>山ノ内</t>
        </is>
      </c>
      <c r="H2579" s="10" t="inlineStr">
        <is>
          <t>発</t>
        </is>
      </c>
      <c r="J2579" s="10" t="inlineStr">
        <is>
          <t>便乗</t>
        </is>
      </c>
      <c r="L2579" t="inlineStr">
        <is>
          <t>12:18:40</t>
        </is>
      </c>
      <c r="M2579" t="inlineStr">
        <is>
          <t>12:19:05</t>
        </is>
      </c>
      <c r="S2579" t="inlineStr">
        <is>
          <t>1202</t>
        </is>
      </c>
    </row>
    <row r="2580" ht="15" customHeight="1" s="37">
      <c r="A2580" t="n">
        <v>20</v>
      </c>
      <c r="B2580" s="10" t="inlineStr">
        <is>
          <t>休日</t>
        </is>
      </c>
      <c r="C2580" s="10" t="inlineStr">
        <is>
          <t>本線</t>
        </is>
      </c>
      <c r="D2580" s="10" t="inlineStr">
        <is>
          <t>上り</t>
        </is>
      </c>
      <c r="E2580" t="inlineStr">
        <is>
          <t>20系統④便乗</t>
        </is>
      </c>
      <c r="F2580" s="10" t="inlineStr">
        <is>
          <t>便乗</t>
        </is>
      </c>
      <c r="G2580" s="10" t="inlineStr">
        <is>
          <t>西大路三条</t>
        </is>
      </c>
      <c r="H2580" s="10" t="inlineStr">
        <is>
          <t>発</t>
        </is>
      </c>
      <c r="J2580" s="10" t="inlineStr">
        <is>
          <t>便乗</t>
        </is>
      </c>
      <c r="L2580" t="inlineStr">
        <is>
          <t>12:20:55</t>
        </is>
      </c>
      <c r="M2580" t="inlineStr">
        <is>
          <t>12:21:15</t>
        </is>
      </c>
      <c r="S2580" t="inlineStr">
        <is>
          <t>1202</t>
        </is>
      </c>
    </row>
    <row r="2581" ht="15" customHeight="1" s="37">
      <c r="A2581" t="n">
        <v>20</v>
      </c>
      <c r="B2581" s="10" t="inlineStr">
        <is>
          <t>休日</t>
        </is>
      </c>
      <c r="C2581" s="10" t="inlineStr">
        <is>
          <t>本線</t>
        </is>
      </c>
      <c r="D2581" s="10" t="inlineStr">
        <is>
          <t>上り</t>
        </is>
      </c>
      <c r="E2581" t="inlineStr">
        <is>
          <t>20系統④便乗</t>
        </is>
      </c>
      <c r="F2581" s="10" t="inlineStr">
        <is>
          <t>便乗</t>
        </is>
      </c>
      <c r="G2581" s="10" t="inlineStr">
        <is>
          <t>西院</t>
        </is>
      </c>
      <c r="H2581" s="10" t="inlineStr">
        <is>
          <t>着</t>
        </is>
      </c>
      <c r="J2581" s="10" t="inlineStr">
        <is>
          <t>便乗</t>
        </is>
      </c>
      <c r="L2581" t="inlineStr">
        <is>
          <t>12:23:10</t>
        </is>
      </c>
      <c r="M2581" t="inlineStr">
        <is>
          <t>12:24:05</t>
        </is>
      </c>
      <c r="S2581" t="inlineStr">
        <is>
          <t>1202</t>
        </is>
      </c>
    </row>
    <row r="2582" ht="15" customHeight="1" s="37">
      <c r="A2582" t="n">
        <v>20</v>
      </c>
      <c r="B2582" s="10" t="inlineStr">
        <is>
          <t>休日</t>
        </is>
      </c>
      <c r="C2582" s="10" t="inlineStr">
        <is>
          <t>本線</t>
        </is>
      </c>
      <c r="D2582" s="10" t="inlineStr">
        <is>
          <t>下り</t>
        </is>
      </c>
      <c r="E2582" t="inlineStr">
        <is>
          <t>20系統⑤便乗</t>
        </is>
      </c>
      <c r="F2582" s="10" t="inlineStr">
        <is>
          <t>便乗</t>
        </is>
      </c>
      <c r="G2582" s="10" t="inlineStr">
        <is>
          <t>西院</t>
        </is>
      </c>
      <c r="H2582" s="10" t="inlineStr">
        <is>
          <t>発</t>
        </is>
      </c>
      <c r="J2582" s="10" t="inlineStr">
        <is>
          <t>便乗</t>
        </is>
      </c>
      <c r="L2582" t="inlineStr">
        <is>
          <t>8:35:50</t>
        </is>
      </c>
      <c r="M2582" t="inlineStr">
        <is>
          <t>8:36:20</t>
        </is>
      </c>
      <c r="S2582" t="inlineStr">
        <is>
          <t>0807</t>
        </is>
      </c>
    </row>
    <row r="2583" ht="15" customHeight="1" s="37">
      <c r="A2583" t="n">
        <v>20</v>
      </c>
      <c r="B2583" s="10" t="inlineStr">
        <is>
          <t>休日</t>
        </is>
      </c>
      <c r="C2583" s="10" t="inlineStr">
        <is>
          <t>本線</t>
        </is>
      </c>
      <c r="D2583" s="10" t="inlineStr">
        <is>
          <t>下り</t>
        </is>
      </c>
      <c r="E2583" t="inlineStr">
        <is>
          <t>20系統⑤便乗</t>
        </is>
      </c>
      <c r="F2583" s="10" t="inlineStr">
        <is>
          <t>便乗</t>
        </is>
      </c>
      <c r="G2583" s="10" t="inlineStr">
        <is>
          <t>西大路三条</t>
        </is>
      </c>
      <c r="H2583" s="10" t="inlineStr">
        <is>
          <t>発</t>
        </is>
      </c>
      <c r="J2583" s="10" t="inlineStr">
        <is>
          <t>便乗</t>
        </is>
      </c>
      <c r="L2583" t="inlineStr">
        <is>
          <t>8:38:10</t>
        </is>
      </c>
      <c r="M2583" t="inlineStr">
        <is>
          <t>8:38:30</t>
        </is>
      </c>
      <c r="S2583" t="inlineStr">
        <is>
          <t>0807</t>
        </is>
      </c>
    </row>
    <row r="2584" ht="15" customHeight="1" s="37">
      <c r="A2584" t="n">
        <v>20</v>
      </c>
      <c r="B2584" s="10" t="inlineStr">
        <is>
          <t>休日</t>
        </is>
      </c>
      <c r="C2584" s="10" t="inlineStr">
        <is>
          <t>本線</t>
        </is>
      </c>
      <c r="D2584" s="10" t="inlineStr">
        <is>
          <t>下り</t>
        </is>
      </c>
      <c r="E2584" t="inlineStr">
        <is>
          <t>20系統⑤便乗</t>
        </is>
      </c>
      <c r="F2584" s="10" t="inlineStr">
        <is>
          <t>便乗</t>
        </is>
      </c>
      <c r="G2584" s="10" t="inlineStr">
        <is>
          <t>山ノ内</t>
        </is>
      </c>
      <c r="H2584" s="10" t="inlineStr">
        <is>
          <t>発</t>
        </is>
      </c>
      <c r="J2584" s="10" t="inlineStr">
        <is>
          <t>便乗</t>
        </is>
      </c>
      <c r="L2584" t="inlineStr">
        <is>
          <t>8:40:25</t>
        </is>
      </c>
      <c r="M2584" t="inlineStr">
        <is>
          <t>8:40:50</t>
        </is>
      </c>
      <c r="S2584" t="inlineStr">
        <is>
          <t>0807</t>
        </is>
      </c>
    </row>
    <row r="2585" ht="15" customHeight="1" s="37">
      <c r="A2585" t="n">
        <v>20</v>
      </c>
      <c r="B2585" s="10" t="inlineStr">
        <is>
          <t>休日</t>
        </is>
      </c>
      <c r="C2585" s="10" t="inlineStr">
        <is>
          <t>本線</t>
        </is>
      </c>
      <c r="D2585" s="10" t="inlineStr">
        <is>
          <t>下り</t>
        </is>
      </c>
      <c r="E2585" t="inlineStr">
        <is>
          <t>20系統⑤便乗</t>
        </is>
      </c>
      <c r="F2585" s="10" t="inlineStr">
        <is>
          <t>便乗</t>
        </is>
      </c>
      <c r="G2585" s="10" t="inlineStr">
        <is>
          <t>天神川</t>
        </is>
      </c>
      <c r="H2585" s="10" t="inlineStr">
        <is>
          <t>発</t>
        </is>
      </c>
      <c r="J2585" s="10" t="inlineStr">
        <is>
          <t>便乗</t>
        </is>
      </c>
      <c r="L2585" t="inlineStr">
        <is>
          <t>8:42:50</t>
        </is>
      </c>
      <c r="M2585" t="inlineStr">
        <is>
          <t>8:43:30</t>
        </is>
      </c>
      <c r="S2585" t="inlineStr">
        <is>
          <t>0807</t>
        </is>
      </c>
    </row>
    <row r="2586" ht="15" customHeight="1" s="37">
      <c r="A2586" t="n">
        <v>20</v>
      </c>
      <c r="B2586" s="10" t="inlineStr">
        <is>
          <t>休日</t>
        </is>
      </c>
      <c r="C2586" s="10" t="inlineStr">
        <is>
          <t>本線</t>
        </is>
      </c>
      <c r="D2586" s="10" t="inlineStr">
        <is>
          <t>下り</t>
        </is>
      </c>
      <c r="E2586" t="inlineStr">
        <is>
          <t>20系統⑤便乗</t>
        </is>
      </c>
      <c r="F2586" s="10" t="inlineStr">
        <is>
          <t>便乗</t>
        </is>
      </c>
      <c r="G2586" s="10" t="inlineStr">
        <is>
          <t>蚕ノ社</t>
        </is>
      </c>
      <c r="H2586" s="10" t="inlineStr">
        <is>
          <t>発</t>
        </is>
      </c>
      <c r="J2586" s="10" t="inlineStr">
        <is>
          <t>便乗</t>
        </is>
      </c>
      <c r="L2586" t="inlineStr">
        <is>
          <t>8:44:20</t>
        </is>
      </c>
      <c r="M2586" t="inlineStr">
        <is>
          <t>8:44:40</t>
        </is>
      </c>
      <c r="S2586" t="inlineStr">
        <is>
          <t>0807</t>
        </is>
      </c>
    </row>
    <row r="2587" ht="15" customHeight="1" s="37">
      <c r="A2587" t="n">
        <v>20</v>
      </c>
      <c r="B2587" s="10" t="inlineStr">
        <is>
          <t>休日</t>
        </is>
      </c>
      <c r="C2587" s="10" t="inlineStr">
        <is>
          <t>本線</t>
        </is>
      </c>
      <c r="D2587" s="10" t="inlineStr">
        <is>
          <t>下り</t>
        </is>
      </c>
      <c r="E2587" t="inlineStr">
        <is>
          <t>20系統⑤便乗</t>
        </is>
      </c>
      <c r="F2587" s="10" t="inlineStr">
        <is>
          <t>便乗</t>
        </is>
      </c>
      <c r="G2587" s="10" t="inlineStr">
        <is>
          <t>太秦広隆寺</t>
        </is>
      </c>
      <c r="H2587" s="10" t="inlineStr">
        <is>
          <t>発</t>
        </is>
      </c>
      <c r="J2587" s="10" t="inlineStr">
        <is>
          <t>便乗</t>
        </is>
      </c>
      <c r="L2587" t="inlineStr">
        <is>
          <t>8:46:00</t>
        </is>
      </c>
      <c r="M2587" t="inlineStr">
        <is>
          <t>8:46:20</t>
        </is>
      </c>
      <c r="S2587" t="inlineStr">
        <is>
          <t>0807</t>
        </is>
      </c>
    </row>
    <row r="2588" ht="15" customHeight="1" s="37">
      <c r="A2588" t="n">
        <v>20</v>
      </c>
      <c r="B2588" s="10" t="inlineStr">
        <is>
          <t>休日</t>
        </is>
      </c>
      <c r="C2588" s="10" t="inlineStr">
        <is>
          <t>本線</t>
        </is>
      </c>
      <c r="D2588" s="10" t="inlineStr">
        <is>
          <t>下り</t>
        </is>
      </c>
      <c r="E2588" t="inlineStr">
        <is>
          <t>20系統⑤便乗</t>
        </is>
      </c>
      <c r="F2588" s="10" t="inlineStr">
        <is>
          <t>便乗</t>
        </is>
      </c>
      <c r="G2588" s="10" t="inlineStr">
        <is>
          <t>帷子ノ辻</t>
        </is>
      </c>
      <c r="H2588" s="10" t="inlineStr">
        <is>
          <t>着</t>
        </is>
      </c>
      <c r="J2588" s="10" t="inlineStr">
        <is>
          <t>便乗</t>
        </is>
      </c>
      <c r="L2588" t="inlineStr">
        <is>
          <t>8:48:20</t>
        </is>
      </c>
      <c r="M2588" t="inlineStr">
        <is>
          <t>8:49:40</t>
        </is>
      </c>
      <c r="S2588" t="inlineStr">
        <is>
          <t>0807</t>
        </is>
      </c>
    </row>
    <row r="2589" ht="15" customHeight="1" s="37">
      <c r="A2589" t="n">
        <v>20</v>
      </c>
      <c r="B2589" s="10" t="inlineStr">
        <is>
          <t>休日</t>
        </is>
      </c>
      <c r="C2589" s="10" t="inlineStr">
        <is>
          <t>本線</t>
        </is>
      </c>
      <c r="D2589" s="10" t="inlineStr">
        <is>
          <t>上り</t>
        </is>
      </c>
      <c r="E2589" t="inlineStr">
        <is>
          <t>20系統⑫便乗</t>
        </is>
      </c>
      <c r="F2589" s="10" t="inlineStr">
        <is>
          <t>便乗</t>
        </is>
      </c>
      <c r="G2589" s="10" t="inlineStr">
        <is>
          <t>帷子ノ辻</t>
        </is>
      </c>
      <c r="H2589" s="10" t="inlineStr">
        <is>
          <t>発</t>
        </is>
      </c>
      <c r="J2589" s="10" t="inlineStr">
        <is>
          <t>便乗</t>
        </is>
      </c>
      <c r="L2589" t="inlineStr">
        <is>
          <t>21:10:35</t>
        </is>
      </c>
      <c r="M2589" t="inlineStr">
        <is>
          <t>21:11:05</t>
        </is>
      </c>
      <c r="S2589" t="inlineStr">
        <is>
          <t>2102</t>
        </is>
      </c>
    </row>
    <row r="2590" ht="15" customHeight="1" s="37">
      <c r="A2590" t="n">
        <v>20</v>
      </c>
      <c r="B2590" s="10" t="inlineStr">
        <is>
          <t>休日</t>
        </is>
      </c>
      <c r="C2590" s="10" t="inlineStr">
        <is>
          <t>本線</t>
        </is>
      </c>
      <c r="D2590" s="10" t="inlineStr">
        <is>
          <t>上り</t>
        </is>
      </c>
      <c r="E2590" t="inlineStr">
        <is>
          <t>20系統⑫便乗</t>
        </is>
      </c>
      <c r="F2590" s="10" t="inlineStr">
        <is>
          <t>便乗</t>
        </is>
      </c>
      <c r="G2590" s="10" t="inlineStr">
        <is>
          <t>太秦広隆寺</t>
        </is>
      </c>
      <c r="H2590" s="10" t="inlineStr">
        <is>
          <t>発</t>
        </is>
      </c>
      <c r="J2590" s="10" t="inlineStr">
        <is>
          <t>便乗</t>
        </is>
      </c>
      <c r="L2590" t="inlineStr">
        <is>
          <t>21:13:15</t>
        </is>
      </c>
      <c r="M2590" t="inlineStr">
        <is>
          <t>21:13:35</t>
        </is>
      </c>
      <c r="S2590" t="inlineStr">
        <is>
          <t>2102</t>
        </is>
      </c>
    </row>
    <row r="2591" ht="15" customHeight="1" s="37">
      <c r="A2591" t="n">
        <v>20</v>
      </c>
      <c r="B2591" s="10" t="inlineStr">
        <is>
          <t>休日</t>
        </is>
      </c>
      <c r="C2591" s="10" t="inlineStr">
        <is>
          <t>本線</t>
        </is>
      </c>
      <c r="D2591" s="10" t="inlineStr">
        <is>
          <t>上り</t>
        </is>
      </c>
      <c r="E2591" t="inlineStr">
        <is>
          <t>20系統⑫便乗</t>
        </is>
      </c>
      <c r="F2591" s="10" t="inlineStr">
        <is>
          <t>便乗</t>
        </is>
      </c>
      <c r="G2591" s="10" t="inlineStr">
        <is>
          <t>蚕ノ社</t>
        </is>
      </c>
      <c r="H2591" s="10" t="inlineStr">
        <is>
          <t>発</t>
        </is>
      </c>
      <c r="J2591" s="10" t="inlineStr">
        <is>
          <t>便乗</t>
        </is>
      </c>
      <c r="L2591" t="inlineStr">
        <is>
          <t>21:14:50</t>
        </is>
      </c>
      <c r="M2591" t="inlineStr">
        <is>
          <t>21:15:10</t>
        </is>
      </c>
      <c r="S2591" t="inlineStr">
        <is>
          <t>2102</t>
        </is>
      </c>
    </row>
    <row r="2592" ht="15" customHeight="1" s="37">
      <c r="A2592" t="n">
        <v>20</v>
      </c>
      <c r="B2592" s="10" t="inlineStr">
        <is>
          <t>休日</t>
        </is>
      </c>
      <c r="C2592" s="10" t="inlineStr">
        <is>
          <t>本線</t>
        </is>
      </c>
      <c r="D2592" s="10" t="inlineStr">
        <is>
          <t>上り</t>
        </is>
      </c>
      <c r="E2592" t="inlineStr">
        <is>
          <t>20系統⑫便乗</t>
        </is>
      </c>
      <c r="F2592" s="10" t="inlineStr">
        <is>
          <t>便乗</t>
        </is>
      </c>
      <c r="G2592" s="10" t="inlineStr">
        <is>
          <t>天神川</t>
        </is>
      </c>
      <c r="H2592" s="10" t="inlineStr">
        <is>
          <t>発</t>
        </is>
      </c>
      <c r="J2592" s="10" t="inlineStr">
        <is>
          <t>便乗</t>
        </is>
      </c>
      <c r="L2592" t="inlineStr">
        <is>
          <t>21:15:55</t>
        </is>
      </c>
      <c r="M2592" t="inlineStr">
        <is>
          <t>21:16:20</t>
        </is>
      </c>
      <c r="S2592" t="inlineStr">
        <is>
          <t>2102</t>
        </is>
      </c>
    </row>
    <row r="2593" ht="15" customHeight="1" s="37">
      <c r="A2593" t="n">
        <v>20</v>
      </c>
      <c r="B2593" s="10" t="inlineStr">
        <is>
          <t>休日</t>
        </is>
      </c>
      <c r="C2593" s="10" t="inlineStr">
        <is>
          <t>本線</t>
        </is>
      </c>
      <c r="D2593" s="10" t="inlineStr">
        <is>
          <t>上り</t>
        </is>
      </c>
      <c r="E2593" t="inlineStr">
        <is>
          <t>20系統⑫便乗</t>
        </is>
      </c>
      <c r="F2593" s="10" t="inlineStr">
        <is>
          <t>便乗</t>
        </is>
      </c>
      <c r="G2593" s="10" t="inlineStr">
        <is>
          <t>山ノ内</t>
        </is>
      </c>
      <c r="H2593" s="10" t="inlineStr">
        <is>
          <t>発</t>
        </is>
      </c>
      <c r="J2593" s="10" t="inlineStr">
        <is>
          <t>便乗</t>
        </is>
      </c>
      <c r="L2593" t="inlineStr">
        <is>
          <t>21:18:10</t>
        </is>
      </c>
      <c r="M2593" t="inlineStr">
        <is>
          <t>21:18:35</t>
        </is>
      </c>
      <c r="S2593" t="inlineStr">
        <is>
          <t>2102</t>
        </is>
      </c>
    </row>
    <row r="2594" ht="15" customHeight="1" s="37">
      <c r="A2594" t="n">
        <v>20</v>
      </c>
      <c r="B2594" s="10" t="inlineStr">
        <is>
          <t>休日</t>
        </is>
      </c>
      <c r="C2594" s="10" t="inlineStr">
        <is>
          <t>本線</t>
        </is>
      </c>
      <c r="D2594" s="10" t="inlineStr">
        <is>
          <t>上り</t>
        </is>
      </c>
      <c r="E2594" t="inlineStr">
        <is>
          <t>20系統⑫便乗</t>
        </is>
      </c>
      <c r="F2594" s="10" t="inlineStr">
        <is>
          <t>便乗</t>
        </is>
      </c>
      <c r="G2594" s="10" t="inlineStr">
        <is>
          <t>西大路三条</t>
        </is>
      </c>
      <c r="H2594" s="10" t="inlineStr">
        <is>
          <t>発</t>
        </is>
      </c>
      <c r="J2594" s="10" t="inlineStr">
        <is>
          <t>便乗</t>
        </is>
      </c>
      <c r="L2594" t="inlineStr">
        <is>
          <t>21:20:25</t>
        </is>
      </c>
      <c r="M2594" t="inlineStr">
        <is>
          <t>21:20:40</t>
        </is>
      </c>
      <c r="S2594" t="inlineStr">
        <is>
          <t>2102</t>
        </is>
      </c>
    </row>
    <row r="2595" ht="15" customHeight="1" s="37">
      <c r="A2595" t="n">
        <v>20</v>
      </c>
      <c r="B2595" s="10" t="inlineStr">
        <is>
          <t>休日</t>
        </is>
      </c>
      <c r="C2595" s="10" t="inlineStr">
        <is>
          <t>本線</t>
        </is>
      </c>
      <c r="D2595" s="10" t="inlineStr">
        <is>
          <t>上り</t>
        </is>
      </c>
      <c r="E2595" t="inlineStr">
        <is>
          <t>20系統⑫便乗</t>
        </is>
      </c>
      <c r="F2595" s="10" t="inlineStr">
        <is>
          <t>便乗</t>
        </is>
      </c>
      <c r="G2595" s="10" t="inlineStr">
        <is>
          <t>西院</t>
        </is>
      </c>
      <c r="H2595" s="10" t="inlineStr">
        <is>
          <t>着</t>
        </is>
      </c>
      <c r="J2595" s="10" t="inlineStr">
        <is>
          <t>便乗</t>
        </is>
      </c>
      <c r="L2595" t="inlineStr">
        <is>
          <t>21:22:35</t>
        </is>
      </c>
      <c r="M2595" t="inlineStr">
        <is>
          <t>21:23:05</t>
        </is>
      </c>
      <c r="S2595" t="inlineStr">
        <is>
          <t>2102</t>
        </is>
      </c>
    </row>
    <row r="2596" ht="15" customHeight="1" s="37">
      <c r="A2596" t="n">
        <v>20</v>
      </c>
      <c r="B2596" s="10" t="inlineStr">
        <is>
          <t>休日</t>
        </is>
      </c>
      <c r="C2596" s="10" t="inlineStr">
        <is>
          <t>本線</t>
        </is>
      </c>
      <c r="D2596" s="10" t="inlineStr">
        <is>
          <t>下り</t>
        </is>
      </c>
      <c r="E2596" t="inlineStr">
        <is>
          <t>20系統⑭便乗</t>
        </is>
      </c>
      <c r="F2596" s="10" t="inlineStr">
        <is>
          <t>便乗</t>
        </is>
      </c>
      <c r="G2596" s="10" t="inlineStr">
        <is>
          <t>西院</t>
        </is>
      </c>
      <c r="H2596" s="10" t="inlineStr">
        <is>
          <t>発</t>
        </is>
      </c>
      <c r="J2596" s="10" t="inlineStr">
        <is>
          <t>便乗</t>
        </is>
      </c>
      <c r="L2596" t="inlineStr">
        <is>
          <t>16:45:50</t>
        </is>
      </c>
      <c r="M2596" t="inlineStr">
        <is>
          <t>16:46:20</t>
        </is>
      </c>
      <c r="S2596" t="inlineStr">
        <is>
          <t>連1609</t>
        </is>
      </c>
    </row>
    <row r="2597" ht="15" customHeight="1" s="37">
      <c r="A2597" t="n">
        <v>20</v>
      </c>
      <c r="B2597" s="10" t="inlineStr">
        <is>
          <t>休日</t>
        </is>
      </c>
      <c r="C2597" s="10" t="inlineStr">
        <is>
          <t>本線</t>
        </is>
      </c>
      <c r="D2597" s="10" t="inlineStr">
        <is>
          <t>下り</t>
        </is>
      </c>
      <c r="E2597" t="inlineStr">
        <is>
          <t>20系統⑭便乗</t>
        </is>
      </c>
      <c r="F2597" s="10" t="inlineStr">
        <is>
          <t>便乗</t>
        </is>
      </c>
      <c r="G2597" s="10" t="inlineStr">
        <is>
          <t>西大路三条</t>
        </is>
      </c>
      <c r="H2597" s="10" t="inlineStr">
        <is>
          <t>発</t>
        </is>
      </c>
      <c r="J2597" s="10" t="inlineStr">
        <is>
          <t>便乗</t>
        </is>
      </c>
      <c r="L2597" t="inlineStr">
        <is>
          <t>16:48:10</t>
        </is>
      </c>
      <c r="M2597" t="inlineStr">
        <is>
          <t>16:48:30</t>
        </is>
      </c>
      <c r="S2597" t="inlineStr">
        <is>
          <t>連1609</t>
        </is>
      </c>
    </row>
    <row r="2598" ht="15" customHeight="1" s="37">
      <c r="A2598" t="n">
        <v>20</v>
      </c>
      <c r="B2598" s="10" t="inlineStr">
        <is>
          <t>休日</t>
        </is>
      </c>
      <c r="C2598" s="10" t="inlineStr">
        <is>
          <t>本線</t>
        </is>
      </c>
      <c r="D2598" s="10" t="inlineStr">
        <is>
          <t>下り</t>
        </is>
      </c>
      <c r="E2598" t="inlineStr">
        <is>
          <t>20系統⑭便乗</t>
        </is>
      </c>
      <c r="F2598" s="10" t="inlineStr">
        <is>
          <t>便乗</t>
        </is>
      </c>
      <c r="G2598" s="10" t="inlineStr">
        <is>
          <t>山ノ内</t>
        </is>
      </c>
      <c r="H2598" s="10" t="inlineStr">
        <is>
          <t>発</t>
        </is>
      </c>
      <c r="J2598" s="10" t="inlineStr">
        <is>
          <t>便乗</t>
        </is>
      </c>
      <c r="L2598" t="inlineStr">
        <is>
          <t>16:50:25</t>
        </is>
      </c>
      <c r="M2598" t="inlineStr">
        <is>
          <t>16:50:50</t>
        </is>
      </c>
      <c r="S2598" t="inlineStr">
        <is>
          <t>連1609</t>
        </is>
      </c>
    </row>
    <row r="2599" ht="15" customHeight="1" s="37">
      <c r="A2599" t="n">
        <v>20</v>
      </c>
      <c r="B2599" s="10" t="inlineStr">
        <is>
          <t>休日</t>
        </is>
      </c>
      <c r="C2599" s="10" t="inlineStr">
        <is>
          <t>本線</t>
        </is>
      </c>
      <c r="D2599" s="10" t="inlineStr">
        <is>
          <t>下り</t>
        </is>
      </c>
      <c r="E2599" t="inlineStr">
        <is>
          <t>20系統⑭便乗</t>
        </is>
      </c>
      <c r="F2599" s="10" t="inlineStr">
        <is>
          <t>便乗</t>
        </is>
      </c>
      <c r="G2599" s="10" t="inlineStr">
        <is>
          <t>天神川</t>
        </is>
      </c>
      <c r="H2599" s="10" t="inlineStr">
        <is>
          <t>発</t>
        </is>
      </c>
      <c r="J2599" s="10" t="inlineStr">
        <is>
          <t>便乗</t>
        </is>
      </c>
      <c r="L2599" t="inlineStr">
        <is>
          <t>16:52:50</t>
        </is>
      </c>
      <c r="M2599" t="inlineStr">
        <is>
          <t>16:53:30</t>
        </is>
      </c>
      <c r="S2599" t="inlineStr">
        <is>
          <t>連1609</t>
        </is>
      </c>
    </row>
    <row r="2600" ht="15" customHeight="1" s="37">
      <c r="A2600" t="n">
        <v>20</v>
      </c>
      <c r="B2600" s="10" t="inlineStr">
        <is>
          <t>休日</t>
        </is>
      </c>
      <c r="C2600" s="10" t="inlineStr">
        <is>
          <t>本線</t>
        </is>
      </c>
      <c r="D2600" s="10" t="inlineStr">
        <is>
          <t>下り</t>
        </is>
      </c>
      <c r="E2600" t="inlineStr">
        <is>
          <t>20系統⑭便乗</t>
        </is>
      </c>
      <c r="F2600" s="10" t="inlineStr">
        <is>
          <t>便乗</t>
        </is>
      </c>
      <c r="G2600" s="10" t="inlineStr">
        <is>
          <t>蚕ノ社</t>
        </is>
      </c>
      <c r="H2600" s="10" t="inlineStr">
        <is>
          <t>発</t>
        </is>
      </c>
      <c r="J2600" s="10" t="inlineStr">
        <is>
          <t>便乗</t>
        </is>
      </c>
      <c r="L2600" t="inlineStr">
        <is>
          <t>16:54:20</t>
        </is>
      </c>
      <c r="M2600" t="inlineStr">
        <is>
          <t>16:54:40</t>
        </is>
      </c>
      <c r="S2600" t="inlineStr">
        <is>
          <t>連1609</t>
        </is>
      </c>
    </row>
    <row r="2601" ht="15" customHeight="1" s="37">
      <c r="A2601" t="n">
        <v>20</v>
      </c>
      <c r="B2601" s="10" t="inlineStr">
        <is>
          <t>休日</t>
        </is>
      </c>
      <c r="C2601" s="10" t="inlineStr">
        <is>
          <t>本線</t>
        </is>
      </c>
      <c r="D2601" s="10" t="inlineStr">
        <is>
          <t>下り</t>
        </is>
      </c>
      <c r="E2601" t="inlineStr">
        <is>
          <t>20系統⑭便乗</t>
        </is>
      </c>
      <c r="F2601" s="10" t="inlineStr">
        <is>
          <t>便乗</t>
        </is>
      </c>
      <c r="G2601" s="10" t="inlineStr">
        <is>
          <t>太秦広隆寺</t>
        </is>
      </c>
      <c r="H2601" s="10" t="inlineStr">
        <is>
          <t>発</t>
        </is>
      </c>
      <c r="J2601" s="10" t="inlineStr">
        <is>
          <t>便乗</t>
        </is>
      </c>
      <c r="L2601" t="inlineStr">
        <is>
          <t>16:56:00</t>
        </is>
      </c>
      <c r="M2601" t="inlineStr">
        <is>
          <t>16:56:20</t>
        </is>
      </c>
      <c r="S2601" t="inlineStr">
        <is>
          <t>連1609</t>
        </is>
      </c>
    </row>
    <row r="2602" ht="15" customHeight="1" s="37">
      <c r="A2602" t="n">
        <v>20</v>
      </c>
      <c r="B2602" s="10" t="inlineStr">
        <is>
          <t>休日</t>
        </is>
      </c>
      <c r="C2602" s="10" t="inlineStr">
        <is>
          <t>本線</t>
        </is>
      </c>
      <c r="D2602" s="10" t="inlineStr">
        <is>
          <t>下り</t>
        </is>
      </c>
      <c r="E2602" t="inlineStr">
        <is>
          <t>20系統⑭便乗</t>
        </is>
      </c>
      <c r="F2602" s="10" t="inlineStr">
        <is>
          <t>便乗</t>
        </is>
      </c>
      <c r="G2602" s="10" t="inlineStr">
        <is>
          <t>帷子ノ辻</t>
        </is>
      </c>
      <c r="H2602" s="10" t="inlineStr">
        <is>
          <t>着</t>
        </is>
      </c>
      <c r="J2602" s="10" t="inlineStr">
        <is>
          <t>便乗</t>
        </is>
      </c>
      <c r="L2602" t="inlineStr">
        <is>
          <t>16:58:20</t>
        </is>
      </c>
      <c r="M2602" t="inlineStr">
        <is>
          <t>16:59:40</t>
        </is>
      </c>
      <c r="S2602" t="inlineStr">
        <is>
          <t>連1609</t>
        </is>
      </c>
    </row>
    <row r="2603" ht="15" customHeight="1" s="37">
      <c r="A2603" t="n">
        <v>21</v>
      </c>
      <c r="B2603" s="10" t="inlineStr">
        <is>
          <t>休日</t>
        </is>
      </c>
      <c r="C2603" s="10" t="inlineStr">
        <is>
          <t>北野線</t>
        </is>
      </c>
      <c r="D2603" s="10" t="inlineStr">
        <is>
          <t>上り</t>
        </is>
      </c>
      <c r="E2603" t="inlineStr">
        <is>
          <t>1360</t>
        </is>
      </c>
      <c r="F2603" t="inlineStr">
        <is>
          <t>0354</t>
        </is>
      </c>
      <c r="G2603" s="10" t="inlineStr">
        <is>
          <t>帷子ノ辻</t>
        </is>
      </c>
      <c r="H2603" s="10" t="inlineStr">
        <is>
          <t>発</t>
        </is>
      </c>
      <c r="J2603" s="10" t="inlineStr">
        <is>
          <t>営業</t>
        </is>
      </c>
      <c r="M2603" t="inlineStr">
        <is>
          <t>13:46:25</t>
        </is>
      </c>
      <c r="Q2603" t="inlineStr">
        <is>
          <t>4</t>
        </is>
      </c>
    </row>
    <row r="2604" ht="15" customHeight="1" s="37">
      <c r="A2604" t="n">
        <v>21</v>
      </c>
      <c r="B2604" s="10" t="inlineStr">
        <is>
          <t>休日</t>
        </is>
      </c>
      <c r="C2604" s="10" t="inlineStr">
        <is>
          <t>北野線</t>
        </is>
      </c>
      <c r="D2604" s="10" t="inlineStr">
        <is>
          <t>上り</t>
        </is>
      </c>
      <c r="E2604" t="inlineStr">
        <is>
          <t>1360</t>
        </is>
      </c>
      <c r="F2604" t="inlineStr">
        <is>
          <t>0354</t>
        </is>
      </c>
      <c r="G2604" s="10" t="inlineStr">
        <is>
          <t>撮影所前</t>
        </is>
      </c>
      <c r="H2604" s="10" t="inlineStr">
        <is>
          <t>発</t>
        </is>
      </c>
      <c r="J2604" s="10" t="inlineStr">
        <is>
          <t>営業</t>
        </is>
      </c>
      <c r="L2604" t="inlineStr">
        <is>
          <t>13:47:25</t>
        </is>
      </c>
      <c r="M2604" t="inlineStr">
        <is>
          <t>13:47:40</t>
        </is>
      </c>
    </row>
    <row r="2605" ht="15" customHeight="1" s="37">
      <c r="A2605" t="n">
        <v>21</v>
      </c>
      <c r="B2605" s="10" t="inlineStr">
        <is>
          <t>休日</t>
        </is>
      </c>
      <c r="C2605" s="10" t="inlineStr">
        <is>
          <t>北野線</t>
        </is>
      </c>
      <c r="D2605" s="10" t="inlineStr">
        <is>
          <t>上り</t>
        </is>
      </c>
      <c r="E2605" t="inlineStr">
        <is>
          <t>1360</t>
        </is>
      </c>
      <c r="F2605" t="inlineStr">
        <is>
          <t>0354</t>
        </is>
      </c>
      <c r="G2605" s="10" t="inlineStr">
        <is>
          <t>常盤</t>
        </is>
      </c>
      <c r="H2605" s="10" t="inlineStr">
        <is>
          <t>発</t>
        </is>
      </c>
      <c r="J2605" s="10" t="inlineStr">
        <is>
          <t>営業</t>
        </is>
      </c>
      <c r="L2605" t="inlineStr">
        <is>
          <t>13:49:00</t>
        </is>
      </c>
      <c r="M2605" t="inlineStr">
        <is>
          <t>13:49:20</t>
        </is>
      </c>
    </row>
    <row r="2606" ht="15" customHeight="1" s="37">
      <c r="A2606" t="n">
        <v>21</v>
      </c>
      <c r="B2606" s="10" t="inlineStr">
        <is>
          <t>休日</t>
        </is>
      </c>
      <c r="C2606" s="10" t="inlineStr">
        <is>
          <t>北野線</t>
        </is>
      </c>
      <c r="D2606" s="10" t="inlineStr">
        <is>
          <t>上り</t>
        </is>
      </c>
      <c r="E2606" t="inlineStr">
        <is>
          <t>1360</t>
        </is>
      </c>
      <c r="F2606" t="inlineStr">
        <is>
          <t>0354</t>
        </is>
      </c>
      <c r="G2606" s="10" t="inlineStr">
        <is>
          <t>鳴滝</t>
        </is>
      </c>
      <c r="H2606" s="10" t="inlineStr">
        <is>
          <t>発</t>
        </is>
      </c>
      <c r="J2606" s="10" t="inlineStr">
        <is>
          <t>営業</t>
        </is>
      </c>
      <c r="L2606" t="inlineStr">
        <is>
          <t>13:50:20</t>
        </is>
      </c>
      <c r="M2606" t="inlineStr">
        <is>
          <t>13:50:40</t>
        </is>
      </c>
    </row>
    <row r="2607" ht="15" customHeight="1" s="37">
      <c r="A2607" t="n">
        <v>21</v>
      </c>
      <c r="B2607" s="10" t="inlineStr">
        <is>
          <t>休日</t>
        </is>
      </c>
      <c r="C2607" s="10" t="inlineStr">
        <is>
          <t>北野線</t>
        </is>
      </c>
      <c r="D2607" s="10" t="inlineStr">
        <is>
          <t>上り</t>
        </is>
      </c>
      <c r="E2607" t="inlineStr">
        <is>
          <t>1360</t>
        </is>
      </c>
      <c r="F2607" t="inlineStr">
        <is>
          <t>0354</t>
        </is>
      </c>
      <c r="G2607" s="10" t="inlineStr">
        <is>
          <t>宇多野</t>
        </is>
      </c>
      <c r="H2607" s="10" t="inlineStr">
        <is>
          <t>発</t>
        </is>
      </c>
      <c r="J2607" s="10" t="inlineStr">
        <is>
          <t>営業</t>
        </is>
      </c>
      <c r="L2607" t="inlineStr">
        <is>
          <t>13:52:00</t>
        </is>
      </c>
      <c r="M2607" t="inlineStr">
        <is>
          <t>13:52:15</t>
        </is>
      </c>
    </row>
    <row r="2608" ht="15" customHeight="1" s="37">
      <c r="A2608" t="n">
        <v>21</v>
      </c>
      <c r="B2608" s="10" t="inlineStr">
        <is>
          <t>休日</t>
        </is>
      </c>
      <c r="C2608" s="10" t="inlineStr">
        <is>
          <t>北野線</t>
        </is>
      </c>
      <c r="D2608" s="10" t="inlineStr">
        <is>
          <t>上り</t>
        </is>
      </c>
      <c r="E2608" t="inlineStr">
        <is>
          <t>1360</t>
        </is>
      </c>
      <c r="F2608" t="inlineStr">
        <is>
          <t>0354</t>
        </is>
      </c>
      <c r="G2608" s="10" t="inlineStr">
        <is>
          <t>御室仁和寺</t>
        </is>
      </c>
      <c r="H2608" s="10" t="inlineStr">
        <is>
          <t>発</t>
        </is>
      </c>
      <c r="J2608" s="10" t="inlineStr">
        <is>
          <t>営業</t>
        </is>
      </c>
      <c r="L2608" t="inlineStr">
        <is>
          <t>13:53:15</t>
        </is>
      </c>
      <c r="M2608" t="inlineStr">
        <is>
          <t>13:53:35</t>
        </is>
      </c>
    </row>
    <row r="2609" ht="15" customHeight="1" s="37">
      <c r="A2609" t="n">
        <v>21</v>
      </c>
      <c r="B2609" s="10" t="inlineStr">
        <is>
          <t>休日</t>
        </is>
      </c>
      <c r="C2609" s="10" t="inlineStr">
        <is>
          <t>北野線</t>
        </is>
      </c>
      <c r="D2609" s="10" t="inlineStr">
        <is>
          <t>上り</t>
        </is>
      </c>
      <c r="E2609" t="inlineStr">
        <is>
          <t>1360</t>
        </is>
      </c>
      <c r="F2609" t="inlineStr">
        <is>
          <t>0354</t>
        </is>
      </c>
      <c r="G2609" s="10" t="inlineStr">
        <is>
          <t>妙心寺</t>
        </is>
      </c>
      <c r="H2609" s="10" t="inlineStr">
        <is>
          <t>発</t>
        </is>
      </c>
      <c r="J2609" s="10" t="inlineStr">
        <is>
          <t>営業</t>
        </is>
      </c>
      <c r="L2609" t="inlineStr">
        <is>
          <t>13:54:35</t>
        </is>
      </c>
      <c r="M2609" t="inlineStr">
        <is>
          <t>13:54:50</t>
        </is>
      </c>
    </row>
    <row r="2610" ht="15" customHeight="1" s="37">
      <c r="A2610" t="n">
        <v>21</v>
      </c>
      <c r="B2610" s="10" t="inlineStr">
        <is>
          <t>休日</t>
        </is>
      </c>
      <c r="C2610" s="10" t="inlineStr">
        <is>
          <t>北野線</t>
        </is>
      </c>
      <c r="D2610" s="10" t="inlineStr">
        <is>
          <t>上り</t>
        </is>
      </c>
      <c r="E2610" t="inlineStr">
        <is>
          <t>1360</t>
        </is>
      </c>
      <c r="F2610" t="inlineStr">
        <is>
          <t>0354</t>
        </is>
      </c>
      <c r="G2610" s="10" t="inlineStr">
        <is>
          <t>龍安寺</t>
        </is>
      </c>
      <c r="H2610" s="10" t="inlineStr">
        <is>
          <t>発</t>
        </is>
      </c>
      <c r="J2610" s="10" t="inlineStr">
        <is>
          <t>営業</t>
        </is>
      </c>
      <c r="L2610" t="inlineStr">
        <is>
          <t>13:55:45</t>
        </is>
      </c>
      <c r="M2610" t="inlineStr">
        <is>
          <t>13:55:55</t>
        </is>
      </c>
    </row>
    <row r="2611" ht="15" customHeight="1" s="37">
      <c r="A2611" t="n">
        <v>21</v>
      </c>
      <c r="B2611" s="10" t="inlineStr">
        <is>
          <t>休日</t>
        </is>
      </c>
      <c r="C2611" s="10" t="inlineStr">
        <is>
          <t>北野線</t>
        </is>
      </c>
      <c r="D2611" s="10" t="inlineStr">
        <is>
          <t>上り</t>
        </is>
      </c>
      <c r="E2611" t="inlineStr">
        <is>
          <t>1360</t>
        </is>
      </c>
      <c r="F2611" t="inlineStr">
        <is>
          <t>0354</t>
        </is>
      </c>
      <c r="G2611" s="10" t="inlineStr">
        <is>
          <t>等持院</t>
        </is>
      </c>
      <c r="H2611" s="10" t="inlineStr">
        <is>
          <t>発</t>
        </is>
      </c>
      <c r="J2611" s="10" t="inlineStr">
        <is>
          <t>営業</t>
        </is>
      </c>
      <c r="L2611" t="inlineStr">
        <is>
          <t>13:56:35</t>
        </is>
      </c>
      <c r="M2611" t="inlineStr">
        <is>
          <t>13:56:55</t>
        </is>
      </c>
    </row>
    <row r="2612" ht="15" customHeight="1" s="37">
      <c r="A2612" t="n">
        <v>21</v>
      </c>
      <c r="B2612" s="10" t="inlineStr">
        <is>
          <t>休日</t>
        </is>
      </c>
      <c r="C2612" s="10" t="inlineStr">
        <is>
          <t>北野線</t>
        </is>
      </c>
      <c r="D2612" s="10" t="inlineStr">
        <is>
          <t>上り</t>
        </is>
      </c>
      <c r="E2612" t="inlineStr">
        <is>
          <t>1360</t>
        </is>
      </c>
      <c r="F2612" t="inlineStr">
        <is>
          <t>0354</t>
        </is>
      </c>
      <c r="G2612" s="10" t="inlineStr">
        <is>
          <t>北野白梅町</t>
        </is>
      </c>
      <c r="H2612" s="10" t="inlineStr">
        <is>
          <t>着</t>
        </is>
      </c>
      <c r="J2612" s="10" t="inlineStr">
        <is>
          <t>営業</t>
        </is>
      </c>
      <c r="L2612" t="inlineStr">
        <is>
          <t>13:58:15</t>
        </is>
      </c>
      <c r="Q2612" t="inlineStr">
        <is>
          <t>1</t>
        </is>
      </c>
    </row>
    <row r="2613" ht="15" customHeight="1" s="37">
      <c r="A2613" t="n">
        <v>21</v>
      </c>
      <c r="B2613" s="10" t="inlineStr">
        <is>
          <t>休日</t>
        </is>
      </c>
      <c r="C2613" s="10" t="inlineStr">
        <is>
          <t>北野線</t>
        </is>
      </c>
      <c r="D2613" s="10" t="inlineStr">
        <is>
          <t>下り</t>
        </is>
      </c>
      <c r="E2613" t="inlineStr">
        <is>
          <t>1451</t>
        </is>
      </c>
      <c r="F2613" t="inlineStr">
        <is>
          <t>0453</t>
        </is>
      </c>
      <c r="G2613" s="10" t="inlineStr">
        <is>
          <t>北野白梅町</t>
        </is>
      </c>
      <c r="H2613" s="10" t="inlineStr">
        <is>
          <t>発</t>
        </is>
      </c>
      <c r="J2613" s="10" t="inlineStr">
        <is>
          <t>営業</t>
        </is>
      </c>
      <c r="M2613" t="inlineStr">
        <is>
          <t>14:03:00</t>
        </is>
      </c>
      <c r="Q2613" t="inlineStr">
        <is>
          <t>1</t>
        </is>
      </c>
    </row>
    <row r="2614" ht="15" customHeight="1" s="37">
      <c r="A2614" t="n">
        <v>21</v>
      </c>
      <c r="B2614" s="10" t="inlineStr">
        <is>
          <t>休日</t>
        </is>
      </c>
      <c r="C2614" s="10" t="inlineStr">
        <is>
          <t>北野線</t>
        </is>
      </c>
      <c r="D2614" s="10" t="inlineStr">
        <is>
          <t>下り</t>
        </is>
      </c>
      <c r="E2614" t="inlineStr">
        <is>
          <t>1451</t>
        </is>
      </c>
      <c r="F2614" t="inlineStr">
        <is>
          <t>0453</t>
        </is>
      </c>
      <c r="G2614" s="10" t="inlineStr">
        <is>
          <t>等持院</t>
        </is>
      </c>
      <c r="H2614" s="10" t="inlineStr">
        <is>
          <t>発</t>
        </is>
      </c>
      <c r="J2614" s="10" t="inlineStr">
        <is>
          <t>営業</t>
        </is>
      </c>
      <c r="L2614" t="inlineStr">
        <is>
          <t>14:04:25</t>
        </is>
      </c>
      <c r="M2614" t="inlineStr">
        <is>
          <t>14:04:35</t>
        </is>
      </c>
    </row>
    <row r="2615" ht="15" customHeight="1" s="37">
      <c r="A2615" t="n">
        <v>21</v>
      </c>
      <c r="B2615" s="10" t="inlineStr">
        <is>
          <t>休日</t>
        </is>
      </c>
      <c r="C2615" s="10" t="inlineStr">
        <is>
          <t>北野線</t>
        </is>
      </c>
      <c r="D2615" s="10" t="inlineStr">
        <is>
          <t>下り</t>
        </is>
      </c>
      <c r="E2615" t="inlineStr">
        <is>
          <t>1451</t>
        </is>
      </c>
      <c r="F2615" t="inlineStr">
        <is>
          <t>0453</t>
        </is>
      </c>
      <c r="G2615" s="10" t="inlineStr">
        <is>
          <t>龍安寺</t>
        </is>
      </c>
      <c r="H2615" s="10" t="inlineStr">
        <is>
          <t>発</t>
        </is>
      </c>
      <c r="J2615" s="10" t="inlineStr">
        <is>
          <t>営業</t>
        </is>
      </c>
      <c r="L2615" t="inlineStr">
        <is>
          <t>14:05:25</t>
        </is>
      </c>
      <c r="M2615" t="inlineStr">
        <is>
          <t>14:05:50</t>
        </is>
      </c>
    </row>
    <row r="2616" ht="15" customHeight="1" s="37">
      <c r="A2616" t="n">
        <v>21</v>
      </c>
      <c r="B2616" s="10" t="inlineStr">
        <is>
          <t>休日</t>
        </is>
      </c>
      <c r="C2616" s="10" t="inlineStr">
        <is>
          <t>北野線</t>
        </is>
      </c>
      <c r="D2616" s="10" t="inlineStr">
        <is>
          <t>下り</t>
        </is>
      </c>
      <c r="E2616" t="inlineStr">
        <is>
          <t>1451</t>
        </is>
      </c>
      <c r="F2616" t="inlineStr">
        <is>
          <t>0453</t>
        </is>
      </c>
      <c r="G2616" s="10" t="inlineStr">
        <is>
          <t>妙心寺</t>
        </is>
      </c>
      <c r="H2616" s="10" t="inlineStr">
        <is>
          <t>発</t>
        </is>
      </c>
      <c r="J2616" s="10" t="inlineStr">
        <is>
          <t>営業</t>
        </is>
      </c>
      <c r="L2616" t="inlineStr">
        <is>
          <t>14:06:40</t>
        </is>
      </c>
      <c r="M2616" t="inlineStr">
        <is>
          <t>14:06:50</t>
        </is>
      </c>
    </row>
    <row r="2617" ht="15" customHeight="1" s="37">
      <c r="A2617" t="n">
        <v>21</v>
      </c>
      <c r="B2617" s="10" t="inlineStr">
        <is>
          <t>休日</t>
        </is>
      </c>
      <c r="C2617" s="10" t="inlineStr">
        <is>
          <t>北野線</t>
        </is>
      </c>
      <c r="D2617" s="10" t="inlineStr">
        <is>
          <t>下り</t>
        </is>
      </c>
      <c r="E2617" t="inlineStr">
        <is>
          <t>1451</t>
        </is>
      </c>
      <c r="F2617" t="inlineStr">
        <is>
          <t>0453</t>
        </is>
      </c>
      <c r="G2617" s="10" t="inlineStr">
        <is>
          <t>御室仁和寺</t>
        </is>
      </c>
      <c r="H2617" s="10" t="inlineStr">
        <is>
          <t>発</t>
        </is>
      </c>
      <c r="J2617" s="10" t="inlineStr">
        <is>
          <t>営業</t>
        </is>
      </c>
      <c r="L2617" t="inlineStr">
        <is>
          <t>14:07:50</t>
        </is>
      </c>
      <c r="M2617" t="inlineStr">
        <is>
          <t>14:08:05</t>
        </is>
      </c>
    </row>
    <row r="2618" ht="15" customHeight="1" s="37">
      <c r="A2618" t="n">
        <v>21</v>
      </c>
      <c r="B2618" s="10" t="inlineStr">
        <is>
          <t>休日</t>
        </is>
      </c>
      <c r="C2618" s="10" t="inlineStr">
        <is>
          <t>北野線</t>
        </is>
      </c>
      <c r="D2618" s="10" t="inlineStr">
        <is>
          <t>下り</t>
        </is>
      </c>
      <c r="E2618" t="inlineStr">
        <is>
          <t>1451</t>
        </is>
      </c>
      <c r="F2618" t="inlineStr">
        <is>
          <t>0453</t>
        </is>
      </c>
      <c r="G2618" s="10" t="inlineStr">
        <is>
          <t>宇多野</t>
        </is>
      </c>
      <c r="H2618" s="10" t="inlineStr">
        <is>
          <t>発</t>
        </is>
      </c>
      <c r="J2618" s="10" t="inlineStr">
        <is>
          <t>営業</t>
        </is>
      </c>
      <c r="L2618" t="inlineStr">
        <is>
          <t>14:09:05</t>
        </is>
      </c>
      <c r="M2618" t="inlineStr">
        <is>
          <t>14:09:15</t>
        </is>
      </c>
    </row>
    <row r="2619" ht="15" customHeight="1" s="37">
      <c r="A2619" t="n">
        <v>21</v>
      </c>
      <c r="B2619" s="10" t="inlineStr">
        <is>
          <t>休日</t>
        </is>
      </c>
      <c r="C2619" s="10" t="inlineStr">
        <is>
          <t>北野線</t>
        </is>
      </c>
      <c r="D2619" s="10" t="inlineStr">
        <is>
          <t>下り</t>
        </is>
      </c>
      <c r="E2619" t="inlineStr">
        <is>
          <t>1451</t>
        </is>
      </c>
      <c r="F2619" t="inlineStr">
        <is>
          <t>0453</t>
        </is>
      </c>
      <c r="G2619" s="10" t="inlineStr">
        <is>
          <t>鳴滝</t>
        </is>
      </c>
      <c r="H2619" s="10" t="inlineStr">
        <is>
          <t>発</t>
        </is>
      </c>
      <c r="J2619" s="10" t="inlineStr">
        <is>
          <t>営業</t>
        </is>
      </c>
      <c r="L2619" t="inlineStr">
        <is>
          <t>14:10:35</t>
        </is>
      </c>
      <c r="M2619" t="inlineStr">
        <is>
          <t>14:10:45</t>
        </is>
      </c>
    </row>
    <row r="2620" ht="15" customHeight="1" s="37">
      <c r="A2620" t="n">
        <v>21</v>
      </c>
      <c r="B2620" s="10" t="inlineStr">
        <is>
          <t>休日</t>
        </is>
      </c>
      <c r="C2620" s="10" t="inlineStr">
        <is>
          <t>北野線</t>
        </is>
      </c>
      <c r="D2620" s="10" t="inlineStr">
        <is>
          <t>下り</t>
        </is>
      </c>
      <c r="E2620" t="inlineStr">
        <is>
          <t>1451</t>
        </is>
      </c>
      <c r="F2620" t="inlineStr">
        <is>
          <t>0453</t>
        </is>
      </c>
      <c r="G2620" s="10" t="inlineStr">
        <is>
          <t>常盤</t>
        </is>
      </c>
      <c r="H2620" s="10" t="inlineStr">
        <is>
          <t>発</t>
        </is>
      </c>
      <c r="J2620" s="10" t="inlineStr">
        <is>
          <t>営業</t>
        </is>
      </c>
      <c r="L2620" t="inlineStr">
        <is>
          <t>14:11:35</t>
        </is>
      </c>
      <c r="M2620" t="inlineStr">
        <is>
          <t>14:11:55</t>
        </is>
      </c>
    </row>
    <row r="2621" ht="15" customHeight="1" s="37">
      <c r="A2621" t="n">
        <v>21</v>
      </c>
      <c r="B2621" s="10" t="inlineStr">
        <is>
          <t>休日</t>
        </is>
      </c>
      <c r="C2621" s="10" t="inlineStr">
        <is>
          <t>北野線</t>
        </is>
      </c>
      <c r="D2621" s="10" t="inlineStr">
        <is>
          <t>下り</t>
        </is>
      </c>
      <c r="E2621" t="inlineStr">
        <is>
          <t>1451</t>
        </is>
      </c>
      <c r="F2621" t="inlineStr">
        <is>
          <t>0453</t>
        </is>
      </c>
      <c r="G2621" s="10" t="inlineStr">
        <is>
          <t>撮影所前</t>
        </is>
      </c>
      <c r="H2621" s="10" t="inlineStr">
        <is>
          <t>発</t>
        </is>
      </c>
      <c r="J2621" s="10" t="inlineStr">
        <is>
          <t>営業</t>
        </is>
      </c>
      <c r="L2621" t="inlineStr">
        <is>
          <t>14:13:15</t>
        </is>
      </c>
      <c r="M2621" t="inlineStr">
        <is>
          <t>14:13:30</t>
        </is>
      </c>
    </row>
    <row r="2622" ht="15" customHeight="1" s="37">
      <c r="A2622" t="n">
        <v>21</v>
      </c>
      <c r="B2622" s="10" t="inlineStr">
        <is>
          <t>休日</t>
        </is>
      </c>
      <c r="C2622" s="10" t="inlineStr">
        <is>
          <t>北野線</t>
        </is>
      </c>
      <c r="D2622" s="10" t="inlineStr">
        <is>
          <t>下り</t>
        </is>
      </c>
      <c r="E2622" t="inlineStr">
        <is>
          <t>1451</t>
        </is>
      </c>
      <c r="F2622" t="inlineStr">
        <is>
          <t>0453</t>
        </is>
      </c>
      <c r="G2622" s="10" t="inlineStr">
        <is>
          <t>帷子ノ辻</t>
        </is>
      </c>
      <c r="H2622" s="10" t="inlineStr">
        <is>
          <t>着</t>
        </is>
      </c>
      <c r="J2622" s="10" t="inlineStr">
        <is>
          <t>営業</t>
        </is>
      </c>
      <c r="L2622" t="inlineStr">
        <is>
          <t>14:14:25</t>
        </is>
      </c>
      <c r="Q2622" t="inlineStr">
        <is>
          <t>4</t>
        </is>
      </c>
    </row>
    <row r="2623" ht="15" customHeight="1" s="37">
      <c r="A2623" t="n">
        <v>21</v>
      </c>
      <c r="B2623" s="10" t="inlineStr">
        <is>
          <t>休日</t>
        </is>
      </c>
      <c r="C2623" s="10" t="inlineStr">
        <is>
          <t>北野線</t>
        </is>
      </c>
      <c r="D2623" s="10" t="inlineStr">
        <is>
          <t>上り</t>
        </is>
      </c>
      <c r="E2623" t="inlineStr">
        <is>
          <t>1456</t>
        </is>
      </c>
      <c r="F2623" t="inlineStr">
        <is>
          <t>0354</t>
        </is>
      </c>
      <c r="G2623" s="10" t="inlineStr">
        <is>
          <t>帷子ノ辻</t>
        </is>
      </c>
      <c r="H2623" s="10" t="inlineStr">
        <is>
          <t>発</t>
        </is>
      </c>
      <c r="J2623" s="10" t="inlineStr">
        <is>
          <t>営業</t>
        </is>
      </c>
      <c r="M2623" t="inlineStr">
        <is>
          <t>14:26:25</t>
        </is>
      </c>
      <c r="Q2623" t="inlineStr">
        <is>
          <t>4</t>
        </is>
      </c>
    </row>
    <row r="2624" ht="15" customHeight="1" s="37">
      <c r="A2624" t="n">
        <v>21</v>
      </c>
      <c r="B2624" s="10" t="inlineStr">
        <is>
          <t>休日</t>
        </is>
      </c>
      <c r="C2624" s="10" t="inlineStr">
        <is>
          <t>北野線</t>
        </is>
      </c>
      <c r="D2624" s="10" t="inlineStr">
        <is>
          <t>上り</t>
        </is>
      </c>
      <c r="E2624" t="inlineStr">
        <is>
          <t>1456</t>
        </is>
      </c>
      <c r="F2624" t="inlineStr">
        <is>
          <t>0354</t>
        </is>
      </c>
      <c r="G2624" s="10" t="inlineStr">
        <is>
          <t>撮影所前</t>
        </is>
      </c>
      <c r="H2624" s="10" t="inlineStr">
        <is>
          <t>発</t>
        </is>
      </c>
      <c r="J2624" s="10" t="inlineStr">
        <is>
          <t>営業</t>
        </is>
      </c>
      <c r="L2624" t="inlineStr">
        <is>
          <t>14:27:25</t>
        </is>
      </c>
      <c r="M2624" t="inlineStr">
        <is>
          <t>14:27:40</t>
        </is>
      </c>
    </row>
    <row r="2625" ht="15" customHeight="1" s="37">
      <c r="A2625" t="n">
        <v>21</v>
      </c>
      <c r="B2625" s="10" t="inlineStr">
        <is>
          <t>休日</t>
        </is>
      </c>
      <c r="C2625" s="10" t="inlineStr">
        <is>
          <t>北野線</t>
        </is>
      </c>
      <c r="D2625" s="10" t="inlineStr">
        <is>
          <t>上り</t>
        </is>
      </c>
      <c r="E2625" t="inlineStr">
        <is>
          <t>1456</t>
        </is>
      </c>
      <c r="F2625" t="inlineStr">
        <is>
          <t>0354</t>
        </is>
      </c>
      <c r="G2625" s="10" t="inlineStr">
        <is>
          <t>常盤</t>
        </is>
      </c>
      <c r="H2625" s="10" t="inlineStr">
        <is>
          <t>発</t>
        </is>
      </c>
      <c r="J2625" s="10" t="inlineStr">
        <is>
          <t>営業</t>
        </is>
      </c>
      <c r="L2625" t="inlineStr">
        <is>
          <t>14:29:00</t>
        </is>
      </c>
      <c r="M2625" t="inlineStr">
        <is>
          <t>14:29:20</t>
        </is>
      </c>
    </row>
    <row r="2626" ht="15" customHeight="1" s="37">
      <c r="A2626" t="n">
        <v>21</v>
      </c>
      <c r="B2626" s="10" t="inlineStr">
        <is>
          <t>休日</t>
        </is>
      </c>
      <c r="C2626" s="10" t="inlineStr">
        <is>
          <t>北野線</t>
        </is>
      </c>
      <c r="D2626" s="10" t="inlineStr">
        <is>
          <t>上り</t>
        </is>
      </c>
      <c r="E2626" t="inlineStr">
        <is>
          <t>1456</t>
        </is>
      </c>
      <c r="F2626" t="inlineStr">
        <is>
          <t>0354</t>
        </is>
      </c>
      <c r="G2626" s="10" t="inlineStr">
        <is>
          <t>鳴滝</t>
        </is>
      </c>
      <c r="H2626" s="10" t="inlineStr">
        <is>
          <t>発</t>
        </is>
      </c>
      <c r="J2626" s="10" t="inlineStr">
        <is>
          <t>営業</t>
        </is>
      </c>
      <c r="L2626" t="inlineStr">
        <is>
          <t>14:30:20</t>
        </is>
      </c>
      <c r="M2626" t="inlineStr">
        <is>
          <t>14:30:40</t>
        </is>
      </c>
    </row>
    <row r="2627" ht="15" customHeight="1" s="37">
      <c r="A2627" t="n">
        <v>21</v>
      </c>
      <c r="B2627" s="10" t="inlineStr">
        <is>
          <t>休日</t>
        </is>
      </c>
      <c r="C2627" s="10" t="inlineStr">
        <is>
          <t>北野線</t>
        </is>
      </c>
      <c r="D2627" s="10" t="inlineStr">
        <is>
          <t>上り</t>
        </is>
      </c>
      <c r="E2627" t="inlineStr">
        <is>
          <t>1456</t>
        </is>
      </c>
      <c r="F2627" t="inlineStr">
        <is>
          <t>0354</t>
        </is>
      </c>
      <c r="G2627" s="10" t="inlineStr">
        <is>
          <t>宇多野</t>
        </is>
      </c>
      <c r="H2627" s="10" t="inlineStr">
        <is>
          <t>発</t>
        </is>
      </c>
      <c r="J2627" s="10" t="inlineStr">
        <is>
          <t>営業</t>
        </is>
      </c>
      <c r="L2627" t="inlineStr">
        <is>
          <t>14:32:00</t>
        </is>
      </c>
      <c r="M2627" t="inlineStr">
        <is>
          <t>14:32:15</t>
        </is>
      </c>
    </row>
    <row r="2628" ht="15" customHeight="1" s="37">
      <c r="A2628" t="n">
        <v>21</v>
      </c>
      <c r="B2628" s="10" t="inlineStr">
        <is>
          <t>休日</t>
        </is>
      </c>
      <c r="C2628" s="10" t="inlineStr">
        <is>
          <t>北野線</t>
        </is>
      </c>
      <c r="D2628" s="10" t="inlineStr">
        <is>
          <t>上り</t>
        </is>
      </c>
      <c r="E2628" t="inlineStr">
        <is>
          <t>1456</t>
        </is>
      </c>
      <c r="F2628" t="inlineStr">
        <is>
          <t>0354</t>
        </is>
      </c>
      <c r="G2628" s="10" t="inlineStr">
        <is>
          <t>御室仁和寺</t>
        </is>
      </c>
      <c r="H2628" s="10" t="inlineStr">
        <is>
          <t>発</t>
        </is>
      </c>
      <c r="J2628" s="10" t="inlineStr">
        <is>
          <t>営業</t>
        </is>
      </c>
      <c r="L2628" t="inlineStr">
        <is>
          <t>14:33:15</t>
        </is>
      </c>
      <c r="M2628" t="inlineStr">
        <is>
          <t>14:33:35</t>
        </is>
      </c>
    </row>
    <row r="2629" ht="15" customHeight="1" s="37">
      <c r="A2629" t="n">
        <v>21</v>
      </c>
      <c r="B2629" s="10" t="inlineStr">
        <is>
          <t>休日</t>
        </is>
      </c>
      <c r="C2629" s="10" t="inlineStr">
        <is>
          <t>北野線</t>
        </is>
      </c>
      <c r="D2629" s="10" t="inlineStr">
        <is>
          <t>上り</t>
        </is>
      </c>
      <c r="E2629" t="inlineStr">
        <is>
          <t>1456</t>
        </is>
      </c>
      <c r="F2629" t="inlineStr">
        <is>
          <t>0354</t>
        </is>
      </c>
      <c r="G2629" s="10" t="inlineStr">
        <is>
          <t>妙心寺</t>
        </is>
      </c>
      <c r="H2629" s="10" t="inlineStr">
        <is>
          <t>発</t>
        </is>
      </c>
      <c r="J2629" s="10" t="inlineStr">
        <is>
          <t>営業</t>
        </is>
      </c>
      <c r="L2629" t="inlineStr">
        <is>
          <t>14:34:35</t>
        </is>
      </c>
      <c r="M2629" t="inlineStr">
        <is>
          <t>14:34:50</t>
        </is>
      </c>
    </row>
    <row r="2630" ht="15" customHeight="1" s="37">
      <c r="A2630" t="n">
        <v>21</v>
      </c>
      <c r="B2630" s="10" t="inlineStr">
        <is>
          <t>休日</t>
        </is>
      </c>
      <c r="C2630" s="10" t="inlineStr">
        <is>
          <t>北野線</t>
        </is>
      </c>
      <c r="D2630" s="10" t="inlineStr">
        <is>
          <t>上り</t>
        </is>
      </c>
      <c r="E2630" t="inlineStr">
        <is>
          <t>1456</t>
        </is>
      </c>
      <c r="F2630" t="inlineStr">
        <is>
          <t>0354</t>
        </is>
      </c>
      <c r="G2630" s="10" t="inlineStr">
        <is>
          <t>龍安寺</t>
        </is>
      </c>
      <c r="H2630" s="10" t="inlineStr">
        <is>
          <t>発</t>
        </is>
      </c>
      <c r="J2630" s="10" t="inlineStr">
        <is>
          <t>営業</t>
        </is>
      </c>
      <c r="L2630" t="inlineStr">
        <is>
          <t>14:35:45</t>
        </is>
      </c>
      <c r="M2630" t="inlineStr">
        <is>
          <t>14:35:55</t>
        </is>
      </c>
    </row>
    <row r="2631" ht="15" customHeight="1" s="37">
      <c r="A2631" t="n">
        <v>21</v>
      </c>
      <c r="B2631" s="10" t="inlineStr">
        <is>
          <t>休日</t>
        </is>
      </c>
      <c r="C2631" s="10" t="inlineStr">
        <is>
          <t>北野線</t>
        </is>
      </c>
      <c r="D2631" s="10" t="inlineStr">
        <is>
          <t>上り</t>
        </is>
      </c>
      <c r="E2631" t="inlineStr">
        <is>
          <t>1456</t>
        </is>
      </c>
      <c r="F2631" t="inlineStr">
        <is>
          <t>0354</t>
        </is>
      </c>
      <c r="G2631" s="10" t="inlineStr">
        <is>
          <t>等持院</t>
        </is>
      </c>
      <c r="H2631" s="10" t="inlineStr">
        <is>
          <t>発</t>
        </is>
      </c>
      <c r="J2631" s="10" t="inlineStr">
        <is>
          <t>営業</t>
        </is>
      </c>
      <c r="L2631" t="inlineStr">
        <is>
          <t>14:36:35</t>
        </is>
      </c>
      <c r="M2631" t="inlineStr">
        <is>
          <t>14:36:55</t>
        </is>
      </c>
    </row>
    <row r="2632" ht="15" customHeight="1" s="37">
      <c r="A2632" t="n">
        <v>21</v>
      </c>
      <c r="B2632" s="10" t="inlineStr">
        <is>
          <t>休日</t>
        </is>
      </c>
      <c r="C2632" s="10" t="inlineStr">
        <is>
          <t>北野線</t>
        </is>
      </c>
      <c r="D2632" s="10" t="inlineStr">
        <is>
          <t>上り</t>
        </is>
      </c>
      <c r="E2632" t="inlineStr">
        <is>
          <t>1456</t>
        </is>
      </c>
      <c r="F2632" t="inlineStr">
        <is>
          <t>0354</t>
        </is>
      </c>
      <c r="G2632" s="10" t="inlineStr">
        <is>
          <t>北野白梅町</t>
        </is>
      </c>
      <c r="H2632" s="10" t="inlineStr">
        <is>
          <t>着</t>
        </is>
      </c>
      <c r="J2632" s="10" t="inlineStr">
        <is>
          <t>営業</t>
        </is>
      </c>
      <c r="L2632" t="inlineStr">
        <is>
          <t>14:38:15</t>
        </is>
      </c>
      <c r="Q2632" t="inlineStr">
        <is>
          <t>1</t>
        </is>
      </c>
    </row>
    <row r="2633" ht="15" customHeight="1" s="37">
      <c r="A2633" t="n">
        <v>21</v>
      </c>
      <c r="B2633" s="10" t="inlineStr">
        <is>
          <t>休日</t>
        </is>
      </c>
      <c r="C2633" s="10" t="inlineStr">
        <is>
          <t>北野線</t>
        </is>
      </c>
      <c r="D2633" s="10" t="inlineStr">
        <is>
          <t>下り</t>
        </is>
      </c>
      <c r="E2633" t="inlineStr">
        <is>
          <t>1459</t>
        </is>
      </c>
      <c r="F2633" t="inlineStr">
        <is>
          <t>0453</t>
        </is>
      </c>
      <c r="G2633" s="10" t="inlineStr">
        <is>
          <t>北野白梅町</t>
        </is>
      </c>
      <c r="H2633" s="10" t="inlineStr">
        <is>
          <t>発</t>
        </is>
      </c>
      <c r="J2633" s="10" t="inlineStr">
        <is>
          <t>営業</t>
        </is>
      </c>
      <c r="M2633" t="inlineStr">
        <is>
          <t>14:43:00</t>
        </is>
      </c>
      <c r="Q2633" t="inlineStr">
        <is>
          <t>1</t>
        </is>
      </c>
    </row>
    <row r="2634" ht="15" customHeight="1" s="37">
      <c r="A2634" t="n">
        <v>21</v>
      </c>
      <c r="B2634" s="10" t="inlineStr">
        <is>
          <t>休日</t>
        </is>
      </c>
      <c r="C2634" s="10" t="inlineStr">
        <is>
          <t>北野線</t>
        </is>
      </c>
      <c r="D2634" s="10" t="inlineStr">
        <is>
          <t>下り</t>
        </is>
      </c>
      <c r="E2634" t="inlineStr">
        <is>
          <t>1459</t>
        </is>
      </c>
      <c r="F2634" t="inlineStr">
        <is>
          <t>0453</t>
        </is>
      </c>
      <c r="G2634" s="10" t="inlineStr">
        <is>
          <t>等持院</t>
        </is>
      </c>
      <c r="H2634" s="10" t="inlineStr">
        <is>
          <t>発</t>
        </is>
      </c>
      <c r="J2634" s="10" t="inlineStr">
        <is>
          <t>営業</t>
        </is>
      </c>
      <c r="L2634" t="inlineStr">
        <is>
          <t>14:44:25</t>
        </is>
      </c>
      <c r="M2634" t="inlineStr">
        <is>
          <t>14:44:35</t>
        </is>
      </c>
    </row>
    <row r="2635" ht="15" customHeight="1" s="37">
      <c r="A2635" t="n">
        <v>21</v>
      </c>
      <c r="B2635" s="10" t="inlineStr">
        <is>
          <t>休日</t>
        </is>
      </c>
      <c r="C2635" s="10" t="inlineStr">
        <is>
          <t>北野線</t>
        </is>
      </c>
      <c r="D2635" s="10" t="inlineStr">
        <is>
          <t>下り</t>
        </is>
      </c>
      <c r="E2635" t="inlineStr">
        <is>
          <t>1459</t>
        </is>
      </c>
      <c r="F2635" t="inlineStr">
        <is>
          <t>0453</t>
        </is>
      </c>
      <c r="G2635" s="10" t="inlineStr">
        <is>
          <t>龍安寺</t>
        </is>
      </c>
      <c r="H2635" s="10" t="inlineStr">
        <is>
          <t>発</t>
        </is>
      </c>
      <c r="J2635" s="10" t="inlineStr">
        <is>
          <t>営業</t>
        </is>
      </c>
      <c r="L2635" t="inlineStr">
        <is>
          <t>14:45:25</t>
        </is>
      </c>
      <c r="M2635" t="inlineStr">
        <is>
          <t>14:45:50</t>
        </is>
      </c>
    </row>
    <row r="2636" ht="15" customHeight="1" s="37">
      <c r="A2636" t="n">
        <v>21</v>
      </c>
      <c r="B2636" s="10" t="inlineStr">
        <is>
          <t>休日</t>
        </is>
      </c>
      <c r="C2636" s="10" t="inlineStr">
        <is>
          <t>北野線</t>
        </is>
      </c>
      <c r="D2636" s="10" t="inlineStr">
        <is>
          <t>下り</t>
        </is>
      </c>
      <c r="E2636" t="inlineStr">
        <is>
          <t>1459</t>
        </is>
      </c>
      <c r="F2636" t="inlineStr">
        <is>
          <t>0453</t>
        </is>
      </c>
      <c r="G2636" s="10" t="inlineStr">
        <is>
          <t>妙心寺</t>
        </is>
      </c>
      <c r="H2636" s="10" t="inlineStr">
        <is>
          <t>発</t>
        </is>
      </c>
      <c r="J2636" s="10" t="inlineStr">
        <is>
          <t>営業</t>
        </is>
      </c>
      <c r="L2636" t="inlineStr">
        <is>
          <t>14:46:40</t>
        </is>
      </c>
      <c r="M2636" t="inlineStr">
        <is>
          <t>14:46:50</t>
        </is>
      </c>
    </row>
    <row r="2637" ht="15" customHeight="1" s="37">
      <c r="A2637" t="n">
        <v>21</v>
      </c>
      <c r="B2637" s="10" t="inlineStr">
        <is>
          <t>休日</t>
        </is>
      </c>
      <c r="C2637" s="10" t="inlineStr">
        <is>
          <t>北野線</t>
        </is>
      </c>
      <c r="D2637" s="10" t="inlineStr">
        <is>
          <t>下り</t>
        </is>
      </c>
      <c r="E2637" t="inlineStr">
        <is>
          <t>1459</t>
        </is>
      </c>
      <c r="F2637" t="inlineStr">
        <is>
          <t>0453</t>
        </is>
      </c>
      <c r="G2637" s="10" t="inlineStr">
        <is>
          <t>御室仁和寺</t>
        </is>
      </c>
      <c r="H2637" s="10" t="inlineStr">
        <is>
          <t>発</t>
        </is>
      </c>
      <c r="J2637" s="10" t="inlineStr">
        <is>
          <t>営業</t>
        </is>
      </c>
      <c r="L2637" t="inlineStr">
        <is>
          <t>14:47:50</t>
        </is>
      </c>
      <c r="M2637" t="inlineStr">
        <is>
          <t>14:48:05</t>
        </is>
      </c>
    </row>
    <row r="2638" ht="15" customHeight="1" s="37">
      <c r="A2638" t="n">
        <v>21</v>
      </c>
      <c r="B2638" s="10" t="inlineStr">
        <is>
          <t>休日</t>
        </is>
      </c>
      <c r="C2638" s="10" t="inlineStr">
        <is>
          <t>北野線</t>
        </is>
      </c>
      <c r="D2638" s="10" t="inlineStr">
        <is>
          <t>下り</t>
        </is>
      </c>
      <c r="E2638" t="inlineStr">
        <is>
          <t>1459</t>
        </is>
      </c>
      <c r="F2638" t="inlineStr">
        <is>
          <t>0453</t>
        </is>
      </c>
      <c r="G2638" s="10" t="inlineStr">
        <is>
          <t>宇多野</t>
        </is>
      </c>
      <c r="H2638" s="10" t="inlineStr">
        <is>
          <t>発</t>
        </is>
      </c>
      <c r="J2638" s="10" t="inlineStr">
        <is>
          <t>営業</t>
        </is>
      </c>
      <c r="L2638" t="inlineStr">
        <is>
          <t>14:49:05</t>
        </is>
      </c>
      <c r="M2638" t="inlineStr">
        <is>
          <t>14:49:15</t>
        </is>
      </c>
    </row>
    <row r="2639" ht="15" customHeight="1" s="37">
      <c r="A2639" t="n">
        <v>21</v>
      </c>
      <c r="B2639" s="10" t="inlineStr">
        <is>
          <t>休日</t>
        </is>
      </c>
      <c r="C2639" s="10" t="inlineStr">
        <is>
          <t>北野線</t>
        </is>
      </c>
      <c r="D2639" s="10" t="inlineStr">
        <is>
          <t>下り</t>
        </is>
      </c>
      <c r="E2639" t="inlineStr">
        <is>
          <t>1459</t>
        </is>
      </c>
      <c r="F2639" t="inlineStr">
        <is>
          <t>0453</t>
        </is>
      </c>
      <c r="G2639" s="10" t="inlineStr">
        <is>
          <t>鳴滝</t>
        </is>
      </c>
      <c r="H2639" s="10" t="inlineStr">
        <is>
          <t>発</t>
        </is>
      </c>
      <c r="J2639" s="10" t="inlineStr">
        <is>
          <t>営業</t>
        </is>
      </c>
      <c r="L2639" t="inlineStr">
        <is>
          <t>14:50:35</t>
        </is>
      </c>
      <c r="M2639" t="inlineStr">
        <is>
          <t>14:50:45</t>
        </is>
      </c>
    </row>
    <row r="2640" ht="15" customHeight="1" s="37">
      <c r="A2640" t="n">
        <v>21</v>
      </c>
      <c r="B2640" s="10" t="inlineStr">
        <is>
          <t>休日</t>
        </is>
      </c>
      <c r="C2640" s="10" t="inlineStr">
        <is>
          <t>北野線</t>
        </is>
      </c>
      <c r="D2640" s="10" t="inlineStr">
        <is>
          <t>下り</t>
        </is>
      </c>
      <c r="E2640" t="inlineStr">
        <is>
          <t>1459</t>
        </is>
      </c>
      <c r="F2640" t="inlineStr">
        <is>
          <t>0453</t>
        </is>
      </c>
      <c r="G2640" s="10" t="inlineStr">
        <is>
          <t>常盤</t>
        </is>
      </c>
      <c r="H2640" s="10" t="inlineStr">
        <is>
          <t>発</t>
        </is>
      </c>
      <c r="J2640" s="10" t="inlineStr">
        <is>
          <t>営業</t>
        </is>
      </c>
      <c r="L2640" t="inlineStr">
        <is>
          <t>14:51:35</t>
        </is>
      </c>
      <c r="M2640" t="inlineStr">
        <is>
          <t>14:51:55</t>
        </is>
      </c>
    </row>
    <row r="2641" ht="15" customHeight="1" s="37">
      <c r="A2641" t="n">
        <v>21</v>
      </c>
      <c r="B2641" s="10" t="inlineStr">
        <is>
          <t>休日</t>
        </is>
      </c>
      <c r="C2641" s="10" t="inlineStr">
        <is>
          <t>北野線</t>
        </is>
      </c>
      <c r="D2641" s="10" t="inlineStr">
        <is>
          <t>下り</t>
        </is>
      </c>
      <c r="E2641" t="inlineStr">
        <is>
          <t>1459</t>
        </is>
      </c>
      <c r="F2641" t="inlineStr">
        <is>
          <t>0453</t>
        </is>
      </c>
      <c r="G2641" s="10" t="inlineStr">
        <is>
          <t>撮影所前</t>
        </is>
      </c>
      <c r="H2641" s="10" t="inlineStr">
        <is>
          <t>発</t>
        </is>
      </c>
      <c r="J2641" s="10" t="inlineStr">
        <is>
          <t>営業</t>
        </is>
      </c>
      <c r="L2641" t="inlineStr">
        <is>
          <t>14:53:15</t>
        </is>
      </c>
      <c r="M2641" t="inlineStr">
        <is>
          <t>14:53:30</t>
        </is>
      </c>
    </row>
    <row r="2642" ht="15" customHeight="1" s="37">
      <c r="A2642" t="n">
        <v>21</v>
      </c>
      <c r="B2642" s="10" t="inlineStr">
        <is>
          <t>休日</t>
        </is>
      </c>
      <c r="C2642" s="10" t="inlineStr">
        <is>
          <t>北野線</t>
        </is>
      </c>
      <c r="D2642" s="10" t="inlineStr">
        <is>
          <t>下り</t>
        </is>
      </c>
      <c r="E2642" t="inlineStr">
        <is>
          <t>1459</t>
        </is>
      </c>
      <c r="F2642" t="inlineStr">
        <is>
          <t>0453</t>
        </is>
      </c>
      <c r="G2642" s="10" t="inlineStr">
        <is>
          <t>帷子ノ辻</t>
        </is>
      </c>
      <c r="H2642" s="10" t="inlineStr">
        <is>
          <t>着</t>
        </is>
      </c>
      <c r="J2642" s="10" t="inlineStr">
        <is>
          <t>営業</t>
        </is>
      </c>
      <c r="L2642" t="inlineStr">
        <is>
          <t>14:54:25</t>
        </is>
      </c>
      <c r="Q2642" t="inlineStr">
        <is>
          <t>4</t>
        </is>
      </c>
    </row>
    <row r="2643" ht="15" customHeight="1" s="37">
      <c r="A2643" t="n">
        <v>21</v>
      </c>
      <c r="B2643" s="10" t="inlineStr">
        <is>
          <t>休日</t>
        </is>
      </c>
      <c r="C2643" s="10" t="inlineStr">
        <is>
          <t>北野線</t>
        </is>
      </c>
      <c r="D2643" s="10" t="inlineStr">
        <is>
          <t>上り</t>
        </is>
      </c>
      <c r="E2643" t="inlineStr">
        <is>
          <t>1552</t>
        </is>
      </c>
      <c r="F2643" t="inlineStr">
        <is>
          <t>0354</t>
        </is>
      </c>
      <c r="G2643" s="10" t="inlineStr">
        <is>
          <t>帷子ノ辻</t>
        </is>
      </c>
      <c r="H2643" s="10" t="inlineStr">
        <is>
          <t>発</t>
        </is>
      </c>
      <c r="J2643" s="10" t="inlineStr">
        <is>
          <t>営業</t>
        </is>
      </c>
      <c r="M2643" t="inlineStr">
        <is>
          <t>15:06:25</t>
        </is>
      </c>
      <c r="Q2643" t="inlineStr">
        <is>
          <t>4</t>
        </is>
      </c>
    </row>
    <row r="2644" ht="15" customHeight="1" s="37">
      <c r="A2644" t="n">
        <v>21</v>
      </c>
      <c r="B2644" s="10" t="inlineStr">
        <is>
          <t>休日</t>
        </is>
      </c>
      <c r="C2644" s="10" t="inlineStr">
        <is>
          <t>北野線</t>
        </is>
      </c>
      <c r="D2644" s="10" t="inlineStr">
        <is>
          <t>上り</t>
        </is>
      </c>
      <c r="E2644" t="inlineStr">
        <is>
          <t>1552</t>
        </is>
      </c>
      <c r="F2644" t="inlineStr">
        <is>
          <t>0354</t>
        </is>
      </c>
      <c r="G2644" s="10" t="inlineStr">
        <is>
          <t>撮影所前</t>
        </is>
      </c>
      <c r="H2644" s="10" t="inlineStr">
        <is>
          <t>発</t>
        </is>
      </c>
      <c r="J2644" s="10" t="inlineStr">
        <is>
          <t>営業</t>
        </is>
      </c>
      <c r="L2644" t="inlineStr">
        <is>
          <t>15:07:25</t>
        </is>
      </c>
      <c r="M2644" t="inlineStr">
        <is>
          <t>15:07:40</t>
        </is>
      </c>
    </row>
    <row r="2645" ht="15" customHeight="1" s="37">
      <c r="A2645" t="n">
        <v>21</v>
      </c>
      <c r="B2645" s="10" t="inlineStr">
        <is>
          <t>休日</t>
        </is>
      </c>
      <c r="C2645" s="10" t="inlineStr">
        <is>
          <t>北野線</t>
        </is>
      </c>
      <c r="D2645" s="10" t="inlineStr">
        <is>
          <t>上り</t>
        </is>
      </c>
      <c r="E2645" t="inlineStr">
        <is>
          <t>1552</t>
        </is>
      </c>
      <c r="F2645" t="inlineStr">
        <is>
          <t>0354</t>
        </is>
      </c>
      <c r="G2645" s="10" t="inlineStr">
        <is>
          <t>常盤</t>
        </is>
      </c>
      <c r="H2645" s="10" t="inlineStr">
        <is>
          <t>発</t>
        </is>
      </c>
      <c r="J2645" s="10" t="inlineStr">
        <is>
          <t>営業</t>
        </is>
      </c>
      <c r="L2645" t="inlineStr">
        <is>
          <t>15:09:00</t>
        </is>
      </c>
      <c r="M2645" t="inlineStr">
        <is>
          <t>15:09:20</t>
        </is>
      </c>
    </row>
    <row r="2646" ht="15" customHeight="1" s="37">
      <c r="A2646" t="n">
        <v>21</v>
      </c>
      <c r="B2646" s="10" t="inlineStr">
        <is>
          <t>休日</t>
        </is>
      </c>
      <c r="C2646" s="10" t="inlineStr">
        <is>
          <t>北野線</t>
        </is>
      </c>
      <c r="D2646" s="10" t="inlineStr">
        <is>
          <t>上り</t>
        </is>
      </c>
      <c r="E2646" t="inlineStr">
        <is>
          <t>1552</t>
        </is>
      </c>
      <c r="F2646" t="inlineStr">
        <is>
          <t>0354</t>
        </is>
      </c>
      <c r="G2646" s="10" t="inlineStr">
        <is>
          <t>鳴滝</t>
        </is>
      </c>
      <c r="H2646" s="10" t="inlineStr">
        <is>
          <t>発</t>
        </is>
      </c>
      <c r="J2646" s="10" t="inlineStr">
        <is>
          <t>営業</t>
        </is>
      </c>
      <c r="L2646" t="inlineStr">
        <is>
          <t>15:10:20</t>
        </is>
      </c>
      <c r="M2646" t="inlineStr">
        <is>
          <t>15:10:40</t>
        </is>
      </c>
    </row>
    <row r="2647" ht="15" customHeight="1" s="37">
      <c r="A2647" t="n">
        <v>21</v>
      </c>
      <c r="B2647" s="10" t="inlineStr">
        <is>
          <t>休日</t>
        </is>
      </c>
      <c r="C2647" s="10" t="inlineStr">
        <is>
          <t>北野線</t>
        </is>
      </c>
      <c r="D2647" s="10" t="inlineStr">
        <is>
          <t>上り</t>
        </is>
      </c>
      <c r="E2647" t="inlineStr">
        <is>
          <t>1552</t>
        </is>
      </c>
      <c r="F2647" t="inlineStr">
        <is>
          <t>0354</t>
        </is>
      </c>
      <c r="G2647" s="10" t="inlineStr">
        <is>
          <t>宇多野</t>
        </is>
      </c>
      <c r="H2647" s="10" t="inlineStr">
        <is>
          <t>発</t>
        </is>
      </c>
      <c r="J2647" s="10" t="inlineStr">
        <is>
          <t>営業</t>
        </is>
      </c>
      <c r="L2647" t="inlineStr">
        <is>
          <t>15:12:00</t>
        </is>
      </c>
      <c r="M2647" t="inlineStr">
        <is>
          <t>15:12:15</t>
        </is>
      </c>
    </row>
    <row r="2648" ht="15" customHeight="1" s="37">
      <c r="A2648" t="n">
        <v>21</v>
      </c>
      <c r="B2648" s="10" t="inlineStr">
        <is>
          <t>休日</t>
        </is>
      </c>
      <c r="C2648" s="10" t="inlineStr">
        <is>
          <t>北野線</t>
        </is>
      </c>
      <c r="D2648" s="10" t="inlineStr">
        <is>
          <t>上り</t>
        </is>
      </c>
      <c r="E2648" t="inlineStr">
        <is>
          <t>1552</t>
        </is>
      </c>
      <c r="F2648" t="inlineStr">
        <is>
          <t>0354</t>
        </is>
      </c>
      <c r="G2648" s="10" t="inlineStr">
        <is>
          <t>御室仁和寺</t>
        </is>
      </c>
      <c r="H2648" s="10" t="inlineStr">
        <is>
          <t>発</t>
        </is>
      </c>
      <c r="J2648" s="10" t="inlineStr">
        <is>
          <t>営業</t>
        </is>
      </c>
      <c r="L2648" t="inlineStr">
        <is>
          <t>15:13:15</t>
        </is>
      </c>
      <c r="M2648" t="inlineStr">
        <is>
          <t>15:13:35</t>
        </is>
      </c>
    </row>
    <row r="2649" ht="15" customHeight="1" s="37">
      <c r="A2649" t="n">
        <v>21</v>
      </c>
      <c r="B2649" s="10" t="inlineStr">
        <is>
          <t>休日</t>
        </is>
      </c>
      <c r="C2649" s="10" t="inlineStr">
        <is>
          <t>北野線</t>
        </is>
      </c>
      <c r="D2649" s="10" t="inlineStr">
        <is>
          <t>上り</t>
        </is>
      </c>
      <c r="E2649" t="inlineStr">
        <is>
          <t>1552</t>
        </is>
      </c>
      <c r="F2649" t="inlineStr">
        <is>
          <t>0354</t>
        </is>
      </c>
      <c r="G2649" s="10" t="inlineStr">
        <is>
          <t>妙心寺</t>
        </is>
      </c>
      <c r="H2649" s="10" t="inlineStr">
        <is>
          <t>発</t>
        </is>
      </c>
      <c r="J2649" s="10" t="inlineStr">
        <is>
          <t>営業</t>
        </is>
      </c>
      <c r="L2649" t="inlineStr">
        <is>
          <t>15:14:35</t>
        </is>
      </c>
      <c r="M2649" t="inlineStr">
        <is>
          <t>15:14:50</t>
        </is>
      </c>
    </row>
    <row r="2650" ht="15" customHeight="1" s="37">
      <c r="A2650" t="n">
        <v>21</v>
      </c>
      <c r="B2650" s="10" t="inlineStr">
        <is>
          <t>休日</t>
        </is>
      </c>
      <c r="C2650" s="10" t="inlineStr">
        <is>
          <t>北野線</t>
        </is>
      </c>
      <c r="D2650" s="10" t="inlineStr">
        <is>
          <t>上り</t>
        </is>
      </c>
      <c r="E2650" t="inlineStr">
        <is>
          <t>1552</t>
        </is>
      </c>
      <c r="F2650" t="inlineStr">
        <is>
          <t>0354</t>
        </is>
      </c>
      <c r="G2650" s="10" t="inlineStr">
        <is>
          <t>龍安寺</t>
        </is>
      </c>
      <c r="H2650" s="10" t="inlineStr">
        <is>
          <t>発</t>
        </is>
      </c>
      <c r="J2650" s="10" t="inlineStr">
        <is>
          <t>営業</t>
        </is>
      </c>
      <c r="L2650" t="inlineStr">
        <is>
          <t>15:15:45</t>
        </is>
      </c>
      <c r="M2650" t="inlineStr">
        <is>
          <t>15:15:55</t>
        </is>
      </c>
    </row>
    <row r="2651" ht="15" customHeight="1" s="37">
      <c r="A2651" t="n">
        <v>21</v>
      </c>
      <c r="B2651" s="10" t="inlineStr">
        <is>
          <t>休日</t>
        </is>
      </c>
      <c r="C2651" s="10" t="inlineStr">
        <is>
          <t>北野線</t>
        </is>
      </c>
      <c r="D2651" s="10" t="inlineStr">
        <is>
          <t>上り</t>
        </is>
      </c>
      <c r="E2651" t="inlineStr">
        <is>
          <t>1552</t>
        </is>
      </c>
      <c r="F2651" t="inlineStr">
        <is>
          <t>0354</t>
        </is>
      </c>
      <c r="G2651" s="10" t="inlineStr">
        <is>
          <t>等持院</t>
        </is>
      </c>
      <c r="H2651" s="10" t="inlineStr">
        <is>
          <t>発</t>
        </is>
      </c>
      <c r="J2651" s="10" t="inlineStr">
        <is>
          <t>営業</t>
        </is>
      </c>
      <c r="L2651" t="inlineStr">
        <is>
          <t>15:16:35</t>
        </is>
      </c>
      <c r="M2651" t="inlineStr">
        <is>
          <t>15:16:55</t>
        </is>
      </c>
    </row>
    <row r="2652" ht="15" customHeight="1" s="37">
      <c r="A2652" t="n">
        <v>21</v>
      </c>
      <c r="B2652" s="10" t="inlineStr">
        <is>
          <t>休日</t>
        </is>
      </c>
      <c r="C2652" s="10" t="inlineStr">
        <is>
          <t>北野線</t>
        </is>
      </c>
      <c r="D2652" s="10" t="inlineStr">
        <is>
          <t>上り</t>
        </is>
      </c>
      <c r="E2652" t="inlineStr">
        <is>
          <t>1552</t>
        </is>
      </c>
      <c r="F2652" t="inlineStr">
        <is>
          <t>0354</t>
        </is>
      </c>
      <c r="G2652" s="10" t="inlineStr">
        <is>
          <t>北野白梅町</t>
        </is>
      </c>
      <c r="H2652" s="10" t="inlineStr">
        <is>
          <t>着</t>
        </is>
      </c>
      <c r="J2652" s="10" t="inlineStr">
        <is>
          <t>営業</t>
        </is>
      </c>
      <c r="L2652" t="inlineStr">
        <is>
          <t>15:18:15</t>
        </is>
      </c>
      <c r="Q2652" t="inlineStr">
        <is>
          <t>1</t>
        </is>
      </c>
    </row>
    <row r="2653" ht="15" customHeight="1" s="37">
      <c r="A2653" t="n">
        <v>21</v>
      </c>
      <c r="B2653" s="10" t="inlineStr">
        <is>
          <t>休日</t>
        </is>
      </c>
      <c r="C2653" s="10" t="inlineStr">
        <is>
          <t>北野線</t>
        </is>
      </c>
      <c r="D2653" s="10" t="inlineStr">
        <is>
          <t>下り</t>
        </is>
      </c>
      <c r="E2653" t="inlineStr">
        <is>
          <t>1555</t>
        </is>
      </c>
      <c r="F2653" t="inlineStr">
        <is>
          <t>0453</t>
        </is>
      </c>
      <c r="G2653" s="10" t="inlineStr">
        <is>
          <t>北野白梅町</t>
        </is>
      </c>
      <c r="H2653" s="10" t="inlineStr">
        <is>
          <t>発</t>
        </is>
      </c>
      <c r="J2653" s="10" t="inlineStr">
        <is>
          <t>営業</t>
        </is>
      </c>
      <c r="M2653" t="inlineStr">
        <is>
          <t>15:23:00</t>
        </is>
      </c>
      <c r="Q2653" t="inlineStr">
        <is>
          <t>1</t>
        </is>
      </c>
    </row>
    <row r="2654" ht="15" customHeight="1" s="37">
      <c r="A2654" t="n">
        <v>21</v>
      </c>
      <c r="B2654" s="10" t="inlineStr">
        <is>
          <t>休日</t>
        </is>
      </c>
      <c r="C2654" s="10" t="inlineStr">
        <is>
          <t>北野線</t>
        </is>
      </c>
      <c r="D2654" s="10" t="inlineStr">
        <is>
          <t>下り</t>
        </is>
      </c>
      <c r="E2654" t="inlineStr">
        <is>
          <t>1555</t>
        </is>
      </c>
      <c r="F2654" t="inlineStr">
        <is>
          <t>0453</t>
        </is>
      </c>
      <c r="G2654" s="10" t="inlineStr">
        <is>
          <t>等持院</t>
        </is>
      </c>
      <c r="H2654" s="10" t="inlineStr">
        <is>
          <t>発</t>
        </is>
      </c>
      <c r="J2654" s="10" t="inlineStr">
        <is>
          <t>営業</t>
        </is>
      </c>
      <c r="L2654" t="inlineStr">
        <is>
          <t>15:24:25</t>
        </is>
      </c>
      <c r="M2654" t="inlineStr">
        <is>
          <t>15:24:35</t>
        </is>
      </c>
    </row>
    <row r="2655" ht="15" customHeight="1" s="37">
      <c r="A2655" t="n">
        <v>21</v>
      </c>
      <c r="B2655" s="10" t="inlineStr">
        <is>
          <t>休日</t>
        </is>
      </c>
      <c r="C2655" s="10" t="inlineStr">
        <is>
          <t>北野線</t>
        </is>
      </c>
      <c r="D2655" s="10" t="inlineStr">
        <is>
          <t>下り</t>
        </is>
      </c>
      <c r="E2655" t="inlineStr">
        <is>
          <t>1555</t>
        </is>
      </c>
      <c r="F2655" t="inlineStr">
        <is>
          <t>0453</t>
        </is>
      </c>
      <c r="G2655" s="10" t="inlineStr">
        <is>
          <t>龍安寺</t>
        </is>
      </c>
      <c r="H2655" s="10" t="inlineStr">
        <is>
          <t>発</t>
        </is>
      </c>
      <c r="J2655" s="10" t="inlineStr">
        <is>
          <t>営業</t>
        </is>
      </c>
      <c r="L2655" t="inlineStr">
        <is>
          <t>15:25:25</t>
        </is>
      </c>
      <c r="M2655" t="inlineStr">
        <is>
          <t>15:25:50</t>
        </is>
      </c>
    </row>
    <row r="2656" ht="15" customHeight="1" s="37">
      <c r="A2656" t="n">
        <v>21</v>
      </c>
      <c r="B2656" s="10" t="inlineStr">
        <is>
          <t>休日</t>
        </is>
      </c>
      <c r="C2656" s="10" t="inlineStr">
        <is>
          <t>北野線</t>
        </is>
      </c>
      <c r="D2656" s="10" t="inlineStr">
        <is>
          <t>下り</t>
        </is>
      </c>
      <c r="E2656" t="inlineStr">
        <is>
          <t>1555</t>
        </is>
      </c>
      <c r="F2656" t="inlineStr">
        <is>
          <t>0453</t>
        </is>
      </c>
      <c r="G2656" s="10" t="inlineStr">
        <is>
          <t>妙心寺</t>
        </is>
      </c>
      <c r="H2656" s="10" t="inlineStr">
        <is>
          <t>発</t>
        </is>
      </c>
      <c r="J2656" s="10" t="inlineStr">
        <is>
          <t>営業</t>
        </is>
      </c>
      <c r="L2656" t="inlineStr">
        <is>
          <t>15:26:40</t>
        </is>
      </c>
      <c r="M2656" t="inlineStr">
        <is>
          <t>15:26:50</t>
        </is>
      </c>
    </row>
    <row r="2657" ht="15" customHeight="1" s="37">
      <c r="A2657" t="n">
        <v>21</v>
      </c>
      <c r="B2657" s="10" t="inlineStr">
        <is>
          <t>休日</t>
        </is>
      </c>
      <c r="C2657" s="10" t="inlineStr">
        <is>
          <t>北野線</t>
        </is>
      </c>
      <c r="D2657" s="10" t="inlineStr">
        <is>
          <t>下り</t>
        </is>
      </c>
      <c r="E2657" t="inlineStr">
        <is>
          <t>1555</t>
        </is>
      </c>
      <c r="F2657" t="inlineStr">
        <is>
          <t>0453</t>
        </is>
      </c>
      <c r="G2657" s="10" t="inlineStr">
        <is>
          <t>御室仁和寺</t>
        </is>
      </c>
      <c r="H2657" s="10" t="inlineStr">
        <is>
          <t>発</t>
        </is>
      </c>
      <c r="J2657" s="10" t="inlineStr">
        <is>
          <t>営業</t>
        </is>
      </c>
      <c r="L2657" t="inlineStr">
        <is>
          <t>15:27:50</t>
        </is>
      </c>
      <c r="M2657" t="inlineStr">
        <is>
          <t>15:28:05</t>
        </is>
      </c>
    </row>
    <row r="2658" ht="15" customHeight="1" s="37">
      <c r="A2658" t="n">
        <v>21</v>
      </c>
      <c r="B2658" s="10" t="inlineStr">
        <is>
          <t>休日</t>
        </is>
      </c>
      <c r="C2658" s="10" t="inlineStr">
        <is>
          <t>北野線</t>
        </is>
      </c>
      <c r="D2658" s="10" t="inlineStr">
        <is>
          <t>下り</t>
        </is>
      </c>
      <c r="E2658" t="inlineStr">
        <is>
          <t>1555</t>
        </is>
      </c>
      <c r="F2658" t="inlineStr">
        <is>
          <t>0453</t>
        </is>
      </c>
      <c r="G2658" s="10" t="inlineStr">
        <is>
          <t>宇多野</t>
        </is>
      </c>
      <c r="H2658" s="10" t="inlineStr">
        <is>
          <t>発</t>
        </is>
      </c>
      <c r="J2658" s="10" t="inlineStr">
        <is>
          <t>営業</t>
        </is>
      </c>
      <c r="L2658" t="inlineStr">
        <is>
          <t>15:29:05</t>
        </is>
      </c>
      <c r="M2658" t="inlineStr">
        <is>
          <t>15:29:15</t>
        </is>
      </c>
    </row>
    <row r="2659" ht="15" customHeight="1" s="37">
      <c r="A2659" t="n">
        <v>21</v>
      </c>
      <c r="B2659" s="10" t="inlineStr">
        <is>
          <t>休日</t>
        </is>
      </c>
      <c r="C2659" s="10" t="inlineStr">
        <is>
          <t>北野線</t>
        </is>
      </c>
      <c r="D2659" s="10" t="inlineStr">
        <is>
          <t>下り</t>
        </is>
      </c>
      <c r="E2659" t="inlineStr">
        <is>
          <t>1555</t>
        </is>
      </c>
      <c r="F2659" t="inlineStr">
        <is>
          <t>0453</t>
        </is>
      </c>
      <c r="G2659" s="10" t="inlineStr">
        <is>
          <t>鳴滝</t>
        </is>
      </c>
      <c r="H2659" s="10" t="inlineStr">
        <is>
          <t>発</t>
        </is>
      </c>
      <c r="J2659" s="10" t="inlineStr">
        <is>
          <t>営業</t>
        </is>
      </c>
      <c r="L2659" t="inlineStr">
        <is>
          <t>15:30:35</t>
        </is>
      </c>
      <c r="M2659" t="inlineStr">
        <is>
          <t>15:30:45</t>
        </is>
      </c>
    </row>
    <row r="2660" ht="15" customHeight="1" s="37">
      <c r="A2660" t="n">
        <v>21</v>
      </c>
      <c r="B2660" s="10" t="inlineStr">
        <is>
          <t>休日</t>
        </is>
      </c>
      <c r="C2660" s="10" t="inlineStr">
        <is>
          <t>北野線</t>
        </is>
      </c>
      <c r="D2660" s="10" t="inlineStr">
        <is>
          <t>下り</t>
        </is>
      </c>
      <c r="E2660" t="inlineStr">
        <is>
          <t>1555</t>
        </is>
      </c>
      <c r="F2660" t="inlineStr">
        <is>
          <t>0453</t>
        </is>
      </c>
      <c r="G2660" s="10" t="inlineStr">
        <is>
          <t>常盤</t>
        </is>
      </c>
      <c r="H2660" s="10" t="inlineStr">
        <is>
          <t>発</t>
        </is>
      </c>
      <c r="J2660" s="10" t="inlineStr">
        <is>
          <t>営業</t>
        </is>
      </c>
      <c r="L2660" t="inlineStr">
        <is>
          <t>15:31:35</t>
        </is>
      </c>
      <c r="M2660" t="inlineStr">
        <is>
          <t>15:31:55</t>
        </is>
      </c>
    </row>
    <row r="2661" ht="15" customHeight="1" s="37">
      <c r="A2661" t="n">
        <v>21</v>
      </c>
      <c r="B2661" s="10" t="inlineStr">
        <is>
          <t>休日</t>
        </is>
      </c>
      <c r="C2661" s="10" t="inlineStr">
        <is>
          <t>北野線</t>
        </is>
      </c>
      <c r="D2661" s="10" t="inlineStr">
        <is>
          <t>下り</t>
        </is>
      </c>
      <c r="E2661" t="inlineStr">
        <is>
          <t>1555</t>
        </is>
      </c>
      <c r="F2661" t="inlineStr">
        <is>
          <t>0453</t>
        </is>
      </c>
      <c r="G2661" s="10" t="inlineStr">
        <is>
          <t>撮影所前</t>
        </is>
      </c>
      <c r="H2661" s="10" t="inlineStr">
        <is>
          <t>発</t>
        </is>
      </c>
      <c r="J2661" s="10" t="inlineStr">
        <is>
          <t>営業</t>
        </is>
      </c>
      <c r="L2661" t="inlineStr">
        <is>
          <t>15:33:15</t>
        </is>
      </c>
      <c r="M2661" t="inlineStr">
        <is>
          <t>15:33:30</t>
        </is>
      </c>
    </row>
    <row r="2662" ht="15" customHeight="1" s="37">
      <c r="A2662" t="n">
        <v>21</v>
      </c>
      <c r="B2662" s="10" t="inlineStr">
        <is>
          <t>休日</t>
        </is>
      </c>
      <c r="C2662" s="10" t="inlineStr">
        <is>
          <t>北野線</t>
        </is>
      </c>
      <c r="D2662" s="10" t="inlineStr">
        <is>
          <t>下り</t>
        </is>
      </c>
      <c r="E2662" t="inlineStr">
        <is>
          <t>1555</t>
        </is>
      </c>
      <c r="F2662" t="inlineStr">
        <is>
          <t>0453</t>
        </is>
      </c>
      <c r="G2662" s="10" t="inlineStr">
        <is>
          <t>帷子ノ辻</t>
        </is>
      </c>
      <c r="H2662" s="10" t="inlineStr">
        <is>
          <t>着</t>
        </is>
      </c>
      <c r="J2662" s="10" t="inlineStr">
        <is>
          <t>営業</t>
        </is>
      </c>
      <c r="L2662" t="inlineStr">
        <is>
          <t>15:34:25</t>
        </is>
      </c>
      <c r="Q2662" t="inlineStr">
        <is>
          <t>4</t>
        </is>
      </c>
    </row>
    <row r="2663" ht="15" customHeight="1" s="37">
      <c r="A2663" t="n">
        <v>21</v>
      </c>
      <c r="B2663" s="10" t="inlineStr">
        <is>
          <t>休日</t>
        </is>
      </c>
      <c r="C2663" s="10" t="inlineStr">
        <is>
          <t>北野線</t>
        </is>
      </c>
      <c r="D2663" s="10" t="inlineStr">
        <is>
          <t>上り</t>
        </is>
      </c>
      <c r="E2663" t="inlineStr">
        <is>
          <t>1560</t>
        </is>
      </c>
      <c r="F2663" t="inlineStr">
        <is>
          <t>0354</t>
        </is>
      </c>
      <c r="G2663" s="10" t="inlineStr">
        <is>
          <t>帷子ノ辻</t>
        </is>
      </c>
      <c r="H2663" s="10" t="inlineStr">
        <is>
          <t>発</t>
        </is>
      </c>
      <c r="J2663" s="10" t="inlineStr">
        <is>
          <t>営業</t>
        </is>
      </c>
      <c r="M2663" t="inlineStr">
        <is>
          <t>15:46:25</t>
        </is>
      </c>
      <c r="Q2663" t="inlineStr">
        <is>
          <t>4</t>
        </is>
      </c>
    </row>
    <row r="2664" ht="15" customHeight="1" s="37">
      <c r="A2664" t="n">
        <v>21</v>
      </c>
      <c r="B2664" s="10" t="inlineStr">
        <is>
          <t>休日</t>
        </is>
      </c>
      <c r="C2664" s="10" t="inlineStr">
        <is>
          <t>北野線</t>
        </is>
      </c>
      <c r="D2664" s="10" t="inlineStr">
        <is>
          <t>上り</t>
        </is>
      </c>
      <c r="E2664" t="inlineStr">
        <is>
          <t>1560</t>
        </is>
      </c>
      <c r="F2664" t="inlineStr">
        <is>
          <t>0354</t>
        </is>
      </c>
      <c r="G2664" s="10" t="inlineStr">
        <is>
          <t>撮影所前</t>
        </is>
      </c>
      <c r="H2664" s="10" t="inlineStr">
        <is>
          <t>発</t>
        </is>
      </c>
      <c r="J2664" s="10" t="inlineStr">
        <is>
          <t>営業</t>
        </is>
      </c>
      <c r="L2664" t="inlineStr">
        <is>
          <t>15:47:25</t>
        </is>
      </c>
      <c r="M2664" t="inlineStr">
        <is>
          <t>15:47:40</t>
        </is>
      </c>
    </row>
    <row r="2665" ht="15" customHeight="1" s="37">
      <c r="A2665" t="n">
        <v>21</v>
      </c>
      <c r="B2665" s="10" t="inlineStr">
        <is>
          <t>休日</t>
        </is>
      </c>
      <c r="C2665" s="10" t="inlineStr">
        <is>
          <t>北野線</t>
        </is>
      </c>
      <c r="D2665" s="10" t="inlineStr">
        <is>
          <t>上り</t>
        </is>
      </c>
      <c r="E2665" t="inlineStr">
        <is>
          <t>1560</t>
        </is>
      </c>
      <c r="F2665" t="inlineStr">
        <is>
          <t>0354</t>
        </is>
      </c>
      <c r="G2665" s="10" t="inlineStr">
        <is>
          <t>常盤</t>
        </is>
      </c>
      <c r="H2665" s="10" t="inlineStr">
        <is>
          <t>発</t>
        </is>
      </c>
      <c r="J2665" s="10" t="inlineStr">
        <is>
          <t>営業</t>
        </is>
      </c>
      <c r="L2665" t="inlineStr">
        <is>
          <t>15:49:00</t>
        </is>
      </c>
      <c r="M2665" t="inlineStr">
        <is>
          <t>15:49:20</t>
        </is>
      </c>
    </row>
    <row r="2666" ht="15" customHeight="1" s="37">
      <c r="A2666" t="n">
        <v>21</v>
      </c>
      <c r="B2666" s="10" t="inlineStr">
        <is>
          <t>休日</t>
        </is>
      </c>
      <c r="C2666" s="10" t="inlineStr">
        <is>
          <t>北野線</t>
        </is>
      </c>
      <c r="D2666" s="10" t="inlineStr">
        <is>
          <t>上り</t>
        </is>
      </c>
      <c r="E2666" t="inlineStr">
        <is>
          <t>1560</t>
        </is>
      </c>
      <c r="F2666" t="inlineStr">
        <is>
          <t>0354</t>
        </is>
      </c>
      <c r="G2666" s="10" t="inlineStr">
        <is>
          <t>鳴滝</t>
        </is>
      </c>
      <c r="H2666" s="10" t="inlineStr">
        <is>
          <t>発</t>
        </is>
      </c>
      <c r="J2666" s="10" t="inlineStr">
        <is>
          <t>営業</t>
        </is>
      </c>
      <c r="L2666" t="inlineStr">
        <is>
          <t>15:50:20</t>
        </is>
      </c>
      <c r="M2666" t="inlineStr">
        <is>
          <t>15:50:40</t>
        </is>
      </c>
    </row>
    <row r="2667" ht="15" customHeight="1" s="37">
      <c r="A2667" t="n">
        <v>21</v>
      </c>
      <c r="B2667" s="10" t="inlineStr">
        <is>
          <t>休日</t>
        </is>
      </c>
      <c r="C2667" s="10" t="inlineStr">
        <is>
          <t>北野線</t>
        </is>
      </c>
      <c r="D2667" s="10" t="inlineStr">
        <is>
          <t>上り</t>
        </is>
      </c>
      <c r="E2667" t="inlineStr">
        <is>
          <t>1560</t>
        </is>
      </c>
      <c r="F2667" t="inlineStr">
        <is>
          <t>0354</t>
        </is>
      </c>
      <c r="G2667" s="10" t="inlineStr">
        <is>
          <t>宇多野</t>
        </is>
      </c>
      <c r="H2667" s="10" t="inlineStr">
        <is>
          <t>発</t>
        </is>
      </c>
      <c r="J2667" s="10" t="inlineStr">
        <is>
          <t>営業</t>
        </is>
      </c>
      <c r="L2667" t="inlineStr">
        <is>
          <t>15:52:00</t>
        </is>
      </c>
      <c r="M2667" t="inlineStr">
        <is>
          <t>15:52:15</t>
        </is>
      </c>
    </row>
    <row r="2668" ht="15" customHeight="1" s="37">
      <c r="A2668" t="n">
        <v>21</v>
      </c>
      <c r="B2668" s="10" t="inlineStr">
        <is>
          <t>休日</t>
        </is>
      </c>
      <c r="C2668" s="10" t="inlineStr">
        <is>
          <t>北野線</t>
        </is>
      </c>
      <c r="D2668" s="10" t="inlineStr">
        <is>
          <t>上り</t>
        </is>
      </c>
      <c r="E2668" t="inlineStr">
        <is>
          <t>1560</t>
        </is>
      </c>
      <c r="F2668" t="inlineStr">
        <is>
          <t>0354</t>
        </is>
      </c>
      <c r="G2668" s="10" t="inlineStr">
        <is>
          <t>御室仁和寺</t>
        </is>
      </c>
      <c r="H2668" s="10" t="inlineStr">
        <is>
          <t>発</t>
        </is>
      </c>
      <c r="J2668" s="10" t="inlineStr">
        <is>
          <t>営業</t>
        </is>
      </c>
      <c r="L2668" t="inlineStr">
        <is>
          <t>15:53:15</t>
        </is>
      </c>
      <c r="M2668" t="inlineStr">
        <is>
          <t>15:53:35</t>
        </is>
      </c>
    </row>
    <row r="2669" ht="15" customHeight="1" s="37">
      <c r="A2669" t="n">
        <v>21</v>
      </c>
      <c r="B2669" s="10" t="inlineStr">
        <is>
          <t>休日</t>
        </is>
      </c>
      <c r="C2669" s="10" t="inlineStr">
        <is>
          <t>北野線</t>
        </is>
      </c>
      <c r="D2669" s="10" t="inlineStr">
        <is>
          <t>上り</t>
        </is>
      </c>
      <c r="E2669" t="inlineStr">
        <is>
          <t>1560</t>
        </is>
      </c>
      <c r="F2669" t="inlineStr">
        <is>
          <t>0354</t>
        </is>
      </c>
      <c r="G2669" s="10" t="inlineStr">
        <is>
          <t>妙心寺</t>
        </is>
      </c>
      <c r="H2669" s="10" t="inlineStr">
        <is>
          <t>発</t>
        </is>
      </c>
      <c r="J2669" s="10" t="inlineStr">
        <is>
          <t>営業</t>
        </is>
      </c>
      <c r="L2669" t="inlineStr">
        <is>
          <t>15:54:35</t>
        </is>
      </c>
      <c r="M2669" t="inlineStr">
        <is>
          <t>15:54:50</t>
        </is>
      </c>
    </row>
    <row r="2670" ht="15" customHeight="1" s="37">
      <c r="A2670" t="n">
        <v>21</v>
      </c>
      <c r="B2670" s="10" t="inlineStr">
        <is>
          <t>休日</t>
        </is>
      </c>
      <c r="C2670" s="10" t="inlineStr">
        <is>
          <t>北野線</t>
        </is>
      </c>
      <c r="D2670" s="10" t="inlineStr">
        <is>
          <t>上り</t>
        </is>
      </c>
      <c r="E2670" t="inlineStr">
        <is>
          <t>1560</t>
        </is>
      </c>
      <c r="F2670" t="inlineStr">
        <is>
          <t>0354</t>
        </is>
      </c>
      <c r="G2670" s="10" t="inlineStr">
        <is>
          <t>龍安寺</t>
        </is>
      </c>
      <c r="H2670" s="10" t="inlineStr">
        <is>
          <t>発</t>
        </is>
      </c>
      <c r="J2670" s="10" t="inlineStr">
        <is>
          <t>営業</t>
        </is>
      </c>
      <c r="L2670" t="inlineStr">
        <is>
          <t>15:55:45</t>
        </is>
      </c>
      <c r="M2670" t="inlineStr">
        <is>
          <t>15:55:55</t>
        </is>
      </c>
    </row>
    <row r="2671" ht="15" customHeight="1" s="37">
      <c r="A2671" t="n">
        <v>21</v>
      </c>
      <c r="B2671" s="10" t="inlineStr">
        <is>
          <t>休日</t>
        </is>
      </c>
      <c r="C2671" s="10" t="inlineStr">
        <is>
          <t>北野線</t>
        </is>
      </c>
      <c r="D2671" s="10" t="inlineStr">
        <is>
          <t>上り</t>
        </is>
      </c>
      <c r="E2671" t="inlineStr">
        <is>
          <t>1560</t>
        </is>
      </c>
      <c r="F2671" t="inlineStr">
        <is>
          <t>0354</t>
        </is>
      </c>
      <c r="G2671" s="10" t="inlineStr">
        <is>
          <t>等持院</t>
        </is>
      </c>
      <c r="H2671" s="10" t="inlineStr">
        <is>
          <t>発</t>
        </is>
      </c>
      <c r="J2671" s="10" t="inlineStr">
        <is>
          <t>営業</t>
        </is>
      </c>
      <c r="L2671" t="inlineStr">
        <is>
          <t>15:56:35</t>
        </is>
      </c>
      <c r="M2671" t="inlineStr">
        <is>
          <t>15:56:55</t>
        </is>
      </c>
    </row>
    <row r="2672" ht="15" customHeight="1" s="37">
      <c r="A2672" t="n">
        <v>21</v>
      </c>
      <c r="B2672" s="10" t="inlineStr">
        <is>
          <t>休日</t>
        </is>
      </c>
      <c r="C2672" s="10" t="inlineStr">
        <is>
          <t>北野線</t>
        </is>
      </c>
      <c r="D2672" s="10" t="inlineStr">
        <is>
          <t>上り</t>
        </is>
      </c>
      <c r="E2672" t="inlineStr">
        <is>
          <t>1560</t>
        </is>
      </c>
      <c r="F2672" t="inlineStr">
        <is>
          <t>0354</t>
        </is>
      </c>
      <c r="G2672" s="10" t="inlineStr">
        <is>
          <t>北野白梅町</t>
        </is>
      </c>
      <c r="H2672" s="10" t="inlineStr">
        <is>
          <t>着</t>
        </is>
      </c>
      <c r="J2672" s="10" t="inlineStr">
        <is>
          <t>営業</t>
        </is>
      </c>
      <c r="L2672" t="inlineStr">
        <is>
          <t>15:58:15</t>
        </is>
      </c>
      <c r="Q2672" t="inlineStr">
        <is>
          <t>1</t>
        </is>
      </c>
    </row>
    <row r="2673" ht="15" customHeight="1" s="37">
      <c r="A2673" t="n">
        <v>21</v>
      </c>
      <c r="B2673" s="10" t="inlineStr">
        <is>
          <t>休日</t>
        </is>
      </c>
      <c r="C2673" s="10" t="inlineStr">
        <is>
          <t>北野線</t>
        </is>
      </c>
      <c r="D2673" s="10" t="inlineStr">
        <is>
          <t>下り</t>
        </is>
      </c>
      <c r="E2673" t="inlineStr">
        <is>
          <t>1651</t>
        </is>
      </c>
      <c r="F2673" t="inlineStr">
        <is>
          <t>0453</t>
        </is>
      </c>
      <c r="G2673" s="10" t="inlineStr">
        <is>
          <t>北野白梅町</t>
        </is>
      </c>
      <c r="H2673" s="10" t="inlineStr">
        <is>
          <t>発</t>
        </is>
      </c>
      <c r="J2673" s="10" t="inlineStr">
        <is>
          <t>営業</t>
        </is>
      </c>
      <c r="M2673" t="inlineStr">
        <is>
          <t>16:03:00</t>
        </is>
      </c>
      <c r="Q2673" t="inlineStr">
        <is>
          <t>1</t>
        </is>
      </c>
    </row>
    <row r="2674" ht="16.5" customHeight="1" s="37">
      <c r="A2674" t="n">
        <v>21</v>
      </c>
      <c r="B2674" s="10" t="inlineStr">
        <is>
          <t>休日</t>
        </is>
      </c>
      <c r="C2674" s="10" t="inlineStr">
        <is>
          <t>北野線</t>
        </is>
      </c>
      <c r="D2674" s="10" t="inlineStr">
        <is>
          <t>下り</t>
        </is>
      </c>
      <c r="E2674" t="inlineStr">
        <is>
          <t>1651</t>
        </is>
      </c>
      <c r="F2674" t="inlineStr">
        <is>
          <t>0453</t>
        </is>
      </c>
      <c r="G2674" s="10" t="inlineStr">
        <is>
          <t>等持院</t>
        </is>
      </c>
      <c r="H2674" s="10" t="inlineStr">
        <is>
          <t>発</t>
        </is>
      </c>
      <c r="J2674" s="10" t="inlineStr">
        <is>
          <t>営業</t>
        </is>
      </c>
      <c r="L2674" t="inlineStr">
        <is>
          <t>16:04:25</t>
        </is>
      </c>
      <c r="M2674" t="inlineStr">
        <is>
          <t>16:04:35</t>
        </is>
      </c>
    </row>
    <row r="2675" ht="16.5" customHeight="1" s="37">
      <c r="A2675" t="n">
        <v>21</v>
      </c>
      <c r="B2675" s="10" t="inlineStr">
        <is>
          <t>休日</t>
        </is>
      </c>
      <c r="C2675" s="10" t="inlineStr">
        <is>
          <t>北野線</t>
        </is>
      </c>
      <c r="D2675" s="10" t="inlineStr">
        <is>
          <t>下り</t>
        </is>
      </c>
      <c r="E2675" t="inlineStr">
        <is>
          <t>1651</t>
        </is>
      </c>
      <c r="F2675" t="inlineStr">
        <is>
          <t>0453</t>
        </is>
      </c>
      <c r="G2675" s="10" t="inlineStr">
        <is>
          <t>龍安寺</t>
        </is>
      </c>
      <c r="H2675" s="10" t="inlineStr">
        <is>
          <t>発</t>
        </is>
      </c>
      <c r="J2675" s="10" t="inlineStr">
        <is>
          <t>営業</t>
        </is>
      </c>
      <c r="L2675" t="inlineStr">
        <is>
          <t>16:05:25</t>
        </is>
      </c>
      <c r="M2675" t="inlineStr">
        <is>
          <t>16:05:50</t>
        </is>
      </c>
    </row>
    <row r="2676" ht="16.5" customHeight="1" s="37">
      <c r="A2676" t="n">
        <v>21</v>
      </c>
      <c r="B2676" s="10" t="inlineStr">
        <is>
          <t>休日</t>
        </is>
      </c>
      <c r="C2676" s="10" t="inlineStr">
        <is>
          <t>北野線</t>
        </is>
      </c>
      <c r="D2676" s="10" t="inlineStr">
        <is>
          <t>下り</t>
        </is>
      </c>
      <c r="E2676" t="inlineStr">
        <is>
          <t>1651</t>
        </is>
      </c>
      <c r="F2676" t="inlineStr">
        <is>
          <t>0453</t>
        </is>
      </c>
      <c r="G2676" s="10" t="inlineStr">
        <is>
          <t>妙心寺</t>
        </is>
      </c>
      <c r="H2676" s="10" t="inlineStr">
        <is>
          <t>発</t>
        </is>
      </c>
      <c r="J2676" s="10" t="inlineStr">
        <is>
          <t>営業</t>
        </is>
      </c>
      <c r="L2676" t="inlineStr">
        <is>
          <t>16:06:40</t>
        </is>
      </c>
      <c r="M2676" t="inlineStr">
        <is>
          <t>16:06:50</t>
        </is>
      </c>
    </row>
    <row r="2677" ht="16.5" customHeight="1" s="37">
      <c r="A2677" t="n">
        <v>21</v>
      </c>
      <c r="B2677" s="10" t="inlineStr">
        <is>
          <t>休日</t>
        </is>
      </c>
      <c r="C2677" s="10" t="inlineStr">
        <is>
          <t>北野線</t>
        </is>
      </c>
      <c r="D2677" s="10" t="inlineStr">
        <is>
          <t>下り</t>
        </is>
      </c>
      <c r="E2677" t="inlineStr">
        <is>
          <t>1651</t>
        </is>
      </c>
      <c r="F2677" t="inlineStr">
        <is>
          <t>0453</t>
        </is>
      </c>
      <c r="G2677" s="10" t="inlineStr">
        <is>
          <t>御室仁和寺</t>
        </is>
      </c>
      <c r="H2677" s="10" t="inlineStr">
        <is>
          <t>発</t>
        </is>
      </c>
      <c r="J2677" s="10" t="inlineStr">
        <is>
          <t>営業</t>
        </is>
      </c>
      <c r="L2677" t="inlineStr">
        <is>
          <t>16:07:50</t>
        </is>
      </c>
      <c r="M2677" t="inlineStr">
        <is>
          <t>16:08:05</t>
        </is>
      </c>
    </row>
    <row r="2678" ht="16.5" customHeight="1" s="37">
      <c r="A2678" t="n">
        <v>21</v>
      </c>
      <c r="B2678" s="10" t="inlineStr">
        <is>
          <t>休日</t>
        </is>
      </c>
      <c r="C2678" s="10" t="inlineStr">
        <is>
          <t>北野線</t>
        </is>
      </c>
      <c r="D2678" s="10" t="inlineStr">
        <is>
          <t>下り</t>
        </is>
      </c>
      <c r="E2678" t="inlineStr">
        <is>
          <t>1651</t>
        </is>
      </c>
      <c r="F2678" t="inlineStr">
        <is>
          <t>0453</t>
        </is>
      </c>
      <c r="G2678" s="10" t="inlineStr">
        <is>
          <t>宇多野</t>
        </is>
      </c>
      <c r="H2678" s="10" t="inlineStr">
        <is>
          <t>発</t>
        </is>
      </c>
      <c r="J2678" s="10" t="inlineStr">
        <is>
          <t>営業</t>
        </is>
      </c>
      <c r="L2678" t="inlineStr">
        <is>
          <t>16:09:05</t>
        </is>
      </c>
      <c r="M2678" t="inlineStr">
        <is>
          <t>16:09:15</t>
        </is>
      </c>
    </row>
    <row r="2679" ht="16.5" customHeight="1" s="37">
      <c r="A2679" t="n">
        <v>21</v>
      </c>
      <c r="B2679" s="10" t="inlineStr">
        <is>
          <t>休日</t>
        </is>
      </c>
      <c r="C2679" s="10" t="inlineStr">
        <is>
          <t>北野線</t>
        </is>
      </c>
      <c r="D2679" s="10" t="inlineStr">
        <is>
          <t>下り</t>
        </is>
      </c>
      <c r="E2679" t="inlineStr">
        <is>
          <t>1651</t>
        </is>
      </c>
      <c r="F2679" t="inlineStr">
        <is>
          <t>0453</t>
        </is>
      </c>
      <c r="G2679" s="10" t="inlineStr">
        <is>
          <t>鳴滝</t>
        </is>
      </c>
      <c r="H2679" s="10" t="inlineStr">
        <is>
          <t>発</t>
        </is>
      </c>
      <c r="J2679" s="10" t="inlineStr">
        <is>
          <t>営業</t>
        </is>
      </c>
      <c r="L2679" t="inlineStr">
        <is>
          <t>16:10:35</t>
        </is>
      </c>
      <c r="M2679" t="inlineStr">
        <is>
          <t>16:10:45</t>
        </is>
      </c>
    </row>
    <row r="2680" ht="16.5" customHeight="1" s="37">
      <c r="A2680" t="n">
        <v>21</v>
      </c>
      <c r="B2680" s="10" t="inlineStr">
        <is>
          <t>休日</t>
        </is>
      </c>
      <c r="C2680" s="10" t="inlineStr">
        <is>
          <t>北野線</t>
        </is>
      </c>
      <c r="D2680" s="10" t="inlineStr">
        <is>
          <t>下り</t>
        </is>
      </c>
      <c r="E2680" t="inlineStr">
        <is>
          <t>1651</t>
        </is>
      </c>
      <c r="F2680" t="inlineStr">
        <is>
          <t>0453</t>
        </is>
      </c>
      <c r="G2680" s="10" t="inlineStr">
        <is>
          <t>常盤</t>
        </is>
      </c>
      <c r="H2680" s="10" t="inlineStr">
        <is>
          <t>発</t>
        </is>
      </c>
      <c r="J2680" s="10" t="inlineStr">
        <is>
          <t>営業</t>
        </is>
      </c>
      <c r="L2680" t="inlineStr">
        <is>
          <t>16:11:35</t>
        </is>
      </c>
      <c r="M2680" t="inlineStr">
        <is>
          <t>16:11:55</t>
        </is>
      </c>
    </row>
    <row r="2681" ht="16.5" customHeight="1" s="37">
      <c r="A2681" t="n">
        <v>21</v>
      </c>
      <c r="B2681" s="10" t="inlineStr">
        <is>
          <t>休日</t>
        </is>
      </c>
      <c r="C2681" s="10" t="inlineStr">
        <is>
          <t>北野線</t>
        </is>
      </c>
      <c r="D2681" s="10" t="inlineStr">
        <is>
          <t>下り</t>
        </is>
      </c>
      <c r="E2681" t="inlineStr">
        <is>
          <t>1651</t>
        </is>
      </c>
      <c r="F2681" t="inlineStr">
        <is>
          <t>0453</t>
        </is>
      </c>
      <c r="G2681" s="10" t="inlineStr">
        <is>
          <t>撮影所前</t>
        </is>
      </c>
      <c r="H2681" s="10" t="inlineStr">
        <is>
          <t>発</t>
        </is>
      </c>
      <c r="J2681" s="10" t="inlineStr">
        <is>
          <t>営業</t>
        </is>
      </c>
      <c r="L2681" t="inlineStr">
        <is>
          <t>16:13:15</t>
        </is>
      </c>
      <c r="M2681" t="inlineStr">
        <is>
          <t>16:13:30</t>
        </is>
      </c>
    </row>
    <row r="2682" ht="16.5" customHeight="1" s="37">
      <c r="A2682" t="n">
        <v>21</v>
      </c>
      <c r="B2682" s="10" t="inlineStr">
        <is>
          <t>休日</t>
        </is>
      </c>
      <c r="C2682" s="10" t="inlineStr">
        <is>
          <t>北野線</t>
        </is>
      </c>
      <c r="D2682" s="10" t="inlineStr">
        <is>
          <t>下り</t>
        </is>
      </c>
      <c r="E2682" t="inlineStr">
        <is>
          <t>1651</t>
        </is>
      </c>
      <c r="F2682" t="inlineStr">
        <is>
          <t>0453</t>
        </is>
      </c>
      <c r="G2682" s="10" t="inlineStr">
        <is>
          <t>帷子ノ辻</t>
        </is>
      </c>
      <c r="H2682" s="10" t="inlineStr">
        <is>
          <t>着</t>
        </is>
      </c>
      <c r="J2682" s="10" t="inlineStr">
        <is>
          <t>営業</t>
        </is>
      </c>
      <c r="L2682" t="inlineStr">
        <is>
          <t>16:14:25</t>
        </is>
      </c>
      <c r="Q2682" t="inlineStr">
        <is>
          <t>4</t>
        </is>
      </c>
    </row>
    <row r="2683" ht="16.5" customHeight="1" s="37">
      <c r="A2683" t="n">
        <v>21</v>
      </c>
      <c r="B2683" s="10" t="inlineStr">
        <is>
          <t>休日</t>
        </is>
      </c>
      <c r="C2683" s="10" t="inlineStr">
        <is>
          <t>北野線</t>
        </is>
      </c>
      <c r="D2683" s="10" t="inlineStr">
        <is>
          <t>上り</t>
        </is>
      </c>
      <c r="E2683" t="inlineStr">
        <is>
          <t>1656</t>
        </is>
      </c>
      <c r="F2683" t="inlineStr">
        <is>
          <t>0354</t>
        </is>
      </c>
      <c r="G2683" s="10" t="inlineStr">
        <is>
          <t>帷子ノ辻</t>
        </is>
      </c>
      <c r="H2683" s="10" t="inlineStr">
        <is>
          <t>発</t>
        </is>
      </c>
      <c r="J2683" s="10" t="inlineStr">
        <is>
          <t>営業</t>
        </is>
      </c>
      <c r="M2683" t="inlineStr">
        <is>
          <t>16:26:25</t>
        </is>
      </c>
      <c r="Q2683" t="inlineStr">
        <is>
          <t>4</t>
        </is>
      </c>
      <c r="U2683" t="inlineStr">
        <is>
          <t>→帷子ノ辻 休憩(16:54〜17:56)</t>
        </is>
      </c>
    </row>
    <row r="2684" ht="16.5" customHeight="1" s="37">
      <c r="A2684" t="n">
        <v>21</v>
      </c>
      <c r="B2684" s="10" t="inlineStr">
        <is>
          <t>休日</t>
        </is>
      </c>
      <c r="C2684" s="10" t="inlineStr">
        <is>
          <t>北野線</t>
        </is>
      </c>
      <c r="D2684" s="10" t="inlineStr">
        <is>
          <t>上り</t>
        </is>
      </c>
      <c r="E2684" t="inlineStr">
        <is>
          <t>1656</t>
        </is>
      </c>
      <c r="F2684" t="inlineStr">
        <is>
          <t>0354</t>
        </is>
      </c>
      <c r="G2684" s="10" t="inlineStr">
        <is>
          <t>撮影所前</t>
        </is>
      </c>
      <c r="H2684" s="10" t="inlineStr">
        <is>
          <t>発</t>
        </is>
      </c>
      <c r="J2684" s="10" t="inlineStr">
        <is>
          <t>営業</t>
        </is>
      </c>
      <c r="L2684" t="inlineStr">
        <is>
          <t>16:27:25</t>
        </is>
      </c>
      <c r="M2684" t="inlineStr">
        <is>
          <t>16:27:40</t>
        </is>
      </c>
      <c r="U2684" t="inlineStr">
        <is>
          <t>→帷子ノ辻 休憩(16:54〜17:56)</t>
        </is>
      </c>
    </row>
    <row r="2685" ht="16.5" customHeight="1" s="37">
      <c r="A2685" t="n">
        <v>21</v>
      </c>
      <c r="B2685" s="10" t="inlineStr">
        <is>
          <t>休日</t>
        </is>
      </c>
      <c r="C2685" s="10" t="inlineStr">
        <is>
          <t>北野線</t>
        </is>
      </c>
      <c r="D2685" s="10" t="inlineStr">
        <is>
          <t>上り</t>
        </is>
      </c>
      <c r="E2685" t="inlineStr">
        <is>
          <t>1656</t>
        </is>
      </c>
      <c r="F2685" t="inlineStr">
        <is>
          <t>0354</t>
        </is>
      </c>
      <c r="G2685" s="10" t="inlineStr">
        <is>
          <t>常盤</t>
        </is>
      </c>
      <c r="H2685" s="10" t="inlineStr">
        <is>
          <t>発</t>
        </is>
      </c>
      <c r="J2685" s="10" t="inlineStr">
        <is>
          <t>営業</t>
        </is>
      </c>
      <c r="L2685" t="inlineStr">
        <is>
          <t>16:29:00</t>
        </is>
      </c>
      <c r="M2685" t="inlineStr">
        <is>
          <t>16:29:20</t>
        </is>
      </c>
      <c r="U2685" t="inlineStr">
        <is>
          <t>→帷子ノ辻 休憩(16:54〜17:56)</t>
        </is>
      </c>
    </row>
    <row r="2686" ht="16.5" customHeight="1" s="37">
      <c r="A2686" t="n">
        <v>21</v>
      </c>
      <c r="B2686" s="10" t="inlineStr">
        <is>
          <t>休日</t>
        </is>
      </c>
      <c r="C2686" s="10" t="inlineStr">
        <is>
          <t>北野線</t>
        </is>
      </c>
      <c r="D2686" s="10" t="inlineStr">
        <is>
          <t>上り</t>
        </is>
      </c>
      <c r="E2686" t="inlineStr">
        <is>
          <t>1656</t>
        </is>
      </c>
      <c r="F2686" t="inlineStr">
        <is>
          <t>0354</t>
        </is>
      </c>
      <c r="G2686" s="10" t="inlineStr">
        <is>
          <t>鳴滝</t>
        </is>
      </c>
      <c r="H2686" s="10" t="inlineStr">
        <is>
          <t>発</t>
        </is>
      </c>
      <c r="J2686" s="10" t="inlineStr">
        <is>
          <t>営業</t>
        </is>
      </c>
      <c r="L2686" t="inlineStr">
        <is>
          <t>16:30:20</t>
        </is>
      </c>
      <c r="M2686" t="inlineStr">
        <is>
          <t>16:30:40</t>
        </is>
      </c>
      <c r="U2686" t="inlineStr">
        <is>
          <t>→帷子ノ辻 休憩(16:54〜17:56)</t>
        </is>
      </c>
    </row>
    <row r="2687" ht="16.5" customHeight="1" s="37">
      <c r="A2687" t="n">
        <v>21</v>
      </c>
      <c r="B2687" s="10" t="inlineStr">
        <is>
          <t>休日</t>
        </is>
      </c>
      <c r="C2687" s="10" t="inlineStr">
        <is>
          <t>北野線</t>
        </is>
      </c>
      <c r="D2687" s="10" t="inlineStr">
        <is>
          <t>上り</t>
        </is>
      </c>
      <c r="E2687" t="inlineStr">
        <is>
          <t>1656</t>
        </is>
      </c>
      <c r="F2687" t="inlineStr">
        <is>
          <t>0354</t>
        </is>
      </c>
      <c r="G2687" s="10" t="inlineStr">
        <is>
          <t>宇多野</t>
        </is>
      </c>
      <c r="H2687" s="10" t="inlineStr">
        <is>
          <t>発</t>
        </is>
      </c>
      <c r="J2687" s="10" t="inlineStr">
        <is>
          <t>営業</t>
        </is>
      </c>
      <c r="L2687" t="inlineStr">
        <is>
          <t>16:32:00</t>
        </is>
      </c>
      <c r="M2687" t="inlineStr">
        <is>
          <t>16:32:15</t>
        </is>
      </c>
      <c r="U2687" t="inlineStr">
        <is>
          <t>→帷子ノ辻 休憩(16:54〜17:56)</t>
        </is>
      </c>
    </row>
    <row r="2688" ht="16.5" customHeight="1" s="37">
      <c r="A2688" t="n">
        <v>21</v>
      </c>
      <c r="B2688" s="10" t="inlineStr">
        <is>
          <t>休日</t>
        </is>
      </c>
      <c r="C2688" s="10" t="inlineStr">
        <is>
          <t>北野線</t>
        </is>
      </c>
      <c r="D2688" s="10" t="inlineStr">
        <is>
          <t>上り</t>
        </is>
      </c>
      <c r="E2688" t="inlineStr">
        <is>
          <t>1656</t>
        </is>
      </c>
      <c r="F2688" t="inlineStr">
        <is>
          <t>0354</t>
        </is>
      </c>
      <c r="G2688" s="10" t="inlineStr">
        <is>
          <t>御室仁和寺</t>
        </is>
      </c>
      <c r="H2688" s="10" t="inlineStr">
        <is>
          <t>発</t>
        </is>
      </c>
      <c r="J2688" s="10" t="inlineStr">
        <is>
          <t>営業</t>
        </is>
      </c>
      <c r="L2688" t="inlineStr">
        <is>
          <t>16:33:15</t>
        </is>
      </c>
      <c r="M2688" t="inlineStr">
        <is>
          <t>16:33:35</t>
        </is>
      </c>
      <c r="U2688" t="inlineStr">
        <is>
          <t>→帷子ノ辻 休憩(16:54〜17:56)</t>
        </is>
      </c>
    </row>
    <row r="2689" ht="16.5" customHeight="1" s="37">
      <c r="A2689" t="n">
        <v>21</v>
      </c>
      <c r="B2689" s="10" t="inlineStr">
        <is>
          <t>休日</t>
        </is>
      </c>
      <c r="C2689" s="10" t="inlineStr">
        <is>
          <t>北野線</t>
        </is>
      </c>
      <c r="D2689" s="10" t="inlineStr">
        <is>
          <t>上り</t>
        </is>
      </c>
      <c r="E2689" t="inlineStr">
        <is>
          <t>1656</t>
        </is>
      </c>
      <c r="F2689" t="inlineStr">
        <is>
          <t>0354</t>
        </is>
      </c>
      <c r="G2689" s="10" t="inlineStr">
        <is>
          <t>妙心寺</t>
        </is>
      </c>
      <c r="H2689" s="10" t="inlineStr">
        <is>
          <t>発</t>
        </is>
      </c>
      <c r="J2689" s="10" t="inlineStr">
        <is>
          <t>営業</t>
        </is>
      </c>
      <c r="L2689" t="inlineStr">
        <is>
          <t>16:34:35</t>
        </is>
      </c>
      <c r="M2689" t="inlineStr">
        <is>
          <t>16:34:50</t>
        </is>
      </c>
      <c r="U2689" t="inlineStr">
        <is>
          <t>→帷子ノ辻 休憩(16:54〜17:56)</t>
        </is>
      </c>
    </row>
    <row r="2690" ht="16.5" customHeight="1" s="37">
      <c r="A2690" t="n">
        <v>21</v>
      </c>
      <c r="B2690" s="10" t="inlineStr">
        <is>
          <t>休日</t>
        </is>
      </c>
      <c r="C2690" s="10" t="inlineStr">
        <is>
          <t>北野線</t>
        </is>
      </c>
      <c r="D2690" s="10" t="inlineStr">
        <is>
          <t>上り</t>
        </is>
      </c>
      <c r="E2690" t="inlineStr">
        <is>
          <t>1656</t>
        </is>
      </c>
      <c r="F2690" t="inlineStr">
        <is>
          <t>0354</t>
        </is>
      </c>
      <c r="G2690" s="10" t="inlineStr">
        <is>
          <t>龍安寺</t>
        </is>
      </c>
      <c r="H2690" s="10" t="inlineStr">
        <is>
          <t>発</t>
        </is>
      </c>
      <c r="J2690" s="10" t="inlineStr">
        <is>
          <t>営業</t>
        </is>
      </c>
      <c r="L2690" t="inlineStr">
        <is>
          <t>16:35:45</t>
        </is>
      </c>
      <c r="M2690" t="inlineStr">
        <is>
          <t>16:35:55</t>
        </is>
      </c>
      <c r="U2690" t="inlineStr">
        <is>
          <t>→帷子ノ辻 休憩(16:54〜17:56)</t>
        </is>
      </c>
    </row>
    <row r="2691" ht="16.5" customHeight="1" s="37">
      <c r="A2691" t="n">
        <v>21</v>
      </c>
      <c r="B2691" s="10" t="inlineStr">
        <is>
          <t>休日</t>
        </is>
      </c>
      <c r="C2691" s="10" t="inlineStr">
        <is>
          <t>北野線</t>
        </is>
      </c>
      <c r="D2691" s="10" t="inlineStr">
        <is>
          <t>上り</t>
        </is>
      </c>
      <c r="E2691" t="inlineStr">
        <is>
          <t>1656</t>
        </is>
      </c>
      <c r="F2691" t="inlineStr">
        <is>
          <t>0354</t>
        </is>
      </c>
      <c r="G2691" s="10" t="inlineStr">
        <is>
          <t>等持院</t>
        </is>
      </c>
      <c r="H2691" s="10" t="inlineStr">
        <is>
          <t>発</t>
        </is>
      </c>
      <c r="J2691" s="10" t="inlineStr">
        <is>
          <t>営業</t>
        </is>
      </c>
      <c r="L2691" t="inlineStr">
        <is>
          <t>16:36:35</t>
        </is>
      </c>
      <c r="M2691" t="inlineStr">
        <is>
          <t>16:36:55</t>
        </is>
      </c>
      <c r="U2691" t="inlineStr">
        <is>
          <t>→帷子ノ辻 休憩(16:54〜17:56)</t>
        </is>
      </c>
    </row>
    <row r="2692" ht="16.5" customHeight="1" s="37">
      <c r="A2692" t="n">
        <v>21</v>
      </c>
      <c r="B2692" s="10" t="inlineStr">
        <is>
          <t>休日</t>
        </is>
      </c>
      <c r="C2692" s="10" t="inlineStr">
        <is>
          <t>北野線</t>
        </is>
      </c>
      <c r="D2692" s="10" t="inlineStr">
        <is>
          <t>上り</t>
        </is>
      </c>
      <c r="E2692" t="inlineStr">
        <is>
          <t>1656</t>
        </is>
      </c>
      <c r="F2692" t="inlineStr">
        <is>
          <t>0354</t>
        </is>
      </c>
      <c r="G2692" s="10" t="inlineStr">
        <is>
          <t>北野白梅町</t>
        </is>
      </c>
      <c r="H2692" s="10" t="inlineStr">
        <is>
          <t>着</t>
        </is>
      </c>
      <c r="J2692" s="10" t="inlineStr">
        <is>
          <t>営業</t>
        </is>
      </c>
      <c r="L2692" t="inlineStr">
        <is>
          <t>16:38:15</t>
        </is>
      </c>
      <c r="Q2692" t="inlineStr">
        <is>
          <t>1</t>
        </is>
      </c>
      <c r="U2692" t="inlineStr">
        <is>
          <t>→帷子ノ辻 休憩(16:54〜17:56)</t>
        </is>
      </c>
    </row>
    <row r="2693" ht="16.5" customHeight="1" s="37">
      <c r="A2693" t="n">
        <v>21</v>
      </c>
      <c r="B2693" s="10" t="inlineStr">
        <is>
          <t>休日</t>
        </is>
      </c>
      <c r="C2693" s="10" t="inlineStr">
        <is>
          <t>北野線</t>
        </is>
      </c>
      <c r="D2693" s="10" t="inlineStr">
        <is>
          <t>下り</t>
        </is>
      </c>
      <c r="E2693" t="inlineStr">
        <is>
          <t>1659</t>
        </is>
      </c>
      <c r="F2693" t="inlineStr">
        <is>
          <t>0453</t>
        </is>
      </c>
      <c r="G2693" s="10" t="inlineStr">
        <is>
          <t>北野白梅町</t>
        </is>
      </c>
      <c r="H2693" s="10" t="inlineStr">
        <is>
          <t>発</t>
        </is>
      </c>
      <c r="J2693" s="10" t="inlineStr">
        <is>
          <t>営業</t>
        </is>
      </c>
      <c r="M2693" t="inlineStr">
        <is>
          <t>16:43:00</t>
        </is>
      </c>
      <c r="Q2693" t="inlineStr">
        <is>
          <t>1</t>
        </is>
      </c>
      <c r="U2693" t="inlineStr">
        <is>
          <t>→帷子ノ辻 休憩(16:54〜17:56)</t>
        </is>
      </c>
    </row>
    <row r="2694" ht="16.5" customHeight="1" s="37">
      <c r="A2694" t="n">
        <v>21</v>
      </c>
      <c r="B2694" s="10" t="inlineStr">
        <is>
          <t>休日</t>
        </is>
      </c>
      <c r="C2694" s="10" t="inlineStr">
        <is>
          <t>北野線</t>
        </is>
      </c>
      <c r="D2694" s="10" t="inlineStr">
        <is>
          <t>下り</t>
        </is>
      </c>
      <c r="E2694" t="inlineStr">
        <is>
          <t>1659</t>
        </is>
      </c>
      <c r="F2694" t="inlineStr">
        <is>
          <t>0453</t>
        </is>
      </c>
      <c r="G2694" s="10" t="inlineStr">
        <is>
          <t>等持院</t>
        </is>
      </c>
      <c r="H2694" s="10" t="inlineStr">
        <is>
          <t>発</t>
        </is>
      </c>
      <c r="J2694" s="10" t="inlineStr">
        <is>
          <t>営業</t>
        </is>
      </c>
      <c r="L2694" t="inlineStr">
        <is>
          <t>16:44:25</t>
        </is>
      </c>
      <c r="M2694" t="inlineStr">
        <is>
          <t>16:44:35</t>
        </is>
      </c>
      <c r="U2694" t="inlineStr">
        <is>
          <t>→帷子ノ辻 休憩(16:54〜17:56)</t>
        </is>
      </c>
    </row>
    <row r="2695" ht="16.5" customHeight="1" s="37">
      <c r="A2695" t="n">
        <v>21</v>
      </c>
      <c r="B2695" s="10" t="inlineStr">
        <is>
          <t>休日</t>
        </is>
      </c>
      <c r="C2695" s="10" t="inlineStr">
        <is>
          <t>北野線</t>
        </is>
      </c>
      <c r="D2695" s="10" t="inlineStr">
        <is>
          <t>下り</t>
        </is>
      </c>
      <c r="E2695" t="inlineStr">
        <is>
          <t>1659</t>
        </is>
      </c>
      <c r="F2695" t="inlineStr">
        <is>
          <t>0453</t>
        </is>
      </c>
      <c r="G2695" s="10" t="inlineStr">
        <is>
          <t>龍安寺</t>
        </is>
      </c>
      <c r="H2695" s="10" t="inlineStr">
        <is>
          <t>発</t>
        </is>
      </c>
      <c r="J2695" s="10" t="inlineStr">
        <is>
          <t>営業</t>
        </is>
      </c>
      <c r="L2695" t="inlineStr">
        <is>
          <t>16:45:25</t>
        </is>
      </c>
      <c r="M2695" t="inlineStr">
        <is>
          <t>16:45:50</t>
        </is>
      </c>
      <c r="U2695" t="inlineStr">
        <is>
          <t>→帷子ノ辻 休憩(16:54〜17:56)</t>
        </is>
      </c>
    </row>
    <row r="2696" ht="16.5" customHeight="1" s="37">
      <c r="A2696" t="n">
        <v>21</v>
      </c>
      <c r="B2696" s="10" t="inlineStr">
        <is>
          <t>休日</t>
        </is>
      </c>
      <c r="C2696" s="10" t="inlineStr">
        <is>
          <t>北野線</t>
        </is>
      </c>
      <c r="D2696" s="10" t="inlineStr">
        <is>
          <t>下り</t>
        </is>
      </c>
      <c r="E2696" t="inlineStr">
        <is>
          <t>1659</t>
        </is>
      </c>
      <c r="F2696" t="inlineStr">
        <is>
          <t>0453</t>
        </is>
      </c>
      <c r="G2696" s="10" t="inlineStr">
        <is>
          <t>妙心寺</t>
        </is>
      </c>
      <c r="H2696" s="10" t="inlineStr">
        <is>
          <t>発</t>
        </is>
      </c>
      <c r="J2696" s="10" t="inlineStr">
        <is>
          <t>営業</t>
        </is>
      </c>
      <c r="L2696" t="inlineStr">
        <is>
          <t>16:46:40</t>
        </is>
      </c>
      <c r="M2696" t="inlineStr">
        <is>
          <t>16:46:50</t>
        </is>
      </c>
      <c r="U2696" t="inlineStr">
        <is>
          <t>→帷子ノ辻 休憩(16:54〜17:56)</t>
        </is>
      </c>
    </row>
    <row r="2697" ht="16.5" customHeight="1" s="37">
      <c r="A2697" t="n">
        <v>21</v>
      </c>
      <c r="B2697" s="10" t="inlineStr">
        <is>
          <t>休日</t>
        </is>
      </c>
      <c r="C2697" s="10" t="inlineStr">
        <is>
          <t>北野線</t>
        </is>
      </c>
      <c r="D2697" s="10" t="inlineStr">
        <is>
          <t>下り</t>
        </is>
      </c>
      <c r="E2697" t="inlineStr">
        <is>
          <t>1659</t>
        </is>
      </c>
      <c r="F2697" t="inlineStr">
        <is>
          <t>0453</t>
        </is>
      </c>
      <c r="G2697" s="10" t="inlineStr">
        <is>
          <t>御室仁和寺</t>
        </is>
      </c>
      <c r="H2697" s="10" t="inlineStr">
        <is>
          <t>発</t>
        </is>
      </c>
      <c r="J2697" s="10" t="inlineStr">
        <is>
          <t>営業</t>
        </is>
      </c>
      <c r="L2697" t="inlineStr">
        <is>
          <t>16:47:50</t>
        </is>
      </c>
      <c r="M2697" t="inlineStr">
        <is>
          <t>16:48:05</t>
        </is>
      </c>
      <c r="U2697" t="inlineStr">
        <is>
          <t>→帷子ノ辻 休憩(16:54〜17:56)</t>
        </is>
      </c>
    </row>
    <row r="2698" ht="16.5" customHeight="1" s="37">
      <c r="A2698" t="n">
        <v>21</v>
      </c>
      <c r="B2698" s="10" t="inlineStr">
        <is>
          <t>休日</t>
        </is>
      </c>
      <c r="C2698" s="10" t="inlineStr">
        <is>
          <t>北野線</t>
        </is>
      </c>
      <c r="D2698" s="10" t="inlineStr">
        <is>
          <t>下り</t>
        </is>
      </c>
      <c r="E2698" t="inlineStr">
        <is>
          <t>1659</t>
        </is>
      </c>
      <c r="F2698" t="inlineStr">
        <is>
          <t>0453</t>
        </is>
      </c>
      <c r="G2698" s="10" t="inlineStr">
        <is>
          <t>宇多野</t>
        </is>
      </c>
      <c r="H2698" s="10" t="inlineStr">
        <is>
          <t>発</t>
        </is>
      </c>
      <c r="J2698" s="10" t="inlineStr">
        <is>
          <t>営業</t>
        </is>
      </c>
      <c r="L2698" t="inlineStr">
        <is>
          <t>16:49:05</t>
        </is>
      </c>
      <c r="M2698" t="inlineStr">
        <is>
          <t>16:49:15</t>
        </is>
      </c>
      <c r="U2698" t="inlineStr">
        <is>
          <t>→帷子ノ辻 休憩(16:54〜17:56)</t>
        </is>
      </c>
    </row>
    <row r="2699" ht="16.5" customHeight="1" s="37">
      <c r="A2699" t="n">
        <v>21</v>
      </c>
      <c r="B2699" s="10" t="inlineStr">
        <is>
          <t>休日</t>
        </is>
      </c>
      <c r="C2699" s="10" t="inlineStr">
        <is>
          <t>北野線</t>
        </is>
      </c>
      <c r="D2699" s="10" t="inlineStr">
        <is>
          <t>下り</t>
        </is>
      </c>
      <c r="E2699" t="inlineStr">
        <is>
          <t>1659</t>
        </is>
      </c>
      <c r="F2699" t="inlineStr">
        <is>
          <t>0453</t>
        </is>
      </c>
      <c r="G2699" s="10" t="inlineStr">
        <is>
          <t>鳴滝</t>
        </is>
      </c>
      <c r="H2699" s="10" t="inlineStr">
        <is>
          <t>発</t>
        </is>
      </c>
      <c r="J2699" s="10" t="inlineStr">
        <is>
          <t>営業</t>
        </is>
      </c>
      <c r="L2699" t="inlineStr">
        <is>
          <t>16:50:35</t>
        </is>
      </c>
      <c r="M2699" t="inlineStr">
        <is>
          <t>16:50:45</t>
        </is>
      </c>
      <c r="U2699" t="inlineStr">
        <is>
          <t>→帷子ノ辻 休憩(16:54〜17:56)</t>
        </is>
      </c>
    </row>
    <row r="2700" ht="16.5" customHeight="1" s="37">
      <c r="A2700" t="n">
        <v>21</v>
      </c>
      <c r="B2700" s="10" t="inlineStr">
        <is>
          <t>休日</t>
        </is>
      </c>
      <c r="C2700" s="10" t="inlineStr">
        <is>
          <t>北野線</t>
        </is>
      </c>
      <c r="D2700" s="10" t="inlineStr">
        <is>
          <t>下り</t>
        </is>
      </c>
      <c r="E2700" t="inlineStr">
        <is>
          <t>1659</t>
        </is>
      </c>
      <c r="F2700" t="inlineStr">
        <is>
          <t>0453</t>
        </is>
      </c>
      <c r="G2700" s="10" t="inlineStr">
        <is>
          <t>常盤</t>
        </is>
      </c>
      <c r="H2700" s="10" t="inlineStr">
        <is>
          <t>発</t>
        </is>
      </c>
      <c r="J2700" s="10" t="inlineStr">
        <is>
          <t>営業</t>
        </is>
      </c>
      <c r="L2700" t="inlineStr">
        <is>
          <t>16:51:35</t>
        </is>
      </c>
      <c r="M2700" t="inlineStr">
        <is>
          <t>16:51:55</t>
        </is>
      </c>
      <c r="U2700" t="inlineStr">
        <is>
          <t>→帷子ノ辻 休憩(16:54〜17:56)</t>
        </is>
      </c>
    </row>
    <row r="2701" ht="16.5" customHeight="1" s="37">
      <c r="A2701" t="n">
        <v>21</v>
      </c>
      <c r="B2701" s="10" t="inlineStr">
        <is>
          <t>休日</t>
        </is>
      </c>
      <c r="C2701" s="10" t="inlineStr">
        <is>
          <t>北野線</t>
        </is>
      </c>
      <c r="D2701" s="10" t="inlineStr">
        <is>
          <t>下り</t>
        </is>
      </c>
      <c r="E2701" t="inlineStr">
        <is>
          <t>1659</t>
        </is>
      </c>
      <c r="F2701" t="inlineStr">
        <is>
          <t>0453</t>
        </is>
      </c>
      <c r="G2701" s="10" t="inlineStr">
        <is>
          <t>撮影所前</t>
        </is>
      </c>
      <c r="H2701" s="10" t="inlineStr">
        <is>
          <t>発</t>
        </is>
      </c>
      <c r="J2701" s="10" t="inlineStr">
        <is>
          <t>営業</t>
        </is>
      </c>
      <c r="L2701" t="inlineStr">
        <is>
          <t>16:53:15</t>
        </is>
      </c>
      <c r="M2701" t="inlineStr">
        <is>
          <t>16:53:30</t>
        </is>
      </c>
      <c r="U2701" t="inlineStr">
        <is>
          <t>→帷子ノ辻 休憩(16:54〜17:56)</t>
        </is>
      </c>
    </row>
    <row r="2702" ht="16.5" customHeight="1" s="37">
      <c r="A2702" t="n">
        <v>21</v>
      </c>
      <c r="B2702" s="10" t="inlineStr">
        <is>
          <t>休日</t>
        </is>
      </c>
      <c r="C2702" s="10" t="inlineStr">
        <is>
          <t>北野線</t>
        </is>
      </c>
      <c r="D2702" s="10" t="inlineStr">
        <is>
          <t>下り</t>
        </is>
      </c>
      <c r="E2702" t="inlineStr">
        <is>
          <t>1659</t>
        </is>
      </c>
      <c r="F2702" t="inlineStr">
        <is>
          <t>0453</t>
        </is>
      </c>
      <c r="G2702" s="10" t="inlineStr">
        <is>
          <t>帷子ノ辻</t>
        </is>
      </c>
      <c r="H2702" s="10" t="inlineStr">
        <is>
          <t>着</t>
        </is>
      </c>
      <c r="J2702" s="10" t="inlineStr">
        <is>
          <t>営業</t>
        </is>
      </c>
      <c r="L2702" t="inlineStr">
        <is>
          <t>16:54:25</t>
        </is>
      </c>
      <c r="Q2702" t="inlineStr">
        <is>
          <t>4</t>
        </is>
      </c>
      <c r="U2702" t="inlineStr">
        <is>
          <t>→帷子ノ辻 休憩(16:54〜17:56)</t>
        </is>
      </c>
    </row>
    <row r="2703" ht="15" customHeight="1" s="37">
      <c r="A2703" t="n">
        <v>21</v>
      </c>
      <c r="B2703" s="10" t="inlineStr">
        <is>
          <t>休日</t>
        </is>
      </c>
      <c r="C2703" s="10" t="inlineStr">
        <is>
          <t>北野線</t>
        </is>
      </c>
      <c r="D2703" s="10" t="inlineStr">
        <is>
          <t>上り</t>
        </is>
      </c>
      <c r="E2703" t="inlineStr">
        <is>
          <t>1762</t>
        </is>
      </c>
      <c r="F2703" t="inlineStr">
        <is>
          <t>0304</t>
        </is>
      </c>
      <c r="G2703" s="10" t="inlineStr">
        <is>
          <t>帷子ノ辻</t>
        </is>
      </c>
      <c r="H2703" s="10" t="inlineStr">
        <is>
          <t>発</t>
        </is>
      </c>
      <c r="J2703" s="10" t="inlineStr">
        <is>
          <t>営業</t>
        </is>
      </c>
      <c r="M2703" t="inlineStr">
        <is>
          <t>17:56:25</t>
        </is>
      </c>
      <c r="Q2703" t="inlineStr">
        <is>
          <t>3</t>
        </is>
      </c>
    </row>
    <row r="2704" ht="15" customHeight="1" s="37">
      <c r="A2704" t="n">
        <v>21</v>
      </c>
      <c r="B2704" s="10" t="inlineStr">
        <is>
          <t>休日</t>
        </is>
      </c>
      <c r="C2704" s="10" t="inlineStr">
        <is>
          <t>北野線</t>
        </is>
      </c>
      <c r="D2704" s="10" t="inlineStr">
        <is>
          <t>上り</t>
        </is>
      </c>
      <c r="E2704" t="inlineStr">
        <is>
          <t>1762</t>
        </is>
      </c>
      <c r="F2704" t="inlineStr">
        <is>
          <t>0304</t>
        </is>
      </c>
      <c r="G2704" s="10" t="inlineStr">
        <is>
          <t>撮影所前</t>
        </is>
      </c>
      <c r="H2704" s="10" t="inlineStr">
        <is>
          <t>発</t>
        </is>
      </c>
      <c r="J2704" s="10" t="inlineStr">
        <is>
          <t>営業</t>
        </is>
      </c>
      <c r="L2704" t="inlineStr">
        <is>
          <t>17:57:25</t>
        </is>
      </c>
      <c r="M2704" t="inlineStr">
        <is>
          <t>17:57:40</t>
        </is>
      </c>
    </row>
    <row r="2705" ht="15" customHeight="1" s="37">
      <c r="A2705" t="n">
        <v>21</v>
      </c>
      <c r="B2705" s="10" t="inlineStr">
        <is>
          <t>休日</t>
        </is>
      </c>
      <c r="C2705" s="10" t="inlineStr">
        <is>
          <t>北野線</t>
        </is>
      </c>
      <c r="D2705" s="10" t="inlineStr">
        <is>
          <t>上り</t>
        </is>
      </c>
      <c r="E2705" t="inlineStr">
        <is>
          <t>1762</t>
        </is>
      </c>
      <c r="F2705" t="inlineStr">
        <is>
          <t>0304</t>
        </is>
      </c>
      <c r="G2705" s="10" t="inlineStr">
        <is>
          <t>常盤</t>
        </is>
      </c>
      <c r="H2705" s="10" t="inlineStr">
        <is>
          <t>発</t>
        </is>
      </c>
      <c r="J2705" s="10" t="inlineStr">
        <is>
          <t>営業</t>
        </is>
      </c>
      <c r="L2705" t="inlineStr">
        <is>
          <t>17:59:00</t>
        </is>
      </c>
      <c r="M2705" t="inlineStr">
        <is>
          <t>17:59:20</t>
        </is>
      </c>
    </row>
    <row r="2706" ht="15" customHeight="1" s="37">
      <c r="A2706" t="n">
        <v>21</v>
      </c>
      <c r="B2706" s="10" t="inlineStr">
        <is>
          <t>休日</t>
        </is>
      </c>
      <c r="C2706" s="10" t="inlineStr">
        <is>
          <t>北野線</t>
        </is>
      </c>
      <c r="D2706" s="10" t="inlineStr">
        <is>
          <t>上り</t>
        </is>
      </c>
      <c r="E2706" t="inlineStr">
        <is>
          <t>1762</t>
        </is>
      </c>
      <c r="F2706" t="inlineStr">
        <is>
          <t>0304</t>
        </is>
      </c>
      <c r="G2706" s="10" t="inlineStr">
        <is>
          <t>鳴滝</t>
        </is>
      </c>
      <c r="H2706" s="10" t="inlineStr">
        <is>
          <t>発</t>
        </is>
      </c>
      <c r="J2706" s="10" t="inlineStr">
        <is>
          <t>営業</t>
        </is>
      </c>
      <c r="L2706" t="inlineStr">
        <is>
          <t>18:00:20</t>
        </is>
      </c>
      <c r="M2706" t="inlineStr">
        <is>
          <t>18:00:40</t>
        </is>
      </c>
    </row>
    <row r="2707" ht="15" customHeight="1" s="37">
      <c r="A2707" t="n">
        <v>21</v>
      </c>
      <c r="B2707" s="10" t="inlineStr">
        <is>
          <t>休日</t>
        </is>
      </c>
      <c r="C2707" s="10" t="inlineStr">
        <is>
          <t>北野線</t>
        </is>
      </c>
      <c r="D2707" s="10" t="inlineStr">
        <is>
          <t>上り</t>
        </is>
      </c>
      <c r="E2707" t="inlineStr">
        <is>
          <t>1762</t>
        </is>
      </c>
      <c r="F2707" t="inlineStr">
        <is>
          <t>0304</t>
        </is>
      </c>
      <c r="G2707" s="10" t="inlineStr">
        <is>
          <t>宇多野</t>
        </is>
      </c>
      <c r="H2707" s="10" t="inlineStr">
        <is>
          <t>発</t>
        </is>
      </c>
      <c r="J2707" s="10" t="inlineStr">
        <is>
          <t>営業</t>
        </is>
      </c>
      <c r="L2707" t="inlineStr">
        <is>
          <t>18:02:00</t>
        </is>
      </c>
      <c r="M2707" t="inlineStr">
        <is>
          <t>18:02:15</t>
        </is>
      </c>
    </row>
    <row r="2708" ht="15" customHeight="1" s="37">
      <c r="A2708" t="n">
        <v>21</v>
      </c>
      <c r="B2708" s="10" t="inlineStr">
        <is>
          <t>休日</t>
        </is>
      </c>
      <c r="C2708" s="10" t="inlineStr">
        <is>
          <t>北野線</t>
        </is>
      </c>
      <c r="D2708" s="10" t="inlineStr">
        <is>
          <t>上り</t>
        </is>
      </c>
      <c r="E2708" t="inlineStr">
        <is>
          <t>1762</t>
        </is>
      </c>
      <c r="F2708" t="inlineStr">
        <is>
          <t>0304</t>
        </is>
      </c>
      <c r="G2708" s="10" t="inlineStr">
        <is>
          <t>御室仁和寺</t>
        </is>
      </c>
      <c r="H2708" s="10" t="inlineStr">
        <is>
          <t>発</t>
        </is>
      </c>
      <c r="J2708" s="10" t="inlineStr">
        <is>
          <t>営業</t>
        </is>
      </c>
      <c r="L2708" t="inlineStr">
        <is>
          <t>18:03:15</t>
        </is>
      </c>
      <c r="M2708" t="inlineStr">
        <is>
          <t>18:03:35</t>
        </is>
      </c>
    </row>
    <row r="2709" ht="15" customHeight="1" s="37">
      <c r="A2709" t="n">
        <v>21</v>
      </c>
      <c r="B2709" s="10" t="inlineStr">
        <is>
          <t>休日</t>
        </is>
      </c>
      <c r="C2709" s="10" t="inlineStr">
        <is>
          <t>北野線</t>
        </is>
      </c>
      <c r="D2709" s="10" t="inlineStr">
        <is>
          <t>上り</t>
        </is>
      </c>
      <c r="E2709" t="inlineStr">
        <is>
          <t>1762</t>
        </is>
      </c>
      <c r="F2709" t="inlineStr">
        <is>
          <t>0304</t>
        </is>
      </c>
      <c r="G2709" s="10" t="inlineStr">
        <is>
          <t>妙心寺</t>
        </is>
      </c>
      <c r="H2709" s="10" t="inlineStr">
        <is>
          <t>発</t>
        </is>
      </c>
      <c r="J2709" s="10" t="inlineStr">
        <is>
          <t>営業</t>
        </is>
      </c>
      <c r="L2709" t="inlineStr">
        <is>
          <t>18:04:35</t>
        </is>
      </c>
      <c r="M2709" t="inlineStr">
        <is>
          <t>18:04:50</t>
        </is>
      </c>
    </row>
    <row r="2710" ht="15" customHeight="1" s="37">
      <c r="A2710" t="n">
        <v>21</v>
      </c>
      <c r="B2710" s="10" t="inlineStr">
        <is>
          <t>休日</t>
        </is>
      </c>
      <c r="C2710" s="10" t="inlineStr">
        <is>
          <t>北野線</t>
        </is>
      </c>
      <c r="D2710" s="10" t="inlineStr">
        <is>
          <t>上り</t>
        </is>
      </c>
      <c r="E2710" t="inlineStr">
        <is>
          <t>1762</t>
        </is>
      </c>
      <c r="F2710" t="inlineStr">
        <is>
          <t>0304</t>
        </is>
      </c>
      <c r="G2710" s="10" t="inlineStr">
        <is>
          <t>龍安寺</t>
        </is>
      </c>
      <c r="H2710" s="10" t="inlineStr">
        <is>
          <t>発</t>
        </is>
      </c>
      <c r="J2710" s="10" t="inlineStr">
        <is>
          <t>営業</t>
        </is>
      </c>
      <c r="L2710" t="inlineStr">
        <is>
          <t>18:05:45</t>
        </is>
      </c>
      <c r="M2710" t="inlineStr">
        <is>
          <t>18:05:55</t>
        </is>
      </c>
    </row>
    <row r="2711" ht="15" customHeight="1" s="37">
      <c r="A2711" t="n">
        <v>21</v>
      </c>
      <c r="B2711" s="10" t="inlineStr">
        <is>
          <t>休日</t>
        </is>
      </c>
      <c r="C2711" s="10" t="inlineStr">
        <is>
          <t>北野線</t>
        </is>
      </c>
      <c r="D2711" s="10" t="inlineStr">
        <is>
          <t>上り</t>
        </is>
      </c>
      <c r="E2711" t="inlineStr">
        <is>
          <t>1762</t>
        </is>
      </c>
      <c r="F2711" t="inlineStr">
        <is>
          <t>0304</t>
        </is>
      </c>
      <c r="G2711" s="10" t="inlineStr">
        <is>
          <t>等持院</t>
        </is>
      </c>
      <c r="H2711" s="10" t="inlineStr">
        <is>
          <t>発</t>
        </is>
      </c>
      <c r="J2711" s="10" t="inlineStr">
        <is>
          <t>営業</t>
        </is>
      </c>
      <c r="L2711" t="inlineStr">
        <is>
          <t>18:06:35</t>
        </is>
      </c>
      <c r="M2711" t="inlineStr">
        <is>
          <t>18:06:55</t>
        </is>
      </c>
    </row>
    <row r="2712" ht="15" customHeight="1" s="37">
      <c r="A2712" t="n">
        <v>21</v>
      </c>
      <c r="B2712" s="10" t="inlineStr">
        <is>
          <t>休日</t>
        </is>
      </c>
      <c r="C2712" s="10" t="inlineStr">
        <is>
          <t>北野線</t>
        </is>
      </c>
      <c r="D2712" s="10" t="inlineStr">
        <is>
          <t>上り</t>
        </is>
      </c>
      <c r="E2712" t="inlineStr">
        <is>
          <t>1762</t>
        </is>
      </c>
      <c r="F2712" t="inlineStr">
        <is>
          <t>0304</t>
        </is>
      </c>
      <c r="G2712" s="10" t="inlineStr">
        <is>
          <t>北野白梅町</t>
        </is>
      </c>
      <c r="H2712" s="10" t="inlineStr">
        <is>
          <t>着</t>
        </is>
      </c>
      <c r="J2712" s="10" t="inlineStr">
        <is>
          <t>営業</t>
        </is>
      </c>
      <c r="L2712" t="inlineStr">
        <is>
          <t>18:08:15</t>
        </is>
      </c>
      <c r="N2712" t="inlineStr">
        <is>
          <t>○</t>
        </is>
      </c>
      <c r="Q2712" t="inlineStr">
        <is>
          <t>1</t>
        </is>
      </c>
    </row>
    <row r="2713" ht="15" customHeight="1" s="37">
      <c r="A2713" t="n">
        <v>21</v>
      </c>
      <c r="B2713" s="10" t="inlineStr">
        <is>
          <t>休日</t>
        </is>
      </c>
      <c r="C2713" s="10" t="inlineStr">
        <is>
          <t>北野線</t>
        </is>
      </c>
      <c r="D2713" s="10" t="inlineStr">
        <is>
          <t>下り</t>
        </is>
      </c>
      <c r="E2713" t="inlineStr">
        <is>
          <t>1853</t>
        </is>
      </c>
      <c r="F2713" t="inlineStr">
        <is>
          <t>0453</t>
        </is>
      </c>
      <c r="G2713" s="10" t="inlineStr">
        <is>
          <t>北野白梅町</t>
        </is>
      </c>
      <c r="H2713" s="10" t="inlineStr">
        <is>
          <t>発</t>
        </is>
      </c>
      <c r="J2713" s="10" t="inlineStr">
        <is>
          <t>営業</t>
        </is>
      </c>
      <c r="M2713" t="inlineStr">
        <is>
          <t>18:13:00</t>
        </is>
      </c>
      <c r="Q2713" t="inlineStr">
        <is>
          <t>1</t>
        </is>
      </c>
    </row>
    <row r="2714" ht="15" customHeight="1" s="37">
      <c r="A2714" t="n">
        <v>21</v>
      </c>
      <c r="B2714" s="10" t="inlineStr">
        <is>
          <t>休日</t>
        </is>
      </c>
      <c r="C2714" s="10" t="inlineStr">
        <is>
          <t>北野線</t>
        </is>
      </c>
      <c r="D2714" s="10" t="inlineStr">
        <is>
          <t>下り</t>
        </is>
      </c>
      <c r="E2714" t="inlineStr">
        <is>
          <t>1853</t>
        </is>
      </c>
      <c r="F2714" t="inlineStr">
        <is>
          <t>0453</t>
        </is>
      </c>
      <c r="G2714" s="10" t="inlineStr">
        <is>
          <t>等持院</t>
        </is>
      </c>
      <c r="H2714" s="10" t="inlineStr">
        <is>
          <t>発</t>
        </is>
      </c>
      <c r="J2714" s="10" t="inlineStr">
        <is>
          <t>営業</t>
        </is>
      </c>
      <c r="L2714" t="inlineStr">
        <is>
          <t>18:14:25</t>
        </is>
      </c>
      <c r="M2714" t="inlineStr">
        <is>
          <t>18:14:35</t>
        </is>
      </c>
    </row>
    <row r="2715" ht="15" customHeight="1" s="37">
      <c r="A2715" t="n">
        <v>21</v>
      </c>
      <c r="B2715" s="10" t="inlineStr">
        <is>
          <t>休日</t>
        </is>
      </c>
      <c r="C2715" s="10" t="inlineStr">
        <is>
          <t>北野線</t>
        </is>
      </c>
      <c r="D2715" s="10" t="inlineStr">
        <is>
          <t>下り</t>
        </is>
      </c>
      <c r="E2715" t="inlineStr">
        <is>
          <t>1853</t>
        </is>
      </c>
      <c r="F2715" t="inlineStr">
        <is>
          <t>0453</t>
        </is>
      </c>
      <c r="G2715" s="10" t="inlineStr">
        <is>
          <t>龍安寺</t>
        </is>
      </c>
      <c r="H2715" s="10" t="inlineStr">
        <is>
          <t>発</t>
        </is>
      </c>
      <c r="J2715" s="10" t="inlineStr">
        <is>
          <t>営業</t>
        </is>
      </c>
      <c r="L2715" t="inlineStr">
        <is>
          <t>18:15:25</t>
        </is>
      </c>
      <c r="M2715" t="inlineStr">
        <is>
          <t>18:15:50</t>
        </is>
      </c>
    </row>
    <row r="2716" ht="15" customHeight="1" s="37">
      <c r="A2716" t="n">
        <v>21</v>
      </c>
      <c r="B2716" s="10" t="inlineStr">
        <is>
          <t>休日</t>
        </is>
      </c>
      <c r="C2716" s="10" t="inlineStr">
        <is>
          <t>北野線</t>
        </is>
      </c>
      <c r="D2716" s="10" t="inlineStr">
        <is>
          <t>下り</t>
        </is>
      </c>
      <c r="E2716" t="inlineStr">
        <is>
          <t>1853</t>
        </is>
      </c>
      <c r="F2716" t="inlineStr">
        <is>
          <t>0453</t>
        </is>
      </c>
      <c r="G2716" s="10" t="inlineStr">
        <is>
          <t>妙心寺</t>
        </is>
      </c>
      <c r="H2716" s="10" t="inlineStr">
        <is>
          <t>発</t>
        </is>
      </c>
      <c r="J2716" s="10" t="inlineStr">
        <is>
          <t>営業</t>
        </is>
      </c>
      <c r="L2716" t="inlineStr">
        <is>
          <t>18:16:40</t>
        </is>
      </c>
      <c r="M2716" t="inlineStr">
        <is>
          <t>18:16:50</t>
        </is>
      </c>
    </row>
    <row r="2717" ht="15" customHeight="1" s="37">
      <c r="A2717" t="n">
        <v>21</v>
      </c>
      <c r="B2717" s="10" t="inlineStr">
        <is>
          <t>休日</t>
        </is>
      </c>
      <c r="C2717" s="10" t="inlineStr">
        <is>
          <t>北野線</t>
        </is>
      </c>
      <c r="D2717" s="10" t="inlineStr">
        <is>
          <t>下り</t>
        </is>
      </c>
      <c r="E2717" t="inlineStr">
        <is>
          <t>1853</t>
        </is>
      </c>
      <c r="F2717" t="inlineStr">
        <is>
          <t>0453</t>
        </is>
      </c>
      <c r="G2717" s="10" t="inlineStr">
        <is>
          <t>御室仁和寺</t>
        </is>
      </c>
      <c r="H2717" s="10" t="inlineStr">
        <is>
          <t>発</t>
        </is>
      </c>
      <c r="J2717" s="10" t="inlineStr">
        <is>
          <t>営業</t>
        </is>
      </c>
      <c r="L2717" t="inlineStr">
        <is>
          <t>18:17:50</t>
        </is>
      </c>
      <c r="M2717" t="inlineStr">
        <is>
          <t>18:18:05</t>
        </is>
      </c>
    </row>
    <row r="2718" ht="15" customHeight="1" s="37">
      <c r="A2718" t="n">
        <v>21</v>
      </c>
      <c r="B2718" s="10" t="inlineStr">
        <is>
          <t>休日</t>
        </is>
      </c>
      <c r="C2718" s="10" t="inlineStr">
        <is>
          <t>北野線</t>
        </is>
      </c>
      <c r="D2718" s="10" t="inlineStr">
        <is>
          <t>下り</t>
        </is>
      </c>
      <c r="E2718" t="inlineStr">
        <is>
          <t>1853</t>
        </is>
      </c>
      <c r="F2718" t="inlineStr">
        <is>
          <t>0453</t>
        </is>
      </c>
      <c r="G2718" s="10" t="inlineStr">
        <is>
          <t>宇多野</t>
        </is>
      </c>
      <c r="H2718" s="10" t="inlineStr">
        <is>
          <t>発</t>
        </is>
      </c>
      <c r="J2718" s="10" t="inlineStr">
        <is>
          <t>営業</t>
        </is>
      </c>
      <c r="L2718" t="inlineStr">
        <is>
          <t>18:19:05</t>
        </is>
      </c>
      <c r="M2718" t="inlineStr">
        <is>
          <t>18:19:15</t>
        </is>
      </c>
    </row>
    <row r="2719" ht="15" customHeight="1" s="37">
      <c r="A2719" t="n">
        <v>21</v>
      </c>
      <c r="B2719" s="10" t="inlineStr">
        <is>
          <t>休日</t>
        </is>
      </c>
      <c r="C2719" s="10" t="inlineStr">
        <is>
          <t>北野線</t>
        </is>
      </c>
      <c r="D2719" s="10" t="inlineStr">
        <is>
          <t>下り</t>
        </is>
      </c>
      <c r="E2719" t="inlineStr">
        <is>
          <t>1853</t>
        </is>
      </c>
      <c r="F2719" t="inlineStr">
        <is>
          <t>0453</t>
        </is>
      </c>
      <c r="G2719" s="10" t="inlineStr">
        <is>
          <t>鳴滝</t>
        </is>
      </c>
      <c r="H2719" s="10" t="inlineStr">
        <is>
          <t>発</t>
        </is>
      </c>
      <c r="J2719" s="10" t="inlineStr">
        <is>
          <t>営業</t>
        </is>
      </c>
      <c r="L2719" t="inlineStr">
        <is>
          <t>18:20:35</t>
        </is>
      </c>
      <c r="M2719" t="inlineStr">
        <is>
          <t>18:20:45</t>
        </is>
      </c>
    </row>
    <row r="2720" ht="15" customHeight="1" s="37">
      <c r="A2720" t="n">
        <v>21</v>
      </c>
      <c r="B2720" s="10" t="inlineStr">
        <is>
          <t>休日</t>
        </is>
      </c>
      <c r="C2720" s="10" t="inlineStr">
        <is>
          <t>北野線</t>
        </is>
      </c>
      <c r="D2720" s="10" t="inlineStr">
        <is>
          <t>下り</t>
        </is>
      </c>
      <c r="E2720" t="inlineStr">
        <is>
          <t>1853</t>
        </is>
      </c>
      <c r="F2720" t="inlineStr">
        <is>
          <t>0453</t>
        </is>
      </c>
      <c r="G2720" s="10" t="inlineStr">
        <is>
          <t>常盤</t>
        </is>
      </c>
      <c r="H2720" s="10" t="inlineStr">
        <is>
          <t>発</t>
        </is>
      </c>
      <c r="J2720" s="10" t="inlineStr">
        <is>
          <t>営業</t>
        </is>
      </c>
      <c r="L2720" t="inlineStr">
        <is>
          <t>18:21:35</t>
        </is>
      </c>
      <c r="M2720" t="inlineStr">
        <is>
          <t>18:21:55</t>
        </is>
      </c>
    </row>
    <row r="2721" ht="15" customHeight="1" s="37">
      <c r="A2721" t="n">
        <v>21</v>
      </c>
      <c r="B2721" s="10" t="inlineStr">
        <is>
          <t>休日</t>
        </is>
      </c>
      <c r="C2721" s="10" t="inlineStr">
        <is>
          <t>北野線</t>
        </is>
      </c>
      <c r="D2721" s="10" t="inlineStr">
        <is>
          <t>下り</t>
        </is>
      </c>
      <c r="E2721" t="inlineStr">
        <is>
          <t>1853</t>
        </is>
      </c>
      <c r="F2721" t="inlineStr">
        <is>
          <t>0453</t>
        </is>
      </c>
      <c r="G2721" s="10" t="inlineStr">
        <is>
          <t>撮影所前</t>
        </is>
      </c>
      <c r="H2721" s="10" t="inlineStr">
        <is>
          <t>発</t>
        </is>
      </c>
      <c r="J2721" s="10" t="inlineStr">
        <is>
          <t>営業</t>
        </is>
      </c>
      <c r="L2721" t="inlineStr">
        <is>
          <t>18:23:15</t>
        </is>
      </c>
      <c r="M2721" t="inlineStr">
        <is>
          <t>18:23:30</t>
        </is>
      </c>
    </row>
    <row r="2722" ht="15" customHeight="1" s="37">
      <c r="A2722" t="n">
        <v>21</v>
      </c>
      <c r="B2722" s="10" t="inlineStr">
        <is>
          <t>休日</t>
        </is>
      </c>
      <c r="C2722" s="10" t="inlineStr">
        <is>
          <t>北野線</t>
        </is>
      </c>
      <c r="D2722" s="10" t="inlineStr">
        <is>
          <t>下り</t>
        </is>
      </c>
      <c r="E2722" t="inlineStr">
        <is>
          <t>1853</t>
        </is>
      </c>
      <c r="F2722" t="inlineStr">
        <is>
          <t>0453</t>
        </is>
      </c>
      <c r="G2722" s="10" t="inlineStr">
        <is>
          <t>帷子ノ辻</t>
        </is>
      </c>
      <c r="H2722" s="10" t="inlineStr">
        <is>
          <t>着</t>
        </is>
      </c>
      <c r="J2722" s="10" t="inlineStr">
        <is>
          <t>営業</t>
        </is>
      </c>
      <c r="L2722" t="inlineStr">
        <is>
          <t>18:24:25</t>
        </is>
      </c>
      <c r="Q2722" t="inlineStr">
        <is>
          <t>3</t>
        </is>
      </c>
    </row>
    <row r="2723" ht="15" customHeight="1" s="37">
      <c r="A2723" t="n">
        <v>21</v>
      </c>
      <c r="B2723" s="10" t="inlineStr">
        <is>
          <t>休日</t>
        </is>
      </c>
      <c r="C2723" s="10" t="inlineStr">
        <is>
          <t>北野線</t>
        </is>
      </c>
      <c r="D2723" s="10" t="inlineStr">
        <is>
          <t>上り</t>
        </is>
      </c>
      <c r="E2723" t="inlineStr">
        <is>
          <t>1858</t>
        </is>
      </c>
      <c r="F2723" t="inlineStr">
        <is>
          <t>0304</t>
        </is>
      </c>
      <c r="G2723" s="10" t="inlineStr">
        <is>
          <t>帷子ノ辻</t>
        </is>
      </c>
      <c r="H2723" s="10" t="inlineStr">
        <is>
          <t>発</t>
        </is>
      </c>
      <c r="J2723" s="10" t="inlineStr">
        <is>
          <t>営業</t>
        </is>
      </c>
      <c r="M2723" t="inlineStr">
        <is>
          <t>18:36:25</t>
        </is>
      </c>
      <c r="Q2723" t="inlineStr">
        <is>
          <t>3</t>
        </is>
      </c>
    </row>
    <row r="2724" ht="15" customHeight="1" s="37">
      <c r="A2724" t="n">
        <v>21</v>
      </c>
      <c r="B2724" s="10" t="inlineStr">
        <is>
          <t>休日</t>
        </is>
      </c>
      <c r="C2724" s="10" t="inlineStr">
        <is>
          <t>北野線</t>
        </is>
      </c>
      <c r="D2724" s="10" t="inlineStr">
        <is>
          <t>上り</t>
        </is>
      </c>
      <c r="E2724" t="inlineStr">
        <is>
          <t>1858</t>
        </is>
      </c>
      <c r="F2724" t="inlineStr">
        <is>
          <t>0304</t>
        </is>
      </c>
      <c r="G2724" s="10" t="inlineStr">
        <is>
          <t>撮影所前</t>
        </is>
      </c>
      <c r="H2724" s="10" t="inlineStr">
        <is>
          <t>発</t>
        </is>
      </c>
      <c r="J2724" s="10" t="inlineStr">
        <is>
          <t>営業</t>
        </is>
      </c>
      <c r="L2724" t="inlineStr">
        <is>
          <t>18:37:25</t>
        </is>
      </c>
      <c r="M2724" t="inlineStr">
        <is>
          <t>18:37:40</t>
        </is>
      </c>
    </row>
    <row r="2725" ht="15" customHeight="1" s="37">
      <c r="A2725" t="n">
        <v>21</v>
      </c>
      <c r="B2725" s="10" t="inlineStr">
        <is>
          <t>休日</t>
        </is>
      </c>
      <c r="C2725" s="10" t="inlineStr">
        <is>
          <t>北野線</t>
        </is>
      </c>
      <c r="D2725" s="10" t="inlineStr">
        <is>
          <t>上り</t>
        </is>
      </c>
      <c r="E2725" t="inlineStr">
        <is>
          <t>1858</t>
        </is>
      </c>
      <c r="F2725" t="inlineStr">
        <is>
          <t>0304</t>
        </is>
      </c>
      <c r="G2725" s="10" t="inlineStr">
        <is>
          <t>常盤</t>
        </is>
      </c>
      <c r="H2725" s="10" t="inlineStr">
        <is>
          <t>発</t>
        </is>
      </c>
      <c r="J2725" s="10" t="inlineStr">
        <is>
          <t>営業</t>
        </is>
      </c>
      <c r="L2725" t="inlineStr">
        <is>
          <t>18:39:00</t>
        </is>
      </c>
      <c r="M2725" t="inlineStr">
        <is>
          <t>18:39:20</t>
        </is>
      </c>
    </row>
    <row r="2726" ht="15" customHeight="1" s="37">
      <c r="A2726" t="n">
        <v>21</v>
      </c>
      <c r="B2726" s="10" t="inlineStr">
        <is>
          <t>休日</t>
        </is>
      </c>
      <c r="C2726" s="10" t="inlineStr">
        <is>
          <t>北野線</t>
        </is>
      </c>
      <c r="D2726" s="10" t="inlineStr">
        <is>
          <t>上り</t>
        </is>
      </c>
      <c r="E2726" t="inlineStr">
        <is>
          <t>1858</t>
        </is>
      </c>
      <c r="F2726" t="inlineStr">
        <is>
          <t>0304</t>
        </is>
      </c>
      <c r="G2726" s="10" t="inlineStr">
        <is>
          <t>鳴滝</t>
        </is>
      </c>
      <c r="H2726" s="10" t="inlineStr">
        <is>
          <t>発</t>
        </is>
      </c>
      <c r="J2726" s="10" t="inlineStr">
        <is>
          <t>営業</t>
        </is>
      </c>
      <c r="L2726" t="inlineStr">
        <is>
          <t>18:40:20</t>
        </is>
      </c>
      <c r="M2726" t="inlineStr">
        <is>
          <t>18:40:40</t>
        </is>
      </c>
    </row>
    <row r="2727" ht="15" customHeight="1" s="37">
      <c r="A2727" t="n">
        <v>21</v>
      </c>
      <c r="B2727" s="10" t="inlineStr">
        <is>
          <t>休日</t>
        </is>
      </c>
      <c r="C2727" s="10" t="inlineStr">
        <is>
          <t>北野線</t>
        </is>
      </c>
      <c r="D2727" s="10" t="inlineStr">
        <is>
          <t>上り</t>
        </is>
      </c>
      <c r="E2727" t="inlineStr">
        <is>
          <t>1858</t>
        </is>
      </c>
      <c r="F2727" t="inlineStr">
        <is>
          <t>0304</t>
        </is>
      </c>
      <c r="G2727" s="10" t="inlineStr">
        <is>
          <t>宇多野</t>
        </is>
      </c>
      <c r="H2727" s="10" t="inlineStr">
        <is>
          <t>発</t>
        </is>
      </c>
      <c r="J2727" s="10" t="inlineStr">
        <is>
          <t>営業</t>
        </is>
      </c>
      <c r="L2727" t="inlineStr">
        <is>
          <t>18:42:00</t>
        </is>
      </c>
      <c r="M2727" t="inlineStr">
        <is>
          <t>18:42:15</t>
        </is>
      </c>
    </row>
    <row r="2728" ht="15" customHeight="1" s="37">
      <c r="A2728" t="n">
        <v>21</v>
      </c>
      <c r="B2728" s="10" t="inlineStr">
        <is>
          <t>休日</t>
        </is>
      </c>
      <c r="C2728" s="10" t="inlineStr">
        <is>
          <t>北野線</t>
        </is>
      </c>
      <c r="D2728" s="10" t="inlineStr">
        <is>
          <t>上り</t>
        </is>
      </c>
      <c r="E2728" t="inlineStr">
        <is>
          <t>1858</t>
        </is>
      </c>
      <c r="F2728" t="inlineStr">
        <is>
          <t>0304</t>
        </is>
      </c>
      <c r="G2728" s="10" t="inlineStr">
        <is>
          <t>御室仁和寺</t>
        </is>
      </c>
      <c r="H2728" s="10" t="inlineStr">
        <is>
          <t>発</t>
        </is>
      </c>
      <c r="J2728" s="10" t="inlineStr">
        <is>
          <t>営業</t>
        </is>
      </c>
      <c r="L2728" t="inlineStr">
        <is>
          <t>18:43:15</t>
        </is>
      </c>
      <c r="M2728" t="inlineStr">
        <is>
          <t>18:43:35</t>
        </is>
      </c>
    </row>
    <row r="2729" ht="15" customHeight="1" s="37">
      <c r="A2729" t="n">
        <v>21</v>
      </c>
      <c r="B2729" s="10" t="inlineStr">
        <is>
          <t>休日</t>
        </is>
      </c>
      <c r="C2729" s="10" t="inlineStr">
        <is>
          <t>北野線</t>
        </is>
      </c>
      <c r="D2729" s="10" t="inlineStr">
        <is>
          <t>上り</t>
        </is>
      </c>
      <c r="E2729" t="inlineStr">
        <is>
          <t>1858</t>
        </is>
      </c>
      <c r="F2729" t="inlineStr">
        <is>
          <t>0304</t>
        </is>
      </c>
      <c r="G2729" s="10" t="inlineStr">
        <is>
          <t>妙心寺</t>
        </is>
      </c>
      <c r="H2729" s="10" t="inlineStr">
        <is>
          <t>発</t>
        </is>
      </c>
      <c r="J2729" s="10" t="inlineStr">
        <is>
          <t>営業</t>
        </is>
      </c>
      <c r="L2729" t="inlineStr">
        <is>
          <t>18:44:35</t>
        </is>
      </c>
      <c r="M2729" t="inlineStr">
        <is>
          <t>18:44:50</t>
        </is>
      </c>
    </row>
    <row r="2730" ht="15" customHeight="1" s="37">
      <c r="A2730" t="n">
        <v>21</v>
      </c>
      <c r="B2730" s="10" t="inlineStr">
        <is>
          <t>休日</t>
        </is>
      </c>
      <c r="C2730" s="10" t="inlineStr">
        <is>
          <t>北野線</t>
        </is>
      </c>
      <c r="D2730" s="10" t="inlineStr">
        <is>
          <t>上り</t>
        </is>
      </c>
      <c r="E2730" t="inlineStr">
        <is>
          <t>1858</t>
        </is>
      </c>
      <c r="F2730" t="inlineStr">
        <is>
          <t>0304</t>
        </is>
      </c>
      <c r="G2730" s="10" t="inlineStr">
        <is>
          <t>龍安寺</t>
        </is>
      </c>
      <c r="H2730" s="10" t="inlineStr">
        <is>
          <t>発</t>
        </is>
      </c>
      <c r="J2730" s="10" t="inlineStr">
        <is>
          <t>営業</t>
        </is>
      </c>
      <c r="L2730" t="inlineStr">
        <is>
          <t>18:45:45</t>
        </is>
      </c>
      <c r="M2730" t="inlineStr">
        <is>
          <t>18:45:55</t>
        </is>
      </c>
    </row>
    <row r="2731" ht="15" customHeight="1" s="37">
      <c r="A2731" t="n">
        <v>21</v>
      </c>
      <c r="B2731" s="10" t="inlineStr">
        <is>
          <t>休日</t>
        </is>
      </c>
      <c r="C2731" s="10" t="inlineStr">
        <is>
          <t>北野線</t>
        </is>
      </c>
      <c r="D2731" s="10" t="inlineStr">
        <is>
          <t>上り</t>
        </is>
      </c>
      <c r="E2731" t="inlineStr">
        <is>
          <t>1858</t>
        </is>
      </c>
      <c r="F2731" t="inlineStr">
        <is>
          <t>0304</t>
        </is>
      </c>
      <c r="G2731" s="10" t="inlineStr">
        <is>
          <t>等持院</t>
        </is>
      </c>
      <c r="H2731" s="10" t="inlineStr">
        <is>
          <t>発</t>
        </is>
      </c>
      <c r="J2731" s="10" t="inlineStr">
        <is>
          <t>営業</t>
        </is>
      </c>
      <c r="L2731" t="inlineStr">
        <is>
          <t>18:46:35</t>
        </is>
      </c>
      <c r="M2731" t="inlineStr">
        <is>
          <t>18:46:55</t>
        </is>
      </c>
    </row>
    <row r="2732" ht="15" customHeight="1" s="37">
      <c r="A2732" t="n">
        <v>21</v>
      </c>
      <c r="B2732" s="10" t="inlineStr">
        <is>
          <t>休日</t>
        </is>
      </c>
      <c r="C2732" s="10" t="inlineStr">
        <is>
          <t>北野線</t>
        </is>
      </c>
      <c r="D2732" s="10" t="inlineStr">
        <is>
          <t>上り</t>
        </is>
      </c>
      <c r="E2732" t="inlineStr">
        <is>
          <t>1858</t>
        </is>
      </c>
      <c r="F2732" t="inlineStr">
        <is>
          <t>0304</t>
        </is>
      </c>
      <c r="G2732" s="10" t="inlineStr">
        <is>
          <t>北野白梅町</t>
        </is>
      </c>
      <c r="H2732" s="10" t="inlineStr">
        <is>
          <t>着</t>
        </is>
      </c>
      <c r="J2732" s="10" t="inlineStr">
        <is>
          <t>営業</t>
        </is>
      </c>
      <c r="L2732" t="inlineStr">
        <is>
          <t>18:48:15</t>
        </is>
      </c>
      <c r="N2732" t="inlineStr">
        <is>
          <t>○</t>
        </is>
      </c>
      <c r="Q2732" t="inlineStr">
        <is>
          <t>1</t>
        </is>
      </c>
    </row>
    <row r="2733" ht="15" customHeight="1" s="37">
      <c r="A2733" t="n">
        <v>21</v>
      </c>
      <c r="B2733" s="10" t="inlineStr">
        <is>
          <t>休日</t>
        </is>
      </c>
      <c r="C2733" s="10" t="inlineStr">
        <is>
          <t>北野線</t>
        </is>
      </c>
      <c r="D2733" s="10" t="inlineStr">
        <is>
          <t>下り</t>
        </is>
      </c>
      <c r="E2733" t="inlineStr">
        <is>
          <t>1861</t>
        </is>
      </c>
      <c r="F2733" t="inlineStr">
        <is>
          <t>0453</t>
        </is>
      </c>
      <c r="G2733" s="10" t="inlineStr">
        <is>
          <t>北野白梅町</t>
        </is>
      </c>
      <c r="H2733" s="10" t="inlineStr">
        <is>
          <t>発</t>
        </is>
      </c>
      <c r="J2733" s="10" t="inlineStr">
        <is>
          <t>営業</t>
        </is>
      </c>
      <c r="M2733" t="inlineStr">
        <is>
          <t>18:53:00</t>
        </is>
      </c>
      <c r="Q2733" t="inlineStr">
        <is>
          <t>1</t>
        </is>
      </c>
    </row>
    <row r="2734" ht="15" customHeight="1" s="37">
      <c r="A2734" t="n">
        <v>21</v>
      </c>
      <c r="B2734" s="10" t="inlineStr">
        <is>
          <t>休日</t>
        </is>
      </c>
      <c r="C2734" s="10" t="inlineStr">
        <is>
          <t>北野線</t>
        </is>
      </c>
      <c r="D2734" s="10" t="inlineStr">
        <is>
          <t>下り</t>
        </is>
      </c>
      <c r="E2734" t="inlineStr">
        <is>
          <t>1861</t>
        </is>
      </c>
      <c r="F2734" t="inlineStr">
        <is>
          <t>0453</t>
        </is>
      </c>
      <c r="G2734" s="10" t="inlineStr">
        <is>
          <t>等持院</t>
        </is>
      </c>
      <c r="H2734" s="10" t="inlineStr">
        <is>
          <t>発</t>
        </is>
      </c>
      <c r="J2734" s="10" t="inlineStr">
        <is>
          <t>営業</t>
        </is>
      </c>
      <c r="L2734" t="inlineStr">
        <is>
          <t>18:54:25</t>
        </is>
      </c>
      <c r="M2734" t="inlineStr">
        <is>
          <t>18:54:35</t>
        </is>
      </c>
    </row>
    <row r="2735" ht="15" customHeight="1" s="37">
      <c r="A2735" t="n">
        <v>21</v>
      </c>
      <c r="B2735" s="10" t="inlineStr">
        <is>
          <t>休日</t>
        </is>
      </c>
      <c r="C2735" s="10" t="inlineStr">
        <is>
          <t>北野線</t>
        </is>
      </c>
      <c r="D2735" s="10" t="inlineStr">
        <is>
          <t>下り</t>
        </is>
      </c>
      <c r="E2735" t="inlineStr">
        <is>
          <t>1861</t>
        </is>
      </c>
      <c r="F2735" t="inlineStr">
        <is>
          <t>0453</t>
        </is>
      </c>
      <c r="G2735" s="10" t="inlineStr">
        <is>
          <t>龍安寺</t>
        </is>
      </c>
      <c r="H2735" s="10" t="inlineStr">
        <is>
          <t>発</t>
        </is>
      </c>
      <c r="J2735" s="10" t="inlineStr">
        <is>
          <t>営業</t>
        </is>
      </c>
      <c r="L2735" t="inlineStr">
        <is>
          <t>18:55:25</t>
        </is>
      </c>
      <c r="M2735" t="inlineStr">
        <is>
          <t>18:55:50</t>
        </is>
      </c>
    </row>
    <row r="2736" ht="15" customHeight="1" s="37">
      <c r="A2736" t="n">
        <v>21</v>
      </c>
      <c r="B2736" s="10" t="inlineStr">
        <is>
          <t>休日</t>
        </is>
      </c>
      <c r="C2736" s="10" t="inlineStr">
        <is>
          <t>北野線</t>
        </is>
      </c>
      <c r="D2736" s="10" t="inlineStr">
        <is>
          <t>下り</t>
        </is>
      </c>
      <c r="E2736" t="inlineStr">
        <is>
          <t>1861</t>
        </is>
      </c>
      <c r="F2736" t="inlineStr">
        <is>
          <t>0453</t>
        </is>
      </c>
      <c r="G2736" s="10" t="inlineStr">
        <is>
          <t>妙心寺</t>
        </is>
      </c>
      <c r="H2736" s="10" t="inlineStr">
        <is>
          <t>発</t>
        </is>
      </c>
      <c r="J2736" s="10" t="inlineStr">
        <is>
          <t>営業</t>
        </is>
      </c>
      <c r="L2736" t="inlineStr">
        <is>
          <t>18:56:40</t>
        </is>
      </c>
      <c r="M2736" t="inlineStr">
        <is>
          <t>18:56:50</t>
        </is>
      </c>
    </row>
    <row r="2737" ht="15" customHeight="1" s="37">
      <c r="A2737" t="n">
        <v>21</v>
      </c>
      <c r="B2737" s="10" t="inlineStr">
        <is>
          <t>休日</t>
        </is>
      </c>
      <c r="C2737" s="10" t="inlineStr">
        <is>
          <t>北野線</t>
        </is>
      </c>
      <c r="D2737" s="10" t="inlineStr">
        <is>
          <t>下り</t>
        </is>
      </c>
      <c r="E2737" t="inlineStr">
        <is>
          <t>1861</t>
        </is>
      </c>
      <c r="F2737" t="inlineStr">
        <is>
          <t>0453</t>
        </is>
      </c>
      <c r="G2737" s="10" t="inlineStr">
        <is>
          <t>御室仁和寺</t>
        </is>
      </c>
      <c r="H2737" s="10" t="inlineStr">
        <is>
          <t>発</t>
        </is>
      </c>
      <c r="J2737" s="10" t="inlineStr">
        <is>
          <t>営業</t>
        </is>
      </c>
      <c r="L2737" t="inlineStr">
        <is>
          <t>18:57:50</t>
        </is>
      </c>
      <c r="M2737" t="inlineStr">
        <is>
          <t>18:58:05</t>
        </is>
      </c>
    </row>
    <row r="2738" ht="15" customHeight="1" s="37">
      <c r="A2738" t="n">
        <v>21</v>
      </c>
      <c r="B2738" s="10" t="inlineStr">
        <is>
          <t>休日</t>
        </is>
      </c>
      <c r="C2738" s="10" t="inlineStr">
        <is>
          <t>北野線</t>
        </is>
      </c>
      <c r="D2738" s="10" t="inlineStr">
        <is>
          <t>下り</t>
        </is>
      </c>
      <c r="E2738" t="inlineStr">
        <is>
          <t>1861</t>
        </is>
      </c>
      <c r="F2738" t="inlineStr">
        <is>
          <t>0453</t>
        </is>
      </c>
      <c r="G2738" s="10" t="inlineStr">
        <is>
          <t>宇多野</t>
        </is>
      </c>
      <c r="H2738" s="10" t="inlineStr">
        <is>
          <t>発</t>
        </is>
      </c>
      <c r="J2738" s="10" t="inlineStr">
        <is>
          <t>営業</t>
        </is>
      </c>
      <c r="L2738" t="inlineStr">
        <is>
          <t>18:59:05</t>
        </is>
      </c>
      <c r="M2738" t="inlineStr">
        <is>
          <t>18:59:15</t>
        </is>
      </c>
    </row>
    <row r="2739" ht="15" customHeight="1" s="37">
      <c r="A2739" t="n">
        <v>21</v>
      </c>
      <c r="B2739" s="10" t="inlineStr">
        <is>
          <t>休日</t>
        </is>
      </c>
      <c r="C2739" s="10" t="inlineStr">
        <is>
          <t>北野線</t>
        </is>
      </c>
      <c r="D2739" s="10" t="inlineStr">
        <is>
          <t>下り</t>
        </is>
      </c>
      <c r="E2739" t="inlineStr">
        <is>
          <t>1861</t>
        </is>
      </c>
      <c r="F2739" t="inlineStr">
        <is>
          <t>0453</t>
        </is>
      </c>
      <c r="G2739" s="10" t="inlineStr">
        <is>
          <t>鳴滝</t>
        </is>
      </c>
      <c r="H2739" s="10" t="inlineStr">
        <is>
          <t>発</t>
        </is>
      </c>
      <c r="J2739" s="10" t="inlineStr">
        <is>
          <t>営業</t>
        </is>
      </c>
      <c r="L2739" t="inlineStr">
        <is>
          <t>19:00:35</t>
        </is>
      </c>
      <c r="M2739" t="inlineStr">
        <is>
          <t>19:00:45</t>
        </is>
      </c>
    </row>
    <row r="2740" ht="15" customHeight="1" s="37">
      <c r="A2740" t="n">
        <v>21</v>
      </c>
      <c r="B2740" s="10" t="inlineStr">
        <is>
          <t>休日</t>
        </is>
      </c>
      <c r="C2740" s="10" t="inlineStr">
        <is>
          <t>北野線</t>
        </is>
      </c>
      <c r="D2740" s="10" t="inlineStr">
        <is>
          <t>下り</t>
        </is>
      </c>
      <c r="E2740" t="inlineStr">
        <is>
          <t>1861</t>
        </is>
      </c>
      <c r="F2740" t="inlineStr">
        <is>
          <t>0453</t>
        </is>
      </c>
      <c r="G2740" s="10" t="inlineStr">
        <is>
          <t>常盤</t>
        </is>
      </c>
      <c r="H2740" s="10" t="inlineStr">
        <is>
          <t>発</t>
        </is>
      </c>
      <c r="J2740" s="10" t="inlineStr">
        <is>
          <t>営業</t>
        </is>
      </c>
      <c r="L2740" t="inlineStr">
        <is>
          <t>19:01:35</t>
        </is>
      </c>
      <c r="M2740" t="inlineStr">
        <is>
          <t>19:01:55</t>
        </is>
      </c>
    </row>
    <row r="2741" ht="15" customHeight="1" s="37">
      <c r="A2741" t="n">
        <v>21</v>
      </c>
      <c r="B2741" s="10" t="inlineStr">
        <is>
          <t>休日</t>
        </is>
      </c>
      <c r="C2741" s="10" t="inlineStr">
        <is>
          <t>北野線</t>
        </is>
      </c>
      <c r="D2741" s="10" t="inlineStr">
        <is>
          <t>下り</t>
        </is>
      </c>
      <c r="E2741" t="inlineStr">
        <is>
          <t>1861</t>
        </is>
      </c>
      <c r="F2741" t="inlineStr">
        <is>
          <t>0453</t>
        </is>
      </c>
      <c r="G2741" s="10" t="inlineStr">
        <is>
          <t>撮影所前</t>
        </is>
      </c>
      <c r="H2741" s="10" t="inlineStr">
        <is>
          <t>発</t>
        </is>
      </c>
      <c r="J2741" s="10" t="inlineStr">
        <is>
          <t>営業</t>
        </is>
      </c>
      <c r="L2741" t="inlineStr">
        <is>
          <t>19:03:15</t>
        </is>
      </c>
      <c r="M2741" t="inlineStr">
        <is>
          <t>19:03:30</t>
        </is>
      </c>
    </row>
    <row r="2742" ht="15" customHeight="1" s="37">
      <c r="A2742" t="n">
        <v>21</v>
      </c>
      <c r="B2742" s="10" t="inlineStr">
        <is>
          <t>休日</t>
        </is>
      </c>
      <c r="C2742" s="10" t="inlineStr">
        <is>
          <t>北野線</t>
        </is>
      </c>
      <c r="D2742" s="10" t="inlineStr">
        <is>
          <t>下り</t>
        </is>
      </c>
      <c r="E2742" t="inlineStr">
        <is>
          <t>1861</t>
        </is>
      </c>
      <c r="F2742" t="inlineStr">
        <is>
          <t>0453</t>
        </is>
      </c>
      <c r="G2742" s="10" t="inlineStr">
        <is>
          <t>帷子ノ辻</t>
        </is>
      </c>
      <c r="H2742" s="10" t="inlineStr">
        <is>
          <t>着</t>
        </is>
      </c>
      <c r="J2742" s="10" t="inlineStr">
        <is>
          <t>営業</t>
        </is>
      </c>
      <c r="L2742" t="inlineStr">
        <is>
          <t>19:04:25</t>
        </is>
      </c>
      <c r="Q2742" t="inlineStr">
        <is>
          <t>3</t>
        </is>
      </c>
    </row>
    <row r="2743" ht="15" customHeight="1" s="37">
      <c r="A2743" t="n">
        <v>21</v>
      </c>
      <c r="B2743" s="10" t="inlineStr">
        <is>
          <t>休日</t>
        </is>
      </c>
      <c r="C2743" s="10" t="inlineStr">
        <is>
          <t>北野線</t>
        </is>
      </c>
      <c r="D2743" s="10" t="inlineStr">
        <is>
          <t>上り</t>
        </is>
      </c>
      <c r="E2743" t="inlineStr">
        <is>
          <t>1954</t>
        </is>
      </c>
      <c r="F2743" t="inlineStr">
        <is>
          <t>0304</t>
        </is>
      </c>
      <c r="G2743" s="10" t="inlineStr">
        <is>
          <t>帷子ノ辻</t>
        </is>
      </c>
      <c r="H2743" s="10" t="inlineStr">
        <is>
          <t>発</t>
        </is>
      </c>
      <c r="J2743" s="10" t="inlineStr">
        <is>
          <t>営業</t>
        </is>
      </c>
      <c r="M2743" t="inlineStr">
        <is>
          <t>19:16:25</t>
        </is>
      </c>
      <c r="Q2743" t="inlineStr">
        <is>
          <t>3</t>
        </is>
      </c>
    </row>
    <row r="2744" ht="15" customHeight="1" s="37">
      <c r="A2744" t="n">
        <v>21</v>
      </c>
      <c r="B2744" s="10" t="inlineStr">
        <is>
          <t>休日</t>
        </is>
      </c>
      <c r="C2744" s="10" t="inlineStr">
        <is>
          <t>北野線</t>
        </is>
      </c>
      <c r="D2744" s="10" t="inlineStr">
        <is>
          <t>上り</t>
        </is>
      </c>
      <c r="E2744" t="inlineStr">
        <is>
          <t>1954</t>
        </is>
      </c>
      <c r="F2744" t="inlineStr">
        <is>
          <t>0304</t>
        </is>
      </c>
      <c r="G2744" s="10" t="inlineStr">
        <is>
          <t>撮影所前</t>
        </is>
      </c>
      <c r="H2744" s="10" t="inlineStr">
        <is>
          <t>発</t>
        </is>
      </c>
      <c r="J2744" s="10" t="inlineStr">
        <is>
          <t>営業</t>
        </is>
      </c>
      <c r="L2744" t="inlineStr">
        <is>
          <t>19:17:25</t>
        </is>
      </c>
      <c r="M2744" t="inlineStr">
        <is>
          <t>19:17:40</t>
        </is>
      </c>
    </row>
    <row r="2745" ht="15" customHeight="1" s="37">
      <c r="A2745" t="n">
        <v>21</v>
      </c>
      <c r="B2745" s="10" t="inlineStr">
        <is>
          <t>休日</t>
        </is>
      </c>
      <c r="C2745" s="10" t="inlineStr">
        <is>
          <t>北野線</t>
        </is>
      </c>
      <c r="D2745" s="10" t="inlineStr">
        <is>
          <t>上り</t>
        </is>
      </c>
      <c r="E2745" t="inlineStr">
        <is>
          <t>1954</t>
        </is>
      </c>
      <c r="F2745" t="inlineStr">
        <is>
          <t>0304</t>
        </is>
      </c>
      <c r="G2745" s="10" t="inlineStr">
        <is>
          <t>常盤</t>
        </is>
      </c>
      <c r="H2745" s="10" t="inlineStr">
        <is>
          <t>発</t>
        </is>
      </c>
      <c r="J2745" s="10" t="inlineStr">
        <is>
          <t>営業</t>
        </is>
      </c>
      <c r="L2745" t="inlineStr">
        <is>
          <t>19:19:00</t>
        </is>
      </c>
      <c r="M2745" t="inlineStr">
        <is>
          <t>19:19:20</t>
        </is>
      </c>
    </row>
    <row r="2746" ht="15" customHeight="1" s="37">
      <c r="A2746" t="n">
        <v>21</v>
      </c>
      <c r="B2746" s="10" t="inlineStr">
        <is>
          <t>休日</t>
        </is>
      </c>
      <c r="C2746" s="10" t="inlineStr">
        <is>
          <t>北野線</t>
        </is>
      </c>
      <c r="D2746" s="10" t="inlineStr">
        <is>
          <t>上り</t>
        </is>
      </c>
      <c r="E2746" t="inlineStr">
        <is>
          <t>1954</t>
        </is>
      </c>
      <c r="F2746" t="inlineStr">
        <is>
          <t>0304</t>
        </is>
      </c>
      <c r="G2746" s="10" t="inlineStr">
        <is>
          <t>鳴滝</t>
        </is>
      </c>
      <c r="H2746" s="10" t="inlineStr">
        <is>
          <t>発</t>
        </is>
      </c>
      <c r="J2746" s="10" t="inlineStr">
        <is>
          <t>営業</t>
        </is>
      </c>
      <c r="L2746" t="inlineStr">
        <is>
          <t>19:20:20</t>
        </is>
      </c>
      <c r="M2746" t="inlineStr">
        <is>
          <t>19:20:40</t>
        </is>
      </c>
    </row>
    <row r="2747" ht="15" customHeight="1" s="37">
      <c r="A2747" t="n">
        <v>21</v>
      </c>
      <c r="B2747" s="10" t="inlineStr">
        <is>
          <t>休日</t>
        </is>
      </c>
      <c r="C2747" s="10" t="inlineStr">
        <is>
          <t>北野線</t>
        </is>
      </c>
      <c r="D2747" s="10" t="inlineStr">
        <is>
          <t>上り</t>
        </is>
      </c>
      <c r="E2747" t="inlineStr">
        <is>
          <t>1954</t>
        </is>
      </c>
      <c r="F2747" t="inlineStr">
        <is>
          <t>0304</t>
        </is>
      </c>
      <c r="G2747" s="10" t="inlineStr">
        <is>
          <t>宇多野</t>
        </is>
      </c>
      <c r="H2747" s="10" t="inlineStr">
        <is>
          <t>発</t>
        </is>
      </c>
      <c r="J2747" s="10" t="inlineStr">
        <is>
          <t>営業</t>
        </is>
      </c>
      <c r="L2747" t="inlineStr">
        <is>
          <t>19:22:00</t>
        </is>
      </c>
      <c r="M2747" t="inlineStr">
        <is>
          <t>19:22:15</t>
        </is>
      </c>
    </row>
    <row r="2748" ht="15" customHeight="1" s="37">
      <c r="A2748" t="n">
        <v>21</v>
      </c>
      <c r="B2748" s="10" t="inlineStr">
        <is>
          <t>休日</t>
        </is>
      </c>
      <c r="C2748" s="10" t="inlineStr">
        <is>
          <t>北野線</t>
        </is>
      </c>
      <c r="D2748" s="10" t="inlineStr">
        <is>
          <t>上り</t>
        </is>
      </c>
      <c r="E2748" t="inlineStr">
        <is>
          <t>1954</t>
        </is>
      </c>
      <c r="F2748" t="inlineStr">
        <is>
          <t>0304</t>
        </is>
      </c>
      <c r="G2748" s="10" t="inlineStr">
        <is>
          <t>御室仁和寺</t>
        </is>
      </c>
      <c r="H2748" s="10" t="inlineStr">
        <is>
          <t>発</t>
        </is>
      </c>
      <c r="J2748" s="10" t="inlineStr">
        <is>
          <t>営業</t>
        </is>
      </c>
      <c r="L2748" t="inlineStr">
        <is>
          <t>19:23:15</t>
        </is>
      </c>
      <c r="M2748" t="inlineStr">
        <is>
          <t>19:23:35</t>
        </is>
      </c>
    </row>
    <row r="2749" ht="15" customHeight="1" s="37">
      <c r="A2749" t="n">
        <v>21</v>
      </c>
      <c r="B2749" s="10" t="inlineStr">
        <is>
          <t>休日</t>
        </is>
      </c>
      <c r="C2749" s="10" t="inlineStr">
        <is>
          <t>北野線</t>
        </is>
      </c>
      <c r="D2749" s="10" t="inlineStr">
        <is>
          <t>上り</t>
        </is>
      </c>
      <c r="E2749" t="inlineStr">
        <is>
          <t>1954</t>
        </is>
      </c>
      <c r="F2749" t="inlineStr">
        <is>
          <t>0304</t>
        </is>
      </c>
      <c r="G2749" s="10" t="inlineStr">
        <is>
          <t>妙心寺</t>
        </is>
      </c>
      <c r="H2749" s="10" t="inlineStr">
        <is>
          <t>発</t>
        </is>
      </c>
      <c r="J2749" s="10" t="inlineStr">
        <is>
          <t>営業</t>
        </is>
      </c>
      <c r="L2749" t="inlineStr">
        <is>
          <t>19:24:35</t>
        </is>
      </c>
      <c r="M2749" t="inlineStr">
        <is>
          <t>19:24:50</t>
        </is>
      </c>
    </row>
    <row r="2750" ht="15" customHeight="1" s="37">
      <c r="A2750" t="n">
        <v>21</v>
      </c>
      <c r="B2750" s="10" t="inlineStr">
        <is>
          <t>休日</t>
        </is>
      </c>
      <c r="C2750" s="10" t="inlineStr">
        <is>
          <t>北野線</t>
        </is>
      </c>
      <c r="D2750" s="10" t="inlineStr">
        <is>
          <t>上り</t>
        </is>
      </c>
      <c r="E2750" t="inlineStr">
        <is>
          <t>1954</t>
        </is>
      </c>
      <c r="F2750" t="inlineStr">
        <is>
          <t>0304</t>
        </is>
      </c>
      <c r="G2750" s="10" t="inlineStr">
        <is>
          <t>龍安寺</t>
        </is>
      </c>
      <c r="H2750" s="10" t="inlineStr">
        <is>
          <t>発</t>
        </is>
      </c>
      <c r="J2750" s="10" t="inlineStr">
        <is>
          <t>営業</t>
        </is>
      </c>
      <c r="L2750" t="inlineStr">
        <is>
          <t>19:25:45</t>
        </is>
      </c>
      <c r="M2750" t="inlineStr">
        <is>
          <t>19:25:55</t>
        </is>
      </c>
    </row>
    <row r="2751" ht="15" customHeight="1" s="37">
      <c r="A2751" t="n">
        <v>21</v>
      </c>
      <c r="B2751" s="10" t="inlineStr">
        <is>
          <t>休日</t>
        </is>
      </c>
      <c r="C2751" s="10" t="inlineStr">
        <is>
          <t>北野線</t>
        </is>
      </c>
      <c r="D2751" s="10" t="inlineStr">
        <is>
          <t>上り</t>
        </is>
      </c>
      <c r="E2751" t="inlineStr">
        <is>
          <t>1954</t>
        </is>
      </c>
      <c r="F2751" t="inlineStr">
        <is>
          <t>0304</t>
        </is>
      </c>
      <c r="G2751" s="10" t="inlineStr">
        <is>
          <t>等持院</t>
        </is>
      </c>
      <c r="H2751" s="10" t="inlineStr">
        <is>
          <t>発</t>
        </is>
      </c>
      <c r="J2751" s="10" t="inlineStr">
        <is>
          <t>営業</t>
        </is>
      </c>
      <c r="L2751" t="inlineStr">
        <is>
          <t>19:26:35</t>
        </is>
      </c>
      <c r="M2751" t="inlineStr">
        <is>
          <t>19:26:55</t>
        </is>
      </c>
    </row>
    <row r="2752" ht="15" customHeight="1" s="37">
      <c r="A2752" t="n">
        <v>21</v>
      </c>
      <c r="B2752" s="10" t="inlineStr">
        <is>
          <t>休日</t>
        </is>
      </c>
      <c r="C2752" s="10" t="inlineStr">
        <is>
          <t>北野線</t>
        </is>
      </c>
      <c r="D2752" s="10" t="inlineStr">
        <is>
          <t>上り</t>
        </is>
      </c>
      <c r="E2752" t="inlineStr">
        <is>
          <t>1954</t>
        </is>
      </c>
      <c r="F2752" t="inlineStr">
        <is>
          <t>0304</t>
        </is>
      </c>
      <c r="G2752" s="10" t="inlineStr">
        <is>
          <t>北野白梅町</t>
        </is>
      </c>
      <c r="H2752" s="10" t="inlineStr">
        <is>
          <t>着</t>
        </is>
      </c>
      <c r="J2752" s="10" t="inlineStr">
        <is>
          <t>営業</t>
        </is>
      </c>
      <c r="L2752" t="inlineStr">
        <is>
          <t>19:28:15</t>
        </is>
      </c>
      <c r="N2752" t="inlineStr">
        <is>
          <t>○</t>
        </is>
      </c>
      <c r="Q2752" t="inlineStr">
        <is>
          <t>1</t>
        </is>
      </c>
    </row>
    <row r="2753" ht="15" customHeight="1" s="37">
      <c r="A2753" t="n">
        <v>21</v>
      </c>
      <c r="B2753" s="10" t="inlineStr">
        <is>
          <t>休日</t>
        </is>
      </c>
      <c r="C2753" s="10" t="inlineStr">
        <is>
          <t>北野線</t>
        </is>
      </c>
      <c r="D2753" s="10" t="inlineStr">
        <is>
          <t>下り</t>
        </is>
      </c>
      <c r="E2753" t="inlineStr">
        <is>
          <t>1957</t>
        </is>
      </c>
      <c r="F2753" t="inlineStr">
        <is>
          <t>0453</t>
        </is>
      </c>
      <c r="G2753" s="10" t="inlineStr">
        <is>
          <t>北野白梅町</t>
        </is>
      </c>
      <c r="H2753" s="10" t="inlineStr">
        <is>
          <t>発</t>
        </is>
      </c>
      <c r="J2753" s="10" t="inlineStr">
        <is>
          <t>営業</t>
        </is>
      </c>
      <c r="M2753" t="inlineStr">
        <is>
          <t>19:33:00</t>
        </is>
      </c>
      <c r="Q2753" t="inlineStr">
        <is>
          <t>1</t>
        </is>
      </c>
    </row>
    <row r="2754" ht="15" customHeight="1" s="37">
      <c r="A2754" t="n">
        <v>21</v>
      </c>
      <c r="B2754" s="10" t="inlineStr">
        <is>
          <t>休日</t>
        </is>
      </c>
      <c r="C2754" s="10" t="inlineStr">
        <is>
          <t>北野線</t>
        </is>
      </c>
      <c r="D2754" s="10" t="inlineStr">
        <is>
          <t>下り</t>
        </is>
      </c>
      <c r="E2754" t="inlineStr">
        <is>
          <t>1957</t>
        </is>
      </c>
      <c r="F2754" t="inlineStr">
        <is>
          <t>0453</t>
        </is>
      </c>
      <c r="G2754" s="10" t="inlineStr">
        <is>
          <t>等持院</t>
        </is>
      </c>
      <c r="H2754" s="10" t="inlineStr">
        <is>
          <t>発</t>
        </is>
      </c>
      <c r="J2754" s="10" t="inlineStr">
        <is>
          <t>営業</t>
        </is>
      </c>
      <c r="L2754" t="inlineStr">
        <is>
          <t>19:34:25</t>
        </is>
      </c>
      <c r="M2754" t="inlineStr">
        <is>
          <t>19:34:35</t>
        </is>
      </c>
    </row>
    <row r="2755" ht="15" customHeight="1" s="37">
      <c r="A2755" t="n">
        <v>21</v>
      </c>
      <c r="B2755" s="10" t="inlineStr">
        <is>
          <t>休日</t>
        </is>
      </c>
      <c r="C2755" s="10" t="inlineStr">
        <is>
          <t>北野線</t>
        </is>
      </c>
      <c r="D2755" s="10" t="inlineStr">
        <is>
          <t>下り</t>
        </is>
      </c>
      <c r="E2755" t="inlineStr">
        <is>
          <t>1957</t>
        </is>
      </c>
      <c r="F2755" t="inlineStr">
        <is>
          <t>0453</t>
        </is>
      </c>
      <c r="G2755" s="10" t="inlineStr">
        <is>
          <t>龍安寺</t>
        </is>
      </c>
      <c r="H2755" s="10" t="inlineStr">
        <is>
          <t>発</t>
        </is>
      </c>
      <c r="J2755" s="10" t="inlineStr">
        <is>
          <t>営業</t>
        </is>
      </c>
      <c r="L2755" t="inlineStr">
        <is>
          <t>19:35:25</t>
        </is>
      </c>
      <c r="M2755" t="inlineStr">
        <is>
          <t>19:35:50</t>
        </is>
      </c>
    </row>
    <row r="2756" ht="15" customHeight="1" s="37">
      <c r="A2756" t="n">
        <v>21</v>
      </c>
      <c r="B2756" s="10" t="inlineStr">
        <is>
          <t>休日</t>
        </is>
      </c>
      <c r="C2756" s="10" t="inlineStr">
        <is>
          <t>北野線</t>
        </is>
      </c>
      <c r="D2756" s="10" t="inlineStr">
        <is>
          <t>下り</t>
        </is>
      </c>
      <c r="E2756" t="inlineStr">
        <is>
          <t>1957</t>
        </is>
      </c>
      <c r="F2756" t="inlineStr">
        <is>
          <t>0453</t>
        </is>
      </c>
      <c r="G2756" s="10" t="inlineStr">
        <is>
          <t>妙心寺</t>
        </is>
      </c>
      <c r="H2756" s="10" t="inlineStr">
        <is>
          <t>発</t>
        </is>
      </c>
      <c r="J2756" s="10" t="inlineStr">
        <is>
          <t>営業</t>
        </is>
      </c>
      <c r="L2756" t="inlineStr">
        <is>
          <t>19:36:40</t>
        </is>
      </c>
      <c r="M2756" t="inlineStr">
        <is>
          <t>19:36:50</t>
        </is>
      </c>
    </row>
    <row r="2757" ht="15" customHeight="1" s="37">
      <c r="A2757" t="n">
        <v>21</v>
      </c>
      <c r="B2757" s="10" t="inlineStr">
        <is>
          <t>休日</t>
        </is>
      </c>
      <c r="C2757" s="10" t="inlineStr">
        <is>
          <t>北野線</t>
        </is>
      </c>
      <c r="D2757" s="10" t="inlineStr">
        <is>
          <t>下り</t>
        </is>
      </c>
      <c r="E2757" t="inlineStr">
        <is>
          <t>1957</t>
        </is>
      </c>
      <c r="F2757" t="inlineStr">
        <is>
          <t>0453</t>
        </is>
      </c>
      <c r="G2757" s="10" t="inlineStr">
        <is>
          <t>御室仁和寺</t>
        </is>
      </c>
      <c r="H2757" s="10" t="inlineStr">
        <is>
          <t>発</t>
        </is>
      </c>
      <c r="J2757" s="10" t="inlineStr">
        <is>
          <t>営業</t>
        </is>
      </c>
      <c r="L2757" t="inlineStr">
        <is>
          <t>19:37:50</t>
        </is>
      </c>
      <c r="M2757" t="inlineStr">
        <is>
          <t>19:38:05</t>
        </is>
      </c>
    </row>
    <row r="2758" ht="15" customHeight="1" s="37">
      <c r="A2758" t="n">
        <v>21</v>
      </c>
      <c r="B2758" s="10" t="inlineStr">
        <is>
          <t>休日</t>
        </is>
      </c>
      <c r="C2758" s="10" t="inlineStr">
        <is>
          <t>北野線</t>
        </is>
      </c>
      <c r="D2758" s="10" t="inlineStr">
        <is>
          <t>下り</t>
        </is>
      </c>
      <c r="E2758" t="inlineStr">
        <is>
          <t>1957</t>
        </is>
      </c>
      <c r="F2758" t="inlineStr">
        <is>
          <t>0453</t>
        </is>
      </c>
      <c r="G2758" s="10" t="inlineStr">
        <is>
          <t>宇多野</t>
        </is>
      </c>
      <c r="H2758" s="10" t="inlineStr">
        <is>
          <t>発</t>
        </is>
      </c>
      <c r="J2758" s="10" t="inlineStr">
        <is>
          <t>営業</t>
        </is>
      </c>
      <c r="L2758" t="inlineStr">
        <is>
          <t>19:39:05</t>
        </is>
      </c>
      <c r="M2758" t="inlineStr">
        <is>
          <t>19:39:15</t>
        </is>
      </c>
    </row>
    <row r="2759" ht="15" customHeight="1" s="37">
      <c r="A2759" t="n">
        <v>21</v>
      </c>
      <c r="B2759" s="10" t="inlineStr">
        <is>
          <t>休日</t>
        </is>
      </c>
      <c r="C2759" s="10" t="inlineStr">
        <is>
          <t>北野線</t>
        </is>
      </c>
      <c r="D2759" s="10" t="inlineStr">
        <is>
          <t>下り</t>
        </is>
      </c>
      <c r="E2759" t="inlineStr">
        <is>
          <t>1957</t>
        </is>
      </c>
      <c r="F2759" t="inlineStr">
        <is>
          <t>0453</t>
        </is>
      </c>
      <c r="G2759" s="10" t="inlineStr">
        <is>
          <t>鳴滝</t>
        </is>
      </c>
      <c r="H2759" s="10" t="inlineStr">
        <is>
          <t>発</t>
        </is>
      </c>
      <c r="J2759" s="10" t="inlineStr">
        <is>
          <t>営業</t>
        </is>
      </c>
      <c r="L2759" t="inlineStr">
        <is>
          <t>19:40:35</t>
        </is>
      </c>
      <c r="M2759" t="inlineStr">
        <is>
          <t>19:40:45</t>
        </is>
      </c>
    </row>
    <row r="2760" ht="15" customHeight="1" s="37">
      <c r="A2760" t="n">
        <v>21</v>
      </c>
      <c r="B2760" s="10" t="inlineStr">
        <is>
          <t>休日</t>
        </is>
      </c>
      <c r="C2760" s="10" t="inlineStr">
        <is>
          <t>北野線</t>
        </is>
      </c>
      <c r="D2760" s="10" t="inlineStr">
        <is>
          <t>下り</t>
        </is>
      </c>
      <c r="E2760" t="inlineStr">
        <is>
          <t>1957</t>
        </is>
      </c>
      <c r="F2760" t="inlineStr">
        <is>
          <t>0453</t>
        </is>
      </c>
      <c r="G2760" s="10" t="inlineStr">
        <is>
          <t>常盤</t>
        </is>
      </c>
      <c r="H2760" s="10" t="inlineStr">
        <is>
          <t>発</t>
        </is>
      </c>
      <c r="J2760" s="10" t="inlineStr">
        <is>
          <t>営業</t>
        </is>
      </c>
      <c r="L2760" t="inlineStr">
        <is>
          <t>19:41:35</t>
        </is>
      </c>
      <c r="M2760" t="inlineStr">
        <is>
          <t>19:41:55</t>
        </is>
      </c>
    </row>
    <row r="2761" ht="15" customHeight="1" s="37">
      <c r="A2761" t="n">
        <v>21</v>
      </c>
      <c r="B2761" s="10" t="inlineStr">
        <is>
          <t>休日</t>
        </is>
      </c>
      <c r="C2761" s="10" t="inlineStr">
        <is>
          <t>北野線</t>
        </is>
      </c>
      <c r="D2761" s="10" t="inlineStr">
        <is>
          <t>下り</t>
        </is>
      </c>
      <c r="E2761" t="inlineStr">
        <is>
          <t>1957</t>
        </is>
      </c>
      <c r="F2761" t="inlineStr">
        <is>
          <t>0453</t>
        </is>
      </c>
      <c r="G2761" s="10" t="inlineStr">
        <is>
          <t>撮影所前</t>
        </is>
      </c>
      <c r="H2761" s="10" t="inlineStr">
        <is>
          <t>発</t>
        </is>
      </c>
      <c r="J2761" s="10" t="inlineStr">
        <is>
          <t>営業</t>
        </is>
      </c>
      <c r="L2761" t="inlineStr">
        <is>
          <t>19:43:15</t>
        </is>
      </c>
      <c r="M2761" t="inlineStr">
        <is>
          <t>19:43:30</t>
        </is>
      </c>
    </row>
    <row r="2762" ht="15" customHeight="1" s="37">
      <c r="A2762" t="n">
        <v>21</v>
      </c>
      <c r="B2762" s="10" t="inlineStr">
        <is>
          <t>休日</t>
        </is>
      </c>
      <c r="C2762" s="10" t="inlineStr">
        <is>
          <t>北野線</t>
        </is>
      </c>
      <c r="D2762" s="10" t="inlineStr">
        <is>
          <t>下り</t>
        </is>
      </c>
      <c r="E2762" t="inlineStr">
        <is>
          <t>1957</t>
        </is>
      </c>
      <c r="F2762" t="inlineStr">
        <is>
          <t>0453</t>
        </is>
      </c>
      <c r="G2762" s="10" t="inlineStr">
        <is>
          <t>帷子ノ辻</t>
        </is>
      </c>
      <c r="H2762" s="10" t="inlineStr">
        <is>
          <t>着</t>
        </is>
      </c>
      <c r="J2762" s="10" t="inlineStr">
        <is>
          <t>営業</t>
        </is>
      </c>
      <c r="L2762" t="inlineStr">
        <is>
          <t>19:44:25</t>
        </is>
      </c>
      <c r="Q2762" t="inlineStr">
        <is>
          <t>3</t>
        </is>
      </c>
    </row>
    <row r="2763" ht="15" customHeight="1" s="37">
      <c r="A2763" t="n">
        <v>21</v>
      </c>
      <c r="B2763" s="10" t="inlineStr">
        <is>
          <t>休日</t>
        </is>
      </c>
      <c r="C2763" s="10" t="inlineStr">
        <is>
          <t>北野線</t>
        </is>
      </c>
      <c r="D2763" s="10" t="inlineStr">
        <is>
          <t>上り</t>
        </is>
      </c>
      <c r="E2763" t="inlineStr">
        <is>
          <t>1962</t>
        </is>
      </c>
      <c r="F2763" t="inlineStr">
        <is>
          <t>0304</t>
        </is>
      </c>
      <c r="G2763" s="10" t="inlineStr">
        <is>
          <t>帷子ノ辻</t>
        </is>
      </c>
      <c r="H2763" s="10" t="inlineStr">
        <is>
          <t>発</t>
        </is>
      </c>
      <c r="J2763" s="10" t="inlineStr">
        <is>
          <t>営業</t>
        </is>
      </c>
      <c r="M2763" t="inlineStr">
        <is>
          <t>19:56:25</t>
        </is>
      </c>
      <c r="Q2763" t="inlineStr">
        <is>
          <t>3</t>
        </is>
      </c>
    </row>
    <row r="2764" ht="15" customHeight="1" s="37">
      <c r="A2764" t="n">
        <v>21</v>
      </c>
      <c r="B2764" s="10" t="inlineStr">
        <is>
          <t>休日</t>
        </is>
      </c>
      <c r="C2764" s="10" t="inlineStr">
        <is>
          <t>北野線</t>
        </is>
      </c>
      <c r="D2764" s="10" t="inlineStr">
        <is>
          <t>上り</t>
        </is>
      </c>
      <c r="E2764" t="inlineStr">
        <is>
          <t>1962</t>
        </is>
      </c>
      <c r="F2764" t="inlineStr">
        <is>
          <t>0304</t>
        </is>
      </c>
      <c r="G2764" s="10" t="inlineStr">
        <is>
          <t>撮影所前</t>
        </is>
      </c>
      <c r="H2764" s="10" t="inlineStr">
        <is>
          <t>発</t>
        </is>
      </c>
      <c r="J2764" s="10" t="inlineStr">
        <is>
          <t>営業</t>
        </is>
      </c>
      <c r="L2764" t="inlineStr">
        <is>
          <t>19:57:25</t>
        </is>
      </c>
      <c r="M2764" t="inlineStr">
        <is>
          <t>19:57:40</t>
        </is>
      </c>
    </row>
    <row r="2765" ht="15" customHeight="1" s="37">
      <c r="A2765" t="n">
        <v>21</v>
      </c>
      <c r="B2765" s="10" t="inlineStr">
        <is>
          <t>休日</t>
        </is>
      </c>
      <c r="C2765" s="10" t="inlineStr">
        <is>
          <t>北野線</t>
        </is>
      </c>
      <c r="D2765" s="10" t="inlineStr">
        <is>
          <t>上り</t>
        </is>
      </c>
      <c r="E2765" t="inlineStr">
        <is>
          <t>1962</t>
        </is>
      </c>
      <c r="F2765" t="inlineStr">
        <is>
          <t>0304</t>
        </is>
      </c>
      <c r="G2765" s="10" t="inlineStr">
        <is>
          <t>常盤</t>
        </is>
      </c>
      <c r="H2765" s="10" t="inlineStr">
        <is>
          <t>発</t>
        </is>
      </c>
      <c r="J2765" s="10" t="inlineStr">
        <is>
          <t>営業</t>
        </is>
      </c>
      <c r="L2765" t="inlineStr">
        <is>
          <t>19:59:00</t>
        </is>
      </c>
      <c r="M2765" t="inlineStr">
        <is>
          <t>19:59:20</t>
        </is>
      </c>
    </row>
    <row r="2766" ht="15" customHeight="1" s="37">
      <c r="A2766" t="n">
        <v>21</v>
      </c>
      <c r="B2766" s="10" t="inlineStr">
        <is>
          <t>休日</t>
        </is>
      </c>
      <c r="C2766" s="10" t="inlineStr">
        <is>
          <t>北野線</t>
        </is>
      </c>
      <c r="D2766" s="10" t="inlineStr">
        <is>
          <t>上り</t>
        </is>
      </c>
      <c r="E2766" t="inlineStr">
        <is>
          <t>1962</t>
        </is>
      </c>
      <c r="F2766" t="inlineStr">
        <is>
          <t>0304</t>
        </is>
      </c>
      <c r="G2766" s="10" t="inlineStr">
        <is>
          <t>鳴滝</t>
        </is>
      </c>
      <c r="H2766" s="10" t="inlineStr">
        <is>
          <t>発</t>
        </is>
      </c>
      <c r="J2766" s="10" t="inlineStr">
        <is>
          <t>営業</t>
        </is>
      </c>
      <c r="L2766" t="inlineStr">
        <is>
          <t>20:00:20</t>
        </is>
      </c>
      <c r="M2766" t="inlineStr">
        <is>
          <t>20:00:40</t>
        </is>
      </c>
    </row>
    <row r="2767" ht="15" customHeight="1" s="37">
      <c r="A2767" t="n">
        <v>21</v>
      </c>
      <c r="B2767" s="10" t="inlineStr">
        <is>
          <t>休日</t>
        </is>
      </c>
      <c r="C2767" s="10" t="inlineStr">
        <is>
          <t>北野線</t>
        </is>
      </c>
      <c r="D2767" s="10" t="inlineStr">
        <is>
          <t>上り</t>
        </is>
      </c>
      <c r="E2767" t="inlineStr">
        <is>
          <t>1962</t>
        </is>
      </c>
      <c r="F2767" t="inlineStr">
        <is>
          <t>0304</t>
        </is>
      </c>
      <c r="G2767" s="10" t="inlineStr">
        <is>
          <t>宇多野</t>
        </is>
      </c>
      <c r="H2767" s="10" t="inlineStr">
        <is>
          <t>発</t>
        </is>
      </c>
      <c r="J2767" s="10" t="inlineStr">
        <is>
          <t>営業</t>
        </is>
      </c>
      <c r="L2767" t="inlineStr">
        <is>
          <t>20:02:00</t>
        </is>
      </c>
      <c r="M2767" t="inlineStr">
        <is>
          <t>20:02:15</t>
        </is>
      </c>
    </row>
    <row r="2768" ht="15" customHeight="1" s="37">
      <c r="A2768" t="n">
        <v>21</v>
      </c>
      <c r="B2768" s="10" t="inlineStr">
        <is>
          <t>休日</t>
        </is>
      </c>
      <c r="C2768" s="10" t="inlineStr">
        <is>
          <t>北野線</t>
        </is>
      </c>
      <c r="D2768" s="10" t="inlineStr">
        <is>
          <t>上り</t>
        </is>
      </c>
      <c r="E2768" t="inlineStr">
        <is>
          <t>1962</t>
        </is>
      </c>
      <c r="F2768" t="inlineStr">
        <is>
          <t>0304</t>
        </is>
      </c>
      <c r="G2768" s="10" t="inlineStr">
        <is>
          <t>御室仁和寺</t>
        </is>
      </c>
      <c r="H2768" s="10" t="inlineStr">
        <is>
          <t>発</t>
        </is>
      </c>
      <c r="J2768" s="10" t="inlineStr">
        <is>
          <t>営業</t>
        </is>
      </c>
      <c r="L2768" t="inlineStr">
        <is>
          <t>20:03:15</t>
        </is>
      </c>
      <c r="M2768" t="inlineStr">
        <is>
          <t>20:03:35</t>
        </is>
      </c>
    </row>
    <row r="2769" ht="15" customHeight="1" s="37">
      <c r="A2769" t="n">
        <v>21</v>
      </c>
      <c r="B2769" s="10" t="inlineStr">
        <is>
          <t>休日</t>
        </is>
      </c>
      <c r="C2769" s="10" t="inlineStr">
        <is>
          <t>北野線</t>
        </is>
      </c>
      <c r="D2769" s="10" t="inlineStr">
        <is>
          <t>上り</t>
        </is>
      </c>
      <c r="E2769" t="inlineStr">
        <is>
          <t>1962</t>
        </is>
      </c>
      <c r="F2769" t="inlineStr">
        <is>
          <t>0304</t>
        </is>
      </c>
      <c r="G2769" s="10" t="inlineStr">
        <is>
          <t>妙心寺</t>
        </is>
      </c>
      <c r="H2769" s="10" t="inlineStr">
        <is>
          <t>発</t>
        </is>
      </c>
      <c r="J2769" s="10" t="inlineStr">
        <is>
          <t>営業</t>
        </is>
      </c>
      <c r="L2769" t="inlineStr">
        <is>
          <t>20:04:35</t>
        </is>
      </c>
      <c r="M2769" t="inlineStr">
        <is>
          <t>20:04:50</t>
        </is>
      </c>
    </row>
    <row r="2770" ht="15" customHeight="1" s="37">
      <c r="A2770" t="n">
        <v>21</v>
      </c>
      <c r="B2770" s="10" t="inlineStr">
        <is>
          <t>休日</t>
        </is>
      </c>
      <c r="C2770" s="10" t="inlineStr">
        <is>
          <t>北野線</t>
        </is>
      </c>
      <c r="D2770" s="10" t="inlineStr">
        <is>
          <t>上り</t>
        </is>
      </c>
      <c r="E2770" t="inlineStr">
        <is>
          <t>1962</t>
        </is>
      </c>
      <c r="F2770" t="inlineStr">
        <is>
          <t>0304</t>
        </is>
      </c>
      <c r="G2770" s="10" t="inlineStr">
        <is>
          <t>龍安寺</t>
        </is>
      </c>
      <c r="H2770" s="10" t="inlineStr">
        <is>
          <t>発</t>
        </is>
      </c>
      <c r="J2770" s="10" t="inlineStr">
        <is>
          <t>営業</t>
        </is>
      </c>
      <c r="L2770" t="inlineStr">
        <is>
          <t>20:05:45</t>
        </is>
      </c>
      <c r="M2770" t="inlineStr">
        <is>
          <t>20:05:55</t>
        </is>
      </c>
    </row>
    <row r="2771" ht="15" customHeight="1" s="37">
      <c r="A2771" t="n">
        <v>21</v>
      </c>
      <c r="B2771" s="10" t="inlineStr">
        <is>
          <t>休日</t>
        </is>
      </c>
      <c r="C2771" s="10" t="inlineStr">
        <is>
          <t>北野線</t>
        </is>
      </c>
      <c r="D2771" s="10" t="inlineStr">
        <is>
          <t>上り</t>
        </is>
      </c>
      <c r="E2771" t="inlineStr">
        <is>
          <t>1962</t>
        </is>
      </c>
      <c r="F2771" t="inlineStr">
        <is>
          <t>0304</t>
        </is>
      </c>
      <c r="G2771" s="10" t="inlineStr">
        <is>
          <t>等持院</t>
        </is>
      </c>
      <c r="H2771" s="10" t="inlineStr">
        <is>
          <t>発</t>
        </is>
      </c>
      <c r="J2771" s="10" t="inlineStr">
        <is>
          <t>営業</t>
        </is>
      </c>
      <c r="L2771" t="inlineStr">
        <is>
          <t>20:06:35</t>
        </is>
      </c>
      <c r="M2771" t="inlineStr">
        <is>
          <t>20:06:55</t>
        </is>
      </c>
    </row>
    <row r="2772" ht="15" customHeight="1" s="37">
      <c r="A2772" t="n">
        <v>21</v>
      </c>
      <c r="B2772" s="10" t="inlineStr">
        <is>
          <t>休日</t>
        </is>
      </c>
      <c r="C2772" s="10" t="inlineStr">
        <is>
          <t>北野線</t>
        </is>
      </c>
      <c r="D2772" s="10" t="inlineStr">
        <is>
          <t>上り</t>
        </is>
      </c>
      <c r="E2772" t="inlineStr">
        <is>
          <t>1962</t>
        </is>
      </c>
      <c r="F2772" t="inlineStr">
        <is>
          <t>0304</t>
        </is>
      </c>
      <c r="G2772" s="10" t="inlineStr">
        <is>
          <t>北野白梅町</t>
        </is>
      </c>
      <c r="H2772" s="10" t="inlineStr">
        <is>
          <t>着</t>
        </is>
      </c>
      <c r="J2772" s="10" t="inlineStr">
        <is>
          <t>営業</t>
        </is>
      </c>
      <c r="L2772" t="inlineStr">
        <is>
          <t>20:08:15</t>
        </is>
      </c>
      <c r="N2772" t="inlineStr">
        <is>
          <t>○</t>
        </is>
      </c>
      <c r="Q2772" t="inlineStr">
        <is>
          <t>1</t>
        </is>
      </c>
    </row>
    <row r="2773" ht="15" customHeight="1" s="37">
      <c r="A2773" t="n">
        <v>21</v>
      </c>
      <c r="B2773" s="10" t="inlineStr">
        <is>
          <t>休日</t>
        </is>
      </c>
      <c r="C2773" s="10" t="inlineStr">
        <is>
          <t>北野線</t>
        </is>
      </c>
      <c r="D2773" s="10" t="inlineStr">
        <is>
          <t>下り</t>
        </is>
      </c>
      <c r="E2773" t="inlineStr">
        <is>
          <t>2053</t>
        </is>
      </c>
      <c r="F2773" t="inlineStr">
        <is>
          <t>0453</t>
        </is>
      </c>
      <c r="G2773" s="10" t="inlineStr">
        <is>
          <t>北野白梅町</t>
        </is>
      </c>
      <c r="H2773" s="10" t="inlineStr">
        <is>
          <t>発</t>
        </is>
      </c>
      <c r="J2773" s="10" t="inlineStr">
        <is>
          <t>営業</t>
        </is>
      </c>
      <c r="M2773" t="inlineStr">
        <is>
          <t>20:13:00</t>
        </is>
      </c>
      <c r="Q2773" t="inlineStr">
        <is>
          <t>1</t>
        </is>
      </c>
    </row>
    <row r="2774" ht="15" customHeight="1" s="37">
      <c r="A2774" t="n">
        <v>21</v>
      </c>
      <c r="B2774" s="10" t="inlineStr">
        <is>
          <t>休日</t>
        </is>
      </c>
      <c r="C2774" s="10" t="inlineStr">
        <is>
          <t>北野線</t>
        </is>
      </c>
      <c r="D2774" s="10" t="inlineStr">
        <is>
          <t>下り</t>
        </is>
      </c>
      <c r="E2774" t="inlineStr">
        <is>
          <t>2053</t>
        </is>
      </c>
      <c r="F2774" t="inlineStr">
        <is>
          <t>0453</t>
        </is>
      </c>
      <c r="G2774" s="10" t="inlineStr">
        <is>
          <t>等持院</t>
        </is>
      </c>
      <c r="H2774" s="10" t="inlineStr">
        <is>
          <t>発</t>
        </is>
      </c>
      <c r="J2774" s="10" t="inlineStr">
        <is>
          <t>営業</t>
        </is>
      </c>
      <c r="L2774" t="inlineStr">
        <is>
          <t>20:14:25</t>
        </is>
      </c>
      <c r="M2774" t="inlineStr">
        <is>
          <t>20:14:35</t>
        </is>
      </c>
    </row>
    <row r="2775" ht="15" customHeight="1" s="37">
      <c r="A2775" t="n">
        <v>21</v>
      </c>
      <c r="B2775" s="10" t="inlineStr">
        <is>
          <t>休日</t>
        </is>
      </c>
      <c r="C2775" s="10" t="inlineStr">
        <is>
          <t>北野線</t>
        </is>
      </c>
      <c r="D2775" s="10" t="inlineStr">
        <is>
          <t>下り</t>
        </is>
      </c>
      <c r="E2775" t="inlineStr">
        <is>
          <t>2053</t>
        </is>
      </c>
      <c r="F2775" t="inlineStr">
        <is>
          <t>0453</t>
        </is>
      </c>
      <c r="G2775" s="10" t="inlineStr">
        <is>
          <t>龍安寺</t>
        </is>
      </c>
      <c r="H2775" s="10" t="inlineStr">
        <is>
          <t>発</t>
        </is>
      </c>
      <c r="J2775" s="10" t="inlineStr">
        <is>
          <t>営業</t>
        </is>
      </c>
      <c r="L2775" t="inlineStr">
        <is>
          <t>20:15:25</t>
        </is>
      </c>
      <c r="M2775" t="inlineStr">
        <is>
          <t>20:15:50</t>
        </is>
      </c>
    </row>
    <row r="2776" ht="15" customHeight="1" s="37">
      <c r="A2776" t="n">
        <v>21</v>
      </c>
      <c r="B2776" s="10" t="inlineStr">
        <is>
          <t>休日</t>
        </is>
      </c>
      <c r="C2776" s="10" t="inlineStr">
        <is>
          <t>北野線</t>
        </is>
      </c>
      <c r="D2776" s="10" t="inlineStr">
        <is>
          <t>下り</t>
        </is>
      </c>
      <c r="E2776" t="inlineStr">
        <is>
          <t>2053</t>
        </is>
      </c>
      <c r="F2776" t="inlineStr">
        <is>
          <t>0453</t>
        </is>
      </c>
      <c r="G2776" s="10" t="inlineStr">
        <is>
          <t>妙心寺</t>
        </is>
      </c>
      <c r="H2776" s="10" t="inlineStr">
        <is>
          <t>発</t>
        </is>
      </c>
      <c r="J2776" s="10" t="inlineStr">
        <is>
          <t>営業</t>
        </is>
      </c>
      <c r="L2776" t="inlineStr">
        <is>
          <t>20:16:40</t>
        </is>
      </c>
      <c r="M2776" t="inlineStr">
        <is>
          <t>20:16:50</t>
        </is>
      </c>
    </row>
    <row r="2777" ht="15" customHeight="1" s="37">
      <c r="A2777" t="n">
        <v>21</v>
      </c>
      <c r="B2777" s="10" t="inlineStr">
        <is>
          <t>休日</t>
        </is>
      </c>
      <c r="C2777" s="10" t="inlineStr">
        <is>
          <t>北野線</t>
        </is>
      </c>
      <c r="D2777" s="10" t="inlineStr">
        <is>
          <t>下り</t>
        </is>
      </c>
      <c r="E2777" t="inlineStr">
        <is>
          <t>2053</t>
        </is>
      </c>
      <c r="F2777" t="inlineStr">
        <is>
          <t>0453</t>
        </is>
      </c>
      <c r="G2777" s="10" t="inlineStr">
        <is>
          <t>御室仁和寺</t>
        </is>
      </c>
      <c r="H2777" s="10" t="inlineStr">
        <is>
          <t>発</t>
        </is>
      </c>
      <c r="J2777" s="10" t="inlineStr">
        <is>
          <t>営業</t>
        </is>
      </c>
      <c r="L2777" t="inlineStr">
        <is>
          <t>20:17:50</t>
        </is>
      </c>
      <c r="M2777" t="inlineStr">
        <is>
          <t>20:18:05</t>
        </is>
      </c>
    </row>
    <row r="2778" ht="15" customHeight="1" s="37">
      <c r="A2778" t="n">
        <v>21</v>
      </c>
      <c r="B2778" s="10" t="inlineStr">
        <is>
          <t>休日</t>
        </is>
      </c>
      <c r="C2778" s="10" t="inlineStr">
        <is>
          <t>北野線</t>
        </is>
      </c>
      <c r="D2778" s="10" t="inlineStr">
        <is>
          <t>下り</t>
        </is>
      </c>
      <c r="E2778" t="inlineStr">
        <is>
          <t>2053</t>
        </is>
      </c>
      <c r="F2778" t="inlineStr">
        <is>
          <t>0453</t>
        </is>
      </c>
      <c r="G2778" s="10" t="inlineStr">
        <is>
          <t>宇多野</t>
        </is>
      </c>
      <c r="H2778" s="10" t="inlineStr">
        <is>
          <t>発</t>
        </is>
      </c>
      <c r="J2778" s="10" t="inlineStr">
        <is>
          <t>営業</t>
        </is>
      </c>
      <c r="L2778" t="inlineStr">
        <is>
          <t>20:19:05</t>
        </is>
      </c>
      <c r="M2778" t="inlineStr">
        <is>
          <t>20:19:15</t>
        </is>
      </c>
    </row>
    <row r="2779" ht="15" customHeight="1" s="37">
      <c r="A2779" t="n">
        <v>21</v>
      </c>
      <c r="B2779" s="10" t="inlineStr">
        <is>
          <t>休日</t>
        </is>
      </c>
      <c r="C2779" s="10" t="inlineStr">
        <is>
          <t>北野線</t>
        </is>
      </c>
      <c r="D2779" s="10" t="inlineStr">
        <is>
          <t>下り</t>
        </is>
      </c>
      <c r="E2779" t="inlineStr">
        <is>
          <t>2053</t>
        </is>
      </c>
      <c r="F2779" t="inlineStr">
        <is>
          <t>0453</t>
        </is>
      </c>
      <c r="G2779" s="10" t="inlineStr">
        <is>
          <t>鳴滝</t>
        </is>
      </c>
      <c r="H2779" s="10" t="inlineStr">
        <is>
          <t>発</t>
        </is>
      </c>
      <c r="J2779" s="10" t="inlineStr">
        <is>
          <t>営業</t>
        </is>
      </c>
      <c r="L2779" t="inlineStr">
        <is>
          <t>20:20:35</t>
        </is>
      </c>
      <c r="M2779" t="inlineStr">
        <is>
          <t>20:20:45</t>
        </is>
      </c>
    </row>
    <row r="2780" ht="15" customHeight="1" s="37">
      <c r="A2780" t="n">
        <v>21</v>
      </c>
      <c r="B2780" s="10" t="inlineStr">
        <is>
          <t>休日</t>
        </is>
      </c>
      <c r="C2780" s="10" t="inlineStr">
        <is>
          <t>北野線</t>
        </is>
      </c>
      <c r="D2780" s="10" t="inlineStr">
        <is>
          <t>下り</t>
        </is>
      </c>
      <c r="E2780" t="inlineStr">
        <is>
          <t>2053</t>
        </is>
      </c>
      <c r="F2780" t="inlineStr">
        <is>
          <t>0453</t>
        </is>
      </c>
      <c r="G2780" s="10" t="inlineStr">
        <is>
          <t>常盤</t>
        </is>
      </c>
      <c r="H2780" s="10" t="inlineStr">
        <is>
          <t>発</t>
        </is>
      </c>
      <c r="J2780" s="10" t="inlineStr">
        <is>
          <t>営業</t>
        </is>
      </c>
      <c r="L2780" t="inlineStr">
        <is>
          <t>20:21:35</t>
        </is>
      </c>
      <c r="M2780" t="inlineStr">
        <is>
          <t>20:21:55</t>
        </is>
      </c>
    </row>
    <row r="2781" ht="15" customHeight="1" s="37">
      <c r="A2781" t="n">
        <v>21</v>
      </c>
      <c r="B2781" s="10" t="inlineStr">
        <is>
          <t>休日</t>
        </is>
      </c>
      <c r="C2781" s="10" t="inlineStr">
        <is>
          <t>北野線</t>
        </is>
      </c>
      <c r="D2781" s="10" t="inlineStr">
        <is>
          <t>下り</t>
        </is>
      </c>
      <c r="E2781" t="inlineStr">
        <is>
          <t>2053</t>
        </is>
      </c>
      <c r="F2781" t="inlineStr">
        <is>
          <t>0453</t>
        </is>
      </c>
      <c r="G2781" s="10" t="inlineStr">
        <is>
          <t>撮影所前</t>
        </is>
      </c>
      <c r="H2781" s="10" t="inlineStr">
        <is>
          <t>発</t>
        </is>
      </c>
      <c r="J2781" s="10" t="inlineStr">
        <is>
          <t>営業</t>
        </is>
      </c>
      <c r="L2781" t="inlineStr">
        <is>
          <t>20:23:15</t>
        </is>
      </c>
      <c r="M2781" t="inlineStr">
        <is>
          <t>20:23:30</t>
        </is>
      </c>
    </row>
    <row r="2782" ht="15" customHeight="1" s="37">
      <c r="A2782" t="n">
        <v>21</v>
      </c>
      <c r="B2782" s="10" t="inlineStr">
        <is>
          <t>休日</t>
        </is>
      </c>
      <c r="C2782" s="10" t="inlineStr">
        <is>
          <t>北野線</t>
        </is>
      </c>
      <c r="D2782" s="10" t="inlineStr">
        <is>
          <t>下り</t>
        </is>
      </c>
      <c r="E2782" t="inlineStr">
        <is>
          <t>2053</t>
        </is>
      </c>
      <c r="F2782" t="inlineStr">
        <is>
          <t>0453</t>
        </is>
      </c>
      <c r="G2782" s="10" t="inlineStr">
        <is>
          <t>帷子ノ辻</t>
        </is>
      </c>
      <c r="H2782" s="10" t="inlineStr">
        <is>
          <t>着</t>
        </is>
      </c>
      <c r="J2782" s="10" t="inlineStr">
        <is>
          <t>営業</t>
        </is>
      </c>
      <c r="L2782" t="inlineStr">
        <is>
          <t>20:24:25</t>
        </is>
      </c>
      <c r="Q2782" t="inlineStr">
        <is>
          <t>3</t>
        </is>
      </c>
    </row>
    <row r="2783" ht="15" customHeight="1" s="37">
      <c r="A2783" t="n">
        <v>21</v>
      </c>
      <c r="B2783" s="10" t="inlineStr">
        <is>
          <t>休日</t>
        </is>
      </c>
      <c r="C2783" s="10" t="inlineStr">
        <is>
          <t>北野線</t>
        </is>
      </c>
      <c r="D2783" s="10" t="inlineStr">
        <is>
          <t>上り</t>
        </is>
      </c>
      <c r="E2783" t="inlineStr">
        <is>
          <t>2060</t>
        </is>
      </c>
      <c r="F2783" t="inlineStr">
        <is>
          <t>0304</t>
        </is>
      </c>
      <c r="G2783" s="10" t="inlineStr">
        <is>
          <t>帷子ノ辻</t>
        </is>
      </c>
      <c r="H2783" s="10" t="inlineStr">
        <is>
          <t>発</t>
        </is>
      </c>
      <c r="J2783" s="10" t="inlineStr">
        <is>
          <t>営業</t>
        </is>
      </c>
      <c r="M2783" t="inlineStr">
        <is>
          <t>20:46:25</t>
        </is>
      </c>
      <c r="Q2783" t="inlineStr">
        <is>
          <t>4</t>
        </is>
      </c>
    </row>
    <row r="2784" ht="15" customHeight="1" s="37">
      <c r="A2784" t="n">
        <v>21</v>
      </c>
      <c r="B2784" s="10" t="inlineStr">
        <is>
          <t>休日</t>
        </is>
      </c>
      <c r="C2784" s="10" t="inlineStr">
        <is>
          <t>北野線</t>
        </is>
      </c>
      <c r="D2784" s="10" t="inlineStr">
        <is>
          <t>上り</t>
        </is>
      </c>
      <c r="E2784" t="inlineStr">
        <is>
          <t>2060</t>
        </is>
      </c>
      <c r="F2784" t="inlineStr">
        <is>
          <t>0304</t>
        </is>
      </c>
      <c r="G2784" s="10" t="inlineStr">
        <is>
          <t>撮影所前</t>
        </is>
      </c>
      <c r="H2784" s="10" t="inlineStr">
        <is>
          <t>発</t>
        </is>
      </c>
      <c r="J2784" s="10" t="inlineStr">
        <is>
          <t>営業</t>
        </is>
      </c>
      <c r="L2784" t="inlineStr">
        <is>
          <t>20:47:25</t>
        </is>
      </c>
      <c r="M2784" t="inlineStr">
        <is>
          <t>20:47:40</t>
        </is>
      </c>
    </row>
    <row r="2785" ht="15" customHeight="1" s="37">
      <c r="A2785" t="n">
        <v>21</v>
      </c>
      <c r="B2785" s="10" t="inlineStr">
        <is>
          <t>休日</t>
        </is>
      </c>
      <c r="C2785" s="10" t="inlineStr">
        <is>
          <t>北野線</t>
        </is>
      </c>
      <c r="D2785" s="10" t="inlineStr">
        <is>
          <t>上り</t>
        </is>
      </c>
      <c r="E2785" t="inlineStr">
        <is>
          <t>2060</t>
        </is>
      </c>
      <c r="F2785" t="inlineStr">
        <is>
          <t>0304</t>
        </is>
      </c>
      <c r="G2785" s="10" t="inlineStr">
        <is>
          <t>常盤</t>
        </is>
      </c>
      <c r="H2785" s="10" t="inlineStr">
        <is>
          <t>発</t>
        </is>
      </c>
      <c r="J2785" s="10" t="inlineStr">
        <is>
          <t>営業</t>
        </is>
      </c>
      <c r="L2785" t="inlineStr">
        <is>
          <t>20:49:00</t>
        </is>
      </c>
      <c r="M2785" t="inlineStr">
        <is>
          <t>20:49:20</t>
        </is>
      </c>
    </row>
    <row r="2786" ht="15" customHeight="1" s="37">
      <c r="A2786" t="n">
        <v>21</v>
      </c>
      <c r="B2786" s="10" t="inlineStr">
        <is>
          <t>休日</t>
        </is>
      </c>
      <c r="C2786" s="10" t="inlineStr">
        <is>
          <t>北野線</t>
        </is>
      </c>
      <c r="D2786" s="10" t="inlineStr">
        <is>
          <t>上り</t>
        </is>
      </c>
      <c r="E2786" t="inlineStr">
        <is>
          <t>2060</t>
        </is>
      </c>
      <c r="F2786" t="inlineStr">
        <is>
          <t>0304</t>
        </is>
      </c>
      <c r="G2786" s="10" t="inlineStr">
        <is>
          <t>鳴滝</t>
        </is>
      </c>
      <c r="H2786" s="10" t="inlineStr">
        <is>
          <t>発</t>
        </is>
      </c>
      <c r="J2786" s="10" t="inlineStr">
        <is>
          <t>営業</t>
        </is>
      </c>
      <c r="L2786" t="inlineStr">
        <is>
          <t>20:50:20</t>
        </is>
      </c>
      <c r="M2786" t="inlineStr">
        <is>
          <t>20:50:40</t>
        </is>
      </c>
    </row>
    <row r="2787" ht="15" customHeight="1" s="37">
      <c r="A2787" t="n">
        <v>21</v>
      </c>
      <c r="B2787" s="10" t="inlineStr">
        <is>
          <t>休日</t>
        </is>
      </c>
      <c r="C2787" s="10" t="inlineStr">
        <is>
          <t>北野線</t>
        </is>
      </c>
      <c r="D2787" s="10" t="inlineStr">
        <is>
          <t>上り</t>
        </is>
      </c>
      <c r="E2787" t="inlineStr">
        <is>
          <t>2060</t>
        </is>
      </c>
      <c r="F2787" t="inlineStr">
        <is>
          <t>0304</t>
        </is>
      </c>
      <c r="G2787" s="10" t="inlineStr">
        <is>
          <t>宇多野</t>
        </is>
      </c>
      <c r="H2787" s="10" t="inlineStr">
        <is>
          <t>発</t>
        </is>
      </c>
      <c r="J2787" s="10" t="inlineStr">
        <is>
          <t>営業</t>
        </is>
      </c>
      <c r="L2787" t="inlineStr">
        <is>
          <t>20:52:00</t>
        </is>
      </c>
      <c r="M2787" t="inlineStr">
        <is>
          <t>20:52:15</t>
        </is>
      </c>
    </row>
    <row r="2788" ht="15" customHeight="1" s="37">
      <c r="A2788" t="n">
        <v>21</v>
      </c>
      <c r="B2788" s="10" t="inlineStr">
        <is>
          <t>休日</t>
        </is>
      </c>
      <c r="C2788" s="10" t="inlineStr">
        <is>
          <t>北野線</t>
        </is>
      </c>
      <c r="D2788" s="10" t="inlineStr">
        <is>
          <t>上り</t>
        </is>
      </c>
      <c r="E2788" t="inlineStr">
        <is>
          <t>2060</t>
        </is>
      </c>
      <c r="F2788" t="inlineStr">
        <is>
          <t>0304</t>
        </is>
      </c>
      <c r="G2788" s="10" t="inlineStr">
        <is>
          <t>御室仁和寺</t>
        </is>
      </c>
      <c r="H2788" s="10" t="inlineStr">
        <is>
          <t>発</t>
        </is>
      </c>
      <c r="J2788" s="10" t="inlineStr">
        <is>
          <t>営業</t>
        </is>
      </c>
      <c r="L2788" t="inlineStr">
        <is>
          <t>20:53:15</t>
        </is>
      </c>
      <c r="M2788" t="inlineStr">
        <is>
          <t>20:53:35</t>
        </is>
      </c>
    </row>
    <row r="2789" ht="15" customHeight="1" s="37">
      <c r="A2789" t="n">
        <v>21</v>
      </c>
      <c r="B2789" s="10" t="inlineStr">
        <is>
          <t>休日</t>
        </is>
      </c>
      <c r="C2789" s="10" t="inlineStr">
        <is>
          <t>北野線</t>
        </is>
      </c>
      <c r="D2789" s="10" t="inlineStr">
        <is>
          <t>上り</t>
        </is>
      </c>
      <c r="E2789" t="inlineStr">
        <is>
          <t>2060</t>
        </is>
      </c>
      <c r="F2789" t="inlineStr">
        <is>
          <t>0304</t>
        </is>
      </c>
      <c r="G2789" s="10" t="inlineStr">
        <is>
          <t>妙心寺</t>
        </is>
      </c>
      <c r="H2789" s="10" t="inlineStr">
        <is>
          <t>発</t>
        </is>
      </c>
      <c r="J2789" s="10" t="inlineStr">
        <is>
          <t>営業</t>
        </is>
      </c>
      <c r="L2789" t="inlineStr">
        <is>
          <t>20:54:35</t>
        </is>
      </c>
      <c r="M2789" t="inlineStr">
        <is>
          <t>20:54:50</t>
        </is>
      </c>
    </row>
    <row r="2790" ht="15" customHeight="1" s="37">
      <c r="A2790" t="n">
        <v>21</v>
      </c>
      <c r="B2790" s="10" t="inlineStr">
        <is>
          <t>休日</t>
        </is>
      </c>
      <c r="C2790" s="10" t="inlineStr">
        <is>
          <t>北野線</t>
        </is>
      </c>
      <c r="D2790" s="10" t="inlineStr">
        <is>
          <t>上り</t>
        </is>
      </c>
      <c r="E2790" t="inlineStr">
        <is>
          <t>2060</t>
        </is>
      </c>
      <c r="F2790" t="inlineStr">
        <is>
          <t>0304</t>
        </is>
      </c>
      <c r="G2790" s="10" t="inlineStr">
        <is>
          <t>龍安寺</t>
        </is>
      </c>
      <c r="H2790" s="10" t="inlineStr">
        <is>
          <t>発</t>
        </is>
      </c>
      <c r="J2790" s="10" t="inlineStr">
        <is>
          <t>営業</t>
        </is>
      </c>
      <c r="L2790" t="inlineStr">
        <is>
          <t>20:55:45</t>
        </is>
      </c>
      <c r="M2790" t="inlineStr">
        <is>
          <t>20:55:55</t>
        </is>
      </c>
    </row>
    <row r="2791" ht="15" customHeight="1" s="37">
      <c r="A2791" t="n">
        <v>21</v>
      </c>
      <c r="B2791" s="10" t="inlineStr">
        <is>
          <t>休日</t>
        </is>
      </c>
      <c r="C2791" s="10" t="inlineStr">
        <is>
          <t>北野線</t>
        </is>
      </c>
      <c r="D2791" s="10" t="inlineStr">
        <is>
          <t>上り</t>
        </is>
      </c>
      <c r="E2791" t="inlineStr">
        <is>
          <t>2060</t>
        </is>
      </c>
      <c r="F2791" t="inlineStr">
        <is>
          <t>0304</t>
        </is>
      </c>
      <c r="G2791" s="10" t="inlineStr">
        <is>
          <t>等持院</t>
        </is>
      </c>
      <c r="H2791" s="10" t="inlineStr">
        <is>
          <t>発</t>
        </is>
      </c>
      <c r="J2791" s="10" t="inlineStr">
        <is>
          <t>営業</t>
        </is>
      </c>
      <c r="L2791" t="inlineStr">
        <is>
          <t>20:56:35</t>
        </is>
      </c>
      <c r="M2791" t="inlineStr">
        <is>
          <t>20:56:55</t>
        </is>
      </c>
    </row>
    <row r="2792" ht="15" customHeight="1" s="37">
      <c r="A2792" t="n">
        <v>21</v>
      </c>
      <c r="B2792" s="10" t="inlineStr">
        <is>
          <t>休日</t>
        </is>
      </c>
      <c r="C2792" s="10" t="inlineStr">
        <is>
          <t>北野線</t>
        </is>
      </c>
      <c r="D2792" s="10" t="inlineStr">
        <is>
          <t>上り</t>
        </is>
      </c>
      <c r="E2792" t="inlineStr">
        <is>
          <t>2060</t>
        </is>
      </c>
      <c r="F2792" t="inlineStr">
        <is>
          <t>0304</t>
        </is>
      </c>
      <c r="G2792" s="10" t="inlineStr">
        <is>
          <t>北野白梅町</t>
        </is>
      </c>
      <c r="H2792" s="10" t="inlineStr">
        <is>
          <t>着</t>
        </is>
      </c>
      <c r="J2792" s="10" t="inlineStr">
        <is>
          <t>営業</t>
        </is>
      </c>
      <c r="L2792" t="inlineStr">
        <is>
          <t>20:58:15</t>
        </is>
      </c>
      <c r="N2792" t="inlineStr">
        <is>
          <t>○</t>
        </is>
      </c>
      <c r="Q2792" t="inlineStr">
        <is>
          <t>1</t>
        </is>
      </c>
    </row>
    <row r="2793" ht="15" customHeight="1" s="37">
      <c r="A2793" t="n">
        <v>21</v>
      </c>
      <c r="B2793" s="10" t="inlineStr">
        <is>
          <t>休日</t>
        </is>
      </c>
      <c r="C2793" s="10" t="inlineStr">
        <is>
          <t>北野線</t>
        </is>
      </c>
      <c r="D2793" s="10" t="inlineStr">
        <is>
          <t>下り</t>
        </is>
      </c>
      <c r="E2793" t="inlineStr">
        <is>
          <t>2151</t>
        </is>
      </c>
      <c r="F2793" t="inlineStr">
        <is>
          <t>0453</t>
        </is>
      </c>
      <c r="G2793" s="10" t="inlineStr">
        <is>
          <t>北野白梅町</t>
        </is>
      </c>
      <c r="H2793" s="10" t="inlineStr">
        <is>
          <t>発</t>
        </is>
      </c>
      <c r="J2793" s="10" t="inlineStr">
        <is>
          <t>営業</t>
        </is>
      </c>
      <c r="M2793" t="inlineStr">
        <is>
          <t>21:03:00</t>
        </is>
      </c>
      <c r="Q2793" t="inlineStr">
        <is>
          <t>1</t>
        </is>
      </c>
    </row>
    <row r="2794" ht="15" customHeight="1" s="37">
      <c r="A2794" t="n">
        <v>21</v>
      </c>
      <c r="B2794" s="10" t="inlineStr">
        <is>
          <t>休日</t>
        </is>
      </c>
      <c r="C2794" s="10" t="inlineStr">
        <is>
          <t>北野線</t>
        </is>
      </c>
      <c r="D2794" s="10" t="inlineStr">
        <is>
          <t>下り</t>
        </is>
      </c>
      <c r="E2794" t="inlineStr">
        <is>
          <t>2151</t>
        </is>
      </c>
      <c r="F2794" t="inlineStr">
        <is>
          <t>0453</t>
        </is>
      </c>
      <c r="G2794" s="10" t="inlineStr">
        <is>
          <t>等持院</t>
        </is>
      </c>
      <c r="H2794" s="10" t="inlineStr">
        <is>
          <t>発</t>
        </is>
      </c>
      <c r="J2794" s="10" t="inlineStr">
        <is>
          <t>営業</t>
        </is>
      </c>
      <c r="L2794" t="inlineStr">
        <is>
          <t>21:04:25</t>
        </is>
      </c>
      <c r="M2794" t="inlineStr">
        <is>
          <t>21:04:35</t>
        </is>
      </c>
    </row>
    <row r="2795" ht="15" customHeight="1" s="37">
      <c r="A2795" t="n">
        <v>21</v>
      </c>
      <c r="B2795" s="10" t="inlineStr">
        <is>
          <t>休日</t>
        </is>
      </c>
      <c r="C2795" s="10" t="inlineStr">
        <is>
          <t>北野線</t>
        </is>
      </c>
      <c r="D2795" s="10" t="inlineStr">
        <is>
          <t>下り</t>
        </is>
      </c>
      <c r="E2795" t="inlineStr">
        <is>
          <t>2151</t>
        </is>
      </c>
      <c r="F2795" t="inlineStr">
        <is>
          <t>0453</t>
        </is>
      </c>
      <c r="G2795" s="10" t="inlineStr">
        <is>
          <t>龍安寺</t>
        </is>
      </c>
      <c r="H2795" s="10" t="inlineStr">
        <is>
          <t>発</t>
        </is>
      </c>
      <c r="J2795" s="10" t="inlineStr">
        <is>
          <t>営業</t>
        </is>
      </c>
      <c r="L2795" t="inlineStr">
        <is>
          <t>21:05:25</t>
        </is>
      </c>
      <c r="M2795" t="inlineStr">
        <is>
          <t>21:05:50</t>
        </is>
      </c>
    </row>
    <row r="2796" ht="15" customHeight="1" s="37">
      <c r="A2796" t="n">
        <v>21</v>
      </c>
      <c r="B2796" s="10" t="inlineStr">
        <is>
          <t>休日</t>
        </is>
      </c>
      <c r="C2796" s="10" t="inlineStr">
        <is>
          <t>北野線</t>
        </is>
      </c>
      <c r="D2796" s="10" t="inlineStr">
        <is>
          <t>下り</t>
        </is>
      </c>
      <c r="E2796" t="inlineStr">
        <is>
          <t>2151</t>
        </is>
      </c>
      <c r="F2796" t="inlineStr">
        <is>
          <t>0453</t>
        </is>
      </c>
      <c r="G2796" s="10" t="inlineStr">
        <is>
          <t>妙心寺</t>
        </is>
      </c>
      <c r="H2796" s="10" t="inlineStr">
        <is>
          <t>発</t>
        </is>
      </c>
      <c r="J2796" s="10" t="inlineStr">
        <is>
          <t>営業</t>
        </is>
      </c>
      <c r="L2796" t="inlineStr">
        <is>
          <t>21:06:40</t>
        </is>
      </c>
      <c r="M2796" t="inlineStr">
        <is>
          <t>21:06:50</t>
        </is>
      </c>
    </row>
    <row r="2797" ht="15" customHeight="1" s="37">
      <c r="A2797" t="n">
        <v>21</v>
      </c>
      <c r="B2797" s="10" t="inlineStr">
        <is>
          <t>休日</t>
        </is>
      </c>
      <c r="C2797" s="10" t="inlineStr">
        <is>
          <t>北野線</t>
        </is>
      </c>
      <c r="D2797" s="10" t="inlineStr">
        <is>
          <t>下り</t>
        </is>
      </c>
      <c r="E2797" t="inlineStr">
        <is>
          <t>2151</t>
        </is>
      </c>
      <c r="F2797" t="inlineStr">
        <is>
          <t>0453</t>
        </is>
      </c>
      <c r="G2797" s="10" t="inlineStr">
        <is>
          <t>御室仁和寺</t>
        </is>
      </c>
      <c r="H2797" s="10" t="inlineStr">
        <is>
          <t>発</t>
        </is>
      </c>
      <c r="J2797" s="10" t="inlineStr">
        <is>
          <t>営業</t>
        </is>
      </c>
      <c r="L2797" t="inlineStr">
        <is>
          <t>21:07:50</t>
        </is>
      </c>
      <c r="M2797" t="inlineStr">
        <is>
          <t>21:08:05</t>
        </is>
      </c>
    </row>
    <row r="2798" ht="15" customHeight="1" s="37">
      <c r="A2798" t="n">
        <v>21</v>
      </c>
      <c r="B2798" s="10" t="inlineStr">
        <is>
          <t>休日</t>
        </is>
      </c>
      <c r="C2798" s="10" t="inlineStr">
        <is>
          <t>北野線</t>
        </is>
      </c>
      <c r="D2798" s="10" t="inlineStr">
        <is>
          <t>下り</t>
        </is>
      </c>
      <c r="E2798" t="inlineStr">
        <is>
          <t>2151</t>
        </is>
      </c>
      <c r="F2798" t="inlineStr">
        <is>
          <t>0453</t>
        </is>
      </c>
      <c r="G2798" s="10" t="inlineStr">
        <is>
          <t>宇多野</t>
        </is>
      </c>
      <c r="H2798" s="10" t="inlineStr">
        <is>
          <t>発</t>
        </is>
      </c>
      <c r="J2798" s="10" t="inlineStr">
        <is>
          <t>営業</t>
        </is>
      </c>
      <c r="L2798" t="inlineStr">
        <is>
          <t>21:09:05</t>
        </is>
      </c>
      <c r="M2798" t="inlineStr">
        <is>
          <t>21:09:15</t>
        </is>
      </c>
    </row>
    <row r="2799" ht="15" customHeight="1" s="37">
      <c r="A2799" t="n">
        <v>21</v>
      </c>
      <c r="B2799" s="10" t="inlineStr">
        <is>
          <t>休日</t>
        </is>
      </c>
      <c r="C2799" s="10" t="inlineStr">
        <is>
          <t>北野線</t>
        </is>
      </c>
      <c r="D2799" s="10" t="inlineStr">
        <is>
          <t>下り</t>
        </is>
      </c>
      <c r="E2799" t="inlineStr">
        <is>
          <t>2151</t>
        </is>
      </c>
      <c r="F2799" t="inlineStr">
        <is>
          <t>0453</t>
        </is>
      </c>
      <c r="G2799" s="10" t="inlineStr">
        <is>
          <t>鳴滝</t>
        </is>
      </c>
      <c r="H2799" s="10" t="inlineStr">
        <is>
          <t>発</t>
        </is>
      </c>
      <c r="J2799" s="10" t="inlineStr">
        <is>
          <t>営業</t>
        </is>
      </c>
      <c r="L2799" t="inlineStr">
        <is>
          <t>21:10:35</t>
        </is>
      </c>
      <c r="M2799" t="inlineStr">
        <is>
          <t>21:10:45</t>
        </is>
      </c>
    </row>
    <row r="2800" ht="15" customHeight="1" s="37">
      <c r="A2800" t="n">
        <v>21</v>
      </c>
      <c r="B2800" s="10" t="inlineStr">
        <is>
          <t>休日</t>
        </is>
      </c>
      <c r="C2800" s="10" t="inlineStr">
        <is>
          <t>北野線</t>
        </is>
      </c>
      <c r="D2800" s="10" t="inlineStr">
        <is>
          <t>下り</t>
        </is>
      </c>
      <c r="E2800" t="inlineStr">
        <is>
          <t>2151</t>
        </is>
      </c>
      <c r="F2800" t="inlineStr">
        <is>
          <t>0453</t>
        </is>
      </c>
      <c r="G2800" s="10" t="inlineStr">
        <is>
          <t>常盤</t>
        </is>
      </c>
      <c r="H2800" s="10" t="inlineStr">
        <is>
          <t>発</t>
        </is>
      </c>
      <c r="J2800" s="10" t="inlineStr">
        <is>
          <t>営業</t>
        </is>
      </c>
      <c r="L2800" t="inlineStr">
        <is>
          <t>21:11:35</t>
        </is>
      </c>
      <c r="M2800" t="inlineStr">
        <is>
          <t>21:11:55</t>
        </is>
      </c>
    </row>
    <row r="2801" ht="15" customHeight="1" s="37">
      <c r="A2801" t="n">
        <v>21</v>
      </c>
      <c r="B2801" s="10" t="inlineStr">
        <is>
          <t>休日</t>
        </is>
      </c>
      <c r="C2801" s="10" t="inlineStr">
        <is>
          <t>北野線</t>
        </is>
      </c>
      <c r="D2801" s="10" t="inlineStr">
        <is>
          <t>下り</t>
        </is>
      </c>
      <c r="E2801" t="inlineStr">
        <is>
          <t>2151</t>
        </is>
      </c>
      <c r="F2801" t="inlineStr">
        <is>
          <t>0453</t>
        </is>
      </c>
      <c r="G2801" s="10" t="inlineStr">
        <is>
          <t>撮影所前</t>
        </is>
      </c>
      <c r="H2801" s="10" t="inlineStr">
        <is>
          <t>発</t>
        </is>
      </c>
      <c r="J2801" s="10" t="inlineStr">
        <is>
          <t>営業</t>
        </is>
      </c>
      <c r="L2801" t="inlineStr">
        <is>
          <t>21:13:15</t>
        </is>
      </c>
      <c r="M2801" t="inlineStr">
        <is>
          <t>21:13:30</t>
        </is>
      </c>
    </row>
    <row r="2802" ht="15" customHeight="1" s="37">
      <c r="A2802" t="n">
        <v>21</v>
      </c>
      <c r="B2802" s="10" t="inlineStr">
        <is>
          <t>休日</t>
        </is>
      </c>
      <c r="C2802" s="10" t="inlineStr">
        <is>
          <t>北野線</t>
        </is>
      </c>
      <c r="D2802" s="10" t="inlineStr">
        <is>
          <t>下り</t>
        </is>
      </c>
      <c r="E2802" t="inlineStr">
        <is>
          <t>2151</t>
        </is>
      </c>
      <c r="F2802" t="inlineStr">
        <is>
          <t>0453</t>
        </is>
      </c>
      <c r="G2802" s="10" t="inlineStr">
        <is>
          <t>帷子ノ辻</t>
        </is>
      </c>
      <c r="H2802" s="10" t="inlineStr">
        <is>
          <t>着</t>
        </is>
      </c>
      <c r="J2802" s="10" t="inlineStr">
        <is>
          <t>営業</t>
        </is>
      </c>
      <c r="L2802" t="inlineStr">
        <is>
          <t>21:14:25</t>
        </is>
      </c>
      <c r="Q2802" t="inlineStr">
        <is>
          <t>4入</t>
        </is>
      </c>
      <c r="T2802" t="inlineStr">
        <is>
          <t>○</t>
        </is>
      </c>
    </row>
    <row r="2803" ht="15" customHeight="1" s="37">
      <c r="A2803" t="n">
        <v>21</v>
      </c>
      <c r="B2803" s="10" t="inlineStr">
        <is>
          <t>休日</t>
        </is>
      </c>
      <c r="C2803" s="10" t="inlineStr">
        <is>
          <t>本線</t>
        </is>
      </c>
      <c r="D2803" s="10" t="inlineStr">
        <is>
          <t>下り</t>
        </is>
      </c>
      <c r="E2803" t="inlineStr">
        <is>
          <t>21系統⑥便乗</t>
        </is>
      </c>
      <c r="F2803" s="10" t="inlineStr">
        <is>
          <t>便乗</t>
        </is>
      </c>
      <c r="G2803" s="10" t="inlineStr">
        <is>
          <t>西院</t>
        </is>
      </c>
      <c r="H2803" s="10" t="inlineStr">
        <is>
          <t>発</t>
        </is>
      </c>
      <c r="J2803" s="10" t="inlineStr">
        <is>
          <t>便乗</t>
        </is>
      </c>
      <c r="L2803" t="inlineStr">
        <is>
          <t>13:25:50</t>
        </is>
      </c>
      <c r="M2803" t="inlineStr">
        <is>
          <t>13:26:20</t>
        </is>
      </c>
      <c r="S2803" t="inlineStr">
        <is>
          <t>連1305</t>
        </is>
      </c>
    </row>
    <row r="2804" ht="15" customHeight="1" s="37">
      <c r="A2804" t="n">
        <v>21</v>
      </c>
      <c r="B2804" s="10" t="inlineStr">
        <is>
          <t>休日</t>
        </is>
      </c>
      <c r="C2804" s="10" t="inlineStr">
        <is>
          <t>本線</t>
        </is>
      </c>
      <c r="D2804" s="10" t="inlineStr">
        <is>
          <t>下り</t>
        </is>
      </c>
      <c r="E2804" t="inlineStr">
        <is>
          <t>21系統⑥便乗</t>
        </is>
      </c>
      <c r="F2804" s="10" t="inlineStr">
        <is>
          <t>便乗</t>
        </is>
      </c>
      <c r="G2804" s="10" t="inlineStr">
        <is>
          <t>西大路三条</t>
        </is>
      </c>
      <c r="H2804" s="10" t="inlineStr">
        <is>
          <t>発</t>
        </is>
      </c>
      <c r="J2804" s="10" t="inlineStr">
        <is>
          <t>便乗</t>
        </is>
      </c>
      <c r="L2804" t="inlineStr">
        <is>
          <t>13:28:10</t>
        </is>
      </c>
      <c r="M2804" t="inlineStr">
        <is>
          <t>13:28:30</t>
        </is>
      </c>
      <c r="S2804" t="inlineStr">
        <is>
          <t>連1305</t>
        </is>
      </c>
    </row>
    <row r="2805" ht="15" customHeight="1" s="37">
      <c r="A2805" t="n">
        <v>21</v>
      </c>
      <c r="B2805" s="10" t="inlineStr">
        <is>
          <t>休日</t>
        </is>
      </c>
      <c r="C2805" s="10" t="inlineStr">
        <is>
          <t>本線</t>
        </is>
      </c>
      <c r="D2805" s="10" t="inlineStr">
        <is>
          <t>下り</t>
        </is>
      </c>
      <c r="E2805" t="inlineStr">
        <is>
          <t>21系統⑥便乗</t>
        </is>
      </c>
      <c r="F2805" s="10" t="inlineStr">
        <is>
          <t>便乗</t>
        </is>
      </c>
      <c r="G2805" s="10" t="inlineStr">
        <is>
          <t>山ノ内</t>
        </is>
      </c>
      <c r="H2805" s="10" t="inlineStr">
        <is>
          <t>発</t>
        </is>
      </c>
      <c r="J2805" s="10" t="inlineStr">
        <is>
          <t>便乗</t>
        </is>
      </c>
      <c r="L2805" t="inlineStr">
        <is>
          <t>13:30:25</t>
        </is>
      </c>
      <c r="M2805" t="inlineStr">
        <is>
          <t>13:30:50</t>
        </is>
      </c>
      <c r="S2805" t="inlineStr">
        <is>
          <t>連1305</t>
        </is>
      </c>
    </row>
    <row r="2806" ht="15" customHeight="1" s="37">
      <c r="A2806" t="n">
        <v>21</v>
      </c>
      <c r="B2806" s="10" t="inlineStr">
        <is>
          <t>休日</t>
        </is>
      </c>
      <c r="C2806" s="10" t="inlineStr">
        <is>
          <t>本線</t>
        </is>
      </c>
      <c r="D2806" s="10" t="inlineStr">
        <is>
          <t>下り</t>
        </is>
      </c>
      <c r="E2806" t="inlineStr">
        <is>
          <t>21系統⑥便乗</t>
        </is>
      </c>
      <c r="F2806" s="10" t="inlineStr">
        <is>
          <t>便乗</t>
        </is>
      </c>
      <c r="G2806" s="10" t="inlineStr">
        <is>
          <t>天神川</t>
        </is>
      </c>
      <c r="H2806" s="10" t="inlineStr">
        <is>
          <t>発</t>
        </is>
      </c>
      <c r="J2806" s="10" t="inlineStr">
        <is>
          <t>便乗</t>
        </is>
      </c>
      <c r="L2806" t="inlineStr">
        <is>
          <t>13:32:50</t>
        </is>
      </c>
      <c r="M2806" t="inlineStr">
        <is>
          <t>13:33:30</t>
        </is>
      </c>
      <c r="S2806" t="inlineStr">
        <is>
          <t>連1305</t>
        </is>
      </c>
    </row>
    <row r="2807" ht="15" customHeight="1" s="37">
      <c r="A2807" t="n">
        <v>21</v>
      </c>
      <c r="B2807" s="10" t="inlineStr">
        <is>
          <t>休日</t>
        </is>
      </c>
      <c r="C2807" s="10" t="inlineStr">
        <is>
          <t>本線</t>
        </is>
      </c>
      <c r="D2807" s="10" t="inlineStr">
        <is>
          <t>下り</t>
        </is>
      </c>
      <c r="E2807" t="inlineStr">
        <is>
          <t>21系統⑥便乗</t>
        </is>
      </c>
      <c r="F2807" s="10" t="inlineStr">
        <is>
          <t>便乗</t>
        </is>
      </c>
      <c r="G2807" s="10" t="inlineStr">
        <is>
          <t>蚕ノ社</t>
        </is>
      </c>
      <c r="H2807" s="10" t="inlineStr">
        <is>
          <t>発</t>
        </is>
      </c>
      <c r="J2807" s="10" t="inlineStr">
        <is>
          <t>便乗</t>
        </is>
      </c>
      <c r="L2807" t="inlineStr">
        <is>
          <t>13:34:20</t>
        </is>
      </c>
      <c r="M2807" t="inlineStr">
        <is>
          <t>13:34:40</t>
        </is>
      </c>
      <c r="S2807" t="inlineStr">
        <is>
          <t>連1305</t>
        </is>
      </c>
    </row>
    <row r="2808" ht="15" customHeight="1" s="37">
      <c r="A2808" t="n">
        <v>21</v>
      </c>
      <c r="B2808" s="10" t="inlineStr">
        <is>
          <t>休日</t>
        </is>
      </c>
      <c r="C2808" s="10" t="inlineStr">
        <is>
          <t>本線</t>
        </is>
      </c>
      <c r="D2808" s="10" t="inlineStr">
        <is>
          <t>下り</t>
        </is>
      </c>
      <c r="E2808" t="inlineStr">
        <is>
          <t>21系統⑥便乗</t>
        </is>
      </c>
      <c r="F2808" s="10" t="inlineStr">
        <is>
          <t>便乗</t>
        </is>
      </c>
      <c r="G2808" s="10" t="inlineStr">
        <is>
          <t>太秦広隆寺</t>
        </is>
      </c>
      <c r="H2808" s="10" t="inlineStr">
        <is>
          <t>発</t>
        </is>
      </c>
      <c r="J2808" s="10" t="inlineStr">
        <is>
          <t>便乗</t>
        </is>
      </c>
      <c r="L2808" t="inlineStr">
        <is>
          <t>13:36:00</t>
        </is>
      </c>
      <c r="M2808" t="inlineStr">
        <is>
          <t>13:36:20</t>
        </is>
      </c>
      <c r="S2808" t="inlineStr">
        <is>
          <t>連1305</t>
        </is>
      </c>
    </row>
    <row r="2809" ht="15" customHeight="1" s="37">
      <c r="A2809" t="n">
        <v>21</v>
      </c>
      <c r="B2809" s="10" t="inlineStr">
        <is>
          <t>休日</t>
        </is>
      </c>
      <c r="C2809" s="10" t="inlineStr">
        <is>
          <t>本線</t>
        </is>
      </c>
      <c r="D2809" s="10" t="inlineStr">
        <is>
          <t>下り</t>
        </is>
      </c>
      <c r="E2809" t="inlineStr">
        <is>
          <t>21系統⑥便乗</t>
        </is>
      </c>
      <c r="F2809" s="10" t="inlineStr">
        <is>
          <t>便乗</t>
        </is>
      </c>
      <c r="G2809" s="10" t="inlineStr">
        <is>
          <t>帷子ノ辻</t>
        </is>
      </c>
      <c r="H2809" s="10" t="inlineStr">
        <is>
          <t>着</t>
        </is>
      </c>
      <c r="J2809" s="10" t="inlineStr">
        <is>
          <t>便乗</t>
        </is>
      </c>
      <c r="L2809" t="inlineStr">
        <is>
          <t>13:38:20</t>
        </is>
      </c>
      <c r="M2809" t="inlineStr">
        <is>
          <t>13:39:40</t>
        </is>
      </c>
      <c r="S2809" t="inlineStr">
        <is>
          <t>連1305</t>
        </is>
      </c>
    </row>
    <row r="2810" ht="15" customHeight="1" s="37">
      <c r="A2810" t="n">
        <v>21</v>
      </c>
      <c r="B2810" s="10" t="inlineStr">
        <is>
          <t>休日</t>
        </is>
      </c>
      <c r="C2810" s="10" t="inlineStr">
        <is>
          <t>本線</t>
        </is>
      </c>
      <c r="D2810" s="10" t="inlineStr">
        <is>
          <t>上り</t>
        </is>
      </c>
      <c r="E2810" s="10" t="inlineStr">
        <is>
          <t>回2190</t>
        </is>
      </c>
      <c r="G2810" s="10" t="inlineStr">
        <is>
          <t>帷子ノ辻</t>
        </is>
      </c>
      <c r="H2810" s="10" t="inlineStr">
        <is>
          <t>発</t>
        </is>
      </c>
      <c r="J2810" s="10" t="inlineStr">
        <is>
          <t>回送</t>
        </is>
      </c>
      <c r="M2810" t="inlineStr">
        <is>
          <t>21:24:05</t>
        </is>
      </c>
    </row>
    <row r="2811" ht="15" customHeight="1" s="37">
      <c r="A2811" t="n">
        <v>21</v>
      </c>
      <c r="B2811" s="10" t="inlineStr">
        <is>
          <t>休日</t>
        </is>
      </c>
      <c r="C2811" s="10" t="inlineStr">
        <is>
          <t>本線</t>
        </is>
      </c>
      <c r="D2811" s="10" t="inlineStr">
        <is>
          <t>上り</t>
        </is>
      </c>
      <c r="E2811" s="10" t="inlineStr">
        <is>
          <t>回2190</t>
        </is>
      </c>
      <c r="G2811" s="10" t="inlineStr">
        <is>
          <t>太秦広隆寺</t>
        </is>
      </c>
      <c r="H2811" s="10" t="inlineStr">
        <is>
          <t>発</t>
        </is>
      </c>
      <c r="J2811" s="10" t="inlineStr">
        <is>
          <t>回送</t>
        </is>
      </c>
      <c r="L2811" t="inlineStr">
        <is>
          <t>21:26:15</t>
        </is>
      </c>
      <c r="M2811" t="inlineStr">
        <is>
          <t>21:26:15</t>
        </is>
      </c>
    </row>
    <row r="2812" ht="15" customHeight="1" s="37">
      <c r="A2812" t="n">
        <v>21</v>
      </c>
      <c r="B2812" s="10" t="inlineStr">
        <is>
          <t>休日</t>
        </is>
      </c>
      <c r="C2812" s="10" t="inlineStr">
        <is>
          <t>本線</t>
        </is>
      </c>
      <c r="D2812" s="10" t="inlineStr">
        <is>
          <t>上り</t>
        </is>
      </c>
      <c r="E2812" s="10" t="inlineStr">
        <is>
          <t>回2190</t>
        </is>
      </c>
      <c r="G2812" s="10" t="inlineStr">
        <is>
          <t>蚕ノ社</t>
        </is>
      </c>
      <c r="H2812" s="10" t="inlineStr">
        <is>
          <t>発</t>
        </is>
      </c>
      <c r="J2812" s="10" t="inlineStr">
        <is>
          <t>回送</t>
        </is>
      </c>
      <c r="L2812" t="inlineStr">
        <is>
          <t>21:27:30</t>
        </is>
      </c>
      <c r="M2812" t="inlineStr">
        <is>
          <t>21:27:30</t>
        </is>
      </c>
    </row>
    <row r="2813" ht="15" customHeight="1" s="37">
      <c r="A2813" t="n">
        <v>21</v>
      </c>
      <c r="B2813" s="10" t="inlineStr">
        <is>
          <t>休日</t>
        </is>
      </c>
      <c r="C2813" s="10" t="inlineStr">
        <is>
          <t>本線</t>
        </is>
      </c>
      <c r="D2813" s="10" t="inlineStr">
        <is>
          <t>上り</t>
        </is>
      </c>
      <c r="E2813" s="10" t="inlineStr">
        <is>
          <t>回2190</t>
        </is>
      </c>
      <c r="G2813" s="10" t="inlineStr">
        <is>
          <t>天神川</t>
        </is>
      </c>
      <c r="H2813" s="10" t="inlineStr">
        <is>
          <t>発</t>
        </is>
      </c>
      <c r="J2813" s="10" t="inlineStr">
        <is>
          <t>回送</t>
        </is>
      </c>
      <c r="L2813" t="inlineStr">
        <is>
          <t>21:28:15</t>
        </is>
      </c>
      <c r="M2813" t="inlineStr">
        <is>
          <t>21:28:40</t>
        </is>
      </c>
    </row>
    <row r="2814" ht="15" customHeight="1" s="37">
      <c r="A2814" t="n">
        <v>21</v>
      </c>
      <c r="B2814" s="10" t="inlineStr">
        <is>
          <t>休日</t>
        </is>
      </c>
      <c r="C2814" s="10" t="inlineStr">
        <is>
          <t>本線</t>
        </is>
      </c>
      <c r="D2814" s="10" t="inlineStr">
        <is>
          <t>上り</t>
        </is>
      </c>
      <c r="E2814" s="10" t="inlineStr">
        <is>
          <t>回2190</t>
        </is>
      </c>
      <c r="G2814" s="10" t="inlineStr">
        <is>
          <t>山ノ内</t>
        </is>
      </c>
      <c r="H2814" s="10" t="inlineStr">
        <is>
          <t>発</t>
        </is>
      </c>
      <c r="J2814" s="10" t="inlineStr">
        <is>
          <t>回送</t>
        </is>
      </c>
      <c r="L2814" t="inlineStr">
        <is>
          <t>21:30:30</t>
        </is>
      </c>
      <c r="M2814" t="inlineStr">
        <is>
          <t>21:30:55</t>
        </is>
      </c>
    </row>
    <row r="2815" ht="15" customHeight="1" s="37">
      <c r="A2815" t="n">
        <v>21</v>
      </c>
      <c r="B2815" s="10" t="inlineStr">
        <is>
          <t>休日</t>
        </is>
      </c>
      <c r="C2815" s="10" t="inlineStr">
        <is>
          <t>本線</t>
        </is>
      </c>
      <c r="D2815" s="10" t="inlineStr">
        <is>
          <t>上り</t>
        </is>
      </c>
      <c r="E2815" s="10" t="inlineStr">
        <is>
          <t>回2190</t>
        </is>
      </c>
      <c r="G2815" s="10" t="inlineStr">
        <is>
          <t>西大路三条</t>
        </is>
      </c>
      <c r="H2815" s="10" t="inlineStr">
        <is>
          <t>発</t>
        </is>
      </c>
      <c r="J2815" s="10" t="inlineStr">
        <is>
          <t>回送</t>
        </is>
      </c>
      <c r="L2815" t="inlineStr">
        <is>
          <t>21:32:45</t>
        </is>
      </c>
      <c r="M2815" t="inlineStr">
        <is>
          <t>21:32:45</t>
        </is>
      </c>
    </row>
    <row r="2816" ht="15" customHeight="1" s="37">
      <c r="A2816" t="n">
        <v>21</v>
      </c>
      <c r="B2816" s="10" t="inlineStr">
        <is>
          <t>休日</t>
        </is>
      </c>
      <c r="C2816" s="10" t="inlineStr">
        <is>
          <t>本線</t>
        </is>
      </c>
      <c r="D2816" s="10" t="inlineStr">
        <is>
          <t>上り</t>
        </is>
      </c>
      <c r="E2816" s="10" t="inlineStr">
        <is>
          <t>回2190</t>
        </is>
      </c>
      <c r="G2816" s="10" t="inlineStr">
        <is>
          <t>西院</t>
        </is>
      </c>
      <c r="H2816" s="10" t="inlineStr">
        <is>
          <t>着</t>
        </is>
      </c>
      <c r="J2816" s="10" t="inlineStr">
        <is>
          <t>回送</t>
        </is>
      </c>
      <c r="L2816" t="inlineStr">
        <is>
          <t>21:34:40</t>
        </is>
      </c>
    </row>
    <row r="2817" ht="15" customHeight="1" s="37">
      <c r="A2817" t="n">
        <v>22</v>
      </c>
      <c r="B2817" s="10" t="inlineStr">
        <is>
          <t>休日</t>
        </is>
      </c>
      <c r="C2817" s="10" t="inlineStr">
        <is>
          <t>北野線</t>
        </is>
      </c>
      <c r="D2817" s="10" t="inlineStr">
        <is>
          <t>上り</t>
        </is>
      </c>
      <c r="E2817" t="inlineStr">
        <is>
          <t>1362</t>
        </is>
      </c>
      <c r="F2817" t="inlineStr">
        <is>
          <t>0354</t>
        </is>
      </c>
      <c r="G2817" s="10" t="inlineStr">
        <is>
          <t>帷子ノ辻</t>
        </is>
      </c>
      <c r="H2817" s="10" t="inlineStr">
        <is>
          <t>発</t>
        </is>
      </c>
      <c r="J2817" s="10" t="inlineStr">
        <is>
          <t>営業</t>
        </is>
      </c>
      <c r="M2817" t="inlineStr">
        <is>
          <t>13:56:25</t>
        </is>
      </c>
      <c r="Q2817" t="inlineStr">
        <is>
          <t>3</t>
        </is>
      </c>
    </row>
    <row r="2818" ht="15" customHeight="1" s="37">
      <c r="A2818" t="n">
        <v>22</v>
      </c>
      <c r="B2818" s="10" t="inlineStr">
        <is>
          <t>休日</t>
        </is>
      </c>
      <c r="C2818" s="10" t="inlineStr">
        <is>
          <t>北野線</t>
        </is>
      </c>
      <c r="D2818" s="10" t="inlineStr">
        <is>
          <t>上り</t>
        </is>
      </c>
      <c r="E2818" t="inlineStr">
        <is>
          <t>1362</t>
        </is>
      </c>
      <c r="F2818" t="inlineStr">
        <is>
          <t>0354</t>
        </is>
      </c>
      <c r="G2818" s="10" t="inlineStr">
        <is>
          <t>撮影所前</t>
        </is>
      </c>
      <c r="H2818" s="10" t="inlineStr">
        <is>
          <t>発</t>
        </is>
      </c>
      <c r="J2818" s="10" t="inlineStr">
        <is>
          <t>営業</t>
        </is>
      </c>
      <c r="L2818" t="inlineStr">
        <is>
          <t>13:57:25</t>
        </is>
      </c>
      <c r="M2818" t="inlineStr">
        <is>
          <t>13:57:40</t>
        </is>
      </c>
    </row>
    <row r="2819" ht="15" customHeight="1" s="37">
      <c r="A2819" t="n">
        <v>22</v>
      </c>
      <c r="B2819" s="10" t="inlineStr">
        <is>
          <t>休日</t>
        </is>
      </c>
      <c r="C2819" s="10" t="inlineStr">
        <is>
          <t>北野線</t>
        </is>
      </c>
      <c r="D2819" s="10" t="inlineStr">
        <is>
          <t>上り</t>
        </is>
      </c>
      <c r="E2819" t="inlineStr">
        <is>
          <t>1362</t>
        </is>
      </c>
      <c r="F2819" t="inlineStr">
        <is>
          <t>0354</t>
        </is>
      </c>
      <c r="G2819" s="10" t="inlineStr">
        <is>
          <t>常盤</t>
        </is>
      </c>
      <c r="H2819" s="10" t="inlineStr">
        <is>
          <t>発</t>
        </is>
      </c>
      <c r="J2819" s="10" t="inlineStr">
        <is>
          <t>営業</t>
        </is>
      </c>
      <c r="L2819" t="inlineStr">
        <is>
          <t>13:59:00</t>
        </is>
      </c>
      <c r="M2819" t="inlineStr">
        <is>
          <t>13:59:20</t>
        </is>
      </c>
    </row>
    <row r="2820" ht="15" customHeight="1" s="37">
      <c r="A2820" t="n">
        <v>22</v>
      </c>
      <c r="B2820" s="10" t="inlineStr">
        <is>
          <t>休日</t>
        </is>
      </c>
      <c r="C2820" s="10" t="inlineStr">
        <is>
          <t>北野線</t>
        </is>
      </c>
      <c r="D2820" s="10" t="inlineStr">
        <is>
          <t>上り</t>
        </is>
      </c>
      <c r="E2820" t="inlineStr">
        <is>
          <t>1362</t>
        </is>
      </c>
      <c r="F2820" t="inlineStr">
        <is>
          <t>0354</t>
        </is>
      </c>
      <c r="G2820" s="10" t="inlineStr">
        <is>
          <t>鳴滝</t>
        </is>
      </c>
      <c r="H2820" s="10" t="inlineStr">
        <is>
          <t>発</t>
        </is>
      </c>
      <c r="J2820" s="10" t="inlineStr">
        <is>
          <t>営業</t>
        </is>
      </c>
      <c r="L2820" t="inlineStr">
        <is>
          <t>14:00:20</t>
        </is>
      </c>
      <c r="M2820" t="inlineStr">
        <is>
          <t>14:00:40</t>
        </is>
      </c>
    </row>
    <row r="2821" ht="15" customHeight="1" s="37">
      <c r="A2821" t="n">
        <v>22</v>
      </c>
      <c r="B2821" s="10" t="inlineStr">
        <is>
          <t>休日</t>
        </is>
      </c>
      <c r="C2821" s="10" t="inlineStr">
        <is>
          <t>北野線</t>
        </is>
      </c>
      <c r="D2821" s="10" t="inlineStr">
        <is>
          <t>上り</t>
        </is>
      </c>
      <c r="E2821" t="inlineStr">
        <is>
          <t>1362</t>
        </is>
      </c>
      <c r="F2821" t="inlineStr">
        <is>
          <t>0354</t>
        </is>
      </c>
      <c r="G2821" s="10" t="inlineStr">
        <is>
          <t>宇多野</t>
        </is>
      </c>
      <c r="H2821" s="10" t="inlineStr">
        <is>
          <t>発</t>
        </is>
      </c>
      <c r="J2821" s="10" t="inlineStr">
        <is>
          <t>営業</t>
        </is>
      </c>
      <c r="L2821" t="inlineStr">
        <is>
          <t>14:02:00</t>
        </is>
      </c>
      <c r="M2821" t="inlineStr">
        <is>
          <t>14:02:15</t>
        </is>
      </c>
    </row>
    <row r="2822" ht="15" customHeight="1" s="37">
      <c r="A2822" t="n">
        <v>22</v>
      </c>
      <c r="B2822" s="10" t="inlineStr">
        <is>
          <t>休日</t>
        </is>
      </c>
      <c r="C2822" s="10" t="inlineStr">
        <is>
          <t>北野線</t>
        </is>
      </c>
      <c r="D2822" s="10" t="inlineStr">
        <is>
          <t>上り</t>
        </is>
      </c>
      <c r="E2822" t="inlineStr">
        <is>
          <t>1362</t>
        </is>
      </c>
      <c r="F2822" t="inlineStr">
        <is>
          <t>0354</t>
        </is>
      </c>
      <c r="G2822" s="10" t="inlineStr">
        <is>
          <t>御室仁和寺</t>
        </is>
      </c>
      <c r="H2822" s="10" t="inlineStr">
        <is>
          <t>発</t>
        </is>
      </c>
      <c r="J2822" s="10" t="inlineStr">
        <is>
          <t>営業</t>
        </is>
      </c>
      <c r="L2822" t="inlineStr">
        <is>
          <t>14:03:15</t>
        </is>
      </c>
      <c r="M2822" t="inlineStr">
        <is>
          <t>14:03:35</t>
        </is>
      </c>
    </row>
    <row r="2823" ht="15" customHeight="1" s="37">
      <c r="A2823" t="n">
        <v>22</v>
      </c>
      <c r="B2823" s="10" t="inlineStr">
        <is>
          <t>休日</t>
        </is>
      </c>
      <c r="C2823" s="10" t="inlineStr">
        <is>
          <t>北野線</t>
        </is>
      </c>
      <c r="D2823" s="10" t="inlineStr">
        <is>
          <t>上り</t>
        </is>
      </c>
      <c r="E2823" t="inlineStr">
        <is>
          <t>1362</t>
        </is>
      </c>
      <c r="F2823" t="inlineStr">
        <is>
          <t>0354</t>
        </is>
      </c>
      <c r="G2823" s="10" t="inlineStr">
        <is>
          <t>妙心寺</t>
        </is>
      </c>
      <c r="H2823" s="10" t="inlineStr">
        <is>
          <t>発</t>
        </is>
      </c>
      <c r="J2823" s="10" t="inlineStr">
        <is>
          <t>営業</t>
        </is>
      </c>
      <c r="L2823" t="inlineStr">
        <is>
          <t>14:04:35</t>
        </is>
      </c>
      <c r="M2823" t="inlineStr">
        <is>
          <t>14:04:50</t>
        </is>
      </c>
    </row>
    <row r="2824" ht="15" customHeight="1" s="37">
      <c r="A2824" t="n">
        <v>22</v>
      </c>
      <c r="B2824" s="10" t="inlineStr">
        <is>
          <t>休日</t>
        </is>
      </c>
      <c r="C2824" s="10" t="inlineStr">
        <is>
          <t>北野線</t>
        </is>
      </c>
      <c r="D2824" s="10" t="inlineStr">
        <is>
          <t>上り</t>
        </is>
      </c>
      <c r="E2824" t="inlineStr">
        <is>
          <t>1362</t>
        </is>
      </c>
      <c r="F2824" t="inlineStr">
        <is>
          <t>0354</t>
        </is>
      </c>
      <c r="G2824" s="10" t="inlineStr">
        <is>
          <t>龍安寺</t>
        </is>
      </c>
      <c r="H2824" s="10" t="inlineStr">
        <is>
          <t>発</t>
        </is>
      </c>
      <c r="J2824" s="10" t="inlineStr">
        <is>
          <t>営業</t>
        </is>
      </c>
      <c r="L2824" t="inlineStr">
        <is>
          <t>14:05:45</t>
        </is>
      </c>
      <c r="M2824" t="inlineStr">
        <is>
          <t>14:05:55</t>
        </is>
      </c>
    </row>
    <row r="2825" ht="15" customHeight="1" s="37">
      <c r="A2825" t="n">
        <v>22</v>
      </c>
      <c r="B2825" s="10" t="inlineStr">
        <is>
          <t>休日</t>
        </is>
      </c>
      <c r="C2825" s="10" t="inlineStr">
        <is>
          <t>北野線</t>
        </is>
      </c>
      <c r="D2825" s="10" t="inlineStr">
        <is>
          <t>上り</t>
        </is>
      </c>
      <c r="E2825" t="inlineStr">
        <is>
          <t>1362</t>
        </is>
      </c>
      <c r="F2825" t="inlineStr">
        <is>
          <t>0354</t>
        </is>
      </c>
      <c r="G2825" s="10" t="inlineStr">
        <is>
          <t>等持院</t>
        </is>
      </c>
      <c r="H2825" s="10" t="inlineStr">
        <is>
          <t>発</t>
        </is>
      </c>
      <c r="J2825" s="10" t="inlineStr">
        <is>
          <t>営業</t>
        </is>
      </c>
      <c r="L2825" t="inlineStr">
        <is>
          <t>14:06:35</t>
        </is>
      </c>
      <c r="M2825" t="inlineStr">
        <is>
          <t>14:06:55</t>
        </is>
      </c>
    </row>
    <row r="2826" ht="15" customHeight="1" s="37">
      <c r="A2826" t="n">
        <v>22</v>
      </c>
      <c r="B2826" s="10" t="inlineStr">
        <is>
          <t>休日</t>
        </is>
      </c>
      <c r="C2826" s="10" t="inlineStr">
        <is>
          <t>北野線</t>
        </is>
      </c>
      <c r="D2826" s="10" t="inlineStr">
        <is>
          <t>上り</t>
        </is>
      </c>
      <c r="E2826" t="inlineStr">
        <is>
          <t>1362</t>
        </is>
      </c>
      <c r="F2826" t="inlineStr">
        <is>
          <t>0354</t>
        </is>
      </c>
      <c r="G2826" s="10" t="inlineStr">
        <is>
          <t>北野白梅町</t>
        </is>
      </c>
      <c r="H2826" s="10" t="inlineStr">
        <is>
          <t>着</t>
        </is>
      </c>
      <c r="J2826" s="10" t="inlineStr">
        <is>
          <t>営業</t>
        </is>
      </c>
      <c r="L2826" t="inlineStr">
        <is>
          <t>14:08:15</t>
        </is>
      </c>
      <c r="Q2826" t="inlineStr">
        <is>
          <t>1</t>
        </is>
      </c>
    </row>
    <row r="2827" ht="15" customHeight="1" s="37">
      <c r="A2827" t="n">
        <v>22</v>
      </c>
      <c r="B2827" s="10" t="inlineStr">
        <is>
          <t>休日</t>
        </is>
      </c>
      <c r="C2827" s="10" t="inlineStr">
        <is>
          <t>北野線</t>
        </is>
      </c>
      <c r="D2827" s="10" t="inlineStr">
        <is>
          <t>下り</t>
        </is>
      </c>
      <c r="E2827" t="inlineStr">
        <is>
          <t>1453</t>
        </is>
      </c>
      <c r="F2827" t="inlineStr">
        <is>
          <t>0453</t>
        </is>
      </c>
      <c r="G2827" s="10" t="inlineStr">
        <is>
          <t>北野白梅町</t>
        </is>
      </c>
      <c r="H2827" s="10" t="inlineStr">
        <is>
          <t>発</t>
        </is>
      </c>
      <c r="J2827" s="10" t="inlineStr">
        <is>
          <t>営業</t>
        </is>
      </c>
      <c r="M2827" t="inlineStr">
        <is>
          <t>14:13:00</t>
        </is>
      </c>
      <c r="Q2827" t="inlineStr">
        <is>
          <t>1</t>
        </is>
      </c>
    </row>
    <row r="2828" ht="15" customHeight="1" s="37">
      <c r="A2828" t="n">
        <v>22</v>
      </c>
      <c r="B2828" s="10" t="inlineStr">
        <is>
          <t>休日</t>
        </is>
      </c>
      <c r="C2828" s="10" t="inlineStr">
        <is>
          <t>北野線</t>
        </is>
      </c>
      <c r="D2828" s="10" t="inlineStr">
        <is>
          <t>下り</t>
        </is>
      </c>
      <c r="E2828" t="inlineStr">
        <is>
          <t>1453</t>
        </is>
      </c>
      <c r="F2828" t="inlineStr">
        <is>
          <t>0453</t>
        </is>
      </c>
      <c r="G2828" s="10" t="inlineStr">
        <is>
          <t>等持院</t>
        </is>
      </c>
      <c r="H2828" s="10" t="inlineStr">
        <is>
          <t>発</t>
        </is>
      </c>
      <c r="J2828" s="10" t="inlineStr">
        <is>
          <t>営業</t>
        </is>
      </c>
      <c r="L2828" t="inlineStr">
        <is>
          <t>14:14:25</t>
        </is>
      </c>
      <c r="M2828" t="inlineStr">
        <is>
          <t>14:14:35</t>
        </is>
      </c>
    </row>
    <row r="2829" ht="15" customHeight="1" s="37">
      <c r="A2829" t="n">
        <v>22</v>
      </c>
      <c r="B2829" s="10" t="inlineStr">
        <is>
          <t>休日</t>
        </is>
      </c>
      <c r="C2829" s="10" t="inlineStr">
        <is>
          <t>北野線</t>
        </is>
      </c>
      <c r="D2829" s="10" t="inlineStr">
        <is>
          <t>下り</t>
        </is>
      </c>
      <c r="E2829" t="inlineStr">
        <is>
          <t>1453</t>
        </is>
      </c>
      <c r="F2829" t="inlineStr">
        <is>
          <t>0453</t>
        </is>
      </c>
      <c r="G2829" s="10" t="inlineStr">
        <is>
          <t>龍安寺</t>
        </is>
      </c>
      <c r="H2829" s="10" t="inlineStr">
        <is>
          <t>発</t>
        </is>
      </c>
      <c r="J2829" s="10" t="inlineStr">
        <is>
          <t>営業</t>
        </is>
      </c>
      <c r="L2829" t="inlineStr">
        <is>
          <t>14:15:25</t>
        </is>
      </c>
      <c r="M2829" t="inlineStr">
        <is>
          <t>14:15:50</t>
        </is>
      </c>
    </row>
    <row r="2830" ht="15" customHeight="1" s="37">
      <c r="A2830" t="n">
        <v>22</v>
      </c>
      <c r="B2830" s="10" t="inlineStr">
        <is>
          <t>休日</t>
        </is>
      </c>
      <c r="C2830" s="10" t="inlineStr">
        <is>
          <t>北野線</t>
        </is>
      </c>
      <c r="D2830" s="10" t="inlineStr">
        <is>
          <t>下り</t>
        </is>
      </c>
      <c r="E2830" t="inlineStr">
        <is>
          <t>1453</t>
        </is>
      </c>
      <c r="F2830" t="inlineStr">
        <is>
          <t>0453</t>
        </is>
      </c>
      <c r="G2830" s="10" t="inlineStr">
        <is>
          <t>妙心寺</t>
        </is>
      </c>
      <c r="H2830" s="10" t="inlineStr">
        <is>
          <t>発</t>
        </is>
      </c>
      <c r="J2830" s="10" t="inlineStr">
        <is>
          <t>営業</t>
        </is>
      </c>
      <c r="L2830" t="inlineStr">
        <is>
          <t>14:16:40</t>
        </is>
      </c>
      <c r="M2830" t="inlineStr">
        <is>
          <t>14:16:50</t>
        </is>
      </c>
    </row>
    <row r="2831" ht="15" customHeight="1" s="37">
      <c r="A2831" t="n">
        <v>22</v>
      </c>
      <c r="B2831" s="10" t="inlineStr">
        <is>
          <t>休日</t>
        </is>
      </c>
      <c r="C2831" s="10" t="inlineStr">
        <is>
          <t>北野線</t>
        </is>
      </c>
      <c r="D2831" s="10" t="inlineStr">
        <is>
          <t>下り</t>
        </is>
      </c>
      <c r="E2831" t="inlineStr">
        <is>
          <t>1453</t>
        </is>
      </c>
      <c r="F2831" t="inlineStr">
        <is>
          <t>0453</t>
        </is>
      </c>
      <c r="G2831" s="10" t="inlineStr">
        <is>
          <t>御室仁和寺</t>
        </is>
      </c>
      <c r="H2831" s="10" t="inlineStr">
        <is>
          <t>発</t>
        </is>
      </c>
      <c r="J2831" s="10" t="inlineStr">
        <is>
          <t>営業</t>
        </is>
      </c>
      <c r="L2831" t="inlineStr">
        <is>
          <t>14:17:50</t>
        </is>
      </c>
      <c r="M2831" t="inlineStr">
        <is>
          <t>14:18:05</t>
        </is>
      </c>
    </row>
    <row r="2832" ht="15" customHeight="1" s="37">
      <c r="A2832" t="n">
        <v>22</v>
      </c>
      <c r="B2832" s="10" t="inlineStr">
        <is>
          <t>休日</t>
        </is>
      </c>
      <c r="C2832" s="10" t="inlineStr">
        <is>
          <t>北野線</t>
        </is>
      </c>
      <c r="D2832" s="10" t="inlineStr">
        <is>
          <t>下り</t>
        </is>
      </c>
      <c r="E2832" t="inlineStr">
        <is>
          <t>1453</t>
        </is>
      </c>
      <c r="F2832" t="inlineStr">
        <is>
          <t>0453</t>
        </is>
      </c>
      <c r="G2832" s="10" t="inlineStr">
        <is>
          <t>宇多野</t>
        </is>
      </c>
      <c r="H2832" s="10" t="inlineStr">
        <is>
          <t>発</t>
        </is>
      </c>
      <c r="J2832" s="10" t="inlineStr">
        <is>
          <t>営業</t>
        </is>
      </c>
      <c r="L2832" t="inlineStr">
        <is>
          <t>14:19:05</t>
        </is>
      </c>
      <c r="M2832" t="inlineStr">
        <is>
          <t>14:19:15</t>
        </is>
      </c>
    </row>
    <row r="2833" ht="15" customHeight="1" s="37">
      <c r="A2833" t="n">
        <v>22</v>
      </c>
      <c r="B2833" s="10" t="inlineStr">
        <is>
          <t>休日</t>
        </is>
      </c>
      <c r="C2833" s="10" t="inlineStr">
        <is>
          <t>北野線</t>
        </is>
      </c>
      <c r="D2833" s="10" t="inlineStr">
        <is>
          <t>下り</t>
        </is>
      </c>
      <c r="E2833" t="inlineStr">
        <is>
          <t>1453</t>
        </is>
      </c>
      <c r="F2833" t="inlineStr">
        <is>
          <t>0453</t>
        </is>
      </c>
      <c r="G2833" s="10" t="inlineStr">
        <is>
          <t>鳴滝</t>
        </is>
      </c>
      <c r="H2833" s="10" t="inlineStr">
        <is>
          <t>発</t>
        </is>
      </c>
      <c r="J2833" s="10" t="inlineStr">
        <is>
          <t>営業</t>
        </is>
      </c>
      <c r="L2833" t="inlineStr">
        <is>
          <t>14:20:35</t>
        </is>
      </c>
      <c r="M2833" t="inlineStr">
        <is>
          <t>14:20:45</t>
        </is>
      </c>
    </row>
    <row r="2834" ht="16.5" customHeight="1" s="37">
      <c r="A2834" t="n">
        <v>22</v>
      </c>
      <c r="B2834" s="10" t="inlineStr">
        <is>
          <t>休日</t>
        </is>
      </c>
      <c r="C2834" s="10" t="inlineStr">
        <is>
          <t>北野線</t>
        </is>
      </c>
      <c r="D2834" s="10" t="inlineStr">
        <is>
          <t>下り</t>
        </is>
      </c>
      <c r="E2834" t="inlineStr">
        <is>
          <t>1453</t>
        </is>
      </c>
      <c r="F2834" t="inlineStr">
        <is>
          <t>0453</t>
        </is>
      </c>
      <c r="G2834" s="10" t="inlineStr">
        <is>
          <t>常盤</t>
        </is>
      </c>
      <c r="H2834" s="10" t="inlineStr">
        <is>
          <t>発</t>
        </is>
      </c>
      <c r="J2834" s="10" t="inlineStr">
        <is>
          <t>営業</t>
        </is>
      </c>
      <c r="L2834" t="inlineStr">
        <is>
          <t>14:21:35</t>
        </is>
      </c>
      <c r="M2834" t="inlineStr">
        <is>
          <t>14:21:55</t>
        </is>
      </c>
    </row>
    <row r="2835" ht="16.5" customHeight="1" s="37">
      <c r="A2835" t="n">
        <v>22</v>
      </c>
      <c r="B2835" s="10" t="inlineStr">
        <is>
          <t>休日</t>
        </is>
      </c>
      <c r="C2835" s="10" t="inlineStr">
        <is>
          <t>北野線</t>
        </is>
      </c>
      <c r="D2835" s="10" t="inlineStr">
        <is>
          <t>下り</t>
        </is>
      </c>
      <c r="E2835" t="inlineStr">
        <is>
          <t>1453</t>
        </is>
      </c>
      <c r="F2835" t="inlineStr">
        <is>
          <t>0453</t>
        </is>
      </c>
      <c r="G2835" s="10" t="inlineStr">
        <is>
          <t>撮影所前</t>
        </is>
      </c>
      <c r="H2835" s="10" t="inlineStr">
        <is>
          <t>発</t>
        </is>
      </c>
      <c r="J2835" s="10" t="inlineStr">
        <is>
          <t>営業</t>
        </is>
      </c>
      <c r="L2835" t="inlineStr">
        <is>
          <t>14:23:15</t>
        </is>
      </c>
      <c r="M2835" t="inlineStr">
        <is>
          <t>14:23:30</t>
        </is>
      </c>
    </row>
    <row r="2836" ht="16.5" customHeight="1" s="37">
      <c r="A2836" t="n">
        <v>22</v>
      </c>
      <c r="B2836" s="10" t="inlineStr">
        <is>
          <t>休日</t>
        </is>
      </c>
      <c r="C2836" s="10" t="inlineStr">
        <is>
          <t>北野線</t>
        </is>
      </c>
      <c r="D2836" s="10" t="inlineStr">
        <is>
          <t>下り</t>
        </is>
      </c>
      <c r="E2836" t="inlineStr">
        <is>
          <t>1453</t>
        </is>
      </c>
      <c r="F2836" t="inlineStr">
        <is>
          <t>0453</t>
        </is>
      </c>
      <c r="G2836" s="10" t="inlineStr">
        <is>
          <t>帷子ノ辻</t>
        </is>
      </c>
      <c r="H2836" s="10" t="inlineStr">
        <is>
          <t>着</t>
        </is>
      </c>
      <c r="J2836" s="10" t="inlineStr">
        <is>
          <t>営業</t>
        </is>
      </c>
      <c r="L2836" t="inlineStr">
        <is>
          <t>14:24:25</t>
        </is>
      </c>
      <c r="Q2836" t="inlineStr">
        <is>
          <t>3</t>
        </is>
      </c>
    </row>
    <row r="2837" ht="16.5" customHeight="1" s="37">
      <c r="A2837" t="n">
        <v>22</v>
      </c>
      <c r="B2837" s="10" t="inlineStr">
        <is>
          <t>休日</t>
        </is>
      </c>
      <c r="C2837" s="10" t="inlineStr">
        <is>
          <t>北野線</t>
        </is>
      </c>
      <c r="D2837" s="10" t="inlineStr">
        <is>
          <t>上り</t>
        </is>
      </c>
      <c r="E2837" t="inlineStr">
        <is>
          <t>1458</t>
        </is>
      </c>
      <c r="F2837" t="inlineStr">
        <is>
          <t>0354</t>
        </is>
      </c>
      <c r="G2837" s="10" t="inlineStr">
        <is>
          <t>帷子ノ辻</t>
        </is>
      </c>
      <c r="H2837" s="10" t="inlineStr">
        <is>
          <t>発</t>
        </is>
      </c>
      <c r="J2837" s="10" t="inlineStr">
        <is>
          <t>営業</t>
        </is>
      </c>
      <c r="M2837" t="inlineStr">
        <is>
          <t>14:36:25</t>
        </is>
      </c>
      <c r="Q2837" t="inlineStr">
        <is>
          <t>3</t>
        </is>
      </c>
    </row>
    <row r="2838" ht="16.5" customHeight="1" s="37">
      <c r="A2838" t="n">
        <v>22</v>
      </c>
      <c r="B2838" s="10" t="inlineStr">
        <is>
          <t>休日</t>
        </is>
      </c>
      <c r="C2838" s="10" t="inlineStr">
        <is>
          <t>北野線</t>
        </is>
      </c>
      <c r="D2838" s="10" t="inlineStr">
        <is>
          <t>上り</t>
        </is>
      </c>
      <c r="E2838" t="inlineStr">
        <is>
          <t>1458</t>
        </is>
      </c>
      <c r="F2838" t="inlineStr">
        <is>
          <t>0354</t>
        </is>
      </c>
      <c r="G2838" s="10" t="inlineStr">
        <is>
          <t>撮影所前</t>
        </is>
      </c>
      <c r="H2838" s="10" t="inlineStr">
        <is>
          <t>発</t>
        </is>
      </c>
      <c r="J2838" s="10" t="inlineStr">
        <is>
          <t>営業</t>
        </is>
      </c>
      <c r="L2838" t="inlineStr">
        <is>
          <t>14:37:25</t>
        </is>
      </c>
      <c r="M2838" t="inlineStr">
        <is>
          <t>14:37:40</t>
        </is>
      </c>
    </row>
    <row r="2839" ht="16.5" customHeight="1" s="37">
      <c r="A2839" t="n">
        <v>22</v>
      </c>
      <c r="B2839" s="10" t="inlineStr">
        <is>
          <t>休日</t>
        </is>
      </c>
      <c r="C2839" s="10" t="inlineStr">
        <is>
          <t>北野線</t>
        </is>
      </c>
      <c r="D2839" s="10" t="inlineStr">
        <is>
          <t>上り</t>
        </is>
      </c>
      <c r="E2839" t="inlineStr">
        <is>
          <t>1458</t>
        </is>
      </c>
      <c r="F2839" t="inlineStr">
        <is>
          <t>0354</t>
        </is>
      </c>
      <c r="G2839" s="10" t="inlineStr">
        <is>
          <t>常盤</t>
        </is>
      </c>
      <c r="H2839" s="10" t="inlineStr">
        <is>
          <t>発</t>
        </is>
      </c>
      <c r="J2839" s="10" t="inlineStr">
        <is>
          <t>営業</t>
        </is>
      </c>
      <c r="L2839" t="inlineStr">
        <is>
          <t>14:39:00</t>
        </is>
      </c>
      <c r="M2839" t="inlineStr">
        <is>
          <t>14:39:20</t>
        </is>
      </c>
    </row>
    <row r="2840" ht="16.5" customHeight="1" s="37">
      <c r="A2840" t="n">
        <v>22</v>
      </c>
      <c r="B2840" s="10" t="inlineStr">
        <is>
          <t>休日</t>
        </is>
      </c>
      <c r="C2840" s="10" t="inlineStr">
        <is>
          <t>北野線</t>
        </is>
      </c>
      <c r="D2840" s="10" t="inlineStr">
        <is>
          <t>上り</t>
        </is>
      </c>
      <c r="E2840" t="inlineStr">
        <is>
          <t>1458</t>
        </is>
      </c>
      <c r="F2840" t="inlineStr">
        <is>
          <t>0354</t>
        </is>
      </c>
      <c r="G2840" s="10" t="inlineStr">
        <is>
          <t>鳴滝</t>
        </is>
      </c>
      <c r="H2840" s="10" t="inlineStr">
        <is>
          <t>発</t>
        </is>
      </c>
      <c r="J2840" s="10" t="inlineStr">
        <is>
          <t>営業</t>
        </is>
      </c>
      <c r="L2840" t="inlineStr">
        <is>
          <t>14:40:20</t>
        </is>
      </c>
      <c r="M2840" t="inlineStr">
        <is>
          <t>14:40:40</t>
        </is>
      </c>
    </row>
    <row r="2841" ht="16.5" customHeight="1" s="37">
      <c r="A2841" t="n">
        <v>22</v>
      </c>
      <c r="B2841" s="10" t="inlineStr">
        <is>
          <t>休日</t>
        </is>
      </c>
      <c r="C2841" s="10" t="inlineStr">
        <is>
          <t>北野線</t>
        </is>
      </c>
      <c r="D2841" s="10" t="inlineStr">
        <is>
          <t>上り</t>
        </is>
      </c>
      <c r="E2841" t="inlineStr">
        <is>
          <t>1458</t>
        </is>
      </c>
      <c r="F2841" t="inlineStr">
        <is>
          <t>0354</t>
        </is>
      </c>
      <c r="G2841" s="10" t="inlineStr">
        <is>
          <t>宇多野</t>
        </is>
      </c>
      <c r="H2841" s="10" t="inlineStr">
        <is>
          <t>発</t>
        </is>
      </c>
      <c r="J2841" s="10" t="inlineStr">
        <is>
          <t>営業</t>
        </is>
      </c>
      <c r="L2841" t="inlineStr">
        <is>
          <t>14:42:00</t>
        </is>
      </c>
      <c r="M2841" t="inlineStr">
        <is>
          <t>14:42:15</t>
        </is>
      </c>
    </row>
    <row r="2842" ht="16.5" customHeight="1" s="37">
      <c r="A2842" t="n">
        <v>22</v>
      </c>
      <c r="B2842" s="10" t="inlineStr">
        <is>
          <t>休日</t>
        </is>
      </c>
      <c r="C2842" s="10" t="inlineStr">
        <is>
          <t>北野線</t>
        </is>
      </c>
      <c r="D2842" s="10" t="inlineStr">
        <is>
          <t>上り</t>
        </is>
      </c>
      <c r="E2842" t="inlineStr">
        <is>
          <t>1458</t>
        </is>
      </c>
      <c r="F2842" t="inlineStr">
        <is>
          <t>0354</t>
        </is>
      </c>
      <c r="G2842" s="10" t="inlineStr">
        <is>
          <t>御室仁和寺</t>
        </is>
      </c>
      <c r="H2842" s="10" t="inlineStr">
        <is>
          <t>発</t>
        </is>
      </c>
      <c r="J2842" s="10" t="inlineStr">
        <is>
          <t>営業</t>
        </is>
      </c>
      <c r="L2842" t="inlineStr">
        <is>
          <t>14:43:15</t>
        </is>
      </c>
      <c r="M2842" t="inlineStr">
        <is>
          <t>14:43:35</t>
        </is>
      </c>
    </row>
    <row r="2843" ht="16.5" customHeight="1" s="37">
      <c r="A2843" t="n">
        <v>22</v>
      </c>
      <c r="B2843" s="10" t="inlineStr">
        <is>
          <t>休日</t>
        </is>
      </c>
      <c r="C2843" s="10" t="inlineStr">
        <is>
          <t>北野線</t>
        </is>
      </c>
      <c r="D2843" s="10" t="inlineStr">
        <is>
          <t>上り</t>
        </is>
      </c>
      <c r="E2843" t="inlineStr">
        <is>
          <t>1458</t>
        </is>
      </c>
      <c r="F2843" t="inlineStr">
        <is>
          <t>0354</t>
        </is>
      </c>
      <c r="G2843" s="10" t="inlineStr">
        <is>
          <t>妙心寺</t>
        </is>
      </c>
      <c r="H2843" s="10" t="inlineStr">
        <is>
          <t>発</t>
        </is>
      </c>
      <c r="J2843" s="10" t="inlineStr">
        <is>
          <t>営業</t>
        </is>
      </c>
      <c r="L2843" t="inlineStr">
        <is>
          <t>14:44:35</t>
        </is>
      </c>
      <c r="M2843" t="inlineStr">
        <is>
          <t>14:44:50</t>
        </is>
      </c>
    </row>
    <row r="2844" ht="16.5" customHeight="1" s="37">
      <c r="A2844" t="n">
        <v>22</v>
      </c>
      <c r="B2844" s="10" t="inlineStr">
        <is>
          <t>休日</t>
        </is>
      </c>
      <c r="C2844" s="10" t="inlineStr">
        <is>
          <t>北野線</t>
        </is>
      </c>
      <c r="D2844" s="10" t="inlineStr">
        <is>
          <t>上り</t>
        </is>
      </c>
      <c r="E2844" t="inlineStr">
        <is>
          <t>1458</t>
        </is>
      </c>
      <c r="F2844" t="inlineStr">
        <is>
          <t>0354</t>
        </is>
      </c>
      <c r="G2844" s="10" t="inlineStr">
        <is>
          <t>龍安寺</t>
        </is>
      </c>
      <c r="H2844" s="10" t="inlineStr">
        <is>
          <t>発</t>
        </is>
      </c>
      <c r="J2844" s="10" t="inlineStr">
        <is>
          <t>営業</t>
        </is>
      </c>
      <c r="L2844" t="inlineStr">
        <is>
          <t>14:45:45</t>
        </is>
      </c>
      <c r="M2844" t="inlineStr">
        <is>
          <t>14:45:55</t>
        </is>
      </c>
    </row>
    <row r="2845" ht="16.5" customHeight="1" s="37">
      <c r="A2845" t="n">
        <v>22</v>
      </c>
      <c r="B2845" s="10" t="inlineStr">
        <is>
          <t>休日</t>
        </is>
      </c>
      <c r="C2845" s="10" t="inlineStr">
        <is>
          <t>北野線</t>
        </is>
      </c>
      <c r="D2845" s="10" t="inlineStr">
        <is>
          <t>上り</t>
        </is>
      </c>
      <c r="E2845" t="inlineStr">
        <is>
          <t>1458</t>
        </is>
      </c>
      <c r="F2845" t="inlineStr">
        <is>
          <t>0354</t>
        </is>
      </c>
      <c r="G2845" s="10" t="inlineStr">
        <is>
          <t>等持院</t>
        </is>
      </c>
      <c r="H2845" s="10" t="inlineStr">
        <is>
          <t>発</t>
        </is>
      </c>
      <c r="J2845" s="10" t="inlineStr">
        <is>
          <t>営業</t>
        </is>
      </c>
      <c r="L2845" t="inlineStr">
        <is>
          <t>14:46:35</t>
        </is>
      </c>
      <c r="M2845" t="inlineStr">
        <is>
          <t>14:46:55</t>
        </is>
      </c>
    </row>
    <row r="2846" ht="16.5" customHeight="1" s="37">
      <c r="A2846" t="n">
        <v>22</v>
      </c>
      <c r="B2846" s="10" t="inlineStr">
        <is>
          <t>休日</t>
        </is>
      </c>
      <c r="C2846" s="10" t="inlineStr">
        <is>
          <t>北野線</t>
        </is>
      </c>
      <c r="D2846" s="10" t="inlineStr">
        <is>
          <t>上り</t>
        </is>
      </c>
      <c r="E2846" t="inlineStr">
        <is>
          <t>1458</t>
        </is>
      </c>
      <c r="F2846" t="inlineStr">
        <is>
          <t>0354</t>
        </is>
      </c>
      <c r="G2846" s="10" t="inlineStr">
        <is>
          <t>北野白梅町</t>
        </is>
      </c>
      <c r="H2846" s="10" t="inlineStr">
        <is>
          <t>着</t>
        </is>
      </c>
      <c r="J2846" s="10" t="inlineStr">
        <is>
          <t>営業</t>
        </is>
      </c>
      <c r="L2846" t="inlineStr">
        <is>
          <t>14:48:15</t>
        </is>
      </c>
      <c r="Q2846" t="inlineStr">
        <is>
          <t>1</t>
        </is>
      </c>
    </row>
    <row r="2847" ht="16.5" customHeight="1" s="37">
      <c r="A2847" t="n">
        <v>22</v>
      </c>
      <c r="B2847" s="10" t="inlineStr">
        <is>
          <t>休日</t>
        </is>
      </c>
      <c r="C2847" s="10" t="inlineStr">
        <is>
          <t>北野線</t>
        </is>
      </c>
      <c r="D2847" s="10" t="inlineStr">
        <is>
          <t>下り</t>
        </is>
      </c>
      <c r="E2847" t="inlineStr">
        <is>
          <t>1461</t>
        </is>
      </c>
      <c r="F2847" t="inlineStr">
        <is>
          <t>0453</t>
        </is>
      </c>
      <c r="G2847" s="10" t="inlineStr">
        <is>
          <t>北野白梅町</t>
        </is>
      </c>
      <c r="H2847" s="10" t="inlineStr">
        <is>
          <t>発</t>
        </is>
      </c>
      <c r="J2847" s="10" t="inlineStr">
        <is>
          <t>営業</t>
        </is>
      </c>
      <c r="M2847" t="inlineStr">
        <is>
          <t>14:53:00</t>
        </is>
      </c>
      <c r="Q2847" t="inlineStr">
        <is>
          <t>1</t>
        </is>
      </c>
    </row>
    <row r="2848" ht="16.5" customHeight="1" s="37">
      <c r="A2848" t="n">
        <v>22</v>
      </c>
      <c r="B2848" s="10" t="inlineStr">
        <is>
          <t>休日</t>
        </is>
      </c>
      <c r="C2848" s="10" t="inlineStr">
        <is>
          <t>北野線</t>
        </is>
      </c>
      <c r="D2848" s="10" t="inlineStr">
        <is>
          <t>下り</t>
        </is>
      </c>
      <c r="E2848" t="inlineStr">
        <is>
          <t>1461</t>
        </is>
      </c>
      <c r="F2848" t="inlineStr">
        <is>
          <t>0453</t>
        </is>
      </c>
      <c r="G2848" s="10" t="inlineStr">
        <is>
          <t>等持院</t>
        </is>
      </c>
      <c r="H2848" s="10" t="inlineStr">
        <is>
          <t>発</t>
        </is>
      </c>
      <c r="J2848" s="10" t="inlineStr">
        <is>
          <t>営業</t>
        </is>
      </c>
      <c r="L2848" t="inlineStr">
        <is>
          <t>14:54:25</t>
        </is>
      </c>
      <c r="M2848" t="inlineStr">
        <is>
          <t>14:54:35</t>
        </is>
      </c>
    </row>
    <row r="2849" ht="16.5" customHeight="1" s="37">
      <c r="A2849" t="n">
        <v>22</v>
      </c>
      <c r="B2849" s="10" t="inlineStr">
        <is>
          <t>休日</t>
        </is>
      </c>
      <c r="C2849" s="10" t="inlineStr">
        <is>
          <t>北野線</t>
        </is>
      </c>
      <c r="D2849" s="10" t="inlineStr">
        <is>
          <t>下り</t>
        </is>
      </c>
      <c r="E2849" t="inlineStr">
        <is>
          <t>1461</t>
        </is>
      </c>
      <c r="F2849" t="inlineStr">
        <is>
          <t>0453</t>
        </is>
      </c>
      <c r="G2849" s="10" t="inlineStr">
        <is>
          <t>龍安寺</t>
        </is>
      </c>
      <c r="H2849" s="10" t="inlineStr">
        <is>
          <t>発</t>
        </is>
      </c>
      <c r="J2849" s="10" t="inlineStr">
        <is>
          <t>営業</t>
        </is>
      </c>
      <c r="L2849" t="inlineStr">
        <is>
          <t>14:55:25</t>
        </is>
      </c>
      <c r="M2849" t="inlineStr">
        <is>
          <t>14:55:50</t>
        </is>
      </c>
    </row>
    <row r="2850" ht="16.5" customHeight="1" s="37">
      <c r="A2850" t="n">
        <v>22</v>
      </c>
      <c r="B2850" s="10" t="inlineStr">
        <is>
          <t>休日</t>
        </is>
      </c>
      <c r="C2850" s="10" t="inlineStr">
        <is>
          <t>北野線</t>
        </is>
      </c>
      <c r="D2850" s="10" t="inlineStr">
        <is>
          <t>下り</t>
        </is>
      </c>
      <c r="E2850" t="inlineStr">
        <is>
          <t>1461</t>
        </is>
      </c>
      <c r="F2850" t="inlineStr">
        <is>
          <t>0453</t>
        </is>
      </c>
      <c r="G2850" s="10" t="inlineStr">
        <is>
          <t>妙心寺</t>
        </is>
      </c>
      <c r="H2850" s="10" t="inlineStr">
        <is>
          <t>発</t>
        </is>
      </c>
      <c r="J2850" s="10" t="inlineStr">
        <is>
          <t>営業</t>
        </is>
      </c>
      <c r="L2850" t="inlineStr">
        <is>
          <t>14:56:40</t>
        </is>
      </c>
      <c r="M2850" t="inlineStr">
        <is>
          <t>14:56:50</t>
        </is>
      </c>
    </row>
    <row r="2851" ht="16.5" customHeight="1" s="37">
      <c r="A2851" t="n">
        <v>22</v>
      </c>
      <c r="B2851" s="10" t="inlineStr">
        <is>
          <t>休日</t>
        </is>
      </c>
      <c r="C2851" s="10" t="inlineStr">
        <is>
          <t>北野線</t>
        </is>
      </c>
      <c r="D2851" s="10" t="inlineStr">
        <is>
          <t>下り</t>
        </is>
      </c>
      <c r="E2851" t="inlineStr">
        <is>
          <t>1461</t>
        </is>
      </c>
      <c r="F2851" t="inlineStr">
        <is>
          <t>0453</t>
        </is>
      </c>
      <c r="G2851" s="10" t="inlineStr">
        <is>
          <t>御室仁和寺</t>
        </is>
      </c>
      <c r="H2851" s="10" t="inlineStr">
        <is>
          <t>発</t>
        </is>
      </c>
      <c r="J2851" s="10" t="inlineStr">
        <is>
          <t>営業</t>
        </is>
      </c>
      <c r="L2851" t="inlineStr">
        <is>
          <t>14:57:50</t>
        </is>
      </c>
      <c r="M2851" t="inlineStr">
        <is>
          <t>14:58:05</t>
        </is>
      </c>
    </row>
    <row r="2852" ht="16.5" customHeight="1" s="37">
      <c r="A2852" t="n">
        <v>22</v>
      </c>
      <c r="B2852" s="10" t="inlineStr">
        <is>
          <t>休日</t>
        </is>
      </c>
      <c r="C2852" s="10" t="inlineStr">
        <is>
          <t>北野線</t>
        </is>
      </c>
      <c r="D2852" s="10" t="inlineStr">
        <is>
          <t>下り</t>
        </is>
      </c>
      <c r="E2852" t="inlineStr">
        <is>
          <t>1461</t>
        </is>
      </c>
      <c r="F2852" t="inlineStr">
        <is>
          <t>0453</t>
        </is>
      </c>
      <c r="G2852" s="10" t="inlineStr">
        <is>
          <t>宇多野</t>
        </is>
      </c>
      <c r="H2852" s="10" t="inlineStr">
        <is>
          <t>発</t>
        </is>
      </c>
      <c r="J2852" s="10" t="inlineStr">
        <is>
          <t>営業</t>
        </is>
      </c>
      <c r="L2852" t="inlineStr">
        <is>
          <t>14:59:05</t>
        </is>
      </c>
      <c r="M2852" t="inlineStr">
        <is>
          <t>14:59:15</t>
        </is>
      </c>
    </row>
    <row r="2853" ht="16.5" customHeight="1" s="37">
      <c r="A2853" t="n">
        <v>22</v>
      </c>
      <c r="B2853" s="10" t="inlineStr">
        <is>
          <t>休日</t>
        </is>
      </c>
      <c r="C2853" s="10" t="inlineStr">
        <is>
          <t>北野線</t>
        </is>
      </c>
      <c r="D2853" s="10" t="inlineStr">
        <is>
          <t>下り</t>
        </is>
      </c>
      <c r="E2853" t="inlineStr">
        <is>
          <t>1461</t>
        </is>
      </c>
      <c r="F2853" t="inlineStr">
        <is>
          <t>0453</t>
        </is>
      </c>
      <c r="G2853" s="10" t="inlineStr">
        <is>
          <t>鳴滝</t>
        </is>
      </c>
      <c r="H2853" s="10" t="inlineStr">
        <is>
          <t>発</t>
        </is>
      </c>
      <c r="J2853" s="10" t="inlineStr">
        <is>
          <t>営業</t>
        </is>
      </c>
      <c r="L2853" t="inlineStr">
        <is>
          <t>15:00:35</t>
        </is>
      </c>
      <c r="M2853" t="inlineStr">
        <is>
          <t>15:00:45</t>
        </is>
      </c>
    </row>
    <row r="2854" ht="16.5" customHeight="1" s="37">
      <c r="A2854" t="n">
        <v>22</v>
      </c>
      <c r="B2854" s="10" t="inlineStr">
        <is>
          <t>休日</t>
        </is>
      </c>
      <c r="C2854" s="10" t="inlineStr">
        <is>
          <t>北野線</t>
        </is>
      </c>
      <c r="D2854" s="10" t="inlineStr">
        <is>
          <t>下り</t>
        </is>
      </c>
      <c r="E2854" t="inlineStr">
        <is>
          <t>1461</t>
        </is>
      </c>
      <c r="F2854" t="inlineStr">
        <is>
          <t>0453</t>
        </is>
      </c>
      <c r="G2854" s="10" t="inlineStr">
        <is>
          <t>常盤</t>
        </is>
      </c>
      <c r="H2854" s="10" t="inlineStr">
        <is>
          <t>発</t>
        </is>
      </c>
      <c r="J2854" s="10" t="inlineStr">
        <is>
          <t>営業</t>
        </is>
      </c>
      <c r="L2854" t="inlineStr">
        <is>
          <t>15:01:35</t>
        </is>
      </c>
      <c r="M2854" t="inlineStr">
        <is>
          <t>15:01:55</t>
        </is>
      </c>
    </row>
    <row r="2855" ht="16.5" customHeight="1" s="37">
      <c r="A2855" t="n">
        <v>22</v>
      </c>
      <c r="B2855" s="10" t="inlineStr">
        <is>
          <t>休日</t>
        </is>
      </c>
      <c r="C2855" s="10" t="inlineStr">
        <is>
          <t>北野線</t>
        </is>
      </c>
      <c r="D2855" s="10" t="inlineStr">
        <is>
          <t>下り</t>
        </is>
      </c>
      <c r="E2855" t="inlineStr">
        <is>
          <t>1461</t>
        </is>
      </c>
      <c r="F2855" t="inlineStr">
        <is>
          <t>0453</t>
        </is>
      </c>
      <c r="G2855" s="10" t="inlineStr">
        <is>
          <t>撮影所前</t>
        </is>
      </c>
      <c r="H2855" s="10" t="inlineStr">
        <is>
          <t>発</t>
        </is>
      </c>
      <c r="J2855" s="10" t="inlineStr">
        <is>
          <t>営業</t>
        </is>
      </c>
      <c r="L2855" t="inlineStr">
        <is>
          <t>15:03:15</t>
        </is>
      </c>
      <c r="M2855" t="inlineStr">
        <is>
          <t>15:03:30</t>
        </is>
      </c>
    </row>
    <row r="2856" ht="16.5" customHeight="1" s="37">
      <c r="A2856" t="n">
        <v>22</v>
      </c>
      <c r="B2856" s="10" t="inlineStr">
        <is>
          <t>休日</t>
        </is>
      </c>
      <c r="C2856" s="10" t="inlineStr">
        <is>
          <t>北野線</t>
        </is>
      </c>
      <c r="D2856" s="10" t="inlineStr">
        <is>
          <t>下り</t>
        </is>
      </c>
      <c r="E2856" t="inlineStr">
        <is>
          <t>1461</t>
        </is>
      </c>
      <c r="F2856" t="inlineStr">
        <is>
          <t>0453</t>
        </is>
      </c>
      <c r="G2856" s="10" t="inlineStr">
        <is>
          <t>帷子ノ辻</t>
        </is>
      </c>
      <c r="H2856" s="10" t="inlineStr">
        <is>
          <t>着</t>
        </is>
      </c>
      <c r="J2856" s="10" t="inlineStr">
        <is>
          <t>営業</t>
        </is>
      </c>
      <c r="L2856" t="inlineStr">
        <is>
          <t>15:04:25</t>
        </is>
      </c>
      <c r="Q2856" t="inlineStr">
        <is>
          <t>3</t>
        </is>
      </c>
    </row>
    <row r="2857" ht="16.5" customHeight="1" s="37">
      <c r="A2857" t="n">
        <v>22</v>
      </c>
      <c r="B2857" s="10" t="inlineStr">
        <is>
          <t>休日</t>
        </is>
      </c>
      <c r="C2857" s="10" t="inlineStr">
        <is>
          <t>北野線</t>
        </is>
      </c>
      <c r="D2857" s="10" t="inlineStr">
        <is>
          <t>上り</t>
        </is>
      </c>
      <c r="E2857" t="inlineStr">
        <is>
          <t>1554</t>
        </is>
      </c>
      <c r="F2857" t="inlineStr">
        <is>
          <t>0354</t>
        </is>
      </c>
      <c r="G2857" s="10" t="inlineStr">
        <is>
          <t>帷子ノ辻</t>
        </is>
      </c>
      <c r="H2857" s="10" t="inlineStr">
        <is>
          <t>発</t>
        </is>
      </c>
      <c r="J2857" s="10" t="inlineStr">
        <is>
          <t>営業</t>
        </is>
      </c>
      <c r="M2857" t="inlineStr">
        <is>
          <t>15:16:25</t>
        </is>
      </c>
      <c r="Q2857" t="inlineStr">
        <is>
          <t>3</t>
        </is>
      </c>
    </row>
    <row r="2858" ht="16.5" customHeight="1" s="37">
      <c r="A2858" t="n">
        <v>22</v>
      </c>
      <c r="B2858" s="10" t="inlineStr">
        <is>
          <t>休日</t>
        </is>
      </c>
      <c r="C2858" s="10" t="inlineStr">
        <is>
          <t>北野線</t>
        </is>
      </c>
      <c r="D2858" s="10" t="inlineStr">
        <is>
          <t>上り</t>
        </is>
      </c>
      <c r="E2858" t="inlineStr">
        <is>
          <t>1554</t>
        </is>
      </c>
      <c r="F2858" t="inlineStr">
        <is>
          <t>0354</t>
        </is>
      </c>
      <c r="G2858" s="10" t="inlineStr">
        <is>
          <t>撮影所前</t>
        </is>
      </c>
      <c r="H2858" s="10" t="inlineStr">
        <is>
          <t>発</t>
        </is>
      </c>
      <c r="J2858" s="10" t="inlineStr">
        <is>
          <t>営業</t>
        </is>
      </c>
      <c r="L2858" t="inlineStr">
        <is>
          <t>15:17:25</t>
        </is>
      </c>
      <c r="M2858" t="inlineStr">
        <is>
          <t>15:17:40</t>
        </is>
      </c>
    </row>
    <row r="2859" ht="16.5" customHeight="1" s="37">
      <c r="A2859" t="n">
        <v>22</v>
      </c>
      <c r="B2859" s="10" t="inlineStr">
        <is>
          <t>休日</t>
        </is>
      </c>
      <c r="C2859" s="10" t="inlineStr">
        <is>
          <t>北野線</t>
        </is>
      </c>
      <c r="D2859" s="10" t="inlineStr">
        <is>
          <t>上り</t>
        </is>
      </c>
      <c r="E2859" t="inlineStr">
        <is>
          <t>1554</t>
        </is>
      </c>
      <c r="F2859" t="inlineStr">
        <is>
          <t>0354</t>
        </is>
      </c>
      <c r="G2859" s="10" t="inlineStr">
        <is>
          <t>常盤</t>
        </is>
      </c>
      <c r="H2859" s="10" t="inlineStr">
        <is>
          <t>発</t>
        </is>
      </c>
      <c r="J2859" s="10" t="inlineStr">
        <is>
          <t>営業</t>
        </is>
      </c>
      <c r="L2859" t="inlineStr">
        <is>
          <t>15:19:00</t>
        </is>
      </c>
      <c r="M2859" t="inlineStr">
        <is>
          <t>15:19:20</t>
        </is>
      </c>
    </row>
    <row r="2860" ht="16.5" customHeight="1" s="37">
      <c r="A2860" t="n">
        <v>22</v>
      </c>
      <c r="B2860" s="10" t="inlineStr">
        <is>
          <t>休日</t>
        </is>
      </c>
      <c r="C2860" s="10" t="inlineStr">
        <is>
          <t>北野線</t>
        </is>
      </c>
      <c r="D2860" s="10" t="inlineStr">
        <is>
          <t>上り</t>
        </is>
      </c>
      <c r="E2860" t="inlineStr">
        <is>
          <t>1554</t>
        </is>
      </c>
      <c r="F2860" t="inlineStr">
        <is>
          <t>0354</t>
        </is>
      </c>
      <c r="G2860" s="10" t="inlineStr">
        <is>
          <t>鳴滝</t>
        </is>
      </c>
      <c r="H2860" s="10" t="inlineStr">
        <is>
          <t>発</t>
        </is>
      </c>
      <c r="J2860" s="10" t="inlineStr">
        <is>
          <t>営業</t>
        </is>
      </c>
      <c r="L2860" t="inlineStr">
        <is>
          <t>15:20:20</t>
        </is>
      </c>
      <c r="M2860" t="inlineStr">
        <is>
          <t>15:20:40</t>
        </is>
      </c>
    </row>
    <row r="2861" ht="16.5" customHeight="1" s="37">
      <c r="A2861" t="n">
        <v>22</v>
      </c>
      <c r="B2861" s="10" t="inlineStr">
        <is>
          <t>休日</t>
        </is>
      </c>
      <c r="C2861" s="10" t="inlineStr">
        <is>
          <t>北野線</t>
        </is>
      </c>
      <c r="D2861" s="10" t="inlineStr">
        <is>
          <t>上り</t>
        </is>
      </c>
      <c r="E2861" t="inlineStr">
        <is>
          <t>1554</t>
        </is>
      </c>
      <c r="F2861" t="inlineStr">
        <is>
          <t>0354</t>
        </is>
      </c>
      <c r="G2861" s="10" t="inlineStr">
        <is>
          <t>宇多野</t>
        </is>
      </c>
      <c r="H2861" s="10" t="inlineStr">
        <is>
          <t>発</t>
        </is>
      </c>
      <c r="J2861" s="10" t="inlineStr">
        <is>
          <t>営業</t>
        </is>
      </c>
      <c r="L2861" t="inlineStr">
        <is>
          <t>15:22:00</t>
        </is>
      </c>
      <c r="M2861" t="inlineStr">
        <is>
          <t>15:22:15</t>
        </is>
      </c>
    </row>
    <row r="2862" ht="16.5" customHeight="1" s="37">
      <c r="A2862" t="n">
        <v>22</v>
      </c>
      <c r="B2862" s="10" t="inlineStr">
        <is>
          <t>休日</t>
        </is>
      </c>
      <c r="C2862" s="10" t="inlineStr">
        <is>
          <t>北野線</t>
        </is>
      </c>
      <c r="D2862" s="10" t="inlineStr">
        <is>
          <t>上り</t>
        </is>
      </c>
      <c r="E2862" t="inlineStr">
        <is>
          <t>1554</t>
        </is>
      </c>
      <c r="F2862" t="inlineStr">
        <is>
          <t>0354</t>
        </is>
      </c>
      <c r="G2862" s="10" t="inlineStr">
        <is>
          <t>御室仁和寺</t>
        </is>
      </c>
      <c r="H2862" s="10" t="inlineStr">
        <is>
          <t>発</t>
        </is>
      </c>
      <c r="J2862" s="10" t="inlineStr">
        <is>
          <t>営業</t>
        </is>
      </c>
      <c r="L2862" t="inlineStr">
        <is>
          <t>15:23:15</t>
        </is>
      </c>
      <c r="M2862" t="inlineStr">
        <is>
          <t>15:23:35</t>
        </is>
      </c>
    </row>
    <row r="2863" ht="16.5" customHeight="1" s="37">
      <c r="A2863" t="n">
        <v>22</v>
      </c>
      <c r="B2863" s="10" t="inlineStr">
        <is>
          <t>休日</t>
        </is>
      </c>
      <c r="C2863" s="10" t="inlineStr">
        <is>
          <t>北野線</t>
        </is>
      </c>
      <c r="D2863" s="10" t="inlineStr">
        <is>
          <t>上り</t>
        </is>
      </c>
      <c r="E2863" t="inlineStr">
        <is>
          <t>1554</t>
        </is>
      </c>
      <c r="F2863" t="inlineStr">
        <is>
          <t>0354</t>
        </is>
      </c>
      <c r="G2863" s="10" t="inlineStr">
        <is>
          <t>妙心寺</t>
        </is>
      </c>
      <c r="H2863" s="10" t="inlineStr">
        <is>
          <t>発</t>
        </is>
      </c>
      <c r="J2863" s="10" t="inlineStr">
        <is>
          <t>営業</t>
        </is>
      </c>
      <c r="L2863" t="inlineStr">
        <is>
          <t>15:24:35</t>
        </is>
      </c>
      <c r="M2863" t="inlineStr">
        <is>
          <t>15:24:50</t>
        </is>
      </c>
    </row>
    <row r="2864" ht="16.5" customHeight="1" s="37">
      <c r="A2864" t="n">
        <v>22</v>
      </c>
      <c r="B2864" s="10" t="inlineStr">
        <is>
          <t>休日</t>
        </is>
      </c>
      <c r="C2864" s="10" t="inlineStr">
        <is>
          <t>北野線</t>
        </is>
      </c>
      <c r="D2864" s="10" t="inlineStr">
        <is>
          <t>上り</t>
        </is>
      </c>
      <c r="E2864" t="inlineStr">
        <is>
          <t>1554</t>
        </is>
      </c>
      <c r="F2864" t="inlineStr">
        <is>
          <t>0354</t>
        </is>
      </c>
      <c r="G2864" s="10" t="inlineStr">
        <is>
          <t>龍安寺</t>
        </is>
      </c>
      <c r="H2864" s="10" t="inlineStr">
        <is>
          <t>発</t>
        </is>
      </c>
      <c r="J2864" s="10" t="inlineStr">
        <is>
          <t>営業</t>
        </is>
      </c>
      <c r="L2864" t="inlineStr">
        <is>
          <t>15:25:45</t>
        </is>
      </c>
      <c r="M2864" t="inlineStr">
        <is>
          <t>15:25:55</t>
        </is>
      </c>
    </row>
    <row r="2865" ht="16.5" customHeight="1" s="37">
      <c r="A2865" t="n">
        <v>22</v>
      </c>
      <c r="B2865" s="10" t="inlineStr">
        <is>
          <t>休日</t>
        </is>
      </c>
      <c r="C2865" s="10" t="inlineStr">
        <is>
          <t>北野線</t>
        </is>
      </c>
      <c r="D2865" s="10" t="inlineStr">
        <is>
          <t>上り</t>
        </is>
      </c>
      <c r="E2865" t="inlineStr">
        <is>
          <t>1554</t>
        </is>
      </c>
      <c r="F2865" t="inlineStr">
        <is>
          <t>0354</t>
        </is>
      </c>
      <c r="G2865" s="10" t="inlineStr">
        <is>
          <t>等持院</t>
        </is>
      </c>
      <c r="H2865" s="10" t="inlineStr">
        <is>
          <t>発</t>
        </is>
      </c>
      <c r="J2865" s="10" t="inlineStr">
        <is>
          <t>営業</t>
        </is>
      </c>
      <c r="L2865" t="inlineStr">
        <is>
          <t>15:26:35</t>
        </is>
      </c>
      <c r="M2865" t="inlineStr">
        <is>
          <t>15:26:55</t>
        </is>
      </c>
    </row>
    <row r="2866" ht="16.5" customHeight="1" s="37">
      <c r="A2866" t="n">
        <v>22</v>
      </c>
      <c r="B2866" s="10" t="inlineStr">
        <is>
          <t>休日</t>
        </is>
      </c>
      <c r="C2866" s="10" t="inlineStr">
        <is>
          <t>北野線</t>
        </is>
      </c>
      <c r="D2866" s="10" t="inlineStr">
        <is>
          <t>上り</t>
        </is>
      </c>
      <c r="E2866" t="inlineStr">
        <is>
          <t>1554</t>
        </is>
      </c>
      <c r="F2866" t="inlineStr">
        <is>
          <t>0354</t>
        </is>
      </c>
      <c r="G2866" s="10" t="inlineStr">
        <is>
          <t>北野白梅町</t>
        </is>
      </c>
      <c r="H2866" s="10" t="inlineStr">
        <is>
          <t>着</t>
        </is>
      </c>
      <c r="J2866" s="10" t="inlineStr">
        <is>
          <t>営業</t>
        </is>
      </c>
      <c r="L2866" t="inlineStr">
        <is>
          <t>15:28:15</t>
        </is>
      </c>
      <c r="Q2866" t="inlineStr">
        <is>
          <t>1</t>
        </is>
      </c>
    </row>
    <row r="2867" ht="16.5" customHeight="1" s="37">
      <c r="A2867" t="n">
        <v>22</v>
      </c>
      <c r="B2867" s="10" t="inlineStr">
        <is>
          <t>休日</t>
        </is>
      </c>
      <c r="C2867" s="10" t="inlineStr">
        <is>
          <t>北野線</t>
        </is>
      </c>
      <c r="D2867" s="10" t="inlineStr">
        <is>
          <t>下り</t>
        </is>
      </c>
      <c r="E2867" t="inlineStr">
        <is>
          <t>1557</t>
        </is>
      </c>
      <c r="F2867" t="inlineStr">
        <is>
          <t>0453</t>
        </is>
      </c>
      <c r="G2867" s="10" t="inlineStr">
        <is>
          <t>北野白梅町</t>
        </is>
      </c>
      <c r="H2867" s="10" t="inlineStr">
        <is>
          <t>発</t>
        </is>
      </c>
      <c r="J2867" s="10" t="inlineStr">
        <is>
          <t>営業</t>
        </is>
      </c>
      <c r="M2867" t="inlineStr">
        <is>
          <t>15:33:00</t>
        </is>
      </c>
      <c r="Q2867" t="inlineStr">
        <is>
          <t>1</t>
        </is>
      </c>
    </row>
    <row r="2868" ht="16.5" customHeight="1" s="37">
      <c r="A2868" t="n">
        <v>22</v>
      </c>
      <c r="B2868" s="10" t="inlineStr">
        <is>
          <t>休日</t>
        </is>
      </c>
      <c r="C2868" s="10" t="inlineStr">
        <is>
          <t>北野線</t>
        </is>
      </c>
      <c r="D2868" s="10" t="inlineStr">
        <is>
          <t>下り</t>
        </is>
      </c>
      <c r="E2868" t="inlineStr">
        <is>
          <t>1557</t>
        </is>
      </c>
      <c r="F2868" t="inlineStr">
        <is>
          <t>0453</t>
        </is>
      </c>
      <c r="G2868" s="10" t="inlineStr">
        <is>
          <t>等持院</t>
        </is>
      </c>
      <c r="H2868" s="10" t="inlineStr">
        <is>
          <t>発</t>
        </is>
      </c>
      <c r="J2868" s="10" t="inlineStr">
        <is>
          <t>営業</t>
        </is>
      </c>
      <c r="L2868" t="inlineStr">
        <is>
          <t>15:34:25</t>
        </is>
      </c>
      <c r="M2868" t="inlineStr">
        <is>
          <t>15:34:35</t>
        </is>
      </c>
    </row>
    <row r="2869" ht="16.5" customHeight="1" s="37">
      <c r="A2869" t="n">
        <v>22</v>
      </c>
      <c r="B2869" s="10" t="inlineStr">
        <is>
          <t>休日</t>
        </is>
      </c>
      <c r="C2869" s="10" t="inlineStr">
        <is>
          <t>北野線</t>
        </is>
      </c>
      <c r="D2869" s="10" t="inlineStr">
        <is>
          <t>下り</t>
        </is>
      </c>
      <c r="E2869" t="inlineStr">
        <is>
          <t>1557</t>
        </is>
      </c>
      <c r="F2869" t="inlineStr">
        <is>
          <t>0453</t>
        </is>
      </c>
      <c r="G2869" s="10" t="inlineStr">
        <is>
          <t>龍安寺</t>
        </is>
      </c>
      <c r="H2869" s="10" t="inlineStr">
        <is>
          <t>発</t>
        </is>
      </c>
      <c r="J2869" s="10" t="inlineStr">
        <is>
          <t>営業</t>
        </is>
      </c>
      <c r="L2869" t="inlineStr">
        <is>
          <t>15:35:25</t>
        </is>
      </c>
      <c r="M2869" t="inlineStr">
        <is>
          <t>15:35:50</t>
        </is>
      </c>
    </row>
    <row r="2870" ht="16.5" customHeight="1" s="37">
      <c r="A2870" t="n">
        <v>22</v>
      </c>
      <c r="B2870" s="10" t="inlineStr">
        <is>
          <t>休日</t>
        </is>
      </c>
      <c r="C2870" s="10" t="inlineStr">
        <is>
          <t>北野線</t>
        </is>
      </c>
      <c r="D2870" s="10" t="inlineStr">
        <is>
          <t>下り</t>
        </is>
      </c>
      <c r="E2870" t="inlineStr">
        <is>
          <t>1557</t>
        </is>
      </c>
      <c r="F2870" t="inlineStr">
        <is>
          <t>0453</t>
        </is>
      </c>
      <c r="G2870" s="10" t="inlineStr">
        <is>
          <t>妙心寺</t>
        </is>
      </c>
      <c r="H2870" s="10" t="inlineStr">
        <is>
          <t>発</t>
        </is>
      </c>
      <c r="J2870" s="10" t="inlineStr">
        <is>
          <t>営業</t>
        </is>
      </c>
      <c r="L2870" t="inlineStr">
        <is>
          <t>15:36:40</t>
        </is>
      </c>
      <c r="M2870" t="inlineStr">
        <is>
          <t>15:36:50</t>
        </is>
      </c>
    </row>
    <row r="2871" ht="16.5" customHeight="1" s="37">
      <c r="A2871" t="n">
        <v>22</v>
      </c>
      <c r="B2871" s="10" t="inlineStr">
        <is>
          <t>休日</t>
        </is>
      </c>
      <c r="C2871" s="10" t="inlineStr">
        <is>
          <t>北野線</t>
        </is>
      </c>
      <c r="D2871" s="10" t="inlineStr">
        <is>
          <t>下り</t>
        </is>
      </c>
      <c r="E2871" t="inlineStr">
        <is>
          <t>1557</t>
        </is>
      </c>
      <c r="F2871" t="inlineStr">
        <is>
          <t>0453</t>
        </is>
      </c>
      <c r="G2871" s="10" t="inlineStr">
        <is>
          <t>御室仁和寺</t>
        </is>
      </c>
      <c r="H2871" s="10" t="inlineStr">
        <is>
          <t>発</t>
        </is>
      </c>
      <c r="J2871" s="10" t="inlineStr">
        <is>
          <t>営業</t>
        </is>
      </c>
      <c r="L2871" t="inlineStr">
        <is>
          <t>15:37:50</t>
        </is>
      </c>
      <c r="M2871" t="inlineStr">
        <is>
          <t>15:38:05</t>
        </is>
      </c>
    </row>
    <row r="2872" ht="16.5" customHeight="1" s="37">
      <c r="A2872" t="n">
        <v>22</v>
      </c>
      <c r="B2872" s="10" t="inlineStr">
        <is>
          <t>休日</t>
        </is>
      </c>
      <c r="C2872" s="10" t="inlineStr">
        <is>
          <t>北野線</t>
        </is>
      </c>
      <c r="D2872" s="10" t="inlineStr">
        <is>
          <t>下り</t>
        </is>
      </c>
      <c r="E2872" t="inlineStr">
        <is>
          <t>1557</t>
        </is>
      </c>
      <c r="F2872" t="inlineStr">
        <is>
          <t>0453</t>
        </is>
      </c>
      <c r="G2872" s="10" t="inlineStr">
        <is>
          <t>宇多野</t>
        </is>
      </c>
      <c r="H2872" s="10" t="inlineStr">
        <is>
          <t>発</t>
        </is>
      </c>
      <c r="J2872" s="10" t="inlineStr">
        <is>
          <t>営業</t>
        </is>
      </c>
      <c r="L2872" t="inlineStr">
        <is>
          <t>15:39:05</t>
        </is>
      </c>
      <c r="M2872" t="inlineStr">
        <is>
          <t>15:39:15</t>
        </is>
      </c>
    </row>
    <row r="2873" ht="16.5" customHeight="1" s="37">
      <c r="A2873" t="n">
        <v>22</v>
      </c>
      <c r="B2873" s="10" t="inlineStr">
        <is>
          <t>休日</t>
        </is>
      </c>
      <c r="C2873" s="10" t="inlineStr">
        <is>
          <t>北野線</t>
        </is>
      </c>
      <c r="D2873" s="10" t="inlineStr">
        <is>
          <t>下り</t>
        </is>
      </c>
      <c r="E2873" t="inlineStr">
        <is>
          <t>1557</t>
        </is>
      </c>
      <c r="F2873" t="inlineStr">
        <is>
          <t>0453</t>
        </is>
      </c>
      <c r="G2873" s="10" t="inlineStr">
        <is>
          <t>鳴滝</t>
        </is>
      </c>
      <c r="H2873" s="10" t="inlineStr">
        <is>
          <t>発</t>
        </is>
      </c>
      <c r="J2873" s="10" t="inlineStr">
        <is>
          <t>営業</t>
        </is>
      </c>
      <c r="L2873" t="inlineStr">
        <is>
          <t>15:40:35</t>
        </is>
      </c>
      <c r="M2873" t="inlineStr">
        <is>
          <t>15:40:45</t>
        </is>
      </c>
    </row>
    <row r="2874" ht="16.5" customHeight="1" s="37">
      <c r="A2874" t="n">
        <v>22</v>
      </c>
      <c r="B2874" s="10" t="inlineStr">
        <is>
          <t>休日</t>
        </is>
      </c>
      <c r="C2874" s="10" t="inlineStr">
        <is>
          <t>北野線</t>
        </is>
      </c>
      <c r="D2874" s="10" t="inlineStr">
        <is>
          <t>下り</t>
        </is>
      </c>
      <c r="E2874" t="inlineStr">
        <is>
          <t>1557</t>
        </is>
      </c>
      <c r="F2874" t="inlineStr">
        <is>
          <t>0453</t>
        </is>
      </c>
      <c r="G2874" s="10" t="inlineStr">
        <is>
          <t>常盤</t>
        </is>
      </c>
      <c r="H2874" s="10" t="inlineStr">
        <is>
          <t>発</t>
        </is>
      </c>
      <c r="J2874" s="10" t="inlineStr">
        <is>
          <t>営業</t>
        </is>
      </c>
      <c r="L2874" t="inlineStr">
        <is>
          <t>15:41:35</t>
        </is>
      </c>
      <c r="M2874" t="inlineStr">
        <is>
          <t>15:41:55</t>
        </is>
      </c>
    </row>
    <row r="2875" ht="16.5" customHeight="1" s="37">
      <c r="A2875" t="n">
        <v>22</v>
      </c>
      <c r="B2875" s="10" t="inlineStr">
        <is>
          <t>休日</t>
        </is>
      </c>
      <c r="C2875" s="10" t="inlineStr">
        <is>
          <t>北野線</t>
        </is>
      </c>
      <c r="D2875" s="10" t="inlineStr">
        <is>
          <t>下り</t>
        </is>
      </c>
      <c r="E2875" t="inlineStr">
        <is>
          <t>1557</t>
        </is>
      </c>
      <c r="F2875" t="inlineStr">
        <is>
          <t>0453</t>
        </is>
      </c>
      <c r="G2875" s="10" t="inlineStr">
        <is>
          <t>撮影所前</t>
        </is>
      </c>
      <c r="H2875" s="10" t="inlineStr">
        <is>
          <t>発</t>
        </is>
      </c>
      <c r="J2875" s="10" t="inlineStr">
        <is>
          <t>営業</t>
        </is>
      </c>
      <c r="L2875" t="inlineStr">
        <is>
          <t>15:43:15</t>
        </is>
      </c>
      <c r="M2875" t="inlineStr">
        <is>
          <t>15:43:30</t>
        </is>
      </c>
    </row>
    <row r="2876" ht="16.5" customHeight="1" s="37">
      <c r="A2876" t="n">
        <v>22</v>
      </c>
      <c r="B2876" s="10" t="inlineStr">
        <is>
          <t>休日</t>
        </is>
      </c>
      <c r="C2876" s="10" t="inlineStr">
        <is>
          <t>北野線</t>
        </is>
      </c>
      <c r="D2876" s="10" t="inlineStr">
        <is>
          <t>下り</t>
        </is>
      </c>
      <c r="E2876" t="inlineStr">
        <is>
          <t>1557</t>
        </is>
      </c>
      <c r="F2876" t="inlineStr">
        <is>
          <t>0453</t>
        </is>
      </c>
      <c r="G2876" s="10" t="inlineStr">
        <is>
          <t>帷子ノ辻</t>
        </is>
      </c>
      <c r="H2876" s="10" t="inlineStr">
        <is>
          <t>着</t>
        </is>
      </c>
      <c r="J2876" s="10" t="inlineStr">
        <is>
          <t>営業</t>
        </is>
      </c>
      <c r="L2876" t="inlineStr">
        <is>
          <t>15:44:25</t>
        </is>
      </c>
      <c r="Q2876" t="inlineStr">
        <is>
          <t>3</t>
        </is>
      </c>
    </row>
    <row r="2877" ht="16.5" customHeight="1" s="37">
      <c r="A2877" t="n">
        <v>22</v>
      </c>
      <c r="B2877" s="10" t="inlineStr">
        <is>
          <t>休日</t>
        </is>
      </c>
      <c r="C2877" s="10" t="inlineStr">
        <is>
          <t>北野線</t>
        </is>
      </c>
      <c r="D2877" s="10" t="inlineStr">
        <is>
          <t>上り</t>
        </is>
      </c>
      <c r="E2877" t="inlineStr">
        <is>
          <t>1562</t>
        </is>
      </c>
      <c r="F2877" t="inlineStr">
        <is>
          <t>0354</t>
        </is>
      </c>
      <c r="G2877" s="10" t="inlineStr">
        <is>
          <t>帷子ノ辻</t>
        </is>
      </c>
      <c r="H2877" s="10" t="inlineStr">
        <is>
          <t>発</t>
        </is>
      </c>
      <c r="J2877" s="10" t="inlineStr">
        <is>
          <t>営業</t>
        </is>
      </c>
      <c r="M2877" t="inlineStr">
        <is>
          <t>15:56:25</t>
        </is>
      </c>
      <c r="Q2877" t="inlineStr">
        <is>
          <t>3</t>
        </is>
      </c>
    </row>
    <row r="2878" ht="16.5" customHeight="1" s="37">
      <c r="A2878" t="n">
        <v>22</v>
      </c>
      <c r="B2878" s="10" t="inlineStr">
        <is>
          <t>休日</t>
        </is>
      </c>
      <c r="C2878" s="10" t="inlineStr">
        <is>
          <t>北野線</t>
        </is>
      </c>
      <c r="D2878" s="10" t="inlineStr">
        <is>
          <t>上り</t>
        </is>
      </c>
      <c r="E2878" t="inlineStr">
        <is>
          <t>1562</t>
        </is>
      </c>
      <c r="F2878" t="inlineStr">
        <is>
          <t>0354</t>
        </is>
      </c>
      <c r="G2878" s="10" t="inlineStr">
        <is>
          <t>撮影所前</t>
        </is>
      </c>
      <c r="H2878" s="10" t="inlineStr">
        <is>
          <t>発</t>
        </is>
      </c>
      <c r="J2878" s="10" t="inlineStr">
        <is>
          <t>営業</t>
        </is>
      </c>
      <c r="L2878" t="inlineStr">
        <is>
          <t>15:57:25</t>
        </is>
      </c>
      <c r="M2878" t="inlineStr">
        <is>
          <t>15:57:40</t>
        </is>
      </c>
    </row>
    <row r="2879" ht="16.5" customHeight="1" s="37">
      <c r="A2879" t="n">
        <v>22</v>
      </c>
      <c r="B2879" s="10" t="inlineStr">
        <is>
          <t>休日</t>
        </is>
      </c>
      <c r="C2879" s="10" t="inlineStr">
        <is>
          <t>北野線</t>
        </is>
      </c>
      <c r="D2879" s="10" t="inlineStr">
        <is>
          <t>上り</t>
        </is>
      </c>
      <c r="E2879" t="inlineStr">
        <is>
          <t>1562</t>
        </is>
      </c>
      <c r="F2879" t="inlineStr">
        <is>
          <t>0354</t>
        </is>
      </c>
      <c r="G2879" s="10" t="inlineStr">
        <is>
          <t>常盤</t>
        </is>
      </c>
      <c r="H2879" s="10" t="inlineStr">
        <is>
          <t>発</t>
        </is>
      </c>
      <c r="J2879" s="10" t="inlineStr">
        <is>
          <t>営業</t>
        </is>
      </c>
      <c r="L2879" t="inlineStr">
        <is>
          <t>15:59:00</t>
        </is>
      </c>
      <c r="M2879" t="inlineStr">
        <is>
          <t>15:59:20</t>
        </is>
      </c>
    </row>
    <row r="2880" ht="16.5" customHeight="1" s="37">
      <c r="A2880" t="n">
        <v>22</v>
      </c>
      <c r="B2880" s="10" t="inlineStr">
        <is>
          <t>休日</t>
        </is>
      </c>
      <c r="C2880" s="10" t="inlineStr">
        <is>
          <t>北野線</t>
        </is>
      </c>
      <c r="D2880" s="10" t="inlineStr">
        <is>
          <t>上り</t>
        </is>
      </c>
      <c r="E2880" t="inlineStr">
        <is>
          <t>1562</t>
        </is>
      </c>
      <c r="F2880" t="inlineStr">
        <is>
          <t>0354</t>
        </is>
      </c>
      <c r="G2880" s="10" t="inlineStr">
        <is>
          <t>鳴滝</t>
        </is>
      </c>
      <c r="H2880" s="10" t="inlineStr">
        <is>
          <t>発</t>
        </is>
      </c>
      <c r="J2880" s="10" t="inlineStr">
        <is>
          <t>営業</t>
        </is>
      </c>
      <c r="L2880" t="inlineStr">
        <is>
          <t>16:00:20</t>
        </is>
      </c>
      <c r="M2880" t="inlineStr">
        <is>
          <t>16:00:40</t>
        </is>
      </c>
    </row>
    <row r="2881" ht="16.5" customHeight="1" s="37">
      <c r="A2881" t="n">
        <v>22</v>
      </c>
      <c r="B2881" s="10" t="inlineStr">
        <is>
          <t>休日</t>
        </is>
      </c>
      <c r="C2881" s="10" t="inlineStr">
        <is>
          <t>北野線</t>
        </is>
      </c>
      <c r="D2881" s="10" t="inlineStr">
        <is>
          <t>上り</t>
        </is>
      </c>
      <c r="E2881" t="inlineStr">
        <is>
          <t>1562</t>
        </is>
      </c>
      <c r="F2881" t="inlineStr">
        <is>
          <t>0354</t>
        </is>
      </c>
      <c r="G2881" s="10" t="inlineStr">
        <is>
          <t>宇多野</t>
        </is>
      </c>
      <c r="H2881" s="10" t="inlineStr">
        <is>
          <t>発</t>
        </is>
      </c>
      <c r="J2881" s="10" t="inlineStr">
        <is>
          <t>営業</t>
        </is>
      </c>
      <c r="L2881" t="inlineStr">
        <is>
          <t>16:02:00</t>
        </is>
      </c>
      <c r="M2881" t="inlineStr">
        <is>
          <t>16:02:15</t>
        </is>
      </c>
    </row>
    <row r="2882" ht="16.5" customHeight="1" s="37">
      <c r="A2882" t="n">
        <v>22</v>
      </c>
      <c r="B2882" s="10" t="inlineStr">
        <is>
          <t>休日</t>
        </is>
      </c>
      <c r="C2882" s="10" t="inlineStr">
        <is>
          <t>北野線</t>
        </is>
      </c>
      <c r="D2882" s="10" t="inlineStr">
        <is>
          <t>上り</t>
        </is>
      </c>
      <c r="E2882" t="inlineStr">
        <is>
          <t>1562</t>
        </is>
      </c>
      <c r="F2882" t="inlineStr">
        <is>
          <t>0354</t>
        </is>
      </c>
      <c r="G2882" s="10" t="inlineStr">
        <is>
          <t>御室仁和寺</t>
        </is>
      </c>
      <c r="H2882" s="10" t="inlineStr">
        <is>
          <t>発</t>
        </is>
      </c>
      <c r="J2882" s="10" t="inlineStr">
        <is>
          <t>営業</t>
        </is>
      </c>
      <c r="L2882" t="inlineStr">
        <is>
          <t>16:03:15</t>
        </is>
      </c>
      <c r="M2882" t="inlineStr">
        <is>
          <t>16:03:35</t>
        </is>
      </c>
    </row>
    <row r="2883" ht="16.5" customHeight="1" s="37">
      <c r="A2883" t="n">
        <v>22</v>
      </c>
      <c r="B2883" s="10" t="inlineStr">
        <is>
          <t>休日</t>
        </is>
      </c>
      <c r="C2883" s="10" t="inlineStr">
        <is>
          <t>北野線</t>
        </is>
      </c>
      <c r="D2883" s="10" t="inlineStr">
        <is>
          <t>上り</t>
        </is>
      </c>
      <c r="E2883" t="inlineStr">
        <is>
          <t>1562</t>
        </is>
      </c>
      <c r="F2883" t="inlineStr">
        <is>
          <t>0354</t>
        </is>
      </c>
      <c r="G2883" s="10" t="inlineStr">
        <is>
          <t>妙心寺</t>
        </is>
      </c>
      <c r="H2883" s="10" t="inlineStr">
        <is>
          <t>発</t>
        </is>
      </c>
      <c r="J2883" s="10" t="inlineStr">
        <is>
          <t>営業</t>
        </is>
      </c>
      <c r="L2883" t="inlineStr">
        <is>
          <t>16:04:35</t>
        </is>
      </c>
      <c r="M2883" t="inlineStr">
        <is>
          <t>16:04:50</t>
        </is>
      </c>
    </row>
    <row r="2884" ht="16.5" customHeight="1" s="37">
      <c r="A2884" t="n">
        <v>22</v>
      </c>
      <c r="B2884" s="10" t="inlineStr">
        <is>
          <t>休日</t>
        </is>
      </c>
      <c r="C2884" s="10" t="inlineStr">
        <is>
          <t>北野線</t>
        </is>
      </c>
      <c r="D2884" s="10" t="inlineStr">
        <is>
          <t>上り</t>
        </is>
      </c>
      <c r="E2884" t="inlineStr">
        <is>
          <t>1562</t>
        </is>
      </c>
      <c r="F2884" t="inlineStr">
        <is>
          <t>0354</t>
        </is>
      </c>
      <c r="G2884" s="10" t="inlineStr">
        <is>
          <t>龍安寺</t>
        </is>
      </c>
      <c r="H2884" s="10" t="inlineStr">
        <is>
          <t>発</t>
        </is>
      </c>
      <c r="J2884" s="10" t="inlineStr">
        <is>
          <t>営業</t>
        </is>
      </c>
      <c r="L2884" t="inlineStr">
        <is>
          <t>16:05:45</t>
        </is>
      </c>
      <c r="M2884" t="inlineStr">
        <is>
          <t>16:05:55</t>
        </is>
      </c>
    </row>
    <row r="2885" ht="16.5" customHeight="1" s="37">
      <c r="A2885" t="n">
        <v>22</v>
      </c>
      <c r="B2885" s="10" t="inlineStr">
        <is>
          <t>休日</t>
        </is>
      </c>
      <c r="C2885" s="10" t="inlineStr">
        <is>
          <t>北野線</t>
        </is>
      </c>
      <c r="D2885" s="10" t="inlineStr">
        <is>
          <t>上り</t>
        </is>
      </c>
      <c r="E2885" t="inlineStr">
        <is>
          <t>1562</t>
        </is>
      </c>
      <c r="F2885" t="inlineStr">
        <is>
          <t>0354</t>
        </is>
      </c>
      <c r="G2885" s="10" t="inlineStr">
        <is>
          <t>等持院</t>
        </is>
      </c>
      <c r="H2885" s="10" t="inlineStr">
        <is>
          <t>発</t>
        </is>
      </c>
      <c r="J2885" s="10" t="inlineStr">
        <is>
          <t>営業</t>
        </is>
      </c>
      <c r="L2885" t="inlineStr">
        <is>
          <t>16:06:35</t>
        </is>
      </c>
      <c r="M2885" t="inlineStr">
        <is>
          <t>16:06:55</t>
        </is>
      </c>
    </row>
    <row r="2886" ht="16.5" customHeight="1" s="37">
      <c r="A2886" t="n">
        <v>22</v>
      </c>
      <c r="B2886" s="10" t="inlineStr">
        <is>
          <t>休日</t>
        </is>
      </c>
      <c r="C2886" s="10" t="inlineStr">
        <is>
          <t>北野線</t>
        </is>
      </c>
      <c r="D2886" s="10" t="inlineStr">
        <is>
          <t>上り</t>
        </is>
      </c>
      <c r="E2886" t="inlineStr">
        <is>
          <t>1562</t>
        </is>
      </c>
      <c r="F2886" t="inlineStr">
        <is>
          <t>0354</t>
        </is>
      </c>
      <c r="G2886" s="10" t="inlineStr">
        <is>
          <t>北野白梅町</t>
        </is>
      </c>
      <c r="H2886" s="10" t="inlineStr">
        <is>
          <t>着</t>
        </is>
      </c>
      <c r="J2886" s="10" t="inlineStr">
        <is>
          <t>営業</t>
        </is>
      </c>
      <c r="L2886" t="inlineStr">
        <is>
          <t>16:08:15</t>
        </is>
      </c>
      <c r="Q2886" t="inlineStr">
        <is>
          <t>1</t>
        </is>
      </c>
    </row>
    <row r="2887" ht="16.5" customHeight="1" s="37">
      <c r="A2887" t="n">
        <v>22</v>
      </c>
      <c r="B2887" s="10" t="inlineStr">
        <is>
          <t>休日</t>
        </is>
      </c>
      <c r="C2887" s="10" t="inlineStr">
        <is>
          <t>北野線</t>
        </is>
      </c>
      <c r="D2887" s="10" t="inlineStr">
        <is>
          <t>下り</t>
        </is>
      </c>
      <c r="E2887" t="inlineStr">
        <is>
          <t>1653</t>
        </is>
      </c>
      <c r="F2887" t="inlineStr">
        <is>
          <t>0453</t>
        </is>
      </c>
      <c r="G2887" s="10" t="inlineStr">
        <is>
          <t>北野白梅町</t>
        </is>
      </c>
      <c r="H2887" s="10" t="inlineStr">
        <is>
          <t>発</t>
        </is>
      </c>
      <c r="J2887" s="10" t="inlineStr">
        <is>
          <t>営業</t>
        </is>
      </c>
      <c r="M2887" t="inlineStr">
        <is>
          <t>16:13:00</t>
        </is>
      </c>
      <c r="Q2887" t="inlineStr">
        <is>
          <t>1</t>
        </is>
      </c>
    </row>
    <row r="2888" ht="15" customHeight="1" s="37">
      <c r="A2888" t="n">
        <v>22</v>
      </c>
      <c r="B2888" s="10" t="inlineStr">
        <is>
          <t>休日</t>
        </is>
      </c>
      <c r="C2888" s="10" t="inlineStr">
        <is>
          <t>北野線</t>
        </is>
      </c>
      <c r="D2888" s="10" t="inlineStr">
        <is>
          <t>下り</t>
        </is>
      </c>
      <c r="E2888" t="inlineStr">
        <is>
          <t>1653</t>
        </is>
      </c>
      <c r="F2888" t="inlineStr">
        <is>
          <t>0453</t>
        </is>
      </c>
      <c r="G2888" s="10" t="inlineStr">
        <is>
          <t>等持院</t>
        </is>
      </c>
      <c r="H2888" s="10" t="inlineStr">
        <is>
          <t>発</t>
        </is>
      </c>
      <c r="J2888" s="10" t="inlineStr">
        <is>
          <t>営業</t>
        </is>
      </c>
      <c r="L2888" t="inlineStr">
        <is>
          <t>16:14:25</t>
        </is>
      </c>
      <c r="M2888" t="inlineStr">
        <is>
          <t>16:14:35</t>
        </is>
      </c>
    </row>
    <row r="2889" ht="15" customHeight="1" s="37">
      <c r="A2889" t="n">
        <v>22</v>
      </c>
      <c r="B2889" s="10" t="inlineStr">
        <is>
          <t>休日</t>
        </is>
      </c>
      <c r="C2889" s="10" t="inlineStr">
        <is>
          <t>北野線</t>
        </is>
      </c>
      <c r="D2889" s="10" t="inlineStr">
        <is>
          <t>下り</t>
        </is>
      </c>
      <c r="E2889" t="inlineStr">
        <is>
          <t>1653</t>
        </is>
      </c>
      <c r="F2889" t="inlineStr">
        <is>
          <t>0453</t>
        </is>
      </c>
      <c r="G2889" s="10" t="inlineStr">
        <is>
          <t>龍安寺</t>
        </is>
      </c>
      <c r="H2889" s="10" t="inlineStr">
        <is>
          <t>発</t>
        </is>
      </c>
      <c r="J2889" s="10" t="inlineStr">
        <is>
          <t>営業</t>
        </is>
      </c>
      <c r="L2889" t="inlineStr">
        <is>
          <t>16:15:25</t>
        </is>
      </c>
      <c r="M2889" t="inlineStr">
        <is>
          <t>16:15:50</t>
        </is>
      </c>
    </row>
    <row r="2890" ht="15" customHeight="1" s="37">
      <c r="A2890" t="n">
        <v>22</v>
      </c>
      <c r="B2890" s="10" t="inlineStr">
        <is>
          <t>休日</t>
        </is>
      </c>
      <c r="C2890" s="10" t="inlineStr">
        <is>
          <t>北野線</t>
        </is>
      </c>
      <c r="D2890" s="10" t="inlineStr">
        <is>
          <t>下り</t>
        </is>
      </c>
      <c r="E2890" t="inlineStr">
        <is>
          <t>1653</t>
        </is>
      </c>
      <c r="F2890" t="inlineStr">
        <is>
          <t>0453</t>
        </is>
      </c>
      <c r="G2890" s="10" t="inlineStr">
        <is>
          <t>妙心寺</t>
        </is>
      </c>
      <c r="H2890" s="10" t="inlineStr">
        <is>
          <t>発</t>
        </is>
      </c>
      <c r="J2890" s="10" t="inlineStr">
        <is>
          <t>営業</t>
        </is>
      </c>
      <c r="L2890" t="inlineStr">
        <is>
          <t>16:16:40</t>
        </is>
      </c>
      <c r="M2890" t="inlineStr">
        <is>
          <t>16:16:50</t>
        </is>
      </c>
    </row>
    <row r="2891" ht="15" customHeight="1" s="37">
      <c r="A2891" t="n">
        <v>22</v>
      </c>
      <c r="B2891" s="10" t="inlineStr">
        <is>
          <t>休日</t>
        </is>
      </c>
      <c r="C2891" s="10" t="inlineStr">
        <is>
          <t>北野線</t>
        </is>
      </c>
      <c r="D2891" s="10" t="inlineStr">
        <is>
          <t>下り</t>
        </is>
      </c>
      <c r="E2891" t="inlineStr">
        <is>
          <t>1653</t>
        </is>
      </c>
      <c r="F2891" t="inlineStr">
        <is>
          <t>0453</t>
        </is>
      </c>
      <c r="G2891" s="10" t="inlineStr">
        <is>
          <t>御室仁和寺</t>
        </is>
      </c>
      <c r="H2891" s="10" t="inlineStr">
        <is>
          <t>発</t>
        </is>
      </c>
      <c r="J2891" s="10" t="inlineStr">
        <is>
          <t>営業</t>
        </is>
      </c>
      <c r="L2891" t="inlineStr">
        <is>
          <t>16:17:50</t>
        </is>
      </c>
      <c r="M2891" t="inlineStr">
        <is>
          <t>16:18:05</t>
        </is>
      </c>
    </row>
    <row r="2892" ht="15" customHeight="1" s="37">
      <c r="A2892" t="n">
        <v>22</v>
      </c>
      <c r="B2892" s="10" t="inlineStr">
        <is>
          <t>休日</t>
        </is>
      </c>
      <c r="C2892" s="10" t="inlineStr">
        <is>
          <t>北野線</t>
        </is>
      </c>
      <c r="D2892" s="10" t="inlineStr">
        <is>
          <t>下り</t>
        </is>
      </c>
      <c r="E2892" t="inlineStr">
        <is>
          <t>1653</t>
        </is>
      </c>
      <c r="F2892" t="inlineStr">
        <is>
          <t>0453</t>
        </is>
      </c>
      <c r="G2892" s="10" t="inlineStr">
        <is>
          <t>宇多野</t>
        </is>
      </c>
      <c r="H2892" s="10" t="inlineStr">
        <is>
          <t>発</t>
        </is>
      </c>
      <c r="J2892" s="10" t="inlineStr">
        <is>
          <t>営業</t>
        </is>
      </c>
      <c r="L2892" t="inlineStr">
        <is>
          <t>16:19:05</t>
        </is>
      </c>
      <c r="M2892" t="inlineStr">
        <is>
          <t>16:19:15</t>
        </is>
      </c>
    </row>
    <row r="2893" ht="15" customHeight="1" s="37">
      <c r="A2893" t="n">
        <v>22</v>
      </c>
      <c r="B2893" s="10" t="inlineStr">
        <is>
          <t>休日</t>
        </is>
      </c>
      <c r="C2893" s="10" t="inlineStr">
        <is>
          <t>北野線</t>
        </is>
      </c>
      <c r="D2893" s="10" t="inlineStr">
        <is>
          <t>下り</t>
        </is>
      </c>
      <c r="E2893" t="inlineStr">
        <is>
          <t>1653</t>
        </is>
      </c>
      <c r="F2893" t="inlineStr">
        <is>
          <t>0453</t>
        </is>
      </c>
      <c r="G2893" s="10" t="inlineStr">
        <is>
          <t>鳴滝</t>
        </is>
      </c>
      <c r="H2893" s="10" t="inlineStr">
        <is>
          <t>発</t>
        </is>
      </c>
      <c r="J2893" s="10" t="inlineStr">
        <is>
          <t>営業</t>
        </is>
      </c>
      <c r="L2893" t="inlineStr">
        <is>
          <t>16:20:35</t>
        </is>
      </c>
      <c r="M2893" t="inlineStr">
        <is>
          <t>16:20:45</t>
        </is>
      </c>
    </row>
    <row r="2894" ht="15" customHeight="1" s="37">
      <c r="A2894" t="n">
        <v>22</v>
      </c>
      <c r="B2894" s="10" t="inlineStr">
        <is>
          <t>休日</t>
        </is>
      </c>
      <c r="C2894" s="10" t="inlineStr">
        <is>
          <t>北野線</t>
        </is>
      </c>
      <c r="D2894" s="10" t="inlineStr">
        <is>
          <t>下り</t>
        </is>
      </c>
      <c r="E2894" t="inlineStr">
        <is>
          <t>1653</t>
        </is>
      </c>
      <c r="F2894" t="inlineStr">
        <is>
          <t>0453</t>
        </is>
      </c>
      <c r="G2894" s="10" t="inlineStr">
        <is>
          <t>常盤</t>
        </is>
      </c>
      <c r="H2894" s="10" t="inlineStr">
        <is>
          <t>発</t>
        </is>
      </c>
      <c r="J2894" s="10" t="inlineStr">
        <is>
          <t>営業</t>
        </is>
      </c>
      <c r="L2894" t="inlineStr">
        <is>
          <t>16:21:35</t>
        </is>
      </c>
      <c r="M2894" t="inlineStr">
        <is>
          <t>16:21:55</t>
        </is>
      </c>
    </row>
    <row r="2895" ht="15" customHeight="1" s="37">
      <c r="A2895" t="n">
        <v>22</v>
      </c>
      <c r="B2895" s="10" t="inlineStr">
        <is>
          <t>休日</t>
        </is>
      </c>
      <c r="C2895" s="10" t="inlineStr">
        <is>
          <t>北野線</t>
        </is>
      </c>
      <c r="D2895" s="10" t="inlineStr">
        <is>
          <t>下り</t>
        </is>
      </c>
      <c r="E2895" t="inlineStr">
        <is>
          <t>1653</t>
        </is>
      </c>
      <c r="F2895" t="inlineStr">
        <is>
          <t>0453</t>
        </is>
      </c>
      <c r="G2895" s="10" t="inlineStr">
        <is>
          <t>撮影所前</t>
        </is>
      </c>
      <c r="H2895" s="10" t="inlineStr">
        <is>
          <t>発</t>
        </is>
      </c>
      <c r="J2895" s="10" t="inlineStr">
        <is>
          <t>営業</t>
        </is>
      </c>
      <c r="L2895" t="inlineStr">
        <is>
          <t>16:23:15</t>
        </is>
      </c>
      <c r="M2895" t="inlineStr">
        <is>
          <t>16:23:30</t>
        </is>
      </c>
    </row>
    <row r="2896" ht="15" customHeight="1" s="37">
      <c r="A2896" t="n">
        <v>22</v>
      </c>
      <c r="B2896" s="10" t="inlineStr">
        <is>
          <t>休日</t>
        </is>
      </c>
      <c r="C2896" s="10" t="inlineStr">
        <is>
          <t>北野線</t>
        </is>
      </c>
      <c r="D2896" s="10" t="inlineStr">
        <is>
          <t>下り</t>
        </is>
      </c>
      <c r="E2896" t="inlineStr">
        <is>
          <t>1653</t>
        </is>
      </c>
      <c r="F2896" t="inlineStr">
        <is>
          <t>0453</t>
        </is>
      </c>
      <c r="G2896" s="10" t="inlineStr">
        <is>
          <t>帷子ノ辻</t>
        </is>
      </c>
      <c r="H2896" s="10" t="inlineStr">
        <is>
          <t>着</t>
        </is>
      </c>
      <c r="J2896" s="10" t="inlineStr">
        <is>
          <t>営業</t>
        </is>
      </c>
      <c r="L2896" t="inlineStr">
        <is>
          <t>16:24:25</t>
        </is>
      </c>
      <c r="Q2896" t="inlineStr">
        <is>
          <t>3</t>
        </is>
      </c>
    </row>
    <row r="2897" ht="15" customHeight="1" s="37">
      <c r="A2897" t="n">
        <v>22</v>
      </c>
      <c r="B2897" s="10" t="inlineStr">
        <is>
          <t>休日</t>
        </is>
      </c>
      <c r="C2897" s="10" t="inlineStr">
        <is>
          <t>北野線</t>
        </is>
      </c>
      <c r="D2897" s="10" t="inlineStr">
        <is>
          <t>上り</t>
        </is>
      </c>
      <c r="E2897" t="inlineStr">
        <is>
          <t>1658</t>
        </is>
      </c>
      <c r="F2897" t="inlineStr">
        <is>
          <t>0354</t>
        </is>
      </c>
      <c r="G2897" s="10" t="inlineStr">
        <is>
          <t>帷子ノ辻</t>
        </is>
      </c>
      <c r="H2897" s="10" t="inlineStr">
        <is>
          <t>発</t>
        </is>
      </c>
      <c r="J2897" s="10" t="inlineStr">
        <is>
          <t>営業</t>
        </is>
      </c>
      <c r="M2897" t="inlineStr">
        <is>
          <t>16:36:25</t>
        </is>
      </c>
      <c r="Q2897" t="inlineStr">
        <is>
          <t>3</t>
        </is>
      </c>
    </row>
    <row r="2898" ht="15" customHeight="1" s="37">
      <c r="A2898" t="n">
        <v>22</v>
      </c>
      <c r="B2898" s="10" t="inlineStr">
        <is>
          <t>休日</t>
        </is>
      </c>
      <c r="C2898" s="10" t="inlineStr">
        <is>
          <t>北野線</t>
        </is>
      </c>
      <c r="D2898" s="10" t="inlineStr">
        <is>
          <t>上り</t>
        </is>
      </c>
      <c r="E2898" t="inlineStr">
        <is>
          <t>1658</t>
        </is>
      </c>
      <c r="F2898" t="inlineStr">
        <is>
          <t>0354</t>
        </is>
      </c>
      <c r="G2898" s="10" t="inlineStr">
        <is>
          <t>撮影所前</t>
        </is>
      </c>
      <c r="H2898" s="10" t="inlineStr">
        <is>
          <t>発</t>
        </is>
      </c>
      <c r="J2898" s="10" t="inlineStr">
        <is>
          <t>営業</t>
        </is>
      </c>
      <c r="L2898" t="inlineStr">
        <is>
          <t>16:37:25</t>
        </is>
      </c>
      <c r="M2898" t="inlineStr">
        <is>
          <t>16:37:40</t>
        </is>
      </c>
    </row>
    <row r="2899" ht="15" customHeight="1" s="37">
      <c r="A2899" t="n">
        <v>22</v>
      </c>
      <c r="B2899" s="10" t="inlineStr">
        <is>
          <t>休日</t>
        </is>
      </c>
      <c r="C2899" s="10" t="inlineStr">
        <is>
          <t>北野線</t>
        </is>
      </c>
      <c r="D2899" s="10" t="inlineStr">
        <is>
          <t>上り</t>
        </is>
      </c>
      <c r="E2899" t="inlineStr">
        <is>
          <t>1658</t>
        </is>
      </c>
      <c r="F2899" t="inlineStr">
        <is>
          <t>0354</t>
        </is>
      </c>
      <c r="G2899" s="10" t="inlineStr">
        <is>
          <t>常盤</t>
        </is>
      </c>
      <c r="H2899" s="10" t="inlineStr">
        <is>
          <t>発</t>
        </is>
      </c>
      <c r="J2899" s="10" t="inlineStr">
        <is>
          <t>営業</t>
        </is>
      </c>
      <c r="L2899" t="inlineStr">
        <is>
          <t>16:39:00</t>
        </is>
      </c>
      <c r="M2899" t="inlineStr">
        <is>
          <t>16:39:20</t>
        </is>
      </c>
    </row>
    <row r="2900" ht="15" customHeight="1" s="37">
      <c r="A2900" t="n">
        <v>22</v>
      </c>
      <c r="B2900" s="10" t="inlineStr">
        <is>
          <t>休日</t>
        </is>
      </c>
      <c r="C2900" s="10" t="inlineStr">
        <is>
          <t>北野線</t>
        </is>
      </c>
      <c r="D2900" s="10" t="inlineStr">
        <is>
          <t>上り</t>
        </is>
      </c>
      <c r="E2900" t="inlineStr">
        <is>
          <t>1658</t>
        </is>
      </c>
      <c r="F2900" t="inlineStr">
        <is>
          <t>0354</t>
        </is>
      </c>
      <c r="G2900" s="10" t="inlineStr">
        <is>
          <t>鳴滝</t>
        </is>
      </c>
      <c r="H2900" s="10" t="inlineStr">
        <is>
          <t>発</t>
        </is>
      </c>
      <c r="J2900" s="10" t="inlineStr">
        <is>
          <t>営業</t>
        </is>
      </c>
      <c r="L2900" t="inlineStr">
        <is>
          <t>16:40:20</t>
        </is>
      </c>
      <c r="M2900" t="inlineStr">
        <is>
          <t>16:40:40</t>
        </is>
      </c>
    </row>
    <row r="2901" ht="15" customHeight="1" s="37">
      <c r="A2901" t="n">
        <v>22</v>
      </c>
      <c r="B2901" s="10" t="inlineStr">
        <is>
          <t>休日</t>
        </is>
      </c>
      <c r="C2901" s="10" t="inlineStr">
        <is>
          <t>北野線</t>
        </is>
      </c>
      <c r="D2901" s="10" t="inlineStr">
        <is>
          <t>上り</t>
        </is>
      </c>
      <c r="E2901" t="inlineStr">
        <is>
          <t>1658</t>
        </is>
      </c>
      <c r="F2901" t="inlineStr">
        <is>
          <t>0354</t>
        </is>
      </c>
      <c r="G2901" s="10" t="inlineStr">
        <is>
          <t>宇多野</t>
        </is>
      </c>
      <c r="H2901" s="10" t="inlineStr">
        <is>
          <t>発</t>
        </is>
      </c>
      <c r="J2901" s="10" t="inlineStr">
        <is>
          <t>営業</t>
        </is>
      </c>
      <c r="L2901" t="inlineStr">
        <is>
          <t>16:42:00</t>
        </is>
      </c>
      <c r="M2901" t="inlineStr">
        <is>
          <t>16:42:15</t>
        </is>
      </c>
    </row>
    <row r="2902" ht="15" customHeight="1" s="37">
      <c r="A2902" t="n">
        <v>22</v>
      </c>
      <c r="B2902" s="10" t="inlineStr">
        <is>
          <t>休日</t>
        </is>
      </c>
      <c r="C2902" s="10" t="inlineStr">
        <is>
          <t>北野線</t>
        </is>
      </c>
      <c r="D2902" s="10" t="inlineStr">
        <is>
          <t>上り</t>
        </is>
      </c>
      <c r="E2902" t="inlineStr">
        <is>
          <t>1658</t>
        </is>
      </c>
      <c r="F2902" t="inlineStr">
        <is>
          <t>0354</t>
        </is>
      </c>
      <c r="G2902" s="10" t="inlineStr">
        <is>
          <t>御室仁和寺</t>
        </is>
      </c>
      <c r="H2902" s="10" t="inlineStr">
        <is>
          <t>発</t>
        </is>
      </c>
      <c r="J2902" s="10" t="inlineStr">
        <is>
          <t>営業</t>
        </is>
      </c>
      <c r="L2902" t="inlineStr">
        <is>
          <t>16:43:15</t>
        </is>
      </c>
      <c r="M2902" t="inlineStr">
        <is>
          <t>16:43:35</t>
        </is>
      </c>
    </row>
    <row r="2903" ht="15" customHeight="1" s="37">
      <c r="A2903" t="n">
        <v>22</v>
      </c>
      <c r="B2903" s="10" t="inlineStr">
        <is>
          <t>休日</t>
        </is>
      </c>
      <c r="C2903" s="10" t="inlineStr">
        <is>
          <t>北野線</t>
        </is>
      </c>
      <c r="D2903" s="10" t="inlineStr">
        <is>
          <t>上り</t>
        </is>
      </c>
      <c r="E2903" t="inlineStr">
        <is>
          <t>1658</t>
        </is>
      </c>
      <c r="F2903" t="inlineStr">
        <is>
          <t>0354</t>
        </is>
      </c>
      <c r="G2903" s="10" t="inlineStr">
        <is>
          <t>妙心寺</t>
        </is>
      </c>
      <c r="H2903" s="10" t="inlineStr">
        <is>
          <t>発</t>
        </is>
      </c>
      <c r="J2903" s="10" t="inlineStr">
        <is>
          <t>営業</t>
        </is>
      </c>
      <c r="L2903" t="inlineStr">
        <is>
          <t>16:44:35</t>
        </is>
      </c>
      <c r="M2903" t="inlineStr">
        <is>
          <t>16:44:50</t>
        </is>
      </c>
    </row>
    <row r="2904" ht="15" customHeight="1" s="37">
      <c r="A2904" t="n">
        <v>22</v>
      </c>
      <c r="B2904" s="10" t="inlineStr">
        <is>
          <t>休日</t>
        </is>
      </c>
      <c r="C2904" s="10" t="inlineStr">
        <is>
          <t>北野線</t>
        </is>
      </c>
      <c r="D2904" s="10" t="inlineStr">
        <is>
          <t>上り</t>
        </is>
      </c>
      <c r="E2904" t="inlineStr">
        <is>
          <t>1658</t>
        </is>
      </c>
      <c r="F2904" t="inlineStr">
        <is>
          <t>0354</t>
        </is>
      </c>
      <c r="G2904" s="10" t="inlineStr">
        <is>
          <t>龍安寺</t>
        </is>
      </c>
      <c r="H2904" s="10" t="inlineStr">
        <is>
          <t>発</t>
        </is>
      </c>
      <c r="J2904" s="10" t="inlineStr">
        <is>
          <t>営業</t>
        </is>
      </c>
      <c r="L2904" t="inlineStr">
        <is>
          <t>16:45:45</t>
        </is>
      </c>
      <c r="M2904" t="inlineStr">
        <is>
          <t>16:45:55</t>
        </is>
      </c>
    </row>
    <row r="2905" ht="15" customHeight="1" s="37">
      <c r="A2905" t="n">
        <v>22</v>
      </c>
      <c r="B2905" s="10" t="inlineStr">
        <is>
          <t>休日</t>
        </is>
      </c>
      <c r="C2905" s="10" t="inlineStr">
        <is>
          <t>北野線</t>
        </is>
      </c>
      <c r="D2905" s="10" t="inlineStr">
        <is>
          <t>上り</t>
        </is>
      </c>
      <c r="E2905" t="inlineStr">
        <is>
          <t>1658</t>
        </is>
      </c>
      <c r="F2905" t="inlineStr">
        <is>
          <t>0354</t>
        </is>
      </c>
      <c r="G2905" s="10" t="inlineStr">
        <is>
          <t>等持院</t>
        </is>
      </c>
      <c r="H2905" s="10" t="inlineStr">
        <is>
          <t>発</t>
        </is>
      </c>
      <c r="J2905" s="10" t="inlineStr">
        <is>
          <t>営業</t>
        </is>
      </c>
      <c r="L2905" t="inlineStr">
        <is>
          <t>16:46:35</t>
        </is>
      </c>
      <c r="M2905" t="inlineStr">
        <is>
          <t>16:46:55</t>
        </is>
      </c>
    </row>
    <row r="2906" ht="15" customHeight="1" s="37">
      <c r="A2906" t="n">
        <v>22</v>
      </c>
      <c r="B2906" s="10" t="inlineStr">
        <is>
          <t>休日</t>
        </is>
      </c>
      <c r="C2906" s="10" t="inlineStr">
        <is>
          <t>北野線</t>
        </is>
      </c>
      <c r="D2906" s="10" t="inlineStr">
        <is>
          <t>上り</t>
        </is>
      </c>
      <c r="E2906" t="inlineStr">
        <is>
          <t>1658</t>
        </is>
      </c>
      <c r="F2906" t="inlineStr">
        <is>
          <t>0354</t>
        </is>
      </c>
      <c r="G2906" s="10" t="inlineStr">
        <is>
          <t>北野白梅町</t>
        </is>
      </c>
      <c r="H2906" s="10" t="inlineStr">
        <is>
          <t>着</t>
        </is>
      </c>
      <c r="J2906" s="10" t="inlineStr">
        <is>
          <t>営業</t>
        </is>
      </c>
      <c r="L2906" t="inlineStr">
        <is>
          <t>16:48:15</t>
        </is>
      </c>
      <c r="Q2906" t="inlineStr">
        <is>
          <t>1</t>
        </is>
      </c>
    </row>
    <row r="2907" ht="15" customHeight="1" s="37">
      <c r="A2907" t="n">
        <v>22</v>
      </c>
      <c r="B2907" s="10" t="inlineStr">
        <is>
          <t>休日</t>
        </is>
      </c>
      <c r="C2907" s="10" t="inlineStr">
        <is>
          <t>北野線</t>
        </is>
      </c>
      <c r="D2907" s="10" t="inlineStr">
        <is>
          <t>下り</t>
        </is>
      </c>
      <c r="E2907" t="inlineStr">
        <is>
          <t>1661</t>
        </is>
      </c>
      <c r="F2907" t="inlineStr">
        <is>
          <t>0453</t>
        </is>
      </c>
      <c r="G2907" s="10" t="inlineStr">
        <is>
          <t>北野白梅町</t>
        </is>
      </c>
      <c r="H2907" s="10" t="inlineStr">
        <is>
          <t>発</t>
        </is>
      </c>
      <c r="J2907" s="10" t="inlineStr">
        <is>
          <t>営業</t>
        </is>
      </c>
      <c r="M2907" t="inlineStr">
        <is>
          <t>16:53:00</t>
        </is>
      </c>
      <c r="Q2907" t="inlineStr">
        <is>
          <t>1</t>
        </is>
      </c>
    </row>
    <row r="2908" ht="15" customHeight="1" s="37">
      <c r="A2908" t="n">
        <v>22</v>
      </c>
      <c r="B2908" s="10" t="inlineStr">
        <is>
          <t>休日</t>
        </is>
      </c>
      <c r="C2908" s="10" t="inlineStr">
        <is>
          <t>北野線</t>
        </is>
      </c>
      <c r="D2908" s="10" t="inlineStr">
        <is>
          <t>下り</t>
        </is>
      </c>
      <c r="E2908" t="inlineStr">
        <is>
          <t>1661</t>
        </is>
      </c>
      <c r="F2908" t="inlineStr">
        <is>
          <t>0453</t>
        </is>
      </c>
      <c r="G2908" s="10" t="inlineStr">
        <is>
          <t>等持院</t>
        </is>
      </c>
      <c r="H2908" s="10" t="inlineStr">
        <is>
          <t>発</t>
        </is>
      </c>
      <c r="J2908" s="10" t="inlineStr">
        <is>
          <t>営業</t>
        </is>
      </c>
      <c r="L2908" t="inlineStr">
        <is>
          <t>16:54:25</t>
        </is>
      </c>
      <c r="M2908" t="inlineStr">
        <is>
          <t>16:54:35</t>
        </is>
      </c>
    </row>
    <row r="2909" ht="15" customHeight="1" s="37">
      <c r="A2909" t="n">
        <v>22</v>
      </c>
      <c r="B2909" s="10" t="inlineStr">
        <is>
          <t>休日</t>
        </is>
      </c>
      <c r="C2909" s="10" t="inlineStr">
        <is>
          <t>北野線</t>
        </is>
      </c>
      <c r="D2909" s="10" t="inlineStr">
        <is>
          <t>下り</t>
        </is>
      </c>
      <c r="E2909" t="inlineStr">
        <is>
          <t>1661</t>
        </is>
      </c>
      <c r="F2909" t="inlineStr">
        <is>
          <t>0453</t>
        </is>
      </c>
      <c r="G2909" s="10" t="inlineStr">
        <is>
          <t>龍安寺</t>
        </is>
      </c>
      <c r="H2909" s="10" t="inlineStr">
        <is>
          <t>発</t>
        </is>
      </c>
      <c r="J2909" s="10" t="inlineStr">
        <is>
          <t>営業</t>
        </is>
      </c>
      <c r="L2909" t="inlineStr">
        <is>
          <t>16:55:25</t>
        </is>
      </c>
      <c r="M2909" t="inlineStr">
        <is>
          <t>16:55:50</t>
        </is>
      </c>
    </row>
    <row r="2910" ht="15" customHeight="1" s="37">
      <c r="A2910" t="n">
        <v>22</v>
      </c>
      <c r="B2910" s="10" t="inlineStr">
        <is>
          <t>休日</t>
        </is>
      </c>
      <c r="C2910" s="10" t="inlineStr">
        <is>
          <t>北野線</t>
        </is>
      </c>
      <c r="D2910" s="10" t="inlineStr">
        <is>
          <t>下り</t>
        </is>
      </c>
      <c r="E2910" t="inlineStr">
        <is>
          <t>1661</t>
        </is>
      </c>
      <c r="F2910" t="inlineStr">
        <is>
          <t>0453</t>
        </is>
      </c>
      <c r="G2910" s="10" t="inlineStr">
        <is>
          <t>妙心寺</t>
        </is>
      </c>
      <c r="H2910" s="10" t="inlineStr">
        <is>
          <t>発</t>
        </is>
      </c>
      <c r="J2910" s="10" t="inlineStr">
        <is>
          <t>営業</t>
        </is>
      </c>
      <c r="L2910" t="inlineStr">
        <is>
          <t>16:56:40</t>
        </is>
      </c>
      <c r="M2910" t="inlineStr">
        <is>
          <t>16:56:50</t>
        </is>
      </c>
    </row>
    <row r="2911" ht="15" customHeight="1" s="37">
      <c r="A2911" t="n">
        <v>22</v>
      </c>
      <c r="B2911" s="10" t="inlineStr">
        <is>
          <t>休日</t>
        </is>
      </c>
      <c r="C2911" s="10" t="inlineStr">
        <is>
          <t>北野線</t>
        </is>
      </c>
      <c r="D2911" s="10" t="inlineStr">
        <is>
          <t>下り</t>
        </is>
      </c>
      <c r="E2911" t="inlineStr">
        <is>
          <t>1661</t>
        </is>
      </c>
      <c r="F2911" t="inlineStr">
        <is>
          <t>0453</t>
        </is>
      </c>
      <c r="G2911" s="10" t="inlineStr">
        <is>
          <t>御室仁和寺</t>
        </is>
      </c>
      <c r="H2911" s="10" t="inlineStr">
        <is>
          <t>発</t>
        </is>
      </c>
      <c r="J2911" s="10" t="inlineStr">
        <is>
          <t>営業</t>
        </is>
      </c>
      <c r="L2911" t="inlineStr">
        <is>
          <t>16:57:50</t>
        </is>
      </c>
      <c r="M2911" t="inlineStr">
        <is>
          <t>16:58:05</t>
        </is>
      </c>
    </row>
    <row r="2912" ht="15" customHeight="1" s="37">
      <c r="A2912" t="n">
        <v>22</v>
      </c>
      <c r="B2912" s="10" t="inlineStr">
        <is>
          <t>休日</t>
        </is>
      </c>
      <c r="C2912" s="10" t="inlineStr">
        <is>
          <t>北野線</t>
        </is>
      </c>
      <c r="D2912" s="10" t="inlineStr">
        <is>
          <t>下り</t>
        </is>
      </c>
      <c r="E2912" t="inlineStr">
        <is>
          <t>1661</t>
        </is>
      </c>
      <c r="F2912" t="inlineStr">
        <is>
          <t>0453</t>
        </is>
      </c>
      <c r="G2912" s="10" t="inlineStr">
        <is>
          <t>宇多野</t>
        </is>
      </c>
      <c r="H2912" s="10" t="inlineStr">
        <is>
          <t>発</t>
        </is>
      </c>
      <c r="J2912" s="10" t="inlineStr">
        <is>
          <t>営業</t>
        </is>
      </c>
      <c r="L2912" t="inlineStr">
        <is>
          <t>16:59:05</t>
        </is>
      </c>
      <c r="M2912" t="inlineStr">
        <is>
          <t>16:59:15</t>
        </is>
      </c>
    </row>
    <row r="2913" ht="15" customHeight="1" s="37">
      <c r="A2913" t="n">
        <v>22</v>
      </c>
      <c r="B2913" s="10" t="inlineStr">
        <is>
          <t>休日</t>
        </is>
      </c>
      <c r="C2913" s="10" t="inlineStr">
        <is>
          <t>北野線</t>
        </is>
      </c>
      <c r="D2913" s="10" t="inlineStr">
        <is>
          <t>下り</t>
        </is>
      </c>
      <c r="E2913" t="inlineStr">
        <is>
          <t>1661</t>
        </is>
      </c>
      <c r="F2913" t="inlineStr">
        <is>
          <t>0453</t>
        </is>
      </c>
      <c r="G2913" s="10" t="inlineStr">
        <is>
          <t>鳴滝</t>
        </is>
      </c>
      <c r="H2913" s="10" t="inlineStr">
        <is>
          <t>発</t>
        </is>
      </c>
      <c r="J2913" s="10" t="inlineStr">
        <is>
          <t>営業</t>
        </is>
      </c>
      <c r="L2913" t="inlineStr">
        <is>
          <t>17:00:35</t>
        </is>
      </c>
      <c r="M2913" t="inlineStr">
        <is>
          <t>17:00:45</t>
        </is>
      </c>
    </row>
    <row r="2914" ht="15" customHeight="1" s="37">
      <c r="A2914" t="n">
        <v>22</v>
      </c>
      <c r="B2914" s="10" t="inlineStr">
        <is>
          <t>休日</t>
        </is>
      </c>
      <c r="C2914" s="10" t="inlineStr">
        <is>
          <t>北野線</t>
        </is>
      </c>
      <c r="D2914" s="10" t="inlineStr">
        <is>
          <t>下り</t>
        </is>
      </c>
      <c r="E2914" t="inlineStr">
        <is>
          <t>1661</t>
        </is>
      </c>
      <c r="F2914" t="inlineStr">
        <is>
          <t>0453</t>
        </is>
      </c>
      <c r="G2914" s="10" t="inlineStr">
        <is>
          <t>常盤</t>
        </is>
      </c>
      <c r="H2914" s="10" t="inlineStr">
        <is>
          <t>発</t>
        </is>
      </c>
      <c r="J2914" s="10" t="inlineStr">
        <is>
          <t>営業</t>
        </is>
      </c>
      <c r="L2914" t="inlineStr">
        <is>
          <t>17:01:35</t>
        </is>
      </c>
      <c r="M2914" t="inlineStr">
        <is>
          <t>17:01:55</t>
        </is>
      </c>
    </row>
    <row r="2915" ht="15" customHeight="1" s="37">
      <c r="A2915" t="n">
        <v>22</v>
      </c>
      <c r="B2915" s="10" t="inlineStr">
        <is>
          <t>休日</t>
        </is>
      </c>
      <c r="C2915" s="10" t="inlineStr">
        <is>
          <t>北野線</t>
        </is>
      </c>
      <c r="D2915" s="10" t="inlineStr">
        <is>
          <t>下り</t>
        </is>
      </c>
      <c r="E2915" t="inlineStr">
        <is>
          <t>1661</t>
        </is>
      </c>
      <c r="F2915" t="inlineStr">
        <is>
          <t>0453</t>
        </is>
      </c>
      <c r="G2915" s="10" t="inlineStr">
        <is>
          <t>撮影所前</t>
        </is>
      </c>
      <c r="H2915" s="10" t="inlineStr">
        <is>
          <t>発</t>
        </is>
      </c>
      <c r="J2915" s="10" t="inlineStr">
        <is>
          <t>営業</t>
        </is>
      </c>
      <c r="L2915" t="inlineStr">
        <is>
          <t>17:03:15</t>
        </is>
      </c>
      <c r="M2915" t="inlineStr">
        <is>
          <t>17:03:30</t>
        </is>
      </c>
    </row>
    <row r="2916" ht="15" customHeight="1" s="37">
      <c r="A2916" t="n">
        <v>22</v>
      </c>
      <c r="B2916" s="10" t="inlineStr">
        <is>
          <t>休日</t>
        </is>
      </c>
      <c r="C2916" s="10" t="inlineStr">
        <is>
          <t>北野線</t>
        </is>
      </c>
      <c r="D2916" s="10" t="inlineStr">
        <is>
          <t>下り</t>
        </is>
      </c>
      <c r="E2916" t="inlineStr">
        <is>
          <t>1661</t>
        </is>
      </c>
      <c r="F2916" t="inlineStr">
        <is>
          <t>0453</t>
        </is>
      </c>
      <c r="G2916" s="10" t="inlineStr">
        <is>
          <t>帷子ノ辻</t>
        </is>
      </c>
      <c r="H2916" s="10" t="inlineStr">
        <is>
          <t>着</t>
        </is>
      </c>
      <c r="J2916" s="10" t="inlineStr">
        <is>
          <t>営業</t>
        </is>
      </c>
      <c r="L2916" t="inlineStr">
        <is>
          <t>17:04:25</t>
        </is>
      </c>
      <c r="Q2916" t="inlineStr">
        <is>
          <t>3</t>
        </is>
      </c>
    </row>
    <row r="2917" ht="15" customHeight="1" s="37">
      <c r="A2917" t="n">
        <v>22</v>
      </c>
      <c r="B2917" s="10" t="inlineStr">
        <is>
          <t>休日</t>
        </is>
      </c>
      <c r="C2917" s="10" t="inlineStr">
        <is>
          <t>北野線</t>
        </is>
      </c>
      <c r="D2917" s="10" t="inlineStr">
        <is>
          <t>上り</t>
        </is>
      </c>
      <c r="E2917" t="inlineStr">
        <is>
          <t>1754</t>
        </is>
      </c>
      <c r="F2917" t="inlineStr">
        <is>
          <t>0304</t>
        </is>
      </c>
      <c r="G2917" s="10" t="inlineStr">
        <is>
          <t>帷子ノ辻</t>
        </is>
      </c>
      <c r="H2917" s="10" t="inlineStr">
        <is>
          <t>発</t>
        </is>
      </c>
      <c r="J2917" s="10" t="inlineStr">
        <is>
          <t>営業</t>
        </is>
      </c>
      <c r="M2917" t="inlineStr">
        <is>
          <t>17:16:25</t>
        </is>
      </c>
      <c r="Q2917" t="inlineStr">
        <is>
          <t>3</t>
        </is>
      </c>
      <c r="U2917" t="inlineStr">
        <is>
          <t>→帷子ノ辻 休憩(17:44〜18:46)</t>
        </is>
      </c>
    </row>
    <row r="2918" ht="15" customHeight="1" s="37">
      <c r="A2918" t="n">
        <v>22</v>
      </c>
      <c r="B2918" s="10" t="inlineStr">
        <is>
          <t>休日</t>
        </is>
      </c>
      <c r="C2918" s="10" t="inlineStr">
        <is>
          <t>北野線</t>
        </is>
      </c>
      <c r="D2918" s="10" t="inlineStr">
        <is>
          <t>上り</t>
        </is>
      </c>
      <c r="E2918" t="inlineStr">
        <is>
          <t>1754</t>
        </is>
      </c>
      <c r="F2918" t="inlineStr">
        <is>
          <t>0304</t>
        </is>
      </c>
      <c r="G2918" s="10" t="inlineStr">
        <is>
          <t>撮影所前</t>
        </is>
      </c>
      <c r="H2918" s="10" t="inlineStr">
        <is>
          <t>発</t>
        </is>
      </c>
      <c r="J2918" s="10" t="inlineStr">
        <is>
          <t>営業</t>
        </is>
      </c>
      <c r="L2918" t="inlineStr">
        <is>
          <t>17:17:25</t>
        </is>
      </c>
      <c r="M2918" t="inlineStr">
        <is>
          <t>17:17:40</t>
        </is>
      </c>
      <c r="U2918" t="inlineStr">
        <is>
          <t>→帷子ノ辻 休憩(17:44〜18:46)</t>
        </is>
      </c>
    </row>
    <row r="2919" ht="15" customHeight="1" s="37">
      <c r="A2919" t="n">
        <v>22</v>
      </c>
      <c r="B2919" s="10" t="inlineStr">
        <is>
          <t>休日</t>
        </is>
      </c>
      <c r="C2919" s="10" t="inlineStr">
        <is>
          <t>北野線</t>
        </is>
      </c>
      <c r="D2919" s="10" t="inlineStr">
        <is>
          <t>上り</t>
        </is>
      </c>
      <c r="E2919" t="inlineStr">
        <is>
          <t>1754</t>
        </is>
      </c>
      <c r="F2919" t="inlineStr">
        <is>
          <t>0304</t>
        </is>
      </c>
      <c r="G2919" s="10" t="inlineStr">
        <is>
          <t>常盤</t>
        </is>
      </c>
      <c r="H2919" s="10" t="inlineStr">
        <is>
          <t>発</t>
        </is>
      </c>
      <c r="J2919" s="10" t="inlineStr">
        <is>
          <t>営業</t>
        </is>
      </c>
      <c r="L2919" t="inlineStr">
        <is>
          <t>17:19:00</t>
        </is>
      </c>
      <c r="M2919" t="inlineStr">
        <is>
          <t>17:19:20</t>
        </is>
      </c>
      <c r="U2919" t="inlineStr">
        <is>
          <t>→帷子ノ辻 休憩(17:44〜18:46)</t>
        </is>
      </c>
    </row>
    <row r="2920" ht="15" customHeight="1" s="37">
      <c r="A2920" t="n">
        <v>22</v>
      </c>
      <c r="B2920" s="10" t="inlineStr">
        <is>
          <t>休日</t>
        </is>
      </c>
      <c r="C2920" s="10" t="inlineStr">
        <is>
          <t>北野線</t>
        </is>
      </c>
      <c r="D2920" s="10" t="inlineStr">
        <is>
          <t>上り</t>
        </is>
      </c>
      <c r="E2920" t="inlineStr">
        <is>
          <t>1754</t>
        </is>
      </c>
      <c r="F2920" t="inlineStr">
        <is>
          <t>0304</t>
        </is>
      </c>
      <c r="G2920" s="10" t="inlineStr">
        <is>
          <t>鳴滝</t>
        </is>
      </c>
      <c r="H2920" s="10" t="inlineStr">
        <is>
          <t>発</t>
        </is>
      </c>
      <c r="J2920" s="10" t="inlineStr">
        <is>
          <t>営業</t>
        </is>
      </c>
      <c r="L2920" t="inlineStr">
        <is>
          <t>17:20:20</t>
        </is>
      </c>
      <c r="M2920" t="inlineStr">
        <is>
          <t>17:20:40</t>
        </is>
      </c>
      <c r="U2920" t="inlineStr">
        <is>
          <t>→帷子ノ辻 休憩(17:44〜18:46)</t>
        </is>
      </c>
    </row>
    <row r="2921" ht="15" customHeight="1" s="37">
      <c r="A2921" t="n">
        <v>22</v>
      </c>
      <c r="B2921" s="10" t="inlineStr">
        <is>
          <t>休日</t>
        </is>
      </c>
      <c r="C2921" s="10" t="inlineStr">
        <is>
          <t>北野線</t>
        </is>
      </c>
      <c r="D2921" s="10" t="inlineStr">
        <is>
          <t>上り</t>
        </is>
      </c>
      <c r="E2921" t="inlineStr">
        <is>
          <t>1754</t>
        </is>
      </c>
      <c r="F2921" t="inlineStr">
        <is>
          <t>0304</t>
        </is>
      </c>
      <c r="G2921" s="10" t="inlineStr">
        <is>
          <t>宇多野</t>
        </is>
      </c>
      <c r="H2921" s="10" t="inlineStr">
        <is>
          <t>発</t>
        </is>
      </c>
      <c r="J2921" s="10" t="inlineStr">
        <is>
          <t>営業</t>
        </is>
      </c>
      <c r="L2921" t="inlineStr">
        <is>
          <t>17:22:00</t>
        </is>
      </c>
      <c r="M2921" t="inlineStr">
        <is>
          <t>17:22:15</t>
        </is>
      </c>
      <c r="U2921" t="inlineStr">
        <is>
          <t>→帷子ノ辻 休憩(17:44〜18:46)</t>
        </is>
      </c>
    </row>
    <row r="2922" ht="15" customHeight="1" s="37">
      <c r="A2922" t="n">
        <v>22</v>
      </c>
      <c r="B2922" s="10" t="inlineStr">
        <is>
          <t>休日</t>
        </is>
      </c>
      <c r="C2922" s="10" t="inlineStr">
        <is>
          <t>北野線</t>
        </is>
      </c>
      <c r="D2922" s="10" t="inlineStr">
        <is>
          <t>上り</t>
        </is>
      </c>
      <c r="E2922" t="inlineStr">
        <is>
          <t>1754</t>
        </is>
      </c>
      <c r="F2922" t="inlineStr">
        <is>
          <t>0304</t>
        </is>
      </c>
      <c r="G2922" s="10" t="inlineStr">
        <is>
          <t>御室仁和寺</t>
        </is>
      </c>
      <c r="H2922" s="10" t="inlineStr">
        <is>
          <t>発</t>
        </is>
      </c>
      <c r="J2922" s="10" t="inlineStr">
        <is>
          <t>営業</t>
        </is>
      </c>
      <c r="L2922" t="inlineStr">
        <is>
          <t>17:23:15</t>
        </is>
      </c>
      <c r="M2922" t="inlineStr">
        <is>
          <t>17:23:35</t>
        </is>
      </c>
      <c r="U2922" t="inlineStr">
        <is>
          <t>→帷子ノ辻 休憩(17:44〜18:46)</t>
        </is>
      </c>
    </row>
    <row r="2923" ht="15" customHeight="1" s="37">
      <c r="A2923" t="n">
        <v>22</v>
      </c>
      <c r="B2923" s="10" t="inlineStr">
        <is>
          <t>休日</t>
        </is>
      </c>
      <c r="C2923" s="10" t="inlineStr">
        <is>
          <t>北野線</t>
        </is>
      </c>
      <c r="D2923" s="10" t="inlineStr">
        <is>
          <t>上り</t>
        </is>
      </c>
      <c r="E2923" t="inlineStr">
        <is>
          <t>1754</t>
        </is>
      </c>
      <c r="F2923" t="inlineStr">
        <is>
          <t>0304</t>
        </is>
      </c>
      <c r="G2923" s="10" t="inlineStr">
        <is>
          <t>妙心寺</t>
        </is>
      </c>
      <c r="H2923" s="10" t="inlineStr">
        <is>
          <t>発</t>
        </is>
      </c>
      <c r="J2923" s="10" t="inlineStr">
        <is>
          <t>営業</t>
        </is>
      </c>
      <c r="L2923" t="inlineStr">
        <is>
          <t>17:24:35</t>
        </is>
      </c>
      <c r="M2923" t="inlineStr">
        <is>
          <t>17:24:50</t>
        </is>
      </c>
      <c r="U2923" t="inlineStr">
        <is>
          <t>→帷子ノ辻 休憩(17:44〜18:46)</t>
        </is>
      </c>
    </row>
    <row r="2924" ht="15" customHeight="1" s="37">
      <c r="A2924" t="n">
        <v>22</v>
      </c>
      <c r="B2924" s="10" t="inlineStr">
        <is>
          <t>休日</t>
        </is>
      </c>
      <c r="C2924" s="10" t="inlineStr">
        <is>
          <t>北野線</t>
        </is>
      </c>
      <c r="D2924" s="10" t="inlineStr">
        <is>
          <t>上り</t>
        </is>
      </c>
      <c r="E2924" t="inlineStr">
        <is>
          <t>1754</t>
        </is>
      </c>
      <c r="F2924" t="inlineStr">
        <is>
          <t>0304</t>
        </is>
      </c>
      <c r="G2924" s="10" t="inlineStr">
        <is>
          <t>龍安寺</t>
        </is>
      </c>
      <c r="H2924" s="10" t="inlineStr">
        <is>
          <t>発</t>
        </is>
      </c>
      <c r="J2924" s="10" t="inlineStr">
        <is>
          <t>営業</t>
        </is>
      </c>
      <c r="L2924" t="inlineStr">
        <is>
          <t>17:25:45</t>
        </is>
      </c>
      <c r="M2924" t="inlineStr">
        <is>
          <t>17:25:55</t>
        </is>
      </c>
      <c r="U2924" t="inlineStr">
        <is>
          <t>→帷子ノ辻 休憩(17:44〜18:46)</t>
        </is>
      </c>
    </row>
    <row r="2925" ht="15" customHeight="1" s="37">
      <c r="A2925" t="n">
        <v>22</v>
      </c>
      <c r="B2925" s="10" t="inlineStr">
        <is>
          <t>休日</t>
        </is>
      </c>
      <c r="C2925" s="10" t="inlineStr">
        <is>
          <t>北野線</t>
        </is>
      </c>
      <c r="D2925" s="10" t="inlineStr">
        <is>
          <t>上り</t>
        </is>
      </c>
      <c r="E2925" t="inlineStr">
        <is>
          <t>1754</t>
        </is>
      </c>
      <c r="F2925" t="inlineStr">
        <is>
          <t>0304</t>
        </is>
      </c>
      <c r="G2925" s="10" t="inlineStr">
        <is>
          <t>等持院</t>
        </is>
      </c>
      <c r="H2925" s="10" t="inlineStr">
        <is>
          <t>発</t>
        </is>
      </c>
      <c r="J2925" s="10" t="inlineStr">
        <is>
          <t>営業</t>
        </is>
      </c>
      <c r="L2925" t="inlineStr">
        <is>
          <t>17:26:35</t>
        </is>
      </c>
      <c r="M2925" t="inlineStr">
        <is>
          <t>17:26:55</t>
        </is>
      </c>
      <c r="U2925" t="inlineStr">
        <is>
          <t>→帷子ノ辻 休憩(17:44〜18:46)</t>
        </is>
      </c>
    </row>
    <row r="2926" ht="15" customHeight="1" s="37">
      <c r="A2926" t="n">
        <v>22</v>
      </c>
      <c r="B2926" s="10" t="inlineStr">
        <is>
          <t>休日</t>
        </is>
      </c>
      <c r="C2926" s="10" t="inlineStr">
        <is>
          <t>北野線</t>
        </is>
      </c>
      <c r="D2926" s="10" t="inlineStr">
        <is>
          <t>上り</t>
        </is>
      </c>
      <c r="E2926" t="inlineStr">
        <is>
          <t>1754</t>
        </is>
      </c>
      <c r="F2926" t="inlineStr">
        <is>
          <t>0304</t>
        </is>
      </c>
      <c r="G2926" s="10" t="inlineStr">
        <is>
          <t>北野白梅町</t>
        </is>
      </c>
      <c r="H2926" s="10" t="inlineStr">
        <is>
          <t>着</t>
        </is>
      </c>
      <c r="J2926" s="10" t="inlineStr">
        <is>
          <t>営業</t>
        </is>
      </c>
      <c r="L2926" t="inlineStr">
        <is>
          <t>17:28:15</t>
        </is>
      </c>
      <c r="Q2926" t="inlineStr">
        <is>
          <t>1</t>
        </is>
      </c>
      <c r="U2926" t="inlineStr">
        <is>
          <t>→帷子ノ辻 休憩(17:44〜18:46)</t>
        </is>
      </c>
    </row>
    <row r="2927" ht="15" customHeight="1" s="37">
      <c r="A2927" t="n">
        <v>22</v>
      </c>
      <c r="B2927" s="10" t="inlineStr">
        <is>
          <t>休日</t>
        </is>
      </c>
      <c r="C2927" s="10" t="inlineStr">
        <is>
          <t>北野線</t>
        </is>
      </c>
      <c r="D2927" s="10" t="inlineStr">
        <is>
          <t>下り</t>
        </is>
      </c>
      <c r="E2927" t="inlineStr">
        <is>
          <t>1757</t>
        </is>
      </c>
      <c r="F2927" t="inlineStr">
        <is>
          <t>0453</t>
        </is>
      </c>
      <c r="G2927" s="10" t="inlineStr">
        <is>
          <t>北野白梅町</t>
        </is>
      </c>
      <c r="H2927" s="10" t="inlineStr">
        <is>
          <t>発</t>
        </is>
      </c>
      <c r="J2927" s="10" t="inlineStr">
        <is>
          <t>営業</t>
        </is>
      </c>
      <c r="M2927" t="inlineStr">
        <is>
          <t>17:33:00</t>
        </is>
      </c>
      <c r="Q2927" t="inlineStr">
        <is>
          <t>1</t>
        </is>
      </c>
      <c r="U2927" t="inlineStr">
        <is>
          <t>→帷子ノ辻 休憩(17:44〜18:46)</t>
        </is>
      </c>
    </row>
    <row r="2928" ht="15" customHeight="1" s="37">
      <c r="A2928" t="n">
        <v>22</v>
      </c>
      <c r="B2928" s="10" t="inlineStr">
        <is>
          <t>休日</t>
        </is>
      </c>
      <c r="C2928" s="10" t="inlineStr">
        <is>
          <t>北野線</t>
        </is>
      </c>
      <c r="D2928" s="10" t="inlineStr">
        <is>
          <t>下り</t>
        </is>
      </c>
      <c r="E2928" t="inlineStr">
        <is>
          <t>1757</t>
        </is>
      </c>
      <c r="F2928" t="inlineStr">
        <is>
          <t>0453</t>
        </is>
      </c>
      <c r="G2928" s="10" t="inlineStr">
        <is>
          <t>等持院</t>
        </is>
      </c>
      <c r="H2928" s="10" t="inlineStr">
        <is>
          <t>発</t>
        </is>
      </c>
      <c r="J2928" s="10" t="inlineStr">
        <is>
          <t>営業</t>
        </is>
      </c>
      <c r="L2928" t="inlineStr">
        <is>
          <t>17:34:25</t>
        </is>
      </c>
      <c r="M2928" t="inlineStr">
        <is>
          <t>17:34:35</t>
        </is>
      </c>
      <c r="U2928" t="inlineStr">
        <is>
          <t>→帷子ノ辻 休憩(17:44〜18:46)</t>
        </is>
      </c>
    </row>
    <row r="2929" ht="15" customHeight="1" s="37">
      <c r="A2929" t="n">
        <v>22</v>
      </c>
      <c r="B2929" s="10" t="inlineStr">
        <is>
          <t>休日</t>
        </is>
      </c>
      <c r="C2929" s="10" t="inlineStr">
        <is>
          <t>北野線</t>
        </is>
      </c>
      <c r="D2929" s="10" t="inlineStr">
        <is>
          <t>下り</t>
        </is>
      </c>
      <c r="E2929" t="inlineStr">
        <is>
          <t>1757</t>
        </is>
      </c>
      <c r="F2929" t="inlineStr">
        <is>
          <t>0453</t>
        </is>
      </c>
      <c r="G2929" s="10" t="inlineStr">
        <is>
          <t>龍安寺</t>
        </is>
      </c>
      <c r="H2929" s="10" t="inlineStr">
        <is>
          <t>発</t>
        </is>
      </c>
      <c r="J2929" s="10" t="inlineStr">
        <is>
          <t>営業</t>
        </is>
      </c>
      <c r="L2929" t="inlineStr">
        <is>
          <t>17:35:25</t>
        </is>
      </c>
      <c r="M2929" t="inlineStr">
        <is>
          <t>17:35:50</t>
        </is>
      </c>
      <c r="U2929" t="inlineStr">
        <is>
          <t>→帷子ノ辻 休憩(17:44〜18:46)</t>
        </is>
      </c>
    </row>
    <row r="2930" ht="15" customHeight="1" s="37">
      <c r="A2930" t="n">
        <v>22</v>
      </c>
      <c r="B2930" s="10" t="inlineStr">
        <is>
          <t>休日</t>
        </is>
      </c>
      <c r="C2930" s="10" t="inlineStr">
        <is>
          <t>北野線</t>
        </is>
      </c>
      <c r="D2930" s="10" t="inlineStr">
        <is>
          <t>下り</t>
        </is>
      </c>
      <c r="E2930" t="inlineStr">
        <is>
          <t>1757</t>
        </is>
      </c>
      <c r="F2930" t="inlineStr">
        <is>
          <t>0453</t>
        </is>
      </c>
      <c r="G2930" s="10" t="inlineStr">
        <is>
          <t>妙心寺</t>
        </is>
      </c>
      <c r="H2930" s="10" t="inlineStr">
        <is>
          <t>発</t>
        </is>
      </c>
      <c r="J2930" s="10" t="inlineStr">
        <is>
          <t>営業</t>
        </is>
      </c>
      <c r="L2930" t="inlineStr">
        <is>
          <t>17:36:40</t>
        </is>
      </c>
      <c r="M2930" t="inlineStr">
        <is>
          <t>17:36:50</t>
        </is>
      </c>
      <c r="U2930" t="inlineStr">
        <is>
          <t>→帷子ノ辻 休憩(17:44〜18:46)</t>
        </is>
      </c>
    </row>
    <row r="2931" ht="15" customHeight="1" s="37">
      <c r="A2931" t="n">
        <v>22</v>
      </c>
      <c r="B2931" s="10" t="inlineStr">
        <is>
          <t>休日</t>
        </is>
      </c>
      <c r="C2931" s="10" t="inlineStr">
        <is>
          <t>北野線</t>
        </is>
      </c>
      <c r="D2931" s="10" t="inlineStr">
        <is>
          <t>下り</t>
        </is>
      </c>
      <c r="E2931" t="inlineStr">
        <is>
          <t>1757</t>
        </is>
      </c>
      <c r="F2931" t="inlineStr">
        <is>
          <t>0453</t>
        </is>
      </c>
      <c r="G2931" s="10" t="inlineStr">
        <is>
          <t>御室仁和寺</t>
        </is>
      </c>
      <c r="H2931" s="10" t="inlineStr">
        <is>
          <t>発</t>
        </is>
      </c>
      <c r="J2931" s="10" t="inlineStr">
        <is>
          <t>営業</t>
        </is>
      </c>
      <c r="L2931" t="inlineStr">
        <is>
          <t>17:37:50</t>
        </is>
      </c>
      <c r="M2931" t="inlineStr">
        <is>
          <t>17:38:05</t>
        </is>
      </c>
      <c r="U2931" t="inlineStr">
        <is>
          <t>→帷子ノ辻 休憩(17:44〜18:46)</t>
        </is>
      </c>
    </row>
    <row r="2932" ht="15" customHeight="1" s="37">
      <c r="A2932" t="n">
        <v>22</v>
      </c>
      <c r="B2932" s="10" t="inlineStr">
        <is>
          <t>休日</t>
        </is>
      </c>
      <c r="C2932" s="10" t="inlineStr">
        <is>
          <t>北野線</t>
        </is>
      </c>
      <c r="D2932" s="10" t="inlineStr">
        <is>
          <t>下り</t>
        </is>
      </c>
      <c r="E2932" t="inlineStr">
        <is>
          <t>1757</t>
        </is>
      </c>
      <c r="F2932" t="inlineStr">
        <is>
          <t>0453</t>
        </is>
      </c>
      <c r="G2932" s="10" t="inlineStr">
        <is>
          <t>宇多野</t>
        </is>
      </c>
      <c r="H2932" s="10" t="inlineStr">
        <is>
          <t>発</t>
        </is>
      </c>
      <c r="J2932" s="10" t="inlineStr">
        <is>
          <t>営業</t>
        </is>
      </c>
      <c r="L2932" t="inlineStr">
        <is>
          <t>17:39:05</t>
        </is>
      </c>
      <c r="M2932" t="inlineStr">
        <is>
          <t>17:39:15</t>
        </is>
      </c>
      <c r="U2932" t="inlineStr">
        <is>
          <t>→帷子ノ辻 休憩(17:44〜18:46)</t>
        </is>
      </c>
    </row>
    <row r="2933" ht="15" customHeight="1" s="37">
      <c r="A2933" t="n">
        <v>22</v>
      </c>
      <c r="B2933" s="10" t="inlineStr">
        <is>
          <t>休日</t>
        </is>
      </c>
      <c r="C2933" s="10" t="inlineStr">
        <is>
          <t>北野線</t>
        </is>
      </c>
      <c r="D2933" s="10" t="inlineStr">
        <is>
          <t>下り</t>
        </is>
      </c>
      <c r="E2933" t="inlineStr">
        <is>
          <t>1757</t>
        </is>
      </c>
      <c r="F2933" t="inlineStr">
        <is>
          <t>0453</t>
        </is>
      </c>
      <c r="G2933" s="10" t="inlineStr">
        <is>
          <t>鳴滝</t>
        </is>
      </c>
      <c r="H2933" s="10" t="inlineStr">
        <is>
          <t>発</t>
        </is>
      </c>
      <c r="J2933" s="10" t="inlineStr">
        <is>
          <t>営業</t>
        </is>
      </c>
      <c r="L2933" t="inlineStr">
        <is>
          <t>17:40:35</t>
        </is>
      </c>
      <c r="M2933" t="inlineStr">
        <is>
          <t>17:40:45</t>
        </is>
      </c>
      <c r="U2933" t="inlineStr">
        <is>
          <t>→帷子ノ辻 休憩(17:44〜18:46)</t>
        </is>
      </c>
    </row>
    <row r="2934" ht="15" customHeight="1" s="37">
      <c r="A2934" t="n">
        <v>22</v>
      </c>
      <c r="B2934" s="10" t="inlineStr">
        <is>
          <t>休日</t>
        </is>
      </c>
      <c r="C2934" s="10" t="inlineStr">
        <is>
          <t>北野線</t>
        </is>
      </c>
      <c r="D2934" s="10" t="inlineStr">
        <is>
          <t>下り</t>
        </is>
      </c>
      <c r="E2934" t="inlineStr">
        <is>
          <t>1757</t>
        </is>
      </c>
      <c r="F2934" t="inlineStr">
        <is>
          <t>0453</t>
        </is>
      </c>
      <c r="G2934" s="10" t="inlineStr">
        <is>
          <t>常盤</t>
        </is>
      </c>
      <c r="H2934" s="10" t="inlineStr">
        <is>
          <t>発</t>
        </is>
      </c>
      <c r="J2934" s="10" t="inlineStr">
        <is>
          <t>営業</t>
        </is>
      </c>
      <c r="L2934" t="inlineStr">
        <is>
          <t>17:41:35</t>
        </is>
      </c>
      <c r="M2934" t="inlineStr">
        <is>
          <t>17:41:55</t>
        </is>
      </c>
      <c r="U2934" t="inlineStr">
        <is>
          <t>→帷子ノ辻 休憩(17:44〜18:46)</t>
        </is>
      </c>
    </row>
    <row r="2935" ht="15" customHeight="1" s="37">
      <c r="A2935" t="n">
        <v>22</v>
      </c>
      <c r="B2935" s="10" t="inlineStr">
        <is>
          <t>休日</t>
        </is>
      </c>
      <c r="C2935" s="10" t="inlineStr">
        <is>
          <t>北野線</t>
        </is>
      </c>
      <c r="D2935" s="10" t="inlineStr">
        <is>
          <t>下り</t>
        </is>
      </c>
      <c r="E2935" t="inlineStr">
        <is>
          <t>1757</t>
        </is>
      </c>
      <c r="F2935" t="inlineStr">
        <is>
          <t>0453</t>
        </is>
      </c>
      <c r="G2935" s="10" t="inlineStr">
        <is>
          <t>撮影所前</t>
        </is>
      </c>
      <c r="H2935" s="10" t="inlineStr">
        <is>
          <t>発</t>
        </is>
      </c>
      <c r="J2935" s="10" t="inlineStr">
        <is>
          <t>営業</t>
        </is>
      </c>
      <c r="L2935" t="inlineStr">
        <is>
          <t>17:43:15</t>
        </is>
      </c>
      <c r="M2935" t="inlineStr">
        <is>
          <t>17:43:30</t>
        </is>
      </c>
      <c r="U2935" t="inlineStr">
        <is>
          <t>→帷子ノ辻 休憩(17:44〜18:46)</t>
        </is>
      </c>
    </row>
    <row r="2936" ht="15" customHeight="1" s="37">
      <c r="A2936" t="n">
        <v>22</v>
      </c>
      <c r="B2936" s="10" t="inlineStr">
        <is>
          <t>休日</t>
        </is>
      </c>
      <c r="C2936" s="10" t="inlineStr">
        <is>
          <t>北野線</t>
        </is>
      </c>
      <c r="D2936" s="10" t="inlineStr">
        <is>
          <t>下り</t>
        </is>
      </c>
      <c r="E2936" t="inlineStr">
        <is>
          <t>1757</t>
        </is>
      </c>
      <c r="F2936" t="inlineStr">
        <is>
          <t>0453</t>
        </is>
      </c>
      <c r="G2936" s="10" t="inlineStr">
        <is>
          <t>帷子ノ辻</t>
        </is>
      </c>
      <c r="H2936" s="10" t="inlineStr">
        <is>
          <t>着</t>
        </is>
      </c>
      <c r="J2936" s="10" t="inlineStr">
        <is>
          <t>営業</t>
        </is>
      </c>
      <c r="L2936" t="inlineStr">
        <is>
          <t>17:44:25</t>
        </is>
      </c>
      <c r="Q2936" t="inlineStr">
        <is>
          <t>3</t>
        </is>
      </c>
      <c r="U2936" t="inlineStr">
        <is>
          <t>→帷子ノ辻 休憩(17:44〜18:46)</t>
        </is>
      </c>
    </row>
    <row r="2937" ht="15" customHeight="1" s="37">
      <c r="A2937" t="n">
        <v>22</v>
      </c>
      <c r="B2937" s="10" t="inlineStr">
        <is>
          <t>休日</t>
        </is>
      </c>
      <c r="C2937" s="10" t="inlineStr">
        <is>
          <t>北野線</t>
        </is>
      </c>
      <c r="D2937" s="10" t="inlineStr">
        <is>
          <t>上り</t>
        </is>
      </c>
      <c r="E2937" t="inlineStr">
        <is>
          <t>1860</t>
        </is>
      </c>
      <c r="F2937" t="inlineStr">
        <is>
          <t>0304</t>
        </is>
      </c>
      <c r="G2937" s="10" t="inlineStr">
        <is>
          <t>帷子ノ辻</t>
        </is>
      </c>
      <c r="H2937" s="10" t="inlineStr">
        <is>
          <t>発</t>
        </is>
      </c>
      <c r="J2937" s="10" t="inlineStr">
        <is>
          <t>営業</t>
        </is>
      </c>
      <c r="M2937" t="inlineStr">
        <is>
          <t>18:46:25</t>
        </is>
      </c>
      <c r="Q2937" t="inlineStr">
        <is>
          <t>4</t>
        </is>
      </c>
    </row>
    <row r="2938" ht="15" customHeight="1" s="37">
      <c r="A2938" t="n">
        <v>22</v>
      </c>
      <c r="B2938" s="10" t="inlineStr">
        <is>
          <t>休日</t>
        </is>
      </c>
      <c r="C2938" s="10" t="inlineStr">
        <is>
          <t>北野線</t>
        </is>
      </c>
      <c r="D2938" s="10" t="inlineStr">
        <is>
          <t>上り</t>
        </is>
      </c>
      <c r="E2938" t="inlineStr">
        <is>
          <t>1860</t>
        </is>
      </c>
      <c r="F2938" t="inlineStr">
        <is>
          <t>0304</t>
        </is>
      </c>
      <c r="G2938" s="10" t="inlineStr">
        <is>
          <t>撮影所前</t>
        </is>
      </c>
      <c r="H2938" s="10" t="inlineStr">
        <is>
          <t>発</t>
        </is>
      </c>
      <c r="J2938" s="10" t="inlineStr">
        <is>
          <t>営業</t>
        </is>
      </c>
      <c r="L2938" t="inlineStr">
        <is>
          <t>18:47:25</t>
        </is>
      </c>
      <c r="M2938" t="inlineStr">
        <is>
          <t>18:47:40</t>
        </is>
      </c>
    </row>
    <row r="2939" ht="15" customHeight="1" s="37">
      <c r="A2939" t="n">
        <v>22</v>
      </c>
      <c r="B2939" s="10" t="inlineStr">
        <is>
          <t>休日</t>
        </is>
      </c>
      <c r="C2939" s="10" t="inlineStr">
        <is>
          <t>北野線</t>
        </is>
      </c>
      <c r="D2939" s="10" t="inlineStr">
        <is>
          <t>上り</t>
        </is>
      </c>
      <c r="E2939" t="inlineStr">
        <is>
          <t>1860</t>
        </is>
      </c>
      <c r="F2939" t="inlineStr">
        <is>
          <t>0304</t>
        </is>
      </c>
      <c r="G2939" s="10" t="inlineStr">
        <is>
          <t>常盤</t>
        </is>
      </c>
      <c r="H2939" s="10" t="inlineStr">
        <is>
          <t>発</t>
        </is>
      </c>
      <c r="J2939" s="10" t="inlineStr">
        <is>
          <t>営業</t>
        </is>
      </c>
      <c r="L2939" t="inlineStr">
        <is>
          <t>18:49:00</t>
        </is>
      </c>
      <c r="M2939" t="inlineStr">
        <is>
          <t>18:49:20</t>
        </is>
      </c>
    </row>
    <row r="2940" ht="15" customHeight="1" s="37">
      <c r="A2940" t="n">
        <v>22</v>
      </c>
      <c r="B2940" s="10" t="inlineStr">
        <is>
          <t>休日</t>
        </is>
      </c>
      <c r="C2940" s="10" t="inlineStr">
        <is>
          <t>北野線</t>
        </is>
      </c>
      <c r="D2940" s="10" t="inlineStr">
        <is>
          <t>上り</t>
        </is>
      </c>
      <c r="E2940" t="inlineStr">
        <is>
          <t>1860</t>
        </is>
      </c>
      <c r="F2940" t="inlineStr">
        <is>
          <t>0304</t>
        </is>
      </c>
      <c r="G2940" s="10" t="inlineStr">
        <is>
          <t>鳴滝</t>
        </is>
      </c>
      <c r="H2940" s="10" t="inlineStr">
        <is>
          <t>発</t>
        </is>
      </c>
      <c r="J2940" s="10" t="inlineStr">
        <is>
          <t>営業</t>
        </is>
      </c>
      <c r="L2940" t="inlineStr">
        <is>
          <t>18:50:20</t>
        </is>
      </c>
      <c r="M2940" t="inlineStr">
        <is>
          <t>18:50:40</t>
        </is>
      </c>
    </row>
    <row r="2941" ht="15" customHeight="1" s="37">
      <c r="A2941" t="n">
        <v>22</v>
      </c>
      <c r="B2941" s="10" t="inlineStr">
        <is>
          <t>休日</t>
        </is>
      </c>
      <c r="C2941" s="10" t="inlineStr">
        <is>
          <t>北野線</t>
        </is>
      </c>
      <c r="D2941" s="10" t="inlineStr">
        <is>
          <t>上り</t>
        </is>
      </c>
      <c r="E2941" t="inlineStr">
        <is>
          <t>1860</t>
        </is>
      </c>
      <c r="F2941" t="inlineStr">
        <is>
          <t>0304</t>
        </is>
      </c>
      <c r="G2941" s="10" t="inlineStr">
        <is>
          <t>宇多野</t>
        </is>
      </c>
      <c r="H2941" s="10" t="inlineStr">
        <is>
          <t>発</t>
        </is>
      </c>
      <c r="J2941" s="10" t="inlineStr">
        <is>
          <t>営業</t>
        </is>
      </c>
      <c r="L2941" t="inlineStr">
        <is>
          <t>18:52:00</t>
        </is>
      </c>
      <c r="M2941" t="inlineStr">
        <is>
          <t>18:52:15</t>
        </is>
      </c>
    </row>
    <row r="2942" ht="15" customHeight="1" s="37">
      <c r="A2942" t="n">
        <v>22</v>
      </c>
      <c r="B2942" s="10" t="inlineStr">
        <is>
          <t>休日</t>
        </is>
      </c>
      <c r="C2942" s="10" t="inlineStr">
        <is>
          <t>北野線</t>
        </is>
      </c>
      <c r="D2942" s="10" t="inlineStr">
        <is>
          <t>上り</t>
        </is>
      </c>
      <c r="E2942" t="inlineStr">
        <is>
          <t>1860</t>
        </is>
      </c>
      <c r="F2942" t="inlineStr">
        <is>
          <t>0304</t>
        </is>
      </c>
      <c r="G2942" s="10" t="inlineStr">
        <is>
          <t>御室仁和寺</t>
        </is>
      </c>
      <c r="H2942" s="10" t="inlineStr">
        <is>
          <t>発</t>
        </is>
      </c>
      <c r="J2942" s="10" t="inlineStr">
        <is>
          <t>営業</t>
        </is>
      </c>
      <c r="L2942" t="inlineStr">
        <is>
          <t>18:53:15</t>
        </is>
      </c>
      <c r="M2942" t="inlineStr">
        <is>
          <t>18:53:35</t>
        </is>
      </c>
    </row>
    <row r="2943" ht="15" customHeight="1" s="37">
      <c r="A2943" t="n">
        <v>22</v>
      </c>
      <c r="B2943" s="10" t="inlineStr">
        <is>
          <t>休日</t>
        </is>
      </c>
      <c r="C2943" s="10" t="inlineStr">
        <is>
          <t>北野線</t>
        </is>
      </c>
      <c r="D2943" s="10" t="inlineStr">
        <is>
          <t>上り</t>
        </is>
      </c>
      <c r="E2943" t="inlineStr">
        <is>
          <t>1860</t>
        </is>
      </c>
      <c r="F2943" t="inlineStr">
        <is>
          <t>0304</t>
        </is>
      </c>
      <c r="G2943" s="10" t="inlineStr">
        <is>
          <t>妙心寺</t>
        </is>
      </c>
      <c r="H2943" s="10" t="inlineStr">
        <is>
          <t>発</t>
        </is>
      </c>
      <c r="J2943" s="10" t="inlineStr">
        <is>
          <t>営業</t>
        </is>
      </c>
      <c r="L2943" t="inlineStr">
        <is>
          <t>18:54:35</t>
        </is>
      </c>
      <c r="M2943" t="inlineStr">
        <is>
          <t>18:54:50</t>
        </is>
      </c>
    </row>
    <row r="2944" ht="15" customHeight="1" s="37">
      <c r="A2944" t="n">
        <v>22</v>
      </c>
      <c r="B2944" s="10" t="inlineStr">
        <is>
          <t>休日</t>
        </is>
      </c>
      <c r="C2944" s="10" t="inlineStr">
        <is>
          <t>北野線</t>
        </is>
      </c>
      <c r="D2944" s="10" t="inlineStr">
        <is>
          <t>上り</t>
        </is>
      </c>
      <c r="E2944" t="inlineStr">
        <is>
          <t>1860</t>
        </is>
      </c>
      <c r="F2944" t="inlineStr">
        <is>
          <t>0304</t>
        </is>
      </c>
      <c r="G2944" s="10" t="inlineStr">
        <is>
          <t>龍安寺</t>
        </is>
      </c>
      <c r="H2944" s="10" t="inlineStr">
        <is>
          <t>発</t>
        </is>
      </c>
      <c r="J2944" s="10" t="inlineStr">
        <is>
          <t>営業</t>
        </is>
      </c>
      <c r="L2944" t="inlineStr">
        <is>
          <t>18:55:45</t>
        </is>
      </c>
      <c r="M2944" t="inlineStr">
        <is>
          <t>18:55:55</t>
        </is>
      </c>
    </row>
    <row r="2945" ht="15" customHeight="1" s="37">
      <c r="A2945" t="n">
        <v>22</v>
      </c>
      <c r="B2945" s="10" t="inlineStr">
        <is>
          <t>休日</t>
        </is>
      </c>
      <c r="C2945" s="10" t="inlineStr">
        <is>
          <t>北野線</t>
        </is>
      </c>
      <c r="D2945" s="10" t="inlineStr">
        <is>
          <t>上り</t>
        </is>
      </c>
      <c r="E2945" t="inlineStr">
        <is>
          <t>1860</t>
        </is>
      </c>
      <c r="F2945" t="inlineStr">
        <is>
          <t>0304</t>
        </is>
      </c>
      <c r="G2945" s="10" t="inlineStr">
        <is>
          <t>等持院</t>
        </is>
      </c>
      <c r="H2945" s="10" t="inlineStr">
        <is>
          <t>発</t>
        </is>
      </c>
      <c r="J2945" s="10" t="inlineStr">
        <is>
          <t>営業</t>
        </is>
      </c>
      <c r="L2945" t="inlineStr">
        <is>
          <t>18:56:35</t>
        </is>
      </c>
      <c r="M2945" t="inlineStr">
        <is>
          <t>18:56:55</t>
        </is>
      </c>
    </row>
    <row r="2946" ht="15" customHeight="1" s="37">
      <c r="A2946" t="n">
        <v>22</v>
      </c>
      <c r="B2946" s="10" t="inlineStr">
        <is>
          <t>休日</t>
        </is>
      </c>
      <c r="C2946" s="10" t="inlineStr">
        <is>
          <t>北野線</t>
        </is>
      </c>
      <c r="D2946" s="10" t="inlineStr">
        <is>
          <t>上り</t>
        </is>
      </c>
      <c r="E2946" t="inlineStr">
        <is>
          <t>1860</t>
        </is>
      </c>
      <c r="F2946" t="inlineStr">
        <is>
          <t>0304</t>
        </is>
      </c>
      <c r="G2946" s="10" t="inlineStr">
        <is>
          <t>北野白梅町</t>
        </is>
      </c>
      <c r="H2946" s="10" t="inlineStr">
        <is>
          <t>着</t>
        </is>
      </c>
      <c r="J2946" s="10" t="inlineStr">
        <is>
          <t>営業</t>
        </is>
      </c>
      <c r="L2946" t="inlineStr">
        <is>
          <t>18:58:15</t>
        </is>
      </c>
      <c r="N2946" t="inlineStr">
        <is>
          <t>○</t>
        </is>
      </c>
      <c r="Q2946" t="inlineStr">
        <is>
          <t>1</t>
        </is>
      </c>
    </row>
    <row r="2947" ht="15" customHeight="1" s="37">
      <c r="A2947" t="n">
        <v>22</v>
      </c>
      <c r="B2947" s="10" t="inlineStr">
        <is>
          <t>休日</t>
        </is>
      </c>
      <c r="C2947" s="10" t="inlineStr">
        <is>
          <t>北野線</t>
        </is>
      </c>
      <c r="D2947" s="10" t="inlineStr">
        <is>
          <t>下り</t>
        </is>
      </c>
      <c r="E2947" t="inlineStr">
        <is>
          <t>1951</t>
        </is>
      </c>
      <c r="F2947" t="inlineStr">
        <is>
          <t>0453</t>
        </is>
      </c>
      <c r="G2947" s="10" t="inlineStr">
        <is>
          <t>北野白梅町</t>
        </is>
      </c>
      <c r="H2947" s="10" t="inlineStr">
        <is>
          <t>発</t>
        </is>
      </c>
      <c r="J2947" s="10" t="inlineStr">
        <is>
          <t>営業</t>
        </is>
      </c>
      <c r="M2947" t="inlineStr">
        <is>
          <t>19:03:00</t>
        </is>
      </c>
      <c r="Q2947" t="inlineStr">
        <is>
          <t>1</t>
        </is>
      </c>
    </row>
    <row r="2948" ht="15" customHeight="1" s="37">
      <c r="A2948" t="n">
        <v>22</v>
      </c>
      <c r="B2948" s="10" t="inlineStr">
        <is>
          <t>休日</t>
        </is>
      </c>
      <c r="C2948" s="10" t="inlineStr">
        <is>
          <t>北野線</t>
        </is>
      </c>
      <c r="D2948" s="10" t="inlineStr">
        <is>
          <t>下り</t>
        </is>
      </c>
      <c r="E2948" t="inlineStr">
        <is>
          <t>1951</t>
        </is>
      </c>
      <c r="F2948" t="inlineStr">
        <is>
          <t>0453</t>
        </is>
      </c>
      <c r="G2948" s="10" t="inlineStr">
        <is>
          <t>等持院</t>
        </is>
      </c>
      <c r="H2948" s="10" t="inlineStr">
        <is>
          <t>発</t>
        </is>
      </c>
      <c r="J2948" s="10" t="inlineStr">
        <is>
          <t>営業</t>
        </is>
      </c>
      <c r="L2948" t="inlineStr">
        <is>
          <t>19:04:25</t>
        </is>
      </c>
      <c r="M2948" t="inlineStr">
        <is>
          <t>19:04:35</t>
        </is>
      </c>
    </row>
    <row r="2949" ht="15" customHeight="1" s="37">
      <c r="A2949" t="n">
        <v>22</v>
      </c>
      <c r="B2949" s="10" t="inlineStr">
        <is>
          <t>休日</t>
        </is>
      </c>
      <c r="C2949" s="10" t="inlineStr">
        <is>
          <t>北野線</t>
        </is>
      </c>
      <c r="D2949" s="10" t="inlineStr">
        <is>
          <t>下り</t>
        </is>
      </c>
      <c r="E2949" t="inlineStr">
        <is>
          <t>1951</t>
        </is>
      </c>
      <c r="F2949" t="inlineStr">
        <is>
          <t>0453</t>
        </is>
      </c>
      <c r="G2949" s="10" t="inlineStr">
        <is>
          <t>龍安寺</t>
        </is>
      </c>
      <c r="H2949" s="10" t="inlineStr">
        <is>
          <t>発</t>
        </is>
      </c>
      <c r="J2949" s="10" t="inlineStr">
        <is>
          <t>営業</t>
        </is>
      </c>
      <c r="L2949" t="inlineStr">
        <is>
          <t>19:05:25</t>
        </is>
      </c>
      <c r="M2949" t="inlineStr">
        <is>
          <t>19:05:50</t>
        </is>
      </c>
    </row>
    <row r="2950" ht="15" customHeight="1" s="37">
      <c r="A2950" t="n">
        <v>22</v>
      </c>
      <c r="B2950" s="10" t="inlineStr">
        <is>
          <t>休日</t>
        </is>
      </c>
      <c r="C2950" s="10" t="inlineStr">
        <is>
          <t>北野線</t>
        </is>
      </c>
      <c r="D2950" s="10" t="inlineStr">
        <is>
          <t>下り</t>
        </is>
      </c>
      <c r="E2950" t="inlineStr">
        <is>
          <t>1951</t>
        </is>
      </c>
      <c r="F2950" t="inlineStr">
        <is>
          <t>0453</t>
        </is>
      </c>
      <c r="G2950" s="10" t="inlineStr">
        <is>
          <t>妙心寺</t>
        </is>
      </c>
      <c r="H2950" s="10" t="inlineStr">
        <is>
          <t>発</t>
        </is>
      </c>
      <c r="J2950" s="10" t="inlineStr">
        <is>
          <t>営業</t>
        </is>
      </c>
      <c r="L2950" t="inlineStr">
        <is>
          <t>19:06:40</t>
        </is>
      </c>
      <c r="M2950" t="inlineStr">
        <is>
          <t>19:06:50</t>
        </is>
      </c>
    </row>
    <row r="2951" ht="15" customHeight="1" s="37">
      <c r="A2951" t="n">
        <v>22</v>
      </c>
      <c r="B2951" s="10" t="inlineStr">
        <is>
          <t>休日</t>
        </is>
      </c>
      <c r="C2951" s="10" t="inlineStr">
        <is>
          <t>北野線</t>
        </is>
      </c>
      <c r="D2951" s="10" t="inlineStr">
        <is>
          <t>下り</t>
        </is>
      </c>
      <c r="E2951" t="inlineStr">
        <is>
          <t>1951</t>
        </is>
      </c>
      <c r="F2951" t="inlineStr">
        <is>
          <t>0453</t>
        </is>
      </c>
      <c r="G2951" s="10" t="inlineStr">
        <is>
          <t>御室仁和寺</t>
        </is>
      </c>
      <c r="H2951" s="10" t="inlineStr">
        <is>
          <t>発</t>
        </is>
      </c>
      <c r="J2951" s="10" t="inlineStr">
        <is>
          <t>営業</t>
        </is>
      </c>
      <c r="L2951" t="inlineStr">
        <is>
          <t>19:07:50</t>
        </is>
      </c>
      <c r="M2951" t="inlineStr">
        <is>
          <t>19:08:05</t>
        </is>
      </c>
    </row>
    <row r="2952" ht="15" customHeight="1" s="37">
      <c r="A2952" t="n">
        <v>22</v>
      </c>
      <c r="B2952" s="10" t="inlineStr">
        <is>
          <t>休日</t>
        </is>
      </c>
      <c r="C2952" s="10" t="inlineStr">
        <is>
          <t>北野線</t>
        </is>
      </c>
      <c r="D2952" s="10" t="inlineStr">
        <is>
          <t>下り</t>
        </is>
      </c>
      <c r="E2952" t="inlineStr">
        <is>
          <t>1951</t>
        </is>
      </c>
      <c r="F2952" t="inlineStr">
        <is>
          <t>0453</t>
        </is>
      </c>
      <c r="G2952" s="10" t="inlineStr">
        <is>
          <t>宇多野</t>
        </is>
      </c>
      <c r="H2952" s="10" t="inlineStr">
        <is>
          <t>発</t>
        </is>
      </c>
      <c r="J2952" s="10" t="inlineStr">
        <is>
          <t>営業</t>
        </is>
      </c>
      <c r="L2952" t="inlineStr">
        <is>
          <t>19:09:05</t>
        </is>
      </c>
      <c r="M2952" t="inlineStr">
        <is>
          <t>19:09:15</t>
        </is>
      </c>
    </row>
    <row r="2953" ht="15" customHeight="1" s="37">
      <c r="A2953" t="n">
        <v>22</v>
      </c>
      <c r="B2953" s="10" t="inlineStr">
        <is>
          <t>休日</t>
        </is>
      </c>
      <c r="C2953" s="10" t="inlineStr">
        <is>
          <t>北野線</t>
        </is>
      </c>
      <c r="D2953" s="10" t="inlineStr">
        <is>
          <t>下り</t>
        </is>
      </c>
      <c r="E2953" t="inlineStr">
        <is>
          <t>1951</t>
        </is>
      </c>
      <c r="F2953" t="inlineStr">
        <is>
          <t>0453</t>
        </is>
      </c>
      <c r="G2953" s="10" t="inlineStr">
        <is>
          <t>鳴滝</t>
        </is>
      </c>
      <c r="H2953" s="10" t="inlineStr">
        <is>
          <t>発</t>
        </is>
      </c>
      <c r="J2953" s="10" t="inlineStr">
        <is>
          <t>営業</t>
        </is>
      </c>
      <c r="L2953" t="inlineStr">
        <is>
          <t>19:10:35</t>
        </is>
      </c>
      <c r="M2953" t="inlineStr">
        <is>
          <t>19:10:45</t>
        </is>
      </c>
    </row>
    <row r="2954" ht="15" customHeight="1" s="37">
      <c r="A2954" t="n">
        <v>22</v>
      </c>
      <c r="B2954" s="10" t="inlineStr">
        <is>
          <t>休日</t>
        </is>
      </c>
      <c r="C2954" s="10" t="inlineStr">
        <is>
          <t>北野線</t>
        </is>
      </c>
      <c r="D2954" s="10" t="inlineStr">
        <is>
          <t>下り</t>
        </is>
      </c>
      <c r="E2954" t="inlineStr">
        <is>
          <t>1951</t>
        </is>
      </c>
      <c r="F2954" t="inlineStr">
        <is>
          <t>0453</t>
        </is>
      </c>
      <c r="G2954" s="10" t="inlineStr">
        <is>
          <t>常盤</t>
        </is>
      </c>
      <c r="H2954" s="10" t="inlineStr">
        <is>
          <t>発</t>
        </is>
      </c>
      <c r="J2954" s="10" t="inlineStr">
        <is>
          <t>営業</t>
        </is>
      </c>
      <c r="L2954" t="inlineStr">
        <is>
          <t>19:11:35</t>
        </is>
      </c>
      <c r="M2954" t="inlineStr">
        <is>
          <t>19:11:55</t>
        </is>
      </c>
    </row>
    <row r="2955" ht="15" customHeight="1" s="37">
      <c r="A2955" t="n">
        <v>22</v>
      </c>
      <c r="B2955" s="10" t="inlineStr">
        <is>
          <t>休日</t>
        </is>
      </c>
      <c r="C2955" s="10" t="inlineStr">
        <is>
          <t>北野線</t>
        </is>
      </c>
      <c r="D2955" s="10" t="inlineStr">
        <is>
          <t>下り</t>
        </is>
      </c>
      <c r="E2955" t="inlineStr">
        <is>
          <t>1951</t>
        </is>
      </c>
      <c r="F2955" t="inlineStr">
        <is>
          <t>0453</t>
        </is>
      </c>
      <c r="G2955" s="10" t="inlineStr">
        <is>
          <t>撮影所前</t>
        </is>
      </c>
      <c r="H2955" s="10" t="inlineStr">
        <is>
          <t>発</t>
        </is>
      </c>
      <c r="J2955" s="10" t="inlineStr">
        <is>
          <t>営業</t>
        </is>
      </c>
      <c r="L2955" t="inlineStr">
        <is>
          <t>19:13:15</t>
        </is>
      </c>
      <c r="M2955" t="inlineStr">
        <is>
          <t>19:13:30</t>
        </is>
      </c>
    </row>
    <row r="2956" ht="15" customHeight="1" s="37">
      <c r="A2956" t="n">
        <v>22</v>
      </c>
      <c r="B2956" s="10" t="inlineStr">
        <is>
          <t>休日</t>
        </is>
      </c>
      <c r="C2956" s="10" t="inlineStr">
        <is>
          <t>北野線</t>
        </is>
      </c>
      <c r="D2956" s="10" t="inlineStr">
        <is>
          <t>下り</t>
        </is>
      </c>
      <c r="E2956" t="inlineStr">
        <is>
          <t>1951</t>
        </is>
      </c>
      <c r="F2956" t="inlineStr">
        <is>
          <t>0453</t>
        </is>
      </c>
      <c r="G2956" s="10" t="inlineStr">
        <is>
          <t>帷子ノ辻</t>
        </is>
      </c>
      <c r="H2956" s="10" t="inlineStr">
        <is>
          <t>着</t>
        </is>
      </c>
      <c r="J2956" s="10" t="inlineStr">
        <is>
          <t>営業</t>
        </is>
      </c>
      <c r="L2956" t="inlineStr">
        <is>
          <t>19:14:25</t>
        </is>
      </c>
      <c r="Q2956" t="inlineStr">
        <is>
          <t>4</t>
        </is>
      </c>
    </row>
    <row r="2957" ht="15" customHeight="1" s="37">
      <c r="A2957" t="n">
        <v>22</v>
      </c>
      <c r="B2957" s="10" t="inlineStr">
        <is>
          <t>休日</t>
        </is>
      </c>
      <c r="C2957" s="10" t="inlineStr">
        <is>
          <t>北野線</t>
        </is>
      </c>
      <c r="D2957" s="10" t="inlineStr">
        <is>
          <t>上り</t>
        </is>
      </c>
      <c r="E2957" t="inlineStr">
        <is>
          <t>1956</t>
        </is>
      </c>
      <c r="F2957" t="inlineStr">
        <is>
          <t>0304</t>
        </is>
      </c>
      <c r="G2957" s="10" t="inlineStr">
        <is>
          <t>帷子ノ辻</t>
        </is>
      </c>
      <c r="H2957" s="10" t="inlineStr">
        <is>
          <t>発</t>
        </is>
      </c>
      <c r="J2957" s="10" t="inlineStr">
        <is>
          <t>営業</t>
        </is>
      </c>
      <c r="M2957" t="inlineStr">
        <is>
          <t>19:26:25</t>
        </is>
      </c>
      <c r="Q2957" t="inlineStr">
        <is>
          <t>4</t>
        </is>
      </c>
    </row>
    <row r="2958" ht="15" customHeight="1" s="37">
      <c r="A2958" t="n">
        <v>22</v>
      </c>
      <c r="B2958" s="10" t="inlineStr">
        <is>
          <t>休日</t>
        </is>
      </c>
      <c r="C2958" s="10" t="inlineStr">
        <is>
          <t>北野線</t>
        </is>
      </c>
      <c r="D2958" s="10" t="inlineStr">
        <is>
          <t>上り</t>
        </is>
      </c>
      <c r="E2958" t="inlineStr">
        <is>
          <t>1956</t>
        </is>
      </c>
      <c r="F2958" t="inlineStr">
        <is>
          <t>0304</t>
        </is>
      </c>
      <c r="G2958" s="10" t="inlineStr">
        <is>
          <t>撮影所前</t>
        </is>
      </c>
      <c r="H2958" s="10" t="inlineStr">
        <is>
          <t>発</t>
        </is>
      </c>
      <c r="J2958" s="10" t="inlineStr">
        <is>
          <t>営業</t>
        </is>
      </c>
      <c r="L2958" t="inlineStr">
        <is>
          <t>19:27:25</t>
        </is>
      </c>
      <c r="M2958" t="inlineStr">
        <is>
          <t>19:27:40</t>
        </is>
      </c>
    </row>
    <row r="2959" ht="15" customHeight="1" s="37">
      <c r="A2959" t="n">
        <v>22</v>
      </c>
      <c r="B2959" s="10" t="inlineStr">
        <is>
          <t>休日</t>
        </is>
      </c>
      <c r="C2959" s="10" t="inlineStr">
        <is>
          <t>北野線</t>
        </is>
      </c>
      <c r="D2959" s="10" t="inlineStr">
        <is>
          <t>上り</t>
        </is>
      </c>
      <c r="E2959" t="inlineStr">
        <is>
          <t>1956</t>
        </is>
      </c>
      <c r="F2959" t="inlineStr">
        <is>
          <t>0304</t>
        </is>
      </c>
      <c r="G2959" s="10" t="inlineStr">
        <is>
          <t>常盤</t>
        </is>
      </c>
      <c r="H2959" s="10" t="inlineStr">
        <is>
          <t>発</t>
        </is>
      </c>
      <c r="J2959" s="10" t="inlineStr">
        <is>
          <t>営業</t>
        </is>
      </c>
      <c r="L2959" t="inlineStr">
        <is>
          <t>19:29:00</t>
        </is>
      </c>
      <c r="M2959" t="inlineStr">
        <is>
          <t>19:29:20</t>
        </is>
      </c>
    </row>
    <row r="2960" ht="15" customHeight="1" s="37">
      <c r="A2960" t="n">
        <v>22</v>
      </c>
      <c r="B2960" s="10" t="inlineStr">
        <is>
          <t>休日</t>
        </is>
      </c>
      <c r="C2960" s="10" t="inlineStr">
        <is>
          <t>北野線</t>
        </is>
      </c>
      <c r="D2960" s="10" t="inlineStr">
        <is>
          <t>上り</t>
        </is>
      </c>
      <c r="E2960" t="inlineStr">
        <is>
          <t>1956</t>
        </is>
      </c>
      <c r="F2960" t="inlineStr">
        <is>
          <t>0304</t>
        </is>
      </c>
      <c r="G2960" s="10" t="inlineStr">
        <is>
          <t>鳴滝</t>
        </is>
      </c>
      <c r="H2960" s="10" t="inlineStr">
        <is>
          <t>発</t>
        </is>
      </c>
      <c r="J2960" s="10" t="inlineStr">
        <is>
          <t>営業</t>
        </is>
      </c>
      <c r="L2960" t="inlineStr">
        <is>
          <t>19:30:20</t>
        </is>
      </c>
      <c r="M2960" t="inlineStr">
        <is>
          <t>19:30:40</t>
        </is>
      </c>
    </row>
    <row r="2961" ht="15" customHeight="1" s="37">
      <c r="A2961" t="n">
        <v>22</v>
      </c>
      <c r="B2961" s="10" t="inlineStr">
        <is>
          <t>休日</t>
        </is>
      </c>
      <c r="C2961" s="10" t="inlineStr">
        <is>
          <t>北野線</t>
        </is>
      </c>
      <c r="D2961" s="10" t="inlineStr">
        <is>
          <t>上り</t>
        </is>
      </c>
      <c r="E2961" t="inlineStr">
        <is>
          <t>1956</t>
        </is>
      </c>
      <c r="F2961" t="inlineStr">
        <is>
          <t>0304</t>
        </is>
      </c>
      <c r="G2961" s="10" t="inlineStr">
        <is>
          <t>宇多野</t>
        </is>
      </c>
      <c r="H2961" s="10" t="inlineStr">
        <is>
          <t>発</t>
        </is>
      </c>
      <c r="J2961" s="10" t="inlineStr">
        <is>
          <t>営業</t>
        </is>
      </c>
      <c r="L2961" t="inlineStr">
        <is>
          <t>19:32:00</t>
        </is>
      </c>
      <c r="M2961" t="inlineStr">
        <is>
          <t>19:32:15</t>
        </is>
      </c>
    </row>
    <row r="2962" ht="15" customHeight="1" s="37">
      <c r="A2962" t="n">
        <v>22</v>
      </c>
      <c r="B2962" s="10" t="inlineStr">
        <is>
          <t>休日</t>
        </is>
      </c>
      <c r="C2962" s="10" t="inlineStr">
        <is>
          <t>北野線</t>
        </is>
      </c>
      <c r="D2962" s="10" t="inlineStr">
        <is>
          <t>上り</t>
        </is>
      </c>
      <c r="E2962" t="inlineStr">
        <is>
          <t>1956</t>
        </is>
      </c>
      <c r="F2962" t="inlineStr">
        <is>
          <t>0304</t>
        </is>
      </c>
      <c r="G2962" s="10" t="inlineStr">
        <is>
          <t>御室仁和寺</t>
        </is>
      </c>
      <c r="H2962" s="10" t="inlineStr">
        <is>
          <t>発</t>
        </is>
      </c>
      <c r="J2962" s="10" t="inlineStr">
        <is>
          <t>営業</t>
        </is>
      </c>
      <c r="L2962" t="inlineStr">
        <is>
          <t>19:33:15</t>
        </is>
      </c>
      <c r="M2962" t="inlineStr">
        <is>
          <t>19:33:35</t>
        </is>
      </c>
    </row>
    <row r="2963" ht="15" customHeight="1" s="37">
      <c r="A2963" t="n">
        <v>22</v>
      </c>
      <c r="B2963" s="10" t="inlineStr">
        <is>
          <t>休日</t>
        </is>
      </c>
      <c r="C2963" s="10" t="inlineStr">
        <is>
          <t>北野線</t>
        </is>
      </c>
      <c r="D2963" s="10" t="inlineStr">
        <is>
          <t>上り</t>
        </is>
      </c>
      <c r="E2963" t="inlineStr">
        <is>
          <t>1956</t>
        </is>
      </c>
      <c r="F2963" t="inlineStr">
        <is>
          <t>0304</t>
        </is>
      </c>
      <c r="G2963" s="10" t="inlineStr">
        <is>
          <t>妙心寺</t>
        </is>
      </c>
      <c r="H2963" s="10" t="inlineStr">
        <is>
          <t>発</t>
        </is>
      </c>
      <c r="J2963" s="10" t="inlineStr">
        <is>
          <t>営業</t>
        </is>
      </c>
      <c r="L2963" t="inlineStr">
        <is>
          <t>19:34:35</t>
        </is>
      </c>
      <c r="M2963" t="inlineStr">
        <is>
          <t>19:34:50</t>
        </is>
      </c>
    </row>
    <row r="2964" ht="15" customHeight="1" s="37">
      <c r="A2964" t="n">
        <v>22</v>
      </c>
      <c r="B2964" s="10" t="inlineStr">
        <is>
          <t>休日</t>
        </is>
      </c>
      <c r="C2964" s="10" t="inlineStr">
        <is>
          <t>北野線</t>
        </is>
      </c>
      <c r="D2964" s="10" t="inlineStr">
        <is>
          <t>上り</t>
        </is>
      </c>
      <c r="E2964" t="inlineStr">
        <is>
          <t>1956</t>
        </is>
      </c>
      <c r="F2964" t="inlineStr">
        <is>
          <t>0304</t>
        </is>
      </c>
      <c r="G2964" s="10" t="inlineStr">
        <is>
          <t>龍安寺</t>
        </is>
      </c>
      <c r="H2964" s="10" t="inlineStr">
        <is>
          <t>発</t>
        </is>
      </c>
      <c r="J2964" s="10" t="inlineStr">
        <is>
          <t>営業</t>
        </is>
      </c>
      <c r="L2964" t="inlineStr">
        <is>
          <t>19:35:45</t>
        </is>
      </c>
      <c r="M2964" t="inlineStr">
        <is>
          <t>19:35:55</t>
        </is>
      </c>
    </row>
    <row r="2965" ht="15" customHeight="1" s="37">
      <c r="A2965" t="n">
        <v>22</v>
      </c>
      <c r="B2965" s="10" t="inlineStr">
        <is>
          <t>休日</t>
        </is>
      </c>
      <c r="C2965" s="10" t="inlineStr">
        <is>
          <t>北野線</t>
        </is>
      </c>
      <c r="D2965" s="10" t="inlineStr">
        <is>
          <t>上り</t>
        </is>
      </c>
      <c r="E2965" t="inlineStr">
        <is>
          <t>1956</t>
        </is>
      </c>
      <c r="F2965" t="inlineStr">
        <is>
          <t>0304</t>
        </is>
      </c>
      <c r="G2965" s="10" t="inlineStr">
        <is>
          <t>等持院</t>
        </is>
      </c>
      <c r="H2965" s="10" t="inlineStr">
        <is>
          <t>発</t>
        </is>
      </c>
      <c r="J2965" s="10" t="inlineStr">
        <is>
          <t>営業</t>
        </is>
      </c>
      <c r="L2965" t="inlineStr">
        <is>
          <t>19:36:35</t>
        </is>
      </c>
      <c r="M2965" t="inlineStr">
        <is>
          <t>19:36:55</t>
        </is>
      </c>
    </row>
    <row r="2966" ht="15" customHeight="1" s="37">
      <c r="A2966" t="n">
        <v>22</v>
      </c>
      <c r="B2966" s="10" t="inlineStr">
        <is>
          <t>休日</t>
        </is>
      </c>
      <c r="C2966" s="10" t="inlineStr">
        <is>
          <t>北野線</t>
        </is>
      </c>
      <c r="D2966" s="10" t="inlineStr">
        <is>
          <t>上り</t>
        </is>
      </c>
      <c r="E2966" t="inlineStr">
        <is>
          <t>1956</t>
        </is>
      </c>
      <c r="F2966" t="inlineStr">
        <is>
          <t>0304</t>
        </is>
      </c>
      <c r="G2966" s="10" t="inlineStr">
        <is>
          <t>北野白梅町</t>
        </is>
      </c>
      <c r="H2966" s="10" t="inlineStr">
        <is>
          <t>着</t>
        </is>
      </c>
      <c r="J2966" s="10" t="inlineStr">
        <is>
          <t>営業</t>
        </is>
      </c>
      <c r="L2966" t="inlineStr">
        <is>
          <t>19:38:15</t>
        </is>
      </c>
      <c r="N2966" t="inlineStr">
        <is>
          <t>○</t>
        </is>
      </c>
      <c r="Q2966" t="inlineStr">
        <is>
          <t>1</t>
        </is>
      </c>
    </row>
    <row r="2967" ht="15" customHeight="1" s="37">
      <c r="A2967" t="n">
        <v>22</v>
      </c>
      <c r="B2967" s="10" t="inlineStr">
        <is>
          <t>休日</t>
        </is>
      </c>
      <c r="C2967" s="10" t="inlineStr">
        <is>
          <t>北野線</t>
        </is>
      </c>
      <c r="D2967" s="10" t="inlineStr">
        <is>
          <t>下り</t>
        </is>
      </c>
      <c r="E2967" t="inlineStr">
        <is>
          <t>1959</t>
        </is>
      </c>
      <c r="F2967" t="inlineStr">
        <is>
          <t>0453</t>
        </is>
      </c>
      <c r="G2967" s="10" t="inlineStr">
        <is>
          <t>北野白梅町</t>
        </is>
      </c>
      <c r="H2967" s="10" t="inlineStr">
        <is>
          <t>発</t>
        </is>
      </c>
      <c r="J2967" s="10" t="inlineStr">
        <is>
          <t>営業</t>
        </is>
      </c>
      <c r="M2967" t="inlineStr">
        <is>
          <t>19:43:00</t>
        </is>
      </c>
      <c r="Q2967" t="inlineStr">
        <is>
          <t>1</t>
        </is>
      </c>
    </row>
    <row r="2968" ht="15" customHeight="1" s="37">
      <c r="A2968" t="n">
        <v>22</v>
      </c>
      <c r="B2968" s="10" t="inlineStr">
        <is>
          <t>休日</t>
        </is>
      </c>
      <c r="C2968" s="10" t="inlineStr">
        <is>
          <t>北野線</t>
        </is>
      </c>
      <c r="D2968" s="10" t="inlineStr">
        <is>
          <t>下り</t>
        </is>
      </c>
      <c r="E2968" t="inlineStr">
        <is>
          <t>1959</t>
        </is>
      </c>
      <c r="F2968" t="inlineStr">
        <is>
          <t>0453</t>
        </is>
      </c>
      <c r="G2968" s="10" t="inlineStr">
        <is>
          <t>等持院</t>
        </is>
      </c>
      <c r="H2968" s="10" t="inlineStr">
        <is>
          <t>発</t>
        </is>
      </c>
      <c r="J2968" s="10" t="inlineStr">
        <is>
          <t>営業</t>
        </is>
      </c>
      <c r="L2968" t="inlineStr">
        <is>
          <t>19:44:25</t>
        </is>
      </c>
      <c r="M2968" t="inlineStr">
        <is>
          <t>19:44:35</t>
        </is>
      </c>
    </row>
    <row r="2969" ht="15" customHeight="1" s="37">
      <c r="A2969" t="n">
        <v>22</v>
      </c>
      <c r="B2969" s="10" t="inlineStr">
        <is>
          <t>休日</t>
        </is>
      </c>
      <c r="C2969" s="10" t="inlineStr">
        <is>
          <t>北野線</t>
        </is>
      </c>
      <c r="D2969" s="10" t="inlineStr">
        <is>
          <t>下り</t>
        </is>
      </c>
      <c r="E2969" t="inlineStr">
        <is>
          <t>1959</t>
        </is>
      </c>
      <c r="F2969" t="inlineStr">
        <is>
          <t>0453</t>
        </is>
      </c>
      <c r="G2969" s="10" t="inlineStr">
        <is>
          <t>龍安寺</t>
        </is>
      </c>
      <c r="H2969" s="10" t="inlineStr">
        <is>
          <t>発</t>
        </is>
      </c>
      <c r="J2969" s="10" t="inlineStr">
        <is>
          <t>営業</t>
        </is>
      </c>
      <c r="L2969" t="inlineStr">
        <is>
          <t>19:45:25</t>
        </is>
      </c>
      <c r="M2969" t="inlineStr">
        <is>
          <t>19:45:50</t>
        </is>
      </c>
    </row>
    <row r="2970" ht="15" customHeight="1" s="37">
      <c r="A2970" t="n">
        <v>22</v>
      </c>
      <c r="B2970" s="10" t="inlineStr">
        <is>
          <t>休日</t>
        </is>
      </c>
      <c r="C2970" s="10" t="inlineStr">
        <is>
          <t>北野線</t>
        </is>
      </c>
      <c r="D2970" s="10" t="inlineStr">
        <is>
          <t>下り</t>
        </is>
      </c>
      <c r="E2970" t="inlineStr">
        <is>
          <t>1959</t>
        </is>
      </c>
      <c r="F2970" t="inlineStr">
        <is>
          <t>0453</t>
        </is>
      </c>
      <c r="G2970" s="10" t="inlineStr">
        <is>
          <t>妙心寺</t>
        </is>
      </c>
      <c r="H2970" s="10" t="inlineStr">
        <is>
          <t>発</t>
        </is>
      </c>
      <c r="J2970" s="10" t="inlineStr">
        <is>
          <t>営業</t>
        </is>
      </c>
      <c r="L2970" t="inlineStr">
        <is>
          <t>19:46:40</t>
        </is>
      </c>
      <c r="M2970" t="inlineStr">
        <is>
          <t>19:46:50</t>
        </is>
      </c>
    </row>
    <row r="2971" ht="15" customHeight="1" s="37">
      <c r="A2971" t="n">
        <v>22</v>
      </c>
      <c r="B2971" s="10" t="inlineStr">
        <is>
          <t>休日</t>
        </is>
      </c>
      <c r="C2971" s="10" t="inlineStr">
        <is>
          <t>北野線</t>
        </is>
      </c>
      <c r="D2971" s="10" t="inlineStr">
        <is>
          <t>下り</t>
        </is>
      </c>
      <c r="E2971" t="inlineStr">
        <is>
          <t>1959</t>
        </is>
      </c>
      <c r="F2971" t="inlineStr">
        <is>
          <t>0453</t>
        </is>
      </c>
      <c r="G2971" s="10" t="inlineStr">
        <is>
          <t>御室仁和寺</t>
        </is>
      </c>
      <c r="H2971" s="10" t="inlineStr">
        <is>
          <t>発</t>
        </is>
      </c>
      <c r="J2971" s="10" t="inlineStr">
        <is>
          <t>営業</t>
        </is>
      </c>
      <c r="L2971" t="inlineStr">
        <is>
          <t>19:47:50</t>
        </is>
      </c>
      <c r="M2971" t="inlineStr">
        <is>
          <t>19:48:05</t>
        </is>
      </c>
    </row>
    <row r="2972" ht="15" customHeight="1" s="37">
      <c r="A2972" t="n">
        <v>22</v>
      </c>
      <c r="B2972" s="10" t="inlineStr">
        <is>
          <t>休日</t>
        </is>
      </c>
      <c r="C2972" s="10" t="inlineStr">
        <is>
          <t>北野線</t>
        </is>
      </c>
      <c r="D2972" s="10" t="inlineStr">
        <is>
          <t>下り</t>
        </is>
      </c>
      <c r="E2972" t="inlineStr">
        <is>
          <t>1959</t>
        </is>
      </c>
      <c r="F2972" t="inlineStr">
        <is>
          <t>0453</t>
        </is>
      </c>
      <c r="G2972" s="10" t="inlineStr">
        <is>
          <t>宇多野</t>
        </is>
      </c>
      <c r="H2972" s="10" t="inlineStr">
        <is>
          <t>発</t>
        </is>
      </c>
      <c r="J2972" s="10" t="inlineStr">
        <is>
          <t>営業</t>
        </is>
      </c>
      <c r="L2972" t="inlineStr">
        <is>
          <t>19:49:05</t>
        </is>
      </c>
      <c r="M2972" t="inlineStr">
        <is>
          <t>19:49:15</t>
        </is>
      </c>
    </row>
    <row r="2973" ht="15" customHeight="1" s="37">
      <c r="A2973" t="n">
        <v>22</v>
      </c>
      <c r="B2973" s="10" t="inlineStr">
        <is>
          <t>休日</t>
        </is>
      </c>
      <c r="C2973" s="10" t="inlineStr">
        <is>
          <t>北野線</t>
        </is>
      </c>
      <c r="D2973" s="10" t="inlineStr">
        <is>
          <t>下り</t>
        </is>
      </c>
      <c r="E2973" t="inlineStr">
        <is>
          <t>1959</t>
        </is>
      </c>
      <c r="F2973" t="inlineStr">
        <is>
          <t>0453</t>
        </is>
      </c>
      <c r="G2973" s="10" t="inlineStr">
        <is>
          <t>鳴滝</t>
        </is>
      </c>
      <c r="H2973" s="10" t="inlineStr">
        <is>
          <t>発</t>
        </is>
      </c>
      <c r="J2973" s="10" t="inlineStr">
        <is>
          <t>営業</t>
        </is>
      </c>
      <c r="L2973" t="inlineStr">
        <is>
          <t>19:50:35</t>
        </is>
      </c>
      <c r="M2973" t="inlineStr">
        <is>
          <t>19:50:45</t>
        </is>
      </c>
    </row>
    <row r="2974" ht="15" customHeight="1" s="37">
      <c r="A2974" t="n">
        <v>22</v>
      </c>
      <c r="B2974" s="10" t="inlineStr">
        <is>
          <t>休日</t>
        </is>
      </c>
      <c r="C2974" s="10" t="inlineStr">
        <is>
          <t>北野線</t>
        </is>
      </c>
      <c r="D2974" s="10" t="inlineStr">
        <is>
          <t>下り</t>
        </is>
      </c>
      <c r="E2974" t="inlineStr">
        <is>
          <t>1959</t>
        </is>
      </c>
      <c r="F2974" t="inlineStr">
        <is>
          <t>0453</t>
        </is>
      </c>
      <c r="G2974" s="10" t="inlineStr">
        <is>
          <t>常盤</t>
        </is>
      </c>
      <c r="H2974" s="10" t="inlineStr">
        <is>
          <t>発</t>
        </is>
      </c>
      <c r="J2974" s="10" t="inlineStr">
        <is>
          <t>営業</t>
        </is>
      </c>
      <c r="L2974" t="inlineStr">
        <is>
          <t>19:51:35</t>
        </is>
      </c>
      <c r="M2974" t="inlineStr">
        <is>
          <t>19:51:55</t>
        </is>
      </c>
    </row>
    <row r="2975" ht="15" customHeight="1" s="37">
      <c r="A2975" t="n">
        <v>22</v>
      </c>
      <c r="B2975" s="10" t="inlineStr">
        <is>
          <t>休日</t>
        </is>
      </c>
      <c r="C2975" s="10" t="inlineStr">
        <is>
          <t>北野線</t>
        </is>
      </c>
      <c r="D2975" s="10" t="inlineStr">
        <is>
          <t>下り</t>
        </is>
      </c>
      <c r="E2975" t="inlineStr">
        <is>
          <t>1959</t>
        </is>
      </c>
      <c r="F2975" t="inlineStr">
        <is>
          <t>0453</t>
        </is>
      </c>
      <c r="G2975" s="10" t="inlineStr">
        <is>
          <t>撮影所前</t>
        </is>
      </c>
      <c r="H2975" s="10" t="inlineStr">
        <is>
          <t>発</t>
        </is>
      </c>
      <c r="J2975" s="10" t="inlineStr">
        <is>
          <t>営業</t>
        </is>
      </c>
      <c r="L2975" t="inlineStr">
        <is>
          <t>19:53:15</t>
        </is>
      </c>
      <c r="M2975" t="inlineStr">
        <is>
          <t>19:53:30</t>
        </is>
      </c>
    </row>
    <row r="2976" ht="15" customHeight="1" s="37">
      <c r="A2976" t="n">
        <v>22</v>
      </c>
      <c r="B2976" s="10" t="inlineStr">
        <is>
          <t>休日</t>
        </is>
      </c>
      <c r="C2976" s="10" t="inlineStr">
        <is>
          <t>北野線</t>
        </is>
      </c>
      <c r="D2976" s="10" t="inlineStr">
        <is>
          <t>下り</t>
        </is>
      </c>
      <c r="E2976" t="inlineStr">
        <is>
          <t>1959</t>
        </is>
      </c>
      <c r="F2976" t="inlineStr">
        <is>
          <t>0453</t>
        </is>
      </c>
      <c r="G2976" s="10" t="inlineStr">
        <is>
          <t>帷子ノ辻</t>
        </is>
      </c>
      <c r="H2976" s="10" t="inlineStr">
        <is>
          <t>着</t>
        </is>
      </c>
      <c r="J2976" s="10" t="inlineStr">
        <is>
          <t>営業</t>
        </is>
      </c>
      <c r="L2976" t="inlineStr">
        <is>
          <t>19:54:25</t>
        </is>
      </c>
      <c r="Q2976" t="inlineStr">
        <is>
          <t>4</t>
        </is>
      </c>
    </row>
    <row r="2977" ht="15" customHeight="1" s="37">
      <c r="A2977" t="n">
        <v>22</v>
      </c>
      <c r="B2977" s="10" t="inlineStr">
        <is>
          <t>休日</t>
        </is>
      </c>
      <c r="C2977" s="10" t="inlineStr">
        <is>
          <t>北野線</t>
        </is>
      </c>
      <c r="D2977" s="10" t="inlineStr">
        <is>
          <t>上り</t>
        </is>
      </c>
      <c r="E2977" t="inlineStr">
        <is>
          <t>2052</t>
        </is>
      </c>
      <c r="F2977" t="inlineStr">
        <is>
          <t>0304</t>
        </is>
      </c>
      <c r="G2977" s="10" t="inlineStr">
        <is>
          <t>帷子ノ辻</t>
        </is>
      </c>
      <c r="H2977" s="10" t="inlineStr">
        <is>
          <t>発</t>
        </is>
      </c>
      <c r="J2977" s="10" t="inlineStr">
        <is>
          <t>営業</t>
        </is>
      </c>
      <c r="M2977" t="inlineStr">
        <is>
          <t>20:06:25</t>
        </is>
      </c>
      <c r="Q2977" t="inlineStr">
        <is>
          <t>4</t>
        </is>
      </c>
    </row>
    <row r="2978" ht="15" customHeight="1" s="37">
      <c r="A2978" t="n">
        <v>22</v>
      </c>
      <c r="B2978" s="10" t="inlineStr">
        <is>
          <t>休日</t>
        </is>
      </c>
      <c r="C2978" s="10" t="inlineStr">
        <is>
          <t>北野線</t>
        </is>
      </c>
      <c r="D2978" s="10" t="inlineStr">
        <is>
          <t>上り</t>
        </is>
      </c>
      <c r="E2978" t="inlineStr">
        <is>
          <t>2052</t>
        </is>
      </c>
      <c r="F2978" t="inlineStr">
        <is>
          <t>0304</t>
        </is>
      </c>
      <c r="G2978" s="10" t="inlineStr">
        <is>
          <t>撮影所前</t>
        </is>
      </c>
      <c r="H2978" s="10" t="inlineStr">
        <is>
          <t>発</t>
        </is>
      </c>
      <c r="J2978" s="10" t="inlineStr">
        <is>
          <t>営業</t>
        </is>
      </c>
      <c r="L2978" t="inlineStr">
        <is>
          <t>20:07:25</t>
        </is>
      </c>
      <c r="M2978" t="inlineStr">
        <is>
          <t>20:07:40</t>
        </is>
      </c>
    </row>
    <row r="2979" ht="15" customHeight="1" s="37">
      <c r="A2979" t="n">
        <v>22</v>
      </c>
      <c r="B2979" s="10" t="inlineStr">
        <is>
          <t>休日</t>
        </is>
      </c>
      <c r="C2979" s="10" t="inlineStr">
        <is>
          <t>北野線</t>
        </is>
      </c>
      <c r="D2979" s="10" t="inlineStr">
        <is>
          <t>上り</t>
        </is>
      </c>
      <c r="E2979" t="inlineStr">
        <is>
          <t>2052</t>
        </is>
      </c>
      <c r="F2979" t="inlineStr">
        <is>
          <t>0304</t>
        </is>
      </c>
      <c r="G2979" s="10" t="inlineStr">
        <is>
          <t>常盤</t>
        </is>
      </c>
      <c r="H2979" s="10" t="inlineStr">
        <is>
          <t>発</t>
        </is>
      </c>
      <c r="J2979" s="10" t="inlineStr">
        <is>
          <t>営業</t>
        </is>
      </c>
      <c r="L2979" t="inlineStr">
        <is>
          <t>20:09:00</t>
        </is>
      </c>
      <c r="M2979" t="inlineStr">
        <is>
          <t>20:09:20</t>
        </is>
      </c>
    </row>
    <row r="2980" ht="15" customHeight="1" s="37">
      <c r="A2980" t="n">
        <v>22</v>
      </c>
      <c r="B2980" s="10" t="inlineStr">
        <is>
          <t>休日</t>
        </is>
      </c>
      <c r="C2980" s="10" t="inlineStr">
        <is>
          <t>北野線</t>
        </is>
      </c>
      <c r="D2980" s="10" t="inlineStr">
        <is>
          <t>上り</t>
        </is>
      </c>
      <c r="E2980" t="inlineStr">
        <is>
          <t>2052</t>
        </is>
      </c>
      <c r="F2980" t="inlineStr">
        <is>
          <t>0304</t>
        </is>
      </c>
      <c r="G2980" s="10" t="inlineStr">
        <is>
          <t>鳴滝</t>
        </is>
      </c>
      <c r="H2980" s="10" t="inlineStr">
        <is>
          <t>発</t>
        </is>
      </c>
      <c r="J2980" s="10" t="inlineStr">
        <is>
          <t>営業</t>
        </is>
      </c>
      <c r="L2980" t="inlineStr">
        <is>
          <t>20:10:20</t>
        </is>
      </c>
      <c r="M2980" t="inlineStr">
        <is>
          <t>20:10:40</t>
        </is>
      </c>
    </row>
    <row r="2981" ht="15" customHeight="1" s="37">
      <c r="A2981" t="n">
        <v>22</v>
      </c>
      <c r="B2981" s="10" t="inlineStr">
        <is>
          <t>休日</t>
        </is>
      </c>
      <c r="C2981" s="10" t="inlineStr">
        <is>
          <t>北野線</t>
        </is>
      </c>
      <c r="D2981" s="10" t="inlineStr">
        <is>
          <t>上り</t>
        </is>
      </c>
      <c r="E2981" t="inlineStr">
        <is>
          <t>2052</t>
        </is>
      </c>
      <c r="F2981" t="inlineStr">
        <is>
          <t>0304</t>
        </is>
      </c>
      <c r="G2981" s="10" t="inlineStr">
        <is>
          <t>宇多野</t>
        </is>
      </c>
      <c r="H2981" s="10" t="inlineStr">
        <is>
          <t>発</t>
        </is>
      </c>
      <c r="J2981" s="10" t="inlineStr">
        <is>
          <t>営業</t>
        </is>
      </c>
      <c r="L2981" t="inlineStr">
        <is>
          <t>20:12:00</t>
        </is>
      </c>
      <c r="M2981" t="inlineStr">
        <is>
          <t>20:12:15</t>
        </is>
      </c>
    </row>
    <row r="2982" ht="15" customHeight="1" s="37">
      <c r="A2982" t="n">
        <v>22</v>
      </c>
      <c r="B2982" s="10" t="inlineStr">
        <is>
          <t>休日</t>
        </is>
      </c>
      <c r="C2982" s="10" t="inlineStr">
        <is>
          <t>北野線</t>
        </is>
      </c>
      <c r="D2982" s="10" t="inlineStr">
        <is>
          <t>上り</t>
        </is>
      </c>
      <c r="E2982" t="inlineStr">
        <is>
          <t>2052</t>
        </is>
      </c>
      <c r="F2982" t="inlineStr">
        <is>
          <t>0304</t>
        </is>
      </c>
      <c r="G2982" s="10" t="inlineStr">
        <is>
          <t>御室仁和寺</t>
        </is>
      </c>
      <c r="H2982" s="10" t="inlineStr">
        <is>
          <t>発</t>
        </is>
      </c>
      <c r="J2982" s="10" t="inlineStr">
        <is>
          <t>営業</t>
        </is>
      </c>
      <c r="L2982" t="inlineStr">
        <is>
          <t>20:13:15</t>
        </is>
      </c>
      <c r="M2982" t="inlineStr">
        <is>
          <t>20:13:35</t>
        </is>
      </c>
    </row>
    <row r="2983" ht="15" customHeight="1" s="37">
      <c r="A2983" t="n">
        <v>22</v>
      </c>
      <c r="B2983" s="10" t="inlineStr">
        <is>
          <t>休日</t>
        </is>
      </c>
      <c r="C2983" s="10" t="inlineStr">
        <is>
          <t>北野線</t>
        </is>
      </c>
      <c r="D2983" s="10" t="inlineStr">
        <is>
          <t>上り</t>
        </is>
      </c>
      <c r="E2983" t="inlineStr">
        <is>
          <t>2052</t>
        </is>
      </c>
      <c r="F2983" t="inlineStr">
        <is>
          <t>0304</t>
        </is>
      </c>
      <c r="G2983" s="10" t="inlineStr">
        <is>
          <t>妙心寺</t>
        </is>
      </c>
      <c r="H2983" s="10" t="inlineStr">
        <is>
          <t>発</t>
        </is>
      </c>
      <c r="J2983" s="10" t="inlineStr">
        <is>
          <t>営業</t>
        </is>
      </c>
      <c r="L2983" t="inlineStr">
        <is>
          <t>20:14:35</t>
        </is>
      </c>
      <c r="M2983" t="inlineStr">
        <is>
          <t>20:14:50</t>
        </is>
      </c>
    </row>
    <row r="2984" ht="15" customHeight="1" s="37">
      <c r="A2984" t="n">
        <v>22</v>
      </c>
      <c r="B2984" s="10" t="inlineStr">
        <is>
          <t>休日</t>
        </is>
      </c>
      <c r="C2984" s="10" t="inlineStr">
        <is>
          <t>北野線</t>
        </is>
      </c>
      <c r="D2984" s="10" t="inlineStr">
        <is>
          <t>上り</t>
        </is>
      </c>
      <c r="E2984" t="inlineStr">
        <is>
          <t>2052</t>
        </is>
      </c>
      <c r="F2984" t="inlineStr">
        <is>
          <t>0304</t>
        </is>
      </c>
      <c r="G2984" s="10" t="inlineStr">
        <is>
          <t>龍安寺</t>
        </is>
      </c>
      <c r="H2984" s="10" t="inlineStr">
        <is>
          <t>発</t>
        </is>
      </c>
      <c r="J2984" s="10" t="inlineStr">
        <is>
          <t>営業</t>
        </is>
      </c>
      <c r="L2984" t="inlineStr">
        <is>
          <t>20:15:45</t>
        </is>
      </c>
      <c r="M2984" t="inlineStr">
        <is>
          <t>20:15:55</t>
        </is>
      </c>
    </row>
    <row r="2985" ht="15" customHeight="1" s="37">
      <c r="A2985" t="n">
        <v>22</v>
      </c>
      <c r="B2985" s="10" t="inlineStr">
        <is>
          <t>休日</t>
        </is>
      </c>
      <c r="C2985" s="10" t="inlineStr">
        <is>
          <t>北野線</t>
        </is>
      </c>
      <c r="D2985" s="10" t="inlineStr">
        <is>
          <t>上り</t>
        </is>
      </c>
      <c r="E2985" t="inlineStr">
        <is>
          <t>2052</t>
        </is>
      </c>
      <c r="F2985" t="inlineStr">
        <is>
          <t>0304</t>
        </is>
      </c>
      <c r="G2985" s="10" t="inlineStr">
        <is>
          <t>等持院</t>
        </is>
      </c>
      <c r="H2985" s="10" t="inlineStr">
        <is>
          <t>発</t>
        </is>
      </c>
      <c r="J2985" s="10" t="inlineStr">
        <is>
          <t>営業</t>
        </is>
      </c>
      <c r="L2985" t="inlineStr">
        <is>
          <t>20:16:35</t>
        </is>
      </c>
      <c r="M2985" t="inlineStr">
        <is>
          <t>20:16:55</t>
        </is>
      </c>
    </row>
    <row r="2986" ht="15" customHeight="1" s="37">
      <c r="A2986" t="n">
        <v>22</v>
      </c>
      <c r="B2986" s="10" t="inlineStr">
        <is>
          <t>休日</t>
        </is>
      </c>
      <c r="C2986" s="10" t="inlineStr">
        <is>
          <t>北野線</t>
        </is>
      </c>
      <c r="D2986" s="10" t="inlineStr">
        <is>
          <t>上り</t>
        </is>
      </c>
      <c r="E2986" t="inlineStr">
        <is>
          <t>2052</t>
        </is>
      </c>
      <c r="F2986" t="inlineStr">
        <is>
          <t>0304</t>
        </is>
      </c>
      <c r="G2986" s="10" t="inlineStr">
        <is>
          <t>北野白梅町</t>
        </is>
      </c>
      <c r="H2986" s="10" t="inlineStr">
        <is>
          <t>着</t>
        </is>
      </c>
      <c r="J2986" s="10" t="inlineStr">
        <is>
          <t>営業</t>
        </is>
      </c>
      <c r="L2986" t="inlineStr">
        <is>
          <t>20:18:15</t>
        </is>
      </c>
      <c r="N2986" t="inlineStr">
        <is>
          <t>○</t>
        </is>
      </c>
      <c r="Q2986" t="inlineStr">
        <is>
          <t>1</t>
        </is>
      </c>
    </row>
    <row r="2987" ht="15" customHeight="1" s="37">
      <c r="A2987" t="n">
        <v>22</v>
      </c>
      <c r="B2987" s="10" t="inlineStr">
        <is>
          <t>休日</t>
        </is>
      </c>
      <c r="C2987" s="10" t="inlineStr">
        <is>
          <t>北野線</t>
        </is>
      </c>
      <c r="D2987" s="10" t="inlineStr">
        <is>
          <t>下り</t>
        </is>
      </c>
      <c r="E2987" t="inlineStr">
        <is>
          <t>2055</t>
        </is>
      </c>
      <c r="F2987" t="inlineStr">
        <is>
          <t>0453</t>
        </is>
      </c>
      <c r="G2987" s="10" t="inlineStr">
        <is>
          <t>北野白梅町</t>
        </is>
      </c>
      <c r="H2987" s="10" t="inlineStr">
        <is>
          <t>発</t>
        </is>
      </c>
      <c r="J2987" s="10" t="inlineStr">
        <is>
          <t>営業</t>
        </is>
      </c>
      <c r="M2987" t="inlineStr">
        <is>
          <t>20:23:00</t>
        </is>
      </c>
      <c r="Q2987" t="inlineStr">
        <is>
          <t>1</t>
        </is>
      </c>
    </row>
    <row r="2988" ht="15" customHeight="1" s="37">
      <c r="A2988" t="n">
        <v>22</v>
      </c>
      <c r="B2988" s="10" t="inlineStr">
        <is>
          <t>休日</t>
        </is>
      </c>
      <c r="C2988" s="10" t="inlineStr">
        <is>
          <t>北野線</t>
        </is>
      </c>
      <c r="D2988" s="10" t="inlineStr">
        <is>
          <t>下り</t>
        </is>
      </c>
      <c r="E2988" t="inlineStr">
        <is>
          <t>2055</t>
        </is>
      </c>
      <c r="F2988" t="inlineStr">
        <is>
          <t>0453</t>
        </is>
      </c>
      <c r="G2988" s="10" t="inlineStr">
        <is>
          <t>等持院</t>
        </is>
      </c>
      <c r="H2988" s="10" t="inlineStr">
        <is>
          <t>発</t>
        </is>
      </c>
      <c r="J2988" s="10" t="inlineStr">
        <is>
          <t>営業</t>
        </is>
      </c>
      <c r="L2988" t="inlineStr">
        <is>
          <t>20:24:25</t>
        </is>
      </c>
      <c r="M2988" t="inlineStr">
        <is>
          <t>20:24:35</t>
        </is>
      </c>
    </row>
    <row r="2989" ht="15" customHeight="1" s="37">
      <c r="A2989" t="n">
        <v>22</v>
      </c>
      <c r="B2989" s="10" t="inlineStr">
        <is>
          <t>休日</t>
        </is>
      </c>
      <c r="C2989" s="10" t="inlineStr">
        <is>
          <t>北野線</t>
        </is>
      </c>
      <c r="D2989" s="10" t="inlineStr">
        <is>
          <t>下り</t>
        </is>
      </c>
      <c r="E2989" t="inlineStr">
        <is>
          <t>2055</t>
        </is>
      </c>
      <c r="F2989" t="inlineStr">
        <is>
          <t>0453</t>
        </is>
      </c>
      <c r="G2989" s="10" t="inlineStr">
        <is>
          <t>龍安寺</t>
        </is>
      </c>
      <c r="H2989" s="10" t="inlineStr">
        <is>
          <t>発</t>
        </is>
      </c>
      <c r="J2989" s="10" t="inlineStr">
        <is>
          <t>営業</t>
        </is>
      </c>
      <c r="L2989" t="inlineStr">
        <is>
          <t>20:25:25</t>
        </is>
      </c>
      <c r="M2989" t="inlineStr">
        <is>
          <t>20:25:50</t>
        </is>
      </c>
    </row>
    <row r="2990" ht="15" customHeight="1" s="37">
      <c r="A2990" t="n">
        <v>22</v>
      </c>
      <c r="B2990" s="10" t="inlineStr">
        <is>
          <t>休日</t>
        </is>
      </c>
      <c r="C2990" s="10" t="inlineStr">
        <is>
          <t>北野線</t>
        </is>
      </c>
      <c r="D2990" s="10" t="inlineStr">
        <is>
          <t>下り</t>
        </is>
      </c>
      <c r="E2990" t="inlineStr">
        <is>
          <t>2055</t>
        </is>
      </c>
      <c r="F2990" t="inlineStr">
        <is>
          <t>0453</t>
        </is>
      </c>
      <c r="G2990" s="10" t="inlineStr">
        <is>
          <t>妙心寺</t>
        </is>
      </c>
      <c r="H2990" s="10" t="inlineStr">
        <is>
          <t>発</t>
        </is>
      </c>
      <c r="J2990" s="10" t="inlineStr">
        <is>
          <t>営業</t>
        </is>
      </c>
      <c r="L2990" t="inlineStr">
        <is>
          <t>20:26:40</t>
        </is>
      </c>
      <c r="M2990" t="inlineStr">
        <is>
          <t>20:26:50</t>
        </is>
      </c>
    </row>
    <row r="2991" ht="15" customHeight="1" s="37">
      <c r="A2991" t="n">
        <v>22</v>
      </c>
      <c r="B2991" s="10" t="inlineStr">
        <is>
          <t>休日</t>
        </is>
      </c>
      <c r="C2991" s="10" t="inlineStr">
        <is>
          <t>北野線</t>
        </is>
      </c>
      <c r="D2991" s="10" t="inlineStr">
        <is>
          <t>下り</t>
        </is>
      </c>
      <c r="E2991" t="inlineStr">
        <is>
          <t>2055</t>
        </is>
      </c>
      <c r="F2991" t="inlineStr">
        <is>
          <t>0453</t>
        </is>
      </c>
      <c r="G2991" s="10" t="inlineStr">
        <is>
          <t>御室仁和寺</t>
        </is>
      </c>
      <c r="H2991" s="10" t="inlineStr">
        <is>
          <t>発</t>
        </is>
      </c>
      <c r="J2991" s="10" t="inlineStr">
        <is>
          <t>営業</t>
        </is>
      </c>
      <c r="L2991" t="inlineStr">
        <is>
          <t>20:27:50</t>
        </is>
      </c>
      <c r="M2991" t="inlineStr">
        <is>
          <t>20:28:05</t>
        </is>
      </c>
    </row>
    <row r="2992" ht="15" customHeight="1" s="37">
      <c r="A2992" t="n">
        <v>22</v>
      </c>
      <c r="B2992" s="10" t="inlineStr">
        <is>
          <t>休日</t>
        </is>
      </c>
      <c r="C2992" s="10" t="inlineStr">
        <is>
          <t>北野線</t>
        </is>
      </c>
      <c r="D2992" s="10" t="inlineStr">
        <is>
          <t>下り</t>
        </is>
      </c>
      <c r="E2992" t="inlineStr">
        <is>
          <t>2055</t>
        </is>
      </c>
      <c r="F2992" t="inlineStr">
        <is>
          <t>0453</t>
        </is>
      </c>
      <c r="G2992" s="10" t="inlineStr">
        <is>
          <t>宇多野</t>
        </is>
      </c>
      <c r="H2992" s="10" t="inlineStr">
        <is>
          <t>発</t>
        </is>
      </c>
      <c r="J2992" s="10" t="inlineStr">
        <is>
          <t>営業</t>
        </is>
      </c>
      <c r="L2992" t="inlineStr">
        <is>
          <t>20:29:05</t>
        </is>
      </c>
      <c r="M2992" t="inlineStr">
        <is>
          <t>20:29:15</t>
        </is>
      </c>
    </row>
    <row r="2993" ht="16.5" customHeight="1" s="37">
      <c r="A2993" t="n">
        <v>22</v>
      </c>
      <c r="B2993" s="10" t="inlineStr">
        <is>
          <t>休日</t>
        </is>
      </c>
      <c r="C2993" s="10" t="inlineStr">
        <is>
          <t>北野線</t>
        </is>
      </c>
      <c r="D2993" s="10" t="inlineStr">
        <is>
          <t>下り</t>
        </is>
      </c>
      <c r="E2993" t="inlineStr">
        <is>
          <t>2055</t>
        </is>
      </c>
      <c r="F2993" t="inlineStr">
        <is>
          <t>0453</t>
        </is>
      </c>
      <c r="G2993" s="10" t="inlineStr">
        <is>
          <t>鳴滝</t>
        </is>
      </c>
      <c r="H2993" s="10" t="inlineStr">
        <is>
          <t>発</t>
        </is>
      </c>
      <c r="J2993" s="10" t="inlineStr">
        <is>
          <t>営業</t>
        </is>
      </c>
      <c r="L2993" t="inlineStr">
        <is>
          <t>20:30:35</t>
        </is>
      </c>
      <c r="M2993" t="inlineStr">
        <is>
          <t>20:30:45</t>
        </is>
      </c>
    </row>
    <row r="2994" ht="16.5" customHeight="1" s="37">
      <c r="A2994" t="n">
        <v>22</v>
      </c>
      <c r="B2994" s="10" t="inlineStr">
        <is>
          <t>休日</t>
        </is>
      </c>
      <c r="C2994" s="10" t="inlineStr">
        <is>
          <t>北野線</t>
        </is>
      </c>
      <c r="D2994" s="10" t="inlineStr">
        <is>
          <t>下り</t>
        </is>
      </c>
      <c r="E2994" t="inlineStr">
        <is>
          <t>2055</t>
        </is>
      </c>
      <c r="F2994" t="inlineStr">
        <is>
          <t>0453</t>
        </is>
      </c>
      <c r="G2994" s="10" t="inlineStr">
        <is>
          <t>常盤</t>
        </is>
      </c>
      <c r="H2994" s="10" t="inlineStr">
        <is>
          <t>発</t>
        </is>
      </c>
      <c r="J2994" s="10" t="inlineStr">
        <is>
          <t>営業</t>
        </is>
      </c>
      <c r="L2994" t="inlineStr">
        <is>
          <t>20:31:35</t>
        </is>
      </c>
      <c r="M2994" t="inlineStr">
        <is>
          <t>20:31:55</t>
        </is>
      </c>
    </row>
    <row r="2995" ht="16.5" customHeight="1" s="37">
      <c r="A2995" t="n">
        <v>22</v>
      </c>
      <c r="B2995" s="10" t="inlineStr">
        <is>
          <t>休日</t>
        </is>
      </c>
      <c r="C2995" s="10" t="inlineStr">
        <is>
          <t>北野線</t>
        </is>
      </c>
      <c r="D2995" s="10" t="inlineStr">
        <is>
          <t>下り</t>
        </is>
      </c>
      <c r="E2995" t="inlineStr">
        <is>
          <t>2055</t>
        </is>
      </c>
      <c r="F2995" t="inlineStr">
        <is>
          <t>0453</t>
        </is>
      </c>
      <c r="G2995" s="10" t="inlineStr">
        <is>
          <t>撮影所前</t>
        </is>
      </c>
      <c r="H2995" s="10" t="inlineStr">
        <is>
          <t>発</t>
        </is>
      </c>
      <c r="J2995" s="10" t="inlineStr">
        <is>
          <t>営業</t>
        </is>
      </c>
      <c r="L2995" t="inlineStr">
        <is>
          <t>20:33:15</t>
        </is>
      </c>
      <c r="M2995" t="inlineStr">
        <is>
          <t>20:33:30</t>
        </is>
      </c>
    </row>
    <row r="2996" ht="16.5" customHeight="1" s="37">
      <c r="A2996" t="n">
        <v>22</v>
      </c>
      <c r="B2996" s="10" t="inlineStr">
        <is>
          <t>休日</t>
        </is>
      </c>
      <c r="C2996" s="10" t="inlineStr">
        <is>
          <t>北野線</t>
        </is>
      </c>
      <c r="D2996" s="10" t="inlineStr">
        <is>
          <t>下り</t>
        </is>
      </c>
      <c r="E2996" t="inlineStr">
        <is>
          <t>2055</t>
        </is>
      </c>
      <c r="F2996" t="inlineStr">
        <is>
          <t>0453</t>
        </is>
      </c>
      <c r="G2996" s="10" t="inlineStr">
        <is>
          <t>帷子ノ辻</t>
        </is>
      </c>
      <c r="H2996" s="10" t="inlineStr">
        <is>
          <t>着</t>
        </is>
      </c>
      <c r="J2996" s="10" t="inlineStr">
        <is>
          <t>営業</t>
        </is>
      </c>
      <c r="L2996" t="inlineStr">
        <is>
          <t>20:34:25</t>
        </is>
      </c>
      <c r="Q2996" t="inlineStr">
        <is>
          <t>4</t>
        </is>
      </c>
    </row>
    <row r="2997" ht="16.5" customHeight="1" s="37">
      <c r="A2997" t="n">
        <v>22</v>
      </c>
      <c r="B2997" s="10" t="inlineStr">
        <is>
          <t>休日</t>
        </is>
      </c>
      <c r="C2997" s="10" t="inlineStr">
        <is>
          <t>北野線</t>
        </is>
      </c>
      <c r="D2997" s="10" t="inlineStr">
        <is>
          <t>上り</t>
        </is>
      </c>
      <c r="E2997" t="inlineStr">
        <is>
          <t>2062</t>
        </is>
      </c>
      <c r="F2997" t="inlineStr">
        <is>
          <t>0304</t>
        </is>
      </c>
      <c r="G2997" s="10" t="inlineStr">
        <is>
          <t>帷子ノ辻</t>
        </is>
      </c>
      <c r="H2997" s="10" t="inlineStr">
        <is>
          <t>発</t>
        </is>
      </c>
      <c r="J2997" s="10" t="inlineStr">
        <is>
          <t>営業</t>
        </is>
      </c>
      <c r="M2997" t="inlineStr">
        <is>
          <t>20:56:25</t>
        </is>
      </c>
      <c r="Q2997" t="inlineStr">
        <is>
          <t>3</t>
        </is>
      </c>
    </row>
    <row r="2998" ht="16.5" customHeight="1" s="37">
      <c r="A2998" t="n">
        <v>22</v>
      </c>
      <c r="B2998" s="10" t="inlineStr">
        <is>
          <t>休日</t>
        </is>
      </c>
      <c r="C2998" s="10" t="inlineStr">
        <is>
          <t>北野線</t>
        </is>
      </c>
      <c r="D2998" s="10" t="inlineStr">
        <is>
          <t>上り</t>
        </is>
      </c>
      <c r="E2998" t="inlineStr">
        <is>
          <t>2062</t>
        </is>
      </c>
      <c r="F2998" t="inlineStr">
        <is>
          <t>0304</t>
        </is>
      </c>
      <c r="G2998" s="10" t="inlineStr">
        <is>
          <t>撮影所前</t>
        </is>
      </c>
      <c r="H2998" s="10" t="inlineStr">
        <is>
          <t>発</t>
        </is>
      </c>
      <c r="J2998" s="10" t="inlineStr">
        <is>
          <t>営業</t>
        </is>
      </c>
      <c r="L2998" t="inlineStr">
        <is>
          <t>20:57:25</t>
        </is>
      </c>
      <c r="M2998" t="inlineStr">
        <is>
          <t>20:57:40</t>
        </is>
      </c>
    </row>
    <row r="2999" ht="16.5" customHeight="1" s="37">
      <c r="A2999" t="n">
        <v>22</v>
      </c>
      <c r="B2999" s="10" t="inlineStr">
        <is>
          <t>休日</t>
        </is>
      </c>
      <c r="C2999" s="10" t="inlineStr">
        <is>
          <t>北野線</t>
        </is>
      </c>
      <c r="D2999" s="10" t="inlineStr">
        <is>
          <t>上り</t>
        </is>
      </c>
      <c r="E2999" t="inlineStr">
        <is>
          <t>2062</t>
        </is>
      </c>
      <c r="F2999" t="inlineStr">
        <is>
          <t>0304</t>
        </is>
      </c>
      <c r="G2999" s="10" t="inlineStr">
        <is>
          <t>常盤</t>
        </is>
      </c>
      <c r="H2999" s="10" t="inlineStr">
        <is>
          <t>発</t>
        </is>
      </c>
      <c r="J2999" s="10" t="inlineStr">
        <is>
          <t>営業</t>
        </is>
      </c>
      <c r="L2999" t="inlineStr">
        <is>
          <t>20:59:00</t>
        </is>
      </c>
      <c r="M2999" t="inlineStr">
        <is>
          <t>20:59:20</t>
        </is>
      </c>
    </row>
    <row r="3000" ht="16.5" customHeight="1" s="37">
      <c r="A3000" t="n">
        <v>22</v>
      </c>
      <c r="B3000" s="10" t="inlineStr">
        <is>
          <t>休日</t>
        </is>
      </c>
      <c r="C3000" s="10" t="inlineStr">
        <is>
          <t>北野線</t>
        </is>
      </c>
      <c r="D3000" s="10" t="inlineStr">
        <is>
          <t>上り</t>
        </is>
      </c>
      <c r="E3000" t="inlineStr">
        <is>
          <t>2062</t>
        </is>
      </c>
      <c r="F3000" t="inlineStr">
        <is>
          <t>0304</t>
        </is>
      </c>
      <c r="G3000" s="10" t="inlineStr">
        <is>
          <t>鳴滝</t>
        </is>
      </c>
      <c r="H3000" s="10" t="inlineStr">
        <is>
          <t>発</t>
        </is>
      </c>
      <c r="J3000" s="10" t="inlineStr">
        <is>
          <t>営業</t>
        </is>
      </c>
      <c r="L3000" t="inlineStr">
        <is>
          <t>21:00:20</t>
        </is>
      </c>
      <c r="M3000" t="inlineStr">
        <is>
          <t>21:00:40</t>
        </is>
      </c>
    </row>
    <row r="3001" ht="16.5" customHeight="1" s="37">
      <c r="A3001" t="n">
        <v>22</v>
      </c>
      <c r="B3001" s="10" t="inlineStr">
        <is>
          <t>休日</t>
        </is>
      </c>
      <c r="C3001" s="10" t="inlineStr">
        <is>
          <t>北野線</t>
        </is>
      </c>
      <c r="D3001" s="10" t="inlineStr">
        <is>
          <t>上り</t>
        </is>
      </c>
      <c r="E3001" t="inlineStr">
        <is>
          <t>2062</t>
        </is>
      </c>
      <c r="F3001" t="inlineStr">
        <is>
          <t>0304</t>
        </is>
      </c>
      <c r="G3001" s="10" t="inlineStr">
        <is>
          <t>宇多野</t>
        </is>
      </c>
      <c r="H3001" s="10" t="inlineStr">
        <is>
          <t>発</t>
        </is>
      </c>
      <c r="J3001" s="10" t="inlineStr">
        <is>
          <t>営業</t>
        </is>
      </c>
      <c r="L3001" t="inlineStr">
        <is>
          <t>21:02:00</t>
        </is>
      </c>
      <c r="M3001" t="inlineStr">
        <is>
          <t>21:02:15</t>
        </is>
      </c>
    </row>
    <row r="3002" ht="16.5" customHeight="1" s="37">
      <c r="A3002" t="n">
        <v>22</v>
      </c>
      <c r="B3002" s="10" t="inlineStr">
        <is>
          <t>休日</t>
        </is>
      </c>
      <c r="C3002" s="10" t="inlineStr">
        <is>
          <t>北野線</t>
        </is>
      </c>
      <c r="D3002" s="10" t="inlineStr">
        <is>
          <t>上り</t>
        </is>
      </c>
      <c r="E3002" t="inlineStr">
        <is>
          <t>2062</t>
        </is>
      </c>
      <c r="F3002" t="inlineStr">
        <is>
          <t>0304</t>
        </is>
      </c>
      <c r="G3002" s="10" t="inlineStr">
        <is>
          <t>御室仁和寺</t>
        </is>
      </c>
      <c r="H3002" s="10" t="inlineStr">
        <is>
          <t>発</t>
        </is>
      </c>
      <c r="J3002" s="10" t="inlineStr">
        <is>
          <t>営業</t>
        </is>
      </c>
      <c r="L3002" t="inlineStr">
        <is>
          <t>21:03:15</t>
        </is>
      </c>
      <c r="M3002" t="inlineStr">
        <is>
          <t>21:03:35</t>
        </is>
      </c>
    </row>
    <row r="3003" ht="16.5" customHeight="1" s="37">
      <c r="A3003" t="n">
        <v>22</v>
      </c>
      <c r="B3003" s="10" t="inlineStr">
        <is>
          <t>休日</t>
        </is>
      </c>
      <c r="C3003" s="10" t="inlineStr">
        <is>
          <t>北野線</t>
        </is>
      </c>
      <c r="D3003" s="10" t="inlineStr">
        <is>
          <t>上り</t>
        </is>
      </c>
      <c r="E3003" t="inlineStr">
        <is>
          <t>2062</t>
        </is>
      </c>
      <c r="F3003" t="inlineStr">
        <is>
          <t>0304</t>
        </is>
      </c>
      <c r="G3003" s="10" t="inlineStr">
        <is>
          <t>妙心寺</t>
        </is>
      </c>
      <c r="H3003" s="10" t="inlineStr">
        <is>
          <t>発</t>
        </is>
      </c>
      <c r="J3003" s="10" t="inlineStr">
        <is>
          <t>営業</t>
        </is>
      </c>
      <c r="L3003" t="inlineStr">
        <is>
          <t>21:04:35</t>
        </is>
      </c>
      <c r="M3003" t="inlineStr">
        <is>
          <t>21:04:50</t>
        </is>
      </c>
    </row>
    <row r="3004" ht="16.5" customHeight="1" s="37">
      <c r="A3004" t="n">
        <v>22</v>
      </c>
      <c r="B3004" s="10" t="inlineStr">
        <is>
          <t>休日</t>
        </is>
      </c>
      <c r="C3004" s="10" t="inlineStr">
        <is>
          <t>北野線</t>
        </is>
      </c>
      <c r="D3004" s="10" t="inlineStr">
        <is>
          <t>上り</t>
        </is>
      </c>
      <c r="E3004" t="inlineStr">
        <is>
          <t>2062</t>
        </is>
      </c>
      <c r="F3004" t="inlineStr">
        <is>
          <t>0304</t>
        </is>
      </c>
      <c r="G3004" s="10" t="inlineStr">
        <is>
          <t>龍安寺</t>
        </is>
      </c>
      <c r="H3004" s="10" t="inlineStr">
        <is>
          <t>発</t>
        </is>
      </c>
      <c r="J3004" s="10" t="inlineStr">
        <is>
          <t>営業</t>
        </is>
      </c>
      <c r="L3004" t="inlineStr">
        <is>
          <t>21:05:45</t>
        </is>
      </c>
      <c r="M3004" t="inlineStr">
        <is>
          <t>21:05:55</t>
        </is>
      </c>
    </row>
    <row r="3005" ht="16.5" customHeight="1" s="37">
      <c r="A3005" t="n">
        <v>22</v>
      </c>
      <c r="B3005" s="10" t="inlineStr">
        <is>
          <t>休日</t>
        </is>
      </c>
      <c r="C3005" s="10" t="inlineStr">
        <is>
          <t>北野線</t>
        </is>
      </c>
      <c r="D3005" s="10" t="inlineStr">
        <is>
          <t>上り</t>
        </is>
      </c>
      <c r="E3005" t="inlineStr">
        <is>
          <t>2062</t>
        </is>
      </c>
      <c r="F3005" t="inlineStr">
        <is>
          <t>0304</t>
        </is>
      </c>
      <c r="G3005" s="10" t="inlineStr">
        <is>
          <t>等持院</t>
        </is>
      </c>
      <c r="H3005" s="10" t="inlineStr">
        <is>
          <t>発</t>
        </is>
      </c>
      <c r="J3005" s="10" t="inlineStr">
        <is>
          <t>営業</t>
        </is>
      </c>
      <c r="L3005" t="inlineStr">
        <is>
          <t>21:06:35</t>
        </is>
      </c>
      <c r="M3005" t="inlineStr">
        <is>
          <t>21:06:55</t>
        </is>
      </c>
    </row>
    <row r="3006" ht="16.5" customHeight="1" s="37">
      <c r="A3006" t="n">
        <v>22</v>
      </c>
      <c r="B3006" s="10" t="inlineStr">
        <is>
          <t>休日</t>
        </is>
      </c>
      <c r="C3006" s="10" t="inlineStr">
        <is>
          <t>北野線</t>
        </is>
      </c>
      <c r="D3006" s="10" t="inlineStr">
        <is>
          <t>上り</t>
        </is>
      </c>
      <c r="E3006" t="inlineStr">
        <is>
          <t>2062</t>
        </is>
      </c>
      <c r="F3006" t="inlineStr">
        <is>
          <t>0304</t>
        </is>
      </c>
      <c r="G3006" s="10" t="inlineStr">
        <is>
          <t>北野白梅町</t>
        </is>
      </c>
      <c r="H3006" s="10" t="inlineStr">
        <is>
          <t>着</t>
        </is>
      </c>
      <c r="J3006" s="10" t="inlineStr">
        <is>
          <t>営業</t>
        </is>
      </c>
      <c r="L3006" t="inlineStr">
        <is>
          <t>21:08:15</t>
        </is>
      </c>
      <c r="N3006" t="inlineStr">
        <is>
          <t>○</t>
        </is>
      </c>
      <c r="Q3006" t="inlineStr">
        <is>
          <t>1</t>
        </is>
      </c>
    </row>
    <row r="3007" ht="16.5" customHeight="1" s="37">
      <c r="A3007" t="n">
        <v>22</v>
      </c>
      <c r="B3007" s="10" t="inlineStr">
        <is>
          <t>休日</t>
        </is>
      </c>
      <c r="C3007" s="10" t="inlineStr">
        <is>
          <t>北野線</t>
        </is>
      </c>
      <c r="D3007" s="10" t="inlineStr">
        <is>
          <t>下り</t>
        </is>
      </c>
      <c r="E3007" t="inlineStr">
        <is>
          <t>2153</t>
        </is>
      </c>
      <c r="F3007" t="inlineStr">
        <is>
          <t>0453</t>
        </is>
      </c>
      <c r="G3007" s="10" t="inlineStr">
        <is>
          <t>北野白梅町</t>
        </is>
      </c>
      <c r="H3007" s="10" t="inlineStr">
        <is>
          <t>発</t>
        </is>
      </c>
      <c r="J3007" s="10" t="inlineStr">
        <is>
          <t>営業</t>
        </is>
      </c>
      <c r="M3007" t="inlineStr">
        <is>
          <t>21:13:00</t>
        </is>
      </c>
      <c r="Q3007" t="inlineStr">
        <is>
          <t>1</t>
        </is>
      </c>
    </row>
    <row r="3008" ht="16.5" customHeight="1" s="37">
      <c r="A3008" t="n">
        <v>22</v>
      </c>
      <c r="B3008" s="10" t="inlineStr">
        <is>
          <t>休日</t>
        </is>
      </c>
      <c r="C3008" s="10" t="inlineStr">
        <is>
          <t>北野線</t>
        </is>
      </c>
      <c r="D3008" s="10" t="inlineStr">
        <is>
          <t>下り</t>
        </is>
      </c>
      <c r="E3008" t="inlineStr">
        <is>
          <t>2153</t>
        </is>
      </c>
      <c r="F3008" t="inlineStr">
        <is>
          <t>0453</t>
        </is>
      </c>
      <c r="G3008" s="10" t="inlineStr">
        <is>
          <t>等持院</t>
        </is>
      </c>
      <c r="H3008" s="10" t="inlineStr">
        <is>
          <t>発</t>
        </is>
      </c>
      <c r="J3008" s="10" t="inlineStr">
        <is>
          <t>営業</t>
        </is>
      </c>
      <c r="L3008" t="inlineStr">
        <is>
          <t>21:14:25</t>
        </is>
      </c>
      <c r="M3008" t="inlineStr">
        <is>
          <t>21:14:35</t>
        </is>
      </c>
    </row>
    <row r="3009" ht="16.5" customHeight="1" s="37">
      <c r="A3009" t="n">
        <v>22</v>
      </c>
      <c r="B3009" s="10" t="inlineStr">
        <is>
          <t>休日</t>
        </is>
      </c>
      <c r="C3009" s="10" t="inlineStr">
        <is>
          <t>北野線</t>
        </is>
      </c>
      <c r="D3009" s="10" t="inlineStr">
        <is>
          <t>下り</t>
        </is>
      </c>
      <c r="E3009" t="inlineStr">
        <is>
          <t>2153</t>
        </is>
      </c>
      <c r="F3009" t="inlineStr">
        <is>
          <t>0453</t>
        </is>
      </c>
      <c r="G3009" s="10" t="inlineStr">
        <is>
          <t>龍安寺</t>
        </is>
      </c>
      <c r="H3009" s="10" t="inlineStr">
        <is>
          <t>発</t>
        </is>
      </c>
      <c r="J3009" s="10" t="inlineStr">
        <is>
          <t>営業</t>
        </is>
      </c>
      <c r="L3009" t="inlineStr">
        <is>
          <t>21:15:25</t>
        </is>
      </c>
      <c r="M3009" t="inlineStr">
        <is>
          <t>21:15:50</t>
        </is>
      </c>
    </row>
    <row r="3010" ht="16.5" customHeight="1" s="37">
      <c r="A3010" t="n">
        <v>22</v>
      </c>
      <c r="B3010" s="10" t="inlineStr">
        <is>
          <t>休日</t>
        </is>
      </c>
      <c r="C3010" s="10" t="inlineStr">
        <is>
          <t>北野線</t>
        </is>
      </c>
      <c r="D3010" s="10" t="inlineStr">
        <is>
          <t>下り</t>
        </is>
      </c>
      <c r="E3010" t="inlineStr">
        <is>
          <t>2153</t>
        </is>
      </c>
      <c r="F3010" t="inlineStr">
        <is>
          <t>0453</t>
        </is>
      </c>
      <c r="G3010" s="10" t="inlineStr">
        <is>
          <t>妙心寺</t>
        </is>
      </c>
      <c r="H3010" s="10" t="inlineStr">
        <is>
          <t>発</t>
        </is>
      </c>
      <c r="J3010" s="10" t="inlineStr">
        <is>
          <t>営業</t>
        </is>
      </c>
      <c r="L3010" t="inlineStr">
        <is>
          <t>21:16:40</t>
        </is>
      </c>
      <c r="M3010" t="inlineStr">
        <is>
          <t>21:16:50</t>
        </is>
      </c>
    </row>
    <row r="3011" ht="16.5" customHeight="1" s="37">
      <c r="A3011" t="n">
        <v>22</v>
      </c>
      <c r="B3011" s="10" t="inlineStr">
        <is>
          <t>休日</t>
        </is>
      </c>
      <c r="C3011" s="10" t="inlineStr">
        <is>
          <t>北野線</t>
        </is>
      </c>
      <c r="D3011" s="10" t="inlineStr">
        <is>
          <t>下り</t>
        </is>
      </c>
      <c r="E3011" t="inlineStr">
        <is>
          <t>2153</t>
        </is>
      </c>
      <c r="F3011" t="inlineStr">
        <is>
          <t>0453</t>
        </is>
      </c>
      <c r="G3011" s="10" t="inlineStr">
        <is>
          <t>御室仁和寺</t>
        </is>
      </c>
      <c r="H3011" s="10" t="inlineStr">
        <is>
          <t>発</t>
        </is>
      </c>
      <c r="J3011" s="10" t="inlineStr">
        <is>
          <t>営業</t>
        </is>
      </c>
      <c r="L3011" t="inlineStr">
        <is>
          <t>21:17:50</t>
        </is>
      </c>
      <c r="M3011" t="inlineStr">
        <is>
          <t>21:18:05</t>
        </is>
      </c>
    </row>
    <row r="3012" ht="16.5" customHeight="1" s="37">
      <c r="A3012" t="n">
        <v>22</v>
      </c>
      <c r="B3012" s="10" t="inlineStr">
        <is>
          <t>休日</t>
        </is>
      </c>
      <c r="C3012" s="10" t="inlineStr">
        <is>
          <t>北野線</t>
        </is>
      </c>
      <c r="D3012" s="10" t="inlineStr">
        <is>
          <t>下り</t>
        </is>
      </c>
      <c r="E3012" t="inlineStr">
        <is>
          <t>2153</t>
        </is>
      </c>
      <c r="F3012" t="inlineStr">
        <is>
          <t>0453</t>
        </is>
      </c>
      <c r="G3012" s="10" t="inlineStr">
        <is>
          <t>宇多野</t>
        </is>
      </c>
      <c r="H3012" s="10" t="inlineStr">
        <is>
          <t>発</t>
        </is>
      </c>
      <c r="J3012" s="10" t="inlineStr">
        <is>
          <t>営業</t>
        </is>
      </c>
      <c r="L3012" t="inlineStr">
        <is>
          <t>21:19:05</t>
        </is>
      </c>
      <c r="M3012" t="inlineStr">
        <is>
          <t>21:19:15</t>
        </is>
      </c>
    </row>
    <row r="3013" ht="16.5" customHeight="1" s="37">
      <c r="A3013" t="n">
        <v>22</v>
      </c>
      <c r="B3013" s="10" t="inlineStr">
        <is>
          <t>休日</t>
        </is>
      </c>
      <c r="C3013" s="10" t="inlineStr">
        <is>
          <t>北野線</t>
        </is>
      </c>
      <c r="D3013" s="10" t="inlineStr">
        <is>
          <t>下り</t>
        </is>
      </c>
      <c r="E3013" t="inlineStr">
        <is>
          <t>2153</t>
        </is>
      </c>
      <c r="F3013" t="inlineStr">
        <is>
          <t>0453</t>
        </is>
      </c>
      <c r="G3013" s="10" t="inlineStr">
        <is>
          <t>鳴滝</t>
        </is>
      </c>
      <c r="H3013" s="10" t="inlineStr">
        <is>
          <t>発</t>
        </is>
      </c>
      <c r="J3013" s="10" t="inlineStr">
        <is>
          <t>営業</t>
        </is>
      </c>
      <c r="L3013" t="inlineStr">
        <is>
          <t>21:20:35</t>
        </is>
      </c>
      <c r="M3013" t="inlineStr">
        <is>
          <t>21:20:45</t>
        </is>
      </c>
    </row>
    <row r="3014" ht="16.5" customHeight="1" s="37">
      <c r="A3014" t="n">
        <v>22</v>
      </c>
      <c r="B3014" s="10" t="inlineStr">
        <is>
          <t>休日</t>
        </is>
      </c>
      <c r="C3014" s="10" t="inlineStr">
        <is>
          <t>北野線</t>
        </is>
      </c>
      <c r="D3014" s="10" t="inlineStr">
        <is>
          <t>下り</t>
        </is>
      </c>
      <c r="E3014" t="inlineStr">
        <is>
          <t>2153</t>
        </is>
      </c>
      <c r="F3014" t="inlineStr">
        <is>
          <t>0453</t>
        </is>
      </c>
      <c r="G3014" s="10" t="inlineStr">
        <is>
          <t>常盤</t>
        </is>
      </c>
      <c r="H3014" s="10" t="inlineStr">
        <is>
          <t>発</t>
        </is>
      </c>
      <c r="J3014" s="10" t="inlineStr">
        <is>
          <t>営業</t>
        </is>
      </c>
      <c r="L3014" t="inlineStr">
        <is>
          <t>21:21:35</t>
        </is>
      </c>
      <c r="M3014" t="inlineStr">
        <is>
          <t>21:21:55</t>
        </is>
      </c>
    </row>
    <row r="3015" ht="16.5" customHeight="1" s="37">
      <c r="A3015" t="n">
        <v>22</v>
      </c>
      <c r="B3015" s="10" t="inlineStr">
        <is>
          <t>休日</t>
        </is>
      </c>
      <c r="C3015" s="10" t="inlineStr">
        <is>
          <t>北野線</t>
        </is>
      </c>
      <c r="D3015" s="10" t="inlineStr">
        <is>
          <t>下り</t>
        </is>
      </c>
      <c r="E3015" t="inlineStr">
        <is>
          <t>2153</t>
        </is>
      </c>
      <c r="F3015" t="inlineStr">
        <is>
          <t>0453</t>
        </is>
      </c>
      <c r="G3015" s="10" t="inlineStr">
        <is>
          <t>撮影所前</t>
        </is>
      </c>
      <c r="H3015" s="10" t="inlineStr">
        <is>
          <t>発</t>
        </is>
      </c>
      <c r="J3015" s="10" t="inlineStr">
        <is>
          <t>営業</t>
        </is>
      </c>
      <c r="L3015" t="inlineStr">
        <is>
          <t>21:23:15</t>
        </is>
      </c>
      <c r="M3015" t="inlineStr">
        <is>
          <t>21:23:30</t>
        </is>
      </c>
    </row>
    <row r="3016" ht="16.5" customHeight="1" s="37">
      <c r="A3016" t="n">
        <v>22</v>
      </c>
      <c r="B3016" s="10" t="inlineStr">
        <is>
          <t>休日</t>
        </is>
      </c>
      <c r="C3016" s="10" t="inlineStr">
        <is>
          <t>北野線</t>
        </is>
      </c>
      <c r="D3016" s="10" t="inlineStr">
        <is>
          <t>下り</t>
        </is>
      </c>
      <c r="E3016" t="inlineStr">
        <is>
          <t>2153</t>
        </is>
      </c>
      <c r="F3016" t="inlineStr">
        <is>
          <t>0453</t>
        </is>
      </c>
      <c r="G3016" s="10" t="inlineStr">
        <is>
          <t>帷子ノ辻</t>
        </is>
      </c>
      <c r="H3016" s="10" t="inlineStr">
        <is>
          <t>着</t>
        </is>
      </c>
      <c r="J3016" s="10" t="inlineStr">
        <is>
          <t>営業</t>
        </is>
      </c>
      <c r="L3016" t="inlineStr">
        <is>
          <t>21:24:25</t>
        </is>
      </c>
      <c r="Q3016" t="inlineStr">
        <is>
          <t>4</t>
        </is>
      </c>
    </row>
    <row r="3017" ht="16.5" customHeight="1" s="37">
      <c r="A3017" t="n">
        <v>22</v>
      </c>
      <c r="B3017" s="10" t="inlineStr">
        <is>
          <t>休日</t>
        </is>
      </c>
      <c r="C3017" s="10" t="inlineStr">
        <is>
          <t>北野線</t>
        </is>
      </c>
      <c r="D3017" s="10" t="inlineStr">
        <is>
          <t>上り</t>
        </is>
      </c>
      <c r="E3017" t="inlineStr">
        <is>
          <t>2156</t>
        </is>
      </c>
      <c r="F3017" t="inlineStr">
        <is>
          <t>0304</t>
        </is>
      </c>
      <c r="G3017" s="10" t="inlineStr">
        <is>
          <t>帷子ノ辻</t>
        </is>
      </c>
      <c r="H3017" s="10" t="inlineStr">
        <is>
          <t>発</t>
        </is>
      </c>
      <c r="J3017" s="10" t="inlineStr">
        <is>
          <t>営業</t>
        </is>
      </c>
      <c r="M3017" t="inlineStr">
        <is>
          <t>21:36:25</t>
        </is>
      </c>
      <c r="Q3017" t="inlineStr">
        <is>
          <t>4</t>
        </is>
      </c>
    </row>
    <row r="3018" ht="16.5" customHeight="1" s="37">
      <c r="A3018" t="n">
        <v>22</v>
      </c>
      <c r="B3018" s="10" t="inlineStr">
        <is>
          <t>休日</t>
        </is>
      </c>
      <c r="C3018" s="10" t="inlineStr">
        <is>
          <t>北野線</t>
        </is>
      </c>
      <c r="D3018" s="10" t="inlineStr">
        <is>
          <t>上り</t>
        </is>
      </c>
      <c r="E3018" t="inlineStr">
        <is>
          <t>2156</t>
        </is>
      </c>
      <c r="F3018" t="inlineStr">
        <is>
          <t>0304</t>
        </is>
      </c>
      <c r="G3018" s="10" t="inlineStr">
        <is>
          <t>撮影所前</t>
        </is>
      </c>
      <c r="H3018" s="10" t="inlineStr">
        <is>
          <t>発</t>
        </is>
      </c>
      <c r="J3018" s="10" t="inlineStr">
        <is>
          <t>営業</t>
        </is>
      </c>
      <c r="L3018" t="inlineStr">
        <is>
          <t>21:37:25</t>
        </is>
      </c>
      <c r="M3018" t="inlineStr">
        <is>
          <t>21:37:40</t>
        </is>
      </c>
    </row>
    <row r="3019" ht="16.5" customHeight="1" s="37">
      <c r="A3019" t="n">
        <v>22</v>
      </c>
      <c r="B3019" s="10" t="inlineStr">
        <is>
          <t>休日</t>
        </is>
      </c>
      <c r="C3019" s="10" t="inlineStr">
        <is>
          <t>北野線</t>
        </is>
      </c>
      <c r="D3019" s="10" t="inlineStr">
        <is>
          <t>上り</t>
        </is>
      </c>
      <c r="E3019" t="inlineStr">
        <is>
          <t>2156</t>
        </is>
      </c>
      <c r="F3019" t="inlineStr">
        <is>
          <t>0304</t>
        </is>
      </c>
      <c r="G3019" s="10" t="inlineStr">
        <is>
          <t>常盤</t>
        </is>
      </c>
      <c r="H3019" s="10" t="inlineStr">
        <is>
          <t>発</t>
        </is>
      </c>
      <c r="J3019" s="10" t="inlineStr">
        <is>
          <t>営業</t>
        </is>
      </c>
      <c r="L3019" t="inlineStr">
        <is>
          <t>21:39:00</t>
        </is>
      </c>
      <c r="M3019" t="inlineStr">
        <is>
          <t>21:39:20</t>
        </is>
      </c>
    </row>
    <row r="3020" ht="16.5" customHeight="1" s="37">
      <c r="A3020" t="n">
        <v>22</v>
      </c>
      <c r="B3020" s="10" t="inlineStr">
        <is>
          <t>休日</t>
        </is>
      </c>
      <c r="C3020" s="10" t="inlineStr">
        <is>
          <t>北野線</t>
        </is>
      </c>
      <c r="D3020" s="10" t="inlineStr">
        <is>
          <t>上り</t>
        </is>
      </c>
      <c r="E3020" t="inlineStr">
        <is>
          <t>2156</t>
        </is>
      </c>
      <c r="F3020" t="inlineStr">
        <is>
          <t>0304</t>
        </is>
      </c>
      <c r="G3020" s="10" t="inlineStr">
        <is>
          <t>鳴滝</t>
        </is>
      </c>
      <c r="H3020" s="10" t="inlineStr">
        <is>
          <t>発</t>
        </is>
      </c>
      <c r="J3020" s="10" t="inlineStr">
        <is>
          <t>営業</t>
        </is>
      </c>
      <c r="L3020" t="inlineStr">
        <is>
          <t>21:40:20</t>
        </is>
      </c>
      <c r="M3020" t="inlineStr">
        <is>
          <t>21:40:40</t>
        </is>
      </c>
    </row>
    <row r="3021" ht="16.5" customHeight="1" s="37">
      <c r="A3021" t="n">
        <v>22</v>
      </c>
      <c r="B3021" s="10" t="inlineStr">
        <is>
          <t>休日</t>
        </is>
      </c>
      <c r="C3021" s="10" t="inlineStr">
        <is>
          <t>北野線</t>
        </is>
      </c>
      <c r="D3021" s="10" t="inlineStr">
        <is>
          <t>上り</t>
        </is>
      </c>
      <c r="E3021" t="inlineStr">
        <is>
          <t>2156</t>
        </is>
      </c>
      <c r="F3021" t="inlineStr">
        <is>
          <t>0304</t>
        </is>
      </c>
      <c r="G3021" s="10" t="inlineStr">
        <is>
          <t>宇多野</t>
        </is>
      </c>
      <c r="H3021" s="10" t="inlineStr">
        <is>
          <t>発</t>
        </is>
      </c>
      <c r="J3021" s="10" t="inlineStr">
        <is>
          <t>営業</t>
        </is>
      </c>
      <c r="L3021" t="inlineStr">
        <is>
          <t>21:42:00</t>
        </is>
      </c>
      <c r="M3021" t="inlineStr">
        <is>
          <t>21:42:15</t>
        </is>
      </c>
    </row>
    <row r="3022" ht="16.5" customHeight="1" s="37">
      <c r="A3022" t="n">
        <v>22</v>
      </c>
      <c r="B3022" s="10" t="inlineStr">
        <is>
          <t>休日</t>
        </is>
      </c>
      <c r="C3022" s="10" t="inlineStr">
        <is>
          <t>北野線</t>
        </is>
      </c>
      <c r="D3022" s="10" t="inlineStr">
        <is>
          <t>上り</t>
        </is>
      </c>
      <c r="E3022" t="inlineStr">
        <is>
          <t>2156</t>
        </is>
      </c>
      <c r="F3022" t="inlineStr">
        <is>
          <t>0304</t>
        </is>
      </c>
      <c r="G3022" s="10" t="inlineStr">
        <is>
          <t>御室仁和寺</t>
        </is>
      </c>
      <c r="H3022" s="10" t="inlineStr">
        <is>
          <t>発</t>
        </is>
      </c>
      <c r="J3022" s="10" t="inlineStr">
        <is>
          <t>営業</t>
        </is>
      </c>
      <c r="L3022" t="inlineStr">
        <is>
          <t>21:43:15</t>
        </is>
      </c>
      <c r="M3022" t="inlineStr">
        <is>
          <t>21:43:35</t>
        </is>
      </c>
    </row>
    <row r="3023" ht="16.5" customHeight="1" s="37">
      <c r="A3023" t="n">
        <v>22</v>
      </c>
      <c r="B3023" s="10" t="inlineStr">
        <is>
          <t>休日</t>
        </is>
      </c>
      <c r="C3023" s="10" t="inlineStr">
        <is>
          <t>北野線</t>
        </is>
      </c>
      <c r="D3023" s="10" t="inlineStr">
        <is>
          <t>上り</t>
        </is>
      </c>
      <c r="E3023" t="inlineStr">
        <is>
          <t>2156</t>
        </is>
      </c>
      <c r="F3023" t="inlineStr">
        <is>
          <t>0304</t>
        </is>
      </c>
      <c r="G3023" s="10" t="inlineStr">
        <is>
          <t>妙心寺</t>
        </is>
      </c>
      <c r="H3023" s="10" t="inlineStr">
        <is>
          <t>発</t>
        </is>
      </c>
      <c r="J3023" s="10" t="inlineStr">
        <is>
          <t>営業</t>
        </is>
      </c>
      <c r="L3023" t="inlineStr">
        <is>
          <t>21:44:35</t>
        </is>
      </c>
      <c r="M3023" t="inlineStr">
        <is>
          <t>21:44:50</t>
        </is>
      </c>
    </row>
    <row r="3024" ht="16.5" customHeight="1" s="37">
      <c r="A3024" t="n">
        <v>22</v>
      </c>
      <c r="B3024" s="10" t="inlineStr">
        <is>
          <t>休日</t>
        </is>
      </c>
      <c r="C3024" s="10" t="inlineStr">
        <is>
          <t>北野線</t>
        </is>
      </c>
      <c r="D3024" s="10" t="inlineStr">
        <is>
          <t>上り</t>
        </is>
      </c>
      <c r="E3024" t="inlineStr">
        <is>
          <t>2156</t>
        </is>
      </c>
      <c r="F3024" t="inlineStr">
        <is>
          <t>0304</t>
        </is>
      </c>
      <c r="G3024" s="10" t="inlineStr">
        <is>
          <t>龍安寺</t>
        </is>
      </c>
      <c r="H3024" s="10" t="inlineStr">
        <is>
          <t>発</t>
        </is>
      </c>
      <c r="J3024" s="10" t="inlineStr">
        <is>
          <t>営業</t>
        </is>
      </c>
      <c r="L3024" t="inlineStr">
        <is>
          <t>21:45:45</t>
        </is>
      </c>
      <c r="M3024" t="inlineStr">
        <is>
          <t>21:45:55</t>
        </is>
      </c>
    </row>
    <row r="3025" ht="16.5" customHeight="1" s="37">
      <c r="A3025" t="n">
        <v>22</v>
      </c>
      <c r="B3025" s="10" t="inlineStr">
        <is>
          <t>休日</t>
        </is>
      </c>
      <c r="C3025" s="10" t="inlineStr">
        <is>
          <t>北野線</t>
        </is>
      </c>
      <c r="D3025" s="10" t="inlineStr">
        <is>
          <t>上り</t>
        </is>
      </c>
      <c r="E3025" t="inlineStr">
        <is>
          <t>2156</t>
        </is>
      </c>
      <c r="F3025" t="inlineStr">
        <is>
          <t>0304</t>
        </is>
      </c>
      <c r="G3025" s="10" t="inlineStr">
        <is>
          <t>等持院</t>
        </is>
      </c>
      <c r="H3025" s="10" t="inlineStr">
        <is>
          <t>発</t>
        </is>
      </c>
      <c r="J3025" s="10" t="inlineStr">
        <is>
          <t>営業</t>
        </is>
      </c>
      <c r="L3025" t="inlineStr">
        <is>
          <t>21:46:35</t>
        </is>
      </c>
      <c r="M3025" t="inlineStr">
        <is>
          <t>21:46:55</t>
        </is>
      </c>
    </row>
    <row r="3026" ht="16.5" customHeight="1" s="37">
      <c r="A3026" t="n">
        <v>22</v>
      </c>
      <c r="B3026" s="10" t="inlineStr">
        <is>
          <t>休日</t>
        </is>
      </c>
      <c r="C3026" s="10" t="inlineStr">
        <is>
          <t>北野線</t>
        </is>
      </c>
      <c r="D3026" s="10" t="inlineStr">
        <is>
          <t>上り</t>
        </is>
      </c>
      <c r="E3026" t="inlineStr">
        <is>
          <t>2156</t>
        </is>
      </c>
      <c r="F3026" t="inlineStr">
        <is>
          <t>0304</t>
        </is>
      </c>
      <c r="G3026" s="10" t="inlineStr">
        <is>
          <t>北野白梅町</t>
        </is>
      </c>
      <c r="H3026" s="10" t="inlineStr">
        <is>
          <t>着</t>
        </is>
      </c>
      <c r="J3026" s="10" t="inlineStr">
        <is>
          <t>営業</t>
        </is>
      </c>
      <c r="L3026" t="inlineStr">
        <is>
          <t>21:48:15</t>
        </is>
      </c>
      <c r="N3026" t="inlineStr">
        <is>
          <t>○</t>
        </is>
      </c>
      <c r="Q3026" t="inlineStr">
        <is>
          <t>1</t>
        </is>
      </c>
    </row>
    <row r="3027" ht="16.5" customHeight="1" s="37">
      <c r="A3027" t="n">
        <v>22</v>
      </c>
      <c r="B3027" s="10" t="inlineStr">
        <is>
          <t>休日</t>
        </is>
      </c>
      <c r="C3027" s="10" t="inlineStr">
        <is>
          <t>北野線</t>
        </is>
      </c>
      <c r="D3027" s="10" t="inlineStr">
        <is>
          <t>下り</t>
        </is>
      </c>
      <c r="E3027" t="inlineStr">
        <is>
          <t>2159</t>
        </is>
      </c>
      <c r="F3027" t="inlineStr">
        <is>
          <t>0453</t>
        </is>
      </c>
      <c r="G3027" s="10" t="inlineStr">
        <is>
          <t>北野白梅町</t>
        </is>
      </c>
      <c r="H3027" s="10" t="inlineStr">
        <is>
          <t>発</t>
        </is>
      </c>
      <c r="J3027" s="10" t="inlineStr">
        <is>
          <t>営業</t>
        </is>
      </c>
      <c r="M3027" t="inlineStr">
        <is>
          <t>21:57:00</t>
        </is>
      </c>
      <c r="Q3027" t="inlineStr">
        <is>
          <t>1</t>
        </is>
      </c>
    </row>
    <row r="3028" ht="16.5" customHeight="1" s="37">
      <c r="A3028" t="n">
        <v>22</v>
      </c>
      <c r="B3028" s="10" t="inlineStr">
        <is>
          <t>休日</t>
        </is>
      </c>
      <c r="C3028" s="10" t="inlineStr">
        <is>
          <t>北野線</t>
        </is>
      </c>
      <c r="D3028" s="10" t="inlineStr">
        <is>
          <t>下り</t>
        </is>
      </c>
      <c r="E3028" t="inlineStr">
        <is>
          <t>2159</t>
        </is>
      </c>
      <c r="F3028" t="inlineStr">
        <is>
          <t>0453</t>
        </is>
      </c>
      <c r="G3028" s="10" t="inlineStr">
        <is>
          <t>等持院</t>
        </is>
      </c>
      <c r="H3028" s="10" t="inlineStr">
        <is>
          <t>発</t>
        </is>
      </c>
      <c r="J3028" s="10" t="inlineStr">
        <is>
          <t>営業</t>
        </is>
      </c>
      <c r="L3028" t="inlineStr">
        <is>
          <t>21:58:25</t>
        </is>
      </c>
      <c r="M3028" t="inlineStr">
        <is>
          <t>21:58:35</t>
        </is>
      </c>
    </row>
    <row r="3029" ht="16.5" customHeight="1" s="37">
      <c r="A3029" t="n">
        <v>22</v>
      </c>
      <c r="B3029" s="10" t="inlineStr">
        <is>
          <t>休日</t>
        </is>
      </c>
      <c r="C3029" s="10" t="inlineStr">
        <is>
          <t>北野線</t>
        </is>
      </c>
      <c r="D3029" s="10" t="inlineStr">
        <is>
          <t>下り</t>
        </is>
      </c>
      <c r="E3029" t="inlineStr">
        <is>
          <t>2159</t>
        </is>
      </c>
      <c r="F3029" t="inlineStr">
        <is>
          <t>0453</t>
        </is>
      </c>
      <c r="G3029" s="10" t="inlineStr">
        <is>
          <t>龍安寺</t>
        </is>
      </c>
      <c r="H3029" s="10" t="inlineStr">
        <is>
          <t>発</t>
        </is>
      </c>
      <c r="J3029" s="10" t="inlineStr">
        <is>
          <t>営業</t>
        </is>
      </c>
      <c r="L3029" t="inlineStr">
        <is>
          <t>21:59:25</t>
        </is>
      </c>
      <c r="M3029" t="inlineStr">
        <is>
          <t>21:59:50</t>
        </is>
      </c>
    </row>
    <row r="3030" ht="16.5" customHeight="1" s="37">
      <c r="A3030" t="n">
        <v>22</v>
      </c>
      <c r="B3030" s="10" t="inlineStr">
        <is>
          <t>休日</t>
        </is>
      </c>
      <c r="C3030" s="10" t="inlineStr">
        <is>
          <t>北野線</t>
        </is>
      </c>
      <c r="D3030" s="10" t="inlineStr">
        <is>
          <t>下り</t>
        </is>
      </c>
      <c r="E3030" t="inlineStr">
        <is>
          <t>2159</t>
        </is>
      </c>
      <c r="F3030" t="inlineStr">
        <is>
          <t>0453</t>
        </is>
      </c>
      <c r="G3030" s="10" t="inlineStr">
        <is>
          <t>妙心寺</t>
        </is>
      </c>
      <c r="H3030" s="10" t="inlineStr">
        <is>
          <t>発</t>
        </is>
      </c>
      <c r="J3030" s="10" t="inlineStr">
        <is>
          <t>営業</t>
        </is>
      </c>
      <c r="L3030" t="inlineStr">
        <is>
          <t>22:00:40</t>
        </is>
      </c>
      <c r="M3030" t="inlineStr">
        <is>
          <t>22:00:50</t>
        </is>
      </c>
    </row>
    <row r="3031" ht="16.5" customHeight="1" s="37">
      <c r="A3031" t="n">
        <v>22</v>
      </c>
      <c r="B3031" s="10" t="inlineStr">
        <is>
          <t>休日</t>
        </is>
      </c>
      <c r="C3031" s="10" t="inlineStr">
        <is>
          <t>北野線</t>
        </is>
      </c>
      <c r="D3031" s="10" t="inlineStr">
        <is>
          <t>下り</t>
        </is>
      </c>
      <c r="E3031" t="inlineStr">
        <is>
          <t>2159</t>
        </is>
      </c>
      <c r="F3031" t="inlineStr">
        <is>
          <t>0453</t>
        </is>
      </c>
      <c r="G3031" s="10" t="inlineStr">
        <is>
          <t>御室仁和寺</t>
        </is>
      </c>
      <c r="H3031" s="10" t="inlineStr">
        <is>
          <t>発</t>
        </is>
      </c>
      <c r="J3031" s="10" t="inlineStr">
        <is>
          <t>営業</t>
        </is>
      </c>
      <c r="L3031" t="inlineStr">
        <is>
          <t>22:01:50</t>
        </is>
      </c>
      <c r="M3031" t="inlineStr">
        <is>
          <t>22:02:05</t>
        </is>
      </c>
    </row>
    <row r="3032" ht="16.5" customHeight="1" s="37">
      <c r="A3032" t="n">
        <v>22</v>
      </c>
      <c r="B3032" s="10" t="inlineStr">
        <is>
          <t>休日</t>
        </is>
      </c>
      <c r="C3032" s="10" t="inlineStr">
        <is>
          <t>北野線</t>
        </is>
      </c>
      <c r="D3032" s="10" t="inlineStr">
        <is>
          <t>下り</t>
        </is>
      </c>
      <c r="E3032" t="inlineStr">
        <is>
          <t>2159</t>
        </is>
      </c>
      <c r="F3032" t="inlineStr">
        <is>
          <t>0453</t>
        </is>
      </c>
      <c r="G3032" s="10" t="inlineStr">
        <is>
          <t>宇多野</t>
        </is>
      </c>
      <c r="H3032" s="10" t="inlineStr">
        <is>
          <t>発</t>
        </is>
      </c>
      <c r="J3032" s="10" t="inlineStr">
        <is>
          <t>営業</t>
        </is>
      </c>
      <c r="L3032" t="inlineStr">
        <is>
          <t>22:03:05</t>
        </is>
      </c>
      <c r="M3032" t="inlineStr">
        <is>
          <t>22:03:15</t>
        </is>
      </c>
    </row>
    <row r="3033" ht="16.5" customHeight="1" s="37">
      <c r="A3033" t="n">
        <v>22</v>
      </c>
      <c r="B3033" s="10" t="inlineStr">
        <is>
          <t>休日</t>
        </is>
      </c>
      <c r="C3033" s="10" t="inlineStr">
        <is>
          <t>北野線</t>
        </is>
      </c>
      <c r="D3033" s="10" t="inlineStr">
        <is>
          <t>下り</t>
        </is>
      </c>
      <c r="E3033" t="inlineStr">
        <is>
          <t>2159</t>
        </is>
      </c>
      <c r="F3033" t="inlineStr">
        <is>
          <t>0453</t>
        </is>
      </c>
      <c r="G3033" s="10" t="inlineStr">
        <is>
          <t>鳴滝</t>
        </is>
      </c>
      <c r="H3033" s="10" t="inlineStr">
        <is>
          <t>発</t>
        </is>
      </c>
      <c r="J3033" s="10" t="inlineStr">
        <is>
          <t>営業</t>
        </is>
      </c>
      <c r="L3033" t="inlineStr">
        <is>
          <t>22:04:35</t>
        </is>
      </c>
      <c r="M3033" t="inlineStr">
        <is>
          <t>22:04:45</t>
        </is>
      </c>
    </row>
    <row r="3034" ht="16.5" customHeight="1" s="37">
      <c r="A3034" t="n">
        <v>22</v>
      </c>
      <c r="B3034" s="10" t="inlineStr">
        <is>
          <t>休日</t>
        </is>
      </c>
      <c r="C3034" s="10" t="inlineStr">
        <is>
          <t>北野線</t>
        </is>
      </c>
      <c r="D3034" s="10" t="inlineStr">
        <is>
          <t>下り</t>
        </is>
      </c>
      <c r="E3034" t="inlineStr">
        <is>
          <t>2159</t>
        </is>
      </c>
      <c r="F3034" t="inlineStr">
        <is>
          <t>0453</t>
        </is>
      </c>
      <c r="G3034" s="10" t="inlineStr">
        <is>
          <t>常盤</t>
        </is>
      </c>
      <c r="H3034" s="10" t="inlineStr">
        <is>
          <t>発</t>
        </is>
      </c>
      <c r="J3034" s="10" t="inlineStr">
        <is>
          <t>営業</t>
        </is>
      </c>
      <c r="L3034" t="inlineStr">
        <is>
          <t>22:05:35</t>
        </is>
      </c>
      <c r="M3034" t="inlineStr">
        <is>
          <t>22:05:55</t>
        </is>
      </c>
    </row>
    <row r="3035" ht="16.5" customHeight="1" s="37">
      <c r="A3035" t="n">
        <v>22</v>
      </c>
      <c r="B3035" s="10" t="inlineStr">
        <is>
          <t>休日</t>
        </is>
      </c>
      <c r="C3035" s="10" t="inlineStr">
        <is>
          <t>北野線</t>
        </is>
      </c>
      <c r="D3035" s="10" t="inlineStr">
        <is>
          <t>下り</t>
        </is>
      </c>
      <c r="E3035" t="inlineStr">
        <is>
          <t>2159</t>
        </is>
      </c>
      <c r="F3035" t="inlineStr">
        <is>
          <t>0453</t>
        </is>
      </c>
      <c r="G3035" s="10" t="inlineStr">
        <is>
          <t>撮影所前</t>
        </is>
      </c>
      <c r="H3035" s="10" t="inlineStr">
        <is>
          <t>発</t>
        </is>
      </c>
      <c r="J3035" s="10" t="inlineStr">
        <is>
          <t>営業</t>
        </is>
      </c>
      <c r="L3035" t="inlineStr">
        <is>
          <t>22:07:15</t>
        </is>
      </c>
      <c r="M3035" t="inlineStr">
        <is>
          <t>22:07:30</t>
        </is>
      </c>
    </row>
    <row r="3036" ht="16.5" customHeight="1" s="37">
      <c r="A3036" t="n">
        <v>22</v>
      </c>
      <c r="B3036" s="10" t="inlineStr">
        <is>
          <t>休日</t>
        </is>
      </c>
      <c r="C3036" s="10" t="inlineStr">
        <is>
          <t>北野線</t>
        </is>
      </c>
      <c r="D3036" s="10" t="inlineStr">
        <is>
          <t>下り</t>
        </is>
      </c>
      <c r="E3036" t="inlineStr">
        <is>
          <t>2159</t>
        </is>
      </c>
      <c r="F3036" t="inlineStr">
        <is>
          <t>0453</t>
        </is>
      </c>
      <c r="G3036" s="10" t="inlineStr">
        <is>
          <t>帷子ノ辻</t>
        </is>
      </c>
      <c r="H3036" s="10" t="inlineStr">
        <is>
          <t>着</t>
        </is>
      </c>
      <c r="J3036" s="10" t="inlineStr">
        <is>
          <t>営業</t>
        </is>
      </c>
      <c r="L3036" t="inlineStr">
        <is>
          <t>22:08:25</t>
        </is>
      </c>
      <c r="Q3036" t="inlineStr">
        <is>
          <t>4</t>
        </is>
      </c>
      <c r="T3036" t="inlineStr">
        <is>
          <t>○</t>
        </is>
      </c>
    </row>
    <row r="3037" ht="16.5" customHeight="1" s="37">
      <c r="A3037" t="n">
        <v>22</v>
      </c>
      <c r="B3037" s="10" t="inlineStr">
        <is>
          <t>休日</t>
        </is>
      </c>
      <c r="C3037" s="10" t="inlineStr">
        <is>
          <t>本線</t>
        </is>
      </c>
      <c r="D3037" s="10" t="inlineStr">
        <is>
          <t>下り</t>
        </is>
      </c>
      <c r="E3037" t="inlineStr">
        <is>
          <t>22系統④便乗</t>
        </is>
      </c>
      <c r="F3037" s="10" t="inlineStr">
        <is>
          <t>便乗</t>
        </is>
      </c>
      <c r="G3037" s="10" t="inlineStr">
        <is>
          <t>西院</t>
        </is>
      </c>
      <c r="H3037" s="10" t="inlineStr">
        <is>
          <t>発</t>
        </is>
      </c>
      <c r="J3037" s="10" t="inlineStr">
        <is>
          <t>便乗</t>
        </is>
      </c>
      <c r="L3037" t="inlineStr">
        <is>
          <t>13:35:50</t>
        </is>
      </c>
      <c r="M3037" t="inlineStr">
        <is>
          <t>13:36:20</t>
        </is>
      </c>
      <c r="S3037" t="inlineStr">
        <is>
          <t>連1307</t>
        </is>
      </c>
    </row>
    <row r="3038" ht="16.5" customHeight="1" s="37">
      <c r="A3038" t="n">
        <v>22</v>
      </c>
      <c r="B3038" s="10" t="inlineStr">
        <is>
          <t>休日</t>
        </is>
      </c>
      <c r="C3038" s="10" t="inlineStr">
        <is>
          <t>本線</t>
        </is>
      </c>
      <c r="D3038" s="10" t="inlineStr">
        <is>
          <t>下り</t>
        </is>
      </c>
      <c r="E3038" t="inlineStr">
        <is>
          <t>22系統④便乗</t>
        </is>
      </c>
      <c r="F3038" s="10" t="inlineStr">
        <is>
          <t>便乗</t>
        </is>
      </c>
      <c r="G3038" s="10" t="inlineStr">
        <is>
          <t>西大路三条</t>
        </is>
      </c>
      <c r="H3038" s="10" t="inlineStr">
        <is>
          <t>発</t>
        </is>
      </c>
      <c r="J3038" s="10" t="inlineStr">
        <is>
          <t>便乗</t>
        </is>
      </c>
      <c r="L3038" t="inlineStr">
        <is>
          <t>13:38:10</t>
        </is>
      </c>
      <c r="M3038" t="inlineStr">
        <is>
          <t>13:38:30</t>
        </is>
      </c>
      <c r="S3038" t="inlineStr">
        <is>
          <t>連1307</t>
        </is>
      </c>
    </row>
    <row r="3039" ht="16.5" customHeight="1" s="37">
      <c r="A3039" t="n">
        <v>22</v>
      </c>
      <c r="B3039" s="10" t="inlineStr">
        <is>
          <t>休日</t>
        </is>
      </c>
      <c r="C3039" s="10" t="inlineStr">
        <is>
          <t>本線</t>
        </is>
      </c>
      <c r="D3039" s="10" t="inlineStr">
        <is>
          <t>下り</t>
        </is>
      </c>
      <c r="E3039" t="inlineStr">
        <is>
          <t>22系統④便乗</t>
        </is>
      </c>
      <c r="F3039" s="10" t="inlineStr">
        <is>
          <t>便乗</t>
        </is>
      </c>
      <c r="G3039" s="10" t="inlineStr">
        <is>
          <t>山ノ内</t>
        </is>
      </c>
      <c r="H3039" s="10" t="inlineStr">
        <is>
          <t>発</t>
        </is>
      </c>
      <c r="J3039" s="10" t="inlineStr">
        <is>
          <t>便乗</t>
        </is>
      </c>
      <c r="L3039" t="inlineStr">
        <is>
          <t>13:40:25</t>
        </is>
      </c>
      <c r="M3039" t="inlineStr">
        <is>
          <t>13:40:50</t>
        </is>
      </c>
      <c r="S3039" t="inlineStr">
        <is>
          <t>連1307</t>
        </is>
      </c>
    </row>
    <row r="3040" ht="16.5" customHeight="1" s="37">
      <c r="A3040" t="n">
        <v>22</v>
      </c>
      <c r="B3040" s="10" t="inlineStr">
        <is>
          <t>休日</t>
        </is>
      </c>
      <c r="C3040" s="10" t="inlineStr">
        <is>
          <t>本線</t>
        </is>
      </c>
      <c r="D3040" s="10" t="inlineStr">
        <is>
          <t>下り</t>
        </is>
      </c>
      <c r="E3040" t="inlineStr">
        <is>
          <t>22系統④便乗</t>
        </is>
      </c>
      <c r="F3040" s="10" t="inlineStr">
        <is>
          <t>便乗</t>
        </is>
      </c>
      <c r="G3040" s="10" t="inlineStr">
        <is>
          <t>天神川</t>
        </is>
      </c>
      <c r="H3040" s="10" t="inlineStr">
        <is>
          <t>発</t>
        </is>
      </c>
      <c r="J3040" s="10" t="inlineStr">
        <is>
          <t>便乗</t>
        </is>
      </c>
      <c r="L3040" t="inlineStr">
        <is>
          <t>13:42:50</t>
        </is>
      </c>
      <c r="M3040" t="inlineStr">
        <is>
          <t>13:43:30</t>
        </is>
      </c>
      <c r="S3040" t="inlineStr">
        <is>
          <t>連1307</t>
        </is>
      </c>
    </row>
    <row r="3041" ht="16.5" customHeight="1" s="37">
      <c r="A3041" t="n">
        <v>22</v>
      </c>
      <c r="B3041" s="10" t="inlineStr">
        <is>
          <t>休日</t>
        </is>
      </c>
      <c r="C3041" s="10" t="inlineStr">
        <is>
          <t>本線</t>
        </is>
      </c>
      <c r="D3041" s="10" t="inlineStr">
        <is>
          <t>下り</t>
        </is>
      </c>
      <c r="E3041" t="inlineStr">
        <is>
          <t>22系統④便乗</t>
        </is>
      </c>
      <c r="F3041" s="10" t="inlineStr">
        <is>
          <t>便乗</t>
        </is>
      </c>
      <c r="G3041" s="10" t="inlineStr">
        <is>
          <t>蚕ノ社</t>
        </is>
      </c>
      <c r="H3041" s="10" t="inlineStr">
        <is>
          <t>発</t>
        </is>
      </c>
      <c r="J3041" s="10" t="inlineStr">
        <is>
          <t>便乗</t>
        </is>
      </c>
      <c r="L3041" t="inlineStr">
        <is>
          <t>13:44:20</t>
        </is>
      </c>
      <c r="M3041" t="inlineStr">
        <is>
          <t>13:44:40</t>
        </is>
      </c>
      <c r="S3041" t="inlineStr">
        <is>
          <t>連1307</t>
        </is>
      </c>
    </row>
    <row r="3042" ht="16.5" customHeight="1" s="37">
      <c r="A3042" t="n">
        <v>22</v>
      </c>
      <c r="B3042" s="10" t="inlineStr">
        <is>
          <t>休日</t>
        </is>
      </c>
      <c r="C3042" s="10" t="inlineStr">
        <is>
          <t>本線</t>
        </is>
      </c>
      <c r="D3042" s="10" t="inlineStr">
        <is>
          <t>下り</t>
        </is>
      </c>
      <c r="E3042" t="inlineStr">
        <is>
          <t>22系統④便乗</t>
        </is>
      </c>
      <c r="F3042" s="10" t="inlineStr">
        <is>
          <t>便乗</t>
        </is>
      </c>
      <c r="G3042" s="10" t="inlineStr">
        <is>
          <t>太秦広隆寺</t>
        </is>
      </c>
      <c r="H3042" s="10" t="inlineStr">
        <is>
          <t>発</t>
        </is>
      </c>
      <c r="J3042" s="10" t="inlineStr">
        <is>
          <t>便乗</t>
        </is>
      </c>
      <c r="L3042" t="inlineStr">
        <is>
          <t>13:46:00</t>
        </is>
      </c>
      <c r="M3042" t="inlineStr">
        <is>
          <t>13:46:20</t>
        </is>
      </c>
      <c r="S3042" t="inlineStr">
        <is>
          <t>連1307</t>
        </is>
      </c>
    </row>
    <row r="3043" ht="16.5" customHeight="1" s="37">
      <c r="A3043" t="n">
        <v>22</v>
      </c>
      <c r="B3043" s="10" t="inlineStr">
        <is>
          <t>休日</t>
        </is>
      </c>
      <c r="C3043" s="10" t="inlineStr">
        <is>
          <t>本線</t>
        </is>
      </c>
      <c r="D3043" s="10" t="inlineStr">
        <is>
          <t>下り</t>
        </is>
      </c>
      <c r="E3043" t="inlineStr">
        <is>
          <t>22系統④便乗</t>
        </is>
      </c>
      <c r="F3043" s="10" t="inlineStr">
        <is>
          <t>便乗</t>
        </is>
      </c>
      <c r="G3043" s="10" t="inlineStr">
        <is>
          <t>帷子ノ辻</t>
        </is>
      </c>
      <c r="H3043" s="10" t="inlineStr">
        <is>
          <t>着</t>
        </is>
      </c>
      <c r="J3043" s="10" t="inlineStr">
        <is>
          <t>便乗</t>
        </is>
      </c>
      <c r="L3043" t="inlineStr">
        <is>
          <t>13:48:20</t>
        </is>
      </c>
      <c r="M3043" t="inlineStr">
        <is>
          <t>13:49:40</t>
        </is>
      </c>
      <c r="S3043" t="inlineStr">
        <is>
          <t>連1307</t>
        </is>
      </c>
    </row>
    <row r="3044" ht="16.5" customHeight="1" s="37">
      <c r="A3044" t="n">
        <v>22</v>
      </c>
      <c r="B3044" s="10" t="inlineStr">
        <is>
          <t>休日</t>
        </is>
      </c>
      <c r="C3044" s="10" t="inlineStr">
        <is>
          <t>本線</t>
        </is>
      </c>
      <c r="D3044" s="10" t="inlineStr">
        <is>
          <t>上り</t>
        </is>
      </c>
      <c r="E3044" t="inlineStr">
        <is>
          <t>22系統⑫便乗</t>
        </is>
      </c>
      <c r="F3044" s="10" t="inlineStr">
        <is>
          <t>回送</t>
        </is>
      </c>
      <c r="G3044" s="10" t="inlineStr">
        <is>
          <t>帷子ノ辻</t>
        </is>
      </c>
      <c r="H3044" s="10" t="inlineStr">
        <is>
          <t>発</t>
        </is>
      </c>
      <c r="J3044" s="10" t="inlineStr">
        <is>
          <t>便乗</t>
        </is>
      </c>
      <c r="L3044" t="inlineStr">
        <is>
          <t>22:14:35</t>
        </is>
      </c>
      <c r="M3044" t="inlineStr">
        <is>
          <t>22:15:05</t>
        </is>
      </c>
      <c r="S3044" t="inlineStr">
        <is>
          <t>2202</t>
        </is>
      </c>
    </row>
    <row r="3045" ht="16.5" customHeight="1" s="37">
      <c r="A3045" t="n">
        <v>22</v>
      </c>
      <c r="B3045" s="10" t="inlineStr">
        <is>
          <t>休日</t>
        </is>
      </c>
      <c r="C3045" s="10" t="inlineStr">
        <is>
          <t>本線</t>
        </is>
      </c>
      <c r="D3045" s="10" t="inlineStr">
        <is>
          <t>上り</t>
        </is>
      </c>
      <c r="E3045" t="inlineStr">
        <is>
          <t>22系統⑫便乗</t>
        </is>
      </c>
      <c r="F3045" s="10" t="inlineStr">
        <is>
          <t>回送</t>
        </is>
      </c>
      <c r="G3045" s="10" t="inlineStr">
        <is>
          <t>太秦広隆寺</t>
        </is>
      </c>
      <c r="H3045" s="10" t="inlineStr">
        <is>
          <t>発</t>
        </is>
      </c>
      <c r="J3045" s="10" t="inlineStr">
        <is>
          <t>便乗</t>
        </is>
      </c>
      <c r="L3045" t="inlineStr">
        <is>
          <t>22:17:15</t>
        </is>
      </c>
      <c r="M3045" t="inlineStr">
        <is>
          <t>22:17:35</t>
        </is>
      </c>
      <c r="S3045" t="inlineStr">
        <is>
          <t>2202</t>
        </is>
      </c>
    </row>
    <row r="3046" ht="16.5" customHeight="1" s="37">
      <c r="A3046" t="n">
        <v>22</v>
      </c>
      <c r="B3046" s="10" t="inlineStr">
        <is>
          <t>休日</t>
        </is>
      </c>
      <c r="C3046" s="10" t="inlineStr">
        <is>
          <t>本線</t>
        </is>
      </c>
      <c r="D3046" s="10" t="inlineStr">
        <is>
          <t>上り</t>
        </is>
      </c>
      <c r="E3046" t="inlineStr">
        <is>
          <t>22系統⑫便乗</t>
        </is>
      </c>
      <c r="F3046" s="10" t="inlineStr">
        <is>
          <t>回送</t>
        </is>
      </c>
      <c r="G3046" s="10" t="inlineStr">
        <is>
          <t>蚕ノ社</t>
        </is>
      </c>
      <c r="H3046" s="10" t="inlineStr">
        <is>
          <t>発</t>
        </is>
      </c>
      <c r="J3046" s="10" t="inlineStr">
        <is>
          <t>便乗</t>
        </is>
      </c>
      <c r="L3046" t="inlineStr">
        <is>
          <t>22:18:50</t>
        </is>
      </c>
      <c r="M3046" t="inlineStr">
        <is>
          <t>22:19:10</t>
        </is>
      </c>
      <c r="S3046" t="inlineStr">
        <is>
          <t>2202</t>
        </is>
      </c>
    </row>
    <row r="3047" ht="16.5" customHeight="1" s="37">
      <c r="A3047" t="n">
        <v>22</v>
      </c>
      <c r="B3047" s="10" t="inlineStr">
        <is>
          <t>休日</t>
        </is>
      </c>
      <c r="C3047" s="10" t="inlineStr">
        <is>
          <t>本線</t>
        </is>
      </c>
      <c r="D3047" s="10" t="inlineStr">
        <is>
          <t>上り</t>
        </is>
      </c>
      <c r="E3047" t="inlineStr">
        <is>
          <t>22系統⑫便乗</t>
        </is>
      </c>
      <c r="F3047" s="10" t="inlineStr">
        <is>
          <t>回送</t>
        </is>
      </c>
      <c r="G3047" s="10" t="inlineStr">
        <is>
          <t>天神川</t>
        </is>
      </c>
      <c r="H3047" s="10" t="inlineStr">
        <is>
          <t>発</t>
        </is>
      </c>
      <c r="J3047" s="10" t="inlineStr">
        <is>
          <t>便乗</t>
        </is>
      </c>
      <c r="L3047" t="inlineStr">
        <is>
          <t>22:19:55</t>
        </is>
      </c>
      <c r="M3047" t="inlineStr">
        <is>
          <t>22:20:20</t>
        </is>
      </c>
      <c r="S3047" t="inlineStr">
        <is>
          <t>2202</t>
        </is>
      </c>
    </row>
    <row r="3048" ht="16.5" customHeight="1" s="37">
      <c r="A3048" t="n">
        <v>22</v>
      </c>
      <c r="B3048" s="10" t="inlineStr">
        <is>
          <t>休日</t>
        </is>
      </c>
      <c r="C3048" s="10" t="inlineStr">
        <is>
          <t>本線</t>
        </is>
      </c>
      <c r="D3048" s="10" t="inlineStr">
        <is>
          <t>上り</t>
        </is>
      </c>
      <c r="E3048" t="inlineStr">
        <is>
          <t>22系統⑫便乗</t>
        </is>
      </c>
      <c r="F3048" s="10" t="inlineStr">
        <is>
          <t>回送</t>
        </is>
      </c>
      <c r="G3048" s="10" t="inlineStr">
        <is>
          <t>山ノ内</t>
        </is>
      </c>
      <c r="H3048" s="10" t="inlineStr">
        <is>
          <t>発</t>
        </is>
      </c>
      <c r="J3048" s="10" t="inlineStr">
        <is>
          <t>便乗</t>
        </is>
      </c>
      <c r="L3048" t="inlineStr">
        <is>
          <t>22:22:10</t>
        </is>
      </c>
      <c r="M3048" t="inlineStr">
        <is>
          <t>22:22:35</t>
        </is>
      </c>
      <c r="S3048" t="inlineStr">
        <is>
          <t>2202</t>
        </is>
      </c>
    </row>
    <row r="3049" ht="16.5" customHeight="1" s="37">
      <c r="A3049" t="n">
        <v>22</v>
      </c>
      <c r="B3049" s="10" t="inlineStr">
        <is>
          <t>休日</t>
        </is>
      </c>
      <c r="C3049" s="10" t="inlineStr">
        <is>
          <t>本線</t>
        </is>
      </c>
      <c r="D3049" s="10" t="inlineStr">
        <is>
          <t>上り</t>
        </is>
      </c>
      <c r="E3049" t="inlineStr">
        <is>
          <t>22系統⑫便乗</t>
        </is>
      </c>
      <c r="F3049" s="10" t="inlineStr">
        <is>
          <t>回送</t>
        </is>
      </c>
      <c r="G3049" s="10" t="inlineStr">
        <is>
          <t>西大路三条</t>
        </is>
      </c>
      <c r="H3049" s="10" t="inlineStr">
        <is>
          <t>発</t>
        </is>
      </c>
      <c r="J3049" s="10" t="inlineStr">
        <is>
          <t>便乗</t>
        </is>
      </c>
      <c r="L3049" t="inlineStr">
        <is>
          <t>22:24:25</t>
        </is>
      </c>
      <c r="M3049" t="inlineStr">
        <is>
          <t>22:24:40</t>
        </is>
      </c>
      <c r="S3049" t="inlineStr">
        <is>
          <t>2202</t>
        </is>
      </c>
    </row>
    <row r="3050" ht="16.5" customHeight="1" s="37">
      <c r="A3050" t="n">
        <v>22</v>
      </c>
      <c r="B3050" s="10" t="inlineStr">
        <is>
          <t>休日</t>
        </is>
      </c>
      <c r="C3050" s="10" t="inlineStr">
        <is>
          <t>本線</t>
        </is>
      </c>
      <c r="D3050" s="10" t="inlineStr">
        <is>
          <t>上り</t>
        </is>
      </c>
      <c r="E3050" t="inlineStr">
        <is>
          <t>22系統⑫便乗</t>
        </is>
      </c>
      <c r="F3050" s="10" t="inlineStr">
        <is>
          <t>回送</t>
        </is>
      </c>
      <c r="G3050" s="10" t="inlineStr">
        <is>
          <t>西院</t>
        </is>
      </c>
      <c r="H3050" s="10" t="inlineStr">
        <is>
          <t>着</t>
        </is>
      </c>
      <c r="J3050" s="10" t="inlineStr">
        <is>
          <t>便乗</t>
        </is>
      </c>
      <c r="L3050" t="inlineStr">
        <is>
          <t>22:26:35</t>
        </is>
      </c>
      <c r="M3050" t="inlineStr">
        <is>
          <t>22:27:05</t>
        </is>
      </c>
      <c r="S3050" t="inlineStr">
        <is>
          <t>2202</t>
        </is>
      </c>
    </row>
    <row r="3051" ht="16.5" customHeight="1" s="37">
      <c r="A3051" t="n">
        <v>23</v>
      </c>
      <c r="B3051" s="10" t="inlineStr">
        <is>
          <t>休日</t>
        </is>
      </c>
      <c r="C3051" s="10" t="inlineStr">
        <is>
          <t>北野線</t>
        </is>
      </c>
      <c r="D3051" s="10" t="inlineStr">
        <is>
          <t>上り</t>
        </is>
      </c>
      <c r="E3051" t="inlineStr">
        <is>
          <t>1460</t>
        </is>
      </c>
      <c r="F3051" t="inlineStr">
        <is>
          <t>0354</t>
        </is>
      </c>
      <c r="G3051" s="10" t="inlineStr">
        <is>
          <t>帷子ノ辻</t>
        </is>
      </c>
      <c r="H3051" s="10" t="inlineStr">
        <is>
          <t>発</t>
        </is>
      </c>
      <c r="J3051" s="10" t="inlineStr">
        <is>
          <t>営業</t>
        </is>
      </c>
      <c r="M3051" t="inlineStr">
        <is>
          <t>14:46:25</t>
        </is>
      </c>
      <c r="Q3051" t="inlineStr">
        <is>
          <t>4</t>
        </is>
      </c>
    </row>
    <row r="3052" ht="16.5" customHeight="1" s="37">
      <c r="A3052" t="n">
        <v>23</v>
      </c>
      <c r="B3052" s="10" t="inlineStr">
        <is>
          <t>休日</t>
        </is>
      </c>
      <c r="C3052" s="10" t="inlineStr">
        <is>
          <t>北野線</t>
        </is>
      </c>
      <c r="D3052" s="10" t="inlineStr">
        <is>
          <t>上り</t>
        </is>
      </c>
      <c r="E3052" t="inlineStr">
        <is>
          <t>1460</t>
        </is>
      </c>
      <c r="F3052" t="inlineStr">
        <is>
          <t>0354</t>
        </is>
      </c>
      <c r="G3052" s="10" t="inlineStr">
        <is>
          <t>撮影所前</t>
        </is>
      </c>
      <c r="H3052" s="10" t="inlineStr">
        <is>
          <t>発</t>
        </is>
      </c>
      <c r="J3052" s="10" t="inlineStr">
        <is>
          <t>営業</t>
        </is>
      </c>
      <c r="L3052" t="inlineStr">
        <is>
          <t>14:47:25</t>
        </is>
      </c>
      <c r="M3052" t="inlineStr">
        <is>
          <t>14:47:40</t>
        </is>
      </c>
    </row>
    <row r="3053" ht="16.5" customHeight="1" s="37">
      <c r="A3053" t="n">
        <v>23</v>
      </c>
      <c r="B3053" s="10" t="inlineStr">
        <is>
          <t>休日</t>
        </is>
      </c>
      <c r="C3053" s="10" t="inlineStr">
        <is>
          <t>北野線</t>
        </is>
      </c>
      <c r="D3053" s="10" t="inlineStr">
        <is>
          <t>上り</t>
        </is>
      </c>
      <c r="E3053" t="inlineStr">
        <is>
          <t>1460</t>
        </is>
      </c>
      <c r="F3053" t="inlineStr">
        <is>
          <t>0354</t>
        </is>
      </c>
      <c r="G3053" s="10" t="inlineStr">
        <is>
          <t>常盤</t>
        </is>
      </c>
      <c r="H3053" s="10" t="inlineStr">
        <is>
          <t>発</t>
        </is>
      </c>
      <c r="J3053" s="10" t="inlineStr">
        <is>
          <t>営業</t>
        </is>
      </c>
      <c r="L3053" t="inlineStr">
        <is>
          <t>14:49:00</t>
        </is>
      </c>
      <c r="M3053" t="inlineStr">
        <is>
          <t>14:49:20</t>
        </is>
      </c>
    </row>
    <row r="3054" ht="16.5" customHeight="1" s="37">
      <c r="A3054" t="n">
        <v>23</v>
      </c>
      <c r="B3054" s="10" t="inlineStr">
        <is>
          <t>休日</t>
        </is>
      </c>
      <c r="C3054" s="10" t="inlineStr">
        <is>
          <t>北野線</t>
        </is>
      </c>
      <c r="D3054" s="10" t="inlineStr">
        <is>
          <t>上り</t>
        </is>
      </c>
      <c r="E3054" t="inlineStr">
        <is>
          <t>1460</t>
        </is>
      </c>
      <c r="F3054" t="inlineStr">
        <is>
          <t>0354</t>
        </is>
      </c>
      <c r="G3054" s="10" t="inlineStr">
        <is>
          <t>鳴滝</t>
        </is>
      </c>
      <c r="H3054" s="10" t="inlineStr">
        <is>
          <t>発</t>
        </is>
      </c>
      <c r="J3054" s="10" t="inlineStr">
        <is>
          <t>営業</t>
        </is>
      </c>
      <c r="L3054" t="inlineStr">
        <is>
          <t>14:50:20</t>
        </is>
      </c>
      <c r="M3054" t="inlineStr">
        <is>
          <t>14:50:40</t>
        </is>
      </c>
    </row>
    <row r="3055" ht="16.5" customHeight="1" s="37">
      <c r="A3055" t="n">
        <v>23</v>
      </c>
      <c r="B3055" s="10" t="inlineStr">
        <is>
          <t>休日</t>
        </is>
      </c>
      <c r="C3055" s="10" t="inlineStr">
        <is>
          <t>北野線</t>
        </is>
      </c>
      <c r="D3055" s="10" t="inlineStr">
        <is>
          <t>上り</t>
        </is>
      </c>
      <c r="E3055" t="inlineStr">
        <is>
          <t>1460</t>
        </is>
      </c>
      <c r="F3055" t="inlineStr">
        <is>
          <t>0354</t>
        </is>
      </c>
      <c r="G3055" s="10" t="inlineStr">
        <is>
          <t>宇多野</t>
        </is>
      </c>
      <c r="H3055" s="10" t="inlineStr">
        <is>
          <t>発</t>
        </is>
      </c>
      <c r="J3055" s="10" t="inlineStr">
        <is>
          <t>営業</t>
        </is>
      </c>
      <c r="L3055" t="inlineStr">
        <is>
          <t>14:52:00</t>
        </is>
      </c>
      <c r="M3055" t="inlineStr">
        <is>
          <t>14:52:15</t>
        </is>
      </c>
    </row>
    <row r="3056" ht="16.5" customHeight="1" s="37">
      <c r="A3056" t="n">
        <v>23</v>
      </c>
      <c r="B3056" s="10" t="inlineStr">
        <is>
          <t>休日</t>
        </is>
      </c>
      <c r="C3056" s="10" t="inlineStr">
        <is>
          <t>北野線</t>
        </is>
      </c>
      <c r="D3056" s="10" t="inlineStr">
        <is>
          <t>上り</t>
        </is>
      </c>
      <c r="E3056" t="inlineStr">
        <is>
          <t>1460</t>
        </is>
      </c>
      <c r="F3056" t="inlineStr">
        <is>
          <t>0354</t>
        </is>
      </c>
      <c r="G3056" s="10" t="inlineStr">
        <is>
          <t>御室仁和寺</t>
        </is>
      </c>
      <c r="H3056" s="10" t="inlineStr">
        <is>
          <t>発</t>
        </is>
      </c>
      <c r="J3056" s="10" t="inlineStr">
        <is>
          <t>営業</t>
        </is>
      </c>
      <c r="L3056" t="inlineStr">
        <is>
          <t>14:53:15</t>
        </is>
      </c>
      <c r="M3056" t="inlineStr">
        <is>
          <t>14:53:35</t>
        </is>
      </c>
    </row>
    <row r="3057" ht="16.5" customHeight="1" s="37">
      <c r="A3057" t="n">
        <v>23</v>
      </c>
      <c r="B3057" s="10" t="inlineStr">
        <is>
          <t>休日</t>
        </is>
      </c>
      <c r="C3057" s="10" t="inlineStr">
        <is>
          <t>北野線</t>
        </is>
      </c>
      <c r="D3057" s="10" t="inlineStr">
        <is>
          <t>上り</t>
        </is>
      </c>
      <c r="E3057" t="inlineStr">
        <is>
          <t>1460</t>
        </is>
      </c>
      <c r="F3057" t="inlineStr">
        <is>
          <t>0354</t>
        </is>
      </c>
      <c r="G3057" s="10" t="inlineStr">
        <is>
          <t>妙心寺</t>
        </is>
      </c>
      <c r="H3057" s="10" t="inlineStr">
        <is>
          <t>発</t>
        </is>
      </c>
      <c r="J3057" s="10" t="inlineStr">
        <is>
          <t>営業</t>
        </is>
      </c>
      <c r="L3057" t="inlineStr">
        <is>
          <t>14:54:35</t>
        </is>
      </c>
      <c r="M3057" t="inlineStr">
        <is>
          <t>14:54:50</t>
        </is>
      </c>
    </row>
    <row r="3058" ht="16.5" customHeight="1" s="37">
      <c r="A3058" t="n">
        <v>23</v>
      </c>
      <c r="B3058" s="10" t="inlineStr">
        <is>
          <t>休日</t>
        </is>
      </c>
      <c r="C3058" s="10" t="inlineStr">
        <is>
          <t>北野線</t>
        </is>
      </c>
      <c r="D3058" s="10" t="inlineStr">
        <is>
          <t>上り</t>
        </is>
      </c>
      <c r="E3058" t="inlineStr">
        <is>
          <t>1460</t>
        </is>
      </c>
      <c r="F3058" t="inlineStr">
        <is>
          <t>0354</t>
        </is>
      </c>
      <c r="G3058" s="10" t="inlineStr">
        <is>
          <t>龍安寺</t>
        </is>
      </c>
      <c r="H3058" s="10" t="inlineStr">
        <is>
          <t>発</t>
        </is>
      </c>
      <c r="J3058" s="10" t="inlineStr">
        <is>
          <t>営業</t>
        </is>
      </c>
      <c r="L3058" t="inlineStr">
        <is>
          <t>14:55:45</t>
        </is>
      </c>
      <c r="M3058" t="inlineStr">
        <is>
          <t>14:55:55</t>
        </is>
      </c>
    </row>
    <row r="3059" ht="16.5" customHeight="1" s="37">
      <c r="A3059" t="n">
        <v>23</v>
      </c>
      <c r="B3059" s="10" t="inlineStr">
        <is>
          <t>休日</t>
        </is>
      </c>
      <c r="C3059" s="10" t="inlineStr">
        <is>
          <t>北野線</t>
        </is>
      </c>
      <c r="D3059" s="10" t="inlineStr">
        <is>
          <t>上り</t>
        </is>
      </c>
      <c r="E3059" t="inlineStr">
        <is>
          <t>1460</t>
        </is>
      </c>
      <c r="F3059" t="inlineStr">
        <is>
          <t>0354</t>
        </is>
      </c>
      <c r="G3059" s="10" t="inlineStr">
        <is>
          <t>等持院</t>
        </is>
      </c>
      <c r="H3059" s="10" t="inlineStr">
        <is>
          <t>発</t>
        </is>
      </c>
      <c r="J3059" s="10" t="inlineStr">
        <is>
          <t>営業</t>
        </is>
      </c>
      <c r="L3059" t="inlineStr">
        <is>
          <t>14:56:35</t>
        </is>
      </c>
      <c r="M3059" t="inlineStr">
        <is>
          <t>14:56:55</t>
        </is>
      </c>
    </row>
    <row r="3060" ht="16.5" customHeight="1" s="37">
      <c r="A3060" t="n">
        <v>23</v>
      </c>
      <c r="B3060" s="10" t="inlineStr">
        <is>
          <t>休日</t>
        </is>
      </c>
      <c r="C3060" s="10" t="inlineStr">
        <is>
          <t>北野線</t>
        </is>
      </c>
      <c r="D3060" s="10" t="inlineStr">
        <is>
          <t>上り</t>
        </is>
      </c>
      <c r="E3060" t="inlineStr">
        <is>
          <t>1460</t>
        </is>
      </c>
      <c r="F3060" t="inlineStr">
        <is>
          <t>0354</t>
        </is>
      </c>
      <c r="G3060" s="10" t="inlineStr">
        <is>
          <t>北野白梅町</t>
        </is>
      </c>
      <c r="H3060" s="10" t="inlineStr">
        <is>
          <t>着</t>
        </is>
      </c>
      <c r="J3060" s="10" t="inlineStr">
        <is>
          <t>営業</t>
        </is>
      </c>
      <c r="L3060" t="inlineStr">
        <is>
          <t>14:58:15</t>
        </is>
      </c>
      <c r="Q3060" t="inlineStr">
        <is>
          <t>1</t>
        </is>
      </c>
    </row>
    <row r="3061" ht="16.5" customHeight="1" s="37">
      <c r="A3061" t="n">
        <v>23</v>
      </c>
      <c r="B3061" s="10" t="inlineStr">
        <is>
          <t>休日</t>
        </is>
      </c>
      <c r="C3061" s="10" t="inlineStr">
        <is>
          <t>北野線</t>
        </is>
      </c>
      <c r="D3061" s="10" t="inlineStr">
        <is>
          <t>下り</t>
        </is>
      </c>
      <c r="E3061" t="inlineStr">
        <is>
          <t>1551</t>
        </is>
      </c>
      <c r="F3061" t="inlineStr">
        <is>
          <t>0453</t>
        </is>
      </c>
      <c r="G3061" s="10" t="inlineStr">
        <is>
          <t>北野白梅町</t>
        </is>
      </c>
      <c r="H3061" s="10" t="inlineStr">
        <is>
          <t>発</t>
        </is>
      </c>
      <c r="J3061" s="10" t="inlineStr">
        <is>
          <t>営業</t>
        </is>
      </c>
      <c r="M3061" t="inlineStr">
        <is>
          <t>15:03:00</t>
        </is>
      </c>
      <c r="Q3061" t="inlineStr">
        <is>
          <t>1</t>
        </is>
      </c>
    </row>
    <row r="3062" ht="16.5" customHeight="1" s="37">
      <c r="A3062" t="n">
        <v>23</v>
      </c>
      <c r="B3062" s="10" t="inlineStr">
        <is>
          <t>休日</t>
        </is>
      </c>
      <c r="C3062" s="10" t="inlineStr">
        <is>
          <t>北野線</t>
        </is>
      </c>
      <c r="D3062" s="10" t="inlineStr">
        <is>
          <t>下り</t>
        </is>
      </c>
      <c r="E3062" t="inlineStr">
        <is>
          <t>1551</t>
        </is>
      </c>
      <c r="F3062" t="inlineStr">
        <is>
          <t>0453</t>
        </is>
      </c>
      <c r="G3062" s="10" t="inlineStr">
        <is>
          <t>等持院</t>
        </is>
      </c>
      <c r="H3062" s="10" t="inlineStr">
        <is>
          <t>発</t>
        </is>
      </c>
      <c r="J3062" s="10" t="inlineStr">
        <is>
          <t>営業</t>
        </is>
      </c>
      <c r="L3062" t="inlineStr">
        <is>
          <t>15:04:25</t>
        </is>
      </c>
      <c r="M3062" t="inlineStr">
        <is>
          <t>15:04:35</t>
        </is>
      </c>
    </row>
    <row r="3063" ht="16.5" customHeight="1" s="37">
      <c r="A3063" t="n">
        <v>23</v>
      </c>
      <c r="B3063" s="10" t="inlineStr">
        <is>
          <t>休日</t>
        </is>
      </c>
      <c r="C3063" s="10" t="inlineStr">
        <is>
          <t>北野線</t>
        </is>
      </c>
      <c r="D3063" s="10" t="inlineStr">
        <is>
          <t>下り</t>
        </is>
      </c>
      <c r="E3063" t="inlineStr">
        <is>
          <t>1551</t>
        </is>
      </c>
      <c r="F3063" t="inlineStr">
        <is>
          <t>0453</t>
        </is>
      </c>
      <c r="G3063" s="10" t="inlineStr">
        <is>
          <t>龍安寺</t>
        </is>
      </c>
      <c r="H3063" s="10" t="inlineStr">
        <is>
          <t>発</t>
        </is>
      </c>
      <c r="J3063" s="10" t="inlineStr">
        <is>
          <t>営業</t>
        </is>
      </c>
      <c r="L3063" t="inlineStr">
        <is>
          <t>15:05:25</t>
        </is>
      </c>
      <c r="M3063" t="inlineStr">
        <is>
          <t>15:05:50</t>
        </is>
      </c>
    </row>
    <row r="3064" ht="16.5" customHeight="1" s="37">
      <c r="A3064" t="n">
        <v>23</v>
      </c>
      <c r="B3064" s="10" t="inlineStr">
        <is>
          <t>休日</t>
        </is>
      </c>
      <c r="C3064" s="10" t="inlineStr">
        <is>
          <t>北野線</t>
        </is>
      </c>
      <c r="D3064" s="10" t="inlineStr">
        <is>
          <t>下り</t>
        </is>
      </c>
      <c r="E3064" t="inlineStr">
        <is>
          <t>1551</t>
        </is>
      </c>
      <c r="F3064" t="inlineStr">
        <is>
          <t>0453</t>
        </is>
      </c>
      <c r="G3064" s="10" t="inlineStr">
        <is>
          <t>妙心寺</t>
        </is>
      </c>
      <c r="H3064" s="10" t="inlineStr">
        <is>
          <t>発</t>
        </is>
      </c>
      <c r="J3064" s="10" t="inlineStr">
        <is>
          <t>営業</t>
        </is>
      </c>
      <c r="L3064" t="inlineStr">
        <is>
          <t>15:06:40</t>
        </is>
      </c>
      <c r="M3064" t="inlineStr">
        <is>
          <t>15:06:50</t>
        </is>
      </c>
    </row>
    <row r="3065" ht="16.5" customHeight="1" s="37">
      <c r="A3065" t="n">
        <v>23</v>
      </c>
      <c r="B3065" s="10" t="inlineStr">
        <is>
          <t>休日</t>
        </is>
      </c>
      <c r="C3065" s="10" t="inlineStr">
        <is>
          <t>北野線</t>
        </is>
      </c>
      <c r="D3065" s="10" t="inlineStr">
        <is>
          <t>下り</t>
        </is>
      </c>
      <c r="E3065" t="inlineStr">
        <is>
          <t>1551</t>
        </is>
      </c>
      <c r="F3065" t="inlineStr">
        <is>
          <t>0453</t>
        </is>
      </c>
      <c r="G3065" s="10" t="inlineStr">
        <is>
          <t>御室仁和寺</t>
        </is>
      </c>
      <c r="H3065" s="10" t="inlineStr">
        <is>
          <t>発</t>
        </is>
      </c>
      <c r="J3065" s="10" t="inlineStr">
        <is>
          <t>営業</t>
        </is>
      </c>
      <c r="L3065" t="inlineStr">
        <is>
          <t>15:07:50</t>
        </is>
      </c>
      <c r="M3065" t="inlineStr">
        <is>
          <t>15:08:05</t>
        </is>
      </c>
    </row>
    <row r="3066" ht="16.5" customHeight="1" s="37">
      <c r="A3066" t="n">
        <v>23</v>
      </c>
      <c r="B3066" s="10" t="inlineStr">
        <is>
          <t>休日</t>
        </is>
      </c>
      <c r="C3066" s="10" t="inlineStr">
        <is>
          <t>北野線</t>
        </is>
      </c>
      <c r="D3066" s="10" t="inlineStr">
        <is>
          <t>下り</t>
        </is>
      </c>
      <c r="E3066" t="inlineStr">
        <is>
          <t>1551</t>
        </is>
      </c>
      <c r="F3066" t="inlineStr">
        <is>
          <t>0453</t>
        </is>
      </c>
      <c r="G3066" s="10" t="inlineStr">
        <is>
          <t>宇多野</t>
        </is>
      </c>
      <c r="H3066" s="10" t="inlineStr">
        <is>
          <t>発</t>
        </is>
      </c>
      <c r="J3066" s="10" t="inlineStr">
        <is>
          <t>営業</t>
        </is>
      </c>
      <c r="L3066" t="inlineStr">
        <is>
          <t>15:09:05</t>
        </is>
      </c>
      <c r="M3066" t="inlineStr">
        <is>
          <t>15:09:15</t>
        </is>
      </c>
    </row>
    <row r="3067" ht="16.5" customHeight="1" s="37">
      <c r="A3067" t="n">
        <v>23</v>
      </c>
      <c r="B3067" s="10" t="inlineStr">
        <is>
          <t>休日</t>
        </is>
      </c>
      <c r="C3067" s="10" t="inlineStr">
        <is>
          <t>北野線</t>
        </is>
      </c>
      <c r="D3067" s="10" t="inlineStr">
        <is>
          <t>下り</t>
        </is>
      </c>
      <c r="E3067" t="inlineStr">
        <is>
          <t>1551</t>
        </is>
      </c>
      <c r="F3067" t="inlineStr">
        <is>
          <t>0453</t>
        </is>
      </c>
      <c r="G3067" s="10" t="inlineStr">
        <is>
          <t>鳴滝</t>
        </is>
      </c>
      <c r="H3067" s="10" t="inlineStr">
        <is>
          <t>発</t>
        </is>
      </c>
      <c r="J3067" s="10" t="inlineStr">
        <is>
          <t>営業</t>
        </is>
      </c>
      <c r="L3067" t="inlineStr">
        <is>
          <t>15:10:35</t>
        </is>
      </c>
      <c r="M3067" t="inlineStr">
        <is>
          <t>15:10:45</t>
        </is>
      </c>
    </row>
    <row r="3068" ht="16.5" customHeight="1" s="37">
      <c r="A3068" t="n">
        <v>23</v>
      </c>
      <c r="B3068" s="10" t="inlineStr">
        <is>
          <t>休日</t>
        </is>
      </c>
      <c r="C3068" s="10" t="inlineStr">
        <is>
          <t>北野線</t>
        </is>
      </c>
      <c r="D3068" s="10" t="inlineStr">
        <is>
          <t>下り</t>
        </is>
      </c>
      <c r="E3068" t="inlineStr">
        <is>
          <t>1551</t>
        </is>
      </c>
      <c r="F3068" t="inlineStr">
        <is>
          <t>0453</t>
        </is>
      </c>
      <c r="G3068" s="10" t="inlineStr">
        <is>
          <t>常盤</t>
        </is>
      </c>
      <c r="H3068" s="10" t="inlineStr">
        <is>
          <t>発</t>
        </is>
      </c>
      <c r="J3068" s="10" t="inlineStr">
        <is>
          <t>営業</t>
        </is>
      </c>
      <c r="L3068" t="inlineStr">
        <is>
          <t>15:11:35</t>
        </is>
      </c>
      <c r="M3068" t="inlineStr">
        <is>
          <t>15:11:55</t>
        </is>
      </c>
    </row>
    <row r="3069" ht="16.5" customHeight="1" s="37">
      <c r="A3069" t="n">
        <v>23</v>
      </c>
      <c r="B3069" s="10" t="inlineStr">
        <is>
          <t>休日</t>
        </is>
      </c>
      <c r="C3069" s="10" t="inlineStr">
        <is>
          <t>北野線</t>
        </is>
      </c>
      <c r="D3069" s="10" t="inlineStr">
        <is>
          <t>下り</t>
        </is>
      </c>
      <c r="E3069" t="inlineStr">
        <is>
          <t>1551</t>
        </is>
      </c>
      <c r="F3069" t="inlineStr">
        <is>
          <t>0453</t>
        </is>
      </c>
      <c r="G3069" s="10" t="inlineStr">
        <is>
          <t>撮影所前</t>
        </is>
      </c>
      <c r="H3069" s="10" t="inlineStr">
        <is>
          <t>発</t>
        </is>
      </c>
      <c r="J3069" s="10" t="inlineStr">
        <is>
          <t>営業</t>
        </is>
      </c>
      <c r="L3069" t="inlineStr">
        <is>
          <t>15:13:15</t>
        </is>
      </c>
      <c r="M3069" t="inlineStr">
        <is>
          <t>15:13:30</t>
        </is>
      </c>
    </row>
    <row r="3070" ht="16.5" customHeight="1" s="37">
      <c r="A3070" t="n">
        <v>23</v>
      </c>
      <c r="B3070" s="10" t="inlineStr">
        <is>
          <t>休日</t>
        </is>
      </c>
      <c r="C3070" s="10" t="inlineStr">
        <is>
          <t>北野線</t>
        </is>
      </c>
      <c r="D3070" s="10" t="inlineStr">
        <is>
          <t>下り</t>
        </is>
      </c>
      <c r="E3070" t="inlineStr">
        <is>
          <t>1551</t>
        </is>
      </c>
      <c r="F3070" t="inlineStr">
        <is>
          <t>0453</t>
        </is>
      </c>
      <c r="G3070" s="10" t="inlineStr">
        <is>
          <t>帷子ノ辻</t>
        </is>
      </c>
      <c r="H3070" s="10" t="inlineStr">
        <is>
          <t>着</t>
        </is>
      </c>
      <c r="J3070" s="10" t="inlineStr">
        <is>
          <t>営業</t>
        </is>
      </c>
      <c r="L3070" t="inlineStr">
        <is>
          <t>15:14:25</t>
        </is>
      </c>
      <c r="Q3070" t="inlineStr">
        <is>
          <t>4</t>
        </is>
      </c>
    </row>
    <row r="3071" ht="16.5" customHeight="1" s="37">
      <c r="A3071" t="n">
        <v>23</v>
      </c>
      <c r="B3071" s="10" t="inlineStr">
        <is>
          <t>休日</t>
        </is>
      </c>
      <c r="C3071" s="10" t="inlineStr">
        <is>
          <t>北野線</t>
        </is>
      </c>
      <c r="D3071" s="10" t="inlineStr">
        <is>
          <t>上り</t>
        </is>
      </c>
      <c r="E3071" t="inlineStr">
        <is>
          <t>1556</t>
        </is>
      </c>
      <c r="F3071" t="inlineStr">
        <is>
          <t>0354</t>
        </is>
      </c>
      <c r="G3071" s="10" t="inlineStr">
        <is>
          <t>帷子ノ辻</t>
        </is>
      </c>
      <c r="H3071" s="10" t="inlineStr">
        <is>
          <t>発</t>
        </is>
      </c>
      <c r="J3071" s="10" t="inlineStr">
        <is>
          <t>営業</t>
        </is>
      </c>
      <c r="M3071" t="inlineStr">
        <is>
          <t>15:26:25</t>
        </is>
      </c>
      <c r="Q3071" t="inlineStr">
        <is>
          <t>4</t>
        </is>
      </c>
    </row>
    <row r="3072" ht="15" customHeight="1" s="37">
      <c r="A3072" t="n">
        <v>23</v>
      </c>
      <c r="B3072" s="10" t="inlineStr">
        <is>
          <t>休日</t>
        </is>
      </c>
      <c r="C3072" s="10" t="inlineStr">
        <is>
          <t>北野線</t>
        </is>
      </c>
      <c r="D3072" s="10" t="inlineStr">
        <is>
          <t>上り</t>
        </is>
      </c>
      <c r="E3072" t="inlineStr">
        <is>
          <t>1556</t>
        </is>
      </c>
      <c r="F3072" t="inlineStr">
        <is>
          <t>0354</t>
        </is>
      </c>
      <c r="G3072" s="10" t="inlineStr">
        <is>
          <t>撮影所前</t>
        </is>
      </c>
      <c r="H3072" s="10" t="inlineStr">
        <is>
          <t>発</t>
        </is>
      </c>
      <c r="J3072" s="10" t="inlineStr">
        <is>
          <t>営業</t>
        </is>
      </c>
      <c r="L3072" t="inlineStr">
        <is>
          <t>15:27:25</t>
        </is>
      </c>
      <c r="M3072" t="inlineStr">
        <is>
          <t>15:27:40</t>
        </is>
      </c>
    </row>
    <row r="3073" ht="15" customHeight="1" s="37">
      <c r="A3073" t="n">
        <v>23</v>
      </c>
      <c r="B3073" s="10" t="inlineStr">
        <is>
          <t>休日</t>
        </is>
      </c>
      <c r="C3073" s="10" t="inlineStr">
        <is>
          <t>北野線</t>
        </is>
      </c>
      <c r="D3073" s="10" t="inlineStr">
        <is>
          <t>上り</t>
        </is>
      </c>
      <c r="E3073" t="inlineStr">
        <is>
          <t>1556</t>
        </is>
      </c>
      <c r="F3073" t="inlineStr">
        <is>
          <t>0354</t>
        </is>
      </c>
      <c r="G3073" s="10" t="inlineStr">
        <is>
          <t>常盤</t>
        </is>
      </c>
      <c r="H3073" s="10" t="inlineStr">
        <is>
          <t>発</t>
        </is>
      </c>
      <c r="J3073" s="10" t="inlineStr">
        <is>
          <t>営業</t>
        </is>
      </c>
      <c r="L3073" t="inlineStr">
        <is>
          <t>15:29:00</t>
        </is>
      </c>
      <c r="M3073" t="inlineStr">
        <is>
          <t>15:29:20</t>
        </is>
      </c>
    </row>
    <row r="3074" ht="15" customHeight="1" s="37">
      <c r="A3074" t="n">
        <v>23</v>
      </c>
      <c r="B3074" s="10" t="inlineStr">
        <is>
          <t>休日</t>
        </is>
      </c>
      <c r="C3074" s="10" t="inlineStr">
        <is>
          <t>北野線</t>
        </is>
      </c>
      <c r="D3074" s="10" t="inlineStr">
        <is>
          <t>上り</t>
        </is>
      </c>
      <c r="E3074" t="inlineStr">
        <is>
          <t>1556</t>
        </is>
      </c>
      <c r="F3074" t="inlineStr">
        <is>
          <t>0354</t>
        </is>
      </c>
      <c r="G3074" s="10" t="inlineStr">
        <is>
          <t>鳴滝</t>
        </is>
      </c>
      <c r="H3074" s="10" t="inlineStr">
        <is>
          <t>発</t>
        </is>
      </c>
      <c r="J3074" s="10" t="inlineStr">
        <is>
          <t>営業</t>
        </is>
      </c>
      <c r="L3074" t="inlineStr">
        <is>
          <t>15:30:20</t>
        </is>
      </c>
      <c r="M3074" t="inlineStr">
        <is>
          <t>15:30:40</t>
        </is>
      </c>
    </row>
    <row r="3075" ht="15" customHeight="1" s="37">
      <c r="A3075" t="n">
        <v>23</v>
      </c>
      <c r="B3075" s="10" t="inlineStr">
        <is>
          <t>休日</t>
        </is>
      </c>
      <c r="C3075" s="10" t="inlineStr">
        <is>
          <t>北野線</t>
        </is>
      </c>
      <c r="D3075" s="10" t="inlineStr">
        <is>
          <t>上り</t>
        </is>
      </c>
      <c r="E3075" t="inlineStr">
        <is>
          <t>1556</t>
        </is>
      </c>
      <c r="F3075" t="inlineStr">
        <is>
          <t>0354</t>
        </is>
      </c>
      <c r="G3075" s="10" t="inlineStr">
        <is>
          <t>宇多野</t>
        </is>
      </c>
      <c r="H3075" s="10" t="inlineStr">
        <is>
          <t>発</t>
        </is>
      </c>
      <c r="J3075" s="10" t="inlineStr">
        <is>
          <t>営業</t>
        </is>
      </c>
      <c r="L3075" t="inlineStr">
        <is>
          <t>15:32:00</t>
        </is>
      </c>
      <c r="M3075" t="inlineStr">
        <is>
          <t>15:32:15</t>
        </is>
      </c>
    </row>
    <row r="3076" ht="15" customHeight="1" s="37">
      <c r="A3076" t="n">
        <v>23</v>
      </c>
      <c r="B3076" s="10" t="inlineStr">
        <is>
          <t>休日</t>
        </is>
      </c>
      <c r="C3076" s="10" t="inlineStr">
        <is>
          <t>北野線</t>
        </is>
      </c>
      <c r="D3076" s="10" t="inlineStr">
        <is>
          <t>上り</t>
        </is>
      </c>
      <c r="E3076" t="inlineStr">
        <is>
          <t>1556</t>
        </is>
      </c>
      <c r="F3076" t="inlineStr">
        <is>
          <t>0354</t>
        </is>
      </c>
      <c r="G3076" s="10" t="inlineStr">
        <is>
          <t>御室仁和寺</t>
        </is>
      </c>
      <c r="H3076" s="10" t="inlineStr">
        <is>
          <t>発</t>
        </is>
      </c>
      <c r="J3076" s="10" t="inlineStr">
        <is>
          <t>営業</t>
        </is>
      </c>
      <c r="L3076" t="inlineStr">
        <is>
          <t>15:33:15</t>
        </is>
      </c>
      <c r="M3076" t="inlineStr">
        <is>
          <t>15:33:35</t>
        </is>
      </c>
    </row>
    <row r="3077" ht="15" customHeight="1" s="37">
      <c r="A3077" t="n">
        <v>23</v>
      </c>
      <c r="B3077" s="10" t="inlineStr">
        <is>
          <t>休日</t>
        </is>
      </c>
      <c r="C3077" s="10" t="inlineStr">
        <is>
          <t>北野線</t>
        </is>
      </c>
      <c r="D3077" s="10" t="inlineStr">
        <is>
          <t>上り</t>
        </is>
      </c>
      <c r="E3077" t="inlineStr">
        <is>
          <t>1556</t>
        </is>
      </c>
      <c r="F3077" t="inlineStr">
        <is>
          <t>0354</t>
        </is>
      </c>
      <c r="G3077" s="10" t="inlineStr">
        <is>
          <t>妙心寺</t>
        </is>
      </c>
      <c r="H3077" s="10" t="inlineStr">
        <is>
          <t>発</t>
        </is>
      </c>
      <c r="J3077" s="10" t="inlineStr">
        <is>
          <t>営業</t>
        </is>
      </c>
      <c r="L3077" t="inlineStr">
        <is>
          <t>15:34:35</t>
        </is>
      </c>
      <c r="M3077" t="inlineStr">
        <is>
          <t>15:34:50</t>
        </is>
      </c>
    </row>
    <row r="3078" ht="15" customHeight="1" s="37">
      <c r="A3078" t="n">
        <v>23</v>
      </c>
      <c r="B3078" s="10" t="inlineStr">
        <is>
          <t>休日</t>
        </is>
      </c>
      <c r="C3078" s="10" t="inlineStr">
        <is>
          <t>北野線</t>
        </is>
      </c>
      <c r="D3078" s="10" t="inlineStr">
        <is>
          <t>上り</t>
        </is>
      </c>
      <c r="E3078" t="inlineStr">
        <is>
          <t>1556</t>
        </is>
      </c>
      <c r="F3078" t="inlineStr">
        <is>
          <t>0354</t>
        </is>
      </c>
      <c r="G3078" s="10" t="inlineStr">
        <is>
          <t>龍安寺</t>
        </is>
      </c>
      <c r="H3078" s="10" t="inlineStr">
        <is>
          <t>発</t>
        </is>
      </c>
      <c r="J3078" s="10" t="inlineStr">
        <is>
          <t>営業</t>
        </is>
      </c>
      <c r="L3078" t="inlineStr">
        <is>
          <t>15:35:45</t>
        </is>
      </c>
      <c r="M3078" t="inlineStr">
        <is>
          <t>15:35:55</t>
        </is>
      </c>
    </row>
    <row r="3079" ht="15" customHeight="1" s="37">
      <c r="A3079" t="n">
        <v>23</v>
      </c>
      <c r="B3079" s="10" t="inlineStr">
        <is>
          <t>休日</t>
        </is>
      </c>
      <c r="C3079" s="10" t="inlineStr">
        <is>
          <t>北野線</t>
        </is>
      </c>
      <c r="D3079" s="10" t="inlineStr">
        <is>
          <t>上り</t>
        </is>
      </c>
      <c r="E3079" t="inlineStr">
        <is>
          <t>1556</t>
        </is>
      </c>
      <c r="F3079" t="inlineStr">
        <is>
          <t>0354</t>
        </is>
      </c>
      <c r="G3079" s="10" t="inlineStr">
        <is>
          <t>等持院</t>
        </is>
      </c>
      <c r="H3079" s="10" t="inlineStr">
        <is>
          <t>発</t>
        </is>
      </c>
      <c r="J3079" s="10" t="inlineStr">
        <is>
          <t>営業</t>
        </is>
      </c>
      <c r="L3079" t="inlineStr">
        <is>
          <t>15:36:35</t>
        </is>
      </c>
      <c r="M3079" t="inlineStr">
        <is>
          <t>15:36:55</t>
        </is>
      </c>
    </row>
    <row r="3080" ht="15" customHeight="1" s="37">
      <c r="A3080" t="n">
        <v>23</v>
      </c>
      <c r="B3080" s="10" t="inlineStr">
        <is>
          <t>休日</t>
        </is>
      </c>
      <c r="C3080" s="10" t="inlineStr">
        <is>
          <t>北野線</t>
        </is>
      </c>
      <c r="D3080" s="10" t="inlineStr">
        <is>
          <t>上り</t>
        </is>
      </c>
      <c r="E3080" t="inlineStr">
        <is>
          <t>1556</t>
        </is>
      </c>
      <c r="F3080" t="inlineStr">
        <is>
          <t>0354</t>
        </is>
      </c>
      <c r="G3080" s="10" t="inlineStr">
        <is>
          <t>北野白梅町</t>
        </is>
      </c>
      <c r="H3080" s="10" t="inlineStr">
        <is>
          <t>着</t>
        </is>
      </c>
      <c r="J3080" s="10" t="inlineStr">
        <is>
          <t>営業</t>
        </is>
      </c>
      <c r="L3080" t="inlineStr">
        <is>
          <t>15:38:15</t>
        </is>
      </c>
      <c r="Q3080" t="inlineStr">
        <is>
          <t>1</t>
        </is>
      </c>
    </row>
    <row r="3081" ht="15" customHeight="1" s="37">
      <c r="A3081" t="n">
        <v>23</v>
      </c>
      <c r="B3081" s="10" t="inlineStr">
        <is>
          <t>休日</t>
        </is>
      </c>
      <c r="C3081" s="10" t="inlineStr">
        <is>
          <t>北野線</t>
        </is>
      </c>
      <c r="D3081" s="10" t="inlineStr">
        <is>
          <t>下り</t>
        </is>
      </c>
      <c r="E3081" t="inlineStr">
        <is>
          <t>1559</t>
        </is>
      </c>
      <c r="F3081" t="inlineStr">
        <is>
          <t>0453</t>
        </is>
      </c>
      <c r="G3081" s="10" t="inlineStr">
        <is>
          <t>北野白梅町</t>
        </is>
      </c>
      <c r="H3081" s="10" t="inlineStr">
        <is>
          <t>発</t>
        </is>
      </c>
      <c r="J3081" s="10" t="inlineStr">
        <is>
          <t>営業</t>
        </is>
      </c>
      <c r="M3081" t="inlineStr">
        <is>
          <t>15:43:00</t>
        </is>
      </c>
      <c r="Q3081" t="inlineStr">
        <is>
          <t>1</t>
        </is>
      </c>
    </row>
    <row r="3082" ht="15" customHeight="1" s="37">
      <c r="A3082" t="n">
        <v>23</v>
      </c>
      <c r="B3082" s="10" t="inlineStr">
        <is>
          <t>休日</t>
        </is>
      </c>
      <c r="C3082" s="10" t="inlineStr">
        <is>
          <t>北野線</t>
        </is>
      </c>
      <c r="D3082" s="10" t="inlineStr">
        <is>
          <t>下り</t>
        </is>
      </c>
      <c r="E3082" t="inlineStr">
        <is>
          <t>1559</t>
        </is>
      </c>
      <c r="F3082" t="inlineStr">
        <is>
          <t>0453</t>
        </is>
      </c>
      <c r="G3082" s="10" t="inlineStr">
        <is>
          <t>等持院</t>
        </is>
      </c>
      <c r="H3082" s="10" t="inlineStr">
        <is>
          <t>発</t>
        </is>
      </c>
      <c r="J3082" s="10" t="inlineStr">
        <is>
          <t>営業</t>
        </is>
      </c>
      <c r="L3082" t="inlineStr">
        <is>
          <t>15:44:25</t>
        </is>
      </c>
      <c r="M3082" t="inlineStr">
        <is>
          <t>15:44:35</t>
        </is>
      </c>
    </row>
    <row r="3083" ht="15" customHeight="1" s="37">
      <c r="A3083" t="n">
        <v>23</v>
      </c>
      <c r="B3083" s="10" t="inlineStr">
        <is>
          <t>休日</t>
        </is>
      </c>
      <c r="C3083" s="10" t="inlineStr">
        <is>
          <t>北野線</t>
        </is>
      </c>
      <c r="D3083" s="10" t="inlineStr">
        <is>
          <t>下り</t>
        </is>
      </c>
      <c r="E3083" t="inlineStr">
        <is>
          <t>1559</t>
        </is>
      </c>
      <c r="F3083" t="inlineStr">
        <is>
          <t>0453</t>
        </is>
      </c>
      <c r="G3083" s="10" t="inlineStr">
        <is>
          <t>龍安寺</t>
        </is>
      </c>
      <c r="H3083" s="10" t="inlineStr">
        <is>
          <t>発</t>
        </is>
      </c>
      <c r="J3083" s="10" t="inlineStr">
        <is>
          <t>営業</t>
        </is>
      </c>
      <c r="L3083" t="inlineStr">
        <is>
          <t>15:45:25</t>
        </is>
      </c>
      <c r="M3083" t="inlineStr">
        <is>
          <t>15:45:50</t>
        </is>
      </c>
    </row>
    <row r="3084" ht="15" customHeight="1" s="37">
      <c r="A3084" t="n">
        <v>23</v>
      </c>
      <c r="B3084" s="10" t="inlineStr">
        <is>
          <t>休日</t>
        </is>
      </c>
      <c r="C3084" s="10" t="inlineStr">
        <is>
          <t>北野線</t>
        </is>
      </c>
      <c r="D3084" s="10" t="inlineStr">
        <is>
          <t>下り</t>
        </is>
      </c>
      <c r="E3084" t="inlineStr">
        <is>
          <t>1559</t>
        </is>
      </c>
      <c r="F3084" t="inlineStr">
        <is>
          <t>0453</t>
        </is>
      </c>
      <c r="G3084" s="10" t="inlineStr">
        <is>
          <t>妙心寺</t>
        </is>
      </c>
      <c r="H3084" s="10" t="inlineStr">
        <is>
          <t>発</t>
        </is>
      </c>
      <c r="J3084" s="10" t="inlineStr">
        <is>
          <t>営業</t>
        </is>
      </c>
      <c r="L3084" t="inlineStr">
        <is>
          <t>15:46:40</t>
        </is>
      </c>
      <c r="M3084" t="inlineStr">
        <is>
          <t>15:46:50</t>
        </is>
      </c>
    </row>
    <row r="3085" ht="15" customHeight="1" s="37">
      <c r="A3085" t="n">
        <v>23</v>
      </c>
      <c r="B3085" s="10" t="inlineStr">
        <is>
          <t>休日</t>
        </is>
      </c>
      <c r="C3085" s="10" t="inlineStr">
        <is>
          <t>北野線</t>
        </is>
      </c>
      <c r="D3085" s="10" t="inlineStr">
        <is>
          <t>下り</t>
        </is>
      </c>
      <c r="E3085" t="inlineStr">
        <is>
          <t>1559</t>
        </is>
      </c>
      <c r="F3085" t="inlineStr">
        <is>
          <t>0453</t>
        </is>
      </c>
      <c r="G3085" s="10" t="inlineStr">
        <is>
          <t>御室仁和寺</t>
        </is>
      </c>
      <c r="H3085" s="10" t="inlineStr">
        <is>
          <t>発</t>
        </is>
      </c>
      <c r="J3085" s="10" t="inlineStr">
        <is>
          <t>営業</t>
        </is>
      </c>
      <c r="L3085" t="inlineStr">
        <is>
          <t>15:47:50</t>
        </is>
      </c>
      <c r="M3085" t="inlineStr">
        <is>
          <t>15:48:05</t>
        </is>
      </c>
    </row>
    <row r="3086" ht="15" customHeight="1" s="37">
      <c r="A3086" t="n">
        <v>23</v>
      </c>
      <c r="B3086" s="10" t="inlineStr">
        <is>
          <t>休日</t>
        </is>
      </c>
      <c r="C3086" s="10" t="inlineStr">
        <is>
          <t>北野線</t>
        </is>
      </c>
      <c r="D3086" s="10" t="inlineStr">
        <is>
          <t>下り</t>
        </is>
      </c>
      <c r="E3086" t="inlineStr">
        <is>
          <t>1559</t>
        </is>
      </c>
      <c r="F3086" t="inlineStr">
        <is>
          <t>0453</t>
        </is>
      </c>
      <c r="G3086" s="10" t="inlineStr">
        <is>
          <t>宇多野</t>
        </is>
      </c>
      <c r="H3086" s="10" t="inlineStr">
        <is>
          <t>発</t>
        </is>
      </c>
      <c r="J3086" s="10" t="inlineStr">
        <is>
          <t>営業</t>
        </is>
      </c>
      <c r="L3086" t="inlineStr">
        <is>
          <t>15:49:05</t>
        </is>
      </c>
      <c r="M3086" t="inlineStr">
        <is>
          <t>15:49:15</t>
        </is>
      </c>
    </row>
    <row r="3087" ht="15" customHeight="1" s="37">
      <c r="A3087" t="n">
        <v>23</v>
      </c>
      <c r="B3087" s="10" t="inlineStr">
        <is>
          <t>休日</t>
        </is>
      </c>
      <c r="C3087" s="10" t="inlineStr">
        <is>
          <t>北野線</t>
        </is>
      </c>
      <c r="D3087" s="10" t="inlineStr">
        <is>
          <t>下り</t>
        </is>
      </c>
      <c r="E3087" t="inlineStr">
        <is>
          <t>1559</t>
        </is>
      </c>
      <c r="F3087" t="inlineStr">
        <is>
          <t>0453</t>
        </is>
      </c>
      <c r="G3087" s="10" t="inlineStr">
        <is>
          <t>鳴滝</t>
        </is>
      </c>
      <c r="H3087" s="10" t="inlineStr">
        <is>
          <t>発</t>
        </is>
      </c>
      <c r="J3087" s="10" t="inlineStr">
        <is>
          <t>営業</t>
        </is>
      </c>
      <c r="L3087" t="inlineStr">
        <is>
          <t>15:50:35</t>
        </is>
      </c>
      <c r="M3087" t="inlineStr">
        <is>
          <t>15:50:45</t>
        </is>
      </c>
    </row>
    <row r="3088" ht="15" customHeight="1" s="37">
      <c r="A3088" t="n">
        <v>23</v>
      </c>
      <c r="B3088" s="10" t="inlineStr">
        <is>
          <t>休日</t>
        </is>
      </c>
      <c r="C3088" s="10" t="inlineStr">
        <is>
          <t>北野線</t>
        </is>
      </c>
      <c r="D3088" s="10" t="inlineStr">
        <is>
          <t>下り</t>
        </is>
      </c>
      <c r="E3088" t="inlineStr">
        <is>
          <t>1559</t>
        </is>
      </c>
      <c r="F3088" t="inlineStr">
        <is>
          <t>0453</t>
        </is>
      </c>
      <c r="G3088" s="10" t="inlineStr">
        <is>
          <t>常盤</t>
        </is>
      </c>
      <c r="H3088" s="10" t="inlineStr">
        <is>
          <t>発</t>
        </is>
      </c>
      <c r="J3088" s="10" t="inlineStr">
        <is>
          <t>営業</t>
        </is>
      </c>
      <c r="L3088" t="inlineStr">
        <is>
          <t>15:51:35</t>
        </is>
      </c>
      <c r="M3088" t="inlineStr">
        <is>
          <t>15:51:55</t>
        </is>
      </c>
    </row>
    <row r="3089" ht="15" customHeight="1" s="37">
      <c r="A3089" t="n">
        <v>23</v>
      </c>
      <c r="B3089" s="10" t="inlineStr">
        <is>
          <t>休日</t>
        </is>
      </c>
      <c r="C3089" s="10" t="inlineStr">
        <is>
          <t>北野線</t>
        </is>
      </c>
      <c r="D3089" s="10" t="inlineStr">
        <is>
          <t>下り</t>
        </is>
      </c>
      <c r="E3089" t="inlineStr">
        <is>
          <t>1559</t>
        </is>
      </c>
      <c r="F3089" t="inlineStr">
        <is>
          <t>0453</t>
        </is>
      </c>
      <c r="G3089" s="10" t="inlineStr">
        <is>
          <t>撮影所前</t>
        </is>
      </c>
      <c r="H3089" s="10" t="inlineStr">
        <is>
          <t>発</t>
        </is>
      </c>
      <c r="J3089" s="10" t="inlineStr">
        <is>
          <t>営業</t>
        </is>
      </c>
      <c r="L3089" t="inlineStr">
        <is>
          <t>15:53:15</t>
        </is>
      </c>
      <c r="M3089" t="inlineStr">
        <is>
          <t>15:53:30</t>
        </is>
      </c>
    </row>
    <row r="3090" ht="15" customHeight="1" s="37">
      <c r="A3090" t="n">
        <v>23</v>
      </c>
      <c r="B3090" s="10" t="inlineStr">
        <is>
          <t>休日</t>
        </is>
      </c>
      <c r="C3090" s="10" t="inlineStr">
        <is>
          <t>北野線</t>
        </is>
      </c>
      <c r="D3090" s="10" t="inlineStr">
        <is>
          <t>下り</t>
        </is>
      </c>
      <c r="E3090" t="inlineStr">
        <is>
          <t>1559</t>
        </is>
      </c>
      <c r="F3090" t="inlineStr">
        <is>
          <t>0453</t>
        </is>
      </c>
      <c r="G3090" s="10" t="inlineStr">
        <is>
          <t>帷子ノ辻</t>
        </is>
      </c>
      <c r="H3090" s="10" t="inlineStr">
        <is>
          <t>着</t>
        </is>
      </c>
      <c r="J3090" s="10" t="inlineStr">
        <is>
          <t>営業</t>
        </is>
      </c>
      <c r="L3090" t="inlineStr">
        <is>
          <t>15:54:25</t>
        </is>
      </c>
      <c r="Q3090" t="inlineStr">
        <is>
          <t>4</t>
        </is>
      </c>
    </row>
    <row r="3091" ht="15" customHeight="1" s="37">
      <c r="A3091" t="n">
        <v>23</v>
      </c>
      <c r="B3091" s="10" t="inlineStr">
        <is>
          <t>休日</t>
        </is>
      </c>
      <c r="C3091" s="10" t="inlineStr">
        <is>
          <t>北野線</t>
        </is>
      </c>
      <c r="D3091" s="10" t="inlineStr">
        <is>
          <t>上り</t>
        </is>
      </c>
      <c r="E3091" t="inlineStr">
        <is>
          <t>1652</t>
        </is>
      </c>
      <c r="F3091" t="inlineStr">
        <is>
          <t>0354</t>
        </is>
      </c>
      <c r="G3091" s="10" t="inlineStr">
        <is>
          <t>帷子ノ辻</t>
        </is>
      </c>
      <c r="H3091" s="10" t="inlineStr">
        <is>
          <t>発</t>
        </is>
      </c>
      <c r="J3091" s="10" t="inlineStr">
        <is>
          <t>営業</t>
        </is>
      </c>
      <c r="M3091" t="inlineStr">
        <is>
          <t>16:06:25</t>
        </is>
      </c>
      <c r="Q3091" t="inlineStr">
        <is>
          <t>4</t>
        </is>
      </c>
    </row>
    <row r="3092" ht="15" customHeight="1" s="37">
      <c r="A3092" t="n">
        <v>23</v>
      </c>
      <c r="B3092" s="10" t="inlineStr">
        <is>
          <t>休日</t>
        </is>
      </c>
      <c r="C3092" s="10" t="inlineStr">
        <is>
          <t>北野線</t>
        </is>
      </c>
      <c r="D3092" s="10" t="inlineStr">
        <is>
          <t>上り</t>
        </is>
      </c>
      <c r="E3092" t="inlineStr">
        <is>
          <t>1652</t>
        </is>
      </c>
      <c r="F3092" t="inlineStr">
        <is>
          <t>0354</t>
        </is>
      </c>
      <c r="G3092" s="10" t="inlineStr">
        <is>
          <t>撮影所前</t>
        </is>
      </c>
      <c r="H3092" s="10" t="inlineStr">
        <is>
          <t>発</t>
        </is>
      </c>
      <c r="J3092" s="10" t="inlineStr">
        <is>
          <t>営業</t>
        </is>
      </c>
      <c r="L3092" t="inlineStr">
        <is>
          <t>16:07:25</t>
        </is>
      </c>
      <c r="M3092" t="inlineStr">
        <is>
          <t>16:07:40</t>
        </is>
      </c>
    </row>
    <row r="3093" ht="15" customHeight="1" s="37">
      <c r="A3093" t="n">
        <v>23</v>
      </c>
      <c r="B3093" s="10" t="inlineStr">
        <is>
          <t>休日</t>
        </is>
      </c>
      <c r="C3093" s="10" t="inlineStr">
        <is>
          <t>北野線</t>
        </is>
      </c>
      <c r="D3093" s="10" t="inlineStr">
        <is>
          <t>上り</t>
        </is>
      </c>
      <c r="E3093" t="inlineStr">
        <is>
          <t>1652</t>
        </is>
      </c>
      <c r="F3093" t="inlineStr">
        <is>
          <t>0354</t>
        </is>
      </c>
      <c r="G3093" s="10" t="inlineStr">
        <is>
          <t>常盤</t>
        </is>
      </c>
      <c r="H3093" s="10" t="inlineStr">
        <is>
          <t>発</t>
        </is>
      </c>
      <c r="J3093" s="10" t="inlineStr">
        <is>
          <t>営業</t>
        </is>
      </c>
      <c r="L3093" t="inlineStr">
        <is>
          <t>16:09:00</t>
        </is>
      </c>
      <c r="M3093" t="inlineStr">
        <is>
          <t>16:09:20</t>
        </is>
      </c>
    </row>
    <row r="3094" ht="15" customHeight="1" s="37">
      <c r="A3094" t="n">
        <v>23</v>
      </c>
      <c r="B3094" s="10" t="inlineStr">
        <is>
          <t>休日</t>
        </is>
      </c>
      <c r="C3094" s="10" t="inlineStr">
        <is>
          <t>北野線</t>
        </is>
      </c>
      <c r="D3094" s="10" t="inlineStr">
        <is>
          <t>上り</t>
        </is>
      </c>
      <c r="E3094" t="inlineStr">
        <is>
          <t>1652</t>
        </is>
      </c>
      <c r="F3094" t="inlineStr">
        <is>
          <t>0354</t>
        </is>
      </c>
      <c r="G3094" s="10" t="inlineStr">
        <is>
          <t>鳴滝</t>
        </is>
      </c>
      <c r="H3094" s="10" t="inlineStr">
        <is>
          <t>発</t>
        </is>
      </c>
      <c r="J3094" s="10" t="inlineStr">
        <is>
          <t>営業</t>
        </is>
      </c>
      <c r="L3094" t="inlineStr">
        <is>
          <t>16:10:20</t>
        </is>
      </c>
      <c r="M3094" t="inlineStr">
        <is>
          <t>16:10:40</t>
        </is>
      </c>
    </row>
    <row r="3095" ht="15" customHeight="1" s="37">
      <c r="A3095" t="n">
        <v>23</v>
      </c>
      <c r="B3095" s="10" t="inlineStr">
        <is>
          <t>休日</t>
        </is>
      </c>
      <c r="C3095" s="10" t="inlineStr">
        <is>
          <t>北野線</t>
        </is>
      </c>
      <c r="D3095" s="10" t="inlineStr">
        <is>
          <t>上り</t>
        </is>
      </c>
      <c r="E3095" t="inlineStr">
        <is>
          <t>1652</t>
        </is>
      </c>
      <c r="F3095" t="inlineStr">
        <is>
          <t>0354</t>
        </is>
      </c>
      <c r="G3095" s="10" t="inlineStr">
        <is>
          <t>宇多野</t>
        </is>
      </c>
      <c r="H3095" s="10" t="inlineStr">
        <is>
          <t>発</t>
        </is>
      </c>
      <c r="J3095" s="10" t="inlineStr">
        <is>
          <t>営業</t>
        </is>
      </c>
      <c r="L3095" t="inlineStr">
        <is>
          <t>16:12:00</t>
        </is>
      </c>
      <c r="M3095" t="inlineStr">
        <is>
          <t>16:12:15</t>
        </is>
      </c>
    </row>
    <row r="3096" ht="15" customHeight="1" s="37">
      <c r="A3096" t="n">
        <v>23</v>
      </c>
      <c r="B3096" s="10" t="inlineStr">
        <is>
          <t>休日</t>
        </is>
      </c>
      <c r="C3096" s="10" t="inlineStr">
        <is>
          <t>北野線</t>
        </is>
      </c>
      <c r="D3096" s="10" t="inlineStr">
        <is>
          <t>上り</t>
        </is>
      </c>
      <c r="E3096" t="inlineStr">
        <is>
          <t>1652</t>
        </is>
      </c>
      <c r="F3096" t="inlineStr">
        <is>
          <t>0354</t>
        </is>
      </c>
      <c r="G3096" s="10" t="inlineStr">
        <is>
          <t>御室仁和寺</t>
        </is>
      </c>
      <c r="H3096" s="10" t="inlineStr">
        <is>
          <t>発</t>
        </is>
      </c>
      <c r="J3096" s="10" t="inlineStr">
        <is>
          <t>営業</t>
        </is>
      </c>
      <c r="L3096" t="inlineStr">
        <is>
          <t>16:13:15</t>
        </is>
      </c>
      <c r="M3096" t="inlineStr">
        <is>
          <t>16:13:35</t>
        </is>
      </c>
    </row>
    <row r="3097" ht="15" customHeight="1" s="37">
      <c r="A3097" t="n">
        <v>23</v>
      </c>
      <c r="B3097" s="10" t="inlineStr">
        <is>
          <t>休日</t>
        </is>
      </c>
      <c r="C3097" s="10" t="inlineStr">
        <is>
          <t>北野線</t>
        </is>
      </c>
      <c r="D3097" s="10" t="inlineStr">
        <is>
          <t>上り</t>
        </is>
      </c>
      <c r="E3097" t="inlineStr">
        <is>
          <t>1652</t>
        </is>
      </c>
      <c r="F3097" t="inlineStr">
        <is>
          <t>0354</t>
        </is>
      </c>
      <c r="G3097" s="10" t="inlineStr">
        <is>
          <t>妙心寺</t>
        </is>
      </c>
      <c r="H3097" s="10" t="inlineStr">
        <is>
          <t>発</t>
        </is>
      </c>
      <c r="J3097" s="10" t="inlineStr">
        <is>
          <t>営業</t>
        </is>
      </c>
      <c r="L3097" t="inlineStr">
        <is>
          <t>16:14:35</t>
        </is>
      </c>
      <c r="M3097" t="inlineStr">
        <is>
          <t>16:14:50</t>
        </is>
      </c>
    </row>
    <row r="3098" ht="15" customHeight="1" s="37">
      <c r="A3098" t="n">
        <v>23</v>
      </c>
      <c r="B3098" s="10" t="inlineStr">
        <is>
          <t>休日</t>
        </is>
      </c>
      <c r="C3098" s="10" t="inlineStr">
        <is>
          <t>北野線</t>
        </is>
      </c>
      <c r="D3098" s="10" t="inlineStr">
        <is>
          <t>上り</t>
        </is>
      </c>
      <c r="E3098" t="inlineStr">
        <is>
          <t>1652</t>
        </is>
      </c>
      <c r="F3098" t="inlineStr">
        <is>
          <t>0354</t>
        </is>
      </c>
      <c r="G3098" s="10" t="inlineStr">
        <is>
          <t>龍安寺</t>
        </is>
      </c>
      <c r="H3098" s="10" t="inlineStr">
        <is>
          <t>発</t>
        </is>
      </c>
      <c r="J3098" s="10" t="inlineStr">
        <is>
          <t>営業</t>
        </is>
      </c>
      <c r="L3098" t="inlineStr">
        <is>
          <t>16:15:45</t>
        </is>
      </c>
      <c r="M3098" t="inlineStr">
        <is>
          <t>16:15:55</t>
        </is>
      </c>
    </row>
    <row r="3099" ht="15" customHeight="1" s="37">
      <c r="A3099" t="n">
        <v>23</v>
      </c>
      <c r="B3099" s="10" t="inlineStr">
        <is>
          <t>休日</t>
        </is>
      </c>
      <c r="C3099" s="10" t="inlineStr">
        <is>
          <t>北野線</t>
        </is>
      </c>
      <c r="D3099" s="10" t="inlineStr">
        <is>
          <t>上り</t>
        </is>
      </c>
      <c r="E3099" t="inlineStr">
        <is>
          <t>1652</t>
        </is>
      </c>
      <c r="F3099" t="inlineStr">
        <is>
          <t>0354</t>
        </is>
      </c>
      <c r="G3099" s="10" t="inlineStr">
        <is>
          <t>等持院</t>
        </is>
      </c>
      <c r="H3099" s="10" t="inlineStr">
        <is>
          <t>発</t>
        </is>
      </c>
      <c r="J3099" s="10" t="inlineStr">
        <is>
          <t>営業</t>
        </is>
      </c>
      <c r="L3099" t="inlineStr">
        <is>
          <t>16:16:35</t>
        </is>
      </c>
      <c r="M3099" t="inlineStr">
        <is>
          <t>16:16:55</t>
        </is>
      </c>
    </row>
    <row r="3100" ht="15" customHeight="1" s="37">
      <c r="A3100" t="n">
        <v>23</v>
      </c>
      <c r="B3100" s="10" t="inlineStr">
        <is>
          <t>休日</t>
        </is>
      </c>
      <c r="C3100" s="10" t="inlineStr">
        <is>
          <t>北野線</t>
        </is>
      </c>
      <c r="D3100" s="10" t="inlineStr">
        <is>
          <t>上り</t>
        </is>
      </c>
      <c r="E3100" t="inlineStr">
        <is>
          <t>1652</t>
        </is>
      </c>
      <c r="F3100" t="inlineStr">
        <is>
          <t>0354</t>
        </is>
      </c>
      <c r="G3100" s="10" t="inlineStr">
        <is>
          <t>北野白梅町</t>
        </is>
      </c>
      <c r="H3100" s="10" t="inlineStr">
        <is>
          <t>着</t>
        </is>
      </c>
      <c r="J3100" s="10" t="inlineStr">
        <is>
          <t>営業</t>
        </is>
      </c>
      <c r="L3100" t="inlineStr">
        <is>
          <t>16:18:15</t>
        </is>
      </c>
      <c r="Q3100" t="inlineStr">
        <is>
          <t>1</t>
        </is>
      </c>
    </row>
    <row r="3101" ht="15" customHeight="1" s="37">
      <c r="A3101" t="n">
        <v>23</v>
      </c>
      <c r="B3101" s="10" t="inlineStr">
        <is>
          <t>休日</t>
        </is>
      </c>
      <c r="C3101" s="10" t="inlineStr">
        <is>
          <t>北野線</t>
        </is>
      </c>
      <c r="D3101" s="10" t="inlineStr">
        <is>
          <t>下り</t>
        </is>
      </c>
      <c r="E3101" t="inlineStr">
        <is>
          <t>1655</t>
        </is>
      </c>
      <c r="F3101" t="inlineStr">
        <is>
          <t>0453</t>
        </is>
      </c>
      <c r="G3101" s="10" t="inlineStr">
        <is>
          <t>北野白梅町</t>
        </is>
      </c>
      <c r="H3101" s="10" t="inlineStr">
        <is>
          <t>発</t>
        </is>
      </c>
      <c r="J3101" s="10" t="inlineStr">
        <is>
          <t>営業</t>
        </is>
      </c>
      <c r="M3101" t="inlineStr">
        <is>
          <t>16:23:00</t>
        </is>
      </c>
      <c r="Q3101" t="inlineStr">
        <is>
          <t>1</t>
        </is>
      </c>
    </row>
    <row r="3102" ht="15" customHeight="1" s="37">
      <c r="A3102" t="n">
        <v>23</v>
      </c>
      <c r="B3102" s="10" t="inlineStr">
        <is>
          <t>休日</t>
        </is>
      </c>
      <c r="C3102" s="10" t="inlineStr">
        <is>
          <t>北野線</t>
        </is>
      </c>
      <c r="D3102" s="10" t="inlineStr">
        <is>
          <t>下り</t>
        </is>
      </c>
      <c r="E3102" t="inlineStr">
        <is>
          <t>1655</t>
        </is>
      </c>
      <c r="F3102" t="inlineStr">
        <is>
          <t>0453</t>
        </is>
      </c>
      <c r="G3102" s="10" t="inlineStr">
        <is>
          <t>等持院</t>
        </is>
      </c>
      <c r="H3102" s="10" t="inlineStr">
        <is>
          <t>発</t>
        </is>
      </c>
      <c r="J3102" s="10" t="inlineStr">
        <is>
          <t>営業</t>
        </is>
      </c>
      <c r="L3102" t="inlineStr">
        <is>
          <t>16:24:25</t>
        </is>
      </c>
      <c r="M3102" t="inlineStr">
        <is>
          <t>16:24:35</t>
        </is>
      </c>
    </row>
    <row r="3103" ht="15" customHeight="1" s="37">
      <c r="A3103" t="n">
        <v>23</v>
      </c>
      <c r="B3103" s="10" t="inlineStr">
        <is>
          <t>休日</t>
        </is>
      </c>
      <c r="C3103" s="10" t="inlineStr">
        <is>
          <t>北野線</t>
        </is>
      </c>
      <c r="D3103" s="10" t="inlineStr">
        <is>
          <t>下り</t>
        </is>
      </c>
      <c r="E3103" t="inlineStr">
        <is>
          <t>1655</t>
        </is>
      </c>
      <c r="F3103" t="inlineStr">
        <is>
          <t>0453</t>
        </is>
      </c>
      <c r="G3103" s="10" t="inlineStr">
        <is>
          <t>龍安寺</t>
        </is>
      </c>
      <c r="H3103" s="10" t="inlineStr">
        <is>
          <t>発</t>
        </is>
      </c>
      <c r="J3103" s="10" t="inlineStr">
        <is>
          <t>営業</t>
        </is>
      </c>
      <c r="L3103" t="inlineStr">
        <is>
          <t>16:25:25</t>
        </is>
      </c>
      <c r="M3103" t="inlineStr">
        <is>
          <t>16:25:50</t>
        </is>
      </c>
    </row>
    <row r="3104" ht="15" customHeight="1" s="37">
      <c r="A3104" t="n">
        <v>23</v>
      </c>
      <c r="B3104" s="10" t="inlineStr">
        <is>
          <t>休日</t>
        </is>
      </c>
      <c r="C3104" s="10" t="inlineStr">
        <is>
          <t>北野線</t>
        </is>
      </c>
      <c r="D3104" s="10" t="inlineStr">
        <is>
          <t>下り</t>
        </is>
      </c>
      <c r="E3104" t="inlineStr">
        <is>
          <t>1655</t>
        </is>
      </c>
      <c r="F3104" t="inlineStr">
        <is>
          <t>0453</t>
        </is>
      </c>
      <c r="G3104" s="10" t="inlineStr">
        <is>
          <t>妙心寺</t>
        </is>
      </c>
      <c r="H3104" s="10" t="inlineStr">
        <is>
          <t>発</t>
        </is>
      </c>
      <c r="J3104" s="10" t="inlineStr">
        <is>
          <t>営業</t>
        </is>
      </c>
      <c r="L3104" t="inlineStr">
        <is>
          <t>16:26:40</t>
        </is>
      </c>
      <c r="M3104" t="inlineStr">
        <is>
          <t>16:26:50</t>
        </is>
      </c>
    </row>
    <row r="3105" ht="15" customHeight="1" s="37">
      <c r="A3105" t="n">
        <v>23</v>
      </c>
      <c r="B3105" s="10" t="inlineStr">
        <is>
          <t>休日</t>
        </is>
      </c>
      <c r="C3105" s="10" t="inlineStr">
        <is>
          <t>北野線</t>
        </is>
      </c>
      <c r="D3105" s="10" t="inlineStr">
        <is>
          <t>下り</t>
        </is>
      </c>
      <c r="E3105" t="inlineStr">
        <is>
          <t>1655</t>
        </is>
      </c>
      <c r="F3105" t="inlineStr">
        <is>
          <t>0453</t>
        </is>
      </c>
      <c r="G3105" s="10" t="inlineStr">
        <is>
          <t>御室仁和寺</t>
        </is>
      </c>
      <c r="H3105" s="10" t="inlineStr">
        <is>
          <t>発</t>
        </is>
      </c>
      <c r="J3105" s="10" t="inlineStr">
        <is>
          <t>営業</t>
        </is>
      </c>
      <c r="L3105" t="inlineStr">
        <is>
          <t>16:27:50</t>
        </is>
      </c>
      <c r="M3105" t="inlineStr">
        <is>
          <t>16:28:05</t>
        </is>
      </c>
    </row>
    <row r="3106" ht="15" customHeight="1" s="37">
      <c r="A3106" t="n">
        <v>23</v>
      </c>
      <c r="B3106" s="10" t="inlineStr">
        <is>
          <t>休日</t>
        </is>
      </c>
      <c r="C3106" s="10" t="inlineStr">
        <is>
          <t>北野線</t>
        </is>
      </c>
      <c r="D3106" s="10" t="inlineStr">
        <is>
          <t>下り</t>
        </is>
      </c>
      <c r="E3106" t="inlineStr">
        <is>
          <t>1655</t>
        </is>
      </c>
      <c r="F3106" t="inlineStr">
        <is>
          <t>0453</t>
        </is>
      </c>
      <c r="G3106" s="10" t="inlineStr">
        <is>
          <t>宇多野</t>
        </is>
      </c>
      <c r="H3106" s="10" t="inlineStr">
        <is>
          <t>発</t>
        </is>
      </c>
      <c r="J3106" s="10" t="inlineStr">
        <is>
          <t>営業</t>
        </is>
      </c>
      <c r="L3106" t="inlineStr">
        <is>
          <t>16:29:05</t>
        </is>
      </c>
      <c r="M3106" t="inlineStr">
        <is>
          <t>16:29:15</t>
        </is>
      </c>
    </row>
    <row r="3107" ht="15" customHeight="1" s="37">
      <c r="A3107" t="n">
        <v>23</v>
      </c>
      <c r="B3107" s="10" t="inlineStr">
        <is>
          <t>休日</t>
        </is>
      </c>
      <c r="C3107" s="10" t="inlineStr">
        <is>
          <t>北野線</t>
        </is>
      </c>
      <c r="D3107" s="10" t="inlineStr">
        <is>
          <t>下り</t>
        </is>
      </c>
      <c r="E3107" t="inlineStr">
        <is>
          <t>1655</t>
        </is>
      </c>
      <c r="F3107" t="inlineStr">
        <is>
          <t>0453</t>
        </is>
      </c>
      <c r="G3107" s="10" t="inlineStr">
        <is>
          <t>鳴滝</t>
        </is>
      </c>
      <c r="H3107" s="10" t="inlineStr">
        <is>
          <t>発</t>
        </is>
      </c>
      <c r="J3107" s="10" t="inlineStr">
        <is>
          <t>営業</t>
        </is>
      </c>
      <c r="L3107" t="inlineStr">
        <is>
          <t>16:30:35</t>
        </is>
      </c>
      <c r="M3107" t="inlineStr">
        <is>
          <t>16:30:45</t>
        </is>
      </c>
    </row>
    <row r="3108" ht="15" customHeight="1" s="37">
      <c r="A3108" t="n">
        <v>23</v>
      </c>
      <c r="B3108" s="10" t="inlineStr">
        <is>
          <t>休日</t>
        </is>
      </c>
      <c r="C3108" s="10" t="inlineStr">
        <is>
          <t>北野線</t>
        </is>
      </c>
      <c r="D3108" s="10" t="inlineStr">
        <is>
          <t>下り</t>
        </is>
      </c>
      <c r="E3108" t="inlineStr">
        <is>
          <t>1655</t>
        </is>
      </c>
      <c r="F3108" t="inlineStr">
        <is>
          <t>0453</t>
        </is>
      </c>
      <c r="G3108" s="10" t="inlineStr">
        <is>
          <t>常盤</t>
        </is>
      </c>
      <c r="H3108" s="10" t="inlineStr">
        <is>
          <t>発</t>
        </is>
      </c>
      <c r="J3108" s="10" t="inlineStr">
        <is>
          <t>営業</t>
        </is>
      </c>
      <c r="L3108" t="inlineStr">
        <is>
          <t>16:31:35</t>
        </is>
      </c>
      <c r="M3108" t="inlineStr">
        <is>
          <t>16:31:55</t>
        </is>
      </c>
    </row>
    <row r="3109" ht="15" customHeight="1" s="37">
      <c r="A3109" t="n">
        <v>23</v>
      </c>
      <c r="B3109" s="10" t="inlineStr">
        <is>
          <t>休日</t>
        </is>
      </c>
      <c r="C3109" s="10" t="inlineStr">
        <is>
          <t>北野線</t>
        </is>
      </c>
      <c r="D3109" s="10" t="inlineStr">
        <is>
          <t>下り</t>
        </is>
      </c>
      <c r="E3109" t="inlineStr">
        <is>
          <t>1655</t>
        </is>
      </c>
      <c r="F3109" t="inlineStr">
        <is>
          <t>0453</t>
        </is>
      </c>
      <c r="G3109" s="10" t="inlineStr">
        <is>
          <t>撮影所前</t>
        </is>
      </c>
      <c r="H3109" s="10" t="inlineStr">
        <is>
          <t>発</t>
        </is>
      </c>
      <c r="J3109" s="10" t="inlineStr">
        <is>
          <t>営業</t>
        </is>
      </c>
      <c r="L3109" t="inlineStr">
        <is>
          <t>16:33:15</t>
        </is>
      </c>
      <c r="M3109" t="inlineStr">
        <is>
          <t>16:33:30</t>
        </is>
      </c>
    </row>
    <row r="3110" ht="15" customHeight="1" s="37">
      <c r="A3110" t="n">
        <v>23</v>
      </c>
      <c r="B3110" s="10" t="inlineStr">
        <is>
          <t>休日</t>
        </is>
      </c>
      <c r="C3110" s="10" t="inlineStr">
        <is>
          <t>北野線</t>
        </is>
      </c>
      <c r="D3110" s="10" t="inlineStr">
        <is>
          <t>下り</t>
        </is>
      </c>
      <c r="E3110" t="inlineStr">
        <is>
          <t>1655</t>
        </is>
      </c>
      <c r="F3110" t="inlineStr">
        <is>
          <t>0453</t>
        </is>
      </c>
      <c r="G3110" s="10" t="inlineStr">
        <is>
          <t>帷子ノ辻</t>
        </is>
      </c>
      <c r="H3110" s="10" t="inlineStr">
        <is>
          <t>着</t>
        </is>
      </c>
      <c r="J3110" s="10" t="inlineStr">
        <is>
          <t>営業</t>
        </is>
      </c>
      <c r="L3110" t="inlineStr">
        <is>
          <t>16:34:25</t>
        </is>
      </c>
      <c r="Q3110" t="inlineStr">
        <is>
          <t>4</t>
        </is>
      </c>
    </row>
    <row r="3111" ht="15" customHeight="1" s="37">
      <c r="A3111" t="n">
        <v>23</v>
      </c>
      <c r="B3111" s="10" t="inlineStr">
        <is>
          <t>休日</t>
        </is>
      </c>
      <c r="C3111" s="10" t="inlineStr">
        <is>
          <t>北野線</t>
        </is>
      </c>
      <c r="D3111" s="10" t="inlineStr">
        <is>
          <t>上り</t>
        </is>
      </c>
      <c r="E3111" t="inlineStr">
        <is>
          <t>1660</t>
        </is>
      </c>
      <c r="F3111" t="inlineStr">
        <is>
          <t>0354</t>
        </is>
      </c>
      <c r="G3111" s="10" t="inlineStr">
        <is>
          <t>帷子ノ辻</t>
        </is>
      </c>
      <c r="H3111" s="10" t="inlineStr">
        <is>
          <t>発</t>
        </is>
      </c>
      <c r="J3111" s="10" t="inlineStr">
        <is>
          <t>営業</t>
        </is>
      </c>
      <c r="M3111" t="inlineStr">
        <is>
          <t>16:46:25</t>
        </is>
      </c>
      <c r="Q3111" t="inlineStr">
        <is>
          <t>4</t>
        </is>
      </c>
    </row>
    <row r="3112" ht="15" customHeight="1" s="37">
      <c r="A3112" t="n">
        <v>23</v>
      </c>
      <c r="B3112" s="10" t="inlineStr">
        <is>
          <t>休日</t>
        </is>
      </c>
      <c r="C3112" s="10" t="inlineStr">
        <is>
          <t>北野線</t>
        </is>
      </c>
      <c r="D3112" s="10" t="inlineStr">
        <is>
          <t>上り</t>
        </is>
      </c>
      <c r="E3112" t="inlineStr">
        <is>
          <t>1660</t>
        </is>
      </c>
      <c r="F3112" t="inlineStr">
        <is>
          <t>0354</t>
        </is>
      </c>
      <c r="G3112" s="10" t="inlineStr">
        <is>
          <t>撮影所前</t>
        </is>
      </c>
      <c r="H3112" s="10" t="inlineStr">
        <is>
          <t>発</t>
        </is>
      </c>
      <c r="J3112" s="10" t="inlineStr">
        <is>
          <t>営業</t>
        </is>
      </c>
      <c r="L3112" t="inlineStr">
        <is>
          <t>16:47:25</t>
        </is>
      </c>
      <c r="M3112" t="inlineStr">
        <is>
          <t>16:47:40</t>
        </is>
      </c>
    </row>
    <row r="3113" ht="15" customHeight="1" s="37">
      <c r="A3113" t="n">
        <v>23</v>
      </c>
      <c r="B3113" s="10" t="inlineStr">
        <is>
          <t>休日</t>
        </is>
      </c>
      <c r="C3113" s="10" t="inlineStr">
        <is>
          <t>北野線</t>
        </is>
      </c>
      <c r="D3113" s="10" t="inlineStr">
        <is>
          <t>上り</t>
        </is>
      </c>
      <c r="E3113" t="inlineStr">
        <is>
          <t>1660</t>
        </is>
      </c>
      <c r="F3113" t="inlineStr">
        <is>
          <t>0354</t>
        </is>
      </c>
      <c r="G3113" s="10" t="inlineStr">
        <is>
          <t>常盤</t>
        </is>
      </c>
      <c r="H3113" s="10" t="inlineStr">
        <is>
          <t>発</t>
        </is>
      </c>
      <c r="J3113" s="10" t="inlineStr">
        <is>
          <t>営業</t>
        </is>
      </c>
      <c r="L3113" t="inlineStr">
        <is>
          <t>16:49:00</t>
        </is>
      </c>
      <c r="M3113" t="inlineStr">
        <is>
          <t>16:49:20</t>
        </is>
      </c>
    </row>
    <row r="3114" ht="15" customHeight="1" s="37">
      <c r="A3114" t="n">
        <v>23</v>
      </c>
      <c r="B3114" s="10" t="inlineStr">
        <is>
          <t>休日</t>
        </is>
      </c>
      <c r="C3114" s="10" t="inlineStr">
        <is>
          <t>北野線</t>
        </is>
      </c>
      <c r="D3114" s="10" t="inlineStr">
        <is>
          <t>上り</t>
        </is>
      </c>
      <c r="E3114" t="inlineStr">
        <is>
          <t>1660</t>
        </is>
      </c>
      <c r="F3114" t="inlineStr">
        <is>
          <t>0354</t>
        </is>
      </c>
      <c r="G3114" s="10" t="inlineStr">
        <is>
          <t>鳴滝</t>
        </is>
      </c>
      <c r="H3114" s="10" t="inlineStr">
        <is>
          <t>発</t>
        </is>
      </c>
      <c r="J3114" s="10" t="inlineStr">
        <is>
          <t>営業</t>
        </is>
      </c>
      <c r="L3114" t="inlineStr">
        <is>
          <t>16:50:20</t>
        </is>
      </c>
      <c r="M3114" t="inlineStr">
        <is>
          <t>16:50:40</t>
        </is>
      </c>
    </row>
    <row r="3115" ht="15" customHeight="1" s="37">
      <c r="A3115" t="n">
        <v>23</v>
      </c>
      <c r="B3115" s="10" t="inlineStr">
        <is>
          <t>休日</t>
        </is>
      </c>
      <c r="C3115" s="10" t="inlineStr">
        <is>
          <t>北野線</t>
        </is>
      </c>
      <c r="D3115" s="10" t="inlineStr">
        <is>
          <t>上り</t>
        </is>
      </c>
      <c r="E3115" t="inlineStr">
        <is>
          <t>1660</t>
        </is>
      </c>
      <c r="F3115" t="inlineStr">
        <is>
          <t>0354</t>
        </is>
      </c>
      <c r="G3115" s="10" t="inlineStr">
        <is>
          <t>宇多野</t>
        </is>
      </c>
      <c r="H3115" s="10" t="inlineStr">
        <is>
          <t>発</t>
        </is>
      </c>
      <c r="J3115" s="10" t="inlineStr">
        <is>
          <t>営業</t>
        </is>
      </c>
      <c r="L3115" t="inlineStr">
        <is>
          <t>16:52:00</t>
        </is>
      </c>
      <c r="M3115" t="inlineStr">
        <is>
          <t>16:52:15</t>
        </is>
      </c>
    </row>
    <row r="3116" ht="15" customHeight="1" s="37">
      <c r="A3116" t="n">
        <v>23</v>
      </c>
      <c r="B3116" s="10" t="inlineStr">
        <is>
          <t>休日</t>
        </is>
      </c>
      <c r="C3116" s="10" t="inlineStr">
        <is>
          <t>北野線</t>
        </is>
      </c>
      <c r="D3116" s="10" t="inlineStr">
        <is>
          <t>上り</t>
        </is>
      </c>
      <c r="E3116" t="inlineStr">
        <is>
          <t>1660</t>
        </is>
      </c>
      <c r="F3116" t="inlineStr">
        <is>
          <t>0354</t>
        </is>
      </c>
      <c r="G3116" s="10" t="inlineStr">
        <is>
          <t>御室仁和寺</t>
        </is>
      </c>
      <c r="H3116" s="10" t="inlineStr">
        <is>
          <t>発</t>
        </is>
      </c>
      <c r="J3116" s="10" t="inlineStr">
        <is>
          <t>営業</t>
        </is>
      </c>
      <c r="L3116" t="inlineStr">
        <is>
          <t>16:53:15</t>
        </is>
      </c>
      <c r="M3116" t="inlineStr">
        <is>
          <t>16:53:35</t>
        </is>
      </c>
    </row>
    <row r="3117" ht="15" customHeight="1" s="37">
      <c r="A3117" t="n">
        <v>23</v>
      </c>
      <c r="B3117" s="10" t="inlineStr">
        <is>
          <t>休日</t>
        </is>
      </c>
      <c r="C3117" s="10" t="inlineStr">
        <is>
          <t>北野線</t>
        </is>
      </c>
      <c r="D3117" s="10" t="inlineStr">
        <is>
          <t>上り</t>
        </is>
      </c>
      <c r="E3117" t="inlineStr">
        <is>
          <t>1660</t>
        </is>
      </c>
      <c r="F3117" t="inlineStr">
        <is>
          <t>0354</t>
        </is>
      </c>
      <c r="G3117" s="10" t="inlineStr">
        <is>
          <t>妙心寺</t>
        </is>
      </c>
      <c r="H3117" s="10" t="inlineStr">
        <is>
          <t>発</t>
        </is>
      </c>
      <c r="J3117" s="10" t="inlineStr">
        <is>
          <t>営業</t>
        </is>
      </c>
      <c r="L3117" t="inlineStr">
        <is>
          <t>16:54:35</t>
        </is>
      </c>
      <c r="M3117" t="inlineStr">
        <is>
          <t>16:54:50</t>
        </is>
      </c>
    </row>
    <row r="3118" ht="15" customHeight="1" s="37">
      <c r="A3118" t="n">
        <v>23</v>
      </c>
      <c r="B3118" s="10" t="inlineStr">
        <is>
          <t>休日</t>
        </is>
      </c>
      <c r="C3118" s="10" t="inlineStr">
        <is>
          <t>北野線</t>
        </is>
      </c>
      <c r="D3118" s="10" t="inlineStr">
        <is>
          <t>上り</t>
        </is>
      </c>
      <c r="E3118" t="inlineStr">
        <is>
          <t>1660</t>
        </is>
      </c>
      <c r="F3118" t="inlineStr">
        <is>
          <t>0354</t>
        </is>
      </c>
      <c r="G3118" s="10" t="inlineStr">
        <is>
          <t>龍安寺</t>
        </is>
      </c>
      <c r="H3118" s="10" t="inlineStr">
        <is>
          <t>発</t>
        </is>
      </c>
      <c r="J3118" s="10" t="inlineStr">
        <is>
          <t>営業</t>
        </is>
      </c>
      <c r="L3118" t="inlineStr">
        <is>
          <t>16:55:45</t>
        </is>
      </c>
      <c r="M3118" t="inlineStr">
        <is>
          <t>16:55:55</t>
        </is>
      </c>
    </row>
    <row r="3119" ht="15" customHeight="1" s="37">
      <c r="A3119" t="n">
        <v>23</v>
      </c>
      <c r="B3119" s="10" t="inlineStr">
        <is>
          <t>休日</t>
        </is>
      </c>
      <c r="C3119" s="10" t="inlineStr">
        <is>
          <t>北野線</t>
        </is>
      </c>
      <c r="D3119" s="10" t="inlineStr">
        <is>
          <t>上り</t>
        </is>
      </c>
      <c r="E3119" t="inlineStr">
        <is>
          <t>1660</t>
        </is>
      </c>
      <c r="F3119" t="inlineStr">
        <is>
          <t>0354</t>
        </is>
      </c>
      <c r="G3119" s="10" t="inlineStr">
        <is>
          <t>等持院</t>
        </is>
      </c>
      <c r="H3119" s="10" t="inlineStr">
        <is>
          <t>発</t>
        </is>
      </c>
      <c r="J3119" s="10" t="inlineStr">
        <is>
          <t>営業</t>
        </is>
      </c>
      <c r="L3119" t="inlineStr">
        <is>
          <t>16:56:35</t>
        </is>
      </c>
      <c r="M3119" t="inlineStr">
        <is>
          <t>16:56:55</t>
        </is>
      </c>
    </row>
    <row r="3120" ht="15" customHeight="1" s="37">
      <c r="A3120" t="n">
        <v>23</v>
      </c>
      <c r="B3120" s="10" t="inlineStr">
        <is>
          <t>休日</t>
        </is>
      </c>
      <c r="C3120" s="10" t="inlineStr">
        <is>
          <t>北野線</t>
        </is>
      </c>
      <c r="D3120" s="10" t="inlineStr">
        <is>
          <t>上り</t>
        </is>
      </c>
      <c r="E3120" t="inlineStr">
        <is>
          <t>1660</t>
        </is>
      </c>
      <c r="F3120" t="inlineStr">
        <is>
          <t>0354</t>
        </is>
      </c>
      <c r="G3120" s="10" t="inlineStr">
        <is>
          <t>北野白梅町</t>
        </is>
      </c>
      <c r="H3120" s="10" t="inlineStr">
        <is>
          <t>着</t>
        </is>
      </c>
      <c r="J3120" s="10" t="inlineStr">
        <is>
          <t>営業</t>
        </is>
      </c>
      <c r="L3120" t="inlineStr">
        <is>
          <t>16:58:15</t>
        </is>
      </c>
      <c r="Q3120" t="inlineStr">
        <is>
          <t>1</t>
        </is>
      </c>
    </row>
    <row r="3121" ht="15" customHeight="1" s="37">
      <c r="A3121" t="n">
        <v>23</v>
      </c>
      <c r="B3121" s="10" t="inlineStr">
        <is>
          <t>休日</t>
        </is>
      </c>
      <c r="C3121" s="10" t="inlineStr">
        <is>
          <t>北野線</t>
        </is>
      </c>
      <c r="D3121" s="10" t="inlineStr">
        <is>
          <t>下り</t>
        </is>
      </c>
      <c r="E3121" t="inlineStr">
        <is>
          <t>1751</t>
        </is>
      </c>
      <c r="F3121" t="inlineStr">
        <is>
          <t>0453</t>
        </is>
      </c>
      <c r="G3121" s="10" t="inlineStr">
        <is>
          <t>北野白梅町</t>
        </is>
      </c>
      <c r="H3121" s="10" t="inlineStr">
        <is>
          <t>発</t>
        </is>
      </c>
      <c r="J3121" s="10" t="inlineStr">
        <is>
          <t>営業</t>
        </is>
      </c>
      <c r="M3121" t="inlineStr">
        <is>
          <t>17:03:00</t>
        </is>
      </c>
      <c r="Q3121" t="inlineStr">
        <is>
          <t>1</t>
        </is>
      </c>
    </row>
    <row r="3122" ht="15" customHeight="1" s="37">
      <c r="A3122" t="n">
        <v>23</v>
      </c>
      <c r="B3122" s="10" t="inlineStr">
        <is>
          <t>休日</t>
        </is>
      </c>
      <c r="C3122" s="10" t="inlineStr">
        <is>
          <t>北野線</t>
        </is>
      </c>
      <c r="D3122" s="10" t="inlineStr">
        <is>
          <t>下り</t>
        </is>
      </c>
      <c r="E3122" t="inlineStr">
        <is>
          <t>1751</t>
        </is>
      </c>
      <c r="F3122" t="inlineStr">
        <is>
          <t>0453</t>
        </is>
      </c>
      <c r="G3122" s="10" t="inlineStr">
        <is>
          <t>等持院</t>
        </is>
      </c>
      <c r="H3122" s="10" t="inlineStr">
        <is>
          <t>発</t>
        </is>
      </c>
      <c r="J3122" s="10" t="inlineStr">
        <is>
          <t>営業</t>
        </is>
      </c>
      <c r="L3122" t="inlineStr">
        <is>
          <t>17:04:25</t>
        </is>
      </c>
      <c r="M3122" t="inlineStr">
        <is>
          <t>17:04:35</t>
        </is>
      </c>
    </row>
    <row r="3123" ht="15" customHeight="1" s="37">
      <c r="A3123" t="n">
        <v>23</v>
      </c>
      <c r="B3123" s="10" t="inlineStr">
        <is>
          <t>休日</t>
        </is>
      </c>
      <c r="C3123" s="10" t="inlineStr">
        <is>
          <t>北野線</t>
        </is>
      </c>
      <c r="D3123" s="10" t="inlineStr">
        <is>
          <t>下り</t>
        </is>
      </c>
      <c r="E3123" t="inlineStr">
        <is>
          <t>1751</t>
        </is>
      </c>
      <c r="F3123" t="inlineStr">
        <is>
          <t>0453</t>
        </is>
      </c>
      <c r="G3123" s="10" t="inlineStr">
        <is>
          <t>龍安寺</t>
        </is>
      </c>
      <c r="H3123" s="10" t="inlineStr">
        <is>
          <t>発</t>
        </is>
      </c>
      <c r="J3123" s="10" t="inlineStr">
        <is>
          <t>営業</t>
        </is>
      </c>
      <c r="L3123" t="inlineStr">
        <is>
          <t>17:05:25</t>
        </is>
      </c>
      <c r="M3123" t="inlineStr">
        <is>
          <t>17:05:50</t>
        </is>
      </c>
    </row>
    <row r="3124" ht="15" customHeight="1" s="37">
      <c r="A3124" t="n">
        <v>23</v>
      </c>
      <c r="B3124" s="10" t="inlineStr">
        <is>
          <t>休日</t>
        </is>
      </c>
      <c r="C3124" s="10" t="inlineStr">
        <is>
          <t>北野線</t>
        </is>
      </c>
      <c r="D3124" s="10" t="inlineStr">
        <is>
          <t>下り</t>
        </is>
      </c>
      <c r="E3124" t="inlineStr">
        <is>
          <t>1751</t>
        </is>
      </c>
      <c r="F3124" t="inlineStr">
        <is>
          <t>0453</t>
        </is>
      </c>
      <c r="G3124" s="10" t="inlineStr">
        <is>
          <t>妙心寺</t>
        </is>
      </c>
      <c r="H3124" s="10" t="inlineStr">
        <is>
          <t>発</t>
        </is>
      </c>
      <c r="J3124" s="10" t="inlineStr">
        <is>
          <t>営業</t>
        </is>
      </c>
      <c r="L3124" t="inlineStr">
        <is>
          <t>17:06:40</t>
        </is>
      </c>
      <c r="M3124" t="inlineStr">
        <is>
          <t>17:06:50</t>
        </is>
      </c>
    </row>
    <row r="3125" ht="15" customHeight="1" s="37">
      <c r="A3125" t="n">
        <v>23</v>
      </c>
      <c r="B3125" s="10" t="inlineStr">
        <is>
          <t>休日</t>
        </is>
      </c>
      <c r="C3125" s="10" t="inlineStr">
        <is>
          <t>北野線</t>
        </is>
      </c>
      <c r="D3125" s="10" t="inlineStr">
        <is>
          <t>下り</t>
        </is>
      </c>
      <c r="E3125" t="inlineStr">
        <is>
          <t>1751</t>
        </is>
      </c>
      <c r="F3125" t="inlineStr">
        <is>
          <t>0453</t>
        </is>
      </c>
      <c r="G3125" s="10" t="inlineStr">
        <is>
          <t>御室仁和寺</t>
        </is>
      </c>
      <c r="H3125" s="10" t="inlineStr">
        <is>
          <t>発</t>
        </is>
      </c>
      <c r="J3125" s="10" t="inlineStr">
        <is>
          <t>営業</t>
        </is>
      </c>
      <c r="L3125" t="inlineStr">
        <is>
          <t>17:07:50</t>
        </is>
      </c>
      <c r="M3125" t="inlineStr">
        <is>
          <t>17:08:05</t>
        </is>
      </c>
    </row>
    <row r="3126" ht="15" customHeight="1" s="37">
      <c r="A3126" t="n">
        <v>23</v>
      </c>
      <c r="B3126" s="10" t="inlineStr">
        <is>
          <t>休日</t>
        </is>
      </c>
      <c r="C3126" s="10" t="inlineStr">
        <is>
          <t>北野線</t>
        </is>
      </c>
      <c r="D3126" s="10" t="inlineStr">
        <is>
          <t>下り</t>
        </is>
      </c>
      <c r="E3126" t="inlineStr">
        <is>
          <t>1751</t>
        </is>
      </c>
      <c r="F3126" t="inlineStr">
        <is>
          <t>0453</t>
        </is>
      </c>
      <c r="G3126" s="10" t="inlineStr">
        <is>
          <t>宇多野</t>
        </is>
      </c>
      <c r="H3126" s="10" t="inlineStr">
        <is>
          <t>発</t>
        </is>
      </c>
      <c r="J3126" s="10" t="inlineStr">
        <is>
          <t>営業</t>
        </is>
      </c>
      <c r="L3126" t="inlineStr">
        <is>
          <t>17:09:05</t>
        </is>
      </c>
      <c r="M3126" t="inlineStr">
        <is>
          <t>17:09:15</t>
        </is>
      </c>
    </row>
    <row r="3127" ht="15" customHeight="1" s="37">
      <c r="A3127" t="n">
        <v>23</v>
      </c>
      <c r="B3127" s="10" t="inlineStr">
        <is>
          <t>休日</t>
        </is>
      </c>
      <c r="C3127" s="10" t="inlineStr">
        <is>
          <t>北野線</t>
        </is>
      </c>
      <c r="D3127" s="10" t="inlineStr">
        <is>
          <t>下り</t>
        </is>
      </c>
      <c r="E3127" t="inlineStr">
        <is>
          <t>1751</t>
        </is>
      </c>
      <c r="F3127" t="inlineStr">
        <is>
          <t>0453</t>
        </is>
      </c>
      <c r="G3127" s="10" t="inlineStr">
        <is>
          <t>鳴滝</t>
        </is>
      </c>
      <c r="H3127" s="10" t="inlineStr">
        <is>
          <t>発</t>
        </is>
      </c>
      <c r="J3127" s="10" t="inlineStr">
        <is>
          <t>営業</t>
        </is>
      </c>
      <c r="L3127" t="inlineStr">
        <is>
          <t>17:10:35</t>
        </is>
      </c>
      <c r="M3127" t="inlineStr">
        <is>
          <t>17:10:45</t>
        </is>
      </c>
    </row>
    <row r="3128" ht="15" customHeight="1" s="37">
      <c r="A3128" t="n">
        <v>23</v>
      </c>
      <c r="B3128" s="10" t="inlineStr">
        <is>
          <t>休日</t>
        </is>
      </c>
      <c r="C3128" s="10" t="inlineStr">
        <is>
          <t>北野線</t>
        </is>
      </c>
      <c r="D3128" s="10" t="inlineStr">
        <is>
          <t>下り</t>
        </is>
      </c>
      <c r="E3128" t="inlineStr">
        <is>
          <t>1751</t>
        </is>
      </c>
      <c r="F3128" t="inlineStr">
        <is>
          <t>0453</t>
        </is>
      </c>
      <c r="G3128" s="10" t="inlineStr">
        <is>
          <t>常盤</t>
        </is>
      </c>
      <c r="H3128" s="10" t="inlineStr">
        <is>
          <t>発</t>
        </is>
      </c>
      <c r="J3128" s="10" t="inlineStr">
        <is>
          <t>営業</t>
        </is>
      </c>
      <c r="L3128" t="inlineStr">
        <is>
          <t>17:11:35</t>
        </is>
      </c>
      <c r="M3128" t="inlineStr">
        <is>
          <t>17:11:55</t>
        </is>
      </c>
    </row>
    <row r="3129" ht="15" customHeight="1" s="37">
      <c r="A3129" t="n">
        <v>23</v>
      </c>
      <c r="B3129" s="10" t="inlineStr">
        <is>
          <t>休日</t>
        </is>
      </c>
      <c r="C3129" s="10" t="inlineStr">
        <is>
          <t>北野線</t>
        </is>
      </c>
      <c r="D3129" s="10" t="inlineStr">
        <is>
          <t>下り</t>
        </is>
      </c>
      <c r="E3129" t="inlineStr">
        <is>
          <t>1751</t>
        </is>
      </c>
      <c r="F3129" t="inlineStr">
        <is>
          <t>0453</t>
        </is>
      </c>
      <c r="G3129" s="10" t="inlineStr">
        <is>
          <t>撮影所前</t>
        </is>
      </c>
      <c r="H3129" s="10" t="inlineStr">
        <is>
          <t>発</t>
        </is>
      </c>
      <c r="J3129" s="10" t="inlineStr">
        <is>
          <t>営業</t>
        </is>
      </c>
      <c r="L3129" t="inlineStr">
        <is>
          <t>17:13:15</t>
        </is>
      </c>
      <c r="M3129" t="inlineStr">
        <is>
          <t>17:13:30</t>
        </is>
      </c>
    </row>
    <row r="3130" ht="15" customHeight="1" s="37">
      <c r="A3130" t="n">
        <v>23</v>
      </c>
      <c r="B3130" s="10" t="inlineStr">
        <is>
          <t>休日</t>
        </is>
      </c>
      <c r="C3130" s="10" t="inlineStr">
        <is>
          <t>北野線</t>
        </is>
      </c>
      <c r="D3130" s="10" t="inlineStr">
        <is>
          <t>下り</t>
        </is>
      </c>
      <c r="E3130" t="inlineStr">
        <is>
          <t>1751</t>
        </is>
      </c>
      <c r="F3130" t="inlineStr">
        <is>
          <t>0453</t>
        </is>
      </c>
      <c r="G3130" s="10" t="inlineStr">
        <is>
          <t>帷子ノ辻</t>
        </is>
      </c>
      <c r="H3130" s="10" t="inlineStr">
        <is>
          <t>着</t>
        </is>
      </c>
      <c r="J3130" s="10" t="inlineStr">
        <is>
          <t>営業</t>
        </is>
      </c>
      <c r="L3130" t="inlineStr">
        <is>
          <t>17:14:25</t>
        </is>
      </c>
      <c r="Q3130" t="inlineStr">
        <is>
          <t>4</t>
        </is>
      </c>
    </row>
    <row r="3131" ht="15" customHeight="1" s="37">
      <c r="A3131" t="n">
        <v>23</v>
      </c>
      <c r="B3131" s="10" t="inlineStr">
        <is>
          <t>休日</t>
        </is>
      </c>
      <c r="C3131" s="10" t="inlineStr">
        <is>
          <t>北野線</t>
        </is>
      </c>
      <c r="D3131" s="10" t="inlineStr">
        <is>
          <t>上り</t>
        </is>
      </c>
      <c r="E3131" t="inlineStr">
        <is>
          <t>1756</t>
        </is>
      </c>
      <c r="F3131" t="inlineStr">
        <is>
          <t>0354</t>
        </is>
      </c>
      <c r="G3131" s="10" t="inlineStr">
        <is>
          <t>帷子ノ辻</t>
        </is>
      </c>
      <c r="H3131" s="10" t="inlineStr">
        <is>
          <t>発</t>
        </is>
      </c>
      <c r="J3131" s="10" t="inlineStr">
        <is>
          <t>営業</t>
        </is>
      </c>
      <c r="M3131" t="inlineStr">
        <is>
          <t>17:26:25</t>
        </is>
      </c>
      <c r="Q3131" t="inlineStr">
        <is>
          <t>4</t>
        </is>
      </c>
    </row>
    <row r="3132" ht="15" customHeight="1" s="37">
      <c r="A3132" t="n">
        <v>23</v>
      </c>
      <c r="B3132" s="10" t="inlineStr">
        <is>
          <t>休日</t>
        </is>
      </c>
      <c r="C3132" s="10" t="inlineStr">
        <is>
          <t>北野線</t>
        </is>
      </c>
      <c r="D3132" s="10" t="inlineStr">
        <is>
          <t>上り</t>
        </is>
      </c>
      <c r="E3132" t="inlineStr">
        <is>
          <t>1756</t>
        </is>
      </c>
      <c r="F3132" t="inlineStr">
        <is>
          <t>0354</t>
        </is>
      </c>
      <c r="G3132" s="10" t="inlineStr">
        <is>
          <t>撮影所前</t>
        </is>
      </c>
      <c r="H3132" s="10" t="inlineStr">
        <is>
          <t>発</t>
        </is>
      </c>
      <c r="J3132" s="10" t="inlineStr">
        <is>
          <t>営業</t>
        </is>
      </c>
      <c r="L3132" t="inlineStr">
        <is>
          <t>17:27:25</t>
        </is>
      </c>
      <c r="M3132" t="inlineStr">
        <is>
          <t>17:27:40</t>
        </is>
      </c>
    </row>
    <row r="3133" ht="15" customHeight="1" s="37">
      <c r="A3133" t="n">
        <v>23</v>
      </c>
      <c r="B3133" s="10" t="inlineStr">
        <is>
          <t>休日</t>
        </is>
      </c>
      <c r="C3133" s="10" t="inlineStr">
        <is>
          <t>北野線</t>
        </is>
      </c>
      <c r="D3133" s="10" t="inlineStr">
        <is>
          <t>上り</t>
        </is>
      </c>
      <c r="E3133" t="inlineStr">
        <is>
          <t>1756</t>
        </is>
      </c>
      <c r="F3133" t="inlineStr">
        <is>
          <t>0354</t>
        </is>
      </c>
      <c r="G3133" s="10" t="inlineStr">
        <is>
          <t>常盤</t>
        </is>
      </c>
      <c r="H3133" s="10" t="inlineStr">
        <is>
          <t>発</t>
        </is>
      </c>
      <c r="J3133" s="10" t="inlineStr">
        <is>
          <t>営業</t>
        </is>
      </c>
      <c r="L3133" t="inlineStr">
        <is>
          <t>17:29:00</t>
        </is>
      </c>
      <c r="M3133" t="inlineStr">
        <is>
          <t>17:29:20</t>
        </is>
      </c>
    </row>
    <row r="3134" ht="15" customHeight="1" s="37">
      <c r="A3134" t="n">
        <v>23</v>
      </c>
      <c r="B3134" s="10" t="inlineStr">
        <is>
          <t>休日</t>
        </is>
      </c>
      <c r="C3134" s="10" t="inlineStr">
        <is>
          <t>北野線</t>
        </is>
      </c>
      <c r="D3134" s="10" t="inlineStr">
        <is>
          <t>上り</t>
        </is>
      </c>
      <c r="E3134" t="inlineStr">
        <is>
          <t>1756</t>
        </is>
      </c>
      <c r="F3134" t="inlineStr">
        <is>
          <t>0354</t>
        </is>
      </c>
      <c r="G3134" s="10" t="inlineStr">
        <is>
          <t>鳴滝</t>
        </is>
      </c>
      <c r="H3134" s="10" t="inlineStr">
        <is>
          <t>発</t>
        </is>
      </c>
      <c r="J3134" s="10" t="inlineStr">
        <is>
          <t>営業</t>
        </is>
      </c>
      <c r="L3134" t="inlineStr">
        <is>
          <t>17:30:20</t>
        </is>
      </c>
      <c r="M3134" t="inlineStr">
        <is>
          <t>17:30:40</t>
        </is>
      </c>
    </row>
    <row r="3135" ht="15" customHeight="1" s="37">
      <c r="A3135" t="n">
        <v>23</v>
      </c>
      <c r="B3135" s="10" t="inlineStr">
        <is>
          <t>休日</t>
        </is>
      </c>
      <c r="C3135" s="10" t="inlineStr">
        <is>
          <t>北野線</t>
        </is>
      </c>
      <c r="D3135" s="10" t="inlineStr">
        <is>
          <t>上り</t>
        </is>
      </c>
      <c r="E3135" t="inlineStr">
        <is>
          <t>1756</t>
        </is>
      </c>
      <c r="F3135" t="inlineStr">
        <is>
          <t>0354</t>
        </is>
      </c>
      <c r="G3135" s="10" t="inlineStr">
        <is>
          <t>宇多野</t>
        </is>
      </c>
      <c r="H3135" s="10" t="inlineStr">
        <is>
          <t>発</t>
        </is>
      </c>
      <c r="J3135" s="10" t="inlineStr">
        <is>
          <t>営業</t>
        </is>
      </c>
      <c r="L3135" t="inlineStr">
        <is>
          <t>17:32:00</t>
        </is>
      </c>
      <c r="M3135" t="inlineStr">
        <is>
          <t>17:32:15</t>
        </is>
      </c>
    </row>
    <row r="3136" ht="15" customHeight="1" s="37">
      <c r="A3136" t="n">
        <v>23</v>
      </c>
      <c r="B3136" s="10" t="inlineStr">
        <is>
          <t>休日</t>
        </is>
      </c>
      <c r="C3136" s="10" t="inlineStr">
        <is>
          <t>北野線</t>
        </is>
      </c>
      <c r="D3136" s="10" t="inlineStr">
        <is>
          <t>上り</t>
        </is>
      </c>
      <c r="E3136" t="inlineStr">
        <is>
          <t>1756</t>
        </is>
      </c>
      <c r="F3136" t="inlineStr">
        <is>
          <t>0354</t>
        </is>
      </c>
      <c r="G3136" s="10" t="inlineStr">
        <is>
          <t>御室仁和寺</t>
        </is>
      </c>
      <c r="H3136" s="10" t="inlineStr">
        <is>
          <t>発</t>
        </is>
      </c>
      <c r="J3136" s="10" t="inlineStr">
        <is>
          <t>営業</t>
        </is>
      </c>
      <c r="L3136" t="inlineStr">
        <is>
          <t>17:33:15</t>
        </is>
      </c>
      <c r="M3136" t="inlineStr">
        <is>
          <t>17:33:35</t>
        </is>
      </c>
    </row>
    <row r="3137" ht="15" customHeight="1" s="37">
      <c r="A3137" t="n">
        <v>23</v>
      </c>
      <c r="B3137" s="10" t="inlineStr">
        <is>
          <t>休日</t>
        </is>
      </c>
      <c r="C3137" s="10" t="inlineStr">
        <is>
          <t>北野線</t>
        </is>
      </c>
      <c r="D3137" s="10" t="inlineStr">
        <is>
          <t>上り</t>
        </is>
      </c>
      <c r="E3137" t="inlineStr">
        <is>
          <t>1756</t>
        </is>
      </c>
      <c r="F3137" t="inlineStr">
        <is>
          <t>0354</t>
        </is>
      </c>
      <c r="G3137" s="10" t="inlineStr">
        <is>
          <t>妙心寺</t>
        </is>
      </c>
      <c r="H3137" s="10" t="inlineStr">
        <is>
          <t>発</t>
        </is>
      </c>
      <c r="J3137" s="10" t="inlineStr">
        <is>
          <t>営業</t>
        </is>
      </c>
      <c r="L3137" t="inlineStr">
        <is>
          <t>17:34:35</t>
        </is>
      </c>
      <c r="M3137" t="inlineStr">
        <is>
          <t>17:34:50</t>
        </is>
      </c>
    </row>
    <row r="3138" ht="15" customHeight="1" s="37">
      <c r="A3138" t="n">
        <v>23</v>
      </c>
      <c r="B3138" s="10" t="inlineStr">
        <is>
          <t>休日</t>
        </is>
      </c>
      <c r="C3138" s="10" t="inlineStr">
        <is>
          <t>北野線</t>
        </is>
      </c>
      <c r="D3138" s="10" t="inlineStr">
        <is>
          <t>上り</t>
        </is>
      </c>
      <c r="E3138" t="inlineStr">
        <is>
          <t>1756</t>
        </is>
      </c>
      <c r="F3138" t="inlineStr">
        <is>
          <t>0354</t>
        </is>
      </c>
      <c r="G3138" s="10" t="inlineStr">
        <is>
          <t>龍安寺</t>
        </is>
      </c>
      <c r="H3138" s="10" t="inlineStr">
        <is>
          <t>発</t>
        </is>
      </c>
      <c r="J3138" s="10" t="inlineStr">
        <is>
          <t>営業</t>
        </is>
      </c>
      <c r="L3138" t="inlineStr">
        <is>
          <t>17:35:45</t>
        </is>
      </c>
      <c r="M3138" t="inlineStr">
        <is>
          <t>17:35:55</t>
        </is>
      </c>
    </row>
    <row r="3139" ht="15" customHeight="1" s="37">
      <c r="A3139" t="n">
        <v>23</v>
      </c>
      <c r="B3139" s="10" t="inlineStr">
        <is>
          <t>休日</t>
        </is>
      </c>
      <c r="C3139" s="10" t="inlineStr">
        <is>
          <t>北野線</t>
        </is>
      </c>
      <c r="D3139" s="10" t="inlineStr">
        <is>
          <t>上り</t>
        </is>
      </c>
      <c r="E3139" t="inlineStr">
        <is>
          <t>1756</t>
        </is>
      </c>
      <c r="F3139" t="inlineStr">
        <is>
          <t>0354</t>
        </is>
      </c>
      <c r="G3139" s="10" t="inlineStr">
        <is>
          <t>等持院</t>
        </is>
      </c>
      <c r="H3139" s="10" t="inlineStr">
        <is>
          <t>発</t>
        </is>
      </c>
      <c r="J3139" s="10" t="inlineStr">
        <is>
          <t>営業</t>
        </is>
      </c>
      <c r="L3139" t="inlineStr">
        <is>
          <t>17:36:35</t>
        </is>
      </c>
      <c r="M3139" t="inlineStr">
        <is>
          <t>17:36:55</t>
        </is>
      </c>
    </row>
    <row r="3140" ht="15" customHeight="1" s="37">
      <c r="A3140" t="n">
        <v>23</v>
      </c>
      <c r="B3140" s="10" t="inlineStr">
        <is>
          <t>休日</t>
        </is>
      </c>
      <c r="C3140" s="10" t="inlineStr">
        <is>
          <t>北野線</t>
        </is>
      </c>
      <c r="D3140" s="10" t="inlineStr">
        <is>
          <t>上り</t>
        </is>
      </c>
      <c r="E3140" t="inlineStr">
        <is>
          <t>1756</t>
        </is>
      </c>
      <c r="F3140" t="inlineStr">
        <is>
          <t>0354</t>
        </is>
      </c>
      <c r="G3140" s="10" t="inlineStr">
        <is>
          <t>北野白梅町</t>
        </is>
      </c>
      <c r="H3140" s="10" t="inlineStr">
        <is>
          <t>着</t>
        </is>
      </c>
      <c r="J3140" s="10" t="inlineStr">
        <is>
          <t>営業</t>
        </is>
      </c>
      <c r="L3140" t="inlineStr">
        <is>
          <t>17:38:15</t>
        </is>
      </c>
      <c r="Q3140" t="inlineStr">
        <is>
          <t>1</t>
        </is>
      </c>
    </row>
    <row r="3141" ht="15" customHeight="1" s="37">
      <c r="A3141" t="n">
        <v>23</v>
      </c>
      <c r="B3141" s="10" t="inlineStr">
        <is>
          <t>休日</t>
        </is>
      </c>
      <c r="C3141" s="10" t="inlineStr">
        <is>
          <t>北野線</t>
        </is>
      </c>
      <c r="D3141" s="10" t="inlineStr">
        <is>
          <t>下り</t>
        </is>
      </c>
      <c r="E3141" t="inlineStr">
        <is>
          <t>1759</t>
        </is>
      </c>
      <c r="F3141" t="inlineStr">
        <is>
          <t>0453</t>
        </is>
      </c>
      <c r="G3141" s="10" t="inlineStr">
        <is>
          <t>北野白梅町</t>
        </is>
      </c>
      <c r="H3141" s="10" t="inlineStr">
        <is>
          <t>発</t>
        </is>
      </c>
      <c r="J3141" s="10" t="inlineStr">
        <is>
          <t>営業</t>
        </is>
      </c>
      <c r="M3141" t="inlineStr">
        <is>
          <t>17:43:00</t>
        </is>
      </c>
      <c r="Q3141" t="inlineStr">
        <is>
          <t>1</t>
        </is>
      </c>
    </row>
    <row r="3142" ht="15" customHeight="1" s="37">
      <c r="A3142" t="n">
        <v>23</v>
      </c>
      <c r="B3142" s="10" t="inlineStr">
        <is>
          <t>休日</t>
        </is>
      </c>
      <c r="C3142" s="10" t="inlineStr">
        <is>
          <t>北野線</t>
        </is>
      </c>
      <c r="D3142" s="10" t="inlineStr">
        <is>
          <t>下り</t>
        </is>
      </c>
      <c r="E3142" t="inlineStr">
        <is>
          <t>1759</t>
        </is>
      </c>
      <c r="F3142" t="inlineStr">
        <is>
          <t>0453</t>
        </is>
      </c>
      <c r="G3142" s="10" t="inlineStr">
        <is>
          <t>等持院</t>
        </is>
      </c>
      <c r="H3142" s="10" t="inlineStr">
        <is>
          <t>発</t>
        </is>
      </c>
      <c r="J3142" s="10" t="inlineStr">
        <is>
          <t>営業</t>
        </is>
      </c>
      <c r="L3142" t="inlineStr">
        <is>
          <t>17:44:25</t>
        </is>
      </c>
      <c r="M3142" t="inlineStr">
        <is>
          <t>17:44:35</t>
        </is>
      </c>
    </row>
    <row r="3143" ht="15" customHeight="1" s="37">
      <c r="A3143" t="n">
        <v>23</v>
      </c>
      <c r="B3143" s="10" t="inlineStr">
        <is>
          <t>休日</t>
        </is>
      </c>
      <c r="C3143" s="10" t="inlineStr">
        <is>
          <t>北野線</t>
        </is>
      </c>
      <c r="D3143" s="10" t="inlineStr">
        <is>
          <t>下り</t>
        </is>
      </c>
      <c r="E3143" t="inlineStr">
        <is>
          <t>1759</t>
        </is>
      </c>
      <c r="F3143" t="inlineStr">
        <is>
          <t>0453</t>
        </is>
      </c>
      <c r="G3143" s="10" t="inlineStr">
        <is>
          <t>龍安寺</t>
        </is>
      </c>
      <c r="H3143" s="10" t="inlineStr">
        <is>
          <t>発</t>
        </is>
      </c>
      <c r="J3143" s="10" t="inlineStr">
        <is>
          <t>営業</t>
        </is>
      </c>
      <c r="L3143" t="inlineStr">
        <is>
          <t>17:45:25</t>
        </is>
      </c>
      <c r="M3143" t="inlineStr">
        <is>
          <t>17:45:50</t>
        </is>
      </c>
    </row>
    <row r="3144" ht="15" customHeight="1" s="37">
      <c r="A3144" t="n">
        <v>23</v>
      </c>
      <c r="B3144" s="10" t="inlineStr">
        <is>
          <t>休日</t>
        </is>
      </c>
      <c r="C3144" s="10" t="inlineStr">
        <is>
          <t>北野線</t>
        </is>
      </c>
      <c r="D3144" s="10" t="inlineStr">
        <is>
          <t>下り</t>
        </is>
      </c>
      <c r="E3144" t="inlineStr">
        <is>
          <t>1759</t>
        </is>
      </c>
      <c r="F3144" t="inlineStr">
        <is>
          <t>0453</t>
        </is>
      </c>
      <c r="G3144" s="10" t="inlineStr">
        <is>
          <t>妙心寺</t>
        </is>
      </c>
      <c r="H3144" s="10" t="inlineStr">
        <is>
          <t>発</t>
        </is>
      </c>
      <c r="J3144" s="10" t="inlineStr">
        <is>
          <t>営業</t>
        </is>
      </c>
      <c r="L3144" t="inlineStr">
        <is>
          <t>17:46:40</t>
        </is>
      </c>
      <c r="M3144" t="inlineStr">
        <is>
          <t>17:46:50</t>
        </is>
      </c>
    </row>
    <row r="3145" ht="15" customHeight="1" s="37">
      <c r="A3145" t="n">
        <v>23</v>
      </c>
      <c r="B3145" s="10" t="inlineStr">
        <is>
          <t>休日</t>
        </is>
      </c>
      <c r="C3145" s="10" t="inlineStr">
        <is>
          <t>北野線</t>
        </is>
      </c>
      <c r="D3145" s="10" t="inlineStr">
        <is>
          <t>下り</t>
        </is>
      </c>
      <c r="E3145" t="inlineStr">
        <is>
          <t>1759</t>
        </is>
      </c>
      <c r="F3145" t="inlineStr">
        <is>
          <t>0453</t>
        </is>
      </c>
      <c r="G3145" s="10" t="inlineStr">
        <is>
          <t>御室仁和寺</t>
        </is>
      </c>
      <c r="H3145" s="10" t="inlineStr">
        <is>
          <t>発</t>
        </is>
      </c>
      <c r="J3145" s="10" t="inlineStr">
        <is>
          <t>営業</t>
        </is>
      </c>
      <c r="L3145" t="inlineStr">
        <is>
          <t>17:47:50</t>
        </is>
      </c>
      <c r="M3145" t="inlineStr">
        <is>
          <t>17:48:05</t>
        </is>
      </c>
    </row>
    <row r="3146" ht="15" customHeight="1" s="37">
      <c r="A3146" t="n">
        <v>23</v>
      </c>
      <c r="B3146" s="10" t="inlineStr">
        <is>
          <t>休日</t>
        </is>
      </c>
      <c r="C3146" s="10" t="inlineStr">
        <is>
          <t>北野線</t>
        </is>
      </c>
      <c r="D3146" s="10" t="inlineStr">
        <is>
          <t>下り</t>
        </is>
      </c>
      <c r="E3146" t="inlineStr">
        <is>
          <t>1759</t>
        </is>
      </c>
      <c r="F3146" t="inlineStr">
        <is>
          <t>0453</t>
        </is>
      </c>
      <c r="G3146" s="10" t="inlineStr">
        <is>
          <t>宇多野</t>
        </is>
      </c>
      <c r="H3146" s="10" t="inlineStr">
        <is>
          <t>発</t>
        </is>
      </c>
      <c r="J3146" s="10" t="inlineStr">
        <is>
          <t>営業</t>
        </is>
      </c>
      <c r="L3146" t="inlineStr">
        <is>
          <t>17:49:05</t>
        </is>
      </c>
      <c r="M3146" t="inlineStr">
        <is>
          <t>17:49:15</t>
        </is>
      </c>
    </row>
    <row r="3147" ht="15" customHeight="1" s="37">
      <c r="A3147" t="n">
        <v>23</v>
      </c>
      <c r="B3147" s="10" t="inlineStr">
        <is>
          <t>休日</t>
        </is>
      </c>
      <c r="C3147" s="10" t="inlineStr">
        <is>
          <t>北野線</t>
        </is>
      </c>
      <c r="D3147" s="10" t="inlineStr">
        <is>
          <t>下り</t>
        </is>
      </c>
      <c r="E3147" t="inlineStr">
        <is>
          <t>1759</t>
        </is>
      </c>
      <c r="F3147" t="inlineStr">
        <is>
          <t>0453</t>
        </is>
      </c>
      <c r="G3147" s="10" t="inlineStr">
        <is>
          <t>鳴滝</t>
        </is>
      </c>
      <c r="H3147" s="10" t="inlineStr">
        <is>
          <t>発</t>
        </is>
      </c>
      <c r="J3147" s="10" t="inlineStr">
        <is>
          <t>営業</t>
        </is>
      </c>
      <c r="L3147" t="inlineStr">
        <is>
          <t>17:50:35</t>
        </is>
      </c>
      <c r="M3147" t="inlineStr">
        <is>
          <t>17:50:45</t>
        </is>
      </c>
    </row>
    <row r="3148" ht="15" customHeight="1" s="37">
      <c r="A3148" t="n">
        <v>23</v>
      </c>
      <c r="B3148" s="10" t="inlineStr">
        <is>
          <t>休日</t>
        </is>
      </c>
      <c r="C3148" s="10" t="inlineStr">
        <is>
          <t>北野線</t>
        </is>
      </c>
      <c r="D3148" s="10" t="inlineStr">
        <is>
          <t>下り</t>
        </is>
      </c>
      <c r="E3148" t="inlineStr">
        <is>
          <t>1759</t>
        </is>
      </c>
      <c r="F3148" t="inlineStr">
        <is>
          <t>0453</t>
        </is>
      </c>
      <c r="G3148" s="10" t="inlineStr">
        <is>
          <t>常盤</t>
        </is>
      </c>
      <c r="H3148" s="10" t="inlineStr">
        <is>
          <t>発</t>
        </is>
      </c>
      <c r="J3148" s="10" t="inlineStr">
        <is>
          <t>営業</t>
        </is>
      </c>
      <c r="L3148" t="inlineStr">
        <is>
          <t>17:51:35</t>
        </is>
      </c>
      <c r="M3148" t="inlineStr">
        <is>
          <t>17:51:55</t>
        </is>
      </c>
    </row>
    <row r="3149" ht="15" customHeight="1" s="37">
      <c r="A3149" t="n">
        <v>23</v>
      </c>
      <c r="B3149" s="10" t="inlineStr">
        <is>
          <t>休日</t>
        </is>
      </c>
      <c r="C3149" s="10" t="inlineStr">
        <is>
          <t>北野線</t>
        </is>
      </c>
      <c r="D3149" s="10" t="inlineStr">
        <is>
          <t>下り</t>
        </is>
      </c>
      <c r="E3149" t="inlineStr">
        <is>
          <t>1759</t>
        </is>
      </c>
      <c r="F3149" t="inlineStr">
        <is>
          <t>0453</t>
        </is>
      </c>
      <c r="G3149" s="10" t="inlineStr">
        <is>
          <t>撮影所前</t>
        </is>
      </c>
      <c r="H3149" s="10" t="inlineStr">
        <is>
          <t>発</t>
        </is>
      </c>
      <c r="J3149" s="10" t="inlineStr">
        <is>
          <t>営業</t>
        </is>
      </c>
      <c r="L3149" t="inlineStr">
        <is>
          <t>17:53:15</t>
        </is>
      </c>
      <c r="M3149" t="inlineStr">
        <is>
          <t>17:53:30</t>
        </is>
      </c>
    </row>
    <row r="3150" ht="15" customHeight="1" s="37">
      <c r="A3150" t="n">
        <v>23</v>
      </c>
      <c r="B3150" s="10" t="inlineStr">
        <is>
          <t>休日</t>
        </is>
      </c>
      <c r="C3150" s="10" t="inlineStr">
        <is>
          <t>北野線</t>
        </is>
      </c>
      <c r="D3150" s="10" t="inlineStr">
        <is>
          <t>下り</t>
        </is>
      </c>
      <c r="E3150" t="inlineStr">
        <is>
          <t>1759</t>
        </is>
      </c>
      <c r="F3150" t="inlineStr">
        <is>
          <t>0453</t>
        </is>
      </c>
      <c r="G3150" s="10" t="inlineStr">
        <is>
          <t>帷子ノ辻</t>
        </is>
      </c>
      <c r="H3150" s="10" t="inlineStr">
        <is>
          <t>着</t>
        </is>
      </c>
      <c r="J3150" s="10" t="inlineStr">
        <is>
          <t>営業</t>
        </is>
      </c>
      <c r="L3150" t="inlineStr">
        <is>
          <t>17:54:25</t>
        </is>
      </c>
      <c r="Q3150" t="inlineStr">
        <is>
          <t>4</t>
        </is>
      </c>
    </row>
    <row r="3151" ht="15" customHeight="1" s="37">
      <c r="A3151" t="n">
        <v>23</v>
      </c>
      <c r="B3151" s="10" t="inlineStr">
        <is>
          <t>休日</t>
        </is>
      </c>
      <c r="C3151" s="10" t="inlineStr">
        <is>
          <t>北野線</t>
        </is>
      </c>
      <c r="D3151" s="10" t="inlineStr">
        <is>
          <t>上り</t>
        </is>
      </c>
      <c r="E3151" t="inlineStr">
        <is>
          <t>1852</t>
        </is>
      </c>
      <c r="F3151" t="inlineStr">
        <is>
          <t>0304</t>
        </is>
      </c>
      <c r="G3151" s="10" t="inlineStr">
        <is>
          <t>帷子ノ辻</t>
        </is>
      </c>
      <c r="H3151" s="10" t="inlineStr">
        <is>
          <t>発</t>
        </is>
      </c>
      <c r="J3151" s="10" t="inlineStr">
        <is>
          <t>営業</t>
        </is>
      </c>
      <c r="M3151" t="inlineStr">
        <is>
          <t>18:06:25</t>
        </is>
      </c>
      <c r="Q3151" t="inlineStr">
        <is>
          <t>4</t>
        </is>
      </c>
      <c r="U3151" t="inlineStr">
        <is>
          <t>→帷子ノ辻 休憩(18:34〜19:36)</t>
        </is>
      </c>
    </row>
    <row r="3152" ht="15" customHeight="1" s="37">
      <c r="A3152" t="n">
        <v>23</v>
      </c>
      <c r="B3152" s="10" t="inlineStr">
        <is>
          <t>休日</t>
        </is>
      </c>
      <c r="C3152" s="10" t="inlineStr">
        <is>
          <t>北野線</t>
        </is>
      </c>
      <c r="D3152" s="10" t="inlineStr">
        <is>
          <t>上り</t>
        </is>
      </c>
      <c r="E3152" t="inlineStr">
        <is>
          <t>1852</t>
        </is>
      </c>
      <c r="F3152" t="inlineStr">
        <is>
          <t>0304</t>
        </is>
      </c>
      <c r="G3152" s="10" t="inlineStr">
        <is>
          <t>撮影所前</t>
        </is>
      </c>
      <c r="H3152" s="10" t="inlineStr">
        <is>
          <t>発</t>
        </is>
      </c>
      <c r="J3152" s="10" t="inlineStr">
        <is>
          <t>営業</t>
        </is>
      </c>
      <c r="L3152" t="inlineStr">
        <is>
          <t>18:07:25</t>
        </is>
      </c>
      <c r="M3152" t="inlineStr">
        <is>
          <t>18:07:40</t>
        </is>
      </c>
      <c r="U3152" t="inlineStr">
        <is>
          <t>→帷子ノ辻 休憩(18:34〜19:36)</t>
        </is>
      </c>
    </row>
    <row r="3153" ht="15" customHeight="1" s="37">
      <c r="A3153" t="n">
        <v>23</v>
      </c>
      <c r="B3153" s="10" t="inlineStr">
        <is>
          <t>休日</t>
        </is>
      </c>
      <c r="C3153" s="10" t="inlineStr">
        <is>
          <t>北野線</t>
        </is>
      </c>
      <c r="D3153" s="10" t="inlineStr">
        <is>
          <t>上り</t>
        </is>
      </c>
      <c r="E3153" t="inlineStr">
        <is>
          <t>1852</t>
        </is>
      </c>
      <c r="F3153" t="inlineStr">
        <is>
          <t>0304</t>
        </is>
      </c>
      <c r="G3153" s="10" t="inlineStr">
        <is>
          <t>常盤</t>
        </is>
      </c>
      <c r="H3153" s="10" t="inlineStr">
        <is>
          <t>発</t>
        </is>
      </c>
      <c r="J3153" s="10" t="inlineStr">
        <is>
          <t>営業</t>
        </is>
      </c>
      <c r="L3153" t="inlineStr">
        <is>
          <t>18:09:00</t>
        </is>
      </c>
      <c r="M3153" t="inlineStr">
        <is>
          <t>18:09:20</t>
        </is>
      </c>
      <c r="U3153" t="inlineStr">
        <is>
          <t>→帷子ノ辻 休憩(18:34〜19:36)</t>
        </is>
      </c>
    </row>
    <row r="3154" ht="15" customHeight="1" s="37">
      <c r="A3154" t="n">
        <v>23</v>
      </c>
      <c r="B3154" s="10" t="inlineStr">
        <is>
          <t>休日</t>
        </is>
      </c>
      <c r="C3154" s="10" t="inlineStr">
        <is>
          <t>北野線</t>
        </is>
      </c>
      <c r="D3154" s="10" t="inlineStr">
        <is>
          <t>上り</t>
        </is>
      </c>
      <c r="E3154" t="inlineStr">
        <is>
          <t>1852</t>
        </is>
      </c>
      <c r="F3154" t="inlineStr">
        <is>
          <t>0304</t>
        </is>
      </c>
      <c r="G3154" s="10" t="inlineStr">
        <is>
          <t>鳴滝</t>
        </is>
      </c>
      <c r="H3154" s="10" t="inlineStr">
        <is>
          <t>発</t>
        </is>
      </c>
      <c r="J3154" s="10" t="inlineStr">
        <is>
          <t>営業</t>
        </is>
      </c>
      <c r="L3154" t="inlineStr">
        <is>
          <t>18:10:20</t>
        </is>
      </c>
      <c r="M3154" t="inlineStr">
        <is>
          <t>18:10:40</t>
        </is>
      </c>
      <c r="U3154" t="inlineStr">
        <is>
          <t>→帷子ノ辻 休憩(18:34〜19:36)</t>
        </is>
      </c>
    </row>
    <row r="3155" ht="15" customHeight="1" s="37">
      <c r="A3155" t="n">
        <v>23</v>
      </c>
      <c r="B3155" s="10" t="inlineStr">
        <is>
          <t>休日</t>
        </is>
      </c>
      <c r="C3155" s="10" t="inlineStr">
        <is>
          <t>北野線</t>
        </is>
      </c>
      <c r="D3155" s="10" t="inlineStr">
        <is>
          <t>上り</t>
        </is>
      </c>
      <c r="E3155" t="inlineStr">
        <is>
          <t>1852</t>
        </is>
      </c>
      <c r="F3155" t="inlineStr">
        <is>
          <t>0304</t>
        </is>
      </c>
      <c r="G3155" s="10" t="inlineStr">
        <is>
          <t>宇多野</t>
        </is>
      </c>
      <c r="H3155" s="10" t="inlineStr">
        <is>
          <t>発</t>
        </is>
      </c>
      <c r="J3155" s="10" t="inlineStr">
        <is>
          <t>営業</t>
        </is>
      </c>
      <c r="L3155" t="inlineStr">
        <is>
          <t>18:12:00</t>
        </is>
      </c>
      <c r="M3155" t="inlineStr">
        <is>
          <t>18:12:15</t>
        </is>
      </c>
      <c r="U3155" t="inlineStr">
        <is>
          <t>→帷子ノ辻 休憩(18:34〜19:36)</t>
        </is>
      </c>
    </row>
    <row r="3156" ht="15" customHeight="1" s="37">
      <c r="A3156" t="n">
        <v>23</v>
      </c>
      <c r="B3156" s="10" t="inlineStr">
        <is>
          <t>休日</t>
        </is>
      </c>
      <c r="C3156" s="10" t="inlineStr">
        <is>
          <t>北野線</t>
        </is>
      </c>
      <c r="D3156" s="10" t="inlineStr">
        <is>
          <t>上り</t>
        </is>
      </c>
      <c r="E3156" t="inlineStr">
        <is>
          <t>1852</t>
        </is>
      </c>
      <c r="F3156" t="inlineStr">
        <is>
          <t>0304</t>
        </is>
      </c>
      <c r="G3156" s="10" t="inlineStr">
        <is>
          <t>御室仁和寺</t>
        </is>
      </c>
      <c r="H3156" s="10" t="inlineStr">
        <is>
          <t>発</t>
        </is>
      </c>
      <c r="J3156" s="10" t="inlineStr">
        <is>
          <t>営業</t>
        </is>
      </c>
      <c r="L3156" t="inlineStr">
        <is>
          <t>18:13:15</t>
        </is>
      </c>
      <c r="M3156" t="inlineStr">
        <is>
          <t>18:13:35</t>
        </is>
      </c>
      <c r="U3156" t="inlineStr">
        <is>
          <t>→帷子ノ辻 休憩(18:34〜19:36)</t>
        </is>
      </c>
    </row>
    <row r="3157" ht="15" customHeight="1" s="37">
      <c r="A3157" t="n">
        <v>23</v>
      </c>
      <c r="B3157" s="10" t="inlineStr">
        <is>
          <t>休日</t>
        </is>
      </c>
      <c r="C3157" s="10" t="inlineStr">
        <is>
          <t>北野線</t>
        </is>
      </c>
      <c r="D3157" s="10" t="inlineStr">
        <is>
          <t>上り</t>
        </is>
      </c>
      <c r="E3157" t="inlineStr">
        <is>
          <t>1852</t>
        </is>
      </c>
      <c r="F3157" t="inlineStr">
        <is>
          <t>0304</t>
        </is>
      </c>
      <c r="G3157" s="10" t="inlineStr">
        <is>
          <t>妙心寺</t>
        </is>
      </c>
      <c r="H3157" s="10" t="inlineStr">
        <is>
          <t>発</t>
        </is>
      </c>
      <c r="J3157" s="10" t="inlineStr">
        <is>
          <t>営業</t>
        </is>
      </c>
      <c r="L3157" t="inlineStr">
        <is>
          <t>18:14:35</t>
        </is>
      </c>
      <c r="M3157" t="inlineStr">
        <is>
          <t>18:14:50</t>
        </is>
      </c>
      <c r="U3157" t="inlineStr">
        <is>
          <t>→帷子ノ辻 休憩(18:34〜19:36)</t>
        </is>
      </c>
    </row>
    <row r="3158" ht="15" customHeight="1" s="37">
      <c r="A3158" t="n">
        <v>23</v>
      </c>
      <c r="B3158" s="10" t="inlineStr">
        <is>
          <t>休日</t>
        </is>
      </c>
      <c r="C3158" s="10" t="inlineStr">
        <is>
          <t>北野線</t>
        </is>
      </c>
      <c r="D3158" s="10" t="inlineStr">
        <is>
          <t>上り</t>
        </is>
      </c>
      <c r="E3158" t="inlineStr">
        <is>
          <t>1852</t>
        </is>
      </c>
      <c r="F3158" t="inlineStr">
        <is>
          <t>0304</t>
        </is>
      </c>
      <c r="G3158" s="10" t="inlineStr">
        <is>
          <t>龍安寺</t>
        </is>
      </c>
      <c r="H3158" s="10" t="inlineStr">
        <is>
          <t>発</t>
        </is>
      </c>
      <c r="J3158" s="10" t="inlineStr">
        <is>
          <t>営業</t>
        </is>
      </c>
      <c r="L3158" t="inlineStr">
        <is>
          <t>18:15:45</t>
        </is>
      </c>
      <c r="M3158" t="inlineStr">
        <is>
          <t>18:15:55</t>
        </is>
      </c>
      <c r="U3158" t="inlineStr">
        <is>
          <t>→帷子ノ辻 休憩(18:34〜19:36)</t>
        </is>
      </c>
    </row>
    <row r="3159" ht="15" customHeight="1" s="37">
      <c r="A3159" t="n">
        <v>23</v>
      </c>
      <c r="B3159" s="10" t="inlineStr">
        <is>
          <t>休日</t>
        </is>
      </c>
      <c r="C3159" s="10" t="inlineStr">
        <is>
          <t>北野線</t>
        </is>
      </c>
      <c r="D3159" s="10" t="inlineStr">
        <is>
          <t>上り</t>
        </is>
      </c>
      <c r="E3159" t="inlineStr">
        <is>
          <t>1852</t>
        </is>
      </c>
      <c r="F3159" t="inlineStr">
        <is>
          <t>0304</t>
        </is>
      </c>
      <c r="G3159" s="10" t="inlineStr">
        <is>
          <t>等持院</t>
        </is>
      </c>
      <c r="H3159" s="10" t="inlineStr">
        <is>
          <t>発</t>
        </is>
      </c>
      <c r="J3159" s="10" t="inlineStr">
        <is>
          <t>営業</t>
        </is>
      </c>
      <c r="L3159" t="inlineStr">
        <is>
          <t>18:16:35</t>
        </is>
      </c>
      <c r="M3159" t="inlineStr">
        <is>
          <t>18:16:55</t>
        </is>
      </c>
      <c r="U3159" t="inlineStr">
        <is>
          <t>→帷子ノ辻 休憩(18:34〜19:36)</t>
        </is>
      </c>
    </row>
    <row r="3160" ht="15" customHeight="1" s="37">
      <c r="A3160" t="n">
        <v>23</v>
      </c>
      <c r="B3160" s="10" t="inlineStr">
        <is>
          <t>休日</t>
        </is>
      </c>
      <c r="C3160" s="10" t="inlineStr">
        <is>
          <t>北野線</t>
        </is>
      </c>
      <c r="D3160" s="10" t="inlineStr">
        <is>
          <t>上り</t>
        </is>
      </c>
      <c r="E3160" t="inlineStr">
        <is>
          <t>1852</t>
        </is>
      </c>
      <c r="F3160" t="inlineStr">
        <is>
          <t>0304</t>
        </is>
      </c>
      <c r="G3160" s="10" t="inlineStr">
        <is>
          <t>北野白梅町</t>
        </is>
      </c>
      <c r="H3160" s="10" t="inlineStr">
        <is>
          <t>着</t>
        </is>
      </c>
      <c r="J3160" s="10" t="inlineStr">
        <is>
          <t>営業</t>
        </is>
      </c>
      <c r="L3160" t="inlineStr">
        <is>
          <t>18:18:15</t>
        </is>
      </c>
      <c r="N3160" t="inlineStr">
        <is>
          <t>○</t>
        </is>
      </c>
      <c r="Q3160" t="inlineStr">
        <is>
          <t>1</t>
        </is>
      </c>
      <c r="U3160" t="inlineStr">
        <is>
          <t>→帷子ノ辻 休憩(18:34〜19:36)</t>
        </is>
      </c>
    </row>
    <row r="3161" ht="15" customHeight="1" s="37">
      <c r="A3161" t="n">
        <v>23</v>
      </c>
      <c r="B3161" s="10" t="inlineStr">
        <is>
          <t>休日</t>
        </is>
      </c>
      <c r="C3161" s="10" t="inlineStr">
        <is>
          <t>北野線</t>
        </is>
      </c>
      <c r="D3161" s="10" t="inlineStr">
        <is>
          <t>下り</t>
        </is>
      </c>
      <c r="E3161" t="inlineStr">
        <is>
          <t>1855</t>
        </is>
      </c>
      <c r="F3161" t="inlineStr">
        <is>
          <t>0453</t>
        </is>
      </c>
      <c r="G3161" s="10" t="inlineStr">
        <is>
          <t>北野白梅町</t>
        </is>
      </c>
      <c r="H3161" s="10" t="inlineStr">
        <is>
          <t>発</t>
        </is>
      </c>
      <c r="J3161" s="10" t="inlineStr">
        <is>
          <t>営業</t>
        </is>
      </c>
      <c r="M3161" t="inlineStr">
        <is>
          <t>18:23:00</t>
        </is>
      </c>
      <c r="Q3161" t="inlineStr">
        <is>
          <t>1</t>
        </is>
      </c>
      <c r="U3161" t="inlineStr">
        <is>
          <t>→帷子ノ辻 休憩(18:34〜19:36)</t>
        </is>
      </c>
    </row>
    <row r="3162" ht="15" customHeight="1" s="37">
      <c r="A3162" t="n">
        <v>23</v>
      </c>
      <c r="B3162" s="10" t="inlineStr">
        <is>
          <t>休日</t>
        </is>
      </c>
      <c r="C3162" s="10" t="inlineStr">
        <is>
          <t>北野線</t>
        </is>
      </c>
      <c r="D3162" s="10" t="inlineStr">
        <is>
          <t>下り</t>
        </is>
      </c>
      <c r="E3162" t="inlineStr">
        <is>
          <t>1855</t>
        </is>
      </c>
      <c r="F3162" t="inlineStr">
        <is>
          <t>0453</t>
        </is>
      </c>
      <c r="G3162" s="10" t="inlineStr">
        <is>
          <t>等持院</t>
        </is>
      </c>
      <c r="H3162" s="10" t="inlineStr">
        <is>
          <t>発</t>
        </is>
      </c>
      <c r="J3162" s="10" t="inlineStr">
        <is>
          <t>営業</t>
        </is>
      </c>
      <c r="L3162" t="inlineStr">
        <is>
          <t>18:24:25</t>
        </is>
      </c>
      <c r="M3162" t="inlineStr">
        <is>
          <t>18:24:35</t>
        </is>
      </c>
      <c r="U3162" t="inlineStr">
        <is>
          <t>→帷子ノ辻 休憩(18:34〜19:36)</t>
        </is>
      </c>
    </row>
    <row r="3163" ht="15" customHeight="1" s="37">
      <c r="A3163" t="n">
        <v>23</v>
      </c>
      <c r="B3163" s="10" t="inlineStr">
        <is>
          <t>休日</t>
        </is>
      </c>
      <c r="C3163" s="10" t="inlineStr">
        <is>
          <t>北野線</t>
        </is>
      </c>
      <c r="D3163" s="10" t="inlineStr">
        <is>
          <t>下り</t>
        </is>
      </c>
      <c r="E3163" t="inlineStr">
        <is>
          <t>1855</t>
        </is>
      </c>
      <c r="F3163" t="inlineStr">
        <is>
          <t>0453</t>
        </is>
      </c>
      <c r="G3163" s="10" t="inlineStr">
        <is>
          <t>龍安寺</t>
        </is>
      </c>
      <c r="H3163" s="10" t="inlineStr">
        <is>
          <t>発</t>
        </is>
      </c>
      <c r="J3163" s="10" t="inlineStr">
        <is>
          <t>営業</t>
        </is>
      </c>
      <c r="L3163" t="inlineStr">
        <is>
          <t>18:25:25</t>
        </is>
      </c>
      <c r="M3163" t="inlineStr">
        <is>
          <t>18:25:50</t>
        </is>
      </c>
      <c r="U3163" t="inlineStr">
        <is>
          <t>→帷子ノ辻 休憩(18:34〜19:36)</t>
        </is>
      </c>
    </row>
    <row r="3164" ht="15" customHeight="1" s="37">
      <c r="A3164" t="n">
        <v>23</v>
      </c>
      <c r="B3164" s="10" t="inlineStr">
        <is>
          <t>休日</t>
        </is>
      </c>
      <c r="C3164" s="10" t="inlineStr">
        <is>
          <t>北野線</t>
        </is>
      </c>
      <c r="D3164" s="10" t="inlineStr">
        <is>
          <t>下り</t>
        </is>
      </c>
      <c r="E3164" t="inlineStr">
        <is>
          <t>1855</t>
        </is>
      </c>
      <c r="F3164" t="inlineStr">
        <is>
          <t>0453</t>
        </is>
      </c>
      <c r="G3164" s="10" t="inlineStr">
        <is>
          <t>妙心寺</t>
        </is>
      </c>
      <c r="H3164" s="10" t="inlineStr">
        <is>
          <t>発</t>
        </is>
      </c>
      <c r="J3164" s="10" t="inlineStr">
        <is>
          <t>営業</t>
        </is>
      </c>
      <c r="L3164" t="inlineStr">
        <is>
          <t>18:26:40</t>
        </is>
      </c>
      <c r="M3164" t="inlineStr">
        <is>
          <t>18:26:50</t>
        </is>
      </c>
      <c r="U3164" t="inlineStr">
        <is>
          <t>→帷子ノ辻 休憩(18:34〜19:36)</t>
        </is>
      </c>
    </row>
    <row r="3165" ht="15" customHeight="1" s="37">
      <c r="A3165" t="n">
        <v>23</v>
      </c>
      <c r="B3165" s="10" t="inlineStr">
        <is>
          <t>休日</t>
        </is>
      </c>
      <c r="C3165" s="10" t="inlineStr">
        <is>
          <t>北野線</t>
        </is>
      </c>
      <c r="D3165" s="10" t="inlineStr">
        <is>
          <t>下り</t>
        </is>
      </c>
      <c r="E3165" t="inlineStr">
        <is>
          <t>1855</t>
        </is>
      </c>
      <c r="F3165" t="inlineStr">
        <is>
          <t>0453</t>
        </is>
      </c>
      <c r="G3165" s="10" t="inlineStr">
        <is>
          <t>御室仁和寺</t>
        </is>
      </c>
      <c r="H3165" s="10" t="inlineStr">
        <is>
          <t>発</t>
        </is>
      </c>
      <c r="J3165" s="10" t="inlineStr">
        <is>
          <t>営業</t>
        </is>
      </c>
      <c r="L3165" t="inlineStr">
        <is>
          <t>18:27:50</t>
        </is>
      </c>
      <c r="M3165" t="inlineStr">
        <is>
          <t>18:28:05</t>
        </is>
      </c>
      <c r="U3165" t="inlineStr">
        <is>
          <t>→帷子ノ辻 休憩(18:34〜19:36)</t>
        </is>
      </c>
    </row>
    <row r="3166" ht="15" customHeight="1" s="37">
      <c r="A3166" t="n">
        <v>23</v>
      </c>
      <c r="B3166" s="10" t="inlineStr">
        <is>
          <t>休日</t>
        </is>
      </c>
      <c r="C3166" s="10" t="inlineStr">
        <is>
          <t>北野線</t>
        </is>
      </c>
      <c r="D3166" s="10" t="inlineStr">
        <is>
          <t>下り</t>
        </is>
      </c>
      <c r="E3166" t="inlineStr">
        <is>
          <t>1855</t>
        </is>
      </c>
      <c r="F3166" t="inlineStr">
        <is>
          <t>0453</t>
        </is>
      </c>
      <c r="G3166" s="10" t="inlineStr">
        <is>
          <t>宇多野</t>
        </is>
      </c>
      <c r="H3166" s="10" t="inlineStr">
        <is>
          <t>発</t>
        </is>
      </c>
      <c r="J3166" s="10" t="inlineStr">
        <is>
          <t>営業</t>
        </is>
      </c>
      <c r="L3166" t="inlineStr">
        <is>
          <t>18:29:05</t>
        </is>
      </c>
      <c r="M3166" t="inlineStr">
        <is>
          <t>18:29:15</t>
        </is>
      </c>
      <c r="U3166" t="inlineStr">
        <is>
          <t>→帷子ノ辻 休憩(18:34〜19:36)</t>
        </is>
      </c>
    </row>
    <row r="3167" ht="15" customHeight="1" s="37">
      <c r="A3167" t="n">
        <v>23</v>
      </c>
      <c r="B3167" s="10" t="inlineStr">
        <is>
          <t>休日</t>
        </is>
      </c>
      <c r="C3167" s="10" t="inlineStr">
        <is>
          <t>北野線</t>
        </is>
      </c>
      <c r="D3167" s="10" t="inlineStr">
        <is>
          <t>下り</t>
        </is>
      </c>
      <c r="E3167" t="inlineStr">
        <is>
          <t>1855</t>
        </is>
      </c>
      <c r="F3167" t="inlineStr">
        <is>
          <t>0453</t>
        </is>
      </c>
      <c r="G3167" s="10" t="inlineStr">
        <is>
          <t>鳴滝</t>
        </is>
      </c>
      <c r="H3167" s="10" t="inlineStr">
        <is>
          <t>発</t>
        </is>
      </c>
      <c r="J3167" s="10" t="inlineStr">
        <is>
          <t>営業</t>
        </is>
      </c>
      <c r="L3167" t="inlineStr">
        <is>
          <t>18:30:35</t>
        </is>
      </c>
      <c r="M3167" t="inlineStr">
        <is>
          <t>18:30:45</t>
        </is>
      </c>
      <c r="U3167" t="inlineStr">
        <is>
          <t>→帷子ノ辻 休憩(18:34〜19:36)</t>
        </is>
      </c>
    </row>
    <row r="3168" ht="15" customHeight="1" s="37">
      <c r="A3168" t="n">
        <v>23</v>
      </c>
      <c r="B3168" s="10" t="inlineStr">
        <is>
          <t>休日</t>
        </is>
      </c>
      <c r="C3168" s="10" t="inlineStr">
        <is>
          <t>北野線</t>
        </is>
      </c>
      <c r="D3168" s="10" t="inlineStr">
        <is>
          <t>下り</t>
        </is>
      </c>
      <c r="E3168" t="inlineStr">
        <is>
          <t>1855</t>
        </is>
      </c>
      <c r="F3168" t="inlineStr">
        <is>
          <t>0453</t>
        </is>
      </c>
      <c r="G3168" s="10" t="inlineStr">
        <is>
          <t>常盤</t>
        </is>
      </c>
      <c r="H3168" s="10" t="inlineStr">
        <is>
          <t>発</t>
        </is>
      </c>
      <c r="J3168" s="10" t="inlineStr">
        <is>
          <t>営業</t>
        </is>
      </c>
      <c r="L3168" t="inlineStr">
        <is>
          <t>18:31:35</t>
        </is>
      </c>
      <c r="M3168" t="inlineStr">
        <is>
          <t>18:31:55</t>
        </is>
      </c>
      <c r="U3168" t="inlineStr">
        <is>
          <t>→帷子ノ辻 休憩(18:34〜19:36)</t>
        </is>
      </c>
    </row>
    <row r="3169" ht="15" customHeight="1" s="37">
      <c r="A3169" t="n">
        <v>23</v>
      </c>
      <c r="B3169" s="10" t="inlineStr">
        <is>
          <t>休日</t>
        </is>
      </c>
      <c r="C3169" s="10" t="inlineStr">
        <is>
          <t>北野線</t>
        </is>
      </c>
      <c r="D3169" s="10" t="inlineStr">
        <is>
          <t>下り</t>
        </is>
      </c>
      <c r="E3169" t="inlineStr">
        <is>
          <t>1855</t>
        </is>
      </c>
      <c r="F3169" t="inlineStr">
        <is>
          <t>0453</t>
        </is>
      </c>
      <c r="G3169" s="10" t="inlineStr">
        <is>
          <t>撮影所前</t>
        </is>
      </c>
      <c r="H3169" s="10" t="inlineStr">
        <is>
          <t>発</t>
        </is>
      </c>
      <c r="J3169" s="10" t="inlineStr">
        <is>
          <t>営業</t>
        </is>
      </c>
      <c r="L3169" t="inlineStr">
        <is>
          <t>18:33:15</t>
        </is>
      </c>
      <c r="M3169" t="inlineStr">
        <is>
          <t>18:33:30</t>
        </is>
      </c>
      <c r="U3169" t="inlineStr">
        <is>
          <t>→帷子ノ辻 休憩(18:34〜19:36)</t>
        </is>
      </c>
    </row>
    <row r="3170" ht="15" customHeight="1" s="37">
      <c r="A3170" t="n">
        <v>23</v>
      </c>
      <c r="B3170" s="10" t="inlineStr">
        <is>
          <t>休日</t>
        </is>
      </c>
      <c r="C3170" s="10" t="inlineStr">
        <is>
          <t>北野線</t>
        </is>
      </c>
      <c r="D3170" s="10" t="inlineStr">
        <is>
          <t>下り</t>
        </is>
      </c>
      <c r="E3170" t="inlineStr">
        <is>
          <t>1855</t>
        </is>
      </c>
      <c r="F3170" t="inlineStr">
        <is>
          <t>0453</t>
        </is>
      </c>
      <c r="G3170" s="10" t="inlineStr">
        <is>
          <t>帷子ノ辻</t>
        </is>
      </c>
      <c r="H3170" s="10" t="inlineStr">
        <is>
          <t>着</t>
        </is>
      </c>
      <c r="J3170" s="10" t="inlineStr">
        <is>
          <t>営業</t>
        </is>
      </c>
      <c r="L3170" t="inlineStr">
        <is>
          <t>18:34:25</t>
        </is>
      </c>
      <c r="Q3170" t="inlineStr">
        <is>
          <t>4</t>
        </is>
      </c>
      <c r="U3170" t="inlineStr">
        <is>
          <t>→帷子ノ辻 休憩(18:34〜19:36)</t>
        </is>
      </c>
    </row>
    <row r="3171" ht="15" customHeight="1" s="37">
      <c r="A3171" t="n">
        <v>23</v>
      </c>
      <c r="B3171" s="10" t="inlineStr">
        <is>
          <t>休日</t>
        </is>
      </c>
      <c r="C3171" s="10" t="inlineStr">
        <is>
          <t>北野線</t>
        </is>
      </c>
      <c r="D3171" s="10" t="inlineStr">
        <is>
          <t>上り</t>
        </is>
      </c>
      <c r="E3171" t="inlineStr">
        <is>
          <t>1958</t>
        </is>
      </c>
      <c r="F3171" t="inlineStr">
        <is>
          <t>0304</t>
        </is>
      </c>
      <c r="G3171" s="10" t="inlineStr">
        <is>
          <t>帷子ノ辻</t>
        </is>
      </c>
      <c r="H3171" s="10" t="inlineStr">
        <is>
          <t>発</t>
        </is>
      </c>
      <c r="J3171" s="10" t="inlineStr">
        <is>
          <t>営業</t>
        </is>
      </c>
      <c r="M3171" t="inlineStr">
        <is>
          <t>19:36:25</t>
        </is>
      </c>
      <c r="Q3171" t="inlineStr">
        <is>
          <t>3</t>
        </is>
      </c>
    </row>
    <row r="3172" ht="15" customHeight="1" s="37">
      <c r="A3172" t="n">
        <v>23</v>
      </c>
      <c r="B3172" s="10" t="inlineStr">
        <is>
          <t>休日</t>
        </is>
      </c>
      <c r="C3172" s="10" t="inlineStr">
        <is>
          <t>北野線</t>
        </is>
      </c>
      <c r="D3172" s="10" t="inlineStr">
        <is>
          <t>上り</t>
        </is>
      </c>
      <c r="E3172" t="inlineStr">
        <is>
          <t>1958</t>
        </is>
      </c>
      <c r="F3172" t="inlineStr">
        <is>
          <t>0304</t>
        </is>
      </c>
      <c r="G3172" s="10" t="inlineStr">
        <is>
          <t>撮影所前</t>
        </is>
      </c>
      <c r="H3172" s="10" t="inlineStr">
        <is>
          <t>発</t>
        </is>
      </c>
      <c r="J3172" s="10" t="inlineStr">
        <is>
          <t>営業</t>
        </is>
      </c>
      <c r="L3172" t="inlineStr">
        <is>
          <t>19:37:25</t>
        </is>
      </c>
      <c r="M3172" t="inlineStr">
        <is>
          <t>19:37:40</t>
        </is>
      </c>
    </row>
    <row r="3173" ht="15" customHeight="1" s="37">
      <c r="A3173" t="n">
        <v>23</v>
      </c>
      <c r="B3173" s="10" t="inlineStr">
        <is>
          <t>休日</t>
        </is>
      </c>
      <c r="C3173" s="10" t="inlineStr">
        <is>
          <t>北野線</t>
        </is>
      </c>
      <c r="D3173" s="10" t="inlineStr">
        <is>
          <t>上り</t>
        </is>
      </c>
      <c r="E3173" t="inlineStr">
        <is>
          <t>1958</t>
        </is>
      </c>
      <c r="F3173" t="inlineStr">
        <is>
          <t>0304</t>
        </is>
      </c>
      <c r="G3173" s="10" t="inlineStr">
        <is>
          <t>常盤</t>
        </is>
      </c>
      <c r="H3173" s="10" t="inlineStr">
        <is>
          <t>発</t>
        </is>
      </c>
      <c r="J3173" s="10" t="inlineStr">
        <is>
          <t>営業</t>
        </is>
      </c>
      <c r="L3173" t="inlineStr">
        <is>
          <t>19:39:00</t>
        </is>
      </c>
      <c r="M3173" t="inlineStr">
        <is>
          <t>19:39:20</t>
        </is>
      </c>
    </row>
    <row r="3174" ht="15" customHeight="1" s="37">
      <c r="A3174" t="n">
        <v>23</v>
      </c>
      <c r="B3174" s="10" t="inlineStr">
        <is>
          <t>休日</t>
        </is>
      </c>
      <c r="C3174" s="10" t="inlineStr">
        <is>
          <t>北野線</t>
        </is>
      </c>
      <c r="D3174" s="10" t="inlineStr">
        <is>
          <t>上り</t>
        </is>
      </c>
      <c r="E3174" t="inlineStr">
        <is>
          <t>1958</t>
        </is>
      </c>
      <c r="F3174" t="inlineStr">
        <is>
          <t>0304</t>
        </is>
      </c>
      <c r="G3174" s="10" t="inlineStr">
        <is>
          <t>鳴滝</t>
        </is>
      </c>
      <c r="H3174" s="10" t="inlineStr">
        <is>
          <t>発</t>
        </is>
      </c>
      <c r="J3174" s="10" t="inlineStr">
        <is>
          <t>営業</t>
        </is>
      </c>
      <c r="L3174" t="inlineStr">
        <is>
          <t>19:40:20</t>
        </is>
      </c>
      <c r="M3174" t="inlineStr">
        <is>
          <t>19:40:40</t>
        </is>
      </c>
    </row>
    <row r="3175" ht="15" customHeight="1" s="37">
      <c r="A3175" t="n">
        <v>23</v>
      </c>
      <c r="B3175" s="10" t="inlineStr">
        <is>
          <t>休日</t>
        </is>
      </c>
      <c r="C3175" s="10" t="inlineStr">
        <is>
          <t>北野線</t>
        </is>
      </c>
      <c r="D3175" s="10" t="inlineStr">
        <is>
          <t>上り</t>
        </is>
      </c>
      <c r="E3175" t="inlineStr">
        <is>
          <t>1958</t>
        </is>
      </c>
      <c r="F3175" t="inlineStr">
        <is>
          <t>0304</t>
        </is>
      </c>
      <c r="G3175" s="10" t="inlineStr">
        <is>
          <t>宇多野</t>
        </is>
      </c>
      <c r="H3175" s="10" t="inlineStr">
        <is>
          <t>発</t>
        </is>
      </c>
      <c r="J3175" s="10" t="inlineStr">
        <is>
          <t>営業</t>
        </is>
      </c>
      <c r="L3175" t="inlineStr">
        <is>
          <t>19:42:00</t>
        </is>
      </c>
      <c r="M3175" t="inlineStr">
        <is>
          <t>19:42:15</t>
        </is>
      </c>
    </row>
    <row r="3176" ht="15" customHeight="1" s="37">
      <c r="A3176" t="n">
        <v>23</v>
      </c>
      <c r="B3176" s="10" t="inlineStr">
        <is>
          <t>休日</t>
        </is>
      </c>
      <c r="C3176" s="10" t="inlineStr">
        <is>
          <t>北野線</t>
        </is>
      </c>
      <c r="D3176" s="10" t="inlineStr">
        <is>
          <t>上り</t>
        </is>
      </c>
      <c r="E3176" t="inlineStr">
        <is>
          <t>1958</t>
        </is>
      </c>
      <c r="F3176" t="inlineStr">
        <is>
          <t>0304</t>
        </is>
      </c>
      <c r="G3176" s="10" t="inlineStr">
        <is>
          <t>御室仁和寺</t>
        </is>
      </c>
      <c r="H3176" s="10" t="inlineStr">
        <is>
          <t>発</t>
        </is>
      </c>
      <c r="J3176" s="10" t="inlineStr">
        <is>
          <t>営業</t>
        </is>
      </c>
      <c r="L3176" t="inlineStr">
        <is>
          <t>19:43:15</t>
        </is>
      </c>
      <c r="M3176" t="inlineStr">
        <is>
          <t>19:43:35</t>
        </is>
      </c>
    </row>
    <row r="3177" ht="15" customHeight="1" s="37">
      <c r="A3177" t="n">
        <v>23</v>
      </c>
      <c r="B3177" s="10" t="inlineStr">
        <is>
          <t>休日</t>
        </is>
      </c>
      <c r="C3177" s="10" t="inlineStr">
        <is>
          <t>北野線</t>
        </is>
      </c>
      <c r="D3177" s="10" t="inlineStr">
        <is>
          <t>上り</t>
        </is>
      </c>
      <c r="E3177" t="inlineStr">
        <is>
          <t>1958</t>
        </is>
      </c>
      <c r="F3177" t="inlineStr">
        <is>
          <t>0304</t>
        </is>
      </c>
      <c r="G3177" s="10" t="inlineStr">
        <is>
          <t>妙心寺</t>
        </is>
      </c>
      <c r="H3177" s="10" t="inlineStr">
        <is>
          <t>発</t>
        </is>
      </c>
      <c r="J3177" s="10" t="inlineStr">
        <is>
          <t>営業</t>
        </is>
      </c>
      <c r="L3177" t="inlineStr">
        <is>
          <t>19:44:35</t>
        </is>
      </c>
      <c r="M3177" t="inlineStr">
        <is>
          <t>19:44:50</t>
        </is>
      </c>
    </row>
    <row r="3178" ht="15" customHeight="1" s="37">
      <c r="A3178" t="n">
        <v>23</v>
      </c>
      <c r="B3178" s="10" t="inlineStr">
        <is>
          <t>休日</t>
        </is>
      </c>
      <c r="C3178" s="10" t="inlineStr">
        <is>
          <t>北野線</t>
        </is>
      </c>
      <c r="D3178" s="10" t="inlineStr">
        <is>
          <t>上り</t>
        </is>
      </c>
      <c r="E3178" t="inlineStr">
        <is>
          <t>1958</t>
        </is>
      </c>
      <c r="F3178" t="inlineStr">
        <is>
          <t>0304</t>
        </is>
      </c>
      <c r="G3178" s="10" t="inlineStr">
        <is>
          <t>龍安寺</t>
        </is>
      </c>
      <c r="H3178" s="10" t="inlineStr">
        <is>
          <t>発</t>
        </is>
      </c>
      <c r="J3178" s="10" t="inlineStr">
        <is>
          <t>営業</t>
        </is>
      </c>
      <c r="L3178" t="inlineStr">
        <is>
          <t>19:45:45</t>
        </is>
      </c>
      <c r="M3178" t="inlineStr">
        <is>
          <t>19:45:55</t>
        </is>
      </c>
    </row>
    <row r="3179" ht="15" customHeight="1" s="37">
      <c r="A3179" t="n">
        <v>23</v>
      </c>
      <c r="B3179" s="10" t="inlineStr">
        <is>
          <t>休日</t>
        </is>
      </c>
      <c r="C3179" s="10" t="inlineStr">
        <is>
          <t>北野線</t>
        </is>
      </c>
      <c r="D3179" s="10" t="inlineStr">
        <is>
          <t>上り</t>
        </is>
      </c>
      <c r="E3179" t="inlineStr">
        <is>
          <t>1958</t>
        </is>
      </c>
      <c r="F3179" t="inlineStr">
        <is>
          <t>0304</t>
        </is>
      </c>
      <c r="G3179" s="10" t="inlineStr">
        <is>
          <t>等持院</t>
        </is>
      </c>
      <c r="H3179" s="10" t="inlineStr">
        <is>
          <t>発</t>
        </is>
      </c>
      <c r="J3179" s="10" t="inlineStr">
        <is>
          <t>営業</t>
        </is>
      </c>
      <c r="L3179" t="inlineStr">
        <is>
          <t>19:46:35</t>
        </is>
      </c>
      <c r="M3179" t="inlineStr">
        <is>
          <t>19:46:55</t>
        </is>
      </c>
    </row>
    <row r="3180" ht="15" customHeight="1" s="37">
      <c r="A3180" t="n">
        <v>23</v>
      </c>
      <c r="B3180" s="10" t="inlineStr">
        <is>
          <t>休日</t>
        </is>
      </c>
      <c r="C3180" s="10" t="inlineStr">
        <is>
          <t>北野線</t>
        </is>
      </c>
      <c r="D3180" s="10" t="inlineStr">
        <is>
          <t>上り</t>
        </is>
      </c>
      <c r="E3180" t="inlineStr">
        <is>
          <t>1958</t>
        </is>
      </c>
      <c r="F3180" t="inlineStr">
        <is>
          <t>0304</t>
        </is>
      </c>
      <c r="G3180" s="10" t="inlineStr">
        <is>
          <t>北野白梅町</t>
        </is>
      </c>
      <c r="H3180" s="10" t="inlineStr">
        <is>
          <t>着</t>
        </is>
      </c>
      <c r="J3180" s="10" t="inlineStr">
        <is>
          <t>営業</t>
        </is>
      </c>
      <c r="L3180" t="inlineStr">
        <is>
          <t>19:48:15</t>
        </is>
      </c>
      <c r="N3180" t="inlineStr">
        <is>
          <t>○</t>
        </is>
      </c>
      <c r="Q3180" t="inlineStr">
        <is>
          <t>1</t>
        </is>
      </c>
    </row>
    <row r="3181" ht="15" customHeight="1" s="37">
      <c r="A3181" t="n">
        <v>23</v>
      </c>
      <c r="B3181" s="10" t="inlineStr">
        <is>
          <t>休日</t>
        </is>
      </c>
      <c r="C3181" s="10" t="inlineStr">
        <is>
          <t>北野線</t>
        </is>
      </c>
      <c r="D3181" s="10" t="inlineStr">
        <is>
          <t>下り</t>
        </is>
      </c>
      <c r="E3181" t="inlineStr">
        <is>
          <t>1961</t>
        </is>
      </c>
      <c r="F3181" t="inlineStr">
        <is>
          <t>0453</t>
        </is>
      </c>
      <c r="G3181" s="10" t="inlineStr">
        <is>
          <t>北野白梅町</t>
        </is>
      </c>
      <c r="H3181" s="10" t="inlineStr">
        <is>
          <t>発</t>
        </is>
      </c>
      <c r="J3181" s="10" t="inlineStr">
        <is>
          <t>営業</t>
        </is>
      </c>
      <c r="M3181" t="inlineStr">
        <is>
          <t>19:53:00</t>
        </is>
      </c>
      <c r="Q3181" t="inlineStr">
        <is>
          <t>1</t>
        </is>
      </c>
    </row>
    <row r="3182" ht="15" customHeight="1" s="37">
      <c r="A3182" t="n">
        <v>23</v>
      </c>
      <c r="B3182" s="10" t="inlineStr">
        <is>
          <t>休日</t>
        </is>
      </c>
      <c r="C3182" s="10" t="inlineStr">
        <is>
          <t>北野線</t>
        </is>
      </c>
      <c r="D3182" s="10" t="inlineStr">
        <is>
          <t>下り</t>
        </is>
      </c>
      <c r="E3182" t="inlineStr">
        <is>
          <t>1961</t>
        </is>
      </c>
      <c r="F3182" t="inlineStr">
        <is>
          <t>0453</t>
        </is>
      </c>
      <c r="G3182" s="10" t="inlineStr">
        <is>
          <t>等持院</t>
        </is>
      </c>
      <c r="H3182" s="10" t="inlineStr">
        <is>
          <t>発</t>
        </is>
      </c>
      <c r="J3182" s="10" t="inlineStr">
        <is>
          <t>営業</t>
        </is>
      </c>
      <c r="L3182" t="inlineStr">
        <is>
          <t>19:54:25</t>
        </is>
      </c>
      <c r="M3182" t="inlineStr">
        <is>
          <t>19:54:35</t>
        </is>
      </c>
    </row>
    <row r="3183" ht="15" customHeight="1" s="37">
      <c r="A3183" t="n">
        <v>23</v>
      </c>
      <c r="B3183" s="10" t="inlineStr">
        <is>
          <t>休日</t>
        </is>
      </c>
      <c r="C3183" s="10" t="inlineStr">
        <is>
          <t>北野線</t>
        </is>
      </c>
      <c r="D3183" s="10" t="inlineStr">
        <is>
          <t>下り</t>
        </is>
      </c>
      <c r="E3183" t="inlineStr">
        <is>
          <t>1961</t>
        </is>
      </c>
      <c r="F3183" t="inlineStr">
        <is>
          <t>0453</t>
        </is>
      </c>
      <c r="G3183" s="10" t="inlineStr">
        <is>
          <t>龍安寺</t>
        </is>
      </c>
      <c r="H3183" s="10" t="inlineStr">
        <is>
          <t>発</t>
        </is>
      </c>
      <c r="J3183" s="10" t="inlineStr">
        <is>
          <t>営業</t>
        </is>
      </c>
      <c r="L3183" t="inlineStr">
        <is>
          <t>19:55:25</t>
        </is>
      </c>
      <c r="M3183" t="inlineStr">
        <is>
          <t>19:55:50</t>
        </is>
      </c>
    </row>
    <row r="3184" ht="15" customHeight="1" s="37">
      <c r="A3184" t="n">
        <v>23</v>
      </c>
      <c r="B3184" s="10" t="inlineStr">
        <is>
          <t>休日</t>
        </is>
      </c>
      <c r="C3184" s="10" t="inlineStr">
        <is>
          <t>北野線</t>
        </is>
      </c>
      <c r="D3184" s="10" t="inlineStr">
        <is>
          <t>下り</t>
        </is>
      </c>
      <c r="E3184" t="inlineStr">
        <is>
          <t>1961</t>
        </is>
      </c>
      <c r="F3184" t="inlineStr">
        <is>
          <t>0453</t>
        </is>
      </c>
      <c r="G3184" s="10" t="inlineStr">
        <is>
          <t>妙心寺</t>
        </is>
      </c>
      <c r="H3184" s="10" t="inlineStr">
        <is>
          <t>発</t>
        </is>
      </c>
      <c r="J3184" s="10" t="inlineStr">
        <is>
          <t>営業</t>
        </is>
      </c>
      <c r="L3184" t="inlineStr">
        <is>
          <t>19:56:40</t>
        </is>
      </c>
      <c r="M3184" t="inlineStr">
        <is>
          <t>19:56:50</t>
        </is>
      </c>
    </row>
    <row r="3185" ht="15" customHeight="1" s="37">
      <c r="A3185" t="n">
        <v>23</v>
      </c>
      <c r="B3185" s="10" t="inlineStr">
        <is>
          <t>休日</t>
        </is>
      </c>
      <c r="C3185" s="10" t="inlineStr">
        <is>
          <t>北野線</t>
        </is>
      </c>
      <c r="D3185" s="10" t="inlineStr">
        <is>
          <t>下り</t>
        </is>
      </c>
      <c r="E3185" t="inlineStr">
        <is>
          <t>1961</t>
        </is>
      </c>
      <c r="F3185" t="inlineStr">
        <is>
          <t>0453</t>
        </is>
      </c>
      <c r="G3185" s="10" t="inlineStr">
        <is>
          <t>御室仁和寺</t>
        </is>
      </c>
      <c r="H3185" s="10" t="inlineStr">
        <is>
          <t>発</t>
        </is>
      </c>
      <c r="J3185" s="10" t="inlineStr">
        <is>
          <t>営業</t>
        </is>
      </c>
      <c r="L3185" t="inlineStr">
        <is>
          <t>19:57:50</t>
        </is>
      </c>
      <c r="M3185" t="inlineStr">
        <is>
          <t>19:58:05</t>
        </is>
      </c>
    </row>
    <row r="3186" ht="15" customHeight="1" s="37">
      <c r="A3186" t="n">
        <v>23</v>
      </c>
      <c r="B3186" s="10" t="inlineStr">
        <is>
          <t>休日</t>
        </is>
      </c>
      <c r="C3186" s="10" t="inlineStr">
        <is>
          <t>北野線</t>
        </is>
      </c>
      <c r="D3186" s="10" t="inlineStr">
        <is>
          <t>下り</t>
        </is>
      </c>
      <c r="E3186" t="inlineStr">
        <is>
          <t>1961</t>
        </is>
      </c>
      <c r="F3186" t="inlineStr">
        <is>
          <t>0453</t>
        </is>
      </c>
      <c r="G3186" s="10" t="inlineStr">
        <is>
          <t>宇多野</t>
        </is>
      </c>
      <c r="H3186" s="10" t="inlineStr">
        <is>
          <t>発</t>
        </is>
      </c>
      <c r="J3186" s="10" t="inlineStr">
        <is>
          <t>営業</t>
        </is>
      </c>
      <c r="L3186" t="inlineStr">
        <is>
          <t>19:59:05</t>
        </is>
      </c>
      <c r="M3186" t="inlineStr">
        <is>
          <t>19:59:15</t>
        </is>
      </c>
    </row>
    <row r="3187" ht="15" customHeight="1" s="37">
      <c r="A3187" t="n">
        <v>23</v>
      </c>
      <c r="B3187" s="10" t="inlineStr">
        <is>
          <t>休日</t>
        </is>
      </c>
      <c r="C3187" s="10" t="inlineStr">
        <is>
          <t>北野線</t>
        </is>
      </c>
      <c r="D3187" s="10" t="inlineStr">
        <is>
          <t>下り</t>
        </is>
      </c>
      <c r="E3187" t="inlineStr">
        <is>
          <t>1961</t>
        </is>
      </c>
      <c r="F3187" t="inlineStr">
        <is>
          <t>0453</t>
        </is>
      </c>
      <c r="G3187" s="10" t="inlineStr">
        <is>
          <t>鳴滝</t>
        </is>
      </c>
      <c r="H3187" s="10" t="inlineStr">
        <is>
          <t>発</t>
        </is>
      </c>
      <c r="J3187" s="10" t="inlineStr">
        <is>
          <t>営業</t>
        </is>
      </c>
      <c r="L3187" t="inlineStr">
        <is>
          <t>20:00:35</t>
        </is>
      </c>
      <c r="M3187" t="inlineStr">
        <is>
          <t>20:00:45</t>
        </is>
      </c>
    </row>
    <row r="3188" ht="15" customHeight="1" s="37">
      <c r="A3188" t="n">
        <v>23</v>
      </c>
      <c r="B3188" s="10" t="inlineStr">
        <is>
          <t>休日</t>
        </is>
      </c>
      <c r="C3188" s="10" t="inlineStr">
        <is>
          <t>北野線</t>
        </is>
      </c>
      <c r="D3188" s="10" t="inlineStr">
        <is>
          <t>下り</t>
        </is>
      </c>
      <c r="E3188" t="inlineStr">
        <is>
          <t>1961</t>
        </is>
      </c>
      <c r="F3188" t="inlineStr">
        <is>
          <t>0453</t>
        </is>
      </c>
      <c r="G3188" s="10" t="inlineStr">
        <is>
          <t>常盤</t>
        </is>
      </c>
      <c r="H3188" s="10" t="inlineStr">
        <is>
          <t>発</t>
        </is>
      </c>
      <c r="J3188" s="10" t="inlineStr">
        <is>
          <t>営業</t>
        </is>
      </c>
      <c r="L3188" t="inlineStr">
        <is>
          <t>20:01:35</t>
        </is>
      </c>
      <c r="M3188" t="inlineStr">
        <is>
          <t>20:01:55</t>
        </is>
      </c>
    </row>
    <row r="3189" ht="15" customHeight="1" s="37">
      <c r="A3189" t="n">
        <v>23</v>
      </c>
      <c r="B3189" s="10" t="inlineStr">
        <is>
          <t>休日</t>
        </is>
      </c>
      <c r="C3189" s="10" t="inlineStr">
        <is>
          <t>北野線</t>
        </is>
      </c>
      <c r="D3189" s="10" t="inlineStr">
        <is>
          <t>下り</t>
        </is>
      </c>
      <c r="E3189" t="inlineStr">
        <is>
          <t>1961</t>
        </is>
      </c>
      <c r="F3189" t="inlineStr">
        <is>
          <t>0453</t>
        </is>
      </c>
      <c r="G3189" s="10" t="inlineStr">
        <is>
          <t>撮影所前</t>
        </is>
      </c>
      <c r="H3189" s="10" t="inlineStr">
        <is>
          <t>発</t>
        </is>
      </c>
      <c r="J3189" s="10" t="inlineStr">
        <is>
          <t>営業</t>
        </is>
      </c>
      <c r="L3189" t="inlineStr">
        <is>
          <t>20:03:15</t>
        </is>
      </c>
      <c r="M3189" t="inlineStr">
        <is>
          <t>20:03:30</t>
        </is>
      </c>
    </row>
    <row r="3190" ht="15" customHeight="1" s="37">
      <c r="A3190" t="n">
        <v>23</v>
      </c>
      <c r="B3190" s="10" t="inlineStr">
        <is>
          <t>休日</t>
        </is>
      </c>
      <c r="C3190" s="10" t="inlineStr">
        <is>
          <t>北野線</t>
        </is>
      </c>
      <c r="D3190" s="10" t="inlineStr">
        <is>
          <t>下り</t>
        </is>
      </c>
      <c r="E3190" t="inlineStr">
        <is>
          <t>1961</t>
        </is>
      </c>
      <c r="F3190" t="inlineStr">
        <is>
          <t>0453</t>
        </is>
      </c>
      <c r="G3190" s="10" t="inlineStr">
        <is>
          <t>帷子ノ辻</t>
        </is>
      </c>
      <c r="H3190" s="10" t="inlineStr">
        <is>
          <t>着</t>
        </is>
      </c>
      <c r="J3190" s="10" t="inlineStr">
        <is>
          <t>営業</t>
        </is>
      </c>
      <c r="L3190" t="inlineStr">
        <is>
          <t>20:04:25</t>
        </is>
      </c>
      <c r="Q3190" t="inlineStr">
        <is>
          <t>3</t>
        </is>
      </c>
    </row>
    <row r="3191" ht="15" customHeight="1" s="37">
      <c r="A3191" t="n">
        <v>23</v>
      </c>
      <c r="B3191" s="10" t="inlineStr">
        <is>
          <t>休日</t>
        </is>
      </c>
      <c r="C3191" s="10" t="inlineStr">
        <is>
          <t>北野線</t>
        </is>
      </c>
      <c r="D3191" s="10" t="inlineStr">
        <is>
          <t>上り</t>
        </is>
      </c>
      <c r="E3191" t="inlineStr">
        <is>
          <t>2054</t>
        </is>
      </c>
      <c r="F3191" t="inlineStr">
        <is>
          <t>0304</t>
        </is>
      </c>
      <c r="G3191" s="10" t="inlineStr">
        <is>
          <t>帷子ノ辻</t>
        </is>
      </c>
      <c r="H3191" s="10" t="inlineStr">
        <is>
          <t>発</t>
        </is>
      </c>
      <c r="J3191" s="10" t="inlineStr">
        <is>
          <t>営業</t>
        </is>
      </c>
      <c r="M3191" t="inlineStr">
        <is>
          <t>20:16:25</t>
        </is>
      </c>
      <c r="Q3191" t="inlineStr">
        <is>
          <t>3</t>
        </is>
      </c>
    </row>
    <row r="3192" ht="15" customHeight="1" s="37">
      <c r="A3192" t="n">
        <v>23</v>
      </c>
      <c r="B3192" s="10" t="inlineStr">
        <is>
          <t>休日</t>
        </is>
      </c>
      <c r="C3192" s="10" t="inlineStr">
        <is>
          <t>北野線</t>
        </is>
      </c>
      <c r="D3192" s="10" t="inlineStr">
        <is>
          <t>上り</t>
        </is>
      </c>
      <c r="E3192" t="inlineStr">
        <is>
          <t>2054</t>
        </is>
      </c>
      <c r="F3192" t="inlineStr">
        <is>
          <t>0304</t>
        </is>
      </c>
      <c r="G3192" s="10" t="inlineStr">
        <is>
          <t>撮影所前</t>
        </is>
      </c>
      <c r="H3192" s="10" t="inlineStr">
        <is>
          <t>発</t>
        </is>
      </c>
      <c r="J3192" s="10" t="inlineStr">
        <is>
          <t>営業</t>
        </is>
      </c>
      <c r="L3192" t="inlineStr">
        <is>
          <t>20:17:25</t>
        </is>
      </c>
      <c r="M3192" t="inlineStr">
        <is>
          <t>20:17:40</t>
        </is>
      </c>
    </row>
    <row r="3193" ht="15" customHeight="1" s="37">
      <c r="A3193" t="n">
        <v>23</v>
      </c>
      <c r="B3193" s="10" t="inlineStr">
        <is>
          <t>休日</t>
        </is>
      </c>
      <c r="C3193" s="10" t="inlineStr">
        <is>
          <t>北野線</t>
        </is>
      </c>
      <c r="D3193" s="10" t="inlineStr">
        <is>
          <t>上り</t>
        </is>
      </c>
      <c r="E3193" t="inlineStr">
        <is>
          <t>2054</t>
        </is>
      </c>
      <c r="F3193" t="inlineStr">
        <is>
          <t>0304</t>
        </is>
      </c>
      <c r="G3193" s="10" t="inlineStr">
        <is>
          <t>常盤</t>
        </is>
      </c>
      <c r="H3193" s="10" t="inlineStr">
        <is>
          <t>発</t>
        </is>
      </c>
      <c r="J3193" s="10" t="inlineStr">
        <is>
          <t>営業</t>
        </is>
      </c>
      <c r="L3193" t="inlineStr">
        <is>
          <t>20:19:00</t>
        </is>
      </c>
      <c r="M3193" t="inlineStr">
        <is>
          <t>20:19:20</t>
        </is>
      </c>
    </row>
    <row r="3194" ht="15" customHeight="1" s="37">
      <c r="A3194" t="n">
        <v>23</v>
      </c>
      <c r="B3194" s="10" t="inlineStr">
        <is>
          <t>休日</t>
        </is>
      </c>
      <c r="C3194" s="10" t="inlineStr">
        <is>
          <t>北野線</t>
        </is>
      </c>
      <c r="D3194" s="10" t="inlineStr">
        <is>
          <t>上り</t>
        </is>
      </c>
      <c r="E3194" t="inlineStr">
        <is>
          <t>2054</t>
        </is>
      </c>
      <c r="F3194" t="inlineStr">
        <is>
          <t>0304</t>
        </is>
      </c>
      <c r="G3194" s="10" t="inlineStr">
        <is>
          <t>鳴滝</t>
        </is>
      </c>
      <c r="H3194" s="10" t="inlineStr">
        <is>
          <t>発</t>
        </is>
      </c>
      <c r="J3194" s="10" t="inlineStr">
        <is>
          <t>営業</t>
        </is>
      </c>
      <c r="L3194" t="inlineStr">
        <is>
          <t>20:20:20</t>
        </is>
      </c>
      <c r="M3194" t="inlineStr">
        <is>
          <t>20:20:40</t>
        </is>
      </c>
    </row>
    <row r="3195" ht="15" customHeight="1" s="37">
      <c r="A3195" t="n">
        <v>23</v>
      </c>
      <c r="B3195" s="10" t="inlineStr">
        <is>
          <t>休日</t>
        </is>
      </c>
      <c r="C3195" s="10" t="inlineStr">
        <is>
          <t>北野線</t>
        </is>
      </c>
      <c r="D3195" s="10" t="inlineStr">
        <is>
          <t>上り</t>
        </is>
      </c>
      <c r="E3195" t="inlineStr">
        <is>
          <t>2054</t>
        </is>
      </c>
      <c r="F3195" t="inlineStr">
        <is>
          <t>0304</t>
        </is>
      </c>
      <c r="G3195" s="10" t="inlineStr">
        <is>
          <t>宇多野</t>
        </is>
      </c>
      <c r="H3195" s="10" t="inlineStr">
        <is>
          <t>発</t>
        </is>
      </c>
      <c r="J3195" s="10" t="inlineStr">
        <is>
          <t>営業</t>
        </is>
      </c>
      <c r="L3195" t="inlineStr">
        <is>
          <t>20:22:00</t>
        </is>
      </c>
      <c r="M3195" t="inlineStr">
        <is>
          <t>20:22:15</t>
        </is>
      </c>
    </row>
    <row r="3196" ht="15" customHeight="1" s="37">
      <c r="A3196" t="n">
        <v>23</v>
      </c>
      <c r="B3196" s="10" t="inlineStr">
        <is>
          <t>休日</t>
        </is>
      </c>
      <c r="C3196" s="10" t="inlineStr">
        <is>
          <t>北野線</t>
        </is>
      </c>
      <c r="D3196" s="10" t="inlineStr">
        <is>
          <t>上り</t>
        </is>
      </c>
      <c r="E3196" t="inlineStr">
        <is>
          <t>2054</t>
        </is>
      </c>
      <c r="F3196" t="inlineStr">
        <is>
          <t>0304</t>
        </is>
      </c>
      <c r="G3196" s="10" t="inlineStr">
        <is>
          <t>御室仁和寺</t>
        </is>
      </c>
      <c r="H3196" s="10" t="inlineStr">
        <is>
          <t>発</t>
        </is>
      </c>
      <c r="J3196" s="10" t="inlineStr">
        <is>
          <t>営業</t>
        </is>
      </c>
      <c r="L3196" t="inlineStr">
        <is>
          <t>20:23:15</t>
        </is>
      </c>
      <c r="M3196" t="inlineStr">
        <is>
          <t>20:23:35</t>
        </is>
      </c>
    </row>
    <row r="3197" ht="15" customHeight="1" s="37">
      <c r="A3197" t="n">
        <v>23</v>
      </c>
      <c r="B3197" s="10" t="inlineStr">
        <is>
          <t>休日</t>
        </is>
      </c>
      <c r="C3197" s="10" t="inlineStr">
        <is>
          <t>北野線</t>
        </is>
      </c>
      <c r="D3197" s="10" t="inlineStr">
        <is>
          <t>上り</t>
        </is>
      </c>
      <c r="E3197" t="inlineStr">
        <is>
          <t>2054</t>
        </is>
      </c>
      <c r="F3197" t="inlineStr">
        <is>
          <t>0304</t>
        </is>
      </c>
      <c r="G3197" s="10" t="inlineStr">
        <is>
          <t>妙心寺</t>
        </is>
      </c>
      <c r="H3197" s="10" t="inlineStr">
        <is>
          <t>発</t>
        </is>
      </c>
      <c r="J3197" s="10" t="inlineStr">
        <is>
          <t>営業</t>
        </is>
      </c>
      <c r="L3197" t="inlineStr">
        <is>
          <t>20:24:35</t>
        </is>
      </c>
      <c r="M3197" t="inlineStr">
        <is>
          <t>20:24:50</t>
        </is>
      </c>
    </row>
    <row r="3198" ht="15" customHeight="1" s="37">
      <c r="A3198" t="n">
        <v>23</v>
      </c>
      <c r="B3198" s="10" t="inlineStr">
        <is>
          <t>休日</t>
        </is>
      </c>
      <c r="C3198" s="10" t="inlineStr">
        <is>
          <t>北野線</t>
        </is>
      </c>
      <c r="D3198" s="10" t="inlineStr">
        <is>
          <t>上り</t>
        </is>
      </c>
      <c r="E3198" t="inlineStr">
        <is>
          <t>2054</t>
        </is>
      </c>
      <c r="F3198" t="inlineStr">
        <is>
          <t>0304</t>
        </is>
      </c>
      <c r="G3198" s="10" t="inlineStr">
        <is>
          <t>龍安寺</t>
        </is>
      </c>
      <c r="H3198" s="10" t="inlineStr">
        <is>
          <t>発</t>
        </is>
      </c>
      <c r="J3198" s="10" t="inlineStr">
        <is>
          <t>営業</t>
        </is>
      </c>
      <c r="L3198" t="inlineStr">
        <is>
          <t>20:25:45</t>
        </is>
      </c>
      <c r="M3198" t="inlineStr">
        <is>
          <t>20:25:55</t>
        </is>
      </c>
    </row>
    <row r="3199" ht="15" customHeight="1" s="37">
      <c r="A3199" t="n">
        <v>23</v>
      </c>
      <c r="B3199" s="10" t="inlineStr">
        <is>
          <t>休日</t>
        </is>
      </c>
      <c r="C3199" s="10" t="inlineStr">
        <is>
          <t>北野線</t>
        </is>
      </c>
      <c r="D3199" s="10" t="inlineStr">
        <is>
          <t>上り</t>
        </is>
      </c>
      <c r="E3199" t="inlineStr">
        <is>
          <t>2054</t>
        </is>
      </c>
      <c r="F3199" t="inlineStr">
        <is>
          <t>0304</t>
        </is>
      </c>
      <c r="G3199" s="10" t="inlineStr">
        <is>
          <t>等持院</t>
        </is>
      </c>
      <c r="H3199" s="10" t="inlineStr">
        <is>
          <t>発</t>
        </is>
      </c>
      <c r="J3199" s="10" t="inlineStr">
        <is>
          <t>営業</t>
        </is>
      </c>
      <c r="L3199" t="inlineStr">
        <is>
          <t>20:26:35</t>
        </is>
      </c>
      <c r="M3199" t="inlineStr">
        <is>
          <t>20:26:55</t>
        </is>
      </c>
    </row>
    <row r="3200" ht="15" customHeight="1" s="37">
      <c r="A3200" t="n">
        <v>23</v>
      </c>
      <c r="B3200" s="10" t="inlineStr">
        <is>
          <t>休日</t>
        </is>
      </c>
      <c r="C3200" s="10" t="inlineStr">
        <is>
          <t>北野線</t>
        </is>
      </c>
      <c r="D3200" s="10" t="inlineStr">
        <is>
          <t>上り</t>
        </is>
      </c>
      <c r="E3200" t="inlineStr">
        <is>
          <t>2054</t>
        </is>
      </c>
      <c r="F3200" t="inlineStr">
        <is>
          <t>0304</t>
        </is>
      </c>
      <c r="G3200" s="10" t="inlineStr">
        <is>
          <t>北野白梅町</t>
        </is>
      </c>
      <c r="H3200" s="10" t="inlineStr">
        <is>
          <t>着</t>
        </is>
      </c>
      <c r="J3200" s="10" t="inlineStr">
        <is>
          <t>営業</t>
        </is>
      </c>
      <c r="L3200" t="inlineStr">
        <is>
          <t>20:28:15</t>
        </is>
      </c>
      <c r="N3200" t="inlineStr">
        <is>
          <t>○</t>
        </is>
      </c>
      <c r="Q3200" t="inlineStr">
        <is>
          <t>1</t>
        </is>
      </c>
    </row>
    <row r="3201" ht="15" customHeight="1" s="37">
      <c r="A3201" t="n">
        <v>23</v>
      </c>
      <c r="B3201" s="10" t="inlineStr">
        <is>
          <t>休日</t>
        </is>
      </c>
      <c r="C3201" s="10" t="inlineStr">
        <is>
          <t>北野線</t>
        </is>
      </c>
      <c r="D3201" s="10" t="inlineStr">
        <is>
          <t>下り</t>
        </is>
      </c>
      <c r="E3201" t="inlineStr">
        <is>
          <t>2057</t>
        </is>
      </c>
      <c r="F3201" t="inlineStr">
        <is>
          <t>0453</t>
        </is>
      </c>
      <c r="G3201" s="10" t="inlineStr">
        <is>
          <t>北野白梅町</t>
        </is>
      </c>
      <c r="H3201" s="10" t="inlineStr">
        <is>
          <t>発</t>
        </is>
      </c>
      <c r="J3201" s="10" t="inlineStr">
        <is>
          <t>営業</t>
        </is>
      </c>
      <c r="M3201" t="inlineStr">
        <is>
          <t>20:33:00</t>
        </is>
      </c>
      <c r="Q3201" t="inlineStr">
        <is>
          <t>1</t>
        </is>
      </c>
    </row>
    <row r="3202" ht="15" customHeight="1" s="37">
      <c r="A3202" t="n">
        <v>23</v>
      </c>
      <c r="B3202" s="10" t="inlineStr">
        <is>
          <t>休日</t>
        </is>
      </c>
      <c r="C3202" s="10" t="inlineStr">
        <is>
          <t>北野線</t>
        </is>
      </c>
      <c r="D3202" s="10" t="inlineStr">
        <is>
          <t>下り</t>
        </is>
      </c>
      <c r="E3202" t="inlineStr">
        <is>
          <t>2057</t>
        </is>
      </c>
      <c r="F3202" t="inlineStr">
        <is>
          <t>0453</t>
        </is>
      </c>
      <c r="G3202" s="10" t="inlineStr">
        <is>
          <t>等持院</t>
        </is>
      </c>
      <c r="H3202" s="10" t="inlineStr">
        <is>
          <t>発</t>
        </is>
      </c>
      <c r="J3202" s="10" t="inlineStr">
        <is>
          <t>営業</t>
        </is>
      </c>
      <c r="L3202" t="inlineStr">
        <is>
          <t>20:34:25</t>
        </is>
      </c>
      <c r="M3202" t="inlineStr">
        <is>
          <t>20:34:35</t>
        </is>
      </c>
    </row>
    <row r="3203" ht="15" customHeight="1" s="37">
      <c r="A3203" t="n">
        <v>23</v>
      </c>
      <c r="B3203" s="10" t="inlineStr">
        <is>
          <t>休日</t>
        </is>
      </c>
      <c r="C3203" s="10" t="inlineStr">
        <is>
          <t>北野線</t>
        </is>
      </c>
      <c r="D3203" s="10" t="inlineStr">
        <is>
          <t>下り</t>
        </is>
      </c>
      <c r="E3203" t="inlineStr">
        <is>
          <t>2057</t>
        </is>
      </c>
      <c r="F3203" t="inlineStr">
        <is>
          <t>0453</t>
        </is>
      </c>
      <c r="G3203" s="10" t="inlineStr">
        <is>
          <t>龍安寺</t>
        </is>
      </c>
      <c r="H3203" s="10" t="inlineStr">
        <is>
          <t>発</t>
        </is>
      </c>
      <c r="J3203" s="10" t="inlineStr">
        <is>
          <t>営業</t>
        </is>
      </c>
      <c r="L3203" t="inlineStr">
        <is>
          <t>20:35:25</t>
        </is>
      </c>
      <c r="M3203" t="inlineStr">
        <is>
          <t>20:35:50</t>
        </is>
      </c>
    </row>
    <row r="3204" ht="15" customHeight="1" s="37">
      <c r="A3204" t="n">
        <v>23</v>
      </c>
      <c r="B3204" s="10" t="inlineStr">
        <is>
          <t>休日</t>
        </is>
      </c>
      <c r="C3204" s="10" t="inlineStr">
        <is>
          <t>北野線</t>
        </is>
      </c>
      <c r="D3204" s="10" t="inlineStr">
        <is>
          <t>下り</t>
        </is>
      </c>
      <c r="E3204" t="inlineStr">
        <is>
          <t>2057</t>
        </is>
      </c>
      <c r="F3204" t="inlineStr">
        <is>
          <t>0453</t>
        </is>
      </c>
      <c r="G3204" s="10" t="inlineStr">
        <is>
          <t>妙心寺</t>
        </is>
      </c>
      <c r="H3204" s="10" t="inlineStr">
        <is>
          <t>発</t>
        </is>
      </c>
      <c r="J3204" s="10" t="inlineStr">
        <is>
          <t>営業</t>
        </is>
      </c>
      <c r="L3204" t="inlineStr">
        <is>
          <t>20:36:40</t>
        </is>
      </c>
      <c r="M3204" t="inlineStr">
        <is>
          <t>20:36:50</t>
        </is>
      </c>
    </row>
    <row r="3205" ht="15" customHeight="1" s="37">
      <c r="A3205" t="n">
        <v>23</v>
      </c>
      <c r="B3205" s="10" t="inlineStr">
        <is>
          <t>休日</t>
        </is>
      </c>
      <c r="C3205" s="10" t="inlineStr">
        <is>
          <t>北野線</t>
        </is>
      </c>
      <c r="D3205" s="10" t="inlineStr">
        <is>
          <t>下り</t>
        </is>
      </c>
      <c r="E3205" t="inlineStr">
        <is>
          <t>2057</t>
        </is>
      </c>
      <c r="F3205" t="inlineStr">
        <is>
          <t>0453</t>
        </is>
      </c>
      <c r="G3205" s="10" t="inlineStr">
        <is>
          <t>御室仁和寺</t>
        </is>
      </c>
      <c r="H3205" s="10" t="inlineStr">
        <is>
          <t>発</t>
        </is>
      </c>
      <c r="J3205" s="10" t="inlineStr">
        <is>
          <t>営業</t>
        </is>
      </c>
      <c r="L3205" t="inlineStr">
        <is>
          <t>20:37:50</t>
        </is>
      </c>
      <c r="M3205" t="inlineStr">
        <is>
          <t>20:38:05</t>
        </is>
      </c>
    </row>
    <row r="3206" ht="15" customHeight="1" s="37">
      <c r="A3206" t="n">
        <v>23</v>
      </c>
      <c r="B3206" s="10" t="inlineStr">
        <is>
          <t>休日</t>
        </is>
      </c>
      <c r="C3206" s="10" t="inlineStr">
        <is>
          <t>北野線</t>
        </is>
      </c>
      <c r="D3206" s="10" t="inlineStr">
        <is>
          <t>下り</t>
        </is>
      </c>
      <c r="E3206" t="inlineStr">
        <is>
          <t>2057</t>
        </is>
      </c>
      <c r="F3206" t="inlineStr">
        <is>
          <t>0453</t>
        </is>
      </c>
      <c r="G3206" s="10" t="inlineStr">
        <is>
          <t>宇多野</t>
        </is>
      </c>
      <c r="H3206" s="10" t="inlineStr">
        <is>
          <t>発</t>
        </is>
      </c>
      <c r="J3206" s="10" t="inlineStr">
        <is>
          <t>営業</t>
        </is>
      </c>
      <c r="L3206" t="inlineStr">
        <is>
          <t>20:39:05</t>
        </is>
      </c>
      <c r="M3206" t="inlineStr">
        <is>
          <t>20:39:15</t>
        </is>
      </c>
    </row>
    <row r="3207" ht="15" customHeight="1" s="37">
      <c r="A3207" t="n">
        <v>23</v>
      </c>
      <c r="B3207" s="10" t="inlineStr">
        <is>
          <t>休日</t>
        </is>
      </c>
      <c r="C3207" s="10" t="inlineStr">
        <is>
          <t>北野線</t>
        </is>
      </c>
      <c r="D3207" s="10" t="inlineStr">
        <is>
          <t>下り</t>
        </is>
      </c>
      <c r="E3207" t="inlineStr">
        <is>
          <t>2057</t>
        </is>
      </c>
      <c r="F3207" t="inlineStr">
        <is>
          <t>0453</t>
        </is>
      </c>
      <c r="G3207" s="10" t="inlineStr">
        <is>
          <t>鳴滝</t>
        </is>
      </c>
      <c r="H3207" s="10" t="inlineStr">
        <is>
          <t>発</t>
        </is>
      </c>
      <c r="J3207" s="10" t="inlineStr">
        <is>
          <t>営業</t>
        </is>
      </c>
      <c r="L3207" t="inlineStr">
        <is>
          <t>20:40:35</t>
        </is>
      </c>
      <c r="M3207" t="inlineStr">
        <is>
          <t>20:40:45</t>
        </is>
      </c>
    </row>
    <row r="3208" ht="15" customHeight="1" s="37">
      <c r="A3208" t="n">
        <v>23</v>
      </c>
      <c r="B3208" s="10" t="inlineStr">
        <is>
          <t>休日</t>
        </is>
      </c>
      <c r="C3208" s="10" t="inlineStr">
        <is>
          <t>北野線</t>
        </is>
      </c>
      <c r="D3208" s="10" t="inlineStr">
        <is>
          <t>下り</t>
        </is>
      </c>
      <c r="E3208" t="inlineStr">
        <is>
          <t>2057</t>
        </is>
      </c>
      <c r="F3208" t="inlineStr">
        <is>
          <t>0453</t>
        </is>
      </c>
      <c r="G3208" s="10" t="inlineStr">
        <is>
          <t>常盤</t>
        </is>
      </c>
      <c r="H3208" s="10" t="inlineStr">
        <is>
          <t>発</t>
        </is>
      </c>
      <c r="J3208" s="10" t="inlineStr">
        <is>
          <t>営業</t>
        </is>
      </c>
      <c r="L3208" t="inlineStr">
        <is>
          <t>20:41:35</t>
        </is>
      </c>
      <c r="M3208" t="inlineStr">
        <is>
          <t>20:41:55</t>
        </is>
      </c>
    </row>
    <row r="3209" ht="15" customHeight="1" s="37">
      <c r="A3209" t="n">
        <v>23</v>
      </c>
      <c r="B3209" s="10" t="inlineStr">
        <is>
          <t>休日</t>
        </is>
      </c>
      <c r="C3209" s="10" t="inlineStr">
        <is>
          <t>北野線</t>
        </is>
      </c>
      <c r="D3209" s="10" t="inlineStr">
        <is>
          <t>下り</t>
        </is>
      </c>
      <c r="E3209" t="inlineStr">
        <is>
          <t>2057</t>
        </is>
      </c>
      <c r="F3209" t="inlineStr">
        <is>
          <t>0453</t>
        </is>
      </c>
      <c r="G3209" s="10" t="inlineStr">
        <is>
          <t>撮影所前</t>
        </is>
      </c>
      <c r="H3209" s="10" t="inlineStr">
        <is>
          <t>発</t>
        </is>
      </c>
      <c r="J3209" s="10" t="inlineStr">
        <is>
          <t>営業</t>
        </is>
      </c>
      <c r="L3209" t="inlineStr">
        <is>
          <t>20:43:15</t>
        </is>
      </c>
      <c r="M3209" t="inlineStr">
        <is>
          <t>20:43:30</t>
        </is>
      </c>
    </row>
    <row r="3210" ht="15" customHeight="1" s="37">
      <c r="A3210" t="n">
        <v>23</v>
      </c>
      <c r="B3210" s="10" t="inlineStr">
        <is>
          <t>休日</t>
        </is>
      </c>
      <c r="C3210" s="10" t="inlineStr">
        <is>
          <t>北野線</t>
        </is>
      </c>
      <c r="D3210" s="10" t="inlineStr">
        <is>
          <t>下り</t>
        </is>
      </c>
      <c r="E3210" t="inlineStr">
        <is>
          <t>2057</t>
        </is>
      </c>
      <c r="F3210" t="inlineStr">
        <is>
          <t>0453</t>
        </is>
      </c>
      <c r="G3210" s="10" t="inlineStr">
        <is>
          <t>帷子ノ辻</t>
        </is>
      </c>
      <c r="H3210" s="10" t="inlineStr">
        <is>
          <t>着</t>
        </is>
      </c>
      <c r="J3210" s="10" t="inlineStr">
        <is>
          <t>営業</t>
        </is>
      </c>
      <c r="L3210" t="inlineStr">
        <is>
          <t>20:44:25</t>
        </is>
      </c>
      <c r="Q3210" t="inlineStr">
        <is>
          <t>3</t>
        </is>
      </c>
    </row>
    <row r="3211" ht="15" customHeight="1" s="37">
      <c r="A3211" t="n">
        <v>23</v>
      </c>
      <c r="B3211" s="10" t="inlineStr">
        <is>
          <t>休日</t>
        </is>
      </c>
      <c r="C3211" s="10" t="inlineStr">
        <is>
          <t>北野線</t>
        </is>
      </c>
      <c r="D3211" s="10" t="inlineStr">
        <is>
          <t>上り</t>
        </is>
      </c>
      <c r="E3211" t="inlineStr">
        <is>
          <t>2152</t>
        </is>
      </c>
      <c r="F3211" t="inlineStr">
        <is>
          <t>0304</t>
        </is>
      </c>
      <c r="G3211" s="10" t="inlineStr">
        <is>
          <t>帷子ノ辻</t>
        </is>
      </c>
      <c r="H3211" s="10" t="inlineStr">
        <is>
          <t>発</t>
        </is>
      </c>
      <c r="J3211" s="10" t="inlineStr">
        <is>
          <t>営業</t>
        </is>
      </c>
      <c r="M3211" t="inlineStr">
        <is>
          <t>21:06:25</t>
        </is>
      </c>
      <c r="Q3211" t="inlineStr">
        <is>
          <t>4</t>
        </is>
      </c>
      <c r="U3211" t="inlineStr">
        <is>
          <t>→帷子ノ辻 休憩(21:34〜22:00)</t>
        </is>
      </c>
    </row>
    <row r="3212" ht="15" customHeight="1" s="37">
      <c r="A3212" t="n">
        <v>23</v>
      </c>
      <c r="B3212" s="10" t="inlineStr">
        <is>
          <t>休日</t>
        </is>
      </c>
      <c r="C3212" s="10" t="inlineStr">
        <is>
          <t>北野線</t>
        </is>
      </c>
      <c r="D3212" s="10" t="inlineStr">
        <is>
          <t>上り</t>
        </is>
      </c>
      <c r="E3212" t="inlineStr">
        <is>
          <t>2152</t>
        </is>
      </c>
      <c r="F3212" t="inlineStr">
        <is>
          <t>0304</t>
        </is>
      </c>
      <c r="G3212" s="10" t="inlineStr">
        <is>
          <t>撮影所前</t>
        </is>
      </c>
      <c r="H3212" s="10" t="inlineStr">
        <is>
          <t>発</t>
        </is>
      </c>
      <c r="J3212" s="10" t="inlineStr">
        <is>
          <t>営業</t>
        </is>
      </c>
      <c r="L3212" t="inlineStr">
        <is>
          <t>21:07:25</t>
        </is>
      </c>
      <c r="M3212" t="inlineStr">
        <is>
          <t>21:07:40</t>
        </is>
      </c>
      <c r="U3212" t="inlineStr">
        <is>
          <t>→帷子ノ辻 休憩(21:34〜22:00)</t>
        </is>
      </c>
    </row>
    <row r="3213" ht="15" customHeight="1" s="37">
      <c r="A3213" t="n">
        <v>23</v>
      </c>
      <c r="B3213" s="10" t="inlineStr">
        <is>
          <t>休日</t>
        </is>
      </c>
      <c r="C3213" s="10" t="inlineStr">
        <is>
          <t>北野線</t>
        </is>
      </c>
      <c r="D3213" s="10" t="inlineStr">
        <is>
          <t>上り</t>
        </is>
      </c>
      <c r="E3213" t="inlineStr">
        <is>
          <t>2152</t>
        </is>
      </c>
      <c r="F3213" t="inlineStr">
        <is>
          <t>0304</t>
        </is>
      </c>
      <c r="G3213" s="10" t="inlineStr">
        <is>
          <t>常盤</t>
        </is>
      </c>
      <c r="H3213" s="10" t="inlineStr">
        <is>
          <t>発</t>
        </is>
      </c>
      <c r="J3213" s="10" t="inlineStr">
        <is>
          <t>営業</t>
        </is>
      </c>
      <c r="L3213" t="inlineStr">
        <is>
          <t>21:09:00</t>
        </is>
      </c>
      <c r="M3213" t="inlineStr">
        <is>
          <t>21:09:20</t>
        </is>
      </c>
      <c r="U3213" t="inlineStr">
        <is>
          <t>→帷子ノ辻 休憩(21:34〜22:00)</t>
        </is>
      </c>
    </row>
    <row r="3214" ht="15" customHeight="1" s="37">
      <c r="A3214" t="n">
        <v>23</v>
      </c>
      <c r="B3214" s="10" t="inlineStr">
        <is>
          <t>休日</t>
        </is>
      </c>
      <c r="C3214" s="10" t="inlineStr">
        <is>
          <t>北野線</t>
        </is>
      </c>
      <c r="D3214" s="10" t="inlineStr">
        <is>
          <t>上り</t>
        </is>
      </c>
      <c r="E3214" t="inlineStr">
        <is>
          <t>2152</t>
        </is>
      </c>
      <c r="F3214" t="inlineStr">
        <is>
          <t>0304</t>
        </is>
      </c>
      <c r="G3214" s="10" t="inlineStr">
        <is>
          <t>鳴滝</t>
        </is>
      </c>
      <c r="H3214" s="10" t="inlineStr">
        <is>
          <t>発</t>
        </is>
      </c>
      <c r="J3214" s="10" t="inlineStr">
        <is>
          <t>営業</t>
        </is>
      </c>
      <c r="L3214" t="inlineStr">
        <is>
          <t>21:10:20</t>
        </is>
      </c>
      <c r="M3214" t="inlineStr">
        <is>
          <t>21:10:40</t>
        </is>
      </c>
      <c r="U3214" t="inlineStr">
        <is>
          <t>→帷子ノ辻 休憩(21:34〜22:00)</t>
        </is>
      </c>
    </row>
    <row r="3215" ht="15" customHeight="1" s="37">
      <c r="A3215" t="n">
        <v>23</v>
      </c>
      <c r="B3215" s="10" t="inlineStr">
        <is>
          <t>休日</t>
        </is>
      </c>
      <c r="C3215" s="10" t="inlineStr">
        <is>
          <t>北野線</t>
        </is>
      </c>
      <c r="D3215" s="10" t="inlineStr">
        <is>
          <t>上り</t>
        </is>
      </c>
      <c r="E3215" t="inlineStr">
        <is>
          <t>2152</t>
        </is>
      </c>
      <c r="F3215" t="inlineStr">
        <is>
          <t>0304</t>
        </is>
      </c>
      <c r="G3215" s="10" t="inlineStr">
        <is>
          <t>宇多野</t>
        </is>
      </c>
      <c r="H3215" s="10" t="inlineStr">
        <is>
          <t>発</t>
        </is>
      </c>
      <c r="J3215" s="10" t="inlineStr">
        <is>
          <t>営業</t>
        </is>
      </c>
      <c r="L3215" t="inlineStr">
        <is>
          <t>21:12:00</t>
        </is>
      </c>
      <c r="M3215" t="inlineStr">
        <is>
          <t>21:12:15</t>
        </is>
      </c>
      <c r="U3215" t="inlineStr">
        <is>
          <t>→帷子ノ辻 休憩(21:34〜22:00)</t>
        </is>
      </c>
    </row>
    <row r="3216" ht="15" customHeight="1" s="37">
      <c r="A3216" t="n">
        <v>23</v>
      </c>
      <c r="B3216" s="10" t="inlineStr">
        <is>
          <t>休日</t>
        </is>
      </c>
      <c r="C3216" s="10" t="inlineStr">
        <is>
          <t>北野線</t>
        </is>
      </c>
      <c r="D3216" s="10" t="inlineStr">
        <is>
          <t>上り</t>
        </is>
      </c>
      <c r="E3216" t="inlineStr">
        <is>
          <t>2152</t>
        </is>
      </c>
      <c r="F3216" t="inlineStr">
        <is>
          <t>0304</t>
        </is>
      </c>
      <c r="G3216" s="10" t="inlineStr">
        <is>
          <t>御室仁和寺</t>
        </is>
      </c>
      <c r="H3216" s="10" t="inlineStr">
        <is>
          <t>発</t>
        </is>
      </c>
      <c r="J3216" s="10" t="inlineStr">
        <is>
          <t>営業</t>
        </is>
      </c>
      <c r="L3216" t="inlineStr">
        <is>
          <t>21:13:15</t>
        </is>
      </c>
      <c r="M3216" t="inlineStr">
        <is>
          <t>21:13:35</t>
        </is>
      </c>
      <c r="U3216" t="inlineStr">
        <is>
          <t>→帷子ノ辻 休憩(21:34〜22:00)</t>
        </is>
      </c>
    </row>
    <row r="3217" ht="15" customHeight="1" s="37">
      <c r="A3217" t="n">
        <v>23</v>
      </c>
      <c r="B3217" s="10" t="inlineStr">
        <is>
          <t>休日</t>
        </is>
      </c>
      <c r="C3217" s="10" t="inlineStr">
        <is>
          <t>北野線</t>
        </is>
      </c>
      <c r="D3217" s="10" t="inlineStr">
        <is>
          <t>上り</t>
        </is>
      </c>
      <c r="E3217" t="inlineStr">
        <is>
          <t>2152</t>
        </is>
      </c>
      <c r="F3217" t="inlineStr">
        <is>
          <t>0304</t>
        </is>
      </c>
      <c r="G3217" s="10" t="inlineStr">
        <is>
          <t>妙心寺</t>
        </is>
      </c>
      <c r="H3217" s="10" t="inlineStr">
        <is>
          <t>発</t>
        </is>
      </c>
      <c r="J3217" s="10" t="inlineStr">
        <is>
          <t>営業</t>
        </is>
      </c>
      <c r="L3217" t="inlineStr">
        <is>
          <t>21:14:35</t>
        </is>
      </c>
      <c r="M3217" t="inlineStr">
        <is>
          <t>21:14:50</t>
        </is>
      </c>
      <c r="U3217" t="inlineStr">
        <is>
          <t>→帷子ノ辻 休憩(21:34〜22:00)</t>
        </is>
      </c>
    </row>
    <row r="3218" ht="15" customHeight="1" s="37">
      <c r="A3218" t="n">
        <v>23</v>
      </c>
      <c r="B3218" s="10" t="inlineStr">
        <is>
          <t>休日</t>
        </is>
      </c>
      <c r="C3218" s="10" t="inlineStr">
        <is>
          <t>北野線</t>
        </is>
      </c>
      <c r="D3218" s="10" t="inlineStr">
        <is>
          <t>上り</t>
        </is>
      </c>
      <c r="E3218" t="inlineStr">
        <is>
          <t>2152</t>
        </is>
      </c>
      <c r="F3218" t="inlineStr">
        <is>
          <t>0304</t>
        </is>
      </c>
      <c r="G3218" s="10" t="inlineStr">
        <is>
          <t>龍安寺</t>
        </is>
      </c>
      <c r="H3218" s="10" t="inlineStr">
        <is>
          <t>発</t>
        </is>
      </c>
      <c r="J3218" s="10" t="inlineStr">
        <is>
          <t>営業</t>
        </is>
      </c>
      <c r="L3218" t="inlineStr">
        <is>
          <t>21:15:45</t>
        </is>
      </c>
      <c r="M3218" t="inlineStr">
        <is>
          <t>21:15:55</t>
        </is>
      </c>
      <c r="U3218" t="inlineStr">
        <is>
          <t>→帷子ノ辻 休憩(21:34〜22:00)</t>
        </is>
      </c>
    </row>
    <row r="3219" ht="15" customHeight="1" s="37">
      <c r="A3219" t="n">
        <v>23</v>
      </c>
      <c r="B3219" s="10" t="inlineStr">
        <is>
          <t>休日</t>
        </is>
      </c>
      <c r="C3219" s="10" t="inlineStr">
        <is>
          <t>北野線</t>
        </is>
      </c>
      <c r="D3219" s="10" t="inlineStr">
        <is>
          <t>上り</t>
        </is>
      </c>
      <c r="E3219" t="inlineStr">
        <is>
          <t>2152</t>
        </is>
      </c>
      <c r="F3219" t="inlineStr">
        <is>
          <t>0304</t>
        </is>
      </c>
      <c r="G3219" s="10" t="inlineStr">
        <is>
          <t>等持院</t>
        </is>
      </c>
      <c r="H3219" s="10" t="inlineStr">
        <is>
          <t>発</t>
        </is>
      </c>
      <c r="J3219" s="10" t="inlineStr">
        <is>
          <t>営業</t>
        </is>
      </c>
      <c r="L3219" t="inlineStr">
        <is>
          <t>21:16:35</t>
        </is>
      </c>
      <c r="M3219" t="inlineStr">
        <is>
          <t>21:16:55</t>
        </is>
      </c>
      <c r="U3219" t="inlineStr">
        <is>
          <t>→帷子ノ辻 休憩(21:34〜22:00)</t>
        </is>
      </c>
    </row>
    <row r="3220" ht="15" customHeight="1" s="37">
      <c r="A3220" t="n">
        <v>23</v>
      </c>
      <c r="B3220" s="10" t="inlineStr">
        <is>
          <t>休日</t>
        </is>
      </c>
      <c r="C3220" s="10" t="inlineStr">
        <is>
          <t>北野線</t>
        </is>
      </c>
      <c r="D3220" s="10" t="inlineStr">
        <is>
          <t>上り</t>
        </is>
      </c>
      <c r="E3220" t="inlineStr">
        <is>
          <t>2152</t>
        </is>
      </c>
      <c r="F3220" t="inlineStr">
        <is>
          <t>0304</t>
        </is>
      </c>
      <c r="G3220" s="10" t="inlineStr">
        <is>
          <t>北野白梅町</t>
        </is>
      </c>
      <c r="H3220" s="10" t="inlineStr">
        <is>
          <t>着</t>
        </is>
      </c>
      <c r="J3220" s="10" t="inlineStr">
        <is>
          <t>営業</t>
        </is>
      </c>
      <c r="L3220" t="inlineStr">
        <is>
          <t>21:18:15</t>
        </is>
      </c>
      <c r="N3220" t="inlineStr">
        <is>
          <t>○</t>
        </is>
      </c>
      <c r="Q3220" t="inlineStr">
        <is>
          <t>1</t>
        </is>
      </c>
      <c r="U3220" t="inlineStr">
        <is>
          <t>→帷子ノ辻 休憩(21:34〜22:00)</t>
        </is>
      </c>
    </row>
    <row r="3221" ht="15" customHeight="1" s="37">
      <c r="A3221" t="n">
        <v>23</v>
      </c>
      <c r="B3221" s="10" t="inlineStr">
        <is>
          <t>休日</t>
        </is>
      </c>
      <c r="C3221" s="10" t="inlineStr">
        <is>
          <t>北野線</t>
        </is>
      </c>
      <c r="D3221" s="10" t="inlineStr">
        <is>
          <t>下り</t>
        </is>
      </c>
      <c r="E3221" t="inlineStr">
        <is>
          <t>2155</t>
        </is>
      </c>
      <c r="F3221" t="inlineStr">
        <is>
          <t>0453</t>
        </is>
      </c>
      <c r="G3221" s="10" t="inlineStr">
        <is>
          <t>北野白梅町</t>
        </is>
      </c>
      <c r="H3221" s="10" t="inlineStr">
        <is>
          <t>発</t>
        </is>
      </c>
      <c r="J3221" s="10" t="inlineStr">
        <is>
          <t>営業</t>
        </is>
      </c>
      <c r="M3221" t="inlineStr">
        <is>
          <t>21:23:00</t>
        </is>
      </c>
      <c r="Q3221" t="inlineStr">
        <is>
          <t>1</t>
        </is>
      </c>
      <c r="U3221" t="inlineStr">
        <is>
          <t>→帷子ノ辻 休憩(21:34〜22:00)</t>
        </is>
      </c>
    </row>
    <row r="3222" ht="15" customHeight="1" s="37">
      <c r="A3222" t="n">
        <v>23</v>
      </c>
      <c r="B3222" s="10" t="inlineStr">
        <is>
          <t>休日</t>
        </is>
      </c>
      <c r="C3222" s="10" t="inlineStr">
        <is>
          <t>北野線</t>
        </is>
      </c>
      <c r="D3222" s="10" t="inlineStr">
        <is>
          <t>下り</t>
        </is>
      </c>
      <c r="E3222" t="inlineStr">
        <is>
          <t>2155</t>
        </is>
      </c>
      <c r="F3222" t="inlineStr">
        <is>
          <t>0453</t>
        </is>
      </c>
      <c r="G3222" s="10" t="inlineStr">
        <is>
          <t>等持院</t>
        </is>
      </c>
      <c r="H3222" s="10" t="inlineStr">
        <is>
          <t>発</t>
        </is>
      </c>
      <c r="J3222" s="10" t="inlineStr">
        <is>
          <t>営業</t>
        </is>
      </c>
      <c r="L3222" t="inlineStr">
        <is>
          <t>21:24:25</t>
        </is>
      </c>
      <c r="M3222" t="inlineStr">
        <is>
          <t>21:24:35</t>
        </is>
      </c>
      <c r="U3222" t="inlineStr">
        <is>
          <t>→帷子ノ辻 休憩(21:34〜22:00)</t>
        </is>
      </c>
    </row>
    <row r="3223" ht="15" customHeight="1" s="37">
      <c r="A3223" t="n">
        <v>23</v>
      </c>
      <c r="B3223" s="10" t="inlineStr">
        <is>
          <t>休日</t>
        </is>
      </c>
      <c r="C3223" s="10" t="inlineStr">
        <is>
          <t>北野線</t>
        </is>
      </c>
      <c r="D3223" s="10" t="inlineStr">
        <is>
          <t>下り</t>
        </is>
      </c>
      <c r="E3223" t="inlineStr">
        <is>
          <t>2155</t>
        </is>
      </c>
      <c r="F3223" t="inlineStr">
        <is>
          <t>0453</t>
        </is>
      </c>
      <c r="G3223" s="10" t="inlineStr">
        <is>
          <t>龍安寺</t>
        </is>
      </c>
      <c r="H3223" s="10" t="inlineStr">
        <is>
          <t>発</t>
        </is>
      </c>
      <c r="J3223" s="10" t="inlineStr">
        <is>
          <t>営業</t>
        </is>
      </c>
      <c r="L3223" t="inlineStr">
        <is>
          <t>21:25:25</t>
        </is>
      </c>
      <c r="M3223" t="inlineStr">
        <is>
          <t>21:25:50</t>
        </is>
      </c>
      <c r="U3223" t="inlineStr">
        <is>
          <t>→帷子ノ辻 休憩(21:34〜22:00)</t>
        </is>
      </c>
    </row>
    <row r="3224" ht="15" customHeight="1" s="37">
      <c r="A3224" t="n">
        <v>23</v>
      </c>
      <c r="B3224" s="10" t="inlineStr">
        <is>
          <t>休日</t>
        </is>
      </c>
      <c r="C3224" s="10" t="inlineStr">
        <is>
          <t>北野線</t>
        </is>
      </c>
      <c r="D3224" s="10" t="inlineStr">
        <is>
          <t>下り</t>
        </is>
      </c>
      <c r="E3224" t="inlineStr">
        <is>
          <t>2155</t>
        </is>
      </c>
      <c r="F3224" t="inlineStr">
        <is>
          <t>0453</t>
        </is>
      </c>
      <c r="G3224" s="10" t="inlineStr">
        <is>
          <t>妙心寺</t>
        </is>
      </c>
      <c r="H3224" s="10" t="inlineStr">
        <is>
          <t>発</t>
        </is>
      </c>
      <c r="J3224" s="10" t="inlineStr">
        <is>
          <t>営業</t>
        </is>
      </c>
      <c r="L3224" t="inlineStr">
        <is>
          <t>21:26:40</t>
        </is>
      </c>
      <c r="M3224" t="inlineStr">
        <is>
          <t>21:26:50</t>
        </is>
      </c>
      <c r="U3224" t="inlineStr">
        <is>
          <t>→帷子ノ辻 休憩(21:34〜22:00)</t>
        </is>
      </c>
    </row>
    <row r="3225" ht="15" customHeight="1" s="37">
      <c r="A3225" t="n">
        <v>23</v>
      </c>
      <c r="B3225" s="10" t="inlineStr">
        <is>
          <t>休日</t>
        </is>
      </c>
      <c r="C3225" s="10" t="inlineStr">
        <is>
          <t>北野線</t>
        </is>
      </c>
      <c r="D3225" s="10" t="inlineStr">
        <is>
          <t>下り</t>
        </is>
      </c>
      <c r="E3225" t="inlineStr">
        <is>
          <t>2155</t>
        </is>
      </c>
      <c r="F3225" t="inlineStr">
        <is>
          <t>0453</t>
        </is>
      </c>
      <c r="G3225" s="10" t="inlineStr">
        <is>
          <t>御室仁和寺</t>
        </is>
      </c>
      <c r="H3225" s="10" t="inlineStr">
        <is>
          <t>発</t>
        </is>
      </c>
      <c r="J3225" s="10" t="inlineStr">
        <is>
          <t>営業</t>
        </is>
      </c>
      <c r="L3225" t="inlineStr">
        <is>
          <t>21:27:50</t>
        </is>
      </c>
      <c r="M3225" t="inlineStr">
        <is>
          <t>21:28:05</t>
        </is>
      </c>
      <c r="U3225" t="inlineStr">
        <is>
          <t>→帷子ノ辻 休憩(21:34〜22:00)</t>
        </is>
      </c>
    </row>
    <row r="3226" ht="15" customHeight="1" s="37">
      <c r="A3226" t="n">
        <v>23</v>
      </c>
      <c r="B3226" s="10" t="inlineStr">
        <is>
          <t>休日</t>
        </is>
      </c>
      <c r="C3226" s="10" t="inlineStr">
        <is>
          <t>北野線</t>
        </is>
      </c>
      <c r="D3226" s="10" t="inlineStr">
        <is>
          <t>下り</t>
        </is>
      </c>
      <c r="E3226" t="inlineStr">
        <is>
          <t>2155</t>
        </is>
      </c>
      <c r="F3226" t="inlineStr">
        <is>
          <t>0453</t>
        </is>
      </c>
      <c r="G3226" s="10" t="inlineStr">
        <is>
          <t>宇多野</t>
        </is>
      </c>
      <c r="H3226" s="10" t="inlineStr">
        <is>
          <t>発</t>
        </is>
      </c>
      <c r="J3226" s="10" t="inlineStr">
        <is>
          <t>営業</t>
        </is>
      </c>
      <c r="L3226" t="inlineStr">
        <is>
          <t>21:29:05</t>
        </is>
      </c>
      <c r="M3226" t="inlineStr">
        <is>
          <t>21:29:15</t>
        </is>
      </c>
      <c r="U3226" t="inlineStr">
        <is>
          <t>→帷子ノ辻 休憩(21:34〜22:00)</t>
        </is>
      </c>
    </row>
    <row r="3227" ht="15" customHeight="1" s="37">
      <c r="A3227" t="n">
        <v>23</v>
      </c>
      <c r="B3227" s="10" t="inlineStr">
        <is>
          <t>休日</t>
        </is>
      </c>
      <c r="C3227" s="10" t="inlineStr">
        <is>
          <t>北野線</t>
        </is>
      </c>
      <c r="D3227" s="10" t="inlineStr">
        <is>
          <t>下り</t>
        </is>
      </c>
      <c r="E3227" t="inlineStr">
        <is>
          <t>2155</t>
        </is>
      </c>
      <c r="F3227" t="inlineStr">
        <is>
          <t>0453</t>
        </is>
      </c>
      <c r="G3227" s="10" t="inlineStr">
        <is>
          <t>鳴滝</t>
        </is>
      </c>
      <c r="H3227" s="10" t="inlineStr">
        <is>
          <t>発</t>
        </is>
      </c>
      <c r="J3227" s="10" t="inlineStr">
        <is>
          <t>営業</t>
        </is>
      </c>
      <c r="L3227" t="inlineStr">
        <is>
          <t>21:30:35</t>
        </is>
      </c>
      <c r="M3227" t="inlineStr">
        <is>
          <t>21:30:45</t>
        </is>
      </c>
      <c r="U3227" t="inlineStr">
        <is>
          <t>→帷子ノ辻 休憩(21:34〜22:00)</t>
        </is>
      </c>
    </row>
    <row r="3228" ht="15" customHeight="1" s="37">
      <c r="A3228" t="n">
        <v>23</v>
      </c>
      <c r="B3228" s="10" t="inlineStr">
        <is>
          <t>休日</t>
        </is>
      </c>
      <c r="C3228" s="10" t="inlineStr">
        <is>
          <t>北野線</t>
        </is>
      </c>
      <c r="D3228" s="10" t="inlineStr">
        <is>
          <t>下り</t>
        </is>
      </c>
      <c r="E3228" t="inlineStr">
        <is>
          <t>2155</t>
        </is>
      </c>
      <c r="F3228" t="inlineStr">
        <is>
          <t>0453</t>
        </is>
      </c>
      <c r="G3228" s="10" t="inlineStr">
        <is>
          <t>常盤</t>
        </is>
      </c>
      <c r="H3228" s="10" t="inlineStr">
        <is>
          <t>発</t>
        </is>
      </c>
      <c r="J3228" s="10" t="inlineStr">
        <is>
          <t>営業</t>
        </is>
      </c>
      <c r="L3228" t="inlineStr">
        <is>
          <t>21:31:35</t>
        </is>
      </c>
      <c r="M3228" t="inlineStr">
        <is>
          <t>21:31:55</t>
        </is>
      </c>
      <c r="U3228" t="inlineStr">
        <is>
          <t>→帷子ノ辻 休憩(21:34〜22:00)</t>
        </is>
      </c>
    </row>
    <row r="3229" ht="15" customHeight="1" s="37">
      <c r="A3229" t="n">
        <v>23</v>
      </c>
      <c r="B3229" s="10" t="inlineStr">
        <is>
          <t>休日</t>
        </is>
      </c>
      <c r="C3229" s="10" t="inlineStr">
        <is>
          <t>北野線</t>
        </is>
      </c>
      <c r="D3229" s="10" t="inlineStr">
        <is>
          <t>下り</t>
        </is>
      </c>
      <c r="E3229" t="inlineStr">
        <is>
          <t>2155</t>
        </is>
      </c>
      <c r="F3229" t="inlineStr">
        <is>
          <t>0453</t>
        </is>
      </c>
      <c r="G3229" s="10" t="inlineStr">
        <is>
          <t>撮影所前</t>
        </is>
      </c>
      <c r="H3229" s="10" t="inlineStr">
        <is>
          <t>発</t>
        </is>
      </c>
      <c r="J3229" s="10" t="inlineStr">
        <is>
          <t>営業</t>
        </is>
      </c>
      <c r="L3229" t="inlineStr">
        <is>
          <t>21:33:15</t>
        </is>
      </c>
      <c r="M3229" t="inlineStr">
        <is>
          <t>21:33:30</t>
        </is>
      </c>
      <c r="U3229" t="inlineStr">
        <is>
          <t>→帷子ノ辻 休憩(21:34〜22:00)</t>
        </is>
      </c>
    </row>
    <row r="3230" ht="15" customHeight="1" s="37">
      <c r="A3230" t="n">
        <v>23</v>
      </c>
      <c r="B3230" s="10" t="inlineStr">
        <is>
          <t>休日</t>
        </is>
      </c>
      <c r="C3230" s="10" t="inlineStr">
        <is>
          <t>北野線</t>
        </is>
      </c>
      <c r="D3230" s="10" t="inlineStr">
        <is>
          <t>下り</t>
        </is>
      </c>
      <c r="E3230" t="inlineStr">
        <is>
          <t>2155</t>
        </is>
      </c>
      <c r="F3230" t="inlineStr">
        <is>
          <t>0453</t>
        </is>
      </c>
      <c r="G3230" s="10" t="inlineStr">
        <is>
          <t>帷子ノ辻</t>
        </is>
      </c>
      <c r="H3230" s="10" t="inlineStr">
        <is>
          <t>着</t>
        </is>
      </c>
      <c r="J3230" s="10" t="inlineStr">
        <is>
          <t>営業</t>
        </is>
      </c>
      <c r="L3230" t="inlineStr">
        <is>
          <t>21:34:25</t>
        </is>
      </c>
      <c r="Q3230" t="inlineStr">
        <is>
          <t>3留</t>
        </is>
      </c>
      <c r="U3230" t="inlineStr">
        <is>
          <t>→帷子ノ辻 休憩(21:34〜22:00)</t>
        </is>
      </c>
    </row>
    <row r="3231" ht="15" customHeight="1" s="37">
      <c r="A3231" t="n">
        <v>23</v>
      </c>
      <c r="B3231" s="10" t="inlineStr">
        <is>
          <t>休日</t>
        </is>
      </c>
      <c r="C3231" s="10" t="inlineStr">
        <is>
          <t>北野線</t>
        </is>
      </c>
      <c r="D3231" s="10" t="inlineStr">
        <is>
          <t>下り</t>
        </is>
      </c>
      <c r="E3231" t="inlineStr">
        <is>
          <t>2251</t>
        </is>
      </c>
      <c r="F3231" t="inlineStr">
        <is>
          <t>0453</t>
        </is>
      </c>
      <c r="G3231" s="10" t="inlineStr">
        <is>
          <t>北野白梅町</t>
        </is>
      </c>
      <c r="H3231" s="10" t="inlineStr">
        <is>
          <t>発</t>
        </is>
      </c>
      <c r="J3231" s="10" t="inlineStr">
        <is>
          <t>営業</t>
        </is>
      </c>
      <c r="M3231" t="inlineStr">
        <is>
          <t>22:22:00</t>
        </is>
      </c>
      <c r="Q3231" t="inlineStr">
        <is>
          <t>1</t>
        </is>
      </c>
    </row>
    <row r="3232" ht="15" customHeight="1" s="37">
      <c r="A3232" t="n">
        <v>23</v>
      </c>
      <c r="B3232" s="10" t="inlineStr">
        <is>
          <t>休日</t>
        </is>
      </c>
      <c r="C3232" s="10" t="inlineStr">
        <is>
          <t>北野線</t>
        </is>
      </c>
      <c r="D3232" s="10" t="inlineStr">
        <is>
          <t>下り</t>
        </is>
      </c>
      <c r="E3232" t="inlineStr">
        <is>
          <t>2251</t>
        </is>
      </c>
      <c r="F3232" t="inlineStr">
        <is>
          <t>0453</t>
        </is>
      </c>
      <c r="G3232" s="10" t="inlineStr">
        <is>
          <t>等持院</t>
        </is>
      </c>
      <c r="H3232" s="10" t="inlineStr">
        <is>
          <t>発</t>
        </is>
      </c>
      <c r="J3232" s="10" t="inlineStr">
        <is>
          <t>営業</t>
        </is>
      </c>
      <c r="L3232" t="inlineStr">
        <is>
          <t>22:23:25</t>
        </is>
      </c>
      <c r="M3232" t="inlineStr">
        <is>
          <t>22:23:35</t>
        </is>
      </c>
    </row>
    <row r="3233" ht="15" customHeight="1" s="37">
      <c r="A3233" t="n">
        <v>23</v>
      </c>
      <c r="B3233" s="10" t="inlineStr">
        <is>
          <t>休日</t>
        </is>
      </c>
      <c r="C3233" s="10" t="inlineStr">
        <is>
          <t>北野線</t>
        </is>
      </c>
      <c r="D3233" s="10" t="inlineStr">
        <is>
          <t>下り</t>
        </is>
      </c>
      <c r="E3233" t="inlineStr">
        <is>
          <t>2251</t>
        </is>
      </c>
      <c r="F3233" t="inlineStr">
        <is>
          <t>0453</t>
        </is>
      </c>
      <c r="G3233" s="10" t="inlineStr">
        <is>
          <t>龍安寺</t>
        </is>
      </c>
      <c r="H3233" s="10" t="inlineStr">
        <is>
          <t>発</t>
        </is>
      </c>
      <c r="J3233" s="10" t="inlineStr">
        <is>
          <t>営業</t>
        </is>
      </c>
      <c r="L3233" t="inlineStr">
        <is>
          <t>22:24:25</t>
        </is>
      </c>
      <c r="M3233" t="inlineStr">
        <is>
          <t>22:24:50</t>
        </is>
      </c>
    </row>
    <row r="3234" ht="15" customHeight="1" s="37">
      <c r="A3234" t="n">
        <v>23</v>
      </c>
      <c r="B3234" s="10" t="inlineStr">
        <is>
          <t>休日</t>
        </is>
      </c>
      <c r="C3234" s="10" t="inlineStr">
        <is>
          <t>北野線</t>
        </is>
      </c>
      <c r="D3234" s="10" t="inlineStr">
        <is>
          <t>下り</t>
        </is>
      </c>
      <c r="E3234" t="inlineStr">
        <is>
          <t>2251</t>
        </is>
      </c>
      <c r="F3234" t="inlineStr">
        <is>
          <t>0453</t>
        </is>
      </c>
      <c r="G3234" s="10" t="inlineStr">
        <is>
          <t>妙心寺</t>
        </is>
      </c>
      <c r="H3234" s="10" t="inlineStr">
        <is>
          <t>発</t>
        </is>
      </c>
      <c r="J3234" s="10" t="inlineStr">
        <is>
          <t>営業</t>
        </is>
      </c>
      <c r="L3234" t="inlineStr">
        <is>
          <t>22:25:40</t>
        </is>
      </c>
      <c r="M3234" t="inlineStr">
        <is>
          <t>22:25:50</t>
        </is>
      </c>
    </row>
    <row r="3235" ht="15" customHeight="1" s="37">
      <c r="A3235" t="n">
        <v>23</v>
      </c>
      <c r="B3235" s="10" t="inlineStr">
        <is>
          <t>休日</t>
        </is>
      </c>
      <c r="C3235" s="10" t="inlineStr">
        <is>
          <t>北野線</t>
        </is>
      </c>
      <c r="D3235" s="10" t="inlineStr">
        <is>
          <t>下り</t>
        </is>
      </c>
      <c r="E3235" t="inlineStr">
        <is>
          <t>2251</t>
        </is>
      </c>
      <c r="F3235" t="inlineStr">
        <is>
          <t>0453</t>
        </is>
      </c>
      <c r="G3235" s="10" t="inlineStr">
        <is>
          <t>御室仁和寺</t>
        </is>
      </c>
      <c r="H3235" s="10" t="inlineStr">
        <is>
          <t>発</t>
        </is>
      </c>
      <c r="J3235" s="10" t="inlineStr">
        <is>
          <t>営業</t>
        </is>
      </c>
      <c r="L3235" t="inlineStr">
        <is>
          <t>22:26:50</t>
        </is>
      </c>
      <c r="M3235" t="inlineStr">
        <is>
          <t>22:27:05</t>
        </is>
      </c>
    </row>
    <row r="3236" ht="15" customHeight="1" s="37">
      <c r="A3236" t="n">
        <v>23</v>
      </c>
      <c r="B3236" s="10" t="inlineStr">
        <is>
          <t>休日</t>
        </is>
      </c>
      <c r="C3236" s="10" t="inlineStr">
        <is>
          <t>北野線</t>
        </is>
      </c>
      <c r="D3236" s="10" t="inlineStr">
        <is>
          <t>下り</t>
        </is>
      </c>
      <c r="E3236" t="inlineStr">
        <is>
          <t>2251</t>
        </is>
      </c>
      <c r="F3236" t="inlineStr">
        <is>
          <t>0453</t>
        </is>
      </c>
      <c r="G3236" s="10" t="inlineStr">
        <is>
          <t>宇多野</t>
        </is>
      </c>
      <c r="H3236" s="10" t="inlineStr">
        <is>
          <t>発</t>
        </is>
      </c>
      <c r="J3236" s="10" t="inlineStr">
        <is>
          <t>営業</t>
        </is>
      </c>
      <c r="L3236" t="inlineStr">
        <is>
          <t>22:28:05</t>
        </is>
      </c>
      <c r="M3236" t="inlineStr">
        <is>
          <t>22:28:15</t>
        </is>
      </c>
    </row>
    <row r="3237" ht="15" customHeight="1" s="37">
      <c r="A3237" t="n">
        <v>23</v>
      </c>
      <c r="B3237" s="10" t="inlineStr">
        <is>
          <t>休日</t>
        </is>
      </c>
      <c r="C3237" s="10" t="inlineStr">
        <is>
          <t>北野線</t>
        </is>
      </c>
      <c r="D3237" s="10" t="inlineStr">
        <is>
          <t>下り</t>
        </is>
      </c>
      <c r="E3237" t="inlineStr">
        <is>
          <t>2251</t>
        </is>
      </c>
      <c r="F3237" t="inlineStr">
        <is>
          <t>0453</t>
        </is>
      </c>
      <c r="G3237" s="10" t="inlineStr">
        <is>
          <t>鳴滝</t>
        </is>
      </c>
      <c r="H3237" s="10" t="inlineStr">
        <is>
          <t>発</t>
        </is>
      </c>
      <c r="J3237" s="10" t="inlineStr">
        <is>
          <t>営業</t>
        </is>
      </c>
      <c r="L3237" t="inlineStr">
        <is>
          <t>22:29:35</t>
        </is>
      </c>
      <c r="M3237" t="inlineStr">
        <is>
          <t>22:29:45</t>
        </is>
      </c>
    </row>
    <row r="3238" ht="15" customHeight="1" s="37">
      <c r="A3238" t="n">
        <v>23</v>
      </c>
      <c r="B3238" s="10" t="inlineStr">
        <is>
          <t>休日</t>
        </is>
      </c>
      <c r="C3238" s="10" t="inlineStr">
        <is>
          <t>北野線</t>
        </is>
      </c>
      <c r="D3238" s="10" t="inlineStr">
        <is>
          <t>下り</t>
        </is>
      </c>
      <c r="E3238" t="inlineStr">
        <is>
          <t>2251</t>
        </is>
      </c>
      <c r="F3238" t="inlineStr">
        <is>
          <t>0453</t>
        </is>
      </c>
      <c r="G3238" s="10" t="inlineStr">
        <is>
          <t>常盤</t>
        </is>
      </c>
      <c r="H3238" s="10" t="inlineStr">
        <is>
          <t>発</t>
        </is>
      </c>
      <c r="J3238" s="10" t="inlineStr">
        <is>
          <t>営業</t>
        </is>
      </c>
      <c r="L3238" t="inlineStr">
        <is>
          <t>22:30:35</t>
        </is>
      </c>
      <c r="M3238" t="inlineStr">
        <is>
          <t>22:30:55</t>
        </is>
      </c>
    </row>
    <row r="3239" ht="15" customHeight="1" s="37">
      <c r="A3239" t="n">
        <v>23</v>
      </c>
      <c r="B3239" s="10" t="inlineStr">
        <is>
          <t>休日</t>
        </is>
      </c>
      <c r="C3239" s="10" t="inlineStr">
        <is>
          <t>北野線</t>
        </is>
      </c>
      <c r="D3239" s="10" t="inlineStr">
        <is>
          <t>下り</t>
        </is>
      </c>
      <c r="E3239" t="inlineStr">
        <is>
          <t>2251</t>
        </is>
      </c>
      <c r="F3239" t="inlineStr">
        <is>
          <t>0453</t>
        </is>
      </c>
      <c r="G3239" s="10" t="inlineStr">
        <is>
          <t>撮影所前</t>
        </is>
      </c>
      <c r="H3239" s="10" t="inlineStr">
        <is>
          <t>発</t>
        </is>
      </c>
      <c r="J3239" s="10" t="inlineStr">
        <is>
          <t>営業</t>
        </is>
      </c>
      <c r="L3239" t="inlineStr">
        <is>
          <t>22:32:15</t>
        </is>
      </c>
      <c r="M3239" t="inlineStr">
        <is>
          <t>22:32:30</t>
        </is>
      </c>
    </row>
    <row r="3240" ht="15" customHeight="1" s="37">
      <c r="A3240" t="n">
        <v>23</v>
      </c>
      <c r="B3240" s="10" t="inlineStr">
        <is>
          <t>休日</t>
        </is>
      </c>
      <c r="C3240" s="10" t="inlineStr">
        <is>
          <t>北野線</t>
        </is>
      </c>
      <c r="D3240" s="10" t="inlineStr">
        <is>
          <t>下り</t>
        </is>
      </c>
      <c r="E3240" t="inlineStr">
        <is>
          <t>2251</t>
        </is>
      </c>
      <c r="F3240" t="inlineStr">
        <is>
          <t>0453</t>
        </is>
      </c>
      <c r="G3240" s="10" t="inlineStr">
        <is>
          <t>帷子ノ辻</t>
        </is>
      </c>
      <c r="H3240" s="10" t="inlineStr">
        <is>
          <t>着</t>
        </is>
      </c>
      <c r="J3240" s="10" t="inlineStr">
        <is>
          <t>営業</t>
        </is>
      </c>
      <c r="L3240" t="inlineStr">
        <is>
          <t>22:33:25</t>
        </is>
      </c>
      <c r="Q3240" t="inlineStr">
        <is>
          <t>4入</t>
        </is>
      </c>
      <c r="T3240" t="inlineStr">
        <is>
          <t>○</t>
        </is>
      </c>
    </row>
    <row r="3241" ht="15" customHeight="1" s="37">
      <c r="A3241" t="n">
        <v>23</v>
      </c>
      <c r="B3241" s="10" t="inlineStr">
        <is>
          <t>休日</t>
        </is>
      </c>
      <c r="C3241" s="10" t="inlineStr">
        <is>
          <t>北野線</t>
        </is>
      </c>
      <c r="D3241" s="10" t="inlineStr">
        <is>
          <t>上り</t>
        </is>
      </c>
      <c r="E3241" t="inlineStr">
        <is>
          <t>2252</t>
        </is>
      </c>
      <c r="F3241" t="inlineStr">
        <is>
          <t>0304</t>
        </is>
      </c>
      <c r="G3241" s="10" t="inlineStr">
        <is>
          <t>帷子ノ辻</t>
        </is>
      </c>
      <c r="H3241" s="10" t="inlineStr">
        <is>
          <t>発</t>
        </is>
      </c>
      <c r="J3241" s="10" t="inlineStr">
        <is>
          <t>営業</t>
        </is>
      </c>
      <c r="M3241" t="inlineStr">
        <is>
          <t>22:00:25</t>
        </is>
      </c>
      <c r="Q3241" t="inlineStr">
        <is>
          <t>4</t>
        </is>
      </c>
    </row>
    <row r="3242" ht="15" customHeight="1" s="37">
      <c r="A3242" t="n">
        <v>23</v>
      </c>
      <c r="B3242" s="10" t="inlineStr">
        <is>
          <t>休日</t>
        </is>
      </c>
      <c r="C3242" s="10" t="inlineStr">
        <is>
          <t>北野線</t>
        </is>
      </c>
      <c r="D3242" s="10" t="inlineStr">
        <is>
          <t>上り</t>
        </is>
      </c>
      <c r="E3242" t="inlineStr">
        <is>
          <t>2252</t>
        </is>
      </c>
      <c r="F3242" t="inlineStr">
        <is>
          <t>0304</t>
        </is>
      </c>
      <c r="G3242" s="10" t="inlineStr">
        <is>
          <t>撮影所前</t>
        </is>
      </c>
      <c r="H3242" s="10" t="inlineStr">
        <is>
          <t>発</t>
        </is>
      </c>
      <c r="J3242" s="10" t="inlineStr">
        <is>
          <t>営業</t>
        </is>
      </c>
      <c r="L3242" t="inlineStr">
        <is>
          <t>22:01:25</t>
        </is>
      </c>
      <c r="M3242" t="inlineStr">
        <is>
          <t>22:01:40</t>
        </is>
      </c>
    </row>
    <row r="3243" ht="15" customHeight="1" s="37">
      <c r="A3243" t="n">
        <v>23</v>
      </c>
      <c r="B3243" s="10" t="inlineStr">
        <is>
          <t>休日</t>
        </is>
      </c>
      <c r="C3243" s="10" t="inlineStr">
        <is>
          <t>北野線</t>
        </is>
      </c>
      <c r="D3243" s="10" t="inlineStr">
        <is>
          <t>上り</t>
        </is>
      </c>
      <c r="E3243" t="inlineStr">
        <is>
          <t>2252</t>
        </is>
      </c>
      <c r="F3243" t="inlineStr">
        <is>
          <t>0304</t>
        </is>
      </c>
      <c r="G3243" s="10" t="inlineStr">
        <is>
          <t>常盤</t>
        </is>
      </c>
      <c r="H3243" s="10" t="inlineStr">
        <is>
          <t>発</t>
        </is>
      </c>
      <c r="J3243" s="10" t="inlineStr">
        <is>
          <t>営業</t>
        </is>
      </c>
      <c r="L3243" t="inlineStr">
        <is>
          <t>22:03:00</t>
        </is>
      </c>
      <c r="M3243" t="inlineStr">
        <is>
          <t>22:03:20</t>
        </is>
      </c>
    </row>
    <row r="3244" ht="15" customHeight="1" s="37">
      <c r="A3244" t="n">
        <v>23</v>
      </c>
      <c r="B3244" s="10" t="inlineStr">
        <is>
          <t>休日</t>
        </is>
      </c>
      <c r="C3244" s="10" t="inlineStr">
        <is>
          <t>北野線</t>
        </is>
      </c>
      <c r="D3244" s="10" t="inlineStr">
        <is>
          <t>上り</t>
        </is>
      </c>
      <c r="E3244" t="inlineStr">
        <is>
          <t>2252</t>
        </is>
      </c>
      <c r="F3244" t="inlineStr">
        <is>
          <t>0304</t>
        </is>
      </c>
      <c r="G3244" s="10" t="inlineStr">
        <is>
          <t>鳴滝</t>
        </is>
      </c>
      <c r="H3244" s="10" t="inlineStr">
        <is>
          <t>発</t>
        </is>
      </c>
      <c r="J3244" s="10" t="inlineStr">
        <is>
          <t>営業</t>
        </is>
      </c>
      <c r="L3244" t="inlineStr">
        <is>
          <t>22:04:20</t>
        </is>
      </c>
      <c r="M3244" t="inlineStr">
        <is>
          <t>22:04:40</t>
        </is>
      </c>
    </row>
    <row r="3245" ht="15" customHeight="1" s="37">
      <c r="A3245" t="n">
        <v>23</v>
      </c>
      <c r="B3245" s="10" t="inlineStr">
        <is>
          <t>休日</t>
        </is>
      </c>
      <c r="C3245" s="10" t="inlineStr">
        <is>
          <t>北野線</t>
        </is>
      </c>
      <c r="D3245" s="10" t="inlineStr">
        <is>
          <t>上り</t>
        </is>
      </c>
      <c r="E3245" t="inlineStr">
        <is>
          <t>2252</t>
        </is>
      </c>
      <c r="F3245" t="inlineStr">
        <is>
          <t>0304</t>
        </is>
      </c>
      <c r="G3245" s="10" t="inlineStr">
        <is>
          <t>宇多野</t>
        </is>
      </c>
      <c r="H3245" s="10" t="inlineStr">
        <is>
          <t>発</t>
        </is>
      </c>
      <c r="J3245" s="10" t="inlineStr">
        <is>
          <t>営業</t>
        </is>
      </c>
      <c r="L3245" t="inlineStr">
        <is>
          <t>22:06:00</t>
        </is>
      </c>
      <c r="M3245" t="inlineStr">
        <is>
          <t>22:06:15</t>
        </is>
      </c>
    </row>
    <row r="3246" ht="15" customHeight="1" s="37">
      <c r="A3246" t="n">
        <v>23</v>
      </c>
      <c r="B3246" s="10" t="inlineStr">
        <is>
          <t>休日</t>
        </is>
      </c>
      <c r="C3246" s="10" t="inlineStr">
        <is>
          <t>北野線</t>
        </is>
      </c>
      <c r="D3246" s="10" t="inlineStr">
        <is>
          <t>上り</t>
        </is>
      </c>
      <c r="E3246" t="inlineStr">
        <is>
          <t>2252</t>
        </is>
      </c>
      <c r="F3246" t="inlineStr">
        <is>
          <t>0304</t>
        </is>
      </c>
      <c r="G3246" s="10" t="inlineStr">
        <is>
          <t>御室仁和寺</t>
        </is>
      </c>
      <c r="H3246" s="10" t="inlineStr">
        <is>
          <t>発</t>
        </is>
      </c>
      <c r="J3246" s="10" t="inlineStr">
        <is>
          <t>営業</t>
        </is>
      </c>
      <c r="L3246" t="inlineStr">
        <is>
          <t>22:07:15</t>
        </is>
      </c>
      <c r="M3246" t="inlineStr">
        <is>
          <t>22:07:35</t>
        </is>
      </c>
    </row>
    <row r="3247" ht="15" customHeight="1" s="37">
      <c r="A3247" t="n">
        <v>23</v>
      </c>
      <c r="B3247" s="10" t="inlineStr">
        <is>
          <t>休日</t>
        </is>
      </c>
      <c r="C3247" s="10" t="inlineStr">
        <is>
          <t>北野線</t>
        </is>
      </c>
      <c r="D3247" s="10" t="inlineStr">
        <is>
          <t>上り</t>
        </is>
      </c>
      <c r="E3247" t="inlineStr">
        <is>
          <t>2252</t>
        </is>
      </c>
      <c r="F3247" t="inlineStr">
        <is>
          <t>0304</t>
        </is>
      </c>
      <c r="G3247" s="10" t="inlineStr">
        <is>
          <t>妙心寺</t>
        </is>
      </c>
      <c r="H3247" s="10" t="inlineStr">
        <is>
          <t>発</t>
        </is>
      </c>
      <c r="J3247" s="10" t="inlineStr">
        <is>
          <t>営業</t>
        </is>
      </c>
      <c r="L3247" t="inlineStr">
        <is>
          <t>22:08:35</t>
        </is>
      </c>
      <c r="M3247" t="inlineStr">
        <is>
          <t>22:08:50</t>
        </is>
      </c>
    </row>
    <row r="3248" ht="15" customHeight="1" s="37">
      <c r="A3248" t="n">
        <v>23</v>
      </c>
      <c r="B3248" s="10" t="inlineStr">
        <is>
          <t>休日</t>
        </is>
      </c>
      <c r="C3248" s="10" t="inlineStr">
        <is>
          <t>北野線</t>
        </is>
      </c>
      <c r="D3248" s="10" t="inlineStr">
        <is>
          <t>上り</t>
        </is>
      </c>
      <c r="E3248" t="inlineStr">
        <is>
          <t>2252</t>
        </is>
      </c>
      <c r="F3248" t="inlineStr">
        <is>
          <t>0304</t>
        </is>
      </c>
      <c r="G3248" s="10" t="inlineStr">
        <is>
          <t>龍安寺</t>
        </is>
      </c>
      <c r="H3248" s="10" t="inlineStr">
        <is>
          <t>発</t>
        </is>
      </c>
      <c r="J3248" s="10" t="inlineStr">
        <is>
          <t>営業</t>
        </is>
      </c>
      <c r="L3248" t="inlineStr">
        <is>
          <t>22:09:45</t>
        </is>
      </c>
      <c r="M3248" t="inlineStr">
        <is>
          <t>22:09:55</t>
        </is>
      </c>
    </row>
    <row r="3249" ht="15" customHeight="1" s="37">
      <c r="A3249" t="n">
        <v>23</v>
      </c>
      <c r="B3249" s="10" t="inlineStr">
        <is>
          <t>休日</t>
        </is>
      </c>
      <c r="C3249" s="10" t="inlineStr">
        <is>
          <t>北野線</t>
        </is>
      </c>
      <c r="D3249" s="10" t="inlineStr">
        <is>
          <t>上り</t>
        </is>
      </c>
      <c r="E3249" t="inlineStr">
        <is>
          <t>2252</t>
        </is>
      </c>
      <c r="F3249" t="inlineStr">
        <is>
          <t>0304</t>
        </is>
      </c>
      <c r="G3249" s="10" t="inlineStr">
        <is>
          <t>等持院</t>
        </is>
      </c>
      <c r="H3249" s="10" t="inlineStr">
        <is>
          <t>発</t>
        </is>
      </c>
      <c r="J3249" s="10" t="inlineStr">
        <is>
          <t>営業</t>
        </is>
      </c>
      <c r="L3249" t="inlineStr">
        <is>
          <t>22:10:35</t>
        </is>
      </c>
      <c r="M3249" t="inlineStr">
        <is>
          <t>22:10:55</t>
        </is>
      </c>
    </row>
    <row r="3250" ht="15" customHeight="1" s="37">
      <c r="A3250" t="n">
        <v>23</v>
      </c>
      <c r="B3250" s="10" t="inlineStr">
        <is>
          <t>休日</t>
        </is>
      </c>
      <c r="C3250" s="10" t="inlineStr">
        <is>
          <t>北野線</t>
        </is>
      </c>
      <c r="D3250" s="10" t="inlineStr">
        <is>
          <t>上り</t>
        </is>
      </c>
      <c r="E3250" t="inlineStr">
        <is>
          <t>2252</t>
        </is>
      </c>
      <c r="F3250" t="inlineStr">
        <is>
          <t>0304</t>
        </is>
      </c>
      <c r="G3250" s="10" t="inlineStr">
        <is>
          <t>北野白梅町</t>
        </is>
      </c>
      <c r="H3250" s="10" t="inlineStr">
        <is>
          <t>着</t>
        </is>
      </c>
      <c r="J3250" s="10" t="inlineStr">
        <is>
          <t>営業</t>
        </is>
      </c>
      <c r="L3250" t="inlineStr">
        <is>
          <t>22:12:15</t>
        </is>
      </c>
      <c r="N3250" t="inlineStr">
        <is>
          <t>○</t>
        </is>
      </c>
      <c r="Q3250" t="inlineStr">
        <is>
          <t>1</t>
        </is>
      </c>
    </row>
    <row r="3251" ht="15" customHeight="1" s="37">
      <c r="A3251" t="n">
        <v>23</v>
      </c>
      <c r="B3251" s="10" t="inlineStr">
        <is>
          <t>休日</t>
        </is>
      </c>
      <c r="C3251" s="10" t="inlineStr">
        <is>
          <t>本線</t>
        </is>
      </c>
      <c r="D3251" s="10" t="inlineStr">
        <is>
          <t>下り</t>
        </is>
      </c>
      <c r="E3251" t="inlineStr">
        <is>
          <t>23系統⑥便乗</t>
        </is>
      </c>
      <c r="F3251" s="10" t="inlineStr">
        <is>
          <t>便乗</t>
        </is>
      </c>
      <c r="G3251" s="10" t="inlineStr">
        <is>
          <t>西院</t>
        </is>
      </c>
      <c r="H3251" s="10" t="inlineStr">
        <is>
          <t>発</t>
        </is>
      </c>
      <c r="J3251" s="10" t="inlineStr">
        <is>
          <t>便乗</t>
        </is>
      </c>
      <c r="L3251" t="inlineStr">
        <is>
          <t>14:25:50</t>
        </is>
      </c>
      <c r="M3251" t="inlineStr">
        <is>
          <t>14:26:20</t>
        </is>
      </c>
      <c r="S3251" t="inlineStr">
        <is>
          <t>連1405</t>
        </is>
      </c>
    </row>
    <row r="3252" ht="15" customHeight="1" s="37">
      <c r="A3252" t="n">
        <v>23</v>
      </c>
      <c r="B3252" s="10" t="inlineStr">
        <is>
          <t>休日</t>
        </is>
      </c>
      <c r="C3252" s="10" t="inlineStr">
        <is>
          <t>本線</t>
        </is>
      </c>
      <c r="D3252" s="10" t="inlineStr">
        <is>
          <t>下り</t>
        </is>
      </c>
      <c r="E3252" t="inlineStr">
        <is>
          <t>23系統⑥便乗</t>
        </is>
      </c>
      <c r="F3252" s="10" t="inlineStr">
        <is>
          <t>便乗</t>
        </is>
      </c>
      <c r="G3252" s="10" t="inlineStr">
        <is>
          <t>西大路三条</t>
        </is>
      </c>
      <c r="H3252" s="10" t="inlineStr">
        <is>
          <t>発</t>
        </is>
      </c>
      <c r="J3252" s="10" t="inlineStr">
        <is>
          <t>便乗</t>
        </is>
      </c>
      <c r="L3252" t="inlineStr">
        <is>
          <t>14:28:10</t>
        </is>
      </c>
      <c r="M3252" t="inlineStr">
        <is>
          <t>14:28:30</t>
        </is>
      </c>
      <c r="S3252" t="inlineStr">
        <is>
          <t>連1405</t>
        </is>
      </c>
    </row>
    <row r="3253" ht="16.5" customHeight="1" s="37">
      <c r="A3253" t="n">
        <v>23</v>
      </c>
      <c r="B3253" s="10" t="inlineStr">
        <is>
          <t>休日</t>
        </is>
      </c>
      <c r="C3253" s="10" t="inlineStr">
        <is>
          <t>本線</t>
        </is>
      </c>
      <c r="D3253" s="10" t="inlineStr">
        <is>
          <t>下り</t>
        </is>
      </c>
      <c r="E3253" t="inlineStr">
        <is>
          <t>23系統⑥便乗</t>
        </is>
      </c>
      <c r="F3253" s="10" t="inlineStr">
        <is>
          <t>便乗</t>
        </is>
      </c>
      <c r="G3253" s="10" t="inlineStr">
        <is>
          <t>山ノ内</t>
        </is>
      </c>
      <c r="H3253" s="10" t="inlineStr">
        <is>
          <t>発</t>
        </is>
      </c>
      <c r="J3253" s="10" t="inlineStr">
        <is>
          <t>便乗</t>
        </is>
      </c>
      <c r="L3253" t="inlineStr">
        <is>
          <t>14:30:25</t>
        </is>
      </c>
      <c r="M3253" t="inlineStr">
        <is>
          <t>14:30:50</t>
        </is>
      </c>
      <c r="S3253" t="inlineStr">
        <is>
          <t>連1405</t>
        </is>
      </c>
    </row>
    <row r="3254" ht="16.5" customHeight="1" s="37">
      <c r="A3254" t="n">
        <v>23</v>
      </c>
      <c r="B3254" s="10" t="inlineStr">
        <is>
          <t>休日</t>
        </is>
      </c>
      <c r="C3254" s="10" t="inlineStr">
        <is>
          <t>本線</t>
        </is>
      </c>
      <c r="D3254" s="10" t="inlineStr">
        <is>
          <t>下り</t>
        </is>
      </c>
      <c r="E3254" t="inlineStr">
        <is>
          <t>23系統⑥便乗</t>
        </is>
      </c>
      <c r="F3254" s="10" t="inlineStr">
        <is>
          <t>便乗</t>
        </is>
      </c>
      <c r="G3254" s="10" t="inlineStr">
        <is>
          <t>天神川</t>
        </is>
      </c>
      <c r="H3254" s="10" t="inlineStr">
        <is>
          <t>発</t>
        </is>
      </c>
      <c r="J3254" s="10" t="inlineStr">
        <is>
          <t>便乗</t>
        </is>
      </c>
      <c r="L3254" t="inlineStr">
        <is>
          <t>14:32:50</t>
        </is>
      </c>
      <c r="M3254" t="inlineStr">
        <is>
          <t>14:33:30</t>
        </is>
      </c>
      <c r="S3254" t="inlineStr">
        <is>
          <t>連1405</t>
        </is>
      </c>
    </row>
    <row r="3255" ht="16.5" customHeight="1" s="37">
      <c r="A3255" t="n">
        <v>23</v>
      </c>
      <c r="B3255" s="10" t="inlineStr">
        <is>
          <t>休日</t>
        </is>
      </c>
      <c r="C3255" s="10" t="inlineStr">
        <is>
          <t>本線</t>
        </is>
      </c>
      <c r="D3255" s="10" t="inlineStr">
        <is>
          <t>下り</t>
        </is>
      </c>
      <c r="E3255" t="inlineStr">
        <is>
          <t>23系統⑥便乗</t>
        </is>
      </c>
      <c r="F3255" s="10" t="inlineStr">
        <is>
          <t>便乗</t>
        </is>
      </c>
      <c r="G3255" s="10" t="inlineStr">
        <is>
          <t>蚕ノ社</t>
        </is>
      </c>
      <c r="H3255" s="10" t="inlineStr">
        <is>
          <t>発</t>
        </is>
      </c>
      <c r="J3255" s="10" t="inlineStr">
        <is>
          <t>便乗</t>
        </is>
      </c>
      <c r="L3255" t="inlineStr">
        <is>
          <t>14:34:20</t>
        </is>
      </c>
      <c r="M3255" t="inlineStr">
        <is>
          <t>14:34:40</t>
        </is>
      </c>
      <c r="S3255" t="inlineStr">
        <is>
          <t>連1405</t>
        </is>
      </c>
    </row>
    <row r="3256" ht="16.5" customHeight="1" s="37">
      <c r="A3256" t="n">
        <v>23</v>
      </c>
      <c r="B3256" s="10" t="inlineStr">
        <is>
          <t>休日</t>
        </is>
      </c>
      <c r="C3256" s="10" t="inlineStr">
        <is>
          <t>本線</t>
        </is>
      </c>
      <c r="D3256" s="10" t="inlineStr">
        <is>
          <t>下り</t>
        </is>
      </c>
      <c r="E3256" t="inlineStr">
        <is>
          <t>23系統⑥便乗</t>
        </is>
      </c>
      <c r="F3256" s="10" t="inlineStr">
        <is>
          <t>便乗</t>
        </is>
      </c>
      <c r="G3256" s="10" t="inlineStr">
        <is>
          <t>太秦広隆寺</t>
        </is>
      </c>
      <c r="H3256" s="10" t="inlineStr">
        <is>
          <t>発</t>
        </is>
      </c>
      <c r="J3256" s="10" t="inlineStr">
        <is>
          <t>便乗</t>
        </is>
      </c>
      <c r="L3256" t="inlineStr">
        <is>
          <t>14:36:00</t>
        </is>
      </c>
      <c r="M3256" t="inlineStr">
        <is>
          <t>14:36:20</t>
        </is>
      </c>
      <c r="S3256" t="inlineStr">
        <is>
          <t>連1405</t>
        </is>
      </c>
    </row>
    <row r="3257" ht="16.5" customHeight="1" s="37">
      <c r="A3257" t="n">
        <v>23</v>
      </c>
      <c r="B3257" s="10" t="inlineStr">
        <is>
          <t>休日</t>
        </is>
      </c>
      <c r="C3257" s="10" t="inlineStr">
        <is>
          <t>本線</t>
        </is>
      </c>
      <c r="D3257" s="10" t="inlineStr">
        <is>
          <t>下り</t>
        </is>
      </c>
      <c r="E3257" t="inlineStr">
        <is>
          <t>23系統⑥便乗</t>
        </is>
      </c>
      <c r="F3257" s="10" t="inlineStr">
        <is>
          <t>便乗</t>
        </is>
      </c>
      <c r="G3257" s="10" t="inlineStr">
        <is>
          <t>帷子ノ辻</t>
        </is>
      </c>
      <c r="H3257" s="10" t="inlineStr">
        <is>
          <t>着</t>
        </is>
      </c>
      <c r="J3257" s="10" t="inlineStr">
        <is>
          <t>便乗</t>
        </is>
      </c>
      <c r="L3257" t="inlineStr">
        <is>
          <t>14:38:20</t>
        </is>
      </c>
      <c r="M3257" t="inlineStr">
        <is>
          <t>14:39:40</t>
        </is>
      </c>
      <c r="S3257" t="inlineStr">
        <is>
          <t>連1405</t>
        </is>
      </c>
    </row>
    <row r="3258" ht="16.5" customHeight="1" s="37">
      <c r="A3258" t="n">
        <v>23</v>
      </c>
      <c r="B3258" s="10" t="inlineStr">
        <is>
          <t>休日</t>
        </is>
      </c>
      <c r="C3258" s="10" t="inlineStr">
        <is>
          <t>本線</t>
        </is>
      </c>
      <c r="D3258" s="10" t="inlineStr">
        <is>
          <t>上り</t>
        </is>
      </c>
      <c r="E3258" s="10" t="inlineStr">
        <is>
          <t>回2290</t>
        </is>
      </c>
      <c r="G3258" s="10" t="inlineStr">
        <is>
          <t>帷子ノ辻</t>
        </is>
      </c>
      <c r="H3258" s="10" t="inlineStr">
        <is>
          <t>発</t>
        </is>
      </c>
      <c r="J3258" s="10" t="inlineStr">
        <is>
          <t>回送</t>
        </is>
      </c>
      <c r="M3258" t="inlineStr">
        <is>
          <t>22:44:05</t>
        </is>
      </c>
      <c r="O3258" t="inlineStr">
        <is>
          <t>返却:北白(金庫2・納金袋1)+帷子午前(金庫1) 計金庫3・納金袋1 23系統 回2290で西院22:54入庫</t>
        </is>
      </c>
    </row>
    <row r="3259" ht="16.5" customHeight="1" s="37">
      <c r="A3259" t="n">
        <v>23</v>
      </c>
      <c r="B3259" s="10" t="inlineStr">
        <is>
          <t>休日</t>
        </is>
      </c>
      <c r="C3259" s="10" t="inlineStr">
        <is>
          <t>本線</t>
        </is>
      </c>
      <c r="D3259" s="10" t="inlineStr">
        <is>
          <t>上り</t>
        </is>
      </c>
      <c r="E3259" s="10" t="inlineStr">
        <is>
          <t>回2290</t>
        </is>
      </c>
      <c r="G3259" s="10" t="inlineStr">
        <is>
          <t>太秦広隆寺</t>
        </is>
      </c>
      <c r="H3259" s="10" t="inlineStr">
        <is>
          <t>発</t>
        </is>
      </c>
      <c r="J3259" s="10" t="inlineStr">
        <is>
          <t>回送</t>
        </is>
      </c>
      <c r="L3259" t="inlineStr">
        <is>
          <t>22:46:15</t>
        </is>
      </c>
      <c r="M3259" t="inlineStr">
        <is>
          <t>22:46:15</t>
        </is>
      </c>
      <c r="O3259" t="inlineStr">
        <is>
          <t>返却:北白(金庫2・納金袋1)+帷子午前(金庫1) 計金庫3・納金袋1 23系統 回2290で西院22:54入庫</t>
        </is>
      </c>
    </row>
    <row r="3260" ht="16.5" customHeight="1" s="37">
      <c r="A3260" t="n">
        <v>23</v>
      </c>
      <c r="B3260" s="10" t="inlineStr">
        <is>
          <t>休日</t>
        </is>
      </c>
      <c r="C3260" s="10" t="inlineStr">
        <is>
          <t>本線</t>
        </is>
      </c>
      <c r="D3260" s="10" t="inlineStr">
        <is>
          <t>上り</t>
        </is>
      </c>
      <c r="E3260" s="10" t="inlineStr">
        <is>
          <t>回2290</t>
        </is>
      </c>
      <c r="G3260" s="10" t="inlineStr">
        <is>
          <t>蚕ノ社</t>
        </is>
      </c>
      <c r="H3260" s="10" t="inlineStr">
        <is>
          <t>発</t>
        </is>
      </c>
      <c r="J3260" s="10" t="inlineStr">
        <is>
          <t>回送</t>
        </is>
      </c>
      <c r="L3260" t="inlineStr">
        <is>
          <t>22:47:30</t>
        </is>
      </c>
      <c r="M3260" t="inlineStr">
        <is>
          <t>22:47:30</t>
        </is>
      </c>
      <c r="O3260" t="inlineStr">
        <is>
          <t>返却:北白(金庫2・納金袋1)+帷子午前(金庫1) 計金庫3・納金袋1 23系統 回2290で西院22:54入庫</t>
        </is>
      </c>
    </row>
    <row r="3261" ht="16.5" customHeight="1" s="37">
      <c r="A3261" t="n">
        <v>23</v>
      </c>
      <c r="B3261" s="10" t="inlineStr">
        <is>
          <t>休日</t>
        </is>
      </c>
      <c r="C3261" s="10" t="inlineStr">
        <is>
          <t>本線</t>
        </is>
      </c>
      <c r="D3261" s="10" t="inlineStr">
        <is>
          <t>上り</t>
        </is>
      </c>
      <c r="E3261" s="10" t="inlineStr">
        <is>
          <t>回2290</t>
        </is>
      </c>
      <c r="G3261" s="10" t="inlineStr">
        <is>
          <t>天神川</t>
        </is>
      </c>
      <c r="H3261" s="10" t="inlineStr">
        <is>
          <t>発</t>
        </is>
      </c>
      <c r="J3261" s="10" t="inlineStr">
        <is>
          <t>回送</t>
        </is>
      </c>
      <c r="L3261" t="inlineStr">
        <is>
          <t>22:48:15</t>
        </is>
      </c>
      <c r="M3261" t="inlineStr">
        <is>
          <t>22:48:40</t>
        </is>
      </c>
      <c r="O3261" t="inlineStr">
        <is>
          <t>返却:北白(金庫2・納金袋1)+帷子午前(金庫1) 計金庫3・納金袋1 23系統 回2290で西院22:54入庫</t>
        </is>
      </c>
    </row>
    <row r="3262" ht="16.5" customHeight="1" s="37">
      <c r="A3262" t="n">
        <v>23</v>
      </c>
      <c r="B3262" s="10" t="inlineStr">
        <is>
          <t>休日</t>
        </is>
      </c>
      <c r="C3262" s="10" t="inlineStr">
        <is>
          <t>本線</t>
        </is>
      </c>
      <c r="D3262" s="10" t="inlineStr">
        <is>
          <t>上り</t>
        </is>
      </c>
      <c r="E3262" s="10" t="inlineStr">
        <is>
          <t>回2290</t>
        </is>
      </c>
      <c r="G3262" s="10" t="inlineStr">
        <is>
          <t>山ノ内</t>
        </is>
      </c>
      <c r="H3262" s="10" t="inlineStr">
        <is>
          <t>発</t>
        </is>
      </c>
      <c r="J3262" s="10" t="inlineStr">
        <is>
          <t>回送</t>
        </is>
      </c>
      <c r="L3262" t="inlineStr">
        <is>
          <t>22:50:30</t>
        </is>
      </c>
      <c r="M3262" t="inlineStr">
        <is>
          <t>22:50:55</t>
        </is>
      </c>
      <c r="O3262" t="inlineStr">
        <is>
          <t>返却:北白(金庫2・納金袋1)+帷子午前(金庫1) 計金庫3・納金袋1 23系統 回2290で西院22:54入庫</t>
        </is>
      </c>
    </row>
    <row r="3263" ht="16.5" customHeight="1" s="37">
      <c r="A3263" t="n">
        <v>23</v>
      </c>
      <c r="B3263" s="10" t="inlineStr">
        <is>
          <t>休日</t>
        </is>
      </c>
      <c r="C3263" s="10" t="inlineStr">
        <is>
          <t>本線</t>
        </is>
      </c>
      <c r="D3263" s="10" t="inlineStr">
        <is>
          <t>上り</t>
        </is>
      </c>
      <c r="E3263" s="10" t="inlineStr">
        <is>
          <t>回2290</t>
        </is>
      </c>
      <c r="G3263" s="10" t="inlineStr">
        <is>
          <t>西大路三条</t>
        </is>
      </c>
      <c r="H3263" s="10" t="inlineStr">
        <is>
          <t>発</t>
        </is>
      </c>
      <c r="J3263" s="10" t="inlineStr">
        <is>
          <t>回送</t>
        </is>
      </c>
      <c r="L3263" t="inlineStr">
        <is>
          <t>22:52:45</t>
        </is>
      </c>
      <c r="M3263" t="inlineStr">
        <is>
          <t>22:52:45</t>
        </is>
      </c>
      <c r="O3263" t="inlineStr">
        <is>
          <t>返却:北白(金庫2・納金袋1)+帷子午前(金庫1) 計金庫3・納金袋1 23系統 回2290で西院22:54入庫</t>
        </is>
      </c>
    </row>
    <row r="3264" ht="16.5" customHeight="1" s="37">
      <c r="A3264" t="n">
        <v>23</v>
      </c>
      <c r="B3264" s="10" t="inlineStr">
        <is>
          <t>休日</t>
        </is>
      </c>
      <c r="C3264" s="10" t="inlineStr">
        <is>
          <t>本線</t>
        </is>
      </c>
      <c r="D3264" s="10" t="inlineStr">
        <is>
          <t>上り</t>
        </is>
      </c>
      <c r="E3264" s="10" t="inlineStr">
        <is>
          <t>回2290</t>
        </is>
      </c>
      <c r="G3264" s="10" t="inlineStr">
        <is>
          <t>西院</t>
        </is>
      </c>
      <c r="H3264" s="10" t="inlineStr">
        <is>
          <t>着</t>
        </is>
      </c>
      <c r="J3264" s="10" t="inlineStr">
        <is>
          <t>回送</t>
        </is>
      </c>
      <c r="L3264" t="inlineStr">
        <is>
          <t>22:54:40</t>
        </is>
      </c>
      <c r="O3264" t="inlineStr">
        <is>
          <t>返却:北白(金庫2・納金袋1)+帷子午前(金庫1) 計金庫3・納金袋1 23系統 回2290で西院22:54入庫</t>
        </is>
      </c>
    </row>
    <row r="3265" ht="16.5" customHeight="1" s="37">
      <c r="A3265" t="n">
        <v>24</v>
      </c>
      <c r="B3265" s="10" t="inlineStr">
        <is>
          <t>休日</t>
        </is>
      </c>
      <c r="C3265" s="10" t="inlineStr">
        <is>
          <t>北野線</t>
        </is>
      </c>
      <c r="D3265" s="10" t="inlineStr">
        <is>
          <t>上り</t>
        </is>
      </c>
      <c r="E3265" t="inlineStr">
        <is>
          <t>1558</t>
        </is>
      </c>
      <c r="F3265" t="inlineStr">
        <is>
          <t>0354</t>
        </is>
      </c>
      <c r="G3265" s="10" t="inlineStr">
        <is>
          <t>帷子ノ辻</t>
        </is>
      </c>
      <c r="H3265" s="10" t="inlineStr">
        <is>
          <t>発</t>
        </is>
      </c>
      <c r="J3265" s="10" t="inlineStr">
        <is>
          <t>営業</t>
        </is>
      </c>
      <c r="M3265" t="inlineStr">
        <is>
          <t>15:36:25</t>
        </is>
      </c>
      <c r="Q3265" t="inlineStr">
        <is>
          <t>3</t>
        </is>
      </c>
    </row>
    <row r="3266" ht="16.5" customHeight="1" s="37">
      <c r="A3266" t="n">
        <v>24</v>
      </c>
      <c r="B3266" s="10" t="inlineStr">
        <is>
          <t>休日</t>
        </is>
      </c>
      <c r="C3266" s="10" t="inlineStr">
        <is>
          <t>北野線</t>
        </is>
      </c>
      <c r="D3266" s="10" t="inlineStr">
        <is>
          <t>上り</t>
        </is>
      </c>
      <c r="E3266" t="inlineStr">
        <is>
          <t>1558</t>
        </is>
      </c>
      <c r="F3266" t="inlineStr">
        <is>
          <t>0354</t>
        </is>
      </c>
      <c r="G3266" s="10" t="inlineStr">
        <is>
          <t>撮影所前</t>
        </is>
      </c>
      <c r="H3266" s="10" t="inlineStr">
        <is>
          <t>発</t>
        </is>
      </c>
      <c r="J3266" s="10" t="inlineStr">
        <is>
          <t>営業</t>
        </is>
      </c>
      <c r="L3266" t="inlineStr">
        <is>
          <t>15:37:25</t>
        </is>
      </c>
      <c r="M3266" t="inlineStr">
        <is>
          <t>15:37:40</t>
        </is>
      </c>
    </row>
    <row r="3267" ht="16.5" customHeight="1" s="37">
      <c r="A3267" t="n">
        <v>24</v>
      </c>
      <c r="B3267" s="10" t="inlineStr">
        <is>
          <t>休日</t>
        </is>
      </c>
      <c r="C3267" s="10" t="inlineStr">
        <is>
          <t>北野線</t>
        </is>
      </c>
      <c r="D3267" s="10" t="inlineStr">
        <is>
          <t>上り</t>
        </is>
      </c>
      <c r="E3267" t="inlineStr">
        <is>
          <t>1558</t>
        </is>
      </c>
      <c r="F3267" t="inlineStr">
        <is>
          <t>0354</t>
        </is>
      </c>
      <c r="G3267" s="10" t="inlineStr">
        <is>
          <t>常盤</t>
        </is>
      </c>
      <c r="H3267" s="10" t="inlineStr">
        <is>
          <t>発</t>
        </is>
      </c>
      <c r="J3267" s="10" t="inlineStr">
        <is>
          <t>営業</t>
        </is>
      </c>
      <c r="L3267" t="inlineStr">
        <is>
          <t>15:39:00</t>
        </is>
      </c>
      <c r="M3267" t="inlineStr">
        <is>
          <t>15:39:20</t>
        </is>
      </c>
    </row>
    <row r="3268" ht="16.5" customHeight="1" s="37">
      <c r="A3268" t="n">
        <v>24</v>
      </c>
      <c r="B3268" s="10" t="inlineStr">
        <is>
          <t>休日</t>
        </is>
      </c>
      <c r="C3268" s="10" t="inlineStr">
        <is>
          <t>北野線</t>
        </is>
      </c>
      <c r="D3268" s="10" t="inlineStr">
        <is>
          <t>上り</t>
        </is>
      </c>
      <c r="E3268" t="inlineStr">
        <is>
          <t>1558</t>
        </is>
      </c>
      <c r="F3268" t="inlineStr">
        <is>
          <t>0354</t>
        </is>
      </c>
      <c r="G3268" s="10" t="inlineStr">
        <is>
          <t>鳴滝</t>
        </is>
      </c>
      <c r="H3268" s="10" t="inlineStr">
        <is>
          <t>発</t>
        </is>
      </c>
      <c r="J3268" s="10" t="inlineStr">
        <is>
          <t>営業</t>
        </is>
      </c>
      <c r="L3268" t="inlineStr">
        <is>
          <t>15:40:20</t>
        </is>
      </c>
      <c r="M3268" t="inlineStr">
        <is>
          <t>15:40:40</t>
        </is>
      </c>
    </row>
    <row r="3269" ht="16.5" customHeight="1" s="37">
      <c r="A3269" t="n">
        <v>24</v>
      </c>
      <c r="B3269" s="10" t="inlineStr">
        <is>
          <t>休日</t>
        </is>
      </c>
      <c r="C3269" s="10" t="inlineStr">
        <is>
          <t>北野線</t>
        </is>
      </c>
      <c r="D3269" s="10" t="inlineStr">
        <is>
          <t>上り</t>
        </is>
      </c>
      <c r="E3269" t="inlineStr">
        <is>
          <t>1558</t>
        </is>
      </c>
      <c r="F3269" t="inlineStr">
        <is>
          <t>0354</t>
        </is>
      </c>
      <c r="G3269" s="10" t="inlineStr">
        <is>
          <t>宇多野</t>
        </is>
      </c>
      <c r="H3269" s="10" t="inlineStr">
        <is>
          <t>発</t>
        </is>
      </c>
      <c r="J3269" s="10" t="inlineStr">
        <is>
          <t>営業</t>
        </is>
      </c>
      <c r="L3269" t="inlineStr">
        <is>
          <t>15:42:00</t>
        </is>
      </c>
      <c r="M3269" t="inlineStr">
        <is>
          <t>15:42:15</t>
        </is>
      </c>
    </row>
    <row r="3270" ht="16.5" customHeight="1" s="37">
      <c r="A3270" t="n">
        <v>24</v>
      </c>
      <c r="B3270" s="10" t="inlineStr">
        <is>
          <t>休日</t>
        </is>
      </c>
      <c r="C3270" s="10" t="inlineStr">
        <is>
          <t>北野線</t>
        </is>
      </c>
      <c r="D3270" s="10" t="inlineStr">
        <is>
          <t>上り</t>
        </is>
      </c>
      <c r="E3270" t="inlineStr">
        <is>
          <t>1558</t>
        </is>
      </c>
      <c r="F3270" t="inlineStr">
        <is>
          <t>0354</t>
        </is>
      </c>
      <c r="G3270" s="10" t="inlineStr">
        <is>
          <t>御室仁和寺</t>
        </is>
      </c>
      <c r="H3270" s="10" t="inlineStr">
        <is>
          <t>発</t>
        </is>
      </c>
      <c r="J3270" s="10" t="inlineStr">
        <is>
          <t>営業</t>
        </is>
      </c>
      <c r="L3270" t="inlineStr">
        <is>
          <t>15:43:15</t>
        </is>
      </c>
      <c r="M3270" t="inlineStr">
        <is>
          <t>15:43:35</t>
        </is>
      </c>
    </row>
    <row r="3271" ht="16.5" customHeight="1" s="37">
      <c r="A3271" t="n">
        <v>24</v>
      </c>
      <c r="B3271" s="10" t="inlineStr">
        <is>
          <t>休日</t>
        </is>
      </c>
      <c r="C3271" s="10" t="inlineStr">
        <is>
          <t>北野線</t>
        </is>
      </c>
      <c r="D3271" s="10" t="inlineStr">
        <is>
          <t>上り</t>
        </is>
      </c>
      <c r="E3271" t="inlineStr">
        <is>
          <t>1558</t>
        </is>
      </c>
      <c r="F3271" t="inlineStr">
        <is>
          <t>0354</t>
        </is>
      </c>
      <c r="G3271" s="10" t="inlineStr">
        <is>
          <t>妙心寺</t>
        </is>
      </c>
      <c r="H3271" s="10" t="inlineStr">
        <is>
          <t>発</t>
        </is>
      </c>
      <c r="J3271" s="10" t="inlineStr">
        <is>
          <t>営業</t>
        </is>
      </c>
      <c r="L3271" t="inlineStr">
        <is>
          <t>15:44:35</t>
        </is>
      </c>
      <c r="M3271" t="inlineStr">
        <is>
          <t>15:44:50</t>
        </is>
      </c>
    </row>
    <row r="3272" ht="16.5" customHeight="1" s="37">
      <c r="A3272" t="n">
        <v>24</v>
      </c>
      <c r="B3272" s="10" t="inlineStr">
        <is>
          <t>休日</t>
        </is>
      </c>
      <c r="C3272" s="10" t="inlineStr">
        <is>
          <t>北野線</t>
        </is>
      </c>
      <c r="D3272" s="10" t="inlineStr">
        <is>
          <t>上り</t>
        </is>
      </c>
      <c r="E3272" t="inlineStr">
        <is>
          <t>1558</t>
        </is>
      </c>
      <c r="F3272" t="inlineStr">
        <is>
          <t>0354</t>
        </is>
      </c>
      <c r="G3272" s="10" t="inlineStr">
        <is>
          <t>龍安寺</t>
        </is>
      </c>
      <c r="H3272" s="10" t="inlineStr">
        <is>
          <t>発</t>
        </is>
      </c>
      <c r="J3272" s="10" t="inlineStr">
        <is>
          <t>営業</t>
        </is>
      </c>
      <c r="L3272" t="inlineStr">
        <is>
          <t>15:45:45</t>
        </is>
      </c>
      <c r="M3272" t="inlineStr">
        <is>
          <t>15:45:55</t>
        </is>
      </c>
    </row>
    <row r="3273" ht="16.5" customHeight="1" s="37">
      <c r="A3273" t="n">
        <v>24</v>
      </c>
      <c r="B3273" s="10" t="inlineStr">
        <is>
          <t>休日</t>
        </is>
      </c>
      <c r="C3273" s="10" t="inlineStr">
        <is>
          <t>北野線</t>
        </is>
      </c>
      <c r="D3273" s="10" t="inlineStr">
        <is>
          <t>上り</t>
        </is>
      </c>
      <c r="E3273" t="inlineStr">
        <is>
          <t>1558</t>
        </is>
      </c>
      <c r="F3273" t="inlineStr">
        <is>
          <t>0354</t>
        </is>
      </c>
      <c r="G3273" s="10" t="inlineStr">
        <is>
          <t>等持院</t>
        </is>
      </c>
      <c r="H3273" s="10" t="inlineStr">
        <is>
          <t>発</t>
        </is>
      </c>
      <c r="J3273" s="10" t="inlineStr">
        <is>
          <t>営業</t>
        </is>
      </c>
      <c r="L3273" t="inlineStr">
        <is>
          <t>15:46:35</t>
        </is>
      </c>
      <c r="M3273" t="inlineStr">
        <is>
          <t>15:46:55</t>
        </is>
      </c>
    </row>
    <row r="3274" ht="16.5" customHeight="1" s="37">
      <c r="A3274" t="n">
        <v>24</v>
      </c>
      <c r="B3274" s="10" t="inlineStr">
        <is>
          <t>休日</t>
        </is>
      </c>
      <c r="C3274" s="10" t="inlineStr">
        <is>
          <t>北野線</t>
        </is>
      </c>
      <c r="D3274" s="10" t="inlineStr">
        <is>
          <t>上り</t>
        </is>
      </c>
      <c r="E3274" t="inlineStr">
        <is>
          <t>1558</t>
        </is>
      </c>
      <c r="F3274" t="inlineStr">
        <is>
          <t>0354</t>
        </is>
      </c>
      <c r="G3274" s="10" t="inlineStr">
        <is>
          <t>北野白梅町</t>
        </is>
      </c>
      <c r="H3274" s="10" t="inlineStr">
        <is>
          <t>着</t>
        </is>
      </c>
      <c r="J3274" s="10" t="inlineStr">
        <is>
          <t>営業</t>
        </is>
      </c>
      <c r="L3274" t="inlineStr">
        <is>
          <t>15:48:15</t>
        </is>
      </c>
      <c r="Q3274" t="inlineStr">
        <is>
          <t>1</t>
        </is>
      </c>
    </row>
    <row r="3275" ht="16.5" customHeight="1" s="37">
      <c r="A3275" t="n">
        <v>24</v>
      </c>
      <c r="B3275" s="10" t="inlineStr">
        <is>
          <t>休日</t>
        </is>
      </c>
      <c r="C3275" s="10" t="inlineStr">
        <is>
          <t>北野線</t>
        </is>
      </c>
      <c r="D3275" s="10" t="inlineStr">
        <is>
          <t>下り</t>
        </is>
      </c>
      <c r="E3275" t="inlineStr">
        <is>
          <t>1561</t>
        </is>
      </c>
      <c r="F3275" t="inlineStr">
        <is>
          <t>0453</t>
        </is>
      </c>
      <c r="G3275" s="10" t="inlineStr">
        <is>
          <t>北野白梅町</t>
        </is>
      </c>
      <c r="H3275" s="10" t="inlineStr">
        <is>
          <t>発</t>
        </is>
      </c>
      <c r="J3275" s="10" t="inlineStr">
        <is>
          <t>営業</t>
        </is>
      </c>
      <c r="M3275" t="inlineStr">
        <is>
          <t>15:53:00</t>
        </is>
      </c>
      <c r="Q3275" t="inlineStr">
        <is>
          <t>1</t>
        </is>
      </c>
    </row>
    <row r="3276" ht="16.5" customHeight="1" s="37">
      <c r="A3276" t="n">
        <v>24</v>
      </c>
      <c r="B3276" s="10" t="inlineStr">
        <is>
          <t>休日</t>
        </is>
      </c>
      <c r="C3276" s="10" t="inlineStr">
        <is>
          <t>北野線</t>
        </is>
      </c>
      <c r="D3276" s="10" t="inlineStr">
        <is>
          <t>下り</t>
        </is>
      </c>
      <c r="E3276" t="inlineStr">
        <is>
          <t>1561</t>
        </is>
      </c>
      <c r="F3276" t="inlineStr">
        <is>
          <t>0453</t>
        </is>
      </c>
      <c r="G3276" s="10" t="inlineStr">
        <is>
          <t>等持院</t>
        </is>
      </c>
      <c r="H3276" s="10" t="inlineStr">
        <is>
          <t>発</t>
        </is>
      </c>
      <c r="J3276" s="10" t="inlineStr">
        <is>
          <t>営業</t>
        </is>
      </c>
      <c r="L3276" t="inlineStr">
        <is>
          <t>15:54:25</t>
        </is>
      </c>
      <c r="M3276" t="inlineStr">
        <is>
          <t>15:54:35</t>
        </is>
      </c>
    </row>
    <row r="3277" ht="16.5" customHeight="1" s="37">
      <c r="A3277" t="n">
        <v>24</v>
      </c>
      <c r="B3277" s="10" t="inlineStr">
        <is>
          <t>休日</t>
        </is>
      </c>
      <c r="C3277" s="10" t="inlineStr">
        <is>
          <t>北野線</t>
        </is>
      </c>
      <c r="D3277" s="10" t="inlineStr">
        <is>
          <t>下り</t>
        </is>
      </c>
      <c r="E3277" t="inlineStr">
        <is>
          <t>1561</t>
        </is>
      </c>
      <c r="F3277" t="inlineStr">
        <is>
          <t>0453</t>
        </is>
      </c>
      <c r="G3277" s="10" t="inlineStr">
        <is>
          <t>龍安寺</t>
        </is>
      </c>
      <c r="H3277" s="10" t="inlineStr">
        <is>
          <t>発</t>
        </is>
      </c>
      <c r="J3277" s="10" t="inlineStr">
        <is>
          <t>営業</t>
        </is>
      </c>
      <c r="L3277" t="inlineStr">
        <is>
          <t>15:55:25</t>
        </is>
      </c>
      <c r="M3277" t="inlineStr">
        <is>
          <t>15:55:50</t>
        </is>
      </c>
    </row>
    <row r="3278" ht="16.5" customHeight="1" s="37">
      <c r="A3278" t="n">
        <v>24</v>
      </c>
      <c r="B3278" s="10" t="inlineStr">
        <is>
          <t>休日</t>
        </is>
      </c>
      <c r="C3278" s="10" t="inlineStr">
        <is>
          <t>北野線</t>
        </is>
      </c>
      <c r="D3278" s="10" t="inlineStr">
        <is>
          <t>下り</t>
        </is>
      </c>
      <c r="E3278" t="inlineStr">
        <is>
          <t>1561</t>
        </is>
      </c>
      <c r="F3278" t="inlineStr">
        <is>
          <t>0453</t>
        </is>
      </c>
      <c r="G3278" s="10" t="inlineStr">
        <is>
          <t>妙心寺</t>
        </is>
      </c>
      <c r="H3278" s="10" t="inlineStr">
        <is>
          <t>発</t>
        </is>
      </c>
      <c r="J3278" s="10" t="inlineStr">
        <is>
          <t>営業</t>
        </is>
      </c>
      <c r="L3278" t="inlineStr">
        <is>
          <t>15:56:40</t>
        </is>
      </c>
      <c r="M3278" t="inlineStr">
        <is>
          <t>15:56:50</t>
        </is>
      </c>
    </row>
    <row r="3279" ht="16.5" customHeight="1" s="37">
      <c r="A3279" t="n">
        <v>24</v>
      </c>
      <c r="B3279" s="10" t="inlineStr">
        <is>
          <t>休日</t>
        </is>
      </c>
      <c r="C3279" s="10" t="inlineStr">
        <is>
          <t>北野線</t>
        </is>
      </c>
      <c r="D3279" s="10" t="inlineStr">
        <is>
          <t>下り</t>
        </is>
      </c>
      <c r="E3279" t="inlineStr">
        <is>
          <t>1561</t>
        </is>
      </c>
      <c r="F3279" t="inlineStr">
        <is>
          <t>0453</t>
        </is>
      </c>
      <c r="G3279" s="10" t="inlineStr">
        <is>
          <t>御室仁和寺</t>
        </is>
      </c>
      <c r="H3279" s="10" t="inlineStr">
        <is>
          <t>発</t>
        </is>
      </c>
      <c r="J3279" s="10" t="inlineStr">
        <is>
          <t>営業</t>
        </is>
      </c>
      <c r="L3279" t="inlineStr">
        <is>
          <t>15:57:50</t>
        </is>
      </c>
      <c r="M3279" t="inlineStr">
        <is>
          <t>15:58:05</t>
        </is>
      </c>
    </row>
    <row r="3280" ht="16.5" customHeight="1" s="37">
      <c r="A3280" t="n">
        <v>24</v>
      </c>
      <c r="B3280" s="10" t="inlineStr">
        <is>
          <t>休日</t>
        </is>
      </c>
      <c r="C3280" s="10" t="inlineStr">
        <is>
          <t>北野線</t>
        </is>
      </c>
      <c r="D3280" s="10" t="inlineStr">
        <is>
          <t>下り</t>
        </is>
      </c>
      <c r="E3280" t="inlineStr">
        <is>
          <t>1561</t>
        </is>
      </c>
      <c r="F3280" t="inlineStr">
        <is>
          <t>0453</t>
        </is>
      </c>
      <c r="G3280" s="10" t="inlineStr">
        <is>
          <t>宇多野</t>
        </is>
      </c>
      <c r="H3280" s="10" t="inlineStr">
        <is>
          <t>発</t>
        </is>
      </c>
      <c r="J3280" s="10" t="inlineStr">
        <is>
          <t>営業</t>
        </is>
      </c>
      <c r="L3280" t="inlineStr">
        <is>
          <t>15:59:05</t>
        </is>
      </c>
      <c r="M3280" t="inlineStr">
        <is>
          <t>15:59:15</t>
        </is>
      </c>
    </row>
    <row r="3281" ht="16.5" customHeight="1" s="37">
      <c r="A3281" t="n">
        <v>24</v>
      </c>
      <c r="B3281" s="10" t="inlineStr">
        <is>
          <t>休日</t>
        </is>
      </c>
      <c r="C3281" s="10" t="inlineStr">
        <is>
          <t>北野線</t>
        </is>
      </c>
      <c r="D3281" s="10" t="inlineStr">
        <is>
          <t>下り</t>
        </is>
      </c>
      <c r="E3281" t="inlineStr">
        <is>
          <t>1561</t>
        </is>
      </c>
      <c r="F3281" t="inlineStr">
        <is>
          <t>0453</t>
        </is>
      </c>
      <c r="G3281" s="10" t="inlineStr">
        <is>
          <t>鳴滝</t>
        </is>
      </c>
      <c r="H3281" s="10" t="inlineStr">
        <is>
          <t>発</t>
        </is>
      </c>
      <c r="J3281" s="10" t="inlineStr">
        <is>
          <t>営業</t>
        </is>
      </c>
      <c r="L3281" t="inlineStr">
        <is>
          <t>16:00:35</t>
        </is>
      </c>
      <c r="M3281" t="inlineStr">
        <is>
          <t>16:00:45</t>
        </is>
      </c>
    </row>
    <row r="3282" ht="16.5" customHeight="1" s="37">
      <c r="A3282" t="n">
        <v>24</v>
      </c>
      <c r="B3282" s="10" t="inlineStr">
        <is>
          <t>休日</t>
        </is>
      </c>
      <c r="C3282" s="10" t="inlineStr">
        <is>
          <t>北野線</t>
        </is>
      </c>
      <c r="D3282" s="10" t="inlineStr">
        <is>
          <t>下り</t>
        </is>
      </c>
      <c r="E3282" t="inlineStr">
        <is>
          <t>1561</t>
        </is>
      </c>
      <c r="F3282" t="inlineStr">
        <is>
          <t>0453</t>
        </is>
      </c>
      <c r="G3282" s="10" t="inlineStr">
        <is>
          <t>常盤</t>
        </is>
      </c>
      <c r="H3282" s="10" t="inlineStr">
        <is>
          <t>発</t>
        </is>
      </c>
      <c r="J3282" s="10" t="inlineStr">
        <is>
          <t>営業</t>
        </is>
      </c>
      <c r="L3282" t="inlineStr">
        <is>
          <t>16:01:35</t>
        </is>
      </c>
      <c r="M3282" t="inlineStr">
        <is>
          <t>16:01:55</t>
        </is>
      </c>
    </row>
    <row r="3283" ht="16.5" customHeight="1" s="37">
      <c r="A3283" t="n">
        <v>24</v>
      </c>
      <c r="B3283" s="10" t="inlineStr">
        <is>
          <t>休日</t>
        </is>
      </c>
      <c r="C3283" s="10" t="inlineStr">
        <is>
          <t>北野線</t>
        </is>
      </c>
      <c r="D3283" s="10" t="inlineStr">
        <is>
          <t>下り</t>
        </is>
      </c>
      <c r="E3283" t="inlineStr">
        <is>
          <t>1561</t>
        </is>
      </c>
      <c r="F3283" t="inlineStr">
        <is>
          <t>0453</t>
        </is>
      </c>
      <c r="G3283" s="10" t="inlineStr">
        <is>
          <t>撮影所前</t>
        </is>
      </c>
      <c r="H3283" s="10" t="inlineStr">
        <is>
          <t>発</t>
        </is>
      </c>
      <c r="J3283" s="10" t="inlineStr">
        <is>
          <t>営業</t>
        </is>
      </c>
      <c r="L3283" t="inlineStr">
        <is>
          <t>16:03:15</t>
        </is>
      </c>
      <c r="M3283" t="inlineStr">
        <is>
          <t>16:03:30</t>
        </is>
      </c>
    </row>
    <row r="3284" ht="16.5" customHeight="1" s="37">
      <c r="A3284" t="n">
        <v>24</v>
      </c>
      <c r="B3284" s="10" t="inlineStr">
        <is>
          <t>休日</t>
        </is>
      </c>
      <c r="C3284" s="10" t="inlineStr">
        <is>
          <t>北野線</t>
        </is>
      </c>
      <c r="D3284" s="10" t="inlineStr">
        <is>
          <t>下り</t>
        </is>
      </c>
      <c r="E3284" t="inlineStr">
        <is>
          <t>1561</t>
        </is>
      </c>
      <c r="F3284" t="inlineStr">
        <is>
          <t>0453</t>
        </is>
      </c>
      <c r="G3284" s="10" t="inlineStr">
        <is>
          <t>帷子ノ辻</t>
        </is>
      </c>
      <c r="H3284" s="10" t="inlineStr">
        <is>
          <t>着</t>
        </is>
      </c>
      <c r="J3284" s="10" t="inlineStr">
        <is>
          <t>営業</t>
        </is>
      </c>
      <c r="L3284" t="inlineStr">
        <is>
          <t>16:04:25</t>
        </is>
      </c>
      <c r="Q3284" t="inlineStr">
        <is>
          <t>3</t>
        </is>
      </c>
    </row>
    <row r="3285" ht="16.5" customHeight="1" s="37">
      <c r="A3285" t="n">
        <v>24</v>
      </c>
      <c r="B3285" s="10" t="inlineStr">
        <is>
          <t>休日</t>
        </is>
      </c>
      <c r="C3285" s="10" t="inlineStr">
        <is>
          <t>北野線</t>
        </is>
      </c>
      <c r="D3285" s="10" t="inlineStr">
        <is>
          <t>上り</t>
        </is>
      </c>
      <c r="E3285" t="inlineStr">
        <is>
          <t>1654</t>
        </is>
      </c>
      <c r="F3285" t="inlineStr">
        <is>
          <t>0354</t>
        </is>
      </c>
      <c r="G3285" s="10" t="inlineStr">
        <is>
          <t>帷子ノ辻</t>
        </is>
      </c>
      <c r="H3285" s="10" t="inlineStr">
        <is>
          <t>発</t>
        </is>
      </c>
      <c r="J3285" s="10" t="inlineStr">
        <is>
          <t>営業</t>
        </is>
      </c>
      <c r="M3285" t="inlineStr">
        <is>
          <t>16:16:25</t>
        </is>
      </c>
      <c r="Q3285" t="inlineStr">
        <is>
          <t>3</t>
        </is>
      </c>
    </row>
    <row r="3286" ht="16.5" customHeight="1" s="37">
      <c r="A3286" t="n">
        <v>24</v>
      </c>
      <c r="B3286" s="10" t="inlineStr">
        <is>
          <t>休日</t>
        </is>
      </c>
      <c r="C3286" s="10" t="inlineStr">
        <is>
          <t>北野線</t>
        </is>
      </c>
      <c r="D3286" s="10" t="inlineStr">
        <is>
          <t>上り</t>
        </is>
      </c>
      <c r="E3286" t="inlineStr">
        <is>
          <t>1654</t>
        </is>
      </c>
      <c r="F3286" t="inlineStr">
        <is>
          <t>0354</t>
        </is>
      </c>
      <c r="G3286" s="10" t="inlineStr">
        <is>
          <t>撮影所前</t>
        </is>
      </c>
      <c r="H3286" s="10" t="inlineStr">
        <is>
          <t>発</t>
        </is>
      </c>
      <c r="J3286" s="10" t="inlineStr">
        <is>
          <t>営業</t>
        </is>
      </c>
      <c r="L3286" t="inlineStr">
        <is>
          <t>16:17:25</t>
        </is>
      </c>
      <c r="M3286" t="inlineStr">
        <is>
          <t>16:17:40</t>
        </is>
      </c>
    </row>
    <row r="3287" ht="16.5" customHeight="1" s="37">
      <c r="A3287" t="n">
        <v>24</v>
      </c>
      <c r="B3287" s="10" t="inlineStr">
        <is>
          <t>休日</t>
        </is>
      </c>
      <c r="C3287" s="10" t="inlineStr">
        <is>
          <t>北野線</t>
        </is>
      </c>
      <c r="D3287" s="10" t="inlineStr">
        <is>
          <t>上り</t>
        </is>
      </c>
      <c r="E3287" t="inlineStr">
        <is>
          <t>1654</t>
        </is>
      </c>
      <c r="F3287" t="inlineStr">
        <is>
          <t>0354</t>
        </is>
      </c>
      <c r="G3287" s="10" t="inlineStr">
        <is>
          <t>常盤</t>
        </is>
      </c>
      <c r="H3287" s="10" t="inlineStr">
        <is>
          <t>発</t>
        </is>
      </c>
      <c r="J3287" s="10" t="inlineStr">
        <is>
          <t>営業</t>
        </is>
      </c>
      <c r="L3287" t="inlineStr">
        <is>
          <t>16:19:00</t>
        </is>
      </c>
      <c r="M3287" t="inlineStr">
        <is>
          <t>16:19:20</t>
        </is>
      </c>
    </row>
    <row r="3288" ht="16.5" customHeight="1" s="37">
      <c r="A3288" t="n">
        <v>24</v>
      </c>
      <c r="B3288" s="10" t="inlineStr">
        <is>
          <t>休日</t>
        </is>
      </c>
      <c r="C3288" s="10" t="inlineStr">
        <is>
          <t>北野線</t>
        </is>
      </c>
      <c r="D3288" s="10" t="inlineStr">
        <is>
          <t>上り</t>
        </is>
      </c>
      <c r="E3288" t="inlineStr">
        <is>
          <t>1654</t>
        </is>
      </c>
      <c r="F3288" t="inlineStr">
        <is>
          <t>0354</t>
        </is>
      </c>
      <c r="G3288" s="10" t="inlineStr">
        <is>
          <t>鳴滝</t>
        </is>
      </c>
      <c r="H3288" s="10" t="inlineStr">
        <is>
          <t>発</t>
        </is>
      </c>
      <c r="J3288" s="10" t="inlineStr">
        <is>
          <t>営業</t>
        </is>
      </c>
      <c r="L3288" t="inlineStr">
        <is>
          <t>16:20:20</t>
        </is>
      </c>
      <c r="M3288" t="inlineStr">
        <is>
          <t>16:20:40</t>
        </is>
      </c>
    </row>
    <row r="3289" ht="16.5" customHeight="1" s="37">
      <c r="A3289" t="n">
        <v>24</v>
      </c>
      <c r="B3289" s="10" t="inlineStr">
        <is>
          <t>休日</t>
        </is>
      </c>
      <c r="C3289" s="10" t="inlineStr">
        <is>
          <t>北野線</t>
        </is>
      </c>
      <c r="D3289" s="10" t="inlineStr">
        <is>
          <t>上り</t>
        </is>
      </c>
      <c r="E3289" t="inlineStr">
        <is>
          <t>1654</t>
        </is>
      </c>
      <c r="F3289" t="inlineStr">
        <is>
          <t>0354</t>
        </is>
      </c>
      <c r="G3289" s="10" t="inlineStr">
        <is>
          <t>宇多野</t>
        </is>
      </c>
      <c r="H3289" s="10" t="inlineStr">
        <is>
          <t>発</t>
        </is>
      </c>
      <c r="J3289" s="10" t="inlineStr">
        <is>
          <t>営業</t>
        </is>
      </c>
      <c r="L3289" t="inlineStr">
        <is>
          <t>16:22:00</t>
        </is>
      </c>
      <c r="M3289" t="inlineStr">
        <is>
          <t>16:22:15</t>
        </is>
      </c>
    </row>
    <row r="3290" ht="16.5" customHeight="1" s="37">
      <c r="A3290" t="n">
        <v>24</v>
      </c>
      <c r="B3290" s="10" t="inlineStr">
        <is>
          <t>休日</t>
        </is>
      </c>
      <c r="C3290" s="10" t="inlineStr">
        <is>
          <t>北野線</t>
        </is>
      </c>
      <c r="D3290" s="10" t="inlineStr">
        <is>
          <t>上り</t>
        </is>
      </c>
      <c r="E3290" t="inlineStr">
        <is>
          <t>1654</t>
        </is>
      </c>
      <c r="F3290" t="inlineStr">
        <is>
          <t>0354</t>
        </is>
      </c>
      <c r="G3290" s="10" t="inlineStr">
        <is>
          <t>御室仁和寺</t>
        </is>
      </c>
      <c r="H3290" s="10" t="inlineStr">
        <is>
          <t>発</t>
        </is>
      </c>
      <c r="J3290" s="10" t="inlineStr">
        <is>
          <t>営業</t>
        </is>
      </c>
      <c r="L3290" t="inlineStr">
        <is>
          <t>16:23:15</t>
        </is>
      </c>
      <c r="M3290" t="inlineStr">
        <is>
          <t>16:23:35</t>
        </is>
      </c>
    </row>
    <row r="3291" ht="16.5" customHeight="1" s="37">
      <c r="A3291" t="n">
        <v>24</v>
      </c>
      <c r="B3291" s="10" t="inlineStr">
        <is>
          <t>休日</t>
        </is>
      </c>
      <c r="C3291" s="10" t="inlineStr">
        <is>
          <t>北野線</t>
        </is>
      </c>
      <c r="D3291" s="10" t="inlineStr">
        <is>
          <t>上り</t>
        </is>
      </c>
      <c r="E3291" t="inlineStr">
        <is>
          <t>1654</t>
        </is>
      </c>
      <c r="F3291" t="inlineStr">
        <is>
          <t>0354</t>
        </is>
      </c>
      <c r="G3291" s="10" t="inlineStr">
        <is>
          <t>妙心寺</t>
        </is>
      </c>
      <c r="H3291" s="10" t="inlineStr">
        <is>
          <t>発</t>
        </is>
      </c>
      <c r="J3291" s="10" t="inlineStr">
        <is>
          <t>営業</t>
        </is>
      </c>
      <c r="L3291" t="inlineStr">
        <is>
          <t>16:24:35</t>
        </is>
      </c>
      <c r="M3291" t="inlineStr">
        <is>
          <t>16:24:50</t>
        </is>
      </c>
    </row>
    <row r="3292" ht="16.5" customHeight="1" s="37">
      <c r="A3292" t="n">
        <v>24</v>
      </c>
      <c r="B3292" s="10" t="inlineStr">
        <is>
          <t>休日</t>
        </is>
      </c>
      <c r="C3292" s="10" t="inlineStr">
        <is>
          <t>北野線</t>
        </is>
      </c>
      <c r="D3292" s="10" t="inlineStr">
        <is>
          <t>上り</t>
        </is>
      </c>
      <c r="E3292" t="inlineStr">
        <is>
          <t>1654</t>
        </is>
      </c>
      <c r="F3292" t="inlineStr">
        <is>
          <t>0354</t>
        </is>
      </c>
      <c r="G3292" s="10" t="inlineStr">
        <is>
          <t>龍安寺</t>
        </is>
      </c>
      <c r="H3292" s="10" t="inlineStr">
        <is>
          <t>発</t>
        </is>
      </c>
      <c r="J3292" s="10" t="inlineStr">
        <is>
          <t>営業</t>
        </is>
      </c>
      <c r="L3292" t="inlineStr">
        <is>
          <t>16:25:45</t>
        </is>
      </c>
      <c r="M3292" t="inlineStr">
        <is>
          <t>16:25:55</t>
        </is>
      </c>
    </row>
    <row r="3293" ht="16.5" customHeight="1" s="37">
      <c r="A3293" t="n">
        <v>24</v>
      </c>
      <c r="B3293" s="10" t="inlineStr">
        <is>
          <t>休日</t>
        </is>
      </c>
      <c r="C3293" s="10" t="inlineStr">
        <is>
          <t>北野線</t>
        </is>
      </c>
      <c r="D3293" s="10" t="inlineStr">
        <is>
          <t>上り</t>
        </is>
      </c>
      <c r="E3293" t="inlineStr">
        <is>
          <t>1654</t>
        </is>
      </c>
      <c r="F3293" t="inlineStr">
        <is>
          <t>0354</t>
        </is>
      </c>
      <c r="G3293" s="10" t="inlineStr">
        <is>
          <t>等持院</t>
        </is>
      </c>
      <c r="H3293" s="10" t="inlineStr">
        <is>
          <t>発</t>
        </is>
      </c>
      <c r="J3293" s="10" t="inlineStr">
        <is>
          <t>営業</t>
        </is>
      </c>
      <c r="L3293" t="inlineStr">
        <is>
          <t>16:26:35</t>
        </is>
      </c>
      <c r="M3293" t="inlineStr">
        <is>
          <t>16:26:55</t>
        </is>
      </c>
    </row>
    <row r="3294" ht="16.5" customHeight="1" s="37">
      <c r="A3294" t="n">
        <v>24</v>
      </c>
      <c r="B3294" s="10" t="inlineStr">
        <is>
          <t>休日</t>
        </is>
      </c>
      <c r="C3294" s="10" t="inlineStr">
        <is>
          <t>北野線</t>
        </is>
      </c>
      <c r="D3294" s="10" t="inlineStr">
        <is>
          <t>上り</t>
        </is>
      </c>
      <c r="E3294" t="inlineStr">
        <is>
          <t>1654</t>
        </is>
      </c>
      <c r="F3294" t="inlineStr">
        <is>
          <t>0354</t>
        </is>
      </c>
      <c r="G3294" s="10" t="inlineStr">
        <is>
          <t>北野白梅町</t>
        </is>
      </c>
      <c r="H3294" s="10" t="inlineStr">
        <is>
          <t>着</t>
        </is>
      </c>
      <c r="J3294" s="10" t="inlineStr">
        <is>
          <t>営業</t>
        </is>
      </c>
      <c r="L3294" t="inlineStr">
        <is>
          <t>16:28:15</t>
        </is>
      </c>
      <c r="Q3294" t="inlineStr">
        <is>
          <t>1</t>
        </is>
      </c>
    </row>
    <row r="3295" ht="16.5" customHeight="1" s="37">
      <c r="A3295" t="n">
        <v>24</v>
      </c>
      <c r="B3295" s="10" t="inlineStr">
        <is>
          <t>休日</t>
        </is>
      </c>
      <c r="C3295" s="10" t="inlineStr">
        <is>
          <t>北野線</t>
        </is>
      </c>
      <c r="D3295" s="10" t="inlineStr">
        <is>
          <t>下り</t>
        </is>
      </c>
      <c r="E3295" t="inlineStr">
        <is>
          <t>1657</t>
        </is>
      </c>
      <c r="F3295" t="inlineStr">
        <is>
          <t>0453</t>
        </is>
      </c>
      <c r="G3295" s="10" t="inlineStr">
        <is>
          <t>北野白梅町</t>
        </is>
      </c>
      <c r="H3295" s="10" t="inlineStr">
        <is>
          <t>発</t>
        </is>
      </c>
      <c r="J3295" s="10" t="inlineStr">
        <is>
          <t>営業</t>
        </is>
      </c>
      <c r="M3295" t="inlineStr">
        <is>
          <t>16:33:00</t>
        </is>
      </c>
      <c r="Q3295" t="inlineStr">
        <is>
          <t>1</t>
        </is>
      </c>
    </row>
    <row r="3296" ht="16.5" customHeight="1" s="37">
      <c r="A3296" t="n">
        <v>24</v>
      </c>
      <c r="B3296" s="10" t="inlineStr">
        <is>
          <t>休日</t>
        </is>
      </c>
      <c r="C3296" s="10" t="inlineStr">
        <is>
          <t>北野線</t>
        </is>
      </c>
      <c r="D3296" s="10" t="inlineStr">
        <is>
          <t>下り</t>
        </is>
      </c>
      <c r="E3296" t="inlineStr">
        <is>
          <t>1657</t>
        </is>
      </c>
      <c r="F3296" t="inlineStr">
        <is>
          <t>0453</t>
        </is>
      </c>
      <c r="G3296" s="10" t="inlineStr">
        <is>
          <t>等持院</t>
        </is>
      </c>
      <c r="H3296" s="10" t="inlineStr">
        <is>
          <t>発</t>
        </is>
      </c>
      <c r="J3296" s="10" t="inlineStr">
        <is>
          <t>営業</t>
        </is>
      </c>
      <c r="L3296" t="inlineStr">
        <is>
          <t>16:34:25</t>
        </is>
      </c>
      <c r="M3296" t="inlineStr">
        <is>
          <t>16:34:35</t>
        </is>
      </c>
    </row>
    <row r="3297" ht="16.5" customHeight="1" s="37">
      <c r="A3297" t="n">
        <v>24</v>
      </c>
      <c r="B3297" s="10" t="inlineStr">
        <is>
          <t>休日</t>
        </is>
      </c>
      <c r="C3297" s="10" t="inlineStr">
        <is>
          <t>北野線</t>
        </is>
      </c>
      <c r="D3297" s="10" t="inlineStr">
        <is>
          <t>下り</t>
        </is>
      </c>
      <c r="E3297" t="inlineStr">
        <is>
          <t>1657</t>
        </is>
      </c>
      <c r="F3297" t="inlineStr">
        <is>
          <t>0453</t>
        </is>
      </c>
      <c r="G3297" s="10" t="inlineStr">
        <is>
          <t>龍安寺</t>
        </is>
      </c>
      <c r="H3297" s="10" t="inlineStr">
        <is>
          <t>発</t>
        </is>
      </c>
      <c r="J3297" s="10" t="inlineStr">
        <is>
          <t>営業</t>
        </is>
      </c>
      <c r="L3297" t="inlineStr">
        <is>
          <t>16:35:25</t>
        </is>
      </c>
      <c r="M3297" t="inlineStr">
        <is>
          <t>16:35:50</t>
        </is>
      </c>
    </row>
    <row r="3298" ht="16.5" customHeight="1" s="37">
      <c r="A3298" t="n">
        <v>24</v>
      </c>
      <c r="B3298" s="10" t="inlineStr">
        <is>
          <t>休日</t>
        </is>
      </c>
      <c r="C3298" s="10" t="inlineStr">
        <is>
          <t>北野線</t>
        </is>
      </c>
      <c r="D3298" s="10" t="inlineStr">
        <is>
          <t>下り</t>
        </is>
      </c>
      <c r="E3298" t="inlineStr">
        <is>
          <t>1657</t>
        </is>
      </c>
      <c r="F3298" t="inlineStr">
        <is>
          <t>0453</t>
        </is>
      </c>
      <c r="G3298" s="10" t="inlineStr">
        <is>
          <t>妙心寺</t>
        </is>
      </c>
      <c r="H3298" s="10" t="inlineStr">
        <is>
          <t>発</t>
        </is>
      </c>
      <c r="J3298" s="10" t="inlineStr">
        <is>
          <t>営業</t>
        </is>
      </c>
      <c r="L3298" t="inlineStr">
        <is>
          <t>16:36:40</t>
        </is>
      </c>
      <c r="M3298" t="inlineStr">
        <is>
          <t>16:36:50</t>
        </is>
      </c>
    </row>
    <row r="3299" ht="16.5" customHeight="1" s="37">
      <c r="A3299" t="n">
        <v>24</v>
      </c>
      <c r="B3299" s="10" t="inlineStr">
        <is>
          <t>休日</t>
        </is>
      </c>
      <c r="C3299" s="10" t="inlineStr">
        <is>
          <t>北野線</t>
        </is>
      </c>
      <c r="D3299" s="10" t="inlineStr">
        <is>
          <t>下り</t>
        </is>
      </c>
      <c r="E3299" t="inlineStr">
        <is>
          <t>1657</t>
        </is>
      </c>
      <c r="F3299" t="inlineStr">
        <is>
          <t>0453</t>
        </is>
      </c>
      <c r="G3299" s="10" t="inlineStr">
        <is>
          <t>御室仁和寺</t>
        </is>
      </c>
      <c r="H3299" s="10" t="inlineStr">
        <is>
          <t>発</t>
        </is>
      </c>
      <c r="J3299" s="10" t="inlineStr">
        <is>
          <t>営業</t>
        </is>
      </c>
      <c r="L3299" t="inlineStr">
        <is>
          <t>16:37:50</t>
        </is>
      </c>
      <c r="M3299" t="inlineStr">
        <is>
          <t>16:38:05</t>
        </is>
      </c>
    </row>
    <row r="3300" ht="16.5" customHeight="1" s="37">
      <c r="A3300" t="n">
        <v>24</v>
      </c>
      <c r="B3300" s="10" t="inlineStr">
        <is>
          <t>休日</t>
        </is>
      </c>
      <c r="C3300" s="10" t="inlineStr">
        <is>
          <t>北野線</t>
        </is>
      </c>
      <c r="D3300" s="10" t="inlineStr">
        <is>
          <t>下り</t>
        </is>
      </c>
      <c r="E3300" t="inlineStr">
        <is>
          <t>1657</t>
        </is>
      </c>
      <c r="F3300" t="inlineStr">
        <is>
          <t>0453</t>
        </is>
      </c>
      <c r="G3300" s="10" t="inlineStr">
        <is>
          <t>宇多野</t>
        </is>
      </c>
      <c r="H3300" s="10" t="inlineStr">
        <is>
          <t>発</t>
        </is>
      </c>
      <c r="J3300" s="10" t="inlineStr">
        <is>
          <t>営業</t>
        </is>
      </c>
      <c r="L3300" t="inlineStr">
        <is>
          <t>16:39:05</t>
        </is>
      </c>
      <c r="M3300" t="inlineStr">
        <is>
          <t>16:39:15</t>
        </is>
      </c>
    </row>
    <row r="3301" ht="16.5" customHeight="1" s="37">
      <c r="A3301" t="n">
        <v>24</v>
      </c>
      <c r="B3301" s="10" t="inlineStr">
        <is>
          <t>休日</t>
        </is>
      </c>
      <c r="C3301" s="10" t="inlineStr">
        <is>
          <t>北野線</t>
        </is>
      </c>
      <c r="D3301" s="10" t="inlineStr">
        <is>
          <t>下り</t>
        </is>
      </c>
      <c r="E3301" t="inlineStr">
        <is>
          <t>1657</t>
        </is>
      </c>
      <c r="F3301" t="inlineStr">
        <is>
          <t>0453</t>
        </is>
      </c>
      <c r="G3301" s="10" t="inlineStr">
        <is>
          <t>鳴滝</t>
        </is>
      </c>
      <c r="H3301" s="10" t="inlineStr">
        <is>
          <t>発</t>
        </is>
      </c>
      <c r="J3301" s="10" t="inlineStr">
        <is>
          <t>営業</t>
        </is>
      </c>
      <c r="L3301" t="inlineStr">
        <is>
          <t>16:40:35</t>
        </is>
      </c>
      <c r="M3301" t="inlineStr">
        <is>
          <t>16:40:45</t>
        </is>
      </c>
    </row>
    <row r="3302" ht="16.5" customHeight="1" s="37">
      <c r="A3302" t="n">
        <v>24</v>
      </c>
      <c r="B3302" s="10" t="inlineStr">
        <is>
          <t>休日</t>
        </is>
      </c>
      <c r="C3302" s="10" t="inlineStr">
        <is>
          <t>北野線</t>
        </is>
      </c>
      <c r="D3302" s="10" t="inlineStr">
        <is>
          <t>下り</t>
        </is>
      </c>
      <c r="E3302" t="inlineStr">
        <is>
          <t>1657</t>
        </is>
      </c>
      <c r="F3302" t="inlineStr">
        <is>
          <t>0453</t>
        </is>
      </c>
      <c r="G3302" s="10" t="inlineStr">
        <is>
          <t>常盤</t>
        </is>
      </c>
      <c r="H3302" s="10" t="inlineStr">
        <is>
          <t>発</t>
        </is>
      </c>
      <c r="J3302" s="10" t="inlineStr">
        <is>
          <t>営業</t>
        </is>
      </c>
      <c r="L3302" t="inlineStr">
        <is>
          <t>16:41:35</t>
        </is>
      </c>
      <c r="M3302" t="inlineStr">
        <is>
          <t>16:41:55</t>
        </is>
      </c>
    </row>
    <row r="3303" ht="16.5" customHeight="1" s="37">
      <c r="A3303" t="n">
        <v>24</v>
      </c>
      <c r="B3303" s="10" t="inlineStr">
        <is>
          <t>休日</t>
        </is>
      </c>
      <c r="C3303" s="10" t="inlineStr">
        <is>
          <t>北野線</t>
        </is>
      </c>
      <c r="D3303" s="10" t="inlineStr">
        <is>
          <t>下り</t>
        </is>
      </c>
      <c r="E3303" t="inlineStr">
        <is>
          <t>1657</t>
        </is>
      </c>
      <c r="F3303" t="inlineStr">
        <is>
          <t>0453</t>
        </is>
      </c>
      <c r="G3303" s="10" t="inlineStr">
        <is>
          <t>撮影所前</t>
        </is>
      </c>
      <c r="H3303" s="10" t="inlineStr">
        <is>
          <t>発</t>
        </is>
      </c>
      <c r="J3303" s="10" t="inlineStr">
        <is>
          <t>営業</t>
        </is>
      </c>
      <c r="L3303" t="inlineStr">
        <is>
          <t>16:43:15</t>
        </is>
      </c>
      <c r="M3303" t="inlineStr">
        <is>
          <t>16:43:30</t>
        </is>
      </c>
    </row>
    <row r="3304" ht="16.5" customHeight="1" s="37">
      <c r="A3304" t="n">
        <v>24</v>
      </c>
      <c r="B3304" s="10" t="inlineStr">
        <is>
          <t>休日</t>
        </is>
      </c>
      <c r="C3304" s="10" t="inlineStr">
        <is>
          <t>北野線</t>
        </is>
      </c>
      <c r="D3304" s="10" t="inlineStr">
        <is>
          <t>下り</t>
        </is>
      </c>
      <c r="E3304" t="inlineStr">
        <is>
          <t>1657</t>
        </is>
      </c>
      <c r="F3304" t="inlineStr">
        <is>
          <t>0453</t>
        </is>
      </c>
      <c r="G3304" s="10" t="inlineStr">
        <is>
          <t>帷子ノ辻</t>
        </is>
      </c>
      <c r="H3304" s="10" t="inlineStr">
        <is>
          <t>着</t>
        </is>
      </c>
      <c r="J3304" s="10" t="inlineStr">
        <is>
          <t>営業</t>
        </is>
      </c>
      <c r="L3304" t="inlineStr">
        <is>
          <t>16:44:25</t>
        </is>
      </c>
      <c r="Q3304" t="inlineStr">
        <is>
          <t>3</t>
        </is>
      </c>
    </row>
    <row r="3305" ht="16.5" customHeight="1" s="37">
      <c r="A3305" t="n">
        <v>24</v>
      </c>
      <c r="B3305" s="10" t="inlineStr">
        <is>
          <t>休日</t>
        </is>
      </c>
      <c r="C3305" s="10" t="inlineStr">
        <is>
          <t>北野線</t>
        </is>
      </c>
      <c r="D3305" s="10" t="inlineStr">
        <is>
          <t>上り</t>
        </is>
      </c>
      <c r="E3305" t="inlineStr">
        <is>
          <t>1662</t>
        </is>
      </c>
      <c r="F3305" t="inlineStr">
        <is>
          <t>0354</t>
        </is>
      </c>
      <c r="G3305" s="10" t="inlineStr">
        <is>
          <t>帷子ノ辻</t>
        </is>
      </c>
      <c r="H3305" s="10" t="inlineStr">
        <is>
          <t>発</t>
        </is>
      </c>
      <c r="J3305" s="10" t="inlineStr">
        <is>
          <t>営業</t>
        </is>
      </c>
      <c r="M3305" t="inlineStr">
        <is>
          <t>16:56:25</t>
        </is>
      </c>
      <c r="Q3305" t="inlineStr">
        <is>
          <t>3</t>
        </is>
      </c>
    </row>
    <row r="3306" ht="16.5" customHeight="1" s="37">
      <c r="A3306" t="n">
        <v>24</v>
      </c>
      <c r="B3306" s="10" t="inlineStr">
        <is>
          <t>休日</t>
        </is>
      </c>
      <c r="C3306" s="10" t="inlineStr">
        <is>
          <t>北野線</t>
        </is>
      </c>
      <c r="D3306" s="10" t="inlineStr">
        <is>
          <t>上り</t>
        </is>
      </c>
      <c r="E3306" t="inlineStr">
        <is>
          <t>1662</t>
        </is>
      </c>
      <c r="F3306" t="inlineStr">
        <is>
          <t>0354</t>
        </is>
      </c>
      <c r="G3306" s="10" t="inlineStr">
        <is>
          <t>撮影所前</t>
        </is>
      </c>
      <c r="H3306" s="10" t="inlineStr">
        <is>
          <t>発</t>
        </is>
      </c>
      <c r="J3306" s="10" t="inlineStr">
        <is>
          <t>営業</t>
        </is>
      </c>
      <c r="L3306" t="inlineStr">
        <is>
          <t>16:57:25</t>
        </is>
      </c>
      <c r="M3306" t="inlineStr">
        <is>
          <t>16:57:40</t>
        </is>
      </c>
    </row>
    <row r="3307" ht="16.5" customHeight="1" s="37">
      <c r="A3307" t="n">
        <v>24</v>
      </c>
      <c r="B3307" s="10" t="inlineStr">
        <is>
          <t>休日</t>
        </is>
      </c>
      <c r="C3307" s="10" t="inlineStr">
        <is>
          <t>北野線</t>
        </is>
      </c>
      <c r="D3307" s="10" t="inlineStr">
        <is>
          <t>上り</t>
        </is>
      </c>
      <c r="E3307" t="inlineStr">
        <is>
          <t>1662</t>
        </is>
      </c>
      <c r="F3307" t="inlineStr">
        <is>
          <t>0354</t>
        </is>
      </c>
      <c r="G3307" s="10" t="inlineStr">
        <is>
          <t>常盤</t>
        </is>
      </c>
      <c r="H3307" s="10" t="inlineStr">
        <is>
          <t>発</t>
        </is>
      </c>
      <c r="J3307" s="10" t="inlineStr">
        <is>
          <t>営業</t>
        </is>
      </c>
      <c r="L3307" t="inlineStr">
        <is>
          <t>16:59:00</t>
        </is>
      </c>
      <c r="M3307" t="inlineStr">
        <is>
          <t>16:59:20</t>
        </is>
      </c>
    </row>
    <row r="3308" ht="16.5" customHeight="1" s="37">
      <c r="A3308" t="n">
        <v>24</v>
      </c>
      <c r="B3308" s="10" t="inlineStr">
        <is>
          <t>休日</t>
        </is>
      </c>
      <c r="C3308" s="10" t="inlineStr">
        <is>
          <t>北野線</t>
        </is>
      </c>
      <c r="D3308" s="10" t="inlineStr">
        <is>
          <t>上り</t>
        </is>
      </c>
      <c r="E3308" t="inlineStr">
        <is>
          <t>1662</t>
        </is>
      </c>
      <c r="F3308" t="inlineStr">
        <is>
          <t>0354</t>
        </is>
      </c>
      <c r="G3308" s="10" t="inlineStr">
        <is>
          <t>鳴滝</t>
        </is>
      </c>
      <c r="H3308" s="10" t="inlineStr">
        <is>
          <t>発</t>
        </is>
      </c>
      <c r="J3308" s="10" t="inlineStr">
        <is>
          <t>営業</t>
        </is>
      </c>
      <c r="L3308" t="inlineStr">
        <is>
          <t>17:00:20</t>
        </is>
      </c>
      <c r="M3308" t="inlineStr">
        <is>
          <t>17:00:40</t>
        </is>
      </c>
    </row>
    <row r="3309" ht="16.5" customHeight="1" s="37">
      <c r="A3309" t="n">
        <v>24</v>
      </c>
      <c r="B3309" s="10" t="inlineStr">
        <is>
          <t>休日</t>
        </is>
      </c>
      <c r="C3309" s="10" t="inlineStr">
        <is>
          <t>北野線</t>
        </is>
      </c>
      <c r="D3309" s="10" t="inlineStr">
        <is>
          <t>上り</t>
        </is>
      </c>
      <c r="E3309" t="inlineStr">
        <is>
          <t>1662</t>
        </is>
      </c>
      <c r="F3309" t="inlineStr">
        <is>
          <t>0354</t>
        </is>
      </c>
      <c r="G3309" s="10" t="inlineStr">
        <is>
          <t>宇多野</t>
        </is>
      </c>
      <c r="H3309" s="10" t="inlineStr">
        <is>
          <t>発</t>
        </is>
      </c>
      <c r="J3309" s="10" t="inlineStr">
        <is>
          <t>営業</t>
        </is>
      </c>
      <c r="L3309" t="inlineStr">
        <is>
          <t>17:02:00</t>
        </is>
      </c>
      <c r="M3309" t="inlineStr">
        <is>
          <t>17:02:15</t>
        </is>
      </c>
    </row>
    <row r="3310" ht="16.5" customHeight="1" s="37">
      <c r="A3310" t="n">
        <v>24</v>
      </c>
      <c r="B3310" s="10" t="inlineStr">
        <is>
          <t>休日</t>
        </is>
      </c>
      <c r="C3310" s="10" t="inlineStr">
        <is>
          <t>北野線</t>
        </is>
      </c>
      <c r="D3310" s="10" t="inlineStr">
        <is>
          <t>上り</t>
        </is>
      </c>
      <c r="E3310" t="inlineStr">
        <is>
          <t>1662</t>
        </is>
      </c>
      <c r="F3310" t="inlineStr">
        <is>
          <t>0354</t>
        </is>
      </c>
      <c r="G3310" s="10" t="inlineStr">
        <is>
          <t>御室仁和寺</t>
        </is>
      </c>
      <c r="H3310" s="10" t="inlineStr">
        <is>
          <t>発</t>
        </is>
      </c>
      <c r="J3310" s="10" t="inlineStr">
        <is>
          <t>営業</t>
        </is>
      </c>
      <c r="L3310" t="inlineStr">
        <is>
          <t>17:03:15</t>
        </is>
      </c>
      <c r="M3310" t="inlineStr">
        <is>
          <t>17:03:35</t>
        </is>
      </c>
    </row>
    <row r="3311" ht="16.5" customHeight="1" s="37">
      <c r="A3311" t="n">
        <v>24</v>
      </c>
      <c r="B3311" s="10" t="inlineStr">
        <is>
          <t>休日</t>
        </is>
      </c>
      <c r="C3311" s="10" t="inlineStr">
        <is>
          <t>北野線</t>
        </is>
      </c>
      <c r="D3311" s="10" t="inlineStr">
        <is>
          <t>上り</t>
        </is>
      </c>
      <c r="E3311" t="inlineStr">
        <is>
          <t>1662</t>
        </is>
      </c>
      <c r="F3311" t="inlineStr">
        <is>
          <t>0354</t>
        </is>
      </c>
      <c r="G3311" s="10" t="inlineStr">
        <is>
          <t>妙心寺</t>
        </is>
      </c>
      <c r="H3311" s="10" t="inlineStr">
        <is>
          <t>発</t>
        </is>
      </c>
      <c r="J3311" s="10" t="inlineStr">
        <is>
          <t>営業</t>
        </is>
      </c>
      <c r="L3311" t="inlineStr">
        <is>
          <t>17:04:35</t>
        </is>
      </c>
      <c r="M3311" t="inlineStr">
        <is>
          <t>17:04:50</t>
        </is>
      </c>
    </row>
    <row r="3312" ht="16.5" customHeight="1" s="37">
      <c r="A3312" t="n">
        <v>24</v>
      </c>
      <c r="B3312" s="10" t="inlineStr">
        <is>
          <t>休日</t>
        </is>
      </c>
      <c r="C3312" s="10" t="inlineStr">
        <is>
          <t>北野線</t>
        </is>
      </c>
      <c r="D3312" s="10" t="inlineStr">
        <is>
          <t>上り</t>
        </is>
      </c>
      <c r="E3312" t="inlineStr">
        <is>
          <t>1662</t>
        </is>
      </c>
      <c r="F3312" t="inlineStr">
        <is>
          <t>0354</t>
        </is>
      </c>
      <c r="G3312" s="10" t="inlineStr">
        <is>
          <t>龍安寺</t>
        </is>
      </c>
      <c r="H3312" s="10" t="inlineStr">
        <is>
          <t>発</t>
        </is>
      </c>
      <c r="J3312" s="10" t="inlineStr">
        <is>
          <t>営業</t>
        </is>
      </c>
      <c r="L3312" t="inlineStr">
        <is>
          <t>17:05:45</t>
        </is>
      </c>
      <c r="M3312" t="inlineStr">
        <is>
          <t>17:05:55</t>
        </is>
      </c>
    </row>
    <row r="3313" ht="16.5" customHeight="1" s="37">
      <c r="A3313" t="n">
        <v>24</v>
      </c>
      <c r="B3313" s="10" t="inlineStr">
        <is>
          <t>休日</t>
        </is>
      </c>
      <c r="C3313" s="10" t="inlineStr">
        <is>
          <t>北野線</t>
        </is>
      </c>
      <c r="D3313" s="10" t="inlineStr">
        <is>
          <t>上り</t>
        </is>
      </c>
      <c r="E3313" t="inlineStr">
        <is>
          <t>1662</t>
        </is>
      </c>
      <c r="F3313" t="inlineStr">
        <is>
          <t>0354</t>
        </is>
      </c>
      <c r="G3313" s="10" t="inlineStr">
        <is>
          <t>等持院</t>
        </is>
      </c>
      <c r="H3313" s="10" t="inlineStr">
        <is>
          <t>発</t>
        </is>
      </c>
      <c r="J3313" s="10" t="inlineStr">
        <is>
          <t>営業</t>
        </is>
      </c>
      <c r="L3313" t="inlineStr">
        <is>
          <t>17:06:35</t>
        </is>
      </c>
      <c r="M3313" t="inlineStr">
        <is>
          <t>17:06:55</t>
        </is>
      </c>
    </row>
    <row r="3314" ht="16.5" customHeight="1" s="37">
      <c r="A3314" t="n">
        <v>24</v>
      </c>
      <c r="B3314" s="10" t="inlineStr">
        <is>
          <t>休日</t>
        </is>
      </c>
      <c r="C3314" s="10" t="inlineStr">
        <is>
          <t>北野線</t>
        </is>
      </c>
      <c r="D3314" s="10" t="inlineStr">
        <is>
          <t>上り</t>
        </is>
      </c>
      <c r="E3314" t="inlineStr">
        <is>
          <t>1662</t>
        </is>
      </c>
      <c r="F3314" t="inlineStr">
        <is>
          <t>0354</t>
        </is>
      </c>
      <c r="G3314" s="10" t="inlineStr">
        <is>
          <t>北野白梅町</t>
        </is>
      </c>
      <c r="H3314" s="10" t="inlineStr">
        <is>
          <t>着</t>
        </is>
      </c>
      <c r="J3314" s="10" t="inlineStr">
        <is>
          <t>営業</t>
        </is>
      </c>
      <c r="L3314" t="inlineStr">
        <is>
          <t>17:08:15</t>
        </is>
      </c>
      <c r="Q3314" t="inlineStr">
        <is>
          <t>1</t>
        </is>
      </c>
    </row>
    <row r="3315" ht="16.5" customHeight="1" s="37">
      <c r="A3315" t="n">
        <v>24</v>
      </c>
      <c r="B3315" s="10" t="inlineStr">
        <is>
          <t>休日</t>
        </is>
      </c>
      <c r="C3315" s="10" t="inlineStr">
        <is>
          <t>北野線</t>
        </is>
      </c>
      <c r="D3315" s="10" t="inlineStr">
        <is>
          <t>下り</t>
        </is>
      </c>
      <c r="E3315" t="inlineStr">
        <is>
          <t>1753</t>
        </is>
      </c>
      <c r="F3315" t="inlineStr">
        <is>
          <t>0453</t>
        </is>
      </c>
      <c r="G3315" s="10" t="inlineStr">
        <is>
          <t>北野白梅町</t>
        </is>
      </c>
      <c r="H3315" s="10" t="inlineStr">
        <is>
          <t>発</t>
        </is>
      </c>
      <c r="J3315" s="10" t="inlineStr">
        <is>
          <t>営業</t>
        </is>
      </c>
      <c r="M3315" t="inlineStr">
        <is>
          <t>17:13:00</t>
        </is>
      </c>
      <c r="Q3315" t="inlineStr">
        <is>
          <t>1</t>
        </is>
      </c>
    </row>
    <row r="3316" ht="16.5" customHeight="1" s="37">
      <c r="A3316" t="n">
        <v>24</v>
      </c>
      <c r="B3316" s="10" t="inlineStr">
        <is>
          <t>休日</t>
        </is>
      </c>
      <c r="C3316" s="10" t="inlineStr">
        <is>
          <t>北野線</t>
        </is>
      </c>
      <c r="D3316" s="10" t="inlineStr">
        <is>
          <t>下り</t>
        </is>
      </c>
      <c r="E3316" t="inlineStr">
        <is>
          <t>1753</t>
        </is>
      </c>
      <c r="F3316" t="inlineStr">
        <is>
          <t>0453</t>
        </is>
      </c>
      <c r="G3316" s="10" t="inlineStr">
        <is>
          <t>等持院</t>
        </is>
      </c>
      <c r="H3316" s="10" t="inlineStr">
        <is>
          <t>発</t>
        </is>
      </c>
      <c r="J3316" s="10" t="inlineStr">
        <is>
          <t>営業</t>
        </is>
      </c>
      <c r="L3316" t="inlineStr">
        <is>
          <t>17:14:25</t>
        </is>
      </c>
      <c r="M3316" t="inlineStr">
        <is>
          <t>17:14:35</t>
        </is>
      </c>
    </row>
    <row r="3317" ht="16.5" customHeight="1" s="37">
      <c r="A3317" t="n">
        <v>24</v>
      </c>
      <c r="B3317" s="10" t="inlineStr">
        <is>
          <t>休日</t>
        </is>
      </c>
      <c r="C3317" s="10" t="inlineStr">
        <is>
          <t>北野線</t>
        </is>
      </c>
      <c r="D3317" s="10" t="inlineStr">
        <is>
          <t>下り</t>
        </is>
      </c>
      <c r="E3317" t="inlineStr">
        <is>
          <t>1753</t>
        </is>
      </c>
      <c r="F3317" t="inlineStr">
        <is>
          <t>0453</t>
        </is>
      </c>
      <c r="G3317" s="10" t="inlineStr">
        <is>
          <t>龍安寺</t>
        </is>
      </c>
      <c r="H3317" s="10" t="inlineStr">
        <is>
          <t>発</t>
        </is>
      </c>
      <c r="J3317" s="10" t="inlineStr">
        <is>
          <t>営業</t>
        </is>
      </c>
      <c r="L3317" t="inlineStr">
        <is>
          <t>17:15:25</t>
        </is>
      </c>
      <c r="M3317" t="inlineStr">
        <is>
          <t>17:15:50</t>
        </is>
      </c>
    </row>
    <row r="3318" ht="16.5" customHeight="1" s="37">
      <c r="A3318" t="n">
        <v>24</v>
      </c>
      <c r="B3318" s="10" t="inlineStr">
        <is>
          <t>休日</t>
        </is>
      </c>
      <c r="C3318" s="10" t="inlineStr">
        <is>
          <t>北野線</t>
        </is>
      </c>
      <c r="D3318" s="10" t="inlineStr">
        <is>
          <t>下り</t>
        </is>
      </c>
      <c r="E3318" t="inlineStr">
        <is>
          <t>1753</t>
        </is>
      </c>
      <c r="F3318" t="inlineStr">
        <is>
          <t>0453</t>
        </is>
      </c>
      <c r="G3318" s="10" t="inlineStr">
        <is>
          <t>妙心寺</t>
        </is>
      </c>
      <c r="H3318" s="10" t="inlineStr">
        <is>
          <t>発</t>
        </is>
      </c>
      <c r="J3318" s="10" t="inlineStr">
        <is>
          <t>営業</t>
        </is>
      </c>
      <c r="L3318" t="inlineStr">
        <is>
          <t>17:16:40</t>
        </is>
      </c>
      <c r="M3318" t="inlineStr">
        <is>
          <t>17:16:50</t>
        </is>
      </c>
    </row>
    <row r="3319" ht="16.5" customHeight="1" s="37">
      <c r="A3319" t="n">
        <v>24</v>
      </c>
      <c r="B3319" s="10" t="inlineStr">
        <is>
          <t>休日</t>
        </is>
      </c>
      <c r="C3319" s="10" t="inlineStr">
        <is>
          <t>北野線</t>
        </is>
      </c>
      <c r="D3319" s="10" t="inlineStr">
        <is>
          <t>下り</t>
        </is>
      </c>
      <c r="E3319" t="inlineStr">
        <is>
          <t>1753</t>
        </is>
      </c>
      <c r="F3319" t="inlineStr">
        <is>
          <t>0453</t>
        </is>
      </c>
      <c r="G3319" s="10" t="inlineStr">
        <is>
          <t>御室仁和寺</t>
        </is>
      </c>
      <c r="H3319" s="10" t="inlineStr">
        <is>
          <t>発</t>
        </is>
      </c>
      <c r="J3319" s="10" t="inlineStr">
        <is>
          <t>営業</t>
        </is>
      </c>
      <c r="L3319" t="inlineStr">
        <is>
          <t>17:17:50</t>
        </is>
      </c>
      <c r="M3319" t="inlineStr">
        <is>
          <t>17:18:05</t>
        </is>
      </c>
    </row>
    <row r="3320" ht="16.5" customHeight="1" s="37">
      <c r="A3320" t="n">
        <v>24</v>
      </c>
      <c r="B3320" s="10" t="inlineStr">
        <is>
          <t>休日</t>
        </is>
      </c>
      <c r="C3320" s="10" t="inlineStr">
        <is>
          <t>北野線</t>
        </is>
      </c>
      <c r="D3320" s="10" t="inlineStr">
        <is>
          <t>下り</t>
        </is>
      </c>
      <c r="E3320" t="inlineStr">
        <is>
          <t>1753</t>
        </is>
      </c>
      <c r="F3320" t="inlineStr">
        <is>
          <t>0453</t>
        </is>
      </c>
      <c r="G3320" s="10" t="inlineStr">
        <is>
          <t>宇多野</t>
        </is>
      </c>
      <c r="H3320" s="10" t="inlineStr">
        <is>
          <t>発</t>
        </is>
      </c>
      <c r="J3320" s="10" t="inlineStr">
        <is>
          <t>営業</t>
        </is>
      </c>
      <c r="L3320" t="inlineStr">
        <is>
          <t>17:19:05</t>
        </is>
      </c>
      <c r="M3320" t="inlineStr">
        <is>
          <t>17:19:15</t>
        </is>
      </c>
    </row>
    <row r="3321" ht="16.5" customHeight="1" s="37">
      <c r="A3321" t="n">
        <v>24</v>
      </c>
      <c r="B3321" s="10" t="inlineStr">
        <is>
          <t>休日</t>
        </is>
      </c>
      <c r="C3321" s="10" t="inlineStr">
        <is>
          <t>北野線</t>
        </is>
      </c>
      <c r="D3321" s="10" t="inlineStr">
        <is>
          <t>下り</t>
        </is>
      </c>
      <c r="E3321" t="inlineStr">
        <is>
          <t>1753</t>
        </is>
      </c>
      <c r="F3321" t="inlineStr">
        <is>
          <t>0453</t>
        </is>
      </c>
      <c r="G3321" s="10" t="inlineStr">
        <is>
          <t>鳴滝</t>
        </is>
      </c>
      <c r="H3321" s="10" t="inlineStr">
        <is>
          <t>発</t>
        </is>
      </c>
      <c r="J3321" s="10" t="inlineStr">
        <is>
          <t>営業</t>
        </is>
      </c>
      <c r="L3321" t="inlineStr">
        <is>
          <t>17:20:35</t>
        </is>
      </c>
      <c r="M3321" t="inlineStr">
        <is>
          <t>17:20:45</t>
        </is>
      </c>
    </row>
    <row r="3322" ht="16.5" customHeight="1" s="37">
      <c r="A3322" t="n">
        <v>24</v>
      </c>
      <c r="B3322" s="10" t="inlineStr">
        <is>
          <t>休日</t>
        </is>
      </c>
      <c r="C3322" s="10" t="inlineStr">
        <is>
          <t>北野線</t>
        </is>
      </c>
      <c r="D3322" s="10" t="inlineStr">
        <is>
          <t>下り</t>
        </is>
      </c>
      <c r="E3322" t="inlineStr">
        <is>
          <t>1753</t>
        </is>
      </c>
      <c r="F3322" t="inlineStr">
        <is>
          <t>0453</t>
        </is>
      </c>
      <c r="G3322" s="10" t="inlineStr">
        <is>
          <t>常盤</t>
        </is>
      </c>
      <c r="H3322" s="10" t="inlineStr">
        <is>
          <t>発</t>
        </is>
      </c>
      <c r="J3322" s="10" t="inlineStr">
        <is>
          <t>営業</t>
        </is>
      </c>
      <c r="L3322" t="inlineStr">
        <is>
          <t>17:21:35</t>
        </is>
      </c>
      <c r="M3322" t="inlineStr">
        <is>
          <t>17:21:55</t>
        </is>
      </c>
    </row>
    <row r="3323" ht="16.5" customHeight="1" s="37">
      <c r="A3323" t="n">
        <v>24</v>
      </c>
      <c r="B3323" s="10" t="inlineStr">
        <is>
          <t>休日</t>
        </is>
      </c>
      <c r="C3323" s="10" t="inlineStr">
        <is>
          <t>北野線</t>
        </is>
      </c>
      <c r="D3323" s="10" t="inlineStr">
        <is>
          <t>下り</t>
        </is>
      </c>
      <c r="E3323" t="inlineStr">
        <is>
          <t>1753</t>
        </is>
      </c>
      <c r="F3323" t="inlineStr">
        <is>
          <t>0453</t>
        </is>
      </c>
      <c r="G3323" s="10" t="inlineStr">
        <is>
          <t>撮影所前</t>
        </is>
      </c>
      <c r="H3323" s="10" t="inlineStr">
        <is>
          <t>発</t>
        </is>
      </c>
      <c r="J3323" s="10" t="inlineStr">
        <is>
          <t>営業</t>
        </is>
      </c>
      <c r="L3323" t="inlineStr">
        <is>
          <t>17:23:15</t>
        </is>
      </c>
      <c r="M3323" t="inlineStr">
        <is>
          <t>17:23:30</t>
        </is>
      </c>
    </row>
    <row r="3324" ht="16.5" customHeight="1" s="37">
      <c r="A3324" t="n">
        <v>24</v>
      </c>
      <c r="B3324" s="10" t="inlineStr">
        <is>
          <t>休日</t>
        </is>
      </c>
      <c r="C3324" s="10" t="inlineStr">
        <is>
          <t>北野線</t>
        </is>
      </c>
      <c r="D3324" s="10" t="inlineStr">
        <is>
          <t>下り</t>
        </is>
      </c>
      <c r="E3324" t="inlineStr">
        <is>
          <t>1753</t>
        </is>
      </c>
      <c r="F3324" t="inlineStr">
        <is>
          <t>0453</t>
        </is>
      </c>
      <c r="G3324" s="10" t="inlineStr">
        <is>
          <t>帷子ノ辻</t>
        </is>
      </c>
      <c r="H3324" s="10" t="inlineStr">
        <is>
          <t>着</t>
        </is>
      </c>
      <c r="J3324" s="10" t="inlineStr">
        <is>
          <t>営業</t>
        </is>
      </c>
      <c r="L3324" t="inlineStr">
        <is>
          <t>17:24:25</t>
        </is>
      </c>
      <c r="Q3324" t="inlineStr">
        <is>
          <t>3</t>
        </is>
      </c>
    </row>
    <row r="3325" ht="16.5" customHeight="1" s="37">
      <c r="A3325" t="n">
        <v>24</v>
      </c>
      <c r="B3325" s="10" t="inlineStr">
        <is>
          <t>休日</t>
        </is>
      </c>
      <c r="C3325" s="10" t="inlineStr">
        <is>
          <t>北野線</t>
        </is>
      </c>
      <c r="D3325" s="10" t="inlineStr">
        <is>
          <t>上り</t>
        </is>
      </c>
      <c r="E3325" t="inlineStr">
        <is>
          <t>1758</t>
        </is>
      </c>
      <c r="F3325" t="inlineStr">
        <is>
          <t>0354</t>
        </is>
      </c>
      <c r="G3325" s="10" t="inlineStr">
        <is>
          <t>帷子ノ辻</t>
        </is>
      </c>
      <c r="H3325" s="10" t="inlineStr">
        <is>
          <t>発</t>
        </is>
      </c>
      <c r="J3325" s="10" t="inlineStr">
        <is>
          <t>営業</t>
        </is>
      </c>
      <c r="M3325" t="inlineStr">
        <is>
          <t>17:36:25</t>
        </is>
      </c>
      <c r="Q3325" t="inlineStr">
        <is>
          <t>3</t>
        </is>
      </c>
    </row>
    <row r="3326" ht="16.5" customHeight="1" s="37">
      <c r="A3326" t="n">
        <v>24</v>
      </c>
      <c r="B3326" s="10" t="inlineStr">
        <is>
          <t>休日</t>
        </is>
      </c>
      <c r="C3326" s="10" t="inlineStr">
        <is>
          <t>北野線</t>
        </is>
      </c>
      <c r="D3326" s="10" t="inlineStr">
        <is>
          <t>上り</t>
        </is>
      </c>
      <c r="E3326" t="inlineStr">
        <is>
          <t>1758</t>
        </is>
      </c>
      <c r="F3326" t="inlineStr">
        <is>
          <t>0354</t>
        </is>
      </c>
      <c r="G3326" s="10" t="inlineStr">
        <is>
          <t>撮影所前</t>
        </is>
      </c>
      <c r="H3326" s="10" t="inlineStr">
        <is>
          <t>発</t>
        </is>
      </c>
      <c r="J3326" s="10" t="inlineStr">
        <is>
          <t>営業</t>
        </is>
      </c>
      <c r="L3326" t="inlineStr">
        <is>
          <t>17:37:25</t>
        </is>
      </c>
      <c r="M3326" t="inlineStr">
        <is>
          <t>17:37:40</t>
        </is>
      </c>
    </row>
    <row r="3327" ht="16.5" customHeight="1" s="37">
      <c r="A3327" t="n">
        <v>24</v>
      </c>
      <c r="B3327" s="10" t="inlineStr">
        <is>
          <t>休日</t>
        </is>
      </c>
      <c r="C3327" s="10" t="inlineStr">
        <is>
          <t>北野線</t>
        </is>
      </c>
      <c r="D3327" s="10" t="inlineStr">
        <is>
          <t>上り</t>
        </is>
      </c>
      <c r="E3327" t="inlineStr">
        <is>
          <t>1758</t>
        </is>
      </c>
      <c r="F3327" t="inlineStr">
        <is>
          <t>0354</t>
        </is>
      </c>
      <c r="G3327" s="10" t="inlineStr">
        <is>
          <t>常盤</t>
        </is>
      </c>
      <c r="H3327" s="10" t="inlineStr">
        <is>
          <t>発</t>
        </is>
      </c>
      <c r="J3327" s="10" t="inlineStr">
        <is>
          <t>営業</t>
        </is>
      </c>
      <c r="L3327" t="inlineStr">
        <is>
          <t>17:39:00</t>
        </is>
      </c>
      <c r="M3327" t="inlineStr">
        <is>
          <t>17:39:20</t>
        </is>
      </c>
    </row>
    <row r="3328" ht="16.5" customHeight="1" s="37">
      <c r="A3328" t="n">
        <v>24</v>
      </c>
      <c r="B3328" s="10" t="inlineStr">
        <is>
          <t>休日</t>
        </is>
      </c>
      <c r="C3328" s="10" t="inlineStr">
        <is>
          <t>北野線</t>
        </is>
      </c>
      <c r="D3328" s="10" t="inlineStr">
        <is>
          <t>上り</t>
        </is>
      </c>
      <c r="E3328" t="inlineStr">
        <is>
          <t>1758</t>
        </is>
      </c>
      <c r="F3328" t="inlineStr">
        <is>
          <t>0354</t>
        </is>
      </c>
      <c r="G3328" s="10" t="inlineStr">
        <is>
          <t>鳴滝</t>
        </is>
      </c>
      <c r="H3328" s="10" t="inlineStr">
        <is>
          <t>発</t>
        </is>
      </c>
      <c r="J3328" s="10" t="inlineStr">
        <is>
          <t>営業</t>
        </is>
      </c>
      <c r="L3328" t="inlineStr">
        <is>
          <t>17:40:20</t>
        </is>
      </c>
      <c r="M3328" t="inlineStr">
        <is>
          <t>17:40:40</t>
        </is>
      </c>
    </row>
    <row r="3329" ht="16.5" customHeight="1" s="37">
      <c r="A3329" t="n">
        <v>24</v>
      </c>
      <c r="B3329" s="10" t="inlineStr">
        <is>
          <t>休日</t>
        </is>
      </c>
      <c r="C3329" s="10" t="inlineStr">
        <is>
          <t>北野線</t>
        </is>
      </c>
      <c r="D3329" s="10" t="inlineStr">
        <is>
          <t>上り</t>
        </is>
      </c>
      <c r="E3329" t="inlineStr">
        <is>
          <t>1758</t>
        </is>
      </c>
      <c r="F3329" t="inlineStr">
        <is>
          <t>0354</t>
        </is>
      </c>
      <c r="G3329" s="10" t="inlineStr">
        <is>
          <t>宇多野</t>
        </is>
      </c>
      <c r="H3329" s="10" t="inlineStr">
        <is>
          <t>発</t>
        </is>
      </c>
      <c r="J3329" s="10" t="inlineStr">
        <is>
          <t>営業</t>
        </is>
      </c>
      <c r="L3329" t="inlineStr">
        <is>
          <t>17:42:00</t>
        </is>
      </c>
      <c r="M3329" t="inlineStr">
        <is>
          <t>17:42:15</t>
        </is>
      </c>
    </row>
    <row r="3330" ht="16.5" customHeight="1" s="37">
      <c r="A3330" t="n">
        <v>24</v>
      </c>
      <c r="B3330" s="10" t="inlineStr">
        <is>
          <t>休日</t>
        </is>
      </c>
      <c r="C3330" s="10" t="inlineStr">
        <is>
          <t>北野線</t>
        </is>
      </c>
      <c r="D3330" s="10" t="inlineStr">
        <is>
          <t>上り</t>
        </is>
      </c>
      <c r="E3330" t="inlineStr">
        <is>
          <t>1758</t>
        </is>
      </c>
      <c r="F3330" t="inlineStr">
        <is>
          <t>0354</t>
        </is>
      </c>
      <c r="G3330" s="10" t="inlineStr">
        <is>
          <t>御室仁和寺</t>
        </is>
      </c>
      <c r="H3330" s="10" t="inlineStr">
        <is>
          <t>発</t>
        </is>
      </c>
      <c r="J3330" s="10" t="inlineStr">
        <is>
          <t>営業</t>
        </is>
      </c>
      <c r="L3330" t="inlineStr">
        <is>
          <t>17:43:15</t>
        </is>
      </c>
      <c r="M3330" t="inlineStr">
        <is>
          <t>17:43:35</t>
        </is>
      </c>
    </row>
    <row r="3331" ht="16.5" customHeight="1" s="37">
      <c r="A3331" t="n">
        <v>24</v>
      </c>
      <c r="B3331" s="10" t="inlineStr">
        <is>
          <t>休日</t>
        </is>
      </c>
      <c r="C3331" s="10" t="inlineStr">
        <is>
          <t>北野線</t>
        </is>
      </c>
      <c r="D3331" s="10" t="inlineStr">
        <is>
          <t>上り</t>
        </is>
      </c>
      <c r="E3331" t="inlineStr">
        <is>
          <t>1758</t>
        </is>
      </c>
      <c r="F3331" t="inlineStr">
        <is>
          <t>0354</t>
        </is>
      </c>
      <c r="G3331" s="10" t="inlineStr">
        <is>
          <t>妙心寺</t>
        </is>
      </c>
      <c r="H3331" s="10" t="inlineStr">
        <is>
          <t>発</t>
        </is>
      </c>
      <c r="J3331" s="10" t="inlineStr">
        <is>
          <t>営業</t>
        </is>
      </c>
      <c r="L3331" t="inlineStr">
        <is>
          <t>17:44:35</t>
        </is>
      </c>
      <c r="M3331" t="inlineStr">
        <is>
          <t>17:44:50</t>
        </is>
      </c>
    </row>
    <row r="3332" ht="16.5" customHeight="1" s="37">
      <c r="A3332" t="n">
        <v>24</v>
      </c>
      <c r="B3332" s="10" t="inlineStr">
        <is>
          <t>休日</t>
        </is>
      </c>
      <c r="C3332" s="10" t="inlineStr">
        <is>
          <t>北野線</t>
        </is>
      </c>
      <c r="D3332" s="10" t="inlineStr">
        <is>
          <t>上り</t>
        </is>
      </c>
      <c r="E3332" t="inlineStr">
        <is>
          <t>1758</t>
        </is>
      </c>
      <c r="F3332" t="inlineStr">
        <is>
          <t>0354</t>
        </is>
      </c>
      <c r="G3332" s="10" t="inlineStr">
        <is>
          <t>龍安寺</t>
        </is>
      </c>
      <c r="H3332" s="10" t="inlineStr">
        <is>
          <t>発</t>
        </is>
      </c>
      <c r="J3332" s="10" t="inlineStr">
        <is>
          <t>営業</t>
        </is>
      </c>
      <c r="L3332" t="inlineStr">
        <is>
          <t>17:45:45</t>
        </is>
      </c>
      <c r="M3332" t="inlineStr">
        <is>
          <t>17:45:55</t>
        </is>
      </c>
    </row>
    <row r="3333" ht="15" customHeight="1" s="37">
      <c r="A3333" t="n">
        <v>24</v>
      </c>
      <c r="B3333" s="10" t="inlineStr">
        <is>
          <t>休日</t>
        </is>
      </c>
      <c r="C3333" s="10" t="inlineStr">
        <is>
          <t>北野線</t>
        </is>
      </c>
      <c r="D3333" s="10" t="inlineStr">
        <is>
          <t>上り</t>
        </is>
      </c>
      <c r="E3333" t="inlineStr">
        <is>
          <t>1758</t>
        </is>
      </c>
      <c r="F3333" t="inlineStr">
        <is>
          <t>0354</t>
        </is>
      </c>
      <c r="G3333" s="10" t="inlineStr">
        <is>
          <t>等持院</t>
        </is>
      </c>
      <c r="H3333" s="10" t="inlineStr">
        <is>
          <t>発</t>
        </is>
      </c>
      <c r="J3333" s="10" t="inlineStr">
        <is>
          <t>営業</t>
        </is>
      </c>
      <c r="L3333" t="inlineStr">
        <is>
          <t>17:46:35</t>
        </is>
      </c>
      <c r="M3333" t="inlineStr">
        <is>
          <t>17:46:55</t>
        </is>
      </c>
    </row>
    <row r="3334" ht="15" customHeight="1" s="37">
      <c r="A3334" t="n">
        <v>24</v>
      </c>
      <c r="B3334" s="10" t="inlineStr">
        <is>
          <t>休日</t>
        </is>
      </c>
      <c r="C3334" s="10" t="inlineStr">
        <is>
          <t>北野線</t>
        </is>
      </c>
      <c r="D3334" s="10" t="inlineStr">
        <is>
          <t>上り</t>
        </is>
      </c>
      <c r="E3334" t="inlineStr">
        <is>
          <t>1758</t>
        </is>
      </c>
      <c r="F3334" t="inlineStr">
        <is>
          <t>0354</t>
        </is>
      </c>
      <c r="G3334" s="10" t="inlineStr">
        <is>
          <t>北野白梅町</t>
        </is>
      </c>
      <c r="H3334" s="10" t="inlineStr">
        <is>
          <t>着</t>
        </is>
      </c>
      <c r="J3334" s="10" t="inlineStr">
        <is>
          <t>営業</t>
        </is>
      </c>
      <c r="L3334" t="inlineStr">
        <is>
          <t>17:48:15</t>
        </is>
      </c>
      <c r="Q3334" t="inlineStr">
        <is>
          <t>1</t>
        </is>
      </c>
    </row>
    <row r="3335" ht="15" customHeight="1" s="37">
      <c r="A3335" t="n">
        <v>24</v>
      </c>
      <c r="B3335" s="10" t="inlineStr">
        <is>
          <t>休日</t>
        </is>
      </c>
      <c r="C3335" s="10" t="inlineStr">
        <is>
          <t>北野線</t>
        </is>
      </c>
      <c r="D3335" s="10" t="inlineStr">
        <is>
          <t>下り</t>
        </is>
      </c>
      <c r="E3335" t="inlineStr">
        <is>
          <t>1761</t>
        </is>
      </c>
      <c r="F3335" t="inlineStr">
        <is>
          <t>0453</t>
        </is>
      </c>
      <c r="G3335" s="10" t="inlineStr">
        <is>
          <t>北野白梅町</t>
        </is>
      </c>
      <c r="H3335" s="10" t="inlineStr">
        <is>
          <t>発</t>
        </is>
      </c>
      <c r="J3335" s="10" t="inlineStr">
        <is>
          <t>営業</t>
        </is>
      </c>
      <c r="M3335" t="inlineStr">
        <is>
          <t>17:53:00</t>
        </is>
      </c>
      <c r="Q3335" t="inlineStr">
        <is>
          <t>1</t>
        </is>
      </c>
    </row>
    <row r="3336" ht="15" customHeight="1" s="37">
      <c r="A3336" t="n">
        <v>24</v>
      </c>
      <c r="B3336" s="10" t="inlineStr">
        <is>
          <t>休日</t>
        </is>
      </c>
      <c r="C3336" s="10" t="inlineStr">
        <is>
          <t>北野線</t>
        </is>
      </c>
      <c r="D3336" s="10" t="inlineStr">
        <is>
          <t>下り</t>
        </is>
      </c>
      <c r="E3336" t="inlineStr">
        <is>
          <t>1761</t>
        </is>
      </c>
      <c r="F3336" t="inlineStr">
        <is>
          <t>0453</t>
        </is>
      </c>
      <c r="G3336" s="10" t="inlineStr">
        <is>
          <t>等持院</t>
        </is>
      </c>
      <c r="H3336" s="10" t="inlineStr">
        <is>
          <t>発</t>
        </is>
      </c>
      <c r="J3336" s="10" t="inlineStr">
        <is>
          <t>営業</t>
        </is>
      </c>
      <c r="L3336" t="inlineStr">
        <is>
          <t>17:54:25</t>
        </is>
      </c>
      <c r="M3336" t="inlineStr">
        <is>
          <t>17:54:35</t>
        </is>
      </c>
    </row>
    <row r="3337" ht="15" customHeight="1" s="37">
      <c r="A3337" t="n">
        <v>24</v>
      </c>
      <c r="B3337" s="10" t="inlineStr">
        <is>
          <t>休日</t>
        </is>
      </c>
      <c r="C3337" s="10" t="inlineStr">
        <is>
          <t>北野線</t>
        </is>
      </c>
      <c r="D3337" s="10" t="inlineStr">
        <is>
          <t>下り</t>
        </is>
      </c>
      <c r="E3337" t="inlineStr">
        <is>
          <t>1761</t>
        </is>
      </c>
      <c r="F3337" t="inlineStr">
        <is>
          <t>0453</t>
        </is>
      </c>
      <c r="G3337" s="10" t="inlineStr">
        <is>
          <t>龍安寺</t>
        </is>
      </c>
      <c r="H3337" s="10" t="inlineStr">
        <is>
          <t>発</t>
        </is>
      </c>
      <c r="J3337" s="10" t="inlineStr">
        <is>
          <t>営業</t>
        </is>
      </c>
      <c r="L3337" t="inlineStr">
        <is>
          <t>17:55:25</t>
        </is>
      </c>
      <c r="M3337" t="inlineStr">
        <is>
          <t>17:55:50</t>
        </is>
      </c>
    </row>
    <row r="3338" ht="15" customHeight="1" s="37">
      <c r="A3338" t="n">
        <v>24</v>
      </c>
      <c r="B3338" s="10" t="inlineStr">
        <is>
          <t>休日</t>
        </is>
      </c>
      <c r="C3338" s="10" t="inlineStr">
        <is>
          <t>北野線</t>
        </is>
      </c>
      <c r="D3338" s="10" t="inlineStr">
        <is>
          <t>下り</t>
        </is>
      </c>
      <c r="E3338" t="inlineStr">
        <is>
          <t>1761</t>
        </is>
      </c>
      <c r="F3338" t="inlineStr">
        <is>
          <t>0453</t>
        </is>
      </c>
      <c r="G3338" s="10" t="inlineStr">
        <is>
          <t>妙心寺</t>
        </is>
      </c>
      <c r="H3338" s="10" t="inlineStr">
        <is>
          <t>発</t>
        </is>
      </c>
      <c r="J3338" s="10" t="inlineStr">
        <is>
          <t>営業</t>
        </is>
      </c>
      <c r="L3338" t="inlineStr">
        <is>
          <t>17:56:40</t>
        </is>
      </c>
      <c r="M3338" t="inlineStr">
        <is>
          <t>17:56:50</t>
        </is>
      </c>
    </row>
    <row r="3339" ht="15" customHeight="1" s="37">
      <c r="A3339" t="n">
        <v>24</v>
      </c>
      <c r="B3339" s="10" t="inlineStr">
        <is>
          <t>休日</t>
        </is>
      </c>
      <c r="C3339" s="10" t="inlineStr">
        <is>
          <t>北野線</t>
        </is>
      </c>
      <c r="D3339" s="10" t="inlineStr">
        <is>
          <t>下り</t>
        </is>
      </c>
      <c r="E3339" t="inlineStr">
        <is>
          <t>1761</t>
        </is>
      </c>
      <c r="F3339" t="inlineStr">
        <is>
          <t>0453</t>
        </is>
      </c>
      <c r="G3339" s="10" t="inlineStr">
        <is>
          <t>御室仁和寺</t>
        </is>
      </c>
      <c r="H3339" s="10" t="inlineStr">
        <is>
          <t>発</t>
        </is>
      </c>
      <c r="J3339" s="10" t="inlineStr">
        <is>
          <t>営業</t>
        </is>
      </c>
      <c r="L3339" t="inlineStr">
        <is>
          <t>17:57:50</t>
        </is>
      </c>
      <c r="M3339" t="inlineStr">
        <is>
          <t>17:58:05</t>
        </is>
      </c>
    </row>
    <row r="3340" ht="15" customHeight="1" s="37">
      <c r="A3340" t="n">
        <v>24</v>
      </c>
      <c r="B3340" s="10" t="inlineStr">
        <is>
          <t>休日</t>
        </is>
      </c>
      <c r="C3340" s="10" t="inlineStr">
        <is>
          <t>北野線</t>
        </is>
      </c>
      <c r="D3340" s="10" t="inlineStr">
        <is>
          <t>下り</t>
        </is>
      </c>
      <c r="E3340" t="inlineStr">
        <is>
          <t>1761</t>
        </is>
      </c>
      <c r="F3340" t="inlineStr">
        <is>
          <t>0453</t>
        </is>
      </c>
      <c r="G3340" s="10" t="inlineStr">
        <is>
          <t>宇多野</t>
        </is>
      </c>
      <c r="H3340" s="10" t="inlineStr">
        <is>
          <t>発</t>
        </is>
      </c>
      <c r="J3340" s="10" t="inlineStr">
        <is>
          <t>営業</t>
        </is>
      </c>
      <c r="L3340" t="inlineStr">
        <is>
          <t>17:59:05</t>
        </is>
      </c>
      <c r="M3340" t="inlineStr">
        <is>
          <t>17:59:15</t>
        </is>
      </c>
    </row>
    <row r="3341" ht="15" customHeight="1" s="37">
      <c r="A3341" t="n">
        <v>24</v>
      </c>
      <c r="B3341" s="10" t="inlineStr">
        <is>
          <t>休日</t>
        </is>
      </c>
      <c r="C3341" s="10" t="inlineStr">
        <is>
          <t>北野線</t>
        </is>
      </c>
      <c r="D3341" s="10" t="inlineStr">
        <is>
          <t>下り</t>
        </is>
      </c>
      <c r="E3341" t="inlineStr">
        <is>
          <t>1761</t>
        </is>
      </c>
      <c r="F3341" t="inlineStr">
        <is>
          <t>0453</t>
        </is>
      </c>
      <c r="G3341" s="10" t="inlineStr">
        <is>
          <t>鳴滝</t>
        </is>
      </c>
      <c r="H3341" s="10" t="inlineStr">
        <is>
          <t>発</t>
        </is>
      </c>
      <c r="J3341" s="10" t="inlineStr">
        <is>
          <t>営業</t>
        </is>
      </c>
      <c r="L3341" t="inlineStr">
        <is>
          <t>18:00:35</t>
        </is>
      </c>
      <c r="M3341" t="inlineStr">
        <is>
          <t>18:00:45</t>
        </is>
      </c>
    </row>
    <row r="3342" ht="15" customHeight="1" s="37">
      <c r="A3342" t="n">
        <v>24</v>
      </c>
      <c r="B3342" s="10" t="inlineStr">
        <is>
          <t>休日</t>
        </is>
      </c>
      <c r="C3342" s="10" t="inlineStr">
        <is>
          <t>北野線</t>
        </is>
      </c>
      <c r="D3342" s="10" t="inlineStr">
        <is>
          <t>下り</t>
        </is>
      </c>
      <c r="E3342" t="inlineStr">
        <is>
          <t>1761</t>
        </is>
      </c>
      <c r="F3342" t="inlineStr">
        <is>
          <t>0453</t>
        </is>
      </c>
      <c r="G3342" s="10" t="inlineStr">
        <is>
          <t>常盤</t>
        </is>
      </c>
      <c r="H3342" s="10" t="inlineStr">
        <is>
          <t>発</t>
        </is>
      </c>
      <c r="J3342" s="10" t="inlineStr">
        <is>
          <t>営業</t>
        </is>
      </c>
      <c r="L3342" t="inlineStr">
        <is>
          <t>18:01:35</t>
        </is>
      </c>
      <c r="M3342" t="inlineStr">
        <is>
          <t>18:01:55</t>
        </is>
      </c>
    </row>
    <row r="3343" ht="15" customHeight="1" s="37">
      <c r="A3343" t="n">
        <v>24</v>
      </c>
      <c r="B3343" s="10" t="inlineStr">
        <is>
          <t>休日</t>
        </is>
      </c>
      <c r="C3343" s="10" t="inlineStr">
        <is>
          <t>北野線</t>
        </is>
      </c>
      <c r="D3343" s="10" t="inlineStr">
        <is>
          <t>下り</t>
        </is>
      </c>
      <c r="E3343" t="inlineStr">
        <is>
          <t>1761</t>
        </is>
      </c>
      <c r="F3343" t="inlineStr">
        <is>
          <t>0453</t>
        </is>
      </c>
      <c r="G3343" s="10" t="inlineStr">
        <is>
          <t>撮影所前</t>
        </is>
      </c>
      <c r="H3343" s="10" t="inlineStr">
        <is>
          <t>発</t>
        </is>
      </c>
      <c r="J3343" s="10" t="inlineStr">
        <is>
          <t>営業</t>
        </is>
      </c>
      <c r="L3343" t="inlineStr">
        <is>
          <t>18:03:15</t>
        </is>
      </c>
      <c r="M3343" t="inlineStr">
        <is>
          <t>18:03:30</t>
        </is>
      </c>
    </row>
    <row r="3344" ht="15" customHeight="1" s="37">
      <c r="A3344" t="n">
        <v>24</v>
      </c>
      <c r="B3344" s="10" t="inlineStr">
        <is>
          <t>休日</t>
        </is>
      </c>
      <c r="C3344" s="10" t="inlineStr">
        <is>
          <t>北野線</t>
        </is>
      </c>
      <c r="D3344" s="10" t="inlineStr">
        <is>
          <t>下り</t>
        </is>
      </c>
      <c r="E3344" t="inlineStr">
        <is>
          <t>1761</t>
        </is>
      </c>
      <c r="F3344" t="inlineStr">
        <is>
          <t>0453</t>
        </is>
      </c>
      <c r="G3344" s="10" t="inlineStr">
        <is>
          <t>帷子ノ辻</t>
        </is>
      </c>
      <c r="H3344" s="10" t="inlineStr">
        <is>
          <t>着</t>
        </is>
      </c>
      <c r="J3344" s="10" t="inlineStr">
        <is>
          <t>営業</t>
        </is>
      </c>
      <c r="L3344" t="inlineStr">
        <is>
          <t>18:04:25</t>
        </is>
      </c>
      <c r="Q3344" t="inlineStr">
        <is>
          <t>3</t>
        </is>
      </c>
    </row>
    <row r="3345" ht="15" customHeight="1" s="37">
      <c r="A3345" t="n">
        <v>24</v>
      </c>
      <c r="B3345" s="10" t="inlineStr">
        <is>
          <t>休日</t>
        </is>
      </c>
      <c r="C3345" s="10" t="inlineStr">
        <is>
          <t>北野線</t>
        </is>
      </c>
      <c r="D3345" s="10" t="inlineStr">
        <is>
          <t>上り</t>
        </is>
      </c>
      <c r="E3345" t="inlineStr">
        <is>
          <t>1854</t>
        </is>
      </c>
      <c r="F3345" t="inlineStr">
        <is>
          <t>0304</t>
        </is>
      </c>
      <c r="G3345" s="10" t="inlineStr">
        <is>
          <t>帷子ノ辻</t>
        </is>
      </c>
      <c r="H3345" s="10" t="inlineStr">
        <is>
          <t>発</t>
        </is>
      </c>
      <c r="J3345" s="10" t="inlineStr">
        <is>
          <t>営業</t>
        </is>
      </c>
      <c r="M3345" t="inlineStr">
        <is>
          <t>18:16:25</t>
        </is>
      </c>
      <c r="Q3345" t="inlineStr">
        <is>
          <t>3</t>
        </is>
      </c>
    </row>
    <row r="3346" ht="15" customHeight="1" s="37">
      <c r="A3346" t="n">
        <v>24</v>
      </c>
      <c r="B3346" s="10" t="inlineStr">
        <is>
          <t>休日</t>
        </is>
      </c>
      <c r="C3346" s="10" t="inlineStr">
        <is>
          <t>北野線</t>
        </is>
      </c>
      <c r="D3346" s="10" t="inlineStr">
        <is>
          <t>上り</t>
        </is>
      </c>
      <c r="E3346" t="inlineStr">
        <is>
          <t>1854</t>
        </is>
      </c>
      <c r="F3346" t="inlineStr">
        <is>
          <t>0304</t>
        </is>
      </c>
      <c r="G3346" s="10" t="inlineStr">
        <is>
          <t>撮影所前</t>
        </is>
      </c>
      <c r="H3346" s="10" t="inlineStr">
        <is>
          <t>発</t>
        </is>
      </c>
      <c r="J3346" s="10" t="inlineStr">
        <is>
          <t>営業</t>
        </is>
      </c>
      <c r="L3346" t="inlineStr">
        <is>
          <t>18:17:25</t>
        </is>
      </c>
      <c r="M3346" t="inlineStr">
        <is>
          <t>18:17:40</t>
        </is>
      </c>
    </row>
    <row r="3347" ht="15" customHeight="1" s="37">
      <c r="A3347" t="n">
        <v>24</v>
      </c>
      <c r="B3347" s="10" t="inlineStr">
        <is>
          <t>休日</t>
        </is>
      </c>
      <c r="C3347" s="10" t="inlineStr">
        <is>
          <t>北野線</t>
        </is>
      </c>
      <c r="D3347" s="10" t="inlineStr">
        <is>
          <t>上り</t>
        </is>
      </c>
      <c r="E3347" t="inlineStr">
        <is>
          <t>1854</t>
        </is>
      </c>
      <c r="F3347" t="inlineStr">
        <is>
          <t>0304</t>
        </is>
      </c>
      <c r="G3347" s="10" t="inlineStr">
        <is>
          <t>常盤</t>
        </is>
      </c>
      <c r="H3347" s="10" t="inlineStr">
        <is>
          <t>発</t>
        </is>
      </c>
      <c r="J3347" s="10" t="inlineStr">
        <is>
          <t>営業</t>
        </is>
      </c>
      <c r="L3347" t="inlineStr">
        <is>
          <t>18:19:00</t>
        </is>
      </c>
      <c r="M3347" t="inlineStr">
        <is>
          <t>18:19:20</t>
        </is>
      </c>
    </row>
    <row r="3348" ht="15" customHeight="1" s="37">
      <c r="A3348" t="n">
        <v>24</v>
      </c>
      <c r="B3348" s="10" t="inlineStr">
        <is>
          <t>休日</t>
        </is>
      </c>
      <c r="C3348" s="10" t="inlineStr">
        <is>
          <t>北野線</t>
        </is>
      </c>
      <c r="D3348" s="10" t="inlineStr">
        <is>
          <t>上り</t>
        </is>
      </c>
      <c r="E3348" t="inlineStr">
        <is>
          <t>1854</t>
        </is>
      </c>
      <c r="F3348" t="inlineStr">
        <is>
          <t>0304</t>
        </is>
      </c>
      <c r="G3348" s="10" t="inlineStr">
        <is>
          <t>鳴滝</t>
        </is>
      </c>
      <c r="H3348" s="10" t="inlineStr">
        <is>
          <t>発</t>
        </is>
      </c>
      <c r="J3348" s="10" t="inlineStr">
        <is>
          <t>営業</t>
        </is>
      </c>
      <c r="L3348" t="inlineStr">
        <is>
          <t>18:20:20</t>
        </is>
      </c>
      <c r="M3348" t="inlineStr">
        <is>
          <t>18:20:40</t>
        </is>
      </c>
    </row>
    <row r="3349" ht="15" customHeight="1" s="37">
      <c r="A3349" t="n">
        <v>24</v>
      </c>
      <c r="B3349" s="10" t="inlineStr">
        <is>
          <t>休日</t>
        </is>
      </c>
      <c r="C3349" s="10" t="inlineStr">
        <is>
          <t>北野線</t>
        </is>
      </c>
      <c r="D3349" s="10" t="inlineStr">
        <is>
          <t>上り</t>
        </is>
      </c>
      <c r="E3349" t="inlineStr">
        <is>
          <t>1854</t>
        </is>
      </c>
      <c r="F3349" t="inlineStr">
        <is>
          <t>0304</t>
        </is>
      </c>
      <c r="G3349" s="10" t="inlineStr">
        <is>
          <t>宇多野</t>
        </is>
      </c>
      <c r="H3349" s="10" t="inlineStr">
        <is>
          <t>発</t>
        </is>
      </c>
      <c r="J3349" s="10" t="inlineStr">
        <is>
          <t>営業</t>
        </is>
      </c>
      <c r="L3349" t="inlineStr">
        <is>
          <t>18:22:00</t>
        </is>
      </c>
      <c r="M3349" t="inlineStr">
        <is>
          <t>18:22:15</t>
        </is>
      </c>
    </row>
    <row r="3350" ht="15" customHeight="1" s="37">
      <c r="A3350" t="n">
        <v>24</v>
      </c>
      <c r="B3350" s="10" t="inlineStr">
        <is>
          <t>休日</t>
        </is>
      </c>
      <c r="C3350" s="10" t="inlineStr">
        <is>
          <t>北野線</t>
        </is>
      </c>
      <c r="D3350" s="10" t="inlineStr">
        <is>
          <t>上り</t>
        </is>
      </c>
      <c r="E3350" t="inlineStr">
        <is>
          <t>1854</t>
        </is>
      </c>
      <c r="F3350" t="inlineStr">
        <is>
          <t>0304</t>
        </is>
      </c>
      <c r="G3350" s="10" t="inlineStr">
        <is>
          <t>御室仁和寺</t>
        </is>
      </c>
      <c r="H3350" s="10" t="inlineStr">
        <is>
          <t>発</t>
        </is>
      </c>
      <c r="J3350" s="10" t="inlineStr">
        <is>
          <t>営業</t>
        </is>
      </c>
      <c r="L3350" t="inlineStr">
        <is>
          <t>18:23:15</t>
        </is>
      </c>
      <c r="M3350" t="inlineStr">
        <is>
          <t>18:23:35</t>
        </is>
      </c>
    </row>
    <row r="3351" ht="15" customHeight="1" s="37">
      <c r="A3351" t="n">
        <v>24</v>
      </c>
      <c r="B3351" s="10" t="inlineStr">
        <is>
          <t>休日</t>
        </is>
      </c>
      <c r="C3351" s="10" t="inlineStr">
        <is>
          <t>北野線</t>
        </is>
      </c>
      <c r="D3351" s="10" t="inlineStr">
        <is>
          <t>上り</t>
        </is>
      </c>
      <c r="E3351" t="inlineStr">
        <is>
          <t>1854</t>
        </is>
      </c>
      <c r="F3351" t="inlineStr">
        <is>
          <t>0304</t>
        </is>
      </c>
      <c r="G3351" s="10" t="inlineStr">
        <is>
          <t>妙心寺</t>
        </is>
      </c>
      <c r="H3351" s="10" t="inlineStr">
        <is>
          <t>発</t>
        </is>
      </c>
      <c r="J3351" s="10" t="inlineStr">
        <is>
          <t>営業</t>
        </is>
      </c>
      <c r="L3351" t="inlineStr">
        <is>
          <t>18:24:35</t>
        </is>
      </c>
      <c r="M3351" t="inlineStr">
        <is>
          <t>18:24:50</t>
        </is>
      </c>
    </row>
    <row r="3352" ht="15" customHeight="1" s="37">
      <c r="A3352" t="n">
        <v>24</v>
      </c>
      <c r="B3352" s="10" t="inlineStr">
        <is>
          <t>休日</t>
        </is>
      </c>
      <c r="C3352" s="10" t="inlineStr">
        <is>
          <t>北野線</t>
        </is>
      </c>
      <c r="D3352" s="10" t="inlineStr">
        <is>
          <t>上り</t>
        </is>
      </c>
      <c r="E3352" t="inlineStr">
        <is>
          <t>1854</t>
        </is>
      </c>
      <c r="F3352" t="inlineStr">
        <is>
          <t>0304</t>
        </is>
      </c>
      <c r="G3352" s="10" t="inlineStr">
        <is>
          <t>龍安寺</t>
        </is>
      </c>
      <c r="H3352" s="10" t="inlineStr">
        <is>
          <t>発</t>
        </is>
      </c>
      <c r="J3352" s="10" t="inlineStr">
        <is>
          <t>営業</t>
        </is>
      </c>
      <c r="L3352" t="inlineStr">
        <is>
          <t>18:25:45</t>
        </is>
      </c>
      <c r="M3352" t="inlineStr">
        <is>
          <t>18:25:55</t>
        </is>
      </c>
    </row>
    <row r="3353" ht="15" customHeight="1" s="37">
      <c r="A3353" t="n">
        <v>24</v>
      </c>
      <c r="B3353" s="10" t="inlineStr">
        <is>
          <t>休日</t>
        </is>
      </c>
      <c r="C3353" s="10" t="inlineStr">
        <is>
          <t>北野線</t>
        </is>
      </c>
      <c r="D3353" s="10" t="inlineStr">
        <is>
          <t>上り</t>
        </is>
      </c>
      <c r="E3353" t="inlineStr">
        <is>
          <t>1854</t>
        </is>
      </c>
      <c r="F3353" t="inlineStr">
        <is>
          <t>0304</t>
        </is>
      </c>
      <c r="G3353" s="10" t="inlineStr">
        <is>
          <t>等持院</t>
        </is>
      </c>
      <c r="H3353" s="10" t="inlineStr">
        <is>
          <t>発</t>
        </is>
      </c>
      <c r="J3353" s="10" t="inlineStr">
        <is>
          <t>営業</t>
        </is>
      </c>
      <c r="L3353" t="inlineStr">
        <is>
          <t>18:26:35</t>
        </is>
      </c>
      <c r="M3353" t="inlineStr">
        <is>
          <t>18:26:55</t>
        </is>
      </c>
    </row>
    <row r="3354" ht="15" customHeight="1" s="37">
      <c r="A3354" t="n">
        <v>24</v>
      </c>
      <c r="B3354" s="10" t="inlineStr">
        <is>
          <t>休日</t>
        </is>
      </c>
      <c r="C3354" s="10" t="inlineStr">
        <is>
          <t>北野線</t>
        </is>
      </c>
      <c r="D3354" s="10" t="inlineStr">
        <is>
          <t>上り</t>
        </is>
      </c>
      <c r="E3354" t="inlineStr">
        <is>
          <t>1854</t>
        </is>
      </c>
      <c r="F3354" t="inlineStr">
        <is>
          <t>0304</t>
        </is>
      </c>
      <c r="G3354" s="10" t="inlineStr">
        <is>
          <t>北野白梅町</t>
        </is>
      </c>
      <c r="H3354" s="10" t="inlineStr">
        <is>
          <t>着</t>
        </is>
      </c>
      <c r="J3354" s="10" t="inlineStr">
        <is>
          <t>営業</t>
        </is>
      </c>
      <c r="L3354" t="inlineStr">
        <is>
          <t>18:28:15</t>
        </is>
      </c>
      <c r="N3354" t="inlineStr">
        <is>
          <t>○</t>
        </is>
      </c>
      <c r="Q3354" t="inlineStr">
        <is>
          <t>1</t>
        </is>
      </c>
    </row>
    <row r="3355" ht="15" customHeight="1" s="37">
      <c r="A3355" t="n">
        <v>24</v>
      </c>
      <c r="B3355" s="10" t="inlineStr">
        <is>
          <t>休日</t>
        </is>
      </c>
      <c r="C3355" s="10" t="inlineStr">
        <is>
          <t>北野線</t>
        </is>
      </c>
      <c r="D3355" s="10" t="inlineStr">
        <is>
          <t>下り</t>
        </is>
      </c>
      <c r="E3355" t="inlineStr">
        <is>
          <t>1857</t>
        </is>
      </c>
      <c r="F3355" t="inlineStr">
        <is>
          <t>0453</t>
        </is>
      </c>
      <c r="G3355" s="10" t="inlineStr">
        <is>
          <t>北野白梅町</t>
        </is>
      </c>
      <c r="H3355" s="10" t="inlineStr">
        <is>
          <t>発</t>
        </is>
      </c>
      <c r="J3355" s="10" t="inlineStr">
        <is>
          <t>営業</t>
        </is>
      </c>
      <c r="M3355" t="inlineStr">
        <is>
          <t>18:33:00</t>
        </is>
      </c>
      <c r="Q3355" t="inlineStr">
        <is>
          <t>1</t>
        </is>
      </c>
    </row>
    <row r="3356" ht="15" customHeight="1" s="37">
      <c r="A3356" t="n">
        <v>24</v>
      </c>
      <c r="B3356" s="10" t="inlineStr">
        <is>
          <t>休日</t>
        </is>
      </c>
      <c r="C3356" s="10" t="inlineStr">
        <is>
          <t>北野線</t>
        </is>
      </c>
      <c r="D3356" s="10" t="inlineStr">
        <is>
          <t>下り</t>
        </is>
      </c>
      <c r="E3356" t="inlineStr">
        <is>
          <t>1857</t>
        </is>
      </c>
      <c r="F3356" t="inlineStr">
        <is>
          <t>0453</t>
        </is>
      </c>
      <c r="G3356" s="10" t="inlineStr">
        <is>
          <t>等持院</t>
        </is>
      </c>
      <c r="H3356" s="10" t="inlineStr">
        <is>
          <t>発</t>
        </is>
      </c>
      <c r="J3356" s="10" t="inlineStr">
        <is>
          <t>営業</t>
        </is>
      </c>
      <c r="L3356" t="inlineStr">
        <is>
          <t>18:34:25</t>
        </is>
      </c>
      <c r="M3356" t="inlineStr">
        <is>
          <t>18:34:35</t>
        </is>
      </c>
    </row>
    <row r="3357" ht="15" customHeight="1" s="37">
      <c r="A3357" t="n">
        <v>24</v>
      </c>
      <c r="B3357" s="10" t="inlineStr">
        <is>
          <t>休日</t>
        </is>
      </c>
      <c r="C3357" s="10" t="inlineStr">
        <is>
          <t>北野線</t>
        </is>
      </c>
      <c r="D3357" s="10" t="inlineStr">
        <is>
          <t>下り</t>
        </is>
      </c>
      <c r="E3357" t="inlineStr">
        <is>
          <t>1857</t>
        </is>
      </c>
      <c r="F3357" t="inlineStr">
        <is>
          <t>0453</t>
        </is>
      </c>
      <c r="G3357" s="10" t="inlineStr">
        <is>
          <t>龍安寺</t>
        </is>
      </c>
      <c r="H3357" s="10" t="inlineStr">
        <is>
          <t>発</t>
        </is>
      </c>
      <c r="J3357" s="10" t="inlineStr">
        <is>
          <t>営業</t>
        </is>
      </c>
      <c r="L3357" t="inlineStr">
        <is>
          <t>18:35:25</t>
        </is>
      </c>
      <c r="M3357" t="inlineStr">
        <is>
          <t>18:35:50</t>
        </is>
      </c>
    </row>
    <row r="3358" ht="15" customHeight="1" s="37">
      <c r="A3358" t="n">
        <v>24</v>
      </c>
      <c r="B3358" s="10" t="inlineStr">
        <is>
          <t>休日</t>
        </is>
      </c>
      <c r="C3358" s="10" t="inlineStr">
        <is>
          <t>北野線</t>
        </is>
      </c>
      <c r="D3358" s="10" t="inlineStr">
        <is>
          <t>下り</t>
        </is>
      </c>
      <c r="E3358" t="inlineStr">
        <is>
          <t>1857</t>
        </is>
      </c>
      <c r="F3358" t="inlineStr">
        <is>
          <t>0453</t>
        </is>
      </c>
      <c r="G3358" s="10" t="inlineStr">
        <is>
          <t>妙心寺</t>
        </is>
      </c>
      <c r="H3358" s="10" t="inlineStr">
        <is>
          <t>発</t>
        </is>
      </c>
      <c r="J3358" s="10" t="inlineStr">
        <is>
          <t>営業</t>
        </is>
      </c>
      <c r="L3358" t="inlineStr">
        <is>
          <t>18:36:40</t>
        </is>
      </c>
      <c r="M3358" t="inlineStr">
        <is>
          <t>18:36:50</t>
        </is>
      </c>
    </row>
    <row r="3359" ht="15" customHeight="1" s="37">
      <c r="A3359" t="n">
        <v>24</v>
      </c>
      <c r="B3359" s="10" t="inlineStr">
        <is>
          <t>休日</t>
        </is>
      </c>
      <c r="C3359" s="10" t="inlineStr">
        <is>
          <t>北野線</t>
        </is>
      </c>
      <c r="D3359" s="10" t="inlineStr">
        <is>
          <t>下り</t>
        </is>
      </c>
      <c r="E3359" t="inlineStr">
        <is>
          <t>1857</t>
        </is>
      </c>
      <c r="F3359" t="inlineStr">
        <is>
          <t>0453</t>
        </is>
      </c>
      <c r="G3359" s="10" t="inlineStr">
        <is>
          <t>御室仁和寺</t>
        </is>
      </c>
      <c r="H3359" s="10" t="inlineStr">
        <is>
          <t>発</t>
        </is>
      </c>
      <c r="J3359" s="10" t="inlineStr">
        <is>
          <t>営業</t>
        </is>
      </c>
      <c r="L3359" t="inlineStr">
        <is>
          <t>18:37:50</t>
        </is>
      </c>
      <c r="M3359" t="inlineStr">
        <is>
          <t>18:38:05</t>
        </is>
      </c>
    </row>
    <row r="3360" ht="15" customHeight="1" s="37">
      <c r="A3360" t="n">
        <v>24</v>
      </c>
      <c r="B3360" s="10" t="inlineStr">
        <is>
          <t>休日</t>
        </is>
      </c>
      <c r="C3360" s="10" t="inlineStr">
        <is>
          <t>北野線</t>
        </is>
      </c>
      <c r="D3360" s="10" t="inlineStr">
        <is>
          <t>下り</t>
        </is>
      </c>
      <c r="E3360" t="inlineStr">
        <is>
          <t>1857</t>
        </is>
      </c>
      <c r="F3360" t="inlineStr">
        <is>
          <t>0453</t>
        </is>
      </c>
      <c r="G3360" s="10" t="inlineStr">
        <is>
          <t>宇多野</t>
        </is>
      </c>
      <c r="H3360" s="10" t="inlineStr">
        <is>
          <t>発</t>
        </is>
      </c>
      <c r="J3360" s="10" t="inlineStr">
        <is>
          <t>営業</t>
        </is>
      </c>
      <c r="L3360" t="inlineStr">
        <is>
          <t>18:39:05</t>
        </is>
      </c>
      <c r="M3360" t="inlineStr">
        <is>
          <t>18:39:15</t>
        </is>
      </c>
    </row>
    <row r="3361" ht="15" customHeight="1" s="37">
      <c r="A3361" t="n">
        <v>24</v>
      </c>
      <c r="B3361" s="10" t="inlineStr">
        <is>
          <t>休日</t>
        </is>
      </c>
      <c r="C3361" s="10" t="inlineStr">
        <is>
          <t>北野線</t>
        </is>
      </c>
      <c r="D3361" s="10" t="inlineStr">
        <is>
          <t>下り</t>
        </is>
      </c>
      <c r="E3361" t="inlineStr">
        <is>
          <t>1857</t>
        </is>
      </c>
      <c r="F3361" t="inlineStr">
        <is>
          <t>0453</t>
        </is>
      </c>
      <c r="G3361" s="10" t="inlineStr">
        <is>
          <t>鳴滝</t>
        </is>
      </c>
      <c r="H3361" s="10" t="inlineStr">
        <is>
          <t>発</t>
        </is>
      </c>
      <c r="J3361" s="10" t="inlineStr">
        <is>
          <t>営業</t>
        </is>
      </c>
      <c r="L3361" t="inlineStr">
        <is>
          <t>18:40:35</t>
        </is>
      </c>
      <c r="M3361" t="inlineStr">
        <is>
          <t>18:40:45</t>
        </is>
      </c>
    </row>
    <row r="3362" ht="15" customHeight="1" s="37">
      <c r="A3362" t="n">
        <v>24</v>
      </c>
      <c r="B3362" s="10" t="inlineStr">
        <is>
          <t>休日</t>
        </is>
      </c>
      <c r="C3362" s="10" t="inlineStr">
        <is>
          <t>北野線</t>
        </is>
      </c>
      <c r="D3362" s="10" t="inlineStr">
        <is>
          <t>下り</t>
        </is>
      </c>
      <c r="E3362" t="inlineStr">
        <is>
          <t>1857</t>
        </is>
      </c>
      <c r="F3362" t="inlineStr">
        <is>
          <t>0453</t>
        </is>
      </c>
      <c r="G3362" s="10" t="inlineStr">
        <is>
          <t>常盤</t>
        </is>
      </c>
      <c r="H3362" s="10" t="inlineStr">
        <is>
          <t>発</t>
        </is>
      </c>
      <c r="J3362" s="10" t="inlineStr">
        <is>
          <t>営業</t>
        </is>
      </c>
      <c r="L3362" t="inlineStr">
        <is>
          <t>18:41:35</t>
        </is>
      </c>
      <c r="M3362" t="inlineStr">
        <is>
          <t>18:41:55</t>
        </is>
      </c>
    </row>
    <row r="3363" ht="15" customHeight="1" s="37">
      <c r="A3363" t="n">
        <v>24</v>
      </c>
      <c r="B3363" s="10" t="inlineStr">
        <is>
          <t>休日</t>
        </is>
      </c>
      <c r="C3363" s="10" t="inlineStr">
        <is>
          <t>北野線</t>
        </is>
      </c>
      <c r="D3363" s="10" t="inlineStr">
        <is>
          <t>下り</t>
        </is>
      </c>
      <c r="E3363" t="inlineStr">
        <is>
          <t>1857</t>
        </is>
      </c>
      <c r="F3363" t="inlineStr">
        <is>
          <t>0453</t>
        </is>
      </c>
      <c r="G3363" s="10" t="inlineStr">
        <is>
          <t>撮影所前</t>
        </is>
      </c>
      <c r="H3363" s="10" t="inlineStr">
        <is>
          <t>発</t>
        </is>
      </c>
      <c r="J3363" s="10" t="inlineStr">
        <is>
          <t>営業</t>
        </is>
      </c>
      <c r="L3363" t="inlineStr">
        <is>
          <t>18:43:15</t>
        </is>
      </c>
      <c r="M3363" t="inlineStr">
        <is>
          <t>18:43:30</t>
        </is>
      </c>
    </row>
    <row r="3364" ht="15" customHeight="1" s="37">
      <c r="A3364" t="n">
        <v>24</v>
      </c>
      <c r="B3364" s="10" t="inlineStr">
        <is>
          <t>休日</t>
        </is>
      </c>
      <c r="C3364" s="10" t="inlineStr">
        <is>
          <t>北野線</t>
        </is>
      </c>
      <c r="D3364" s="10" t="inlineStr">
        <is>
          <t>下り</t>
        </is>
      </c>
      <c r="E3364" t="inlineStr">
        <is>
          <t>1857</t>
        </is>
      </c>
      <c r="F3364" t="inlineStr">
        <is>
          <t>0453</t>
        </is>
      </c>
      <c r="G3364" s="10" t="inlineStr">
        <is>
          <t>帷子ノ辻</t>
        </is>
      </c>
      <c r="H3364" s="10" t="inlineStr">
        <is>
          <t>着</t>
        </is>
      </c>
      <c r="J3364" s="10" t="inlineStr">
        <is>
          <t>営業</t>
        </is>
      </c>
      <c r="L3364" t="inlineStr">
        <is>
          <t>18:44:25</t>
        </is>
      </c>
      <c r="Q3364" t="inlineStr">
        <is>
          <t>3</t>
        </is>
      </c>
    </row>
    <row r="3365" ht="15" customHeight="1" s="37">
      <c r="A3365" t="n">
        <v>24</v>
      </c>
      <c r="B3365" s="10" t="inlineStr">
        <is>
          <t>休日</t>
        </is>
      </c>
      <c r="C3365" s="10" t="inlineStr">
        <is>
          <t>北野線</t>
        </is>
      </c>
      <c r="D3365" s="10" t="inlineStr">
        <is>
          <t>上り</t>
        </is>
      </c>
      <c r="E3365" t="inlineStr">
        <is>
          <t>1862</t>
        </is>
      </c>
      <c r="F3365" t="inlineStr">
        <is>
          <t>0304</t>
        </is>
      </c>
      <c r="G3365" s="10" t="inlineStr">
        <is>
          <t>帷子ノ辻</t>
        </is>
      </c>
      <c r="H3365" s="10" t="inlineStr">
        <is>
          <t>発</t>
        </is>
      </c>
      <c r="J3365" s="10" t="inlineStr">
        <is>
          <t>営業</t>
        </is>
      </c>
      <c r="M3365" t="inlineStr">
        <is>
          <t>18:56:25</t>
        </is>
      </c>
      <c r="Q3365" t="inlineStr">
        <is>
          <t>3</t>
        </is>
      </c>
      <c r="U3365" t="inlineStr">
        <is>
          <t>→帷子ノ辻 休憩(19:24〜20:26)</t>
        </is>
      </c>
    </row>
    <row r="3366" ht="15" customHeight="1" s="37">
      <c r="A3366" t="n">
        <v>24</v>
      </c>
      <c r="B3366" s="10" t="inlineStr">
        <is>
          <t>休日</t>
        </is>
      </c>
      <c r="C3366" s="10" t="inlineStr">
        <is>
          <t>北野線</t>
        </is>
      </c>
      <c r="D3366" s="10" t="inlineStr">
        <is>
          <t>上り</t>
        </is>
      </c>
      <c r="E3366" t="inlineStr">
        <is>
          <t>1862</t>
        </is>
      </c>
      <c r="F3366" t="inlineStr">
        <is>
          <t>0304</t>
        </is>
      </c>
      <c r="G3366" s="10" t="inlineStr">
        <is>
          <t>撮影所前</t>
        </is>
      </c>
      <c r="H3366" s="10" t="inlineStr">
        <is>
          <t>発</t>
        </is>
      </c>
      <c r="J3366" s="10" t="inlineStr">
        <is>
          <t>営業</t>
        </is>
      </c>
      <c r="L3366" t="inlineStr">
        <is>
          <t>18:57:25</t>
        </is>
      </c>
      <c r="M3366" t="inlineStr">
        <is>
          <t>18:57:40</t>
        </is>
      </c>
      <c r="U3366" t="inlineStr">
        <is>
          <t>→帷子ノ辻 休憩(19:24〜20:26)</t>
        </is>
      </c>
    </row>
    <row r="3367" ht="15" customHeight="1" s="37">
      <c r="A3367" t="n">
        <v>24</v>
      </c>
      <c r="B3367" s="10" t="inlineStr">
        <is>
          <t>休日</t>
        </is>
      </c>
      <c r="C3367" s="10" t="inlineStr">
        <is>
          <t>北野線</t>
        </is>
      </c>
      <c r="D3367" s="10" t="inlineStr">
        <is>
          <t>上り</t>
        </is>
      </c>
      <c r="E3367" t="inlineStr">
        <is>
          <t>1862</t>
        </is>
      </c>
      <c r="F3367" t="inlineStr">
        <is>
          <t>0304</t>
        </is>
      </c>
      <c r="G3367" s="10" t="inlineStr">
        <is>
          <t>常盤</t>
        </is>
      </c>
      <c r="H3367" s="10" t="inlineStr">
        <is>
          <t>発</t>
        </is>
      </c>
      <c r="J3367" s="10" t="inlineStr">
        <is>
          <t>営業</t>
        </is>
      </c>
      <c r="L3367" t="inlineStr">
        <is>
          <t>18:59:00</t>
        </is>
      </c>
      <c r="M3367" t="inlineStr">
        <is>
          <t>18:59:20</t>
        </is>
      </c>
      <c r="U3367" t="inlineStr">
        <is>
          <t>→帷子ノ辻 休憩(19:24〜20:26)</t>
        </is>
      </c>
    </row>
    <row r="3368" ht="15" customHeight="1" s="37">
      <c r="A3368" t="n">
        <v>24</v>
      </c>
      <c r="B3368" s="10" t="inlineStr">
        <is>
          <t>休日</t>
        </is>
      </c>
      <c r="C3368" s="10" t="inlineStr">
        <is>
          <t>北野線</t>
        </is>
      </c>
      <c r="D3368" s="10" t="inlineStr">
        <is>
          <t>上り</t>
        </is>
      </c>
      <c r="E3368" t="inlineStr">
        <is>
          <t>1862</t>
        </is>
      </c>
      <c r="F3368" t="inlineStr">
        <is>
          <t>0304</t>
        </is>
      </c>
      <c r="G3368" s="10" t="inlineStr">
        <is>
          <t>鳴滝</t>
        </is>
      </c>
      <c r="H3368" s="10" t="inlineStr">
        <is>
          <t>発</t>
        </is>
      </c>
      <c r="J3368" s="10" t="inlineStr">
        <is>
          <t>営業</t>
        </is>
      </c>
      <c r="L3368" t="inlineStr">
        <is>
          <t>19:00:20</t>
        </is>
      </c>
      <c r="M3368" t="inlineStr">
        <is>
          <t>19:00:40</t>
        </is>
      </c>
      <c r="U3368" t="inlineStr">
        <is>
          <t>→帷子ノ辻 休憩(19:24〜20:26)</t>
        </is>
      </c>
    </row>
    <row r="3369" ht="15" customHeight="1" s="37">
      <c r="A3369" t="n">
        <v>24</v>
      </c>
      <c r="B3369" s="10" t="inlineStr">
        <is>
          <t>休日</t>
        </is>
      </c>
      <c r="C3369" s="10" t="inlineStr">
        <is>
          <t>北野線</t>
        </is>
      </c>
      <c r="D3369" s="10" t="inlineStr">
        <is>
          <t>上り</t>
        </is>
      </c>
      <c r="E3369" t="inlineStr">
        <is>
          <t>1862</t>
        </is>
      </c>
      <c r="F3369" t="inlineStr">
        <is>
          <t>0304</t>
        </is>
      </c>
      <c r="G3369" s="10" t="inlineStr">
        <is>
          <t>宇多野</t>
        </is>
      </c>
      <c r="H3369" s="10" t="inlineStr">
        <is>
          <t>発</t>
        </is>
      </c>
      <c r="J3369" s="10" t="inlineStr">
        <is>
          <t>営業</t>
        </is>
      </c>
      <c r="L3369" t="inlineStr">
        <is>
          <t>19:02:00</t>
        </is>
      </c>
      <c r="M3369" t="inlineStr">
        <is>
          <t>19:02:15</t>
        </is>
      </c>
      <c r="U3369" t="inlineStr">
        <is>
          <t>→帷子ノ辻 休憩(19:24〜20:26)</t>
        </is>
      </c>
    </row>
    <row r="3370" ht="15" customHeight="1" s="37">
      <c r="A3370" t="n">
        <v>24</v>
      </c>
      <c r="B3370" s="10" t="inlineStr">
        <is>
          <t>休日</t>
        </is>
      </c>
      <c r="C3370" s="10" t="inlineStr">
        <is>
          <t>北野線</t>
        </is>
      </c>
      <c r="D3370" s="10" t="inlineStr">
        <is>
          <t>上り</t>
        </is>
      </c>
      <c r="E3370" t="inlineStr">
        <is>
          <t>1862</t>
        </is>
      </c>
      <c r="F3370" t="inlineStr">
        <is>
          <t>0304</t>
        </is>
      </c>
      <c r="G3370" s="10" t="inlineStr">
        <is>
          <t>御室仁和寺</t>
        </is>
      </c>
      <c r="H3370" s="10" t="inlineStr">
        <is>
          <t>発</t>
        </is>
      </c>
      <c r="J3370" s="10" t="inlineStr">
        <is>
          <t>営業</t>
        </is>
      </c>
      <c r="L3370" t="inlineStr">
        <is>
          <t>19:03:15</t>
        </is>
      </c>
      <c r="M3370" t="inlineStr">
        <is>
          <t>19:03:35</t>
        </is>
      </c>
      <c r="U3370" t="inlineStr">
        <is>
          <t>→帷子ノ辻 休憩(19:24〜20:26)</t>
        </is>
      </c>
    </row>
    <row r="3371" ht="15" customHeight="1" s="37">
      <c r="A3371" t="n">
        <v>24</v>
      </c>
      <c r="B3371" s="10" t="inlineStr">
        <is>
          <t>休日</t>
        </is>
      </c>
      <c r="C3371" s="10" t="inlineStr">
        <is>
          <t>北野線</t>
        </is>
      </c>
      <c r="D3371" s="10" t="inlineStr">
        <is>
          <t>上り</t>
        </is>
      </c>
      <c r="E3371" t="inlineStr">
        <is>
          <t>1862</t>
        </is>
      </c>
      <c r="F3371" t="inlineStr">
        <is>
          <t>0304</t>
        </is>
      </c>
      <c r="G3371" s="10" t="inlineStr">
        <is>
          <t>妙心寺</t>
        </is>
      </c>
      <c r="H3371" s="10" t="inlineStr">
        <is>
          <t>発</t>
        </is>
      </c>
      <c r="J3371" s="10" t="inlineStr">
        <is>
          <t>営業</t>
        </is>
      </c>
      <c r="L3371" t="inlineStr">
        <is>
          <t>19:04:35</t>
        </is>
      </c>
      <c r="M3371" t="inlineStr">
        <is>
          <t>19:04:50</t>
        </is>
      </c>
      <c r="U3371" t="inlineStr">
        <is>
          <t>→帷子ノ辻 休憩(19:24〜20:26)</t>
        </is>
      </c>
    </row>
    <row r="3372" ht="15" customHeight="1" s="37">
      <c r="A3372" t="n">
        <v>24</v>
      </c>
      <c r="B3372" s="10" t="inlineStr">
        <is>
          <t>休日</t>
        </is>
      </c>
      <c r="C3372" s="10" t="inlineStr">
        <is>
          <t>北野線</t>
        </is>
      </c>
      <c r="D3372" s="10" t="inlineStr">
        <is>
          <t>上り</t>
        </is>
      </c>
      <c r="E3372" t="inlineStr">
        <is>
          <t>1862</t>
        </is>
      </c>
      <c r="F3372" t="inlineStr">
        <is>
          <t>0304</t>
        </is>
      </c>
      <c r="G3372" s="10" t="inlineStr">
        <is>
          <t>龍安寺</t>
        </is>
      </c>
      <c r="H3372" s="10" t="inlineStr">
        <is>
          <t>発</t>
        </is>
      </c>
      <c r="J3372" s="10" t="inlineStr">
        <is>
          <t>営業</t>
        </is>
      </c>
      <c r="L3372" t="inlineStr">
        <is>
          <t>19:05:45</t>
        </is>
      </c>
      <c r="M3372" t="inlineStr">
        <is>
          <t>19:05:55</t>
        </is>
      </c>
      <c r="U3372" t="inlineStr">
        <is>
          <t>→帷子ノ辻 休憩(19:24〜20:26)</t>
        </is>
      </c>
    </row>
    <row r="3373" ht="15" customHeight="1" s="37">
      <c r="A3373" t="n">
        <v>24</v>
      </c>
      <c r="B3373" s="10" t="inlineStr">
        <is>
          <t>休日</t>
        </is>
      </c>
      <c r="C3373" s="10" t="inlineStr">
        <is>
          <t>北野線</t>
        </is>
      </c>
      <c r="D3373" s="10" t="inlineStr">
        <is>
          <t>上り</t>
        </is>
      </c>
      <c r="E3373" t="inlineStr">
        <is>
          <t>1862</t>
        </is>
      </c>
      <c r="F3373" t="inlineStr">
        <is>
          <t>0304</t>
        </is>
      </c>
      <c r="G3373" s="10" t="inlineStr">
        <is>
          <t>等持院</t>
        </is>
      </c>
      <c r="H3373" s="10" t="inlineStr">
        <is>
          <t>発</t>
        </is>
      </c>
      <c r="J3373" s="10" t="inlineStr">
        <is>
          <t>営業</t>
        </is>
      </c>
      <c r="L3373" t="inlineStr">
        <is>
          <t>19:06:35</t>
        </is>
      </c>
      <c r="M3373" t="inlineStr">
        <is>
          <t>19:06:55</t>
        </is>
      </c>
      <c r="U3373" t="inlineStr">
        <is>
          <t>→帷子ノ辻 休憩(19:24〜20:26)</t>
        </is>
      </c>
    </row>
    <row r="3374" ht="15" customHeight="1" s="37">
      <c r="A3374" t="n">
        <v>24</v>
      </c>
      <c r="B3374" s="10" t="inlineStr">
        <is>
          <t>休日</t>
        </is>
      </c>
      <c r="C3374" s="10" t="inlineStr">
        <is>
          <t>北野線</t>
        </is>
      </c>
      <c r="D3374" s="10" t="inlineStr">
        <is>
          <t>上り</t>
        </is>
      </c>
      <c r="E3374" t="inlineStr">
        <is>
          <t>1862</t>
        </is>
      </c>
      <c r="F3374" t="inlineStr">
        <is>
          <t>0304</t>
        </is>
      </c>
      <c r="G3374" s="10" t="inlineStr">
        <is>
          <t>北野白梅町</t>
        </is>
      </c>
      <c r="H3374" s="10" t="inlineStr">
        <is>
          <t>着</t>
        </is>
      </c>
      <c r="J3374" s="10" t="inlineStr">
        <is>
          <t>営業</t>
        </is>
      </c>
      <c r="L3374" t="inlineStr">
        <is>
          <t>19:08:15</t>
        </is>
      </c>
      <c r="N3374" t="inlineStr">
        <is>
          <t>○</t>
        </is>
      </c>
      <c r="Q3374" t="inlineStr">
        <is>
          <t>1</t>
        </is>
      </c>
      <c r="U3374" t="inlineStr">
        <is>
          <t>→帷子ノ辻 休憩(19:24〜20:26)</t>
        </is>
      </c>
    </row>
    <row r="3375" ht="15" customHeight="1" s="37">
      <c r="A3375" t="n">
        <v>24</v>
      </c>
      <c r="B3375" s="10" t="inlineStr">
        <is>
          <t>休日</t>
        </is>
      </c>
      <c r="C3375" s="10" t="inlineStr">
        <is>
          <t>北野線</t>
        </is>
      </c>
      <c r="D3375" s="10" t="inlineStr">
        <is>
          <t>下り</t>
        </is>
      </c>
      <c r="E3375" t="inlineStr">
        <is>
          <t>1953</t>
        </is>
      </c>
      <c r="F3375" t="inlineStr">
        <is>
          <t>0453</t>
        </is>
      </c>
      <c r="G3375" s="10" t="inlineStr">
        <is>
          <t>北野白梅町</t>
        </is>
      </c>
      <c r="H3375" s="10" t="inlineStr">
        <is>
          <t>発</t>
        </is>
      </c>
      <c r="J3375" s="10" t="inlineStr">
        <is>
          <t>営業</t>
        </is>
      </c>
      <c r="M3375" t="inlineStr">
        <is>
          <t>19:13:00</t>
        </is>
      </c>
      <c r="Q3375" t="inlineStr">
        <is>
          <t>1</t>
        </is>
      </c>
      <c r="U3375" t="inlineStr">
        <is>
          <t>→帷子ノ辻 休憩(19:24〜20:26)</t>
        </is>
      </c>
    </row>
    <row r="3376" ht="15" customHeight="1" s="37">
      <c r="A3376" t="n">
        <v>24</v>
      </c>
      <c r="B3376" s="10" t="inlineStr">
        <is>
          <t>休日</t>
        </is>
      </c>
      <c r="C3376" s="10" t="inlineStr">
        <is>
          <t>北野線</t>
        </is>
      </c>
      <c r="D3376" s="10" t="inlineStr">
        <is>
          <t>下り</t>
        </is>
      </c>
      <c r="E3376" t="inlineStr">
        <is>
          <t>1953</t>
        </is>
      </c>
      <c r="F3376" t="inlineStr">
        <is>
          <t>0453</t>
        </is>
      </c>
      <c r="G3376" s="10" t="inlineStr">
        <is>
          <t>等持院</t>
        </is>
      </c>
      <c r="H3376" s="10" t="inlineStr">
        <is>
          <t>発</t>
        </is>
      </c>
      <c r="J3376" s="10" t="inlineStr">
        <is>
          <t>営業</t>
        </is>
      </c>
      <c r="L3376" t="inlineStr">
        <is>
          <t>19:14:25</t>
        </is>
      </c>
      <c r="M3376" t="inlineStr">
        <is>
          <t>19:14:35</t>
        </is>
      </c>
      <c r="U3376" t="inlineStr">
        <is>
          <t>→帷子ノ辻 休憩(19:24〜20:26)</t>
        </is>
      </c>
    </row>
    <row r="3377" ht="15" customHeight="1" s="37">
      <c r="A3377" t="n">
        <v>24</v>
      </c>
      <c r="B3377" s="10" t="inlineStr">
        <is>
          <t>休日</t>
        </is>
      </c>
      <c r="C3377" s="10" t="inlineStr">
        <is>
          <t>北野線</t>
        </is>
      </c>
      <c r="D3377" s="10" t="inlineStr">
        <is>
          <t>下り</t>
        </is>
      </c>
      <c r="E3377" t="inlineStr">
        <is>
          <t>1953</t>
        </is>
      </c>
      <c r="F3377" t="inlineStr">
        <is>
          <t>0453</t>
        </is>
      </c>
      <c r="G3377" s="10" t="inlineStr">
        <is>
          <t>龍安寺</t>
        </is>
      </c>
      <c r="H3377" s="10" t="inlineStr">
        <is>
          <t>発</t>
        </is>
      </c>
      <c r="J3377" s="10" t="inlineStr">
        <is>
          <t>営業</t>
        </is>
      </c>
      <c r="L3377" t="inlineStr">
        <is>
          <t>19:15:25</t>
        </is>
      </c>
      <c r="M3377" t="inlineStr">
        <is>
          <t>19:15:50</t>
        </is>
      </c>
      <c r="U3377" t="inlineStr">
        <is>
          <t>→帷子ノ辻 休憩(19:24〜20:26)</t>
        </is>
      </c>
    </row>
    <row r="3378" ht="15" customHeight="1" s="37">
      <c r="A3378" t="n">
        <v>24</v>
      </c>
      <c r="B3378" s="10" t="inlineStr">
        <is>
          <t>休日</t>
        </is>
      </c>
      <c r="C3378" s="10" t="inlineStr">
        <is>
          <t>北野線</t>
        </is>
      </c>
      <c r="D3378" s="10" t="inlineStr">
        <is>
          <t>下り</t>
        </is>
      </c>
      <c r="E3378" t="inlineStr">
        <is>
          <t>1953</t>
        </is>
      </c>
      <c r="F3378" t="inlineStr">
        <is>
          <t>0453</t>
        </is>
      </c>
      <c r="G3378" s="10" t="inlineStr">
        <is>
          <t>妙心寺</t>
        </is>
      </c>
      <c r="H3378" s="10" t="inlineStr">
        <is>
          <t>発</t>
        </is>
      </c>
      <c r="J3378" s="10" t="inlineStr">
        <is>
          <t>営業</t>
        </is>
      </c>
      <c r="L3378" t="inlineStr">
        <is>
          <t>19:16:40</t>
        </is>
      </c>
      <c r="M3378" t="inlineStr">
        <is>
          <t>19:16:50</t>
        </is>
      </c>
      <c r="U3378" t="inlineStr">
        <is>
          <t>→帷子ノ辻 休憩(19:24〜20:26)</t>
        </is>
      </c>
    </row>
    <row r="3379" ht="15" customHeight="1" s="37">
      <c r="A3379" t="n">
        <v>24</v>
      </c>
      <c r="B3379" s="10" t="inlineStr">
        <is>
          <t>休日</t>
        </is>
      </c>
      <c r="C3379" s="10" t="inlineStr">
        <is>
          <t>北野線</t>
        </is>
      </c>
      <c r="D3379" s="10" t="inlineStr">
        <is>
          <t>下り</t>
        </is>
      </c>
      <c r="E3379" t="inlineStr">
        <is>
          <t>1953</t>
        </is>
      </c>
      <c r="F3379" t="inlineStr">
        <is>
          <t>0453</t>
        </is>
      </c>
      <c r="G3379" s="10" t="inlineStr">
        <is>
          <t>御室仁和寺</t>
        </is>
      </c>
      <c r="H3379" s="10" t="inlineStr">
        <is>
          <t>発</t>
        </is>
      </c>
      <c r="J3379" s="10" t="inlineStr">
        <is>
          <t>営業</t>
        </is>
      </c>
      <c r="L3379" t="inlineStr">
        <is>
          <t>19:17:50</t>
        </is>
      </c>
      <c r="M3379" t="inlineStr">
        <is>
          <t>19:18:05</t>
        </is>
      </c>
      <c r="U3379" t="inlineStr">
        <is>
          <t>→帷子ノ辻 休憩(19:24〜20:26)</t>
        </is>
      </c>
    </row>
    <row r="3380" ht="15" customHeight="1" s="37">
      <c r="A3380" t="n">
        <v>24</v>
      </c>
      <c r="B3380" s="10" t="inlineStr">
        <is>
          <t>休日</t>
        </is>
      </c>
      <c r="C3380" s="10" t="inlineStr">
        <is>
          <t>北野線</t>
        </is>
      </c>
      <c r="D3380" s="10" t="inlineStr">
        <is>
          <t>下り</t>
        </is>
      </c>
      <c r="E3380" t="inlineStr">
        <is>
          <t>1953</t>
        </is>
      </c>
      <c r="F3380" t="inlineStr">
        <is>
          <t>0453</t>
        </is>
      </c>
      <c r="G3380" s="10" t="inlineStr">
        <is>
          <t>宇多野</t>
        </is>
      </c>
      <c r="H3380" s="10" t="inlineStr">
        <is>
          <t>発</t>
        </is>
      </c>
      <c r="J3380" s="10" t="inlineStr">
        <is>
          <t>営業</t>
        </is>
      </c>
      <c r="L3380" t="inlineStr">
        <is>
          <t>19:19:05</t>
        </is>
      </c>
      <c r="M3380" t="inlineStr">
        <is>
          <t>19:19:15</t>
        </is>
      </c>
      <c r="U3380" t="inlineStr">
        <is>
          <t>→帷子ノ辻 休憩(19:24〜20:26)</t>
        </is>
      </c>
    </row>
    <row r="3381" ht="15" customHeight="1" s="37">
      <c r="A3381" t="n">
        <v>24</v>
      </c>
      <c r="B3381" s="10" t="inlineStr">
        <is>
          <t>休日</t>
        </is>
      </c>
      <c r="C3381" s="10" t="inlineStr">
        <is>
          <t>北野線</t>
        </is>
      </c>
      <c r="D3381" s="10" t="inlineStr">
        <is>
          <t>下り</t>
        </is>
      </c>
      <c r="E3381" t="inlineStr">
        <is>
          <t>1953</t>
        </is>
      </c>
      <c r="F3381" t="inlineStr">
        <is>
          <t>0453</t>
        </is>
      </c>
      <c r="G3381" s="10" t="inlineStr">
        <is>
          <t>鳴滝</t>
        </is>
      </c>
      <c r="H3381" s="10" t="inlineStr">
        <is>
          <t>発</t>
        </is>
      </c>
      <c r="J3381" s="10" t="inlineStr">
        <is>
          <t>営業</t>
        </is>
      </c>
      <c r="L3381" t="inlineStr">
        <is>
          <t>19:20:35</t>
        </is>
      </c>
      <c r="M3381" t="inlineStr">
        <is>
          <t>19:20:45</t>
        </is>
      </c>
      <c r="U3381" t="inlineStr">
        <is>
          <t>→帷子ノ辻 休憩(19:24〜20:26)</t>
        </is>
      </c>
    </row>
    <row r="3382" ht="15" customHeight="1" s="37">
      <c r="A3382" t="n">
        <v>24</v>
      </c>
      <c r="B3382" s="10" t="inlineStr">
        <is>
          <t>休日</t>
        </is>
      </c>
      <c r="C3382" s="10" t="inlineStr">
        <is>
          <t>北野線</t>
        </is>
      </c>
      <c r="D3382" s="10" t="inlineStr">
        <is>
          <t>下り</t>
        </is>
      </c>
      <c r="E3382" t="inlineStr">
        <is>
          <t>1953</t>
        </is>
      </c>
      <c r="F3382" t="inlineStr">
        <is>
          <t>0453</t>
        </is>
      </c>
      <c r="G3382" s="10" t="inlineStr">
        <is>
          <t>常盤</t>
        </is>
      </c>
      <c r="H3382" s="10" t="inlineStr">
        <is>
          <t>発</t>
        </is>
      </c>
      <c r="J3382" s="10" t="inlineStr">
        <is>
          <t>営業</t>
        </is>
      </c>
      <c r="L3382" t="inlineStr">
        <is>
          <t>19:21:35</t>
        </is>
      </c>
      <c r="M3382" t="inlineStr">
        <is>
          <t>19:21:55</t>
        </is>
      </c>
      <c r="U3382" t="inlineStr">
        <is>
          <t>→帷子ノ辻 休憩(19:24〜20:26)</t>
        </is>
      </c>
    </row>
    <row r="3383" ht="15" customHeight="1" s="37">
      <c r="A3383" t="n">
        <v>24</v>
      </c>
      <c r="B3383" s="10" t="inlineStr">
        <is>
          <t>休日</t>
        </is>
      </c>
      <c r="C3383" s="10" t="inlineStr">
        <is>
          <t>北野線</t>
        </is>
      </c>
      <c r="D3383" s="10" t="inlineStr">
        <is>
          <t>下り</t>
        </is>
      </c>
      <c r="E3383" t="inlineStr">
        <is>
          <t>1953</t>
        </is>
      </c>
      <c r="F3383" t="inlineStr">
        <is>
          <t>0453</t>
        </is>
      </c>
      <c r="G3383" s="10" t="inlineStr">
        <is>
          <t>撮影所前</t>
        </is>
      </c>
      <c r="H3383" s="10" t="inlineStr">
        <is>
          <t>発</t>
        </is>
      </c>
      <c r="J3383" s="10" t="inlineStr">
        <is>
          <t>営業</t>
        </is>
      </c>
      <c r="L3383" t="inlineStr">
        <is>
          <t>19:23:15</t>
        </is>
      </c>
      <c r="M3383" t="inlineStr">
        <is>
          <t>19:23:30</t>
        </is>
      </c>
      <c r="U3383" t="inlineStr">
        <is>
          <t>→帷子ノ辻 休憩(19:24〜20:26)</t>
        </is>
      </c>
    </row>
    <row r="3384" ht="15" customHeight="1" s="37">
      <c r="A3384" t="n">
        <v>24</v>
      </c>
      <c r="B3384" s="10" t="inlineStr">
        <is>
          <t>休日</t>
        </is>
      </c>
      <c r="C3384" s="10" t="inlineStr">
        <is>
          <t>北野線</t>
        </is>
      </c>
      <c r="D3384" s="10" t="inlineStr">
        <is>
          <t>下り</t>
        </is>
      </c>
      <c r="E3384" t="inlineStr">
        <is>
          <t>1953</t>
        </is>
      </c>
      <c r="F3384" t="inlineStr">
        <is>
          <t>0453</t>
        </is>
      </c>
      <c r="G3384" s="10" t="inlineStr">
        <is>
          <t>帷子ノ辻</t>
        </is>
      </c>
      <c r="H3384" s="10" t="inlineStr">
        <is>
          <t>着</t>
        </is>
      </c>
      <c r="J3384" s="10" t="inlineStr">
        <is>
          <t>営業</t>
        </is>
      </c>
      <c r="L3384" t="inlineStr">
        <is>
          <t>19:24:25</t>
        </is>
      </c>
      <c r="Q3384" t="inlineStr">
        <is>
          <t>3</t>
        </is>
      </c>
      <c r="U3384" t="inlineStr">
        <is>
          <t>→帷子ノ辻 休憩(19:24〜20:26)</t>
        </is>
      </c>
    </row>
    <row r="3385" ht="15" customHeight="1" s="37">
      <c r="A3385" t="n">
        <v>24</v>
      </c>
      <c r="B3385" s="10" t="inlineStr">
        <is>
          <t>休日</t>
        </is>
      </c>
      <c r="C3385" s="10" t="inlineStr">
        <is>
          <t>北野線</t>
        </is>
      </c>
      <c r="D3385" s="10" t="inlineStr">
        <is>
          <t>上り</t>
        </is>
      </c>
      <c r="E3385" t="inlineStr">
        <is>
          <t>2056</t>
        </is>
      </c>
      <c r="F3385" t="inlineStr">
        <is>
          <t>0304</t>
        </is>
      </c>
      <c r="G3385" s="10" t="inlineStr">
        <is>
          <t>帷子ノ辻</t>
        </is>
      </c>
      <c r="H3385" s="10" t="inlineStr">
        <is>
          <t>発</t>
        </is>
      </c>
      <c r="J3385" s="10" t="inlineStr">
        <is>
          <t>営業</t>
        </is>
      </c>
      <c r="M3385" t="inlineStr">
        <is>
          <t>20:26:25</t>
        </is>
      </c>
      <c r="Q3385" t="inlineStr">
        <is>
          <t>4</t>
        </is>
      </c>
    </row>
    <row r="3386" ht="15" customHeight="1" s="37">
      <c r="A3386" t="n">
        <v>24</v>
      </c>
      <c r="B3386" s="10" t="inlineStr">
        <is>
          <t>休日</t>
        </is>
      </c>
      <c r="C3386" s="10" t="inlineStr">
        <is>
          <t>北野線</t>
        </is>
      </c>
      <c r="D3386" s="10" t="inlineStr">
        <is>
          <t>上り</t>
        </is>
      </c>
      <c r="E3386" t="inlineStr">
        <is>
          <t>2056</t>
        </is>
      </c>
      <c r="F3386" t="inlineStr">
        <is>
          <t>0304</t>
        </is>
      </c>
      <c r="G3386" s="10" t="inlineStr">
        <is>
          <t>撮影所前</t>
        </is>
      </c>
      <c r="H3386" s="10" t="inlineStr">
        <is>
          <t>発</t>
        </is>
      </c>
      <c r="J3386" s="10" t="inlineStr">
        <is>
          <t>営業</t>
        </is>
      </c>
      <c r="L3386" t="inlineStr">
        <is>
          <t>20:27:25</t>
        </is>
      </c>
      <c r="M3386" t="inlineStr">
        <is>
          <t>20:27:40</t>
        </is>
      </c>
    </row>
    <row r="3387" ht="15" customHeight="1" s="37">
      <c r="A3387" t="n">
        <v>24</v>
      </c>
      <c r="B3387" s="10" t="inlineStr">
        <is>
          <t>休日</t>
        </is>
      </c>
      <c r="C3387" s="10" t="inlineStr">
        <is>
          <t>北野線</t>
        </is>
      </c>
      <c r="D3387" s="10" t="inlineStr">
        <is>
          <t>上り</t>
        </is>
      </c>
      <c r="E3387" t="inlineStr">
        <is>
          <t>2056</t>
        </is>
      </c>
      <c r="F3387" t="inlineStr">
        <is>
          <t>0304</t>
        </is>
      </c>
      <c r="G3387" s="10" t="inlineStr">
        <is>
          <t>常盤</t>
        </is>
      </c>
      <c r="H3387" s="10" t="inlineStr">
        <is>
          <t>発</t>
        </is>
      </c>
      <c r="J3387" s="10" t="inlineStr">
        <is>
          <t>営業</t>
        </is>
      </c>
      <c r="L3387" t="inlineStr">
        <is>
          <t>20:29:00</t>
        </is>
      </c>
      <c r="M3387" t="inlineStr">
        <is>
          <t>20:29:20</t>
        </is>
      </c>
    </row>
    <row r="3388" ht="15" customHeight="1" s="37">
      <c r="A3388" t="n">
        <v>24</v>
      </c>
      <c r="B3388" s="10" t="inlineStr">
        <is>
          <t>休日</t>
        </is>
      </c>
      <c r="C3388" s="10" t="inlineStr">
        <is>
          <t>北野線</t>
        </is>
      </c>
      <c r="D3388" s="10" t="inlineStr">
        <is>
          <t>上り</t>
        </is>
      </c>
      <c r="E3388" t="inlineStr">
        <is>
          <t>2056</t>
        </is>
      </c>
      <c r="F3388" t="inlineStr">
        <is>
          <t>0304</t>
        </is>
      </c>
      <c r="G3388" s="10" t="inlineStr">
        <is>
          <t>鳴滝</t>
        </is>
      </c>
      <c r="H3388" s="10" t="inlineStr">
        <is>
          <t>発</t>
        </is>
      </c>
      <c r="J3388" s="10" t="inlineStr">
        <is>
          <t>営業</t>
        </is>
      </c>
      <c r="L3388" t="inlineStr">
        <is>
          <t>20:30:20</t>
        </is>
      </c>
      <c r="M3388" t="inlineStr">
        <is>
          <t>20:30:40</t>
        </is>
      </c>
    </row>
    <row r="3389" ht="15" customHeight="1" s="37">
      <c r="A3389" t="n">
        <v>24</v>
      </c>
      <c r="B3389" s="10" t="inlineStr">
        <is>
          <t>休日</t>
        </is>
      </c>
      <c r="C3389" s="10" t="inlineStr">
        <is>
          <t>北野線</t>
        </is>
      </c>
      <c r="D3389" s="10" t="inlineStr">
        <is>
          <t>上り</t>
        </is>
      </c>
      <c r="E3389" t="inlineStr">
        <is>
          <t>2056</t>
        </is>
      </c>
      <c r="F3389" t="inlineStr">
        <is>
          <t>0304</t>
        </is>
      </c>
      <c r="G3389" s="10" t="inlineStr">
        <is>
          <t>宇多野</t>
        </is>
      </c>
      <c r="H3389" s="10" t="inlineStr">
        <is>
          <t>発</t>
        </is>
      </c>
      <c r="J3389" s="10" t="inlineStr">
        <is>
          <t>営業</t>
        </is>
      </c>
      <c r="L3389" t="inlineStr">
        <is>
          <t>20:32:00</t>
        </is>
      </c>
      <c r="M3389" t="inlineStr">
        <is>
          <t>20:32:15</t>
        </is>
      </c>
    </row>
    <row r="3390" ht="15" customHeight="1" s="37">
      <c r="A3390" t="n">
        <v>24</v>
      </c>
      <c r="B3390" s="10" t="inlineStr">
        <is>
          <t>休日</t>
        </is>
      </c>
      <c r="C3390" s="10" t="inlineStr">
        <is>
          <t>北野線</t>
        </is>
      </c>
      <c r="D3390" s="10" t="inlineStr">
        <is>
          <t>上り</t>
        </is>
      </c>
      <c r="E3390" t="inlineStr">
        <is>
          <t>2056</t>
        </is>
      </c>
      <c r="F3390" t="inlineStr">
        <is>
          <t>0304</t>
        </is>
      </c>
      <c r="G3390" s="10" t="inlineStr">
        <is>
          <t>御室仁和寺</t>
        </is>
      </c>
      <c r="H3390" s="10" t="inlineStr">
        <is>
          <t>発</t>
        </is>
      </c>
      <c r="J3390" s="10" t="inlineStr">
        <is>
          <t>営業</t>
        </is>
      </c>
      <c r="L3390" t="inlineStr">
        <is>
          <t>20:33:15</t>
        </is>
      </c>
      <c r="M3390" t="inlineStr">
        <is>
          <t>20:33:35</t>
        </is>
      </c>
    </row>
    <row r="3391" ht="15" customHeight="1" s="37">
      <c r="A3391" t="n">
        <v>24</v>
      </c>
      <c r="B3391" s="10" t="inlineStr">
        <is>
          <t>休日</t>
        </is>
      </c>
      <c r="C3391" s="10" t="inlineStr">
        <is>
          <t>北野線</t>
        </is>
      </c>
      <c r="D3391" s="10" t="inlineStr">
        <is>
          <t>上り</t>
        </is>
      </c>
      <c r="E3391" t="inlineStr">
        <is>
          <t>2056</t>
        </is>
      </c>
      <c r="F3391" t="inlineStr">
        <is>
          <t>0304</t>
        </is>
      </c>
      <c r="G3391" s="10" t="inlineStr">
        <is>
          <t>妙心寺</t>
        </is>
      </c>
      <c r="H3391" s="10" t="inlineStr">
        <is>
          <t>発</t>
        </is>
      </c>
      <c r="J3391" s="10" t="inlineStr">
        <is>
          <t>営業</t>
        </is>
      </c>
      <c r="L3391" t="inlineStr">
        <is>
          <t>20:34:35</t>
        </is>
      </c>
      <c r="M3391" t="inlineStr">
        <is>
          <t>20:34:50</t>
        </is>
      </c>
    </row>
    <row r="3392" ht="15" customHeight="1" s="37">
      <c r="A3392" t="n">
        <v>24</v>
      </c>
      <c r="B3392" s="10" t="inlineStr">
        <is>
          <t>休日</t>
        </is>
      </c>
      <c r="C3392" s="10" t="inlineStr">
        <is>
          <t>北野線</t>
        </is>
      </c>
      <c r="D3392" s="10" t="inlineStr">
        <is>
          <t>上り</t>
        </is>
      </c>
      <c r="E3392" t="inlineStr">
        <is>
          <t>2056</t>
        </is>
      </c>
      <c r="F3392" t="inlineStr">
        <is>
          <t>0304</t>
        </is>
      </c>
      <c r="G3392" s="10" t="inlineStr">
        <is>
          <t>龍安寺</t>
        </is>
      </c>
      <c r="H3392" s="10" t="inlineStr">
        <is>
          <t>発</t>
        </is>
      </c>
      <c r="J3392" s="10" t="inlineStr">
        <is>
          <t>営業</t>
        </is>
      </c>
      <c r="L3392" t="inlineStr">
        <is>
          <t>20:35:45</t>
        </is>
      </c>
      <c r="M3392" t="inlineStr">
        <is>
          <t>20:35:55</t>
        </is>
      </c>
    </row>
    <row r="3393" ht="15" customHeight="1" s="37">
      <c r="A3393" t="n">
        <v>24</v>
      </c>
      <c r="B3393" s="10" t="inlineStr">
        <is>
          <t>休日</t>
        </is>
      </c>
      <c r="C3393" s="10" t="inlineStr">
        <is>
          <t>北野線</t>
        </is>
      </c>
      <c r="D3393" s="10" t="inlineStr">
        <is>
          <t>上り</t>
        </is>
      </c>
      <c r="E3393" t="inlineStr">
        <is>
          <t>2056</t>
        </is>
      </c>
      <c r="F3393" t="inlineStr">
        <is>
          <t>0304</t>
        </is>
      </c>
      <c r="G3393" s="10" t="inlineStr">
        <is>
          <t>等持院</t>
        </is>
      </c>
      <c r="H3393" s="10" t="inlineStr">
        <is>
          <t>発</t>
        </is>
      </c>
      <c r="J3393" s="10" t="inlineStr">
        <is>
          <t>営業</t>
        </is>
      </c>
      <c r="L3393" t="inlineStr">
        <is>
          <t>20:36:35</t>
        </is>
      </c>
      <c r="M3393" t="inlineStr">
        <is>
          <t>20:36:55</t>
        </is>
      </c>
    </row>
    <row r="3394" ht="15" customHeight="1" s="37">
      <c r="A3394" t="n">
        <v>24</v>
      </c>
      <c r="B3394" s="10" t="inlineStr">
        <is>
          <t>休日</t>
        </is>
      </c>
      <c r="C3394" s="10" t="inlineStr">
        <is>
          <t>北野線</t>
        </is>
      </c>
      <c r="D3394" s="10" t="inlineStr">
        <is>
          <t>上り</t>
        </is>
      </c>
      <c r="E3394" t="inlineStr">
        <is>
          <t>2056</t>
        </is>
      </c>
      <c r="F3394" t="inlineStr">
        <is>
          <t>0304</t>
        </is>
      </c>
      <c r="G3394" s="10" t="inlineStr">
        <is>
          <t>北野白梅町</t>
        </is>
      </c>
      <c r="H3394" s="10" t="inlineStr">
        <is>
          <t>着</t>
        </is>
      </c>
      <c r="J3394" s="10" t="inlineStr">
        <is>
          <t>営業</t>
        </is>
      </c>
      <c r="L3394" t="inlineStr">
        <is>
          <t>20:38:15</t>
        </is>
      </c>
      <c r="N3394" t="inlineStr">
        <is>
          <t>○</t>
        </is>
      </c>
      <c r="Q3394" t="inlineStr">
        <is>
          <t>1</t>
        </is>
      </c>
    </row>
    <row r="3395" ht="15" customHeight="1" s="37">
      <c r="A3395" t="n">
        <v>24</v>
      </c>
      <c r="B3395" s="10" t="inlineStr">
        <is>
          <t>休日</t>
        </is>
      </c>
      <c r="C3395" s="10" t="inlineStr">
        <is>
          <t>北野線</t>
        </is>
      </c>
      <c r="D3395" s="10" t="inlineStr">
        <is>
          <t>下り</t>
        </is>
      </c>
      <c r="E3395" t="inlineStr">
        <is>
          <t>2059</t>
        </is>
      </c>
      <c r="F3395" t="inlineStr">
        <is>
          <t>0453</t>
        </is>
      </c>
      <c r="G3395" s="10" t="inlineStr">
        <is>
          <t>北野白梅町</t>
        </is>
      </c>
      <c r="H3395" s="10" t="inlineStr">
        <is>
          <t>発</t>
        </is>
      </c>
      <c r="J3395" s="10" t="inlineStr">
        <is>
          <t>営業</t>
        </is>
      </c>
      <c r="M3395" t="inlineStr">
        <is>
          <t>20:43:00</t>
        </is>
      </c>
      <c r="Q3395" t="inlineStr">
        <is>
          <t>1</t>
        </is>
      </c>
    </row>
    <row r="3396" ht="15" customHeight="1" s="37">
      <c r="A3396" t="n">
        <v>24</v>
      </c>
      <c r="B3396" s="10" t="inlineStr">
        <is>
          <t>休日</t>
        </is>
      </c>
      <c r="C3396" s="10" t="inlineStr">
        <is>
          <t>北野線</t>
        </is>
      </c>
      <c r="D3396" s="10" t="inlineStr">
        <is>
          <t>下り</t>
        </is>
      </c>
      <c r="E3396" t="inlineStr">
        <is>
          <t>2059</t>
        </is>
      </c>
      <c r="F3396" t="inlineStr">
        <is>
          <t>0453</t>
        </is>
      </c>
      <c r="G3396" s="10" t="inlineStr">
        <is>
          <t>等持院</t>
        </is>
      </c>
      <c r="H3396" s="10" t="inlineStr">
        <is>
          <t>発</t>
        </is>
      </c>
      <c r="J3396" s="10" t="inlineStr">
        <is>
          <t>営業</t>
        </is>
      </c>
      <c r="L3396" t="inlineStr">
        <is>
          <t>20:44:25</t>
        </is>
      </c>
      <c r="M3396" t="inlineStr">
        <is>
          <t>20:44:35</t>
        </is>
      </c>
    </row>
    <row r="3397" ht="15" customHeight="1" s="37">
      <c r="A3397" t="n">
        <v>24</v>
      </c>
      <c r="B3397" s="10" t="inlineStr">
        <is>
          <t>休日</t>
        </is>
      </c>
      <c r="C3397" s="10" t="inlineStr">
        <is>
          <t>北野線</t>
        </is>
      </c>
      <c r="D3397" s="10" t="inlineStr">
        <is>
          <t>下り</t>
        </is>
      </c>
      <c r="E3397" t="inlineStr">
        <is>
          <t>2059</t>
        </is>
      </c>
      <c r="F3397" t="inlineStr">
        <is>
          <t>0453</t>
        </is>
      </c>
      <c r="G3397" s="10" t="inlineStr">
        <is>
          <t>龍安寺</t>
        </is>
      </c>
      <c r="H3397" s="10" t="inlineStr">
        <is>
          <t>発</t>
        </is>
      </c>
      <c r="J3397" s="10" t="inlineStr">
        <is>
          <t>営業</t>
        </is>
      </c>
      <c r="L3397" t="inlineStr">
        <is>
          <t>20:45:25</t>
        </is>
      </c>
      <c r="M3397" t="inlineStr">
        <is>
          <t>20:45:50</t>
        </is>
      </c>
    </row>
    <row r="3398" ht="15" customHeight="1" s="37">
      <c r="A3398" t="n">
        <v>24</v>
      </c>
      <c r="B3398" s="10" t="inlineStr">
        <is>
          <t>休日</t>
        </is>
      </c>
      <c r="C3398" s="10" t="inlineStr">
        <is>
          <t>北野線</t>
        </is>
      </c>
      <c r="D3398" s="10" t="inlineStr">
        <is>
          <t>下り</t>
        </is>
      </c>
      <c r="E3398" t="inlineStr">
        <is>
          <t>2059</t>
        </is>
      </c>
      <c r="F3398" t="inlineStr">
        <is>
          <t>0453</t>
        </is>
      </c>
      <c r="G3398" s="10" t="inlineStr">
        <is>
          <t>妙心寺</t>
        </is>
      </c>
      <c r="H3398" s="10" t="inlineStr">
        <is>
          <t>発</t>
        </is>
      </c>
      <c r="J3398" s="10" t="inlineStr">
        <is>
          <t>営業</t>
        </is>
      </c>
      <c r="L3398" t="inlineStr">
        <is>
          <t>20:46:40</t>
        </is>
      </c>
      <c r="M3398" t="inlineStr">
        <is>
          <t>20:46:50</t>
        </is>
      </c>
    </row>
    <row r="3399" ht="15" customHeight="1" s="37">
      <c r="A3399" t="n">
        <v>24</v>
      </c>
      <c r="B3399" s="10" t="inlineStr">
        <is>
          <t>休日</t>
        </is>
      </c>
      <c r="C3399" s="10" t="inlineStr">
        <is>
          <t>北野線</t>
        </is>
      </c>
      <c r="D3399" s="10" t="inlineStr">
        <is>
          <t>下り</t>
        </is>
      </c>
      <c r="E3399" t="inlineStr">
        <is>
          <t>2059</t>
        </is>
      </c>
      <c r="F3399" t="inlineStr">
        <is>
          <t>0453</t>
        </is>
      </c>
      <c r="G3399" s="10" t="inlineStr">
        <is>
          <t>御室仁和寺</t>
        </is>
      </c>
      <c r="H3399" s="10" t="inlineStr">
        <is>
          <t>発</t>
        </is>
      </c>
      <c r="J3399" s="10" t="inlineStr">
        <is>
          <t>営業</t>
        </is>
      </c>
      <c r="L3399" t="inlineStr">
        <is>
          <t>20:47:50</t>
        </is>
      </c>
      <c r="M3399" t="inlineStr">
        <is>
          <t>20:48:05</t>
        </is>
      </c>
    </row>
    <row r="3400" ht="15" customHeight="1" s="37">
      <c r="A3400" t="n">
        <v>24</v>
      </c>
      <c r="B3400" s="10" t="inlineStr">
        <is>
          <t>休日</t>
        </is>
      </c>
      <c r="C3400" s="10" t="inlineStr">
        <is>
          <t>北野線</t>
        </is>
      </c>
      <c r="D3400" s="10" t="inlineStr">
        <is>
          <t>下り</t>
        </is>
      </c>
      <c r="E3400" t="inlineStr">
        <is>
          <t>2059</t>
        </is>
      </c>
      <c r="F3400" t="inlineStr">
        <is>
          <t>0453</t>
        </is>
      </c>
      <c r="G3400" s="10" t="inlineStr">
        <is>
          <t>宇多野</t>
        </is>
      </c>
      <c r="H3400" s="10" t="inlineStr">
        <is>
          <t>発</t>
        </is>
      </c>
      <c r="J3400" s="10" t="inlineStr">
        <is>
          <t>営業</t>
        </is>
      </c>
      <c r="L3400" t="inlineStr">
        <is>
          <t>20:49:05</t>
        </is>
      </c>
      <c r="M3400" t="inlineStr">
        <is>
          <t>20:49:15</t>
        </is>
      </c>
    </row>
    <row r="3401" ht="15" customHeight="1" s="37">
      <c r="A3401" t="n">
        <v>24</v>
      </c>
      <c r="B3401" s="10" t="inlineStr">
        <is>
          <t>休日</t>
        </is>
      </c>
      <c r="C3401" s="10" t="inlineStr">
        <is>
          <t>北野線</t>
        </is>
      </c>
      <c r="D3401" s="10" t="inlineStr">
        <is>
          <t>下り</t>
        </is>
      </c>
      <c r="E3401" t="inlineStr">
        <is>
          <t>2059</t>
        </is>
      </c>
      <c r="F3401" t="inlineStr">
        <is>
          <t>0453</t>
        </is>
      </c>
      <c r="G3401" s="10" t="inlineStr">
        <is>
          <t>鳴滝</t>
        </is>
      </c>
      <c r="H3401" s="10" t="inlineStr">
        <is>
          <t>発</t>
        </is>
      </c>
      <c r="J3401" s="10" t="inlineStr">
        <is>
          <t>営業</t>
        </is>
      </c>
      <c r="L3401" t="inlineStr">
        <is>
          <t>20:50:35</t>
        </is>
      </c>
      <c r="M3401" t="inlineStr">
        <is>
          <t>20:50:45</t>
        </is>
      </c>
    </row>
    <row r="3402" ht="15" customHeight="1" s="37">
      <c r="A3402" t="n">
        <v>24</v>
      </c>
      <c r="B3402" s="10" t="inlineStr">
        <is>
          <t>休日</t>
        </is>
      </c>
      <c r="C3402" s="10" t="inlineStr">
        <is>
          <t>北野線</t>
        </is>
      </c>
      <c r="D3402" s="10" t="inlineStr">
        <is>
          <t>下り</t>
        </is>
      </c>
      <c r="E3402" t="inlineStr">
        <is>
          <t>2059</t>
        </is>
      </c>
      <c r="F3402" t="inlineStr">
        <is>
          <t>0453</t>
        </is>
      </c>
      <c r="G3402" s="10" t="inlineStr">
        <is>
          <t>常盤</t>
        </is>
      </c>
      <c r="H3402" s="10" t="inlineStr">
        <is>
          <t>発</t>
        </is>
      </c>
      <c r="J3402" s="10" t="inlineStr">
        <is>
          <t>営業</t>
        </is>
      </c>
      <c r="L3402" t="inlineStr">
        <is>
          <t>20:51:35</t>
        </is>
      </c>
      <c r="M3402" t="inlineStr">
        <is>
          <t>20:51:55</t>
        </is>
      </c>
    </row>
    <row r="3403" ht="15" customHeight="1" s="37">
      <c r="A3403" t="n">
        <v>24</v>
      </c>
      <c r="B3403" s="10" t="inlineStr">
        <is>
          <t>休日</t>
        </is>
      </c>
      <c r="C3403" s="10" t="inlineStr">
        <is>
          <t>北野線</t>
        </is>
      </c>
      <c r="D3403" s="10" t="inlineStr">
        <is>
          <t>下り</t>
        </is>
      </c>
      <c r="E3403" t="inlineStr">
        <is>
          <t>2059</t>
        </is>
      </c>
      <c r="F3403" t="inlineStr">
        <is>
          <t>0453</t>
        </is>
      </c>
      <c r="G3403" s="10" t="inlineStr">
        <is>
          <t>撮影所前</t>
        </is>
      </c>
      <c r="H3403" s="10" t="inlineStr">
        <is>
          <t>発</t>
        </is>
      </c>
      <c r="J3403" s="10" t="inlineStr">
        <is>
          <t>営業</t>
        </is>
      </c>
      <c r="L3403" t="inlineStr">
        <is>
          <t>20:53:15</t>
        </is>
      </c>
      <c r="M3403" t="inlineStr">
        <is>
          <t>20:53:30</t>
        </is>
      </c>
    </row>
    <row r="3404" ht="15" customHeight="1" s="37">
      <c r="A3404" t="n">
        <v>24</v>
      </c>
      <c r="B3404" s="10" t="inlineStr">
        <is>
          <t>休日</t>
        </is>
      </c>
      <c r="C3404" s="10" t="inlineStr">
        <is>
          <t>北野線</t>
        </is>
      </c>
      <c r="D3404" s="10" t="inlineStr">
        <is>
          <t>下り</t>
        </is>
      </c>
      <c r="E3404" t="inlineStr">
        <is>
          <t>2059</t>
        </is>
      </c>
      <c r="F3404" t="inlineStr">
        <is>
          <t>0453</t>
        </is>
      </c>
      <c r="G3404" s="10" t="inlineStr">
        <is>
          <t>帷子ノ辻</t>
        </is>
      </c>
      <c r="H3404" s="10" t="inlineStr">
        <is>
          <t>着</t>
        </is>
      </c>
      <c r="J3404" s="10" t="inlineStr">
        <is>
          <t>営業</t>
        </is>
      </c>
      <c r="L3404" t="inlineStr">
        <is>
          <t>20:54:25</t>
        </is>
      </c>
      <c r="Q3404" t="inlineStr">
        <is>
          <t>4</t>
        </is>
      </c>
    </row>
    <row r="3405" ht="15" customHeight="1" s="37">
      <c r="A3405" t="n">
        <v>24</v>
      </c>
      <c r="B3405" s="10" t="inlineStr">
        <is>
          <t>休日</t>
        </is>
      </c>
      <c r="C3405" s="10" t="inlineStr">
        <is>
          <t>北野線</t>
        </is>
      </c>
      <c r="D3405" s="10" t="inlineStr">
        <is>
          <t>上り</t>
        </is>
      </c>
      <c r="E3405" t="inlineStr">
        <is>
          <t>2154</t>
        </is>
      </c>
      <c r="F3405" t="inlineStr">
        <is>
          <t>0304</t>
        </is>
      </c>
      <c r="G3405" s="10" t="inlineStr">
        <is>
          <t>帷子ノ辻</t>
        </is>
      </c>
      <c r="H3405" s="10" t="inlineStr">
        <is>
          <t>発</t>
        </is>
      </c>
      <c r="J3405" s="10" t="inlineStr">
        <is>
          <t>営業</t>
        </is>
      </c>
      <c r="M3405" t="inlineStr">
        <is>
          <t>21:16:25</t>
        </is>
      </c>
      <c r="Q3405" t="inlineStr">
        <is>
          <t>3</t>
        </is>
      </c>
      <c r="U3405" t="inlineStr">
        <is>
          <t>→帷子ノ辻 休憩(21:44〜22:25)</t>
        </is>
      </c>
    </row>
    <row r="3406" ht="15" customHeight="1" s="37">
      <c r="A3406" t="n">
        <v>24</v>
      </c>
      <c r="B3406" s="10" t="inlineStr">
        <is>
          <t>休日</t>
        </is>
      </c>
      <c r="C3406" s="10" t="inlineStr">
        <is>
          <t>北野線</t>
        </is>
      </c>
      <c r="D3406" s="10" t="inlineStr">
        <is>
          <t>上り</t>
        </is>
      </c>
      <c r="E3406" t="inlineStr">
        <is>
          <t>2154</t>
        </is>
      </c>
      <c r="F3406" t="inlineStr">
        <is>
          <t>0304</t>
        </is>
      </c>
      <c r="G3406" s="10" t="inlineStr">
        <is>
          <t>撮影所前</t>
        </is>
      </c>
      <c r="H3406" s="10" t="inlineStr">
        <is>
          <t>発</t>
        </is>
      </c>
      <c r="J3406" s="10" t="inlineStr">
        <is>
          <t>営業</t>
        </is>
      </c>
      <c r="L3406" t="inlineStr">
        <is>
          <t>21:17:25</t>
        </is>
      </c>
      <c r="M3406" t="inlineStr">
        <is>
          <t>21:17:40</t>
        </is>
      </c>
      <c r="U3406" t="inlineStr">
        <is>
          <t>→帷子ノ辻 休憩(21:44〜22:25)</t>
        </is>
      </c>
    </row>
    <row r="3407" ht="15" customHeight="1" s="37">
      <c r="A3407" t="n">
        <v>24</v>
      </c>
      <c r="B3407" s="10" t="inlineStr">
        <is>
          <t>休日</t>
        </is>
      </c>
      <c r="C3407" s="10" t="inlineStr">
        <is>
          <t>北野線</t>
        </is>
      </c>
      <c r="D3407" s="10" t="inlineStr">
        <is>
          <t>上り</t>
        </is>
      </c>
      <c r="E3407" t="inlineStr">
        <is>
          <t>2154</t>
        </is>
      </c>
      <c r="F3407" t="inlineStr">
        <is>
          <t>0304</t>
        </is>
      </c>
      <c r="G3407" s="10" t="inlineStr">
        <is>
          <t>常盤</t>
        </is>
      </c>
      <c r="H3407" s="10" t="inlineStr">
        <is>
          <t>発</t>
        </is>
      </c>
      <c r="J3407" s="10" t="inlineStr">
        <is>
          <t>営業</t>
        </is>
      </c>
      <c r="L3407" t="inlineStr">
        <is>
          <t>21:19:00</t>
        </is>
      </c>
      <c r="M3407" t="inlineStr">
        <is>
          <t>21:19:20</t>
        </is>
      </c>
      <c r="U3407" t="inlineStr">
        <is>
          <t>→帷子ノ辻 休憩(21:44〜22:25)</t>
        </is>
      </c>
    </row>
    <row r="3408" ht="15" customHeight="1" s="37">
      <c r="A3408" t="n">
        <v>24</v>
      </c>
      <c r="B3408" s="10" t="inlineStr">
        <is>
          <t>休日</t>
        </is>
      </c>
      <c r="C3408" s="10" t="inlineStr">
        <is>
          <t>北野線</t>
        </is>
      </c>
      <c r="D3408" s="10" t="inlineStr">
        <is>
          <t>上り</t>
        </is>
      </c>
      <c r="E3408" t="inlineStr">
        <is>
          <t>2154</t>
        </is>
      </c>
      <c r="F3408" t="inlineStr">
        <is>
          <t>0304</t>
        </is>
      </c>
      <c r="G3408" s="10" t="inlineStr">
        <is>
          <t>鳴滝</t>
        </is>
      </c>
      <c r="H3408" s="10" t="inlineStr">
        <is>
          <t>発</t>
        </is>
      </c>
      <c r="J3408" s="10" t="inlineStr">
        <is>
          <t>営業</t>
        </is>
      </c>
      <c r="L3408" t="inlineStr">
        <is>
          <t>21:20:20</t>
        </is>
      </c>
      <c r="M3408" t="inlineStr">
        <is>
          <t>21:20:40</t>
        </is>
      </c>
      <c r="U3408" t="inlineStr">
        <is>
          <t>→帷子ノ辻 休憩(21:44〜22:25)</t>
        </is>
      </c>
    </row>
    <row r="3409" ht="15" customHeight="1" s="37">
      <c r="A3409" t="n">
        <v>24</v>
      </c>
      <c r="B3409" s="10" t="inlineStr">
        <is>
          <t>休日</t>
        </is>
      </c>
      <c r="C3409" s="10" t="inlineStr">
        <is>
          <t>北野線</t>
        </is>
      </c>
      <c r="D3409" s="10" t="inlineStr">
        <is>
          <t>上り</t>
        </is>
      </c>
      <c r="E3409" t="inlineStr">
        <is>
          <t>2154</t>
        </is>
      </c>
      <c r="F3409" t="inlineStr">
        <is>
          <t>0304</t>
        </is>
      </c>
      <c r="G3409" s="10" t="inlineStr">
        <is>
          <t>宇多野</t>
        </is>
      </c>
      <c r="H3409" s="10" t="inlineStr">
        <is>
          <t>発</t>
        </is>
      </c>
      <c r="J3409" s="10" t="inlineStr">
        <is>
          <t>営業</t>
        </is>
      </c>
      <c r="L3409" t="inlineStr">
        <is>
          <t>21:22:00</t>
        </is>
      </c>
      <c r="M3409" t="inlineStr">
        <is>
          <t>21:22:15</t>
        </is>
      </c>
      <c r="U3409" t="inlineStr">
        <is>
          <t>→帷子ノ辻 休憩(21:44〜22:25)</t>
        </is>
      </c>
    </row>
    <row r="3410" ht="15" customHeight="1" s="37">
      <c r="A3410" t="n">
        <v>24</v>
      </c>
      <c r="B3410" s="10" t="inlineStr">
        <is>
          <t>休日</t>
        </is>
      </c>
      <c r="C3410" s="10" t="inlineStr">
        <is>
          <t>北野線</t>
        </is>
      </c>
      <c r="D3410" s="10" t="inlineStr">
        <is>
          <t>上り</t>
        </is>
      </c>
      <c r="E3410" t="inlineStr">
        <is>
          <t>2154</t>
        </is>
      </c>
      <c r="F3410" t="inlineStr">
        <is>
          <t>0304</t>
        </is>
      </c>
      <c r="G3410" s="10" t="inlineStr">
        <is>
          <t>御室仁和寺</t>
        </is>
      </c>
      <c r="H3410" s="10" t="inlineStr">
        <is>
          <t>発</t>
        </is>
      </c>
      <c r="J3410" s="10" t="inlineStr">
        <is>
          <t>営業</t>
        </is>
      </c>
      <c r="L3410" t="inlineStr">
        <is>
          <t>21:23:15</t>
        </is>
      </c>
      <c r="M3410" t="inlineStr">
        <is>
          <t>21:23:35</t>
        </is>
      </c>
      <c r="U3410" t="inlineStr">
        <is>
          <t>→帷子ノ辻 休憩(21:44〜22:25)</t>
        </is>
      </c>
    </row>
    <row r="3411" ht="15" customHeight="1" s="37">
      <c r="A3411" t="n">
        <v>24</v>
      </c>
      <c r="B3411" s="10" t="inlineStr">
        <is>
          <t>休日</t>
        </is>
      </c>
      <c r="C3411" s="10" t="inlineStr">
        <is>
          <t>北野線</t>
        </is>
      </c>
      <c r="D3411" s="10" t="inlineStr">
        <is>
          <t>上り</t>
        </is>
      </c>
      <c r="E3411" t="inlineStr">
        <is>
          <t>2154</t>
        </is>
      </c>
      <c r="F3411" t="inlineStr">
        <is>
          <t>0304</t>
        </is>
      </c>
      <c r="G3411" s="10" t="inlineStr">
        <is>
          <t>妙心寺</t>
        </is>
      </c>
      <c r="H3411" s="10" t="inlineStr">
        <is>
          <t>発</t>
        </is>
      </c>
      <c r="J3411" s="10" t="inlineStr">
        <is>
          <t>営業</t>
        </is>
      </c>
      <c r="L3411" t="inlineStr">
        <is>
          <t>21:24:35</t>
        </is>
      </c>
      <c r="M3411" t="inlineStr">
        <is>
          <t>21:24:50</t>
        </is>
      </c>
      <c r="U3411" t="inlineStr">
        <is>
          <t>→帷子ノ辻 休憩(21:44〜22:25)</t>
        </is>
      </c>
    </row>
    <row r="3412" ht="15" customHeight="1" s="37">
      <c r="A3412" t="n">
        <v>24</v>
      </c>
      <c r="B3412" s="10" t="inlineStr">
        <is>
          <t>休日</t>
        </is>
      </c>
      <c r="C3412" s="10" t="inlineStr">
        <is>
          <t>北野線</t>
        </is>
      </c>
      <c r="D3412" s="10" t="inlineStr">
        <is>
          <t>上り</t>
        </is>
      </c>
      <c r="E3412" t="inlineStr">
        <is>
          <t>2154</t>
        </is>
      </c>
      <c r="F3412" t="inlineStr">
        <is>
          <t>0304</t>
        </is>
      </c>
      <c r="G3412" s="10" t="inlineStr">
        <is>
          <t>龍安寺</t>
        </is>
      </c>
      <c r="H3412" s="10" t="inlineStr">
        <is>
          <t>発</t>
        </is>
      </c>
      <c r="J3412" s="10" t="inlineStr">
        <is>
          <t>営業</t>
        </is>
      </c>
      <c r="L3412" t="inlineStr">
        <is>
          <t>21:25:45</t>
        </is>
      </c>
      <c r="M3412" t="inlineStr">
        <is>
          <t>21:25:55</t>
        </is>
      </c>
      <c r="U3412" t="inlineStr">
        <is>
          <t>→帷子ノ辻 休憩(21:44〜22:25)</t>
        </is>
      </c>
    </row>
    <row r="3413" ht="15" customHeight="1" s="37">
      <c r="A3413" t="n">
        <v>24</v>
      </c>
      <c r="B3413" s="10" t="inlineStr">
        <is>
          <t>休日</t>
        </is>
      </c>
      <c r="C3413" s="10" t="inlineStr">
        <is>
          <t>北野線</t>
        </is>
      </c>
      <c r="D3413" s="10" t="inlineStr">
        <is>
          <t>上り</t>
        </is>
      </c>
      <c r="E3413" t="inlineStr">
        <is>
          <t>2154</t>
        </is>
      </c>
      <c r="F3413" t="inlineStr">
        <is>
          <t>0304</t>
        </is>
      </c>
      <c r="G3413" s="10" t="inlineStr">
        <is>
          <t>等持院</t>
        </is>
      </c>
      <c r="H3413" s="10" t="inlineStr">
        <is>
          <t>発</t>
        </is>
      </c>
      <c r="J3413" s="10" t="inlineStr">
        <is>
          <t>営業</t>
        </is>
      </c>
      <c r="L3413" t="inlineStr">
        <is>
          <t>21:26:35</t>
        </is>
      </c>
      <c r="M3413" t="inlineStr">
        <is>
          <t>21:26:55</t>
        </is>
      </c>
      <c r="U3413" t="inlineStr">
        <is>
          <t>→帷子ノ辻 休憩(21:44〜22:25)</t>
        </is>
      </c>
    </row>
    <row r="3414" ht="15" customHeight="1" s="37">
      <c r="A3414" t="n">
        <v>24</v>
      </c>
      <c r="B3414" s="10" t="inlineStr">
        <is>
          <t>休日</t>
        </is>
      </c>
      <c r="C3414" s="10" t="inlineStr">
        <is>
          <t>北野線</t>
        </is>
      </c>
      <c r="D3414" s="10" t="inlineStr">
        <is>
          <t>上り</t>
        </is>
      </c>
      <c r="E3414" t="inlineStr">
        <is>
          <t>2154</t>
        </is>
      </c>
      <c r="F3414" t="inlineStr">
        <is>
          <t>0304</t>
        </is>
      </c>
      <c r="G3414" s="10" t="inlineStr">
        <is>
          <t>北野白梅町</t>
        </is>
      </c>
      <c r="H3414" s="10" t="inlineStr">
        <is>
          <t>着</t>
        </is>
      </c>
      <c r="J3414" s="10" t="inlineStr">
        <is>
          <t>営業</t>
        </is>
      </c>
      <c r="L3414" t="inlineStr">
        <is>
          <t>21:28:15</t>
        </is>
      </c>
      <c r="N3414" t="inlineStr">
        <is>
          <t>○</t>
        </is>
      </c>
      <c r="Q3414" t="inlineStr">
        <is>
          <t>1</t>
        </is>
      </c>
      <c r="U3414" t="inlineStr">
        <is>
          <t>→帷子ノ辻 休憩(21:44〜22:25)</t>
        </is>
      </c>
    </row>
    <row r="3415" ht="15" customHeight="1" s="37">
      <c r="A3415" t="n">
        <v>24</v>
      </c>
      <c r="B3415" s="10" t="inlineStr">
        <is>
          <t>休日</t>
        </is>
      </c>
      <c r="C3415" s="10" t="inlineStr">
        <is>
          <t>北野線</t>
        </is>
      </c>
      <c r="D3415" s="10" t="inlineStr">
        <is>
          <t>下り</t>
        </is>
      </c>
      <c r="E3415" t="inlineStr">
        <is>
          <t>2157</t>
        </is>
      </c>
      <c r="F3415" t="inlineStr">
        <is>
          <t>0453</t>
        </is>
      </c>
      <c r="G3415" s="10" t="inlineStr">
        <is>
          <t>北野白梅町</t>
        </is>
      </c>
      <c r="H3415" s="10" t="inlineStr">
        <is>
          <t>発</t>
        </is>
      </c>
      <c r="J3415" s="10" t="inlineStr">
        <is>
          <t>営業</t>
        </is>
      </c>
      <c r="M3415" t="inlineStr">
        <is>
          <t>21:33:00</t>
        </is>
      </c>
      <c r="Q3415" t="inlineStr">
        <is>
          <t>1</t>
        </is>
      </c>
      <c r="U3415" t="inlineStr">
        <is>
          <t>→帷子ノ辻 休憩(21:44〜22:25)</t>
        </is>
      </c>
    </row>
    <row r="3416" ht="15" customHeight="1" s="37">
      <c r="A3416" t="n">
        <v>24</v>
      </c>
      <c r="B3416" s="10" t="inlineStr">
        <is>
          <t>休日</t>
        </is>
      </c>
      <c r="C3416" s="10" t="inlineStr">
        <is>
          <t>北野線</t>
        </is>
      </c>
      <c r="D3416" s="10" t="inlineStr">
        <is>
          <t>下り</t>
        </is>
      </c>
      <c r="E3416" t="inlineStr">
        <is>
          <t>2157</t>
        </is>
      </c>
      <c r="F3416" t="inlineStr">
        <is>
          <t>0453</t>
        </is>
      </c>
      <c r="G3416" s="10" t="inlineStr">
        <is>
          <t>等持院</t>
        </is>
      </c>
      <c r="H3416" s="10" t="inlineStr">
        <is>
          <t>発</t>
        </is>
      </c>
      <c r="J3416" s="10" t="inlineStr">
        <is>
          <t>営業</t>
        </is>
      </c>
      <c r="L3416" t="inlineStr">
        <is>
          <t>21:34:25</t>
        </is>
      </c>
      <c r="M3416" t="inlineStr">
        <is>
          <t>21:34:35</t>
        </is>
      </c>
      <c r="U3416" t="inlineStr">
        <is>
          <t>→帷子ノ辻 休憩(21:44〜22:25)</t>
        </is>
      </c>
    </row>
    <row r="3417" ht="15" customHeight="1" s="37">
      <c r="A3417" t="n">
        <v>24</v>
      </c>
      <c r="B3417" s="10" t="inlineStr">
        <is>
          <t>休日</t>
        </is>
      </c>
      <c r="C3417" s="10" t="inlineStr">
        <is>
          <t>北野線</t>
        </is>
      </c>
      <c r="D3417" s="10" t="inlineStr">
        <is>
          <t>下り</t>
        </is>
      </c>
      <c r="E3417" t="inlineStr">
        <is>
          <t>2157</t>
        </is>
      </c>
      <c r="F3417" t="inlineStr">
        <is>
          <t>0453</t>
        </is>
      </c>
      <c r="G3417" s="10" t="inlineStr">
        <is>
          <t>龍安寺</t>
        </is>
      </c>
      <c r="H3417" s="10" t="inlineStr">
        <is>
          <t>発</t>
        </is>
      </c>
      <c r="J3417" s="10" t="inlineStr">
        <is>
          <t>営業</t>
        </is>
      </c>
      <c r="L3417" t="inlineStr">
        <is>
          <t>21:35:25</t>
        </is>
      </c>
      <c r="M3417" t="inlineStr">
        <is>
          <t>21:35:50</t>
        </is>
      </c>
      <c r="U3417" t="inlineStr">
        <is>
          <t>→帷子ノ辻 休憩(21:44〜22:25)</t>
        </is>
      </c>
    </row>
    <row r="3418" ht="15" customHeight="1" s="37">
      <c r="A3418" t="n">
        <v>24</v>
      </c>
      <c r="B3418" s="10" t="inlineStr">
        <is>
          <t>休日</t>
        </is>
      </c>
      <c r="C3418" s="10" t="inlineStr">
        <is>
          <t>北野線</t>
        </is>
      </c>
      <c r="D3418" s="10" t="inlineStr">
        <is>
          <t>下り</t>
        </is>
      </c>
      <c r="E3418" t="inlineStr">
        <is>
          <t>2157</t>
        </is>
      </c>
      <c r="F3418" t="inlineStr">
        <is>
          <t>0453</t>
        </is>
      </c>
      <c r="G3418" s="10" t="inlineStr">
        <is>
          <t>妙心寺</t>
        </is>
      </c>
      <c r="H3418" s="10" t="inlineStr">
        <is>
          <t>発</t>
        </is>
      </c>
      <c r="J3418" s="10" t="inlineStr">
        <is>
          <t>営業</t>
        </is>
      </c>
      <c r="L3418" t="inlineStr">
        <is>
          <t>21:36:40</t>
        </is>
      </c>
      <c r="M3418" t="inlineStr">
        <is>
          <t>21:36:50</t>
        </is>
      </c>
      <c r="U3418" t="inlineStr">
        <is>
          <t>→帷子ノ辻 休憩(21:44〜22:25)</t>
        </is>
      </c>
    </row>
    <row r="3419" ht="15" customHeight="1" s="37">
      <c r="A3419" t="n">
        <v>24</v>
      </c>
      <c r="B3419" s="10" t="inlineStr">
        <is>
          <t>休日</t>
        </is>
      </c>
      <c r="C3419" s="10" t="inlineStr">
        <is>
          <t>北野線</t>
        </is>
      </c>
      <c r="D3419" s="10" t="inlineStr">
        <is>
          <t>下り</t>
        </is>
      </c>
      <c r="E3419" t="inlineStr">
        <is>
          <t>2157</t>
        </is>
      </c>
      <c r="F3419" t="inlineStr">
        <is>
          <t>0453</t>
        </is>
      </c>
      <c r="G3419" s="10" t="inlineStr">
        <is>
          <t>御室仁和寺</t>
        </is>
      </c>
      <c r="H3419" s="10" t="inlineStr">
        <is>
          <t>発</t>
        </is>
      </c>
      <c r="J3419" s="10" t="inlineStr">
        <is>
          <t>営業</t>
        </is>
      </c>
      <c r="L3419" t="inlineStr">
        <is>
          <t>21:37:50</t>
        </is>
      </c>
      <c r="M3419" t="inlineStr">
        <is>
          <t>21:38:05</t>
        </is>
      </c>
      <c r="U3419" t="inlineStr">
        <is>
          <t>→帷子ノ辻 休憩(21:44〜22:25)</t>
        </is>
      </c>
    </row>
    <row r="3420" ht="15" customHeight="1" s="37">
      <c r="A3420" t="n">
        <v>24</v>
      </c>
      <c r="B3420" s="10" t="inlineStr">
        <is>
          <t>休日</t>
        </is>
      </c>
      <c r="C3420" s="10" t="inlineStr">
        <is>
          <t>北野線</t>
        </is>
      </c>
      <c r="D3420" s="10" t="inlineStr">
        <is>
          <t>下り</t>
        </is>
      </c>
      <c r="E3420" t="inlineStr">
        <is>
          <t>2157</t>
        </is>
      </c>
      <c r="F3420" t="inlineStr">
        <is>
          <t>0453</t>
        </is>
      </c>
      <c r="G3420" s="10" t="inlineStr">
        <is>
          <t>宇多野</t>
        </is>
      </c>
      <c r="H3420" s="10" t="inlineStr">
        <is>
          <t>発</t>
        </is>
      </c>
      <c r="J3420" s="10" t="inlineStr">
        <is>
          <t>営業</t>
        </is>
      </c>
      <c r="L3420" t="inlineStr">
        <is>
          <t>21:39:05</t>
        </is>
      </c>
      <c r="M3420" t="inlineStr">
        <is>
          <t>21:39:15</t>
        </is>
      </c>
      <c r="U3420" t="inlineStr">
        <is>
          <t>→帷子ノ辻 休憩(21:44〜22:25)</t>
        </is>
      </c>
    </row>
    <row r="3421" ht="15" customHeight="1" s="37">
      <c r="A3421" t="n">
        <v>24</v>
      </c>
      <c r="B3421" s="10" t="inlineStr">
        <is>
          <t>休日</t>
        </is>
      </c>
      <c r="C3421" s="10" t="inlineStr">
        <is>
          <t>北野線</t>
        </is>
      </c>
      <c r="D3421" s="10" t="inlineStr">
        <is>
          <t>下り</t>
        </is>
      </c>
      <c r="E3421" t="inlineStr">
        <is>
          <t>2157</t>
        </is>
      </c>
      <c r="F3421" t="inlineStr">
        <is>
          <t>0453</t>
        </is>
      </c>
      <c r="G3421" s="10" t="inlineStr">
        <is>
          <t>鳴滝</t>
        </is>
      </c>
      <c r="H3421" s="10" t="inlineStr">
        <is>
          <t>発</t>
        </is>
      </c>
      <c r="J3421" s="10" t="inlineStr">
        <is>
          <t>営業</t>
        </is>
      </c>
      <c r="L3421" t="inlineStr">
        <is>
          <t>21:40:35</t>
        </is>
      </c>
      <c r="M3421" t="inlineStr">
        <is>
          <t>21:40:45</t>
        </is>
      </c>
      <c r="U3421" t="inlineStr">
        <is>
          <t>→帷子ノ辻 休憩(21:44〜22:25)</t>
        </is>
      </c>
    </row>
    <row r="3422" ht="15" customHeight="1" s="37">
      <c r="A3422" t="n">
        <v>24</v>
      </c>
      <c r="B3422" s="10" t="inlineStr">
        <is>
          <t>休日</t>
        </is>
      </c>
      <c r="C3422" s="10" t="inlineStr">
        <is>
          <t>北野線</t>
        </is>
      </c>
      <c r="D3422" s="10" t="inlineStr">
        <is>
          <t>下り</t>
        </is>
      </c>
      <c r="E3422" t="inlineStr">
        <is>
          <t>2157</t>
        </is>
      </c>
      <c r="F3422" t="inlineStr">
        <is>
          <t>0453</t>
        </is>
      </c>
      <c r="G3422" s="10" t="inlineStr">
        <is>
          <t>常盤</t>
        </is>
      </c>
      <c r="H3422" s="10" t="inlineStr">
        <is>
          <t>発</t>
        </is>
      </c>
      <c r="J3422" s="10" t="inlineStr">
        <is>
          <t>営業</t>
        </is>
      </c>
      <c r="L3422" t="inlineStr">
        <is>
          <t>21:41:35</t>
        </is>
      </c>
      <c r="M3422" t="inlineStr">
        <is>
          <t>21:41:55</t>
        </is>
      </c>
      <c r="U3422" t="inlineStr">
        <is>
          <t>→帷子ノ辻 休憩(21:44〜22:25)</t>
        </is>
      </c>
    </row>
    <row r="3423" ht="15" customHeight="1" s="37">
      <c r="A3423" t="n">
        <v>24</v>
      </c>
      <c r="B3423" s="10" t="inlineStr">
        <is>
          <t>休日</t>
        </is>
      </c>
      <c r="C3423" s="10" t="inlineStr">
        <is>
          <t>北野線</t>
        </is>
      </c>
      <c r="D3423" s="10" t="inlineStr">
        <is>
          <t>下り</t>
        </is>
      </c>
      <c r="E3423" t="inlineStr">
        <is>
          <t>2157</t>
        </is>
      </c>
      <c r="F3423" t="inlineStr">
        <is>
          <t>0453</t>
        </is>
      </c>
      <c r="G3423" s="10" t="inlineStr">
        <is>
          <t>撮影所前</t>
        </is>
      </c>
      <c r="H3423" s="10" t="inlineStr">
        <is>
          <t>発</t>
        </is>
      </c>
      <c r="J3423" s="10" t="inlineStr">
        <is>
          <t>営業</t>
        </is>
      </c>
      <c r="L3423" t="inlineStr">
        <is>
          <t>21:43:15</t>
        </is>
      </c>
      <c r="M3423" t="inlineStr">
        <is>
          <t>21:43:30</t>
        </is>
      </c>
      <c r="U3423" t="inlineStr">
        <is>
          <t>→帷子ノ辻 休憩(21:44〜22:25)</t>
        </is>
      </c>
    </row>
    <row r="3424" ht="15" customHeight="1" s="37">
      <c r="A3424" t="n">
        <v>24</v>
      </c>
      <c r="B3424" s="10" t="inlineStr">
        <is>
          <t>休日</t>
        </is>
      </c>
      <c r="C3424" s="10" t="inlineStr">
        <is>
          <t>北野線</t>
        </is>
      </c>
      <c r="D3424" s="10" t="inlineStr">
        <is>
          <t>下り</t>
        </is>
      </c>
      <c r="E3424" t="inlineStr">
        <is>
          <t>2157</t>
        </is>
      </c>
      <c r="F3424" t="inlineStr">
        <is>
          <t>0453</t>
        </is>
      </c>
      <c r="G3424" s="10" t="inlineStr">
        <is>
          <t>帷子ノ辻</t>
        </is>
      </c>
      <c r="H3424" s="10" t="inlineStr">
        <is>
          <t>着</t>
        </is>
      </c>
      <c r="J3424" s="10" t="inlineStr">
        <is>
          <t>営業</t>
        </is>
      </c>
      <c r="L3424" t="inlineStr">
        <is>
          <t>21:44:25</t>
        </is>
      </c>
      <c r="Q3424" t="inlineStr">
        <is>
          <t>4</t>
        </is>
      </c>
      <c r="U3424" t="inlineStr">
        <is>
          <t>→帷子ノ辻 休憩(21:44〜22:25)</t>
        </is>
      </c>
    </row>
    <row r="3425" ht="15" customHeight="1" s="37">
      <c r="A3425" t="n">
        <v>24</v>
      </c>
      <c r="B3425" s="10" t="inlineStr">
        <is>
          <t>休日</t>
        </is>
      </c>
      <c r="C3425" s="10" t="inlineStr">
        <is>
          <t>北野線</t>
        </is>
      </c>
      <c r="D3425" s="10" t="inlineStr">
        <is>
          <t>下り</t>
        </is>
      </c>
      <c r="E3425" t="inlineStr">
        <is>
          <t>2253</t>
        </is>
      </c>
      <c r="F3425" t="inlineStr">
        <is>
          <t>0453</t>
        </is>
      </c>
      <c r="G3425" s="10" t="inlineStr">
        <is>
          <t>北野白梅町</t>
        </is>
      </c>
      <c r="H3425" s="10" t="inlineStr">
        <is>
          <t>発</t>
        </is>
      </c>
      <c r="J3425" s="10" t="inlineStr">
        <is>
          <t>営業</t>
        </is>
      </c>
      <c r="M3425" t="inlineStr">
        <is>
          <t>22:40:00</t>
        </is>
      </c>
      <c r="Q3425" t="inlineStr">
        <is>
          <t>1</t>
        </is>
      </c>
    </row>
    <row r="3426" ht="15" customHeight="1" s="37">
      <c r="A3426" t="n">
        <v>24</v>
      </c>
      <c r="B3426" s="10" t="inlineStr">
        <is>
          <t>休日</t>
        </is>
      </c>
      <c r="C3426" s="10" t="inlineStr">
        <is>
          <t>北野線</t>
        </is>
      </c>
      <c r="D3426" s="10" t="inlineStr">
        <is>
          <t>下り</t>
        </is>
      </c>
      <c r="E3426" t="inlineStr">
        <is>
          <t>2253</t>
        </is>
      </c>
      <c r="F3426" t="inlineStr">
        <is>
          <t>0453</t>
        </is>
      </c>
      <c r="G3426" s="10" t="inlineStr">
        <is>
          <t>等持院</t>
        </is>
      </c>
      <c r="H3426" s="10" t="inlineStr">
        <is>
          <t>発</t>
        </is>
      </c>
      <c r="J3426" s="10" t="inlineStr">
        <is>
          <t>営業</t>
        </is>
      </c>
      <c r="L3426" t="inlineStr">
        <is>
          <t>22:41:25</t>
        </is>
      </c>
      <c r="M3426" t="inlineStr">
        <is>
          <t>22:41:35</t>
        </is>
      </c>
    </row>
    <row r="3427" ht="15" customHeight="1" s="37">
      <c r="A3427" t="n">
        <v>24</v>
      </c>
      <c r="B3427" s="10" t="inlineStr">
        <is>
          <t>休日</t>
        </is>
      </c>
      <c r="C3427" s="10" t="inlineStr">
        <is>
          <t>北野線</t>
        </is>
      </c>
      <c r="D3427" s="10" t="inlineStr">
        <is>
          <t>下り</t>
        </is>
      </c>
      <c r="E3427" t="inlineStr">
        <is>
          <t>2253</t>
        </is>
      </c>
      <c r="F3427" t="inlineStr">
        <is>
          <t>0453</t>
        </is>
      </c>
      <c r="G3427" s="10" t="inlineStr">
        <is>
          <t>龍安寺</t>
        </is>
      </c>
      <c r="H3427" s="10" t="inlineStr">
        <is>
          <t>発</t>
        </is>
      </c>
      <c r="J3427" s="10" t="inlineStr">
        <is>
          <t>営業</t>
        </is>
      </c>
      <c r="L3427" t="inlineStr">
        <is>
          <t>22:42:25</t>
        </is>
      </c>
      <c r="M3427" t="inlineStr">
        <is>
          <t>22:42:50</t>
        </is>
      </c>
    </row>
    <row r="3428" ht="15" customHeight="1" s="37">
      <c r="A3428" t="n">
        <v>24</v>
      </c>
      <c r="B3428" s="10" t="inlineStr">
        <is>
          <t>休日</t>
        </is>
      </c>
      <c r="C3428" s="10" t="inlineStr">
        <is>
          <t>北野線</t>
        </is>
      </c>
      <c r="D3428" s="10" t="inlineStr">
        <is>
          <t>下り</t>
        </is>
      </c>
      <c r="E3428" t="inlineStr">
        <is>
          <t>2253</t>
        </is>
      </c>
      <c r="F3428" t="inlineStr">
        <is>
          <t>0453</t>
        </is>
      </c>
      <c r="G3428" s="10" t="inlineStr">
        <is>
          <t>妙心寺</t>
        </is>
      </c>
      <c r="H3428" s="10" t="inlineStr">
        <is>
          <t>発</t>
        </is>
      </c>
      <c r="J3428" s="10" t="inlineStr">
        <is>
          <t>営業</t>
        </is>
      </c>
      <c r="L3428" t="inlineStr">
        <is>
          <t>22:43:40</t>
        </is>
      </c>
      <c r="M3428" t="inlineStr">
        <is>
          <t>22:43:50</t>
        </is>
      </c>
    </row>
    <row r="3429" ht="15" customHeight="1" s="37">
      <c r="A3429" t="n">
        <v>24</v>
      </c>
      <c r="B3429" s="10" t="inlineStr">
        <is>
          <t>休日</t>
        </is>
      </c>
      <c r="C3429" s="10" t="inlineStr">
        <is>
          <t>北野線</t>
        </is>
      </c>
      <c r="D3429" s="10" t="inlineStr">
        <is>
          <t>下り</t>
        </is>
      </c>
      <c r="E3429" t="inlineStr">
        <is>
          <t>2253</t>
        </is>
      </c>
      <c r="F3429" t="inlineStr">
        <is>
          <t>0453</t>
        </is>
      </c>
      <c r="G3429" s="10" t="inlineStr">
        <is>
          <t>御室仁和寺</t>
        </is>
      </c>
      <c r="H3429" s="10" t="inlineStr">
        <is>
          <t>発</t>
        </is>
      </c>
      <c r="J3429" s="10" t="inlineStr">
        <is>
          <t>営業</t>
        </is>
      </c>
      <c r="L3429" t="inlineStr">
        <is>
          <t>22:44:50</t>
        </is>
      </c>
      <c r="M3429" t="inlineStr">
        <is>
          <t>22:45:05</t>
        </is>
      </c>
    </row>
    <row r="3430" ht="15" customHeight="1" s="37">
      <c r="A3430" t="n">
        <v>24</v>
      </c>
      <c r="B3430" s="10" t="inlineStr">
        <is>
          <t>休日</t>
        </is>
      </c>
      <c r="C3430" s="10" t="inlineStr">
        <is>
          <t>北野線</t>
        </is>
      </c>
      <c r="D3430" s="10" t="inlineStr">
        <is>
          <t>下り</t>
        </is>
      </c>
      <c r="E3430" t="inlineStr">
        <is>
          <t>2253</t>
        </is>
      </c>
      <c r="F3430" t="inlineStr">
        <is>
          <t>0453</t>
        </is>
      </c>
      <c r="G3430" s="10" t="inlineStr">
        <is>
          <t>宇多野</t>
        </is>
      </c>
      <c r="H3430" s="10" t="inlineStr">
        <is>
          <t>発</t>
        </is>
      </c>
      <c r="J3430" s="10" t="inlineStr">
        <is>
          <t>営業</t>
        </is>
      </c>
      <c r="L3430" t="inlineStr">
        <is>
          <t>22:46:05</t>
        </is>
      </c>
      <c r="M3430" t="inlineStr">
        <is>
          <t>22:46:15</t>
        </is>
      </c>
    </row>
    <row r="3431" ht="15" customHeight="1" s="37">
      <c r="A3431" t="n">
        <v>24</v>
      </c>
      <c r="B3431" s="10" t="inlineStr">
        <is>
          <t>休日</t>
        </is>
      </c>
      <c r="C3431" s="10" t="inlineStr">
        <is>
          <t>北野線</t>
        </is>
      </c>
      <c r="D3431" s="10" t="inlineStr">
        <is>
          <t>下り</t>
        </is>
      </c>
      <c r="E3431" t="inlineStr">
        <is>
          <t>2253</t>
        </is>
      </c>
      <c r="F3431" t="inlineStr">
        <is>
          <t>0453</t>
        </is>
      </c>
      <c r="G3431" s="10" t="inlineStr">
        <is>
          <t>鳴滝</t>
        </is>
      </c>
      <c r="H3431" s="10" t="inlineStr">
        <is>
          <t>発</t>
        </is>
      </c>
      <c r="J3431" s="10" t="inlineStr">
        <is>
          <t>営業</t>
        </is>
      </c>
      <c r="L3431" t="inlineStr">
        <is>
          <t>22:47:35</t>
        </is>
      </c>
      <c r="M3431" t="inlineStr">
        <is>
          <t>22:47:45</t>
        </is>
      </c>
    </row>
    <row r="3432" ht="15" customHeight="1" s="37">
      <c r="A3432" t="n">
        <v>24</v>
      </c>
      <c r="B3432" s="10" t="inlineStr">
        <is>
          <t>休日</t>
        </is>
      </c>
      <c r="C3432" s="10" t="inlineStr">
        <is>
          <t>北野線</t>
        </is>
      </c>
      <c r="D3432" s="10" t="inlineStr">
        <is>
          <t>下り</t>
        </is>
      </c>
      <c r="E3432" t="inlineStr">
        <is>
          <t>2253</t>
        </is>
      </c>
      <c r="F3432" t="inlineStr">
        <is>
          <t>0453</t>
        </is>
      </c>
      <c r="G3432" s="10" t="inlineStr">
        <is>
          <t>常盤</t>
        </is>
      </c>
      <c r="H3432" s="10" t="inlineStr">
        <is>
          <t>発</t>
        </is>
      </c>
      <c r="J3432" s="10" t="inlineStr">
        <is>
          <t>営業</t>
        </is>
      </c>
      <c r="L3432" t="inlineStr">
        <is>
          <t>22:48:35</t>
        </is>
      </c>
      <c r="M3432" t="inlineStr">
        <is>
          <t>22:48:55</t>
        </is>
      </c>
    </row>
    <row r="3433" ht="15" customHeight="1" s="37">
      <c r="A3433" t="n">
        <v>24</v>
      </c>
      <c r="B3433" s="10" t="inlineStr">
        <is>
          <t>休日</t>
        </is>
      </c>
      <c r="C3433" s="10" t="inlineStr">
        <is>
          <t>北野線</t>
        </is>
      </c>
      <c r="D3433" s="10" t="inlineStr">
        <is>
          <t>下り</t>
        </is>
      </c>
      <c r="E3433" t="inlineStr">
        <is>
          <t>2253</t>
        </is>
      </c>
      <c r="F3433" t="inlineStr">
        <is>
          <t>0453</t>
        </is>
      </c>
      <c r="G3433" s="10" t="inlineStr">
        <is>
          <t>撮影所前</t>
        </is>
      </c>
      <c r="H3433" s="10" t="inlineStr">
        <is>
          <t>発</t>
        </is>
      </c>
      <c r="J3433" s="10" t="inlineStr">
        <is>
          <t>営業</t>
        </is>
      </c>
      <c r="L3433" t="inlineStr">
        <is>
          <t>22:50:15</t>
        </is>
      </c>
      <c r="M3433" t="inlineStr">
        <is>
          <t>22:50:30</t>
        </is>
      </c>
    </row>
    <row r="3434" ht="15" customHeight="1" s="37">
      <c r="A3434" t="n">
        <v>24</v>
      </c>
      <c r="B3434" s="10" t="inlineStr">
        <is>
          <t>休日</t>
        </is>
      </c>
      <c r="C3434" s="10" t="inlineStr">
        <is>
          <t>北野線</t>
        </is>
      </c>
      <c r="D3434" s="10" t="inlineStr">
        <is>
          <t>下り</t>
        </is>
      </c>
      <c r="E3434" t="inlineStr">
        <is>
          <t>2253</t>
        </is>
      </c>
      <c r="F3434" t="inlineStr">
        <is>
          <t>0453</t>
        </is>
      </c>
      <c r="G3434" s="10" t="inlineStr">
        <is>
          <t>帷子ノ辻</t>
        </is>
      </c>
      <c r="H3434" s="10" t="inlineStr">
        <is>
          <t>着</t>
        </is>
      </c>
      <c r="J3434" s="10" t="inlineStr">
        <is>
          <t>営業</t>
        </is>
      </c>
      <c r="L3434" t="inlineStr">
        <is>
          <t>22:51:25</t>
        </is>
      </c>
      <c r="Q3434" t="inlineStr">
        <is>
          <t>4</t>
        </is>
      </c>
    </row>
    <row r="3435" ht="15" customHeight="1" s="37">
      <c r="A3435" t="n">
        <v>24</v>
      </c>
      <c r="B3435" s="10" t="inlineStr">
        <is>
          <t>休日</t>
        </is>
      </c>
      <c r="C3435" s="10" t="inlineStr">
        <is>
          <t>北野線</t>
        </is>
      </c>
      <c r="D3435" s="10" t="inlineStr">
        <is>
          <t>上り</t>
        </is>
      </c>
      <c r="E3435" t="inlineStr">
        <is>
          <t>2254</t>
        </is>
      </c>
      <c r="F3435" t="inlineStr">
        <is>
          <t>0304</t>
        </is>
      </c>
      <c r="G3435" s="10" t="inlineStr">
        <is>
          <t>帷子ノ辻</t>
        </is>
      </c>
      <c r="H3435" s="10" t="inlineStr">
        <is>
          <t>発</t>
        </is>
      </c>
      <c r="J3435" s="10" t="inlineStr">
        <is>
          <t>営業</t>
        </is>
      </c>
      <c r="M3435" t="inlineStr">
        <is>
          <t>22:25:25</t>
        </is>
      </c>
      <c r="Q3435" t="inlineStr">
        <is>
          <t>4</t>
        </is>
      </c>
    </row>
    <row r="3436" ht="15" customHeight="1" s="37">
      <c r="A3436" t="n">
        <v>24</v>
      </c>
      <c r="B3436" s="10" t="inlineStr">
        <is>
          <t>休日</t>
        </is>
      </c>
      <c r="C3436" s="10" t="inlineStr">
        <is>
          <t>北野線</t>
        </is>
      </c>
      <c r="D3436" s="10" t="inlineStr">
        <is>
          <t>上り</t>
        </is>
      </c>
      <c r="E3436" t="inlineStr">
        <is>
          <t>2254</t>
        </is>
      </c>
      <c r="F3436" t="inlineStr">
        <is>
          <t>0304</t>
        </is>
      </c>
      <c r="G3436" s="10" t="inlineStr">
        <is>
          <t>撮影所前</t>
        </is>
      </c>
      <c r="H3436" s="10" t="inlineStr">
        <is>
          <t>発</t>
        </is>
      </c>
      <c r="J3436" s="10" t="inlineStr">
        <is>
          <t>営業</t>
        </is>
      </c>
      <c r="L3436" t="inlineStr">
        <is>
          <t>22:26:25</t>
        </is>
      </c>
      <c r="M3436" t="inlineStr">
        <is>
          <t>22:26:40</t>
        </is>
      </c>
    </row>
    <row r="3437" ht="16.5" customHeight="1" s="37">
      <c r="A3437" t="n">
        <v>24</v>
      </c>
      <c r="B3437" s="10" t="inlineStr">
        <is>
          <t>休日</t>
        </is>
      </c>
      <c r="C3437" s="10" t="inlineStr">
        <is>
          <t>北野線</t>
        </is>
      </c>
      <c r="D3437" s="10" t="inlineStr">
        <is>
          <t>上り</t>
        </is>
      </c>
      <c r="E3437" t="inlineStr">
        <is>
          <t>2254</t>
        </is>
      </c>
      <c r="F3437" t="inlineStr">
        <is>
          <t>0304</t>
        </is>
      </c>
      <c r="G3437" s="10" t="inlineStr">
        <is>
          <t>常盤</t>
        </is>
      </c>
      <c r="H3437" s="10" t="inlineStr">
        <is>
          <t>発</t>
        </is>
      </c>
      <c r="J3437" s="10" t="inlineStr">
        <is>
          <t>営業</t>
        </is>
      </c>
      <c r="L3437" t="inlineStr">
        <is>
          <t>22:28:00</t>
        </is>
      </c>
      <c r="M3437" t="inlineStr">
        <is>
          <t>22:28:20</t>
        </is>
      </c>
    </row>
    <row r="3438" ht="16.5" customHeight="1" s="37">
      <c r="A3438" t="n">
        <v>24</v>
      </c>
      <c r="B3438" s="10" t="inlineStr">
        <is>
          <t>休日</t>
        </is>
      </c>
      <c r="C3438" s="10" t="inlineStr">
        <is>
          <t>北野線</t>
        </is>
      </c>
      <c r="D3438" s="10" t="inlineStr">
        <is>
          <t>上り</t>
        </is>
      </c>
      <c r="E3438" t="inlineStr">
        <is>
          <t>2254</t>
        </is>
      </c>
      <c r="F3438" t="inlineStr">
        <is>
          <t>0304</t>
        </is>
      </c>
      <c r="G3438" s="10" t="inlineStr">
        <is>
          <t>鳴滝</t>
        </is>
      </c>
      <c r="H3438" s="10" t="inlineStr">
        <is>
          <t>発</t>
        </is>
      </c>
      <c r="J3438" s="10" t="inlineStr">
        <is>
          <t>営業</t>
        </is>
      </c>
      <c r="L3438" t="inlineStr">
        <is>
          <t>22:29:20</t>
        </is>
      </c>
      <c r="M3438" t="inlineStr">
        <is>
          <t>22:29:40</t>
        </is>
      </c>
    </row>
    <row r="3439" ht="16.5" customHeight="1" s="37">
      <c r="A3439" t="n">
        <v>24</v>
      </c>
      <c r="B3439" s="10" t="inlineStr">
        <is>
          <t>休日</t>
        </is>
      </c>
      <c r="C3439" s="10" t="inlineStr">
        <is>
          <t>北野線</t>
        </is>
      </c>
      <c r="D3439" s="10" t="inlineStr">
        <is>
          <t>上り</t>
        </is>
      </c>
      <c r="E3439" t="inlineStr">
        <is>
          <t>2254</t>
        </is>
      </c>
      <c r="F3439" t="inlineStr">
        <is>
          <t>0304</t>
        </is>
      </c>
      <c r="G3439" s="10" t="inlineStr">
        <is>
          <t>宇多野</t>
        </is>
      </c>
      <c r="H3439" s="10" t="inlineStr">
        <is>
          <t>発</t>
        </is>
      </c>
      <c r="J3439" s="10" t="inlineStr">
        <is>
          <t>営業</t>
        </is>
      </c>
      <c r="L3439" t="inlineStr">
        <is>
          <t>22:31:00</t>
        </is>
      </c>
      <c r="M3439" t="inlineStr">
        <is>
          <t>22:31:15</t>
        </is>
      </c>
    </row>
    <row r="3440" ht="16.5" customHeight="1" s="37">
      <c r="A3440" t="n">
        <v>24</v>
      </c>
      <c r="B3440" s="10" t="inlineStr">
        <is>
          <t>休日</t>
        </is>
      </c>
      <c r="C3440" s="10" t="inlineStr">
        <is>
          <t>北野線</t>
        </is>
      </c>
      <c r="D3440" s="10" t="inlineStr">
        <is>
          <t>上り</t>
        </is>
      </c>
      <c r="E3440" t="inlineStr">
        <is>
          <t>2254</t>
        </is>
      </c>
      <c r="F3440" t="inlineStr">
        <is>
          <t>0304</t>
        </is>
      </c>
      <c r="G3440" s="10" t="inlineStr">
        <is>
          <t>御室仁和寺</t>
        </is>
      </c>
      <c r="H3440" s="10" t="inlineStr">
        <is>
          <t>発</t>
        </is>
      </c>
      <c r="J3440" s="10" t="inlineStr">
        <is>
          <t>営業</t>
        </is>
      </c>
      <c r="L3440" t="inlineStr">
        <is>
          <t>22:32:15</t>
        </is>
      </c>
      <c r="M3440" t="inlineStr">
        <is>
          <t>22:32:35</t>
        </is>
      </c>
    </row>
    <row r="3441" ht="16.5" customHeight="1" s="37">
      <c r="A3441" t="n">
        <v>24</v>
      </c>
      <c r="B3441" s="10" t="inlineStr">
        <is>
          <t>休日</t>
        </is>
      </c>
      <c r="C3441" s="10" t="inlineStr">
        <is>
          <t>北野線</t>
        </is>
      </c>
      <c r="D3441" s="10" t="inlineStr">
        <is>
          <t>上り</t>
        </is>
      </c>
      <c r="E3441" t="inlineStr">
        <is>
          <t>2254</t>
        </is>
      </c>
      <c r="F3441" t="inlineStr">
        <is>
          <t>0304</t>
        </is>
      </c>
      <c r="G3441" s="10" t="inlineStr">
        <is>
          <t>妙心寺</t>
        </is>
      </c>
      <c r="H3441" s="10" t="inlineStr">
        <is>
          <t>発</t>
        </is>
      </c>
      <c r="J3441" s="10" t="inlineStr">
        <is>
          <t>営業</t>
        </is>
      </c>
      <c r="L3441" t="inlineStr">
        <is>
          <t>22:33:35</t>
        </is>
      </c>
      <c r="M3441" t="inlineStr">
        <is>
          <t>22:33:50</t>
        </is>
      </c>
    </row>
    <row r="3442" ht="16.5" customHeight="1" s="37">
      <c r="A3442" t="n">
        <v>24</v>
      </c>
      <c r="B3442" s="10" t="inlineStr">
        <is>
          <t>休日</t>
        </is>
      </c>
      <c r="C3442" s="10" t="inlineStr">
        <is>
          <t>北野線</t>
        </is>
      </c>
      <c r="D3442" s="10" t="inlineStr">
        <is>
          <t>上り</t>
        </is>
      </c>
      <c r="E3442" t="inlineStr">
        <is>
          <t>2254</t>
        </is>
      </c>
      <c r="F3442" t="inlineStr">
        <is>
          <t>0304</t>
        </is>
      </c>
      <c r="G3442" s="10" t="inlineStr">
        <is>
          <t>龍安寺</t>
        </is>
      </c>
      <c r="H3442" s="10" t="inlineStr">
        <is>
          <t>発</t>
        </is>
      </c>
      <c r="J3442" s="10" t="inlineStr">
        <is>
          <t>営業</t>
        </is>
      </c>
      <c r="L3442" t="inlineStr">
        <is>
          <t>22:34:45</t>
        </is>
      </c>
      <c r="M3442" t="inlineStr">
        <is>
          <t>22:34:55</t>
        </is>
      </c>
    </row>
    <row r="3443" ht="16.5" customHeight="1" s="37">
      <c r="A3443" t="n">
        <v>24</v>
      </c>
      <c r="B3443" s="10" t="inlineStr">
        <is>
          <t>休日</t>
        </is>
      </c>
      <c r="C3443" s="10" t="inlineStr">
        <is>
          <t>北野線</t>
        </is>
      </c>
      <c r="D3443" s="10" t="inlineStr">
        <is>
          <t>上り</t>
        </is>
      </c>
      <c r="E3443" t="inlineStr">
        <is>
          <t>2254</t>
        </is>
      </c>
      <c r="F3443" t="inlineStr">
        <is>
          <t>0304</t>
        </is>
      </c>
      <c r="G3443" s="10" t="inlineStr">
        <is>
          <t>等持院</t>
        </is>
      </c>
      <c r="H3443" s="10" t="inlineStr">
        <is>
          <t>発</t>
        </is>
      </c>
      <c r="J3443" s="10" t="inlineStr">
        <is>
          <t>営業</t>
        </is>
      </c>
      <c r="L3443" t="inlineStr">
        <is>
          <t>22:35:35</t>
        </is>
      </c>
      <c r="M3443" t="inlineStr">
        <is>
          <t>22:35:55</t>
        </is>
      </c>
    </row>
    <row r="3444" ht="16.5" customHeight="1" s="37">
      <c r="A3444" t="n">
        <v>24</v>
      </c>
      <c r="B3444" s="10" t="inlineStr">
        <is>
          <t>休日</t>
        </is>
      </c>
      <c r="C3444" s="10" t="inlineStr">
        <is>
          <t>北野線</t>
        </is>
      </c>
      <c r="D3444" s="10" t="inlineStr">
        <is>
          <t>上り</t>
        </is>
      </c>
      <c r="E3444" t="inlineStr">
        <is>
          <t>2254</t>
        </is>
      </c>
      <c r="F3444" t="inlineStr">
        <is>
          <t>0304</t>
        </is>
      </c>
      <c r="G3444" s="10" t="inlineStr">
        <is>
          <t>北野白梅町</t>
        </is>
      </c>
      <c r="H3444" s="10" t="inlineStr">
        <is>
          <t>着</t>
        </is>
      </c>
      <c r="J3444" s="10" t="inlineStr">
        <is>
          <t>営業</t>
        </is>
      </c>
      <c r="L3444" t="inlineStr">
        <is>
          <t>22:37:15</t>
        </is>
      </c>
      <c r="N3444" t="inlineStr">
        <is>
          <t>○</t>
        </is>
      </c>
      <c r="Q3444" t="inlineStr">
        <is>
          <t>1</t>
        </is>
      </c>
    </row>
    <row r="3445" ht="16.5" customHeight="1" s="37">
      <c r="A3445" t="n">
        <v>24</v>
      </c>
      <c r="B3445" s="10" t="inlineStr">
        <is>
          <t>休日</t>
        </is>
      </c>
      <c r="C3445" s="10" t="inlineStr">
        <is>
          <t>北野線</t>
        </is>
      </c>
      <c r="D3445" s="10" t="inlineStr">
        <is>
          <t>上り</t>
        </is>
      </c>
      <c r="E3445" t="inlineStr">
        <is>
          <t>2256</t>
        </is>
      </c>
      <c r="F3445" t="inlineStr">
        <is>
          <t>0304</t>
        </is>
      </c>
      <c r="G3445" s="10" t="inlineStr">
        <is>
          <t>帷子ノ辻</t>
        </is>
      </c>
      <c r="H3445" s="10" t="inlineStr">
        <is>
          <t>発</t>
        </is>
      </c>
      <c r="J3445" s="10" t="inlineStr">
        <is>
          <t>営業</t>
        </is>
      </c>
      <c r="M3445" t="inlineStr">
        <is>
          <t>22:55:25</t>
        </is>
      </c>
      <c r="Q3445" t="inlineStr">
        <is>
          <t>4</t>
        </is>
      </c>
    </row>
    <row r="3446" ht="16.5" customHeight="1" s="37">
      <c r="A3446" t="n">
        <v>24</v>
      </c>
      <c r="B3446" s="10" t="inlineStr">
        <is>
          <t>休日</t>
        </is>
      </c>
      <c r="C3446" s="10" t="inlineStr">
        <is>
          <t>北野線</t>
        </is>
      </c>
      <c r="D3446" s="10" t="inlineStr">
        <is>
          <t>上り</t>
        </is>
      </c>
      <c r="E3446" t="inlineStr">
        <is>
          <t>2256</t>
        </is>
      </c>
      <c r="F3446" t="inlineStr">
        <is>
          <t>0304</t>
        </is>
      </c>
      <c r="G3446" s="10" t="inlineStr">
        <is>
          <t>撮影所前</t>
        </is>
      </c>
      <c r="H3446" s="10" t="inlineStr">
        <is>
          <t>発</t>
        </is>
      </c>
      <c r="J3446" s="10" t="inlineStr">
        <is>
          <t>営業</t>
        </is>
      </c>
      <c r="L3446" t="inlineStr">
        <is>
          <t>22:56:25</t>
        </is>
      </c>
      <c r="M3446" t="inlineStr">
        <is>
          <t>22:56:40</t>
        </is>
      </c>
    </row>
    <row r="3447" ht="16.5" customHeight="1" s="37">
      <c r="A3447" t="n">
        <v>24</v>
      </c>
      <c r="B3447" s="10" t="inlineStr">
        <is>
          <t>休日</t>
        </is>
      </c>
      <c r="C3447" s="10" t="inlineStr">
        <is>
          <t>北野線</t>
        </is>
      </c>
      <c r="D3447" s="10" t="inlineStr">
        <is>
          <t>上り</t>
        </is>
      </c>
      <c r="E3447" t="inlineStr">
        <is>
          <t>2256</t>
        </is>
      </c>
      <c r="F3447" t="inlineStr">
        <is>
          <t>0304</t>
        </is>
      </c>
      <c r="G3447" s="10" t="inlineStr">
        <is>
          <t>常盤</t>
        </is>
      </c>
      <c r="H3447" s="10" t="inlineStr">
        <is>
          <t>発</t>
        </is>
      </c>
      <c r="J3447" s="10" t="inlineStr">
        <is>
          <t>営業</t>
        </is>
      </c>
      <c r="L3447" t="inlineStr">
        <is>
          <t>22:58:00</t>
        </is>
      </c>
      <c r="M3447" t="inlineStr">
        <is>
          <t>22:58:20</t>
        </is>
      </c>
    </row>
    <row r="3448" ht="16.5" customHeight="1" s="37">
      <c r="A3448" t="n">
        <v>24</v>
      </c>
      <c r="B3448" s="10" t="inlineStr">
        <is>
          <t>休日</t>
        </is>
      </c>
      <c r="C3448" s="10" t="inlineStr">
        <is>
          <t>北野線</t>
        </is>
      </c>
      <c r="D3448" s="10" t="inlineStr">
        <is>
          <t>上り</t>
        </is>
      </c>
      <c r="E3448" t="inlineStr">
        <is>
          <t>2256</t>
        </is>
      </c>
      <c r="F3448" t="inlineStr">
        <is>
          <t>0304</t>
        </is>
      </c>
      <c r="G3448" s="10" t="inlineStr">
        <is>
          <t>鳴滝</t>
        </is>
      </c>
      <c r="H3448" s="10" t="inlineStr">
        <is>
          <t>発</t>
        </is>
      </c>
      <c r="J3448" s="10" t="inlineStr">
        <is>
          <t>営業</t>
        </is>
      </c>
      <c r="L3448" t="inlineStr">
        <is>
          <t>22:59:20</t>
        </is>
      </c>
      <c r="M3448" t="inlineStr">
        <is>
          <t>22:59:40</t>
        </is>
      </c>
    </row>
    <row r="3449" ht="16.5" customHeight="1" s="37">
      <c r="A3449" t="n">
        <v>24</v>
      </c>
      <c r="B3449" s="10" t="inlineStr">
        <is>
          <t>休日</t>
        </is>
      </c>
      <c r="C3449" s="10" t="inlineStr">
        <is>
          <t>北野線</t>
        </is>
      </c>
      <c r="D3449" s="10" t="inlineStr">
        <is>
          <t>上り</t>
        </is>
      </c>
      <c r="E3449" t="inlineStr">
        <is>
          <t>2256</t>
        </is>
      </c>
      <c r="F3449" t="inlineStr">
        <is>
          <t>0304</t>
        </is>
      </c>
      <c r="G3449" s="10" t="inlineStr">
        <is>
          <t>宇多野</t>
        </is>
      </c>
      <c r="H3449" s="10" t="inlineStr">
        <is>
          <t>発</t>
        </is>
      </c>
      <c r="J3449" s="10" t="inlineStr">
        <is>
          <t>営業</t>
        </is>
      </c>
      <c r="L3449" t="inlineStr">
        <is>
          <t>23:01:00</t>
        </is>
      </c>
      <c r="M3449" t="inlineStr">
        <is>
          <t>23:01:15</t>
        </is>
      </c>
    </row>
    <row r="3450" ht="16.5" customHeight="1" s="37">
      <c r="A3450" t="n">
        <v>24</v>
      </c>
      <c r="B3450" s="10" t="inlineStr">
        <is>
          <t>休日</t>
        </is>
      </c>
      <c r="C3450" s="10" t="inlineStr">
        <is>
          <t>北野線</t>
        </is>
      </c>
      <c r="D3450" s="10" t="inlineStr">
        <is>
          <t>上り</t>
        </is>
      </c>
      <c r="E3450" t="inlineStr">
        <is>
          <t>2256</t>
        </is>
      </c>
      <c r="F3450" t="inlineStr">
        <is>
          <t>0304</t>
        </is>
      </c>
      <c r="G3450" s="10" t="inlineStr">
        <is>
          <t>御室仁和寺</t>
        </is>
      </c>
      <c r="H3450" s="10" t="inlineStr">
        <is>
          <t>発</t>
        </is>
      </c>
      <c r="J3450" s="10" t="inlineStr">
        <is>
          <t>営業</t>
        </is>
      </c>
      <c r="L3450" t="inlineStr">
        <is>
          <t>23:02:15</t>
        </is>
      </c>
      <c r="M3450" t="inlineStr">
        <is>
          <t>23:02:35</t>
        </is>
      </c>
    </row>
    <row r="3451" ht="16.5" customHeight="1" s="37">
      <c r="A3451" t="n">
        <v>24</v>
      </c>
      <c r="B3451" s="10" t="inlineStr">
        <is>
          <t>休日</t>
        </is>
      </c>
      <c r="C3451" s="10" t="inlineStr">
        <is>
          <t>北野線</t>
        </is>
      </c>
      <c r="D3451" s="10" t="inlineStr">
        <is>
          <t>上り</t>
        </is>
      </c>
      <c r="E3451" t="inlineStr">
        <is>
          <t>2256</t>
        </is>
      </c>
      <c r="F3451" t="inlineStr">
        <is>
          <t>0304</t>
        </is>
      </c>
      <c r="G3451" s="10" t="inlineStr">
        <is>
          <t>妙心寺</t>
        </is>
      </c>
      <c r="H3451" s="10" t="inlineStr">
        <is>
          <t>発</t>
        </is>
      </c>
      <c r="J3451" s="10" t="inlineStr">
        <is>
          <t>営業</t>
        </is>
      </c>
      <c r="L3451" t="inlineStr">
        <is>
          <t>23:03:35</t>
        </is>
      </c>
      <c r="M3451" t="inlineStr">
        <is>
          <t>23:03:50</t>
        </is>
      </c>
    </row>
    <row r="3452" ht="16.5" customHeight="1" s="37">
      <c r="A3452" t="n">
        <v>24</v>
      </c>
      <c r="B3452" s="10" t="inlineStr">
        <is>
          <t>休日</t>
        </is>
      </c>
      <c r="C3452" s="10" t="inlineStr">
        <is>
          <t>北野線</t>
        </is>
      </c>
      <c r="D3452" s="10" t="inlineStr">
        <is>
          <t>上り</t>
        </is>
      </c>
      <c r="E3452" t="inlineStr">
        <is>
          <t>2256</t>
        </is>
      </c>
      <c r="F3452" t="inlineStr">
        <is>
          <t>0304</t>
        </is>
      </c>
      <c r="G3452" s="10" t="inlineStr">
        <is>
          <t>龍安寺</t>
        </is>
      </c>
      <c r="H3452" s="10" t="inlineStr">
        <is>
          <t>発</t>
        </is>
      </c>
      <c r="J3452" s="10" t="inlineStr">
        <is>
          <t>営業</t>
        </is>
      </c>
      <c r="L3452" t="inlineStr">
        <is>
          <t>23:04:45</t>
        </is>
      </c>
      <c r="M3452" t="inlineStr">
        <is>
          <t>23:04:55</t>
        </is>
      </c>
    </row>
    <row r="3453" ht="16.5" customHeight="1" s="37">
      <c r="A3453" t="n">
        <v>24</v>
      </c>
      <c r="B3453" s="10" t="inlineStr">
        <is>
          <t>休日</t>
        </is>
      </c>
      <c r="C3453" s="10" t="inlineStr">
        <is>
          <t>北野線</t>
        </is>
      </c>
      <c r="D3453" s="10" t="inlineStr">
        <is>
          <t>上り</t>
        </is>
      </c>
      <c r="E3453" t="inlineStr">
        <is>
          <t>2256</t>
        </is>
      </c>
      <c r="F3453" t="inlineStr">
        <is>
          <t>0304</t>
        </is>
      </c>
      <c r="G3453" s="10" t="inlineStr">
        <is>
          <t>等持院</t>
        </is>
      </c>
      <c r="H3453" s="10" t="inlineStr">
        <is>
          <t>発</t>
        </is>
      </c>
      <c r="J3453" s="10" t="inlineStr">
        <is>
          <t>営業</t>
        </is>
      </c>
      <c r="L3453" t="inlineStr">
        <is>
          <t>23:05:35</t>
        </is>
      </c>
      <c r="M3453" t="inlineStr">
        <is>
          <t>23:05:55</t>
        </is>
      </c>
    </row>
    <row r="3454" ht="16.5" customHeight="1" s="37">
      <c r="A3454" t="n">
        <v>24</v>
      </c>
      <c r="B3454" s="10" t="inlineStr">
        <is>
          <t>休日</t>
        </is>
      </c>
      <c r="C3454" s="10" t="inlineStr">
        <is>
          <t>北野線</t>
        </is>
      </c>
      <c r="D3454" s="10" t="inlineStr">
        <is>
          <t>上り</t>
        </is>
      </c>
      <c r="E3454" t="inlineStr">
        <is>
          <t>2256</t>
        </is>
      </c>
      <c r="F3454" t="inlineStr">
        <is>
          <t>0304</t>
        </is>
      </c>
      <c r="G3454" s="10" t="inlineStr">
        <is>
          <t>北野白梅町</t>
        </is>
      </c>
      <c r="H3454" s="10" t="inlineStr">
        <is>
          <t>着</t>
        </is>
      </c>
      <c r="J3454" s="10" t="inlineStr">
        <is>
          <t>営業</t>
        </is>
      </c>
      <c r="L3454" t="inlineStr">
        <is>
          <t>23:07:15</t>
        </is>
      </c>
      <c r="N3454" t="inlineStr">
        <is>
          <t>○</t>
        </is>
      </c>
      <c r="Q3454" t="inlineStr">
        <is>
          <t>1</t>
        </is>
      </c>
    </row>
    <row r="3455" ht="16.5" customHeight="1" s="37">
      <c r="A3455" t="n">
        <v>24</v>
      </c>
      <c r="B3455" s="10" t="inlineStr">
        <is>
          <t>休日</t>
        </is>
      </c>
      <c r="C3455" s="10" t="inlineStr">
        <is>
          <t>北野線</t>
        </is>
      </c>
      <c r="D3455" s="10" t="inlineStr">
        <is>
          <t>下り</t>
        </is>
      </c>
      <c r="E3455" t="inlineStr">
        <is>
          <t>2351</t>
        </is>
      </c>
      <c r="F3455" t="inlineStr">
        <is>
          <t>0453</t>
        </is>
      </c>
      <c r="G3455" s="10" t="inlineStr">
        <is>
          <t>北野白梅町</t>
        </is>
      </c>
      <c r="H3455" s="10" t="inlineStr">
        <is>
          <t>発</t>
        </is>
      </c>
      <c r="J3455" s="10" t="inlineStr">
        <is>
          <t>営業</t>
        </is>
      </c>
      <c r="M3455" t="inlineStr">
        <is>
          <t>23:10:00</t>
        </is>
      </c>
      <c r="Q3455" t="inlineStr">
        <is>
          <t>1</t>
        </is>
      </c>
    </row>
    <row r="3456" ht="16.5" customHeight="1" s="37">
      <c r="A3456" t="n">
        <v>24</v>
      </c>
      <c r="B3456" s="10" t="inlineStr">
        <is>
          <t>休日</t>
        </is>
      </c>
      <c r="C3456" s="10" t="inlineStr">
        <is>
          <t>北野線</t>
        </is>
      </c>
      <c r="D3456" s="10" t="inlineStr">
        <is>
          <t>下り</t>
        </is>
      </c>
      <c r="E3456" t="inlineStr">
        <is>
          <t>2351</t>
        </is>
      </c>
      <c r="F3456" t="inlineStr">
        <is>
          <t>0453</t>
        </is>
      </c>
      <c r="G3456" s="10" t="inlineStr">
        <is>
          <t>等持院</t>
        </is>
      </c>
      <c r="H3456" s="10" t="inlineStr">
        <is>
          <t>発</t>
        </is>
      </c>
      <c r="J3456" s="10" t="inlineStr">
        <is>
          <t>営業</t>
        </is>
      </c>
      <c r="L3456" t="inlineStr">
        <is>
          <t>23:11:25</t>
        </is>
      </c>
      <c r="M3456" t="inlineStr">
        <is>
          <t>23:11:35</t>
        </is>
      </c>
    </row>
    <row r="3457" ht="16.5" customHeight="1" s="37">
      <c r="A3457" t="n">
        <v>24</v>
      </c>
      <c r="B3457" s="10" t="inlineStr">
        <is>
          <t>休日</t>
        </is>
      </c>
      <c r="C3457" s="10" t="inlineStr">
        <is>
          <t>北野線</t>
        </is>
      </c>
      <c r="D3457" s="10" t="inlineStr">
        <is>
          <t>下り</t>
        </is>
      </c>
      <c r="E3457" t="inlineStr">
        <is>
          <t>2351</t>
        </is>
      </c>
      <c r="F3457" t="inlineStr">
        <is>
          <t>0453</t>
        </is>
      </c>
      <c r="G3457" s="10" t="inlineStr">
        <is>
          <t>龍安寺</t>
        </is>
      </c>
      <c r="H3457" s="10" t="inlineStr">
        <is>
          <t>発</t>
        </is>
      </c>
      <c r="J3457" s="10" t="inlineStr">
        <is>
          <t>営業</t>
        </is>
      </c>
      <c r="L3457" t="inlineStr">
        <is>
          <t>23:12:25</t>
        </is>
      </c>
      <c r="M3457" t="inlineStr">
        <is>
          <t>23:12:50</t>
        </is>
      </c>
    </row>
    <row r="3458" ht="16.5" customHeight="1" s="37">
      <c r="A3458" t="n">
        <v>24</v>
      </c>
      <c r="B3458" s="10" t="inlineStr">
        <is>
          <t>休日</t>
        </is>
      </c>
      <c r="C3458" s="10" t="inlineStr">
        <is>
          <t>北野線</t>
        </is>
      </c>
      <c r="D3458" s="10" t="inlineStr">
        <is>
          <t>下り</t>
        </is>
      </c>
      <c r="E3458" t="inlineStr">
        <is>
          <t>2351</t>
        </is>
      </c>
      <c r="F3458" t="inlineStr">
        <is>
          <t>0453</t>
        </is>
      </c>
      <c r="G3458" s="10" t="inlineStr">
        <is>
          <t>妙心寺</t>
        </is>
      </c>
      <c r="H3458" s="10" t="inlineStr">
        <is>
          <t>発</t>
        </is>
      </c>
      <c r="J3458" s="10" t="inlineStr">
        <is>
          <t>営業</t>
        </is>
      </c>
      <c r="L3458" t="inlineStr">
        <is>
          <t>23:13:40</t>
        </is>
      </c>
      <c r="M3458" t="inlineStr">
        <is>
          <t>23:13:50</t>
        </is>
      </c>
    </row>
    <row r="3459" ht="16.5" customHeight="1" s="37">
      <c r="A3459" t="n">
        <v>24</v>
      </c>
      <c r="B3459" s="10" t="inlineStr">
        <is>
          <t>休日</t>
        </is>
      </c>
      <c r="C3459" s="10" t="inlineStr">
        <is>
          <t>北野線</t>
        </is>
      </c>
      <c r="D3459" s="10" t="inlineStr">
        <is>
          <t>下り</t>
        </is>
      </c>
      <c r="E3459" t="inlineStr">
        <is>
          <t>2351</t>
        </is>
      </c>
      <c r="F3459" t="inlineStr">
        <is>
          <t>0453</t>
        </is>
      </c>
      <c r="G3459" s="10" t="inlineStr">
        <is>
          <t>御室仁和寺</t>
        </is>
      </c>
      <c r="H3459" s="10" t="inlineStr">
        <is>
          <t>発</t>
        </is>
      </c>
      <c r="J3459" s="10" t="inlineStr">
        <is>
          <t>営業</t>
        </is>
      </c>
      <c r="L3459" t="inlineStr">
        <is>
          <t>23:14:50</t>
        </is>
      </c>
      <c r="M3459" t="inlineStr">
        <is>
          <t>23:15:05</t>
        </is>
      </c>
    </row>
    <row r="3460" ht="16.5" customHeight="1" s="37">
      <c r="A3460" t="n">
        <v>24</v>
      </c>
      <c r="B3460" s="10" t="inlineStr">
        <is>
          <t>休日</t>
        </is>
      </c>
      <c r="C3460" s="10" t="inlineStr">
        <is>
          <t>北野線</t>
        </is>
      </c>
      <c r="D3460" s="10" t="inlineStr">
        <is>
          <t>下り</t>
        </is>
      </c>
      <c r="E3460" t="inlineStr">
        <is>
          <t>2351</t>
        </is>
      </c>
      <c r="F3460" t="inlineStr">
        <is>
          <t>0453</t>
        </is>
      </c>
      <c r="G3460" s="10" t="inlineStr">
        <is>
          <t>宇多野</t>
        </is>
      </c>
      <c r="H3460" s="10" t="inlineStr">
        <is>
          <t>発</t>
        </is>
      </c>
      <c r="J3460" s="10" t="inlineStr">
        <is>
          <t>営業</t>
        </is>
      </c>
      <c r="L3460" t="inlineStr">
        <is>
          <t>23:16:05</t>
        </is>
      </c>
      <c r="M3460" t="inlineStr">
        <is>
          <t>23:16:15</t>
        </is>
      </c>
    </row>
    <row r="3461" ht="16.5" customHeight="1" s="37">
      <c r="A3461" t="n">
        <v>24</v>
      </c>
      <c r="B3461" s="10" t="inlineStr">
        <is>
          <t>休日</t>
        </is>
      </c>
      <c r="C3461" s="10" t="inlineStr">
        <is>
          <t>北野線</t>
        </is>
      </c>
      <c r="D3461" s="10" t="inlineStr">
        <is>
          <t>下り</t>
        </is>
      </c>
      <c r="E3461" t="inlineStr">
        <is>
          <t>2351</t>
        </is>
      </c>
      <c r="F3461" t="inlineStr">
        <is>
          <t>0453</t>
        </is>
      </c>
      <c r="G3461" s="10" t="inlineStr">
        <is>
          <t>鳴滝</t>
        </is>
      </c>
      <c r="H3461" s="10" t="inlineStr">
        <is>
          <t>発</t>
        </is>
      </c>
      <c r="J3461" s="10" t="inlineStr">
        <is>
          <t>営業</t>
        </is>
      </c>
      <c r="L3461" t="inlineStr">
        <is>
          <t>23:17:35</t>
        </is>
      </c>
      <c r="M3461" t="inlineStr">
        <is>
          <t>23:17:45</t>
        </is>
      </c>
    </row>
    <row r="3462" ht="16.5" customHeight="1" s="37">
      <c r="A3462" t="n">
        <v>24</v>
      </c>
      <c r="B3462" s="10" t="inlineStr">
        <is>
          <t>休日</t>
        </is>
      </c>
      <c r="C3462" s="10" t="inlineStr">
        <is>
          <t>北野線</t>
        </is>
      </c>
      <c r="D3462" s="10" t="inlineStr">
        <is>
          <t>下り</t>
        </is>
      </c>
      <c r="E3462" t="inlineStr">
        <is>
          <t>2351</t>
        </is>
      </c>
      <c r="F3462" t="inlineStr">
        <is>
          <t>0453</t>
        </is>
      </c>
      <c r="G3462" s="10" t="inlineStr">
        <is>
          <t>常盤</t>
        </is>
      </c>
      <c r="H3462" s="10" t="inlineStr">
        <is>
          <t>発</t>
        </is>
      </c>
      <c r="J3462" s="10" t="inlineStr">
        <is>
          <t>営業</t>
        </is>
      </c>
      <c r="L3462" t="inlineStr">
        <is>
          <t>23:18:35</t>
        </is>
      </c>
      <c r="M3462" t="inlineStr">
        <is>
          <t>23:18:55</t>
        </is>
      </c>
    </row>
    <row r="3463" ht="16.5" customHeight="1" s="37">
      <c r="A3463" t="n">
        <v>24</v>
      </c>
      <c r="B3463" s="10" t="inlineStr">
        <is>
          <t>休日</t>
        </is>
      </c>
      <c r="C3463" s="10" t="inlineStr">
        <is>
          <t>北野線</t>
        </is>
      </c>
      <c r="D3463" s="10" t="inlineStr">
        <is>
          <t>下り</t>
        </is>
      </c>
      <c r="E3463" t="inlineStr">
        <is>
          <t>2351</t>
        </is>
      </c>
      <c r="F3463" t="inlineStr">
        <is>
          <t>0453</t>
        </is>
      </c>
      <c r="G3463" s="10" t="inlineStr">
        <is>
          <t>撮影所前</t>
        </is>
      </c>
      <c r="H3463" s="10" t="inlineStr">
        <is>
          <t>発</t>
        </is>
      </c>
      <c r="J3463" s="10" t="inlineStr">
        <is>
          <t>営業</t>
        </is>
      </c>
      <c r="L3463" t="inlineStr">
        <is>
          <t>23:20:15</t>
        </is>
      </c>
      <c r="M3463" t="inlineStr">
        <is>
          <t>23:20:30</t>
        </is>
      </c>
    </row>
    <row r="3464" ht="16.5" customHeight="1" s="37">
      <c r="A3464" t="n">
        <v>24</v>
      </c>
      <c r="B3464" s="10" t="inlineStr">
        <is>
          <t>休日</t>
        </is>
      </c>
      <c r="C3464" s="10" t="inlineStr">
        <is>
          <t>北野線</t>
        </is>
      </c>
      <c r="D3464" s="10" t="inlineStr">
        <is>
          <t>下り</t>
        </is>
      </c>
      <c r="E3464" t="inlineStr">
        <is>
          <t>2351</t>
        </is>
      </c>
      <c r="F3464" t="inlineStr">
        <is>
          <t>0453</t>
        </is>
      </c>
      <c r="G3464" s="10" t="inlineStr">
        <is>
          <t>帷子ノ辻</t>
        </is>
      </c>
      <c r="H3464" s="10" t="inlineStr">
        <is>
          <t>着</t>
        </is>
      </c>
      <c r="J3464" s="10" t="inlineStr">
        <is>
          <t>営業</t>
        </is>
      </c>
      <c r="L3464" t="inlineStr">
        <is>
          <t>23:21:25</t>
        </is>
      </c>
      <c r="Q3464" t="inlineStr">
        <is>
          <t>4</t>
        </is>
      </c>
    </row>
    <row r="3465" ht="16.5" customHeight="1" s="37">
      <c r="A3465" t="n">
        <v>24</v>
      </c>
      <c r="B3465" s="10" t="inlineStr">
        <is>
          <t>休日</t>
        </is>
      </c>
      <c r="C3465" s="10" t="inlineStr">
        <is>
          <t>北野線</t>
        </is>
      </c>
      <c r="D3465" s="10" t="inlineStr">
        <is>
          <t>上り</t>
        </is>
      </c>
      <c r="E3465" t="inlineStr">
        <is>
          <t>2352</t>
        </is>
      </c>
      <c r="F3465" t="inlineStr">
        <is>
          <t>0304</t>
        </is>
      </c>
      <c r="G3465" s="10" t="inlineStr">
        <is>
          <t>帷子ノ辻</t>
        </is>
      </c>
      <c r="H3465" s="10" t="inlineStr">
        <is>
          <t>発</t>
        </is>
      </c>
      <c r="J3465" s="10" t="inlineStr">
        <is>
          <t>営業</t>
        </is>
      </c>
      <c r="M3465" t="inlineStr">
        <is>
          <t>23:25:25</t>
        </is>
      </c>
      <c r="Q3465" t="inlineStr">
        <is>
          <t>4</t>
        </is>
      </c>
    </row>
    <row r="3466" ht="16.5" customHeight="1" s="37">
      <c r="A3466" t="n">
        <v>24</v>
      </c>
      <c r="B3466" s="10" t="inlineStr">
        <is>
          <t>休日</t>
        </is>
      </c>
      <c r="C3466" s="10" t="inlineStr">
        <is>
          <t>北野線</t>
        </is>
      </c>
      <c r="D3466" s="10" t="inlineStr">
        <is>
          <t>上り</t>
        </is>
      </c>
      <c r="E3466" t="inlineStr">
        <is>
          <t>2352</t>
        </is>
      </c>
      <c r="F3466" t="inlineStr">
        <is>
          <t>0304</t>
        </is>
      </c>
      <c r="G3466" s="10" t="inlineStr">
        <is>
          <t>撮影所前</t>
        </is>
      </c>
      <c r="H3466" s="10" t="inlineStr">
        <is>
          <t>発</t>
        </is>
      </c>
      <c r="J3466" s="10" t="inlineStr">
        <is>
          <t>営業</t>
        </is>
      </c>
      <c r="L3466" t="inlineStr">
        <is>
          <t>23:26:25</t>
        </is>
      </c>
      <c r="M3466" t="inlineStr">
        <is>
          <t>23:26:40</t>
        </is>
      </c>
    </row>
    <row r="3467" ht="16.5" customHeight="1" s="37">
      <c r="A3467" t="n">
        <v>24</v>
      </c>
      <c r="B3467" s="10" t="inlineStr">
        <is>
          <t>休日</t>
        </is>
      </c>
      <c r="C3467" s="10" t="inlineStr">
        <is>
          <t>北野線</t>
        </is>
      </c>
      <c r="D3467" s="10" t="inlineStr">
        <is>
          <t>上り</t>
        </is>
      </c>
      <c r="E3467" t="inlineStr">
        <is>
          <t>2352</t>
        </is>
      </c>
      <c r="F3467" t="inlineStr">
        <is>
          <t>0304</t>
        </is>
      </c>
      <c r="G3467" s="10" t="inlineStr">
        <is>
          <t>常盤</t>
        </is>
      </c>
      <c r="H3467" s="10" t="inlineStr">
        <is>
          <t>発</t>
        </is>
      </c>
      <c r="J3467" s="10" t="inlineStr">
        <is>
          <t>営業</t>
        </is>
      </c>
      <c r="L3467" t="inlineStr">
        <is>
          <t>23:28:00</t>
        </is>
      </c>
      <c r="M3467" t="inlineStr">
        <is>
          <t>23:28:20</t>
        </is>
      </c>
    </row>
    <row r="3468" ht="16.5" customHeight="1" s="37">
      <c r="A3468" t="n">
        <v>24</v>
      </c>
      <c r="B3468" s="10" t="inlineStr">
        <is>
          <t>休日</t>
        </is>
      </c>
      <c r="C3468" s="10" t="inlineStr">
        <is>
          <t>北野線</t>
        </is>
      </c>
      <c r="D3468" s="10" t="inlineStr">
        <is>
          <t>上り</t>
        </is>
      </c>
      <c r="E3468" t="inlineStr">
        <is>
          <t>2352</t>
        </is>
      </c>
      <c r="F3468" t="inlineStr">
        <is>
          <t>0304</t>
        </is>
      </c>
      <c r="G3468" s="10" t="inlineStr">
        <is>
          <t>鳴滝</t>
        </is>
      </c>
      <c r="H3468" s="10" t="inlineStr">
        <is>
          <t>発</t>
        </is>
      </c>
      <c r="J3468" s="10" t="inlineStr">
        <is>
          <t>営業</t>
        </is>
      </c>
      <c r="L3468" t="inlineStr">
        <is>
          <t>23:29:20</t>
        </is>
      </c>
      <c r="M3468" t="inlineStr">
        <is>
          <t>23:29:40</t>
        </is>
      </c>
    </row>
    <row r="3469" ht="16.5" customHeight="1" s="37">
      <c r="A3469" t="n">
        <v>24</v>
      </c>
      <c r="B3469" s="10" t="inlineStr">
        <is>
          <t>休日</t>
        </is>
      </c>
      <c r="C3469" s="10" t="inlineStr">
        <is>
          <t>北野線</t>
        </is>
      </c>
      <c r="D3469" s="10" t="inlineStr">
        <is>
          <t>上り</t>
        </is>
      </c>
      <c r="E3469" t="inlineStr">
        <is>
          <t>2352</t>
        </is>
      </c>
      <c r="F3469" t="inlineStr">
        <is>
          <t>0304</t>
        </is>
      </c>
      <c r="G3469" s="10" t="inlineStr">
        <is>
          <t>宇多野</t>
        </is>
      </c>
      <c r="H3469" s="10" t="inlineStr">
        <is>
          <t>発</t>
        </is>
      </c>
      <c r="J3469" s="10" t="inlineStr">
        <is>
          <t>営業</t>
        </is>
      </c>
      <c r="L3469" t="inlineStr">
        <is>
          <t>23:31:00</t>
        </is>
      </c>
      <c r="M3469" t="inlineStr">
        <is>
          <t>23:31:15</t>
        </is>
      </c>
    </row>
    <row r="3470" ht="16.5" customHeight="1" s="37">
      <c r="A3470" t="n">
        <v>24</v>
      </c>
      <c r="B3470" s="10" t="inlineStr">
        <is>
          <t>休日</t>
        </is>
      </c>
      <c r="C3470" s="10" t="inlineStr">
        <is>
          <t>北野線</t>
        </is>
      </c>
      <c r="D3470" s="10" t="inlineStr">
        <is>
          <t>上り</t>
        </is>
      </c>
      <c r="E3470" t="inlineStr">
        <is>
          <t>2352</t>
        </is>
      </c>
      <c r="F3470" t="inlineStr">
        <is>
          <t>0304</t>
        </is>
      </c>
      <c r="G3470" s="10" t="inlineStr">
        <is>
          <t>御室仁和寺</t>
        </is>
      </c>
      <c r="H3470" s="10" t="inlineStr">
        <is>
          <t>発</t>
        </is>
      </c>
      <c r="J3470" s="10" t="inlineStr">
        <is>
          <t>営業</t>
        </is>
      </c>
      <c r="L3470" t="inlineStr">
        <is>
          <t>23:32:15</t>
        </is>
      </c>
      <c r="M3470" t="inlineStr">
        <is>
          <t>23:32:35</t>
        </is>
      </c>
    </row>
    <row r="3471" ht="16.5" customHeight="1" s="37">
      <c r="A3471" t="n">
        <v>24</v>
      </c>
      <c r="B3471" s="10" t="inlineStr">
        <is>
          <t>休日</t>
        </is>
      </c>
      <c r="C3471" s="10" t="inlineStr">
        <is>
          <t>北野線</t>
        </is>
      </c>
      <c r="D3471" s="10" t="inlineStr">
        <is>
          <t>上り</t>
        </is>
      </c>
      <c r="E3471" t="inlineStr">
        <is>
          <t>2352</t>
        </is>
      </c>
      <c r="F3471" t="inlineStr">
        <is>
          <t>0304</t>
        </is>
      </c>
      <c r="G3471" s="10" t="inlineStr">
        <is>
          <t>妙心寺</t>
        </is>
      </c>
      <c r="H3471" s="10" t="inlineStr">
        <is>
          <t>発</t>
        </is>
      </c>
      <c r="J3471" s="10" t="inlineStr">
        <is>
          <t>営業</t>
        </is>
      </c>
      <c r="L3471" t="inlineStr">
        <is>
          <t>23:33:35</t>
        </is>
      </c>
      <c r="M3471" t="inlineStr">
        <is>
          <t>23:33:50</t>
        </is>
      </c>
    </row>
    <row r="3472" ht="16.5" customHeight="1" s="37">
      <c r="A3472" t="n">
        <v>24</v>
      </c>
      <c r="B3472" s="10" t="inlineStr">
        <is>
          <t>休日</t>
        </is>
      </c>
      <c r="C3472" s="10" t="inlineStr">
        <is>
          <t>北野線</t>
        </is>
      </c>
      <c r="D3472" s="10" t="inlineStr">
        <is>
          <t>上り</t>
        </is>
      </c>
      <c r="E3472" t="inlineStr">
        <is>
          <t>2352</t>
        </is>
      </c>
      <c r="F3472" t="inlineStr">
        <is>
          <t>0304</t>
        </is>
      </c>
      <c r="G3472" s="10" t="inlineStr">
        <is>
          <t>龍安寺</t>
        </is>
      </c>
      <c r="H3472" s="10" t="inlineStr">
        <is>
          <t>発</t>
        </is>
      </c>
      <c r="J3472" s="10" t="inlineStr">
        <is>
          <t>営業</t>
        </is>
      </c>
      <c r="L3472" t="inlineStr">
        <is>
          <t>23:34:45</t>
        </is>
      </c>
      <c r="M3472" t="inlineStr">
        <is>
          <t>23:34:55</t>
        </is>
      </c>
    </row>
    <row r="3473" ht="16.5" customHeight="1" s="37">
      <c r="A3473" t="n">
        <v>24</v>
      </c>
      <c r="B3473" s="10" t="inlineStr">
        <is>
          <t>休日</t>
        </is>
      </c>
      <c r="C3473" s="10" t="inlineStr">
        <is>
          <t>北野線</t>
        </is>
      </c>
      <c r="D3473" s="10" t="inlineStr">
        <is>
          <t>上り</t>
        </is>
      </c>
      <c r="E3473" t="inlineStr">
        <is>
          <t>2352</t>
        </is>
      </c>
      <c r="F3473" t="inlineStr">
        <is>
          <t>0304</t>
        </is>
      </c>
      <c r="G3473" s="10" t="inlineStr">
        <is>
          <t>等持院</t>
        </is>
      </c>
      <c r="H3473" s="10" t="inlineStr">
        <is>
          <t>発</t>
        </is>
      </c>
      <c r="J3473" s="10" t="inlineStr">
        <is>
          <t>営業</t>
        </is>
      </c>
      <c r="L3473" t="inlineStr">
        <is>
          <t>23:35:35</t>
        </is>
      </c>
      <c r="M3473" t="inlineStr">
        <is>
          <t>23:35:55</t>
        </is>
      </c>
    </row>
    <row r="3474" ht="16.5" customHeight="1" s="37">
      <c r="A3474" t="n">
        <v>24</v>
      </c>
      <c r="B3474" s="10" t="inlineStr">
        <is>
          <t>休日</t>
        </is>
      </c>
      <c r="C3474" s="10" t="inlineStr">
        <is>
          <t>北野線</t>
        </is>
      </c>
      <c r="D3474" s="10" t="inlineStr">
        <is>
          <t>上り</t>
        </is>
      </c>
      <c r="E3474" t="inlineStr">
        <is>
          <t>2352</t>
        </is>
      </c>
      <c r="F3474" t="inlineStr">
        <is>
          <t>0304</t>
        </is>
      </c>
      <c r="G3474" s="10" t="inlineStr">
        <is>
          <t>北野白梅町</t>
        </is>
      </c>
      <c r="H3474" s="10" t="inlineStr">
        <is>
          <t>着</t>
        </is>
      </c>
      <c r="J3474" s="10" t="inlineStr">
        <is>
          <t>営業</t>
        </is>
      </c>
      <c r="L3474" t="inlineStr">
        <is>
          <t>23:37:15</t>
        </is>
      </c>
      <c r="N3474" t="inlineStr">
        <is>
          <t>○</t>
        </is>
      </c>
      <c r="Q3474" t="inlineStr">
        <is>
          <t>1</t>
        </is>
      </c>
    </row>
    <row r="3475" ht="16.5" customHeight="1" s="37">
      <c r="A3475" t="n">
        <v>24</v>
      </c>
      <c r="B3475" s="10" t="inlineStr">
        <is>
          <t>休日</t>
        </is>
      </c>
      <c r="C3475" s="10" t="inlineStr">
        <is>
          <t>北野線</t>
        </is>
      </c>
      <c r="D3475" s="10" t="inlineStr">
        <is>
          <t>下り</t>
        </is>
      </c>
      <c r="E3475" t="inlineStr">
        <is>
          <t>2353</t>
        </is>
      </c>
      <c r="F3475" t="inlineStr">
        <is>
          <t>0453</t>
        </is>
      </c>
      <c r="G3475" s="10" t="inlineStr">
        <is>
          <t>北野白梅町</t>
        </is>
      </c>
      <c r="H3475" s="10" t="inlineStr">
        <is>
          <t>発</t>
        </is>
      </c>
      <c r="J3475" s="10" t="inlineStr">
        <is>
          <t>営業</t>
        </is>
      </c>
      <c r="M3475" t="inlineStr">
        <is>
          <t>23:40:00</t>
        </is>
      </c>
      <c r="Q3475" t="inlineStr">
        <is>
          <t>1</t>
        </is>
      </c>
    </row>
    <row r="3476" ht="16.5" customHeight="1" s="37">
      <c r="A3476" t="n">
        <v>24</v>
      </c>
      <c r="B3476" s="10" t="inlineStr">
        <is>
          <t>休日</t>
        </is>
      </c>
      <c r="C3476" s="10" t="inlineStr">
        <is>
          <t>北野線</t>
        </is>
      </c>
      <c r="D3476" s="10" t="inlineStr">
        <is>
          <t>下り</t>
        </is>
      </c>
      <c r="E3476" t="inlineStr">
        <is>
          <t>2353</t>
        </is>
      </c>
      <c r="F3476" t="inlineStr">
        <is>
          <t>0453</t>
        </is>
      </c>
      <c r="G3476" s="10" t="inlineStr">
        <is>
          <t>等持院</t>
        </is>
      </c>
      <c r="H3476" s="10" t="inlineStr">
        <is>
          <t>発</t>
        </is>
      </c>
      <c r="J3476" s="10" t="inlineStr">
        <is>
          <t>営業</t>
        </is>
      </c>
      <c r="L3476" t="inlineStr">
        <is>
          <t>23:41:25</t>
        </is>
      </c>
      <c r="M3476" t="inlineStr">
        <is>
          <t>23:41:35</t>
        </is>
      </c>
    </row>
    <row r="3477" ht="16.5" customHeight="1" s="37">
      <c r="A3477" t="n">
        <v>24</v>
      </c>
      <c r="B3477" s="10" t="inlineStr">
        <is>
          <t>休日</t>
        </is>
      </c>
      <c r="C3477" s="10" t="inlineStr">
        <is>
          <t>北野線</t>
        </is>
      </c>
      <c r="D3477" s="10" t="inlineStr">
        <is>
          <t>下り</t>
        </is>
      </c>
      <c r="E3477" t="inlineStr">
        <is>
          <t>2353</t>
        </is>
      </c>
      <c r="F3477" t="inlineStr">
        <is>
          <t>0453</t>
        </is>
      </c>
      <c r="G3477" s="10" t="inlineStr">
        <is>
          <t>龍安寺</t>
        </is>
      </c>
      <c r="H3477" s="10" t="inlineStr">
        <is>
          <t>発</t>
        </is>
      </c>
      <c r="J3477" s="10" t="inlineStr">
        <is>
          <t>営業</t>
        </is>
      </c>
      <c r="L3477" t="inlineStr">
        <is>
          <t>23:42:25</t>
        </is>
      </c>
      <c r="M3477" t="inlineStr">
        <is>
          <t>23:42:50</t>
        </is>
      </c>
    </row>
    <row r="3478" ht="16.5" customHeight="1" s="37">
      <c r="A3478" t="n">
        <v>24</v>
      </c>
      <c r="B3478" s="10" t="inlineStr">
        <is>
          <t>休日</t>
        </is>
      </c>
      <c r="C3478" s="10" t="inlineStr">
        <is>
          <t>北野線</t>
        </is>
      </c>
      <c r="D3478" s="10" t="inlineStr">
        <is>
          <t>下り</t>
        </is>
      </c>
      <c r="E3478" t="inlineStr">
        <is>
          <t>2353</t>
        </is>
      </c>
      <c r="F3478" t="inlineStr">
        <is>
          <t>0453</t>
        </is>
      </c>
      <c r="G3478" s="10" t="inlineStr">
        <is>
          <t>妙心寺</t>
        </is>
      </c>
      <c r="H3478" s="10" t="inlineStr">
        <is>
          <t>発</t>
        </is>
      </c>
      <c r="J3478" s="10" t="inlineStr">
        <is>
          <t>営業</t>
        </is>
      </c>
      <c r="L3478" t="inlineStr">
        <is>
          <t>23:43:40</t>
        </is>
      </c>
      <c r="M3478" t="inlineStr">
        <is>
          <t>23:43:50</t>
        </is>
      </c>
    </row>
    <row r="3479" ht="16.5" customHeight="1" s="37">
      <c r="A3479" t="n">
        <v>24</v>
      </c>
      <c r="B3479" s="10" t="inlineStr">
        <is>
          <t>休日</t>
        </is>
      </c>
      <c r="C3479" s="10" t="inlineStr">
        <is>
          <t>北野線</t>
        </is>
      </c>
      <c r="D3479" s="10" t="inlineStr">
        <is>
          <t>下り</t>
        </is>
      </c>
      <c r="E3479" t="inlineStr">
        <is>
          <t>2353</t>
        </is>
      </c>
      <c r="F3479" t="inlineStr">
        <is>
          <t>0453</t>
        </is>
      </c>
      <c r="G3479" s="10" t="inlineStr">
        <is>
          <t>御室仁和寺</t>
        </is>
      </c>
      <c r="H3479" s="10" t="inlineStr">
        <is>
          <t>発</t>
        </is>
      </c>
      <c r="J3479" s="10" t="inlineStr">
        <is>
          <t>営業</t>
        </is>
      </c>
      <c r="L3479" t="inlineStr">
        <is>
          <t>23:44:50</t>
        </is>
      </c>
      <c r="M3479" t="inlineStr">
        <is>
          <t>23:45:05</t>
        </is>
      </c>
    </row>
    <row r="3480" ht="16.5" customHeight="1" s="37">
      <c r="A3480" t="n">
        <v>24</v>
      </c>
      <c r="B3480" s="10" t="inlineStr">
        <is>
          <t>休日</t>
        </is>
      </c>
      <c r="C3480" s="10" t="inlineStr">
        <is>
          <t>北野線</t>
        </is>
      </c>
      <c r="D3480" s="10" t="inlineStr">
        <is>
          <t>下り</t>
        </is>
      </c>
      <c r="E3480" t="inlineStr">
        <is>
          <t>2353</t>
        </is>
      </c>
      <c r="F3480" t="inlineStr">
        <is>
          <t>0453</t>
        </is>
      </c>
      <c r="G3480" s="10" t="inlineStr">
        <is>
          <t>宇多野</t>
        </is>
      </c>
      <c r="H3480" s="10" t="inlineStr">
        <is>
          <t>発</t>
        </is>
      </c>
      <c r="J3480" s="10" t="inlineStr">
        <is>
          <t>営業</t>
        </is>
      </c>
      <c r="L3480" t="inlineStr">
        <is>
          <t>23:46:05</t>
        </is>
      </c>
      <c r="M3480" t="inlineStr">
        <is>
          <t>23:46:15</t>
        </is>
      </c>
    </row>
    <row r="3481" ht="16.5" customHeight="1" s="37">
      <c r="A3481" t="n">
        <v>24</v>
      </c>
      <c r="B3481" s="10" t="inlineStr">
        <is>
          <t>休日</t>
        </is>
      </c>
      <c r="C3481" s="10" t="inlineStr">
        <is>
          <t>北野線</t>
        </is>
      </c>
      <c r="D3481" s="10" t="inlineStr">
        <is>
          <t>下り</t>
        </is>
      </c>
      <c r="E3481" t="inlineStr">
        <is>
          <t>2353</t>
        </is>
      </c>
      <c r="F3481" t="inlineStr">
        <is>
          <t>0453</t>
        </is>
      </c>
      <c r="G3481" s="10" t="inlineStr">
        <is>
          <t>鳴滝</t>
        </is>
      </c>
      <c r="H3481" s="10" t="inlineStr">
        <is>
          <t>発</t>
        </is>
      </c>
      <c r="J3481" s="10" t="inlineStr">
        <is>
          <t>営業</t>
        </is>
      </c>
      <c r="L3481" t="inlineStr">
        <is>
          <t>23:47:35</t>
        </is>
      </c>
      <c r="M3481" t="inlineStr">
        <is>
          <t>23:47:45</t>
        </is>
      </c>
    </row>
    <row r="3482" ht="16.5" customHeight="1" s="37">
      <c r="A3482" t="n">
        <v>24</v>
      </c>
      <c r="B3482" s="10" t="inlineStr">
        <is>
          <t>休日</t>
        </is>
      </c>
      <c r="C3482" s="10" t="inlineStr">
        <is>
          <t>北野線</t>
        </is>
      </c>
      <c r="D3482" s="10" t="inlineStr">
        <is>
          <t>下り</t>
        </is>
      </c>
      <c r="E3482" t="inlineStr">
        <is>
          <t>2353</t>
        </is>
      </c>
      <c r="F3482" t="inlineStr">
        <is>
          <t>0453</t>
        </is>
      </c>
      <c r="G3482" s="10" t="inlineStr">
        <is>
          <t>常盤</t>
        </is>
      </c>
      <c r="H3482" s="10" t="inlineStr">
        <is>
          <t>発</t>
        </is>
      </c>
      <c r="J3482" s="10" t="inlineStr">
        <is>
          <t>営業</t>
        </is>
      </c>
      <c r="L3482" t="inlineStr">
        <is>
          <t>23:48:35</t>
        </is>
      </c>
      <c r="M3482" t="inlineStr">
        <is>
          <t>23:48:55</t>
        </is>
      </c>
    </row>
    <row r="3483" ht="16.5" customHeight="1" s="37">
      <c r="A3483" t="n">
        <v>24</v>
      </c>
      <c r="B3483" s="10" t="inlineStr">
        <is>
          <t>休日</t>
        </is>
      </c>
      <c r="C3483" s="10" t="inlineStr">
        <is>
          <t>北野線</t>
        </is>
      </c>
      <c r="D3483" s="10" t="inlineStr">
        <is>
          <t>下り</t>
        </is>
      </c>
      <c r="E3483" t="inlineStr">
        <is>
          <t>2353</t>
        </is>
      </c>
      <c r="F3483" t="inlineStr">
        <is>
          <t>0453</t>
        </is>
      </c>
      <c r="G3483" s="10" t="inlineStr">
        <is>
          <t>撮影所前</t>
        </is>
      </c>
      <c r="H3483" s="10" t="inlineStr">
        <is>
          <t>発</t>
        </is>
      </c>
      <c r="J3483" s="10" t="inlineStr">
        <is>
          <t>営業</t>
        </is>
      </c>
      <c r="L3483" t="inlineStr">
        <is>
          <t>23:50:15</t>
        </is>
      </c>
      <c r="M3483" t="inlineStr">
        <is>
          <t>23:50:30</t>
        </is>
      </c>
    </row>
    <row r="3484" ht="16.5" customHeight="1" s="37">
      <c r="A3484" t="n">
        <v>24</v>
      </c>
      <c r="B3484" s="10" t="inlineStr">
        <is>
          <t>休日</t>
        </is>
      </c>
      <c r="C3484" s="10" t="inlineStr">
        <is>
          <t>北野線</t>
        </is>
      </c>
      <c r="D3484" s="10" t="inlineStr">
        <is>
          <t>下り</t>
        </is>
      </c>
      <c r="E3484" t="inlineStr">
        <is>
          <t>2353</t>
        </is>
      </c>
      <c r="F3484" t="inlineStr">
        <is>
          <t>0453</t>
        </is>
      </c>
      <c r="G3484" s="10" t="inlineStr">
        <is>
          <t>帷子ノ辻</t>
        </is>
      </c>
      <c r="H3484" s="10" t="inlineStr">
        <is>
          <t>着</t>
        </is>
      </c>
      <c r="J3484" s="10" t="inlineStr">
        <is>
          <t>営業</t>
        </is>
      </c>
      <c r="L3484" t="inlineStr">
        <is>
          <t>23:51:25</t>
        </is>
      </c>
      <c r="Q3484" t="inlineStr">
        <is>
          <t>4入</t>
        </is>
      </c>
      <c r="T3484" t="inlineStr">
        <is>
          <t>○</t>
        </is>
      </c>
    </row>
    <row r="3485" ht="16.5" customHeight="1" s="37">
      <c r="A3485" t="n">
        <v>24</v>
      </c>
      <c r="B3485" s="10" t="inlineStr">
        <is>
          <t>休日</t>
        </is>
      </c>
      <c r="C3485" s="10" t="inlineStr">
        <is>
          <t>本線</t>
        </is>
      </c>
      <c r="D3485" s="10" t="inlineStr">
        <is>
          <t>下り</t>
        </is>
      </c>
      <c r="E3485" t="inlineStr">
        <is>
          <t>24系統⑦便乗</t>
        </is>
      </c>
      <c r="F3485" s="10" t="inlineStr">
        <is>
          <t>便乗</t>
        </is>
      </c>
      <c r="G3485" s="10" t="inlineStr">
        <is>
          <t>西院</t>
        </is>
      </c>
      <c r="H3485" s="10" t="inlineStr">
        <is>
          <t>発</t>
        </is>
      </c>
      <c r="J3485" s="10" t="inlineStr">
        <is>
          <t>便乗</t>
        </is>
      </c>
      <c r="L3485" t="inlineStr">
        <is>
          <t>15:15:50</t>
        </is>
      </c>
      <c r="M3485" t="inlineStr">
        <is>
          <t>15:16:20</t>
        </is>
      </c>
      <c r="S3485" t="inlineStr">
        <is>
          <t>連1503</t>
        </is>
      </c>
    </row>
    <row r="3486" ht="16.5" customHeight="1" s="37">
      <c r="A3486" t="n">
        <v>24</v>
      </c>
      <c r="B3486" s="10" t="inlineStr">
        <is>
          <t>休日</t>
        </is>
      </c>
      <c r="C3486" s="10" t="inlineStr">
        <is>
          <t>本線</t>
        </is>
      </c>
      <c r="D3486" s="10" t="inlineStr">
        <is>
          <t>下り</t>
        </is>
      </c>
      <c r="E3486" t="inlineStr">
        <is>
          <t>24系統⑦便乗</t>
        </is>
      </c>
      <c r="F3486" s="10" t="inlineStr">
        <is>
          <t>便乗</t>
        </is>
      </c>
      <c r="G3486" s="10" t="inlineStr">
        <is>
          <t>西大路三条</t>
        </is>
      </c>
      <c r="H3486" s="10" t="inlineStr">
        <is>
          <t>発</t>
        </is>
      </c>
      <c r="J3486" s="10" t="inlineStr">
        <is>
          <t>便乗</t>
        </is>
      </c>
      <c r="L3486" t="inlineStr">
        <is>
          <t>15:18:10</t>
        </is>
      </c>
      <c r="M3486" t="inlineStr">
        <is>
          <t>15:18:30</t>
        </is>
      </c>
      <c r="S3486" t="inlineStr">
        <is>
          <t>連1503</t>
        </is>
      </c>
    </row>
    <row r="3487" ht="16.5" customHeight="1" s="37">
      <c r="A3487" t="n">
        <v>24</v>
      </c>
      <c r="B3487" s="10" t="inlineStr">
        <is>
          <t>休日</t>
        </is>
      </c>
      <c r="C3487" s="10" t="inlineStr">
        <is>
          <t>本線</t>
        </is>
      </c>
      <c r="D3487" s="10" t="inlineStr">
        <is>
          <t>下り</t>
        </is>
      </c>
      <c r="E3487" t="inlineStr">
        <is>
          <t>24系統⑦便乗</t>
        </is>
      </c>
      <c r="F3487" s="10" t="inlineStr">
        <is>
          <t>便乗</t>
        </is>
      </c>
      <c r="G3487" s="10" t="inlineStr">
        <is>
          <t>山ノ内</t>
        </is>
      </c>
      <c r="H3487" s="10" t="inlineStr">
        <is>
          <t>発</t>
        </is>
      </c>
      <c r="J3487" s="10" t="inlineStr">
        <is>
          <t>便乗</t>
        </is>
      </c>
      <c r="L3487" t="inlineStr">
        <is>
          <t>15:20:25</t>
        </is>
      </c>
      <c r="M3487" t="inlineStr">
        <is>
          <t>15:20:50</t>
        </is>
      </c>
      <c r="S3487" t="inlineStr">
        <is>
          <t>連1503</t>
        </is>
      </c>
    </row>
    <row r="3488" ht="16.5" customHeight="1" s="37">
      <c r="A3488" t="n">
        <v>24</v>
      </c>
      <c r="B3488" s="10" t="inlineStr">
        <is>
          <t>休日</t>
        </is>
      </c>
      <c r="C3488" s="10" t="inlineStr">
        <is>
          <t>本線</t>
        </is>
      </c>
      <c r="D3488" s="10" t="inlineStr">
        <is>
          <t>下り</t>
        </is>
      </c>
      <c r="E3488" t="inlineStr">
        <is>
          <t>24系統⑦便乗</t>
        </is>
      </c>
      <c r="F3488" s="10" t="inlineStr">
        <is>
          <t>便乗</t>
        </is>
      </c>
      <c r="G3488" s="10" t="inlineStr">
        <is>
          <t>天神川</t>
        </is>
      </c>
      <c r="H3488" s="10" t="inlineStr">
        <is>
          <t>発</t>
        </is>
      </c>
      <c r="J3488" s="10" t="inlineStr">
        <is>
          <t>便乗</t>
        </is>
      </c>
      <c r="L3488" t="inlineStr">
        <is>
          <t>15:22:50</t>
        </is>
      </c>
      <c r="M3488" t="inlineStr">
        <is>
          <t>15:23:30</t>
        </is>
      </c>
      <c r="S3488" t="inlineStr">
        <is>
          <t>連1503</t>
        </is>
      </c>
    </row>
    <row r="3489" ht="16.5" customHeight="1" s="37">
      <c r="A3489" t="n">
        <v>24</v>
      </c>
      <c r="B3489" s="10" t="inlineStr">
        <is>
          <t>休日</t>
        </is>
      </c>
      <c r="C3489" s="10" t="inlineStr">
        <is>
          <t>本線</t>
        </is>
      </c>
      <c r="D3489" s="10" t="inlineStr">
        <is>
          <t>下り</t>
        </is>
      </c>
      <c r="E3489" t="inlineStr">
        <is>
          <t>24系統⑦便乗</t>
        </is>
      </c>
      <c r="F3489" s="10" t="inlineStr">
        <is>
          <t>便乗</t>
        </is>
      </c>
      <c r="G3489" s="10" t="inlineStr">
        <is>
          <t>蚕ノ社</t>
        </is>
      </c>
      <c r="H3489" s="10" t="inlineStr">
        <is>
          <t>発</t>
        </is>
      </c>
      <c r="J3489" s="10" t="inlineStr">
        <is>
          <t>便乗</t>
        </is>
      </c>
      <c r="L3489" t="inlineStr">
        <is>
          <t>15:24:20</t>
        </is>
      </c>
      <c r="M3489" t="inlineStr">
        <is>
          <t>15:24:40</t>
        </is>
      </c>
      <c r="S3489" t="inlineStr">
        <is>
          <t>連1503</t>
        </is>
      </c>
    </row>
    <row r="3490" ht="16.5" customHeight="1" s="37">
      <c r="A3490" t="n">
        <v>24</v>
      </c>
      <c r="B3490" s="10" t="inlineStr">
        <is>
          <t>休日</t>
        </is>
      </c>
      <c r="C3490" s="10" t="inlineStr">
        <is>
          <t>本線</t>
        </is>
      </c>
      <c r="D3490" s="10" t="inlineStr">
        <is>
          <t>下り</t>
        </is>
      </c>
      <c r="E3490" t="inlineStr">
        <is>
          <t>24系統⑦便乗</t>
        </is>
      </c>
      <c r="F3490" s="10" t="inlineStr">
        <is>
          <t>便乗</t>
        </is>
      </c>
      <c r="G3490" s="10" t="inlineStr">
        <is>
          <t>太秦広隆寺</t>
        </is>
      </c>
      <c r="H3490" s="10" t="inlineStr">
        <is>
          <t>発</t>
        </is>
      </c>
      <c r="J3490" s="10" t="inlineStr">
        <is>
          <t>便乗</t>
        </is>
      </c>
      <c r="L3490" t="inlineStr">
        <is>
          <t>15:26:00</t>
        </is>
      </c>
      <c r="M3490" t="inlineStr">
        <is>
          <t>15:26:20</t>
        </is>
      </c>
      <c r="S3490" t="inlineStr">
        <is>
          <t>連1503</t>
        </is>
      </c>
    </row>
    <row r="3491" ht="16.5" customHeight="1" s="37">
      <c r="A3491" t="n">
        <v>24</v>
      </c>
      <c r="B3491" s="10" t="inlineStr">
        <is>
          <t>休日</t>
        </is>
      </c>
      <c r="C3491" s="10" t="inlineStr">
        <is>
          <t>本線</t>
        </is>
      </c>
      <c r="D3491" s="10" t="inlineStr">
        <is>
          <t>下り</t>
        </is>
      </c>
      <c r="E3491" t="inlineStr">
        <is>
          <t>24系統⑦便乗</t>
        </is>
      </c>
      <c r="F3491" s="10" t="inlineStr">
        <is>
          <t>便乗</t>
        </is>
      </c>
      <c r="G3491" s="10" t="inlineStr">
        <is>
          <t>帷子ノ辻</t>
        </is>
      </c>
      <c r="H3491" s="10" t="inlineStr">
        <is>
          <t>着</t>
        </is>
      </c>
      <c r="J3491" s="10" t="inlineStr">
        <is>
          <t>便乗</t>
        </is>
      </c>
      <c r="L3491" t="inlineStr">
        <is>
          <t>15:28:20</t>
        </is>
      </c>
      <c r="M3491" t="inlineStr">
        <is>
          <t>15:29:40</t>
        </is>
      </c>
      <c r="S3491" t="inlineStr">
        <is>
          <t>連1503</t>
        </is>
      </c>
    </row>
    <row r="3492" ht="16.5" customHeight="1" s="37">
      <c r="A3492" t="n">
        <v>24</v>
      </c>
      <c r="B3492" s="10" t="inlineStr">
        <is>
          <t>休日</t>
        </is>
      </c>
      <c r="C3492" s="10" t="inlineStr">
        <is>
          <t>本線</t>
        </is>
      </c>
      <c r="D3492" s="10" t="inlineStr">
        <is>
          <t>上り</t>
        </is>
      </c>
      <c r="E3492" s="10" t="inlineStr">
        <is>
          <t>回2390</t>
        </is>
      </c>
      <c r="G3492" s="10" t="inlineStr">
        <is>
          <t>帷子ノ辻</t>
        </is>
      </c>
      <c r="H3492" s="10" t="inlineStr">
        <is>
          <t>発</t>
        </is>
      </c>
      <c r="I3492" t="inlineStr">
        <is>
          <t>○</t>
        </is>
      </c>
      <c r="J3492" s="10" t="inlineStr">
        <is>
          <t>回送</t>
        </is>
      </c>
      <c r="M3492" t="inlineStr">
        <is>
          <t>23:58:05</t>
        </is>
      </c>
    </row>
    <row r="3493" ht="16.5" customHeight="1" s="37">
      <c r="A3493" t="n">
        <v>24</v>
      </c>
      <c r="B3493" s="10" t="inlineStr">
        <is>
          <t>休日</t>
        </is>
      </c>
      <c r="C3493" s="10" t="inlineStr">
        <is>
          <t>本線</t>
        </is>
      </c>
      <c r="D3493" s="10" t="inlineStr">
        <is>
          <t>上り</t>
        </is>
      </c>
      <c r="E3493" s="10" t="inlineStr">
        <is>
          <t>回2390</t>
        </is>
      </c>
      <c r="G3493" s="10" t="inlineStr">
        <is>
          <t>太秦広隆寺</t>
        </is>
      </c>
      <c r="H3493" s="10" t="inlineStr">
        <is>
          <t>発</t>
        </is>
      </c>
      <c r="I3493" t="inlineStr">
        <is>
          <t>○</t>
        </is>
      </c>
      <c r="J3493" s="10" t="inlineStr">
        <is>
          <t>回送</t>
        </is>
      </c>
      <c r="L3493" t="inlineStr">
        <is>
          <t>24:00:15</t>
        </is>
      </c>
      <c r="M3493" t="inlineStr">
        <is>
          <t>24:00:15</t>
        </is>
      </c>
    </row>
    <row r="3494" ht="16.5" customHeight="1" s="37">
      <c r="A3494" t="n">
        <v>24</v>
      </c>
      <c r="B3494" s="10" t="inlineStr">
        <is>
          <t>休日</t>
        </is>
      </c>
      <c r="C3494" s="10" t="inlineStr">
        <is>
          <t>本線</t>
        </is>
      </c>
      <c r="D3494" s="10" t="inlineStr">
        <is>
          <t>上り</t>
        </is>
      </c>
      <c r="E3494" s="10" t="inlineStr">
        <is>
          <t>回2390</t>
        </is>
      </c>
      <c r="G3494" s="10" t="inlineStr">
        <is>
          <t>蚕ノ社</t>
        </is>
      </c>
      <c r="H3494" s="10" t="inlineStr">
        <is>
          <t>発</t>
        </is>
      </c>
      <c r="I3494" t="inlineStr">
        <is>
          <t>○</t>
        </is>
      </c>
      <c r="J3494" s="10" t="inlineStr">
        <is>
          <t>回送</t>
        </is>
      </c>
      <c r="L3494" t="inlineStr">
        <is>
          <t>24:01:30</t>
        </is>
      </c>
      <c r="M3494" t="inlineStr">
        <is>
          <t>24:01:30</t>
        </is>
      </c>
    </row>
    <row r="3495" ht="16.5" customHeight="1" s="37">
      <c r="A3495" t="n">
        <v>24</v>
      </c>
      <c r="B3495" s="10" t="inlineStr">
        <is>
          <t>休日</t>
        </is>
      </c>
      <c r="C3495" s="10" t="inlineStr">
        <is>
          <t>本線</t>
        </is>
      </c>
      <c r="D3495" s="10" t="inlineStr">
        <is>
          <t>上り</t>
        </is>
      </c>
      <c r="E3495" s="10" t="inlineStr">
        <is>
          <t>回2390</t>
        </is>
      </c>
      <c r="G3495" s="10" t="inlineStr">
        <is>
          <t>天神川</t>
        </is>
      </c>
      <c r="H3495" s="10" t="inlineStr">
        <is>
          <t>発</t>
        </is>
      </c>
      <c r="I3495" t="inlineStr">
        <is>
          <t>○</t>
        </is>
      </c>
      <c r="J3495" s="10" t="inlineStr">
        <is>
          <t>回送</t>
        </is>
      </c>
      <c r="L3495" t="inlineStr">
        <is>
          <t>24:02:15</t>
        </is>
      </c>
      <c r="M3495" t="inlineStr">
        <is>
          <t>24:02:40</t>
        </is>
      </c>
    </row>
    <row r="3496" ht="16.5" customHeight="1" s="37">
      <c r="A3496" t="n">
        <v>24</v>
      </c>
      <c r="B3496" s="10" t="inlineStr">
        <is>
          <t>休日</t>
        </is>
      </c>
      <c r="C3496" s="10" t="inlineStr">
        <is>
          <t>本線</t>
        </is>
      </c>
      <c r="D3496" s="10" t="inlineStr">
        <is>
          <t>上り</t>
        </is>
      </c>
      <c r="E3496" s="10" t="inlineStr">
        <is>
          <t>回2390</t>
        </is>
      </c>
      <c r="G3496" s="10" t="inlineStr">
        <is>
          <t>山ノ内</t>
        </is>
      </c>
      <c r="H3496" s="10" t="inlineStr">
        <is>
          <t>発</t>
        </is>
      </c>
      <c r="I3496" t="inlineStr">
        <is>
          <t>○</t>
        </is>
      </c>
      <c r="J3496" s="10" t="inlineStr">
        <is>
          <t>回送</t>
        </is>
      </c>
      <c r="L3496" t="inlineStr">
        <is>
          <t>24:04:30</t>
        </is>
      </c>
      <c r="M3496" t="inlineStr">
        <is>
          <t>24:04:55</t>
        </is>
      </c>
    </row>
    <row r="3497" ht="16.5" customHeight="1" s="37">
      <c r="A3497" t="n">
        <v>24</v>
      </c>
      <c r="B3497" s="10" t="inlineStr">
        <is>
          <t>休日</t>
        </is>
      </c>
      <c r="C3497" s="10" t="inlineStr">
        <is>
          <t>本線</t>
        </is>
      </c>
      <c r="D3497" s="10" t="inlineStr">
        <is>
          <t>上り</t>
        </is>
      </c>
      <c r="E3497" s="10" t="inlineStr">
        <is>
          <t>回2390</t>
        </is>
      </c>
      <c r="G3497" s="10" t="inlineStr">
        <is>
          <t>西大路三条</t>
        </is>
      </c>
      <c r="H3497" s="10" t="inlineStr">
        <is>
          <t>発</t>
        </is>
      </c>
      <c r="I3497" t="inlineStr">
        <is>
          <t>○</t>
        </is>
      </c>
      <c r="J3497" s="10" t="inlineStr">
        <is>
          <t>回送</t>
        </is>
      </c>
      <c r="L3497" t="inlineStr">
        <is>
          <t>24:06:45</t>
        </is>
      </c>
      <c r="M3497" t="inlineStr">
        <is>
          <t>24:06:45</t>
        </is>
      </c>
    </row>
    <row r="3498" ht="16.5" customHeight="1" s="37">
      <c r="A3498" t="n">
        <v>24</v>
      </c>
      <c r="B3498" s="10" t="inlineStr">
        <is>
          <t>休日</t>
        </is>
      </c>
      <c r="C3498" s="10" t="inlineStr">
        <is>
          <t>本線</t>
        </is>
      </c>
      <c r="D3498" s="10" t="inlineStr">
        <is>
          <t>上り</t>
        </is>
      </c>
      <c r="E3498" s="10" t="inlineStr">
        <is>
          <t>回2390</t>
        </is>
      </c>
      <c r="G3498" s="10" t="inlineStr">
        <is>
          <t>西院</t>
        </is>
      </c>
      <c r="H3498" s="10" t="inlineStr">
        <is>
          <t>着</t>
        </is>
      </c>
      <c r="I3498" t="inlineStr">
        <is>
          <t>○</t>
        </is>
      </c>
      <c r="J3498" s="10" t="inlineStr">
        <is>
          <t>回送</t>
        </is>
      </c>
      <c r="L3498" t="inlineStr">
        <is>
          <t>24:08:40</t>
        </is>
      </c>
    </row>
    <row r="3499" ht="16.5" customHeight="1" s="37">
      <c r="A3499" t="n">
        <v>3</v>
      </c>
      <c r="B3499" s="10" t="inlineStr">
        <is>
          <t>休日</t>
        </is>
      </c>
      <c r="C3499" s="10" t="inlineStr">
        <is>
          <t>本線</t>
        </is>
      </c>
      <c r="D3499" s="10" t="inlineStr">
        <is>
          <t>下り</t>
        </is>
      </c>
      <c r="E3499" t="inlineStr">
        <is>
          <t>0601</t>
        </is>
      </c>
      <c r="F3499" t="inlineStr">
        <is>
          <t>0502</t>
        </is>
      </c>
      <c r="G3499" s="10" t="inlineStr">
        <is>
          <t>西院</t>
        </is>
      </c>
      <c r="H3499" s="10" t="inlineStr">
        <is>
          <t>発</t>
        </is>
      </c>
      <c r="J3499" s="10" t="inlineStr">
        <is>
          <t>営業</t>
        </is>
      </c>
      <c r="M3499" t="inlineStr">
        <is>
          <t>6:00:20</t>
        </is>
      </c>
    </row>
    <row r="3500" ht="16.5" customHeight="1" s="37">
      <c r="A3500" t="n">
        <v>3</v>
      </c>
      <c r="B3500" s="10" t="inlineStr">
        <is>
          <t>休日</t>
        </is>
      </c>
      <c r="C3500" s="10" t="inlineStr">
        <is>
          <t>本線</t>
        </is>
      </c>
      <c r="D3500" s="10" t="inlineStr">
        <is>
          <t>下り</t>
        </is>
      </c>
      <c r="E3500" t="inlineStr">
        <is>
          <t>0601</t>
        </is>
      </c>
      <c r="F3500" t="inlineStr">
        <is>
          <t>0502</t>
        </is>
      </c>
      <c r="G3500" s="10" t="inlineStr">
        <is>
          <t>西大路三条</t>
        </is>
      </c>
      <c r="H3500" s="10" t="inlineStr">
        <is>
          <t>発</t>
        </is>
      </c>
      <c r="J3500" s="10" t="inlineStr">
        <is>
          <t>営業</t>
        </is>
      </c>
      <c r="L3500" t="inlineStr">
        <is>
          <t>6:02:10</t>
        </is>
      </c>
      <c r="M3500" t="inlineStr">
        <is>
          <t>6:02:25</t>
        </is>
      </c>
    </row>
    <row r="3501" ht="16.5" customHeight="1" s="37">
      <c r="A3501" t="n">
        <v>3</v>
      </c>
      <c r="B3501" s="10" t="inlineStr">
        <is>
          <t>休日</t>
        </is>
      </c>
      <c r="C3501" s="10" t="inlineStr">
        <is>
          <t>本線</t>
        </is>
      </c>
      <c r="D3501" s="10" t="inlineStr">
        <is>
          <t>下り</t>
        </is>
      </c>
      <c r="E3501" t="inlineStr">
        <is>
          <t>0601</t>
        </is>
      </c>
      <c r="F3501" t="inlineStr">
        <is>
          <t>0502</t>
        </is>
      </c>
      <c r="G3501" s="10" t="inlineStr">
        <is>
          <t>山ノ内</t>
        </is>
      </c>
      <c r="H3501" s="10" t="inlineStr">
        <is>
          <t>発</t>
        </is>
      </c>
      <c r="J3501" s="10" t="inlineStr">
        <is>
          <t>営業</t>
        </is>
      </c>
      <c r="L3501" t="inlineStr">
        <is>
          <t>6:04:20</t>
        </is>
      </c>
      <c r="M3501" t="inlineStr">
        <is>
          <t>6:04:45</t>
        </is>
      </c>
    </row>
    <row r="3502" ht="16.5" customHeight="1" s="37">
      <c r="A3502" t="n">
        <v>3</v>
      </c>
      <c r="B3502" s="10" t="inlineStr">
        <is>
          <t>休日</t>
        </is>
      </c>
      <c r="C3502" s="10" t="inlineStr">
        <is>
          <t>本線</t>
        </is>
      </c>
      <c r="D3502" s="10" t="inlineStr">
        <is>
          <t>下り</t>
        </is>
      </c>
      <c r="E3502" t="inlineStr">
        <is>
          <t>0601</t>
        </is>
      </c>
      <c r="F3502" t="inlineStr">
        <is>
          <t>0502</t>
        </is>
      </c>
      <c r="G3502" s="10" t="inlineStr">
        <is>
          <t>天神川</t>
        </is>
      </c>
      <c r="H3502" s="10" t="inlineStr">
        <is>
          <t>発</t>
        </is>
      </c>
      <c r="J3502" s="10" t="inlineStr">
        <is>
          <t>営業</t>
        </is>
      </c>
      <c r="L3502" t="inlineStr">
        <is>
          <t>6:06:45</t>
        </is>
      </c>
      <c r="M3502" t="inlineStr">
        <is>
          <t>6:07:10</t>
        </is>
      </c>
    </row>
    <row r="3503" ht="16.5" customHeight="1" s="37">
      <c r="A3503" t="n">
        <v>3</v>
      </c>
      <c r="B3503" s="10" t="inlineStr">
        <is>
          <t>休日</t>
        </is>
      </c>
      <c r="C3503" s="10" t="inlineStr">
        <is>
          <t>本線</t>
        </is>
      </c>
      <c r="D3503" s="10" t="inlineStr">
        <is>
          <t>下り</t>
        </is>
      </c>
      <c r="E3503" t="inlineStr">
        <is>
          <t>0601</t>
        </is>
      </c>
      <c r="F3503" t="inlineStr">
        <is>
          <t>0502</t>
        </is>
      </c>
      <c r="G3503" s="10" t="inlineStr">
        <is>
          <t>蚕ノ社</t>
        </is>
      </c>
      <c r="H3503" s="10" t="inlineStr">
        <is>
          <t>発</t>
        </is>
      </c>
      <c r="J3503" s="10" t="inlineStr">
        <is>
          <t>営業</t>
        </is>
      </c>
      <c r="L3503" t="inlineStr">
        <is>
          <t>6:08:00</t>
        </is>
      </c>
      <c r="M3503" t="inlineStr">
        <is>
          <t>6:08:15</t>
        </is>
      </c>
    </row>
    <row r="3504" ht="16.5" customHeight="1" s="37">
      <c r="A3504" t="n">
        <v>3</v>
      </c>
      <c r="B3504" s="10" t="inlineStr">
        <is>
          <t>休日</t>
        </is>
      </c>
      <c r="C3504" s="10" t="inlineStr">
        <is>
          <t>本線</t>
        </is>
      </c>
      <c r="D3504" s="10" t="inlineStr">
        <is>
          <t>下り</t>
        </is>
      </c>
      <c r="E3504" t="inlineStr">
        <is>
          <t>0601</t>
        </is>
      </c>
      <c r="F3504" t="inlineStr">
        <is>
          <t>0502</t>
        </is>
      </c>
      <c r="G3504" s="10" t="inlineStr">
        <is>
          <t>太秦広隆寺</t>
        </is>
      </c>
      <c r="H3504" s="10" t="inlineStr">
        <is>
          <t>発</t>
        </is>
      </c>
      <c r="J3504" s="10" t="inlineStr">
        <is>
          <t>営業</t>
        </is>
      </c>
      <c r="L3504" t="inlineStr">
        <is>
          <t>6:09:35</t>
        </is>
      </c>
      <c r="M3504" t="inlineStr">
        <is>
          <t>6:09:50</t>
        </is>
      </c>
    </row>
    <row r="3505" ht="16.5" customHeight="1" s="37">
      <c r="A3505" t="n">
        <v>3</v>
      </c>
      <c r="B3505" s="10" t="inlineStr">
        <is>
          <t>休日</t>
        </is>
      </c>
      <c r="C3505" s="10" t="inlineStr">
        <is>
          <t>本線</t>
        </is>
      </c>
      <c r="D3505" s="10" t="inlineStr">
        <is>
          <t>下り</t>
        </is>
      </c>
      <c r="E3505" t="inlineStr">
        <is>
          <t>0601</t>
        </is>
      </c>
      <c r="F3505" t="inlineStr">
        <is>
          <t>0502</t>
        </is>
      </c>
      <c r="G3505" s="10" t="inlineStr">
        <is>
          <t>帷子ノ辻</t>
        </is>
      </c>
      <c r="H3505" s="10" t="inlineStr">
        <is>
          <t>発</t>
        </is>
      </c>
      <c r="J3505" s="10" t="inlineStr">
        <is>
          <t>営業</t>
        </is>
      </c>
      <c r="L3505" t="inlineStr">
        <is>
          <t>6:11:50</t>
        </is>
      </c>
      <c r="M3505" t="inlineStr">
        <is>
          <t>6:12:20</t>
        </is>
      </c>
      <c r="N3505" t="inlineStr">
        <is>
          <t>○</t>
        </is>
      </c>
    </row>
    <row r="3506" ht="16.5" customHeight="1" s="37">
      <c r="A3506" t="n">
        <v>3</v>
      </c>
      <c r="B3506" s="10" t="inlineStr">
        <is>
          <t>休日</t>
        </is>
      </c>
      <c r="C3506" s="10" t="inlineStr">
        <is>
          <t>本線</t>
        </is>
      </c>
      <c r="D3506" s="10" t="inlineStr">
        <is>
          <t>下り</t>
        </is>
      </c>
      <c r="E3506" t="inlineStr">
        <is>
          <t>0601</t>
        </is>
      </c>
      <c r="F3506" t="inlineStr">
        <is>
          <t>0502</t>
        </is>
      </c>
      <c r="G3506" s="10" t="inlineStr">
        <is>
          <t>有栖川</t>
        </is>
      </c>
      <c r="H3506" s="10" t="inlineStr">
        <is>
          <t>発</t>
        </is>
      </c>
      <c r="J3506" s="10" t="inlineStr">
        <is>
          <t>営業</t>
        </is>
      </c>
      <c r="L3506" t="inlineStr">
        <is>
          <t>6:13:30</t>
        </is>
      </c>
      <c r="M3506" t="inlineStr">
        <is>
          <t>6:13:45</t>
        </is>
      </c>
    </row>
    <row r="3507" ht="16.5" customHeight="1" s="37">
      <c r="A3507" t="n">
        <v>3</v>
      </c>
      <c r="B3507" s="10" t="inlineStr">
        <is>
          <t>休日</t>
        </is>
      </c>
      <c r="C3507" s="10" t="inlineStr">
        <is>
          <t>本線</t>
        </is>
      </c>
      <c r="D3507" s="10" t="inlineStr">
        <is>
          <t>下り</t>
        </is>
      </c>
      <c r="E3507" t="inlineStr">
        <is>
          <t>0601</t>
        </is>
      </c>
      <c r="F3507" t="inlineStr">
        <is>
          <t>0502</t>
        </is>
      </c>
      <c r="G3507" s="10" t="inlineStr">
        <is>
          <t>車折</t>
        </is>
      </c>
      <c r="H3507" s="10" t="inlineStr">
        <is>
          <t>発</t>
        </is>
      </c>
      <c r="J3507" s="10" t="inlineStr">
        <is>
          <t>営業</t>
        </is>
      </c>
      <c r="L3507" t="inlineStr">
        <is>
          <t>6:15:10</t>
        </is>
      </c>
      <c r="M3507" t="inlineStr">
        <is>
          <t>6:15:25</t>
        </is>
      </c>
    </row>
    <row r="3508" ht="16.5" customHeight="1" s="37">
      <c r="A3508" t="n">
        <v>3</v>
      </c>
      <c r="B3508" s="10" t="inlineStr">
        <is>
          <t>休日</t>
        </is>
      </c>
      <c r="C3508" s="10" t="inlineStr">
        <is>
          <t>本線</t>
        </is>
      </c>
      <c r="D3508" s="10" t="inlineStr">
        <is>
          <t>下り</t>
        </is>
      </c>
      <c r="E3508" t="inlineStr">
        <is>
          <t>0601</t>
        </is>
      </c>
      <c r="F3508" t="inlineStr">
        <is>
          <t>0502</t>
        </is>
      </c>
      <c r="G3508" s="10" t="inlineStr">
        <is>
          <t>鹿王院</t>
        </is>
      </c>
      <c r="H3508" s="10" t="inlineStr">
        <is>
          <t>発</t>
        </is>
      </c>
      <c r="J3508" s="10" t="inlineStr">
        <is>
          <t>営業</t>
        </is>
      </c>
      <c r="L3508" t="inlineStr">
        <is>
          <t>6:16:20</t>
        </is>
      </c>
      <c r="M3508" t="inlineStr">
        <is>
          <t>6:16:35</t>
        </is>
      </c>
    </row>
    <row r="3509" ht="16.5" customHeight="1" s="37">
      <c r="A3509" t="n">
        <v>3</v>
      </c>
      <c r="B3509" s="10" t="inlineStr">
        <is>
          <t>休日</t>
        </is>
      </c>
      <c r="C3509" s="10" t="inlineStr">
        <is>
          <t>本線</t>
        </is>
      </c>
      <c r="D3509" s="10" t="inlineStr">
        <is>
          <t>下り</t>
        </is>
      </c>
      <c r="E3509" t="inlineStr">
        <is>
          <t>0601</t>
        </is>
      </c>
      <c r="F3509" t="inlineStr">
        <is>
          <t>0502</t>
        </is>
      </c>
      <c r="G3509" s="10" t="inlineStr">
        <is>
          <t>嵯峨</t>
        </is>
      </c>
      <c r="H3509" s="10" t="inlineStr">
        <is>
          <t>発</t>
        </is>
      </c>
      <c r="J3509" s="10" t="inlineStr">
        <is>
          <t>営業</t>
        </is>
      </c>
      <c r="L3509" t="inlineStr">
        <is>
          <t>6:17:40</t>
        </is>
      </c>
      <c r="M3509" t="inlineStr">
        <is>
          <t>6:17:55</t>
        </is>
      </c>
    </row>
    <row r="3510" ht="16.5" customHeight="1" s="37">
      <c r="A3510" t="n">
        <v>3</v>
      </c>
      <c r="B3510" s="10" t="inlineStr">
        <is>
          <t>休日</t>
        </is>
      </c>
      <c r="C3510" s="10" t="inlineStr">
        <is>
          <t>本線</t>
        </is>
      </c>
      <c r="D3510" s="10" t="inlineStr">
        <is>
          <t>下り</t>
        </is>
      </c>
      <c r="E3510" t="inlineStr">
        <is>
          <t>0601</t>
        </is>
      </c>
      <c r="F3510" t="inlineStr">
        <is>
          <t>0502</t>
        </is>
      </c>
      <c r="G3510" s="10" t="inlineStr">
        <is>
          <t>嵐山</t>
        </is>
      </c>
      <c r="H3510" s="10" t="inlineStr">
        <is>
          <t>着</t>
        </is>
      </c>
      <c r="J3510" s="10" t="inlineStr">
        <is>
          <t>営業</t>
        </is>
      </c>
      <c r="L3510" t="inlineStr">
        <is>
          <t>6:19:00</t>
        </is>
      </c>
      <c r="N3510" t="inlineStr">
        <is>
          <t>○</t>
        </is>
      </c>
      <c r="Q3510" t="inlineStr">
        <is>
          <t>1</t>
        </is>
      </c>
    </row>
    <row r="3511" ht="16.5" customHeight="1" s="37">
      <c r="A3511" t="n">
        <v>3</v>
      </c>
      <c r="B3511" s="10" t="inlineStr">
        <is>
          <t>休日</t>
        </is>
      </c>
      <c r="C3511" s="10" t="inlineStr">
        <is>
          <t>本線</t>
        </is>
      </c>
      <c r="D3511" s="10" t="inlineStr">
        <is>
          <t>上り</t>
        </is>
      </c>
      <c r="E3511" t="inlineStr">
        <is>
          <t>0604</t>
        </is>
      </c>
      <c r="F3511" t="inlineStr">
        <is>
          <t>0251</t>
        </is>
      </c>
      <c r="G3511" s="10" t="inlineStr">
        <is>
          <t>嵐山</t>
        </is>
      </c>
      <c r="H3511" s="10" t="inlineStr">
        <is>
          <t>発</t>
        </is>
      </c>
      <c r="J3511" s="10" t="inlineStr">
        <is>
          <t>営業</t>
        </is>
      </c>
      <c r="M3511" t="inlineStr">
        <is>
          <t>6:25:00</t>
        </is>
      </c>
      <c r="Q3511" t="inlineStr">
        <is>
          <t>1</t>
        </is>
      </c>
    </row>
    <row r="3512" ht="16.5" customHeight="1" s="37">
      <c r="A3512" t="n">
        <v>3</v>
      </c>
      <c r="B3512" s="10" t="inlineStr">
        <is>
          <t>休日</t>
        </is>
      </c>
      <c r="C3512" s="10" t="inlineStr">
        <is>
          <t>本線</t>
        </is>
      </c>
      <c r="D3512" s="10" t="inlineStr">
        <is>
          <t>上り</t>
        </is>
      </c>
      <c r="E3512" t="inlineStr">
        <is>
          <t>0604</t>
        </is>
      </c>
      <c r="F3512" t="inlineStr">
        <is>
          <t>0251</t>
        </is>
      </c>
      <c r="G3512" s="10" t="inlineStr">
        <is>
          <t>嵯峨</t>
        </is>
      </c>
      <c r="H3512" s="10" t="inlineStr">
        <is>
          <t>発</t>
        </is>
      </c>
      <c r="J3512" s="10" t="inlineStr">
        <is>
          <t>営業</t>
        </is>
      </c>
      <c r="L3512" t="inlineStr">
        <is>
          <t>6:25:55</t>
        </is>
      </c>
      <c r="M3512" t="inlineStr">
        <is>
          <t>6:26:20</t>
        </is>
      </c>
    </row>
    <row r="3513" ht="16.5" customHeight="1" s="37">
      <c r="A3513" t="n">
        <v>3</v>
      </c>
      <c r="B3513" s="10" t="inlineStr">
        <is>
          <t>休日</t>
        </is>
      </c>
      <c r="C3513" s="10" t="inlineStr">
        <is>
          <t>本線</t>
        </is>
      </c>
      <c r="D3513" s="10" t="inlineStr">
        <is>
          <t>上り</t>
        </is>
      </c>
      <c r="E3513" t="inlineStr">
        <is>
          <t>0604</t>
        </is>
      </c>
      <c r="F3513" t="inlineStr">
        <is>
          <t>0251</t>
        </is>
      </c>
      <c r="G3513" s="10" t="inlineStr">
        <is>
          <t>鹿王院</t>
        </is>
      </c>
      <c r="H3513" s="10" t="inlineStr">
        <is>
          <t>発</t>
        </is>
      </c>
      <c r="J3513" s="10" t="inlineStr">
        <is>
          <t>営業</t>
        </is>
      </c>
      <c r="L3513" t="inlineStr">
        <is>
          <t>6:27:25</t>
        </is>
      </c>
      <c r="M3513" t="inlineStr">
        <is>
          <t>6:27:45</t>
        </is>
      </c>
    </row>
    <row r="3514" ht="16.5" customHeight="1" s="37">
      <c r="A3514" t="n">
        <v>3</v>
      </c>
      <c r="B3514" s="10" t="inlineStr">
        <is>
          <t>休日</t>
        </is>
      </c>
      <c r="C3514" s="10" t="inlineStr">
        <is>
          <t>本線</t>
        </is>
      </c>
      <c r="D3514" s="10" t="inlineStr">
        <is>
          <t>上り</t>
        </is>
      </c>
      <c r="E3514" t="inlineStr">
        <is>
          <t>0604</t>
        </is>
      </c>
      <c r="F3514" t="inlineStr">
        <is>
          <t>0251</t>
        </is>
      </c>
      <c r="G3514" s="10" t="inlineStr">
        <is>
          <t>車折</t>
        </is>
      </c>
      <c r="H3514" s="10" t="inlineStr">
        <is>
          <t>発</t>
        </is>
      </c>
      <c r="J3514" s="10" t="inlineStr">
        <is>
          <t>営業</t>
        </is>
      </c>
      <c r="L3514" t="inlineStr">
        <is>
          <t>6:28:40</t>
        </is>
      </c>
      <c r="M3514" t="inlineStr">
        <is>
          <t>6:29:10</t>
        </is>
      </c>
    </row>
    <row r="3515" ht="16.5" customHeight="1" s="37">
      <c r="A3515" t="n">
        <v>3</v>
      </c>
      <c r="B3515" s="10" t="inlineStr">
        <is>
          <t>休日</t>
        </is>
      </c>
      <c r="C3515" s="10" t="inlineStr">
        <is>
          <t>本線</t>
        </is>
      </c>
      <c r="D3515" s="10" t="inlineStr">
        <is>
          <t>上り</t>
        </is>
      </c>
      <c r="E3515" t="inlineStr">
        <is>
          <t>0604</t>
        </is>
      </c>
      <c r="F3515" t="inlineStr">
        <is>
          <t>0251</t>
        </is>
      </c>
      <c r="G3515" s="10" t="inlineStr">
        <is>
          <t>有栖川</t>
        </is>
      </c>
      <c r="H3515" s="10" t="inlineStr">
        <is>
          <t>発</t>
        </is>
      </c>
      <c r="J3515" s="10" t="inlineStr">
        <is>
          <t>営業</t>
        </is>
      </c>
      <c r="L3515" t="inlineStr">
        <is>
          <t>6:30:35</t>
        </is>
      </c>
      <c r="M3515" t="inlineStr">
        <is>
          <t>6:30:55</t>
        </is>
      </c>
    </row>
    <row r="3516" ht="15" customHeight="1" s="37">
      <c r="A3516" t="n">
        <v>3</v>
      </c>
      <c r="B3516" s="10" t="inlineStr">
        <is>
          <t>休日</t>
        </is>
      </c>
      <c r="C3516" s="10" t="inlineStr">
        <is>
          <t>本線</t>
        </is>
      </c>
      <c r="D3516" s="10" t="inlineStr">
        <is>
          <t>上り</t>
        </is>
      </c>
      <c r="E3516" t="inlineStr">
        <is>
          <t>0604</t>
        </is>
      </c>
      <c r="F3516" t="inlineStr">
        <is>
          <t>0251</t>
        </is>
      </c>
      <c r="G3516" s="10" t="inlineStr">
        <is>
          <t>帷子ノ辻</t>
        </is>
      </c>
      <c r="H3516" s="10" t="inlineStr">
        <is>
          <t>発</t>
        </is>
      </c>
      <c r="J3516" s="10" t="inlineStr">
        <is>
          <t>営業</t>
        </is>
      </c>
      <c r="L3516" t="inlineStr">
        <is>
          <t>6:32:10</t>
        </is>
      </c>
      <c r="M3516" t="inlineStr">
        <is>
          <t>6:33:15</t>
        </is>
      </c>
      <c r="N3516" t="inlineStr">
        <is>
          <t>○</t>
        </is>
      </c>
    </row>
    <row r="3517" ht="15" customHeight="1" s="37">
      <c r="A3517" t="n">
        <v>3</v>
      </c>
      <c r="B3517" s="10" t="inlineStr">
        <is>
          <t>休日</t>
        </is>
      </c>
      <c r="C3517" s="10" t="inlineStr">
        <is>
          <t>本線</t>
        </is>
      </c>
      <c r="D3517" s="10" t="inlineStr">
        <is>
          <t>上り</t>
        </is>
      </c>
      <c r="E3517" t="inlineStr">
        <is>
          <t>0604</t>
        </is>
      </c>
      <c r="F3517" t="inlineStr">
        <is>
          <t>0251</t>
        </is>
      </c>
      <c r="G3517" s="10" t="inlineStr">
        <is>
          <t>太秦広隆寺</t>
        </is>
      </c>
      <c r="H3517" s="10" t="inlineStr">
        <is>
          <t>発</t>
        </is>
      </c>
      <c r="J3517" s="10" t="inlineStr">
        <is>
          <t>営業</t>
        </is>
      </c>
      <c r="L3517" t="inlineStr">
        <is>
          <t>6:35:25</t>
        </is>
      </c>
      <c r="M3517" t="inlineStr">
        <is>
          <t>6:35:45</t>
        </is>
      </c>
    </row>
    <row r="3518" ht="15" customHeight="1" s="37">
      <c r="A3518" t="n">
        <v>3</v>
      </c>
      <c r="B3518" s="10" t="inlineStr">
        <is>
          <t>休日</t>
        </is>
      </c>
      <c r="C3518" s="10" t="inlineStr">
        <is>
          <t>本線</t>
        </is>
      </c>
      <c r="D3518" s="10" t="inlineStr">
        <is>
          <t>上り</t>
        </is>
      </c>
      <c r="E3518" t="inlineStr">
        <is>
          <t>0604</t>
        </is>
      </c>
      <c r="F3518" t="inlineStr">
        <is>
          <t>0251</t>
        </is>
      </c>
      <c r="G3518" s="10" t="inlineStr">
        <is>
          <t>蚕ノ社</t>
        </is>
      </c>
      <c r="H3518" s="10" t="inlineStr">
        <is>
          <t>発</t>
        </is>
      </c>
      <c r="J3518" s="10" t="inlineStr">
        <is>
          <t>営業</t>
        </is>
      </c>
      <c r="L3518" t="inlineStr">
        <is>
          <t>6:37:00</t>
        </is>
      </c>
      <c r="M3518" t="inlineStr">
        <is>
          <t>6:37:20</t>
        </is>
      </c>
    </row>
    <row r="3519" ht="15" customHeight="1" s="37">
      <c r="A3519" t="n">
        <v>3</v>
      </c>
      <c r="B3519" s="10" t="inlineStr">
        <is>
          <t>休日</t>
        </is>
      </c>
      <c r="C3519" s="10" t="inlineStr">
        <is>
          <t>本線</t>
        </is>
      </c>
      <c r="D3519" s="10" t="inlineStr">
        <is>
          <t>上り</t>
        </is>
      </c>
      <c r="E3519" t="inlineStr">
        <is>
          <t>0604</t>
        </is>
      </c>
      <c r="F3519" t="inlineStr">
        <is>
          <t>0251</t>
        </is>
      </c>
      <c r="G3519" s="10" t="inlineStr">
        <is>
          <t>天神川</t>
        </is>
      </c>
      <c r="H3519" s="10" t="inlineStr">
        <is>
          <t>発</t>
        </is>
      </c>
      <c r="J3519" s="10" t="inlineStr">
        <is>
          <t>営業</t>
        </is>
      </c>
      <c r="L3519" t="inlineStr">
        <is>
          <t>6:38:05</t>
        </is>
      </c>
      <c r="M3519" t="inlineStr">
        <is>
          <t>6:38:50</t>
        </is>
      </c>
    </row>
    <row r="3520" ht="15" customHeight="1" s="37">
      <c r="A3520" t="n">
        <v>3</v>
      </c>
      <c r="B3520" s="10" t="inlineStr">
        <is>
          <t>休日</t>
        </is>
      </c>
      <c r="C3520" s="10" t="inlineStr">
        <is>
          <t>本線</t>
        </is>
      </c>
      <c r="D3520" s="10" t="inlineStr">
        <is>
          <t>上り</t>
        </is>
      </c>
      <c r="E3520" t="inlineStr">
        <is>
          <t>0604</t>
        </is>
      </c>
      <c r="F3520" t="inlineStr">
        <is>
          <t>0251</t>
        </is>
      </c>
      <c r="G3520" s="10" t="inlineStr">
        <is>
          <t>山ノ内</t>
        </is>
      </c>
      <c r="H3520" s="10" t="inlineStr">
        <is>
          <t>発</t>
        </is>
      </c>
      <c r="J3520" s="10" t="inlineStr">
        <is>
          <t>営業</t>
        </is>
      </c>
      <c r="L3520" t="inlineStr">
        <is>
          <t>6:40:40</t>
        </is>
      </c>
      <c r="M3520" t="inlineStr">
        <is>
          <t>6:41:05</t>
        </is>
      </c>
    </row>
    <row r="3521" ht="15" customHeight="1" s="37">
      <c r="A3521" t="n">
        <v>3</v>
      </c>
      <c r="B3521" s="10" t="inlineStr">
        <is>
          <t>休日</t>
        </is>
      </c>
      <c r="C3521" s="10" t="inlineStr">
        <is>
          <t>本線</t>
        </is>
      </c>
      <c r="D3521" s="10" t="inlineStr">
        <is>
          <t>上り</t>
        </is>
      </c>
      <c r="E3521" t="inlineStr">
        <is>
          <t>0604</t>
        </is>
      </c>
      <c r="F3521" t="inlineStr">
        <is>
          <t>0251</t>
        </is>
      </c>
      <c r="G3521" s="10" t="inlineStr">
        <is>
          <t>西大路三条</t>
        </is>
      </c>
      <c r="H3521" s="10" t="inlineStr">
        <is>
          <t>発</t>
        </is>
      </c>
      <c r="J3521" s="10" t="inlineStr">
        <is>
          <t>営業</t>
        </is>
      </c>
      <c r="L3521" t="inlineStr">
        <is>
          <t>6:42:55</t>
        </is>
      </c>
      <c r="M3521" t="inlineStr">
        <is>
          <t>6:43:15</t>
        </is>
      </c>
    </row>
    <row r="3522" ht="15" customHeight="1" s="37">
      <c r="A3522" t="n">
        <v>3</v>
      </c>
      <c r="B3522" s="10" t="inlineStr">
        <is>
          <t>休日</t>
        </is>
      </c>
      <c r="C3522" s="10" t="inlineStr">
        <is>
          <t>本線</t>
        </is>
      </c>
      <c r="D3522" s="10" t="inlineStr">
        <is>
          <t>上り</t>
        </is>
      </c>
      <c r="E3522" t="inlineStr">
        <is>
          <t>0604</t>
        </is>
      </c>
      <c r="F3522" t="inlineStr">
        <is>
          <t>0251</t>
        </is>
      </c>
      <c r="G3522" s="10" t="inlineStr">
        <is>
          <t>西院</t>
        </is>
      </c>
      <c r="H3522" s="10" t="inlineStr">
        <is>
          <t>発</t>
        </is>
      </c>
      <c r="J3522" s="10" t="inlineStr">
        <is>
          <t>営業</t>
        </is>
      </c>
      <c r="L3522" t="inlineStr">
        <is>
          <t>6:45:10</t>
        </is>
      </c>
      <c r="M3522" t="inlineStr">
        <is>
          <t>6:46:05</t>
        </is>
      </c>
    </row>
    <row r="3523" ht="15" customHeight="1" s="37">
      <c r="A3523" t="n">
        <v>3</v>
      </c>
      <c r="B3523" s="10" t="inlineStr">
        <is>
          <t>休日</t>
        </is>
      </c>
      <c r="C3523" s="10" t="inlineStr">
        <is>
          <t>本線</t>
        </is>
      </c>
      <c r="D3523" s="10" t="inlineStr">
        <is>
          <t>上り</t>
        </is>
      </c>
      <c r="E3523" t="inlineStr">
        <is>
          <t>0604</t>
        </is>
      </c>
      <c r="F3523" t="inlineStr">
        <is>
          <t>0251</t>
        </is>
      </c>
      <c r="G3523" s="10" t="inlineStr">
        <is>
          <t>四条大宮</t>
        </is>
      </c>
      <c r="H3523" s="10" t="inlineStr">
        <is>
          <t>着</t>
        </is>
      </c>
      <c r="J3523" s="10" t="inlineStr">
        <is>
          <t>営業</t>
        </is>
      </c>
      <c r="L3523" t="inlineStr">
        <is>
          <t>6:49:00</t>
        </is>
      </c>
      <c r="Q3523" t="inlineStr">
        <is>
          <t>1</t>
        </is>
      </c>
    </row>
    <row r="3524" ht="15" customHeight="1" s="37">
      <c r="A3524" t="n">
        <v>3</v>
      </c>
      <c r="B3524" s="10" t="inlineStr">
        <is>
          <t>休日</t>
        </is>
      </c>
      <c r="C3524" s="10" t="inlineStr">
        <is>
          <t>本線</t>
        </is>
      </c>
      <c r="D3524" s="10" t="inlineStr">
        <is>
          <t>下り</t>
        </is>
      </c>
      <c r="E3524" t="inlineStr">
        <is>
          <t>0611</t>
        </is>
      </c>
      <c r="F3524" t="inlineStr">
        <is>
          <t>0122</t>
        </is>
      </c>
      <c r="G3524" s="10" t="inlineStr">
        <is>
          <t>四条大宮</t>
        </is>
      </c>
      <c r="H3524" s="10" t="inlineStr">
        <is>
          <t>発</t>
        </is>
      </c>
      <c r="J3524" s="10" t="inlineStr">
        <is>
          <t>営業</t>
        </is>
      </c>
      <c r="M3524" t="inlineStr">
        <is>
          <t>6:53:00</t>
        </is>
      </c>
      <c r="Q3524" t="inlineStr">
        <is>
          <t>1</t>
        </is>
      </c>
    </row>
    <row r="3525" ht="15" customHeight="1" s="37">
      <c r="A3525" t="n">
        <v>3</v>
      </c>
      <c r="B3525" s="10" t="inlineStr">
        <is>
          <t>休日</t>
        </is>
      </c>
      <c r="C3525" s="10" t="inlineStr">
        <is>
          <t>本線</t>
        </is>
      </c>
      <c r="D3525" s="10" t="inlineStr">
        <is>
          <t>下り</t>
        </is>
      </c>
      <c r="E3525" t="inlineStr">
        <is>
          <t>0611</t>
        </is>
      </c>
      <c r="F3525" t="inlineStr">
        <is>
          <t>0122</t>
        </is>
      </c>
      <c r="G3525" s="10" t="inlineStr">
        <is>
          <t>西院</t>
        </is>
      </c>
      <c r="H3525" s="10" t="inlineStr">
        <is>
          <t>発</t>
        </is>
      </c>
      <c r="J3525" s="10" t="inlineStr">
        <is>
          <t>営業</t>
        </is>
      </c>
      <c r="L3525" t="inlineStr">
        <is>
          <t>6:55:50</t>
        </is>
      </c>
      <c r="M3525" t="inlineStr">
        <is>
          <t>6:56:20</t>
        </is>
      </c>
    </row>
    <row r="3526" ht="15" customHeight="1" s="37">
      <c r="A3526" t="n">
        <v>3</v>
      </c>
      <c r="B3526" s="10" t="inlineStr">
        <is>
          <t>休日</t>
        </is>
      </c>
      <c r="C3526" s="10" t="inlineStr">
        <is>
          <t>本線</t>
        </is>
      </c>
      <c r="D3526" s="10" t="inlineStr">
        <is>
          <t>下り</t>
        </is>
      </c>
      <c r="E3526" t="inlineStr">
        <is>
          <t>0611</t>
        </is>
      </c>
      <c r="F3526" t="inlineStr">
        <is>
          <t>0122</t>
        </is>
      </c>
      <c r="G3526" s="10" t="inlineStr">
        <is>
          <t>西大路三条</t>
        </is>
      </c>
      <c r="H3526" s="10" t="inlineStr">
        <is>
          <t>発</t>
        </is>
      </c>
      <c r="J3526" s="10" t="inlineStr">
        <is>
          <t>営業</t>
        </is>
      </c>
      <c r="L3526" t="inlineStr">
        <is>
          <t>6:58:10</t>
        </is>
      </c>
      <c r="M3526" t="inlineStr">
        <is>
          <t>6:58:25</t>
        </is>
      </c>
    </row>
    <row r="3527" ht="15" customHeight="1" s="37">
      <c r="A3527" t="n">
        <v>3</v>
      </c>
      <c r="B3527" s="10" t="inlineStr">
        <is>
          <t>休日</t>
        </is>
      </c>
      <c r="C3527" s="10" t="inlineStr">
        <is>
          <t>本線</t>
        </is>
      </c>
      <c r="D3527" s="10" t="inlineStr">
        <is>
          <t>下り</t>
        </is>
      </c>
      <c r="E3527" t="inlineStr">
        <is>
          <t>0611</t>
        </is>
      </c>
      <c r="F3527" t="inlineStr">
        <is>
          <t>0122</t>
        </is>
      </c>
      <c r="G3527" s="10" t="inlineStr">
        <is>
          <t>山ノ内</t>
        </is>
      </c>
      <c r="H3527" s="10" t="inlineStr">
        <is>
          <t>発</t>
        </is>
      </c>
      <c r="J3527" s="10" t="inlineStr">
        <is>
          <t>営業</t>
        </is>
      </c>
      <c r="L3527" t="inlineStr">
        <is>
          <t>7:00:20</t>
        </is>
      </c>
      <c r="M3527" t="inlineStr">
        <is>
          <t>7:00:45</t>
        </is>
      </c>
    </row>
    <row r="3528" ht="15" customHeight="1" s="37">
      <c r="A3528" t="n">
        <v>3</v>
      </c>
      <c r="B3528" s="10" t="inlineStr">
        <is>
          <t>休日</t>
        </is>
      </c>
      <c r="C3528" s="10" t="inlineStr">
        <is>
          <t>本線</t>
        </is>
      </c>
      <c r="D3528" s="10" t="inlineStr">
        <is>
          <t>下り</t>
        </is>
      </c>
      <c r="E3528" t="inlineStr">
        <is>
          <t>0611</t>
        </is>
      </c>
      <c r="F3528" t="inlineStr">
        <is>
          <t>0122</t>
        </is>
      </c>
      <c r="G3528" s="10" t="inlineStr">
        <is>
          <t>天神川</t>
        </is>
      </c>
      <c r="H3528" s="10" t="inlineStr">
        <is>
          <t>発</t>
        </is>
      </c>
      <c r="J3528" s="10" t="inlineStr">
        <is>
          <t>営業</t>
        </is>
      </c>
      <c r="L3528" t="inlineStr">
        <is>
          <t>7:02:45</t>
        </is>
      </c>
      <c r="M3528" t="inlineStr">
        <is>
          <t>7:03:10</t>
        </is>
      </c>
    </row>
    <row r="3529" ht="15" customHeight="1" s="37">
      <c r="A3529" t="n">
        <v>3</v>
      </c>
      <c r="B3529" s="10" t="inlineStr">
        <is>
          <t>休日</t>
        </is>
      </c>
      <c r="C3529" s="10" t="inlineStr">
        <is>
          <t>本線</t>
        </is>
      </c>
      <c r="D3529" s="10" t="inlineStr">
        <is>
          <t>下り</t>
        </is>
      </c>
      <c r="E3529" t="inlineStr">
        <is>
          <t>0611</t>
        </is>
      </c>
      <c r="F3529" t="inlineStr">
        <is>
          <t>0122</t>
        </is>
      </c>
      <c r="G3529" s="10" t="inlineStr">
        <is>
          <t>蚕ノ社</t>
        </is>
      </c>
      <c r="H3529" s="10" t="inlineStr">
        <is>
          <t>発</t>
        </is>
      </c>
      <c r="J3529" s="10" t="inlineStr">
        <is>
          <t>営業</t>
        </is>
      </c>
      <c r="L3529" t="inlineStr">
        <is>
          <t>7:04:00</t>
        </is>
      </c>
      <c r="M3529" t="inlineStr">
        <is>
          <t>7:04:15</t>
        </is>
      </c>
    </row>
    <row r="3530" ht="15" customHeight="1" s="37">
      <c r="A3530" t="n">
        <v>3</v>
      </c>
      <c r="B3530" s="10" t="inlineStr">
        <is>
          <t>休日</t>
        </is>
      </c>
      <c r="C3530" s="10" t="inlineStr">
        <is>
          <t>本線</t>
        </is>
      </c>
      <c r="D3530" s="10" t="inlineStr">
        <is>
          <t>下り</t>
        </is>
      </c>
      <c r="E3530" t="inlineStr">
        <is>
          <t>0611</t>
        </is>
      </c>
      <c r="F3530" t="inlineStr">
        <is>
          <t>0122</t>
        </is>
      </c>
      <c r="G3530" s="10" t="inlineStr">
        <is>
          <t>太秦広隆寺</t>
        </is>
      </c>
      <c r="H3530" s="10" t="inlineStr">
        <is>
          <t>発</t>
        </is>
      </c>
      <c r="J3530" s="10" t="inlineStr">
        <is>
          <t>営業</t>
        </is>
      </c>
      <c r="L3530" t="inlineStr">
        <is>
          <t>7:05:35</t>
        </is>
      </c>
      <c r="M3530" t="inlineStr">
        <is>
          <t>7:05:50</t>
        </is>
      </c>
    </row>
    <row r="3531" ht="15" customHeight="1" s="37">
      <c r="A3531" t="n">
        <v>3</v>
      </c>
      <c r="B3531" s="10" t="inlineStr">
        <is>
          <t>休日</t>
        </is>
      </c>
      <c r="C3531" s="10" t="inlineStr">
        <is>
          <t>本線</t>
        </is>
      </c>
      <c r="D3531" s="10" t="inlineStr">
        <is>
          <t>下り</t>
        </is>
      </c>
      <c r="E3531" t="inlineStr">
        <is>
          <t>0611</t>
        </is>
      </c>
      <c r="F3531" t="inlineStr">
        <is>
          <t>0122</t>
        </is>
      </c>
      <c r="G3531" s="10" t="inlineStr">
        <is>
          <t>帷子ノ辻</t>
        </is>
      </c>
      <c r="H3531" s="10" t="inlineStr">
        <is>
          <t>発</t>
        </is>
      </c>
      <c r="J3531" s="10" t="inlineStr">
        <is>
          <t>営業</t>
        </is>
      </c>
      <c r="L3531" t="inlineStr">
        <is>
          <t>7:07:50</t>
        </is>
      </c>
      <c r="M3531" t="inlineStr">
        <is>
          <t>7:08:20</t>
        </is>
      </c>
    </row>
    <row r="3532" ht="15" customHeight="1" s="37">
      <c r="A3532" t="n">
        <v>3</v>
      </c>
      <c r="B3532" s="10" t="inlineStr">
        <is>
          <t>休日</t>
        </is>
      </c>
      <c r="C3532" s="10" t="inlineStr">
        <is>
          <t>本線</t>
        </is>
      </c>
      <c r="D3532" s="10" t="inlineStr">
        <is>
          <t>下り</t>
        </is>
      </c>
      <c r="E3532" t="inlineStr">
        <is>
          <t>0611</t>
        </is>
      </c>
      <c r="F3532" t="inlineStr">
        <is>
          <t>0122</t>
        </is>
      </c>
      <c r="G3532" s="10" t="inlineStr">
        <is>
          <t>有栖川</t>
        </is>
      </c>
      <c r="H3532" s="10" t="inlineStr">
        <is>
          <t>発</t>
        </is>
      </c>
      <c r="J3532" s="10" t="inlineStr">
        <is>
          <t>営業</t>
        </is>
      </c>
      <c r="L3532" t="inlineStr">
        <is>
          <t>7:09:30</t>
        </is>
      </c>
      <c r="M3532" t="inlineStr">
        <is>
          <t>7:09:45</t>
        </is>
      </c>
    </row>
    <row r="3533" ht="15" customHeight="1" s="37">
      <c r="A3533" t="n">
        <v>3</v>
      </c>
      <c r="B3533" s="10" t="inlineStr">
        <is>
          <t>休日</t>
        </is>
      </c>
      <c r="C3533" s="10" t="inlineStr">
        <is>
          <t>本線</t>
        </is>
      </c>
      <c r="D3533" s="10" t="inlineStr">
        <is>
          <t>下り</t>
        </is>
      </c>
      <c r="E3533" t="inlineStr">
        <is>
          <t>0611</t>
        </is>
      </c>
      <c r="F3533" t="inlineStr">
        <is>
          <t>0122</t>
        </is>
      </c>
      <c r="G3533" s="10" t="inlineStr">
        <is>
          <t>車折</t>
        </is>
      </c>
      <c r="H3533" s="10" t="inlineStr">
        <is>
          <t>発</t>
        </is>
      </c>
      <c r="J3533" s="10" t="inlineStr">
        <is>
          <t>営業</t>
        </is>
      </c>
      <c r="L3533" t="inlineStr">
        <is>
          <t>7:11:10</t>
        </is>
      </c>
      <c r="M3533" t="inlineStr">
        <is>
          <t>7:11:25</t>
        </is>
      </c>
    </row>
    <row r="3534" ht="15" customHeight="1" s="37">
      <c r="A3534" t="n">
        <v>3</v>
      </c>
      <c r="B3534" s="10" t="inlineStr">
        <is>
          <t>休日</t>
        </is>
      </c>
      <c r="C3534" s="10" t="inlineStr">
        <is>
          <t>本線</t>
        </is>
      </c>
      <c r="D3534" s="10" t="inlineStr">
        <is>
          <t>下り</t>
        </is>
      </c>
      <c r="E3534" t="inlineStr">
        <is>
          <t>0611</t>
        </is>
      </c>
      <c r="F3534" t="inlineStr">
        <is>
          <t>0122</t>
        </is>
      </c>
      <c r="G3534" s="10" t="inlineStr">
        <is>
          <t>鹿王院</t>
        </is>
      </c>
      <c r="H3534" s="10" t="inlineStr">
        <is>
          <t>発</t>
        </is>
      </c>
      <c r="J3534" s="10" t="inlineStr">
        <is>
          <t>営業</t>
        </is>
      </c>
      <c r="L3534" t="inlineStr">
        <is>
          <t>7:12:20</t>
        </is>
      </c>
      <c r="M3534" t="inlineStr">
        <is>
          <t>7:12:35</t>
        </is>
      </c>
    </row>
    <row r="3535" ht="15" customHeight="1" s="37">
      <c r="A3535" t="n">
        <v>3</v>
      </c>
      <c r="B3535" s="10" t="inlineStr">
        <is>
          <t>休日</t>
        </is>
      </c>
      <c r="C3535" s="10" t="inlineStr">
        <is>
          <t>本線</t>
        </is>
      </c>
      <c r="D3535" s="10" t="inlineStr">
        <is>
          <t>下り</t>
        </is>
      </c>
      <c r="E3535" t="inlineStr">
        <is>
          <t>0611</t>
        </is>
      </c>
      <c r="F3535" t="inlineStr">
        <is>
          <t>0122</t>
        </is>
      </c>
      <c r="G3535" s="10" t="inlineStr">
        <is>
          <t>嵯峨</t>
        </is>
      </c>
      <c r="H3535" s="10" t="inlineStr">
        <is>
          <t>発</t>
        </is>
      </c>
      <c r="J3535" s="10" t="inlineStr">
        <is>
          <t>営業</t>
        </is>
      </c>
      <c r="L3535" t="inlineStr">
        <is>
          <t>7:13:40</t>
        </is>
      </c>
      <c r="M3535" t="inlineStr">
        <is>
          <t>7:13:55</t>
        </is>
      </c>
    </row>
    <row r="3536" ht="15" customHeight="1" s="37">
      <c r="A3536" t="n">
        <v>3</v>
      </c>
      <c r="B3536" s="10" t="inlineStr">
        <is>
          <t>休日</t>
        </is>
      </c>
      <c r="C3536" s="10" t="inlineStr">
        <is>
          <t>本線</t>
        </is>
      </c>
      <c r="D3536" s="10" t="inlineStr">
        <is>
          <t>下り</t>
        </is>
      </c>
      <c r="E3536" t="inlineStr">
        <is>
          <t>0611</t>
        </is>
      </c>
      <c r="F3536" t="inlineStr">
        <is>
          <t>0122</t>
        </is>
      </c>
      <c r="G3536" s="10" t="inlineStr">
        <is>
          <t>嵐山</t>
        </is>
      </c>
      <c r="H3536" s="10" t="inlineStr">
        <is>
          <t>着</t>
        </is>
      </c>
      <c r="J3536" s="10" t="inlineStr">
        <is>
          <t>営業</t>
        </is>
      </c>
      <c r="L3536" t="inlineStr">
        <is>
          <t>7:15:00</t>
        </is>
      </c>
      <c r="N3536" t="inlineStr">
        <is>
          <t>○</t>
        </is>
      </c>
      <c r="Q3536" t="inlineStr">
        <is>
          <t>1</t>
        </is>
      </c>
    </row>
    <row r="3537" ht="15" customHeight="1" s="37">
      <c r="A3537" t="n">
        <v>3</v>
      </c>
      <c r="B3537" s="10" t="inlineStr">
        <is>
          <t>休日</t>
        </is>
      </c>
      <c r="C3537" s="10" t="inlineStr">
        <is>
          <t>本線</t>
        </is>
      </c>
      <c r="D3537" s="10" t="inlineStr">
        <is>
          <t>上り</t>
        </is>
      </c>
      <c r="E3537" t="inlineStr">
        <is>
          <t>0706</t>
        </is>
      </c>
      <c r="F3537" t="inlineStr">
        <is>
          <t>2221</t>
        </is>
      </c>
      <c r="G3537" s="10" t="inlineStr">
        <is>
          <t>嵐山</t>
        </is>
      </c>
      <c r="H3537" s="10" t="inlineStr">
        <is>
          <t>発</t>
        </is>
      </c>
      <c r="J3537" s="10" t="inlineStr">
        <is>
          <t>営業</t>
        </is>
      </c>
      <c r="M3537" t="inlineStr">
        <is>
          <t>7:23:00</t>
        </is>
      </c>
      <c r="Q3537" t="inlineStr">
        <is>
          <t>1</t>
        </is>
      </c>
    </row>
    <row r="3538" ht="15" customHeight="1" s="37">
      <c r="A3538" t="n">
        <v>3</v>
      </c>
      <c r="B3538" s="10" t="inlineStr">
        <is>
          <t>休日</t>
        </is>
      </c>
      <c r="C3538" s="10" t="inlineStr">
        <is>
          <t>本線</t>
        </is>
      </c>
      <c r="D3538" s="10" t="inlineStr">
        <is>
          <t>上り</t>
        </is>
      </c>
      <c r="E3538" t="inlineStr">
        <is>
          <t>0706</t>
        </is>
      </c>
      <c r="F3538" t="inlineStr">
        <is>
          <t>2221</t>
        </is>
      </c>
      <c r="G3538" s="10" t="inlineStr">
        <is>
          <t>嵯峨</t>
        </is>
      </c>
      <c r="H3538" s="10" t="inlineStr">
        <is>
          <t>発</t>
        </is>
      </c>
      <c r="J3538" s="10" t="inlineStr">
        <is>
          <t>営業</t>
        </is>
      </c>
      <c r="L3538" t="inlineStr">
        <is>
          <t>7:23:55</t>
        </is>
      </c>
      <c r="M3538" t="inlineStr">
        <is>
          <t>7:24:20</t>
        </is>
      </c>
    </row>
    <row r="3539" ht="15" customHeight="1" s="37">
      <c r="A3539" t="n">
        <v>3</v>
      </c>
      <c r="B3539" s="10" t="inlineStr">
        <is>
          <t>休日</t>
        </is>
      </c>
      <c r="C3539" s="10" t="inlineStr">
        <is>
          <t>本線</t>
        </is>
      </c>
      <c r="D3539" s="10" t="inlineStr">
        <is>
          <t>上り</t>
        </is>
      </c>
      <c r="E3539" t="inlineStr">
        <is>
          <t>0706</t>
        </is>
      </c>
      <c r="F3539" t="inlineStr">
        <is>
          <t>2221</t>
        </is>
      </c>
      <c r="G3539" s="10" t="inlineStr">
        <is>
          <t>鹿王院</t>
        </is>
      </c>
      <c r="H3539" s="10" t="inlineStr">
        <is>
          <t>発</t>
        </is>
      </c>
      <c r="J3539" s="10" t="inlineStr">
        <is>
          <t>営業</t>
        </is>
      </c>
      <c r="L3539" t="inlineStr">
        <is>
          <t>7:25:25</t>
        </is>
      </c>
      <c r="M3539" t="inlineStr">
        <is>
          <t>7:25:45</t>
        </is>
      </c>
    </row>
    <row r="3540" ht="15" customHeight="1" s="37">
      <c r="A3540" t="n">
        <v>3</v>
      </c>
      <c r="B3540" s="10" t="inlineStr">
        <is>
          <t>休日</t>
        </is>
      </c>
      <c r="C3540" s="10" t="inlineStr">
        <is>
          <t>本線</t>
        </is>
      </c>
      <c r="D3540" s="10" t="inlineStr">
        <is>
          <t>上り</t>
        </is>
      </c>
      <c r="E3540" t="inlineStr">
        <is>
          <t>0706</t>
        </is>
      </c>
      <c r="F3540" t="inlineStr">
        <is>
          <t>2221</t>
        </is>
      </c>
      <c r="G3540" s="10" t="inlineStr">
        <is>
          <t>車折</t>
        </is>
      </c>
      <c r="H3540" s="10" t="inlineStr">
        <is>
          <t>発</t>
        </is>
      </c>
      <c r="J3540" s="10" t="inlineStr">
        <is>
          <t>営業</t>
        </is>
      </c>
      <c r="L3540" t="inlineStr">
        <is>
          <t>7:26:40</t>
        </is>
      </c>
      <c r="M3540" t="inlineStr">
        <is>
          <t>7:27:10</t>
        </is>
      </c>
    </row>
    <row r="3541" ht="15" customHeight="1" s="37">
      <c r="A3541" t="n">
        <v>3</v>
      </c>
      <c r="B3541" s="10" t="inlineStr">
        <is>
          <t>休日</t>
        </is>
      </c>
      <c r="C3541" s="10" t="inlineStr">
        <is>
          <t>本線</t>
        </is>
      </c>
      <c r="D3541" s="10" t="inlineStr">
        <is>
          <t>上り</t>
        </is>
      </c>
      <c r="E3541" t="inlineStr">
        <is>
          <t>0706</t>
        </is>
      </c>
      <c r="F3541" t="inlineStr">
        <is>
          <t>2221</t>
        </is>
      </c>
      <c r="G3541" s="10" t="inlineStr">
        <is>
          <t>有栖川</t>
        </is>
      </c>
      <c r="H3541" s="10" t="inlineStr">
        <is>
          <t>発</t>
        </is>
      </c>
      <c r="J3541" s="10" t="inlineStr">
        <is>
          <t>営業</t>
        </is>
      </c>
      <c r="L3541" t="inlineStr">
        <is>
          <t>7:28:35</t>
        </is>
      </c>
      <c r="M3541" t="inlineStr">
        <is>
          <t>7:28:55</t>
        </is>
      </c>
    </row>
    <row r="3542" ht="15" customHeight="1" s="37">
      <c r="A3542" t="n">
        <v>3</v>
      </c>
      <c r="B3542" s="10" t="inlineStr">
        <is>
          <t>休日</t>
        </is>
      </c>
      <c r="C3542" s="10" t="inlineStr">
        <is>
          <t>本線</t>
        </is>
      </c>
      <c r="D3542" s="10" t="inlineStr">
        <is>
          <t>上り</t>
        </is>
      </c>
      <c r="E3542" t="inlineStr">
        <is>
          <t>0706</t>
        </is>
      </c>
      <c r="F3542" t="inlineStr">
        <is>
          <t>2221</t>
        </is>
      </c>
      <c r="G3542" s="10" t="inlineStr">
        <is>
          <t>帷子ノ辻</t>
        </is>
      </c>
      <c r="H3542" s="10" t="inlineStr">
        <is>
          <t>発</t>
        </is>
      </c>
      <c r="J3542" s="10" t="inlineStr">
        <is>
          <t>営業</t>
        </is>
      </c>
      <c r="L3542" t="inlineStr">
        <is>
          <t>7:30:10</t>
        </is>
      </c>
      <c r="M3542" t="inlineStr">
        <is>
          <t>7:31:15</t>
        </is>
      </c>
    </row>
    <row r="3543" ht="15" customHeight="1" s="37">
      <c r="A3543" t="n">
        <v>3</v>
      </c>
      <c r="B3543" s="10" t="inlineStr">
        <is>
          <t>休日</t>
        </is>
      </c>
      <c r="C3543" s="10" t="inlineStr">
        <is>
          <t>本線</t>
        </is>
      </c>
      <c r="D3543" s="10" t="inlineStr">
        <is>
          <t>上り</t>
        </is>
      </c>
      <c r="E3543" t="inlineStr">
        <is>
          <t>0706</t>
        </is>
      </c>
      <c r="F3543" t="inlineStr">
        <is>
          <t>2221</t>
        </is>
      </c>
      <c r="G3543" s="10" t="inlineStr">
        <is>
          <t>太秦広隆寺</t>
        </is>
      </c>
      <c r="H3543" s="10" t="inlineStr">
        <is>
          <t>発</t>
        </is>
      </c>
      <c r="J3543" s="10" t="inlineStr">
        <is>
          <t>営業</t>
        </is>
      </c>
      <c r="L3543" t="inlineStr">
        <is>
          <t>7:33:25</t>
        </is>
      </c>
      <c r="M3543" t="inlineStr">
        <is>
          <t>7:33:45</t>
        </is>
      </c>
    </row>
    <row r="3544" ht="15" customHeight="1" s="37">
      <c r="A3544" t="n">
        <v>3</v>
      </c>
      <c r="B3544" s="10" t="inlineStr">
        <is>
          <t>休日</t>
        </is>
      </c>
      <c r="C3544" s="10" t="inlineStr">
        <is>
          <t>本線</t>
        </is>
      </c>
      <c r="D3544" s="10" t="inlineStr">
        <is>
          <t>上り</t>
        </is>
      </c>
      <c r="E3544" t="inlineStr">
        <is>
          <t>0706</t>
        </is>
      </c>
      <c r="F3544" t="inlineStr">
        <is>
          <t>2221</t>
        </is>
      </c>
      <c r="G3544" s="10" t="inlineStr">
        <is>
          <t>蚕ノ社</t>
        </is>
      </c>
      <c r="H3544" s="10" t="inlineStr">
        <is>
          <t>発</t>
        </is>
      </c>
      <c r="J3544" s="10" t="inlineStr">
        <is>
          <t>営業</t>
        </is>
      </c>
      <c r="L3544" t="inlineStr">
        <is>
          <t>7:35:00</t>
        </is>
      </c>
      <c r="M3544" t="inlineStr">
        <is>
          <t>7:35:20</t>
        </is>
      </c>
    </row>
    <row r="3545" ht="15" customHeight="1" s="37">
      <c r="A3545" t="n">
        <v>3</v>
      </c>
      <c r="B3545" s="10" t="inlineStr">
        <is>
          <t>休日</t>
        </is>
      </c>
      <c r="C3545" s="10" t="inlineStr">
        <is>
          <t>本線</t>
        </is>
      </c>
      <c r="D3545" s="10" t="inlineStr">
        <is>
          <t>上り</t>
        </is>
      </c>
      <c r="E3545" t="inlineStr">
        <is>
          <t>0706</t>
        </is>
      </c>
      <c r="F3545" t="inlineStr">
        <is>
          <t>2221</t>
        </is>
      </c>
      <c r="G3545" s="10" t="inlineStr">
        <is>
          <t>天神川</t>
        </is>
      </c>
      <c r="H3545" s="10" t="inlineStr">
        <is>
          <t>発</t>
        </is>
      </c>
      <c r="J3545" s="10" t="inlineStr">
        <is>
          <t>営業</t>
        </is>
      </c>
      <c r="L3545" t="inlineStr">
        <is>
          <t>7:36:05</t>
        </is>
      </c>
      <c r="M3545" t="inlineStr">
        <is>
          <t>7:36:50</t>
        </is>
      </c>
    </row>
    <row r="3546" ht="15" customHeight="1" s="37">
      <c r="A3546" t="n">
        <v>3</v>
      </c>
      <c r="B3546" s="10" t="inlineStr">
        <is>
          <t>休日</t>
        </is>
      </c>
      <c r="C3546" s="10" t="inlineStr">
        <is>
          <t>本線</t>
        </is>
      </c>
      <c r="D3546" s="10" t="inlineStr">
        <is>
          <t>上り</t>
        </is>
      </c>
      <c r="E3546" t="inlineStr">
        <is>
          <t>0706</t>
        </is>
      </c>
      <c r="F3546" t="inlineStr">
        <is>
          <t>2221</t>
        </is>
      </c>
      <c r="G3546" s="10" t="inlineStr">
        <is>
          <t>山ノ内</t>
        </is>
      </c>
      <c r="H3546" s="10" t="inlineStr">
        <is>
          <t>発</t>
        </is>
      </c>
      <c r="J3546" s="10" t="inlineStr">
        <is>
          <t>営業</t>
        </is>
      </c>
      <c r="L3546" t="inlineStr">
        <is>
          <t>7:38:40</t>
        </is>
      </c>
      <c r="M3546" t="inlineStr">
        <is>
          <t>7:39:05</t>
        </is>
      </c>
    </row>
    <row r="3547" ht="15" customHeight="1" s="37">
      <c r="A3547" t="n">
        <v>3</v>
      </c>
      <c r="B3547" s="10" t="inlineStr">
        <is>
          <t>休日</t>
        </is>
      </c>
      <c r="C3547" s="10" t="inlineStr">
        <is>
          <t>本線</t>
        </is>
      </c>
      <c r="D3547" s="10" t="inlineStr">
        <is>
          <t>上り</t>
        </is>
      </c>
      <c r="E3547" t="inlineStr">
        <is>
          <t>0706</t>
        </is>
      </c>
      <c r="F3547" t="inlineStr">
        <is>
          <t>2221</t>
        </is>
      </c>
      <c r="G3547" s="10" t="inlineStr">
        <is>
          <t>西大路三条</t>
        </is>
      </c>
      <c r="H3547" s="10" t="inlineStr">
        <is>
          <t>発</t>
        </is>
      </c>
      <c r="J3547" s="10" t="inlineStr">
        <is>
          <t>営業</t>
        </is>
      </c>
      <c r="L3547" t="inlineStr">
        <is>
          <t>7:40:55</t>
        </is>
      </c>
      <c r="M3547" t="inlineStr">
        <is>
          <t>7:41:15</t>
        </is>
      </c>
    </row>
    <row r="3548" ht="15" customHeight="1" s="37">
      <c r="A3548" t="n">
        <v>3</v>
      </c>
      <c r="B3548" s="10" t="inlineStr">
        <is>
          <t>休日</t>
        </is>
      </c>
      <c r="C3548" s="10" t="inlineStr">
        <is>
          <t>本線</t>
        </is>
      </c>
      <c r="D3548" s="10" t="inlineStr">
        <is>
          <t>上り</t>
        </is>
      </c>
      <c r="E3548" t="inlineStr">
        <is>
          <t>0706</t>
        </is>
      </c>
      <c r="F3548" t="inlineStr">
        <is>
          <t>2221</t>
        </is>
      </c>
      <c r="G3548" s="10" t="inlineStr">
        <is>
          <t>西院</t>
        </is>
      </c>
      <c r="H3548" s="10" t="inlineStr">
        <is>
          <t>発</t>
        </is>
      </c>
      <c r="J3548" s="10" t="inlineStr">
        <is>
          <t>営業</t>
        </is>
      </c>
      <c r="L3548" t="inlineStr">
        <is>
          <t>7:43:10</t>
        </is>
      </c>
      <c r="M3548" t="inlineStr">
        <is>
          <t>7:44:05</t>
        </is>
      </c>
    </row>
    <row r="3549" ht="15" customHeight="1" s="37">
      <c r="A3549" t="n">
        <v>3</v>
      </c>
      <c r="B3549" s="10" t="inlineStr">
        <is>
          <t>休日</t>
        </is>
      </c>
      <c r="C3549" s="10" t="inlineStr">
        <is>
          <t>本線</t>
        </is>
      </c>
      <c r="D3549" s="10" t="inlineStr">
        <is>
          <t>上り</t>
        </is>
      </c>
      <c r="E3549" t="inlineStr">
        <is>
          <t>0706</t>
        </is>
      </c>
      <c r="F3549" t="inlineStr">
        <is>
          <t>2221</t>
        </is>
      </c>
      <c r="G3549" s="10" t="inlineStr">
        <is>
          <t>四条大宮</t>
        </is>
      </c>
      <c r="H3549" s="10" t="inlineStr">
        <is>
          <t>着</t>
        </is>
      </c>
      <c r="J3549" s="10" t="inlineStr">
        <is>
          <t>営業</t>
        </is>
      </c>
      <c r="L3549" t="inlineStr">
        <is>
          <t>7:47:00</t>
        </is>
      </c>
      <c r="Q3549" t="inlineStr">
        <is>
          <t>1</t>
        </is>
      </c>
    </row>
    <row r="3550" ht="15" customHeight="1" s="37">
      <c r="A3550" t="n">
        <v>3</v>
      </c>
      <c r="B3550" s="10" t="inlineStr">
        <is>
          <t>休日</t>
        </is>
      </c>
      <c r="C3550" s="10" t="inlineStr">
        <is>
          <t>本線</t>
        </is>
      </c>
      <c r="D3550" s="10" t="inlineStr">
        <is>
          <t>下り</t>
        </is>
      </c>
      <c r="E3550" t="inlineStr">
        <is>
          <t>0711</t>
        </is>
      </c>
      <c r="F3550" t="inlineStr">
        <is>
          <t>0122</t>
        </is>
      </c>
      <c r="G3550" s="10" t="inlineStr">
        <is>
          <t>四条大宮</t>
        </is>
      </c>
      <c r="H3550" s="10" t="inlineStr">
        <is>
          <t>発</t>
        </is>
      </c>
      <c r="J3550" s="10" t="inlineStr">
        <is>
          <t>営業</t>
        </is>
      </c>
      <c r="M3550" t="inlineStr">
        <is>
          <t>7:53:00</t>
        </is>
      </c>
      <c r="Q3550" t="inlineStr">
        <is>
          <t>1</t>
        </is>
      </c>
    </row>
    <row r="3551" ht="15" customHeight="1" s="37">
      <c r="A3551" t="n">
        <v>3</v>
      </c>
      <c r="B3551" s="10" t="inlineStr">
        <is>
          <t>休日</t>
        </is>
      </c>
      <c r="C3551" s="10" t="inlineStr">
        <is>
          <t>本線</t>
        </is>
      </c>
      <c r="D3551" s="10" t="inlineStr">
        <is>
          <t>下り</t>
        </is>
      </c>
      <c r="E3551" t="inlineStr">
        <is>
          <t>0711</t>
        </is>
      </c>
      <c r="F3551" t="inlineStr">
        <is>
          <t>0122</t>
        </is>
      </c>
      <c r="G3551" s="10" t="inlineStr">
        <is>
          <t>西院</t>
        </is>
      </c>
      <c r="H3551" s="10" t="inlineStr">
        <is>
          <t>発</t>
        </is>
      </c>
      <c r="J3551" s="10" t="inlineStr">
        <is>
          <t>営業</t>
        </is>
      </c>
      <c r="L3551" t="inlineStr">
        <is>
          <t>7:55:50</t>
        </is>
      </c>
      <c r="M3551" t="inlineStr">
        <is>
          <t>7:56:20</t>
        </is>
      </c>
    </row>
    <row r="3552" ht="15" customHeight="1" s="37">
      <c r="A3552" t="n">
        <v>3</v>
      </c>
      <c r="B3552" s="10" t="inlineStr">
        <is>
          <t>休日</t>
        </is>
      </c>
      <c r="C3552" s="10" t="inlineStr">
        <is>
          <t>本線</t>
        </is>
      </c>
      <c r="D3552" s="10" t="inlineStr">
        <is>
          <t>下り</t>
        </is>
      </c>
      <c r="E3552" t="inlineStr">
        <is>
          <t>0711</t>
        </is>
      </c>
      <c r="F3552" t="inlineStr">
        <is>
          <t>0122</t>
        </is>
      </c>
      <c r="G3552" s="10" t="inlineStr">
        <is>
          <t>西大路三条</t>
        </is>
      </c>
      <c r="H3552" s="10" t="inlineStr">
        <is>
          <t>発</t>
        </is>
      </c>
      <c r="J3552" s="10" t="inlineStr">
        <is>
          <t>営業</t>
        </is>
      </c>
      <c r="L3552" t="inlineStr">
        <is>
          <t>7:58:10</t>
        </is>
      </c>
      <c r="M3552" t="inlineStr">
        <is>
          <t>7:58:30</t>
        </is>
      </c>
    </row>
    <row r="3553" ht="15" customHeight="1" s="37">
      <c r="A3553" t="n">
        <v>3</v>
      </c>
      <c r="B3553" s="10" t="inlineStr">
        <is>
          <t>休日</t>
        </is>
      </c>
      <c r="C3553" s="10" t="inlineStr">
        <is>
          <t>本線</t>
        </is>
      </c>
      <c r="D3553" s="10" t="inlineStr">
        <is>
          <t>下り</t>
        </is>
      </c>
      <c r="E3553" t="inlineStr">
        <is>
          <t>0711</t>
        </is>
      </c>
      <c r="F3553" t="inlineStr">
        <is>
          <t>0122</t>
        </is>
      </c>
      <c r="G3553" s="10" t="inlineStr">
        <is>
          <t>山ノ内</t>
        </is>
      </c>
      <c r="H3553" s="10" t="inlineStr">
        <is>
          <t>発</t>
        </is>
      </c>
      <c r="J3553" s="10" t="inlineStr">
        <is>
          <t>営業</t>
        </is>
      </c>
      <c r="L3553" t="inlineStr">
        <is>
          <t>8:00:25</t>
        </is>
      </c>
      <c r="M3553" t="inlineStr">
        <is>
          <t>8:00:50</t>
        </is>
      </c>
    </row>
    <row r="3554" ht="15" customHeight="1" s="37">
      <c r="A3554" t="n">
        <v>3</v>
      </c>
      <c r="B3554" s="10" t="inlineStr">
        <is>
          <t>休日</t>
        </is>
      </c>
      <c r="C3554" s="10" t="inlineStr">
        <is>
          <t>本線</t>
        </is>
      </c>
      <c r="D3554" s="10" t="inlineStr">
        <is>
          <t>下り</t>
        </is>
      </c>
      <c r="E3554" t="inlineStr">
        <is>
          <t>0711</t>
        </is>
      </c>
      <c r="F3554" t="inlineStr">
        <is>
          <t>0122</t>
        </is>
      </c>
      <c r="G3554" s="10" t="inlineStr">
        <is>
          <t>天神川</t>
        </is>
      </c>
      <c r="H3554" s="10" t="inlineStr">
        <is>
          <t>発</t>
        </is>
      </c>
      <c r="J3554" s="10" t="inlineStr">
        <is>
          <t>営業</t>
        </is>
      </c>
      <c r="L3554" t="inlineStr">
        <is>
          <t>8:02:50</t>
        </is>
      </c>
      <c r="M3554" t="inlineStr">
        <is>
          <t>8:03:30</t>
        </is>
      </c>
    </row>
    <row r="3555" ht="15" customHeight="1" s="37">
      <c r="A3555" t="n">
        <v>3</v>
      </c>
      <c r="B3555" s="10" t="inlineStr">
        <is>
          <t>休日</t>
        </is>
      </c>
      <c r="C3555" s="10" t="inlineStr">
        <is>
          <t>本線</t>
        </is>
      </c>
      <c r="D3555" s="10" t="inlineStr">
        <is>
          <t>下り</t>
        </is>
      </c>
      <c r="E3555" t="inlineStr">
        <is>
          <t>0711</t>
        </is>
      </c>
      <c r="F3555" t="inlineStr">
        <is>
          <t>0122</t>
        </is>
      </c>
      <c r="G3555" s="10" t="inlineStr">
        <is>
          <t>蚕ノ社</t>
        </is>
      </c>
      <c r="H3555" s="10" t="inlineStr">
        <is>
          <t>発</t>
        </is>
      </c>
      <c r="J3555" s="10" t="inlineStr">
        <is>
          <t>営業</t>
        </is>
      </c>
      <c r="L3555" t="inlineStr">
        <is>
          <t>8:04:20</t>
        </is>
      </c>
      <c r="M3555" t="inlineStr">
        <is>
          <t>8:04:40</t>
        </is>
      </c>
    </row>
    <row r="3556" ht="15" customHeight="1" s="37">
      <c r="A3556" t="n">
        <v>3</v>
      </c>
      <c r="B3556" s="10" t="inlineStr">
        <is>
          <t>休日</t>
        </is>
      </c>
      <c r="C3556" s="10" t="inlineStr">
        <is>
          <t>本線</t>
        </is>
      </c>
      <c r="D3556" s="10" t="inlineStr">
        <is>
          <t>下り</t>
        </is>
      </c>
      <c r="E3556" t="inlineStr">
        <is>
          <t>0711</t>
        </is>
      </c>
      <c r="F3556" t="inlineStr">
        <is>
          <t>0122</t>
        </is>
      </c>
      <c r="G3556" s="10" t="inlineStr">
        <is>
          <t>太秦広隆寺</t>
        </is>
      </c>
      <c r="H3556" s="10" t="inlineStr">
        <is>
          <t>発</t>
        </is>
      </c>
      <c r="J3556" s="10" t="inlineStr">
        <is>
          <t>営業</t>
        </is>
      </c>
      <c r="L3556" t="inlineStr">
        <is>
          <t>8:06:00</t>
        </is>
      </c>
      <c r="M3556" t="inlineStr">
        <is>
          <t>8:06:20</t>
        </is>
      </c>
    </row>
    <row r="3557" ht="15" customHeight="1" s="37">
      <c r="A3557" t="n">
        <v>3</v>
      </c>
      <c r="B3557" s="10" t="inlineStr">
        <is>
          <t>休日</t>
        </is>
      </c>
      <c r="C3557" s="10" t="inlineStr">
        <is>
          <t>本線</t>
        </is>
      </c>
      <c r="D3557" s="10" t="inlineStr">
        <is>
          <t>下り</t>
        </is>
      </c>
      <c r="E3557" t="inlineStr">
        <is>
          <t>0711</t>
        </is>
      </c>
      <c r="F3557" t="inlineStr">
        <is>
          <t>0122</t>
        </is>
      </c>
      <c r="G3557" s="10" t="inlineStr">
        <is>
          <t>帷子ノ辻</t>
        </is>
      </c>
      <c r="H3557" s="10" t="inlineStr">
        <is>
          <t>発</t>
        </is>
      </c>
      <c r="J3557" s="10" t="inlineStr">
        <is>
          <t>営業</t>
        </is>
      </c>
      <c r="L3557" t="inlineStr">
        <is>
          <t>8:08:20</t>
        </is>
      </c>
      <c r="M3557" t="inlineStr">
        <is>
          <t>8:09:40</t>
        </is>
      </c>
    </row>
    <row r="3558" ht="15" customHeight="1" s="37">
      <c r="A3558" t="n">
        <v>3</v>
      </c>
      <c r="B3558" s="10" t="inlineStr">
        <is>
          <t>休日</t>
        </is>
      </c>
      <c r="C3558" s="10" t="inlineStr">
        <is>
          <t>本線</t>
        </is>
      </c>
      <c r="D3558" s="10" t="inlineStr">
        <is>
          <t>下り</t>
        </is>
      </c>
      <c r="E3558" t="inlineStr">
        <is>
          <t>0711</t>
        </is>
      </c>
      <c r="F3558" t="inlineStr">
        <is>
          <t>0122</t>
        </is>
      </c>
      <c r="G3558" s="10" t="inlineStr">
        <is>
          <t>有栖川</t>
        </is>
      </c>
      <c r="H3558" s="10" t="inlineStr">
        <is>
          <t>発</t>
        </is>
      </c>
      <c r="J3558" s="10" t="inlineStr">
        <is>
          <t>営業</t>
        </is>
      </c>
      <c r="L3558" t="inlineStr">
        <is>
          <t>8:10:50</t>
        </is>
      </c>
      <c r="M3558" t="inlineStr">
        <is>
          <t>8:11:15</t>
        </is>
      </c>
    </row>
    <row r="3559" ht="15" customHeight="1" s="37">
      <c r="A3559" t="n">
        <v>3</v>
      </c>
      <c r="B3559" s="10" t="inlineStr">
        <is>
          <t>休日</t>
        </is>
      </c>
      <c r="C3559" s="10" t="inlineStr">
        <is>
          <t>本線</t>
        </is>
      </c>
      <c r="D3559" s="10" t="inlineStr">
        <is>
          <t>下り</t>
        </is>
      </c>
      <c r="E3559" t="inlineStr">
        <is>
          <t>0711</t>
        </is>
      </c>
      <c r="F3559" t="inlineStr">
        <is>
          <t>0122</t>
        </is>
      </c>
      <c r="G3559" s="10" t="inlineStr">
        <is>
          <t>車折</t>
        </is>
      </c>
      <c r="H3559" s="10" t="inlineStr">
        <is>
          <t>発</t>
        </is>
      </c>
      <c r="J3559" s="10" t="inlineStr">
        <is>
          <t>営業</t>
        </is>
      </c>
      <c r="L3559" t="inlineStr">
        <is>
          <t>8:12:40</t>
        </is>
      </c>
      <c r="M3559" t="inlineStr">
        <is>
          <t>8:13:05</t>
        </is>
      </c>
    </row>
    <row r="3560" ht="15" customHeight="1" s="37">
      <c r="A3560" t="n">
        <v>3</v>
      </c>
      <c r="B3560" s="10" t="inlineStr">
        <is>
          <t>休日</t>
        </is>
      </c>
      <c r="C3560" s="10" t="inlineStr">
        <is>
          <t>本線</t>
        </is>
      </c>
      <c r="D3560" s="10" t="inlineStr">
        <is>
          <t>下り</t>
        </is>
      </c>
      <c r="E3560" t="inlineStr">
        <is>
          <t>0711</t>
        </is>
      </c>
      <c r="F3560" t="inlineStr">
        <is>
          <t>0122</t>
        </is>
      </c>
      <c r="G3560" s="10" t="inlineStr">
        <is>
          <t>鹿王院</t>
        </is>
      </c>
      <c r="H3560" s="10" t="inlineStr">
        <is>
          <t>発</t>
        </is>
      </c>
      <c r="J3560" s="10" t="inlineStr">
        <is>
          <t>営業</t>
        </is>
      </c>
      <c r="L3560" t="inlineStr">
        <is>
          <t>8:14:00</t>
        </is>
      </c>
      <c r="M3560" t="inlineStr">
        <is>
          <t>8:14:25</t>
        </is>
      </c>
    </row>
    <row r="3561" ht="15" customHeight="1" s="37">
      <c r="A3561" t="n">
        <v>3</v>
      </c>
      <c r="B3561" s="10" t="inlineStr">
        <is>
          <t>休日</t>
        </is>
      </c>
      <c r="C3561" s="10" t="inlineStr">
        <is>
          <t>本線</t>
        </is>
      </c>
      <c r="D3561" s="10" t="inlineStr">
        <is>
          <t>下り</t>
        </is>
      </c>
      <c r="E3561" t="inlineStr">
        <is>
          <t>0711</t>
        </is>
      </c>
      <c r="F3561" t="inlineStr">
        <is>
          <t>0122</t>
        </is>
      </c>
      <c r="G3561" s="10" t="inlineStr">
        <is>
          <t>嵯峨</t>
        </is>
      </c>
      <c r="H3561" s="10" t="inlineStr">
        <is>
          <t>発</t>
        </is>
      </c>
      <c r="J3561" s="10" t="inlineStr">
        <is>
          <t>営業</t>
        </is>
      </c>
      <c r="L3561" t="inlineStr">
        <is>
          <t>8:15:30</t>
        </is>
      </c>
      <c r="M3561" t="inlineStr">
        <is>
          <t>8:15:55</t>
        </is>
      </c>
    </row>
    <row r="3562" ht="15" customHeight="1" s="37">
      <c r="A3562" t="n">
        <v>3</v>
      </c>
      <c r="B3562" s="10" t="inlineStr">
        <is>
          <t>休日</t>
        </is>
      </c>
      <c r="C3562" s="10" t="inlineStr">
        <is>
          <t>本線</t>
        </is>
      </c>
      <c r="D3562" s="10" t="inlineStr">
        <is>
          <t>下り</t>
        </is>
      </c>
      <c r="E3562" t="inlineStr">
        <is>
          <t>0711</t>
        </is>
      </c>
      <c r="F3562" t="inlineStr">
        <is>
          <t>0122</t>
        </is>
      </c>
      <c r="G3562" s="10" t="inlineStr">
        <is>
          <t>嵐山</t>
        </is>
      </c>
      <c r="H3562" s="10" t="inlineStr">
        <is>
          <t>着</t>
        </is>
      </c>
      <c r="J3562" s="10" t="inlineStr">
        <is>
          <t>営業</t>
        </is>
      </c>
      <c r="L3562" t="inlineStr">
        <is>
          <t>8:17:00</t>
        </is>
      </c>
      <c r="N3562" t="inlineStr">
        <is>
          <t>○</t>
        </is>
      </c>
      <c r="Q3562" t="inlineStr">
        <is>
          <t>1</t>
        </is>
      </c>
    </row>
    <row r="3563" ht="15" customHeight="1" s="37">
      <c r="A3563" t="n">
        <v>3</v>
      </c>
      <c r="B3563" s="10" t="inlineStr">
        <is>
          <t>休日</t>
        </is>
      </c>
      <c r="C3563" s="10" t="inlineStr">
        <is>
          <t>本線</t>
        </is>
      </c>
      <c r="D3563" s="10" t="inlineStr">
        <is>
          <t>上り</t>
        </is>
      </c>
      <c r="E3563" t="inlineStr">
        <is>
          <t>0806</t>
        </is>
      </c>
      <c r="F3563" t="inlineStr">
        <is>
          <t>2221</t>
        </is>
      </c>
      <c r="G3563" s="10" t="inlineStr">
        <is>
          <t>嵐山</t>
        </is>
      </c>
      <c r="H3563" s="10" t="inlineStr">
        <is>
          <t>発</t>
        </is>
      </c>
      <c r="J3563" s="10" t="inlineStr">
        <is>
          <t>営業</t>
        </is>
      </c>
      <c r="M3563" t="inlineStr">
        <is>
          <t>8:23:00</t>
        </is>
      </c>
      <c r="Q3563" t="inlineStr">
        <is>
          <t>1</t>
        </is>
      </c>
      <c r="U3563" t="inlineStr">
        <is>
          <t>→西院 休憩(8:56〜10:16)</t>
        </is>
      </c>
    </row>
    <row r="3564" ht="15" customHeight="1" s="37">
      <c r="A3564" t="n">
        <v>3</v>
      </c>
      <c r="B3564" s="10" t="inlineStr">
        <is>
          <t>休日</t>
        </is>
      </c>
      <c r="C3564" s="10" t="inlineStr">
        <is>
          <t>本線</t>
        </is>
      </c>
      <c r="D3564" s="10" t="inlineStr">
        <is>
          <t>上り</t>
        </is>
      </c>
      <c r="E3564" t="inlineStr">
        <is>
          <t>0806</t>
        </is>
      </c>
      <c r="F3564" t="inlineStr">
        <is>
          <t>2221</t>
        </is>
      </c>
      <c r="G3564" s="10" t="inlineStr">
        <is>
          <t>嵯峨</t>
        </is>
      </c>
      <c r="H3564" s="10" t="inlineStr">
        <is>
          <t>発</t>
        </is>
      </c>
      <c r="J3564" s="10" t="inlineStr">
        <is>
          <t>営業</t>
        </is>
      </c>
      <c r="L3564" t="inlineStr">
        <is>
          <t>8:23:55</t>
        </is>
      </c>
      <c r="M3564" t="inlineStr">
        <is>
          <t>8:24:20</t>
        </is>
      </c>
      <c r="U3564" t="inlineStr">
        <is>
          <t>→西院 休憩(8:56〜10:16)</t>
        </is>
      </c>
    </row>
    <row r="3565" ht="15" customHeight="1" s="37">
      <c r="A3565" t="n">
        <v>3</v>
      </c>
      <c r="B3565" s="10" t="inlineStr">
        <is>
          <t>休日</t>
        </is>
      </c>
      <c r="C3565" s="10" t="inlineStr">
        <is>
          <t>本線</t>
        </is>
      </c>
      <c r="D3565" s="10" t="inlineStr">
        <is>
          <t>上り</t>
        </is>
      </c>
      <c r="E3565" t="inlineStr">
        <is>
          <t>0806</t>
        </is>
      </c>
      <c r="F3565" t="inlineStr">
        <is>
          <t>2221</t>
        </is>
      </c>
      <c r="G3565" s="10" t="inlineStr">
        <is>
          <t>鹿王院</t>
        </is>
      </c>
      <c r="H3565" s="10" t="inlineStr">
        <is>
          <t>発</t>
        </is>
      </c>
      <c r="J3565" s="10" t="inlineStr">
        <is>
          <t>営業</t>
        </is>
      </c>
      <c r="L3565" t="inlineStr">
        <is>
          <t>8:25:25</t>
        </is>
      </c>
      <c r="M3565" t="inlineStr">
        <is>
          <t>8:25:45</t>
        </is>
      </c>
      <c r="U3565" t="inlineStr">
        <is>
          <t>→西院 休憩(8:56〜10:16)</t>
        </is>
      </c>
    </row>
    <row r="3566" ht="15" customHeight="1" s="37">
      <c r="A3566" t="n">
        <v>3</v>
      </c>
      <c r="B3566" s="10" t="inlineStr">
        <is>
          <t>休日</t>
        </is>
      </c>
      <c r="C3566" s="10" t="inlineStr">
        <is>
          <t>本線</t>
        </is>
      </c>
      <c r="D3566" s="10" t="inlineStr">
        <is>
          <t>上り</t>
        </is>
      </c>
      <c r="E3566" t="inlineStr">
        <is>
          <t>0806</t>
        </is>
      </c>
      <c r="F3566" t="inlineStr">
        <is>
          <t>2221</t>
        </is>
      </c>
      <c r="G3566" s="10" t="inlineStr">
        <is>
          <t>車折</t>
        </is>
      </c>
      <c r="H3566" s="10" t="inlineStr">
        <is>
          <t>発</t>
        </is>
      </c>
      <c r="J3566" s="10" t="inlineStr">
        <is>
          <t>営業</t>
        </is>
      </c>
      <c r="L3566" t="inlineStr">
        <is>
          <t>8:26:40</t>
        </is>
      </c>
      <c r="M3566" t="inlineStr">
        <is>
          <t>8:27:10</t>
        </is>
      </c>
      <c r="U3566" t="inlineStr">
        <is>
          <t>→西院 休憩(8:56〜10:16)</t>
        </is>
      </c>
    </row>
    <row r="3567" ht="15" customHeight="1" s="37">
      <c r="A3567" t="n">
        <v>3</v>
      </c>
      <c r="B3567" s="10" t="inlineStr">
        <is>
          <t>休日</t>
        </is>
      </c>
      <c r="C3567" s="10" t="inlineStr">
        <is>
          <t>本線</t>
        </is>
      </c>
      <c r="D3567" s="10" t="inlineStr">
        <is>
          <t>上り</t>
        </is>
      </c>
      <c r="E3567" t="inlineStr">
        <is>
          <t>0806</t>
        </is>
      </c>
      <c r="F3567" t="inlineStr">
        <is>
          <t>2221</t>
        </is>
      </c>
      <c r="G3567" s="10" t="inlineStr">
        <is>
          <t>有栖川</t>
        </is>
      </c>
      <c r="H3567" s="10" t="inlineStr">
        <is>
          <t>発</t>
        </is>
      </c>
      <c r="J3567" s="10" t="inlineStr">
        <is>
          <t>営業</t>
        </is>
      </c>
      <c r="L3567" t="inlineStr">
        <is>
          <t>8:28:35</t>
        </is>
      </c>
      <c r="M3567" t="inlineStr">
        <is>
          <t>8:28:55</t>
        </is>
      </c>
      <c r="U3567" t="inlineStr">
        <is>
          <t>→西院 休憩(8:56〜10:16)</t>
        </is>
      </c>
    </row>
    <row r="3568" ht="15" customHeight="1" s="37">
      <c r="A3568" t="n">
        <v>3</v>
      </c>
      <c r="B3568" s="10" t="inlineStr">
        <is>
          <t>休日</t>
        </is>
      </c>
      <c r="C3568" s="10" t="inlineStr">
        <is>
          <t>本線</t>
        </is>
      </c>
      <c r="D3568" s="10" t="inlineStr">
        <is>
          <t>上り</t>
        </is>
      </c>
      <c r="E3568" t="inlineStr">
        <is>
          <t>0806</t>
        </is>
      </c>
      <c r="F3568" t="inlineStr">
        <is>
          <t>2221</t>
        </is>
      </c>
      <c r="G3568" s="10" t="inlineStr">
        <is>
          <t>帷子ノ辻</t>
        </is>
      </c>
      <c r="H3568" s="10" t="inlineStr">
        <is>
          <t>発</t>
        </is>
      </c>
      <c r="J3568" s="10" t="inlineStr">
        <is>
          <t>営業</t>
        </is>
      </c>
      <c r="L3568" t="inlineStr">
        <is>
          <t>8:30:10</t>
        </is>
      </c>
      <c r="M3568" t="inlineStr">
        <is>
          <t>8:31:15</t>
        </is>
      </c>
      <c r="U3568" t="inlineStr">
        <is>
          <t>→西院 休憩(8:56〜10:16)</t>
        </is>
      </c>
    </row>
    <row r="3569" ht="15" customHeight="1" s="37">
      <c r="A3569" t="n">
        <v>3</v>
      </c>
      <c r="B3569" s="10" t="inlineStr">
        <is>
          <t>休日</t>
        </is>
      </c>
      <c r="C3569" s="10" t="inlineStr">
        <is>
          <t>本線</t>
        </is>
      </c>
      <c r="D3569" s="10" t="inlineStr">
        <is>
          <t>上り</t>
        </is>
      </c>
      <c r="E3569" t="inlineStr">
        <is>
          <t>0806</t>
        </is>
      </c>
      <c r="F3569" t="inlineStr">
        <is>
          <t>2221</t>
        </is>
      </c>
      <c r="G3569" s="10" t="inlineStr">
        <is>
          <t>太秦広隆寺</t>
        </is>
      </c>
      <c r="H3569" s="10" t="inlineStr">
        <is>
          <t>発</t>
        </is>
      </c>
      <c r="J3569" s="10" t="inlineStr">
        <is>
          <t>営業</t>
        </is>
      </c>
      <c r="L3569" t="inlineStr">
        <is>
          <t>8:33:25</t>
        </is>
      </c>
      <c r="M3569" t="inlineStr">
        <is>
          <t>8:33:45</t>
        </is>
      </c>
      <c r="U3569" t="inlineStr">
        <is>
          <t>→西院 休憩(8:56〜10:16)</t>
        </is>
      </c>
    </row>
    <row r="3570" ht="15" customHeight="1" s="37">
      <c r="A3570" t="n">
        <v>3</v>
      </c>
      <c r="B3570" s="10" t="inlineStr">
        <is>
          <t>休日</t>
        </is>
      </c>
      <c r="C3570" s="10" t="inlineStr">
        <is>
          <t>本線</t>
        </is>
      </c>
      <c r="D3570" s="10" t="inlineStr">
        <is>
          <t>上り</t>
        </is>
      </c>
      <c r="E3570" t="inlineStr">
        <is>
          <t>0806</t>
        </is>
      </c>
      <c r="F3570" t="inlineStr">
        <is>
          <t>2221</t>
        </is>
      </c>
      <c r="G3570" s="10" t="inlineStr">
        <is>
          <t>蚕ノ社</t>
        </is>
      </c>
      <c r="H3570" s="10" t="inlineStr">
        <is>
          <t>発</t>
        </is>
      </c>
      <c r="J3570" s="10" t="inlineStr">
        <is>
          <t>営業</t>
        </is>
      </c>
      <c r="L3570" t="inlineStr">
        <is>
          <t>8:35:00</t>
        </is>
      </c>
      <c r="M3570" t="inlineStr">
        <is>
          <t>8:35:20</t>
        </is>
      </c>
      <c r="U3570" t="inlineStr">
        <is>
          <t>→西院 休憩(8:56〜10:16)</t>
        </is>
      </c>
    </row>
    <row r="3571" ht="15" customHeight="1" s="37">
      <c r="A3571" t="n">
        <v>3</v>
      </c>
      <c r="B3571" s="10" t="inlineStr">
        <is>
          <t>休日</t>
        </is>
      </c>
      <c r="C3571" s="10" t="inlineStr">
        <is>
          <t>本線</t>
        </is>
      </c>
      <c r="D3571" s="10" t="inlineStr">
        <is>
          <t>上り</t>
        </is>
      </c>
      <c r="E3571" t="inlineStr">
        <is>
          <t>0806</t>
        </is>
      </c>
      <c r="F3571" t="inlineStr">
        <is>
          <t>2221</t>
        </is>
      </c>
      <c r="G3571" s="10" t="inlineStr">
        <is>
          <t>天神川</t>
        </is>
      </c>
      <c r="H3571" s="10" t="inlineStr">
        <is>
          <t>発</t>
        </is>
      </c>
      <c r="J3571" s="10" t="inlineStr">
        <is>
          <t>営業</t>
        </is>
      </c>
      <c r="L3571" t="inlineStr">
        <is>
          <t>8:36:05</t>
        </is>
      </c>
      <c r="M3571" t="inlineStr">
        <is>
          <t>8:36:50</t>
        </is>
      </c>
      <c r="U3571" t="inlineStr">
        <is>
          <t>→西院 休憩(8:56〜10:16)</t>
        </is>
      </c>
    </row>
    <row r="3572" ht="15" customHeight="1" s="37">
      <c r="A3572" t="n">
        <v>3</v>
      </c>
      <c r="B3572" s="10" t="inlineStr">
        <is>
          <t>休日</t>
        </is>
      </c>
      <c r="C3572" s="10" t="inlineStr">
        <is>
          <t>本線</t>
        </is>
      </c>
      <c r="D3572" s="10" t="inlineStr">
        <is>
          <t>上り</t>
        </is>
      </c>
      <c r="E3572" t="inlineStr">
        <is>
          <t>0806</t>
        </is>
      </c>
      <c r="F3572" t="inlineStr">
        <is>
          <t>2221</t>
        </is>
      </c>
      <c r="G3572" s="10" t="inlineStr">
        <is>
          <t>山ノ内</t>
        </is>
      </c>
      <c r="H3572" s="10" t="inlineStr">
        <is>
          <t>発</t>
        </is>
      </c>
      <c r="J3572" s="10" t="inlineStr">
        <is>
          <t>営業</t>
        </is>
      </c>
      <c r="L3572" t="inlineStr">
        <is>
          <t>8:38:40</t>
        </is>
      </c>
      <c r="M3572" t="inlineStr">
        <is>
          <t>8:39:05</t>
        </is>
      </c>
      <c r="U3572" t="inlineStr">
        <is>
          <t>→西院 休憩(8:56〜10:16)</t>
        </is>
      </c>
    </row>
    <row r="3573" ht="15" customHeight="1" s="37">
      <c r="A3573" t="n">
        <v>3</v>
      </c>
      <c r="B3573" s="10" t="inlineStr">
        <is>
          <t>休日</t>
        </is>
      </c>
      <c r="C3573" s="10" t="inlineStr">
        <is>
          <t>本線</t>
        </is>
      </c>
      <c r="D3573" s="10" t="inlineStr">
        <is>
          <t>上り</t>
        </is>
      </c>
      <c r="E3573" t="inlineStr">
        <is>
          <t>0806</t>
        </is>
      </c>
      <c r="F3573" t="inlineStr">
        <is>
          <t>2221</t>
        </is>
      </c>
      <c r="G3573" s="10" t="inlineStr">
        <is>
          <t>西大路三条</t>
        </is>
      </c>
      <c r="H3573" s="10" t="inlineStr">
        <is>
          <t>発</t>
        </is>
      </c>
      <c r="J3573" s="10" t="inlineStr">
        <is>
          <t>営業</t>
        </is>
      </c>
      <c r="L3573" t="inlineStr">
        <is>
          <t>8:40:55</t>
        </is>
      </c>
      <c r="M3573" t="inlineStr">
        <is>
          <t>8:41:15</t>
        </is>
      </c>
      <c r="U3573" t="inlineStr">
        <is>
          <t>→西院 休憩(8:56〜10:16)</t>
        </is>
      </c>
    </row>
    <row r="3574" ht="15" customHeight="1" s="37">
      <c r="A3574" t="n">
        <v>3</v>
      </c>
      <c r="B3574" s="10" t="inlineStr">
        <is>
          <t>休日</t>
        </is>
      </c>
      <c r="C3574" s="10" t="inlineStr">
        <is>
          <t>本線</t>
        </is>
      </c>
      <c r="D3574" s="10" t="inlineStr">
        <is>
          <t>上り</t>
        </is>
      </c>
      <c r="E3574" t="inlineStr">
        <is>
          <t>0806</t>
        </is>
      </c>
      <c r="F3574" t="inlineStr">
        <is>
          <t>2221</t>
        </is>
      </c>
      <c r="G3574" s="10" t="inlineStr">
        <is>
          <t>西院</t>
        </is>
      </c>
      <c r="H3574" s="10" t="inlineStr">
        <is>
          <t>発</t>
        </is>
      </c>
      <c r="J3574" s="10" t="inlineStr">
        <is>
          <t>営業</t>
        </is>
      </c>
      <c r="L3574" t="inlineStr">
        <is>
          <t>8:43:10</t>
        </is>
      </c>
      <c r="M3574" t="inlineStr">
        <is>
          <t>8:44:05</t>
        </is>
      </c>
      <c r="U3574" t="inlineStr">
        <is>
          <t>→西院 休憩(8:56〜10:16)</t>
        </is>
      </c>
    </row>
    <row r="3575" ht="15" customHeight="1" s="37">
      <c r="A3575" t="n">
        <v>3</v>
      </c>
      <c r="B3575" s="10" t="inlineStr">
        <is>
          <t>休日</t>
        </is>
      </c>
      <c r="C3575" s="10" t="inlineStr">
        <is>
          <t>本線</t>
        </is>
      </c>
      <c r="D3575" s="10" t="inlineStr">
        <is>
          <t>上り</t>
        </is>
      </c>
      <c r="E3575" t="inlineStr">
        <is>
          <t>0806</t>
        </is>
      </c>
      <c r="F3575" t="inlineStr">
        <is>
          <t>2221</t>
        </is>
      </c>
      <c r="G3575" s="10" t="inlineStr">
        <is>
          <t>四条大宮</t>
        </is>
      </c>
      <c r="H3575" s="10" t="inlineStr">
        <is>
          <t>着</t>
        </is>
      </c>
      <c r="J3575" s="10" t="inlineStr">
        <is>
          <t>営業</t>
        </is>
      </c>
      <c r="L3575" t="inlineStr">
        <is>
          <t>8:47:00</t>
        </is>
      </c>
      <c r="Q3575" t="inlineStr">
        <is>
          <t>1</t>
        </is>
      </c>
      <c r="U3575" t="inlineStr">
        <is>
          <t>→西院 休憩(8:56〜10:16)</t>
        </is>
      </c>
    </row>
    <row r="3576" ht="15" customHeight="1" s="37">
      <c r="A3576" t="n">
        <v>3</v>
      </c>
      <c r="B3576" s="10" t="inlineStr">
        <is>
          <t>休日</t>
        </is>
      </c>
      <c r="C3576" s="10" t="inlineStr">
        <is>
          <t>本線</t>
        </is>
      </c>
      <c r="D3576" s="10" t="inlineStr">
        <is>
          <t>下り</t>
        </is>
      </c>
      <c r="E3576" t="inlineStr">
        <is>
          <t>0811</t>
        </is>
      </c>
      <c r="F3576" t="inlineStr">
        <is>
          <t>0112</t>
        </is>
      </c>
      <c r="G3576" s="10" t="inlineStr">
        <is>
          <t>四条大宮</t>
        </is>
      </c>
      <c r="H3576" s="10" t="inlineStr">
        <is>
          <t>発</t>
        </is>
      </c>
      <c r="J3576" s="10" t="inlineStr">
        <is>
          <t>営業</t>
        </is>
      </c>
      <c r="M3576" t="inlineStr">
        <is>
          <t>8:53:00</t>
        </is>
      </c>
      <c r="Q3576" t="inlineStr">
        <is>
          <t>1</t>
        </is>
      </c>
      <c r="U3576" t="inlineStr">
        <is>
          <t>→西院 休憩(8:56〜10:16)</t>
        </is>
      </c>
    </row>
    <row r="3577" ht="15" customHeight="1" s="37">
      <c r="A3577" t="n">
        <v>3</v>
      </c>
      <c r="B3577" s="10" t="inlineStr">
        <is>
          <t>休日</t>
        </is>
      </c>
      <c r="C3577" s="10" t="inlineStr">
        <is>
          <t>本線</t>
        </is>
      </c>
      <c r="D3577" s="10" t="inlineStr">
        <is>
          <t>下り</t>
        </is>
      </c>
      <c r="E3577" t="inlineStr">
        <is>
          <t>0811</t>
        </is>
      </c>
      <c r="F3577" t="inlineStr">
        <is>
          <t>0112</t>
        </is>
      </c>
      <c r="G3577" s="10" t="inlineStr">
        <is>
          <t>西院</t>
        </is>
      </c>
      <c r="H3577" s="10" t="inlineStr">
        <is>
          <t>着</t>
        </is>
      </c>
      <c r="J3577" s="10" t="inlineStr">
        <is>
          <t>営業</t>
        </is>
      </c>
      <c r="L3577" t="inlineStr">
        <is>
          <t>8:55:50</t>
        </is>
      </c>
      <c r="M3577" t="inlineStr">
        <is>
          <t>8:56:20</t>
        </is>
      </c>
      <c r="U3577" t="inlineStr">
        <is>
          <t>→西院 休憩(8:56〜10:16)</t>
        </is>
      </c>
    </row>
    <row r="3578" ht="15" customHeight="1" s="37">
      <c r="A3578" t="n">
        <v>3</v>
      </c>
      <c r="B3578" s="10" t="inlineStr">
        <is>
          <t>休日</t>
        </is>
      </c>
      <c r="C3578" s="10" t="inlineStr">
        <is>
          <t>本線</t>
        </is>
      </c>
      <c r="D3578" s="10" t="inlineStr">
        <is>
          <t>下り</t>
        </is>
      </c>
      <c r="E3578" t="inlineStr">
        <is>
          <t>1003</t>
        </is>
      </c>
      <c r="F3578" t="inlineStr">
        <is>
          <t>0112</t>
        </is>
      </c>
      <c r="G3578" s="10" t="inlineStr">
        <is>
          <t>西院</t>
        </is>
      </c>
      <c r="H3578" s="10" t="inlineStr">
        <is>
          <t>発</t>
        </is>
      </c>
      <c r="J3578" s="10" t="inlineStr">
        <is>
          <t>営業</t>
        </is>
      </c>
      <c r="L3578" t="inlineStr">
        <is>
          <t>10:15:50</t>
        </is>
      </c>
      <c r="M3578" t="inlineStr">
        <is>
          <t>10:16:20</t>
        </is>
      </c>
    </row>
    <row r="3579" ht="15" customHeight="1" s="37">
      <c r="A3579" t="n">
        <v>3</v>
      </c>
      <c r="B3579" s="10" t="inlineStr">
        <is>
          <t>休日</t>
        </is>
      </c>
      <c r="C3579" s="10" t="inlineStr">
        <is>
          <t>本線</t>
        </is>
      </c>
      <c r="D3579" s="10" t="inlineStr">
        <is>
          <t>下り</t>
        </is>
      </c>
      <c r="E3579" t="inlineStr">
        <is>
          <t>1003</t>
        </is>
      </c>
      <c r="F3579" t="inlineStr">
        <is>
          <t>0112</t>
        </is>
      </c>
      <c r="G3579" s="10" t="inlineStr">
        <is>
          <t>西大路三条</t>
        </is>
      </c>
      <c r="H3579" s="10" t="inlineStr">
        <is>
          <t>発</t>
        </is>
      </c>
      <c r="J3579" s="10" t="inlineStr">
        <is>
          <t>営業</t>
        </is>
      </c>
      <c r="L3579" t="inlineStr">
        <is>
          <t>10:18:10</t>
        </is>
      </c>
      <c r="M3579" t="inlineStr">
        <is>
          <t>10:18:30</t>
        </is>
      </c>
    </row>
    <row r="3580" ht="15" customHeight="1" s="37">
      <c r="A3580" t="n">
        <v>3</v>
      </c>
      <c r="B3580" s="10" t="inlineStr">
        <is>
          <t>休日</t>
        </is>
      </c>
      <c r="C3580" s="10" t="inlineStr">
        <is>
          <t>本線</t>
        </is>
      </c>
      <c r="D3580" s="10" t="inlineStr">
        <is>
          <t>下り</t>
        </is>
      </c>
      <c r="E3580" t="inlineStr">
        <is>
          <t>1003</t>
        </is>
      </c>
      <c r="F3580" t="inlineStr">
        <is>
          <t>0112</t>
        </is>
      </c>
      <c r="G3580" s="10" t="inlineStr">
        <is>
          <t>山ノ内</t>
        </is>
      </c>
      <c r="H3580" s="10" t="inlineStr">
        <is>
          <t>発</t>
        </is>
      </c>
      <c r="J3580" s="10" t="inlineStr">
        <is>
          <t>営業</t>
        </is>
      </c>
      <c r="L3580" t="inlineStr">
        <is>
          <t>10:20:25</t>
        </is>
      </c>
      <c r="M3580" t="inlineStr">
        <is>
          <t>10:20:50</t>
        </is>
      </c>
    </row>
    <row r="3581" ht="15" customHeight="1" s="37">
      <c r="A3581" t="n">
        <v>3</v>
      </c>
      <c r="B3581" s="10" t="inlineStr">
        <is>
          <t>休日</t>
        </is>
      </c>
      <c r="C3581" s="10" t="inlineStr">
        <is>
          <t>本線</t>
        </is>
      </c>
      <c r="D3581" s="10" t="inlineStr">
        <is>
          <t>下り</t>
        </is>
      </c>
      <c r="E3581" t="inlineStr">
        <is>
          <t>1003</t>
        </is>
      </c>
      <c r="F3581" t="inlineStr">
        <is>
          <t>0112</t>
        </is>
      </c>
      <c r="G3581" s="10" t="inlineStr">
        <is>
          <t>天神川</t>
        </is>
      </c>
      <c r="H3581" s="10" t="inlineStr">
        <is>
          <t>発</t>
        </is>
      </c>
      <c r="J3581" s="10" t="inlineStr">
        <is>
          <t>営業</t>
        </is>
      </c>
      <c r="L3581" t="inlineStr">
        <is>
          <t>10:22:50</t>
        </is>
      </c>
      <c r="M3581" t="inlineStr">
        <is>
          <t>10:23:30</t>
        </is>
      </c>
    </row>
    <row r="3582" ht="15" customHeight="1" s="37">
      <c r="A3582" t="n">
        <v>3</v>
      </c>
      <c r="B3582" s="10" t="inlineStr">
        <is>
          <t>休日</t>
        </is>
      </c>
      <c r="C3582" s="10" t="inlineStr">
        <is>
          <t>本線</t>
        </is>
      </c>
      <c r="D3582" s="10" t="inlineStr">
        <is>
          <t>下り</t>
        </is>
      </c>
      <c r="E3582" t="inlineStr">
        <is>
          <t>1003</t>
        </is>
      </c>
      <c r="F3582" t="inlineStr">
        <is>
          <t>0112</t>
        </is>
      </c>
      <c r="G3582" s="10" t="inlineStr">
        <is>
          <t>蚕ノ社</t>
        </is>
      </c>
      <c r="H3582" s="10" t="inlineStr">
        <is>
          <t>発</t>
        </is>
      </c>
      <c r="J3582" s="10" t="inlineStr">
        <is>
          <t>営業</t>
        </is>
      </c>
      <c r="L3582" t="inlineStr">
        <is>
          <t>10:24:20</t>
        </is>
      </c>
      <c r="M3582" t="inlineStr">
        <is>
          <t>10:24:40</t>
        </is>
      </c>
    </row>
    <row r="3583" ht="15" customHeight="1" s="37">
      <c r="A3583" t="n">
        <v>3</v>
      </c>
      <c r="B3583" s="10" t="inlineStr">
        <is>
          <t>休日</t>
        </is>
      </c>
      <c r="C3583" s="10" t="inlineStr">
        <is>
          <t>本線</t>
        </is>
      </c>
      <c r="D3583" s="10" t="inlineStr">
        <is>
          <t>下り</t>
        </is>
      </c>
      <c r="E3583" t="inlineStr">
        <is>
          <t>1003</t>
        </is>
      </c>
      <c r="F3583" t="inlineStr">
        <is>
          <t>0112</t>
        </is>
      </c>
      <c r="G3583" s="10" t="inlineStr">
        <is>
          <t>太秦広隆寺</t>
        </is>
      </c>
      <c r="H3583" s="10" t="inlineStr">
        <is>
          <t>発</t>
        </is>
      </c>
      <c r="J3583" s="10" t="inlineStr">
        <is>
          <t>営業</t>
        </is>
      </c>
      <c r="L3583" t="inlineStr">
        <is>
          <t>10:26:00</t>
        </is>
      </c>
      <c r="M3583" t="inlineStr">
        <is>
          <t>10:26:20</t>
        </is>
      </c>
    </row>
    <row r="3584" ht="15" customHeight="1" s="37">
      <c r="A3584" t="n">
        <v>3</v>
      </c>
      <c r="B3584" s="10" t="inlineStr">
        <is>
          <t>休日</t>
        </is>
      </c>
      <c r="C3584" s="10" t="inlineStr">
        <is>
          <t>本線</t>
        </is>
      </c>
      <c r="D3584" s="10" t="inlineStr">
        <is>
          <t>下り</t>
        </is>
      </c>
      <c r="E3584" t="inlineStr">
        <is>
          <t>1003</t>
        </is>
      </c>
      <c r="F3584" t="inlineStr">
        <is>
          <t>0112</t>
        </is>
      </c>
      <c r="G3584" s="10" t="inlineStr">
        <is>
          <t>帷子ノ辻</t>
        </is>
      </c>
      <c r="H3584" s="10" t="inlineStr">
        <is>
          <t>発</t>
        </is>
      </c>
      <c r="J3584" s="10" t="inlineStr">
        <is>
          <t>営業</t>
        </is>
      </c>
      <c r="L3584" t="inlineStr">
        <is>
          <t>10:28:20</t>
        </is>
      </c>
      <c r="M3584" t="inlineStr">
        <is>
          <t>10:29:40</t>
        </is>
      </c>
    </row>
    <row r="3585" ht="15" customHeight="1" s="37">
      <c r="A3585" t="n">
        <v>3</v>
      </c>
      <c r="B3585" s="10" t="inlineStr">
        <is>
          <t>休日</t>
        </is>
      </c>
      <c r="C3585" s="10" t="inlineStr">
        <is>
          <t>本線</t>
        </is>
      </c>
      <c r="D3585" s="10" t="inlineStr">
        <is>
          <t>下り</t>
        </is>
      </c>
      <c r="E3585" t="inlineStr">
        <is>
          <t>1003</t>
        </is>
      </c>
      <c r="F3585" t="inlineStr">
        <is>
          <t>0112</t>
        </is>
      </c>
      <c r="G3585" s="10" t="inlineStr">
        <is>
          <t>有栖川</t>
        </is>
      </c>
      <c r="H3585" s="10" t="inlineStr">
        <is>
          <t>発</t>
        </is>
      </c>
      <c r="J3585" s="10" t="inlineStr">
        <is>
          <t>営業</t>
        </is>
      </c>
      <c r="L3585" t="inlineStr">
        <is>
          <t>10:30:50</t>
        </is>
      </c>
      <c r="M3585" t="inlineStr">
        <is>
          <t>10:31:15</t>
        </is>
      </c>
    </row>
    <row r="3586" ht="15" customHeight="1" s="37">
      <c r="A3586" t="n">
        <v>3</v>
      </c>
      <c r="B3586" s="10" t="inlineStr">
        <is>
          <t>休日</t>
        </is>
      </c>
      <c r="C3586" s="10" t="inlineStr">
        <is>
          <t>本線</t>
        </is>
      </c>
      <c r="D3586" s="10" t="inlineStr">
        <is>
          <t>下り</t>
        </is>
      </c>
      <c r="E3586" t="inlineStr">
        <is>
          <t>1003</t>
        </is>
      </c>
      <c r="F3586" t="inlineStr">
        <is>
          <t>0112</t>
        </is>
      </c>
      <c r="G3586" s="10" t="inlineStr">
        <is>
          <t>車折</t>
        </is>
      </c>
      <c r="H3586" s="10" t="inlineStr">
        <is>
          <t>発</t>
        </is>
      </c>
      <c r="J3586" s="10" t="inlineStr">
        <is>
          <t>営業</t>
        </is>
      </c>
      <c r="L3586" t="inlineStr">
        <is>
          <t>10:32:40</t>
        </is>
      </c>
      <c r="M3586" t="inlineStr">
        <is>
          <t>10:33:05</t>
        </is>
      </c>
    </row>
    <row r="3587" ht="15" customHeight="1" s="37">
      <c r="A3587" t="n">
        <v>3</v>
      </c>
      <c r="B3587" s="10" t="inlineStr">
        <is>
          <t>休日</t>
        </is>
      </c>
      <c r="C3587" s="10" t="inlineStr">
        <is>
          <t>本線</t>
        </is>
      </c>
      <c r="D3587" s="10" t="inlineStr">
        <is>
          <t>下り</t>
        </is>
      </c>
      <c r="E3587" t="inlineStr">
        <is>
          <t>1003</t>
        </is>
      </c>
      <c r="F3587" t="inlineStr">
        <is>
          <t>0112</t>
        </is>
      </c>
      <c r="G3587" s="10" t="inlineStr">
        <is>
          <t>鹿王院</t>
        </is>
      </c>
      <c r="H3587" s="10" t="inlineStr">
        <is>
          <t>発</t>
        </is>
      </c>
      <c r="J3587" s="10" t="inlineStr">
        <is>
          <t>営業</t>
        </is>
      </c>
      <c r="L3587" t="inlineStr">
        <is>
          <t>10:34:00</t>
        </is>
      </c>
      <c r="M3587" t="inlineStr">
        <is>
          <t>10:34:25</t>
        </is>
      </c>
    </row>
    <row r="3588" ht="15" customHeight="1" s="37">
      <c r="A3588" t="n">
        <v>3</v>
      </c>
      <c r="B3588" s="10" t="inlineStr">
        <is>
          <t>休日</t>
        </is>
      </c>
      <c r="C3588" s="10" t="inlineStr">
        <is>
          <t>本線</t>
        </is>
      </c>
      <c r="D3588" s="10" t="inlineStr">
        <is>
          <t>下り</t>
        </is>
      </c>
      <c r="E3588" t="inlineStr">
        <is>
          <t>1003</t>
        </is>
      </c>
      <c r="F3588" t="inlineStr">
        <is>
          <t>0112</t>
        </is>
      </c>
      <c r="G3588" s="10" t="inlineStr">
        <is>
          <t>嵯峨</t>
        </is>
      </c>
      <c r="H3588" s="10" t="inlineStr">
        <is>
          <t>発</t>
        </is>
      </c>
      <c r="J3588" s="10" t="inlineStr">
        <is>
          <t>営業</t>
        </is>
      </c>
      <c r="L3588" t="inlineStr">
        <is>
          <t>10:35:30</t>
        </is>
      </c>
      <c r="M3588" t="inlineStr">
        <is>
          <t>10:35:55</t>
        </is>
      </c>
    </row>
    <row r="3589" ht="15" customHeight="1" s="37">
      <c r="A3589" t="n">
        <v>3</v>
      </c>
      <c r="B3589" s="10" t="inlineStr">
        <is>
          <t>休日</t>
        </is>
      </c>
      <c r="C3589" s="10" t="inlineStr">
        <is>
          <t>本線</t>
        </is>
      </c>
      <c r="D3589" s="10" t="inlineStr">
        <is>
          <t>下り</t>
        </is>
      </c>
      <c r="E3589" t="inlineStr">
        <is>
          <t>1003</t>
        </is>
      </c>
      <c r="F3589" t="inlineStr">
        <is>
          <t>0112</t>
        </is>
      </c>
      <c r="G3589" s="10" t="inlineStr">
        <is>
          <t>嵐山</t>
        </is>
      </c>
      <c r="H3589" s="10" t="inlineStr">
        <is>
          <t>着</t>
        </is>
      </c>
      <c r="J3589" s="10" t="inlineStr">
        <is>
          <t>営業</t>
        </is>
      </c>
      <c r="L3589" t="inlineStr">
        <is>
          <t>10:37:00</t>
        </is>
      </c>
      <c r="Q3589" t="inlineStr">
        <is>
          <t>1</t>
        </is>
      </c>
    </row>
    <row r="3590" ht="15" customHeight="1" s="37">
      <c r="A3590" t="n">
        <v>3</v>
      </c>
      <c r="B3590" s="10" t="inlineStr">
        <is>
          <t>休日</t>
        </is>
      </c>
      <c r="C3590" s="10" t="inlineStr">
        <is>
          <t>本線</t>
        </is>
      </c>
      <c r="D3590" s="10" t="inlineStr">
        <is>
          <t>上り</t>
        </is>
      </c>
      <c r="E3590" t="inlineStr">
        <is>
          <t>1010</t>
        </is>
      </c>
      <c r="F3590" t="inlineStr">
        <is>
          <t>0211</t>
        </is>
      </c>
      <c r="G3590" s="10" t="inlineStr">
        <is>
          <t>嵐山</t>
        </is>
      </c>
      <c r="H3590" s="10" t="inlineStr">
        <is>
          <t>発</t>
        </is>
      </c>
      <c r="J3590" s="10" t="inlineStr">
        <is>
          <t>営業</t>
        </is>
      </c>
      <c r="M3590" t="inlineStr">
        <is>
          <t>10:43:00</t>
        </is>
      </c>
      <c r="Q3590" t="inlineStr">
        <is>
          <t>1</t>
        </is>
      </c>
    </row>
    <row r="3591" ht="15" customHeight="1" s="37">
      <c r="A3591" t="n">
        <v>3</v>
      </c>
      <c r="B3591" s="10" t="inlineStr">
        <is>
          <t>休日</t>
        </is>
      </c>
      <c r="C3591" s="10" t="inlineStr">
        <is>
          <t>本線</t>
        </is>
      </c>
      <c r="D3591" s="10" t="inlineStr">
        <is>
          <t>上り</t>
        </is>
      </c>
      <c r="E3591" t="inlineStr">
        <is>
          <t>1010</t>
        </is>
      </c>
      <c r="F3591" t="inlineStr">
        <is>
          <t>0211</t>
        </is>
      </c>
      <c r="G3591" s="10" t="inlineStr">
        <is>
          <t>嵯峨</t>
        </is>
      </c>
      <c r="H3591" s="10" t="inlineStr">
        <is>
          <t>発</t>
        </is>
      </c>
      <c r="J3591" s="10" t="inlineStr">
        <is>
          <t>営業</t>
        </is>
      </c>
      <c r="L3591" t="inlineStr">
        <is>
          <t>10:43:55</t>
        </is>
      </c>
      <c r="M3591" t="inlineStr">
        <is>
          <t>10:44:20</t>
        </is>
      </c>
    </row>
    <row r="3592" ht="15" customHeight="1" s="37">
      <c r="A3592" t="n">
        <v>3</v>
      </c>
      <c r="B3592" s="10" t="inlineStr">
        <is>
          <t>休日</t>
        </is>
      </c>
      <c r="C3592" s="10" t="inlineStr">
        <is>
          <t>本線</t>
        </is>
      </c>
      <c r="D3592" s="10" t="inlineStr">
        <is>
          <t>上り</t>
        </is>
      </c>
      <c r="E3592" t="inlineStr">
        <is>
          <t>1010</t>
        </is>
      </c>
      <c r="F3592" t="inlineStr">
        <is>
          <t>0211</t>
        </is>
      </c>
      <c r="G3592" s="10" t="inlineStr">
        <is>
          <t>鹿王院</t>
        </is>
      </c>
      <c r="H3592" s="10" t="inlineStr">
        <is>
          <t>発</t>
        </is>
      </c>
      <c r="J3592" s="10" t="inlineStr">
        <is>
          <t>営業</t>
        </is>
      </c>
      <c r="L3592" t="inlineStr">
        <is>
          <t>10:45:25</t>
        </is>
      </c>
      <c r="M3592" t="inlineStr">
        <is>
          <t>10:45:45</t>
        </is>
      </c>
    </row>
    <row r="3593" ht="15" customHeight="1" s="37">
      <c r="A3593" t="n">
        <v>3</v>
      </c>
      <c r="B3593" s="10" t="inlineStr">
        <is>
          <t>休日</t>
        </is>
      </c>
      <c r="C3593" s="10" t="inlineStr">
        <is>
          <t>本線</t>
        </is>
      </c>
      <c r="D3593" s="10" t="inlineStr">
        <is>
          <t>上り</t>
        </is>
      </c>
      <c r="E3593" t="inlineStr">
        <is>
          <t>1010</t>
        </is>
      </c>
      <c r="F3593" t="inlineStr">
        <is>
          <t>0211</t>
        </is>
      </c>
      <c r="G3593" s="10" t="inlineStr">
        <is>
          <t>車折</t>
        </is>
      </c>
      <c r="H3593" s="10" t="inlineStr">
        <is>
          <t>発</t>
        </is>
      </c>
      <c r="J3593" s="10" t="inlineStr">
        <is>
          <t>営業</t>
        </is>
      </c>
      <c r="L3593" t="inlineStr">
        <is>
          <t>10:46:40</t>
        </is>
      </c>
      <c r="M3593" t="inlineStr">
        <is>
          <t>10:47:10</t>
        </is>
      </c>
    </row>
    <row r="3594" ht="15" customHeight="1" s="37">
      <c r="A3594" t="n">
        <v>3</v>
      </c>
      <c r="B3594" s="10" t="inlineStr">
        <is>
          <t>休日</t>
        </is>
      </c>
      <c r="C3594" s="10" t="inlineStr">
        <is>
          <t>本線</t>
        </is>
      </c>
      <c r="D3594" s="10" t="inlineStr">
        <is>
          <t>上り</t>
        </is>
      </c>
      <c r="E3594" t="inlineStr">
        <is>
          <t>1010</t>
        </is>
      </c>
      <c r="F3594" t="inlineStr">
        <is>
          <t>0211</t>
        </is>
      </c>
      <c r="G3594" s="10" t="inlineStr">
        <is>
          <t>有栖川</t>
        </is>
      </c>
      <c r="H3594" s="10" t="inlineStr">
        <is>
          <t>発</t>
        </is>
      </c>
      <c r="J3594" s="10" t="inlineStr">
        <is>
          <t>営業</t>
        </is>
      </c>
      <c r="L3594" t="inlineStr">
        <is>
          <t>10:48:35</t>
        </is>
      </c>
      <c r="M3594" t="inlineStr">
        <is>
          <t>10:48:55</t>
        </is>
      </c>
    </row>
    <row r="3595" ht="15" customHeight="1" s="37">
      <c r="A3595" t="n">
        <v>3</v>
      </c>
      <c r="B3595" s="10" t="inlineStr">
        <is>
          <t>休日</t>
        </is>
      </c>
      <c r="C3595" s="10" t="inlineStr">
        <is>
          <t>本線</t>
        </is>
      </c>
      <c r="D3595" s="10" t="inlineStr">
        <is>
          <t>上り</t>
        </is>
      </c>
      <c r="E3595" t="inlineStr">
        <is>
          <t>1010</t>
        </is>
      </c>
      <c r="F3595" t="inlineStr">
        <is>
          <t>0211</t>
        </is>
      </c>
      <c r="G3595" s="10" t="inlineStr">
        <is>
          <t>帷子ノ辻</t>
        </is>
      </c>
      <c r="H3595" s="10" t="inlineStr">
        <is>
          <t>発</t>
        </is>
      </c>
      <c r="J3595" s="10" t="inlineStr">
        <is>
          <t>営業</t>
        </is>
      </c>
      <c r="L3595" t="inlineStr">
        <is>
          <t>10:50:10</t>
        </is>
      </c>
      <c r="M3595" t="inlineStr">
        <is>
          <t>10:51:15</t>
        </is>
      </c>
    </row>
    <row r="3596" ht="15" customHeight="1" s="37">
      <c r="A3596" t="n">
        <v>3</v>
      </c>
      <c r="B3596" s="10" t="inlineStr">
        <is>
          <t>休日</t>
        </is>
      </c>
      <c r="C3596" s="10" t="inlineStr">
        <is>
          <t>本線</t>
        </is>
      </c>
      <c r="D3596" s="10" t="inlineStr">
        <is>
          <t>上り</t>
        </is>
      </c>
      <c r="E3596" t="inlineStr">
        <is>
          <t>1010</t>
        </is>
      </c>
      <c r="F3596" t="inlineStr">
        <is>
          <t>0211</t>
        </is>
      </c>
      <c r="G3596" s="10" t="inlineStr">
        <is>
          <t>太秦広隆寺</t>
        </is>
      </c>
      <c r="H3596" s="10" t="inlineStr">
        <is>
          <t>発</t>
        </is>
      </c>
      <c r="J3596" s="10" t="inlineStr">
        <is>
          <t>営業</t>
        </is>
      </c>
      <c r="L3596" t="inlineStr">
        <is>
          <t>10:53:25</t>
        </is>
      </c>
      <c r="M3596" t="inlineStr">
        <is>
          <t>10:53:45</t>
        </is>
      </c>
    </row>
    <row r="3597" ht="15" customHeight="1" s="37">
      <c r="A3597" t="n">
        <v>3</v>
      </c>
      <c r="B3597" s="10" t="inlineStr">
        <is>
          <t>休日</t>
        </is>
      </c>
      <c r="C3597" s="10" t="inlineStr">
        <is>
          <t>本線</t>
        </is>
      </c>
      <c r="D3597" s="10" t="inlineStr">
        <is>
          <t>上り</t>
        </is>
      </c>
      <c r="E3597" t="inlineStr">
        <is>
          <t>1010</t>
        </is>
      </c>
      <c r="F3597" t="inlineStr">
        <is>
          <t>0211</t>
        </is>
      </c>
      <c r="G3597" s="10" t="inlineStr">
        <is>
          <t>蚕ノ社</t>
        </is>
      </c>
      <c r="H3597" s="10" t="inlineStr">
        <is>
          <t>発</t>
        </is>
      </c>
      <c r="J3597" s="10" t="inlineStr">
        <is>
          <t>営業</t>
        </is>
      </c>
      <c r="L3597" t="inlineStr">
        <is>
          <t>10:55:00</t>
        </is>
      </c>
      <c r="M3597" t="inlineStr">
        <is>
          <t>10:55:20</t>
        </is>
      </c>
    </row>
    <row r="3598" ht="15" customHeight="1" s="37">
      <c r="A3598" t="n">
        <v>3</v>
      </c>
      <c r="B3598" s="10" t="inlineStr">
        <is>
          <t>休日</t>
        </is>
      </c>
      <c r="C3598" s="10" t="inlineStr">
        <is>
          <t>本線</t>
        </is>
      </c>
      <c r="D3598" s="10" t="inlineStr">
        <is>
          <t>上り</t>
        </is>
      </c>
      <c r="E3598" t="inlineStr">
        <is>
          <t>1010</t>
        </is>
      </c>
      <c r="F3598" t="inlineStr">
        <is>
          <t>0211</t>
        </is>
      </c>
      <c r="G3598" s="10" t="inlineStr">
        <is>
          <t>天神川</t>
        </is>
      </c>
      <c r="H3598" s="10" t="inlineStr">
        <is>
          <t>発</t>
        </is>
      </c>
      <c r="J3598" s="10" t="inlineStr">
        <is>
          <t>営業</t>
        </is>
      </c>
      <c r="L3598" t="inlineStr">
        <is>
          <t>10:56:05</t>
        </is>
      </c>
      <c r="M3598" t="inlineStr">
        <is>
          <t>10:56:50</t>
        </is>
      </c>
    </row>
    <row r="3599" ht="15" customHeight="1" s="37">
      <c r="A3599" t="n">
        <v>3</v>
      </c>
      <c r="B3599" s="10" t="inlineStr">
        <is>
          <t>休日</t>
        </is>
      </c>
      <c r="C3599" s="10" t="inlineStr">
        <is>
          <t>本線</t>
        </is>
      </c>
      <c r="D3599" s="10" t="inlineStr">
        <is>
          <t>上り</t>
        </is>
      </c>
      <c r="E3599" t="inlineStr">
        <is>
          <t>1010</t>
        </is>
      </c>
      <c r="F3599" t="inlineStr">
        <is>
          <t>0211</t>
        </is>
      </c>
      <c r="G3599" s="10" t="inlineStr">
        <is>
          <t>山ノ内</t>
        </is>
      </c>
      <c r="H3599" s="10" t="inlineStr">
        <is>
          <t>発</t>
        </is>
      </c>
      <c r="J3599" s="10" t="inlineStr">
        <is>
          <t>営業</t>
        </is>
      </c>
      <c r="L3599" t="inlineStr">
        <is>
          <t>10:58:40</t>
        </is>
      </c>
      <c r="M3599" t="inlineStr">
        <is>
          <t>10:59:05</t>
        </is>
      </c>
    </row>
    <row r="3600" ht="15" customHeight="1" s="37">
      <c r="A3600" t="n">
        <v>3</v>
      </c>
      <c r="B3600" s="10" t="inlineStr">
        <is>
          <t>休日</t>
        </is>
      </c>
      <c r="C3600" s="10" t="inlineStr">
        <is>
          <t>本線</t>
        </is>
      </c>
      <c r="D3600" s="10" t="inlineStr">
        <is>
          <t>上り</t>
        </is>
      </c>
      <c r="E3600" t="inlineStr">
        <is>
          <t>1010</t>
        </is>
      </c>
      <c r="F3600" t="inlineStr">
        <is>
          <t>0211</t>
        </is>
      </c>
      <c r="G3600" s="10" t="inlineStr">
        <is>
          <t>西大路三条</t>
        </is>
      </c>
      <c r="H3600" s="10" t="inlineStr">
        <is>
          <t>発</t>
        </is>
      </c>
      <c r="J3600" s="10" t="inlineStr">
        <is>
          <t>営業</t>
        </is>
      </c>
      <c r="L3600" t="inlineStr">
        <is>
          <t>11:00:55</t>
        </is>
      </c>
      <c r="M3600" t="inlineStr">
        <is>
          <t>11:01:15</t>
        </is>
      </c>
    </row>
    <row r="3601" ht="15" customHeight="1" s="37">
      <c r="A3601" t="n">
        <v>3</v>
      </c>
      <c r="B3601" s="10" t="inlineStr">
        <is>
          <t>休日</t>
        </is>
      </c>
      <c r="C3601" s="10" t="inlineStr">
        <is>
          <t>本線</t>
        </is>
      </c>
      <c r="D3601" s="10" t="inlineStr">
        <is>
          <t>上り</t>
        </is>
      </c>
      <c r="E3601" t="inlineStr">
        <is>
          <t>1010</t>
        </is>
      </c>
      <c r="F3601" t="inlineStr">
        <is>
          <t>0211</t>
        </is>
      </c>
      <c r="G3601" s="10" t="inlineStr">
        <is>
          <t>西院</t>
        </is>
      </c>
      <c r="H3601" s="10" t="inlineStr">
        <is>
          <t>発</t>
        </is>
      </c>
      <c r="J3601" s="10" t="inlineStr">
        <is>
          <t>営業</t>
        </is>
      </c>
      <c r="L3601" t="inlineStr">
        <is>
          <t>11:03:10</t>
        </is>
      </c>
      <c r="M3601" t="inlineStr">
        <is>
          <t>11:04:05</t>
        </is>
      </c>
    </row>
    <row r="3602" ht="15" customHeight="1" s="37">
      <c r="A3602" t="n">
        <v>3</v>
      </c>
      <c r="B3602" s="10" t="inlineStr">
        <is>
          <t>休日</t>
        </is>
      </c>
      <c r="C3602" s="10" t="inlineStr">
        <is>
          <t>本線</t>
        </is>
      </c>
      <c r="D3602" s="10" t="inlineStr">
        <is>
          <t>上り</t>
        </is>
      </c>
      <c r="E3602" t="inlineStr">
        <is>
          <t>1010</t>
        </is>
      </c>
      <c r="F3602" t="inlineStr">
        <is>
          <t>0211</t>
        </is>
      </c>
      <c r="G3602" s="10" t="inlineStr">
        <is>
          <t>四条大宮</t>
        </is>
      </c>
      <c r="H3602" s="10" t="inlineStr">
        <is>
          <t>着</t>
        </is>
      </c>
      <c r="J3602" s="10" t="inlineStr">
        <is>
          <t>営業</t>
        </is>
      </c>
      <c r="L3602" t="inlineStr">
        <is>
          <t>11:07:00</t>
        </is>
      </c>
      <c r="Q3602" t="inlineStr">
        <is>
          <t>1</t>
        </is>
      </c>
    </row>
    <row r="3603" ht="15" customHeight="1" s="37">
      <c r="A3603" t="n">
        <v>3</v>
      </c>
      <c r="B3603" s="10" t="inlineStr">
        <is>
          <t>休日</t>
        </is>
      </c>
      <c r="C3603" s="10" t="inlineStr">
        <is>
          <t>本線</t>
        </is>
      </c>
      <c r="D3603" s="10" t="inlineStr">
        <is>
          <t>下り</t>
        </is>
      </c>
      <c r="E3603" t="inlineStr">
        <is>
          <t>1103</t>
        </is>
      </c>
      <c r="F3603" t="inlineStr">
        <is>
          <t>0112</t>
        </is>
      </c>
      <c r="G3603" s="10" t="inlineStr">
        <is>
          <t>四条大宮</t>
        </is>
      </c>
      <c r="H3603" s="10" t="inlineStr">
        <is>
          <t>発</t>
        </is>
      </c>
      <c r="J3603" s="10" t="inlineStr">
        <is>
          <t>営業</t>
        </is>
      </c>
      <c r="M3603" t="inlineStr">
        <is>
          <t>11:13:00</t>
        </is>
      </c>
      <c r="Q3603" t="inlineStr">
        <is>
          <t>1</t>
        </is>
      </c>
    </row>
    <row r="3604" ht="15" customHeight="1" s="37">
      <c r="A3604" t="n">
        <v>3</v>
      </c>
      <c r="B3604" s="10" t="inlineStr">
        <is>
          <t>休日</t>
        </is>
      </c>
      <c r="C3604" s="10" t="inlineStr">
        <is>
          <t>本線</t>
        </is>
      </c>
      <c r="D3604" s="10" t="inlineStr">
        <is>
          <t>下り</t>
        </is>
      </c>
      <c r="E3604" t="inlineStr">
        <is>
          <t>1103</t>
        </is>
      </c>
      <c r="F3604" t="inlineStr">
        <is>
          <t>0112</t>
        </is>
      </c>
      <c r="G3604" s="10" t="inlineStr">
        <is>
          <t>西院</t>
        </is>
      </c>
      <c r="H3604" s="10" t="inlineStr">
        <is>
          <t>発</t>
        </is>
      </c>
      <c r="J3604" s="10" t="inlineStr">
        <is>
          <t>営業</t>
        </is>
      </c>
      <c r="L3604" t="inlineStr">
        <is>
          <t>11:15:50</t>
        </is>
      </c>
      <c r="M3604" t="inlineStr">
        <is>
          <t>11:16:20</t>
        </is>
      </c>
    </row>
    <row r="3605" ht="15" customHeight="1" s="37">
      <c r="A3605" t="n">
        <v>3</v>
      </c>
      <c r="B3605" s="10" t="inlineStr">
        <is>
          <t>休日</t>
        </is>
      </c>
      <c r="C3605" s="10" t="inlineStr">
        <is>
          <t>本線</t>
        </is>
      </c>
      <c r="D3605" s="10" t="inlineStr">
        <is>
          <t>下り</t>
        </is>
      </c>
      <c r="E3605" t="inlineStr">
        <is>
          <t>1103</t>
        </is>
      </c>
      <c r="F3605" t="inlineStr">
        <is>
          <t>0112</t>
        </is>
      </c>
      <c r="G3605" s="10" t="inlineStr">
        <is>
          <t>西大路三条</t>
        </is>
      </c>
      <c r="H3605" s="10" t="inlineStr">
        <is>
          <t>発</t>
        </is>
      </c>
      <c r="J3605" s="10" t="inlineStr">
        <is>
          <t>営業</t>
        </is>
      </c>
      <c r="L3605" t="inlineStr">
        <is>
          <t>11:18:10</t>
        </is>
      </c>
      <c r="M3605" t="inlineStr">
        <is>
          <t>11:18:30</t>
        </is>
      </c>
    </row>
    <row r="3606" ht="15" customHeight="1" s="37">
      <c r="A3606" t="n">
        <v>3</v>
      </c>
      <c r="B3606" s="10" t="inlineStr">
        <is>
          <t>休日</t>
        </is>
      </c>
      <c r="C3606" s="10" t="inlineStr">
        <is>
          <t>本線</t>
        </is>
      </c>
      <c r="D3606" s="10" t="inlineStr">
        <is>
          <t>下り</t>
        </is>
      </c>
      <c r="E3606" t="inlineStr">
        <is>
          <t>1103</t>
        </is>
      </c>
      <c r="F3606" t="inlineStr">
        <is>
          <t>0112</t>
        </is>
      </c>
      <c r="G3606" s="10" t="inlineStr">
        <is>
          <t>山ノ内</t>
        </is>
      </c>
      <c r="H3606" s="10" t="inlineStr">
        <is>
          <t>発</t>
        </is>
      </c>
      <c r="J3606" s="10" t="inlineStr">
        <is>
          <t>営業</t>
        </is>
      </c>
      <c r="L3606" t="inlineStr">
        <is>
          <t>11:20:25</t>
        </is>
      </c>
      <c r="M3606" t="inlineStr">
        <is>
          <t>11:20:50</t>
        </is>
      </c>
    </row>
    <row r="3607" ht="15" customHeight="1" s="37">
      <c r="A3607" t="n">
        <v>3</v>
      </c>
      <c r="B3607" s="10" t="inlineStr">
        <is>
          <t>休日</t>
        </is>
      </c>
      <c r="C3607" s="10" t="inlineStr">
        <is>
          <t>本線</t>
        </is>
      </c>
      <c r="D3607" s="10" t="inlineStr">
        <is>
          <t>下り</t>
        </is>
      </c>
      <c r="E3607" t="inlineStr">
        <is>
          <t>1103</t>
        </is>
      </c>
      <c r="F3607" t="inlineStr">
        <is>
          <t>0112</t>
        </is>
      </c>
      <c r="G3607" s="10" t="inlineStr">
        <is>
          <t>天神川</t>
        </is>
      </c>
      <c r="H3607" s="10" t="inlineStr">
        <is>
          <t>発</t>
        </is>
      </c>
      <c r="J3607" s="10" t="inlineStr">
        <is>
          <t>営業</t>
        </is>
      </c>
      <c r="L3607" t="inlineStr">
        <is>
          <t>11:22:50</t>
        </is>
      </c>
      <c r="M3607" t="inlineStr">
        <is>
          <t>11:23:30</t>
        </is>
      </c>
    </row>
    <row r="3608" ht="15" customHeight="1" s="37">
      <c r="A3608" t="n">
        <v>3</v>
      </c>
      <c r="B3608" s="10" t="inlineStr">
        <is>
          <t>休日</t>
        </is>
      </c>
      <c r="C3608" s="10" t="inlineStr">
        <is>
          <t>本線</t>
        </is>
      </c>
      <c r="D3608" s="10" t="inlineStr">
        <is>
          <t>下り</t>
        </is>
      </c>
      <c r="E3608" t="inlineStr">
        <is>
          <t>1103</t>
        </is>
      </c>
      <c r="F3608" t="inlineStr">
        <is>
          <t>0112</t>
        </is>
      </c>
      <c r="G3608" s="10" t="inlineStr">
        <is>
          <t>蚕ノ社</t>
        </is>
      </c>
      <c r="H3608" s="10" t="inlineStr">
        <is>
          <t>発</t>
        </is>
      </c>
      <c r="J3608" s="10" t="inlineStr">
        <is>
          <t>営業</t>
        </is>
      </c>
      <c r="L3608" t="inlineStr">
        <is>
          <t>11:24:20</t>
        </is>
      </c>
      <c r="M3608" t="inlineStr">
        <is>
          <t>11:24:40</t>
        </is>
      </c>
    </row>
    <row r="3609" ht="15" customHeight="1" s="37">
      <c r="A3609" t="n">
        <v>3</v>
      </c>
      <c r="B3609" s="10" t="inlineStr">
        <is>
          <t>休日</t>
        </is>
      </c>
      <c r="C3609" s="10" t="inlineStr">
        <is>
          <t>本線</t>
        </is>
      </c>
      <c r="D3609" s="10" t="inlineStr">
        <is>
          <t>下り</t>
        </is>
      </c>
      <c r="E3609" t="inlineStr">
        <is>
          <t>1103</t>
        </is>
      </c>
      <c r="F3609" t="inlineStr">
        <is>
          <t>0112</t>
        </is>
      </c>
      <c r="G3609" s="10" t="inlineStr">
        <is>
          <t>太秦広隆寺</t>
        </is>
      </c>
      <c r="H3609" s="10" t="inlineStr">
        <is>
          <t>発</t>
        </is>
      </c>
      <c r="J3609" s="10" t="inlineStr">
        <is>
          <t>営業</t>
        </is>
      </c>
      <c r="L3609" t="inlineStr">
        <is>
          <t>11:26:00</t>
        </is>
      </c>
      <c r="M3609" t="inlineStr">
        <is>
          <t>11:26:20</t>
        </is>
      </c>
    </row>
    <row r="3610" ht="15" customHeight="1" s="37">
      <c r="A3610" t="n">
        <v>3</v>
      </c>
      <c r="B3610" s="10" t="inlineStr">
        <is>
          <t>休日</t>
        </is>
      </c>
      <c r="C3610" s="10" t="inlineStr">
        <is>
          <t>本線</t>
        </is>
      </c>
      <c r="D3610" s="10" t="inlineStr">
        <is>
          <t>下り</t>
        </is>
      </c>
      <c r="E3610" t="inlineStr">
        <is>
          <t>1103</t>
        </is>
      </c>
      <c r="F3610" t="inlineStr">
        <is>
          <t>0112</t>
        </is>
      </c>
      <c r="G3610" s="10" t="inlineStr">
        <is>
          <t>帷子ノ辻</t>
        </is>
      </c>
      <c r="H3610" s="10" t="inlineStr">
        <is>
          <t>発</t>
        </is>
      </c>
      <c r="J3610" s="10" t="inlineStr">
        <is>
          <t>営業</t>
        </is>
      </c>
      <c r="L3610" t="inlineStr">
        <is>
          <t>11:28:20</t>
        </is>
      </c>
      <c r="M3610" t="inlineStr">
        <is>
          <t>11:29:40</t>
        </is>
      </c>
    </row>
    <row r="3611" ht="15" customHeight="1" s="37">
      <c r="A3611" t="n">
        <v>3</v>
      </c>
      <c r="B3611" s="10" t="inlineStr">
        <is>
          <t>休日</t>
        </is>
      </c>
      <c r="C3611" s="10" t="inlineStr">
        <is>
          <t>本線</t>
        </is>
      </c>
      <c r="D3611" s="10" t="inlineStr">
        <is>
          <t>下り</t>
        </is>
      </c>
      <c r="E3611" t="inlineStr">
        <is>
          <t>1103</t>
        </is>
      </c>
      <c r="F3611" t="inlineStr">
        <is>
          <t>0112</t>
        </is>
      </c>
      <c r="G3611" s="10" t="inlineStr">
        <is>
          <t>有栖川</t>
        </is>
      </c>
      <c r="H3611" s="10" t="inlineStr">
        <is>
          <t>発</t>
        </is>
      </c>
      <c r="J3611" s="10" t="inlineStr">
        <is>
          <t>営業</t>
        </is>
      </c>
      <c r="L3611" t="inlineStr">
        <is>
          <t>11:30:50</t>
        </is>
      </c>
      <c r="M3611" t="inlineStr">
        <is>
          <t>11:31:15</t>
        </is>
      </c>
    </row>
    <row r="3612" ht="15" customHeight="1" s="37">
      <c r="A3612" t="n">
        <v>3</v>
      </c>
      <c r="B3612" s="10" t="inlineStr">
        <is>
          <t>休日</t>
        </is>
      </c>
      <c r="C3612" s="10" t="inlineStr">
        <is>
          <t>本線</t>
        </is>
      </c>
      <c r="D3612" s="10" t="inlineStr">
        <is>
          <t>下り</t>
        </is>
      </c>
      <c r="E3612" t="inlineStr">
        <is>
          <t>1103</t>
        </is>
      </c>
      <c r="F3612" t="inlineStr">
        <is>
          <t>0112</t>
        </is>
      </c>
      <c r="G3612" s="10" t="inlineStr">
        <is>
          <t>車折</t>
        </is>
      </c>
      <c r="H3612" s="10" t="inlineStr">
        <is>
          <t>発</t>
        </is>
      </c>
      <c r="J3612" s="10" t="inlineStr">
        <is>
          <t>営業</t>
        </is>
      </c>
      <c r="L3612" t="inlineStr">
        <is>
          <t>11:32:40</t>
        </is>
      </c>
      <c r="M3612" t="inlineStr">
        <is>
          <t>11:33:05</t>
        </is>
      </c>
    </row>
    <row r="3613" ht="15" customHeight="1" s="37">
      <c r="A3613" t="n">
        <v>3</v>
      </c>
      <c r="B3613" s="10" t="inlineStr">
        <is>
          <t>休日</t>
        </is>
      </c>
      <c r="C3613" s="10" t="inlineStr">
        <is>
          <t>本線</t>
        </is>
      </c>
      <c r="D3613" s="10" t="inlineStr">
        <is>
          <t>下り</t>
        </is>
      </c>
      <c r="E3613" t="inlineStr">
        <is>
          <t>1103</t>
        </is>
      </c>
      <c r="F3613" t="inlineStr">
        <is>
          <t>0112</t>
        </is>
      </c>
      <c r="G3613" s="10" t="inlineStr">
        <is>
          <t>鹿王院</t>
        </is>
      </c>
      <c r="H3613" s="10" t="inlineStr">
        <is>
          <t>発</t>
        </is>
      </c>
      <c r="J3613" s="10" t="inlineStr">
        <is>
          <t>営業</t>
        </is>
      </c>
      <c r="L3613" t="inlineStr">
        <is>
          <t>11:34:00</t>
        </is>
      </c>
      <c r="M3613" t="inlineStr">
        <is>
          <t>11:34:25</t>
        </is>
      </c>
    </row>
    <row r="3614" ht="15" customHeight="1" s="37">
      <c r="A3614" t="n">
        <v>3</v>
      </c>
      <c r="B3614" s="10" t="inlineStr">
        <is>
          <t>休日</t>
        </is>
      </c>
      <c r="C3614" s="10" t="inlineStr">
        <is>
          <t>本線</t>
        </is>
      </c>
      <c r="D3614" s="10" t="inlineStr">
        <is>
          <t>下り</t>
        </is>
      </c>
      <c r="E3614" t="inlineStr">
        <is>
          <t>1103</t>
        </is>
      </c>
      <c r="F3614" t="inlineStr">
        <is>
          <t>0112</t>
        </is>
      </c>
      <c r="G3614" s="10" t="inlineStr">
        <is>
          <t>嵯峨</t>
        </is>
      </c>
      <c r="H3614" s="10" t="inlineStr">
        <is>
          <t>発</t>
        </is>
      </c>
      <c r="J3614" s="10" t="inlineStr">
        <is>
          <t>営業</t>
        </is>
      </c>
      <c r="L3614" t="inlineStr">
        <is>
          <t>11:35:30</t>
        </is>
      </c>
      <c r="M3614" t="inlineStr">
        <is>
          <t>11:35:55</t>
        </is>
      </c>
    </row>
    <row r="3615" ht="15" customHeight="1" s="37">
      <c r="A3615" t="n">
        <v>3</v>
      </c>
      <c r="B3615" s="10" t="inlineStr">
        <is>
          <t>休日</t>
        </is>
      </c>
      <c r="C3615" s="10" t="inlineStr">
        <is>
          <t>本線</t>
        </is>
      </c>
      <c r="D3615" s="10" t="inlineStr">
        <is>
          <t>下り</t>
        </is>
      </c>
      <c r="E3615" t="inlineStr">
        <is>
          <t>1103</t>
        </is>
      </c>
      <c r="F3615" t="inlineStr">
        <is>
          <t>0112</t>
        </is>
      </c>
      <c r="G3615" s="10" t="inlineStr">
        <is>
          <t>嵐山</t>
        </is>
      </c>
      <c r="H3615" s="10" t="inlineStr">
        <is>
          <t>着</t>
        </is>
      </c>
      <c r="J3615" s="10" t="inlineStr">
        <is>
          <t>営業</t>
        </is>
      </c>
      <c r="L3615" t="inlineStr">
        <is>
          <t>11:37:00</t>
        </is>
      </c>
      <c r="Q3615" t="inlineStr">
        <is>
          <t>1</t>
        </is>
      </c>
    </row>
    <row r="3616" ht="15" customHeight="1" s="37">
      <c r="A3616" t="n">
        <v>3</v>
      </c>
      <c r="B3616" s="10" t="inlineStr">
        <is>
          <t>休日</t>
        </is>
      </c>
      <c r="C3616" s="10" t="inlineStr">
        <is>
          <t>本線</t>
        </is>
      </c>
      <c r="D3616" s="10" t="inlineStr">
        <is>
          <t>上り</t>
        </is>
      </c>
      <c r="E3616" t="inlineStr">
        <is>
          <t>1110</t>
        </is>
      </c>
      <c r="F3616" t="inlineStr">
        <is>
          <t>0211</t>
        </is>
      </c>
      <c r="G3616" s="10" t="inlineStr">
        <is>
          <t>嵐山</t>
        </is>
      </c>
      <c r="H3616" s="10" t="inlineStr">
        <is>
          <t>発</t>
        </is>
      </c>
      <c r="J3616" s="10" t="inlineStr">
        <is>
          <t>営業</t>
        </is>
      </c>
      <c r="M3616" t="inlineStr">
        <is>
          <t>11:43:00</t>
        </is>
      </c>
      <c r="Q3616" t="inlineStr">
        <is>
          <t>1</t>
        </is>
      </c>
    </row>
    <row r="3617" ht="15" customHeight="1" s="37">
      <c r="A3617" t="n">
        <v>3</v>
      </c>
      <c r="B3617" s="10" t="inlineStr">
        <is>
          <t>休日</t>
        </is>
      </c>
      <c r="C3617" s="10" t="inlineStr">
        <is>
          <t>本線</t>
        </is>
      </c>
      <c r="D3617" s="10" t="inlineStr">
        <is>
          <t>上り</t>
        </is>
      </c>
      <c r="E3617" t="inlineStr">
        <is>
          <t>1110</t>
        </is>
      </c>
      <c r="F3617" t="inlineStr">
        <is>
          <t>0211</t>
        </is>
      </c>
      <c r="G3617" s="10" t="inlineStr">
        <is>
          <t>嵯峨</t>
        </is>
      </c>
      <c r="H3617" s="10" t="inlineStr">
        <is>
          <t>発</t>
        </is>
      </c>
      <c r="J3617" s="10" t="inlineStr">
        <is>
          <t>営業</t>
        </is>
      </c>
      <c r="L3617" t="inlineStr">
        <is>
          <t>11:43:55</t>
        </is>
      </c>
      <c r="M3617" t="inlineStr">
        <is>
          <t>11:44:20</t>
        </is>
      </c>
    </row>
    <row r="3618" ht="16.5" customHeight="1" s="37">
      <c r="A3618" t="n">
        <v>3</v>
      </c>
      <c r="B3618" s="10" t="inlineStr">
        <is>
          <t>休日</t>
        </is>
      </c>
      <c r="C3618" s="10" t="inlineStr">
        <is>
          <t>本線</t>
        </is>
      </c>
      <c r="D3618" s="10" t="inlineStr">
        <is>
          <t>上り</t>
        </is>
      </c>
      <c r="E3618" t="inlineStr">
        <is>
          <t>1110</t>
        </is>
      </c>
      <c r="F3618" t="inlineStr">
        <is>
          <t>0211</t>
        </is>
      </c>
      <c r="G3618" s="10" t="inlineStr">
        <is>
          <t>鹿王院</t>
        </is>
      </c>
      <c r="H3618" s="10" t="inlineStr">
        <is>
          <t>発</t>
        </is>
      </c>
      <c r="J3618" s="10" t="inlineStr">
        <is>
          <t>営業</t>
        </is>
      </c>
      <c r="L3618" t="inlineStr">
        <is>
          <t>11:45:25</t>
        </is>
      </c>
      <c r="M3618" t="inlineStr">
        <is>
          <t>11:45:45</t>
        </is>
      </c>
    </row>
    <row r="3619" ht="16.5" customHeight="1" s="37">
      <c r="A3619" t="n">
        <v>3</v>
      </c>
      <c r="B3619" s="10" t="inlineStr">
        <is>
          <t>休日</t>
        </is>
      </c>
      <c r="C3619" s="10" t="inlineStr">
        <is>
          <t>本線</t>
        </is>
      </c>
      <c r="D3619" s="10" t="inlineStr">
        <is>
          <t>上り</t>
        </is>
      </c>
      <c r="E3619" t="inlineStr">
        <is>
          <t>1110</t>
        </is>
      </c>
      <c r="F3619" t="inlineStr">
        <is>
          <t>0211</t>
        </is>
      </c>
      <c r="G3619" s="10" t="inlineStr">
        <is>
          <t>車折</t>
        </is>
      </c>
      <c r="H3619" s="10" t="inlineStr">
        <is>
          <t>発</t>
        </is>
      </c>
      <c r="J3619" s="10" t="inlineStr">
        <is>
          <t>営業</t>
        </is>
      </c>
      <c r="L3619" t="inlineStr">
        <is>
          <t>11:46:40</t>
        </is>
      </c>
      <c r="M3619" t="inlineStr">
        <is>
          <t>11:47:10</t>
        </is>
      </c>
    </row>
    <row r="3620" ht="16.5" customHeight="1" s="37">
      <c r="A3620" t="n">
        <v>3</v>
      </c>
      <c r="B3620" s="10" t="inlineStr">
        <is>
          <t>休日</t>
        </is>
      </c>
      <c r="C3620" s="10" t="inlineStr">
        <is>
          <t>本線</t>
        </is>
      </c>
      <c r="D3620" s="10" t="inlineStr">
        <is>
          <t>上り</t>
        </is>
      </c>
      <c r="E3620" t="inlineStr">
        <is>
          <t>1110</t>
        </is>
      </c>
      <c r="F3620" t="inlineStr">
        <is>
          <t>0211</t>
        </is>
      </c>
      <c r="G3620" s="10" t="inlineStr">
        <is>
          <t>有栖川</t>
        </is>
      </c>
      <c r="H3620" s="10" t="inlineStr">
        <is>
          <t>発</t>
        </is>
      </c>
      <c r="J3620" s="10" t="inlineStr">
        <is>
          <t>営業</t>
        </is>
      </c>
      <c r="L3620" t="inlineStr">
        <is>
          <t>11:48:35</t>
        </is>
      </c>
      <c r="M3620" t="inlineStr">
        <is>
          <t>11:48:55</t>
        </is>
      </c>
    </row>
    <row r="3621" ht="16.5" customHeight="1" s="37">
      <c r="A3621" t="n">
        <v>3</v>
      </c>
      <c r="B3621" s="10" t="inlineStr">
        <is>
          <t>休日</t>
        </is>
      </c>
      <c r="C3621" s="10" t="inlineStr">
        <is>
          <t>本線</t>
        </is>
      </c>
      <c r="D3621" s="10" t="inlineStr">
        <is>
          <t>上り</t>
        </is>
      </c>
      <c r="E3621" t="inlineStr">
        <is>
          <t>1110</t>
        </is>
      </c>
      <c r="F3621" t="inlineStr">
        <is>
          <t>0211</t>
        </is>
      </c>
      <c r="G3621" s="10" t="inlineStr">
        <is>
          <t>帷子ノ辻</t>
        </is>
      </c>
      <c r="H3621" s="10" t="inlineStr">
        <is>
          <t>発</t>
        </is>
      </c>
      <c r="J3621" s="10" t="inlineStr">
        <is>
          <t>営業</t>
        </is>
      </c>
      <c r="L3621" t="inlineStr">
        <is>
          <t>11:50:10</t>
        </is>
      </c>
      <c r="M3621" t="inlineStr">
        <is>
          <t>11:51:15</t>
        </is>
      </c>
    </row>
    <row r="3622" ht="16.5" customHeight="1" s="37">
      <c r="A3622" t="n">
        <v>3</v>
      </c>
      <c r="B3622" s="10" t="inlineStr">
        <is>
          <t>休日</t>
        </is>
      </c>
      <c r="C3622" s="10" t="inlineStr">
        <is>
          <t>本線</t>
        </is>
      </c>
      <c r="D3622" s="10" t="inlineStr">
        <is>
          <t>上り</t>
        </is>
      </c>
      <c r="E3622" t="inlineStr">
        <is>
          <t>1110</t>
        </is>
      </c>
      <c r="F3622" t="inlineStr">
        <is>
          <t>0211</t>
        </is>
      </c>
      <c r="G3622" s="10" t="inlineStr">
        <is>
          <t>太秦広隆寺</t>
        </is>
      </c>
      <c r="H3622" s="10" t="inlineStr">
        <is>
          <t>発</t>
        </is>
      </c>
      <c r="J3622" s="10" t="inlineStr">
        <is>
          <t>営業</t>
        </is>
      </c>
      <c r="L3622" t="inlineStr">
        <is>
          <t>11:53:25</t>
        </is>
      </c>
      <c r="M3622" t="inlineStr">
        <is>
          <t>11:53:45</t>
        </is>
      </c>
    </row>
    <row r="3623" ht="16.5" customHeight="1" s="37">
      <c r="A3623" t="n">
        <v>3</v>
      </c>
      <c r="B3623" s="10" t="inlineStr">
        <is>
          <t>休日</t>
        </is>
      </c>
      <c r="C3623" s="10" t="inlineStr">
        <is>
          <t>本線</t>
        </is>
      </c>
      <c r="D3623" s="10" t="inlineStr">
        <is>
          <t>上り</t>
        </is>
      </c>
      <c r="E3623" t="inlineStr">
        <is>
          <t>1110</t>
        </is>
      </c>
      <c r="F3623" t="inlineStr">
        <is>
          <t>0211</t>
        </is>
      </c>
      <c r="G3623" s="10" t="inlineStr">
        <is>
          <t>蚕ノ社</t>
        </is>
      </c>
      <c r="H3623" s="10" t="inlineStr">
        <is>
          <t>発</t>
        </is>
      </c>
      <c r="J3623" s="10" t="inlineStr">
        <is>
          <t>営業</t>
        </is>
      </c>
      <c r="L3623" t="inlineStr">
        <is>
          <t>11:55:00</t>
        </is>
      </c>
      <c r="M3623" t="inlineStr">
        <is>
          <t>11:55:20</t>
        </is>
      </c>
    </row>
    <row r="3624" ht="16.5" customHeight="1" s="37">
      <c r="A3624" t="n">
        <v>3</v>
      </c>
      <c r="B3624" s="10" t="inlineStr">
        <is>
          <t>休日</t>
        </is>
      </c>
      <c r="C3624" s="10" t="inlineStr">
        <is>
          <t>本線</t>
        </is>
      </c>
      <c r="D3624" s="10" t="inlineStr">
        <is>
          <t>上り</t>
        </is>
      </c>
      <c r="E3624" t="inlineStr">
        <is>
          <t>1110</t>
        </is>
      </c>
      <c r="F3624" t="inlineStr">
        <is>
          <t>0211</t>
        </is>
      </c>
      <c r="G3624" s="10" t="inlineStr">
        <is>
          <t>天神川</t>
        </is>
      </c>
      <c r="H3624" s="10" t="inlineStr">
        <is>
          <t>発</t>
        </is>
      </c>
      <c r="J3624" s="10" t="inlineStr">
        <is>
          <t>営業</t>
        </is>
      </c>
      <c r="L3624" t="inlineStr">
        <is>
          <t>11:56:05</t>
        </is>
      </c>
      <c r="M3624" t="inlineStr">
        <is>
          <t>11:56:50</t>
        </is>
      </c>
    </row>
    <row r="3625" ht="16.5" customHeight="1" s="37">
      <c r="A3625" t="n">
        <v>3</v>
      </c>
      <c r="B3625" s="10" t="inlineStr">
        <is>
          <t>休日</t>
        </is>
      </c>
      <c r="C3625" s="10" t="inlineStr">
        <is>
          <t>本線</t>
        </is>
      </c>
      <c r="D3625" s="10" t="inlineStr">
        <is>
          <t>上り</t>
        </is>
      </c>
      <c r="E3625" t="inlineStr">
        <is>
          <t>1110</t>
        </is>
      </c>
      <c r="F3625" t="inlineStr">
        <is>
          <t>0211</t>
        </is>
      </c>
      <c r="G3625" s="10" t="inlineStr">
        <is>
          <t>山ノ内</t>
        </is>
      </c>
      <c r="H3625" s="10" t="inlineStr">
        <is>
          <t>発</t>
        </is>
      </c>
      <c r="J3625" s="10" t="inlineStr">
        <is>
          <t>営業</t>
        </is>
      </c>
      <c r="L3625" t="inlineStr">
        <is>
          <t>11:58:40</t>
        </is>
      </c>
      <c r="M3625" t="inlineStr">
        <is>
          <t>11:59:05</t>
        </is>
      </c>
    </row>
    <row r="3626" ht="16.5" customHeight="1" s="37">
      <c r="A3626" t="n">
        <v>3</v>
      </c>
      <c r="B3626" s="10" t="inlineStr">
        <is>
          <t>休日</t>
        </is>
      </c>
      <c r="C3626" s="10" t="inlineStr">
        <is>
          <t>本線</t>
        </is>
      </c>
      <c r="D3626" s="10" t="inlineStr">
        <is>
          <t>上り</t>
        </is>
      </c>
      <c r="E3626" t="inlineStr">
        <is>
          <t>1110</t>
        </is>
      </c>
      <c r="F3626" t="inlineStr">
        <is>
          <t>0211</t>
        </is>
      </c>
      <c r="G3626" s="10" t="inlineStr">
        <is>
          <t>西大路三条</t>
        </is>
      </c>
      <c r="H3626" s="10" t="inlineStr">
        <is>
          <t>発</t>
        </is>
      </c>
      <c r="J3626" s="10" t="inlineStr">
        <is>
          <t>営業</t>
        </is>
      </c>
      <c r="L3626" t="inlineStr">
        <is>
          <t>12:00:55</t>
        </is>
      </c>
      <c r="M3626" t="inlineStr">
        <is>
          <t>12:01:15</t>
        </is>
      </c>
    </row>
    <row r="3627" ht="16.5" customHeight="1" s="37">
      <c r="A3627" t="n">
        <v>3</v>
      </c>
      <c r="B3627" s="10" t="inlineStr">
        <is>
          <t>休日</t>
        </is>
      </c>
      <c r="C3627" s="10" t="inlineStr">
        <is>
          <t>本線</t>
        </is>
      </c>
      <c r="D3627" s="10" t="inlineStr">
        <is>
          <t>上り</t>
        </is>
      </c>
      <c r="E3627" t="inlineStr">
        <is>
          <t>1110</t>
        </is>
      </c>
      <c r="F3627" t="inlineStr">
        <is>
          <t>0211</t>
        </is>
      </c>
      <c r="G3627" s="10" t="inlineStr">
        <is>
          <t>西院</t>
        </is>
      </c>
      <c r="H3627" s="10" t="inlineStr">
        <is>
          <t>発</t>
        </is>
      </c>
      <c r="J3627" s="10" t="inlineStr">
        <is>
          <t>営業</t>
        </is>
      </c>
      <c r="L3627" t="inlineStr">
        <is>
          <t>12:03:10</t>
        </is>
      </c>
      <c r="M3627" t="inlineStr">
        <is>
          <t>12:04:05</t>
        </is>
      </c>
    </row>
    <row r="3628" ht="16.5" customHeight="1" s="37">
      <c r="A3628" t="n">
        <v>3</v>
      </c>
      <c r="B3628" s="10" t="inlineStr">
        <is>
          <t>休日</t>
        </is>
      </c>
      <c r="C3628" s="10" t="inlineStr">
        <is>
          <t>本線</t>
        </is>
      </c>
      <c r="D3628" s="10" t="inlineStr">
        <is>
          <t>上り</t>
        </is>
      </c>
      <c r="E3628" t="inlineStr">
        <is>
          <t>1110</t>
        </is>
      </c>
      <c r="F3628" t="inlineStr">
        <is>
          <t>0211</t>
        </is>
      </c>
      <c r="G3628" s="10" t="inlineStr">
        <is>
          <t>四条大宮</t>
        </is>
      </c>
      <c r="H3628" s="10" t="inlineStr">
        <is>
          <t>着</t>
        </is>
      </c>
      <c r="J3628" s="10" t="inlineStr">
        <is>
          <t>営業</t>
        </is>
      </c>
      <c r="L3628" t="inlineStr">
        <is>
          <t>12:07:00</t>
        </is>
      </c>
      <c r="Q3628" t="inlineStr">
        <is>
          <t>1</t>
        </is>
      </c>
    </row>
    <row r="3629" ht="16.5" customHeight="1" s="37">
      <c r="A3629" t="n">
        <v>3</v>
      </c>
      <c r="B3629" s="10" t="inlineStr">
        <is>
          <t>休日</t>
        </is>
      </c>
      <c r="C3629" s="10" t="inlineStr">
        <is>
          <t>本線</t>
        </is>
      </c>
      <c r="D3629" s="10" t="inlineStr">
        <is>
          <t>下り</t>
        </is>
      </c>
      <c r="E3629" t="inlineStr">
        <is>
          <t>1203</t>
        </is>
      </c>
      <c r="F3629" t="inlineStr">
        <is>
          <t>0112</t>
        </is>
      </c>
      <c r="G3629" s="10" t="inlineStr">
        <is>
          <t>四条大宮</t>
        </is>
      </c>
      <c r="H3629" s="10" t="inlineStr">
        <is>
          <t>発</t>
        </is>
      </c>
      <c r="J3629" s="10" t="inlineStr">
        <is>
          <t>営業</t>
        </is>
      </c>
      <c r="M3629" t="inlineStr">
        <is>
          <t>12:13:00</t>
        </is>
      </c>
      <c r="Q3629" t="inlineStr">
        <is>
          <t>1</t>
        </is>
      </c>
    </row>
    <row r="3630" ht="16.5" customHeight="1" s="37">
      <c r="A3630" t="n">
        <v>3</v>
      </c>
      <c r="B3630" s="10" t="inlineStr">
        <is>
          <t>休日</t>
        </is>
      </c>
      <c r="C3630" s="10" t="inlineStr">
        <is>
          <t>本線</t>
        </is>
      </c>
      <c r="D3630" s="10" t="inlineStr">
        <is>
          <t>下り</t>
        </is>
      </c>
      <c r="E3630" t="inlineStr">
        <is>
          <t>1203</t>
        </is>
      </c>
      <c r="F3630" t="inlineStr">
        <is>
          <t>0112</t>
        </is>
      </c>
      <c r="G3630" s="10" t="inlineStr">
        <is>
          <t>西院</t>
        </is>
      </c>
      <c r="H3630" s="10" t="inlineStr">
        <is>
          <t>発</t>
        </is>
      </c>
      <c r="J3630" s="10" t="inlineStr">
        <is>
          <t>営業</t>
        </is>
      </c>
      <c r="L3630" t="inlineStr">
        <is>
          <t>12:15:50</t>
        </is>
      </c>
      <c r="M3630" t="inlineStr">
        <is>
          <t>12:16:20</t>
        </is>
      </c>
    </row>
    <row r="3631" ht="16.5" customHeight="1" s="37">
      <c r="A3631" t="n">
        <v>3</v>
      </c>
      <c r="B3631" s="10" t="inlineStr">
        <is>
          <t>休日</t>
        </is>
      </c>
      <c r="C3631" s="10" t="inlineStr">
        <is>
          <t>本線</t>
        </is>
      </c>
      <c r="D3631" s="10" t="inlineStr">
        <is>
          <t>下り</t>
        </is>
      </c>
      <c r="E3631" t="inlineStr">
        <is>
          <t>1203</t>
        </is>
      </c>
      <c r="F3631" t="inlineStr">
        <is>
          <t>0112</t>
        </is>
      </c>
      <c r="G3631" s="10" t="inlineStr">
        <is>
          <t>西大路三条</t>
        </is>
      </c>
      <c r="H3631" s="10" t="inlineStr">
        <is>
          <t>発</t>
        </is>
      </c>
      <c r="J3631" s="10" t="inlineStr">
        <is>
          <t>営業</t>
        </is>
      </c>
      <c r="L3631" t="inlineStr">
        <is>
          <t>12:18:10</t>
        </is>
      </c>
      <c r="M3631" t="inlineStr">
        <is>
          <t>12:18:30</t>
        </is>
      </c>
    </row>
    <row r="3632" ht="16.5" customHeight="1" s="37">
      <c r="A3632" t="n">
        <v>3</v>
      </c>
      <c r="B3632" s="10" t="inlineStr">
        <is>
          <t>休日</t>
        </is>
      </c>
      <c r="C3632" s="10" t="inlineStr">
        <is>
          <t>本線</t>
        </is>
      </c>
      <c r="D3632" s="10" t="inlineStr">
        <is>
          <t>下り</t>
        </is>
      </c>
      <c r="E3632" t="inlineStr">
        <is>
          <t>1203</t>
        </is>
      </c>
      <c r="F3632" t="inlineStr">
        <is>
          <t>0112</t>
        </is>
      </c>
      <c r="G3632" s="10" t="inlineStr">
        <is>
          <t>山ノ内</t>
        </is>
      </c>
      <c r="H3632" s="10" t="inlineStr">
        <is>
          <t>発</t>
        </is>
      </c>
      <c r="J3632" s="10" t="inlineStr">
        <is>
          <t>営業</t>
        </is>
      </c>
      <c r="L3632" t="inlineStr">
        <is>
          <t>12:20:25</t>
        </is>
      </c>
      <c r="M3632" t="inlineStr">
        <is>
          <t>12:20:50</t>
        </is>
      </c>
    </row>
    <row r="3633" ht="16.5" customHeight="1" s="37">
      <c r="A3633" t="n">
        <v>3</v>
      </c>
      <c r="B3633" s="10" t="inlineStr">
        <is>
          <t>休日</t>
        </is>
      </c>
      <c r="C3633" s="10" t="inlineStr">
        <is>
          <t>本線</t>
        </is>
      </c>
      <c r="D3633" s="10" t="inlineStr">
        <is>
          <t>下り</t>
        </is>
      </c>
      <c r="E3633" t="inlineStr">
        <is>
          <t>1203</t>
        </is>
      </c>
      <c r="F3633" t="inlineStr">
        <is>
          <t>0112</t>
        </is>
      </c>
      <c r="G3633" s="10" t="inlineStr">
        <is>
          <t>天神川</t>
        </is>
      </c>
      <c r="H3633" s="10" t="inlineStr">
        <is>
          <t>発</t>
        </is>
      </c>
      <c r="J3633" s="10" t="inlineStr">
        <is>
          <t>営業</t>
        </is>
      </c>
      <c r="L3633" t="inlineStr">
        <is>
          <t>12:22:50</t>
        </is>
      </c>
      <c r="M3633" t="inlineStr">
        <is>
          <t>12:23:30</t>
        </is>
      </c>
    </row>
    <row r="3634" ht="16.5" customHeight="1" s="37">
      <c r="A3634" t="n">
        <v>3</v>
      </c>
      <c r="B3634" s="10" t="inlineStr">
        <is>
          <t>休日</t>
        </is>
      </c>
      <c r="C3634" s="10" t="inlineStr">
        <is>
          <t>本線</t>
        </is>
      </c>
      <c r="D3634" s="10" t="inlineStr">
        <is>
          <t>下り</t>
        </is>
      </c>
      <c r="E3634" t="inlineStr">
        <is>
          <t>1203</t>
        </is>
      </c>
      <c r="F3634" t="inlineStr">
        <is>
          <t>0112</t>
        </is>
      </c>
      <c r="G3634" s="10" t="inlineStr">
        <is>
          <t>蚕ノ社</t>
        </is>
      </c>
      <c r="H3634" s="10" t="inlineStr">
        <is>
          <t>発</t>
        </is>
      </c>
      <c r="J3634" s="10" t="inlineStr">
        <is>
          <t>営業</t>
        </is>
      </c>
      <c r="L3634" t="inlineStr">
        <is>
          <t>12:24:20</t>
        </is>
      </c>
      <c r="M3634" t="inlineStr">
        <is>
          <t>12:24:40</t>
        </is>
      </c>
    </row>
    <row r="3635" ht="16.5" customHeight="1" s="37">
      <c r="A3635" t="n">
        <v>3</v>
      </c>
      <c r="B3635" s="10" t="inlineStr">
        <is>
          <t>休日</t>
        </is>
      </c>
      <c r="C3635" s="10" t="inlineStr">
        <is>
          <t>本線</t>
        </is>
      </c>
      <c r="D3635" s="10" t="inlineStr">
        <is>
          <t>下り</t>
        </is>
      </c>
      <c r="E3635" t="inlineStr">
        <is>
          <t>1203</t>
        </is>
      </c>
      <c r="F3635" t="inlineStr">
        <is>
          <t>0112</t>
        </is>
      </c>
      <c r="G3635" s="10" t="inlineStr">
        <is>
          <t>太秦広隆寺</t>
        </is>
      </c>
      <c r="H3635" s="10" t="inlineStr">
        <is>
          <t>発</t>
        </is>
      </c>
      <c r="J3635" s="10" t="inlineStr">
        <is>
          <t>営業</t>
        </is>
      </c>
      <c r="L3635" t="inlineStr">
        <is>
          <t>12:26:00</t>
        </is>
      </c>
      <c r="M3635" t="inlineStr">
        <is>
          <t>12:26:20</t>
        </is>
      </c>
    </row>
    <row r="3636" ht="16.5" customHeight="1" s="37">
      <c r="A3636" t="n">
        <v>3</v>
      </c>
      <c r="B3636" s="10" t="inlineStr">
        <is>
          <t>休日</t>
        </is>
      </c>
      <c r="C3636" s="10" t="inlineStr">
        <is>
          <t>本線</t>
        </is>
      </c>
      <c r="D3636" s="10" t="inlineStr">
        <is>
          <t>下り</t>
        </is>
      </c>
      <c r="E3636" t="inlineStr">
        <is>
          <t>1203</t>
        </is>
      </c>
      <c r="F3636" t="inlineStr">
        <is>
          <t>0112</t>
        </is>
      </c>
      <c r="G3636" s="10" t="inlineStr">
        <is>
          <t>帷子ノ辻</t>
        </is>
      </c>
      <c r="H3636" s="10" t="inlineStr">
        <is>
          <t>発</t>
        </is>
      </c>
      <c r="J3636" s="10" t="inlineStr">
        <is>
          <t>営業</t>
        </is>
      </c>
      <c r="L3636" t="inlineStr">
        <is>
          <t>12:28:20</t>
        </is>
      </c>
      <c r="M3636" t="inlineStr">
        <is>
          <t>12:29:40</t>
        </is>
      </c>
    </row>
    <row r="3637" ht="16.5" customHeight="1" s="37">
      <c r="A3637" t="n">
        <v>3</v>
      </c>
      <c r="B3637" s="10" t="inlineStr">
        <is>
          <t>休日</t>
        </is>
      </c>
      <c r="C3637" s="10" t="inlineStr">
        <is>
          <t>本線</t>
        </is>
      </c>
      <c r="D3637" s="10" t="inlineStr">
        <is>
          <t>下り</t>
        </is>
      </c>
      <c r="E3637" t="inlineStr">
        <is>
          <t>1203</t>
        </is>
      </c>
      <c r="F3637" t="inlineStr">
        <is>
          <t>0112</t>
        </is>
      </c>
      <c r="G3637" s="10" t="inlineStr">
        <is>
          <t>有栖川</t>
        </is>
      </c>
      <c r="H3637" s="10" t="inlineStr">
        <is>
          <t>発</t>
        </is>
      </c>
      <c r="J3637" s="10" t="inlineStr">
        <is>
          <t>営業</t>
        </is>
      </c>
      <c r="L3637" t="inlineStr">
        <is>
          <t>12:30:50</t>
        </is>
      </c>
      <c r="M3637" t="inlineStr">
        <is>
          <t>12:31:15</t>
        </is>
      </c>
    </row>
    <row r="3638" ht="16.5" customHeight="1" s="37">
      <c r="A3638" t="n">
        <v>3</v>
      </c>
      <c r="B3638" s="10" t="inlineStr">
        <is>
          <t>休日</t>
        </is>
      </c>
      <c r="C3638" s="10" t="inlineStr">
        <is>
          <t>本線</t>
        </is>
      </c>
      <c r="D3638" s="10" t="inlineStr">
        <is>
          <t>下り</t>
        </is>
      </c>
      <c r="E3638" t="inlineStr">
        <is>
          <t>1203</t>
        </is>
      </c>
      <c r="F3638" t="inlineStr">
        <is>
          <t>0112</t>
        </is>
      </c>
      <c r="G3638" s="10" t="inlineStr">
        <is>
          <t>車折</t>
        </is>
      </c>
      <c r="H3638" s="10" t="inlineStr">
        <is>
          <t>発</t>
        </is>
      </c>
      <c r="J3638" s="10" t="inlineStr">
        <is>
          <t>営業</t>
        </is>
      </c>
      <c r="L3638" t="inlineStr">
        <is>
          <t>12:32:40</t>
        </is>
      </c>
      <c r="M3638" t="inlineStr">
        <is>
          <t>12:33:05</t>
        </is>
      </c>
    </row>
    <row r="3639" ht="16.5" customHeight="1" s="37">
      <c r="A3639" t="n">
        <v>3</v>
      </c>
      <c r="B3639" s="10" t="inlineStr">
        <is>
          <t>休日</t>
        </is>
      </c>
      <c r="C3639" s="10" t="inlineStr">
        <is>
          <t>本線</t>
        </is>
      </c>
      <c r="D3639" s="10" t="inlineStr">
        <is>
          <t>下り</t>
        </is>
      </c>
      <c r="E3639" t="inlineStr">
        <is>
          <t>1203</t>
        </is>
      </c>
      <c r="F3639" t="inlineStr">
        <is>
          <t>0112</t>
        </is>
      </c>
      <c r="G3639" s="10" t="inlineStr">
        <is>
          <t>鹿王院</t>
        </is>
      </c>
      <c r="H3639" s="10" t="inlineStr">
        <is>
          <t>発</t>
        </is>
      </c>
      <c r="J3639" s="10" t="inlineStr">
        <is>
          <t>営業</t>
        </is>
      </c>
      <c r="L3639" t="inlineStr">
        <is>
          <t>12:34:00</t>
        </is>
      </c>
      <c r="M3639" t="inlineStr">
        <is>
          <t>12:34:25</t>
        </is>
      </c>
    </row>
    <row r="3640" ht="16.5" customHeight="1" s="37">
      <c r="A3640" t="n">
        <v>3</v>
      </c>
      <c r="B3640" s="10" t="inlineStr">
        <is>
          <t>休日</t>
        </is>
      </c>
      <c r="C3640" s="10" t="inlineStr">
        <is>
          <t>本線</t>
        </is>
      </c>
      <c r="D3640" s="10" t="inlineStr">
        <is>
          <t>下り</t>
        </is>
      </c>
      <c r="E3640" t="inlineStr">
        <is>
          <t>1203</t>
        </is>
      </c>
      <c r="F3640" t="inlineStr">
        <is>
          <t>0112</t>
        </is>
      </c>
      <c r="G3640" s="10" t="inlineStr">
        <is>
          <t>嵯峨</t>
        </is>
      </c>
      <c r="H3640" s="10" t="inlineStr">
        <is>
          <t>発</t>
        </is>
      </c>
      <c r="J3640" s="10" t="inlineStr">
        <is>
          <t>営業</t>
        </is>
      </c>
      <c r="L3640" t="inlineStr">
        <is>
          <t>12:35:30</t>
        </is>
      </c>
      <c r="M3640" t="inlineStr">
        <is>
          <t>12:35:55</t>
        </is>
      </c>
    </row>
    <row r="3641" ht="16.5" customHeight="1" s="37">
      <c r="A3641" t="n">
        <v>3</v>
      </c>
      <c r="B3641" s="10" t="inlineStr">
        <is>
          <t>休日</t>
        </is>
      </c>
      <c r="C3641" s="10" t="inlineStr">
        <is>
          <t>本線</t>
        </is>
      </c>
      <c r="D3641" s="10" t="inlineStr">
        <is>
          <t>下り</t>
        </is>
      </c>
      <c r="E3641" t="inlineStr">
        <is>
          <t>1203</t>
        </is>
      </c>
      <c r="F3641" t="inlineStr">
        <is>
          <t>0112</t>
        </is>
      </c>
      <c r="G3641" s="10" t="inlineStr">
        <is>
          <t>嵐山</t>
        </is>
      </c>
      <c r="H3641" s="10" t="inlineStr">
        <is>
          <t>着</t>
        </is>
      </c>
      <c r="J3641" s="10" t="inlineStr">
        <is>
          <t>営業</t>
        </is>
      </c>
      <c r="L3641" t="inlineStr">
        <is>
          <t>12:37:00</t>
        </is>
      </c>
      <c r="Q3641" t="inlineStr">
        <is>
          <t>1</t>
        </is>
      </c>
    </row>
    <row r="3642" ht="16.5" customHeight="1" s="37">
      <c r="A3642" t="n">
        <v>3</v>
      </c>
      <c r="B3642" s="10" t="inlineStr">
        <is>
          <t>休日</t>
        </is>
      </c>
      <c r="C3642" s="10" t="inlineStr">
        <is>
          <t>本線</t>
        </is>
      </c>
      <c r="D3642" s="10" t="inlineStr">
        <is>
          <t>上り</t>
        </is>
      </c>
      <c r="E3642" t="inlineStr">
        <is>
          <t>1210</t>
        </is>
      </c>
      <c r="F3642" t="inlineStr">
        <is>
          <t>0211</t>
        </is>
      </c>
      <c r="G3642" s="10" t="inlineStr">
        <is>
          <t>嵐山</t>
        </is>
      </c>
      <c r="H3642" s="10" t="inlineStr">
        <is>
          <t>発</t>
        </is>
      </c>
      <c r="J3642" s="10" t="inlineStr">
        <is>
          <t>営業</t>
        </is>
      </c>
      <c r="M3642" t="inlineStr">
        <is>
          <t>12:43:00</t>
        </is>
      </c>
      <c r="Q3642" t="inlineStr">
        <is>
          <t>1</t>
        </is>
      </c>
    </row>
    <row r="3643" ht="16.5" customHeight="1" s="37">
      <c r="A3643" t="n">
        <v>3</v>
      </c>
      <c r="B3643" s="10" t="inlineStr">
        <is>
          <t>休日</t>
        </is>
      </c>
      <c r="C3643" s="10" t="inlineStr">
        <is>
          <t>本線</t>
        </is>
      </c>
      <c r="D3643" s="10" t="inlineStr">
        <is>
          <t>上り</t>
        </is>
      </c>
      <c r="E3643" t="inlineStr">
        <is>
          <t>1210</t>
        </is>
      </c>
      <c r="F3643" t="inlineStr">
        <is>
          <t>0211</t>
        </is>
      </c>
      <c r="G3643" s="10" t="inlineStr">
        <is>
          <t>嵯峨</t>
        </is>
      </c>
      <c r="H3643" s="10" t="inlineStr">
        <is>
          <t>発</t>
        </is>
      </c>
      <c r="J3643" s="10" t="inlineStr">
        <is>
          <t>営業</t>
        </is>
      </c>
      <c r="L3643" t="inlineStr">
        <is>
          <t>12:43:55</t>
        </is>
      </c>
      <c r="M3643" t="inlineStr">
        <is>
          <t>12:44:20</t>
        </is>
      </c>
    </row>
    <row r="3644" ht="16.5" customHeight="1" s="37">
      <c r="A3644" t="n">
        <v>3</v>
      </c>
      <c r="B3644" s="10" t="inlineStr">
        <is>
          <t>休日</t>
        </is>
      </c>
      <c r="C3644" s="10" t="inlineStr">
        <is>
          <t>本線</t>
        </is>
      </c>
      <c r="D3644" s="10" t="inlineStr">
        <is>
          <t>上り</t>
        </is>
      </c>
      <c r="E3644" t="inlineStr">
        <is>
          <t>1210</t>
        </is>
      </c>
      <c r="F3644" t="inlineStr">
        <is>
          <t>0211</t>
        </is>
      </c>
      <c r="G3644" s="10" t="inlineStr">
        <is>
          <t>鹿王院</t>
        </is>
      </c>
      <c r="H3644" s="10" t="inlineStr">
        <is>
          <t>発</t>
        </is>
      </c>
      <c r="J3644" s="10" t="inlineStr">
        <is>
          <t>営業</t>
        </is>
      </c>
      <c r="L3644" t="inlineStr">
        <is>
          <t>12:45:25</t>
        </is>
      </c>
      <c r="M3644" t="inlineStr">
        <is>
          <t>12:45:45</t>
        </is>
      </c>
    </row>
    <row r="3645" ht="16.5" customHeight="1" s="37">
      <c r="A3645" t="n">
        <v>3</v>
      </c>
      <c r="B3645" s="10" t="inlineStr">
        <is>
          <t>休日</t>
        </is>
      </c>
      <c r="C3645" s="10" t="inlineStr">
        <is>
          <t>本線</t>
        </is>
      </c>
      <c r="D3645" s="10" t="inlineStr">
        <is>
          <t>上り</t>
        </is>
      </c>
      <c r="E3645" t="inlineStr">
        <is>
          <t>1210</t>
        </is>
      </c>
      <c r="F3645" t="inlineStr">
        <is>
          <t>0211</t>
        </is>
      </c>
      <c r="G3645" s="10" t="inlineStr">
        <is>
          <t>車折</t>
        </is>
      </c>
      <c r="H3645" s="10" t="inlineStr">
        <is>
          <t>発</t>
        </is>
      </c>
      <c r="J3645" s="10" t="inlineStr">
        <is>
          <t>営業</t>
        </is>
      </c>
      <c r="L3645" t="inlineStr">
        <is>
          <t>12:46:40</t>
        </is>
      </c>
      <c r="M3645" t="inlineStr">
        <is>
          <t>12:47:10</t>
        </is>
      </c>
    </row>
    <row r="3646" ht="16.5" customHeight="1" s="37">
      <c r="A3646" t="n">
        <v>3</v>
      </c>
      <c r="B3646" s="10" t="inlineStr">
        <is>
          <t>休日</t>
        </is>
      </c>
      <c r="C3646" s="10" t="inlineStr">
        <is>
          <t>本線</t>
        </is>
      </c>
      <c r="D3646" s="10" t="inlineStr">
        <is>
          <t>上り</t>
        </is>
      </c>
      <c r="E3646" t="inlineStr">
        <is>
          <t>1210</t>
        </is>
      </c>
      <c r="F3646" t="inlineStr">
        <is>
          <t>0211</t>
        </is>
      </c>
      <c r="G3646" s="10" t="inlineStr">
        <is>
          <t>有栖川</t>
        </is>
      </c>
      <c r="H3646" s="10" t="inlineStr">
        <is>
          <t>発</t>
        </is>
      </c>
      <c r="J3646" s="10" t="inlineStr">
        <is>
          <t>営業</t>
        </is>
      </c>
      <c r="L3646" t="inlineStr">
        <is>
          <t>12:48:35</t>
        </is>
      </c>
      <c r="M3646" t="inlineStr">
        <is>
          <t>12:48:55</t>
        </is>
      </c>
    </row>
    <row r="3647" ht="16.5" customHeight="1" s="37">
      <c r="A3647" t="n">
        <v>3</v>
      </c>
      <c r="B3647" s="10" t="inlineStr">
        <is>
          <t>休日</t>
        </is>
      </c>
      <c r="C3647" s="10" t="inlineStr">
        <is>
          <t>本線</t>
        </is>
      </c>
      <c r="D3647" s="10" t="inlineStr">
        <is>
          <t>上り</t>
        </is>
      </c>
      <c r="E3647" t="inlineStr">
        <is>
          <t>1210</t>
        </is>
      </c>
      <c r="F3647" t="inlineStr">
        <is>
          <t>0211</t>
        </is>
      </c>
      <c r="G3647" s="10" t="inlineStr">
        <is>
          <t>帷子ノ辻</t>
        </is>
      </c>
      <c r="H3647" s="10" t="inlineStr">
        <is>
          <t>発</t>
        </is>
      </c>
      <c r="J3647" s="10" t="inlineStr">
        <is>
          <t>営業</t>
        </is>
      </c>
      <c r="L3647" t="inlineStr">
        <is>
          <t>12:50:10</t>
        </is>
      </c>
      <c r="M3647" t="inlineStr">
        <is>
          <t>12:51:15</t>
        </is>
      </c>
    </row>
    <row r="3648" ht="16.5" customHeight="1" s="37">
      <c r="A3648" t="n">
        <v>3</v>
      </c>
      <c r="B3648" s="10" t="inlineStr">
        <is>
          <t>休日</t>
        </is>
      </c>
      <c r="C3648" s="10" t="inlineStr">
        <is>
          <t>本線</t>
        </is>
      </c>
      <c r="D3648" s="10" t="inlineStr">
        <is>
          <t>上り</t>
        </is>
      </c>
      <c r="E3648" t="inlineStr">
        <is>
          <t>1210</t>
        </is>
      </c>
      <c r="F3648" t="inlineStr">
        <is>
          <t>0211</t>
        </is>
      </c>
      <c r="G3648" s="10" t="inlineStr">
        <is>
          <t>太秦広隆寺</t>
        </is>
      </c>
      <c r="H3648" s="10" t="inlineStr">
        <is>
          <t>発</t>
        </is>
      </c>
      <c r="J3648" s="10" t="inlineStr">
        <is>
          <t>営業</t>
        </is>
      </c>
      <c r="L3648" t="inlineStr">
        <is>
          <t>12:53:25</t>
        </is>
      </c>
      <c r="M3648" t="inlineStr">
        <is>
          <t>12:53:45</t>
        </is>
      </c>
    </row>
    <row r="3649" ht="16.5" customHeight="1" s="37">
      <c r="A3649" t="n">
        <v>3</v>
      </c>
      <c r="B3649" s="10" t="inlineStr">
        <is>
          <t>休日</t>
        </is>
      </c>
      <c r="C3649" s="10" t="inlineStr">
        <is>
          <t>本線</t>
        </is>
      </c>
      <c r="D3649" s="10" t="inlineStr">
        <is>
          <t>上り</t>
        </is>
      </c>
      <c r="E3649" t="inlineStr">
        <is>
          <t>1210</t>
        </is>
      </c>
      <c r="F3649" t="inlineStr">
        <is>
          <t>0211</t>
        </is>
      </c>
      <c r="G3649" s="10" t="inlineStr">
        <is>
          <t>蚕ノ社</t>
        </is>
      </c>
      <c r="H3649" s="10" t="inlineStr">
        <is>
          <t>発</t>
        </is>
      </c>
      <c r="J3649" s="10" t="inlineStr">
        <is>
          <t>営業</t>
        </is>
      </c>
      <c r="L3649" t="inlineStr">
        <is>
          <t>12:55:00</t>
        </is>
      </c>
      <c r="M3649" t="inlineStr">
        <is>
          <t>12:55:20</t>
        </is>
      </c>
    </row>
    <row r="3650" ht="16.5" customHeight="1" s="37">
      <c r="A3650" t="n">
        <v>3</v>
      </c>
      <c r="B3650" s="10" t="inlineStr">
        <is>
          <t>休日</t>
        </is>
      </c>
      <c r="C3650" s="10" t="inlineStr">
        <is>
          <t>本線</t>
        </is>
      </c>
      <c r="D3650" s="10" t="inlineStr">
        <is>
          <t>上り</t>
        </is>
      </c>
      <c r="E3650" t="inlineStr">
        <is>
          <t>1210</t>
        </is>
      </c>
      <c r="F3650" t="inlineStr">
        <is>
          <t>0211</t>
        </is>
      </c>
      <c r="G3650" s="10" t="inlineStr">
        <is>
          <t>天神川</t>
        </is>
      </c>
      <c r="H3650" s="10" t="inlineStr">
        <is>
          <t>発</t>
        </is>
      </c>
      <c r="J3650" s="10" t="inlineStr">
        <is>
          <t>営業</t>
        </is>
      </c>
      <c r="L3650" t="inlineStr">
        <is>
          <t>12:56:05</t>
        </is>
      </c>
      <c r="M3650" t="inlineStr">
        <is>
          <t>12:56:50</t>
        </is>
      </c>
    </row>
    <row r="3651" ht="16.5" customHeight="1" s="37">
      <c r="A3651" t="n">
        <v>3</v>
      </c>
      <c r="B3651" s="10" t="inlineStr">
        <is>
          <t>休日</t>
        </is>
      </c>
      <c r="C3651" s="10" t="inlineStr">
        <is>
          <t>本線</t>
        </is>
      </c>
      <c r="D3651" s="10" t="inlineStr">
        <is>
          <t>上り</t>
        </is>
      </c>
      <c r="E3651" t="inlineStr">
        <is>
          <t>1210</t>
        </is>
      </c>
      <c r="F3651" t="inlineStr">
        <is>
          <t>0211</t>
        </is>
      </c>
      <c r="G3651" s="10" t="inlineStr">
        <is>
          <t>山ノ内</t>
        </is>
      </c>
      <c r="H3651" s="10" t="inlineStr">
        <is>
          <t>発</t>
        </is>
      </c>
      <c r="J3651" s="10" t="inlineStr">
        <is>
          <t>営業</t>
        </is>
      </c>
      <c r="L3651" t="inlineStr">
        <is>
          <t>12:58:40</t>
        </is>
      </c>
      <c r="M3651" t="inlineStr">
        <is>
          <t>12:59:05</t>
        </is>
      </c>
    </row>
    <row r="3652" ht="16.5" customHeight="1" s="37">
      <c r="A3652" t="n">
        <v>3</v>
      </c>
      <c r="B3652" s="10" t="inlineStr">
        <is>
          <t>休日</t>
        </is>
      </c>
      <c r="C3652" s="10" t="inlineStr">
        <is>
          <t>本線</t>
        </is>
      </c>
      <c r="D3652" s="10" t="inlineStr">
        <is>
          <t>上り</t>
        </is>
      </c>
      <c r="E3652" t="inlineStr">
        <is>
          <t>1210</t>
        </is>
      </c>
      <c r="F3652" t="inlineStr">
        <is>
          <t>0211</t>
        </is>
      </c>
      <c r="G3652" s="10" t="inlineStr">
        <is>
          <t>西大路三条</t>
        </is>
      </c>
      <c r="H3652" s="10" t="inlineStr">
        <is>
          <t>発</t>
        </is>
      </c>
      <c r="J3652" s="10" t="inlineStr">
        <is>
          <t>営業</t>
        </is>
      </c>
      <c r="L3652" t="inlineStr">
        <is>
          <t>13:00:55</t>
        </is>
      </c>
      <c r="M3652" t="inlineStr">
        <is>
          <t>13:01:15</t>
        </is>
      </c>
    </row>
    <row r="3653" ht="16.5" customHeight="1" s="37">
      <c r="A3653" t="n">
        <v>3</v>
      </c>
      <c r="B3653" s="10" t="inlineStr">
        <is>
          <t>休日</t>
        </is>
      </c>
      <c r="C3653" s="10" t="inlineStr">
        <is>
          <t>本線</t>
        </is>
      </c>
      <c r="D3653" s="10" t="inlineStr">
        <is>
          <t>上り</t>
        </is>
      </c>
      <c r="E3653" t="inlineStr">
        <is>
          <t>1210</t>
        </is>
      </c>
      <c r="F3653" t="inlineStr">
        <is>
          <t>0211</t>
        </is>
      </c>
      <c r="G3653" s="10" t="inlineStr">
        <is>
          <t>西院</t>
        </is>
      </c>
      <c r="H3653" s="10" t="inlineStr">
        <is>
          <t>発</t>
        </is>
      </c>
      <c r="J3653" s="10" t="inlineStr">
        <is>
          <t>営業</t>
        </is>
      </c>
      <c r="L3653" t="inlineStr">
        <is>
          <t>13:03:10</t>
        </is>
      </c>
      <c r="M3653" t="inlineStr">
        <is>
          <t>13:04:05</t>
        </is>
      </c>
    </row>
    <row r="3654" ht="16.5" customHeight="1" s="37">
      <c r="A3654" t="n">
        <v>3</v>
      </c>
      <c r="B3654" s="10" t="inlineStr">
        <is>
          <t>休日</t>
        </is>
      </c>
      <c r="C3654" s="10" t="inlineStr">
        <is>
          <t>本線</t>
        </is>
      </c>
      <c r="D3654" s="10" t="inlineStr">
        <is>
          <t>上り</t>
        </is>
      </c>
      <c r="E3654" t="inlineStr">
        <is>
          <t>1210</t>
        </is>
      </c>
      <c r="F3654" t="inlineStr">
        <is>
          <t>0211</t>
        </is>
      </c>
      <c r="G3654" s="10" t="inlineStr">
        <is>
          <t>四条大宮</t>
        </is>
      </c>
      <c r="H3654" s="10" t="inlineStr">
        <is>
          <t>着</t>
        </is>
      </c>
      <c r="J3654" s="10" t="inlineStr">
        <is>
          <t>営業</t>
        </is>
      </c>
      <c r="L3654" t="inlineStr">
        <is>
          <t>13:07:00</t>
        </is>
      </c>
      <c r="Q3654" t="inlineStr">
        <is>
          <t>1誘</t>
        </is>
      </c>
    </row>
    <row r="3655" ht="16.5" customHeight="1" s="37">
      <c r="A3655" t="n">
        <v>3</v>
      </c>
      <c r="B3655" s="10" t="inlineStr">
        <is>
          <t>休日</t>
        </is>
      </c>
      <c r="C3655" s="10" t="inlineStr">
        <is>
          <t>本線</t>
        </is>
      </c>
      <c r="D3655" s="10" t="inlineStr">
        <is>
          <t>下り</t>
        </is>
      </c>
      <c r="E3655" s="10" t="inlineStr">
        <is>
          <t>連1303</t>
        </is>
      </c>
      <c r="F3655" t="inlineStr">
        <is>
          <t>0112</t>
        </is>
      </c>
      <c r="G3655" s="10" t="inlineStr">
        <is>
          <t>四条大宮</t>
        </is>
      </c>
      <c r="H3655" s="10" t="inlineStr">
        <is>
          <t>発</t>
        </is>
      </c>
      <c r="J3655" s="10" t="inlineStr">
        <is>
          <t>営業</t>
        </is>
      </c>
      <c r="M3655" t="inlineStr">
        <is>
          <t>13:13:00</t>
        </is>
      </c>
      <c r="P3655" t="inlineStr">
        <is>
          <t>B系統(終日)</t>
        </is>
      </c>
      <c r="Q3655" t="inlineStr">
        <is>
          <t>1</t>
        </is>
      </c>
    </row>
    <row r="3656" ht="16.5" customHeight="1" s="37">
      <c r="A3656" t="n">
        <v>3</v>
      </c>
      <c r="B3656" s="10" t="inlineStr">
        <is>
          <t>休日</t>
        </is>
      </c>
      <c r="C3656" s="10" t="inlineStr">
        <is>
          <t>本線</t>
        </is>
      </c>
      <c r="D3656" s="10" t="inlineStr">
        <is>
          <t>下り</t>
        </is>
      </c>
      <c r="E3656" s="10" t="inlineStr">
        <is>
          <t>連1303</t>
        </is>
      </c>
      <c r="F3656" t="inlineStr">
        <is>
          <t>0112</t>
        </is>
      </c>
      <c r="G3656" s="10" t="inlineStr">
        <is>
          <t>西院</t>
        </is>
      </c>
      <c r="H3656" s="10" t="inlineStr">
        <is>
          <t>発</t>
        </is>
      </c>
      <c r="J3656" s="10" t="inlineStr">
        <is>
          <t>営業</t>
        </is>
      </c>
      <c r="L3656" t="inlineStr">
        <is>
          <t>13:15:50</t>
        </is>
      </c>
      <c r="M3656" t="inlineStr">
        <is>
          <t>13:16:20</t>
        </is>
      </c>
      <c r="P3656" t="inlineStr">
        <is>
          <t>B系統(終日)</t>
        </is>
      </c>
    </row>
    <row r="3657" ht="16.5" customHeight="1" s="37">
      <c r="A3657" t="n">
        <v>3</v>
      </c>
      <c r="B3657" s="10" t="inlineStr">
        <is>
          <t>休日</t>
        </is>
      </c>
      <c r="C3657" s="10" t="inlineStr">
        <is>
          <t>本線</t>
        </is>
      </c>
      <c r="D3657" s="10" t="inlineStr">
        <is>
          <t>下り</t>
        </is>
      </c>
      <c r="E3657" s="10" t="inlineStr">
        <is>
          <t>連1303</t>
        </is>
      </c>
      <c r="F3657" t="inlineStr">
        <is>
          <t>0112</t>
        </is>
      </c>
      <c r="G3657" s="10" t="inlineStr">
        <is>
          <t>西大路三条</t>
        </is>
      </c>
      <c r="H3657" s="10" t="inlineStr">
        <is>
          <t>発</t>
        </is>
      </c>
      <c r="J3657" s="10" t="inlineStr">
        <is>
          <t>営業</t>
        </is>
      </c>
      <c r="L3657" t="inlineStr">
        <is>
          <t>13:18:10</t>
        </is>
      </c>
      <c r="M3657" t="inlineStr">
        <is>
          <t>13:18:30</t>
        </is>
      </c>
      <c r="P3657" t="inlineStr">
        <is>
          <t>B系統(終日)</t>
        </is>
      </c>
    </row>
    <row r="3658" ht="16.5" customHeight="1" s="37">
      <c r="A3658" t="n">
        <v>3</v>
      </c>
      <c r="B3658" s="10" t="inlineStr">
        <is>
          <t>休日</t>
        </is>
      </c>
      <c r="C3658" s="10" t="inlineStr">
        <is>
          <t>本線</t>
        </is>
      </c>
      <c r="D3658" s="10" t="inlineStr">
        <is>
          <t>下り</t>
        </is>
      </c>
      <c r="E3658" s="10" t="inlineStr">
        <is>
          <t>連1303</t>
        </is>
      </c>
      <c r="F3658" t="inlineStr">
        <is>
          <t>0112</t>
        </is>
      </c>
      <c r="G3658" s="10" t="inlineStr">
        <is>
          <t>山ノ内</t>
        </is>
      </c>
      <c r="H3658" s="10" t="inlineStr">
        <is>
          <t>発</t>
        </is>
      </c>
      <c r="J3658" s="10" t="inlineStr">
        <is>
          <t>営業</t>
        </is>
      </c>
      <c r="L3658" t="inlineStr">
        <is>
          <t>13:20:25</t>
        </is>
      </c>
      <c r="M3658" t="inlineStr">
        <is>
          <t>13:20:50</t>
        </is>
      </c>
      <c r="P3658" t="inlineStr">
        <is>
          <t>B系統(終日)</t>
        </is>
      </c>
    </row>
    <row r="3659" ht="16.5" customHeight="1" s="37">
      <c r="A3659" t="n">
        <v>3</v>
      </c>
      <c r="B3659" s="10" t="inlineStr">
        <is>
          <t>休日</t>
        </is>
      </c>
      <c r="C3659" s="10" t="inlineStr">
        <is>
          <t>本線</t>
        </is>
      </c>
      <c r="D3659" s="10" t="inlineStr">
        <is>
          <t>下り</t>
        </is>
      </c>
      <c r="E3659" s="10" t="inlineStr">
        <is>
          <t>連1303</t>
        </is>
      </c>
      <c r="F3659" t="inlineStr">
        <is>
          <t>0112</t>
        </is>
      </c>
      <c r="G3659" s="10" t="inlineStr">
        <is>
          <t>天神川</t>
        </is>
      </c>
      <c r="H3659" s="10" t="inlineStr">
        <is>
          <t>発</t>
        </is>
      </c>
      <c r="J3659" s="10" t="inlineStr">
        <is>
          <t>営業</t>
        </is>
      </c>
      <c r="L3659" t="inlineStr">
        <is>
          <t>13:22:50</t>
        </is>
      </c>
      <c r="M3659" t="inlineStr">
        <is>
          <t>13:23:30</t>
        </is>
      </c>
      <c r="P3659" t="inlineStr">
        <is>
          <t>B系統(終日)</t>
        </is>
      </c>
    </row>
    <row r="3660" ht="16.5" customHeight="1" s="37">
      <c r="A3660" t="n">
        <v>3</v>
      </c>
      <c r="B3660" s="10" t="inlineStr">
        <is>
          <t>休日</t>
        </is>
      </c>
      <c r="C3660" s="10" t="inlineStr">
        <is>
          <t>本線</t>
        </is>
      </c>
      <c r="D3660" s="10" t="inlineStr">
        <is>
          <t>下り</t>
        </is>
      </c>
      <c r="E3660" s="10" t="inlineStr">
        <is>
          <t>連1303</t>
        </is>
      </c>
      <c r="F3660" t="inlineStr">
        <is>
          <t>0112</t>
        </is>
      </c>
      <c r="G3660" s="10" t="inlineStr">
        <is>
          <t>蚕ノ社</t>
        </is>
      </c>
      <c r="H3660" s="10" t="inlineStr">
        <is>
          <t>発</t>
        </is>
      </c>
      <c r="J3660" s="10" t="inlineStr">
        <is>
          <t>営業</t>
        </is>
      </c>
      <c r="L3660" t="inlineStr">
        <is>
          <t>13:24:20</t>
        </is>
      </c>
      <c r="M3660" t="inlineStr">
        <is>
          <t>13:24:40</t>
        </is>
      </c>
      <c r="P3660" t="inlineStr">
        <is>
          <t>B系統(終日)</t>
        </is>
      </c>
    </row>
    <row r="3661" ht="16.5" customHeight="1" s="37">
      <c r="A3661" t="n">
        <v>3</v>
      </c>
      <c r="B3661" s="10" t="inlineStr">
        <is>
          <t>休日</t>
        </is>
      </c>
      <c r="C3661" s="10" t="inlineStr">
        <is>
          <t>本線</t>
        </is>
      </c>
      <c r="D3661" s="10" t="inlineStr">
        <is>
          <t>下り</t>
        </is>
      </c>
      <c r="E3661" s="10" t="inlineStr">
        <is>
          <t>連1303</t>
        </is>
      </c>
      <c r="F3661" t="inlineStr">
        <is>
          <t>0112</t>
        </is>
      </c>
      <c r="G3661" s="10" t="inlineStr">
        <is>
          <t>太秦広隆寺</t>
        </is>
      </c>
      <c r="H3661" s="10" t="inlineStr">
        <is>
          <t>発</t>
        </is>
      </c>
      <c r="J3661" s="10" t="inlineStr">
        <is>
          <t>営業</t>
        </is>
      </c>
      <c r="L3661" t="inlineStr">
        <is>
          <t>13:26:00</t>
        </is>
      </c>
      <c r="M3661" t="inlineStr">
        <is>
          <t>13:26:20</t>
        </is>
      </c>
      <c r="P3661" t="inlineStr">
        <is>
          <t>B系統(終日)</t>
        </is>
      </c>
    </row>
    <row r="3662" ht="16.5" customHeight="1" s="37">
      <c r="A3662" t="n">
        <v>3</v>
      </c>
      <c r="B3662" s="10" t="inlineStr">
        <is>
          <t>休日</t>
        </is>
      </c>
      <c r="C3662" s="10" t="inlineStr">
        <is>
          <t>本線</t>
        </is>
      </c>
      <c r="D3662" s="10" t="inlineStr">
        <is>
          <t>下り</t>
        </is>
      </c>
      <c r="E3662" s="10" t="inlineStr">
        <is>
          <t>連1303</t>
        </is>
      </c>
      <c r="F3662" t="inlineStr">
        <is>
          <t>0112</t>
        </is>
      </c>
      <c r="G3662" s="10" t="inlineStr">
        <is>
          <t>帷子ノ辻</t>
        </is>
      </c>
      <c r="H3662" s="10" t="inlineStr">
        <is>
          <t>発</t>
        </is>
      </c>
      <c r="J3662" s="10" t="inlineStr">
        <is>
          <t>営業</t>
        </is>
      </c>
      <c r="L3662" t="inlineStr">
        <is>
          <t>13:28:20</t>
        </is>
      </c>
      <c r="M3662" t="inlineStr">
        <is>
          <t>13:29:40</t>
        </is>
      </c>
      <c r="P3662" t="inlineStr">
        <is>
          <t>B系統(終日)</t>
        </is>
      </c>
    </row>
    <row r="3663" ht="16.5" customHeight="1" s="37">
      <c r="A3663" t="n">
        <v>3</v>
      </c>
      <c r="B3663" s="10" t="inlineStr">
        <is>
          <t>休日</t>
        </is>
      </c>
      <c r="C3663" s="10" t="inlineStr">
        <is>
          <t>本線</t>
        </is>
      </c>
      <c r="D3663" s="10" t="inlineStr">
        <is>
          <t>下り</t>
        </is>
      </c>
      <c r="E3663" s="10" t="inlineStr">
        <is>
          <t>連1303</t>
        </is>
      </c>
      <c r="F3663" t="inlineStr">
        <is>
          <t>0112</t>
        </is>
      </c>
      <c r="G3663" s="10" t="inlineStr">
        <is>
          <t>有栖川</t>
        </is>
      </c>
      <c r="H3663" s="10" t="inlineStr">
        <is>
          <t>発</t>
        </is>
      </c>
      <c r="J3663" s="10" t="inlineStr">
        <is>
          <t>営業</t>
        </is>
      </c>
      <c r="L3663" t="inlineStr">
        <is>
          <t>13:30:50</t>
        </is>
      </c>
      <c r="M3663" t="inlineStr">
        <is>
          <t>13:31:15</t>
        </is>
      </c>
      <c r="P3663" t="inlineStr">
        <is>
          <t>B系統(終日)</t>
        </is>
      </c>
    </row>
    <row r="3664" ht="16.5" customHeight="1" s="37">
      <c r="A3664" t="n">
        <v>3</v>
      </c>
      <c r="B3664" s="10" t="inlineStr">
        <is>
          <t>休日</t>
        </is>
      </c>
      <c r="C3664" s="10" t="inlineStr">
        <is>
          <t>本線</t>
        </is>
      </c>
      <c r="D3664" s="10" t="inlineStr">
        <is>
          <t>下り</t>
        </is>
      </c>
      <c r="E3664" s="10" t="inlineStr">
        <is>
          <t>連1303</t>
        </is>
      </c>
      <c r="F3664" t="inlineStr">
        <is>
          <t>0112</t>
        </is>
      </c>
      <c r="G3664" s="10" t="inlineStr">
        <is>
          <t>車折</t>
        </is>
      </c>
      <c r="H3664" s="10" t="inlineStr">
        <is>
          <t>発</t>
        </is>
      </c>
      <c r="J3664" s="10" t="inlineStr">
        <is>
          <t>営業</t>
        </is>
      </c>
      <c r="L3664" t="inlineStr">
        <is>
          <t>13:32:40</t>
        </is>
      </c>
      <c r="M3664" t="inlineStr">
        <is>
          <t>13:33:05</t>
        </is>
      </c>
      <c r="P3664" t="inlineStr">
        <is>
          <t>B系統(終日)</t>
        </is>
      </c>
    </row>
    <row r="3665" ht="16.5" customHeight="1" s="37">
      <c r="A3665" t="n">
        <v>3</v>
      </c>
      <c r="B3665" s="10" t="inlineStr">
        <is>
          <t>休日</t>
        </is>
      </c>
      <c r="C3665" s="10" t="inlineStr">
        <is>
          <t>本線</t>
        </is>
      </c>
      <c r="D3665" s="10" t="inlineStr">
        <is>
          <t>下り</t>
        </is>
      </c>
      <c r="E3665" s="10" t="inlineStr">
        <is>
          <t>連1303</t>
        </is>
      </c>
      <c r="F3665" t="inlineStr">
        <is>
          <t>0112</t>
        </is>
      </c>
      <c r="G3665" s="10" t="inlineStr">
        <is>
          <t>鹿王院</t>
        </is>
      </c>
      <c r="H3665" s="10" t="inlineStr">
        <is>
          <t>発</t>
        </is>
      </c>
      <c r="J3665" s="10" t="inlineStr">
        <is>
          <t>営業</t>
        </is>
      </c>
      <c r="L3665" t="inlineStr">
        <is>
          <t>13:34:00</t>
        </is>
      </c>
      <c r="M3665" t="inlineStr">
        <is>
          <t>13:34:25</t>
        </is>
      </c>
      <c r="P3665" t="inlineStr">
        <is>
          <t>B系統(終日)</t>
        </is>
      </c>
    </row>
    <row r="3666" ht="16.5" customHeight="1" s="37">
      <c r="A3666" t="n">
        <v>3</v>
      </c>
      <c r="B3666" s="10" t="inlineStr">
        <is>
          <t>休日</t>
        </is>
      </c>
      <c r="C3666" s="10" t="inlineStr">
        <is>
          <t>本線</t>
        </is>
      </c>
      <c r="D3666" s="10" t="inlineStr">
        <is>
          <t>下り</t>
        </is>
      </c>
      <c r="E3666" s="10" t="inlineStr">
        <is>
          <t>連1303</t>
        </is>
      </c>
      <c r="F3666" t="inlineStr">
        <is>
          <t>0112</t>
        </is>
      </c>
      <c r="G3666" s="10" t="inlineStr">
        <is>
          <t>嵯峨</t>
        </is>
      </c>
      <c r="H3666" s="10" t="inlineStr">
        <is>
          <t>発</t>
        </is>
      </c>
      <c r="J3666" s="10" t="inlineStr">
        <is>
          <t>営業</t>
        </is>
      </c>
      <c r="L3666" t="inlineStr">
        <is>
          <t>13:35:30</t>
        </is>
      </c>
      <c r="M3666" t="inlineStr">
        <is>
          <t>13:35:55</t>
        </is>
      </c>
      <c r="P3666" t="inlineStr">
        <is>
          <t>B系統(終日)</t>
        </is>
      </c>
    </row>
    <row r="3667" ht="16.5" customHeight="1" s="37">
      <c r="A3667" t="n">
        <v>3</v>
      </c>
      <c r="B3667" s="10" t="inlineStr">
        <is>
          <t>休日</t>
        </is>
      </c>
      <c r="C3667" s="10" t="inlineStr">
        <is>
          <t>本線</t>
        </is>
      </c>
      <c r="D3667" s="10" t="inlineStr">
        <is>
          <t>下り</t>
        </is>
      </c>
      <c r="E3667" s="10" t="inlineStr">
        <is>
          <t>連1303</t>
        </is>
      </c>
      <c r="F3667" t="inlineStr">
        <is>
          <t>0112</t>
        </is>
      </c>
      <c r="G3667" s="10" t="inlineStr">
        <is>
          <t>嵐山</t>
        </is>
      </c>
      <c r="H3667" s="10" t="inlineStr">
        <is>
          <t>着</t>
        </is>
      </c>
      <c r="J3667" s="10" t="inlineStr">
        <is>
          <t>営業</t>
        </is>
      </c>
      <c r="L3667" t="inlineStr">
        <is>
          <t>13:37:00</t>
        </is>
      </c>
      <c r="P3667" t="inlineStr">
        <is>
          <t>B系統(終日)</t>
        </is>
      </c>
      <c r="Q3667" t="inlineStr">
        <is>
          <t>1</t>
        </is>
      </c>
    </row>
    <row r="3668" ht="16.5" customHeight="1" s="37">
      <c r="A3668" t="n">
        <v>3</v>
      </c>
      <c r="B3668" s="10" t="inlineStr">
        <is>
          <t>休日</t>
        </is>
      </c>
      <c r="C3668" s="10" t="inlineStr">
        <is>
          <t>本線</t>
        </is>
      </c>
      <c r="D3668" s="10" t="inlineStr">
        <is>
          <t>上り</t>
        </is>
      </c>
      <c r="E3668" s="10" t="inlineStr">
        <is>
          <t>連1310</t>
        </is>
      </c>
      <c r="F3668" t="inlineStr">
        <is>
          <t>0211</t>
        </is>
      </c>
      <c r="G3668" s="10" t="inlineStr">
        <is>
          <t>嵐山</t>
        </is>
      </c>
      <c r="H3668" s="10" t="inlineStr">
        <is>
          <t>発</t>
        </is>
      </c>
      <c r="J3668" s="10" t="inlineStr">
        <is>
          <t>営業</t>
        </is>
      </c>
      <c r="M3668" t="inlineStr">
        <is>
          <t>13:43:00</t>
        </is>
      </c>
      <c r="P3668" t="inlineStr">
        <is>
          <t>B系統(終日)</t>
        </is>
      </c>
      <c r="Q3668" t="inlineStr">
        <is>
          <t>1</t>
        </is>
      </c>
    </row>
    <row r="3669" ht="16.5" customHeight="1" s="37">
      <c r="A3669" t="n">
        <v>3</v>
      </c>
      <c r="B3669" s="10" t="inlineStr">
        <is>
          <t>休日</t>
        </is>
      </c>
      <c r="C3669" s="10" t="inlineStr">
        <is>
          <t>本線</t>
        </is>
      </c>
      <c r="D3669" s="10" t="inlineStr">
        <is>
          <t>上り</t>
        </is>
      </c>
      <c r="E3669" s="10" t="inlineStr">
        <is>
          <t>連1310</t>
        </is>
      </c>
      <c r="F3669" t="inlineStr">
        <is>
          <t>0211</t>
        </is>
      </c>
      <c r="G3669" s="10" t="inlineStr">
        <is>
          <t>嵯峨</t>
        </is>
      </c>
      <c r="H3669" s="10" t="inlineStr">
        <is>
          <t>発</t>
        </is>
      </c>
      <c r="J3669" s="10" t="inlineStr">
        <is>
          <t>営業</t>
        </is>
      </c>
      <c r="L3669" t="inlineStr">
        <is>
          <t>13:43:55</t>
        </is>
      </c>
      <c r="M3669" t="inlineStr">
        <is>
          <t>13:44:20</t>
        </is>
      </c>
      <c r="P3669" t="inlineStr">
        <is>
          <t>B系統(終日)</t>
        </is>
      </c>
    </row>
    <row r="3670" ht="16.5" customHeight="1" s="37">
      <c r="A3670" t="n">
        <v>3</v>
      </c>
      <c r="B3670" s="10" t="inlineStr">
        <is>
          <t>休日</t>
        </is>
      </c>
      <c r="C3670" s="10" t="inlineStr">
        <is>
          <t>本線</t>
        </is>
      </c>
      <c r="D3670" s="10" t="inlineStr">
        <is>
          <t>上り</t>
        </is>
      </c>
      <c r="E3670" s="10" t="inlineStr">
        <is>
          <t>連1310</t>
        </is>
      </c>
      <c r="F3670" t="inlineStr">
        <is>
          <t>0211</t>
        </is>
      </c>
      <c r="G3670" s="10" t="inlineStr">
        <is>
          <t>鹿王院</t>
        </is>
      </c>
      <c r="H3670" s="10" t="inlineStr">
        <is>
          <t>発</t>
        </is>
      </c>
      <c r="J3670" s="10" t="inlineStr">
        <is>
          <t>営業</t>
        </is>
      </c>
      <c r="L3670" t="inlineStr">
        <is>
          <t>13:45:25</t>
        </is>
      </c>
      <c r="M3670" t="inlineStr">
        <is>
          <t>13:45:45</t>
        </is>
      </c>
      <c r="P3670" t="inlineStr">
        <is>
          <t>B系統(終日)</t>
        </is>
      </c>
    </row>
    <row r="3671" ht="16.5" customHeight="1" s="37">
      <c r="A3671" t="n">
        <v>3</v>
      </c>
      <c r="B3671" s="10" t="inlineStr">
        <is>
          <t>休日</t>
        </is>
      </c>
      <c r="C3671" s="10" t="inlineStr">
        <is>
          <t>本線</t>
        </is>
      </c>
      <c r="D3671" s="10" t="inlineStr">
        <is>
          <t>上り</t>
        </is>
      </c>
      <c r="E3671" s="10" t="inlineStr">
        <is>
          <t>連1310</t>
        </is>
      </c>
      <c r="F3671" t="inlineStr">
        <is>
          <t>0211</t>
        </is>
      </c>
      <c r="G3671" s="10" t="inlineStr">
        <is>
          <t>車折</t>
        </is>
      </c>
      <c r="H3671" s="10" t="inlineStr">
        <is>
          <t>発</t>
        </is>
      </c>
      <c r="J3671" s="10" t="inlineStr">
        <is>
          <t>営業</t>
        </is>
      </c>
      <c r="L3671" t="inlineStr">
        <is>
          <t>13:46:40</t>
        </is>
      </c>
      <c r="M3671" t="inlineStr">
        <is>
          <t>13:47:10</t>
        </is>
      </c>
      <c r="P3671" t="inlineStr">
        <is>
          <t>B系統(終日)</t>
        </is>
      </c>
    </row>
    <row r="3672" ht="16.5" customHeight="1" s="37">
      <c r="A3672" t="n">
        <v>3</v>
      </c>
      <c r="B3672" s="10" t="inlineStr">
        <is>
          <t>休日</t>
        </is>
      </c>
      <c r="C3672" s="10" t="inlineStr">
        <is>
          <t>本線</t>
        </is>
      </c>
      <c r="D3672" s="10" t="inlineStr">
        <is>
          <t>上り</t>
        </is>
      </c>
      <c r="E3672" s="10" t="inlineStr">
        <is>
          <t>連1310</t>
        </is>
      </c>
      <c r="F3672" t="inlineStr">
        <is>
          <t>0211</t>
        </is>
      </c>
      <c r="G3672" s="10" t="inlineStr">
        <is>
          <t>有栖川</t>
        </is>
      </c>
      <c r="H3672" s="10" t="inlineStr">
        <is>
          <t>発</t>
        </is>
      </c>
      <c r="J3672" s="10" t="inlineStr">
        <is>
          <t>営業</t>
        </is>
      </c>
      <c r="L3672" t="inlineStr">
        <is>
          <t>13:48:35</t>
        </is>
      </c>
      <c r="M3672" t="inlineStr">
        <is>
          <t>13:48:55</t>
        </is>
      </c>
      <c r="P3672" t="inlineStr">
        <is>
          <t>B系統(終日)</t>
        </is>
      </c>
    </row>
    <row r="3673" ht="16.5" customHeight="1" s="37">
      <c r="A3673" t="n">
        <v>3</v>
      </c>
      <c r="B3673" s="10" t="inlineStr">
        <is>
          <t>休日</t>
        </is>
      </c>
      <c r="C3673" s="10" t="inlineStr">
        <is>
          <t>本線</t>
        </is>
      </c>
      <c r="D3673" s="10" t="inlineStr">
        <is>
          <t>上り</t>
        </is>
      </c>
      <c r="E3673" s="10" t="inlineStr">
        <is>
          <t>連1310</t>
        </is>
      </c>
      <c r="F3673" t="inlineStr">
        <is>
          <t>0211</t>
        </is>
      </c>
      <c r="G3673" s="10" t="inlineStr">
        <is>
          <t>帷子ノ辻</t>
        </is>
      </c>
      <c r="H3673" s="10" t="inlineStr">
        <is>
          <t>発</t>
        </is>
      </c>
      <c r="J3673" s="10" t="inlineStr">
        <is>
          <t>営業</t>
        </is>
      </c>
      <c r="L3673" t="inlineStr">
        <is>
          <t>13:50:10</t>
        </is>
      </c>
      <c r="M3673" t="inlineStr">
        <is>
          <t>13:51:15</t>
        </is>
      </c>
      <c r="P3673" t="inlineStr">
        <is>
          <t>B系統(終日)</t>
        </is>
      </c>
    </row>
    <row r="3674" ht="16.5" customHeight="1" s="37">
      <c r="A3674" t="n">
        <v>3</v>
      </c>
      <c r="B3674" s="10" t="inlineStr">
        <is>
          <t>休日</t>
        </is>
      </c>
      <c r="C3674" s="10" t="inlineStr">
        <is>
          <t>本線</t>
        </is>
      </c>
      <c r="D3674" s="10" t="inlineStr">
        <is>
          <t>上り</t>
        </is>
      </c>
      <c r="E3674" s="10" t="inlineStr">
        <is>
          <t>連1310</t>
        </is>
      </c>
      <c r="F3674" t="inlineStr">
        <is>
          <t>0211</t>
        </is>
      </c>
      <c r="G3674" s="10" t="inlineStr">
        <is>
          <t>太秦広隆寺</t>
        </is>
      </c>
      <c r="H3674" s="10" t="inlineStr">
        <is>
          <t>発</t>
        </is>
      </c>
      <c r="J3674" s="10" t="inlineStr">
        <is>
          <t>営業</t>
        </is>
      </c>
      <c r="L3674" t="inlineStr">
        <is>
          <t>13:53:25</t>
        </is>
      </c>
      <c r="M3674" t="inlineStr">
        <is>
          <t>13:53:45</t>
        </is>
      </c>
      <c r="P3674" t="inlineStr">
        <is>
          <t>B系統(終日)</t>
        </is>
      </c>
    </row>
    <row r="3675" ht="16.5" customHeight="1" s="37">
      <c r="A3675" t="n">
        <v>3</v>
      </c>
      <c r="B3675" s="10" t="inlineStr">
        <is>
          <t>休日</t>
        </is>
      </c>
      <c r="C3675" s="10" t="inlineStr">
        <is>
          <t>本線</t>
        </is>
      </c>
      <c r="D3675" s="10" t="inlineStr">
        <is>
          <t>上り</t>
        </is>
      </c>
      <c r="E3675" s="10" t="inlineStr">
        <is>
          <t>連1310</t>
        </is>
      </c>
      <c r="F3675" t="inlineStr">
        <is>
          <t>0211</t>
        </is>
      </c>
      <c r="G3675" s="10" t="inlineStr">
        <is>
          <t>蚕ノ社</t>
        </is>
      </c>
      <c r="H3675" s="10" t="inlineStr">
        <is>
          <t>発</t>
        </is>
      </c>
      <c r="J3675" s="10" t="inlineStr">
        <is>
          <t>営業</t>
        </is>
      </c>
      <c r="L3675" t="inlineStr">
        <is>
          <t>13:55:00</t>
        </is>
      </c>
      <c r="M3675" t="inlineStr">
        <is>
          <t>13:55:20</t>
        </is>
      </c>
      <c r="P3675" t="inlineStr">
        <is>
          <t>B系統(終日)</t>
        </is>
      </c>
    </row>
    <row r="3676" ht="16.5" customHeight="1" s="37">
      <c r="A3676" t="n">
        <v>3</v>
      </c>
      <c r="B3676" s="10" t="inlineStr">
        <is>
          <t>休日</t>
        </is>
      </c>
      <c r="C3676" s="10" t="inlineStr">
        <is>
          <t>本線</t>
        </is>
      </c>
      <c r="D3676" s="10" t="inlineStr">
        <is>
          <t>上り</t>
        </is>
      </c>
      <c r="E3676" s="10" t="inlineStr">
        <is>
          <t>連1310</t>
        </is>
      </c>
      <c r="F3676" t="inlineStr">
        <is>
          <t>0211</t>
        </is>
      </c>
      <c r="G3676" s="10" t="inlineStr">
        <is>
          <t>天神川</t>
        </is>
      </c>
      <c r="H3676" s="10" t="inlineStr">
        <is>
          <t>発</t>
        </is>
      </c>
      <c r="J3676" s="10" t="inlineStr">
        <is>
          <t>営業</t>
        </is>
      </c>
      <c r="L3676" t="inlineStr">
        <is>
          <t>13:56:05</t>
        </is>
      </c>
      <c r="M3676" t="inlineStr">
        <is>
          <t>13:56:50</t>
        </is>
      </c>
      <c r="P3676" t="inlineStr">
        <is>
          <t>B系統(終日)</t>
        </is>
      </c>
    </row>
    <row r="3677" ht="16.5" customHeight="1" s="37">
      <c r="A3677" t="n">
        <v>3</v>
      </c>
      <c r="B3677" s="10" t="inlineStr">
        <is>
          <t>休日</t>
        </is>
      </c>
      <c r="C3677" s="10" t="inlineStr">
        <is>
          <t>本線</t>
        </is>
      </c>
      <c r="D3677" s="10" t="inlineStr">
        <is>
          <t>上り</t>
        </is>
      </c>
      <c r="E3677" s="10" t="inlineStr">
        <is>
          <t>連1310</t>
        </is>
      </c>
      <c r="F3677" t="inlineStr">
        <is>
          <t>0211</t>
        </is>
      </c>
      <c r="G3677" s="10" t="inlineStr">
        <is>
          <t>山ノ内</t>
        </is>
      </c>
      <c r="H3677" s="10" t="inlineStr">
        <is>
          <t>発</t>
        </is>
      </c>
      <c r="J3677" s="10" t="inlineStr">
        <is>
          <t>営業</t>
        </is>
      </c>
      <c r="L3677" t="inlineStr">
        <is>
          <t>13:58:40</t>
        </is>
      </c>
      <c r="M3677" t="inlineStr">
        <is>
          <t>13:59:05</t>
        </is>
      </c>
      <c r="P3677" t="inlineStr">
        <is>
          <t>B系統(終日)</t>
        </is>
      </c>
    </row>
    <row r="3678" ht="16.5" customHeight="1" s="37">
      <c r="A3678" t="n">
        <v>3</v>
      </c>
      <c r="B3678" s="10" t="inlineStr">
        <is>
          <t>休日</t>
        </is>
      </c>
      <c r="C3678" s="10" t="inlineStr">
        <is>
          <t>本線</t>
        </is>
      </c>
      <c r="D3678" s="10" t="inlineStr">
        <is>
          <t>上り</t>
        </is>
      </c>
      <c r="E3678" s="10" t="inlineStr">
        <is>
          <t>連1310</t>
        </is>
      </c>
      <c r="F3678" t="inlineStr">
        <is>
          <t>0211</t>
        </is>
      </c>
      <c r="G3678" s="10" t="inlineStr">
        <is>
          <t>西大路三条</t>
        </is>
      </c>
      <c r="H3678" s="10" t="inlineStr">
        <is>
          <t>発</t>
        </is>
      </c>
      <c r="J3678" s="10" t="inlineStr">
        <is>
          <t>営業</t>
        </is>
      </c>
      <c r="L3678" t="inlineStr">
        <is>
          <t>14:00:55</t>
        </is>
      </c>
      <c r="M3678" t="inlineStr">
        <is>
          <t>14:01:15</t>
        </is>
      </c>
      <c r="P3678" t="inlineStr">
        <is>
          <t>B系統(終日)</t>
        </is>
      </c>
    </row>
    <row r="3679" ht="16.5" customHeight="1" s="37">
      <c r="A3679" t="n">
        <v>3</v>
      </c>
      <c r="B3679" s="10" t="inlineStr">
        <is>
          <t>休日</t>
        </is>
      </c>
      <c r="C3679" s="10" t="inlineStr">
        <is>
          <t>本線</t>
        </is>
      </c>
      <c r="D3679" s="10" t="inlineStr">
        <is>
          <t>上り</t>
        </is>
      </c>
      <c r="E3679" s="10" t="inlineStr">
        <is>
          <t>連1310</t>
        </is>
      </c>
      <c r="F3679" t="inlineStr">
        <is>
          <t>0211</t>
        </is>
      </c>
      <c r="G3679" s="10" t="inlineStr">
        <is>
          <t>西院</t>
        </is>
      </c>
      <c r="H3679" s="10" t="inlineStr">
        <is>
          <t>発</t>
        </is>
      </c>
      <c r="J3679" s="10" t="inlineStr">
        <is>
          <t>営業</t>
        </is>
      </c>
      <c r="L3679" t="inlineStr">
        <is>
          <t>14:03:10</t>
        </is>
      </c>
      <c r="M3679" t="inlineStr">
        <is>
          <t>14:04:05</t>
        </is>
      </c>
      <c r="P3679" t="inlineStr">
        <is>
          <t>B系統(終日)</t>
        </is>
      </c>
    </row>
    <row r="3680" ht="16.5" customHeight="1" s="37">
      <c r="A3680" t="n">
        <v>3</v>
      </c>
      <c r="B3680" s="10" t="inlineStr">
        <is>
          <t>休日</t>
        </is>
      </c>
      <c r="C3680" s="10" t="inlineStr">
        <is>
          <t>本線</t>
        </is>
      </c>
      <c r="D3680" s="10" t="inlineStr">
        <is>
          <t>上り</t>
        </is>
      </c>
      <c r="E3680" s="10" t="inlineStr">
        <is>
          <t>連1310</t>
        </is>
      </c>
      <c r="F3680" t="inlineStr">
        <is>
          <t>0211</t>
        </is>
      </c>
      <c r="G3680" s="10" t="inlineStr">
        <is>
          <t>四条大宮</t>
        </is>
      </c>
      <c r="H3680" s="10" t="inlineStr">
        <is>
          <t>着</t>
        </is>
      </c>
      <c r="J3680" s="10" t="inlineStr">
        <is>
          <t>営業</t>
        </is>
      </c>
      <c r="L3680" t="inlineStr">
        <is>
          <t>14:07:00</t>
        </is>
      </c>
      <c r="P3680" t="inlineStr">
        <is>
          <t>B系統(終日)</t>
        </is>
      </c>
      <c r="Q3680" t="inlineStr">
        <is>
          <t>1</t>
        </is>
      </c>
    </row>
    <row r="3681" ht="16.5" customHeight="1" s="37">
      <c r="A3681" t="n">
        <v>3</v>
      </c>
      <c r="B3681" s="10" t="inlineStr">
        <is>
          <t>休日</t>
        </is>
      </c>
      <c r="C3681" s="10" t="inlineStr">
        <is>
          <t>本線</t>
        </is>
      </c>
      <c r="D3681" s="10" t="inlineStr">
        <is>
          <t>下り</t>
        </is>
      </c>
      <c r="E3681" s="10" t="inlineStr">
        <is>
          <t>連1403</t>
        </is>
      </c>
      <c r="F3681" t="inlineStr">
        <is>
          <t>0112</t>
        </is>
      </c>
      <c r="G3681" s="10" t="inlineStr">
        <is>
          <t>四条大宮</t>
        </is>
      </c>
      <c r="H3681" s="10" t="inlineStr">
        <is>
          <t>発</t>
        </is>
      </c>
      <c r="J3681" s="10" t="inlineStr">
        <is>
          <t>営業</t>
        </is>
      </c>
      <c r="M3681" t="inlineStr">
        <is>
          <t>14:13:00</t>
        </is>
      </c>
      <c r="P3681" t="inlineStr">
        <is>
          <t>B系統(終日)</t>
        </is>
      </c>
      <c r="Q3681" t="inlineStr">
        <is>
          <t>1</t>
        </is>
      </c>
    </row>
    <row r="3682" ht="16.5" customHeight="1" s="37">
      <c r="A3682" t="n">
        <v>3</v>
      </c>
      <c r="B3682" s="10" t="inlineStr">
        <is>
          <t>休日</t>
        </is>
      </c>
      <c r="C3682" s="10" t="inlineStr">
        <is>
          <t>本線</t>
        </is>
      </c>
      <c r="D3682" s="10" t="inlineStr">
        <is>
          <t>下り</t>
        </is>
      </c>
      <c r="E3682" s="10" t="inlineStr">
        <is>
          <t>連1403</t>
        </is>
      </c>
      <c r="F3682" t="inlineStr">
        <is>
          <t>0112</t>
        </is>
      </c>
      <c r="G3682" s="10" t="inlineStr">
        <is>
          <t>西院</t>
        </is>
      </c>
      <c r="H3682" s="10" t="inlineStr">
        <is>
          <t>着</t>
        </is>
      </c>
      <c r="J3682" s="10" t="inlineStr">
        <is>
          <t>営業</t>
        </is>
      </c>
      <c r="L3682" t="inlineStr">
        <is>
          <t>14:15:50</t>
        </is>
      </c>
      <c r="M3682" t="inlineStr">
        <is>
          <t>14:16:20</t>
        </is>
      </c>
      <c r="P3682" t="inlineStr">
        <is>
          <t>B系統(終日)</t>
        </is>
      </c>
      <c r="T3682" t="inlineStr">
        <is>
          <t>○</t>
        </is>
      </c>
    </row>
    <row r="3683" ht="16.5" customHeight="1" s="37">
      <c r="A3683" t="n">
        <v>4</v>
      </c>
      <c r="B3683" s="10" t="inlineStr">
        <is>
          <t>休日</t>
        </is>
      </c>
      <c r="C3683" s="10" t="inlineStr">
        <is>
          <t>本線</t>
        </is>
      </c>
      <c r="D3683" s="10" t="inlineStr">
        <is>
          <t>下り</t>
        </is>
      </c>
      <c r="E3683" t="inlineStr">
        <is>
          <t>0603</t>
        </is>
      </c>
      <c r="F3683" t="inlineStr">
        <is>
          <t>0102</t>
        </is>
      </c>
      <c r="G3683" s="10" t="inlineStr">
        <is>
          <t>四条大宮</t>
        </is>
      </c>
      <c r="H3683" s="10" t="inlineStr">
        <is>
          <t>発</t>
        </is>
      </c>
      <c r="J3683" s="10" t="inlineStr">
        <is>
          <t>営業</t>
        </is>
      </c>
      <c r="M3683" t="inlineStr">
        <is>
          <t>6:10:00</t>
        </is>
      </c>
      <c r="Q3683" t="inlineStr">
        <is>
          <t>1</t>
        </is>
      </c>
    </row>
    <row r="3684" ht="16.5" customHeight="1" s="37">
      <c r="A3684" t="n">
        <v>4</v>
      </c>
      <c r="B3684" s="10" t="inlineStr">
        <is>
          <t>休日</t>
        </is>
      </c>
      <c r="C3684" s="10" t="inlineStr">
        <is>
          <t>本線</t>
        </is>
      </c>
      <c r="D3684" s="10" t="inlineStr">
        <is>
          <t>下り</t>
        </is>
      </c>
      <c r="E3684" t="inlineStr">
        <is>
          <t>0603</t>
        </is>
      </c>
      <c r="F3684" t="inlineStr">
        <is>
          <t>0102</t>
        </is>
      </c>
      <c r="G3684" s="10" t="inlineStr">
        <is>
          <t>西院</t>
        </is>
      </c>
      <c r="H3684" s="10" t="inlineStr">
        <is>
          <t>発</t>
        </is>
      </c>
      <c r="J3684" s="10" t="inlineStr">
        <is>
          <t>営業</t>
        </is>
      </c>
      <c r="L3684" t="inlineStr">
        <is>
          <t>6:12:50</t>
        </is>
      </c>
      <c r="M3684" t="inlineStr">
        <is>
          <t>6:13:20</t>
        </is>
      </c>
    </row>
    <row r="3685" ht="16.5" customHeight="1" s="37">
      <c r="A3685" t="n">
        <v>4</v>
      </c>
      <c r="B3685" s="10" t="inlineStr">
        <is>
          <t>休日</t>
        </is>
      </c>
      <c r="C3685" s="10" t="inlineStr">
        <is>
          <t>本線</t>
        </is>
      </c>
      <c r="D3685" s="10" t="inlineStr">
        <is>
          <t>下り</t>
        </is>
      </c>
      <c r="E3685" t="inlineStr">
        <is>
          <t>0603</t>
        </is>
      </c>
      <c r="F3685" t="inlineStr">
        <is>
          <t>0102</t>
        </is>
      </c>
      <c r="G3685" s="10" t="inlineStr">
        <is>
          <t>西大路三条</t>
        </is>
      </c>
      <c r="H3685" s="10" t="inlineStr">
        <is>
          <t>発</t>
        </is>
      </c>
      <c r="J3685" s="10" t="inlineStr">
        <is>
          <t>営業</t>
        </is>
      </c>
      <c r="L3685" t="inlineStr">
        <is>
          <t>6:15:10</t>
        </is>
      </c>
      <c r="M3685" t="inlineStr">
        <is>
          <t>6:15:25</t>
        </is>
      </c>
    </row>
    <row r="3686" ht="16.5" customHeight="1" s="37">
      <c r="A3686" t="n">
        <v>4</v>
      </c>
      <c r="B3686" s="10" t="inlineStr">
        <is>
          <t>休日</t>
        </is>
      </c>
      <c r="C3686" s="10" t="inlineStr">
        <is>
          <t>本線</t>
        </is>
      </c>
      <c r="D3686" s="10" t="inlineStr">
        <is>
          <t>下り</t>
        </is>
      </c>
      <c r="E3686" t="inlineStr">
        <is>
          <t>0603</t>
        </is>
      </c>
      <c r="F3686" t="inlineStr">
        <is>
          <t>0102</t>
        </is>
      </c>
      <c r="G3686" s="10" t="inlineStr">
        <is>
          <t>山ノ内</t>
        </is>
      </c>
      <c r="H3686" s="10" t="inlineStr">
        <is>
          <t>発</t>
        </is>
      </c>
      <c r="J3686" s="10" t="inlineStr">
        <is>
          <t>営業</t>
        </is>
      </c>
      <c r="L3686" t="inlineStr">
        <is>
          <t>6:17:20</t>
        </is>
      </c>
      <c r="M3686" t="inlineStr">
        <is>
          <t>6:17:45</t>
        </is>
      </c>
    </row>
    <row r="3687" ht="16.5" customHeight="1" s="37">
      <c r="A3687" t="n">
        <v>4</v>
      </c>
      <c r="B3687" s="10" t="inlineStr">
        <is>
          <t>休日</t>
        </is>
      </c>
      <c r="C3687" s="10" t="inlineStr">
        <is>
          <t>本線</t>
        </is>
      </c>
      <c r="D3687" s="10" t="inlineStr">
        <is>
          <t>下り</t>
        </is>
      </c>
      <c r="E3687" t="inlineStr">
        <is>
          <t>0603</t>
        </is>
      </c>
      <c r="F3687" t="inlineStr">
        <is>
          <t>0102</t>
        </is>
      </c>
      <c r="G3687" s="10" t="inlineStr">
        <is>
          <t>天神川</t>
        </is>
      </c>
      <c r="H3687" s="10" t="inlineStr">
        <is>
          <t>発</t>
        </is>
      </c>
      <c r="J3687" s="10" t="inlineStr">
        <is>
          <t>営業</t>
        </is>
      </c>
      <c r="L3687" t="inlineStr">
        <is>
          <t>6:19:45</t>
        </is>
      </c>
      <c r="M3687" t="inlineStr">
        <is>
          <t>6:20:10</t>
        </is>
      </c>
    </row>
    <row r="3688" ht="16.5" customHeight="1" s="37">
      <c r="A3688" t="n">
        <v>4</v>
      </c>
      <c r="B3688" s="10" t="inlineStr">
        <is>
          <t>休日</t>
        </is>
      </c>
      <c r="C3688" s="10" t="inlineStr">
        <is>
          <t>本線</t>
        </is>
      </c>
      <c r="D3688" s="10" t="inlineStr">
        <is>
          <t>下り</t>
        </is>
      </c>
      <c r="E3688" t="inlineStr">
        <is>
          <t>0603</t>
        </is>
      </c>
      <c r="F3688" t="inlineStr">
        <is>
          <t>0102</t>
        </is>
      </c>
      <c r="G3688" s="10" t="inlineStr">
        <is>
          <t>蚕ノ社</t>
        </is>
      </c>
      <c r="H3688" s="10" t="inlineStr">
        <is>
          <t>発</t>
        </is>
      </c>
      <c r="J3688" s="10" t="inlineStr">
        <is>
          <t>営業</t>
        </is>
      </c>
      <c r="L3688" t="inlineStr">
        <is>
          <t>6:21:00</t>
        </is>
      </c>
      <c r="M3688" t="inlineStr">
        <is>
          <t>6:21:15</t>
        </is>
      </c>
    </row>
    <row r="3689" ht="16.5" customHeight="1" s="37">
      <c r="A3689" t="n">
        <v>4</v>
      </c>
      <c r="B3689" s="10" t="inlineStr">
        <is>
          <t>休日</t>
        </is>
      </c>
      <c r="C3689" s="10" t="inlineStr">
        <is>
          <t>本線</t>
        </is>
      </c>
      <c r="D3689" s="10" t="inlineStr">
        <is>
          <t>下り</t>
        </is>
      </c>
      <c r="E3689" t="inlineStr">
        <is>
          <t>0603</t>
        </is>
      </c>
      <c r="F3689" t="inlineStr">
        <is>
          <t>0102</t>
        </is>
      </c>
      <c r="G3689" s="10" t="inlineStr">
        <is>
          <t>太秦広隆寺</t>
        </is>
      </c>
      <c r="H3689" s="10" t="inlineStr">
        <is>
          <t>発</t>
        </is>
      </c>
      <c r="J3689" s="10" t="inlineStr">
        <is>
          <t>営業</t>
        </is>
      </c>
      <c r="L3689" t="inlineStr">
        <is>
          <t>6:22:35</t>
        </is>
      </c>
      <c r="M3689" t="inlineStr">
        <is>
          <t>6:22:50</t>
        </is>
      </c>
    </row>
    <row r="3690" ht="16.5" customHeight="1" s="37">
      <c r="A3690" t="n">
        <v>4</v>
      </c>
      <c r="B3690" s="10" t="inlineStr">
        <is>
          <t>休日</t>
        </is>
      </c>
      <c r="C3690" s="10" t="inlineStr">
        <is>
          <t>本線</t>
        </is>
      </c>
      <c r="D3690" s="10" t="inlineStr">
        <is>
          <t>下り</t>
        </is>
      </c>
      <c r="E3690" t="inlineStr">
        <is>
          <t>0603</t>
        </is>
      </c>
      <c r="F3690" t="inlineStr">
        <is>
          <t>0102</t>
        </is>
      </c>
      <c r="G3690" s="10" t="inlineStr">
        <is>
          <t>帷子ノ辻</t>
        </is>
      </c>
      <c r="H3690" s="10" t="inlineStr">
        <is>
          <t>発</t>
        </is>
      </c>
      <c r="J3690" s="10" t="inlineStr">
        <is>
          <t>営業</t>
        </is>
      </c>
      <c r="L3690" t="inlineStr">
        <is>
          <t>6:24:50</t>
        </is>
      </c>
      <c r="M3690" t="inlineStr">
        <is>
          <t>6:25:20</t>
        </is>
      </c>
      <c r="N3690" t="inlineStr">
        <is>
          <t>○</t>
        </is>
      </c>
    </row>
    <row r="3691" ht="16.5" customHeight="1" s="37">
      <c r="A3691" t="n">
        <v>4</v>
      </c>
      <c r="B3691" s="10" t="inlineStr">
        <is>
          <t>休日</t>
        </is>
      </c>
      <c r="C3691" s="10" t="inlineStr">
        <is>
          <t>本線</t>
        </is>
      </c>
      <c r="D3691" s="10" t="inlineStr">
        <is>
          <t>下り</t>
        </is>
      </c>
      <c r="E3691" t="inlineStr">
        <is>
          <t>0603</t>
        </is>
      </c>
      <c r="F3691" t="inlineStr">
        <is>
          <t>0102</t>
        </is>
      </c>
      <c r="G3691" s="10" t="inlineStr">
        <is>
          <t>有栖川</t>
        </is>
      </c>
      <c r="H3691" s="10" t="inlineStr">
        <is>
          <t>発</t>
        </is>
      </c>
      <c r="J3691" s="10" t="inlineStr">
        <is>
          <t>営業</t>
        </is>
      </c>
      <c r="L3691" t="inlineStr">
        <is>
          <t>6:26:30</t>
        </is>
      </c>
      <c r="M3691" t="inlineStr">
        <is>
          <t>6:26:45</t>
        </is>
      </c>
    </row>
    <row r="3692" ht="16.5" customHeight="1" s="37">
      <c r="A3692" t="n">
        <v>4</v>
      </c>
      <c r="B3692" s="10" t="inlineStr">
        <is>
          <t>休日</t>
        </is>
      </c>
      <c r="C3692" s="10" t="inlineStr">
        <is>
          <t>本線</t>
        </is>
      </c>
      <c r="D3692" s="10" t="inlineStr">
        <is>
          <t>下り</t>
        </is>
      </c>
      <c r="E3692" t="inlineStr">
        <is>
          <t>0603</t>
        </is>
      </c>
      <c r="F3692" t="inlineStr">
        <is>
          <t>0102</t>
        </is>
      </c>
      <c r="G3692" s="10" t="inlineStr">
        <is>
          <t>車折</t>
        </is>
      </c>
      <c r="H3692" s="10" t="inlineStr">
        <is>
          <t>発</t>
        </is>
      </c>
      <c r="J3692" s="10" t="inlineStr">
        <is>
          <t>営業</t>
        </is>
      </c>
      <c r="L3692" t="inlineStr">
        <is>
          <t>6:28:10</t>
        </is>
      </c>
      <c r="M3692" t="inlineStr">
        <is>
          <t>6:28:25</t>
        </is>
      </c>
    </row>
    <row r="3693" ht="16.5" customHeight="1" s="37">
      <c r="A3693" t="n">
        <v>4</v>
      </c>
      <c r="B3693" s="10" t="inlineStr">
        <is>
          <t>休日</t>
        </is>
      </c>
      <c r="C3693" s="10" t="inlineStr">
        <is>
          <t>本線</t>
        </is>
      </c>
      <c r="D3693" s="10" t="inlineStr">
        <is>
          <t>下り</t>
        </is>
      </c>
      <c r="E3693" t="inlineStr">
        <is>
          <t>0603</t>
        </is>
      </c>
      <c r="F3693" t="inlineStr">
        <is>
          <t>0102</t>
        </is>
      </c>
      <c r="G3693" s="10" t="inlineStr">
        <is>
          <t>鹿王院</t>
        </is>
      </c>
      <c r="H3693" s="10" t="inlineStr">
        <is>
          <t>発</t>
        </is>
      </c>
      <c r="J3693" s="10" t="inlineStr">
        <is>
          <t>営業</t>
        </is>
      </c>
      <c r="L3693" t="inlineStr">
        <is>
          <t>6:29:20</t>
        </is>
      </c>
      <c r="M3693" t="inlineStr">
        <is>
          <t>6:29:35</t>
        </is>
      </c>
    </row>
    <row r="3694" ht="16.5" customHeight="1" s="37">
      <c r="A3694" t="n">
        <v>4</v>
      </c>
      <c r="B3694" s="10" t="inlineStr">
        <is>
          <t>休日</t>
        </is>
      </c>
      <c r="C3694" s="10" t="inlineStr">
        <is>
          <t>本線</t>
        </is>
      </c>
      <c r="D3694" s="10" t="inlineStr">
        <is>
          <t>下り</t>
        </is>
      </c>
      <c r="E3694" t="inlineStr">
        <is>
          <t>0603</t>
        </is>
      </c>
      <c r="F3694" t="inlineStr">
        <is>
          <t>0102</t>
        </is>
      </c>
      <c r="G3694" s="10" t="inlineStr">
        <is>
          <t>嵯峨</t>
        </is>
      </c>
      <c r="H3694" s="10" t="inlineStr">
        <is>
          <t>発</t>
        </is>
      </c>
      <c r="J3694" s="10" t="inlineStr">
        <is>
          <t>営業</t>
        </is>
      </c>
      <c r="L3694" t="inlineStr">
        <is>
          <t>6:30:40</t>
        </is>
      </c>
      <c r="M3694" t="inlineStr">
        <is>
          <t>6:30:55</t>
        </is>
      </c>
    </row>
    <row r="3695" ht="16.5" customHeight="1" s="37">
      <c r="A3695" t="n">
        <v>4</v>
      </c>
      <c r="B3695" s="10" t="inlineStr">
        <is>
          <t>休日</t>
        </is>
      </c>
      <c r="C3695" s="10" t="inlineStr">
        <is>
          <t>本線</t>
        </is>
      </c>
      <c r="D3695" s="10" t="inlineStr">
        <is>
          <t>下り</t>
        </is>
      </c>
      <c r="E3695" t="inlineStr">
        <is>
          <t>0603</t>
        </is>
      </c>
      <c r="F3695" t="inlineStr">
        <is>
          <t>0102</t>
        </is>
      </c>
      <c r="G3695" s="10" t="inlineStr">
        <is>
          <t>嵐山</t>
        </is>
      </c>
      <c r="H3695" s="10" t="inlineStr">
        <is>
          <t>着</t>
        </is>
      </c>
      <c r="J3695" s="10" t="inlineStr">
        <is>
          <t>営業</t>
        </is>
      </c>
      <c r="L3695" t="inlineStr">
        <is>
          <t>6:32:00</t>
        </is>
      </c>
      <c r="N3695" t="inlineStr">
        <is>
          <t>○</t>
        </is>
      </c>
      <c r="Q3695" t="inlineStr">
        <is>
          <t>1</t>
        </is>
      </c>
    </row>
    <row r="3696" ht="16.5" customHeight="1" s="37">
      <c r="A3696" t="n">
        <v>4</v>
      </c>
      <c r="B3696" s="10" t="inlineStr">
        <is>
          <t>休日</t>
        </is>
      </c>
      <c r="C3696" s="10" t="inlineStr">
        <is>
          <t>本線</t>
        </is>
      </c>
      <c r="D3696" s="10" t="inlineStr">
        <is>
          <t>上り</t>
        </is>
      </c>
      <c r="E3696" t="inlineStr">
        <is>
          <t>0606</t>
        </is>
      </c>
      <c r="F3696" t="inlineStr">
        <is>
          <t>2221</t>
        </is>
      </c>
      <c r="G3696" s="10" t="inlineStr">
        <is>
          <t>嵐山</t>
        </is>
      </c>
      <c r="H3696" s="10" t="inlineStr">
        <is>
          <t>発</t>
        </is>
      </c>
      <c r="J3696" s="10" t="inlineStr">
        <is>
          <t>営業</t>
        </is>
      </c>
      <c r="M3696" t="inlineStr">
        <is>
          <t>6:41:00</t>
        </is>
      </c>
      <c r="Q3696" t="inlineStr">
        <is>
          <t>1</t>
        </is>
      </c>
    </row>
    <row r="3697" ht="15" customHeight="1" s="37">
      <c r="A3697" t="n">
        <v>4</v>
      </c>
      <c r="B3697" s="10" t="inlineStr">
        <is>
          <t>休日</t>
        </is>
      </c>
      <c r="C3697" s="10" t="inlineStr">
        <is>
          <t>本線</t>
        </is>
      </c>
      <c r="D3697" s="10" t="inlineStr">
        <is>
          <t>上り</t>
        </is>
      </c>
      <c r="E3697" t="inlineStr">
        <is>
          <t>0606</t>
        </is>
      </c>
      <c r="F3697" t="inlineStr">
        <is>
          <t>2221</t>
        </is>
      </c>
      <c r="G3697" s="10" t="inlineStr">
        <is>
          <t>嵯峨</t>
        </is>
      </c>
      <c r="H3697" s="10" t="inlineStr">
        <is>
          <t>発</t>
        </is>
      </c>
      <c r="J3697" s="10" t="inlineStr">
        <is>
          <t>営業</t>
        </is>
      </c>
      <c r="L3697" t="inlineStr">
        <is>
          <t>6:41:55</t>
        </is>
      </c>
      <c r="M3697" t="inlineStr">
        <is>
          <t>6:42:20</t>
        </is>
      </c>
    </row>
    <row r="3698" ht="15" customHeight="1" s="37">
      <c r="A3698" t="n">
        <v>4</v>
      </c>
      <c r="B3698" s="10" t="inlineStr">
        <is>
          <t>休日</t>
        </is>
      </c>
      <c r="C3698" s="10" t="inlineStr">
        <is>
          <t>本線</t>
        </is>
      </c>
      <c r="D3698" s="10" t="inlineStr">
        <is>
          <t>上り</t>
        </is>
      </c>
      <c r="E3698" t="inlineStr">
        <is>
          <t>0606</t>
        </is>
      </c>
      <c r="F3698" t="inlineStr">
        <is>
          <t>2221</t>
        </is>
      </c>
      <c r="G3698" s="10" t="inlineStr">
        <is>
          <t>鹿王院</t>
        </is>
      </c>
      <c r="H3698" s="10" t="inlineStr">
        <is>
          <t>発</t>
        </is>
      </c>
      <c r="J3698" s="10" t="inlineStr">
        <is>
          <t>営業</t>
        </is>
      </c>
      <c r="L3698" t="inlineStr">
        <is>
          <t>6:43:25</t>
        </is>
      </c>
      <c r="M3698" t="inlineStr">
        <is>
          <t>6:43:45</t>
        </is>
      </c>
    </row>
    <row r="3699" ht="15" customHeight="1" s="37">
      <c r="A3699" t="n">
        <v>4</v>
      </c>
      <c r="B3699" s="10" t="inlineStr">
        <is>
          <t>休日</t>
        </is>
      </c>
      <c r="C3699" s="10" t="inlineStr">
        <is>
          <t>本線</t>
        </is>
      </c>
      <c r="D3699" s="10" t="inlineStr">
        <is>
          <t>上り</t>
        </is>
      </c>
      <c r="E3699" t="inlineStr">
        <is>
          <t>0606</t>
        </is>
      </c>
      <c r="F3699" t="inlineStr">
        <is>
          <t>2221</t>
        </is>
      </c>
      <c r="G3699" s="10" t="inlineStr">
        <is>
          <t>車折</t>
        </is>
      </c>
      <c r="H3699" s="10" t="inlineStr">
        <is>
          <t>発</t>
        </is>
      </c>
      <c r="J3699" s="10" t="inlineStr">
        <is>
          <t>営業</t>
        </is>
      </c>
      <c r="L3699" t="inlineStr">
        <is>
          <t>6:44:40</t>
        </is>
      </c>
      <c r="M3699" t="inlineStr">
        <is>
          <t>6:45:10</t>
        </is>
      </c>
    </row>
    <row r="3700" ht="15" customHeight="1" s="37">
      <c r="A3700" t="n">
        <v>4</v>
      </c>
      <c r="B3700" s="10" t="inlineStr">
        <is>
          <t>休日</t>
        </is>
      </c>
      <c r="C3700" s="10" t="inlineStr">
        <is>
          <t>本線</t>
        </is>
      </c>
      <c r="D3700" s="10" t="inlineStr">
        <is>
          <t>上り</t>
        </is>
      </c>
      <c r="E3700" t="inlineStr">
        <is>
          <t>0606</t>
        </is>
      </c>
      <c r="F3700" t="inlineStr">
        <is>
          <t>2221</t>
        </is>
      </c>
      <c r="G3700" s="10" t="inlineStr">
        <is>
          <t>有栖川</t>
        </is>
      </c>
      <c r="H3700" s="10" t="inlineStr">
        <is>
          <t>発</t>
        </is>
      </c>
      <c r="J3700" s="10" t="inlineStr">
        <is>
          <t>営業</t>
        </is>
      </c>
      <c r="L3700" t="inlineStr">
        <is>
          <t>6:46:35</t>
        </is>
      </c>
      <c r="M3700" t="inlineStr">
        <is>
          <t>6:46:55</t>
        </is>
      </c>
    </row>
    <row r="3701" ht="15" customHeight="1" s="37">
      <c r="A3701" t="n">
        <v>4</v>
      </c>
      <c r="B3701" s="10" t="inlineStr">
        <is>
          <t>休日</t>
        </is>
      </c>
      <c r="C3701" s="10" t="inlineStr">
        <is>
          <t>本線</t>
        </is>
      </c>
      <c r="D3701" s="10" t="inlineStr">
        <is>
          <t>上り</t>
        </is>
      </c>
      <c r="E3701" t="inlineStr">
        <is>
          <t>0606</t>
        </is>
      </c>
      <c r="F3701" t="inlineStr">
        <is>
          <t>2221</t>
        </is>
      </c>
      <c r="G3701" s="10" t="inlineStr">
        <is>
          <t>帷子ノ辻</t>
        </is>
      </c>
      <c r="H3701" s="10" t="inlineStr">
        <is>
          <t>発</t>
        </is>
      </c>
      <c r="J3701" s="10" t="inlineStr">
        <is>
          <t>営業</t>
        </is>
      </c>
      <c r="L3701" t="inlineStr">
        <is>
          <t>6:48:10</t>
        </is>
      </c>
      <c r="M3701" t="inlineStr">
        <is>
          <t>6:49:15</t>
        </is>
      </c>
    </row>
    <row r="3702" ht="15" customHeight="1" s="37">
      <c r="A3702" t="n">
        <v>4</v>
      </c>
      <c r="B3702" s="10" t="inlineStr">
        <is>
          <t>休日</t>
        </is>
      </c>
      <c r="C3702" s="10" t="inlineStr">
        <is>
          <t>本線</t>
        </is>
      </c>
      <c r="D3702" s="10" t="inlineStr">
        <is>
          <t>上り</t>
        </is>
      </c>
      <c r="E3702" t="inlineStr">
        <is>
          <t>0606</t>
        </is>
      </c>
      <c r="F3702" t="inlineStr">
        <is>
          <t>2221</t>
        </is>
      </c>
      <c r="G3702" s="10" t="inlineStr">
        <is>
          <t>太秦広隆寺</t>
        </is>
      </c>
      <c r="H3702" s="10" t="inlineStr">
        <is>
          <t>発</t>
        </is>
      </c>
      <c r="J3702" s="10" t="inlineStr">
        <is>
          <t>営業</t>
        </is>
      </c>
      <c r="L3702" t="inlineStr">
        <is>
          <t>6:51:25</t>
        </is>
      </c>
      <c r="M3702" t="inlineStr">
        <is>
          <t>6:51:45</t>
        </is>
      </c>
    </row>
    <row r="3703" ht="15" customHeight="1" s="37">
      <c r="A3703" t="n">
        <v>4</v>
      </c>
      <c r="B3703" s="10" t="inlineStr">
        <is>
          <t>休日</t>
        </is>
      </c>
      <c r="C3703" s="10" t="inlineStr">
        <is>
          <t>本線</t>
        </is>
      </c>
      <c r="D3703" s="10" t="inlineStr">
        <is>
          <t>上り</t>
        </is>
      </c>
      <c r="E3703" t="inlineStr">
        <is>
          <t>0606</t>
        </is>
      </c>
      <c r="F3703" t="inlineStr">
        <is>
          <t>2221</t>
        </is>
      </c>
      <c r="G3703" s="10" t="inlineStr">
        <is>
          <t>蚕ノ社</t>
        </is>
      </c>
      <c r="H3703" s="10" t="inlineStr">
        <is>
          <t>発</t>
        </is>
      </c>
      <c r="J3703" s="10" t="inlineStr">
        <is>
          <t>営業</t>
        </is>
      </c>
      <c r="L3703" t="inlineStr">
        <is>
          <t>6:53:00</t>
        </is>
      </c>
      <c r="M3703" t="inlineStr">
        <is>
          <t>6:53:20</t>
        </is>
      </c>
    </row>
    <row r="3704" ht="15" customHeight="1" s="37">
      <c r="A3704" t="n">
        <v>4</v>
      </c>
      <c r="B3704" s="10" t="inlineStr">
        <is>
          <t>休日</t>
        </is>
      </c>
      <c r="C3704" s="10" t="inlineStr">
        <is>
          <t>本線</t>
        </is>
      </c>
      <c r="D3704" s="10" t="inlineStr">
        <is>
          <t>上り</t>
        </is>
      </c>
      <c r="E3704" t="inlineStr">
        <is>
          <t>0606</t>
        </is>
      </c>
      <c r="F3704" t="inlineStr">
        <is>
          <t>2221</t>
        </is>
      </c>
      <c r="G3704" s="10" t="inlineStr">
        <is>
          <t>天神川</t>
        </is>
      </c>
      <c r="H3704" s="10" t="inlineStr">
        <is>
          <t>発</t>
        </is>
      </c>
      <c r="J3704" s="10" t="inlineStr">
        <is>
          <t>営業</t>
        </is>
      </c>
      <c r="L3704" t="inlineStr">
        <is>
          <t>6:54:05</t>
        </is>
      </c>
      <c r="M3704" t="inlineStr">
        <is>
          <t>6:54:50</t>
        </is>
      </c>
    </row>
    <row r="3705" ht="15" customHeight="1" s="37">
      <c r="A3705" t="n">
        <v>4</v>
      </c>
      <c r="B3705" s="10" t="inlineStr">
        <is>
          <t>休日</t>
        </is>
      </c>
      <c r="C3705" s="10" t="inlineStr">
        <is>
          <t>本線</t>
        </is>
      </c>
      <c r="D3705" s="10" t="inlineStr">
        <is>
          <t>上り</t>
        </is>
      </c>
      <c r="E3705" t="inlineStr">
        <is>
          <t>0606</t>
        </is>
      </c>
      <c r="F3705" t="inlineStr">
        <is>
          <t>2221</t>
        </is>
      </c>
      <c r="G3705" s="10" t="inlineStr">
        <is>
          <t>山ノ内</t>
        </is>
      </c>
      <c r="H3705" s="10" t="inlineStr">
        <is>
          <t>発</t>
        </is>
      </c>
      <c r="J3705" s="10" t="inlineStr">
        <is>
          <t>営業</t>
        </is>
      </c>
      <c r="L3705" t="inlineStr">
        <is>
          <t>6:56:40</t>
        </is>
      </c>
      <c r="M3705" t="inlineStr">
        <is>
          <t>6:57:05</t>
        </is>
      </c>
    </row>
    <row r="3706" ht="15" customHeight="1" s="37">
      <c r="A3706" t="n">
        <v>4</v>
      </c>
      <c r="B3706" s="10" t="inlineStr">
        <is>
          <t>休日</t>
        </is>
      </c>
      <c r="C3706" s="10" t="inlineStr">
        <is>
          <t>本線</t>
        </is>
      </c>
      <c r="D3706" s="10" t="inlineStr">
        <is>
          <t>上り</t>
        </is>
      </c>
      <c r="E3706" t="inlineStr">
        <is>
          <t>0606</t>
        </is>
      </c>
      <c r="F3706" t="inlineStr">
        <is>
          <t>2221</t>
        </is>
      </c>
      <c r="G3706" s="10" t="inlineStr">
        <is>
          <t>西大路三条</t>
        </is>
      </c>
      <c r="H3706" s="10" t="inlineStr">
        <is>
          <t>発</t>
        </is>
      </c>
      <c r="J3706" s="10" t="inlineStr">
        <is>
          <t>営業</t>
        </is>
      </c>
      <c r="L3706" t="inlineStr">
        <is>
          <t>6:58:55</t>
        </is>
      </c>
      <c r="M3706" t="inlineStr">
        <is>
          <t>6:59:15</t>
        </is>
      </c>
    </row>
    <row r="3707" ht="15" customHeight="1" s="37">
      <c r="A3707" t="n">
        <v>4</v>
      </c>
      <c r="B3707" s="10" t="inlineStr">
        <is>
          <t>休日</t>
        </is>
      </c>
      <c r="C3707" s="10" t="inlineStr">
        <is>
          <t>本線</t>
        </is>
      </c>
      <c r="D3707" s="10" t="inlineStr">
        <is>
          <t>上り</t>
        </is>
      </c>
      <c r="E3707" t="inlineStr">
        <is>
          <t>0606</t>
        </is>
      </c>
      <c r="F3707" t="inlineStr">
        <is>
          <t>2221</t>
        </is>
      </c>
      <c r="G3707" s="10" t="inlineStr">
        <is>
          <t>西院</t>
        </is>
      </c>
      <c r="H3707" s="10" t="inlineStr">
        <is>
          <t>発</t>
        </is>
      </c>
      <c r="J3707" s="10" t="inlineStr">
        <is>
          <t>営業</t>
        </is>
      </c>
      <c r="L3707" t="inlineStr">
        <is>
          <t>7:01:10</t>
        </is>
      </c>
      <c r="M3707" t="inlineStr">
        <is>
          <t>7:02:05</t>
        </is>
      </c>
    </row>
    <row r="3708" ht="15" customHeight="1" s="37">
      <c r="A3708" t="n">
        <v>4</v>
      </c>
      <c r="B3708" s="10" t="inlineStr">
        <is>
          <t>休日</t>
        </is>
      </c>
      <c r="C3708" s="10" t="inlineStr">
        <is>
          <t>本線</t>
        </is>
      </c>
      <c r="D3708" s="10" t="inlineStr">
        <is>
          <t>上り</t>
        </is>
      </c>
      <c r="E3708" t="inlineStr">
        <is>
          <t>0606</t>
        </is>
      </c>
      <c r="F3708" t="inlineStr">
        <is>
          <t>2221</t>
        </is>
      </c>
      <c r="G3708" s="10" t="inlineStr">
        <is>
          <t>四条大宮</t>
        </is>
      </c>
      <c r="H3708" s="10" t="inlineStr">
        <is>
          <t>着</t>
        </is>
      </c>
      <c r="J3708" s="10" t="inlineStr">
        <is>
          <t>営業</t>
        </is>
      </c>
      <c r="L3708" t="inlineStr">
        <is>
          <t>7:05:00</t>
        </is>
      </c>
      <c r="Q3708" t="inlineStr">
        <is>
          <t>1</t>
        </is>
      </c>
    </row>
    <row r="3709" ht="15" customHeight="1" s="37">
      <c r="A3709" t="n">
        <v>4</v>
      </c>
      <c r="B3709" s="10" t="inlineStr">
        <is>
          <t>休日</t>
        </is>
      </c>
      <c r="C3709" s="10" t="inlineStr">
        <is>
          <t>本線</t>
        </is>
      </c>
      <c r="D3709" s="10" t="inlineStr">
        <is>
          <t>下り</t>
        </is>
      </c>
      <c r="E3709" t="inlineStr">
        <is>
          <t>0703</t>
        </is>
      </c>
      <c r="F3709" t="inlineStr">
        <is>
          <t>0122</t>
        </is>
      </c>
      <c r="G3709" s="10" t="inlineStr">
        <is>
          <t>四条大宮</t>
        </is>
      </c>
      <c r="H3709" s="10" t="inlineStr">
        <is>
          <t>発</t>
        </is>
      </c>
      <c r="J3709" s="10" t="inlineStr">
        <is>
          <t>営業</t>
        </is>
      </c>
      <c r="M3709" t="inlineStr">
        <is>
          <t>7:13:00</t>
        </is>
      </c>
      <c r="Q3709" t="inlineStr">
        <is>
          <t>1</t>
        </is>
      </c>
    </row>
    <row r="3710" ht="15" customHeight="1" s="37">
      <c r="A3710" t="n">
        <v>4</v>
      </c>
      <c r="B3710" s="10" t="inlineStr">
        <is>
          <t>休日</t>
        </is>
      </c>
      <c r="C3710" s="10" t="inlineStr">
        <is>
          <t>本線</t>
        </is>
      </c>
      <c r="D3710" s="10" t="inlineStr">
        <is>
          <t>下り</t>
        </is>
      </c>
      <c r="E3710" t="inlineStr">
        <is>
          <t>0703</t>
        </is>
      </c>
      <c r="F3710" t="inlineStr">
        <is>
          <t>0122</t>
        </is>
      </c>
      <c r="G3710" s="10" t="inlineStr">
        <is>
          <t>西院</t>
        </is>
      </c>
      <c r="H3710" s="10" t="inlineStr">
        <is>
          <t>発</t>
        </is>
      </c>
      <c r="J3710" s="10" t="inlineStr">
        <is>
          <t>営業</t>
        </is>
      </c>
      <c r="L3710" t="inlineStr">
        <is>
          <t>7:15:50</t>
        </is>
      </c>
      <c r="M3710" t="inlineStr">
        <is>
          <t>7:16:20</t>
        </is>
      </c>
    </row>
    <row r="3711" ht="15" customHeight="1" s="37">
      <c r="A3711" t="n">
        <v>4</v>
      </c>
      <c r="B3711" s="10" t="inlineStr">
        <is>
          <t>休日</t>
        </is>
      </c>
      <c r="C3711" s="10" t="inlineStr">
        <is>
          <t>本線</t>
        </is>
      </c>
      <c r="D3711" s="10" t="inlineStr">
        <is>
          <t>下り</t>
        </is>
      </c>
      <c r="E3711" t="inlineStr">
        <is>
          <t>0703</t>
        </is>
      </c>
      <c r="F3711" t="inlineStr">
        <is>
          <t>0122</t>
        </is>
      </c>
      <c r="G3711" s="10" t="inlineStr">
        <is>
          <t>西大路三条</t>
        </is>
      </c>
      <c r="H3711" s="10" t="inlineStr">
        <is>
          <t>発</t>
        </is>
      </c>
      <c r="J3711" s="10" t="inlineStr">
        <is>
          <t>営業</t>
        </is>
      </c>
      <c r="L3711" t="inlineStr">
        <is>
          <t>7:18:10</t>
        </is>
      </c>
      <c r="M3711" t="inlineStr">
        <is>
          <t>7:18:30</t>
        </is>
      </c>
    </row>
    <row r="3712" ht="15" customHeight="1" s="37">
      <c r="A3712" t="n">
        <v>4</v>
      </c>
      <c r="B3712" s="10" t="inlineStr">
        <is>
          <t>休日</t>
        </is>
      </c>
      <c r="C3712" s="10" t="inlineStr">
        <is>
          <t>本線</t>
        </is>
      </c>
      <c r="D3712" s="10" t="inlineStr">
        <is>
          <t>下り</t>
        </is>
      </c>
      <c r="E3712" t="inlineStr">
        <is>
          <t>0703</t>
        </is>
      </c>
      <c r="F3712" t="inlineStr">
        <is>
          <t>0122</t>
        </is>
      </c>
      <c r="G3712" s="10" t="inlineStr">
        <is>
          <t>山ノ内</t>
        </is>
      </c>
      <c r="H3712" s="10" t="inlineStr">
        <is>
          <t>発</t>
        </is>
      </c>
      <c r="J3712" s="10" t="inlineStr">
        <is>
          <t>営業</t>
        </is>
      </c>
      <c r="L3712" t="inlineStr">
        <is>
          <t>7:20:25</t>
        </is>
      </c>
      <c r="M3712" t="inlineStr">
        <is>
          <t>7:20:50</t>
        </is>
      </c>
    </row>
    <row r="3713" ht="15" customHeight="1" s="37">
      <c r="A3713" t="n">
        <v>4</v>
      </c>
      <c r="B3713" s="10" t="inlineStr">
        <is>
          <t>休日</t>
        </is>
      </c>
      <c r="C3713" s="10" t="inlineStr">
        <is>
          <t>本線</t>
        </is>
      </c>
      <c r="D3713" s="10" t="inlineStr">
        <is>
          <t>下り</t>
        </is>
      </c>
      <c r="E3713" t="inlineStr">
        <is>
          <t>0703</t>
        </is>
      </c>
      <c r="F3713" t="inlineStr">
        <is>
          <t>0122</t>
        </is>
      </c>
      <c r="G3713" s="10" t="inlineStr">
        <is>
          <t>天神川</t>
        </is>
      </c>
      <c r="H3713" s="10" t="inlineStr">
        <is>
          <t>発</t>
        </is>
      </c>
      <c r="J3713" s="10" t="inlineStr">
        <is>
          <t>営業</t>
        </is>
      </c>
      <c r="L3713" t="inlineStr">
        <is>
          <t>7:22:50</t>
        </is>
      </c>
      <c r="M3713" t="inlineStr">
        <is>
          <t>7:23:30</t>
        </is>
      </c>
    </row>
    <row r="3714" ht="15" customHeight="1" s="37">
      <c r="A3714" t="n">
        <v>4</v>
      </c>
      <c r="B3714" s="10" t="inlineStr">
        <is>
          <t>休日</t>
        </is>
      </c>
      <c r="C3714" s="10" t="inlineStr">
        <is>
          <t>本線</t>
        </is>
      </c>
      <c r="D3714" s="10" t="inlineStr">
        <is>
          <t>下り</t>
        </is>
      </c>
      <c r="E3714" t="inlineStr">
        <is>
          <t>0703</t>
        </is>
      </c>
      <c r="F3714" t="inlineStr">
        <is>
          <t>0122</t>
        </is>
      </c>
      <c r="G3714" s="10" t="inlineStr">
        <is>
          <t>蚕ノ社</t>
        </is>
      </c>
      <c r="H3714" s="10" t="inlineStr">
        <is>
          <t>発</t>
        </is>
      </c>
      <c r="J3714" s="10" t="inlineStr">
        <is>
          <t>営業</t>
        </is>
      </c>
      <c r="L3714" t="inlineStr">
        <is>
          <t>7:24:20</t>
        </is>
      </c>
      <c r="M3714" t="inlineStr">
        <is>
          <t>7:24:40</t>
        </is>
      </c>
    </row>
    <row r="3715" ht="15" customHeight="1" s="37">
      <c r="A3715" t="n">
        <v>4</v>
      </c>
      <c r="B3715" s="10" t="inlineStr">
        <is>
          <t>休日</t>
        </is>
      </c>
      <c r="C3715" s="10" t="inlineStr">
        <is>
          <t>本線</t>
        </is>
      </c>
      <c r="D3715" s="10" t="inlineStr">
        <is>
          <t>下り</t>
        </is>
      </c>
      <c r="E3715" t="inlineStr">
        <is>
          <t>0703</t>
        </is>
      </c>
      <c r="F3715" t="inlineStr">
        <is>
          <t>0122</t>
        </is>
      </c>
      <c r="G3715" s="10" t="inlineStr">
        <is>
          <t>太秦広隆寺</t>
        </is>
      </c>
      <c r="H3715" s="10" t="inlineStr">
        <is>
          <t>発</t>
        </is>
      </c>
      <c r="J3715" s="10" t="inlineStr">
        <is>
          <t>営業</t>
        </is>
      </c>
      <c r="L3715" t="inlineStr">
        <is>
          <t>7:26:00</t>
        </is>
      </c>
      <c r="M3715" t="inlineStr">
        <is>
          <t>7:26:20</t>
        </is>
      </c>
    </row>
    <row r="3716" ht="15" customHeight="1" s="37">
      <c r="A3716" t="n">
        <v>4</v>
      </c>
      <c r="B3716" s="10" t="inlineStr">
        <is>
          <t>休日</t>
        </is>
      </c>
      <c r="C3716" s="10" t="inlineStr">
        <is>
          <t>本線</t>
        </is>
      </c>
      <c r="D3716" s="10" t="inlineStr">
        <is>
          <t>下り</t>
        </is>
      </c>
      <c r="E3716" t="inlineStr">
        <is>
          <t>0703</t>
        </is>
      </c>
      <c r="F3716" t="inlineStr">
        <is>
          <t>0122</t>
        </is>
      </c>
      <c r="G3716" s="10" t="inlineStr">
        <is>
          <t>帷子ノ辻</t>
        </is>
      </c>
      <c r="H3716" s="10" t="inlineStr">
        <is>
          <t>発</t>
        </is>
      </c>
      <c r="J3716" s="10" t="inlineStr">
        <is>
          <t>営業</t>
        </is>
      </c>
      <c r="L3716" t="inlineStr">
        <is>
          <t>7:28:20</t>
        </is>
      </c>
      <c r="M3716" t="inlineStr">
        <is>
          <t>7:29:40</t>
        </is>
      </c>
    </row>
    <row r="3717" ht="15" customHeight="1" s="37">
      <c r="A3717" t="n">
        <v>4</v>
      </c>
      <c r="B3717" s="10" t="inlineStr">
        <is>
          <t>休日</t>
        </is>
      </c>
      <c r="C3717" s="10" t="inlineStr">
        <is>
          <t>本線</t>
        </is>
      </c>
      <c r="D3717" s="10" t="inlineStr">
        <is>
          <t>下り</t>
        </is>
      </c>
      <c r="E3717" t="inlineStr">
        <is>
          <t>0703</t>
        </is>
      </c>
      <c r="F3717" t="inlineStr">
        <is>
          <t>0122</t>
        </is>
      </c>
      <c r="G3717" s="10" t="inlineStr">
        <is>
          <t>有栖川</t>
        </is>
      </c>
      <c r="H3717" s="10" t="inlineStr">
        <is>
          <t>発</t>
        </is>
      </c>
      <c r="J3717" s="10" t="inlineStr">
        <is>
          <t>営業</t>
        </is>
      </c>
      <c r="L3717" t="inlineStr">
        <is>
          <t>7:30:50</t>
        </is>
      </c>
      <c r="M3717" t="inlineStr">
        <is>
          <t>7:31:15</t>
        </is>
      </c>
    </row>
    <row r="3718" ht="15" customHeight="1" s="37">
      <c r="A3718" t="n">
        <v>4</v>
      </c>
      <c r="B3718" s="10" t="inlineStr">
        <is>
          <t>休日</t>
        </is>
      </c>
      <c r="C3718" s="10" t="inlineStr">
        <is>
          <t>本線</t>
        </is>
      </c>
      <c r="D3718" s="10" t="inlineStr">
        <is>
          <t>下り</t>
        </is>
      </c>
      <c r="E3718" t="inlineStr">
        <is>
          <t>0703</t>
        </is>
      </c>
      <c r="F3718" t="inlineStr">
        <is>
          <t>0122</t>
        </is>
      </c>
      <c r="G3718" s="10" t="inlineStr">
        <is>
          <t>車折</t>
        </is>
      </c>
      <c r="H3718" s="10" t="inlineStr">
        <is>
          <t>発</t>
        </is>
      </c>
      <c r="J3718" s="10" t="inlineStr">
        <is>
          <t>営業</t>
        </is>
      </c>
      <c r="L3718" t="inlineStr">
        <is>
          <t>7:32:40</t>
        </is>
      </c>
      <c r="M3718" t="inlineStr">
        <is>
          <t>7:33:05</t>
        </is>
      </c>
    </row>
    <row r="3719" ht="15" customHeight="1" s="37">
      <c r="A3719" t="n">
        <v>4</v>
      </c>
      <c r="B3719" s="10" t="inlineStr">
        <is>
          <t>休日</t>
        </is>
      </c>
      <c r="C3719" s="10" t="inlineStr">
        <is>
          <t>本線</t>
        </is>
      </c>
      <c r="D3719" s="10" t="inlineStr">
        <is>
          <t>下り</t>
        </is>
      </c>
      <c r="E3719" t="inlineStr">
        <is>
          <t>0703</t>
        </is>
      </c>
      <c r="F3719" t="inlineStr">
        <is>
          <t>0122</t>
        </is>
      </c>
      <c r="G3719" s="10" t="inlineStr">
        <is>
          <t>鹿王院</t>
        </is>
      </c>
      <c r="H3719" s="10" t="inlineStr">
        <is>
          <t>発</t>
        </is>
      </c>
      <c r="J3719" s="10" t="inlineStr">
        <is>
          <t>営業</t>
        </is>
      </c>
      <c r="L3719" t="inlineStr">
        <is>
          <t>7:34:00</t>
        </is>
      </c>
      <c r="M3719" t="inlineStr">
        <is>
          <t>7:34:25</t>
        </is>
      </c>
    </row>
    <row r="3720" ht="15" customHeight="1" s="37">
      <c r="A3720" t="n">
        <v>4</v>
      </c>
      <c r="B3720" s="10" t="inlineStr">
        <is>
          <t>休日</t>
        </is>
      </c>
      <c r="C3720" s="10" t="inlineStr">
        <is>
          <t>本線</t>
        </is>
      </c>
      <c r="D3720" s="10" t="inlineStr">
        <is>
          <t>下り</t>
        </is>
      </c>
      <c r="E3720" t="inlineStr">
        <is>
          <t>0703</t>
        </is>
      </c>
      <c r="F3720" t="inlineStr">
        <is>
          <t>0122</t>
        </is>
      </c>
      <c r="G3720" s="10" t="inlineStr">
        <is>
          <t>嵯峨</t>
        </is>
      </c>
      <c r="H3720" s="10" t="inlineStr">
        <is>
          <t>発</t>
        </is>
      </c>
      <c r="J3720" s="10" t="inlineStr">
        <is>
          <t>営業</t>
        </is>
      </c>
      <c r="L3720" t="inlineStr">
        <is>
          <t>7:35:30</t>
        </is>
      </c>
      <c r="M3720" t="inlineStr">
        <is>
          <t>7:35:55</t>
        </is>
      </c>
    </row>
    <row r="3721" ht="15" customHeight="1" s="37">
      <c r="A3721" t="n">
        <v>4</v>
      </c>
      <c r="B3721" s="10" t="inlineStr">
        <is>
          <t>休日</t>
        </is>
      </c>
      <c r="C3721" s="10" t="inlineStr">
        <is>
          <t>本線</t>
        </is>
      </c>
      <c r="D3721" s="10" t="inlineStr">
        <is>
          <t>下り</t>
        </is>
      </c>
      <c r="E3721" t="inlineStr">
        <is>
          <t>0703</t>
        </is>
      </c>
      <c r="F3721" t="inlineStr">
        <is>
          <t>0122</t>
        </is>
      </c>
      <c r="G3721" s="10" t="inlineStr">
        <is>
          <t>嵐山</t>
        </is>
      </c>
      <c r="H3721" s="10" t="inlineStr">
        <is>
          <t>着</t>
        </is>
      </c>
      <c r="J3721" s="10" t="inlineStr">
        <is>
          <t>営業</t>
        </is>
      </c>
      <c r="L3721" t="inlineStr">
        <is>
          <t>7:37:00</t>
        </is>
      </c>
      <c r="N3721" t="inlineStr">
        <is>
          <t>○</t>
        </is>
      </c>
      <c r="Q3721" t="inlineStr">
        <is>
          <t>1</t>
        </is>
      </c>
    </row>
    <row r="3722" ht="15" customHeight="1" s="37">
      <c r="A3722" t="n">
        <v>4</v>
      </c>
      <c r="B3722" s="10" t="inlineStr">
        <is>
          <t>休日</t>
        </is>
      </c>
      <c r="C3722" s="10" t="inlineStr">
        <is>
          <t>本線</t>
        </is>
      </c>
      <c r="D3722" s="10" t="inlineStr">
        <is>
          <t>上り</t>
        </is>
      </c>
      <c r="E3722" t="inlineStr">
        <is>
          <t>0710</t>
        </is>
      </c>
      <c r="F3722" t="inlineStr">
        <is>
          <t>2221</t>
        </is>
      </c>
      <c r="G3722" s="10" t="inlineStr">
        <is>
          <t>嵐山</t>
        </is>
      </c>
      <c r="H3722" s="10" t="inlineStr">
        <is>
          <t>発</t>
        </is>
      </c>
      <c r="J3722" s="10" t="inlineStr">
        <is>
          <t>営業</t>
        </is>
      </c>
      <c r="M3722" t="inlineStr">
        <is>
          <t>7:43:00</t>
        </is>
      </c>
      <c r="Q3722" t="inlineStr">
        <is>
          <t>1</t>
        </is>
      </c>
    </row>
    <row r="3723" ht="15" customHeight="1" s="37">
      <c r="A3723" t="n">
        <v>4</v>
      </c>
      <c r="B3723" s="10" t="inlineStr">
        <is>
          <t>休日</t>
        </is>
      </c>
      <c r="C3723" s="10" t="inlineStr">
        <is>
          <t>本線</t>
        </is>
      </c>
      <c r="D3723" s="10" t="inlineStr">
        <is>
          <t>上り</t>
        </is>
      </c>
      <c r="E3723" t="inlineStr">
        <is>
          <t>0710</t>
        </is>
      </c>
      <c r="F3723" t="inlineStr">
        <is>
          <t>2221</t>
        </is>
      </c>
      <c r="G3723" s="10" t="inlineStr">
        <is>
          <t>嵯峨</t>
        </is>
      </c>
      <c r="H3723" s="10" t="inlineStr">
        <is>
          <t>発</t>
        </is>
      </c>
      <c r="J3723" s="10" t="inlineStr">
        <is>
          <t>営業</t>
        </is>
      </c>
      <c r="L3723" t="inlineStr">
        <is>
          <t>7:43:55</t>
        </is>
      </c>
      <c r="M3723" t="inlineStr">
        <is>
          <t>7:44:20</t>
        </is>
      </c>
    </row>
    <row r="3724" ht="15" customHeight="1" s="37">
      <c r="A3724" t="n">
        <v>4</v>
      </c>
      <c r="B3724" s="10" t="inlineStr">
        <is>
          <t>休日</t>
        </is>
      </c>
      <c r="C3724" s="10" t="inlineStr">
        <is>
          <t>本線</t>
        </is>
      </c>
      <c r="D3724" s="10" t="inlineStr">
        <is>
          <t>上り</t>
        </is>
      </c>
      <c r="E3724" t="inlineStr">
        <is>
          <t>0710</t>
        </is>
      </c>
      <c r="F3724" t="inlineStr">
        <is>
          <t>2221</t>
        </is>
      </c>
      <c r="G3724" s="10" t="inlineStr">
        <is>
          <t>鹿王院</t>
        </is>
      </c>
      <c r="H3724" s="10" t="inlineStr">
        <is>
          <t>発</t>
        </is>
      </c>
      <c r="J3724" s="10" t="inlineStr">
        <is>
          <t>営業</t>
        </is>
      </c>
      <c r="L3724" t="inlineStr">
        <is>
          <t>7:45:25</t>
        </is>
      </c>
      <c r="M3724" t="inlineStr">
        <is>
          <t>7:45:45</t>
        </is>
      </c>
    </row>
    <row r="3725" ht="15" customHeight="1" s="37">
      <c r="A3725" t="n">
        <v>4</v>
      </c>
      <c r="B3725" s="10" t="inlineStr">
        <is>
          <t>休日</t>
        </is>
      </c>
      <c r="C3725" s="10" t="inlineStr">
        <is>
          <t>本線</t>
        </is>
      </c>
      <c r="D3725" s="10" t="inlineStr">
        <is>
          <t>上り</t>
        </is>
      </c>
      <c r="E3725" t="inlineStr">
        <is>
          <t>0710</t>
        </is>
      </c>
      <c r="F3725" t="inlineStr">
        <is>
          <t>2221</t>
        </is>
      </c>
      <c r="G3725" s="10" t="inlineStr">
        <is>
          <t>車折</t>
        </is>
      </c>
      <c r="H3725" s="10" t="inlineStr">
        <is>
          <t>発</t>
        </is>
      </c>
      <c r="J3725" s="10" t="inlineStr">
        <is>
          <t>営業</t>
        </is>
      </c>
      <c r="L3725" t="inlineStr">
        <is>
          <t>7:46:40</t>
        </is>
      </c>
      <c r="M3725" t="inlineStr">
        <is>
          <t>7:47:10</t>
        </is>
      </c>
    </row>
    <row r="3726" ht="15" customHeight="1" s="37">
      <c r="A3726" t="n">
        <v>4</v>
      </c>
      <c r="B3726" s="10" t="inlineStr">
        <is>
          <t>休日</t>
        </is>
      </c>
      <c r="C3726" s="10" t="inlineStr">
        <is>
          <t>本線</t>
        </is>
      </c>
      <c r="D3726" s="10" t="inlineStr">
        <is>
          <t>上り</t>
        </is>
      </c>
      <c r="E3726" t="inlineStr">
        <is>
          <t>0710</t>
        </is>
      </c>
      <c r="F3726" t="inlineStr">
        <is>
          <t>2221</t>
        </is>
      </c>
      <c r="G3726" s="10" t="inlineStr">
        <is>
          <t>有栖川</t>
        </is>
      </c>
      <c r="H3726" s="10" t="inlineStr">
        <is>
          <t>発</t>
        </is>
      </c>
      <c r="J3726" s="10" t="inlineStr">
        <is>
          <t>営業</t>
        </is>
      </c>
      <c r="L3726" t="inlineStr">
        <is>
          <t>7:48:35</t>
        </is>
      </c>
      <c r="M3726" t="inlineStr">
        <is>
          <t>7:48:55</t>
        </is>
      </c>
    </row>
    <row r="3727" ht="15" customHeight="1" s="37">
      <c r="A3727" t="n">
        <v>4</v>
      </c>
      <c r="B3727" s="10" t="inlineStr">
        <is>
          <t>休日</t>
        </is>
      </c>
      <c r="C3727" s="10" t="inlineStr">
        <is>
          <t>本線</t>
        </is>
      </c>
      <c r="D3727" s="10" t="inlineStr">
        <is>
          <t>上り</t>
        </is>
      </c>
      <c r="E3727" t="inlineStr">
        <is>
          <t>0710</t>
        </is>
      </c>
      <c r="F3727" t="inlineStr">
        <is>
          <t>2221</t>
        </is>
      </c>
      <c r="G3727" s="10" t="inlineStr">
        <is>
          <t>帷子ノ辻</t>
        </is>
      </c>
      <c r="H3727" s="10" t="inlineStr">
        <is>
          <t>発</t>
        </is>
      </c>
      <c r="J3727" s="10" t="inlineStr">
        <is>
          <t>営業</t>
        </is>
      </c>
      <c r="L3727" t="inlineStr">
        <is>
          <t>7:50:10</t>
        </is>
      </c>
      <c r="M3727" t="inlineStr">
        <is>
          <t>7:51:15</t>
        </is>
      </c>
    </row>
    <row r="3728" ht="15" customHeight="1" s="37">
      <c r="A3728" t="n">
        <v>4</v>
      </c>
      <c r="B3728" s="10" t="inlineStr">
        <is>
          <t>休日</t>
        </is>
      </c>
      <c r="C3728" s="10" t="inlineStr">
        <is>
          <t>本線</t>
        </is>
      </c>
      <c r="D3728" s="10" t="inlineStr">
        <is>
          <t>上り</t>
        </is>
      </c>
      <c r="E3728" t="inlineStr">
        <is>
          <t>0710</t>
        </is>
      </c>
      <c r="F3728" t="inlineStr">
        <is>
          <t>2221</t>
        </is>
      </c>
      <c r="G3728" s="10" t="inlineStr">
        <is>
          <t>太秦広隆寺</t>
        </is>
      </c>
      <c r="H3728" s="10" t="inlineStr">
        <is>
          <t>発</t>
        </is>
      </c>
      <c r="J3728" s="10" t="inlineStr">
        <is>
          <t>営業</t>
        </is>
      </c>
      <c r="L3728" t="inlineStr">
        <is>
          <t>7:53:25</t>
        </is>
      </c>
      <c r="M3728" t="inlineStr">
        <is>
          <t>7:53:45</t>
        </is>
      </c>
    </row>
    <row r="3729" ht="15" customHeight="1" s="37">
      <c r="A3729" t="n">
        <v>4</v>
      </c>
      <c r="B3729" s="10" t="inlineStr">
        <is>
          <t>休日</t>
        </is>
      </c>
      <c r="C3729" s="10" t="inlineStr">
        <is>
          <t>本線</t>
        </is>
      </c>
      <c r="D3729" s="10" t="inlineStr">
        <is>
          <t>上り</t>
        </is>
      </c>
      <c r="E3729" t="inlineStr">
        <is>
          <t>0710</t>
        </is>
      </c>
      <c r="F3729" t="inlineStr">
        <is>
          <t>2221</t>
        </is>
      </c>
      <c r="G3729" s="10" t="inlineStr">
        <is>
          <t>蚕ノ社</t>
        </is>
      </c>
      <c r="H3729" s="10" t="inlineStr">
        <is>
          <t>発</t>
        </is>
      </c>
      <c r="J3729" s="10" t="inlineStr">
        <is>
          <t>営業</t>
        </is>
      </c>
      <c r="L3729" t="inlineStr">
        <is>
          <t>7:55:00</t>
        </is>
      </c>
      <c r="M3729" t="inlineStr">
        <is>
          <t>7:55:20</t>
        </is>
      </c>
    </row>
    <row r="3730" ht="15" customHeight="1" s="37">
      <c r="A3730" t="n">
        <v>4</v>
      </c>
      <c r="B3730" s="10" t="inlineStr">
        <is>
          <t>休日</t>
        </is>
      </c>
      <c r="C3730" s="10" t="inlineStr">
        <is>
          <t>本線</t>
        </is>
      </c>
      <c r="D3730" s="10" t="inlineStr">
        <is>
          <t>上り</t>
        </is>
      </c>
      <c r="E3730" t="inlineStr">
        <is>
          <t>0710</t>
        </is>
      </c>
      <c r="F3730" t="inlineStr">
        <is>
          <t>2221</t>
        </is>
      </c>
      <c r="G3730" s="10" t="inlineStr">
        <is>
          <t>天神川</t>
        </is>
      </c>
      <c r="H3730" s="10" t="inlineStr">
        <is>
          <t>発</t>
        </is>
      </c>
      <c r="J3730" s="10" t="inlineStr">
        <is>
          <t>営業</t>
        </is>
      </c>
      <c r="L3730" t="inlineStr">
        <is>
          <t>7:56:05</t>
        </is>
      </c>
      <c r="M3730" t="inlineStr">
        <is>
          <t>7:56:50</t>
        </is>
      </c>
    </row>
    <row r="3731" ht="15" customHeight="1" s="37">
      <c r="A3731" t="n">
        <v>4</v>
      </c>
      <c r="B3731" s="10" t="inlineStr">
        <is>
          <t>休日</t>
        </is>
      </c>
      <c r="C3731" s="10" t="inlineStr">
        <is>
          <t>本線</t>
        </is>
      </c>
      <c r="D3731" s="10" t="inlineStr">
        <is>
          <t>上り</t>
        </is>
      </c>
      <c r="E3731" t="inlineStr">
        <is>
          <t>0710</t>
        </is>
      </c>
      <c r="F3731" t="inlineStr">
        <is>
          <t>2221</t>
        </is>
      </c>
      <c r="G3731" s="10" t="inlineStr">
        <is>
          <t>山ノ内</t>
        </is>
      </c>
      <c r="H3731" s="10" t="inlineStr">
        <is>
          <t>発</t>
        </is>
      </c>
      <c r="J3731" s="10" t="inlineStr">
        <is>
          <t>営業</t>
        </is>
      </c>
      <c r="L3731" t="inlineStr">
        <is>
          <t>7:58:40</t>
        </is>
      </c>
      <c r="M3731" t="inlineStr">
        <is>
          <t>7:59:05</t>
        </is>
      </c>
    </row>
    <row r="3732" ht="15" customHeight="1" s="37">
      <c r="A3732" t="n">
        <v>4</v>
      </c>
      <c r="B3732" s="10" t="inlineStr">
        <is>
          <t>休日</t>
        </is>
      </c>
      <c r="C3732" s="10" t="inlineStr">
        <is>
          <t>本線</t>
        </is>
      </c>
      <c r="D3732" s="10" t="inlineStr">
        <is>
          <t>上り</t>
        </is>
      </c>
      <c r="E3732" t="inlineStr">
        <is>
          <t>0710</t>
        </is>
      </c>
      <c r="F3732" t="inlineStr">
        <is>
          <t>2221</t>
        </is>
      </c>
      <c r="G3732" s="10" t="inlineStr">
        <is>
          <t>西大路三条</t>
        </is>
      </c>
      <c r="H3732" s="10" t="inlineStr">
        <is>
          <t>発</t>
        </is>
      </c>
      <c r="J3732" s="10" t="inlineStr">
        <is>
          <t>営業</t>
        </is>
      </c>
      <c r="L3732" t="inlineStr">
        <is>
          <t>8:00:55</t>
        </is>
      </c>
      <c r="M3732" t="inlineStr">
        <is>
          <t>8:01:15</t>
        </is>
      </c>
    </row>
    <row r="3733" ht="15" customHeight="1" s="37">
      <c r="A3733" t="n">
        <v>4</v>
      </c>
      <c r="B3733" s="10" t="inlineStr">
        <is>
          <t>休日</t>
        </is>
      </c>
      <c r="C3733" s="10" t="inlineStr">
        <is>
          <t>本線</t>
        </is>
      </c>
      <c r="D3733" s="10" t="inlineStr">
        <is>
          <t>上り</t>
        </is>
      </c>
      <c r="E3733" t="inlineStr">
        <is>
          <t>0710</t>
        </is>
      </c>
      <c r="F3733" t="inlineStr">
        <is>
          <t>2221</t>
        </is>
      </c>
      <c r="G3733" s="10" t="inlineStr">
        <is>
          <t>西院</t>
        </is>
      </c>
      <c r="H3733" s="10" t="inlineStr">
        <is>
          <t>発</t>
        </is>
      </c>
      <c r="J3733" s="10" t="inlineStr">
        <is>
          <t>営業</t>
        </is>
      </c>
      <c r="L3733" t="inlineStr">
        <is>
          <t>8:03:10</t>
        </is>
      </c>
      <c r="M3733" t="inlineStr">
        <is>
          <t>8:04:05</t>
        </is>
      </c>
    </row>
    <row r="3734" ht="15" customHeight="1" s="37">
      <c r="A3734" t="n">
        <v>4</v>
      </c>
      <c r="B3734" s="10" t="inlineStr">
        <is>
          <t>休日</t>
        </is>
      </c>
      <c r="C3734" s="10" t="inlineStr">
        <is>
          <t>本線</t>
        </is>
      </c>
      <c r="D3734" s="10" t="inlineStr">
        <is>
          <t>上り</t>
        </is>
      </c>
      <c r="E3734" t="inlineStr">
        <is>
          <t>0710</t>
        </is>
      </c>
      <c r="F3734" t="inlineStr">
        <is>
          <t>2221</t>
        </is>
      </c>
      <c r="G3734" s="10" t="inlineStr">
        <is>
          <t>四条大宮</t>
        </is>
      </c>
      <c r="H3734" s="10" t="inlineStr">
        <is>
          <t>着</t>
        </is>
      </c>
      <c r="J3734" s="10" t="inlineStr">
        <is>
          <t>営業</t>
        </is>
      </c>
      <c r="L3734" t="inlineStr">
        <is>
          <t>8:07:00</t>
        </is>
      </c>
      <c r="Q3734" t="inlineStr">
        <is>
          <t>1</t>
        </is>
      </c>
    </row>
    <row r="3735" ht="15" customHeight="1" s="37">
      <c r="A3735" t="n">
        <v>4</v>
      </c>
      <c r="B3735" s="10" t="inlineStr">
        <is>
          <t>休日</t>
        </is>
      </c>
      <c r="C3735" s="10" t="inlineStr">
        <is>
          <t>本線</t>
        </is>
      </c>
      <c r="D3735" s="10" t="inlineStr">
        <is>
          <t>下り</t>
        </is>
      </c>
      <c r="E3735" t="inlineStr">
        <is>
          <t>0803</t>
        </is>
      </c>
      <c r="F3735" t="inlineStr">
        <is>
          <t>0122</t>
        </is>
      </c>
      <c r="G3735" s="10" t="inlineStr">
        <is>
          <t>四条大宮</t>
        </is>
      </c>
      <c r="H3735" s="10" t="inlineStr">
        <is>
          <t>発</t>
        </is>
      </c>
      <c r="J3735" s="10" t="inlineStr">
        <is>
          <t>営業</t>
        </is>
      </c>
      <c r="M3735" t="inlineStr">
        <is>
          <t>8:13:00</t>
        </is>
      </c>
      <c r="Q3735" t="inlineStr">
        <is>
          <t>1</t>
        </is>
      </c>
    </row>
    <row r="3736" ht="15" customHeight="1" s="37">
      <c r="A3736" t="n">
        <v>4</v>
      </c>
      <c r="B3736" s="10" t="inlineStr">
        <is>
          <t>休日</t>
        </is>
      </c>
      <c r="C3736" s="10" t="inlineStr">
        <is>
          <t>本線</t>
        </is>
      </c>
      <c r="D3736" s="10" t="inlineStr">
        <is>
          <t>下り</t>
        </is>
      </c>
      <c r="E3736" t="inlineStr">
        <is>
          <t>0803</t>
        </is>
      </c>
      <c r="F3736" t="inlineStr">
        <is>
          <t>0122</t>
        </is>
      </c>
      <c r="G3736" s="10" t="inlineStr">
        <is>
          <t>西院</t>
        </is>
      </c>
      <c r="H3736" s="10" t="inlineStr">
        <is>
          <t>発</t>
        </is>
      </c>
      <c r="J3736" s="10" t="inlineStr">
        <is>
          <t>営業</t>
        </is>
      </c>
      <c r="L3736" t="inlineStr">
        <is>
          <t>8:15:50</t>
        </is>
      </c>
      <c r="M3736" t="inlineStr">
        <is>
          <t>8:16:20</t>
        </is>
      </c>
    </row>
    <row r="3737" ht="15" customHeight="1" s="37">
      <c r="A3737" t="n">
        <v>4</v>
      </c>
      <c r="B3737" s="10" t="inlineStr">
        <is>
          <t>休日</t>
        </is>
      </c>
      <c r="C3737" s="10" t="inlineStr">
        <is>
          <t>本線</t>
        </is>
      </c>
      <c r="D3737" s="10" t="inlineStr">
        <is>
          <t>下り</t>
        </is>
      </c>
      <c r="E3737" t="inlineStr">
        <is>
          <t>0803</t>
        </is>
      </c>
      <c r="F3737" t="inlineStr">
        <is>
          <t>0122</t>
        </is>
      </c>
      <c r="G3737" s="10" t="inlineStr">
        <is>
          <t>西大路三条</t>
        </is>
      </c>
      <c r="H3737" s="10" t="inlineStr">
        <is>
          <t>発</t>
        </is>
      </c>
      <c r="J3737" s="10" t="inlineStr">
        <is>
          <t>営業</t>
        </is>
      </c>
      <c r="L3737" t="inlineStr">
        <is>
          <t>8:18:10</t>
        </is>
      </c>
      <c r="M3737" t="inlineStr">
        <is>
          <t>8:18:30</t>
        </is>
      </c>
    </row>
    <row r="3738" ht="15" customHeight="1" s="37">
      <c r="A3738" t="n">
        <v>4</v>
      </c>
      <c r="B3738" s="10" t="inlineStr">
        <is>
          <t>休日</t>
        </is>
      </c>
      <c r="C3738" s="10" t="inlineStr">
        <is>
          <t>本線</t>
        </is>
      </c>
      <c r="D3738" s="10" t="inlineStr">
        <is>
          <t>下り</t>
        </is>
      </c>
      <c r="E3738" t="inlineStr">
        <is>
          <t>0803</t>
        </is>
      </c>
      <c r="F3738" t="inlineStr">
        <is>
          <t>0122</t>
        </is>
      </c>
      <c r="G3738" s="10" t="inlineStr">
        <is>
          <t>山ノ内</t>
        </is>
      </c>
      <c r="H3738" s="10" t="inlineStr">
        <is>
          <t>発</t>
        </is>
      </c>
      <c r="J3738" s="10" t="inlineStr">
        <is>
          <t>営業</t>
        </is>
      </c>
      <c r="L3738" t="inlineStr">
        <is>
          <t>8:20:25</t>
        </is>
      </c>
      <c r="M3738" t="inlineStr">
        <is>
          <t>8:20:50</t>
        </is>
      </c>
    </row>
    <row r="3739" ht="15" customHeight="1" s="37">
      <c r="A3739" t="n">
        <v>4</v>
      </c>
      <c r="B3739" s="10" t="inlineStr">
        <is>
          <t>休日</t>
        </is>
      </c>
      <c r="C3739" s="10" t="inlineStr">
        <is>
          <t>本線</t>
        </is>
      </c>
      <c r="D3739" s="10" t="inlineStr">
        <is>
          <t>下り</t>
        </is>
      </c>
      <c r="E3739" t="inlineStr">
        <is>
          <t>0803</t>
        </is>
      </c>
      <c r="F3739" t="inlineStr">
        <is>
          <t>0122</t>
        </is>
      </c>
      <c r="G3739" s="10" t="inlineStr">
        <is>
          <t>天神川</t>
        </is>
      </c>
      <c r="H3739" s="10" t="inlineStr">
        <is>
          <t>発</t>
        </is>
      </c>
      <c r="J3739" s="10" t="inlineStr">
        <is>
          <t>営業</t>
        </is>
      </c>
      <c r="L3739" t="inlineStr">
        <is>
          <t>8:22:50</t>
        </is>
      </c>
      <c r="M3739" t="inlineStr">
        <is>
          <t>8:23:30</t>
        </is>
      </c>
    </row>
    <row r="3740" ht="15" customHeight="1" s="37">
      <c r="A3740" t="n">
        <v>4</v>
      </c>
      <c r="B3740" s="10" t="inlineStr">
        <is>
          <t>休日</t>
        </is>
      </c>
      <c r="C3740" s="10" t="inlineStr">
        <is>
          <t>本線</t>
        </is>
      </c>
      <c r="D3740" s="10" t="inlineStr">
        <is>
          <t>下り</t>
        </is>
      </c>
      <c r="E3740" t="inlineStr">
        <is>
          <t>0803</t>
        </is>
      </c>
      <c r="F3740" t="inlineStr">
        <is>
          <t>0122</t>
        </is>
      </c>
      <c r="G3740" s="10" t="inlineStr">
        <is>
          <t>蚕ノ社</t>
        </is>
      </c>
      <c r="H3740" s="10" t="inlineStr">
        <is>
          <t>発</t>
        </is>
      </c>
      <c r="J3740" s="10" t="inlineStr">
        <is>
          <t>営業</t>
        </is>
      </c>
      <c r="L3740" t="inlineStr">
        <is>
          <t>8:24:20</t>
        </is>
      </c>
      <c r="M3740" t="inlineStr">
        <is>
          <t>8:24:40</t>
        </is>
      </c>
    </row>
    <row r="3741" ht="15" customHeight="1" s="37">
      <c r="A3741" t="n">
        <v>4</v>
      </c>
      <c r="B3741" s="10" t="inlineStr">
        <is>
          <t>休日</t>
        </is>
      </c>
      <c r="C3741" s="10" t="inlineStr">
        <is>
          <t>本線</t>
        </is>
      </c>
      <c r="D3741" s="10" t="inlineStr">
        <is>
          <t>下り</t>
        </is>
      </c>
      <c r="E3741" t="inlineStr">
        <is>
          <t>0803</t>
        </is>
      </c>
      <c r="F3741" t="inlineStr">
        <is>
          <t>0122</t>
        </is>
      </c>
      <c r="G3741" s="10" t="inlineStr">
        <is>
          <t>太秦広隆寺</t>
        </is>
      </c>
      <c r="H3741" s="10" t="inlineStr">
        <is>
          <t>発</t>
        </is>
      </c>
      <c r="J3741" s="10" t="inlineStr">
        <is>
          <t>営業</t>
        </is>
      </c>
      <c r="L3741" t="inlineStr">
        <is>
          <t>8:26:00</t>
        </is>
      </c>
      <c r="M3741" t="inlineStr">
        <is>
          <t>8:26:20</t>
        </is>
      </c>
    </row>
    <row r="3742" ht="15" customHeight="1" s="37">
      <c r="A3742" t="n">
        <v>4</v>
      </c>
      <c r="B3742" s="10" t="inlineStr">
        <is>
          <t>休日</t>
        </is>
      </c>
      <c r="C3742" s="10" t="inlineStr">
        <is>
          <t>本線</t>
        </is>
      </c>
      <c r="D3742" s="10" t="inlineStr">
        <is>
          <t>下り</t>
        </is>
      </c>
      <c r="E3742" t="inlineStr">
        <is>
          <t>0803</t>
        </is>
      </c>
      <c r="F3742" t="inlineStr">
        <is>
          <t>0122</t>
        </is>
      </c>
      <c r="G3742" s="10" t="inlineStr">
        <is>
          <t>帷子ノ辻</t>
        </is>
      </c>
      <c r="H3742" s="10" t="inlineStr">
        <is>
          <t>発</t>
        </is>
      </c>
      <c r="J3742" s="10" t="inlineStr">
        <is>
          <t>営業</t>
        </is>
      </c>
      <c r="L3742" t="inlineStr">
        <is>
          <t>8:28:20</t>
        </is>
      </c>
      <c r="M3742" t="inlineStr">
        <is>
          <t>8:29:40</t>
        </is>
      </c>
    </row>
    <row r="3743" ht="15" customHeight="1" s="37">
      <c r="A3743" t="n">
        <v>4</v>
      </c>
      <c r="B3743" s="10" t="inlineStr">
        <is>
          <t>休日</t>
        </is>
      </c>
      <c r="C3743" s="10" t="inlineStr">
        <is>
          <t>本線</t>
        </is>
      </c>
      <c r="D3743" s="10" t="inlineStr">
        <is>
          <t>下り</t>
        </is>
      </c>
      <c r="E3743" t="inlineStr">
        <is>
          <t>0803</t>
        </is>
      </c>
      <c r="F3743" t="inlineStr">
        <is>
          <t>0122</t>
        </is>
      </c>
      <c r="G3743" s="10" t="inlineStr">
        <is>
          <t>有栖川</t>
        </is>
      </c>
      <c r="H3743" s="10" t="inlineStr">
        <is>
          <t>発</t>
        </is>
      </c>
      <c r="J3743" s="10" t="inlineStr">
        <is>
          <t>営業</t>
        </is>
      </c>
      <c r="L3743" t="inlineStr">
        <is>
          <t>8:30:50</t>
        </is>
      </c>
      <c r="M3743" t="inlineStr">
        <is>
          <t>8:31:15</t>
        </is>
      </c>
    </row>
    <row r="3744" ht="15" customHeight="1" s="37">
      <c r="A3744" t="n">
        <v>4</v>
      </c>
      <c r="B3744" s="10" t="inlineStr">
        <is>
          <t>休日</t>
        </is>
      </c>
      <c r="C3744" s="10" t="inlineStr">
        <is>
          <t>本線</t>
        </is>
      </c>
      <c r="D3744" s="10" t="inlineStr">
        <is>
          <t>下り</t>
        </is>
      </c>
      <c r="E3744" t="inlineStr">
        <is>
          <t>0803</t>
        </is>
      </c>
      <c r="F3744" t="inlineStr">
        <is>
          <t>0122</t>
        </is>
      </c>
      <c r="G3744" s="10" t="inlineStr">
        <is>
          <t>車折</t>
        </is>
      </c>
      <c r="H3744" s="10" t="inlineStr">
        <is>
          <t>発</t>
        </is>
      </c>
      <c r="J3744" s="10" t="inlineStr">
        <is>
          <t>営業</t>
        </is>
      </c>
      <c r="L3744" t="inlineStr">
        <is>
          <t>8:32:40</t>
        </is>
      </c>
      <c r="M3744" t="inlineStr">
        <is>
          <t>8:33:05</t>
        </is>
      </c>
    </row>
    <row r="3745" ht="15" customHeight="1" s="37">
      <c r="A3745" t="n">
        <v>4</v>
      </c>
      <c r="B3745" s="10" t="inlineStr">
        <is>
          <t>休日</t>
        </is>
      </c>
      <c r="C3745" s="10" t="inlineStr">
        <is>
          <t>本線</t>
        </is>
      </c>
      <c r="D3745" s="10" t="inlineStr">
        <is>
          <t>下り</t>
        </is>
      </c>
      <c r="E3745" t="inlineStr">
        <is>
          <t>0803</t>
        </is>
      </c>
      <c r="F3745" t="inlineStr">
        <is>
          <t>0122</t>
        </is>
      </c>
      <c r="G3745" s="10" t="inlineStr">
        <is>
          <t>鹿王院</t>
        </is>
      </c>
      <c r="H3745" s="10" t="inlineStr">
        <is>
          <t>発</t>
        </is>
      </c>
      <c r="J3745" s="10" t="inlineStr">
        <is>
          <t>営業</t>
        </is>
      </c>
      <c r="L3745" t="inlineStr">
        <is>
          <t>8:34:00</t>
        </is>
      </c>
      <c r="M3745" t="inlineStr">
        <is>
          <t>8:34:25</t>
        </is>
      </c>
    </row>
    <row r="3746" ht="15" customHeight="1" s="37">
      <c r="A3746" t="n">
        <v>4</v>
      </c>
      <c r="B3746" s="10" t="inlineStr">
        <is>
          <t>休日</t>
        </is>
      </c>
      <c r="C3746" s="10" t="inlineStr">
        <is>
          <t>本線</t>
        </is>
      </c>
      <c r="D3746" s="10" t="inlineStr">
        <is>
          <t>下り</t>
        </is>
      </c>
      <c r="E3746" t="inlineStr">
        <is>
          <t>0803</t>
        </is>
      </c>
      <c r="F3746" t="inlineStr">
        <is>
          <t>0122</t>
        </is>
      </c>
      <c r="G3746" s="10" t="inlineStr">
        <is>
          <t>嵯峨</t>
        </is>
      </c>
      <c r="H3746" s="10" t="inlineStr">
        <is>
          <t>発</t>
        </is>
      </c>
      <c r="J3746" s="10" t="inlineStr">
        <is>
          <t>営業</t>
        </is>
      </c>
      <c r="L3746" t="inlineStr">
        <is>
          <t>8:35:30</t>
        </is>
      </c>
      <c r="M3746" t="inlineStr">
        <is>
          <t>8:35:55</t>
        </is>
      </c>
    </row>
    <row r="3747" ht="15" customHeight="1" s="37">
      <c r="A3747" t="n">
        <v>4</v>
      </c>
      <c r="B3747" s="10" t="inlineStr">
        <is>
          <t>休日</t>
        </is>
      </c>
      <c r="C3747" s="10" t="inlineStr">
        <is>
          <t>本線</t>
        </is>
      </c>
      <c r="D3747" s="10" t="inlineStr">
        <is>
          <t>下り</t>
        </is>
      </c>
      <c r="E3747" t="inlineStr">
        <is>
          <t>0803</t>
        </is>
      </c>
      <c r="F3747" t="inlineStr">
        <is>
          <t>0122</t>
        </is>
      </c>
      <c r="G3747" s="10" t="inlineStr">
        <is>
          <t>嵐山</t>
        </is>
      </c>
      <c r="H3747" s="10" t="inlineStr">
        <is>
          <t>着</t>
        </is>
      </c>
      <c r="J3747" s="10" t="inlineStr">
        <is>
          <t>営業</t>
        </is>
      </c>
      <c r="L3747" t="inlineStr">
        <is>
          <t>8:37:00</t>
        </is>
      </c>
      <c r="Q3747" t="inlineStr">
        <is>
          <t>1</t>
        </is>
      </c>
    </row>
    <row r="3748" ht="15" customHeight="1" s="37">
      <c r="A3748" t="n">
        <v>4</v>
      </c>
      <c r="B3748" s="10" t="inlineStr">
        <is>
          <t>休日</t>
        </is>
      </c>
      <c r="C3748" s="10" t="inlineStr">
        <is>
          <t>本線</t>
        </is>
      </c>
      <c r="D3748" s="10" t="inlineStr">
        <is>
          <t>上り</t>
        </is>
      </c>
      <c r="E3748" t="inlineStr">
        <is>
          <t>0810</t>
        </is>
      </c>
      <c r="F3748" t="inlineStr">
        <is>
          <t>2221</t>
        </is>
      </c>
      <c r="G3748" s="10" t="inlineStr">
        <is>
          <t>嵐山</t>
        </is>
      </c>
      <c r="H3748" s="10" t="inlineStr">
        <is>
          <t>発</t>
        </is>
      </c>
      <c r="J3748" s="10" t="inlineStr">
        <is>
          <t>営業</t>
        </is>
      </c>
      <c r="M3748" t="inlineStr">
        <is>
          <t>8:43:00</t>
        </is>
      </c>
      <c r="Q3748" t="inlineStr">
        <is>
          <t>1</t>
        </is>
      </c>
    </row>
    <row r="3749" ht="15" customHeight="1" s="37">
      <c r="A3749" t="n">
        <v>4</v>
      </c>
      <c r="B3749" s="10" t="inlineStr">
        <is>
          <t>休日</t>
        </is>
      </c>
      <c r="C3749" s="10" t="inlineStr">
        <is>
          <t>本線</t>
        </is>
      </c>
      <c r="D3749" s="10" t="inlineStr">
        <is>
          <t>上り</t>
        </is>
      </c>
      <c r="E3749" t="inlineStr">
        <is>
          <t>0810</t>
        </is>
      </c>
      <c r="F3749" t="inlineStr">
        <is>
          <t>2221</t>
        </is>
      </c>
      <c r="G3749" s="10" t="inlineStr">
        <is>
          <t>嵯峨</t>
        </is>
      </c>
      <c r="H3749" s="10" t="inlineStr">
        <is>
          <t>発</t>
        </is>
      </c>
      <c r="J3749" s="10" t="inlineStr">
        <is>
          <t>営業</t>
        </is>
      </c>
      <c r="L3749" t="inlineStr">
        <is>
          <t>8:43:55</t>
        </is>
      </c>
      <c r="M3749" t="inlineStr">
        <is>
          <t>8:44:20</t>
        </is>
      </c>
    </row>
    <row r="3750" ht="15" customHeight="1" s="37">
      <c r="A3750" t="n">
        <v>4</v>
      </c>
      <c r="B3750" s="10" t="inlineStr">
        <is>
          <t>休日</t>
        </is>
      </c>
      <c r="C3750" s="10" t="inlineStr">
        <is>
          <t>本線</t>
        </is>
      </c>
      <c r="D3750" s="10" t="inlineStr">
        <is>
          <t>上り</t>
        </is>
      </c>
      <c r="E3750" t="inlineStr">
        <is>
          <t>0810</t>
        </is>
      </c>
      <c r="F3750" t="inlineStr">
        <is>
          <t>2221</t>
        </is>
      </c>
      <c r="G3750" s="10" t="inlineStr">
        <is>
          <t>鹿王院</t>
        </is>
      </c>
      <c r="H3750" s="10" t="inlineStr">
        <is>
          <t>発</t>
        </is>
      </c>
      <c r="J3750" s="10" t="inlineStr">
        <is>
          <t>営業</t>
        </is>
      </c>
      <c r="L3750" t="inlineStr">
        <is>
          <t>8:45:25</t>
        </is>
      </c>
      <c r="M3750" t="inlineStr">
        <is>
          <t>8:45:45</t>
        </is>
      </c>
    </row>
    <row r="3751" ht="15" customHeight="1" s="37">
      <c r="A3751" t="n">
        <v>4</v>
      </c>
      <c r="B3751" s="10" t="inlineStr">
        <is>
          <t>休日</t>
        </is>
      </c>
      <c r="C3751" s="10" t="inlineStr">
        <is>
          <t>本線</t>
        </is>
      </c>
      <c r="D3751" s="10" t="inlineStr">
        <is>
          <t>上り</t>
        </is>
      </c>
      <c r="E3751" t="inlineStr">
        <is>
          <t>0810</t>
        </is>
      </c>
      <c r="F3751" t="inlineStr">
        <is>
          <t>2221</t>
        </is>
      </c>
      <c r="G3751" s="10" t="inlineStr">
        <is>
          <t>車折</t>
        </is>
      </c>
      <c r="H3751" s="10" t="inlineStr">
        <is>
          <t>発</t>
        </is>
      </c>
      <c r="J3751" s="10" t="inlineStr">
        <is>
          <t>営業</t>
        </is>
      </c>
      <c r="L3751" t="inlineStr">
        <is>
          <t>8:46:40</t>
        </is>
      </c>
      <c r="M3751" t="inlineStr">
        <is>
          <t>8:47:10</t>
        </is>
      </c>
    </row>
    <row r="3752" ht="15" customHeight="1" s="37">
      <c r="A3752" t="n">
        <v>4</v>
      </c>
      <c r="B3752" s="10" t="inlineStr">
        <is>
          <t>休日</t>
        </is>
      </c>
      <c r="C3752" s="10" t="inlineStr">
        <is>
          <t>本線</t>
        </is>
      </c>
      <c r="D3752" s="10" t="inlineStr">
        <is>
          <t>上り</t>
        </is>
      </c>
      <c r="E3752" t="inlineStr">
        <is>
          <t>0810</t>
        </is>
      </c>
      <c r="F3752" t="inlineStr">
        <is>
          <t>2221</t>
        </is>
      </c>
      <c r="G3752" s="10" t="inlineStr">
        <is>
          <t>有栖川</t>
        </is>
      </c>
      <c r="H3752" s="10" t="inlineStr">
        <is>
          <t>発</t>
        </is>
      </c>
      <c r="J3752" s="10" t="inlineStr">
        <is>
          <t>営業</t>
        </is>
      </c>
      <c r="L3752" t="inlineStr">
        <is>
          <t>8:48:35</t>
        </is>
      </c>
      <c r="M3752" t="inlineStr">
        <is>
          <t>8:48:55</t>
        </is>
      </c>
    </row>
    <row r="3753" ht="15" customHeight="1" s="37">
      <c r="A3753" t="n">
        <v>4</v>
      </c>
      <c r="B3753" s="10" t="inlineStr">
        <is>
          <t>休日</t>
        </is>
      </c>
      <c r="C3753" s="10" t="inlineStr">
        <is>
          <t>本線</t>
        </is>
      </c>
      <c r="D3753" s="10" t="inlineStr">
        <is>
          <t>上り</t>
        </is>
      </c>
      <c r="E3753" t="inlineStr">
        <is>
          <t>0810</t>
        </is>
      </c>
      <c r="F3753" t="inlineStr">
        <is>
          <t>2221</t>
        </is>
      </c>
      <c r="G3753" s="10" t="inlineStr">
        <is>
          <t>帷子ノ辻</t>
        </is>
      </c>
      <c r="H3753" s="10" t="inlineStr">
        <is>
          <t>発</t>
        </is>
      </c>
      <c r="J3753" s="10" t="inlineStr">
        <is>
          <t>営業</t>
        </is>
      </c>
      <c r="L3753" t="inlineStr">
        <is>
          <t>8:50:10</t>
        </is>
      </c>
      <c r="M3753" t="inlineStr">
        <is>
          <t>8:51:15</t>
        </is>
      </c>
    </row>
    <row r="3754" ht="15" customHeight="1" s="37">
      <c r="A3754" t="n">
        <v>4</v>
      </c>
      <c r="B3754" s="10" t="inlineStr">
        <is>
          <t>休日</t>
        </is>
      </c>
      <c r="C3754" s="10" t="inlineStr">
        <is>
          <t>本線</t>
        </is>
      </c>
      <c r="D3754" s="10" t="inlineStr">
        <is>
          <t>上り</t>
        </is>
      </c>
      <c r="E3754" t="inlineStr">
        <is>
          <t>0810</t>
        </is>
      </c>
      <c r="F3754" t="inlineStr">
        <is>
          <t>2221</t>
        </is>
      </c>
      <c r="G3754" s="10" t="inlineStr">
        <is>
          <t>太秦広隆寺</t>
        </is>
      </c>
      <c r="H3754" s="10" t="inlineStr">
        <is>
          <t>発</t>
        </is>
      </c>
      <c r="J3754" s="10" t="inlineStr">
        <is>
          <t>営業</t>
        </is>
      </c>
      <c r="L3754" t="inlineStr">
        <is>
          <t>8:53:25</t>
        </is>
      </c>
      <c r="M3754" t="inlineStr">
        <is>
          <t>8:53:45</t>
        </is>
      </c>
    </row>
    <row r="3755" ht="15" customHeight="1" s="37">
      <c r="A3755" t="n">
        <v>4</v>
      </c>
      <c r="B3755" s="10" t="inlineStr">
        <is>
          <t>休日</t>
        </is>
      </c>
      <c r="C3755" s="10" t="inlineStr">
        <is>
          <t>本線</t>
        </is>
      </c>
      <c r="D3755" s="10" t="inlineStr">
        <is>
          <t>上り</t>
        </is>
      </c>
      <c r="E3755" t="inlineStr">
        <is>
          <t>0810</t>
        </is>
      </c>
      <c r="F3755" t="inlineStr">
        <is>
          <t>2221</t>
        </is>
      </c>
      <c r="G3755" s="10" t="inlineStr">
        <is>
          <t>蚕ノ社</t>
        </is>
      </c>
      <c r="H3755" s="10" t="inlineStr">
        <is>
          <t>発</t>
        </is>
      </c>
      <c r="J3755" s="10" t="inlineStr">
        <is>
          <t>営業</t>
        </is>
      </c>
      <c r="L3755" t="inlineStr">
        <is>
          <t>8:55:00</t>
        </is>
      </c>
      <c r="M3755" t="inlineStr">
        <is>
          <t>8:55:20</t>
        </is>
      </c>
    </row>
    <row r="3756" ht="15" customHeight="1" s="37">
      <c r="A3756" t="n">
        <v>4</v>
      </c>
      <c r="B3756" s="10" t="inlineStr">
        <is>
          <t>休日</t>
        </is>
      </c>
      <c r="C3756" s="10" t="inlineStr">
        <is>
          <t>本線</t>
        </is>
      </c>
      <c r="D3756" s="10" t="inlineStr">
        <is>
          <t>上り</t>
        </is>
      </c>
      <c r="E3756" t="inlineStr">
        <is>
          <t>0810</t>
        </is>
      </c>
      <c r="F3756" t="inlineStr">
        <is>
          <t>2221</t>
        </is>
      </c>
      <c r="G3756" s="10" t="inlineStr">
        <is>
          <t>天神川</t>
        </is>
      </c>
      <c r="H3756" s="10" t="inlineStr">
        <is>
          <t>発</t>
        </is>
      </c>
      <c r="J3756" s="10" t="inlineStr">
        <is>
          <t>営業</t>
        </is>
      </c>
      <c r="L3756" t="inlineStr">
        <is>
          <t>8:56:05</t>
        </is>
      </c>
      <c r="M3756" t="inlineStr">
        <is>
          <t>8:56:50</t>
        </is>
      </c>
    </row>
    <row r="3757" ht="15" customHeight="1" s="37">
      <c r="A3757" t="n">
        <v>4</v>
      </c>
      <c r="B3757" s="10" t="inlineStr">
        <is>
          <t>休日</t>
        </is>
      </c>
      <c r="C3757" s="10" t="inlineStr">
        <is>
          <t>本線</t>
        </is>
      </c>
      <c r="D3757" s="10" t="inlineStr">
        <is>
          <t>上り</t>
        </is>
      </c>
      <c r="E3757" t="inlineStr">
        <is>
          <t>0810</t>
        </is>
      </c>
      <c r="F3757" t="inlineStr">
        <is>
          <t>2221</t>
        </is>
      </c>
      <c r="G3757" s="10" t="inlineStr">
        <is>
          <t>山ノ内</t>
        </is>
      </c>
      <c r="H3757" s="10" t="inlineStr">
        <is>
          <t>発</t>
        </is>
      </c>
      <c r="J3757" s="10" t="inlineStr">
        <is>
          <t>営業</t>
        </is>
      </c>
      <c r="L3757" t="inlineStr">
        <is>
          <t>8:58:40</t>
        </is>
      </c>
      <c r="M3757" t="inlineStr">
        <is>
          <t>8:59:05</t>
        </is>
      </c>
    </row>
    <row r="3758" ht="15" customHeight="1" s="37">
      <c r="A3758" t="n">
        <v>4</v>
      </c>
      <c r="B3758" s="10" t="inlineStr">
        <is>
          <t>休日</t>
        </is>
      </c>
      <c r="C3758" s="10" t="inlineStr">
        <is>
          <t>本線</t>
        </is>
      </c>
      <c r="D3758" s="10" t="inlineStr">
        <is>
          <t>上り</t>
        </is>
      </c>
      <c r="E3758" t="inlineStr">
        <is>
          <t>0810</t>
        </is>
      </c>
      <c r="F3758" t="inlineStr">
        <is>
          <t>2221</t>
        </is>
      </c>
      <c r="G3758" s="10" t="inlineStr">
        <is>
          <t>西大路三条</t>
        </is>
      </c>
      <c r="H3758" s="10" t="inlineStr">
        <is>
          <t>発</t>
        </is>
      </c>
      <c r="J3758" s="10" t="inlineStr">
        <is>
          <t>営業</t>
        </is>
      </c>
      <c r="L3758" t="inlineStr">
        <is>
          <t>9:00:55</t>
        </is>
      </c>
      <c r="M3758" t="inlineStr">
        <is>
          <t>9:01:15</t>
        </is>
      </c>
    </row>
    <row r="3759" ht="15" customHeight="1" s="37">
      <c r="A3759" t="n">
        <v>4</v>
      </c>
      <c r="B3759" s="10" t="inlineStr">
        <is>
          <t>休日</t>
        </is>
      </c>
      <c r="C3759" s="10" t="inlineStr">
        <is>
          <t>本線</t>
        </is>
      </c>
      <c r="D3759" s="10" t="inlineStr">
        <is>
          <t>上り</t>
        </is>
      </c>
      <c r="E3759" t="inlineStr">
        <is>
          <t>0810</t>
        </is>
      </c>
      <c r="F3759" t="inlineStr">
        <is>
          <t>2221</t>
        </is>
      </c>
      <c r="G3759" s="10" t="inlineStr">
        <is>
          <t>西院</t>
        </is>
      </c>
      <c r="H3759" s="10" t="inlineStr">
        <is>
          <t>発</t>
        </is>
      </c>
      <c r="J3759" s="10" t="inlineStr">
        <is>
          <t>営業</t>
        </is>
      </c>
      <c r="L3759" t="inlineStr">
        <is>
          <t>9:03:10</t>
        </is>
      </c>
      <c r="M3759" t="inlineStr">
        <is>
          <t>9:04:05</t>
        </is>
      </c>
    </row>
    <row r="3760" ht="15" customHeight="1" s="37">
      <c r="A3760" t="n">
        <v>4</v>
      </c>
      <c r="B3760" s="10" t="inlineStr">
        <is>
          <t>休日</t>
        </is>
      </c>
      <c r="C3760" s="10" t="inlineStr">
        <is>
          <t>本線</t>
        </is>
      </c>
      <c r="D3760" s="10" t="inlineStr">
        <is>
          <t>上り</t>
        </is>
      </c>
      <c r="E3760" t="inlineStr">
        <is>
          <t>0810</t>
        </is>
      </c>
      <c r="F3760" t="inlineStr">
        <is>
          <t>2221</t>
        </is>
      </c>
      <c r="G3760" s="10" t="inlineStr">
        <is>
          <t>四条大宮</t>
        </is>
      </c>
      <c r="H3760" s="10" t="inlineStr">
        <is>
          <t>着</t>
        </is>
      </c>
      <c r="J3760" s="10" t="inlineStr">
        <is>
          <t>営業</t>
        </is>
      </c>
      <c r="L3760" t="inlineStr">
        <is>
          <t>9:07:00</t>
        </is>
      </c>
      <c r="Q3760" t="inlineStr">
        <is>
          <t>1</t>
        </is>
      </c>
    </row>
    <row r="3761" ht="15" customHeight="1" s="37">
      <c r="A3761" t="n">
        <v>4</v>
      </c>
      <c r="B3761" s="10" t="inlineStr">
        <is>
          <t>休日</t>
        </is>
      </c>
      <c r="C3761" s="10" t="inlineStr">
        <is>
          <t>本線</t>
        </is>
      </c>
      <c r="D3761" s="10" t="inlineStr">
        <is>
          <t>下り</t>
        </is>
      </c>
      <c r="E3761" t="inlineStr">
        <is>
          <t>0903</t>
        </is>
      </c>
      <c r="F3761" t="inlineStr">
        <is>
          <t>0112</t>
        </is>
      </c>
      <c r="G3761" s="10" t="inlineStr">
        <is>
          <t>四条大宮</t>
        </is>
      </c>
      <c r="H3761" s="10" t="inlineStr">
        <is>
          <t>発</t>
        </is>
      </c>
      <c r="J3761" s="10" t="inlineStr">
        <is>
          <t>営業</t>
        </is>
      </c>
      <c r="M3761" t="inlineStr">
        <is>
          <t>9:13:00</t>
        </is>
      </c>
      <c r="Q3761" t="inlineStr">
        <is>
          <t>1</t>
        </is>
      </c>
    </row>
    <row r="3762" ht="15" customHeight="1" s="37">
      <c r="A3762" t="n">
        <v>4</v>
      </c>
      <c r="B3762" s="10" t="inlineStr">
        <is>
          <t>休日</t>
        </is>
      </c>
      <c r="C3762" s="10" t="inlineStr">
        <is>
          <t>本線</t>
        </is>
      </c>
      <c r="D3762" s="10" t="inlineStr">
        <is>
          <t>下り</t>
        </is>
      </c>
      <c r="E3762" t="inlineStr">
        <is>
          <t>0903</t>
        </is>
      </c>
      <c r="F3762" t="inlineStr">
        <is>
          <t>0112</t>
        </is>
      </c>
      <c r="G3762" s="10" t="inlineStr">
        <is>
          <t>西院</t>
        </is>
      </c>
      <c r="H3762" s="10" t="inlineStr">
        <is>
          <t>発</t>
        </is>
      </c>
      <c r="J3762" s="10" t="inlineStr">
        <is>
          <t>営業</t>
        </is>
      </c>
      <c r="L3762" t="inlineStr">
        <is>
          <t>9:15:50</t>
        </is>
      </c>
      <c r="M3762" t="inlineStr">
        <is>
          <t>9:16:20</t>
        </is>
      </c>
    </row>
    <row r="3763" ht="15" customHeight="1" s="37">
      <c r="A3763" t="n">
        <v>4</v>
      </c>
      <c r="B3763" s="10" t="inlineStr">
        <is>
          <t>休日</t>
        </is>
      </c>
      <c r="C3763" s="10" t="inlineStr">
        <is>
          <t>本線</t>
        </is>
      </c>
      <c r="D3763" s="10" t="inlineStr">
        <is>
          <t>下り</t>
        </is>
      </c>
      <c r="E3763" t="inlineStr">
        <is>
          <t>0903</t>
        </is>
      </c>
      <c r="F3763" t="inlineStr">
        <is>
          <t>0112</t>
        </is>
      </c>
      <c r="G3763" s="10" t="inlineStr">
        <is>
          <t>西大路三条</t>
        </is>
      </c>
      <c r="H3763" s="10" t="inlineStr">
        <is>
          <t>発</t>
        </is>
      </c>
      <c r="J3763" s="10" t="inlineStr">
        <is>
          <t>営業</t>
        </is>
      </c>
      <c r="L3763" t="inlineStr">
        <is>
          <t>9:18:10</t>
        </is>
      </c>
      <c r="M3763" t="inlineStr">
        <is>
          <t>9:18:30</t>
        </is>
      </c>
    </row>
    <row r="3764" ht="15" customHeight="1" s="37">
      <c r="A3764" t="n">
        <v>4</v>
      </c>
      <c r="B3764" s="10" t="inlineStr">
        <is>
          <t>休日</t>
        </is>
      </c>
      <c r="C3764" s="10" t="inlineStr">
        <is>
          <t>本線</t>
        </is>
      </c>
      <c r="D3764" s="10" t="inlineStr">
        <is>
          <t>下り</t>
        </is>
      </c>
      <c r="E3764" t="inlineStr">
        <is>
          <t>0903</t>
        </is>
      </c>
      <c r="F3764" t="inlineStr">
        <is>
          <t>0112</t>
        </is>
      </c>
      <c r="G3764" s="10" t="inlineStr">
        <is>
          <t>山ノ内</t>
        </is>
      </c>
      <c r="H3764" s="10" t="inlineStr">
        <is>
          <t>発</t>
        </is>
      </c>
      <c r="J3764" s="10" t="inlineStr">
        <is>
          <t>営業</t>
        </is>
      </c>
      <c r="L3764" t="inlineStr">
        <is>
          <t>9:20:25</t>
        </is>
      </c>
      <c r="M3764" t="inlineStr">
        <is>
          <t>9:20:50</t>
        </is>
      </c>
    </row>
    <row r="3765" ht="15" customHeight="1" s="37">
      <c r="A3765" t="n">
        <v>4</v>
      </c>
      <c r="B3765" s="10" t="inlineStr">
        <is>
          <t>休日</t>
        </is>
      </c>
      <c r="C3765" s="10" t="inlineStr">
        <is>
          <t>本線</t>
        </is>
      </c>
      <c r="D3765" s="10" t="inlineStr">
        <is>
          <t>下り</t>
        </is>
      </c>
      <c r="E3765" t="inlineStr">
        <is>
          <t>0903</t>
        </is>
      </c>
      <c r="F3765" t="inlineStr">
        <is>
          <t>0112</t>
        </is>
      </c>
      <c r="G3765" s="10" t="inlineStr">
        <is>
          <t>天神川</t>
        </is>
      </c>
      <c r="H3765" s="10" t="inlineStr">
        <is>
          <t>発</t>
        </is>
      </c>
      <c r="J3765" s="10" t="inlineStr">
        <is>
          <t>営業</t>
        </is>
      </c>
      <c r="L3765" t="inlineStr">
        <is>
          <t>9:22:50</t>
        </is>
      </c>
      <c r="M3765" t="inlineStr">
        <is>
          <t>9:23:30</t>
        </is>
      </c>
    </row>
    <row r="3766" ht="15" customHeight="1" s="37">
      <c r="A3766" t="n">
        <v>4</v>
      </c>
      <c r="B3766" s="10" t="inlineStr">
        <is>
          <t>休日</t>
        </is>
      </c>
      <c r="C3766" s="10" t="inlineStr">
        <is>
          <t>本線</t>
        </is>
      </c>
      <c r="D3766" s="10" t="inlineStr">
        <is>
          <t>下り</t>
        </is>
      </c>
      <c r="E3766" t="inlineStr">
        <is>
          <t>0903</t>
        </is>
      </c>
      <c r="F3766" t="inlineStr">
        <is>
          <t>0112</t>
        </is>
      </c>
      <c r="G3766" s="10" t="inlineStr">
        <is>
          <t>蚕ノ社</t>
        </is>
      </c>
      <c r="H3766" s="10" t="inlineStr">
        <is>
          <t>発</t>
        </is>
      </c>
      <c r="J3766" s="10" t="inlineStr">
        <is>
          <t>営業</t>
        </is>
      </c>
      <c r="L3766" t="inlineStr">
        <is>
          <t>9:24:20</t>
        </is>
      </c>
      <c r="M3766" t="inlineStr">
        <is>
          <t>9:24:40</t>
        </is>
      </c>
    </row>
    <row r="3767" ht="15" customHeight="1" s="37">
      <c r="A3767" t="n">
        <v>4</v>
      </c>
      <c r="B3767" s="10" t="inlineStr">
        <is>
          <t>休日</t>
        </is>
      </c>
      <c r="C3767" s="10" t="inlineStr">
        <is>
          <t>本線</t>
        </is>
      </c>
      <c r="D3767" s="10" t="inlineStr">
        <is>
          <t>下り</t>
        </is>
      </c>
      <c r="E3767" t="inlineStr">
        <is>
          <t>0903</t>
        </is>
      </c>
      <c r="F3767" t="inlineStr">
        <is>
          <t>0112</t>
        </is>
      </c>
      <c r="G3767" s="10" t="inlineStr">
        <is>
          <t>太秦広隆寺</t>
        </is>
      </c>
      <c r="H3767" s="10" t="inlineStr">
        <is>
          <t>発</t>
        </is>
      </c>
      <c r="J3767" s="10" t="inlineStr">
        <is>
          <t>営業</t>
        </is>
      </c>
      <c r="L3767" t="inlineStr">
        <is>
          <t>9:26:00</t>
        </is>
      </c>
      <c r="M3767" t="inlineStr">
        <is>
          <t>9:26:20</t>
        </is>
      </c>
    </row>
    <row r="3768" ht="15" customHeight="1" s="37">
      <c r="A3768" t="n">
        <v>4</v>
      </c>
      <c r="B3768" s="10" t="inlineStr">
        <is>
          <t>休日</t>
        </is>
      </c>
      <c r="C3768" s="10" t="inlineStr">
        <is>
          <t>本線</t>
        </is>
      </c>
      <c r="D3768" s="10" t="inlineStr">
        <is>
          <t>下り</t>
        </is>
      </c>
      <c r="E3768" t="inlineStr">
        <is>
          <t>0903</t>
        </is>
      </c>
      <c r="F3768" t="inlineStr">
        <is>
          <t>0112</t>
        </is>
      </c>
      <c r="G3768" s="10" t="inlineStr">
        <is>
          <t>帷子ノ辻</t>
        </is>
      </c>
      <c r="H3768" s="10" t="inlineStr">
        <is>
          <t>発</t>
        </is>
      </c>
      <c r="J3768" s="10" t="inlineStr">
        <is>
          <t>営業</t>
        </is>
      </c>
      <c r="L3768" t="inlineStr">
        <is>
          <t>9:28:20</t>
        </is>
      </c>
      <c r="M3768" t="inlineStr">
        <is>
          <t>9:29:40</t>
        </is>
      </c>
    </row>
    <row r="3769" ht="15" customHeight="1" s="37">
      <c r="A3769" t="n">
        <v>4</v>
      </c>
      <c r="B3769" s="10" t="inlineStr">
        <is>
          <t>休日</t>
        </is>
      </c>
      <c r="C3769" s="10" t="inlineStr">
        <is>
          <t>本線</t>
        </is>
      </c>
      <c r="D3769" s="10" t="inlineStr">
        <is>
          <t>下り</t>
        </is>
      </c>
      <c r="E3769" t="inlineStr">
        <is>
          <t>0903</t>
        </is>
      </c>
      <c r="F3769" t="inlineStr">
        <is>
          <t>0112</t>
        </is>
      </c>
      <c r="G3769" s="10" t="inlineStr">
        <is>
          <t>有栖川</t>
        </is>
      </c>
      <c r="H3769" s="10" t="inlineStr">
        <is>
          <t>発</t>
        </is>
      </c>
      <c r="J3769" s="10" t="inlineStr">
        <is>
          <t>営業</t>
        </is>
      </c>
      <c r="L3769" t="inlineStr">
        <is>
          <t>9:30:50</t>
        </is>
      </c>
      <c r="M3769" t="inlineStr">
        <is>
          <t>9:31:15</t>
        </is>
      </c>
    </row>
    <row r="3770" ht="15" customHeight="1" s="37">
      <c r="A3770" t="n">
        <v>4</v>
      </c>
      <c r="B3770" s="10" t="inlineStr">
        <is>
          <t>休日</t>
        </is>
      </c>
      <c r="C3770" s="10" t="inlineStr">
        <is>
          <t>本線</t>
        </is>
      </c>
      <c r="D3770" s="10" t="inlineStr">
        <is>
          <t>下り</t>
        </is>
      </c>
      <c r="E3770" t="inlineStr">
        <is>
          <t>0903</t>
        </is>
      </c>
      <c r="F3770" t="inlineStr">
        <is>
          <t>0112</t>
        </is>
      </c>
      <c r="G3770" s="10" t="inlineStr">
        <is>
          <t>車折</t>
        </is>
      </c>
      <c r="H3770" s="10" t="inlineStr">
        <is>
          <t>発</t>
        </is>
      </c>
      <c r="J3770" s="10" t="inlineStr">
        <is>
          <t>営業</t>
        </is>
      </c>
      <c r="L3770" t="inlineStr">
        <is>
          <t>9:32:40</t>
        </is>
      </c>
      <c r="M3770" t="inlineStr">
        <is>
          <t>9:33:05</t>
        </is>
      </c>
    </row>
    <row r="3771" ht="15" customHeight="1" s="37">
      <c r="A3771" t="n">
        <v>4</v>
      </c>
      <c r="B3771" s="10" t="inlineStr">
        <is>
          <t>休日</t>
        </is>
      </c>
      <c r="C3771" s="10" t="inlineStr">
        <is>
          <t>本線</t>
        </is>
      </c>
      <c r="D3771" s="10" t="inlineStr">
        <is>
          <t>下り</t>
        </is>
      </c>
      <c r="E3771" t="inlineStr">
        <is>
          <t>0903</t>
        </is>
      </c>
      <c r="F3771" t="inlineStr">
        <is>
          <t>0112</t>
        </is>
      </c>
      <c r="G3771" s="10" t="inlineStr">
        <is>
          <t>鹿王院</t>
        </is>
      </c>
      <c r="H3771" s="10" t="inlineStr">
        <is>
          <t>発</t>
        </is>
      </c>
      <c r="J3771" s="10" t="inlineStr">
        <is>
          <t>営業</t>
        </is>
      </c>
      <c r="L3771" t="inlineStr">
        <is>
          <t>9:34:00</t>
        </is>
      </c>
      <c r="M3771" t="inlineStr">
        <is>
          <t>9:34:25</t>
        </is>
      </c>
    </row>
    <row r="3772" ht="15" customHeight="1" s="37">
      <c r="A3772" t="n">
        <v>4</v>
      </c>
      <c r="B3772" s="10" t="inlineStr">
        <is>
          <t>休日</t>
        </is>
      </c>
      <c r="C3772" s="10" t="inlineStr">
        <is>
          <t>本線</t>
        </is>
      </c>
      <c r="D3772" s="10" t="inlineStr">
        <is>
          <t>下り</t>
        </is>
      </c>
      <c r="E3772" t="inlineStr">
        <is>
          <t>0903</t>
        </is>
      </c>
      <c r="F3772" t="inlineStr">
        <is>
          <t>0112</t>
        </is>
      </c>
      <c r="G3772" s="10" t="inlineStr">
        <is>
          <t>嵯峨</t>
        </is>
      </c>
      <c r="H3772" s="10" t="inlineStr">
        <is>
          <t>発</t>
        </is>
      </c>
      <c r="J3772" s="10" t="inlineStr">
        <is>
          <t>営業</t>
        </is>
      </c>
      <c r="L3772" t="inlineStr">
        <is>
          <t>9:35:30</t>
        </is>
      </c>
      <c r="M3772" t="inlineStr">
        <is>
          <t>9:35:55</t>
        </is>
      </c>
    </row>
    <row r="3773" ht="15" customHeight="1" s="37">
      <c r="A3773" t="n">
        <v>4</v>
      </c>
      <c r="B3773" s="10" t="inlineStr">
        <is>
          <t>休日</t>
        </is>
      </c>
      <c r="C3773" s="10" t="inlineStr">
        <is>
          <t>本線</t>
        </is>
      </c>
      <c r="D3773" s="10" t="inlineStr">
        <is>
          <t>下り</t>
        </is>
      </c>
      <c r="E3773" t="inlineStr">
        <is>
          <t>0903</t>
        </is>
      </c>
      <c r="F3773" t="inlineStr">
        <is>
          <t>0112</t>
        </is>
      </c>
      <c r="G3773" s="10" t="inlineStr">
        <is>
          <t>嵐山</t>
        </is>
      </c>
      <c r="H3773" s="10" t="inlineStr">
        <is>
          <t>着</t>
        </is>
      </c>
      <c r="J3773" s="10" t="inlineStr">
        <is>
          <t>営業</t>
        </is>
      </c>
      <c r="L3773" t="inlineStr">
        <is>
          <t>9:37:00</t>
        </is>
      </c>
      <c r="Q3773" t="inlineStr">
        <is>
          <t>1</t>
        </is>
      </c>
    </row>
    <row r="3774" ht="15" customHeight="1" s="37">
      <c r="A3774" t="n">
        <v>4</v>
      </c>
      <c r="B3774" s="10" t="inlineStr">
        <is>
          <t>休日</t>
        </is>
      </c>
      <c r="C3774" s="10" t="inlineStr">
        <is>
          <t>本線</t>
        </is>
      </c>
      <c r="D3774" s="10" t="inlineStr">
        <is>
          <t>上り</t>
        </is>
      </c>
      <c r="E3774" t="inlineStr">
        <is>
          <t>0910</t>
        </is>
      </c>
      <c r="F3774" t="inlineStr">
        <is>
          <t>0211</t>
        </is>
      </c>
      <c r="G3774" s="10" t="inlineStr">
        <is>
          <t>嵐山</t>
        </is>
      </c>
      <c r="H3774" s="10" t="inlineStr">
        <is>
          <t>発</t>
        </is>
      </c>
      <c r="J3774" s="10" t="inlineStr">
        <is>
          <t>営業</t>
        </is>
      </c>
      <c r="M3774" t="inlineStr">
        <is>
          <t>9:43:00</t>
        </is>
      </c>
      <c r="Q3774" t="inlineStr">
        <is>
          <t>1</t>
        </is>
      </c>
      <c r="U3774" t="inlineStr">
        <is>
          <t>→西院 休憩(10:16〜11:36)</t>
        </is>
      </c>
    </row>
    <row r="3775" ht="15" customHeight="1" s="37">
      <c r="A3775" t="n">
        <v>4</v>
      </c>
      <c r="B3775" s="10" t="inlineStr">
        <is>
          <t>休日</t>
        </is>
      </c>
      <c r="C3775" s="10" t="inlineStr">
        <is>
          <t>本線</t>
        </is>
      </c>
      <c r="D3775" s="10" t="inlineStr">
        <is>
          <t>上り</t>
        </is>
      </c>
      <c r="E3775" t="inlineStr">
        <is>
          <t>0910</t>
        </is>
      </c>
      <c r="F3775" t="inlineStr">
        <is>
          <t>0211</t>
        </is>
      </c>
      <c r="G3775" s="10" t="inlineStr">
        <is>
          <t>嵯峨</t>
        </is>
      </c>
      <c r="H3775" s="10" t="inlineStr">
        <is>
          <t>発</t>
        </is>
      </c>
      <c r="J3775" s="10" t="inlineStr">
        <is>
          <t>営業</t>
        </is>
      </c>
      <c r="L3775" t="inlineStr">
        <is>
          <t>9:43:55</t>
        </is>
      </c>
      <c r="M3775" t="inlineStr">
        <is>
          <t>9:44:20</t>
        </is>
      </c>
      <c r="U3775" t="inlineStr">
        <is>
          <t>→西院 休憩(10:16〜11:36)</t>
        </is>
      </c>
    </row>
    <row r="3776" ht="15" customHeight="1" s="37">
      <c r="A3776" t="n">
        <v>4</v>
      </c>
      <c r="B3776" s="10" t="inlineStr">
        <is>
          <t>休日</t>
        </is>
      </c>
      <c r="C3776" s="10" t="inlineStr">
        <is>
          <t>本線</t>
        </is>
      </c>
      <c r="D3776" s="10" t="inlineStr">
        <is>
          <t>上り</t>
        </is>
      </c>
      <c r="E3776" t="inlineStr">
        <is>
          <t>0910</t>
        </is>
      </c>
      <c r="F3776" t="inlineStr">
        <is>
          <t>0211</t>
        </is>
      </c>
      <c r="G3776" s="10" t="inlineStr">
        <is>
          <t>鹿王院</t>
        </is>
      </c>
      <c r="H3776" s="10" t="inlineStr">
        <is>
          <t>発</t>
        </is>
      </c>
      <c r="J3776" s="10" t="inlineStr">
        <is>
          <t>営業</t>
        </is>
      </c>
      <c r="L3776" t="inlineStr">
        <is>
          <t>9:45:25</t>
        </is>
      </c>
      <c r="M3776" t="inlineStr">
        <is>
          <t>9:45:45</t>
        </is>
      </c>
      <c r="U3776" t="inlineStr">
        <is>
          <t>→西院 休憩(10:16〜11:36)</t>
        </is>
      </c>
    </row>
    <row r="3777" ht="15" customHeight="1" s="37">
      <c r="A3777" t="n">
        <v>4</v>
      </c>
      <c r="B3777" s="10" t="inlineStr">
        <is>
          <t>休日</t>
        </is>
      </c>
      <c r="C3777" s="10" t="inlineStr">
        <is>
          <t>本線</t>
        </is>
      </c>
      <c r="D3777" s="10" t="inlineStr">
        <is>
          <t>上り</t>
        </is>
      </c>
      <c r="E3777" t="inlineStr">
        <is>
          <t>0910</t>
        </is>
      </c>
      <c r="F3777" t="inlineStr">
        <is>
          <t>0211</t>
        </is>
      </c>
      <c r="G3777" s="10" t="inlineStr">
        <is>
          <t>車折</t>
        </is>
      </c>
      <c r="H3777" s="10" t="inlineStr">
        <is>
          <t>発</t>
        </is>
      </c>
      <c r="J3777" s="10" t="inlineStr">
        <is>
          <t>営業</t>
        </is>
      </c>
      <c r="L3777" t="inlineStr">
        <is>
          <t>9:46:40</t>
        </is>
      </c>
      <c r="M3777" t="inlineStr">
        <is>
          <t>9:47:10</t>
        </is>
      </c>
      <c r="U3777" t="inlineStr">
        <is>
          <t>→西院 休憩(10:16〜11:36)</t>
        </is>
      </c>
    </row>
    <row r="3778" ht="15" customHeight="1" s="37">
      <c r="A3778" t="n">
        <v>4</v>
      </c>
      <c r="B3778" s="10" t="inlineStr">
        <is>
          <t>休日</t>
        </is>
      </c>
      <c r="C3778" s="10" t="inlineStr">
        <is>
          <t>本線</t>
        </is>
      </c>
      <c r="D3778" s="10" t="inlineStr">
        <is>
          <t>上り</t>
        </is>
      </c>
      <c r="E3778" t="inlineStr">
        <is>
          <t>0910</t>
        </is>
      </c>
      <c r="F3778" t="inlineStr">
        <is>
          <t>0211</t>
        </is>
      </c>
      <c r="G3778" s="10" t="inlineStr">
        <is>
          <t>有栖川</t>
        </is>
      </c>
      <c r="H3778" s="10" t="inlineStr">
        <is>
          <t>発</t>
        </is>
      </c>
      <c r="J3778" s="10" t="inlineStr">
        <is>
          <t>営業</t>
        </is>
      </c>
      <c r="L3778" t="inlineStr">
        <is>
          <t>9:48:35</t>
        </is>
      </c>
      <c r="M3778" t="inlineStr">
        <is>
          <t>9:48:55</t>
        </is>
      </c>
      <c r="U3778" t="inlineStr">
        <is>
          <t>→西院 休憩(10:16〜11:36)</t>
        </is>
      </c>
    </row>
    <row r="3779" ht="15" customHeight="1" s="37">
      <c r="A3779" t="n">
        <v>4</v>
      </c>
      <c r="B3779" s="10" t="inlineStr">
        <is>
          <t>休日</t>
        </is>
      </c>
      <c r="C3779" s="10" t="inlineStr">
        <is>
          <t>本線</t>
        </is>
      </c>
      <c r="D3779" s="10" t="inlineStr">
        <is>
          <t>上り</t>
        </is>
      </c>
      <c r="E3779" t="inlineStr">
        <is>
          <t>0910</t>
        </is>
      </c>
      <c r="F3779" t="inlineStr">
        <is>
          <t>0211</t>
        </is>
      </c>
      <c r="G3779" s="10" t="inlineStr">
        <is>
          <t>帷子ノ辻</t>
        </is>
      </c>
      <c r="H3779" s="10" t="inlineStr">
        <is>
          <t>発</t>
        </is>
      </c>
      <c r="J3779" s="10" t="inlineStr">
        <is>
          <t>営業</t>
        </is>
      </c>
      <c r="L3779" t="inlineStr">
        <is>
          <t>9:50:10</t>
        </is>
      </c>
      <c r="M3779" t="inlineStr">
        <is>
          <t>9:51:15</t>
        </is>
      </c>
      <c r="U3779" t="inlineStr">
        <is>
          <t>→西院 休憩(10:16〜11:36)</t>
        </is>
      </c>
    </row>
    <row r="3780" ht="15" customHeight="1" s="37">
      <c r="A3780" t="n">
        <v>4</v>
      </c>
      <c r="B3780" s="10" t="inlineStr">
        <is>
          <t>休日</t>
        </is>
      </c>
      <c r="C3780" s="10" t="inlineStr">
        <is>
          <t>本線</t>
        </is>
      </c>
      <c r="D3780" s="10" t="inlineStr">
        <is>
          <t>上り</t>
        </is>
      </c>
      <c r="E3780" t="inlineStr">
        <is>
          <t>0910</t>
        </is>
      </c>
      <c r="F3780" t="inlineStr">
        <is>
          <t>0211</t>
        </is>
      </c>
      <c r="G3780" s="10" t="inlineStr">
        <is>
          <t>太秦広隆寺</t>
        </is>
      </c>
      <c r="H3780" s="10" t="inlineStr">
        <is>
          <t>発</t>
        </is>
      </c>
      <c r="J3780" s="10" t="inlineStr">
        <is>
          <t>営業</t>
        </is>
      </c>
      <c r="L3780" t="inlineStr">
        <is>
          <t>9:53:25</t>
        </is>
      </c>
      <c r="M3780" t="inlineStr">
        <is>
          <t>9:53:45</t>
        </is>
      </c>
      <c r="U3780" t="inlineStr">
        <is>
          <t>→西院 休憩(10:16〜11:36)</t>
        </is>
      </c>
    </row>
    <row r="3781" ht="15" customHeight="1" s="37">
      <c r="A3781" t="n">
        <v>4</v>
      </c>
      <c r="B3781" s="10" t="inlineStr">
        <is>
          <t>休日</t>
        </is>
      </c>
      <c r="C3781" s="10" t="inlineStr">
        <is>
          <t>本線</t>
        </is>
      </c>
      <c r="D3781" s="10" t="inlineStr">
        <is>
          <t>上り</t>
        </is>
      </c>
      <c r="E3781" t="inlineStr">
        <is>
          <t>0910</t>
        </is>
      </c>
      <c r="F3781" t="inlineStr">
        <is>
          <t>0211</t>
        </is>
      </c>
      <c r="G3781" s="10" t="inlineStr">
        <is>
          <t>蚕ノ社</t>
        </is>
      </c>
      <c r="H3781" s="10" t="inlineStr">
        <is>
          <t>発</t>
        </is>
      </c>
      <c r="J3781" s="10" t="inlineStr">
        <is>
          <t>営業</t>
        </is>
      </c>
      <c r="L3781" t="inlineStr">
        <is>
          <t>9:55:00</t>
        </is>
      </c>
      <c r="M3781" t="inlineStr">
        <is>
          <t>9:55:20</t>
        </is>
      </c>
      <c r="U3781" t="inlineStr">
        <is>
          <t>→西院 休憩(10:16〜11:36)</t>
        </is>
      </c>
    </row>
    <row r="3782" ht="15" customHeight="1" s="37">
      <c r="A3782" t="n">
        <v>4</v>
      </c>
      <c r="B3782" s="10" t="inlineStr">
        <is>
          <t>休日</t>
        </is>
      </c>
      <c r="C3782" s="10" t="inlineStr">
        <is>
          <t>本線</t>
        </is>
      </c>
      <c r="D3782" s="10" t="inlineStr">
        <is>
          <t>上り</t>
        </is>
      </c>
      <c r="E3782" t="inlineStr">
        <is>
          <t>0910</t>
        </is>
      </c>
      <c r="F3782" t="inlineStr">
        <is>
          <t>0211</t>
        </is>
      </c>
      <c r="G3782" s="10" t="inlineStr">
        <is>
          <t>天神川</t>
        </is>
      </c>
      <c r="H3782" s="10" t="inlineStr">
        <is>
          <t>発</t>
        </is>
      </c>
      <c r="J3782" s="10" t="inlineStr">
        <is>
          <t>営業</t>
        </is>
      </c>
      <c r="L3782" t="inlineStr">
        <is>
          <t>9:56:05</t>
        </is>
      </c>
      <c r="M3782" t="inlineStr">
        <is>
          <t>9:56:50</t>
        </is>
      </c>
      <c r="U3782" t="inlineStr">
        <is>
          <t>→西院 休憩(10:16〜11:36)</t>
        </is>
      </c>
    </row>
    <row r="3783" ht="15" customHeight="1" s="37">
      <c r="A3783" t="n">
        <v>4</v>
      </c>
      <c r="B3783" s="10" t="inlineStr">
        <is>
          <t>休日</t>
        </is>
      </c>
      <c r="C3783" s="10" t="inlineStr">
        <is>
          <t>本線</t>
        </is>
      </c>
      <c r="D3783" s="10" t="inlineStr">
        <is>
          <t>上り</t>
        </is>
      </c>
      <c r="E3783" t="inlineStr">
        <is>
          <t>0910</t>
        </is>
      </c>
      <c r="F3783" t="inlineStr">
        <is>
          <t>0211</t>
        </is>
      </c>
      <c r="G3783" s="10" t="inlineStr">
        <is>
          <t>山ノ内</t>
        </is>
      </c>
      <c r="H3783" s="10" t="inlineStr">
        <is>
          <t>発</t>
        </is>
      </c>
      <c r="J3783" s="10" t="inlineStr">
        <is>
          <t>営業</t>
        </is>
      </c>
      <c r="L3783" t="inlineStr">
        <is>
          <t>9:58:40</t>
        </is>
      </c>
      <c r="M3783" t="inlineStr">
        <is>
          <t>9:59:05</t>
        </is>
      </c>
      <c r="U3783" t="inlineStr">
        <is>
          <t>→西院 休憩(10:16〜11:36)</t>
        </is>
      </c>
    </row>
    <row r="3784" ht="15" customHeight="1" s="37">
      <c r="A3784" t="n">
        <v>4</v>
      </c>
      <c r="B3784" s="10" t="inlineStr">
        <is>
          <t>休日</t>
        </is>
      </c>
      <c r="C3784" s="10" t="inlineStr">
        <is>
          <t>本線</t>
        </is>
      </c>
      <c r="D3784" s="10" t="inlineStr">
        <is>
          <t>上り</t>
        </is>
      </c>
      <c r="E3784" t="inlineStr">
        <is>
          <t>0910</t>
        </is>
      </c>
      <c r="F3784" t="inlineStr">
        <is>
          <t>0211</t>
        </is>
      </c>
      <c r="G3784" s="10" t="inlineStr">
        <is>
          <t>西大路三条</t>
        </is>
      </c>
      <c r="H3784" s="10" t="inlineStr">
        <is>
          <t>発</t>
        </is>
      </c>
      <c r="J3784" s="10" t="inlineStr">
        <is>
          <t>営業</t>
        </is>
      </c>
      <c r="L3784" t="inlineStr">
        <is>
          <t>10:00:55</t>
        </is>
      </c>
      <c r="M3784" t="inlineStr">
        <is>
          <t>10:01:15</t>
        </is>
      </c>
      <c r="U3784" t="inlineStr">
        <is>
          <t>→西院 休憩(10:16〜11:36)</t>
        </is>
      </c>
    </row>
    <row r="3785" ht="15" customHeight="1" s="37">
      <c r="A3785" t="n">
        <v>4</v>
      </c>
      <c r="B3785" s="10" t="inlineStr">
        <is>
          <t>休日</t>
        </is>
      </c>
      <c r="C3785" s="10" t="inlineStr">
        <is>
          <t>本線</t>
        </is>
      </c>
      <c r="D3785" s="10" t="inlineStr">
        <is>
          <t>上り</t>
        </is>
      </c>
      <c r="E3785" t="inlineStr">
        <is>
          <t>0910</t>
        </is>
      </c>
      <c r="F3785" t="inlineStr">
        <is>
          <t>0211</t>
        </is>
      </c>
      <c r="G3785" s="10" t="inlineStr">
        <is>
          <t>西院</t>
        </is>
      </c>
      <c r="H3785" s="10" t="inlineStr">
        <is>
          <t>発</t>
        </is>
      </c>
      <c r="J3785" s="10" t="inlineStr">
        <is>
          <t>営業</t>
        </is>
      </c>
      <c r="L3785" t="inlineStr">
        <is>
          <t>10:03:10</t>
        </is>
      </c>
      <c r="M3785" t="inlineStr">
        <is>
          <t>10:04:05</t>
        </is>
      </c>
      <c r="U3785" t="inlineStr">
        <is>
          <t>→西院 休憩(10:16〜11:36)</t>
        </is>
      </c>
    </row>
    <row r="3786" ht="15" customHeight="1" s="37">
      <c r="A3786" t="n">
        <v>4</v>
      </c>
      <c r="B3786" s="10" t="inlineStr">
        <is>
          <t>休日</t>
        </is>
      </c>
      <c r="C3786" s="10" t="inlineStr">
        <is>
          <t>本線</t>
        </is>
      </c>
      <c r="D3786" s="10" t="inlineStr">
        <is>
          <t>上り</t>
        </is>
      </c>
      <c r="E3786" t="inlineStr">
        <is>
          <t>0910</t>
        </is>
      </c>
      <c r="F3786" t="inlineStr">
        <is>
          <t>0211</t>
        </is>
      </c>
      <c r="G3786" s="10" t="inlineStr">
        <is>
          <t>四条大宮</t>
        </is>
      </c>
      <c r="H3786" s="10" t="inlineStr">
        <is>
          <t>着</t>
        </is>
      </c>
      <c r="J3786" s="10" t="inlineStr">
        <is>
          <t>営業</t>
        </is>
      </c>
      <c r="L3786" t="inlineStr">
        <is>
          <t>10:07:00</t>
        </is>
      </c>
      <c r="Q3786" t="inlineStr">
        <is>
          <t>1</t>
        </is>
      </c>
      <c r="U3786" t="inlineStr">
        <is>
          <t>→西院 休憩(10:16〜11:36)</t>
        </is>
      </c>
    </row>
    <row r="3787" ht="15" customHeight="1" s="37">
      <c r="A3787" t="n">
        <v>4</v>
      </c>
      <c r="B3787" s="10" t="inlineStr">
        <is>
          <t>休日</t>
        </is>
      </c>
      <c r="C3787" s="10" t="inlineStr">
        <is>
          <t>本線</t>
        </is>
      </c>
      <c r="D3787" s="10" t="inlineStr">
        <is>
          <t>下り</t>
        </is>
      </c>
      <c r="E3787" t="inlineStr">
        <is>
          <t>1003</t>
        </is>
      </c>
      <c r="F3787" t="inlineStr">
        <is>
          <t>0112</t>
        </is>
      </c>
      <c r="G3787" s="10" t="inlineStr">
        <is>
          <t>四条大宮</t>
        </is>
      </c>
      <c r="H3787" s="10" t="inlineStr">
        <is>
          <t>発</t>
        </is>
      </c>
      <c r="J3787" s="10" t="inlineStr">
        <is>
          <t>営業</t>
        </is>
      </c>
      <c r="M3787" t="inlineStr">
        <is>
          <t>10:13:00</t>
        </is>
      </c>
      <c r="Q3787" t="inlineStr">
        <is>
          <t>1</t>
        </is>
      </c>
      <c r="U3787" t="inlineStr">
        <is>
          <t>→西院 休憩(10:16〜11:36)</t>
        </is>
      </c>
    </row>
    <row r="3788" ht="15" customHeight="1" s="37">
      <c r="A3788" t="n">
        <v>4</v>
      </c>
      <c r="B3788" s="10" t="inlineStr">
        <is>
          <t>休日</t>
        </is>
      </c>
      <c r="C3788" s="10" t="inlineStr">
        <is>
          <t>本線</t>
        </is>
      </c>
      <c r="D3788" s="10" t="inlineStr">
        <is>
          <t>下り</t>
        </is>
      </c>
      <c r="E3788" t="inlineStr">
        <is>
          <t>1003</t>
        </is>
      </c>
      <c r="F3788" t="inlineStr">
        <is>
          <t>0112</t>
        </is>
      </c>
      <c r="G3788" s="10" t="inlineStr">
        <is>
          <t>西院</t>
        </is>
      </c>
      <c r="H3788" s="10" t="inlineStr">
        <is>
          <t>着</t>
        </is>
      </c>
      <c r="J3788" s="10" t="inlineStr">
        <is>
          <t>営業</t>
        </is>
      </c>
      <c r="L3788" t="inlineStr">
        <is>
          <t>10:15:50</t>
        </is>
      </c>
      <c r="M3788" t="inlineStr">
        <is>
          <t>10:16:20</t>
        </is>
      </c>
      <c r="U3788" t="inlineStr">
        <is>
          <t>→西院 休憩(10:16〜11:36)</t>
        </is>
      </c>
    </row>
    <row r="3789" ht="15" customHeight="1" s="37">
      <c r="A3789" t="n">
        <v>4</v>
      </c>
      <c r="B3789" s="10" t="inlineStr">
        <is>
          <t>休日</t>
        </is>
      </c>
      <c r="C3789" s="10" t="inlineStr">
        <is>
          <t>本線</t>
        </is>
      </c>
      <c r="D3789" s="10" t="inlineStr">
        <is>
          <t>下り</t>
        </is>
      </c>
      <c r="E3789" t="inlineStr">
        <is>
          <t>1107</t>
        </is>
      </c>
      <c r="F3789" t="inlineStr">
        <is>
          <t>0112</t>
        </is>
      </c>
      <c r="G3789" s="10" t="inlineStr">
        <is>
          <t>西院</t>
        </is>
      </c>
      <c r="H3789" s="10" t="inlineStr">
        <is>
          <t>発</t>
        </is>
      </c>
      <c r="J3789" s="10" t="inlineStr">
        <is>
          <t>営業</t>
        </is>
      </c>
      <c r="L3789" t="inlineStr">
        <is>
          <t>11:35:50</t>
        </is>
      </c>
      <c r="M3789" t="inlineStr">
        <is>
          <t>11:36:20</t>
        </is>
      </c>
    </row>
    <row r="3790" ht="15" customHeight="1" s="37">
      <c r="A3790" t="n">
        <v>4</v>
      </c>
      <c r="B3790" s="10" t="inlineStr">
        <is>
          <t>休日</t>
        </is>
      </c>
      <c r="C3790" s="10" t="inlineStr">
        <is>
          <t>本線</t>
        </is>
      </c>
      <c r="D3790" s="10" t="inlineStr">
        <is>
          <t>下り</t>
        </is>
      </c>
      <c r="E3790" t="inlineStr">
        <is>
          <t>1107</t>
        </is>
      </c>
      <c r="F3790" t="inlineStr">
        <is>
          <t>0112</t>
        </is>
      </c>
      <c r="G3790" s="10" t="inlineStr">
        <is>
          <t>西大路三条</t>
        </is>
      </c>
      <c r="H3790" s="10" t="inlineStr">
        <is>
          <t>発</t>
        </is>
      </c>
      <c r="J3790" s="10" t="inlineStr">
        <is>
          <t>営業</t>
        </is>
      </c>
      <c r="L3790" t="inlineStr">
        <is>
          <t>11:38:10</t>
        </is>
      </c>
      <c r="M3790" t="inlineStr">
        <is>
          <t>11:38:30</t>
        </is>
      </c>
    </row>
    <row r="3791" ht="15" customHeight="1" s="37">
      <c r="A3791" t="n">
        <v>4</v>
      </c>
      <c r="B3791" s="10" t="inlineStr">
        <is>
          <t>休日</t>
        </is>
      </c>
      <c r="C3791" s="10" t="inlineStr">
        <is>
          <t>本線</t>
        </is>
      </c>
      <c r="D3791" s="10" t="inlineStr">
        <is>
          <t>下り</t>
        </is>
      </c>
      <c r="E3791" t="inlineStr">
        <is>
          <t>1107</t>
        </is>
      </c>
      <c r="F3791" t="inlineStr">
        <is>
          <t>0112</t>
        </is>
      </c>
      <c r="G3791" s="10" t="inlineStr">
        <is>
          <t>山ノ内</t>
        </is>
      </c>
      <c r="H3791" s="10" t="inlineStr">
        <is>
          <t>発</t>
        </is>
      </c>
      <c r="J3791" s="10" t="inlineStr">
        <is>
          <t>営業</t>
        </is>
      </c>
      <c r="L3791" t="inlineStr">
        <is>
          <t>11:40:25</t>
        </is>
      </c>
      <c r="M3791" t="inlineStr">
        <is>
          <t>11:40:50</t>
        </is>
      </c>
    </row>
    <row r="3792" ht="15" customHeight="1" s="37">
      <c r="A3792" t="n">
        <v>4</v>
      </c>
      <c r="B3792" s="10" t="inlineStr">
        <is>
          <t>休日</t>
        </is>
      </c>
      <c r="C3792" s="10" t="inlineStr">
        <is>
          <t>本線</t>
        </is>
      </c>
      <c r="D3792" s="10" t="inlineStr">
        <is>
          <t>下り</t>
        </is>
      </c>
      <c r="E3792" t="inlineStr">
        <is>
          <t>1107</t>
        </is>
      </c>
      <c r="F3792" t="inlineStr">
        <is>
          <t>0112</t>
        </is>
      </c>
      <c r="G3792" s="10" t="inlineStr">
        <is>
          <t>天神川</t>
        </is>
      </c>
      <c r="H3792" s="10" t="inlineStr">
        <is>
          <t>発</t>
        </is>
      </c>
      <c r="J3792" s="10" t="inlineStr">
        <is>
          <t>営業</t>
        </is>
      </c>
      <c r="L3792" t="inlineStr">
        <is>
          <t>11:42:50</t>
        </is>
      </c>
      <c r="M3792" t="inlineStr">
        <is>
          <t>11:43:30</t>
        </is>
      </c>
    </row>
    <row r="3793" ht="15" customHeight="1" s="37">
      <c r="A3793" t="n">
        <v>4</v>
      </c>
      <c r="B3793" s="10" t="inlineStr">
        <is>
          <t>休日</t>
        </is>
      </c>
      <c r="C3793" s="10" t="inlineStr">
        <is>
          <t>本線</t>
        </is>
      </c>
      <c r="D3793" s="10" t="inlineStr">
        <is>
          <t>下り</t>
        </is>
      </c>
      <c r="E3793" t="inlineStr">
        <is>
          <t>1107</t>
        </is>
      </c>
      <c r="F3793" t="inlineStr">
        <is>
          <t>0112</t>
        </is>
      </c>
      <c r="G3793" s="10" t="inlineStr">
        <is>
          <t>蚕ノ社</t>
        </is>
      </c>
      <c r="H3793" s="10" t="inlineStr">
        <is>
          <t>発</t>
        </is>
      </c>
      <c r="J3793" s="10" t="inlineStr">
        <is>
          <t>営業</t>
        </is>
      </c>
      <c r="L3793" t="inlineStr">
        <is>
          <t>11:44:20</t>
        </is>
      </c>
      <c r="M3793" t="inlineStr">
        <is>
          <t>11:44:40</t>
        </is>
      </c>
    </row>
    <row r="3794" ht="15" customHeight="1" s="37">
      <c r="A3794" t="n">
        <v>4</v>
      </c>
      <c r="B3794" s="10" t="inlineStr">
        <is>
          <t>休日</t>
        </is>
      </c>
      <c r="C3794" s="10" t="inlineStr">
        <is>
          <t>本線</t>
        </is>
      </c>
      <c r="D3794" s="10" t="inlineStr">
        <is>
          <t>下り</t>
        </is>
      </c>
      <c r="E3794" t="inlineStr">
        <is>
          <t>1107</t>
        </is>
      </c>
      <c r="F3794" t="inlineStr">
        <is>
          <t>0112</t>
        </is>
      </c>
      <c r="G3794" s="10" t="inlineStr">
        <is>
          <t>太秦広隆寺</t>
        </is>
      </c>
      <c r="H3794" s="10" t="inlineStr">
        <is>
          <t>発</t>
        </is>
      </c>
      <c r="J3794" s="10" t="inlineStr">
        <is>
          <t>営業</t>
        </is>
      </c>
      <c r="L3794" t="inlineStr">
        <is>
          <t>11:46:00</t>
        </is>
      </c>
      <c r="M3794" t="inlineStr">
        <is>
          <t>11:46:20</t>
        </is>
      </c>
    </row>
    <row r="3795" ht="15" customHeight="1" s="37">
      <c r="A3795" t="n">
        <v>4</v>
      </c>
      <c r="B3795" s="10" t="inlineStr">
        <is>
          <t>休日</t>
        </is>
      </c>
      <c r="C3795" s="10" t="inlineStr">
        <is>
          <t>本線</t>
        </is>
      </c>
      <c r="D3795" s="10" t="inlineStr">
        <is>
          <t>下り</t>
        </is>
      </c>
      <c r="E3795" t="inlineStr">
        <is>
          <t>1107</t>
        </is>
      </c>
      <c r="F3795" t="inlineStr">
        <is>
          <t>0112</t>
        </is>
      </c>
      <c r="G3795" s="10" t="inlineStr">
        <is>
          <t>帷子ノ辻</t>
        </is>
      </c>
      <c r="H3795" s="10" t="inlineStr">
        <is>
          <t>発</t>
        </is>
      </c>
      <c r="J3795" s="10" t="inlineStr">
        <is>
          <t>営業</t>
        </is>
      </c>
      <c r="L3795" t="inlineStr">
        <is>
          <t>11:48:20</t>
        </is>
      </c>
      <c r="M3795" t="inlineStr">
        <is>
          <t>11:49:40</t>
        </is>
      </c>
    </row>
    <row r="3796" ht="15" customHeight="1" s="37">
      <c r="A3796" t="n">
        <v>4</v>
      </c>
      <c r="B3796" s="10" t="inlineStr">
        <is>
          <t>休日</t>
        </is>
      </c>
      <c r="C3796" s="10" t="inlineStr">
        <is>
          <t>本線</t>
        </is>
      </c>
      <c r="D3796" s="10" t="inlineStr">
        <is>
          <t>下り</t>
        </is>
      </c>
      <c r="E3796" t="inlineStr">
        <is>
          <t>1107</t>
        </is>
      </c>
      <c r="F3796" t="inlineStr">
        <is>
          <t>0112</t>
        </is>
      </c>
      <c r="G3796" s="10" t="inlineStr">
        <is>
          <t>有栖川</t>
        </is>
      </c>
      <c r="H3796" s="10" t="inlineStr">
        <is>
          <t>発</t>
        </is>
      </c>
      <c r="J3796" s="10" t="inlineStr">
        <is>
          <t>営業</t>
        </is>
      </c>
      <c r="L3796" t="inlineStr">
        <is>
          <t>11:50:50</t>
        </is>
      </c>
      <c r="M3796" t="inlineStr">
        <is>
          <t>11:51:15</t>
        </is>
      </c>
    </row>
    <row r="3797" ht="15" customHeight="1" s="37">
      <c r="A3797" t="n">
        <v>4</v>
      </c>
      <c r="B3797" s="10" t="inlineStr">
        <is>
          <t>休日</t>
        </is>
      </c>
      <c r="C3797" s="10" t="inlineStr">
        <is>
          <t>本線</t>
        </is>
      </c>
      <c r="D3797" s="10" t="inlineStr">
        <is>
          <t>下り</t>
        </is>
      </c>
      <c r="E3797" t="inlineStr">
        <is>
          <t>1107</t>
        </is>
      </c>
      <c r="F3797" t="inlineStr">
        <is>
          <t>0112</t>
        </is>
      </c>
      <c r="G3797" s="10" t="inlineStr">
        <is>
          <t>車折</t>
        </is>
      </c>
      <c r="H3797" s="10" t="inlineStr">
        <is>
          <t>発</t>
        </is>
      </c>
      <c r="J3797" s="10" t="inlineStr">
        <is>
          <t>営業</t>
        </is>
      </c>
      <c r="L3797" t="inlineStr">
        <is>
          <t>11:52:40</t>
        </is>
      </c>
      <c r="M3797" t="inlineStr">
        <is>
          <t>11:53:05</t>
        </is>
      </c>
    </row>
    <row r="3798" ht="15" customHeight="1" s="37">
      <c r="A3798" t="n">
        <v>4</v>
      </c>
      <c r="B3798" s="10" t="inlineStr">
        <is>
          <t>休日</t>
        </is>
      </c>
      <c r="C3798" s="10" t="inlineStr">
        <is>
          <t>本線</t>
        </is>
      </c>
      <c r="D3798" s="10" t="inlineStr">
        <is>
          <t>下り</t>
        </is>
      </c>
      <c r="E3798" t="inlineStr">
        <is>
          <t>1107</t>
        </is>
      </c>
      <c r="F3798" t="inlineStr">
        <is>
          <t>0112</t>
        </is>
      </c>
      <c r="G3798" s="10" t="inlineStr">
        <is>
          <t>鹿王院</t>
        </is>
      </c>
      <c r="H3798" s="10" t="inlineStr">
        <is>
          <t>発</t>
        </is>
      </c>
      <c r="J3798" s="10" t="inlineStr">
        <is>
          <t>営業</t>
        </is>
      </c>
      <c r="L3798" t="inlineStr">
        <is>
          <t>11:54:00</t>
        </is>
      </c>
      <c r="M3798" t="inlineStr">
        <is>
          <t>11:54:25</t>
        </is>
      </c>
    </row>
    <row r="3799" ht="15" customHeight="1" s="37">
      <c r="A3799" t="n">
        <v>4</v>
      </c>
      <c r="B3799" s="10" t="inlineStr">
        <is>
          <t>休日</t>
        </is>
      </c>
      <c r="C3799" s="10" t="inlineStr">
        <is>
          <t>本線</t>
        </is>
      </c>
      <c r="D3799" s="10" t="inlineStr">
        <is>
          <t>下り</t>
        </is>
      </c>
      <c r="E3799" t="inlineStr">
        <is>
          <t>1107</t>
        </is>
      </c>
      <c r="F3799" t="inlineStr">
        <is>
          <t>0112</t>
        </is>
      </c>
      <c r="G3799" s="10" t="inlineStr">
        <is>
          <t>嵯峨</t>
        </is>
      </c>
      <c r="H3799" s="10" t="inlineStr">
        <is>
          <t>発</t>
        </is>
      </c>
      <c r="J3799" s="10" t="inlineStr">
        <is>
          <t>営業</t>
        </is>
      </c>
      <c r="L3799" t="inlineStr">
        <is>
          <t>11:55:30</t>
        </is>
      </c>
      <c r="M3799" t="inlineStr">
        <is>
          <t>11:55:55</t>
        </is>
      </c>
    </row>
    <row r="3800" ht="16.5" customHeight="1" s="37">
      <c r="A3800" t="n">
        <v>4</v>
      </c>
      <c r="B3800" s="10" t="inlineStr">
        <is>
          <t>休日</t>
        </is>
      </c>
      <c r="C3800" s="10" t="inlineStr">
        <is>
          <t>本線</t>
        </is>
      </c>
      <c r="D3800" s="10" t="inlineStr">
        <is>
          <t>下り</t>
        </is>
      </c>
      <c r="E3800" t="inlineStr">
        <is>
          <t>1107</t>
        </is>
      </c>
      <c r="F3800" t="inlineStr">
        <is>
          <t>0112</t>
        </is>
      </c>
      <c r="G3800" s="10" t="inlineStr">
        <is>
          <t>嵐山</t>
        </is>
      </c>
      <c r="H3800" s="10" t="inlineStr">
        <is>
          <t>着</t>
        </is>
      </c>
      <c r="J3800" s="10" t="inlineStr">
        <is>
          <t>営業</t>
        </is>
      </c>
      <c r="L3800" t="inlineStr">
        <is>
          <t>11:57:00</t>
        </is>
      </c>
      <c r="Q3800" t="inlineStr">
        <is>
          <t>1</t>
        </is>
      </c>
    </row>
    <row r="3801" ht="16.5" customHeight="1" s="37">
      <c r="A3801" t="n">
        <v>4</v>
      </c>
      <c r="B3801" s="10" t="inlineStr">
        <is>
          <t>休日</t>
        </is>
      </c>
      <c r="C3801" s="10" t="inlineStr">
        <is>
          <t>本線</t>
        </is>
      </c>
      <c r="D3801" s="10" t="inlineStr">
        <is>
          <t>上り</t>
        </is>
      </c>
      <c r="E3801" t="inlineStr">
        <is>
          <t>1202</t>
        </is>
      </c>
      <c r="F3801" t="inlineStr">
        <is>
          <t>0211</t>
        </is>
      </c>
      <c r="G3801" s="10" t="inlineStr">
        <is>
          <t>嵐山</t>
        </is>
      </c>
      <c r="H3801" s="10" t="inlineStr">
        <is>
          <t>発</t>
        </is>
      </c>
      <c r="J3801" s="10" t="inlineStr">
        <is>
          <t>営業</t>
        </is>
      </c>
      <c r="M3801" t="inlineStr">
        <is>
          <t>12:03:00</t>
        </is>
      </c>
      <c r="Q3801" t="inlineStr">
        <is>
          <t>1</t>
        </is>
      </c>
    </row>
    <row r="3802" ht="16.5" customHeight="1" s="37">
      <c r="A3802" t="n">
        <v>4</v>
      </c>
      <c r="B3802" s="10" t="inlineStr">
        <is>
          <t>休日</t>
        </is>
      </c>
      <c r="C3802" s="10" t="inlineStr">
        <is>
          <t>本線</t>
        </is>
      </c>
      <c r="D3802" s="10" t="inlineStr">
        <is>
          <t>上り</t>
        </is>
      </c>
      <c r="E3802" t="inlineStr">
        <is>
          <t>1202</t>
        </is>
      </c>
      <c r="F3802" t="inlineStr">
        <is>
          <t>0211</t>
        </is>
      </c>
      <c r="G3802" s="10" t="inlineStr">
        <is>
          <t>嵯峨</t>
        </is>
      </c>
      <c r="H3802" s="10" t="inlineStr">
        <is>
          <t>発</t>
        </is>
      </c>
      <c r="J3802" s="10" t="inlineStr">
        <is>
          <t>営業</t>
        </is>
      </c>
      <c r="L3802" t="inlineStr">
        <is>
          <t>12:03:55</t>
        </is>
      </c>
      <c r="M3802" t="inlineStr">
        <is>
          <t>12:04:20</t>
        </is>
      </c>
    </row>
    <row r="3803" ht="16.5" customHeight="1" s="37">
      <c r="A3803" t="n">
        <v>4</v>
      </c>
      <c r="B3803" s="10" t="inlineStr">
        <is>
          <t>休日</t>
        </is>
      </c>
      <c r="C3803" s="10" t="inlineStr">
        <is>
          <t>本線</t>
        </is>
      </c>
      <c r="D3803" s="10" t="inlineStr">
        <is>
          <t>上り</t>
        </is>
      </c>
      <c r="E3803" t="inlineStr">
        <is>
          <t>1202</t>
        </is>
      </c>
      <c r="F3803" t="inlineStr">
        <is>
          <t>0211</t>
        </is>
      </c>
      <c r="G3803" s="10" t="inlineStr">
        <is>
          <t>鹿王院</t>
        </is>
      </c>
      <c r="H3803" s="10" t="inlineStr">
        <is>
          <t>発</t>
        </is>
      </c>
      <c r="J3803" s="10" t="inlineStr">
        <is>
          <t>営業</t>
        </is>
      </c>
      <c r="L3803" t="inlineStr">
        <is>
          <t>12:05:25</t>
        </is>
      </c>
      <c r="M3803" t="inlineStr">
        <is>
          <t>12:05:45</t>
        </is>
      </c>
    </row>
    <row r="3804" ht="16.5" customHeight="1" s="37">
      <c r="A3804" t="n">
        <v>4</v>
      </c>
      <c r="B3804" s="10" t="inlineStr">
        <is>
          <t>休日</t>
        </is>
      </c>
      <c r="C3804" s="10" t="inlineStr">
        <is>
          <t>本線</t>
        </is>
      </c>
      <c r="D3804" s="10" t="inlineStr">
        <is>
          <t>上り</t>
        </is>
      </c>
      <c r="E3804" t="inlineStr">
        <is>
          <t>1202</t>
        </is>
      </c>
      <c r="F3804" t="inlineStr">
        <is>
          <t>0211</t>
        </is>
      </c>
      <c r="G3804" s="10" t="inlineStr">
        <is>
          <t>車折</t>
        </is>
      </c>
      <c r="H3804" s="10" t="inlineStr">
        <is>
          <t>発</t>
        </is>
      </c>
      <c r="J3804" s="10" t="inlineStr">
        <is>
          <t>営業</t>
        </is>
      </c>
      <c r="L3804" t="inlineStr">
        <is>
          <t>12:06:40</t>
        </is>
      </c>
      <c r="M3804" t="inlineStr">
        <is>
          <t>12:07:10</t>
        </is>
      </c>
    </row>
    <row r="3805" ht="16.5" customHeight="1" s="37">
      <c r="A3805" t="n">
        <v>4</v>
      </c>
      <c r="B3805" s="10" t="inlineStr">
        <is>
          <t>休日</t>
        </is>
      </c>
      <c r="C3805" s="10" t="inlineStr">
        <is>
          <t>本線</t>
        </is>
      </c>
      <c r="D3805" s="10" t="inlineStr">
        <is>
          <t>上り</t>
        </is>
      </c>
      <c r="E3805" t="inlineStr">
        <is>
          <t>1202</t>
        </is>
      </c>
      <c r="F3805" t="inlineStr">
        <is>
          <t>0211</t>
        </is>
      </c>
      <c r="G3805" s="10" t="inlineStr">
        <is>
          <t>有栖川</t>
        </is>
      </c>
      <c r="H3805" s="10" t="inlineStr">
        <is>
          <t>発</t>
        </is>
      </c>
      <c r="J3805" s="10" t="inlineStr">
        <is>
          <t>営業</t>
        </is>
      </c>
      <c r="L3805" t="inlineStr">
        <is>
          <t>12:08:35</t>
        </is>
      </c>
      <c r="M3805" t="inlineStr">
        <is>
          <t>12:08:55</t>
        </is>
      </c>
    </row>
    <row r="3806" ht="16.5" customHeight="1" s="37">
      <c r="A3806" t="n">
        <v>4</v>
      </c>
      <c r="B3806" s="10" t="inlineStr">
        <is>
          <t>休日</t>
        </is>
      </c>
      <c r="C3806" s="10" t="inlineStr">
        <is>
          <t>本線</t>
        </is>
      </c>
      <c r="D3806" s="10" t="inlineStr">
        <is>
          <t>上り</t>
        </is>
      </c>
      <c r="E3806" t="inlineStr">
        <is>
          <t>1202</t>
        </is>
      </c>
      <c r="F3806" t="inlineStr">
        <is>
          <t>0211</t>
        </is>
      </c>
      <c r="G3806" s="10" t="inlineStr">
        <is>
          <t>帷子ノ辻</t>
        </is>
      </c>
      <c r="H3806" s="10" t="inlineStr">
        <is>
          <t>発</t>
        </is>
      </c>
      <c r="J3806" s="10" t="inlineStr">
        <is>
          <t>営業</t>
        </is>
      </c>
      <c r="L3806" t="inlineStr">
        <is>
          <t>12:10:10</t>
        </is>
      </c>
      <c r="M3806" t="inlineStr">
        <is>
          <t>12:11:15</t>
        </is>
      </c>
    </row>
    <row r="3807" ht="16.5" customHeight="1" s="37">
      <c r="A3807" t="n">
        <v>4</v>
      </c>
      <c r="B3807" s="10" t="inlineStr">
        <is>
          <t>休日</t>
        </is>
      </c>
      <c r="C3807" s="10" t="inlineStr">
        <is>
          <t>本線</t>
        </is>
      </c>
      <c r="D3807" s="10" t="inlineStr">
        <is>
          <t>上り</t>
        </is>
      </c>
      <c r="E3807" t="inlineStr">
        <is>
          <t>1202</t>
        </is>
      </c>
      <c r="F3807" t="inlineStr">
        <is>
          <t>0211</t>
        </is>
      </c>
      <c r="G3807" s="10" t="inlineStr">
        <is>
          <t>太秦広隆寺</t>
        </is>
      </c>
      <c r="H3807" s="10" t="inlineStr">
        <is>
          <t>発</t>
        </is>
      </c>
      <c r="J3807" s="10" t="inlineStr">
        <is>
          <t>営業</t>
        </is>
      </c>
      <c r="L3807" t="inlineStr">
        <is>
          <t>12:13:25</t>
        </is>
      </c>
      <c r="M3807" t="inlineStr">
        <is>
          <t>12:13:45</t>
        </is>
      </c>
    </row>
    <row r="3808" ht="16.5" customHeight="1" s="37">
      <c r="A3808" t="n">
        <v>4</v>
      </c>
      <c r="B3808" s="10" t="inlineStr">
        <is>
          <t>休日</t>
        </is>
      </c>
      <c r="C3808" s="10" t="inlineStr">
        <is>
          <t>本線</t>
        </is>
      </c>
      <c r="D3808" s="10" t="inlineStr">
        <is>
          <t>上り</t>
        </is>
      </c>
      <c r="E3808" t="inlineStr">
        <is>
          <t>1202</t>
        </is>
      </c>
      <c r="F3808" t="inlineStr">
        <is>
          <t>0211</t>
        </is>
      </c>
      <c r="G3808" s="10" t="inlineStr">
        <is>
          <t>蚕ノ社</t>
        </is>
      </c>
      <c r="H3808" s="10" t="inlineStr">
        <is>
          <t>発</t>
        </is>
      </c>
      <c r="J3808" s="10" t="inlineStr">
        <is>
          <t>営業</t>
        </is>
      </c>
      <c r="L3808" t="inlineStr">
        <is>
          <t>12:15:00</t>
        </is>
      </c>
      <c r="M3808" t="inlineStr">
        <is>
          <t>12:15:20</t>
        </is>
      </c>
    </row>
    <row r="3809" ht="16.5" customHeight="1" s="37">
      <c r="A3809" t="n">
        <v>4</v>
      </c>
      <c r="B3809" s="10" t="inlineStr">
        <is>
          <t>休日</t>
        </is>
      </c>
      <c r="C3809" s="10" t="inlineStr">
        <is>
          <t>本線</t>
        </is>
      </c>
      <c r="D3809" s="10" t="inlineStr">
        <is>
          <t>上り</t>
        </is>
      </c>
      <c r="E3809" t="inlineStr">
        <is>
          <t>1202</t>
        </is>
      </c>
      <c r="F3809" t="inlineStr">
        <is>
          <t>0211</t>
        </is>
      </c>
      <c r="G3809" s="10" t="inlineStr">
        <is>
          <t>天神川</t>
        </is>
      </c>
      <c r="H3809" s="10" t="inlineStr">
        <is>
          <t>発</t>
        </is>
      </c>
      <c r="J3809" s="10" t="inlineStr">
        <is>
          <t>営業</t>
        </is>
      </c>
      <c r="L3809" t="inlineStr">
        <is>
          <t>12:16:05</t>
        </is>
      </c>
      <c r="M3809" t="inlineStr">
        <is>
          <t>12:16:50</t>
        </is>
      </c>
    </row>
    <row r="3810" ht="16.5" customHeight="1" s="37">
      <c r="A3810" t="n">
        <v>4</v>
      </c>
      <c r="B3810" s="10" t="inlineStr">
        <is>
          <t>休日</t>
        </is>
      </c>
      <c r="C3810" s="10" t="inlineStr">
        <is>
          <t>本線</t>
        </is>
      </c>
      <c r="D3810" s="10" t="inlineStr">
        <is>
          <t>上り</t>
        </is>
      </c>
      <c r="E3810" t="inlineStr">
        <is>
          <t>1202</t>
        </is>
      </c>
      <c r="F3810" t="inlineStr">
        <is>
          <t>0211</t>
        </is>
      </c>
      <c r="G3810" s="10" t="inlineStr">
        <is>
          <t>山ノ内</t>
        </is>
      </c>
      <c r="H3810" s="10" t="inlineStr">
        <is>
          <t>発</t>
        </is>
      </c>
      <c r="J3810" s="10" t="inlineStr">
        <is>
          <t>営業</t>
        </is>
      </c>
      <c r="L3810" t="inlineStr">
        <is>
          <t>12:18:40</t>
        </is>
      </c>
      <c r="M3810" t="inlineStr">
        <is>
          <t>12:19:05</t>
        </is>
      </c>
    </row>
    <row r="3811" ht="16.5" customHeight="1" s="37">
      <c r="A3811" t="n">
        <v>4</v>
      </c>
      <c r="B3811" s="10" t="inlineStr">
        <is>
          <t>休日</t>
        </is>
      </c>
      <c r="C3811" s="10" t="inlineStr">
        <is>
          <t>本線</t>
        </is>
      </c>
      <c r="D3811" s="10" t="inlineStr">
        <is>
          <t>上り</t>
        </is>
      </c>
      <c r="E3811" t="inlineStr">
        <is>
          <t>1202</t>
        </is>
      </c>
      <c r="F3811" t="inlineStr">
        <is>
          <t>0211</t>
        </is>
      </c>
      <c r="G3811" s="10" t="inlineStr">
        <is>
          <t>西大路三条</t>
        </is>
      </c>
      <c r="H3811" s="10" t="inlineStr">
        <is>
          <t>発</t>
        </is>
      </c>
      <c r="J3811" s="10" t="inlineStr">
        <is>
          <t>営業</t>
        </is>
      </c>
      <c r="L3811" t="inlineStr">
        <is>
          <t>12:20:55</t>
        </is>
      </c>
      <c r="M3811" t="inlineStr">
        <is>
          <t>12:21:15</t>
        </is>
      </c>
    </row>
    <row r="3812" ht="16.5" customHeight="1" s="37">
      <c r="A3812" t="n">
        <v>4</v>
      </c>
      <c r="B3812" s="10" t="inlineStr">
        <is>
          <t>休日</t>
        </is>
      </c>
      <c r="C3812" s="10" t="inlineStr">
        <is>
          <t>本線</t>
        </is>
      </c>
      <c r="D3812" s="10" t="inlineStr">
        <is>
          <t>上り</t>
        </is>
      </c>
      <c r="E3812" t="inlineStr">
        <is>
          <t>1202</t>
        </is>
      </c>
      <c r="F3812" t="inlineStr">
        <is>
          <t>0211</t>
        </is>
      </c>
      <c r="G3812" s="10" t="inlineStr">
        <is>
          <t>西院</t>
        </is>
      </c>
      <c r="H3812" s="10" t="inlineStr">
        <is>
          <t>発</t>
        </is>
      </c>
      <c r="J3812" s="10" t="inlineStr">
        <is>
          <t>営業</t>
        </is>
      </c>
      <c r="L3812" t="inlineStr">
        <is>
          <t>12:23:10</t>
        </is>
      </c>
      <c r="M3812" t="inlineStr">
        <is>
          <t>12:24:05</t>
        </is>
      </c>
    </row>
    <row r="3813" ht="16.5" customHeight="1" s="37">
      <c r="A3813" t="n">
        <v>4</v>
      </c>
      <c r="B3813" s="10" t="inlineStr">
        <is>
          <t>休日</t>
        </is>
      </c>
      <c r="C3813" s="10" t="inlineStr">
        <is>
          <t>本線</t>
        </is>
      </c>
      <c r="D3813" s="10" t="inlineStr">
        <is>
          <t>上り</t>
        </is>
      </c>
      <c r="E3813" t="inlineStr">
        <is>
          <t>1202</t>
        </is>
      </c>
      <c r="F3813" t="inlineStr">
        <is>
          <t>0211</t>
        </is>
      </c>
      <c r="G3813" s="10" t="inlineStr">
        <is>
          <t>四条大宮</t>
        </is>
      </c>
      <c r="H3813" s="10" t="inlineStr">
        <is>
          <t>着</t>
        </is>
      </c>
      <c r="J3813" s="10" t="inlineStr">
        <is>
          <t>営業</t>
        </is>
      </c>
      <c r="L3813" t="inlineStr">
        <is>
          <t>12:27:00</t>
        </is>
      </c>
      <c r="Q3813" t="inlineStr">
        <is>
          <t>1</t>
        </is>
      </c>
    </row>
    <row r="3814" ht="16.5" customHeight="1" s="37">
      <c r="A3814" t="n">
        <v>4</v>
      </c>
      <c r="B3814" s="10" t="inlineStr">
        <is>
          <t>休日</t>
        </is>
      </c>
      <c r="C3814" s="10" t="inlineStr">
        <is>
          <t>本線</t>
        </is>
      </c>
      <c r="D3814" s="10" t="inlineStr">
        <is>
          <t>下り</t>
        </is>
      </c>
      <c r="E3814" t="inlineStr">
        <is>
          <t>1207</t>
        </is>
      </c>
      <c r="F3814" t="inlineStr">
        <is>
          <t>0112</t>
        </is>
      </c>
      <c r="G3814" s="10" t="inlineStr">
        <is>
          <t>四条大宮</t>
        </is>
      </c>
      <c r="H3814" s="10" t="inlineStr">
        <is>
          <t>発</t>
        </is>
      </c>
      <c r="J3814" s="10" t="inlineStr">
        <is>
          <t>営業</t>
        </is>
      </c>
      <c r="M3814" t="inlineStr">
        <is>
          <t>12:33:00</t>
        </is>
      </c>
      <c r="Q3814" t="inlineStr">
        <is>
          <t>1</t>
        </is>
      </c>
    </row>
    <row r="3815" ht="16.5" customHeight="1" s="37">
      <c r="A3815" t="n">
        <v>4</v>
      </c>
      <c r="B3815" s="10" t="inlineStr">
        <is>
          <t>休日</t>
        </is>
      </c>
      <c r="C3815" s="10" t="inlineStr">
        <is>
          <t>本線</t>
        </is>
      </c>
      <c r="D3815" s="10" t="inlineStr">
        <is>
          <t>下り</t>
        </is>
      </c>
      <c r="E3815" t="inlineStr">
        <is>
          <t>1207</t>
        </is>
      </c>
      <c r="F3815" t="inlineStr">
        <is>
          <t>0112</t>
        </is>
      </c>
      <c r="G3815" s="10" t="inlineStr">
        <is>
          <t>西院</t>
        </is>
      </c>
      <c r="H3815" s="10" t="inlineStr">
        <is>
          <t>発</t>
        </is>
      </c>
      <c r="J3815" s="10" t="inlineStr">
        <is>
          <t>営業</t>
        </is>
      </c>
      <c r="L3815" t="inlineStr">
        <is>
          <t>12:35:50</t>
        </is>
      </c>
      <c r="M3815" t="inlineStr">
        <is>
          <t>12:36:20</t>
        </is>
      </c>
    </row>
    <row r="3816" ht="16.5" customHeight="1" s="37">
      <c r="A3816" t="n">
        <v>4</v>
      </c>
      <c r="B3816" s="10" t="inlineStr">
        <is>
          <t>休日</t>
        </is>
      </c>
      <c r="C3816" s="10" t="inlineStr">
        <is>
          <t>本線</t>
        </is>
      </c>
      <c r="D3816" s="10" t="inlineStr">
        <is>
          <t>下り</t>
        </is>
      </c>
      <c r="E3816" t="inlineStr">
        <is>
          <t>1207</t>
        </is>
      </c>
      <c r="F3816" t="inlineStr">
        <is>
          <t>0112</t>
        </is>
      </c>
      <c r="G3816" s="10" t="inlineStr">
        <is>
          <t>西大路三条</t>
        </is>
      </c>
      <c r="H3816" s="10" t="inlineStr">
        <is>
          <t>発</t>
        </is>
      </c>
      <c r="J3816" s="10" t="inlineStr">
        <is>
          <t>営業</t>
        </is>
      </c>
      <c r="L3816" t="inlineStr">
        <is>
          <t>12:38:10</t>
        </is>
      </c>
      <c r="M3816" t="inlineStr">
        <is>
          <t>12:38:30</t>
        </is>
      </c>
    </row>
    <row r="3817" ht="16.5" customHeight="1" s="37">
      <c r="A3817" t="n">
        <v>4</v>
      </c>
      <c r="B3817" s="10" t="inlineStr">
        <is>
          <t>休日</t>
        </is>
      </c>
      <c r="C3817" s="10" t="inlineStr">
        <is>
          <t>本線</t>
        </is>
      </c>
      <c r="D3817" s="10" t="inlineStr">
        <is>
          <t>下り</t>
        </is>
      </c>
      <c r="E3817" t="inlineStr">
        <is>
          <t>1207</t>
        </is>
      </c>
      <c r="F3817" t="inlineStr">
        <is>
          <t>0112</t>
        </is>
      </c>
      <c r="G3817" s="10" t="inlineStr">
        <is>
          <t>山ノ内</t>
        </is>
      </c>
      <c r="H3817" s="10" t="inlineStr">
        <is>
          <t>発</t>
        </is>
      </c>
      <c r="J3817" s="10" t="inlineStr">
        <is>
          <t>営業</t>
        </is>
      </c>
      <c r="L3817" t="inlineStr">
        <is>
          <t>12:40:25</t>
        </is>
      </c>
      <c r="M3817" t="inlineStr">
        <is>
          <t>12:40:50</t>
        </is>
      </c>
    </row>
    <row r="3818" ht="16.5" customHeight="1" s="37">
      <c r="A3818" t="n">
        <v>4</v>
      </c>
      <c r="B3818" s="10" t="inlineStr">
        <is>
          <t>休日</t>
        </is>
      </c>
      <c r="C3818" s="10" t="inlineStr">
        <is>
          <t>本線</t>
        </is>
      </c>
      <c r="D3818" s="10" t="inlineStr">
        <is>
          <t>下り</t>
        </is>
      </c>
      <c r="E3818" t="inlineStr">
        <is>
          <t>1207</t>
        </is>
      </c>
      <c r="F3818" t="inlineStr">
        <is>
          <t>0112</t>
        </is>
      </c>
      <c r="G3818" s="10" t="inlineStr">
        <is>
          <t>天神川</t>
        </is>
      </c>
      <c r="H3818" s="10" t="inlineStr">
        <is>
          <t>発</t>
        </is>
      </c>
      <c r="J3818" s="10" t="inlineStr">
        <is>
          <t>営業</t>
        </is>
      </c>
      <c r="L3818" t="inlineStr">
        <is>
          <t>12:42:50</t>
        </is>
      </c>
      <c r="M3818" t="inlineStr">
        <is>
          <t>12:43:30</t>
        </is>
      </c>
    </row>
    <row r="3819" ht="16.5" customHeight="1" s="37">
      <c r="A3819" t="n">
        <v>4</v>
      </c>
      <c r="B3819" s="10" t="inlineStr">
        <is>
          <t>休日</t>
        </is>
      </c>
      <c r="C3819" s="10" t="inlineStr">
        <is>
          <t>本線</t>
        </is>
      </c>
      <c r="D3819" s="10" t="inlineStr">
        <is>
          <t>下り</t>
        </is>
      </c>
      <c r="E3819" t="inlineStr">
        <is>
          <t>1207</t>
        </is>
      </c>
      <c r="F3819" t="inlineStr">
        <is>
          <t>0112</t>
        </is>
      </c>
      <c r="G3819" s="10" t="inlineStr">
        <is>
          <t>蚕ノ社</t>
        </is>
      </c>
      <c r="H3819" s="10" t="inlineStr">
        <is>
          <t>発</t>
        </is>
      </c>
      <c r="J3819" s="10" t="inlineStr">
        <is>
          <t>営業</t>
        </is>
      </c>
      <c r="L3819" t="inlineStr">
        <is>
          <t>12:44:20</t>
        </is>
      </c>
      <c r="M3819" t="inlineStr">
        <is>
          <t>12:44:40</t>
        </is>
      </c>
    </row>
    <row r="3820" ht="16.5" customHeight="1" s="37">
      <c r="A3820" t="n">
        <v>4</v>
      </c>
      <c r="B3820" s="10" t="inlineStr">
        <is>
          <t>休日</t>
        </is>
      </c>
      <c r="C3820" s="10" t="inlineStr">
        <is>
          <t>本線</t>
        </is>
      </c>
      <c r="D3820" s="10" t="inlineStr">
        <is>
          <t>下り</t>
        </is>
      </c>
      <c r="E3820" t="inlineStr">
        <is>
          <t>1207</t>
        </is>
      </c>
      <c r="F3820" t="inlineStr">
        <is>
          <t>0112</t>
        </is>
      </c>
      <c r="G3820" s="10" t="inlineStr">
        <is>
          <t>太秦広隆寺</t>
        </is>
      </c>
      <c r="H3820" s="10" t="inlineStr">
        <is>
          <t>発</t>
        </is>
      </c>
      <c r="J3820" s="10" t="inlineStr">
        <is>
          <t>営業</t>
        </is>
      </c>
      <c r="L3820" t="inlineStr">
        <is>
          <t>12:46:00</t>
        </is>
      </c>
      <c r="M3820" t="inlineStr">
        <is>
          <t>12:46:20</t>
        </is>
      </c>
    </row>
    <row r="3821" ht="16.5" customHeight="1" s="37">
      <c r="A3821" t="n">
        <v>4</v>
      </c>
      <c r="B3821" s="10" t="inlineStr">
        <is>
          <t>休日</t>
        </is>
      </c>
      <c r="C3821" s="10" t="inlineStr">
        <is>
          <t>本線</t>
        </is>
      </c>
      <c r="D3821" s="10" t="inlineStr">
        <is>
          <t>下り</t>
        </is>
      </c>
      <c r="E3821" t="inlineStr">
        <is>
          <t>1207</t>
        </is>
      </c>
      <c r="F3821" t="inlineStr">
        <is>
          <t>0112</t>
        </is>
      </c>
      <c r="G3821" s="10" t="inlineStr">
        <is>
          <t>帷子ノ辻</t>
        </is>
      </c>
      <c r="H3821" s="10" t="inlineStr">
        <is>
          <t>発</t>
        </is>
      </c>
      <c r="J3821" s="10" t="inlineStr">
        <is>
          <t>営業</t>
        </is>
      </c>
      <c r="L3821" t="inlineStr">
        <is>
          <t>12:48:20</t>
        </is>
      </c>
      <c r="M3821" t="inlineStr">
        <is>
          <t>12:49:40</t>
        </is>
      </c>
    </row>
    <row r="3822" ht="16.5" customHeight="1" s="37">
      <c r="A3822" t="n">
        <v>4</v>
      </c>
      <c r="B3822" s="10" t="inlineStr">
        <is>
          <t>休日</t>
        </is>
      </c>
      <c r="C3822" s="10" t="inlineStr">
        <is>
          <t>本線</t>
        </is>
      </c>
      <c r="D3822" s="10" t="inlineStr">
        <is>
          <t>下り</t>
        </is>
      </c>
      <c r="E3822" t="inlineStr">
        <is>
          <t>1207</t>
        </is>
      </c>
      <c r="F3822" t="inlineStr">
        <is>
          <t>0112</t>
        </is>
      </c>
      <c r="G3822" s="10" t="inlineStr">
        <is>
          <t>有栖川</t>
        </is>
      </c>
      <c r="H3822" s="10" t="inlineStr">
        <is>
          <t>発</t>
        </is>
      </c>
      <c r="J3822" s="10" t="inlineStr">
        <is>
          <t>営業</t>
        </is>
      </c>
      <c r="L3822" t="inlineStr">
        <is>
          <t>12:50:50</t>
        </is>
      </c>
      <c r="M3822" t="inlineStr">
        <is>
          <t>12:51:15</t>
        </is>
      </c>
    </row>
    <row r="3823" ht="16.5" customHeight="1" s="37">
      <c r="A3823" t="n">
        <v>4</v>
      </c>
      <c r="B3823" s="10" t="inlineStr">
        <is>
          <t>休日</t>
        </is>
      </c>
      <c r="C3823" s="10" t="inlineStr">
        <is>
          <t>本線</t>
        </is>
      </c>
      <c r="D3823" s="10" t="inlineStr">
        <is>
          <t>下り</t>
        </is>
      </c>
      <c r="E3823" t="inlineStr">
        <is>
          <t>1207</t>
        </is>
      </c>
      <c r="F3823" t="inlineStr">
        <is>
          <t>0112</t>
        </is>
      </c>
      <c r="G3823" s="10" t="inlineStr">
        <is>
          <t>車折</t>
        </is>
      </c>
      <c r="H3823" s="10" t="inlineStr">
        <is>
          <t>発</t>
        </is>
      </c>
      <c r="J3823" s="10" t="inlineStr">
        <is>
          <t>営業</t>
        </is>
      </c>
      <c r="L3823" t="inlineStr">
        <is>
          <t>12:52:40</t>
        </is>
      </c>
      <c r="M3823" t="inlineStr">
        <is>
          <t>12:53:05</t>
        </is>
      </c>
    </row>
    <row r="3824" ht="16.5" customHeight="1" s="37">
      <c r="A3824" t="n">
        <v>4</v>
      </c>
      <c r="B3824" s="10" t="inlineStr">
        <is>
          <t>休日</t>
        </is>
      </c>
      <c r="C3824" s="10" t="inlineStr">
        <is>
          <t>本線</t>
        </is>
      </c>
      <c r="D3824" s="10" t="inlineStr">
        <is>
          <t>下り</t>
        </is>
      </c>
      <c r="E3824" t="inlineStr">
        <is>
          <t>1207</t>
        </is>
      </c>
      <c r="F3824" t="inlineStr">
        <is>
          <t>0112</t>
        </is>
      </c>
      <c r="G3824" s="10" t="inlineStr">
        <is>
          <t>鹿王院</t>
        </is>
      </c>
      <c r="H3824" s="10" t="inlineStr">
        <is>
          <t>発</t>
        </is>
      </c>
      <c r="J3824" s="10" t="inlineStr">
        <is>
          <t>営業</t>
        </is>
      </c>
      <c r="L3824" t="inlineStr">
        <is>
          <t>12:54:00</t>
        </is>
      </c>
      <c r="M3824" t="inlineStr">
        <is>
          <t>12:54:25</t>
        </is>
      </c>
    </row>
    <row r="3825" ht="16.5" customHeight="1" s="37">
      <c r="A3825" t="n">
        <v>4</v>
      </c>
      <c r="B3825" s="10" t="inlineStr">
        <is>
          <t>休日</t>
        </is>
      </c>
      <c r="C3825" s="10" t="inlineStr">
        <is>
          <t>本線</t>
        </is>
      </c>
      <c r="D3825" s="10" t="inlineStr">
        <is>
          <t>下り</t>
        </is>
      </c>
      <c r="E3825" t="inlineStr">
        <is>
          <t>1207</t>
        </is>
      </c>
      <c r="F3825" t="inlineStr">
        <is>
          <t>0112</t>
        </is>
      </c>
      <c r="G3825" s="10" t="inlineStr">
        <is>
          <t>嵯峨</t>
        </is>
      </c>
      <c r="H3825" s="10" t="inlineStr">
        <is>
          <t>発</t>
        </is>
      </c>
      <c r="J3825" s="10" t="inlineStr">
        <is>
          <t>営業</t>
        </is>
      </c>
      <c r="L3825" t="inlineStr">
        <is>
          <t>12:55:30</t>
        </is>
      </c>
      <c r="M3825" t="inlineStr">
        <is>
          <t>12:55:55</t>
        </is>
      </c>
    </row>
    <row r="3826" ht="16.5" customHeight="1" s="37">
      <c r="A3826" t="n">
        <v>4</v>
      </c>
      <c r="B3826" s="10" t="inlineStr">
        <is>
          <t>休日</t>
        </is>
      </c>
      <c r="C3826" s="10" t="inlineStr">
        <is>
          <t>本線</t>
        </is>
      </c>
      <c r="D3826" s="10" t="inlineStr">
        <is>
          <t>下り</t>
        </is>
      </c>
      <c r="E3826" t="inlineStr">
        <is>
          <t>1207</t>
        </is>
      </c>
      <c r="F3826" t="inlineStr">
        <is>
          <t>0112</t>
        </is>
      </c>
      <c r="G3826" s="10" t="inlineStr">
        <is>
          <t>嵐山</t>
        </is>
      </c>
      <c r="H3826" s="10" t="inlineStr">
        <is>
          <t>着</t>
        </is>
      </c>
      <c r="J3826" s="10" t="inlineStr">
        <is>
          <t>営業</t>
        </is>
      </c>
      <c r="L3826" t="inlineStr">
        <is>
          <t>12:57:00</t>
        </is>
      </c>
      <c r="Q3826" t="inlineStr">
        <is>
          <t>1</t>
        </is>
      </c>
    </row>
    <row r="3827" ht="16.5" customHeight="1" s="37">
      <c r="A3827" t="n">
        <v>4</v>
      </c>
      <c r="B3827" s="10" t="inlineStr">
        <is>
          <t>休日</t>
        </is>
      </c>
      <c r="C3827" s="10" t="inlineStr">
        <is>
          <t>本線</t>
        </is>
      </c>
      <c r="D3827" s="10" t="inlineStr">
        <is>
          <t>上り</t>
        </is>
      </c>
      <c r="E3827" t="inlineStr">
        <is>
          <t>1302</t>
        </is>
      </c>
      <c r="F3827" t="inlineStr">
        <is>
          <t>0211</t>
        </is>
      </c>
      <c r="G3827" s="10" t="inlineStr">
        <is>
          <t>嵐山</t>
        </is>
      </c>
      <c r="H3827" s="10" t="inlineStr">
        <is>
          <t>発</t>
        </is>
      </c>
      <c r="J3827" s="10" t="inlineStr">
        <is>
          <t>営業</t>
        </is>
      </c>
      <c r="M3827" t="inlineStr">
        <is>
          <t>13:03:00</t>
        </is>
      </c>
      <c r="Q3827" t="inlineStr">
        <is>
          <t>1</t>
        </is>
      </c>
    </row>
    <row r="3828" ht="16.5" customHeight="1" s="37">
      <c r="A3828" t="n">
        <v>4</v>
      </c>
      <c r="B3828" s="10" t="inlineStr">
        <is>
          <t>休日</t>
        </is>
      </c>
      <c r="C3828" s="10" t="inlineStr">
        <is>
          <t>本線</t>
        </is>
      </c>
      <c r="D3828" s="10" t="inlineStr">
        <is>
          <t>上り</t>
        </is>
      </c>
      <c r="E3828" t="inlineStr">
        <is>
          <t>1302</t>
        </is>
      </c>
      <c r="F3828" t="inlineStr">
        <is>
          <t>0211</t>
        </is>
      </c>
      <c r="G3828" s="10" t="inlineStr">
        <is>
          <t>嵯峨</t>
        </is>
      </c>
      <c r="H3828" s="10" t="inlineStr">
        <is>
          <t>発</t>
        </is>
      </c>
      <c r="J3828" s="10" t="inlineStr">
        <is>
          <t>営業</t>
        </is>
      </c>
      <c r="L3828" t="inlineStr">
        <is>
          <t>13:03:55</t>
        </is>
      </c>
      <c r="M3828" t="inlineStr">
        <is>
          <t>13:04:20</t>
        </is>
      </c>
    </row>
    <row r="3829" ht="16.5" customHeight="1" s="37">
      <c r="A3829" t="n">
        <v>4</v>
      </c>
      <c r="B3829" s="10" t="inlineStr">
        <is>
          <t>休日</t>
        </is>
      </c>
      <c r="C3829" s="10" t="inlineStr">
        <is>
          <t>本線</t>
        </is>
      </c>
      <c r="D3829" s="10" t="inlineStr">
        <is>
          <t>上り</t>
        </is>
      </c>
      <c r="E3829" t="inlineStr">
        <is>
          <t>1302</t>
        </is>
      </c>
      <c r="F3829" t="inlineStr">
        <is>
          <t>0211</t>
        </is>
      </c>
      <c r="G3829" s="10" t="inlineStr">
        <is>
          <t>鹿王院</t>
        </is>
      </c>
      <c r="H3829" s="10" t="inlineStr">
        <is>
          <t>発</t>
        </is>
      </c>
      <c r="J3829" s="10" t="inlineStr">
        <is>
          <t>営業</t>
        </is>
      </c>
      <c r="L3829" t="inlineStr">
        <is>
          <t>13:05:25</t>
        </is>
      </c>
      <c r="M3829" t="inlineStr">
        <is>
          <t>13:05:45</t>
        </is>
      </c>
    </row>
    <row r="3830" ht="16.5" customHeight="1" s="37">
      <c r="A3830" t="n">
        <v>4</v>
      </c>
      <c r="B3830" s="10" t="inlineStr">
        <is>
          <t>休日</t>
        </is>
      </c>
      <c r="C3830" s="10" t="inlineStr">
        <is>
          <t>本線</t>
        </is>
      </c>
      <c r="D3830" s="10" t="inlineStr">
        <is>
          <t>上り</t>
        </is>
      </c>
      <c r="E3830" t="inlineStr">
        <is>
          <t>1302</t>
        </is>
      </c>
      <c r="F3830" t="inlineStr">
        <is>
          <t>0211</t>
        </is>
      </c>
      <c r="G3830" s="10" t="inlineStr">
        <is>
          <t>車折</t>
        </is>
      </c>
      <c r="H3830" s="10" t="inlineStr">
        <is>
          <t>発</t>
        </is>
      </c>
      <c r="J3830" s="10" t="inlineStr">
        <is>
          <t>営業</t>
        </is>
      </c>
      <c r="L3830" t="inlineStr">
        <is>
          <t>13:06:40</t>
        </is>
      </c>
      <c r="M3830" t="inlineStr">
        <is>
          <t>13:07:10</t>
        </is>
      </c>
    </row>
    <row r="3831" ht="16.5" customHeight="1" s="37">
      <c r="A3831" t="n">
        <v>4</v>
      </c>
      <c r="B3831" s="10" t="inlineStr">
        <is>
          <t>休日</t>
        </is>
      </c>
      <c r="C3831" s="10" t="inlineStr">
        <is>
          <t>本線</t>
        </is>
      </c>
      <c r="D3831" s="10" t="inlineStr">
        <is>
          <t>上り</t>
        </is>
      </c>
      <c r="E3831" t="inlineStr">
        <is>
          <t>1302</t>
        </is>
      </c>
      <c r="F3831" t="inlineStr">
        <is>
          <t>0211</t>
        </is>
      </c>
      <c r="G3831" s="10" t="inlineStr">
        <is>
          <t>有栖川</t>
        </is>
      </c>
      <c r="H3831" s="10" t="inlineStr">
        <is>
          <t>発</t>
        </is>
      </c>
      <c r="J3831" s="10" t="inlineStr">
        <is>
          <t>営業</t>
        </is>
      </c>
      <c r="L3831" t="inlineStr">
        <is>
          <t>13:08:35</t>
        </is>
      </c>
      <c r="M3831" t="inlineStr">
        <is>
          <t>13:08:55</t>
        </is>
      </c>
    </row>
    <row r="3832" ht="16.5" customHeight="1" s="37">
      <c r="A3832" t="n">
        <v>4</v>
      </c>
      <c r="B3832" s="10" t="inlineStr">
        <is>
          <t>休日</t>
        </is>
      </c>
      <c r="C3832" s="10" t="inlineStr">
        <is>
          <t>本線</t>
        </is>
      </c>
      <c r="D3832" s="10" t="inlineStr">
        <is>
          <t>上り</t>
        </is>
      </c>
      <c r="E3832" t="inlineStr">
        <is>
          <t>1302</t>
        </is>
      </c>
      <c r="F3832" t="inlineStr">
        <is>
          <t>0211</t>
        </is>
      </c>
      <c r="G3832" s="10" t="inlineStr">
        <is>
          <t>帷子ノ辻</t>
        </is>
      </c>
      <c r="H3832" s="10" t="inlineStr">
        <is>
          <t>発</t>
        </is>
      </c>
      <c r="J3832" s="10" t="inlineStr">
        <is>
          <t>営業</t>
        </is>
      </c>
      <c r="L3832" t="inlineStr">
        <is>
          <t>13:10:10</t>
        </is>
      </c>
      <c r="M3832" t="inlineStr">
        <is>
          <t>13:11:15</t>
        </is>
      </c>
    </row>
    <row r="3833" ht="16.5" customHeight="1" s="37">
      <c r="A3833" t="n">
        <v>4</v>
      </c>
      <c r="B3833" s="10" t="inlineStr">
        <is>
          <t>休日</t>
        </is>
      </c>
      <c r="C3833" s="10" t="inlineStr">
        <is>
          <t>本線</t>
        </is>
      </c>
      <c r="D3833" s="10" t="inlineStr">
        <is>
          <t>上り</t>
        </is>
      </c>
      <c r="E3833" t="inlineStr">
        <is>
          <t>1302</t>
        </is>
      </c>
      <c r="F3833" t="inlineStr">
        <is>
          <t>0211</t>
        </is>
      </c>
      <c r="G3833" s="10" t="inlineStr">
        <is>
          <t>太秦広隆寺</t>
        </is>
      </c>
      <c r="H3833" s="10" t="inlineStr">
        <is>
          <t>発</t>
        </is>
      </c>
      <c r="J3833" s="10" t="inlineStr">
        <is>
          <t>営業</t>
        </is>
      </c>
      <c r="L3833" t="inlineStr">
        <is>
          <t>13:13:25</t>
        </is>
      </c>
      <c r="M3833" t="inlineStr">
        <is>
          <t>13:13:45</t>
        </is>
      </c>
    </row>
    <row r="3834" ht="16.5" customHeight="1" s="37">
      <c r="A3834" t="n">
        <v>4</v>
      </c>
      <c r="B3834" s="10" t="inlineStr">
        <is>
          <t>休日</t>
        </is>
      </c>
      <c r="C3834" s="10" t="inlineStr">
        <is>
          <t>本線</t>
        </is>
      </c>
      <c r="D3834" s="10" t="inlineStr">
        <is>
          <t>上り</t>
        </is>
      </c>
      <c r="E3834" t="inlineStr">
        <is>
          <t>1302</t>
        </is>
      </c>
      <c r="F3834" t="inlineStr">
        <is>
          <t>0211</t>
        </is>
      </c>
      <c r="G3834" s="10" t="inlineStr">
        <is>
          <t>蚕ノ社</t>
        </is>
      </c>
      <c r="H3834" s="10" t="inlineStr">
        <is>
          <t>発</t>
        </is>
      </c>
      <c r="J3834" s="10" t="inlineStr">
        <is>
          <t>営業</t>
        </is>
      </c>
      <c r="L3834" t="inlineStr">
        <is>
          <t>13:15:00</t>
        </is>
      </c>
      <c r="M3834" t="inlineStr">
        <is>
          <t>13:15:20</t>
        </is>
      </c>
    </row>
    <row r="3835" ht="16.5" customHeight="1" s="37">
      <c r="A3835" t="n">
        <v>4</v>
      </c>
      <c r="B3835" s="10" t="inlineStr">
        <is>
          <t>休日</t>
        </is>
      </c>
      <c r="C3835" s="10" t="inlineStr">
        <is>
          <t>本線</t>
        </is>
      </c>
      <c r="D3835" s="10" t="inlineStr">
        <is>
          <t>上り</t>
        </is>
      </c>
      <c r="E3835" t="inlineStr">
        <is>
          <t>1302</t>
        </is>
      </c>
      <c r="F3835" t="inlineStr">
        <is>
          <t>0211</t>
        </is>
      </c>
      <c r="G3835" s="10" t="inlineStr">
        <is>
          <t>天神川</t>
        </is>
      </c>
      <c r="H3835" s="10" t="inlineStr">
        <is>
          <t>発</t>
        </is>
      </c>
      <c r="J3835" s="10" t="inlineStr">
        <is>
          <t>営業</t>
        </is>
      </c>
      <c r="L3835" t="inlineStr">
        <is>
          <t>13:16:05</t>
        </is>
      </c>
      <c r="M3835" t="inlineStr">
        <is>
          <t>13:16:50</t>
        </is>
      </c>
    </row>
    <row r="3836" ht="16.5" customHeight="1" s="37">
      <c r="A3836" t="n">
        <v>4</v>
      </c>
      <c r="B3836" s="10" t="inlineStr">
        <is>
          <t>休日</t>
        </is>
      </c>
      <c r="C3836" s="10" t="inlineStr">
        <is>
          <t>本線</t>
        </is>
      </c>
      <c r="D3836" s="10" t="inlineStr">
        <is>
          <t>上り</t>
        </is>
      </c>
      <c r="E3836" t="inlineStr">
        <is>
          <t>1302</t>
        </is>
      </c>
      <c r="F3836" t="inlineStr">
        <is>
          <t>0211</t>
        </is>
      </c>
      <c r="G3836" s="10" t="inlineStr">
        <is>
          <t>山ノ内</t>
        </is>
      </c>
      <c r="H3836" s="10" t="inlineStr">
        <is>
          <t>発</t>
        </is>
      </c>
      <c r="J3836" s="10" t="inlineStr">
        <is>
          <t>営業</t>
        </is>
      </c>
      <c r="L3836" t="inlineStr">
        <is>
          <t>13:18:40</t>
        </is>
      </c>
      <c r="M3836" t="inlineStr">
        <is>
          <t>13:19:05</t>
        </is>
      </c>
    </row>
    <row r="3837" ht="16.5" customHeight="1" s="37">
      <c r="A3837" t="n">
        <v>4</v>
      </c>
      <c r="B3837" s="10" t="inlineStr">
        <is>
          <t>休日</t>
        </is>
      </c>
      <c r="C3837" s="10" t="inlineStr">
        <is>
          <t>本線</t>
        </is>
      </c>
      <c r="D3837" s="10" t="inlineStr">
        <is>
          <t>上り</t>
        </is>
      </c>
      <c r="E3837" t="inlineStr">
        <is>
          <t>1302</t>
        </is>
      </c>
      <c r="F3837" t="inlineStr">
        <is>
          <t>0211</t>
        </is>
      </c>
      <c r="G3837" s="10" t="inlineStr">
        <is>
          <t>西大路三条</t>
        </is>
      </c>
      <c r="H3837" s="10" t="inlineStr">
        <is>
          <t>発</t>
        </is>
      </c>
      <c r="J3837" s="10" t="inlineStr">
        <is>
          <t>営業</t>
        </is>
      </c>
      <c r="L3837" t="inlineStr">
        <is>
          <t>13:20:55</t>
        </is>
      </c>
      <c r="M3837" t="inlineStr">
        <is>
          <t>13:21:15</t>
        </is>
      </c>
    </row>
    <row r="3838" ht="16.5" customHeight="1" s="37">
      <c r="A3838" t="n">
        <v>4</v>
      </c>
      <c r="B3838" s="10" t="inlineStr">
        <is>
          <t>休日</t>
        </is>
      </c>
      <c r="C3838" s="10" t="inlineStr">
        <is>
          <t>本線</t>
        </is>
      </c>
      <c r="D3838" s="10" t="inlineStr">
        <is>
          <t>上り</t>
        </is>
      </c>
      <c r="E3838" t="inlineStr">
        <is>
          <t>1302</t>
        </is>
      </c>
      <c r="F3838" t="inlineStr">
        <is>
          <t>0211</t>
        </is>
      </c>
      <c r="G3838" s="10" t="inlineStr">
        <is>
          <t>西院</t>
        </is>
      </c>
      <c r="H3838" s="10" t="inlineStr">
        <is>
          <t>発</t>
        </is>
      </c>
      <c r="J3838" s="10" t="inlineStr">
        <is>
          <t>営業</t>
        </is>
      </c>
      <c r="L3838" t="inlineStr">
        <is>
          <t>13:23:10</t>
        </is>
      </c>
      <c r="M3838" t="inlineStr">
        <is>
          <t>13:24:05</t>
        </is>
      </c>
    </row>
    <row r="3839" ht="16.5" customHeight="1" s="37">
      <c r="A3839" t="n">
        <v>4</v>
      </c>
      <c r="B3839" s="10" t="inlineStr">
        <is>
          <t>休日</t>
        </is>
      </c>
      <c r="C3839" s="10" t="inlineStr">
        <is>
          <t>本線</t>
        </is>
      </c>
      <c r="D3839" s="10" t="inlineStr">
        <is>
          <t>上り</t>
        </is>
      </c>
      <c r="E3839" t="inlineStr">
        <is>
          <t>1302</t>
        </is>
      </c>
      <c r="F3839" t="inlineStr">
        <is>
          <t>0211</t>
        </is>
      </c>
      <c r="G3839" s="10" t="inlineStr">
        <is>
          <t>四条大宮</t>
        </is>
      </c>
      <c r="H3839" s="10" t="inlineStr">
        <is>
          <t>着</t>
        </is>
      </c>
      <c r="J3839" s="10" t="inlineStr">
        <is>
          <t>営業</t>
        </is>
      </c>
      <c r="L3839" t="inlineStr">
        <is>
          <t>13:27:00</t>
        </is>
      </c>
      <c r="Q3839" t="inlineStr">
        <is>
          <t>1誘</t>
        </is>
      </c>
    </row>
    <row r="3840" ht="16.5" customHeight="1" s="37">
      <c r="A3840" t="n">
        <v>4</v>
      </c>
      <c r="B3840" s="10" t="inlineStr">
        <is>
          <t>休日</t>
        </is>
      </c>
      <c r="C3840" s="10" t="inlineStr">
        <is>
          <t>本線</t>
        </is>
      </c>
      <c r="D3840" s="10" t="inlineStr">
        <is>
          <t>上り</t>
        </is>
      </c>
      <c r="E3840" s="10" t="inlineStr">
        <is>
          <t>回0670</t>
        </is>
      </c>
      <c r="F3840" s="10" t="inlineStr">
        <is>
          <t>回送</t>
        </is>
      </c>
      <c r="G3840" s="10" t="inlineStr">
        <is>
          <t>西院</t>
        </is>
      </c>
      <c r="H3840" s="10" t="inlineStr">
        <is>
          <t>発</t>
        </is>
      </c>
      <c r="J3840" s="10" t="inlineStr">
        <is>
          <t>回送</t>
        </is>
      </c>
      <c r="M3840" t="inlineStr">
        <is>
          <t>6:00:05</t>
        </is>
      </c>
      <c r="O3840" t="inlineStr">
        <is>
          <t>積込:四大金庫(金庫4・納金袋1) 4系統Ⅱ側 四大6:03着</t>
        </is>
      </c>
    </row>
    <row r="3841" ht="16.5" customHeight="1" s="37">
      <c r="A3841" t="n">
        <v>4</v>
      </c>
      <c r="B3841" s="10" t="inlineStr">
        <is>
          <t>休日</t>
        </is>
      </c>
      <c r="C3841" s="10" t="inlineStr">
        <is>
          <t>本線</t>
        </is>
      </c>
      <c r="D3841" s="10" t="inlineStr">
        <is>
          <t>上り</t>
        </is>
      </c>
      <c r="E3841" s="10" t="inlineStr">
        <is>
          <t>回0670</t>
        </is>
      </c>
      <c r="F3841" s="10" t="inlineStr">
        <is>
          <t>回送</t>
        </is>
      </c>
      <c r="G3841" s="10" t="inlineStr">
        <is>
          <t>四条大宮</t>
        </is>
      </c>
      <c r="H3841" s="10" t="inlineStr">
        <is>
          <t>着</t>
        </is>
      </c>
      <c r="J3841" s="10" t="inlineStr">
        <is>
          <t>回送</t>
        </is>
      </c>
      <c r="L3841" t="inlineStr">
        <is>
          <t>6:03:00</t>
        </is>
      </c>
      <c r="O3841" t="inlineStr">
        <is>
          <t>積込:四大金庫(金庫4・納金袋1) 4系統Ⅱ側 四大6:03着</t>
        </is>
      </c>
      <c r="Q3841" t="inlineStr">
        <is>
          <t>1</t>
        </is>
      </c>
    </row>
    <row r="3842" ht="16.5" customHeight="1" s="37">
      <c r="A3842" t="n">
        <v>4</v>
      </c>
      <c r="B3842" s="10" t="inlineStr">
        <is>
          <t>休日</t>
        </is>
      </c>
      <c r="C3842" s="10" t="inlineStr">
        <is>
          <t>本線</t>
        </is>
      </c>
      <c r="D3842" s="10" t="inlineStr">
        <is>
          <t>下り</t>
        </is>
      </c>
      <c r="E3842" s="10" t="inlineStr">
        <is>
          <t>連1307</t>
        </is>
      </c>
      <c r="F3842" t="inlineStr">
        <is>
          <t>0112</t>
        </is>
      </c>
      <c r="G3842" s="10" t="inlineStr">
        <is>
          <t>四条大宮</t>
        </is>
      </c>
      <c r="H3842" s="10" t="inlineStr">
        <is>
          <t>発</t>
        </is>
      </c>
      <c r="J3842" s="10" t="inlineStr">
        <is>
          <t>営業</t>
        </is>
      </c>
      <c r="M3842" t="inlineStr">
        <is>
          <t>13:33:00</t>
        </is>
      </c>
      <c r="P3842" t="inlineStr">
        <is>
          <t>D系統(終日)</t>
        </is>
      </c>
      <c r="Q3842" t="inlineStr">
        <is>
          <t>1</t>
        </is>
      </c>
    </row>
    <row r="3843" ht="16.5" customHeight="1" s="37">
      <c r="A3843" t="n">
        <v>4</v>
      </c>
      <c r="B3843" s="10" t="inlineStr">
        <is>
          <t>休日</t>
        </is>
      </c>
      <c r="C3843" s="10" t="inlineStr">
        <is>
          <t>本線</t>
        </is>
      </c>
      <c r="D3843" s="10" t="inlineStr">
        <is>
          <t>下り</t>
        </is>
      </c>
      <c r="E3843" s="10" t="inlineStr">
        <is>
          <t>連1307</t>
        </is>
      </c>
      <c r="F3843" t="inlineStr">
        <is>
          <t>0112</t>
        </is>
      </c>
      <c r="G3843" s="10" t="inlineStr">
        <is>
          <t>西院</t>
        </is>
      </c>
      <c r="H3843" s="10" t="inlineStr">
        <is>
          <t>発</t>
        </is>
      </c>
      <c r="J3843" s="10" t="inlineStr">
        <is>
          <t>営業</t>
        </is>
      </c>
      <c r="L3843" t="inlineStr">
        <is>
          <t>13:35:50</t>
        </is>
      </c>
      <c r="M3843" t="inlineStr">
        <is>
          <t>13:36:20</t>
        </is>
      </c>
      <c r="P3843" t="inlineStr">
        <is>
          <t>D系統(終日)</t>
        </is>
      </c>
    </row>
    <row r="3844" ht="16.5" customHeight="1" s="37">
      <c r="A3844" t="n">
        <v>4</v>
      </c>
      <c r="B3844" s="10" t="inlineStr">
        <is>
          <t>休日</t>
        </is>
      </c>
      <c r="C3844" s="10" t="inlineStr">
        <is>
          <t>本線</t>
        </is>
      </c>
      <c r="D3844" s="10" t="inlineStr">
        <is>
          <t>下り</t>
        </is>
      </c>
      <c r="E3844" s="10" t="inlineStr">
        <is>
          <t>連1307</t>
        </is>
      </c>
      <c r="F3844" t="inlineStr">
        <is>
          <t>0112</t>
        </is>
      </c>
      <c r="G3844" s="10" t="inlineStr">
        <is>
          <t>西大路三条</t>
        </is>
      </c>
      <c r="H3844" s="10" t="inlineStr">
        <is>
          <t>発</t>
        </is>
      </c>
      <c r="J3844" s="10" t="inlineStr">
        <is>
          <t>営業</t>
        </is>
      </c>
      <c r="L3844" t="inlineStr">
        <is>
          <t>13:38:10</t>
        </is>
      </c>
      <c r="M3844" t="inlineStr">
        <is>
          <t>13:38:30</t>
        </is>
      </c>
      <c r="P3844" t="inlineStr">
        <is>
          <t>D系統(終日)</t>
        </is>
      </c>
    </row>
    <row r="3845" ht="16.5" customHeight="1" s="37">
      <c r="A3845" t="n">
        <v>4</v>
      </c>
      <c r="B3845" s="10" t="inlineStr">
        <is>
          <t>休日</t>
        </is>
      </c>
      <c r="C3845" s="10" t="inlineStr">
        <is>
          <t>本線</t>
        </is>
      </c>
      <c r="D3845" s="10" t="inlineStr">
        <is>
          <t>下り</t>
        </is>
      </c>
      <c r="E3845" s="10" t="inlineStr">
        <is>
          <t>連1307</t>
        </is>
      </c>
      <c r="F3845" t="inlineStr">
        <is>
          <t>0112</t>
        </is>
      </c>
      <c r="G3845" s="10" t="inlineStr">
        <is>
          <t>山ノ内</t>
        </is>
      </c>
      <c r="H3845" s="10" t="inlineStr">
        <is>
          <t>発</t>
        </is>
      </c>
      <c r="J3845" s="10" t="inlineStr">
        <is>
          <t>営業</t>
        </is>
      </c>
      <c r="L3845" t="inlineStr">
        <is>
          <t>13:40:25</t>
        </is>
      </c>
      <c r="M3845" t="inlineStr">
        <is>
          <t>13:40:50</t>
        </is>
      </c>
      <c r="P3845" t="inlineStr">
        <is>
          <t>D系統(終日)</t>
        </is>
      </c>
    </row>
    <row r="3846" ht="16.5" customHeight="1" s="37">
      <c r="A3846" t="n">
        <v>4</v>
      </c>
      <c r="B3846" s="10" t="inlineStr">
        <is>
          <t>休日</t>
        </is>
      </c>
      <c r="C3846" s="10" t="inlineStr">
        <is>
          <t>本線</t>
        </is>
      </c>
      <c r="D3846" s="10" t="inlineStr">
        <is>
          <t>下り</t>
        </is>
      </c>
      <c r="E3846" s="10" t="inlineStr">
        <is>
          <t>連1307</t>
        </is>
      </c>
      <c r="F3846" t="inlineStr">
        <is>
          <t>0112</t>
        </is>
      </c>
      <c r="G3846" s="10" t="inlineStr">
        <is>
          <t>天神川</t>
        </is>
      </c>
      <c r="H3846" s="10" t="inlineStr">
        <is>
          <t>発</t>
        </is>
      </c>
      <c r="J3846" s="10" t="inlineStr">
        <is>
          <t>営業</t>
        </is>
      </c>
      <c r="L3846" t="inlineStr">
        <is>
          <t>13:42:50</t>
        </is>
      </c>
      <c r="M3846" t="inlineStr">
        <is>
          <t>13:43:30</t>
        </is>
      </c>
      <c r="P3846" t="inlineStr">
        <is>
          <t>D系統(終日)</t>
        </is>
      </c>
    </row>
    <row r="3847" ht="16.5" customHeight="1" s="37">
      <c r="A3847" t="n">
        <v>4</v>
      </c>
      <c r="B3847" s="10" t="inlineStr">
        <is>
          <t>休日</t>
        </is>
      </c>
      <c r="C3847" s="10" t="inlineStr">
        <is>
          <t>本線</t>
        </is>
      </c>
      <c r="D3847" s="10" t="inlineStr">
        <is>
          <t>下り</t>
        </is>
      </c>
      <c r="E3847" s="10" t="inlineStr">
        <is>
          <t>連1307</t>
        </is>
      </c>
      <c r="F3847" t="inlineStr">
        <is>
          <t>0112</t>
        </is>
      </c>
      <c r="G3847" s="10" t="inlineStr">
        <is>
          <t>蚕ノ社</t>
        </is>
      </c>
      <c r="H3847" s="10" t="inlineStr">
        <is>
          <t>発</t>
        </is>
      </c>
      <c r="J3847" s="10" t="inlineStr">
        <is>
          <t>営業</t>
        </is>
      </c>
      <c r="L3847" t="inlineStr">
        <is>
          <t>13:44:20</t>
        </is>
      </c>
      <c r="M3847" t="inlineStr">
        <is>
          <t>13:44:40</t>
        </is>
      </c>
      <c r="P3847" t="inlineStr">
        <is>
          <t>D系統(終日)</t>
        </is>
      </c>
    </row>
    <row r="3848" ht="16.5" customHeight="1" s="37">
      <c r="A3848" t="n">
        <v>4</v>
      </c>
      <c r="B3848" s="10" t="inlineStr">
        <is>
          <t>休日</t>
        </is>
      </c>
      <c r="C3848" s="10" t="inlineStr">
        <is>
          <t>本線</t>
        </is>
      </c>
      <c r="D3848" s="10" t="inlineStr">
        <is>
          <t>下り</t>
        </is>
      </c>
      <c r="E3848" s="10" t="inlineStr">
        <is>
          <t>連1307</t>
        </is>
      </c>
      <c r="F3848" t="inlineStr">
        <is>
          <t>0112</t>
        </is>
      </c>
      <c r="G3848" s="10" t="inlineStr">
        <is>
          <t>太秦広隆寺</t>
        </is>
      </c>
      <c r="H3848" s="10" t="inlineStr">
        <is>
          <t>発</t>
        </is>
      </c>
      <c r="J3848" s="10" t="inlineStr">
        <is>
          <t>営業</t>
        </is>
      </c>
      <c r="L3848" t="inlineStr">
        <is>
          <t>13:46:00</t>
        </is>
      </c>
      <c r="M3848" t="inlineStr">
        <is>
          <t>13:46:20</t>
        </is>
      </c>
      <c r="P3848" t="inlineStr">
        <is>
          <t>D系統(終日)</t>
        </is>
      </c>
    </row>
    <row r="3849" ht="16.5" customHeight="1" s="37">
      <c r="A3849" t="n">
        <v>4</v>
      </c>
      <c r="B3849" s="10" t="inlineStr">
        <is>
          <t>休日</t>
        </is>
      </c>
      <c r="C3849" s="10" t="inlineStr">
        <is>
          <t>本線</t>
        </is>
      </c>
      <c r="D3849" s="10" t="inlineStr">
        <is>
          <t>下り</t>
        </is>
      </c>
      <c r="E3849" s="10" t="inlineStr">
        <is>
          <t>連1307</t>
        </is>
      </c>
      <c r="F3849" t="inlineStr">
        <is>
          <t>0112</t>
        </is>
      </c>
      <c r="G3849" s="10" t="inlineStr">
        <is>
          <t>帷子ノ辻</t>
        </is>
      </c>
      <c r="H3849" s="10" t="inlineStr">
        <is>
          <t>発</t>
        </is>
      </c>
      <c r="J3849" s="10" t="inlineStr">
        <is>
          <t>営業</t>
        </is>
      </c>
      <c r="L3849" t="inlineStr">
        <is>
          <t>13:48:20</t>
        </is>
      </c>
      <c r="M3849" t="inlineStr">
        <is>
          <t>13:49:40</t>
        </is>
      </c>
      <c r="P3849" t="inlineStr">
        <is>
          <t>D系統(終日)</t>
        </is>
      </c>
    </row>
    <row r="3850" ht="16.5" customHeight="1" s="37">
      <c r="A3850" t="n">
        <v>4</v>
      </c>
      <c r="B3850" s="10" t="inlineStr">
        <is>
          <t>休日</t>
        </is>
      </c>
      <c r="C3850" s="10" t="inlineStr">
        <is>
          <t>本線</t>
        </is>
      </c>
      <c r="D3850" s="10" t="inlineStr">
        <is>
          <t>下り</t>
        </is>
      </c>
      <c r="E3850" s="10" t="inlineStr">
        <is>
          <t>連1307</t>
        </is>
      </c>
      <c r="F3850" t="inlineStr">
        <is>
          <t>0112</t>
        </is>
      </c>
      <c r="G3850" s="10" t="inlineStr">
        <is>
          <t>有栖川</t>
        </is>
      </c>
      <c r="H3850" s="10" t="inlineStr">
        <is>
          <t>発</t>
        </is>
      </c>
      <c r="J3850" s="10" t="inlineStr">
        <is>
          <t>営業</t>
        </is>
      </c>
      <c r="L3850" t="inlineStr">
        <is>
          <t>13:50:50</t>
        </is>
      </c>
      <c r="M3850" t="inlineStr">
        <is>
          <t>13:51:15</t>
        </is>
      </c>
      <c r="P3850" t="inlineStr">
        <is>
          <t>D系統(終日)</t>
        </is>
      </c>
    </row>
    <row r="3851" ht="16.5" customHeight="1" s="37">
      <c r="A3851" t="n">
        <v>4</v>
      </c>
      <c r="B3851" s="10" t="inlineStr">
        <is>
          <t>休日</t>
        </is>
      </c>
      <c r="C3851" s="10" t="inlineStr">
        <is>
          <t>本線</t>
        </is>
      </c>
      <c r="D3851" s="10" t="inlineStr">
        <is>
          <t>下り</t>
        </is>
      </c>
      <c r="E3851" s="10" t="inlineStr">
        <is>
          <t>連1307</t>
        </is>
      </c>
      <c r="F3851" t="inlineStr">
        <is>
          <t>0112</t>
        </is>
      </c>
      <c r="G3851" s="10" t="inlineStr">
        <is>
          <t>車折</t>
        </is>
      </c>
      <c r="H3851" s="10" t="inlineStr">
        <is>
          <t>発</t>
        </is>
      </c>
      <c r="J3851" s="10" t="inlineStr">
        <is>
          <t>営業</t>
        </is>
      </c>
      <c r="L3851" t="inlineStr">
        <is>
          <t>13:52:40</t>
        </is>
      </c>
      <c r="M3851" t="inlineStr">
        <is>
          <t>13:53:05</t>
        </is>
      </c>
      <c r="P3851" t="inlineStr">
        <is>
          <t>D系統(終日)</t>
        </is>
      </c>
    </row>
    <row r="3852" ht="16.5" customHeight="1" s="37">
      <c r="A3852" t="n">
        <v>4</v>
      </c>
      <c r="B3852" s="10" t="inlineStr">
        <is>
          <t>休日</t>
        </is>
      </c>
      <c r="C3852" s="10" t="inlineStr">
        <is>
          <t>本線</t>
        </is>
      </c>
      <c r="D3852" s="10" t="inlineStr">
        <is>
          <t>下り</t>
        </is>
      </c>
      <c r="E3852" s="10" t="inlineStr">
        <is>
          <t>連1307</t>
        </is>
      </c>
      <c r="F3852" t="inlineStr">
        <is>
          <t>0112</t>
        </is>
      </c>
      <c r="G3852" s="10" t="inlineStr">
        <is>
          <t>鹿王院</t>
        </is>
      </c>
      <c r="H3852" s="10" t="inlineStr">
        <is>
          <t>発</t>
        </is>
      </c>
      <c r="J3852" s="10" t="inlineStr">
        <is>
          <t>営業</t>
        </is>
      </c>
      <c r="L3852" t="inlineStr">
        <is>
          <t>13:54:00</t>
        </is>
      </c>
      <c r="M3852" t="inlineStr">
        <is>
          <t>13:54:25</t>
        </is>
      </c>
      <c r="P3852" t="inlineStr">
        <is>
          <t>D系統(終日)</t>
        </is>
      </c>
    </row>
    <row r="3853" ht="16.5" customHeight="1" s="37">
      <c r="A3853" t="n">
        <v>4</v>
      </c>
      <c r="B3853" s="10" t="inlineStr">
        <is>
          <t>休日</t>
        </is>
      </c>
      <c r="C3853" s="10" t="inlineStr">
        <is>
          <t>本線</t>
        </is>
      </c>
      <c r="D3853" s="10" t="inlineStr">
        <is>
          <t>下り</t>
        </is>
      </c>
      <c r="E3853" s="10" t="inlineStr">
        <is>
          <t>連1307</t>
        </is>
      </c>
      <c r="F3853" t="inlineStr">
        <is>
          <t>0112</t>
        </is>
      </c>
      <c r="G3853" s="10" t="inlineStr">
        <is>
          <t>嵯峨</t>
        </is>
      </c>
      <c r="H3853" s="10" t="inlineStr">
        <is>
          <t>発</t>
        </is>
      </c>
      <c r="J3853" s="10" t="inlineStr">
        <is>
          <t>営業</t>
        </is>
      </c>
      <c r="L3853" t="inlineStr">
        <is>
          <t>13:55:30</t>
        </is>
      </c>
      <c r="M3853" t="inlineStr">
        <is>
          <t>13:55:55</t>
        </is>
      </c>
      <c r="P3853" t="inlineStr">
        <is>
          <t>D系統(終日)</t>
        </is>
      </c>
    </row>
    <row r="3854" ht="16.5" customHeight="1" s="37">
      <c r="A3854" t="n">
        <v>4</v>
      </c>
      <c r="B3854" s="10" t="inlineStr">
        <is>
          <t>休日</t>
        </is>
      </c>
      <c r="C3854" s="10" t="inlineStr">
        <is>
          <t>本線</t>
        </is>
      </c>
      <c r="D3854" s="10" t="inlineStr">
        <is>
          <t>下り</t>
        </is>
      </c>
      <c r="E3854" s="10" t="inlineStr">
        <is>
          <t>連1307</t>
        </is>
      </c>
      <c r="F3854" t="inlineStr">
        <is>
          <t>0112</t>
        </is>
      </c>
      <c r="G3854" s="10" t="inlineStr">
        <is>
          <t>嵐山</t>
        </is>
      </c>
      <c r="H3854" s="10" t="inlineStr">
        <is>
          <t>着</t>
        </is>
      </c>
      <c r="J3854" s="10" t="inlineStr">
        <is>
          <t>営業</t>
        </is>
      </c>
      <c r="L3854" t="inlineStr">
        <is>
          <t>13:57:00</t>
        </is>
      </c>
      <c r="P3854" t="inlineStr">
        <is>
          <t>D系統(終日)</t>
        </is>
      </c>
      <c r="Q3854" t="inlineStr">
        <is>
          <t>1</t>
        </is>
      </c>
    </row>
    <row r="3855" ht="16.5" customHeight="1" s="37">
      <c r="A3855" t="n">
        <v>4</v>
      </c>
      <c r="B3855" s="10" t="inlineStr">
        <is>
          <t>休日</t>
        </is>
      </c>
      <c r="C3855" s="10" t="inlineStr">
        <is>
          <t>本線</t>
        </is>
      </c>
      <c r="D3855" s="10" t="inlineStr">
        <is>
          <t>上り</t>
        </is>
      </c>
      <c r="E3855" s="10" t="inlineStr">
        <is>
          <t>連1402</t>
        </is>
      </c>
      <c r="F3855" t="inlineStr">
        <is>
          <t>0211</t>
        </is>
      </c>
      <c r="G3855" s="10" t="inlineStr">
        <is>
          <t>嵐山</t>
        </is>
      </c>
      <c r="H3855" s="10" t="inlineStr">
        <is>
          <t>発</t>
        </is>
      </c>
      <c r="J3855" s="10" t="inlineStr">
        <is>
          <t>営業</t>
        </is>
      </c>
      <c r="M3855" t="inlineStr">
        <is>
          <t>14:03:00</t>
        </is>
      </c>
      <c r="P3855" t="inlineStr">
        <is>
          <t>D系統(終日)</t>
        </is>
      </c>
      <c r="Q3855" t="inlineStr">
        <is>
          <t>1</t>
        </is>
      </c>
    </row>
    <row r="3856" ht="16.5" customHeight="1" s="37">
      <c r="A3856" t="n">
        <v>4</v>
      </c>
      <c r="B3856" s="10" t="inlineStr">
        <is>
          <t>休日</t>
        </is>
      </c>
      <c r="C3856" s="10" t="inlineStr">
        <is>
          <t>本線</t>
        </is>
      </c>
      <c r="D3856" s="10" t="inlineStr">
        <is>
          <t>上り</t>
        </is>
      </c>
      <c r="E3856" s="10" t="inlineStr">
        <is>
          <t>連1402</t>
        </is>
      </c>
      <c r="F3856" t="inlineStr">
        <is>
          <t>0211</t>
        </is>
      </c>
      <c r="G3856" s="10" t="inlineStr">
        <is>
          <t>嵯峨</t>
        </is>
      </c>
      <c r="H3856" s="10" t="inlineStr">
        <is>
          <t>発</t>
        </is>
      </c>
      <c r="J3856" s="10" t="inlineStr">
        <is>
          <t>営業</t>
        </is>
      </c>
      <c r="L3856" t="inlineStr">
        <is>
          <t>14:03:55</t>
        </is>
      </c>
      <c r="M3856" t="inlineStr">
        <is>
          <t>14:04:20</t>
        </is>
      </c>
      <c r="P3856" t="inlineStr">
        <is>
          <t>D系統(終日)</t>
        </is>
      </c>
    </row>
    <row r="3857" ht="16.5" customHeight="1" s="37">
      <c r="A3857" t="n">
        <v>4</v>
      </c>
      <c r="B3857" s="10" t="inlineStr">
        <is>
          <t>休日</t>
        </is>
      </c>
      <c r="C3857" s="10" t="inlineStr">
        <is>
          <t>本線</t>
        </is>
      </c>
      <c r="D3857" s="10" t="inlineStr">
        <is>
          <t>上り</t>
        </is>
      </c>
      <c r="E3857" s="10" t="inlineStr">
        <is>
          <t>連1402</t>
        </is>
      </c>
      <c r="F3857" t="inlineStr">
        <is>
          <t>0211</t>
        </is>
      </c>
      <c r="G3857" s="10" t="inlineStr">
        <is>
          <t>鹿王院</t>
        </is>
      </c>
      <c r="H3857" s="10" t="inlineStr">
        <is>
          <t>発</t>
        </is>
      </c>
      <c r="J3857" s="10" t="inlineStr">
        <is>
          <t>営業</t>
        </is>
      </c>
      <c r="L3857" t="inlineStr">
        <is>
          <t>14:05:25</t>
        </is>
      </c>
      <c r="M3857" t="inlineStr">
        <is>
          <t>14:05:45</t>
        </is>
      </c>
      <c r="P3857" t="inlineStr">
        <is>
          <t>D系統(終日)</t>
        </is>
      </c>
    </row>
    <row r="3858" ht="16.5" customHeight="1" s="37">
      <c r="A3858" t="n">
        <v>4</v>
      </c>
      <c r="B3858" s="10" t="inlineStr">
        <is>
          <t>休日</t>
        </is>
      </c>
      <c r="C3858" s="10" t="inlineStr">
        <is>
          <t>本線</t>
        </is>
      </c>
      <c r="D3858" s="10" t="inlineStr">
        <is>
          <t>上り</t>
        </is>
      </c>
      <c r="E3858" s="10" t="inlineStr">
        <is>
          <t>連1402</t>
        </is>
      </c>
      <c r="F3858" t="inlineStr">
        <is>
          <t>0211</t>
        </is>
      </c>
      <c r="G3858" s="10" t="inlineStr">
        <is>
          <t>車折</t>
        </is>
      </c>
      <c r="H3858" s="10" t="inlineStr">
        <is>
          <t>発</t>
        </is>
      </c>
      <c r="J3858" s="10" t="inlineStr">
        <is>
          <t>営業</t>
        </is>
      </c>
      <c r="L3858" t="inlineStr">
        <is>
          <t>14:06:40</t>
        </is>
      </c>
      <c r="M3858" t="inlineStr">
        <is>
          <t>14:07:10</t>
        </is>
      </c>
      <c r="P3858" t="inlineStr">
        <is>
          <t>D系統(終日)</t>
        </is>
      </c>
    </row>
    <row r="3859" ht="16.5" customHeight="1" s="37">
      <c r="A3859" t="n">
        <v>4</v>
      </c>
      <c r="B3859" s="10" t="inlineStr">
        <is>
          <t>休日</t>
        </is>
      </c>
      <c r="C3859" s="10" t="inlineStr">
        <is>
          <t>本線</t>
        </is>
      </c>
      <c r="D3859" s="10" t="inlineStr">
        <is>
          <t>上り</t>
        </is>
      </c>
      <c r="E3859" s="10" t="inlineStr">
        <is>
          <t>連1402</t>
        </is>
      </c>
      <c r="F3859" t="inlineStr">
        <is>
          <t>0211</t>
        </is>
      </c>
      <c r="G3859" s="10" t="inlineStr">
        <is>
          <t>有栖川</t>
        </is>
      </c>
      <c r="H3859" s="10" t="inlineStr">
        <is>
          <t>発</t>
        </is>
      </c>
      <c r="J3859" s="10" t="inlineStr">
        <is>
          <t>営業</t>
        </is>
      </c>
      <c r="L3859" t="inlineStr">
        <is>
          <t>14:08:35</t>
        </is>
      </c>
      <c r="M3859" t="inlineStr">
        <is>
          <t>14:08:55</t>
        </is>
      </c>
      <c r="P3859" t="inlineStr">
        <is>
          <t>D系統(終日)</t>
        </is>
      </c>
    </row>
    <row r="3860" ht="16.5" customHeight="1" s="37">
      <c r="A3860" t="n">
        <v>4</v>
      </c>
      <c r="B3860" s="10" t="inlineStr">
        <is>
          <t>休日</t>
        </is>
      </c>
      <c r="C3860" s="10" t="inlineStr">
        <is>
          <t>本線</t>
        </is>
      </c>
      <c r="D3860" s="10" t="inlineStr">
        <is>
          <t>上り</t>
        </is>
      </c>
      <c r="E3860" s="10" t="inlineStr">
        <is>
          <t>連1402</t>
        </is>
      </c>
      <c r="F3860" t="inlineStr">
        <is>
          <t>0211</t>
        </is>
      </c>
      <c r="G3860" s="10" t="inlineStr">
        <is>
          <t>帷子ノ辻</t>
        </is>
      </c>
      <c r="H3860" s="10" t="inlineStr">
        <is>
          <t>発</t>
        </is>
      </c>
      <c r="J3860" s="10" t="inlineStr">
        <is>
          <t>営業</t>
        </is>
      </c>
      <c r="L3860" t="inlineStr">
        <is>
          <t>14:10:10</t>
        </is>
      </c>
      <c r="M3860" t="inlineStr">
        <is>
          <t>14:11:15</t>
        </is>
      </c>
      <c r="P3860" t="inlineStr">
        <is>
          <t>D系統(終日)</t>
        </is>
      </c>
    </row>
    <row r="3861" ht="16.5" customHeight="1" s="37">
      <c r="A3861" t="n">
        <v>4</v>
      </c>
      <c r="B3861" s="10" t="inlineStr">
        <is>
          <t>休日</t>
        </is>
      </c>
      <c r="C3861" s="10" t="inlineStr">
        <is>
          <t>本線</t>
        </is>
      </c>
      <c r="D3861" s="10" t="inlineStr">
        <is>
          <t>上り</t>
        </is>
      </c>
      <c r="E3861" s="10" t="inlineStr">
        <is>
          <t>連1402</t>
        </is>
      </c>
      <c r="F3861" t="inlineStr">
        <is>
          <t>0211</t>
        </is>
      </c>
      <c r="G3861" s="10" t="inlineStr">
        <is>
          <t>太秦広隆寺</t>
        </is>
      </c>
      <c r="H3861" s="10" t="inlineStr">
        <is>
          <t>発</t>
        </is>
      </c>
      <c r="J3861" s="10" t="inlineStr">
        <is>
          <t>営業</t>
        </is>
      </c>
      <c r="L3861" t="inlineStr">
        <is>
          <t>14:13:25</t>
        </is>
      </c>
      <c r="M3861" t="inlineStr">
        <is>
          <t>14:13:45</t>
        </is>
      </c>
      <c r="P3861" t="inlineStr">
        <is>
          <t>D系統(終日)</t>
        </is>
      </c>
    </row>
    <row r="3862" ht="16.5" customHeight="1" s="37">
      <c r="A3862" t="n">
        <v>4</v>
      </c>
      <c r="B3862" s="10" t="inlineStr">
        <is>
          <t>休日</t>
        </is>
      </c>
      <c r="C3862" s="10" t="inlineStr">
        <is>
          <t>本線</t>
        </is>
      </c>
      <c r="D3862" s="10" t="inlineStr">
        <is>
          <t>上り</t>
        </is>
      </c>
      <c r="E3862" s="10" t="inlineStr">
        <is>
          <t>連1402</t>
        </is>
      </c>
      <c r="F3862" t="inlineStr">
        <is>
          <t>0211</t>
        </is>
      </c>
      <c r="G3862" s="10" t="inlineStr">
        <is>
          <t>蚕ノ社</t>
        </is>
      </c>
      <c r="H3862" s="10" t="inlineStr">
        <is>
          <t>発</t>
        </is>
      </c>
      <c r="J3862" s="10" t="inlineStr">
        <is>
          <t>営業</t>
        </is>
      </c>
      <c r="L3862" t="inlineStr">
        <is>
          <t>14:15:00</t>
        </is>
      </c>
      <c r="M3862" t="inlineStr">
        <is>
          <t>14:15:20</t>
        </is>
      </c>
      <c r="P3862" t="inlineStr">
        <is>
          <t>D系統(終日)</t>
        </is>
      </c>
    </row>
    <row r="3863" ht="16.5" customHeight="1" s="37">
      <c r="A3863" t="n">
        <v>4</v>
      </c>
      <c r="B3863" s="10" t="inlineStr">
        <is>
          <t>休日</t>
        </is>
      </c>
      <c r="C3863" s="10" t="inlineStr">
        <is>
          <t>本線</t>
        </is>
      </c>
      <c r="D3863" s="10" t="inlineStr">
        <is>
          <t>上り</t>
        </is>
      </c>
      <c r="E3863" s="10" t="inlineStr">
        <is>
          <t>連1402</t>
        </is>
      </c>
      <c r="F3863" t="inlineStr">
        <is>
          <t>0211</t>
        </is>
      </c>
      <c r="G3863" s="10" t="inlineStr">
        <is>
          <t>天神川</t>
        </is>
      </c>
      <c r="H3863" s="10" t="inlineStr">
        <is>
          <t>発</t>
        </is>
      </c>
      <c r="J3863" s="10" t="inlineStr">
        <is>
          <t>営業</t>
        </is>
      </c>
      <c r="L3863" t="inlineStr">
        <is>
          <t>14:16:05</t>
        </is>
      </c>
      <c r="M3863" t="inlineStr">
        <is>
          <t>14:16:50</t>
        </is>
      </c>
      <c r="P3863" t="inlineStr">
        <is>
          <t>D系統(終日)</t>
        </is>
      </c>
    </row>
    <row r="3864" ht="16.5" customHeight="1" s="37">
      <c r="A3864" t="n">
        <v>4</v>
      </c>
      <c r="B3864" s="10" t="inlineStr">
        <is>
          <t>休日</t>
        </is>
      </c>
      <c r="C3864" s="10" t="inlineStr">
        <is>
          <t>本線</t>
        </is>
      </c>
      <c r="D3864" s="10" t="inlineStr">
        <is>
          <t>上り</t>
        </is>
      </c>
      <c r="E3864" s="10" t="inlineStr">
        <is>
          <t>連1402</t>
        </is>
      </c>
      <c r="F3864" t="inlineStr">
        <is>
          <t>0211</t>
        </is>
      </c>
      <c r="G3864" s="10" t="inlineStr">
        <is>
          <t>山ノ内</t>
        </is>
      </c>
      <c r="H3864" s="10" t="inlineStr">
        <is>
          <t>発</t>
        </is>
      </c>
      <c r="J3864" s="10" t="inlineStr">
        <is>
          <t>営業</t>
        </is>
      </c>
      <c r="L3864" t="inlineStr">
        <is>
          <t>14:18:40</t>
        </is>
      </c>
      <c r="M3864" t="inlineStr">
        <is>
          <t>14:19:05</t>
        </is>
      </c>
      <c r="P3864" t="inlineStr">
        <is>
          <t>D系統(終日)</t>
        </is>
      </c>
    </row>
    <row r="3865" ht="16.5" customHeight="1" s="37">
      <c r="A3865" t="n">
        <v>4</v>
      </c>
      <c r="B3865" s="10" t="inlineStr">
        <is>
          <t>休日</t>
        </is>
      </c>
      <c r="C3865" s="10" t="inlineStr">
        <is>
          <t>本線</t>
        </is>
      </c>
      <c r="D3865" s="10" t="inlineStr">
        <is>
          <t>上り</t>
        </is>
      </c>
      <c r="E3865" s="10" t="inlineStr">
        <is>
          <t>連1402</t>
        </is>
      </c>
      <c r="F3865" t="inlineStr">
        <is>
          <t>0211</t>
        </is>
      </c>
      <c r="G3865" s="10" t="inlineStr">
        <is>
          <t>西大路三条</t>
        </is>
      </c>
      <c r="H3865" s="10" t="inlineStr">
        <is>
          <t>発</t>
        </is>
      </c>
      <c r="J3865" s="10" t="inlineStr">
        <is>
          <t>営業</t>
        </is>
      </c>
      <c r="L3865" t="inlineStr">
        <is>
          <t>14:20:55</t>
        </is>
      </c>
      <c r="M3865" t="inlineStr">
        <is>
          <t>14:21:15</t>
        </is>
      </c>
      <c r="P3865" t="inlineStr">
        <is>
          <t>D系統(終日)</t>
        </is>
      </c>
    </row>
    <row r="3866" ht="16.5" customHeight="1" s="37">
      <c r="A3866" t="n">
        <v>4</v>
      </c>
      <c r="B3866" s="10" t="inlineStr">
        <is>
          <t>休日</t>
        </is>
      </c>
      <c r="C3866" s="10" t="inlineStr">
        <is>
          <t>本線</t>
        </is>
      </c>
      <c r="D3866" s="10" t="inlineStr">
        <is>
          <t>上り</t>
        </is>
      </c>
      <c r="E3866" s="10" t="inlineStr">
        <is>
          <t>連1402</t>
        </is>
      </c>
      <c r="F3866" t="inlineStr">
        <is>
          <t>0211</t>
        </is>
      </c>
      <c r="G3866" s="10" t="inlineStr">
        <is>
          <t>西院</t>
        </is>
      </c>
      <c r="H3866" s="10" t="inlineStr">
        <is>
          <t>発</t>
        </is>
      </c>
      <c r="J3866" s="10" t="inlineStr">
        <is>
          <t>営業</t>
        </is>
      </c>
      <c r="L3866" t="inlineStr">
        <is>
          <t>14:23:10</t>
        </is>
      </c>
      <c r="M3866" t="inlineStr">
        <is>
          <t>14:24:05</t>
        </is>
      </c>
      <c r="P3866" t="inlineStr">
        <is>
          <t>D系統(終日)</t>
        </is>
      </c>
    </row>
    <row r="3867" ht="16.5" customHeight="1" s="37">
      <c r="A3867" t="n">
        <v>4</v>
      </c>
      <c r="B3867" s="10" t="inlineStr">
        <is>
          <t>休日</t>
        </is>
      </c>
      <c r="C3867" s="10" t="inlineStr">
        <is>
          <t>本線</t>
        </is>
      </c>
      <c r="D3867" s="10" t="inlineStr">
        <is>
          <t>上り</t>
        </is>
      </c>
      <c r="E3867" s="10" t="inlineStr">
        <is>
          <t>連1402</t>
        </is>
      </c>
      <c r="F3867" t="inlineStr">
        <is>
          <t>0211</t>
        </is>
      </c>
      <c r="G3867" s="10" t="inlineStr">
        <is>
          <t>四条大宮</t>
        </is>
      </c>
      <c r="H3867" s="10" t="inlineStr">
        <is>
          <t>着</t>
        </is>
      </c>
      <c r="J3867" s="10" t="inlineStr">
        <is>
          <t>営業</t>
        </is>
      </c>
      <c r="L3867" t="inlineStr">
        <is>
          <t>14:27:00</t>
        </is>
      </c>
      <c r="P3867" t="inlineStr">
        <is>
          <t>D系統(終日)</t>
        </is>
      </c>
      <c r="Q3867" t="inlineStr">
        <is>
          <t>1</t>
        </is>
      </c>
    </row>
    <row r="3868" ht="16.5" customHeight="1" s="37">
      <c r="A3868" t="n">
        <v>4</v>
      </c>
      <c r="B3868" s="10" t="inlineStr">
        <is>
          <t>休日</t>
        </is>
      </c>
      <c r="C3868" s="10" t="inlineStr">
        <is>
          <t>本線</t>
        </is>
      </c>
      <c r="D3868" s="10" t="inlineStr">
        <is>
          <t>下り</t>
        </is>
      </c>
      <c r="E3868" s="10" t="inlineStr">
        <is>
          <t>連1407</t>
        </is>
      </c>
      <c r="F3868" t="inlineStr">
        <is>
          <t>0112</t>
        </is>
      </c>
      <c r="G3868" s="10" t="inlineStr">
        <is>
          <t>四条大宮</t>
        </is>
      </c>
      <c r="H3868" s="10" t="inlineStr">
        <is>
          <t>発</t>
        </is>
      </c>
      <c r="J3868" s="10" t="inlineStr">
        <is>
          <t>営業</t>
        </is>
      </c>
      <c r="M3868" t="inlineStr">
        <is>
          <t>14:33:00</t>
        </is>
      </c>
      <c r="P3868" t="inlineStr">
        <is>
          <t>D系統(終日)</t>
        </is>
      </c>
      <c r="Q3868" t="inlineStr">
        <is>
          <t>1</t>
        </is>
      </c>
    </row>
    <row r="3869" ht="16.5" customHeight="1" s="37">
      <c r="A3869" t="n">
        <v>4</v>
      </c>
      <c r="B3869" s="10" t="inlineStr">
        <is>
          <t>休日</t>
        </is>
      </c>
      <c r="C3869" s="10" t="inlineStr">
        <is>
          <t>本線</t>
        </is>
      </c>
      <c r="D3869" s="10" t="inlineStr">
        <is>
          <t>下り</t>
        </is>
      </c>
      <c r="E3869" s="10" t="inlineStr">
        <is>
          <t>連1407</t>
        </is>
      </c>
      <c r="F3869" t="inlineStr">
        <is>
          <t>0112</t>
        </is>
      </c>
      <c r="G3869" s="10" t="inlineStr">
        <is>
          <t>西院</t>
        </is>
      </c>
      <c r="H3869" s="10" t="inlineStr">
        <is>
          <t>着</t>
        </is>
      </c>
      <c r="J3869" s="10" t="inlineStr">
        <is>
          <t>営業</t>
        </is>
      </c>
      <c r="L3869" t="inlineStr">
        <is>
          <t>14:35:50</t>
        </is>
      </c>
      <c r="M3869" t="inlineStr">
        <is>
          <t>14:36:20</t>
        </is>
      </c>
      <c r="P3869" t="inlineStr">
        <is>
          <t>D系統(終日)</t>
        </is>
      </c>
      <c r="T3869" t="inlineStr">
        <is>
          <t>○</t>
        </is>
      </c>
    </row>
    <row r="3870" ht="16.5" customHeight="1" s="37">
      <c r="A3870" t="n">
        <v>5</v>
      </c>
      <c r="B3870" s="10" t="inlineStr">
        <is>
          <t>休日</t>
        </is>
      </c>
      <c r="C3870" s="10" t="inlineStr">
        <is>
          <t>本線</t>
        </is>
      </c>
      <c r="D3870" s="10" t="inlineStr">
        <is>
          <t>下り</t>
        </is>
      </c>
      <c r="E3870" t="inlineStr">
        <is>
          <t>0607</t>
        </is>
      </c>
      <c r="F3870" t="inlineStr">
        <is>
          <t>0522</t>
        </is>
      </c>
      <c r="G3870" s="10" t="inlineStr">
        <is>
          <t>西院</t>
        </is>
      </c>
      <c r="H3870" s="10" t="inlineStr">
        <is>
          <t>発</t>
        </is>
      </c>
      <c r="J3870" s="10" t="inlineStr">
        <is>
          <t>営業</t>
        </is>
      </c>
      <c r="M3870" t="inlineStr">
        <is>
          <t>6:36:20</t>
        </is>
      </c>
      <c r="O3870" t="inlineStr">
        <is>
          <t>積込:嵐山金庫(金庫4・納金袋1) 5系統Ⅰ側 嵐山6:55着</t>
        </is>
      </c>
    </row>
    <row r="3871" ht="16.5" customHeight="1" s="37">
      <c r="A3871" t="n">
        <v>5</v>
      </c>
      <c r="B3871" s="10" t="inlineStr">
        <is>
          <t>休日</t>
        </is>
      </c>
      <c r="C3871" s="10" t="inlineStr">
        <is>
          <t>本線</t>
        </is>
      </c>
      <c r="D3871" s="10" t="inlineStr">
        <is>
          <t>下り</t>
        </is>
      </c>
      <c r="E3871" t="inlineStr">
        <is>
          <t>0607</t>
        </is>
      </c>
      <c r="F3871" t="inlineStr">
        <is>
          <t>0522</t>
        </is>
      </c>
      <c r="G3871" s="10" t="inlineStr">
        <is>
          <t>西大路三条</t>
        </is>
      </c>
      <c r="H3871" s="10" t="inlineStr">
        <is>
          <t>発</t>
        </is>
      </c>
      <c r="J3871" s="10" t="inlineStr">
        <is>
          <t>営業</t>
        </is>
      </c>
      <c r="L3871" t="inlineStr">
        <is>
          <t>6:38:10</t>
        </is>
      </c>
      <c r="M3871" t="inlineStr">
        <is>
          <t>6:38:25</t>
        </is>
      </c>
      <c r="O3871" t="inlineStr">
        <is>
          <t>積込:嵐山金庫(金庫4・納金袋1) 5系統Ⅰ側 嵐山6:55着</t>
        </is>
      </c>
    </row>
    <row r="3872" ht="16.5" customHeight="1" s="37">
      <c r="A3872" t="n">
        <v>5</v>
      </c>
      <c r="B3872" s="10" t="inlineStr">
        <is>
          <t>休日</t>
        </is>
      </c>
      <c r="C3872" s="10" t="inlineStr">
        <is>
          <t>本線</t>
        </is>
      </c>
      <c r="D3872" s="10" t="inlineStr">
        <is>
          <t>下り</t>
        </is>
      </c>
      <c r="E3872" t="inlineStr">
        <is>
          <t>0607</t>
        </is>
      </c>
      <c r="F3872" t="inlineStr">
        <is>
          <t>0522</t>
        </is>
      </c>
      <c r="G3872" s="10" t="inlineStr">
        <is>
          <t>山ノ内</t>
        </is>
      </c>
      <c r="H3872" s="10" t="inlineStr">
        <is>
          <t>発</t>
        </is>
      </c>
      <c r="J3872" s="10" t="inlineStr">
        <is>
          <t>営業</t>
        </is>
      </c>
      <c r="L3872" t="inlineStr">
        <is>
          <t>6:40:20</t>
        </is>
      </c>
      <c r="M3872" t="inlineStr">
        <is>
          <t>6:40:45</t>
        </is>
      </c>
      <c r="O3872" t="inlineStr">
        <is>
          <t>積込:嵐山金庫(金庫4・納金袋1) 5系統Ⅰ側 嵐山6:55着</t>
        </is>
      </c>
    </row>
    <row r="3873" ht="16.5" customHeight="1" s="37">
      <c r="A3873" t="n">
        <v>5</v>
      </c>
      <c r="B3873" s="10" t="inlineStr">
        <is>
          <t>休日</t>
        </is>
      </c>
      <c r="C3873" s="10" t="inlineStr">
        <is>
          <t>本線</t>
        </is>
      </c>
      <c r="D3873" s="10" t="inlineStr">
        <is>
          <t>下り</t>
        </is>
      </c>
      <c r="E3873" t="inlineStr">
        <is>
          <t>0607</t>
        </is>
      </c>
      <c r="F3873" t="inlineStr">
        <is>
          <t>0522</t>
        </is>
      </c>
      <c r="G3873" s="10" t="inlineStr">
        <is>
          <t>天神川</t>
        </is>
      </c>
      <c r="H3873" s="10" t="inlineStr">
        <is>
          <t>発</t>
        </is>
      </c>
      <c r="J3873" s="10" t="inlineStr">
        <is>
          <t>営業</t>
        </is>
      </c>
      <c r="L3873" t="inlineStr">
        <is>
          <t>6:42:45</t>
        </is>
      </c>
      <c r="M3873" t="inlineStr">
        <is>
          <t>6:43:10</t>
        </is>
      </c>
      <c r="O3873" t="inlineStr">
        <is>
          <t>積込:嵐山金庫(金庫4・納金袋1) 5系統Ⅰ側 嵐山6:55着</t>
        </is>
      </c>
    </row>
    <row r="3874" ht="16.5" customHeight="1" s="37">
      <c r="A3874" t="n">
        <v>5</v>
      </c>
      <c r="B3874" s="10" t="inlineStr">
        <is>
          <t>休日</t>
        </is>
      </c>
      <c r="C3874" s="10" t="inlineStr">
        <is>
          <t>本線</t>
        </is>
      </c>
      <c r="D3874" s="10" t="inlineStr">
        <is>
          <t>下り</t>
        </is>
      </c>
      <c r="E3874" t="inlineStr">
        <is>
          <t>0607</t>
        </is>
      </c>
      <c r="F3874" t="inlineStr">
        <is>
          <t>0522</t>
        </is>
      </c>
      <c r="G3874" s="10" t="inlineStr">
        <is>
          <t>蚕ノ社</t>
        </is>
      </c>
      <c r="H3874" s="10" t="inlineStr">
        <is>
          <t>発</t>
        </is>
      </c>
      <c r="J3874" s="10" t="inlineStr">
        <is>
          <t>営業</t>
        </is>
      </c>
      <c r="L3874" t="inlineStr">
        <is>
          <t>6:44:00</t>
        </is>
      </c>
      <c r="M3874" t="inlineStr">
        <is>
          <t>6:44:15</t>
        </is>
      </c>
      <c r="O3874" t="inlineStr">
        <is>
          <t>積込:嵐山金庫(金庫4・納金袋1) 5系統Ⅰ側 嵐山6:55着</t>
        </is>
      </c>
    </row>
    <row r="3875" ht="16.5" customHeight="1" s="37">
      <c r="A3875" t="n">
        <v>5</v>
      </c>
      <c r="B3875" s="10" t="inlineStr">
        <is>
          <t>休日</t>
        </is>
      </c>
      <c r="C3875" s="10" t="inlineStr">
        <is>
          <t>本線</t>
        </is>
      </c>
      <c r="D3875" s="10" t="inlineStr">
        <is>
          <t>下り</t>
        </is>
      </c>
      <c r="E3875" t="inlineStr">
        <is>
          <t>0607</t>
        </is>
      </c>
      <c r="F3875" t="inlineStr">
        <is>
          <t>0522</t>
        </is>
      </c>
      <c r="G3875" s="10" t="inlineStr">
        <is>
          <t>太秦広隆寺</t>
        </is>
      </c>
      <c r="H3875" s="10" t="inlineStr">
        <is>
          <t>発</t>
        </is>
      </c>
      <c r="J3875" s="10" t="inlineStr">
        <is>
          <t>営業</t>
        </is>
      </c>
      <c r="L3875" t="inlineStr">
        <is>
          <t>6:45:35</t>
        </is>
      </c>
      <c r="M3875" t="inlineStr">
        <is>
          <t>6:45:50</t>
        </is>
      </c>
      <c r="O3875" t="inlineStr">
        <is>
          <t>積込:嵐山金庫(金庫4・納金袋1) 5系統Ⅰ側 嵐山6:55着</t>
        </is>
      </c>
    </row>
    <row r="3876" ht="16.5" customHeight="1" s="37">
      <c r="A3876" t="n">
        <v>5</v>
      </c>
      <c r="B3876" s="10" t="inlineStr">
        <is>
          <t>休日</t>
        </is>
      </c>
      <c r="C3876" s="10" t="inlineStr">
        <is>
          <t>本線</t>
        </is>
      </c>
      <c r="D3876" s="10" t="inlineStr">
        <is>
          <t>下り</t>
        </is>
      </c>
      <c r="E3876" t="inlineStr">
        <is>
          <t>0607</t>
        </is>
      </c>
      <c r="F3876" t="inlineStr">
        <is>
          <t>0522</t>
        </is>
      </c>
      <c r="G3876" s="10" t="inlineStr">
        <is>
          <t>帷子ノ辻</t>
        </is>
      </c>
      <c r="H3876" s="10" t="inlineStr">
        <is>
          <t>発</t>
        </is>
      </c>
      <c r="J3876" s="10" t="inlineStr">
        <is>
          <t>営業</t>
        </is>
      </c>
      <c r="L3876" t="inlineStr">
        <is>
          <t>6:47:50</t>
        </is>
      </c>
      <c r="M3876" t="inlineStr">
        <is>
          <t>6:48:20</t>
        </is>
      </c>
      <c r="O3876" t="inlineStr">
        <is>
          <t>積込:嵐山金庫(金庫4・納金袋1) 5系統Ⅰ側 嵐山6:55着</t>
        </is>
      </c>
    </row>
    <row r="3877" ht="16.5" customHeight="1" s="37">
      <c r="A3877" t="n">
        <v>5</v>
      </c>
      <c r="B3877" s="10" t="inlineStr">
        <is>
          <t>休日</t>
        </is>
      </c>
      <c r="C3877" s="10" t="inlineStr">
        <is>
          <t>本線</t>
        </is>
      </c>
      <c r="D3877" s="10" t="inlineStr">
        <is>
          <t>下り</t>
        </is>
      </c>
      <c r="E3877" t="inlineStr">
        <is>
          <t>0607</t>
        </is>
      </c>
      <c r="F3877" t="inlineStr">
        <is>
          <t>0522</t>
        </is>
      </c>
      <c r="G3877" s="10" t="inlineStr">
        <is>
          <t>有栖川</t>
        </is>
      </c>
      <c r="H3877" s="10" t="inlineStr">
        <is>
          <t>発</t>
        </is>
      </c>
      <c r="J3877" s="10" t="inlineStr">
        <is>
          <t>営業</t>
        </is>
      </c>
      <c r="L3877" t="inlineStr">
        <is>
          <t>6:49:30</t>
        </is>
      </c>
      <c r="M3877" t="inlineStr">
        <is>
          <t>6:49:45</t>
        </is>
      </c>
      <c r="O3877" t="inlineStr">
        <is>
          <t>積込:嵐山金庫(金庫4・納金袋1) 5系統Ⅰ側 嵐山6:55着</t>
        </is>
      </c>
    </row>
    <row r="3878" ht="16.5" customHeight="1" s="37">
      <c r="A3878" t="n">
        <v>5</v>
      </c>
      <c r="B3878" s="10" t="inlineStr">
        <is>
          <t>休日</t>
        </is>
      </c>
      <c r="C3878" s="10" t="inlineStr">
        <is>
          <t>本線</t>
        </is>
      </c>
      <c r="D3878" s="10" t="inlineStr">
        <is>
          <t>下り</t>
        </is>
      </c>
      <c r="E3878" t="inlineStr">
        <is>
          <t>0607</t>
        </is>
      </c>
      <c r="F3878" t="inlineStr">
        <is>
          <t>0522</t>
        </is>
      </c>
      <c r="G3878" s="10" t="inlineStr">
        <is>
          <t>車折</t>
        </is>
      </c>
      <c r="H3878" s="10" t="inlineStr">
        <is>
          <t>発</t>
        </is>
      </c>
      <c r="J3878" s="10" t="inlineStr">
        <is>
          <t>営業</t>
        </is>
      </c>
      <c r="L3878" t="inlineStr">
        <is>
          <t>6:51:10</t>
        </is>
      </c>
      <c r="M3878" t="inlineStr">
        <is>
          <t>6:51:25</t>
        </is>
      </c>
      <c r="O3878" t="inlineStr">
        <is>
          <t>積込:嵐山金庫(金庫4・納金袋1) 5系統Ⅰ側 嵐山6:55着</t>
        </is>
      </c>
    </row>
    <row r="3879" ht="16.5" customHeight="1" s="37">
      <c r="A3879" t="n">
        <v>5</v>
      </c>
      <c r="B3879" s="10" t="inlineStr">
        <is>
          <t>休日</t>
        </is>
      </c>
      <c r="C3879" s="10" t="inlineStr">
        <is>
          <t>本線</t>
        </is>
      </c>
      <c r="D3879" s="10" t="inlineStr">
        <is>
          <t>下り</t>
        </is>
      </c>
      <c r="E3879" t="inlineStr">
        <is>
          <t>0607</t>
        </is>
      </c>
      <c r="F3879" t="inlineStr">
        <is>
          <t>0522</t>
        </is>
      </c>
      <c r="G3879" s="10" t="inlineStr">
        <is>
          <t>鹿王院</t>
        </is>
      </c>
      <c r="H3879" s="10" t="inlineStr">
        <is>
          <t>発</t>
        </is>
      </c>
      <c r="J3879" s="10" t="inlineStr">
        <is>
          <t>営業</t>
        </is>
      </c>
      <c r="L3879" t="inlineStr">
        <is>
          <t>6:52:20</t>
        </is>
      </c>
      <c r="M3879" t="inlineStr">
        <is>
          <t>6:52:35</t>
        </is>
      </c>
      <c r="O3879" t="inlineStr">
        <is>
          <t>積込:嵐山金庫(金庫4・納金袋1) 5系統Ⅰ側 嵐山6:55着</t>
        </is>
      </c>
    </row>
    <row r="3880" ht="16.5" customHeight="1" s="37">
      <c r="A3880" t="n">
        <v>5</v>
      </c>
      <c r="B3880" s="10" t="inlineStr">
        <is>
          <t>休日</t>
        </is>
      </c>
      <c r="C3880" s="10" t="inlineStr">
        <is>
          <t>本線</t>
        </is>
      </c>
      <c r="D3880" s="10" t="inlineStr">
        <is>
          <t>下り</t>
        </is>
      </c>
      <c r="E3880" t="inlineStr">
        <is>
          <t>0607</t>
        </is>
      </c>
      <c r="F3880" t="inlineStr">
        <is>
          <t>0522</t>
        </is>
      </c>
      <c r="G3880" s="10" t="inlineStr">
        <is>
          <t>嵯峨</t>
        </is>
      </c>
      <c r="H3880" s="10" t="inlineStr">
        <is>
          <t>発</t>
        </is>
      </c>
      <c r="J3880" s="10" t="inlineStr">
        <is>
          <t>営業</t>
        </is>
      </c>
      <c r="L3880" t="inlineStr">
        <is>
          <t>6:53:40</t>
        </is>
      </c>
      <c r="M3880" t="inlineStr">
        <is>
          <t>6:53:55</t>
        </is>
      </c>
      <c r="O3880" t="inlineStr">
        <is>
          <t>積込:嵐山金庫(金庫4・納金袋1) 5系統Ⅰ側 嵐山6:55着</t>
        </is>
      </c>
    </row>
    <row r="3881" ht="15" customHeight="1" s="37">
      <c r="A3881" t="n">
        <v>5</v>
      </c>
      <c r="B3881" s="10" t="inlineStr">
        <is>
          <t>休日</t>
        </is>
      </c>
      <c r="C3881" s="10" t="inlineStr">
        <is>
          <t>本線</t>
        </is>
      </c>
      <c r="D3881" s="10" t="inlineStr">
        <is>
          <t>下り</t>
        </is>
      </c>
      <c r="E3881" t="inlineStr">
        <is>
          <t>0607</t>
        </is>
      </c>
      <c r="F3881" t="inlineStr">
        <is>
          <t>0522</t>
        </is>
      </c>
      <c r="G3881" s="10" t="inlineStr">
        <is>
          <t>嵐山</t>
        </is>
      </c>
      <c r="H3881" s="10" t="inlineStr">
        <is>
          <t>着</t>
        </is>
      </c>
      <c r="J3881" s="10" t="inlineStr">
        <is>
          <t>営業</t>
        </is>
      </c>
      <c r="L3881" t="inlineStr">
        <is>
          <t>6:55:00</t>
        </is>
      </c>
      <c r="N3881" t="inlineStr">
        <is>
          <t>○</t>
        </is>
      </c>
      <c r="O3881" t="inlineStr">
        <is>
          <t>積込:嵐山金庫(金庫4・納金袋1) 5系統Ⅰ側 嵐山6:55着</t>
        </is>
      </c>
      <c r="Q3881" t="inlineStr">
        <is>
          <t>1</t>
        </is>
      </c>
    </row>
    <row r="3882" ht="15" customHeight="1" s="37">
      <c r="A3882" t="n">
        <v>5</v>
      </c>
      <c r="B3882" s="10" t="inlineStr">
        <is>
          <t>休日</t>
        </is>
      </c>
      <c r="C3882" s="10" t="inlineStr">
        <is>
          <t>本線</t>
        </is>
      </c>
      <c r="D3882" s="10" t="inlineStr">
        <is>
          <t>上り</t>
        </is>
      </c>
      <c r="E3882" t="inlineStr">
        <is>
          <t>0702</t>
        </is>
      </c>
      <c r="F3882" t="inlineStr">
        <is>
          <t>2221</t>
        </is>
      </c>
      <c r="G3882" s="10" t="inlineStr">
        <is>
          <t>嵐山</t>
        </is>
      </c>
      <c r="H3882" s="10" t="inlineStr">
        <is>
          <t>発</t>
        </is>
      </c>
      <c r="J3882" s="10" t="inlineStr">
        <is>
          <t>営業</t>
        </is>
      </c>
      <c r="M3882" t="inlineStr">
        <is>
          <t>7:03:00</t>
        </is>
      </c>
      <c r="Q3882" t="inlineStr">
        <is>
          <t>1</t>
        </is>
      </c>
    </row>
    <row r="3883" ht="15" customHeight="1" s="37">
      <c r="A3883" t="n">
        <v>5</v>
      </c>
      <c r="B3883" s="10" t="inlineStr">
        <is>
          <t>休日</t>
        </is>
      </c>
      <c r="C3883" s="10" t="inlineStr">
        <is>
          <t>本線</t>
        </is>
      </c>
      <c r="D3883" s="10" t="inlineStr">
        <is>
          <t>上り</t>
        </is>
      </c>
      <c r="E3883" t="inlineStr">
        <is>
          <t>0702</t>
        </is>
      </c>
      <c r="F3883" t="inlineStr">
        <is>
          <t>2221</t>
        </is>
      </c>
      <c r="G3883" s="10" t="inlineStr">
        <is>
          <t>嵯峨</t>
        </is>
      </c>
      <c r="H3883" s="10" t="inlineStr">
        <is>
          <t>発</t>
        </is>
      </c>
      <c r="J3883" s="10" t="inlineStr">
        <is>
          <t>営業</t>
        </is>
      </c>
      <c r="L3883" t="inlineStr">
        <is>
          <t>7:03:55</t>
        </is>
      </c>
      <c r="M3883" t="inlineStr">
        <is>
          <t>7:04:20</t>
        </is>
      </c>
    </row>
    <row r="3884" ht="15" customHeight="1" s="37">
      <c r="A3884" t="n">
        <v>5</v>
      </c>
      <c r="B3884" s="10" t="inlineStr">
        <is>
          <t>休日</t>
        </is>
      </c>
      <c r="C3884" s="10" t="inlineStr">
        <is>
          <t>本線</t>
        </is>
      </c>
      <c r="D3884" s="10" t="inlineStr">
        <is>
          <t>上り</t>
        </is>
      </c>
      <c r="E3884" t="inlineStr">
        <is>
          <t>0702</t>
        </is>
      </c>
      <c r="F3884" t="inlineStr">
        <is>
          <t>2221</t>
        </is>
      </c>
      <c r="G3884" s="10" t="inlineStr">
        <is>
          <t>鹿王院</t>
        </is>
      </c>
      <c r="H3884" s="10" t="inlineStr">
        <is>
          <t>発</t>
        </is>
      </c>
      <c r="J3884" s="10" t="inlineStr">
        <is>
          <t>営業</t>
        </is>
      </c>
      <c r="L3884" t="inlineStr">
        <is>
          <t>7:05:25</t>
        </is>
      </c>
      <c r="M3884" t="inlineStr">
        <is>
          <t>7:05:45</t>
        </is>
      </c>
    </row>
    <row r="3885" ht="15" customHeight="1" s="37">
      <c r="A3885" t="n">
        <v>5</v>
      </c>
      <c r="B3885" s="10" t="inlineStr">
        <is>
          <t>休日</t>
        </is>
      </c>
      <c r="C3885" s="10" t="inlineStr">
        <is>
          <t>本線</t>
        </is>
      </c>
      <c r="D3885" s="10" t="inlineStr">
        <is>
          <t>上り</t>
        </is>
      </c>
      <c r="E3885" t="inlineStr">
        <is>
          <t>0702</t>
        </is>
      </c>
      <c r="F3885" t="inlineStr">
        <is>
          <t>2221</t>
        </is>
      </c>
      <c r="G3885" s="10" t="inlineStr">
        <is>
          <t>車折</t>
        </is>
      </c>
      <c r="H3885" s="10" t="inlineStr">
        <is>
          <t>発</t>
        </is>
      </c>
      <c r="J3885" s="10" t="inlineStr">
        <is>
          <t>営業</t>
        </is>
      </c>
      <c r="L3885" t="inlineStr">
        <is>
          <t>7:06:40</t>
        </is>
      </c>
      <c r="M3885" t="inlineStr">
        <is>
          <t>7:07:10</t>
        </is>
      </c>
    </row>
    <row r="3886" ht="15" customHeight="1" s="37">
      <c r="A3886" t="n">
        <v>5</v>
      </c>
      <c r="B3886" s="10" t="inlineStr">
        <is>
          <t>休日</t>
        </is>
      </c>
      <c r="C3886" s="10" t="inlineStr">
        <is>
          <t>本線</t>
        </is>
      </c>
      <c r="D3886" s="10" t="inlineStr">
        <is>
          <t>上り</t>
        </is>
      </c>
      <c r="E3886" t="inlineStr">
        <is>
          <t>0702</t>
        </is>
      </c>
      <c r="F3886" t="inlineStr">
        <is>
          <t>2221</t>
        </is>
      </c>
      <c r="G3886" s="10" t="inlineStr">
        <is>
          <t>有栖川</t>
        </is>
      </c>
      <c r="H3886" s="10" t="inlineStr">
        <is>
          <t>発</t>
        </is>
      </c>
      <c r="J3886" s="10" t="inlineStr">
        <is>
          <t>営業</t>
        </is>
      </c>
      <c r="L3886" t="inlineStr">
        <is>
          <t>7:08:35</t>
        </is>
      </c>
      <c r="M3886" t="inlineStr">
        <is>
          <t>7:08:55</t>
        </is>
      </c>
    </row>
    <row r="3887" ht="15" customHeight="1" s="37">
      <c r="A3887" t="n">
        <v>5</v>
      </c>
      <c r="B3887" s="10" t="inlineStr">
        <is>
          <t>休日</t>
        </is>
      </c>
      <c r="C3887" s="10" t="inlineStr">
        <is>
          <t>本線</t>
        </is>
      </c>
      <c r="D3887" s="10" t="inlineStr">
        <is>
          <t>上り</t>
        </is>
      </c>
      <c r="E3887" t="inlineStr">
        <is>
          <t>0702</t>
        </is>
      </c>
      <c r="F3887" t="inlineStr">
        <is>
          <t>2221</t>
        </is>
      </c>
      <c r="G3887" s="10" t="inlineStr">
        <is>
          <t>帷子ノ辻</t>
        </is>
      </c>
      <c r="H3887" s="10" t="inlineStr">
        <is>
          <t>発</t>
        </is>
      </c>
      <c r="J3887" s="10" t="inlineStr">
        <is>
          <t>営業</t>
        </is>
      </c>
      <c r="L3887" t="inlineStr">
        <is>
          <t>7:10:10</t>
        </is>
      </c>
      <c r="M3887" t="inlineStr">
        <is>
          <t>7:11:15</t>
        </is>
      </c>
    </row>
    <row r="3888" ht="15" customHeight="1" s="37">
      <c r="A3888" t="n">
        <v>5</v>
      </c>
      <c r="B3888" s="10" t="inlineStr">
        <is>
          <t>休日</t>
        </is>
      </c>
      <c r="C3888" s="10" t="inlineStr">
        <is>
          <t>本線</t>
        </is>
      </c>
      <c r="D3888" s="10" t="inlineStr">
        <is>
          <t>上り</t>
        </is>
      </c>
      <c r="E3888" t="inlineStr">
        <is>
          <t>0702</t>
        </is>
      </c>
      <c r="F3888" t="inlineStr">
        <is>
          <t>2221</t>
        </is>
      </c>
      <c r="G3888" s="10" t="inlineStr">
        <is>
          <t>太秦広隆寺</t>
        </is>
      </c>
      <c r="H3888" s="10" t="inlineStr">
        <is>
          <t>発</t>
        </is>
      </c>
      <c r="J3888" s="10" t="inlineStr">
        <is>
          <t>営業</t>
        </is>
      </c>
      <c r="L3888" t="inlineStr">
        <is>
          <t>7:13:25</t>
        </is>
      </c>
      <c r="M3888" t="inlineStr">
        <is>
          <t>7:13:45</t>
        </is>
      </c>
    </row>
    <row r="3889" ht="15" customHeight="1" s="37">
      <c r="A3889" t="n">
        <v>5</v>
      </c>
      <c r="B3889" s="10" t="inlineStr">
        <is>
          <t>休日</t>
        </is>
      </c>
      <c r="C3889" s="10" t="inlineStr">
        <is>
          <t>本線</t>
        </is>
      </c>
      <c r="D3889" s="10" t="inlineStr">
        <is>
          <t>上り</t>
        </is>
      </c>
      <c r="E3889" t="inlineStr">
        <is>
          <t>0702</t>
        </is>
      </c>
      <c r="F3889" t="inlineStr">
        <is>
          <t>2221</t>
        </is>
      </c>
      <c r="G3889" s="10" t="inlineStr">
        <is>
          <t>蚕ノ社</t>
        </is>
      </c>
      <c r="H3889" s="10" t="inlineStr">
        <is>
          <t>発</t>
        </is>
      </c>
      <c r="J3889" s="10" t="inlineStr">
        <is>
          <t>営業</t>
        </is>
      </c>
      <c r="L3889" t="inlineStr">
        <is>
          <t>7:15:00</t>
        </is>
      </c>
      <c r="M3889" t="inlineStr">
        <is>
          <t>7:15:20</t>
        </is>
      </c>
    </row>
    <row r="3890" ht="15" customHeight="1" s="37">
      <c r="A3890" t="n">
        <v>5</v>
      </c>
      <c r="B3890" s="10" t="inlineStr">
        <is>
          <t>休日</t>
        </is>
      </c>
      <c r="C3890" s="10" t="inlineStr">
        <is>
          <t>本線</t>
        </is>
      </c>
      <c r="D3890" s="10" t="inlineStr">
        <is>
          <t>上り</t>
        </is>
      </c>
      <c r="E3890" t="inlineStr">
        <is>
          <t>0702</t>
        </is>
      </c>
      <c r="F3890" t="inlineStr">
        <is>
          <t>2221</t>
        </is>
      </c>
      <c r="G3890" s="10" t="inlineStr">
        <is>
          <t>天神川</t>
        </is>
      </c>
      <c r="H3890" s="10" t="inlineStr">
        <is>
          <t>発</t>
        </is>
      </c>
      <c r="J3890" s="10" t="inlineStr">
        <is>
          <t>営業</t>
        </is>
      </c>
      <c r="L3890" t="inlineStr">
        <is>
          <t>7:16:05</t>
        </is>
      </c>
      <c r="M3890" t="inlineStr">
        <is>
          <t>7:16:50</t>
        </is>
      </c>
    </row>
    <row r="3891" ht="15" customHeight="1" s="37">
      <c r="A3891" t="n">
        <v>5</v>
      </c>
      <c r="B3891" s="10" t="inlineStr">
        <is>
          <t>休日</t>
        </is>
      </c>
      <c r="C3891" s="10" t="inlineStr">
        <is>
          <t>本線</t>
        </is>
      </c>
      <c r="D3891" s="10" t="inlineStr">
        <is>
          <t>上り</t>
        </is>
      </c>
      <c r="E3891" t="inlineStr">
        <is>
          <t>0702</t>
        </is>
      </c>
      <c r="F3891" t="inlineStr">
        <is>
          <t>2221</t>
        </is>
      </c>
      <c r="G3891" s="10" t="inlineStr">
        <is>
          <t>山ノ内</t>
        </is>
      </c>
      <c r="H3891" s="10" t="inlineStr">
        <is>
          <t>発</t>
        </is>
      </c>
      <c r="J3891" s="10" t="inlineStr">
        <is>
          <t>営業</t>
        </is>
      </c>
      <c r="L3891" t="inlineStr">
        <is>
          <t>7:18:40</t>
        </is>
      </c>
      <c r="M3891" t="inlineStr">
        <is>
          <t>7:19:05</t>
        </is>
      </c>
    </row>
    <row r="3892" ht="15" customHeight="1" s="37">
      <c r="A3892" t="n">
        <v>5</v>
      </c>
      <c r="B3892" s="10" t="inlineStr">
        <is>
          <t>休日</t>
        </is>
      </c>
      <c r="C3892" s="10" t="inlineStr">
        <is>
          <t>本線</t>
        </is>
      </c>
      <c r="D3892" s="10" t="inlineStr">
        <is>
          <t>上り</t>
        </is>
      </c>
      <c r="E3892" t="inlineStr">
        <is>
          <t>0702</t>
        </is>
      </c>
      <c r="F3892" t="inlineStr">
        <is>
          <t>2221</t>
        </is>
      </c>
      <c r="G3892" s="10" t="inlineStr">
        <is>
          <t>西大路三条</t>
        </is>
      </c>
      <c r="H3892" s="10" t="inlineStr">
        <is>
          <t>発</t>
        </is>
      </c>
      <c r="J3892" s="10" t="inlineStr">
        <is>
          <t>営業</t>
        </is>
      </c>
      <c r="L3892" t="inlineStr">
        <is>
          <t>7:20:55</t>
        </is>
      </c>
      <c r="M3892" t="inlineStr">
        <is>
          <t>7:21:15</t>
        </is>
      </c>
    </row>
    <row r="3893" ht="15" customHeight="1" s="37">
      <c r="A3893" t="n">
        <v>5</v>
      </c>
      <c r="B3893" s="10" t="inlineStr">
        <is>
          <t>休日</t>
        </is>
      </c>
      <c r="C3893" s="10" t="inlineStr">
        <is>
          <t>本線</t>
        </is>
      </c>
      <c r="D3893" s="10" t="inlineStr">
        <is>
          <t>上り</t>
        </is>
      </c>
      <c r="E3893" t="inlineStr">
        <is>
          <t>0702</t>
        </is>
      </c>
      <c r="F3893" t="inlineStr">
        <is>
          <t>2221</t>
        </is>
      </c>
      <c r="G3893" s="10" t="inlineStr">
        <is>
          <t>西院</t>
        </is>
      </c>
      <c r="H3893" s="10" t="inlineStr">
        <is>
          <t>発</t>
        </is>
      </c>
      <c r="J3893" s="10" t="inlineStr">
        <is>
          <t>営業</t>
        </is>
      </c>
      <c r="L3893" t="inlineStr">
        <is>
          <t>7:23:10</t>
        </is>
      </c>
      <c r="M3893" t="inlineStr">
        <is>
          <t>7:24:05</t>
        </is>
      </c>
    </row>
    <row r="3894" ht="15" customHeight="1" s="37">
      <c r="A3894" t="n">
        <v>5</v>
      </c>
      <c r="B3894" s="10" t="inlineStr">
        <is>
          <t>休日</t>
        </is>
      </c>
      <c r="C3894" s="10" t="inlineStr">
        <is>
          <t>本線</t>
        </is>
      </c>
      <c r="D3894" s="10" t="inlineStr">
        <is>
          <t>上り</t>
        </is>
      </c>
      <c r="E3894" t="inlineStr">
        <is>
          <t>0702</t>
        </is>
      </c>
      <c r="F3894" t="inlineStr">
        <is>
          <t>2221</t>
        </is>
      </c>
      <c r="G3894" s="10" t="inlineStr">
        <is>
          <t>四条大宮</t>
        </is>
      </c>
      <c r="H3894" s="10" t="inlineStr">
        <is>
          <t>着</t>
        </is>
      </c>
      <c r="J3894" s="10" t="inlineStr">
        <is>
          <t>営業</t>
        </is>
      </c>
      <c r="L3894" t="inlineStr">
        <is>
          <t>7:27:00</t>
        </is>
      </c>
      <c r="Q3894" t="inlineStr">
        <is>
          <t>1</t>
        </is>
      </c>
    </row>
    <row r="3895" ht="15" customHeight="1" s="37">
      <c r="A3895" t="n">
        <v>5</v>
      </c>
      <c r="B3895" s="10" t="inlineStr">
        <is>
          <t>休日</t>
        </is>
      </c>
      <c r="C3895" s="10" t="inlineStr">
        <is>
          <t>本線</t>
        </is>
      </c>
      <c r="D3895" s="10" t="inlineStr">
        <is>
          <t>下り</t>
        </is>
      </c>
      <c r="E3895" t="inlineStr">
        <is>
          <t>0707</t>
        </is>
      </c>
      <c r="F3895" t="inlineStr">
        <is>
          <t>0122</t>
        </is>
      </c>
      <c r="G3895" s="10" t="inlineStr">
        <is>
          <t>四条大宮</t>
        </is>
      </c>
      <c r="H3895" s="10" t="inlineStr">
        <is>
          <t>発</t>
        </is>
      </c>
      <c r="J3895" s="10" t="inlineStr">
        <is>
          <t>営業</t>
        </is>
      </c>
      <c r="M3895" t="inlineStr">
        <is>
          <t>7:33:00</t>
        </is>
      </c>
      <c r="Q3895" t="inlineStr">
        <is>
          <t>1</t>
        </is>
      </c>
    </row>
    <row r="3896" ht="15" customHeight="1" s="37">
      <c r="A3896" t="n">
        <v>5</v>
      </c>
      <c r="B3896" s="10" t="inlineStr">
        <is>
          <t>休日</t>
        </is>
      </c>
      <c r="C3896" s="10" t="inlineStr">
        <is>
          <t>本線</t>
        </is>
      </c>
      <c r="D3896" s="10" t="inlineStr">
        <is>
          <t>下り</t>
        </is>
      </c>
      <c r="E3896" t="inlineStr">
        <is>
          <t>0707</t>
        </is>
      </c>
      <c r="F3896" t="inlineStr">
        <is>
          <t>0122</t>
        </is>
      </c>
      <c r="G3896" s="10" t="inlineStr">
        <is>
          <t>西院</t>
        </is>
      </c>
      <c r="H3896" s="10" t="inlineStr">
        <is>
          <t>発</t>
        </is>
      </c>
      <c r="J3896" s="10" t="inlineStr">
        <is>
          <t>営業</t>
        </is>
      </c>
      <c r="L3896" t="inlineStr">
        <is>
          <t>7:35:50</t>
        </is>
      </c>
      <c r="M3896" t="inlineStr">
        <is>
          <t>7:36:20</t>
        </is>
      </c>
    </row>
    <row r="3897" ht="15" customHeight="1" s="37">
      <c r="A3897" t="n">
        <v>5</v>
      </c>
      <c r="B3897" s="10" t="inlineStr">
        <is>
          <t>休日</t>
        </is>
      </c>
      <c r="C3897" s="10" t="inlineStr">
        <is>
          <t>本線</t>
        </is>
      </c>
      <c r="D3897" s="10" t="inlineStr">
        <is>
          <t>下り</t>
        </is>
      </c>
      <c r="E3897" t="inlineStr">
        <is>
          <t>0707</t>
        </is>
      </c>
      <c r="F3897" t="inlineStr">
        <is>
          <t>0122</t>
        </is>
      </c>
      <c r="G3897" s="10" t="inlineStr">
        <is>
          <t>西大路三条</t>
        </is>
      </c>
      <c r="H3897" s="10" t="inlineStr">
        <is>
          <t>発</t>
        </is>
      </c>
      <c r="J3897" s="10" t="inlineStr">
        <is>
          <t>営業</t>
        </is>
      </c>
      <c r="L3897" t="inlineStr">
        <is>
          <t>7:38:10</t>
        </is>
      </c>
      <c r="M3897" t="inlineStr">
        <is>
          <t>7:38:30</t>
        </is>
      </c>
    </row>
    <row r="3898" ht="15" customHeight="1" s="37">
      <c r="A3898" t="n">
        <v>5</v>
      </c>
      <c r="B3898" s="10" t="inlineStr">
        <is>
          <t>休日</t>
        </is>
      </c>
      <c r="C3898" s="10" t="inlineStr">
        <is>
          <t>本線</t>
        </is>
      </c>
      <c r="D3898" s="10" t="inlineStr">
        <is>
          <t>下り</t>
        </is>
      </c>
      <c r="E3898" t="inlineStr">
        <is>
          <t>0707</t>
        </is>
      </c>
      <c r="F3898" t="inlineStr">
        <is>
          <t>0122</t>
        </is>
      </c>
      <c r="G3898" s="10" t="inlineStr">
        <is>
          <t>山ノ内</t>
        </is>
      </c>
      <c r="H3898" s="10" t="inlineStr">
        <is>
          <t>発</t>
        </is>
      </c>
      <c r="J3898" s="10" t="inlineStr">
        <is>
          <t>営業</t>
        </is>
      </c>
      <c r="L3898" t="inlineStr">
        <is>
          <t>7:40:25</t>
        </is>
      </c>
      <c r="M3898" t="inlineStr">
        <is>
          <t>7:40:50</t>
        </is>
      </c>
    </row>
    <row r="3899" ht="15" customHeight="1" s="37">
      <c r="A3899" t="n">
        <v>5</v>
      </c>
      <c r="B3899" s="10" t="inlineStr">
        <is>
          <t>休日</t>
        </is>
      </c>
      <c r="C3899" s="10" t="inlineStr">
        <is>
          <t>本線</t>
        </is>
      </c>
      <c r="D3899" s="10" t="inlineStr">
        <is>
          <t>下り</t>
        </is>
      </c>
      <c r="E3899" t="inlineStr">
        <is>
          <t>0707</t>
        </is>
      </c>
      <c r="F3899" t="inlineStr">
        <is>
          <t>0122</t>
        </is>
      </c>
      <c r="G3899" s="10" t="inlineStr">
        <is>
          <t>天神川</t>
        </is>
      </c>
      <c r="H3899" s="10" t="inlineStr">
        <is>
          <t>発</t>
        </is>
      </c>
      <c r="J3899" s="10" t="inlineStr">
        <is>
          <t>営業</t>
        </is>
      </c>
      <c r="L3899" t="inlineStr">
        <is>
          <t>7:42:50</t>
        </is>
      </c>
      <c r="M3899" t="inlineStr">
        <is>
          <t>7:43:30</t>
        </is>
      </c>
    </row>
    <row r="3900" ht="15" customHeight="1" s="37">
      <c r="A3900" t="n">
        <v>5</v>
      </c>
      <c r="B3900" s="10" t="inlineStr">
        <is>
          <t>休日</t>
        </is>
      </c>
      <c r="C3900" s="10" t="inlineStr">
        <is>
          <t>本線</t>
        </is>
      </c>
      <c r="D3900" s="10" t="inlineStr">
        <is>
          <t>下り</t>
        </is>
      </c>
      <c r="E3900" t="inlineStr">
        <is>
          <t>0707</t>
        </is>
      </c>
      <c r="F3900" t="inlineStr">
        <is>
          <t>0122</t>
        </is>
      </c>
      <c r="G3900" s="10" t="inlineStr">
        <is>
          <t>蚕ノ社</t>
        </is>
      </c>
      <c r="H3900" s="10" t="inlineStr">
        <is>
          <t>発</t>
        </is>
      </c>
      <c r="J3900" s="10" t="inlineStr">
        <is>
          <t>営業</t>
        </is>
      </c>
      <c r="L3900" t="inlineStr">
        <is>
          <t>7:44:20</t>
        </is>
      </c>
      <c r="M3900" t="inlineStr">
        <is>
          <t>7:44:40</t>
        </is>
      </c>
    </row>
    <row r="3901" ht="15" customHeight="1" s="37">
      <c r="A3901" t="n">
        <v>5</v>
      </c>
      <c r="B3901" s="10" t="inlineStr">
        <is>
          <t>休日</t>
        </is>
      </c>
      <c r="C3901" s="10" t="inlineStr">
        <is>
          <t>本線</t>
        </is>
      </c>
      <c r="D3901" s="10" t="inlineStr">
        <is>
          <t>下り</t>
        </is>
      </c>
      <c r="E3901" t="inlineStr">
        <is>
          <t>0707</t>
        </is>
      </c>
      <c r="F3901" t="inlineStr">
        <is>
          <t>0122</t>
        </is>
      </c>
      <c r="G3901" s="10" t="inlineStr">
        <is>
          <t>太秦広隆寺</t>
        </is>
      </c>
      <c r="H3901" s="10" t="inlineStr">
        <is>
          <t>発</t>
        </is>
      </c>
      <c r="J3901" s="10" t="inlineStr">
        <is>
          <t>営業</t>
        </is>
      </c>
      <c r="L3901" t="inlineStr">
        <is>
          <t>7:46:00</t>
        </is>
      </c>
      <c r="M3901" t="inlineStr">
        <is>
          <t>7:46:20</t>
        </is>
      </c>
    </row>
    <row r="3902" ht="15" customHeight="1" s="37">
      <c r="A3902" t="n">
        <v>5</v>
      </c>
      <c r="B3902" s="10" t="inlineStr">
        <is>
          <t>休日</t>
        </is>
      </c>
      <c r="C3902" s="10" t="inlineStr">
        <is>
          <t>本線</t>
        </is>
      </c>
      <c r="D3902" s="10" t="inlineStr">
        <is>
          <t>下り</t>
        </is>
      </c>
      <c r="E3902" t="inlineStr">
        <is>
          <t>0707</t>
        </is>
      </c>
      <c r="F3902" t="inlineStr">
        <is>
          <t>0122</t>
        </is>
      </c>
      <c r="G3902" s="10" t="inlineStr">
        <is>
          <t>帷子ノ辻</t>
        </is>
      </c>
      <c r="H3902" s="10" t="inlineStr">
        <is>
          <t>発</t>
        </is>
      </c>
      <c r="J3902" s="10" t="inlineStr">
        <is>
          <t>営業</t>
        </is>
      </c>
      <c r="L3902" t="inlineStr">
        <is>
          <t>7:48:20</t>
        </is>
      </c>
      <c r="M3902" t="inlineStr">
        <is>
          <t>7:49:40</t>
        </is>
      </c>
    </row>
    <row r="3903" ht="15" customHeight="1" s="37">
      <c r="A3903" t="n">
        <v>5</v>
      </c>
      <c r="B3903" s="10" t="inlineStr">
        <is>
          <t>休日</t>
        </is>
      </c>
      <c r="C3903" s="10" t="inlineStr">
        <is>
          <t>本線</t>
        </is>
      </c>
      <c r="D3903" s="10" t="inlineStr">
        <is>
          <t>下り</t>
        </is>
      </c>
      <c r="E3903" t="inlineStr">
        <is>
          <t>0707</t>
        </is>
      </c>
      <c r="F3903" t="inlineStr">
        <is>
          <t>0122</t>
        </is>
      </c>
      <c r="G3903" s="10" t="inlineStr">
        <is>
          <t>有栖川</t>
        </is>
      </c>
      <c r="H3903" s="10" t="inlineStr">
        <is>
          <t>発</t>
        </is>
      </c>
      <c r="J3903" s="10" t="inlineStr">
        <is>
          <t>営業</t>
        </is>
      </c>
      <c r="L3903" t="inlineStr">
        <is>
          <t>7:50:50</t>
        </is>
      </c>
      <c r="M3903" t="inlineStr">
        <is>
          <t>7:51:15</t>
        </is>
      </c>
    </row>
    <row r="3904" ht="15" customHeight="1" s="37">
      <c r="A3904" t="n">
        <v>5</v>
      </c>
      <c r="B3904" s="10" t="inlineStr">
        <is>
          <t>休日</t>
        </is>
      </c>
      <c r="C3904" s="10" t="inlineStr">
        <is>
          <t>本線</t>
        </is>
      </c>
      <c r="D3904" s="10" t="inlineStr">
        <is>
          <t>下り</t>
        </is>
      </c>
      <c r="E3904" t="inlineStr">
        <is>
          <t>0707</t>
        </is>
      </c>
      <c r="F3904" t="inlineStr">
        <is>
          <t>0122</t>
        </is>
      </c>
      <c r="G3904" s="10" t="inlineStr">
        <is>
          <t>車折</t>
        </is>
      </c>
      <c r="H3904" s="10" t="inlineStr">
        <is>
          <t>発</t>
        </is>
      </c>
      <c r="J3904" s="10" t="inlineStr">
        <is>
          <t>営業</t>
        </is>
      </c>
      <c r="L3904" t="inlineStr">
        <is>
          <t>7:52:40</t>
        </is>
      </c>
      <c r="M3904" t="inlineStr">
        <is>
          <t>7:53:05</t>
        </is>
      </c>
    </row>
    <row r="3905" ht="15" customHeight="1" s="37">
      <c r="A3905" t="n">
        <v>5</v>
      </c>
      <c r="B3905" s="10" t="inlineStr">
        <is>
          <t>休日</t>
        </is>
      </c>
      <c r="C3905" s="10" t="inlineStr">
        <is>
          <t>本線</t>
        </is>
      </c>
      <c r="D3905" s="10" t="inlineStr">
        <is>
          <t>下り</t>
        </is>
      </c>
      <c r="E3905" t="inlineStr">
        <is>
          <t>0707</t>
        </is>
      </c>
      <c r="F3905" t="inlineStr">
        <is>
          <t>0122</t>
        </is>
      </c>
      <c r="G3905" s="10" t="inlineStr">
        <is>
          <t>鹿王院</t>
        </is>
      </c>
      <c r="H3905" s="10" t="inlineStr">
        <is>
          <t>発</t>
        </is>
      </c>
      <c r="J3905" s="10" t="inlineStr">
        <is>
          <t>営業</t>
        </is>
      </c>
      <c r="L3905" t="inlineStr">
        <is>
          <t>7:54:00</t>
        </is>
      </c>
      <c r="M3905" t="inlineStr">
        <is>
          <t>7:54:25</t>
        </is>
      </c>
    </row>
    <row r="3906" ht="15" customHeight="1" s="37">
      <c r="A3906" t="n">
        <v>5</v>
      </c>
      <c r="B3906" s="10" t="inlineStr">
        <is>
          <t>休日</t>
        </is>
      </c>
      <c r="C3906" s="10" t="inlineStr">
        <is>
          <t>本線</t>
        </is>
      </c>
      <c r="D3906" s="10" t="inlineStr">
        <is>
          <t>下り</t>
        </is>
      </c>
      <c r="E3906" t="inlineStr">
        <is>
          <t>0707</t>
        </is>
      </c>
      <c r="F3906" t="inlineStr">
        <is>
          <t>0122</t>
        </is>
      </c>
      <c r="G3906" s="10" t="inlineStr">
        <is>
          <t>嵯峨</t>
        </is>
      </c>
      <c r="H3906" s="10" t="inlineStr">
        <is>
          <t>発</t>
        </is>
      </c>
      <c r="J3906" s="10" t="inlineStr">
        <is>
          <t>営業</t>
        </is>
      </c>
      <c r="L3906" t="inlineStr">
        <is>
          <t>7:55:30</t>
        </is>
      </c>
      <c r="M3906" t="inlineStr">
        <is>
          <t>7:55:55</t>
        </is>
      </c>
    </row>
    <row r="3907" ht="15" customHeight="1" s="37">
      <c r="A3907" t="n">
        <v>5</v>
      </c>
      <c r="B3907" s="10" t="inlineStr">
        <is>
          <t>休日</t>
        </is>
      </c>
      <c r="C3907" s="10" t="inlineStr">
        <is>
          <t>本線</t>
        </is>
      </c>
      <c r="D3907" s="10" t="inlineStr">
        <is>
          <t>下り</t>
        </is>
      </c>
      <c r="E3907" t="inlineStr">
        <is>
          <t>0707</t>
        </is>
      </c>
      <c r="F3907" t="inlineStr">
        <is>
          <t>0122</t>
        </is>
      </c>
      <c r="G3907" s="10" t="inlineStr">
        <is>
          <t>嵐山</t>
        </is>
      </c>
      <c r="H3907" s="10" t="inlineStr">
        <is>
          <t>着</t>
        </is>
      </c>
      <c r="J3907" s="10" t="inlineStr">
        <is>
          <t>営業</t>
        </is>
      </c>
      <c r="L3907" t="inlineStr">
        <is>
          <t>7:57:00</t>
        </is>
      </c>
      <c r="N3907" t="inlineStr">
        <is>
          <t>○</t>
        </is>
      </c>
      <c r="Q3907" t="inlineStr">
        <is>
          <t>1</t>
        </is>
      </c>
    </row>
    <row r="3908" ht="15" customHeight="1" s="37">
      <c r="A3908" t="n">
        <v>5</v>
      </c>
      <c r="B3908" s="10" t="inlineStr">
        <is>
          <t>休日</t>
        </is>
      </c>
      <c r="C3908" s="10" t="inlineStr">
        <is>
          <t>本線</t>
        </is>
      </c>
      <c r="D3908" s="10" t="inlineStr">
        <is>
          <t>上り</t>
        </is>
      </c>
      <c r="E3908" t="inlineStr">
        <is>
          <t>0802</t>
        </is>
      </c>
      <c r="F3908" t="inlineStr">
        <is>
          <t>2221</t>
        </is>
      </c>
      <c r="G3908" s="10" t="inlineStr">
        <is>
          <t>嵐山</t>
        </is>
      </c>
      <c r="H3908" s="10" t="inlineStr">
        <is>
          <t>発</t>
        </is>
      </c>
      <c r="J3908" s="10" t="inlineStr">
        <is>
          <t>営業</t>
        </is>
      </c>
      <c r="M3908" t="inlineStr">
        <is>
          <t>8:03:00</t>
        </is>
      </c>
      <c r="Q3908" t="inlineStr">
        <is>
          <t>1</t>
        </is>
      </c>
    </row>
    <row r="3909" ht="15" customHeight="1" s="37">
      <c r="A3909" t="n">
        <v>5</v>
      </c>
      <c r="B3909" s="10" t="inlineStr">
        <is>
          <t>休日</t>
        </is>
      </c>
      <c r="C3909" s="10" t="inlineStr">
        <is>
          <t>本線</t>
        </is>
      </c>
      <c r="D3909" s="10" t="inlineStr">
        <is>
          <t>上り</t>
        </is>
      </c>
      <c r="E3909" t="inlineStr">
        <is>
          <t>0802</t>
        </is>
      </c>
      <c r="F3909" t="inlineStr">
        <is>
          <t>2221</t>
        </is>
      </c>
      <c r="G3909" s="10" t="inlineStr">
        <is>
          <t>嵯峨</t>
        </is>
      </c>
      <c r="H3909" s="10" t="inlineStr">
        <is>
          <t>発</t>
        </is>
      </c>
      <c r="J3909" s="10" t="inlineStr">
        <is>
          <t>営業</t>
        </is>
      </c>
      <c r="L3909" t="inlineStr">
        <is>
          <t>8:03:55</t>
        </is>
      </c>
      <c r="M3909" t="inlineStr">
        <is>
          <t>8:04:20</t>
        </is>
      </c>
    </row>
    <row r="3910" ht="15" customHeight="1" s="37">
      <c r="A3910" t="n">
        <v>5</v>
      </c>
      <c r="B3910" s="10" t="inlineStr">
        <is>
          <t>休日</t>
        </is>
      </c>
      <c r="C3910" s="10" t="inlineStr">
        <is>
          <t>本線</t>
        </is>
      </c>
      <c r="D3910" s="10" t="inlineStr">
        <is>
          <t>上り</t>
        </is>
      </c>
      <c r="E3910" t="inlineStr">
        <is>
          <t>0802</t>
        </is>
      </c>
      <c r="F3910" t="inlineStr">
        <is>
          <t>2221</t>
        </is>
      </c>
      <c r="G3910" s="10" t="inlineStr">
        <is>
          <t>鹿王院</t>
        </is>
      </c>
      <c r="H3910" s="10" t="inlineStr">
        <is>
          <t>発</t>
        </is>
      </c>
      <c r="J3910" s="10" t="inlineStr">
        <is>
          <t>営業</t>
        </is>
      </c>
      <c r="L3910" t="inlineStr">
        <is>
          <t>8:05:25</t>
        </is>
      </c>
      <c r="M3910" t="inlineStr">
        <is>
          <t>8:05:45</t>
        </is>
      </c>
    </row>
    <row r="3911" ht="15" customHeight="1" s="37">
      <c r="A3911" t="n">
        <v>5</v>
      </c>
      <c r="B3911" s="10" t="inlineStr">
        <is>
          <t>休日</t>
        </is>
      </c>
      <c r="C3911" s="10" t="inlineStr">
        <is>
          <t>本線</t>
        </is>
      </c>
      <c r="D3911" s="10" t="inlineStr">
        <is>
          <t>上り</t>
        </is>
      </c>
      <c r="E3911" t="inlineStr">
        <is>
          <t>0802</t>
        </is>
      </c>
      <c r="F3911" t="inlineStr">
        <is>
          <t>2221</t>
        </is>
      </c>
      <c r="G3911" s="10" t="inlineStr">
        <is>
          <t>車折</t>
        </is>
      </c>
      <c r="H3911" s="10" t="inlineStr">
        <is>
          <t>発</t>
        </is>
      </c>
      <c r="J3911" s="10" t="inlineStr">
        <is>
          <t>営業</t>
        </is>
      </c>
      <c r="L3911" t="inlineStr">
        <is>
          <t>8:06:40</t>
        </is>
      </c>
      <c r="M3911" t="inlineStr">
        <is>
          <t>8:07:10</t>
        </is>
      </c>
    </row>
    <row r="3912" ht="15" customHeight="1" s="37">
      <c r="A3912" t="n">
        <v>5</v>
      </c>
      <c r="B3912" s="10" t="inlineStr">
        <is>
          <t>休日</t>
        </is>
      </c>
      <c r="C3912" s="10" t="inlineStr">
        <is>
          <t>本線</t>
        </is>
      </c>
      <c r="D3912" s="10" t="inlineStr">
        <is>
          <t>上り</t>
        </is>
      </c>
      <c r="E3912" t="inlineStr">
        <is>
          <t>0802</t>
        </is>
      </c>
      <c r="F3912" t="inlineStr">
        <is>
          <t>2221</t>
        </is>
      </c>
      <c r="G3912" s="10" t="inlineStr">
        <is>
          <t>有栖川</t>
        </is>
      </c>
      <c r="H3912" s="10" t="inlineStr">
        <is>
          <t>発</t>
        </is>
      </c>
      <c r="J3912" s="10" t="inlineStr">
        <is>
          <t>営業</t>
        </is>
      </c>
      <c r="L3912" t="inlineStr">
        <is>
          <t>8:08:35</t>
        </is>
      </c>
      <c r="M3912" t="inlineStr">
        <is>
          <t>8:08:55</t>
        </is>
      </c>
    </row>
    <row r="3913" ht="15" customHeight="1" s="37">
      <c r="A3913" t="n">
        <v>5</v>
      </c>
      <c r="B3913" s="10" t="inlineStr">
        <is>
          <t>休日</t>
        </is>
      </c>
      <c r="C3913" s="10" t="inlineStr">
        <is>
          <t>本線</t>
        </is>
      </c>
      <c r="D3913" s="10" t="inlineStr">
        <is>
          <t>上り</t>
        </is>
      </c>
      <c r="E3913" t="inlineStr">
        <is>
          <t>0802</t>
        </is>
      </c>
      <c r="F3913" t="inlineStr">
        <is>
          <t>2221</t>
        </is>
      </c>
      <c r="G3913" s="10" t="inlineStr">
        <is>
          <t>帷子ノ辻</t>
        </is>
      </c>
      <c r="H3913" s="10" t="inlineStr">
        <is>
          <t>発</t>
        </is>
      </c>
      <c r="J3913" s="10" t="inlineStr">
        <is>
          <t>営業</t>
        </is>
      </c>
      <c r="L3913" t="inlineStr">
        <is>
          <t>8:10:10</t>
        </is>
      </c>
      <c r="M3913" t="inlineStr">
        <is>
          <t>8:11:15</t>
        </is>
      </c>
    </row>
    <row r="3914" ht="15" customHeight="1" s="37">
      <c r="A3914" t="n">
        <v>5</v>
      </c>
      <c r="B3914" s="10" t="inlineStr">
        <is>
          <t>休日</t>
        </is>
      </c>
      <c r="C3914" s="10" t="inlineStr">
        <is>
          <t>本線</t>
        </is>
      </c>
      <c r="D3914" s="10" t="inlineStr">
        <is>
          <t>上り</t>
        </is>
      </c>
      <c r="E3914" t="inlineStr">
        <is>
          <t>0802</t>
        </is>
      </c>
      <c r="F3914" t="inlineStr">
        <is>
          <t>2221</t>
        </is>
      </c>
      <c r="G3914" s="10" t="inlineStr">
        <is>
          <t>太秦広隆寺</t>
        </is>
      </c>
      <c r="H3914" s="10" t="inlineStr">
        <is>
          <t>発</t>
        </is>
      </c>
      <c r="J3914" s="10" t="inlineStr">
        <is>
          <t>営業</t>
        </is>
      </c>
      <c r="L3914" t="inlineStr">
        <is>
          <t>8:13:25</t>
        </is>
      </c>
      <c r="M3914" t="inlineStr">
        <is>
          <t>8:13:45</t>
        </is>
      </c>
    </row>
    <row r="3915" ht="15" customHeight="1" s="37">
      <c r="A3915" t="n">
        <v>5</v>
      </c>
      <c r="B3915" s="10" t="inlineStr">
        <is>
          <t>休日</t>
        </is>
      </c>
      <c r="C3915" s="10" t="inlineStr">
        <is>
          <t>本線</t>
        </is>
      </c>
      <c r="D3915" s="10" t="inlineStr">
        <is>
          <t>上り</t>
        </is>
      </c>
      <c r="E3915" t="inlineStr">
        <is>
          <t>0802</t>
        </is>
      </c>
      <c r="F3915" t="inlineStr">
        <is>
          <t>2221</t>
        </is>
      </c>
      <c r="G3915" s="10" t="inlineStr">
        <is>
          <t>蚕ノ社</t>
        </is>
      </c>
      <c r="H3915" s="10" t="inlineStr">
        <is>
          <t>発</t>
        </is>
      </c>
      <c r="J3915" s="10" t="inlineStr">
        <is>
          <t>営業</t>
        </is>
      </c>
      <c r="L3915" t="inlineStr">
        <is>
          <t>8:15:00</t>
        </is>
      </c>
      <c r="M3915" t="inlineStr">
        <is>
          <t>8:15:20</t>
        </is>
      </c>
    </row>
    <row r="3916" ht="15" customHeight="1" s="37">
      <c r="A3916" t="n">
        <v>5</v>
      </c>
      <c r="B3916" s="10" t="inlineStr">
        <is>
          <t>休日</t>
        </is>
      </c>
      <c r="C3916" s="10" t="inlineStr">
        <is>
          <t>本線</t>
        </is>
      </c>
      <c r="D3916" s="10" t="inlineStr">
        <is>
          <t>上り</t>
        </is>
      </c>
      <c r="E3916" t="inlineStr">
        <is>
          <t>0802</t>
        </is>
      </c>
      <c r="F3916" t="inlineStr">
        <is>
          <t>2221</t>
        </is>
      </c>
      <c r="G3916" s="10" t="inlineStr">
        <is>
          <t>天神川</t>
        </is>
      </c>
      <c r="H3916" s="10" t="inlineStr">
        <is>
          <t>発</t>
        </is>
      </c>
      <c r="J3916" s="10" t="inlineStr">
        <is>
          <t>営業</t>
        </is>
      </c>
      <c r="L3916" t="inlineStr">
        <is>
          <t>8:16:05</t>
        </is>
      </c>
      <c r="M3916" t="inlineStr">
        <is>
          <t>8:16:50</t>
        </is>
      </c>
    </row>
    <row r="3917" ht="15" customHeight="1" s="37">
      <c r="A3917" t="n">
        <v>5</v>
      </c>
      <c r="B3917" s="10" t="inlineStr">
        <is>
          <t>休日</t>
        </is>
      </c>
      <c r="C3917" s="10" t="inlineStr">
        <is>
          <t>本線</t>
        </is>
      </c>
      <c r="D3917" s="10" t="inlineStr">
        <is>
          <t>上り</t>
        </is>
      </c>
      <c r="E3917" t="inlineStr">
        <is>
          <t>0802</t>
        </is>
      </c>
      <c r="F3917" t="inlineStr">
        <is>
          <t>2221</t>
        </is>
      </c>
      <c r="G3917" s="10" t="inlineStr">
        <is>
          <t>山ノ内</t>
        </is>
      </c>
      <c r="H3917" s="10" t="inlineStr">
        <is>
          <t>発</t>
        </is>
      </c>
      <c r="J3917" s="10" t="inlineStr">
        <is>
          <t>営業</t>
        </is>
      </c>
      <c r="L3917" t="inlineStr">
        <is>
          <t>8:18:40</t>
        </is>
      </c>
      <c r="M3917" t="inlineStr">
        <is>
          <t>8:19:05</t>
        </is>
      </c>
    </row>
    <row r="3918" ht="15" customHeight="1" s="37">
      <c r="A3918" t="n">
        <v>5</v>
      </c>
      <c r="B3918" s="10" t="inlineStr">
        <is>
          <t>休日</t>
        </is>
      </c>
      <c r="C3918" s="10" t="inlineStr">
        <is>
          <t>本線</t>
        </is>
      </c>
      <c r="D3918" s="10" t="inlineStr">
        <is>
          <t>上り</t>
        </is>
      </c>
      <c r="E3918" t="inlineStr">
        <is>
          <t>0802</t>
        </is>
      </c>
      <c r="F3918" t="inlineStr">
        <is>
          <t>2221</t>
        </is>
      </c>
      <c r="G3918" s="10" t="inlineStr">
        <is>
          <t>西大路三条</t>
        </is>
      </c>
      <c r="H3918" s="10" t="inlineStr">
        <is>
          <t>発</t>
        </is>
      </c>
      <c r="J3918" s="10" t="inlineStr">
        <is>
          <t>営業</t>
        </is>
      </c>
      <c r="L3918" t="inlineStr">
        <is>
          <t>8:20:55</t>
        </is>
      </c>
      <c r="M3918" t="inlineStr">
        <is>
          <t>8:21:15</t>
        </is>
      </c>
    </row>
    <row r="3919" ht="15" customHeight="1" s="37">
      <c r="A3919" t="n">
        <v>5</v>
      </c>
      <c r="B3919" s="10" t="inlineStr">
        <is>
          <t>休日</t>
        </is>
      </c>
      <c r="C3919" s="10" t="inlineStr">
        <is>
          <t>本線</t>
        </is>
      </c>
      <c r="D3919" s="10" t="inlineStr">
        <is>
          <t>上り</t>
        </is>
      </c>
      <c r="E3919" t="inlineStr">
        <is>
          <t>0802</t>
        </is>
      </c>
      <c r="F3919" t="inlineStr">
        <is>
          <t>2221</t>
        </is>
      </c>
      <c r="G3919" s="10" t="inlineStr">
        <is>
          <t>西院</t>
        </is>
      </c>
      <c r="H3919" s="10" t="inlineStr">
        <is>
          <t>発</t>
        </is>
      </c>
      <c r="J3919" s="10" t="inlineStr">
        <is>
          <t>営業</t>
        </is>
      </c>
      <c r="L3919" t="inlineStr">
        <is>
          <t>8:23:10</t>
        </is>
      </c>
      <c r="M3919" t="inlineStr">
        <is>
          <t>8:24:05</t>
        </is>
      </c>
    </row>
    <row r="3920" ht="15" customHeight="1" s="37">
      <c r="A3920" t="n">
        <v>5</v>
      </c>
      <c r="B3920" s="10" t="inlineStr">
        <is>
          <t>休日</t>
        </is>
      </c>
      <c r="C3920" s="10" t="inlineStr">
        <is>
          <t>本線</t>
        </is>
      </c>
      <c r="D3920" s="10" t="inlineStr">
        <is>
          <t>上り</t>
        </is>
      </c>
      <c r="E3920" t="inlineStr">
        <is>
          <t>0802</t>
        </is>
      </c>
      <c r="F3920" t="inlineStr">
        <is>
          <t>2221</t>
        </is>
      </c>
      <c r="G3920" s="10" t="inlineStr">
        <is>
          <t>四条大宮</t>
        </is>
      </c>
      <c r="H3920" s="10" t="inlineStr">
        <is>
          <t>着</t>
        </is>
      </c>
      <c r="J3920" s="10" t="inlineStr">
        <is>
          <t>営業</t>
        </is>
      </c>
      <c r="L3920" t="inlineStr">
        <is>
          <t>8:27:00</t>
        </is>
      </c>
      <c r="Q3920" t="inlineStr">
        <is>
          <t>1</t>
        </is>
      </c>
    </row>
    <row r="3921" ht="15" customHeight="1" s="37">
      <c r="A3921" t="n">
        <v>5</v>
      </c>
      <c r="B3921" s="10" t="inlineStr">
        <is>
          <t>休日</t>
        </is>
      </c>
      <c r="C3921" s="10" t="inlineStr">
        <is>
          <t>本線</t>
        </is>
      </c>
      <c r="D3921" s="10" t="inlineStr">
        <is>
          <t>下り</t>
        </is>
      </c>
      <c r="E3921" t="inlineStr">
        <is>
          <t>0807</t>
        </is>
      </c>
      <c r="F3921" t="inlineStr">
        <is>
          <t>0112</t>
        </is>
      </c>
      <c r="G3921" s="10" t="inlineStr">
        <is>
          <t>四条大宮</t>
        </is>
      </c>
      <c r="H3921" s="10" t="inlineStr">
        <is>
          <t>発</t>
        </is>
      </c>
      <c r="J3921" s="10" t="inlineStr">
        <is>
          <t>営業</t>
        </is>
      </c>
      <c r="M3921" t="inlineStr">
        <is>
          <t>8:33:00</t>
        </is>
      </c>
      <c r="Q3921" t="inlineStr">
        <is>
          <t>1</t>
        </is>
      </c>
    </row>
    <row r="3922" ht="15" customHeight="1" s="37">
      <c r="A3922" t="n">
        <v>5</v>
      </c>
      <c r="B3922" s="10" t="inlineStr">
        <is>
          <t>休日</t>
        </is>
      </c>
      <c r="C3922" s="10" t="inlineStr">
        <is>
          <t>本線</t>
        </is>
      </c>
      <c r="D3922" s="10" t="inlineStr">
        <is>
          <t>下り</t>
        </is>
      </c>
      <c r="E3922" t="inlineStr">
        <is>
          <t>0807</t>
        </is>
      </c>
      <c r="F3922" t="inlineStr">
        <is>
          <t>0112</t>
        </is>
      </c>
      <c r="G3922" s="10" t="inlineStr">
        <is>
          <t>西院</t>
        </is>
      </c>
      <c r="H3922" s="10" t="inlineStr">
        <is>
          <t>発</t>
        </is>
      </c>
      <c r="J3922" s="10" t="inlineStr">
        <is>
          <t>営業</t>
        </is>
      </c>
      <c r="L3922" t="inlineStr">
        <is>
          <t>8:35:50</t>
        </is>
      </c>
      <c r="M3922" t="inlineStr">
        <is>
          <t>8:36:20</t>
        </is>
      </c>
    </row>
    <row r="3923" ht="15" customHeight="1" s="37">
      <c r="A3923" t="n">
        <v>5</v>
      </c>
      <c r="B3923" s="10" t="inlineStr">
        <is>
          <t>休日</t>
        </is>
      </c>
      <c r="C3923" s="10" t="inlineStr">
        <is>
          <t>本線</t>
        </is>
      </c>
      <c r="D3923" s="10" t="inlineStr">
        <is>
          <t>下り</t>
        </is>
      </c>
      <c r="E3923" t="inlineStr">
        <is>
          <t>0807</t>
        </is>
      </c>
      <c r="F3923" t="inlineStr">
        <is>
          <t>0112</t>
        </is>
      </c>
      <c r="G3923" s="10" t="inlineStr">
        <is>
          <t>西大路三条</t>
        </is>
      </c>
      <c r="H3923" s="10" t="inlineStr">
        <is>
          <t>発</t>
        </is>
      </c>
      <c r="J3923" s="10" t="inlineStr">
        <is>
          <t>営業</t>
        </is>
      </c>
      <c r="L3923" t="inlineStr">
        <is>
          <t>8:38:10</t>
        </is>
      </c>
      <c r="M3923" t="inlineStr">
        <is>
          <t>8:38:30</t>
        </is>
      </c>
    </row>
    <row r="3924" ht="15" customHeight="1" s="37">
      <c r="A3924" t="n">
        <v>5</v>
      </c>
      <c r="B3924" s="10" t="inlineStr">
        <is>
          <t>休日</t>
        </is>
      </c>
      <c r="C3924" s="10" t="inlineStr">
        <is>
          <t>本線</t>
        </is>
      </c>
      <c r="D3924" s="10" t="inlineStr">
        <is>
          <t>下り</t>
        </is>
      </c>
      <c r="E3924" t="inlineStr">
        <is>
          <t>0807</t>
        </is>
      </c>
      <c r="F3924" t="inlineStr">
        <is>
          <t>0112</t>
        </is>
      </c>
      <c r="G3924" s="10" t="inlineStr">
        <is>
          <t>山ノ内</t>
        </is>
      </c>
      <c r="H3924" s="10" t="inlineStr">
        <is>
          <t>発</t>
        </is>
      </c>
      <c r="J3924" s="10" t="inlineStr">
        <is>
          <t>営業</t>
        </is>
      </c>
      <c r="L3924" t="inlineStr">
        <is>
          <t>8:40:25</t>
        </is>
      </c>
      <c r="M3924" t="inlineStr">
        <is>
          <t>8:40:50</t>
        </is>
      </c>
    </row>
    <row r="3925" ht="15" customHeight="1" s="37">
      <c r="A3925" t="n">
        <v>5</v>
      </c>
      <c r="B3925" s="10" t="inlineStr">
        <is>
          <t>休日</t>
        </is>
      </c>
      <c r="C3925" s="10" t="inlineStr">
        <is>
          <t>本線</t>
        </is>
      </c>
      <c r="D3925" s="10" t="inlineStr">
        <is>
          <t>下り</t>
        </is>
      </c>
      <c r="E3925" t="inlineStr">
        <is>
          <t>0807</t>
        </is>
      </c>
      <c r="F3925" t="inlineStr">
        <is>
          <t>0112</t>
        </is>
      </c>
      <c r="G3925" s="10" t="inlineStr">
        <is>
          <t>天神川</t>
        </is>
      </c>
      <c r="H3925" s="10" t="inlineStr">
        <is>
          <t>発</t>
        </is>
      </c>
      <c r="J3925" s="10" t="inlineStr">
        <is>
          <t>営業</t>
        </is>
      </c>
      <c r="L3925" t="inlineStr">
        <is>
          <t>8:42:50</t>
        </is>
      </c>
      <c r="M3925" t="inlineStr">
        <is>
          <t>8:43:30</t>
        </is>
      </c>
    </row>
    <row r="3926" ht="15" customHeight="1" s="37">
      <c r="A3926" t="n">
        <v>5</v>
      </c>
      <c r="B3926" s="10" t="inlineStr">
        <is>
          <t>休日</t>
        </is>
      </c>
      <c r="C3926" s="10" t="inlineStr">
        <is>
          <t>本線</t>
        </is>
      </c>
      <c r="D3926" s="10" t="inlineStr">
        <is>
          <t>下り</t>
        </is>
      </c>
      <c r="E3926" t="inlineStr">
        <is>
          <t>0807</t>
        </is>
      </c>
      <c r="F3926" t="inlineStr">
        <is>
          <t>0112</t>
        </is>
      </c>
      <c r="G3926" s="10" t="inlineStr">
        <is>
          <t>蚕ノ社</t>
        </is>
      </c>
      <c r="H3926" s="10" t="inlineStr">
        <is>
          <t>発</t>
        </is>
      </c>
      <c r="J3926" s="10" t="inlineStr">
        <is>
          <t>営業</t>
        </is>
      </c>
      <c r="L3926" t="inlineStr">
        <is>
          <t>8:44:20</t>
        </is>
      </c>
      <c r="M3926" t="inlineStr">
        <is>
          <t>8:44:40</t>
        </is>
      </c>
    </row>
    <row r="3927" ht="15" customHeight="1" s="37">
      <c r="A3927" t="n">
        <v>5</v>
      </c>
      <c r="B3927" s="10" t="inlineStr">
        <is>
          <t>休日</t>
        </is>
      </c>
      <c r="C3927" s="10" t="inlineStr">
        <is>
          <t>本線</t>
        </is>
      </c>
      <c r="D3927" s="10" t="inlineStr">
        <is>
          <t>下り</t>
        </is>
      </c>
      <c r="E3927" t="inlineStr">
        <is>
          <t>0807</t>
        </is>
      </c>
      <c r="F3927" t="inlineStr">
        <is>
          <t>0112</t>
        </is>
      </c>
      <c r="G3927" s="10" t="inlineStr">
        <is>
          <t>太秦広隆寺</t>
        </is>
      </c>
      <c r="H3927" s="10" t="inlineStr">
        <is>
          <t>発</t>
        </is>
      </c>
      <c r="J3927" s="10" t="inlineStr">
        <is>
          <t>営業</t>
        </is>
      </c>
      <c r="L3927" t="inlineStr">
        <is>
          <t>8:46:00</t>
        </is>
      </c>
      <c r="M3927" t="inlineStr">
        <is>
          <t>8:46:20</t>
        </is>
      </c>
    </row>
    <row r="3928" ht="15" customHeight="1" s="37">
      <c r="A3928" t="n">
        <v>5</v>
      </c>
      <c r="B3928" s="10" t="inlineStr">
        <is>
          <t>休日</t>
        </is>
      </c>
      <c r="C3928" s="10" t="inlineStr">
        <is>
          <t>本線</t>
        </is>
      </c>
      <c r="D3928" s="10" t="inlineStr">
        <is>
          <t>下り</t>
        </is>
      </c>
      <c r="E3928" t="inlineStr">
        <is>
          <t>0807</t>
        </is>
      </c>
      <c r="F3928" t="inlineStr">
        <is>
          <t>0112</t>
        </is>
      </c>
      <c r="G3928" s="10" t="inlineStr">
        <is>
          <t>帷子ノ辻</t>
        </is>
      </c>
      <c r="H3928" s="10" t="inlineStr">
        <is>
          <t>発</t>
        </is>
      </c>
      <c r="J3928" s="10" t="inlineStr">
        <is>
          <t>営業</t>
        </is>
      </c>
      <c r="L3928" t="inlineStr">
        <is>
          <t>8:48:20</t>
        </is>
      </c>
      <c r="M3928" t="inlineStr">
        <is>
          <t>8:49:40</t>
        </is>
      </c>
    </row>
    <row r="3929" ht="15" customHeight="1" s="37">
      <c r="A3929" t="n">
        <v>5</v>
      </c>
      <c r="B3929" s="10" t="inlineStr">
        <is>
          <t>休日</t>
        </is>
      </c>
      <c r="C3929" s="10" t="inlineStr">
        <is>
          <t>本線</t>
        </is>
      </c>
      <c r="D3929" s="10" t="inlineStr">
        <is>
          <t>下り</t>
        </is>
      </c>
      <c r="E3929" t="inlineStr">
        <is>
          <t>0807</t>
        </is>
      </c>
      <c r="F3929" t="inlineStr">
        <is>
          <t>0112</t>
        </is>
      </c>
      <c r="G3929" s="10" t="inlineStr">
        <is>
          <t>有栖川</t>
        </is>
      </c>
      <c r="H3929" s="10" t="inlineStr">
        <is>
          <t>発</t>
        </is>
      </c>
      <c r="J3929" s="10" t="inlineStr">
        <is>
          <t>営業</t>
        </is>
      </c>
      <c r="L3929" t="inlineStr">
        <is>
          <t>8:50:50</t>
        </is>
      </c>
      <c r="M3929" t="inlineStr">
        <is>
          <t>8:51:15</t>
        </is>
      </c>
    </row>
    <row r="3930" ht="15" customHeight="1" s="37">
      <c r="A3930" t="n">
        <v>5</v>
      </c>
      <c r="B3930" s="10" t="inlineStr">
        <is>
          <t>休日</t>
        </is>
      </c>
      <c r="C3930" s="10" t="inlineStr">
        <is>
          <t>本線</t>
        </is>
      </c>
      <c r="D3930" s="10" t="inlineStr">
        <is>
          <t>下り</t>
        </is>
      </c>
      <c r="E3930" t="inlineStr">
        <is>
          <t>0807</t>
        </is>
      </c>
      <c r="F3930" t="inlineStr">
        <is>
          <t>0112</t>
        </is>
      </c>
      <c r="G3930" s="10" t="inlineStr">
        <is>
          <t>車折</t>
        </is>
      </c>
      <c r="H3930" s="10" t="inlineStr">
        <is>
          <t>発</t>
        </is>
      </c>
      <c r="J3930" s="10" t="inlineStr">
        <is>
          <t>営業</t>
        </is>
      </c>
      <c r="L3930" t="inlineStr">
        <is>
          <t>8:52:40</t>
        </is>
      </c>
      <c r="M3930" t="inlineStr">
        <is>
          <t>8:53:05</t>
        </is>
      </c>
    </row>
    <row r="3931" ht="15" customHeight="1" s="37">
      <c r="A3931" t="n">
        <v>5</v>
      </c>
      <c r="B3931" s="10" t="inlineStr">
        <is>
          <t>休日</t>
        </is>
      </c>
      <c r="C3931" s="10" t="inlineStr">
        <is>
          <t>本線</t>
        </is>
      </c>
      <c r="D3931" s="10" t="inlineStr">
        <is>
          <t>下り</t>
        </is>
      </c>
      <c r="E3931" t="inlineStr">
        <is>
          <t>0807</t>
        </is>
      </c>
      <c r="F3931" t="inlineStr">
        <is>
          <t>0112</t>
        </is>
      </c>
      <c r="G3931" s="10" t="inlineStr">
        <is>
          <t>鹿王院</t>
        </is>
      </c>
      <c r="H3931" s="10" t="inlineStr">
        <is>
          <t>発</t>
        </is>
      </c>
      <c r="J3931" s="10" t="inlineStr">
        <is>
          <t>営業</t>
        </is>
      </c>
      <c r="L3931" t="inlineStr">
        <is>
          <t>8:54:00</t>
        </is>
      </c>
      <c r="M3931" t="inlineStr">
        <is>
          <t>8:54:25</t>
        </is>
      </c>
    </row>
    <row r="3932" ht="15" customHeight="1" s="37">
      <c r="A3932" t="n">
        <v>5</v>
      </c>
      <c r="B3932" s="10" t="inlineStr">
        <is>
          <t>休日</t>
        </is>
      </c>
      <c r="C3932" s="10" t="inlineStr">
        <is>
          <t>本線</t>
        </is>
      </c>
      <c r="D3932" s="10" t="inlineStr">
        <is>
          <t>下り</t>
        </is>
      </c>
      <c r="E3932" t="inlineStr">
        <is>
          <t>0807</t>
        </is>
      </c>
      <c r="F3932" t="inlineStr">
        <is>
          <t>0112</t>
        </is>
      </c>
      <c r="G3932" s="10" t="inlineStr">
        <is>
          <t>嵯峨</t>
        </is>
      </c>
      <c r="H3932" s="10" t="inlineStr">
        <is>
          <t>発</t>
        </is>
      </c>
      <c r="J3932" s="10" t="inlineStr">
        <is>
          <t>営業</t>
        </is>
      </c>
      <c r="L3932" t="inlineStr">
        <is>
          <t>8:55:30</t>
        </is>
      </c>
      <c r="M3932" t="inlineStr">
        <is>
          <t>8:55:55</t>
        </is>
      </c>
    </row>
    <row r="3933" ht="15" customHeight="1" s="37">
      <c r="A3933" t="n">
        <v>5</v>
      </c>
      <c r="B3933" s="10" t="inlineStr">
        <is>
          <t>休日</t>
        </is>
      </c>
      <c r="C3933" s="10" t="inlineStr">
        <is>
          <t>本線</t>
        </is>
      </c>
      <c r="D3933" s="10" t="inlineStr">
        <is>
          <t>下り</t>
        </is>
      </c>
      <c r="E3933" t="inlineStr">
        <is>
          <t>0807</t>
        </is>
      </c>
      <c r="F3933" t="inlineStr">
        <is>
          <t>0112</t>
        </is>
      </c>
      <c r="G3933" s="10" t="inlineStr">
        <is>
          <t>嵐山</t>
        </is>
      </c>
      <c r="H3933" s="10" t="inlineStr">
        <is>
          <t>着</t>
        </is>
      </c>
      <c r="J3933" s="10" t="inlineStr">
        <is>
          <t>営業</t>
        </is>
      </c>
      <c r="L3933" t="inlineStr">
        <is>
          <t>8:57:00</t>
        </is>
      </c>
      <c r="Q3933" t="inlineStr">
        <is>
          <t>1</t>
        </is>
      </c>
    </row>
    <row r="3934" ht="15" customHeight="1" s="37">
      <c r="A3934" t="n">
        <v>5</v>
      </c>
      <c r="B3934" s="10" t="inlineStr">
        <is>
          <t>休日</t>
        </is>
      </c>
      <c r="C3934" s="10" t="inlineStr">
        <is>
          <t>本線</t>
        </is>
      </c>
      <c r="D3934" s="10" t="inlineStr">
        <is>
          <t>上り</t>
        </is>
      </c>
      <c r="E3934" t="inlineStr">
        <is>
          <t>0902</t>
        </is>
      </c>
      <c r="F3934" t="inlineStr">
        <is>
          <t>0211</t>
        </is>
      </c>
      <c r="G3934" s="10" t="inlineStr">
        <is>
          <t>嵐山</t>
        </is>
      </c>
      <c r="H3934" s="10" t="inlineStr">
        <is>
          <t>発</t>
        </is>
      </c>
      <c r="J3934" s="10" t="inlineStr">
        <is>
          <t>営業</t>
        </is>
      </c>
      <c r="M3934" t="inlineStr">
        <is>
          <t>9:03:00</t>
        </is>
      </c>
      <c r="Q3934" t="inlineStr">
        <is>
          <t>1</t>
        </is>
      </c>
    </row>
    <row r="3935" ht="15" customHeight="1" s="37">
      <c r="A3935" t="n">
        <v>5</v>
      </c>
      <c r="B3935" s="10" t="inlineStr">
        <is>
          <t>休日</t>
        </is>
      </c>
      <c r="C3935" s="10" t="inlineStr">
        <is>
          <t>本線</t>
        </is>
      </c>
      <c r="D3935" s="10" t="inlineStr">
        <is>
          <t>上り</t>
        </is>
      </c>
      <c r="E3935" t="inlineStr">
        <is>
          <t>0902</t>
        </is>
      </c>
      <c r="F3935" t="inlineStr">
        <is>
          <t>0211</t>
        </is>
      </c>
      <c r="G3935" s="10" t="inlineStr">
        <is>
          <t>嵯峨</t>
        </is>
      </c>
      <c r="H3935" s="10" t="inlineStr">
        <is>
          <t>発</t>
        </is>
      </c>
      <c r="J3935" s="10" t="inlineStr">
        <is>
          <t>営業</t>
        </is>
      </c>
      <c r="L3935" t="inlineStr">
        <is>
          <t>9:03:55</t>
        </is>
      </c>
      <c r="M3935" t="inlineStr">
        <is>
          <t>9:04:20</t>
        </is>
      </c>
    </row>
    <row r="3936" ht="15" customHeight="1" s="37">
      <c r="A3936" t="n">
        <v>5</v>
      </c>
      <c r="B3936" s="10" t="inlineStr">
        <is>
          <t>休日</t>
        </is>
      </c>
      <c r="C3936" s="10" t="inlineStr">
        <is>
          <t>本線</t>
        </is>
      </c>
      <c r="D3936" s="10" t="inlineStr">
        <is>
          <t>上り</t>
        </is>
      </c>
      <c r="E3936" t="inlineStr">
        <is>
          <t>0902</t>
        </is>
      </c>
      <c r="F3936" t="inlineStr">
        <is>
          <t>0211</t>
        </is>
      </c>
      <c r="G3936" s="10" t="inlineStr">
        <is>
          <t>鹿王院</t>
        </is>
      </c>
      <c r="H3936" s="10" t="inlineStr">
        <is>
          <t>発</t>
        </is>
      </c>
      <c r="J3936" s="10" t="inlineStr">
        <is>
          <t>営業</t>
        </is>
      </c>
      <c r="L3936" t="inlineStr">
        <is>
          <t>9:05:25</t>
        </is>
      </c>
      <c r="M3936" t="inlineStr">
        <is>
          <t>9:05:45</t>
        </is>
      </c>
    </row>
    <row r="3937" ht="15" customHeight="1" s="37">
      <c r="A3937" t="n">
        <v>5</v>
      </c>
      <c r="B3937" s="10" t="inlineStr">
        <is>
          <t>休日</t>
        </is>
      </c>
      <c r="C3937" s="10" t="inlineStr">
        <is>
          <t>本線</t>
        </is>
      </c>
      <c r="D3937" s="10" t="inlineStr">
        <is>
          <t>上り</t>
        </is>
      </c>
      <c r="E3937" t="inlineStr">
        <is>
          <t>0902</t>
        </is>
      </c>
      <c r="F3937" t="inlineStr">
        <is>
          <t>0211</t>
        </is>
      </c>
      <c r="G3937" s="10" t="inlineStr">
        <is>
          <t>車折</t>
        </is>
      </c>
      <c r="H3937" s="10" t="inlineStr">
        <is>
          <t>発</t>
        </is>
      </c>
      <c r="J3937" s="10" t="inlineStr">
        <is>
          <t>営業</t>
        </is>
      </c>
      <c r="L3937" t="inlineStr">
        <is>
          <t>9:06:40</t>
        </is>
      </c>
      <c r="M3937" t="inlineStr">
        <is>
          <t>9:07:10</t>
        </is>
      </c>
    </row>
    <row r="3938" ht="15" customHeight="1" s="37">
      <c r="A3938" t="n">
        <v>5</v>
      </c>
      <c r="B3938" s="10" t="inlineStr">
        <is>
          <t>休日</t>
        </is>
      </c>
      <c r="C3938" s="10" t="inlineStr">
        <is>
          <t>本線</t>
        </is>
      </c>
      <c r="D3938" s="10" t="inlineStr">
        <is>
          <t>上り</t>
        </is>
      </c>
      <c r="E3938" t="inlineStr">
        <is>
          <t>0902</t>
        </is>
      </c>
      <c r="F3938" t="inlineStr">
        <is>
          <t>0211</t>
        </is>
      </c>
      <c r="G3938" s="10" t="inlineStr">
        <is>
          <t>有栖川</t>
        </is>
      </c>
      <c r="H3938" s="10" t="inlineStr">
        <is>
          <t>発</t>
        </is>
      </c>
      <c r="J3938" s="10" t="inlineStr">
        <is>
          <t>営業</t>
        </is>
      </c>
      <c r="L3938" t="inlineStr">
        <is>
          <t>9:08:35</t>
        </is>
      </c>
      <c r="M3938" t="inlineStr">
        <is>
          <t>9:08:55</t>
        </is>
      </c>
    </row>
    <row r="3939" ht="15" customHeight="1" s="37">
      <c r="A3939" t="n">
        <v>5</v>
      </c>
      <c r="B3939" s="10" t="inlineStr">
        <is>
          <t>休日</t>
        </is>
      </c>
      <c r="C3939" s="10" t="inlineStr">
        <is>
          <t>本線</t>
        </is>
      </c>
      <c r="D3939" s="10" t="inlineStr">
        <is>
          <t>上り</t>
        </is>
      </c>
      <c r="E3939" t="inlineStr">
        <is>
          <t>0902</t>
        </is>
      </c>
      <c r="F3939" t="inlineStr">
        <is>
          <t>0211</t>
        </is>
      </c>
      <c r="G3939" s="10" t="inlineStr">
        <is>
          <t>帷子ノ辻</t>
        </is>
      </c>
      <c r="H3939" s="10" t="inlineStr">
        <is>
          <t>発</t>
        </is>
      </c>
      <c r="J3939" s="10" t="inlineStr">
        <is>
          <t>営業</t>
        </is>
      </c>
      <c r="L3939" t="inlineStr">
        <is>
          <t>9:10:10</t>
        </is>
      </c>
      <c r="M3939" t="inlineStr">
        <is>
          <t>9:11:15</t>
        </is>
      </c>
    </row>
    <row r="3940" ht="15" customHeight="1" s="37">
      <c r="A3940" t="n">
        <v>5</v>
      </c>
      <c r="B3940" s="10" t="inlineStr">
        <is>
          <t>休日</t>
        </is>
      </c>
      <c r="C3940" s="10" t="inlineStr">
        <is>
          <t>本線</t>
        </is>
      </c>
      <c r="D3940" s="10" t="inlineStr">
        <is>
          <t>上り</t>
        </is>
      </c>
      <c r="E3940" t="inlineStr">
        <is>
          <t>0902</t>
        </is>
      </c>
      <c r="F3940" t="inlineStr">
        <is>
          <t>0211</t>
        </is>
      </c>
      <c r="G3940" s="10" t="inlineStr">
        <is>
          <t>太秦広隆寺</t>
        </is>
      </c>
      <c r="H3940" s="10" t="inlineStr">
        <is>
          <t>発</t>
        </is>
      </c>
      <c r="J3940" s="10" t="inlineStr">
        <is>
          <t>営業</t>
        </is>
      </c>
      <c r="L3940" t="inlineStr">
        <is>
          <t>9:13:25</t>
        </is>
      </c>
      <c r="M3940" t="inlineStr">
        <is>
          <t>9:13:45</t>
        </is>
      </c>
    </row>
    <row r="3941" ht="15" customHeight="1" s="37">
      <c r="A3941" t="n">
        <v>5</v>
      </c>
      <c r="B3941" s="10" t="inlineStr">
        <is>
          <t>休日</t>
        </is>
      </c>
      <c r="C3941" s="10" t="inlineStr">
        <is>
          <t>本線</t>
        </is>
      </c>
      <c r="D3941" s="10" t="inlineStr">
        <is>
          <t>上り</t>
        </is>
      </c>
      <c r="E3941" t="inlineStr">
        <is>
          <t>0902</t>
        </is>
      </c>
      <c r="F3941" t="inlineStr">
        <is>
          <t>0211</t>
        </is>
      </c>
      <c r="G3941" s="10" t="inlineStr">
        <is>
          <t>蚕ノ社</t>
        </is>
      </c>
      <c r="H3941" s="10" t="inlineStr">
        <is>
          <t>発</t>
        </is>
      </c>
      <c r="J3941" s="10" t="inlineStr">
        <is>
          <t>営業</t>
        </is>
      </c>
      <c r="L3941" t="inlineStr">
        <is>
          <t>9:15:00</t>
        </is>
      </c>
      <c r="M3941" t="inlineStr">
        <is>
          <t>9:15:20</t>
        </is>
      </c>
    </row>
    <row r="3942" ht="15" customHeight="1" s="37">
      <c r="A3942" t="n">
        <v>5</v>
      </c>
      <c r="B3942" s="10" t="inlineStr">
        <is>
          <t>休日</t>
        </is>
      </c>
      <c r="C3942" s="10" t="inlineStr">
        <is>
          <t>本線</t>
        </is>
      </c>
      <c r="D3942" s="10" t="inlineStr">
        <is>
          <t>上り</t>
        </is>
      </c>
      <c r="E3942" t="inlineStr">
        <is>
          <t>0902</t>
        </is>
      </c>
      <c r="F3942" t="inlineStr">
        <is>
          <t>0211</t>
        </is>
      </c>
      <c r="G3942" s="10" t="inlineStr">
        <is>
          <t>天神川</t>
        </is>
      </c>
      <c r="H3942" s="10" t="inlineStr">
        <is>
          <t>発</t>
        </is>
      </c>
      <c r="J3942" s="10" t="inlineStr">
        <is>
          <t>営業</t>
        </is>
      </c>
      <c r="L3942" t="inlineStr">
        <is>
          <t>9:16:05</t>
        </is>
      </c>
      <c r="M3942" t="inlineStr">
        <is>
          <t>9:16:50</t>
        </is>
      </c>
    </row>
    <row r="3943" ht="15" customHeight="1" s="37">
      <c r="A3943" t="n">
        <v>5</v>
      </c>
      <c r="B3943" s="10" t="inlineStr">
        <is>
          <t>休日</t>
        </is>
      </c>
      <c r="C3943" s="10" t="inlineStr">
        <is>
          <t>本線</t>
        </is>
      </c>
      <c r="D3943" s="10" t="inlineStr">
        <is>
          <t>上り</t>
        </is>
      </c>
      <c r="E3943" t="inlineStr">
        <is>
          <t>0902</t>
        </is>
      </c>
      <c r="F3943" t="inlineStr">
        <is>
          <t>0211</t>
        </is>
      </c>
      <c r="G3943" s="10" t="inlineStr">
        <is>
          <t>山ノ内</t>
        </is>
      </c>
      <c r="H3943" s="10" t="inlineStr">
        <is>
          <t>発</t>
        </is>
      </c>
      <c r="J3943" s="10" t="inlineStr">
        <is>
          <t>営業</t>
        </is>
      </c>
      <c r="L3943" t="inlineStr">
        <is>
          <t>9:18:40</t>
        </is>
      </c>
      <c r="M3943" t="inlineStr">
        <is>
          <t>9:19:05</t>
        </is>
      </c>
    </row>
    <row r="3944" ht="15" customHeight="1" s="37">
      <c r="A3944" t="n">
        <v>5</v>
      </c>
      <c r="B3944" s="10" t="inlineStr">
        <is>
          <t>休日</t>
        </is>
      </c>
      <c r="C3944" s="10" t="inlineStr">
        <is>
          <t>本線</t>
        </is>
      </c>
      <c r="D3944" s="10" t="inlineStr">
        <is>
          <t>上り</t>
        </is>
      </c>
      <c r="E3944" t="inlineStr">
        <is>
          <t>0902</t>
        </is>
      </c>
      <c r="F3944" t="inlineStr">
        <is>
          <t>0211</t>
        </is>
      </c>
      <c r="G3944" s="10" t="inlineStr">
        <is>
          <t>西大路三条</t>
        </is>
      </c>
      <c r="H3944" s="10" t="inlineStr">
        <is>
          <t>発</t>
        </is>
      </c>
      <c r="J3944" s="10" t="inlineStr">
        <is>
          <t>営業</t>
        </is>
      </c>
      <c r="L3944" t="inlineStr">
        <is>
          <t>9:20:55</t>
        </is>
      </c>
      <c r="M3944" t="inlineStr">
        <is>
          <t>9:21:15</t>
        </is>
      </c>
    </row>
    <row r="3945" ht="15" customHeight="1" s="37">
      <c r="A3945" t="n">
        <v>5</v>
      </c>
      <c r="B3945" s="10" t="inlineStr">
        <is>
          <t>休日</t>
        </is>
      </c>
      <c r="C3945" s="10" t="inlineStr">
        <is>
          <t>本線</t>
        </is>
      </c>
      <c r="D3945" s="10" t="inlineStr">
        <is>
          <t>上り</t>
        </is>
      </c>
      <c r="E3945" t="inlineStr">
        <is>
          <t>0902</t>
        </is>
      </c>
      <c r="F3945" t="inlineStr">
        <is>
          <t>0211</t>
        </is>
      </c>
      <c r="G3945" s="10" t="inlineStr">
        <is>
          <t>西院</t>
        </is>
      </c>
      <c r="H3945" s="10" t="inlineStr">
        <is>
          <t>発</t>
        </is>
      </c>
      <c r="J3945" s="10" t="inlineStr">
        <is>
          <t>営業</t>
        </is>
      </c>
      <c r="L3945" t="inlineStr">
        <is>
          <t>9:23:10</t>
        </is>
      </c>
      <c r="M3945" t="inlineStr">
        <is>
          <t>9:24:05</t>
        </is>
      </c>
    </row>
    <row r="3946" ht="15" customHeight="1" s="37">
      <c r="A3946" t="n">
        <v>5</v>
      </c>
      <c r="B3946" s="10" t="inlineStr">
        <is>
          <t>休日</t>
        </is>
      </c>
      <c r="C3946" s="10" t="inlineStr">
        <is>
          <t>本線</t>
        </is>
      </c>
      <c r="D3946" s="10" t="inlineStr">
        <is>
          <t>上り</t>
        </is>
      </c>
      <c r="E3946" t="inlineStr">
        <is>
          <t>0902</t>
        </is>
      </c>
      <c r="F3946" t="inlineStr">
        <is>
          <t>0211</t>
        </is>
      </c>
      <c r="G3946" s="10" t="inlineStr">
        <is>
          <t>四条大宮</t>
        </is>
      </c>
      <c r="H3946" s="10" t="inlineStr">
        <is>
          <t>着</t>
        </is>
      </c>
      <c r="J3946" s="10" t="inlineStr">
        <is>
          <t>営業</t>
        </is>
      </c>
      <c r="L3946" t="inlineStr">
        <is>
          <t>9:27:00</t>
        </is>
      </c>
      <c r="Q3946" t="inlineStr">
        <is>
          <t>1</t>
        </is>
      </c>
    </row>
    <row r="3947" ht="15" customHeight="1" s="37">
      <c r="A3947" t="n">
        <v>5</v>
      </c>
      <c r="B3947" s="10" t="inlineStr">
        <is>
          <t>休日</t>
        </is>
      </c>
      <c r="C3947" s="10" t="inlineStr">
        <is>
          <t>本線</t>
        </is>
      </c>
      <c r="D3947" s="10" t="inlineStr">
        <is>
          <t>下り</t>
        </is>
      </c>
      <c r="E3947" t="inlineStr">
        <is>
          <t>0907</t>
        </is>
      </c>
      <c r="F3947" t="inlineStr">
        <is>
          <t>0112</t>
        </is>
      </c>
      <c r="G3947" s="10" t="inlineStr">
        <is>
          <t>四条大宮</t>
        </is>
      </c>
      <c r="H3947" s="10" t="inlineStr">
        <is>
          <t>発</t>
        </is>
      </c>
      <c r="J3947" s="10" t="inlineStr">
        <is>
          <t>営業</t>
        </is>
      </c>
      <c r="M3947" t="inlineStr">
        <is>
          <t>9:33:00</t>
        </is>
      </c>
      <c r="Q3947" t="inlineStr">
        <is>
          <t>1</t>
        </is>
      </c>
    </row>
    <row r="3948" ht="15" customHeight="1" s="37">
      <c r="A3948" t="n">
        <v>5</v>
      </c>
      <c r="B3948" s="10" t="inlineStr">
        <is>
          <t>休日</t>
        </is>
      </c>
      <c r="C3948" s="10" t="inlineStr">
        <is>
          <t>本線</t>
        </is>
      </c>
      <c r="D3948" s="10" t="inlineStr">
        <is>
          <t>下り</t>
        </is>
      </c>
      <c r="E3948" t="inlineStr">
        <is>
          <t>0907</t>
        </is>
      </c>
      <c r="F3948" t="inlineStr">
        <is>
          <t>0112</t>
        </is>
      </c>
      <c r="G3948" s="10" t="inlineStr">
        <is>
          <t>西院</t>
        </is>
      </c>
      <c r="H3948" s="10" t="inlineStr">
        <is>
          <t>発</t>
        </is>
      </c>
      <c r="J3948" s="10" t="inlineStr">
        <is>
          <t>営業</t>
        </is>
      </c>
      <c r="L3948" t="inlineStr">
        <is>
          <t>9:35:50</t>
        </is>
      </c>
      <c r="M3948" t="inlineStr">
        <is>
          <t>9:36:20</t>
        </is>
      </c>
    </row>
    <row r="3949" ht="15" customHeight="1" s="37">
      <c r="A3949" t="n">
        <v>5</v>
      </c>
      <c r="B3949" s="10" t="inlineStr">
        <is>
          <t>休日</t>
        </is>
      </c>
      <c r="C3949" s="10" t="inlineStr">
        <is>
          <t>本線</t>
        </is>
      </c>
      <c r="D3949" s="10" t="inlineStr">
        <is>
          <t>下り</t>
        </is>
      </c>
      <c r="E3949" t="inlineStr">
        <is>
          <t>0907</t>
        </is>
      </c>
      <c r="F3949" t="inlineStr">
        <is>
          <t>0112</t>
        </is>
      </c>
      <c r="G3949" s="10" t="inlineStr">
        <is>
          <t>西大路三条</t>
        </is>
      </c>
      <c r="H3949" s="10" t="inlineStr">
        <is>
          <t>発</t>
        </is>
      </c>
      <c r="J3949" s="10" t="inlineStr">
        <is>
          <t>営業</t>
        </is>
      </c>
      <c r="L3949" t="inlineStr">
        <is>
          <t>9:38:10</t>
        </is>
      </c>
      <c r="M3949" t="inlineStr">
        <is>
          <t>9:38:30</t>
        </is>
      </c>
    </row>
    <row r="3950" ht="15" customHeight="1" s="37">
      <c r="A3950" t="n">
        <v>5</v>
      </c>
      <c r="B3950" s="10" t="inlineStr">
        <is>
          <t>休日</t>
        </is>
      </c>
      <c r="C3950" s="10" t="inlineStr">
        <is>
          <t>本線</t>
        </is>
      </c>
      <c r="D3950" s="10" t="inlineStr">
        <is>
          <t>下り</t>
        </is>
      </c>
      <c r="E3950" t="inlineStr">
        <is>
          <t>0907</t>
        </is>
      </c>
      <c r="F3950" t="inlineStr">
        <is>
          <t>0112</t>
        </is>
      </c>
      <c r="G3950" s="10" t="inlineStr">
        <is>
          <t>山ノ内</t>
        </is>
      </c>
      <c r="H3950" s="10" t="inlineStr">
        <is>
          <t>発</t>
        </is>
      </c>
      <c r="J3950" s="10" t="inlineStr">
        <is>
          <t>営業</t>
        </is>
      </c>
      <c r="L3950" t="inlineStr">
        <is>
          <t>9:40:25</t>
        </is>
      </c>
      <c r="M3950" t="inlineStr">
        <is>
          <t>9:40:50</t>
        </is>
      </c>
    </row>
    <row r="3951" ht="15" customHeight="1" s="37">
      <c r="A3951" t="n">
        <v>5</v>
      </c>
      <c r="B3951" s="10" t="inlineStr">
        <is>
          <t>休日</t>
        </is>
      </c>
      <c r="C3951" s="10" t="inlineStr">
        <is>
          <t>本線</t>
        </is>
      </c>
      <c r="D3951" s="10" t="inlineStr">
        <is>
          <t>下り</t>
        </is>
      </c>
      <c r="E3951" t="inlineStr">
        <is>
          <t>0907</t>
        </is>
      </c>
      <c r="F3951" t="inlineStr">
        <is>
          <t>0112</t>
        </is>
      </c>
      <c r="G3951" s="10" t="inlineStr">
        <is>
          <t>天神川</t>
        </is>
      </c>
      <c r="H3951" s="10" t="inlineStr">
        <is>
          <t>発</t>
        </is>
      </c>
      <c r="J3951" s="10" t="inlineStr">
        <is>
          <t>営業</t>
        </is>
      </c>
      <c r="L3951" t="inlineStr">
        <is>
          <t>9:42:50</t>
        </is>
      </c>
      <c r="M3951" t="inlineStr">
        <is>
          <t>9:43:30</t>
        </is>
      </c>
    </row>
    <row r="3952" ht="15" customHeight="1" s="37">
      <c r="A3952" t="n">
        <v>5</v>
      </c>
      <c r="B3952" s="10" t="inlineStr">
        <is>
          <t>休日</t>
        </is>
      </c>
      <c r="C3952" s="10" t="inlineStr">
        <is>
          <t>本線</t>
        </is>
      </c>
      <c r="D3952" s="10" t="inlineStr">
        <is>
          <t>下り</t>
        </is>
      </c>
      <c r="E3952" t="inlineStr">
        <is>
          <t>0907</t>
        </is>
      </c>
      <c r="F3952" t="inlineStr">
        <is>
          <t>0112</t>
        </is>
      </c>
      <c r="G3952" s="10" t="inlineStr">
        <is>
          <t>蚕ノ社</t>
        </is>
      </c>
      <c r="H3952" s="10" t="inlineStr">
        <is>
          <t>発</t>
        </is>
      </c>
      <c r="J3952" s="10" t="inlineStr">
        <is>
          <t>営業</t>
        </is>
      </c>
      <c r="L3952" t="inlineStr">
        <is>
          <t>9:44:20</t>
        </is>
      </c>
      <c r="M3952" t="inlineStr">
        <is>
          <t>9:44:40</t>
        </is>
      </c>
    </row>
    <row r="3953" ht="15" customHeight="1" s="37">
      <c r="A3953" t="n">
        <v>5</v>
      </c>
      <c r="B3953" s="10" t="inlineStr">
        <is>
          <t>休日</t>
        </is>
      </c>
      <c r="C3953" s="10" t="inlineStr">
        <is>
          <t>本線</t>
        </is>
      </c>
      <c r="D3953" s="10" t="inlineStr">
        <is>
          <t>下り</t>
        </is>
      </c>
      <c r="E3953" t="inlineStr">
        <is>
          <t>0907</t>
        </is>
      </c>
      <c r="F3953" t="inlineStr">
        <is>
          <t>0112</t>
        </is>
      </c>
      <c r="G3953" s="10" t="inlineStr">
        <is>
          <t>太秦広隆寺</t>
        </is>
      </c>
      <c r="H3953" s="10" t="inlineStr">
        <is>
          <t>発</t>
        </is>
      </c>
      <c r="J3953" s="10" t="inlineStr">
        <is>
          <t>営業</t>
        </is>
      </c>
      <c r="L3953" t="inlineStr">
        <is>
          <t>9:46:00</t>
        </is>
      </c>
      <c r="M3953" t="inlineStr">
        <is>
          <t>9:46:20</t>
        </is>
      </c>
    </row>
    <row r="3954" ht="15" customHeight="1" s="37">
      <c r="A3954" t="n">
        <v>5</v>
      </c>
      <c r="B3954" s="10" t="inlineStr">
        <is>
          <t>休日</t>
        </is>
      </c>
      <c r="C3954" s="10" t="inlineStr">
        <is>
          <t>本線</t>
        </is>
      </c>
      <c r="D3954" s="10" t="inlineStr">
        <is>
          <t>下り</t>
        </is>
      </c>
      <c r="E3954" t="inlineStr">
        <is>
          <t>0907</t>
        </is>
      </c>
      <c r="F3954" t="inlineStr">
        <is>
          <t>0112</t>
        </is>
      </c>
      <c r="G3954" s="10" t="inlineStr">
        <is>
          <t>帷子ノ辻</t>
        </is>
      </c>
      <c r="H3954" s="10" t="inlineStr">
        <is>
          <t>発</t>
        </is>
      </c>
      <c r="J3954" s="10" t="inlineStr">
        <is>
          <t>営業</t>
        </is>
      </c>
      <c r="L3954" t="inlineStr">
        <is>
          <t>9:48:20</t>
        </is>
      </c>
      <c r="M3954" t="inlineStr">
        <is>
          <t>9:49:40</t>
        </is>
      </c>
    </row>
    <row r="3955" ht="15" customHeight="1" s="37">
      <c r="A3955" t="n">
        <v>5</v>
      </c>
      <c r="B3955" s="10" t="inlineStr">
        <is>
          <t>休日</t>
        </is>
      </c>
      <c r="C3955" s="10" t="inlineStr">
        <is>
          <t>本線</t>
        </is>
      </c>
      <c r="D3955" s="10" t="inlineStr">
        <is>
          <t>下り</t>
        </is>
      </c>
      <c r="E3955" t="inlineStr">
        <is>
          <t>0907</t>
        </is>
      </c>
      <c r="F3955" t="inlineStr">
        <is>
          <t>0112</t>
        </is>
      </c>
      <c r="G3955" s="10" t="inlineStr">
        <is>
          <t>有栖川</t>
        </is>
      </c>
      <c r="H3955" s="10" t="inlineStr">
        <is>
          <t>発</t>
        </is>
      </c>
      <c r="J3955" s="10" t="inlineStr">
        <is>
          <t>営業</t>
        </is>
      </c>
      <c r="L3955" t="inlineStr">
        <is>
          <t>9:50:50</t>
        </is>
      </c>
      <c r="M3955" t="inlineStr">
        <is>
          <t>9:51:15</t>
        </is>
      </c>
    </row>
    <row r="3956" ht="15" customHeight="1" s="37">
      <c r="A3956" t="n">
        <v>5</v>
      </c>
      <c r="B3956" s="10" t="inlineStr">
        <is>
          <t>休日</t>
        </is>
      </c>
      <c r="C3956" s="10" t="inlineStr">
        <is>
          <t>本線</t>
        </is>
      </c>
      <c r="D3956" s="10" t="inlineStr">
        <is>
          <t>下り</t>
        </is>
      </c>
      <c r="E3956" t="inlineStr">
        <is>
          <t>0907</t>
        </is>
      </c>
      <c r="F3956" t="inlineStr">
        <is>
          <t>0112</t>
        </is>
      </c>
      <c r="G3956" s="10" t="inlineStr">
        <is>
          <t>車折</t>
        </is>
      </c>
      <c r="H3956" s="10" t="inlineStr">
        <is>
          <t>発</t>
        </is>
      </c>
      <c r="J3956" s="10" t="inlineStr">
        <is>
          <t>営業</t>
        </is>
      </c>
      <c r="L3956" t="inlineStr">
        <is>
          <t>9:52:40</t>
        </is>
      </c>
      <c r="M3956" t="inlineStr">
        <is>
          <t>9:53:05</t>
        </is>
      </c>
    </row>
    <row r="3957" ht="15" customHeight="1" s="37">
      <c r="A3957" t="n">
        <v>5</v>
      </c>
      <c r="B3957" s="10" t="inlineStr">
        <is>
          <t>休日</t>
        </is>
      </c>
      <c r="C3957" s="10" t="inlineStr">
        <is>
          <t>本線</t>
        </is>
      </c>
      <c r="D3957" s="10" t="inlineStr">
        <is>
          <t>下り</t>
        </is>
      </c>
      <c r="E3957" t="inlineStr">
        <is>
          <t>0907</t>
        </is>
      </c>
      <c r="F3957" t="inlineStr">
        <is>
          <t>0112</t>
        </is>
      </c>
      <c r="G3957" s="10" t="inlineStr">
        <is>
          <t>鹿王院</t>
        </is>
      </c>
      <c r="H3957" s="10" t="inlineStr">
        <is>
          <t>発</t>
        </is>
      </c>
      <c r="J3957" s="10" t="inlineStr">
        <is>
          <t>営業</t>
        </is>
      </c>
      <c r="L3957" t="inlineStr">
        <is>
          <t>9:54:00</t>
        </is>
      </c>
      <c r="M3957" t="inlineStr">
        <is>
          <t>9:54:25</t>
        </is>
      </c>
    </row>
    <row r="3958" ht="15" customHeight="1" s="37">
      <c r="A3958" t="n">
        <v>5</v>
      </c>
      <c r="B3958" s="10" t="inlineStr">
        <is>
          <t>休日</t>
        </is>
      </c>
      <c r="C3958" s="10" t="inlineStr">
        <is>
          <t>本線</t>
        </is>
      </c>
      <c r="D3958" s="10" t="inlineStr">
        <is>
          <t>下り</t>
        </is>
      </c>
      <c r="E3958" t="inlineStr">
        <is>
          <t>0907</t>
        </is>
      </c>
      <c r="F3958" t="inlineStr">
        <is>
          <t>0112</t>
        </is>
      </c>
      <c r="G3958" s="10" t="inlineStr">
        <is>
          <t>嵯峨</t>
        </is>
      </c>
      <c r="H3958" s="10" t="inlineStr">
        <is>
          <t>発</t>
        </is>
      </c>
      <c r="J3958" s="10" t="inlineStr">
        <is>
          <t>営業</t>
        </is>
      </c>
      <c r="L3958" t="inlineStr">
        <is>
          <t>9:55:30</t>
        </is>
      </c>
      <c r="M3958" t="inlineStr">
        <is>
          <t>9:55:55</t>
        </is>
      </c>
    </row>
    <row r="3959" ht="15" customHeight="1" s="37">
      <c r="A3959" t="n">
        <v>5</v>
      </c>
      <c r="B3959" s="10" t="inlineStr">
        <is>
          <t>休日</t>
        </is>
      </c>
      <c r="C3959" s="10" t="inlineStr">
        <is>
          <t>本線</t>
        </is>
      </c>
      <c r="D3959" s="10" t="inlineStr">
        <is>
          <t>下り</t>
        </is>
      </c>
      <c r="E3959" t="inlineStr">
        <is>
          <t>0907</t>
        </is>
      </c>
      <c r="F3959" t="inlineStr">
        <is>
          <t>0112</t>
        </is>
      </c>
      <c r="G3959" s="10" t="inlineStr">
        <is>
          <t>嵐山</t>
        </is>
      </c>
      <c r="H3959" s="10" t="inlineStr">
        <is>
          <t>着</t>
        </is>
      </c>
      <c r="J3959" s="10" t="inlineStr">
        <is>
          <t>営業</t>
        </is>
      </c>
      <c r="L3959" t="inlineStr">
        <is>
          <t>9:57:00</t>
        </is>
      </c>
      <c r="Q3959" t="inlineStr">
        <is>
          <t>1</t>
        </is>
      </c>
    </row>
    <row r="3960" ht="15" customHeight="1" s="37">
      <c r="A3960" t="n">
        <v>5</v>
      </c>
      <c r="B3960" s="10" t="inlineStr">
        <is>
          <t>休日</t>
        </is>
      </c>
      <c r="C3960" s="10" t="inlineStr">
        <is>
          <t>本線</t>
        </is>
      </c>
      <c r="D3960" s="10" t="inlineStr">
        <is>
          <t>上り</t>
        </is>
      </c>
      <c r="E3960" t="inlineStr">
        <is>
          <t>1002</t>
        </is>
      </c>
      <c r="F3960" t="inlineStr">
        <is>
          <t>0211</t>
        </is>
      </c>
      <c r="G3960" s="10" t="inlineStr">
        <is>
          <t>嵐山</t>
        </is>
      </c>
      <c r="H3960" s="10" t="inlineStr">
        <is>
          <t>発</t>
        </is>
      </c>
      <c r="J3960" s="10" t="inlineStr">
        <is>
          <t>営業</t>
        </is>
      </c>
      <c r="M3960" t="inlineStr">
        <is>
          <t>10:03:00</t>
        </is>
      </c>
      <c r="Q3960" t="inlineStr">
        <is>
          <t>1</t>
        </is>
      </c>
    </row>
    <row r="3961" ht="15" customHeight="1" s="37">
      <c r="A3961" t="n">
        <v>5</v>
      </c>
      <c r="B3961" s="10" t="inlineStr">
        <is>
          <t>休日</t>
        </is>
      </c>
      <c r="C3961" s="10" t="inlineStr">
        <is>
          <t>本線</t>
        </is>
      </c>
      <c r="D3961" s="10" t="inlineStr">
        <is>
          <t>上り</t>
        </is>
      </c>
      <c r="E3961" t="inlineStr">
        <is>
          <t>1002</t>
        </is>
      </c>
      <c r="F3961" t="inlineStr">
        <is>
          <t>0211</t>
        </is>
      </c>
      <c r="G3961" s="10" t="inlineStr">
        <is>
          <t>嵯峨</t>
        </is>
      </c>
      <c r="H3961" s="10" t="inlineStr">
        <is>
          <t>発</t>
        </is>
      </c>
      <c r="J3961" s="10" t="inlineStr">
        <is>
          <t>営業</t>
        </is>
      </c>
      <c r="L3961" t="inlineStr">
        <is>
          <t>10:03:55</t>
        </is>
      </c>
      <c r="M3961" t="inlineStr">
        <is>
          <t>10:04:20</t>
        </is>
      </c>
    </row>
    <row r="3962" ht="15" customHeight="1" s="37">
      <c r="A3962" t="n">
        <v>5</v>
      </c>
      <c r="B3962" s="10" t="inlineStr">
        <is>
          <t>休日</t>
        </is>
      </c>
      <c r="C3962" s="10" t="inlineStr">
        <is>
          <t>本線</t>
        </is>
      </c>
      <c r="D3962" s="10" t="inlineStr">
        <is>
          <t>上り</t>
        </is>
      </c>
      <c r="E3962" t="inlineStr">
        <is>
          <t>1002</t>
        </is>
      </c>
      <c r="F3962" t="inlineStr">
        <is>
          <t>0211</t>
        </is>
      </c>
      <c r="G3962" s="10" t="inlineStr">
        <is>
          <t>鹿王院</t>
        </is>
      </c>
      <c r="H3962" s="10" t="inlineStr">
        <is>
          <t>発</t>
        </is>
      </c>
      <c r="J3962" s="10" t="inlineStr">
        <is>
          <t>営業</t>
        </is>
      </c>
      <c r="L3962" t="inlineStr">
        <is>
          <t>10:05:25</t>
        </is>
      </c>
      <c r="M3962" t="inlineStr">
        <is>
          <t>10:05:45</t>
        </is>
      </c>
    </row>
    <row r="3963" ht="15" customHeight="1" s="37">
      <c r="A3963" t="n">
        <v>5</v>
      </c>
      <c r="B3963" s="10" t="inlineStr">
        <is>
          <t>休日</t>
        </is>
      </c>
      <c r="C3963" s="10" t="inlineStr">
        <is>
          <t>本線</t>
        </is>
      </c>
      <c r="D3963" s="10" t="inlineStr">
        <is>
          <t>上り</t>
        </is>
      </c>
      <c r="E3963" t="inlineStr">
        <is>
          <t>1002</t>
        </is>
      </c>
      <c r="F3963" t="inlineStr">
        <is>
          <t>0211</t>
        </is>
      </c>
      <c r="G3963" s="10" t="inlineStr">
        <is>
          <t>車折</t>
        </is>
      </c>
      <c r="H3963" s="10" t="inlineStr">
        <is>
          <t>発</t>
        </is>
      </c>
      <c r="J3963" s="10" t="inlineStr">
        <is>
          <t>営業</t>
        </is>
      </c>
      <c r="L3963" t="inlineStr">
        <is>
          <t>10:06:40</t>
        </is>
      </c>
      <c r="M3963" t="inlineStr">
        <is>
          <t>10:07:10</t>
        </is>
      </c>
    </row>
    <row r="3964" ht="15" customHeight="1" s="37">
      <c r="A3964" t="n">
        <v>5</v>
      </c>
      <c r="B3964" s="10" t="inlineStr">
        <is>
          <t>休日</t>
        </is>
      </c>
      <c r="C3964" s="10" t="inlineStr">
        <is>
          <t>本線</t>
        </is>
      </c>
      <c r="D3964" s="10" t="inlineStr">
        <is>
          <t>上り</t>
        </is>
      </c>
      <c r="E3964" t="inlineStr">
        <is>
          <t>1002</t>
        </is>
      </c>
      <c r="F3964" t="inlineStr">
        <is>
          <t>0211</t>
        </is>
      </c>
      <c r="G3964" s="10" t="inlineStr">
        <is>
          <t>有栖川</t>
        </is>
      </c>
      <c r="H3964" s="10" t="inlineStr">
        <is>
          <t>発</t>
        </is>
      </c>
      <c r="J3964" s="10" t="inlineStr">
        <is>
          <t>営業</t>
        </is>
      </c>
      <c r="L3964" t="inlineStr">
        <is>
          <t>10:08:35</t>
        </is>
      </c>
      <c r="M3964" t="inlineStr">
        <is>
          <t>10:08:55</t>
        </is>
      </c>
    </row>
    <row r="3965" ht="15" customHeight="1" s="37">
      <c r="A3965" t="n">
        <v>5</v>
      </c>
      <c r="B3965" s="10" t="inlineStr">
        <is>
          <t>休日</t>
        </is>
      </c>
      <c r="C3965" s="10" t="inlineStr">
        <is>
          <t>本線</t>
        </is>
      </c>
      <c r="D3965" s="10" t="inlineStr">
        <is>
          <t>上り</t>
        </is>
      </c>
      <c r="E3965" t="inlineStr">
        <is>
          <t>1002</t>
        </is>
      </c>
      <c r="F3965" t="inlineStr">
        <is>
          <t>0211</t>
        </is>
      </c>
      <c r="G3965" s="10" t="inlineStr">
        <is>
          <t>帷子ノ辻</t>
        </is>
      </c>
      <c r="H3965" s="10" t="inlineStr">
        <is>
          <t>発</t>
        </is>
      </c>
      <c r="J3965" s="10" t="inlineStr">
        <is>
          <t>営業</t>
        </is>
      </c>
      <c r="L3965" t="inlineStr">
        <is>
          <t>10:10:10</t>
        </is>
      </c>
      <c r="M3965" t="inlineStr">
        <is>
          <t>10:11:15</t>
        </is>
      </c>
    </row>
    <row r="3966" ht="15" customHeight="1" s="37">
      <c r="A3966" t="n">
        <v>5</v>
      </c>
      <c r="B3966" s="10" t="inlineStr">
        <is>
          <t>休日</t>
        </is>
      </c>
      <c r="C3966" s="10" t="inlineStr">
        <is>
          <t>本線</t>
        </is>
      </c>
      <c r="D3966" s="10" t="inlineStr">
        <is>
          <t>上り</t>
        </is>
      </c>
      <c r="E3966" t="inlineStr">
        <is>
          <t>1002</t>
        </is>
      </c>
      <c r="F3966" t="inlineStr">
        <is>
          <t>0211</t>
        </is>
      </c>
      <c r="G3966" s="10" t="inlineStr">
        <is>
          <t>太秦広隆寺</t>
        </is>
      </c>
      <c r="H3966" s="10" t="inlineStr">
        <is>
          <t>発</t>
        </is>
      </c>
      <c r="J3966" s="10" t="inlineStr">
        <is>
          <t>営業</t>
        </is>
      </c>
      <c r="L3966" t="inlineStr">
        <is>
          <t>10:13:25</t>
        </is>
      </c>
      <c r="M3966" t="inlineStr">
        <is>
          <t>10:13:45</t>
        </is>
      </c>
    </row>
    <row r="3967" ht="15" customHeight="1" s="37">
      <c r="A3967" t="n">
        <v>5</v>
      </c>
      <c r="B3967" s="10" t="inlineStr">
        <is>
          <t>休日</t>
        </is>
      </c>
      <c r="C3967" s="10" t="inlineStr">
        <is>
          <t>本線</t>
        </is>
      </c>
      <c r="D3967" s="10" t="inlineStr">
        <is>
          <t>上り</t>
        </is>
      </c>
      <c r="E3967" t="inlineStr">
        <is>
          <t>1002</t>
        </is>
      </c>
      <c r="F3967" t="inlineStr">
        <is>
          <t>0211</t>
        </is>
      </c>
      <c r="G3967" s="10" t="inlineStr">
        <is>
          <t>蚕ノ社</t>
        </is>
      </c>
      <c r="H3967" s="10" t="inlineStr">
        <is>
          <t>発</t>
        </is>
      </c>
      <c r="J3967" s="10" t="inlineStr">
        <is>
          <t>営業</t>
        </is>
      </c>
      <c r="L3967" t="inlineStr">
        <is>
          <t>10:15:00</t>
        </is>
      </c>
      <c r="M3967" t="inlineStr">
        <is>
          <t>10:15:20</t>
        </is>
      </c>
    </row>
    <row r="3968" ht="15" customHeight="1" s="37">
      <c r="A3968" t="n">
        <v>5</v>
      </c>
      <c r="B3968" s="10" t="inlineStr">
        <is>
          <t>休日</t>
        </is>
      </c>
      <c r="C3968" s="10" t="inlineStr">
        <is>
          <t>本線</t>
        </is>
      </c>
      <c r="D3968" s="10" t="inlineStr">
        <is>
          <t>上り</t>
        </is>
      </c>
      <c r="E3968" t="inlineStr">
        <is>
          <t>1002</t>
        </is>
      </c>
      <c r="F3968" t="inlineStr">
        <is>
          <t>0211</t>
        </is>
      </c>
      <c r="G3968" s="10" t="inlineStr">
        <is>
          <t>天神川</t>
        </is>
      </c>
      <c r="H3968" s="10" t="inlineStr">
        <is>
          <t>発</t>
        </is>
      </c>
      <c r="J3968" s="10" t="inlineStr">
        <is>
          <t>営業</t>
        </is>
      </c>
      <c r="L3968" t="inlineStr">
        <is>
          <t>10:16:05</t>
        </is>
      </c>
      <c r="M3968" t="inlineStr">
        <is>
          <t>10:16:50</t>
        </is>
      </c>
    </row>
    <row r="3969" ht="15" customHeight="1" s="37">
      <c r="A3969" t="n">
        <v>5</v>
      </c>
      <c r="B3969" s="10" t="inlineStr">
        <is>
          <t>休日</t>
        </is>
      </c>
      <c r="C3969" s="10" t="inlineStr">
        <is>
          <t>本線</t>
        </is>
      </c>
      <c r="D3969" s="10" t="inlineStr">
        <is>
          <t>上り</t>
        </is>
      </c>
      <c r="E3969" t="inlineStr">
        <is>
          <t>1002</t>
        </is>
      </c>
      <c r="F3969" t="inlineStr">
        <is>
          <t>0211</t>
        </is>
      </c>
      <c r="G3969" s="10" t="inlineStr">
        <is>
          <t>山ノ内</t>
        </is>
      </c>
      <c r="H3969" s="10" t="inlineStr">
        <is>
          <t>発</t>
        </is>
      </c>
      <c r="J3969" s="10" t="inlineStr">
        <is>
          <t>営業</t>
        </is>
      </c>
      <c r="L3969" t="inlineStr">
        <is>
          <t>10:18:40</t>
        </is>
      </c>
      <c r="M3969" t="inlineStr">
        <is>
          <t>10:19:05</t>
        </is>
      </c>
    </row>
    <row r="3970" ht="15" customHeight="1" s="37">
      <c r="A3970" t="n">
        <v>5</v>
      </c>
      <c r="B3970" s="10" t="inlineStr">
        <is>
          <t>休日</t>
        </is>
      </c>
      <c r="C3970" s="10" t="inlineStr">
        <is>
          <t>本線</t>
        </is>
      </c>
      <c r="D3970" s="10" t="inlineStr">
        <is>
          <t>上り</t>
        </is>
      </c>
      <c r="E3970" t="inlineStr">
        <is>
          <t>1002</t>
        </is>
      </c>
      <c r="F3970" t="inlineStr">
        <is>
          <t>0211</t>
        </is>
      </c>
      <c r="G3970" s="10" t="inlineStr">
        <is>
          <t>西大路三条</t>
        </is>
      </c>
      <c r="H3970" s="10" t="inlineStr">
        <is>
          <t>発</t>
        </is>
      </c>
      <c r="J3970" s="10" t="inlineStr">
        <is>
          <t>営業</t>
        </is>
      </c>
      <c r="L3970" t="inlineStr">
        <is>
          <t>10:20:55</t>
        </is>
      </c>
      <c r="M3970" t="inlineStr">
        <is>
          <t>10:21:15</t>
        </is>
      </c>
    </row>
    <row r="3971" ht="15" customHeight="1" s="37">
      <c r="A3971" t="n">
        <v>5</v>
      </c>
      <c r="B3971" s="10" t="inlineStr">
        <is>
          <t>休日</t>
        </is>
      </c>
      <c r="C3971" s="10" t="inlineStr">
        <is>
          <t>本線</t>
        </is>
      </c>
      <c r="D3971" s="10" t="inlineStr">
        <is>
          <t>上り</t>
        </is>
      </c>
      <c r="E3971" t="inlineStr">
        <is>
          <t>1002</t>
        </is>
      </c>
      <c r="F3971" t="inlineStr">
        <is>
          <t>0211</t>
        </is>
      </c>
      <c r="G3971" s="10" t="inlineStr">
        <is>
          <t>西院</t>
        </is>
      </c>
      <c r="H3971" s="10" t="inlineStr">
        <is>
          <t>発</t>
        </is>
      </c>
      <c r="J3971" s="10" t="inlineStr">
        <is>
          <t>営業</t>
        </is>
      </c>
      <c r="L3971" t="inlineStr">
        <is>
          <t>10:23:10</t>
        </is>
      </c>
      <c r="M3971" t="inlineStr">
        <is>
          <t>10:24:05</t>
        </is>
      </c>
    </row>
    <row r="3972" ht="15" customHeight="1" s="37">
      <c r="A3972" t="n">
        <v>5</v>
      </c>
      <c r="B3972" s="10" t="inlineStr">
        <is>
          <t>休日</t>
        </is>
      </c>
      <c r="C3972" s="10" t="inlineStr">
        <is>
          <t>本線</t>
        </is>
      </c>
      <c r="D3972" s="10" t="inlineStr">
        <is>
          <t>上り</t>
        </is>
      </c>
      <c r="E3972" t="inlineStr">
        <is>
          <t>1002</t>
        </is>
      </c>
      <c r="F3972" t="inlineStr">
        <is>
          <t>0211</t>
        </is>
      </c>
      <c r="G3972" s="10" t="inlineStr">
        <is>
          <t>四条大宮</t>
        </is>
      </c>
      <c r="H3972" s="10" t="inlineStr">
        <is>
          <t>着</t>
        </is>
      </c>
      <c r="J3972" s="10" t="inlineStr">
        <is>
          <t>営業</t>
        </is>
      </c>
      <c r="L3972" t="inlineStr">
        <is>
          <t>10:27:00</t>
        </is>
      </c>
      <c r="Q3972" t="inlineStr">
        <is>
          <t>1</t>
        </is>
      </c>
    </row>
    <row r="3973" ht="15" customHeight="1" s="37">
      <c r="A3973" t="n">
        <v>5</v>
      </c>
      <c r="B3973" s="10" t="inlineStr">
        <is>
          <t>休日</t>
        </is>
      </c>
      <c r="C3973" s="10" t="inlineStr">
        <is>
          <t>本線</t>
        </is>
      </c>
      <c r="D3973" s="10" t="inlineStr">
        <is>
          <t>下り</t>
        </is>
      </c>
      <c r="E3973" t="inlineStr">
        <is>
          <t>1007</t>
        </is>
      </c>
      <c r="F3973" t="inlineStr">
        <is>
          <t>0112</t>
        </is>
      </c>
      <c r="G3973" s="10" t="inlineStr">
        <is>
          <t>四条大宮</t>
        </is>
      </c>
      <c r="H3973" s="10" t="inlineStr">
        <is>
          <t>発</t>
        </is>
      </c>
      <c r="J3973" s="10" t="inlineStr">
        <is>
          <t>営業</t>
        </is>
      </c>
      <c r="M3973" t="inlineStr">
        <is>
          <t>10:33:00</t>
        </is>
      </c>
      <c r="Q3973" t="inlineStr">
        <is>
          <t>1</t>
        </is>
      </c>
    </row>
    <row r="3974" ht="15" customHeight="1" s="37">
      <c r="A3974" t="n">
        <v>5</v>
      </c>
      <c r="B3974" s="10" t="inlineStr">
        <is>
          <t>休日</t>
        </is>
      </c>
      <c r="C3974" s="10" t="inlineStr">
        <is>
          <t>本線</t>
        </is>
      </c>
      <c r="D3974" s="10" t="inlineStr">
        <is>
          <t>下り</t>
        </is>
      </c>
      <c r="E3974" t="inlineStr">
        <is>
          <t>1007</t>
        </is>
      </c>
      <c r="F3974" t="inlineStr">
        <is>
          <t>0112</t>
        </is>
      </c>
      <c r="G3974" s="10" t="inlineStr">
        <is>
          <t>西院</t>
        </is>
      </c>
      <c r="H3974" s="10" t="inlineStr">
        <is>
          <t>発</t>
        </is>
      </c>
      <c r="J3974" s="10" t="inlineStr">
        <is>
          <t>営業</t>
        </is>
      </c>
      <c r="L3974" t="inlineStr">
        <is>
          <t>10:35:50</t>
        </is>
      </c>
      <c r="M3974" t="inlineStr">
        <is>
          <t>10:36:20</t>
        </is>
      </c>
    </row>
    <row r="3975" ht="15" customHeight="1" s="37">
      <c r="A3975" t="n">
        <v>5</v>
      </c>
      <c r="B3975" s="10" t="inlineStr">
        <is>
          <t>休日</t>
        </is>
      </c>
      <c r="C3975" s="10" t="inlineStr">
        <is>
          <t>本線</t>
        </is>
      </c>
      <c r="D3975" s="10" t="inlineStr">
        <is>
          <t>下り</t>
        </is>
      </c>
      <c r="E3975" t="inlineStr">
        <is>
          <t>1007</t>
        </is>
      </c>
      <c r="F3975" t="inlineStr">
        <is>
          <t>0112</t>
        </is>
      </c>
      <c r="G3975" s="10" t="inlineStr">
        <is>
          <t>西大路三条</t>
        </is>
      </c>
      <c r="H3975" s="10" t="inlineStr">
        <is>
          <t>発</t>
        </is>
      </c>
      <c r="J3975" s="10" t="inlineStr">
        <is>
          <t>営業</t>
        </is>
      </c>
      <c r="L3975" t="inlineStr">
        <is>
          <t>10:38:10</t>
        </is>
      </c>
      <c r="M3975" t="inlineStr">
        <is>
          <t>10:38:30</t>
        </is>
      </c>
    </row>
    <row r="3976" ht="15" customHeight="1" s="37">
      <c r="A3976" t="n">
        <v>5</v>
      </c>
      <c r="B3976" s="10" t="inlineStr">
        <is>
          <t>休日</t>
        </is>
      </c>
      <c r="C3976" s="10" t="inlineStr">
        <is>
          <t>本線</t>
        </is>
      </c>
      <c r="D3976" s="10" t="inlineStr">
        <is>
          <t>下り</t>
        </is>
      </c>
      <c r="E3976" t="inlineStr">
        <is>
          <t>1007</t>
        </is>
      </c>
      <c r="F3976" t="inlineStr">
        <is>
          <t>0112</t>
        </is>
      </c>
      <c r="G3976" s="10" t="inlineStr">
        <is>
          <t>山ノ内</t>
        </is>
      </c>
      <c r="H3976" s="10" t="inlineStr">
        <is>
          <t>発</t>
        </is>
      </c>
      <c r="J3976" s="10" t="inlineStr">
        <is>
          <t>営業</t>
        </is>
      </c>
      <c r="L3976" t="inlineStr">
        <is>
          <t>10:40:25</t>
        </is>
      </c>
      <c r="M3976" t="inlineStr">
        <is>
          <t>10:40:50</t>
        </is>
      </c>
    </row>
    <row r="3977" ht="15" customHeight="1" s="37">
      <c r="A3977" t="n">
        <v>5</v>
      </c>
      <c r="B3977" s="10" t="inlineStr">
        <is>
          <t>休日</t>
        </is>
      </c>
      <c r="C3977" s="10" t="inlineStr">
        <is>
          <t>本線</t>
        </is>
      </c>
      <c r="D3977" s="10" t="inlineStr">
        <is>
          <t>下り</t>
        </is>
      </c>
      <c r="E3977" t="inlineStr">
        <is>
          <t>1007</t>
        </is>
      </c>
      <c r="F3977" t="inlineStr">
        <is>
          <t>0112</t>
        </is>
      </c>
      <c r="G3977" s="10" t="inlineStr">
        <is>
          <t>天神川</t>
        </is>
      </c>
      <c r="H3977" s="10" t="inlineStr">
        <is>
          <t>発</t>
        </is>
      </c>
      <c r="J3977" s="10" t="inlineStr">
        <is>
          <t>営業</t>
        </is>
      </c>
      <c r="L3977" t="inlineStr">
        <is>
          <t>10:42:50</t>
        </is>
      </c>
      <c r="M3977" t="inlineStr">
        <is>
          <t>10:43:30</t>
        </is>
      </c>
    </row>
    <row r="3978" ht="15" customHeight="1" s="37">
      <c r="A3978" t="n">
        <v>5</v>
      </c>
      <c r="B3978" s="10" t="inlineStr">
        <is>
          <t>休日</t>
        </is>
      </c>
      <c r="C3978" s="10" t="inlineStr">
        <is>
          <t>本線</t>
        </is>
      </c>
      <c r="D3978" s="10" t="inlineStr">
        <is>
          <t>下り</t>
        </is>
      </c>
      <c r="E3978" t="inlineStr">
        <is>
          <t>1007</t>
        </is>
      </c>
      <c r="F3978" t="inlineStr">
        <is>
          <t>0112</t>
        </is>
      </c>
      <c r="G3978" s="10" t="inlineStr">
        <is>
          <t>蚕ノ社</t>
        </is>
      </c>
      <c r="H3978" s="10" t="inlineStr">
        <is>
          <t>発</t>
        </is>
      </c>
      <c r="J3978" s="10" t="inlineStr">
        <is>
          <t>営業</t>
        </is>
      </c>
      <c r="L3978" t="inlineStr">
        <is>
          <t>10:44:20</t>
        </is>
      </c>
      <c r="M3978" t="inlineStr">
        <is>
          <t>10:44:40</t>
        </is>
      </c>
    </row>
    <row r="3979" ht="15" customHeight="1" s="37">
      <c r="A3979" t="n">
        <v>5</v>
      </c>
      <c r="B3979" s="10" t="inlineStr">
        <is>
          <t>休日</t>
        </is>
      </c>
      <c r="C3979" s="10" t="inlineStr">
        <is>
          <t>本線</t>
        </is>
      </c>
      <c r="D3979" s="10" t="inlineStr">
        <is>
          <t>下り</t>
        </is>
      </c>
      <c r="E3979" t="inlineStr">
        <is>
          <t>1007</t>
        </is>
      </c>
      <c r="F3979" t="inlineStr">
        <is>
          <t>0112</t>
        </is>
      </c>
      <c r="G3979" s="10" t="inlineStr">
        <is>
          <t>太秦広隆寺</t>
        </is>
      </c>
      <c r="H3979" s="10" t="inlineStr">
        <is>
          <t>発</t>
        </is>
      </c>
      <c r="J3979" s="10" t="inlineStr">
        <is>
          <t>営業</t>
        </is>
      </c>
      <c r="L3979" t="inlineStr">
        <is>
          <t>10:46:00</t>
        </is>
      </c>
      <c r="M3979" t="inlineStr">
        <is>
          <t>10:46:20</t>
        </is>
      </c>
    </row>
    <row r="3980" ht="15" customHeight="1" s="37">
      <c r="A3980" t="n">
        <v>5</v>
      </c>
      <c r="B3980" s="10" t="inlineStr">
        <is>
          <t>休日</t>
        </is>
      </c>
      <c r="C3980" s="10" t="inlineStr">
        <is>
          <t>本線</t>
        </is>
      </c>
      <c r="D3980" s="10" t="inlineStr">
        <is>
          <t>下り</t>
        </is>
      </c>
      <c r="E3980" t="inlineStr">
        <is>
          <t>1007</t>
        </is>
      </c>
      <c r="F3980" t="inlineStr">
        <is>
          <t>0112</t>
        </is>
      </c>
      <c r="G3980" s="10" t="inlineStr">
        <is>
          <t>帷子ノ辻</t>
        </is>
      </c>
      <c r="H3980" s="10" t="inlineStr">
        <is>
          <t>発</t>
        </is>
      </c>
      <c r="J3980" s="10" t="inlineStr">
        <is>
          <t>営業</t>
        </is>
      </c>
      <c r="L3980" t="inlineStr">
        <is>
          <t>10:48:20</t>
        </is>
      </c>
      <c r="M3980" t="inlineStr">
        <is>
          <t>10:49:40</t>
        </is>
      </c>
    </row>
    <row r="3981" ht="15" customHeight="1" s="37">
      <c r="A3981" t="n">
        <v>5</v>
      </c>
      <c r="B3981" s="10" t="inlineStr">
        <is>
          <t>休日</t>
        </is>
      </c>
      <c r="C3981" s="10" t="inlineStr">
        <is>
          <t>本線</t>
        </is>
      </c>
      <c r="D3981" s="10" t="inlineStr">
        <is>
          <t>下り</t>
        </is>
      </c>
      <c r="E3981" t="inlineStr">
        <is>
          <t>1007</t>
        </is>
      </c>
      <c r="F3981" t="inlineStr">
        <is>
          <t>0112</t>
        </is>
      </c>
      <c r="G3981" s="10" t="inlineStr">
        <is>
          <t>有栖川</t>
        </is>
      </c>
      <c r="H3981" s="10" t="inlineStr">
        <is>
          <t>発</t>
        </is>
      </c>
      <c r="J3981" s="10" t="inlineStr">
        <is>
          <t>営業</t>
        </is>
      </c>
      <c r="L3981" t="inlineStr">
        <is>
          <t>10:50:50</t>
        </is>
      </c>
      <c r="M3981" t="inlineStr">
        <is>
          <t>10:51:15</t>
        </is>
      </c>
    </row>
    <row r="3982" ht="15" customHeight="1" s="37">
      <c r="A3982" t="n">
        <v>5</v>
      </c>
      <c r="B3982" s="10" t="inlineStr">
        <is>
          <t>休日</t>
        </is>
      </c>
      <c r="C3982" s="10" t="inlineStr">
        <is>
          <t>本線</t>
        </is>
      </c>
      <c r="D3982" s="10" t="inlineStr">
        <is>
          <t>下り</t>
        </is>
      </c>
      <c r="E3982" t="inlineStr">
        <is>
          <t>1007</t>
        </is>
      </c>
      <c r="F3982" t="inlineStr">
        <is>
          <t>0112</t>
        </is>
      </c>
      <c r="G3982" s="10" t="inlineStr">
        <is>
          <t>車折</t>
        </is>
      </c>
      <c r="H3982" s="10" t="inlineStr">
        <is>
          <t>発</t>
        </is>
      </c>
      <c r="J3982" s="10" t="inlineStr">
        <is>
          <t>営業</t>
        </is>
      </c>
      <c r="L3982" t="inlineStr">
        <is>
          <t>10:52:40</t>
        </is>
      </c>
      <c r="M3982" t="inlineStr">
        <is>
          <t>10:53:05</t>
        </is>
      </c>
    </row>
    <row r="3983" ht="15" customHeight="1" s="37">
      <c r="A3983" t="n">
        <v>5</v>
      </c>
      <c r="B3983" s="10" t="inlineStr">
        <is>
          <t>休日</t>
        </is>
      </c>
      <c r="C3983" s="10" t="inlineStr">
        <is>
          <t>本線</t>
        </is>
      </c>
      <c r="D3983" s="10" t="inlineStr">
        <is>
          <t>下り</t>
        </is>
      </c>
      <c r="E3983" t="inlineStr">
        <is>
          <t>1007</t>
        </is>
      </c>
      <c r="F3983" t="inlineStr">
        <is>
          <t>0112</t>
        </is>
      </c>
      <c r="G3983" s="10" t="inlineStr">
        <is>
          <t>鹿王院</t>
        </is>
      </c>
      <c r="H3983" s="10" t="inlineStr">
        <is>
          <t>発</t>
        </is>
      </c>
      <c r="J3983" s="10" t="inlineStr">
        <is>
          <t>営業</t>
        </is>
      </c>
      <c r="L3983" t="inlineStr">
        <is>
          <t>10:54:00</t>
        </is>
      </c>
      <c r="M3983" t="inlineStr">
        <is>
          <t>10:54:25</t>
        </is>
      </c>
    </row>
    <row r="3984" ht="16.5" customHeight="1" s="37">
      <c r="A3984" t="n">
        <v>5</v>
      </c>
      <c r="B3984" s="10" t="inlineStr">
        <is>
          <t>休日</t>
        </is>
      </c>
      <c r="C3984" s="10" t="inlineStr">
        <is>
          <t>本線</t>
        </is>
      </c>
      <c r="D3984" s="10" t="inlineStr">
        <is>
          <t>下り</t>
        </is>
      </c>
      <c r="E3984" t="inlineStr">
        <is>
          <t>1007</t>
        </is>
      </c>
      <c r="F3984" t="inlineStr">
        <is>
          <t>0112</t>
        </is>
      </c>
      <c r="G3984" s="10" t="inlineStr">
        <is>
          <t>嵯峨</t>
        </is>
      </c>
      <c r="H3984" s="10" t="inlineStr">
        <is>
          <t>発</t>
        </is>
      </c>
      <c r="J3984" s="10" t="inlineStr">
        <is>
          <t>営業</t>
        </is>
      </c>
      <c r="L3984" t="inlineStr">
        <is>
          <t>10:55:30</t>
        </is>
      </c>
      <c r="M3984" t="inlineStr">
        <is>
          <t>10:55:55</t>
        </is>
      </c>
    </row>
    <row r="3985" ht="16.5" customHeight="1" s="37">
      <c r="A3985" t="n">
        <v>5</v>
      </c>
      <c r="B3985" s="10" t="inlineStr">
        <is>
          <t>休日</t>
        </is>
      </c>
      <c r="C3985" s="10" t="inlineStr">
        <is>
          <t>本線</t>
        </is>
      </c>
      <c r="D3985" s="10" t="inlineStr">
        <is>
          <t>下り</t>
        </is>
      </c>
      <c r="E3985" t="inlineStr">
        <is>
          <t>1007</t>
        </is>
      </c>
      <c r="F3985" t="inlineStr">
        <is>
          <t>0112</t>
        </is>
      </c>
      <c r="G3985" s="10" t="inlineStr">
        <is>
          <t>嵐山</t>
        </is>
      </c>
      <c r="H3985" s="10" t="inlineStr">
        <is>
          <t>着</t>
        </is>
      </c>
      <c r="J3985" s="10" t="inlineStr">
        <is>
          <t>営業</t>
        </is>
      </c>
      <c r="L3985" t="inlineStr">
        <is>
          <t>10:57:00</t>
        </is>
      </c>
      <c r="Q3985" t="inlineStr">
        <is>
          <t>1</t>
        </is>
      </c>
    </row>
    <row r="3986" ht="16.5" customHeight="1" s="37">
      <c r="A3986" t="n">
        <v>5</v>
      </c>
      <c r="B3986" s="10" t="inlineStr">
        <is>
          <t>休日</t>
        </is>
      </c>
      <c r="C3986" s="10" t="inlineStr">
        <is>
          <t>本線</t>
        </is>
      </c>
      <c r="D3986" s="10" t="inlineStr">
        <is>
          <t>上り</t>
        </is>
      </c>
      <c r="E3986" t="inlineStr">
        <is>
          <t>1102</t>
        </is>
      </c>
      <c r="F3986" t="inlineStr">
        <is>
          <t>0211</t>
        </is>
      </c>
      <c r="G3986" s="10" t="inlineStr">
        <is>
          <t>嵐山</t>
        </is>
      </c>
      <c r="H3986" s="10" t="inlineStr">
        <is>
          <t>発</t>
        </is>
      </c>
      <c r="J3986" s="10" t="inlineStr">
        <is>
          <t>営業</t>
        </is>
      </c>
      <c r="M3986" t="inlineStr">
        <is>
          <t>11:03:00</t>
        </is>
      </c>
      <c r="Q3986" t="inlineStr">
        <is>
          <t>1</t>
        </is>
      </c>
      <c r="U3986" t="inlineStr">
        <is>
          <t>→西院 休憩(11:36〜12:56)</t>
        </is>
      </c>
    </row>
    <row r="3987" ht="16.5" customHeight="1" s="37">
      <c r="A3987" t="n">
        <v>5</v>
      </c>
      <c r="B3987" s="10" t="inlineStr">
        <is>
          <t>休日</t>
        </is>
      </c>
      <c r="C3987" s="10" t="inlineStr">
        <is>
          <t>本線</t>
        </is>
      </c>
      <c r="D3987" s="10" t="inlineStr">
        <is>
          <t>上り</t>
        </is>
      </c>
      <c r="E3987" t="inlineStr">
        <is>
          <t>1102</t>
        </is>
      </c>
      <c r="F3987" t="inlineStr">
        <is>
          <t>0211</t>
        </is>
      </c>
      <c r="G3987" s="10" t="inlineStr">
        <is>
          <t>嵯峨</t>
        </is>
      </c>
      <c r="H3987" s="10" t="inlineStr">
        <is>
          <t>発</t>
        </is>
      </c>
      <c r="J3987" s="10" t="inlineStr">
        <is>
          <t>営業</t>
        </is>
      </c>
      <c r="L3987" t="inlineStr">
        <is>
          <t>11:03:55</t>
        </is>
      </c>
      <c r="M3987" t="inlineStr">
        <is>
          <t>11:04:20</t>
        </is>
      </c>
      <c r="U3987" t="inlineStr">
        <is>
          <t>→西院 休憩(11:36〜12:56)</t>
        </is>
      </c>
    </row>
    <row r="3988" ht="16.5" customHeight="1" s="37">
      <c r="A3988" t="n">
        <v>5</v>
      </c>
      <c r="B3988" s="10" t="inlineStr">
        <is>
          <t>休日</t>
        </is>
      </c>
      <c r="C3988" s="10" t="inlineStr">
        <is>
          <t>本線</t>
        </is>
      </c>
      <c r="D3988" s="10" t="inlineStr">
        <is>
          <t>上り</t>
        </is>
      </c>
      <c r="E3988" t="inlineStr">
        <is>
          <t>1102</t>
        </is>
      </c>
      <c r="F3988" t="inlineStr">
        <is>
          <t>0211</t>
        </is>
      </c>
      <c r="G3988" s="10" t="inlineStr">
        <is>
          <t>鹿王院</t>
        </is>
      </c>
      <c r="H3988" s="10" t="inlineStr">
        <is>
          <t>発</t>
        </is>
      </c>
      <c r="J3988" s="10" t="inlineStr">
        <is>
          <t>営業</t>
        </is>
      </c>
      <c r="L3988" t="inlineStr">
        <is>
          <t>11:05:25</t>
        </is>
      </c>
      <c r="M3988" t="inlineStr">
        <is>
          <t>11:05:45</t>
        </is>
      </c>
      <c r="U3988" t="inlineStr">
        <is>
          <t>→西院 休憩(11:36〜12:56)</t>
        </is>
      </c>
    </row>
    <row r="3989" ht="16.5" customHeight="1" s="37">
      <c r="A3989" t="n">
        <v>5</v>
      </c>
      <c r="B3989" s="10" t="inlineStr">
        <is>
          <t>休日</t>
        </is>
      </c>
      <c r="C3989" s="10" t="inlineStr">
        <is>
          <t>本線</t>
        </is>
      </c>
      <c r="D3989" s="10" t="inlineStr">
        <is>
          <t>上り</t>
        </is>
      </c>
      <c r="E3989" t="inlineStr">
        <is>
          <t>1102</t>
        </is>
      </c>
      <c r="F3989" t="inlineStr">
        <is>
          <t>0211</t>
        </is>
      </c>
      <c r="G3989" s="10" t="inlineStr">
        <is>
          <t>車折</t>
        </is>
      </c>
      <c r="H3989" s="10" t="inlineStr">
        <is>
          <t>発</t>
        </is>
      </c>
      <c r="J3989" s="10" t="inlineStr">
        <is>
          <t>営業</t>
        </is>
      </c>
      <c r="L3989" t="inlineStr">
        <is>
          <t>11:06:40</t>
        </is>
      </c>
      <c r="M3989" t="inlineStr">
        <is>
          <t>11:07:10</t>
        </is>
      </c>
      <c r="U3989" t="inlineStr">
        <is>
          <t>→西院 休憩(11:36〜12:56)</t>
        </is>
      </c>
    </row>
    <row r="3990" ht="16.5" customHeight="1" s="37">
      <c r="A3990" t="n">
        <v>5</v>
      </c>
      <c r="B3990" s="10" t="inlineStr">
        <is>
          <t>休日</t>
        </is>
      </c>
      <c r="C3990" s="10" t="inlineStr">
        <is>
          <t>本線</t>
        </is>
      </c>
      <c r="D3990" s="10" t="inlineStr">
        <is>
          <t>上り</t>
        </is>
      </c>
      <c r="E3990" t="inlineStr">
        <is>
          <t>1102</t>
        </is>
      </c>
      <c r="F3990" t="inlineStr">
        <is>
          <t>0211</t>
        </is>
      </c>
      <c r="G3990" s="10" t="inlineStr">
        <is>
          <t>有栖川</t>
        </is>
      </c>
      <c r="H3990" s="10" t="inlineStr">
        <is>
          <t>発</t>
        </is>
      </c>
      <c r="J3990" s="10" t="inlineStr">
        <is>
          <t>営業</t>
        </is>
      </c>
      <c r="L3990" t="inlineStr">
        <is>
          <t>11:08:35</t>
        </is>
      </c>
      <c r="M3990" t="inlineStr">
        <is>
          <t>11:08:55</t>
        </is>
      </c>
      <c r="U3990" t="inlineStr">
        <is>
          <t>→西院 休憩(11:36〜12:56)</t>
        </is>
      </c>
    </row>
    <row r="3991" ht="16.5" customHeight="1" s="37">
      <c r="A3991" t="n">
        <v>5</v>
      </c>
      <c r="B3991" s="10" t="inlineStr">
        <is>
          <t>休日</t>
        </is>
      </c>
      <c r="C3991" s="10" t="inlineStr">
        <is>
          <t>本線</t>
        </is>
      </c>
      <c r="D3991" s="10" t="inlineStr">
        <is>
          <t>上り</t>
        </is>
      </c>
      <c r="E3991" t="inlineStr">
        <is>
          <t>1102</t>
        </is>
      </c>
      <c r="F3991" t="inlineStr">
        <is>
          <t>0211</t>
        </is>
      </c>
      <c r="G3991" s="10" t="inlineStr">
        <is>
          <t>帷子ノ辻</t>
        </is>
      </c>
      <c r="H3991" s="10" t="inlineStr">
        <is>
          <t>発</t>
        </is>
      </c>
      <c r="J3991" s="10" t="inlineStr">
        <is>
          <t>営業</t>
        </is>
      </c>
      <c r="L3991" t="inlineStr">
        <is>
          <t>11:10:10</t>
        </is>
      </c>
      <c r="M3991" t="inlineStr">
        <is>
          <t>11:11:15</t>
        </is>
      </c>
      <c r="U3991" t="inlineStr">
        <is>
          <t>→西院 休憩(11:36〜12:56)</t>
        </is>
      </c>
    </row>
    <row r="3992" ht="16.5" customHeight="1" s="37">
      <c r="A3992" t="n">
        <v>5</v>
      </c>
      <c r="B3992" s="10" t="inlineStr">
        <is>
          <t>休日</t>
        </is>
      </c>
      <c r="C3992" s="10" t="inlineStr">
        <is>
          <t>本線</t>
        </is>
      </c>
      <c r="D3992" s="10" t="inlineStr">
        <is>
          <t>上り</t>
        </is>
      </c>
      <c r="E3992" t="inlineStr">
        <is>
          <t>1102</t>
        </is>
      </c>
      <c r="F3992" t="inlineStr">
        <is>
          <t>0211</t>
        </is>
      </c>
      <c r="G3992" s="10" t="inlineStr">
        <is>
          <t>太秦広隆寺</t>
        </is>
      </c>
      <c r="H3992" s="10" t="inlineStr">
        <is>
          <t>発</t>
        </is>
      </c>
      <c r="J3992" s="10" t="inlineStr">
        <is>
          <t>営業</t>
        </is>
      </c>
      <c r="L3992" t="inlineStr">
        <is>
          <t>11:13:25</t>
        </is>
      </c>
      <c r="M3992" t="inlineStr">
        <is>
          <t>11:13:45</t>
        </is>
      </c>
      <c r="U3992" t="inlineStr">
        <is>
          <t>→西院 休憩(11:36〜12:56)</t>
        </is>
      </c>
    </row>
    <row r="3993" ht="16.5" customHeight="1" s="37">
      <c r="A3993" t="n">
        <v>5</v>
      </c>
      <c r="B3993" s="10" t="inlineStr">
        <is>
          <t>休日</t>
        </is>
      </c>
      <c r="C3993" s="10" t="inlineStr">
        <is>
          <t>本線</t>
        </is>
      </c>
      <c r="D3993" s="10" t="inlineStr">
        <is>
          <t>上り</t>
        </is>
      </c>
      <c r="E3993" t="inlineStr">
        <is>
          <t>1102</t>
        </is>
      </c>
      <c r="F3993" t="inlineStr">
        <is>
          <t>0211</t>
        </is>
      </c>
      <c r="G3993" s="10" t="inlineStr">
        <is>
          <t>蚕ノ社</t>
        </is>
      </c>
      <c r="H3993" s="10" t="inlineStr">
        <is>
          <t>発</t>
        </is>
      </c>
      <c r="J3993" s="10" t="inlineStr">
        <is>
          <t>営業</t>
        </is>
      </c>
      <c r="L3993" t="inlineStr">
        <is>
          <t>11:15:00</t>
        </is>
      </c>
      <c r="M3993" t="inlineStr">
        <is>
          <t>11:15:20</t>
        </is>
      </c>
      <c r="U3993" t="inlineStr">
        <is>
          <t>→西院 休憩(11:36〜12:56)</t>
        </is>
      </c>
    </row>
    <row r="3994" ht="16.5" customHeight="1" s="37">
      <c r="A3994" t="n">
        <v>5</v>
      </c>
      <c r="B3994" s="10" t="inlineStr">
        <is>
          <t>休日</t>
        </is>
      </c>
      <c r="C3994" s="10" t="inlineStr">
        <is>
          <t>本線</t>
        </is>
      </c>
      <c r="D3994" s="10" t="inlineStr">
        <is>
          <t>上り</t>
        </is>
      </c>
      <c r="E3994" t="inlineStr">
        <is>
          <t>1102</t>
        </is>
      </c>
      <c r="F3994" t="inlineStr">
        <is>
          <t>0211</t>
        </is>
      </c>
      <c r="G3994" s="10" t="inlineStr">
        <is>
          <t>天神川</t>
        </is>
      </c>
      <c r="H3994" s="10" t="inlineStr">
        <is>
          <t>発</t>
        </is>
      </c>
      <c r="J3994" s="10" t="inlineStr">
        <is>
          <t>営業</t>
        </is>
      </c>
      <c r="L3994" t="inlineStr">
        <is>
          <t>11:16:05</t>
        </is>
      </c>
      <c r="M3994" t="inlineStr">
        <is>
          <t>11:16:50</t>
        </is>
      </c>
      <c r="U3994" t="inlineStr">
        <is>
          <t>→西院 休憩(11:36〜12:56)</t>
        </is>
      </c>
    </row>
    <row r="3995" ht="16.5" customHeight="1" s="37">
      <c r="A3995" t="n">
        <v>5</v>
      </c>
      <c r="B3995" s="10" t="inlineStr">
        <is>
          <t>休日</t>
        </is>
      </c>
      <c r="C3995" s="10" t="inlineStr">
        <is>
          <t>本線</t>
        </is>
      </c>
      <c r="D3995" s="10" t="inlineStr">
        <is>
          <t>上り</t>
        </is>
      </c>
      <c r="E3995" t="inlineStr">
        <is>
          <t>1102</t>
        </is>
      </c>
      <c r="F3995" t="inlineStr">
        <is>
          <t>0211</t>
        </is>
      </c>
      <c r="G3995" s="10" t="inlineStr">
        <is>
          <t>山ノ内</t>
        </is>
      </c>
      <c r="H3995" s="10" t="inlineStr">
        <is>
          <t>発</t>
        </is>
      </c>
      <c r="J3995" s="10" t="inlineStr">
        <is>
          <t>営業</t>
        </is>
      </c>
      <c r="L3995" t="inlineStr">
        <is>
          <t>11:18:40</t>
        </is>
      </c>
      <c r="M3995" t="inlineStr">
        <is>
          <t>11:19:05</t>
        </is>
      </c>
      <c r="U3995" t="inlineStr">
        <is>
          <t>→西院 休憩(11:36〜12:56)</t>
        </is>
      </c>
    </row>
    <row r="3996" ht="16.5" customHeight="1" s="37">
      <c r="A3996" t="n">
        <v>5</v>
      </c>
      <c r="B3996" s="10" t="inlineStr">
        <is>
          <t>休日</t>
        </is>
      </c>
      <c r="C3996" s="10" t="inlineStr">
        <is>
          <t>本線</t>
        </is>
      </c>
      <c r="D3996" s="10" t="inlineStr">
        <is>
          <t>上り</t>
        </is>
      </c>
      <c r="E3996" t="inlineStr">
        <is>
          <t>1102</t>
        </is>
      </c>
      <c r="F3996" t="inlineStr">
        <is>
          <t>0211</t>
        </is>
      </c>
      <c r="G3996" s="10" t="inlineStr">
        <is>
          <t>西大路三条</t>
        </is>
      </c>
      <c r="H3996" s="10" t="inlineStr">
        <is>
          <t>発</t>
        </is>
      </c>
      <c r="J3996" s="10" t="inlineStr">
        <is>
          <t>営業</t>
        </is>
      </c>
      <c r="L3996" t="inlineStr">
        <is>
          <t>11:20:55</t>
        </is>
      </c>
      <c r="M3996" t="inlineStr">
        <is>
          <t>11:21:15</t>
        </is>
      </c>
      <c r="U3996" t="inlineStr">
        <is>
          <t>→西院 休憩(11:36〜12:56)</t>
        </is>
      </c>
    </row>
    <row r="3997" ht="16.5" customHeight="1" s="37">
      <c r="A3997" t="n">
        <v>5</v>
      </c>
      <c r="B3997" s="10" t="inlineStr">
        <is>
          <t>休日</t>
        </is>
      </c>
      <c r="C3997" s="10" t="inlineStr">
        <is>
          <t>本線</t>
        </is>
      </c>
      <c r="D3997" s="10" t="inlineStr">
        <is>
          <t>上り</t>
        </is>
      </c>
      <c r="E3997" t="inlineStr">
        <is>
          <t>1102</t>
        </is>
      </c>
      <c r="F3997" t="inlineStr">
        <is>
          <t>0211</t>
        </is>
      </c>
      <c r="G3997" s="10" t="inlineStr">
        <is>
          <t>西院</t>
        </is>
      </c>
      <c r="H3997" s="10" t="inlineStr">
        <is>
          <t>発</t>
        </is>
      </c>
      <c r="J3997" s="10" t="inlineStr">
        <is>
          <t>営業</t>
        </is>
      </c>
      <c r="L3997" t="inlineStr">
        <is>
          <t>11:23:10</t>
        </is>
      </c>
      <c r="M3997" t="inlineStr">
        <is>
          <t>11:24:05</t>
        </is>
      </c>
      <c r="U3997" t="inlineStr">
        <is>
          <t>→西院 休憩(11:36〜12:56)</t>
        </is>
      </c>
    </row>
    <row r="3998" ht="16.5" customHeight="1" s="37">
      <c r="A3998" t="n">
        <v>5</v>
      </c>
      <c r="B3998" s="10" t="inlineStr">
        <is>
          <t>休日</t>
        </is>
      </c>
      <c r="C3998" s="10" t="inlineStr">
        <is>
          <t>本線</t>
        </is>
      </c>
      <c r="D3998" s="10" t="inlineStr">
        <is>
          <t>上り</t>
        </is>
      </c>
      <c r="E3998" t="inlineStr">
        <is>
          <t>1102</t>
        </is>
      </c>
      <c r="F3998" t="inlineStr">
        <is>
          <t>0211</t>
        </is>
      </c>
      <c r="G3998" s="10" t="inlineStr">
        <is>
          <t>四条大宮</t>
        </is>
      </c>
      <c r="H3998" s="10" t="inlineStr">
        <is>
          <t>着</t>
        </is>
      </c>
      <c r="J3998" s="10" t="inlineStr">
        <is>
          <t>営業</t>
        </is>
      </c>
      <c r="L3998" t="inlineStr">
        <is>
          <t>11:27:00</t>
        </is>
      </c>
      <c r="Q3998" t="inlineStr">
        <is>
          <t>1</t>
        </is>
      </c>
      <c r="U3998" t="inlineStr">
        <is>
          <t>→西院 休憩(11:36〜12:56)</t>
        </is>
      </c>
    </row>
    <row r="3999" ht="16.5" customHeight="1" s="37">
      <c r="A3999" t="n">
        <v>5</v>
      </c>
      <c r="B3999" s="10" t="inlineStr">
        <is>
          <t>休日</t>
        </is>
      </c>
      <c r="C3999" s="10" t="inlineStr">
        <is>
          <t>本線</t>
        </is>
      </c>
      <c r="D3999" s="10" t="inlineStr">
        <is>
          <t>下り</t>
        </is>
      </c>
      <c r="E3999" t="inlineStr">
        <is>
          <t>1107</t>
        </is>
      </c>
      <c r="F3999" t="inlineStr">
        <is>
          <t>0112</t>
        </is>
      </c>
      <c r="G3999" s="10" t="inlineStr">
        <is>
          <t>四条大宮</t>
        </is>
      </c>
      <c r="H3999" s="10" t="inlineStr">
        <is>
          <t>発</t>
        </is>
      </c>
      <c r="J3999" s="10" t="inlineStr">
        <is>
          <t>営業</t>
        </is>
      </c>
      <c r="M3999" t="inlineStr">
        <is>
          <t>11:33:00</t>
        </is>
      </c>
      <c r="Q3999" t="inlineStr">
        <is>
          <t>1</t>
        </is>
      </c>
      <c r="U3999" t="inlineStr">
        <is>
          <t>→西院 休憩(11:36〜12:56)</t>
        </is>
      </c>
    </row>
    <row r="4000" ht="16.5" customHeight="1" s="37">
      <c r="A4000" t="n">
        <v>5</v>
      </c>
      <c r="B4000" s="10" t="inlineStr">
        <is>
          <t>休日</t>
        </is>
      </c>
      <c r="C4000" s="10" t="inlineStr">
        <is>
          <t>本線</t>
        </is>
      </c>
      <c r="D4000" s="10" t="inlineStr">
        <is>
          <t>下り</t>
        </is>
      </c>
      <c r="E4000" t="inlineStr">
        <is>
          <t>1107</t>
        </is>
      </c>
      <c r="F4000" t="inlineStr">
        <is>
          <t>0112</t>
        </is>
      </c>
      <c r="G4000" s="10" t="inlineStr">
        <is>
          <t>西院</t>
        </is>
      </c>
      <c r="H4000" s="10" t="inlineStr">
        <is>
          <t>着</t>
        </is>
      </c>
      <c r="J4000" s="10" t="inlineStr">
        <is>
          <t>営業</t>
        </is>
      </c>
      <c r="L4000" t="inlineStr">
        <is>
          <t>11:35:50</t>
        </is>
      </c>
      <c r="M4000" t="inlineStr">
        <is>
          <t>11:36:20</t>
        </is>
      </c>
      <c r="U4000" t="inlineStr">
        <is>
          <t>→西院 休憩(11:36〜12:56)</t>
        </is>
      </c>
    </row>
    <row r="4001" ht="16.5" customHeight="1" s="37">
      <c r="A4001" t="n">
        <v>5</v>
      </c>
      <c r="B4001" s="10" t="inlineStr">
        <is>
          <t>休日</t>
        </is>
      </c>
      <c r="C4001" s="10" t="inlineStr">
        <is>
          <t>本線</t>
        </is>
      </c>
      <c r="D4001" s="10" t="inlineStr">
        <is>
          <t>下り</t>
        </is>
      </c>
      <c r="E4001" t="inlineStr">
        <is>
          <t>1211</t>
        </is>
      </c>
      <c r="F4001" t="inlineStr">
        <is>
          <t>0112</t>
        </is>
      </c>
      <c r="G4001" s="10" t="inlineStr">
        <is>
          <t>西院</t>
        </is>
      </c>
      <c r="H4001" s="10" t="inlineStr">
        <is>
          <t>発</t>
        </is>
      </c>
      <c r="J4001" s="10" t="inlineStr">
        <is>
          <t>営業</t>
        </is>
      </c>
      <c r="L4001" t="inlineStr">
        <is>
          <t>12:55:50</t>
        </is>
      </c>
      <c r="M4001" t="inlineStr">
        <is>
          <t>12:56:20</t>
        </is>
      </c>
    </row>
    <row r="4002" ht="16.5" customHeight="1" s="37">
      <c r="A4002" t="n">
        <v>5</v>
      </c>
      <c r="B4002" s="10" t="inlineStr">
        <is>
          <t>休日</t>
        </is>
      </c>
      <c r="C4002" s="10" t="inlineStr">
        <is>
          <t>本線</t>
        </is>
      </c>
      <c r="D4002" s="10" t="inlineStr">
        <is>
          <t>下り</t>
        </is>
      </c>
      <c r="E4002" t="inlineStr">
        <is>
          <t>1211</t>
        </is>
      </c>
      <c r="F4002" t="inlineStr">
        <is>
          <t>0112</t>
        </is>
      </c>
      <c r="G4002" s="10" t="inlineStr">
        <is>
          <t>西大路三条</t>
        </is>
      </c>
      <c r="H4002" s="10" t="inlineStr">
        <is>
          <t>発</t>
        </is>
      </c>
      <c r="J4002" s="10" t="inlineStr">
        <is>
          <t>営業</t>
        </is>
      </c>
      <c r="L4002" t="inlineStr">
        <is>
          <t>12:58:10</t>
        </is>
      </c>
      <c r="M4002" t="inlineStr">
        <is>
          <t>12:58:30</t>
        </is>
      </c>
    </row>
    <row r="4003" ht="16.5" customHeight="1" s="37">
      <c r="A4003" t="n">
        <v>5</v>
      </c>
      <c r="B4003" s="10" t="inlineStr">
        <is>
          <t>休日</t>
        </is>
      </c>
      <c r="C4003" s="10" t="inlineStr">
        <is>
          <t>本線</t>
        </is>
      </c>
      <c r="D4003" s="10" t="inlineStr">
        <is>
          <t>下り</t>
        </is>
      </c>
      <c r="E4003" t="inlineStr">
        <is>
          <t>1211</t>
        </is>
      </c>
      <c r="F4003" t="inlineStr">
        <is>
          <t>0112</t>
        </is>
      </c>
      <c r="G4003" s="10" t="inlineStr">
        <is>
          <t>山ノ内</t>
        </is>
      </c>
      <c r="H4003" s="10" t="inlineStr">
        <is>
          <t>発</t>
        </is>
      </c>
      <c r="J4003" s="10" t="inlineStr">
        <is>
          <t>営業</t>
        </is>
      </c>
      <c r="L4003" t="inlineStr">
        <is>
          <t>13:00:25</t>
        </is>
      </c>
      <c r="M4003" t="inlineStr">
        <is>
          <t>13:00:50</t>
        </is>
      </c>
    </row>
    <row r="4004" ht="16.5" customHeight="1" s="37">
      <c r="A4004" t="n">
        <v>5</v>
      </c>
      <c r="B4004" s="10" t="inlineStr">
        <is>
          <t>休日</t>
        </is>
      </c>
      <c r="C4004" s="10" t="inlineStr">
        <is>
          <t>本線</t>
        </is>
      </c>
      <c r="D4004" s="10" t="inlineStr">
        <is>
          <t>下り</t>
        </is>
      </c>
      <c r="E4004" t="inlineStr">
        <is>
          <t>1211</t>
        </is>
      </c>
      <c r="F4004" t="inlineStr">
        <is>
          <t>0112</t>
        </is>
      </c>
      <c r="G4004" s="10" t="inlineStr">
        <is>
          <t>天神川</t>
        </is>
      </c>
      <c r="H4004" s="10" t="inlineStr">
        <is>
          <t>発</t>
        </is>
      </c>
      <c r="J4004" s="10" t="inlineStr">
        <is>
          <t>営業</t>
        </is>
      </c>
      <c r="L4004" t="inlineStr">
        <is>
          <t>13:02:50</t>
        </is>
      </c>
      <c r="M4004" t="inlineStr">
        <is>
          <t>13:03:30</t>
        </is>
      </c>
    </row>
    <row r="4005" ht="16.5" customHeight="1" s="37">
      <c r="A4005" t="n">
        <v>5</v>
      </c>
      <c r="B4005" s="10" t="inlineStr">
        <is>
          <t>休日</t>
        </is>
      </c>
      <c r="C4005" s="10" t="inlineStr">
        <is>
          <t>本線</t>
        </is>
      </c>
      <c r="D4005" s="10" t="inlineStr">
        <is>
          <t>下り</t>
        </is>
      </c>
      <c r="E4005" t="inlineStr">
        <is>
          <t>1211</t>
        </is>
      </c>
      <c r="F4005" t="inlineStr">
        <is>
          <t>0112</t>
        </is>
      </c>
      <c r="G4005" s="10" t="inlineStr">
        <is>
          <t>蚕ノ社</t>
        </is>
      </c>
      <c r="H4005" s="10" t="inlineStr">
        <is>
          <t>発</t>
        </is>
      </c>
      <c r="J4005" s="10" t="inlineStr">
        <is>
          <t>営業</t>
        </is>
      </c>
      <c r="L4005" t="inlineStr">
        <is>
          <t>13:04:20</t>
        </is>
      </c>
      <c r="M4005" t="inlineStr">
        <is>
          <t>13:04:40</t>
        </is>
      </c>
    </row>
    <row r="4006" ht="16.5" customHeight="1" s="37">
      <c r="A4006" t="n">
        <v>5</v>
      </c>
      <c r="B4006" s="10" t="inlineStr">
        <is>
          <t>休日</t>
        </is>
      </c>
      <c r="C4006" s="10" t="inlineStr">
        <is>
          <t>本線</t>
        </is>
      </c>
      <c r="D4006" s="10" t="inlineStr">
        <is>
          <t>下り</t>
        </is>
      </c>
      <c r="E4006" t="inlineStr">
        <is>
          <t>1211</t>
        </is>
      </c>
      <c r="F4006" t="inlineStr">
        <is>
          <t>0112</t>
        </is>
      </c>
      <c r="G4006" s="10" t="inlineStr">
        <is>
          <t>太秦広隆寺</t>
        </is>
      </c>
      <c r="H4006" s="10" t="inlineStr">
        <is>
          <t>発</t>
        </is>
      </c>
      <c r="J4006" s="10" t="inlineStr">
        <is>
          <t>営業</t>
        </is>
      </c>
      <c r="L4006" t="inlineStr">
        <is>
          <t>13:06:00</t>
        </is>
      </c>
      <c r="M4006" t="inlineStr">
        <is>
          <t>13:06:20</t>
        </is>
      </c>
    </row>
    <row r="4007" ht="16.5" customHeight="1" s="37">
      <c r="A4007" t="n">
        <v>5</v>
      </c>
      <c r="B4007" s="10" t="inlineStr">
        <is>
          <t>休日</t>
        </is>
      </c>
      <c r="C4007" s="10" t="inlineStr">
        <is>
          <t>本線</t>
        </is>
      </c>
      <c r="D4007" s="10" t="inlineStr">
        <is>
          <t>下り</t>
        </is>
      </c>
      <c r="E4007" t="inlineStr">
        <is>
          <t>1211</t>
        </is>
      </c>
      <c r="F4007" t="inlineStr">
        <is>
          <t>0112</t>
        </is>
      </c>
      <c r="G4007" s="10" t="inlineStr">
        <is>
          <t>帷子ノ辻</t>
        </is>
      </c>
      <c r="H4007" s="10" t="inlineStr">
        <is>
          <t>発</t>
        </is>
      </c>
      <c r="J4007" s="10" t="inlineStr">
        <is>
          <t>営業</t>
        </is>
      </c>
      <c r="L4007" t="inlineStr">
        <is>
          <t>13:08:20</t>
        </is>
      </c>
      <c r="M4007" t="inlineStr">
        <is>
          <t>13:09:40</t>
        </is>
      </c>
    </row>
    <row r="4008" ht="16.5" customHeight="1" s="37">
      <c r="A4008" t="n">
        <v>5</v>
      </c>
      <c r="B4008" s="10" t="inlineStr">
        <is>
          <t>休日</t>
        </is>
      </c>
      <c r="C4008" s="10" t="inlineStr">
        <is>
          <t>本線</t>
        </is>
      </c>
      <c r="D4008" s="10" t="inlineStr">
        <is>
          <t>下り</t>
        </is>
      </c>
      <c r="E4008" t="inlineStr">
        <is>
          <t>1211</t>
        </is>
      </c>
      <c r="F4008" t="inlineStr">
        <is>
          <t>0112</t>
        </is>
      </c>
      <c r="G4008" s="10" t="inlineStr">
        <is>
          <t>有栖川</t>
        </is>
      </c>
      <c r="H4008" s="10" t="inlineStr">
        <is>
          <t>発</t>
        </is>
      </c>
      <c r="J4008" s="10" t="inlineStr">
        <is>
          <t>営業</t>
        </is>
      </c>
      <c r="L4008" t="inlineStr">
        <is>
          <t>13:10:50</t>
        </is>
      </c>
      <c r="M4008" t="inlineStr">
        <is>
          <t>13:11:15</t>
        </is>
      </c>
    </row>
    <row r="4009" ht="16.5" customHeight="1" s="37">
      <c r="A4009" t="n">
        <v>5</v>
      </c>
      <c r="B4009" s="10" t="inlineStr">
        <is>
          <t>休日</t>
        </is>
      </c>
      <c r="C4009" s="10" t="inlineStr">
        <is>
          <t>本線</t>
        </is>
      </c>
      <c r="D4009" s="10" t="inlineStr">
        <is>
          <t>下り</t>
        </is>
      </c>
      <c r="E4009" t="inlineStr">
        <is>
          <t>1211</t>
        </is>
      </c>
      <c r="F4009" t="inlineStr">
        <is>
          <t>0112</t>
        </is>
      </c>
      <c r="G4009" s="10" t="inlineStr">
        <is>
          <t>車折</t>
        </is>
      </c>
      <c r="H4009" s="10" t="inlineStr">
        <is>
          <t>発</t>
        </is>
      </c>
      <c r="J4009" s="10" t="inlineStr">
        <is>
          <t>営業</t>
        </is>
      </c>
      <c r="L4009" t="inlineStr">
        <is>
          <t>13:12:40</t>
        </is>
      </c>
      <c r="M4009" t="inlineStr">
        <is>
          <t>13:13:05</t>
        </is>
      </c>
    </row>
    <row r="4010" ht="16.5" customHeight="1" s="37">
      <c r="A4010" t="n">
        <v>5</v>
      </c>
      <c r="B4010" s="10" t="inlineStr">
        <is>
          <t>休日</t>
        </is>
      </c>
      <c r="C4010" s="10" t="inlineStr">
        <is>
          <t>本線</t>
        </is>
      </c>
      <c r="D4010" s="10" t="inlineStr">
        <is>
          <t>下り</t>
        </is>
      </c>
      <c r="E4010" t="inlineStr">
        <is>
          <t>1211</t>
        </is>
      </c>
      <c r="F4010" t="inlineStr">
        <is>
          <t>0112</t>
        </is>
      </c>
      <c r="G4010" s="10" t="inlineStr">
        <is>
          <t>鹿王院</t>
        </is>
      </c>
      <c r="H4010" s="10" t="inlineStr">
        <is>
          <t>発</t>
        </is>
      </c>
      <c r="J4010" s="10" t="inlineStr">
        <is>
          <t>営業</t>
        </is>
      </c>
      <c r="L4010" t="inlineStr">
        <is>
          <t>13:14:00</t>
        </is>
      </c>
      <c r="M4010" t="inlineStr">
        <is>
          <t>13:14:25</t>
        </is>
      </c>
    </row>
    <row r="4011" ht="16.5" customHeight="1" s="37">
      <c r="A4011" t="n">
        <v>5</v>
      </c>
      <c r="B4011" s="10" t="inlineStr">
        <is>
          <t>休日</t>
        </is>
      </c>
      <c r="C4011" s="10" t="inlineStr">
        <is>
          <t>本線</t>
        </is>
      </c>
      <c r="D4011" s="10" t="inlineStr">
        <is>
          <t>下り</t>
        </is>
      </c>
      <c r="E4011" t="inlineStr">
        <is>
          <t>1211</t>
        </is>
      </c>
      <c r="F4011" t="inlineStr">
        <is>
          <t>0112</t>
        </is>
      </c>
      <c r="G4011" s="10" t="inlineStr">
        <is>
          <t>嵯峨</t>
        </is>
      </c>
      <c r="H4011" s="10" t="inlineStr">
        <is>
          <t>発</t>
        </is>
      </c>
      <c r="J4011" s="10" t="inlineStr">
        <is>
          <t>営業</t>
        </is>
      </c>
      <c r="L4011" t="inlineStr">
        <is>
          <t>13:15:30</t>
        </is>
      </c>
      <c r="M4011" t="inlineStr">
        <is>
          <t>13:15:55</t>
        </is>
      </c>
    </row>
    <row r="4012" ht="16.5" customHeight="1" s="37">
      <c r="A4012" t="n">
        <v>5</v>
      </c>
      <c r="B4012" s="10" t="inlineStr">
        <is>
          <t>休日</t>
        </is>
      </c>
      <c r="C4012" s="10" t="inlineStr">
        <is>
          <t>本線</t>
        </is>
      </c>
      <c r="D4012" s="10" t="inlineStr">
        <is>
          <t>下り</t>
        </is>
      </c>
      <c r="E4012" t="inlineStr">
        <is>
          <t>1211</t>
        </is>
      </c>
      <c r="F4012" t="inlineStr">
        <is>
          <t>0112</t>
        </is>
      </c>
      <c r="G4012" s="10" t="inlineStr">
        <is>
          <t>嵐山</t>
        </is>
      </c>
      <c r="H4012" s="10" t="inlineStr">
        <is>
          <t>着</t>
        </is>
      </c>
      <c r="J4012" s="10" t="inlineStr">
        <is>
          <t>営業</t>
        </is>
      </c>
      <c r="L4012" t="inlineStr">
        <is>
          <t>13:17:00</t>
        </is>
      </c>
      <c r="Q4012" t="inlineStr">
        <is>
          <t>1</t>
        </is>
      </c>
    </row>
    <row r="4013" ht="16.5" customHeight="1" s="37">
      <c r="A4013" t="n">
        <v>5</v>
      </c>
      <c r="B4013" s="10" t="inlineStr">
        <is>
          <t>休日</t>
        </is>
      </c>
      <c r="C4013" s="10" t="inlineStr">
        <is>
          <t>本線</t>
        </is>
      </c>
      <c r="D4013" s="10" t="inlineStr">
        <is>
          <t>上り</t>
        </is>
      </c>
      <c r="E4013" t="inlineStr">
        <is>
          <t>1306</t>
        </is>
      </c>
      <c r="F4013" t="inlineStr">
        <is>
          <t>0211</t>
        </is>
      </c>
      <c r="G4013" s="10" t="inlineStr">
        <is>
          <t>嵐山</t>
        </is>
      </c>
      <c r="H4013" s="10" t="inlineStr">
        <is>
          <t>発</t>
        </is>
      </c>
      <c r="J4013" s="10" t="inlineStr">
        <is>
          <t>営業</t>
        </is>
      </c>
      <c r="M4013" t="inlineStr">
        <is>
          <t>13:23:00</t>
        </is>
      </c>
      <c r="Q4013" t="inlineStr">
        <is>
          <t>1</t>
        </is>
      </c>
    </row>
    <row r="4014" ht="16.5" customHeight="1" s="37">
      <c r="A4014" t="n">
        <v>5</v>
      </c>
      <c r="B4014" s="10" t="inlineStr">
        <is>
          <t>休日</t>
        </is>
      </c>
      <c r="C4014" s="10" t="inlineStr">
        <is>
          <t>本線</t>
        </is>
      </c>
      <c r="D4014" s="10" t="inlineStr">
        <is>
          <t>上り</t>
        </is>
      </c>
      <c r="E4014" t="inlineStr">
        <is>
          <t>1306</t>
        </is>
      </c>
      <c r="F4014" t="inlineStr">
        <is>
          <t>0211</t>
        </is>
      </c>
      <c r="G4014" s="10" t="inlineStr">
        <is>
          <t>嵯峨</t>
        </is>
      </c>
      <c r="H4014" s="10" t="inlineStr">
        <is>
          <t>発</t>
        </is>
      </c>
      <c r="J4014" s="10" t="inlineStr">
        <is>
          <t>営業</t>
        </is>
      </c>
      <c r="L4014" t="inlineStr">
        <is>
          <t>13:23:55</t>
        </is>
      </c>
      <c r="M4014" t="inlineStr">
        <is>
          <t>13:24:20</t>
        </is>
      </c>
    </row>
    <row r="4015" ht="16.5" customHeight="1" s="37">
      <c r="A4015" t="n">
        <v>5</v>
      </c>
      <c r="B4015" s="10" t="inlineStr">
        <is>
          <t>休日</t>
        </is>
      </c>
      <c r="C4015" s="10" t="inlineStr">
        <is>
          <t>本線</t>
        </is>
      </c>
      <c r="D4015" s="10" t="inlineStr">
        <is>
          <t>上り</t>
        </is>
      </c>
      <c r="E4015" t="inlineStr">
        <is>
          <t>1306</t>
        </is>
      </c>
      <c r="F4015" t="inlineStr">
        <is>
          <t>0211</t>
        </is>
      </c>
      <c r="G4015" s="10" t="inlineStr">
        <is>
          <t>鹿王院</t>
        </is>
      </c>
      <c r="H4015" s="10" t="inlineStr">
        <is>
          <t>発</t>
        </is>
      </c>
      <c r="J4015" s="10" t="inlineStr">
        <is>
          <t>営業</t>
        </is>
      </c>
      <c r="L4015" t="inlineStr">
        <is>
          <t>13:25:25</t>
        </is>
      </c>
      <c r="M4015" t="inlineStr">
        <is>
          <t>13:25:45</t>
        </is>
      </c>
    </row>
    <row r="4016" ht="16.5" customHeight="1" s="37">
      <c r="A4016" t="n">
        <v>5</v>
      </c>
      <c r="B4016" s="10" t="inlineStr">
        <is>
          <t>休日</t>
        </is>
      </c>
      <c r="C4016" s="10" t="inlineStr">
        <is>
          <t>本線</t>
        </is>
      </c>
      <c r="D4016" s="10" t="inlineStr">
        <is>
          <t>上り</t>
        </is>
      </c>
      <c r="E4016" t="inlineStr">
        <is>
          <t>1306</t>
        </is>
      </c>
      <c r="F4016" t="inlineStr">
        <is>
          <t>0211</t>
        </is>
      </c>
      <c r="G4016" s="10" t="inlineStr">
        <is>
          <t>車折</t>
        </is>
      </c>
      <c r="H4016" s="10" t="inlineStr">
        <is>
          <t>発</t>
        </is>
      </c>
      <c r="J4016" s="10" t="inlineStr">
        <is>
          <t>営業</t>
        </is>
      </c>
      <c r="L4016" t="inlineStr">
        <is>
          <t>13:26:40</t>
        </is>
      </c>
      <c r="M4016" t="inlineStr">
        <is>
          <t>13:27:10</t>
        </is>
      </c>
    </row>
    <row r="4017" ht="16.5" customHeight="1" s="37">
      <c r="A4017" t="n">
        <v>5</v>
      </c>
      <c r="B4017" s="10" t="inlineStr">
        <is>
          <t>休日</t>
        </is>
      </c>
      <c r="C4017" s="10" t="inlineStr">
        <is>
          <t>本線</t>
        </is>
      </c>
      <c r="D4017" s="10" t="inlineStr">
        <is>
          <t>上り</t>
        </is>
      </c>
      <c r="E4017" t="inlineStr">
        <is>
          <t>1306</t>
        </is>
      </c>
      <c r="F4017" t="inlineStr">
        <is>
          <t>0211</t>
        </is>
      </c>
      <c r="G4017" s="10" t="inlineStr">
        <is>
          <t>有栖川</t>
        </is>
      </c>
      <c r="H4017" s="10" t="inlineStr">
        <is>
          <t>発</t>
        </is>
      </c>
      <c r="J4017" s="10" t="inlineStr">
        <is>
          <t>営業</t>
        </is>
      </c>
      <c r="L4017" t="inlineStr">
        <is>
          <t>13:28:35</t>
        </is>
      </c>
      <c r="M4017" t="inlineStr">
        <is>
          <t>13:28:55</t>
        </is>
      </c>
    </row>
    <row r="4018" ht="16.5" customHeight="1" s="37">
      <c r="A4018" t="n">
        <v>5</v>
      </c>
      <c r="B4018" s="10" t="inlineStr">
        <is>
          <t>休日</t>
        </is>
      </c>
      <c r="C4018" s="10" t="inlineStr">
        <is>
          <t>本線</t>
        </is>
      </c>
      <c r="D4018" s="10" t="inlineStr">
        <is>
          <t>上り</t>
        </is>
      </c>
      <c r="E4018" t="inlineStr">
        <is>
          <t>1306</t>
        </is>
      </c>
      <c r="F4018" t="inlineStr">
        <is>
          <t>0211</t>
        </is>
      </c>
      <c r="G4018" s="10" t="inlineStr">
        <is>
          <t>帷子ノ辻</t>
        </is>
      </c>
      <c r="H4018" s="10" t="inlineStr">
        <is>
          <t>発</t>
        </is>
      </c>
      <c r="J4018" s="10" t="inlineStr">
        <is>
          <t>営業</t>
        </is>
      </c>
      <c r="L4018" t="inlineStr">
        <is>
          <t>13:30:10</t>
        </is>
      </c>
      <c r="M4018" t="inlineStr">
        <is>
          <t>13:31:15</t>
        </is>
      </c>
    </row>
    <row r="4019" ht="16.5" customHeight="1" s="37">
      <c r="A4019" t="n">
        <v>5</v>
      </c>
      <c r="B4019" s="10" t="inlineStr">
        <is>
          <t>休日</t>
        </is>
      </c>
      <c r="C4019" s="10" t="inlineStr">
        <is>
          <t>本線</t>
        </is>
      </c>
      <c r="D4019" s="10" t="inlineStr">
        <is>
          <t>上り</t>
        </is>
      </c>
      <c r="E4019" t="inlineStr">
        <is>
          <t>1306</t>
        </is>
      </c>
      <c r="F4019" t="inlineStr">
        <is>
          <t>0211</t>
        </is>
      </c>
      <c r="G4019" s="10" t="inlineStr">
        <is>
          <t>太秦広隆寺</t>
        </is>
      </c>
      <c r="H4019" s="10" t="inlineStr">
        <is>
          <t>発</t>
        </is>
      </c>
      <c r="J4019" s="10" t="inlineStr">
        <is>
          <t>営業</t>
        </is>
      </c>
      <c r="L4019" t="inlineStr">
        <is>
          <t>13:33:25</t>
        </is>
      </c>
      <c r="M4019" t="inlineStr">
        <is>
          <t>13:33:45</t>
        </is>
      </c>
    </row>
    <row r="4020" ht="16.5" customHeight="1" s="37">
      <c r="A4020" t="n">
        <v>5</v>
      </c>
      <c r="B4020" s="10" t="inlineStr">
        <is>
          <t>休日</t>
        </is>
      </c>
      <c r="C4020" s="10" t="inlineStr">
        <is>
          <t>本線</t>
        </is>
      </c>
      <c r="D4020" s="10" t="inlineStr">
        <is>
          <t>上り</t>
        </is>
      </c>
      <c r="E4020" t="inlineStr">
        <is>
          <t>1306</t>
        </is>
      </c>
      <c r="F4020" t="inlineStr">
        <is>
          <t>0211</t>
        </is>
      </c>
      <c r="G4020" s="10" t="inlineStr">
        <is>
          <t>蚕ノ社</t>
        </is>
      </c>
      <c r="H4020" s="10" t="inlineStr">
        <is>
          <t>発</t>
        </is>
      </c>
      <c r="J4020" s="10" t="inlineStr">
        <is>
          <t>営業</t>
        </is>
      </c>
      <c r="L4020" t="inlineStr">
        <is>
          <t>13:35:00</t>
        </is>
      </c>
      <c r="M4020" t="inlineStr">
        <is>
          <t>13:35:20</t>
        </is>
      </c>
    </row>
    <row r="4021" ht="16.5" customHeight="1" s="37">
      <c r="A4021" t="n">
        <v>5</v>
      </c>
      <c r="B4021" s="10" t="inlineStr">
        <is>
          <t>休日</t>
        </is>
      </c>
      <c r="C4021" s="10" t="inlineStr">
        <is>
          <t>本線</t>
        </is>
      </c>
      <c r="D4021" s="10" t="inlineStr">
        <is>
          <t>上り</t>
        </is>
      </c>
      <c r="E4021" t="inlineStr">
        <is>
          <t>1306</t>
        </is>
      </c>
      <c r="F4021" t="inlineStr">
        <is>
          <t>0211</t>
        </is>
      </c>
      <c r="G4021" s="10" t="inlineStr">
        <is>
          <t>天神川</t>
        </is>
      </c>
      <c r="H4021" s="10" t="inlineStr">
        <is>
          <t>発</t>
        </is>
      </c>
      <c r="J4021" s="10" t="inlineStr">
        <is>
          <t>営業</t>
        </is>
      </c>
      <c r="L4021" t="inlineStr">
        <is>
          <t>13:36:05</t>
        </is>
      </c>
      <c r="M4021" t="inlineStr">
        <is>
          <t>13:36:50</t>
        </is>
      </c>
    </row>
    <row r="4022" ht="16.5" customHeight="1" s="37">
      <c r="A4022" t="n">
        <v>5</v>
      </c>
      <c r="B4022" s="10" t="inlineStr">
        <is>
          <t>休日</t>
        </is>
      </c>
      <c r="C4022" s="10" t="inlineStr">
        <is>
          <t>本線</t>
        </is>
      </c>
      <c r="D4022" s="10" t="inlineStr">
        <is>
          <t>上り</t>
        </is>
      </c>
      <c r="E4022" t="inlineStr">
        <is>
          <t>1306</t>
        </is>
      </c>
      <c r="F4022" t="inlineStr">
        <is>
          <t>0211</t>
        </is>
      </c>
      <c r="G4022" s="10" t="inlineStr">
        <is>
          <t>山ノ内</t>
        </is>
      </c>
      <c r="H4022" s="10" t="inlineStr">
        <is>
          <t>発</t>
        </is>
      </c>
      <c r="J4022" s="10" t="inlineStr">
        <is>
          <t>営業</t>
        </is>
      </c>
      <c r="L4022" t="inlineStr">
        <is>
          <t>13:38:40</t>
        </is>
      </c>
      <c r="M4022" t="inlineStr">
        <is>
          <t>13:39:05</t>
        </is>
      </c>
    </row>
    <row r="4023" ht="16.5" customHeight="1" s="37">
      <c r="A4023" t="n">
        <v>5</v>
      </c>
      <c r="B4023" s="10" t="inlineStr">
        <is>
          <t>休日</t>
        </is>
      </c>
      <c r="C4023" s="10" t="inlineStr">
        <is>
          <t>本線</t>
        </is>
      </c>
      <c r="D4023" s="10" t="inlineStr">
        <is>
          <t>上り</t>
        </is>
      </c>
      <c r="E4023" t="inlineStr">
        <is>
          <t>1306</t>
        </is>
      </c>
      <c r="F4023" t="inlineStr">
        <is>
          <t>0211</t>
        </is>
      </c>
      <c r="G4023" s="10" t="inlineStr">
        <is>
          <t>西大路三条</t>
        </is>
      </c>
      <c r="H4023" s="10" t="inlineStr">
        <is>
          <t>発</t>
        </is>
      </c>
      <c r="J4023" s="10" t="inlineStr">
        <is>
          <t>営業</t>
        </is>
      </c>
      <c r="L4023" t="inlineStr">
        <is>
          <t>13:40:55</t>
        </is>
      </c>
      <c r="M4023" t="inlineStr">
        <is>
          <t>13:41:15</t>
        </is>
      </c>
    </row>
    <row r="4024" ht="16.5" customHeight="1" s="37">
      <c r="A4024" t="n">
        <v>5</v>
      </c>
      <c r="B4024" s="10" t="inlineStr">
        <is>
          <t>休日</t>
        </is>
      </c>
      <c r="C4024" s="10" t="inlineStr">
        <is>
          <t>本線</t>
        </is>
      </c>
      <c r="D4024" s="10" t="inlineStr">
        <is>
          <t>上り</t>
        </is>
      </c>
      <c r="E4024" t="inlineStr">
        <is>
          <t>1306</t>
        </is>
      </c>
      <c r="F4024" t="inlineStr">
        <is>
          <t>0211</t>
        </is>
      </c>
      <c r="G4024" s="10" t="inlineStr">
        <is>
          <t>西院</t>
        </is>
      </c>
      <c r="H4024" s="10" t="inlineStr">
        <is>
          <t>発</t>
        </is>
      </c>
      <c r="J4024" s="10" t="inlineStr">
        <is>
          <t>営業</t>
        </is>
      </c>
      <c r="L4024" t="inlineStr">
        <is>
          <t>13:43:10</t>
        </is>
      </c>
      <c r="M4024" t="inlineStr">
        <is>
          <t>13:44:05</t>
        </is>
      </c>
    </row>
    <row r="4025" ht="16.5" customHeight="1" s="37">
      <c r="A4025" t="n">
        <v>5</v>
      </c>
      <c r="B4025" s="10" t="inlineStr">
        <is>
          <t>休日</t>
        </is>
      </c>
      <c r="C4025" s="10" t="inlineStr">
        <is>
          <t>本線</t>
        </is>
      </c>
      <c r="D4025" s="10" t="inlineStr">
        <is>
          <t>上り</t>
        </is>
      </c>
      <c r="E4025" t="inlineStr">
        <is>
          <t>1306</t>
        </is>
      </c>
      <c r="F4025" t="inlineStr">
        <is>
          <t>0211</t>
        </is>
      </c>
      <c r="G4025" s="10" t="inlineStr">
        <is>
          <t>四条大宮</t>
        </is>
      </c>
      <c r="H4025" s="10" t="inlineStr">
        <is>
          <t>着</t>
        </is>
      </c>
      <c r="J4025" s="10" t="inlineStr">
        <is>
          <t>営業</t>
        </is>
      </c>
      <c r="L4025" t="inlineStr">
        <is>
          <t>13:47:00</t>
        </is>
      </c>
      <c r="Q4025" t="inlineStr">
        <is>
          <t>1誘</t>
        </is>
      </c>
    </row>
    <row r="4026" ht="16.5" customHeight="1" s="37">
      <c r="A4026" t="n">
        <v>5</v>
      </c>
      <c r="B4026" s="10" t="inlineStr">
        <is>
          <t>休日</t>
        </is>
      </c>
      <c r="C4026" s="10" t="inlineStr">
        <is>
          <t>本線</t>
        </is>
      </c>
      <c r="D4026" s="10" t="inlineStr">
        <is>
          <t>下り</t>
        </is>
      </c>
      <c r="E4026" s="10" t="inlineStr">
        <is>
          <t>連1311</t>
        </is>
      </c>
      <c r="F4026" t="inlineStr">
        <is>
          <t>0112</t>
        </is>
      </c>
      <c r="G4026" s="10" t="inlineStr">
        <is>
          <t>四条大宮</t>
        </is>
      </c>
      <c r="H4026" s="10" t="inlineStr">
        <is>
          <t>発</t>
        </is>
      </c>
      <c r="J4026" s="10" t="inlineStr">
        <is>
          <t>営業</t>
        </is>
      </c>
      <c r="M4026" t="inlineStr">
        <is>
          <t>13:53:00</t>
        </is>
      </c>
      <c r="P4026" t="inlineStr">
        <is>
          <t>F系統(終日)</t>
        </is>
      </c>
      <c r="Q4026" t="inlineStr">
        <is>
          <t>1</t>
        </is>
      </c>
    </row>
    <row r="4027" ht="16.5" customHeight="1" s="37">
      <c r="A4027" t="n">
        <v>5</v>
      </c>
      <c r="B4027" s="10" t="inlineStr">
        <is>
          <t>休日</t>
        </is>
      </c>
      <c r="C4027" s="10" t="inlineStr">
        <is>
          <t>本線</t>
        </is>
      </c>
      <c r="D4027" s="10" t="inlineStr">
        <is>
          <t>下り</t>
        </is>
      </c>
      <c r="E4027" s="10" t="inlineStr">
        <is>
          <t>連1311</t>
        </is>
      </c>
      <c r="F4027" t="inlineStr">
        <is>
          <t>0112</t>
        </is>
      </c>
      <c r="G4027" s="10" t="inlineStr">
        <is>
          <t>西院</t>
        </is>
      </c>
      <c r="H4027" s="10" t="inlineStr">
        <is>
          <t>発</t>
        </is>
      </c>
      <c r="J4027" s="10" t="inlineStr">
        <is>
          <t>営業</t>
        </is>
      </c>
      <c r="L4027" t="inlineStr">
        <is>
          <t>13:55:50</t>
        </is>
      </c>
      <c r="M4027" t="inlineStr">
        <is>
          <t>13:56:20</t>
        </is>
      </c>
      <c r="P4027" t="inlineStr">
        <is>
          <t>F系統(終日)</t>
        </is>
      </c>
    </row>
    <row r="4028" ht="16.5" customHeight="1" s="37">
      <c r="A4028" t="n">
        <v>5</v>
      </c>
      <c r="B4028" s="10" t="inlineStr">
        <is>
          <t>休日</t>
        </is>
      </c>
      <c r="C4028" s="10" t="inlineStr">
        <is>
          <t>本線</t>
        </is>
      </c>
      <c r="D4028" s="10" t="inlineStr">
        <is>
          <t>下り</t>
        </is>
      </c>
      <c r="E4028" s="10" t="inlineStr">
        <is>
          <t>連1311</t>
        </is>
      </c>
      <c r="F4028" t="inlineStr">
        <is>
          <t>0112</t>
        </is>
      </c>
      <c r="G4028" s="10" t="inlineStr">
        <is>
          <t>西大路三条</t>
        </is>
      </c>
      <c r="H4028" s="10" t="inlineStr">
        <is>
          <t>発</t>
        </is>
      </c>
      <c r="J4028" s="10" t="inlineStr">
        <is>
          <t>営業</t>
        </is>
      </c>
      <c r="L4028" t="inlineStr">
        <is>
          <t>13:58:10</t>
        </is>
      </c>
      <c r="M4028" t="inlineStr">
        <is>
          <t>13:58:30</t>
        </is>
      </c>
      <c r="P4028" t="inlineStr">
        <is>
          <t>F系統(終日)</t>
        </is>
      </c>
    </row>
    <row r="4029" ht="16.5" customHeight="1" s="37">
      <c r="A4029" t="n">
        <v>5</v>
      </c>
      <c r="B4029" s="10" t="inlineStr">
        <is>
          <t>休日</t>
        </is>
      </c>
      <c r="C4029" s="10" t="inlineStr">
        <is>
          <t>本線</t>
        </is>
      </c>
      <c r="D4029" s="10" t="inlineStr">
        <is>
          <t>下り</t>
        </is>
      </c>
      <c r="E4029" s="10" t="inlineStr">
        <is>
          <t>連1311</t>
        </is>
      </c>
      <c r="F4029" t="inlineStr">
        <is>
          <t>0112</t>
        </is>
      </c>
      <c r="G4029" s="10" t="inlineStr">
        <is>
          <t>山ノ内</t>
        </is>
      </c>
      <c r="H4029" s="10" t="inlineStr">
        <is>
          <t>発</t>
        </is>
      </c>
      <c r="J4029" s="10" t="inlineStr">
        <is>
          <t>営業</t>
        </is>
      </c>
      <c r="L4029" t="inlineStr">
        <is>
          <t>14:00:25</t>
        </is>
      </c>
      <c r="M4029" t="inlineStr">
        <is>
          <t>14:00:50</t>
        </is>
      </c>
      <c r="P4029" t="inlineStr">
        <is>
          <t>F系統(終日)</t>
        </is>
      </c>
    </row>
    <row r="4030" ht="16.5" customHeight="1" s="37">
      <c r="A4030" t="n">
        <v>5</v>
      </c>
      <c r="B4030" s="10" t="inlineStr">
        <is>
          <t>休日</t>
        </is>
      </c>
      <c r="C4030" s="10" t="inlineStr">
        <is>
          <t>本線</t>
        </is>
      </c>
      <c r="D4030" s="10" t="inlineStr">
        <is>
          <t>下り</t>
        </is>
      </c>
      <c r="E4030" s="10" t="inlineStr">
        <is>
          <t>連1311</t>
        </is>
      </c>
      <c r="F4030" t="inlineStr">
        <is>
          <t>0112</t>
        </is>
      </c>
      <c r="G4030" s="10" t="inlineStr">
        <is>
          <t>天神川</t>
        </is>
      </c>
      <c r="H4030" s="10" t="inlineStr">
        <is>
          <t>発</t>
        </is>
      </c>
      <c r="J4030" s="10" t="inlineStr">
        <is>
          <t>営業</t>
        </is>
      </c>
      <c r="L4030" t="inlineStr">
        <is>
          <t>14:02:50</t>
        </is>
      </c>
      <c r="M4030" t="inlineStr">
        <is>
          <t>14:03:30</t>
        </is>
      </c>
      <c r="P4030" t="inlineStr">
        <is>
          <t>F系統(終日)</t>
        </is>
      </c>
    </row>
    <row r="4031" ht="16.5" customHeight="1" s="37">
      <c r="A4031" t="n">
        <v>5</v>
      </c>
      <c r="B4031" s="10" t="inlineStr">
        <is>
          <t>休日</t>
        </is>
      </c>
      <c r="C4031" s="10" t="inlineStr">
        <is>
          <t>本線</t>
        </is>
      </c>
      <c r="D4031" s="10" t="inlineStr">
        <is>
          <t>下り</t>
        </is>
      </c>
      <c r="E4031" s="10" t="inlineStr">
        <is>
          <t>連1311</t>
        </is>
      </c>
      <c r="F4031" t="inlineStr">
        <is>
          <t>0112</t>
        </is>
      </c>
      <c r="G4031" s="10" t="inlineStr">
        <is>
          <t>蚕ノ社</t>
        </is>
      </c>
      <c r="H4031" s="10" t="inlineStr">
        <is>
          <t>発</t>
        </is>
      </c>
      <c r="J4031" s="10" t="inlineStr">
        <is>
          <t>営業</t>
        </is>
      </c>
      <c r="L4031" t="inlineStr">
        <is>
          <t>14:04:20</t>
        </is>
      </c>
      <c r="M4031" t="inlineStr">
        <is>
          <t>14:04:40</t>
        </is>
      </c>
      <c r="P4031" t="inlineStr">
        <is>
          <t>F系統(終日)</t>
        </is>
      </c>
    </row>
    <row r="4032" ht="16.5" customHeight="1" s="37">
      <c r="A4032" t="n">
        <v>5</v>
      </c>
      <c r="B4032" s="10" t="inlineStr">
        <is>
          <t>休日</t>
        </is>
      </c>
      <c r="C4032" s="10" t="inlineStr">
        <is>
          <t>本線</t>
        </is>
      </c>
      <c r="D4032" s="10" t="inlineStr">
        <is>
          <t>下り</t>
        </is>
      </c>
      <c r="E4032" s="10" t="inlineStr">
        <is>
          <t>連1311</t>
        </is>
      </c>
      <c r="F4032" t="inlineStr">
        <is>
          <t>0112</t>
        </is>
      </c>
      <c r="G4032" s="10" t="inlineStr">
        <is>
          <t>太秦広隆寺</t>
        </is>
      </c>
      <c r="H4032" s="10" t="inlineStr">
        <is>
          <t>発</t>
        </is>
      </c>
      <c r="J4032" s="10" t="inlineStr">
        <is>
          <t>営業</t>
        </is>
      </c>
      <c r="L4032" t="inlineStr">
        <is>
          <t>14:06:00</t>
        </is>
      </c>
      <c r="M4032" t="inlineStr">
        <is>
          <t>14:06:20</t>
        </is>
      </c>
      <c r="P4032" t="inlineStr">
        <is>
          <t>F系統(終日)</t>
        </is>
      </c>
    </row>
    <row r="4033" ht="16.5" customHeight="1" s="37">
      <c r="A4033" t="n">
        <v>5</v>
      </c>
      <c r="B4033" s="10" t="inlineStr">
        <is>
          <t>休日</t>
        </is>
      </c>
      <c r="C4033" s="10" t="inlineStr">
        <is>
          <t>本線</t>
        </is>
      </c>
      <c r="D4033" s="10" t="inlineStr">
        <is>
          <t>下り</t>
        </is>
      </c>
      <c r="E4033" s="10" t="inlineStr">
        <is>
          <t>連1311</t>
        </is>
      </c>
      <c r="F4033" t="inlineStr">
        <is>
          <t>0112</t>
        </is>
      </c>
      <c r="G4033" s="10" t="inlineStr">
        <is>
          <t>帷子ノ辻</t>
        </is>
      </c>
      <c r="H4033" s="10" t="inlineStr">
        <is>
          <t>発</t>
        </is>
      </c>
      <c r="J4033" s="10" t="inlineStr">
        <is>
          <t>営業</t>
        </is>
      </c>
      <c r="L4033" t="inlineStr">
        <is>
          <t>14:08:20</t>
        </is>
      </c>
      <c r="M4033" t="inlineStr">
        <is>
          <t>14:09:40</t>
        </is>
      </c>
      <c r="P4033" t="inlineStr">
        <is>
          <t>F系統(終日)</t>
        </is>
      </c>
    </row>
    <row r="4034" ht="16.5" customHeight="1" s="37">
      <c r="A4034" t="n">
        <v>5</v>
      </c>
      <c r="B4034" s="10" t="inlineStr">
        <is>
          <t>休日</t>
        </is>
      </c>
      <c r="C4034" s="10" t="inlineStr">
        <is>
          <t>本線</t>
        </is>
      </c>
      <c r="D4034" s="10" t="inlineStr">
        <is>
          <t>下り</t>
        </is>
      </c>
      <c r="E4034" s="10" t="inlineStr">
        <is>
          <t>連1311</t>
        </is>
      </c>
      <c r="F4034" t="inlineStr">
        <is>
          <t>0112</t>
        </is>
      </c>
      <c r="G4034" s="10" t="inlineStr">
        <is>
          <t>有栖川</t>
        </is>
      </c>
      <c r="H4034" s="10" t="inlineStr">
        <is>
          <t>発</t>
        </is>
      </c>
      <c r="J4034" s="10" t="inlineStr">
        <is>
          <t>営業</t>
        </is>
      </c>
      <c r="L4034" t="inlineStr">
        <is>
          <t>14:10:50</t>
        </is>
      </c>
      <c r="M4034" t="inlineStr">
        <is>
          <t>14:11:15</t>
        </is>
      </c>
      <c r="P4034" t="inlineStr">
        <is>
          <t>F系統(終日)</t>
        </is>
      </c>
    </row>
    <row r="4035" ht="16.5" customHeight="1" s="37">
      <c r="A4035" t="n">
        <v>5</v>
      </c>
      <c r="B4035" s="10" t="inlineStr">
        <is>
          <t>休日</t>
        </is>
      </c>
      <c r="C4035" s="10" t="inlineStr">
        <is>
          <t>本線</t>
        </is>
      </c>
      <c r="D4035" s="10" t="inlineStr">
        <is>
          <t>下り</t>
        </is>
      </c>
      <c r="E4035" s="10" t="inlineStr">
        <is>
          <t>連1311</t>
        </is>
      </c>
      <c r="F4035" t="inlineStr">
        <is>
          <t>0112</t>
        </is>
      </c>
      <c r="G4035" s="10" t="inlineStr">
        <is>
          <t>車折</t>
        </is>
      </c>
      <c r="H4035" s="10" t="inlineStr">
        <is>
          <t>発</t>
        </is>
      </c>
      <c r="J4035" s="10" t="inlineStr">
        <is>
          <t>営業</t>
        </is>
      </c>
      <c r="L4035" t="inlineStr">
        <is>
          <t>14:12:40</t>
        </is>
      </c>
      <c r="M4035" t="inlineStr">
        <is>
          <t>14:13:05</t>
        </is>
      </c>
      <c r="P4035" t="inlineStr">
        <is>
          <t>F系統(終日)</t>
        </is>
      </c>
    </row>
    <row r="4036" ht="16.5" customHeight="1" s="37">
      <c r="A4036" t="n">
        <v>5</v>
      </c>
      <c r="B4036" s="10" t="inlineStr">
        <is>
          <t>休日</t>
        </is>
      </c>
      <c r="C4036" s="10" t="inlineStr">
        <is>
          <t>本線</t>
        </is>
      </c>
      <c r="D4036" s="10" t="inlineStr">
        <is>
          <t>下り</t>
        </is>
      </c>
      <c r="E4036" s="10" t="inlineStr">
        <is>
          <t>連1311</t>
        </is>
      </c>
      <c r="F4036" t="inlineStr">
        <is>
          <t>0112</t>
        </is>
      </c>
      <c r="G4036" s="10" t="inlineStr">
        <is>
          <t>鹿王院</t>
        </is>
      </c>
      <c r="H4036" s="10" t="inlineStr">
        <is>
          <t>発</t>
        </is>
      </c>
      <c r="J4036" s="10" t="inlineStr">
        <is>
          <t>営業</t>
        </is>
      </c>
      <c r="L4036" t="inlineStr">
        <is>
          <t>14:14:00</t>
        </is>
      </c>
      <c r="M4036" t="inlineStr">
        <is>
          <t>14:14:25</t>
        </is>
      </c>
      <c r="P4036" t="inlineStr">
        <is>
          <t>F系統(終日)</t>
        </is>
      </c>
    </row>
    <row r="4037" ht="16.5" customHeight="1" s="37">
      <c r="A4037" t="n">
        <v>5</v>
      </c>
      <c r="B4037" s="10" t="inlineStr">
        <is>
          <t>休日</t>
        </is>
      </c>
      <c r="C4037" s="10" t="inlineStr">
        <is>
          <t>本線</t>
        </is>
      </c>
      <c r="D4037" s="10" t="inlineStr">
        <is>
          <t>下り</t>
        </is>
      </c>
      <c r="E4037" s="10" t="inlineStr">
        <is>
          <t>連1311</t>
        </is>
      </c>
      <c r="F4037" t="inlineStr">
        <is>
          <t>0112</t>
        </is>
      </c>
      <c r="G4037" s="10" t="inlineStr">
        <is>
          <t>嵯峨</t>
        </is>
      </c>
      <c r="H4037" s="10" t="inlineStr">
        <is>
          <t>発</t>
        </is>
      </c>
      <c r="J4037" s="10" t="inlineStr">
        <is>
          <t>営業</t>
        </is>
      </c>
      <c r="L4037" t="inlineStr">
        <is>
          <t>14:15:30</t>
        </is>
      </c>
      <c r="M4037" t="inlineStr">
        <is>
          <t>14:15:55</t>
        </is>
      </c>
      <c r="P4037" t="inlineStr">
        <is>
          <t>F系統(終日)</t>
        </is>
      </c>
    </row>
    <row r="4038" ht="16.5" customHeight="1" s="37">
      <c r="A4038" t="n">
        <v>5</v>
      </c>
      <c r="B4038" s="10" t="inlineStr">
        <is>
          <t>休日</t>
        </is>
      </c>
      <c r="C4038" s="10" t="inlineStr">
        <is>
          <t>本線</t>
        </is>
      </c>
      <c r="D4038" s="10" t="inlineStr">
        <is>
          <t>下り</t>
        </is>
      </c>
      <c r="E4038" s="10" t="inlineStr">
        <is>
          <t>連1311</t>
        </is>
      </c>
      <c r="F4038" t="inlineStr">
        <is>
          <t>0112</t>
        </is>
      </c>
      <c r="G4038" s="10" t="inlineStr">
        <is>
          <t>嵐山</t>
        </is>
      </c>
      <c r="H4038" s="10" t="inlineStr">
        <is>
          <t>着</t>
        </is>
      </c>
      <c r="J4038" s="10" t="inlineStr">
        <is>
          <t>営業</t>
        </is>
      </c>
      <c r="L4038" t="inlineStr">
        <is>
          <t>14:17:00</t>
        </is>
      </c>
      <c r="P4038" t="inlineStr">
        <is>
          <t>F系統(終日)</t>
        </is>
      </c>
      <c r="Q4038" t="inlineStr">
        <is>
          <t>1</t>
        </is>
      </c>
    </row>
    <row r="4039" ht="16.5" customHeight="1" s="37">
      <c r="A4039" t="n">
        <v>5</v>
      </c>
      <c r="B4039" s="10" t="inlineStr">
        <is>
          <t>休日</t>
        </is>
      </c>
      <c r="C4039" s="10" t="inlineStr">
        <is>
          <t>本線</t>
        </is>
      </c>
      <c r="D4039" s="10" t="inlineStr">
        <is>
          <t>上り</t>
        </is>
      </c>
      <c r="E4039" s="10" t="inlineStr">
        <is>
          <t>連1406</t>
        </is>
      </c>
      <c r="F4039" t="inlineStr">
        <is>
          <t>0211</t>
        </is>
      </c>
      <c r="G4039" s="10" t="inlineStr">
        <is>
          <t>嵐山</t>
        </is>
      </c>
      <c r="H4039" s="10" t="inlineStr">
        <is>
          <t>発</t>
        </is>
      </c>
      <c r="J4039" s="10" t="inlineStr">
        <is>
          <t>営業</t>
        </is>
      </c>
      <c r="M4039" t="inlineStr">
        <is>
          <t>14:23:00</t>
        </is>
      </c>
      <c r="P4039" t="inlineStr">
        <is>
          <t>F系統(終日)</t>
        </is>
      </c>
      <c r="Q4039" t="inlineStr">
        <is>
          <t>1</t>
        </is>
      </c>
    </row>
    <row r="4040" ht="16.5" customHeight="1" s="37">
      <c r="A4040" t="n">
        <v>5</v>
      </c>
      <c r="B4040" s="10" t="inlineStr">
        <is>
          <t>休日</t>
        </is>
      </c>
      <c r="C4040" s="10" t="inlineStr">
        <is>
          <t>本線</t>
        </is>
      </c>
      <c r="D4040" s="10" t="inlineStr">
        <is>
          <t>上り</t>
        </is>
      </c>
      <c r="E4040" s="10" t="inlineStr">
        <is>
          <t>連1406</t>
        </is>
      </c>
      <c r="F4040" t="inlineStr">
        <is>
          <t>0211</t>
        </is>
      </c>
      <c r="G4040" s="10" t="inlineStr">
        <is>
          <t>嵯峨</t>
        </is>
      </c>
      <c r="H4040" s="10" t="inlineStr">
        <is>
          <t>発</t>
        </is>
      </c>
      <c r="J4040" s="10" t="inlineStr">
        <is>
          <t>営業</t>
        </is>
      </c>
      <c r="L4040" t="inlineStr">
        <is>
          <t>14:23:55</t>
        </is>
      </c>
      <c r="M4040" t="inlineStr">
        <is>
          <t>14:24:20</t>
        </is>
      </c>
      <c r="P4040" t="inlineStr">
        <is>
          <t>F系統(終日)</t>
        </is>
      </c>
    </row>
    <row r="4041" ht="16.5" customHeight="1" s="37">
      <c r="A4041" t="n">
        <v>5</v>
      </c>
      <c r="B4041" s="10" t="inlineStr">
        <is>
          <t>休日</t>
        </is>
      </c>
      <c r="C4041" s="10" t="inlineStr">
        <is>
          <t>本線</t>
        </is>
      </c>
      <c r="D4041" s="10" t="inlineStr">
        <is>
          <t>上り</t>
        </is>
      </c>
      <c r="E4041" s="10" t="inlineStr">
        <is>
          <t>連1406</t>
        </is>
      </c>
      <c r="F4041" t="inlineStr">
        <is>
          <t>0211</t>
        </is>
      </c>
      <c r="G4041" s="10" t="inlineStr">
        <is>
          <t>鹿王院</t>
        </is>
      </c>
      <c r="H4041" s="10" t="inlineStr">
        <is>
          <t>発</t>
        </is>
      </c>
      <c r="J4041" s="10" t="inlineStr">
        <is>
          <t>営業</t>
        </is>
      </c>
      <c r="L4041" t="inlineStr">
        <is>
          <t>14:25:25</t>
        </is>
      </c>
      <c r="M4041" t="inlineStr">
        <is>
          <t>14:25:45</t>
        </is>
      </c>
      <c r="P4041" t="inlineStr">
        <is>
          <t>F系統(終日)</t>
        </is>
      </c>
    </row>
    <row r="4042" ht="16.5" customHeight="1" s="37">
      <c r="A4042" t="n">
        <v>5</v>
      </c>
      <c r="B4042" s="10" t="inlineStr">
        <is>
          <t>休日</t>
        </is>
      </c>
      <c r="C4042" s="10" t="inlineStr">
        <is>
          <t>本線</t>
        </is>
      </c>
      <c r="D4042" s="10" t="inlineStr">
        <is>
          <t>上り</t>
        </is>
      </c>
      <c r="E4042" s="10" t="inlineStr">
        <is>
          <t>連1406</t>
        </is>
      </c>
      <c r="F4042" t="inlineStr">
        <is>
          <t>0211</t>
        </is>
      </c>
      <c r="G4042" s="10" t="inlineStr">
        <is>
          <t>車折</t>
        </is>
      </c>
      <c r="H4042" s="10" t="inlineStr">
        <is>
          <t>発</t>
        </is>
      </c>
      <c r="J4042" s="10" t="inlineStr">
        <is>
          <t>営業</t>
        </is>
      </c>
      <c r="L4042" t="inlineStr">
        <is>
          <t>14:26:40</t>
        </is>
      </c>
      <c r="M4042" t="inlineStr">
        <is>
          <t>14:27:10</t>
        </is>
      </c>
      <c r="P4042" t="inlineStr">
        <is>
          <t>F系統(終日)</t>
        </is>
      </c>
    </row>
    <row r="4043" ht="16.5" customHeight="1" s="37">
      <c r="A4043" t="n">
        <v>5</v>
      </c>
      <c r="B4043" s="10" t="inlineStr">
        <is>
          <t>休日</t>
        </is>
      </c>
      <c r="C4043" s="10" t="inlineStr">
        <is>
          <t>本線</t>
        </is>
      </c>
      <c r="D4043" s="10" t="inlineStr">
        <is>
          <t>上り</t>
        </is>
      </c>
      <c r="E4043" s="10" t="inlineStr">
        <is>
          <t>連1406</t>
        </is>
      </c>
      <c r="F4043" t="inlineStr">
        <is>
          <t>0211</t>
        </is>
      </c>
      <c r="G4043" s="10" t="inlineStr">
        <is>
          <t>有栖川</t>
        </is>
      </c>
      <c r="H4043" s="10" t="inlineStr">
        <is>
          <t>発</t>
        </is>
      </c>
      <c r="J4043" s="10" t="inlineStr">
        <is>
          <t>営業</t>
        </is>
      </c>
      <c r="L4043" t="inlineStr">
        <is>
          <t>14:28:35</t>
        </is>
      </c>
      <c r="M4043" t="inlineStr">
        <is>
          <t>14:28:55</t>
        </is>
      </c>
      <c r="P4043" t="inlineStr">
        <is>
          <t>F系統(終日)</t>
        </is>
      </c>
    </row>
    <row r="4044" ht="16.5" customHeight="1" s="37">
      <c r="A4044" t="n">
        <v>5</v>
      </c>
      <c r="B4044" s="10" t="inlineStr">
        <is>
          <t>休日</t>
        </is>
      </c>
      <c r="C4044" s="10" t="inlineStr">
        <is>
          <t>本線</t>
        </is>
      </c>
      <c r="D4044" s="10" t="inlineStr">
        <is>
          <t>上り</t>
        </is>
      </c>
      <c r="E4044" s="10" t="inlineStr">
        <is>
          <t>連1406</t>
        </is>
      </c>
      <c r="F4044" t="inlineStr">
        <is>
          <t>0211</t>
        </is>
      </c>
      <c r="G4044" s="10" t="inlineStr">
        <is>
          <t>帷子ノ辻</t>
        </is>
      </c>
      <c r="H4044" s="10" t="inlineStr">
        <is>
          <t>発</t>
        </is>
      </c>
      <c r="J4044" s="10" t="inlineStr">
        <is>
          <t>営業</t>
        </is>
      </c>
      <c r="L4044" t="inlineStr">
        <is>
          <t>14:30:10</t>
        </is>
      </c>
      <c r="M4044" t="inlineStr">
        <is>
          <t>14:31:15</t>
        </is>
      </c>
      <c r="P4044" t="inlineStr">
        <is>
          <t>F系統(終日)</t>
        </is>
      </c>
    </row>
    <row r="4045" ht="16.5" customHeight="1" s="37">
      <c r="A4045" t="n">
        <v>5</v>
      </c>
      <c r="B4045" s="10" t="inlineStr">
        <is>
          <t>休日</t>
        </is>
      </c>
      <c r="C4045" s="10" t="inlineStr">
        <is>
          <t>本線</t>
        </is>
      </c>
      <c r="D4045" s="10" t="inlineStr">
        <is>
          <t>上り</t>
        </is>
      </c>
      <c r="E4045" s="10" t="inlineStr">
        <is>
          <t>連1406</t>
        </is>
      </c>
      <c r="F4045" t="inlineStr">
        <is>
          <t>0211</t>
        </is>
      </c>
      <c r="G4045" s="10" t="inlineStr">
        <is>
          <t>太秦広隆寺</t>
        </is>
      </c>
      <c r="H4045" s="10" t="inlineStr">
        <is>
          <t>発</t>
        </is>
      </c>
      <c r="J4045" s="10" t="inlineStr">
        <is>
          <t>営業</t>
        </is>
      </c>
      <c r="L4045" t="inlineStr">
        <is>
          <t>14:33:25</t>
        </is>
      </c>
      <c r="M4045" t="inlineStr">
        <is>
          <t>14:33:45</t>
        </is>
      </c>
      <c r="P4045" t="inlineStr">
        <is>
          <t>F系統(終日)</t>
        </is>
      </c>
    </row>
    <row r="4046" ht="16.5" customHeight="1" s="37">
      <c r="A4046" t="n">
        <v>5</v>
      </c>
      <c r="B4046" s="10" t="inlineStr">
        <is>
          <t>休日</t>
        </is>
      </c>
      <c r="C4046" s="10" t="inlineStr">
        <is>
          <t>本線</t>
        </is>
      </c>
      <c r="D4046" s="10" t="inlineStr">
        <is>
          <t>上り</t>
        </is>
      </c>
      <c r="E4046" s="10" t="inlineStr">
        <is>
          <t>連1406</t>
        </is>
      </c>
      <c r="F4046" t="inlineStr">
        <is>
          <t>0211</t>
        </is>
      </c>
      <c r="G4046" s="10" t="inlineStr">
        <is>
          <t>蚕ノ社</t>
        </is>
      </c>
      <c r="H4046" s="10" t="inlineStr">
        <is>
          <t>発</t>
        </is>
      </c>
      <c r="J4046" s="10" t="inlineStr">
        <is>
          <t>営業</t>
        </is>
      </c>
      <c r="L4046" t="inlineStr">
        <is>
          <t>14:35:00</t>
        </is>
      </c>
      <c r="M4046" t="inlineStr">
        <is>
          <t>14:35:20</t>
        </is>
      </c>
      <c r="P4046" t="inlineStr">
        <is>
          <t>F系統(終日)</t>
        </is>
      </c>
    </row>
    <row r="4047" ht="16.5" customHeight="1" s="37">
      <c r="A4047" t="n">
        <v>5</v>
      </c>
      <c r="B4047" s="10" t="inlineStr">
        <is>
          <t>休日</t>
        </is>
      </c>
      <c r="C4047" s="10" t="inlineStr">
        <is>
          <t>本線</t>
        </is>
      </c>
      <c r="D4047" s="10" t="inlineStr">
        <is>
          <t>上り</t>
        </is>
      </c>
      <c r="E4047" s="10" t="inlineStr">
        <is>
          <t>連1406</t>
        </is>
      </c>
      <c r="F4047" t="inlineStr">
        <is>
          <t>0211</t>
        </is>
      </c>
      <c r="G4047" s="10" t="inlineStr">
        <is>
          <t>天神川</t>
        </is>
      </c>
      <c r="H4047" s="10" t="inlineStr">
        <is>
          <t>発</t>
        </is>
      </c>
      <c r="J4047" s="10" t="inlineStr">
        <is>
          <t>営業</t>
        </is>
      </c>
      <c r="L4047" t="inlineStr">
        <is>
          <t>14:36:05</t>
        </is>
      </c>
      <c r="M4047" t="inlineStr">
        <is>
          <t>14:36:50</t>
        </is>
      </c>
      <c r="P4047" t="inlineStr">
        <is>
          <t>F系統(終日)</t>
        </is>
      </c>
    </row>
    <row r="4048" ht="16.5" customHeight="1" s="37">
      <c r="A4048" t="n">
        <v>5</v>
      </c>
      <c r="B4048" s="10" t="inlineStr">
        <is>
          <t>休日</t>
        </is>
      </c>
      <c r="C4048" s="10" t="inlineStr">
        <is>
          <t>本線</t>
        </is>
      </c>
      <c r="D4048" s="10" t="inlineStr">
        <is>
          <t>上り</t>
        </is>
      </c>
      <c r="E4048" s="10" t="inlineStr">
        <is>
          <t>連1406</t>
        </is>
      </c>
      <c r="F4048" t="inlineStr">
        <is>
          <t>0211</t>
        </is>
      </c>
      <c r="G4048" s="10" t="inlineStr">
        <is>
          <t>山ノ内</t>
        </is>
      </c>
      <c r="H4048" s="10" t="inlineStr">
        <is>
          <t>発</t>
        </is>
      </c>
      <c r="J4048" s="10" t="inlineStr">
        <is>
          <t>営業</t>
        </is>
      </c>
      <c r="L4048" t="inlineStr">
        <is>
          <t>14:38:40</t>
        </is>
      </c>
      <c r="M4048" t="inlineStr">
        <is>
          <t>14:39:05</t>
        </is>
      </c>
      <c r="P4048" t="inlineStr">
        <is>
          <t>F系統(終日)</t>
        </is>
      </c>
    </row>
    <row r="4049" ht="16.5" customHeight="1" s="37">
      <c r="A4049" t="n">
        <v>5</v>
      </c>
      <c r="B4049" s="10" t="inlineStr">
        <is>
          <t>休日</t>
        </is>
      </c>
      <c r="C4049" s="10" t="inlineStr">
        <is>
          <t>本線</t>
        </is>
      </c>
      <c r="D4049" s="10" t="inlineStr">
        <is>
          <t>上り</t>
        </is>
      </c>
      <c r="E4049" s="10" t="inlineStr">
        <is>
          <t>連1406</t>
        </is>
      </c>
      <c r="F4049" t="inlineStr">
        <is>
          <t>0211</t>
        </is>
      </c>
      <c r="G4049" s="10" t="inlineStr">
        <is>
          <t>西大路三条</t>
        </is>
      </c>
      <c r="H4049" s="10" t="inlineStr">
        <is>
          <t>発</t>
        </is>
      </c>
      <c r="J4049" s="10" t="inlineStr">
        <is>
          <t>営業</t>
        </is>
      </c>
      <c r="L4049" t="inlineStr">
        <is>
          <t>14:40:55</t>
        </is>
      </c>
      <c r="M4049" t="inlineStr">
        <is>
          <t>14:41:15</t>
        </is>
      </c>
      <c r="P4049" t="inlineStr">
        <is>
          <t>F系統(終日)</t>
        </is>
      </c>
    </row>
    <row r="4050" ht="16.5" customHeight="1" s="37">
      <c r="A4050" t="n">
        <v>5</v>
      </c>
      <c r="B4050" s="10" t="inlineStr">
        <is>
          <t>休日</t>
        </is>
      </c>
      <c r="C4050" s="10" t="inlineStr">
        <is>
          <t>本線</t>
        </is>
      </c>
      <c r="D4050" s="10" t="inlineStr">
        <is>
          <t>上り</t>
        </is>
      </c>
      <c r="E4050" s="10" t="inlineStr">
        <is>
          <t>連1406</t>
        </is>
      </c>
      <c r="F4050" t="inlineStr">
        <is>
          <t>0211</t>
        </is>
      </c>
      <c r="G4050" s="10" t="inlineStr">
        <is>
          <t>西院</t>
        </is>
      </c>
      <c r="H4050" s="10" t="inlineStr">
        <is>
          <t>発</t>
        </is>
      </c>
      <c r="J4050" s="10" t="inlineStr">
        <is>
          <t>営業</t>
        </is>
      </c>
      <c r="L4050" t="inlineStr">
        <is>
          <t>14:43:10</t>
        </is>
      </c>
      <c r="M4050" t="inlineStr">
        <is>
          <t>14:44:05</t>
        </is>
      </c>
      <c r="P4050" t="inlineStr">
        <is>
          <t>F系統(終日)</t>
        </is>
      </c>
    </row>
    <row r="4051" ht="16.5" customHeight="1" s="37">
      <c r="A4051" t="n">
        <v>5</v>
      </c>
      <c r="B4051" s="10" t="inlineStr">
        <is>
          <t>休日</t>
        </is>
      </c>
      <c r="C4051" s="10" t="inlineStr">
        <is>
          <t>本線</t>
        </is>
      </c>
      <c r="D4051" s="10" t="inlineStr">
        <is>
          <t>上り</t>
        </is>
      </c>
      <c r="E4051" s="10" t="inlineStr">
        <is>
          <t>連1406</t>
        </is>
      </c>
      <c r="F4051" t="inlineStr">
        <is>
          <t>0211</t>
        </is>
      </c>
      <c r="G4051" s="10" t="inlineStr">
        <is>
          <t>四条大宮</t>
        </is>
      </c>
      <c r="H4051" s="10" t="inlineStr">
        <is>
          <t>着</t>
        </is>
      </c>
      <c r="J4051" s="10" t="inlineStr">
        <is>
          <t>営業</t>
        </is>
      </c>
      <c r="L4051" t="inlineStr">
        <is>
          <t>14:47:00</t>
        </is>
      </c>
      <c r="P4051" t="inlineStr">
        <is>
          <t>F系統(終日)</t>
        </is>
      </c>
      <c r="Q4051" t="inlineStr">
        <is>
          <t>1</t>
        </is>
      </c>
    </row>
    <row r="4052" ht="16.5" customHeight="1" s="37">
      <c r="A4052" t="n">
        <v>5</v>
      </c>
      <c r="B4052" s="10" t="inlineStr">
        <is>
          <t>休日</t>
        </is>
      </c>
      <c r="C4052" s="10" t="inlineStr">
        <is>
          <t>本線</t>
        </is>
      </c>
      <c r="D4052" s="10" t="inlineStr">
        <is>
          <t>下り</t>
        </is>
      </c>
      <c r="E4052" s="10" t="inlineStr">
        <is>
          <t>連1411</t>
        </is>
      </c>
      <c r="F4052" t="inlineStr">
        <is>
          <t>0112</t>
        </is>
      </c>
      <c r="G4052" s="10" t="inlineStr">
        <is>
          <t>四条大宮</t>
        </is>
      </c>
      <c r="H4052" s="10" t="inlineStr">
        <is>
          <t>発</t>
        </is>
      </c>
      <c r="J4052" s="10" t="inlineStr">
        <is>
          <t>営業</t>
        </is>
      </c>
      <c r="M4052" t="inlineStr">
        <is>
          <t>14:53:00</t>
        </is>
      </c>
      <c r="P4052" t="inlineStr">
        <is>
          <t>F系統(終日)</t>
        </is>
      </c>
      <c r="Q4052" t="inlineStr">
        <is>
          <t>1</t>
        </is>
      </c>
    </row>
    <row r="4053" ht="16.5" customHeight="1" s="37">
      <c r="A4053" t="n">
        <v>5</v>
      </c>
      <c r="B4053" s="10" t="inlineStr">
        <is>
          <t>休日</t>
        </is>
      </c>
      <c r="C4053" s="10" t="inlineStr">
        <is>
          <t>本線</t>
        </is>
      </c>
      <c r="D4053" s="10" t="inlineStr">
        <is>
          <t>下り</t>
        </is>
      </c>
      <c r="E4053" s="10" t="inlineStr">
        <is>
          <t>連1411</t>
        </is>
      </c>
      <c r="F4053" t="inlineStr">
        <is>
          <t>0112</t>
        </is>
      </c>
      <c r="G4053" s="10" t="inlineStr">
        <is>
          <t>西院</t>
        </is>
      </c>
      <c r="H4053" s="10" t="inlineStr">
        <is>
          <t>着</t>
        </is>
      </c>
      <c r="J4053" s="10" t="inlineStr">
        <is>
          <t>営業</t>
        </is>
      </c>
      <c r="L4053" t="inlineStr">
        <is>
          <t>14:55:50</t>
        </is>
      </c>
      <c r="M4053" t="inlineStr">
        <is>
          <t>14:56:20</t>
        </is>
      </c>
      <c r="P4053" t="inlineStr">
        <is>
          <t>F系統(終日)</t>
        </is>
      </c>
      <c r="T4053" t="inlineStr">
        <is>
          <t>○</t>
        </is>
      </c>
    </row>
    <row r="4054" ht="16.5" customHeight="1" s="37">
      <c r="A4054" t="n">
        <v>6</v>
      </c>
      <c r="B4054" s="10" t="inlineStr">
        <is>
          <t>休日</t>
        </is>
      </c>
      <c r="C4054" s="10" t="inlineStr">
        <is>
          <t>本線</t>
        </is>
      </c>
      <c r="D4054" s="10" t="inlineStr">
        <is>
          <t>下り</t>
        </is>
      </c>
      <c r="E4054" t="inlineStr">
        <is>
          <t>0701</t>
        </is>
      </c>
      <c r="F4054" t="inlineStr">
        <is>
          <t>0122</t>
        </is>
      </c>
      <c r="G4054" s="10" t="inlineStr">
        <is>
          <t>四条大宮</t>
        </is>
      </c>
      <c r="H4054" s="10" t="inlineStr">
        <is>
          <t>発</t>
        </is>
      </c>
      <c r="J4054" s="10" t="inlineStr">
        <is>
          <t>営業</t>
        </is>
      </c>
      <c r="M4054" t="inlineStr">
        <is>
          <t>7:03:00</t>
        </is>
      </c>
      <c r="Q4054" t="inlineStr">
        <is>
          <t>1</t>
        </is>
      </c>
    </row>
    <row r="4055" ht="16.5" customHeight="1" s="37">
      <c r="A4055" t="n">
        <v>6</v>
      </c>
      <c r="B4055" s="10" t="inlineStr">
        <is>
          <t>休日</t>
        </is>
      </c>
      <c r="C4055" s="10" t="inlineStr">
        <is>
          <t>本線</t>
        </is>
      </c>
      <c r="D4055" s="10" t="inlineStr">
        <is>
          <t>下り</t>
        </is>
      </c>
      <c r="E4055" t="inlineStr">
        <is>
          <t>0701</t>
        </is>
      </c>
      <c r="F4055" t="inlineStr">
        <is>
          <t>0122</t>
        </is>
      </c>
      <c r="G4055" s="10" t="inlineStr">
        <is>
          <t>西院</t>
        </is>
      </c>
      <c r="H4055" s="10" t="inlineStr">
        <is>
          <t>発</t>
        </is>
      </c>
      <c r="J4055" s="10" t="inlineStr">
        <is>
          <t>営業</t>
        </is>
      </c>
      <c r="L4055" t="inlineStr">
        <is>
          <t>7:05:50</t>
        </is>
      </c>
      <c r="M4055" t="inlineStr">
        <is>
          <t>7:06:20</t>
        </is>
      </c>
    </row>
    <row r="4056" ht="16.5" customHeight="1" s="37">
      <c r="A4056" t="n">
        <v>6</v>
      </c>
      <c r="B4056" s="10" t="inlineStr">
        <is>
          <t>休日</t>
        </is>
      </c>
      <c r="C4056" s="10" t="inlineStr">
        <is>
          <t>本線</t>
        </is>
      </c>
      <c r="D4056" s="10" t="inlineStr">
        <is>
          <t>下り</t>
        </is>
      </c>
      <c r="E4056" t="inlineStr">
        <is>
          <t>0701</t>
        </is>
      </c>
      <c r="F4056" t="inlineStr">
        <is>
          <t>0122</t>
        </is>
      </c>
      <c r="G4056" s="10" t="inlineStr">
        <is>
          <t>西大路三条</t>
        </is>
      </c>
      <c r="H4056" s="10" t="inlineStr">
        <is>
          <t>発</t>
        </is>
      </c>
      <c r="J4056" s="10" t="inlineStr">
        <is>
          <t>営業</t>
        </is>
      </c>
      <c r="L4056" t="inlineStr">
        <is>
          <t>7:08:10</t>
        </is>
      </c>
      <c r="M4056" t="inlineStr">
        <is>
          <t>7:08:30</t>
        </is>
      </c>
    </row>
    <row r="4057" ht="16.5" customHeight="1" s="37">
      <c r="A4057" t="n">
        <v>6</v>
      </c>
      <c r="B4057" s="10" t="inlineStr">
        <is>
          <t>休日</t>
        </is>
      </c>
      <c r="C4057" s="10" t="inlineStr">
        <is>
          <t>本線</t>
        </is>
      </c>
      <c r="D4057" s="10" t="inlineStr">
        <is>
          <t>下り</t>
        </is>
      </c>
      <c r="E4057" t="inlineStr">
        <is>
          <t>0701</t>
        </is>
      </c>
      <c r="F4057" t="inlineStr">
        <is>
          <t>0122</t>
        </is>
      </c>
      <c r="G4057" s="10" t="inlineStr">
        <is>
          <t>山ノ内</t>
        </is>
      </c>
      <c r="H4057" s="10" t="inlineStr">
        <is>
          <t>発</t>
        </is>
      </c>
      <c r="J4057" s="10" t="inlineStr">
        <is>
          <t>営業</t>
        </is>
      </c>
      <c r="L4057" t="inlineStr">
        <is>
          <t>7:10:25</t>
        </is>
      </c>
      <c r="M4057" t="inlineStr">
        <is>
          <t>7:10:50</t>
        </is>
      </c>
    </row>
    <row r="4058" ht="16.5" customHeight="1" s="37">
      <c r="A4058" t="n">
        <v>6</v>
      </c>
      <c r="B4058" s="10" t="inlineStr">
        <is>
          <t>休日</t>
        </is>
      </c>
      <c r="C4058" s="10" t="inlineStr">
        <is>
          <t>本線</t>
        </is>
      </c>
      <c r="D4058" s="10" t="inlineStr">
        <is>
          <t>下り</t>
        </is>
      </c>
      <c r="E4058" t="inlineStr">
        <is>
          <t>0701</t>
        </is>
      </c>
      <c r="F4058" t="inlineStr">
        <is>
          <t>0122</t>
        </is>
      </c>
      <c r="G4058" s="10" t="inlineStr">
        <is>
          <t>天神川</t>
        </is>
      </c>
      <c r="H4058" s="10" t="inlineStr">
        <is>
          <t>発</t>
        </is>
      </c>
      <c r="J4058" s="10" t="inlineStr">
        <is>
          <t>営業</t>
        </is>
      </c>
      <c r="L4058" t="inlineStr">
        <is>
          <t>7:12:50</t>
        </is>
      </c>
      <c r="M4058" t="inlineStr">
        <is>
          <t>7:13:30</t>
        </is>
      </c>
    </row>
    <row r="4059" ht="16.5" customHeight="1" s="37">
      <c r="A4059" t="n">
        <v>6</v>
      </c>
      <c r="B4059" s="10" t="inlineStr">
        <is>
          <t>休日</t>
        </is>
      </c>
      <c r="C4059" s="10" t="inlineStr">
        <is>
          <t>本線</t>
        </is>
      </c>
      <c r="D4059" s="10" t="inlineStr">
        <is>
          <t>下り</t>
        </is>
      </c>
      <c r="E4059" t="inlineStr">
        <is>
          <t>0701</t>
        </is>
      </c>
      <c r="F4059" t="inlineStr">
        <is>
          <t>0122</t>
        </is>
      </c>
      <c r="G4059" s="10" t="inlineStr">
        <is>
          <t>蚕ノ社</t>
        </is>
      </c>
      <c r="H4059" s="10" t="inlineStr">
        <is>
          <t>発</t>
        </is>
      </c>
      <c r="J4059" s="10" t="inlineStr">
        <is>
          <t>営業</t>
        </is>
      </c>
      <c r="L4059" t="inlineStr">
        <is>
          <t>7:14:20</t>
        </is>
      </c>
      <c r="M4059" t="inlineStr">
        <is>
          <t>7:14:40</t>
        </is>
      </c>
    </row>
    <row r="4060" ht="16.5" customHeight="1" s="37">
      <c r="A4060" t="n">
        <v>6</v>
      </c>
      <c r="B4060" s="10" t="inlineStr">
        <is>
          <t>休日</t>
        </is>
      </c>
      <c r="C4060" s="10" t="inlineStr">
        <is>
          <t>本線</t>
        </is>
      </c>
      <c r="D4060" s="10" t="inlineStr">
        <is>
          <t>下り</t>
        </is>
      </c>
      <c r="E4060" t="inlineStr">
        <is>
          <t>0701</t>
        </is>
      </c>
      <c r="F4060" t="inlineStr">
        <is>
          <t>0122</t>
        </is>
      </c>
      <c r="G4060" s="10" t="inlineStr">
        <is>
          <t>太秦広隆寺</t>
        </is>
      </c>
      <c r="H4060" s="10" t="inlineStr">
        <is>
          <t>発</t>
        </is>
      </c>
      <c r="J4060" s="10" t="inlineStr">
        <is>
          <t>営業</t>
        </is>
      </c>
      <c r="L4060" t="inlineStr">
        <is>
          <t>7:16:00</t>
        </is>
      </c>
      <c r="M4060" t="inlineStr">
        <is>
          <t>7:16:20</t>
        </is>
      </c>
    </row>
    <row r="4061" ht="16.5" customHeight="1" s="37">
      <c r="A4061" t="n">
        <v>6</v>
      </c>
      <c r="B4061" s="10" t="inlineStr">
        <is>
          <t>休日</t>
        </is>
      </c>
      <c r="C4061" s="10" t="inlineStr">
        <is>
          <t>本線</t>
        </is>
      </c>
      <c r="D4061" s="10" t="inlineStr">
        <is>
          <t>下り</t>
        </is>
      </c>
      <c r="E4061" t="inlineStr">
        <is>
          <t>0701</t>
        </is>
      </c>
      <c r="F4061" t="inlineStr">
        <is>
          <t>0122</t>
        </is>
      </c>
      <c r="G4061" s="10" t="inlineStr">
        <is>
          <t>帷子ノ辻</t>
        </is>
      </c>
      <c r="H4061" s="10" t="inlineStr">
        <is>
          <t>発</t>
        </is>
      </c>
      <c r="J4061" s="10" t="inlineStr">
        <is>
          <t>営業</t>
        </is>
      </c>
      <c r="L4061" t="inlineStr">
        <is>
          <t>7:18:20</t>
        </is>
      </c>
      <c r="M4061" t="inlineStr">
        <is>
          <t>7:19:40</t>
        </is>
      </c>
    </row>
    <row r="4062" ht="16.5" customHeight="1" s="37">
      <c r="A4062" t="n">
        <v>6</v>
      </c>
      <c r="B4062" s="10" t="inlineStr">
        <is>
          <t>休日</t>
        </is>
      </c>
      <c r="C4062" s="10" t="inlineStr">
        <is>
          <t>本線</t>
        </is>
      </c>
      <c r="D4062" s="10" t="inlineStr">
        <is>
          <t>下り</t>
        </is>
      </c>
      <c r="E4062" t="inlineStr">
        <is>
          <t>0701</t>
        </is>
      </c>
      <c r="F4062" t="inlineStr">
        <is>
          <t>0122</t>
        </is>
      </c>
      <c r="G4062" s="10" t="inlineStr">
        <is>
          <t>有栖川</t>
        </is>
      </c>
      <c r="H4062" s="10" t="inlineStr">
        <is>
          <t>発</t>
        </is>
      </c>
      <c r="J4062" s="10" t="inlineStr">
        <is>
          <t>営業</t>
        </is>
      </c>
      <c r="L4062" t="inlineStr">
        <is>
          <t>7:20:50</t>
        </is>
      </c>
      <c r="M4062" t="inlineStr">
        <is>
          <t>7:21:15</t>
        </is>
      </c>
    </row>
    <row r="4063" ht="16.5" customHeight="1" s="37">
      <c r="A4063" t="n">
        <v>6</v>
      </c>
      <c r="B4063" s="10" t="inlineStr">
        <is>
          <t>休日</t>
        </is>
      </c>
      <c r="C4063" s="10" t="inlineStr">
        <is>
          <t>本線</t>
        </is>
      </c>
      <c r="D4063" s="10" t="inlineStr">
        <is>
          <t>下り</t>
        </is>
      </c>
      <c r="E4063" t="inlineStr">
        <is>
          <t>0701</t>
        </is>
      </c>
      <c r="F4063" t="inlineStr">
        <is>
          <t>0122</t>
        </is>
      </c>
      <c r="G4063" s="10" t="inlineStr">
        <is>
          <t>車折</t>
        </is>
      </c>
      <c r="H4063" s="10" t="inlineStr">
        <is>
          <t>発</t>
        </is>
      </c>
      <c r="J4063" s="10" t="inlineStr">
        <is>
          <t>営業</t>
        </is>
      </c>
      <c r="L4063" t="inlineStr">
        <is>
          <t>7:22:40</t>
        </is>
      </c>
      <c r="M4063" t="inlineStr">
        <is>
          <t>7:23:05</t>
        </is>
      </c>
    </row>
    <row r="4064" ht="16.5" customHeight="1" s="37">
      <c r="A4064" t="n">
        <v>6</v>
      </c>
      <c r="B4064" s="10" t="inlineStr">
        <is>
          <t>休日</t>
        </is>
      </c>
      <c r="C4064" s="10" t="inlineStr">
        <is>
          <t>本線</t>
        </is>
      </c>
      <c r="D4064" s="10" t="inlineStr">
        <is>
          <t>下り</t>
        </is>
      </c>
      <c r="E4064" t="inlineStr">
        <is>
          <t>0701</t>
        </is>
      </c>
      <c r="F4064" t="inlineStr">
        <is>
          <t>0122</t>
        </is>
      </c>
      <c r="G4064" s="10" t="inlineStr">
        <is>
          <t>鹿王院</t>
        </is>
      </c>
      <c r="H4064" s="10" t="inlineStr">
        <is>
          <t>発</t>
        </is>
      </c>
      <c r="J4064" s="10" t="inlineStr">
        <is>
          <t>営業</t>
        </is>
      </c>
      <c r="L4064" t="inlineStr">
        <is>
          <t>7:24:00</t>
        </is>
      </c>
      <c r="M4064" t="inlineStr">
        <is>
          <t>7:24:25</t>
        </is>
      </c>
    </row>
    <row r="4065" ht="15" customHeight="1" s="37">
      <c r="A4065" t="n">
        <v>6</v>
      </c>
      <c r="B4065" s="10" t="inlineStr">
        <is>
          <t>休日</t>
        </is>
      </c>
      <c r="C4065" s="10" t="inlineStr">
        <is>
          <t>本線</t>
        </is>
      </c>
      <c r="D4065" s="10" t="inlineStr">
        <is>
          <t>下り</t>
        </is>
      </c>
      <c r="E4065" t="inlineStr">
        <is>
          <t>0701</t>
        </is>
      </c>
      <c r="F4065" t="inlineStr">
        <is>
          <t>0122</t>
        </is>
      </c>
      <c r="G4065" s="10" t="inlineStr">
        <is>
          <t>嵯峨</t>
        </is>
      </c>
      <c r="H4065" s="10" t="inlineStr">
        <is>
          <t>発</t>
        </is>
      </c>
      <c r="J4065" s="10" t="inlineStr">
        <is>
          <t>営業</t>
        </is>
      </c>
      <c r="L4065" t="inlineStr">
        <is>
          <t>7:25:30</t>
        </is>
      </c>
      <c r="M4065" t="inlineStr">
        <is>
          <t>7:25:55</t>
        </is>
      </c>
    </row>
    <row r="4066" ht="15" customHeight="1" s="37">
      <c r="A4066" t="n">
        <v>6</v>
      </c>
      <c r="B4066" s="10" t="inlineStr">
        <is>
          <t>休日</t>
        </is>
      </c>
      <c r="C4066" s="10" t="inlineStr">
        <is>
          <t>本線</t>
        </is>
      </c>
      <c r="D4066" s="10" t="inlineStr">
        <is>
          <t>下り</t>
        </is>
      </c>
      <c r="E4066" t="inlineStr">
        <is>
          <t>0701</t>
        </is>
      </c>
      <c r="F4066" t="inlineStr">
        <is>
          <t>0122</t>
        </is>
      </c>
      <c r="G4066" s="10" t="inlineStr">
        <is>
          <t>嵐山</t>
        </is>
      </c>
      <c r="H4066" s="10" t="inlineStr">
        <is>
          <t>着</t>
        </is>
      </c>
      <c r="J4066" s="10" t="inlineStr">
        <is>
          <t>営業</t>
        </is>
      </c>
      <c r="L4066" t="inlineStr">
        <is>
          <t>7:27:00</t>
        </is>
      </c>
      <c r="N4066" t="inlineStr">
        <is>
          <t>○</t>
        </is>
      </c>
      <c r="Q4066" t="inlineStr">
        <is>
          <t>1</t>
        </is>
      </c>
    </row>
    <row r="4067" ht="15" customHeight="1" s="37">
      <c r="A4067" t="n">
        <v>6</v>
      </c>
      <c r="B4067" s="10" t="inlineStr">
        <is>
          <t>休日</t>
        </is>
      </c>
      <c r="C4067" s="10" t="inlineStr">
        <is>
          <t>本線</t>
        </is>
      </c>
      <c r="D4067" s="10" t="inlineStr">
        <is>
          <t>上り</t>
        </is>
      </c>
      <c r="E4067" t="inlineStr">
        <is>
          <t>0708</t>
        </is>
      </c>
      <c r="F4067" t="inlineStr">
        <is>
          <t>2221</t>
        </is>
      </c>
      <c r="G4067" s="10" t="inlineStr">
        <is>
          <t>嵐山</t>
        </is>
      </c>
      <c r="H4067" s="10" t="inlineStr">
        <is>
          <t>発</t>
        </is>
      </c>
      <c r="J4067" s="10" t="inlineStr">
        <is>
          <t>営業</t>
        </is>
      </c>
      <c r="M4067" t="inlineStr">
        <is>
          <t>7:33:00</t>
        </is>
      </c>
      <c r="Q4067" t="inlineStr">
        <is>
          <t>1</t>
        </is>
      </c>
    </row>
    <row r="4068" ht="15" customHeight="1" s="37">
      <c r="A4068" t="n">
        <v>6</v>
      </c>
      <c r="B4068" s="10" t="inlineStr">
        <is>
          <t>休日</t>
        </is>
      </c>
      <c r="C4068" s="10" t="inlineStr">
        <is>
          <t>本線</t>
        </is>
      </c>
      <c r="D4068" s="10" t="inlineStr">
        <is>
          <t>上り</t>
        </is>
      </c>
      <c r="E4068" t="inlineStr">
        <is>
          <t>0708</t>
        </is>
      </c>
      <c r="F4068" t="inlineStr">
        <is>
          <t>2221</t>
        </is>
      </c>
      <c r="G4068" s="10" t="inlineStr">
        <is>
          <t>嵯峨</t>
        </is>
      </c>
      <c r="H4068" s="10" t="inlineStr">
        <is>
          <t>発</t>
        </is>
      </c>
      <c r="J4068" s="10" t="inlineStr">
        <is>
          <t>営業</t>
        </is>
      </c>
      <c r="L4068" t="inlineStr">
        <is>
          <t>7:33:55</t>
        </is>
      </c>
      <c r="M4068" t="inlineStr">
        <is>
          <t>7:34:20</t>
        </is>
      </c>
    </row>
    <row r="4069" ht="15" customHeight="1" s="37">
      <c r="A4069" t="n">
        <v>6</v>
      </c>
      <c r="B4069" s="10" t="inlineStr">
        <is>
          <t>休日</t>
        </is>
      </c>
      <c r="C4069" s="10" t="inlineStr">
        <is>
          <t>本線</t>
        </is>
      </c>
      <c r="D4069" s="10" t="inlineStr">
        <is>
          <t>上り</t>
        </is>
      </c>
      <c r="E4069" t="inlineStr">
        <is>
          <t>0708</t>
        </is>
      </c>
      <c r="F4069" t="inlineStr">
        <is>
          <t>2221</t>
        </is>
      </c>
      <c r="G4069" s="10" t="inlineStr">
        <is>
          <t>鹿王院</t>
        </is>
      </c>
      <c r="H4069" s="10" t="inlineStr">
        <is>
          <t>発</t>
        </is>
      </c>
      <c r="J4069" s="10" t="inlineStr">
        <is>
          <t>営業</t>
        </is>
      </c>
      <c r="L4069" t="inlineStr">
        <is>
          <t>7:35:25</t>
        </is>
      </c>
      <c r="M4069" t="inlineStr">
        <is>
          <t>7:35:45</t>
        </is>
      </c>
    </row>
    <row r="4070" ht="15" customHeight="1" s="37">
      <c r="A4070" t="n">
        <v>6</v>
      </c>
      <c r="B4070" s="10" t="inlineStr">
        <is>
          <t>休日</t>
        </is>
      </c>
      <c r="C4070" s="10" t="inlineStr">
        <is>
          <t>本線</t>
        </is>
      </c>
      <c r="D4070" s="10" t="inlineStr">
        <is>
          <t>上り</t>
        </is>
      </c>
      <c r="E4070" t="inlineStr">
        <is>
          <t>0708</t>
        </is>
      </c>
      <c r="F4070" t="inlineStr">
        <is>
          <t>2221</t>
        </is>
      </c>
      <c r="G4070" s="10" t="inlineStr">
        <is>
          <t>車折</t>
        </is>
      </c>
      <c r="H4070" s="10" t="inlineStr">
        <is>
          <t>発</t>
        </is>
      </c>
      <c r="J4070" s="10" t="inlineStr">
        <is>
          <t>営業</t>
        </is>
      </c>
      <c r="L4070" t="inlineStr">
        <is>
          <t>7:36:40</t>
        </is>
      </c>
      <c r="M4070" t="inlineStr">
        <is>
          <t>7:37:10</t>
        </is>
      </c>
    </row>
    <row r="4071" ht="15" customHeight="1" s="37">
      <c r="A4071" t="n">
        <v>6</v>
      </c>
      <c r="B4071" s="10" t="inlineStr">
        <is>
          <t>休日</t>
        </is>
      </c>
      <c r="C4071" s="10" t="inlineStr">
        <is>
          <t>本線</t>
        </is>
      </c>
      <c r="D4071" s="10" t="inlineStr">
        <is>
          <t>上り</t>
        </is>
      </c>
      <c r="E4071" t="inlineStr">
        <is>
          <t>0708</t>
        </is>
      </c>
      <c r="F4071" t="inlineStr">
        <is>
          <t>2221</t>
        </is>
      </c>
      <c r="G4071" s="10" t="inlineStr">
        <is>
          <t>有栖川</t>
        </is>
      </c>
      <c r="H4071" s="10" t="inlineStr">
        <is>
          <t>発</t>
        </is>
      </c>
      <c r="J4071" s="10" t="inlineStr">
        <is>
          <t>営業</t>
        </is>
      </c>
      <c r="L4071" t="inlineStr">
        <is>
          <t>7:38:35</t>
        </is>
      </c>
      <c r="M4071" t="inlineStr">
        <is>
          <t>7:38:55</t>
        </is>
      </c>
    </row>
    <row r="4072" ht="15" customHeight="1" s="37">
      <c r="A4072" t="n">
        <v>6</v>
      </c>
      <c r="B4072" s="10" t="inlineStr">
        <is>
          <t>休日</t>
        </is>
      </c>
      <c r="C4072" s="10" t="inlineStr">
        <is>
          <t>本線</t>
        </is>
      </c>
      <c r="D4072" s="10" t="inlineStr">
        <is>
          <t>上り</t>
        </is>
      </c>
      <c r="E4072" t="inlineStr">
        <is>
          <t>0708</t>
        </is>
      </c>
      <c r="F4072" t="inlineStr">
        <is>
          <t>2221</t>
        </is>
      </c>
      <c r="G4072" s="10" t="inlineStr">
        <is>
          <t>帷子ノ辻</t>
        </is>
      </c>
      <c r="H4072" s="10" t="inlineStr">
        <is>
          <t>発</t>
        </is>
      </c>
      <c r="J4072" s="10" t="inlineStr">
        <is>
          <t>営業</t>
        </is>
      </c>
      <c r="L4072" t="inlineStr">
        <is>
          <t>7:40:10</t>
        </is>
      </c>
      <c r="M4072" t="inlineStr">
        <is>
          <t>7:41:15</t>
        </is>
      </c>
    </row>
    <row r="4073" ht="15" customHeight="1" s="37">
      <c r="A4073" t="n">
        <v>6</v>
      </c>
      <c r="B4073" s="10" t="inlineStr">
        <is>
          <t>休日</t>
        </is>
      </c>
      <c r="C4073" s="10" t="inlineStr">
        <is>
          <t>本線</t>
        </is>
      </c>
      <c r="D4073" s="10" t="inlineStr">
        <is>
          <t>上り</t>
        </is>
      </c>
      <c r="E4073" t="inlineStr">
        <is>
          <t>0708</t>
        </is>
      </c>
      <c r="F4073" t="inlineStr">
        <is>
          <t>2221</t>
        </is>
      </c>
      <c r="G4073" s="10" t="inlineStr">
        <is>
          <t>太秦広隆寺</t>
        </is>
      </c>
      <c r="H4073" s="10" t="inlineStr">
        <is>
          <t>発</t>
        </is>
      </c>
      <c r="J4073" s="10" t="inlineStr">
        <is>
          <t>営業</t>
        </is>
      </c>
      <c r="L4073" t="inlineStr">
        <is>
          <t>7:43:25</t>
        </is>
      </c>
      <c r="M4073" t="inlineStr">
        <is>
          <t>7:43:45</t>
        </is>
      </c>
    </row>
    <row r="4074" ht="15" customHeight="1" s="37">
      <c r="A4074" t="n">
        <v>6</v>
      </c>
      <c r="B4074" s="10" t="inlineStr">
        <is>
          <t>休日</t>
        </is>
      </c>
      <c r="C4074" s="10" t="inlineStr">
        <is>
          <t>本線</t>
        </is>
      </c>
      <c r="D4074" s="10" t="inlineStr">
        <is>
          <t>上り</t>
        </is>
      </c>
      <c r="E4074" t="inlineStr">
        <is>
          <t>0708</t>
        </is>
      </c>
      <c r="F4074" t="inlineStr">
        <is>
          <t>2221</t>
        </is>
      </c>
      <c r="G4074" s="10" t="inlineStr">
        <is>
          <t>蚕ノ社</t>
        </is>
      </c>
      <c r="H4074" s="10" t="inlineStr">
        <is>
          <t>発</t>
        </is>
      </c>
      <c r="J4074" s="10" t="inlineStr">
        <is>
          <t>営業</t>
        </is>
      </c>
      <c r="L4074" t="inlineStr">
        <is>
          <t>7:45:00</t>
        </is>
      </c>
      <c r="M4074" t="inlineStr">
        <is>
          <t>7:45:20</t>
        </is>
      </c>
    </row>
    <row r="4075" ht="15" customHeight="1" s="37">
      <c r="A4075" t="n">
        <v>6</v>
      </c>
      <c r="B4075" s="10" t="inlineStr">
        <is>
          <t>休日</t>
        </is>
      </c>
      <c r="C4075" s="10" t="inlineStr">
        <is>
          <t>本線</t>
        </is>
      </c>
      <c r="D4075" s="10" t="inlineStr">
        <is>
          <t>上り</t>
        </is>
      </c>
      <c r="E4075" t="inlineStr">
        <is>
          <t>0708</t>
        </is>
      </c>
      <c r="F4075" t="inlineStr">
        <is>
          <t>2221</t>
        </is>
      </c>
      <c r="G4075" s="10" t="inlineStr">
        <is>
          <t>天神川</t>
        </is>
      </c>
      <c r="H4075" s="10" t="inlineStr">
        <is>
          <t>発</t>
        </is>
      </c>
      <c r="J4075" s="10" t="inlineStr">
        <is>
          <t>営業</t>
        </is>
      </c>
      <c r="L4075" t="inlineStr">
        <is>
          <t>7:46:05</t>
        </is>
      </c>
      <c r="M4075" t="inlineStr">
        <is>
          <t>7:46:50</t>
        </is>
      </c>
    </row>
    <row r="4076" ht="15" customHeight="1" s="37">
      <c r="A4076" t="n">
        <v>6</v>
      </c>
      <c r="B4076" s="10" t="inlineStr">
        <is>
          <t>休日</t>
        </is>
      </c>
      <c r="C4076" s="10" t="inlineStr">
        <is>
          <t>本線</t>
        </is>
      </c>
      <c r="D4076" s="10" t="inlineStr">
        <is>
          <t>上り</t>
        </is>
      </c>
      <c r="E4076" t="inlineStr">
        <is>
          <t>0708</t>
        </is>
      </c>
      <c r="F4076" t="inlineStr">
        <is>
          <t>2221</t>
        </is>
      </c>
      <c r="G4076" s="10" t="inlineStr">
        <is>
          <t>山ノ内</t>
        </is>
      </c>
      <c r="H4076" s="10" t="inlineStr">
        <is>
          <t>発</t>
        </is>
      </c>
      <c r="J4076" s="10" t="inlineStr">
        <is>
          <t>営業</t>
        </is>
      </c>
      <c r="L4076" t="inlineStr">
        <is>
          <t>7:48:40</t>
        </is>
      </c>
      <c r="M4076" t="inlineStr">
        <is>
          <t>7:49:05</t>
        </is>
      </c>
    </row>
    <row r="4077" ht="15" customHeight="1" s="37">
      <c r="A4077" t="n">
        <v>6</v>
      </c>
      <c r="B4077" s="10" t="inlineStr">
        <is>
          <t>休日</t>
        </is>
      </c>
      <c r="C4077" s="10" t="inlineStr">
        <is>
          <t>本線</t>
        </is>
      </c>
      <c r="D4077" s="10" t="inlineStr">
        <is>
          <t>上り</t>
        </is>
      </c>
      <c r="E4077" t="inlineStr">
        <is>
          <t>0708</t>
        </is>
      </c>
      <c r="F4077" t="inlineStr">
        <is>
          <t>2221</t>
        </is>
      </c>
      <c r="G4077" s="10" t="inlineStr">
        <is>
          <t>西大路三条</t>
        </is>
      </c>
      <c r="H4077" s="10" t="inlineStr">
        <is>
          <t>発</t>
        </is>
      </c>
      <c r="J4077" s="10" t="inlineStr">
        <is>
          <t>営業</t>
        </is>
      </c>
      <c r="L4077" t="inlineStr">
        <is>
          <t>7:50:55</t>
        </is>
      </c>
      <c r="M4077" t="inlineStr">
        <is>
          <t>7:51:15</t>
        </is>
      </c>
    </row>
    <row r="4078" ht="15" customHeight="1" s="37">
      <c r="A4078" t="n">
        <v>6</v>
      </c>
      <c r="B4078" s="10" t="inlineStr">
        <is>
          <t>休日</t>
        </is>
      </c>
      <c r="C4078" s="10" t="inlineStr">
        <is>
          <t>本線</t>
        </is>
      </c>
      <c r="D4078" s="10" t="inlineStr">
        <is>
          <t>上り</t>
        </is>
      </c>
      <c r="E4078" t="inlineStr">
        <is>
          <t>0708</t>
        </is>
      </c>
      <c r="F4078" t="inlineStr">
        <is>
          <t>2221</t>
        </is>
      </c>
      <c r="G4078" s="10" t="inlineStr">
        <is>
          <t>西院</t>
        </is>
      </c>
      <c r="H4078" s="10" t="inlineStr">
        <is>
          <t>発</t>
        </is>
      </c>
      <c r="J4078" s="10" t="inlineStr">
        <is>
          <t>営業</t>
        </is>
      </c>
      <c r="L4078" t="inlineStr">
        <is>
          <t>7:53:10</t>
        </is>
      </c>
      <c r="M4078" t="inlineStr">
        <is>
          <t>7:54:05</t>
        </is>
      </c>
    </row>
    <row r="4079" ht="15" customHeight="1" s="37">
      <c r="A4079" t="n">
        <v>6</v>
      </c>
      <c r="B4079" s="10" t="inlineStr">
        <is>
          <t>休日</t>
        </is>
      </c>
      <c r="C4079" s="10" t="inlineStr">
        <is>
          <t>本線</t>
        </is>
      </c>
      <c r="D4079" s="10" t="inlineStr">
        <is>
          <t>上り</t>
        </is>
      </c>
      <c r="E4079" t="inlineStr">
        <is>
          <t>0708</t>
        </is>
      </c>
      <c r="F4079" t="inlineStr">
        <is>
          <t>2221</t>
        </is>
      </c>
      <c r="G4079" s="10" t="inlineStr">
        <is>
          <t>四条大宮</t>
        </is>
      </c>
      <c r="H4079" s="10" t="inlineStr">
        <is>
          <t>着</t>
        </is>
      </c>
      <c r="J4079" s="10" t="inlineStr">
        <is>
          <t>営業</t>
        </is>
      </c>
      <c r="L4079" t="inlineStr">
        <is>
          <t>7:57:00</t>
        </is>
      </c>
      <c r="Q4079" t="inlineStr">
        <is>
          <t>1</t>
        </is>
      </c>
    </row>
    <row r="4080" ht="15" customHeight="1" s="37">
      <c r="A4080" t="n">
        <v>6</v>
      </c>
      <c r="B4080" s="10" t="inlineStr">
        <is>
          <t>休日</t>
        </is>
      </c>
      <c r="C4080" s="10" t="inlineStr">
        <is>
          <t>本線</t>
        </is>
      </c>
      <c r="D4080" s="10" t="inlineStr">
        <is>
          <t>下り</t>
        </is>
      </c>
      <c r="E4080" t="inlineStr">
        <is>
          <t>0801</t>
        </is>
      </c>
      <c r="F4080" t="inlineStr">
        <is>
          <t>0122</t>
        </is>
      </c>
      <c r="G4080" s="10" t="inlineStr">
        <is>
          <t>四条大宮</t>
        </is>
      </c>
      <c r="H4080" s="10" t="inlineStr">
        <is>
          <t>発</t>
        </is>
      </c>
      <c r="J4080" s="10" t="inlineStr">
        <is>
          <t>営業</t>
        </is>
      </c>
      <c r="M4080" t="inlineStr">
        <is>
          <t>8:03:00</t>
        </is>
      </c>
      <c r="Q4080" t="inlineStr">
        <is>
          <t>1</t>
        </is>
      </c>
    </row>
    <row r="4081" ht="15" customHeight="1" s="37">
      <c r="A4081" t="n">
        <v>6</v>
      </c>
      <c r="B4081" s="10" t="inlineStr">
        <is>
          <t>休日</t>
        </is>
      </c>
      <c r="C4081" s="10" t="inlineStr">
        <is>
          <t>本線</t>
        </is>
      </c>
      <c r="D4081" s="10" t="inlineStr">
        <is>
          <t>下り</t>
        </is>
      </c>
      <c r="E4081" t="inlineStr">
        <is>
          <t>0801</t>
        </is>
      </c>
      <c r="F4081" t="inlineStr">
        <is>
          <t>0122</t>
        </is>
      </c>
      <c r="G4081" s="10" t="inlineStr">
        <is>
          <t>西院</t>
        </is>
      </c>
      <c r="H4081" s="10" t="inlineStr">
        <is>
          <t>発</t>
        </is>
      </c>
      <c r="J4081" s="10" t="inlineStr">
        <is>
          <t>営業</t>
        </is>
      </c>
      <c r="L4081" t="inlineStr">
        <is>
          <t>8:05:50</t>
        </is>
      </c>
      <c r="M4081" t="inlineStr">
        <is>
          <t>8:06:20</t>
        </is>
      </c>
    </row>
    <row r="4082" ht="15" customHeight="1" s="37">
      <c r="A4082" t="n">
        <v>6</v>
      </c>
      <c r="B4082" s="10" t="inlineStr">
        <is>
          <t>休日</t>
        </is>
      </c>
      <c r="C4082" s="10" t="inlineStr">
        <is>
          <t>本線</t>
        </is>
      </c>
      <c r="D4082" s="10" t="inlineStr">
        <is>
          <t>下り</t>
        </is>
      </c>
      <c r="E4082" t="inlineStr">
        <is>
          <t>0801</t>
        </is>
      </c>
      <c r="F4082" t="inlineStr">
        <is>
          <t>0122</t>
        </is>
      </c>
      <c r="G4082" s="10" t="inlineStr">
        <is>
          <t>西大路三条</t>
        </is>
      </c>
      <c r="H4082" s="10" t="inlineStr">
        <is>
          <t>発</t>
        </is>
      </c>
      <c r="J4082" s="10" t="inlineStr">
        <is>
          <t>営業</t>
        </is>
      </c>
      <c r="L4082" t="inlineStr">
        <is>
          <t>8:08:10</t>
        </is>
      </c>
      <c r="M4082" t="inlineStr">
        <is>
          <t>8:08:30</t>
        </is>
      </c>
    </row>
    <row r="4083" ht="15" customHeight="1" s="37">
      <c r="A4083" t="n">
        <v>6</v>
      </c>
      <c r="B4083" s="10" t="inlineStr">
        <is>
          <t>休日</t>
        </is>
      </c>
      <c r="C4083" s="10" t="inlineStr">
        <is>
          <t>本線</t>
        </is>
      </c>
      <c r="D4083" s="10" t="inlineStr">
        <is>
          <t>下り</t>
        </is>
      </c>
      <c r="E4083" t="inlineStr">
        <is>
          <t>0801</t>
        </is>
      </c>
      <c r="F4083" t="inlineStr">
        <is>
          <t>0122</t>
        </is>
      </c>
      <c r="G4083" s="10" t="inlineStr">
        <is>
          <t>山ノ内</t>
        </is>
      </c>
      <c r="H4083" s="10" t="inlineStr">
        <is>
          <t>発</t>
        </is>
      </c>
      <c r="J4083" s="10" t="inlineStr">
        <is>
          <t>営業</t>
        </is>
      </c>
      <c r="L4083" t="inlineStr">
        <is>
          <t>8:10:25</t>
        </is>
      </c>
      <c r="M4083" t="inlineStr">
        <is>
          <t>8:10:50</t>
        </is>
      </c>
    </row>
    <row r="4084" ht="15" customHeight="1" s="37">
      <c r="A4084" t="n">
        <v>6</v>
      </c>
      <c r="B4084" s="10" t="inlineStr">
        <is>
          <t>休日</t>
        </is>
      </c>
      <c r="C4084" s="10" t="inlineStr">
        <is>
          <t>本線</t>
        </is>
      </c>
      <c r="D4084" s="10" t="inlineStr">
        <is>
          <t>下り</t>
        </is>
      </c>
      <c r="E4084" t="inlineStr">
        <is>
          <t>0801</t>
        </is>
      </c>
      <c r="F4084" t="inlineStr">
        <is>
          <t>0122</t>
        </is>
      </c>
      <c r="G4084" s="10" t="inlineStr">
        <is>
          <t>天神川</t>
        </is>
      </c>
      <c r="H4084" s="10" t="inlineStr">
        <is>
          <t>発</t>
        </is>
      </c>
      <c r="J4084" s="10" t="inlineStr">
        <is>
          <t>営業</t>
        </is>
      </c>
      <c r="L4084" t="inlineStr">
        <is>
          <t>8:12:50</t>
        </is>
      </c>
      <c r="M4084" t="inlineStr">
        <is>
          <t>8:13:30</t>
        </is>
      </c>
    </row>
    <row r="4085" ht="15" customHeight="1" s="37">
      <c r="A4085" t="n">
        <v>6</v>
      </c>
      <c r="B4085" s="10" t="inlineStr">
        <is>
          <t>休日</t>
        </is>
      </c>
      <c r="C4085" s="10" t="inlineStr">
        <is>
          <t>本線</t>
        </is>
      </c>
      <c r="D4085" s="10" t="inlineStr">
        <is>
          <t>下り</t>
        </is>
      </c>
      <c r="E4085" t="inlineStr">
        <is>
          <t>0801</t>
        </is>
      </c>
      <c r="F4085" t="inlineStr">
        <is>
          <t>0122</t>
        </is>
      </c>
      <c r="G4085" s="10" t="inlineStr">
        <is>
          <t>蚕ノ社</t>
        </is>
      </c>
      <c r="H4085" s="10" t="inlineStr">
        <is>
          <t>発</t>
        </is>
      </c>
      <c r="J4085" s="10" t="inlineStr">
        <is>
          <t>営業</t>
        </is>
      </c>
      <c r="L4085" t="inlineStr">
        <is>
          <t>8:14:20</t>
        </is>
      </c>
      <c r="M4085" t="inlineStr">
        <is>
          <t>8:14:40</t>
        </is>
      </c>
    </row>
    <row r="4086" ht="15" customHeight="1" s="37">
      <c r="A4086" t="n">
        <v>6</v>
      </c>
      <c r="B4086" s="10" t="inlineStr">
        <is>
          <t>休日</t>
        </is>
      </c>
      <c r="C4086" s="10" t="inlineStr">
        <is>
          <t>本線</t>
        </is>
      </c>
      <c r="D4086" s="10" t="inlineStr">
        <is>
          <t>下り</t>
        </is>
      </c>
      <c r="E4086" t="inlineStr">
        <is>
          <t>0801</t>
        </is>
      </c>
      <c r="F4086" t="inlineStr">
        <is>
          <t>0122</t>
        </is>
      </c>
      <c r="G4086" s="10" t="inlineStr">
        <is>
          <t>太秦広隆寺</t>
        </is>
      </c>
      <c r="H4086" s="10" t="inlineStr">
        <is>
          <t>発</t>
        </is>
      </c>
      <c r="J4086" s="10" t="inlineStr">
        <is>
          <t>営業</t>
        </is>
      </c>
      <c r="L4086" t="inlineStr">
        <is>
          <t>8:16:00</t>
        </is>
      </c>
      <c r="M4086" t="inlineStr">
        <is>
          <t>8:16:20</t>
        </is>
      </c>
    </row>
    <row r="4087" ht="15" customHeight="1" s="37">
      <c r="A4087" t="n">
        <v>6</v>
      </c>
      <c r="B4087" s="10" t="inlineStr">
        <is>
          <t>休日</t>
        </is>
      </c>
      <c r="C4087" s="10" t="inlineStr">
        <is>
          <t>本線</t>
        </is>
      </c>
      <c r="D4087" s="10" t="inlineStr">
        <is>
          <t>下り</t>
        </is>
      </c>
      <c r="E4087" t="inlineStr">
        <is>
          <t>0801</t>
        </is>
      </c>
      <c r="F4087" t="inlineStr">
        <is>
          <t>0122</t>
        </is>
      </c>
      <c r="G4087" s="10" t="inlineStr">
        <is>
          <t>帷子ノ辻</t>
        </is>
      </c>
      <c r="H4087" s="10" t="inlineStr">
        <is>
          <t>発</t>
        </is>
      </c>
      <c r="J4087" s="10" t="inlineStr">
        <is>
          <t>営業</t>
        </is>
      </c>
      <c r="L4087" t="inlineStr">
        <is>
          <t>8:18:20</t>
        </is>
      </c>
      <c r="M4087" t="inlineStr">
        <is>
          <t>8:19:40</t>
        </is>
      </c>
    </row>
    <row r="4088" ht="15" customHeight="1" s="37">
      <c r="A4088" t="n">
        <v>6</v>
      </c>
      <c r="B4088" s="10" t="inlineStr">
        <is>
          <t>休日</t>
        </is>
      </c>
      <c r="C4088" s="10" t="inlineStr">
        <is>
          <t>本線</t>
        </is>
      </c>
      <c r="D4088" s="10" t="inlineStr">
        <is>
          <t>下り</t>
        </is>
      </c>
      <c r="E4088" t="inlineStr">
        <is>
          <t>0801</t>
        </is>
      </c>
      <c r="F4088" t="inlineStr">
        <is>
          <t>0122</t>
        </is>
      </c>
      <c r="G4088" s="10" t="inlineStr">
        <is>
          <t>有栖川</t>
        </is>
      </c>
      <c r="H4088" s="10" t="inlineStr">
        <is>
          <t>発</t>
        </is>
      </c>
      <c r="J4088" s="10" t="inlineStr">
        <is>
          <t>営業</t>
        </is>
      </c>
      <c r="L4088" t="inlineStr">
        <is>
          <t>8:20:50</t>
        </is>
      </c>
      <c r="M4088" t="inlineStr">
        <is>
          <t>8:21:15</t>
        </is>
      </c>
    </row>
    <row r="4089" ht="15" customHeight="1" s="37">
      <c r="A4089" t="n">
        <v>6</v>
      </c>
      <c r="B4089" s="10" t="inlineStr">
        <is>
          <t>休日</t>
        </is>
      </c>
      <c r="C4089" s="10" t="inlineStr">
        <is>
          <t>本線</t>
        </is>
      </c>
      <c r="D4089" s="10" t="inlineStr">
        <is>
          <t>下り</t>
        </is>
      </c>
      <c r="E4089" t="inlineStr">
        <is>
          <t>0801</t>
        </is>
      </c>
      <c r="F4089" t="inlineStr">
        <is>
          <t>0122</t>
        </is>
      </c>
      <c r="G4089" s="10" t="inlineStr">
        <is>
          <t>車折</t>
        </is>
      </c>
      <c r="H4089" s="10" t="inlineStr">
        <is>
          <t>発</t>
        </is>
      </c>
      <c r="J4089" s="10" t="inlineStr">
        <is>
          <t>営業</t>
        </is>
      </c>
      <c r="L4089" t="inlineStr">
        <is>
          <t>8:22:40</t>
        </is>
      </c>
      <c r="M4089" t="inlineStr">
        <is>
          <t>8:23:05</t>
        </is>
      </c>
    </row>
    <row r="4090" ht="15" customHeight="1" s="37">
      <c r="A4090" t="n">
        <v>6</v>
      </c>
      <c r="B4090" s="10" t="inlineStr">
        <is>
          <t>休日</t>
        </is>
      </c>
      <c r="C4090" s="10" t="inlineStr">
        <is>
          <t>本線</t>
        </is>
      </c>
      <c r="D4090" s="10" t="inlineStr">
        <is>
          <t>下り</t>
        </is>
      </c>
      <c r="E4090" t="inlineStr">
        <is>
          <t>0801</t>
        </is>
      </c>
      <c r="F4090" t="inlineStr">
        <is>
          <t>0122</t>
        </is>
      </c>
      <c r="G4090" s="10" t="inlineStr">
        <is>
          <t>鹿王院</t>
        </is>
      </c>
      <c r="H4090" s="10" t="inlineStr">
        <is>
          <t>発</t>
        </is>
      </c>
      <c r="J4090" s="10" t="inlineStr">
        <is>
          <t>営業</t>
        </is>
      </c>
      <c r="L4090" t="inlineStr">
        <is>
          <t>8:24:00</t>
        </is>
      </c>
      <c r="M4090" t="inlineStr">
        <is>
          <t>8:24:25</t>
        </is>
      </c>
    </row>
    <row r="4091" ht="15" customHeight="1" s="37">
      <c r="A4091" t="n">
        <v>6</v>
      </c>
      <c r="B4091" s="10" t="inlineStr">
        <is>
          <t>休日</t>
        </is>
      </c>
      <c r="C4091" s="10" t="inlineStr">
        <is>
          <t>本線</t>
        </is>
      </c>
      <c r="D4091" s="10" t="inlineStr">
        <is>
          <t>下り</t>
        </is>
      </c>
      <c r="E4091" t="inlineStr">
        <is>
          <t>0801</t>
        </is>
      </c>
      <c r="F4091" t="inlineStr">
        <is>
          <t>0122</t>
        </is>
      </c>
      <c r="G4091" s="10" t="inlineStr">
        <is>
          <t>嵯峨</t>
        </is>
      </c>
      <c r="H4091" s="10" t="inlineStr">
        <is>
          <t>発</t>
        </is>
      </c>
      <c r="J4091" s="10" t="inlineStr">
        <is>
          <t>営業</t>
        </is>
      </c>
      <c r="L4091" t="inlineStr">
        <is>
          <t>8:25:30</t>
        </is>
      </c>
      <c r="M4091" t="inlineStr">
        <is>
          <t>8:25:55</t>
        </is>
      </c>
    </row>
    <row r="4092" ht="15" customHeight="1" s="37">
      <c r="A4092" t="n">
        <v>6</v>
      </c>
      <c r="B4092" s="10" t="inlineStr">
        <is>
          <t>休日</t>
        </is>
      </c>
      <c r="C4092" s="10" t="inlineStr">
        <is>
          <t>本線</t>
        </is>
      </c>
      <c r="D4092" s="10" t="inlineStr">
        <is>
          <t>下り</t>
        </is>
      </c>
      <c r="E4092" t="inlineStr">
        <is>
          <t>0801</t>
        </is>
      </c>
      <c r="F4092" t="inlineStr">
        <is>
          <t>0122</t>
        </is>
      </c>
      <c r="G4092" s="10" t="inlineStr">
        <is>
          <t>嵐山</t>
        </is>
      </c>
      <c r="H4092" s="10" t="inlineStr">
        <is>
          <t>着</t>
        </is>
      </c>
      <c r="J4092" s="10" t="inlineStr">
        <is>
          <t>営業</t>
        </is>
      </c>
      <c r="L4092" t="inlineStr">
        <is>
          <t>8:27:00</t>
        </is>
      </c>
      <c r="Q4092" t="inlineStr">
        <is>
          <t>1</t>
        </is>
      </c>
    </row>
    <row r="4093" ht="15" customHeight="1" s="37">
      <c r="A4093" t="n">
        <v>6</v>
      </c>
      <c r="B4093" s="10" t="inlineStr">
        <is>
          <t>休日</t>
        </is>
      </c>
      <c r="C4093" s="10" t="inlineStr">
        <is>
          <t>本線</t>
        </is>
      </c>
      <c r="D4093" s="10" t="inlineStr">
        <is>
          <t>上り</t>
        </is>
      </c>
      <c r="E4093" t="inlineStr">
        <is>
          <t>0808</t>
        </is>
      </c>
      <c r="F4093" t="inlineStr">
        <is>
          <t>2221</t>
        </is>
      </c>
      <c r="G4093" s="10" t="inlineStr">
        <is>
          <t>嵐山</t>
        </is>
      </c>
      <c r="H4093" s="10" t="inlineStr">
        <is>
          <t>発</t>
        </is>
      </c>
      <c r="J4093" s="10" t="inlineStr">
        <is>
          <t>営業</t>
        </is>
      </c>
      <c r="M4093" t="inlineStr">
        <is>
          <t>8:33:00</t>
        </is>
      </c>
      <c r="Q4093" t="inlineStr">
        <is>
          <t>1</t>
        </is>
      </c>
    </row>
    <row r="4094" ht="15" customHeight="1" s="37">
      <c r="A4094" t="n">
        <v>6</v>
      </c>
      <c r="B4094" s="10" t="inlineStr">
        <is>
          <t>休日</t>
        </is>
      </c>
      <c r="C4094" s="10" t="inlineStr">
        <is>
          <t>本線</t>
        </is>
      </c>
      <c r="D4094" s="10" t="inlineStr">
        <is>
          <t>上り</t>
        </is>
      </c>
      <c r="E4094" t="inlineStr">
        <is>
          <t>0808</t>
        </is>
      </c>
      <c r="F4094" t="inlineStr">
        <is>
          <t>2221</t>
        </is>
      </c>
      <c r="G4094" s="10" t="inlineStr">
        <is>
          <t>嵯峨</t>
        </is>
      </c>
      <c r="H4094" s="10" t="inlineStr">
        <is>
          <t>発</t>
        </is>
      </c>
      <c r="J4094" s="10" t="inlineStr">
        <is>
          <t>営業</t>
        </is>
      </c>
      <c r="L4094" t="inlineStr">
        <is>
          <t>8:33:55</t>
        </is>
      </c>
      <c r="M4094" t="inlineStr">
        <is>
          <t>8:34:20</t>
        </is>
      </c>
    </row>
    <row r="4095" ht="15" customHeight="1" s="37">
      <c r="A4095" t="n">
        <v>6</v>
      </c>
      <c r="B4095" s="10" t="inlineStr">
        <is>
          <t>休日</t>
        </is>
      </c>
      <c r="C4095" s="10" t="inlineStr">
        <is>
          <t>本線</t>
        </is>
      </c>
      <c r="D4095" s="10" t="inlineStr">
        <is>
          <t>上り</t>
        </is>
      </c>
      <c r="E4095" t="inlineStr">
        <is>
          <t>0808</t>
        </is>
      </c>
      <c r="F4095" t="inlineStr">
        <is>
          <t>2221</t>
        </is>
      </c>
      <c r="G4095" s="10" t="inlineStr">
        <is>
          <t>鹿王院</t>
        </is>
      </c>
      <c r="H4095" s="10" t="inlineStr">
        <is>
          <t>発</t>
        </is>
      </c>
      <c r="J4095" s="10" t="inlineStr">
        <is>
          <t>営業</t>
        </is>
      </c>
      <c r="L4095" t="inlineStr">
        <is>
          <t>8:35:25</t>
        </is>
      </c>
      <c r="M4095" t="inlineStr">
        <is>
          <t>8:35:45</t>
        </is>
      </c>
    </row>
    <row r="4096" ht="15" customHeight="1" s="37">
      <c r="A4096" t="n">
        <v>6</v>
      </c>
      <c r="B4096" s="10" t="inlineStr">
        <is>
          <t>休日</t>
        </is>
      </c>
      <c r="C4096" s="10" t="inlineStr">
        <is>
          <t>本線</t>
        </is>
      </c>
      <c r="D4096" s="10" t="inlineStr">
        <is>
          <t>上り</t>
        </is>
      </c>
      <c r="E4096" t="inlineStr">
        <is>
          <t>0808</t>
        </is>
      </c>
      <c r="F4096" t="inlineStr">
        <is>
          <t>2221</t>
        </is>
      </c>
      <c r="G4096" s="10" t="inlineStr">
        <is>
          <t>車折</t>
        </is>
      </c>
      <c r="H4096" s="10" t="inlineStr">
        <is>
          <t>発</t>
        </is>
      </c>
      <c r="J4096" s="10" t="inlineStr">
        <is>
          <t>営業</t>
        </is>
      </c>
      <c r="L4096" t="inlineStr">
        <is>
          <t>8:36:40</t>
        </is>
      </c>
      <c r="M4096" t="inlineStr">
        <is>
          <t>8:37:10</t>
        </is>
      </c>
    </row>
    <row r="4097" ht="15" customHeight="1" s="37">
      <c r="A4097" t="n">
        <v>6</v>
      </c>
      <c r="B4097" s="10" t="inlineStr">
        <is>
          <t>休日</t>
        </is>
      </c>
      <c r="C4097" s="10" t="inlineStr">
        <is>
          <t>本線</t>
        </is>
      </c>
      <c r="D4097" s="10" t="inlineStr">
        <is>
          <t>上り</t>
        </is>
      </c>
      <c r="E4097" t="inlineStr">
        <is>
          <t>0808</t>
        </is>
      </c>
      <c r="F4097" t="inlineStr">
        <is>
          <t>2221</t>
        </is>
      </c>
      <c r="G4097" s="10" t="inlineStr">
        <is>
          <t>有栖川</t>
        </is>
      </c>
      <c r="H4097" s="10" t="inlineStr">
        <is>
          <t>発</t>
        </is>
      </c>
      <c r="J4097" s="10" t="inlineStr">
        <is>
          <t>営業</t>
        </is>
      </c>
      <c r="L4097" t="inlineStr">
        <is>
          <t>8:38:35</t>
        </is>
      </c>
      <c r="M4097" t="inlineStr">
        <is>
          <t>8:38:55</t>
        </is>
      </c>
    </row>
    <row r="4098" ht="15" customHeight="1" s="37">
      <c r="A4098" t="n">
        <v>6</v>
      </c>
      <c r="B4098" s="10" t="inlineStr">
        <is>
          <t>休日</t>
        </is>
      </c>
      <c r="C4098" s="10" t="inlineStr">
        <is>
          <t>本線</t>
        </is>
      </c>
      <c r="D4098" s="10" t="inlineStr">
        <is>
          <t>上り</t>
        </is>
      </c>
      <c r="E4098" t="inlineStr">
        <is>
          <t>0808</t>
        </is>
      </c>
      <c r="F4098" t="inlineStr">
        <is>
          <t>2221</t>
        </is>
      </c>
      <c r="G4098" s="10" t="inlineStr">
        <is>
          <t>帷子ノ辻</t>
        </is>
      </c>
      <c r="H4098" s="10" t="inlineStr">
        <is>
          <t>発</t>
        </is>
      </c>
      <c r="J4098" s="10" t="inlineStr">
        <is>
          <t>営業</t>
        </is>
      </c>
      <c r="L4098" t="inlineStr">
        <is>
          <t>8:40:10</t>
        </is>
      </c>
      <c r="M4098" t="inlineStr">
        <is>
          <t>8:41:15</t>
        </is>
      </c>
    </row>
    <row r="4099" ht="15" customHeight="1" s="37">
      <c r="A4099" t="n">
        <v>6</v>
      </c>
      <c r="B4099" s="10" t="inlineStr">
        <is>
          <t>休日</t>
        </is>
      </c>
      <c r="C4099" s="10" t="inlineStr">
        <is>
          <t>本線</t>
        </is>
      </c>
      <c r="D4099" s="10" t="inlineStr">
        <is>
          <t>上り</t>
        </is>
      </c>
      <c r="E4099" t="inlineStr">
        <is>
          <t>0808</t>
        </is>
      </c>
      <c r="F4099" t="inlineStr">
        <is>
          <t>2221</t>
        </is>
      </c>
      <c r="G4099" s="10" t="inlineStr">
        <is>
          <t>太秦広隆寺</t>
        </is>
      </c>
      <c r="H4099" s="10" t="inlineStr">
        <is>
          <t>発</t>
        </is>
      </c>
      <c r="J4099" s="10" t="inlineStr">
        <is>
          <t>営業</t>
        </is>
      </c>
      <c r="L4099" t="inlineStr">
        <is>
          <t>8:43:25</t>
        </is>
      </c>
      <c r="M4099" t="inlineStr">
        <is>
          <t>8:43:45</t>
        </is>
      </c>
    </row>
    <row r="4100" ht="15" customHeight="1" s="37">
      <c r="A4100" t="n">
        <v>6</v>
      </c>
      <c r="B4100" s="10" t="inlineStr">
        <is>
          <t>休日</t>
        </is>
      </c>
      <c r="C4100" s="10" t="inlineStr">
        <is>
          <t>本線</t>
        </is>
      </c>
      <c r="D4100" s="10" t="inlineStr">
        <is>
          <t>上り</t>
        </is>
      </c>
      <c r="E4100" t="inlineStr">
        <is>
          <t>0808</t>
        </is>
      </c>
      <c r="F4100" t="inlineStr">
        <is>
          <t>2221</t>
        </is>
      </c>
      <c r="G4100" s="10" t="inlineStr">
        <is>
          <t>蚕ノ社</t>
        </is>
      </c>
      <c r="H4100" s="10" t="inlineStr">
        <is>
          <t>発</t>
        </is>
      </c>
      <c r="J4100" s="10" t="inlineStr">
        <is>
          <t>営業</t>
        </is>
      </c>
      <c r="L4100" t="inlineStr">
        <is>
          <t>8:45:00</t>
        </is>
      </c>
      <c r="M4100" t="inlineStr">
        <is>
          <t>8:45:20</t>
        </is>
      </c>
    </row>
    <row r="4101" ht="15" customHeight="1" s="37">
      <c r="A4101" t="n">
        <v>6</v>
      </c>
      <c r="B4101" s="10" t="inlineStr">
        <is>
          <t>休日</t>
        </is>
      </c>
      <c r="C4101" s="10" t="inlineStr">
        <is>
          <t>本線</t>
        </is>
      </c>
      <c r="D4101" s="10" t="inlineStr">
        <is>
          <t>上り</t>
        </is>
      </c>
      <c r="E4101" t="inlineStr">
        <is>
          <t>0808</t>
        </is>
      </c>
      <c r="F4101" t="inlineStr">
        <is>
          <t>2221</t>
        </is>
      </c>
      <c r="G4101" s="10" t="inlineStr">
        <is>
          <t>天神川</t>
        </is>
      </c>
      <c r="H4101" s="10" t="inlineStr">
        <is>
          <t>発</t>
        </is>
      </c>
      <c r="J4101" s="10" t="inlineStr">
        <is>
          <t>営業</t>
        </is>
      </c>
      <c r="L4101" t="inlineStr">
        <is>
          <t>8:46:05</t>
        </is>
      </c>
      <c r="M4101" t="inlineStr">
        <is>
          <t>8:46:50</t>
        </is>
      </c>
    </row>
    <row r="4102" ht="15" customHeight="1" s="37">
      <c r="A4102" t="n">
        <v>6</v>
      </c>
      <c r="B4102" s="10" t="inlineStr">
        <is>
          <t>休日</t>
        </is>
      </c>
      <c r="C4102" s="10" t="inlineStr">
        <is>
          <t>本線</t>
        </is>
      </c>
      <c r="D4102" s="10" t="inlineStr">
        <is>
          <t>上り</t>
        </is>
      </c>
      <c r="E4102" t="inlineStr">
        <is>
          <t>0808</t>
        </is>
      </c>
      <c r="F4102" t="inlineStr">
        <is>
          <t>2221</t>
        </is>
      </c>
      <c r="G4102" s="10" t="inlineStr">
        <is>
          <t>山ノ内</t>
        </is>
      </c>
      <c r="H4102" s="10" t="inlineStr">
        <is>
          <t>発</t>
        </is>
      </c>
      <c r="J4102" s="10" t="inlineStr">
        <is>
          <t>営業</t>
        </is>
      </c>
      <c r="L4102" t="inlineStr">
        <is>
          <t>8:48:40</t>
        </is>
      </c>
      <c r="M4102" t="inlineStr">
        <is>
          <t>8:49:05</t>
        </is>
      </c>
    </row>
    <row r="4103" ht="15" customHeight="1" s="37">
      <c r="A4103" t="n">
        <v>6</v>
      </c>
      <c r="B4103" s="10" t="inlineStr">
        <is>
          <t>休日</t>
        </is>
      </c>
      <c r="C4103" s="10" t="inlineStr">
        <is>
          <t>本線</t>
        </is>
      </c>
      <c r="D4103" s="10" t="inlineStr">
        <is>
          <t>上り</t>
        </is>
      </c>
      <c r="E4103" t="inlineStr">
        <is>
          <t>0808</t>
        </is>
      </c>
      <c r="F4103" t="inlineStr">
        <is>
          <t>2221</t>
        </is>
      </c>
      <c r="G4103" s="10" t="inlineStr">
        <is>
          <t>西大路三条</t>
        </is>
      </c>
      <c r="H4103" s="10" t="inlineStr">
        <is>
          <t>発</t>
        </is>
      </c>
      <c r="J4103" s="10" t="inlineStr">
        <is>
          <t>営業</t>
        </is>
      </c>
      <c r="L4103" t="inlineStr">
        <is>
          <t>8:50:55</t>
        </is>
      </c>
      <c r="M4103" t="inlineStr">
        <is>
          <t>8:51:15</t>
        </is>
      </c>
    </row>
    <row r="4104" ht="15" customHeight="1" s="37">
      <c r="A4104" t="n">
        <v>6</v>
      </c>
      <c r="B4104" s="10" t="inlineStr">
        <is>
          <t>休日</t>
        </is>
      </c>
      <c r="C4104" s="10" t="inlineStr">
        <is>
          <t>本線</t>
        </is>
      </c>
      <c r="D4104" s="10" t="inlineStr">
        <is>
          <t>上り</t>
        </is>
      </c>
      <c r="E4104" t="inlineStr">
        <is>
          <t>0808</t>
        </is>
      </c>
      <c r="F4104" t="inlineStr">
        <is>
          <t>2221</t>
        </is>
      </c>
      <c r="G4104" s="10" t="inlineStr">
        <is>
          <t>西院</t>
        </is>
      </c>
      <c r="H4104" s="10" t="inlineStr">
        <is>
          <t>発</t>
        </is>
      </c>
      <c r="J4104" s="10" t="inlineStr">
        <is>
          <t>営業</t>
        </is>
      </c>
      <c r="L4104" t="inlineStr">
        <is>
          <t>8:53:10</t>
        </is>
      </c>
      <c r="M4104" t="inlineStr">
        <is>
          <t>8:54:05</t>
        </is>
      </c>
    </row>
    <row r="4105" ht="15" customHeight="1" s="37">
      <c r="A4105" t="n">
        <v>6</v>
      </c>
      <c r="B4105" s="10" t="inlineStr">
        <is>
          <t>休日</t>
        </is>
      </c>
      <c r="C4105" s="10" t="inlineStr">
        <is>
          <t>本線</t>
        </is>
      </c>
      <c r="D4105" s="10" t="inlineStr">
        <is>
          <t>上り</t>
        </is>
      </c>
      <c r="E4105" t="inlineStr">
        <is>
          <t>0808</t>
        </is>
      </c>
      <c r="F4105" t="inlineStr">
        <is>
          <t>2221</t>
        </is>
      </c>
      <c r="G4105" s="10" t="inlineStr">
        <is>
          <t>四条大宮</t>
        </is>
      </c>
      <c r="H4105" s="10" t="inlineStr">
        <is>
          <t>着</t>
        </is>
      </c>
      <c r="J4105" s="10" t="inlineStr">
        <is>
          <t>営業</t>
        </is>
      </c>
      <c r="L4105" t="inlineStr">
        <is>
          <t>8:57:00</t>
        </is>
      </c>
      <c r="Q4105" t="inlineStr">
        <is>
          <t>1</t>
        </is>
      </c>
    </row>
    <row r="4106" ht="15" customHeight="1" s="37">
      <c r="A4106" t="n">
        <v>6</v>
      </c>
      <c r="B4106" s="10" t="inlineStr">
        <is>
          <t>休日</t>
        </is>
      </c>
      <c r="C4106" s="10" t="inlineStr">
        <is>
          <t>本線</t>
        </is>
      </c>
      <c r="D4106" s="10" t="inlineStr">
        <is>
          <t>下り</t>
        </is>
      </c>
      <c r="E4106" t="inlineStr">
        <is>
          <t>0901</t>
        </is>
      </c>
      <c r="F4106" t="inlineStr">
        <is>
          <t>0112</t>
        </is>
      </c>
      <c r="G4106" s="10" t="inlineStr">
        <is>
          <t>四条大宮</t>
        </is>
      </c>
      <c r="H4106" s="10" t="inlineStr">
        <is>
          <t>発</t>
        </is>
      </c>
      <c r="J4106" s="10" t="inlineStr">
        <is>
          <t>営業</t>
        </is>
      </c>
      <c r="M4106" t="inlineStr">
        <is>
          <t>9:03:00</t>
        </is>
      </c>
      <c r="Q4106" t="inlineStr">
        <is>
          <t>1</t>
        </is>
      </c>
    </row>
    <row r="4107" ht="15" customHeight="1" s="37">
      <c r="A4107" t="n">
        <v>6</v>
      </c>
      <c r="B4107" s="10" t="inlineStr">
        <is>
          <t>休日</t>
        </is>
      </c>
      <c r="C4107" s="10" t="inlineStr">
        <is>
          <t>本線</t>
        </is>
      </c>
      <c r="D4107" s="10" t="inlineStr">
        <is>
          <t>下り</t>
        </is>
      </c>
      <c r="E4107" t="inlineStr">
        <is>
          <t>0901</t>
        </is>
      </c>
      <c r="F4107" t="inlineStr">
        <is>
          <t>0112</t>
        </is>
      </c>
      <c r="G4107" s="10" t="inlineStr">
        <is>
          <t>西院</t>
        </is>
      </c>
      <c r="H4107" s="10" t="inlineStr">
        <is>
          <t>発</t>
        </is>
      </c>
      <c r="J4107" s="10" t="inlineStr">
        <is>
          <t>営業</t>
        </is>
      </c>
      <c r="L4107" t="inlineStr">
        <is>
          <t>9:05:50</t>
        </is>
      </c>
      <c r="M4107" t="inlineStr">
        <is>
          <t>9:06:20</t>
        </is>
      </c>
    </row>
    <row r="4108" ht="15" customHeight="1" s="37">
      <c r="A4108" t="n">
        <v>6</v>
      </c>
      <c r="B4108" s="10" t="inlineStr">
        <is>
          <t>休日</t>
        </is>
      </c>
      <c r="C4108" s="10" t="inlineStr">
        <is>
          <t>本線</t>
        </is>
      </c>
      <c r="D4108" s="10" t="inlineStr">
        <is>
          <t>下り</t>
        </is>
      </c>
      <c r="E4108" t="inlineStr">
        <is>
          <t>0901</t>
        </is>
      </c>
      <c r="F4108" t="inlineStr">
        <is>
          <t>0112</t>
        </is>
      </c>
      <c r="G4108" s="10" t="inlineStr">
        <is>
          <t>西大路三条</t>
        </is>
      </c>
      <c r="H4108" s="10" t="inlineStr">
        <is>
          <t>発</t>
        </is>
      </c>
      <c r="J4108" s="10" t="inlineStr">
        <is>
          <t>営業</t>
        </is>
      </c>
      <c r="L4108" t="inlineStr">
        <is>
          <t>9:08:10</t>
        </is>
      </c>
      <c r="M4108" t="inlineStr">
        <is>
          <t>9:08:30</t>
        </is>
      </c>
    </row>
    <row r="4109" ht="15" customHeight="1" s="37">
      <c r="A4109" t="n">
        <v>6</v>
      </c>
      <c r="B4109" s="10" t="inlineStr">
        <is>
          <t>休日</t>
        </is>
      </c>
      <c r="C4109" s="10" t="inlineStr">
        <is>
          <t>本線</t>
        </is>
      </c>
      <c r="D4109" s="10" t="inlineStr">
        <is>
          <t>下り</t>
        </is>
      </c>
      <c r="E4109" t="inlineStr">
        <is>
          <t>0901</t>
        </is>
      </c>
      <c r="F4109" t="inlineStr">
        <is>
          <t>0112</t>
        </is>
      </c>
      <c r="G4109" s="10" t="inlineStr">
        <is>
          <t>山ノ内</t>
        </is>
      </c>
      <c r="H4109" s="10" t="inlineStr">
        <is>
          <t>発</t>
        </is>
      </c>
      <c r="J4109" s="10" t="inlineStr">
        <is>
          <t>営業</t>
        </is>
      </c>
      <c r="L4109" t="inlineStr">
        <is>
          <t>9:10:25</t>
        </is>
      </c>
      <c r="M4109" t="inlineStr">
        <is>
          <t>9:10:50</t>
        </is>
      </c>
    </row>
    <row r="4110" ht="15" customHeight="1" s="37">
      <c r="A4110" t="n">
        <v>6</v>
      </c>
      <c r="B4110" s="10" t="inlineStr">
        <is>
          <t>休日</t>
        </is>
      </c>
      <c r="C4110" s="10" t="inlineStr">
        <is>
          <t>本線</t>
        </is>
      </c>
      <c r="D4110" s="10" t="inlineStr">
        <is>
          <t>下り</t>
        </is>
      </c>
      <c r="E4110" t="inlineStr">
        <is>
          <t>0901</t>
        </is>
      </c>
      <c r="F4110" t="inlineStr">
        <is>
          <t>0112</t>
        </is>
      </c>
      <c r="G4110" s="10" t="inlineStr">
        <is>
          <t>天神川</t>
        </is>
      </c>
      <c r="H4110" s="10" t="inlineStr">
        <is>
          <t>発</t>
        </is>
      </c>
      <c r="J4110" s="10" t="inlineStr">
        <is>
          <t>営業</t>
        </is>
      </c>
      <c r="L4110" t="inlineStr">
        <is>
          <t>9:12:50</t>
        </is>
      </c>
      <c r="M4110" t="inlineStr">
        <is>
          <t>9:13:30</t>
        </is>
      </c>
    </row>
    <row r="4111" ht="15" customHeight="1" s="37">
      <c r="A4111" t="n">
        <v>6</v>
      </c>
      <c r="B4111" s="10" t="inlineStr">
        <is>
          <t>休日</t>
        </is>
      </c>
      <c r="C4111" s="10" t="inlineStr">
        <is>
          <t>本線</t>
        </is>
      </c>
      <c r="D4111" s="10" t="inlineStr">
        <is>
          <t>下り</t>
        </is>
      </c>
      <c r="E4111" t="inlineStr">
        <is>
          <t>0901</t>
        </is>
      </c>
      <c r="F4111" t="inlineStr">
        <is>
          <t>0112</t>
        </is>
      </c>
      <c r="G4111" s="10" t="inlineStr">
        <is>
          <t>蚕ノ社</t>
        </is>
      </c>
      <c r="H4111" s="10" t="inlineStr">
        <is>
          <t>発</t>
        </is>
      </c>
      <c r="J4111" s="10" t="inlineStr">
        <is>
          <t>営業</t>
        </is>
      </c>
      <c r="L4111" t="inlineStr">
        <is>
          <t>9:14:20</t>
        </is>
      </c>
      <c r="M4111" t="inlineStr">
        <is>
          <t>9:14:40</t>
        </is>
      </c>
    </row>
    <row r="4112" ht="15" customHeight="1" s="37">
      <c r="A4112" t="n">
        <v>6</v>
      </c>
      <c r="B4112" s="10" t="inlineStr">
        <is>
          <t>休日</t>
        </is>
      </c>
      <c r="C4112" s="10" t="inlineStr">
        <is>
          <t>本線</t>
        </is>
      </c>
      <c r="D4112" s="10" t="inlineStr">
        <is>
          <t>下り</t>
        </is>
      </c>
      <c r="E4112" t="inlineStr">
        <is>
          <t>0901</t>
        </is>
      </c>
      <c r="F4112" t="inlineStr">
        <is>
          <t>0112</t>
        </is>
      </c>
      <c r="G4112" s="10" t="inlineStr">
        <is>
          <t>太秦広隆寺</t>
        </is>
      </c>
      <c r="H4112" s="10" t="inlineStr">
        <is>
          <t>発</t>
        </is>
      </c>
      <c r="J4112" s="10" t="inlineStr">
        <is>
          <t>営業</t>
        </is>
      </c>
      <c r="L4112" t="inlineStr">
        <is>
          <t>9:16:00</t>
        </is>
      </c>
      <c r="M4112" t="inlineStr">
        <is>
          <t>9:16:20</t>
        </is>
      </c>
    </row>
    <row r="4113" ht="15" customHeight="1" s="37">
      <c r="A4113" t="n">
        <v>6</v>
      </c>
      <c r="B4113" s="10" t="inlineStr">
        <is>
          <t>休日</t>
        </is>
      </c>
      <c r="C4113" s="10" t="inlineStr">
        <is>
          <t>本線</t>
        </is>
      </c>
      <c r="D4113" s="10" t="inlineStr">
        <is>
          <t>下り</t>
        </is>
      </c>
      <c r="E4113" t="inlineStr">
        <is>
          <t>0901</t>
        </is>
      </c>
      <c r="F4113" t="inlineStr">
        <is>
          <t>0112</t>
        </is>
      </c>
      <c r="G4113" s="10" t="inlineStr">
        <is>
          <t>帷子ノ辻</t>
        </is>
      </c>
      <c r="H4113" s="10" t="inlineStr">
        <is>
          <t>発</t>
        </is>
      </c>
      <c r="J4113" s="10" t="inlineStr">
        <is>
          <t>営業</t>
        </is>
      </c>
      <c r="L4113" t="inlineStr">
        <is>
          <t>9:18:20</t>
        </is>
      </c>
      <c r="M4113" t="inlineStr">
        <is>
          <t>9:19:40</t>
        </is>
      </c>
    </row>
    <row r="4114" ht="15" customHeight="1" s="37">
      <c r="A4114" t="n">
        <v>6</v>
      </c>
      <c r="B4114" s="10" t="inlineStr">
        <is>
          <t>休日</t>
        </is>
      </c>
      <c r="C4114" s="10" t="inlineStr">
        <is>
          <t>本線</t>
        </is>
      </c>
      <c r="D4114" s="10" t="inlineStr">
        <is>
          <t>下り</t>
        </is>
      </c>
      <c r="E4114" t="inlineStr">
        <is>
          <t>0901</t>
        </is>
      </c>
      <c r="F4114" t="inlineStr">
        <is>
          <t>0112</t>
        </is>
      </c>
      <c r="G4114" s="10" t="inlineStr">
        <is>
          <t>有栖川</t>
        </is>
      </c>
      <c r="H4114" s="10" t="inlineStr">
        <is>
          <t>発</t>
        </is>
      </c>
      <c r="J4114" s="10" t="inlineStr">
        <is>
          <t>営業</t>
        </is>
      </c>
      <c r="L4114" t="inlineStr">
        <is>
          <t>9:20:50</t>
        </is>
      </c>
      <c r="M4114" t="inlineStr">
        <is>
          <t>9:21:15</t>
        </is>
      </c>
    </row>
    <row r="4115" ht="15" customHeight="1" s="37">
      <c r="A4115" t="n">
        <v>6</v>
      </c>
      <c r="B4115" s="10" t="inlineStr">
        <is>
          <t>休日</t>
        </is>
      </c>
      <c r="C4115" s="10" t="inlineStr">
        <is>
          <t>本線</t>
        </is>
      </c>
      <c r="D4115" s="10" t="inlineStr">
        <is>
          <t>下り</t>
        </is>
      </c>
      <c r="E4115" t="inlineStr">
        <is>
          <t>0901</t>
        </is>
      </c>
      <c r="F4115" t="inlineStr">
        <is>
          <t>0112</t>
        </is>
      </c>
      <c r="G4115" s="10" t="inlineStr">
        <is>
          <t>車折</t>
        </is>
      </c>
      <c r="H4115" s="10" t="inlineStr">
        <is>
          <t>発</t>
        </is>
      </c>
      <c r="J4115" s="10" t="inlineStr">
        <is>
          <t>営業</t>
        </is>
      </c>
      <c r="L4115" t="inlineStr">
        <is>
          <t>9:22:40</t>
        </is>
      </c>
      <c r="M4115" t="inlineStr">
        <is>
          <t>9:23:05</t>
        </is>
      </c>
    </row>
    <row r="4116" ht="16.5" customHeight="1" s="37">
      <c r="A4116" t="n">
        <v>6</v>
      </c>
      <c r="B4116" s="10" t="inlineStr">
        <is>
          <t>休日</t>
        </is>
      </c>
      <c r="C4116" s="10" t="inlineStr">
        <is>
          <t>本線</t>
        </is>
      </c>
      <c r="D4116" s="10" t="inlineStr">
        <is>
          <t>下り</t>
        </is>
      </c>
      <c r="E4116" t="inlineStr">
        <is>
          <t>0901</t>
        </is>
      </c>
      <c r="F4116" t="inlineStr">
        <is>
          <t>0112</t>
        </is>
      </c>
      <c r="G4116" s="10" t="inlineStr">
        <is>
          <t>鹿王院</t>
        </is>
      </c>
      <c r="H4116" s="10" t="inlineStr">
        <is>
          <t>発</t>
        </is>
      </c>
      <c r="J4116" s="10" t="inlineStr">
        <is>
          <t>営業</t>
        </is>
      </c>
      <c r="L4116" t="inlineStr">
        <is>
          <t>9:24:00</t>
        </is>
      </c>
      <c r="M4116" t="inlineStr">
        <is>
          <t>9:24:25</t>
        </is>
      </c>
    </row>
    <row r="4117" ht="16.5" customHeight="1" s="37">
      <c r="A4117" t="n">
        <v>6</v>
      </c>
      <c r="B4117" s="10" t="inlineStr">
        <is>
          <t>休日</t>
        </is>
      </c>
      <c r="C4117" s="10" t="inlineStr">
        <is>
          <t>本線</t>
        </is>
      </c>
      <c r="D4117" s="10" t="inlineStr">
        <is>
          <t>下り</t>
        </is>
      </c>
      <c r="E4117" t="inlineStr">
        <is>
          <t>0901</t>
        </is>
      </c>
      <c r="F4117" t="inlineStr">
        <is>
          <t>0112</t>
        </is>
      </c>
      <c r="G4117" s="10" t="inlineStr">
        <is>
          <t>嵯峨</t>
        </is>
      </c>
      <c r="H4117" s="10" t="inlineStr">
        <is>
          <t>発</t>
        </is>
      </c>
      <c r="J4117" s="10" t="inlineStr">
        <is>
          <t>営業</t>
        </is>
      </c>
      <c r="L4117" t="inlineStr">
        <is>
          <t>9:25:30</t>
        </is>
      </c>
      <c r="M4117" t="inlineStr">
        <is>
          <t>9:25:55</t>
        </is>
      </c>
    </row>
    <row r="4118" ht="15" customHeight="1" s="37">
      <c r="A4118" t="n">
        <v>6</v>
      </c>
      <c r="B4118" s="10" t="inlineStr">
        <is>
          <t>休日</t>
        </is>
      </c>
      <c r="C4118" s="10" t="inlineStr">
        <is>
          <t>本線</t>
        </is>
      </c>
      <c r="D4118" s="10" t="inlineStr">
        <is>
          <t>下り</t>
        </is>
      </c>
      <c r="E4118" t="inlineStr">
        <is>
          <t>0901</t>
        </is>
      </c>
      <c r="F4118" t="inlineStr">
        <is>
          <t>0112</t>
        </is>
      </c>
      <c r="G4118" s="10" t="inlineStr">
        <is>
          <t>嵐山</t>
        </is>
      </c>
      <c r="H4118" s="10" t="inlineStr">
        <is>
          <t>着</t>
        </is>
      </c>
      <c r="J4118" s="10" t="inlineStr">
        <is>
          <t>営業</t>
        </is>
      </c>
      <c r="L4118" t="inlineStr">
        <is>
          <t>9:27:00</t>
        </is>
      </c>
      <c r="Q4118" t="inlineStr">
        <is>
          <t>1</t>
        </is>
      </c>
    </row>
    <row r="4119" ht="15" customHeight="1" s="37">
      <c r="A4119" t="n">
        <v>6</v>
      </c>
      <c r="B4119" s="10" t="inlineStr">
        <is>
          <t>休日</t>
        </is>
      </c>
      <c r="C4119" s="10" t="inlineStr">
        <is>
          <t>本線</t>
        </is>
      </c>
      <c r="D4119" s="10" t="inlineStr">
        <is>
          <t>上り</t>
        </is>
      </c>
      <c r="E4119" t="inlineStr">
        <is>
          <t>0908</t>
        </is>
      </c>
      <c r="F4119" t="inlineStr">
        <is>
          <t>0211</t>
        </is>
      </c>
      <c r="G4119" s="10" t="inlineStr">
        <is>
          <t>嵐山</t>
        </is>
      </c>
      <c r="H4119" s="10" t="inlineStr">
        <is>
          <t>発</t>
        </is>
      </c>
      <c r="J4119" s="10" t="inlineStr">
        <is>
          <t>営業</t>
        </is>
      </c>
      <c r="M4119" t="inlineStr">
        <is>
          <t>9:33:00</t>
        </is>
      </c>
      <c r="Q4119" t="inlineStr">
        <is>
          <t>1</t>
        </is>
      </c>
    </row>
    <row r="4120" ht="15" customHeight="1" s="37">
      <c r="A4120" t="n">
        <v>6</v>
      </c>
      <c r="B4120" s="10" t="inlineStr">
        <is>
          <t>休日</t>
        </is>
      </c>
      <c r="C4120" s="10" t="inlineStr">
        <is>
          <t>本線</t>
        </is>
      </c>
      <c r="D4120" s="10" t="inlineStr">
        <is>
          <t>上り</t>
        </is>
      </c>
      <c r="E4120" t="inlineStr">
        <is>
          <t>0908</t>
        </is>
      </c>
      <c r="F4120" t="inlineStr">
        <is>
          <t>0211</t>
        </is>
      </c>
      <c r="G4120" s="10" t="inlineStr">
        <is>
          <t>嵯峨</t>
        </is>
      </c>
      <c r="H4120" s="10" t="inlineStr">
        <is>
          <t>発</t>
        </is>
      </c>
      <c r="J4120" s="10" t="inlineStr">
        <is>
          <t>営業</t>
        </is>
      </c>
      <c r="L4120" t="inlineStr">
        <is>
          <t>9:33:55</t>
        </is>
      </c>
      <c r="M4120" t="inlineStr">
        <is>
          <t>9:34:20</t>
        </is>
      </c>
    </row>
    <row r="4121" ht="15" customHeight="1" s="37">
      <c r="A4121" t="n">
        <v>6</v>
      </c>
      <c r="B4121" s="10" t="inlineStr">
        <is>
          <t>休日</t>
        </is>
      </c>
      <c r="C4121" s="10" t="inlineStr">
        <is>
          <t>本線</t>
        </is>
      </c>
      <c r="D4121" s="10" t="inlineStr">
        <is>
          <t>上り</t>
        </is>
      </c>
      <c r="E4121" t="inlineStr">
        <is>
          <t>0908</t>
        </is>
      </c>
      <c r="F4121" t="inlineStr">
        <is>
          <t>0211</t>
        </is>
      </c>
      <c r="G4121" s="10" t="inlineStr">
        <is>
          <t>鹿王院</t>
        </is>
      </c>
      <c r="H4121" s="10" t="inlineStr">
        <is>
          <t>発</t>
        </is>
      </c>
      <c r="J4121" s="10" t="inlineStr">
        <is>
          <t>営業</t>
        </is>
      </c>
      <c r="L4121" t="inlineStr">
        <is>
          <t>9:35:25</t>
        </is>
      </c>
      <c r="M4121" t="inlineStr">
        <is>
          <t>9:35:45</t>
        </is>
      </c>
    </row>
    <row r="4122" ht="15" customHeight="1" s="37">
      <c r="A4122" t="n">
        <v>6</v>
      </c>
      <c r="B4122" s="10" t="inlineStr">
        <is>
          <t>休日</t>
        </is>
      </c>
      <c r="C4122" s="10" t="inlineStr">
        <is>
          <t>本線</t>
        </is>
      </c>
      <c r="D4122" s="10" t="inlineStr">
        <is>
          <t>上り</t>
        </is>
      </c>
      <c r="E4122" t="inlineStr">
        <is>
          <t>0908</t>
        </is>
      </c>
      <c r="F4122" t="inlineStr">
        <is>
          <t>0211</t>
        </is>
      </c>
      <c r="G4122" s="10" t="inlineStr">
        <is>
          <t>車折</t>
        </is>
      </c>
      <c r="H4122" s="10" t="inlineStr">
        <is>
          <t>発</t>
        </is>
      </c>
      <c r="J4122" s="10" t="inlineStr">
        <is>
          <t>営業</t>
        </is>
      </c>
      <c r="L4122" t="inlineStr">
        <is>
          <t>9:36:40</t>
        </is>
      </c>
      <c r="M4122" t="inlineStr">
        <is>
          <t>9:37:10</t>
        </is>
      </c>
    </row>
    <row r="4123" ht="15" customHeight="1" s="37">
      <c r="A4123" t="n">
        <v>6</v>
      </c>
      <c r="B4123" s="10" t="inlineStr">
        <is>
          <t>休日</t>
        </is>
      </c>
      <c r="C4123" s="10" t="inlineStr">
        <is>
          <t>本線</t>
        </is>
      </c>
      <c r="D4123" s="10" t="inlineStr">
        <is>
          <t>上り</t>
        </is>
      </c>
      <c r="E4123" t="inlineStr">
        <is>
          <t>0908</t>
        </is>
      </c>
      <c r="F4123" t="inlineStr">
        <is>
          <t>0211</t>
        </is>
      </c>
      <c r="G4123" s="10" t="inlineStr">
        <is>
          <t>有栖川</t>
        </is>
      </c>
      <c r="H4123" s="10" t="inlineStr">
        <is>
          <t>発</t>
        </is>
      </c>
      <c r="J4123" s="10" t="inlineStr">
        <is>
          <t>営業</t>
        </is>
      </c>
      <c r="L4123" t="inlineStr">
        <is>
          <t>9:38:35</t>
        </is>
      </c>
      <c r="M4123" t="inlineStr">
        <is>
          <t>9:38:55</t>
        </is>
      </c>
    </row>
    <row r="4124" ht="15" customHeight="1" s="37">
      <c r="A4124" t="n">
        <v>6</v>
      </c>
      <c r="B4124" s="10" t="inlineStr">
        <is>
          <t>休日</t>
        </is>
      </c>
      <c r="C4124" s="10" t="inlineStr">
        <is>
          <t>本線</t>
        </is>
      </c>
      <c r="D4124" s="10" t="inlineStr">
        <is>
          <t>上り</t>
        </is>
      </c>
      <c r="E4124" t="inlineStr">
        <is>
          <t>0908</t>
        </is>
      </c>
      <c r="F4124" t="inlineStr">
        <is>
          <t>0211</t>
        </is>
      </c>
      <c r="G4124" s="10" t="inlineStr">
        <is>
          <t>帷子ノ辻</t>
        </is>
      </c>
      <c r="H4124" s="10" t="inlineStr">
        <is>
          <t>発</t>
        </is>
      </c>
      <c r="J4124" s="10" t="inlineStr">
        <is>
          <t>営業</t>
        </is>
      </c>
      <c r="L4124" t="inlineStr">
        <is>
          <t>9:40:10</t>
        </is>
      </c>
      <c r="M4124" t="inlineStr">
        <is>
          <t>9:41:15</t>
        </is>
      </c>
    </row>
    <row r="4125" ht="15" customHeight="1" s="37">
      <c r="A4125" t="n">
        <v>6</v>
      </c>
      <c r="B4125" s="10" t="inlineStr">
        <is>
          <t>休日</t>
        </is>
      </c>
      <c r="C4125" s="10" t="inlineStr">
        <is>
          <t>本線</t>
        </is>
      </c>
      <c r="D4125" s="10" t="inlineStr">
        <is>
          <t>上り</t>
        </is>
      </c>
      <c r="E4125" t="inlineStr">
        <is>
          <t>0908</t>
        </is>
      </c>
      <c r="F4125" t="inlineStr">
        <is>
          <t>0211</t>
        </is>
      </c>
      <c r="G4125" s="10" t="inlineStr">
        <is>
          <t>太秦広隆寺</t>
        </is>
      </c>
      <c r="H4125" s="10" t="inlineStr">
        <is>
          <t>発</t>
        </is>
      </c>
      <c r="J4125" s="10" t="inlineStr">
        <is>
          <t>営業</t>
        </is>
      </c>
      <c r="L4125" t="inlineStr">
        <is>
          <t>9:43:25</t>
        </is>
      </c>
      <c r="M4125" t="inlineStr">
        <is>
          <t>9:43:45</t>
        </is>
      </c>
    </row>
    <row r="4126" ht="15" customHeight="1" s="37">
      <c r="A4126" t="n">
        <v>6</v>
      </c>
      <c r="B4126" s="10" t="inlineStr">
        <is>
          <t>休日</t>
        </is>
      </c>
      <c r="C4126" s="10" t="inlineStr">
        <is>
          <t>本線</t>
        </is>
      </c>
      <c r="D4126" s="10" t="inlineStr">
        <is>
          <t>上り</t>
        </is>
      </c>
      <c r="E4126" t="inlineStr">
        <is>
          <t>0908</t>
        </is>
      </c>
      <c r="F4126" t="inlineStr">
        <is>
          <t>0211</t>
        </is>
      </c>
      <c r="G4126" s="10" t="inlineStr">
        <is>
          <t>蚕ノ社</t>
        </is>
      </c>
      <c r="H4126" s="10" t="inlineStr">
        <is>
          <t>発</t>
        </is>
      </c>
      <c r="J4126" s="10" t="inlineStr">
        <is>
          <t>営業</t>
        </is>
      </c>
      <c r="L4126" t="inlineStr">
        <is>
          <t>9:45:00</t>
        </is>
      </c>
      <c r="M4126" t="inlineStr">
        <is>
          <t>9:45:20</t>
        </is>
      </c>
    </row>
    <row r="4127" ht="15" customHeight="1" s="37">
      <c r="A4127" t="n">
        <v>6</v>
      </c>
      <c r="B4127" s="10" t="inlineStr">
        <is>
          <t>休日</t>
        </is>
      </c>
      <c r="C4127" s="10" t="inlineStr">
        <is>
          <t>本線</t>
        </is>
      </c>
      <c r="D4127" s="10" t="inlineStr">
        <is>
          <t>上り</t>
        </is>
      </c>
      <c r="E4127" t="inlineStr">
        <is>
          <t>0908</t>
        </is>
      </c>
      <c r="F4127" t="inlineStr">
        <is>
          <t>0211</t>
        </is>
      </c>
      <c r="G4127" s="10" t="inlineStr">
        <is>
          <t>天神川</t>
        </is>
      </c>
      <c r="H4127" s="10" t="inlineStr">
        <is>
          <t>発</t>
        </is>
      </c>
      <c r="J4127" s="10" t="inlineStr">
        <is>
          <t>営業</t>
        </is>
      </c>
      <c r="L4127" t="inlineStr">
        <is>
          <t>9:46:05</t>
        </is>
      </c>
      <c r="M4127" t="inlineStr">
        <is>
          <t>9:46:50</t>
        </is>
      </c>
    </row>
    <row r="4128" ht="15" customHeight="1" s="37">
      <c r="A4128" t="n">
        <v>6</v>
      </c>
      <c r="B4128" s="10" t="inlineStr">
        <is>
          <t>休日</t>
        </is>
      </c>
      <c r="C4128" s="10" t="inlineStr">
        <is>
          <t>本線</t>
        </is>
      </c>
      <c r="D4128" s="10" t="inlineStr">
        <is>
          <t>上り</t>
        </is>
      </c>
      <c r="E4128" t="inlineStr">
        <is>
          <t>0908</t>
        </is>
      </c>
      <c r="F4128" t="inlineStr">
        <is>
          <t>0211</t>
        </is>
      </c>
      <c r="G4128" s="10" t="inlineStr">
        <is>
          <t>山ノ内</t>
        </is>
      </c>
      <c r="H4128" s="10" t="inlineStr">
        <is>
          <t>発</t>
        </is>
      </c>
      <c r="J4128" s="10" t="inlineStr">
        <is>
          <t>営業</t>
        </is>
      </c>
      <c r="L4128" t="inlineStr">
        <is>
          <t>9:48:40</t>
        </is>
      </c>
      <c r="M4128" t="inlineStr">
        <is>
          <t>9:49:05</t>
        </is>
      </c>
    </row>
    <row r="4129" ht="15" customHeight="1" s="37">
      <c r="A4129" t="n">
        <v>6</v>
      </c>
      <c r="B4129" s="10" t="inlineStr">
        <is>
          <t>休日</t>
        </is>
      </c>
      <c r="C4129" s="10" t="inlineStr">
        <is>
          <t>本線</t>
        </is>
      </c>
      <c r="D4129" s="10" t="inlineStr">
        <is>
          <t>上り</t>
        </is>
      </c>
      <c r="E4129" t="inlineStr">
        <is>
          <t>0908</t>
        </is>
      </c>
      <c r="F4129" t="inlineStr">
        <is>
          <t>0211</t>
        </is>
      </c>
      <c r="G4129" s="10" t="inlineStr">
        <is>
          <t>西大路三条</t>
        </is>
      </c>
      <c r="H4129" s="10" t="inlineStr">
        <is>
          <t>発</t>
        </is>
      </c>
      <c r="J4129" s="10" t="inlineStr">
        <is>
          <t>営業</t>
        </is>
      </c>
      <c r="L4129" t="inlineStr">
        <is>
          <t>9:50:55</t>
        </is>
      </c>
      <c r="M4129" t="inlineStr">
        <is>
          <t>9:51:15</t>
        </is>
      </c>
    </row>
    <row r="4130" ht="15" customHeight="1" s="37">
      <c r="A4130" t="n">
        <v>6</v>
      </c>
      <c r="B4130" s="10" t="inlineStr">
        <is>
          <t>休日</t>
        </is>
      </c>
      <c r="C4130" s="10" t="inlineStr">
        <is>
          <t>本線</t>
        </is>
      </c>
      <c r="D4130" s="10" t="inlineStr">
        <is>
          <t>上り</t>
        </is>
      </c>
      <c r="E4130" t="inlineStr">
        <is>
          <t>0908</t>
        </is>
      </c>
      <c r="F4130" t="inlineStr">
        <is>
          <t>0211</t>
        </is>
      </c>
      <c r="G4130" s="10" t="inlineStr">
        <is>
          <t>西院</t>
        </is>
      </c>
      <c r="H4130" s="10" t="inlineStr">
        <is>
          <t>発</t>
        </is>
      </c>
      <c r="J4130" s="10" t="inlineStr">
        <is>
          <t>営業</t>
        </is>
      </c>
      <c r="L4130" t="inlineStr">
        <is>
          <t>9:53:10</t>
        </is>
      </c>
      <c r="M4130" t="inlineStr">
        <is>
          <t>9:54:05</t>
        </is>
      </c>
    </row>
    <row r="4131" ht="15" customHeight="1" s="37">
      <c r="A4131" t="n">
        <v>6</v>
      </c>
      <c r="B4131" s="10" t="inlineStr">
        <is>
          <t>休日</t>
        </is>
      </c>
      <c r="C4131" s="10" t="inlineStr">
        <is>
          <t>本線</t>
        </is>
      </c>
      <c r="D4131" s="10" t="inlineStr">
        <is>
          <t>上り</t>
        </is>
      </c>
      <c r="E4131" t="inlineStr">
        <is>
          <t>0908</t>
        </is>
      </c>
      <c r="F4131" t="inlineStr">
        <is>
          <t>0211</t>
        </is>
      </c>
      <c r="G4131" s="10" t="inlineStr">
        <is>
          <t>四条大宮</t>
        </is>
      </c>
      <c r="H4131" s="10" t="inlineStr">
        <is>
          <t>着</t>
        </is>
      </c>
      <c r="J4131" s="10" t="inlineStr">
        <is>
          <t>営業</t>
        </is>
      </c>
      <c r="L4131" t="inlineStr">
        <is>
          <t>9:57:00</t>
        </is>
      </c>
      <c r="Q4131" t="inlineStr">
        <is>
          <t>1</t>
        </is>
      </c>
    </row>
    <row r="4132" ht="15" customHeight="1" s="37">
      <c r="A4132" t="n">
        <v>6</v>
      </c>
      <c r="B4132" s="10" t="inlineStr">
        <is>
          <t>休日</t>
        </is>
      </c>
      <c r="C4132" s="10" t="inlineStr">
        <is>
          <t>本線</t>
        </is>
      </c>
      <c r="D4132" s="10" t="inlineStr">
        <is>
          <t>下り</t>
        </is>
      </c>
      <c r="E4132" t="inlineStr">
        <is>
          <t>1001</t>
        </is>
      </c>
      <c r="F4132" t="inlineStr">
        <is>
          <t>0112</t>
        </is>
      </c>
      <c r="G4132" s="10" t="inlineStr">
        <is>
          <t>四条大宮</t>
        </is>
      </c>
      <c r="H4132" s="10" t="inlineStr">
        <is>
          <t>発</t>
        </is>
      </c>
      <c r="J4132" s="10" t="inlineStr">
        <is>
          <t>営業</t>
        </is>
      </c>
      <c r="M4132" t="inlineStr">
        <is>
          <t>10:03:00</t>
        </is>
      </c>
      <c r="Q4132" t="inlineStr">
        <is>
          <t>1</t>
        </is>
      </c>
    </row>
    <row r="4133" ht="15" customHeight="1" s="37">
      <c r="A4133" t="n">
        <v>6</v>
      </c>
      <c r="B4133" s="10" t="inlineStr">
        <is>
          <t>休日</t>
        </is>
      </c>
      <c r="C4133" s="10" t="inlineStr">
        <is>
          <t>本線</t>
        </is>
      </c>
      <c r="D4133" s="10" t="inlineStr">
        <is>
          <t>下り</t>
        </is>
      </c>
      <c r="E4133" t="inlineStr">
        <is>
          <t>1001</t>
        </is>
      </c>
      <c r="F4133" t="inlineStr">
        <is>
          <t>0112</t>
        </is>
      </c>
      <c r="G4133" s="10" t="inlineStr">
        <is>
          <t>西院</t>
        </is>
      </c>
      <c r="H4133" s="10" t="inlineStr">
        <is>
          <t>発</t>
        </is>
      </c>
      <c r="J4133" s="10" t="inlineStr">
        <is>
          <t>営業</t>
        </is>
      </c>
      <c r="L4133" t="inlineStr">
        <is>
          <t>10:05:50</t>
        </is>
      </c>
      <c r="M4133" t="inlineStr">
        <is>
          <t>10:06:20</t>
        </is>
      </c>
    </row>
    <row r="4134" ht="15" customHeight="1" s="37">
      <c r="A4134" t="n">
        <v>6</v>
      </c>
      <c r="B4134" s="10" t="inlineStr">
        <is>
          <t>休日</t>
        </is>
      </c>
      <c r="C4134" s="10" t="inlineStr">
        <is>
          <t>本線</t>
        </is>
      </c>
      <c r="D4134" s="10" t="inlineStr">
        <is>
          <t>下り</t>
        </is>
      </c>
      <c r="E4134" t="inlineStr">
        <is>
          <t>1001</t>
        </is>
      </c>
      <c r="F4134" t="inlineStr">
        <is>
          <t>0112</t>
        </is>
      </c>
      <c r="G4134" s="10" t="inlineStr">
        <is>
          <t>西大路三条</t>
        </is>
      </c>
      <c r="H4134" s="10" t="inlineStr">
        <is>
          <t>発</t>
        </is>
      </c>
      <c r="J4134" s="10" t="inlineStr">
        <is>
          <t>営業</t>
        </is>
      </c>
      <c r="L4134" t="inlineStr">
        <is>
          <t>10:08:10</t>
        </is>
      </c>
      <c r="M4134" t="inlineStr">
        <is>
          <t>10:08:30</t>
        </is>
      </c>
    </row>
    <row r="4135" ht="15" customHeight="1" s="37">
      <c r="A4135" t="n">
        <v>6</v>
      </c>
      <c r="B4135" s="10" t="inlineStr">
        <is>
          <t>休日</t>
        </is>
      </c>
      <c r="C4135" s="10" t="inlineStr">
        <is>
          <t>本線</t>
        </is>
      </c>
      <c r="D4135" s="10" t="inlineStr">
        <is>
          <t>下り</t>
        </is>
      </c>
      <c r="E4135" t="inlineStr">
        <is>
          <t>1001</t>
        </is>
      </c>
      <c r="F4135" t="inlineStr">
        <is>
          <t>0112</t>
        </is>
      </c>
      <c r="G4135" s="10" t="inlineStr">
        <is>
          <t>山ノ内</t>
        </is>
      </c>
      <c r="H4135" s="10" t="inlineStr">
        <is>
          <t>発</t>
        </is>
      </c>
      <c r="J4135" s="10" t="inlineStr">
        <is>
          <t>営業</t>
        </is>
      </c>
      <c r="L4135" t="inlineStr">
        <is>
          <t>10:10:25</t>
        </is>
      </c>
      <c r="M4135" t="inlineStr">
        <is>
          <t>10:10:50</t>
        </is>
      </c>
    </row>
    <row r="4136" ht="15" customHeight="1" s="37">
      <c r="A4136" t="n">
        <v>6</v>
      </c>
      <c r="B4136" s="10" t="inlineStr">
        <is>
          <t>休日</t>
        </is>
      </c>
      <c r="C4136" s="10" t="inlineStr">
        <is>
          <t>本線</t>
        </is>
      </c>
      <c r="D4136" s="10" t="inlineStr">
        <is>
          <t>下り</t>
        </is>
      </c>
      <c r="E4136" t="inlineStr">
        <is>
          <t>1001</t>
        </is>
      </c>
      <c r="F4136" t="inlineStr">
        <is>
          <t>0112</t>
        </is>
      </c>
      <c r="G4136" s="10" t="inlineStr">
        <is>
          <t>天神川</t>
        </is>
      </c>
      <c r="H4136" s="10" t="inlineStr">
        <is>
          <t>発</t>
        </is>
      </c>
      <c r="J4136" s="10" t="inlineStr">
        <is>
          <t>営業</t>
        </is>
      </c>
      <c r="L4136" t="inlineStr">
        <is>
          <t>10:12:50</t>
        </is>
      </c>
      <c r="M4136" t="inlineStr">
        <is>
          <t>10:13:30</t>
        </is>
      </c>
    </row>
    <row r="4137" ht="15" customHeight="1" s="37">
      <c r="A4137" t="n">
        <v>6</v>
      </c>
      <c r="B4137" s="10" t="inlineStr">
        <is>
          <t>休日</t>
        </is>
      </c>
      <c r="C4137" s="10" t="inlineStr">
        <is>
          <t>本線</t>
        </is>
      </c>
      <c r="D4137" s="10" t="inlineStr">
        <is>
          <t>下り</t>
        </is>
      </c>
      <c r="E4137" t="inlineStr">
        <is>
          <t>1001</t>
        </is>
      </c>
      <c r="F4137" t="inlineStr">
        <is>
          <t>0112</t>
        </is>
      </c>
      <c r="G4137" s="10" t="inlineStr">
        <is>
          <t>蚕ノ社</t>
        </is>
      </c>
      <c r="H4137" s="10" t="inlineStr">
        <is>
          <t>発</t>
        </is>
      </c>
      <c r="J4137" s="10" t="inlineStr">
        <is>
          <t>営業</t>
        </is>
      </c>
      <c r="L4137" t="inlineStr">
        <is>
          <t>10:14:20</t>
        </is>
      </c>
      <c r="M4137" t="inlineStr">
        <is>
          <t>10:14:40</t>
        </is>
      </c>
    </row>
    <row r="4138" ht="15" customHeight="1" s="37">
      <c r="A4138" t="n">
        <v>6</v>
      </c>
      <c r="B4138" s="10" t="inlineStr">
        <is>
          <t>休日</t>
        </is>
      </c>
      <c r="C4138" s="10" t="inlineStr">
        <is>
          <t>本線</t>
        </is>
      </c>
      <c r="D4138" s="10" t="inlineStr">
        <is>
          <t>下り</t>
        </is>
      </c>
      <c r="E4138" t="inlineStr">
        <is>
          <t>1001</t>
        </is>
      </c>
      <c r="F4138" t="inlineStr">
        <is>
          <t>0112</t>
        </is>
      </c>
      <c r="G4138" s="10" t="inlineStr">
        <is>
          <t>太秦広隆寺</t>
        </is>
      </c>
      <c r="H4138" s="10" t="inlineStr">
        <is>
          <t>発</t>
        </is>
      </c>
      <c r="J4138" s="10" t="inlineStr">
        <is>
          <t>営業</t>
        </is>
      </c>
      <c r="L4138" t="inlineStr">
        <is>
          <t>10:16:00</t>
        </is>
      </c>
      <c r="M4138" t="inlineStr">
        <is>
          <t>10:16:20</t>
        </is>
      </c>
    </row>
    <row r="4139" ht="15" customHeight="1" s="37">
      <c r="A4139" t="n">
        <v>6</v>
      </c>
      <c r="B4139" s="10" t="inlineStr">
        <is>
          <t>休日</t>
        </is>
      </c>
      <c r="C4139" s="10" t="inlineStr">
        <is>
          <t>本線</t>
        </is>
      </c>
      <c r="D4139" s="10" t="inlineStr">
        <is>
          <t>下り</t>
        </is>
      </c>
      <c r="E4139" t="inlineStr">
        <is>
          <t>1001</t>
        </is>
      </c>
      <c r="F4139" t="inlineStr">
        <is>
          <t>0112</t>
        </is>
      </c>
      <c r="G4139" s="10" t="inlineStr">
        <is>
          <t>帷子ノ辻</t>
        </is>
      </c>
      <c r="H4139" s="10" t="inlineStr">
        <is>
          <t>発</t>
        </is>
      </c>
      <c r="J4139" s="10" t="inlineStr">
        <is>
          <t>営業</t>
        </is>
      </c>
      <c r="L4139" t="inlineStr">
        <is>
          <t>10:18:20</t>
        </is>
      </c>
      <c r="M4139" t="inlineStr">
        <is>
          <t>10:19:40</t>
        </is>
      </c>
    </row>
    <row r="4140" ht="15" customHeight="1" s="37">
      <c r="A4140" t="n">
        <v>6</v>
      </c>
      <c r="B4140" s="10" t="inlineStr">
        <is>
          <t>休日</t>
        </is>
      </c>
      <c r="C4140" s="10" t="inlineStr">
        <is>
          <t>本線</t>
        </is>
      </c>
      <c r="D4140" s="10" t="inlineStr">
        <is>
          <t>下り</t>
        </is>
      </c>
      <c r="E4140" t="inlineStr">
        <is>
          <t>1001</t>
        </is>
      </c>
      <c r="F4140" t="inlineStr">
        <is>
          <t>0112</t>
        </is>
      </c>
      <c r="G4140" s="10" t="inlineStr">
        <is>
          <t>有栖川</t>
        </is>
      </c>
      <c r="H4140" s="10" t="inlineStr">
        <is>
          <t>発</t>
        </is>
      </c>
      <c r="J4140" s="10" t="inlineStr">
        <is>
          <t>営業</t>
        </is>
      </c>
      <c r="L4140" t="inlineStr">
        <is>
          <t>10:20:50</t>
        </is>
      </c>
      <c r="M4140" t="inlineStr">
        <is>
          <t>10:21:15</t>
        </is>
      </c>
    </row>
    <row r="4141" ht="15" customHeight="1" s="37">
      <c r="A4141" t="n">
        <v>6</v>
      </c>
      <c r="B4141" s="10" t="inlineStr">
        <is>
          <t>休日</t>
        </is>
      </c>
      <c r="C4141" s="10" t="inlineStr">
        <is>
          <t>本線</t>
        </is>
      </c>
      <c r="D4141" s="10" t="inlineStr">
        <is>
          <t>下り</t>
        </is>
      </c>
      <c r="E4141" t="inlineStr">
        <is>
          <t>1001</t>
        </is>
      </c>
      <c r="F4141" t="inlineStr">
        <is>
          <t>0112</t>
        </is>
      </c>
      <c r="G4141" s="10" t="inlineStr">
        <is>
          <t>車折</t>
        </is>
      </c>
      <c r="H4141" s="10" t="inlineStr">
        <is>
          <t>発</t>
        </is>
      </c>
      <c r="J4141" s="10" t="inlineStr">
        <is>
          <t>営業</t>
        </is>
      </c>
      <c r="L4141" t="inlineStr">
        <is>
          <t>10:22:40</t>
        </is>
      </c>
      <c r="M4141" t="inlineStr">
        <is>
          <t>10:23:05</t>
        </is>
      </c>
    </row>
    <row r="4142" ht="15" customHeight="1" s="37">
      <c r="A4142" t="n">
        <v>6</v>
      </c>
      <c r="B4142" s="10" t="inlineStr">
        <is>
          <t>休日</t>
        </is>
      </c>
      <c r="C4142" s="10" t="inlineStr">
        <is>
          <t>本線</t>
        </is>
      </c>
      <c r="D4142" s="10" t="inlineStr">
        <is>
          <t>下り</t>
        </is>
      </c>
      <c r="E4142" t="inlineStr">
        <is>
          <t>1001</t>
        </is>
      </c>
      <c r="F4142" t="inlineStr">
        <is>
          <t>0112</t>
        </is>
      </c>
      <c r="G4142" s="10" t="inlineStr">
        <is>
          <t>鹿王院</t>
        </is>
      </c>
      <c r="H4142" s="10" t="inlineStr">
        <is>
          <t>発</t>
        </is>
      </c>
      <c r="J4142" s="10" t="inlineStr">
        <is>
          <t>営業</t>
        </is>
      </c>
      <c r="L4142" t="inlineStr">
        <is>
          <t>10:24:00</t>
        </is>
      </c>
      <c r="M4142" t="inlineStr">
        <is>
          <t>10:24:25</t>
        </is>
      </c>
    </row>
    <row r="4143" ht="15" customHeight="1" s="37">
      <c r="A4143" t="n">
        <v>6</v>
      </c>
      <c r="B4143" s="10" t="inlineStr">
        <is>
          <t>休日</t>
        </is>
      </c>
      <c r="C4143" s="10" t="inlineStr">
        <is>
          <t>本線</t>
        </is>
      </c>
      <c r="D4143" s="10" t="inlineStr">
        <is>
          <t>下り</t>
        </is>
      </c>
      <c r="E4143" t="inlineStr">
        <is>
          <t>1001</t>
        </is>
      </c>
      <c r="F4143" t="inlineStr">
        <is>
          <t>0112</t>
        </is>
      </c>
      <c r="G4143" s="10" t="inlineStr">
        <is>
          <t>嵯峨</t>
        </is>
      </c>
      <c r="H4143" s="10" t="inlineStr">
        <is>
          <t>発</t>
        </is>
      </c>
      <c r="J4143" s="10" t="inlineStr">
        <is>
          <t>営業</t>
        </is>
      </c>
      <c r="L4143" t="inlineStr">
        <is>
          <t>10:25:30</t>
        </is>
      </c>
      <c r="M4143" t="inlineStr">
        <is>
          <t>10:25:55</t>
        </is>
      </c>
    </row>
    <row r="4144" ht="15" customHeight="1" s="37">
      <c r="A4144" t="n">
        <v>6</v>
      </c>
      <c r="B4144" s="10" t="inlineStr">
        <is>
          <t>休日</t>
        </is>
      </c>
      <c r="C4144" s="10" t="inlineStr">
        <is>
          <t>本線</t>
        </is>
      </c>
      <c r="D4144" s="10" t="inlineStr">
        <is>
          <t>下り</t>
        </is>
      </c>
      <c r="E4144" t="inlineStr">
        <is>
          <t>1001</t>
        </is>
      </c>
      <c r="F4144" t="inlineStr">
        <is>
          <t>0112</t>
        </is>
      </c>
      <c r="G4144" s="10" t="inlineStr">
        <is>
          <t>嵐山</t>
        </is>
      </c>
      <c r="H4144" s="10" t="inlineStr">
        <is>
          <t>着</t>
        </is>
      </c>
      <c r="J4144" s="10" t="inlineStr">
        <is>
          <t>営業</t>
        </is>
      </c>
      <c r="L4144" t="inlineStr">
        <is>
          <t>10:27:00</t>
        </is>
      </c>
      <c r="Q4144" t="inlineStr">
        <is>
          <t>1</t>
        </is>
      </c>
    </row>
    <row r="4145" ht="15" customHeight="1" s="37">
      <c r="A4145" t="n">
        <v>6</v>
      </c>
      <c r="B4145" s="10" t="inlineStr">
        <is>
          <t>休日</t>
        </is>
      </c>
      <c r="C4145" s="10" t="inlineStr">
        <is>
          <t>本線</t>
        </is>
      </c>
      <c r="D4145" s="10" t="inlineStr">
        <is>
          <t>上り</t>
        </is>
      </c>
      <c r="E4145" t="inlineStr">
        <is>
          <t>1008</t>
        </is>
      </c>
      <c r="F4145" t="inlineStr">
        <is>
          <t>0211</t>
        </is>
      </c>
      <c r="G4145" s="10" t="inlineStr">
        <is>
          <t>嵐山</t>
        </is>
      </c>
      <c r="H4145" s="10" t="inlineStr">
        <is>
          <t>発</t>
        </is>
      </c>
      <c r="J4145" s="10" t="inlineStr">
        <is>
          <t>営業</t>
        </is>
      </c>
      <c r="M4145" t="inlineStr">
        <is>
          <t>10:33:00</t>
        </is>
      </c>
      <c r="Q4145" t="inlineStr">
        <is>
          <t>1</t>
        </is>
      </c>
      <c r="U4145" t="inlineStr">
        <is>
          <t>→西院 休憩(11:06〜12:26)</t>
        </is>
      </c>
    </row>
    <row r="4146" ht="15" customHeight="1" s="37">
      <c r="A4146" t="n">
        <v>6</v>
      </c>
      <c r="B4146" s="10" t="inlineStr">
        <is>
          <t>休日</t>
        </is>
      </c>
      <c r="C4146" s="10" t="inlineStr">
        <is>
          <t>本線</t>
        </is>
      </c>
      <c r="D4146" s="10" t="inlineStr">
        <is>
          <t>上り</t>
        </is>
      </c>
      <c r="E4146" t="inlineStr">
        <is>
          <t>1008</t>
        </is>
      </c>
      <c r="F4146" t="inlineStr">
        <is>
          <t>0211</t>
        </is>
      </c>
      <c r="G4146" s="10" t="inlineStr">
        <is>
          <t>嵯峨</t>
        </is>
      </c>
      <c r="H4146" s="10" t="inlineStr">
        <is>
          <t>発</t>
        </is>
      </c>
      <c r="J4146" s="10" t="inlineStr">
        <is>
          <t>営業</t>
        </is>
      </c>
      <c r="L4146" t="inlineStr">
        <is>
          <t>10:33:55</t>
        </is>
      </c>
      <c r="M4146" t="inlineStr">
        <is>
          <t>10:34:20</t>
        </is>
      </c>
      <c r="U4146" t="inlineStr">
        <is>
          <t>→西院 休憩(11:06〜12:26)</t>
        </is>
      </c>
    </row>
    <row r="4147" ht="15" customHeight="1" s="37">
      <c r="A4147" t="n">
        <v>6</v>
      </c>
      <c r="B4147" s="10" t="inlineStr">
        <is>
          <t>休日</t>
        </is>
      </c>
      <c r="C4147" s="10" t="inlineStr">
        <is>
          <t>本線</t>
        </is>
      </c>
      <c r="D4147" s="10" t="inlineStr">
        <is>
          <t>上り</t>
        </is>
      </c>
      <c r="E4147" t="inlineStr">
        <is>
          <t>1008</t>
        </is>
      </c>
      <c r="F4147" t="inlineStr">
        <is>
          <t>0211</t>
        </is>
      </c>
      <c r="G4147" s="10" t="inlineStr">
        <is>
          <t>鹿王院</t>
        </is>
      </c>
      <c r="H4147" s="10" t="inlineStr">
        <is>
          <t>発</t>
        </is>
      </c>
      <c r="J4147" s="10" t="inlineStr">
        <is>
          <t>営業</t>
        </is>
      </c>
      <c r="L4147" t="inlineStr">
        <is>
          <t>10:35:25</t>
        </is>
      </c>
      <c r="M4147" t="inlineStr">
        <is>
          <t>10:35:45</t>
        </is>
      </c>
      <c r="U4147" t="inlineStr">
        <is>
          <t>→西院 休憩(11:06〜12:26)</t>
        </is>
      </c>
    </row>
    <row r="4148" ht="15" customHeight="1" s="37">
      <c r="A4148" t="n">
        <v>6</v>
      </c>
      <c r="B4148" s="10" t="inlineStr">
        <is>
          <t>休日</t>
        </is>
      </c>
      <c r="C4148" s="10" t="inlineStr">
        <is>
          <t>本線</t>
        </is>
      </c>
      <c r="D4148" s="10" t="inlineStr">
        <is>
          <t>上り</t>
        </is>
      </c>
      <c r="E4148" t="inlineStr">
        <is>
          <t>1008</t>
        </is>
      </c>
      <c r="F4148" t="inlineStr">
        <is>
          <t>0211</t>
        </is>
      </c>
      <c r="G4148" s="10" t="inlineStr">
        <is>
          <t>車折</t>
        </is>
      </c>
      <c r="H4148" s="10" t="inlineStr">
        <is>
          <t>発</t>
        </is>
      </c>
      <c r="J4148" s="10" t="inlineStr">
        <is>
          <t>営業</t>
        </is>
      </c>
      <c r="L4148" t="inlineStr">
        <is>
          <t>10:36:40</t>
        </is>
      </c>
      <c r="M4148" t="inlineStr">
        <is>
          <t>10:37:10</t>
        </is>
      </c>
      <c r="U4148" t="inlineStr">
        <is>
          <t>→西院 休憩(11:06〜12:26)</t>
        </is>
      </c>
    </row>
    <row r="4149" ht="15" customHeight="1" s="37">
      <c r="A4149" t="n">
        <v>6</v>
      </c>
      <c r="B4149" s="10" t="inlineStr">
        <is>
          <t>休日</t>
        </is>
      </c>
      <c r="C4149" s="10" t="inlineStr">
        <is>
          <t>本線</t>
        </is>
      </c>
      <c r="D4149" s="10" t="inlineStr">
        <is>
          <t>上り</t>
        </is>
      </c>
      <c r="E4149" t="inlineStr">
        <is>
          <t>1008</t>
        </is>
      </c>
      <c r="F4149" t="inlineStr">
        <is>
          <t>0211</t>
        </is>
      </c>
      <c r="G4149" s="10" t="inlineStr">
        <is>
          <t>有栖川</t>
        </is>
      </c>
      <c r="H4149" s="10" t="inlineStr">
        <is>
          <t>発</t>
        </is>
      </c>
      <c r="J4149" s="10" t="inlineStr">
        <is>
          <t>営業</t>
        </is>
      </c>
      <c r="L4149" t="inlineStr">
        <is>
          <t>10:38:35</t>
        </is>
      </c>
      <c r="M4149" t="inlineStr">
        <is>
          <t>10:38:55</t>
        </is>
      </c>
      <c r="U4149" t="inlineStr">
        <is>
          <t>→西院 休憩(11:06〜12:26)</t>
        </is>
      </c>
    </row>
    <row r="4150" ht="15" customHeight="1" s="37">
      <c r="A4150" t="n">
        <v>6</v>
      </c>
      <c r="B4150" s="10" t="inlineStr">
        <is>
          <t>休日</t>
        </is>
      </c>
      <c r="C4150" s="10" t="inlineStr">
        <is>
          <t>本線</t>
        </is>
      </c>
      <c r="D4150" s="10" t="inlineStr">
        <is>
          <t>上り</t>
        </is>
      </c>
      <c r="E4150" t="inlineStr">
        <is>
          <t>1008</t>
        </is>
      </c>
      <c r="F4150" t="inlineStr">
        <is>
          <t>0211</t>
        </is>
      </c>
      <c r="G4150" s="10" t="inlineStr">
        <is>
          <t>帷子ノ辻</t>
        </is>
      </c>
      <c r="H4150" s="10" t="inlineStr">
        <is>
          <t>発</t>
        </is>
      </c>
      <c r="J4150" s="10" t="inlineStr">
        <is>
          <t>営業</t>
        </is>
      </c>
      <c r="L4150" t="inlineStr">
        <is>
          <t>10:40:10</t>
        </is>
      </c>
      <c r="M4150" t="inlineStr">
        <is>
          <t>10:41:15</t>
        </is>
      </c>
      <c r="U4150" t="inlineStr">
        <is>
          <t>→西院 休憩(11:06〜12:26)</t>
        </is>
      </c>
    </row>
    <row r="4151" ht="15" customHeight="1" s="37">
      <c r="A4151" t="n">
        <v>6</v>
      </c>
      <c r="B4151" s="10" t="inlineStr">
        <is>
          <t>休日</t>
        </is>
      </c>
      <c r="C4151" s="10" t="inlineStr">
        <is>
          <t>本線</t>
        </is>
      </c>
      <c r="D4151" s="10" t="inlineStr">
        <is>
          <t>上り</t>
        </is>
      </c>
      <c r="E4151" t="inlineStr">
        <is>
          <t>1008</t>
        </is>
      </c>
      <c r="F4151" t="inlineStr">
        <is>
          <t>0211</t>
        </is>
      </c>
      <c r="G4151" s="10" t="inlineStr">
        <is>
          <t>太秦広隆寺</t>
        </is>
      </c>
      <c r="H4151" s="10" t="inlineStr">
        <is>
          <t>発</t>
        </is>
      </c>
      <c r="J4151" s="10" t="inlineStr">
        <is>
          <t>営業</t>
        </is>
      </c>
      <c r="L4151" t="inlineStr">
        <is>
          <t>10:43:25</t>
        </is>
      </c>
      <c r="M4151" t="inlineStr">
        <is>
          <t>10:43:45</t>
        </is>
      </c>
      <c r="U4151" t="inlineStr">
        <is>
          <t>→西院 休憩(11:06〜12:26)</t>
        </is>
      </c>
    </row>
    <row r="4152" ht="15" customHeight="1" s="37">
      <c r="A4152" t="n">
        <v>6</v>
      </c>
      <c r="B4152" s="10" t="inlineStr">
        <is>
          <t>休日</t>
        </is>
      </c>
      <c r="C4152" s="10" t="inlineStr">
        <is>
          <t>本線</t>
        </is>
      </c>
      <c r="D4152" s="10" t="inlineStr">
        <is>
          <t>上り</t>
        </is>
      </c>
      <c r="E4152" t="inlineStr">
        <is>
          <t>1008</t>
        </is>
      </c>
      <c r="F4152" t="inlineStr">
        <is>
          <t>0211</t>
        </is>
      </c>
      <c r="G4152" s="10" t="inlineStr">
        <is>
          <t>蚕ノ社</t>
        </is>
      </c>
      <c r="H4152" s="10" t="inlineStr">
        <is>
          <t>発</t>
        </is>
      </c>
      <c r="J4152" s="10" t="inlineStr">
        <is>
          <t>営業</t>
        </is>
      </c>
      <c r="L4152" t="inlineStr">
        <is>
          <t>10:45:00</t>
        </is>
      </c>
      <c r="M4152" t="inlineStr">
        <is>
          <t>10:45:20</t>
        </is>
      </c>
      <c r="U4152" t="inlineStr">
        <is>
          <t>→西院 休憩(11:06〜12:26)</t>
        </is>
      </c>
    </row>
    <row r="4153" ht="15" customHeight="1" s="37">
      <c r="A4153" t="n">
        <v>6</v>
      </c>
      <c r="B4153" s="10" t="inlineStr">
        <is>
          <t>休日</t>
        </is>
      </c>
      <c r="C4153" s="10" t="inlineStr">
        <is>
          <t>本線</t>
        </is>
      </c>
      <c r="D4153" s="10" t="inlineStr">
        <is>
          <t>上り</t>
        </is>
      </c>
      <c r="E4153" t="inlineStr">
        <is>
          <t>1008</t>
        </is>
      </c>
      <c r="F4153" t="inlineStr">
        <is>
          <t>0211</t>
        </is>
      </c>
      <c r="G4153" s="10" t="inlineStr">
        <is>
          <t>天神川</t>
        </is>
      </c>
      <c r="H4153" s="10" t="inlineStr">
        <is>
          <t>発</t>
        </is>
      </c>
      <c r="J4153" s="10" t="inlineStr">
        <is>
          <t>営業</t>
        </is>
      </c>
      <c r="L4153" t="inlineStr">
        <is>
          <t>10:46:05</t>
        </is>
      </c>
      <c r="M4153" t="inlineStr">
        <is>
          <t>10:46:50</t>
        </is>
      </c>
      <c r="U4153" t="inlineStr">
        <is>
          <t>→西院 休憩(11:06〜12:26)</t>
        </is>
      </c>
    </row>
    <row r="4154" ht="15" customHeight="1" s="37">
      <c r="A4154" t="n">
        <v>6</v>
      </c>
      <c r="B4154" s="10" t="inlineStr">
        <is>
          <t>休日</t>
        </is>
      </c>
      <c r="C4154" s="10" t="inlineStr">
        <is>
          <t>本線</t>
        </is>
      </c>
      <c r="D4154" s="10" t="inlineStr">
        <is>
          <t>上り</t>
        </is>
      </c>
      <c r="E4154" t="inlineStr">
        <is>
          <t>1008</t>
        </is>
      </c>
      <c r="F4154" t="inlineStr">
        <is>
          <t>0211</t>
        </is>
      </c>
      <c r="G4154" s="10" t="inlineStr">
        <is>
          <t>山ノ内</t>
        </is>
      </c>
      <c r="H4154" s="10" t="inlineStr">
        <is>
          <t>発</t>
        </is>
      </c>
      <c r="J4154" s="10" t="inlineStr">
        <is>
          <t>営業</t>
        </is>
      </c>
      <c r="L4154" t="inlineStr">
        <is>
          <t>10:48:40</t>
        </is>
      </c>
      <c r="M4154" t="inlineStr">
        <is>
          <t>10:49:05</t>
        </is>
      </c>
      <c r="U4154" t="inlineStr">
        <is>
          <t>→西院 休憩(11:06〜12:26)</t>
        </is>
      </c>
    </row>
    <row r="4155" ht="15" customHeight="1" s="37">
      <c r="A4155" t="n">
        <v>6</v>
      </c>
      <c r="B4155" s="10" t="inlineStr">
        <is>
          <t>休日</t>
        </is>
      </c>
      <c r="C4155" s="10" t="inlineStr">
        <is>
          <t>本線</t>
        </is>
      </c>
      <c r="D4155" s="10" t="inlineStr">
        <is>
          <t>上り</t>
        </is>
      </c>
      <c r="E4155" t="inlineStr">
        <is>
          <t>1008</t>
        </is>
      </c>
      <c r="F4155" t="inlineStr">
        <is>
          <t>0211</t>
        </is>
      </c>
      <c r="G4155" s="10" t="inlineStr">
        <is>
          <t>西大路三条</t>
        </is>
      </c>
      <c r="H4155" s="10" t="inlineStr">
        <is>
          <t>発</t>
        </is>
      </c>
      <c r="J4155" s="10" t="inlineStr">
        <is>
          <t>営業</t>
        </is>
      </c>
      <c r="L4155" t="inlineStr">
        <is>
          <t>10:50:55</t>
        </is>
      </c>
      <c r="M4155" t="inlineStr">
        <is>
          <t>10:51:15</t>
        </is>
      </c>
      <c r="U4155" t="inlineStr">
        <is>
          <t>→西院 休憩(11:06〜12:26)</t>
        </is>
      </c>
    </row>
    <row r="4156" ht="15" customHeight="1" s="37">
      <c r="A4156" t="n">
        <v>6</v>
      </c>
      <c r="B4156" s="10" t="inlineStr">
        <is>
          <t>休日</t>
        </is>
      </c>
      <c r="C4156" s="10" t="inlineStr">
        <is>
          <t>本線</t>
        </is>
      </c>
      <c r="D4156" s="10" t="inlineStr">
        <is>
          <t>上り</t>
        </is>
      </c>
      <c r="E4156" t="inlineStr">
        <is>
          <t>1008</t>
        </is>
      </c>
      <c r="F4156" t="inlineStr">
        <is>
          <t>0211</t>
        </is>
      </c>
      <c r="G4156" s="10" t="inlineStr">
        <is>
          <t>西院</t>
        </is>
      </c>
      <c r="H4156" s="10" t="inlineStr">
        <is>
          <t>発</t>
        </is>
      </c>
      <c r="J4156" s="10" t="inlineStr">
        <is>
          <t>営業</t>
        </is>
      </c>
      <c r="L4156" t="inlineStr">
        <is>
          <t>10:53:10</t>
        </is>
      </c>
      <c r="M4156" t="inlineStr">
        <is>
          <t>10:54:05</t>
        </is>
      </c>
      <c r="U4156" t="inlineStr">
        <is>
          <t>→西院 休憩(11:06〜12:26)</t>
        </is>
      </c>
    </row>
    <row r="4157" ht="15" customHeight="1" s="37">
      <c r="A4157" t="n">
        <v>6</v>
      </c>
      <c r="B4157" s="10" t="inlineStr">
        <is>
          <t>休日</t>
        </is>
      </c>
      <c r="C4157" s="10" t="inlineStr">
        <is>
          <t>本線</t>
        </is>
      </c>
      <c r="D4157" s="10" t="inlineStr">
        <is>
          <t>上り</t>
        </is>
      </c>
      <c r="E4157" t="inlineStr">
        <is>
          <t>1008</t>
        </is>
      </c>
      <c r="F4157" t="inlineStr">
        <is>
          <t>0211</t>
        </is>
      </c>
      <c r="G4157" s="10" t="inlineStr">
        <is>
          <t>四条大宮</t>
        </is>
      </c>
      <c r="H4157" s="10" t="inlineStr">
        <is>
          <t>着</t>
        </is>
      </c>
      <c r="J4157" s="10" t="inlineStr">
        <is>
          <t>営業</t>
        </is>
      </c>
      <c r="L4157" t="inlineStr">
        <is>
          <t>10:57:00</t>
        </is>
      </c>
      <c r="Q4157" t="inlineStr">
        <is>
          <t>1</t>
        </is>
      </c>
      <c r="U4157" t="inlineStr">
        <is>
          <t>→西院 休憩(11:06〜12:26)</t>
        </is>
      </c>
    </row>
    <row r="4158" ht="15" customHeight="1" s="37">
      <c r="A4158" t="n">
        <v>6</v>
      </c>
      <c r="B4158" s="10" t="inlineStr">
        <is>
          <t>休日</t>
        </is>
      </c>
      <c r="C4158" s="10" t="inlineStr">
        <is>
          <t>本線</t>
        </is>
      </c>
      <c r="D4158" s="10" t="inlineStr">
        <is>
          <t>下り</t>
        </is>
      </c>
      <c r="E4158" t="inlineStr">
        <is>
          <t>1101</t>
        </is>
      </c>
      <c r="F4158" t="inlineStr">
        <is>
          <t>0112</t>
        </is>
      </c>
      <c r="G4158" s="10" t="inlineStr">
        <is>
          <t>四条大宮</t>
        </is>
      </c>
      <c r="H4158" s="10" t="inlineStr">
        <is>
          <t>発</t>
        </is>
      </c>
      <c r="J4158" s="10" t="inlineStr">
        <is>
          <t>営業</t>
        </is>
      </c>
      <c r="M4158" t="inlineStr">
        <is>
          <t>11:03:00</t>
        </is>
      </c>
      <c r="Q4158" t="inlineStr">
        <is>
          <t>1</t>
        </is>
      </c>
      <c r="U4158" t="inlineStr">
        <is>
          <t>→西院 休憩(11:06〜12:26)</t>
        </is>
      </c>
    </row>
    <row r="4159" ht="15" customHeight="1" s="37">
      <c r="A4159" t="n">
        <v>6</v>
      </c>
      <c r="B4159" s="10" t="inlineStr">
        <is>
          <t>休日</t>
        </is>
      </c>
      <c r="C4159" s="10" t="inlineStr">
        <is>
          <t>本線</t>
        </is>
      </c>
      <c r="D4159" s="10" t="inlineStr">
        <is>
          <t>下り</t>
        </is>
      </c>
      <c r="E4159" t="inlineStr">
        <is>
          <t>1101</t>
        </is>
      </c>
      <c r="F4159" t="inlineStr">
        <is>
          <t>0112</t>
        </is>
      </c>
      <c r="G4159" s="10" t="inlineStr">
        <is>
          <t>西院</t>
        </is>
      </c>
      <c r="H4159" s="10" t="inlineStr">
        <is>
          <t>着</t>
        </is>
      </c>
      <c r="J4159" s="10" t="inlineStr">
        <is>
          <t>営業</t>
        </is>
      </c>
      <c r="L4159" t="inlineStr">
        <is>
          <t>11:05:50</t>
        </is>
      </c>
      <c r="M4159" t="inlineStr">
        <is>
          <t>11:06:20</t>
        </is>
      </c>
      <c r="U4159" t="inlineStr">
        <is>
          <t>→西院 休憩(11:06〜12:26)</t>
        </is>
      </c>
    </row>
    <row r="4160" ht="15" customHeight="1" s="37">
      <c r="A4160" t="n">
        <v>6</v>
      </c>
      <c r="B4160" s="10" t="inlineStr">
        <is>
          <t>休日</t>
        </is>
      </c>
      <c r="C4160" s="10" t="inlineStr">
        <is>
          <t>本線</t>
        </is>
      </c>
      <c r="D4160" s="10" t="inlineStr">
        <is>
          <t>下り</t>
        </is>
      </c>
      <c r="E4160" t="inlineStr">
        <is>
          <t>1205</t>
        </is>
      </c>
      <c r="F4160" t="inlineStr">
        <is>
          <t>0112</t>
        </is>
      </c>
      <c r="G4160" s="10" t="inlineStr">
        <is>
          <t>西院</t>
        </is>
      </c>
      <c r="H4160" s="10" t="inlineStr">
        <is>
          <t>発</t>
        </is>
      </c>
      <c r="J4160" s="10" t="inlineStr">
        <is>
          <t>営業</t>
        </is>
      </c>
      <c r="L4160" t="inlineStr">
        <is>
          <t>12:25:50</t>
        </is>
      </c>
      <c r="M4160" t="inlineStr">
        <is>
          <t>12:26:20</t>
        </is>
      </c>
    </row>
    <row r="4161" ht="15" customHeight="1" s="37">
      <c r="A4161" t="n">
        <v>6</v>
      </c>
      <c r="B4161" s="10" t="inlineStr">
        <is>
          <t>休日</t>
        </is>
      </c>
      <c r="C4161" s="10" t="inlineStr">
        <is>
          <t>本線</t>
        </is>
      </c>
      <c r="D4161" s="10" t="inlineStr">
        <is>
          <t>下り</t>
        </is>
      </c>
      <c r="E4161" t="inlineStr">
        <is>
          <t>1205</t>
        </is>
      </c>
      <c r="F4161" t="inlineStr">
        <is>
          <t>0112</t>
        </is>
      </c>
      <c r="G4161" s="10" t="inlineStr">
        <is>
          <t>西大路三条</t>
        </is>
      </c>
      <c r="H4161" s="10" t="inlineStr">
        <is>
          <t>発</t>
        </is>
      </c>
      <c r="J4161" s="10" t="inlineStr">
        <is>
          <t>営業</t>
        </is>
      </c>
      <c r="L4161" t="inlineStr">
        <is>
          <t>12:28:10</t>
        </is>
      </c>
      <c r="M4161" t="inlineStr">
        <is>
          <t>12:28:30</t>
        </is>
      </c>
    </row>
    <row r="4162" ht="15" customHeight="1" s="37">
      <c r="A4162" t="n">
        <v>6</v>
      </c>
      <c r="B4162" s="10" t="inlineStr">
        <is>
          <t>休日</t>
        </is>
      </c>
      <c r="C4162" s="10" t="inlineStr">
        <is>
          <t>本線</t>
        </is>
      </c>
      <c r="D4162" s="10" t="inlineStr">
        <is>
          <t>下り</t>
        </is>
      </c>
      <c r="E4162" t="inlineStr">
        <is>
          <t>1205</t>
        </is>
      </c>
      <c r="F4162" t="inlineStr">
        <is>
          <t>0112</t>
        </is>
      </c>
      <c r="G4162" s="10" t="inlineStr">
        <is>
          <t>山ノ内</t>
        </is>
      </c>
      <c r="H4162" s="10" t="inlineStr">
        <is>
          <t>発</t>
        </is>
      </c>
      <c r="J4162" s="10" t="inlineStr">
        <is>
          <t>営業</t>
        </is>
      </c>
      <c r="L4162" t="inlineStr">
        <is>
          <t>12:30:25</t>
        </is>
      </c>
      <c r="M4162" t="inlineStr">
        <is>
          <t>12:30:50</t>
        </is>
      </c>
    </row>
    <row r="4163" ht="15" customHeight="1" s="37">
      <c r="A4163" t="n">
        <v>6</v>
      </c>
      <c r="B4163" s="10" t="inlineStr">
        <is>
          <t>休日</t>
        </is>
      </c>
      <c r="C4163" s="10" t="inlineStr">
        <is>
          <t>本線</t>
        </is>
      </c>
      <c r="D4163" s="10" t="inlineStr">
        <is>
          <t>下り</t>
        </is>
      </c>
      <c r="E4163" t="inlineStr">
        <is>
          <t>1205</t>
        </is>
      </c>
      <c r="F4163" t="inlineStr">
        <is>
          <t>0112</t>
        </is>
      </c>
      <c r="G4163" s="10" t="inlineStr">
        <is>
          <t>天神川</t>
        </is>
      </c>
      <c r="H4163" s="10" t="inlineStr">
        <is>
          <t>発</t>
        </is>
      </c>
      <c r="J4163" s="10" t="inlineStr">
        <is>
          <t>営業</t>
        </is>
      </c>
      <c r="L4163" t="inlineStr">
        <is>
          <t>12:32:50</t>
        </is>
      </c>
      <c r="M4163" t="inlineStr">
        <is>
          <t>12:33:30</t>
        </is>
      </c>
    </row>
    <row r="4164" ht="15" customHeight="1" s="37">
      <c r="A4164" t="n">
        <v>6</v>
      </c>
      <c r="B4164" s="10" t="inlineStr">
        <is>
          <t>休日</t>
        </is>
      </c>
      <c r="C4164" s="10" t="inlineStr">
        <is>
          <t>本線</t>
        </is>
      </c>
      <c r="D4164" s="10" t="inlineStr">
        <is>
          <t>下り</t>
        </is>
      </c>
      <c r="E4164" t="inlineStr">
        <is>
          <t>1205</t>
        </is>
      </c>
      <c r="F4164" t="inlineStr">
        <is>
          <t>0112</t>
        </is>
      </c>
      <c r="G4164" s="10" t="inlineStr">
        <is>
          <t>蚕ノ社</t>
        </is>
      </c>
      <c r="H4164" s="10" t="inlineStr">
        <is>
          <t>発</t>
        </is>
      </c>
      <c r="J4164" s="10" t="inlineStr">
        <is>
          <t>営業</t>
        </is>
      </c>
      <c r="L4164" t="inlineStr">
        <is>
          <t>12:34:20</t>
        </is>
      </c>
      <c r="M4164" t="inlineStr">
        <is>
          <t>12:34:40</t>
        </is>
      </c>
    </row>
    <row r="4165" ht="15" customHeight="1" s="37">
      <c r="A4165" t="n">
        <v>6</v>
      </c>
      <c r="B4165" s="10" t="inlineStr">
        <is>
          <t>休日</t>
        </is>
      </c>
      <c r="C4165" s="10" t="inlineStr">
        <is>
          <t>本線</t>
        </is>
      </c>
      <c r="D4165" s="10" t="inlineStr">
        <is>
          <t>下り</t>
        </is>
      </c>
      <c r="E4165" t="inlineStr">
        <is>
          <t>1205</t>
        </is>
      </c>
      <c r="F4165" t="inlineStr">
        <is>
          <t>0112</t>
        </is>
      </c>
      <c r="G4165" s="10" t="inlineStr">
        <is>
          <t>太秦広隆寺</t>
        </is>
      </c>
      <c r="H4165" s="10" t="inlineStr">
        <is>
          <t>発</t>
        </is>
      </c>
      <c r="J4165" s="10" t="inlineStr">
        <is>
          <t>営業</t>
        </is>
      </c>
      <c r="L4165" t="inlineStr">
        <is>
          <t>12:36:00</t>
        </is>
      </c>
      <c r="M4165" t="inlineStr">
        <is>
          <t>12:36:20</t>
        </is>
      </c>
    </row>
    <row r="4166" ht="15" customHeight="1" s="37">
      <c r="A4166" t="n">
        <v>6</v>
      </c>
      <c r="B4166" s="10" t="inlineStr">
        <is>
          <t>休日</t>
        </is>
      </c>
      <c r="C4166" s="10" t="inlineStr">
        <is>
          <t>本線</t>
        </is>
      </c>
      <c r="D4166" s="10" t="inlineStr">
        <is>
          <t>下り</t>
        </is>
      </c>
      <c r="E4166" t="inlineStr">
        <is>
          <t>1205</t>
        </is>
      </c>
      <c r="F4166" t="inlineStr">
        <is>
          <t>0112</t>
        </is>
      </c>
      <c r="G4166" s="10" t="inlineStr">
        <is>
          <t>帷子ノ辻</t>
        </is>
      </c>
      <c r="H4166" s="10" t="inlineStr">
        <is>
          <t>発</t>
        </is>
      </c>
      <c r="J4166" s="10" t="inlineStr">
        <is>
          <t>営業</t>
        </is>
      </c>
      <c r="L4166" t="inlineStr">
        <is>
          <t>12:38:20</t>
        </is>
      </c>
      <c r="M4166" t="inlineStr">
        <is>
          <t>12:39:40</t>
        </is>
      </c>
    </row>
    <row r="4167" ht="16.5" customHeight="1" s="37">
      <c r="A4167" t="n">
        <v>6</v>
      </c>
      <c r="B4167" s="10" t="inlineStr">
        <is>
          <t>休日</t>
        </is>
      </c>
      <c r="C4167" s="10" t="inlineStr">
        <is>
          <t>本線</t>
        </is>
      </c>
      <c r="D4167" s="10" t="inlineStr">
        <is>
          <t>下り</t>
        </is>
      </c>
      <c r="E4167" t="inlineStr">
        <is>
          <t>1205</t>
        </is>
      </c>
      <c r="F4167" t="inlineStr">
        <is>
          <t>0112</t>
        </is>
      </c>
      <c r="G4167" s="10" t="inlineStr">
        <is>
          <t>有栖川</t>
        </is>
      </c>
      <c r="H4167" s="10" t="inlineStr">
        <is>
          <t>発</t>
        </is>
      </c>
      <c r="J4167" s="10" t="inlineStr">
        <is>
          <t>営業</t>
        </is>
      </c>
      <c r="L4167" t="inlineStr">
        <is>
          <t>12:40:50</t>
        </is>
      </c>
      <c r="M4167" t="inlineStr">
        <is>
          <t>12:41:15</t>
        </is>
      </c>
    </row>
    <row r="4168" ht="16.5" customHeight="1" s="37">
      <c r="A4168" t="n">
        <v>6</v>
      </c>
      <c r="B4168" s="10" t="inlineStr">
        <is>
          <t>休日</t>
        </is>
      </c>
      <c r="C4168" s="10" t="inlineStr">
        <is>
          <t>本線</t>
        </is>
      </c>
      <c r="D4168" s="10" t="inlineStr">
        <is>
          <t>下り</t>
        </is>
      </c>
      <c r="E4168" t="inlineStr">
        <is>
          <t>1205</t>
        </is>
      </c>
      <c r="F4168" t="inlineStr">
        <is>
          <t>0112</t>
        </is>
      </c>
      <c r="G4168" s="10" t="inlineStr">
        <is>
          <t>車折</t>
        </is>
      </c>
      <c r="H4168" s="10" t="inlineStr">
        <is>
          <t>発</t>
        </is>
      </c>
      <c r="J4168" s="10" t="inlineStr">
        <is>
          <t>営業</t>
        </is>
      </c>
      <c r="L4168" t="inlineStr">
        <is>
          <t>12:42:40</t>
        </is>
      </c>
      <c r="M4168" t="inlineStr">
        <is>
          <t>12:43:05</t>
        </is>
      </c>
    </row>
    <row r="4169" ht="16.5" customHeight="1" s="37">
      <c r="A4169" t="n">
        <v>6</v>
      </c>
      <c r="B4169" s="10" t="inlineStr">
        <is>
          <t>休日</t>
        </is>
      </c>
      <c r="C4169" s="10" t="inlineStr">
        <is>
          <t>本線</t>
        </is>
      </c>
      <c r="D4169" s="10" t="inlineStr">
        <is>
          <t>下り</t>
        </is>
      </c>
      <c r="E4169" t="inlineStr">
        <is>
          <t>1205</t>
        </is>
      </c>
      <c r="F4169" t="inlineStr">
        <is>
          <t>0112</t>
        </is>
      </c>
      <c r="G4169" s="10" t="inlineStr">
        <is>
          <t>鹿王院</t>
        </is>
      </c>
      <c r="H4169" s="10" t="inlineStr">
        <is>
          <t>発</t>
        </is>
      </c>
      <c r="J4169" s="10" t="inlineStr">
        <is>
          <t>営業</t>
        </is>
      </c>
      <c r="L4169" t="inlineStr">
        <is>
          <t>12:44:00</t>
        </is>
      </c>
      <c r="M4169" t="inlineStr">
        <is>
          <t>12:44:25</t>
        </is>
      </c>
    </row>
    <row r="4170" ht="16.5" customHeight="1" s="37">
      <c r="A4170" t="n">
        <v>6</v>
      </c>
      <c r="B4170" s="10" t="inlineStr">
        <is>
          <t>休日</t>
        </is>
      </c>
      <c r="C4170" s="10" t="inlineStr">
        <is>
          <t>本線</t>
        </is>
      </c>
      <c r="D4170" s="10" t="inlineStr">
        <is>
          <t>下り</t>
        </is>
      </c>
      <c r="E4170" t="inlineStr">
        <is>
          <t>1205</t>
        </is>
      </c>
      <c r="F4170" t="inlineStr">
        <is>
          <t>0112</t>
        </is>
      </c>
      <c r="G4170" s="10" t="inlineStr">
        <is>
          <t>嵯峨</t>
        </is>
      </c>
      <c r="H4170" s="10" t="inlineStr">
        <is>
          <t>発</t>
        </is>
      </c>
      <c r="J4170" s="10" t="inlineStr">
        <is>
          <t>営業</t>
        </is>
      </c>
      <c r="L4170" t="inlineStr">
        <is>
          <t>12:45:30</t>
        </is>
      </c>
      <c r="M4170" t="inlineStr">
        <is>
          <t>12:45:55</t>
        </is>
      </c>
    </row>
    <row r="4171" ht="16.5" customHeight="1" s="37">
      <c r="A4171" t="n">
        <v>6</v>
      </c>
      <c r="B4171" s="10" t="inlineStr">
        <is>
          <t>休日</t>
        </is>
      </c>
      <c r="C4171" s="10" t="inlineStr">
        <is>
          <t>本線</t>
        </is>
      </c>
      <c r="D4171" s="10" t="inlineStr">
        <is>
          <t>下り</t>
        </is>
      </c>
      <c r="E4171" t="inlineStr">
        <is>
          <t>1205</t>
        </is>
      </c>
      <c r="F4171" t="inlineStr">
        <is>
          <t>0112</t>
        </is>
      </c>
      <c r="G4171" s="10" t="inlineStr">
        <is>
          <t>嵐山</t>
        </is>
      </c>
      <c r="H4171" s="10" t="inlineStr">
        <is>
          <t>着</t>
        </is>
      </c>
      <c r="J4171" s="10" t="inlineStr">
        <is>
          <t>営業</t>
        </is>
      </c>
      <c r="L4171" t="inlineStr">
        <is>
          <t>12:47:00</t>
        </is>
      </c>
      <c r="Q4171" t="inlineStr">
        <is>
          <t>1</t>
        </is>
      </c>
    </row>
    <row r="4172" ht="16.5" customHeight="1" s="37">
      <c r="A4172" t="n">
        <v>6</v>
      </c>
      <c r="B4172" s="10" t="inlineStr">
        <is>
          <t>休日</t>
        </is>
      </c>
      <c r="C4172" s="10" t="inlineStr">
        <is>
          <t>本線</t>
        </is>
      </c>
      <c r="D4172" s="10" t="inlineStr">
        <is>
          <t>上り</t>
        </is>
      </c>
      <c r="E4172" t="inlineStr">
        <is>
          <t>1212</t>
        </is>
      </c>
      <c r="F4172" t="inlineStr">
        <is>
          <t>0211</t>
        </is>
      </c>
      <c r="G4172" s="10" t="inlineStr">
        <is>
          <t>嵐山</t>
        </is>
      </c>
      <c r="H4172" s="10" t="inlineStr">
        <is>
          <t>発</t>
        </is>
      </c>
      <c r="J4172" s="10" t="inlineStr">
        <is>
          <t>営業</t>
        </is>
      </c>
      <c r="M4172" t="inlineStr">
        <is>
          <t>12:53:00</t>
        </is>
      </c>
      <c r="Q4172" t="inlineStr">
        <is>
          <t>1</t>
        </is>
      </c>
    </row>
    <row r="4173" ht="16.5" customHeight="1" s="37">
      <c r="A4173" t="n">
        <v>6</v>
      </c>
      <c r="B4173" s="10" t="inlineStr">
        <is>
          <t>休日</t>
        </is>
      </c>
      <c r="C4173" s="10" t="inlineStr">
        <is>
          <t>本線</t>
        </is>
      </c>
      <c r="D4173" s="10" t="inlineStr">
        <is>
          <t>上り</t>
        </is>
      </c>
      <c r="E4173" t="inlineStr">
        <is>
          <t>1212</t>
        </is>
      </c>
      <c r="F4173" t="inlineStr">
        <is>
          <t>0211</t>
        </is>
      </c>
      <c r="G4173" s="10" t="inlineStr">
        <is>
          <t>嵯峨</t>
        </is>
      </c>
      <c r="H4173" s="10" t="inlineStr">
        <is>
          <t>発</t>
        </is>
      </c>
      <c r="J4173" s="10" t="inlineStr">
        <is>
          <t>営業</t>
        </is>
      </c>
      <c r="L4173" t="inlineStr">
        <is>
          <t>12:53:55</t>
        </is>
      </c>
      <c r="M4173" t="inlineStr">
        <is>
          <t>12:54:20</t>
        </is>
      </c>
    </row>
    <row r="4174" ht="16.5" customHeight="1" s="37">
      <c r="A4174" t="n">
        <v>6</v>
      </c>
      <c r="B4174" s="10" t="inlineStr">
        <is>
          <t>休日</t>
        </is>
      </c>
      <c r="C4174" s="10" t="inlineStr">
        <is>
          <t>本線</t>
        </is>
      </c>
      <c r="D4174" s="10" t="inlineStr">
        <is>
          <t>上り</t>
        </is>
      </c>
      <c r="E4174" t="inlineStr">
        <is>
          <t>1212</t>
        </is>
      </c>
      <c r="F4174" t="inlineStr">
        <is>
          <t>0211</t>
        </is>
      </c>
      <c r="G4174" s="10" t="inlineStr">
        <is>
          <t>鹿王院</t>
        </is>
      </c>
      <c r="H4174" s="10" t="inlineStr">
        <is>
          <t>発</t>
        </is>
      </c>
      <c r="J4174" s="10" t="inlineStr">
        <is>
          <t>営業</t>
        </is>
      </c>
      <c r="L4174" t="inlineStr">
        <is>
          <t>12:55:25</t>
        </is>
      </c>
      <c r="M4174" t="inlineStr">
        <is>
          <t>12:55:45</t>
        </is>
      </c>
    </row>
    <row r="4175" ht="16.5" customHeight="1" s="37">
      <c r="A4175" t="n">
        <v>6</v>
      </c>
      <c r="B4175" s="10" t="inlineStr">
        <is>
          <t>休日</t>
        </is>
      </c>
      <c r="C4175" s="10" t="inlineStr">
        <is>
          <t>本線</t>
        </is>
      </c>
      <c r="D4175" s="10" t="inlineStr">
        <is>
          <t>上り</t>
        </is>
      </c>
      <c r="E4175" t="inlineStr">
        <is>
          <t>1212</t>
        </is>
      </c>
      <c r="F4175" t="inlineStr">
        <is>
          <t>0211</t>
        </is>
      </c>
      <c r="G4175" s="10" t="inlineStr">
        <is>
          <t>車折</t>
        </is>
      </c>
      <c r="H4175" s="10" t="inlineStr">
        <is>
          <t>発</t>
        </is>
      </c>
      <c r="J4175" s="10" t="inlineStr">
        <is>
          <t>営業</t>
        </is>
      </c>
      <c r="L4175" t="inlineStr">
        <is>
          <t>12:56:40</t>
        </is>
      </c>
      <c r="M4175" t="inlineStr">
        <is>
          <t>12:57:10</t>
        </is>
      </c>
    </row>
    <row r="4176" ht="16.5" customHeight="1" s="37">
      <c r="A4176" t="n">
        <v>6</v>
      </c>
      <c r="B4176" s="10" t="inlineStr">
        <is>
          <t>休日</t>
        </is>
      </c>
      <c r="C4176" s="10" t="inlineStr">
        <is>
          <t>本線</t>
        </is>
      </c>
      <c r="D4176" s="10" t="inlineStr">
        <is>
          <t>上り</t>
        </is>
      </c>
      <c r="E4176" t="inlineStr">
        <is>
          <t>1212</t>
        </is>
      </c>
      <c r="F4176" t="inlineStr">
        <is>
          <t>0211</t>
        </is>
      </c>
      <c r="G4176" s="10" t="inlineStr">
        <is>
          <t>有栖川</t>
        </is>
      </c>
      <c r="H4176" s="10" t="inlineStr">
        <is>
          <t>発</t>
        </is>
      </c>
      <c r="J4176" s="10" t="inlineStr">
        <is>
          <t>営業</t>
        </is>
      </c>
      <c r="L4176" t="inlineStr">
        <is>
          <t>12:58:35</t>
        </is>
      </c>
      <c r="M4176" t="inlineStr">
        <is>
          <t>12:58:55</t>
        </is>
      </c>
    </row>
    <row r="4177" ht="16.5" customHeight="1" s="37">
      <c r="A4177" t="n">
        <v>6</v>
      </c>
      <c r="B4177" s="10" t="inlineStr">
        <is>
          <t>休日</t>
        </is>
      </c>
      <c r="C4177" s="10" t="inlineStr">
        <is>
          <t>本線</t>
        </is>
      </c>
      <c r="D4177" s="10" t="inlineStr">
        <is>
          <t>上り</t>
        </is>
      </c>
      <c r="E4177" t="inlineStr">
        <is>
          <t>1212</t>
        </is>
      </c>
      <c r="F4177" t="inlineStr">
        <is>
          <t>0211</t>
        </is>
      </c>
      <c r="G4177" s="10" t="inlineStr">
        <is>
          <t>帷子ノ辻</t>
        </is>
      </c>
      <c r="H4177" s="10" t="inlineStr">
        <is>
          <t>発</t>
        </is>
      </c>
      <c r="J4177" s="10" t="inlineStr">
        <is>
          <t>営業</t>
        </is>
      </c>
      <c r="L4177" t="inlineStr">
        <is>
          <t>13:00:10</t>
        </is>
      </c>
      <c r="M4177" t="inlineStr">
        <is>
          <t>13:01:15</t>
        </is>
      </c>
    </row>
    <row r="4178" ht="16.5" customHeight="1" s="37">
      <c r="A4178" t="n">
        <v>6</v>
      </c>
      <c r="B4178" s="10" t="inlineStr">
        <is>
          <t>休日</t>
        </is>
      </c>
      <c r="C4178" s="10" t="inlineStr">
        <is>
          <t>本線</t>
        </is>
      </c>
      <c r="D4178" s="10" t="inlineStr">
        <is>
          <t>上り</t>
        </is>
      </c>
      <c r="E4178" t="inlineStr">
        <is>
          <t>1212</t>
        </is>
      </c>
      <c r="F4178" t="inlineStr">
        <is>
          <t>0211</t>
        </is>
      </c>
      <c r="G4178" s="10" t="inlineStr">
        <is>
          <t>太秦広隆寺</t>
        </is>
      </c>
      <c r="H4178" s="10" t="inlineStr">
        <is>
          <t>発</t>
        </is>
      </c>
      <c r="J4178" s="10" t="inlineStr">
        <is>
          <t>営業</t>
        </is>
      </c>
      <c r="L4178" t="inlineStr">
        <is>
          <t>13:03:25</t>
        </is>
      </c>
      <c r="M4178" t="inlineStr">
        <is>
          <t>13:03:45</t>
        </is>
      </c>
    </row>
    <row r="4179" ht="16.5" customHeight="1" s="37">
      <c r="A4179" t="n">
        <v>6</v>
      </c>
      <c r="B4179" s="10" t="inlineStr">
        <is>
          <t>休日</t>
        </is>
      </c>
      <c r="C4179" s="10" t="inlineStr">
        <is>
          <t>本線</t>
        </is>
      </c>
      <c r="D4179" s="10" t="inlineStr">
        <is>
          <t>上り</t>
        </is>
      </c>
      <c r="E4179" t="inlineStr">
        <is>
          <t>1212</t>
        </is>
      </c>
      <c r="F4179" t="inlineStr">
        <is>
          <t>0211</t>
        </is>
      </c>
      <c r="G4179" s="10" t="inlineStr">
        <is>
          <t>蚕ノ社</t>
        </is>
      </c>
      <c r="H4179" s="10" t="inlineStr">
        <is>
          <t>発</t>
        </is>
      </c>
      <c r="J4179" s="10" t="inlineStr">
        <is>
          <t>営業</t>
        </is>
      </c>
      <c r="L4179" t="inlineStr">
        <is>
          <t>13:05:00</t>
        </is>
      </c>
      <c r="M4179" t="inlineStr">
        <is>
          <t>13:05:20</t>
        </is>
      </c>
    </row>
    <row r="4180" ht="16.5" customHeight="1" s="37">
      <c r="A4180" t="n">
        <v>6</v>
      </c>
      <c r="B4180" s="10" t="inlineStr">
        <is>
          <t>休日</t>
        </is>
      </c>
      <c r="C4180" s="10" t="inlineStr">
        <is>
          <t>本線</t>
        </is>
      </c>
      <c r="D4180" s="10" t="inlineStr">
        <is>
          <t>上り</t>
        </is>
      </c>
      <c r="E4180" t="inlineStr">
        <is>
          <t>1212</t>
        </is>
      </c>
      <c r="F4180" t="inlineStr">
        <is>
          <t>0211</t>
        </is>
      </c>
      <c r="G4180" s="10" t="inlineStr">
        <is>
          <t>天神川</t>
        </is>
      </c>
      <c r="H4180" s="10" t="inlineStr">
        <is>
          <t>発</t>
        </is>
      </c>
      <c r="J4180" s="10" t="inlineStr">
        <is>
          <t>営業</t>
        </is>
      </c>
      <c r="L4180" t="inlineStr">
        <is>
          <t>13:06:05</t>
        </is>
      </c>
      <c r="M4180" t="inlineStr">
        <is>
          <t>13:06:50</t>
        </is>
      </c>
    </row>
    <row r="4181" ht="16.5" customHeight="1" s="37">
      <c r="A4181" t="n">
        <v>6</v>
      </c>
      <c r="B4181" s="10" t="inlineStr">
        <is>
          <t>休日</t>
        </is>
      </c>
      <c r="C4181" s="10" t="inlineStr">
        <is>
          <t>本線</t>
        </is>
      </c>
      <c r="D4181" s="10" t="inlineStr">
        <is>
          <t>上り</t>
        </is>
      </c>
      <c r="E4181" t="inlineStr">
        <is>
          <t>1212</t>
        </is>
      </c>
      <c r="F4181" t="inlineStr">
        <is>
          <t>0211</t>
        </is>
      </c>
      <c r="G4181" s="10" t="inlineStr">
        <is>
          <t>山ノ内</t>
        </is>
      </c>
      <c r="H4181" s="10" t="inlineStr">
        <is>
          <t>発</t>
        </is>
      </c>
      <c r="J4181" s="10" t="inlineStr">
        <is>
          <t>営業</t>
        </is>
      </c>
      <c r="L4181" t="inlineStr">
        <is>
          <t>13:08:40</t>
        </is>
      </c>
      <c r="M4181" t="inlineStr">
        <is>
          <t>13:09:05</t>
        </is>
      </c>
    </row>
    <row r="4182" ht="16.5" customHeight="1" s="37">
      <c r="A4182" t="n">
        <v>6</v>
      </c>
      <c r="B4182" s="10" t="inlineStr">
        <is>
          <t>休日</t>
        </is>
      </c>
      <c r="C4182" s="10" t="inlineStr">
        <is>
          <t>本線</t>
        </is>
      </c>
      <c r="D4182" s="10" t="inlineStr">
        <is>
          <t>上り</t>
        </is>
      </c>
      <c r="E4182" t="inlineStr">
        <is>
          <t>1212</t>
        </is>
      </c>
      <c r="F4182" t="inlineStr">
        <is>
          <t>0211</t>
        </is>
      </c>
      <c r="G4182" s="10" t="inlineStr">
        <is>
          <t>西大路三条</t>
        </is>
      </c>
      <c r="H4182" s="10" t="inlineStr">
        <is>
          <t>発</t>
        </is>
      </c>
      <c r="J4182" s="10" t="inlineStr">
        <is>
          <t>営業</t>
        </is>
      </c>
      <c r="L4182" t="inlineStr">
        <is>
          <t>13:10:55</t>
        </is>
      </c>
      <c r="M4182" t="inlineStr">
        <is>
          <t>13:11:15</t>
        </is>
      </c>
    </row>
    <row r="4183" ht="16.5" customHeight="1" s="37">
      <c r="A4183" t="n">
        <v>6</v>
      </c>
      <c r="B4183" s="10" t="inlineStr">
        <is>
          <t>休日</t>
        </is>
      </c>
      <c r="C4183" s="10" t="inlineStr">
        <is>
          <t>本線</t>
        </is>
      </c>
      <c r="D4183" s="10" t="inlineStr">
        <is>
          <t>上り</t>
        </is>
      </c>
      <c r="E4183" t="inlineStr">
        <is>
          <t>1212</t>
        </is>
      </c>
      <c r="F4183" t="inlineStr">
        <is>
          <t>0211</t>
        </is>
      </c>
      <c r="G4183" s="10" t="inlineStr">
        <is>
          <t>西院</t>
        </is>
      </c>
      <c r="H4183" s="10" t="inlineStr">
        <is>
          <t>発</t>
        </is>
      </c>
      <c r="J4183" s="10" t="inlineStr">
        <is>
          <t>営業</t>
        </is>
      </c>
      <c r="L4183" t="inlineStr">
        <is>
          <t>13:13:10</t>
        </is>
      </c>
      <c r="M4183" t="inlineStr">
        <is>
          <t>13:14:05</t>
        </is>
      </c>
    </row>
    <row r="4184" ht="16.5" customHeight="1" s="37">
      <c r="A4184" t="n">
        <v>6</v>
      </c>
      <c r="B4184" s="10" t="inlineStr">
        <is>
          <t>休日</t>
        </is>
      </c>
      <c r="C4184" s="10" t="inlineStr">
        <is>
          <t>本線</t>
        </is>
      </c>
      <c r="D4184" s="10" t="inlineStr">
        <is>
          <t>上り</t>
        </is>
      </c>
      <c r="E4184" t="inlineStr">
        <is>
          <t>1212</t>
        </is>
      </c>
      <c r="F4184" t="inlineStr">
        <is>
          <t>0211</t>
        </is>
      </c>
      <c r="G4184" s="10" t="inlineStr">
        <is>
          <t>四条大宮</t>
        </is>
      </c>
      <c r="H4184" s="10" t="inlineStr">
        <is>
          <t>着</t>
        </is>
      </c>
      <c r="J4184" s="10" t="inlineStr">
        <is>
          <t>営業</t>
        </is>
      </c>
      <c r="L4184" t="inlineStr">
        <is>
          <t>13:17:00</t>
        </is>
      </c>
      <c r="Q4184" t="inlineStr">
        <is>
          <t>1</t>
        </is>
      </c>
    </row>
    <row r="4185" ht="16.5" customHeight="1" s="37">
      <c r="A4185" t="n">
        <v>6</v>
      </c>
      <c r="B4185" s="10" t="inlineStr">
        <is>
          <t>休日</t>
        </is>
      </c>
      <c r="C4185" s="10" t="inlineStr">
        <is>
          <t>本線</t>
        </is>
      </c>
      <c r="D4185" s="10" t="inlineStr">
        <is>
          <t>上り</t>
        </is>
      </c>
      <c r="E4185" s="10" t="inlineStr">
        <is>
          <t>回0672</t>
        </is>
      </c>
      <c r="F4185" s="10" t="inlineStr">
        <is>
          <t>回送</t>
        </is>
      </c>
      <c r="G4185" s="10" t="inlineStr">
        <is>
          <t>西院</t>
        </is>
      </c>
      <c r="H4185" s="10" t="inlineStr">
        <is>
          <t>発</t>
        </is>
      </c>
      <c r="J4185" s="10" t="inlineStr">
        <is>
          <t>回送</t>
        </is>
      </c>
      <c r="M4185" t="inlineStr">
        <is>
          <t>6:55:05</t>
        </is>
      </c>
    </row>
    <row r="4186" ht="16.5" customHeight="1" s="37">
      <c r="A4186" t="n">
        <v>6</v>
      </c>
      <c r="B4186" s="10" t="inlineStr">
        <is>
          <t>休日</t>
        </is>
      </c>
      <c r="C4186" s="10" t="inlineStr">
        <is>
          <t>本線</t>
        </is>
      </c>
      <c r="D4186" s="10" t="inlineStr">
        <is>
          <t>上り</t>
        </is>
      </c>
      <c r="E4186" s="10" t="inlineStr">
        <is>
          <t>回0672</t>
        </is>
      </c>
      <c r="F4186" s="10" t="inlineStr">
        <is>
          <t>回送</t>
        </is>
      </c>
      <c r="G4186" s="10" t="inlineStr">
        <is>
          <t>四条大宮</t>
        </is>
      </c>
      <c r="H4186" s="10" t="inlineStr">
        <is>
          <t>着</t>
        </is>
      </c>
      <c r="J4186" s="10" t="inlineStr">
        <is>
          <t>回送</t>
        </is>
      </c>
      <c r="L4186" t="inlineStr">
        <is>
          <t>6:58:00</t>
        </is>
      </c>
      <c r="Q4186" t="inlineStr">
        <is>
          <t>1</t>
        </is>
      </c>
    </row>
    <row r="4187" ht="16.5" customHeight="1" s="37">
      <c r="A4187" t="n">
        <v>6</v>
      </c>
      <c r="B4187" s="10" t="inlineStr">
        <is>
          <t>休日</t>
        </is>
      </c>
      <c r="C4187" s="10" t="inlineStr">
        <is>
          <t>本線</t>
        </is>
      </c>
      <c r="D4187" s="10" t="inlineStr">
        <is>
          <t>下り</t>
        </is>
      </c>
      <c r="E4187" s="10" t="inlineStr">
        <is>
          <t>連1305</t>
        </is>
      </c>
      <c r="F4187" t="inlineStr">
        <is>
          <t>0112</t>
        </is>
      </c>
      <c r="G4187" s="10" t="inlineStr">
        <is>
          <t>四条大宮</t>
        </is>
      </c>
      <c r="H4187" s="10" t="inlineStr">
        <is>
          <t>発</t>
        </is>
      </c>
      <c r="J4187" s="10" t="inlineStr">
        <is>
          <t>営業</t>
        </is>
      </c>
      <c r="M4187" t="inlineStr">
        <is>
          <t>13:23:00</t>
        </is>
      </c>
      <c r="P4187" t="inlineStr">
        <is>
          <t>C系統(終日)</t>
        </is>
      </c>
      <c r="Q4187" t="inlineStr">
        <is>
          <t>2</t>
        </is>
      </c>
    </row>
    <row r="4188" ht="16.5" customHeight="1" s="37">
      <c r="A4188" t="n">
        <v>6</v>
      </c>
      <c r="B4188" s="10" t="inlineStr">
        <is>
          <t>休日</t>
        </is>
      </c>
      <c r="C4188" s="10" t="inlineStr">
        <is>
          <t>本線</t>
        </is>
      </c>
      <c r="D4188" s="10" t="inlineStr">
        <is>
          <t>下り</t>
        </is>
      </c>
      <c r="E4188" s="10" t="inlineStr">
        <is>
          <t>連1305</t>
        </is>
      </c>
      <c r="F4188" t="inlineStr">
        <is>
          <t>0112</t>
        </is>
      </c>
      <c r="G4188" s="10" t="inlineStr">
        <is>
          <t>西院</t>
        </is>
      </c>
      <c r="H4188" s="10" t="inlineStr">
        <is>
          <t>発</t>
        </is>
      </c>
      <c r="J4188" s="10" t="inlineStr">
        <is>
          <t>営業</t>
        </is>
      </c>
      <c r="L4188" t="inlineStr">
        <is>
          <t>13:25:50</t>
        </is>
      </c>
      <c r="M4188" t="inlineStr">
        <is>
          <t>13:26:20</t>
        </is>
      </c>
      <c r="P4188" t="inlineStr">
        <is>
          <t>C系統(終日)</t>
        </is>
      </c>
    </row>
    <row r="4189" ht="16.5" customHeight="1" s="37">
      <c r="A4189" t="n">
        <v>6</v>
      </c>
      <c r="B4189" s="10" t="inlineStr">
        <is>
          <t>休日</t>
        </is>
      </c>
      <c r="C4189" s="10" t="inlineStr">
        <is>
          <t>本線</t>
        </is>
      </c>
      <c r="D4189" s="10" t="inlineStr">
        <is>
          <t>下り</t>
        </is>
      </c>
      <c r="E4189" s="10" t="inlineStr">
        <is>
          <t>連1305</t>
        </is>
      </c>
      <c r="F4189" t="inlineStr">
        <is>
          <t>0112</t>
        </is>
      </c>
      <c r="G4189" s="10" t="inlineStr">
        <is>
          <t>西大路三条</t>
        </is>
      </c>
      <c r="H4189" s="10" t="inlineStr">
        <is>
          <t>発</t>
        </is>
      </c>
      <c r="J4189" s="10" t="inlineStr">
        <is>
          <t>営業</t>
        </is>
      </c>
      <c r="L4189" t="inlineStr">
        <is>
          <t>13:28:10</t>
        </is>
      </c>
      <c r="M4189" t="inlineStr">
        <is>
          <t>13:28:30</t>
        </is>
      </c>
      <c r="P4189" t="inlineStr">
        <is>
          <t>C系統(終日)</t>
        </is>
      </c>
    </row>
    <row r="4190" ht="16.5" customHeight="1" s="37">
      <c r="A4190" t="n">
        <v>6</v>
      </c>
      <c r="B4190" s="10" t="inlineStr">
        <is>
          <t>休日</t>
        </is>
      </c>
      <c r="C4190" s="10" t="inlineStr">
        <is>
          <t>本線</t>
        </is>
      </c>
      <c r="D4190" s="10" t="inlineStr">
        <is>
          <t>下り</t>
        </is>
      </c>
      <c r="E4190" s="10" t="inlineStr">
        <is>
          <t>連1305</t>
        </is>
      </c>
      <c r="F4190" t="inlineStr">
        <is>
          <t>0112</t>
        </is>
      </c>
      <c r="G4190" s="10" t="inlineStr">
        <is>
          <t>山ノ内</t>
        </is>
      </c>
      <c r="H4190" s="10" t="inlineStr">
        <is>
          <t>発</t>
        </is>
      </c>
      <c r="J4190" s="10" t="inlineStr">
        <is>
          <t>営業</t>
        </is>
      </c>
      <c r="L4190" t="inlineStr">
        <is>
          <t>13:30:25</t>
        </is>
      </c>
      <c r="M4190" t="inlineStr">
        <is>
          <t>13:30:50</t>
        </is>
      </c>
      <c r="P4190" t="inlineStr">
        <is>
          <t>C系統(終日)</t>
        </is>
      </c>
    </row>
    <row r="4191" ht="16.5" customHeight="1" s="37">
      <c r="A4191" t="n">
        <v>6</v>
      </c>
      <c r="B4191" s="10" t="inlineStr">
        <is>
          <t>休日</t>
        </is>
      </c>
      <c r="C4191" s="10" t="inlineStr">
        <is>
          <t>本線</t>
        </is>
      </c>
      <c r="D4191" s="10" t="inlineStr">
        <is>
          <t>下り</t>
        </is>
      </c>
      <c r="E4191" s="10" t="inlineStr">
        <is>
          <t>連1305</t>
        </is>
      </c>
      <c r="F4191" t="inlineStr">
        <is>
          <t>0112</t>
        </is>
      </c>
      <c r="G4191" s="10" t="inlineStr">
        <is>
          <t>天神川</t>
        </is>
      </c>
      <c r="H4191" s="10" t="inlineStr">
        <is>
          <t>発</t>
        </is>
      </c>
      <c r="J4191" s="10" t="inlineStr">
        <is>
          <t>営業</t>
        </is>
      </c>
      <c r="L4191" t="inlineStr">
        <is>
          <t>13:32:50</t>
        </is>
      </c>
      <c r="M4191" t="inlineStr">
        <is>
          <t>13:33:30</t>
        </is>
      </c>
      <c r="P4191" t="inlineStr">
        <is>
          <t>C系統(終日)</t>
        </is>
      </c>
    </row>
    <row r="4192" ht="16.5" customHeight="1" s="37">
      <c r="A4192" t="n">
        <v>6</v>
      </c>
      <c r="B4192" s="10" t="inlineStr">
        <is>
          <t>休日</t>
        </is>
      </c>
      <c r="C4192" s="10" t="inlineStr">
        <is>
          <t>本線</t>
        </is>
      </c>
      <c r="D4192" s="10" t="inlineStr">
        <is>
          <t>下り</t>
        </is>
      </c>
      <c r="E4192" s="10" t="inlineStr">
        <is>
          <t>連1305</t>
        </is>
      </c>
      <c r="F4192" t="inlineStr">
        <is>
          <t>0112</t>
        </is>
      </c>
      <c r="G4192" s="10" t="inlineStr">
        <is>
          <t>蚕ノ社</t>
        </is>
      </c>
      <c r="H4192" s="10" t="inlineStr">
        <is>
          <t>発</t>
        </is>
      </c>
      <c r="J4192" s="10" t="inlineStr">
        <is>
          <t>営業</t>
        </is>
      </c>
      <c r="L4192" t="inlineStr">
        <is>
          <t>13:34:20</t>
        </is>
      </c>
      <c r="M4192" t="inlineStr">
        <is>
          <t>13:34:40</t>
        </is>
      </c>
      <c r="P4192" t="inlineStr">
        <is>
          <t>C系統(終日)</t>
        </is>
      </c>
    </row>
    <row r="4193" ht="16.5" customHeight="1" s="37">
      <c r="A4193" t="n">
        <v>6</v>
      </c>
      <c r="B4193" s="10" t="inlineStr">
        <is>
          <t>休日</t>
        </is>
      </c>
      <c r="C4193" s="10" t="inlineStr">
        <is>
          <t>本線</t>
        </is>
      </c>
      <c r="D4193" s="10" t="inlineStr">
        <is>
          <t>下り</t>
        </is>
      </c>
      <c r="E4193" s="10" t="inlineStr">
        <is>
          <t>連1305</t>
        </is>
      </c>
      <c r="F4193" t="inlineStr">
        <is>
          <t>0112</t>
        </is>
      </c>
      <c r="G4193" s="10" t="inlineStr">
        <is>
          <t>太秦広隆寺</t>
        </is>
      </c>
      <c r="H4193" s="10" t="inlineStr">
        <is>
          <t>発</t>
        </is>
      </c>
      <c r="J4193" s="10" t="inlineStr">
        <is>
          <t>営業</t>
        </is>
      </c>
      <c r="L4193" t="inlineStr">
        <is>
          <t>13:36:00</t>
        </is>
      </c>
      <c r="M4193" t="inlineStr">
        <is>
          <t>13:36:20</t>
        </is>
      </c>
      <c r="P4193" t="inlineStr">
        <is>
          <t>C系統(終日)</t>
        </is>
      </c>
    </row>
    <row r="4194" ht="16.5" customHeight="1" s="37">
      <c r="A4194" t="n">
        <v>6</v>
      </c>
      <c r="B4194" s="10" t="inlineStr">
        <is>
          <t>休日</t>
        </is>
      </c>
      <c r="C4194" s="10" t="inlineStr">
        <is>
          <t>本線</t>
        </is>
      </c>
      <c r="D4194" s="10" t="inlineStr">
        <is>
          <t>下り</t>
        </is>
      </c>
      <c r="E4194" s="10" t="inlineStr">
        <is>
          <t>連1305</t>
        </is>
      </c>
      <c r="F4194" t="inlineStr">
        <is>
          <t>0112</t>
        </is>
      </c>
      <c r="G4194" s="10" t="inlineStr">
        <is>
          <t>帷子ノ辻</t>
        </is>
      </c>
      <c r="H4194" s="10" t="inlineStr">
        <is>
          <t>発</t>
        </is>
      </c>
      <c r="J4194" s="10" t="inlineStr">
        <is>
          <t>営業</t>
        </is>
      </c>
      <c r="L4194" t="inlineStr">
        <is>
          <t>13:38:20</t>
        </is>
      </c>
      <c r="M4194" t="inlineStr">
        <is>
          <t>13:39:40</t>
        </is>
      </c>
      <c r="P4194" t="inlineStr">
        <is>
          <t>C系統(終日)</t>
        </is>
      </c>
    </row>
    <row r="4195" ht="16.5" customHeight="1" s="37">
      <c r="A4195" t="n">
        <v>6</v>
      </c>
      <c r="B4195" s="10" t="inlineStr">
        <is>
          <t>休日</t>
        </is>
      </c>
      <c r="C4195" s="10" t="inlineStr">
        <is>
          <t>本線</t>
        </is>
      </c>
      <c r="D4195" s="10" t="inlineStr">
        <is>
          <t>下り</t>
        </is>
      </c>
      <c r="E4195" s="10" t="inlineStr">
        <is>
          <t>連1305</t>
        </is>
      </c>
      <c r="F4195" t="inlineStr">
        <is>
          <t>0112</t>
        </is>
      </c>
      <c r="G4195" s="10" t="inlineStr">
        <is>
          <t>有栖川</t>
        </is>
      </c>
      <c r="H4195" s="10" t="inlineStr">
        <is>
          <t>発</t>
        </is>
      </c>
      <c r="J4195" s="10" t="inlineStr">
        <is>
          <t>営業</t>
        </is>
      </c>
      <c r="L4195" t="inlineStr">
        <is>
          <t>13:40:50</t>
        </is>
      </c>
      <c r="M4195" t="inlineStr">
        <is>
          <t>13:41:15</t>
        </is>
      </c>
      <c r="P4195" t="inlineStr">
        <is>
          <t>C系統(終日)</t>
        </is>
      </c>
    </row>
    <row r="4196" ht="16.5" customHeight="1" s="37">
      <c r="A4196" t="n">
        <v>6</v>
      </c>
      <c r="B4196" s="10" t="inlineStr">
        <is>
          <t>休日</t>
        </is>
      </c>
      <c r="C4196" s="10" t="inlineStr">
        <is>
          <t>本線</t>
        </is>
      </c>
      <c r="D4196" s="10" t="inlineStr">
        <is>
          <t>下り</t>
        </is>
      </c>
      <c r="E4196" s="10" t="inlineStr">
        <is>
          <t>連1305</t>
        </is>
      </c>
      <c r="F4196" t="inlineStr">
        <is>
          <t>0112</t>
        </is>
      </c>
      <c r="G4196" s="10" t="inlineStr">
        <is>
          <t>車折</t>
        </is>
      </c>
      <c r="H4196" s="10" t="inlineStr">
        <is>
          <t>発</t>
        </is>
      </c>
      <c r="J4196" s="10" t="inlineStr">
        <is>
          <t>営業</t>
        </is>
      </c>
      <c r="L4196" t="inlineStr">
        <is>
          <t>13:42:40</t>
        </is>
      </c>
      <c r="M4196" t="inlineStr">
        <is>
          <t>13:43:05</t>
        </is>
      </c>
      <c r="P4196" t="inlineStr">
        <is>
          <t>C系統(終日)</t>
        </is>
      </c>
    </row>
    <row r="4197" ht="16.5" customHeight="1" s="37">
      <c r="A4197" t="n">
        <v>6</v>
      </c>
      <c r="B4197" s="10" t="inlineStr">
        <is>
          <t>休日</t>
        </is>
      </c>
      <c r="C4197" s="10" t="inlineStr">
        <is>
          <t>本線</t>
        </is>
      </c>
      <c r="D4197" s="10" t="inlineStr">
        <is>
          <t>下り</t>
        </is>
      </c>
      <c r="E4197" s="10" t="inlineStr">
        <is>
          <t>連1305</t>
        </is>
      </c>
      <c r="F4197" t="inlineStr">
        <is>
          <t>0112</t>
        </is>
      </c>
      <c r="G4197" s="10" t="inlineStr">
        <is>
          <t>鹿王院</t>
        </is>
      </c>
      <c r="H4197" s="10" t="inlineStr">
        <is>
          <t>発</t>
        </is>
      </c>
      <c r="J4197" s="10" t="inlineStr">
        <is>
          <t>営業</t>
        </is>
      </c>
      <c r="L4197" t="inlineStr">
        <is>
          <t>13:44:00</t>
        </is>
      </c>
      <c r="M4197" t="inlineStr">
        <is>
          <t>13:44:25</t>
        </is>
      </c>
      <c r="P4197" t="inlineStr">
        <is>
          <t>C系統(終日)</t>
        </is>
      </c>
    </row>
    <row r="4198" ht="16.5" customHeight="1" s="37">
      <c r="A4198" t="n">
        <v>6</v>
      </c>
      <c r="B4198" s="10" t="inlineStr">
        <is>
          <t>休日</t>
        </is>
      </c>
      <c r="C4198" s="10" t="inlineStr">
        <is>
          <t>本線</t>
        </is>
      </c>
      <c r="D4198" s="10" t="inlineStr">
        <is>
          <t>下り</t>
        </is>
      </c>
      <c r="E4198" s="10" t="inlineStr">
        <is>
          <t>連1305</t>
        </is>
      </c>
      <c r="F4198" t="inlineStr">
        <is>
          <t>0112</t>
        </is>
      </c>
      <c r="G4198" s="10" t="inlineStr">
        <is>
          <t>嵯峨</t>
        </is>
      </c>
      <c r="H4198" s="10" t="inlineStr">
        <is>
          <t>発</t>
        </is>
      </c>
      <c r="J4198" s="10" t="inlineStr">
        <is>
          <t>営業</t>
        </is>
      </c>
      <c r="L4198" t="inlineStr">
        <is>
          <t>13:45:30</t>
        </is>
      </c>
      <c r="M4198" t="inlineStr">
        <is>
          <t>13:45:55</t>
        </is>
      </c>
      <c r="P4198" t="inlineStr">
        <is>
          <t>C系統(終日)</t>
        </is>
      </c>
    </row>
    <row r="4199" ht="16.5" customHeight="1" s="37">
      <c r="A4199" t="n">
        <v>6</v>
      </c>
      <c r="B4199" s="10" t="inlineStr">
        <is>
          <t>休日</t>
        </is>
      </c>
      <c r="C4199" s="10" t="inlineStr">
        <is>
          <t>本線</t>
        </is>
      </c>
      <c r="D4199" s="10" t="inlineStr">
        <is>
          <t>下り</t>
        </is>
      </c>
      <c r="E4199" s="10" t="inlineStr">
        <is>
          <t>連1305</t>
        </is>
      </c>
      <c r="F4199" t="inlineStr">
        <is>
          <t>0112</t>
        </is>
      </c>
      <c r="G4199" s="10" t="inlineStr">
        <is>
          <t>嵐山</t>
        </is>
      </c>
      <c r="H4199" s="10" t="inlineStr">
        <is>
          <t>着</t>
        </is>
      </c>
      <c r="J4199" s="10" t="inlineStr">
        <is>
          <t>営業</t>
        </is>
      </c>
      <c r="L4199" t="inlineStr">
        <is>
          <t>13:47:00</t>
        </is>
      </c>
      <c r="P4199" t="inlineStr">
        <is>
          <t>C系統(終日)</t>
        </is>
      </c>
      <c r="Q4199" t="inlineStr">
        <is>
          <t>1</t>
        </is>
      </c>
    </row>
    <row r="4200" ht="16.5" customHeight="1" s="37">
      <c r="A4200" t="n">
        <v>6</v>
      </c>
      <c r="B4200" s="10" t="inlineStr">
        <is>
          <t>休日</t>
        </is>
      </c>
      <c r="C4200" s="10" t="inlineStr">
        <is>
          <t>本線</t>
        </is>
      </c>
      <c r="D4200" s="10" t="inlineStr">
        <is>
          <t>上り</t>
        </is>
      </c>
      <c r="E4200" s="10" t="inlineStr">
        <is>
          <t>連1312</t>
        </is>
      </c>
      <c r="F4200" t="inlineStr">
        <is>
          <t>0211</t>
        </is>
      </c>
      <c r="G4200" s="10" t="inlineStr">
        <is>
          <t>嵐山</t>
        </is>
      </c>
      <c r="H4200" s="10" t="inlineStr">
        <is>
          <t>発</t>
        </is>
      </c>
      <c r="J4200" s="10" t="inlineStr">
        <is>
          <t>営業</t>
        </is>
      </c>
      <c r="M4200" t="inlineStr">
        <is>
          <t>13:53:00</t>
        </is>
      </c>
      <c r="P4200" t="inlineStr">
        <is>
          <t>C系統(終日)</t>
        </is>
      </c>
      <c r="Q4200" t="inlineStr">
        <is>
          <t>1</t>
        </is>
      </c>
    </row>
    <row r="4201" ht="16.5" customHeight="1" s="37">
      <c r="A4201" t="n">
        <v>6</v>
      </c>
      <c r="B4201" s="10" t="inlineStr">
        <is>
          <t>休日</t>
        </is>
      </c>
      <c r="C4201" s="10" t="inlineStr">
        <is>
          <t>本線</t>
        </is>
      </c>
      <c r="D4201" s="10" t="inlineStr">
        <is>
          <t>上り</t>
        </is>
      </c>
      <c r="E4201" s="10" t="inlineStr">
        <is>
          <t>連1312</t>
        </is>
      </c>
      <c r="F4201" t="inlineStr">
        <is>
          <t>0211</t>
        </is>
      </c>
      <c r="G4201" s="10" t="inlineStr">
        <is>
          <t>嵯峨</t>
        </is>
      </c>
      <c r="H4201" s="10" t="inlineStr">
        <is>
          <t>発</t>
        </is>
      </c>
      <c r="J4201" s="10" t="inlineStr">
        <is>
          <t>営業</t>
        </is>
      </c>
      <c r="L4201" t="inlineStr">
        <is>
          <t>13:53:55</t>
        </is>
      </c>
      <c r="M4201" t="inlineStr">
        <is>
          <t>13:54:20</t>
        </is>
      </c>
      <c r="P4201" t="inlineStr">
        <is>
          <t>C系統(終日)</t>
        </is>
      </c>
    </row>
    <row r="4202" ht="16.5" customHeight="1" s="37">
      <c r="A4202" t="n">
        <v>6</v>
      </c>
      <c r="B4202" s="10" t="inlineStr">
        <is>
          <t>休日</t>
        </is>
      </c>
      <c r="C4202" s="10" t="inlineStr">
        <is>
          <t>本線</t>
        </is>
      </c>
      <c r="D4202" s="10" t="inlineStr">
        <is>
          <t>上り</t>
        </is>
      </c>
      <c r="E4202" s="10" t="inlineStr">
        <is>
          <t>連1312</t>
        </is>
      </c>
      <c r="F4202" t="inlineStr">
        <is>
          <t>0211</t>
        </is>
      </c>
      <c r="G4202" s="10" t="inlineStr">
        <is>
          <t>鹿王院</t>
        </is>
      </c>
      <c r="H4202" s="10" t="inlineStr">
        <is>
          <t>発</t>
        </is>
      </c>
      <c r="J4202" s="10" t="inlineStr">
        <is>
          <t>営業</t>
        </is>
      </c>
      <c r="L4202" t="inlineStr">
        <is>
          <t>13:55:25</t>
        </is>
      </c>
      <c r="M4202" t="inlineStr">
        <is>
          <t>13:55:45</t>
        </is>
      </c>
      <c r="P4202" t="inlineStr">
        <is>
          <t>C系統(終日)</t>
        </is>
      </c>
    </row>
    <row r="4203" ht="16.5" customHeight="1" s="37">
      <c r="A4203" t="n">
        <v>6</v>
      </c>
      <c r="B4203" s="10" t="inlineStr">
        <is>
          <t>休日</t>
        </is>
      </c>
      <c r="C4203" s="10" t="inlineStr">
        <is>
          <t>本線</t>
        </is>
      </c>
      <c r="D4203" s="10" t="inlineStr">
        <is>
          <t>上り</t>
        </is>
      </c>
      <c r="E4203" s="10" t="inlineStr">
        <is>
          <t>連1312</t>
        </is>
      </c>
      <c r="F4203" t="inlineStr">
        <is>
          <t>0211</t>
        </is>
      </c>
      <c r="G4203" s="10" t="inlineStr">
        <is>
          <t>車折</t>
        </is>
      </c>
      <c r="H4203" s="10" t="inlineStr">
        <is>
          <t>発</t>
        </is>
      </c>
      <c r="J4203" s="10" t="inlineStr">
        <is>
          <t>営業</t>
        </is>
      </c>
      <c r="L4203" t="inlineStr">
        <is>
          <t>13:56:40</t>
        </is>
      </c>
      <c r="M4203" t="inlineStr">
        <is>
          <t>13:57:10</t>
        </is>
      </c>
      <c r="P4203" t="inlineStr">
        <is>
          <t>C系統(終日)</t>
        </is>
      </c>
    </row>
    <row r="4204" ht="16.5" customHeight="1" s="37">
      <c r="A4204" t="n">
        <v>6</v>
      </c>
      <c r="B4204" s="10" t="inlineStr">
        <is>
          <t>休日</t>
        </is>
      </c>
      <c r="C4204" s="10" t="inlineStr">
        <is>
          <t>本線</t>
        </is>
      </c>
      <c r="D4204" s="10" t="inlineStr">
        <is>
          <t>上り</t>
        </is>
      </c>
      <c r="E4204" s="10" t="inlineStr">
        <is>
          <t>連1312</t>
        </is>
      </c>
      <c r="F4204" t="inlineStr">
        <is>
          <t>0211</t>
        </is>
      </c>
      <c r="G4204" s="10" t="inlineStr">
        <is>
          <t>有栖川</t>
        </is>
      </c>
      <c r="H4204" s="10" t="inlineStr">
        <is>
          <t>発</t>
        </is>
      </c>
      <c r="J4204" s="10" t="inlineStr">
        <is>
          <t>営業</t>
        </is>
      </c>
      <c r="L4204" t="inlineStr">
        <is>
          <t>13:58:35</t>
        </is>
      </c>
      <c r="M4204" t="inlineStr">
        <is>
          <t>13:58:55</t>
        </is>
      </c>
      <c r="P4204" t="inlineStr">
        <is>
          <t>C系統(終日)</t>
        </is>
      </c>
    </row>
    <row r="4205" ht="16.5" customHeight="1" s="37">
      <c r="A4205" t="n">
        <v>6</v>
      </c>
      <c r="B4205" s="10" t="inlineStr">
        <is>
          <t>休日</t>
        </is>
      </c>
      <c r="C4205" s="10" t="inlineStr">
        <is>
          <t>本線</t>
        </is>
      </c>
      <c r="D4205" s="10" t="inlineStr">
        <is>
          <t>上り</t>
        </is>
      </c>
      <c r="E4205" s="10" t="inlineStr">
        <is>
          <t>連1312</t>
        </is>
      </c>
      <c r="F4205" t="inlineStr">
        <is>
          <t>0211</t>
        </is>
      </c>
      <c r="G4205" s="10" t="inlineStr">
        <is>
          <t>帷子ノ辻</t>
        </is>
      </c>
      <c r="H4205" s="10" t="inlineStr">
        <is>
          <t>発</t>
        </is>
      </c>
      <c r="J4205" s="10" t="inlineStr">
        <is>
          <t>営業</t>
        </is>
      </c>
      <c r="L4205" t="inlineStr">
        <is>
          <t>14:00:10</t>
        </is>
      </c>
      <c r="M4205" t="inlineStr">
        <is>
          <t>14:01:15</t>
        </is>
      </c>
      <c r="P4205" t="inlineStr">
        <is>
          <t>C系統(終日)</t>
        </is>
      </c>
    </row>
    <row r="4206" ht="16.5" customHeight="1" s="37">
      <c r="A4206" t="n">
        <v>6</v>
      </c>
      <c r="B4206" s="10" t="inlineStr">
        <is>
          <t>休日</t>
        </is>
      </c>
      <c r="C4206" s="10" t="inlineStr">
        <is>
          <t>本線</t>
        </is>
      </c>
      <c r="D4206" s="10" t="inlineStr">
        <is>
          <t>上り</t>
        </is>
      </c>
      <c r="E4206" s="10" t="inlineStr">
        <is>
          <t>連1312</t>
        </is>
      </c>
      <c r="F4206" t="inlineStr">
        <is>
          <t>0211</t>
        </is>
      </c>
      <c r="G4206" s="10" t="inlineStr">
        <is>
          <t>太秦広隆寺</t>
        </is>
      </c>
      <c r="H4206" s="10" t="inlineStr">
        <is>
          <t>発</t>
        </is>
      </c>
      <c r="J4206" s="10" t="inlineStr">
        <is>
          <t>営業</t>
        </is>
      </c>
      <c r="L4206" t="inlineStr">
        <is>
          <t>14:03:25</t>
        </is>
      </c>
      <c r="M4206" t="inlineStr">
        <is>
          <t>14:03:45</t>
        </is>
      </c>
      <c r="P4206" t="inlineStr">
        <is>
          <t>C系統(終日)</t>
        </is>
      </c>
    </row>
    <row r="4207" ht="16.5" customHeight="1" s="37">
      <c r="A4207" t="n">
        <v>6</v>
      </c>
      <c r="B4207" s="10" t="inlineStr">
        <is>
          <t>休日</t>
        </is>
      </c>
      <c r="C4207" s="10" t="inlineStr">
        <is>
          <t>本線</t>
        </is>
      </c>
      <c r="D4207" s="10" t="inlineStr">
        <is>
          <t>上り</t>
        </is>
      </c>
      <c r="E4207" s="10" t="inlineStr">
        <is>
          <t>連1312</t>
        </is>
      </c>
      <c r="F4207" t="inlineStr">
        <is>
          <t>0211</t>
        </is>
      </c>
      <c r="G4207" s="10" t="inlineStr">
        <is>
          <t>蚕ノ社</t>
        </is>
      </c>
      <c r="H4207" s="10" t="inlineStr">
        <is>
          <t>発</t>
        </is>
      </c>
      <c r="J4207" s="10" t="inlineStr">
        <is>
          <t>営業</t>
        </is>
      </c>
      <c r="L4207" t="inlineStr">
        <is>
          <t>14:05:00</t>
        </is>
      </c>
      <c r="M4207" t="inlineStr">
        <is>
          <t>14:05:20</t>
        </is>
      </c>
      <c r="P4207" t="inlineStr">
        <is>
          <t>C系統(終日)</t>
        </is>
      </c>
    </row>
    <row r="4208" ht="16.5" customHeight="1" s="37">
      <c r="A4208" t="n">
        <v>6</v>
      </c>
      <c r="B4208" s="10" t="inlineStr">
        <is>
          <t>休日</t>
        </is>
      </c>
      <c r="C4208" s="10" t="inlineStr">
        <is>
          <t>本線</t>
        </is>
      </c>
      <c r="D4208" s="10" t="inlineStr">
        <is>
          <t>上り</t>
        </is>
      </c>
      <c r="E4208" s="10" t="inlineStr">
        <is>
          <t>連1312</t>
        </is>
      </c>
      <c r="F4208" t="inlineStr">
        <is>
          <t>0211</t>
        </is>
      </c>
      <c r="G4208" s="10" t="inlineStr">
        <is>
          <t>天神川</t>
        </is>
      </c>
      <c r="H4208" s="10" t="inlineStr">
        <is>
          <t>発</t>
        </is>
      </c>
      <c r="J4208" s="10" t="inlineStr">
        <is>
          <t>営業</t>
        </is>
      </c>
      <c r="L4208" t="inlineStr">
        <is>
          <t>14:06:05</t>
        </is>
      </c>
      <c r="M4208" t="inlineStr">
        <is>
          <t>14:06:50</t>
        </is>
      </c>
      <c r="P4208" t="inlineStr">
        <is>
          <t>C系統(終日)</t>
        </is>
      </c>
    </row>
    <row r="4209" ht="16.5" customHeight="1" s="37">
      <c r="A4209" t="n">
        <v>6</v>
      </c>
      <c r="B4209" s="10" t="inlineStr">
        <is>
          <t>休日</t>
        </is>
      </c>
      <c r="C4209" s="10" t="inlineStr">
        <is>
          <t>本線</t>
        </is>
      </c>
      <c r="D4209" s="10" t="inlineStr">
        <is>
          <t>上り</t>
        </is>
      </c>
      <c r="E4209" s="10" t="inlineStr">
        <is>
          <t>連1312</t>
        </is>
      </c>
      <c r="F4209" t="inlineStr">
        <is>
          <t>0211</t>
        </is>
      </c>
      <c r="G4209" s="10" t="inlineStr">
        <is>
          <t>山ノ内</t>
        </is>
      </c>
      <c r="H4209" s="10" t="inlineStr">
        <is>
          <t>発</t>
        </is>
      </c>
      <c r="J4209" s="10" t="inlineStr">
        <is>
          <t>営業</t>
        </is>
      </c>
      <c r="L4209" t="inlineStr">
        <is>
          <t>14:08:40</t>
        </is>
      </c>
      <c r="M4209" t="inlineStr">
        <is>
          <t>14:09:05</t>
        </is>
      </c>
      <c r="P4209" t="inlineStr">
        <is>
          <t>C系統(終日)</t>
        </is>
      </c>
    </row>
    <row r="4210" ht="16.5" customHeight="1" s="37">
      <c r="A4210" t="n">
        <v>6</v>
      </c>
      <c r="B4210" s="10" t="inlineStr">
        <is>
          <t>休日</t>
        </is>
      </c>
      <c r="C4210" s="10" t="inlineStr">
        <is>
          <t>本線</t>
        </is>
      </c>
      <c r="D4210" s="10" t="inlineStr">
        <is>
          <t>上り</t>
        </is>
      </c>
      <c r="E4210" s="10" t="inlineStr">
        <is>
          <t>連1312</t>
        </is>
      </c>
      <c r="F4210" t="inlineStr">
        <is>
          <t>0211</t>
        </is>
      </c>
      <c r="G4210" s="10" t="inlineStr">
        <is>
          <t>西大路三条</t>
        </is>
      </c>
      <c r="H4210" s="10" t="inlineStr">
        <is>
          <t>発</t>
        </is>
      </c>
      <c r="J4210" s="10" t="inlineStr">
        <is>
          <t>営業</t>
        </is>
      </c>
      <c r="L4210" t="inlineStr">
        <is>
          <t>14:10:55</t>
        </is>
      </c>
      <c r="M4210" t="inlineStr">
        <is>
          <t>14:11:15</t>
        </is>
      </c>
      <c r="P4210" t="inlineStr">
        <is>
          <t>C系統(終日)</t>
        </is>
      </c>
    </row>
    <row r="4211" ht="16.5" customHeight="1" s="37">
      <c r="A4211" t="n">
        <v>6</v>
      </c>
      <c r="B4211" s="10" t="inlineStr">
        <is>
          <t>休日</t>
        </is>
      </c>
      <c r="C4211" s="10" t="inlineStr">
        <is>
          <t>本線</t>
        </is>
      </c>
      <c r="D4211" s="10" t="inlineStr">
        <is>
          <t>上り</t>
        </is>
      </c>
      <c r="E4211" s="10" t="inlineStr">
        <is>
          <t>連1312</t>
        </is>
      </c>
      <c r="F4211" t="inlineStr">
        <is>
          <t>0211</t>
        </is>
      </c>
      <c r="G4211" s="10" t="inlineStr">
        <is>
          <t>西院</t>
        </is>
      </c>
      <c r="H4211" s="10" t="inlineStr">
        <is>
          <t>発</t>
        </is>
      </c>
      <c r="J4211" s="10" t="inlineStr">
        <is>
          <t>営業</t>
        </is>
      </c>
      <c r="L4211" t="inlineStr">
        <is>
          <t>14:13:10</t>
        </is>
      </c>
      <c r="M4211" t="inlineStr">
        <is>
          <t>14:14:05</t>
        </is>
      </c>
      <c r="P4211" t="inlineStr">
        <is>
          <t>C系統(終日)</t>
        </is>
      </c>
    </row>
    <row r="4212" ht="16.5" customHeight="1" s="37">
      <c r="A4212" t="n">
        <v>6</v>
      </c>
      <c r="B4212" s="10" t="inlineStr">
        <is>
          <t>休日</t>
        </is>
      </c>
      <c r="C4212" s="10" t="inlineStr">
        <is>
          <t>本線</t>
        </is>
      </c>
      <c r="D4212" s="10" t="inlineStr">
        <is>
          <t>上り</t>
        </is>
      </c>
      <c r="E4212" s="10" t="inlineStr">
        <is>
          <t>連1312</t>
        </is>
      </c>
      <c r="F4212" t="inlineStr">
        <is>
          <t>0211</t>
        </is>
      </c>
      <c r="G4212" s="10" t="inlineStr">
        <is>
          <t>四条大宮</t>
        </is>
      </c>
      <c r="H4212" s="10" t="inlineStr">
        <is>
          <t>着</t>
        </is>
      </c>
      <c r="J4212" s="10" t="inlineStr">
        <is>
          <t>営業</t>
        </is>
      </c>
      <c r="L4212" t="inlineStr">
        <is>
          <t>14:17:00</t>
        </is>
      </c>
      <c r="P4212" t="inlineStr">
        <is>
          <t>C系統(終日)</t>
        </is>
      </c>
      <c r="Q4212" t="inlineStr">
        <is>
          <t>1</t>
        </is>
      </c>
    </row>
    <row r="4213" ht="16.5" customHeight="1" s="37">
      <c r="A4213" t="n">
        <v>6</v>
      </c>
      <c r="B4213" s="10" t="inlineStr">
        <is>
          <t>休日</t>
        </is>
      </c>
      <c r="C4213" s="10" t="inlineStr">
        <is>
          <t>本線</t>
        </is>
      </c>
      <c r="D4213" s="10" t="inlineStr">
        <is>
          <t>下り</t>
        </is>
      </c>
      <c r="E4213" s="10" t="inlineStr">
        <is>
          <t>連1405</t>
        </is>
      </c>
      <c r="F4213" t="inlineStr">
        <is>
          <t>0112</t>
        </is>
      </c>
      <c r="G4213" s="10" t="inlineStr">
        <is>
          <t>四条大宮</t>
        </is>
      </c>
      <c r="H4213" s="10" t="inlineStr">
        <is>
          <t>発</t>
        </is>
      </c>
      <c r="J4213" s="10" t="inlineStr">
        <is>
          <t>営業</t>
        </is>
      </c>
      <c r="M4213" t="inlineStr">
        <is>
          <t>14:23:00</t>
        </is>
      </c>
      <c r="P4213" t="inlineStr">
        <is>
          <t>C系統(終日)</t>
        </is>
      </c>
      <c r="Q4213" t="inlineStr">
        <is>
          <t>1</t>
        </is>
      </c>
    </row>
    <row r="4214" ht="16.5" customHeight="1" s="37">
      <c r="A4214" t="n">
        <v>6</v>
      </c>
      <c r="B4214" s="10" t="inlineStr">
        <is>
          <t>休日</t>
        </is>
      </c>
      <c r="C4214" s="10" t="inlineStr">
        <is>
          <t>本線</t>
        </is>
      </c>
      <c r="D4214" s="10" t="inlineStr">
        <is>
          <t>下り</t>
        </is>
      </c>
      <c r="E4214" s="10" t="inlineStr">
        <is>
          <t>連1405</t>
        </is>
      </c>
      <c r="F4214" t="inlineStr">
        <is>
          <t>0112</t>
        </is>
      </c>
      <c r="G4214" s="10" t="inlineStr">
        <is>
          <t>西院</t>
        </is>
      </c>
      <c r="H4214" s="10" t="inlineStr">
        <is>
          <t>発</t>
        </is>
      </c>
      <c r="J4214" s="10" t="inlineStr">
        <is>
          <t>営業</t>
        </is>
      </c>
      <c r="L4214" t="inlineStr">
        <is>
          <t>14:25:50</t>
        </is>
      </c>
      <c r="M4214" t="inlineStr">
        <is>
          <t>14:26:20</t>
        </is>
      </c>
      <c r="P4214" t="inlineStr">
        <is>
          <t>C系統(終日)</t>
        </is>
      </c>
    </row>
    <row r="4215" ht="16.5" customHeight="1" s="37">
      <c r="A4215" t="n">
        <v>6</v>
      </c>
      <c r="B4215" s="10" t="inlineStr">
        <is>
          <t>休日</t>
        </is>
      </c>
      <c r="C4215" s="10" t="inlineStr">
        <is>
          <t>本線</t>
        </is>
      </c>
      <c r="D4215" s="10" t="inlineStr">
        <is>
          <t>下り</t>
        </is>
      </c>
      <c r="E4215" s="10" t="inlineStr">
        <is>
          <t>連1405</t>
        </is>
      </c>
      <c r="F4215" t="inlineStr">
        <is>
          <t>0112</t>
        </is>
      </c>
      <c r="G4215" s="10" t="inlineStr">
        <is>
          <t>西大路三条</t>
        </is>
      </c>
      <c r="H4215" s="10" t="inlineStr">
        <is>
          <t>発</t>
        </is>
      </c>
      <c r="J4215" s="10" t="inlineStr">
        <is>
          <t>営業</t>
        </is>
      </c>
      <c r="L4215" t="inlineStr">
        <is>
          <t>14:28:10</t>
        </is>
      </c>
      <c r="M4215" t="inlineStr">
        <is>
          <t>14:28:30</t>
        </is>
      </c>
      <c r="P4215" t="inlineStr">
        <is>
          <t>C系統(終日)</t>
        </is>
      </c>
    </row>
    <row r="4216" ht="16.5" customHeight="1" s="37">
      <c r="A4216" t="n">
        <v>6</v>
      </c>
      <c r="B4216" s="10" t="inlineStr">
        <is>
          <t>休日</t>
        </is>
      </c>
      <c r="C4216" s="10" t="inlineStr">
        <is>
          <t>本線</t>
        </is>
      </c>
      <c r="D4216" s="10" t="inlineStr">
        <is>
          <t>下り</t>
        </is>
      </c>
      <c r="E4216" s="10" t="inlineStr">
        <is>
          <t>連1405</t>
        </is>
      </c>
      <c r="F4216" t="inlineStr">
        <is>
          <t>0112</t>
        </is>
      </c>
      <c r="G4216" s="10" t="inlineStr">
        <is>
          <t>山ノ内</t>
        </is>
      </c>
      <c r="H4216" s="10" t="inlineStr">
        <is>
          <t>発</t>
        </is>
      </c>
      <c r="J4216" s="10" t="inlineStr">
        <is>
          <t>営業</t>
        </is>
      </c>
      <c r="L4216" t="inlineStr">
        <is>
          <t>14:30:25</t>
        </is>
      </c>
      <c r="M4216" t="inlineStr">
        <is>
          <t>14:30:50</t>
        </is>
      </c>
      <c r="P4216" t="inlineStr">
        <is>
          <t>C系統(終日)</t>
        </is>
      </c>
    </row>
    <row r="4217" ht="16.5" customHeight="1" s="37">
      <c r="A4217" t="n">
        <v>6</v>
      </c>
      <c r="B4217" s="10" t="inlineStr">
        <is>
          <t>休日</t>
        </is>
      </c>
      <c r="C4217" s="10" t="inlineStr">
        <is>
          <t>本線</t>
        </is>
      </c>
      <c r="D4217" s="10" t="inlineStr">
        <is>
          <t>下り</t>
        </is>
      </c>
      <c r="E4217" s="10" t="inlineStr">
        <is>
          <t>連1405</t>
        </is>
      </c>
      <c r="F4217" t="inlineStr">
        <is>
          <t>0112</t>
        </is>
      </c>
      <c r="G4217" s="10" t="inlineStr">
        <is>
          <t>天神川</t>
        </is>
      </c>
      <c r="H4217" s="10" t="inlineStr">
        <is>
          <t>発</t>
        </is>
      </c>
      <c r="J4217" s="10" t="inlineStr">
        <is>
          <t>営業</t>
        </is>
      </c>
      <c r="L4217" t="inlineStr">
        <is>
          <t>14:32:50</t>
        </is>
      </c>
      <c r="M4217" t="inlineStr">
        <is>
          <t>14:33:30</t>
        </is>
      </c>
      <c r="P4217" t="inlineStr">
        <is>
          <t>C系統(終日)</t>
        </is>
      </c>
    </row>
    <row r="4218" ht="16.5" customHeight="1" s="37">
      <c r="A4218" t="n">
        <v>6</v>
      </c>
      <c r="B4218" s="10" t="inlineStr">
        <is>
          <t>休日</t>
        </is>
      </c>
      <c r="C4218" s="10" t="inlineStr">
        <is>
          <t>本線</t>
        </is>
      </c>
      <c r="D4218" s="10" t="inlineStr">
        <is>
          <t>下り</t>
        </is>
      </c>
      <c r="E4218" s="10" t="inlineStr">
        <is>
          <t>連1405</t>
        </is>
      </c>
      <c r="F4218" t="inlineStr">
        <is>
          <t>0112</t>
        </is>
      </c>
      <c r="G4218" s="10" t="inlineStr">
        <is>
          <t>蚕ノ社</t>
        </is>
      </c>
      <c r="H4218" s="10" t="inlineStr">
        <is>
          <t>発</t>
        </is>
      </c>
      <c r="J4218" s="10" t="inlineStr">
        <is>
          <t>営業</t>
        </is>
      </c>
      <c r="L4218" t="inlineStr">
        <is>
          <t>14:34:20</t>
        </is>
      </c>
      <c r="M4218" t="inlineStr">
        <is>
          <t>14:34:40</t>
        </is>
      </c>
      <c r="P4218" t="inlineStr">
        <is>
          <t>C系統(終日)</t>
        </is>
      </c>
    </row>
    <row r="4219" ht="16.5" customHeight="1" s="37">
      <c r="A4219" t="n">
        <v>6</v>
      </c>
      <c r="B4219" s="10" t="inlineStr">
        <is>
          <t>休日</t>
        </is>
      </c>
      <c r="C4219" s="10" t="inlineStr">
        <is>
          <t>本線</t>
        </is>
      </c>
      <c r="D4219" s="10" t="inlineStr">
        <is>
          <t>下り</t>
        </is>
      </c>
      <c r="E4219" s="10" t="inlineStr">
        <is>
          <t>連1405</t>
        </is>
      </c>
      <c r="F4219" t="inlineStr">
        <is>
          <t>0112</t>
        </is>
      </c>
      <c r="G4219" s="10" t="inlineStr">
        <is>
          <t>太秦広隆寺</t>
        </is>
      </c>
      <c r="H4219" s="10" t="inlineStr">
        <is>
          <t>発</t>
        </is>
      </c>
      <c r="J4219" s="10" t="inlineStr">
        <is>
          <t>営業</t>
        </is>
      </c>
      <c r="L4219" t="inlineStr">
        <is>
          <t>14:36:00</t>
        </is>
      </c>
      <c r="M4219" t="inlineStr">
        <is>
          <t>14:36:20</t>
        </is>
      </c>
      <c r="P4219" t="inlineStr">
        <is>
          <t>C系統(終日)</t>
        </is>
      </c>
    </row>
    <row r="4220" ht="15" customHeight="1" s="37">
      <c r="A4220" t="n">
        <v>6</v>
      </c>
      <c r="B4220" s="10" t="inlineStr">
        <is>
          <t>休日</t>
        </is>
      </c>
      <c r="C4220" s="10" t="inlineStr">
        <is>
          <t>本線</t>
        </is>
      </c>
      <c r="D4220" s="10" t="inlineStr">
        <is>
          <t>下り</t>
        </is>
      </c>
      <c r="E4220" s="10" t="inlineStr">
        <is>
          <t>連1405</t>
        </is>
      </c>
      <c r="F4220" t="inlineStr">
        <is>
          <t>0112</t>
        </is>
      </c>
      <c r="G4220" s="10" t="inlineStr">
        <is>
          <t>帷子ノ辻</t>
        </is>
      </c>
      <c r="H4220" s="10" t="inlineStr">
        <is>
          <t>発</t>
        </is>
      </c>
      <c r="J4220" s="10" t="inlineStr">
        <is>
          <t>営業</t>
        </is>
      </c>
      <c r="L4220" t="inlineStr">
        <is>
          <t>14:38:20</t>
        </is>
      </c>
      <c r="M4220" t="inlineStr">
        <is>
          <t>14:39:40</t>
        </is>
      </c>
      <c r="P4220" t="inlineStr">
        <is>
          <t>C系統(終日)</t>
        </is>
      </c>
    </row>
    <row r="4221" ht="15" customHeight="1" s="37">
      <c r="A4221" t="n">
        <v>6</v>
      </c>
      <c r="B4221" s="10" t="inlineStr">
        <is>
          <t>休日</t>
        </is>
      </c>
      <c r="C4221" s="10" t="inlineStr">
        <is>
          <t>本線</t>
        </is>
      </c>
      <c r="D4221" s="10" t="inlineStr">
        <is>
          <t>下り</t>
        </is>
      </c>
      <c r="E4221" s="10" t="inlineStr">
        <is>
          <t>連1405</t>
        </is>
      </c>
      <c r="F4221" t="inlineStr">
        <is>
          <t>0112</t>
        </is>
      </c>
      <c r="G4221" s="10" t="inlineStr">
        <is>
          <t>有栖川</t>
        </is>
      </c>
      <c r="H4221" s="10" t="inlineStr">
        <is>
          <t>発</t>
        </is>
      </c>
      <c r="J4221" s="10" t="inlineStr">
        <is>
          <t>営業</t>
        </is>
      </c>
      <c r="L4221" t="inlineStr">
        <is>
          <t>14:40:50</t>
        </is>
      </c>
      <c r="M4221" t="inlineStr">
        <is>
          <t>14:41:15</t>
        </is>
      </c>
      <c r="P4221" t="inlineStr">
        <is>
          <t>C系統(終日)</t>
        </is>
      </c>
    </row>
    <row r="4222" ht="15" customHeight="1" s="37">
      <c r="A4222" t="n">
        <v>6</v>
      </c>
      <c r="B4222" s="10" t="inlineStr">
        <is>
          <t>休日</t>
        </is>
      </c>
      <c r="C4222" s="10" t="inlineStr">
        <is>
          <t>本線</t>
        </is>
      </c>
      <c r="D4222" s="10" t="inlineStr">
        <is>
          <t>下り</t>
        </is>
      </c>
      <c r="E4222" s="10" t="inlineStr">
        <is>
          <t>連1405</t>
        </is>
      </c>
      <c r="F4222" t="inlineStr">
        <is>
          <t>0112</t>
        </is>
      </c>
      <c r="G4222" s="10" t="inlineStr">
        <is>
          <t>車折</t>
        </is>
      </c>
      <c r="H4222" s="10" t="inlineStr">
        <is>
          <t>発</t>
        </is>
      </c>
      <c r="J4222" s="10" t="inlineStr">
        <is>
          <t>営業</t>
        </is>
      </c>
      <c r="L4222" t="inlineStr">
        <is>
          <t>14:42:40</t>
        </is>
      </c>
      <c r="M4222" t="inlineStr">
        <is>
          <t>14:43:05</t>
        </is>
      </c>
      <c r="P4222" t="inlineStr">
        <is>
          <t>C系統(終日)</t>
        </is>
      </c>
    </row>
    <row r="4223" ht="15" customHeight="1" s="37">
      <c r="A4223" t="n">
        <v>6</v>
      </c>
      <c r="B4223" s="10" t="inlineStr">
        <is>
          <t>休日</t>
        </is>
      </c>
      <c r="C4223" s="10" t="inlineStr">
        <is>
          <t>本線</t>
        </is>
      </c>
      <c r="D4223" s="10" t="inlineStr">
        <is>
          <t>下り</t>
        </is>
      </c>
      <c r="E4223" s="10" t="inlineStr">
        <is>
          <t>連1405</t>
        </is>
      </c>
      <c r="F4223" t="inlineStr">
        <is>
          <t>0112</t>
        </is>
      </c>
      <c r="G4223" s="10" t="inlineStr">
        <is>
          <t>鹿王院</t>
        </is>
      </c>
      <c r="H4223" s="10" t="inlineStr">
        <is>
          <t>発</t>
        </is>
      </c>
      <c r="J4223" s="10" t="inlineStr">
        <is>
          <t>営業</t>
        </is>
      </c>
      <c r="L4223" t="inlineStr">
        <is>
          <t>14:44:00</t>
        </is>
      </c>
      <c r="M4223" t="inlineStr">
        <is>
          <t>14:44:25</t>
        </is>
      </c>
      <c r="P4223" t="inlineStr">
        <is>
          <t>C系統(終日)</t>
        </is>
      </c>
    </row>
    <row r="4224" ht="15" customHeight="1" s="37">
      <c r="A4224" t="n">
        <v>6</v>
      </c>
      <c r="B4224" s="10" t="inlineStr">
        <is>
          <t>休日</t>
        </is>
      </c>
      <c r="C4224" s="10" t="inlineStr">
        <is>
          <t>本線</t>
        </is>
      </c>
      <c r="D4224" s="10" t="inlineStr">
        <is>
          <t>下り</t>
        </is>
      </c>
      <c r="E4224" s="10" t="inlineStr">
        <is>
          <t>連1405</t>
        </is>
      </c>
      <c r="F4224" t="inlineStr">
        <is>
          <t>0112</t>
        </is>
      </c>
      <c r="G4224" s="10" t="inlineStr">
        <is>
          <t>嵯峨</t>
        </is>
      </c>
      <c r="H4224" s="10" t="inlineStr">
        <is>
          <t>発</t>
        </is>
      </c>
      <c r="J4224" s="10" t="inlineStr">
        <is>
          <t>営業</t>
        </is>
      </c>
      <c r="L4224" t="inlineStr">
        <is>
          <t>14:45:30</t>
        </is>
      </c>
      <c r="M4224" t="inlineStr">
        <is>
          <t>14:45:55</t>
        </is>
      </c>
      <c r="P4224" t="inlineStr">
        <is>
          <t>C系統(終日)</t>
        </is>
      </c>
    </row>
    <row r="4225" ht="15" customHeight="1" s="37">
      <c r="A4225" t="n">
        <v>6</v>
      </c>
      <c r="B4225" s="10" t="inlineStr">
        <is>
          <t>休日</t>
        </is>
      </c>
      <c r="C4225" s="10" t="inlineStr">
        <is>
          <t>本線</t>
        </is>
      </c>
      <c r="D4225" s="10" t="inlineStr">
        <is>
          <t>下り</t>
        </is>
      </c>
      <c r="E4225" s="10" t="inlineStr">
        <is>
          <t>連1405</t>
        </is>
      </c>
      <c r="F4225" t="inlineStr">
        <is>
          <t>0112</t>
        </is>
      </c>
      <c r="G4225" s="10" t="inlineStr">
        <is>
          <t>嵐山</t>
        </is>
      </c>
      <c r="H4225" s="10" t="inlineStr">
        <is>
          <t>着</t>
        </is>
      </c>
      <c r="J4225" s="10" t="inlineStr">
        <is>
          <t>営業</t>
        </is>
      </c>
      <c r="L4225" t="inlineStr">
        <is>
          <t>14:47:00</t>
        </is>
      </c>
      <c r="P4225" t="inlineStr">
        <is>
          <t>C系統(終日)</t>
        </is>
      </c>
      <c r="Q4225" t="inlineStr">
        <is>
          <t>1</t>
        </is>
      </c>
    </row>
    <row r="4226" ht="15" customHeight="1" s="37">
      <c r="A4226" t="n">
        <v>6</v>
      </c>
      <c r="B4226" s="10" t="inlineStr">
        <is>
          <t>休日</t>
        </is>
      </c>
      <c r="C4226" s="10" t="inlineStr">
        <is>
          <t>本線</t>
        </is>
      </c>
      <c r="D4226" s="10" t="inlineStr">
        <is>
          <t>上り</t>
        </is>
      </c>
      <c r="E4226" s="10" t="inlineStr">
        <is>
          <t>連1412</t>
        </is>
      </c>
      <c r="F4226" t="inlineStr">
        <is>
          <t>0211</t>
        </is>
      </c>
      <c r="G4226" s="10" t="inlineStr">
        <is>
          <t>嵐山</t>
        </is>
      </c>
      <c r="H4226" s="10" t="inlineStr">
        <is>
          <t>発</t>
        </is>
      </c>
      <c r="J4226" s="10" t="inlineStr">
        <is>
          <t>営業</t>
        </is>
      </c>
      <c r="M4226" t="inlineStr">
        <is>
          <t>14:53:00</t>
        </is>
      </c>
      <c r="P4226" t="inlineStr">
        <is>
          <t>C系統(終日)</t>
        </is>
      </c>
      <c r="Q4226" t="inlineStr">
        <is>
          <t>1</t>
        </is>
      </c>
    </row>
    <row r="4227" ht="15" customHeight="1" s="37">
      <c r="A4227" t="n">
        <v>6</v>
      </c>
      <c r="B4227" s="10" t="inlineStr">
        <is>
          <t>休日</t>
        </is>
      </c>
      <c r="C4227" s="10" t="inlineStr">
        <is>
          <t>本線</t>
        </is>
      </c>
      <c r="D4227" s="10" t="inlineStr">
        <is>
          <t>上り</t>
        </is>
      </c>
      <c r="E4227" s="10" t="inlineStr">
        <is>
          <t>連1412</t>
        </is>
      </c>
      <c r="F4227" t="inlineStr">
        <is>
          <t>0211</t>
        </is>
      </c>
      <c r="G4227" s="10" t="inlineStr">
        <is>
          <t>嵯峨</t>
        </is>
      </c>
      <c r="H4227" s="10" t="inlineStr">
        <is>
          <t>発</t>
        </is>
      </c>
      <c r="J4227" s="10" t="inlineStr">
        <is>
          <t>営業</t>
        </is>
      </c>
      <c r="L4227" t="inlineStr">
        <is>
          <t>14:53:55</t>
        </is>
      </c>
      <c r="M4227" t="inlineStr">
        <is>
          <t>14:54:20</t>
        </is>
      </c>
      <c r="P4227" t="inlineStr">
        <is>
          <t>C系統(終日)</t>
        </is>
      </c>
    </row>
    <row r="4228" ht="15" customHeight="1" s="37">
      <c r="A4228" t="n">
        <v>6</v>
      </c>
      <c r="B4228" s="10" t="inlineStr">
        <is>
          <t>休日</t>
        </is>
      </c>
      <c r="C4228" s="10" t="inlineStr">
        <is>
          <t>本線</t>
        </is>
      </c>
      <c r="D4228" s="10" t="inlineStr">
        <is>
          <t>上り</t>
        </is>
      </c>
      <c r="E4228" s="10" t="inlineStr">
        <is>
          <t>連1412</t>
        </is>
      </c>
      <c r="F4228" t="inlineStr">
        <is>
          <t>0211</t>
        </is>
      </c>
      <c r="G4228" s="10" t="inlineStr">
        <is>
          <t>鹿王院</t>
        </is>
      </c>
      <c r="H4228" s="10" t="inlineStr">
        <is>
          <t>発</t>
        </is>
      </c>
      <c r="J4228" s="10" t="inlineStr">
        <is>
          <t>営業</t>
        </is>
      </c>
      <c r="L4228" t="inlineStr">
        <is>
          <t>14:55:25</t>
        </is>
      </c>
      <c r="M4228" t="inlineStr">
        <is>
          <t>14:55:45</t>
        </is>
      </c>
      <c r="P4228" t="inlineStr">
        <is>
          <t>C系統(終日)</t>
        </is>
      </c>
    </row>
    <row r="4229" ht="15" customHeight="1" s="37">
      <c r="A4229" t="n">
        <v>6</v>
      </c>
      <c r="B4229" s="10" t="inlineStr">
        <is>
          <t>休日</t>
        </is>
      </c>
      <c r="C4229" s="10" t="inlineStr">
        <is>
          <t>本線</t>
        </is>
      </c>
      <c r="D4229" s="10" t="inlineStr">
        <is>
          <t>上り</t>
        </is>
      </c>
      <c r="E4229" s="10" t="inlineStr">
        <is>
          <t>連1412</t>
        </is>
      </c>
      <c r="F4229" t="inlineStr">
        <is>
          <t>0211</t>
        </is>
      </c>
      <c r="G4229" s="10" t="inlineStr">
        <is>
          <t>車折</t>
        </is>
      </c>
      <c r="H4229" s="10" t="inlineStr">
        <is>
          <t>発</t>
        </is>
      </c>
      <c r="J4229" s="10" t="inlineStr">
        <is>
          <t>営業</t>
        </is>
      </c>
      <c r="L4229" t="inlineStr">
        <is>
          <t>14:56:40</t>
        </is>
      </c>
      <c r="M4229" t="inlineStr">
        <is>
          <t>14:57:10</t>
        </is>
      </c>
      <c r="P4229" t="inlineStr">
        <is>
          <t>C系統(終日)</t>
        </is>
      </c>
    </row>
    <row r="4230" ht="15" customHeight="1" s="37">
      <c r="A4230" t="n">
        <v>6</v>
      </c>
      <c r="B4230" s="10" t="inlineStr">
        <is>
          <t>休日</t>
        </is>
      </c>
      <c r="C4230" s="10" t="inlineStr">
        <is>
          <t>本線</t>
        </is>
      </c>
      <c r="D4230" s="10" t="inlineStr">
        <is>
          <t>上り</t>
        </is>
      </c>
      <c r="E4230" s="10" t="inlineStr">
        <is>
          <t>連1412</t>
        </is>
      </c>
      <c r="F4230" t="inlineStr">
        <is>
          <t>0211</t>
        </is>
      </c>
      <c r="G4230" s="10" t="inlineStr">
        <is>
          <t>有栖川</t>
        </is>
      </c>
      <c r="H4230" s="10" t="inlineStr">
        <is>
          <t>発</t>
        </is>
      </c>
      <c r="J4230" s="10" t="inlineStr">
        <is>
          <t>営業</t>
        </is>
      </c>
      <c r="L4230" t="inlineStr">
        <is>
          <t>14:58:35</t>
        </is>
      </c>
      <c r="M4230" t="inlineStr">
        <is>
          <t>14:58:55</t>
        </is>
      </c>
      <c r="P4230" t="inlineStr">
        <is>
          <t>C系統(終日)</t>
        </is>
      </c>
    </row>
    <row r="4231" ht="15" customHeight="1" s="37">
      <c r="A4231" t="n">
        <v>6</v>
      </c>
      <c r="B4231" s="10" t="inlineStr">
        <is>
          <t>休日</t>
        </is>
      </c>
      <c r="C4231" s="10" t="inlineStr">
        <is>
          <t>本線</t>
        </is>
      </c>
      <c r="D4231" s="10" t="inlineStr">
        <is>
          <t>上り</t>
        </is>
      </c>
      <c r="E4231" s="10" t="inlineStr">
        <is>
          <t>連1412</t>
        </is>
      </c>
      <c r="F4231" t="inlineStr">
        <is>
          <t>0211</t>
        </is>
      </c>
      <c r="G4231" s="10" t="inlineStr">
        <is>
          <t>帷子ノ辻</t>
        </is>
      </c>
      <c r="H4231" s="10" t="inlineStr">
        <is>
          <t>発</t>
        </is>
      </c>
      <c r="J4231" s="10" t="inlineStr">
        <is>
          <t>営業</t>
        </is>
      </c>
      <c r="L4231" t="inlineStr">
        <is>
          <t>15:00:10</t>
        </is>
      </c>
      <c r="M4231" t="inlineStr">
        <is>
          <t>15:01:15</t>
        </is>
      </c>
      <c r="P4231" t="inlineStr">
        <is>
          <t>C系統(終日)</t>
        </is>
      </c>
    </row>
    <row r="4232" ht="15" customHeight="1" s="37">
      <c r="A4232" t="n">
        <v>6</v>
      </c>
      <c r="B4232" s="10" t="inlineStr">
        <is>
          <t>休日</t>
        </is>
      </c>
      <c r="C4232" s="10" t="inlineStr">
        <is>
          <t>本線</t>
        </is>
      </c>
      <c r="D4232" s="10" t="inlineStr">
        <is>
          <t>上り</t>
        </is>
      </c>
      <c r="E4232" s="10" t="inlineStr">
        <is>
          <t>連1412</t>
        </is>
      </c>
      <c r="F4232" t="inlineStr">
        <is>
          <t>0211</t>
        </is>
      </c>
      <c r="G4232" s="10" t="inlineStr">
        <is>
          <t>太秦広隆寺</t>
        </is>
      </c>
      <c r="H4232" s="10" t="inlineStr">
        <is>
          <t>発</t>
        </is>
      </c>
      <c r="J4232" s="10" t="inlineStr">
        <is>
          <t>営業</t>
        </is>
      </c>
      <c r="L4232" t="inlineStr">
        <is>
          <t>15:03:25</t>
        </is>
      </c>
      <c r="M4232" t="inlineStr">
        <is>
          <t>15:03:45</t>
        </is>
      </c>
      <c r="P4232" t="inlineStr">
        <is>
          <t>C系統(終日)</t>
        </is>
      </c>
    </row>
    <row r="4233" ht="15" customHeight="1" s="37">
      <c r="A4233" t="n">
        <v>6</v>
      </c>
      <c r="B4233" s="10" t="inlineStr">
        <is>
          <t>休日</t>
        </is>
      </c>
      <c r="C4233" s="10" t="inlineStr">
        <is>
          <t>本線</t>
        </is>
      </c>
      <c r="D4233" s="10" t="inlineStr">
        <is>
          <t>上り</t>
        </is>
      </c>
      <c r="E4233" s="10" t="inlineStr">
        <is>
          <t>連1412</t>
        </is>
      </c>
      <c r="F4233" t="inlineStr">
        <is>
          <t>0211</t>
        </is>
      </c>
      <c r="G4233" s="10" t="inlineStr">
        <is>
          <t>蚕ノ社</t>
        </is>
      </c>
      <c r="H4233" s="10" t="inlineStr">
        <is>
          <t>発</t>
        </is>
      </c>
      <c r="J4233" s="10" t="inlineStr">
        <is>
          <t>営業</t>
        </is>
      </c>
      <c r="L4233" t="inlineStr">
        <is>
          <t>15:05:00</t>
        </is>
      </c>
      <c r="M4233" t="inlineStr">
        <is>
          <t>15:05:20</t>
        </is>
      </c>
      <c r="P4233" t="inlineStr">
        <is>
          <t>C系統(終日)</t>
        </is>
      </c>
    </row>
    <row r="4234" ht="15" customHeight="1" s="37">
      <c r="A4234" t="n">
        <v>6</v>
      </c>
      <c r="B4234" s="10" t="inlineStr">
        <is>
          <t>休日</t>
        </is>
      </c>
      <c r="C4234" s="10" t="inlineStr">
        <is>
          <t>本線</t>
        </is>
      </c>
      <c r="D4234" s="10" t="inlineStr">
        <is>
          <t>上り</t>
        </is>
      </c>
      <c r="E4234" s="10" t="inlineStr">
        <is>
          <t>連1412</t>
        </is>
      </c>
      <c r="F4234" t="inlineStr">
        <is>
          <t>0211</t>
        </is>
      </c>
      <c r="G4234" s="10" t="inlineStr">
        <is>
          <t>天神川</t>
        </is>
      </c>
      <c r="H4234" s="10" t="inlineStr">
        <is>
          <t>発</t>
        </is>
      </c>
      <c r="J4234" s="10" t="inlineStr">
        <is>
          <t>営業</t>
        </is>
      </c>
      <c r="L4234" t="inlineStr">
        <is>
          <t>15:06:05</t>
        </is>
      </c>
      <c r="M4234" t="inlineStr">
        <is>
          <t>15:06:50</t>
        </is>
      </c>
      <c r="P4234" t="inlineStr">
        <is>
          <t>C系統(終日)</t>
        </is>
      </c>
    </row>
    <row r="4235" ht="15" customHeight="1" s="37">
      <c r="A4235" t="n">
        <v>6</v>
      </c>
      <c r="B4235" s="10" t="inlineStr">
        <is>
          <t>休日</t>
        </is>
      </c>
      <c r="C4235" s="10" t="inlineStr">
        <is>
          <t>本線</t>
        </is>
      </c>
      <c r="D4235" s="10" t="inlineStr">
        <is>
          <t>上り</t>
        </is>
      </c>
      <c r="E4235" s="10" t="inlineStr">
        <is>
          <t>連1412</t>
        </is>
      </c>
      <c r="F4235" t="inlineStr">
        <is>
          <t>0211</t>
        </is>
      </c>
      <c r="G4235" s="10" t="inlineStr">
        <is>
          <t>山ノ内</t>
        </is>
      </c>
      <c r="H4235" s="10" t="inlineStr">
        <is>
          <t>発</t>
        </is>
      </c>
      <c r="J4235" s="10" t="inlineStr">
        <is>
          <t>営業</t>
        </is>
      </c>
      <c r="L4235" t="inlineStr">
        <is>
          <t>15:08:40</t>
        </is>
      </c>
      <c r="M4235" t="inlineStr">
        <is>
          <t>15:09:05</t>
        </is>
      </c>
      <c r="P4235" t="inlineStr">
        <is>
          <t>C系統(終日)</t>
        </is>
      </c>
    </row>
    <row r="4236" ht="15" customHeight="1" s="37">
      <c r="A4236" t="n">
        <v>6</v>
      </c>
      <c r="B4236" s="10" t="inlineStr">
        <is>
          <t>休日</t>
        </is>
      </c>
      <c r="C4236" s="10" t="inlineStr">
        <is>
          <t>本線</t>
        </is>
      </c>
      <c r="D4236" s="10" t="inlineStr">
        <is>
          <t>上り</t>
        </is>
      </c>
      <c r="E4236" s="10" t="inlineStr">
        <is>
          <t>連1412</t>
        </is>
      </c>
      <c r="F4236" t="inlineStr">
        <is>
          <t>0211</t>
        </is>
      </c>
      <c r="G4236" s="10" t="inlineStr">
        <is>
          <t>西大路三条</t>
        </is>
      </c>
      <c r="H4236" s="10" t="inlineStr">
        <is>
          <t>発</t>
        </is>
      </c>
      <c r="J4236" s="10" t="inlineStr">
        <is>
          <t>営業</t>
        </is>
      </c>
      <c r="L4236" t="inlineStr">
        <is>
          <t>15:10:55</t>
        </is>
      </c>
      <c r="M4236" t="inlineStr">
        <is>
          <t>15:11:15</t>
        </is>
      </c>
      <c r="P4236" t="inlineStr">
        <is>
          <t>C系統(終日)</t>
        </is>
      </c>
    </row>
    <row r="4237" ht="15" customHeight="1" s="37">
      <c r="A4237" t="n">
        <v>6</v>
      </c>
      <c r="B4237" s="10" t="inlineStr">
        <is>
          <t>休日</t>
        </is>
      </c>
      <c r="C4237" s="10" t="inlineStr">
        <is>
          <t>本線</t>
        </is>
      </c>
      <c r="D4237" s="10" t="inlineStr">
        <is>
          <t>上り</t>
        </is>
      </c>
      <c r="E4237" s="10" t="inlineStr">
        <is>
          <t>連1412</t>
        </is>
      </c>
      <c r="F4237" t="inlineStr">
        <is>
          <t>0211</t>
        </is>
      </c>
      <c r="G4237" s="10" t="inlineStr">
        <is>
          <t>西院</t>
        </is>
      </c>
      <c r="H4237" s="10" t="inlineStr">
        <is>
          <t>発</t>
        </is>
      </c>
      <c r="J4237" s="10" t="inlineStr">
        <is>
          <t>営業</t>
        </is>
      </c>
      <c r="L4237" t="inlineStr">
        <is>
          <t>15:13:10</t>
        </is>
      </c>
      <c r="M4237" t="inlineStr">
        <is>
          <t>15:14:05</t>
        </is>
      </c>
      <c r="P4237" t="inlineStr">
        <is>
          <t>C系統(終日)</t>
        </is>
      </c>
    </row>
    <row r="4238" ht="15" customHeight="1" s="37">
      <c r="A4238" t="n">
        <v>6</v>
      </c>
      <c r="B4238" s="10" t="inlineStr">
        <is>
          <t>休日</t>
        </is>
      </c>
      <c r="C4238" s="10" t="inlineStr">
        <is>
          <t>本線</t>
        </is>
      </c>
      <c r="D4238" s="10" t="inlineStr">
        <is>
          <t>上り</t>
        </is>
      </c>
      <c r="E4238" s="10" t="inlineStr">
        <is>
          <t>連1412</t>
        </is>
      </c>
      <c r="F4238" t="inlineStr">
        <is>
          <t>0211</t>
        </is>
      </c>
      <c r="G4238" s="10" t="inlineStr">
        <is>
          <t>四条大宮</t>
        </is>
      </c>
      <c r="H4238" s="10" t="inlineStr">
        <is>
          <t>着</t>
        </is>
      </c>
      <c r="J4238" s="10" t="inlineStr">
        <is>
          <t>営業</t>
        </is>
      </c>
      <c r="L4238" t="inlineStr">
        <is>
          <t>15:17:00</t>
        </is>
      </c>
      <c r="P4238" t="inlineStr">
        <is>
          <t>C系統(終日)</t>
        </is>
      </c>
      <c r="Q4238" t="inlineStr">
        <is>
          <t>1</t>
        </is>
      </c>
    </row>
    <row r="4239" ht="15" customHeight="1" s="37">
      <c r="A4239" t="n">
        <v>6</v>
      </c>
      <c r="B4239" s="10" t="inlineStr">
        <is>
          <t>休日</t>
        </is>
      </c>
      <c r="C4239" s="10" t="inlineStr">
        <is>
          <t>本線</t>
        </is>
      </c>
      <c r="D4239" s="10" t="inlineStr">
        <is>
          <t>下り</t>
        </is>
      </c>
      <c r="E4239" s="10" t="inlineStr">
        <is>
          <t>連1505</t>
        </is>
      </c>
      <c r="F4239" t="inlineStr">
        <is>
          <t>0112</t>
        </is>
      </c>
      <c r="G4239" s="10" t="inlineStr">
        <is>
          <t>四条大宮</t>
        </is>
      </c>
      <c r="H4239" s="10" t="inlineStr">
        <is>
          <t>発</t>
        </is>
      </c>
      <c r="J4239" s="10" t="inlineStr">
        <is>
          <t>営業</t>
        </is>
      </c>
      <c r="M4239" t="inlineStr">
        <is>
          <t>15:23:00</t>
        </is>
      </c>
      <c r="P4239" t="inlineStr">
        <is>
          <t>C系統(終日)</t>
        </is>
      </c>
      <c r="Q4239" t="inlineStr">
        <is>
          <t>1</t>
        </is>
      </c>
    </row>
    <row r="4240" ht="15" customHeight="1" s="37">
      <c r="A4240" t="n">
        <v>6</v>
      </c>
      <c r="B4240" s="10" t="inlineStr">
        <is>
          <t>休日</t>
        </is>
      </c>
      <c r="C4240" s="10" t="inlineStr">
        <is>
          <t>本線</t>
        </is>
      </c>
      <c r="D4240" s="10" t="inlineStr">
        <is>
          <t>下り</t>
        </is>
      </c>
      <c r="E4240" s="10" t="inlineStr">
        <is>
          <t>連1505</t>
        </is>
      </c>
      <c r="F4240" t="inlineStr">
        <is>
          <t>0112</t>
        </is>
      </c>
      <c r="G4240" s="10" t="inlineStr">
        <is>
          <t>西院</t>
        </is>
      </c>
      <c r="H4240" s="10" t="inlineStr">
        <is>
          <t>着</t>
        </is>
      </c>
      <c r="J4240" s="10" t="inlineStr">
        <is>
          <t>営業</t>
        </is>
      </c>
      <c r="L4240" t="inlineStr">
        <is>
          <t>15:25:50</t>
        </is>
      </c>
      <c r="M4240" t="inlineStr">
        <is>
          <t>15:26:20</t>
        </is>
      </c>
      <c r="P4240" t="inlineStr">
        <is>
          <t>C系統(終日)</t>
        </is>
      </c>
      <c r="T4240" t="inlineStr">
        <is>
          <t>○</t>
        </is>
      </c>
    </row>
    <row r="4241" ht="15" customHeight="1" s="37">
      <c r="A4241" t="n">
        <v>7</v>
      </c>
      <c r="B4241" s="10" t="inlineStr">
        <is>
          <t>休日</t>
        </is>
      </c>
      <c r="C4241" s="10" t="inlineStr">
        <is>
          <t>本線</t>
        </is>
      </c>
      <c r="D4241" s="10" t="inlineStr">
        <is>
          <t>下り</t>
        </is>
      </c>
      <c r="E4241" t="inlineStr">
        <is>
          <t>0811</t>
        </is>
      </c>
      <c r="F4241" t="inlineStr">
        <is>
          <t>0112</t>
        </is>
      </c>
      <c r="G4241" s="10" t="inlineStr">
        <is>
          <t>西院</t>
        </is>
      </c>
      <c r="H4241" s="10" t="inlineStr">
        <is>
          <t>発</t>
        </is>
      </c>
      <c r="J4241" s="10" t="inlineStr">
        <is>
          <t>営業</t>
        </is>
      </c>
      <c r="L4241" t="inlineStr">
        <is>
          <t>8:55:50</t>
        </is>
      </c>
      <c r="M4241" t="inlineStr">
        <is>
          <t>8:56:20</t>
        </is>
      </c>
    </row>
    <row r="4242" ht="15" customHeight="1" s="37">
      <c r="A4242" t="n">
        <v>7</v>
      </c>
      <c r="B4242" s="10" t="inlineStr">
        <is>
          <t>休日</t>
        </is>
      </c>
      <c r="C4242" s="10" t="inlineStr">
        <is>
          <t>本線</t>
        </is>
      </c>
      <c r="D4242" s="10" t="inlineStr">
        <is>
          <t>下り</t>
        </is>
      </c>
      <c r="E4242" t="inlineStr">
        <is>
          <t>0811</t>
        </is>
      </c>
      <c r="F4242" t="inlineStr">
        <is>
          <t>0112</t>
        </is>
      </c>
      <c r="G4242" s="10" t="inlineStr">
        <is>
          <t>西大路三条</t>
        </is>
      </c>
      <c r="H4242" s="10" t="inlineStr">
        <is>
          <t>発</t>
        </is>
      </c>
      <c r="J4242" s="10" t="inlineStr">
        <is>
          <t>営業</t>
        </is>
      </c>
      <c r="L4242" t="inlineStr">
        <is>
          <t>8:58:10</t>
        </is>
      </c>
      <c r="M4242" t="inlineStr">
        <is>
          <t>8:58:30</t>
        </is>
      </c>
    </row>
    <row r="4243" ht="15" customHeight="1" s="37">
      <c r="A4243" t="n">
        <v>7</v>
      </c>
      <c r="B4243" s="10" t="inlineStr">
        <is>
          <t>休日</t>
        </is>
      </c>
      <c r="C4243" s="10" t="inlineStr">
        <is>
          <t>本線</t>
        </is>
      </c>
      <c r="D4243" s="10" t="inlineStr">
        <is>
          <t>下り</t>
        </is>
      </c>
      <c r="E4243" t="inlineStr">
        <is>
          <t>0811</t>
        </is>
      </c>
      <c r="F4243" t="inlineStr">
        <is>
          <t>0112</t>
        </is>
      </c>
      <c r="G4243" s="10" t="inlineStr">
        <is>
          <t>山ノ内</t>
        </is>
      </c>
      <c r="H4243" s="10" t="inlineStr">
        <is>
          <t>発</t>
        </is>
      </c>
      <c r="J4243" s="10" t="inlineStr">
        <is>
          <t>営業</t>
        </is>
      </c>
      <c r="L4243" t="inlineStr">
        <is>
          <t>9:00:25</t>
        </is>
      </c>
      <c r="M4243" t="inlineStr">
        <is>
          <t>9:00:50</t>
        </is>
      </c>
    </row>
    <row r="4244" ht="15" customHeight="1" s="37">
      <c r="A4244" t="n">
        <v>7</v>
      </c>
      <c r="B4244" s="10" t="inlineStr">
        <is>
          <t>休日</t>
        </is>
      </c>
      <c r="C4244" s="10" t="inlineStr">
        <is>
          <t>本線</t>
        </is>
      </c>
      <c r="D4244" s="10" t="inlineStr">
        <is>
          <t>下り</t>
        </is>
      </c>
      <c r="E4244" t="inlineStr">
        <is>
          <t>0811</t>
        </is>
      </c>
      <c r="F4244" t="inlineStr">
        <is>
          <t>0112</t>
        </is>
      </c>
      <c r="G4244" s="10" t="inlineStr">
        <is>
          <t>天神川</t>
        </is>
      </c>
      <c r="H4244" s="10" t="inlineStr">
        <is>
          <t>発</t>
        </is>
      </c>
      <c r="J4244" s="10" t="inlineStr">
        <is>
          <t>営業</t>
        </is>
      </c>
      <c r="L4244" t="inlineStr">
        <is>
          <t>9:02:50</t>
        </is>
      </c>
      <c r="M4244" t="inlineStr">
        <is>
          <t>9:03:30</t>
        </is>
      </c>
    </row>
    <row r="4245" ht="15" customHeight="1" s="37">
      <c r="A4245" t="n">
        <v>7</v>
      </c>
      <c r="B4245" s="10" t="inlineStr">
        <is>
          <t>休日</t>
        </is>
      </c>
      <c r="C4245" s="10" t="inlineStr">
        <is>
          <t>本線</t>
        </is>
      </c>
      <c r="D4245" s="10" t="inlineStr">
        <is>
          <t>下り</t>
        </is>
      </c>
      <c r="E4245" t="inlineStr">
        <is>
          <t>0811</t>
        </is>
      </c>
      <c r="F4245" t="inlineStr">
        <is>
          <t>0112</t>
        </is>
      </c>
      <c r="G4245" s="10" t="inlineStr">
        <is>
          <t>蚕ノ社</t>
        </is>
      </c>
      <c r="H4245" s="10" t="inlineStr">
        <is>
          <t>発</t>
        </is>
      </c>
      <c r="J4245" s="10" t="inlineStr">
        <is>
          <t>営業</t>
        </is>
      </c>
      <c r="L4245" t="inlineStr">
        <is>
          <t>9:04:20</t>
        </is>
      </c>
      <c r="M4245" t="inlineStr">
        <is>
          <t>9:04:40</t>
        </is>
      </c>
    </row>
    <row r="4246" ht="15" customHeight="1" s="37">
      <c r="A4246" t="n">
        <v>7</v>
      </c>
      <c r="B4246" s="10" t="inlineStr">
        <is>
          <t>休日</t>
        </is>
      </c>
      <c r="C4246" s="10" t="inlineStr">
        <is>
          <t>本線</t>
        </is>
      </c>
      <c r="D4246" s="10" t="inlineStr">
        <is>
          <t>下り</t>
        </is>
      </c>
      <c r="E4246" t="inlineStr">
        <is>
          <t>0811</t>
        </is>
      </c>
      <c r="F4246" t="inlineStr">
        <is>
          <t>0112</t>
        </is>
      </c>
      <c r="G4246" s="10" t="inlineStr">
        <is>
          <t>太秦広隆寺</t>
        </is>
      </c>
      <c r="H4246" s="10" t="inlineStr">
        <is>
          <t>発</t>
        </is>
      </c>
      <c r="J4246" s="10" t="inlineStr">
        <is>
          <t>営業</t>
        </is>
      </c>
      <c r="L4246" t="inlineStr">
        <is>
          <t>9:06:00</t>
        </is>
      </c>
      <c r="M4246" t="inlineStr">
        <is>
          <t>9:06:20</t>
        </is>
      </c>
    </row>
    <row r="4247" ht="15" customHeight="1" s="37">
      <c r="A4247" t="n">
        <v>7</v>
      </c>
      <c r="B4247" s="10" t="inlineStr">
        <is>
          <t>休日</t>
        </is>
      </c>
      <c r="C4247" s="10" t="inlineStr">
        <is>
          <t>本線</t>
        </is>
      </c>
      <c r="D4247" s="10" t="inlineStr">
        <is>
          <t>下り</t>
        </is>
      </c>
      <c r="E4247" t="inlineStr">
        <is>
          <t>0811</t>
        </is>
      </c>
      <c r="F4247" t="inlineStr">
        <is>
          <t>0112</t>
        </is>
      </c>
      <c r="G4247" s="10" t="inlineStr">
        <is>
          <t>帷子ノ辻</t>
        </is>
      </c>
      <c r="H4247" s="10" t="inlineStr">
        <is>
          <t>発</t>
        </is>
      </c>
      <c r="J4247" s="10" t="inlineStr">
        <is>
          <t>営業</t>
        </is>
      </c>
      <c r="L4247" t="inlineStr">
        <is>
          <t>9:08:20</t>
        </is>
      </c>
      <c r="M4247" t="inlineStr">
        <is>
          <t>9:09:40</t>
        </is>
      </c>
    </row>
    <row r="4248" ht="15" customHeight="1" s="37">
      <c r="A4248" t="n">
        <v>7</v>
      </c>
      <c r="B4248" s="10" t="inlineStr">
        <is>
          <t>休日</t>
        </is>
      </c>
      <c r="C4248" s="10" t="inlineStr">
        <is>
          <t>本線</t>
        </is>
      </c>
      <c r="D4248" s="10" t="inlineStr">
        <is>
          <t>下り</t>
        </is>
      </c>
      <c r="E4248" t="inlineStr">
        <is>
          <t>0811</t>
        </is>
      </c>
      <c r="F4248" t="inlineStr">
        <is>
          <t>0112</t>
        </is>
      </c>
      <c r="G4248" s="10" t="inlineStr">
        <is>
          <t>有栖川</t>
        </is>
      </c>
      <c r="H4248" s="10" t="inlineStr">
        <is>
          <t>発</t>
        </is>
      </c>
      <c r="J4248" s="10" t="inlineStr">
        <is>
          <t>営業</t>
        </is>
      </c>
      <c r="L4248" t="inlineStr">
        <is>
          <t>9:10:50</t>
        </is>
      </c>
      <c r="M4248" t="inlineStr">
        <is>
          <t>9:11:15</t>
        </is>
      </c>
    </row>
    <row r="4249" ht="15" customHeight="1" s="37">
      <c r="A4249" t="n">
        <v>7</v>
      </c>
      <c r="B4249" s="10" t="inlineStr">
        <is>
          <t>休日</t>
        </is>
      </c>
      <c r="C4249" s="10" t="inlineStr">
        <is>
          <t>本線</t>
        </is>
      </c>
      <c r="D4249" s="10" t="inlineStr">
        <is>
          <t>下り</t>
        </is>
      </c>
      <c r="E4249" t="inlineStr">
        <is>
          <t>0811</t>
        </is>
      </c>
      <c r="F4249" t="inlineStr">
        <is>
          <t>0112</t>
        </is>
      </c>
      <c r="G4249" s="10" t="inlineStr">
        <is>
          <t>車折</t>
        </is>
      </c>
      <c r="H4249" s="10" t="inlineStr">
        <is>
          <t>発</t>
        </is>
      </c>
      <c r="J4249" s="10" t="inlineStr">
        <is>
          <t>営業</t>
        </is>
      </c>
      <c r="L4249" t="inlineStr">
        <is>
          <t>9:12:40</t>
        </is>
      </c>
      <c r="M4249" t="inlineStr">
        <is>
          <t>9:13:05</t>
        </is>
      </c>
    </row>
    <row r="4250" ht="15" customHeight="1" s="37">
      <c r="A4250" t="n">
        <v>7</v>
      </c>
      <c r="B4250" s="10" t="inlineStr">
        <is>
          <t>休日</t>
        </is>
      </c>
      <c r="C4250" s="10" t="inlineStr">
        <is>
          <t>本線</t>
        </is>
      </c>
      <c r="D4250" s="10" t="inlineStr">
        <is>
          <t>下り</t>
        </is>
      </c>
      <c r="E4250" t="inlineStr">
        <is>
          <t>0811</t>
        </is>
      </c>
      <c r="F4250" t="inlineStr">
        <is>
          <t>0112</t>
        </is>
      </c>
      <c r="G4250" s="10" t="inlineStr">
        <is>
          <t>鹿王院</t>
        </is>
      </c>
      <c r="H4250" s="10" t="inlineStr">
        <is>
          <t>発</t>
        </is>
      </c>
      <c r="J4250" s="10" t="inlineStr">
        <is>
          <t>営業</t>
        </is>
      </c>
      <c r="L4250" t="inlineStr">
        <is>
          <t>9:14:00</t>
        </is>
      </c>
      <c r="M4250" t="inlineStr">
        <is>
          <t>9:14:25</t>
        </is>
      </c>
    </row>
    <row r="4251" ht="15" customHeight="1" s="37">
      <c r="A4251" t="n">
        <v>7</v>
      </c>
      <c r="B4251" s="10" t="inlineStr">
        <is>
          <t>休日</t>
        </is>
      </c>
      <c r="C4251" s="10" t="inlineStr">
        <is>
          <t>本線</t>
        </is>
      </c>
      <c r="D4251" s="10" t="inlineStr">
        <is>
          <t>下り</t>
        </is>
      </c>
      <c r="E4251" t="inlineStr">
        <is>
          <t>0811</t>
        </is>
      </c>
      <c r="F4251" t="inlineStr">
        <is>
          <t>0112</t>
        </is>
      </c>
      <c r="G4251" s="10" t="inlineStr">
        <is>
          <t>嵯峨</t>
        </is>
      </c>
      <c r="H4251" s="10" t="inlineStr">
        <is>
          <t>発</t>
        </is>
      </c>
      <c r="J4251" s="10" t="inlineStr">
        <is>
          <t>営業</t>
        </is>
      </c>
      <c r="L4251" t="inlineStr">
        <is>
          <t>9:15:30</t>
        </is>
      </c>
      <c r="M4251" t="inlineStr">
        <is>
          <t>9:15:55</t>
        </is>
      </c>
    </row>
    <row r="4252" ht="15" customHeight="1" s="37">
      <c r="A4252" t="n">
        <v>7</v>
      </c>
      <c r="B4252" s="10" t="inlineStr">
        <is>
          <t>休日</t>
        </is>
      </c>
      <c r="C4252" s="10" t="inlineStr">
        <is>
          <t>本線</t>
        </is>
      </c>
      <c r="D4252" s="10" t="inlineStr">
        <is>
          <t>下り</t>
        </is>
      </c>
      <c r="E4252" t="inlineStr">
        <is>
          <t>0811</t>
        </is>
      </c>
      <c r="F4252" t="inlineStr">
        <is>
          <t>0112</t>
        </is>
      </c>
      <c r="G4252" s="10" t="inlineStr">
        <is>
          <t>嵐山</t>
        </is>
      </c>
      <c r="H4252" s="10" t="inlineStr">
        <is>
          <t>着</t>
        </is>
      </c>
      <c r="J4252" s="10" t="inlineStr">
        <is>
          <t>営業</t>
        </is>
      </c>
      <c r="L4252" t="inlineStr">
        <is>
          <t>9:17:00</t>
        </is>
      </c>
      <c r="Q4252" t="inlineStr">
        <is>
          <t>1</t>
        </is>
      </c>
    </row>
    <row r="4253" ht="15" customHeight="1" s="37">
      <c r="A4253" t="n">
        <v>7</v>
      </c>
      <c r="B4253" s="10" t="inlineStr">
        <is>
          <t>休日</t>
        </is>
      </c>
      <c r="C4253" s="10" t="inlineStr">
        <is>
          <t>本線</t>
        </is>
      </c>
      <c r="D4253" s="10" t="inlineStr">
        <is>
          <t>上り</t>
        </is>
      </c>
      <c r="E4253" t="inlineStr">
        <is>
          <t>0906</t>
        </is>
      </c>
      <c r="F4253" t="inlineStr">
        <is>
          <t>0211</t>
        </is>
      </c>
      <c r="G4253" s="10" t="inlineStr">
        <is>
          <t>嵐山</t>
        </is>
      </c>
      <c r="H4253" s="10" t="inlineStr">
        <is>
          <t>発</t>
        </is>
      </c>
      <c r="J4253" s="10" t="inlineStr">
        <is>
          <t>営業</t>
        </is>
      </c>
      <c r="M4253" t="inlineStr">
        <is>
          <t>9:23:00</t>
        </is>
      </c>
      <c r="Q4253" t="inlineStr">
        <is>
          <t>1</t>
        </is>
      </c>
    </row>
    <row r="4254" ht="15" customHeight="1" s="37">
      <c r="A4254" t="n">
        <v>7</v>
      </c>
      <c r="B4254" s="10" t="inlineStr">
        <is>
          <t>休日</t>
        </is>
      </c>
      <c r="C4254" s="10" t="inlineStr">
        <is>
          <t>本線</t>
        </is>
      </c>
      <c r="D4254" s="10" t="inlineStr">
        <is>
          <t>上り</t>
        </is>
      </c>
      <c r="E4254" t="inlineStr">
        <is>
          <t>0906</t>
        </is>
      </c>
      <c r="F4254" t="inlineStr">
        <is>
          <t>0211</t>
        </is>
      </c>
      <c r="G4254" s="10" t="inlineStr">
        <is>
          <t>嵯峨</t>
        </is>
      </c>
      <c r="H4254" s="10" t="inlineStr">
        <is>
          <t>発</t>
        </is>
      </c>
      <c r="J4254" s="10" t="inlineStr">
        <is>
          <t>営業</t>
        </is>
      </c>
      <c r="L4254" t="inlineStr">
        <is>
          <t>9:23:55</t>
        </is>
      </c>
      <c r="M4254" t="inlineStr">
        <is>
          <t>9:24:20</t>
        </is>
      </c>
    </row>
    <row r="4255" ht="15" customHeight="1" s="37">
      <c r="A4255" t="n">
        <v>7</v>
      </c>
      <c r="B4255" s="10" t="inlineStr">
        <is>
          <t>休日</t>
        </is>
      </c>
      <c r="C4255" s="10" t="inlineStr">
        <is>
          <t>本線</t>
        </is>
      </c>
      <c r="D4255" s="10" t="inlineStr">
        <is>
          <t>上り</t>
        </is>
      </c>
      <c r="E4255" t="inlineStr">
        <is>
          <t>0906</t>
        </is>
      </c>
      <c r="F4255" t="inlineStr">
        <is>
          <t>0211</t>
        </is>
      </c>
      <c r="G4255" s="10" t="inlineStr">
        <is>
          <t>鹿王院</t>
        </is>
      </c>
      <c r="H4255" s="10" t="inlineStr">
        <is>
          <t>発</t>
        </is>
      </c>
      <c r="J4255" s="10" t="inlineStr">
        <is>
          <t>営業</t>
        </is>
      </c>
      <c r="L4255" t="inlineStr">
        <is>
          <t>9:25:25</t>
        </is>
      </c>
      <c r="M4255" t="inlineStr">
        <is>
          <t>9:25:45</t>
        </is>
      </c>
    </row>
    <row r="4256" ht="15" customHeight="1" s="37">
      <c r="A4256" t="n">
        <v>7</v>
      </c>
      <c r="B4256" s="10" t="inlineStr">
        <is>
          <t>休日</t>
        </is>
      </c>
      <c r="C4256" s="10" t="inlineStr">
        <is>
          <t>本線</t>
        </is>
      </c>
      <c r="D4256" s="10" t="inlineStr">
        <is>
          <t>上り</t>
        </is>
      </c>
      <c r="E4256" t="inlineStr">
        <is>
          <t>0906</t>
        </is>
      </c>
      <c r="F4256" t="inlineStr">
        <is>
          <t>0211</t>
        </is>
      </c>
      <c r="G4256" s="10" t="inlineStr">
        <is>
          <t>車折</t>
        </is>
      </c>
      <c r="H4256" s="10" t="inlineStr">
        <is>
          <t>発</t>
        </is>
      </c>
      <c r="J4256" s="10" t="inlineStr">
        <is>
          <t>営業</t>
        </is>
      </c>
      <c r="L4256" t="inlineStr">
        <is>
          <t>9:26:40</t>
        </is>
      </c>
      <c r="M4256" t="inlineStr">
        <is>
          <t>9:27:10</t>
        </is>
      </c>
    </row>
    <row r="4257" ht="15" customHeight="1" s="37">
      <c r="A4257" t="n">
        <v>7</v>
      </c>
      <c r="B4257" s="10" t="inlineStr">
        <is>
          <t>休日</t>
        </is>
      </c>
      <c r="C4257" s="10" t="inlineStr">
        <is>
          <t>本線</t>
        </is>
      </c>
      <c r="D4257" s="10" t="inlineStr">
        <is>
          <t>上り</t>
        </is>
      </c>
      <c r="E4257" t="inlineStr">
        <is>
          <t>0906</t>
        </is>
      </c>
      <c r="F4257" t="inlineStr">
        <is>
          <t>0211</t>
        </is>
      </c>
      <c r="G4257" s="10" t="inlineStr">
        <is>
          <t>有栖川</t>
        </is>
      </c>
      <c r="H4257" s="10" t="inlineStr">
        <is>
          <t>発</t>
        </is>
      </c>
      <c r="J4257" s="10" t="inlineStr">
        <is>
          <t>営業</t>
        </is>
      </c>
      <c r="L4257" t="inlineStr">
        <is>
          <t>9:28:35</t>
        </is>
      </c>
      <c r="M4257" t="inlineStr">
        <is>
          <t>9:28:55</t>
        </is>
      </c>
    </row>
    <row r="4258" ht="15" customHeight="1" s="37">
      <c r="A4258" t="n">
        <v>7</v>
      </c>
      <c r="B4258" s="10" t="inlineStr">
        <is>
          <t>休日</t>
        </is>
      </c>
      <c r="C4258" s="10" t="inlineStr">
        <is>
          <t>本線</t>
        </is>
      </c>
      <c r="D4258" s="10" t="inlineStr">
        <is>
          <t>上り</t>
        </is>
      </c>
      <c r="E4258" t="inlineStr">
        <is>
          <t>0906</t>
        </is>
      </c>
      <c r="F4258" t="inlineStr">
        <is>
          <t>0211</t>
        </is>
      </c>
      <c r="G4258" s="10" t="inlineStr">
        <is>
          <t>帷子ノ辻</t>
        </is>
      </c>
      <c r="H4258" s="10" t="inlineStr">
        <is>
          <t>発</t>
        </is>
      </c>
      <c r="J4258" s="10" t="inlineStr">
        <is>
          <t>営業</t>
        </is>
      </c>
      <c r="L4258" t="inlineStr">
        <is>
          <t>9:30:10</t>
        </is>
      </c>
      <c r="M4258" t="inlineStr">
        <is>
          <t>9:31:15</t>
        </is>
      </c>
    </row>
    <row r="4259" ht="15" customHeight="1" s="37">
      <c r="A4259" t="n">
        <v>7</v>
      </c>
      <c r="B4259" s="10" t="inlineStr">
        <is>
          <t>休日</t>
        </is>
      </c>
      <c r="C4259" s="10" t="inlineStr">
        <is>
          <t>本線</t>
        </is>
      </c>
      <c r="D4259" s="10" t="inlineStr">
        <is>
          <t>上り</t>
        </is>
      </c>
      <c r="E4259" t="inlineStr">
        <is>
          <t>0906</t>
        </is>
      </c>
      <c r="F4259" t="inlineStr">
        <is>
          <t>0211</t>
        </is>
      </c>
      <c r="G4259" s="10" t="inlineStr">
        <is>
          <t>太秦広隆寺</t>
        </is>
      </c>
      <c r="H4259" s="10" t="inlineStr">
        <is>
          <t>発</t>
        </is>
      </c>
      <c r="J4259" s="10" t="inlineStr">
        <is>
          <t>営業</t>
        </is>
      </c>
      <c r="L4259" t="inlineStr">
        <is>
          <t>9:33:25</t>
        </is>
      </c>
      <c r="M4259" t="inlineStr">
        <is>
          <t>9:33:45</t>
        </is>
      </c>
    </row>
    <row r="4260" ht="15" customHeight="1" s="37">
      <c r="A4260" t="n">
        <v>7</v>
      </c>
      <c r="B4260" s="10" t="inlineStr">
        <is>
          <t>休日</t>
        </is>
      </c>
      <c r="C4260" s="10" t="inlineStr">
        <is>
          <t>本線</t>
        </is>
      </c>
      <c r="D4260" s="10" t="inlineStr">
        <is>
          <t>上り</t>
        </is>
      </c>
      <c r="E4260" t="inlineStr">
        <is>
          <t>0906</t>
        </is>
      </c>
      <c r="F4260" t="inlineStr">
        <is>
          <t>0211</t>
        </is>
      </c>
      <c r="G4260" s="10" t="inlineStr">
        <is>
          <t>蚕ノ社</t>
        </is>
      </c>
      <c r="H4260" s="10" t="inlineStr">
        <is>
          <t>発</t>
        </is>
      </c>
      <c r="J4260" s="10" t="inlineStr">
        <is>
          <t>営業</t>
        </is>
      </c>
      <c r="L4260" t="inlineStr">
        <is>
          <t>9:35:00</t>
        </is>
      </c>
      <c r="M4260" t="inlineStr">
        <is>
          <t>9:35:20</t>
        </is>
      </c>
    </row>
    <row r="4261" ht="15" customHeight="1" s="37">
      <c r="A4261" t="n">
        <v>7</v>
      </c>
      <c r="B4261" s="10" t="inlineStr">
        <is>
          <t>休日</t>
        </is>
      </c>
      <c r="C4261" s="10" t="inlineStr">
        <is>
          <t>本線</t>
        </is>
      </c>
      <c r="D4261" s="10" t="inlineStr">
        <is>
          <t>上り</t>
        </is>
      </c>
      <c r="E4261" t="inlineStr">
        <is>
          <t>0906</t>
        </is>
      </c>
      <c r="F4261" t="inlineStr">
        <is>
          <t>0211</t>
        </is>
      </c>
      <c r="G4261" s="10" t="inlineStr">
        <is>
          <t>天神川</t>
        </is>
      </c>
      <c r="H4261" s="10" t="inlineStr">
        <is>
          <t>発</t>
        </is>
      </c>
      <c r="J4261" s="10" t="inlineStr">
        <is>
          <t>営業</t>
        </is>
      </c>
      <c r="L4261" t="inlineStr">
        <is>
          <t>9:36:05</t>
        </is>
      </c>
      <c r="M4261" t="inlineStr">
        <is>
          <t>9:36:50</t>
        </is>
      </c>
    </row>
    <row r="4262" ht="15" customHeight="1" s="37">
      <c r="A4262" t="n">
        <v>7</v>
      </c>
      <c r="B4262" s="10" t="inlineStr">
        <is>
          <t>休日</t>
        </is>
      </c>
      <c r="C4262" s="10" t="inlineStr">
        <is>
          <t>本線</t>
        </is>
      </c>
      <c r="D4262" s="10" t="inlineStr">
        <is>
          <t>上り</t>
        </is>
      </c>
      <c r="E4262" t="inlineStr">
        <is>
          <t>0906</t>
        </is>
      </c>
      <c r="F4262" t="inlineStr">
        <is>
          <t>0211</t>
        </is>
      </c>
      <c r="G4262" s="10" t="inlineStr">
        <is>
          <t>山ノ内</t>
        </is>
      </c>
      <c r="H4262" s="10" t="inlineStr">
        <is>
          <t>発</t>
        </is>
      </c>
      <c r="J4262" s="10" t="inlineStr">
        <is>
          <t>営業</t>
        </is>
      </c>
      <c r="L4262" t="inlineStr">
        <is>
          <t>9:38:40</t>
        </is>
      </c>
      <c r="M4262" t="inlineStr">
        <is>
          <t>9:39:05</t>
        </is>
      </c>
    </row>
    <row r="4263" ht="15" customHeight="1" s="37">
      <c r="A4263" t="n">
        <v>7</v>
      </c>
      <c r="B4263" s="10" t="inlineStr">
        <is>
          <t>休日</t>
        </is>
      </c>
      <c r="C4263" s="10" t="inlineStr">
        <is>
          <t>本線</t>
        </is>
      </c>
      <c r="D4263" s="10" t="inlineStr">
        <is>
          <t>上り</t>
        </is>
      </c>
      <c r="E4263" t="inlineStr">
        <is>
          <t>0906</t>
        </is>
      </c>
      <c r="F4263" t="inlineStr">
        <is>
          <t>0211</t>
        </is>
      </c>
      <c r="G4263" s="10" t="inlineStr">
        <is>
          <t>西大路三条</t>
        </is>
      </c>
      <c r="H4263" s="10" t="inlineStr">
        <is>
          <t>発</t>
        </is>
      </c>
      <c r="J4263" s="10" t="inlineStr">
        <is>
          <t>営業</t>
        </is>
      </c>
      <c r="L4263" t="inlineStr">
        <is>
          <t>9:40:55</t>
        </is>
      </c>
      <c r="M4263" t="inlineStr">
        <is>
          <t>9:41:15</t>
        </is>
      </c>
    </row>
    <row r="4264" ht="15" customHeight="1" s="37">
      <c r="A4264" t="n">
        <v>7</v>
      </c>
      <c r="B4264" s="10" t="inlineStr">
        <is>
          <t>休日</t>
        </is>
      </c>
      <c r="C4264" s="10" t="inlineStr">
        <is>
          <t>本線</t>
        </is>
      </c>
      <c r="D4264" s="10" t="inlineStr">
        <is>
          <t>上り</t>
        </is>
      </c>
      <c r="E4264" t="inlineStr">
        <is>
          <t>0906</t>
        </is>
      </c>
      <c r="F4264" t="inlineStr">
        <is>
          <t>0211</t>
        </is>
      </c>
      <c r="G4264" s="10" t="inlineStr">
        <is>
          <t>西院</t>
        </is>
      </c>
      <c r="H4264" s="10" t="inlineStr">
        <is>
          <t>発</t>
        </is>
      </c>
      <c r="J4264" s="10" t="inlineStr">
        <is>
          <t>営業</t>
        </is>
      </c>
      <c r="L4264" t="inlineStr">
        <is>
          <t>9:43:10</t>
        </is>
      </c>
      <c r="M4264" t="inlineStr">
        <is>
          <t>9:44:05</t>
        </is>
      </c>
    </row>
    <row r="4265" ht="15" customHeight="1" s="37">
      <c r="A4265" t="n">
        <v>7</v>
      </c>
      <c r="B4265" s="10" t="inlineStr">
        <is>
          <t>休日</t>
        </is>
      </c>
      <c r="C4265" s="10" t="inlineStr">
        <is>
          <t>本線</t>
        </is>
      </c>
      <c r="D4265" s="10" t="inlineStr">
        <is>
          <t>上り</t>
        </is>
      </c>
      <c r="E4265" t="inlineStr">
        <is>
          <t>0906</t>
        </is>
      </c>
      <c r="F4265" t="inlineStr">
        <is>
          <t>0211</t>
        </is>
      </c>
      <c r="G4265" s="10" t="inlineStr">
        <is>
          <t>四条大宮</t>
        </is>
      </c>
      <c r="H4265" s="10" t="inlineStr">
        <is>
          <t>着</t>
        </is>
      </c>
      <c r="J4265" s="10" t="inlineStr">
        <is>
          <t>営業</t>
        </is>
      </c>
      <c r="L4265" t="inlineStr">
        <is>
          <t>9:47:00</t>
        </is>
      </c>
      <c r="Q4265" t="inlineStr">
        <is>
          <t>1</t>
        </is>
      </c>
    </row>
    <row r="4266" ht="15" customHeight="1" s="37">
      <c r="A4266" t="n">
        <v>7</v>
      </c>
      <c r="B4266" s="10" t="inlineStr">
        <is>
          <t>休日</t>
        </is>
      </c>
      <c r="C4266" s="10" t="inlineStr">
        <is>
          <t>本線</t>
        </is>
      </c>
      <c r="D4266" s="10" t="inlineStr">
        <is>
          <t>下り</t>
        </is>
      </c>
      <c r="E4266" t="inlineStr">
        <is>
          <t>0911</t>
        </is>
      </c>
      <c r="F4266" t="inlineStr">
        <is>
          <t>0112</t>
        </is>
      </c>
      <c r="G4266" s="10" t="inlineStr">
        <is>
          <t>四条大宮</t>
        </is>
      </c>
      <c r="H4266" s="10" t="inlineStr">
        <is>
          <t>発</t>
        </is>
      </c>
      <c r="J4266" s="10" t="inlineStr">
        <is>
          <t>営業</t>
        </is>
      </c>
      <c r="M4266" t="inlineStr">
        <is>
          <t>9:53:00</t>
        </is>
      </c>
      <c r="Q4266" t="inlineStr">
        <is>
          <t>1</t>
        </is>
      </c>
    </row>
    <row r="4267" ht="15" customHeight="1" s="37">
      <c r="A4267" t="n">
        <v>7</v>
      </c>
      <c r="B4267" s="10" t="inlineStr">
        <is>
          <t>休日</t>
        </is>
      </c>
      <c r="C4267" s="10" t="inlineStr">
        <is>
          <t>本線</t>
        </is>
      </c>
      <c r="D4267" s="10" t="inlineStr">
        <is>
          <t>下り</t>
        </is>
      </c>
      <c r="E4267" t="inlineStr">
        <is>
          <t>0911</t>
        </is>
      </c>
      <c r="F4267" t="inlineStr">
        <is>
          <t>0112</t>
        </is>
      </c>
      <c r="G4267" s="10" t="inlineStr">
        <is>
          <t>西院</t>
        </is>
      </c>
      <c r="H4267" s="10" t="inlineStr">
        <is>
          <t>発</t>
        </is>
      </c>
      <c r="J4267" s="10" t="inlineStr">
        <is>
          <t>営業</t>
        </is>
      </c>
      <c r="L4267" t="inlineStr">
        <is>
          <t>9:55:50</t>
        </is>
      </c>
      <c r="M4267" t="inlineStr">
        <is>
          <t>9:56:20</t>
        </is>
      </c>
    </row>
    <row r="4268" ht="15" customHeight="1" s="37">
      <c r="A4268" t="n">
        <v>7</v>
      </c>
      <c r="B4268" s="10" t="inlineStr">
        <is>
          <t>休日</t>
        </is>
      </c>
      <c r="C4268" s="10" t="inlineStr">
        <is>
          <t>本線</t>
        </is>
      </c>
      <c r="D4268" s="10" t="inlineStr">
        <is>
          <t>下り</t>
        </is>
      </c>
      <c r="E4268" t="inlineStr">
        <is>
          <t>0911</t>
        </is>
      </c>
      <c r="F4268" t="inlineStr">
        <is>
          <t>0112</t>
        </is>
      </c>
      <c r="G4268" s="10" t="inlineStr">
        <is>
          <t>西大路三条</t>
        </is>
      </c>
      <c r="H4268" s="10" t="inlineStr">
        <is>
          <t>発</t>
        </is>
      </c>
      <c r="J4268" s="10" t="inlineStr">
        <is>
          <t>営業</t>
        </is>
      </c>
      <c r="L4268" t="inlineStr">
        <is>
          <t>9:58:10</t>
        </is>
      </c>
      <c r="M4268" t="inlineStr">
        <is>
          <t>9:58:30</t>
        </is>
      </c>
    </row>
    <row r="4269" ht="15" customHeight="1" s="37">
      <c r="A4269" t="n">
        <v>7</v>
      </c>
      <c r="B4269" s="10" t="inlineStr">
        <is>
          <t>休日</t>
        </is>
      </c>
      <c r="C4269" s="10" t="inlineStr">
        <is>
          <t>本線</t>
        </is>
      </c>
      <c r="D4269" s="10" t="inlineStr">
        <is>
          <t>下り</t>
        </is>
      </c>
      <c r="E4269" t="inlineStr">
        <is>
          <t>0911</t>
        </is>
      </c>
      <c r="F4269" t="inlineStr">
        <is>
          <t>0112</t>
        </is>
      </c>
      <c r="G4269" s="10" t="inlineStr">
        <is>
          <t>山ノ内</t>
        </is>
      </c>
      <c r="H4269" s="10" t="inlineStr">
        <is>
          <t>発</t>
        </is>
      </c>
      <c r="J4269" s="10" t="inlineStr">
        <is>
          <t>営業</t>
        </is>
      </c>
      <c r="L4269" t="inlineStr">
        <is>
          <t>10:00:25</t>
        </is>
      </c>
      <c r="M4269" t="inlineStr">
        <is>
          <t>10:00:50</t>
        </is>
      </c>
    </row>
    <row r="4270" ht="15" customHeight="1" s="37">
      <c r="A4270" t="n">
        <v>7</v>
      </c>
      <c r="B4270" s="10" t="inlineStr">
        <is>
          <t>休日</t>
        </is>
      </c>
      <c r="C4270" s="10" t="inlineStr">
        <is>
          <t>本線</t>
        </is>
      </c>
      <c r="D4270" s="10" t="inlineStr">
        <is>
          <t>下り</t>
        </is>
      </c>
      <c r="E4270" t="inlineStr">
        <is>
          <t>0911</t>
        </is>
      </c>
      <c r="F4270" t="inlineStr">
        <is>
          <t>0112</t>
        </is>
      </c>
      <c r="G4270" s="10" t="inlineStr">
        <is>
          <t>天神川</t>
        </is>
      </c>
      <c r="H4270" s="10" t="inlineStr">
        <is>
          <t>発</t>
        </is>
      </c>
      <c r="J4270" s="10" t="inlineStr">
        <is>
          <t>営業</t>
        </is>
      </c>
      <c r="L4270" t="inlineStr">
        <is>
          <t>10:02:50</t>
        </is>
      </c>
      <c r="M4270" t="inlineStr">
        <is>
          <t>10:03:30</t>
        </is>
      </c>
    </row>
    <row r="4271" ht="15" customHeight="1" s="37">
      <c r="A4271" t="n">
        <v>7</v>
      </c>
      <c r="B4271" s="10" t="inlineStr">
        <is>
          <t>休日</t>
        </is>
      </c>
      <c r="C4271" s="10" t="inlineStr">
        <is>
          <t>本線</t>
        </is>
      </c>
      <c r="D4271" s="10" t="inlineStr">
        <is>
          <t>下り</t>
        </is>
      </c>
      <c r="E4271" t="inlineStr">
        <is>
          <t>0911</t>
        </is>
      </c>
      <c r="F4271" t="inlineStr">
        <is>
          <t>0112</t>
        </is>
      </c>
      <c r="G4271" s="10" t="inlineStr">
        <is>
          <t>蚕ノ社</t>
        </is>
      </c>
      <c r="H4271" s="10" t="inlineStr">
        <is>
          <t>発</t>
        </is>
      </c>
      <c r="J4271" s="10" t="inlineStr">
        <is>
          <t>営業</t>
        </is>
      </c>
      <c r="L4271" t="inlineStr">
        <is>
          <t>10:04:20</t>
        </is>
      </c>
      <c r="M4271" t="inlineStr">
        <is>
          <t>10:04:40</t>
        </is>
      </c>
    </row>
    <row r="4272" ht="15" customHeight="1" s="37">
      <c r="A4272" t="n">
        <v>7</v>
      </c>
      <c r="B4272" s="10" t="inlineStr">
        <is>
          <t>休日</t>
        </is>
      </c>
      <c r="C4272" s="10" t="inlineStr">
        <is>
          <t>本線</t>
        </is>
      </c>
      <c r="D4272" s="10" t="inlineStr">
        <is>
          <t>下り</t>
        </is>
      </c>
      <c r="E4272" t="inlineStr">
        <is>
          <t>0911</t>
        </is>
      </c>
      <c r="F4272" t="inlineStr">
        <is>
          <t>0112</t>
        </is>
      </c>
      <c r="G4272" s="10" t="inlineStr">
        <is>
          <t>太秦広隆寺</t>
        </is>
      </c>
      <c r="H4272" s="10" t="inlineStr">
        <is>
          <t>発</t>
        </is>
      </c>
      <c r="J4272" s="10" t="inlineStr">
        <is>
          <t>営業</t>
        </is>
      </c>
      <c r="L4272" t="inlineStr">
        <is>
          <t>10:06:00</t>
        </is>
      </c>
      <c r="M4272" t="inlineStr">
        <is>
          <t>10:06:20</t>
        </is>
      </c>
    </row>
    <row r="4273" ht="15" customHeight="1" s="37">
      <c r="A4273" t="n">
        <v>7</v>
      </c>
      <c r="B4273" s="10" t="inlineStr">
        <is>
          <t>休日</t>
        </is>
      </c>
      <c r="C4273" s="10" t="inlineStr">
        <is>
          <t>本線</t>
        </is>
      </c>
      <c r="D4273" s="10" t="inlineStr">
        <is>
          <t>下り</t>
        </is>
      </c>
      <c r="E4273" t="inlineStr">
        <is>
          <t>0911</t>
        </is>
      </c>
      <c r="F4273" t="inlineStr">
        <is>
          <t>0112</t>
        </is>
      </c>
      <c r="G4273" s="10" t="inlineStr">
        <is>
          <t>帷子ノ辻</t>
        </is>
      </c>
      <c r="H4273" s="10" t="inlineStr">
        <is>
          <t>発</t>
        </is>
      </c>
      <c r="J4273" s="10" t="inlineStr">
        <is>
          <t>営業</t>
        </is>
      </c>
      <c r="L4273" t="inlineStr">
        <is>
          <t>10:08:20</t>
        </is>
      </c>
      <c r="M4273" t="inlineStr">
        <is>
          <t>10:09:40</t>
        </is>
      </c>
    </row>
    <row r="4274" ht="15" customHeight="1" s="37">
      <c r="A4274" t="n">
        <v>7</v>
      </c>
      <c r="B4274" s="10" t="inlineStr">
        <is>
          <t>休日</t>
        </is>
      </c>
      <c r="C4274" s="10" t="inlineStr">
        <is>
          <t>本線</t>
        </is>
      </c>
      <c r="D4274" s="10" t="inlineStr">
        <is>
          <t>下り</t>
        </is>
      </c>
      <c r="E4274" t="inlineStr">
        <is>
          <t>0911</t>
        </is>
      </c>
      <c r="F4274" t="inlineStr">
        <is>
          <t>0112</t>
        </is>
      </c>
      <c r="G4274" s="10" t="inlineStr">
        <is>
          <t>有栖川</t>
        </is>
      </c>
      <c r="H4274" s="10" t="inlineStr">
        <is>
          <t>発</t>
        </is>
      </c>
      <c r="J4274" s="10" t="inlineStr">
        <is>
          <t>営業</t>
        </is>
      </c>
      <c r="L4274" t="inlineStr">
        <is>
          <t>10:10:50</t>
        </is>
      </c>
      <c r="M4274" t="inlineStr">
        <is>
          <t>10:11:15</t>
        </is>
      </c>
    </row>
    <row r="4275" ht="15" customHeight="1" s="37">
      <c r="A4275" t="n">
        <v>7</v>
      </c>
      <c r="B4275" s="10" t="inlineStr">
        <is>
          <t>休日</t>
        </is>
      </c>
      <c r="C4275" s="10" t="inlineStr">
        <is>
          <t>本線</t>
        </is>
      </c>
      <c r="D4275" s="10" t="inlineStr">
        <is>
          <t>下り</t>
        </is>
      </c>
      <c r="E4275" t="inlineStr">
        <is>
          <t>0911</t>
        </is>
      </c>
      <c r="F4275" t="inlineStr">
        <is>
          <t>0112</t>
        </is>
      </c>
      <c r="G4275" s="10" t="inlineStr">
        <is>
          <t>車折</t>
        </is>
      </c>
      <c r="H4275" s="10" t="inlineStr">
        <is>
          <t>発</t>
        </is>
      </c>
      <c r="J4275" s="10" t="inlineStr">
        <is>
          <t>営業</t>
        </is>
      </c>
      <c r="L4275" t="inlineStr">
        <is>
          <t>10:12:40</t>
        </is>
      </c>
      <c r="M4275" t="inlineStr">
        <is>
          <t>10:13:05</t>
        </is>
      </c>
    </row>
    <row r="4276" ht="15" customHeight="1" s="37">
      <c r="A4276" t="n">
        <v>7</v>
      </c>
      <c r="B4276" s="10" t="inlineStr">
        <is>
          <t>休日</t>
        </is>
      </c>
      <c r="C4276" s="10" t="inlineStr">
        <is>
          <t>本線</t>
        </is>
      </c>
      <c r="D4276" s="10" t="inlineStr">
        <is>
          <t>下り</t>
        </is>
      </c>
      <c r="E4276" t="inlineStr">
        <is>
          <t>0911</t>
        </is>
      </c>
      <c r="F4276" t="inlineStr">
        <is>
          <t>0112</t>
        </is>
      </c>
      <c r="G4276" s="10" t="inlineStr">
        <is>
          <t>鹿王院</t>
        </is>
      </c>
      <c r="H4276" s="10" t="inlineStr">
        <is>
          <t>発</t>
        </is>
      </c>
      <c r="J4276" s="10" t="inlineStr">
        <is>
          <t>営業</t>
        </is>
      </c>
      <c r="L4276" t="inlineStr">
        <is>
          <t>10:14:00</t>
        </is>
      </c>
      <c r="M4276" t="inlineStr">
        <is>
          <t>10:14:25</t>
        </is>
      </c>
    </row>
    <row r="4277" ht="15" customHeight="1" s="37">
      <c r="A4277" t="n">
        <v>7</v>
      </c>
      <c r="B4277" s="10" t="inlineStr">
        <is>
          <t>休日</t>
        </is>
      </c>
      <c r="C4277" s="10" t="inlineStr">
        <is>
          <t>本線</t>
        </is>
      </c>
      <c r="D4277" s="10" t="inlineStr">
        <is>
          <t>下り</t>
        </is>
      </c>
      <c r="E4277" t="inlineStr">
        <is>
          <t>0911</t>
        </is>
      </c>
      <c r="F4277" t="inlineStr">
        <is>
          <t>0112</t>
        </is>
      </c>
      <c r="G4277" s="10" t="inlineStr">
        <is>
          <t>嵯峨</t>
        </is>
      </c>
      <c r="H4277" s="10" t="inlineStr">
        <is>
          <t>発</t>
        </is>
      </c>
      <c r="J4277" s="10" t="inlineStr">
        <is>
          <t>営業</t>
        </is>
      </c>
      <c r="L4277" t="inlineStr">
        <is>
          <t>10:15:30</t>
        </is>
      </c>
      <c r="M4277" t="inlineStr">
        <is>
          <t>10:15:55</t>
        </is>
      </c>
    </row>
    <row r="4278" ht="15" customHeight="1" s="37">
      <c r="A4278" t="n">
        <v>7</v>
      </c>
      <c r="B4278" s="10" t="inlineStr">
        <is>
          <t>休日</t>
        </is>
      </c>
      <c r="C4278" s="10" t="inlineStr">
        <is>
          <t>本線</t>
        </is>
      </c>
      <c r="D4278" s="10" t="inlineStr">
        <is>
          <t>下り</t>
        </is>
      </c>
      <c r="E4278" t="inlineStr">
        <is>
          <t>0911</t>
        </is>
      </c>
      <c r="F4278" t="inlineStr">
        <is>
          <t>0112</t>
        </is>
      </c>
      <c r="G4278" s="10" t="inlineStr">
        <is>
          <t>嵐山</t>
        </is>
      </c>
      <c r="H4278" s="10" t="inlineStr">
        <is>
          <t>着</t>
        </is>
      </c>
      <c r="J4278" s="10" t="inlineStr">
        <is>
          <t>営業</t>
        </is>
      </c>
      <c r="L4278" t="inlineStr">
        <is>
          <t>10:17:00</t>
        </is>
      </c>
      <c r="Q4278" t="inlineStr">
        <is>
          <t>1</t>
        </is>
      </c>
    </row>
    <row r="4279" ht="15" customHeight="1" s="37">
      <c r="A4279" t="n">
        <v>7</v>
      </c>
      <c r="B4279" s="10" t="inlineStr">
        <is>
          <t>休日</t>
        </is>
      </c>
      <c r="C4279" s="10" t="inlineStr">
        <is>
          <t>本線</t>
        </is>
      </c>
      <c r="D4279" s="10" t="inlineStr">
        <is>
          <t>上り</t>
        </is>
      </c>
      <c r="E4279" t="inlineStr">
        <is>
          <t>1006</t>
        </is>
      </c>
      <c r="F4279" t="inlineStr">
        <is>
          <t>0211</t>
        </is>
      </c>
      <c r="G4279" s="10" t="inlineStr">
        <is>
          <t>嵐山</t>
        </is>
      </c>
      <c r="H4279" s="10" t="inlineStr">
        <is>
          <t>発</t>
        </is>
      </c>
      <c r="J4279" s="10" t="inlineStr">
        <is>
          <t>営業</t>
        </is>
      </c>
      <c r="M4279" t="inlineStr">
        <is>
          <t>10:23:00</t>
        </is>
      </c>
      <c r="Q4279" t="inlineStr">
        <is>
          <t>1</t>
        </is>
      </c>
    </row>
    <row r="4280" ht="15" customHeight="1" s="37">
      <c r="A4280" t="n">
        <v>7</v>
      </c>
      <c r="B4280" s="10" t="inlineStr">
        <is>
          <t>休日</t>
        </is>
      </c>
      <c r="C4280" s="10" t="inlineStr">
        <is>
          <t>本線</t>
        </is>
      </c>
      <c r="D4280" s="10" t="inlineStr">
        <is>
          <t>上り</t>
        </is>
      </c>
      <c r="E4280" t="inlineStr">
        <is>
          <t>1006</t>
        </is>
      </c>
      <c r="F4280" t="inlineStr">
        <is>
          <t>0211</t>
        </is>
      </c>
      <c r="G4280" s="10" t="inlineStr">
        <is>
          <t>嵯峨</t>
        </is>
      </c>
      <c r="H4280" s="10" t="inlineStr">
        <is>
          <t>発</t>
        </is>
      </c>
      <c r="J4280" s="10" t="inlineStr">
        <is>
          <t>営業</t>
        </is>
      </c>
      <c r="L4280" t="inlineStr">
        <is>
          <t>10:23:55</t>
        </is>
      </c>
      <c r="M4280" t="inlineStr">
        <is>
          <t>10:24:20</t>
        </is>
      </c>
    </row>
    <row r="4281" ht="15" customHeight="1" s="37">
      <c r="A4281" t="n">
        <v>7</v>
      </c>
      <c r="B4281" s="10" t="inlineStr">
        <is>
          <t>休日</t>
        </is>
      </c>
      <c r="C4281" s="10" t="inlineStr">
        <is>
          <t>本線</t>
        </is>
      </c>
      <c r="D4281" s="10" t="inlineStr">
        <is>
          <t>上り</t>
        </is>
      </c>
      <c r="E4281" t="inlineStr">
        <is>
          <t>1006</t>
        </is>
      </c>
      <c r="F4281" t="inlineStr">
        <is>
          <t>0211</t>
        </is>
      </c>
      <c r="G4281" s="10" t="inlineStr">
        <is>
          <t>鹿王院</t>
        </is>
      </c>
      <c r="H4281" s="10" t="inlineStr">
        <is>
          <t>発</t>
        </is>
      </c>
      <c r="J4281" s="10" t="inlineStr">
        <is>
          <t>営業</t>
        </is>
      </c>
      <c r="L4281" t="inlineStr">
        <is>
          <t>10:25:25</t>
        </is>
      </c>
      <c r="M4281" t="inlineStr">
        <is>
          <t>10:25:45</t>
        </is>
      </c>
    </row>
    <row r="4282" ht="15" customHeight="1" s="37">
      <c r="A4282" t="n">
        <v>7</v>
      </c>
      <c r="B4282" s="10" t="inlineStr">
        <is>
          <t>休日</t>
        </is>
      </c>
      <c r="C4282" s="10" t="inlineStr">
        <is>
          <t>本線</t>
        </is>
      </c>
      <c r="D4282" s="10" t="inlineStr">
        <is>
          <t>上り</t>
        </is>
      </c>
      <c r="E4282" t="inlineStr">
        <is>
          <t>1006</t>
        </is>
      </c>
      <c r="F4282" t="inlineStr">
        <is>
          <t>0211</t>
        </is>
      </c>
      <c r="G4282" s="10" t="inlineStr">
        <is>
          <t>車折</t>
        </is>
      </c>
      <c r="H4282" s="10" t="inlineStr">
        <is>
          <t>発</t>
        </is>
      </c>
      <c r="J4282" s="10" t="inlineStr">
        <is>
          <t>営業</t>
        </is>
      </c>
      <c r="L4282" t="inlineStr">
        <is>
          <t>10:26:40</t>
        </is>
      </c>
      <c r="M4282" t="inlineStr">
        <is>
          <t>10:27:10</t>
        </is>
      </c>
    </row>
    <row r="4283" ht="15" customHeight="1" s="37">
      <c r="A4283" t="n">
        <v>7</v>
      </c>
      <c r="B4283" s="10" t="inlineStr">
        <is>
          <t>休日</t>
        </is>
      </c>
      <c r="C4283" s="10" t="inlineStr">
        <is>
          <t>本線</t>
        </is>
      </c>
      <c r="D4283" s="10" t="inlineStr">
        <is>
          <t>上り</t>
        </is>
      </c>
      <c r="E4283" t="inlineStr">
        <is>
          <t>1006</t>
        </is>
      </c>
      <c r="F4283" t="inlineStr">
        <is>
          <t>0211</t>
        </is>
      </c>
      <c r="G4283" s="10" t="inlineStr">
        <is>
          <t>有栖川</t>
        </is>
      </c>
      <c r="H4283" s="10" t="inlineStr">
        <is>
          <t>発</t>
        </is>
      </c>
      <c r="J4283" s="10" t="inlineStr">
        <is>
          <t>営業</t>
        </is>
      </c>
      <c r="L4283" t="inlineStr">
        <is>
          <t>10:28:35</t>
        </is>
      </c>
      <c r="M4283" t="inlineStr">
        <is>
          <t>10:28:55</t>
        </is>
      </c>
    </row>
    <row r="4284" ht="15" customHeight="1" s="37">
      <c r="A4284" t="n">
        <v>7</v>
      </c>
      <c r="B4284" s="10" t="inlineStr">
        <is>
          <t>休日</t>
        </is>
      </c>
      <c r="C4284" s="10" t="inlineStr">
        <is>
          <t>本線</t>
        </is>
      </c>
      <c r="D4284" s="10" t="inlineStr">
        <is>
          <t>上り</t>
        </is>
      </c>
      <c r="E4284" t="inlineStr">
        <is>
          <t>1006</t>
        </is>
      </c>
      <c r="F4284" t="inlineStr">
        <is>
          <t>0211</t>
        </is>
      </c>
      <c r="G4284" s="10" t="inlineStr">
        <is>
          <t>帷子ノ辻</t>
        </is>
      </c>
      <c r="H4284" s="10" t="inlineStr">
        <is>
          <t>発</t>
        </is>
      </c>
      <c r="J4284" s="10" t="inlineStr">
        <is>
          <t>営業</t>
        </is>
      </c>
      <c r="L4284" t="inlineStr">
        <is>
          <t>10:30:10</t>
        </is>
      </c>
      <c r="M4284" t="inlineStr">
        <is>
          <t>10:31:15</t>
        </is>
      </c>
    </row>
    <row r="4285" ht="15" customHeight="1" s="37">
      <c r="A4285" t="n">
        <v>7</v>
      </c>
      <c r="B4285" s="10" t="inlineStr">
        <is>
          <t>休日</t>
        </is>
      </c>
      <c r="C4285" s="10" t="inlineStr">
        <is>
          <t>本線</t>
        </is>
      </c>
      <c r="D4285" s="10" t="inlineStr">
        <is>
          <t>上り</t>
        </is>
      </c>
      <c r="E4285" t="inlineStr">
        <is>
          <t>1006</t>
        </is>
      </c>
      <c r="F4285" t="inlineStr">
        <is>
          <t>0211</t>
        </is>
      </c>
      <c r="G4285" s="10" t="inlineStr">
        <is>
          <t>太秦広隆寺</t>
        </is>
      </c>
      <c r="H4285" s="10" t="inlineStr">
        <is>
          <t>発</t>
        </is>
      </c>
      <c r="J4285" s="10" t="inlineStr">
        <is>
          <t>営業</t>
        </is>
      </c>
      <c r="L4285" t="inlineStr">
        <is>
          <t>10:33:25</t>
        </is>
      </c>
      <c r="M4285" t="inlineStr">
        <is>
          <t>10:33:45</t>
        </is>
      </c>
    </row>
    <row r="4286" ht="15" customHeight="1" s="37">
      <c r="A4286" t="n">
        <v>7</v>
      </c>
      <c r="B4286" s="10" t="inlineStr">
        <is>
          <t>休日</t>
        </is>
      </c>
      <c r="C4286" s="10" t="inlineStr">
        <is>
          <t>本線</t>
        </is>
      </c>
      <c r="D4286" s="10" t="inlineStr">
        <is>
          <t>上り</t>
        </is>
      </c>
      <c r="E4286" t="inlineStr">
        <is>
          <t>1006</t>
        </is>
      </c>
      <c r="F4286" t="inlineStr">
        <is>
          <t>0211</t>
        </is>
      </c>
      <c r="G4286" s="10" t="inlineStr">
        <is>
          <t>蚕ノ社</t>
        </is>
      </c>
      <c r="H4286" s="10" t="inlineStr">
        <is>
          <t>発</t>
        </is>
      </c>
      <c r="J4286" s="10" t="inlineStr">
        <is>
          <t>営業</t>
        </is>
      </c>
      <c r="L4286" t="inlineStr">
        <is>
          <t>10:35:00</t>
        </is>
      </c>
      <c r="M4286" t="inlineStr">
        <is>
          <t>10:35:20</t>
        </is>
      </c>
    </row>
    <row r="4287" ht="15" customHeight="1" s="37">
      <c r="A4287" t="n">
        <v>7</v>
      </c>
      <c r="B4287" s="10" t="inlineStr">
        <is>
          <t>休日</t>
        </is>
      </c>
      <c r="C4287" s="10" t="inlineStr">
        <is>
          <t>本線</t>
        </is>
      </c>
      <c r="D4287" s="10" t="inlineStr">
        <is>
          <t>上り</t>
        </is>
      </c>
      <c r="E4287" t="inlineStr">
        <is>
          <t>1006</t>
        </is>
      </c>
      <c r="F4287" t="inlineStr">
        <is>
          <t>0211</t>
        </is>
      </c>
      <c r="G4287" s="10" t="inlineStr">
        <is>
          <t>天神川</t>
        </is>
      </c>
      <c r="H4287" s="10" t="inlineStr">
        <is>
          <t>発</t>
        </is>
      </c>
      <c r="J4287" s="10" t="inlineStr">
        <is>
          <t>営業</t>
        </is>
      </c>
      <c r="L4287" t="inlineStr">
        <is>
          <t>10:36:05</t>
        </is>
      </c>
      <c r="M4287" t="inlineStr">
        <is>
          <t>10:36:50</t>
        </is>
      </c>
    </row>
    <row r="4288" ht="15" customHeight="1" s="37">
      <c r="A4288" t="n">
        <v>7</v>
      </c>
      <c r="B4288" s="10" t="inlineStr">
        <is>
          <t>休日</t>
        </is>
      </c>
      <c r="C4288" s="10" t="inlineStr">
        <is>
          <t>本線</t>
        </is>
      </c>
      <c r="D4288" s="10" t="inlineStr">
        <is>
          <t>上り</t>
        </is>
      </c>
      <c r="E4288" t="inlineStr">
        <is>
          <t>1006</t>
        </is>
      </c>
      <c r="F4288" t="inlineStr">
        <is>
          <t>0211</t>
        </is>
      </c>
      <c r="G4288" s="10" t="inlineStr">
        <is>
          <t>山ノ内</t>
        </is>
      </c>
      <c r="H4288" s="10" t="inlineStr">
        <is>
          <t>発</t>
        </is>
      </c>
      <c r="J4288" s="10" t="inlineStr">
        <is>
          <t>営業</t>
        </is>
      </c>
      <c r="L4288" t="inlineStr">
        <is>
          <t>10:38:40</t>
        </is>
      </c>
      <c r="M4288" t="inlineStr">
        <is>
          <t>10:39:05</t>
        </is>
      </c>
    </row>
    <row r="4289" ht="15" customHeight="1" s="37">
      <c r="A4289" t="n">
        <v>7</v>
      </c>
      <c r="B4289" s="10" t="inlineStr">
        <is>
          <t>休日</t>
        </is>
      </c>
      <c r="C4289" s="10" t="inlineStr">
        <is>
          <t>本線</t>
        </is>
      </c>
      <c r="D4289" s="10" t="inlineStr">
        <is>
          <t>上り</t>
        </is>
      </c>
      <c r="E4289" t="inlineStr">
        <is>
          <t>1006</t>
        </is>
      </c>
      <c r="F4289" t="inlineStr">
        <is>
          <t>0211</t>
        </is>
      </c>
      <c r="G4289" s="10" t="inlineStr">
        <is>
          <t>西大路三条</t>
        </is>
      </c>
      <c r="H4289" s="10" t="inlineStr">
        <is>
          <t>発</t>
        </is>
      </c>
      <c r="J4289" s="10" t="inlineStr">
        <is>
          <t>営業</t>
        </is>
      </c>
      <c r="L4289" t="inlineStr">
        <is>
          <t>10:40:55</t>
        </is>
      </c>
      <c r="M4289" t="inlineStr">
        <is>
          <t>10:41:15</t>
        </is>
      </c>
    </row>
    <row r="4290" ht="15" customHeight="1" s="37">
      <c r="A4290" t="n">
        <v>7</v>
      </c>
      <c r="B4290" s="10" t="inlineStr">
        <is>
          <t>休日</t>
        </is>
      </c>
      <c r="C4290" s="10" t="inlineStr">
        <is>
          <t>本線</t>
        </is>
      </c>
      <c r="D4290" s="10" t="inlineStr">
        <is>
          <t>上り</t>
        </is>
      </c>
      <c r="E4290" t="inlineStr">
        <is>
          <t>1006</t>
        </is>
      </c>
      <c r="F4290" t="inlineStr">
        <is>
          <t>0211</t>
        </is>
      </c>
      <c r="G4290" s="10" t="inlineStr">
        <is>
          <t>西院</t>
        </is>
      </c>
      <c r="H4290" s="10" t="inlineStr">
        <is>
          <t>発</t>
        </is>
      </c>
      <c r="J4290" s="10" t="inlineStr">
        <is>
          <t>営業</t>
        </is>
      </c>
      <c r="L4290" t="inlineStr">
        <is>
          <t>10:43:10</t>
        </is>
      </c>
      <c r="M4290" t="inlineStr">
        <is>
          <t>10:44:05</t>
        </is>
      </c>
    </row>
    <row r="4291" ht="15" customHeight="1" s="37">
      <c r="A4291" t="n">
        <v>7</v>
      </c>
      <c r="B4291" s="10" t="inlineStr">
        <is>
          <t>休日</t>
        </is>
      </c>
      <c r="C4291" s="10" t="inlineStr">
        <is>
          <t>本線</t>
        </is>
      </c>
      <c r="D4291" s="10" t="inlineStr">
        <is>
          <t>上り</t>
        </is>
      </c>
      <c r="E4291" t="inlineStr">
        <is>
          <t>1006</t>
        </is>
      </c>
      <c r="F4291" t="inlineStr">
        <is>
          <t>0211</t>
        </is>
      </c>
      <c r="G4291" s="10" t="inlineStr">
        <is>
          <t>四条大宮</t>
        </is>
      </c>
      <c r="H4291" s="10" t="inlineStr">
        <is>
          <t>着</t>
        </is>
      </c>
      <c r="J4291" s="10" t="inlineStr">
        <is>
          <t>営業</t>
        </is>
      </c>
      <c r="L4291" t="inlineStr">
        <is>
          <t>10:47:00</t>
        </is>
      </c>
      <c r="Q4291" t="inlineStr">
        <is>
          <t>1</t>
        </is>
      </c>
    </row>
    <row r="4292" ht="15" customHeight="1" s="37">
      <c r="A4292" t="n">
        <v>7</v>
      </c>
      <c r="B4292" s="10" t="inlineStr">
        <is>
          <t>休日</t>
        </is>
      </c>
      <c r="C4292" s="10" t="inlineStr">
        <is>
          <t>本線</t>
        </is>
      </c>
      <c r="D4292" s="10" t="inlineStr">
        <is>
          <t>下り</t>
        </is>
      </c>
      <c r="E4292" t="inlineStr">
        <is>
          <t>1011</t>
        </is>
      </c>
      <c r="F4292" t="inlineStr">
        <is>
          <t>0112</t>
        </is>
      </c>
      <c r="G4292" s="10" t="inlineStr">
        <is>
          <t>四条大宮</t>
        </is>
      </c>
      <c r="H4292" s="10" t="inlineStr">
        <is>
          <t>発</t>
        </is>
      </c>
      <c r="J4292" s="10" t="inlineStr">
        <is>
          <t>営業</t>
        </is>
      </c>
      <c r="M4292" t="inlineStr">
        <is>
          <t>10:53:00</t>
        </is>
      </c>
      <c r="Q4292" t="inlineStr">
        <is>
          <t>1</t>
        </is>
      </c>
    </row>
    <row r="4293" ht="15" customHeight="1" s="37">
      <c r="A4293" t="n">
        <v>7</v>
      </c>
      <c r="B4293" s="10" t="inlineStr">
        <is>
          <t>休日</t>
        </is>
      </c>
      <c r="C4293" s="10" t="inlineStr">
        <is>
          <t>本線</t>
        </is>
      </c>
      <c r="D4293" s="10" t="inlineStr">
        <is>
          <t>下り</t>
        </is>
      </c>
      <c r="E4293" t="inlineStr">
        <is>
          <t>1011</t>
        </is>
      </c>
      <c r="F4293" t="inlineStr">
        <is>
          <t>0112</t>
        </is>
      </c>
      <c r="G4293" s="10" t="inlineStr">
        <is>
          <t>西院</t>
        </is>
      </c>
      <c r="H4293" s="10" t="inlineStr">
        <is>
          <t>発</t>
        </is>
      </c>
      <c r="J4293" s="10" t="inlineStr">
        <is>
          <t>営業</t>
        </is>
      </c>
      <c r="L4293" t="inlineStr">
        <is>
          <t>10:55:50</t>
        </is>
      </c>
      <c r="M4293" t="inlineStr">
        <is>
          <t>10:56:20</t>
        </is>
      </c>
    </row>
    <row r="4294" ht="15" customHeight="1" s="37">
      <c r="A4294" t="n">
        <v>7</v>
      </c>
      <c r="B4294" s="10" t="inlineStr">
        <is>
          <t>休日</t>
        </is>
      </c>
      <c r="C4294" s="10" t="inlineStr">
        <is>
          <t>本線</t>
        </is>
      </c>
      <c r="D4294" s="10" t="inlineStr">
        <is>
          <t>下り</t>
        </is>
      </c>
      <c r="E4294" t="inlineStr">
        <is>
          <t>1011</t>
        </is>
      </c>
      <c r="F4294" t="inlineStr">
        <is>
          <t>0112</t>
        </is>
      </c>
      <c r="G4294" s="10" t="inlineStr">
        <is>
          <t>西大路三条</t>
        </is>
      </c>
      <c r="H4294" s="10" t="inlineStr">
        <is>
          <t>発</t>
        </is>
      </c>
      <c r="J4294" s="10" t="inlineStr">
        <is>
          <t>営業</t>
        </is>
      </c>
      <c r="L4294" t="inlineStr">
        <is>
          <t>10:58:10</t>
        </is>
      </c>
      <c r="M4294" t="inlineStr">
        <is>
          <t>10:58:30</t>
        </is>
      </c>
    </row>
    <row r="4295" ht="15" customHeight="1" s="37">
      <c r="A4295" t="n">
        <v>7</v>
      </c>
      <c r="B4295" s="10" t="inlineStr">
        <is>
          <t>休日</t>
        </is>
      </c>
      <c r="C4295" s="10" t="inlineStr">
        <is>
          <t>本線</t>
        </is>
      </c>
      <c r="D4295" s="10" t="inlineStr">
        <is>
          <t>下り</t>
        </is>
      </c>
      <c r="E4295" t="inlineStr">
        <is>
          <t>1011</t>
        </is>
      </c>
      <c r="F4295" t="inlineStr">
        <is>
          <t>0112</t>
        </is>
      </c>
      <c r="G4295" s="10" t="inlineStr">
        <is>
          <t>山ノ内</t>
        </is>
      </c>
      <c r="H4295" s="10" t="inlineStr">
        <is>
          <t>発</t>
        </is>
      </c>
      <c r="J4295" s="10" t="inlineStr">
        <is>
          <t>営業</t>
        </is>
      </c>
      <c r="L4295" t="inlineStr">
        <is>
          <t>11:00:25</t>
        </is>
      </c>
      <c r="M4295" t="inlineStr">
        <is>
          <t>11:00:50</t>
        </is>
      </c>
    </row>
    <row r="4296" ht="15" customHeight="1" s="37">
      <c r="A4296" t="n">
        <v>7</v>
      </c>
      <c r="B4296" s="10" t="inlineStr">
        <is>
          <t>休日</t>
        </is>
      </c>
      <c r="C4296" s="10" t="inlineStr">
        <is>
          <t>本線</t>
        </is>
      </c>
      <c r="D4296" s="10" t="inlineStr">
        <is>
          <t>下り</t>
        </is>
      </c>
      <c r="E4296" t="inlineStr">
        <is>
          <t>1011</t>
        </is>
      </c>
      <c r="F4296" t="inlineStr">
        <is>
          <t>0112</t>
        </is>
      </c>
      <c r="G4296" s="10" t="inlineStr">
        <is>
          <t>天神川</t>
        </is>
      </c>
      <c r="H4296" s="10" t="inlineStr">
        <is>
          <t>発</t>
        </is>
      </c>
      <c r="J4296" s="10" t="inlineStr">
        <is>
          <t>営業</t>
        </is>
      </c>
      <c r="L4296" t="inlineStr">
        <is>
          <t>11:02:50</t>
        </is>
      </c>
      <c r="M4296" t="inlineStr">
        <is>
          <t>11:03:30</t>
        </is>
      </c>
    </row>
    <row r="4297" ht="15" customHeight="1" s="37">
      <c r="A4297" t="n">
        <v>7</v>
      </c>
      <c r="B4297" s="10" t="inlineStr">
        <is>
          <t>休日</t>
        </is>
      </c>
      <c r="C4297" s="10" t="inlineStr">
        <is>
          <t>本線</t>
        </is>
      </c>
      <c r="D4297" s="10" t="inlineStr">
        <is>
          <t>下り</t>
        </is>
      </c>
      <c r="E4297" t="inlineStr">
        <is>
          <t>1011</t>
        </is>
      </c>
      <c r="F4297" t="inlineStr">
        <is>
          <t>0112</t>
        </is>
      </c>
      <c r="G4297" s="10" t="inlineStr">
        <is>
          <t>蚕ノ社</t>
        </is>
      </c>
      <c r="H4297" s="10" t="inlineStr">
        <is>
          <t>発</t>
        </is>
      </c>
      <c r="J4297" s="10" t="inlineStr">
        <is>
          <t>営業</t>
        </is>
      </c>
      <c r="L4297" t="inlineStr">
        <is>
          <t>11:04:20</t>
        </is>
      </c>
      <c r="M4297" t="inlineStr">
        <is>
          <t>11:04:40</t>
        </is>
      </c>
    </row>
    <row r="4298" ht="15" customHeight="1" s="37">
      <c r="A4298" t="n">
        <v>7</v>
      </c>
      <c r="B4298" s="10" t="inlineStr">
        <is>
          <t>休日</t>
        </is>
      </c>
      <c r="C4298" s="10" t="inlineStr">
        <is>
          <t>本線</t>
        </is>
      </c>
      <c r="D4298" s="10" t="inlineStr">
        <is>
          <t>下り</t>
        </is>
      </c>
      <c r="E4298" t="inlineStr">
        <is>
          <t>1011</t>
        </is>
      </c>
      <c r="F4298" t="inlineStr">
        <is>
          <t>0112</t>
        </is>
      </c>
      <c r="G4298" s="10" t="inlineStr">
        <is>
          <t>太秦広隆寺</t>
        </is>
      </c>
      <c r="H4298" s="10" t="inlineStr">
        <is>
          <t>発</t>
        </is>
      </c>
      <c r="J4298" s="10" t="inlineStr">
        <is>
          <t>営業</t>
        </is>
      </c>
      <c r="L4298" t="inlineStr">
        <is>
          <t>11:06:00</t>
        </is>
      </c>
      <c r="M4298" t="inlineStr">
        <is>
          <t>11:06:20</t>
        </is>
      </c>
    </row>
    <row r="4299" ht="15" customHeight="1" s="37">
      <c r="A4299" t="n">
        <v>7</v>
      </c>
      <c r="B4299" s="10" t="inlineStr">
        <is>
          <t>休日</t>
        </is>
      </c>
      <c r="C4299" s="10" t="inlineStr">
        <is>
          <t>本線</t>
        </is>
      </c>
      <c r="D4299" s="10" t="inlineStr">
        <is>
          <t>下り</t>
        </is>
      </c>
      <c r="E4299" t="inlineStr">
        <is>
          <t>1011</t>
        </is>
      </c>
      <c r="F4299" t="inlineStr">
        <is>
          <t>0112</t>
        </is>
      </c>
      <c r="G4299" s="10" t="inlineStr">
        <is>
          <t>帷子ノ辻</t>
        </is>
      </c>
      <c r="H4299" s="10" t="inlineStr">
        <is>
          <t>発</t>
        </is>
      </c>
      <c r="J4299" s="10" t="inlineStr">
        <is>
          <t>営業</t>
        </is>
      </c>
      <c r="L4299" t="inlineStr">
        <is>
          <t>11:08:20</t>
        </is>
      </c>
      <c r="M4299" t="inlineStr">
        <is>
          <t>11:09:40</t>
        </is>
      </c>
    </row>
    <row r="4300" ht="15" customHeight="1" s="37">
      <c r="A4300" t="n">
        <v>7</v>
      </c>
      <c r="B4300" s="10" t="inlineStr">
        <is>
          <t>休日</t>
        </is>
      </c>
      <c r="C4300" s="10" t="inlineStr">
        <is>
          <t>本線</t>
        </is>
      </c>
      <c r="D4300" s="10" t="inlineStr">
        <is>
          <t>下り</t>
        </is>
      </c>
      <c r="E4300" t="inlineStr">
        <is>
          <t>1011</t>
        </is>
      </c>
      <c r="F4300" t="inlineStr">
        <is>
          <t>0112</t>
        </is>
      </c>
      <c r="G4300" s="10" t="inlineStr">
        <is>
          <t>有栖川</t>
        </is>
      </c>
      <c r="H4300" s="10" t="inlineStr">
        <is>
          <t>発</t>
        </is>
      </c>
      <c r="J4300" s="10" t="inlineStr">
        <is>
          <t>営業</t>
        </is>
      </c>
      <c r="L4300" t="inlineStr">
        <is>
          <t>11:10:50</t>
        </is>
      </c>
      <c r="M4300" t="inlineStr">
        <is>
          <t>11:11:15</t>
        </is>
      </c>
    </row>
    <row r="4301" ht="15" customHeight="1" s="37">
      <c r="A4301" t="n">
        <v>7</v>
      </c>
      <c r="B4301" s="10" t="inlineStr">
        <is>
          <t>休日</t>
        </is>
      </c>
      <c r="C4301" s="10" t="inlineStr">
        <is>
          <t>本線</t>
        </is>
      </c>
      <c r="D4301" s="10" t="inlineStr">
        <is>
          <t>下り</t>
        </is>
      </c>
      <c r="E4301" t="inlineStr">
        <is>
          <t>1011</t>
        </is>
      </c>
      <c r="F4301" t="inlineStr">
        <is>
          <t>0112</t>
        </is>
      </c>
      <c r="G4301" s="10" t="inlineStr">
        <is>
          <t>車折</t>
        </is>
      </c>
      <c r="H4301" s="10" t="inlineStr">
        <is>
          <t>発</t>
        </is>
      </c>
      <c r="J4301" s="10" t="inlineStr">
        <is>
          <t>営業</t>
        </is>
      </c>
      <c r="L4301" t="inlineStr">
        <is>
          <t>11:12:40</t>
        </is>
      </c>
      <c r="M4301" t="inlineStr">
        <is>
          <t>11:13:05</t>
        </is>
      </c>
    </row>
    <row r="4302" ht="15" customHeight="1" s="37">
      <c r="A4302" t="n">
        <v>7</v>
      </c>
      <c r="B4302" s="10" t="inlineStr">
        <is>
          <t>休日</t>
        </is>
      </c>
      <c r="C4302" s="10" t="inlineStr">
        <is>
          <t>本線</t>
        </is>
      </c>
      <c r="D4302" s="10" t="inlineStr">
        <is>
          <t>下り</t>
        </is>
      </c>
      <c r="E4302" t="inlineStr">
        <is>
          <t>1011</t>
        </is>
      </c>
      <c r="F4302" t="inlineStr">
        <is>
          <t>0112</t>
        </is>
      </c>
      <c r="G4302" s="10" t="inlineStr">
        <is>
          <t>鹿王院</t>
        </is>
      </c>
      <c r="H4302" s="10" t="inlineStr">
        <is>
          <t>発</t>
        </is>
      </c>
      <c r="J4302" s="10" t="inlineStr">
        <is>
          <t>営業</t>
        </is>
      </c>
      <c r="L4302" t="inlineStr">
        <is>
          <t>11:14:00</t>
        </is>
      </c>
      <c r="M4302" t="inlineStr">
        <is>
          <t>11:14:25</t>
        </is>
      </c>
    </row>
    <row r="4303" ht="15" customHeight="1" s="37">
      <c r="A4303" t="n">
        <v>7</v>
      </c>
      <c r="B4303" s="10" t="inlineStr">
        <is>
          <t>休日</t>
        </is>
      </c>
      <c r="C4303" s="10" t="inlineStr">
        <is>
          <t>本線</t>
        </is>
      </c>
      <c r="D4303" s="10" t="inlineStr">
        <is>
          <t>下り</t>
        </is>
      </c>
      <c r="E4303" t="inlineStr">
        <is>
          <t>1011</t>
        </is>
      </c>
      <c r="F4303" t="inlineStr">
        <is>
          <t>0112</t>
        </is>
      </c>
      <c r="G4303" s="10" t="inlineStr">
        <is>
          <t>嵯峨</t>
        </is>
      </c>
      <c r="H4303" s="10" t="inlineStr">
        <is>
          <t>発</t>
        </is>
      </c>
      <c r="J4303" s="10" t="inlineStr">
        <is>
          <t>営業</t>
        </is>
      </c>
      <c r="L4303" t="inlineStr">
        <is>
          <t>11:15:30</t>
        </is>
      </c>
      <c r="M4303" t="inlineStr">
        <is>
          <t>11:15:55</t>
        </is>
      </c>
    </row>
    <row r="4304" ht="15" customHeight="1" s="37">
      <c r="A4304" t="n">
        <v>7</v>
      </c>
      <c r="B4304" s="10" t="inlineStr">
        <is>
          <t>休日</t>
        </is>
      </c>
      <c r="C4304" s="10" t="inlineStr">
        <is>
          <t>本線</t>
        </is>
      </c>
      <c r="D4304" s="10" t="inlineStr">
        <is>
          <t>下り</t>
        </is>
      </c>
      <c r="E4304" t="inlineStr">
        <is>
          <t>1011</t>
        </is>
      </c>
      <c r="F4304" t="inlineStr">
        <is>
          <t>0112</t>
        </is>
      </c>
      <c r="G4304" s="10" t="inlineStr">
        <is>
          <t>嵐山</t>
        </is>
      </c>
      <c r="H4304" s="10" t="inlineStr">
        <is>
          <t>着</t>
        </is>
      </c>
      <c r="J4304" s="10" t="inlineStr">
        <is>
          <t>営業</t>
        </is>
      </c>
      <c r="L4304" t="inlineStr">
        <is>
          <t>11:17:00</t>
        </is>
      </c>
      <c r="Q4304" t="inlineStr">
        <is>
          <t>1</t>
        </is>
      </c>
    </row>
    <row r="4305" ht="15" customHeight="1" s="37">
      <c r="A4305" t="n">
        <v>7</v>
      </c>
      <c r="B4305" s="10" t="inlineStr">
        <is>
          <t>休日</t>
        </is>
      </c>
      <c r="C4305" s="10" t="inlineStr">
        <is>
          <t>本線</t>
        </is>
      </c>
      <c r="D4305" s="10" t="inlineStr">
        <is>
          <t>上り</t>
        </is>
      </c>
      <c r="E4305" t="inlineStr">
        <is>
          <t>1106</t>
        </is>
      </c>
      <c r="F4305" t="inlineStr">
        <is>
          <t>0211</t>
        </is>
      </c>
      <c r="G4305" s="10" t="inlineStr">
        <is>
          <t>嵐山</t>
        </is>
      </c>
      <c r="H4305" s="10" t="inlineStr">
        <is>
          <t>発</t>
        </is>
      </c>
      <c r="J4305" s="10" t="inlineStr">
        <is>
          <t>営業</t>
        </is>
      </c>
      <c r="M4305" t="inlineStr">
        <is>
          <t>11:23:00</t>
        </is>
      </c>
      <c r="Q4305" t="inlineStr">
        <is>
          <t>1</t>
        </is>
      </c>
    </row>
    <row r="4306" ht="15" customHeight="1" s="37">
      <c r="A4306" t="n">
        <v>7</v>
      </c>
      <c r="B4306" s="10" t="inlineStr">
        <is>
          <t>休日</t>
        </is>
      </c>
      <c r="C4306" s="10" t="inlineStr">
        <is>
          <t>本線</t>
        </is>
      </c>
      <c r="D4306" s="10" t="inlineStr">
        <is>
          <t>上り</t>
        </is>
      </c>
      <c r="E4306" t="inlineStr">
        <is>
          <t>1106</t>
        </is>
      </c>
      <c r="F4306" t="inlineStr">
        <is>
          <t>0211</t>
        </is>
      </c>
      <c r="G4306" s="10" t="inlineStr">
        <is>
          <t>嵯峨</t>
        </is>
      </c>
      <c r="H4306" s="10" t="inlineStr">
        <is>
          <t>発</t>
        </is>
      </c>
      <c r="J4306" s="10" t="inlineStr">
        <is>
          <t>営業</t>
        </is>
      </c>
      <c r="L4306" t="inlineStr">
        <is>
          <t>11:23:55</t>
        </is>
      </c>
      <c r="M4306" t="inlineStr">
        <is>
          <t>11:24:20</t>
        </is>
      </c>
    </row>
    <row r="4307" ht="15" customHeight="1" s="37">
      <c r="A4307" t="n">
        <v>7</v>
      </c>
      <c r="B4307" s="10" t="inlineStr">
        <is>
          <t>休日</t>
        </is>
      </c>
      <c r="C4307" s="10" t="inlineStr">
        <is>
          <t>本線</t>
        </is>
      </c>
      <c r="D4307" s="10" t="inlineStr">
        <is>
          <t>上り</t>
        </is>
      </c>
      <c r="E4307" t="inlineStr">
        <is>
          <t>1106</t>
        </is>
      </c>
      <c r="F4307" t="inlineStr">
        <is>
          <t>0211</t>
        </is>
      </c>
      <c r="G4307" s="10" t="inlineStr">
        <is>
          <t>鹿王院</t>
        </is>
      </c>
      <c r="H4307" s="10" t="inlineStr">
        <is>
          <t>発</t>
        </is>
      </c>
      <c r="J4307" s="10" t="inlineStr">
        <is>
          <t>営業</t>
        </is>
      </c>
      <c r="L4307" t="inlineStr">
        <is>
          <t>11:25:25</t>
        </is>
      </c>
      <c r="M4307" t="inlineStr">
        <is>
          <t>11:25:45</t>
        </is>
      </c>
    </row>
    <row r="4308" ht="15" customHeight="1" s="37">
      <c r="A4308" t="n">
        <v>7</v>
      </c>
      <c r="B4308" s="10" t="inlineStr">
        <is>
          <t>休日</t>
        </is>
      </c>
      <c r="C4308" s="10" t="inlineStr">
        <is>
          <t>本線</t>
        </is>
      </c>
      <c r="D4308" s="10" t="inlineStr">
        <is>
          <t>上り</t>
        </is>
      </c>
      <c r="E4308" t="inlineStr">
        <is>
          <t>1106</t>
        </is>
      </c>
      <c r="F4308" t="inlineStr">
        <is>
          <t>0211</t>
        </is>
      </c>
      <c r="G4308" s="10" t="inlineStr">
        <is>
          <t>車折</t>
        </is>
      </c>
      <c r="H4308" s="10" t="inlineStr">
        <is>
          <t>発</t>
        </is>
      </c>
      <c r="J4308" s="10" t="inlineStr">
        <is>
          <t>営業</t>
        </is>
      </c>
      <c r="L4308" t="inlineStr">
        <is>
          <t>11:26:40</t>
        </is>
      </c>
      <c r="M4308" t="inlineStr">
        <is>
          <t>11:27:10</t>
        </is>
      </c>
    </row>
    <row r="4309" ht="15" customHeight="1" s="37">
      <c r="A4309" t="n">
        <v>7</v>
      </c>
      <c r="B4309" s="10" t="inlineStr">
        <is>
          <t>休日</t>
        </is>
      </c>
      <c r="C4309" s="10" t="inlineStr">
        <is>
          <t>本線</t>
        </is>
      </c>
      <c r="D4309" s="10" t="inlineStr">
        <is>
          <t>上り</t>
        </is>
      </c>
      <c r="E4309" t="inlineStr">
        <is>
          <t>1106</t>
        </is>
      </c>
      <c r="F4309" t="inlineStr">
        <is>
          <t>0211</t>
        </is>
      </c>
      <c r="G4309" s="10" t="inlineStr">
        <is>
          <t>有栖川</t>
        </is>
      </c>
      <c r="H4309" s="10" t="inlineStr">
        <is>
          <t>発</t>
        </is>
      </c>
      <c r="J4309" s="10" t="inlineStr">
        <is>
          <t>営業</t>
        </is>
      </c>
      <c r="L4309" t="inlineStr">
        <is>
          <t>11:28:35</t>
        </is>
      </c>
      <c r="M4309" t="inlineStr">
        <is>
          <t>11:28:55</t>
        </is>
      </c>
    </row>
    <row r="4310" ht="15" customHeight="1" s="37">
      <c r="A4310" t="n">
        <v>7</v>
      </c>
      <c r="B4310" s="10" t="inlineStr">
        <is>
          <t>休日</t>
        </is>
      </c>
      <c r="C4310" s="10" t="inlineStr">
        <is>
          <t>本線</t>
        </is>
      </c>
      <c r="D4310" s="10" t="inlineStr">
        <is>
          <t>上り</t>
        </is>
      </c>
      <c r="E4310" t="inlineStr">
        <is>
          <t>1106</t>
        </is>
      </c>
      <c r="F4310" t="inlineStr">
        <is>
          <t>0211</t>
        </is>
      </c>
      <c r="G4310" s="10" t="inlineStr">
        <is>
          <t>帷子ノ辻</t>
        </is>
      </c>
      <c r="H4310" s="10" t="inlineStr">
        <is>
          <t>発</t>
        </is>
      </c>
      <c r="J4310" s="10" t="inlineStr">
        <is>
          <t>営業</t>
        </is>
      </c>
      <c r="L4310" t="inlineStr">
        <is>
          <t>11:30:10</t>
        </is>
      </c>
      <c r="M4310" t="inlineStr">
        <is>
          <t>11:31:15</t>
        </is>
      </c>
    </row>
    <row r="4311" ht="15" customHeight="1" s="37">
      <c r="A4311" t="n">
        <v>7</v>
      </c>
      <c r="B4311" s="10" t="inlineStr">
        <is>
          <t>休日</t>
        </is>
      </c>
      <c r="C4311" s="10" t="inlineStr">
        <is>
          <t>本線</t>
        </is>
      </c>
      <c r="D4311" s="10" t="inlineStr">
        <is>
          <t>上り</t>
        </is>
      </c>
      <c r="E4311" t="inlineStr">
        <is>
          <t>1106</t>
        </is>
      </c>
      <c r="F4311" t="inlineStr">
        <is>
          <t>0211</t>
        </is>
      </c>
      <c r="G4311" s="10" t="inlineStr">
        <is>
          <t>太秦広隆寺</t>
        </is>
      </c>
      <c r="H4311" s="10" t="inlineStr">
        <is>
          <t>発</t>
        </is>
      </c>
      <c r="J4311" s="10" t="inlineStr">
        <is>
          <t>営業</t>
        </is>
      </c>
      <c r="L4311" t="inlineStr">
        <is>
          <t>11:33:25</t>
        </is>
      </c>
      <c r="M4311" t="inlineStr">
        <is>
          <t>11:33:45</t>
        </is>
      </c>
    </row>
    <row r="4312" ht="15" customHeight="1" s="37">
      <c r="A4312" t="n">
        <v>7</v>
      </c>
      <c r="B4312" s="10" t="inlineStr">
        <is>
          <t>休日</t>
        </is>
      </c>
      <c r="C4312" s="10" t="inlineStr">
        <is>
          <t>本線</t>
        </is>
      </c>
      <c r="D4312" s="10" t="inlineStr">
        <is>
          <t>上り</t>
        </is>
      </c>
      <c r="E4312" t="inlineStr">
        <is>
          <t>1106</t>
        </is>
      </c>
      <c r="F4312" t="inlineStr">
        <is>
          <t>0211</t>
        </is>
      </c>
      <c r="G4312" s="10" t="inlineStr">
        <is>
          <t>蚕ノ社</t>
        </is>
      </c>
      <c r="H4312" s="10" t="inlineStr">
        <is>
          <t>発</t>
        </is>
      </c>
      <c r="J4312" s="10" t="inlineStr">
        <is>
          <t>営業</t>
        </is>
      </c>
      <c r="L4312" t="inlineStr">
        <is>
          <t>11:35:00</t>
        </is>
      </c>
      <c r="M4312" t="inlineStr">
        <is>
          <t>11:35:20</t>
        </is>
      </c>
    </row>
    <row r="4313" ht="15" customHeight="1" s="37">
      <c r="A4313" t="n">
        <v>7</v>
      </c>
      <c r="B4313" s="10" t="inlineStr">
        <is>
          <t>休日</t>
        </is>
      </c>
      <c r="C4313" s="10" t="inlineStr">
        <is>
          <t>本線</t>
        </is>
      </c>
      <c r="D4313" s="10" t="inlineStr">
        <is>
          <t>上り</t>
        </is>
      </c>
      <c r="E4313" t="inlineStr">
        <is>
          <t>1106</t>
        </is>
      </c>
      <c r="F4313" t="inlineStr">
        <is>
          <t>0211</t>
        </is>
      </c>
      <c r="G4313" s="10" t="inlineStr">
        <is>
          <t>天神川</t>
        </is>
      </c>
      <c r="H4313" s="10" t="inlineStr">
        <is>
          <t>発</t>
        </is>
      </c>
      <c r="J4313" s="10" t="inlineStr">
        <is>
          <t>営業</t>
        </is>
      </c>
      <c r="L4313" t="inlineStr">
        <is>
          <t>11:36:05</t>
        </is>
      </c>
      <c r="M4313" t="inlineStr">
        <is>
          <t>11:36:50</t>
        </is>
      </c>
    </row>
    <row r="4314" ht="15" customHeight="1" s="37">
      <c r="A4314" t="n">
        <v>7</v>
      </c>
      <c r="B4314" s="10" t="inlineStr">
        <is>
          <t>休日</t>
        </is>
      </c>
      <c r="C4314" s="10" t="inlineStr">
        <is>
          <t>本線</t>
        </is>
      </c>
      <c r="D4314" s="10" t="inlineStr">
        <is>
          <t>上り</t>
        </is>
      </c>
      <c r="E4314" t="inlineStr">
        <is>
          <t>1106</t>
        </is>
      </c>
      <c r="F4314" t="inlineStr">
        <is>
          <t>0211</t>
        </is>
      </c>
      <c r="G4314" s="10" t="inlineStr">
        <is>
          <t>山ノ内</t>
        </is>
      </c>
      <c r="H4314" s="10" t="inlineStr">
        <is>
          <t>発</t>
        </is>
      </c>
      <c r="J4314" s="10" t="inlineStr">
        <is>
          <t>営業</t>
        </is>
      </c>
      <c r="L4314" t="inlineStr">
        <is>
          <t>11:38:40</t>
        </is>
      </c>
      <c r="M4314" t="inlineStr">
        <is>
          <t>11:39:05</t>
        </is>
      </c>
    </row>
    <row r="4315" ht="15" customHeight="1" s="37">
      <c r="A4315" t="n">
        <v>7</v>
      </c>
      <c r="B4315" s="10" t="inlineStr">
        <is>
          <t>休日</t>
        </is>
      </c>
      <c r="C4315" s="10" t="inlineStr">
        <is>
          <t>本線</t>
        </is>
      </c>
      <c r="D4315" s="10" t="inlineStr">
        <is>
          <t>上り</t>
        </is>
      </c>
      <c r="E4315" t="inlineStr">
        <is>
          <t>1106</t>
        </is>
      </c>
      <c r="F4315" t="inlineStr">
        <is>
          <t>0211</t>
        </is>
      </c>
      <c r="G4315" s="10" t="inlineStr">
        <is>
          <t>西大路三条</t>
        </is>
      </c>
      <c r="H4315" s="10" t="inlineStr">
        <is>
          <t>発</t>
        </is>
      </c>
      <c r="J4315" s="10" t="inlineStr">
        <is>
          <t>営業</t>
        </is>
      </c>
      <c r="L4315" t="inlineStr">
        <is>
          <t>11:40:55</t>
        </is>
      </c>
      <c r="M4315" t="inlineStr">
        <is>
          <t>11:41:15</t>
        </is>
      </c>
    </row>
    <row r="4316" ht="15" customHeight="1" s="37">
      <c r="A4316" t="n">
        <v>7</v>
      </c>
      <c r="B4316" s="10" t="inlineStr">
        <is>
          <t>休日</t>
        </is>
      </c>
      <c r="C4316" s="10" t="inlineStr">
        <is>
          <t>本線</t>
        </is>
      </c>
      <c r="D4316" s="10" t="inlineStr">
        <is>
          <t>上り</t>
        </is>
      </c>
      <c r="E4316" t="inlineStr">
        <is>
          <t>1106</t>
        </is>
      </c>
      <c r="F4316" t="inlineStr">
        <is>
          <t>0211</t>
        </is>
      </c>
      <c r="G4316" s="10" t="inlineStr">
        <is>
          <t>西院</t>
        </is>
      </c>
      <c r="H4316" s="10" t="inlineStr">
        <is>
          <t>発</t>
        </is>
      </c>
      <c r="J4316" s="10" t="inlineStr">
        <is>
          <t>営業</t>
        </is>
      </c>
      <c r="L4316" t="inlineStr">
        <is>
          <t>11:43:10</t>
        </is>
      </c>
      <c r="M4316" t="inlineStr">
        <is>
          <t>11:44:05</t>
        </is>
      </c>
    </row>
    <row r="4317" ht="15" customHeight="1" s="37">
      <c r="A4317" t="n">
        <v>7</v>
      </c>
      <c r="B4317" s="10" t="inlineStr">
        <is>
          <t>休日</t>
        </is>
      </c>
      <c r="C4317" s="10" t="inlineStr">
        <is>
          <t>本線</t>
        </is>
      </c>
      <c r="D4317" s="10" t="inlineStr">
        <is>
          <t>上り</t>
        </is>
      </c>
      <c r="E4317" t="inlineStr">
        <is>
          <t>1106</t>
        </is>
      </c>
      <c r="F4317" t="inlineStr">
        <is>
          <t>0211</t>
        </is>
      </c>
      <c r="G4317" s="10" t="inlineStr">
        <is>
          <t>四条大宮</t>
        </is>
      </c>
      <c r="H4317" s="10" t="inlineStr">
        <is>
          <t>着</t>
        </is>
      </c>
      <c r="J4317" s="10" t="inlineStr">
        <is>
          <t>営業</t>
        </is>
      </c>
      <c r="L4317" t="inlineStr">
        <is>
          <t>11:47:00</t>
        </is>
      </c>
      <c r="Q4317" t="inlineStr">
        <is>
          <t>1</t>
        </is>
      </c>
    </row>
    <row r="4318" ht="15" customHeight="1" s="37">
      <c r="A4318" t="n">
        <v>7</v>
      </c>
      <c r="B4318" s="10" t="inlineStr">
        <is>
          <t>休日</t>
        </is>
      </c>
      <c r="C4318" s="10" t="inlineStr">
        <is>
          <t>本線</t>
        </is>
      </c>
      <c r="D4318" s="10" t="inlineStr">
        <is>
          <t>下り</t>
        </is>
      </c>
      <c r="E4318" t="inlineStr">
        <is>
          <t>1111</t>
        </is>
      </c>
      <c r="F4318" t="inlineStr">
        <is>
          <t>0112</t>
        </is>
      </c>
      <c r="G4318" s="10" t="inlineStr">
        <is>
          <t>四条大宮</t>
        </is>
      </c>
      <c r="H4318" s="10" t="inlineStr">
        <is>
          <t>発</t>
        </is>
      </c>
      <c r="J4318" s="10" t="inlineStr">
        <is>
          <t>営業</t>
        </is>
      </c>
      <c r="M4318" t="inlineStr">
        <is>
          <t>11:53:00</t>
        </is>
      </c>
      <c r="Q4318" t="inlineStr">
        <is>
          <t>1</t>
        </is>
      </c>
    </row>
    <row r="4319" ht="15" customHeight="1" s="37">
      <c r="A4319" t="n">
        <v>7</v>
      </c>
      <c r="B4319" s="10" t="inlineStr">
        <is>
          <t>休日</t>
        </is>
      </c>
      <c r="C4319" s="10" t="inlineStr">
        <is>
          <t>本線</t>
        </is>
      </c>
      <c r="D4319" s="10" t="inlineStr">
        <is>
          <t>下り</t>
        </is>
      </c>
      <c r="E4319" t="inlineStr">
        <is>
          <t>1111</t>
        </is>
      </c>
      <c r="F4319" t="inlineStr">
        <is>
          <t>0112</t>
        </is>
      </c>
      <c r="G4319" s="10" t="inlineStr">
        <is>
          <t>西院</t>
        </is>
      </c>
      <c r="H4319" s="10" t="inlineStr">
        <is>
          <t>発</t>
        </is>
      </c>
      <c r="J4319" s="10" t="inlineStr">
        <is>
          <t>営業</t>
        </is>
      </c>
      <c r="L4319" t="inlineStr">
        <is>
          <t>11:55:50</t>
        </is>
      </c>
      <c r="M4319" t="inlineStr">
        <is>
          <t>11:56:20</t>
        </is>
      </c>
    </row>
    <row r="4320" ht="15" customHeight="1" s="37">
      <c r="A4320" t="n">
        <v>7</v>
      </c>
      <c r="B4320" s="10" t="inlineStr">
        <is>
          <t>休日</t>
        </is>
      </c>
      <c r="C4320" s="10" t="inlineStr">
        <is>
          <t>本線</t>
        </is>
      </c>
      <c r="D4320" s="10" t="inlineStr">
        <is>
          <t>下り</t>
        </is>
      </c>
      <c r="E4320" t="inlineStr">
        <is>
          <t>1111</t>
        </is>
      </c>
      <c r="F4320" t="inlineStr">
        <is>
          <t>0112</t>
        </is>
      </c>
      <c r="G4320" s="10" t="inlineStr">
        <is>
          <t>西大路三条</t>
        </is>
      </c>
      <c r="H4320" s="10" t="inlineStr">
        <is>
          <t>発</t>
        </is>
      </c>
      <c r="J4320" s="10" t="inlineStr">
        <is>
          <t>営業</t>
        </is>
      </c>
      <c r="L4320" t="inlineStr">
        <is>
          <t>11:58:10</t>
        </is>
      </c>
      <c r="M4320" t="inlineStr">
        <is>
          <t>11:58:30</t>
        </is>
      </c>
    </row>
    <row r="4321" ht="15" customHeight="1" s="37">
      <c r="A4321" t="n">
        <v>7</v>
      </c>
      <c r="B4321" s="10" t="inlineStr">
        <is>
          <t>休日</t>
        </is>
      </c>
      <c r="C4321" s="10" t="inlineStr">
        <is>
          <t>本線</t>
        </is>
      </c>
      <c r="D4321" s="10" t="inlineStr">
        <is>
          <t>下り</t>
        </is>
      </c>
      <c r="E4321" t="inlineStr">
        <is>
          <t>1111</t>
        </is>
      </c>
      <c r="F4321" t="inlineStr">
        <is>
          <t>0112</t>
        </is>
      </c>
      <c r="G4321" s="10" t="inlineStr">
        <is>
          <t>山ノ内</t>
        </is>
      </c>
      <c r="H4321" s="10" t="inlineStr">
        <is>
          <t>発</t>
        </is>
      </c>
      <c r="J4321" s="10" t="inlineStr">
        <is>
          <t>営業</t>
        </is>
      </c>
      <c r="L4321" t="inlineStr">
        <is>
          <t>12:00:25</t>
        </is>
      </c>
      <c r="M4321" t="inlineStr">
        <is>
          <t>12:00:50</t>
        </is>
      </c>
    </row>
    <row r="4322" ht="15" customHeight="1" s="37">
      <c r="A4322" t="n">
        <v>7</v>
      </c>
      <c r="B4322" s="10" t="inlineStr">
        <is>
          <t>休日</t>
        </is>
      </c>
      <c r="C4322" s="10" t="inlineStr">
        <is>
          <t>本線</t>
        </is>
      </c>
      <c r="D4322" s="10" t="inlineStr">
        <is>
          <t>下り</t>
        </is>
      </c>
      <c r="E4322" t="inlineStr">
        <is>
          <t>1111</t>
        </is>
      </c>
      <c r="F4322" t="inlineStr">
        <is>
          <t>0112</t>
        </is>
      </c>
      <c r="G4322" s="10" t="inlineStr">
        <is>
          <t>天神川</t>
        </is>
      </c>
      <c r="H4322" s="10" t="inlineStr">
        <is>
          <t>発</t>
        </is>
      </c>
      <c r="J4322" s="10" t="inlineStr">
        <is>
          <t>営業</t>
        </is>
      </c>
      <c r="L4322" t="inlineStr">
        <is>
          <t>12:02:50</t>
        </is>
      </c>
      <c r="M4322" t="inlineStr">
        <is>
          <t>12:03:30</t>
        </is>
      </c>
    </row>
    <row r="4323" ht="15" customHeight="1" s="37">
      <c r="A4323" t="n">
        <v>7</v>
      </c>
      <c r="B4323" s="10" t="inlineStr">
        <is>
          <t>休日</t>
        </is>
      </c>
      <c r="C4323" s="10" t="inlineStr">
        <is>
          <t>本線</t>
        </is>
      </c>
      <c r="D4323" s="10" t="inlineStr">
        <is>
          <t>下り</t>
        </is>
      </c>
      <c r="E4323" t="inlineStr">
        <is>
          <t>1111</t>
        </is>
      </c>
      <c r="F4323" t="inlineStr">
        <is>
          <t>0112</t>
        </is>
      </c>
      <c r="G4323" s="10" t="inlineStr">
        <is>
          <t>蚕ノ社</t>
        </is>
      </c>
      <c r="H4323" s="10" t="inlineStr">
        <is>
          <t>発</t>
        </is>
      </c>
      <c r="J4323" s="10" t="inlineStr">
        <is>
          <t>営業</t>
        </is>
      </c>
      <c r="L4323" t="inlineStr">
        <is>
          <t>12:04:20</t>
        </is>
      </c>
      <c r="M4323" t="inlineStr">
        <is>
          <t>12:04:40</t>
        </is>
      </c>
    </row>
    <row r="4324" ht="15" customHeight="1" s="37">
      <c r="A4324" t="n">
        <v>7</v>
      </c>
      <c r="B4324" s="10" t="inlineStr">
        <is>
          <t>休日</t>
        </is>
      </c>
      <c r="C4324" s="10" t="inlineStr">
        <is>
          <t>本線</t>
        </is>
      </c>
      <c r="D4324" s="10" t="inlineStr">
        <is>
          <t>下り</t>
        </is>
      </c>
      <c r="E4324" t="inlineStr">
        <is>
          <t>1111</t>
        </is>
      </c>
      <c r="F4324" t="inlineStr">
        <is>
          <t>0112</t>
        </is>
      </c>
      <c r="G4324" s="10" t="inlineStr">
        <is>
          <t>太秦広隆寺</t>
        </is>
      </c>
      <c r="H4324" s="10" t="inlineStr">
        <is>
          <t>発</t>
        </is>
      </c>
      <c r="J4324" s="10" t="inlineStr">
        <is>
          <t>営業</t>
        </is>
      </c>
      <c r="L4324" t="inlineStr">
        <is>
          <t>12:06:00</t>
        </is>
      </c>
      <c r="M4324" t="inlineStr">
        <is>
          <t>12:06:20</t>
        </is>
      </c>
    </row>
    <row r="4325" ht="15" customHeight="1" s="37">
      <c r="A4325" t="n">
        <v>7</v>
      </c>
      <c r="B4325" s="10" t="inlineStr">
        <is>
          <t>休日</t>
        </is>
      </c>
      <c r="C4325" s="10" t="inlineStr">
        <is>
          <t>本線</t>
        </is>
      </c>
      <c r="D4325" s="10" t="inlineStr">
        <is>
          <t>下り</t>
        </is>
      </c>
      <c r="E4325" t="inlineStr">
        <is>
          <t>1111</t>
        </is>
      </c>
      <c r="F4325" t="inlineStr">
        <is>
          <t>0112</t>
        </is>
      </c>
      <c r="G4325" s="10" t="inlineStr">
        <is>
          <t>帷子ノ辻</t>
        </is>
      </c>
      <c r="H4325" s="10" t="inlineStr">
        <is>
          <t>発</t>
        </is>
      </c>
      <c r="J4325" s="10" t="inlineStr">
        <is>
          <t>営業</t>
        </is>
      </c>
      <c r="L4325" t="inlineStr">
        <is>
          <t>12:08:20</t>
        </is>
      </c>
      <c r="M4325" t="inlineStr">
        <is>
          <t>12:09:40</t>
        </is>
      </c>
    </row>
    <row r="4326" ht="15" customHeight="1" s="37">
      <c r="A4326" t="n">
        <v>7</v>
      </c>
      <c r="B4326" s="10" t="inlineStr">
        <is>
          <t>休日</t>
        </is>
      </c>
      <c r="C4326" s="10" t="inlineStr">
        <is>
          <t>本線</t>
        </is>
      </c>
      <c r="D4326" s="10" t="inlineStr">
        <is>
          <t>下り</t>
        </is>
      </c>
      <c r="E4326" t="inlineStr">
        <is>
          <t>1111</t>
        </is>
      </c>
      <c r="F4326" t="inlineStr">
        <is>
          <t>0112</t>
        </is>
      </c>
      <c r="G4326" s="10" t="inlineStr">
        <is>
          <t>有栖川</t>
        </is>
      </c>
      <c r="H4326" s="10" t="inlineStr">
        <is>
          <t>発</t>
        </is>
      </c>
      <c r="J4326" s="10" t="inlineStr">
        <is>
          <t>営業</t>
        </is>
      </c>
      <c r="L4326" t="inlineStr">
        <is>
          <t>12:10:50</t>
        </is>
      </c>
      <c r="M4326" t="inlineStr">
        <is>
          <t>12:11:15</t>
        </is>
      </c>
    </row>
    <row r="4327" ht="15" customHeight="1" s="37">
      <c r="A4327" t="n">
        <v>7</v>
      </c>
      <c r="B4327" s="10" t="inlineStr">
        <is>
          <t>休日</t>
        </is>
      </c>
      <c r="C4327" s="10" t="inlineStr">
        <is>
          <t>本線</t>
        </is>
      </c>
      <c r="D4327" s="10" t="inlineStr">
        <is>
          <t>下り</t>
        </is>
      </c>
      <c r="E4327" t="inlineStr">
        <is>
          <t>1111</t>
        </is>
      </c>
      <c r="F4327" t="inlineStr">
        <is>
          <t>0112</t>
        </is>
      </c>
      <c r="G4327" s="10" t="inlineStr">
        <is>
          <t>車折</t>
        </is>
      </c>
      <c r="H4327" s="10" t="inlineStr">
        <is>
          <t>発</t>
        </is>
      </c>
      <c r="J4327" s="10" t="inlineStr">
        <is>
          <t>営業</t>
        </is>
      </c>
      <c r="L4327" t="inlineStr">
        <is>
          <t>12:12:40</t>
        </is>
      </c>
      <c r="M4327" t="inlineStr">
        <is>
          <t>12:13:05</t>
        </is>
      </c>
    </row>
    <row r="4328" ht="15" customHeight="1" s="37">
      <c r="A4328" t="n">
        <v>7</v>
      </c>
      <c r="B4328" s="10" t="inlineStr">
        <is>
          <t>休日</t>
        </is>
      </c>
      <c r="C4328" s="10" t="inlineStr">
        <is>
          <t>本線</t>
        </is>
      </c>
      <c r="D4328" s="10" t="inlineStr">
        <is>
          <t>下り</t>
        </is>
      </c>
      <c r="E4328" t="inlineStr">
        <is>
          <t>1111</t>
        </is>
      </c>
      <c r="F4328" t="inlineStr">
        <is>
          <t>0112</t>
        </is>
      </c>
      <c r="G4328" s="10" t="inlineStr">
        <is>
          <t>鹿王院</t>
        </is>
      </c>
      <c r="H4328" s="10" t="inlineStr">
        <is>
          <t>発</t>
        </is>
      </c>
      <c r="J4328" s="10" t="inlineStr">
        <is>
          <t>営業</t>
        </is>
      </c>
      <c r="L4328" t="inlineStr">
        <is>
          <t>12:14:00</t>
        </is>
      </c>
      <c r="M4328" t="inlineStr">
        <is>
          <t>12:14:25</t>
        </is>
      </c>
    </row>
    <row r="4329" ht="15" customHeight="1" s="37">
      <c r="A4329" t="n">
        <v>7</v>
      </c>
      <c r="B4329" s="10" t="inlineStr">
        <is>
          <t>休日</t>
        </is>
      </c>
      <c r="C4329" s="10" t="inlineStr">
        <is>
          <t>本線</t>
        </is>
      </c>
      <c r="D4329" s="10" t="inlineStr">
        <is>
          <t>下り</t>
        </is>
      </c>
      <c r="E4329" t="inlineStr">
        <is>
          <t>1111</t>
        </is>
      </c>
      <c r="F4329" t="inlineStr">
        <is>
          <t>0112</t>
        </is>
      </c>
      <c r="G4329" s="10" t="inlineStr">
        <is>
          <t>嵯峨</t>
        </is>
      </c>
      <c r="H4329" s="10" t="inlineStr">
        <is>
          <t>発</t>
        </is>
      </c>
      <c r="J4329" s="10" t="inlineStr">
        <is>
          <t>営業</t>
        </is>
      </c>
      <c r="L4329" t="inlineStr">
        <is>
          <t>12:15:30</t>
        </is>
      </c>
      <c r="M4329" t="inlineStr">
        <is>
          <t>12:15:55</t>
        </is>
      </c>
    </row>
    <row r="4330" ht="15" customHeight="1" s="37">
      <c r="A4330" t="n">
        <v>7</v>
      </c>
      <c r="B4330" s="10" t="inlineStr">
        <is>
          <t>休日</t>
        </is>
      </c>
      <c r="C4330" s="10" t="inlineStr">
        <is>
          <t>本線</t>
        </is>
      </c>
      <c r="D4330" s="10" t="inlineStr">
        <is>
          <t>下り</t>
        </is>
      </c>
      <c r="E4330" t="inlineStr">
        <is>
          <t>1111</t>
        </is>
      </c>
      <c r="F4330" t="inlineStr">
        <is>
          <t>0112</t>
        </is>
      </c>
      <c r="G4330" s="10" t="inlineStr">
        <is>
          <t>嵐山</t>
        </is>
      </c>
      <c r="H4330" s="10" t="inlineStr">
        <is>
          <t>着</t>
        </is>
      </c>
      <c r="J4330" s="10" t="inlineStr">
        <is>
          <t>営業</t>
        </is>
      </c>
      <c r="L4330" t="inlineStr">
        <is>
          <t>12:17:00</t>
        </is>
      </c>
      <c r="Q4330" t="inlineStr">
        <is>
          <t>1</t>
        </is>
      </c>
    </row>
    <row r="4331" ht="15" customHeight="1" s="37">
      <c r="A4331" t="n">
        <v>7</v>
      </c>
      <c r="B4331" s="10" t="inlineStr">
        <is>
          <t>休日</t>
        </is>
      </c>
      <c r="C4331" s="10" t="inlineStr">
        <is>
          <t>本線</t>
        </is>
      </c>
      <c r="D4331" s="10" t="inlineStr">
        <is>
          <t>上り</t>
        </is>
      </c>
      <c r="E4331" t="inlineStr">
        <is>
          <t>1206</t>
        </is>
      </c>
      <c r="F4331" t="inlineStr">
        <is>
          <t>0211</t>
        </is>
      </c>
      <c r="G4331" s="10" t="inlineStr">
        <is>
          <t>嵐山</t>
        </is>
      </c>
      <c r="H4331" s="10" t="inlineStr">
        <is>
          <t>発</t>
        </is>
      </c>
      <c r="J4331" s="10" t="inlineStr">
        <is>
          <t>営業</t>
        </is>
      </c>
      <c r="M4331" t="inlineStr">
        <is>
          <t>12:23:00</t>
        </is>
      </c>
      <c r="Q4331" t="inlineStr">
        <is>
          <t>1</t>
        </is>
      </c>
      <c r="U4331" t="inlineStr">
        <is>
          <t>→西院 休憩(12:56〜14:16)</t>
        </is>
      </c>
    </row>
    <row r="4332" ht="15" customHeight="1" s="37">
      <c r="A4332" t="n">
        <v>7</v>
      </c>
      <c r="B4332" s="10" t="inlineStr">
        <is>
          <t>休日</t>
        </is>
      </c>
      <c r="C4332" s="10" t="inlineStr">
        <is>
          <t>本線</t>
        </is>
      </c>
      <c r="D4332" s="10" t="inlineStr">
        <is>
          <t>上り</t>
        </is>
      </c>
      <c r="E4332" t="inlineStr">
        <is>
          <t>1206</t>
        </is>
      </c>
      <c r="F4332" t="inlineStr">
        <is>
          <t>0211</t>
        </is>
      </c>
      <c r="G4332" s="10" t="inlineStr">
        <is>
          <t>嵯峨</t>
        </is>
      </c>
      <c r="H4332" s="10" t="inlineStr">
        <is>
          <t>発</t>
        </is>
      </c>
      <c r="J4332" s="10" t="inlineStr">
        <is>
          <t>営業</t>
        </is>
      </c>
      <c r="L4332" t="inlineStr">
        <is>
          <t>12:23:55</t>
        </is>
      </c>
      <c r="M4332" t="inlineStr">
        <is>
          <t>12:24:20</t>
        </is>
      </c>
      <c r="U4332" t="inlineStr">
        <is>
          <t>→西院 休憩(12:56〜14:16)</t>
        </is>
      </c>
    </row>
    <row r="4333" ht="15" customHeight="1" s="37">
      <c r="A4333" t="n">
        <v>7</v>
      </c>
      <c r="B4333" s="10" t="inlineStr">
        <is>
          <t>休日</t>
        </is>
      </c>
      <c r="C4333" s="10" t="inlineStr">
        <is>
          <t>本線</t>
        </is>
      </c>
      <c r="D4333" s="10" t="inlineStr">
        <is>
          <t>上り</t>
        </is>
      </c>
      <c r="E4333" t="inlineStr">
        <is>
          <t>1206</t>
        </is>
      </c>
      <c r="F4333" t="inlineStr">
        <is>
          <t>0211</t>
        </is>
      </c>
      <c r="G4333" s="10" t="inlineStr">
        <is>
          <t>鹿王院</t>
        </is>
      </c>
      <c r="H4333" s="10" t="inlineStr">
        <is>
          <t>発</t>
        </is>
      </c>
      <c r="J4333" s="10" t="inlineStr">
        <is>
          <t>営業</t>
        </is>
      </c>
      <c r="L4333" t="inlineStr">
        <is>
          <t>12:25:25</t>
        </is>
      </c>
      <c r="M4333" t="inlineStr">
        <is>
          <t>12:25:45</t>
        </is>
      </c>
      <c r="U4333" t="inlineStr">
        <is>
          <t>→西院 休憩(12:56〜14:16)</t>
        </is>
      </c>
    </row>
    <row r="4334" ht="15" customHeight="1" s="37">
      <c r="A4334" t="n">
        <v>7</v>
      </c>
      <c r="B4334" s="10" t="inlineStr">
        <is>
          <t>休日</t>
        </is>
      </c>
      <c r="C4334" s="10" t="inlineStr">
        <is>
          <t>本線</t>
        </is>
      </c>
      <c r="D4334" s="10" t="inlineStr">
        <is>
          <t>上り</t>
        </is>
      </c>
      <c r="E4334" t="inlineStr">
        <is>
          <t>1206</t>
        </is>
      </c>
      <c r="F4334" t="inlineStr">
        <is>
          <t>0211</t>
        </is>
      </c>
      <c r="G4334" s="10" t="inlineStr">
        <is>
          <t>車折</t>
        </is>
      </c>
      <c r="H4334" s="10" t="inlineStr">
        <is>
          <t>発</t>
        </is>
      </c>
      <c r="J4334" s="10" t="inlineStr">
        <is>
          <t>営業</t>
        </is>
      </c>
      <c r="L4334" t="inlineStr">
        <is>
          <t>12:26:40</t>
        </is>
      </c>
      <c r="M4334" t="inlineStr">
        <is>
          <t>12:27:10</t>
        </is>
      </c>
      <c r="U4334" t="inlineStr">
        <is>
          <t>→西院 休憩(12:56〜14:16)</t>
        </is>
      </c>
    </row>
    <row r="4335" ht="15" customHeight="1" s="37">
      <c r="A4335" t="n">
        <v>7</v>
      </c>
      <c r="B4335" s="10" t="inlineStr">
        <is>
          <t>休日</t>
        </is>
      </c>
      <c r="C4335" s="10" t="inlineStr">
        <is>
          <t>本線</t>
        </is>
      </c>
      <c r="D4335" s="10" t="inlineStr">
        <is>
          <t>上り</t>
        </is>
      </c>
      <c r="E4335" t="inlineStr">
        <is>
          <t>1206</t>
        </is>
      </c>
      <c r="F4335" t="inlineStr">
        <is>
          <t>0211</t>
        </is>
      </c>
      <c r="G4335" s="10" t="inlineStr">
        <is>
          <t>有栖川</t>
        </is>
      </c>
      <c r="H4335" s="10" t="inlineStr">
        <is>
          <t>発</t>
        </is>
      </c>
      <c r="J4335" s="10" t="inlineStr">
        <is>
          <t>営業</t>
        </is>
      </c>
      <c r="L4335" t="inlineStr">
        <is>
          <t>12:28:35</t>
        </is>
      </c>
      <c r="M4335" t="inlineStr">
        <is>
          <t>12:28:55</t>
        </is>
      </c>
      <c r="U4335" t="inlineStr">
        <is>
          <t>→西院 休憩(12:56〜14:16)</t>
        </is>
      </c>
    </row>
    <row r="4336" ht="15" customHeight="1" s="37">
      <c r="A4336" t="n">
        <v>7</v>
      </c>
      <c r="B4336" s="10" t="inlineStr">
        <is>
          <t>休日</t>
        </is>
      </c>
      <c r="C4336" s="10" t="inlineStr">
        <is>
          <t>本線</t>
        </is>
      </c>
      <c r="D4336" s="10" t="inlineStr">
        <is>
          <t>上り</t>
        </is>
      </c>
      <c r="E4336" t="inlineStr">
        <is>
          <t>1206</t>
        </is>
      </c>
      <c r="F4336" t="inlineStr">
        <is>
          <t>0211</t>
        </is>
      </c>
      <c r="G4336" s="10" t="inlineStr">
        <is>
          <t>帷子ノ辻</t>
        </is>
      </c>
      <c r="H4336" s="10" t="inlineStr">
        <is>
          <t>発</t>
        </is>
      </c>
      <c r="J4336" s="10" t="inlineStr">
        <is>
          <t>営業</t>
        </is>
      </c>
      <c r="L4336" t="inlineStr">
        <is>
          <t>12:30:10</t>
        </is>
      </c>
      <c r="M4336" t="inlineStr">
        <is>
          <t>12:31:15</t>
        </is>
      </c>
      <c r="U4336" t="inlineStr">
        <is>
          <t>→西院 休憩(12:56〜14:16)</t>
        </is>
      </c>
    </row>
    <row r="4337" ht="15" customHeight="1" s="37">
      <c r="A4337" t="n">
        <v>7</v>
      </c>
      <c r="B4337" s="10" t="inlineStr">
        <is>
          <t>休日</t>
        </is>
      </c>
      <c r="C4337" s="10" t="inlineStr">
        <is>
          <t>本線</t>
        </is>
      </c>
      <c r="D4337" s="10" t="inlineStr">
        <is>
          <t>上り</t>
        </is>
      </c>
      <c r="E4337" t="inlineStr">
        <is>
          <t>1206</t>
        </is>
      </c>
      <c r="F4337" t="inlineStr">
        <is>
          <t>0211</t>
        </is>
      </c>
      <c r="G4337" s="10" t="inlineStr">
        <is>
          <t>太秦広隆寺</t>
        </is>
      </c>
      <c r="H4337" s="10" t="inlineStr">
        <is>
          <t>発</t>
        </is>
      </c>
      <c r="J4337" s="10" t="inlineStr">
        <is>
          <t>営業</t>
        </is>
      </c>
      <c r="L4337" t="inlineStr">
        <is>
          <t>12:33:25</t>
        </is>
      </c>
      <c r="M4337" t="inlineStr">
        <is>
          <t>12:33:45</t>
        </is>
      </c>
      <c r="U4337" t="inlineStr">
        <is>
          <t>→西院 休憩(12:56〜14:16)</t>
        </is>
      </c>
    </row>
    <row r="4338" ht="15" customHeight="1" s="37">
      <c r="A4338" t="n">
        <v>7</v>
      </c>
      <c r="B4338" s="10" t="inlineStr">
        <is>
          <t>休日</t>
        </is>
      </c>
      <c r="C4338" s="10" t="inlineStr">
        <is>
          <t>本線</t>
        </is>
      </c>
      <c r="D4338" s="10" t="inlineStr">
        <is>
          <t>上り</t>
        </is>
      </c>
      <c r="E4338" t="inlineStr">
        <is>
          <t>1206</t>
        </is>
      </c>
      <c r="F4338" t="inlineStr">
        <is>
          <t>0211</t>
        </is>
      </c>
      <c r="G4338" s="10" t="inlineStr">
        <is>
          <t>蚕ノ社</t>
        </is>
      </c>
      <c r="H4338" s="10" t="inlineStr">
        <is>
          <t>発</t>
        </is>
      </c>
      <c r="J4338" s="10" t="inlineStr">
        <is>
          <t>営業</t>
        </is>
      </c>
      <c r="L4338" t="inlineStr">
        <is>
          <t>12:35:00</t>
        </is>
      </c>
      <c r="M4338" t="inlineStr">
        <is>
          <t>12:35:20</t>
        </is>
      </c>
      <c r="U4338" t="inlineStr">
        <is>
          <t>→西院 休憩(12:56〜14:16)</t>
        </is>
      </c>
    </row>
    <row r="4339" ht="15" customHeight="1" s="37">
      <c r="A4339" t="n">
        <v>7</v>
      </c>
      <c r="B4339" s="10" t="inlineStr">
        <is>
          <t>休日</t>
        </is>
      </c>
      <c r="C4339" s="10" t="inlineStr">
        <is>
          <t>本線</t>
        </is>
      </c>
      <c r="D4339" s="10" t="inlineStr">
        <is>
          <t>上り</t>
        </is>
      </c>
      <c r="E4339" t="inlineStr">
        <is>
          <t>1206</t>
        </is>
      </c>
      <c r="F4339" t="inlineStr">
        <is>
          <t>0211</t>
        </is>
      </c>
      <c r="G4339" s="10" t="inlineStr">
        <is>
          <t>天神川</t>
        </is>
      </c>
      <c r="H4339" s="10" t="inlineStr">
        <is>
          <t>発</t>
        </is>
      </c>
      <c r="J4339" s="10" t="inlineStr">
        <is>
          <t>営業</t>
        </is>
      </c>
      <c r="L4339" t="inlineStr">
        <is>
          <t>12:36:05</t>
        </is>
      </c>
      <c r="M4339" t="inlineStr">
        <is>
          <t>12:36:50</t>
        </is>
      </c>
      <c r="U4339" t="inlineStr">
        <is>
          <t>→西院 休憩(12:56〜14:16)</t>
        </is>
      </c>
    </row>
    <row r="4340" ht="15" customHeight="1" s="37">
      <c r="A4340" t="n">
        <v>7</v>
      </c>
      <c r="B4340" s="10" t="inlineStr">
        <is>
          <t>休日</t>
        </is>
      </c>
      <c r="C4340" s="10" t="inlineStr">
        <is>
          <t>本線</t>
        </is>
      </c>
      <c r="D4340" s="10" t="inlineStr">
        <is>
          <t>上り</t>
        </is>
      </c>
      <c r="E4340" t="inlineStr">
        <is>
          <t>1206</t>
        </is>
      </c>
      <c r="F4340" t="inlineStr">
        <is>
          <t>0211</t>
        </is>
      </c>
      <c r="G4340" s="10" t="inlineStr">
        <is>
          <t>山ノ内</t>
        </is>
      </c>
      <c r="H4340" s="10" t="inlineStr">
        <is>
          <t>発</t>
        </is>
      </c>
      <c r="J4340" s="10" t="inlineStr">
        <is>
          <t>営業</t>
        </is>
      </c>
      <c r="L4340" t="inlineStr">
        <is>
          <t>12:38:40</t>
        </is>
      </c>
      <c r="M4340" t="inlineStr">
        <is>
          <t>12:39:05</t>
        </is>
      </c>
      <c r="U4340" t="inlineStr">
        <is>
          <t>→西院 休憩(12:56〜14:16)</t>
        </is>
      </c>
    </row>
    <row r="4341" ht="15" customHeight="1" s="37">
      <c r="A4341" t="n">
        <v>7</v>
      </c>
      <c r="B4341" s="10" t="inlineStr">
        <is>
          <t>休日</t>
        </is>
      </c>
      <c r="C4341" s="10" t="inlineStr">
        <is>
          <t>本線</t>
        </is>
      </c>
      <c r="D4341" s="10" t="inlineStr">
        <is>
          <t>上り</t>
        </is>
      </c>
      <c r="E4341" t="inlineStr">
        <is>
          <t>1206</t>
        </is>
      </c>
      <c r="F4341" t="inlineStr">
        <is>
          <t>0211</t>
        </is>
      </c>
      <c r="G4341" s="10" t="inlineStr">
        <is>
          <t>西大路三条</t>
        </is>
      </c>
      <c r="H4341" s="10" t="inlineStr">
        <is>
          <t>発</t>
        </is>
      </c>
      <c r="J4341" s="10" t="inlineStr">
        <is>
          <t>営業</t>
        </is>
      </c>
      <c r="L4341" t="inlineStr">
        <is>
          <t>12:40:55</t>
        </is>
      </c>
      <c r="M4341" t="inlineStr">
        <is>
          <t>12:41:15</t>
        </is>
      </c>
      <c r="U4341" t="inlineStr">
        <is>
          <t>→西院 休憩(12:56〜14:16)</t>
        </is>
      </c>
    </row>
    <row r="4342" ht="15" customHeight="1" s="37">
      <c r="A4342" t="n">
        <v>7</v>
      </c>
      <c r="B4342" s="10" t="inlineStr">
        <is>
          <t>休日</t>
        </is>
      </c>
      <c r="C4342" s="10" t="inlineStr">
        <is>
          <t>本線</t>
        </is>
      </c>
      <c r="D4342" s="10" t="inlineStr">
        <is>
          <t>上り</t>
        </is>
      </c>
      <c r="E4342" t="inlineStr">
        <is>
          <t>1206</t>
        </is>
      </c>
      <c r="F4342" t="inlineStr">
        <is>
          <t>0211</t>
        </is>
      </c>
      <c r="G4342" s="10" t="inlineStr">
        <is>
          <t>西院</t>
        </is>
      </c>
      <c r="H4342" s="10" t="inlineStr">
        <is>
          <t>発</t>
        </is>
      </c>
      <c r="J4342" s="10" t="inlineStr">
        <is>
          <t>営業</t>
        </is>
      </c>
      <c r="L4342" t="inlineStr">
        <is>
          <t>12:43:10</t>
        </is>
      </c>
      <c r="M4342" t="inlineStr">
        <is>
          <t>12:44:05</t>
        </is>
      </c>
      <c r="U4342" t="inlineStr">
        <is>
          <t>→西院 休憩(12:56〜14:16)</t>
        </is>
      </c>
    </row>
    <row r="4343" ht="15" customHeight="1" s="37">
      <c r="A4343" t="n">
        <v>7</v>
      </c>
      <c r="B4343" s="10" t="inlineStr">
        <is>
          <t>休日</t>
        </is>
      </c>
      <c r="C4343" s="10" t="inlineStr">
        <is>
          <t>本線</t>
        </is>
      </c>
      <c r="D4343" s="10" t="inlineStr">
        <is>
          <t>上り</t>
        </is>
      </c>
      <c r="E4343" t="inlineStr">
        <is>
          <t>1206</t>
        </is>
      </c>
      <c r="F4343" t="inlineStr">
        <is>
          <t>0211</t>
        </is>
      </c>
      <c r="G4343" s="10" t="inlineStr">
        <is>
          <t>四条大宮</t>
        </is>
      </c>
      <c r="H4343" s="10" t="inlineStr">
        <is>
          <t>着</t>
        </is>
      </c>
      <c r="J4343" s="10" t="inlineStr">
        <is>
          <t>営業</t>
        </is>
      </c>
      <c r="L4343" t="inlineStr">
        <is>
          <t>12:47:00</t>
        </is>
      </c>
      <c r="Q4343" t="inlineStr">
        <is>
          <t>1</t>
        </is>
      </c>
      <c r="U4343" t="inlineStr">
        <is>
          <t>→西院 休憩(12:56〜14:16)</t>
        </is>
      </c>
    </row>
    <row r="4344" ht="15" customHeight="1" s="37">
      <c r="A4344" t="n">
        <v>7</v>
      </c>
      <c r="B4344" s="10" t="inlineStr">
        <is>
          <t>休日</t>
        </is>
      </c>
      <c r="C4344" s="10" t="inlineStr">
        <is>
          <t>本線</t>
        </is>
      </c>
      <c r="D4344" s="10" t="inlineStr">
        <is>
          <t>下り</t>
        </is>
      </c>
      <c r="E4344" t="inlineStr">
        <is>
          <t>1211</t>
        </is>
      </c>
      <c r="F4344" t="inlineStr">
        <is>
          <t>0112</t>
        </is>
      </c>
      <c r="G4344" s="10" t="inlineStr">
        <is>
          <t>四条大宮</t>
        </is>
      </c>
      <c r="H4344" s="10" t="inlineStr">
        <is>
          <t>発</t>
        </is>
      </c>
      <c r="J4344" s="10" t="inlineStr">
        <is>
          <t>営業</t>
        </is>
      </c>
      <c r="M4344" t="inlineStr">
        <is>
          <t>12:53:00</t>
        </is>
      </c>
      <c r="Q4344" t="inlineStr">
        <is>
          <t>1</t>
        </is>
      </c>
      <c r="U4344" t="inlineStr">
        <is>
          <t>→西院 休憩(12:56〜14:16)</t>
        </is>
      </c>
    </row>
    <row r="4345" ht="15" customHeight="1" s="37">
      <c r="A4345" t="n">
        <v>7</v>
      </c>
      <c r="B4345" s="10" t="inlineStr">
        <is>
          <t>休日</t>
        </is>
      </c>
      <c r="C4345" s="10" t="inlineStr">
        <is>
          <t>本線</t>
        </is>
      </c>
      <c r="D4345" s="10" t="inlineStr">
        <is>
          <t>下り</t>
        </is>
      </c>
      <c r="E4345" t="inlineStr">
        <is>
          <t>1211</t>
        </is>
      </c>
      <c r="F4345" t="inlineStr">
        <is>
          <t>0112</t>
        </is>
      </c>
      <c r="G4345" s="10" t="inlineStr">
        <is>
          <t>西院</t>
        </is>
      </c>
      <c r="H4345" s="10" t="inlineStr">
        <is>
          <t>着</t>
        </is>
      </c>
      <c r="J4345" s="10" t="inlineStr">
        <is>
          <t>営業</t>
        </is>
      </c>
      <c r="L4345" t="inlineStr">
        <is>
          <t>12:55:50</t>
        </is>
      </c>
      <c r="M4345" t="inlineStr">
        <is>
          <t>12:56:20</t>
        </is>
      </c>
      <c r="U4345" t="inlineStr">
        <is>
          <t>→西院 休憩(12:56〜14:16)</t>
        </is>
      </c>
    </row>
    <row r="4346" ht="15" customHeight="1" s="37">
      <c r="A4346" t="n">
        <v>7</v>
      </c>
      <c r="B4346" s="10" t="inlineStr">
        <is>
          <t>休日</t>
        </is>
      </c>
      <c r="C4346" s="10" t="inlineStr">
        <is>
          <t>本線</t>
        </is>
      </c>
      <c r="D4346" s="10" t="inlineStr">
        <is>
          <t>下り</t>
        </is>
      </c>
      <c r="E4346" s="10" t="inlineStr">
        <is>
          <t>連1403</t>
        </is>
      </c>
      <c r="F4346" t="inlineStr">
        <is>
          <t>0112</t>
        </is>
      </c>
      <c r="G4346" s="10" t="inlineStr">
        <is>
          <t>西院</t>
        </is>
      </c>
      <c r="H4346" s="10" t="inlineStr">
        <is>
          <t>発</t>
        </is>
      </c>
      <c r="J4346" s="10" t="inlineStr">
        <is>
          <t>営業</t>
        </is>
      </c>
      <c r="L4346" t="inlineStr">
        <is>
          <t>14:15:50</t>
        </is>
      </c>
      <c r="M4346" t="inlineStr">
        <is>
          <t>14:16:20</t>
        </is>
      </c>
      <c r="P4346" t="inlineStr">
        <is>
          <t>B系統(終日)</t>
        </is>
      </c>
    </row>
    <row r="4347" ht="15" customHeight="1" s="37">
      <c r="A4347" t="n">
        <v>7</v>
      </c>
      <c r="B4347" s="10" t="inlineStr">
        <is>
          <t>休日</t>
        </is>
      </c>
      <c r="C4347" s="10" t="inlineStr">
        <is>
          <t>本線</t>
        </is>
      </c>
      <c r="D4347" s="10" t="inlineStr">
        <is>
          <t>下り</t>
        </is>
      </c>
      <c r="E4347" s="10" t="inlineStr">
        <is>
          <t>連1403</t>
        </is>
      </c>
      <c r="F4347" t="inlineStr">
        <is>
          <t>0112</t>
        </is>
      </c>
      <c r="G4347" s="10" t="inlineStr">
        <is>
          <t>西大路三条</t>
        </is>
      </c>
      <c r="H4347" s="10" t="inlineStr">
        <is>
          <t>発</t>
        </is>
      </c>
      <c r="J4347" s="10" t="inlineStr">
        <is>
          <t>営業</t>
        </is>
      </c>
      <c r="L4347" t="inlineStr">
        <is>
          <t>14:18:10</t>
        </is>
      </c>
      <c r="M4347" t="inlineStr">
        <is>
          <t>14:18:30</t>
        </is>
      </c>
      <c r="P4347" t="inlineStr">
        <is>
          <t>B系統(終日)</t>
        </is>
      </c>
    </row>
    <row r="4348" ht="15" customHeight="1" s="37">
      <c r="A4348" t="n">
        <v>7</v>
      </c>
      <c r="B4348" s="10" t="inlineStr">
        <is>
          <t>休日</t>
        </is>
      </c>
      <c r="C4348" s="10" t="inlineStr">
        <is>
          <t>本線</t>
        </is>
      </c>
      <c r="D4348" s="10" t="inlineStr">
        <is>
          <t>下り</t>
        </is>
      </c>
      <c r="E4348" s="10" t="inlineStr">
        <is>
          <t>連1403</t>
        </is>
      </c>
      <c r="F4348" t="inlineStr">
        <is>
          <t>0112</t>
        </is>
      </c>
      <c r="G4348" s="10" t="inlineStr">
        <is>
          <t>山ノ内</t>
        </is>
      </c>
      <c r="H4348" s="10" t="inlineStr">
        <is>
          <t>発</t>
        </is>
      </c>
      <c r="J4348" s="10" t="inlineStr">
        <is>
          <t>営業</t>
        </is>
      </c>
      <c r="L4348" t="inlineStr">
        <is>
          <t>14:20:25</t>
        </is>
      </c>
      <c r="M4348" t="inlineStr">
        <is>
          <t>14:20:50</t>
        </is>
      </c>
      <c r="P4348" t="inlineStr">
        <is>
          <t>B系統(終日)</t>
        </is>
      </c>
    </row>
    <row r="4349" ht="16.5" customHeight="1" s="37">
      <c r="A4349" t="n">
        <v>7</v>
      </c>
      <c r="B4349" s="10" t="inlineStr">
        <is>
          <t>休日</t>
        </is>
      </c>
      <c r="C4349" s="10" t="inlineStr">
        <is>
          <t>本線</t>
        </is>
      </c>
      <c r="D4349" s="10" t="inlineStr">
        <is>
          <t>下り</t>
        </is>
      </c>
      <c r="E4349" s="10" t="inlineStr">
        <is>
          <t>連1403</t>
        </is>
      </c>
      <c r="F4349" t="inlineStr">
        <is>
          <t>0112</t>
        </is>
      </c>
      <c r="G4349" s="10" t="inlineStr">
        <is>
          <t>天神川</t>
        </is>
      </c>
      <c r="H4349" s="10" t="inlineStr">
        <is>
          <t>発</t>
        </is>
      </c>
      <c r="J4349" s="10" t="inlineStr">
        <is>
          <t>営業</t>
        </is>
      </c>
      <c r="L4349" t="inlineStr">
        <is>
          <t>14:22:50</t>
        </is>
      </c>
      <c r="M4349" t="inlineStr">
        <is>
          <t>14:23:30</t>
        </is>
      </c>
      <c r="P4349" t="inlineStr">
        <is>
          <t>B系統(終日)</t>
        </is>
      </c>
    </row>
    <row r="4350" ht="16.5" customHeight="1" s="37">
      <c r="A4350" t="n">
        <v>7</v>
      </c>
      <c r="B4350" s="10" t="inlineStr">
        <is>
          <t>休日</t>
        </is>
      </c>
      <c r="C4350" s="10" t="inlineStr">
        <is>
          <t>本線</t>
        </is>
      </c>
      <c r="D4350" s="10" t="inlineStr">
        <is>
          <t>下り</t>
        </is>
      </c>
      <c r="E4350" s="10" t="inlineStr">
        <is>
          <t>連1403</t>
        </is>
      </c>
      <c r="F4350" t="inlineStr">
        <is>
          <t>0112</t>
        </is>
      </c>
      <c r="G4350" s="10" t="inlineStr">
        <is>
          <t>蚕ノ社</t>
        </is>
      </c>
      <c r="H4350" s="10" t="inlineStr">
        <is>
          <t>発</t>
        </is>
      </c>
      <c r="J4350" s="10" t="inlineStr">
        <is>
          <t>営業</t>
        </is>
      </c>
      <c r="L4350" t="inlineStr">
        <is>
          <t>14:24:20</t>
        </is>
      </c>
      <c r="M4350" t="inlineStr">
        <is>
          <t>14:24:40</t>
        </is>
      </c>
      <c r="P4350" t="inlineStr">
        <is>
          <t>B系統(終日)</t>
        </is>
      </c>
    </row>
    <row r="4351" ht="16.5" customHeight="1" s="37">
      <c r="A4351" t="n">
        <v>7</v>
      </c>
      <c r="B4351" s="10" t="inlineStr">
        <is>
          <t>休日</t>
        </is>
      </c>
      <c r="C4351" s="10" t="inlineStr">
        <is>
          <t>本線</t>
        </is>
      </c>
      <c r="D4351" s="10" t="inlineStr">
        <is>
          <t>下り</t>
        </is>
      </c>
      <c r="E4351" s="10" t="inlineStr">
        <is>
          <t>連1403</t>
        </is>
      </c>
      <c r="F4351" t="inlineStr">
        <is>
          <t>0112</t>
        </is>
      </c>
      <c r="G4351" s="10" t="inlineStr">
        <is>
          <t>太秦広隆寺</t>
        </is>
      </c>
      <c r="H4351" s="10" t="inlineStr">
        <is>
          <t>発</t>
        </is>
      </c>
      <c r="J4351" s="10" t="inlineStr">
        <is>
          <t>営業</t>
        </is>
      </c>
      <c r="L4351" t="inlineStr">
        <is>
          <t>14:26:00</t>
        </is>
      </c>
      <c r="M4351" t="inlineStr">
        <is>
          <t>14:26:20</t>
        </is>
      </c>
      <c r="P4351" t="inlineStr">
        <is>
          <t>B系統(終日)</t>
        </is>
      </c>
    </row>
    <row r="4352" ht="16.5" customHeight="1" s="37">
      <c r="A4352" t="n">
        <v>7</v>
      </c>
      <c r="B4352" s="10" t="inlineStr">
        <is>
          <t>休日</t>
        </is>
      </c>
      <c r="C4352" s="10" t="inlineStr">
        <is>
          <t>本線</t>
        </is>
      </c>
      <c r="D4352" s="10" t="inlineStr">
        <is>
          <t>下り</t>
        </is>
      </c>
      <c r="E4352" s="10" t="inlineStr">
        <is>
          <t>連1403</t>
        </is>
      </c>
      <c r="F4352" t="inlineStr">
        <is>
          <t>0112</t>
        </is>
      </c>
      <c r="G4352" s="10" t="inlineStr">
        <is>
          <t>帷子ノ辻</t>
        </is>
      </c>
      <c r="H4352" s="10" t="inlineStr">
        <is>
          <t>発</t>
        </is>
      </c>
      <c r="J4352" s="10" t="inlineStr">
        <is>
          <t>営業</t>
        </is>
      </c>
      <c r="L4352" t="inlineStr">
        <is>
          <t>14:28:20</t>
        </is>
      </c>
      <c r="M4352" t="inlineStr">
        <is>
          <t>14:29:40</t>
        </is>
      </c>
      <c r="P4352" t="inlineStr">
        <is>
          <t>B系統(終日)</t>
        </is>
      </c>
    </row>
    <row r="4353" ht="16.5" customHeight="1" s="37">
      <c r="A4353" t="n">
        <v>7</v>
      </c>
      <c r="B4353" s="10" t="inlineStr">
        <is>
          <t>休日</t>
        </is>
      </c>
      <c r="C4353" s="10" t="inlineStr">
        <is>
          <t>本線</t>
        </is>
      </c>
      <c r="D4353" s="10" t="inlineStr">
        <is>
          <t>下り</t>
        </is>
      </c>
      <c r="E4353" s="10" t="inlineStr">
        <is>
          <t>連1403</t>
        </is>
      </c>
      <c r="F4353" t="inlineStr">
        <is>
          <t>0112</t>
        </is>
      </c>
      <c r="G4353" s="10" t="inlineStr">
        <is>
          <t>有栖川</t>
        </is>
      </c>
      <c r="H4353" s="10" t="inlineStr">
        <is>
          <t>発</t>
        </is>
      </c>
      <c r="J4353" s="10" t="inlineStr">
        <is>
          <t>営業</t>
        </is>
      </c>
      <c r="L4353" t="inlineStr">
        <is>
          <t>14:30:50</t>
        </is>
      </c>
      <c r="M4353" t="inlineStr">
        <is>
          <t>14:31:15</t>
        </is>
      </c>
      <c r="P4353" t="inlineStr">
        <is>
          <t>B系統(終日)</t>
        </is>
      </c>
    </row>
    <row r="4354" ht="16.5" customHeight="1" s="37">
      <c r="A4354" t="n">
        <v>7</v>
      </c>
      <c r="B4354" s="10" t="inlineStr">
        <is>
          <t>休日</t>
        </is>
      </c>
      <c r="C4354" s="10" t="inlineStr">
        <is>
          <t>本線</t>
        </is>
      </c>
      <c r="D4354" s="10" t="inlineStr">
        <is>
          <t>下り</t>
        </is>
      </c>
      <c r="E4354" s="10" t="inlineStr">
        <is>
          <t>連1403</t>
        </is>
      </c>
      <c r="F4354" t="inlineStr">
        <is>
          <t>0112</t>
        </is>
      </c>
      <c r="G4354" s="10" t="inlineStr">
        <is>
          <t>車折</t>
        </is>
      </c>
      <c r="H4354" s="10" t="inlineStr">
        <is>
          <t>発</t>
        </is>
      </c>
      <c r="J4354" s="10" t="inlineStr">
        <is>
          <t>営業</t>
        </is>
      </c>
      <c r="L4354" t="inlineStr">
        <is>
          <t>14:32:40</t>
        </is>
      </c>
      <c r="M4354" t="inlineStr">
        <is>
          <t>14:33:05</t>
        </is>
      </c>
      <c r="P4354" t="inlineStr">
        <is>
          <t>B系統(終日)</t>
        </is>
      </c>
    </row>
    <row r="4355" ht="16.5" customHeight="1" s="37">
      <c r="A4355" t="n">
        <v>7</v>
      </c>
      <c r="B4355" s="10" t="inlineStr">
        <is>
          <t>休日</t>
        </is>
      </c>
      <c r="C4355" s="10" t="inlineStr">
        <is>
          <t>本線</t>
        </is>
      </c>
      <c r="D4355" s="10" t="inlineStr">
        <is>
          <t>下り</t>
        </is>
      </c>
      <c r="E4355" s="10" t="inlineStr">
        <is>
          <t>連1403</t>
        </is>
      </c>
      <c r="F4355" t="inlineStr">
        <is>
          <t>0112</t>
        </is>
      </c>
      <c r="G4355" s="10" t="inlineStr">
        <is>
          <t>鹿王院</t>
        </is>
      </c>
      <c r="H4355" s="10" t="inlineStr">
        <is>
          <t>発</t>
        </is>
      </c>
      <c r="J4355" s="10" t="inlineStr">
        <is>
          <t>営業</t>
        </is>
      </c>
      <c r="L4355" t="inlineStr">
        <is>
          <t>14:34:00</t>
        </is>
      </c>
      <c r="M4355" t="inlineStr">
        <is>
          <t>14:34:25</t>
        </is>
      </c>
      <c r="P4355" t="inlineStr">
        <is>
          <t>B系統(終日)</t>
        </is>
      </c>
    </row>
    <row r="4356" ht="16.5" customHeight="1" s="37">
      <c r="A4356" t="n">
        <v>7</v>
      </c>
      <c r="B4356" s="10" t="inlineStr">
        <is>
          <t>休日</t>
        </is>
      </c>
      <c r="C4356" s="10" t="inlineStr">
        <is>
          <t>本線</t>
        </is>
      </c>
      <c r="D4356" s="10" t="inlineStr">
        <is>
          <t>下り</t>
        </is>
      </c>
      <c r="E4356" s="10" t="inlineStr">
        <is>
          <t>連1403</t>
        </is>
      </c>
      <c r="F4356" t="inlineStr">
        <is>
          <t>0112</t>
        </is>
      </c>
      <c r="G4356" s="10" t="inlineStr">
        <is>
          <t>嵯峨</t>
        </is>
      </c>
      <c r="H4356" s="10" t="inlineStr">
        <is>
          <t>発</t>
        </is>
      </c>
      <c r="J4356" s="10" t="inlineStr">
        <is>
          <t>営業</t>
        </is>
      </c>
      <c r="L4356" t="inlineStr">
        <is>
          <t>14:35:30</t>
        </is>
      </c>
      <c r="M4356" t="inlineStr">
        <is>
          <t>14:35:55</t>
        </is>
      </c>
      <c r="P4356" t="inlineStr">
        <is>
          <t>B系統(終日)</t>
        </is>
      </c>
    </row>
    <row r="4357" ht="16.5" customHeight="1" s="37">
      <c r="A4357" t="n">
        <v>7</v>
      </c>
      <c r="B4357" s="10" t="inlineStr">
        <is>
          <t>休日</t>
        </is>
      </c>
      <c r="C4357" s="10" t="inlineStr">
        <is>
          <t>本線</t>
        </is>
      </c>
      <c r="D4357" s="10" t="inlineStr">
        <is>
          <t>下り</t>
        </is>
      </c>
      <c r="E4357" s="10" t="inlineStr">
        <is>
          <t>連1403</t>
        </is>
      </c>
      <c r="F4357" t="inlineStr">
        <is>
          <t>0112</t>
        </is>
      </c>
      <c r="G4357" s="10" t="inlineStr">
        <is>
          <t>嵐山</t>
        </is>
      </c>
      <c r="H4357" s="10" t="inlineStr">
        <is>
          <t>着</t>
        </is>
      </c>
      <c r="J4357" s="10" t="inlineStr">
        <is>
          <t>営業</t>
        </is>
      </c>
      <c r="L4357" t="inlineStr">
        <is>
          <t>14:37:00</t>
        </is>
      </c>
      <c r="P4357" t="inlineStr">
        <is>
          <t>B系統(終日)</t>
        </is>
      </c>
      <c r="Q4357" t="inlineStr">
        <is>
          <t>1</t>
        </is>
      </c>
    </row>
    <row r="4358" ht="16.5" customHeight="1" s="37">
      <c r="A4358" t="n">
        <v>7</v>
      </c>
      <c r="B4358" s="10" t="inlineStr">
        <is>
          <t>休日</t>
        </is>
      </c>
      <c r="C4358" s="10" t="inlineStr">
        <is>
          <t>本線</t>
        </is>
      </c>
      <c r="D4358" s="10" t="inlineStr">
        <is>
          <t>上り</t>
        </is>
      </c>
      <c r="E4358" s="10" t="inlineStr">
        <is>
          <t>連1410</t>
        </is>
      </c>
      <c r="F4358" t="inlineStr">
        <is>
          <t>0211</t>
        </is>
      </c>
      <c r="G4358" s="10" t="inlineStr">
        <is>
          <t>嵐山</t>
        </is>
      </c>
      <c r="H4358" s="10" t="inlineStr">
        <is>
          <t>発</t>
        </is>
      </c>
      <c r="J4358" s="10" t="inlineStr">
        <is>
          <t>営業</t>
        </is>
      </c>
      <c r="M4358" t="inlineStr">
        <is>
          <t>14:43:00</t>
        </is>
      </c>
      <c r="P4358" t="inlineStr">
        <is>
          <t>B系統(終日)</t>
        </is>
      </c>
      <c r="Q4358" t="inlineStr">
        <is>
          <t>1</t>
        </is>
      </c>
    </row>
    <row r="4359" ht="16.5" customHeight="1" s="37">
      <c r="A4359" t="n">
        <v>7</v>
      </c>
      <c r="B4359" s="10" t="inlineStr">
        <is>
          <t>休日</t>
        </is>
      </c>
      <c r="C4359" s="10" t="inlineStr">
        <is>
          <t>本線</t>
        </is>
      </c>
      <c r="D4359" s="10" t="inlineStr">
        <is>
          <t>上り</t>
        </is>
      </c>
      <c r="E4359" s="10" t="inlineStr">
        <is>
          <t>連1410</t>
        </is>
      </c>
      <c r="F4359" t="inlineStr">
        <is>
          <t>0211</t>
        </is>
      </c>
      <c r="G4359" s="10" t="inlineStr">
        <is>
          <t>嵯峨</t>
        </is>
      </c>
      <c r="H4359" s="10" t="inlineStr">
        <is>
          <t>発</t>
        </is>
      </c>
      <c r="J4359" s="10" t="inlineStr">
        <is>
          <t>営業</t>
        </is>
      </c>
      <c r="L4359" t="inlineStr">
        <is>
          <t>14:43:55</t>
        </is>
      </c>
      <c r="M4359" t="inlineStr">
        <is>
          <t>14:44:20</t>
        </is>
      </c>
      <c r="P4359" t="inlineStr">
        <is>
          <t>B系統(終日)</t>
        </is>
      </c>
    </row>
    <row r="4360" ht="16.5" customHeight="1" s="37">
      <c r="A4360" t="n">
        <v>7</v>
      </c>
      <c r="B4360" s="10" t="inlineStr">
        <is>
          <t>休日</t>
        </is>
      </c>
      <c r="C4360" s="10" t="inlineStr">
        <is>
          <t>本線</t>
        </is>
      </c>
      <c r="D4360" s="10" t="inlineStr">
        <is>
          <t>上り</t>
        </is>
      </c>
      <c r="E4360" s="10" t="inlineStr">
        <is>
          <t>連1410</t>
        </is>
      </c>
      <c r="F4360" t="inlineStr">
        <is>
          <t>0211</t>
        </is>
      </c>
      <c r="G4360" s="10" t="inlineStr">
        <is>
          <t>鹿王院</t>
        </is>
      </c>
      <c r="H4360" s="10" t="inlineStr">
        <is>
          <t>発</t>
        </is>
      </c>
      <c r="J4360" s="10" t="inlineStr">
        <is>
          <t>営業</t>
        </is>
      </c>
      <c r="L4360" t="inlineStr">
        <is>
          <t>14:45:25</t>
        </is>
      </c>
      <c r="M4360" t="inlineStr">
        <is>
          <t>14:45:45</t>
        </is>
      </c>
      <c r="P4360" t="inlineStr">
        <is>
          <t>B系統(終日)</t>
        </is>
      </c>
    </row>
    <row r="4361" ht="16.5" customHeight="1" s="37">
      <c r="A4361" t="n">
        <v>7</v>
      </c>
      <c r="B4361" s="10" t="inlineStr">
        <is>
          <t>休日</t>
        </is>
      </c>
      <c r="C4361" s="10" t="inlineStr">
        <is>
          <t>本線</t>
        </is>
      </c>
      <c r="D4361" s="10" t="inlineStr">
        <is>
          <t>上り</t>
        </is>
      </c>
      <c r="E4361" s="10" t="inlineStr">
        <is>
          <t>連1410</t>
        </is>
      </c>
      <c r="F4361" t="inlineStr">
        <is>
          <t>0211</t>
        </is>
      </c>
      <c r="G4361" s="10" t="inlineStr">
        <is>
          <t>車折</t>
        </is>
      </c>
      <c r="H4361" s="10" t="inlineStr">
        <is>
          <t>発</t>
        </is>
      </c>
      <c r="J4361" s="10" t="inlineStr">
        <is>
          <t>営業</t>
        </is>
      </c>
      <c r="L4361" t="inlineStr">
        <is>
          <t>14:46:40</t>
        </is>
      </c>
      <c r="M4361" t="inlineStr">
        <is>
          <t>14:47:10</t>
        </is>
      </c>
      <c r="P4361" t="inlineStr">
        <is>
          <t>B系統(終日)</t>
        </is>
      </c>
    </row>
    <row r="4362" ht="16.5" customHeight="1" s="37">
      <c r="A4362" t="n">
        <v>7</v>
      </c>
      <c r="B4362" s="10" t="inlineStr">
        <is>
          <t>休日</t>
        </is>
      </c>
      <c r="C4362" s="10" t="inlineStr">
        <is>
          <t>本線</t>
        </is>
      </c>
      <c r="D4362" s="10" t="inlineStr">
        <is>
          <t>上り</t>
        </is>
      </c>
      <c r="E4362" s="10" t="inlineStr">
        <is>
          <t>連1410</t>
        </is>
      </c>
      <c r="F4362" t="inlineStr">
        <is>
          <t>0211</t>
        </is>
      </c>
      <c r="G4362" s="10" t="inlineStr">
        <is>
          <t>有栖川</t>
        </is>
      </c>
      <c r="H4362" s="10" t="inlineStr">
        <is>
          <t>発</t>
        </is>
      </c>
      <c r="J4362" s="10" t="inlineStr">
        <is>
          <t>営業</t>
        </is>
      </c>
      <c r="L4362" t="inlineStr">
        <is>
          <t>14:48:35</t>
        </is>
      </c>
      <c r="M4362" t="inlineStr">
        <is>
          <t>14:48:55</t>
        </is>
      </c>
      <c r="P4362" t="inlineStr">
        <is>
          <t>B系統(終日)</t>
        </is>
      </c>
    </row>
    <row r="4363" ht="16.5" customHeight="1" s="37">
      <c r="A4363" t="n">
        <v>7</v>
      </c>
      <c r="B4363" s="10" t="inlineStr">
        <is>
          <t>休日</t>
        </is>
      </c>
      <c r="C4363" s="10" t="inlineStr">
        <is>
          <t>本線</t>
        </is>
      </c>
      <c r="D4363" s="10" t="inlineStr">
        <is>
          <t>上り</t>
        </is>
      </c>
      <c r="E4363" s="10" t="inlineStr">
        <is>
          <t>連1410</t>
        </is>
      </c>
      <c r="F4363" t="inlineStr">
        <is>
          <t>0211</t>
        </is>
      </c>
      <c r="G4363" s="10" t="inlineStr">
        <is>
          <t>帷子ノ辻</t>
        </is>
      </c>
      <c r="H4363" s="10" t="inlineStr">
        <is>
          <t>発</t>
        </is>
      </c>
      <c r="J4363" s="10" t="inlineStr">
        <is>
          <t>営業</t>
        </is>
      </c>
      <c r="L4363" t="inlineStr">
        <is>
          <t>14:50:10</t>
        </is>
      </c>
      <c r="M4363" t="inlineStr">
        <is>
          <t>14:51:15</t>
        </is>
      </c>
      <c r="P4363" t="inlineStr">
        <is>
          <t>B系統(終日)</t>
        </is>
      </c>
    </row>
    <row r="4364" ht="16.5" customHeight="1" s="37">
      <c r="A4364" t="n">
        <v>7</v>
      </c>
      <c r="B4364" s="10" t="inlineStr">
        <is>
          <t>休日</t>
        </is>
      </c>
      <c r="C4364" s="10" t="inlineStr">
        <is>
          <t>本線</t>
        </is>
      </c>
      <c r="D4364" s="10" t="inlineStr">
        <is>
          <t>上り</t>
        </is>
      </c>
      <c r="E4364" s="10" t="inlineStr">
        <is>
          <t>連1410</t>
        </is>
      </c>
      <c r="F4364" t="inlineStr">
        <is>
          <t>0211</t>
        </is>
      </c>
      <c r="G4364" s="10" t="inlineStr">
        <is>
          <t>太秦広隆寺</t>
        </is>
      </c>
      <c r="H4364" s="10" t="inlineStr">
        <is>
          <t>発</t>
        </is>
      </c>
      <c r="J4364" s="10" t="inlineStr">
        <is>
          <t>営業</t>
        </is>
      </c>
      <c r="L4364" t="inlineStr">
        <is>
          <t>14:53:25</t>
        </is>
      </c>
      <c r="M4364" t="inlineStr">
        <is>
          <t>14:53:45</t>
        </is>
      </c>
      <c r="P4364" t="inlineStr">
        <is>
          <t>B系統(終日)</t>
        </is>
      </c>
    </row>
    <row r="4365" ht="16.5" customHeight="1" s="37">
      <c r="A4365" t="n">
        <v>7</v>
      </c>
      <c r="B4365" s="10" t="inlineStr">
        <is>
          <t>休日</t>
        </is>
      </c>
      <c r="C4365" s="10" t="inlineStr">
        <is>
          <t>本線</t>
        </is>
      </c>
      <c r="D4365" s="10" t="inlineStr">
        <is>
          <t>上り</t>
        </is>
      </c>
      <c r="E4365" s="10" t="inlineStr">
        <is>
          <t>連1410</t>
        </is>
      </c>
      <c r="F4365" t="inlineStr">
        <is>
          <t>0211</t>
        </is>
      </c>
      <c r="G4365" s="10" t="inlineStr">
        <is>
          <t>蚕ノ社</t>
        </is>
      </c>
      <c r="H4365" s="10" t="inlineStr">
        <is>
          <t>発</t>
        </is>
      </c>
      <c r="J4365" s="10" t="inlineStr">
        <is>
          <t>営業</t>
        </is>
      </c>
      <c r="L4365" t="inlineStr">
        <is>
          <t>14:55:00</t>
        </is>
      </c>
      <c r="M4365" t="inlineStr">
        <is>
          <t>14:55:20</t>
        </is>
      </c>
      <c r="P4365" t="inlineStr">
        <is>
          <t>B系統(終日)</t>
        </is>
      </c>
    </row>
    <row r="4366" ht="16.5" customHeight="1" s="37">
      <c r="A4366" t="n">
        <v>7</v>
      </c>
      <c r="B4366" s="10" t="inlineStr">
        <is>
          <t>休日</t>
        </is>
      </c>
      <c r="C4366" s="10" t="inlineStr">
        <is>
          <t>本線</t>
        </is>
      </c>
      <c r="D4366" s="10" t="inlineStr">
        <is>
          <t>上り</t>
        </is>
      </c>
      <c r="E4366" s="10" t="inlineStr">
        <is>
          <t>連1410</t>
        </is>
      </c>
      <c r="F4366" t="inlineStr">
        <is>
          <t>0211</t>
        </is>
      </c>
      <c r="G4366" s="10" t="inlineStr">
        <is>
          <t>天神川</t>
        </is>
      </c>
      <c r="H4366" s="10" t="inlineStr">
        <is>
          <t>発</t>
        </is>
      </c>
      <c r="J4366" s="10" t="inlineStr">
        <is>
          <t>営業</t>
        </is>
      </c>
      <c r="L4366" t="inlineStr">
        <is>
          <t>14:56:05</t>
        </is>
      </c>
      <c r="M4366" t="inlineStr">
        <is>
          <t>14:56:50</t>
        </is>
      </c>
      <c r="P4366" t="inlineStr">
        <is>
          <t>B系統(終日)</t>
        </is>
      </c>
    </row>
    <row r="4367" ht="16.5" customHeight="1" s="37">
      <c r="A4367" t="n">
        <v>7</v>
      </c>
      <c r="B4367" s="10" t="inlineStr">
        <is>
          <t>休日</t>
        </is>
      </c>
      <c r="C4367" s="10" t="inlineStr">
        <is>
          <t>本線</t>
        </is>
      </c>
      <c r="D4367" s="10" t="inlineStr">
        <is>
          <t>上り</t>
        </is>
      </c>
      <c r="E4367" s="10" t="inlineStr">
        <is>
          <t>連1410</t>
        </is>
      </c>
      <c r="F4367" t="inlineStr">
        <is>
          <t>0211</t>
        </is>
      </c>
      <c r="G4367" s="10" t="inlineStr">
        <is>
          <t>山ノ内</t>
        </is>
      </c>
      <c r="H4367" s="10" t="inlineStr">
        <is>
          <t>発</t>
        </is>
      </c>
      <c r="J4367" s="10" t="inlineStr">
        <is>
          <t>営業</t>
        </is>
      </c>
      <c r="L4367" t="inlineStr">
        <is>
          <t>14:58:40</t>
        </is>
      </c>
      <c r="M4367" t="inlineStr">
        <is>
          <t>14:59:05</t>
        </is>
      </c>
      <c r="P4367" t="inlineStr">
        <is>
          <t>B系統(終日)</t>
        </is>
      </c>
    </row>
    <row r="4368" ht="16.5" customHeight="1" s="37">
      <c r="A4368" t="n">
        <v>7</v>
      </c>
      <c r="B4368" s="10" t="inlineStr">
        <is>
          <t>休日</t>
        </is>
      </c>
      <c r="C4368" s="10" t="inlineStr">
        <is>
          <t>本線</t>
        </is>
      </c>
      <c r="D4368" s="10" t="inlineStr">
        <is>
          <t>上り</t>
        </is>
      </c>
      <c r="E4368" s="10" t="inlineStr">
        <is>
          <t>連1410</t>
        </is>
      </c>
      <c r="F4368" t="inlineStr">
        <is>
          <t>0211</t>
        </is>
      </c>
      <c r="G4368" s="10" t="inlineStr">
        <is>
          <t>西大路三条</t>
        </is>
      </c>
      <c r="H4368" s="10" t="inlineStr">
        <is>
          <t>発</t>
        </is>
      </c>
      <c r="J4368" s="10" t="inlineStr">
        <is>
          <t>営業</t>
        </is>
      </c>
      <c r="L4368" t="inlineStr">
        <is>
          <t>15:00:55</t>
        </is>
      </c>
      <c r="M4368" t="inlineStr">
        <is>
          <t>15:01:15</t>
        </is>
      </c>
      <c r="P4368" t="inlineStr">
        <is>
          <t>B系統(終日)</t>
        </is>
      </c>
    </row>
    <row r="4369" ht="16.5" customHeight="1" s="37">
      <c r="A4369" t="n">
        <v>7</v>
      </c>
      <c r="B4369" s="10" t="inlineStr">
        <is>
          <t>休日</t>
        </is>
      </c>
      <c r="C4369" s="10" t="inlineStr">
        <is>
          <t>本線</t>
        </is>
      </c>
      <c r="D4369" s="10" t="inlineStr">
        <is>
          <t>上り</t>
        </is>
      </c>
      <c r="E4369" s="10" t="inlineStr">
        <is>
          <t>連1410</t>
        </is>
      </c>
      <c r="F4369" t="inlineStr">
        <is>
          <t>0211</t>
        </is>
      </c>
      <c r="G4369" s="10" t="inlineStr">
        <is>
          <t>西院</t>
        </is>
      </c>
      <c r="H4369" s="10" t="inlineStr">
        <is>
          <t>発</t>
        </is>
      </c>
      <c r="J4369" s="10" t="inlineStr">
        <is>
          <t>営業</t>
        </is>
      </c>
      <c r="L4369" t="inlineStr">
        <is>
          <t>15:03:10</t>
        </is>
      </c>
      <c r="M4369" t="inlineStr">
        <is>
          <t>15:04:05</t>
        </is>
      </c>
      <c r="P4369" t="inlineStr">
        <is>
          <t>B系統(終日)</t>
        </is>
      </c>
    </row>
    <row r="4370" ht="16.5" customHeight="1" s="37">
      <c r="A4370" t="n">
        <v>7</v>
      </c>
      <c r="B4370" s="10" t="inlineStr">
        <is>
          <t>休日</t>
        </is>
      </c>
      <c r="C4370" s="10" t="inlineStr">
        <is>
          <t>本線</t>
        </is>
      </c>
      <c r="D4370" s="10" t="inlineStr">
        <is>
          <t>上り</t>
        </is>
      </c>
      <c r="E4370" s="10" t="inlineStr">
        <is>
          <t>連1410</t>
        </is>
      </c>
      <c r="F4370" t="inlineStr">
        <is>
          <t>0211</t>
        </is>
      </c>
      <c r="G4370" s="10" t="inlineStr">
        <is>
          <t>四条大宮</t>
        </is>
      </c>
      <c r="H4370" s="10" t="inlineStr">
        <is>
          <t>着</t>
        </is>
      </c>
      <c r="J4370" s="10" t="inlineStr">
        <is>
          <t>営業</t>
        </is>
      </c>
      <c r="L4370" t="inlineStr">
        <is>
          <t>15:07:00</t>
        </is>
      </c>
      <c r="P4370" t="inlineStr">
        <is>
          <t>B系統(終日)</t>
        </is>
      </c>
      <c r="Q4370" t="inlineStr">
        <is>
          <t>1</t>
        </is>
      </c>
    </row>
    <row r="4371" ht="16.5" customHeight="1" s="37">
      <c r="A4371" t="n">
        <v>7</v>
      </c>
      <c r="B4371" s="10" t="inlineStr">
        <is>
          <t>休日</t>
        </is>
      </c>
      <c r="C4371" s="10" t="inlineStr">
        <is>
          <t>本線</t>
        </is>
      </c>
      <c r="D4371" s="10" t="inlineStr">
        <is>
          <t>下り</t>
        </is>
      </c>
      <c r="E4371" s="10" t="inlineStr">
        <is>
          <t>連1503</t>
        </is>
      </c>
      <c r="F4371" t="inlineStr">
        <is>
          <t>0112</t>
        </is>
      </c>
      <c r="G4371" s="10" t="inlineStr">
        <is>
          <t>四条大宮</t>
        </is>
      </c>
      <c r="H4371" s="10" t="inlineStr">
        <is>
          <t>発</t>
        </is>
      </c>
      <c r="J4371" s="10" t="inlineStr">
        <is>
          <t>営業</t>
        </is>
      </c>
      <c r="M4371" t="inlineStr">
        <is>
          <t>15:13:00</t>
        </is>
      </c>
      <c r="P4371" t="inlineStr">
        <is>
          <t>B系統(終日)</t>
        </is>
      </c>
      <c r="Q4371" t="inlineStr">
        <is>
          <t>1</t>
        </is>
      </c>
    </row>
    <row r="4372" ht="16.5" customHeight="1" s="37">
      <c r="A4372" t="n">
        <v>7</v>
      </c>
      <c r="B4372" s="10" t="inlineStr">
        <is>
          <t>休日</t>
        </is>
      </c>
      <c r="C4372" s="10" t="inlineStr">
        <is>
          <t>本線</t>
        </is>
      </c>
      <c r="D4372" s="10" t="inlineStr">
        <is>
          <t>下り</t>
        </is>
      </c>
      <c r="E4372" s="10" t="inlineStr">
        <is>
          <t>連1503</t>
        </is>
      </c>
      <c r="F4372" t="inlineStr">
        <is>
          <t>0112</t>
        </is>
      </c>
      <c r="G4372" s="10" t="inlineStr">
        <is>
          <t>西院</t>
        </is>
      </c>
      <c r="H4372" s="10" t="inlineStr">
        <is>
          <t>発</t>
        </is>
      </c>
      <c r="J4372" s="10" t="inlineStr">
        <is>
          <t>営業</t>
        </is>
      </c>
      <c r="L4372" t="inlineStr">
        <is>
          <t>15:15:50</t>
        </is>
      </c>
      <c r="M4372" t="inlineStr">
        <is>
          <t>15:16:20</t>
        </is>
      </c>
      <c r="P4372" t="inlineStr">
        <is>
          <t>B系統(終日)</t>
        </is>
      </c>
    </row>
    <row r="4373" ht="16.5" customHeight="1" s="37">
      <c r="A4373" t="n">
        <v>7</v>
      </c>
      <c r="B4373" s="10" t="inlineStr">
        <is>
          <t>休日</t>
        </is>
      </c>
      <c r="C4373" s="10" t="inlineStr">
        <is>
          <t>本線</t>
        </is>
      </c>
      <c r="D4373" s="10" t="inlineStr">
        <is>
          <t>下り</t>
        </is>
      </c>
      <c r="E4373" s="10" t="inlineStr">
        <is>
          <t>連1503</t>
        </is>
      </c>
      <c r="F4373" t="inlineStr">
        <is>
          <t>0112</t>
        </is>
      </c>
      <c r="G4373" s="10" t="inlineStr">
        <is>
          <t>西大路三条</t>
        </is>
      </c>
      <c r="H4373" s="10" t="inlineStr">
        <is>
          <t>発</t>
        </is>
      </c>
      <c r="J4373" s="10" t="inlineStr">
        <is>
          <t>営業</t>
        </is>
      </c>
      <c r="L4373" t="inlineStr">
        <is>
          <t>15:18:10</t>
        </is>
      </c>
      <c r="M4373" t="inlineStr">
        <is>
          <t>15:18:30</t>
        </is>
      </c>
      <c r="P4373" t="inlineStr">
        <is>
          <t>B系統(終日)</t>
        </is>
      </c>
    </row>
    <row r="4374" ht="16.5" customHeight="1" s="37">
      <c r="A4374" t="n">
        <v>7</v>
      </c>
      <c r="B4374" s="10" t="inlineStr">
        <is>
          <t>休日</t>
        </is>
      </c>
      <c r="C4374" s="10" t="inlineStr">
        <is>
          <t>本線</t>
        </is>
      </c>
      <c r="D4374" s="10" t="inlineStr">
        <is>
          <t>下り</t>
        </is>
      </c>
      <c r="E4374" s="10" t="inlineStr">
        <is>
          <t>連1503</t>
        </is>
      </c>
      <c r="F4374" t="inlineStr">
        <is>
          <t>0112</t>
        </is>
      </c>
      <c r="G4374" s="10" t="inlineStr">
        <is>
          <t>山ノ内</t>
        </is>
      </c>
      <c r="H4374" s="10" t="inlineStr">
        <is>
          <t>発</t>
        </is>
      </c>
      <c r="J4374" s="10" t="inlineStr">
        <is>
          <t>営業</t>
        </is>
      </c>
      <c r="L4374" t="inlineStr">
        <is>
          <t>15:20:25</t>
        </is>
      </c>
      <c r="M4374" t="inlineStr">
        <is>
          <t>15:20:50</t>
        </is>
      </c>
      <c r="P4374" t="inlineStr">
        <is>
          <t>B系統(終日)</t>
        </is>
      </c>
    </row>
    <row r="4375" ht="16.5" customHeight="1" s="37">
      <c r="A4375" t="n">
        <v>7</v>
      </c>
      <c r="B4375" s="10" t="inlineStr">
        <is>
          <t>休日</t>
        </is>
      </c>
      <c r="C4375" s="10" t="inlineStr">
        <is>
          <t>本線</t>
        </is>
      </c>
      <c r="D4375" s="10" t="inlineStr">
        <is>
          <t>下り</t>
        </is>
      </c>
      <c r="E4375" s="10" t="inlineStr">
        <is>
          <t>連1503</t>
        </is>
      </c>
      <c r="F4375" t="inlineStr">
        <is>
          <t>0112</t>
        </is>
      </c>
      <c r="G4375" s="10" t="inlineStr">
        <is>
          <t>天神川</t>
        </is>
      </c>
      <c r="H4375" s="10" t="inlineStr">
        <is>
          <t>発</t>
        </is>
      </c>
      <c r="J4375" s="10" t="inlineStr">
        <is>
          <t>営業</t>
        </is>
      </c>
      <c r="L4375" t="inlineStr">
        <is>
          <t>15:22:50</t>
        </is>
      </c>
      <c r="M4375" t="inlineStr">
        <is>
          <t>15:23:30</t>
        </is>
      </c>
      <c r="P4375" t="inlineStr">
        <is>
          <t>B系統(終日)</t>
        </is>
      </c>
    </row>
    <row r="4376" ht="15" customHeight="1" s="37">
      <c r="A4376" t="n">
        <v>7</v>
      </c>
      <c r="B4376" s="10" t="inlineStr">
        <is>
          <t>休日</t>
        </is>
      </c>
      <c r="C4376" s="10" t="inlineStr">
        <is>
          <t>本線</t>
        </is>
      </c>
      <c r="D4376" s="10" t="inlineStr">
        <is>
          <t>下り</t>
        </is>
      </c>
      <c r="E4376" s="10" t="inlineStr">
        <is>
          <t>連1503</t>
        </is>
      </c>
      <c r="F4376" t="inlineStr">
        <is>
          <t>0112</t>
        </is>
      </c>
      <c r="G4376" s="10" t="inlineStr">
        <is>
          <t>蚕ノ社</t>
        </is>
      </c>
      <c r="H4376" s="10" t="inlineStr">
        <is>
          <t>発</t>
        </is>
      </c>
      <c r="J4376" s="10" t="inlineStr">
        <is>
          <t>営業</t>
        </is>
      </c>
      <c r="L4376" t="inlineStr">
        <is>
          <t>15:24:20</t>
        </is>
      </c>
      <c r="M4376" t="inlineStr">
        <is>
          <t>15:24:40</t>
        </is>
      </c>
      <c r="P4376" t="inlineStr">
        <is>
          <t>B系統(終日)</t>
        </is>
      </c>
    </row>
    <row r="4377" ht="15" customHeight="1" s="37">
      <c r="A4377" t="n">
        <v>7</v>
      </c>
      <c r="B4377" s="10" t="inlineStr">
        <is>
          <t>休日</t>
        </is>
      </c>
      <c r="C4377" s="10" t="inlineStr">
        <is>
          <t>本線</t>
        </is>
      </c>
      <c r="D4377" s="10" t="inlineStr">
        <is>
          <t>下り</t>
        </is>
      </c>
      <c r="E4377" s="10" t="inlineStr">
        <is>
          <t>連1503</t>
        </is>
      </c>
      <c r="F4377" t="inlineStr">
        <is>
          <t>0112</t>
        </is>
      </c>
      <c r="G4377" s="10" t="inlineStr">
        <is>
          <t>太秦広隆寺</t>
        </is>
      </c>
      <c r="H4377" s="10" t="inlineStr">
        <is>
          <t>発</t>
        </is>
      </c>
      <c r="J4377" s="10" t="inlineStr">
        <is>
          <t>営業</t>
        </is>
      </c>
      <c r="L4377" t="inlineStr">
        <is>
          <t>15:26:00</t>
        </is>
      </c>
      <c r="M4377" t="inlineStr">
        <is>
          <t>15:26:20</t>
        </is>
      </c>
      <c r="P4377" t="inlineStr">
        <is>
          <t>B系統(終日)</t>
        </is>
      </c>
    </row>
    <row r="4378" ht="15" customHeight="1" s="37">
      <c r="A4378" t="n">
        <v>7</v>
      </c>
      <c r="B4378" s="10" t="inlineStr">
        <is>
          <t>休日</t>
        </is>
      </c>
      <c r="C4378" s="10" t="inlineStr">
        <is>
          <t>本線</t>
        </is>
      </c>
      <c r="D4378" s="10" t="inlineStr">
        <is>
          <t>下り</t>
        </is>
      </c>
      <c r="E4378" s="10" t="inlineStr">
        <is>
          <t>連1503</t>
        </is>
      </c>
      <c r="F4378" t="inlineStr">
        <is>
          <t>0112</t>
        </is>
      </c>
      <c r="G4378" s="10" t="inlineStr">
        <is>
          <t>帷子ノ辻</t>
        </is>
      </c>
      <c r="H4378" s="10" t="inlineStr">
        <is>
          <t>発</t>
        </is>
      </c>
      <c r="J4378" s="10" t="inlineStr">
        <is>
          <t>営業</t>
        </is>
      </c>
      <c r="L4378" t="inlineStr">
        <is>
          <t>15:28:20</t>
        </is>
      </c>
      <c r="M4378" t="inlineStr">
        <is>
          <t>15:29:40</t>
        </is>
      </c>
      <c r="P4378" t="inlineStr">
        <is>
          <t>B系統(終日)</t>
        </is>
      </c>
    </row>
    <row r="4379" ht="15" customHeight="1" s="37">
      <c r="A4379" t="n">
        <v>7</v>
      </c>
      <c r="B4379" s="10" t="inlineStr">
        <is>
          <t>休日</t>
        </is>
      </c>
      <c r="C4379" s="10" t="inlineStr">
        <is>
          <t>本線</t>
        </is>
      </c>
      <c r="D4379" s="10" t="inlineStr">
        <is>
          <t>下り</t>
        </is>
      </c>
      <c r="E4379" s="10" t="inlineStr">
        <is>
          <t>連1503</t>
        </is>
      </c>
      <c r="F4379" t="inlineStr">
        <is>
          <t>0112</t>
        </is>
      </c>
      <c r="G4379" s="10" t="inlineStr">
        <is>
          <t>有栖川</t>
        </is>
      </c>
      <c r="H4379" s="10" t="inlineStr">
        <is>
          <t>発</t>
        </is>
      </c>
      <c r="J4379" s="10" t="inlineStr">
        <is>
          <t>営業</t>
        </is>
      </c>
      <c r="L4379" t="inlineStr">
        <is>
          <t>15:30:50</t>
        </is>
      </c>
      <c r="M4379" t="inlineStr">
        <is>
          <t>15:31:15</t>
        </is>
      </c>
      <c r="P4379" t="inlineStr">
        <is>
          <t>B系統(終日)</t>
        </is>
      </c>
    </row>
    <row r="4380" ht="15" customHeight="1" s="37">
      <c r="A4380" t="n">
        <v>7</v>
      </c>
      <c r="B4380" s="10" t="inlineStr">
        <is>
          <t>休日</t>
        </is>
      </c>
      <c r="C4380" s="10" t="inlineStr">
        <is>
          <t>本線</t>
        </is>
      </c>
      <c r="D4380" s="10" t="inlineStr">
        <is>
          <t>下り</t>
        </is>
      </c>
      <c r="E4380" s="10" t="inlineStr">
        <is>
          <t>連1503</t>
        </is>
      </c>
      <c r="F4380" t="inlineStr">
        <is>
          <t>0112</t>
        </is>
      </c>
      <c r="G4380" s="10" t="inlineStr">
        <is>
          <t>車折</t>
        </is>
      </c>
      <c r="H4380" s="10" t="inlineStr">
        <is>
          <t>発</t>
        </is>
      </c>
      <c r="J4380" s="10" t="inlineStr">
        <is>
          <t>営業</t>
        </is>
      </c>
      <c r="L4380" t="inlineStr">
        <is>
          <t>15:32:40</t>
        </is>
      </c>
      <c r="M4380" t="inlineStr">
        <is>
          <t>15:33:05</t>
        </is>
      </c>
      <c r="P4380" t="inlineStr">
        <is>
          <t>B系統(終日)</t>
        </is>
      </c>
    </row>
    <row r="4381" ht="15" customHeight="1" s="37">
      <c r="A4381" t="n">
        <v>7</v>
      </c>
      <c r="B4381" s="10" t="inlineStr">
        <is>
          <t>休日</t>
        </is>
      </c>
      <c r="C4381" s="10" t="inlineStr">
        <is>
          <t>本線</t>
        </is>
      </c>
      <c r="D4381" s="10" t="inlineStr">
        <is>
          <t>下り</t>
        </is>
      </c>
      <c r="E4381" s="10" t="inlineStr">
        <is>
          <t>連1503</t>
        </is>
      </c>
      <c r="F4381" t="inlineStr">
        <is>
          <t>0112</t>
        </is>
      </c>
      <c r="G4381" s="10" t="inlineStr">
        <is>
          <t>鹿王院</t>
        </is>
      </c>
      <c r="H4381" s="10" t="inlineStr">
        <is>
          <t>発</t>
        </is>
      </c>
      <c r="J4381" s="10" t="inlineStr">
        <is>
          <t>営業</t>
        </is>
      </c>
      <c r="L4381" t="inlineStr">
        <is>
          <t>15:34:00</t>
        </is>
      </c>
      <c r="M4381" t="inlineStr">
        <is>
          <t>15:34:25</t>
        </is>
      </c>
      <c r="P4381" t="inlineStr">
        <is>
          <t>B系統(終日)</t>
        </is>
      </c>
    </row>
    <row r="4382" ht="15" customHeight="1" s="37">
      <c r="A4382" t="n">
        <v>7</v>
      </c>
      <c r="B4382" s="10" t="inlineStr">
        <is>
          <t>休日</t>
        </is>
      </c>
      <c r="C4382" s="10" t="inlineStr">
        <is>
          <t>本線</t>
        </is>
      </c>
      <c r="D4382" s="10" t="inlineStr">
        <is>
          <t>下り</t>
        </is>
      </c>
      <c r="E4382" s="10" t="inlineStr">
        <is>
          <t>連1503</t>
        </is>
      </c>
      <c r="F4382" t="inlineStr">
        <is>
          <t>0112</t>
        </is>
      </c>
      <c r="G4382" s="10" t="inlineStr">
        <is>
          <t>嵯峨</t>
        </is>
      </c>
      <c r="H4382" s="10" t="inlineStr">
        <is>
          <t>発</t>
        </is>
      </c>
      <c r="J4382" s="10" t="inlineStr">
        <is>
          <t>営業</t>
        </is>
      </c>
      <c r="L4382" t="inlineStr">
        <is>
          <t>15:35:30</t>
        </is>
      </c>
      <c r="M4382" t="inlineStr">
        <is>
          <t>15:35:55</t>
        </is>
      </c>
      <c r="P4382" t="inlineStr">
        <is>
          <t>B系統(終日)</t>
        </is>
      </c>
    </row>
    <row r="4383" ht="15" customHeight="1" s="37">
      <c r="A4383" t="n">
        <v>7</v>
      </c>
      <c r="B4383" s="10" t="inlineStr">
        <is>
          <t>休日</t>
        </is>
      </c>
      <c r="C4383" s="10" t="inlineStr">
        <is>
          <t>本線</t>
        </is>
      </c>
      <c r="D4383" s="10" t="inlineStr">
        <is>
          <t>下り</t>
        </is>
      </c>
      <c r="E4383" s="10" t="inlineStr">
        <is>
          <t>連1503</t>
        </is>
      </c>
      <c r="F4383" t="inlineStr">
        <is>
          <t>0112</t>
        </is>
      </c>
      <c r="G4383" s="10" t="inlineStr">
        <is>
          <t>嵐山</t>
        </is>
      </c>
      <c r="H4383" s="10" t="inlineStr">
        <is>
          <t>着</t>
        </is>
      </c>
      <c r="J4383" s="10" t="inlineStr">
        <is>
          <t>営業</t>
        </is>
      </c>
      <c r="L4383" t="inlineStr">
        <is>
          <t>15:37:00</t>
        </is>
      </c>
      <c r="P4383" t="inlineStr">
        <is>
          <t>B系統(終日)</t>
        </is>
      </c>
      <c r="Q4383" t="inlineStr">
        <is>
          <t>1</t>
        </is>
      </c>
    </row>
    <row r="4384" ht="15" customHeight="1" s="37">
      <c r="A4384" t="n">
        <v>7</v>
      </c>
      <c r="B4384" s="10" t="inlineStr">
        <is>
          <t>休日</t>
        </is>
      </c>
      <c r="C4384" s="10" t="inlineStr">
        <is>
          <t>本線</t>
        </is>
      </c>
      <c r="D4384" s="10" t="inlineStr">
        <is>
          <t>上り</t>
        </is>
      </c>
      <c r="E4384" s="10" t="inlineStr">
        <is>
          <t>連1510</t>
        </is>
      </c>
      <c r="F4384" t="inlineStr">
        <is>
          <t>0211</t>
        </is>
      </c>
      <c r="G4384" s="10" t="inlineStr">
        <is>
          <t>嵐山</t>
        </is>
      </c>
      <c r="H4384" s="10" t="inlineStr">
        <is>
          <t>発</t>
        </is>
      </c>
      <c r="J4384" s="10" t="inlineStr">
        <is>
          <t>営業</t>
        </is>
      </c>
      <c r="M4384" t="inlineStr">
        <is>
          <t>15:43:00</t>
        </is>
      </c>
      <c r="P4384" t="inlineStr">
        <is>
          <t>B系統(終日)</t>
        </is>
      </c>
      <c r="Q4384" t="inlineStr">
        <is>
          <t>1</t>
        </is>
      </c>
    </row>
    <row r="4385" ht="15" customHeight="1" s="37">
      <c r="A4385" t="n">
        <v>7</v>
      </c>
      <c r="B4385" s="10" t="inlineStr">
        <is>
          <t>休日</t>
        </is>
      </c>
      <c r="C4385" s="10" t="inlineStr">
        <is>
          <t>本線</t>
        </is>
      </c>
      <c r="D4385" s="10" t="inlineStr">
        <is>
          <t>上り</t>
        </is>
      </c>
      <c r="E4385" s="10" t="inlineStr">
        <is>
          <t>連1510</t>
        </is>
      </c>
      <c r="F4385" t="inlineStr">
        <is>
          <t>0211</t>
        </is>
      </c>
      <c r="G4385" s="10" t="inlineStr">
        <is>
          <t>嵯峨</t>
        </is>
      </c>
      <c r="H4385" s="10" t="inlineStr">
        <is>
          <t>発</t>
        </is>
      </c>
      <c r="J4385" s="10" t="inlineStr">
        <is>
          <t>営業</t>
        </is>
      </c>
      <c r="L4385" t="inlineStr">
        <is>
          <t>15:43:55</t>
        </is>
      </c>
      <c r="M4385" t="inlineStr">
        <is>
          <t>15:44:20</t>
        </is>
      </c>
      <c r="P4385" t="inlineStr">
        <is>
          <t>B系統(終日)</t>
        </is>
      </c>
    </row>
    <row r="4386" ht="15" customHeight="1" s="37">
      <c r="A4386" t="n">
        <v>7</v>
      </c>
      <c r="B4386" s="10" t="inlineStr">
        <is>
          <t>休日</t>
        </is>
      </c>
      <c r="C4386" s="10" t="inlineStr">
        <is>
          <t>本線</t>
        </is>
      </c>
      <c r="D4386" s="10" t="inlineStr">
        <is>
          <t>上り</t>
        </is>
      </c>
      <c r="E4386" s="10" t="inlineStr">
        <is>
          <t>連1510</t>
        </is>
      </c>
      <c r="F4386" t="inlineStr">
        <is>
          <t>0211</t>
        </is>
      </c>
      <c r="G4386" s="10" t="inlineStr">
        <is>
          <t>鹿王院</t>
        </is>
      </c>
      <c r="H4386" s="10" t="inlineStr">
        <is>
          <t>発</t>
        </is>
      </c>
      <c r="J4386" s="10" t="inlineStr">
        <is>
          <t>営業</t>
        </is>
      </c>
      <c r="L4386" t="inlineStr">
        <is>
          <t>15:45:25</t>
        </is>
      </c>
      <c r="M4386" t="inlineStr">
        <is>
          <t>15:45:45</t>
        </is>
      </c>
      <c r="P4386" t="inlineStr">
        <is>
          <t>B系統(終日)</t>
        </is>
      </c>
    </row>
    <row r="4387" ht="15" customHeight="1" s="37">
      <c r="A4387" t="n">
        <v>7</v>
      </c>
      <c r="B4387" s="10" t="inlineStr">
        <is>
          <t>休日</t>
        </is>
      </c>
      <c r="C4387" s="10" t="inlineStr">
        <is>
          <t>本線</t>
        </is>
      </c>
      <c r="D4387" s="10" t="inlineStr">
        <is>
          <t>上り</t>
        </is>
      </c>
      <c r="E4387" s="10" t="inlineStr">
        <is>
          <t>連1510</t>
        </is>
      </c>
      <c r="F4387" t="inlineStr">
        <is>
          <t>0211</t>
        </is>
      </c>
      <c r="G4387" s="10" t="inlineStr">
        <is>
          <t>車折</t>
        </is>
      </c>
      <c r="H4387" s="10" t="inlineStr">
        <is>
          <t>発</t>
        </is>
      </c>
      <c r="J4387" s="10" t="inlineStr">
        <is>
          <t>営業</t>
        </is>
      </c>
      <c r="L4387" t="inlineStr">
        <is>
          <t>15:46:40</t>
        </is>
      </c>
      <c r="M4387" t="inlineStr">
        <is>
          <t>15:47:10</t>
        </is>
      </c>
      <c r="P4387" t="inlineStr">
        <is>
          <t>B系統(終日)</t>
        </is>
      </c>
    </row>
    <row r="4388" ht="15" customHeight="1" s="37">
      <c r="A4388" t="n">
        <v>7</v>
      </c>
      <c r="B4388" s="10" t="inlineStr">
        <is>
          <t>休日</t>
        </is>
      </c>
      <c r="C4388" s="10" t="inlineStr">
        <is>
          <t>本線</t>
        </is>
      </c>
      <c r="D4388" s="10" t="inlineStr">
        <is>
          <t>上り</t>
        </is>
      </c>
      <c r="E4388" s="10" t="inlineStr">
        <is>
          <t>連1510</t>
        </is>
      </c>
      <c r="F4388" t="inlineStr">
        <is>
          <t>0211</t>
        </is>
      </c>
      <c r="G4388" s="10" t="inlineStr">
        <is>
          <t>有栖川</t>
        </is>
      </c>
      <c r="H4388" s="10" t="inlineStr">
        <is>
          <t>発</t>
        </is>
      </c>
      <c r="J4388" s="10" t="inlineStr">
        <is>
          <t>営業</t>
        </is>
      </c>
      <c r="L4388" t="inlineStr">
        <is>
          <t>15:48:35</t>
        </is>
      </c>
      <c r="M4388" t="inlineStr">
        <is>
          <t>15:48:55</t>
        </is>
      </c>
      <c r="P4388" t="inlineStr">
        <is>
          <t>B系統(終日)</t>
        </is>
      </c>
    </row>
    <row r="4389" ht="15" customHeight="1" s="37">
      <c r="A4389" t="n">
        <v>7</v>
      </c>
      <c r="B4389" s="10" t="inlineStr">
        <is>
          <t>休日</t>
        </is>
      </c>
      <c r="C4389" s="10" t="inlineStr">
        <is>
          <t>本線</t>
        </is>
      </c>
      <c r="D4389" s="10" t="inlineStr">
        <is>
          <t>上り</t>
        </is>
      </c>
      <c r="E4389" s="10" t="inlineStr">
        <is>
          <t>連1510</t>
        </is>
      </c>
      <c r="F4389" t="inlineStr">
        <is>
          <t>0211</t>
        </is>
      </c>
      <c r="G4389" s="10" t="inlineStr">
        <is>
          <t>帷子ノ辻</t>
        </is>
      </c>
      <c r="H4389" s="10" t="inlineStr">
        <is>
          <t>発</t>
        </is>
      </c>
      <c r="J4389" s="10" t="inlineStr">
        <is>
          <t>営業</t>
        </is>
      </c>
      <c r="L4389" t="inlineStr">
        <is>
          <t>15:50:10</t>
        </is>
      </c>
      <c r="M4389" t="inlineStr">
        <is>
          <t>15:51:15</t>
        </is>
      </c>
      <c r="P4389" t="inlineStr">
        <is>
          <t>B系統(終日)</t>
        </is>
      </c>
    </row>
    <row r="4390" ht="15" customHeight="1" s="37">
      <c r="A4390" t="n">
        <v>7</v>
      </c>
      <c r="B4390" s="10" t="inlineStr">
        <is>
          <t>休日</t>
        </is>
      </c>
      <c r="C4390" s="10" t="inlineStr">
        <is>
          <t>本線</t>
        </is>
      </c>
      <c r="D4390" s="10" t="inlineStr">
        <is>
          <t>上り</t>
        </is>
      </c>
      <c r="E4390" s="10" t="inlineStr">
        <is>
          <t>連1510</t>
        </is>
      </c>
      <c r="F4390" t="inlineStr">
        <is>
          <t>0211</t>
        </is>
      </c>
      <c r="G4390" s="10" t="inlineStr">
        <is>
          <t>太秦広隆寺</t>
        </is>
      </c>
      <c r="H4390" s="10" t="inlineStr">
        <is>
          <t>発</t>
        </is>
      </c>
      <c r="J4390" s="10" t="inlineStr">
        <is>
          <t>営業</t>
        </is>
      </c>
      <c r="L4390" t="inlineStr">
        <is>
          <t>15:53:25</t>
        </is>
      </c>
      <c r="M4390" t="inlineStr">
        <is>
          <t>15:53:45</t>
        </is>
      </c>
      <c r="P4390" t="inlineStr">
        <is>
          <t>B系統(終日)</t>
        </is>
      </c>
    </row>
    <row r="4391" ht="15" customHeight="1" s="37">
      <c r="A4391" t="n">
        <v>7</v>
      </c>
      <c r="B4391" s="10" t="inlineStr">
        <is>
          <t>休日</t>
        </is>
      </c>
      <c r="C4391" s="10" t="inlineStr">
        <is>
          <t>本線</t>
        </is>
      </c>
      <c r="D4391" s="10" t="inlineStr">
        <is>
          <t>上り</t>
        </is>
      </c>
      <c r="E4391" s="10" t="inlineStr">
        <is>
          <t>連1510</t>
        </is>
      </c>
      <c r="F4391" t="inlineStr">
        <is>
          <t>0211</t>
        </is>
      </c>
      <c r="G4391" s="10" t="inlineStr">
        <is>
          <t>蚕ノ社</t>
        </is>
      </c>
      <c r="H4391" s="10" t="inlineStr">
        <is>
          <t>発</t>
        </is>
      </c>
      <c r="J4391" s="10" t="inlineStr">
        <is>
          <t>営業</t>
        </is>
      </c>
      <c r="L4391" t="inlineStr">
        <is>
          <t>15:55:00</t>
        </is>
      </c>
      <c r="M4391" t="inlineStr">
        <is>
          <t>15:55:20</t>
        </is>
      </c>
      <c r="P4391" t="inlineStr">
        <is>
          <t>B系統(終日)</t>
        </is>
      </c>
    </row>
    <row r="4392" ht="15" customHeight="1" s="37">
      <c r="A4392" t="n">
        <v>7</v>
      </c>
      <c r="B4392" s="10" t="inlineStr">
        <is>
          <t>休日</t>
        </is>
      </c>
      <c r="C4392" s="10" t="inlineStr">
        <is>
          <t>本線</t>
        </is>
      </c>
      <c r="D4392" s="10" t="inlineStr">
        <is>
          <t>上り</t>
        </is>
      </c>
      <c r="E4392" s="10" t="inlineStr">
        <is>
          <t>連1510</t>
        </is>
      </c>
      <c r="F4392" t="inlineStr">
        <is>
          <t>0211</t>
        </is>
      </c>
      <c r="G4392" s="10" t="inlineStr">
        <is>
          <t>天神川</t>
        </is>
      </c>
      <c r="H4392" s="10" t="inlineStr">
        <is>
          <t>発</t>
        </is>
      </c>
      <c r="J4392" s="10" t="inlineStr">
        <is>
          <t>営業</t>
        </is>
      </c>
      <c r="L4392" t="inlineStr">
        <is>
          <t>15:56:05</t>
        </is>
      </c>
      <c r="M4392" t="inlineStr">
        <is>
          <t>15:56:50</t>
        </is>
      </c>
      <c r="P4392" t="inlineStr">
        <is>
          <t>B系統(終日)</t>
        </is>
      </c>
    </row>
    <row r="4393" ht="15" customHeight="1" s="37">
      <c r="A4393" t="n">
        <v>7</v>
      </c>
      <c r="B4393" s="10" t="inlineStr">
        <is>
          <t>休日</t>
        </is>
      </c>
      <c r="C4393" s="10" t="inlineStr">
        <is>
          <t>本線</t>
        </is>
      </c>
      <c r="D4393" s="10" t="inlineStr">
        <is>
          <t>上り</t>
        </is>
      </c>
      <c r="E4393" s="10" t="inlineStr">
        <is>
          <t>連1510</t>
        </is>
      </c>
      <c r="F4393" t="inlineStr">
        <is>
          <t>0211</t>
        </is>
      </c>
      <c r="G4393" s="10" t="inlineStr">
        <is>
          <t>山ノ内</t>
        </is>
      </c>
      <c r="H4393" s="10" t="inlineStr">
        <is>
          <t>発</t>
        </is>
      </c>
      <c r="J4393" s="10" t="inlineStr">
        <is>
          <t>営業</t>
        </is>
      </c>
      <c r="L4393" t="inlineStr">
        <is>
          <t>15:58:40</t>
        </is>
      </c>
      <c r="M4393" t="inlineStr">
        <is>
          <t>15:59:05</t>
        </is>
      </c>
      <c r="P4393" t="inlineStr">
        <is>
          <t>B系統(終日)</t>
        </is>
      </c>
    </row>
    <row r="4394" ht="15" customHeight="1" s="37">
      <c r="A4394" t="n">
        <v>7</v>
      </c>
      <c r="B4394" s="10" t="inlineStr">
        <is>
          <t>休日</t>
        </is>
      </c>
      <c r="C4394" s="10" t="inlineStr">
        <is>
          <t>本線</t>
        </is>
      </c>
      <c r="D4394" s="10" t="inlineStr">
        <is>
          <t>上り</t>
        </is>
      </c>
      <c r="E4394" s="10" t="inlineStr">
        <is>
          <t>連1510</t>
        </is>
      </c>
      <c r="F4394" t="inlineStr">
        <is>
          <t>0211</t>
        </is>
      </c>
      <c r="G4394" s="10" t="inlineStr">
        <is>
          <t>西大路三条</t>
        </is>
      </c>
      <c r="H4394" s="10" t="inlineStr">
        <is>
          <t>発</t>
        </is>
      </c>
      <c r="J4394" s="10" t="inlineStr">
        <is>
          <t>営業</t>
        </is>
      </c>
      <c r="L4394" t="inlineStr">
        <is>
          <t>16:00:55</t>
        </is>
      </c>
      <c r="M4394" t="inlineStr">
        <is>
          <t>16:01:15</t>
        </is>
      </c>
      <c r="P4394" t="inlineStr">
        <is>
          <t>B系統(終日)</t>
        </is>
      </c>
    </row>
    <row r="4395" ht="15" customHeight="1" s="37">
      <c r="A4395" t="n">
        <v>7</v>
      </c>
      <c r="B4395" s="10" t="inlineStr">
        <is>
          <t>休日</t>
        </is>
      </c>
      <c r="C4395" s="10" t="inlineStr">
        <is>
          <t>本線</t>
        </is>
      </c>
      <c r="D4395" s="10" t="inlineStr">
        <is>
          <t>上り</t>
        </is>
      </c>
      <c r="E4395" s="10" t="inlineStr">
        <is>
          <t>連1510</t>
        </is>
      </c>
      <c r="F4395" t="inlineStr">
        <is>
          <t>0211</t>
        </is>
      </c>
      <c r="G4395" s="10" t="inlineStr">
        <is>
          <t>西院</t>
        </is>
      </c>
      <c r="H4395" s="10" t="inlineStr">
        <is>
          <t>発</t>
        </is>
      </c>
      <c r="J4395" s="10" t="inlineStr">
        <is>
          <t>営業</t>
        </is>
      </c>
      <c r="L4395" t="inlineStr">
        <is>
          <t>16:03:10</t>
        </is>
      </c>
      <c r="M4395" t="inlineStr">
        <is>
          <t>16:04:05</t>
        </is>
      </c>
      <c r="P4395" t="inlineStr">
        <is>
          <t>B系統(終日)</t>
        </is>
      </c>
    </row>
    <row r="4396" ht="15" customHeight="1" s="37">
      <c r="A4396" t="n">
        <v>7</v>
      </c>
      <c r="B4396" s="10" t="inlineStr">
        <is>
          <t>休日</t>
        </is>
      </c>
      <c r="C4396" s="10" t="inlineStr">
        <is>
          <t>本線</t>
        </is>
      </c>
      <c r="D4396" s="10" t="inlineStr">
        <is>
          <t>上り</t>
        </is>
      </c>
      <c r="E4396" s="10" t="inlineStr">
        <is>
          <t>連1510</t>
        </is>
      </c>
      <c r="F4396" t="inlineStr">
        <is>
          <t>0211</t>
        </is>
      </c>
      <c r="G4396" s="10" t="inlineStr">
        <is>
          <t>四条大宮</t>
        </is>
      </c>
      <c r="H4396" s="10" t="inlineStr">
        <is>
          <t>着</t>
        </is>
      </c>
      <c r="J4396" s="10" t="inlineStr">
        <is>
          <t>営業</t>
        </is>
      </c>
      <c r="L4396" t="inlineStr">
        <is>
          <t>16:07:00</t>
        </is>
      </c>
      <c r="P4396" t="inlineStr">
        <is>
          <t>B系統(終日)</t>
        </is>
      </c>
      <c r="Q4396" t="inlineStr">
        <is>
          <t>1</t>
        </is>
      </c>
    </row>
    <row r="4397" ht="15" customHeight="1" s="37">
      <c r="A4397" t="n">
        <v>7</v>
      </c>
      <c r="B4397" s="10" t="inlineStr">
        <is>
          <t>休日</t>
        </is>
      </c>
      <c r="C4397" s="10" t="inlineStr">
        <is>
          <t>本線</t>
        </is>
      </c>
      <c r="D4397" s="10" t="inlineStr">
        <is>
          <t>下り</t>
        </is>
      </c>
      <c r="E4397" s="10" t="inlineStr">
        <is>
          <t>連1603</t>
        </is>
      </c>
      <c r="F4397" t="inlineStr">
        <is>
          <t>3112</t>
        </is>
      </c>
      <c r="G4397" s="10" t="inlineStr">
        <is>
          <t>四条大宮</t>
        </is>
      </c>
      <c r="H4397" s="10" t="inlineStr">
        <is>
          <t>発</t>
        </is>
      </c>
      <c r="J4397" s="10" t="inlineStr">
        <is>
          <t>営業</t>
        </is>
      </c>
      <c r="M4397" t="inlineStr">
        <is>
          <t>16:13:00</t>
        </is>
      </c>
      <c r="P4397" t="inlineStr">
        <is>
          <t>B系統(終日)</t>
        </is>
      </c>
      <c r="Q4397" t="inlineStr">
        <is>
          <t>1</t>
        </is>
      </c>
    </row>
    <row r="4398" ht="15" customHeight="1" s="37">
      <c r="A4398" t="n">
        <v>7</v>
      </c>
      <c r="B4398" s="10" t="inlineStr">
        <is>
          <t>休日</t>
        </is>
      </c>
      <c r="C4398" s="10" t="inlineStr">
        <is>
          <t>本線</t>
        </is>
      </c>
      <c r="D4398" s="10" t="inlineStr">
        <is>
          <t>下り</t>
        </is>
      </c>
      <c r="E4398" s="10" t="inlineStr">
        <is>
          <t>連1603</t>
        </is>
      </c>
      <c r="F4398" t="inlineStr">
        <is>
          <t>3112</t>
        </is>
      </c>
      <c r="G4398" s="10" t="inlineStr">
        <is>
          <t>西院</t>
        </is>
      </c>
      <c r="H4398" s="10" t="inlineStr">
        <is>
          <t>発</t>
        </is>
      </c>
      <c r="J4398" s="10" t="inlineStr">
        <is>
          <t>営業</t>
        </is>
      </c>
      <c r="L4398" t="inlineStr">
        <is>
          <t>16:15:50</t>
        </is>
      </c>
      <c r="M4398" t="inlineStr">
        <is>
          <t>16:16:20</t>
        </is>
      </c>
      <c r="P4398" t="inlineStr">
        <is>
          <t>B系統(終日)</t>
        </is>
      </c>
    </row>
    <row r="4399" ht="15" customHeight="1" s="37">
      <c r="A4399" t="n">
        <v>7</v>
      </c>
      <c r="B4399" s="10" t="inlineStr">
        <is>
          <t>休日</t>
        </is>
      </c>
      <c r="C4399" s="10" t="inlineStr">
        <is>
          <t>本線</t>
        </is>
      </c>
      <c r="D4399" s="10" t="inlineStr">
        <is>
          <t>下り</t>
        </is>
      </c>
      <c r="E4399" s="10" t="inlineStr">
        <is>
          <t>連1603</t>
        </is>
      </c>
      <c r="F4399" t="inlineStr">
        <is>
          <t>3112</t>
        </is>
      </c>
      <c r="G4399" s="10" t="inlineStr">
        <is>
          <t>西大路三条</t>
        </is>
      </c>
      <c r="H4399" s="10" t="inlineStr">
        <is>
          <t>発</t>
        </is>
      </c>
      <c r="J4399" s="10" t="inlineStr">
        <is>
          <t>営業</t>
        </is>
      </c>
      <c r="L4399" t="inlineStr">
        <is>
          <t>16:18:10</t>
        </is>
      </c>
      <c r="M4399" t="inlineStr">
        <is>
          <t>16:18:30</t>
        </is>
      </c>
      <c r="P4399" t="inlineStr">
        <is>
          <t>B系統(終日)</t>
        </is>
      </c>
    </row>
    <row r="4400" ht="15" customHeight="1" s="37">
      <c r="A4400" t="n">
        <v>7</v>
      </c>
      <c r="B4400" s="10" t="inlineStr">
        <is>
          <t>休日</t>
        </is>
      </c>
      <c r="C4400" s="10" t="inlineStr">
        <is>
          <t>本線</t>
        </is>
      </c>
      <c r="D4400" s="10" t="inlineStr">
        <is>
          <t>下り</t>
        </is>
      </c>
      <c r="E4400" s="10" t="inlineStr">
        <is>
          <t>連1603</t>
        </is>
      </c>
      <c r="F4400" t="inlineStr">
        <is>
          <t>3112</t>
        </is>
      </c>
      <c r="G4400" s="10" t="inlineStr">
        <is>
          <t>山ノ内</t>
        </is>
      </c>
      <c r="H4400" s="10" t="inlineStr">
        <is>
          <t>発</t>
        </is>
      </c>
      <c r="J4400" s="10" t="inlineStr">
        <is>
          <t>営業</t>
        </is>
      </c>
      <c r="L4400" t="inlineStr">
        <is>
          <t>16:20:25</t>
        </is>
      </c>
      <c r="M4400" t="inlineStr">
        <is>
          <t>16:20:50</t>
        </is>
      </c>
      <c r="P4400" t="inlineStr">
        <is>
          <t>B系統(終日)</t>
        </is>
      </c>
    </row>
    <row r="4401" ht="15" customHeight="1" s="37">
      <c r="A4401" t="n">
        <v>7</v>
      </c>
      <c r="B4401" s="10" t="inlineStr">
        <is>
          <t>休日</t>
        </is>
      </c>
      <c r="C4401" s="10" t="inlineStr">
        <is>
          <t>本線</t>
        </is>
      </c>
      <c r="D4401" s="10" t="inlineStr">
        <is>
          <t>下り</t>
        </is>
      </c>
      <c r="E4401" s="10" t="inlineStr">
        <is>
          <t>連1603</t>
        </is>
      </c>
      <c r="F4401" t="inlineStr">
        <is>
          <t>3112</t>
        </is>
      </c>
      <c r="G4401" s="10" t="inlineStr">
        <is>
          <t>天神川</t>
        </is>
      </c>
      <c r="H4401" s="10" t="inlineStr">
        <is>
          <t>発</t>
        </is>
      </c>
      <c r="J4401" s="10" t="inlineStr">
        <is>
          <t>営業</t>
        </is>
      </c>
      <c r="L4401" t="inlineStr">
        <is>
          <t>16:22:50</t>
        </is>
      </c>
      <c r="M4401" t="inlineStr">
        <is>
          <t>16:23:30</t>
        </is>
      </c>
      <c r="P4401" t="inlineStr">
        <is>
          <t>B系統(終日)</t>
        </is>
      </c>
    </row>
    <row r="4402" ht="15" customHeight="1" s="37">
      <c r="A4402" t="n">
        <v>7</v>
      </c>
      <c r="B4402" s="10" t="inlineStr">
        <is>
          <t>休日</t>
        </is>
      </c>
      <c r="C4402" s="10" t="inlineStr">
        <is>
          <t>本線</t>
        </is>
      </c>
      <c r="D4402" s="10" t="inlineStr">
        <is>
          <t>下り</t>
        </is>
      </c>
      <c r="E4402" s="10" t="inlineStr">
        <is>
          <t>連1603</t>
        </is>
      </c>
      <c r="F4402" t="inlineStr">
        <is>
          <t>3112</t>
        </is>
      </c>
      <c r="G4402" s="10" t="inlineStr">
        <is>
          <t>蚕ノ社</t>
        </is>
      </c>
      <c r="H4402" s="10" t="inlineStr">
        <is>
          <t>発</t>
        </is>
      </c>
      <c r="J4402" s="10" t="inlineStr">
        <is>
          <t>営業</t>
        </is>
      </c>
      <c r="L4402" t="inlineStr">
        <is>
          <t>16:24:20</t>
        </is>
      </c>
      <c r="M4402" t="inlineStr">
        <is>
          <t>16:24:40</t>
        </is>
      </c>
      <c r="P4402" t="inlineStr">
        <is>
          <t>B系統(終日)</t>
        </is>
      </c>
    </row>
    <row r="4403" ht="15" customHeight="1" s="37">
      <c r="A4403" t="n">
        <v>7</v>
      </c>
      <c r="B4403" s="10" t="inlineStr">
        <is>
          <t>休日</t>
        </is>
      </c>
      <c r="C4403" s="10" t="inlineStr">
        <is>
          <t>本線</t>
        </is>
      </c>
      <c r="D4403" s="10" t="inlineStr">
        <is>
          <t>下り</t>
        </is>
      </c>
      <c r="E4403" s="10" t="inlineStr">
        <is>
          <t>連1603</t>
        </is>
      </c>
      <c r="F4403" t="inlineStr">
        <is>
          <t>3112</t>
        </is>
      </c>
      <c r="G4403" s="10" t="inlineStr">
        <is>
          <t>太秦広隆寺</t>
        </is>
      </c>
      <c r="H4403" s="10" t="inlineStr">
        <is>
          <t>発</t>
        </is>
      </c>
      <c r="J4403" s="10" t="inlineStr">
        <is>
          <t>営業</t>
        </is>
      </c>
      <c r="L4403" t="inlineStr">
        <is>
          <t>16:26:00</t>
        </is>
      </c>
      <c r="M4403" t="inlineStr">
        <is>
          <t>16:26:20</t>
        </is>
      </c>
      <c r="P4403" t="inlineStr">
        <is>
          <t>B系統(終日)</t>
        </is>
      </c>
    </row>
    <row r="4404" ht="15" customHeight="1" s="37">
      <c r="A4404" t="n">
        <v>7</v>
      </c>
      <c r="B4404" s="10" t="inlineStr">
        <is>
          <t>休日</t>
        </is>
      </c>
      <c r="C4404" s="10" t="inlineStr">
        <is>
          <t>本線</t>
        </is>
      </c>
      <c r="D4404" s="10" t="inlineStr">
        <is>
          <t>下り</t>
        </is>
      </c>
      <c r="E4404" s="10" t="inlineStr">
        <is>
          <t>連1603</t>
        </is>
      </c>
      <c r="F4404" t="inlineStr">
        <is>
          <t>3112</t>
        </is>
      </c>
      <c r="G4404" s="10" t="inlineStr">
        <is>
          <t>帷子ノ辻</t>
        </is>
      </c>
      <c r="H4404" s="10" t="inlineStr">
        <is>
          <t>発</t>
        </is>
      </c>
      <c r="J4404" s="10" t="inlineStr">
        <is>
          <t>営業</t>
        </is>
      </c>
      <c r="L4404" t="inlineStr">
        <is>
          <t>16:28:20</t>
        </is>
      </c>
      <c r="M4404" t="inlineStr">
        <is>
          <t>16:29:40</t>
        </is>
      </c>
      <c r="P4404" t="inlineStr">
        <is>
          <t>B系統(終日)</t>
        </is>
      </c>
    </row>
    <row r="4405" ht="15" customHeight="1" s="37">
      <c r="A4405" t="n">
        <v>7</v>
      </c>
      <c r="B4405" s="10" t="inlineStr">
        <is>
          <t>休日</t>
        </is>
      </c>
      <c r="C4405" s="10" t="inlineStr">
        <is>
          <t>本線</t>
        </is>
      </c>
      <c r="D4405" s="10" t="inlineStr">
        <is>
          <t>下り</t>
        </is>
      </c>
      <c r="E4405" s="10" t="inlineStr">
        <is>
          <t>連1603</t>
        </is>
      </c>
      <c r="F4405" t="inlineStr">
        <is>
          <t>3112</t>
        </is>
      </c>
      <c r="G4405" s="10" t="inlineStr">
        <is>
          <t>有栖川</t>
        </is>
      </c>
      <c r="H4405" s="10" t="inlineStr">
        <is>
          <t>発</t>
        </is>
      </c>
      <c r="J4405" s="10" t="inlineStr">
        <is>
          <t>営業</t>
        </is>
      </c>
      <c r="L4405" t="inlineStr">
        <is>
          <t>16:30:50</t>
        </is>
      </c>
      <c r="M4405" t="inlineStr">
        <is>
          <t>16:31:15</t>
        </is>
      </c>
      <c r="P4405" t="inlineStr">
        <is>
          <t>B系統(終日)</t>
        </is>
      </c>
    </row>
    <row r="4406" ht="15" customHeight="1" s="37">
      <c r="A4406" t="n">
        <v>7</v>
      </c>
      <c r="B4406" s="10" t="inlineStr">
        <is>
          <t>休日</t>
        </is>
      </c>
      <c r="C4406" s="10" t="inlineStr">
        <is>
          <t>本線</t>
        </is>
      </c>
      <c r="D4406" s="10" t="inlineStr">
        <is>
          <t>下り</t>
        </is>
      </c>
      <c r="E4406" s="10" t="inlineStr">
        <is>
          <t>連1603</t>
        </is>
      </c>
      <c r="F4406" t="inlineStr">
        <is>
          <t>3112</t>
        </is>
      </c>
      <c r="G4406" s="10" t="inlineStr">
        <is>
          <t>車折</t>
        </is>
      </c>
      <c r="H4406" s="10" t="inlineStr">
        <is>
          <t>発</t>
        </is>
      </c>
      <c r="J4406" s="10" t="inlineStr">
        <is>
          <t>営業</t>
        </is>
      </c>
      <c r="L4406" t="inlineStr">
        <is>
          <t>16:32:40</t>
        </is>
      </c>
      <c r="M4406" t="inlineStr">
        <is>
          <t>16:33:05</t>
        </is>
      </c>
      <c r="P4406" t="inlineStr">
        <is>
          <t>B系統(終日)</t>
        </is>
      </c>
    </row>
    <row r="4407" ht="15" customHeight="1" s="37">
      <c r="A4407" t="n">
        <v>7</v>
      </c>
      <c r="B4407" s="10" t="inlineStr">
        <is>
          <t>休日</t>
        </is>
      </c>
      <c r="C4407" s="10" t="inlineStr">
        <is>
          <t>本線</t>
        </is>
      </c>
      <c r="D4407" s="10" t="inlineStr">
        <is>
          <t>下り</t>
        </is>
      </c>
      <c r="E4407" s="10" t="inlineStr">
        <is>
          <t>連1603</t>
        </is>
      </c>
      <c r="F4407" t="inlineStr">
        <is>
          <t>3112</t>
        </is>
      </c>
      <c r="G4407" s="10" t="inlineStr">
        <is>
          <t>鹿王院</t>
        </is>
      </c>
      <c r="H4407" s="10" t="inlineStr">
        <is>
          <t>発</t>
        </is>
      </c>
      <c r="J4407" s="10" t="inlineStr">
        <is>
          <t>営業</t>
        </is>
      </c>
      <c r="L4407" t="inlineStr">
        <is>
          <t>16:34:00</t>
        </is>
      </c>
      <c r="M4407" t="inlineStr">
        <is>
          <t>16:34:25</t>
        </is>
      </c>
      <c r="P4407" t="inlineStr">
        <is>
          <t>B系統(終日)</t>
        </is>
      </c>
    </row>
    <row r="4408" ht="15" customHeight="1" s="37">
      <c r="A4408" t="n">
        <v>7</v>
      </c>
      <c r="B4408" s="10" t="inlineStr">
        <is>
          <t>休日</t>
        </is>
      </c>
      <c r="C4408" s="10" t="inlineStr">
        <is>
          <t>本線</t>
        </is>
      </c>
      <c r="D4408" s="10" t="inlineStr">
        <is>
          <t>下り</t>
        </is>
      </c>
      <c r="E4408" s="10" t="inlineStr">
        <is>
          <t>連1603</t>
        </is>
      </c>
      <c r="F4408" t="inlineStr">
        <is>
          <t>3112</t>
        </is>
      </c>
      <c r="G4408" s="10" t="inlineStr">
        <is>
          <t>嵯峨</t>
        </is>
      </c>
      <c r="H4408" s="10" t="inlineStr">
        <is>
          <t>発</t>
        </is>
      </c>
      <c r="J4408" s="10" t="inlineStr">
        <is>
          <t>営業</t>
        </is>
      </c>
      <c r="L4408" t="inlineStr">
        <is>
          <t>16:35:30</t>
        </is>
      </c>
      <c r="M4408" t="inlineStr">
        <is>
          <t>16:35:55</t>
        </is>
      </c>
      <c r="P4408" t="inlineStr">
        <is>
          <t>B系統(終日)</t>
        </is>
      </c>
    </row>
    <row r="4409" ht="15" customHeight="1" s="37">
      <c r="A4409" t="n">
        <v>7</v>
      </c>
      <c r="B4409" s="10" t="inlineStr">
        <is>
          <t>休日</t>
        </is>
      </c>
      <c r="C4409" s="10" t="inlineStr">
        <is>
          <t>本線</t>
        </is>
      </c>
      <c r="D4409" s="10" t="inlineStr">
        <is>
          <t>下り</t>
        </is>
      </c>
      <c r="E4409" s="10" t="inlineStr">
        <is>
          <t>連1603</t>
        </is>
      </c>
      <c r="F4409" t="inlineStr">
        <is>
          <t>3112</t>
        </is>
      </c>
      <c r="G4409" s="10" t="inlineStr">
        <is>
          <t>嵐山</t>
        </is>
      </c>
      <c r="H4409" s="10" t="inlineStr">
        <is>
          <t>着</t>
        </is>
      </c>
      <c r="J4409" s="10" t="inlineStr">
        <is>
          <t>営業</t>
        </is>
      </c>
      <c r="L4409" t="inlineStr">
        <is>
          <t>16:37:00</t>
        </is>
      </c>
      <c r="P4409" t="inlineStr">
        <is>
          <t>B系統(終日)</t>
        </is>
      </c>
      <c r="Q4409" t="inlineStr">
        <is>
          <t>1</t>
        </is>
      </c>
    </row>
    <row r="4410" ht="15" customHeight="1" s="37">
      <c r="A4410" t="n">
        <v>7</v>
      </c>
      <c r="B4410" s="10" t="inlineStr">
        <is>
          <t>休日</t>
        </is>
      </c>
      <c r="C4410" s="10" t="inlineStr">
        <is>
          <t>本線</t>
        </is>
      </c>
      <c r="D4410" s="10" t="inlineStr">
        <is>
          <t>上り</t>
        </is>
      </c>
      <c r="E4410" s="10" t="inlineStr">
        <is>
          <t>連1610</t>
        </is>
      </c>
      <c r="F4410" t="inlineStr">
        <is>
          <t>2221</t>
        </is>
      </c>
      <c r="G4410" s="10" t="inlineStr">
        <is>
          <t>嵐山</t>
        </is>
      </c>
      <c r="H4410" s="10" t="inlineStr">
        <is>
          <t>発</t>
        </is>
      </c>
      <c r="J4410" s="10" t="inlineStr">
        <is>
          <t>営業</t>
        </is>
      </c>
      <c r="M4410" t="inlineStr">
        <is>
          <t>16:43:00</t>
        </is>
      </c>
      <c r="P4410" t="inlineStr">
        <is>
          <t>B系統(終日)</t>
        </is>
      </c>
      <c r="Q4410" t="inlineStr">
        <is>
          <t>1</t>
        </is>
      </c>
    </row>
    <row r="4411" ht="15" customHeight="1" s="37">
      <c r="A4411" t="n">
        <v>7</v>
      </c>
      <c r="B4411" s="10" t="inlineStr">
        <is>
          <t>休日</t>
        </is>
      </c>
      <c r="C4411" s="10" t="inlineStr">
        <is>
          <t>本線</t>
        </is>
      </c>
      <c r="D4411" s="10" t="inlineStr">
        <is>
          <t>上り</t>
        </is>
      </c>
      <c r="E4411" s="10" t="inlineStr">
        <is>
          <t>連1610</t>
        </is>
      </c>
      <c r="F4411" t="inlineStr">
        <is>
          <t>2221</t>
        </is>
      </c>
      <c r="G4411" s="10" t="inlineStr">
        <is>
          <t>嵯峨</t>
        </is>
      </c>
      <c r="H4411" s="10" t="inlineStr">
        <is>
          <t>発</t>
        </is>
      </c>
      <c r="J4411" s="10" t="inlineStr">
        <is>
          <t>営業</t>
        </is>
      </c>
      <c r="L4411" t="inlineStr">
        <is>
          <t>16:43:55</t>
        </is>
      </c>
      <c r="M4411" t="inlineStr">
        <is>
          <t>16:44:20</t>
        </is>
      </c>
      <c r="P4411" t="inlineStr">
        <is>
          <t>B系統(終日)</t>
        </is>
      </c>
    </row>
    <row r="4412" ht="15" customHeight="1" s="37">
      <c r="A4412" t="n">
        <v>7</v>
      </c>
      <c r="B4412" s="10" t="inlineStr">
        <is>
          <t>休日</t>
        </is>
      </c>
      <c r="C4412" s="10" t="inlineStr">
        <is>
          <t>本線</t>
        </is>
      </c>
      <c r="D4412" s="10" t="inlineStr">
        <is>
          <t>上り</t>
        </is>
      </c>
      <c r="E4412" s="10" t="inlineStr">
        <is>
          <t>連1610</t>
        </is>
      </c>
      <c r="F4412" t="inlineStr">
        <is>
          <t>2221</t>
        </is>
      </c>
      <c r="G4412" s="10" t="inlineStr">
        <is>
          <t>鹿王院</t>
        </is>
      </c>
      <c r="H4412" s="10" t="inlineStr">
        <is>
          <t>発</t>
        </is>
      </c>
      <c r="J4412" s="10" t="inlineStr">
        <is>
          <t>営業</t>
        </is>
      </c>
      <c r="L4412" t="inlineStr">
        <is>
          <t>16:45:25</t>
        </is>
      </c>
      <c r="M4412" t="inlineStr">
        <is>
          <t>16:45:45</t>
        </is>
      </c>
      <c r="P4412" t="inlineStr">
        <is>
          <t>B系統(終日)</t>
        </is>
      </c>
    </row>
    <row r="4413" ht="15" customHeight="1" s="37">
      <c r="A4413" t="n">
        <v>7</v>
      </c>
      <c r="B4413" s="10" t="inlineStr">
        <is>
          <t>休日</t>
        </is>
      </c>
      <c r="C4413" s="10" t="inlineStr">
        <is>
          <t>本線</t>
        </is>
      </c>
      <c r="D4413" s="10" t="inlineStr">
        <is>
          <t>上り</t>
        </is>
      </c>
      <c r="E4413" s="10" t="inlineStr">
        <is>
          <t>連1610</t>
        </is>
      </c>
      <c r="F4413" t="inlineStr">
        <is>
          <t>2221</t>
        </is>
      </c>
      <c r="G4413" s="10" t="inlineStr">
        <is>
          <t>車折</t>
        </is>
      </c>
      <c r="H4413" s="10" t="inlineStr">
        <is>
          <t>発</t>
        </is>
      </c>
      <c r="J4413" s="10" t="inlineStr">
        <is>
          <t>営業</t>
        </is>
      </c>
      <c r="L4413" t="inlineStr">
        <is>
          <t>16:46:40</t>
        </is>
      </c>
      <c r="M4413" t="inlineStr">
        <is>
          <t>16:47:10</t>
        </is>
      </c>
      <c r="P4413" t="inlineStr">
        <is>
          <t>B系統(終日)</t>
        </is>
      </c>
    </row>
    <row r="4414" ht="15" customHeight="1" s="37">
      <c r="A4414" t="n">
        <v>7</v>
      </c>
      <c r="B4414" s="10" t="inlineStr">
        <is>
          <t>休日</t>
        </is>
      </c>
      <c r="C4414" s="10" t="inlineStr">
        <is>
          <t>本線</t>
        </is>
      </c>
      <c r="D4414" s="10" t="inlineStr">
        <is>
          <t>上り</t>
        </is>
      </c>
      <c r="E4414" s="10" t="inlineStr">
        <is>
          <t>連1610</t>
        </is>
      </c>
      <c r="F4414" t="inlineStr">
        <is>
          <t>2221</t>
        </is>
      </c>
      <c r="G4414" s="10" t="inlineStr">
        <is>
          <t>有栖川</t>
        </is>
      </c>
      <c r="H4414" s="10" t="inlineStr">
        <is>
          <t>発</t>
        </is>
      </c>
      <c r="J4414" s="10" t="inlineStr">
        <is>
          <t>営業</t>
        </is>
      </c>
      <c r="L4414" t="inlineStr">
        <is>
          <t>16:48:35</t>
        </is>
      </c>
      <c r="M4414" t="inlineStr">
        <is>
          <t>16:48:55</t>
        </is>
      </c>
      <c r="P4414" t="inlineStr">
        <is>
          <t>B系統(終日)</t>
        </is>
      </c>
    </row>
    <row r="4415" ht="15" customHeight="1" s="37">
      <c r="A4415" t="n">
        <v>7</v>
      </c>
      <c r="B4415" s="10" t="inlineStr">
        <is>
          <t>休日</t>
        </is>
      </c>
      <c r="C4415" s="10" t="inlineStr">
        <is>
          <t>本線</t>
        </is>
      </c>
      <c r="D4415" s="10" t="inlineStr">
        <is>
          <t>上り</t>
        </is>
      </c>
      <c r="E4415" s="10" t="inlineStr">
        <is>
          <t>連1610</t>
        </is>
      </c>
      <c r="F4415" t="inlineStr">
        <is>
          <t>2221</t>
        </is>
      </c>
      <c r="G4415" s="10" t="inlineStr">
        <is>
          <t>帷子ノ辻</t>
        </is>
      </c>
      <c r="H4415" s="10" t="inlineStr">
        <is>
          <t>発</t>
        </is>
      </c>
      <c r="J4415" s="10" t="inlineStr">
        <is>
          <t>営業</t>
        </is>
      </c>
      <c r="L4415" t="inlineStr">
        <is>
          <t>16:50:10</t>
        </is>
      </c>
      <c r="M4415" t="inlineStr">
        <is>
          <t>16:51:15</t>
        </is>
      </c>
      <c r="P4415" t="inlineStr">
        <is>
          <t>B系統(終日)</t>
        </is>
      </c>
    </row>
    <row r="4416" ht="15" customHeight="1" s="37">
      <c r="A4416" t="n">
        <v>7</v>
      </c>
      <c r="B4416" s="10" t="inlineStr">
        <is>
          <t>休日</t>
        </is>
      </c>
      <c r="C4416" s="10" t="inlineStr">
        <is>
          <t>本線</t>
        </is>
      </c>
      <c r="D4416" s="10" t="inlineStr">
        <is>
          <t>上り</t>
        </is>
      </c>
      <c r="E4416" s="10" t="inlineStr">
        <is>
          <t>連1610</t>
        </is>
      </c>
      <c r="F4416" t="inlineStr">
        <is>
          <t>2221</t>
        </is>
      </c>
      <c r="G4416" s="10" t="inlineStr">
        <is>
          <t>太秦広隆寺</t>
        </is>
      </c>
      <c r="H4416" s="10" t="inlineStr">
        <is>
          <t>発</t>
        </is>
      </c>
      <c r="J4416" s="10" t="inlineStr">
        <is>
          <t>営業</t>
        </is>
      </c>
      <c r="L4416" t="inlineStr">
        <is>
          <t>16:53:25</t>
        </is>
      </c>
      <c r="M4416" t="inlineStr">
        <is>
          <t>16:53:45</t>
        </is>
      </c>
      <c r="P4416" t="inlineStr">
        <is>
          <t>B系統(終日)</t>
        </is>
      </c>
    </row>
    <row r="4417" ht="15" customHeight="1" s="37">
      <c r="A4417" t="n">
        <v>7</v>
      </c>
      <c r="B4417" s="10" t="inlineStr">
        <is>
          <t>休日</t>
        </is>
      </c>
      <c r="C4417" s="10" t="inlineStr">
        <is>
          <t>本線</t>
        </is>
      </c>
      <c r="D4417" s="10" t="inlineStr">
        <is>
          <t>上り</t>
        </is>
      </c>
      <c r="E4417" s="10" t="inlineStr">
        <is>
          <t>連1610</t>
        </is>
      </c>
      <c r="F4417" t="inlineStr">
        <is>
          <t>2221</t>
        </is>
      </c>
      <c r="G4417" s="10" t="inlineStr">
        <is>
          <t>蚕ノ社</t>
        </is>
      </c>
      <c r="H4417" s="10" t="inlineStr">
        <is>
          <t>発</t>
        </is>
      </c>
      <c r="J4417" s="10" t="inlineStr">
        <is>
          <t>営業</t>
        </is>
      </c>
      <c r="L4417" t="inlineStr">
        <is>
          <t>16:55:00</t>
        </is>
      </c>
      <c r="M4417" t="inlineStr">
        <is>
          <t>16:55:20</t>
        </is>
      </c>
      <c r="P4417" t="inlineStr">
        <is>
          <t>B系統(終日)</t>
        </is>
      </c>
    </row>
    <row r="4418" ht="15" customHeight="1" s="37">
      <c r="A4418" t="n">
        <v>7</v>
      </c>
      <c r="B4418" s="10" t="inlineStr">
        <is>
          <t>休日</t>
        </is>
      </c>
      <c r="C4418" s="10" t="inlineStr">
        <is>
          <t>本線</t>
        </is>
      </c>
      <c r="D4418" s="10" t="inlineStr">
        <is>
          <t>上り</t>
        </is>
      </c>
      <c r="E4418" s="10" t="inlineStr">
        <is>
          <t>連1610</t>
        </is>
      </c>
      <c r="F4418" t="inlineStr">
        <is>
          <t>2221</t>
        </is>
      </c>
      <c r="G4418" s="10" t="inlineStr">
        <is>
          <t>天神川</t>
        </is>
      </c>
      <c r="H4418" s="10" t="inlineStr">
        <is>
          <t>発</t>
        </is>
      </c>
      <c r="J4418" s="10" t="inlineStr">
        <is>
          <t>営業</t>
        </is>
      </c>
      <c r="L4418" t="inlineStr">
        <is>
          <t>16:56:05</t>
        </is>
      </c>
      <c r="M4418" t="inlineStr">
        <is>
          <t>16:56:50</t>
        </is>
      </c>
      <c r="P4418" t="inlineStr">
        <is>
          <t>B系統(終日)</t>
        </is>
      </c>
    </row>
    <row r="4419" ht="15" customHeight="1" s="37">
      <c r="A4419" t="n">
        <v>7</v>
      </c>
      <c r="B4419" s="10" t="inlineStr">
        <is>
          <t>休日</t>
        </is>
      </c>
      <c r="C4419" s="10" t="inlineStr">
        <is>
          <t>本線</t>
        </is>
      </c>
      <c r="D4419" s="10" t="inlineStr">
        <is>
          <t>上り</t>
        </is>
      </c>
      <c r="E4419" s="10" t="inlineStr">
        <is>
          <t>連1610</t>
        </is>
      </c>
      <c r="F4419" t="inlineStr">
        <is>
          <t>2221</t>
        </is>
      </c>
      <c r="G4419" s="10" t="inlineStr">
        <is>
          <t>山ノ内</t>
        </is>
      </c>
      <c r="H4419" s="10" t="inlineStr">
        <is>
          <t>発</t>
        </is>
      </c>
      <c r="J4419" s="10" t="inlineStr">
        <is>
          <t>営業</t>
        </is>
      </c>
      <c r="L4419" t="inlineStr">
        <is>
          <t>16:58:40</t>
        </is>
      </c>
      <c r="M4419" t="inlineStr">
        <is>
          <t>16:59:05</t>
        </is>
      </c>
      <c r="P4419" t="inlineStr">
        <is>
          <t>B系統(終日)</t>
        </is>
      </c>
    </row>
    <row r="4420" ht="15" customHeight="1" s="37">
      <c r="A4420" t="n">
        <v>7</v>
      </c>
      <c r="B4420" s="10" t="inlineStr">
        <is>
          <t>休日</t>
        </is>
      </c>
      <c r="C4420" s="10" t="inlineStr">
        <is>
          <t>本線</t>
        </is>
      </c>
      <c r="D4420" s="10" t="inlineStr">
        <is>
          <t>上り</t>
        </is>
      </c>
      <c r="E4420" s="10" t="inlineStr">
        <is>
          <t>連1610</t>
        </is>
      </c>
      <c r="F4420" t="inlineStr">
        <is>
          <t>2221</t>
        </is>
      </c>
      <c r="G4420" s="10" t="inlineStr">
        <is>
          <t>西大路三条</t>
        </is>
      </c>
      <c r="H4420" s="10" t="inlineStr">
        <is>
          <t>発</t>
        </is>
      </c>
      <c r="J4420" s="10" t="inlineStr">
        <is>
          <t>営業</t>
        </is>
      </c>
      <c r="L4420" t="inlineStr">
        <is>
          <t>17:00:55</t>
        </is>
      </c>
      <c r="M4420" t="inlineStr">
        <is>
          <t>17:01:15</t>
        </is>
      </c>
      <c r="P4420" t="inlineStr">
        <is>
          <t>B系統(終日)</t>
        </is>
      </c>
    </row>
    <row r="4421" ht="15" customHeight="1" s="37">
      <c r="A4421" t="n">
        <v>7</v>
      </c>
      <c r="B4421" s="10" t="inlineStr">
        <is>
          <t>休日</t>
        </is>
      </c>
      <c r="C4421" s="10" t="inlineStr">
        <is>
          <t>本線</t>
        </is>
      </c>
      <c r="D4421" s="10" t="inlineStr">
        <is>
          <t>上り</t>
        </is>
      </c>
      <c r="E4421" s="10" t="inlineStr">
        <is>
          <t>連1610</t>
        </is>
      </c>
      <c r="F4421" t="inlineStr">
        <is>
          <t>2221</t>
        </is>
      </c>
      <c r="G4421" s="10" t="inlineStr">
        <is>
          <t>西院</t>
        </is>
      </c>
      <c r="H4421" s="10" t="inlineStr">
        <is>
          <t>発</t>
        </is>
      </c>
      <c r="J4421" s="10" t="inlineStr">
        <is>
          <t>営業</t>
        </is>
      </c>
      <c r="L4421" t="inlineStr">
        <is>
          <t>17:03:10</t>
        </is>
      </c>
      <c r="M4421" t="inlineStr">
        <is>
          <t>17:04:05</t>
        </is>
      </c>
      <c r="P4421" t="inlineStr">
        <is>
          <t>B系統(終日)</t>
        </is>
      </c>
    </row>
    <row r="4422" ht="15" customHeight="1" s="37">
      <c r="A4422" t="n">
        <v>7</v>
      </c>
      <c r="B4422" s="10" t="inlineStr">
        <is>
          <t>休日</t>
        </is>
      </c>
      <c r="C4422" s="10" t="inlineStr">
        <is>
          <t>本線</t>
        </is>
      </c>
      <c r="D4422" s="10" t="inlineStr">
        <is>
          <t>上り</t>
        </is>
      </c>
      <c r="E4422" s="10" t="inlineStr">
        <is>
          <t>連1610</t>
        </is>
      </c>
      <c r="F4422" t="inlineStr">
        <is>
          <t>2221</t>
        </is>
      </c>
      <c r="G4422" s="10" t="inlineStr">
        <is>
          <t>四条大宮</t>
        </is>
      </c>
      <c r="H4422" s="10" t="inlineStr">
        <is>
          <t>着</t>
        </is>
      </c>
      <c r="J4422" s="10" t="inlineStr">
        <is>
          <t>営業</t>
        </is>
      </c>
      <c r="L4422" t="inlineStr">
        <is>
          <t>17:07:00</t>
        </is>
      </c>
      <c r="P4422" t="inlineStr">
        <is>
          <t>B系統(終日)</t>
        </is>
      </c>
      <c r="Q4422" t="inlineStr">
        <is>
          <t>1</t>
        </is>
      </c>
    </row>
    <row r="4423" ht="15" customHeight="1" s="37">
      <c r="A4423" t="n">
        <v>7</v>
      </c>
      <c r="B4423" s="10" t="inlineStr">
        <is>
          <t>休日</t>
        </is>
      </c>
      <c r="C4423" s="10" t="inlineStr">
        <is>
          <t>本線</t>
        </is>
      </c>
      <c r="D4423" s="10" t="inlineStr">
        <is>
          <t>下り</t>
        </is>
      </c>
      <c r="E4423" s="10" t="inlineStr">
        <is>
          <t>連1703</t>
        </is>
      </c>
      <c r="F4423" t="inlineStr">
        <is>
          <t>0122</t>
        </is>
      </c>
      <c r="G4423" s="10" t="inlineStr">
        <is>
          <t>四条大宮</t>
        </is>
      </c>
      <c r="H4423" s="10" t="inlineStr">
        <is>
          <t>発</t>
        </is>
      </c>
      <c r="J4423" s="10" t="inlineStr">
        <is>
          <t>営業</t>
        </is>
      </c>
      <c r="M4423" t="inlineStr">
        <is>
          <t>17:13:00</t>
        </is>
      </c>
      <c r="P4423" t="inlineStr">
        <is>
          <t>B系統(終日)</t>
        </is>
      </c>
      <c r="Q4423" t="inlineStr">
        <is>
          <t>1</t>
        </is>
      </c>
    </row>
    <row r="4424" ht="15" customHeight="1" s="37">
      <c r="A4424" t="n">
        <v>7</v>
      </c>
      <c r="B4424" s="10" t="inlineStr">
        <is>
          <t>休日</t>
        </is>
      </c>
      <c r="C4424" s="10" t="inlineStr">
        <is>
          <t>本線</t>
        </is>
      </c>
      <c r="D4424" s="10" t="inlineStr">
        <is>
          <t>下り</t>
        </is>
      </c>
      <c r="E4424" s="10" t="inlineStr">
        <is>
          <t>連1703</t>
        </is>
      </c>
      <c r="F4424" t="inlineStr">
        <is>
          <t>0122</t>
        </is>
      </c>
      <c r="G4424" s="10" t="inlineStr">
        <is>
          <t>西院</t>
        </is>
      </c>
      <c r="H4424" s="10" t="inlineStr">
        <is>
          <t>着</t>
        </is>
      </c>
      <c r="J4424" s="10" t="inlineStr">
        <is>
          <t>営業</t>
        </is>
      </c>
      <c r="L4424" t="inlineStr">
        <is>
          <t>17:15:50</t>
        </is>
      </c>
      <c r="M4424" t="inlineStr">
        <is>
          <t>17:16:20</t>
        </is>
      </c>
      <c r="P4424" t="inlineStr">
        <is>
          <t>B系統(終日)</t>
        </is>
      </c>
      <c r="T4424" t="inlineStr">
        <is>
          <t>○</t>
        </is>
      </c>
    </row>
    <row r="4425" ht="15" customHeight="1" s="37">
      <c r="A4425" t="n">
        <v>8</v>
      </c>
      <c r="B4425" s="10" t="inlineStr">
        <is>
          <t>休日</t>
        </is>
      </c>
      <c r="C4425" s="10" t="inlineStr">
        <is>
          <t>本線</t>
        </is>
      </c>
      <c r="D4425" s="10" t="inlineStr">
        <is>
          <t>下り</t>
        </is>
      </c>
      <c r="E4425" t="inlineStr">
        <is>
          <t>0805</t>
        </is>
      </c>
      <c r="F4425" t="inlineStr">
        <is>
          <t>0112</t>
        </is>
      </c>
      <c r="G4425" s="10" t="inlineStr">
        <is>
          <t>西院</t>
        </is>
      </c>
      <c r="H4425" s="10" t="inlineStr">
        <is>
          <t>発</t>
        </is>
      </c>
      <c r="J4425" s="10" t="inlineStr">
        <is>
          <t>営業</t>
        </is>
      </c>
      <c r="L4425" t="inlineStr">
        <is>
          <t>8:25:50</t>
        </is>
      </c>
      <c r="M4425" t="inlineStr">
        <is>
          <t>8:26:20</t>
        </is>
      </c>
    </row>
    <row r="4426" ht="15" customHeight="1" s="37">
      <c r="A4426" t="n">
        <v>8</v>
      </c>
      <c r="B4426" s="10" t="inlineStr">
        <is>
          <t>休日</t>
        </is>
      </c>
      <c r="C4426" s="10" t="inlineStr">
        <is>
          <t>本線</t>
        </is>
      </c>
      <c r="D4426" s="10" t="inlineStr">
        <is>
          <t>下り</t>
        </is>
      </c>
      <c r="E4426" t="inlineStr">
        <is>
          <t>0805</t>
        </is>
      </c>
      <c r="F4426" t="inlineStr">
        <is>
          <t>0112</t>
        </is>
      </c>
      <c r="G4426" s="10" t="inlineStr">
        <is>
          <t>西大路三条</t>
        </is>
      </c>
      <c r="H4426" s="10" t="inlineStr">
        <is>
          <t>発</t>
        </is>
      </c>
      <c r="J4426" s="10" t="inlineStr">
        <is>
          <t>営業</t>
        </is>
      </c>
      <c r="L4426" t="inlineStr">
        <is>
          <t>8:28:10</t>
        </is>
      </c>
      <c r="M4426" t="inlineStr">
        <is>
          <t>8:28:30</t>
        </is>
      </c>
    </row>
    <row r="4427" ht="15" customHeight="1" s="37">
      <c r="A4427" t="n">
        <v>8</v>
      </c>
      <c r="B4427" s="10" t="inlineStr">
        <is>
          <t>休日</t>
        </is>
      </c>
      <c r="C4427" s="10" t="inlineStr">
        <is>
          <t>本線</t>
        </is>
      </c>
      <c r="D4427" s="10" t="inlineStr">
        <is>
          <t>下り</t>
        </is>
      </c>
      <c r="E4427" t="inlineStr">
        <is>
          <t>0805</t>
        </is>
      </c>
      <c r="F4427" t="inlineStr">
        <is>
          <t>0112</t>
        </is>
      </c>
      <c r="G4427" s="10" t="inlineStr">
        <is>
          <t>山ノ内</t>
        </is>
      </c>
      <c r="H4427" s="10" t="inlineStr">
        <is>
          <t>発</t>
        </is>
      </c>
      <c r="J4427" s="10" t="inlineStr">
        <is>
          <t>営業</t>
        </is>
      </c>
      <c r="L4427" t="inlineStr">
        <is>
          <t>8:30:25</t>
        </is>
      </c>
      <c r="M4427" t="inlineStr">
        <is>
          <t>8:30:50</t>
        </is>
      </c>
    </row>
    <row r="4428" ht="15" customHeight="1" s="37">
      <c r="A4428" t="n">
        <v>8</v>
      </c>
      <c r="B4428" s="10" t="inlineStr">
        <is>
          <t>休日</t>
        </is>
      </c>
      <c r="C4428" s="10" t="inlineStr">
        <is>
          <t>本線</t>
        </is>
      </c>
      <c r="D4428" s="10" t="inlineStr">
        <is>
          <t>下り</t>
        </is>
      </c>
      <c r="E4428" t="inlineStr">
        <is>
          <t>0805</t>
        </is>
      </c>
      <c r="F4428" t="inlineStr">
        <is>
          <t>0112</t>
        </is>
      </c>
      <c r="G4428" s="10" t="inlineStr">
        <is>
          <t>天神川</t>
        </is>
      </c>
      <c r="H4428" s="10" t="inlineStr">
        <is>
          <t>発</t>
        </is>
      </c>
      <c r="J4428" s="10" t="inlineStr">
        <is>
          <t>営業</t>
        </is>
      </c>
      <c r="L4428" t="inlineStr">
        <is>
          <t>8:32:50</t>
        </is>
      </c>
      <c r="M4428" t="inlineStr">
        <is>
          <t>8:33:30</t>
        </is>
      </c>
    </row>
    <row r="4429" ht="15" customHeight="1" s="37">
      <c r="A4429" t="n">
        <v>8</v>
      </c>
      <c r="B4429" s="10" t="inlineStr">
        <is>
          <t>休日</t>
        </is>
      </c>
      <c r="C4429" s="10" t="inlineStr">
        <is>
          <t>本線</t>
        </is>
      </c>
      <c r="D4429" s="10" t="inlineStr">
        <is>
          <t>下り</t>
        </is>
      </c>
      <c r="E4429" t="inlineStr">
        <is>
          <t>0805</t>
        </is>
      </c>
      <c r="F4429" t="inlineStr">
        <is>
          <t>0112</t>
        </is>
      </c>
      <c r="G4429" s="10" t="inlineStr">
        <is>
          <t>蚕ノ社</t>
        </is>
      </c>
      <c r="H4429" s="10" t="inlineStr">
        <is>
          <t>発</t>
        </is>
      </c>
      <c r="J4429" s="10" t="inlineStr">
        <is>
          <t>営業</t>
        </is>
      </c>
      <c r="L4429" t="inlineStr">
        <is>
          <t>8:34:20</t>
        </is>
      </c>
      <c r="M4429" t="inlineStr">
        <is>
          <t>8:34:40</t>
        </is>
      </c>
    </row>
    <row r="4430" ht="15" customHeight="1" s="37">
      <c r="A4430" t="n">
        <v>8</v>
      </c>
      <c r="B4430" s="10" t="inlineStr">
        <is>
          <t>休日</t>
        </is>
      </c>
      <c r="C4430" s="10" t="inlineStr">
        <is>
          <t>本線</t>
        </is>
      </c>
      <c r="D4430" s="10" t="inlineStr">
        <is>
          <t>下り</t>
        </is>
      </c>
      <c r="E4430" t="inlineStr">
        <is>
          <t>0805</t>
        </is>
      </c>
      <c r="F4430" t="inlineStr">
        <is>
          <t>0112</t>
        </is>
      </c>
      <c r="G4430" s="10" t="inlineStr">
        <is>
          <t>太秦広隆寺</t>
        </is>
      </c>
      <c r="H4430" s="10" t="inlineStr">
        <is>
          <t>発</t>
        </is>
      </c>
      <c r="J4430" s="10" t="inlineStr">
        <is>
          <t>営業</t>
        </is>
      </c>
      <c r="L4430" t="inlineStr">
        <is>
          <t>8:36:00</t>
        </is>
      </c>
      <c r="M4430" t="inlineStr">
        <is>
          <t>8:36:20</t>
        </is>
      </c>
    </row>
    <row r="4431" ht="15" customHeight="1" s="37">
      <c r="A4431" t="n">
        <v>8</v>
      </c>
      <c r="B4431" s="10" t="inlineStr">
        <is>
          <t>休日</t>
        </is>
      </c>
      <c r="C4431" s="10" t="inlineStr">
        <is>
          <t>本線</t>
        </is>
      </c>
      <c r="D4431" s="10" t="inlineStr">
        <is>
          <t>下り</t>
        </is>
      </c>
      <c r="E4431" t="inlineStr">
        <is>
          <t>0805</t>
        </is>
      </c>
      <c r="F4431" t="inlineStr">
        <is>
          <t>0112</t>
        </is>
      </c>
      <c r="G4431" s="10" t="inlineStr">
        <is>
          <t>帷子ノ辻</t>
        </is>
      </c>
      <c r="H4431" s="10" t="inlineStr">
        <is>
          <t>発</t>
        </is>
      </c>
      <c r="J4431" s="10" t="inlineStr">
        <is>
          <t>営業</t>
        </is>
      </c>
      <c r="L4431" t="inlineStr">
        <is>
          <t>8:38:20</t>
        </is>
      </c>
      <c r="M4431" t="inlineStr">
        <is>
          <t>8:39:40</t>
        </is>
      </c>
    </row>
    <row r="4432" ht="15" customHeight="1" s="37">
      <c r="A4432" t="n">
        <v>8</v>
      </c>
      <c r="B4432" s="10" t="inlineStr">
        <is>
          <t>休日</t>
        </is>
      </c>
      <c r="C4432" s="10" t="inlineStr">
        <is>
          <t>本線</t>
        </is>
      </c>
      <c r="D4432" s="10" t="inlineStr">
        <is>
          <t>下り</t>
        </is>
      </c>
      <c r="E4432" t="inlineStr">
        <is>
          <t>0805</t>
        </is>
      </c>
      <c r="F4432" t="inlineStr">
        <is>
          <t>0112</t>
        </is>
      </c>
      <c r="G4432" s="10" t="inlineStr">
        <is>
          <t>有栖川</t>
        </is>
      </c>
      <c r="H4432" s="10" t="inlineStr">
        <is>
          <t>発</t>
        </is>
      </c>
      <c r="J4432" s="10" t="inlineStr">
        <is>
          <t>営業</t>
        </is>
      </c>
      <c r="L4432" t="inlineStr">
        <is>
          <t>8:40:50</t>
        </is>
      </c>
      <c r="M4432" t="inlineStr">
        <is>
          <t>8:41:15</t>
        </is>
      </c>
    </row>
    <row r="4433" ht="15" customHeight="1" s="37">
      <c r="A4433" t="n">
        <v>8</v>
      </c>
      <c r="B4433" s="10" t="inlineStr">
        <is>
          <t>休日</t>
        </is>
      </c>
      <c r="C4433" s="10" t="inlineStr">
        <is>
          <t>本線</t>
        </is>
      </c>
      <c r="D4433" s="10" t="inlineStr">
        <is>
          <t>下り</t>
        </is>
      </c>
      <c r="E4433" t="inlineStr">
        <is>
          <t>0805</t>
        </is>
      </c>
      <c r="F4433" t="inlineStr">
        <is>
          <t>0112</t>
        </is>
      </c>
      <c r="G4433" s="10" t="inlineStr">
        <is>
          <t>車折</t>
        </is>
      </c>
      <c r="H4433" s="10" t="inlineStr">
        <is>
          <t>発</t>
        </is>
      </c>
      <c r="J4433" s="10" t="inlineStr">
        <is>
          <t>営業</t>
        </is>
      </c>
      <c r="L4433" t="inlineStr">
        <is>
          <t>8:42:40</t>
        </is>
      </c>
      <c r="M4433" t="inlineStr">
        <is>
          <t>8:43:05</t>
        </is>
      </c>
    </row>
    <row r="4434" ht="15" customHeight="1" s="37">
      <c r="A4434" t="n">
        <v>8</v>
      </c>
      <c r="B4434" s="10" t="inlineStr">
        <is>
          <t>休日</t>
        </is>
      </c>
      <c r="C4434" s="10" t="inlineStr">
        <is>
          <t>本線</t>
        </is>
      </c>
      <c r="D4434" s="10" t="inlineStr">
        <is>
          <t>下り</t>
        </is>
      </c>
      <c r="E4434" t="inlineStr">
        <is>
          <t>0805</t>
        </is>
      </c>
      <c r="F4434" t="inlineStr">
        <is>
          <t>0112</t>
        </is>
      </c>
      <c r="G4434" s="10" t="inlineStr">
        <is>
          <t>鹿王院</t>
        </is>
      </c>
      <c r="H4434" s="10" t="inlineStr">
        <is>
          <t>発</t>
        </is>
      </c>
      <c r="J4434" s="10" t="inlineStr">
        <is>
          <t>営業</t>
        </is>
      </c>
      <c r="L4434" t="inlineStr">
        <is>
          <t>8:44:00</t>
        </is>
      </c>
      <c r="M4434" t="inlineStr">
        <is>
          <t>8:44:25</t>
        </is>
      </c>
    </row>
    <row r="4435" ht="15" customHeight="1" s="37">
      <c r="A4435" t="n">
        <v>8</v>
      </c>
      <c r="B4435" s="10" t="inlineStr">
        <is>
          <t>休日</t>
        </is>
      </c>
      <c r="C4435" s="10" t="inlineStr">
        <is>
          <t>本線</t>
        </is>
      </c>
      <c r="D4435" s="10" t="inlineStr">
        <is>
          <t>下り</t>
        </is>
      </c>
      <c r="E4435" t="inlineStr">
        <is>
          <t>0805</t>
        </is>
      </c>
      <c r="F4435" t="inlineStr">
        <is>
          <t>0112</t>
        </is>
      </c>
      <c r="G4435" s="10" t="inlineStr">
        <is>
          <t>嵯峨</t>
        </is>
      </c>
      <c r="H4435" s="10" t="inlineStr">
        <is>
          <t>発</t>
        </is>
      </c>
      <c r="J4435" s="10" t="inlineStr">
        <is>
          <t>営業</t>
        </is>
      </c>
      <c r="L4435" t="inlineStr">
        <is>
          <t>8:45:30</t>
        </is>
      </c>
      <c r="M4435" t="inlineStr">
        <is>
          <t>8:45:55</t>
        </is>
      </c>
    </row>
    <row r="4436" ht="15" customHeight="1" s="37">
      <c r="A4436" t="n">
        <v>8</v>
      </c>
      <c r="B4436" s="10" t="inlineStr">
        <is>
          <t>休日</t>
        </is>
      </c>
      <c r="C4436" s="10" t="inlineStr">
        <is>
          <t>本線</t>
        </is>
      </c>
      <c r="D4436" s="10" t="inlineStr">
        <is>
          <t>下り</t>
        </is>
      </c>
      <c r="E4436" t="inlineStr">
        <is>
          <t>0805</t>
        </is>
      </c>
      <c r="F4436" t="inlineStr">
        <is>
          <t>0112</t>
        </is>
      </c>
      <c r="G4436" s="10" t="inlineStr">
        <is>
          <t>嵐山</t>
        </is>
      </c>
      <c r="H4436" s="10" t="inlineStr">
        <is>
          <t>着</t>
        </is>
      </c>
      <c r="J4436" s="10" t="inlineStr">
        <is>
          <t>営業</t>
        </is>
      </c>
      <c r="L4436" t="inlineStr">
        <is>
          <t>8:47:00</t>
        </is>
      </c>
      <c r="Q4436" t="inlineStr">
        <is>
          <t>1</t>
        </is>
      </c>
    </row>
    <row r="4437" ht="15" customHeight="1" s="37">
      <c r="A4437" t="n">
        <v>8</v>
      </c>
      <c r="B4437" s="10" t="inlineStr">
        <is>
          <t>休日</t>
        </is>
      </c>
      <c r="C4437" s="10" t="inlineStr">
        <is>
          <t>本線</t>
        </is>
      </c>
      <c r="D4437" s="10" t="inlineStr">
        <is>
          <t>上り</t>
        </is>
      </c>
      <c r="E4437" t="inlineStr">
        <is>
          <t>0812</t>
        </is>
      </c>
      <c r="F4437" t="inlineStr">
        <is>
          <t>0211</t>
        </is>
      </c>
      <c r="G4437" s="10" t="inlineStr">
        <is>
          <t>嵐山</t>
        </is>
      </c>
      <c r="H4437" s="10" t="inlineStr">
        <is>
          <t>発</t>
        </is>
      </c>
      <c r="J4437" s="10" t="inlineStr">
        <is>
          <t>営業</t>
        </is>
      </c>
      <c r="M4437" t="inlineStr">
        <is>
          <t>8:53:00</t>
        </is>
      </c>
      <c r="Q4437" t="inlineStr">
        <is>
          <t>1</t>
        </is>
      </c>
    </row>
    <row r="4438" ht="15" customHeight="1" s="37">
      <c r="A4438" t="n">
        <v>8</v>
      </c>
      <c r="B4438" s="10" t="inlineStr">
        <is>
          <t>休日</t>
        </is>
      </c>
      <c r="C4438" s="10" t="inlineStr">
        <is>
          <t>本線</t>
        </is>
      </c>
      <c r="D4438" s="10" t="inlineStr">
        <is>
          <t>上り</t>
        </is>
      </c>
      <c r="E4438" t="inlineStr">
        <is>
          <t>0812</t>
        </is>
      </c>
      <c r="F4438" t="inlineStr">
        <is>
          <t>0211</t>
        </is>
      </c>
      <c r="G4438" s="10" t="inlineStr">
        <is>
          <t>嵯峨</t>
        </is>
      </c>
      <c r="H4438" s="10" t="inlineStr">
        <is>
          <t>発</t>
        </is>
      </c>
      <c r="J4438" s="10" t="inlineStr">
        <is>
          <t>営業</t>
        </is>
      </c>
      <c r="L4438" t="inlineStr">
        <is>
          <t>8:53:55</t>
        </is>
      </c>
      <c r="M4438" t="inlineStr">
        <is>
          <t>8:54:20</t>
        </is>
      </c>
    </row>
    <row r="4439" ht="15" customHeight="1" s="37">
      <c r="A4439" t="n">
        <v>8</v>
      </c>
      <c r="B4439" s="10" t="inlineStr">
        <is>
          <t>休日</t>
        </is>
      </c>
      <c r="C4439" s="10" t="inlineStr">
        <is>
          <t>本線</t>
        </is>
      </c>
      <c r="D4439" s="10" t="inlineStr">
        <is>
          <t>上り</t>
        </is>
      </c>
      <c r="E4439" t="inlineStr">
        <is>
          <t>0812</t>
        </is>
      </c>
      <c r="F4439" t="inlineStr">
        <is>
          <t>0211</t>
        </is>
      </c>
      <c r="G4439" s="10" t="inlineStr">
        <is>
          <t>鹿王院</t>
        </is>
      </c>
      <c r="H4439" s="10" t="inlineStr">
        <is>
          <t>発</t>
        </is>
      </c>
      <c r="J4439" s="10" t="inlineStr">
        <is>
          <t>営業</t>
        </is>
      </c>
      <c r="L4439" t="inlineStr">
        <is>
          <t>8:55:25</t>
        </is>
      </c>
      <c r="M4439" t="inlineStr">
        <is>
          <t>8:55:45</t>
        </is>
      </c>
    </row>
    <row r="4440" ht="15" customHeight="1" s="37">
      <c r="A4440" t="n">
        <v>8</v>
      </c>
      <c r="B4440" s="10" t="inlineStr">
        <is>
          <t>休日</t>
        </is>
      </c>
      <c r="C4440" s="10" t="inlineStr">
        <is>
          <t>本線</t>
        </is>
      </c>
      <c r="D4440" s="10" t="inlineStr">
        <is>
          <t>上り</t>
        </is>
      </c>
      <c r="E4440" t="inlineStr">
        <is>
          <t>0812</t>
        </is>
      </c>
      <c r="F4440" t="inlineStr">
        <is>
          <t>0211</t>
        </is>
      </c>
      <c r="G4440" s="10" t="inlineStr">
        <is>
          <t>車折</t>
        </is>
      </c>
      <c r="H4440" s="10" t="inlineStr">
        <is>
          <t>発</t>
        </is>
      </c>
      <c r="J4440" s="10" t="inlineStr">
        <is>
          <t>営業</t>
        </is>
      </c>
      <c r="L4440" t="inlineStr">
        <is>
          <t>8:56:40</t>
        </is>
      </c>
      <c r="M4440" t="inlineStr">
        <is>
          <t>8:57:10</t>
        </is>
      </c>
    </row>
    <row r="4441" ht="15" customHeight="1" s="37">
      <c r="A4441" t="n">
        <v>8</v>
      </c>
      <c r="B4441" s="10" t="inlineStr">
        <is>
          <t>休日</t>
        </is>
      </c>
      <c r="C4441" s="10" t="inlineStr">
        <is>
          <t>本線</t>
        </is>
      </c>
      <c r="D4441" s="10" t="inlineStr">
        <is>
          <t>上り</t>
        </is>
      </c>
      <c r="E4441" t="inlineStr">
        <is>
          <t>0812</t>
        </is>
      </c>
      <c r="F4441" t="inlineStr">
        <is>
          <t>0211</t>
        </is>
      </c>
      <c r="G4441" s="10" t="inlineStr">
        <is>
          <t>有栖川</t>
        </is>
      </c>
      <c r="H4441" s="10" t="inlineStr">
        <is>
          <t>発</t>
        </is>
      </c>
      <c r="J4441" s="10" t="inlineStr">
        <is>
          <t>営業</t>
        </is>
      </c>
      <c r="L4441" t="inlineStr">
        <is>
          <t>8:58:35</t>
        </is>
      </c>
      <c r="M4441" t="inlineStr">
        <is>
          <t>8:58:55</t>
        </is>
      </c>
    </row>
    <row r="4442" ht="15" customHeight="1" s="37">
      <c r="A4442" t="n">
        <v>8</v>
      </c>
      <c r="B4442" s="10" t="inlineStr">
        <is>
          <t>休日</t>
        </is>
      </c>
      <c r="C4442" s="10" t="inlineStr">
        <is>
          <t>本線</t>
        </is>
      </c>
      <c r="D4442" s="10" t="inlineStr">
        <is>
          <t>上り</t>
        </is>
      </c>
      <c r="E4442" t="inlineStr">
        <is>
          <t>0812</t>
        </is>
      </c>
      <c r="F4442" t="inlineStr">
        <is>
          <t>0211</t>
        </is>
      </c>
      <c r="G4442" s="10" t="inlineStr">
        <is>
          <t>帷子ノ辻</t>
        </is>
      </c>
      <c r="H4442" s="10" t="inlineStr">
        <is>
          <t>発</t>
        </is>
      </c>
      <c r="J4442" s="10" t="inlineStr">
        <is>
          <t>営業</t>
        </is>
      </c>
      <c r="L4442" t="inlineStr">
        <is>
          <t>9:00:10</t>
        </is>
      </c>
      <c r="M4442" t="inlineStr">
        <is>
          <t>9:01:15</t>
        </is>
      </c>
    </row>
    <row r="4443" ht="15" customHeight="1" s="37">
      <c r="A4443" t="n">
        <v>8</v>
      </c>
      <c r="B4443" s="10" t="inlineStr">
        <is>
          <t>休日</t>
        </is>
      </c>
      <c r="C4443" s="10" t="inlineStr">
        <is>
          <t>本線</t>
        </is>
      </c>
      <c r="D4443" s="10" t="inlineStr">
        <is>
          <t>上り</t>
        </is>
      </c>
      <c r="E4443" t="inlineStr">
        <is>
          <t>0812</t>
        </is>
      </c>
      <c r="F4443" t="inlineStr">
        <is>
          <t>0211</t>
        </is>
      </c>
      <c r="G4443" s="10" t="inlineStr">
        <is>
          <t>太秦広隆寺</t>
        </is>
      </c>
      <c r="H4443" s="10" t="inlineStr">
        <is>
          <t>発</t>
        </is>
      </c>
      <c r="J4443" s="10" t="inlineStr">
        <is>
          <t>営業</t>
        </is>
      </c>
      <c r="L4443" t="inlineStr">
        <is>
          <t>9:03:25</t>
        </is>
      </c>
      <c r="M4443" t="inlineStr">
        <is>
          <t>9:03:45</t>
        </is>
      </c>
    </row>
    <row r="4444" ht="15" customHeight="1" s="37">
      <c r="A4444" t="n">
        <v>8</v>
      </c>
      <c r="B4444" s="10" t="inlineStr">
        <is>
          <t>休日</t>
        </is>
      </c>
      <c r="C4444" s="10" t="inlineStr">
        <is>
          <t>本線</t>
        </is>
      </c>
      <c r="D4444" s="10" t="inlineStr">
        <is>
          <t>上り</t>
        </is>
      </c>
      <c r="E4444" t="inlineStr">
        <is>
          <t>0812</t>
        </is>
      </c>
      <c r="F4444" t="inlineStr">
        <is>
          <t>0211</t>
        </is>
      </c>
      <c r="G4444" s="10" t="inlineStr">
        <is>
          <t>蚕ノ社</t>
        </is>
      </c>
      <c r="H4444" s="10" t="inlineStr">
        <is>
          <t>発</t>
        </is>
      </c>
      <c r="J4444" s="10" t="inlineStr">
        <is>
          <t>営業</t>
        </is>
      </c>
      <c r="L4444" t="inlineStr">
        <is>
          <t>9:05:00</t>
        </is>
      </c>
      <c r="M4444" t="inlineStr">
        <is>
          <t>9:05:20</t>
        </is>
      </c>
    </row>
    <row r="4445" ht="15" customHeight="1" s="37">
      <c r="A4445" t="n">
        <v>8</v>
      </c>
      <c r="B4445" s="10" t="inlineStr">
        <is>
          <t>休日</t>
        </is>
      </c>
      <c r="C4445" s="10" t="inlineStr">
        <is>
          <t>本線</t>
        </is>
      </c>
      <c r="D4445" s="10" t="inlineStr">
        <is>
          <t>上り</t>
        </is>
      </c>
      <c r="E4445" t="inlineStr">
        <is>
          <t>0812</t>
        </is>
      </c>
      <c r="F4445" t="inlineStr">
        <is>
          <t>0211</t>
        </is>
      </c>
      <c r="G4445" s="10" t="inlineStr">
        <is>
          <t>天神川</t>
        </is>
      </c>
      <c r="H4445" s="10" t="inlineStr">
        <is>
          <t>発</t>
        </is>
      </c>
      <c r="J4445" s="10" t="inlineStr">
        <is>
          <t>営業</t>
        </is>
      </c>
      <c r="L4445" t="inlineStr">
        <is>
          <t>9:06:05</t>
        </is>
      </c>
      <c r="M4445" t="inlineStr">
        <is>
          <t>9:06:50</t>
        </is>
      </c>
    </row>
    <row r="4446" ht="15" customHeight="1" s="37">
      <c r="A4446" t="n">
        <v>8</v>
      </c>
      <c r="B4446" s="10" t="inlineStr">
        <is>
          <t>休日</t>
        </is>
      </c>
      <c r="C4446" s="10" t="inlineStr">
        <is>
          <t>本線</t>
        </is>
      </c>
      <c r="D4446" s="10" t="inlineStr">
        <is>
          <t>上り</t>
        </is>
      </c>
      <c r="E4446" t="inlineStr">
        <is>
          <t>0812</t>
        </is>
      </c>
      <c r="F4446" t="inlineStr">
        <is>
          <t>0211</t>
        </is>
      </c>
      <c r="G4446" s="10" t="inlineStr">
        <is>
          <t>山ノ内</t>
        </is>
      </c>
      <c r="H4446" s="10" t="inlineStr">
        <is>
          <t>発</t>
        </is>
      </c>
      <c r="J4446" s="10" t="inlineStr">
        <is>
          <t>営業</t>
        </is>
      </c>
      <c r="L4446" t="inlineStr">
        <is>
          <t>9:08:40</t>
        </is>
      </c>
      <c r="M4446" t="inlineStr">
        <is>
          <t>9:09:05</t>
        </is>
      </c>
    </row>
    <row r="4447" ht="15" customHeight="1" s="37">
      <c r="A4447" t="n">
        <v>8</v>
      </c>
      <c r="B4447" s="10" t="inlineStr">
        <is>
          <t>休日</t>
        </is>
      </c>
      <c r="C4447" s="10" t="inlineStr">
        <is>
          <t>本線</t>
        </is>
      </c>
      <c r="D4447" s="10" t="inlineStr">
        <is>
          <t>上り</t>
        </is>
      </c>
      <c r="E4447" t="inlineStr">
        <is>
          <t>0812</t>
        </is>
      </c>
      <c r="F4447" t="inlineStr">
        <is>
          <t>0211</t>
        </is>
      </c>
      <c r="G4447" s="10" t="inlineStr">
        <is>
          <t>西大路三条</t>
        </is>
      </c>
      <c r="H4447" s="10" t="inlineStr">
        <is>
          <t>発</t>
        </is>
      </c>
      <c r="J4447" s="10" t="inlineStr">
        <is>
          <t>営業</t>
        </is>
      </c>
      <c r="L4447" t="inlineStr">
        <is>
          <t>9:10:55</t>
        </is>
      </c>
      <c r="M4447" t="inlineStr">
        <is>
          <t>9:11:15</t>
        </is>
      </c>
    </row>
    <row r="4448" ht="15" customHeight="1" s="37">
      <c r="A4448" t="n">
        <v>8</v>
      </c>
      <c r="B4448" s="10" t="inlineStr">
        <is>
          <t>休日</t>
        </is>
      </c>
      <c r="C4448" s="10" t="inlineStr">
        <is>
          <t>本線</t>
        </is>
      </c>
      <c r="D4448" s="10" t="inlineStr">
        <is>
          <t>上り</t>
        </is>
      </c>
      <c r="E4448" t="inlineStr">
        <is>
          <t>0812</t>
        </is>
      </c>
      <c r="F4448" t="inlineStr">
        <is>
          <t>0211</t>
        </is>
      </c>
      <c r="G4448" s="10" t="inlineStr">
        <is>
          <t>西院</t>
        </is>
      </c>
      <c r="H4448" s="10" t="inlineStr">
        <is>
          <t>発</t>
        </is>
      </c>
      <c r="J4448" s="10" t="inlineStr">
        <is>
          <t>営業</t>
        </is>
      </c>
      <c r="L4448" t="inlineStr">
        <is>
          <t>9:13:10</t>
        </is>
      </c>
      <c r="M4448" t="inlineStr">
        <is>
          <t>9:14:05</t>
        </is>
      </c>
    </row>
    <row r="4449" ht="15" customHeight="1" s="37">
      <c r="A4449" t="n">
        <v>8</v>
      </c>
      <c r="B4449" s="10" t="inlineStr">
        <is>
          <t>休日</t>
        </is>
      </c>
      <c r="C4449" s="10" t="inlineStr">
        <is>
          <t>本線</t>
        </is>
      </c>
      <c r="D4449" s="10" t="inlineStr">
        <is>
          <t>上り</t>
        </is>
      </c>
      <c r="E4449" t="inlineStr">
        <is>
          <t>0812</t>
        </is>
      </c>
      <c r="F4449" t="inlineStr">
        <is>
          <t>0211</t>
        </is>
      </c>
      <c r="G4449" s="10" t="inlineStr">
        <is>
          <t>四条大宮</t>
        </is>
      </c>
      <c r="H4449" s="10" t="inlineStr">
        <is>
          <t>着</t>
        </is>
      </c>
      <c r="J4449" s="10" t="inlineStr">
        <is>
          <t>営業</t>
        </is>
      </c>
      <c r="L4449" t="inlineStr">
        <is>
          <t>9:17:00</t>
        </is>
      </c>
      <c r="Q4449" t="inlineStr">
        <is>
          <t>1</t>
        </is>
      </c>
    </row>
    <row r="4450" ht="15" customHeight="1" s="37">
      <c r="A4450" t="n">
        <v>8</v>
      </c>
      <c r="B4450" s="10" t="inlineStr">
        <is>
          <t>休日</t>
        </is>
      </c>
      <c r="C4450" s="10" t="inlineStr">
        <is>
          <t>本線</t>
        </is>
      </c>
      <c r="D4450" s="10" t="inlineStr">
        <is>
          <t>下り</t>
        </is>
      </c>
      <c r="E4450" t="inlineStr">
        <is>
          <t>0905</t>
        </is>
      </c>
      <c r="F4450" t="inlineStr">
        <is>
          <t>0112</t>
        </is>
      </c>
      <c r="G4450" s="10" t="inlineStr">
        <is>
          <t>四条大宮</t>
        </is>
      </c>
      <c r="H4450" s="10" t="inlineStr">
        <is>
          <t>発</t>
        </is>
      </c>
      <c r="J4450" s="10" t="inlineStr">
        <is>
          <t>営業</t>
        </is>
      </c>
      <c r="M4450" t="inlineStr">
        <is>
          <t>9:23:00</t>
        </is>
      </c>
      <c r="Q4450" t="inlineStr">
        <is>
          <t>1</t>
        </is>
      </c>
    </row>
    <row r="4451" ht="15" customHeight="1" s="37">
      <c r="A4451" t="n">
        <v>8</v>
      </c>
      <c r="B4451" s="10" t="inlineStr">
        <is>
          <t>休日</t>
        </is>
      </c>
      <c r="C4451" s="10" t="inlineStr">
        <is>
          <t>本線</t>
        </is>
      </c>
      <c r="D4451" s="10" t="inlineStr">
        <is>
          <t>下り</t>
        </is>
      </c>
      <c r="E4451" t="inlineStr">
        <is>
          <t>0905</t>
        </is>
      </c>
      <c r="F4451" t="inlineStr">
        <is>
          <t>0112</t>
        </is>
      </c>
      <c r="G4451" s="10" t="inlineStr">
        <is>
          <t>西院</t>
        </is>
      </c>
      <c r="H4451" s="10" t="inlineStr">
        <is>
          <t>発</t>
        </is>
      </c>
      <c r="J4451" s="10" t="inlineStr">
        <is>
          <t>営業</t>
        </is>
      </c>
      <c r="L4451" t="inlineStr">
        <is>
          <t>9:25:50</t>
        </is>
      </c>
      <c r="M4451" t="inlineStr">
        <is>
          <t>9:26:20</t>
        </is>
      </c>
    </row>
    <row r="4452" ht="15" customHeight="1" s="37">
      <c r="A4452" t="n">
        <v>8</v>
      </c>
      <c r="B4452" s="10" t="inlineStr">
        <is>
          <t>休日</t>
        </is>
      </c>
      <c r="C4452" s="10" t="inlineStr">
        <is>
          <t>本線</t>
        </is>
      </c>
      <c r="D4452" s="10" t="inlineStr">
        <is>
          <t>下り</t>
        </is>
      </c>
      <c r="E4452" t="inlineStr">
        <is>
          <t>0905</t>
        </is>
      </c>
      <c r="F4452" t="inlineStr">
        <is>
          <t>0112</t>
        </is>
      </c>
      <c r="G4452" s="10" t="inlineStr">
        <is>
          <t>西大路三条</t>
        </is>
      </c>
      <c r="H4452" s="10" t="inlineStr">
        <is>
          <t>発</t>
        </is>
      </c>
      <c r="J4452" s="10" t="inlineStr">
        <is>
          <t>営業</t>
        </is>
      </c>
      <c r="L4452" t="inlineStr">
        <is>
          <t>9:28:10</t>
        </is>
      </c>
      <c r="M4452" t="inlineStr">
        <is>
          <t>9:28:30</t>
        </is>
      </c>
    </row>
    <row r="4453" ht="15" customHeight="1" s="37">
      <c r="A4453" t="n">
        <v>8</v>
      </c>
      <c r="B4453" s="10" t="inlineStr">
        <is>
          <t>休日</t>
        </is>
      </c>
      <c r="C4453" s="10" t="inlineStr">
        <is>
          <t>本線</t>
        </is>
      </c>
      <c r="D4453" s="10" t="inlineStr">
        <is>
          <t>下り</t>
        </is>
      </c>
      <c r="E4453" t="inlineStr">
        <is>
          <t>0905</t>
        </is>
      </c>
      <c r="F4453" t="inlineStr">
        <is>
          <t>0112</t>
        </is>
      </c>
      <c r="G4453" s="10" t="inlineStr">
        <is>
          <t>山ノ内</t>
        </is>
      </c>
      <c r="H4453" s="10" t="inlineStr">
        <is>
          <t>発</t>
        </is>
      </c>
      <c r="J4453" s="10" t="inlineStr">
        <is>
          <t>営業</t>
        </is>
      </c>
      <c r="L4453" t="inlineStr">
        <is>
          <t>9:30:25</t>
        </is>
      </c>
      <c r="M4453" t="inlineStr">
        <is>
          <t>9:30:50</t>
        </is>
      </c>
    </row>
    <row r="4454" ht="15" customHeight="1" s="37">
      <c r="A4454" t="n">
        <v>8</v>
      </c>
      <c r="B4454" s="10" t="inlineStr">
        <is>
          <t>休日</t>
        </is>
      </c>
      <c r="C4454" s="10" t="inlineStr">
        <is>
          <t>本線</t>
        </is>
      </c>
      <c r="D4454" s="10" t="inlineStr">
        <is>
          <t>下り</t>
        </is>
      </c>
      <c r="E4454" t="inlineStr">
        <is>
          <t>0905</t>
        </is>
      </c>
      <c r="F4454" t="inlineStr">
        <is>
          <t>0112</t>
        </is>
      </c>
      <c r="G4454" s="10" t="inlineStr">
        <is>
          <t>天神川</t>
        </is>
      </c>
      <c r="H4454" s="10" t="inlineStr">
        <is>
          <t>発</t>
        </is>
      </c>
      <c r="J4454" s="10" t="inlineStr">
        <is>
          <t>営業</t>
        </is>
      </c>
      <c r="L4454" t="inlineStr">
        <is>
          <t>9:32:50</t>
        </is>
      </c>
      <c r="M4454" t="inlineStr">
        <is>
          <t>9:33:30</t>
        </is>
      </c>
    </row>
    <row r="4455" ht="15" customHeight="1" s="37">
      <c r="A4455" t="n">
        <v>8</v>
      </c>
      <c r="B4455" s="10" t="inlineStr">
        <is>
          <t>休日</t>
        </is>
      </c>
      <c r="C4455" s="10" t="inlineStr">
        <is>
          <t>本線</t>
        </is>
      </c>
      <c r="D4455" s="10" t="inlineStr">
        <is>
          <t>下り</t>
        </is>
      </c>
      <c r="E4455" t="inlineStr">
        <is>
          <t>0905</t>
        </is>
      </c>
      <c r="F4455" t="inlineStr">
        <is>
          <t>0112</t>
        </is>
      </c>
      <c r="G4455" s="10" t="inlineStr">
        <is>
          <t>蚕ノ社</t>
        </is>
      </c>
      <c r="H4455" s="10" t="inlineStr">
        <is>
          <t>発</t>
        </is>
      </c>
      <c r="J4455" s="10" t="inlineStr">
        <is>
          <t>営業</t>
        </is>
      </c>
      <c r="L4455" t="inlineStr">
        <is>
          <t>9:34:20</t>
        </is>
      </c>
      <c r="M4455" t="inlineStr">
        <is>
          <t>9:34:40</t>
        </is>
      </c>
    </row>
    <row r="4456" ht="15" customHeight="1" s="37">
      <c r="A4456" t="n">
        <v>8</v>
      </c>
      <c r="B4456" s="10" t="inlineStr">
        <is>
          <t>休日</t>
        </is>
      </c>
      <c r="C4456" s="10" t="inlineStr">
        <is>
          <t>本線</t>
        </is>
      </c>
      <c r="D4456" s="10" t="inlineStr">
        <is>
          <t>下り</t>
        </is>
      </c>
      <c r="E4456" t="inlineStr">
        <is>
          <t>0905</t>
        </is>
      </c>
      <c r="F4456" t="inlineStr">
        <is>
          <t>0112</t>
        </is>
      </c>
      <c r="G4456" s="10" t="inlineStr">
        <is>
          <t>太秦広隆寺</t>
        </is>
      </c>
      <c r="H4456" s="10" t="inlineStr">
        <is>
          <t>発</t>
        </is>
      </c>
      <c r="J4456" s="10" t="inlineStr">
        <is>
          <t>営業</t>
        </is>
      </c>
      <c r="L4456" t="inlineStr">
        <is>
          <t>9:36:00</t>
        </is>
      </c>
      <c r="M4456" t="inlineStr">
        <is>
          <t>9:36:20</t>
        </is>
      </c>
    </row>
    <row r="4457" ht="15" customHeight="1" s="37">
      <c r="A4457" t="n">
        <v>8</v>
      </c>
      <c r="B4457" s="10" t="inlineStr">
        <is>
          <t>休日</t>
        </is>
      </c>
      <c r="C4457" s="10" t="inlineStr">
        <is>
          <t>本線</t>
        </is>
      </c>
      <c r="D4457" s="10" t="inlineStr">
        <is>
          <t>下り</t>
        </is>
      </c>
      <c r="E4457" t="inlineStr">
        <is>
          <t>0905</t>
        </is>
      </c>
      <c r="F4457" t="inlineStr">
        <is>
          <t>0112</t>
        </is>
      </c>
      <c r="G4457" s="10" t="inlineStr">
        <is>
          <t>帷子ノ辻</t>
        </is>
      </c>
      <c r="H4457" s="10" t="inlineStr">
        <is>
          <t>発</t>
        </is>
      </c>
      <c r="J4457" s="10" t="inlineStr">
        <is>
          <t>営業</t>
        </is>
      </c>
      <c r="L4457" t="inlineStr">
        <is>
          <t>9:38:20</t>
        </is>
      </c>
      <c r="M4457" t="inlineStr">
        <is>
          <t>9:39:40</t>
        </is>
      </c>
    </row>
    <row r="4458" ht="15" customHeight="1" s="37">
      <c r="A4458" t="n">
        <v>8</v>
      </c>
      <c r="B4458" s="10" t="inlineStr">
        <is>
          <t>休日</t>
        </is>
      </c>
      <c r="C4458" s="10" t="inlineStr">
        <is>
          <t>本線</t>
        </is>
      </c>
      <c r="D4458" s="10" t="inlineStr">
        <is>
          <t>下り</t>
        </is>
      </c>
      <c r="E4458" t="inlineStr">
        <is>
          <t>0905</t>
        </is>
      </c>
      <c r="F4458" t="inlineStr">
        <is>
          <t>0112</t>
        </is>
      </c>
      <c r="G4458" s="10" t="inlineStr">
        <is>
          <t>有栖川</t>
        </is>
      </c>
      <c r="H4458" s="10" t="inlineStr">
        <is>
          <t>発</t>
        </is>
      </c>
      <c r="J4458" s="10" t="inlineStr">
        <is>
          <t>営業</t>
        </is>
      </c>
      <c r="L4458" t="inlineStr">
        <is>
          <t>9:40:50</t>
        </is>
      </c>
      <c r="M4458" t="inlineStr">
        <is>
          <t>9:41:15</t>
        </is>
      </c>
    </row>
    <row r="4459" ht="15" customHeight="1" s="37">
      <c r="A4459" t="n">
        <v>8</v>
      </c>
      <c r="B4459" s="10" t="inlineStr">
        <is>
          <t>休日</t>
        </is>
      </c>
      <c r="C4459" s="10" t="inlineStr">
        <is>
          <t>本線</t>
        </is>
      </c>
      <c r="D4459" s="10" t="inlineStr">
        <is>
          <t>下り</t>
        </is>
      </c>
      <c r="E4459" t="inlineStr">
        <is>
          <t>0905</t>
        </is>
      </c>
      <c r="F4459" t="inlineStr">
        <is>
          <t>0112</t>
        </is>
      </c>
      <c r="G4459" s="10" t="inlineStr">
        <is>
          <t>車折</t>
        </is>
      </c>
      <c r="H4459" s="10" t="inlineStr">
        <is>
          <t>発</t>
        </is>
      </c>
      <c r="J4459" s="10" t="inlineStr">
        <is>
          <t>営業</t>
        </is>
      </c>
      <c r="L4459" t="inlineStr">
        <is>
          <t>9:42:40</t>
        </is>
      </c>
      <c r="M4459" t="inlineStr">
        <is>
          <t>9:43:05</t>
        </is>
      </c>
    </row>
    <row r="4460" ht="15" customHeight="1" s="37">
      <c r="A4460" t="n">
        <v>8</v>
      </c>
      <c r="B4460" s="10" t="inlineStr">
        <is>
          <t>休日</t>
        </is>
      </c>
      <c r="C4460" s="10" t="inlineStr">
        <is>
          <t>本線</t>
        </is>
      </c>
      <c r="D4460" s="10" t="inlineStr">
        <is>
          <t>下り</t>
        </is>
      </c>
      <c r="E4460" t="inlineStr">
        <is>
          <t>0905</t>
        </is>
      </c>
      <c r="F4460" t="inlineStr">
        <is>
          <t>0112</t>
        </is>
      </c>
      <c r="G4460" s="10" t="inlineStr">
        <is>
          <t>鹿王院</t>
        </is>
      </c>
      <c r="H4460" s="10" t="inlineStr">
        <is>
          <t>発</t>
        </is>
      </c>
      <c r="J4460" s="10" t="inlineStr">
        <is>
          <t>営業</t>
        </is>
      </c>
      <c r="L4460" t="inlineStr">
        <is>
          <t>9:44:00</t>
        </is>
      </c>
      <c r="M4460" t="inlineStr">
        <is>
          <t>9:44:25</t>
        </is>
      </c>
    </row>
    <row r="4461" ht="15" customHeight="1" s="37">
      <c r="A4461" t="n">
        <v>8</v>
      </c>
      <c r="B4461" s="10" t="inlineStr">
        <is>
          <t>休日</t>
        </is>
      </c>
      <c r="C4461" s="10" t="inlineStr">
        <is>
          <t>本線</t>
        </is>
      </c>
      <c r="D4461" s="10" t="inlineStr">
        <is>
          <t>下り</t>
        </is>
      </c>
      <c r="E4461" t="inlineStr">
        <is>
          <t>0905</t>
        </is>
      </c>
      <c r="F4461" t="inlineStr">
        <is>
          <t>0112</t>
        </is>
      </c>
      <c r="G4461" s="10" t="inlineStr">
        <is>
          <t>嵯峨</t>
        </is>
      </c>
      <c r="H4461" s="10" t="inlineStr">
        <is>
          <t>発</t>
        </is>
      </c>
      <c r="J4461" s="10" t="inlineStr">
        <is>
          <t>営業</t>
        </is>
      </c>
      <c r="L4461" t="inlineStr">
        <is>
          <t>9:45:30</t>
        </is>
      </c>
      <c r="M4461" t="inlineStr">
        <is>
          <t>9:45:55</t>
        </is>
      </c>
    </row>
    <row r="4462" ht="15" customHeight="1" s="37">
      <c r="A4462" t="n">
        <v>8</v>
      </c>
      <c r="B4462" s="10" t="inlineStr">
        <is>
          <t>休日</t>
        </is>
      </c>
      <c r="C4462" s="10" t="inlineStr">
        <is>
          <t>本線</t>
        </is>
      </c>
      <c r="D4462" s="10" t="inlineStr">
        <is>
          <t>下り</t>
        </is>
      </c>
      <c r="E4462" t="inlineStr">
        <is>
          <t>0905</t>
        </is>
      </c>
      <c r="F4462" t="inlineStr">
        <is>
          <t>0112</t>
        </is>
      </c>
      <c r="G4462" s="10" t="inlineStr">
        <is>
          <t>嵐山</t>
        </is>
      </c>
      <c r="H4462" s="10" t="inlineStr">
        <is>
          <t>着</t>
        </is>
      </c>
      <c r="J4462" s="10" t="inlineStr">
        <is>
          <t>営業</t>
        </is>
      </c>
      <c r="L4462" t="inlineStr">
        <is>
          <t>9:47:00</t>
        </is>
      </c>
      <c r="Q4462" t="inlineStr">
        <is>
          <t>1</t>
        </is>
      </c>
    </row>
    <row r="4463" ht="15" customHeight="1" s="37">
      <c r="A4463" t="n">
        <v>8</v>
      </c>
      <c r="B4463" s="10" t="inlineStr">
        <is>
          <t>休日</t>
        </is>
      </c>
      <c r="C4463" s="10" t="inlineStr">
        <is>
          <t>本線</t>
        </is>
      </c>
      <c r="D4463" s="10" t="inlineStr">
        <is>
          <t>上り</t>
        </is>
      </c>
      <c r="E4463" t="inlineStr">
        <is>
          <t>0912</t>
        </is>
      </c>
      <c r="F4463" t="inlineStr">
        <is>
          <t>0211</t>
        </is>
      </c>
      <c r="G4463" s="10" t="inlineStr">
        <is>
          <t>嵐山</t>
        </is>
      </c>
      <c r="H4463" s="10" t="inlineStr">
        <is>
          <t>発</t>
        </is>
      </c>
      <c r="J4463" s="10" t="inlineStr">
        <is>
          <t>営業</t>
        </is>
      </c>
      <c r="M4463" t="inlineStr">
        <is>
          <t>9:53:00</t>
        </is>
      </c>
      <c r="Q4463" t="inlineStr">
        <is>
          <t>1</t>
        </is>
      </c>
    </row>
    <row r="4464" ht="15" customHeight="1" s="37">
      <c r="A4464" t="n">
        <v>8</v>
      </c>
      <c r="B4464" s="10" t="inlineStr">
        <is>
          <t>休日</t>
        </is>
      </c>
      <c r="C4464" s="10" t="inlineStr">
        <is>
          <t>本線</t>
        </is>
      </c>
      <c r="D4464" s="10" t="inlineStr">
        <is>
          <t>上り</t>
        </is>
      </c>
      <c r="E4464" t="inlineStr">
        <is>
          <t>0912</t>
        </is>
      </c>
      <c r="F4464" t="inlineStr">
        <is>
          <t>0211</t>
        </is>
      </c>
      <c r="G4464" s="10" t="inlineStr">
        <is>
          <t>嵯峨</t>
        </is>
      </c>
      <c r="H4464" s="10" t="inlineStr">
        <is>
          <t>発</t>
        </is>
      </c>
      <c r="J4464" s="10" t="inlineStr">
        <is>
          <t>営業</t>
        </is>
      </c>
      <c r="L4464" t="inlineStr">
        <is>
          <t>9:53:55</t>
        </is>
      </c>
      <c r="M4464" t="inlineStr">
        <is>
          <t>9:54:20</t>
        </is>
      </c>
    </row>
    <row r="4465" ht="15" customHeight="1" s="37">
      <c r="A4465" t="n">
        <v>8</v>
      </c>
      <c r="B4465" s="10" t="inlineStr">
        <is>
          <t>休日</t>
        </is>
      </c>
      <c r="C4465" s="10" t="inlineStr">
        <is>
          <t>本線</t>
        </is>
      </c>
      <c r="D4465" s="10" t="inlineStr">
        <is>
          <t>上り</t>
        </is>
      </c>
      <c r="E4465" t="inlineStr">
        <is>
          <t>0912</t>
        </is>
      </c>
      <c r="F4465" t="inlineStr">
        <is>
          <t>0211</t>
        </is>
      </c>
      <c r="G4465" s="10" t="inlineStr">
        <is>
          <t>鹿王院</t>
        </is>
      </c>
      <c r="H4465" s="10" t="inlineStr">
        <is>
          <t>発</t>
        </is>
      </c>
      <c r="J4465" s="10" t="inlineStr">
        <is>
          <t>営業</t>
        </is>
      </c>
      <c r="L4465" t="inlineStr">
        <is>
          <t>9:55:25</t>
        </is>
      </c>
      <c r="M4465" t="inlineStr">
        <is>
          <t>9:55:45</t>
        </is>
      </c>
    </row>
    <row r="4466" ht="15" customHeight="1" s="37">
      <c r="A4466" t="n">
        <v>8</v>
      </c>
      <c r="B4466" s="10" t="inlineStr">
        <is>
          <t>休日</t>
        </is>
      </c>
      <c r="C4466" s="10" t="inlineStr">
        <is>
          <t>本線</t>
        </is>
      </c>
      <c r="D4466" s="10" t="inlineStr">
        <is>
          <t>上り</t>
        </is>
      </c>
      <c r="E4466" t="inlineStr">
        <is>
          <t>0912</t>
        </is>
      </c>
      <c r="F4466" t="inlineStr">
        <is>
          <t>0211</t>
        </is>
      </c>
      <c r="G4466" s="10" t="inlineStr">
        <is>
          <t>車折</t>
        </is>
      </c>
      <c r="H4466" s="10" t="inlineStr">
        <is>
          <t>発</t>
        </is>
      </c>
      <c r="J4466" s="10" t="inlineStr">
        <is>
          <t>営業</t>
        </is>
      </c>
      <c r="L4466" t="inlineStr">
        <is>
          <t>9:56:40</t>
        </is>
      </c>
      <c r="M4466" t="inlineStr">
        <is>
          <t>9:57:10</t>
        </is>
      </c>
    </row>
    <row r="4467" ht="15" customHeight="1" s="37">
      <c r="A4467" t="n">
        <v>8</v>
      </c>
      <c r="B4467" s="10" t="inlineStr">
        <is>
          <t>休日</t>
        </is>
      </c>
      <c r="C4467" s="10" t="inlineStr">
        <is>
          <t>本線</t>
        </is>
      </c>
      <c r="D4467" s="10" t="inlineStr">
        <is>
          <t>上り</t>
        </is>
      </c>
      <c r="E4467" t="inlineStr">
        <is>
          <t>0912</t>
        </is>
      </c>
      <c r="F4467" t="inlineStr">
        <is>
          <t>0211</t>
        </is>
      </c>
      <c r="G4467" s="10" t="inlineStr">
        <is>
          <t>有栖川</t>
        </is>
      </c>
      <c r="H4467" s="10" t="inlineStr">
        <is>
          <t>発</t>
        </is>
      </c>
      <c r="J4467" s="10" t="inlineStr">
        <is>
          <t>営業</t>
        </is>
      </c>
      <c r="L4467" t="inlineStr">
        <is>
          <t>9:58:35</t>
        </is>
      </c>
      <c r="M4467" t="inlineStr">
        <is>
          <t>9:58:55</t>
        </is>
      </c>
    </row>
    <row r="4468" ht="15" customHeight="1" s="37">
      <c r="A4468" t="n">
        <v>8</v>
      </c>
      <c r="B4468" s="10" t="inlineStr">
        <is>
          <t>休日</t>
        </is>
      </c>
      <c r="C4468" s="10" t="inlineStr">
        <is>
          <t>本線</t>
        </is>
      </c>
      <c r="D4468" s="10" t="inlineStr">
        <is>
          <t>上り</t>
        </is>
      </c>
      <c r="E4468" t="inlineStr">
        <is>
          <t>0912</t>
        </is>
      </c>
      <c r="F4468" t="inlineStr">
        <is>
          <t>0211</t>
        </is>
      </c>
      <c r="G4468" s="10" t="inlineStr">
        <is>
          <t>帷子ノ辻</t>
        </is>
      </c>
      <c r="H4468" s="10" t="inlineStr">
        <is>
          <t>発</t>
        </is>
      </c>
      <c r="J4468" s="10" t="inlineStr">
        <is>
          <t>営業</t>
        </is>
      </c>
      <c r="L4468" t="inlineStr">
        <is>
          <t>10:00:10</t>
        </is>
      </c>
      <c r="M4468" t="inlineStr">
        <is>
          <t>10:01:15</t>
        </is>
      </c>
    </row>
    <row r="4469" ht="15" customHeight="1" s="37">
      <c r="A4469" t="n">
        <v>8</v>
      </c>
      <c r="B4469" s="10" t="inlineStr">
        <is>
          <t>休日</t>
        </is>
      </c>
      <c r="C4469" s="10" t="inlineStr">
        <is>
          <t>本線</t>
        </is>
      </c>
      <c r="D4469" s="10" t="inlineStr">
        <is>
          <t>上り</t>
        </is>
      </c>
      <c r="E4469" t="inlineStr">
        <is>
          <t>0912</t>
        </is>
      </c>
      <c r="F4469" t="inlineStr">
        <is>
          <t>0211</t>
        </is>
      </c>
      <c r="G4469" s="10" t="inlineStr">
        <is>
          <t>太秦広隆寺</t>
        </is>
      </c>
      <c r="H4469" s="10" t="inlineStr">
        <is>
          <t>発</t>
        </is>
      </c>
      <c r="J4469" s="10" t="inlineStr">
        <is>
          <t>営業</t>
        </is>
      </c>
      <c r="L4469" t="inlineStr">
        <is>
          <t>10:03:25</t>
        </is>
      </c>
      <c r="M4469" t="inlineStr">
        <is>
          <t>10:03:45</t>
        </is>
      </c>
    </row>
    <row r="4470" ht="15" customHeight="1" s="37">
      <c r="A4470" t="n">
        <v>8</v>
      </c>
      <c r="B4470" s="10" t="inlineStr">
        <is>
          <t>休日</t>
        </is>
      </c>
      <c r="C4470" s="10" t="inlineStr">
        <is>
          <t>本線</t>
        </is>
      </c>
      <c r="D4470" s="10" t="inlineStr">
        <is>
          <t>上り</t>
        </is>
      </c>
      <c r="E4470" t="inlineStr">
        <is>
          <t>0912</t>
        </is>
      </c>
      <c r="F4470" t="inlineStr">
        <is>
          <t>0211</t>
        </is>
      </c>
      <c r="G4470" s="10" t="inlineStr">
        <is>
          <t>蚕ノ社</t>
        </is>
      </c>
      <c r="H4470" s="10" t="inlineStr">
        <is>
          <t>発</t>
        </is>
      </c>
      <c r="J4470" s="10" t="inlineStr">
        <is>
          <t>営業</t>
        </is>
      </c>
      <c r="L4470" t="inlineStr">
        <is>
          <t>10:05:00</t>
        </is>
      </c>
      <c r="M4470" t="inlineStr">
        <is>
          <t>10:05:20</t>
        </is>
      </c>
    </row>
    <row r="4471" ht="15" customHeight="1" s="37">
      <c r="A4471" t="n">
        <v>8</v>
      </c>
      <c r="B4471" s="10" t="inlineStr">
        <is>
          <t>休日</t>
        </is>
      </c>
      <c r="C4471" s="10" t="inlineStr">
        <is>
          <t>本線</t>
        </is>
      </c>
      <c r="D4471" s="10" t="inlineStr">
        <is>
          <t>上り</t>
        </is>
      </c>
      <c r="E4471" t="inlineStr">
        <is>
          <t>0912</t>
        </is>
      </c>
      <c r="F4471" t="inlineStr">
        <is>
          <t>0211</t>
        </is>
      </c>
      <c r="G4471" s="10" t="inlineStr">
        <is>
          <t>天神川</t>
        </is>
      </c>
      <c r="H4471" s="10" t="inlineStr">
        <is>
          <t>発</t>
        </is>
      </c>
      <c r="J4471" s="10" t="inlineStr">
        <is>
          <t>営業</t>
        </is>
      </c>
      <c r="L4471" t="inlineStr">
        <is>
          <t>10:06:05</t>
        </is>
      </c>
      <c r="M4471" t="inlineStr">
        <is>
          <t>10:06:50</t>
        </is>
      </c>
    </row>
    <row r="4472" ht="15" customHeight="1" s="37">
      <c r="A4472" t="n">
        <v>8</v>
      </c>
      <c r="B4472" s="10" t="inlineStr">
        <is>
          <t>休日</t>
        </is>
      </c>
      <c r="C4472" s="10" t="inlineStr">
        <is>
          <t>本線</t>
        </is>
      </c>
      <c r="D4472" s="10" t="inlineStr">
        <is>
          <t>上り</t>
        </is>
      </c>
      <c r="E4472" t="inlineStr">
        <is>
          <t>0912</t>
        </is>
      </c>
      <c r="F4472" t="inlineStr">
        <is>
          <t>0211</t>
        </is>
      </c>
      <c r="G4472" s="10" t="inlineStr">
        <is>
          <t>山ノ内</t>
        </is>
      </c>
      <c r="H4472" s="10" t="inlineStr">
        <is>
          <t>発</t>
        </is>
      </c>
      <c r="J4472" s="10" t="inlineStr">
        <is>
          <t>営業</t>
        </is>
      </c>
      <c r="L4472" t="inlineStr">
        <is>
          <t>10:08:40</t>
        </is>
      </c>
      <c r="M4472" t="inlineStr">
        <is>
          <t>10:09:05</t>
        </is>
      </c>
    </row>
    <row r="4473" ht="15" customHeight="1" s="37">
      <c r="A4473" t="n">
        <v>8</v>
      </c>
      <c r="B4473" s="10" t="inlineStr">
        <is>
          <t>休日</t>
        </is>
      </c>
      <c r="C4473" s="10" t="inlineStr">
        <is>
          <t>本線</t>
        </is>
      </c>
      <c r="D4473" s="10" t="inlineStr">
        <is>
          <t>上り</t>
        </is>
      </c>
      <c r="E4473" t="inlineStr">
        <is>
          <t>0912</t>
        </is>
      </c>
      <c r="F4473" t="inlineStr">
        <is>
          <t>0211</t>
        </is>
      </c>
      <c r="G4473" s="10" t="inlineStr">
        <is>
          <t>西大路三条</t>
        </is>
      </c>
      <c r="H4473" s="10" t="inlineStr">
        <is>
          <t>発</t>
        </is>
      </c>
      <c r="J4473" s="10" t="inlineStr">
        <is>
          <t>営業</t>
        </is>
      </c>
      <c r="L4473" t="inlineStr">
        <is>
          <t>10:10:55</t>
        </is>
      </c>
      <c r="M4473" t="inlineStr">
        <is>
          <t>10:11:15</t>
        </is>
      </c>
    </row>
    <row r="4474" ht="15" customHeight="1" s="37">
      <c r="A4474" t="n">
        <v>8</v>
      </c>
      <c r="B4474" s="10" t="inlineStr">
        <is>
          <t>休日</t>
        </is>
      </c>
      <c r="C4474" s="10" t="inlineStr">
        <is>
          <t>本線</t>
        </is>
      </c>
      <c r="D4474" s="10" t="inlineStr">
        <is>
          <t>上り</t>
        </is>
      </c>
      <c r="E4474" t="inlineStr">
        <is>
          <t>0912</t>
        </is>
      </c>
      <c r="F4474" t="inlineStr">
        <is>
          <t>0211</t>
        </is>
      </c>
      <c r="G4474" s="10" t="inlineStr">
        <is>
          <t>西院</t>
        </is>
      </c>
      <c r="H4474" s="10" t="inlineStr">
        <is>
          <t>発</t>
        </is>
      </c>
      <c r="J4474" s="10" t="inlineStr">
        <is>
          <t>営業</t>
        </is>
      </c>
      <c r="L4474" t="inlineStr">
        <is>
          <t>10:13:10</t>
        </is>
      </c>
      <c r="M4474" t="inlineStr">
        <is>
          <t>10:14:05</t>
        </is>
      </c>
    </row>
    <row r="4475" ht="15" customHeight="1" s="37">
      <c r="A4475" t="n">
        <v>8</v>
      </c>
      <c r="B4475" s="10" t="inlineStr">
        <is>
          <t>休日</t>
        </is>
      </c>
      <c r="C4475" s="10" t="inlineStr">
        <is>
          <t>本線</t>
        </is>
      </c>
      <c r="D4475" s="10" t="inlineStr">
        <is>
          <t>上り</t>
        </is>
      </c>
      <c r="E4475" t="inlineStr">
        <is>
          <t>0912</t>
        </is>
      </c>
      <c r="F4475" t="inlineStr">
        <is>
          <t>0211</t>
        </is>
      </c>
      <c r="G4475" s="10" t="inlineStr">
        <is>
          <t>四条大宮</t>
        </is>
      </c>
      <c r="H4475" s="10" t="inlineStr">
        <is>
          <t>着</t>
        </is>
      </c>
      <c r="J4475" s="10" t="inlineStr">
        <is>
          <t>営業</t>
        </is>
      </c>
      <c r="L4475" t="inlineStr">
        <is>
          <t>10:17:00</t>
        </is>
      </c>
      <c r="Q4475" t="inlineStr">
        <is>
          <t>1</t>
        </is>
      </c>
    </row>
    <row r="4476" ht="15" customHeight="1" s="37">
      <c r="A4476" t="n">
        <v>8</v>
      </c>
      <c r="B4476" s="10" t="inlineStr">
        <is>
          <t>休日</t>
        </is>
      </c>
      <c r="C4476" s="10" t="inlineStr">
        <is>
          <t>本線</t>
        </is>
      </c>
      <c r="D4476" s="10" t="inlineStr">
        <is>
          <t>下り</t>
        </is>
      </c>
      <c r="E4476" t="inlineStr">
        <is>
          <t>1005</t>
        </is>
      </c>
      <c r="F4476" t="inlineStr">
        <is>
          <t>0112</t>
        </is>
      </c>
      <c r="G4476" s="10" t="inlineStr">
        <is>
          <t>四条大宮</t>
        </is>
      </c>
      <c r="H4476" s="10" t="inlineStr">
        <is>
          <t>発</t>
        </is>
      </c>
      <c r="J4476" s="10" t="inlineStr">
        <is>
          <t>営業</t>
        </is>
      </c>
      <c r="M4476" t="inlineStr">
        <is>
          <t>10:23:00</t>
        </is>
      </c>
      <c r="Q4476" t="inlineStr">
        <is>
          <t>1</t>
        </is>
      </c>
    </row>
    <row r="4477" ht="15" customHeight="1" s="37">
      <c r="A4477" t="n">
        <v>8</v>
      </c>
      <c r="B4477" s="10" t="inlineStr">
        <is>
          <t>休日</t>
        </is>
      </c>
      <c r="C4477" s="10" t="inlineStr">
        <is>
          <t>本線</t>
        </is>
      </c>
      <c r="D4477" s="10" t="inlineStr">
        <is>
          <t>下り</t>
        </is>
      </c>
      <c r="E4477" t="inlineStr">
        <is>
          <t>1005</t>
        </is>
      </c>
      <c r="F4477" t="inlineStr">
        <is>
          <t>0112</t>
        </is>
      </c>
      <c r="G4477" s="10" t="inlineStr">
        <is>
          <t>西院</t>
        </is>
      </c>
      <c r="H4477" s="10" t="inlineStr">
        <is>
          <t>発</t>
        </is>
      </c>
      <c r="J4477" s="10" t="inlineStr">
        <is>
          <t>営業</t>
        </is>
      </c>
      <c r="L4477" t="inlineStr">
        <is>
          <t>10:25:50</t>
        </is>
      </c>
      <c r="M4477" t="inlineStr">
        <is>
          <t>10:26:20</t>
        </is>
      </c>
    </row>
    <row r="4478" ht="15" customHeight="1" s="37">
      <c r="A4478" t="n">
        <v>8</v>
      </c>
      <c r="B4478" s="10" t="inlineStr">
        <is>
          <t>休日</t>
        </is>
      </c>
      <c r="C4478" s="10" t="inlineStr">
        <is>
          <t>本線</t>
        </is>
      </c>
      <c r="D4478" s="10" t="inlineStr">
        <is>
          <t>下り</t>
        </is>
      </c>
      <c r="E4478" t="inlineStr">
        <is>
          <t>1005</t>
        </is>
      </c>
      <c r="F4478" t="inlineStr">
        <is>
          <t>0112</t>
        </is>
      </c>
      <c r="G4478" s="10" t="inlineStr">
        <is>
          <t>西大路三条</t>
        </is>
      </c>
      <c r="H4478" s="10" t="inlineStr">
        <is>
          <t>発</t>
        </is>
      </c>
      <c r="J4478" s="10" t="inlineStr">
        <is>
          <t>営業</t>
        </is>
      </c>
      <c r="L4478" t="inlineStr">
        <is>
          <t>10:28:10</t>
        </is>
      </c>
      <c r="M4478" t="inlineStr">
        <is>
          <t>10:28:30</t>
        </is>
      </c>
    </row>
    <row r="4479" ht="15" customHeight="1" s="37">
      <c r="A4479" t="n">
        <v>8</v>
      </c>
      <c r="B4479" s="10" t="inlineStr">
        <is>
          <t>休日</t>
        </is>
      </c>
      <c r="C4479" s="10" t="inlineStr">
        <is>
          <t>本線</t>
        </is>
      </c>
      <c r="D4479" s="10" t="inlineStr">
        <is>
          <t>下り</t>
        </is>
      </c>
      <c r="E4479" t="inlineStr">
        <is>
          <t>1005</t>
        </is>
      </c>
      <c r="F4479" t="inlineStr">
        <is>
          <t>0112</t>
        </is>
      </c>
      <c r="G4479" s="10" t="inlineStr">
        <is>
          <t>山ノ内</t>
        </is>
      </c>
      <c r="H4479" s="10" t="inlineStr">
        <is>
          <t>発</t>
        </is>
      </c>
      <c r="J4479" s="10" t="inlineStr">
        <is>
          <t>営業</t>
        </is>
      </c>
      <c r="L4479" t="inlineStr">
        <is>
          <t>10:30:25</t>
        </is>
      </c>
      <c r="M4479" t="inlineStr">
        <is>
          <t>10:30:50</t>
        </is>
      </c>
    </row>
    <row r="4480" ht="15" customHeight="1" s="37">
      <c r="A4480" t="n">
        <v>8</v>
      </c>
      <c r="B4480" s="10" t="inlineStr">
        <is>
          <t>休日</t>
        </is>
      </c>
      <c r="C4480" s="10" t="inlineStr">
        <is>
          <t>本線</t>
        </is>
      </c>
      <c r="D4480" s="10" t="inlineStr">
        <is>
          <t>下り</t>
        </is>
      </c>
      <c r="E4480" t="inlineStr">
        <is>
          <t>1005</t>
        </is>
      </c>
      <c r="F4480" t="inlineStr">
        <is>
          <t>0112</t>
        </is>
      </c>
      <c r="G4480" s="10" t="inlineStr">
        <is>
          <t>天神川</t>
        </is>
      </c>
      <c r="H4480" s="10" t="inlineStr">
        <is>
          <t>発</t>
        </is>
      </c>
      <c r="J4480" s="10" t="inlineStr">
        <is>
          <t>営業</t>
        </is>
      </c>
      <c r="L4480" t="inlineStr">
        <is>
          <t>10:32:50</t>
        </is>
      </c>
      <c r="M4480" t="inlineStr">
        <is>
          <t>10:33:30</t>
        </is>
      </c>
    </row>
    <row r="4481" ht="15" customHeight="1" s="37">
      <c r="A4481" t="n">
        <v>8</v>
      </c>
      <c r="B4481" s="10" t="inlineStr">
        <is>
          <t>休日</t>
        </is>
      </c>
      <c r="C4481" s="10" t="inlineStr">
        <is>
          <t>本線</t>
        </is>
      </c>
      <c r="D4481" s="10" t="inlineStr">
        <is>
          <t>下り</t>
        </is>
      </c>
      <c r="E4481" t="inlineStr">
        <is>
          <t>1005</t>
        </is>
      </c>
      <c r="F4481" t="inlineStr">
        <is>
          <t>0112</t>
        </is>
      </c>
      <c r="G4481" s="10" t="inlineStr">
        <is>
          <t>蚕ノ社</t>
        </is>
      </c>
      <c r="H4481" s="10" t="inlineStr">
        <is>
          <t>発</t>
        </is>
      </c>
      <c r="J4481" s="10" t="inlineStr">
        <is>
          <t>営業</t>
        </is>
      </c>
      <c r="L4481" t="inlineStr">
        <is>
          <t>10:34:20</t>
        </is>
      </c>
      <c r="M4481" t="inlineStr">
        <is>
          <t>10:34:40</t>
        </is>
      </c>
    </row>
    <row r="4482" ht="15" customHeight="1" s="37">
      <c r="A4482" t="n">
        <v>8</v>
      </c>
      <c r="B4482" s="10" t="inlineStr">
        <is>
          <t>休日</t>
        </is>
      </c>
      <c r="C4482" s="10" t="inlineStr">
        <is>
          <t>本線</t>
        </is>
      </c>
      <c r="D4482" s="10" t="inlineStr">
        <is>
          <t>下り</t>
        </is>
      </c>
      <c r="E4482" t="inlineStr">
        <is>
          <t>1005</t>
        </is>
      </c>
      <c r="F4482" t="inlineStr">
        <is>
          <t>0112</t>
        </is>
      </c>
      <c r="G4482" s="10" t="inlineStr">
        <is>
          <t>太秦広隆寺</t>
        </is>
      </c>
      <c r="H4482" s="10" t="inlineStr">
        <is>
          <t>発</t>
        </is>
      </c>
      <c r="J4482" s="10" t="inlineStr">
        <is>
          <t>営業</t>
        </is>
      </c>
      <c r="L4482" t="inlineStr">
        <is>
          <t>10:36:00</t>
        </is>
      </c>
      <c r="M4482" t="inlineStr">
        <is>
          <t>10:36:20</t>
        </is>
      </c>
    </row>
    <row r="4483" ht="15" customHeight="1" s="37">
      <c r="A4483" t="n">
        <v>8</v>
      </c>
      <c r="B4483" s="10" t="inlineStr">
        <is>
          <t>休日</t>
        </is>
      </c>
      <c r="C4483" s="10" t="inlineStr">
        <is>
          <t>本線</t>
        </is>
      </c>
      <c r="D4483" s="10" t="inlineStr">
        <is>
          <t>下り</t>
        </is>
      </c>
      <c r="E4483" t="inlineStr">
        <is>
          <t>1005</t>
        </is>
      </c>
      <c r="F4483" t="inlineStr">
        <is>
          <t>0112</t>
        </is>
      </c>
      <c r="G4483" s="10" t="inlineStr">
        <is>
          <t>帷子ノ辻</t>
        </is>
      </c>
      <c r="H4483" s="10" t="inlineStr">
        <is>
          <t>発</t>
        </is>
      </c>
      <c r="J4483" s="10" t="inlineStr">
        <is>
          <t>営業</t>
        </is>
      </c>
      <c r="L4483" t="inlineStr">
        <is>
          <t>10:38:20</t>
        </is>
      </c>
      <c r="M4483" t="inlineStr">
        <is>
          <t>10:39:40</t>
        </is>
      </c>
    </row>
    <row r="4484" ht="15" customHeight="1" s="37">
      <c r="A4484" t="n">
        <v>8</v>
      </c>
      <c r="B4484" s="10" t="inlineStr">
        <is>
          <t>休日</t>
        </is>
      </c>
      <c r="C4484" s="10" t="inlineStr">
        <is>
          <t>本線</t>
        </is>
      </c>
      <c r="D4484" s="10" t="inlineStr">
        <is>
          <t>下り</t>
        </is>
      </c>
      <c r="E4484" t="inlineStr">
        <is>
          <t>1005</t>
        </is>
      </c>
      <c r="F4484" t="inlineStr">
        <is>
          <t>0112</t>
        </is>
      </c>
      <c r="G4484" s="10" t="inlineStr">
        <is>
          <t>有栖川</t>
        </is>
      </c>
      <c r="H4484" s="10" t="inlineStr">
        <is>
          <t>発</t>
        </is>
      </c>
      <c r="J4484" s="10" t="inlineStr">
        <is>
          <t>営業</t>
        </is>
      </c>
      <c r="L4484" t="inlineStr">
        <is>
          <t>10:40:50</t>
        </is>
      </c>
      <c r="M4484" t="inlineStr">
        <is>
          <t>10:41:15</t>
        </is>
      </c>
    </row>
    <row r="4485" ht="15" customHeight="1" s="37">
      <c r="A4485" t="n">
        <v>8</v>
      </c>
      <c r="B4485" s="10" t="inlineStr">
        <is>
          <t>休日</t>
        </is>
      </c>
      <c r="C4485" s="10" t="inlineStr">
        <is>
          <t>本線</t>
        </is>
      </c>
      <c r="D4485" s="10" t="inlineStr">
        <is>
          <t>下り</t>
        </is>
      </c>
      <c r="E4485" t="inlineStr">
        <is>
          <t>1005</t>
        </is>
      </c>
      <c r="F4485" t="inlineStr">
        <is>
          <t>0112</t>
        </is>
      </c>
      <c r="G4485" s="10" t="inlineStr">
        <is>
          <t>車折</t>
        </is>
      </c>
      <c r="H4485" s="10" t="inlineStr">
        <is>
          <t>発</t>
        </is>
      </c>
      <c r="J4485" s="10" t="inlineStr">
        <is>
          <t>営業</t>
        </is>
      </c>
      <c r="L4485" t="inlineStr">
        <is>
          <t>10:42:40</t>
        </is>
      </c>
      <c r="M4485" t="inlineStr">
        <is>
          <t>10:43:05</t>
        </is>
      </c>
    </row>
    <row r="4486" ht="15" customHeight="1" s="37">
      <c r="A4486" t="n">
        <v>8</v>
      </c>
      <c r="B4486" s="10" t="inlineStr">
        <is>
          <t>休日</t>
        </is>
      </c>
      <c r="C4486" s="10" t="inlineStr">
        <is>
          <t>本線</t>
        </is>
      </c>
      <c r="D4486" s="10" t="inlineStr">
        <is>
          <t>下り</t>
        </is>
      </c>
      <c r="E4486" t="inlineStr">
        <is>
          <t>1005</t>
        </is>
      </c>
      <c r="F4486" t="inlineStr">
        <is>
          <t>0112</t>
        </is>
      </c>
      <c r="G4486" s="10" t="inlineStr">
        <is>
          <t>鹿王院</t>
        </is>
      </c>
      <c r="H4486" s="10" t="inlineStr">
        <is>
          <t>発</t>
        </is>
      </c>
      <c r="J4486" s="10" t="inlineStr">
        <is>
          <t>営業</t>
        </is>
      </c>
      <c r="L4486" t="inlineStr">
        <is>
          <t>10:44:00</t>
        </is>
      </c>
      <c r="M4486" t="inlineStr">
        <is>
          <t>10:44:25</t>
        </is>
      </c>
    </row>
    <row r="4487" ht="15" customHeight="1" s="37">
      <c r="A4487" t="n">
        <v>8</v>
      </c>
      <c r="B4487" s="10" t="inlineStr">
        <is>
          <t>休日</t>
        </is>
      </c>
      <c r="C4487" s="10" t="inlineStr">
        <is>
          <t>本線</t>
        </is>
      </c>
      <c r="D4487" s="10" t="inlineStr">
        <is>
          <t>下り</t>
        </is>
      </c>
      <c r="E4487" t="inlineStr">
        <is>
          <t>1005</t>
        </is>
      </c>
      <c r="F4487" t="inlineStr">
        <is>
          <t>0112</t>
        </is>
      </c>
      <c r="G4487" s="10" t="inlineStr">
        <is>
          <t>嵯峨</t>
        </is>
      </c>
      <c r="H4487" s="10" t="inlineStr">
        <is>
          <t>発</t>
        </is>
      </c>
      <c r="J4487" s="10" t="inlineStr">
        <is>
          <t>営業</t>
        </is>
      </c>
      <c r="L4487" t="inlineStr">
        <is>
          <t>10:45:30</t>
        </is>
      </c>
      <c r="M4487" t="inlineStr">
        <is>
          <t>10:45:55</t>
        </is>
      </c>
    </row>
    <row r="4488" ht="15" customHeight="1" s="37">
      <c r="A4488" t="n">
        <v>8</v>
      </c>
      <c r="B4488" s="10" t="inlineStr">
        <is>
          <t>休日</t>
        </is>
      </c>
      <c r="C4488" s="10" t="inlineStr">
        <is>
          <t>本線</t>
        </is>
      </c>
      <c r="D4488" s="10" t="inlineStr">
        <is>
          <t>下り</t>
        </is>
      </c>
      <c r="E4488" t="inlineStr">
        <is>
          <t>1005</t>
        </is>
      </c>
      <c r="F4488" t="inlineStr">
        <is>
          <t>0112</t>
        </is>
      </c>
      <c r="G4488" s="10" t="inlineStr">
        <is>
          <t>嵐山</t>
        </is>
      </c>
      <c r="H4488" s="10" t="inlineStr">
        <is>
          <t>着</t>
        </is>
      </c>
      <c r="J4488" s="10" t="inlineStr">
        <is>
          <t>営業</t>
        </is>
      </c>
      <c r="L4488" t="inlineStr">
        <is>
          <t>10:47:00</t>
        </is>
      </c>
      <c r="Q4488" t="inlineStr">
        <is>
          <t>1</t>
        </is>
      </c>
    </row>
    <row r="4489" ht="15" customHeight="1" s="37">
      <c r="A4489" t="n">
        <v>8</v>
      </c>
      <c r="B4489" s="10" t="inlineStr">
        <is>
          <t>休日</t>
        </is>
      </c>
      <c r="C4489" s="10" t="inlineStr">
        <is>
          <t>本線</t>
        </is>
      </c>
      <c r="D4489" s="10" t="inlineStr">
        <is>
          <t>上り</t>
        </is>
      </c>
      <c r="E4489" t="inlineStr">
        <is>
          <t>1012</t>
        </is>
      </c>
      <c r="F4489" t="inlineStr">
        <is>
          <t>0211</t>
        </is>
      </c>
      <c r="G4489" s="10" t="inlineStr">
        <is>
          <t>嵐山</t>
        </is>
      </c>
      <c r="H4489" s="10" t="inlineStr">
        <is>
          <t>発</t>
        </is>
      </c>
      <c r="J4489" s="10" t="inlineStr">
        <is>
          <t>営業</t>
        </is>
      </c>
      <c r="M4489" t="inlineStr">
        <is>
          <t>10:53:00</t>
        </is>
      </c>
      <c r="Q4489" t="inlineStr">
        <is>
          <t>1</t>
        </is>
      </c>
    </row>
    <row r="4490" ht="15" customHeight="1" s="37">
      <c r="A4490" t="n">
        <v>8</v>
      </c>
      <c r="B4490" s="10" t="inlineStr">
        <is>
          <t>休日</t>
        </is>
      </c>
      <c r="C4490" s="10" t="inlineStr">
        <is>
          <t>本線</t>
        </is>
      </c>
      <c r="D4490" s="10" t="inlineStr">
        <is>
          <t>上り</t>
        </is>
      </c>
      <c r="E4490" t="inlineStr">
        <is>
          <t>1012</t>
        </is>
      </c>
      <c r="F4490" t="inlineStr">
        <is>
          <t>0211</t>
        </is>
      </c>
      <c r="G4490" s="10" t="inlineStr">
        <is>
          <t>嵯峨</t>
        </is>
      </c>
      <c r="H4490" s="10" t="inlineStr">
        <is>
          <t>発</t>
        </is>
      </c>
      <c r="J4490" s="10" t="inlineStr">
        <is>
          <t>営業</t>
        </is>
      </c>
      <c r="L4490" t="inlineStr">
        <is>
          <t>10:53:55</t>
        </is>
      </c>
      <c r="M4490" t="inlineStr">
        <is>
          <t>10:54:20</t>
        </is>
      </c>
    </row>
    <row r="4491" ht="15" customHeight="1" s="37">
      <c r="A4491" t="n">
        <v>8</v>
      </c>
      <c r="B4491" s="10" t="inlineStr">
        <is>
          <t>休日</t>
        </is>
      </c>
      <c r="C4491" s="10" t="inlineStr">
        <is>
          <t>本線</t>
        </is>
      </c>
      <c r="D4491" s="10" t="inlineStr">
        <is>
          <t>上り</t>
        </is>
      </c>
      <c r="E4491" t="inlineStr">
        <is>
          <t>1012</t>
        </is>
      </c>
      <c r="F4491" t="inlineStr">
        <is>
          <t>0211</t>
        </is>
      </c>
      <c r="G4491" s="10" t="inlineStr">
        <is>
          <t>鹿王院</t>
        </is>
      </c>
      <c r="H4491" s="10" t="inlineStr">
        <is>
          <t>発</t>
        </is>
      </c>
      <c r="J4491" s="10" t="inlineStr">
        <is>
          <t>営業</t>
        </is>
      </c>
      <c r="L4491" t="inlineStr">
        <is>
          <t>10:55:25</t>
        </is>
      </c>
      <c r="M4491" t="inlineStr">
        <is>
          <t>10:55:45</t>
        </is>
      </c>
    </row>
    <row r="4492" ht="15" customHeight="1" s="37">
      <c r="A4492" t="n">
        <v>8</v>
      </c>
      <c r="B4492" s="10" t="inlineStr">
        <is>
          <t>休日</t>
        </is>
      </c>
      <c r="C4492" s="10" t="inlineStr">
        <is>
          <t>本線</t>
        </is>
      </c>
      <c r="D4492" s="10" t="inlineStr">
        <is>
          <t>上り</t>
        </is>
      </c>
      <c r="E4492" t="inlineStr">
        <is>
          <t>1012</t>
        </is>
      </c>
      <c r="F4492" t="inlineStr">
        <is>
          <t>0211</t>
        </is>
      </c>
      <c r="G4492" s="10" t="inlineStr">
        <is>
          <t>車折</t>
        </is>
      </c>
      <c r="H4492" s="10" t="inlineStr">
        <is>
          <t>発</t>
        </is>
      </c>
      <c r="J4492" s="10" t="inlineStr">
        <is>
          <t>営業</t>
        </is>
      </c>
      <c r="L4492" t="inlineStr">
        <is>
          <t>10:56:40</t>
        </is>
      </c>
      <c r="M4492" t="inlineStr">
        <is>
          <t>10:57:10</t>
        </is>
      </c>
    </row>
    <row r="4493" ht="15" customHeight="1" s="37">
      <c r="A4493" t="n">
        <v>8</v>
      </c>
      <c r="B4493" s="10" t="inlineStr">
        <is>
          <t>休日</t>
        </is>
      </c>
      <c r="C4493" s="10" t="inlineStr">
        <is>
          <t>本線</t>
        </is>
      </c>
      <c r="D4493" s="10" t="inlineStr">
        <is>
          <t>上り</t>
        </is>
      </c>
      <c r="E4493" t="inlineStr">
        <is>
          <t>1012</t>
        </is>
      </c>
      <c r="F4493" t="inlineStr">
        <is>
          <t>0211</t>
        </is>
      </c>
      <c r="G4493" s="10" t="inlineStr">
        <is>
          <t>有栖川</t>
        </is>
      </c>
      <c r="H4493" s="10" t="inlineStr">
        <is>
          <t>発</t>
        </is>
      </c>
      <c r="J4493" s="10" t="inlineStr">
        <is>
          <t>営業</t>
        </is>
      </c>
      <c r="L4493" t="inlineStr">
        <is>
          <t>10:58:35</t>
        </is>
      </c>
      <c r="M4493" t="inlineStr">
        <is>
          <t>10:58:55</t>
        </is>
      </c>
    </row>
    <row r="4494" ht="15" customHeight="1" s="37">
      <c r="A4494" t="n">
        <v>8</v>
      </c>
      <c r="B4494" s="10" t="inlineStr">
        <is>
          <t>休日</t>
        </is>
      </c>
      <c r="C4494" s="10" t="inlineStr">
        <is>
          <t>本線</t>
        </is>
      </c>
      <c r="D4494" s="10" t="inlineStr">
        <is>
          <t>上り</t>
        </is>
      </c>
      <c r="E4494" t="inlineStr">
        <is>
          <t>1012</t>
        </is>
      </c>
      <c r="F4494" t="inlineStr">
        <is>
          <t>0211</t>
        </is>
      </c>
      <c r="G4494" s="10" t="inlineStr">
        <is>
          <t>帷子ノ辻</t>
        </is>
      </c>
      <c r="H4494" s="10" t="inlineStr">
        <is>
          <t>発</t>
        </is>
      </c>
      <c r="J4494" s="10" t="inlineStr">
        <is>
          <t>営業</t>
        </is>
      </c>
      <c r="L4494" t="inlineStr">
        <is>
          <t>11:00:10</t>
        </is>
      </c>
      <c r="M4494" t="inlineStr">
        <is>
          <t>11:01:15</t>
        </is>
      </c>
    </row>
    <row r="4495" ht="15" customHeight="1" s="37">
      <c r="A4495" t="n">
        <v>8</v>
      </c>
      <c r="B4495" s="10" t="inlineStr">
        <is>
          <t>休日</t>
        </is>
      </c>
      <c r="C4495" s="10" t="inlineStr">
        <is>
          <t>本線</t>
        </is>
      </c>
      <c r="D4495" s="10" t="inlineStr">
        <is>
          <t>上り</t>
        </is>
      </c>
      <c r="E4495" t="inlineStr">
        <is>
          <t>1012</t>
        </is>
      </c>
      <c r="F4495" t="inlineStr">
        <is>
          <t>0211</t>
        </is>
      </c>
      <c r="G4495" s="10" t="inlineStr">
        <is>
          <t>太秦広隆寺</t>
        </is>
      </c>
      <c r="H4495" s="10" t="inlineStr">
        <is>
          <t>発</t>
        </is>
      </c>
      <c r="J4495" s="10" t="inlineStr">
        <is>
          <t>営業</t>
        </is>
      </c>
      <c r="L4495" t="inlineStr">
        <is>
          <t>11:03:25</t>
        </is>
      </c>
      <c r="M4495" t="inlineStr">
        <is>
          <t>11:03:45</t>
        </is>
      </c>
    </row>
    <row r="4496" ht="15" customHeight="1" s="37">
      <c r="A4496" t="n">
        <v>8</v>
      </c>
      <c r="B4496" s="10" t="inlineStr">
        <is>
          <t>休日</t>
        </is>
      </c>
      <c r="C4496" s="10" t="inlineStr">
        <is>
          <t>本線</t>
        </is>
      </c>
      <c r="D4496" s="10" t="inlineStr">
        <is>
          <t>上り</t>
        </is>
      </c>
      <c r="E4496" t="inlineStr">
        <is>
          <t>1012</t>
        </is>
      </c>
      <c r="F4496" t="inlineStr">
        <is>
          <t>0211</t>
        </is>
      </c>
      <c r="G4496" s="10" t="inlineStr">
        <is>
          <t>蚕ノ社</t>
        </is>
      </c>
      <c r="H4496" s="10" t="inlineStr">
        <is>
          <t>発</t>
        </is>
      </c>
      <c r="J4496" s="10" t="inlineStr">
        <is>
          <t>営業</t>
        </is>
      </c>
      <c r="L4496" t="inlineStr">
        <is>
          <t>11:05:00</t>
        </is>
      </c>
      <c r="M4496" t="inlineStr">
        <is>
          <t>11:05:20</t>
        </is>
      </c>
    </row>
    <row r="4497" ht="15" customHeight="1" s="37">
      <c r="A4497" t="n">
        <v>8</v>
      </c>
      <c r="B4497" s="10" t="inlineStr">
        <is>
          <t>休日</t>
        </is>
      </c>
      <c r="C4497" s="10" t="inlineStr">
        <is>
          <t>本線</t>
        </is>
      </c>
      <c r="D4497" s="10" t="inlineStr">
        <is>
          <t>上り</t>
        </is>
      </c>
      <c r="E4497" t="inlineStr">
        <is>
          <t>1012</t>
        </is>
      </c>
      <c r="F4497" t="inlineStr">
        <is>
          <t>0211</t>
        </is>
      </c>
      <c r="G4497" s="10" t="inlineStr">
        <is>
          <t>天神川</t>
        </is>
      </c>
      <c r="H4497" s="10" t="inlineStr">
        <is>
          <t>発</t>
        </is>
      </c>
      <c r="J4497" s="10" t="inlineStr">
        <is>
          <t>営業</t>
        </is>
      </c>
      <c r="L4497" t="inlineStr">
        <is>
          <t>11:06:05</t>
        </is>
      </c>
      <c r="M4497" t="inlineStr">
        <is>
          <t>11:06:50</t>
        </is>
      </c>
    </row>
    <row r="4498" ht="15" customHeight="1" s="37">
      <c r="A4498" t="n">
        <v>8</v>
      </c>
      <c r="B4498" s="10" t="inlineStr">
        <is>
          <t>休日</t>
        </is>
      </c>
      <c r="C4498" s="10" t="inlineStr">
        <is>
          <t>本線</t>
        </is>
      </c>
      <c r="D4498" s="10" t="inlineStr">
        <is>
          <t>上り</t>
        </is>
      </c>
      <c r="E4498" t="inlineStr">
        <is>
          <t>1012</t>
        </is>
      </c>
      <c r="F4498" t="inlineStr">
        <is>
          <t>0211</t>
        </is>
      </c>
      <c r="G4498" s="10" t="inlineStr">
        <is>
          <t>山ノ内</t>
        </is>
      </c>
      <c r="H4498" s="10" t="inlineStr">
        <is>
          <t>発</t>
        </is>
      </c>
      <c r="J4498" s="10" t="inlineStr">
        <is>
          <t>営業</t>
        </is>
      </c>
      <c r="L4498" t="inlineStr">
        <is>
          <t>11:08:40</t>
        </is>
      </c>
      <c r="M4498" t="inlineStr">
        <is>
          <t>11:09:05</t>
        </is>
      </c>
    </row>
    <row r="4499" ht="15" customHeight="1" s="37">
      <c r="A4499" t="n">
        <v>8</v>
      </c>
      <c r="B4499" s="10" t="inlineStr">
        <is>
          <t>休日</t>
        </is>
      </c>
      <c r="C4499" s="10" t="inlineStr">
        <is>
          <t>本線</t>
        </is>
      </c>
      <c r="D4499" s="10" t="inlineStr">
        <is>
          <t>上り</t>
        </is>
      </c>
      <c r="E4499" t="inlineStr">
        <is>
          <t>1012</t>
        </is>
      </c>
      <c r="F4499" t="inlineStr">
        <is>
          <t>0211</t>
        </is>
      </c>
      <c r="G4499" s="10" t="inlineStr">
        <is>
          <t>西大路三条</t>
        </is>
      </c>
      <c r="H4499" s="10" t="inlineStr">
        <is>
          <t>発</t>
        </is>
      </c>
      <c r="J4499" s="10" t="inlineStr">
        <is>
          <t>営業</t>
        </is>
      </c>
      <c r="L4499" t="inlineStr">
        <is>
          <t>11:10:55</t>
        </is>
      </c>
      <c r="M4499" t="inlineStr">
        <is>
          <t>11:11:15</t>
        </is>
      </c>
    </row>
    <row r="4500" ht="15" customHeight="1" s="37">
      <c r="A4500" t="n">
        <v>8</v>
      </c>
      <c r="B4500" s="10" t="inlineStr">
        <is>
          <t>休日</t>
        </is>
      </c>
      <c r="C4500" s="10" t="inlineStr">
        <is>
          <t>本線</t>
        </is>
      </c>
      <c r="D4500" s="10" t="inlineStr">
        <is>
          <t>上り</t>
        </is>
      </c>
      <c r="E4500" t="inlineStr">
        <is>
          <t>1012</t>
        </is>
      </c>
      <c r="F4500" t="inlineStr">
        <is>
          <t>0211</t>
        </is>
      </c>
      <c r="G4500" s="10" t="inlineStr">
        <is>
          <t>西院</t>
        </is>
      </c>
      <c r="H4500" s="10" t="inlineStr">
        <is>
          <t>発</t>
        </is>
      </c>
      <c r="J4500" s="10" t="inlineStr">
        <is>
          <t>営業</t>
        </is>
      </c>
      <c r="L4500" t="inlineStr">
        <is>
          <t>11:13:10</t>
        </is>
      </c>
      <c r="M4500" t="inlineStr">
        <is>
          <t>11:14:05</t>
        </is>
      </c>
    </row>
    <row r="4501" ht="15" customHeight="1" s="37">
      <c r="A4501" t="n">
        <v>8</v>
      </c>
      <c r="B4501" s="10" t="inlineStr">
        <is>
          <t>休日</t>
        </is>
      </c>
      <c r="C4501" s="10" t="inlineStr">
        <is>
          <t>本線</t>
        </is>
      </c>
      <c r="D4501" s="10" t="inlineStr">
        <is>
          <t>上り</t>
        </is>
      </c>
      <c r="E4501" t="inlineStr">
        <is>
          <t>1012</t>
        </is>
      </c>
      <c r="F4501" t="inlineStr">
        <is>
          <t>0211</t>
        </is>
      </c>
      <c r="G4501" s="10" t="inlineStr">
        <is>
          <t>四条大宮</t>
        </is>
      </c>
      <c r="H4501" s="10" t="inlineStr">
        <is>
          <t>着</t>
        </is>
      </c>
      <c r="J4501" s="10" t="inlineStr">
        <is>
          <t>営業</t>
        </is>
      </c>
      <c r="L4501" t="inlineStr">
        <is>
          <t>11:17:00</t>
        </is>
      </c>
      <c r="Q4501" t="inlineStr">
        <is>
          <t>1</t>
        </is>
      </c>
    </row>
    <row r="4502" ht="15" customHeight="1" s="37">
      <c r="A4502" t="n">
        <v>8</v>
      </c>
      <c r="B4502" s="10" t="inlineStr">
        <is>
          <t>休日</t>
        </is>
      </c>
      <c r="C4502" s="10" t="inlineStr">
        <is>
          <t>本線</t>
        </is>
      </c>
      <c r="D4502" s="10" t="inlineStr">
        <is>
          <t>下り</t>
        </is>
      </c>
      <c r="E4502" t="inlineStr">
        <is>
          <t>1105</t>
        </is>
      </c>
      <c r="F4502" t="inlineStr">
        <is>
          <t>0112</t>
        </is>
      </c>
      <c r="G4502" s="10" t="inlineStr">
        <is>
          <t>四条大宮</t>
        </is>
      </c>
      <c r="H4502" s="10" t="inlineStr">
        <is>
          <t>発</t>
        </is>
      </c>
      <c r="J4502" s="10" t="inlineStr">
        <is>
          <t>営業</t>
        </is>
      </c>
      <c r="M4502" t="inlineStr">
        <is>
          <t>11:23:00</t>
        </is>
      </c>
      <c r="Q4502" t="inlineStr">
        <is>
          <t>1</t>
        </is>
      </c>
    </row>
    <row r="4503" ht="15" customHeight="1" s="37">
      <c r="A4503" t="n">
        <v>8</v>
      </c>
      <c r="B4503" s="10" t="inlineStr">
        <is>
          <t>休日</t>
        </is>
      </c>
      <c r="C4503" s="10" t="inlineStr">
        <is>
          <t>本線</t>
        </is>
      </c>
      <c r="D4503" s="10" t="inlineStr">
        <is>
          <t>下り</t>
        </is>
      </c>
      <c r="E4503" t="inlineStr">
        <is>
          <t>1105</t>
        </is>
      </c>
      <c r="F4503" t="inlineStr">
        <is>
          <t>0112</t>
        </is>
      </c>
      <c r="G4503" s="10" t="inlineStr">
        <is>
          <t>西院</t>
        </is>
      </c>
      <c r="H4503" s="10" t="inlineStr">
        <is>
          <t>発</t>
        </is>
      </c>
      <c r="J4503" s="10" t="inlineStr">
        <is>
          <t>営業</t>
        </is>
      </c>
      <c r="L4503" t="inlineStr">
        <is>
          <t>11:25:50</t>
        </is>
      </c>
      <c r="M4503" t="inlineStr">
        <is>
          <t>11:26:20</t>
        </is>
      </c>
    </row>
    <row r="4504" ht="15" customHeight="1" s="37">
      <c r="A4504" t="n">
        <v>8</v>
      </c>
      <c r="B4504" s="10" t="inlineStr">
        <is>
          <t>休日</t>
        </is>
      </c>
      <c r="C4504" s="10" t="inlineStr">
        <is>
          <t>本線</t>
        </is>
      </c>
      <c r="D4504" s="10" t="inlineStr">
        <is>
          <t>下り</t>
        </is>
      </c>
      <c r="E4504" t="inlineStr">
        <is>
          <t>1105</t>
        </is>
      </c>
      <c r="F4504" t="inlineStr">
        <is>
          <t>0112</t>
        </is>
      </c>
      <c r="G4504" s="10" t="inlineStr">
        <is>
          <t>西大路三条</t>
        </is>
      </c>
      <c r="H4504" s="10" t="inlineStr">
        <is>
          <t>発</t>
        </is>
      </c>
      <c r="J4504" s="10" t="inlineStr">
        <is>
          <t>営業</t>
        </is>
      </c>
      <c r="L4504" t="inlineStr">
        <is>
          <t>11:28:10</t>
        </is>
      </c>
      <c r="M4504" t="inlineStr">
        <is>
          <t>11:28:30</t>
        </is>
      </c>
    </row>
    <row r="4505" ht="15" customHeight="1" s="37">
      <c r="A4505" t="n">
        <v>8</v>
      </c>
      <c r="B4505" s="10" t="inlineStr">
        <is>
          <t>休日</t>
        </is>
      </c>
      <c r="C4505" s="10" t="inlineStr">
        <is>
          <t>本線</t>
        </is>
      </c>
      <c r="D4505" s="10" t="inlineStr">
        <is>
          <t>下り</t>
        </is>
      </c>
      <c r="E4505" t="inlineStr">
        <is>
          <t>1105</t>
        </is>
      </c>
      <c r="F4505" t="inlineStr">
        <is>
          <t>0112</t>
        </is>
      </c>
      <c r="G4505" s="10" t="inlineStr">
        <is>
          <t>山ノ内</t>
        </is>
      </c>
      <c r="H4505" s="10" t="inlineStr">
        <is>
          <t>発</t>
        </is>
      </c>
      <c r="J4505" s="10" t="inlineStr">
        <is>
          <t>営業</t>
        </is>
      </c>
      <c r="L4505" t="inlineStr">
        <is>
          <t>11:30:25</t>
        </is>
      </c>
      <c r="M4505" t="inlineStr">
        <is>
          <t>11:30:50</t>
        </is>
      </c>
    </row>
    <row r="4506" ht="15" customHeight="1" s="37">
      <c r="A4506" t="n">
        <v>8</v>
      </c>
      <c r="B4506" s="10" t="inlineStr">
        <is>
          <t>休日</t>
        </is>
      </c>
      <c r="C4506" s="10" t="inlineStr">
        <is>
          <t>本線</t>
        </is>
      </c>
      <c r="D4506" s="10" t="inlineStr">
        <is>
          <t>下り</t>
        </is>
      </c>
      <c r="E4506" t="inlineStr">
        <is>
          <t>1105</t>
        </is>
      </c>
      <c r="F4506" t="inlineStr">
        <is>
          <t>0112</t>
        </is>
      </c>
      <c r="G4506" s="10" t="inlineStr">
        <is>
          <t>天神川</t>
        </is>
      </c>
      <c r="H4506" s="10" t="inlineStr">
        <is>
          <t>発</t>
        </is>
      </c>
      <c r="J4506" s="10" t="inlineStr">
        <is>
          <t>営業</t>
        </is>
      </c>
      <c r="L4506" t="inlineStr">
        <is>
          <t>11:32:50</t>
        </is>
      </c>
      <c r="M4506" t="inlineStr">
        <is>
          <t>11:33:30</t>
        </is>
      </c>
    </row>
    <row r="4507" ht="15" customHeight="1" s="37">
      <c r="A4507" t="n">
        <v>8</v>
      </c>
      <c r="B4507" s="10" t="inlineStr">
        <is>
          <t>休日</t>
        </is>
      </c>
      <c r="C4507" s="10" t="inlineStr">
        <is>
          <t>本線</t>
        </is>
      </c>
      <c r="D4507" s="10" t="inlineStr">
        <is>
          <t>下り</t>
        </is>
      </c>
      <c r="E4507" t="inlineStr">
        <is>
          <t>1105</t>
        </is>
      </c>
      <c r="F4507" t="inlineStr">
        <is>
          <t>0112</t>
        </is>
      </c>
      <c r="G4507" s="10" t="inlineStr">
        <is>
          <t>蚕ノ社</t>
        </is>
      </c>
      <c r="H4507" s="10" t="inlineStr">
        <is>
          <t>発</t>
        </is>
      </c>
      <c r="J4507" s="10" t="inlineStr">
        <is>
          <t>営業</t>
        </is>
      </c>
      <c r="L4507" t="inlineStr">
        <is>
          <t>11:34:20</t>
        </is>
      </c>
      <c r="M4507" t="inlineStr">
        <is>
          <t>11:34:40</t>
        </is>
      </c>
    </row>
    <row r="4508" ht="15" customHeight="1" s="37">
      <c r="A4508" t="n">
        <v>8</v>
      </c>
      <c r="B4508" s="10" t="inlineStr">
        <is>
          <t>休日</t>
        </is>
      </c>
      <c r="C4508" s="10" t="inlineStr">
        <is>
          <t>本線</t>
        </is>
      </c>
      <c r="D4508" s="10" t="inlineStr">
        <is>
          <t>下り</t>
        </is>
      </c>
      <c r="E4508" t="inlineStr">
        <is>
          <t>1105</t>
        </is>
      </c>
      <c r="F4508" t="inlineStr">
        <is>
          <t>0112</t>
        </is>
      </c>
      <c r="G4508" s="10" t="inlineStr">
        <is>
          <t>太秦広隆寺</t>
        </is>
      </c>
      <c r="H4508" s="10" t="inlineStr">
        <is>
          <t>発</t>
        </is>
      </c>
      <c r="J4508" s="10" t="inlineStr">
        <is>
          <t>営業</t>
        </is>
      </c>
      <c r="L4508" t="inlineStr">
        <is>
          <t>11:36:00</t>
        </is>
      </c>
      <c r="M4508" t="inlineStr">
        <is>
          <t>11:36:20</t>
        </is>
      </c>
    </row>
    <row r="4509" ht="15" customHeight="1" s="37">
      <c r="A4509" t="n">
        <v>8</v>
      </c>
      <c r="B4509" s="10" t="inlineStr">
        <is>
          <t>休日</t>
        </is>
      </c>
      <c r="C4509" s="10" t="inlineStr">
        <is>
          <t>本線</t>
        </is>
      </c>
      <c r="D4509" s="10" t="inlineStr">
        <is>
          <t>下り</t>
        </is>
      </c>
      <c r="E4509" t="inlineStr">
        <is>
          <t>1105</t>
        </is>
      </c>
      <c r="F4509" t="inlineStr">
        <is>
          <t>0112</t>
        </is>
      </c>
      <c r="G4509" s="10" t="inlineStr">
        <is>
          <t>帷子ノ辻</t>
        </is>
      </c>
      <c r="H4509" s="10" t="inlineStr">
        <is>
          <t>発</t>
        </is>
      </c>
      <c r="J4509" s="10" t="inlineStr">
        <is>
          <t>営業</t>
        </is>
      </c>
      <c r="L4509" t="inlineStr">
        <is>
          <t>11:38:20</t>
        </is>
      </c>
      <c r="M4509" t="inlineStr">
        <is>
          <t>11:39:40</t>
        </is>
      </c>
    </row>
    <row r="4510" ht="15" customHeight="1" s="37">
      <c r="A4510" t="n">
        <v>8</v>
      </c>
      <c r="B4510" s="10" t="inlineStr">
        <is>
          <t>休日</t>
        </is>
      </c>
      <c r="C4510" s="10" t="inlineStr">
        <is>
          <t>本線</t>
        </is>
      </c>
      <c r="D4510" s="10" t="inlineStr">
        <is>
          <t>下り</t>
        </is>
      </c>
      <c r="E4510" t="inlineStr">
        <is>
          <t>1105</t>
        </is>
      </c>
      <c r="F4510" t="inlineStr">
        <is>
          <t>0112</t>
        </is>
      </c>
      <c r="G4510" s="10" t="inlineStr">
        <is>
          <t>有栖川</t>
        </is>
      </c>
      <c r="H4510" s="10" t="inlineStr">
        <is>
          <t>発</t>
        </is>
      </c>
      <c r="J4510" s="10" t="inlineStr">
        <is>
          <t>営業</t>
        </is>
      </c>
      <c r="L4510" t="inlineStr">
        <is>
          <t>11:40:50</t>
        </is>
      </c>
      <c r="M4510" t="inlineStr">
        <is>
          <t>11:41:15</t>
        </is>
      </c>
    </row>
    <row r="4511" ht="15" customHeight="1" s="37">
      <c r="A4511" t="n">
        <v>8</v>
      </c>
      <c r="B4511" s="10" t="inlineStr">
        <is>
          <t>休日</t>
        </is>
      </c>
      <c r="C4511" s="10" t="inlineStr">
        <is>
          <t>本線</t>
        </is>
      </c>
      <c r="D4511" s="10" t="inlineStr">
        <is>
          <t>下り</t>
        </is>
      </c>
      <c r="E4511" t="inlineStr">
        <is>
          <t>1105</t>
        </is>
      </c>
      <c r="F4511" t="inlineStr">
        <is>
          <t>0112</t>
        </is>
      </c>
      <c r="G4511" s="10" t="inlineStr">
        <is>
          <t>車折</t>
        </is>
      </c>
      <c r="H4511" s="10" t="inlineStr">
        <is>
          <t>発</t>
        </is>
      </c>
      <c r="J4511" s="10" t="inlineStr">
        <is>
          <t>営業</t>
        </is>
      </c>
      <c r="L4511" t="inlineStr">
        <is>
          <t>11:42:40</t>
        </is>
      </c>
      <c r="M4511" t="inlineStr">
        <is>
          <t>11:43:05</t>
        </is>
      </c>
    </row>
    <row r="4512" ht="15" customHeight="1" s="37">
      <c r="A4512" t="n">
        <v>8</v>
      </c>
      <c r="B4512" s="10" t="inlineStr">
        <is>
          <t>休日</t>
        </is>
      </c>
      <c r="C4512" s="10" t="inlineStr">
        <is>
          <t>本線</t>
        </is>
      </c>
      <c r="D4512" s="10" t="inlineStr">
        <is>
          <t>下り</t>
        </is>
      </c>
      <c r="E4512" t="inlineStr">
        <is>
          <t>1105</t>
        </is>
      </c>
      <c r="F4512" t="inlineStr">
        <is>
          <t>0112</t>
        </is>
      </c>
      <c r="G4512" s="10" t="inlineStr">
        <is>
          <t>鹿王院</t>
        </is>
      </c>
      <c r="H4512" s="10" t="inlineStr">
        <is>
          <t>発</t>
        </is>
      </c>
      <c r="J4512" s="10" t="inlineStr">
        <is>
          <t>営業</t>
        </is>
      </c>
      <c r="L4512" t="inlineStr">
        <is>
          <t>11:44:00</t>
        </is>
      </c>
      <c r="M4512" t="inlineStr">
        <is>
          <t>11:44:25</t>
        </is>
      </c>
    </row>
    <row r="4513" ht="15" customHeight="1" s="37">
      <c r="A4513" t="n">
        <v>8</v>
      </c>
      <c r="B4513" s="10" t="inlineStr">
        <is>
          <t>休日</t>
        </is>
      </c>
      <c r="C4513" s="10" t="inlineStr">
        <is>
          <t>本線</t>
        </is>
      </c>
      <c r="D4513" s="10" t="inlineStr">
        <is>
          <t>下り</t>
        </is>
      </c>
      <c r="E4513" t="inlineStr">
        <is>
          <t>1105</t>
        </is>
      </c>
      <c r="F4513" t="inlineStr">
        <is>
          <t>0112</t>
        </is>
      </c>
      <c r="G4513" s="10" t="inlineStr">
        <is>
          <t>嵯峨</t>
        </is>
      </c>
      <c r="H4513" s="10" t="inlineStr">
        <is>
          <t>発</t>
        </is>
      </c>
      <c r="J4513" s="10" t="inlineStr">
        <is>
          <t>営業</t>
        </is>
      </c>
      <c r="L4513" t="inlineStr">
        <is>
          <t>11:45:30</t>
        </is>
      </c>
      <c r="M4513" t="inlineStr">
        <is>
          <t>11:45:55</t>
        </is>
      </c>
    </row>
    <row r="4514" ht="15" customHeight="1" s="37">
      <c r="A4514" t="n">
        <v>8</v>
      </c>
      <c r="B4514" s="10" t="inlineStr">
        <is>
          <t>休日</t>
        </is>
      </c>
      <c r="C4514" s="10" t="inlineStr">
        <is>
          <t>本線</t>
        </is>
      </c>
      <c r="D4514" s="10" t="inlineStr">
        <is>
          <t>下り</t>
        </is>
      </c>
      <c r="E4514" t="inlineStr">
        <is>
          <t>1105</t>
        </is>
      </c>
      <c r="F4514" t="inlineStr">
        <is>
          <t>0112</t>
        </is>
      </c>
      <c r="G4514" s="10" t="inlineStr">
        <is>
          <t>嵐山</t>
        </is>
      </c>
      <c r="H4514" s="10" t="inlineStr">
        <is>
          <t>着</t>
        </is>
      </c>
      <c r="J4514" s="10" t="inlineStr">
        <is>
          <t>営業</t>
        </is>
      </c>
      <c r="L4514" t="inlineStr">
        <is>
          <t>11:47:00</t>
        </is>
      </c>
      <c r="Q4514" t="inlineStr">
        <is>
          <t>1</t>
        </is>
      </c>
    </row>
    <row r="4515" ht="15" customHeight="1" s="37">
      <c r="A4515" t="n">
        <v>8</v>
      </c>
      <c r="B4515" s="10" t="inlineStr">
        <is>
          <t>休日</t>
        </is>
      </c>
      <c r="C4515" s="10" t="inlineStr">
        <is>
          <t>本線</t>
        </is>
      </c>
      <c r="D4515" s="10" t="inlineStr">
        <is>
          <t>上り</t>
        </is>
      </c>
      <c r="E4515" t="inlineStr">
        <is>
          <t>1112</t>
        </is>
      </c>
      <c r="F4515" t="inlineStr">
        <is>
          <t>0211</t>
        </is>
      </c>
      <c r="G4515" s="10" t="inlineStr">
        <is>
          <t>嵐山</t>
        </is>
      </c>
      <c r="H4515" s="10" t="inlineStr">
        <is>
          <t>発</t>
        </is>
      </c>
      <c r="J4515" s="10" t="inlineStr">
        <is>
          <t>営業</t>
        </is>
      </c>
      <c r="M4515" t="inlineStr">
        <is>
          <t>11:53:00</t>
        </is>
      </c>
      <c r="Q4515" t="inlineStr">
        <is>
          <t>1</t>
        </is>
      </c>
      <c r="U4515" t="inlineStr">
        <is>
          <t>→西院 退勤(中休310分)</t>
        </is>
      </c>
    </row>
    <row r="4516" ht="15" customHeight="1" s="37">
      <c r="A4516" t="n">
        <v>8</v>
      </c>
      <c r="B4516" s="10" t="inlineStr">
        <is>
          <t>休日</t>
        </is>
      </c>
      <c r="C4516" s="10" t="inlineStr">
        <is>
          <t>本線</t>
        </is>
      </c>
      <c r="D4516" s="10" t="inlineStr">
        <is>
          <t>上り</t>
        </is>
      </c>
      <c r="E4516" t="inlineStr">
        <is>
          <t>1112</t>
        </is>
      </c>
      <c r="F4516" t="inlineStr">
        <is>
          <t>0211</t>
        </is>
      </c>
      <c r="G4516" s="10" t="inlineStr">
        <is>
          <t>嵯峨</t>
        </is>
      </c>
      <c r="H4516" s="10" t="inlineStr">
        <is>
          <t>発</t>
        </is>
      </c>
      <c r="J4516" s="10" t="inlineStr">
        <is>
          <t>営業</t>
        </is>
      </c>
      <c r="L4516" t="inlineStr">
        <is>
          <t>11:53:55</t>
        </is>
      </c>
      <c r="M4516" t="inlineStr">
        <is>
          <t>11:54:20</t>
        </is>
      </c>
      <c r="U4516" t="inlineStr">
        <is>
          <t>→西院 退勤(中休310分)</t>
        </is>
      </c>
    </row>
    <row r="4517" ht="15" customHeight="1" s="37">
      <c r="A4517" t="n">
        <v>8</v>
      </c>
      <c r="B4517" s="10" t="inlineStr">
        <is>
          <t>休日</t>
        </is>
      </c>
      <c r="C4517" s="10" t="inlineStr">
        <is>
          <t>本線</t>
        </is>
      </c>
      <c r="D4517" s="10" t="inlineStr">
        <is>
          <t>上り</t>
        </is>
      </c>
      <c r="E4517" t="inlineStr">
        <is>
          <t>1112</t>
        </is>
      </c>
      <c r="F4517" t="inlineStr">
        <is>
          <t>0211</t>
        </is>
      </c>
      <c r="G4517" s="10" t="inlineStr">
        <is>
          <t>鹿王院</t>
        </is>
      </c>
      <c r="H4517" s="10" t="inlineStr">
        <is>
          <t>発</t>
        </is>
      </c>
      <c r="J4517" s="10" t="inlineStr">
        <is>
          <t>営業</t>
        </is>
      </c>
      <c r="L4517" t="inlineStr">
        <is>
          <t>11:55:25</t>
        </is>
      </c>
      <c r="M4517" t="inlineStr">
        <is>
          <t>11:55:45</t>
        </is>
      </c>
      <c r="U4517" t="inlineStr">
        <is>
          <t>→西院 退勤(中休310分)</t>
        </is>
      </c>
    </row>
    <row r="4518" ht="15" customHeight="1" s="37">
      <c r="A4518" t="n">
        <v>8</v>
      </c>
      <c r="B4518" s="10" t="inlineStr">
        <is>
          <t>休日</t>
        </is>
      </c>
      <c r="C4518" s="10" t="inlineStr">
        <is>
          <t>本線</t>
        </is>
      </c>
      <c r="D4518" s="10" t="inlineStr">
        <is>
          <t>上り</t>
        </is>
      </c>
      <c r="E4518" t="inlineStr">
        <is>
          <t>1112</t>
        </is>
      </c>
      <c r="F4518" t="inlineStr">
        <is>
          <t>0211</t>
        </is>
      </c>
      <c r="G4518" s="10" t="inlineStr">
        <is>
          <t>車折</t>
        </is>
      </c>
      <c r="H4518" s="10" t="inlineStr">
        <is>
          <t>発</t>
        </is>
      </c>
      <c r="J4518" s="10" t="inlineStr">
        <is>
          <t>営業</t>
        </is>
      </c>
      <c r="L4518" t="inlineStr">
        <is>
          <t>11:56:40</t>
        </is>
      </c>
      <c r="M4518" t="inlineStr">
        <is>
          <t>11:57:10</t>
        </is>
      </c>
      <c r="U4518" t="inlineStr">
        <is>
          <t>→西院 退勤(中休310分)</t>
        </is>
      </c>
    </row>
    <row r="4519" ht="15" customHeight="1" s="37">
      <c r="A4519" t="n">
        <v>8</v>
      </c>
      <c r="B4519" s="10" t="inlineStr">
        <is>
          <t>休日</t>
        </is>
      </c>
      <c r="C4519" s="10" t="inlineStr">
        <is>
          <t>本線</t>
        </is>
      </c>
      <c r="D4519" s="10" t="inlineStr">
        <is>
          <t>上り</t>
        </is>
      </c>
      <c r="E4519" t="inlineStr">
        <is>
          <t>1112</t>
        </is>
      </c>
      <c r="F4519" t="inlineStr">
        <is>
          <t>0211</t>
        </is>
      </c>
      <c r="G4519" s="10" t="inlineStr">
        <is>
          <t>有栖川</t>
        </is>
      </c>
      <c r="H4519" s="10" t="inlineStr">
        <is>
          <t>発</t>
        </is>
      </c>
      <c r="J4519" s="10" t="inlineStr">
        <is>
          <t>営業</t>
        </is>
      </c>
      <c r="L4519" t="inlineStr">
        <is>
          <t>11:58:35</t>
        </is>
      </c>
      <c r="M4519" t="inlineStr">
        <is>
          <t>11:58:55</t>
        </is>
      </c>
      <c r="U4519" t="inlineStr">
        <is>
          <t>→西院 退勤(中休310分)</t>
        </is>
      </c>
    </row>
    <row r="4520" ht="15" customHeight="1" s="37">
      <c r="A4520" t="n">
        <v>8</v>
      </c>
      <c r="B4520" s="10" t="inlineStr">
        <is>
          <t>休日</t>
        </is>
      </c>
      <c r="C4520" s="10" t="inlineStr">
        <is>
          <t>本線</t>
        </is>
      </c>
      <c r="D4520" s="10" t="inlineStr">
        <is>
          <t>上り</t>
        </is>
      </c>
      <c r="E4520" t="inlineStr">
        <is>
          <t>1112</t>
        </is>
      </c>
      <c r="F4520" t="inlineStr">
        <is>
          <t>0211</t>
        </is>
      </c>
      <c r="G4520" s="10" t="inlineStr">
        <is>
          <t>帷子ノ辻</t>
        </is>
      </c>
      <c r="H4520" s="10" t="inlineStr">
        <is>
          <t>発</t>
        </is>
      </c>
      <c r="J4520" s="10" t="inlineStr">
        <is>
          <t>営業</t>
        </is>
      </c>
      <c r="L4520" t="inlineStr">
        <is>
          <t>12:00:10</t>
        </is>
      </c>
      <c r="M4520" t="inlineStr">
        <is>
          <t>12:01:15</t>
        </is>
      </c>
      <c r="U4520" t="inlineStr">
        <is>
          <t>→西院 退勤(中休310分)</t>
        </is>
      </c>
    </row>
    <row r="4521" ht="15" customHeight="1" s="37">
      <c r="A4521" t="n">
        <v>8</v>
      </c>
      <c r="B4521" s="10" t="inlineStr">
        <is>
          <t>休日</t>
        </is>
      </c>
      <c r="C4521" s="10" t="inlineStr">
        <is>
          <t>本線</t>
        </is>
      </c>
      <c r="D4521" s="10" t="inlineStr">
        <is>
          <t>上り</t>
        </is>
      </c>
      <c r="E4521" t="inlineStr">
        <is>
          <t>1112</t>
        </is>
      </c>
      <c r="F4521" t="inlineStr">
        <is>
          <t>0211</t>
        </is>
      </c>
      <c r="G4521" s="10" t="inlineStr">
        <is>
          <t>太秦広隆寺</t>
        </is>
      </c>
      <c r="H4521" s="10" t="inlineStr">
        <is>
          <t>発</t>
        </is>
      </c>
      <c r="J4521" s="10" t="inlineStr">
        <is>
          <t>営業</t>
        </is>
      </c>
      <c r="L4521" t="inlineStr">
        <is>
          <t>12:03:25</t>
        </is>
      </c>
      <c r="M4521" t="inlineStr">
        <is>
          <t>12:03:45</t>
        </is>
      </c>
      <c r="U4521" t="inlineStr">
        <is>
          <t>→西院 退勤(中休310分)</t>
        </is>
      </c>
    </row>
    <row r="4522" ht="15" customHeight="1" s="37">
      <c r="A4522" t="n">
        <v>8</v>
      </c>
      <c r="B4522" s="10" t="inlineStr">
        <is>
          <t>休日</t>
        </is>
      </c>
      <c r="C4522" s="10" t="inlineStr">
        <is>
          <t>本線</t>
        </is>
      </c>
      <c r="D4522" s="10" t="inlineStr">
        <is>
          <t>上り</t>
        </is>
      </c>
      <c r="E4522" t="inlineStr">
        <is>
          <t>1112</t>
        </is>
      </c>
      <c r="F4522" t="inlineStr">
        <is>
          <t>0211</t>
        </is>
      </c>
      <c r="G4522" s="10" t="inlineStr">
        <is>
          <t>蚕ノ社</t>
        </is>
      </c>
      <c r="H4522" s="10" t="inlineStr">
        <is>
          <t>発</t>
        </is>
      </c>
      <c r="J4522" s="10" t="inlineStr">
        <is>
          <t>営業</t>
        </is>
      </c>
      <c r="L4522" t="inlineStr">
        <is>
          <t>12:05:00</t>
        </is>
      </c>
      <c r="M4522" t="inlineStr">
        <is>
          <t>12:05:20</t>
        </is>
      </c>
      <c r="U4522" t="inlineStr">
        <is>
          <t>→西院 退勤(中休310分)</t>
        </is>
      </c>
    </row>
    <row r="4523" ht="15" customHeight="1" s="37">
      <c r="A4523" t="n">
        <v>8</v>
      </c>
      <c r="B4523" s="10" t="inlineStr">
        <is>
          <t>休日</t>
        </is>
      </c>
      <c r="C4523" s="10" t="inlineStr">
        <is>
          <t>本線</t>
        </is>
      </c>
      <c r="D4523" s="10" t="inlineStr">
        <is>
          <t>上り</t>
        </is>
      </c>
      <c r="E4523" t="inlineStr">
        <is>
          <t>1112</t>
        </is>
      </c>
      <c r="F4523" t="inlineStr">
        <is>
          <t>0211</t>
        </is>
      </c>
      <c r="G4523" s="10" t="inlineStr">
        <is>
          <t>天神川</t>
        </is>
      </c>
      <c r="H4523" s="10" t="inlineStr">
        <is>
          <t>発</t>
        </is>
      </c>
      <c r="J4523" s="10" t="inlineStr">
        <is>
          <t>営業</t>
        </is>
      </c>
      <c r="L4523" t="inlineStr">
        <is>
          <t>12:06:05</t>
        </is>
      </c>
      <c r="M4523" t="inlineStr">
        <is>
          <t>12:06:50</t>
        </is>
      </c>
      <c r="U4523" t="inlineStr">
        <is>
          <t>→西院 退勤(中休310分)</t>
        </is>
      </c>
    </row>
    <row r="4524" ht="15" customHeight="1" s="37">
      <c r="A4524" t="n">
        <v>8</v>
      </c>
      <c r="B4524" s="10" t="inlineStr">
        <is>
          <t>休日</t>
        </is>
      </c>
      <c r="C4524" s="10" t="inlineStr">
        <is>
          <t>本線</t>
        </is>
      </c>
      <c r="D4524" s="10" t="inlineStr">
        <is>
          <t>上り</t>
        </is>
      </c>
      <c r="E4524" t="inlineStr">
        <is>
          <t>1112</t>
        </is>
      </c>
      <c r="F4524" t="inlineStr">
        <is>
          <t>0211</t>
        </is>
      </c>
      <c r="G4524" s="10" t="inlineStr">
        <is>
          <t>山ノ内</t>
        </is>
      </c>
      <c r="H4524" s="10" t="inlineStr">
        <is>
          <t>発</t>
        </is>
      </c>
      <c r="J4524" s="10" t="inlineStr">
        <is>
          <t>営業</t>
        </is>
      </c>
      <c r="L4524" t="inlineStr">
        <is>
          <t>12:08:40</t>
        </is>
      </c>
      <c r="M4524" t="inlineStr">
        <is>
          <t>12:09:05</t>
        </is>
      </c>
      <c r="U4524" t="inlineStr">
        <is>
          <t>→西院 退勤(中休310分)</t>
        </is>
      </c>
    </row>
    <row r="4525" ht="15" customHeight="1" s="37">
      <c r="A4525" t="n">
        <v>8</v>
      </c>
      <c r="B4525" s="10" t="inlineStr">
        <is>
          <t>休日</t>
        </is>
      </c>
      <c r="C4525" s="10" t="inlineStr">
        <is>
          <t>本線</t>
        </is>
      </c>
      <c r="D4525" s="10" t="inlineStr">
        <is>
          <t>上り</t>
        </is>
      </c>
      <c r="E4525" t="inlineStr">
        <is>
          <t>1112</t>
        </is>
      </c>
      <c r="F4525" t="inlineStr">
        <is>
          <t>0211</t>
        </is>
      </c>
      <c r="G4525" s="10" t="inlineStr">
        <is>
          <t>西大路三条</t>
        </is>
      </c>
      <c r="H4525" s="10" t="inlineStr">
        <is>
          <t>発</t>
        </is>
      </c>
      <c r="J4525" s="10" t="inlineStr">
        <is>
          <t>営業</t>
        </is>
      </c>
      <c r="L4525" t="inlineStr">
        <is>
          <t>12:10:55</t>
        </is>
      </c>
      <c r="M4525" t="inlineStr">
        <is>
          <t>12:11:15</t>
        </is>
      </c>
      <c r="U4525" t="inlineStr">
        <is>
          <t>→西院 退勤(中休310分)</t>
        </is>
      </c>
    </row>
    <row r="4526" ht="15" customHeight="1" s="37">
      <c r="A4526" t="n">
        <v>8</v>
      </c>
      <c r="B4526" s="10" t="inlineStr">
        <is>
          <t>休日</t>
        </is>
      </c>
      <c r="C4526" s="10" t="inlineStr">
        <is>
          <t>本線</t>
        </is>
      </c>
      <c r="D4526" s="10" t="inlineStr">
        <is>
          <t>上り</t>
        </is>
      </c>
      <c r="E4526" t="inlineStr">
        <is>
          <t>1112</t>
        </is>
      </c>
      <c r="F4526" t="inlineStr">
        <is>
          <t>0211</t>
        </is>
      </c>
      <c r="G4526" s="10" t="inlineStr">
        <is>
          <t>西院</t>
        </is>
      </c>
      <c r="H4526" s="10" t="inlineStr">
        <is>
          <t>発</t>
        </is>
      </c>
      <c r="J4526" s="10" t="inlineStr">
        <is>
          <t>営業</t>
        </is>
      </c>
      <c r="L4526" t="inlineStr">
        <is>
          <t>12:13:10</t>
        </is>
      </c>
      <c r="M4526" t="inlineStr">
        <is>
          <t>12:14:05</t>
        </is>
      </c>
      <c r="U4526" t="inlineStr">
        <is>
          <t>→西院 退勤(中休310分)</t>
        </is>
      </c>
    </row>
    <row r="4527" ht="15" customHeight="1" s="37">
      <c r="A4527" t="n">
        <v>8</v>
      </c>
      <c r="B4527" s="10" t="inlineStr">
        <is>
          <t>休日</t>
        </is>
      </c>
      <c r="C4527" s="10" t="inlineStr">
        <is>
          <t>本線</t>
        </is>
      </c>
      <c r="D4527" s="10" t="inlineStr">
        <is>
          <t>上り</t>
        </is>
      </c>
      <c r="E4527" t="inlineStr">
        <is>
          <t>1112</t>
        </is>
      </c>
      <c r="F4527" t="inlineStr">
        <is>
          <t>0211</t>
        </is>
      </c>
      <c r="G4527" s="10" t="inlineStr">
        <is>
          <t>四条大宮</t>
        </is>
      </c>
      <c r="H4527" s="10" t="inlineStr">
        <is>
          <t>着</t>
        </is>
      </c>
      <c r="J4527" s="10" t="inlineStr">
        <is>
          <t>営業</t>
        </is>
      </c>
      <c r="L4527" t="inlineStr">
        <is>
          <t>12:17:00</t>
        </is>
      </c>
      <c r="Q4527" t="inlineStr">
        <is>
          <t>1</t>
        </is>
      </c>
      <c r="U4527" t="inlineStr">
        <is>
          <t>→西院 退勤(中休310分)</t>
        </is>
      </c>
    </row>
    <row r="4528" ht="15" customHeight="1" s="37">
      <c r="A4528" t="n">
        <v>8</v>
      </c>
      <c r="B4528" s="10" t="inlineStr">
        <is>
          <t>休日</t>
        </is>
      </c>
      <c r="C4528" s="10" t="inlineStr">
        <is>
          <t>本線</t>
        </is>
      </c>
      <c r="D4528" s="10" t="inlineStr">
        <is>
          <t>下り</t>
        </is>
      </c>
      <c r="E4528" t="inlineStr">
        <is>
          <t>1205</t>
        </is>
      </c>
      <c r="F4528" t="inlineStr">
        <is>
          <t>0112</t>
        </is>
      </c>
      <c r="G4528" s="10" t="inlineStr">
        <is>
          <t>四条大宮</t>
        </is>
      </c>
      <c r="H4528" s="10" t="inlineStr">
        <is>
          <t>発</t>
        </is>
      </c>
      <c r="J4528" s="10" t="inlineStr">
        <is>
          <t>営業</t>
        </is>
      </c>
      <c r="M4528" t="inlineStr">
        <is>
          <t>12:23:00</t>
        </is>
      </c>
      <c r="Q4528" t="inlineStr">
        <is>
          <t>1</t>
        </is>
      </c>
      <c r="U4528" t="inlineStr">
        <is>
          <t>→西院 退勤(中休310分)</t>
        </is>
      </c>
    </row>
    <row r="4529" ht="15" customHeight="1" s="37">
      <c r="A4529" t="n">
        <v>8</v>
      </c>
      <c r="B4529" s="10" t="inlineStr">
        <is>
          <t>休日</t>
        </is>
      </c>
      <c r="C4529" s="10" t="inlineStr">
        <is>
          <t>本線</t>
        </is>
      </c>
      <c r="D4529" s="10" t="inlineStr">
        <is>
          <t>下り</t>
        </is>
      </c>
      <c r="E4529" t="inlineStr">
        <is>
          <t>1205</t>
        </is>
      </c>
      <c r="F4529" t="inlineStr">
        <is>
          <t>0112</t>
        </is>
      </c>
      <c r="G4529" s="10" t="inlineStr">
        <is>
          <t>西院</t>
        </is>
      </c>
      <c r="H4529" s="10" t="inlineStr">
        <is>
          <t>着</t>
        </is>
      </c>
      <c r="J4529" s="10" t="inlineStr">
        <is>
          <t>営業</t>
        </is>
      </c>
      <c r="L4529" t="inlineStr">
        <is>
          <t>12:25:50</t>
        </is>
      </c>
      <c r="M4529" t="inlineStr">
        <is>
          <t>12:26:20</t>
        </is>
      </c>
      <c r="U4529" t="inlineStr">
        <is>
          <t>→西院 退勤(中休310分)</t>
        </is>
      </c>
    </row>
    <row r="4530" ht="15" customHeight="1" s="37">
      <c r="A4530" t="n">
        <v>8</v>
      </c>
      <c r="B4530" s="10" t="inlineStr">
        <is>
          <t>休日</t>
        </is>
      </c>
      <c r="C4530" s="10" t="inlineStr">
        <is>
          <t>本線</t>
        </is>
      </c>
      <c r="D4530" s="10" t="inlineStr">
        <is>
          <t>下り</t>
        </is>
      </c>
      <c r="E4530" t="inlineStr">
        <is>
          <t>1707</t>
        </is>
      </c>
      <c r="F4530" t="inlineStr">
        <is>
          <t>0122</t>
        </is>
      </c>
      <c r="G4530" s="10" t="inlineStr">
        <is>
          <t>西院</t>
        </is>
      </c>
      <c r="H4530" s="10" t="inlineStr">
        <is>
          <t>発</t>
        </is>
      </c>
      <c r="J4530" s="10" t="inlineStr">
        <is>
          <t>営業</t>
        </is>
      </c>
      <c r="L4530" t="inlineStr">
        <is>
          <t>17:35:50</t>
        </is>
      </c>
      <c r="M4530" t="inlineStr">
        <is>
          <t>17:36:20</t>
        </is>
      </c>
    </row>
    <row r="4531" ht="15" customHeight="1" s="37">
      <c r="A4531" t="n">
        <v>8</v>
      </c>
      <c r="B4531" s="10" t="inlineStr">
        <is>
          <t>休日</t>
        </is>
      </c>
      <c r="C4531" s="10" t="inlineStr">
        <is>
          <t>本線</t>
        </is>
      </c>
      <c r="D4531" s="10" t="inlineStr">
        <is>
          <t>下り</t>
        </is>
      </c>
      <c r="E4531" t="inlineStr">
        <is>
          <t>1707</t>
        </is>
      </c>
      <c r="F4531" t="inlineStr">
        <is>
          <t>0122</t>
        </is>
      </c>
      <c r="G4531" s="10" t="inlineStr">
        <is>
          <t>西大路三条</t>
        </is>
      </c>
      <c r="H4531" s="10" t="inlineStr">
        <is>
          <t>発</t>
        </is>
      </c>
      <c r="J4531" s="10" t="inlineStr">
        <is>
          <t>営業</t>
        </is>
      </c>
      <c r="L4531" t="inlineStr">
        <is>
          <t>17:38:10</t>
        </is>
      </c>
      <c r="M4531" t="inlineStr">
        <is>
          <t>17:38:30</t>
        </is>
      </c>
    </row>
    <row r="4532" ht="15" customHeight="1" s="37">
      <c r="A4532" t="n">
        <v>8</v>
      </c>
      <c r="B4532" s="10" t="inlineStr">
        <is>
          <t>休日</t>
        </is>
      </c>
      <c r="C4532" s="10" t="inlineStr">
        <is>
          <t>本線</t>
        </is>
      </c>
      <c r="D4532" s="10" t="inlineStr">
        <is>
          <t>下り</t>
        </is>
      </c>
      <c r="E4532" t="inlineStr">
        <is>
          <t>1707</t>
        </is>
      </c>
      <c r="F4532" t="inlineStr">
        <is>
          <t>0122</t>
        </is>
      </c>
      <c r="G4532" s="10" t="inlineStr">
        <is>
          <t>山ノ内</t>
        </is>
      </c>
      <c r="H4532" s="10" t="inlineStr">
        <is>
          <t>発</t>
        </is>
      </c>
      <c r="J4532" s="10" t="inlineStr">
        <is>
          <t>営業</t>
        </is>
      </c>
      <c r="L4532" t="inlineStr">
        <is>
          <t>17:40:25</t>
        </is>
      </c>
      <c r="M4532" t="inlineStr">
        <is>
          <t>17:40:50</t>
        </is>
      </c>
    </row>
    <row r="4533" ht="15" customHeight="1" s="37">
      <c r="A4533" t="n">
        <v>8</v>
      </c>
      <c r="B4533" s="10" t="inlineStr">
        <is>
          <t>休日</t>
        </is>
      </c>
      <c r="C4533" s="10" t="inlineStr">
        <is>
          <t>本線</t>
        </is>
      </c>
      <c r="D4533" s="10" t="inlineStr">
        <is>
          <t>下り</t>
        </is>
      </c>
      <c r="E4533" t="inlineStr">
        <is>
          <t>1707</t>
        </is>
      </c>
      <c r="F4533" t="inlineStr">
        <is>
          <t>0122</t>
        </is>
      </c>
      <c r="G4533" s="10" t="inlineStr">
        <is>
          <t>天神川</t>
        </is>
      </c>
      <c r="H4533" s="10" t="inlineStr">
        <is>
          <t>発</t>
        </is>
      </c>
      <c r="J4533" s="10" t="inlineStr">
        <is>
          <t>営業</t>
        </is>
      </c>
      <c r="L4533" t="inlineStr">
        <is>
          <t>17:42:50</t>
        </is>
      </c>
      <c r="M4533" t="inlineStr">
        <is>
          <t>17:43:30</t>
        </is>
      </c>
    </row>
    <row r="4534" ht="15" customHeight="1" s="37">
      <c r="A4534" t="n">
        <v>8</v>
      </c>
      <c r="B4534" s="10" t="inlineStr">
        <is>
          <t>休日</t>
        </is>
      </c>
      <c r="C4534" s="10" t="inlineStr">
        <is>
          <t>本線</t>
        </is>
      </c>
      <c r="D4534" s="10" t="inlineStr">
        <is>
          <t>下り</t>
        </is>
      </c>
      <c r="E4534" t="inlineStr">
        <is>
          <t>1707</t>
        </is>
      </c>
      <c r="F4534" t="inlineStr">
        <is>
          <t>0122</t>
        </is>
      </c>
      <c r="G4534" s="10" t="inlineStr">
        <is>
          <t>蚕ノ社</t>
        </is>
      </c>
      <c r="H4534" s="10" t="inlineStr">
        <is>
          <t>発</t>
        </is>
      </c>
      <c r="J4534" s="10" t="inlineStr">
        <is>
          <t>営業</t>
        </is>
      </c>
      <c r="L4534" t="inlineStr">
        <is>
          <t>17:44:20</t>
        </is>
      </c>
      <c r="M4534" t="inlineStr">
        <is>
          <t>17:44:40</t>
        </is>
      </c>
    </row>
    <row r="4535" ht="15" customHeight="1" s="37">
      <c r="A4535" t="n">
        <v>8</v>
      </c>
      <c r="B4535" s="10" t="inlineStr">
        <is>
          <t>休日</t>
        </is>
      </c>
      <c r="C4535" s="10" t="inlineStr">
        <is>
          <t>本線</t>
        </is>
      </c>
      <c r="D4535" s="10" t="inlineStr">
        <is>
          <t>下り</t>
        </is>
      </c>
      <c r="E4535" t="inlineStr">
        <is>
          <t>1707</t>
        </is>
      </c>
      <c r="F4535" t="inlineStr">
        <is>
          <t>0122</t>
        </is>
      </c>
      <c r="G4535" s="10" t="inlineStr">
        <is>
          <t>太秦広隆寺</t>
        </is>
      </c>
      <c r="H4535" s="10" t="inlineStr">
        <is>
          <t>発</t>
        </is>
      </c>
      <c r="J4535" s="10" t="inlineStr">
        <is>
          <t>営業</t>
        </is>
      </c>
      <c r="L4535" t="inlineStr">
        <is>
          <t>17:46:00</t>
        </is>
      </c>
      <c r="M4535" t="inlineStr">
        <is>
          <t>17:46:20</t>
        </is>
      </c>
    </row>
    <row r="4536" ht="15" customHeight="1" s="37">
      <c r="A4536" t="n">
        <v>8</v>
      </c>
      <c r="B4536" s="10" t="inlineStr">
        <is>
          <t>休日</t>
        </is>
      </c>
      <c r="C4536" s="10" t="inlineStr">
        <is>
          <t>本線</t>
        </is>
      </c>
      <c r="D4536" s="10" t="inlineStr">
        <is>
          <t>下り</t>
        </is>
      </c>
      <c r="E4536" t="inlineStr">
        <is>
          <t>1707</t>
        </is>
      </c>
      <c r="F4536" t="inlineStr">
        <is>
          <t>0122</t>
        </is>
      </c>
      <c r="G4536" s="10" t="inlineStr">
        <is>
          <t>帷子ノ辻</t>
        </is>
      </c>
      <c r="H4536" s="10" t="inlineStr">
        <is>
          <t>発</t>
        </is>
      </c>
      <c r="J4536" s="10" t="inlineStr">
        <is>
          <t>営業</t>
        </is>
      </c>
      <c r="L4536" t="inlineStr">
        <is>
          <t>17:48:20</t>
        </is>
      </c>
      <c r="M4536" t="inlineStr">
        <is>
          <t>17:49:40</t>
        </is>
      </c>
    </row>
    <row r="4537" ht="15" customHeight="1" s="37">
      <c r="A4537" t="n">
        <v>8</v>
      </c>
      <c r="B4537" s="10" t="inlineStr">
        <is>
          <t>休日</t>
        </is>
      </c>
      <c r="C4537" s="10" t="inlineStr">
        <is>
          <t>本線</t>
        </is>
      </c>
      <c r="D4537" s="10" t="inlineStr">
        <is>
          <t>下り</t>
        </is>
      </c>
      <c r="E4537" t="inlineStr">
        <is>
          <t>1707</t>
        </is>
      </c>
      <c r="F4537" t="inlineStr">
        <is>
          <t>0122</t>
        </is>
      </c>
      <c r="G4537" s="10" t="inlineStr">
        <is>
          <t>有栖川</t>
        </is>
      </c>
      <c r="H4537" s="10" t="inlineStr">
        <is>
          <t>発</t>
        </is>
      </c>
      <c r="J4537" s="10" t="inlineStr">
        <is>
          <t>営業</t>
        </is>
      </c>
      <c r="L4537" t="inlineStr">
        <is>
          <t>17:50:50</t>
        </is>
      </c>
      <c r="M4537" t="inlineStr">
        <is>
          <t>17:51:15</t>
        </is>
      </c>
    </row>
    <row r="4538" ht="15" customHeight="1" s="37">
      <c r="A4538" t="n">
        <v>8</v>
      </c>
      <c r="B4538" s="10" t="inlineStr">
        <is>
          <t>休日</t>
        </is>
      </c>
      <c r="C4538" s="10" t="inlineStr">
        <is>
          <t>本線</t>
        </is>
      </c>
      <c r="D4538" s="10" t="inlineStr">
        <is>
          <t>下り</t>
        </is>
      </c>
      <c r="E4538" t="inlineStr">
        <is>
          <t>1707</t>
        </is>
      </c>
      <c r="F4538" t="inlineStr">
        <is>
          <t>0122</t>
        </is>
      </c>
      <c r="G4538" s="10" t="inlineStr">
        <is>
          <t>車折</t>
        </is>
      </c>
      <c r="H4538" s="10" t="inlineStr">
        <is>
          <t>発</t>
        </is>
      </c>
      <c r="J4538" s="10" t="inlineStr">
        <is>
          <t>営業</t>
        </is>
      </c>
      <c r="L4538" t="inlineStr">
        <is>
          <t>17:52:40</t>
        </is>
      </c>
      <c r="M4538" t="inlineStr">
        <is>
          <t>17:53:05</t>
        </is>
      </c>
    </row>
    <row r="4539" ht="15" customHeight="1" s="37">
      <c r="A4539" t="n">
        <v>8</v>
      </c>
      <c r="B4539" s="10" t="inlineStr">
        <is>
          <t>休日</t>
        </is>
      </c>
      <c r="C4539" s="10" t="inlineStr">
        <is>
          <t>本線</t>
        </is>
      </c>
      <c r="D4539" s="10" t="inlineStr">
        <is>
          <t>下り</t>
        </is>
      </c>
      <c r="E4539" t="inlineStr">
        <is>
          <t>1707</t>
        </is>
      </c>
      <c r="F4539" t="inlineStr">
        <is>
          <t>0122</t>
        </is>
      </c>
      <c r="G4539" s="10" t="inlineStr">
        <is>
          <t>鹿王院</t>
        </is>
      </c>
      <c r="H4539" s="10" t="inlineStr">
        <is>
          <t>発</t>
        </is>
      </c>
      <c r="J4539" s="10" t="inlineStr">
        <is>
          <t>営業</t>
        </is>
      </c>
      <c r="L4539" t="inlineStr">
        <is>
          <t>17:54:00</t>
        </is>
      </c>
      <c r="M4539" t="inlineStr">
        <is>
          <t>17:54:25</t>
        </is>
      </c>
    </row>
    <row r="4540" ht="15" customHeight="1" s="37">
      <c r="A4540" t="n">
        <v>8</v>
      </c>
      <c r="B4540" s="10" t="inlineStr">
        <is>
          <t>休日</t>
        </is>
      </c>
      <c r="C4540" s="10" t="inlineStr">
        <is>
          <t>本線</t>
        </is>
      </c>
      <c r="D4540" s="10" t="inlineStr">
        <is>
          <t>下り</t>
        </is>
      </c>
      <c r="E4540" t="inlineStr">
        <is>
          <t>1707</t>
        </is>
      </c>
      <c r="F4540" t="inlineStr">
        <is>
          <t>0122</t>
        </is>
      </c>
      <c r="G4540" s="10" t="inlineStr">
        <is>
          <t>嵯峨</t>
        </is>
      </c>
      <c r="H4540" s="10" t="inlineStr">
        <is>
          <t>発</t>
        </is>
      </c>
      <c r="J4540" s="10" t="inlineStr">
        <is>
          <t>営業</t>
        </is>
      </c>
      <c r="L4540" t="inlineStr">
        <is>
          <t>17:55:30</t>
        </is>
      </c>
      <c r="M4540" t="inlineStr">
        <is>
          <t>17:55:55</t>
        </is>
      </c>
    </row>
    <row r="4541" ht="15" customHeight="1" s="37">
      <c r="A4541" t="n">
        <v>8</v>
      </c>
      <c r="B4541" s="10" t="inlineStr">
        <is>
          <t>休日</t>
        </is>
      </c>
      <c r="C4541" s="10" t="inlineStr">
        <is>
          <t>本線</t>
        </is>
      </c>
      <c r="D4541" s="10" t="inlineStr">
        <is>
          <t>下り</t>
        </is>
      </c>
      <c r="E4541" t="inlineStr">
        <is>
          <t>1707</t>
        </is>
      </c>
      <c r="F4541" t="inlineStr">
        <is>
          <t>0122</t>
        </is>
      </c>
      <c r="G4541" s="10" t="inlineStr">
        <is>
          <t>嵐山</t>
        </is>
      </c>
      <c r="H4541" s="10" t="inlineStr">
        <is>
          <t>着</t>
        </is>
      </c>
      <c r="J4541" s="10" t="inlineStr">
        <is>
          <t>営業</t>
        </is>
      </c>
      <c r="L4541" t="inlineStr">
        <is>
          <t>17:57:00</t>
        </is>
      </c>
      <c r="N4541" t="inlineStr">
        <is>
          <t>○</t>
        </is>
      </c>
      <c r="Q4541" t="inlineStr">
        <is>
          <t>1</t>
        </is>
      </c>
    </row>
    <row r="4542" ht="15" customHeight="1" s="37">
      <c r="A4542" t="n">
        <v>8</v>
      </c>
      <c r="B4542" s="10" t="inlineStr">
        <is>
          <t>休日</t>
        </is>
      </c>
      <c r="C4542" s="10" t="inlineStr">
        <is>
          <t>本線</t>
        </is>
      </c>
      <c r="D4542" s="10" t="inlineStr">
        <is>
          <t>上り</t>
        </is>
      </c>
      <c r="E4542" t="inlineStr">
        <is>
          <t>1802</t>
        </is>
      </c>
      <c r="F4542" t="inlineStr">
        <is>
          <t>2221</t>
        </is>
      </c>
      <c r="G4542" s="10" t="inlineStr">
        <is>
          <t>嵐山</t>
        </is>
      </c>
      <c r="H4542" s="10" t="inlineStr">
        <is>
          <t>発</t>
        </is>
      </c>
      <c r="J4542" s="10" t="inlineStr">
        <is>
          <t>営業</t>
        </is>
      </c>
      <c r="M4542" t="inlineStr">
        <is>
          <t>18:03:00</t>
        </is>
      </c>
      <c r="Q4542" t="inlineStr">
        <is>
          <t>1</t>
        </is>
      </c>
    </row>
    <row r="4543" ht="15" customHeight="1" s="37">
      <c r="A4543" t="n">
        <v>8</v>
      </c>
      <c r="B4543" s="10" t="inlineStr">
        <is>
          <t>休日</t>
        </is>
      </c>
      <c r="C4543" s="10" t="inlineStr">
        <is>
          <t>本線</t>
        </is>
      </c>
      <c r="D4543" s="10" t="inlineStr">
        <is>
          <t>上り</t>
        </is>
      </c>
      <c r="E4543" t="inlineStr">
        <is>
          <t>1802</t>
        </is>
      </c>
      <c r="F4543" t="inlineStr">
        <is>
          <t>2221</t>
        </is>
      </c>
      <c r="G4543" s="10" t="inlineStr">
        <is>
          <t>嵯峨</t>
        </is>
      </c>
      <c r="H4543" s="10" t="inlineStr">
        <is>
          <t>発</t>
        </is>
      </c>
      <c r="J4543" s="10" t="inlineStr">
        <is>
          <t>営業</t>
        </is>
      </c>
      <c r="L4543" t="inlineStr">
        <is>
          <t>18:03:55</t>
        </is>
      </c>
      <c r="M4543" t="inlineStr">
        <is>
          <t>18:04:20</t>
        </is>
      </c>
    </row>
    <row r="4544" ht="15" customHeight="1" s="37">
      <c r="A4544" t="n">
        <v>8</v>
      </c>
      <c r="B4544" s="10" t="inlineStr">
        <is>
          <t>休日</t>
        </is>
      </c>
      <c r="C4544" s="10" t="inlineStr">
        <is>
          <t>本線</t>
        </is>
      </c>
      <c r="D4544" s="10" t="inlineStr">
        <is>
          <t>上り</t>
        </is>
      </c>
      <c r="E4544" t="inlineStr">
        <is>
          <t>1802</t>
        </is>
      </c>
      <c r="F4544" t="inlineStr">
        <is>
          <t>2221</t>
        </is>
      </c>
      <c r="G4544" s="10" t="inlineStr">
        <is>
          <t>鹿王院</t>
        </is>
      </c>
      <c r="H4544" s="10" t="inlineStr">
        <is>
          <t>発</t>
        </is>
      </c>
      <c r="J4544" s="10" t="inlineStr">
        <is>
          <t>営業</t>
        </is>
      </c>
      <c r="L4544" t="inlineStr">
        <is>
          <t>18:05:25</t>
        </is>
      </c>
      <c r="M4544" t="inlineStr">
        <is>
          <t>18:05:45</t>
        </is>
      </c>
    </row>
    <row r="4545" ht="15" customHeight="1" s="37">
      <c r="A4545" t="n">
        <v>8</v>
      </c>
      <c r="B4545" s="10" t="inlineStr">
        <is>
          <t>休日</t>
        </is>
      </c>
      <c r="C4545" s="10" t="inlineStr">
        <is>
          <t>本線</t>
        </is>
      </c>
      <c r="D4545" s="10" t="inlineStr">
        <is>
          <t>上り</t>
        </is>
      </c>
      <c r="E4545" t="inlineStr">
        <is>
          <t>1802</t>
        </is>
      </c>
      <c r="F4545" t="inlineStr">
        <is>
          <t>2221</t>
        </is>
      </c>
      <c r="G4545" s="10" t="inlineStr">
        <is>
          <t>車折</t>
        </is>
      </c>
      <c r="H4545" s="10" t="inlineStr">
        <is>
          <t>発</t>
        </is>
      </c>
      <c r="J4545" s="10" t="inlineStr">
        <is>
          <t>営業</t>
        </is>
      </c>
      <c r="L4545" t="inlineStr">
        <is>
          <t>18:06:40</t>
        </is>
      </c>
      <c r="M4545" t="inlineStr">
        <is>
          <t>18:07:10</t>
        </is>
      </c>
    </row>
    <row r="4546" ht="15" customHeight="1" s="37">
      <c r="A4546" t="n">
        <v>8</v>
      </c>
      <c r="B4546" s="10" t="inlineStr">
        <is>
          <t>休日</t>
        </is>
      </c>
      <c r="C4546" s="10" t="inlineStr">
        <is>
          <t>本線</t>
        </is>
      </c>
      <c r="D4546" s="10" t="inlineStr">
        <is>
          <t>上り</t>
        </is>
      </c>
      <c r="E4546" t="inlineStr">
        <is>
          <t>1802</t>
        </is>
      </c>
      <c r="F4546" t="inlineStr">
        <is>
          <t>2221</t>
        </is>
      </c>
      <c r="G4546" s="10" t="inlineStr">
        <is>
          <t>有栖川</t>
        </is>
      </c>
      <c r="H4546" s="10" t="inlineStr">
        <is>
          <t>発</t>
        </is>
      </c>
      <c r="J4546" s="10" t="inlineStr">
        <is>
          <t>営業</t>
        </is>
      </c>
      <c r="L4546" t="inlineStr">
        <is>
          <t>18:08:35</t>
        </is>
      </c>
      <c r="M4546" t="inlineStr">
        <is>
          <t>18:08:55</t>
        </is>
      </c>
    </row>
    <row r="4547" ht="15" customHeight="1" s="37">
      <c r="A4547" t="n">
        <v>8</v>
      </c>
      <c r="B4547" s="10" t="inlineStr">
        <is>
          <t>休日</t>
        </is>
      </c>
      <c r="C4547" s="10" t="inlineStr">
        <is>
          <t>本線</t>
        </is>
      </c>
      <c r="D4547" s="10" t="inlineStr">
        <is>
          <t>上り</t>
        </is>
      </c>
      <c r="E4547" t="inlineStr">
        <is>
          <t>1802</t>
        </is>
      </c>
      <c r="F4547" t="inlineStr">
        <is>
          <t>2221</t>
        </is>
      </c>
      <c r="G4547" s="10" t="inlineStr">
        <is>
          <t>帷子ノ辻</t>
        </is>
      </c>
      <c r="H4547" s="10" t="inlineStr">
        <is>
          <t>発</t>
        </is>
      </c>
      <c r="J4547" s="10" t="inlineStr">
        <is>
          <t>営業</t>
        </is>
      </c>
      <c r="L4547" t="inlineStr">
        <is>
          <t>18:10:10</t>
        </is>
      </c>
      <c r="M4547" t="inlineStr">
        <is>
          <t>18:11:15</t>
        </is>
      </c>
    </row>
    <row r="4548" ht="15" customHeight="1" s="37">
      <c r="A4548" t="n">
        <v>8</v>
      </c>
      <c r="B4548" s="10" t="inlineStr">
        <is>
          <t>休日</t>
        </is>
      </c>
      <c r="C4548" s="10" t="inlineStr">
        <is>
          <t>本線</t>
        </is>
      </c>
      <c r="D4548" s="10" t="inlineStr">
        <is>
          <t>上り</t>
        </is>
      </c>
      <c r="E4548" t="inlineStr">
        <is>
          <t>1802</t>
        </is>
      </c>
      <c r="F4548" t="inlineStr">
        <is>
          <t>2221</t>
        </is>
      </c>
      <c r="G4548" s="10" t="inlineStr">
        <is>
          <t>太秦広隆寺</t>
        </is>
      </c>
      <c r="H4548" s="10" t="inlineStr">
        <is>
          <t>発</t>
        </is>
      </c>
      <c r="J4548" s="10" t="inlineStr">
        <is>
          <t>営業</t>
        </is>
      </c>
      <c r="L4548" t="inlineStr">
        <is>
          <t>18:13:25</t>
        </is>
      </c>
      <c r="M4548" t="inlineStr">
        <is>
          <t>18:13:45</t>
        </is>
      </c>
    </row>
    <row r="4549" ht="15" customHeight="1" s="37">
      <c r="A4549" t="n">
        <v>8</v>
      </c>
      <c r="B4549" s="10" t="inlineStr">
        <is>
          <t>休日</t>
        </is>
      </c>
      <c r="C4549" s="10" t="inlineStr">
        <is>
          <t>本線</t>
        </is>
      </c>
      <c r="D4549" s="10" t="inlineStr">
        <is>
          <t>上り</t>
        </is>
      </c>
      <c r="E4549" t="inlineStr">
        <is>
          <t>1802</t>
        </is>
      </c>
      <c r="F4549" t="inlineStr">
        <is>
          <t>2221</t>
        </is>
      </c>
      <c r="G4549" s="10" t="inlineStr">
        <is>
          <t>蚕ノ社</t>
        </is>
      </c>
      <c r="H4549" s="10" t="inlineStr">
        <is>
          <t>発</t>
        </is>
      </c>
      <c r="J4549" s="10" t="inlineStr">
        <is>
          <t>営業</t>
        </is>
      </c>
      <c r="L4549" t="inlineStr">
        <is>
          <t>18:15:00</t>
        </is>
      </c>
      <c r="M4549" t="inlineStr">
        <is>
          <t>18:15:20</t>
        </is>
      </c>
    </row>
    <row r="4550" ht="15" customHeight="1" s="37">
      <c r="A4550" t="n">
        <v>8</v>
      </c>
      <c r="B4550" s="10" t="inlineStr">
        <is>
          <t>休日</t>
        </is>
      </c>
      <c r="C4550" s="10" t="inlineStr">
        <is>
          <t>本線</t>
        </is>
      </c>
      <c r="D4550" s="10" t="inlineStr">
        <is>
          <t>上り</t>
        </is>
      </c>
      <c r="E4550" t="inlineStr">
        <is>
          <t>1802</t>
        </is>
      </c>
      <c r="F4550" t="inlineStr">
        <is>
          <t>2221</t>
        </is>
      </c>
      <c r="G4550" s="10" t="inlineStr">
        <is>
          <t>天神川</t>
        </is>
      </c>
      <c r="H4550" s="10" t="inlineStr">
        <is>
          <t>発</t>
        </is>
      </c>
      <c r="J4550" s="10" t="inlineStr">
        <is>
          <t>営業</t>
        </is>
      </c>
      <c r="L4550" t="inlineStr">
        <is>
          <t>18:16:05</t>
        </is>
      </c>
      <c r="M4550" t="inlineStr">
        <is>
          <t>18:16:50</t>
        </is>
      </c>
    </row>
    <row r="4551" ht="15" customHeight="1" s="37">
      <c r="A4551" t="n">
        <v>8</v>
      </c>
      <c r="B4551" s="10" t="inlineStr">
        <is>
          <t>休日</t>
        </is>
      </c>
      <c r="C4551" s="10" t="inlineStr">
        <is>
          <t>本線</t>
        </is>
      </c>
      <c r="D4551" s="10" t="inlineStr">
        <is>
          <t>上り</t>
        </is>
      </c>
      <c r="E4551" t="inlineStr">
        <is>
          <t>1802</t>
        </is>
      </c>
      <c r="F4551" t="inlineStr">
        <is>
          <t>2221</t>
        </is>
      </c>
      <c r="G4551" s="10" t="inlineStr">
        <is>
          <t>山ノ内</t>
        </is>
      </c>
      <c r="H4551" s="10" t="inlineStr">
        <is>
          <t>発</t>
        </is>
      </c>
      <c r="J4551" s="10" t="inlineStr">
        <is>
          <t>営業</t>
        </is>
      </c>
      <c r="L4551" t="inlineStr">
        <is>
          <t>18:18:40</t>
        </is>
      </c>
      <c r="M4551" t="inlineStr">
        <is>
          <t>18:19:05</t>
        </is>
      </c>
    </row>
    <row r="4552" ht="15" customHeight="1" s="37">
      <c r="A4552" t="n">
        <v>8</v>
      </c>
      <c r="B4552" s="10" t="inlineStr">
        <is>
          <t>休日</t>
        </is>
      </c>
      <c r="C4552" s="10" t="inlineStr">
        <is>
          <t>本線</t>
        </is>
      </c>
      <c r="D4552" s="10" t="inlineStr">
        <is>
          <t>上り</t>
        </is>
      </c>
      <c r="E4552" t="inlineStr">
        <is>
          <t>1802</t>
        </is>
      </c>
      <c r="F4552" t="inlineStr">
        <is>
          <t>2221</t>
        </is>
      </c>
      <c r="G4552" s="10" t="inlineStr">
        <is>
          <t>西大路三条</t>
        </is>
      </c>
      <c r="H4552" s="10" t="inlineStr">
        <is>
          <t>発</t>
        </is>
      </c>
      <c r="J4552" s="10" t="inlineStr">
        <is>
          <t>営業</t>
        </is>
      </c>
      <c r="L4552" t="inlineStr">
        <is>
          <t>18:20:55</t>
        </is>
      </c>
      <c r="M4552" t="inlineStr">
        <is>
          <t>18:21:15</t>
        </is>
      </c>
    </row>
    <row r="4553" ht="15" customHeight="1" s="37">
      <c r="A4553" t="n">
        <v>8</v>
      </c>
      <c r="B4553" s="10" t="inlineStr">
        <is>
          <t>休日</t>
        </is>
      </c>
      <c r="C4553" s="10" t="inlineStr">
        <is>
          <t>本線</t>
        </is>
      </c>
      <c r="D4553" s="10" t="inlineStr">
        <is>
          <t>上り</t>
        </is>
      </c>
      <c r="E4553" t="inlineStr">
        <is>
          <t>1802</t>
        </is>
      </c>
      <c r="F4553" t="inlineStr">
        <is>
          <t>2221</t>
        </is>
      </c>
      <c r="G4553" s="10" t="inlineStr">
        <is>
          <t>西院</t>
        </is>
      </c>
      <c r="H4553" s="10" t="inlineStr">
        <is>
          <t>発</t>
        </is>
      </c>
      <c r="J4553" s="10" t="inlineStr">
        <is>
          <t>営業</t>
        </is>
      </c>
      <c r="L4553" t="inlineStr">
        <is>
          <t>18:23:10</t>
        </is>
      </c>
      <c r="M4553" t="inlineStr">
        <is>
          <t>18:24:05</t>
        </is>
      </c>
    </row>
    <row r="4554" ht="15" customHeight="1" s="37">
      <c r="A4554" t="n">
        <v>8</v>
      </c>
      <c r="B4554" s="10" t="inlineStr">
        <is>
          <t>休日</t>
        </is>
      </c>
      <c r="C4554" s="10" t="inlineStr">
        <is>
          <t>本線</t>
        </is>
      </c>
      <c r="D4554" s="10" t="inlineStr">
        <is>
          <t>上り</t>
        </is>
      </c>
      <c r="E4554" t="inlineStr">
        <is>
          <t>1802</t>
        </is>
      </c>
      <c r="F4554" t="inlineStr">
        <is>
          <t>2221</t>
        </is>
      </c>
      <c r="G4554" s="10" t="inlineStr">
        <is>
          <t>四条大宮</t>
        </is>
      </c>
      <c r="H4554" s="10" t="inlineStr">
        <is>
          <t>着</t>
        </is>
      </c>
      <c r="J4554" s="10" t="inlineStr">
        <is>
          <t>営業</t>
        </is>
      </c>
      <c r="L4554" t="inlineStr">
        <is>
          <t>18:27:00</t>
        </is>
      </c>
      <c r="Q4554" t="inlineStr">
        <is>
          <t>1</t>
        </is>
      </c>
    </row>
    <row r="4555" ht="15" customHeight="1" s="37">
      <c r="A4555" t="n">
        <v>8</v>
      </c>
      <c r="B4555" s="10" t="inlineStr">
        <is>
          <t>休日</t>
        </is>
      </c>
      <c r="C4555" s="10" t="inlineStr">
        <is>
          <t>本線</t>
        </is>
      </c>
      <c r="D4555" s="10" t="inlineStr">
        <is>
          <t>下り</t>
        </is>
      </c>
      <c r="E4555" t="inlineStr">
        <is>
          <t>1807</t>
        </is>
      </c>
      <c r="F4555" t="inlineStr">
        <is>
          <t>0122</t>
        </is>
      </c>
      <c r="G4555" s="10" t="inlineStr">
        <is>
          <t>四条大宮</t>
        </is>
      </c>
      <c r="H4555" s="10" t="inlineStr">
        <is>
          <t>発</t>
        </is>
      </c>
      <c r="J4555" s="10" t="inlineStr">
        <is>
          <t>営業</t>
        </is>
      </c>
      <c r="M4555" t="inlineStr">
        <is>
          <t>18:33:00</t>
        </is>
      </c>
      <c r="Q4555" t="inlineStr">
        <is>
          <t>1</t>
        </is>
      </c>
    </row>
    <row r="4556" ht="15" customHeight="1" s="37">
      <c r="A4556" t="n">
        <v>8</v>
      </c>
      <c r="B4556" s="10" t="inlineStr">
        <is>
          <t>休日</t>
        </is>
      </c>
      <c r="C4556" s="10" t="inlineStr">
        <is>
          <t>本線</t>
        </is>
      </c>
      <c r="D4556" s="10" t="inlineStr">
        <is>
          <t>下り</t>
        </is>
      </c>
      <c r="E4556" t="inlineStr">
        <is>
          <t>1807</t>
        </is>
      </c>
      <c r="F4556" t="inlineStr">
        <is>
          <t>0122</t>
        </is>
      </c>
      <c r="G4556" s="10" t="inlineStr">
        <is>
          <t>西院</t>
        </is>
      </c>
      <c r="H4556" s="10" t="inlineStr">
        <is>
          <t>発</t>
        </is>
      </c>
      <c r="J4556" s="10" t="inlineStr">
        <is>
          <t>営業</t>
        </is>
      </c>
      <c r="L4556" t="inlineStr">
        <is>
          <t>18:35:50</t>
        </is>
      </c>
      <c r="M4556" t="inlineStr">
        <is>
          <t>18:36:20</t>
        </is>
      </c>
    </row>
    <row r="4557" ht="15" customHeight="1" s="37">
      <c r="A4557" t="n">
        <v>8</v>
      </c>
      <c r="B4557" s="10" t="inlineStr">
        <is>
          <t>休日</t>
        </is>
      </c>
      <c r="C4557" s="10" t="inlineStr">
        <is>
          <t>本線</t>
        </is>
      </c>
      <c r="D4557" s="10" t="inlineStr">
        <is>
          <t>下り</t>
        </is>
      </c>
      <c r="E4557" t="inlineStr">
        <is>
          <t>1807</t>
        </is>
      </c>
      <c r="F4557" t="inlineStr">
        <is>
          <t>0122</t>
        </is>
      </c>
      <c r="G4557" s="10" t="inlineStr">
        <is>
          <t>西大路三条</t>
        </is>
      </c>
      <c r="H4557" s="10" t="inlineStr">
        <is>
          <t>発</t>
        </is>
      </c>
      <c r="J4557" s="10" t="inlineStr">
        <is>
          <t>営業</t>
        </is>
      </c>
      <c r="L4557" t="inlineStr">
        <is>
          <t>18:38:10</t>
        </is>
      </c>
      <c r="M4557" t="inlineStr">
        <is>
          <t>18:38:30</t>
        </is>
      </c>
    </row>
    <row r="4558" ht="15" customHeight="1" s="37">
      <c r="A4558" t="n">
        <v>8</v>
      </c>
      <c r="B4558" s="10" t="inlineStr">
        <is>
          <t>休日</t>
        </is>
      </c>
      <c r="C4558" s="10" t="inlineStr">
        <is>
          <t>本線</t>
        </is>
      </c>
      <c r="D4558" s="10" t="inlineStr">
        <is>
          <t>下り</t>
        </is>
      </c>
      <c r="E4558" t="inlineStr">
        <is>
          <t>1807</t>
        </is>
      </c>
      <c r="F4558" t="inlineStr">
        <is>
          <t>0122</t>
        </is>
      </c>
      <c r="G4558" s="10" t="inlineStr">
        <is>
          <t>山ノ内</t>
        </is>
      </c>
      <c r="H4558" s="10" t="inlineStr">
        <is>
          <t>発</t>
        </is>
      </c>
      <c r="J4558" s="10" t="inlineStr">
        <is>
          <t>営業</t>
        </is>
      </c>
      <c r="L4558" t="inlineStr">
        <is>
          <t>18:40:25</t>
        </is>
      </c>
      <c r="M4558" t="inlineStr">
        <is>
          <t>18:40:50</t>
        </is>
      </c>
    </row>
    <row r="4559" ht="15" customHeight="1" s="37">
      <c r="A4559" t="n">
        <v>8</v>
      </c>
      <c r="B4559" s="10" t="inlineStr">
        <is>
          <t>休日</t>
        </is>
      </c>
      <c r="C4559" s="10" t="inlineStr">
        <is>
          <t>本線</t>
        </is>
      </c>
      <c r="D4559" s="10" t="inlineStr">
        <is>
          <t>下り</t>
        </is>
      </c>
      <c r="E4559" t="inlineStr">
        <is>
          <t>1807</t>
        </is>
      </c>
      <c r="F4559" t="inlineStr">
        <is>
          <t>0122</t>
        </is>
      </c>
      <c r="G4559" s="10" t="inlineStr">
        <is>
          <t>天神川</t>
        </is>
      </c>
      <c r="H4559" s="10" t="inlineStr">
        <is>
          <t>発</t>
        </is>
      </c>
      <c r="J4559" s="10" t="inlineStr">
        <is>
          <t>営業</t>
        </is>
      </c>
      <c r="L4559" t="inlineStr">
        <is>
          <t>18:42:50</t>
        </is>
      </c>
      <c r="M4559" t="inlineStr">
        <is>
          <t>18:43:30</t>
        </is>
      </c>
    </row>
    <row r="4560" ht="15" customHeight="1" s="37">
      <c r="A4560" t="n">
        <v>8</v>
      </c>
      <c r="B4560" s="10" t="inlineStr">
        <is>
          <t>休日</t>
        </is>
      </c>
      <c r="C4560" s="10" t="inlineStr">
        <is>
          <t>本線</t>
        </is>
      </c>
      <c r="D4560" s="10" t="inlineStr">
        <is>
          <t>下り</t>
        </is>
      </c>
      <c r="E4560" t="inlineStr">
        <is>
          <t>1807</t>
        </is>
      </c>
      <c r="F4560" t="inlineStr">
        <is>
          <t>0122</t>
        </is>
      </c>
      <c r="G4560" s="10" t="inlineStr">
        <is>
          <t>蚕ノ社</t>
        </is>
      </c>
      <c r="H4560" s="10" t="inlineStr">
        <is>
          <t>発</t>
        </is>
      </c>
      <c r="J4560" s="10" t="inlineStr">
        <is>
          <t>営業</t>
        </is>
      </c>
      <c r="L4560" t="inlineStr">
        <is>
          <t>18:44:20</t>
        </is>
      </c>
      <c r="M4560" t="inlineStr">
        <is>
          <t>18:44:40</t>
        </is>
      </c>
    </row>
    <row r="4561" ht="15" customHeight="1" s="37">
      <c r="A4561" t="n">
        <v>8</v>
      </c>
      <c r="B4561" s="10" t="inlineStr">
        <is>
          <t>休日</t>
        </is>
      </c>
      <c r="C4561" s="10" t="inlineStr">
        <is>
          <t>本線</t>
        </is>
      </c>
      <c r="D4561" s="10" t="inlineStr">
        <is>
          <t>下り</t>
        </is>
      </c>
      <c r="E4561" t="inlineStr">
        <is>
          <t>1807</t>
        </is>
      </c>
      <c r="F4561" t="inlineStr">
        <is>
          <t>0122</t>
        </is>
      </c>
      <c r="G4561" s="10" t="inlineStr">
        <is>
          <t>太秦広隆寺</t>
        </is>
      </c>
      <c r="H4561" s="10" t="inlineStr">
        <is>
          <t>発</t>
        </is>
      </c>
      <c r="J4561" s="10" t="inlineStr">
        <is>
          <t>営業</t>
        </is>
      </c>
      <c r="L4561" t="inlineStr">
        <is>
          <t>18:46:00</t>
        </is>
      </c>
      <c r="M4561" t="inlineStr">
        <is>
          <t>18:46:20</t>
        </is>
      </c>
    </row>
    <row r="4562" ht="15" customHeight="1" s="37">
      <c r="A4562" t="n">
        <v>8</v>
      </c>
      <c r="B4562" s="10" t="inlineStr">
        <is>
          <t>休日</t>
        </is>
      </c>
      <c r="C4562" s="10" t="inlineStr">
        <is>
          <t>本線</t>
        </is>
      </c>
      <c r="D4562" s="10" t="inlineStr">
        <is>
          <t>下り</t>
        </is>
      </c>
      <c r="E4562" t="inlineStr">
        <is>
          <t>1807</t>
        </is>
      </c>
      <c r="F4562" t="inlineStr">
        <is>
          <t>0122</t>
        </is>
      </c>
      <c r="G4562" s="10" t="inlineStr">
        <is>
          <t>帷子ノ辻</t>
        </is>
      </c>
      <c r="H4562" s="10" t="inlineStr">
        <is>
          <t>発</t>
        </is>
      </c>
      <c r="J4562" s="10" t="inlineStr">
        <is>
          <t>営業</t>
        </is>
      </c>
      <c r="L4562" t="inlineStr">
        <is>
          <t>18:48:20</t>
        </is>
      </c>
      <c r="M4562" t="inlineStr">
        <is>
          <t>18:49:40</t>
        </is>
      </c>
    </row>
    <row r="4563" ht="15" customHeight="1" s="37">
      <c r="A4563" t="n">
        <v>8</v>
      </c>
      <c r="B4563" s="10" t="inlineStr">
        <is>
          <t>休日</t>
        </is>
      </c>
      <c r="C4563" s="10" t="inlineStr">
        <is>
          <t>本線</t>
        </is>
      </c>
      <c r="D4563" s="10" t="inlineStr">
        <is>
          <t>下り</t>
        </is>
      </c>
      <c r="E4563" t="inlineStr">
        <is>
          <t>1807</t>
        </is>
      </c>
      <c r="F4563" t="inlineStr">
        <is>
          <t>0122</t>
        </is>
      </c>
      <c r="G4563" s="10" t="inlineStr">
        <is>
          <t>有栖川</t>
        </is>
      </c>
      <c r="H4563" s="10" t="inlineStr">
        <is>
          <t>発</t>
        </is>
      </c>
      <c r="J4563" s="10" t="inlineStr">
        <is>
          <t>営業</t>
        </is>
      </c>
      <c r="L4563" t="inlineStr">
        <is>
          <t>18:50:50</t>
        </is>
      </c>
      <c r="M4563" t="inlineStr">
        <is>
          <t>18:51:15</t>
        </is>
      </c>
    </row>
    <row r="4564" ht="15" customHeight="1" s="37">
      <c r="A4564" t="n">
        <v>8</v>
      </c>
      <c r="B4564" s="10" t="inlineStr">
        <is>
          <t>休日</t>
        </is>
      </c>
      <c r="C4564" s="10" t="inlineStr">
        <is>
          <t>本線</t>
        </is>
      </c>
      <c r="D4564" s="10" t="inlineStr">
        <is>
          <t>下り</t>
        </is>
      </c>
      <c r="E4564" t="inlineStr">
        <is>
          <t>1807</t>
        </is>
      </c>
      <c r="F4564" t="inlineStr">
        <is>
          <t>0122</t>
        </is>
      </c>
      <c r="G4564" s="10" t="inlineStr">
        <is>
          <t>車折</t>
        </is>
      </c>
      <c r="H4564" s="10" t="inlineStr">
        <is>
          <t>発</t>
        </is>
      </c>
      <c r="J4564" s="10" t="inlineStr">
        <is>
          <t>営業</t>
        </is>
      </c>
      <c r="L4564" t="inlineStr">
        <is>
          <t>18:52:40</t>
        </is>
      </c>
      <c r="M4564" t="inlineStr">
        <is>
          <t>18:53:05</t>
        </is>
      </c>
    </row>
    <row r="4565" ht="15" customHeight="1" s="37">
      <c r="A4565" t="n">
        <v>8</v>
      </c>
      <c r="B4565" s="10" t="inlineStr">
        <is>
          <t>休日</t>
        </is>
      </c>
      <c r="C4565" s="10" t="inlineStr">
        <is>
          <t>本線</t>
        </is>
      </c>
      <c r="D4565" s="10" t="inlineStr">
        <is>
          <t>下り</t>
        </is>
      </c>
      <c r="E4565" t="inlineStr">
        <is>
          <t>1807</t>
        </is>
      </c>
      <c r="F4565" t="inlineStr">
        <is>
          <t>0122</t>
        </is>
      </c>
      <c r="G4565" s="10" t="inlineStr">
        <is>
          <t>鹿王院</t>
        </is>
      </c>
      <c r="H4565" s="10" t="inlineStr">
        <is>
          <t>発</t>
        </is>
      </c>
      <c r="J4565" s="10" t="inlineStr">
        <is>
          <t>営業</t>
        </is>
      </c>
      <c r="L4565" t="inlineStr">
        <is>
          <t>18:54:00</t>
        </is>
      </c>
      <c r="M4565" t="inlineStr">
        <is>
          <t>18:54:25</t>
        </is>
      </c>
    </row>
    <row r="4566" ht="15" customHeight="1" s="37">
      <c r="A4566" t="n">
        <v>8</v>
      </c>
      <c r="B4566" s="10" t="inlineStr">
        <is>
          <t>休日</t>
        </is>
      </c>
      <c r="C4566" s="10" t="inlineStr">
        <is>
          <t>本線</t>
        </is>
      </c>
      <c r="D4566" s="10" t="inlineStr">
        <is>
          <t>下り</t>
        </is>
      </c>
      <c r="E4566" t="inlineStr">
        <is>
          <t>1807</t>
        </is>
      </c>
      <c r="F4566" t="inlineStr">
        <is>
          <t>0122</t>
        </is>
      </c>
      <c r="G4566" s="10" t="inlineStr">
        <is>
          <t>嵯峨</t>
        </is>
      </c>
      <c r="H4566" s="10" t="inlineStr">
        <is>
          <t>発</t>
        </is>
      </c>
      <c r="J4566" s="10" t="inlineStr">
        <is>
          <t>営業</t>
        </is>
      </c>
      <c r="L4566" t="inlineStr">
        <is>
          <t>18:55:30</t>
        </is>
      </c>
      <c r="M4566" t="inlineStr">
        <is>
          <t>18:55:55</t>
        </is>
      </c>
    </row>
    <row r="4567" ht="15" customHeight="1" s="37">
      <c r="A4567" t="n">
        <v>8</v>
      </c>
      <c r="B4567" s="10" t="inlineStr">
        <is>
          <t>休日</t>
        </is>
      </c>
      <c r="C4567" s="10" t="inlineStr">
        <is>
          <t>本線</t>
        </is>
      </c>
      <c r="D4567" s="10" t="inlineStr">
        <is>
          <t>下り</t>
        </is>
      </c>
      <c r="E4567" t="inlineStr">
        <is>
          <t>1807</t>
        </is>
      </c>
      <c r="F4567" t="inlineStr">
        <is>
          <t>0122</t>
        </is>
      </c>
      <c r="G4567" s="10" t="inlineStr">
        <is>
          <t>嵐山</t>
        </is>
      </c>
      <c r="H4567" s="10" t="inlineStr">
        <is>
          <t>着</t>
        </is>
      </c>
      <c r="J4567" s="10" t="inlineStr">
        <is>
          <t>営業</t>
        </is>
      </c>
      <c r="L4567" t="inlineStr">
        <is>
          <t>18:57:00</t>
        </is>
      </c>
      <c r="N4567" t="inlineStr">
        <is>
          <t>○</t>
        </is>
      </c>
      <c r="Q4567" t="inlineStr">
        <is>
          <t>1</t>
        </is>
      </c>
    </row>
    <row r="4568" ht="15" customHeight="1" s="37">
      <c r="A4568" t="n">
        <v>8</v>
      </c>
      <c r="B4568" s="10" t="inlineStr">
        <is>
          <t>休日</t>
        </is>
      </c>
      <c r="C4568" s="10" t="inlineStr">
        <is>
          <t>本線</t>
        </is>
      </c>
      <c r="D4568" s="10" t="inlineStr">
        <is>
          <t>上り</t>
        </is>
      </c>
      <c r="E4568" t="inlineStr">
        <is>
          <t>1902</t>
        </is>
      </c>
      <c r="F4568" t="inlineStr">
        <is>
          <t>2221</t>
        </is>
      </c>
      <c r="G4568" s="10" t="inlineStr">
        <is>
          <t>嵐山</t>
        </is>
      </c>
      <c r="H4568" s="10" t="inlineStr">
        <is>
          <t>発</t>
        </is>
      </c>
      <c r="J4568" s="10" t="inlineStr">
        <is>
          <t>営業</t>
        </is>
      </c>
      <c r="M4568" t="inlineStr">
        <is>
          <t>19:03:00</t>
        </is>
      </c>
      <c r="Q4568" t="inlineStr">
        <is>
          <t>1</t>
        </is>
      </c>
    </row>
    <row r="4569" ht="15" customHeight="1" s="37">
      <c r="A4569" t="n">
        <v>8</v>
      </c>
      <c r="B4569" s="10" t="inlineStr">
        <is>
          <t>休日</t>
        </is>
      </c>
      <c r="C4569" s="10" t="inlineStr">
        <is>
          <t>本線</t>
        </is>
      </c>
      <c r="D4569" s="10" t="inlineStr">
        <is>
          <t>上り</t>
        </is>
      </c>
      <c r="E4569" t="inlineStr">
        <is>
          <t>1902</t>
        </is>
      </c>
      <c r="F4569" t="inlineStr">
        <is>
          <t>2221</t>
        </is>
      </c>
      <c r="G4569" s="10" t="inlineStr">
        <is>
          <t>嵯峨</t>
        </is>
      </c>
      <c r="H4569" s="10" t="inlineStr">
        <is>
          <t>発</t>
        </is>
      </c>
      <c r="J4569" s="10" t="inlineStr">
        <is>
          <t>営業</t>
        </is>
      </c>
      <c r="L4569" t="inlineStr">
        <is>
          <t>19:03:55</t>
        </is>
      </c>
      <c r="M4569" t="inlineStr">
        <is>
          <t>19:04:20</t>
        </is>
      </c>
    </row>
    <row r="4570" ht="15" customHeight="1" s="37">
      <c r="A4570" t="n">
        <v>8</v>
      </c>
      <c r="B4570" s="10" t="inlineStr">
        <is>
          <t>休日</t>
        </is>
      </c>
      <c r="C4570" s="10" t="inlineStr">
        <is>
          <t>本線</t>
        </is>
      </c>
      <c r="D4570" s="10" t="inlineStr">
        <is>
          <t>上り</t>
        </is>
      </c>
      <c r="E4570" t="inlineStr">
        <is>
          <t>1902</t>
        </is>
      </c>
      <c r="F4570" t="inlineStr">
        <is>
          <t>2221</t>
        </is>
      </c>
      <c r="G4570" s="10" t="inlineStr">
        <is>
          <t>鹿王院</t>
        </is>
      </c>
      <c r="H4570" s="10" t="inlineStr">
        <is>
          <t>発</t>
        </is>
      </c>
      <c r="J4570" s="10" t="inlineStr">
        <is>
          <t>営業</t>
        </is>
      </c>
      <c r="L4570" t="inlineStr">
        <is>
          <t>19:05:25</t>
        </is>
      </c>
      <c r="M4570" t="inlineStr">
        <is>
          <t>19:05:45</t>
        </is>
      </c>
    </row>
    <row r="4571" ht="15" customHeight="1" s="37">
      <c r="A4571" t="n">
        <v>8</v>
      </c>
      <c r="B4571" s="10" t="inlineStr">
        <is>
          <t>休日</t>
        </is>
      </c>
      <c r="C4571" s="10" t="inlineStr">
        <is>
          <t>本線</t>
        </is>
      </c>
      <c r="D4571" s="10" t="inlineStr">
        <is>
          <t>上り</t>
        </is>
      </c>
      <c r="E4571" t="inlineStr">
        <is>
          <t>1902</t>
        </is>
      </c>
      <c r="F4571" t="inlineStr">
        <is>
          <t>2221</t>
        </is>
      </c>
      <c r="G4571" s="10" t="inlineStr">
        <is>
          <t>車折</t>
        </is>
      </c>
      <c r="H4571" s="10" t="inlineStr">
        <is>
          <t>発</t>
        </is>
      </c>
      <c r="J4571" s="10" t="inlineStr">
        <is>
          <t>営業</t>
        </is>
      </c>
      <c r="L4571" t="inlineStr">
        <is>
          <t>19:06:40</t>
        </is>
      </c>
      <c r="M4571" t="inlineStr">
        <is>
          <t>19:07:10</t>
        </is>
      </c>
    </row>
    <row r="4572" ht="15" customHeight="1" s="37">
      <c r="A4572" t="n">
        <v>8</v>
      </c>
      <c r="B4572" s="10" t="inlineStr">
        <is>
          <t>休日</t>
        </is>
      </c>
      <c r="C4572" s="10" t="inlineStr">
        <is>
          <t>本線</t>
        </is>
      </c>
      <c r="D4572" s="10" t="inlineStr">
        <is>
          <t>上り</t>
        </is>
      </c>
      <c r="E4572" t="inlineStr">
        <is>
          <t>1902</t>
        </is>
      </c>
      <c r="F4572" t="inlineStr">
        <is>
          <t>2221</t>
        </is>
      </c>
      <c r="G4572" s="10" t="inlineStr">
        <is>
          <t>有栖川</t>
        </is>
      </c>
      <c r="H4572" s="10" t="inlineStr">
        <is>
          <t>発</t>
        </is>
      </c>
      <c r="J4572" s="10" t="inlineStr">
        <is>
          <t>営業</t>
        </is>
      </c>
      <c r="L4572" t="inlineStr">
        <is>
          <t>19:08:35</t>
        </is>
      </c>
      <c r="M4572" t="inlineStr">
        <is>
          <t>19:08:55</t>
        </is>
      </c>
    </row>
    <row r="4573" ht="15" customHeight="1" s="37">
      <c r="A4573" t="n">
        <v>8</v>
      </c>
      <c r="B4573" s="10" t="inlineStr">
        <is>
          <t>休日</t>
        </is>
      </c>
      <c r="C4573" s="10" t="inlineStr">
        <is>
          <t>本線</t>
        </is>
      </c>
      <c r="D4573" s="10" t="inlineStr">
        <is>
          <t>上り</t>
        </is>
      </c>
      <c r="E4573" t="inlineStr">
        <is>
          <t>1902</t>
        </is>
      </c>
      <c r="F4573" t="inlineStr">
        <is>
          <t>2221</t>
        </is>
      </c>
      <c r="G4573" s="10" t="inlineStr">
        <is>
          <t>帷子ノ辻</t>
        </is>
      </c>
      <c r="H4573" s="10" t="inlineStr">
        <is>
          <t>発</t>
        </is>
      </c>
      <c r="J4573" s="10" t="inlineStr">
        <is>
          <t>営業</t>
        </is>
      </c>
      <c r="L4573" t="inlineStr">
        <is>
          <t>19:10:10</t>
        </is>
      </c>
      <c r="M4573" t="inlineStr">
        <is>
          <t>19:11:15</t>
        </is>
      </c>
    </row>
    <row r="4574" ht="15" customHeight="1" s="37">
      <c r="A4574" t="n">
        <v>8</v>
      </c>
      <c r="B4574" s="10" t="inlineStr">
        <is>
          <t>休日</t>
        </is>
      </c>
      <c r="C4574" s="10" t="inlineStr">
        <is>
          <t>本線</t>
        </is>
      </c>
      <c r="D4574" s="10" t="inlineStr">
        <is>
          <t>上り</t>
        </is>
      </c>
      <c r="E4574" t="inlineStr">
        <is>
          <t>1902</t>
        </is>
      </c>
      <c r="F4574" t="inlineStr">
        <is>
          <t>2221</t>
        </is>
      </c>
      <c r="G4574" s="10" t="inlineStr">
        <is>
          <t>太秦広隆寺</t>
        </is>
      </c>
      <c r="H4574" s="10" t="inlineStr">
        <is>
          <t>発</t>
        </is>
      </c>
      <c r="J4574" s="10" t="inlineStr">
        <is>
          <t>営業</t>
        </is>
      </c>
      <c r="L4574" t="inlineStr">
        <is>
          <t>19:13:25</t>
        </is>
      </c>
      <c r="M4574" t="inlineStr">
        <is>
          <t>19:13:45</t>
        </is>
      </c>
    </row>
    <row r="4575" ht="15" customHeight="1" s="37">
      <c r="A4575" t="n">
        <v>8</v>
      </c>
      <c r="B4575" s="10" t="inlineStr">
        <is>
          <t>休日</t>
        </is>
      </c>
      <c r="C4575" s="10" t="inlineStr">
        <is>
          <t>本線</t>
        </is>
      </c>
      <c r="D4575" s="10" t="inlineStr">
        <is>
          <t>上り</t>
        </is>
      </c>
      <c r="E4575" t="inlineStr">
        <is>
          <t>1902</t>
        </is>
      </c>
      <c r="F4575" t="inlineStr">
        <is>
          <t>2221</t>
        </is>
      </c>
      <c r="G4575" s="10" t="inlineStr">
        <is>
          <t>蚕ノ社</t>
        </is>
      </c>
      <c r="H4575" s="10" t="inlineStr">
        <is>
          <t>発</t>
        </is>
      </c>
      <c r="J4575" s="10" t="inlineStr">
        <is>
          <t>営業</t>
        </is>
      </c>
      <c r="L4575" t="inlineStr">
        <is>
          <t>19:15:00</t>
        </is>
      </c>
      <c r="M4575" t="inlineStr">
        <is>
          <t>19:15:20</t>
        </is>
      </c>
    </row>
    <row r="4576" ht="15" customHeight="1" s="37">
      <c r="A4576" t="n">
        <v>8</v>
      </c>
      <c r="B4576" s="10" t="inlineStr">
        <is>
          <t>休日</t>
        </is>
      </c>
      <c r="C4576" s="10" t="inlineStr">
        <is>
          <t>本線</t>
        </is>
      </c>
      <c r="D4576" s="10" t="inlineStr">
        <is>
          <t>上り</t>
        </is>
      </c>
      <c r="E4576" t="inlineStr">
        <is>
          <t>1902</t>
        </is>
      </c>
      <c r="F4576" t="inlineStr">
        <is>
          <t>2221</t>
        </is>
      </c>
      <c r="G4576" s="10" t="inlineStr">
        <is>
          <t>天神川</t>
        </is>
      </c>
      <c r="H4576" s="10" t="inlineStr">
        <is>
          <t>発</t>
        </is>
      </c>
      <c r="J4576" s="10" t="inlineStr">
        <is>
          <t>営業</t>
        </is>
      </c>
      <c r="L4576" t="inlineStr">
        <is>
          <t>19:16:05</t>
        </is>
      </c>
      <c r="M4576" t="inlineStr">
        <is>
          <t>19:16:50</t>
        </is>
      </c>
    </row>
    <row r="4577" ht="15" customHeight="1" s="37">
      <c r="A4577" t="n">
        <v>8</v>
      </c>
      <c r="B4577" s="10" t="inlineStr">
        <is>
          <t>休日</t>
        </is>
      </c>
      <c r="C4577" s="10" t="inlineStr">
        <is>
          <t>本線</t>
        </is>
      </c>
      <c r="D4577" s="10" t="inlineStr">
        <is>
          <t>上り</t>
        </is>
      </c>
      <c r="E4577" t="inlineStr">
        <is>
          <t>1902</t>
        </is>
      </c>
      <c r="F4577" t="inlineStr">
        <is>
          <t>2221</t>
        </is>
      </c>
      <c r="G4577" s="10" t="inlineStr">
        <is>
          <t>山ノ内</t>
        </is>
      </c>
      <c r="H4577" s="10" t="inlineStr">
        <is>
          <t>発</t>
        </is>
      </c>
      <c r="J4577" s="10" t="inlineStr">
        <is>
          <t>営業</t>
        </is>
      </c>
      <c r="L4577" t="inlineStr">
        <is>
          <t>19:18:40</t>
        </is>
      </c>
      <c r="M4577" t="inlineStr">
        <is>
          <t>19:19:05</t>
        </is>
      </c>
    </row>
    <row r="4578" ht="15" customHeight="1" s="37">
      <c r="A4578" t="n">
        <v>8</v>
      </c>
      <c r="B4578" s="10" t="inlineStr">
        <is>
          <t>休日</t>
        </is>
      </c>
      <c r="C4578" s="10" t="inlineStr">
        <is>
          <t>本線</t>
        </is>
      </c>
      <c r="D4578" s="10" t="inlineStr">
        <is>
          <t>上り</t>
        </is>
      </c>
      <c r="E4578" t="inlineStr">
        <is>
          <t>1902</t>
        </is>
      </c>
      <c r="F4578" t="inlineStr">
        <is>
          <t>2221</t>
        </is>
      </c>
      <c r="G4578" s="10" t="inlineStr">
        <is>
          <t>西大路三条</t>
        </is>
      </c>
      <c r="H4578" s="10" t="inlineStr">
        <is>
          <t>発</t>
        </is>
      </c>
      <c r="J4578" s="10" t="inlineStr">
        <is>
          <t>営業</t>
        </is>
      </c>
      <c r="L4578" t="inlineStr">
        <is>
          <t>19:20:55</t>
        </is>
      </c>
      <c r="M4578" t="inlineStr">
        <is>
          <t>19:21:15</t>
        </is>
      </c>
    </row>
    <row r="4579" ht="15" customHeight="1" s="37">
      <c r="A4579" t="n">
        <v>8</v>
      </c>
      <c r="B4579" s="10" t="inlineStr">
        <is>
          <t>休日</t>
        </is>
      </c>
      <c r="C4579" s="10" t="inlineStr">
        <is>
          <t>本線</t>
        </is>
      </c>
      <c r="D4579" s="10" t="inlineStr">
        <is>
          <t>上り</t>
        </is>
      </c>
      <c r="E4579" t="inlineStr">
        <is>
          <t>1902</t>
        </is>
      </c>
      <c r="F4579" t="inlineStr">
        <is>
          <t>2221</t>
        </is>
      </c>
      <c r="G4579" s="10" t="inlineStr">
        <is>
          <t>西院</t>
        </is>
      </c>
      <c r="H4579" s="10" t="inlineStr">
        <is>
          <t>発</t>
        </is>
      </c>
      <c r="J4579" s="10" t="inlineStr">
        <is>
          <t>営業</t>
        </is>
      </c>
      <c r="L4579" t="inlineStr">
        <is>
          <t>19:23:10</t>
        </is>
      </c>
      <c r="M4579" t="inlineStr">
        <is>
          <t>19:24:05</t>
        </is>
      </c>
    </row>
    <row r="4580" ht="15" customHeight="1" s="37">
      <c r="A4580" t="n">
        <v>8</v>
      </c>
      <c r="B4580" s="10" t="inlineStr">
        <is>
          <t>休日</t>
        </is>
      </c>
      <c r="C4580" s="10" t="inlineStr">
        <is>
          <t>本線</t>
        </is>
      </c>
      <c r="D4580" s="10" t="inlineStr">
        <is>
          <t>上り</t>
        </is>
      </c>
      <c r="E4580" t="inlineStr">
        <is>
          <t>1902</t>
        </is>
      </c>
      <c r="F4580" t="inlineStr">
        <is>
          <t>2221</t>
        </is>
      </c>
      <c r="G4580" s="10" t="inlineStr">
        <is>
          <t>四条大宮</t>
        </is>
      </c>
      <c r="H4580" s="10" t="inlineStr">
        <is>
          <t>着</t>
        </is>
      </c>
      <c r="J4580" s="10" t="inlineStr">
        <is>
          <t>営業</t>
        </is>
      </c>
      <c r="L4580" t="inlineStr">
        <is>
          <t>19:27:00</t>
        </is>
      </c>
      <c r="Q4580" t="inlineStr">
        <is>
          <t>1</t>
        </is>
      </c>
    </row>
    <row r="4581" ht="15" customHeight="1" s="37">
      <c r="A4581" t="n">
        <v>8</v>
      </c>
      <c r="B4581" s="10" t="inlineStr">
        <is>
          <t>休日</t>
        </is>
      </c>
      <c r="C4581" s="10" t="inlineStr">
        <is>
          <t>本線</t>
        </is>
      </c>
      <c r="D4581" s="10" t="inlineStr">
        <is>
          <t>下り</t>
        </is>
      </c>
      <c r="E4581" t="inlineStr">
        <is>
          <t>1907</t>
        </is>
      </c>
      <c r="F4581" t="inlineStr">
        <is>
          <t>0122</t>
        </is>
      </c>
      <c r="G4581" s="10" t="inlineStr">
        <is>
          <t>四条大宮</t>
        </is>
      </c>
      <c r="H4581" s="10" t="inlineStr">
        <is>
          <t>発</t>
        </is>
      </c>
      <c r="J4581" s="10" t="inlineStr">
        <is>
          <t>営業</t>
        </is>
      </c>
      <c r="M4581" t="inlineStr">
        <is>
          <t>19:33:00</t>
        </is>
      </c>
      <c r="Q4581" t="inlineStr">
        <is>
          <t>1</t>
        </is>
      </c>
    </row>
    <row r="4582" ht="15" customHeight="1" s="37">
      <c r="A4582" t="n">
        <v>8</v>
      </c>
      <c r="B4582" s="10" t="inlineStr">
        <is>
          <t>休日</t>
        </is>
      </c>
      <c r="C4582" s="10" t="inlineStr">
        <is>
          <t>本線</t>
        </is>
      </c>
      <c r="D4582" s="10" t="inlineStr">
        <is>
          <t>下り</t>
        </is>
      </c>
      <c r="E4582" t="inlineStr">
        <is>
          <t>1907</t>
        </is>
      </c>
      <c r="F4582" t="inlineStr">
        <is>
          <t>0122</t>
        </is>
      </c>
      <c r="G4582" s="10" t="inlineStr">
        <is>
          <t>西院</t>
        </is>
      </c>
      <c r="H4582" s="10" t="inlineStr">
        <is>
          <t>発</t>
        </is>
      </c>
      <c r="J4582" s="10" t="inlineStr">
        <is>
          <t>営業</t>
        </is>
      </c>
      <c r="L4582" t="inlineStr">
        <is>
          <t>19:35:50</t>
        </is>
      </c>
      <c r="M4582" t="inlineStr">
        <is>
          <t>19:36:20</t>
        </is>
      </c>
    </row>
    <row r="4583" ht="15" customHeight="1" s="37">
      <c r="A4583" t="n">
        <v>8</v>
      </c>
      <c r="B4583" s="10" t="inlineStr">
        <is>
          <t>休日</t>
        </is>
      </c>
      <c r="C4583" s="10" t="inlineStr">
        <is>
          <t>本線</t>
        </is>
      </c>
      <c r="D4583" s="10" t="inlineStr">
        <is>
          <t>下り</t>
        </is>
      </c>
      <c r="E4583" t="inlineStr">
        <is>
          <t>1907</t>
        </is>
      </c>
      <c r="F4583" t="inlineStr">
        <is>
          <t>0122</t>
        </is>
      </c>
      <c r="G4583" s="10" t="inlineStr">
        <is>
          <t>西大路三条</t>
        </is>
      </c>
      <c r="H4583" s="10" t="inlineStr">
        <is>
          <t>発</t>
        </is>
      </c>
      <c r="J4583" s="10" t="inlineStr">
        <is>
          <t>営業</t>
        </is>
      </c>
      <c r="L4583" t="inlineStr">
        <is>
          <t>19:38:10</t>
        </is>
      </c>
      <c r="M4583" t="inlineStr">
        <is>
          <t>19:38:30</t>
        </is>
      </c>
    </row>
    <row r="4584" ht="15" customHeight="1" s="37">
      <c r="A4584" t="n">
        <v>8</v>
      </c>
      <c r="B4584" s="10" t="inlineStr">
        <is>
          <t>休日</t>
        </is>
      </c>
      <c r="C4584" s="10" t="inlineStr">
        <is>
          <t>本線</t>
        </is>
      </c>
      <c r="D4584" s="10" t="inlineStr">
        <is>
          <t>下り</t>
        </is>
      </c>
      <c r="E4584" t="inlineStr">
        <is>
          <t>1907</t>
        </is>
      </c>
      <c r="F4584" t="inlineStr">
        <is>
          <t>0122</t>
        </is>
      </c>
      <c r="G4584" s="10" t="inlineStr">
        <is>
          <t>山ノ内</t>
        </is>
      </c>
      <c r="H4584" s="10" t="inlineStr">
        <is>
          <t>発</t>
        </is>
      </c>
      <c r="J4584" s="10" t="inlineStr">
        <is>
          <t>営業</t>
        </is>
      </c>
      <c r="L4584" t="inlineStr">
        <is>
          <t>19:40:25</t>
        </is>
      </c>
      <c r="M4584" t="inlineStr">
        <is>
          <t>19:40:50</t>
        </is>
      </c>
    </row>
    <row r="4585" ht="15" customHeight="1" s="37">
      <c r="A4585" t="n">
        <v>8</v>
      </c>
      <c r="B4585" s="10" t="inlineStr">
        <is>
          <t>休日</t>
        </is>
      </c>
      <c r="C4585" s="10" t="inlineStr">
        <is>
          <t>本線</t>
        </is>
      </c>
      <c r="D4585" s="10" t="inlineStr">
        <is>
          <t>下り</t>
        </is>
      </c>
      <c r="E4585" t="inlineStr">
        <is>
          <t>1907</t>
        </is>
      </c>
      <c r="F4585" t="inlineStr">
        <is>
          <t>0122</t>
        </is>
      </c>
      <c r="G4585" s="10" t="inlineStr">
        <is>
          <t>天神川</t>
        </is>
      </c>
      <c r="H4585" s="10" t="inlineStr">
        <is>
          <t>発</t>
        </is>
      </c>
      <c r="J4585" s="10" t="inlineStr">
        <is>
          <t>営業</t>
        </is>
      </c>
      <c r="L4585" t="inlineStr">
        <is>
          <t>19:42:50</t>
        </is>
      </c>
      <c r="M4585" t="inlineStr">
        <is>
          <t>19:43:30</t>
        </is>
      </c>
    </row>
    <row r="4586" ht="15" customHeight="1" s="37">
      <c r="A4586" t="n">
        <v>8</v>
      </c>
      <c r="B4586" s="10" t="inlineStr">
        <is>
          <t>休日</t>
        </is>
      </c>
      <c r="C4586" s="10" t="inlineStr">
        <is>
          <t>本線</t>
        </is>
      </c>
      <c r="D4586" s="10" t="inlineStr">
        <is>
          <t>下り</t>
        </is>
      </c>
      <c r="E4586" t="inlineStr">
        <is>
          <t>1907</t>
        </is>
      </c>
      <c r="F4586" t="inlineStr">
        <is>
          <t>0122</t>
        </is>
      </c>
      <c r="G4586" s="10" t="inlineStr">
        <is>
          <t>蚕ノ社</t>
        </is>
      </c>
      <c r="H4586" s="10" t="inlineStr">
        <is>
          <t>発</t>
        </is>
      </c>
      <c r="J4586" s="10" t="inlineStr">
        <is>
          <t>営業</t>
        </is>
      </c>
      <c r="L4586" t="inlineStr">
        <is>
          <t>19:44:20</t>
        </is>
      </c>
      <c r="M4586" t="inlineStr">
        <is>
          <t>19:44:40</t>
        </is>
      </c>
    </row>
    <row r="4587" ht="15" customHeight="1" s="37">
      <c r="A4587" t="n">
        <v>8</v>
      </c>
      <c r="B4587" s="10" t="inlineStr">
        <is>
          <t>休日</t>
        </is>
      </c>
      <c r="C4587" s="10" t="inlineStr">
        <is>
          <t>本線</t>
        </is>
      </c>
      <c r="D4587" s="10" t="inlineStr">
        <is>
          <t>下り</t>
        </is>
      </c>
      <c r="E4587" t="inlineStr">
        <is>
          <t>1907</t>
        </is>
      </c>
      <c r="F4587" t="inlineStr">
        <is>
          <t>0122</t>
        </is>
      </c>
      <c r="G4587" s="10" t="inlineStr">
        <is>
          <t>太秦広隆寺</t>
        </is>
      </c>
      <c r="H4587" s="10" t="inlineStr">
        <is>
          <t>発</t>
        </is>
      </c>
      <c r="J4587" s="10" t="inlineStr">
        <is>
          <t>営業</t>
        </is>
      </c>
      <c r="L4587" t="inlineStr">
        <is>
          <t>19:46:00</t>
        </is>
      </c>
      <c r="M4587" t="inlineStr">
        <is>
          <t>19:46:20</t>
        </is>
      </c>
    </row>
    <row r="4588" ht="15" customHeight="1" s="37">
      <c r="A4588" t="n">
        <v>8</v>
      </c>
      <c r="B4588" s="10" t="inlineStr">
        <is>
          <t>休日</t>
        </is>
      </c>
      <c r="C4588" s="10" t="inlineStr">
        <is>
          <t>本線</t>
        </is>
      </c>
      <c r="D4588" s="10" t="inlineStr">
        <is>
          <t>下り</t>
        </is>
      </c>
      <c r="E4588" t="inlineStr">
        <is>
          <t>1907</t>
        </is>
      </c>
      <c r="F4588" t="inlineStr">
        <is>
          <t>0122</t>
        </is>
      </c>
      <c r="G4588" s="10" t="inlineStr">
        <is>
          <t>帷子ノ辻</t>
        </is>
      </c>
      <c r="H4588" s="10" t="inlineStr">
        <is>
          <t>発</t>
        </is>
      </c>
      <c r="J4588" s="10" t="inlineStr">
        <is>
          <t>営業</t>
        </is>
      </c>
      <c r="L4588" t="inlineStr">
        <is>
          <t>19:48:20</t>
        </is>
      </c>
      <c r="M4588" t="inlineStr">
        <is>
          <t>19:49:40</t>
        </is>
      </c>
    </row>
    <row r="4589" ht="15" customHeight="1" s="37">
      <c r="A4589" t="n">
        <v>8</v>
      </c>
      <c r="B4589" s="10" t="inlineStr">
        <is>
          <t>休日</t>
        </is>
      </c>
      <c r="C4589" s="10" t="inlineStr">
        <is>
          <t>本線</t>
        </is>
      </c>
      <c r="D4589" s="10" t="inlineStr">
        <is>
          <t>下り</t>
        </is>
      </c>
      <c r="E4589" t="inlineStr">
        <is>
          <t>1907</t>
        </is>
      </c>
      <c r="F4589" t="inlineStr">
        <is>
          <t>0122</t>
        </is>
      </c>
      <c r="G4589" s="10" t="inlineStr">
        <is>
          <t>有栖川</t>
        </is>
      </c>
      <c r="H4589" s="10" t="inlineStr">
        <is>
          <t>発</t>
        </is>
      </c>
      <c r="J4589" s="10" t="inlineStr">
        <is>
          <t>営業</t>
        </is>
      </c>
      <c r="L4589" t="inlineStr">
        <is>
          <t>19:50:50</t>
        </is>
      </c>
      <c r="M4589" t="inlineStr">
        <is>
          <t>19:51:15</t>
        </is>
      </c>
    </row>
    <row r="4590" ht="15" customHeight="1" s="37">
      <c r="A4590" t="n">
        <v>8</v>
      </c>
      <c r="B4590" s="10" t="inlineStr">
        <is>
          <t>休日</t>
        </is>
      </c>
      <c r="C4590" s="10" t="inlineStr">
        <is>
          <t>本線</t>
        </is>
      </c>
      <c r="D4590" s="10" t="inlineStr">
        <is>
          <t>下り</t>
        </is>
      </c>
      <c r="E4590" t="inlineStr">
        <is>
          <t>1907</t>
        </is>
      </c>
      <c r="F4590" t="inlineStr">
        <is>
          <t>0122</t>
        </is>
      </c>
      <c r="G4590" s="10" t="inlineStr">
        <is>
          <t>車折</t>
        </is>
      </c>
      <c r="H4590" s="10" t="inlineStr">
        <is>
          <t>発</t>
        </is>
      </c>
      <c r="J4590" s="10" t="inlineStr">
        <is>
          <t>営業</t>
        </is>
      </c>
      <c r="L4590" t="inlineStr">
        <is>
          <t>19:52:40</t>
        </is>
      </c>
      <c r="M4590" t="inlineStr">
        <is>
          <t>19:53:05</t>
        </is>
      </c>
    </row>
    <row r="4591" ht="15" customHeight="1" s="37">
      <c r="A4591" t="n">
        <v>8</v>
      </c>
      <c r="B4591" s="10" t="inlineStr">
        <is>
          <t>休日</t>
        </is>
      </c>
      <c r="C4591" s="10" t="inlineStr">
        <is>
          <t>本線</t>
        </is>
      </c>
      <c r="D4591" s="10" t="inlineStr">
        <is>
          <t>下り</t>
        </is>
      </c>
      <c r="E4591" t="inlineStr">
        <is>
          <t>1907</t>
        </is>
      </c>
      <c r="F4591" t="inlineStr">
        <is>
          <t>0122</t>
        </is>
      </c>
      <c r="G4591" s="10" t="inlineStr">
        <is>
          <t>鹿王院</t>
        </is>
      </c>
      <c r="H4591" s="10" t="inlineStr">
        <is>
          <t>発</t>
        </is>
      </c>
      <c r="J4591" s="10" t="inlineStr">
        <is>
          <t>営業</t>
        </is>
      </c>
      <c r="L4591" t="inlineStr">
        <is>
          <t>19:54:00</t>
        </is>
      </c>
      <c r="M4591" t="inlineStr">
        <is>
          <t>19:54:25</t>
        </is>
      </c>
    </row>
    <row r="4592" ht="15" customHeight="1" s="37">
      <c r="A4592" t="n">
        <v>8</v>
      </c>
      <c r="B4592" s="10" t="inlineStr">
        <is>
          <t>休日</t>
        </is>
      </c>
      <c r="C4592" s="10" t="inlineStr">
        <is>
          <t>本線</t>
        </is>
      </c>
      <c r="D4592" s="10" t="inlineStr">
        <is>
          <t>下り</t>
        </is>
      </c>
      <c r="E4592" t="inlineStr">
        <is>
          <t>1907</t>
        </is>
      </c>
      <c r="F4592" t="inlineStr">
        <is>
          <t>0122</t>
        </is>
      </c>
      <c r="G4592" s="10" t="inlineStr">
        <is>
          <t>嵯峨</t>
        </is>
      </c>
      <c r="H4592" s="10" t="inlineStr">
        <is>
          <t>発</t>
        </is>
      </c>
      <c r="J4592" s="10" t="inlineStr">
        <is>
          <t>営業</t>
        </is>
      </c>
      <c r="L4592" t="inlineStr">
        <is>
          <t>19:55:30</t>
        </is>
      </c>
      <c r="M4592" t="inlineStr">
        <is>
          <t>19:55:55</t>
        </is>
      </c>
    </row>
    <row r="4593" ht="15" customHeight="1" s="37">
      <c r="A4593" t="n">
        <v>8</v>
      </c>
      <c r="B4593" s="10" t="inlineStr">
        <is>
          <t>休日</t>
        </is>
      </c>
      <c r="C4593" s="10" t="inlineStr">
        <is>
          <t>本線</t>
        </is>
      </c>
      <c r="D4593" s="10" t="inlineStr">
        <is>
          <t>下り</t>
        </is>
      </c>
      <c r="E4593" t="inlineStr">
        <is>
          <t>1907</t>
        </is>
      </c>
      <c r="F4593" t="inlineStr">
        <is>
          <t>0122</t>
        </is>
      </c>
      <c r="G4593" s="10" t="inlineStr">
        <is>
          <t>嵐山</t>
        </is>
      </c>
      <c r="H4593" s="10" t="inlineStr">
        <is>
          <t>着</t>
        </is>
      </c>
      <c r="J4593" s="10" t="inlineStr">
        <is>
          <t>営業</t>
        </is>
      </c>
      <c r="L4593" t="inlineStr">
        <is>
          <t>19:57:00</t>
        </is>
      </c>
      <c r="N4593" t="inlineStr">
        <is>
          <t>○</t>
        </is>
      </c>
      <c r="Q4593" t="inlineStr">
        <is>
          <t>1</t>
        </is>
      </c>
    </row>
    <row r="4594" ht="15" customHeight="1" s="37">
      <c r="A4594" t="n">
        <v>8</v>
      </c>
      <c r="B4594" s="10" t="inlineStr">
        <is>
          <t>休日</t>
        </is>
      </c>
      <c r="C4594" s="10" t="inlineStr">
        <is>
          <t>本線</t>
        </is>
      </c>
      <c r="D4594" s="10" t="inlineStr">
        <is>
          <t>上り</t>
        </is>
      </c>
      <c r="E4594" t="inlineStr">
        <is>
          <t>2002</t>
        </is>
      </c>
      <c r="F4594" t="inlineStr">
        <is>
          <t>0221</t>
        </is>
      </c>
      <c r="G4594" s="10" t="inlineStr">
        <is>
          <t>嵐山</t>
        </is>
      </c>
      <c r="H4594" s="10" t="inlineStr">
        <is>
          <t>発</t>
        </is>
      </c>
      <c r="J4594" s="10" t="inlineStr">
        <is>
          <t>営業</t>
        </is>
      </c>
      <c r="M4594" t="inlineStr">
        <is>
          <t>20:04:00</t>
        </is>
      </c>
      <c r="Q4594" t="inlineStr">
        <is>
          <t>1</t>
        </is>
      </c>
    </row>
    <row r="4595" ht="15" customHeight="1" s="37">
      <c r="A4595" t="n">
        <v>8</v>
      </c>
      <c r="B4595" s="10" t="inlineStr">
        <is>
          <t>休日</t>
        </is>
      </c>
      <c r="C4595" s="10" t="inlineStr">
        <is>
          <t>本線</t>
        </is>
      </c>
      <c r="D4595" s="10" t="inlineStr">
        <is>
          <t>上り</t>
        </is>
      </c>
      <c r="E4595" t="inlineStr">
        <is>
          <t>2002</t>
        </is>
      </c>
      <c r="F4595" t="inlineStr">
        <is>
          <t>0221</t>
        </is>
      </c>
      <c r="G4595" s="10" t="inlineStr">
        <is>
          <t>嵯峨</t>
        </is>
      </c>
      <c r="H4595" s="10" t="inlineStr">
        <is>
          <t>発</t>
        </is>
      </c>
      <c r="J4595" s="10" t="inlineStr">
        <is>
          <t>営業</t>
        </is>
      </c>
      <c r="L4595" t="inlineStr">
        <is>
          <t>20:04:55</t>
        </is>
      </c>
      <c r="M4595" t="inlineStr">
        <is>
          <t>20:05:10</t>
        </is>
      </c>
    </row>
    <row r="4596" ht="15" customHeight="1" s="37">
      <c r="A4596" t="n">
        <v>8</v>
      </c>
      <c r="B4596" s="10" t="inlineStr">
        <is>
          <t>休日</t>
        </is>
      </c>
      <c r="C4596" s="10" t="inlineStr">
        <is>
          <t>本線</t>
        </is>
      </c>
      <c r="D4596" s="10" t="inlineStr">
        <is>
          <t>上り</t>
        </is>
      </c>
      <c r="E4596" t="inlineStr">
        <is>
          <t>2002</t>
        </is>
      </c>
      <c r="F4596" t="inlineStr">
        <is>
          <t>0221</t>
        </is>
      </c>
      <c r="G4596" s="10" t="inlineStr">
        <is>
          <t>鹿王院</t>
        </is>
      </c>
      <c r="H4596" s="10" t="inlineStr">
        <is>
          <t>発</t>
        </is>
      </c>
      <c r="J4596" s="10" t="inlineStr">
        <is>
          <t>営業</t>
        </is>
      </c>
      <c r="L4596" t="inlineStr">
        <is>
          <t>20:06:15</t>
        </is>
      </c>
      <c r="M4596" t="inlineStr">
        <is>
          <t>20:06:30</t>
        </is>
      </c>
    </row>
    <row r="4597" ht="15" customHeight="1" s="37">
      <c r="A4597" t="n">
        <v>8</v>
      </c>
      <c r="B4597" s="10" t="inlineStr">
        <is>
          <t>休日</t>
        </is>
      </c>
      <c r="C4597" s="10" t="inlineStr">
        <is>
          <t>本線</t>
        </is>
      </c>
      <c r="D4597" s="10" t="inlineStr">
        <is>
          <t>上り</t>
        </is>
      </c>
      <c r="E4597" t="inlineStr">
        <is>
          <t>2002</t>
        </is>
      </c>
      <c r="F4597" t="inlineStr">
        <is>
          <t>0221</t>
        </is>
      </c>
      <c r="G4597" s="10" t="inlineStr">
        <is>
          <t>車折</t>
        </is>
      </c>
      <c r="H4597" s="10" t="inlineStr">
        <is>
          <t>発</t>
        </is>
      </c>
      <c r="J4597" s="10" t="inlineStr">
        <is>
          <t>営業</t>
        </is>
      </c>
      <c r="L4597" t="inlineStr">
        <is>
          <t>20:07:25</t>
        </is>
      </c>
      <c r="M4597" t="inlineStr">
        <is>
          <t>20:07:40</t>
        </is>
      </c>
    </row>
    <row r="4598" ht="15" customHeight="1" s="37">
      <c r="A4598" t="n">
        <v>8</v>
      </c>
      <c r="B4598" s="10" t="inlineStr">
        <is>
          <t>休日</t>
        </is>
      </c>
      <c r="C4598" s="10" t="inlineStr">
        <is>
          <t>本線</t>
        </is>
      </c>
      <c r="D4598" s="10" t="inlineStr">
        <is>
          <t>上り</t>
        </is>
      </c>
      <c r="E4598" t="inlineStr">
        <is>
          <t>2002</t>
        </is>
      </c>
      <c r="F4598" t="inlineStr">
        <is>
          <t>0221</t>
        </is>
      </c>
      <c r="G4598" s="10" t="inlineStr">
        <is>
          <t>有栖川</t>
        </is>
      </c>
      <c r="H4598" s="10" t="inlineStr">
        <is>
          <t>発</t>
        </is>
      </c>
      <c r="J4598" s="10" t="inlineStr">
        <is>
          <t>営業</t>
        </is>
      </c>
      <c r="L4598" t="inlineStr">
        <is>
          <t>20:09:05</t>
        </is>
      </c>
      <c r="M4598" t="inlineStr">
        <is>
          <t>20:09:20</t>
        </is>
      </c>
    </row>
    <row r="4599" ht="15" customHeight="1" s="37">
      <c r="A4599" t="n">
        <v>8</v>
      </c>
      <c r="B4599" s="10" t="inlineStr">
        <is>
          <t>休日</t>
        </is>
      </c>
      <c r="C4599" s="10" t="inlineStr">
        <is>
          <t>本線</t>
        </is>
      </c>
      <c r="D4599" s="10" t="inlineStr">
        <is>
          <t>上り</t>
        </is>
      </c>
      <c r="E4599" t="inlineStr">
        <is>
          <t>2002</t>
        </is>
      </c>
      <c r="F4599" t="inlineStr">
        <is>
          <t>0221</t>
        </is>
      </c>
      <c r="G4599" s="10" t="inlineStr">
        <is>
          <t>帷子ノ辻</t>
        </is>
      </c>
      <c r="H4599" s="10" t="inlineStr">
        <is>
          <t>発</t>
        </is>
      </c>
      <c r="J4599" s="10" t="inlineStr">
        <is>
          <t>営業</t>
        </is>
      </c>
      <c r="L4599" t="inlineStr">
        <is>
          <t>20:10:35</t>
        </is>
      </c>
      <c r="M4599" t="inlineStr">
        <is>
          <t>20:11:05</t>
        </is>
      </c>
    </row>
    <row r="4600" ht="15" customHeight="1" s="37">
      <c r="A4600" t="n">
        <v>8</v>
      </c>
      <c r="B4600" s="10" t="inlineStr">
        <is>
          <t>休日</t>
        </is>
      </c>
      <c r="C4600" s="10" t="inlineStr">
        <is>
          <t>本線</t>
        </is>
      </c>
      <c r="D4600" s="10" t="inlineStr">
        <is>
          <t>上り</t>
        </is>
      </c>
      <c r="E4600" t="inlineStr">
        <is>
          <t>2002</t>
        </is>
      </c>
      <c r="F4600" t="inlineStr">
        <is>
          <t>0221</t>
        </is>
      </c>
      <c r="G4600" s="10" t="inlineStr">
        <is>
          <t>太秦広隆寺</t>
        </is>
      </c>
      <c r="H4600" s="10" t="inlineStr">
        <is>
          <t>発</t>
        </is>
      </c>
      <c r="J4600" s="10" t="inlineStr">
        <is>
          <t>営業</t>
        </is>
      </c>
      <c r="L4600" t="inlineStr">
        <is>
          <t>20:13:15</t>
        </is>
      </c>
      <c r="M4600" t="inlineStr">
        <is>
          <t>20:13:35</t>
        </is>
      </c>
    </row>
    <row r="4601" ht="15" customHeight="1" s="37">
      <c r="A4601" t="n">
        <v>8</v>
      </c>
      <c r="B4601" s="10" t="inlineStr">
        <is>
          <t>休日</t>
        </is>
      </c>
      <c r="C4601" s="10" t="inlineStr">
        <is>
          <t>本線</t>
        </is>
      </c>
      <c r="D4601" s="10" t="inlineStr">
        <is>
          <t>上り</t>
        </is>
      </c>
      <c r="E4601" t="inlineStr">
        <is>
          <t>2002</t>
        </is>
      </c>
      <c r="F4601" t="inlineStr">
        <is>
          <t>0221</t>
        </is>
      </c>
      <c r="G4601" s="10" t="inlineStr">
        <is>
          <t>蚕ノ社</t>
        </is>
      </c>
      <c r="H4601" s="10" t="inlineStr">
        <is>
          <t>発</t>
        </is>
      </c>
      <c r="J4601" s="10" t="inlineStr">
        <is>
          <t>営業</t>
        </is>
      </c>
      <c r="L4601" t="inlineStr">
        <is>
          <t>20:14:50</t>
        </is>
      </c>
      <c r="M4601" t="inlineStr">
        <is>
          <t>20:15:10</t>
        </is>
      </c>
    </row>
    <row r="4602" ht="15" customHeight="1" s="37">
      <c r="A4602" t="n">
        <v>8</v>
      </c>
      <c r="B4602" s="10" t="inlineStr">
        <is>
          <t>休日</t>
        </is>
      </c>
      <c r="C4602" s="10" t="inlineStr">
        <is>
          <t>本線</t>
        </is>
      </c>
      <c r="D4602" s="10" t="inlineStr">
        <is>
          <t>上り</t>
        </is>
      </c>
      <c r="E4602" t="inlineStr">
        <is>
          <t>2002</t>
        </is>
      </c>
      <c r="F4602" t="inlineStr">
        <is>
          <t>0221</t>
        </is>
      </c>
      <c r="G4602" s="10" t="inlineStr">
        <is>
          <t>天神川</t>
        </is>
      </c>
      <c r="H4602" s="10" t="inlineStr">
        <is>
          <t>発</t>
        </is>
      </c>
      <c r="J4602" s="10" t="inlineStr">
        <is>
          <t>営業</t>
        </is>
      </c>
      <c r="L4602" t="inlineStr">
        <is>
          <t>20:15:55</t>
        </is>
      </c>
      <c r="M4602" t="inlineStr">
        <is>
          <t>20:16:20</t>
        </is>
      </c>
    </row>
    <row r="4603" ht="15" customHeight="1" s="37">
      <c r="A4603" t="n">
        <v>8</v>
      </c>
      <c r="B4603" s="10" t="inlineStr">
        <is>
          <t>休日</t>
        </is>
      </c>
      <c r="C4603" s="10" t="inlineStr">
        <is>
          <t>本線</t>
        </is>
      </c>
      <c r="D4603" s="10" t="inlineStr">
        <is>
          <t>上り</t>
        </is>
      </c>
      <c r="E4603" t="inlineStr">
        <is>
          <t>2002</t>
        </is>
      </c>
      <c r="F4603" t="inlineStr">
        <is>
          <t>0221</t>
        </is>
      </c>
      <c r="G4603" s="10" t="inlineStr">
        <is>
          <t>山ノ内</t>
        </is>
      </c>
      <c r="H4603" s="10" t="inlineStr">
        <is>
          <t>発</t>
        </is>
      </c>
      <c r="J4603" s="10" t="inlineStr">
        <is>
          <t>営業</t>
        </is>
      </c>
      <c r="L4603" t="inlineStr">
        <is>
          <t>20:18:10</t>
        </is>
      </c>
      <c r="M4603" t="inlineStr">
        <is>
          <t>20:18:35</t>
        </is>
      </c>
    </row>
    <row r="4604" ht="15" customHeight="1" s="37">
      <c r="A4604" t="n">
        <v>8</v>
      </c>
      <c r="B4604" s="10" t="inlineStr">
        <is>
          <t>休日</t>
        </is>
      </c>
      <c r="C4604" s="10" t="inlineStr">
        <is>
          <t>本線</t>
        </is>
      </c>
      <c r="D4604" s="10" t="inlineStr">
        <is>
          <t>上り</t>
        </is>
      </c>
      <c r="E4604" t="inlineStr">
        <is>
          <t>2002</t>
        </is>
      </c>
      <c r="F4604" t="inlineStr">
        <is>
          <t>0221</t>
        </is>
      </c>
      <c r="G4604" s="10" t="inlineStr">
        <is>
          <t>西大路三条</t>
        </is>
      </c>
      <c r="H4604" s="10" t="inlineStr">
        <is>
          <t>発</t>
        </is>
      </c>
      <c r="J4604" s="10" t="inlineStr">
        <is>
          <t>営業</t>
        </is>
      </c>
      <c r="L4604" t="inlineStr">
        <is>
          <t>20:20:25</t>
        </is>
      </c>
      <c r="M4604" t="inlineStr">
        <is>
          <t>20:20:40</t>
        </is>
      </c>
    </row>
    <row r="4605" ht="15" customHeight="1" s="37">
      <c r="A4605" t="n">
        <v>8</v>
      </c>
      <c r="B4605" s="10" t="inlineStr">
        <is>
          <t>休日</t>
        </is>
      </c>
      <c r="C4605" s="10" t="inlineStr">
        <is>
          <t>本線</t>
        </is>
      </c>
      <c r="D4605" s="10" t="inlineStr">
        <is>
          <t>上り</t>
        </is>
      </c>
      <c r="E4605" t="inlineStr">
        <is>
          <t>2002</t>
        </is>
      </c>
      <c r="F4605" t="inlineStr">
        <is>
          <t>0221</t>
        </is>
      </c>
      <c r="G4605" s="10" t="inlineStr">
        <is>
          <t>西院</t>
        </is>
      </c>
      <c r="H4605" s="10" t="inlineStr">
        <is>
          <t>着</t>
        </is>
      </c>
      <c r="J4605" s="10" t="inlineStr">
        <is>
          <t>営業</t>
        </is>
      </c>
      <c r="L4605" t="inlineStr">
        <is>
          <t>20:22:35</t>
        </is>
      </c>
      <c r="M4605" t="inlineStr">
        <is>
          <t>20:23:05</t>
        </is>
      </c>
      <c r="T4605" t="inlineStr">
        <is>
          <t>○</t>
        </is>
      </c>
    </row>
    <row r="4606" ht="15" customHeight="1" s="37">
      <c r="A4606" t="n">
        <v>9</v>
      </c>
      <c r="B4606" s="10" t="inlineStr">
        <is>
          <t>休日</t>
        </is>
      </c>
      <c r="C4606" s="10" t="inlineStr">
        <is>
          <t>本線</t>
        </is>
      </c>
      <c r="D4606" s="10" t="inlineStr">
        <is>
          <t>下り</t>
        </is>
      </c>
      <c r="E4606" t="inlineStr">
        <is>
          <t>1801</t>
        </is>
      </c>
      <c r="F4606" t="inlineStr">
        <is>
          <t>0122</t>
        </is>
      </c>
      <c r="G4606" s="10" t="inlineStr">
        <is>
          <t>西院</t>
        </is>
      </c>
      <c r="H4606" s="10" t="inlineStr">
        <is>
          <t>発</t>
        </is>
      </c>
      <c r="J4606" s="10" t="inlineStr">
        <is>
          <t>営業</t>
        </is>
      </c>
      <c r="L4606" t="inlineStr">
        <is>
          <t>18:05:50</t>
        </is>
      </c>
      <c r="M4606" t="inlineStr">
        <is>
          <t>18:06:20</t>
        </is>
      </c>
    </row>
    <row r="4607" ht="15" customHeight="1" s="37">
      <c r="A4607" t="n">
        <v>9</v>
      </c>
      <c r="B4607" s="10" t="inlineStr">
        <is>
          <t>休日</t>
        </is>
      </c>
      <c r="C4607" s="10" t="inlineStr">
        <is>
          <t>本線</t>
        </is>
      </c>
      <c r="D4607" s="10" t="inlineStr">
        <is>
          <t>下り</t>
        </is>
      </c>
      <c r="E4607" t="inlineStr">
        <is>
          <t>1801</t>
        </is>
      </c>
      <c r="F4607" t="inlineStr">
        <is>
          <t>0122</t>
        </is>
      </c>
      <c r="G4607" s="10" t="inlineStr">
        <is>
          <t>西大路三条</t>
        </is>
      </c>
      <c r="H4607" s="10" t="inlineStr">
        <is>
          <t>発</t>
        </is>
      </c>
      <c r="J4607" s="10" t="inlineStr">
        <is>
          <t>営業</t>
        </is>
      </c>
      <c r="L4607" t="inlineStr">
        <is>
          <t>18:08:10</t>
        </is>
      </c>
      <c r="M4607" t="inlineStr">
        <is>
          <t>18:08:30</t>
        </is>
      </c>
    </row>
    <row r="4608" ht="15" customHeight="1" s="37">
      <c r="A4608" t="n">
        <v>9</v>
      </c>
      <c r="B4608" s="10" t="inlineStr">
        <is>
          <t>休日</t>
        </is>
      </c>
      <c r="C4608" s="10" t="inlineStr">
        <is>
          <t>本線</t>
        </is>
      </c>
      <c r="D4608" s="10" t="inlineStr">
        <is>
          <t>下り</t>
        </is>
      </c>
      <c r="E4608" t="inlineStr">
        <is>
          <t>1801</t>
        </is>
      </c>
      <c r="F4608" t="inlineStr">
        <is>
          <t>0122</t>
        </is>
      </c>
      <c r="G4608" s="10" t="inlineStr">
        <is>
          <t>山ノ内</t>
        </is>
      </c>
      <c r="H4608" s="10" t="inlineStr">
        <is>
          <t>発</t>
        </is>
      </c>
      <c r="J4608" s="10" t="inlineStr">
        <is>
          <t>営業</t>
        </is>
      </c>
      <c r="L4608" t="inlineStr">
        <is>
          <t>18:10:25</t>
        </is>
      </c>
      <c r="M4608" t="inlineStr">
        <is>
          <t>18:10:50</t>
        </is>
      </c>
    </row>
    <row r="4609" ht="15" customHeight="1" s="37">
      <c r="A4609" t="n">
        <v>9</v>
      </c>
      <c r="B4609" s="10" t="inlineStr">
        <is>
          <t>休日</t>
        </is>
      </c>
      <c r="C4609" s="10" t="inlineStr">
        <is>
          <t>本線</t>
        </is>
      </c>
      <c r="D4609" s="10" t="inlineStr">
        <is>
          <t>下り</t>
        </is>
      </c>
      <c r="E4609" t="inlineStr">
        <is>
          <t>1801</t>
        </is>
      </c>
      <c r="F4609" t="inlineStr">
        <is>
          <t>0122</t>
        </is>
      </c>
      <c r="G4609" s="10" t="inlineStr">
        <is>
          <t>天神川</t>
        </is>
      </c>
      <c r="H4609" s="10" t="inlineStr">
        <is>
          <t>発</t>
        </is>
      </c>
      <c r="J4609" s="10" t="inlineStr">
        <is>
          <t>営業</t>
        </is>
      </c>
      <c r="L4609" t="inlineStr">
        <is>
          <t>18:12:50</t>
        </is>
      </c>
      <c r="M4609" t="inlineStr">
        <is>
          <t>18:13:30</t>
        </is>
      </c>
    </row>
    <row r="4610" ht="15" customHeight="1" s="37">
      <c r="A4610" t="n">
        <v>9</v>
      </c>
      <c r="B4610" s="10" t="inlineStr">
        <is>
          <t>休日</t>
        </is>
      </c>
      <c r="C4610" s="10" t="inlineStr">
        <is>
          <t>本線</t>
        </is>
      </c>
      <c r="D4610" s="10" t="inlineStr">
        <is>
          <t>下り</t>
        </is>
      </c>
      <c r="E4610" t="inlineStr">
        <is>
          <t>1801</t>
        </is>
      </c>
      <c r="F4610" t="inlineStr">
        <is>
          <t>0122</t>
        </is>
      </c>
      <c r="G4610" s="10" t="inlineStr">
        <is>
          <t>蚕ノ社</t>
        </is>
      </c>
      <c r="H4610" s="10" t="inlineStr">
        <is>
          <t>発</t>
        </is>
      </c>
      <c r="J4610" s="10" t="inlineStr">
        <is>
          <t>営業</t>
        </is>
      </c>
      <c r="L4610" t="inlineStr">
        <is>
          <t>18:14:20</t>
        </is>
      </c>
      <c r="M4610" t="inlineStr">
        <is>
          <t>18:14:40</t>
        </is>
      </c>
    </row>
    <row r="4611" ht="15" customHeight="1" s="37">
      <c r="A4611" t="n">
        <v>9</v>
      </c>
      <c r="B4611" s="10" t="inlineStr">
        <is>
          <t>休日</t>
        </is>
      </c>
      <c r="C4611" s="10" t="inlineStr">
        <is>
          <t>本線</t>
        </is>
      </c>
      <c r="D4611" s="10" t="inlineStr">
        <is>
          <t>下り</t>
        </is>
      </c>
      <c r="E4611" t="inlineStr">
        <is>
          <t>1801</t>
        </is>
      </c>
      <c r="F4611" t="inlineStr">
        <is>
          <t>0122</t>
        </is>
      </c>
      <c r="G4611" s="10" t="inlineStr">
        <is>
          <t>太秦広隆寺</t>
        </is>
      </c>
      <c r="H4611" s="10" t="inlineStr">
        <is>
          <t>発</t>
        </is>
      </c>
      <c r="J4611" s="10" t="inlineStr">
        <is>
          <t>営業</t>
        </is>
      </c>
      <c r="L4611" t="inlineStr">
        <is>
          <t>18:16:00</t>
        </is>
      </c>
      <c r="M4611" t="inlineStr">
        <is>
          <t>18:16:20</t>
        </is>
      </c>
    </row>
    <row r="4612" ht="15" customHeight="1" s="37">
      <c r="A4612" t="n">
        <v>9</v>
      </c>
      <c r="B4612" s="10" t="inlineStr">
        <is>
          <t>休日</t>
        </is>
      </c>
      <c r="C4612" s="10" t="inlineStr">
        <is>
          <t>本線</t>
        </is>
      </c>
      <c r="D4612" s="10" t="inlineStr">
        <is>
          <t>下り</t>
        </is>
      </c>
      <c r="E4612" t="inlineStr">
        <is>
          <t>1801</t>
        </is>
      </c>
      <c r="F4612" t="inlineStr">
        <is>
          <t>0122</t>
        </is>
      </c>
      <c r="G4612" s="10" t="inlineStr">
        <is>
          <t>帷子ノ辻</t>
        </is>
      </c>
      <c r="H4612" s="10" t="inlineStr">
        <is>
          <t>発</t>
        </is>
      </c>
      <c r="J4612" s="10" t="inlineStr">
        <is>
          <t>営業</t>
        </is>
      </c>
      <c r="L4612" t="inlineStr">
        <is>
          <t>18:18:20</t>
        </is>
      </c>
      <c r="M4612" t="inlineStr">
        <is>
          <t>18:19:40</t>
        </is>
      </c>
    </row>
    <row r="4613" ht="15" customHeight="1" s="37">
      <c r="A4613" t="n">
        <v>9</v>
      </c>
      <c r="B4613" s="10" t="inlineStr">
        <is>
          <t>休日</t>
        </is>
      </c>
      <c r="C4613" s="10" t="inlineStr">
        <is>
          <t>本線</t>
        </is>
      </c>
      <c r="D4613" s="10" t="inlineStr">
        <is>
          <t>下り</t>
        </is>
      </c>
      <c r="E4613" t="inlineStr">
        <is>
          <t>1801</t>
        </is>
      </c>
      <c r="F4613" t="inlineStr">
        <is>
          <t>0122</t>
        </is>
      </c>
      <c r="G4613" s="10" t="inlineStr">
        <is>
          <t>有栖川</t>
        </is>
      </c>
      <c r="H4613" s="10" t="inlineStr">
        <is>
          <t>発</t>
        </is>
      </c>
      <c r="J4613" s="10" t="inlineStr">
        <is>
          <t>営業</t>
        </is>
      </c>
      <c r="L4613" t="inlineStr">
        <is>
          <t>18:20:50</t>
        </is>
      </c>
      <c r="M4613" t="inlineStr">
        <is>
          <t>18:21:15</t>
        </is>
      </c>
    </row>
    <row r="4614" ht="15" customHeight="1" s="37">
      <c r="A4614" t="n">
        <v>9</v>
      </c>
      <c r="B4614" s="10" t="inlineStr">
        <is>
          <t>休日</t>
        </is>
      </c>
      <c r="C4614" s="10" t="inlineStr">
        <is>
          <t>本線</t>
        </is>
      </c>
      <c r="D4614" s="10" t="inlineStr">
        <is>
          <t>下り</t>
        </is>
      </c>
      <c r="E4614" t="inlineStr">
        <is>
          <t>1801</t>
        </is>
      </c>
      <c r="F4614" t="inlineStr">
        <is>
          <t>0122</t>
        </is>
      </c>
      <c r="G4614" s="10" t="inlineStr">
        <is>
          <t>車折</t>
        </is>
      </c>
      <c r="H4614" s="10" t="inlineStr">
        <is>
          <t>発</t>
        </is>
      </c>
      <c r="J4614" s="10" t="inlineStr">
        <is>
          <t>営業</t>
        </is>
      </c>
      <c r="L4614" t="inlineStr">
        <is>
          <t>18:22:40</t>
        </is>
      </c>
      <c r="M4614" t="inlineStr">
        <is>
          <t>18:23:05</t>
        </is>
      </c>
    </row>
    <row r="4615" ht="15" customHeight="1" s="37">
      <c r="A4615" t="n">
        <v>9</v>
      </c>
      <c r="B4615" s="10" t="inlineStr">
        <is>
          <t>休日</t>
        </is>
      </c>
      <c r="C4615" s="10" t="inlineStr">
        <is>
          <t>本線</t>
        </is>
      </c>
      <c r="D4615" s="10" t="inlineStr">
        <is>
          <t>下り</t>
        </is>
      </c>
      <c r="E4615" t="inlineStr">
        <is>
          <t>1801</t>
        </is>
      </c>
      <c r="F4615" t="inlineStr">
        <is>
          <t>0122</t>
        </is>
      </c>
      <c r="G4615" s="10" t="inlineStr">
        <is>
          <t>鹿王院</t>
        </is>
      </c>
      <c r="H4615" s="10" t="inlineStr">
        <is>
          <t>発</t>
        </is>
      </c>
      <c r="J4615" s="10" t="inlineStr">
        <is>
          <t>営業</t>
        </is>
      </c>
      <c r="L4615" t="inlineStr">
        <is>
          <t>18:24:00</t>
        </is>
      </c>
      <c r="M4615" t="inlineStr">
        <is>
          <t>18:24:25</t>
        </is>
      </c>
    </row>
    <row r="4616" ht="15" customHeight="1" s="37">
      <c r="A4616" t="n">
        <v>9</v>
      </c>
      <c r="B4616" s="10" t="inlineStr">
        <is>
          <t>休日</t>
        </is>
      </c>
      <c r="C4616" s="10" t="inlineStr">
        <is>
          <t>本線</t>
        </is>
      </c>
      <c r="D4616" s="10" t="inlineStr">
        <is>
          <t>下り</t>
        </is>
      </c>
      <c r="E4616" t="inlineStr">
        <is>
          <t>1801</t>
        </is>
      </c>
      <c r="F4616" t="inlineStr">
        <is>
          <t>0122</t>
        </is>
      </c>
      <c r="G4616" s="10" t="inlineStr">
        <is>
          <t>嵯峨</t>
        </is>
      </c>
      <c r="H4616" s="10" t="inlineStr">
        <is>
          <t>発</t>
        </is>
      </c>
      <c r="J4616" s="10" t="inlineStr">
        <is>
          <t>営業</t>
        </is>
      </c>
      <c r="L4616" t="inlineStr">
        <is>
          <t>18:25:30</t>
        </is>
      </c>
      <c r="M4616" t="inlineStr">
        <is>
          <t>18:25:55</t>
        </is>
      </c>
    </row>
    <row r="4617" ht="15" customHeight="1" s="37">
      <c r="A4617" t="n">
        <v>9</v>
      </c>
      <c r="B4617" s="10" t="inlineStr">
        <is>
          <t>休日</t>
        </is>
      </c>
      <c r="C4617" s="10" t="inlineStr">
        <is>
          <t>本線</t>
        </is>
      </c>
      <c r="D4617" s="10" t="inlineStr">
        <is>
          <t>下り</t>
        </is>
      </c>
      <c r="E4617" t="inlineStr">
        <is>
          <t>1801</t>
        </is>
      </c>
      <c r="F4617" t="inlineStr">
        <is>
          <t>0122</t>
        </is>
      </c>
      <c r="G4617" s="10" t="inlineStr">
        <is>
          <t>嵐山</t>
        </is>
      </c>
      <c r="H4617" s="10" t="inlineStr">
        <is>
          <t>着</t>
        </is>
      </c>
      <c r="J4617" s="10" t="inlineStr">
        <is>
          <t>営業</t>
        </is>
      </c>
      <c r="L4617" t="inlineStr">
        <is>
          <t>18:27:00</t>
        </is>
      </c>
      <c r="N4617" t="inlineStr">
        <is>
          <t>○</t>
        </is>
      </c>
      <c r="Q4617" t="inlineStr">
        <is>
          <t>1</t>
        </is>
      </c>
    </row>
    <row r="4618" ht="15" customHeight="1" s="37">
      <c r="A4618" t="n">
        <v>9</v>
      </c>
      <c r="B4618" s="10" t="inlineStr">
        <is>
          <t>休日</t>
        </is>
      </c>
      <c r="C4618" s="10" t="inlineStr">
        <is>
          <t>本線</t>
        </is>
      </c>
      <c r="D4618" s="10" t="inlineStr">
        <is>
          <t>上り</t>
        </is>
      </c>
      <c r="E4618" t="inlineStr">
        <is>
          <t>1808</t>
        </is>
      </c>
      <c r="F4618" t="inlineStr">
        <is>
          <t>2221</t>
        </is>
      </c>
      <c r="G4618" s="10" t="inlineStr">
        <is>
          <t>嵐山</t>
        </is>
      </c>
      <c r="H4618" s="10" t="inlineStr">
        <is>
          <t>発</t>
        </is>
      </c>
      <c r="J4618" s="10" t="inlineStr">
        <is>
          <t>営業</t>
        </is>
      </c>
      <c r="M4618" t="inlineStr">
        <is>
          <t>18:33:00</t>
        </is>
      </c>
      <c r="Q4618" t="inlineStr">
        <is>
          <t>1</t>
        </is>
      </c>
    </row>
    <row r="4619" ht="15" customHeight="1" s="37">
      <c r="A4619" t="n">
        <v>9</v>
      </c>
      <c r="B4619" s="10" t="inlineStr">
        <is>
          <t>休日</t>
        </is>
      </c>
      <c r="C4619" s="10" t="inlineStr">
        <is>
          <t>本線</t>
        </is>
      </c>
      <c r="D4619" s="10" t="inlineStr">
        <is>
          <t>上り</t>
        </is>
      </c>
      <c r="E4619" t="inlineStr">
        <is>
          <t>1808</t>
        </is>
      </c>
      <c r="F4619" t="inlineStr">
        <is>
          <t>2221</t>
        </is>
      </c>
      <c r="G4619" s="10" t="inlineStr">
        <is>
          <t>嵯峨</t>
        </is>
      </c>
      <c r="H4619" s="10" t="inlineStr">
        <is>
          <t>発</t>
        </is>
      </c>
      <c r="J4619" s="10" t="inlineStr">
        <is>
          <t>営業</t>
        </is>
      </c>
      <c r="L4619" t="inlineStr">
        <is>
          <t>18:33:55</t>
        </is>
      </c>
      <c r="M4619" t="inlineStr">
        <is>
          <t>18:34:20</t>
        </is>
      </c>
    </row>
    <row r="4620" ht="15" customHeight="1" s="37">
      <c r="A4620" t="n">
        <v>9</v>
      </c>
      <c r="B4620" s="10" t="inlineStr">
        <is>
          <t>休日</t>
        </is>
      </c>
      <c r="C4620" s="10" t="inlineStr">
        <is>
          <t>本線</t>
        </is>
      </c>
      <c r="D4620" s="10" t="inlineStr">
        <is>
          <t>上り</t>
        </is>
      </c>
      <c r="E4620" t="inlineStr">
        <is>
          <t>1808</t>
        </is>
      </c>
      <c r="F4620" t="inlineStr">
        <is>
          <t>2221</t>
        </is>
      </c>
      <c r="G4620" s="10" t="inlineStr">
        <is>
          <t>鹿王院</t>
        </is>
      </c>
      <c r="H4620" s="10" t="inlineStr">
        <is>
          <t>発</t>
        </is>
      </c>
      <c r="J4620" s="10" t="inlineStr">
        <is>
          <t>営業</t>
        </is>
      </c>
      <c r="L4620" t="inlineStr">
        <is>
          <t>18:35:25</t>
        </is>
      </c>
      <c r="M4620" t="inlineStr">
        <is>
          <t>18:35:45</t>
        </is>
      </c>
    </row>
    <row r="4621" ht="15" customHeight="1" s="37">
      <c r="A4621" t="n">
        <v>9</v>
      </c>
      <c r="B4621" s="10" t="inlineStr">
        <is>
          <t>休日</t>
        </is>
      </c>
      <c r="C4621" s="10" t="inlineStr">
        <is>
          <t>本線</t>
        </is>
      </c>
      <c r="D4621" s="10" t="inlineStr">
        <is>
          <t>上り</t>
        </is>
      </c>
      <c r="E4621" t="inlineStr">
        <is>
          <t>1808</t>
        </is>
      </c>
      <c r="F4621" t="inlineStr">
        <is>
          <t>2221</t>
        </is>
      </c>
      <c r="G4621" s="10" t="inlineStr">
        <is>
          <t>車折</t>
        </is>
      </c>
      <c r="H4621" s="10" t="inlineStr">
        <is>
          <t>発</t>
        </is>
      </c>
      <c r="J4621" s="10" t="inlineStr">
        <is>
          <t>営業</t>
        </is>
      </c>
      <c r="L4621" t="inlineStr">
        <is>
          <t>18:36:40</t>
        </is>
      </c>
      <c r="M4621" t="inlineStr">
        <is>
          <t>18:37:10</t>
        </is>
      </c>
    </row>
    <row r="4622" ht="15" customHeight="1" s="37">
      <c r="A4622" t="n">
        <v>9</v>
      </c>
      <c r="B4622" s="10" t="inlineStr">
        <is>
          <t>休日</t>
        </is>
      </c>
      <c r="C4622" s="10" t="inlineStr">
        <is>
          <t>本線</t>
        </is>
      </c>
      <c r="D4622" s="10" t="inlineStr">
        <is>
          <t>上り</t>
        </is>
      </c>
      <c r="E4622" t="inlineStr">
        <is>
          <t>1808</t>
        </is>
      </c>
      <c r="F4622" t="inlineStr">
        <is>
          <t>2221</t>
        </is>
      </c>
      <c r="G4622" s="10" t="inlineStr">
        <is>
          <t>有栖川</t>
        </is>
      </c>
      <c r="H4622" s="10" t="inlineStr">
        <is>
          <t>発</t>
        </is>
      </c>
      <c r="J4622" s="10" t="inlineStr">
        <is>
          <t>営業</t>
        </is>
      </c>
      <c r="L4622" t="inlineStr">
        <is>
          <t>18:38:35</t>
        </is>
      </c>
      <c r="M4622" t="inlineStr">
        <is>
          <t>18:38:55</t>
        </is>
      </c>
    </row>
    <row r="4623" ht="15" customHeight="1" s="37">
      <c r="A4623" t="n">
        <v>9</v>
      </c>
      <c r="B4623" s="10" t="inlineStr">
        <is>
          <t>休日</t>
        </is>
      </c>
      <c r="C4623" s="10" t="inlineStr">
        <is>
          <t>本線</t>
        </is>
      </c>
      <c r="D4623" s="10" t="inlineStr">
        <is>
          <t>上り</t>
        </is>
      </c>
      <c r="E4623" t="inlineStr">
        <is>
          <t>1808</t>
        </is>
      </c>
      <c r="F4623" t="inlineStr">
        <is>
          <t>2221</t>
        </is>
      </c>
      <c r="G4623" s="10" t="inlineStr">
        <is>
          <t>帷子ノ辻</t>
        </is>
      </c>
      <c r="H4623" s="10" t="inlineStr">
        <is>
          <t>発</t>
        </is>
      </c>
      <c r="J4623" s="10" t="inlineStr">
        <is>
          <t>営業</t>
        </is>
      </c>
      <c r="L4623" t="inlineStr">
        <is>
          <t>18:40:10</t>
        </is>
      </c>
      <c r="M4623" t="inlineStr">
        <is>
          <t>18:41:15</t>
        </is>
      </c>
    </row>
    <row r="4624" ht="15" customHeight="1" s="37">
      <c r="A4624" t="n">
        <v>9</v>
      </c>
      <c r="B4624" s="10" t="inlineStr">
        <is>
          <t>休日</t>
        </is>
      </c>
      <c r="C4624" s="10" t="inlineStr">
        <is>
          <t>本線</t>
        </is>
      </c>
      <c r="D4624" s="10" t="inlineStr">
        <is>
          <t>上り</t>
        </is>
      </c>
      <c r="E4624" t="inlineStr">
        <is>
          <t>1808</t>
        </is>
      </c>
      <c r="F4624" t="inlineStr">
        <is>
          <t>2221</t>
        </is>
      </c>
      <c r="G4624" s="10" t="inlineStr">
        <is>
          <t>太秦広隆寺</t>
        </is>
      </c>
      <c r="H4624" s="10" t="inlineStr">
        <is>
          <t>発</t>
        </is>
      </c>
      <c r="J4624" s="10" t="inlineStr">
        <is>
          <t>営業</t>
        </is>
      </c>
      <c r="L4624" t="inlineStr">
        <is>
          <t>18:43:25</t>
        </is>
      </c>
      <c r="M4624" t="inlineStr">
        <is>
          <t>18:43:45</t>
        </is>
      </c>
    </row>
    <row r="4625" ht="15" customHeight="1" s="37">
      <c r="A4625" t="n">
        <v>9</v>
      </c>
      <c r="B4625" s="10" t="inlineStr">
        <is>
          <t>休日</t>
        </is>
      </c>
      <c r="C4625" s="10" t="inlineStr">
        <is>
          <t>本線</t>
        </is>
      </c>
      <c r="D4625" s="10" t="inlineStr">
        <is>
          <t>上り</t>
        </is>
      </c>
      <c r="E4625" t="inlineStr">
        <is>
          <t>1808</t>
        </is>
      </c>
      <c r="F4625" t="inlineStr">
        <is>
          <t>2221</t>
        </is>
      </c>
      <c r="G4625" s="10" t="inlineStr">
        <is>
          <t>蚕ノ社</t>
        </is>
      </c>
      <c r="H4625" s="10" t="inlineStr">
        <is>
          <t>発</t>
        </is>
      </c>
      <c r="J4625" s="10" t="inlineStr">
        <is>
          <t>営業</t>
        </is>
      </c>
      <c r="L4625" t="inlineStr">
        <is>
          <t>18:45:00</t>
        </is>
      </c>
      <c r="M4625" t="inlineStr">
        <is>
          <t>18:45:20</t>
        </is>
      </c>
    </row>
    <row r="4626" ht="15" customHeight="1" s="37">
      <c r="A4626" t="n">
        <v>9</v>
      </c>
      <c r="B4626" s="10" t="inlineStr">
        <is>
          <t>休日</t>
        </is>
      </c>
      <c r="C4626" s="10" t="inlineStr">
        <is>
          <t>本線</t>
        </is>
      </c>
      <c r="D4626" s="10" t="inlineStr">
        <is>
          <t>上り</t>
        </is>
      </c>
      <c r="E4626" t="inlineStr">
        <is>
          <t>1808</t>
        </is>
      </c>
      <c r="F4626" t="inlineStr">
        <is>
          <t>2221</t>
        </is>
      </c>
      <c r="G4626" s="10" t="inlineStr">
        <is>
          <t>天神川</t>
        </is>
      </c>
      <c r="H4626" s="10" t="inlineStr">
        <is>
          <t>発</t>
        </is>
      </c>
      <c r="J4626" s="10" t="inlineStr">
        <is>
          <t>営業</t>
        </is>
      </c>
      <c r="L4626" t="inlineStr">
        <is>
          <t>18:46:05</t>
        </is>
      </c>
      <c r="M4626" t="inlineStr">
        <is>
          <t>18:46:50</t>
        </is>
      </c>
    </row>
    <row r="4627" ht="15" customHeight="1" s="37">
      <c r="A4627" t="n">
        <v>9</v>
      </c>
      <c r="B4627" s="10" t="inlineStr">
        <is>
          <t>休日</t>
        </is>
      </c>
      <c r="C4627" s="10" t="inlineStr">
        <is>
          <t>本線</t>
        </is>
      </c>
      <c r="D4627" s="10" t="inlineStr">
        <is>
          <t>上り</t>
        </is>
      </c>
      <c r="E4627" t="inlineStr">
        <is>
          <t>1808</t>
        </is>
      </c>
      <c r="F4627" t="inlineStr">
        <is>
          <t>2221</t>
        </is>
      </c>
      <c r="G4627" s="10" t="inlineStr">
        <is>
          <t>山ノ内</t>
        </is>
      </c>
      <c r="H4627" s="10" t="inlineStr">
        <is>
          <t>発</t>
        </is>
      </c>
      <c r="J4627" s="10" t="inlineStr">
        <is>
          <t>営業</t>
        </is>
      </c>
      <c r="L4627" t="inlineStr">
        <is>
          <t>18:48:40</t>
        </is>
      </c>
      <c r="M4627" t="inlineStr">
        <is>
          <t>18:49:05</t>
        </is>
      </c>
    </row>
    <row r="4628" ht="15" customHeight="1" s="37">
      <c r="A4628" t="n">
        <v>9</v>
      </c>
      <c r="B4628" s="10" t="inlineStr">
        <is>
          <t>休日</t>
        </is>
      </c>
      <c r="C4628" s="10" t="inlineStr">
        <is>
          <t>本線</t>
        </is>
      </c>
      <c r="D4628" s="10" t="inlineStr">
        <is>
          <t>上り</t>
        </is>
      </c>
      <c r="E4628" t="inlineStr">
        <is>
          <t>1808</t>
        </is>
      </c>
      <c r="F4628" t="inlineStr">
        <is>
          <t>2221</t>
        </is>
      </c>
      <c r="G4628" s="10" t="inlineStr">
        <is>
          <t>西大路三条</t>
        </is>
      </c>
      <c r="H4628" s="10" t="inlineStr">
        <is>
          <t>発</t>
        </is>
      </c>
      <c r="J4628" s="10" t="inlineStr">
        <is>
          <t>営業</t>
        </is>
      </c>
      <c r="L4628" t="inlineStr">
        <is>
          <t>18:50:55</t>
        </is>
      </c>
      <c r="M4628" t="inlineStr">
        <is>
          <t>18:51:15</t>
        </is>
      </c>
    </row>
    <row r="4629" ht="15" customHeight="1" s="37">
      <c r="A4629" t="n">
        <v>9</v>
      </c>
      <c r="B4629" s="10" t="inlineStr">
        <is>
          <t>休日</t>
        </is>
      </c>
      <c r="C4629" s="10" t="inlineStr">
        <is>
          <t>本線</t>
        </is>
      </c>
      <c r="D4629" s="10" t="inlineStr">
        <is>
          <t>上り</t>
        </is>
      </c>
      <c r="E4629" t="inlineStr">
        <is>
          <t>1808</t>
        </is>
      </c>
      <c r="F4629" t="inlineStr">
        <is>
          <t>2221</t>
        </is>
      </c>
      <c r="G4629" s="10" t="inlineStr">
        <is>
          <t>西院</t>
        </is>
      </c>
      <c r="H4629" s="10" t="inlineStr">
        <is>
          <t>発</t>
        </is>
      </c>
      <c r="J4629" s="10" t="inlineStr">
        <is>
          <t>営業</t>
        </is>
      </c>
      <c r="L4629" t="inlineStr">
        <is>
          <t>18:53:10</t>
        </is>
      </c>
      <c r="M4629" t="inlineStr">
        <is>
          <t>18:54:05</t>
        </is>
      </c>
    </row>
    <row r="4630" ht="15" customHeight="1" s="37">
      <c r="A4630" t="n">
        <v>9</v>
      </c>
      <c r="B4630" s="10" t="inlineStr">
        <is>
          <t>休日</t>
        </is>
      </c>
      <c r="C4630" s="10" t="inlineStr">
        <is>
          <t>本線</t>
        </is>
      </c>
      <c r="D4630" s="10" t="inlineStr">
        <is>
          <t>上り</t>
        </is>
      </c>
      <c r="E4630" t="inlineStr">
        <is>
          <t>1808</t>
        </is>
      </c>
      <c r="F4630" t="inlineStr">
        <is>
          <t>2221</t>
        </is>
      </c>
      <c r="G4630" s="10" t="inlineStr">
        <is>
          <t>四条大宮</t>
        </is>
      </c>
      <c r="H4630" s="10" t="inlineStr">
        <is>
          <t>着</t>
        </is>
      </c>
      <c r="J4630" s="10" t="inlineStr">
        <is>
          <t>営業</t>
        </is>
      </c>
      <c r="L4630" t="inlineStr">
        <is>
          <t>18:57:00</t>
        </is>
      </c>
      <c r="Q4630" t="inlineStr">
        <is>
          <t>1</t>
        </is>
      </c>
    </row>
    <row r="4631" ht="15" customHeight="1" s="37">
      <c r="A4631" t="n">
        <v>9</v>
      </c>
      <c r="B4631" s="10" t="inlineStr">
        <is>
          <t>休日</t>
        </is>
      </c>
      <c r="C4631" s="10" t="inlineStr">
        <is>
          <t>本線</t>
        </is>
      </c>
      <c r="D4631" s="10" t="inlineStr">
        <is>
          <t>下り</t>
        </is>
      </c>
      <c r="E4631" t="inlineStr">
        <is>
          <t>1901</t>
        </is>
      </c>
      <c r="F4631" t="inlineStr">
        <is>
          <t>0122</t>
        </is>
      </c>
      <c r="G4631" s="10" t="inlineStr">
        <is>
          <t>四条大宮</t>
        </is>
      </c>
      <c r="H4631" s="10" t="inlineStr">
        <is>
          <t>発</t>
        </is>
      </c>
      <c r="J4631" s="10" t="inlineStr">
        <is>
          <t>営業</t>
        </is>
      </c>
      <c r="M4631" t="inlineStr">
        <is>
          <t>19:03:00</t>
        </is>
      </c>
      <c r="Q4631" t="inlineStr">
        <is>
          <t>1</t>
        </is>
      </c>
    </row>
    <row r="4632" ht="15" customHeight="1" s="37">
      <c r="A4632" t="n">
        <v>9</v>
      </c>
      <c r="B4632" s="10" t="inlineStr">
        <is>
          <t>休日</t>
        </is>
      </c>
      <c r="C4632" s="10" t="inlineStr">
        <is>
          <t>本線</t>
        </is>
      </c>
      <c r="D4632" s="10" t="inlineStr">
        <is>
          <t>下り</t>
        </is>
      </c>
      <c r="E4632" t="inlineStr">
        <is>
          <t>1901</t>
        </is>
      </c>
      <c r="F4632" t="inlineStr">
        <is>
          <t>0122</t>
        </is>
      </c>
      <c r="G4632" s="10" t="inlineStr">
        <is>
          <t>西院</t>
        </is>
      </c>
      <c r="H4632" s="10" t="inlineStr">
        <is>
          <t>発</t>
        </is>
      </c>
      <c r="J4632" s="10" t="inlineStr">
        <is>
          <t>営業</t>
        </is>
      </c>
      <c r="L4632" t="inlineStr">
        <is>
          <t>19:05:50</t>
        </is>
      </c>
      <c r="M4632" t="inlineStr">
        <is>
          <t>19:06:20</t>
        </is>
      </c>
    </row>
    <row r="4633" ht="15" customHeight="1" s="37">
      <c r="A4633" t="n">
        <v>9</v>
      </c>
      <c r="B4633" s="10" t="inlineStr">
        <is>
          <t>休日</t>
        </is>
      </c>
      <c r="C4633" s="10" t="inlineStr">
        <is>
          <t>本線</t>
        </is>
      </c>
      <c r="D4633" s="10" t="inlineStr">
        <is>
          <t>下り</t>
        </is>
      </c>
      <c r="E4633" t="inlineStr">
        <is>
          <t>1901</t>
        </is>
      </c>
      <c r="F4633" t="inlineStr">
        <is>
          <t>0122</t>
        </is>
      </c>
      <c r="G4633" s="10" t="inlineStr">
        <is>
          <t>西大路三条</t>
        </is>
      </c>
      <c r="H4633" s="10" t="inlineStr">
        <is>
          <t>発</t>
        </is>
      </c>
      <c r="J4633" s="10" t="inlineStr">
        <is>
          <t>営業</t>
        </is>
      </c>
      <c r="L4633" t="inlineStr">
        <is>
          <t>19:08:10</t>
        </is>
      </c>
      <c r="M4633" t="inlineStr">
        <is>
          <t>19:08:30</t>
        </is>
      </c>
    </row>
    <row r="4634" ht="15" customHeight="1" s="37">
      <c r="A4634" t="n">
        <v>9</v>
      </c>
      <c r="B4634" s="10" t="inlineStr">
        <is>
          <t>休日</t>
        </is>
      </c>
      <c r="C4634" s="10" t="inlineStr">
        <is>
          <t>本線</t>
        </is>
      </c>
      <c r="D4634" s="10" t="inlineStr">
        <is>
          <t>下り</t>
        </is>
      </c>
      <c r="E4634" t="inlineStr">
        <is>
          <t>1901</t>
        </is>
      </c>
      <c r="F4634" t="inlineStr">
        <is>
          <t>0122</t>
        </is>
      </c>
      <c r="G4634" s="10" t="inlineStr">
        <is>
          <t>山ノ内</t>
        </is>
      </c>
      <c r="H4634" s="10" t="inlineStr">
        <is>
          <t>発</t>
        </is>
      </c>
      <c r="J4634" s="10" t="inlineStr">
        <is>
          <t>営業</t>
        </is>
      </c>
      <c r="L4634" t="inlineStr">
        <is>
          <t>19:10:25</t>
        </is>
      </c>
      <c r="M4634" t="inlineStr">
        <is>
          <t>19:10:50</t>
        </is>
      </c>
    </row>
    <row r="4635" ht="15" customHeight="1" s="37">
      <c r="A4635" t="n">
        <v>9</v>
      </c>
      <c r="B4635" s="10" t="inlineStr">
        <is>
          <t>休日</t>
        </is>
      </c>
      <c r="C4635" s="10" t="inlineStr">
        <is>
          <t>本線</t>
        </is>
      </c>
      <c r="D4635" s="10" t="inlineStr">
        <is>
          <t>下り</t>
        </is>
      </c>
      <c r="E4635" t="inlineStr">
        <is>
          <t>1901</t>
        </is>
      </c>
      <c r="F4635" t="inlineStr">
        <is>
          <t>0122</t>
        </is>
      </c>
      <c r="G4635" s="10" t="inlineStr">
        <is>
          <t>天神川</t>
        </is>
      </c>
      <c r="H4635" s="10" t="inlineStr">
        <is>
          <t>発</t>
        </is>
      </c>
      <c r="J4635" s="10" t="inlineStr">
        <is>
          <t>営業</t>
        </is>
      </c>
      <c r="L4635" t="inlineStr">
        <is>
          <t>19:12:50</t>
        </is>
      </c>
      <c r="M4635" t="inlineStr">
        <is>
          <t>19:13:30</t>
        </is>
      </c>
    </row>
    <row r="4636" ht="15" customHeight="1" s="37">
      <c r="A4636" t="n">
        <v>9</v>
      </c>
      <c r="B4636" s="10" t="inlineStr">
        <is>
          <t>休日</t>
        </is>
      </c>
      <c r="C4636" s="10" t="inlineStr">
        <is>
          <t>本線</t>
        </is>
      </c>
      <c r="D4636" s="10" t="inlineStr">
        <is>
          <t>下り</t>
        </is>
      </c>
      <c r="E4636" t="inlineStr">
        <is>
          <t>1901</t>
        </is>
      </c>
      <c r="F4636" t="inlineStr">
        <is>
          <t>0122</t>
        </is>
      </c>
      <c r="G4636" s="10" t="inlineStr">
        <is>
          <t>蚕ノ社</t>
        </is>
      </c>
      <c r="H4636" s="10" t="inlineStr">
        <is>
          <t>発</t>
        </is>
      </c>
      <c r="J4636" s="10" t="inlineStr">
        <is>
          <t>営業</t>
        </is>
      </c>
      <c r="L4636" t="inlineStr">
        <is>
          <t>19:14:20</t>
        </is>
      </c>
      <c r="M4636" t="inlineStr">
        <is>
          <t>19:14:40</t>
        </is>
      </c>
    </row>
    <row r="4637" ht="15" customHeight="1" s="37">
      <c r="A4637" t="n">
        <v>9</v>
      </c>
      <c r="B4637" s="10" t="inlineStr">
        <is>
          <t>休日</t>
        </is>
      </c>
      <c r="C4637" s="10" t="inlineStr">
        <is>
          <t>本線</t>
        </is>
      </c>
      <c r="D4637" s="10" t="inlineStr">
        <is>
          <t>下り</t>
        </is>
      </c>
      <c r="E4637" t="inlineStr">
        <is>
          <t>1901</t>
        </is>
      </c>
      <c r="F4637" t="inlineStr">
        <is>
          <t>0122</t>
        </is>
      </c>
      <c r="G4637" s="10" t="inlineStr">
        <is>
          <t>太秦広隆寺</t>
        </is>
      </c>
      <c r="H4637" s="10" t="inlineStr">
        <is>
          <t>発</t>
        </is>
      </c>
      <c r="J4637" s="10" t="inlineStr">
        <is>
          <t>営業</t>
        </is>
      </c>
      <c r="L4637" t="inlineStr">
        <is>
          <t>19:16:00</t>
        </is>
      </c>
      <c r="M4637" t="inlineStr">
        <is>
          <t>19:16:20</t>
        </is>
      </c>
    </row>
    <row r="4638" ht="15" customHeight="1" s="37">
      <c r="A4638" t="n">
        <v>9</v>
      </c>
      <c r="B4638" s="10" t="inlineStr">
        <is>
          <t>休日</t>
        </is>
      </c>
      <c r="C4638" s="10" t="inlineStr">
        <is>
          <t>本線</t>
        </is>
      </c>
      <c r="D4638" s="10" t="inlineStr">
        <is>
          <t>下り</t>
        </is>
      </c>
      <c r="E4638" t="inlineStr">
        <is>
          <t>1901</t>
        </is>
      </c>
      <c r="F4638" t="inlineStr">
        <is>
          <t>0122</t>
        </is>
      </c>
      <c r="G4638" s="10" t="inlineStr">
        <is>
          <t>帷子ノ辻</t>
        </is>
      </c>
      <c r="H4638" s="10" t="inlineStr">
        <is>
          <t>発</t>
        </is>
      </c>
      <c r="J4638" s="10" t="inlineStr">
        <is>
          <t>営業</t>
        </is>
      </c>
      <c r="L4638" t="inlineStr">
        <is>
          <t>19:18:20</t>
        </is>
      </c>
      <c r="M4638" t="inlineStr">
        <is>
          <t>19:19:40</t>
        </is>
      </c>
    </row>
    <row r="4639" ht="15" customHeight="1" s="37">
      <c r="A4639" t="n">
        <v>9</v>
      </c>
      <c r="B4639" s="10" t="inlineStr">
        <is>
          <t>休日</t>
        </is>
      </c>
      <c r="C4639" s="10" t="inlineStr">
        <is>
          <t>本線</t>
        </is>
      </c>
      <c r="D4639" s="10" t="inlineStr">
        <is>
          <t>下り</t>
        </is>
      </c>
      <c r="E4639" t="inlineStr">
        <is>
          <t>1901</t>
        </is>
      </c>
      <c r="F4639" t="inlineStr">
        <is>
          <t>0122</t>
        </is>
      </c>
      <c r="G4639" s="10" t="inlineStr">
        <is>
          <t>有栖川</t>
        </is>
      </c>
      <c r="H4639" s="10" t="inlineStr">
        <is>
          <t>発</t>
        </is>
      </c>
      <c r="J4639" s="10" t="inlineStr">
        <is>
          <t>営業</t>
        </is>
      </c>
      <c r="L4639" t="inlineStr">
        <is>
          <t>19:20:50</t>
        </is>
      </c>
      <c r="M4639" t="inlineStr">
        <is>
          <t>19:21:15</t>
        </is>
      </c>
    </row>
    <row r="4640" ht="15" customHeight="1" s="37">
      <c r="A4640" t="n">
        <v>9</v>
      </c>
      <c r="B4640" s="10" t="inlineStr">
        <is>
          <t>休日</t>
        </is>
      </c>
      <c r="C4640" s="10" t="inlineStr">
        <is>
          <t>本線</t>
        </is>
      </c>
      <c r="D4640" s="10" t="inlineStr">
        <is>
          <t>下り</t>
        </is>
      </c>
      <c r="E4640" t="inlineStr">
        <is>
          <t>1901</t>
        </is>
      </c>
      <c r="F4640" t="inlineStr">
        <is>
          <t>0122</t>
        </is>
      </c>
      <c r="G4640" s="10" t="inlineStr">
        <is>
          <t>車折</t>
        </is>
      </c>
      <c r="H4640" s="10" t="inlineStr">
        <is>
          <t>発</t>
        </is>
      </c>
      <c r="J4640" s="10" t="inlineStr">
        <is>
          <t>営業</t>
        </is>
      </c>
      <c r="L4640" t="inlineStr">
        <is>
          <t>19:22:40</t>
        </is>
      </c>
      <c r="M4640" t="inlineStr">
        <is>
          <t>19:23:05</t>
        </is>
      </c>
    </row>
    <row r="4641" ht="15" customHeight="1" s="37">
      <c r="A4641" t="n">
        <v>9</v>
      </c>
      <c r="B4641" s="10" t="inlineStr">
        <is>
          <t>休日</t>
        </is>
      </c>
      <c r="C4641" s="10" t="inlineStr">
        <is>
          <t>本線</t>
        </is>
      </c>
      <c r="D4641" s="10" t="inlineStr">
        <is>
          <t>下り</t>
        </is>
      </c>
      <c r="E4641" t="inlineStr">
        <is>
          <t>1901</t>
        </is>
      </c>
      <c r="F4641" t="inlineStr">
        <is>
          <t>0122</t>
        </is>
      </c>
      <c r="G4641" s="10" t="inlineStr">
        <is>
          <t>鹿王院</t>
        </is>
      </c>
      <c r="H4641" s="10" t="inlineStr">
        <is>
          <t>発</t>
        </is>
      </c>
      <c r="J4641" s="10" t="inlineStr">
        <is>
          <t>営業</t>
        </is>
      </c>
      <c r="L4641" t="inlineStr">
        <is>
          <t>19:24:00</t>
        </is>
      </c>
      <c r="M4641" t="inlineStr">
        <is>
          <t>19:24:25</t>
        </is>
      </c>
    </row>
    <row r="4642" ht="15" customHeight="1" s="37">
      <c r="A4642" t="n">
        <v>9</v>
      </c>
      <c r="B4642" s="10" t="inlineStr">
        <is>
          <t>休日</t>
        </is>
      </c>
      <c r="C4642" s="10" t="inlineStr">
        <is>
          <t>本線</t>
        </is>
      </c>
      <c r="D4642" s="10" t="inlineStr">
        <is>
          <t>下り</t>
        </is>
      </c>
      <c r="E4642" t="inlineStr">
        <is>
          <t>1901</t>
        </is>
      </c>
      <c r="F4642" t="inlineStr">
        <is>
          <t>0122</t>
        </is>
      </c>
      <c r="G4642" s="10" t="inlineStr">
        <is>
          <t>嵯峨</t>
        </is>
      </c>
      <c r="H4642" s="10" t="inlineStr">
        <is>
          <t>発</t>
        </is>
      </c>
      <c r="J4642" s="10" t="inlineStr">
        <is>
          <t>営業</t>
        </is>
      </c>
      <c r="L4642" t="inlineStr">
        <is>
          <t>19:25:30</t>
        </is>
      </c>
      <c r="M4642" t="inlineStr">
        <is>
          <t>19:25:55</t>
        </is>
      </c>
    </row>
    <row r="4643" ht="15" customHeight="1" s="37">
      <c r="A4643" t="n">
        <v>9</v>
      </c>
      <c r="B4643" s="10" t="inlineStr">
        <is>
          <t>休日</t>
        </is>
      </c>
      <c r="C4643" s="10" t="inlineStr">
        <is>
          <t>本線</t>
        </is>
      </c>
      <c r="D4643" s="10" t="inlineStr">
        <is>
          <t>下り</t>
        </is>
      </c>
      <c r="E4643" t="inlineStr">
        <is>
          <t>1901</t>
        </is>
      </c>
      <c r="F4643" t="inlineStr">
        <is>
          <t>0122</t>
        </is>
      </c>
      <c r="G4643" s="10" t="inlineStr">
        <is>
          <t>嵐山</t>
        </is>
      </c>
      <c r="H4643" s="10" t="inlineStr">
        <is>
          <t>着</t>
        </is>
      </c>
      <c r="J4643" s="10" t="inlineStr">
        <is>
          <t>営業</t>
        </is>
      </c>
      <c r="L4643" t="inlineStr">
        <is>
          <t>19:27:00</t>
        </is>
      </c>
      <c r="N4643" t="inlineStr">
        <is>
          <t>○</t>
        </is>
      </c>
      <c r="Q4643" t="inlineStr">
        <is>
          <t>1</t>
        </is>
      </c>
    </row>
    <row r="4644" ht="15" customHeight="1" s="37">
      <c r="A4644" t="n">
        <v>9</v>
      </c>
      <c r="B4644" s="10" t="inlineStr">
        <is>
          <t>休日</t>
        </is>
      </c>
      <c r="C4644" s="10" t="inlineStr">
        <is>
          <t>本線</t>
        </is>
      </c>
      <c r="D4644" s="10" t="inlineStr">
        <is>
          <t>上り</t>
        </is>
      </c>
      <c r="E4644" t="inlineStr">
        <is>
          <t>1908</t>
        </is>
      </c>
      <c r="F4644" t="inlineStr">
        <is>
          <t>2221</t>
        </is>
      </c>
      <c r="G4644" s="10" t="inlineStr">
        <is>
          <t>嵐山</t>
        </is>
      </c>
      <c r="H4644" s="10" t="inlineStr">
        <is>
          <t>発</t>
        </is>
      </c>
      <c r="J4644" s="10" t="inlineStr">
        <is>
          <t>営業</t>
        </is>
      </c>
      <c r="M4644" t="inlineStr">
        <is>
          <t>19:33:00</t>
        </is>
      </c>
      <c r="Q4644" t="inlineStr">
        <is>
          <t>1</t>
        </is>
      </c>
    </row>
    <row r="4645" ht="15" customHeight="1" s="37">
      <c r="A4645" t="n">
        <v>9</v>
      </c>
      <c r="B4645" s="10" t="inlineStr">
        <is>
          <t>休日</t>
        </is>
      </c>
      <c r="C4645" s="10" t="inlineStr">
        <is>
          <t>本線</t>
        </is>
      </c>
      <c r="D4645" s="10" t="inlineStr">
        <is>
          <t>上り</t>
        </is>
      </c>
      <c r="E4645" t="inlineStr">
        <is>
          <t>1908</t>
        </is>
      </c>
      <c r="F4645" t="inlineStr">
        <is>
          <t>2221</t>
        </is>
      </c>
      <c r="G4645" s="10" t="inlineStr">
        <is>
          <t>嵯峨</t>
        </is>
      </c>
      <c r="H4645" s="10" t="inlineStr">
        <is>
          <t>発</t>
        </is>
      </c>
      <c r="J4645" s="10" t="inlineStr">
        <is>
          <t>営業</t>
        </is>
      </c>
      <c r="L4645" t="inlineStr">
        <is>
          <t>19:33:55</t>
        </is>
      </c>
      <c r="M4645" t="inlineStr">
        <is>
          <t>19:34:20</t>
        </is>
      </c>
    </row>
    <row r="4646" ht="15" customHeight="1" s="37">
      <c r="A4646" t="n">
        <v>9</v>
      </c>
      <c r="B4646" s="10" t="inlineStr">
        <is>
          <t>休日</t>
        </is>
      </c>
      <c r="C4646" s="10" t="inlineStr">
        <is>
          <t>本線</t>
        </is>
      </c>
      <c r="D4646" s="10" t="inlineStr">
        <is>
          <t>上り</t>
        </is>
      </c>
      <c r="E4646" t="inlineStr">
        <is>
          <t>1908</t>
        </is>
      </c>
      <c r="F4646" t="inlineStr">
        <is>
          <t>2221</t>
        </is>
      </c>
      <c r="G4646" s="10" t="inlineStr">
        <is>
          <t>鹿王院</t>
        </is>
      </c>
      <c r="H4646" s="10" t="inlineStr">
        <is>
          <t>発</t>
        </is>
      </c>
      <c r="J4646" s="10" t="inlineStr">
        <is>
          <t>営業</t>
        </is>
      </c>
      <c r="L4646" t="inlineStr">
        <is>
          <t>19:35:25</t>
        </is>
      </c>
      <c r="M4646" t="inlineStr">
        <is>
          <t>19:35:45</t>
        </is>
      </c>
    </row>
    <row r="4647" ht="15" customHeight="1" s="37">
      <c r="A4647" t="n">
        <v>9</v>
      </c>
      <c r="B4647" s="10" t="inlineStr">
        <is>
          <t>休日</t>
        </is>
      </c>
      <c r="C4647" s="10" t="inlineStr">
        <is>
          <t>本線</t>
        </is>
      </c>
      <c r="D4647" s="10" t="inlineStr">
        <is>
          <t>上り</t>
        </is>
      </c>
      <c r="E4647" t="inlineStr">
        <is>
          <t>1908</t>
        </is>
      </c>
      <c r="F4647" t="inlineStr">
        <is>
          <t>2221</t>
        </is>
      </c>
      <c r="G4647" s="10" t="inlineStr">
        <is>
          <t>車折</t>
        </is>
      </c>
      <c r="H4647" s="10" t="inlineStr">
        <is>
          <t>発</t>
        </is>
      </c>
      <c r="J4647" s="10" t="inlineStr">
        <is>
          <t>営業</t>
        </is>
      </c>
      <c r="L4647" t="inlineStr">
        <is>
          <t>19:36:40</t>
        </is>
      </c>
      <c r="M4647" t="inlineStr">
        <is>
          <t>19:37:10</t>
        </is>
      </c>
    </row>
    <row r="4648" ht="15" customHeight="1" s="37">
      <c r="A4648" t="n">
        <v>9</v>
      </c>
      <c r="B4648" s="10" t="inlineStr">
        <is>
          <t>休日</t>
        </is>
      </c>
      <c r="C4648" s="10" t="inlineStr">
        <is>
          <t>本線</t>
        </is>
      </c>
      <c r="D4648" s="10" t="inlineStr">
        <is>
          <t>上り</t>
        </is>
      </c>
      <c r="E4648" t="inlineStr">
        <is>
          <t>1908</t>
        </is>
      </c>
      <c r="F4648" t="inlineStr">
        <is>
          <t>2221</t>
        </is>
      </c>
      <c r="G4648" s="10" t="inlineStr">
        <is>
          <t>有栖川</t>
        </is>
      </c>
      <c r="H4648" s="10" t="inlineStr">
        <is>
          <t>発</t>
        </is>
      </c>
      <c r="J4648" s="10" t="inlineStr">
        <is>
          <t>営業</t>
        </is>
      </c>
      <c r="L4648" t="inlineStr">
        <is>
          <t>19:38:35</t>
        </is>
      </c>
      <c r="M4648" t="inlineStr">
        <is>
          <t>19:38:55</t>
        </is>
      </c>
    </row>
    <row r="4649" ht="15" customHeight="1" s="37">
      <c r="A4649" t="n">
        <v>9</v>
      </c>
      <c r="B4649" s="10" t="inlineStr">
        <is>
          <t>休日</t>
        </is>
      </c>
      <c r="C4649" s="10" t="inlineStr">
        <is>
          <t>本線</t>
        </is>
      </c>
      <c r="D4649" s="10" t="inlineStr">
        <is>
          <t>上り</t>
        </is>
      </c>
      <c r="E4649" t="inlineStr">
        <is>
          <t>1908</t>
        </is>
      </c>
      <c r="F4649" t="inlineStr">
        <is>
          <t>2221</t>
        </is>
      </c>
      <c r="G4649" s="10" t="inlineStr">
        <is>
          <t>帷子ノ辻</t>
        </is>
      </c>
      <c r="H4649" s="10" t="inlineStr">
        <is>
          <t>発</t>
        </is>
      </c>
      <c r="J4649" s="10" t="inlineStr">
        <is>
          <t>営業</t>
        </is>
      </c>
      <c r="L4649" t="inlineStr">
        <is>
          <t>19:40:10</t>
        </is>
      </c>
      <c r="M4649" t="inlineStr">
        <is>
          <t>19:41:15</t>
        </is>
      </c>
    </row>
    <row r="4650" ht="15" customHeight="1" s="37">
      <c r="A4650" t="n">
        <v>9</v>
      </c>
      <c r="B4650" s="10" t="inlineStr">
        <is>
          <t>休日</t>
        </is>
      </c>
      <c r="C4650" s="10" t="inlineStr">
        <is>
          <t>本線</t>
        </is>
      </c>
      <c r="D4650" s="10" t="inlineStr">
        <is>
          <t>上り</t>
        </is>
      </c>
      <c r="E4650" t="inlineStr">
        <is>
          <t>1908</t>
        </is>
      </c>
      <c r="F4650" t="inlineStr">
        <is>
          <t>2221</t>
        </is>
      </c>
      <c r="G4650" s="10" t="inlineStr">
        <is>
          <t>太秦広隆寺</t>
        </is>
      </c>
      <c r="H4650" s="10" t="inlineStr">
        <is>
          <t>発</t>
        </is>
      </c>
      <c r="J4650" s="10" t="inlineStr">
        <is>
          <t>営業</t>
        </is>
      </c>
      <c r="L4650" t="inlineStr">
        <is>
          <t>19:43:25</t>
        </is>
      </c>
      <c r="M4650" t="inlineStr">
        <is>
          <t>19:43:45</t>
        </is>
      </c>
    </row>
    <row r="4651" ht="15" customHeight="1" s="37">
      <c r="A4651" t="n">
        <v>9</v>
      </c>
      <c r="B4651" s="10" t="inlineStr">
        <is>
          <t>休日</t>
        </is>
      </c>
      <c r="C4651" s="10" t="inlineStr">
        <is>
          <t>本線</t>
        </is>
      </c>
      <c r="D4651" s="10" t="inlineStr">
        <is>
          <t>上り</t>
        </is>
      </c>
      <c r="E4651" t="inlineStr">
        <is>
          <t>1908</t>
        </is>
      </c>
      <c r="F4651" t="inlineStr">
        <is>
          <t>2221</t>
        </is>
      </c>
      <c r="G4651" s="10" t="inlineStr">
        <is>
          <t>蚕ノ社</t>
        </is>
      </c>
      <c r="H4651" s="10" t="inlineStr">
        <is>
          <t>発</t>
        </is>
      </c>
      <c r="J4651" s="10" t="inlineStr">
        <is>
          <t>営業</t>
        </is>
      </c>
      <c r="L4651" t="inlineStr">
        <is>
          <t>19:45:00</t>
        </is>
      </c>
      <c r="M4651" t="inlineStr">
        <is>
          <t>19:45:20</t>
        </is>
      </c>
    </row>
    <row r="4652" ht="15" customHeight="1" s="37">
      <c r="A4652" t="n">
        <v>9</v>
      </c>
      <c r="B4652" s="10" t="inlineStr">
        <is>
          <t>休日</t>
        </is>
      </c>
      <c r="C4652" s="10" t="inlineStr">
        <is>
          <t>本線</t>
        </is>
      </c>
      <c r="D4652" s="10" t="inlineStr">
        <is>
          <t>上り</t>
        </is>
      </c>
      <c r="E4652" t="inlineStr">
        <is>
          <t>1908</t>
        </is>
      </c>
      <c r="F4652" t="inlineStr">
        <is>
          <t>2221</t>
        </is>
      </c>
      <c r="G4652" s="10" t="inlineStr">
        <is>
          <t>天神川</t>
        </is>
      </c>
      <c r="H4652" s="10" t="inlineStr">
        <is>
          <t>発</t>
        </is>
      </c>
      <c r="J4652" s="10" t="inlineStr">
        <is>
          <t>営業</t>
        </is>
      </c>
      <c r="L4652" t="inlineStr">
        <is>
          <t>19:46:05</t>
        </is>
      </c>
      <c r="M4652" t="inlineStr">
        <is>
          <t>19:46:50</t>
        </is>
      </c>
    </row>
    <row r="4653" ht="15" customHeight="1" s="37">
      <c r="A4653" t="n">
        <v>9</v>
      </c>
      <c r="B4653" s="10" t="inlineStr">
        <is>
          <t>休日</t>
        </is>
      </c>
      <c r="C4653" s="10" t="inlineStr">
        <is>
          <t>本線</t>
        </is>
      </c>
      <c r="D4653" s="10" t="inlineStr">
        <is>
          <t>上り</t>
        </is>
      </c>
      <c r="E4653" t="inlineStr">
        <is>
          <t>1908</t>
        </is>
      </c>
      <c r="F4653" t="inlineStr">
        <is>
          <t>2221</t>
        </is>
      </c>
      <c r="G4653" s="10" t="inlineStr">
        <is>
          <t>山ノ内</t>
        </is>
      </c>
      <c r="H4653" s="10" t="inlineStr">
        <is>
          <t>発</t>
        </is>
      </c>
      <c r="J4653" s="10" t="inlineStr">
        <is>
          <t>営業</t>
        </is>
      </c>
      <c r="L4653" t="inlineStr">
        <is>
          <t>19:48:40</t>
        </is>
      </c>
      <c r="M4653" t="inlineStr">
        <is>
          <t>19:49:05</t>
        </is>
      </c>
    </row>
    <row r="4654" ht="15" customHeight="1" s="37">
      <c r="A4654" t="n">
        <v>9</v>
      </c>
      <c r="B4654" s="10" t="inlineStr">
        <is>
          <t>休日</t>
        </is>
      </c>
      <c r="C4654" s="10" t="inlineStr">
        <is>
          <t>本線</t>
        </is>
      </c>
      <c r="D4654" s="10" t="inlineStr">
        <is>
          <t>上り</t>
        </is>
      </c>
      <c r="E4654" t="inlineStr">
        <is>
          <t>1908</t>
        </is>
      </c>
      <c r="F4654" t="inlineStr">
        <is>
          <t>2221</t>
        </is>
      </c>
      <c r="G4654" s="10" t="inlineStr">
        <is>
          <t>西大路三条</t>
        </is>
      </c>
      <c r="H4654" s="10" t="inlineStr">
        <is>
          <t>発</t>
        </is>
      </c>
      <c r="J4654" s="10" t="inlineStr">
        <is>
          <t>営業</t>
        </is>
      </c>
      <c r="L4654" t="inlineStr">
        <is>
          <t>19:50:55</t>
        </is>
      </c>
      <c r="M4654" t="inlineStr">
        <is>
          <t>19:51:15</t>
        </is>
      </c>
    </row>
    <row r="4655" ht="15" customHeight="1" s="37">
      <c r="A4655" t="n">
        <v>9</v>
      </c>
      <c r="B4655" s="10" t="inlineStr">
        <is>
          <t>休日</t>
        </is>
      </c>
      <c r="C4655" s="10" t="inlineStr">
        <is>
          <t>本線</t>
        </is>
      </c>
      <c r="D4655" s="10" t="inlineStr">
        <is>
          <t>上り</t>
        </is>
      </c>
      <c r="E4655" t="inlineStr">
        <is>
          <t>1908</t>
        </is>
      </c>
      <c r="F4655" t="inlineStr">
        <is>
          <t>2221</t>
        </is>
      </c>
      <c r="G4655" s="10" t="inlineStr">
        <is>
          <t>西院</t>
        </is>
      </c>
      <c r="H4655" s="10" t="inlineStr">
        <is>
          <t>発</t>
        </is>
      </c>
      <c r="J4655" s="10" t="inlineStr">
        <is>
          <t>営業</t>
        </is>
      </c>
      <c r="L4655" t="inlineStr">
        <is>
          <t>19:53:10</t>
        </is>
      </c>
      <c r="M4655" t="inlineStr">
        <is>
          <t>19:54:05</t>
        </is>
      </c>
    </row>
    <row r="4656" ht="15" customHeight="1" s="37">
      <c r="A4656" t="n">
        <v>9</v>
      </c>
      <c r="B4656" s="10" t="inlineStr">
        <is>
          <t>休日</t>
        </is>
      </c>
      <c r="C4656" s="10" t="inlineStr">
        <is>
          <t>本線</t>
        </is>
      </c>
      <c r="D4656" s="10" t="inlineStr">
        <is>
          <t>上り</t>
        </is>
      </c>
      <c r="E4656" t="inlineStr">
        <is>
          <t>1908</t>
        </is>
      </c>
      <c r="F4656" t="inlineStr">
        <is>
          <t>2221</t>
        </is>
      </c>
      <c r="G4656" s="10" t="inlineStr">
        <is>
          <t>四条大宮</t>
        </is>
      </c>
      <c r="H4656" s="10" t="inlineStr">
        <is>
          <t>着</t>
        </is>
      </c>
      <c r="J4656" s="10" t="inlineStr">
        <is>
          <t>営業</t>
        </is>
      </c>
      <c r="L4656" t="inlineStr">
        <is>
          <t>19:57:00</t>
        </is>
      </c>
      <c r="Q4656" t="inlineStr">
        <is>
          <t>1</t>
        </is>
      </c>
    </row>
    <row r="4657" ht="15" customHeight="1" s="37">
      <c r="A4657" t="n">
        <v>9</v>
      </c>
      <c r="B4657" s="10" t="inlineStr">
        <is>
          <t>休日</t>
        </is>
      </c>
      <c r="C4657" s="10" t="inlineStr">
        <is>
          <t>本線</t>
        </is>
      </c>
      <c r="D4657" s="10" t="inlineStr">
        <is>
          <t>下り</t>
        </is>
      </c>
      <c r="E4657" t="inlineStr">
        <is>
          <t>2001</t>
        </is>
      </c>
      <c r="F4657" t="inlineStr">
        <is>
          <t>0122</t>
        </is>
      </c>
      <c r="G4657" s="10" t="inlineStr">
        <is>
          <t>四条大宮</t>
        </is>
      </c>
      <c r="H4657" s="10" t="inlineStr">
        <is>
          <t>発</t>
        </is>
      </c>
      <c r="J4657" s="10" t="inlineStr">
        <is>
          <t>営業</t>
        </is>
      </c>
      <c r="M4657" t="inlineStr">
        <is>
          <t>20:03:00</t>
        </is>
      </c>
      <c r="Q4657" t="inlineStr">
        <is>
          <t>1</t>
        </is>
      </c>
    </row>
    <row r="4658" ht="15" customHeight="1" s="37">
      <c r="A4658" t="n">
        <v>9</v>
      </c>
      <c r="B4658" s="10" t="inlineStr">
        <is>
          <t>休日</t>
        </is>
      </c>
      <c r="C4658" s="10" t="inlineStr">
        <is>
          <t>本線</t>
        </is>
      </c>
      <c r="D4658" s="10" t="inlineStr">
        <is>
          <t>下り</t>
        </is>
      </c>
      <c r="E4658" t="inlineStr">
        <is>
          <t>2001</t>
        </is>
      </c>
      <c r="F4658" t="inlineStr">
        <is>
          <t>0122</t>
        </is>
      </c>
      <c r="G4658" s="10" t="inlineStr">
        <is>
          <t>西院</t>
        </is>
      </c>
      <c r="H4658" s="10" t="inlineStr">
        <is>
          <t>発</t>
        </is>
      </c>
      <c r="J4658" s="10" t="inlineStr">
        <is>
          <t>営業</t>
        </is>
      </c>
      <c r="L4658" t="inlineStr">
        <is>
          <t>20:05:50</t>
        </is>
      </c>
      <c r="M4658" t="inlineStr">
        <is>
          <t>20:06:20</t>
        </is>
      </c>
    </row>
    <row r="4659" ht="15" customHeight="1" s="37">
      <c r="A4659" t="n">
        <v>9</v>
      </c>
      <c r="B4659" s="10" t="inlineStr">
        <is>
          <t>休日</t>
        </is>
      </c>
      <c r="C4659" s="10" t="inlineStr">
        <is>
          <t>本線</t>
        </is>
      </c>
      <c r="D4659" s="10" t="inlineStr">
        <is>
          <t>下り</t>
        </is>
      </c>
      <c r="E4659" t="inlineStr">
        <is>
          <t>2001</t>
        </is>
      </c>
      <c r="F4659" t="inlineStr">
        <is>
          <t>0122</t>
        </is>
      </c>
      <c r="G4659" s="10" t="inlineStr">
        <is>
          <t>西大路三条</t>
        </is>
      </c>
      <c r="H4659" s="10" t="inlineStr">
        <is>
          <t>発</t>
        </is>
      </c>
      <c r="J4659" s="10" t="inlineStr">
        <is>
          <t>営業</t>
        </is>
      </c>
      <c r="L4659" t="inlineStr">
        <is>
          <t>20:08:10</t>
        </is>
      </c>
      <c r="M4659" t="inlineStr">
        <is>
          <t>20:08:30</t>
        </is>
      </c>
    </row>
    <row r="4660" ht="15" customHeight="1" s="37">
      <c r="A4660" t="n">
        <v>9</v>
      </c>
      <c r="B4660" s="10" t="inlineStr">
        <is>
          <t>休日</t>
        </is>
      </c>
      <c r="C4660" s="10" t="inlineStr">
        <is>
          <t>本線</t>
        </is>
      </c>
      <c r="D4660" s="10" t="inlineStr">
        <is>
          <t>下り</t>
        </is>
      </c>
      <c r="E4660" t="inlineStr">
        <is>
          <t>2001</t>
        </is>
      </c>
      <c r="F4660" t="inlineStr">
        <is>
          <t>0122</t>
        </is>
      </c>
      <c r="G4660" s="10" t="inlineStr">
        <is>
          <t>山ノ内</t>
        </is>
      </c>
      <c r="H4660" s="10" t="inlineStr">
        <is>
          <t>発</t>
        </is>
      </c>
      <c r="J4660" s="10" t="inlineStr">
        <is>
          <t>営業</t>
        </is>
      </c>
      <c r="L4660" t="inlineStr">
        <is>
          <t>20:10:25</t>
        </is>
      </c>
      <c r="M4660" t="inlineStr">
        <is>
          <t>20:10:50</t>
        </is>
      </c>
    </row>
    <row r="4661" ht="15" customHeight="1" s="37">
      <c r="A4661" t="n">
        <v>9</v>
      </c>
      <c r="B4661" s="10" t="inlineStr">
        <is>
          <t>休日</t>
        </is>
      </c>
      <c r="C4661" s="10" t="inlineStr">
        <is>
          <t>本線</t>
        </is>
      </c>
      <c r="D4661" s="10" t="inlineStr">
        <is>
          <t>下り</t>
        </is>
      </c>
      <c r="E4661" t="inlineStr">
        <is>
          <t>2001</t>
        </is>
      </c>
      <c r="F4661" t="inlineStr">
        <is>
          <t>0122</t>
        </is>
      </c>
      <c r="G4661" s="10" t="inlineStr">
        <is>
          <t>天神川</t>
        </is>
      </c>
      <c r="H4661" s="10" t="inlineStr">
        <is>
          <t>発</t>
        </is>
      </c>
      <c r="J4661" s="10" t="inlineStr">
        <is>
          <t>営業</t>
        </is>
      </c>
      <c r="L4661" t="inlineStr">
        <is>
          <t>20:12:50</t>
        </is>
      </c>
      <c r="M4661" t="inlineStr">
        <is>
          <t>20:13:30</t>
        </is>
      </c>
    </row>
    <row r="4662" ht="15" customHeight="1" s="37">
      <c r="A4662" t="n">
        <v>9</v>
      </c>
      <c r="B4662" s="10" t="inlineStr">
        <is>
          <t>休日</t>
        </is>
      </c>
      <c r="C4662" s="10" t="inlineStr">
        <is>
          <t>本線</t>
        </is>
      </c>
      <c r="D4662" s="10" t="inlineStr">
        <is>
          <t>下り</t>
        </is>
      </c>
      <c r="E4662" t="inlineStr">
        <is>
          <t>2001</t>
        </is>
      </c>
      <c r="F4662" t="inlineStr">
        <is>
          <t>0122</t>
        </is>
      </c>
      <c r="G4662" s="10" t="inlineStr">
        <is>
          <t>蚕ノ社</t>
        </is>
      </c>
      <c r="H4662" s="10" t="inlineStr">
        <is>
          <t>発</t>
        </is>
      </c>
      <c r="J4662" s="10" t="inlineStr">
        <is>
          <t>営業</t>
        </is>
      </c>
      <c r="L4662" t="inlineStr">
        <is>
          <t>20:14:20</t>
        </is>
      </c>
      <c r="M4662" t="inlineStr">
        <is>
          <t>20:14:40</t>
        </is>
      </c>
    </row>
    <row r="4663" ht="15" customHeight="1" s="37">
      <c r="A4663" t="n">
        <v>9</v>
      </c>
      <c r="B4663" s="10" t="inlineStr">
        <is>
          <t>休日</t>
        </is>
      </c>
      <c r="C4663" s="10" t="inlineStr">
        <is>
          <t>本線</t>
        </is>
      </c>
      <c r="D4663" s="10" t="inlineStr">
        <is>
          <t>下り</t>
        </is>
      </c>
      <c r="E4663" t="inlineStr">
        <is>
          <t>2001</t>
        </is>
      </c>
      <c r="F4663" t="inlineStr">
        <is>
          <t>0122</t>
        </is>
      </c>
      <c r="G4663" s="10" t="inlineStr">
        <is>
          <t>太秦広隆寺</t>
        </is>
      </c>
      <c r="H4663" s="10" t="inlineStr">
        <is>
          <t>発</t>
        </is>
      </c>
      <c r="J4663" s="10" t="inlineStr">
        <is>
          <t>営業</t>
        </is>
      </c>
      <c r="L4663" t="inlineStr">
        <is>
          <t>20:16:00</t>
        </is>
      </c>
      <c r="M4663" t="inlineStr">
        <is>
          <t>20:16:20</t>
        </is>
      </c>
    </row>
    <row r="4664" ht="15" customHeight="1" s="37">
      <c r="A4664" t="n">
        <v>9</v>
      </c>
      <c r="B4664" s="10" t="inlineStr">
        <is>
          <t>休日</t>
        </is>
      </c>
      <c r="C4664" s="10" t="inlineStr">
        <is>
          <t>本線</t>
        </is>
      </c>
      <c r="D4664" s="10" t="inlineStr">
        <is>
          <t>下り</t>
        </is>
      </c>
      <c r="E4664" t="inlineStr">
        <is>
          <t>2001</t>
        </is>
      </c>
      <c r="F4664" t="inlineStr">
        <is>
          <t>0122</t>
        </is>
      </c>
      <c r="G4664" s="10" t="inlineStr">
        <is>
          <t>帷子ノ辻</t>
        </is>
      </c>
      <c r="H4664" s="10" t="inlineStr">
        <is>
          <t>発</t>
        </is>
      </c>
      <c r="J4664" s="10" t="inlineStr">
        <is>
          <t>営業</t>
        </is>
      </c>
      <c r="L4664" t="inlineStr">
        <is>
          <t>20:18:20</t>
        </is>
      </c>
      <c r="M4664" t="inlineStr">
        <is>
          <t>20:19:40</t>
        </is>
      </c>
    </row>
    <row r="4665" ht="15" customHeight="1" s="37">
      <c r="A4665" t="n">
        <v>9</v>
      </c>
      <c r="B4665" s="10" t="inlineStr">
        <is>
          <t>休日</t>
        </is>
      </c>
      <c r="C4665" s="10" t="inlineStr">
        <is>
          <t>本線</t>
        </is>
      </c>
      <c r="D4665" s="10" t="inlineStr">
        <is>
          <t>下り</t>
        </is>
      </c>
      <c r="E4665" t="inlineStr">
        <is>
          <t>2001</t>
        </is>
      </c>
      <c r="F4665" t="inlineStr">
        <is>
          <t>0122</t>
        </is>
      </c>
      <c r="G4665" s="10" t="inlineStr">
        <is>
          <t>有栖川</t>
        </is>
      </c>
      <c r="H4665" s="10" t="inlineStr">
        <is>
          <t>発</t>
        </is>
      </c>
      <c r="J4665" s="10" t="inlineStr">
        <is>
          <t>営業</t>
        </is>
      </c>
      <c r="L4665" t="inlineStr">
        <is>
          <t>20:20:50</t>
        </is>
      </c>
      <c r="M4665" t="inlineStr">
        <is>
          <t>20:21:15</t>
        </is>
      </c>
    </row>
    <row r="4666" ht="15" customHeight="1" s="37">
      <c r="A4666" t="n">
        <v>9</v>
      </c>
      <c r="B4666" s="10" t="inlineStr">
        <is>
          <t>休日</t>
        </is>
      </c>
      <c r="C4666" s="10" t="inlineStr">
        <is>
          <t>本線</t>
        </is>
      </c>
      <c r="D4666" s="10" t="inlineStr">
        <is>
          <t>下り</t>
        </is>
      </c>
      <c r="E4666" t="inlineStr">
        <is>
          <t>2001</t>
        </is>
      </c>
      <c r="F4666" t="inlineStr">
        <is>
          <t>0122</t>
        </is>
      </c>
      <c r="G4666" s="10" t="inlineStr">
        <is>
          <t>車折</t>
        </is>
      </c>
      <c r="H4666" s="10" t="inlineStr">
        <is>
          <t>発</t>
        </is>
      </c>
      <c r="J4666" s="10" t="inlineStr">
        <is>
          <t>営業</t>
        </is>
      </c>
      <c r="L4666" t="inlineStr">
        <is>
          <t>20:22:40</t>
        </is>
      </c>
      <c r="M4666" t="inlineStr">
        <is>
          <t>20:23:05</t>
        </is>
      </c>
    </row>
    <row r="4667" ht="15" customHeight="1" s="37">
      <c r="A4667" t="n">
        <v>9</v>
      </c>
      <c r="B4667" s="10" t="inlineStr">
        <is>
          <t>休日</t>
        </is>
      </c>
      <c r="C4667" s="10" t="inlineStr">
        <is>
          <t>本線</t>
        </is>
      </c>
      <c r="D4667" s="10" t="inlineStr">
        <is>
          <t>下り</t>
        </is>
      </c>
      <c r="E4667" t="inlineStr">
        <is>
          <t>2001</t>
        </is>
      </c>
      <c r="F4667" t="inlineStr">
        <is>
          <t>0122</t>
        </is>
      </c>
      <c r="G4667" s="10" t="inlineStr">
        <is>
          <t>鹿王院</t>
        </is>
      </c>
      <c r="H4667" s="10" t="inlineStr">
        <is>
          <t>発</t>
        </is>
      </c>
      <c r="J4667" s="10" t="inlineStr">
        <is>
          <t>営業</t>
        </is>
      </c>
      <c r="L4667" t="inlineStr">
        <is>
          <t>20:24:00</t>
        </is>
      </c>
      <c r="M4667" t="inlineStr">
        <is>
          <t>20:24:25</t>
        </is>
      </c>
    </row>
    <row r="4668" ht="15" customHeight="1" s="37">
      <c r="A4668" t="n">
        <v>9</v>
      </c>
      <c r="B4668" s="10" t="inlineStr">
        <is>
          <t>休日</t>
        </is>
      </c>
      <c r="C4668" s="10" t="inlineStr">
        <is>
          <t>本線</t>
        </is>
      </c>
      <c r="D4668" s="10" t="inlineStr">
        <is>
          <t>下り</t>
        </is>
      </c>
      <c r="E4668" t="inlineStr">
        <is>
          <t>2001</t>
        </is>
      </c>
      <c r="F4668" t="inlineStr">
        <is>
          <t>0122</t>
        </is>
      </c>
      <c r="G4668" s="10" t="inlineStr">
        <is>
          <t>嵯峨</t>
        </is>
      </c>
      <c r="H4668" s="10" t="inlineStr">
        <is>
          <t>発</t>
        </is>
      </c>
      <c r="J4668" s="10" t="inlineStr">
        <is>
          <t>営業</t>
        </is>
      </c>
      <c r="L4668" t="inlineStr">
        <is>
          <t>20:25:30</t>
        </is>
      </c>
      <c r="M4668" t="inlineStr">
        <is>
          <t>20:25:55</t>
        </is>
      </c>
    </row>
    <row r="4669" ht="15" customHeight="1" s="37">
      <c r="A4669" t="n">
        <v>9</v>
      </c>
      <c r="B4669" s="10" t="inlineStr">
        <is>
          <t>休日</t>
        </is>
      </c>
      <c r="C4669" s="10" t="inlineStr">
        <is>
          <t>本線</t>
        </is>
      </c>
      <c r="D4669" s="10" t="inlineStr">
        <is>
          <t>下り</t>
        </is>
      </c>
      <c r="E4669" t="inlineStr">
        <is>
          <t>2001</t>
        </is>
      </c>
      <c r="F4669" t="inlineStr">
        <is>
          <t>0122</t>
        </is>
      </c>
      <c r="G4669" s="10" t="inlineStr">
        <is>
          <t>嵐山</t>
        </is>
      </c>
      <c r="H4669" s="10" t="inlineStr">
        <is>
          <t>着</t>
        </is>
      </c>
      <c r="J4669" s="10" t="inlineStr">
        <is>
          <t>営業</t>
        </is>
      </c>
      <c r="L4669" t="inlineStr">
        <is>
          <t>20:27:00</t>
        </is>
      </c>
      <c r="N4669" t="inlineStr">
        <is>
          <t>○</t>
        </is>
      </c>
      <c r="Q4669" t="inlineStr">
        <is>
          <t>1</t>
        </is>
      </c>
    </row>
    <row r="4670" ht="15" customHeight="1" s="37">
      <c r="A4670" t="n">
        <v>9</v>
      </c>
      <c r="B4670" s="10" t="inlineStr">
        <is>
          <t>休日</t>
        </is>
      </c>
      <c r="C4670" s="10" t="inlineStr">
        <is>
          <t>本線</t>
        </is>
      </c>
      <c r="D4670" s="10" t="inlineStr">
        <is>
          <t>上り</t>
        </is>
      </c>
      <c r="E4670" t="inlineStr">
        <is>
          <t>2008</t>
        </is>
      </c>
      <c r="F4670" t="inlineStr">
        <is>
          <t>0221</t>
        </is>
      </c>
      <c r="G4670" s="10" t="inlineStr">
        <is>
          <t>嵐山</t>
        </is>
      </c>
      <c r="H4670" s="10" t="inlineStr">
        <is>
          <t>発</t>
        </is>
      </c>
      <c r="J4670" s="10" t="inlineStr">
        <is>
          <t>営業</t>
        </is>
      </c>
      <c r="M4670" t="inlineStr">
        <is>
          <t>20:34:00</t>
        </is>
      </c>
      <c r="Q4670" t="inlineStr">
        <is>
          <t>1</t>
        </is>
      </c>
    </row>
    <row r="4671" ht="15" customHeight="1" s="37">
      <c r="A4671" t="n">
        <v>9</v>
      </c>
      <c r="B4671" s="10" t="inlineStr">
        <is>
          <t>休日</t>
        </is>
      </c>
      <c r="C4671" s="10" t="inlineStr">
        <is>
          <t>本線</t>
        </is>
      </c>
      <c r="D4671" s="10" t="inlineStr">
        <is>
          <t>上り</t>
        </is>
      </c>
      <c r="E4671" t="inlineStr">
        <is>
          <t>2008</t>
        </is>
      </c>
      <c r="F4671" t="inlineStr">
        <is>
          <t>0221</t>
        </is>
      </c>
      <c r="G4671" s="10" t="inlineStr">
        <is>
          <t>嵯峨</t>
        </is>
      </c>
      <c r="H4671" s="10" t="inlineStr">
        <is>
          <t>発</t>
        </is>
      </c>
      <c r="J4671" s="10" t="inlineStr">
        <is>
          <t>営業</t>
        </is>
      </c>
      <c r="L4671" t="inlineStr">
        <is>
          <t>20:34:55</t>
        </is>
      </c>
      <c r="M4671" t="inlineStr">
        <is>
          <t>20:35:10</t>
        </is>
      </c>
    </row>
    <row r="4672" ht="15" customHeight="1" s="37">
      <c r="A4672" t="n">
        <v>9</v>
      </c>
      <c r="B4672" s="10" t="inlineStr">
        <is>
          <t>休日</t>
        </is>
      </c>
      <c r="C4672" s="10" t="inlineStr">
        <is>
          <t>本線</t>
        </is>
      </c>
      <c r="D4672" s="10" t="inlineStr">
        <is>
          <t>上り</t>
        </is>
      </c>
      <c r="E4672" t="inlineStr">
        <is>
          <t>2008</t>
        </is>
      </c>
      <c r="F4672" t="inlineStr">
        <is>
          <t>0221</t>
        </is>
      </c>
      <c r="G4672" s="10" t="inlineStr">
        <is>
          <t>鹿王院</t>
        </is>
      </c>
      <c r="H4672" s="10" t="inlineStr">
        <is>
          <t>発</t>
        </is>
      </c>
      <c r="J4672" s="10" t="inlineStr">
        <is>
          <t>営業</t>
        </is>
      </c>
      <c r="L4672" t="inlineStr">
        <is>
          <t>20:36:15</t>
        </is>
      </c>
      <c r="M4672" t="inlineStr">
        <is>
          <t>20:36:30</t>
        </is>
      </c>
    </row>
    <row r="4673" ht="15" customHeight="1" s="37">
      <c r="A4673" t="n">
        <v>9</v>
      </c>
      <c r="B4673" s="10" t="inlineStr">
        <is>
          <t>休日</t>
        </is>
      </c>
      <c r="C4673" s="10" t="inlineStr">
        <is>
          <t>本線</t>
        </is>
      </c>
      <c r="D4673" s="10" t="inlineStr">
        <is>
          <t>上り</t>
        </is>
      </c>
      <c r="E4673" t="inlineStr">
        <is>
          <t>2008</t>
        </is>
      </c>
      <c r="F4673" t="inlineStr">
        <is>
          <t>0221</t>
        </is>
      </c>
      <c r="G4673" s="10" t="inlineStr">
        <is>
          <t>車折</t>
        </is>
      </c>
      <c r="H4673" s="10" t="inlineStr">
        <is>
          <t>発</t>
        </is>
      </c>
      <c r="J4673" s="10" t="inlineStr">
        <is>
          <t>営業</t>
        </is>
      </c>
      <c r="L4673" t="inlineStr">
        <is>
          <t>20:37:25</t>
        </is>
      </c>
      <c r="M4673" t="inlineStr">
        <is>
          <t>20:37:40</t>
        </is>
      </c>
    </row>
    <row r="4674" ht="15" customHeight="1" s="37">
      <c r="A4674" t="n">
        <v>9</v>
      </c>
      <c r="B4674" s="10" t="inlineStr">
        <is>
          <t>休日</t>
        </is>
      </c>
      <c r="C4674" s="10" t="inlineStr">
        <is>
          <t>本線</t>
        </is>
      </c>
      <c r="D4674" s="10" t="inlineStr">
        <is>
          <t>上り</t>
        </is>
      </c>
      <c r="E4674" t="inlineStr">
        <is>
          <t>2008</t>
        </is>
      </c>
      <c r="F4674" t="inlineStr">
        <is>
          <t>0221</t>
        </is>
      </c>
      <c r="G4674" s="10" t="inlineStr">
        <is>
          <t>有栖川</t>
        </is>
      </c>
      <c r="H4674" s="10" t="inlineStr">
        <is>
          <t>発</t>
        </is>
      </c>
      <c r="J4674" s="10" t="inlineStr">
        <is>
          <t>営業</t>
        </is>
      </c>
      <c r="L4674" t="inlineStr">
        <is>
          <t>20:39:05</t>
        </is>
      </c>
      <c r="M4674" t="inlineStr">
        <is>
          <t>20:39:20</t>
        </is>
      </c>
    </row>
    <row r="4675" ht="15" customHeight="1" s="37">
      <c r="A4675" t="n">
        <v>9</v>
      </c>
      <c r="B4675" s="10" t="inlineStr">
        <is>
          <t>休日</t>
        </is>
      </c>
      <c r="C4675" s="10" t="inlineStr">
        <is>
          <t>本線</t>
        </is>
      </c>
      <c r="D4675" s="10" t="inlineStr">
        <is>
          <t>上り</t>
        </is>
      </c>
      <c r="E4675" t="inlineStr">
        <is>
          <t>2008</t>
        </is>
      </c>
      <c r="F4675" t="inlineStr">
        <is>
          <t>0221</t>
        </is>
      </c>
      <c r="G4675" s="10" t="inlineStr">
        <is>
          <t>帷子ノ辻</t>
        </is>
      </c>
      <c r="H4675" s="10" t="inlineStr">
        <is>
          <t>発</t>
        </is>
      </c>
      <c r="J4675" s="10" t="inlineStr">
        <is>
          <t>営業</t>
        </is>
      </c>
      <c r="L4675" t="inlineStr">
        <is>
          <t>20:40:35</t>
        </is>
      </c>
      <c r="M4675" t="inlineStr">
        <is>
          <t>20:41:05</t>
        </is>
      </c>
    </row>
    <row r="4676" ht="15" customHeight="1" s="37">
      <c r="A4676" t="n">
        <v>9</v>
      </c>
      <c r="B4676" s="10" t="inlineStr">
        <is>
          <t>休日</t>
        </is>
      </c>
      <c r="C4676" s="10" t="inlineStr">
        <is>
          <t>本線</t>
        </is>
      </c>
      <c r="D4676" s="10" t="inlineStr">
        <is>
          <t>上り</t>
        </is>
      </c>
      <c r="E4676" t="inlineStr">
        <is>
          <t>2008</t>
        </is>
      </c>
      <c r="F4676" t="inlineStr">
        <is>
          <t>0221</t>
        </is>
      </c>
      <c r="G4676" s="10" t="inlineStr">
        <is>
          <t>太秦広隆寺</t>
        </is>
      </c>
      <c r="H4676" s="10" t="inlineStr">
        <is>
          <t>発</t>
        </is>
      </c>
      <c r="J4676" s="10" t="inlineStr">
        <is>
          <t>営業</t>
        </is>
      </c>
      <c r="L4676" t="inlineStr">
        <is>
          <t>20:43:15</t>
        </is>
      </c>
      <c r="M4676" t="inlineStr">
        <is>
          <t>20:43:35</t>
        </is>
      </c>
    </row>
    <row r="4677" ht="15" customHeight="1" s="37">
      <c r="A4677" t="n">
        <v>9</v>
      </c>
      <c r="B4677" s="10" t="inlineStr">
        <is>
          <t>休日</t>
        </is>
      </c>
      <c r="C4677" s="10" t="inlineStr">
        <is>
          <t>本線</t>
        </is>
      </c>
      <c r="D4677" s="10" t="inlineStr">
        <is>
          <t>上り</t>
        </is>
      </c>
      <c r="E4677" t="inlineStr">
        <is>
          <t>2008</t>
        </is>
      </c>
      <c r="F4677" t="inlineStr">
        <is>
          <t>0221</t>
        </is>
      </c>
      <c r="G4677" s="10" t="inlineStr">
        <is>
          <t>蚕ノ社</t>
        </is>
      </c>
      <c r="H4677" s="10" t="inlineStr">
        <is>
          <t>発</t>
        </is>
      </c>
      <c r="J4677" s="10" t="inlineStr">
        <is>
          <t>営業</t>
        </is>
      </c>
      <c r="L4677" t="inlineStr">
        <is>
          <t>20:44:50</t>
        </is>
      </c>
      <c r="M4677" t="inlineStr">
        <is>
          <t>20:45:10</t>
        </is>
      </c>
    </row>
    <row r="4678" ht="15" customHeight="1" s="37">
      <c r="A4678" t="n">
        <v>9</v>
      </c>
      <c r="B4678" s="10" t="inlineStr">
        <is>
          <t>休日</t>
        </is>
      </c>
      <c r="C4678" s="10" t="inlineStr">
        <is>
          <t>本線</t>
        </is>
      </c>
      <c r="D4678" s="10" t="inlineStr">
        <is>
          <t>上り</t>
        </is>
      </c>
      <c r="E4678" t="inlineStr">
        <is>
          <t>2008</t>
        </is>
      </c>
      <c r="F4678" t="inlineStr">
        <is>
          <t>0221</t>
        </is>
      </c>
      <c r="G4678" s="10" t="inlineStr">
        <is>
          <t>天神川</t>
        </is>
      </c>
      <c r="H4678" s="10" t="inlineStr">
        <is>
          <t>発</t>
        </is>
      </c>
      <c r="J4678" s="10" t="inlineStr">
        <is>
          <t>営業</t>
        </is>
      </c>
      <c r="L4678" t="inlineStr">
        <is>
          <t>20:45:55</t>
        </is>
      </c>
      <c r="M4678" t="inlineStr">
        <is>
          <t>20:46:20</t>
        </is>
      </c>
    </row>
    <row r="4679" ht="15" customHeight="1" s="37">
      <c r="A4679" t="n">
        <v>9</v>
      </c>
      <c r="B4679" s="10" t="inlineStr">
        <is>
          <t>休日</t>
        </is>
      </c>
      <c r="C4679" s="10" t="inlineStr">
        <is>
          <t>本線</t>
        </is>
      </c>
      <c r="D4679" s="10" t="inlineStr">
        <is>
          <t>上り</t>
        </is>
      </c>
      <c r="E4679" t="inlineStr">
        <is>
          <t>2008</t>
        </is>
      </c>
      <c r="F4679" t="inlineStr">
        <is>
          <t>0221</t>
        </is>
      </c>
      <c r="G4679" s="10" t="inlineStr">
        <is>
          <t>山ノ内</t>
        </is>
      </c>
      <c r="H4679" s="10" t="inlineStr">
        <is>
          <t>発</t>
        </is>
      </c>
      <c r="J4679" s="10" t="inlineStr">
        <is>
          <t>営業</t>
        </is>
      </c>
      <c r="L4679" t="inlineStr">
        <is>
          <t>20:48:10</t>
        </is>
      </c>
      <c r="M4679" t="inlineStr">
        <is>
          <t>20:48:35</t>
        </is>
      </c>
    </row>
    <row r="4680" ht="15" customHeight="1" s="37">
      <c r="A4680" t="n">
        <v>9</v>
      </c>
      <c r="B4680" s="10" t="inlineStr">
        <is>
          <t>休日</t>
        </is>
      </c>
      <c r="C4680" s="10" t="inlineStr">
        <is>
          <t>本線</t>
        </is>
      </c>
      <c r="D4680" s="10" t="inlineStr">
        <is>
          <t>上り</t>
        </is>
      </c>
      <c r="E4680" t="inlineStr">
        <is>
          <t>2008</t>
        </is>
      </c>
      <c r="F4680" t="inlineStr">
        <is>
          <t>0221</t>
        </is>
      </c>
      <c r="G4680" s="10" t="inlineStr">
        <is>
          <t>西大路三条</t>
        </is>
      </c>
      <c r="H4680" s="10" t="inlineStr">
        <is>
          <t>発</t>
        </is>
      </c>
      <c r="J4680" s="10" t="inlineStr">
        <is>
          <t>営業</t>
        </is>
      </c>
      <c r="L4680" t="inlineStr">
        <is>
          <t>20:50:25</t>
        </is>
      </c>
      <c r="M4680" t="inlineStr">
        <is>
          <t>20:50:40</t>
        </is>
      </c>
    </row>
    <row r="4681" ht="15" customHeight="1" s="37">
      <c r="A4681" t="n">
        <v>9</v>
      </c>
      <c r="B4681" s="10" t="inlineStr">
        <is>
          <t>休日</t>
        </is>
      </c>
      <c r="C4681" s="10" t="inlineStr">
        <is>
          <t>本線</t>
        </is>
      </c>
      <c r="D4681" s="10" t="inlineStr">
        <is>
          <t>上り</t>
        </is>
      </c>
      <c r="E4681" t="inlineStr">
        <is>
          <t>2008</t>
        </is>
      </c>
      <c r="F4681" t="inlineStr">
        <is>
          <t>0221</t>
        </is>
      </c>
      <c r="G4681" s="10" t="inlineStr">
        <is>
          <t>西院</t>
        </is>
      </c>
      <c r="H4681" s="10" t="inlineStr">
        <is>
          <t>発</t>
        </is>
      </c>
      <c r="J4681" s="10" t="inlineStr">
        <is>
          <t>営業</t>
        </is>
      </c>
      <c r="L4681" t="inlineStr">
        <is>
          <t>20:52:35</t>
        </is>
      </c>
      <c r="M4681" t="inlineStr">
        <is>
          <t>20:53:05</t>
        </is>
      </c>
    </row>
    <row r="4682" ht="15" customHeight="1" s="37">
      <c r="A4682" t="n">
        <v>9</v>
      </c>
      <c r="B4682" s="10" t="inlineStr">
        <is>
          <t>休日</t>
        </is>
      </c>
      <c r="C4682" s="10" t="inlineStr">
        <is>
          <t>本線</t>
        </is>
      </c>
      <c r="D4682" s="10" t="inlineStr">
        <is>
          <t>上り</t>
        </is>
      </c>
      <c r="E4682" t="inlineStr">
        <is>
          <t>2008</t>
        </is>
      </c>
      <c r="F4682" t="inlineStr">
        <is>
          <t>0221</t>
        </is>
      </c>
      <c r="G4682" s="10" t="inlineStr">
        <is>
          <t>四条大宮</t>
        </is>
      </c>
      <c r="H4682" s="10" t="inlineStr">
        <is>
          <t>着</t>
        </is>
      </c>
      <c r="J4682" s="10" t="inlineStr">
        <is>
          <t>営業</t>
        </is>
      </c>
      <c r="L4682" t="inlineStr">
        <is>
          <t>20:56:00</t>
        </is>
      </c>
      <c r="N4682" t="inlineStr">
        <is>
          <t>○</t>
        </is>
      </c>
      <c r="Q4682" t="inlineStr">
        <is>
          <t>1</t>
        </is>
      </c>
    </row>
    <row r="4683" ht="15" customHeight="1" s="37">
      <c r="A4683" t="n">
        <v>9</v>
      </c>
      <c r="B4683" s="10" t="inlineStr">
        <is>
          <t>休日</t>
        </is>
      </c>
      <c r="C4683" s="10" t="inlineStr">
        <is>
          <t>本線</t>
        </is>
      </c>
      <c r="D4683" s="10" t="inlineStr">
        <is>
          <t>下り</t>
        </is>
      </c>
      <c r="E4683" t="inlineStr">
        <is>
          <t>2101</t>
        </is>
      </c>
      <c r="F4683" t="inlineStr">
        <is>
          <t>0122</t>
        </is>
      </c>
      <c r="G4683" s="10" t="inlineStr">
        <is>
          <t>四条大宮</t>
        </is>
      </c>
      <c r="H4683" s="10" t="inlineStr">
        <is>
          <t>発</t>
        </is>
      </c>
      <c r="J4683" s="10" t="inlineStr">
        <is>
          <t>営業</t>
        </is>
      </c>
      <c r="M4683" t="inlineStr">
        <is>
          <t>21:03:00</t>
        </is>
      </c>
      <c r="Q4683" t="inlineStr">
        <is>
          <t>1</t>
        </is>
      </c>
    </row>
    <row r="4684" ht="15" customHeight="1" s="37">
      <c r="A4684" t="n">
        <v>9</v>
      </c>
      <c r="B4684" s="10" t="inlineStr">
        <is>
          <t>休日</t>
        </is>
      </c>
      <c r="C4684" s="10" t="inlineStr">
        <is>
          <t>本線</t>
        </is>
      </c>
      <c r="D4684" s="10" t="inlineStr">
        <is>
          <t>下り</t>
        </is>
      </c>
      <c r="E4684" t="inlineStr">
        <is>
          <t>2101</t>
        </is>
      </c>
      <c r="F4684" t="inlineStr">
        <is>
          <t>0122</t>
        </is>
      </c>
      <c r="G4684" s="10" t="inlineStr">
        <is>
          <t>西院</t>
        </is>
      </c>
      <c r="H4684" s="10" t="inlineStr">
        <is>
          <t>発</t>
        </is>
      </c>
      <c r="J4684" s="10" t="inlineStr">
        <is>
          <t>営業</t>
        </is>
      </c>
      <c r="L4684" t="inlineStr">
        <is>
          <t>21:05:50</t>
        </is>
      </c>
      <c r="M4684" t="inlineStr">
        <is>
          <t>21:06:20</t>
        </is>
      </c>
    </row>
    <row r="4685" ht="15" customHeight="1" s="37">
      <c r="A4685" t="n">
        <v>9</v>
      </c>
      <c r="B4685" s="10" t="inlineStr">
        <is>
          <t>休日</t>
        </is>
      </c>
      <c r="C4685" s="10" t="inlineStr">
        <is>
          <t>本線</t>
        </is>
      </c>
      <c r="D4685" s="10" t="inlineStr">
        <is>
          <t>下り</t>
        </is>
      </c>
      <c r="E4685" t="inlineStr">
        <is>
          <t>2101</t>
        </is>
      </c>
      <c r="F4685" t="inlineStr">
        <is>
          <t>0122</t>
        </is>
      </c>
      <c r="G4685" s="10" t="inlineStr">
        <is>
          <t>西大路三条</t>
        </is>
      </c>
      <c r="H4685" s="10" t="inlineStr">
        <is>
          <t>発</t>
        </is>
      </c>
      <c r="J4685" s="10" t="inlineStr">
        <is>
          <t>営業</t>
        </is>
      </c>
      <c r="L4685" t="inlineStr">
        <is>
          <t>21:08:10</t>
        </is>
      </c>
      <c r="M4685" t="inlineStr">
        <is>
          <t>21:08:30</t>
        </is>
      </c>
    </row>
    <row r="4686" ht="15" customHeight="1" s="37">
      <c r="A4686" t="n">
        <v>9</v>
      </c>
      <c r="B4686" s="10" t="inlineStr">
        <is>
          <t>休日</t>
        </is>
      </c>
      <c r="C4686" s="10" t="inlineStr">
        <is>
          <t>本線</t>
        </is>
      </c>
      <c r="D4686" s="10" t="inlineStr">
        <is>
          <t>下り</t>
        </is>
      </c>
      <c r="E4686" t="inlineStr">
        <is>
          <t>2101</t>
        </is>
      </c>
      <c r="F4686" t="inlineStr">
        <is>
          <t>0122</t>
        </is>
      </c>
      <c r="G4686" s="10" t="inlineStr">
        <is>
          <t>山ノ内</t>
        </is>
      </c>
      <c r="H4686" s="10" t="inlineStr">
        <is>
          <t>発</t>
        </is>
      </c>
      <c r="J4686" s="10" t="inlineStr">
        <is>
          <t>営業</t>
        </is>
      </c>
      <c r="L4686" t="inlineStr">
        <is>
          <t>21:10:25</t>
        </is>
      </c>
      <c r="M4686" t="inlineStr">
        <is>
          <t>21:10:50</t>
        </is>
      </c>
    </row>
    <row r="4687" ht="15" customHeight="1" s="37">
      <c r="A4687" t="n">
        <v>9</v>
      </c>
      <c r="B4687" s="10" t="inlineStr">
        <is>
          <t>休日</t>
        </is>
      </c>
      <c r="C4687" s="10" t="inlineStr">
        <is>
          <t>本線</t>
        </is>
      </c>
      <c r="D4687" s="10" t="inlineStr">
        <is>
          <t>下り</t>
        </is>
      </c>
      <c r="E4687" t="inlineStr">
        <is>
          <t>2101</t>
        </is>
      </c>
      <c r="F4687" t="inlineStr">
        <is>
          <t>0122</t>
        </is>
      </c>
      <c r="G4687" s="10" t="inlineStr">
        <is>
          <t>天神川</t>
        </is>
      </c>
      <c r="H4687" s="10" t="inlineStr">
        <is>
          <t>発</t>
        </is>
      </c>
      <c r="J4687" s="10" t="inlineStr">
        <is>
          <t>営業</t>
        </is>
      </c>
      <c r="L4687" t="inlineStr">
        <is>
          <t>21:12:50</t>
        </is>
      </c>
      <c r="M4687" t="inlineStr">
        <is>
          <t>21:13:30</t>
        </is>
      </c>
    </row>
    <row r="4688" ht="15" customHeight="1" s="37">
      <c r="A4688" t="n">
        <v>9</v>
      </c>
      <c r="B4688" s="10" t="inlineStr">
        <is>
          <t>休日</t>
        </is>
      </c>
      <c r="C4688" s="10" t="inlineStr">
        <is>
          <t>本線</t>
        </is>
      </c>
      <c r="D4688" s="10" t="inlineStr">
        <is>
          <t>下り</t>
        </is>
      </c>
      <c r="E4688" t="inlineStr">
        <is>
          <t>2101</t>
        </is>
      </c>
      <c r="F4688" t="inlineStr">
        <is>
          <t>0122</t>
        </is>
      </c>
      <c r="G4688" s="10" t="inlineStr">
        <is>
          <t>蚕ノ社</t>
        </is>
      </c>
      <c r="H4688" s="10" t="inlineStr">
        <is>
          <t>発</t>
        </is>
      </c>
      <c r="J4688" s="10" t="inlineStr">
        <is>
          <t>営業</t>
        </is>
      </c>
      <c r="L4688" t="inlineStr">
        <is>
          <t>21:14:20</t>
        </is>
      </c>
      <c r="M4688" t="inlineStr">
        <is>
          <t>21:14:40</t>
        </is>
      </c>
    </row>
    <row r="4689" ht="15" customHeight="1" s="37">
      <c r="A4689" t="n">
        <v>9</v>
      </c>
      <c r="B4689" s="10" t="inlineStr">
        <is>
          <t>休日</t>
        </is>
      </c>
      <c r="C4689" s="10" t="inlineStr">
        <is>
          <t>本線</t>
        </is>
      </c>
      <c r="D4689" s="10" t="inlineStr">
        <is>
          <t>下り</t>
        </is>
      </c>
      <c r="E4689" t="inlineStr">
        <is>
          <t>2101</t>
        </is>
      </c>
      <c r="F4689" t="inlineStr">
        <is>
          <t>0122</t>
        </is>
      </c>
      <c r="G4689" s="10" t="inlineStr">
        <is>
          <t>太秦広隆寺</t>
        </is>
      </c>
      <c r="H4689" s="10" t="inlineStr">
        <is>
          <t>発</t>
        </is>
      </c>
      <c r="J4689" s="10" t="inlineStr">
        <is>
          <t>営業</t>
        </is>
      </c>
      <c r="L4689" t="inlineStr">
        <is>
          <t>21:16:00</t>
        </is>
      </c>
      <c r="M4689" t="inlineStr">
        <is>
          <t>21:16:20</t>
        </is>
      </c>
    </row>
    <row r="4690" ht="15" customHeight="1" s="37">
      <c r="A4690" t="n">
        <v>9</v>
      </c>
      <c r="B4690" s="10" t="inlineStr">
        <is>
          <t>休日</t>
        </is>
      </c>
      <c r="C4690" s="10" t="inlineStr">
        <is>
          <t>本線</t>
        </is>
      </c>
      <c r="D4690" s="10" t="inlineStr">
        <is>
          <t>下り</t>
        </is>
      </c>
      <c r="E4690" t="inlineStr">
        <is>
          <t>2101</t>
        </is>
      </c>
      <c r="F4690" t="inlineStr">
        <is>
          <t>0122</t>
        </is>
      </c>
      <c r="G4690" s="10" t="inlineStr">
        <is>
          <t>帷子ノ辻</t>
        </is>
      </c>
      <c r="H4690" s="10" t="inlineStr">
        <is>
          <t>発</t>
        </is>
      </c>
      <c r="J4690" s="10" t="inlineStr">
        <is>
          <t>営業</t>
        </is>
      </c>
      <c r="L4690" t="inlineStr">
        <is>
          <t>21:18:20</t>
        </is>
      </c>
      <c r="M4690" t="inlineStr">
        <is>
          <t>21:19:40</t>
        </is>
      </c>
    </row>
    <row r="4691" ht="15" customHeight="1" s="37">
      <c r="A4691" t="n">
        <v>9</v>
      </c>
      <c r="B4691" s="10" t="inlineStr">
        <is>
          <t>休日</t>
        </is>
      </c>
      <c r="C4691" s="10" t="inlineStr">
        <is>
          <t>本線</t>
        </is>
      </c>
      <c r="D4691" s="10" t="inlineStr">
        <is>
          <t>下り</t>
        </is>
      </c>
      <c r="E4691" t="inlineStr">
        <is>
          <t>2101</t>
        </is>
      </c>
      <c r="F4691" t="inlineStr">
        <is>
          <t>0122</t>
        </is>
      </c>
      <c r="G4691" s="10" t="inlineStr">
        <is>
          <t>有栖川</t>
        </is>
      </c>
      <c r="H4691" s="10" t="inlineStr">
        <is>
          <t>発</t>
        </is>
      </c>
      <c r="J4691" s="10" t="inlineStr">
        <is>
          <t>営業</t>
        </is>
      </c>
      <c r="L4691" t="inlineStr">
        <is>
          <t>21:20:50</t>
        </is>
      </c>
      <c r="M4691" t="inlineStr">
        <is>
          <t>21:21:15</t>
        </is>
      </c>
    </row>
    <row r="4692" ht="15" customHeight="1" s="37">
      <c r="A4692" t="n">
        <v>9</v>
      </c>
      <c r="B4692" s="10" t="inlineStr">
        <is>
          <t>休日</t>
        </is>
      </c>
      <c r="C4692" s="10" t="inlineStr">
        <is>
          <t>本線</t>
        </is>
      </c>
      <c r="D4692" s="10" t="inlineStr">
        <is>
          <t>下り</t>
        </is>
      </c>
      <c r="E4692" t="inlineStr">
        <is>
          <t>2101</t>
        </is>
      </c>
      <c r="F4692" t="inlineStr">
        <is>
          <t>0122</t>
        </is>
      </c>
      <c r="G4692" s="10" t="inlineStr">
        <is>
          <t>車折</t>
        </is>
      </c>
      <c r="H4692" s="10" t="inlineStr">
        <is>
          <t>発</t>
        </is>
      </c>
      <c r="J4692" s="10" t="inlineStr">
        <is>
          <t>営業</t>
        </is>
      </c>
      <c r="L4692" t="inlineStr">
        <is>
          <t>21:22:40</t>
        </is>
      </c>
      <c r="M4692" t="inlineStr">
        <is>
          <t>21:23:05</t>
        </is>
      </c>
    </row>
    <row r="4693" ht="15" customHeight="1" s="37">
      <c r="A4693" t="n">
        <v>9</v>
      </c>
      <c r="B4693" s="10" t="inlineStr">
        <is>
          <t>休日</t>
        </is>
      </c>
      <c r="C4693" s="10" t="inlineStr">
        <is>
          <t>本線</t>
        </is>
      </c>
      <c r="D4693" s="10" t="inlineStr">
        <is>
          <t>下り</t>
        </is>
      </c>
      <c r="E4693" t="inlineStr">
        <is>
          <t>2101</t>
        </is>
      </c>
      <c r="F4693" t="inlineStr">
        <is>
          <t>0122</t>
        </is>
      </c>
      <c r="G4693" s="10" t="inlineStr">
        <is>
          <t>鹿王院</t>
        </is>
      </c>
      <c r="H4693" s="10" t="inlineStr">
        <is>
          <t>発</t>
        </is>
      </c>
      <c r="J4693" s="10" t="inlineStr">
        <is>
          <t>営業</t>
        </is>
      </c>
      <c r="L4693" t="inlineStr">
        <is>
          <t>21:24:00</t>
        </is>
      </c>
      <c r="M4693" t="inlineStr">
        <is>
          <t>21:24:25</t>
        </is>
      </c>
    </row>
    <row r="4694" ht="15" customHeight="1" s="37">
      <c r="A4694" t="n">
        <v>9</v>
      </c>
      <c r="B4694" s="10" t="inlineStr">
        <is>
          <t>休日</t>
        </is>
      </c>
      <c r="C4694" s="10" t="inlineStr">
        <is>
          <t>本線</t>
        </is>
      </c>
      <c r="D4694" s="10" t="inlineStr">
        <is>
          <t>下り</t>
        </is>
      </c>
      <c r="E4694" t="inlineStr">
        <is>
          <t>2101</t>
        </is>
      </c>
      <c r="F4694" t="inlineStr">
        <is>
          <t>0122</t>
        </is>
      </c>
      <c r="G4694" s="10" t="inlineStr">
        <is>
          <t>嵯峨</t>
        </is>
      </c>
      <c r="H4694" s="10" t="inlineStr">
        <is>
          <t>発</t>
        </is>
      </c>
      <c r="J4694" s="10" t="inlineStr">
        <is>
          <t>営業</t>
        </is>
      </c>
      <c r="L4694" t="inlineStr">
        <is>
          <t>21:25:30</t>
        </is>
      </c>
      <c r="M4694" t="inlineStr">
        <is>
          <t>21:25:55</t>
        </is>
      </c>
    </row>
    <row r="4695" ht="15" customHeight="1" s="37">
      <c r="A4695" t="n">
        <v>9</v>
      </c>
      <c r="B4695" s="10" t="inlineStr">
        <is>
          <t>休日</t>
        </is>
      </c>
      <c r="C4695" s="10" t="inlineStr">
        <is>
          <t>本線</t>
        </is>
      </c>
      <c r="D4695" s="10" t="inlineStr">
        <is>
          <t>下り</t>
        </is>
      </c>
      <c r="E4695" t="inlineStr">
        <is>
          <t>2101</t>
        </is>
      </c>
      <c r="F4695" t="inlineStr">
        <is>
          <t>0122</t>
        </is>
      </c>
      <c r="G4695" s="10" t="inlineStr">
        <is>
          <t>嵐山</t>
        </is>
      </c>
      <c r="H4695" s="10" t="inlineStr">
        <is>
          <t>着</t>
        </is>
      </c>
      <c r="J4695" s="10" t="inlineStr">
        <is>
          <t>営業</t>
        </is>
      </c>
      <c r="L4695" t="inlineStr">
        <is>
          <t>21:27:00</t>
        </is>
      </c>
      <c r="N4695" t="inlineStr">
        <is>
          <t>○</t>
        </is>
      </c>
      <c r="Q4695" t="inlineStr">
        <is>
          <t>1</t>
        </is>
      </c>
    </row>
    <row r="4696" ht="15" customHeight="1" s="37">
      <c r="A4696" t="n">
        <v>9</v>
      </c>
      <c r="B4696" s="10" t="inlineStr">
        <is>
          <t>休日</t>
        </is>
      </c>
      <c r="C4696" s="10" t="inlineStr">
        <is>
          <t>本線</t>
        </is>
      </c>
      <c r="D4696" s="10" t="inlineStr">
        <is>
          <t>上り</t>
        </is>
      </c>
      <c r="E4696" t="inlineStr">
        <is>
          <t>2108</t>
        </is>
      </c>
      <c r="F4696" t="inlineStr">
        <is>
          <t>0221</t>
        </is>
      </c>
      <c r="G4696" s="10" t="inlineStr">
        <is>
          <t>嵐山</t>
        </is>
      </c>
      <c r="H4696" s="10" t="inlineStr">
        <is>
          <t>発</t>
        </is>
      </c>
      <c r="J4696" s="10" t="inlineStr">
        <is>
          <t>営業</t>
        </is>
      </c>
      <c r="M4696" t="inlineStr">
        <is>
          <t>21:34:00</t>
        </is>
      </c>
      <c r="Q4696" t="inlineStr">
        <is>
          <t>1</t>
        </is>
      </c>
    </row>
    <row r="4697" ht="15" customHeight="1" s="37">
      <c r="A4697" t="n">
        <v>9</v>
      </c>
      <c r="B4697" s="10" t="inlineStr">
        <is>
          <t>休日</t>
        </is>
      </c>
      <c r="C4697" s="10" t="inlineStr">
        <is>
          <t>本線</t>
        </is>
      </c>
      <c r="D4697" s="10" t="inlineStr">
        <is>
          <t>上り</t>
        </is>
      </c>
      <c r="E4697" t="inlineStr">
        <is>
          <t>2108</t>
        </is>
      </c>
      <c r="F4697" t="inlineStr">
        <is>
          <t>0221</t>
        </is>
      </c>
      <c r="G4697" s="10" t="inlineStr">
        <is>
          <t>嵯峨</t>
        </is>
      </c>
      <c r="H4697" s="10" t="inlineStr">
        <is>
          <t>発</t>
        </is>
      </c>
      <c r="J4697" s="10" t="inlineStr">
        <is>
          <t>営業</t>
        </is>
      </c>
      <c r="L4697" t="inlineStr">
        <is>
          <t>21:34:55</t>
        </is>
      </c>
      <c r="M4697" t="inlineStr">
        <is>
          <t>21:35:10</t>
        </is>
      </c>
    </row>
    <row r="4698" ht="15" customHeight="1" s="37">
      <c r="A4698" t="n">
        <v>9</v>
      </c>
      <c r="B4698" s="10" t="inlineStr">
        <is>
          <t>休日</t>
        </is>
      </c>
      <c r="C4698" s="10" t="inlineStr">
        <is>
          <t>本線</t>
        </is>
      </c>
      <c r="D4698" s="10" t="inlineStr">
        <is>
          <t>上り</t>
        </is>
      </c>
      <c r="E4698" t="inlineStr">
        <is>
          <t>2108</t>
        </is>
      </c>
      <c r="F4698" t="inlineStr">
        <is>
          <t>0221</t>
        </is>
      </c>
      <c r="G4698" s="10" t="inlineStr">
        <is>
          <t>鹿王院</t>
        </is>
      </c>
      <c r="H4698" s="10" t="inlineStr">
        <is>
          <t>発</t>
        </is>
      </c>
      <c r="J4698" s="10" t="inlineStr">
        <is>
          <t>営業</t>
        </is>
      </c>
      <c r="L4698" t="inlineStr">
        <is>
          <t>21:36:15</t>
        </is>
      </c>
      <c r="M4698" t="inlineStr">
        <is>
          <t>21:36:30</t>
        </is>
      </c>
    </row>
    <row r="4699" ht="15" customHeight="1" s="37">
      <c r="A4699" t="n">
        <v>9</v>
      </c>
      <c r="B4699" s="10" t="inlineStr">
        <is>
          <t>休日</t>
        </is>
      </c>
      <c r="C4699" s="10" t="inlineStr">
        <is>
          <t>本線</t>
        </is>
      </c>
      <c r="D4699" s="10" t="inlineStr">
        <is>
          <t>上り</t>
        </is>
      </c>
      <c r="E4699" t="inlineStr">
        <is>
          <t>2108</t>
        </is>
      </c>
      <c r="F4699" t="inlineStr">
        <is>
          <t>0221</t>
        </is>
      </c>
      <c r="G4699" s="10" t="inlineStr">
        <is>
          <t>車折</t>
        </is>
      </c>
      <c r="H4699" s="10" t="inlineStr">
        <is>
          <t>発</t>
        </is>
      </c>
      <c r="J4699" s="10" t="inlineStr">
        <is>
          <t>営業</t>
        </is>
      </c>
      <c r="L4699" t="inlineStr">
        <is>
          <t>21:37:25</t>
        </is>
      </c>
      <c r="M4699" t="inlineStr">
        <is>
          <t>21:37:40</t>
        </is>
      </c>
    </row>
    <row r="4700" ht="15" customHeight="1" s="37">
      <c r="A4700" t="n">
        <v>9</v>
      </c>
      <c r="B4700" s="10" t="inlineStr">
        <is>
          <t>休日</t>
        </is>
      </c>
      <c r="C4700" s="10" t="inlineStr">
        <is>
          <t>本線</t>
        </is>
      </c>
      <c r="D4700" s="10" t="inlineStr">
        <is>
          <t>上り</t>
        </is>
      </c>
      <c r="E4700" t="inlineStr">
        <is>
          <t>2108</t>
        </is>
      </c>
      <c r="F4700" t="inlineStr">
        <is>
          <t>0221</t>
        </is>
      </c>
      <c r="G4700" s="10" t="inlineStr">
        <is>
          <t>有栖川</t>
        </is>
      </c>
      <c r="H4700" s="10" t="inlineStr">
        <is>
          <t>発</t>
        </is>
      </c>
      <c r="J4700" s="10" t="inlineStr">
        <is>
          <t>営業</t>
        </is>
      </c>
      <c r="L4700" t="inlineStr">
        <is>
          <t>21:39:05</t>
        </is>
      </c>
      <c r="M4700" t="inlineStr">
        <is>
          <t>21:39:20</t>
        </is>
      </c>
    </row>
    <row r="4701" ht="15" customHeight="1" s="37">
      <c r="A4701" t="n">
        <v>9</v>
      </c>
      <c r="B4701" s="10" t="inlineStr">
        <is>
          <t>休日</t>
        </is>
      </c>
      <c r="C4701" s="10" t="inlineStr">
        <is>
          <t>本線</t>
        </is>
      </c>
      <c r="D4701" s="10" t="inlineStr">
        <is>
          <t>上り</t>
        </is>
      </c>
      <c r="E4701" t="inlineStr">
        <is>
          <t>2108</t>
        </is>
      </c>
      <c r="F4701" t="inlineStr">
        <is>
          <t>0221</t>
        </is>
      </c>
      <c r="G4701" s="10" t="inlineStr">
        <is>
          <t>帷子ノ辻</t>
        </is>
      </c>
      <c r="H4701" s="10" t="inlineStr">
        <is>
          <t>発</t>
        </is>
      </c>
      <c r="J4701" s="10" t="inlineStr">
        <is>
          <t>営業</t>
        </is>
      </c>
      <c r="L4701" t="inlineStr">
        <is>
          <t>21:40:35</t>
        </is>
      </c>
      <c r="M4701" t="inlineStr">
        <is>
          <t>21:41:05</t>
        </is>
      </c>
    </row>
    <row r="4702" ht="15" customHeight="1" s="37">
      <c r="A4702" t="n">
        <v>9</v>
      </c>
      <c r="B4702" s="10" t="inlineStr">
        <is>
          <t>休日</t>
        </is>
      </c>
      <c r="C4702" s="10" t="inlineStr">
        <is>
          <t>本線</t>
        </is>
      </c>
      <c r="D4702" s="10" t="inlineStr">
        <is>
          <t>上り</t>
        </is>
      </c>
      <c r="E4702" t="inlineStr">
        <is>
          <t>2108</t>
        </is>
      </c>
      <c r="F4702" t="inlineStr">
        <is>
          <t>0221</t>
        </is>
      </c>
      <c r="G4702" s="10" t="inlineStr">
        <is>
          <t>太秦広隆寺</t>
        </is>
      </c>
      <c r="H4702" s="10" t="inlineStr">
        <is>
          <t>発</t>
        </is>
      </c>
      <c r="J4702" s="10" t="inlineStr">
        <is>
          <t>営業</t>
        </is>
      </c>
      <c r="L4702" t="inlineStr">
        <is>
          <t>21:43:15</t>
        </is>
      </c>
      <c r="M4702" t="inlineStr">
        <is>
          <t>21:43:35</t>
        </is>
      </c>
    </row>
    <row r="4703" ht="15" customHeight="1" s="37">
      <c r="A4703" t="n">
        <v>9</v>
      </c>
      <c r="B4703" s="10" t="inlineStr">
        <is>
          <t>休日</t>
        </is>
      </c>
      <c r="C4703" s="10" t="inlineStr">
        <is>
          <t>本線</t>
        </is>
      </c>
      <c r="D4703" s="10" t="inlineStr">
        <is>
          <t>上り</t>
        </is>
      </c>
      <c r="E4703" t="inlineStr">
        <is>
          <t>2108</t>
        </is>
      </c>
      <c r="F4703" t="inlineStr">
        <is>
          <t>0221</t>
        </is>
      </c>
      <c r="G4703" s="10" t="inlineStr">
        <is>
          <t>蚕ノ社</t>
        </is>
      </c>
      <c r="H4703" s="10" t="inlineStr">
        <is>
          <t>発</t>
        </is>
      </c>
      <c r="J4703" s="10" t="inlineStr">
        <is>
          <t>営業</t>
        </is>
      </c>
      <c r="L4703" t="inlineStr">
        <is>
          <t>21:44:50</t>
        </is>
      </c>
      <c r="M4703" t="inlineStr">
        <is>
          <t>21:45:10</t>
        </is>
      </c>
    </row>
    <row r="4704" ht="15" customHeight="1" s="37">
      <c r="A4704" t="n">
        <v>9</v>
      </c>
      <c r="B4704" s="10" t="inlineStr">
        <is>
          <t>休日</t>
        </is>
      </c>
      <c r="C4704" s="10" t="inlineStr">
        <is>
          <t>本線</t>
        </is>
      </c>
      <c r="D4704" s="10" t="inlineStr">
        <is>
          <t>上り</t>
        </is>
      </c>
      <c r="E4704" t="inlineStr">
        <is>
          <t>2108</t>
        </is>
      </c>
      <c r="F4704" t="inlineStr">
        <is>
          <t>0221</t>
        </is>
      </c>
      <c r="G4704" s="10" t="inlineStr">
        <is>
          <t>天神川</t>
        </is>
      </c>
      <c r="H4704" s="10" t="inlineStr">
        <is>
          <t>発</t>
        </is>
      </c>
      <c r="J4704" s="10" t="inlineStr">
        <is>
          <t>営業</t>
        </is>
      </c>
      <c r="L4704" t="inlineStr">
        <is>
          <t>21:45:55</t>
        </is>
      </c>
      <c r="M4704" t="inlineStr">
        <is>
          <t>21:46:20</t>
        </is>
      </c>
    </row>
    <row r="4705" ht="15" customHeight="1" s="37">
      <c r="A4705" t="n">
        <v>9</v>
      </c>
      <c r="B4705" s="10" t="inlineStr">
        <is>
          <t>休日</t>
        </is>
      </c>
      <c r="C4705" s="10" t="inlineStr">
        <is>
          <t>本線</t>
        </is>
      </c>
      <c r="D4705" s="10" t="inlineStr">
        <is>
          <t>上り</t>
        </is>
      </c>
      <c r="E4705" t="inlineStr">
        <is>
          <t>2108</t>
        </is>
      </c>
      <c r="F4705" t="inlineStr">
        <is>
          <t>0221</t>
        </is>
      </c>
      <c r="G4705" s="10" t="inlineStr">
        <is>
          <t>山ノ内</t>
        </is>
      </c>
      <c r="H4705" s="10" t="inlineStr">
        <is>
          <t>発</t>
        </is>
      </c>
      <c r="J4705" s="10" t="inlineStr">
        <is>
          <t>営業</t>
        </is>
      </c>
      <c r="L4705" t="inlineStr">
        <is>
          <t>21:48:10</t>
        </is>
      </c>
      <c r="M4705" t="inlineStr">
        <is>
          <t>21:48:35</t>
        </is>
      </c>
    </row>
    <row r="4706" ht="15" customHeight="1" s="37">
      <c r="A4706" t="n">
        <v>9</v>
      </c>
      <c r="B4706" s="10" t="inlineStr">
        <is>
          <t>休日</t>
        </is>
      </c>
      <c r="C4706" s="10" t="inlineStr">
        <is>
          <t>本線</t>
        </is>
      </c>
      <c r="D4706" s="10" t="inlineStr">
        <is>
          <t>上り</t>
        </is>
      </c>
      <c r="E4706" t="inlineStr">
        <is>
          <t>2108</t>
        </is>
      </c>
      <c r="F4706" t="inlineStr">
        <is>
          <t>0221</t>
        </is>
      </c>
      <c r="G4706" s="10" t="inlineStr">
        <is>
          <t>西大路三条</t>
        </is>
      </c>
      <c r="H4706" s="10" t="inlineStr">
        <is>
          <t>発</t>
        </is>
      </c>
      <c r="J4706" s="10" t="inlineStr">
        <is>
          <t>営業</t>
        </is>
      </c>
      <c r="L4706" t="inlineStr">
        <is>
          <t>21:50:25</t>
        </is>
      </c>
      <c r="M4706" t="inlineStr">
        <is>
          <t>21:50:40</t>
        </is>
      </c>
    </row>
    <row r="4707" ht="15" customHeight="1" s="37">
      <c r="A4707" t="n">
        <v>9</v>
      </c>
      <c r="B4707" s="10" t="inlineStr">
        <is>
          <t>休日</t>
        </is>
      </c>
      <c r="C4707" s="10" t="inlineStr">
        <is>
          <t>本線</t>
        </is>
      </c>
      <c r="D4707" s="10" t="inlineStr">
        <is>
          <t>上り</t>
        </is>
      </c>
      <c r="E4707" t="inlineStr">
        <is>
          <t>2108</t>
        </is>
      </c>
      <c r="F4707" t="inlineStr">
        <is>
          <t>0221</t>
        </is>
      </c>
      <c r="G4707" s="10" t="inlineStr">
        <is>
          <t>西院</t>
        </is>
      </c>
      <c r="H4707" s="10" t="inlineStr">
        <is>
          <t>発</t>
        </is>
      </c>
      <c r="J4707" s="10" t="inlineStr">
        <is>
          <t>営業</t>
        </is>
      </c>
      <c r="L4707" t="inlineStr">
        <is>
          <t>21:52:35</t>
        </is>
      </c>
      <c r="M4707" t="inlineStr">
        <is>
          <t>21:53:05</t>
        </is>
      </c>
    </row>
    <row r="4708" ht="15" customHeight="1" s="37">
      <c r="A4708" t="n">
        <v>9</v>
      </c>
      <c r="B4708" s="10" t="inlineStr">
        <is>
          <t>休日</t>
        </is>
      </c>
      <c r="C4708" s="10" t="inlineStr">
        <is>
          <t>本線</t>
        </is>
      </c>
      <c r="D4708" s="10" t="inlineStr">
        <is>
          <t>上り</t>
        </is>
      </c>
      <c r="E4708" t="inlineStr">
        <is>
          <t>2108</t>
        </is>
      </c>
      <c r="F4708" t="inlineStr">
        <is>
          <t>0221</t>
        </is>
      </c>
      <c r="G4708" s="10" t="inlineStr">
        <is>
          <t>四条大宮</t>
        </is>
      </c>
      <c r="H4708" s="10" t="inlineStr">
        <is>
          <t>着</t>
        </is>
      </c>
      <c r="J4708" s="10" t="inlineStr">
        <is>
          <t>営業</t>
        </is>
      </c>
      <c r="L4708" t="inlineStr">
        <is>
          <t>21:56:00</t>
        </is>
      </c>
      <c r="N4708" t="inlineStr">
        <is>
          <t>○</t>
        </is>
      </c>
      <c r="Q4708" t="inlineStr">
        <is>
          <t>1</t>
        </is>
      </c>
    </row>
    <row r="4709" ht="15" customHeight="1" s="37">
      <c r="A4709" t="n">
        <v>9</v>
      </c>
      <c r="B4709" s="10" t="inlineStr">
        <is>
          <t>休日</t>
        </is>
      </c>
      <c r="C4709" s="10" t="inlineStr">
        <is>
          <t>本線</t>
        </is>
      </c>
      <c r="D4709" s="10" t="inlineStr">
        <is>
          <t>下り</t>
        </is>
      </c>
      <c r="E4709" t="inlineStr">
        <is>
          <t>2201</t>
        </is>
      </c>
      <c r="F4709" t="inlineStr">
        <is>
          <t>0122</t>
        </is>
      </c>
      <c r="G4709" s="10" t="inlineStr">
        <is>
          <t>四条大宮</t>
        </is>
      </c>
      <c r="H4709" s="10" t="inlineStr">
        <is>
          <t>発</t>
        </is>
      </c>
      <c r="J4709" s="10" t="inlineStr">
        <is>
          <t>営業</t>
        </is>
      </c>
      <c r="M4709" t="inlineStr">
        <is>
          <t>22:03:00</t>
        </is>
      </c>
      <c r="Q4709" t="inlineStr">
        <is>
          <t>1</t>
        </is>
      </c>
    </row>
    <row r="4710" ht="15" customHeight="1" s="37">
      <c r="A4710" t="n">
        <v>9</v>
      </c>
      <c r="B4710" s="10" t="inlineStr">
        <is>
          <t>休日</t>
        </is>
      </c>
      <c r="C4710" s="10" t="inlineStr">
        <is>
          <t>本線</t>
        </is>
      </c>
      <c r="D4710" s="10" t="inlineStr">
        <is>
          <t>下り</t>
        </is>
      </c>
      <c r="E4710" t="inlineStr">
        <is>
          <t>2201</t>
        </is>
      </c>
      <c r="F4710" t="inlineStr">
        <is>
          <t>0122</t>
        </is>
      </c>
      <c r="G4710" s="10" t="inlineStr">
        <is>
          <t>西院</t>
        </is>
      </c>
      <c r="H4710" s="10" t="inlineStr">
        <is>
          <t>着</t>
        </is>
      </c>
      <c r="J4710" s="10" t="inlineStr">
        <is>
          <t>営業</t>
        </is>
      </c>
      <c r="L4710" t="inlineStr">
        <is>
          <t>22:05:50</t>
        </is>
      </c>
      <c r="M4710" t="inlineStr">
        <is>
          <t>22:06:20</t>
        </is>
      </c>
      <c r="T4710" t="inlineStr">
        <is>
          <t>○</t>
        </is>
      </c>
    </row>
    <row r="4711" ht="15" customHeight="1" s="37">
      <c r="A4711" t="n">
        <v>9</v>
      </c>
      <c r="B4711" s="10" t="inlineStr">
        <is>
          <t>休日</t>
        </is>
      </c>
      <c r="C4711" s="10" t="inlineStr">
        <is>
          <t>本線</t>
        </is>
      </c>
      <c r="D4711" s="10" t="inlineStr">
        <is>
          <t>下り</t>
        </is>
      </c>
      <c r="E4711" s="10" t="inlineStr">
        <is>
          <t>連1309</t>
        </is>
      </c>
      <c r="F4711" t="inlineStr">
        <is>
          <t>0112</t>
        </is>
      </c>
      <c r="G4711" s="10" t="inlineStr">
        <is>
          <t>西院</t>
        </is>
      </c>
      <c r="H4711" s="10" t="inlineStr">
        <is>
          <t>発</t>
        </is>
      </c>
      <c r="J4711" s="10" t="inlineStr">
        <is>
          <t>営業</t>
        </is>
      </c>
      <c r="L4711" t="inlineStr">
        <is>
          <t>13:45:50</t>
        </is>
      </c>
      <c r="M4711" t="inlineStr">
        <is>
          <t>13:46:20</t>
        </is>
      </c>
      <c r="P4711" t="inlineStr">
        <is>
          <t>E系統(終日)</t>
        </is>
      </c>
    </row>
    <row r="4712" ht="15" customHeight="1" s="37">
      <c r="A4712" t="n">
        <v>9</v>
      </c>
      <c r="B4712" s="10" t="inlineStr">
        <is>
          <t>休日</t>
        </is>
      </c>
      <c r="C4712" s="10" t="inlineStr">
        <is>
          <t>本線</t>
        </is>
      </c>
      <c r="D4712" s="10" t="inlineStr">
        <is>
          <t>下り</t>
        </is>
      </c>
      <c r="E4712" s="10" t="inlineStr">
        <is>
          <t>連1309</t>
        </is>
      </c>
      <c r="F4712" t="inlineStr">
        <is>
          <t>0112</t>
        </is>
      </c>
      <c r="G4712" s="10" t="inlineStr">
        <is>
          <t>西大路三条</t>
        </is>
      </c>
      <c r="H4712" s="10" t="inlineStr">
        <is>
          <t>発</t>
        </is>
      </c>
      <c r="J4712" s="10" t="inlineStr">
        <is>
          <t>営業</t>
        </is>
      </c>
      <c r="L4712" t="inlineStr">
        <is>
          <t>13:48:10</t>
        </is>
      </c>
      <c r="M4712" t="inlineStr">
        <is>
          <t>13:48:30</t>
        </is>
      </c>
      <c r="P4712" t="inlineStr">
        <is>
          <t>E系統(終日)</t>
        </is>
      </c>
    </row>
    <row r="4713" ht="15" customHeight="1" s="37">
      <c r="A4713" t="n">
        <v>9</v>
      </c>
      <c r="B4713" s="10" t="inlineStr">
        <is>
          <t>休日</t>
        </is>
      </c>
      <c r="C4713" s="10" t="inlineStr">
        <is>
          <t>本線</t>
        </is>
      </c>
      <c r="D4713" s="10" t="inlineStr">
        <is>
          <t>下り</t>
        </is>
      </c>
      <c r="E4713" s="10" t="inlineStr">
        <is>
          <t>連1309</t>
        </is>
      </c>
      <c r="F4713" t="inlineStr">
        <is>
          <t>0112</t>
        </is>
      </c>
      <c r="G4713" s="10" t="inlineStr">
        <is>
          <t>山ノ内</t>
        </is>
      </c>
      <c r="H4713" s="10" t="inlineStr">
        <is>
          <t>発</t>
        </is>
      </c>
      <c r="J4713" s="10" t="inlineStr">
        <is>
          <t>営業</t>
        </is>
      </c>
      <c r="L4713" t="inlineStr">
        <is>
          <t>13:50:25</t>
        </is>
      </c>
      <c r="M4713" t="inlineStr">
        <is>
          <t>13:50:50</t>
        </is>
      </c>
      <c r="P4713" t="inlineStr">
        <is>
          <t>E系統(終日)</t>
        </is>
      </c>
    </row>
    <row r="4714" ht="15" customHeight="1" s="37">
      <c r="A4714" t="n">
        <v>9</v>
      </c>
      <c r="B4714" s="10" t="inlineStr">
        <is>
          <t>休日</t>
        </is>
      </c>
      <c r="C4714" s="10" t="inlineStr">
        <is>
          <t>本線</t>
        </is>
      </c>
      <c r="D4714" s="10" t="inlineStr">
        <is>
          <t>下り</t>
        </is>
      </c>
      <c r="E4714" s="10" t="inlineStr">
        <is>
          <t>連1309</t>
        </is>
      </c>
      <c r="F4714" t="inlineStr">
        <is>
          <t>0112</t>
        </is>
      </c>
      <c r="G4714" s="10" t="inlineStr">
        <is>
          <t>天神川</t>
        </is>
      </c>
      <c r="H4714" s="10" t="inlineStr">
        <is>
          <t>発</t>
        </is>
      </c>
      <c r="J4714" s="10" t="inlineStr">
        <is>
          <t>営業</t>
        </is>
      </c>
      <c r="L4714" t="inlineStr">
        <is>
          <t>13:52:50</t>
        </is>
      </c>
      <c r="M4714" t="inlineStr">
        <is>
          <t>13:53:30</t>
        </is>
      </c>
      <c r="P4714" t="inlineStr">
        <is>
          <t>E系統(終日)</t>
        </is>
      </c>
    </row>
    <row r="4715" ht="15" customHeight="1" s="37">
      <c r="A4715" t="n">
        <v>9</v>
      </c>
      <c r="B4715" s="10" t="inlineStr">
        <is>
          <t>休日</t>
        </is>
      </c>
      <c r="C4715" s="10" t="inlineStr">
        <is>
          <t>本線</t>
        </is>
      </c>
      <c r="D4715" s="10" t="inlineStr">
        <is>
          <t>下り</t>
        </is>
      </c>
      <c r="E4715" s="10" t="inlineStr">
        <is>
          <t>連1309</t>
        </is>
      </c>
      <c r="F4715" t="inlineStr">
        <is>
          <t>0112</t>
        </is>
      </c>
      <c r="G4715" s="10" t="inlineStr">
        <is>
          <t>蚕ノ社</t>
        </is>
      </c>
      <c r="H4715" s="10" t="inlineStr">
        <is>
          <t>発</t>
        </is>
      </c>
      <c r="J4715" s="10" t="inlineStr">
        <is>
          <t>営業</t>
        </is>
      </c>
      <c r="L4715" t="inlineStr">
        <is>
          <t>13:54:20</t>
        </is>
      </c>
      <c r="M4715" t="inlineStr">
        <is>
          <t>13:54:40</t>
        </is>
      </c>
      <c r="P4715" t="inlineStr">
        <is>
          <t>E系統(終日)</t>
        </is>
      </c>
    </row>
    <row r="4716" ht="15" customHeight="1" s="37">
      <c r="A4716" t="n">
        <v>9</v>
      </c>
      <c r="B4716" s="10" t="inlineStr">
        <is>
          <t>休日</t>
        </is>
      </c>
      <c r="C4716" s="10" t="inlineStr">
        <is>
          <t>本線</t>
        </is>
      </c>
      <c r="D4716" s="10" t="inlineStr">
        <is>
          <t>下り</t>
        </is>
      </c>
      <c r="E4716" s="10" t="inlineStr">
        <is>
          <t>連1309</t>
        </is>
      </c>
      <c r="F4716" t="inlineStr">
        <is>
          <t>0112</t>
        </is>
      </c>
      <c r="G4716" s="10" t="inlineStr">
        <is>
          <t>太秦広隆寺</t>
        </is>
      </c>
      <c r="H4716" s="10" t="inlineStr">
        <is>
          <t>発</t>
        </is>
      </c>
      <c r="J4716" s="10" t="inlineStr">
        <is>
          <t>営業</t>
        </is>
      </c>
      <c r="L4716" t="inlineStr">
        <is>
          <t>13:56:00</t>
        </is>
      </c>
      <c r="M4716" t="inlineStr">
        <is>
          <t>13:56:20</t>
        </is>
      </c>
      <c r="P4716" t="inlineStr">
        <is>
          <t>E系統(終日)</t>
        </is>
      </c>
    </row>
    <row r="4717" ht="15" customHeight="1" s="37">
      <c r="A4717" t="n">
        <v>9</v>
      </c>
      <c r="B4717" s="10" t="inlineStr">
        <is>
          <t>休日</t>
        </is>
      </c>
      <c r="C4717" s="10" t="inlineStr">
        <is>
          <t>本線</t>
        </is>
      </c>
      <c r="D4717" s="10" t="inlineStr">
        <is>
          <t>下り</t>
        </is>
      </c>
      <c r="E4717" s="10" t="inlineStr">
        <is>
          <t>連1309</t>
        </is>
      </c>
      <c r="F4717" t="inlineStr">
        <is>
          <t>0112</t>
        </is>
      </c>
      <c r="G4717" s="10" t="inlineStr">
        <is>
          <t>帷子ノ辻</t>
        </is>
      </c>
      <c r="H4717" s="10" t="inlineStr">
        <is>
          <t>発</t>
        </is>
      </c>
      <c r="J4717" s="10" t="inlineStr">
        <is>
          <t>営業</t>
        </is>
      </c>
      <c r="L4717" t="inlineStr">
        <is>
          <t>13:58:20</t>
        </is>
      </c>
      <c r="M4717" t="inlineStr">
        <is>
          <t>13:59:40</t>
        </is>
      </c>
      <c r="P4717" t="inlineStr">
        <is>
          <t>E系統(終日)</t>
        </is>
      </c>
    </row>
    <row r="4718" ht="15" customHeight="1" s="37">
      <c r="A4718" t="n">
        <v>9</v>
      </c>
      <c r="B4718" s="10" t="inlineStr">
        <is>
          <t>休日</t>
        </is>
      </c>
      <c r="C4718" s="10" t="inlineStr">
        <is>
          <t>本線</t>
        </is>
      </c>
      <c r="D4718" s="10" t="inlineStr">
        <is>
          <t>下り</t>
        </is>
      </c>
      <c r="E4718" s="10" t="inlineStr">
        <is>
          <t>連1309</t>
        </is>
      </c>
      <c r="F4718" t="inlineStr">
        <is>
          <t>0112</t>
        </is>
      </c>
      <c r="G4718" s="10" t="inlineStr">
        <is>
          <t>有栖川</t>
        </is>
      </c>
      <c r="H4718" s="10" t="inlineStr">
        <is>
          <t>発</t>
        </is>
      </c>
      <c r="J4718" s="10" t="inlineStr">
        <is>
          <t>営業</t>
        </is>
      </c>
      <c r="L4718" t="inlineStr">
        <is>
          <t>14:00:50</t>
        </is>
      </c>
      <c r="M4718" t="inlineStr">
        <is>
          <t>14:01:15</t>
        </is>
      </c>
      <c r="P4718" t="inlineStr">
        <is>
          <t>E系統(終日)</t>
        </is>
      </c>
    </row>
    <row r="4719" ht="15" customHeight="1" s="37">
      <c r="A4719" t="n">
        <v>9</v>
      </c>
      <c r="B4719" s="10" t="inlineStr">
        <is>
          <t>休日</t>
        </is>
      </c>
      <c r="C4719" s="10" t="inlineStr">
        <is>
          <t>本線</t>
        </is>
      </c>
      <c r="D4719" s="10" t="inlineStr">
        <is>
          <t>下り</t>
        </is>
      </c>
      <c r="E4719" s="10" t="inlineStr">
        <is>
          <t>連1309</t>
        </is>
      </c>
      <c r="F4719" t="inlineStr">
        <is>
          <t>0112</t>
        </is>
      </c>
      <c r="G4719" s="10" t="inlineStr">
        <is>
          <t>車折</t>
        </is>
      </c>
      <c r="H4719" s="10" t="inlineStr">
        <is>
          <t>発</t>
        </is>
      </c>
      <c r="J4719" s="10" t="inlineStr">
        <is>
          <t>営業</t>
        </is>
      </c>
      <c r="L4719" t="inlineStr">
        <is>
          <t>14:02:40</t>
        </is>
      </c>
      <c r="M4719" t="inlineStr">
        <is>
          <t>14:03:05</t>
        </is>
      </c>
      <c r="P4719" t="inlineStr">
        <is>
          <t>E系統(終日)</t>
        </is>
      </c>
    </row>
    <row r="4720" ht="15" customHeight="1" s="37">
      <c r="A4720" t="n">
        <v>9</v>
      </c>
      <c r="B4720" s="10" t="inlineStr">
        <is>
          <t>休日</t>
        </is>
      </c>
      <c r="C4720" s="10" t="inlineStr">
        <is>
          <t>本線</t>
        </is>
      </c>
      <c r="D4720" s="10" t="inlineStr">
        <is>
          <t>下り</t>
        </is>
      </c>
      <c r="E4720" s="10" t="inlineStr">
        <is>
          <t>連1309</t>
        </is>
      </c>
      <c r="F4720" t="inlineStr">
        <is>
          <t>0112</t>
        </is>
      </c>
      <c r="G4720" s="10" t="inlineStr">
        <is>
          <t>鹿王院</t>
        </is>
      </c>
      <c r="H4720" s="10" t="inlineStr">
        <is>
          <t>発</t>
        </is>
      </c>
      <c r="J4720" s="10" t="inlineStr">
        <is>
          <t>営業</t>
        </is>
      </c>
      <c r="L4720" t="inlineStr">
        <is>
          <t>14:04:00</t>
        </is>
      </c>
      <c r="M4720" t="inlineStr">
        <is>
          <t>14:04:25</t>
        </is>
      </c>
      <c r="P4720" t="inlineStr">
        <is>
          <t>E系統(終日)</t>
        </is>
      </c>
    </row>
    <row r="4721" ht="15" customHeight="1" s="37">
      <c r="A4721" t="n">
        <v>9</v>
      </c>
      <c r="B4721" s="10" t="inlineStr">
        <is>
          <t>休日</t>
        </is>
      </c>
      <c r="C4721" s="10" t="inlineStr">
        <is>
          <t>本線</t>
        </is>
      </c>
      <c r="D4721" s="10" t="inlineStr">
        <is>
          <t>下り</t>
        </is>
      </c>
      <c r="E4721" s="10" t="inlineStr">
        <is>
          <t>連1309</t>
        </is>
      </c>
      <c r="F4721" t="inlineStr">
        <is>
          <t>0112</t>
        </is>
      </c>
      <c r="G4721" s="10" t="inlineStr">
        <is>
          <t>嵯峨</t>
        </is>
      </c>
      <c r="H4721" s="10" t="inlineStr">
        <is>
          <t>発</t>
        </is>
      </c>
      <c r="J4721" s="10" t="inlineStr">
        <is>
          <t>営業</t>
        </is>
      </c>
      <c r="L4721" t="inlineStr">
        <is>
          <t>14:05:30</t>
        </is>
      </c>
      <c r="M4721" t="inlineStr">
        <is>
          <t>14:05:55</t>
        </is>
      </c>
      <c r="P4721" t="inlineStr">
        <is>
          <t>E系統(終日)</t>
        </is>
      </c>
    </row>
    <row r="4722" ht="15" customHeight="1" s="37">
      <c r="A4722" t="n">
        <v>9</v>
      </c>
      <c r="B4722" s="10" t="inlineStr">
        <is>
          <t>休日</t>
        </is>
      </c>
      <c r="C4722" s="10" t="inlineStr">
        <is>
          <t>本線</t>
        </is>
      </c>
      <c r="D4722" s="10" t="inlineStr">
        <is>
          <t>下り</t>
        </is>
      </c>
      <c r="E4722" s="10" t="inlineStr">
        <is>
          <t>連1309</t>
        </is>
      </c>
      <c r="F4722" t="inlineStr">
        <is>
          <t>0112</t>
        </is>
      </c>
      <c r="G4722" s="10" t="inlineStr">
        <is>
          <t>嵐山</t>
        </is>
      </c>
      <c r="H4722" s="10" t="inlineStr">
        <is>
          <t>着</t>
        </is>
      </c>
      <c r="J4722" s="10" t="inlineStr">
        <is>
          <t>営業</t>
        </is>
      </c>
      <c r="L4722" t="inlineStr">
        <is>
          <t>14:07:00</t>
        </is>
      </c>
      <c r="P4722" t="inlineStr">
        <is>
          <t>E系統(終日)</t>
        </is>
      </c>
      <c r="Q4722" t="inlineStr">
        <is>
          <t>1</t>
        </is>
      </c>
    </row>
    <row r="4723" ht="15" customHeight="1" s="37">
      <c r="A4723" t="n">
        <v>9</v>
      </c>
      <c r="B4723" s="10" t="inlineStr">
        <is>
          <t>休日</t>
        </is>
      </c>
      <c r="C4723" s="10" t="inlineStr">
        <is>
          <t>本線</t>
        </is>
      </c>
      <c r="D4723" s="10" t="inlineStr">
        <is>
          <t>上り</t>
        </is>
      </c>
      <c r="E4723" s="10" t="inlineStr">
        <is>
          <t>連1404</t>
        </is>
      </c>
      <c r="F4723" t="inlineStr">
        <is>
          <t>0211</t>
        </is>
      </c>
      <c r="G4723" s="10" t="inlineStr">
        <is>
          <t>嵐山</t>
        </is>
      </c>
      <c r="H4723" s="10" t="inlineStr">
        <is>
          <t>発</t>
        </is>
      </c>
      <c r="J4723" s="10" t="inlineStr">
        <is>
          <t>営業</t>
        </is>
      </c>
      <c r="M4723" t="inlineStr">
        <is>
          <t>14:13:00</t>
        </is>
      </c>
      <c r="P4723" t="inlineStr">
        <is>
          <t>E系統(終日)</t>
        </is>
      </c>
      <c r="Q4723" t="inlineStr">
        <is>
          <t>1</t>
        </is>
      </c>
    </row>
    <row r="4724" ht="15" customHeight="1" s="37">
      <c r="A4724" t="n">
        <v>9</v>
      </c>
      <c r="B4724" s="10" t="inlineStr">
        <is>
          <t>休日</t>
        </is>
      </c>
      <c r="C4724" s="10" t="inlineStr">
        <is>
          <t>本線</t>
        </is>
      </c>
      <c r="D4724" s="10" t="inlineStr">
        <is>
          <t>上り</t>
        </is>
      </c>
      <c r="E4724" s="10" t="inlineStr">
        <is>
          <t>連1404</t>
        </is>
      </c>
      <c r="F4724" t="inlineStr">
        <is>
          <t>0211</t>
        </is>
      </c>
      <c r="G4724" s="10" t="inlineStr">
        <is>
          <t>嵯峨</t>
        </is>
      </c>
      <c r="H4724" s="10" t="inlineStr">
        <is>
          <t>発</t>
        </is>
      </c>
      <c r="J4724" s="10" t="inlineStr">
        <is>
          <t>営業</t>
        </is>
      </c>
      <c r="L4724" t="inlineStr">
        <is>
          <t>14:13:55</t>
        </is>
      </c>
      <c r="M4724" t="inlineStr">
        <is>
          <t>14:14:20</t>
        </is>
      </c>
      <c r="P4724" t="inlineStr">
        <is>
          <t>E系統(終日)</t>
        </is>
      </c>
    </row>
    <row r="4725" ht="15" customHeight="1" s="37">
      <c r="A4725" t="n">
        <v>9</v>
      </c>
      <c r="B4725" s="10" t="inlineStr">
        <is>
          <t>休日</t>
        </is>
      </c>
      <c r="C4725" s="10" t="inlineStr">
        <is>
          <t>本線</t>
        </is>
      </c>
      <c r="D4725" s="10" t="inlineStr">
        <is>
          <t>上り</t>
        </is>
      </c>
      <c r="E4725" s="10" t="inlineStr">
        <is>
          <t>連1404</t>
        </is>
      </c>
      <c r="F4725" t="inlineStr">
        <is>
          <t>0211</t>
        </is>
      </c>
      <c r="G4725" s="10" t="inlineStr">
        <is>
          <t>鹿王院</t>
        </is>
      </c>
      <c r="H4725" s="10" t="inlineStr">
        <is>
          <t>発</t>
        </is>
      </c>
      <c r="J4725" s="10" t="inlineStr">
        <is>
          <t>営業</t>
        </is>
      </c>
      <c r="L4725" t="inlineStr">
        <is>
          <t>14:15:25</t>
        </is>
      </c>
      <c r="M4725" t="inlineStr">
        <is>
          <t>14:15:45</t>
        </is>
      </c>
      <c r="P4725" t="inlineStr">
        <is>
          <t>E系統(終日)</t>
        </is>
      </c>
    </row>
    <row r="4726" ht="15" customHeight="1" s="37">
      <c r="A4726" t="n">
        <v>9</v>
      </c>
      <c r="B4726" s="10" t="inlineStr">
        <is>
          <t>休日</t>
        </is>
      </c>
      <c r="C4726" s="10" t="inlineStr">
        <is>
          <t>本線</t>
        </is>
      </c>
      <c r="D4726" s="10" t="inlineStr">
        <is>
          <t>上り</t>
        </is>
      </c>
      <c r="E4726" s="10" t="inlineStr">
        <is>
          <t>連1404</t>
        </is>
      </c>
      <c r="F4726" t="inlineStr">
        <is>
          <t>0211</t>
        </is>
      </c>
      <c r="G4726" s="10" t="inlineStr">
        <is>
          <t>車折</t>
        </is>
      </c>
      <c r="H4726" s="10" t="inlineStr">
        <is>
          <t>発</t>
        </is>
      </c>
      <c r="J4726" s="10" t="inlineStr">
        <is>
          <t>営業</t>
        </is>
      </c>
      <c r="L4726" t="inlineStr">
        <is>
          <t>14:16:40</t>
        </is>
      </c>
      <c r="M4726" t="inlineStr">
        <is>
          <t>14:17:10</t>
        </is>
      </c>
      <c r="P4726" t="inlineStr">
        <is>
          <t>E系統(終日)</t>
        </is>
      </c>
    </row>
    <row r="4727" ht="15" customHeight="1" s="37">
      <c r="A4727" t="n">
        <v>9</v>
      </c>
      <c r="B4727" s="10" t="inlineStr">
        <is>
          <t>休日</t>
        </is>
      </c>
      <c r="C4727" s="10" t="inlineStr">
        <is>
          <t>本線</t>
        </is>
      </c>
      <c r="D4727" s="10" t="inlineStr">
        <is>
          <t>上り</t>
        </is>
      </c>
      <c r="E4727" s="10" t="inlineStr">
        <is>
          <t>連1404</t>
        </is>
      </c>
      <c r="F4727" t="inlineStr">
        <is>
          <t>0211</t>
        </is>
      </c>
      <c r="G4727" s="10" t="inlineStr">
        <is>
          <t>有栖川</t>
        </is>
      </c>
      <c r="H4727" s="10" t="inlineStr">
        <is>
          <t>発</t>
        </is>
      </c>
      <c r="J4727" s="10" t="inlineStr">
        <is>
          <t>営業</t>
        </is>
      </c>
      <c r="L4727" t="inlineStr">
        <is>
          <t>14:18:35</t>
        </is>
      </c>
      <c r="M4727" t="inlineStr">
        <is>
          <t>14:18:55</t>
        </is>
      </c>
      <c r="P4727" t="inlineStr">
        <is>
          <t>E系統(終日)</t>
        </is>
      </c>
    </row>
    <row r="4728" ht="15" customHeight="1" s="37">
      <c r="A4728" t="n">
        <v>9</v>
      </c>
      <c r="B4728" s="10" t="inlineStr">
        <is>
          <t>休日</t>
        </is>
      </c>
      <c r="C4728" s="10" t="inlineStr">
        <is>
          <t>本線</t>
        </is>
      </c>
      <c r="D4728" s="10" t="inlineStr">
        <is>
          <t>上り</t>
        </is>
      </c>
      <c r="E4728" s="10" t="inlineStr">
        <is>
          <t>連1404</t>
        </is>
      </c>
      <c r="F4728" t="inlineStr">
        <is>
          <t>0211</t>
        </is>
      </c>
      <c r="G4728" s="10" t="inlineStr">
        <is>
          <t>帷子ノ辻</t>
        </is>
      </c>
      <c r="H4728" s="10" t="inlineStr">
        <is>
          <t>発</t>
        </is>
      </c>
      <c r="J4728" s="10" t="inlineStr">
        <is>
          <t>営業</t>
        </is>
      </c>
      <c r="L4728" t="inlineStr">
        <is>
          <t>14:20:10</t>
        </is>
      </c>
      <c r="M4728" t="inlineStr">
        <is>
          <t>14:21:15</t>
        </is>
      </c>
      <c r="P4728" t="inlineStr">
        <is>
          <t>E系統(終日)</t>
        </is>
      </c>
    </row>
    <row r="4729" ht="15" customHeight="1" s="37">
      <c r="A4729" t="n">
        <v>9</v>
      </c>
      <c r="B4729" s="10" t="inlineStr">
        <is>
          <t>休日</t>
        </is>
      </c>
      <c r="C4729" s="10" t="inlineStr">
        <is>
          <t>本線</t>
        </is>
      </c>
      <c r="D4729" s="10" t="inlineStr">
        <is>
          <t>上り</t>
        </is>
      </c>
      <c r="E4729" s="10" t="inlineStr">
        <is>
          <t>連1404</t>
        </is>
      </c>
      <c r="F4729" t="inlineStr">
        <is>
          <t>0211</t>
        </is>
      </c>
      <c r="G4729" s="10" t="inlineStr">
        <is>
          <t>太秦広隆寺</t>
        </is>
      </c>
      <c r="H4729" s="10" t="inlineStr">
        <is>
          <t>発</t>
        </is>
      </c>
      <c r="J4729" s="10" t="inlineStr">
        <is>
          <t>営業</t>
        </is>
      </c>
      <c r="L4729" t="inlineStr">
        <is>
          <t>14:23:25</t>
        </is>
      </c>
      <c r="M4729" t="inlineStr">
        <is>
          <t>14:23:45</t>
        </is>
      </c>
      <c r="P4729" t="inlineStr">
        <is>
          <t>E系統(終日)</t>
        </is>
      </c>
    </row>
    <row r="4730" ht="15" customHeight="1" s="37">
      <c r="A4730" t="n">
        <v>9</v>
      </c>
      <c r="B4730" s="10" t="inlineStr">
        <is>
          <t>休日</t>
        </is>
      </c>
      <c r="C4730" s="10" t="inlineStr">
        <is>
          <t>本線</t>
        </is>
      </c>
      <c r="D4730" s="10" t="inlineStr">
        <is>
          <t>上り</t>
        </is>
      </c>
      <c r="E4730" s="10" t="inlineStr">
        <is>
          <t>連1404</t>
        </is>
      </c>
      <c r="F4730" t="inlineStr">
        <is>
          <t>0211</t>
        </is>
      </c>
      <c r="G4730" s="10" t="inlineStr">
        <is>
          <t>蚕ノ社</t>
        </is>
      </c>
      <c r="H4730" s="10" t="inlineStr">
        <is>
          <t>発</t>
        </is>
      </c>
      <c r="J4730" s="10" t="inlineStr">
        <is>
          <t>営業</t>
        </is>
      </c>
      <c r="L4730" t="inlineStr">
        <is>
          <t>14:25:00</t>
        </is>
      </c>
      <c r="M4730" t="inlineStr">
        <is>
          <t>14:25:20</t>
        </is>
      </c>
      <c r="P4730" t="inlineStr">
        <is>
          <t>E系統(終日)</t>
        </is>
      </c>
    </row>
    <row r="4731" ht="15" customHeight="1" s="37">
      <c r="A4731" t="n">
        <v>9</v>
      </c>
      <c r="B4731" s="10" t="inlineStr">
        <is>
          <t>休日</t>
        </is>
      </c>
      <c r="C4731" s="10" t="inlineStr">
        <is>
          <t>本線</t>
        </is>
      </c>
      <c r="D4731" s="10" t="inlineStr">
        <is>
          <t>上り</t>
        </is>
      </c>
      <c r="E4731" s="10" t="inlineStr">
        <is>
          <t>連1404</t>
        </is>
      </c>
      <c r="F4731" t="inlineStr">
        <is>
          <t>0211</t>
        </is>
      </c>
      <c r="G4731" s="10" t="inlineStr">
        <is>
          <t>天神川</t>
        </is>
      </c>
      <c r="H4731" s="10" t="inlineStr">
        <is>
          <t>発</t>
        </is>
      </c>
      <c r="J4731" s="10" t="inlineStr">
        <is>
          <t>営業</t>
        </is>
      </c>
      <c r="L4731" t="inlineStr">
        <is>
          <t>14:26:05</t>
        </is>
      </c>
      <c r="M4731" t="inlineStr">
        <is>
          <t>14:26:50</t>
        </is>
      </c>
      <c r="P4731" t="inlineStr">
        <is>
          <t>E系統(終日)</t>
        </is>
      </c>
    </row>
    <row r="4732" ht="15" customHeight="1" s="37">
      <c r="A4732" t="n">
        <v>9</v>
      </c>
      <c r="B4732" s="10" t="inlineStr">
        <is>
          <t>休日</t>
        </is>
      </c>
      <c r="C4732" s="10" t="inlineStr">
        <is>
          <t>本線</t>
        </is>
      </c>
      <c r="D4732" s="10" t="inlineStr">
        <is>
          <t>上り</t>
        </is>
      </c>
      <c r="E4732" s="10" t="inlineStr">
        <is>
          <t>連1404</t>
        </is>
      </c>
      <c r="F4732" t="inlineStr">
        <is>
          <t>0211</t>
        </is>
      </c>
      <c r="G4732" s="10" t="inlineStr">
        <is>
          <t>山ノ内</t>
        </is>
      </c>
      <c r="H4732" s="10" t="inlineStr">
        <is>
          <t>発</t>
        </is>
      </c>
      <c r="J4732" s="10" t="inlineStr">
        <is>
          <t>営業</t>
        </is>
      </c>
      <c r="L4732" t="inlineStr">
        <is>
          <t>14:28:40</t>
        </is>
      </c>
      <c r="M4732" t="inlineStr">
        <is>
          <t>14:29:05</t>
        </is>
      </c>
      <c r="P4732" t="inlineStr">
        <is>
          <t>E系統(終日)</t>
        </is>
      </c>
    </row>
    <row r="4733" ht="15" customHeight="1" s="37">
      <c r="A4733" t="n">
        <v>9</v>
      </c>
      <c r="B4733" s="10" t="inlineStr">
        <is>
          <t>休日</t>
        </is>
      </c>
      <c r="C4733" s="10" t="inlineStr">
        <is>
          <t>本線</t>
        </is>
      </c>
      <c r="D4733" s="10" t="inlineStr">
        <is>
          <t>上り</t>
        </is>
      </c>
      <c r="E4733" s="10" t="inlineStr">
        <is>
          <t>連1404</t>
        </is>
      </c>
      <c r="F4733" t="inlineStr">
        <is>
          <t>0211</t>
        </is>
      </c>
      <c r="G4733" s="10" t="inlineStr">
        <is>
          <t>西大路三条</t>
        </is>
      </c>
      <c r="H4733" s="10" t="inlineStr">
        <is>
          <t>発</t>
        </is>
      </c>
      <c r="J4733" s="10" t="inlineStr">
        <is>
          <t>営業</t>
        </is>
      </c>
      <c r="L4733" t="inlineStr">
        <is>
          <t>14:30:55</t>
        </is>
      </c>
      <c r="M4733" t="inlineStr">
        <is>
          <t>14:31:15</t>
        </is>
      </c>
      <c r="P4733" t="inlineStr">
        <is>
          <t>E系統(終日)</t>
        </is>
      </c>
    </row>
    <row r="4734" ht="15" customHeight="1" s="37">
      <c r="A4734" t="n">
        <v>9</v>
      </c>
      <c r="B4734" s="10" t="inlineStr">
        <is>
          <t>休日</t>
        </is>
      </c>
      <c r="C4734" s="10" t="inlineStr">
        <is>
          <t>本線</t>
        </is>
      </c>
      <c r="D4734" s="10" t="inlineStr">
        <is>
          <t>上り</t>
        </is>
      </c>
      <c r="E4734" s="10" t="inlineStr">
        <is>
          <t>連1404</t>
        </is>
      </c>
      <c r="F4734" t="inlineStr">
        <is>
          <t>0211</t>
        </is>
      </c>
      <c r="G4734" s="10" t="inlineStr">
        <is>
          <t>西院</t>
        </is>
      </c>
      <c r="H4734" s="10" t="inlineStr">
        <is>
          <t>発</t>
        </is>
      </c>
      <c r="J4734" s="10" t="inlineStr">
        <is>
          <t>営業</t>
        </is>
      </c>
      <c r="L4734" t="inlineStr">
        <is>
          <t>14:33:10</t>
        </is>
      </c>
      <c r="M4734" t="inlineStr">
        <is>
          <t>14:34:05</t>
        </is>
      </c>
      <c r="P4734" t="inlineStr">
        <is>
          <t>E系統(終日)</t>
        </is>
      </c>
    </row>
    <row r="4735" ht="15" customHeight="1" s="37">
      <c r="A4735" t="n">
        <v>9</v>
      </c>
      <c r="B4735" s="10" t="inlineStr">
        <is>
          <t>休日</t>
        </is>
      </c>
      <c r="C4735" s="10" t="inlineStr">
        <is>
          <t>本線</t>
        </is>
      </c>
      <c r="D4735" s="10" t="inlineStr">
        <is>
          <t>上り</t>
        </is>
      </c>
      <c r="E4735" s="10" t="inlineStr">
        <is>
          <t>連1404</t>
        </is>
      </c>
      <c r="F4735" t="inlineStr">
        <is>
          <t>0211</t>
        </is>
      </c>
      <c r="G4735" s="10" t="inlineStr">
        <is>
          <t>四条大宮</t>
        </is>
      </c>
      <c r="H4735" s="10" t="inlineStr">
        <is>
          <t>着</t>
        </is>
      </c>
      <c r="J4735" s="10" t="inlineStr">
        <is>
          <t>営業</t>
        </is>
      </c>
      <c r="L4735" t="inlineStr">
        <is>
          <t>14:37:00</t>
        </is>
      </c>
      <c r="P4735" t="inlineStr">
        <is>
          <t>E系統(終日)</t>
        </is>
      </c>
      <c r="Q4735" t="inlineStr">
        <is>
          <t>1</t>
        </is>
      </c>
    </row>
    <row r="4736" ht="15" customHeight="1" s="37">
      <c r="A4736" t="n">
        <v>9</v>
      </c>
      <c r="B4736" s="10" t="inlineStr">
        <is>
          <t>休日</t>
        </is>
      </c>
      <c r="C4736" s="10" t="inlineStr">
        <is>
          <t>本線</t>
        </is>
      </c>
      <c r="D4736" s="10" t="inlineStr">
        <is>
          <t>下り</t>
        </is>
      </c>
      <c r="E4736" s="10" t="inlineStr">
        <is>
          <t>連1409</t>
        </is>
      </c>
      <c r="F4736" t="inlineStr">
        <is>
          <t>0112</t>
        </is>
      </c>
      <c r="G4736" s="10" t="inlineStr">
        <is>
          <t>四条大宮</t>
        </is>
      </c>
      <c r="H4736" s="10" t="inlineStr">
        <is>
          <t>発</t>
        </is>
      </c>
      <c r="J4736" s="10" t="inlineStr">
        <is>
          <t>営業</t>
        </is>
      </c>
      <c r="M4736" t="inlineStr">
        <is>
          <t>14:43:00</t>
        </is>
      </c>
      <c r="P4736" t="inlineStr">
        <is>
          <t>E系統(終日)</t>
        </is>
      </c>
      <c r="Q4736" t="inlineStr">
        <is>
          <t>1</t>
        </is>
      </c>
    </row>
    <row r="4737" ht="15" customHeight="1" s="37">
      <c r="A4737" t="n">
        <v>9</v>
      </c>
      <c r="B4737" s="10" t="inlineStr">
        <is>
          <t>休日</t>
        </is>
      </c>
      <c r="C4737" s="10" t="inlineStr">
        <is>
          <t>本線</t>
        </is>
      </c>
      <c r="D4737" s="10" t="inlineStr">
        <is>
          <t>下り</t>
        </is>
      </c>
      <c r="E4737" s="10" t="inlineStr">
        <is>
          <t>連1409</t>
        </is>
      </c>
      <c r="F4737" t="inlineStr">
        <is>
          <t>0112</t>
        </is>
      </c>
      <c r="G4737" s="10" t="inlineStr">
        <is>
          <t>西院</t>
        </is>
      </c>
      <c r="H4737" s="10" t="inlineStr">
        <is>
          <t>発</t>
        </is>
      </c>
      <c r="J4737" s="10" t="inlineStr">
        <is>
          <t>営業</t>
        </is>
      </c>
      <c r="L4737" t="inlineStr">
        <is>
          <t>14:45:50</t>
        </is>
      </c>
      <c r="M4737" t="inlineStr">
        <is>
          <t>14:46:20</t>
        </is>
      </c>
      <c r="P4737" t="inlineStr">
        <is>
          <t>E系統(終日)</t>
        </is>
      </c>
    </row>
    <row r="4738" ht="15" customHeight="1" s="37">
      <c r="A4738" t="n">
        <v>9</v>
      </c>
      <c r="B4738" s="10" t="inlineStr">
        <is>
          <t>休日</t>
        </is>
      </c>
      <c r="C4738" s="10" t="inlineStr">
        <is>
          <t>本線</t>
        </is>
      </c>
      <c r="D4738" s="10" t="inlineStr">
        <is>
          <t>下り</t>
        </is>
      </c>
      <c r="E4738" s="10" t="inlineStr">
        <is>
          <t>連1409</t>
        </is>
      </c>
      <c r="F4738" t="inlineStr">
        <is>
          <t>0112</t>
        </is>
      </c>
      <c r="G4738" s="10" t="inlineStr">
        <is>
          <t>西大路三条</t>
        </is>
      </c>
      <c r="H4738" s="10" t="inlineStr">
        <is>
          <t>発</t>
        </is>
      </c>
      <c r="J4738" s="10" t="inlineStr">
        <is>
          <t>営業</t>
        </is>
      </c>
      <c r="L4738" t="inlineStr">
        <is>
          <t>14:48:10</t>
        </is>
      </c>
      <c r="M4738" t="inlineStr">
        <is>
          <t>14:48:30</t>
        </is>
      </c>
      <c r="P4738" t="inlineStr">
        <is>
          <t>E系統(終日)</t>
        </is>
      </c>
    </row>
    <row r="4739" ht="15" customHeight="1" s="37">
      <c r="A4739" t="n">
        <v>9</v>
      </c>
      <c r="B4739" s="10" t="inlineStr">
        <is>
          <t>休日</t>
        </is>
      </c>
      <c r="C4739" s="10" t="inlineStr">
        <is>
          <t>本線</t>
        </is>
      </c>
      <c r="D4739" s="10" t="inlineStr">
        <is>
          <t>下り</t>
        </is>
      </c>
      <c r="E4739" s="10" t="inlineStr">
        <is>
          <t>連1409</t>
        </is>
      </c>
      <c r="F4739" t="inlineStr">
        <is>
          <t>0112</t>
        </is>
      </c>
      <c r="G4739" s="10" t="inlineStr">
        <is>
          <t>山ノ内</t>
        </is>
      </c>
      <c r="H4739" s="10" t="inlineStr">
        <is>
          <t>発</t>
        </is>
      </c>
      <c r="J4739" s="10" t="inlineStr">
        <is>
          <t>営業</t>
        </is>
      </c>
      <c r="L4739" t="inlineStr">
        <is>
          <t>14:50:25</t>
        </is>
      </c>
      <c r="M4739" t="inlineStr">
        <is>
          <t>14:50:50</t>
        </is>
      </c>
      <c r="P4739" t="inlineStr">
        <is>
          <t>E系統(終日)</t>
        </is>
      </c>
    </row>
    <row r="4740" ht="15" customHeight="1" s="37">
      <c r="A4740" t="n">
        <v>9</v>
      </c>
      <c r="B4740" s="10" t="inlineStr">
        <is>
          <t>休日</t>
        </is>
      </c>
      <c r="C4740" s="10" t="inlineStr">
        <is>
          <t>本線</t>
        </is>
      </c>
      <c r="D4740" s="10" t="inlineStr">
        <is>
          <t>下り</t>
        </is>
      </c>
      <c r="E4740" s="10" t="inlineStr">
        <is>
          <t>連1409</t>
        </is>
      </c>
      <c r="F4740" t="inlineStr">
        <is>
          <t>0112</t>
        </is>
      </c>
      <c r="G4740" s="10" t="inlineStr">
        <is>
          <t>天神川</t>
        </is>
      </c>
      <c r="H4740" s="10" t="inlineStr">
        <is>
          <t>発</t>
        </is>
      </c>
      <c r="J4740" s="10" t="inlineStr">
        <is>
          <t>営業</t>
        </is>
      </c>
      <c r="L4740" t="inlineStr">
        <is>
          <t>14:52:50</t>
        </is>
      </c>
      <c r="M4740" t="inlineStr">
        <is>
          <t>14:53:30</t>
        </is>
      </c>
      <c r="P4740" t="inlineStr">
        <is>
          <t>E系統(終日)</t>
        </is>
      </c>
    </row>
    <row r="4741" ht="15" customHeight="1" s="37">
      <c r="A4741" t="n">
        <v>9</v>
      </c>
      <c r="B4741" s="10" t="inlineStr">
        <is>
          <t>休日</t>
        </is>
      </c>
      <c r="C4741" s="10" t="inlineStr">
        <is>
          <t>本線</t>
        </is>
      </c>
      <c r="D4741" s="10" t="inlineStr">
        <is>
          <t>下り</t>
        </is>
      </c>
      <c r="E4741" s="10" t="inlineStr">
        <is>
          <t>連1409</t>
        </is>
      </c>
      <c r="F4741" t="inlineStr">
        <is>
          <t>0112</t>
        </is>
      </c>
      <c r="G4741" s="10" t="inlineStr">
        <is>
          <t>蚕ノ社</t>
        </is>
      </c>
      <c r="H4741" s="10" t="inlineStr">
        <is>
          <t>発</t>
        </is>
      </c>
      <c r="J4741" s="10" t="inlineStr">
        <is>
          <t>営業</t>
        </is>
      </c>
      <c r="L4741" t="inlineStr">
        <is>
          <t>14:54:20</t>
        </is>
      </c>
      <c r="M4741" t="inlineStr">
        <is>
          <t>14:54:40</t>
        </is>
      </c>
      <c r="P4741" t="inlineStr">
        <is>
          <t>E系統(終日)</t>
        </is>
      </c>
    </row>
    <row r="4742" ht="15" customHeight="1" s="37">
      <c r="A4742" t="n">
        <v>9</v>
      </c>
      <c r="B4742" s="10" t="inlineStr">
        <is>
          <t>休日</t>
        </is>
      </c>
      <c r="C4742" s="10" t="inlineStr">
        <is>
          <t>本線</t>
        </is>
      </c>
      <c r="D4742" s="10" t="inlineStr">
        <is>
          <t>下り</t>
        </is>
      </c>
      <c r="E4742" s="10" t="inlineStr">
        <is>
          <t>連1409</t>
        </is>
      </c>
      <c r="F4742" t="inlineStr">
        <is>
          <t>0112</t>
        </is>
      </c>
      <c r="G4742" s="10" t="inlineStr">
        <is>
          <t>太秦広隆寺</t>
        </is>
      </c>
      <c r="H4742" s="10" t="inlineStr">
        <is>
          <t>発</t>
        </is>
      </c>
      <c r="J4742" s="10" t="inlineStr">
        <is>
          <t>営業</t>
        </is>
      </c>
      <c r="L4742" t="inlineStr">
        <is>
          <t>14:56:00</t>
        </is>
      </c>
      <c r="M4742" t="inlineStr">
        <is>
          <t>14:56:20</t>
        </is>
      </c>
      <c r="P4742" t="inlineStr">
        <is>
          <t>E系統(終日)</t>
        </is>
      </c>
    </row>
    <row r="4743" ht="15" customHeight="1" s="37">
      <c r="A4743" t="n">
        <v>9</v>
      </c>
      <c r="B4743" s="10" t="inlineStr">
        <is>
          <t>休日</t>
        </is>
      </c>
      <c r="C4743" s="10" t="inlineStr">
        <is>
          <t>本線</t>
        </is>
      </c>
      <c r="D4743" s="10" t="inlineStr">
        <is>
          <t>下り</t>
        </is>
      </c>
      <c r="E4743" s="10" t="inlineStr">
        <is>
          <t>連1409</t>
        </is>
      </c>
      <c r="F4743" t="inlineStr">
        <is>
          <t>0112</t>
        </is>
      </c>
      <c r="G4743" s="10" t="inlineStr">
        <is>
          <t>帷子ノ辻</t>
        </is>
      </c>
      <c r="H4743" s="10" t="inlineStr">
        <is>
          <t>発</t>
        </is>
      </c>
      <c r="J4743" s="10" t="inlineStr">
        <is>
          <t>営業</t>
        </is>
      </c>
      <c r="L4743" t="inlineStr">
        <is>
          <t>14:58:20</t>
        </is>
      </c>
      <c r="M4743" t="inlineStr">
        <is>
          <t>14:59:40</t>
        </is>
      </c>
      <c r="P4743" t="inlineStr">
        <is>
          <t>E系統(終日)</t>
        </is>
      </c>
    </row>
    <row r="4744" ht="15" customHeight="1" s="37">
      <c r="A4744" t="n">
        <v>9</v>
      </c>
      <c r="B4744" s="10" t="inlineStr">
        <is>
          <t>休日</t>
        </is>
      </c>
      <c r="C4744" s="10" t="inlineStr">
        <is>
          <t>本線</t>
        </is>
      </c>
      <c r="D4744" s="10" t="inlineStr">
        <is>
          <t>下り</t>
        </is>
      </c>
      <c r="E4744" s="10" t="inlineStr">
        <is>
          <t>連1409</t>
        </is>
      </c>
      <c r="F4744" t="inlineStr">
        <is>
          <t>0112</t>
        </is>
      </c>
      <c r="G4744" s="10" t="inlineStr">
        <is>
          <t>有栖川</t>
        </is>
      </c>
      <c r="H4744" s="10" t="inlineStr">
        <is>
          <t>発</t>
        </is>
      </c>
      <c r="J4744" s="10" t="inlineStr">
        <is>
          <t>営業</t>
        </is>
      </c>
      <c r="L4744" t="inlineStr">
        <is>
          <t>15:00:50</t>
        </is>
      </c>
      <c r="M4744" t="inlineStr">
        <is>
          <t>15:01:15</t>
        </is>
      </c>
      <c r="P4744" t="inlineStr">
        <is>
          <t>E系統(終日)</t>
        </is>
      </c>
    </row>
    <row r="4745" ht="15" customHeight="1" s="37">
      <c r="A4745" t="n">
        <v>9</v>
      </c>
      <c r="B4745" s="10" t="inlineStr">
        <is>
          <t>休日</t>
        </is>
      </c>
      <c r="C4745" s="10" t="inlineStr">
        <is>
          <t>本線</t>
        </is>
      </c>
      <c r="D4745" s="10" t="inlineStr">
        <is>
          <t>下り</t>
        </is>
      </c>
      <c r="E4745" s="10" t="inlineStr">
        <is>
          <t>連1409</t>
        </is>
      </c>
      <c r="F4745" t="inlineStr">
        <is>
          <t>0112</t>
        </is>
      </c>
      <c r="G4745" s="10" t="inlineStr">
        <is>
          <t>車折</t>
        </is>
      </c>
      <c r="H4745" s="10" t="inlineStr">
        <is>
          <t>発</t>
        </is>
      </c>
      <c r="J4745" s="10" t="inlineStr">
        <is>
          <t>営業</t>
        </is>
      </c>
      <c r="L4745" t="inlineStr">
        <is>
          <t>15:02:40</t>
        </is>
      </c>
      <c r="M4745" t="inlineStr">
        <is>
          <t>15:03:05</t>
        </is>
      </c>
      <c r="P4745" t="inlineStr">
        <is>
          <t>E系統(終日)</t>
        </is>
      </c>
    </row>
    <row r="4746" ht="15" customHeight="1" s="37">
      <c r="A4746" t="n">
        <v>9</v>
      </c>
      <c r="B4746" s="10" t="inlineStr">
        <is>
          <t>休日</t>
        </is>
      </c>
      <c r="C4746" s="10" t="inlineStr">
        <is>
          <t>本線</t>
        </is>
      </c>
      <c r="D4746" s="10" t="inlineStr">
        <is>
          <t>下り</t>
        </is>
      </c>
      <c r="E4746" s="10" t="inlineStr">
        <is>
          <t>連1409</t>
        </is>
      </c>
      <c r="F4746" t="inlineStr">
        <is>
          <t>0112</t>
        </is>
      </c>
      <c r="G4746" s="10" t="inlineStr">
        <is>
          <t>鹿王院</t>
        </is>
      </c>
      <c r="H4746" s="10" t="inlineStr">
        <is>
          <t>発</t>
        </is>
      </c>
      <c r="J4746" s="10" t="inlineStr">
        <is>
          <t>営業</t>
        </is>
      </c>
      <c r="L4746" t="inlineStr">
        <is>
          <t>15:04:00</t>
        </is>
      </c>
      <c r="M4746" t="inlineStr">
        <is>
          <t>15:04:25</t>
        </is>
      </c>
      <c r="P4746" t="inlineStr">
        <is>
          <t>E系統(終日)</t>
        </is>
      </c>
    </row>
    <row r="4747" ht="15" customHeight="1" s="37">
      <c r="A4747" t="n">
        <v>9</v>
      </c>
      <c r="B4747" s="10" t="inlineStr">
        <is>
          <t>休日</t>
        </is>
      </c>
      <c r="C4747" s="10" t="inlineStr">
        <is>
          <t>本線</t>
        </is>
      </c>
      <c r="D4747" s="10" t="inlineStr">
        <is>
          <t>下り</t>
        </is>
      </c>
      <c r="E4747" s="10" t="inlineStr">
        <is>
          <t>連1409</t>
        </is>
      </c>
      <c r="F4747" t="inlineStr">
        <is>
          <t>0112</t>
        </is>
      </c>
      <c r="G4747" s="10" t="inlineStr">
        <is>
          <t>嵯峨</t>
        </is>
      </c>
      <c r="H4747" s="10" t="inlineStr">
        <is>
          <t>発</t>
        </is>
      </c>
      <c r="J4747" s="10" t="inlineStr">
        <is>
          <t>営業</t>
        </is>
      </c>
      <c r="L4747" t="inlineStr">
        <is>
          <t>15:05:30</t>
        </is>
      </c>
      <c r="M4747" t="inlineStr">
        <is>
          <t>15:05:55</t>
        </is>
      </c>
      <c r="P4747" t="inlineStr">
        <is>
          <t>E系統(終日)</t>
        </is>
      </c>
    </row>
    <row r="4748" ht="15" customHeight="1" s="37">
      <c r="A4748" t="n">
        <v>9</v>
      </c>
      <c r="B4748" s="10" t="inlineStr">
        <is>
          <t>休日</t>
        </is>
      </c>
      <c r="C4748" s="10" t="inlineStr">
        <is>
          <t>本線</t>
        </is>
      </c>
      <c r="D4748" s="10" t="inlineStr">
        <is>
          <t>下り</t>
        </is>
      </c>
      <c r="E4748" s="10" t="inlineStr">
        <is>
          <t>連1409</t>
        </is>
      </c>
      <c r="F4748" t="inlineStr">
        <is>
          <t>0112</t>
        </is>
      </c>
      <c r="G4748" s="10" t="inlineStr">
        <is>
          <t>嵐山</t>
        </is>
      </c>
      <c r="H4748" s="10" t="inlineStr">
        <is>
          <t>着</t>
        </is>
      </c>
      <c r="J4748" s="10" t="inlineStr">
        <is>
          <t>営業</t>
        </is>
      </c>
      <c r="L4748" t="inlineStr">
        <is>
          <t>15:07:00</t>
        </is>
      </c>
      <c r="P4748" t="inlineStr">
        <is>
          <t>E系統(終日)</t>
        </is>
      </c>
      <c r="Q4748" t="inlineStr">
        <is>
          <t>1</t>
        </is>
      </c>
    </row>
    <row r="4749" ht="15" customHeight="1" s="37">
      <c r="A4749" t="n">
        <v>9</v>
      </c>
      <c r="B4749" s="10" t="inlineStr">
        <is>
          <t>休日</t>
        </is>
      </c>
      <c r="C4749" s="10" t="inlineStr">
        <is>
          <t>本線</t>
        </is>
      </c>
      <c r="D4749" s="10" t="inlineStr">
        <is>
          <t>上り</t>
        </is>
      </c>
      <c r="E4749" s="10" t="inlineStr">
        <is>
          <t>連1504</t>
        </is>
      </c>
      <c r="F4749" t="inlineStr">
        <is>
          <t>0211</t>
        </is>
      </c>
      <c r="G4749" s="10" t="inlineStr">
        <is>
          <t>嵐山</t>
        </is>
      </c>
      <c r="H4749" s="10" t="inlineStr">
        <is>
          <t>発</t>
        </is>
      </c>
      <c r="J4749" s="10" t="inlineStr">
        <is>
          <t>営業</t>
        </is>
      </c>
      <c r="M4749" t="inlineStr">
        <is>
          <t>15:13:00</t>
        </is>
      </c>
      <c r="P4749" t="inlineStr">
        <is>
          <t>E系統(終日)</t>
        </is>
      </c>
      <c r="Q4749" t="inlineStr">
        <is>
          <t>1</t>
        </is>
      </c>
      <c r="U4749" t="inlineStr">
        <is>
          <t>→西院 休憩(15:46〜17:06)</t>
        </is>
      </c>
    </row>
    <row r="4750" ht="15" customHeight="1" s="37">
      <c r="A4750" t="n">
        <v>9</v>
      </c>
      <c r="B4750" s="10" t="inlineStr">
        <is>
          <t>休日</t>
        </is>
      </c>
      <c r="C4750" s="10" t="inlineStr">
        <is>
          <t>本線</t>
        </is>
      </c>
      <c r="D4750" s="10" t="inlineStr">
        <is>
          <t>上り</t>
        </is>
      </c>
      <c r="E4750" s="10" t="inlineStr">
        <is>
          <t>連1504</t>
        </is>
      </c>
      <c r="F4750" t="inlineStr">
        <is>
          <t>0211</t>
        </is>
      </c>
      <c r="G4750" s="10" t="inlineStr">
        <is>
          <t>嵯峨</t>
        </is>
      </c>
      <c r="H4750" s="10" t="inlineStr">
        <is>
          <t>発</t>
        </is>
      </c>
      <c r="J4750" s="10" t="inlineStr">
        <is>
          <t>営業</t>
        </is>
      </c>
      <c r="L4750" t="inlineStr">
        <is>
          <t>15:13:55</t>
        </is>
      </c>
      <c r="M4750" t="inlineStr">
        <is>
          <t>15:14:20</t>
        </is>
      </c>
      <c r="P4750" t="inlineStr">
        <is>
          <t>E系統(終日)</t>
        </is>
      </c>
      <c r="U4750" t="inlineStr">
        <is>
          <t>→西院 休憩(15:46〜17:06)</t>
        </is>
      </c>
    </row>
    <row r="4751" ht="15" customHeight="1" s="37">
      <c r="A4751" t="n">
        <v>9</v>
      </c>
      <c r="B4751" s="10" t="inlineStr">
        <is>
          <t>休日</t>
        </is>
      </c>
      <c r="C4751" s="10" t="inlineStr">
        <is>
          <t>本線</t>
        </is>
      </c>
      <c r="D4751" s="10" t="inlineStr">
        <is>
          <t>上り</t>
        </is>
      </c>
      <c r="E4751" s="10" t="inlineStr">
        <is>
          <t>連1504</t>
        </is>
      </c>
      <c r="F4751" t="inlineStr">
        <is>
          <t>0211</t>
        </is>
      </c>
      <c r="G4751" s="10" t="inlineStr">
        <is>
          <t>鹿王院</t>
        </is>
      </c>
      <c r="H4751" s="10" t="inlineStr">
        <is>
          <t>発</t>
        </is>
      </c>
      <c r="J4751" s="10" t="inlineStr">
        <is>
          <t>営業</t>
        </is>
      </c>
      <c r="L4751" t="inlineStr">
        <is>
          <t>15:15:25</t>
        </is>
      </c>
      <c r="M4751" t="inlineStr">
        <is>
          <t>15:15:45</t>
        </is>
      </c>
      <c r="P4751" t="inlineStr">
        <is>
          <t>E系統(終日)</t>
        </is>
      </c>
      <c r="U4751" t="inlineStr">
        <is>
          <t>→西院 休憩(15:46〜17:06)</t>
        </is>
      </c>
    </row>
    <row r="4752" ht="15" customHeight="1" s="37">
      <c r="A4752" t="n">
        <v>9</v>
      </c>
      <c r="B4752" s="10" t="inlineStr">
        <is>
          <t>休日</t>
        </is>
      </c>
      <c r="C4752" s="10" t="inlineStr">
        <is>
          <t>本線</t>
        </is>
      </c>
      <c r="D4752" s="10" t="inlineStr">
        <is>
          <t>上り</t>
        </is>
      </c>
      <c r="E4752" s="10" t="inlineStr">
        <is>
          <t>連1504</t>
        </is>
      </c>
      <c r="F4752" t="inlineStr">
        <is>
          <t>0211</t>
        </is>
      </c>
      <c r="G4752" s="10" t="inlineStr">
        <is>
          <t>車折</t>
        </is>
      </c>
      <c r="H4752" s="10" t="inlineStr">
        <is>
          <t>発</t>
        </is>
      </c>
      <c r="J4752" s="10" t="inlineStr">
        <is>
          <t>営業</t>
        </is>
      </c>
      <c r="L4752" t="inlineStr">
        <is>
          <t>15:16:40</t>
        </is>
      </c>
      <c r="M4752" t="inlineStr">
        <is>
          <t>15:17:10</t>
        </is>
      </c>
      <c r="P4752" t="inlineStr">
        <is>
          <t>E系統(終日)</t>
        </is>
      </c>
      <c r="U4752" t="inlineStr">
        <is>
          <t>→西院 休憩(15:46〜17:06)</t>
        </is>
      </c>
    </row>
    <row r="4753" ht="15" customHeight="1" s="37">
      <c r="A4753" t="n">
        <v>9</v>
      </c>
      <c r="B4753" s="10" t="inlineStr">
        <is>
          <t>休日</t>
        </is>
      </c>
      <c r="C4753" s="10" t="inlineStr">
        <is>
          <t>本線</t>
        </is>
      </c>
      <c r="D4753" s="10" t="inlineStr">
        <is>
          <t>上り</t>
        </is>
      </c>
      <c r="E4753" s="10" t="inlineStr">
        <is>
          <t>連1504</t>
        </is>
      </c>
      <c r="F4753" t="inlineStr">
        <is>
          <t>0211</t>
        </is>
      </c>
      <c r="G4753" s="10" t="inlineStr">
        <is>
          <t>有栖川</t>
        </is>
      </c>
      <c r="H4753" s="10" t="inlineStr">
        <is>
          <t>発</t>
        </is>
      </c>
      <c r="J4753" s="10" t="inlineStr">
        <is>
          <t>営業</t>
        </is>
      </c>
      <c r="L4753" t="inlineStr">
        <is>
          <t>15:18:35</t>
        </is>
      </c>
      <c r="M4753" t="inlineStr">
        <is>
          <t>15:18:55</t>
        </is>
      </c>
      <c r="P4753" t="inlineStr">
        <is>
          <t>E系統(終日)</t>
        </is>
      </c>
      <c r="U4753" t="inlineStr">
        <is>
          <t>→西院 休憩(15:46〜17:06)</t>
        </is>
      </c>
    </row>
    <row r="4754" ht="15" customHeight="1" s="37">
      <c r="A4754" t="n">
        <v>9</v>
      </c>
      <c r="B4754" s="10" t="inlineStr">
        <is>
          <t>休日</t>
        </is>
      </c>
      <c r="C4754" s="10" t="inlineStr">
        <is>
          <t>本線</t>
        </is>
      </c>
      <c r="D4754" s="10" t="inlineStr">
        <is>
          <t>上り</t>
        </is>
      </c>
      <c r="E4754" s="10" t="inlineStr">
        <is>
          <t>連1504</t>
        </is>
      </c>
      <c r="F4754" t="inlineStr">
        <is>
          <t>0211</t>
        </is>
      </c>
      <c r="G4754" s="10" t="inlineStr">
        <is>
          <t>帷子ノ辻</t>
        </is>
      </c>
      <c r="H4754" s="10" t="inlineStr">
        <is>
          <t>発</t>
        </is>
      </c>
      <c r="J4754" s="10" t="inlineStr">
        <is>
          <t>営業</t>
        </is>
      </c>
      <c r="L4754" t="inlineStr">
        <is>
          <t>15:20:10</t>
        </is>
      </c>
      <c r="M4754" t="inlineStr">
        <is>
          <t>15:21:15</t>
        </is>
      </c>
      <c r="P4754" t="inlineStr">
        <is>
          <t>E系統(終日)</t>
        </is>
      </c>
      <c r="U4754" t="inlineStr">
        <is>
          <t>→西院 休憩(15:46〜17:06)</t>
        </is>
      </c>
    </row>
    <row r="4755" ht="15" customHeight="1" s="37">
      <c r="A4755" t="n">
        <v>9</v>
      </c>
      <c r="B4755" s="10" t="inlineStr">
        <is>
          <t>休日</t>
        </is>
      </c>
      <c r="C4755" s="10" t="inlineStr">
        <is>
          <t>本線</t>
        </is>
      </c>
      <c r="D4755" s="10" t="inlineStr">
        <is>
          <t>上り</t>
        </is>
      </c>
      <c r="E4755" s="10" t="inlineStr">
        <is>
          <t>連1504</t>
        </is>
      </c>
      <c r="F4755" t="inlineStr">
        <is>
          <t>0211</t>
        </is>
      </c>
      <c r="G4755" s="10" t="inlineStr">
        <is>
          <t>太秦広隆寺</t>
        </is>
      </c>
      <c r="H4755" s="10" t="inlineStr">
        <is>
          <t>発</t>
        </is>
      </c>
      <c r="J4755" s="10" t="inlineStr">
        <is>
          <t>営業</t>
        </is>
      </c>
      <c r="L4755" t="inlineStr">
        <is>
          <t>15:23:25</t>
        </is>
      </c>
      <c r="M4755" t="inlineStr">
        <is>
          <t>15:23:45</t>
        </is>
      </c>
      <c r="P4755" t="inlineStr">
        <is>
          <t>E系統(終日)</t>
        </is>
      </c>
      <c r="U4755" t="inlineStr">
        <is>
          <t>→西院 休憩(15:46〜17:06)</t>
        </is>
      </c>
    </row>
    <row r="4756" ht="15" customHeight="1" s="37">
      <c r="A4756" t="n">
        <v>9</v>
      </c>
      <c r="B4756" s="10" t="inlineStr">
        <is>
          <t>休日</t>
        </is>
      </c>
      <c r="C4756" s="10" t="inlineStr">
        <is>
          <t>本線</t>
        </is>
      </c>
      <c r="D4756" s="10" t="inlineStr">
        <is>
          <t>上り</t>
        </is>
      </c>
      <c r="E4756" s="10" t="inlineStr">
        <is>
          <t>連1504</t>
        </is>
      </c>
      <c r="F4756" t="inlineStr">
        <is>
          <t>0211</t>
        </is>
      </c>
      <c r="G4756" s="10" t="inlineStr">
        <is>
          <t>蚕ノ社</t>
        </is>
      </c>
      <c r="H4756" s="10" t="inlineStr">
        <is>
          <t>発</t>
        </is>
      </c>
      <c r="J4756" s="10" t="inlineStr">
        <is>
          <t>営業</t>
        </is>
      </c>
      <c r="L4756" t="inlineStr">
        <is>
          <t>15:25:00</t>
        </is>
      </c>
      <c r="M4756" t="inlineStr">
        <is>
          <t>15:25:20</t>
        </is>
      </c>
      <c r="P4756" t="inlineStr">
        <is>
          <t>E系統(終日)</t>
        </is>
      </c>
      <c r="U4756" t="inlineStr">
        <is>
          <t>→西院 休憩(15:46〜17:06)</t>
        </is>
      </c>
    </row>
    <row r="4757" ht="15" customHeight="1" s="37">
      <c r="A4757" t="n">
        <v>9</v>
      </c>
      <c r="B4757" s="10" t="inlineStr">
        <is>
          <t>休日</t>
        </is>
      </c>
      <c r="C4757" s="10" t="inlineStr">
        <is>
          <t>本線</t>
        </is>
      </c>
      <c r="D4757" s="10" t="inlineStr">
        <is>
          <t>上り</t>
        </is>
      </c>
      <c r="E4757" s="10" t="inlineStr">
        <is>
          <t>連1504</t>
        </is>
      </c>
      <c r="F4757" t="inlineStr">
        <is>
          <t>0211</t>
        </is>
      </c>
      <c r="G4757" s="10" t="inlineStr">
        <is>
          <t>天神川</t>
        </is>
      </c>
      <c r="H4757" s="10" t="inlineStr">
        <is>
          <t>発</t>
        </is>
      </c>
      <c r="J4757" s="10" t="inlineStr">
        <is>
          <t>営業</t>
        </is>
      </c>
      <c r="L4757" t="inlineStr">
        <is>
          <t>15:26:05</t>
        </is>
      </c>
      <c r="M4757" t="inlineStr">
        <is>
          <t>15:26:50</t>
        </is>
      </c>
      <c r="P4757" t="inlineStr">
        <is>
          <t>E系統(終日)</t>
        </is>
      </c>
      <c r="U4757" t="inlineStr">
        <is>
          <t>→西院 休憩(15:46〜17:06)</t>
        </is>
      </c>
    </row>
    <row r="4758" ht="15" customHeight="1" s="37">
      <c r="A4758" t="n">
        <v>9</v>
      </c>
      <c r="B4758" s="10" t="inlineStr">
        <is>
          <t>休日</t>
        </is>
      </c>
      <c r="C4758" s="10" t="inlineStr">
        <is>
          <t>本線</t>
        </is>
      </c>
      <c r="D4758" s="10" t="inlineStr">
        <is>
          <t>上り</t>
        </is>
      </c>
      <c r="E4758" s="10" t="inlineStr">
        <is>
          <t>連1504</t>
        </is>
      </c>
      <c r="F4758" t="inlineStr">
        <is>
          <t>0211</t>
        </is>
      </c>
      <c r="G4758" s="10" t="inlineStr">
        <is>
          <t>山ノ内</t>
        </is>
      </c>
      <c r="H4758" s="10" t="inlineStr">
        <is>
          <t>発</t>
        </is>
      </c>
      <c r="J4758" s="10" t="inlineStr">
        <is>
          <t>営業</t>
        </is>
      </c>
      <c r="L4758" t="inlineStr">
        <is>
          <t>15:28:40</t>
        </is>
      </c>
      <c r="M4758" t="inlineStr">
        <is>
          <t>15:29:05</t>
        </is>
      </c>
      <c r="P4758" t="inlineStr">
        <is>
          <t>E系統(終日)</t>
        </is>
      </c>
      <c r="U4758" t="inlineStr">
        <is>
          <t>→西院 休憩(15:46〜17:06)</t>
        </is>
      </c>
    </row>
    <row r="4759" ht="15" customHeight="1" s="37">
      <c r="A4759" t="n">
        <v>9</v>
      </c>
      <c r="B4759" s="10" t="inlineStr">
        <is>
          <t>休日</t>
        </is>
      </c>
      <c r="C4759" s="10" t="inlineStr">
        <is>
          <t>本線</t>
        </is>
      </c>
      <c r="D4759" s="10" t="inlineStr">
        <is>
          <t>上り</t>
        </is>
      </c>
      <c r="E4759" s="10" t="inlineStr">
        <is>
          <t>連1504</t>
        </is>
      </c>
      <c r="F4759" t="inlineStr">
        <is>
          <t>0211</t>
        </is>
      </c>
      <c r="G4759" s="10" t="inlineStr">
        <is>
          <t>西大路三条</t>
        </is>
      </c>
      <c r="H4759" s="10" t="inlineStr">
        <is>
          <t>発</t>
        </is>
      </c>
      <c r="J4759" s="10" t="inlineStr">
        <is>
          <t>営業</t>
        </is>
      </c>
      <c r="L4759" t="inlineStr">
        <is>
          <t>15:30:55</t>
        </is>
      </c>
      <c r="M4759" t="inlineStr">
        <is>
          <t>15:31:15</t>
        </is>
      </c>
      <c r="P4759" t="inlineStr">
        <is>
          <t>E系統(終日)</t>
        </is>
      </c>
      <c r="U4759" t="inlineStr">
        <is>
          <t>→西院 休憩(15:46〜17:06)</t>
        </is>
      </c>
    </row>
    <row r="4760" ht="15" customHeight="1" s="37">
      <c r="A4760" t="n">
        <v>9</v>
      </c>
      <c r="B4760" s="10" t="inlineStr">
        <is>
          <t>休日</t>
        </is>
      </c>
      <c r="C4760" s="10" t="inlineStr">
        <is>
          <t>本線</t>
        </is>
      </c>
      <c r="D4760" s="10" t="inlineStr">
        <is>
          <t>上り</t>
        </is>
      </c>
      <c r="E4760" s="10" t="inlineStr">
        <is>
          <t>連1504</t>
        </is>
      </c>
      <c r="F4760" t="inlineStr">
        <is>
          <t>0211</t>
        </is>
      </c>
      <c r="G4760" s="10" t="inlineStr">
        <is>
          <t>西院</t>
        </is>
      </c>
      <c r="H4760" s="10" t="inlineStr">
        <is>
          <t>発</t>
        </is>
      </c>
      <c r="J4760" s="10" t="inlineStr">
        <is>
          <t>営業</t>
        </is>
      </c>
      <c r="L4760" t="inlineStr">
        <is>
          <t>15:33:10</t>
        </is>
      </c>
      <c r="M4760" t="inlineStr">
        <is>
          <t>15:34:05</t>
        </is>
      </c>
      <c r="P4760" t="inlineStr">
        <is>
          <t>E系統(終日)</t>
        </is>
      </c>
      <c r="U4760" t="inlineStr">
        <is>
          <t>→西院 休憩(15:46〜17:06)</t>
        </is>
      </c>
    </row>
    <row r="4761" ht="15" customHeight="1" s="37">
      <c r="A4761" t="n">
        <v>9</v>
      </c>
      <c r="B4761" s="10" t="inlineStr">
        <is>
          <t>休日</t>
        </is>
      </c>
      <c r="C4761" s="10" t="inlineStr">
        <is>
          <t>本線</t>
        </is>
      </c>
      <c r="D4761" s="10" t="inlineStr">
        <is>
          <t>上り</t>
        </is>
      </c>
      <c r="E4761" s="10" t="inlineStr">
        <is>
          <t>連1504</t>
        </is>
      </c>
      <c r="F4761" t="inlineStr">
        <is>
          <t>0211</t>
        </is>
      </c>
      <c r="G4761" s="10" t="inlineStr">
        <is>
          <t>四条大宮</t>
        </is>
      </c>
      <c r="H4761" s="10" t="inlineStr">
        <is>
          <t>着</t>
        </is>
      </c>
      <c r="J4761" s="10" t="inlineStr">
        <is>
          <t>営業</t>
        </is>
      </c>
      <c r="L4761" t="inlineStr">
        <is>
          <t>15:37:00</t>
        </is>
      </c>
      <c r="P4761" t="inlineStr">
        <is>
          <t>E系統(終日)</t>
        </is>
      </c>
      <c r="Q4761" t="inlineStr">
        <is>
          <t>1</t>
        </is>
      </c>
      <c r="U4761" t="inlineStr">
        <is>
          <t>→西院 休憩(15:46〜17:06)</t>
        </is>
      </c>
    </row>
    <row r="4762" ht="15" customHeight="1" s="37">
      <c r="A4762" t="n">
        <v>9</v>
      </c>
      <c r="B4762" s="10" t="inlineStr">
        <is>
          <t>休日</t>
        </is>
      </c>
      <c r="C4762" s="10" t="inlineStr">
        <is>
          <t>本線</t>
        </is>
      </c>
      <c r="D4762" s="10" t="inlineStr">
        <is>
          <t>下り</t>
        </is>
      </c>
      <c r="E4762" s="10" t="inlineStr">
        <is>
          <t>連1509</t>
        </is>
      </c>
      <c r="F4762" t="inlineStr">
        <is>
          <t>0112</t>
        </is>
      </c>
      <c r="G4762" s="10" t="inlineStr">
        <is>
          <t>四条大宮</t>
        </is>
      </c>
      <c r="H4762" s="10" t="inlineStr">
        <is>
          <t>発</t>
        </is>
      </c>
      <c r="J4762" s="10" t="inlineStr">
        <is>
          <t>営業</t>
        </is>
      </c>
      <c r="M4762" t="inlineStr">
        <is>
          <t>15:43:00</t>
        </is>
      </c>
      <c r="P4762" t="inlineStr">
        <is>
          <t>E系統(終日)</t>
        </is>
      </c>
      <c r="Q4762" t="inlineStr">
        <is>
          <t>1</t>
        </is>
      </c>
      <c r="U4762" t="inlineStr">
        <is>
          <t>→西院 休憩(15:46〜17:06)</t>
        </is>
      </c>
    </row>
    <row r="4763" ht="15" customHeight="1" s="37">
      <c r="A4763" t="n">
        <v>9</v>
      </c>
      <c r="B4763" s="10" t="inlineStr">
        <is>
          <t>休日</t>
        </is>
      </c>
      <c r="C4763" s="10" t="inlineStr">
        <is>
          <t>本線</t>
        </is>
      </c>
      <c r="D4763" s="10" t="inlineStr">
        <is>
          <t>下り</t>
        </is>
      </c>
      <c r="E4763" s="10" t="inlineStr">
        <is>
          <t>連1509</t>
        </is>
      </c>
      <c r="F4763" t="inlineStr">
        <is>
          <t>0112</t>
        </is>
      </c>
      <c r="G4763" s="10" t="inlineStr">
        <is>
          <t>西院</t>
        </is>
      </c>
      <c r="H4763" s="10" t="inlineStr">
        <is>
          <t>着</t>
        </is>
      </c>
      <c r="J4763" s="10" t="inlineStr">
        <is>
          <t>営業</t>
        </is>
      </c>
      <c r="L4763" t="inlineStr">
        <is>
          <t>15:45:50</t>
        </is>
      </c>
      <c r="M4763" t="inlineStr">
        <is>
          <t>15:46:20</t>
        </is>
      </c>
      <c r="P4763" t="inlineStr">
        <is>
          <t>E系統(終日)</t>
        </is>
      </c>
      <c r="U4763" t="inlineStr">
        <is>
          <t>→西院 休憩(15:46〜17:06)</t>
        </is>
      </c>
    </row>
    <row r="4764" ht="15" customHeight="1" s="37">
      <c r="A4764" t="n">
        <v>9</v>
      </c>
      <c r="B4764" s="10" t="inlineStr">
        <is>
          <t>休日</t>
        </is>
      </c>
      <c r="C4764" s="10" t="inlineStr">
        <is>
          <t>本線</t>
        </is>
      </c>
      <c r="D4764" s="10" t="inlineStr">
        <is>
          <t>下り</t>
        </is>
      </c>
      <c r="E4764" s="10" t="inlineStr">
        <is>
          <t>連1701</t>
        </is>
      </c>
      <c r="F4764" t="inlineStr">
        <is>
          <t>3112</t>
        </is>
      </c>
      <c r="G4764" s="10" t="inlineStr">
        <is>
          <t>西院</t>
        </is>
      </c>
      <c r="H4764" s="10" t="inlineStr">
        <is>
          <t>発</t>
        </is>
      </c>
      <c r="J4764" s="10" t="inlineStr">
        <is>
          <t>営業</t>
        </is>
      </c>
      <c r="L4764" t="inlineStr">
        <is>
          <t>17:05:50</t>
        </is>
      </c>
      <c r="M4764" t="inlineStr">
        <is>
          <t>17:06:20</t>
        </is>
      </c>
      <c r="P4764" t="inlineStr">
        <is>
          <t>A系統(終日)</t>
        </is>
      </c>
    </row>
    <row r="4765" ht="15" customHeight="1" s="37">
      <c r="A4765" t="n">
        <v>9</v>
      </c>
      <c r="B4765" s="10" t="inlineStr">
        <is>
          <t>休日</t>
        </is>
      </c>
      <c r="C4765" s="10" t="inlineStr">
        <is>
          <t>本線</t>
        </is>
      </c>
      <c r="D4765" s="10" t="inlineStr">
        <is>
          <t>下り</t>
        </is>
      </c>
      <c r="E4765" s="10" t="inlineStr">
        <is>
          <t>連1701</t>
        </is>
      </c>
      <c r="F4765" t="inlineStr">
        <is>
          <t>3112</t>
        </is>
      </c>
      <c r="G4765" s="10" t="inlineStr">
        <is>
          <t>西大路三条</t>
        </is>
      </c>
      <c r="H4765" s="10" t="inlineStr">
        <is>
          <t>発</t>
        </is>
      </c>
      <c r="J4765" s="10" t="inlineStr">
        <is>
          <t>営業</t>
        </is>
      </c>
      <c r="L4765" t="inlineStr">
        <is>
          <t>17:08:10</t>
        </is>
      </c>
      <c r="M4765" t="inlineStr">
        <is>
          <t>17:08:30</t>
        </is>
      </c>
      <c r="P4765" t="inlineStr">
        <is>
          <t>A系統(終日)</t>
        </is>
      </c>
    </row>
    <row r="4766" ht="15" customHeight="1" s="37">
      <c r="A4766" t="n">
        <v>9</v>
      </c>
      <c r="B4766" s="10" t="inlineStr">
        <is>
          <t>休日</t>
        </is>
      </c>
      <c r="C4766" s="10" t="inlineStr">
        <is>
          <t>本線</t>
        </is>
      </c>
      <c r="D4766" s="10" t="inlineStr">
        <is>
          <t>下り</t>
        </is>
      </c>
      <c r="E4766" s="10" t="inlineStr">
        <is>
          <t>連1701</t>
        </is>
      </c>
      <c r="F4766" t="inlineStr">
        <is>
          <t>3112</t>
        </is>
      </c>
      <c r="G4766" s="10" t="inlineStr">
        <is>
          <t>山ノ内</t>
        </is>
      </c>
      <c r="H4766" s="10" t="inlineStr">
        <is>
          <t>発</t>
        </is>
      </c>
      <c r="J4766" s="10" t="inlineStr">
        <is>
          <t>営業</t>
        </is>
      </c>
      <c r="L4766" t="inlineStr">
        <is>
          <t>17:10:25</t>
        </is>
      </c>
      <c r="M4766" t="inlineStr">
        <is>
          <t>17:10:50</t>
        </is>
      </c>
      <c r="P4766" t="inlineStr">
        <is>
          <t>A系統(終日)</t>
        </is>
      </c>
    </row>
    <row r="4767" ht="15" customHeight="1" s="37">
      <c r="A4767" t="n">
        <v>9</v>
      </c>
      <c r="B4767" s="10" t="inlineStr">
        <is>
          <t>休日</t>
        </is>
      </c>
      <c r="C4767" s="10" t="inlineStr">
        <is>
          <t>本線</t>
        </is>
      </c>
      <c r="D4767" s="10" t="inlineStr">
        <is>
          <t>下り</t>
        </is>
      </c>
      <c r="E4767" s="10" t="inlineStr">
        <is>
          <t>連1701</t>
        </is>
      </c>
      <c r="F4767" t="inlineStr">
        <is>
          <t>3112</t>
        </is>
      </c>
      <c r="G4767" s="10" t="inlineStr">
        <is>
          <t>天神川</t>
        </is>
      </c>
      <c r="H4767" s="10" t="inlineStr">
        <is>
          <t>発</t>
        </is>
      </c>
      <c r="J4767" s="10" t="inlineStr">
        <is>
          <t>営業</t>
        </is>
      </c>
      <c r="L4767" t="inlineStr">
        <is>
          <t>17:12:50</t>
        </is>
      </c>
      <c r="M4767" t="inlineStr">
        <is>
          <t>17:13:30</t>
        </is>
      </c>
      <c r="P4767" t="inlineStr">
        <is>
          <t>A系統(終日)</t>
        </is>
      </c>
    </row>
    <row r="4768" ht="15" customHeight="1" s="37">
      <c r="A4768" t="n">
        <v>9</v>
      </c>
      <c r="B4768" s="10" t="inlineStr">
        <is>
          <t>休日</t>
        </is>
      </c>
      <c r="C4768" s="10" t="inlineStr">
        <is>
          <t>本線</t>
        </is>
      </c>
      <c r="D4768" s="10" t="inlineStr">
        <is>
          <t>下り</t>
        </is>
      </c>
      <c r="E4768" s="10" t="inlineStr">
        <is>
          <t>連1701</t>
        </is>
      </c>
      <c r="F4768" t="inlineStr">
        <is>
          <t>3112</t>
        </is>
      </c>
      <c r="G4768" s="10" t="inlineStr">
        <is>
          <t>蚕ノ社</t>
        </is>
      </c>
      <c r="H4768" s="10" t="inlineStr">
        <is>
          <t>発</t>
        </is>
      </c>
      <c r="J4768" s="10" t="inlineStr">
        <is>
          <t>営業</t>
        </is>
      </c>
      <c r="L4768" t="inlineStr">
        <is>
          <t>17:14:20</t>
        </is>
      </c>
      <c r="M4768" t="inlineStr">
        <is>
          <t>17:14:40</t>
        </is>
      </c>
      <c r="P4768" t="inlineStr">
        <is>
          <t>A系統(終日)</t>
        </is>
      </c>
    </row>
    <row r="4769" ht="15" customHeight="1" s="37">
      <c r="A4769" t="n">
        <v>9</v>
      </c>
      <c r="B4769" s="10" t="inlineStr">
        <is>
          <t>休日</t>
        </is>
      </c>
      <c r="C4769" s="10" t="inlineStr">
        <is>
          <t>本線</t>
        </is>
      </c>
      <c r="D4769" s="10" t="inlineStr">
        <is>
          <t>下り</t>
        </is>
      </c>
      <c r="E4769" s="10" t="inlineStr">
        <is>
          <t>連1701</t>
        </is>
      </c>
      <c r="F4769" t="inlineStr">
        <is>
          <t>3112</t>
        </is>
      </c>
      <c r="G4769" s="10" t="inlineStr">
        <is>
          <t>太秦広隆寺</t>
        </is>
      </c>
      <c r="H4769" s="10" t="inlineStr">
        <is>
          <t>発</t>
        </is>
      </c>
      <c r="J4769" s="10" t="inlineStr">
        <is>
          <t>営業</t>
        </is>
      </c>
      <c r="L4769" t="inlineStr">
        <is>
          <t>17:16:00</t>
        </is>
      </c>
      <c r="M4769" t="inlineStr">
        <is>
          <t>17:16:20</t>
        </is>
      </c>
      <c r="P4769" t="inlineStr">
        <is>
          <t>A系統(終日)</t>
        </is>
      </c>
    </row>
    <row r="4770" ht="15" customHeight="1" s="37">
      <c r="A4770" t="n">
        <v>9</v>
      </c>
      <c r="B4770" s="10" t="inlineStr">
        <is>
          <t>休日</t>
        </is>
      </c>
      <c r="C4770" s="10" t="inlineStr">
        <is>
          <t>本線</t>
        </is>
      </c>
      <c r="D4770" s="10" t="inlineStr">
        <is>
          <t>下り</t>
        </is>
      </c>
      <c r="E4770" s="10" t="inlineStr">
        <is>
          <t>連1701</t>
        </is>
      </c>
      <c r="F4770" t="inlineStr">
        <is>
          <t>3112</t>
        </is>
      </c>
      <c r="G4770" s="10" t="inlineStr">
        <is>
          <t>帷子ノ辻</t>
        </is>
      </c>
      <c r="H4770" s="10" t="inlineStr">
        <is>
          <t>発</t>
        </is>
      </c>
      <c r="J4770" s="10" t="inlineStr">
        <is>
          <t>営業</t>
        </is>
      </c>
      <c r="L4770" t="inlineStr">
        <is>
          <t>17:18:20</t>
        </is>
      </c>
      <c r="M4770" t="inlineStr">
        <is>
          <t>17:19:40</t>
        </is>
      </c>
      <c r="P4770" t="inlineStr">
        <is>
          <t>A系統(終日)</t>
        </is>
      </c>
    </row>
    <row r="4771" ht="15" customHeight="1" s="37">
      <c r="A4771" t="n">
        <v>9</v>
      </c>
      <c r="B4771" s="10" t="inlineStr">
        <is>
          <t>休日</t>
        </is>
      </c>
      <c r="C4771" s="10" t="inlineStr">
        <is>
          <t>本線</t>
        </is>
      </c>
      <c r="D4771" s="10" t="inlineStr">
        <is>
          <t>下り</t>
        </is>
      </c>
      <c r="E4771" s="10" t="inlineStr">
        <is>
          <t>連1701</t>
        </is>
      </c>
      <c r="F4771" t="inlineStr">
        <is>
          <t>3112</t>
        </is>
      </c>
      <c r="G4771" s="10" t="inlineStr">
        <is>
          <t>有栖川</t>
        </is>
      </c>
      <c r="H4771" s="10" t="inlineStr">
        <is>
          <t>発</t>
        </is>
      </c>
      <c r="J4771" s="10" t="inlineStr">
        <is>
          <t>営業</t>
        </is>
      </c>
      <c r="L4771" t="inlineStr">
        <is>
          <t>17:20:50</t>
        </is>
      </c>
      <c r="M4771" t="inlineStr">
        <is>
          <t>17:21:15</t>
        </is>
      </c>
      <c r="P4771" t="inlineStr">
        <is>
          <t>A系統(終日)</t>
        </is>
      </c>
    </row>
    <row r="4772" ht="15" customHeight="1" s="37">
      <c r="A4772" t="n">
        <v>9</v>
      </c>
      <c r="B4772" s="10" t="inlineStr">
        <is>
          <t>休日</t>
        </is>
      </c>
      <c r="C4772" s="10" t="inlineStr">
        <is>
          <t>本線</t>
        </is>
      </c>
      <c r="D4772" s="10" t="inlineStr">
        <is>
          <t>下り</t>
        </is>
      </c>
      <c r="E4772" s="10" t="inlineStr">
        <is>
          <t>連1701</t>
        </is>
      </c>
      <c r="F4772" t="inlineStr">
        <is>
          <t>3112</t>
        </is>
      </c>
      <c r="G4772" s="10" t="inlineStr">
        <is>
          <t>車折</t>
        </is>
      </c>
      <c r="H4772" s="10" t="inlineStr">
        <is>
          <t>発</t>
        </is>
      </c>
      <c r="J4772" s="10" t="inlineStr">
        <is>
          <t>営業</t>
        </is>
      </c>
      <c r="L4772" t="inlineStr">
        <is>
          <t>17:22:40</t>
        </is>
      </c>
      <c r="M4772" t="inlineStr">
        <is>
          <t>17:23:05</t>
        </is>
      </c>
      <c r="P4772" t="inlineStr">
        <is>
          <t>A系統(終日)</t>
        </is>
      </c>
    </row>
    <row r="4773" ht="15" customHeight="1" s="37">
      <c r="A4773" t="n">
        <v>9</v>
      </c>
      <c r="B4773" s="10" t="inlineStr">
        <is>
          <t>休日</t>
        </is>
      </c>
      <c r="C4773" s="10" t="inlineStr">
        <is>
          <t>本線</t>
        </is>
      </c>
      <c r="D4773" s="10" t="inlineStr">
        <is>
          <t>下り</t>
        </is>
      </c>
      <c r="E4773" s="10" t="inlineStr">
        <is>
          <t>連1701</t>
        </is>
      </c>
      <c r="F4773" t="inlineStr">
        <is>
          <t>3112</t>
        </is>
      </c>
      <c r="G4773" s="10" t="inlineStr">
        <is>
          <t>鹿王院</t>
        </is>
      </c>
      <c r="H4773" s="10" t="inlineStr">
        <is>
          <t>発</t>
        </is>
      </c>
      <c r="J4773" s="10" t="inlineStr">
        <is>
          <t>営業</t>
        </is>
      </c>
      <c r="L4773" t="inlineStr">
        <is>
          <t>17:24:00</t>
        </is>
      </c>
      <c r="M4773" t="inlineStr">
        <is>
          <t>17:24:25</t>
        </is>
      </c>
      <c r="P4773" t="inlineStr">
        <is>
          <t>A系統(終日)</t>
        </is>
      </c>
    </row>
    <row r="4774" ht="15" customHeight="1" s="37">
      <c r="A4774" t="n">
        <v>9</v>
      </c>
      <c r="B4774" s="10" t="inlineStr">
        <is>
          <t>休日</t>
        </is>
      </c>
      <c r="C4774" s="10" t="inlineStr">
        <is>
          <t>本線</t>
        </is>
      </c>
      <c r="D4774" s="10" t="inlineStr">
        <is>
          <t>下り</t>
        </is>
      </c>
      <c r="E4774" s="10" t="inlineStr">
        <is>
          <t>連1701</t>
        </is>
      </c>
      <c r="F4774" t="inlineStr">
        <is>
          <t>3112</t>
        </is>
      </c>
      <c r="G4774" s="10" t="inlineStr">
        <is>
          <t>嵯峨</t>
        </is>
      </c>
      <c r="H4774" s="10" t="inlineStr">
        <is>
          <t>発</t>
        </is>
      </c>
      <c r="J4774" s="10" t="inlineStr">
        <is>
          <t>営業</t>
        </is>
      </c>
      <c r="L4774" t="inlineStr">
        <is>
          <t>17:25:30</t>
        </is>
      </c>
      <c r="M4774" t="inlineStr">
        <is>
          <t>17:25:55</t>
        </is>
      </c>
      <c r="P4774" t="inlineStr">
        <is>
          <t>A系統(終日)</t>
        </is>
      </c>
    </row>
    <row r="4775" ht="15" customHeight="1" s="37">
      <c r="A4775" t="n">
        <v>9</v>
      </c>
      <c r="B4775" s="10" t="inlineStr">
        <is>
          <t>休日</t>
        </is>
      </c>
      <c r="C4775" s="10" t="inlineStr">
        <is>
          <t>本線</t>
        </is>
      </c>
      <c r="D4775" s="10" t="inlineStr">
        <is>
          <t>下り</t>
        </is>
      </c>
      <c r="E4775" s="10" t="inlineStr">
        <is>
          <t>連1701</t>
        </is>
      </c>
      <c r="F4775" t="inlineStr">
        <is>
          <t>3112</t>
        </is>
      </c>
      <c r="G4775" s="10" t="inlineStr">
        <is>
          <t>嵐山</t>
        </is>
      </c>
      <c r="H4775" s="10" t="inlineStr">
        <is>
          <t>着</t>
        </is>
      </c>
      <c r="J4775" s="10" t="inlineStr">
        <is>
          <t>営業</t>
        </is>
      </c>
      <c r="L4775" t="inlineStr">
        <is>
          <t>17:27:00</t>
        </is>
      </c>
      <c r="P4775" t="inlineStr">
        <is>
          <t>A系統(終日)</t>
        </is>
      </c>
      <c r="Q4775" t="inlineStr">
        <is>
          <t>1</t>
        </is>
      </c>
    </row>
    <row r="4776" ht="15" customHeight="1" s="37">
      <c r="A4776" t="n">
        <v>9</v>
      </c>
      <c r="B4776" s="10" t="inlineStr">
        <is>
          <t>休日</t>
        </is>
      </c>
      <c r="C4776" s="10" t="inlineStr">
        <is>
          <t>本線</t>
        </is>
      </c>
      <c r="D4776" s="10" t="inlineStr">
        <is>
          <t>上り</t>
        </is>
      </c>
      <c r="E4776" s="10" t="inlineStr">
        <is>
          <t>連1708</t>
        </is>
      </c>
      <c r="F4776" t="inlineStr">
        <is>
          <t>2221</t>
        </is>
      </c>
      <c r="G4776" s="10" t="inlineStr">
        <is>
          <t>嵐山</t>
        </is>
      </c>
      <c r="H4776" s="10" t="inlineStr">
        <is>
          <t>発</t>
        </is>
      </c>
      <c r="J4776" s="10" t="inlineStr">
        <is>
          <t>営業</t>
        </is>
      </c>
      <c r="M4776" t="inlineStr">
        <is>
          <t>17:33:00</t>
        </is>
      </c>
      <c r="P4776" t="inlineStr">
        <is>
          <t>A系統(終日)</t>
        </is>
      </c>
      <c r="Q4776" t="inlineStr">
        <is>
          <t>1</t>
        </is>
      </c>
    </row>
    <row r="4777" ht="15" customHeight="1" s="37">
      <c r="A4777" t="n">
        <v>9</v>
      </c>
      <c r="B4777" s="10" t="inlineStr">
        <is>
          <t>休日</t>
        </is>
      </c>
      <c r="C4777" s="10" t="inlineStr">
        <is>
          <t>本線</t>
        </is>
      </c>
      <c r="D4777" s="10" t="inlineStr">
        <is>
          <t>上り</t>
        </is>
      </c>
      <c r="E4777" s="10" t="inlineStr">
        <is>
          <t>連1708</t>
        </is>
      </c>
      <c r="F4777" t="inlineStr">
        <is>
          <t>2221</t>
        </is>
      </c>
      <c r="G4777" s="10" t="inlineStr">
        <is>
          <t>嵯峨</t>
        </is>
      </c>
      <c r="H4777" s="10" t="inlineStr">
        <is>
          <t>発</t>
        </is>
      </c>
      <c r="J4777" s="10" t="inlineStr">
        <is>
          <t>営業</t>
        </is>
      </c>
      <c r="L4777" t="inlineStr">
        <is>
          <t>17:33:55</t>
        </is>
      </c>
      <c r="M4777" t="inlineStr">
        <is>
          <t>17:34:20</t>
        </is>
      </c>
      <c r="P4777" t="inlineStr">
        <is>
          <t>A系統(終日)</t>
        </is>
      </c>
    </row>
    <row r="4778" ht="15" customHeight="1" s="37">
      <c r="A4778" t="n">
        <v>9</v>
      </c>
      <c r="B4778" s="10" t="inlineStr">
        <is>
          <t>休日</t>
        </is>
      </c>
      <c r="C4778" s="10" t="inlineStr">
        <is>
          <t>本線</t>
        </is>
      </c>
      <c r="D4778" s="10" t="inlineStr">
        <is>
          <t>上り</t>
        </is>
      </c>
      <c r="E4778" s="10" t="inlineStr">
        <is>
          <t>連1708</t>
        </is>
      </c>
      <c r="F4778" t="inlineStr">
        <is>
          <t>2221</t>
        </is>
      </c>
      <c r="G4778" s="10" t="inlineStr">
        <is>
          <t>鹿王院</t>
        </is>
      </c>
      <c r="H4778" s="10" t="inlineStr">
        <is>
          <t>発</t>
        </is>
      </c>
      <c r="J4778" s="10" t="inlineStr">
        <is>
          <t>営業</t>
        </is>
      </c>
      <c r="L4778" t="inlineStr">
        <is>
          <t>17:35:25</t>
        </is>
      </c>
      <c r="M4778" t="inlineStr">
        <is>
          <t>17:35:45</t>
        </is>
      </c>
      <c r="P4778" t="inlineStr">
        <is>
          <t>A系統(終日)</t>
        </is>
      </c>
    </row>
    <row r="4779" ht="15" customHeight="1" s="37">
      <c r="A4779" t="n">
        <v>9</v>
      </c>
      <c r="B4779" s="10" t="inlineStr">
        <is>
          <t>休日</t>
        </is>
      </c>
      <c r="C4779" s="10" t="inlineStr">
        <is>
          <t>本線</t>
        </is>
      </c>
      <c r="D4779" s="10" t="inlineStr">
        <is>
          <t>上り</t>
        </is>
      </c>
      <c r="E4779" s="10" t="inlineStr">
        <is>
          <t>連1708</t>
        </is>
      </c>
      <c r="F4779" t="inlineStr">
        <is>
          <t>2221</t>
        </is>
      </c>
      <c r="G4779" s="10" t="inlineStr">
        <is>
          <t>車折</t>
        </is>
      </c>
      <c r="H4779" s="10" t="inlineStr">
        <is>
          <t>発</t>
        </is>
      </c>
      <c r="J4779" s="10" t="inlineStr">
        <is>
          <t>営業</t>
        </is>
      </c>
      <c r="L4779" t="inlineStr">
        <is>
          <t>17:36:40</t>
        </is>
      </c>
      <c r="M4779" t="inlineStr">
        <is>
          <t>17:37:10</t>
        </is>
      </c>
      <c r="P4779" t="inlineStr">
        <is>
          <t>A系統(終日)</t>
        </is>
      </c>
    </row>
    <row r="4780" ht="15" customHeight="1" s="37">
      <c r="A4780" t="n">
        <v>9</v>
      </c>
      <c r="B4780" s="10" t="inlineStr">
        <is>
          <t>休日</t>
        </is>
      </c>
      <c r="C4780" s="10" t="inlineStr">
        <is>
          <t>本線</t>
        </is>
      </c>
      <c r="D4780" s="10" t="inlineStr">
        <is>
          <t>上り</t>
        </is>
      </c>
      <c r="E4780" s="10" t="inlineStr">
        <is>
          <t>連1708</t>
        </is>
      </c>
      <c r="F4780" t="inlineStr">
        <is>
          <t>2221</t>
        </is>
      </c>
      <c r="G4780" s="10" t="inlineStr">
        <is>
          <t>有栖川</t>
        </is>
      </c>
      <c r="H4780" s="10" t="inlineStr">
        <is>
          <t>発</t>
        </is>
      </c>
      <c r="J4780" s="10" t="inlineStr">
        <is>
          <t>営業</t>
        </is>
      </c>
      <c r="L4780" t="inlineStr">
        <is>
          <t>17:38:35</t>
        </is>
      </c>
      <c r="M4780" t="inlineStr">
        <is>
          <t>17:38:55</t>
        </is>
      </c>
      <c r="P4780" t="inlineStr">
        <is>
          <t>A系統(終日)</t>
        </is>
      </c>
    </row>
    <row r="4781" ht="15" customHeight="1" s="37">
      <c r="A4781" t="n">
        <v>9</v>
      </c>
      <c r="B4781" s="10" t="inlineStr">
        <is>
          <t>休日</t>
        </is>
      </c>
      <c r="C4781" s="10" t="inlineStr">
        <is>
          <t>本線</t>
        </is>
      </c>
      <c r="D4781" s="10" t="inlineStr">
        <is>
          <t>上り</t>
        </is>
      </c>
      <c r="E4781" s="10" t="inlineStr">
        <is>
          <t>連1708</t>
        </is>
      </c>
      <c r="F4781" t="inlineStr">
        <is>
          <t>2221</t>
        </is>
      </c>
      <c r="G4781" s="10" t="inlineStr">
        <is>
          <t>帷子ノ辻</t>
        </is>
      </c>
      <c r="H4781" s="10" t="inlineStr">
        <is>
          <t>発</t>
        </is>
      </c>
      <c r="J4781" s="10" t="inlineStr">
        <is>
          <t>営業</t>
        </is>
      </c>
      <c r="L4781" t="inlineStr">
        <is>
          <t>17:40:10</t>
        </is>
      </c>
      <c r="M4781" t="inlineStr">
        <is>
          <t>17:41:15</t>
        </is>
      </c>
      <c r="P4781" t="inlineStr">
        <is>
          <t>A系統(終日)</t>
        </is>
      </c>
    </row>
    <row r="4782" ht="15" customHeight="1" s="37">
      <c r="A4782" t="n">
        <v>9</v>
      </c>
      <c r="B4782" s="10" t="inlineStr">
        <is>
          <t>休日</t>
        </is>
      </c>
      <c r="C4782" s="10" t="inlineStr">
        <is>
          <t>本線</t>
        </is>
      </c>
      <c r="D4782" s="10" t="inlineStr">
        <is>
          <t>上り</t>
        </is>
      </c>
      <c r="E4782" s="10" t="inlineStr">
        <is>
          <t>連1708</t>
        </is>
      </c>
      <c r="F4782" t="inlineStr">
        <is>
          <t>2221</t>
        </is>
      </c>
      <c r="G4782" s="10" t="inlineStr">
        <is>
          <t>太秦広隆寺</t>
        </is>
      </c>
      <c r="H4782" s="10" t="inlineStr">
        <is>
          <t>発</t>
        </is>
      </c>
      <c r="J4782" s="10" t="inlineStr">
        <is>
          <t>営業</t>
        </is>
      </c>
      <c r="L4782" t="inlineStr">
        <is>
          <t>17:43:25</t>
        </is>
      </c>
      <c r="M4782" t="inlineStr">
        <is>
          <t>17:43:45</t>
        </is>
      </c>
      <c r="P4782" t="inlineStr">
        <is>
          <t>A系統(終日)</t>
        </is>
      </c>
    </row>
    <row r="4783" ht="15" customHeight="1" s="37">
      <c r="A4783" t="n">
        <v>9</v>
      </c>
      <c r="B4783" s="10" t="inlineStr">
        <is>
          <t>休日</t>
        </is>
      </c>
      <c r="C4783" s="10" t="inlineStr">
        <is>
          <t>本線</t>
        </is>
      </c>
      <c r="D4783" s="10" t="inlineStr">
        <is>
          <t>上り</t>
        </is>
      </c>
      <c r="E4783" s="10" t="inlineStr">
        <is>
          <t>連1708</t>
        </is>
      </c>
      <c r="F4783" t="inlineStr">
        <is>
          <t>2221</t>
        </is>
      </c>
      <c r="G4783" s="10" t="inlineStr">
        <is>
          <t>蚕ノ社</t>
        </is>
      </c>
      <c r="H4783" s="10" t="inlineStr">
        <is>
          <t>発</t>
        </is>
      </c>
      <c r="J4783" s="10" t="inlineStr">
        <is>
          <t>営業</t>
        </is>
      </c>
      <c r="L4783" t="inlineStr">
        <is>
          <t>17:45:00</t>
        </is>
      </c>
      <c r="M4783" t="inlineStr">
        <is>
          <t>17:45:20</t>
        </is>
      </c>
      <c r="P4783" t="inlineStr">
        <is>
          <t>A系統(終日)</t>
        </is>
      </c>
    </row>
    <row r="4784" ht="15" customHeight="1" s="37">
      <c r="A4784" t="n">
        <v>9</v>
      </c>
      <c r="B4784" s="10" t="inlineStr">
        <is>
          <t>休日</t>
        </is>
      </c>
      <c r="C4784" s="10" t="inlineStr">
        <is>
          <t>本線</t>
        </is>
      </c>
      <c r="D4784" s="10" t="inlineStr">
        <is>
          <t>上り</t>
        </is>
      </c>
      <c r="E4784" s="10" t="inlineStr">
        <is>
          <t>連1708</t>
        </is>
      </c>
      <c r="F4784" t="inlineStr">
        <is>
          <t>2221</t>
        </is>
      </c>
      <c r="G4784" s="10" t="inlineStr">
        <is>
          <t>天神川</t>
        </is>
      </c>
      <c r="H4784" s="10" t="inlineStr">
        <is>
          <t>発</t>
        </is>
      </c>
      <c r="J4784" s="10" t="inlineStr">
        <is>
          <t>営業</t>
        </is>
      </c>
      <c r="L4784" t="inlineStr">
        <is>
          <t>17:46:05</t>
        </is>
      </c>
      <c r="M4784" t="inlineStr">
        <is>
          <t>17:46:50</t>
        </is>
      </c>
      <c r="P4784" t="inlineStr">
        <is>
          <t>A系統(終日)</t>
        </is>
      </c>
    </row>
    <row r="4785" ht="15" customHeight="1" s="37">
      <c r="A4785" t="n">
        <v>9</v>
      </c>
      <c r="B4785" s="10" t="inlineStr">
        <is>
          <t>休日</t>
        </is>
      </c>
      <c r="C4785" s="10" t="inlineStr">
        <is>
          <t>本線</t>
        </is>
      </c>
      <c r="D4785" s="10" t="inlineStr">
        <is>
          <t>上り</t>
        </is>
      </c>
      <c r="E4785" s="10" t="inlineStr">
        <is>
          <t>連1708</t>
        </is>
      </c>
      <c r="F4785" t="inlineStr">
        <is>
          <t>2221</t>
        </is>
      </c>
      <c r="G4785" s="10" t="inlineStr">
        <is>
          <t>山ノ内</t>
        </is>
      </c>
      <c r="H4785" s="10" t="inlineStr">
        <is>
          <t>発</t>
        </is>
      </c>
      <c r="J4785" s="10" t="inlineStr">
        <is>
          <t>営業</t>
        </is>
      </c>
      <c r="L4785" t="inlineStr">
        <is>
          <t>17:48:40</t>
        </is>
      </c>
      <c r="M4785" t="inlineStr">
        <is>
          <t>17:49:05</t>
        </is>
      </c>
      <c r="P4785" t="inlineStr">
        <is>
          <t>A系統(終日)</t>
        </is>
      </c>
    </row>
    <row r="4786" ht="15" customHeight="1" s="37">
      <c r="A4786" t="n">
        <v>9</v>
      </c>
      <c r="B4786" s="10" t="inlineStr">
        <is>
          <t>休日</t>
        </is>
      </c>
      <c r="C4786" s="10" t="inlineStr">
        <is>
          <t>本線</t>
        </is>
      </c>
      <c r="D4786" s="10" t="inlineStr">
        <is>
          <t>上り</t>
        </is>
      </c>
      <c r="E4786" s="10" t="inlineStr">
        <is>
          <t>連1708</t>
        </is>
      </c>
      <c r="F4786" t="inlineStr">
        <is>
          <t>2221</t>
        </is>
      </c>
      <c r="G4786" s="10" t="inlineStr">
        <is>
          <t>西大路三条</t>
        </is>
      </c>
      <c r="H4786" s="10" t="inlineStr">
        <is>
          <t>発</t>
        </is>
      </c>
      <c r="J4786" s="10" t="inlineStr">
        <is>
          <t>営業</t>
        </is>
      </c>
      <c r="L4786" t="inlineStr">
        <is>
          <t>17:50:55</t>
        </is>
      </c>
      <c r="M4786" t="inlineStr">
        <is>
          <t>17:51:15</t>
        </is>
      </c>
      <c r="P4786" t="inlineStr">
        <is>
          <t>A系統(終日)</t>
        </is>
      </c>
    </row>
    <row r="4787" ht="15" customHeight="1" s="37">
      <c r="A4787" t="n">
        <v>9</v>
      </c>
      <c r="B4787" s="10" t="inlineStr">
        <is>
          <t>休日</t>
        </is>
      </c>
      <c r="C4787" s="10" t="inlineStr">
        <is>
          <t>本線</t>
        </is>
      </c>
      <c r="D4787" s="10" t="inlineStr">
        <is>
          <t>上り</t>
        </is>
      </c>
      <c r="E4787" s="10" t="inlineStr">
        <is>
          <t>連1708</t>
        </is>
      </c>
      <c r="F4787" t="inlineStr">
        <is>
          <t>2221</t>
        </is>
      </c>
      <c r="G4787" s="10" t="inlineStr">
        <is>
          <t>西院</t>
        </is>
      </c>
      <c r="H4787" s="10" t="inlineStr">
        <is>
          <t>発</t>
        </is>
      </c>
      <c r="J4787" s="10" t="inlineStr">
        <is>
          <t>営業</t>
        </is>
      </c>
      <c r="L4787" t="inlineStr">
        <is>
          <t>17:53:10</t>
        </is>
      </c>
      <c r="M4787" t="inlineStr">
        <is>
          <t>17:54:05</t>
        </is>
      </c>
      <c r="P4787" t="inlineStr">
        <is>
          <t>A系統(終日)</t>
        </is>
      </c>
    </row>
    <row r="4788" ht="15" customHeight="1" s="37">
      <c r="A4788" t="n">
        <v>9</v>
      </c>
      <c r="B4788" s="10" t="inlineStr">
        <is>
          <t>休日</t>
        </is>
      </c>
      <c r="C4788" s="10" t="inlineStr">
        <is>
          <t>本線</t>
        </is>
      </c>
      <c r="D4788" s="10" t="inlineStr">
        <is>
          <t>上り</t>
        </is>
      </c>
      <c r="E4788" s="10" t="inlineStr">
        <is>
          <t>連1708</t>
        </is>
      </c>
      <c r="F4788" t="inlineStr">
        <is>
          <t>2221</t>
        </is>
      </c>
      <c r="G4788" s="10" t="inlineStr">
        <is>
          <t>四条大宮</t>
        </is>
      </c>
      <c r="H4788" s="10" t="inlineStr">
        <is>
          <t>着</t>
        </is>
      </c>
      <c r="J4788" s="10" t="inlineStr">
        <is>
          <t>営業</t>
        </is>
      </c>
      <c r="L4788" t="inlineStr">
        <is>
          <t>17:57:00</t>
        </is>
      </c>
      <c r="P4788" t="inlineStr">
        <is>
          <t>A系統(終日)</t>
        </is>
      </c>
      <c r="Q4788" t="inlineStr">
        <is>
          <t>1</t>
        </is>
      </c>
    </row>
    <row r="4789" ht="15" customHeight="1" s="37">
      <c r="A4789" t="n">
        <v>9</v>
      </c>
      <c r="B4789" s="10" t="inlineStr">
        <is>
          <t>休日</t>
        </is>
      </c>
      <c r="C4789" s="10" t="inlineStr">
        <is>
          <t>本線</t>
        </is>
      </c>
      <c r="D4789" s="10" t="inlineStr">
        <is>
          <t>下り</t>
        </is>
      </c>
      <c r="E4789" s="10" t="inlineStr">
        <is>
          <t>連1801</t>
        </is>
      </c>
      <c r="F4789" t="inlineStr">
        <is>
          <t>0122</t>
        </is>
      </c>
      <c r="G4789" s="10" t="inlineStr">
        <is>
          <t>四条大宮</t>
        </is>
      </c>
      <c r="H4789" s="10" t="inlineStr">
        <is>
          <t>発</t>
        </is>
      </c>
      <c r="J4789" s="10" t="inlineStr">
        <is>
          <t>営業</t>
        </is>
      </c>
      <c r="M4789" t="inlineStr">
        <is>
          <t>18:03:00</t>
        </is>
      </c>
      <c r="P4789" t="inlineStr">
        <is>
          <t>A系統(終日)</t>
        </is>
      </c>
      <c r="Q4789" t="inlineStr">
        <is>
          <t>1</t>
        </is>
      </c>
    </row>
    <row r="4790" ht="15" customHeight="1" s="37">
      <c r="A4790" t="n">
        <v>9</v>
      </c>
      <c r="B4790" s="10" t="inlineStr">
        <is>
          <t>休日</t>
        </is>
      </c>
      <c r="C4790" s="10" t="inlineStr">
        <is>
          <t>本線</t>
        </is>
      </c>
      <c r="D4790" s="10" t="inlineStr">
        <is>
          <t>下り</t>
        </is>
      </c>
      <c r="E4790" s="10" t="inlineStr">
        <is>
          <t>連1801</t>
        </is>
      </c>
      <c r="F4790" t="inlineStr">
        <is>
          <t>0122</t>
        </is>
      </c>
      <c r="G4790" s="10" t="inlineStr">
        <is>
          <t>西院</t>
        </is>
      </c>
      <c r="H4790" s="10" t="inlineStr">
        <is>
          <t>着</t>
        </is>
      </c>
      <c r="J4790" s="10" t="inlineStr">
        <is>
          <t>営業</t>
        </is>
      </c>
      <c r="L4790" t="inlineStr">
        <is>
          <t>18:05:50</t>
        </is>
      </c>
      <c r="M4790" t="inlineStr">
        <is>
          <t>18:06:20</t>
        </is>
      </c>
      <c r="P4790" t="inlineStr">
        <is>
          <t>A系統(終日)</t>
        </is>
      </c>
    </row>
    <row r="4791" ht="15" customHeight="1" s="37">
      <c r="A4791" t="n">
        <v>1</v>
      </c>
      <c r="B4791" s="10" t="inlineStr">
        <is>
          <t>平日</t>
        </is>
      </c>
      <c r="C4791" s="10" t="inlineStr">
        <is>
          <t>本線</t>
        </is>
      </c>
      <c r="D4791" s="10" t="inlineStr">
        <is>
          <t>下り</t>
        </is>
      </c>
      <c r="E4791" t="inlineStr">
        <is>
          <t>1001</t>
        </is>
      </c>
      <c r="F4791" t="inlineStr">
        <is>
          <t>0112</t>
        </is>
      </c>
      <c r="G4791" s="10" t="inlineStr">
        <is>
          <t>西院</t>
        </is>
      </c>
      <c r="H4791" s="10" t="inlineStr">
        <is>
          <t>発</t>
        </is>
      </c>
      <c r="J4791" s="10" t="inlineStr">
        <is>
          <t>営業</t>
        </is>
      </c>
      <c r="L4791" t="inlineStr">
        <is>
          <t>10:05:50</t>
        </is>
      </c>
      <c r="M4791" t="inlineStr">
        <is>
          <t>10:06:20</t>
        </is>
      </c>
    </row>
    <row r="4792" ht="15" customHeight="1" s="37">
      <c r="A4792" t="n">
        <v>1</v>
      </c>
      <c r="B4792" s="10" t="inlineStr">
        <is>
          <t>平日</t>
        </is>
      </c>
      <c r="C4792" s="10" t="inlineStr">
        <is>
          <t>本線</t>
        </is>
      </c>
      <c r="D4792" s="10" t="inlineStr">
        <is>
          <t>下り</t>
        </is>
      </c>
      <c r="E4792" t="inlineStr">
        <is>
          <t>1001</t>
        </is>
      </c>
      <c r="F4792" t="inlineStr">
        <is>
          <t>0112</t>
        </is>
      </c>
      <c r="G4792" s="10" t="inlineStr">
        <is>
          <t>西大路三条</t>
        </is>
      </c>
      <c r="H4792" s="10" t="inlineStr">
        <is>
          <t>発</t>
        </is>
      </c>
      <c r="J4792" s="10" t="inlineStr">
        <is>
          <t>営業</t>
        </is>
      </c>
      <c r="L4792" t="inlineStr">
        <is>
          <t>10:08:10</t>
        </is>
      </c>
      <c r="M4792" t="inlineStr">
        <is>
          <t>10:08:30</t>
        </is>
      </c>
    </row>
    <row r="4793" ht="15" customHeight="1" s="37">
      <c r="A4793" t="n">
        <v>1</v>
      </c>
      <c r="B4793" s="10" t="inlineStr">
        <is>
          <t>平日</t>
        </is>
      </c>
      <c r="C4793" s="10" t="inlineStr">
        <is>
          <t>本線</t>
        </is>
      </c>
      <c r="D4793" s="10" t="inlineStr">
        <is>
          <t>下り</t>
        </is>
      </c>
      <c r="E4793" t="inlineStr">
        <is>
          <t>1001</t>
        </is>
      </c>
      <c r="F4793" t="inlineStr">
        <is>
          <t>0112</t>
        </is>
      </c>
      <c r="G4793" s="10" t="inlineStr">
        <is>
          <t>山ノ内</t>
        </is>
      </c>
      <c r="H4793" s="10" t="inlineStr">
        <is>
          <t>発</t>
        </is>
      </c>
      <c r="J4793" s="10" t="inlineStr">
        <is>
          <t>営業</t>
        </is>
      </c>
      <c r="L4793" t="inlineStr">
        <is>
          <t>10:10:25</t>
        </is>
      </c>
      <c r="M4793" t="inlineStr">
        <is>
          <t>10:10:50</t>
        </is>
      </c>
    </row>
    <row r="4794" ht="15" customHeight="1" s="37">
      <c r="A4794" t="n">
        <v>1</v>
      </c>
      <c r="B4794" s="10" t="inlineStr">
        <is>
          <t>平日</t>
        </is>
      </c>
      <c r="C4794" s="10" t="inlineStr">
        <is>
          <t>本線</t>
        </is>
      </c>
      <c r="D4794" s="10" t="inlineStr">
        <is>
          <t>下り</t>
        </is>
      </c>
      <c r="E4794" t="inlineStr">
        <is>
          <t>1001</t>
        </is>
      </c>
      <c r="F4794" t="inlineStr">
        <is>
          <t>0112</t>
        </is>
      </c>
      <c r="G4794" s="10" t="inlineStr">
        <is>
          <t>天神川</t>
        </is>
      </c>
      <c r="H4794" s="10" t="inlineStr">
        <is>
          <t>発</t>
        </is>
      </c>
      <c r="J4794" s="10" t="inlineStr">
        <is>
          <t>営業</t>
        </is>
      </c>
      <c r="L4794" t="inlineStr">
        <is>
          <t>10:12:50</t>
        </is>
      </c>
      <c r="M4794" t="inlineStr">
        <is>
          <t>10:13:30</t>
        </is>
      </c>
    </row>
    <row r="4795" ht="15" customHeight="1" s="37">
      <c r="A4795" t="n">
        <v>1</v>
      </c>
      <c r="B4795" s="10" t="inlineStr">
        <is>
          <t>平日</t>
        </is>
      </c>
      <c r="C4795" s="10" t="inlineStr">
        <is>
          <t>本線</t>
        </is>
      </c>
      <c r="D4795" s="10" t="inlineStr">
        <is>
          <t>下り</t>
        </is>
      </c>
      <c r="E4795" t="inlineStr">
        <is>
          <t>1001</t>
        </is>
      </c>
      <c r="F4795" t="inlineStr">
        <is>
          <t>0112</t>
        </is>
      </c>
      <c r="G4795" s="10" t="inlineStr">
        <is>
          <t>蚕ノ社</t>
        </is>
      </c>
      <c r="H4795" s="10" t="inlineStr">
        <is>
          <t>発</t>
        </is>
      </c>
      <c r="J4795" s="10" t="inlineStr">
        <is>
          <t>営業</t>
        </is>
      </c>
      <c r="L4795" t="inlineStr">
        <is>
          <t>10:14:20</t>
        </is>
      </c>
      <c r="M4795" t="inlineStr">
        <is>
          <t>10:14:40</t>
        </is>
      </c>
    </row>
    <row r="4796" ht="15" customHeight="1" s="37">
      <c r="A4796" t="n">
        <v>1</v>
      </c>
      <c r="B4796" s="10" t="inlineStr">
        <is>
          <t>平日</t>
        </is>
      </c>
      <c r="C4796" s="10" t="inlineStr">
        <is>
          <t>本線</t>
        </is>
      </c>
      <c r="D4796" s="10" t="inlineStr">
        <is>
          <t>下り</t>
        </is>
      </c>
      <c r="E4796" t="inlineStr">
        <is>
          <t>1001</t>
        </is>
      </c>
      <c r="F4796" t="inlineStr">
        <is>
          <t>0112</t>
        </is>
      </c>
      <c r="G4796" s="10" t="inlineStr">
        <is>
          <t>太秦広隆寺</t>
        </is>
      </c>
      <c r="H4796" s="10" t="inlineStr">
        <is>
          <t>発</t>
        </is>
      </c>
      <c r="J4796" s="10" t="inlineStr">
        <is>
          <t>営業</t>
        </is>
      </c>
      <c r="L4796" t="inlineStr">
        <is>
          <t>10:16:00</t>
        </is>
      </c>
      <c r="M4796" t="inlineStr">
        <is>
          <t>10:16:20</t>
        </is>
      </c>
    </row>
    <row r="4797" ht="15" customHeight="1" s="37">
      <c r="A4797" t="n">
        <v>1</v>
      </c>
      <c r="B4797" s="10" t="inlineStr">
        <is>
          <t>平日</t>
        </is>
      </c>
      <c r="C4797" s="10" t="inlineStr">
        <is>
          <t>本線</t>
        </is>
      </c>
      <c r="D4797" s="10" t="inlineStr">
        <is>
          <t>下り</t>
        </is>
      </c>
      <c r="E4797" t="inlineStr">
        <is>
          <t>1001</t>
        </is>
      </c>
      <c r="F4797" t="inlineStr">
        <is>
          <t>0112</t>
        </is>
      </c>
      <c r="G4797" s="10" t="inlineStr">
        <is>
          <t>帷子ノ辻</t>
        </is>
      </c>
      <c r="H4797" s="10" t="inlineStr">
        <is>
          <t>発</t>
        </is>
      </c>
      <c r="J4797" s="10" t="inlineStr">
        <is>
          <t>営業</t>
        </is>
      </c>
      <c r="L4797" t="inlineStr">
        <is>
          <t>10:18:20</t>
        </is>
      </c>
      <c r="M4797" t="inlineStr">
        <is>
          <t>10:19:40</t>
        </is>
      </c>
    </row>
    <row r="4798" ht="15" customHeight="1" s="37">
      <c r="A4798" t="n">
        <v>1</v>
      </c>
      <c r="B4798" s="10" t="inlineStr">
        <is>
          <t>平日</t>
        </is>
      </c>
      <c r="C4798" s="10" t="inlineStr">
        <is>
          <t>本線</t>
        </is>
      </c>
      <c r="D4798" s="10" t="inlineStr">
        <is>
          <t>下り</t>
        </is>
      </c>
      <c r="E4798" t="inlineStr">
        <is>
          <t>1001</t>
        </is>
      </c>
      <c r="F4798" t="inlineStr">
        <is>
          <t>0112</t>
        </is>
      </c>
      <c r="G4798" s="10" t="inlineStr">
        <is>
          <t>有栖川</t>
        </is>
      </c>
      <c r="H4798" s="10" t="inlineStr">
        <is>
          <t>発</t>
        </is>
      </c>
      <c r="J4798" s="10" t="inlineStr">
        <is>
          <t>営業</t>
        </is>
      </c>
      <c r="L4798" t="inlineStr">
        <is>
          <t>10:20:50</t>
        </is>
      </c>
      <c r="M4798" t="inlineStr">
        <is>
          <t>10:21:15</t>
        </is>
      </c>
    </row>
    <row r="4799" ht="15" customHeight="1" s="37">
      <c r="A4799" t="n">
        <v>1</v>
      </c>
      <c r="B4799" s="10" t="inlineStr">
        <is>
          <t>平日</t>
        </is>
      </c>
      <c r="C4799" s="10" t="inlineStr">
        <is>
          <t>本線</t>
        </is>
      </c>
      <c r="D4799" s="10" t="inlineStr">
        <is>
          <t>下り</t>
        </is>
      </c>
      <c r="E4799" t="inlineStr">
        <is>
          <t>1001</t>
        </is>
      </c>
      <c r="F4799" t="inlineStr">
        <is>
          <t>0112</t>
        </is>
      </c>
      <c r="G4799" s="10" t="inlineStr">
        <is>
          <t>車折</t>
        </is>
      </c>
      <c r="H4799" s="10" t="inlineStr">
        <is>
          <t>発</t>
        </is>
      </c>
      <c r="J4799" s="10" t="inlineStr">
        <is>
          <t>営業</t>
        </is>
      </c>
      <c r="L4799" t="inlineStr">
        <is>
          <t>10:22:40</t>
        </is>
      </c>
      <c r="M4799" t="inlineStr">
        <is>
          <t>10:23:05</t>
        </is>
      </c>
    </row>
    <row r="4800" ht="15" customHeight="1" s="37">
      <c r="A4800" t="n">
        <v>1</v>
      </c>
      <c r="B4800" s="10" t="inlineStr">
        <is>
          <t>平日</t>
        </is>
      </c>
      <c r="C4800" s="10" t="inlineStr">
        <is>
          <t>本線</t>
        </is>
      </c>
      <c r="D4800" s="10" t="inlineStr">
        <is>
          <t>下り</t>
        </is>
      </c>
      <c r="E4800" t="inlineStr">
        <is>
          <t>1001</t>
        </is>
      </c>
      <c r="F4800" t="inlineStr">
        <is>
          <t>0112</t>
        </is>
      </c>
      <c r="G4800" s="10" t="inlineStr">
        <is>
          <t>鹿王院</t>
        </is>
      </c>
      <c r="H4800" s="10" t="inlineStr">
        <is>
          <t>発</t>
        </is>
      </c>
      <c r="J4800" s="10" t="inlineStr">
        <is>
          <t>営業</t>
        </is>
      </c>
      <c r="L4800" t="inlineStr">
        <is>
          <t>10:24:00</t>
        </is>
      </c>
      <c r="M4800" t="inlineStr">
        <is>
          <t>10:24:25</t>
        </is>
      </c>
    </row>
    <row r="4801" ht="15" customHeight="1" s="37">
      <c r="A4801" t="n">
        <v>1</v>
      </c>
      <c r="B4801" s="10" t="inlineStr">
        <is>
          <t>平日</t>
        </is>
      </c>
      <c r="C4801" s="10" t="inlineStr">
        <is>
          <t>本線</t>
        </is>
      </c>
      <c r="D4801" s="10" t="inlineStr">
        <is>
          <t>下り</t>
        </is>
      </c>
      <c r="E4801" t="inlineStr">
        <is>
          <t>1001</t>
        </is>
      </c>
      <c r="F4801" t="inlineStr">
        <is>
          <t>0112</t>
        </is>
      </c>
      <c r="G4801" s="10" t="inlineStr">
        <is>
          <t>嵯峨</t>
        </is>
      </c>
      <c r="H4801" s="10" t="inlineStr">
        <is>
          <t>発</t>
        </is>
      </c>
      <c r="J4801" s="10" t="inlineStr">
        <is>
          <t>営業</t>
        </is>
      </c>
      <c r="L4801" t="inlineStr">
        <is>
          <t>10:25:30</t>
        </is>
      </c>
      <c r="M4801" t="inlineStr">
        <is>
          <t>10:25:55</t>
        </is>
      </c>
    </row>
    <row r="4802" ht="15" customHeight="1" s="37">
      <c r="A4802" t="n">
        <v>1</v>
      </c>
      <c r="B4802" s="10" t="inlineStr">
        <is>
          <t>平日</t>
        </is>
      </c>
      <c r="C4802" s="10" t="inlineStr">
        <is>
          <t>本線</t>
        </is>
      </c>
      <c r="D4802" s="10" t="inlineStr">
        <is>
          <t>下り</t>
        </is>
      </c>
      <c r="E4802" t="inlineStr">
        <is>
          <t>1001</t>
        </is>
      </c>
      <c r="F4802" t="inlineStr">
        <is>
          <t>0112</t>
        </is>
      </c>
      <c r="G4802" s="10" t="inlineStr">
        <is>
          <t>嵐山</t>
        </is>
      </c>
      <c r="H4802" s="10" t="inlineStr">
        <is>
          <t>着</t>
        </is>
      </c>
      <c r="J4802" s="10" t="inlineStr">
        <is>
          <t>営業</t>
        </is>
      </c>
      <c r="L4802" t="inlineStr">
        <is>
          <t>10:27:00</t>
        </is>
      </c>
      <c r="Q4802" t="inlineStr">
        <is>
          <t>1</t>
        </is>
      </c>
    </row>
    <row r="4803" ht="15" customHeight="1" s="37">
      <c r="A4803" t="n">
        <v>1</v>
      </c>
      <c r="B4803" s="10" t="inlineStr">
        <is>
          <t>平日</t>
        </is>
      </c>
      <c r="C4803" s="10" t="inlineStr">
        <is>
          <t>本線</t>
        </is>
      </c>
      <c r="D4803" s="10" t="inlineStr">
        <is>
          <t>上り</t>
        </is>
      </c>
      <c r="E4803" t="inlineStr">
        <is>
          <t>1008</t>
        </is>
      </c>
      <c r="F4803" t="inlineStr">
        <is>
          <t>0211</t>
        </is>
      </c>
      <c r="G4803" s="10" t="inlineStr">
        <is>
          <t>嵐山</t>
        </is>
      </c>
      <c r="H4803" s="10" t="inlineStr">
        <is>
          <t>発</t>
        </is>
      </c>
      <c r="J4803" s="10" t="inlineStr">
        <is>
          <t>営業</t>
        </is>
      </c>
      <c r="M4803" t="inlineStr">
        <is>
          <t>10:33:00</t>
        </is>
      </c>
      <c r="Q4803" t="inlineStr">
        <is>
          <t>1</t>
        </is>
      </c>
    </row>
    <row r="4804" ht="15" customHeight="1" s="37">
      <c r="A4804" t="n">
        <v>1</v>
      </c>
      <c r="B4804" s="10" t="inlineStr">
        <is>
          <t>平日</t>
        </is>
      </c>
      <c r="C4804" s="10" t="inlineStr">
        <is>
          <t>本線</t>
        </is>
      </c>
      <c r="D4804" s="10" t="inlineStr">
        <is>
          <t>上り</t>
        </is>
      </c>
      <c r="E4804" t="inlineStr">
        <is>
          <t>1008</t>
        </is>
      </c>
      <c r="F4804" t="inlineStr">
        <is>
          <t>0211</t>
        </is>
      </c>
      <c r="G4804" s="10" t="inlineStr">
        <is>
          <t>嵯峨</t>
        </is>
      </c>
      <c r="H4804" s="10" t="inlineStr">
        <is>
          <t>発</t>
        </is>
      </c>
      <c r="J4804" s="10" t="inlineStr">
        <is>
          <t>営業</t>
        </is>
      </c>
      <c r="L4804" t="inlineStr">
        <is>
          <t>10:33:55</t>
        </is>
      </c>
      <c r="M4804" t="inlineStr">
        <is>
          <t>10:34:20</t>
        </is>
      </c>
    </row>
    <row r="4805" ht="15" customHeight="1" s="37">
      <c r="A4805" t="n">
        <v>1</v>
      </c>
      <c r="B4805" s="10" t="inlineStr">
        <is>
          <t>平日</t>
        </is>
      </c>
      <c r="C4805" s="10" t="inlineStr">
        <is>
          <t>本線</t>
        </is>
      </c>
      <c r="D4805" s="10" t="inlineStr">
        <is>
          <t>上り</t>
        </is>
      </c>
      <c r="E4805" t="inlineStr">
        <is>
          <t>1008</t>
        </is>
      </c>
      <c r="F4805" t="inlineStr">
        <is>
          <t>0211</t>
        </is>
      </c>
      <c r="G4805" s="10" t="inlineStr">
        <is>
          <t>鹿王院</t>
        </is>
      </c>
      <c r="H4805" s="10" t="inlineStr">
        <is>
          <t>発</t>
        </is>
      </c>
      <c r="J4805" s="10" t="inlineStr">
        <is>
          <t>営業</t>
        </is>
      </c>
      <c r="L4805" t="inlineStr">
        <is>
          <t>10:35:25</t>
        </is>
      </c>
      <c r="M4805" t="inlineStr">
        <is>
          <t>10:35:45</t>
        </is>
      </c>
    </row>
    <row r="4806" ht="15" customHeight="1" s="37">
      <c r="A4806" t="n">
        <v>1</v>
      </c>
      <c r="B4806" s="10" t="inlineStr">
        <is>
          <t>平日</t>
        </is>
      </c>
      <c r="C4806" s="10" t="inlineStr">
        <is>
          <t>本線</t>
        </is>
      </c>
      <c r="D4806" s="10" t="inlineStr">
        <is>
          <t>上り</t>
        </is>
      </c>
      <c r="E4806" t="inlineStr">
        <is>
          <t>1008</t>
        </is>
      </c>
      <c r="F4806" t="inlineStr">
        <is>
          <t>0211</t>
        </is>
      </c>
      <c r="G4806" s="10" t="inlineStr">
        <is>
          <t>車折</t>
        </is>
      </c>
      <c r="H4806" s="10" t="inlineStr">
        <is>
          <t>発</t>
        </is>
      </c>
      <c r="J4806" s="10" t="inlineStr">
        <is>
          <t>営業</t>
        </is>
      </c>
      <c r="L4806" t="inlineStr">
        <is>
          <t>10:36:40</t>
        </is>
      </c>
      <c r="M4806" t="inlineStr">
        <is>
          <t>10:37:10</t>
        </is>
      </c>
    </row>
    <row r="4807" ht="15" customHeight="1" s="37">
      <c r="A4807" t="n">
        <v>1</v>
      </c>
      <c r="B4807" s="10" t="inlineStr">
        <is>
          <t>平日</t>
        </is>
      </c>
      <c r="C4807" s="10" t="inlineStr">
        <is>
          <t>本線</t>
        </is>
      </c>
      <c r="D4807" s="10" t="inlineStr">
        <is>
          <t>上り</t>
        </is>
      </c>
      <c r="E4807" t="inlineStr">
        <is>
          <t>1008</t>
        </is>
      </c>
      <c r="F4807" t="inlineStr">
        <is>
          <t>0211</t>
        </is>
      </c>
      <c r="G4807" s="10" t="inlineStr">
        <is>
          <t>有栖川</t>
        </is>
      </c>
      <c r="H4807" s="10" t="inlineStr">
        <is>
          <t>発</t>
        </is>
      </c>
      <c r="J4807" s="10" t="inlineStr">
        <is>
          <t>営業</t>
        </is>
      </c>
      <c r="L4807" t="inlineStr">
        <is>
          <t>10:38:35</t>
        </is>
      </c>
      <c r="M4807" t="inlineStr">
        <is>
          <t>10:38:55</t>
        </is>
      </c>
    </row>
    <row r="4808" ht="15" customHeight="1" s="37">
      <c r="A4808" t="n">
        <v>1</v>
      </c>
      <c r="B4808" s="10" t="inlineStr">
        <is>
          <t>平日</t>
        </is>
      </c>
      <c r="C4808" s="10" t="inlineStr">
        <is>
          <t>本線</t>
        </is>
      </c>
      <c r="D4808" s="10" t="inlineStr">
        <is>
          <t>上り</t>
        </is>
      </c>
      <c r="E4808" t="inlineStr">
        <is>
          <t>1008</t>
        </is>
      </c>
      <c r="F4808" t="inlineStr">
        <is>
          <t>0211</t>
        </is>
      </c>
      <c r="G4808" s="10" t="inlineStr">
        <is>
          <t>帷子ノ辻</t>
        </is>
      </c>
      <c r="H4808" s="10" t="inlineStr">
        <is>
          <t>発</t>
        </is>
      </c>
      <c r="J4808" s="10" t="inlineStr">
        <is>
          <t>営業</t>
        </is>
      </c>
      <c r="L4808" t="inlineStr">
        <is>
          <t>10:40:10</t>
        </is>
      </c>
      <c r="M4808" t="inlineStr">
        <is>
          <t>10:41:15</t>
        </is>
      </c>
    </row>
    <row r="4809" ht="15" customHeight="1" s="37">
      <c r="A4809" t="n">
        <v>1</v>
      </c>
      <c r="B4809" s="10" t="inlineStr">
        <is>
          <t>平日</t>
        </is>
      </c>
      <c r="C4809" s="10" t="inlineStr">
        <is>
          <t>本線</t>
        </is>
      </c>
      <c r="D4809" s="10" t="inlineStr">
        <is>
          <t>上り</t>
        </is>
      </c>
      <c r="E4809" t="inlineStr">
        <is>
          <t>1008</t>
        </is>
      </c>
      <c r="F4809" t="inlineStr">
        <is>
          <t>0211</t>
        </is>
      </c>
      <c r="G4809" s="10" t="inlineStr">
        <is>
          <t>太秦広隆寺</t>
        </is>
      </c>
      <c r="H4809" s="10" t="inlineStr">
        <is>
          <t>発</t>
        </is>
      </c>
      <c r="J4809" s="10" t="inlineStr">
        <is>
          <t>営業</t>
        </is>
      </c>
      <c r="L4809" t="inlineStr">
        <is>
          <t>10:43:25</t>
        </is>
      </c>
      <c r="M4809" t="inlineStr">
        <is>
          <t>10:43:45</t>
        </is>
      </c>
    </row>
    <row r="4810" ht="15" customHeight="1" s="37">
      <c r="A4810" t="n">
        <v>1</v>
      </c>
      <c r="B4810" s="10" t="inlineStr">
        <is>
          <t>平日</t>
        </is>
      </c>
      <c r="C4810" s="10" t="inlineStr">
        <is>
          <t>本線</t>
        </is>
      </c>
      <c r="D4810" s="10" t="inlineStr">
        <is>
          <t>上り</t>
        </is>
      </c>
      <c r="E4810" t="inlineStr">
        <is>
          <t>1008</t>
        </is>
      </c>
      <c r="F4810" t="inlineStr">
        <is>
          <t>0211</t>
        </is>
      </c>
      <c r="G4810" s="10" t="inlineStr">
        <is>
          <t>蚕ノ社</t>
        </is>
      </c>
      <c r="H4810" s="10" t="inlineStr">
        <is>
          <t>発</t>
        </is>
      </c>
      <c r="J4810" s="10" t="inlineStr">
        <is>
          <t>営業</t>
        </is>
      </c>
      <c r="L4810" t="inlineStr">
        <is>
          <t>10:45:00</t>
        </is>
      </c>
      <c r="M4810" t="inlineStr">
        <is>
          <t>10:45:20</t>
        </is>
      </c>
    </row>
    <row r="4811" ht="15" customHeight="1" s="37">
      <c r="A4811" t="n">
        <v>1</v>
      </c>
      <c r="B4811" s="10" t="inlineStr">
        <is>
          <t>平日</t>
        </is>
      </c>
      <c r="C4811" s="10" t="inlineStr">
        <is>
          <t>本線</t>
        </is>
      </c>
      <c r="D4811" s="10" t="inlineStr">
        <is>
          <t>上り</t>
        </is>
      </c>
      <c r="E4811" t="inlineStr">
        <is>
          <t>1008</t>
        </is>
      </c>
      <c r="F4811" t="inlineStr">
        <is>
          <t>0211</t>
        </is>
      </c>
      <c r="G4811" s="10" t="inlineStr">
        <is>
          <t>天神川</t>
        </is>
      </c>
      <c r="H4811" s="10" t="inlineStr">
        <is>
          <t>発</t>
        </is>
      </c>
      <c r="J4811" s="10" t="inlineStr">
        <is>
          <t>営業</t>
        </is>
      </c>
      <c r="L4811" t="inlineStr">
        <is>
          <t>10:46:05</t>
        </is>
      </c>
      <c r="M4811" t="inlineStr">
        <is>
          <t>10:46:50</t>
        </is>
      </c>
    </row>
    <row r="4812" ht="15" customHeight="1" s="37">
      <c r="A4812" t="n">
        <v>1</v>
      </c>
      <c r="B4812" s="10" t="inlineStr">
        <is>
          <t>平日</t>
        </is>
      </c>
      <c r="C4812" s="10" t="inlineStr">
        <is>
          <t>本線</t>
        </is>
      </c>
      <c r="D4812" s="10" t="inlineStr">
        <is>
          <t>上り</t>
        </is>
      </c>
      <c r="E4812" t="inlineStr">
        <is>
          <t>1008</t>
        </is>
      </c>
      <c r="F4812" t="inlineStr">
        <is>
          <t>0211</t>
        </is>
      </c>
      <c r="G4812" s="10" t="inlineStr">
        <is>
          <t>山ノ内</t>
        </is>
      </c>
      <c r="H4812" s="10" t="inlineStr">
        <is>
          <t>発</t>
        </is>
      </c>
      <c r="J4812" s="10" t="inlineStr">
        <is>
          <t>営業</t>
        </is>
      </c>
      <c r="L4812" t="inlineStr">
        <is>
          <t>10:48:40</t>
        </is>
      </c>
      <c r="M4812" t="inlineStr">
        <is>
          <t>10:49:05</t>
        </is>
      </c>
    </row>
    <row r="4813" ht="15" customHeight="1" s="37">
      <c r="A4813" t="n">
        <v>1</v>
      </c>
      <c r="B4813" s="10" t="inlineStr">
        <is>
          <t>平日</t>
        </is>
      </c>
      <c r="C4813" s="10" t="inlineStr">
        <is>
          <t>本線</t>
        </is>
      </c>
      <c r="D4813" s="10" t="inlineStr">
        <is>
          <t>上り</t>
        </is>
      </c>
      <c r="E4813" t="inlineStr">
        <is>
          <t>1008</t>
        </is>
      </c>
      <c r="F4813" t="inlineStr">
        <is>
          <t>0211</t>
        </is>
      </c>
      <c r="G4813" s="10" t="inlineStr">
        <is>
          <t>西大路三条</t>
        </is>
      </c>
      <c r="H4813" s="10" t="inlineStr">
        <is>
          <t>発</t>
        </is>
      </c>
      <c r="J4813" s="10" t="inlineStr">
        <is>
          <t>営業</t>
        </is>
      </c>
      <c r="L4813" t="inlineStr">
        <is>
          <t>10:50:55</t>
        </is>
      </c>
      <c r="M4813" t="inlineStr">
        <is>
          <t>10:51:15</t>
        </is>
      </c>
    </row>
    <row r="4814" ht="15" customHeight="1" s="37">
      <c r="A4814" t="n">
        <v>1</v>
      </c>
      <c r="B4814" s="10" t="inlineStr">
        <is>
          <t>平日</t>
        </is>
      </c>
      <c r="C4814" s="10" t="inlineStr">
        <is>
          <t>本線</t>
        </is>
      </c>
      <c r="D4814" s="10" t="inlineStr">
        <is>
          <t>上り</t>
        </is>
      </c>
      <c r="E4814" t="inlineStr">
        <is>
          <t>1008</t>
        </is>
      </c>
      <c r="F4814" t="inlineStr">
        <is>
          <t>0211</t>
        </is>
      </c>
      <c r="G4814" s="10" t="inlineStr">
        <is>
          <t>西院</t>
        </is>
      </c>
      <c r="H4814" s="10" t="inlineStr">
        <is>
          <t>発</t>
        </is>
      </c>
      <c r="J4814" s="10" t="inlineStr">
        <is>
          <t>営業</t>
        </is>
      </c>
      <c r="L4814" t="inlineStr">
        <is>
          <t>10:53:10</t>
        </is>
      </c>
      <c r="M4814" t="inlineStr">
        <is>
          <t>10:54:05</t>
        </is>
      </c>
    </row>
    <row r="4815" ht="15" customHeight="1" s="37">
      <c r="A4815" t="n">
        <v>1</v>
      </c>
      <c r="B4815" s="10" t="inlineStr">
        <is>
          <t>平日</t>
        </is>
      </c>
      <c r="C4815" s="10" t="inlineStr">
        <is>
          <t>本線</t>
        </is>
      </c>
      <c r="D4815" s="10" t="inlineStr">
        <is>
          <t>上り</t>
        </is>
      </c>
      <c r="E4815" t="inlineStr">
        <is>
          <t>1008</t>
        </is>
      </c>
      <c r="F4815" t="inlineStr">
        <is>
          <t>0211</t>
        </is>
      </c>
      <c r="G4815" s="10" t="inlineStr">
        <is>
          <t>四条大宮</t>
        </is>
      </c>
      <c r="H4815" s="10" t="inlineStr">
        <is>
          <t>着</t>
        </is>
      </c>
      <c r="J4815" s="10" t="inlineStr">
        <is>
          <t>営業</t>
        </is>
      </c>
      <c r="L4815" t="inlineStr">
        <is>
          <t>10:57:00</t>
        </is>
      </c>
      <c r="Q4815" t="inlineStr">
        <is>
          <t>1</t>
        </is>
      </c>
    </row>
    <row r="4816" ht="15" customHeight="1" s="37">
      <c r="A4816" t="n">
        <v>1</v>
      </c>
      <c r="B4816" s="10" t="inlineStr">
        <is>
          <t>平日</t>
        </is>
      </c>
      <c r="C4816" s="10" t="inlineStr">
        <is>
          <t>本線</t>
        </is>
      </c>
      <c r="D4816" s="10" t="inlineStr">
        <is>
          <t>下り</t>
        </is>
      </c>
      <c r="E4816" t="inlineStr">
        <is>
          <t>1101</t>
        </is>
      </c>
      <c r="F4816" t="inlineStr">
        <is>
          <t>0112</t>
        </is>
      </c>
      <c r="G4816" s="10" t="inlineStr">
        <is>
          <t>四条大宮</t>
        </is>
      </c>
      <c r="H4816" s="10" t="inlineStr">
        <is>
          <t>発</t>
        </is>
      </c>
      <c r="J4816" s="10" t="inlineStr">
        <is>
          <t>営業</t>
        </is>
      </c>
      <c r="M4816" t="inlineStr">
        <is>
          <t>11:03:00</t>
        </is>
      </c>
      <c r="Q4816" t="inlineStr">
        <is>
          <t>1</t>
        </is>
      </c>
    </row>
    <row r="4817" ht="15" customHeight="1" s="37">
      <c r="A4817" t="n">
        <v>1</v>
      </c>
      <c r="B4817" s="10" t="inlineStr">
        <is>
          <t>平日</t>
        </is>
      </c>
      <c r="C4817" s="10" t="inlineStr">
        <is>
          <t>本線</t>
        </is>
      </c>
      <c r="D4817" s="10" t="inlineStr">
        <is>
          <t>下り</t>
        </is>
      </c>
      <c r="E4817" t="inlineStr">
        <is>
          <t>1101</t>
        </is>
      </c>
      <c r="F4817" t="inlineStr">
        <is>
          <t>0112</t>
        </is>
      </c>
      <c r="G4817" s="10" t="inlineStr">
        <is>
          <t>西院</t>
        </is>
      </c>
      <c r="H4817" s="10" t="inlineStr">
        <is>
          <t>発</t>
        </is>
      </c>
      <c r="J4817" s="10" t="inlineStr">
        <is>
          <t>営業</t>
        </is>
      </c>
      <c r="L4817" t="inlineStr">
        <is>
          <t>11:05:50</t>
        </is>
      </c>
      <c r="M4817" t="inlineStr">
        <is>
          <t>11:06:20</t>
        </is>
      </c>
    </row>
    <row r="4818" ht="15" customHeight="1" s="37">
      <c r="A4818" t="n">
        <v>1</v>
      </c>
      <c r="B4818" s="10" t="inlineStr">
        <is>
          <t>平日</t>
        </is>
      </c>
      <c r="C4818" s="10" t="inlineStr">
        <is>
          <t>本線</t>
        </is>
      </c>
      <c r="D4818" s="10" t="inlineStr">
        <is>
          <t>下り</t>
        </is>
      </c>
      <c r="E4818" t="inlineStr">
        <is>
          <t>1101</t>
        </is>
      </c>
      <c r="F4818" t="inlineStr">
        <is>
          <t>0112</t>
        </is>
      </c>
      <c r="G4818" s="10" t="inlineStr">
        <is>
          <t>西大路三条</t>
        </is>
      </c>
      <c r="H4818" s="10" t="inlineStr">
        <is>
          <t>発</t>
        </is>
      </c>
      <c r="J4818" s="10" t="inlineStr">
        <is>
          <t>営業</t>
        </is>
      </c>
      <c r="L4818" t="inlineStr">
        <is>
          <t>11:08:10</t>
        </is>
      </c>
      <c r="M4818" t="inlineStr">
        <is>
          <t>11:08:30</t>
        </is>
      </c>
    </row>
    <row r="4819" ht="15" customHeight="1" s="37">
      <c r="A4819" t="n">
        <v>1</v>
      </c>
      <c r="B4819" s="10" t="inlineStr">
        <is>
          <t>平日</t>
        </is>
      </c>
      <c r="C4819" s="10" t="inlineStr">
        <is>
          <t>本線</t>
        </is>
      </c>
      <c r="D4819" s="10" t="inlineStr">
        <is>
          <t>下り</t>
        </is>
      </c>
      <c r="E4819" t="inlineStr">
        <is>
          <t>1101</t>
        </is>
      </c>
      <c r="F4819" t="inlineStr">
        <is>
          <t>0112</t>
        </is>
      </c>
      <c r="G4819" s="10" t="inlineStr">
        <is>
          <t>山ノ内</t>
        </is>
      </c>
      <c r="H4819" s="10" t="inlineStr">
        <is>
          <t>発</t>
        </is>
      </c>
      <c r="J4819" s="10" t="inlineStr">
        <is>
          <t>営業</t>
        </is>
      </c>
      <c r="L4819" t="inlineStr">
        <is>
          <t>11:10:25</t>
        </is>
      </c>
      <c r="M4819" t="inlineStr">
        <is>
          <t>11:10:50</t>
        </is>
      </c>
    </row>
    <row r="4820" ht="15" customHeight="1" s="37">
      <c r="A4820" t="n">
        <v>1</v>
      </c>
      <c r="B4820" s="10" t="inlineStr">
        <is>
          <t>平日</t>
        </is>
      </c>
      <c r="C4820" s="10" t="inlineStr">
        <is>
          <t>本線</t>
        </is>
      </c>
      <c r="D4820" s="10" t="inlineStr">
        <is>
          <t>下り</t>
        </is>
      </c>
      <c r="E4820" t="inlineStr">
        <is>
          <t>1101</t>
        </is>
      </c>
      <c r="F4820" t="inlineStr">
        <is>
          <t>0112</t>
        </is>
      </c>
      <c r="G4820" s="10" t="inlineStr">
        <is>
          <t>天神川</t>
        </is>
      </c>
      <c r="H4820" s="10" t="inlineStr">
        <is>
          <t>発</t>
        </is>
      </c>
      <c r="J4820" s="10" t="inlineStr">
        <is>
          <t>営業</t>
        </is>
      </c>
      <c r="L4820" t="inlineStr">
        <is>
          <t>11:12:50</t>
        </is>
      </c>
      <c r="M4820" t="inlineStr">
        <is>
          <t>11:13:30</t>
        </is>
      </c>
    </row>
    <row r="4821" ht="15" customHeight="1" s="37">
      <c r="A4821" t="n">
        <v>1</v>
      </c>
      <c r="B4821" s="10" t="inlineStr">
        <is>
          <t>平日</t>
        </is>
      </c>
      <c r="C4821" s="10" t="inlineStr">
        <is>
          <t>本線</t>
        </is>
      </c>
      <c r="D4821" s="10" t="inlineStr">
        <is>
          <t>下り</t>
        </is>
      </c>
      <c r="E4821" t="inlineStr">
        <is>
          <t>1101</t>
        </is>
      </c>
      <c r="F4821" t="inlineStr">
        <is>
          <t>0112</t>
        </is>
      </c>
      <c r="G4821" s="10" t="inlineStr">
        <is>
          <t>蚕ノ社</t>
        </is>
      </c>
      <c r="H4821" s="10" t="inlineStr">
        <is>
          <t>発</t>
        </is>
      </c>
      <c r="J4821" s="10" t="inlineStr">
        <is>
          <t>営業</t>
        </is>
      </c>
      <c r="L4821" t="inlineStr">
        <is>
          <t>11:14:20</t>
        </is>
      </c>
      <c r="M4821" t="inlineStr">
        <is>
          <t>11:14:40</t>
        </is>
      </c>
    </row>
    <row r="4822" ht="15" customHeight="1" s="37">
      <c r="A4822" t="n">
        <v>1</v>
      </c>
      <c r="B4822" s="10" t="inlineStr">
        <is>
          <t>平日</t>
        </is>
      </c>
      <c r="C4822" s="10" t="inlineStr">
        <is>
          <t>本線</t>
        </is>
      </c>
      <c r="D4822" s="10" t="inlineStr">
        <is>
          <t>下り</t>
        </is>
      </c>
      <c r="E4822" t="inlineStr">
        <is>
          <t>1101</t>
        </is>
      </c>
      <c r="F4822" t="inlineStr">
        <is>
          <t>0112</t>
        </is>
      </c>
      <c r="G4822" s="10" t="inlineStr">
        <is>
          <t>太秦広隆寺</t>
        </is>
      </c>
      <c r="H4822" s="10" t="inlineStr">
        <is>
          <t>発</t>
        </is>
      </c>
      <c r="J4822" s="10" t="inlineStr">
        <is>
          <t>営業</t>
        </is>
      </c>
      <c r="L4822" t="inlineStr">
        <is>
          <t>11:16:00</t>
        </is>
      </c>
      <c r="M4822" t="inlineStr">
        <is>
          <t>11:16:20</t>
        </is>
      </c>
    </row>
    <row r="4823" ht="15" customHeight="1" s="37">
      <c r="A4823" t="n">
        <v>1</v>
      </c>
      <c r="B4823" s="10" t="inlineStr">
        <is>
          <t>平日</t>
        </is>
      </c>
      <c r="C4823" s="10" t="inlineStr">
        <is>
          <t>本線</t>
        </is>
      </c>
      <c r="D4823" s="10" t="inlineStr">
        <is>
          <t>下り</t>
        </is>
      </c>
      <c r="E4823" t="inlineStr">
        <is>
          <t>1101</t>
        </is>
      </c>
      <c r="F4823" t="inlineStr">
        <is>
          <t>0112</t>
        </is>
      </c>
      <c r="G4823" s="10" t="inlineStr">
        <is>
          <t>帷子ノ辻</t>
        </is>
      </c>
      <c r="H4823" s="10" t="inlineStr">
        <is>
          <t>発</t>
        </is>
      </c>
      <c r="J4823" s="10" t="inlineStr">
        <is>
          <t>営業</t>
        </is>
      </c>
      <c r="L4823" t="inlineStr">
        <is>
          <t>11:18:20</t>
        </is>
      </c>
      <c r="M4823" t="inlineStr">
        <is>
          <t>11:19:40</t>
        </is>
      </c>
    </row>
    <row r="4824" ht="15" customHeight="1" s="37">
      <c r="A4824" t="n">
        <v>1</v>
      </c>
      <c r="B4824" s="10" t="inlineStr">
        <is>
          <t>平日</t>
        </is>
      </c>
      <c r="C4824" s="10" t="inlineStr">
        <is>
          <t>本線</t>
        </is>
      </c>
      <c r="D4824" s="10" t="inlineStr">
        <is>
          <t>下り</t>
        </is>
      </c>
      <c r="E4824" t="inlineStr">
        <is>
          <t>1101</t>
        </is>
      </c>
      <c r="F4824" t="inlineStr">
        <is>
          <t>0112</t>
        </is>
      </c>
      <c r="G4824" s="10" t="inlineStr">
        <is>
          <t>有栖川</t>
        </is>
      </c>
      <c r="H4824" s="10" t="inlineStr">
        <is>
          <t>発</t>
        </is>
      </c>
      <c r="J4824" s="10" t="inlineStr">
        <is>
          <t>営業</t>
        </is>
      </c>
      <c r="L4824" t="inlineStr">
        <is>
          <t>11:20:50</t>
        </is>
      </c>
      <c r="M4824" t="inlineStr">
        <is>
          <t>11:21:15</t>
        </is>
      </c>
    </row>
    <row r="4825" ht="15" customHeight="1" s="37">
      <c r="A4825" t="n">
        <v>1</v>
      </c>
      <c r="B4825" s="10" t="inlineStr">
        <is>
          <t>平日</t>
        </is>
      </c>
      <c r="C4825" s="10" t="inlineStr">
        <is>
          <t>本線</t>
        </is>
      </c>
      <c r="D4825" s="10" t="inlineStr">
        <is>
          <t>下り</t>
        </is>
      </c>
      <c r="E4825" t="inlineStr">
        <is>
          <t>1101</t>
        </is>
      </c>
      <c r="F4825" t="inlineStr">
        <is>
          <t>0112</t>
        </is>
      </c>
      <c r="G4825" s="10" t="inlineStr">
        <is>
          <t>車折</t>
        </is>
      </c>
      <c r="H4825" s="10" t="inlineStr">
        <is>
          <t>発</t>
        </is>
      </c>
      <c r="J4825" s="10" t="inlineStr">
        <is>
          <t>営業</t>
        </is>
      </c>
      <c r="L4825" t="inlineStr">
        <is>
          <t>11:22:40</t>
        </is>
      </c>
      <c r="M4825" t="inlineStr">
        <is>
          <t>11:23:05</t>
        </is>
      </c>
    </row>
    <row r="4826" ht="15" customHeight="1" s="37">
      <c r="A4826" t="n">
        <v>1</v>
      </c>
      <c r="B4826" s="10" t="inlineStr">
        <is>
          <t>平日</t>
        </is>
      </c>
      <c r="C4826" s="10" t="inlineStr">
        <is>
          <t>本線</t>
        </is>
      </c>
      <c r="D4826" s="10" t="inlineStr">
        <is>
          <t>下り</t>
        </is>
      </c>
      <c r="E4826" t="inlineStr">
        <is>
          <t>1101</t>
        </is>
      </c>
      <c r="F4826" t="inlineStr">
        <is>
          <t>0112</t>
        </is>
      </c>
      <c r="G4826" s="10" t="inlineStr">
        <is>
          <t>鹿王院</t>
        </is>
      </c>
      <c r="H4826" s="10" t="inlineStr">
        <is>
          <t>発</t>
        </is>
      </c>
      <c r="J4826" s="10" t="inlineStr">
        <is>
          <t>営業</t>
        </is>
      </c>
      <c r="L4826" t="inlineStr">
        <is>
          <t>11:24:00</t>
        </is>
      </c>
      <c r="M4826" t="inlineStr">
        <is>
          <t>11:24:25</t>
        </is>
      </c>
    </row>
    <row r="4827" ht="15" customHeight="1" s="37">
      <c r="A4827" t="n">
        <v>1</v>
      </c>
      <c r="B4827" s="10" t="inlineStr">
        <is>
          <t>平日</t>
        </is>
      </c>
      <c r="C4827" s="10" t="inlineStr">
        <is>
          <t>本線</t>
        </is>
      </c>
      <c r="D4827" s="10" t="inlineStr">
        <is>
          <t>下り</t>
        </is>
      </c>
      <c r="E4827" t="inlineStr">
        <is>
          <t>1101</t>
        </is>
      </c>
      <c r="F4827" t="inlineStr">
        <is>
          <t>0112</t>
        </is>
      </c>
      <c r="G4827" s="10" t="inlineStr">
        <is>
          <t>嵯峨</t>
        </is>
      </c>
      <c r="H4827" s="10" t="inlineStr">
        <is>
          <t>発</t>
        </is>
      </c>
      <c r="J4827" s="10" t="inlineStr">
        <is>
          <t>営業</t>
        </is>
      </c>
      <c r="L4827" t="inlineStr">
        <is>
          <t>11:25:30</t>
        </is>
      </c>
      <c r="M4827" t="inlineStr">
        <is>
          <t>11:25:55</t>
        </is>
      </c>
    </row>
    <row r="4828" ht="15" customHeight="1" s="37">
      <c r="A4828" t="n">
        <v>1</v>
      </c>
      <c r="B4828" s="10" t="inlineStr">
        <is>
          <t>平日</t>
        </is>
      </c>
      <c r="C4828" s="10" t="inlineStr">
        <is>
          <t>本線</t>
        </is>
      </c>
      <c r="D4828" s="10" t="inlineStr">
        <is>
          <t>下り</t>
        </is>
      </c>
      <c r="E4828" t="inlineStr">
        <is>
          <t>1101</t>
        </is>
      </c>
      <c r="F4828" t="inlineStr">
        <is>
          <t>0112</t>
        </is>
      </c>
      <c r="G4828" s="10" t="inlineStr">
        <is>
          <t>嵐山</t>
        </is>
      </c>
      <c r="H4828" s="10" t="inlineStr">
        <is>
          <t>着</t>
        </is>
      </c>
      <c r="J4828" s="10" t="inlineStr">
        <is>
          <t>営業</t>
        </is>
      </c>
      <c r="L4828" t="inlineStr">
        <is>
          <t>11:27:00</t>
        </is>
      </c>
      <c r="Q4828" t="inlineStr">
        <is>
          <t>1</t>
        </is>
      </c>
    </row>
    <row r="4829" ht="15" customHeight="1" s="37">
      <c r="A4829" t="n">
        <v>1</v>
      </c>
      <c r="B4829" s="10" t="inlineStr">
        <is>
          <t>平日</t>
        </is>
      </c>
      <c r="C4829" s="10" t="inlineStr">
        <is>
          <t>本線</t>
        </is>
      </c>
      <c r="D4829" s="10" t="inlineStr">
        <is>
          <t>上り</t>
        </is>
      </c>
      <c r="E4829" t="inlineStr">
        <is>
          <t>1108</t>
        </is>
      </c>
      <c r="F4829" t="inlineStr">
        <is>
          <t>0211</t>
        </is>
      </c>
      <c r="G4829" s="10" t="inlineStr">
        <is>
          <t>嵐山</t>
        </is>
      </c>
      <c r="H4829" s="10" t="inlineStr">
        <is>
          <t>発</t>
        </is>
      </c>
      <c r="J4829" s="10" t="inlineStr">
        <is>
          <t>営業</t>
        </is>
      </c>
      <c r="M4829" t="inlineStr">
        <is>
          <t>11:33:00</t>
        </is>
      </c>
      <c r="Q4829" t="inlineStr">
        <is>
          <t>1</t>
        </is>
      </c>
    </row>
    <row r="4830" ht="15" customHeight="1" s="37">
      <c r="A4830" t="n">
        <v>1</v>
      </c>
      <c r="B4830" s="10" t="inlineStr">
        <is>
          <t>平日</t>
        </is>
      </c>
      <c r="C4830" s="10" t="inlineStr">
        <is>
          <t>本線</t>
        </is>
      </c>
      <c r="D4830" s="10" t="inlineStr">
        <is>
          <t>上り</t>
        </is>
      </c>
      <c r="E4830" t="inlineStr">
        <is>
          <t>1108</t>
        </is>
      </c>
      <c r="F4830" t="inlineStr">
        <is>
          <t>0211</t>
        </is>
      </c>
      <c r="G4830" s="10" t="inlineStr">
        <is>
          <t>嵯峨</t>
        </is>
      </c>
      <c r="H4830" s="10" t="inlineStr">
        <is>
          <t>発</t>
        </is>
      </c>
      <c r="J4830" s="10" t="inlineStr">
        <is>
          <t>営業</t>
        </is>
      </c>
      <c r="L4830" t="inlineStr">
        <is>
          <t>11:33:55</t>
        </is>
      </c>
      <c r="M4830" t="inlineStr">
        <is>
          <t>11:34:20</t>
        </is>
      </c>
    </row>
    <row r="4831" ht="15" customHeight="1" s="37">
      <c r="A4831" t="n">
        <v>1</v>
      </c>
      <c r="B4831" s="10" t="inlineStr">
        <is>
          <t>平日</t>
        </is>
      </c>
      <c r="C4831" s="10" t="inlineStr">
        <is>
          <t>本線</t>
        </is>
      </c>
      <c r="D4831" s="10" t="inlineStr">
        <is>
          <t>上り</t>
        </is>
      </c>
      <c r="E4831" t="inlineStr">
        <is>
          <t>1108</t>
        </is>
      </c>
      <c r="F4831" t="inlineStr">
        <is>
          <t>0211</t>
        </is>
      </c>
      <c r="G4831" s="10" t="inlineStr">
        <is>
          <t>鹿王院</t>
        </is>
      </c>
      <c r="H4831" s="10" t="inlineStr">
        <is>
          <t>発</t>
        </is>
      </c>
      <c r="J4831" s="10" t="inlineStr">
        <is>
          <t>営業</t>
        </is>
      </c>
      <c r="L4831" t="inlineStr">
        <is>
          <t>11:35:25</t>
        </is>
      </c>
      <c r="M4831" t="inlineStr">
        <is>
          <t>11:35:45</t>
        </is>
      </c>
    </row>
    <row r="4832" ht="15" customHeight="1" s="37">
      <c r="A4832" t="n">
        <v>1</v>
      </c>
      <c r="B4832" s="10" t="inlineStr">
        <is>
          <t>平日</t>
        </is>
      </c>
      <c r="C4832" s="10" t="inlineStr">
        <is>
          <t>本線</t>
        </is>
      </c>
      <c r="D4832" s="10" t="inlineStr">
        <is>
          <t>上り</t>
        </is>
      </c>
      <c r="E4832" t="inlineStr">
        <is>
          <t>1108</t>
        </is>
      </c>
      <c r="F4832" t="inlineStr">
        <is>
          <t>0211</t>
        </is>
      </c>
      <c r="G4832" s="10" t="inlineStr">
        <is>
          <t>車折</t>
        </is>
      </c>
      <c r="H4832" s="10" t="inlineStr">
        <is>
          <t>発</t>
        </is>
      </c>
      <c r="J4832" s="10" t="inlineStr">
        <is>
          <t>営業</t>
        </is>
      </c>
      <c r="L4832" t="inlineStr">
        <is>
          <t>11:36:40</t>
        </is>
      </c>
      <c r="M4832" t="inlineStr">
        <is>
          <t>11:37:10</t>
        </is>
      </c>
    </row>
    <row r="4833" ht="15" customHeight="1" s="37">
      <c r="A4833" t="n">
        <v>1</v>
      </c>
      <c r="B4833" s="10" t="inlineStr">
        <is>
          <t>平日</t>
        </is>
      </c>
      <c r="C4833" s="10" t="inlineStr">
        <is>
          <t>本線</t>
        </is>
      </c>
      <c r="D4833" s="10" t="inlineStr">
        <is>
          <t>上り</t>
        </is>
      </c>
      <c r="E4833" t="inlineStr">
        <is>
          <t>1108</t>
        </is>
      </c>
      <c r="F4833" t="inlineStr">
        <is>
          <t>0211</t>
        </is>
      </c>
      <c r="G4833" s="10" t="inlineStr">
        <is>
          <t>有栖川</t>
        </is>
      </c>
      <c r="H4833" s="10" t="inlineStr">
        <is>
          <t>発</t>
        </is>
      </c>
      <c r="J4833" s="10" t="inlineStr">
        <is>
          <t>営業</t>
        </is>
      </c>
      <c r="L4833" t="inlineStr">
        <is>
          <t>11:38:35</t>
        </is>
      </c>
      <c r="M4833" t="inlineStr">
        <is>
          <t>11:38:55</t>
        </is>
      </c>
    </row>
    <row r="4834" ht="15" customHeight="1" s="37">
      <c r="A4834" t="n">
        <v>1</v>
      </c>
      <c r="B4834" s="10" t="inlineStr">
        <is>
          <t>平日</t>
        </is>
      </c>
      <c r="C4834" s="10" t="inlineStr">
        <is>
          <t>本線</t>
        </is>
      </c>
      <c r="D4834" s="10" t="inlineStr">
        <is>
          <t>上り</t>
        </is>
      </c>
      <c r="E4834" t="inlineStr">
        <is>
          <t>1108</t>
        </is>
      </c>
      <c r="F4834" t="inlineStr">
        <is>
          <t>0211</t>
        </is>
      </c>
      <c r="G4834" s="10" t="inlineStr">
        <is>
          <t>帷子ノ辻</t>
        </is>
      </c>
      <c r="H4834" s="10" t="inlineStr">
        <is>
          <t>発</t>
        </is>
      </c>
      <c r="J4834" s="10" t="inlineStr">
        <is>
          <t>営業</t>
        </is>
      </c>
      <c r="L4834" t="inlineStr">
        <is>
          <t>11:40:10</t>
        </is>
      </c>
      <c r="M4834" t="inlineStr">
        <is>
          <t>11:41:15</t>
        </is>
      </c>
    </row>
    <row r="4835" ht="15" customHeight="1" s="37">
      <c r="A4835" t="n">
        <v>1</v>
      </c>
      <c r="B4835" s="10" t="inlineStr">
        <is>
          <t>平日</t>
        </is>
      </c>
      <c r="C4835" s="10" t="inlineStr">
        <is>
          <t>本線</t>
        </is>
      </c>
      <c r="D4835" s="10" t="inlineStr">
        <is>
          <t>上り</t>
        </is>
      </c>
      <c r="E4835" t="inlineStr">
        <is>
          <t>1108</t>
        </is>
      </c>
      <c r="F4835" t="inlineStr">
        <is>
          <t>0211</t>
        </is>
      </c>
      <c r="G4835" s="10" t="inlineStr">
        <is>
          <t>太秦広隆寺</t>
        </is>
      </c>
      <c r="H4835" s="10" t="inlineStr">
        <is>
          <t>発</t>
        </is>
      </c>
      <c r="J4835" s="10" t="inlineStr">
        <is>
          <t>営業</t>
        </is>
      </c>
      <c r="L4835" t="inlineStr">
        <is>
          <t>11:43:25</t>
        </is>
      </c>
      <c r="M4835" t="inlineStr">
        <is>
          <t>11:43:45</t>
        </is>
      </c>
    </row>
    <row r="4836" ht="15" customHeight="1" s="37">
      <c r="A4836" t="n">
        <v>1</v>
      </c>
      <c r="B4836" s="10" t="inlineStr">
        <is>
          <t>平日</t>
        </is>
      </c>
      <c r="C4836" s="10" t="inlineStr">
        <is>
          <t>本線</t>
        </is>
      </c>
      <c r="D4836" s="10" t="inlineStr">
        <is>
          <t>上り</t>
        </is>
      </c>
      <c r="E4836" t="inlineStr">
        <is>
          <t>1108</t>
        </is>
      </c>
      <c r="F4836" t="inlineStr">
        <is>
          <t>0211</t>
        </is>
      </c>
      <c r="G4836" s="10" t="inlineStr">
        <is>
          <t>蚕ノ社</t>
        </is>
      </c>
      <c r="H4836" s="10" t="inlineStr">
        <is>
          <t>発</t>
        </is>
      </c>
      <c r="J4836" s="10" t="inlineStr">
        <is>
          <t>営業</t>
        </is>
      </c>
      <c r="L4836" t="inlineStr">
        <is>
          <t>11:45:00</t>
        </is>
      </c>
      <c r="M4836" t="inlineStr">
        <is>
          <t>11:45:20</t>
        </is>
      </c>
    </row>
    <row r="4837" ht="15" customHeight="1" s="37">
      <c r="A4837" t="n">
        <v>1</v>
      </c>
      <c r="B4837" s="10" t="inlineStr">
        <is>
          <t>平日</t>
        </is>
      </c>
      <c r="C4837" s="10" t="inlineStr">
        <is>
          <t>本線</t>
        </is>
      </c>
      <c r="D4837" s="10" t="inlineStr">
        <is>
          <t>上り</t>
        </is>
      </c>
      <c r="E4837" t="inlineStr">
        <is>
          <t>1108</t>
        </is>
      </c>
      <c r="F4837" t="inlineStr">
        <is>
          <t>0211</t>
        </is>
      </c>
      <c r="G4837" s="10" t="inlineStr">
        <is>
          <t>天神川</t>
        </is>
      </c>
      <c r="H4837" s="10" t="inlineStr">
        <is>
          <t>発</t>
        </is>
      </c>
      <c r="J4837" s="10" t="inlineStr">
        <is>
          <t>営業</t>
        </is>
      </c>
      <c r="L4837" t="inlineStr">
        <is>
          <t>11:46:05</t>
        </is>
      </c>
      <c r="M4837" t="inlineStr">
        <is>
          <t>11:46:50</t>
        </is>
      </c>
    </row>
    <row r="4838" ht="15" customHeight="1" s="37">
      <c r="A4838" t="n">
        <v>1</v>
      </c>
      <c r="B4838" s="10" t="inlineStr">
        <is>
          <t>平日</t>
        </is>
      </c>
      <c r="C4838" s="10" t="inlineStr">
        <is>
          <t>本線</t>
        </is>
      </c>
      <c r="D4838" s="10" t="inlineStr">
        <is>
          <t>上り</t>
        </is>
      </c>
      <c r="E4838" t="inlineStr">
        <is>
          <t>1108</t>
        </is>
      </c>
      <c r="F4838" t="inlineStr">
        <is>
          <t>0211</t>
        </is>
      </c>
      <c r="G4838" s="10" t="inlineStr">
        <is>
          <t>山ノ内</t>
        </is>
      </c>
      <c r="H4838" s="10" t="inlineStr">
        <is>
          <t>発</t>
        </is>
      </c>
      <c r="J4838" s="10" t="inlineStr">
        <is>
          <t>営業</t>
        </is>
      </c>
      <c r="L4838" t="inlineStr">
        <is>
          <t>11:48:40</t>
        </is>
      </c>
      <c r="M4838" t="inlineStr">
        <is>
          <t>11:49:05</t>
        </is>
      </c>
    </row>
    <row r="4839" ht="15" customHeight="1" s="37">
      <c r="A4839" t="n">
        <v>1</v>
      </c>
      <c r="B4839" s="10" t="inlineStr">
        <is>
          <t>平日</t>
        </is>
      </c>
      <c r="C4839" s="10" t="inlineStr">
        <is>
          <t>本線</t>
        </is>
      </c>
      <c r="D4839" s="10" t="inlineStr">
        <is>
          <t>上り</t>
        </is>
      </c>
      <c r="E4839" t="inlineStr">
        <is>
          <t>1108</t>
        </is>
      </c>
      <c r="F4839" t="inlineStr">
        <is>
          <t>0211</t>
        </is>
      </c>
      <c r="G4839" s="10" t="inlineStr">
        <is>
          <t>西大路三条</t>
        </is>
      </c>
      <c r="H4839" s="10" t="inlineStr">
        <is>
          <t>発</t>
        </is>
      </c>
      <c r="J4839" s="10" t="inlineStr">
        <is>
          <t>営業</t>
        </is>
      </c>
      <c r="L4839" t="inlineStr">
        <is>
          <t>11:50:55</t>
        </is>
      </c>
      <c r="M4839" t="inlineStr">
        <is>
          <t>11:51:15</t>
        </is>
      </c>
    </row>
    <row r="4840" ht="15" customHeight="1" s="37">
      <c r="A4840" t="n">
        <v>1</v>
      </c>
      <c r="B4840" s="10" t="inlineStr">
        <is>
          <t>平日</t>
        </is>
      </c>
      <c r="C4840" s="10" t="inlineStr">
        <is>
          <t>本線</t>
        </is>
      </c>
      <c r="D4840" s="10" t="inlineStr">
        <is>
          <t>上り</t>
        </is>
      </c>
      <c r="E4840" t="inlineStr">
        <is>
          <t>1108</t>
        </is>
      </c>
      <c r="F4840" t="inlineStr">
        <is>
          <t>0211</t>
        </is>
      </c>
      <c r="G4840" s="10" t="inlineStr">
        <is>
          <t>西院</t>
        </is>
      </c>
      <c r="H4840" s="10" t="inlineStr">
        <is>
          <t>発</t>
        </is>
      </c>
      <c r="J4840" s="10" t="inlineStr">
        <is>
          <t>営業</t>
        </is>
      </c>
      <c r="L4840" t="inlineStr">
        <is>
          <t>11:53:10</t>
        </is>
      </c>
      <c r="M4840" t="inlineStr">
        <is>
          <t>11:54:05</t>
        </is>
      </c>
    </row>
    <row r="4841" ht="15" customHeight="1" s="37">
      <c r="A4841" t="n">
        <v>1</v>
      </c>
      <c r="B4841" s="10" t="inlineStr">
        <is>
          <t>平日</t>
        </is>
      </c>
      <c r="C4841" s="10" t="inlineStr">
        <is>
          <t>本線</t>
        </is>
      </c>
      <c r="D4841" s="10" t="inlineStr">
        <is>
          <t>上り</t>
        </is>
      </c>
      <c r="E4841" t="inlineStr">
        <is>
          <t>1108</t>
        </is>
      </c>
      <c r="F4841" t="inlineStr">
        <is>
          <t>0211</t>
        </is>
      </c>
      <c r="G4841" s="10" t="inlineStr">
        <is>
          <t>四条大宮</t>
        </is>
      </c>
      <c r="H4841" s="10" t="inlineStr">
        <is>
          <t>着</t>
        </is>
      </c>
      <c r="J4841" s="10" t="inlineStr">
        <is>
          <t>営業</t>
        </is>
      </c>
      <c r="L4841" t="inlineStr">
        <is>
          <t>11:57:00</t>
        </is>
      </c>
      <c r="Q4841" t="inlineStr">
        <is>
          <t>1</t>
        </is>
      </c>
    </row>
    <row r="4842" ht="15" customHeight="1" s="37">
      <c r="A4842" t="n">
        <v>1</v>
      </c>
      <c r="B4842" s="10" t="inlineStr">
        <is>
          <t>平日</t>
        </is>
      </c>
      <c r="C4842" s="10" t="inlineStr">
        <is>
          <t>本線</t>
        </is>
      </c>
      <c r="D4842" s="10" t="inlineStr">
        <is>
          <t>下り</t>
        </is>
      </c>
      <c r="E4842" t="inlineStr">
        <is>
          <t>1201</t>
        </is>
      </c>
      <c r="F4842" t="inlineStr">
        <is>
          <t>0112</t>
        </is>
      </c>
      <c r="G4842" s="10" t="inlineStr">
        <is>
          <t>四条大宮</t>
        </is>
      </c>
      <c r="H4842" s="10" t="inlineStr">
        <is>
          <t>発</t>
        </is>
      </c>
      <c r="J4842" s="10" t="inlineStr">
        <is>
          <t>営業</t>
        </is>
      </c>
      <c r="M4842" t="inlineStr">
        <is>
          <t>12:03:00</t>
        </is>
      </c>
      <c r="Q4842" t="inlineStr">
        <is>
          <t>1</t>
        </is>
      </c>
    </row>
    <row r="4843" ht="15" customHeight="1" s="37">
      <c r="A4843" t="n">
        <v>1</v>
      </c>
      <c r="B4843" s="10" t="inlineStr">
        <is>
          <t>平日</t>
        </is>
      </c>
      <c r="C4843" s="10" t="inlineStr">
        <is>
          <t>本線</t>
        </is>
      </c>
      <c r="D4843" s="10" t="inlineStr">
        <is>
          <t>下り</t>
        </is>
      </c>
      <c r="E4843" t="inlineStr">
        <is>
          <t>1201</t>
        </is>
      </c>
      <c r="F4843" t="inlineStr">
        <is>
          <t>0112</t>
        </is>
      </c>
      <c r="G4843" s="10" t="inlineStr">
        <is>
          <t>西院</t>
        </is>
      </c>
      <c r="H4843" s="10" t="inlineStr">
        <is>
          <t>発</t>
        </is>
      </c>
      <c r="J4843" s="10" t="inlineStr">
        <is>
          <t>営業</t>
        </is>
      </c>
      <c r="L4843" t="inlineStr">
        <is>
          <t>12:05:50</t>
        </is>
      </c>
      <c r="M4843" t="inlineStr">
        <is>
          <t>12:06:20</t>
        </is>
      </c>
    </row>
    <row r="4844" ht="15" customHeight="1" s="37">
      <c r="A4844" t="n">
        <v>1</v>
      </c>
      <c r="B4844" s="10" t="inlineStr">
        <is>
          <t>平日</t>
        </is>
      </c>
      <c r="C4844" s="10" t="inlineStr">
        <is>
          <t>本線</t>
        </is>
      </c>
      <c r="D4844" s="10" t="inlineStr">
        <is>
          <t>下り</t>
        </is>
      </c>
      <c r="E4844" t="inlineStr">
        <is>
          <t>1201</t>
        </is>
      </c>
      <c r="F4844" t="inlineStr">
        <is>
          <t>0112</t>
        </is>
      </c>
      <c r="G4844" s="10" t="inlineStr">
        <is>
          <t>西大路三条</t>
        </is>
      </c>
      <c r="H4844" s="10" t="inlineStr">
        <is>
          <t>発</t>
        </is>
      </c>
      <c r="J4844" s="10" t="inlineStr">
        <is>
          <t>営業</t>
        </is>
      </c>
      <c r="L4844" t="inlineStr">
        <is>
          <t>12:08:10</t>
        </is>
      </c>
      <c r="M4844" t="inlineStr">
        <is>
          <t>12:08:30</t>
        </is>
      </c>
    </row>
    <row r="4845" ht="15" customHeight="1" s="37">
      <c r="A4845" t="n">
        <v>1</v>
      </c>
      <c r="B4845" s="10" t="inlineStr">
        <is>
          <t>平日</t>
        </is>
      </c>
      <c r="C4845" s="10" t="inlineStr">
        <is>
          <t>本線</t>
        </is>
      </c>
      <c r="D4845" s="10" t="inlineStr">
        <is>
          <t>下り</t>
        </is>
      </c>
      <c r="E4845" t="inlineStr">
        <is>
          <t>1201</t>
        </is>
      </c>
      <c r="F4845" t="inlineStr">
        <is>
          <t>0112</t>
        </is>
      </c>
      <c r="G4845" s="10" t="inlineStr">
        <is>
          <t>山ノ内</t>
        </is>
      </c>
      <c r="H4845" s="10" t="inlineStr">
        <is>
          <t>発</t>
        </is>
      </c>
      <c r="J4845" s="10" t="inlineStr">
        <is>
          <t>営業</t>
        </is>
      </c>
      <c r="L4845" t="inlineStr">
        <is>
          <t>12:10:25</t>
        </is>
      </c>
      <c r="M4845" t="inlineStr">
        <is>
          <t>12:10:50</t>
        </is>
      </c>
    </row>
    <row r="4846" ht="15" customHeight="1" s="37">
      <c r="A4846" t="n">
        <v>1</v>
      </c>
      <c r="B4846" s="10" t="inlineStr">
        <is>
          <t>平日</t>
        </is>
      </c>
      <c r="C4846" s="10" t="inlineStr">
        <is>
          <t>本線</t>
        </is>
      </c>
      <c r="D4846" s="10" t="inlineStr">
        <is>
          <t>下り</t>
        </is>
      </c>
      <c r="E4846" t="inlineStr">
        <is>
          <t>1201</t>
        </is>
      </c>
      <c r="F4846" t="inlineStr">
        <is>
          <t>0112</t>
        </is>
      </c>
      <c r="G4846" s="10" t="inlineStr">
        <is>
          <t>天神川</t>
        </is>
      </c>
      <c r="H4846" s="10" t="inlineStr">
        <is>
          <t>発</t>
        </is>
      </c>
      <c r="J4846" s="10" t="inlineStr">
        <is>
          <t>営業</t>
        </is>
      </c>
      <c r="L4846" t="inlineStr">
        <is>
          <t>12:12:50</t>
        </is>
      </c>
      <c r="M4846" t="inlineStr">
        <is>
          <t>12:13:30</t>
        </is>
      </c>
    </row>
    <row r="4847" ht="15" customHeight="1" s="37">
      <c r="A4847" t="n">
        <v>1</v>
      </c>
      <c r="B4847" s="10" t="inlineStr">
        <is>
          <t>平日</t>
        </is>
      </c>
      <c r="C4847" s="10" t="inlineStr">
        <is>
          <t>本線</t>
        </is>
      </c>
      <c r="D4847" s="10" t="inlineStr">
        <is>
          <t>下り</t>
        </is>
      </c>
      <c r="E4847" t="inlineStr">
        <is>
          <t>1201</t>
        </is>
      </c>
      <c r="F4847" t="inlineStr">
        <is>
          <t>0112</t>
        </is>
      </c>
      <c r="G4847" s="10" t="inlineStr">
        <is>
          <t>蚕ノ社</t>
        </is>
      </c>
      <c r="H4847" s="10" t="inlineStr">
        <is>
          <t>発</t>
        </is>
      </c>
      <c r="J4847" s="10" t="inlineStr">
        <is>
          <t>営業</t>
        </is>
      </c>
      <c r="L4847" t="inlineStr">
        <is>
          <t>12:14:20</t>
        </is>
      </c>
      <c r="M4847" t="inlineStr">
        <is>
          <t>12:14:40</t>
        </is>
      </c>
    </row>
    <row r="4848" ht="15" customHeight="1" s="37">
      <c r="A4848" t="n">
        <v>1</v>
      </c>
      <c r="B4848" s="10" t="inlineStr">
        <is>
          <t>平日</t>
        </is>
      </c>
      <c r="C4848" s="10" t="inlineStr">
        <is>
          <t>本線</t>
        </is>
      </c>
      <c r="D4848" s="10" t="inlineStr">
        <is>
          <t>下り</t>
        </is>
      </c>
      <c r="E4848" t="inlineStr">
        <is>
          <t>1201</t>
        </is>
      </c>
      <c r="F4848" t="inlineStr">
        <is>
          <t>0112</t>
        </is>
      </c>
      <c r="G4848" s="10" t="inlineStr">
        <is>
          <t>太秦広隆寺</t>
        </is>
      </c>
      <c r="H4848" s="10" t="inlineStr">
        <is>
          <t>発</t>
        </is>
      </c>
      <c r="J4848" s="10" t="inlineStr">
        <is>
          <t>営業</t>
        </is>
      </c>
      <c r="L4848" t="inlineStr">
        <is>
          <t>12:16:00</t>
        </is>
      </c>
      <c r="M4848" t="inlineStr">
        <is>
          <t>12:16:20</t>
        </is>
      </c>
    </row>
    <row r="4849" ht="15" customHeight="1" s="37">
      <c r="A4849" t="n">
        <v>1</v>
      </c>
      <c r="B4849" s="10" t="inlineStr">
        <is>
          <t>平日</t>
        </is>
      </c>
      <c r="C4849" s="10" t="inlineStr">
        <is>
          <t>本線</t>
        </is>
      </c>
      <c r="D4849" s="10" t="inlineStr">
        <is>
          <t>下り</t>
        </is>
      </c>
      <c r="E4849" t="inlineStr">
        <is>
          <t>1201</t>
        </is>
      </c>
      <c r="F4849" t="inlineStr">
        <is>
          <t>0112</t>
        </is>
      </c>
      <c r="G4849" s="10" t="inlineStr">
        <is>
          <t>帷子ノ辻</t>
        </is>
      </c>
      <c r="H4849" s="10" t="inlineStr">
        <is>
          <t>発</t>
        </is>
      </c>
      <c r="J4849" s="10" t="inlineStr">
        <is>
          <t>営業</t>
        </is>
      </c>
      <c r="L4849" t="inlineStr">
        <is>
          <t>12:18:20</t>
        </is>
      </c>
      <c r="M4849" t="inlineStr">
        <is>
          <t>12:19:40</t>
        </is>
      </c>
    </row>
    <row r="4850" ht="15" customHeight="1" s="37">
      <c r="A4850" t="n">
        <v>1</v>
      </c>
      <c r="B4850" s="10" t="inlineStr">
        <is>
          <t>平日</t>
        </is>
      </c>
      <c r="C4850" s="10" t="inlineStr">
        <is>
          <t>本線</t>
        </is>
      </c>
      <c r="D4850" s="10" t="inlineStr">
        <is>
          <t>下り</t>
        </is>
      </c>
      <c r="E4850" t="inlineStr">
        <is>
          <t>1201</t>
        </is>
      </c>
      <c r="F4850" t="inlineStr">
        <is>
          <t>0112</t>
        </is>
      </c>
      <c r="G4850" s="10" t="inlineStr">
        <is>
          <t>有栖川</t>
        </is>
      </c>
      <c r="H4850" s="10" t="inlineStr">
        <is>
          <t>発</t>
        </is>
      </c>
      <c r="J4850" s="10" t="inlineStr">
        <is>
          <t>営業</t>
        </is>
      </c>
      <c r="L4850" t="inlineStr">
        <is>
          <t>12:20:50</t>
        </is>
      </c>
      <c r="M4850" t="inlineStr">
        <is>
          <t>12:21:15</t>
        </is>
      </c>
    </row>
    <row r="4851" ht="15" customHeight="1" s="37">
      <c r="A4851" t="n">
        <v>1</v>
      </c>
      <c r="B4851" s="10" t="inlineStr">
        <is>
          <t>平日</t>
        </is>
      </c>
      <c r="C4851" s="10" t="inlineStr">
        <is>
          <t>本線</t>
        </is>
      </c>
      <c r="D4851" s="10" t="inlineStr">
        <is>
          <t>下り</t>
        </is>
      </c>
      <c r="E4851" t="inlineStr">
        <is>
          <t>1201</t>
        </is>
      </c>
      <c r="F4851" t="inlineStr">
        <is>
          <t>0112</t>
        </is>
      </c>
      <c r="G4851" s="10" t="inlineStr">
        <is>
          <t>車折</t>
        </is>
      </c>
      <c r="H4851" s="10" t="inlineStr">
        <is>
          <t>発</t>
        </is>
      </c>
      <c r="J4851" s="10" t="inlineStr">
        <is>
          <t>営業</t>
        </is>
      </c>
      <c r="L4851" t="inlineStr">
        <is>
          <t>12:22:40</t>
        </is>
      </c>
      <c r="M4851" t="inlineStr">
        <is>
          <t>12:23:05</t>
        </is>
      </c>
    </row>
    <row r="4852" ht="15" customHeight="1" s="37">
      <c r="A4852" t="n">
        <v>1</v>
      </c>
      <c r="B4852" s="10" t="inlineStr">
        <is>
          <t>平日</t>
        </is>
      </c>
      <c r="C4852" s="10" t="inlineStr">
        <is>
          <t>本線</t>
        </is>
      </c>
      <c r="D4852" s="10" t="inlineStr">
        <is>
          <t>下り</t>
        </is>
      </c>
      <c r="E4852" t="inlineStr">
        <is>
          <t>1201</t>
        </is>
      </c>
      <c r="F4852" t="inlineStr">
        <is>
          <t>0112</t>
        </is>
      </c>
      <c r="G4852" s="10" t="inlineStr">
        <is>
          <t>鹿王院</t>
        </is>
      </c>
      <c r="H4852" s="10" t="inlineStr">
        <is>
          <t>発</t>
        </is>
      </c>
      <c r="J4852" s="10" t="inlineStr">
        <is>
          <t>営業</t>
        </is>
      </c>
      <c r="L4852" t="inlineStr">
        <is>
          <t>12:24:00</t>
        </is>
      </c>
      <c r="M4852" t="inlineStr">
        <is>
          <t>12:24:25</t>
        </is>
      </c>
    </row>
    <row r="4853" ht="15" customHeight="1" s="37">
      <c r="A4853" t="n">
        <v>1</v>
      </c>
      <c r="B4853" s="10" t="inlineStr">
        <is>
          <t>平日</t>
        </is>
      </c>
      <c r="C4853" s="10" t="inlineStr">
        <is>
          <t>本線</t>
        </is>
      </c>
      <c r="D4853" s="10" t="inlineStr">
        <is>
          <t>下り</t>
        </is>
      </c>
      <c r="E4853" t="inlineStr">
        <is>
          <t>1201</t>
        </is>
      </c>
      <c r="F4853" t="inlineStr">
        <is>
          <t>0112</t>
        </is>
      </c>
      <c r="G4853" s="10" t="inlineStr">
        <is>
          <t>嵯峨</t>
        </is>
      </c>
      <c r="H4853" s="10" t="inlineStr">
        <is>
          <t>発</t>
        </is>
      </c>
      <c r="J4853" s="10" t="inlineStr">
        <is>
          <t>営業</t>
        </is>
      </c>
      <c r="L4853" t="inlineStr">
        <is>
          <t>12:25:30</t>
        </is>
      </c>
      <c r="M4853" t="inlineStr">
        <is>
          <t>12:25:55</t>
        </is>
      </c>
    </row>
    <row r="4854" ht="15" customHeight="1" s="37">
      <c r="A4854" t="n">
        <v>1</v>
      </c>
      <c r="B4854" s="10" t="inlineStr">
        <is>
          <t>平日</t>
        </is>
      </c>
      <c r="C4854" s="10" t="inlineStr">
        <is>
          <t>本線</t>
        </is>
      </c>
      <c r="D4854" s="10" t="inlineStr">
        <is>
          <t>下り</t>
        </is>
      </c>
      <c r="E4854" t="inlineStr">
        <is>
          <t>1201</t>
        </is>
      </c>
      <c r="F4854" t="inlineStr">
        <is>
          <t>0112</t>
        </is>
      </c>
      <c r="G4854" s="10" t="inlineStr">
        <is>
          <t>嵐山</t>
        </is>
      </c>
      <c r="H4854" s="10" t="inlineStr">
        <is>
          <t>着</t>
        </is>
      </c>
      <c r="J4854" s="10" t="inlineStr">
        <is>
          <t>営業</t>
        </is>
      </c>
      <c r="L4854" t="inlineStr">
        <is>
          <t>12:27:00</t>
        </is>
      </c>
      <c r="Q4854" t="inlineStr">
        <is>
          <t>1</t>
        </is>
      </c>
    </row>
    <row r="4855" ht="15" customHeight="1" s="37">
      <c r="A4855" t="n">
        <v>1</v>
      </c>
      <c r="B4855" s="10" t="inlineStr">
        <is>
          <t>平日</t>
        </is>
      </c>
      <c r="C4855" s="10" t="inlineStr">
        <is>
          <t>本線</t>
        </is>
      </c>
      <c r="D4855" s="10" t="inlineStr">
        <is>
          <t>上り</t>
        </is>
      </c>
      <c r="E4855" t="inlineStr">
        <is>
          <t>1208</t>
        </is>
      </c>
      <c r="F4855" t="inlineStr">
        <is>
          <t>0211</t>
        </is>
      </c>
      <c r="G4855" s="10" t="inlineStr">
        <is>
          <t>嵐山</t>
        </is>
      </c>
      <c r="H4855" s="10" t="inlineStr">
        <is>
          <t>発</t>
        </is>
      </c>
      <c r="J4855" s="10" t="inlineStr">
        <is>
          <t>営業</t>
        </is>
      </c>
      <c r="M4855" t="inlineStr">
        <is>
          <t>12:33:00</t>
        </is>
      </c>
      <c r="Q4855" t="inlineStr">
        <is>
          <t>1</t>
        </is>
      </c>
    </row>
    <row r="4856" ht="15" customHeight="1" s="37">
      <c r="A4856" t="n">
        <v>1</v>
      </c>
      <c r="B4856" s="10" t="inlineStr">
        <is>
          <t>平日</t>
        </is>
      </c>
      <c r="C4856" s="10" t="inlineStr">
        <is>
          <t>本線</t>
        </is>
      </c>
      <c r="D4856" s="10" t="inlineStr">
        <is>
          <t>上り</t>
        </is>
      </c>
      <c r="E4856" t="inlineStr">
        <is>
          <t>1208</t>
        </is>
      </c>
      <c r="F4856" t="inlineStr">
        <is>
          <t>0211</t>
        </is>
      </c>
      <c r="G4856" s="10" t="inlineStr">
        <is>
          <t>嵯峨</t>
        </is>
      </c>
      <c r="H4856" s="10" t="inlineStr">
        <is>
          <t>発</t>
        </is>
      </c>
      <c r="J4856" s="10" t="inlineStr">
        <is>
          <t>営業</t>
        </is>
      </c>
      <c r="L4856" t="inlineStr">
        <is>
          <t>12:33:55</t>
        </is>
      </c>
      <c r="M4856" t="inlineStr">
        <is>
          <t>12:34:20</t>
        </is>
      </c>
    </row>
    <row r="4857" ht="15" customHeight="1" s="37">
      <c r="A4857" t="n">
        <v>1</v>
      </c>
      <c r="B4857" s="10" t="inlineStr">
        <is>
          <t>平日</t>
        </is>
      </c>
      <c r="C4857" s="10" t="inlineStr">
        <is>
          <t>本線</t>
        </is>
      </c>
      <c r="D4857" s="10" t="inlineStr">
        <is>
          <t>上り</t>
        </is>
      </c>
      <c r="E4857" t="inlineStr">
        <is>
          <t>1208</t>
        </is>
      </c>
      <c r="F4857" t="inlineStr">
        <is>
          <t>0211</t>
        </is>
      </c>
      <c r="G4857" s="10" t="inlineStr">
        <is>
          <t>鹿王院</t>
        </is>
      </c>
      <c r="H4857" s="10" t="inlineStr">
        <is>
          <t>発</t>
        </is>
      </c>
      <c r="J4857" s="10" t="inlineStr">
        <is>
          <t>営業</t>
        </is>
      </c>
      <c r="L4857" t="inlineStr">
        <is>
          <t>12:35:25</t>
        </is>
      </c>
      <c r="M4857" t="inlineStr">
        <is>
          <t>12:35:45</t>
        </is>
      </c>
    </row>
    <row r="4858" ht="15" customHeight="1" s="37">
      <c r="A4858" t="n">
        <v>1</v>
      </c>
      <c r="B4858" s="10" t="inlineStr">
        <is>
          <t>平日</t>
        </is>
      </c>
      <c r="C4858" s="10" t="inlineStr">
        <is>
          <t>本線</t>
        </is>
      </c>
      <c r="D4858" s="10" t="inlineStr">
        <is>
          <t>上り</t>
        </is>
      </c>
      <c r="E4858" t="inlineStr">
        <is>
          <t>1208</t>
        </is>
      </c>
      <c r="F4858" t="inlineStr">
        <is>
          <t>0211</t>
        </is>
      </c>
      <c r="G4858" s="10" t="inlineStr">
        <is>
          <t>車折</t>
        </is>
      </c>
      <c r="H4858" s="10" t="inlineStr">
        <is>
          <t>発</t>
        </is>
      </c>
      <c r="J4858" s="10" t="inlineStr">
        <is>
          <t>営業</t>
        </is>
      </c>
      <c r="L4858" t="inlineStr">
        <is>
          <t>12:36:40</t>
        </is>
      </c>
      <c r="M4858" t="inlineStr">
        <is>
          <t>12:37:10</t>
        </is>
      </c>
    </row>
    <row r="4859" ht="15" customHeight="1" s="37">
      <c r="A4859" t="n">
        <v>1</v>
      </c>
      <c r="B4859" s="10" t="inlineStr">
        <is>
          <t>平日</t>
        </is>
      </c>
      <c r="C4859" s="10" t="inlineStr">
        <is>
          <t>本線</t>
        </is>
      </c>
      <c r="D4859" s="10" t="inlineStr">
        <is>
          <t>上り</t>
        </is>
      </c>
      <c r="E4859" t="inlineStr">
        <is>
          <t>1208</t>
        </is>
      </c>
      <c r="F4859" t="inlineStr">
        <is>
          <t>0211</t>
        </is>
      </c>
      <c r="G4859" s="10" t="inlineStr">
        <is>
          <t>有栖川</t>
        </is>
      </c>
      <c r="H4859" s="10" t="inlineStr">
        <is>
          <t>発</t>
        </is>
      </c>
      <c r="J4859" s="10" t="inlineStr">
        <is>
          <t>営業</t>
        </is>
      </c>
      <c r="L4859" t="inlineStr">
        <is>
          <t>12:38:35</t>
        </is>
      </c>
      <c r="M4859" t="inlineStr">
        <is>
          <t>12:38:55</t>
        </is>
      </c>
    </row>
    <row r="4860" ht="15" customHeight="1" s="37">
      <c r="A4860" t="n">
        <v>1</v>
      </c>
      <c r="B4860" s="10" t="inlineStr">
        <is>
          <t>平日</t>
        </is>
      </c>
      <c r="C4860" s="10" t="inlineStr">
        <is>
          <t>本線</t>
        </is>
      </c>
      <c r="D4860" s="10" t="inlineStr">
        <is>
          <t>上り</t>
        </is>
      </c>
      <c r="E4860" t="inlineStr">
        <is>
          <t>1208</t>
        </is>
      </c>
      <c r="F4860" t="inlineStr">
        <is>
          <t>0211</t>
        </is>
      </c>
      <c r="G4860" s="10" t="inlineStr">
        <is>
          <t>帷子ノ辻</t>
        </is>
      </c>
      <c r="H4860" s="10" t="inlineStr">
        <is>
          <t>発</t>
        </is>
      </c>
      <c r="J4860" s="10" t="inlineStr">
        <is>
          <t>営業</t>
        </is>
      </c>
      <c r="L4860" t="inlineStr">
        <is>
          <t>12:40:10</t>
        </is>
      </c>
      <c r="M4860" t="inlineStr">
        <is>
          <t>12:41:15</t>
        </is>
      </c>
    </row>
    <row r="4861" ht="15" customHeight="1" s="37">
      <c r="A4861" t="n">
        <v>1</v>
      </c>
      <c r="B4861" s="10" t="inlineStr">
        <is>
          <t>平日</t>
        </is>
      </c>
      <c r="C4861" s="10" t="inlineStr">
        <is>
          <t>本線</t>
        </is>
      </c>
      <c r="D4861" s="10" t="inlineStr">
        <is>
          <t>上り</t>
        </is>
      </c>
      <c r="E4861" t="inlineStr">
        <is>
          <t>1208</t>
        </is>
      </c>
      <c r="F4861" t="inlineStr">
        <is>
          <t>0211</t>
        </is>
      </c>
      <c r="G4861" s="10" t="inlineStr">
        <is>
          <t>太秦広隆寺</t>
        </is>
      </c>
      <c r="H4861" s="10" t="inlineStr">
        <is>
          <t>発</t>
        </is>
      </c>
      <c r="J4861" s="10" t="inlineStr">
        <is>
          <t>営業</t>
        </is>
      </c>
      <c r="L4861" t="inlineStr">
        <is>
          <t>12:43:25</t>
        </is>
      </c>
      <c r="M4861" t="inlineStr">
        <is>
          <t>12:43:45</t>
        </is>
      </c>
    </row>
    <row r="4862" ht="15" customHeight="1" s="37">
      <c r="A4862" t="n">
        <v>1</v>
      </c>
      <c r="B4862" s="10" t="inlineStr">
        <is>
          <t>平日</t>
        </is>
      </c>
      <c r="C4862" s="10" t="inlineStr">
        <is>
          <t>本線</t>
        </is>
      </c>
      <c r="D4862" s="10" t="inlineStr">
        <is>
          <t>上り</t>
        </is>
      </c>
      <c r="E4862" t="inlineStr">
        <is>
          <t>1208</t>
        </is>
      </c>
      <c r="F4862" t="inlineStr">
        <is>
          <t>0211</t>
        </is>
      </c>
      <c r="G4862" s="10" t="inlineStr">
        <is>
          <t>蚕ノ社</t>
        </is>
      </c>
      <c r="H4862" s="10" t="inlineStr">
        <is>
          <t>発</t>
        </is>
      </c>
      <c r="J4862" s="10" t="inlineStr">
        <is>
          <t>営業</t>
        </is>
      </c>
      <c r="L4862" t="inlineStr">
        <is>
          <t>12:45:00</t>
        </is>
      </c>
      <c r="M4862" t="inlineStr">
        <is>
          <t>12:45:20</t>
        </is>
      </c>
    </row>
    <row r="4863" ht="15" customHeight="1" s="37">
      <c r="A4863" t="n">
        <v>1</v>
      </c>
      <c r="B4863" s="10" t="inlineStr">
        <is>
          <t>平日</t>
        </is>
      </c>
      <c r="C4863" s="10" t="inlineStr">
        <is>
          <t>本線</t>
        </is>
      </c>
      <c r="D4863" s="10" t="inlineStr">
        <is>
          <t>上り</t>
        </is>
      </c>
      <c r="E4863" t="inlineStr">
        <is>
          <t>1208</t>
        </is>
      </c>
      <c r="F4863" t="inlineStr">
        <is>
          <t>0211</t>
        </is>
      </c>
      <c r="G4863" s="10" t="inlineStr">
        <is>
          <t>天神川</t>
        </is>
      </c>
      <c r="H4863" s="10" t="inlineStr">
        <is>
          <t>発</t>
        </is>
      </c>
      <c r="J4863" s="10" t="inlineStr">
        <is>
          <t>営業</t>
        </is>
      </c>
      <c r="L4863" t="inlineStr">
        <is>
          <t>12:46:05</t>
        </is>
      </c>
      <c r="M4863" t="inlineStr">
        <is>
          <t>12:46:50</t>
        </is>
      </c>
    </row>
    <row r="4864" ht="15" customHeight="1" s="37">
      <c r="A4864" t="n">
        <v>1</v>
      </c>
      <c r="B4864" s="10" t="inlineStr">
        <is>
          <t>平日</t>
        </is>
      </c>
      <c r="C4864" s="10" t="inlineStr">
        <is>
          <t>本線</t>
        </is>
      </c>
      <c r="D4864" s="10" t="inlineStr">
        <is>
          <t>上り</t>
        </is>
      </c>
      <c r="E4864" t="inlineStr">
        <is>
          <t>1208</t>
        </is>
      </c>
      <c r="F4864" t="inlineStr">
        <is>
          <t>0211</t>
        </is>
      </c>
      <c r="G4864" s="10" t="inlineStr">
        <is>
          <t>山ノ内</t>
        </is>
      </c>
      <c r="H4864" s="10" t="inlineStr">
        <is>
          <t>発</t>
        </is>
      </c>
      <c r="J4864" s="10" t="inlineStr">
        <is>
          <t>営業</t>
        </is>
      </c>
      <c r="L4864" t="inlineStr">
        <is>
          <t>12:48:40</t>
        </is>
      </c>
      <c r="M4864" t="inlineStr">
        <is>
          <t>12:49:05</t>
        </is>
      </c>
    </row>
    <row r="4865" ht="15" customHeight="1" s="37">
      <c r="A4865" t="n">
        <v>1</v>
      </c>
      <c r="B4865" s="10" t="inlineStr">
        <is>
          <t>平日</t>
        </is>
      </c>
      <c r="C4865" s="10" t="inlineStr">
        <is>
          <t>本線</t>
        </is>
      </c>
      <c r="D4865" s="10" t="inlineStr">
        <is>
          <t>上り</t>
        </is>
      </c>
      <c r="E4865" t="inlineStr">
        <is>
          <t>1208</t>
        </is>
      </c>
      <c r="F4865" t="inlineStr">
        <is>
          <t>0211</t>
        </is>
      </c>
      <c r="G4865" s="10" t="inlineStr">
        <is>
          <t>西大路三条</t>
        </is>
      </c>
      <c r="H4865" s="10" t="inlineStr">
        <is>
          <t>発</t>
        </is>
      </c>
      <c r="J4865" s="10" t="inlineStr">
        <is>
          <t>営業</t>
        </is>
      </c>
      <c r="L4865" t="inlineStr">
        <is>
          <t>12:50:55</t>
        </is>
      </c>
      <c r="M4865" t="inlineStr">
        <is>
          <t>12:51:15</t>
        </is>
      </c>
    </row>
    <row r="4866" ht="15" customHeight="1" s="37">
      <c r="A4866" t="n">
        <v>1</v>
      </c>
      <c r="B4866" s="10" t="inlineStr">
        <is>
          <t>平日</t>
        </is>
      </c>
      <c r="C4866" s="10" t="inlineStr">
        <is>
          <t>本線</t>
        </is>
      </c>
      <c r="D4866" s="10" t="inlineStr">
        <is>
          <t>上り</t>
        </is>
      </c>
      <c r="E4866" t="inlineStr">
        <is>
          <t>1208</t>
        </is>
      </c>
      <c r="F4866" t="inlineStr">
        <is>
          <t>0211</t>
        </is>
      </c>
      <c r="G4866" s="10" t="inlineStr">
        <is>
          <t>西院</t>
        </is>
      </c>
      <c r="H4866" s="10" t="inlineStr">
        <is>
          <t>発</t>
        </is>
      </c>
      <c r="J4866" s="10" t="inlineStr">
        <is>
          <t>営業</t>
        </is>
      </c>
      <c r="L4866" t="inlineStr">
        <is>
          <t>12:53:10</t>
        </is>
      </c>
      <c r="M4866" t="inlineStr">
        <is>
          <t>12:54:05</t>
        </is>
      </c>
    </row>
    <row r="4867" ht="15" customHeight="1" s="37">
      <c r="A4867" t="n">
        <v>1</v>
      </c>
      <c r="B4867" s="10" t="inlineStr">
        <is>
          <t>平日</t>
        </is>
      </c>
      <c r="C4867" s="10" t="inlineStr">
        <is>
          <t>本線</t>
        </is>
      </c>
      <c r="D4867" s="10" t="inlineStr">
        <is>
          <t>上り</t>
        </is>
      </c>
      <c r="E4867" t="inlineStr">
        <is>
          <t>1208</t>
        </is>
      </c>
      <c r="F4867" t="inlineStr">
        <is>
          <t>0211</t>
        </is>
      </c>
      <c r="G4867" s="10" t="inlineStr">
        <is>
          <t>四条大宮</t>
        </is>
      </c>
      <c r="H4867" s="10" t="inlineStr">
        <is>
          <t>着</t>
        </is>
      </c>
      <c r="J4867" s="10" t="inlineStr">
        <is>
          <t>営業</t>
        </is>
      </c>
      <c r="L4867" t="inlineStr">
        <is>
          <t>12:57:00</t>
        </is>
      </c>
      <c r="Q4867" t="inlineStr">
        <is>
          <t>1</t>
        </is>
      </c>
    </row>
    <row r="4868" ht="15" customHeight="1" s="37">
      <c r="A4868" t="n">
        <v>1</v>
      </c>
      <c r="B4868" s="10" t="inlineStr">
        <is>
          <t>平日</t>
        </is>
      </c>
      <c r="C4868" s="10" t="inlineStr">
        <is>
          <t>本線</t>
        </is>
      </c>
      <c r="D4868" s="10" t="inlineStr">
        <is>
          <t>下り</t>
        </is>
      </c>
      <c r="E4868" t="inlineStr">
        <is>
          <t>1301</t>
        </is>
      </c>
      <c r="F4868" t="inlineStr">
        <is>
          <t>0112</t>
        </is>
      </c>
      <c r="G4868" s="10" t="inlineStr">
        <is>
          <t>四条大宮</t>
        </is>
      </c>
      <c r="H4868" s="10" t="inlineStr">
        <is>
          <t>発</t>
        </is>
      </c>
      <c r="J4868" s="10" t="inlineStr">
        <is>
          <t>営業</t>
        </is>
      </c>
      <c r="M4868" t="inlineStr">
        <is>
          <t>13:03:00</t>
        </is>
      </c>
      <c r="Q4868" t="inlineStr">
        <is>
          <t>1</t>
        </is>
      </c>
    </row>
    <row r="4869" ht="15" customHeight="1" s="37">
      <c r="A4869" t="n">
        <v>1</v>
      </c>
      <c r="B4869" s="10" t="inlineStr">
        <is>
          <t>平日</t>
        </is>
      </c>
      <c r="C4869" s="10" t="inlineStr">
        <is>
          <t>本線</t>
        </is>
      </c>
      <c r="D4869" s="10" t="inlineStr">
        <is>
          <t>下り</t>
        </is>
      </c>
      <c r="E4869" t="inlineStr">
        <is>
          <t>1301</t>
        </is>
      </c>
      <c r="F4869" t="inlineStr">
        <is>
          <t>0112</t>
        </is>
      </c>
      <c r="G4869" s="10" t="inlineStr">
        <is>
          <t>西院</t>
        </is>
      </c>
      <c r="H4869" s="10" t="inlineStr">
        <is>
          <t>発</t>
        </is>
      </c>
      <c r="J4869" s="10" t="inlineStr">
        <is>
          <t>営業</t>
        </is>
      </c>
      <c r="L4869" t="inlineStr">
        <is>
          <t>13:05:50</t>
        </is>
      </c>
      <c r="M4869" t="inlineStr">
        <is>
          <t>13:06:20</t>
        </is>
      </c>
    </row>
    <row r="4870" ht="15" customHeight="1" s="37">
      <c r="A4870" t="n">
        <v>1</v>
      </c>
      <c r="B4870" s="10" t="inlineStr">
        <is>
          <t>平日</t>
        </is>
      </c>
      <c r="C4870" s="10" t="inlineStr">
        <is>
          <t>本線</t>
        </is>
      </c>
      <c r="D4870" s="10" t="inlineStr">
        <is>
          <t>下り</t>
        </is>
      </c>
      <c r="E4870" t="inlineStr">
        <is>
          <t>1301</t>
        </is>
      </c>
      <c r="F4870" t="inlineStr">
        <is>
          <t>0112</t>
        </is>
      </c>
      <c r="G4870" s="10" t="inlineStr">
        <is>
          <t>西大路三条</t>
        </is>
      </c>
      <c r="H4870" s="10" t="inlineStr">
        <is>
          <t>発</t>
        </is>
      </c>
      <c r="J4870" s="10" t="inlineStr">
        <is>
          <t>営業</t>
        </is>
      </c>
      <c r="L4870" t="inlineStr">
        <is>
          <t>13:08:10</t>
        </is>
      </c>
      <c r="M4870" t="inlineStr">
        <is>
          <t>13:08:30</t>
        </is>
      </c>
    </row>
    <row r="4871" ht="15" customHeight="1" s="37">
      <c r="A4871" t="n">
        <v>1</v>
      </c>
      <c r="B4871" s="10" t="inlineStr">
        <is>
          <t>平日</t>
        </is>
      </c>
      <c r="C4871" s="10" t="inlineStr">
        <is>
          <t>本線</t>
        </is>
      </c>
      <c r="D4871" s="10" t="inlineStr">
        <is>
          <t>下り</t>
        </is>
      </c>
      <c r="E4871" t="inlineStr">
        <is>
          <t>1301</t>
        </is>
      </c>
      <c r="F4871" t="inlineStr">
        <is>
          <t>0112</t>
        </is>
      </c>
      <c r="G4871" s="10" t="inlineStr">
        <is>
          <t>山ノ内</t>
        </is>
      </c>
      <c r="H4871" s="10" t="inlineStr">
        <is>
          <t>発</t>
        </is>
      </c>
      <c r="J4871" s="10" t="inlineStr">
        <is>
          <t>営業</t>
        </is>
      </c>
      <c r="L4871" t="inlineStr">
        <is>
          <t>13:10:25</t>
        </is>
      </c>
      <c r="M4871" t="inlineStr">
        <is>
          <t>13:10:50</t>
        </is>
      </c>
    </row>
    <row r="4872" ht="15" customHeight="1" s="37">
      <c r="A4872" t="n">
        <v>1</v>
      </c>
      <c r="B4872" s="10" t="inlineStr">
        <is>
          <t>平日</t>
        </is>
      </c>
      <c r="C4872" s="10" t="inlineStr">
        <is>
          <t>本線</t>
        </is>
      </c>
      <c r="D4872" s="10" t="inlineStr">
        <is>
          <t>下り</t>
        </is>
      </c>
      <c r="E4872" t="inlineStr">
        <is>
          <t>1301</t>
        </is>
      </c>
      <c r="F4872" t="inlineStr">
        <is>
          <t>0112</t>
        </is>
      </c>
      <c r="G4872" s="10" t="inlineStr">
        <is>
          <t>天神川</t>
        </is>
      </c>
      <c r="H4872" s="10" t="inlineStr">
        <is>
          <t>発</t>
        </is>
      </c>
      <c r="J4872" s="10" t="inlineStr">
        <is>
          <t>営業</t>
        </is>
      </c>
      <c r="L4872" t="inlineStr">
        <is>
          <t>13:12:50</t>
        </is>
      </c>
      <c r="M4872" t="inlineStr">
        <is>
          <t>13:13:30</t>
        </is>
      </c>
    </row>
    <row r="4873" ht="15" customHeight="1" s="37">
      <c r="A4873" t="n">
        <v>1</v>
      </c>
      <c r="B4873" s="10" t="inlineStr">
        <is>
          <t>平日</t>
        </is>
      </c>
      <c r="C4873" s="10" t="inlineStr">
        <is>
          <t>本線</t>
        </is>
      </c>
      <c r="D4873" s="10" t="inlineStr">
        <is>
          <t>下り</t>
        </is>
      </c>
      <c r="E4873" t="inlineStr">
        <is>
          <t>1301</t>
        </is>
      </c>
      <c r="F4873" t="inlineStr">
        <is>
          <t>0112</t>
        </is>
      </c>
      <c r="G4873" s="10" t="inlineStr">
        <is>
          <t>蚕ノ社</t>
        </is>
      </c>
      <c r="H4873" s="10" t="inlineStr">
        <is>
          <t>発</t>
        </is>
      </c>
      <c r="J4873" s="10" t="inlineStr">
        <is>
          <t>営業</t>
        </is>
      </c>
      <c r="L4873" t="inlineStr">
        <is>
          <t>13:14:20</t>
        </is>
      </c>
      <c r="M4873" t="inlineStr">
        <is>
          <t>13:14:40</t>
        </is>
      </c>
    </row>
    <row r="4874" ht="15" customHeight="1" s="37">
      <c r="A4874" t="n">
        <v>1</v>
      </c>
      <c r="B4874" s="10" t="inlineStr">
        <is>
          <t>平日</t>
        </is>
      </c>
      <c r="C4874" s="10" t="inlineStr">
        <is>
          <t>本線</t>
        </is>
      </c>
      <c r="D4874" s="10" t="inlineStr">
        <is>
          <t>下り</t>
        </is>
      </c>
      <c r="E4874" t="inlineStr">
        <is>
          <t>1301</t>
        </is>
      </c>
      <c r="F4874" t="inlineStr">
        <is>
          <t>0112</t>
        </is>
      </c>
      <c r="G4874" s="10" t="inlineStr">
        <is>
          <t>太秦広隆寺</t>
        </is>
      </c>
      <c r="H4874" s="10" t="inlineStr">
        <is>
          <t>発</t>
        </is>
      </c>
      <c r="J4874" s="10" t="inlineStr">
        <is>
          <t>営業</t>
        </is>
      </c>
      <c r="L4874" t="inlineStr">
        <is>
          <t>13:16:00</t>
        </is>
      </c>
      <c r="M4874" t="inlineStr">
        <is>
          <t>13:16:20</t>
        </is>
      </c>
    </row>
    <row r="4875" ht="15" customHeight="1" s="37">
      <c r="A4875" t="n">
        <v>1</v>
      </c>
      <c r="B4875" s="10" t="inlineStr">
        <is>
          <t>平日</t>
        </is>
      </c>
      <c r="C4875" s="10" t="inlineStr">
        <is>
          <t>本線</t>
        </is>
      </c>
      <c r="D4875" s="10" t="inlineStr">
        <is>
          <t>下り</t>
        </is>
      </c>
      <c r="E4875" t="inlineStr">
        <is>
          <t>1301</t>
        </is>
      </c>
      <c r="F4875" t="inlineStr">
        <is>
          <t>0112</t>
        </is>
      </c>
      <c r="G4875" s="10" t="inlineStr">
        <is>
          <t>帷子ノ辻</t>
        </is>
      </c>
      <c r="H4875" s="10" t="inlineStr">
        <is>
          <t>発</t>
        </is>
      </c>
      <c r="J4875" s="10" t="inlineStr">
        <is>
          <t>営業</t>
        </is>
      </c>
      <c r="L4875" t="inlineStr">
        <is>
          <t>13:18:20</t>
        </is>
      </c>
      <c r="M4875" t="inlineStr">
        <is>
          <t>13:19:40</t>
        </is>
      </c>
    </row>
    <row r="4876" ht="15" customHeight="1" s="37">
      <c r="A4876" t="n">
        <v>1</v>
      </c>
      <c r="B4876" s="10" t="inlineStr">
        <is>
          <t>平日</t>
        </is>
      </c>
      <c r="C4876" s="10" t="inlineStr">
        <is>
          <t>本線</t>
        </is>
      </c>
      <c r="D4876" s="10" t="inlineStr">
        <is>
          <t>下り</t>
        </is>
      </c>
      <c r="E4876" t="inlineStr">
        <is>
          <t>1301</t>
        </is>
      </c>
      <c r="F4876" t="inlineStr">
        <is>
          <t>0112</t>
        </is>
      </c>
      <c r="G4876" s="10" t="inlineStr">
        <is>
          <t>有栖川</t>
        </is>
      </c>
      <c r="H4876" s="10" t="inlineStr">
        <is>
          <t>発</t>
        </is>
      </c>
      <c r="J4876" s="10" t="inlineStr">
        <is>
          <t>営業</t>
        </is>
      </c>
      <c r="L4876" t="inlineStr">
        <is>
          <t>13:20:50</t>
        </is>
      </c>
      <c r="M4876" t="inlineStr">
        <is>
          <t>13:21:15</t>
        </is>
      </c>
    </row>
    <row r="4877" ht="15" customHeight="1" s="37">
      <c r="A4877" t="n">
        <v>1</v>
      </c>
      <c r="B4877" s="10" t="inlineStr">
        <is>
          <t>平日</t>
        </is>
      </c>
      <c r="C4877" s="10" t="inlineStr">
        <is>
          <t>本線</t>
        </is>
      </c>
      <c r="D4877" s="10" t="inlineStr">
        <is>
          <t>下り</t>
        </is>
      </c>
      <c r="E4877" t="inlineStr">
        <is>
          <t>1301</t>
        </is>
      </c>
      <c r="F4877" t="inlineStr">
        <is>
          <t>0112</t>
        </is>
      </c>
      <c r="G4877" s="10" t="inlineStr">
        <is>
          <t>車折</t>
        </is>
      </c>
      <c r="H4877" s="10" t="inlineStr">
        <is>
          <t>発</t>
        </is>
      </c>
      <c r="J4877" s="10" t="inlineStr">
        <is>
          <t>営業</t>
        </is>
      </c>
      <c r="L4877" t="inlineStr">
        <is>
          <t>13:22:40</t>
        </is>
      </c>
      <c r="M4877" t="inlineStr">
        <is>
          <t>13:23:05</t>
        </is>
      </c>
    </row>
    <row r="4878" ht="15" customHeight="1" s="37">
      <c r="A4878" t="n">
        <v>1</v>
      </c>
      <c r="B4878" s="10" t="inlineStr">
        <is>
          <t>平日</t>
        </is>
      </c>
      <c r="C4878" s="10" t="inlineStr">
        <is>
          <t>本線</t>
        </is>
      </c>
      <c r="D4878" s="10" t="inlineStr">
        <is>
          <t>下り</t>
        </is>
      </c>
      <c r="E4878" t="inlineStr">
        <is>
          <t>1301</t>
        </is>
      </c>
      <c r="F4878" t="inlineStr">
        <is>
          <t>0112</t>
        </is>
      </c>
      <c r="G4878" s="10" t="inlineStr">
        <is>
          <t>鹿王院</t>
        </is>
      </c>
      <c r="H4878" s="10" t="inlineStr">
        <is>
          <t>発</t>
        </is>
      </c>
      <c r="J4878" s="10" t="inlineStr">
        <is>
          <t>営業</t>
        </is>
      </c>
      <c r="L4878" t="inlineStr">
        <is>
          <t>13:24:00</t>
        </is>
      </c>
      <c r="M4878" t="inlineStr">
        <is>
          <t>13:24:25</t>
        </is>
      </c>
    </row>
    <row r="4879" ht="15" customHeight="1" s="37">
      <c r="A4879" t="n">
        <v>1</v>
      </c>
      <c r="B4879" s="10" t="inlineStr">
        <is>
          <t>平日</t>
        </is>
      </c>
      <c r="C4879" s="10" t="inlineStr">
        <is>
          <t>本線</t>
        </is>
      </c>
      <c r="D4879" s="10" t="inlineStr">
        <is>
          <t>下り</t>
        </is>
      </c>
      <c r="E4879" t="inlineStr">
        <is>
          <t>1301</t>
        </is>
      </c>
      <c r="F4879" t="inlineStr">
        <is>
          <t>0112</t>
        </is>
      </c>
      <c r="G4879" s="10" t="inlineStr">
        <is>
          <t>嵯峨</t>
        </is>
      </c>
      <c r="H4879" s="10" t="inlineStr">
        <is>
          <t>発</t>
        </is>
      </c>
      <c r="J4879" s="10" t="inlineStr">
        <is>
          <t>営業</t>
        </is>
      </c>
      <c r="L4879" t="inlineStr">
        <is>
          <t>13:25:30</t>
        </is>
      </c>
      <c r="M4879" t="inlineStr">
        <is>
          <t>13:25:55</t>
        </is>
      </c>
    </row>
    <row r="4880" ht="15" customHeight="1" s="37">
      <c r="A4880" t="n">
        <v>1</v>
      </c>
      <c r="B4880" s="10" t="inlineStr">
        <is>
          <t>平日</t>
        </is>
      </c>
      <c r="C4880" s="10" t="inlineStr">
        <is>
          <t>本線</t>
        </is>
      </c>
      <c r="D4880" s="10" t="inlineStr">
        <is>
          <t>下り</t>
        </is>
      </c>
      <c r="E4880" t="inlineStr">
        <is>
          <t>1301</t>
        </is>
      </c>
      <c r="F4880" t="inlineStr">
        <is>
          <t>0112</t>
        </is>
      </c>
      <c r="G4880" s="10" t="inlineStr">
        <is>
          <t>嵐山</t>
        </is>
      </c>
      <c r="H4880" s="10" t="inlineStr">
        <is>
          <t>着</t>
        </is>
      </c>
      <c r="J4880" s="10" t="inlineStr">
        <is>
          <t>営業</t>
        </is>
      </c>
      <c r="L4880" t="inlineStr">
        <is>
          <t>13:27:00</t>
        </is>
      </c>
      <c r="Q4880" t="inlineStr">
        <is>
          <t>1</t>
        </is>
      </c>
    </row>
    <row r="4881" ht="15" customHeight="1" s="37">
      <c r="A4881" t="n">
        <v>1</v>
      </c>
      <c r="B4881" s="10" t="inlineStr">
        <is>
          <t>平日</t>
        </is>
      </c>
      <c r="C4881" s="10" t="inlineStr">
        <is>
          <t>本線</t>
        </is>
      </c>
      <c r="D4881" s="10" t="inlineStr">
        <is>
          <t>上り</t>
        </is>
      </c>
      <c r="E4881" t="inlineStr">
        <is>
          <t>1308</t>
        </is>
      </c>
      <c r="F4881" t="inlineStr">
        <is>
          <t>0211</t>
        </is>
      </c>
      <c r="G4881" s="10" t="inlineStr">
        <is>
          <t>嵐山</t>
        </is>
      </c>
      <c r="H4881" s="10" t="inlineStr">
        <is>
          <t>発</t>
        </is>
      </c>
      <c r="J4881" s="10" t="inlineStr">
        <is>
          <t>営業</t>
        </is>
      </c>
      <c r="M4881" t="inlineStr">
        <is>
          <t>13:33:00</t>
        </is>
      </c>
      <c r="Q4881" t="inlineStr">
        <is>
          <t>1</t>
        </is>
      </c>
    </row>
    <row r="4882" ht="15" customHeight="1" s="37">
      <c r="A4882" t="n">
        <v>1</v>
      </c>
      <c r="B4882" s="10" t="inlineStr">
        <is>
          <t>平日</t>
        </is>
      </c>
      <c r="C4882" s="10" t="inlineStr">
        <is>
          <t>本線</t>
        </is>
      </c>
      <c r="D4882" s="10" t="inlineStr">
        <is>
          <t>上り</t>
        </is>
      </c>
      <c r="E4882" t="inlineStr">
        <is>
          <t>1308</t>
        </is>
      </c>
      <c r="F4882" t="inlineStr">
        <is>
          <t>0211</t>
        </is>
      </c>
      <c r="G4882" s="10" t="inlineStr">
        <is>
          <t>嵯峨</t>
        </is>
      </c>
      <c r="H4882" s="10" t="inlineStr">
        <is>
          <t>発</t>
        </is>
      </c>
      <c r="J4882" s="10" t="inlineStr">
        <is>
          <t>営業</t>
        </is>
      </c>
      <c r="L4882" t="inlineStr">
        <is>
          <t>13:33:55</t>
        </is>
      </c>
      <c r="M4882" t="inlineStr">
        <is>
          <t>13:34:20</t>
        </is>
      </c>
    </row>
    <row r="4883" ht="15" customHeight="1" s="37">
      <c r="A4883" t="n">
        <v>1</v>
      </c>
      <c r="B4883" s="10" t="inlineStr">
        <is>
          <t>平日</t>
        </is>
      </c>
      <c r="C4883" s="10" t="inlineStr">
        <is>
          <t>本線</t>
        </is>
      </c>
      <c r="D4883" s="10" t="inlineStr">
        <is>
          <t>上り</t>
        </is>
      </c>
      <c r="E4883" t="inlineStr">
        <is>
          <t>1308</t>
        </is>
      </c>
      <c r="F4883" t="inlineStr">
        <is>
          <t>0211</t>
        </is>
      </c>
      <c r="G4883" s="10" t="inlineStr">
        <is>
          <t>鹿王院</t>
        </is>
      </c>
      <c r="H4883" s="10" t="inlineStr">
        <is>
          <t>発</t>
        </is>
      </c>
      <c r="J4883" s="10" t="inlineStr">
        <is>
          <t>営業</t>
        </is>
      </c>
      <c r="L4883" t="inlineStr">
        <is>
          <t>13:35:25</t>
        </is>
      </c>
      <c r="M4883" t="inlineStr">
        <is>
          <t>13:35:45</t>
        </is>
      </c>
    </row>
    <row r="4884" ht="15" customHeight="1" s="37">
      <c r="A4884" t="n">
        <v>1</v>
      </c>
      <c r="B4884" s="10" t="inlineStr">
        <is>
          <t>平日</t>
        </is>
      </c>
      <c r="C4884" s="10" t="inlineStr">
        <is>
          <t>本線</t>
        </is>
      </c>
      <c r="D4884" s="10" t="inlineStr">
        <is>
          <t>上り</t>
        </is>
      </c>
      <c r="E4884" t="inlineStr">
        <is>
          <t>1308</t>
        </is>
      </c>
      <c r="F4884" t="inlineStr">
        <is>
          <t>0211</t>
        </is>
      </c>
      <c r="G4884" s="10" t="inlineStr">
        <is>
          <t>車折</t>
        </is>
      </c>
      <c r="H4884" s="10" t="inlineStr">
        <is>
          <t>発</t>
        </is>
      </c>
      <c r="J4884" s="10" t="inlineStr">
        <is>
          <t>営業</t>
        </is>
      </c>
      <c r="L4884" t="inlineStr">
        <is>
          <t>13:36:40</t>
        </is>
      </c>
      <c r="M4884" t="inlineStr">
        <is>
          <t>13:37:10</t>
        </is>
      </c>
    </row>
    <row r="4885" ht="15" customHeight="1" s="37">
      <c r="A4885" t="n">
        <v>1</v>
      </c>
      <c r="B4885" s="10" t="inlineStr">
        <is>
          <t>平日</t>
        </is>
      </c>
      <c r="C4885" s="10" t="inlineStr">
        <is>
          <t>本線</t>
        </is>
      </c>
      <c r="D4885" s="10" t="inlineStr">
        <is>
          <t>上り</t>
        </is>
      </c>
      <c r="E4885" t="inlineStr">
        <is>
          <t>1308</t>
        </is>
      </c>
      <c r="F4885" t="inlineStr">
        <is>
          <t>0211</t>
        </is>
      </c>
      <c r="G4885" s="10" t="inlineStr">
        <is>
          <t>有栖川</t>
        </is>
      </c>
      <c r="H4885" s="10" t="inlineStr">
        <is>
          <t>発</t>
        </is>
      </c>
      <c r="J4885" s="10" t="inlineStr">
        <is>
          <t>営業</t>
        </is>
      </c>
      <c r="L4885" t="inlineStr">
        <is>
          <t>13:38:35</t>
        </is>
      </c>
      <c r="M4885" t="inlineStr">
        <is>
          <t>13:38:55</t>
        </is>
      </c>
    </row>
    <row r="4886" ht="15" customHeight="1" s="37">
      <c r="A4886" t="n">
        <v>1</v>
      </c>
      <c r="B4886" s="10" t="inlineStr">
        <is>
          <t>平日</t>
        </is>
      </c>
      <c r="C4886" s="10" t="inlineStr">
        <is>
          <t>本線</t>
        </is>
      </c>
      <c r="D4886" s="10" t="inlineStr">
        <is>
          <t>上り</t>
        </is>
      </c>
      <c r="E4886" t="inlineStr">
        <is>
          <t>1308</t>
        </is>
      </c>
      <c r="F4886" t="inlineStr">
        <is>
          <t>0211</t>
        </is>
      </c>
      <c r="G4886" s="10" t="inlineStr">
        <is>
          <t>帷子ノ辻</t>
        </is>
      </c>
      <c r="H4886" s="10" t="inlineStr">
        <is>
          <t>発</t>
        </is>
      </c>
      <c r="J4886" s="10" t="inlineStr">
        <is>
          <t>営業</t>
        </is>
      </c>
      <c r="L4886" t="inlineStr">
        <is>
          <t>13:40:10</t>
        </is>
      </c>
      <c r="M4886" t="inlineStr">
        <is>
          <t>13:41:15</t>
        </is>
      </c>
    </row>
    <row r="4887" ht="15" customHeight="1" s="37">
      <c r="A4887" t="n">
        <v>1</v>
      </c>
      <c r="B4887" s="10" t="inlineStr">
        <is>
          <t>平日</t>
        </is>
      </c>
      <c r="C4887" s="10" t="inlineStr">
        <is>
          <t>本線</t>
        </is>
      </c>
      <c r="D4887" s="10" t="inlineStr">
        <is>
          <t>上り</t>
        </is>
      </c>
      <c r="E4887" t="inlineStr">
        <is>
          <t>1308</t>
        </is>
      </c>
      <c r="F4887" t="inlineStr">
        <is>
          <t>0211</t>
        </is>
      </c>
      <c r="G4887" s="10" t="inlineStr">
        <is>
          <t>太秦広隆寺</t>
        </is>
      </c>
      <c r="H4887" s="10" t="inlineStr">
        <is>
          <t>発</t>
        </is>
      </c>
      <c r="J4887" s="10" t="inlineStr">
        <is>
          <t>営業</t>
        </is>
      </c>
      <c r="L4887" t="inlineStr">
        <is>
          <t>13:43:25</t>
        </is>
      </c>
      <c r="M4887" t="inlineStr">
        <is>
          <t>13:43:45</t>
        </is>
      </c>
    </row>
    <row r="4888" ht="15" customHeight="1" s="37">
      <c r="A4888" t="n">
        <v>1</v>
      </c>
      <c r="B4888" s="10" t="inlineStr">
        <is>
          <t>平日</t>
        </is>
      </c>
      <c r="C4888" s="10" t="inlineStr">
        <is>
          <t>本線</t>
        </is>
      </c>
      <c r="D4888" s="10" t="inlineStr">
        <is>
          <t>上り</t>
        </is>
      </c>
      <c r="E4888" t="inlineStr">
        <is>
          <t>1308</t>
        </is>
      </c>
      <c r="F4888" t="inlineStr">
        <is>
          <t>0211</t>
        </is>
      </c>
      <c r="G4888" s="10" t="inlineStr">
        <is>
          <t>蚕ノ社</t>
        </is>
      </c>
      <c r="H4888" s="10" t="inlineStr">
        <is>
          <t>発</t>
        </is>
      </c>
      <c r="J4888" s="10" t="inlineStr">
        <is>
          <t>営業</t>
        </is>
      </c>
      <c r="L4888" t="inlineStr">
        <is>
          <t>13:45:00</t>
        </is>
      </c>
      <c r="M4888" t="inlineStr">
        <is>
          <t>13:45:20</t>
        </is>
      </c>
    </row>
    <row r="4889" ht="15" customHeight="1" s="37">
      <c r="A4889" t="n">
        <v>1</v>
      </c>
      <c r="B4889" s="10" t="inlineStr">
        <is>
          <t>平日</t>
        </is>
      </c>
      <c r="C4889" s="10" t="inlineStr">
        <is>
          <t>本線</t>
        </is>
      </c>
      <c r="D4889" s="10" t="inlineStr">
        <is>
          <t>上り</t>
        </is>
      </c>
      <c r="E4889" t="inlineStr">
        <is>
          <t>1308</t>
        </is>
      </c>
      <c r="F4889" t="inlineStr">
        <is>
          <t>0211</t>
        </is>
      </c>
      <c r="G4889" s="10" t="inlineStr">
        <is>
          <t>天神川</t>
        </is>
      </c>
      <c r="H4889" s="10" t="inlineStr">
        <is>
          <t>発</t>
        </is>
      </c>
      <c r="J4889" s="10" t="inlineStr">
        <is>
          <t>営業</t>
        </is>
      </c>
      <c r="L4889" t="inlineStr">
        <is>
          <t>13:46:05</t>
        </is>
      </c>
      <c r="M4889" t="inlineStr">
        <is>
          <t>13:46:50</t>
        </is>
      </c>
    </row>
    <row r="4890" ht="15" customHeight="1" s="37">
      <c r="A4890" t="n">
        <v>1</v>
      </c>
      <c r="B4890" s="10" t="inlineStr">
        <is>
          <t>平日</t>
        </is>
      </c>
      <c r="C4890" s="10" t="inlineStr">
        <is>
          <t>本線</t>
        </is>
      </c>
      <c r="D4890" s="10" t="inlineStr">
        <is>
          <t>上り</t>
        </is>
      </c>
      <c r="E4890" t="inlineStr">
        <is>
          <t>1308</t>
        </is>
      </c>
      <c r="F4890" t="inlineStr">
        <is>
          <t>0211</t>
        </is>
      </c>
      <c r="G4890" s="10" t="inlineStr">
        <is>
          <t>山ノ内</t>
        </is>
      </c>
      <c r="H4890" s="10" t="inlineStr">
        <is>
          <t>発</t>
        </is>
      </c>
      <c r="J4890" s="10" t="inlineStr">
        <is>
          <t>営業</t>
        </is>
      </c>
      <c r="L4890" t="inlineStr">
        <is>
          <t>13:48:40</t>
        </is>
      </c>
      <c r="M4890" t="inlineStr">
        <is>
          <t>13:49:05</t>
        </is>
      </c>
    </row>
    <row r="4891" ht="15" customHeight="1" s="37">
      <c r="A4891" t="n">
        <v>1</v>
      </c>
      <c r="B4891" s="10" t="inlineStr">
        <is>
          <t>平日</t>
        </is>
      </c>
      <c r="C4891" s="10" t="inlineStr">
        <is>
          <t>本線</t>
        </is>
      </c>
      <c r="D4891" s="10" t="inlineStr">
        <is>
          <t>上り</t>
        </is>
      </c>
      <c r="E4891" t="inlineStr">
        <is>
          <t>1308</t>
        </is>
      </c>
      <c r="F4891" t="inlineStr">
        <is>
          <t>0211</t>
        </is>
      </c>
      <c r="G4891" s="10" t="inlineStr">
        <is>
          <t>西大路三条</t>
        </is>
      </c>
      <c r="H4891" s="10" t="inlineStr">
        <is>
          <t>発</t>
        </is>
      </c>
      <c r="J4891" s="10" t="inlineStr">
        <is>
          <t>営業</t>
        </is>
      </c>
      <c r="L4891" t="inlineStr">
        <is>
          <t>13:50:55</t>
        </is>
      </c>
      <c r="M4891" t="inlineStr">
        <is>
          <t>13:51:15</t>
        </is>
      </c>
    </row>
    <row r="4892" ht="15" customHeight="1" s="37">
      <c r="A4892" t="n">
        <v>1</v>
      </c>
      <c r="B4892" s="10" t="inlineStr">
        <is>
          <t>平日</t>
        </is>
      </c>
      <c r="C4892" s="10" t="inlineStr">
        <is>
          <t>本線</t>
        </is>
      </c>
      <c r="D4892" s="10" t="inlineStr">
        <is>
          <t>上り</t>
        </is>
      </c>
      <c r="E4892" t="inlineStr">
        <is>
          <t>1308</t>
        </is>
      </c>
      <c r="F4892" t="inlineStr">
        <is>
          <t>0211</t>
        </is>
      </c>
      <c r="G4892" s="10" t="inlineStr">
        <is>
          <t>西院</t>
        </is>
      </c>
      <c r="H4892" s="10" t="inlineStr">
        <is>
          <t>発</t>
        </is>
      </c>
      <c r="J4892" s="10" t="inlineStr">
        <is>
          <t>営業</t>
        </is>
      </c>
      <c r="L4892" t="inlineStr">
        <is>
          <t>13:53:10</t>
        </is>
      </c>
      <c r="M4892" t="inlineStr">
        <is>
          <t>13:54:05</t>
        </is>
      </c>
    </row>
    <row r="4893" ht="15" customHeight="1" s="37">
      <c r="A4893" t="n">
        <v>1</v>
      </c>
      <c r="B4893" s="10" t="inlineStr">
        <is>
          <t>平日</t>
        </is>
      </c>
      <c r="C4893" s="10" t="inlineStr">
        <is>
          <t>本線</t>
        </is>
      </c>
      <c r="D4893" s="10" t="inlineStr">
        <is>
          <t>上り</t>
        </is>
      </c>
      <c r="E4893" t="inlineStr">
        <is>
          <t>1308</t>
        </is>
      </c>
      <c r="F4893" t="inlineStr">
        <is>
          <t>0211</t>
        </is>
      </c>
      <c r="G4893" s="10" t="inlineStr">
        <is>
          <t>四条大宮</t>
        </is>
      </c>
      <c r="H4893" s="10" t="inlineStr">
        <is>
          <t>着</t>
        </is>
      </c>
      <c r="J4893" s="10" t="inlineStr">
        <is>
          <t>営業</t>
        </is>
      </c>
      <c r="L4893" t="inlineStr">
        <is>
          <t>13:57:00</t>
        </is>
      </c>
      <c r="Q4893" t="inlineStr">
        <is>
          <t>1</t>
        </is>
      </c>
    </row>
    <row r="4894" ht="15" customHeight="1" s="37">
      <c r="A4894" t="n">
        <v>1</v>
      </c>
      <c r="B4894" s="10" t="inlineStr">
        <is>
          <t>平日</t>
        </is>
      </c>
      <c r="C4894" s="10" t="inlineStr">
        <is>
          <t>本線</t>
        </is>
      </c>
      <c r="D4894" s="10" t="inlineStr">
        <is>
          <t>下り</t>
        </is>
      </c>
      <c r="E4894" t="inlineStr">
        <is>
          <t>1401</t>
        </is>
      </c>
      <c r="F4894" t="inlineStr">
        <is>
          <t>0112</t>
        </is>
      </c>
      <c r="G4894" s="10" t="inlineStr">
        <is>
          <t>四条大宮</t>
        </is>
      </c>
      <c r="H4894" s="10" t="inlineStr">
        <is>
          <t>発</t>
        </is>
      </c>
      <c r="J4894" s="10" t="inlineStr">
        <is>
          <t>営業</t>
        </is>
      </c>
      <c r="M4894" t="inlineStr">
        <is>
          <t>14:03:00</t>
        </is>
      </c>
      <c r="Q4894" t="inlineStr">
        <is>
          <t>1</t>
        </is>
      </c>
    </row>
    <row r="4895" ht="15" customHeight="1" s="37">
      <c r="A4895" t="n">
        <v>1</v>
      </c>
      <c r="B4895" s="10" t="inlineStr">
        <is>
          <t>平日</t>
        </is>
      </c>
      <c r="C4895" s="10" t="inlineStr">
        <is>
          <t>本線</t>
        </is>
      </c>
      <c r="D4895" s="10" t="inlineStr">
        <is>
          <t>下り</t>
        </is>
      </c>
      <c r="E4895" t="inlineStr">
        <is>
          <t>1401</t>
        </is>
      </c>
      <c r="F4895" t="inlineStr">
        <is>
          <t>0112</t>
        </is>
      </c>
      <c r="G4895" s="10" t="inlineStr">
        <is>
          <t>西院</t>
        </is>
      </c>
      <c r="H4895" s="10" t="inlineStr">
        <is>
          <t>着</t>
        </is>
      </c>
      <c r="J4895" s="10" t="inlineStr">
        <is>
          <t>営業</t>
        </is>
      </c>
      <c r="L4895" t="inlineStr">
        <is>
          <t>14:05:50</t>
        </is>
      </c>
      <c r="M4895" t="inlineStr">
        <is>
          <t>14:06:20</t>
        </is>
      </c>
      <c r="T4895" t="inlineStr">
        <is>
          <t>○</t>
        </is>
      </c>
    </row>
    <row r="4896" ht="15" customHeight="1" s="37">
      <c r="A4896" t="n">
        <v>1</v>
      </c>
      <c r="B4896" s="10" t="inlineStr">
        <is>
          <t>平日</t>
        </is>
      </c>
      <c r="C4896" s="10" t="inlineStr">
        <is>
          <t>本線</t>
        </is>
      </c>
      <c r="D4896" s="10" t="inlineStr">
        <is>
          <t>下り</t>
        </is>
      </c>
      <c r="E4896" s="10" t="inlineStr">
        <is>
          <t>連0503</t>
        </is>
      </c>
      <c r="F4896" t="inlineStr">
        <is>
          <t>0502</t>
        </is>
      </c>
      <c r="G4896" s="10" t="inlineStr">
        <is>
          <t>西院</t>
        </is>
      </c>
      <c r="H4896" s="10" t="inlineStr">
        <is>
          <t>発</t>
        </is>
      </c>
      <c r="J4896" s="10" t="inlineStr">
        <is>
          <t>営業</t>
        </is>
      </c>
      <c r="M4896" t="inlineStr">
        <is>
          <t>5:45:20</t>
        </is>
      </c>
      <c r="P4896" t="inlineStr">
        <is>
          <t>B系統(朝)</t>
        </is>
      </c>
    </row>
    <row r="4897" ht="15" customHeight="1" s="37">
      <c r="A4897" t="n">
        <v>1</v>
      </c>
      <c r="B4897" s="10" t="inlineStr">
        <is>
          <t>平日</t>
        </is>
      </c>
      <c r="C4897" s="10" t="inlineStr">
        <is>
          <t>本線</t>
        </is>
      </c>
      <c r="D4897" s="10" t="inlineStr">
        <is>
          <t>下り</t>
        </is>
      </c>
      <c r="E4897" s="10" t="inlineStr">
        <is>
          <t>連0503</t>
        </is>
      </c>
      <c r="F4897" t="inlineStr">
        <is>
          <t>0502</t>
        </is>
      </c>
      <c r="G4897" s="10" t="inlineStr">
        <is>
          <t>西大路三条</t>
        </is>
      </c>
      <c r="H4897" s="10" t="inlineStr">
        <is>
          <t>発</t>
        </is>
      </c>
      <c r="J4897" s="10" t="inlineStr">
        <is>
          <t>営業</t>
        </is>
      </c>
      <c r="L4897" t="inlineStr">
        <is>
          <t>5:47:10</t>
        </is>
      </c>
      <c r="M4897" t="inlineStr">
        <is>
          <t>5:47:25</t>
        </is>
      </c>
      <c r="P4897" t="inlineStr">
        <is>
          <t>B系統(朝)</t>
        </is>
      </c>
    </row>
    <row r="4898" ht="15" customHeight="1" s="37">
      <c r="A4898" t="n">
        <v>1</v>
      </c>
      <c r="B4898" s="10" t="inlineStr">
        <is>
          <t>平日</t>
        </is>
      </c>
      <c r="C4898" s="10" t="inlineStr">
        <is>
          <t>本線</t>
        </is>
      </c>
      <c r="D4898" s="10" t="inlineStr">
        <is>
          <t>下り</t>
        </is>
      </c>
      <c r="E4898" s="10" t="inlineStr">
        <is>
          <t>連0503</t>
        </is>
      </c>
      <c r="F4898" t="inlineStr">
        <is>
          <t>0502</t>
        </is>
      </c>
      <c r="G4898" s="10" t="inlineStr">
        <is>
          <t>山ノ内</t>
        </is>
      </c>
      <c r="H4898" s="10" t="inlineStr">
        <is>
          <t>発</t>
        </is>
      </c>
      <c r="J4898" s="10" t="inlineStr">
        <is>
          <t>営業</t>
        </is>
      </c>
      <c r="L4898" t="inlineStr">
        <is>
          <t>5:49:20</t>
        </is>
      </c>
      <c r="M4898" t="inlineStr">
        <is>
          <t>5:49:45</t>
        </is>
      </c>
      <c r="P4898" t="inlineStr">
        <is>
          <t>B系統(朝)</t>
        </is>
      </c>
    </row>
    <row r="4899" ht="15" customHeight="1" s="37">
      <c r="A4899" t="n">
        <v>1</v>
      </c>
      <c r="B4899" s="10" t="inlineStr">
        <is>
          <t>平日</t>
        </is>
      </c>
      <c r="C4899" s="10" t="inlineStr">
        <is>
          <t>本線</t>
        </is>
      </c>
      <c r="D4899" s="10" t="inlineStr">
        <is>
          <t>下り</t>
        </is>
      </c>
      <c r="E4899" s="10" t="inlineStr">
        <is>
          <t>連0503</t>
        </is>
      </c>
      <c r="F4899" t="inlineStr">
        <is>
          <t>0502</t>
        </is>
      </c>
      <c r="G4899" s="10" t="inlineStr">
        <is>
          <t>天神川</t>
        </is>
      </c>
      <c r="H4899" s="10" t="inlineStr">
        <is>
          <t>発</t>
        </is>
      </c>
      <c r="J4899" s="10" t="inlineStr">
        <is>
          <t>営業</t>
        </is>
      </c>
      <c r="L4899" t="inlineStr">
        <is>
          <t>5:51:45</t>
        </is>
      </c>
      <c r="M4899" t="inlineStr">
        <is>
          <t>5:52:10</t>
        </is>
      </c>
      <c r="P4899" t="inlineStr">
        <is>
          <t>B系統(朝)</t>
        </is>
      </c>
    </row>
    <row r="4900" ht="15" customHeight="1" s="37">
      <c r="A4900" t="n">
        <v>1</v>
      </c>
      <c r="B4900" s="10" t="inlineStr">
        <is>
          <t>平日</t>
        </is>
      </c>
      <c r="C4900" s="10" t="inlineStr">
        <is>
          <t>本線</t>
        </is>
      </c>
      <c r="D4900" s="10" t="inlineStr">
        <is>
          <t>下り</t>
        </is>
      </c>
      <c r="E4900" s="10" t="inlineStr">
        <is>
          <t>連0503</t>
        </is>
      </c>
      <c r="F4900" t="inlineStr">
        <is>
          <t>0502</t>
        </is>
      </c>
      <c r="G4900" s="10" t="inlineStr">
        <is>
          <t>蚕ノ社</t>
        </is>
      </c>
      <c r="H4900" s="10" t="inlineStr">
        <is>
          <t>発</t>
        </is>
      </c>
      <c r="J4900" s="10" t="inlineStr">
        <is>
          <t>営業</t>
        </is>
      </c>
      <c r="L4900" t="inlineStr">
        <is>
          <t>5:53:00</t>
        </is>
      </c>
      <c r="M4900" t="inlineStr">
        <is>
          <t>5:53:15</t>
        </is>
      </c>
      <c r="P4900" t="inlineStr">
        <is>
          <t>B系統(朝)</t>
        </is>
      </c>
    </row>
    <row r="4901" ht="15" customHeight="1" s="37">
      <c r="A4901" t="n">
        <v>1</v>
      </c>
      <c r="B4901" s="10" t="inlineStr">
        <is>
          <t>平日</t>
        </is>
      </c>
      <c r="C4901" s="10" t="inlineStr">
        <is>
          <t>本線</t>
        </is>
      </c>
      <c r="D4901" s="10" t="inlineStr">
        <is>
          <t>下り</t>
        </is>
      </c>
      <c r="E4901" s="10" t="inlineStr">
        <is>
          <t>連0503</t>
        </is>
      </c>
      <c r="F4901" t="inlineStr">
        <is>
          <t>0502</t>
        </is>
      </c>
      <c r="G4901" s="10" t="inlineStr">
        <is>
          <t>太秦広隆寺</t>
        </is>
      </c>
      <c r="H4901" s="10" t="inlineStr">
        <is>
          <t>発</t>
        </is>
      </c>
      <c r="J4901" s="10" t="inlineStr">
        <is>
          <t>営業</t>
        </is>
      </c>
      <c r="L4901" t="inlineStr">
        <is>
          <t>5:54:35</t>
        </is>
      </c>
      <c r="M4901" t="inlineStr">
        <is>
          <t>5:54:50</t>
        </is>
      </c>
      <c r="P4901" t="inlineStr">
        <is>
          <t>B系統(朝)</t>
        </is>
      </c>
    </row>
    <row r="4902" ht="15" customHeight="1" s="37">
      <c r="A4902" t="n">
        <v>1</v>
      </c>
      <c r="B4902" s="10" t="inlineStr">
        <is>
          <t>平日</t>
        </is>
      </c>
      <c r="C4902" s="10" t="inlineStr">
        <is>
          <t>本線</t>
        </is>
      </c>
      <c r="D4902" s="10" t="inlineStr">
        <is>
          <t>下り</t>
        </is>
      </c>
      <c r="E4902" s="10" t="inlineStr">
        <is>
          <t>連0503</t>
        </is>
      </c>
      <c r="F4902" t="inlineStr">
        <is>
          <t>0502</t>
        </is>
      </c>
      <c r="G4902" s="10" t="inlineStr">
        <is>
          <t>帷子ノ辻</t>
        </is>
      </c>
      <c r="H4902" s="10" t="inlineStr">
        <is>
          <t>発</t>
        </is>
      </c>
      <c r="J4902" s="10" t="inlineStr">
        <is>
          <t>営業</t>
        </is>
      </c>
      <c r="L4902" t="inlineStr">
        <is>
          <t>5:56:50</t>
        </is>
      </c>
      <c r="M4902" t="inlineStr">
        <is>
          <t>5:57:20</t>
        </is>
      </c>
      <c r="N4902" t="inlineStr">
        <is>
          <t>○</t>
        </is>
      </c>
      <c r="P4902" t="inlineStr">
        <is>
          <t>B系統(朝)</t>
        </is>
      </c>
    </row>
    <row r="4903" ht="15" customHeight="1" s="37">
      <c r="A4903" t="n">
        <v>1</v>
      </c>
      <c r="B4903" s="10" t="inlineStr">
        <is>
          <t>平日</t>
        </is>
      </c>
      <c r="C4903" s="10" t="inlineStr">
        <is>
          <t>本線</t>
        </is>
      </c>
      <c r="D4903" s="10" t="inlineStr">
        <is>
          <t>下り</t>
        </is>
      </c>
      <c r="E4903" s="10" t="inlineStr">
        <is>
          <t>連0503</t>
        </is>
      </c>
      <c r="F4903" t="inlineStr">
        <is>
          <t>0502</t>
        </is>
      </c>
      <c r="G4903" s="10" t="inlineStr">
        <is>
          <t>有栖川</t>
        </is>
      </c>
      <c r="H4903" s="10" t="inlineStr">
        <is>
          <t>発</t>
        </is>
      </c>
      <c r="J4903" s="10" t="inlineStr">
        <is>
          <t>営業</t>
        </is>
      </c>
      <c r="L4903" t="inlineStr">
        <is>
          <t>5:58:30</t>
        </is>
      </c>
      <c r="M4903" t="inlineStr">
        <is>
          <t>5:58:45</t>
        </is>
      </c>
      <c r="P4903" t="inlineStr">
        <is>
          <t>B系統(朝)</t>
        </is>
      </c>
    </row>
    <row r="4904" ht="15" customHeight="1" s="37">
      <c r="A4904" t="n">
        <v>1</v>
      </c>
      <c r="B4904" s="10" t="inlineStr">
        <is>
          <t>平日</t>
        </is>
      </c>
      <c r="C4904" s="10" t="inlineStr">
        <is>
          <t>本線</t>
        </is>
      </c>
      <c r="D4904" s="10" t="inlineStr">
        <is>
          <t>下り</t>
        </is>
      </c>
      <c r="E4904" s="10" t="inlineStr">
        <is>
          <t>連0503</t>
        </is>
      </c>
      <c r="F4904" t="inlineStr">
        <is>
          <t>0502</t>
        </is>
      </c>
      <c r="G4904" s="10" t="inlineStr">
        <is>
          <t>車折</t>
        </is>
      </c>
      <c r="H4904" s="10" t="inlineStr">
        <is>
          <t>発</t>
        </is>
      </c>
      <c r="J4904" s="10" t="inlineStr">
        <is>
          <t>営業</t>
        </is>
      </c>
      <c r="L4904" t="inlineStr">
        <is>
          <t>6:00:10</t>
        </is>
      </c>
      <c r="M4904" t="inlineStr">
        <is>
          <t>6:00:25</t>
        </is>
      </c>
      <c r="P4904" t="inlineStr">
        <is>
          <t>B系統(朝)</t>
        </is>
      </c>
    </row>
    <row r="4905" ht="15" customHeight="1" s="37">
      <c r="A4905" t="n">
        <v>1</v>
      </c>
      <c r="B4905" s="10" t="inlineStr">
        <is>
          <t>平日</t>
        </is>
      </c>
      <c r="C4905" s="10" t="inlineStr">
        <is>
          <t>本線</t>
        </is>
      </c>
      <c r="D4905" s="10" t="inlineStr">
        <is>
          <t>下り</t>
        </is>
      </c>
      <c r="E4905" s="10" t="inlineStr">
        <is>
          <t>連0503</t>
        </is>
      </c>
      <c r="F4905" t="inlineStr">
        <is>
          <t>0502</t>
        </is>
      </c>
      <c r="G4905" s="10" t="inlineStr">
        <is>
          <t>鹿王院</t>
        </is>
      </c>
      <c r="H4905" s="10" t="inlineStr">
        <is>
          <t>発</t>
        </is>
      </c>
      <c r="J4905" s="10" t="inlineStr">
        <is>
          <t>営業</t>
        </is>
      </c>
      <c r="L4905" t="inlineStr">
        <is>
          <t>6:01:20</t>
        </is>
      </c>
      <c r="M4905" t="inlineStr">
        <is>
          <t>6:01:35</t>
        </is>
      </c>
      <c r="P4905" t="inlineStr">
        <is>
          <t>B系統(朝)</t>
        </is>
      </c>
    </row>
    <row r="4906" ht="15" customHeight="1" s="37">
      <c r="A4906" t="n">
        <v>1</v>
      </c>
      <c r="B4906" s="10" t="inlineStr">
        <is>
          <t>平日</t>
        </is>
      </c>
      <c r="C4906" s="10" t="inlineStr">
        <is>
          <t>本線</t>
        </is>
      </c>
      <c r="D4906" s="10" t="inlineStr">
        <is>
          <t>下り</t>
        </is>
      </c>
      <c r="E4906" s="10" t="inlineStr">
        <is>
          <t>連0503</t>
        </is>
      </c>
      <c r="F4906" t="inlineStr">
        <is>
          <t>0502</t>
        </is>
      </c>
      <c r="G4906" s="10" t="inlineStr">
        <is>
          <t>嵯峨</t>
        </is>
      </c>
      <c r="H4906" s="10" t="inlineStr">
        <is>
          <t>発</t>
        </is>
      </c>
      <c r="J4906" s="10" t="inlineStr">
        <is>
          <t>営業</t>
        </is>
      </c>
      <c r="L4906" t="inlineStr">
        <is>
          <t>6:02:40</t>
        </is>
      </c>
      <c r="M4906" t="inlineStr">
        <is>
          <t>6:02:55</t>
        </is>
      </c>
      <c r="P4906" t="inlineStr">
        <is>
          <t>B系統(朝)</t>
        </is>
      </c>
    </row>
    <row r="4907" ht="15" customHeight="1" s="37">
      <c r="A4907" t="n">
        <v>1</v>
      </c>
      <c r="B4907" s="10" t="inlineStr">
        <is>
          <t>平日</t>
        </is>
      </c>
      <c r="C4907" s="10" t="inlineStr">
        <is>
          <t>本線</t>
        </is>
      </c>
      <c r="D4907" s="10" t="inlineStr">
        <is>
          <t>下り</t>
        </is>
      </c>
      <c r="E4907" s="10" t="inlineStr">
        <is>
          <t>連0503</t>
        </is>
      </c>
      <c r="F4907" t="inlineStr">
        <is>
          <t>0502</t>
        </is>
      </c>
      <c r="G4907" s="10" t="inlineStr">
        <is>
          <t>嵐山</t>
        </is>
      </c>
      <c r="H4907" s="10" t="inlineStr">
        <is>
          <t>着</t>
        </is>
      </c>
      <c r="J4907" s="10" t="inlineStr">
        <is>
          <t>営業</t>
        </is>
      </c>
      <c r="L4907" t="inlineStr">
        <is>
          <t>6:04:00</t>
        </is>
      </c>
      <c r="N4907" t="inlineStr">
        <is>
          <t>○</t>
        </is>
      </c>
      <c r="P4907" t="inlineStr">
        <is>
          <t>B系統(朝)</t>
        </is>
      </c>
      <c r="Q4907" t="inlineStr">
        <is>
          <t>1</t>
        </is>
      </c>
    </row>
    <row r="4908" ht="15" customHeight="1" s="37">
      <c r="A4908" t="n">
        <v>1</v>
      </c>
      <c r="B4908" s="10" t="inlineStr">
        <is>
          <t>平日</t>
        </is>
      </c>
      <c r="C4908" s="10" t="inlineStr">
        <is>
          <t>本線</t>
        </is>
      </c>
      <c r="D4908" s="10" t="inlineStr">
        <is>
          <t>上り</t>
        </is>
      </c>
      <c r="E4908" s="10" t="inlineStr">
        <is>
          <t>連0602</t>
        </is>
      </c>
      <c r="F4908" t="inlineStr">
        <is>
          <t>0201</t>
        </is>
      </c>
      <c r="G4908" s="10" t="inlineStr">
        <is>
          <t>嵐山</t>
        </is>
      </c>
      <c r="H4908" s="10" t="inlineStr">
        <is>
          <t>発</t>
        </is>
      </c>
      <c r="J4908" s="10" t="inlineStr">
        <is>
          <t>営業</t>
        </is>
      </c>
      <c r="M4908" t="inlineStr">
        <is>
          <t>6:09:00</t>
        </is>
      </c>
      <c r="P4908" t="inlineStr">
        <is>
          <t>B系統(朝)</t>
        </is>
      </c>
      <c r="Q4908" t="inlineStr">
        <is>
          <t>1</t>
        </is>
      </c>
    </row>
    <row r="4909" ht="15" customHeight="1" s="37">
      <c r="A4909" t="n">
        <v>1</v>
      </c>
      <c r="B4909" s="10" t="inlineStr">
        <is>
          <t>平日</t>
        </is>
      </c>
      <c r="C4909" s="10" t="inlineStr">
        <is>
          <t>本線</t>
        </is>
      </c>
      <c r="D4909" s="10" t="inlineStr">
        <is>
          <t>上り</t>
        </is>
      </c>
      <c r="E4909" s="10" t="inlineStr">
        <is>
          <t>連0602</t>
        </is>
      </c>
      <c r="F4909" t="inlineStr">
        <is>
          <t>0201</t>
        </is>
      </c>
      <c r="G4909" s="10" t="inlineStr">
        <is>
          <t>嵯峨</t>
        </is>
      </c>
      <c r="H4909" s="10" t="inlineStr">
        <is>
          <t>発</t>
        </is>
      </c>
      <c r="J4909" s="10" t="inlineStr">
        <is>
          <t>営業</t>
        </is>
      </c>
      <c r="L4909" t="inlineStr">
        <is>
          <t>6:09:55</t>
        </is>
      </c>
      <c r="M4909" t="inlineStr">
        <is>
          <t>6:10:20</t>
        </is>
      </c>
      <c r="P4909" t="inlineStr">
        <is>
          <t>B系統(朝)</t>
        </is>
      </c>
    </row>
    <row r="4910" ht="16.5" customHeight="1" s="37">
      <c r="A4910" t="n">
        <v>1</v>
      </c>
      <c r="B4910" s="10" t="inlineStr">
        <is>
          <t>平日</t>
        </is>
      </c>
      <c r="C4910" s="10" t="inlineStr">
        <is>
          <t>本線</t>
        </is>
      </c>
      <c r="D4910" s="10" t="inlineStr">
        <is>
          <t>上り</t>
        </is>
      </c>
      <c r="E4910" s="10" t="inlineStr">
        <is>
          <t>連0602</t>
        </is>
      </c>
      <c r="F4910" t="inlineStr">
        <is>
          <t>0201</t>
        </is>
      </c>
      <c r="G4910" s="10" t="inlineStr">
        <is>
          <t>鹿王院</t>
        </is>
      </c>
      <c r="H4910" s="10" t="inlineStr">
        <is>
          <t>発</t>
        </is>
      </c>
      <c r="J4910" s="10" t="inlineStr">
        <is>
          <t>営業</t>
        </is>
      </c>
      <c r="L4910" t="inlineStr">
        <is>
          <t>6:11:25</t>
        </is>
      </c>
      <c r="M4910" t="inlineStr">
        <is>
          <t>6:11:45</t>
        </is>
      </c>
      <c r="P4910" t="inlineStr">
        <is>
          <t>B系統(朝)</t>
        </is>
      </c>
    </row>
    <row r="4911" ht="16.5" customHeight="1" s="37">
      <c r="A4911" t="n">
        <v>1</v>
      </c>
      <c r="B4911" s="10" t="inlineStr">
        <is>
          <t>平日</t>
        </is>
      </c>
      <c r="C4911" s="10" t="inlineStr">
        <is>
          <t>本線</t>
        </is>
      </c>
      <c r="D4911" s="10" t="inlineStr">
        <is>
          <t>上り</t>
        </is>
      </c>
      <c r="E4911" s="10" t="inlineStr">
        <is>
          <t>連0602</t>
        </is>
      </c>
      <c r="F4911" t="inlineStr">
        <is>
          <t>0201</t>
        </is>
      </c>
      <c r="G4911" s="10" t="inlineStr">
        <is>
          <t>車折</t>
        </is>
      </c>
      <c r="H4911" s="10" t="inlineStr">
        <is>
          <t>発</t>
        </is>
      </c>
      <c r="J4911" s="10" t="inlineStr">
        <is>
          <t>営業</t>
        </is>
      </c>
      <c r="L4911" t="inlineStr">
        <is>
          <t>6:12:40</t>
        </is>
      </c>
      <c r="M4911" t="inlineStr">
        <is>
          <t>6:13:10</t>
        </is>
      </c>
      <c r="P4911" t="inlineStr">
        <is>
          <t>B系統(朝)</t>
        </is>
      </c>
    </row>
    <row r="4912" ht="16.5" customHeight="1" s="37">
      <c r="A4912" t="n">
        <v>1</v>
      </c>
      <c r="B4912" s="10" t="inlineStr">
        <is>
          <t>平日</t>
        </is>
      </c>
      <c r="C4912" s="10" t="inlineStr">
        <is>
          <t>本線</t>
        </is>
      </c>
      <c r="D4912" s="10" t="inlineStr">
        <is>
          <t>上り</t>
        </is>
      </c>
      <c r="E4912" s="10" t="inlineStr">
        <is>
          <t>連0602</t>
        </is>
      </c>
      <c r="F4912" t="inlineStr">
        <is>
          <t>0201</t>
        </is>
      </c>
      <c r="G4912" s="10" t="inlineStr">
        <is>
          <t>有栖川</t>
        </is>
      </c>
      <c r="H4912" s="10" t="inlineStr">
        <is>
          <t>発</t>
        </is>
      </c>
      <c r="J4912" s="10" t="inlineStr">
        <is>
          <t>営業</t>
        </is>
      </c>
      <c r="L4912" t="inlineStr">
        <is>
          <t>6:14:35</t>
        </is>
      </c>
      <c r="M4912" t="inlineStr">
        <is>
          <t>6:14:55</t>
        </is>
      </c>
      <c r="P4912" t="inlineStr">
        <is>
          <t>B系統(朝)</t>
        </is>
      </c>
    </row>
    <row r="4913" ht="16.5" customHeight="1" s="37">
      <c r="A4913" t="n">
        <v>1</v>
      </c>
      <c r="B4913" s="10" t="inlineStr">
        <is>
          <t>平日</t>
        </is>
      </c>
      <c r="C4913" s="10" t="inlineStr">
        <is>
          <t>本線</t>
        </is>
      </c>
      <c r="D4913" s="10" t="inlineStr">
        <is>
          <t>上り</t>
        </is>
      </c>
      <c r="E4913" s="10" t="inlineStr">
        <is>
          <t>連0602</t>
        </is>
      </c>
      <c r="F4913" t="inlineStr">
        <is>
          <t>0201</t>
        </is>
      </c>
      <c r="G4913" s="10" t="inlineStr">
        <is>
          <t>帷子ノ辻</t>
        </is>
      </c>
      <c r="H4913" s="10" t="inlineStr">
        <is>
          <t>発</t>
        </is>
      </c>
      <c r="J4913" s="10" t="inlineStr">
        <is>
          <t>営業</t>
        </is>
      </c>
      <c r="L4913" t="inlineStr">
        <is>
          <t>6:16:10</t>
        </is>
      </c>
      <c r="M4913" t="inlineStr">
        <is>
          <t>6:17:15</t>
        </is>
      </c>
      <c r="N4913" t="inlineStr">
        <is>
          <t>○</t>
        </is>
      </c>
      <c r="P4913" t="inlineStr">
        <is>
          <t>B系統(朝)</t>
        </is>
      </c>
    </row>
    <row r="4914" ht="16.5" customHeight="1" s="37">
      <c r="A4914" t="n">
        <v>1</v>
      </c>
      <c r="B4914" s="10" t="inlineStr">
        <is>
          <t>平日</t>
        </is>
      </c>
      <c r="C4914" s="10" t="inlineStr">
        <is>
          <t>本線</t>
        </is>
      </c>
      <c r="D4914" s="10" t="inlineStr">
        <is>
          <t>上り</t>
        </is>
      </c>
      <c r="E4914" s="10" t="inlineStr">
        <is>
          <t>連0602</t>
        </is>
      </c>
      <c r="F4914" t="inlineStr">
        <is>
          <t>0201</t>
        </is>
      </c>
      <c r="G4914" s="10" t="inlineStr">
        <is>
          <t>太秦広隆寺</t>
        </is>
      </c>
      <c r="H4914" s="10" t="inlineStr">
        <is>
          <t>発</t>
        </is>
      </c>
      <c r="J4914" s="10" t="inlineStr">
        <is>
          <t>営業</t>
        </is>
      </c>
      <c r="L4914" t="inlineStr">
        <is>
          <t>6:19:25</t>
        </is>
      </c>
      <c r="M4914" t="inlineStr">
        <is>
          <t>6:19:45</t>
        </is>
      </c>
      <c r="P4914" t="inlineStr">
        <is>
          <t>B系統(朝)</t>
        </is>
      </c>
    </row>
    <row r="4915" ht="16.5" customHeight="1" s="37">
      <c r="A4915" t="n">
        <v>1</v>
      </c>
      <c r="B4915" s="10" t="inlineStr">
        <is>
          <t>平日</t>
        </is>
      </c>
      <c r="C4915" s="10" t="inlineStr">
        <is>
          <t>本線</t>
        </is>
      </c>
      <c r="D4915" s="10" t="inlineStr">
        <is>
          <t>上り</t>
        </is>
      </c>
      <c r="E4915" s="10" t="inlineStr">
        <is>
          <t>連0602</t>
        </is>
      </c>
      <c r="F4915" t="inlineStr">
        <is>
          <t>0201</t>
        </is>
      </c>
      <c r="G4915" s="10" t="inlineStr">
        <is>
          <t>蚕ノ社</t>
        </is>
      </c>
      <c r="H4915" s="10" t="inlineStr">
        <is>
          <t>発</t>
        </is>
      </c>
      <c r="J4915" s="10" t="inlineStr">
        <is>
          <t>営業</t>
        </is>
      </c>
      <c r="L4915" t="inlineStr">
        <is>
          <t>6:21:00</t>
        </is>
      </c>
      <c r="M4915" t="inlineStr">
        <is>
          <t>6:21:20</t>
        </is>
      </c>
      <c r="P4915" t="inlineStr">
        <is>
          <t>B系統(朝)</t>
        </is>
      </c>
    </row>
    <row r="4916" ht="16.5" customHeight="1" s="37">
      <c r="A4916" t="n">
        <v>1</v>
      </c>
      <c r="B4916" s="10" t="inlineStr">
        <is>
          <t>平日</t>
        </is>
      </c>
      <c r="C4916" s="10" t="inlineStr">
        <is>
          <t>本線</t>
        </is>
      </c>
      <c r="D4916" s="10" t="inlineStr">
        <is>
          <t>上り</t>
        </is>
      </c>
      <c r="E4916" s="10" t="inlineStr">
        <is>
          <t>連0602</t>
        </is>
      </c>
      <c r="F4916" t="inlineStr">
        <is>
          <t>0201</t>
        </is>
      </c>
      <c r="G4916" s="10" t="inlineStr">
        <is>
          <t>天神川</t>
        </is>
      </c>
      <c r="H4916" s="10" t="inlineStr">
        <is>
          <t>発</t>
        </is>
      </c>
      <c r="J4916" s="10" t="inlineStr">
        <is>
          <t>営業</t>
        </is>
      </c>
      <c r="L4916" t="inlineStr">
        <is>
          <t>6:22:05</t>
        </is>
      </c>
      <c r="M4916" t="inlineStr">
        <is>
          <t>6:22:50</t>
        </is>
      </c>
      <c r="P4916" t="inlineStr">
        <is>
          <t>B系統(朝)</t>
        </is>
      </c>
    </row>
    <row r="4917" ht="15" customHeight="1" s="37">
      <c r="A4917" t="n">
        <v>1</v>
      </c>
      <c r="B4917" s="10" t="inlineStr">
        <is>
          <t>平日</t>
        </is>
      </c>
      <c r="C4917" s="10" t="inlineStr">
        <is>
          <t>本線</t>
        </is>
      </c>
      <c r="D4917" s="10" t="inlineStr">
        <is>
          <t>上り</t>
        </is>
      </c>
      <c r="E4917" s="10" t="inlineStr">
        <is>
          <t>連0602</t>
        </is>
      </c>
      <c r="F4917" t="inlineStr">
        <is>
          <t>0201</t>
        </is>
      </c>
      <c r="G4917" s="10" t="inlineStr">
        <is>
          <t>山ノ内</t>
        </is>
      </c>
      <c r="H4917" s="10" t="inlineStr">
        <is>
          <t>発</t>
        </is>
      </c>
      <c r="J4917" s="10" t="inlineStr">
        <is>
          <t>営業</t>
        </is>
      </c>
      <c r="L4917" t="inlineStr">
        <is>
          <t>6:24:40</t>
        </is>
      </c>
      <c r="M4917" t="inlineStr">
        <is>
          <t>6:25:05</t>
        </is>
      </c>
      <c r="P4917" t="inlineStr">
        <is>
          <t>B系統(朝)</t>
        </is>
      </c>
    </row>
    <row r="4918" ht="15" customHeight="1" s="37">
      <c r="A4918" t="n">
        <v>1</v>
      </c>
      <c r="B4918" s="10" t="inlineStr">
        <is>
          <t>平日</t>
        </is>
      </c>
      <c r="C4918" s="10" t="inlineStr">
        <is>
          <t>本線</t>
        </is>
      </c>
      <c r="D4918" s="10" t="inlineStr">
        <is>
          <t>上り</t>
        </is>
      </c>
      <c r="E4918" s="10" t="inlineStr">
        <is>
          <t>連0602</t>
        </is>
      </c>
      <c r="F4918" t="inlineStr">
        <is>
          <t>0201</t>
        </is>
      </c>
      <c r="G4918" s="10" t="inlineStr">
        <is>
          <t>西大路三条</t>
        </is>
      </c>
      <c r="H4918" s="10" t="inlineStr">
        <is>
          <t>発</t>
        </is>
      </c>
      <c r="J4918" s="10" t="inlineStr">
        <is>
          <t>営業</t>
        </is>
      </c>
      <c r="L4918" t="inlineStr">
        <is>
          <t>6:26:55</t>
        </is>
      </c>
      <c r="M4918" t="inlineStr">
        <is>
          <t>6:27:15</t>
        </is>
      </c>
      <c r="P4918" t="inlineStr">
        <is>
          <t>B系統(朝)</t>
        </is>
      </c>
    </row>
    <row r="4919" ht="15" customHeight="1" s="37">
      <c r="A4919" t="n">
        <v>1</v>
      </c>
      <c r="B4919" s="10" t="inlineStr">
        <is>
          <t>平日</t>
        </is>
      </c>
      <c r="C4919" s="10" t="inlineStr">
        <is>
          <t>本線</t>
        </is>
      </c>
      <c r="D4919" s="10" t="inlineStr">
        <is>
          <t>上り</t>
        </is>
      </c>
      <c r="E4919" s="10" t="inlineStr">
        <is>
          <t>連0602</t>
        </is>
      </c>
      <c r="F4919" t="inlineStr">
        <is>
          <t>0201</t>
        </is>
      </c>
      <c r="G4919" s="10" t="inlineStr">
        <is>
          <t>西院</t>
        </is>
      </c>
      <c r="H4919" s="10" t="inlineStr">
        <is>
          <t>発</t>
        </is>
      </c>
      <c r="J4919" s="10" t="inlineStr">
        <is>
          <t>営業</t>
        </is>
      </c>
      <c r="L4919" t="inlineStr">
        <is>
          <t>6:29:10</t>
        </is>
      </c>
      <c r="M4919" t="inlineStr">
        <is>
          <t>6:30:05</t>
        </is>
      </c>
      <c r="P4919" t="inlineStr">
        <is>
          <t>B系統(朝)</t>
        </is>
      </c>
    </row>
    <row r="4920" ht="15" customHeight="1" s="37">
      <c r="A4920" t="n">
        <v>1</v>
      </c>
      <c r="B4920" s="10" t="inlineStr">
        <is>
          <t>平日</t>
        </is>
      </c>
      <c r="C4920" s="10" t="inlineStr">
        <is>
          <t>本線</t>
        </is>
      </c>
      <c r="D4920" s="10" t="inlineStr">
        <is>
          <t>上り</t>
        </is>
      </c>
      <c r="E4920" s="10" t="inlineStr">
        <is>
          <t>連0602</t>
        </is>
      </c>
      <c r="F4920" t="inlineStr">
        <is>
          <t>0201</t>
        </is>
      </c>
      <c r="G4920" s="10" t="inlineStr">
        <is>
          <t>四条大宮</t>
        </is>
      </c>
      <c r="H4920" s="10" t="inlineStr">
        <is>
          <t>着</t>
        </is>
      </c>
      <c r="J4920" s="10" t="inlineStr">
        <is>
          <t>営業</t>
        </is>
      </c>
      <c r="L4920" t="inlineStr">
        <is>
          <t>6:33:00</t>
        </is>
      </c>
      <c r="N4920" t="inlineStr">
        <is>
          <t>○</t>
        </is>
      </c>
      <c r="P4920" t="inlineStr">
        <is>
          <t>B系統(朝)</t>
        </is>
      </c>
      <c r="Q4920" t="inlineStr">
        <is>
          <t>1</t>
        </is>
      </c>
    </row>
    <row r="4921" ht="15" customHeight="1" s="37">
      <c r="A4921" t="n">
        <v>1</v>
      </c>
      <c r="B4921" s="10" t="inlineStr">
        <is>
          <t>平日</t>
        </is>
      </c>
      <c r="C4921" s="10" t="inlineStr">
        <is>
          <t>本線</t>
        </is>
      </c>
      <c r="D4921" s="10" t="inlineStr">
        <is>
          <t>下り</t>
        </is>
      </c>
      <c r="E4921" s="10" t="inlineStr">
        <is>
          <t>連0611</t>
        </is>
      </c>
      <c r="F4921" t="inlineStr">
        <is>
          <t>0122</t>
        </is>
      </c>
      <c r="G4921" s="10" t="inlineStr">
        <is>
          <t>四条大宮</t>
        </is>
      </c>
      <c r="H4921" s="10" t="inlineStr">
        <is>
          <t>発</t>
        </is>
      </c>
      <c r="J4921" s="10" t="inlineStr">
        <is>
          <t>営業</t>
        </is>
      </c>
      <c r="M4921" t="inlineStr">
        <is>
          <t>6:44:00</t>
        </is>
      </c>
      <c r="P4921" t="inlineStr">
        <is>
          <t>B系統(朝)</t>
        </is>
      </c>
      <c r="Q4921" t="inlineStr">
        <is>
          <t>1</t>
        </is>
      </c>
    </row>
    <row r="4922" ht="15" customHeight="1" s="37">
      <c r="A4922" t="n">
        <v>1</v>
      </c>
      <c r="B4922" s="10" t="inlineStr">
        <is>
          <t>平日</t>
        </is>
      </c>
      <c r="C4922" s="10" t="inlineStr">
        <is>
          <t>本線</t>
        </is>
      </c>
      <c r="D4922" s="10" t="inlineStr">
        <is>
          <t>下り</t>
        </is>
      </c>
      <c r="E4922" s="10" t="inlineStr">
        <is>
          <t>連0611</t>
        </is>
      </c>
      <c r="F4922" t="inlineStr">
        <is>
          <t>0122</t>
        </is>
      </c>
      <c r="G4922" s="10" t="inlineStr">
        <is>
          <t>西院</t>
        </is>
      </c>
      <c r="H4922" s="10" t="inlineStr">
        <is>
          <t>発</t>
        </is>
      </c>
      <c r="J4922" s="10" t="inlineStr">
        <is>
          <t>営業</t>
        </is>
      </c>
      <c r="L4922" t="inlineStr">
        <is>
          <t>6:46:50</t>
        </is>
      </c>
      <c r="M4922" t="inlineStr">
        <is>
          <t>6:47:20</t>
        </is>
      </c>
      <c r="P4922" t="inlineStr">
        <is>
          <t>B系統(朝)</t>
        </is>
      </c>
    </row>
    <row r="4923" ht="15" customHeight="1" s="37">
      <c r="A4923" t="n">
        <v>1</v>
      </c>
      <c r="B4923" s="10" t="inlineStr">
        <is>
          <t>平日</t>
        </is>
      </c>
      <c r="C4923" s="10" t="inlineStr">
        <is>
          <t>本線</t>
        </is>
      </c>
      <c r="D4923" s="10" t="inlineStr">
        <is>
          <t>下り</t>
        </is>
      </c>
      <c r="E4923" s="10" t="inlineStr">
        <is>
          <t>連0611</t>
        </is>
      </c>
      <c r="F4923" t="inlineStr">
        <is>
          <t>0122</t>
        </is>
      </c>
      <c r="G4923" s="10" t="inlineStr">
        <is>
          <t>西大路三条</t>
        </is>
      </c>
      <c r="H4923" s="10" t="inlineStr">
        <is>
          <t>発</t>
        </is>
      </c>
      <c r="J4923" s="10" t="inlineStr">
        <is>
          <t>営業</t>
        </is>
      </c>
      <c r="L4923" t="inlineStr">
        <is>
          <t>6:49:10</t>
        </is>
      </c>
      <c r="M4923" t="inlineStr">
        <is>
          <t>6:49:25</t>
        </is>
      </c>
      <c r="P4923" t="inlineStr">
        <is>
          <t>B系統(朝)</t>
        </is>
      </c>
    </row>
    <row r="4924" ht="15" customHeight="1" s="37">
      <c r="A4924" t="n">
        <v>1</v>
      </c>
      <c r="B4924" s="10" t="inlineStr">
        <is>
          <t>平日</t>
        </is>
      </c>
      <c r="C4924" s="10" t="inlineStr">
        <is>
          <t>本線</t>
        </is>
      </c>
      <c r="D4924" s="10" t="inlineStr">
        <is>
          <t>下り</t>
        </is>
      </c>
      <c r="E4924" s="10" t="inlineStr">
        <is>
          <t>連0611</t>
        </is>
      </c>
      <c r="F4924" t="inlineStr">
        <is>
          <t>0122</t>
        </is>
      </c>
      <c r="G4924" s="10" t="inlineStr">
        <is>
          <t>山ノ内</t>
        </is>
      </c>
      <c r="H4924" s="10" t="inlineStr">
        <is>
          <t>発</t>
        </is>
      </c>
      <c r="J4924" s="10" t="inlineStr">
        <is>
          <t>営業</t>
        </is>
      </c>
      <c r="L4924" t="inlineStr">
        <is>
          <t>6:51:20</t>
        </is>
      </c>
      <c r="M4924" t="inlineStr">
        <is>
          <t>6:51:45</t>
        </is>
      </c>
      <c r="P4924" t="inlineStr">
        <is>
          <t>B系統(朝)</t>
        </is>
      </c>
    </row>
    <row r="4925" ht="15" customHeight="1" s="37">
      <c r="A4925" t="n">
        <v>1</v>
      </c>
      <c r="B4925" s="10" t="inlineStr">
        <is>
          <t>平日</t>
        </is>
      </c>
      <c r="C4925" s="10" t="inlineStr">
        <is>
          <t>本線</t>
        </is>
      </c>
      <c r="D4925" s="10" t="inlineStr">
        <is>
          <t>下り</t>
        </is>
      </c>
      <c r="E4925" s="10" t="inlineStr">
        <is>
          <t>連0611</t>
        </is>
      </c>
      <c r="F4925" t="inlineStr">
        <is>
          <t>0122</t>
        </is>
      </c>
      <c r="G4925" s="10" t="inlineStr">
        <is>
          <t>天神川</t>
        </is>
      </c>
      <c r="H4925" s="10" t="inlineStr">
        <is>
          <t>発</t>
        </is>
      </c>
      <c r="J4925" s="10" t="inlineStr">
        <is>
          <t>営業</t>
        </is>
      </c>
      <c r="L4925" t="inlineStr">
        <is>
          <t>6:53:45</t>
        </is>
      </c>
      <c r="M4925" t="inlineStr">
        <is>
          <t>6:54:10</t>
        </is>
      </c>
      <c r="P4925" t="inlineStr">
        <is>
          <t>B系統(朝)</t>
        </is>
      </c>
    </row>
    <row r="4926" ht="15" customHeight="1" s="37">
      <c r="A4926" t="n">
        <v>1</v>
      </c>
      <c r="B4926" s="10" t="inlineStr">
        <is>
          <t>平日</t>
        </is>
      </c>
      <c r="C4926" s="10" t="inlineStr">
        <is>
          <t>本線</t>
        </is>
      </c>
      <c r="D4926" s="10" t="inlineStr">
        <is>
          <t>下り</t>
        </is>
      </c>
      <c r="E4926" s="10" t="inlineStr">
        <is>
          <t>連0611</t>
        </is>
      </c>
      <c r="F4926" t="inlineStr">
        <is>
          <t>0122</t>
        </is>
      </c>
      <c r="G4926" s="10" t="inlineStr">
        <is>
          <t>蚕ノ社</t>
        </is>
      </c>
      <c r="H4926" s="10" t="inlineStr">
        <is>
          <t>発</t>
        </is>
      </c>
      <c r="J4926" s="10" t="inlineStr">
        <is>
          <t>営業</t>
        </is>
      </c>
      <c r="L4926" t="inlineStr">
        <is>
          <t>6:55:00</t>
        </is>
      </c>
      <c r="M4926" t="inlineStr">
        <is>
          <t>6:55:15</t>
        </is>
      </c>
      <c r="P4926" t="inlineStr">
        <is>
          <t>B系統(朝)</t>
        </is>
      </c>
    </row>
    <row r="4927" ht="15" customHeight="1" s="37">
      <c r="A4927" t="n">
        <v>1</v>
      </c>
      <c r="B4927" s="10" t="inlineStr">
        <is>
          <t>平日</t>
        </is>
      </c>
      <c r="C4927" s="10" t="inlineStr">
        <is>
          <t>本線</t>
        </is>
      </c>
      <c r="D4927" s="10" t="inlineStr">
        <is>
          <t>下り</t>
        </is>
      </c>
      <c r="E4927" s="10" t="inlineStr">
        <is>
          <t>連0611</t>
        </is>
      </c>
      <c r="F4927" t="inlineStr">
        <is>
          <t>0122</t>
        </is>
      </c>
      <c r="G4927" s="10" t="inlineStr">
        <is>
          <t>太秦広隆寺</t>
        </is>
      </c>
      <c r="H4927" s="10" t="inlineStr">
        <is>
          <t>発</t>
        </is>
      </c>
      <c r="J4927" s="10" t="inlineStr">
        <is>
          <t>営業</t>
        </is>
      </c>
      <c r="L4927" t="inlineStr">
        <is>
          <t>6:56:35</t>
        </is>
      </c>
      <c r="M4927" t="inlineStr">
        <is>
          <t>6:56:50</t>
        </is>
      </c>
      <c r="P4927" t="inlineStr">
        <is>
          <t>B系統(朝)</t>
        </is>
      </c>
    </row>
    <row r="4928" ht="15" customHeight="1" s="37">
      <c r="A4928" t="n">
        <v>1</v>
      </c>
      <c r="B4928" s="10" t="inlineStr">
        <is>
          <t>平日</t>
        </is>
      </c>
      <c r="C4928" s="10" t="inlineStr">
        <is>
          <t>本線</t>
        </is>
      </c>
      <c r="D4928" s="10" t="inlineStr">
        <is>
          <t>下り</t>
        </is>
      </c>
      <c r="E4928" s="10" t="inlineStr">
        <is>
          <t>連0611</t>
        </is>
      </c>
      <c r="F4928" t="inlineStr">
        <is>
          <t>0122</t>
        </is>
      </c>
      <c r="G4928" s="10" t="inlineStr">
        <is>
          <t>帷子ノ辻</t>
        </is>
      </c>
      <c r="H4928" s="10" t="inlineStr">
        <is>
          <t>発</t>
        </is>
      </c>
      <c r="J4928" s="10" t="inlineStr">
        <is>
          <t>営業</t>
        </is>
      </c>
      <c r="L4928" t="inlineStr">
        <is>
          <t>6:58:50</t>
        </is>
      </c>
      <c r="M4928" t="inlineStr">
        <is>
          <t>6:59:20</t>
        </is>
      </c>
      <c r="P4928" t="inlineStr">
        <is>
          <t>B系統(朝)</t>
        </is>
      </c>
    </row>
    <row r="4929" ht="15" customHeight="1" s="37">
      <c r="A4929" t="n">
        <v>1</v>
      </c>
      <c r="B4929" s="10" t="inlineStr">
        <is>
          <t>平日</t>
        </is>
      </c>
      <c r="C4929" s="10" t="inlineStr">
        <is>
          <t>本線</t>
        </is>
      </c>
      <c r="D4929" s="10" t="inlineStr">
        <is>
          <t>下り</t>
        </is>
      </c>
      <c r="E4929" s="10" t="inlineStr">
        <is>
          <t>連0611</t>
        </is>
      </c>
      <c r="F4929" t="inlineStr">
        <is>
          <t>0122</t>
        </is>
      </c>
      <c r="G4929" s="10" t="inlineStr">
        <is>
          <t>有栖川</t>
        </is>
      </c>
      <c r="H4929" s="10" t="inlineStr">
        <is>
          <t>発</t>
        </is>
      </c>
      <c r="J4929" s="10" t="inlineStr">
        <is>
          <t>営業</t>
        </is>
      </c>
      <c r="L4929" t="inlineStr">
        <is>
          <t>7:00:30</t>
        </is>
      </c>
      <c r="M4929" t="inlineStr">
        <is>
          <t>7:00:45</t>
        </is>
      </c>
      <c r="P4929" t="inlineStr">
        <is>
          <t>B系統(朝)</t>
        </is>
      </c>
    </row>
    <row r="4930" ht="15" customHeight="1" s="37">
      <c r="A4930" t="n">
        <v>1</v>
      </c>
      <c r="B4930" s="10" t="inlineStr">
        <is>
          <t>平日</t>
        </is>
      </c>
      <c r="C4930" s="10" t="inlineStr">
        <is>
          <t>本線</t>
        </is>
      </c>
      <c r="D4930" s="10" t="inlineStr">
        <is>
          <t>下り</t>
        </is>
      </c>
      <c r="E4930" s="10" t="inlineStr">
        <is>
          <t>連0611</t>
        </is>
      </c>
      <c r="F4930" t="inlineStr">
        <is>
          <t>0122</t>
        </is>
      </c>
      <c r="G4930" s="10" t="inlineStr">
        <is>
          <t>車折</t>
        </is>
      </c>
      <c r="H4930" s="10" t="inlineStr">
        <is>
          <t>発</t>
        </is>
      </c>
      <c r="J4930" s="10" t="inlineStr">
        <is>
          <t>営業</t>
        </is>
      </c>
      <c r="L4930" t="inlineStr">
        <is>
          <t>7:02:10</t>
        </is>
      </c>
      <c r="M4930" t="inlineStr">
        <is>
          <t>7:02:25</t>
        </is>
      </c>
      <c r="P4930" t="inlineStr">
        <is>
          <t>B系統(朝)</t>
        </is>
      </c>
    </row>
    <row r="4931" ht="15" customHeight="1" s="37">
      <c r="A4931" t="n">
        <v>1</v>
      </c>
      <c r="B4931" s="10" t="inlineStr">
        <is>
          <t>平日</t>
        </is>
      </c>
      <c r="C4931" s="10" t="inlineStr">
        <is>
          <t>本線</t>
        </is>
      </c>
      <c r="D4931" s="10" t="inlineStr">
        <is>
          <t>下り</t>
        </is>
      </c>
      <c r="E4931" s="10" t="inlineStr">
        <is>
          <t>連0611</t>
        </is>
      </c>
      <c r="F4931" t="inlineStr">
        <is>
          <t>0122</t>
        </is>
      </c>
      <c r="G4931" s="10" t="inlineStr">
        <is>
          <t>鹿王院</t>
        </is>
      </c>
      <c r="H4931" s="10" t="inlineStr">
        <is>
          <t>発</t>
        </is>
      </c>
      <c r="J4931" s="10" t="inlineStr">
        <is>
          <t>営業</t>
        </is>
      </c>
      <c r="L4931" t="inlineStr">
        <is>
          <t>7:03:20</t>
        </is>
      </c>
      <c r="M4931" t="inlineStr">
        <is>
          <t>7:03:35</t>
        </is>
      </c>
      <c r="P4931" t="inlineStr">
        <is>
          <t>B系統(朝)</t>
        </is>
      </c>
    </row>
    <row r="4932" ht="15" customHeight="1" s="37">
      <c r="A4932" t="n">
        <v>1</v>
      </c>
      <c r="B4932" s="10" t="inlineStr">
        <is>
          <t>平日</t>
        </is>
      </c>
      <c r="C4932" s="10" t="inlineStr">
        <is>
          <t>本線</t>
        </is>
      </c>
      <c r="D4932" s="10" t="inlineStr">
        <is>
          <t>下り</t>
        </is>
      </c>
      <c r="E4932" s="10" t="inlineStr">
        <is>
          <t>連0611</t>
        </is>
      </c>
      <c r="F4932" t="inlineStr">
        <is>
          <t>0122</t>
        </is>
      </c>
      <c r="G4932" s="10" t="inlineStr">
        <is>
          <t>嵯峨</t>
        </is>
      </c>
      <c r="H4932" s="10" t="inlineStr">
        <is>
          <t>発</t>
        </is>
      </c>
      <c r="J4932" s="10" t="inlineStr">
        <is>
          <t>営業</t>
        </is>
      </c>
      <c r="L4932" t="inlineStr">
        <is>
          <t>7:04:40</t>
        </is>
      </c>
      <c r="M4932" t="inlineStr">
        <is>
          <t>7:04:55</t>
        </is>
      </c>
      <c r="P4932" t="inlineStr">
        <is>
          <t>B系統(朝)</t>
        </is>
      </c>
    </row>
    <row r="4933" ht="15" customHeight="1" s="37">
      <c r="A4933" t="n">
        <v>1</v>
      </c>
      <c r="B4933" s="10" t="inlineStr">
        <is>
          <t>平日</t>
        </is>
      </c>
      <c r="C4933" s="10" t="inlineStr">
        <is>
          <t>本線</t>
        </is>
      </c>
      <c r="D4933" s="10" t="inlineStr">
        <is>
          <t>下り</t>
        </is>
      </c>
      <c r="E4933" s="10" t="inlineStr">
        <is>
          <t>連0611</t>
        </is>
      </c>
      <c r="F4933" t="inlineStr">
        <is>
          <t>0122</t>
        </is>
      </c>
      <c r="G4933" s="10" t="inlineStr">
        <is>
          <t>嵐山</t>
        </is>
      </c>
      <c r="H4933" s="10" t="inlineStr">
        <is>
          <t>着</t>
        </is>
      </c>
      <c r="J4933" s="10" t="inlineStr">
        <is>
          <t>営業</t>
        </is>
      </c>
      <c r="L4933" t="inlineStr">
        <is>
          <t>7:06:00</t>
        </is>
      </c>
      <c r="N4933" t="inlineStr">
        <is>
          <t>○</t>
        </is>
      </c>
      <c r="P4933" t="inlineStr">
        <is>
          <t>B系統(朝)</t>
        </is>
      </c>
      <c r="Q4933" t="inlineStr">
        <is>
          <t>1</t>
        </is>
      </c>
    </row>
    <row r="4934" ht="15" customHeight="1" s="37">
      <c r="A4934" t="n">
        <v>1</v>
      </c>
      <c r="B4934" s="10" t="inlineStr">
        <is>
          <t>平日</t>
        </is>
      </c>
      <c r="C4934" s="10" t="inlineStr">
        <is>
          <t>本線</t>
        </is>
      </c>
      <c r="D4934" s="10" t="inlineStr">
        <is>
          <t>上り</t>
        </is>
      </c>
      <c r="E4934" s="10" t="inlineStr">
        <is>
          <t>連0706</t>
        </is>
      </c>
      <c r="F4934" t="inlineStr">
        <is>
          <t>2221</t>
        </is>
      </c>
      <c r="G4934" s="10" t="inlineStr">
        <is>
          <t>嵐山</t>
        </is>
      </c>
      <c r="H4934" s="10" t="inlineStr">
        <is>
          <t>発</t>
        </is>
      </c>
      <c r="J4934" s="10" t="inlineStr">
        <is>
          <t>営業</t>
        </is>
      </c>
      <c r="M4934" t="inlineStr">
        <is>
          <t>7:17:00</t>
        </is>
      </c>
      <c r="P4934" t="inlineStr">
        <is>
          <t>B系統(朝)</t>
        </is>
      </c>
      <c r="Q4934" t="inlineStr">
        <is>
          <t>1</t>
        </is>
      </c>
    </row>
    <row r="4935" ht="15" customHeight="1" s="37">
      <c r="A4935" t="n">
        <v>1</v>
      </c>
      <c r="B4935" s="10" t="inlineStr">
        <is>
          <t>平日</t>
        </is>
      </c>
      <c r="C4935" s="10" t="inlineStr">
        <is>
          <t>本線</t>
        </is>
      </c>
      <c r="D4935" s="10" t="inlineStr">
        <is>
          <t>上り</t>
        </is>
      </c>
      <c r="E4935" s="10" t="inlineStr">
        <is>
          <t>連0706</t>
        </is>
      </c>
      <c r="F4935" t="inlineStr">
        <is>
          <t>2221</t>
        </is>
      </c>
      <c r="G4935" s="10" t="inlineStr">
        <is>
          <t>嵯峨</t>
        </is>
      </c>
      <c r="H4935" s="10" t="inlineStr">
        <is>
          <t>発</t>
        </is>
      </c>
      <c r="J4935" s="10" t="inlineStr">
        <is>
          <t>営業</t>
        </is>
      </c>
      <c r="L4935" t="inlineStr">
        <is>
          <t>7:17:55</t>
        </is>
      </c>
      <c r="M4935" t="inlineStr">
        <is>
          <t>7:18:20</t>
        </is>
      </c>
      <c r="P4935" t="inlineStr">
        <is>
          <t>B系統(朝)</t>
        </is>
      </c>
    </row>
    <row r="4936" ht="15" customHeight="1" s="37">
      <c r="A4936" t="n">
        <v>1</v>
      </c>
      <c r="B4936" s="10" t="inlineStr">
        <is>
          <t>平日</t>
        </is>
      </c>
      <c r="C4936" s="10" t="inlineStr">
        <is>
          <t>本線</t>
        </is>
      </c>
      <c r="D4936" s="10" t="inlineStr">
        <is>
          <t>上り</t>
        </is>
      </c>
      <c r="E4936" s="10" t="inlineStr">
        <is>
          <t>連0706</t>
        </is>
      </c>
      <c r="F4936" t="inlineStr">
        <is>
          <t>2221</t>
        </is>
      </c>
      <c r="G4936" s="10" t="inlineStr">
        <is>
          <t>鹿王院</t>
        </is>
      </c>
      <c r="H4936" s="10" t="inlineStr">
        <is>
          <t>発</t>
        </is>
      </c>
      <c r="J4936" s="10" t="inlineStr">
        <is>
          <t>営業</t>
        </is>
      </c>
      <c r="L4936" t="inlineStr">
        <is>
          <t>7:19:25</t>
        </is>
      </c>
      <c r="M4936" t="inlineStr">
        <is>
          <t>7:19:45</t>
        </is>
      </c>
      <c r="P4936" t="inlineStr">
        <is>
          <t>B系統(朝)</t>
        </is>
      </c>
    </row>
    <row r="4937" ht="15" customHeight="1" s="37">
      <c r="A4937" t="n">
        <v>1</v>
      </c>
      <c r="B4937" s="10" t="inlineStr">
        <is>
          <t>平日</t>
        </is>
      </c>
      <c r="C4937" s="10" t="inlineStr">
        <is>
          <t>本線</t>
        </is>
      </c>
      <c r="D4937" s="10" t="inlineStr">
        <is>
          <t>上り</t>
        </is>
      </c>
      <c r="E4937" s="10" t="inlineStr">
        <is>
          <t>連0706</t>
        </is>
      </c>
      <c r="F4937" t="inlineStr">
        <is>
          <t>2221</t>
        </is>
      </c>
      <c r="G4937" s="10" t="inlineStr">
        <is>
          <t>車折</t>
        </is>
      </c>
      <c r="H4937" s="10" t="inlineStr">
        <is>
          <t>発</t>
        </is>
      </c>
      <c r="J4937" s="10" t="inlineStr">
        <is>
          <t>営業</t>
        </is>
      </c>
      <c r="L4937" t="inlineStr">
        <is>
          <t>7:20:40</t>
        </is>
      </c>
      <c r="M4937" t="inlineStr">
        <is>
          <t>7:21:10</t>
        </is>
      </c>
      <c r="P4937" t="inlineStr">
        <is>
          <t>B系統(朝)</t>
        </is>
      </c>
    </row>
    <row r="4938" ht="15" customHeight="1" s="37">
      <c r="A4938" t="n">
        <v>1</v>
      </c>
      <c r="B4938" s="10" t="inlineStr">
        <is>
          <t>平日</t>
        </is>
      </c>
      <c r="C4938" s="10" t="inlineStr">
        <is>
          <t>本線</t>
        </is>
      </c>
      <c r="D4938" s="10" t="inlineStr">
        <is>
          <t>上り</t>
        </is>
      </c>
      <c r="E4938" s="10" t="inlineStr">
        <is>
          <t>連0706</t>
        </is>
      </c>
      <c r="F4938" t="inlineStr">
        <is>
          <t>2221</t>
        </is>
      </c>
      <c r="G4938" s="10" t="inlineStr">
        <is>
          <t>有栖川</t>
        </is>
      </c>
      <c r="H4938" s="10" t="inlineStr">
        <is>
          <t>発</t>
        </is>
      </c>
      <c r="J4938" s="10" t="inlineStr">
        <is>
          <t>営業</t>
        </is>
      </c>
      <c r="L4938" t="inlineStr">
        <is>
          <t>7:22:35</t>
        </is>
      </c>
      <c r="M4938" t="inlineStr">
        <is>
          <t>7:22:55</t>
        </is>
      </c>
      <c r="P4938" t="inlineStr">
        <is>
          <t>B系統(朝)</t>
        </is>
      </c>
    </row>
    <row r="4939" ht="15" customHeight="1" s="37">
      <c r="A4939" t="n">
        <v>1</v>
      </c>
      <c r="B4939" s="10" t="inlineStr">
        <is>
          <t>平日</t>
        </is>
      </c>
      <c r="C4939" s="10" t="inlineStr">
        <is>
          <t>本線</t>
        </is>
      </c>
      <c r="D4939" s="10" t="inlineStr">
        <is>
          <t>上り</t>
        </is>
      </c>
      <c r="E4939" s="10" t="inlineStr">
        <is>
          <t>連0706</t>
        </is>
      </c>
      <c r="F4939" t="inlineStr">
        <is>
          <t>2221</t>
        </is>
      </c>
      <c r="G4939" s="10" t="inlineStr">
        <is>
          <t>帷子ノ辻</t>
        </is>
      </c>
      <c r="H4939" s="10" t="inlineStr">
        <is>
          <t>発</t>
        </is>
      </c>
      <c r="J4939" s="10" t="inlineStr">
        <is>
          <t>営業</t>
        </is>
      </c>
      <c r="L4939" t="inlineStr">
        <is>
          <t>7:24:10</t>
        </is>
      </c>
      <c r="M4939" t="inlineStr">
        <is>
          <t>7:25:15</t>
        </is>
      </c>
      <c r="P4939" t="inlineStr">
        <is>
          <t>B系統(朝)</t>
        </is>
      </c>
    </row>
    <row r="4940" ht="15" customHeight="1" s="37">
      <c r="A4940" t="n">
        <v>1</v>
      </c>
      <c r="B4940" s="10" t="inlineStr">
        <is>
          <t>平日</t>
        </is>
      </c>
      <c r="C4940" s="10" t="inlineStr">
        <is>
          <t>本線</t>
        </is>
      </c>
      <c r="D4940" s="10" t="inlineStr">
        <is>
          <t>上り</t>
        </is>
      </c>
      <c r="E4940" s="10" t="inlineStr">
        <is>
          <t>連0706</t>
        </is>
      </c>
      <c r="F4940" t="inlineStr">
        <is>
          <t>2221</t>
        </is>
      </c>
      <c r="G4940" s="10" t="inlineStr">
        <is>
          <t>太秦広隆寺</t>
        </is>
      </c>
      <c r="H4940" s="10" t="inlineStr">
        <is>
          <t>発</t>
        </is>
      </c>
      <c r="J4940" s="10" t="inlineStr">
        <is>
          <t>営業</t>
        </is>
      </c>
      <c r="L4940" t="inlineStr">
        <is>
          <t>7:27:25</t>
        </is>
      </c>
      <c r="M4940" t="inlineStr">
        <is>
          <t>7:27:45</t>
        </is>
      </c>
      <c r="P4940" t="inlineStr">
        <is>
          <t>B系統(朝)</t>
        </is>
      </c>
    </row>
    <row r="4941" ht="15" customHeight="1" s="37">
      <c r="A4941" t="n">
        <v>1</v>
      </c>
      <c r="B4941" s="10" t="inlineStr">
        <is>
          <t>平日</t>
        </is>
      </c>
      <c r="C4941" s="10" t="inlineStr">
        <is>
          <t>本線</t>
        </is>
      </c>
      <c r="D4941" s="10" t="inlineStr">
        <is>
          <t>上り</t>
        </is>
      </c>
      <c r="E4941" s="10" t="inlineStr">
        <is>
          <t>連0706</t>
        </is>
      </c>
      <c r="F4941" t="inlineStr">
        <is>
          <t>2221</t>
        </is>
      </c>
      <c r="G4941" s="10" t="inlineStr">
        <is>
          <t>蚕ノ社</t>
        </is>
      </c>
      <c r="H4941" s="10" t="inlineStr">
        <is>
          <t>発</t>
        </is>
      </c>
      <c r="J4941" s="10" t="inlineStr">
        <is>
          <t>営業</t>
        </is>
      </c>
      <c r="L4941" t="inlineStr">
        <is>
          <t>7:29:00</t>
        </is>
      </c>
      <c r="M4941" t="inlineStr">
        <is>
          <t>7:29:20</t>
        </is>
      </c>
      <c r="P4941" t="inlineStr">
        <is>
          <t>B系統(朝)</t>
        </is>
      </c>
    </row>
    <row r="4942" ht="15" customHeight="1" s="37">
      <c r="A4942" t="n">
        <v>1</v>
      </c>
      <c r="B4942" s="10" t="inlineStr">
        <is>
          <t>平日</t>
        </is>
      </c>
      <c r="C4942" s="10" t="inlineStr">
        <is>
          <t>本線</t>
        </is>
      </c>
      <c r="D4942" s="10" t="inlineStr">
        <is>
          <t>上り</t>
        </is>
      </c>
      <c r="E4942" s="10" t="inlineStr">
        <is>
          <t>連0706</t>
        </is>
      </c>
      <c r="F4942" t="inlineStr">
        <is>
          <t>2221</t>
        </is>
      </c>
      <c r="G4942" s="10" t="inlineStr">
        <is>
          <t>天神川</t>
        </is>
      </c>
      <c r="H4942" s="10" t="inlineStr">
        <is>
          <t>発</t>
        </is>
      </c>
      <c r="J4942" s="10" t="inlineStr">
        <is>
          <t>営業</t>
        </is>
      </c>
      <c r="L4942" t="inlineStr">
        <is>
          <t>7:30:05</t>
        </is>
      </c>
      <c r="M4942" t="inlineStr">
        <is>
          <t>7:30:50</t>
        </is>
      </c>
      <c r="P4942" t="inlineStr">
        <is>
          <t>B系統(朝)</t>
        </is>
      </c>
    </row>
    <row r="4943" ht="15" customHeight="1" s="37">
      <c r="A4943" t="n">
        <v>1</v>
      </c>
      <c r="B4943" s="10" t="inlineStr">
        <is>
          <t>平日</t>
        </is>
      </c>
      <c r="C4943" s="10" t="inlineStr">
        <is>
          <t>本線</t>
        </is>
      </c>
      <c r="D4943" s="10" t="inlineStr">
        <is>
          <t>上り</t>
        </is>
      </c>
      <c r="E4943" s="10" t="inlineStr">
        <is>
          <t>連0706</t>
        </is>
      </c>
      <c r="F4943" t="inlineStr">
        <is>
          <t>2221</t>
        </is>
      </c>
      <c r="G4943" s="10" t="inlineStr">
        <is>
          <t>山ノ内</t>
        </is>
      </c>
      <c r="H4943" s="10" t="inlineStr">
        <is>
          <t>発</t>
        </is>
      </c>
      <c r="J4943" s="10" t="inlineStr">
        <is>
          <t>営業</t>
        </is>
      </c>
      <c r="L4943" t="inlineStr">
        <is>
          <t>7:32:40</t>
        </is>
      </c>
      <c r="M4943" t="inlineStr">
        <is>
          <t>7:33:05</t>
        </is>
      </c>
      <c r="P4943" t="inlineStr">
        <is>
          <t>B系統(朝)</t>
        </is>
      </c>
    </row>
    <row r="4944" ht="15" customHeight="1" s="37">
      <c r="A4944" t="n">
        <v>1</v>
      </c>
      <c r="B4944" s="10" t="inlineStr">
        <is>
          <t>平日</t>
        </is>
      </c>
      <c r="C4944" s="10" t="inlineStr">
        <is>
          <t>本線</t>
        </is>
      </c>
      <c r="D4944" s="10" t="inlineStr">
        <is>
          <t>上り</t>
        </is>
      </c>
      <c r="E4944" s="10" t="inlineStr">
        <is>
          <t>連0706</t>
        </is>
      </c>
      <c r="F4944" t="inlineStr">
        <is>
          <t>2221</t>
        </is>
      </c>
      <c r="G4944" s="10" t="inlineStr">
        <is>
          <t>西大路三条</t>
        </is>
      </c>
      <c r="H4944" s="10" t="inlineStr">
        <is>
          <t>発</t>
        </is>
      </c>
      <c r="J4944" s="10" t="inlineStr">
        <is>
          <t>営業</t>
        </is>
      </c>
      <c r="L4944" t="inlineStr">
        <is>
          <t>7:34:55</t>
        </is>
      </c>
      <c r="M4944" t="inlineStr">
        <is>
          <t>7:35:15</t>
        </is>
      </c>
      <c r="P4944" t="inlineStr">
        <is>
          <t>B系統(朝)</t>
        </is>
      </c>
    </row>
    <row r="4945" ht="15" customHeight="1" s="37">
      <c r="A4945" t="n">
        <v>1</v>
      </c>
      <c r="B4945" s="10" t="inlineStr">
        <is>
          <t>平日</t>
        </is>
      </c>
      <c r="C4945" s="10" t="inlineStr">
        <is>
          <t>本線</t>
        </is>
      </c>
      <c r="D4945" s="10" t="inlineStr">
        <is>
          <t>上り</t>
        </is>
      </c>
      <c r="E4945" s="10" t="inlineStr">
        <is>
          <t>連0706</t>
        </is>
      </c>
      <c r="F4945" t="inlineStr">
        <is>
          <t>2221</t>
        </is>
      </c>
      <c r="G4945" s="10" t="inlineStr">
        <is>
          <t>西院</t>
        </is>
      </c>
      <c r="H4945" s="10" t="inlineStr">
        <is>
          <t>発</t>
        </is>
      </c>
      <c r="J4945" s="10" t="inlineStr">
        <is>
          <t>営業</t>
        </is>
      </c>
      <c r="L4945" t="inlineStr">
        <is>
          <t>7:37:10</t>
        </is>
      </c>
      <c r="M4945" t="inlineStr">
        <is>
          <t>7:38:05</t>
        </is>
      </c>
      <c r="P4945" t="inlineStr">
        <is>
          <t>B系統(朝)</t>
        </is>
      </c>
    </row>
    <row r="4946" ht="15" customHeight="1" s="37">
      <c r="A4946" t="n">
        <v>1</v>
      </c>
      <c r="B4946" s="10" t="inlineStr">
        <is>
          <t>平日</t>
        </is>
      </c>
      <c r="C4946" s="10" t="inlineStr">
        <is>
          <t>本線</t>
        </is>
      </c>
      <c r="D4946" s="10" t="inlineStr">
        <is>
          <t>上り</t>
        </is>
      </c>
      <c r="E4946" s="10" t="inlineStr">
        <is>
          <t>連0706</t>
        </is>
      </c>
      <c r="F4946" t="inlineStr">
        <is>
          <t>2221</t>
        </is>
      </c>
      <c r="G4946" s="10" t="inlineStr">
        <is>
          <t>四条大宮</t>
        </is>
      </c>
      <c r="H4946" s="10" t="inlineStr">
        <is>
          <t>着</t>
        </is>
      </c>
      <c r="J4946" s="10" t="inlineStr">
        <is>
          <t>営業</t>
        </is>
      </c>
      <c r="L4946" t="inlineStr">
        <is>
          <t>7:41:00</t>
        </is>
      </c>
      <c r="P4946" t="inlineStr">
        <is>
          <t>B系統(朝)</t>
        </is>
      </c>
      <c r="Q4946" t="inlineStr">
        <is>
          <t>1</t>
        </is>
      </c>
    </row>
    <row r="4947" ht="15" customHeight="1" s="37">
      <c r="A4947" t="n">
        <v>1</v>
      </c>
      <c r="B4947" s="10" t="inlineStr">
        <is>
          <t>平日</t>
        </is>
      </c>
      <c r="C4947" s="10" t="inlineStr">
        <is>
          <t>本線</t>
        </is>
      </c>
      <c r="D4947" s="10" t="inlineStr">
        <is>
          <t>下り</t>
        </is>
      </c>
      <c r="E4947" s="10" t="inlineStr">
        <is>
          <t>連0713</t>
        </is>
      </c>
      <c r="F4947" t="inlineStr">
        <is>
          <t>0122</t>
        </is>
      </c>
      <c r="G4947" s="10" t="inlineStr">
        <is>
          <t>四条大宮</t>
        </is>
      </c>
      <c r="H4947" s="10" t="inlineStr">
        <is>
          <t>発</t>
        </is>
      </c>
      <c r="J4947" s="10" t="inlineStr">
        <is>
          <t>営業</t>
        </is>
      </c>
      <c r="M4947" t="inlineStr">
        <is>
          <t>7:48:00</t>
        </is>
      </c>
      <c r="P4947" t="inlineStr">
        <is>
          <t>B系統(朝)</t>
        </is>
      </c>
      <c r="Q4947" t="inlineStr">
        <is>
          <t>1</t>
        </is>
      </c>
    </row>
    <row r="4948" ht="15" customHeight="1" s="37">
      <c r="A4948" t="n">
        <v>1</v>
      </c>
      <c r="B4948" s="10" t="inlineStr">
        <is>
          <t>平日</t>
        </is>
      </c>
      <c r="C4948" s="10" t="inlineStr">
        <is>
          <t>本線</t>
        </is>
      </c>
      <c r="D4948" s="10" t="inlineStr">
        <is>
          <t>下り</t>
        </is>
      </c>
      <c r="E4948" s="10" t="inlineStr">
        <is>
          <t>連0713</t>
        </is>
      </c>
      <c r="F4948" t="inlineStr">
        <is>
          <t>0122</t>
        </is>
      </c>
      <c r="G4948" s="10" t="inlineStr">
        <is>
          <t>西院</t>
        </is>
      </c>
      <c r="H4948" s="10" t="inlineStr">
        <is>
          <t>発</t>
        </is>
      </c>
      <c r="J4948" s="10" t="inlineStr">
        <is>
          <t>営業</t>
        </is>
      </c>
      <c r="L4948" t="inlineStr">
        <is>
          <t>7:50:50</t>
        </is>
      </c>
      <c r="M4948" t="inlineStr">
        <is>
          <t>7:51:20</t>
        </is>
      </c>
      <c r="P4948" t="inlineStr">
        <is>
          <t>B系統(朝)</t>
        </is>
      </c>
    </row>
    <row r="4949" ht="15" customHeight="1" s="37">
      <c r="A4949" t="n">
        <v>1</v>
      </c>
      <c r="B4949" s="10" t="inlineStr">
        <is>
          <t>平日</t>
        </is>
      </c>
      <c r="C4949" s="10" t="inlineStr">
        <is>
          <t>本線</t>
        </is>
      </c>
      <c r="D4949" s="10" t="inlineStr">
        <is>
          <t>下り</t>
        </is>
      </c>
      <c r="E4949" s="10" t="inlineStr">
        <is>
          <t>連0713</t>
        </is>
      </c>
      <c r="F4949" t="inlineStr">
        <is>
          <t>0122</t>
        </is>
      </c>
      <c r="G4949" s="10" t="inlineStr">
        <is>
          <t>西大路三条</t>
        </is>
      </c>
      <c r="H4949" s="10" t="inlineStr">
        <is>
          <t>発</t>
        </is>
      </c>
      <c r="J4949" s="10" t="inlineStr">
        <is>
          <t>営業</t>
        </is>
      </c>
      <c r="L4949" t="inlineStr">
        <is>
          <t>7:53:10</t>
        </is>
      </c>
      <c r="M4949" t="inlineStr">
        <is>
          <t>7:53:30</t>
        </is>
      </c>
      <c r="P4949" t="inlineStr">
        <is>
          <t>B系統(朝)</t>
        </is>
      </c>
    </row>
    <row r="4950" ht="15" customHeight="1" s="37">
      <c r="A4950" t="n">
        <v>1</v>
      </c>
      <c r="B4950" s="10" t="inlineStr">
        <is>
          <t>平日</t>
        </is>
      </c>
      <c r="C4950" s="10" t="inlineStr">
        <is>
          <t>本線</t>
        </is>
      </c>
      <c r="D4950" s="10" t="inlineStr">
        <is>
          <t>下り</t>
        </is>
      </c>
      <c r="E4950" s="10" t="inlineStr">
        <is>
          <t>連0713</t>
        </is>
      </c>
      <c r="F4950" t="inlineStr">
        <is>
          <t>0122</t>
        </is>
      </c>
      <c r="G4950" s="10" t="inlineStr">
        <is>
          <t>山ノ内</t>
        </is>
      </c>
      <c r="H4950" s="10" t="inlineStr">
        <is>
          <t>発</t>
        </is>
      </c>
      <c r="J4950" s="10" t="inlineStr">
        <is>
          <t>営業</t>
        </is>
      </c>
      <c r="L4950" t="inlineStr">
        <is>
          <t>7:55:25</t>
        </is>
      </c>
      <c r="M4950" t="inlineStr">
        <is>
          <t>7:55:50</t>
        </is>
      </c>
      <c r="P4950" t="inlineStr">
        <is>
          <t>B系統(朝)</t>
        </is>
      </c>
    </row>
    <row r="4951" ht="15" customHeight="1" s="37">
      <c r="A4951" t="n">
        <v>1</v>
      </c>
      <c r="B4951" s="10" t="inlineStr">
        <is>
          <t>平日</t>
        </is>
      </c>
      <c r="C4951" s="10" t="inlineStr">
        <is>
          <t>本線</t>
        </is>
      </c>
      <c r="D4951" s="10" t="inlineStr">
        <is>
          <t>下り</t>
        </is>
      </c>
      <c r="E4951" s="10" t="inlineStr">
        <is>
          <t>連0713</t>
        </is>
      </c>
      <c r="F4951" t="inlineStr">
        <is>
          <t>0122</t>
        </is>
      </c>
      <c r="G4951" s="10" t="inlineStr">
        <is>
          <t>天神川</t>
        </is>
      </c>
      <c r="H4951" s="10" t="inlineStr">
        <is>
          <t>発</t>
        </is>
      </c>
      <c r="J4951" s="10" t="inlineStr">
        <is>
          <t>営業</t>
        </is>
      </c>
      <c r="L4951" t="inlineStr">
        <is>
          <t>7:57:50</t>
        </is>
      </c>
      <c r="M4951" t="inlineStr">
        <is>
          <t>7:58:30</t>
        </is>
      </c>
      <c r="P4951" t="inlineStr">
        <is>
          <t>B系統(朝)</t>
        </is>
      </c>
    </row>
    <row r="4952" ht="15" customHeight="1" s="37">
      <c r="A4952" t="n">
        <v>1</v>
      </c>
      <c r="B4952" s="10" t="inlineStr">
        <is>
          <t>平日</t>
        </is>
      </c>
      <c r="C4952" s="10" t="inlineStr">
        <is>
          <t>本線</t>
        </is>
      </c>
      <c r="D4952" s="10" t="inlineStr">
        <is>
          <t>下り</t>
        </is>
      </c>
      <c r="E4952" s="10" t="inlineStr">
        <is>
          <t>連0713</t>
        </is>
      </c>
      <c r="F4952" t="inlineStr">
        <is>
          <t>0122</t>
        </is>
      </c>
      <c r="G4952" s="10" t="inlineStr">
        <is>
          <t>蚕ノ社</t>
        </is>
      </c>
      <c r="H4952" s="10" t="inlineStr">
        <is>
          <t>発</t>
        </is>
      </c>
      <c r="J4952" s="10" t="inlineStr">
        <is>
          <t>営業</t>
        </is>
      </c>
      <c r="L4952" t="inlineStr">
        <is>
          <t>7:59:20</t>
        </is>
      </c>
      <c r="M4952" t="inlineStr">
        <is>
          <t>7:59:40</t>
        </is>
      </c>
      <c r="P4952" t="inlineStr">
        <is>
          <t>B系統(朝)</t>
        </is>
      </c>
    </row>
    <row r="4953" ht="15" customHeight="1" s="37">
      <c r="A4953" t="n">
        <v>1</v>
      </c>
      <c r="B4953" s="10" t="inlineStr">
        <is>
          <t>平日</t>
        </is>
      </c>
      <c r="C4953" s="10" t="inlineStr">
        <is>
          <t>本線</t>
        </is>
      </c>
      <c r="D4953" s="10" t="inlineStr">
        <is>
          <t>下り</t>
        </is>
      </c>
      <c r="E4953" s="10" t="inlineStr">
        <is>
          <t>連0713</t>
        </is>
      </c>
      <c r="F4953" t="inlineStr">
        <is>
          <t>0122</t>
        </is>
      </c>
      <c r="G4953" s="10" t="inlineStr">
        <is>
          <t>太秦広隆寺</t>
        </is>
      </c>
      <c r="H4953" s="10" t="inlineStr">
        <is>
          <t>発</t>
        </is>
      </c>
      <c r="J4953" s="10" t="inlineStr">
        <is>
          <t>営業</t>
        </is>
      </c>
      <c r="L4953" t="inlineStr">
        <is>
          <t>8:01:00</t>
        </is>
      </c>
      <c r="M4953" t="inlineStr">
        <is>
          <t>8:01:20</t>
        </is>
      </c>
      <c r="P4953" t="inlineStr">
        <is>
          <t>B系統(朝)</t>
        </is>
      </c>
    </row>
    <row r="4954" ht="15" customHeight="1" s="37">
      <c r="A4954" t="n">
        <v>1</v>
      </c>
      <c r="B4954" s="10" t="inlineStr">
        <is>
          <t>平日</t>
        </is>
      </c>
      <c r="C4954" s="10" t="inlineStr">
        <is>
          <t>本線</t>
        </is>
      </c>
      <c r="D4954" s="10" t="inlineStr">
        <is>
          <t>下り</t>
        </is>
      </c>
      <c r="E4954" s="10" t="inlineStr">
        <is>
          <t>連0713</t>
        </is>
      </c>
      <c r="F4954" t="inlineStr">
        <is>
          <t>0122</t>
        </is>
      </c>
      <c r="G4954" s="10" t="inlineStr">
        <is>
          <t>帷子ノ辻</t>
        </is>
      </c>
      <c r="H4954" s="10" t="inlineStr">
        <is>
          <t>発</t>
        </is>
      </c>
      <c r="J4954" s="10" t="inlineStr">
        <is>
          <t>営業</t>
        </is>
      </c>
      <c r="L4954" t="inlineStr">
        <is>
          <t>8:03:20</t>
        </is>
      </c>
      <c r="M4954" t="inlineStr">
        <is>
          <t>8:04:40</t>
        </is>
      </c>
      <c r="P4954" t="inlineStr">
        <is>
          <t>B系統(朝)</t>
        </is>
      </c>
    </row>
    <row r="4955" ht="15" customHeight="1" s="37">
      <c r="A4955" t="n">
        <v>1</v>
      </c>
      <c r="B4955" s="10" t="inlineStr">
        <is>
          <t>平日</t>
        </is>
      </c>
      <c r="C4955" s="10" t="inlineStr">
        <is>
          <t>本線</t>
        </is>
      </c>
      <c r="D4955" s="10" t="inlineStr">
        <is>
          <t>下り</t>
        </is>
      </c>
      <c r="E4955" s="10" t="inlineStr">
        <is>
          <t>連0713</t>
        </is>
      </c>
      <c r="F4955" t="inlineStr">
        <is>
          <t>0122</t>
        </is>
      </c>
      <c r="G4955" s="10" t="inlineStr">
        <is>
          <t>有栖川</t>
        </is>
      </c>
      <c r="H4955" s="10" t="inlineStr">
        <is>
          <t>発</t>
        </is>
      </c>
      <c r="J4955" s="10" t="inlineStr">
        <is>
          <t>営業</t>
        </is>
      </c>
      <c r="L4955" t="inlineStr">
        <is>
          <t>8:05:50</t>
        </is>
      </c>
      <c r="M4955" t="inlineStr">
        <is>
          <t>8:06:15</t>
        </is>
      </c>
      <c r="P4955" t="inlineStr">
        <is>
          <t>B系統(朝)</t>
        </is>
      </c>
    </row>
    <row r="4956" ht="15" customHeight="1" s="37">
      <c r="A4956" t="n">
        <v>1</v>
      </c>
      <c r="B4956" s="10" t="inlineStr">
        <is>
          <t>平日</t>
        </is>
      </c>
      <c r="C4956" s="10" t="inlineStr">
        <is>
          <t>本線</t>
        </is>
      </c>
      <c r="D4956" s="10" t="inlineStr">
        <is>
          <t>下り</t>
        </is>
      </c>
      <c r="E4956" s="10" t="inlineStr">
        <is>
          <t>連0713</t>
        </is>
      </c>
      <c r="F4956" t="inlineStr">
        <is>
          <t>0122</t>
        </is>
      </c>
      <c r="G4956" s="10" t="inlineStr">
        <is>
          <t>車折</t>
        </is>
      </c>
      <c r="H4956" s="10" t="inlineStr">
        <is>
          <t>発</t>
        </is>
      </c>
      <c r="J4956" s="10" t="inlineStr">
        <is>
          <t>営業</t>
        </is>
      </c>
      <c r="L4956" t="inlineStr">
        <is>
          <t>8:07:40</t>
        </is>
      </c>
      <c r="M4956" t="inlineStr">
        <is>
          <t>8:08:05</t>
        </is>
      </c>
      <c r="P4956" t="inlineStr">
        <is>
          <t>B系統(朝)</t>
        </is>
      </c>
    </row>
    <row r="4957" ht="15" customHeight="1" s="37">
      <c r="A4957" t="n">
        <v>1</v>
      </c>
      <c r="B4957" s="10" t="inlineStr">
        <is>
          <t>平日</t>
        </is>
      </c>
      <c r="C4957" s="10" t="inlineStr">
        <is>
          <t>本線</t>
        </is>
      </c>
      <c r="D4957" s="10" t="inlineStr">
        <is>
          <t>下り</t>
        </is>
      </c>
      <c r="E4957" s="10" t="inlineStr">
        <is>
          <t>連0713</t>
        </is>
      </c>
      <c r="F4957" t="inlineStr">
        <is>
          <t>0122</t>
        </is>
      </c>
      <c r="G4957" s="10" t="inlineStr">
        <is>
          <t>鹿王院</t>
        </is>
      </c>
      <c r="H4957" s="10" t="inlineStr">
        <is>
          <t>発</t>
        </is>
      </c>
      <c r="J4957" s="10" t="inlineStr">
        <is>
          <t>営業</t>
        </is>
      </c>
      <c r="L4957" t="inlineStr">
        <is>
          <t>8:09:00</t>
        </is>
      </c>
      <c r="M4957" t="inlineStr">
        <is>
          <t>8:09:25</t>
        </is>
      </c>
      <c r="P4957" t="inlineStr">
        <is>
          <t>B系統(朝)</t>
        </is>
      </c>
    </row>
    <row r="4958" ht="15" customHeight="1" s="37">
      <c r="A4958" t="n">
        <v>1</v>
      </c>
      <c r="B4958" s="10" t="inlineStr">
        <is>
          <t>平日</t>
        </is>
      </c>
      <c r="C4958" s="10" t="inlineStr">
        <is>
          <t>本線</t>
        </is>
      </c>
      <c r="D4958" s="10" t="inlineStr">
        <is>
          <t>下り</t>
        </is>
      </c>
      <c r="E4958" s="10" t="inlineStr">
        <is>
          <t>連0713</t>
        </is>
      </c>
      <c r="F4958" t="inlineStr">
        <is>
          <t>0122</t>
        </is>
      </c>
      <c r="G4958" s="10" t="inlineStr">
        <is>
          <t>嵯峨</t>
        </is>
      </c>
      <c r="H4958" s="10" t="inlineStr">
        <is>
          <t>発</t>
        </is>
      </c>
      <c r="J4958" s="10" t="inlineStr">
        <is>
          <t>営業</t>
        </is>
      </c>
      <c r="L4958" t="inlineStr">
        <is>
          <t>8:10:30</t>
        </is>
      </c>
      <c r="M4958" t="inlineStr">
        <is>
          <t>8:10:55</t>
        </is>
      </c>
      <c r="P4958" t="inlineStr">
        <is>
          <t>B系統(朝)</t>
        </is>
      </c>
    </row>
    <row r="4959" ht="15" customHeight="1" s="37">
      <c r="A4959" t="n">
        <v>1</v>
      </c>
      <c r="B4959" s="10" t="inlineStr">
        <is>
          <t>平日</t>
        </is>
      </c>
      <c r="C4959" s="10" t="inlineStr">
        <is>
          <t>本線</t>
        </is>
      </c>
      <c r="D4959" s="10" t="inlineStr">
        <is>
          <t>下り</t>
        </is>
      </c>
      <c r="E4959" s="10" t="inlineStr">
        <is>
          <t>連0713</t>
        </is>
      </c>
      <c r="F4959" t="inlineStr">
        <is>
          <t>0122</t>
        </is>
      </c>
      <c r="G4959" s="10" t="inlineStr">
        <is>
          <t>嵐山</t>
        </is>
      </c>
      <c r="H4959" s="10" t="inlineStr">
        <is>
          <t>着</t>
        </is>
      </c>
      <c r="J4959" s="10" t="inlineStr">
        <is>
          <t>営業</t>
        </is>
      </c>
      <c r="L4959" t="inlineStr">
        <is>
          <t>8:12:00</t>
        </is>
      </c>
      <c r="N4959" t="inlineStr">
        <is>
          <t>○</t>
        </is>
      </c>
      <c r="P4959" t="inlineStr">
        <is>
          <t>B系統(朝)</t>
        </is>
      </c>
      <c r="Q4959" t="inlineStr">
        <is>
          <t>1</t>
        </is>
      </c>
    </row>
    <row r="4960" ht="15" customHeight="1" s="37">
      <c r="A4960" t="n">
        <v>1</v>
      </c>
      <c r="B4960" s="10" t="inlineStr">
        <is>
          <t>平日</t>
        </is>
      </c>
      <c r="C4960" s="10" t="inlineStr">
        <is>
          <t>本線</t>
        </is>
      </c>
      <c r="D4960" s="10" t="inlineStr">
        <is>
          <t>上り</t>
        </is>
      </c>
      <c r="E4960" s="10" t="inlineStr">
        <is>
          <t>連0806</t>
        </is>
      </c>
      <c r="F4960" t="inlineStr">
        <is>
          <t>2221</t>
        </is>
      </c>
      <c r="G4960" s="10" t="inlineStr">
        <is>
          <t>嵐山</t>
        </is>
      </c>
      <c r="H4960" s="10" t="inlineStr">
        <is>
          <t>発</t>
        </is>
      </c>
      <c r="J4960" s="10" t="inlineStr">
        <is>
          <t>営業</t>
        </is>
      </c>
      <c r="M4960" t="inlineStr">
        <is>
          <t>8:21:00</t>
        </is>
      </c>
      <c r="P4960" t="inlineStr">
        <is>
          <t>B系統(朝)</t>
        </is>
      </c>
      <c r="Q4960" t="inlineStr">
        <is>
          <t>1</t>
        </is>
      </c>
      <c r="U4960" t="inlineStr">
        <is>
          <t>→西院 休憩(8:56〜10:06)</t>
        </is>
      </c>
    </row>
    <row r="4961" ht="15" customHeight="1" s="37">
      <c r="A4961" t="n">
        <v>1</v>
      </c>
      <c r="B4961" s="10" t="inlineStr">
        <is>
          <t>平日</t>
        </is>
      </c>
      <c r="C4961" s="10" t="inlineStr">
        <is>
          <t>本線</t>
        </is>
      </c>
      <c r="D4961" s="10" t="inlineStr">
        <is>
          <t>上り</t>
        </is>
      </c>
      <c r="E4961" s="10" t="inlineStr">
        <is>
          <t>連0806</t>
        </is>
      </c>
      <c r="F4961" t="inlineStr">
        <is>
          <t>2221</t>
        </is>
      </c>
      <c r="G4961" s="10" t="inlineStr">
        <is>
          <t>嵯峨</t>
        </is>
      </c>
      <c r="H4961" s="10" t="inlineStr">
        <is>
          <t>発</t>
        </is>
      </c>
      <c r="J4961" s="10" t="inlineStr">
        <is>
          <t>営業</t>
        </is>
      </c>
      <c r="L4961" t="inlineStr">
        <is>
          <t>8:21:55</t>
        </is>
      </c>
      <c r="M4961" t="inlineStr">
        <is>
          <t>8:22:20</t>
        </is>
      </c>
      <c r="P4961" t="inlineStr">
        <is>
          <t>B系統(朝)</t>
        </is>
      </c>
      <c r="U4961" t="inlineStr">
        <is>
          <t>→西院 休憩(8:56〜10:06)</t>
        </is>
      </c>
    </row>
    <row r="4962" ht="15" customHeight="1" s="37">
      <c r="A4962" t="n">
        <v>1</v>
      </c>
      <c r="B4962" s="10" t="inlineStr">
        <is>
          <t>平日</t>
        </is>
      </c>
      <c r="C4962" s="10" t="inlineStr">
        <is>
          <t>本線</t>
        </is>
      </c>
      <c r="D4962" s="10" t="inlineStr">
        <is>
          <t>上り</t>
        </is>
      </c>
      <c r="E4962" s="10" t="inlineStr">
        <is>
          <t>連0806</t>
        </is>
      </c>
      <c r="F4962" t="inlineStr">
        <is>
          <t>2221</t>
        </is>
      </c>
      <c r="G4962" s="10" t="inlineStr">
        <is>
          <t>鹿王院</t>
        </is>
      </c>
      <c r="H4962" s="10" t="inlineStr">
        <is>
          <t>発</t>
        </is>
      </c>
      <c r="J4962" s="10" t="inlineStr">
        <is>
          <t>営業</t>
        </is>
      </c>
      <c r="L4962" t="inlineStr">
        <is>
          <t>8:23:25</t>
        </is>
      </c>
      <c r="M4962" t="inlineStr">
        <is>
          <t>8:23:45</t>
        </is>
      </c>
      <c r="P4962" t="inlineStr">
        <is>
          <t>B系統(朝)</t>
        </is>
      </c>
      <c r="U4962" t="inlineStr">
        <is>
          <t>→西院 休憩(8:56〜10:06)</t>
        </is>
      </c>
    </row>
    <row r="4963" ht="15" customHeight="1" s="37">
      <c r="A4963" t="n">
        <v>1</v>
      </c>
      <c r="B4963" s="10" t="inlineStr">
        <is>
          <t>平日</t>
        </is>
      </c>
      <c r="C4963" s="10" t="inlineStr">
        <is>
          <t>本線</t>
        </is>
      </c>
      <c r="D4963" s="10" t="inlineStr">
        <is>
          <t>上り</t>
        </is>
      </c>
      <c r="E4963" s="10" t="inlineStr">
        <is>
          <t>連0806</t>
        </is>
      </c>
      <c r="F4963" t="inlineStr">
        <is>
          <t>2221</t>
        </is>
      </c>
      <c r="G4963" s="10" t="inlineStr">
        <is>
          <t>車折</t>
        </is>
      </c>
      <c r="H4963" s="10" t="inlineStr">
        <is>
          <t>発</t>
        </is>
      </c>
      <c r="J4963" s="10" t="inlineStr">
        <is>
          <t>営業</t>
        </is>
      </c>
      <c r="L4963" t="inlineStr">
        <is>
          <t>8:24:40</t>
        </is>
      </c>
      <c r="M4963" t="inlineStr">
        <is>
          <t>8:25:10</t>
        </is>
      </c>
      <c r="P4963" t="inlineStr">
        <is>
          <t>B系統(朝)</t>
        </is>
      </c>
      <c r="U4963" t="inlineStr">
        <is>
          <t>→西院 休憩(8:56〜10:06)</t>
        </is>
      </c>
    </row>
    <row r="4964" ht="15" customHeight="1" s="37">
      <c r="A4964" t="n">
        <v>1</v>
      </c>
      <c r="B4964" s="10" t="inlineStr">
        <is>
          <t>平日</t>
        </is>
      </c>
      <c r="C4964" s="10" t="inlineStr">
        <is>
          <t>本線</t>
        </is>
      </c>
      <c r="D4964" s="10" t="inlineStr">
        <is>
          <t>上り</t>
        </is>
      </c>
      <c r="E4964" s="10" t="inlineStr">
        <is>
          <t>連0806</t>
        </is>
      </c>
      <c r="F4964" t="inlineStr">
        <is>
          <t>2221</t>
        </is>
      </c>
      <c r="G4964" s="10" t="inlineStr">
        <is>
          <t>有栖川</t>
        </is>
      </c>
      <c r="H4964" s="10" t="inlineStr">
        <is>
          <t>発</t>
        </is>
      </c>
      <c r="J4964" s="10" t="inlineStr">
        <is>
          <t>営業</t>
        </is>
      </c>
      <c r="L4964" t="inlineStr">
        <is>
          <t>8:26:35</t>
        </is>
      </c>
      <c r="M4964" t="inlineStr">
        <is>
          <t>8:26:55</t>
        </is>
      </c>
      <c r="P4964" t="inlineStr">
        <is>
          <t>B系統(朝)</t>
        </is>
      </c>
      <c r="U4964" t="inlineStr">
        <is>
          <t>→西院 休憩(8:56〜10:06)</t>
        </is>
      </c>
    </row>
    <row r="4965" ht="15" customHeight="1" s="37">
      <c r="A4965" t="n">
        <v>1</v>
      </c>
      <c r="B4965" s="10" t="inlineStr">
        <is>
          <t>平日</t>
        </is>
      </c>
      <c r="C4965" s="10" t="inlineStr">
        <is>
          <t>本線</t>
        </is>
      </c>
      <c r="D4965" s="10" t="inlineStr">
        <is>
          <t>上り</t>
        </is>
      </c>
      <c r="E4965" s="10" t="inlineStr">
        <is>
          <t>連0806</t>
        </is>
      </c>
      <c r="F4965" t="inlineStr">
        <is>
          <t>2221</t>
        </is>
      </c>
      <c r="G4965" s="10" t="inlineStr">
        <is>
          <t>帷子ノ辻</t>
        </is>
      </c>
      <c r="H4965" s="10" t="inlineStr">
        <is>
          <t>発</t>
        </is>
      </c>
      <c r="J4965" s="10" t="inlineStr">
        <is>
          <t>営業</t>
        </is>
      </c>
      <c r="L4965" t="inlineStr">
        <is>
          <t>8:28:10</t>
        </is>
      </c>
      <c r="M4965" t="inlineStr">
        <is>
          <t>8:29:15</t>
        </is>
      </c>
      <c r="P4965" t="inlineStr">
        <is>
          <t>B系統(朝)</t>
        </is>
      </c>
      <c r="U4965" t="inlineStr">
        <is>
          <t>→西院 休憩(8:56〜10:06)</t>
        </is>
      </c>
    </row>
    <row r="4966" ht="15" customHeight="1" s="37">
      <c r="A4966" t="n">
        <v>1</v>
      </c>
      <c r="B4966" s="10" t="inlineStr">
        <is>
          <t>平日</t>
        </is>
      </c>
      <c r="C4966" s="10" t="inlineStr">
        <is>
          <t>本線</t>
        </is>
      </c>
      <c r="D4966" s="10" t="inlineStr">
        <is>
          <t>上り</t>
        </is>
      </c>
      <c r="E4966" s="10" t="inlineStr">
        <is>
          <t>連0806</t>
        </is>
      </c>
      <c r="F4966" t="inlineStr">
        <is>
          <t>2221</t>
        </is>
      </c>
      <c r="G4966" s="10" t="inlineStr">
        <is>
          <t>太秦広隆寺</t>
        </is>
      </c>
      <c r="H4966" s="10" t="inlineStr">
        <is>
          <t>発</t>
        </is>
      </c>
      <c r="J4966" s="10" t="inlineStr">
        <is>
          <t>営業</t>
        </is>
      </c>
      <c r="L4966" t="inlineStr">
        <is>
          <t>8:31:25</t>
        </is>
      </c>
      <c r="M4966" t="inlineStr">
        <is>
          <t>8:31:45</t>
        </is>
      </c>
      <c r="P4966" t="inlineStr">
        <is>
          <t>B系統(朝)</t>
        </is>
      </c>
      <c r="U4966" t="inlineStr">
        <is>
          <t>→西院 休憩(8:56〜10:06)</t>
        </is>
      </c>
    </row>
    <row r="4967" ht="15" customHeight="1" s="37">
      <c r="A4967" t="n">
        <v>1</v>
      </c>
      <c r="B4967" s="10" t="inlineStr">
        <is>
          <t>平日</t>
        </is>
      </c>
      <c r="C4967" s="10" t="inlineStr">
        <is>
          <t>本線</t>
        </is>
      </c>
      <c r="D4967" s="10" t="inlineStr">
        <is>
          <t>上り</t>
        </is>
      </c>
      <c r="E4967" s="10" t="inlineStr">
        <is>
          <t>連0806</t>
        </is>
      </c>
      <c r="F4967" t="inlineStr">
        <is>
          <t>2221</t>
        </is>
      </c>
      <c r="G4967" s="10" t="inlineStr">
        <is>
          <t>蚕ノ社</t>
        </is>
      </c>
      <c r="H4967" s="10" t="inlineStr">
        <is>
          <t>発</t>
        </is>
      </c>
      <c r="J4967" s="10" t="inlineStr">
        <is>
          <t>営業</t>
        </is>
      </c>
      <c r="L4967" t="inlineStr">
        <is>
          <t>8:33:00</t>
        </is>
      </c>
      <c r="M4967" t="inlineStr">
        <is>
          <t>8:33:20</t>
        </is>
      </c>
      <c r="P4967" t="inlineStr">
        <is>
          <t>B系統(朝)</t>
        </is>
      </c>
      <c r="U4967" t="inlineStr">
        <is>
          <t>→西院 休憩(8:56〜10:06)</t>
        </is>
      </c>
    </row>
    <row r="4968" ht="15" customHeight="1" s="37">
      <c r="A4968" t="n">
        <v>1</v>
      </c>
      <c r="B4968" s="10" t="inlineStr">
        <is>
          <t>平日</t>
        </is>
      </c>
      <c r="C4968" s="10" t="inlineStr">
        <is>
          <t>本線</t>
        </is>
      </c>
      <c r="D4968" s="10" t="inlineStr">
        <is>
          <t>上り</t>
        </is>
      </c>
      <c r="E4968" s="10" t="inlineStr">
        <is>
          <t>連0806</t>
        </is>
      </c>
      <c r="F4968" t="inlineStr">
        <is>
          <t>2221</t>
        </is>
      </c>
      <c r="G4968" s="10" t="inlineStr">
        <is>
          <t>天神川</t>
        </is>
      </c>
      <c r="H4968" s="10" t="inlineStr">
        <is>
          <t>発</t>
        </is>
      </c>
      <c r="J4968" s="10" t="inlineStr">
        <is>
          <t>営業</t>
        </is>
      </c>
      <c r="L4968" t="inlineStr">
        <is>
          <t>8:34:05</t>
        </is>
      </c>
      <c r="M4968" t="inlineStr">
        <is>
          <t>8:34:50</t>
        </is>
      </c>
      <c r="P4968" t="inlineStr">
        <is>
          <t>B系統(朝)</t>
        </is>
      </c>
      <c r="U4968" t="inlineStr">
        <is>
          <t>→西院 休憩(8:56〜10:06)</t>
        </is>
      </c>
    </row>
    <row r="4969" ht="15" customHeight="1" s="37">
      <c r="A4969" t="n">
        <v>1</v>
      </c>
      <c r="B4969" s="10" t="inlineStr">
        <is>
          <t>平日</t>
        </is>
      </c>
      <c r="C4969" s="10" t="inlineStr">
        <is>
          <t>本線</t>
        </is>
      </c>
      <c r="D4969" s="10" t="inlineStr">
        <is>
          <t>上り</t>
        </is>
      </c>
      <c r="E4969" s="10" t="inlineStr">
        <is>
          <t>連0806</t>
        </is>
      </c>
      <c r="F4969" t="inlineStr">
        <is>
          <t>2221</t>
        </is>
      </c>
      <c r="G4969" s="10" t="inlineStr">
        <is>
          <t>山ノ内</t>
        </is>
      </c>
      <c r="H4969" s="10" t="inlineStr">
        <is>
          <t>発</t>
        </is>
      </c>
      <c r="J4969" s="10" t="inlineStr">
        <is>
          <t>営業</t>
        </is>
      </c>
      <c r="L4969" t="inlineStr">
        <is>
          <t>8:36:40</t>
        </is>
      </c>
      <c r="M4969" t="inlineStr">
        <is>
          <t>8:37:05</t>
        </is>
      </c>
      <c r="P4969" t="inlineStr">
        <is>
          <t>B系統(朝)</t>
        </is>
      </c>
      <c r="U4969" t="inlineStr">
        <is>
          <t>→西院 休憩(8:56〜10:06)</t>
        </is>
      </c>
    </row>
    <row r="4970" ht="15" customHeight="1" s="37">
      <c r="A4970" t="n">
        <v>1</v>
      </c>
      <c r="B4970" s="10" t="inlineStr">
        <is>
          <t>平日</t>
        </is>
      </c>
      <c r="C4970" s="10" t="inlineStr">
        <is>
          <t>本線</t>
        </is>
      </c>
      <c r="D4970" s="10" t="inlineStr">
        <is>
          <t>上り</t>
        </is>
      </c>
      <c r="E4970" s="10" t="inlineStr">
        <is>
          <t>連0806</t>
        </is>
      </c>
      <c r="F4970" t="inlineStr">
        <is>
          <t>2221</t>
        </is>
      </c>
      <c r="G4970" s="10" t="inlineStr">
        <is>
          <t>西大路三条</t>
        </is>
      </c>
      <c r="H4970" s="10" t="inlineStr">
        <is>
          <t>発</t>
        </is>
      </c>
      <c r="J4970" s="10" t="inlineStr">
        <is>
          <t>営業</t>
        </is>
      </c>
      <c r="L4970" t="inlineStr">
        <is>
          <t>8:38:55</t>
        </is>
      </c>
      <c r="M4970" t="inlineStr">
        <is>
          <t>8:39:15</t>
        </is>
      </c>
      <c r="P4970" t="inlineStr">
        <is>
          <t>B系統(朝)</t>
        </is>
      </c>
      <c r="U4970" t="inlineStr">
        <is>
          <t>→西院 休憩(8:56〜10:06)</t>
        </is>
      </c>
    </row>
    <row r="4971" ht="15" customHeight="1" s="37">
      <c r="A4971" t="n">
        <v>1</v>
      </c>
      <c r="B4971" s="10" t="inlineStr">
        <is>
          <t>平日</t>
        </is>
      </c>
      <c r="C4971" s="10" t="inlineStr">
        <is>
          <t>本線</t>
        </is>
      </c>
      <c r="D4971" s="10" t="inlineStr">
        <is>
          <t>上り</t>
        </is>
      </c>
      <c r="E4971" s="10" t="inlineStr">
        <is>
          <t>連0806</t>
        </is>
      </c>
      <c r="F4971" t="inlineStr">
        <is>
          <t>2221</t>
        </is>
      </c>
      <c r="G4971" s="10" t="inlineStr">
        <is>
          <t>西院</t>
        </is>
      </c>
      <c r="H4971" s="10" t="inlineStr">
        <is>
          <t>発</t>
        </is>
      </c>
      <c r="J4971" s="10" t="inlineStr">
        <is>
          <t>営業</t>
        </is>
      </c>
      <c r="L4971" t="inlineStr">
        <is>
          <t>8:41:10</t>
        </is>
      </c>
      <c r="M4971" t="inlineStr">
        <is>
          <t>8:42:05</t>
        </is>
      </c>
      <c r="P4971" t="inlineStr">
        <is>
          <t>B系統(朝)</t>
        </is>
      </c>
      <c r="U4971" t="inlineStr">
        <is>
          <t>→西院 休憩(8:56〜10:06)</t>
        </is>
      </c>
    </row>
    <row r="4972" ht="15" customHeight="1" s="37">
      <c r="A4972" t="n">
        <v>1</v>
      </c>
      <c r="B4972" s="10" t="inlineStr">
        <is>
          <t>平日</t>
        </is>
      </c>
      <c r="C4972" s="10" t="inlineStr">
        <is>
          <t>本線</t>
        </is>
      </c>
      <c r="D4972" s="10" t="inlineStr">
        <is>
          <t>上り</t>
        </is>
      </c>
      <c r="E4972" s="10" t="inlineStr">
        <is>
          <t>連0806</t>
        </is>
      </c>
      <c r="F4972" t="inlineStr">
        <is>
          <t>2221</t>
        </is>
      </c>
      <c r="G4972" s="10" t="inlineStr">
        <is>
          <t>四条大宮</t>
        </is>
      </c>
      <c r="H4972" s="10" t="inlineStr">
        <is>
          <t>着</t>
        </is>
      </c>
      <c r="J4972" s="10" t="inlineStr">
        <is>
          <t>営業</t>
        </is>
      </c>
      <c r="L4972" t="inlineStr">
        <is>
          <t>8:45:00</t>
        </is>
      </c>
      <c r="P4972" t="inlineStr">
        <is>
          <t>B系統(朝)</t>
        </is>
      </c>
      <c r="Q4972" t="inlineStr">
        <is>
          <t>2</t>
        </is>
      </c>
      <c r="U4972" t="inlineStr">
        <is>
          <t>→西院 休憩(8:56〜10:06)</t>
        </is>
      </c>
    </row>
    <row r="4973" ht="15" customHeight="1" s="37">
      <c r="A4973" t="n">
        <v>1</v>
      </c>
      <c r="B4973" s="10" t="inlineStr">
        <is>
          <t>平日</t>
        </is>
      </c>
      <c r="C4973" s="10" t="inlineStr">
        <is>
          <t>本線</t>
        </is>
      </c>
      <c r="D4973" s="10" t="inlineStr">
        <is>
          <t>下り</t>
        </is>
      </c>
      <c r="E4973" s="10" t="inlineStr">
        <is>
          <t>連0811</t>
        </is>
      </c>
      <c r="F4973" t="inlineStr">
        <is>
          <t>0122</t>
        </is>
      </c>
      <c r="G4973" s="10" t="inlineStr">
        <is>
          <t>四条大宮</t>
        </is>
      </c>
      <c r="H4973" s="10" t="inlineStr">
        <is>
          <t>発</t>
        </is>
      </c>
      <c r="J4973" s="10" t="inlineStr">
        <is>
          <t>営業</t>
        </is>
      </c>
      <c r="M4973" t="inlineStr">
        <is>
          <t>8:53:00</t>
        </is>
      </c>
      <c r="P4973" t="inlineStr">
        <is>
          <t>B系統(朝)</t>
        </is>
      </c>
      <c r="Q4973" t="inlineStr">
        <is>
          <t>2</t>
        </is>
      </c>
      <c r="U4973" t="inlineStr">
        <is>
          <t>→西院 休憩(8:56〜10:06)</t>
        </is>
      </c>
    </row>
    <row r="4974" ht="15" customHeight="1" s="37">
      <c r="A4974" t="n">
        <v>1</v>
      </c>
      <c r="B4974" s="10" t="inlineStr">
        <is>
          <t>平日</t>
        </is>
      </c>
      <c r="C4974" s="10" t="inlineStr">
        <is>
          <t>本線</t>
        </is>
      </c>
      <c r="D4974" s="10" t="inlineStr">
        <is>
          <t>下り</t>
        </is>
      </c>
      <c r="E4974" s="10" t="inlineStr">
        <is>
          <t>連0811</t>
        </is>
      </c>
      <c r="F4974" t="inlineStr">
        <is>
          <t>0122</t>
        </is>
      </c>
      <c r="G4974" s="10" t="inlineStr">
        <is>
          <t>西院</t>
        </is>
      </c>
      <c r="H4974" s="10" t="inlineStr">
        <is>
          <t>着</t>
        </is>
      </c>
      <c r="J4974" s="10" t="inlineStr">
        <is>
          <t>営業</t>
        </is>
      </c>
      <c r="L4974" t="inlineStr">
        <is>
          <t>8:55:50</t>
        </is>
      </c>
      <c r="M4974" t="inlineStr">
        <is>
          <t>8:56:20</t>
        </is>
      </c>
      <c r="P4974" t="inlineStr">
        <is>
          <t>B系統(朝)</t>
        </is>
      </c>
      <c r="U4974" t="inlineStr">
        <is>
          <t>→西院 休憩(8:56〜10:06)</t>
        </is>
      </c>
    </row>
    <row r="4975" ht="15" customHeight="1" s="37">
      <c r="A4975" t="n">
        <v>10</v>
      </c>
      <c r="B4975" s="10" t="inlineStr">
        <is>
          <t>平日</t>
        </is>
      </c>
      <c r="C4975" s="10" t="inlineStr">
        <is>
          <t>本線</t>
        </is>
      </c>
      <c r="D4975" s="10" t="inlineStr">
        <is>
          <t>下り</t>
        </is>
      </c>
      <c r="E4975" t="inlineStr">
        <is>
          <t>1401</t>
        </is>
      </c>
      <c r="F4975" t="inlineStr">
        <is>
          <t>0112</t>
        </is>
      </c>
      <c r="G4975" s="10" t="inlineStr">
        <is>
          <t>西院</t>
        </is>
      </c>
      <c r="H4975" s="10" t="inlineStr">
        <is>
          <t>発</t>
        </is>
      </c>
      <c r="J4975" s="10" t="inlineStr">
        <is>
          <t>営業</t>
        </is>
      </c>
      <c r="L4975" t="inlineStr">
        <is>
          <t>14:05:50</t>
        </is>
      </c>
      <c r="M4975" t="inlineStr">
        <is>
          <t>14:06:20</t>
        </is>
      </c>
    </row>
    <row r="4976" ht="15" customHeight="1" s="37">
      <c r="A4976" t="n">
        <v>10</v>
      </c>
      <c r="B4976" s="10" t="inlineStr">
        <is>
          <t>平日</t>
        </is>
      </c>
      <c r="C4976" s="10" t="inlineStr">
        <is>
          <t>本線</t>
        </is>
      </c>
      <c r="D4976" s="10" t="inlineStr">
        <is>
          <t>下り</t>
        </is>
      </c>
      <c r="E4976" t="inlineStr">
        <is>
          <t>1401</t>
        </is>
      </c>
      <c r="F4976" t="inlineStr">
        <is>
          <t>0112</t>
        </is>
      </c>
      <c r="G4976" s="10" t="inlineStr">
        <is>
          <t>西大路三条</t>
        </is>
      </c>
      <c r="H4976" s="10" t="inlineStr">
        <is>
          <t>発</t>
        </is>
      </c>
      <c r="J4976" s="10" t="inlineStr">
        <is>
          <t>営業</t>
        </is>
      </c>
      <c r="L4976" t="inlineStr">
        <is>
          <t>14:08:10</t>
        </is>
      </c>
      <c r="M4976" t="inlineStr">
        <is>
          <t>14:08:30</t>
        </is>
      </c>
    </row>
    <row r="4977" ht="15" customHeight="1" s="37">
      <c r="A4977" t="n">
        <v>10</v>
      </c>
      <c r="B4977" s="10" t="inlineStr">
        <is>
          <t>平日</t>
        </is>
      </c>
      <c r="C4977" s="10" t="inlineStr">
        <is>
          <t>本線</t>
        </is>
      </c>
      <c r="D4977" s="10" t="inlineStr">
        <is>
          <t>下り</t>
        </is>
      </c>
      <c r="E4977" t="inlineStr">
        <is>
          <t>1401</t>
        </is>
      </c>
      <c r="F4977" t="inlineStr">
        <is>
          <t>0112</t>
        </is>
      </c>
      <c r="G4977" s="10" t="inlineStr">
        <is>
          <t>山ノ内</t>
        </is>
      </c>
      <c r="H4977" s="10" t="inlineStr">
        <is>
          <t>発</t>
        </is>
      </c>
      <c r="J4977" s="10" t="inlineStr">
        <is>
          <t>営業</t>
        </is>
      </c>
      <c r="L4977" t="inlineStr">
        <is>
          <t>14:10:25</t>
        </is>
      </c>
      <c r="M4977" t="inlineStr">
        <is>
          <t>14:10:50</t>
        </is>
      </c>
    </row>
    <row r="4978" ht="15" customHeight="1" s="37">
      <c r="A4978" t="n">
        <v>10</v>
      </c>
      <c r="B4978" s="10" t="inlineStr">
        <is>
          <t>平日</t>
        </is>
      </c>
      <c r="C4978" s="10" t="inlineStr">
        <is>
          <t>本線</t>
        </is>
      </c>
      <c r="D4978" s="10" t="inlineStr">
        <is>
          <t>下り</t>
        </is>
      </c>
      <c r="E4978" t="inlineStr">
        <is>
          <t>1401</t>
        </is>
      </c>
      <c r="F4978" t="inlineStr">
        <is>
          <t>0112</t>
        </is>
      </c>
      <c r="G4978" s="10" t="inlineStr">
        <is>
          <t>天神川</t>
        </is>
      </c>
      <c r="H4978" s="10" t="inlineStr">
        <is>
          <t>発</t>
        </is>
      </c>
      <c r="J4978" s="10" t="inlineStr">
        <is>
          <t>営業</t>
        </is>
      </c>
      <c r="L4978" t="inlineStr">
        <is>
          <t>14:12:50</t>
        </is>
      </c>
      <c r="M4978" t="inlineStr">
        <is>
          <t>14:13:30</t>
        </is>
      </c>
    </row>
    <row r="4979" ht="15" customHeight="1" s="37">
      <c r="A4979" t="n">
        <v>10</v>
      </c>
      <c r="B4979" s="10" t="inlineStr">
        <is>
          <t>平日</t>
        </is>
      </c>
      <c r="C4979" s="10" t="inlineStr">
        <is>
          <t>本線</t>
        </is>
      </c>
      <c r="D4979" s="10" t="inlineStr">
        <is>
          <t>下り</t>
        </is>
      </c>
      <c r="E4979" t="inlineStr">
        <is>
          <t>1401</t>
        </is>
      </c>
      <c r="F4979" t="inlineStr">
        <is>
          <t>0112</t>
        </is>
      </c>
      <c r="G4979" s="10" t="inlineStr">
        <is>
          <t>蚕ノ社</t>
        </is>
      </c>
      <c r="H4979" s="10" t="inlineStr">
        <is>
          <t>発</t>
        </is>
      </c>
      <c r="J4979" s="10" t="inlineStr">
        <is>
          <t>営業</t>
        </is>
      </c>
      <c r="L4979" t="inlineStr">
        <is>
          <t>14:14:20</t>
        </is>
      </c>
      <c r="M4979" t="inlineStr">
        <is>
          <t>14:14:40</t>
        </is>
      </c>
    </row>
    <row r="4980" ht="15" customHeight="1" s="37">
      <c r="A4980" t="n">
        <v>10</v>
      </c>
      <c r="B4980" s="10" t="inlineStr">
        <is>
          <t>平日</t>
        </is>
      </c>
      <c r="C4980" s="10" t="inlineStr">
        <is>
          <t>本線</t>
        </is>
      </c>
      <c r="D4980" s="10" t="inlineStr">
        <is>
          <t>下り</t>
        </is>
      </c>
      <c r="E4980" t="inlineStr">
        <is>
          <t>1401</t>
        </is>
      </c>
      <c r="F4980" t="inlineStr">
        <is>
          <t>0112</t>
        </is>
      </c>
      <c r="G4980" s="10" t="inlineStr">
        <is>
          <t>太秦広隆寺</t>
        </is>
      </c>
      <c r="H4980" s="10" t="inlineStr">
        <is>
          <t>発</t>
        </is>
      </c>
      <c r="J4980" s="10" t="inlineStr">
        <is>
          <t>営業</t>
        </is>
      </c>
      <c r="L4980" t="inlineStr">
        <is>
          <t>14:16:00</t>
        </is>
      </c>
      <c r="M4980" t="inlineStr">
        <is>
          <t>14:16:20</t>
        </is>
      </c>
    </row>
    <row r="4981" ht="15" customHeight="1" s="37">
      <c r="A4981" t="n">
        <v>10</v>
      </c>
      <c r="B4981" s="10" t="inlineStr">
        <is>
          <t>平日</t>
        </is>
      </c>
      <c r="C4981" s="10" t="inlineStr">
        <is>
          <t>本線</t>
        </is>
      </c>
      <c r="D4981" s="10" t="inlineStr">
        <is>
          <t>下り</t>
        </is>
      </c>
      <c r="E4981" t="inlineStr">
        <is>
          <t>1401</t>
        </is>
      </c>
      <c r="F4981" t="inlineStr">
        <is>
          <t>0112</t>
        </is>
      </c>
      <c r="G4981" s="10" t="inlineStr">
        <is>
          <t>帷子ノ辻</t>
        </is>
      </c>
      <c r="H4981" s="10" t="inlineStr">
        <is>
          <t>発</t>
        </is>
      </c>
      <c r="J4981" s="10" t="inlineStr">
        <is>
          <t>営業</t>
        </is>
      </c>
      <c r="L4981" t="inlineStr">
        <is>
          <t>14:18:20</t>
        </is>
      </c>
      <c r="M4981" t="inlineStr">
        <is>
          <t>14:19:40</t>
        </is>
      </c>
    </row>
    <row r="4982" ht="15" customHeight="1" s="37">
      <c r="A4982" t="n">
        <v>10</v>
      </c>
      <c r="B4982" s="10" t="inlineStr">
        <is>
          <t>平日</t>
        </is>
      </c>
      <c r="C4982" s="10" t="inlineStr">
        <is>
          <t>本線</t>
        </is>
      </c>
      <c r="D4982" s="10" t="inlineStr">
        <is>
          <t>下り</t>
        </is>
      </c>
      <c r="E4982" t="inlineStr">
        <is>
          <t>1401</t>
        </is>
      </c>
      <c r="F4982" t="inlineStr">
        <is>
          <t>0112</t>
        </is>
      </c>
      <c r="G4982" s="10" t="inlineStr">
        <is>
          <t>有栖川</t>
        </is>
      </c>
      <c r="H4982" s="10" t="inlineStr">
        <is>
          <t>発</t>
        </is>
      </c>
      <c r="J4982" s="10" t="inlineStr">
        <is>
          <t>営業</t>
        </is>
      </c>
      <c r="L4982" t="inlineStr">
        <is>
          <t>14:20:50</t>
        </is>
      </c>
      <c r="M4982" t="inlineStr">
        <is>
          <t>14:21:15</t>
        </is>
      </c>
    </row>
    <row r="4983" ht="15" customHeight="1" s="37">
      <c r="A4983" t="n">
        <v>10</v>
      </c>
      <c r="B4983" s="10" t="inlineStr">
        <is>
          <t>平日</t>
        </is>
      </c>
      <c r="C4983" s="10" t="inlineStr">
        <is>
          <t>本線</t>
        </is>
      </c>
      <c r="D4983" s="10" t="inlineStr">
        <is>
          <t>下り</t>
        </is>
      </c>
      <c r="E4983" t="inlineStr">
        <is>
          <t>1401</t>
        </is>
      </c>
      <c r="F4983" t="inlineStr">
        <is>
          <t>0112</t>
        </is>
      </c>
      <c r="G4983" s="10" t="inlineStr">
        <is>
          <t>車折</t>
        </is>
      </c>
      <c r="H4983" s="10" t="inlineStr">
        <is>
          <t>発</t>
        </is>
      </c>
      <c r="J4983" s="10" t="inlineStr">
        <is>
          <t>営業</t>
        </is>
      </c>
      <c r="L4983" t="inlineStr">
        <is>
          <t>14:22:40</t>
        </is>
      </c>
      <c r="M4983" t="inlineStr">
        <is>
          <t>14:23:05</t>
        </is>
      </c>
    </row>
    <row r="4984" ht="15" customHeight="1" s="37">
      <c r="A4984" t="n">
        <v>10</v>
      </c>
      <c r="B4984" s="10" t="inlineStr">
        <is>
          <t>平日</t>
        </is>
      </c>
      <c r="C4984" s="10" t="inlineStr">
        <is>
          <t>本線</t>
        </is>
      </c>
      <c r="D4984" s="10" t="inlineStr">
        <is>
          <t>下り</t>
        </is>
      </c>
      <c r="E4984" t="inlineStr">
        <is>
          <t>1401</t>
        </is>
      </c>
      <c r="F4984" t="inlineStr">
        <is>
          <t>0112</t>
        </is>
      </c>
      <c r="G4984" s="10" t="inlineStr">
        <is>
          <t>鹿王院</t>
        </is>
      </c>
      <c r="H4984" s="10" t="inlineStr">
        <is>
          <t>発</t>
        </is>
      </c>
      <c r="J4984" s="10" t="inlineStr">
        <is>
          <t>営業</t>
        </is>
      </c>
      <c r="L4984" t="inlineStr">
        <is>
          <t>14:24:00</t>
        </is>
      </c>
      <c r="M4984" t="inlineStr">
        <is>
          <t>14:24:25</t>
        </is>
      </c>
    </row>
    <row r="4985" ht="15" customHeight="1" s="37">
      <c r="A4985" t="n">
        <v>10</v>
      </c>
      <c r="B4985" s="10" t="inlineStr">
        <is>
          <t>平日</t>
        </is>
      </c>
      <c r="C4985" s="10" t="inlineStr">
        <is>
          <t>本線</t>
        </is>
      </c>
      <c r="D4985" s="10" t="inlineStr">
        <is>
          <t>下り</t>
        </is>
      </c>
      <c r="E4985" t="inlineStr">
        <is>
          <t>1401</t>
        </is>
      </c>
      <c r="F4985" t="inlineStr">
        <is>
          <t>0112</t>
        </is>
      </c>
      <c r="G4985" s="10" t="inlineStr">
        <is>
          <t>嵯峨</t>
        </is>
      </c>
      <c r="H4985" s="10" t="inlineStr">
        <is>
          <t>発</t>
        </is>
      </c>
      <c r="J4985" s="10" t="inlineStr">
        <is>
          <t>営業</t>
        </is>
      </c>
      <c r="L4985" t="inlineStr">
        <is>
          <t>14:25:30</t>
        </is>
      </c>
      <c r="M4985" t="inlineStr">
        <is>
          <t>14:25:55</t>
        </is>
      </c>
    </row>
    <row r="4986" ht="15" customHeight="1" s="37">
      <c r="A4986" t="n">
        <v>10</v>
      </c>
      <c r="B4986" s="10" t="inlineStr">
        <is>
          <t>平日</t>
        </is>
      </c>
      <c r="C4986" s="10" t="inlineStr">
        <is>
          <t>本線</t>
        </is>
      </c>
      <c r="D4986" s="10" t="inlineStr">
        <is>
          <t>下り</t>
        </is>
      </c>
      <c r="E4986" t="inlineStr">
        <is>
          <t>1401</t>
        </is>
      </c>
      <c r="F4986" t="inlineStr">
        <is>
          <t>0112</t>
        </is>
      </c>
      <c r="G4986" s="10" t="inlineStr">
        <is>
          <t>嵐山</t>
        </is>
      </c>
      <c r="H4986" s="10" t="inlineStr">
        <is>
          <t>着</t>
        </is>
      </c>
      <c r="J4986" s="10" t="inlineStr">
        <is>
          <t>営業</t>
        </is>
      </c>
      <c r="L4986" t="inlineStr">
        <is>
          <t>14:27:00</t>
        </is>
      </c>
      <c r="Q4986" t="inlineStr">
        <is>
          <t>1</t>
        </is>
      </c>
    </row>
    <row r="4987" ht="15" customHeight="1" s="37">
      <c r="A4987" t="n">
        <v>10</v>
      </c>
      <c r="B4987" s="10" t="inlineStr">
        <is>
          <t>平日</t>
        </is>
      </c>
      <c r="C4987" s="10" t="inlineStr">
        <is>
          <t>本線</t>
        </is>
      </c>
      <c r="D4987" s="10" t="inlineStr">
        <is>
          <t>上り</t>
        </is>
      </c>
      <c r="E4987" t="inlineStr">
        <is>
          <t>1408</t>
        </is>
      </c>
      <c r="F4987" t="inlineStr">
        <is>
          <t>0211</t>
        </is>
      </c>
      <c r="G4987" s="10" t="inlineStr">
        <is>
          <t>嵐山</t>
        </is>
      </c>
      <c r="H4987" s="10" t="inlineStr">
        <is>
          <t>発</t>
        </is>
      </c>
      <c r="J4987" s="10" t="inlineStr">
        <is>
          <t>営業</t>
        </is>
      </c>
      <c r="M4987" t="inlineStr">
        <is>
          <t>14:33:00</t>
        </is>
      </c>
      <c r="Q4987" t="inlineStr">
        <is>
          <t>1</t>
        </is>
      </c>
    </row>
    <row r="4988" ht="15" customHeight="1" s="37">
      <c r="A4988" t="n">
        <v>10</v>
      </c>
      <c r="B4988" s="10" t="inlineStr">
        <is>
          <t>平日</t>
        </is>
      </c>
      <c r="C4988" s="10" t="inlineStr">
        <is>
          <t>本線</t>
        </is>
      </c>
      <c r="D4988" s="10" t="inlineStr">
        <is>
          <t>上り</t>
        </is>
      </c>
      <c r="E4988" t="inlineStr">
        <is>
          <t>1408</t>
        </is>
      </c>
      <c r="F4988" t="inlineStr">
        <is>
          <t>0211</t>
        </is>
      </c>
      <c r="G4988" s="10" t="inlineStr">
        <is>
          <t>嵯峨</t>
        </is>
      </c>
      <c r="H4988" s="10" t="inlineStr">
        <is>
          <t>発</t>
        </is>
      </c>
      <c r="J4988" s="10" t="inlineStr">
        <is>
          <t>営業</t>
        </is>
      </c>
      <c r="L4988" t="inlineStr">
        <is>
          <t>14:33:55</t>
        </is>
      </c>
      <c r="M4988" t="inlineStr">
        <is>
          <t>14:34:20</t>
        </is>
      </c>
    </row>
    <row r="4989" ht="15" customHeight="1" s="37">
      <c r="A4989" t="n">
        <v>10</v>
      </c>
      <c r="B4989" s="10" t="inlineStr">
        <is>
          <t>平日</t>
        </is>
      </c>
      <c r="C4989" s="10" t="inlineStr">
        <is>
          <t>本線</t>
        </is>
      </c>
      <c r="D4989" s="10" t="inlineStr">
        <is>
          <t>上り</t>
        </is>
      </c>
      <c r="E4989" t="inlineStr">
        <is>
          <t>1408</t>
        </is>
      </c>
      <c r="F4989" t="inlineStr">
        <is>
          <t>0211</t>
        </is>
      </c>
      <c r="G4989" s="10" t="inlineStr">
        <is>
          <t>鹿王院</t>
        </is>
      </c>
      <c r="H4989" s="10" t="inlineStr">
        <is>
          <t>発</t>
        </is>
      </c>
      <c r="J4989" s="10" t="inlineStr">
        <is>
          <t>営業</t>
        </is>
      </c>
      <c r="L4989" t="inlineStr">
        <is>
          <t>14:35:25</t>
        </is>
      </c>
      <c r="M4989" t="inlineStr">
        <is>
          <t>14:35:45</t>
        </is>
      </c>
    </row>
    <row r="4990" ht="15" customHeight="1" s="37">
      <c r="A4990" t="n">
        <v>10</v>
      </c>
      <c r="B4990" s="10" t="inlineStr">
        <is>
          <t>平日</t>
        </is>
      </c>
      <c r="C4990" s="10" t="inlineStr">
        <is>
          <t>本線</t>
        </is>
      </c>
      <c r="D4990" s="10" t="inlineStr">
        <is>
          <t>上り</t>
        </is>
      </c>
      <c r="E4990" t="inlineStr">
        <is>
          <t>1408</t>
        </is>
      </c>
      <c r="F4990" t="inlineStr">
        <is>
          <t>0211</t>
        </is>
      </c>
      <c r="G4990" s="10" t="inlineStr">
        <is>
          <t>車折</t>
        </is>
      </c>
      <c r="H4990" s="10" t="inlineStr">
        <is>
          <t>発</t>
        </is>
      </c>
      <c r="J4990" s="10" t="inlineStr">
        <is>
          <t>営業</t>
        </is>
      </c>
      <c r="L4990" t="inlineStr">
        <is>
          <t>14:36:40</t>
        </is>
      </c>
      <c r="M4990" t="inlineStr">
        <is>
          <t>14:37:10</t>
        </is>
      </c>
    </row>
    <row r="4991" ht="15" customHeight="1" s="37">
      <c r="A4991" t="n">
        <v>10</v>
      </c>
      <c r="B4991" s="10" t="inlineStr">
        <is>
          <t>平日</t>
        </is>
      </c>
      <c r="C4991" s="10" t="inlineStr">
        <is>
          <t>本線</t>
        </is>
      </c>
      <c r="D4991" s="10" t="inlineStr">
        <is>
          <t>上り</t>
        </is>
      </c>
      <c r="E4991" t="inlineStr">
        <is>
          <t>1408</t>
        </is>
      </c>
      <c r="F4991" t="inlineStr">
        <is>
          <t>0211</t>
        </is>
      </c>
      <c r="G4991" s="10" t="inlineStr">
        <is>
          <t>有栖川</t>
        </is>
      </c>
      <c r="H4991" s="10" t="inlineStr">
        <is>
          <t>発</t>
        </is>
      </c>
      <c r="J4991" s="10" t="inlineStr">
        <is>
          <t>営業</t>
        </is>
      </c>
      <c r="L4991" t="inlineStr">
        <is>
          <t>14:38:35</t>
        </is>
      </c>
      <c r="M4991" t="inlineStr">
        <is>
          <t>14:38:55</t>
        </is>
      </c>
    </row>
    <row r="4992" ht="15" customHeight="1" s="37">
      <c r="A4992" t="n">
        <v>10</v>
      </c>
      <c r="B4992" s="10" t="inlineStr">
        <is>
          <t>平日</t>
        </is>
      </c>
      <c r="C4992" s="10" t="inlineStr">
        <is>
          <t>本線</t>
        </is>
      </c>
      <c r="D4992" s="10" t="inlineStr">
        <is>
          <t>上り</t>
        </is>
      </c>
      <c r="E4992" t="inlineStr">
        <is>
          <t>1408</t>
        </is>
      </c>
      <c r="F4992" t="inlineStr">
        <is>
          <t>0211</t>
        </is>
      </c>
      <c r="G4992" s="10" t="inlineStr">
        <is>
          <t>帷子ノ辻</t>
        </is>
      </c>
      <c r="H4992" s="10" t="inlineStr">
        <is>
          <t>発</t>
        </is>
      </c>
      <c r="J4992" s="10" t="inlineStr">
        <is>
          <t>営業</t>
        </is>
      </c>
      <c r="L4992" t="inlineStr">
        <is>
          <t>14:40:10</t>
        </is>
      </c>
      <c r="M4992" t="inlineStr">
        <is>
          <t>14:41:15</t>
        </is>
      </c>
    </row>
    <row r="4993" ht="15" customHeight="1" s="37">
      <c r="A4993" t="n">
        <v>10</v>
      </c>
      <c r="B4993" s="10" t="inlineStr">
        <is>
          <t>平日</t>
        </is>
      </c>
      <c r="C4993" s="10" t="inlineStr">
        <is>
          <t>本線</t>
        </is>
      </c>
      <c r="D4993" s="10" t="inlineStr">
        <is>
          <t>上り</t>
        </is>
      </c>
      <c r="E4993" t="inlineStr">
        <is>
          <t>1408</t>
        </is>
      </c>
      <c r="F4993" t="inlineStr">
        <is>
          <t>0211</t>
        </is>
      </c>
      <c r="G4993" s="10" t="inlineStr">
        <is>
          <t>太秦広隆寺</t>
        </is>
      </c>
      <c r="H4993" s="10" t="inlineStr">
        <is>
          <t>発</t>
        </is>
      </c>
      <c r="J4993" s="10" t="inlineStr">
        <is>
          <t>営業</t>
        </is>
      </c>
      <c r="L4993" t="inlineStr">
        <is>
          <t>14:43:25</t>
        </is>
      </c>
      <c r="M4993" t="inlineStr">
        <is>
          <t>14:43:45</t>
        </is>
      </c>
    </row>
    <row r="4994" ht="15" customHeight="1" s="37">
      <c r="A4994" t="n">
        <v>10</v>
      </c>
      <c r="B4994" s="10" t="inlineStr">
        <is>
          <t>平日</t>
        </is>
      </c>
      <c r="C4994" s="10" t="inlineStr">
        <is>
          <t>本線</t>
        </is>
      </c>
      <c r="D4994" s="10" t="inlineStr">
        <is>
          <t>上り</t>
        </is>
      </c>
      <c r="E4994" t="inlineStr">
        <is>
          <t>1408</t>
        </is>
      </c>
      <c r="F4994" t="inlineStr">
        <is>
          <t>0211</t>
        </is>
      </c>
      <c r="G4994" s="10" t="inlineStr">
        <is>
          <t>蚕ノ社</t>
        </is>
      </c>
      <c r="H4994" s="10" t="inlineStr">
        <is>
          <t>発</t>
        </is>
      </c>
      <c r="J4994" s="10" t="inlineStr">
        <is>
          <t>営業</t>
        </is>
      </c>
      <c r="L4994" t="inlineStr">
        <is>
          <t>14:45:00</t>
        </is>
      </c>
      <c r="M4994" t="inlineStr">
        <is>
          <t>14:45:20</t>
        </is>
      </c>
    </row>
    <row r="4995" ht="15" customHeight="1" s="37">
      <c r="A4995" t="n">
        <v>10</v>
      </c>
      <c r="B4995" s="10" t="inlineStr">
        <is>
          <t>平日</t>
        </is>
      </c>
      <c r="C4995" s="10" t="inlineStr">
        <is>
          <t>本線</t>
        </is>
      </c>
      <c r="D4995" s="10" t="inlineStr">
        <is>
          <t>上り</t>
        </is>
      </c>
      <c r="E4995" t="inlineStr">
        <is>
          <t>1408</t>
        </is>
      </c>
      <c r="F4995" t="inlineStr">
        <is>
          <t>0211</t>
        </is>
      </c>
      <c r="G4995" s="10" t="inlineStr">
        <is>
          <t>天神川</t>
        </is>
      </c>
      <c r="H4995" s="10" t="inlineStr">
        <is>
          <t>発</t>
        </is>
      </c>
      <c r="J4995" s="10" t="inlineStr">
        <is>
          <t>営業</t>
        </is>
      </c>
      <c r="L4995" t="inlineStr">
        <is>
          <t>14:46:05</t>
        </is>
      </c>
      <c r="M4995" t="inlineStr">
        <is>
          <t>14:46:50</t>
        </is>
      </c>
    </row>
    <row r="4996" ht="15" customHeight="1" s="37">
      <c r="A4996" t="n">
        <v>10</v>
      </c>
      <c r="B4996" s="10" t="inlineStr">
        <is>
          <t>平日</t>
        </is>
      </c>
      <c r="C4996" s="10" t="inlineStr">
        <is>
          <t>本線</t>
        </is>
      </c>
      <c r="D4996" s="10" t="inlineStr">
        <is>
          <t>上り</t>
        </is>
      </c>
      <c r="E4996" t="inlineStr">
        <is>
          <t>1408</t>
        </is>
      </c>
      <c r="F4996" t="inlineStr">
        <is>
          <t>0211</t>
        </is>
      </c>
      <c r="G4996" s="10" t="inlineStr">
        <is>
          <t>山ノ内</t>
        </is>
      </c>
      <c r="H4996" s="10" t="inlineStr">
        <is>
          <t>発</t>
        </is>
      </c>
      <c r="J4996" s="10" t="inlineStr">
        <is>
          <t>営業</t>
        </is>
      </c>
      <c r="L4996" t="inlineStr">
        <is>
          <t>14:48:40</t>
        </is>
      </c>
      <c r="M4996" t="inlineStr">
        <is>
          <t>14:49:05</t>
        </is>
      </c>
    </row>
    <row r="4997" ht="15" customHeight="1" s="37">
      <c r="A4997" t="n">
        <v>10</v>
      </c>
      <c r="B4997" s="10" t="inlineStr">
        <is>
          <t>平日</t>
        </is>
      </c>
      <c r="C4997" s="10" t="inlineStr">
        <is>
          <t>本線</t>
        </is>
      </c>
      <c r="D4997" s="10" t="inlineStr">
        <is>
          <t>上り</t>
        </is>
      </c>
      <c r="E4997" t="inlineStr">
        <is>
          <t>1408</t>
        </is>
      </c>
      <c r="F4997" t="inlineStr">
        <is>
          <t>0211</t>
        </is>
      </c>
      <c r="G4997" s="10" t="inlineStr">
        <is>
          <t>西大路三条</t>
        </is>
      </c>
      <c r="H4997" s="10" t="inlineStr">
        <is>
          <t>発</t>
        </is>
      </c>
      <c r="J4997" s="10" t="inlineStr">
        <is>
          <t>営業</t>
        </is>
      </c>
      <c r="L4997" t="inlineStr">
        <is>
          <t>14:50:55</t>
        </is>
      </c>
      <c r="M4997" t="inlineStr">
        <is>
          <t>14:51:15</t>
        </is>
      </c>
    </row>
    <row r="4998" ht="15" customHeight="1" s="37">
      <c r="A4998" t="n">
        <v>10</v>
      </c>
      <c r="B4998" s="10" t="inlineStr">
        <is>
          <t>平日</t>
        </is>
      </c>
      <c r="C4998" s="10" t="inlineStr">
        <is>
          <t>本線</t>
        </is>
      </c>
      <c r="D4998" s="10" t="inlineStr">
        <is>
          <t>上り</t>
        </is>
      </c>
      <c r="E4998" t="inlineStr">
        <is>
          <t>1408</t>
        </is>
      </c>
      <c r="F4998" t="inlineStr">
        <is>
          <t>0211</t>
        </is>
      </c>
      <c r="G4998" s="10" t="inlineStr">
        <is>
          <t>西院</t>
        </is>
      </c>
      <c r="H4998" s="10" t="inlineStr">
        <is>
          <t>発</t>
        </is>
      </c>
      <c r="J4998" s="10" t="inlineStr">
        <is>
          <t>営業</t>
        </is>
      </c>
      <c r="L4998" t="inlineStr">
        <is>
          <t>14:53:10</t>
        </is>
      </c>
      <c r="M4998" t="inlineStr">
        <is>
          <t>14:54:05</t>
        </is>
      </c>
    </row>
    <row r="4999" ht="15" customHeight="1" s="37">
      <c r="A4999" t="n">
        <v>10</v>
      </c>
      <c r="B4999" s="10" t="inlineStr">
        <is>
          <t>平日</t>
        </is>
      </c>
      <c r="C4999" s="10" t="inlineStr">
        <is>
          <t>本線</t>
        </is>
      </c>
      <c r="D4999" s="10" t="inlineStr">
        <is>
          <t>上り</t>
        </is>
      </c>
      <c r="E4999" t="inlineStr">
        <is>
          <t>1408</t>
        </is>
      </c>
      <c r="F4999" t="inlineStr">
        <is>
          <t>0211</t>
        </is>
      </c>
      <c r="G4999" s="10" t="inlineStr">
        <is>
          <t>四条大宮</t>
        </is>
      </c>
      <c r="H4999" s="10" t="inlineStr">
        <is>
          <t>着</t>
        </is>
      </c>
      <c r="J4999" s="10" t="inlineStr">
        <is>
          <t>営業</t>
        </is>
      </c>
      <c r="L4999" t="inlineStr">
        <is>
          <t>14:57:00</t>
        </is>
      </c>
      <c r="Q4999" t="inlineStr">
        <is>
          <t>1留</t>
        </is>
      </c>
    </row>
    <row r="5000" ht="15" customHeight="1" s="37">
      <c r="A5000" t="n">
        <v>10</v>
      </c>
      <c r="B5000" s="10" t="inlineStr">
        <is>
          <t>平日</t>
        </is>
      </c>
      <c r="C5000" s="10" t="inlineStr">
        <is>
          <t>本線</t>
        </is>
      </c>
      <c r="D5000" s="10" t="inlineStr">
        <is>
          <t>下り</t>
        </is>
      </c>
      <c r="E5000" t="inlineStr">
        <is>
          <t>1905</t>
        </is>
      </c>
      <c r="F5000" t="inlineStr">
        <is>
          <t>0122</t>
        </is>
      </c>
      <c r="G5000" s="10" t="inlineStr">
        <is>
          <t>西院</t>
        </is>
      </c>
      <c r="H5000" s="10" t="inlineStr">
        <is>
          <t>発</t>
        </is>
      </c>
      <c r="J5000" s="10" t="inlineStr">
        <is>
          <t>営業</t>
        </is>
      </c>
      <c r="L5000" t="inlineStr">
        <is>
          <t>19:24:50</t>
        </is>
      </c>
      <c r="M5000" t="inlineStr">
        <is>
          <t>19:26:20</t>
        </is>
      </c>
    </row>
    <row r="5001" ht="15" customHeight="1" s="37">
      <c r="A5001" t="n">
        <v>10</v>
      </c>
      <c r="B5001" s="10" t="inlineStr">
        <is>
          <t>平日</t>
        </is>
      </c>
      <c r="C5001" s="10" t="inlineStr">
        <is>
          <t>本線</t>
        </is>
      </c>
      <c r="D5001" s="10" t="inlineStr">
        <is>
          <t>下り</t>
        </is>
      </c>
      <c r="E5001" t="inlineStr">
        <is>
          <t>1905</t>
        </is>
      </c>
      <c r="F5001" t="inlineStr">
        <is>
          <t>0122</t>
        </is>
      </c>
      <c r="G5001" s="10" t="inlineStr">
        <is>
          <t>西大路三条</t>
        </is>
      </c>
      <c r="H5001" s="10" t="inlineStr">
        <is>
          <t>発</t>
        </is>
      </c>
      <c r="J5001" s="10" t="inlineStr">
        <is>
          <t>営業</t>
        </is>
      </c>
      <c r="L5001" t="inlineStr">
        <is>
          <t>19:28:10</t>
        </is>
      </c>
      <c r="M5001" t="inlineStr">
        <is>
          <t>19:28:30</t>
        </is>
      </c>
    </row>
    <row r="5002" ht="15" customHeight="1" s="37">
      <c r="A5002" t="n">
        <v>10</v>
      </c>
      <c r="B5002" s="10" t="inlineStr">
        <is>
          <t>平日</t>
        </is>
      </c>
      <c r="C5002" s="10" t="inlineStr">
        <is>
          <t>本線</t>
        </is>
      </c>
      <c r="D5002" s="10" t="inlineStr">
        <is>
          <t>下り</t>
        </is>
      </c>
      <c r="E5002" t="inlineStr">
        <is>
          <t>1905</t>
        </is>
      </c>
      <c r="F5002" t="inlineStr">
        <is>
          <t>0122</t>
        </is>
      </c>
      <c r="G5002" s="10" t="inlineStr">
        <is>
          <t>山ノ内</t>
        </is>
      </c>
      <c r="H5002" s="10" t="inlineStr">
        <is>
          <t>発</t>
        </is>
      </c>
      <c r="J5002" s="10" t="inlineStr">
        <is>
          <t>営業</t>
        </is>
      </c>
      <c r="L5002" t="inlineStr">
        <is>
          <t>19:30:25</t>
        </is>
      </c>
      <c r="M5002" t="inlineStr">
        <is>
          <t>19:30:50</t>
        </is>
      </c>
    </row>
    <row r="5003" ht="15" customHeight="1" s="37">
      <c r="A5003" t="n">
        <v>10</v>
      </c>
      <c r="B5003" s="10" t="inlineStr">
        <is>
          <t>平日</t>
        </is>
      </c>
      <c r="C5003" s="10" t="inlineStr">
        <is>
          <t>本線</t>
        </is>
      </c>
      <c r="D5003" s="10" t="inlineStr">
        <is>
          <t>下り</t>
        </is>
      </c>
      <c r="E5003" t="inlineStr">
        <is>
          <t>1905</t>
        </is>
      </c>
      <c r="F5003" t="inlineStr">
        <is>
          <t>0122</t>
        </is>
      </c>
      <c r="G5003" s="10" t="inlineStr">
        <is>
          <t>天神川</t>
        </is>
      </c>
      <c r="H5003" s="10" t="inlineStr">
        <is>
          <t>発</t>
        </is>
      </c>
      <c r="J5003" s="10" t="inlineStr">
        <is>
          <t>営業</t>
        </is>
      </c>
      <c r="L5003" t="inlineStr">
        <is>
          <t>19:32:50</t>
        </is>
      </c>
      <c r="M5003" t="inlineStr">
        <is>
          <t>19:33:30</t>
        </is>
      </c>
    </row>
    <row r="5004" ht="15" customHeight="1" s="37">
      <c r="A5004" t="n">
        <v>10</v>
      </c>
      <c r="B5004" s="10" t="inlineStr">
        <is>
          <t>平日</t>
        </is>
      </c>
      <c r="C5004" s="10" t="inlineStr">
        <is>
          <t>本線</t>
        </is>
      </c>
      <c r="D5004" s="10" t="inlineStr">
        <is>
          <t>下り</t>
        </is>
      </c>
      <c r="E5004" t="inlineStr">
        <is>
          <t>1905</t>
        </is>
      </c>
      <c r="F5004" t="inlineStr">
        <is>
          <t>0122</t>
        </is>
      </c>
      <c r="G5004" s="10" t="inlineStr">
        <is>
          <t>蚕ノ社</t>
        </is>
      </c>
      <c r="H5004" s="10" t="inlineStr">
        <is>
          <t>発</t>
        </is>
      </c>
      <c r="J5004" s="10" t="inlineStr">
        <is>
          <t>営業</t>
        </is>
      </c>
      <c r="L5004" t="inlineStr">
        <is>
          <t>19:34:20</t>
        </is>
      </c>
      <c r="M5004" t="inlineStr">
        <is>
          <t>19:34:40</t>
        </is>
      </c>
    </row>
    <row r="5005" ht="15" customHeight="1" s="37">
      <c r="A5005" t="n">
        <v>10</v>
      </c>
      <c r="B5005" s="10" t="inlineStr">
        <is>
          <t>平日</t>
        </is>
      </c>
      <c r="C5005" s="10" t="inlineStr">
        <is>
          <t>本線</t>
        </is>
      </c>
      <c r="D5005" s="10" t="inlineStr">
        <is>
          <t>下り</t>
        </is>
      </c>
      <c r="E5005" t="inlineStr">
        <is>
          <t>1905</t>
        </is>
      </c>
      <c r="F5005" t="inlineStr">
        <is>
          <t>0122</t>
        </is>
      </c>
      <c r="G5005" s="10" t="inlineStr">
        <is>
          <t>太秦広隆寺</t>
        </is>
      </c>
      <c r="H5005" s="10" t="inlineStr">
        <is>
          <t>発</t>
        </is>
      </c>
      <c r="J5005" s="10" t="inlineStr">
        <is>
          <t>営業</t>
        </is>
      </c>
      <c r="L5005" t="inlineStr">
        <is>
          <t>19:36:00</t>
        </is>
      </c>
      <c r="M5005" t="inlineStr">
        <is>
          <t>19:36:20</t>
        </is>
      </c>
    </row>
    <row r="5006" ht="15" customHeight="1" s="37">
      <c r="A5006" t="n">
        <v>10</v>
      </c>
      <c r="B5006" s="10" t="inlineStr">
        <is>
          <t>平日</t>
        </is>
      </c>
      <c r="C5006" s="10" t="inlineStr">
        <is>
          <t>本線</t>
        </is>
      </c>
      <c r="D5006" s="10" t="inlineStr">
        <is>
          <t>下り</t>
        </is>
      </c>
      <c r="E5006" t="inlineStr">
        <is>
          <t>1905</t>
        </is>
      </c>
      <c r="F5006" t="inlineStr">
        <is>
          <t>0122</t>
        </is>
      </c>
      <c r="G5006" s="10" t="inlineStr">
        <is>
          <t>帷子ノ辻</t>
        </is>
      </c>
      <c r="H5006" s="10" t="inlineStr">
        <is>
          <t>発</t>
        </is>
      </c>
      <c r="J5006" s="10" t="inlineStr">
        <is>
          <t>営業</t>
        </is>
      </c>
      <c r="L5006" t="inlineStr">
        <is>
          <t>19:38:20</t>
        </is>
      </c>
      <c r="M5006" t="inlineStr">
        <is>
          <t>19:39:40</t>
        </is>
      </c>
    </row>
    <row r="5007" ht="15" customHeight="1" s="37">
      <c r="A5007" t="n">
        <v>10</v>
      </c>
      <c r="B5007" s="10" t="inlineStr">
        <is>
          <t>平日</t>
        </is>
      </c>
      <c r="C5007" s="10" t="inlineStr">
        <is>
          <t>本線</t>
        </is>
      </c>
      <c r="D5007" s="10" t="inlineStr">
        <is>
          <t>下り</t>
        </is>
      </c>
      <c r="E5007" t="inlineStr">
        <is>
          <t>1905</t>
        </is>
      </c>
      <c r="F5007" t="inlineStr">
        <is>
          <t>0122</t>
        </is>
      </c>
      <c r="G5007" s="10" t="inlineStr">
        <is>
          <t>有栖川</t>
        </is>
      </c>
      <c r="H5007" s="10" t="inlineStr">
        <is>
          <t>発</t>
        </is>
      </c>
      <c r="J5007" s="10" t="inlineStr">
        <is>
          <t>営業</t>
        </is>
      </c>
      <c r="L5007" t="inlineStr">
        <is>
          <t>19:40:50</t>
        </is>
      </c>
      <c r="M5007" t="inlineStr">
        <is>
          <t>19:41:15</t>
        </is>
      </c>
    </row>
    <row r="5008" ht="15" customHeight="1" s="37">
      <c r="A5008" t="n">
        <v>10</v>
      </c>
      <c r="B5008" s="10" t="inlineStr">
        <is>
          <t>平日</t>
        </is>
      </c>
      <c r="C5008" s="10" t="inlineStr">
        <is>
          <t>本線</t>
        </is>
      </c>
      <c r="D5008" s="10" t="inlineStr">
        <is>
          <t>下り</t>
        </is>
      </c>
      <c r="E5008" t="inlineStr">
        <is>
          <t>1905</t>
        </is>
      </c>
      <c r="F5008" t="inlineStr">
        <is>
          <t>0122</t>
        </is>
      </c>
      <c r="G5008" s="10" t="inlineStr">
        <is>
          <t>車折</t>
        </is>
      </c>
      <c r="H5008" s="10" t="inlineStr">
        <is>
          <t>発</t>
        </is>
      </c>
      <c r="J5008" s="10" t="inlineStr">
        <is>
          <t>営業</t>
        </is>
      </c>
      <c r="L5008" t="inlineStr">
        <is>
          <t>19:42:40</t>
        </is>
      </c>
      <c r="M5008" t="inlineStr">
        <is>
          <t>19:43:05</t>
        </is>
      </c>
    </row>
    <row r="5009" ht="15" customHeight="1" s="37">
      <c r="A5009" t="n">
        <v>10</v>
      </c>
      <c r="B5009" s="10" t="inlineStr">
        <is>
          <t>平日</t>
        </is>
      </c>
      <c r="C5009" s="10" t="inlineStr">
        <is>
          <t>本線</t>
        </is>
      </c>
      <c r="D5009" s="10" t="inlineStr">
        <is>
          <t>下り</t>
        </is>
      </c>
      <c r="E5009" t="inlineStr">
        <is>
          <t>1905</t>
        </is>
      </c>
      <c r="F5009" t="inlineStr">
        <is>
          <t>0122</t>
        </is>
      </c>
      <c r="G5009" s="10" t="inlineStr">
        <is>
          <t>鹿王院</t>
        </is>
      </c>
      <c r="H5009" s="10" t="inlineStr">
        <is>
          <t>発</t>
        </is>
      </c>
      <c r="J5009" s="10" t="inlineStr">
        <is>
          <t>営業</t>
        </is>
      </c>
      <c r="L5009" t="inlineStr">
        <is>
          <t>19:44:00</t>
        </is>
      </c>
      <c r="M5009" t="inlineStr">
        <is>
          <t>19:44:25</t>
        </is>
      </c>
    </row>
    <row r="5010" ht="15" customHeight="1" s="37">
      <c r="A5010" t="n">
        <v>10</v>
      </c>
      <c r="B5010" s="10" t="inlineStr">
        <is>
          <t>平日</t>
        </is>
      </c>
      <c r="C5010" s="10" t="inlineStr">
        <is>
          <t>本線</t>
        </is>
      </c>
      <c r="D5010" s="10" t="inlineStr">
        <is>
          <t>下り</t>
        </is>
      </c>
      <c r="E5010" t="inlineStr">
        <is>
          <t>1905</t>
        </is>
      </c>
      <c r="F5010" t="inlineStr">
        <is>
          <t>0122</t>
        </is>
      </c>
      <c r="G5010" s="10" t="inlineStr">
        <is>
          <t>嵯峨</t>
        </is>
      </c>
      <c r="H5010" s="10" t="inlineStr">
        <is>
          <t>発</t>
        </is>
      </c>
      <c r="J5010" s="10" t="inlineStr">
        <is>
          <t>営業</t>
        </is>
      </c>
      <c r="L5010" t="inlineStr">
        <is>
          <t>19:45:30</t>
        </is>
      </c>
      <c r="M5010" t="inlineStr">
        <is>
          <t>19:45:55</t>
        </is>
      </c>
    </row>
    <row r="5011" ht="15" customHeight="1" s="37">
      <c r="A5011" t="n">
        <v>10</v>
      </c>
      <c r="B5011" s="10" t="inlineStr">
        <is>
          <t>平日</t>
        </is>
      </c>
      <c r="C5011" s="10" t="inlineStr">
        <is>
          <t>本線</t>
        </is>
      </c>
      <c r="D5011" s="10" t="inlineStr">
        <is>
          <t>下り</t>
        </is>
      </c>
      <c r="E5011" t="inlineStr">
        <is>
          <t>1905</t>
        </is>
      </c>
      <c r="F5011" t="inlineStr">
        <is>
          <t>0122</t>
        </is>
      </c>
      <c r="G5011" s="10" t="inlineStr">
        <is>
          <t>嵐山</t>
        </is>
      </c>
      <c r="H5011" s="10" t="inlineStr">
        <is>
          <t>着</t>
        </is>
      </c>
      <c r="J5011" s="10" t="inlineStr">
        <is>
          <t>営業</t>
        </is>
      </c>
      <c r="L5011" t="inlineStr">
        <is>
          <t>19:47:00</t>
        </is>
      </c>
      <c r="N5011" t="inlineStr">
        <is>
          <t>○</t>
        </is>
      </c>
      <c r="Q5011" t="inlineStr">
        <is>
          <t>1</t>
        </is>
      </c>
    </row>
    <row r="5012" ht="15" customHeight="1" s="37">
      <c r="A5012" t="n">
        <v>10</v>
      </c>
      <c r="B5012" s="10" t="inlineStr">
        <is>
          <t>平日</t>
        </is>
      </c>
      <c r="C5012" s="10" t="inlineStr">
        <is>
          <t>本線</t>
        </is>
      </c>
      <c r="D5012" s="10" t="inlineStr">
        <is>
          <t>上り</t>
        </is>
      </c>
      <c r="E5012" t="inlineStr">
        <is>
          <t>1912</t>
        </is>
      </c>
      <c r="F5012" t="inlineStr">
        <is>
          <t>0221</t>
        </is>
      </c>
      <c r="G5012" s="10" t="inlineStr">
        <is>
          <t>嵐山</t>
        </is>
      </c>
      <c r="H5012" s="10" t="inlineStr">
        <is>
          <t>発</t>
        </is>
      </c>
      <c r="J5012" s="10" t="inlineStr">
        <is>
          <t>営業</t>
        </is>
      </c>
      <c r="M5012" t="inlineStr">
        <is>
          <t>19:53:00</t>
        </is>
      </c>
      <c r="Q5012" t="inlineStr">
        <is>
          <t>1</t>
        </is>
      </c>
    </row>
    <row r="5013" ht="15" customHeight="1" s="37">
      <c r="A5013" t="n">
        <v>10</v>
      </c>
      <c r="B5013" s="10" t="inlineStr">
        <is>
          <t>平日</t>
        </is>
      </c>
      <c r="C5013" s="10" t="inlineStr">
        <is>
          <t>本線</t>
        </is>
      </c>
      <c r="D5013" s="10" t="inlineStr">
        <is>
          <t>上り</t>
        </is>
      </c>
      <c r="E5013" t="inlineStr">
        <is>
          <t>1912</t>
        </is>
      </c>
      <c r="F5013" t="inlineStr">
        <is>
          <t>0221</t>
        </is>
      </c>
      <c r="G5013" s="10" t="inlineStr">
        <is>
          <t>嵯峨</t>
        </is>
      </c>
      <c r="H5013" s="10" t="inlineStr">
        <is>
          <t>発</t>
        </is>
      </c>
      <c r="J5013" s="10" t="inlineStr">
        <is>
          <t>営業</t>
        </is>
      </c>
      <c r="L5013" t="inlineStr">
        <is>
          <t>19:53:55</t>
        </is>
      </c>
      <c r="M5013" t="inlineStr">
        <is>
          <t>19:54:20</t>
        </is>
      </c>
    </row>
    <row r="5014" ht="15" customHeight="1" s="37">
      <c r="A5014" t="n">
        <v>10</v>
      </c>
      <c r="B5014" s="10" t="inlineStr">
        <is>
          <t>平日</t>
        </is>
      </c>
      <c r="C5014" s="10" t="inlineStr">
        <is>
          <t>本線</t>
        </is>
      </c>
      <c r="D5014" s="10" t="inlineStr">
        <is>
          <t>上り</t>
        </is>
      </c>
      <c r="E5014" t="inlineStr">
        <is>
          <t>1912</t>
        </is>
      </c>
      <c r="F5014" t="inlineStr">
        <is>
          <t>0221</t>
        </is>
      </c>
      <c r="G5014" s="10" t="inlineStr">
        <is>
          <t>鹿王院</t>
        </is>
      </c>
      <c r="H5014" s="10" t="inlineStr">
        <is>
          <t>発</t>
        </is>
      </c>
      <c r="J5014" s="10" t="inlineStr">
        <is>
          <t>営業</t>
        </is>
      </c>
      <c r="L5014" t="inlineStr">
        <is>
          <t>19:55:25</t>
        </is>
      </c>
      <c r="M5014" t="inlineStr">
        <is>
          <t>19:55:45</t>
        </is>
      </c>
    </row>
    <row r="5015" ht="15" customHeight="1" s="37">
      <c r="A5015" t="n">
        <v>10</v>
      </c>
      <c r="B5015" s="10" t="inlineStr">
        <is>
          <t>平日</t>
        </is>
      </c>
      <c r="C5015" s="10" t="inlineStr">
        <is>
          <t>本線</t>
        </is>
      </c>
      <c r="D5015" s="10" t="inlineStr">
        <is>
          <t>上り</t>
        </is>
      </c>
      <c r="E5015" t="inlineStr">
        <is>
          <t>1912</t>
        </is>
      </c>
      <c r="F5015" t="inlineStr">
        <is>
          <t>0221</t>
        </is>
      </c>
      <c r="G5015" s="10" t="inlineStr">
        <is>
          <t>車折</t>
        </is>
      </c>
      <c r="H5015" s="10" t="inlineStr">
        <is>
          <t>発</t>
        </is>
      </c>
      <c r="J5015" s="10" t="inlineStr">
        <is>
          <t>営業</t>
        </is>
      </c>
      <c r="L5015" t="inlineStr">
        <is>
          <t>19:56:40</t>
        </is>
      </c>
      <c r="M5015" t="inlineStr">
        <is>
          <t>19:57:10</t>
        </is>
      </c>
    </row>
    <row r="5016" ht="15" customHeight="1" s="37">
      <c r="A5016" t="n">
        <v>10</v>
      </c>
      <c r="B5016" s="10" t="inlineStr">
        <is>
          <t>平日</t>
        </is>
      </c>
      <c r="C5016" s="10" t="inlineStr">
        <is>
          <t>本線</t>
        </is>
      </c>
      <c r="D5016" s="10" t="inlineStr">
        <is>
          <t>上り</t>
        </is>
      </c>
      <c r="E5016" t="inlineStr">
        <is>
          <t>1912</t>
        </is>
      </c>
      <c r="F5016" t="inlineStr">
        <is>
          <t>0221</t>
        </is>
      </c>
      <c r="G5016" s="10" t="inlineStr">
        <is>
          <t>有栖川</t>
        </is>
      </c>
      <c r="H5016" s="10" t="inlineStr">
        <is>
          <t>発</t>
        </is>
      </c>
      <c r="J5016" s="10" t="inlineStr">
        <is>
          <t>営業</t>
        </is>
      </c>
      <c r="L5016" t="inlineStr">
        <is>
          <t>19:58:35</t>
        </is>
      </c>
      <c r="M5016" t="inlineStr">
        <is>
          <t>19:58:55</t>
        </is>
      </c>
    </row>
    <row r="5017" ht="15" customHeight="1" s="37">
      <c r="A5017" t="n">
        <v>10</v>
      </c>
      <c r="B5017" s="10" t="inlineStr">
        <is>
          <t>平日</t>
        </is>
      </c>
      <c r="C5017" s="10" t="inlineStr">
        <is>
          <t>本線</t>
        </is>
      </c>
      <c r="D5017" s="10" t="inlineStr">
        <is>
          <t>上り</t>
        </is>
      </c>
      <c r="E5017" t="inlineStr">
        <is>
          <t>1912</t>
        </is>
      </c>
      <c r="F5017" t="inlineStr">
        <is>
          <t>0221</t>
        </is>
      </c>
      <c r="G5017" s="10" t="inlineStr">
        <is>
          <t>帷子ノ辻</t>
        </is>
      </c>
      <c r="H5017" s="10" t="inlineStr">
        <is>
          <t>発</t>
        </is>
      </c>
      <c r="J5017" s="10" t="inlineStr">
        <is>
          <t>営業</t>
        </is>
      </c>
      <c r="L5017" t="inlineStr">
        <is>
          <t>20:00:10</t>
        </is>
      </c>
      <c r="M5017" t="inlineStr">
        <is>
          <t>20:01:15</t>
        </is>
      </c>
    </row>
    <row r="5018" ht="15" customHeight="1" s="37">
      <c r="A5018" t="n">
        <v>10</v>
      </c>
      <c r="B5018" s="10" t="inlineStr">
        <is>
          <t>平日</t>
        </is>
      </c>
      <c r="C5018" s="10" t="inlineStr">
        <is>
          <t>本線</t>
        </is>
      </c>
      <c r="D5018" s="10" t="inlineStr">
        <is>
          <t>上り</t>
        </is>
      </c>
      <c r="E5018" t="inlineStr">
        <is>
          <t>1912</t>
        </is>
      </c>
      <c r="F5018" t="inlineStr">
        <is>
          <t>0221</t>
        </is>
      </c>
      <c r="G5018" s="10" t="inlineStr">
        <is>
          <t>太秦広隆寺</t>
        </is>
      </c>
      <c r="H5018" s="10" t="inlineStr">
        <is>
          <t>発</t>
        </is>
      </c>
      <c r="J5018" s="10" t="inlineStr">
        <is>
          <t>営業</t>
        </is>
      </c>
      <c r="L5018" t="inlineStr">
        <is>
          <t>20:03:25</t>
        </is>
      </c>
      <c r="M5018" t="inlineStr">
        <is>
          <t>20:03:45</t>
        </is>
      </c>
    </row>
    <row r="5019" ht="15" customHeight="1" s="37">
      <c r="A5019" t="n">
        <v>10</v>
      </c>
      <c r="B5019" s="10" t="inlineStr">
        <is>
          <t>平日</t>
        </is>
      </c>
      <c r="C5019" s="10" t="inlineStr">
        <is>
          <t>本線</t>
        </is>
      </c>
      <c r="D5019" s="10" t="inlineStr">
        <is>
          <t>上り</t>
        </is>
      </c>
      <c r="E5019" t="inlineStr">
        <is>
          <t>1912</t>
        </is>
      </c>
      <c r="F5019" t="inlineStr">
        <is>
          <t>0221</t>
        </is>
      </c>
      <c r="G5019" s="10" t="inlineStr">
        <is>
          <t>蚕ノ社</t>
        </is>
      </c>
      <c r="H5019" s="10" t="inlineStr">
        <is>
          <t>発</t>
        </is>
      </c>
      <c r="J5019" s="10" t="inlineStr">
        <is>
          <t>営業</t>
        </is>
      </c>
      <c r="L5019" t="inlineStr">
        <is>
          <t>20:05:00</t>
        </is>
      </c>
      <c r="M5019" t="inlineStr">
        <is>
          <t>20:05:20</t>
        </is>
      </c>
    </row>
    <row r="5020" ht="15" customHeight="1" s="37">
      <c r="A5020" t="n">
        <v>10</v>
      </c>
      <c r="B5020" s="10" t="inlineStr">
        <is>
          <t>平日</t>
        </is>
      </c>
      <c r="C5020" s="10" t="inlineStr">
        <is>
          <t>本線</t>
        </is>
      </c>
      <c r="D5020" s="10" t="inlineStr">
        <is>
          <t>上り</t>
        </is>
      </c>
      <c r="E5020" t="inlineStr">
        <is>
          <t>1912</t>
        </is>
      </c>
      <c r="F5020" t="inlineStr">
        <is>
          <t>0221</t>
        </is>
      </c>
      <c r="G5020" s="10" t="inlineStr">
        <is>
          <t>天神川</t>
        </is>
      </c>
      <c r="H5020" s="10" t="inlineStr">
        <is>
          <t>発</t>
        </is>
      </c>
      <c r="J5020" s="10" t="inlineStr">
        <is>
          <t>営業</t>
        </is>
      </c>
      <c r="L5020" t="inlineStr">
        <is>
          <t>20:06:05</t>
        </is>
      </c>
      <c r="M5020" t="inlineStr">
        <is>
          <t>20:06:50</t>
        </is>
      </c>
    </row>
    <row r="5021" ht="15" customHeight="1" s="37">
      <c r="A5021" t="n">
        <v>10</v>
      </c>
      <c r="B5021" s="10" t="inlineStr">
        <is>
          <t>平日</t>
        </is>
      </c>
      <c r="C5021" s="10" t="inlineStr">
        <is>
          <t>本線</t>
        </is>
      </c>
      <c r="D5021" s="10" t="inlineStr">
        <is>
          <t>上り</t>
        </is>
      </c>
      <c r="E5021" t="inlineStr">
        <is>
          <t>1912</t>
        </is>
      </c>
      <c r="F5021" t="inlineStr">
        <is>
          <t>0221</t>
        </is>
      </c>
      <c r="G5021" s="10" t="inlineStr">
        <is>
          <t>山ノ内</t>
        </is>
      </c>
      <c r="H5021" s="10" t="inlineStr">
        <is>
          <t>発</t>
        </is>
      </c>
      <c r="J5021" s="10" t="inlineStr">
        <is>
          <t>営業</t>
        </is>
      </c>
      <c r="L5021" t="inlineStr">
        <is>
          <t>20:08:40</t>
        </is>
      </c>
      <c r="M5021" t="inlineStr">
        <is>
          <t>20:09:05</t>
        </is>
      </c>
    </row>
    <row r="5022" ht="15" customHeight="1" s="37">
      <c r="A5022" t="n">
        <v>10</v>
      </c>
      <c r="B5022" s="10" t="inlineStr">
        <is>
          <t>平日</t>
        </is>
      </c>
      <c r="C5022" s="10" t="inlineStr">
        <is>
          <t>本線</t>
        </is>
      </c>
      <c r="D5022" s="10" t="inlineStr">
        <is>
          <t>上り</t>
        </is>
      </c>
      <c r="E5022" t="inlineStr">
        <is>
          <t>1912</t>
        </is>
      </c>
      <c r="F5022" t="inlineStr">
        <is>
          <t>0221</t>
        </is>
      </c>
      <c r="G5022" s="10" t="inlineStr">
        <is>
          <t>西大路三条</t>
        </is>
      </c>
      <c r="H5022" s="10" t="inlineStr">
        <is>
          <t>発</t>
        </is>
      </c>
      <c r="J5022" s="10" t="inlineStr">
        <is>
          <t>営業</t>
        </is>
      </c>
      <c r="L5022" t="inlineStr">
        <is>
          <t>20:10:55</t>
        </is>
      </c>
      <c r="M5022" t="inlineStr">
        <is>
          <t>20:11:15</t>
        </is>
      </c>
    </row>
    <row r="5023" ht="15" customHeight="1" s="37">
      <c r="A5023" t="n">
        <v>10</v>
      </c>
      <c r="B5023" s="10" t="inlineStr">
        <is>
          <t>平日</t>
        </is>
      </c>
      <c r="C5023" s="10" t="inlineStr">
        <is>
          <t>本線</t>
        </is>
      </c>
      <c r="D5023" s="10" t="inlineStr">
        <is>
          <t>上り</t>
        </is>
      </c>
      <c r="E5023" t="inlineStr">
        <is>
          <t>1912</t>
        </is>
      </c>
      <c r="F5023" t="inlineStr">
        <is>
          <t>0221</t>
        </is>
      </c>
      <c r="G5023" s="10" t="inlineStr">
        <is>
          <t>西院</t>
        </is>
      </c>
      <c r="H5023" s="10" t="inlineStr">
        <is>
          <t>発</t>
        </is>
      </c>
      <c r="J5023" s="10" t="inlineStr">
        <is>
          <t>営業</t>
        </is>
      </c>
      <c r="L5023" t="inlineStr">
        <is>
          <t>20:13:10</t>
        </is>
      </c>
      <c r="M5023" t="inlineStr">
        <is>
          <t>20:14:05</t>
        </is>
      </c>
    </row>
    <row r="5024" ht="15" customHeight="1" s="37">
      <c r="A5024" t="n">
        <v>10</v>
      </c>
      <c r="B5024" s="10" t="inlineStr">
        <is>
          <t>平日</t>
        </is>
      </c>
      <c r="C5024" s="10" t="inlineStr">
        <is>
          <t>本線</t>
        </is>
      </c>
      <c r="D5024" s="10" t="inlineStr">
        <is>
          <t>上り</t>
        </is>
      </c>
      <c r="E5024" t="inlineStr">
        <is>
          <t>1912</t>
        </is>
      </c>
      <c r="F5024" t="inlineStr">
        <is>
          <t>0221</t>
        </is>
      </c>
      <c r="G5024" s="10" t="inlineStr">
        <is>
          <t>四条大宮</t>
        </is>
      </c>
      <c r="H5024" s="10" t="inlineStr">
        <is>
          <t>着</t>
        </is>
      </c>
      <c r="J5024" s="10" t="inlineStr">
        <is>
          <t>営業</t>
        </is>
      </c>
      <c r="L5024" t="inlineStr">
        <is>
          <t>20:17:00</t>
        </is>
      </c>
      <c r="N5024" t="inlineStr">
        <is>
          <t>○</t>
        </is>
      </c>
      <c r="Q5024" t="inlineStr">
        <is>
          <t>1</t>
        </is>
      </c>
    </row>
    <row r="5025" ht="15" customHeight="1" s="37">
      <c r="A5025" t="n">
        <v>10</v>
      </c>
      <c r="B5025" s="10" t="inlineStr">
        <is>
          <t>平日</t>
        </is>
      </c>
      <c r="C5025" s="10" t="inlineStr">
        <is>
          <t>本線</t>
        </is>
      </c>
      <c r="D5025" s="10" t="inlineStr">
        <is>
          <t>下り</t>
        </is>
      </c>
      <c r="E5025" t="inlineStr">
        <is>
          <t>2005</t>
        </is>
      </c>
      <c r="F5025" t="inlineStr">
        <is>
          <t>0122</t>
        </is>
      </c>
      <c r="G5025" s="10" t="inlineStr">
        <is>
          <t>四条大宮</t>
        </is>
      </c>
      <c r="H5025" s="10" t="inlineStr">
        <is>
          <t>発</t>
        </is>
      </c>
      <c r="J5025" s="10" t="inlineStr">
        <is>
          <t>営業</t>
        </is>
      </c>
      <c r="M5025" t="inlineStr">
        <is>
          <t>20:23:00</t>
        </is>
      </c>
      <c r="Q5025" t="inlineStr">
        <is>
          <t>1</t>
        </is>
      </c>
    </row>
    <row r="5026" ht="15" customHeight="1" s="37">
      <c r="A5026" t="n">
        <v>10</v>
      </c>
      <c r="B5026" s="10" t="inlineStr">
        <is>
          <t>平日</t>
        </is>
      </c>
      <c r="C5026" s="10" t="inlineStr">
        <is>
          <t>本線</t>
        </is>
      </c>
      <c r="D5026" s="10" t="inlineStr">
        <is>
          <t>下り</t>
        </is>
      </c>
      <c r="E5026" t="inlineStr">
        <is>
          <t>2005</t>
        </is>
      </c>
      <c r="F5026" t="inlineStr">
        <is>
          <t>0122</t>
        </is>
      </c>
      <c r="G5026" s="10" t="inlineStr">
        <is>
          <t>西院</t>
        </is>
      </c>
      <c r="H5026" s="10" t="inlineStr">
        <is>
          <t>発</t>
        </is>
      </c>
      <c r="J5026" s="10" t="inlineStr">
        <is>
          <t>営業</t>
        </is>
      </c>
      <c r="L5026" t="inlineStr">
        <is>
          <t>20:25:50</t>
        </is>
      </c>
      <c r="M5026" t="inlineStr">
        <is>
          <t>20:26:20</t>
        </is>
      </c>
    </row>
    <row r="5027" ht="15" customHeight="1" s="37">
      <c r="A5027" t="n">
        <v>10</v>
      </c>
      <c r="B5027" s="10" t="inlineStr">
        <is>
          <t>平日</t>
        </is>
      </c>
      <c r="C5027" s="10" t="inlineStr">
        <is>
          <t>本線</t>
        </is>
      </c>
      <c r="D5027" s="10" t="inlineStr">
        <is>
          <t>下り</t>
        </is>
      </c>
      <c r="E5027" t="inlineStr">
        <is>
          <t>2005</t>
        </is>
      </c>
      <c r="F5027" t="inlineStr">
        <is>
          <t>0122</t>
        </is>
      </c>
      <c r="G5027" s="10" t="inlineStr">
        <is>
          <t>西大路三条</t>
        </is>
      </c>
      <c r="H5027" s="10" t="inlineStr">
        <is>
          <t>発</t>
        </is>
      </c>
      <c r="J5027" s="10" t="inlineStr">
        <is>
          <t>営業</t>
        </is>
      </c>
      <c r="L5027" t="inlineStr">
        <is>
          <t>20:28:10</t>
        </is>
      </c>
      <c r="M5027" t="inlineStr">
        <is>
          <t>20:28:30</t>
        </is>
      </c>
    </row>
    <row r="5028" ht="15" customHeight="1" s="37">
      <c r="A5028" t="n">
        <v>10</v>
      </c>
      <c r="B5028" s="10" t="inlineStr">
        <is>
          <t>平日</t>
        </is>
      </c>
      <c r="C5028" s="10" t="inlineStr">
        <is>
          <t>本線</t>
        </is>
      </c>
      <c r="D5028" s="10" t="inlineStr">
        <is>
          <t>下り</t>
        </is>
      </c>
      <c r="E5028" t="inlineStr">
        <is>
          <t>2005</t>
        </is>
      </c>
      <c r="F5028" t="inlineStr">
        <is>
          <t>0122</t>
        </is>
      </c>
      <c r="G5028" s="10" t="inlineStr">
        <is>
          <t>山ノ内</t>
        </is>
      </c>
      <c r="H5028" s="10" t="inlineStr">
        <is>
          <t>発</t>
        </is>
      </c>
      <c r="J5028" s="10" t="inlineStr">
        <is>
          <t>営業</t>
        </is>
      </c>
      <c r="L5028" t="inlineStr">
        <is>
          <t>20:30:25</t>
        </is>
      </c>
      <c r="M5028" t="inlineStr">
        <is>
          <t>20:30:50</t>
        </is>
      </c>
    </row>
    <row r="5029" ht="15" customHeight="1" s="37">
      <c r="A5029" t="n">
        <v>10</v>
      </c>
      <c r="B5029" s="10" t="inlineStr">
        <is>
          <t>平日</t>
        </is>
      </c>
      <c r="C5029" s="10" t="inlineStr">
        <is>
          <t>本線</t>
        </is>
      </c>
      <c r="D5029" s="10" t="inlineStr">
        <is>
          <t>下り</t>
        </is>
      </c>
      <c r="E5029" t="inlineStr">
        <is>
          <t>2005</t>
        </is>
      </c>
      <c r="F5029" t="inlineStr">
        <is>
          <t>0122</t>
        </is>
      </c>
      <c r="G5029" s="10" t="inlineStr">
        <is>
          <t>天神川</t>
        </is>
      </c>
      <c r="H5029" s="10" t="inlineStr">
        <is>
          <t>発</t>
        </is>
      </c>
      <c r="J5029" s="10" t="inlineStr">
        <is>
          <t>営業</t>
        </is>
      </c>
      <c r="L5029" t="inlineStr">
        <is>
          <t>20:32:50</t>
        </is>
      </c>
      <c r="M5029" t="inlineStr">
        <is>
          <t>20:33:30</t>
        </is>
      </c>
    </row>
    <row r="5030" ht="15" customHeight="1" s="37">
      <c r="A5030" t="n">
        <v>10</v>
      </c>
      <c r="B5030" s="10" t="inlineStr">
        <is>
          <t>平日</t>
        </is>
      </c>
      <c r="C5030" s="10" t="inlineStr">
        <is>
          <t>本線</t>
        </is>
      </c>
      <c r="D5030" s="10" t="inlineStr">
        <is>
          <t>下り</t>
        </is>
      </c>
      <c r="E5030" t="inlineStr">
        <is>
          <t>2005</t>
        </is>
      </c>
      <c r="F5030" t="inlineStr">
        <is>
          <t>0122</t>
        </is>
      </c>
      <c r="G5030" s="10" t="inlineStr">
        <is>
          <t>蚕ノ社</t>
        </is>
      </c>
      <c r="H5030" s="10" t="inlineStr">
        <is>
          <t>発</t>
        </is>
      </c>
      <c r="J5030" s="10" t="inlineStr">
        <is>
          <t>営業</t>
        </is>
      </c>
      <c r="L5030" t="inlineStr">
        <is>
          <t>20:34:20</t>
        </is>
      </c>
      <c r="M5030" t="inlineStr">
        <is>
          <t>20:34:40</t>
        </is>
      </c>
    </row>
    <row r="5031" ht="15" customHeight="1" s="37">
      <c r="A5031" t="n">
        <v>10</v>
      </c>
      <c r="B5031" s="10" t="inlineStr">
        <is>
          <t>平日</t>
        </is>
      </c>
      <c r="C5031" s="10" t="inlineStr">
        <is>
          <t>本線</t>
        </is>
      </c>
      <c r="D5031" s="10" t="inlineStr">
        <is>
          <t>下り</t>
        </is>
      </c>
      <c r="E5031" t="inlineStr">
        <is>
          <t>2005</t>
        </is>
      </c>
      <c r="F5031" t="inlineStr">
        <is>
          <t>0122</t>
        </is>
      </c>
      <c r="G5031" s="10" t="inlineStr">
        <is>
          <t>太秦広隆寺</t>
        </is>
      </c>
      <c r="H5031" s="10" t="inlineStr">
        <is>
          <t>発</t>
        </is>
      </c>
      <c r="J5031" s="10" t="inlineStr">
        <is>
          <t>営業</t>
        </is>
      </c>
      <c r="L5031" t="inlineStr">
        <is>
          <t>20:36:00</t>
        </is>
      </c>
      <c r="M5031" t="inlineStr">
        <is>
          <t>20:36:20</t>
        </is>
      </c>
    </row>
    <row r="5032" ht="15" customHeight="1" s="37">
      <c r="A5032" t="n">
        <v>10</v>
      </c>
      <c r="B5032" s="10" t="inlineStr">
        <is>
          <t>平日</t>
        </is>
      </c>
      <c r="C5032" s="10" t="inlineStr">
        <is>
          <t>本線</t>
        </is>
      </c>
      <c r="D5032" s="10" t="inlineStr">
        <is>
          <t>下り</t>
        </is>
      </c>
      <c r="E5032" t="inlineStr">
        <is>
          <t>2005</t>
        </is>
      </c>
      <c r="F5032" t="inlineStr">
        <is>
          <t>0122</t>
        </is>
      </c>
      <c r="G5032" s="10" t="inlineStr">
        <is>
          <t>帷子ノ辻</t>
        </is>
      </c>
      <c r="H5032" s="10" t="inlineStr">
        <is>
          <t>発</t>
        </is>
      </c>
      <c r="J5032" s="10" t="inlineStr">
        <is>
          <t>営業</t>
        </is>
      </c>
      <c r="L5032" t="inlineStr">
        <is>
          <t>20:38:20</t>
        </is>
      </c>
      <c r="M5032" t="inlineStr">
        <is>
          <t>20:39:40</t>
        </is>
      </c>
    </row>
    <row r="5033" ht="15" customHeight="1" s="37">
      <c r="A5033" t="n">
        <v>10</v>
      </c>
      <c r="B5033" s="10" t="inlineStr">
        <is>
          <t>平日</t>
        </is>
      </c>
      <c r="C5033" s="10" t="inlineStr">
        <is>
          <t>本線</t>
        </is>
      </c>
      <c r="D5033" s="10" t="inlineStr">
        <is>
          <t>下り</t>
        </is>
      </c>
      <c r="E5033" t="inlineStr">
        <is>
          <t>2005</t>
        </is>
      </c>
      <c r="F5033" t="inlineStr">
        <is>
          <t>0122</t>
        </is>
      </c>
      <c r="G5033" s="10" t="inlineStr">
        <is>
          <t>有栖川</t>
        </is>
      </c>
      <c r="H5033" s="10" t="inlineStr">
        <is>
          <t>発</t>
        </is>
      </c>
      <c r="J5033" s="10" t="inlineStr">
        <is>
          <t>営業</t>
        </is>
      </c>
      <c r="L5033" t="inlineStr">
        <is>
          <t>20:40:50</t>
        </is>
      </c>
      <c r="M5033" t="inlineStr">
        <is>
          <t>20:41:15</t>
        </is>
      </c>
    </row>
    <row r="5034" ht="15" customHeight="1" s="37">
      <c r="A5034" t="n">
        <v>10</v>
      </c>
      <c r="B5034" s="10" t="inlineStr">
        <is>
          <t>平日</t>
        </is>
      </c>
      <c r="C5034" s="10" t="inlineStr">
        <is>
          <t>本線</t>
        </is>
      </c>
      <c r="D5034" s="10" t="inlineStr">
        <is>
          <t>下り</t>
        </is>
      </c>
      <c r="E5034" t="inlineStr">
        <is>
          <t>2005</t>
        </is>
      </c>
      <c r="F5034" t="inlineStr">
        <is>
          <t>0122</t>
        </is>
      </c>
      <c r="G5034" s="10" t="inlineStr">
        <is>
          <t>車折</t>
        </is>
      </c>
      <c r="H5034" s="10" t="inlineStr">
        <is>
          <t>発</t>
        </is>
      </c>
      <c r="J5034" s="10" t="inlineStr">
        <is>
          <t>営業</t>
        </is>
      </c>
      <c r="L5034" t="inlineStr">
        <is>
          <t>20:42:40</t>
        </is>
      </c>
      <c r="M5034" t="inlineStr">
        <is>
          <t>20:43:05</t>
        </is>
      </c>
    </row>
    <row r="5035" ht="15" customHeight="1" s="37">
      <c r="A5035" t="n">
        <v>10</v>
      </c>
      <c r="B5035" s="10" t="inlineStr">
        <is>
          <t>平日</t>
        </is>
      </c>
      <c r="C5035" s="10" t="inlineStr">
        <is>
          <t>本線</t>
        </is>
      </c>
      <c r="D5035" s="10" t="inlineStr">
        <is>
          <t>下り</t>
        </is>
      </c>
      <c r="E5035" t="inlineStr">
        <is>
          <t>2005</t>
        </is>
      </c>
      <c r="F5035" t="inlineStr">
        <is>
          <t>0122</t>
        </is>
      </c>
      <c r="G5035" s="10" t="inlineStr">
        <is>
          <t>鹿王院</t>
        </is>
      </c>
      <c r="H5035" s="10" t="inlineStr">
        <is>
          <t>発</t>
        </is>
      </c>
      <c r="J5035" s="10" t="inlineStr">
        <is>
          <t>営業</t>
        </is>
      </c>
      <c r="L5035" t="inlineStr">
        <is>
          <t>20:44:00</t>
        </is>
      </c>
      <c r="M5035" t="inlineStr">
        <is>
          <t>20:44:25</t>
        </is>
      </c>
    </row>
    <row r="5036" ht="15" customHeight="1" s="37">
      <c r="A5036" t="n">
        <v>10</v>
      </c>
      <c r="B5036" s="10" t="inlineStr">
        <is>
          <t>平日</t>
        </is>
      </c>
      <c r="C5036" s="10" t="inlineStr">
        <is>
          <t>本線</t>
        </is>
      </c>
      <c r="D5036" s="10" t="inlineStr">
        <is>
          <t>下り</t>
        </is>
      </c>
      <c r="E5036" t="inlineStr">
        <is>
          <t>2005</t>
        </is>
      </c>
      <c r="F5036" t="inlineStr">
        <is>
          <t>0122</t>
        </is>
      </c>
      <c r="G5036" s="10" t="inlineStr">
        <is>
          <t>嵯峨</t>
        </is>
      </c>
      <c r="H5036" s="10" t="inlineStr">
        <is>
          <t>発</t>
        </is>
      </c>
      <c r="J5036" s="10" t="inlineStr">
        <is>
          <t>営業</t>
        </is>
      </c>
      <c r="L5036" t="inlineStr">
        <is>
          <t>20:45:30</t>
        </is>
      </c>
      <c r="M5036" t="inlineStr">
        <is>
          <t>20:45:55</t>
        </is>
      </c>
    </row>
    <row r="5037" ht="15" customHeight="1" s="37">
      <c r="A5037" t="n">
        <v>10</v>
      </c>
      <c r="B5037" s="10" t="inlineStr">
        <is>
          <t>平日</t>
        </is>
      </c>
      <c r="C5037" s="10" t="inlineStr">
        <is>
          <t>本線</t>
        </is>
      </c>
      <c r="D5037" s="10" t="inlineStr">
        <is>
          <t>下り</t>
        </is>
      </c>
      <c r="E5037" t="inlineStr">
        <is>
          <t>2005</t>
        </is>
      </c>
      <c r="F5037" t="inlineStr">
        <is>
          <t>0122</t>
        </is>
      </c>
      <c r="G5037" s="10" t="inlineStr">
        <is>
          <t>嵐山</t>
        </is>
      </c>
      <c r="H5037" s="10" t="inlineStr">
        <is>
          <t>着</t>
        </is>
      </c>
      <c r="J5037" s="10" t="inlineStr">
        <is>
          <t>営業</t>
        </is>
      </c>
      <c r="L5037" t="inlineStr">
        <is>
          <t>20:47:00</t>
        </is>
      </c>
      <c r="N5037" t="inlineStr">
        <is>
          <t>○</t>
        </is>
      </c>
      <c r="Q5037" t="inlineStr">
        <is>
          <t>1</t>
        </is>
      </c>
    </row>
    <row r="5038" ht="15" customHeight="1" s="37">
      <c r="A5038" t="n">
        <v>10</v>
      </c>
      <c r="B5038" s="10" t="inlineStr">
        <is>
          <t>平日</t>
        </is>
      </c>
      <c r="C5038" s="10" t="inlineStr">
        <is>
          <t>本線</t>
        </is>
      </c>
      <c r="D5038" s="10" t="inlineStr">
        <is>
          <t>上り</t>
        </is>
      </c>
      <c r="E5038" t="inlineStr">
        <is>
          <t>2012</t>
        </is>
      </c>
      <c r="F5038" t="inlineStr">
        <is>
          <t>0221</t>
        </is>
      </c>
      <c r="G5038" s="10" t="inlineStr">
        <is>
          <t>嵐山</t>
        </is>
      </c>
      <c r="H5038" s="10" t="inlineStr">
        <is>
          <t>発</t>
        </is>
      </c>
      <c r="J5038" s="10" t="inlineStr">
        <is>
          <t>営業</t>
        </is>
      </c>
      <c r="M5038" t="inlineStr">
        <is>
          <t>20:54:00</t>
        </is>
      </c>
      <c r="Q5038" t="inlineStr">
        <is>
          <t>1</t>
        </is>
      </c>
    </row>
    <row r="5039" ht="15" customHeight="1" s="37">
      <c r="A5039" t="n">
        <v>10</v>
      </c>
      <c r="B5039" s="10" t="inlineStr">
        <is>
          <t>平日</t>
        </is>
      </c>
      <c r="C5039" s="10" t="inlineStr">
        <is>
          <t>本線</t>
        </is>
      </c>
      <c r="D5039" s="10" t="inlineStr">
        <is>
          <t>上り</t>
        </is>
      </c>
      <c r="E5039" t="inlineStr">
        <is>
          <t>2012</t>
        </is>
      </c>
      <c r="F5039" t="inlineStr">
        <is>
          <t>0221</t>
        </is>
      </c>
      <c r="G5039" s="10" t="inlineStr">
        <is>
          <t>嵯峨</t>
        </is>
      </c>
      <c r="H5039" s="10" t="inlineStr">
        <is>
          <t>発</t>
        </is>
      </c>
      <c r="J5039" s="10" t="inlineStr">
        <is>
          <t>営業</t>
        </is>
      </c>
      <c r="L5039" t="inlineStr">
        <is>
          <t>20:54:55</t>
        </is>
      </c>
      <c r="M5039" t="inlineStr">
        <is>
          <t>20:55:10</t>
        </is>
      </c>
    </row>
    <row r="5040" ht="15" customHeight="1" s="37">
      <c r="A5040" t="n">
        <v>10</v>
      </c>
      <c r="B5040" s="10" t="inlineStr">
        <is>
          <t>平日</t>
        </is>
      </c>
      <c r="C5040" s="10" t="inlineStr">
        <is>
          <t>本線</t>
        </is>
      </c>
      <c r="D5040" s="10" t="inlineStr">
        <is>
          <t>上り</t>
        </is>
      </c>
      <c r="E5040" t="inlineStr">
        <is>
          <t>2012</t>
        </is>
      </c>
      <c r="F5040" t="inlineStr">
        <is>
          <t>0221</t>
        </is>
      </c>
      <c r="G5040" s="10" t="inlineStr">
        <is>
          <t>鹿王院</t>
        </is>
      </c>
      <c r="H5040" s="10" t="inlineStr">
        <is>
          <t>発</t>
        </is>
      </c>
      <c r="J5040" s="10" t="inlineStr">
        <is>
          <t>営業</t>
        </is>
      </c>
      <c r="L5040" t="inlineStr">
        <is>
          <t>20:56:15</t>
        </is>
      </c>
      <c r="M5040" t="inlineStr">
        <is>
          <t>20:56:30</t>
        </is>
      </c>
    </row>
    <row r="5041" ht="15" customHeight="1" s="37">
      <c r="A5041" t="n">
        <v>10</v>
      </c>
      <c r="B5041" s="10" t="inlineStr">
        <is>
          <t>平日</t>
        </is>
      </c>
      <c r="C5041" s="10" t="inlineStr">
        <is>
          <t>本線</t>
        </is>
      </c>
      <c r="D5041" s="10" t="inlineStr">
        <is>
          <t>上り</t>
        </is>
      </c>
      <c r="E5041" t="inlineStr">
        <is>
          <t>2012</t>
        </is>
      </c>
      <c r="F5041" t="inlineStr">
        <is>
          <t>0221</t>
        </is>
      </c>
      <c r="G5041" s="10" t="inlineStr">
        <is>
          <t>車折</t>
        </is>
      </c>
      <c r="H5041" s="10" t="inlineStr">
        <is>
          <t>発</t>
        </is>
      </c>
      <c r="J5041" s="10" t="inlineStr">
        <is>
          <t>営業</t>
        </is>
      </c>
      <c r="L5041" t="inlineStr">
        <is>
          <t>20:57:25</t>
        </is>
      </c>
      <c r="M5041" t="inlineStr">
        <is>
          <t>20:57:40</t>
        </is>
      </c>
    </row>
    <row r="5042" ht="15" customHeight="1" s="37">
      <c r="A5042" t="n">
        <v>10</v>
      </c>
      <c r="B5042" s="10" t="inlineStr">
        <is>
          <t>平日</t>
        </is>
      </c>
      <c r="C5042" s="10" t="inlineStr">
        <is>
          <t>本線</t>
        </is>
      </c>
      <c r="D5042" s="10" t="inlineStr">
        <is>
          <t>上り</t>
        </is>
      </c>
      <c r="E5042" t="inlineStr">
        <is>
          <t>2012</t>
        </is>
      </c>
      <c r="F5042" t="inlineStr">
        <is>
          <t>0221</t>
        </is>
      </c>
      <c r="G5042" s="10" t="inlineStr">
        <is>
          <t>有栖川</t>
        </is>
      </c>
      <c r="H5042" s="10" t="inlineStr">
        <is>
          <t>発</t>
        </is>
      </c>
      <c r="J5042" s="10" t="inlineStr">
        <is>
          <t>営業</t>
        </is>
      </c>
      <c r="L5042" t="inlineStr">
        <is>
          <t>20:59:05</t>
        </is>
      </c>
      <c r="M5042" t="inlineStr">
        <is>
          <t>20:59:20</t>
        </is>
      </c>
    </row>
    <row r="5043" ht="15" customHeight="1" s="37">
      <c r="A5043" t="n">
        <v>10</v>
      </c>
      <c r="B5043" s="10" t="inlineStr">
        <is>
          <t>平日</t>
        </is>
      </c>
      <c r="C5043" s="10" t="inlineStr">
        <is>
          <t>本線</t>
        </is>
      </c>
      <c r="D5043" s="10" t="inlineStr">
        <is>
          <t>上り</t>
        </is>
      </c>
      <c r="E5043" t="inlineStr">
        <is>
          <t>2012</t>
        </is>
      </c>
      <c r="F5043" t="inlineStr">
        <is>
          <t>0221</t>
        </is>
      </c>
      <c r="G5043" s="10" t="inlineStr">
        <is>
          <t>帷子ノ辻</t>
        </is>
      </c>
      <c r="H5043" s="10" t="inlineStr">
        <is>
          <t>発</t>
        </is>
      </c>
      <c r="J5043" s="10" t="inlineStr">
        <is>
          <t>営業</t>
        </is>
      </c>
      <c r="L5043" t="inlineStr">
        <is>
          <t>21:00:35</t>
        </is>
      </c>
      <c r="M5043" t="inlineStr">
        <is>
          <t>21:01:05</t>
        </is>
      </c>
    </row>
    <row r="5044" ht="15" customHeight="1" s="37">
      <c r="A5044" t="n">
        <v>10</v>
      </c>
      <c r="B5044" s="10" t="inlineStr">
        <is>
          <t>平日</t>
        </is>
      </c>
      <c r="C5044" s="10" t="inlineStr">
        <is>
          <t>本線</t>
        </is>
      </c>
      <c r="D5044" s="10" t="inlineStr">
        <is>
          <t>上り</t>
        </is>
      </c>
      <c r="E5044" t="inlineStr">
        <is>
          <t>2012</t>
        </is>
      </c>
      <c r="F5044" t="inlineStr">
        <is>
          <t>0221</t>
        </is>
      </c>
      <c r="G5044" s="10" t="inlineStr">
        <is>
          <t>太秦広隆寺</t>
        </is>
      </c>
      <c r="H5044" s="10" t="inlineStr">
        <is>
          <t>発</t>
        </is>
      </c>
      <c r="J5044" s="10" t="inlineStr">
        <is>
          <t>営業</t>
        </is>
      </c>
      <c r="L5044" t="inlineStr">
        <is>
          <t>21:03:15</t>
        </is>
      </c>
      <c r="M5044" t="inlineStr">
        <is>
          <t>21:03:35</t>
        </is>
      </c>
    </row>
    <row r="5045" ht="15" customHeight="1" s="37">
      <c r="A5045" t="n">
        <v>10</v>
      </c>
      <c r="B5045" s="10" t="inlineStr">
        <is>
          <t>平日</t>
        </is>
      </c>
      <c r="C5045" s="10" t="inlineStr">
        <is>
          <t>本線</t>
        </is>
      </c>
      <c r="D5045" s="10" t="inlineStr">
        <is>
          <t>上り</t>
        </is>
      </c>
      <c r="E5045" t="inlineStr">
        <is>
          <t>2012</t>
        </is>
      </c>
      <c r="F5045" t="inlineStr">
        <is>
          <t>0221</t>
        </is>
      </c>
      <c r="G5045" s="10" t="inlineStr">
        <is>
          <t>蚕ノ社</t>
        </is>
      </c>
      <c r="H5045" s="10" t="inlineStr">
        <is>
          <t>発</t>
        </is>
      </c>
      <c r="J5045" s="10" t="inlineStr">
        <is>
          <t>営業</t>
        </is>
      </c>
      <c r="L5045" t="inlineStr">
        <is>
          <t>21:04:50</t>
        </is>
      </c>
      <c r="M5045" t="inlineStr">
        <is>
          <t>21:05:10</t>
        </is>
      </c>
    </row>
    <row r="5046" ht="15" customHeight="1" s="37">
      <c r="A5046" t="n">
        <v>10</v>
      </c>
      <c r="B5046" s="10" t="inlineStr">
        <is>
          <t>平日</t>
        </is>
      </c>
      <c r="C5046" s="10" t="inlineStr">
        <is>
          <t>本線</t>
        </is>
      </c>
      <c r="D5046" s="10" t="inlineStr">
        <is>
          <t>上り</t>
        </is>
      </c>
      <c r="E5046" t="inlineStr">
        <is>
          <t>2012</t>
        </is>
      </c>
      <c r="F5046" t="inlineStr">
        <is>
          <t>0221</t>
        </is>
      </c>
      <c r="G5046" s="10" t="inlineStr">
        <is>
          <t>天神川</t>
        </is>
      </c>
      <c r="H5046" s="10" t="inlineStr">
        <is>
          <t>発</t>
        </is>
      </c>
      <c r="J5046" s="10" t="inlineStr">
        <is>
          <t>営業</t>
        </is>
      </c>
      <c r="L5046" t="inlineStr">
        <is>
          <t>21:05:55</t>
        </is>
      </c>
      <c r="M5046" t="inlineStr">
        <is>
          <t>21:06:20</t>
        </is>
      </c>
    </row>
    <row r="5047" ht="15" customHeight="1" s="37">
      <c r="A5047" t="n">
        <v>10</v>
      </c>
      <c r="B5047" s="10" t="inlineStr">
        <is>
          <t>平日</t>
        </is>
      </c>
      <c r="C5047" s="10" t="inlineStr">
        <is>
          <t>本線</t>
        </is>
      </c>
      <c r="D5047" s="10" t="inlineStr">
        <is>
          <t>上り</t>
        </is>
      </c>
      <c r="E5047" t="inlineStr">
        <is>
          <t>2012</t>
        </is>
      </c>
      <c r="F5047" t="inlineStr">
        <is>
          <t>0221</t>
        </is>
      </c>
      <c r="G5047" s="10" t="inlineStr">
        <is>
          <t>山ノ内</t>
        </is>
      </c>
      <c r="H5047" s="10" t="inlineStr">
        <is>
          <t>発</t>
        </is>
      </c>
      <c r="J5047" s="10" t="inlineStr">
        <is>
          <t>営業</t>
        </is>
      </c>
      <c r="L5047" t="inlineStr">
        <is>
          <t>21:08:10</t>
        </is>
      </c>
      <c r="M5047" t="inlineStr">
        <is>
          <t>21:08:35</t>
        </is>
      </c>
    </row>
    <row r="5048" ht="15" customHeight="1" s="37">
      <c r="A5048" t="n">
        <v>10</v>
      </c>
      <c r="B5048" s="10" t="inlineStr">
        <is>
          <t>平日</t>
        </is>
      </c>
      <c r="C5048" s="10" t="inlineStr">
        <is>
          <t>本線</t>
        </is>
      </c>
      <c r="D5048" s="10" t="inlineStr">
        <is>
          <t>上り</t>
        </is>
      </c>
      <c r="E5048" t="inlineStr">
        <is>
          <t>2012</t>
        </is>
      </c>
      <c r="F5048" t="inlineStr">
        <is>
          <t>0221</t>
        </is>
      </c>
      <c r="G5048" s="10" t="inlineStr">
        <is>
          <t>西大路三条</t>
        </is>
      </c>
      <c r="H5048" s="10" t="inlineStr">
        <is>
          <t>発</t>
        </is>
      </c>
      <c r="J5048" s="10" t="inlineStr">
        <is>
          <t>営業</t>
        </is>
      </c>
      <c r="L5048" t="inlineStr">
        <is>
          <t>21:10:25</t>
        </is>
      </c>
      <c r="M5048" t="inlineStr">
        <is>
          <t>21:10:40</t>
        </is>
      </c>
    </row>
    <row r="5049" ht="15" customHeight="1" s="37">
      <c r="A5049" t="n">
        <v>10</v>
      </c>
      <c r="B5049" s="10" t="inlineStr">
        <is>
          <t>平日</t>
        </is>
      </c>
      <c r="C5049" s="10" t="inlineStr">
        <is>
          <t>本線</t>
        </is>
      </c>
      <c r="D5049" s="10" t="inlineStr">
        <is>
          <t>上り</t>
        </is>
      </c>
      <c r="E5049" t="inlineStr">
        <is>
          <t>2012</t>
        </is>
      </c>
      <c r="F5049" t="inlineStr">
        <is>
          <t>0221</t>
        </is>
      </c>
      <c r="G5049" s="10" t="inlineStr">
        <is>
          <t>西院</t>
        </is>
      </c>
      <c r="H5049" s="10" t="inlineStr">
        <is>
          <t>発</t>
        </is>
      </c>
      <c r="J5049" s="10" t="inlineStr">
        <is>
          <t>営業</t>
        </is>
      </c>
      <c r="L5049" t="inlineStr">
        <is>
          <t>21:12:35</t>
        </is>
      </c>
      <c r="M5049" t="inlineStr">
        <is>
          <t>21:13:05</t>
        </is>
      </c>
    </row>
    <row r="5050" ht="15" customHeight="1" s="37">
      <c r="A5050" t="n">
        <v>10</v>
      </c>
      <c r="B5050" s="10" t="inlineStr">
        <is>
          <t>平日</t>
        </is>
      </c>
      <c r="C5050" s="10" t="inlineStr">
        <is>
          <t>本線</t>
        </is>
      </c>
      <c r="D5050" s="10" t="inlineStr">
        <is>
          <t>上り</t>
        </is>
      </c>
      <c r="E5050" t="inlineStr">
        <is>
          <t>2012</t>
        </is>
      </c>
      <c r="F5050" t="inlineStr">
        <is>
          <t>0221</t>
        </is>
      </c>
      <c r="G5050" s="10" t="inlineStr">
        <is>
          <t>四条大宮</t>
        </is>
      </c>
      <c r="H5050" s="10" t="inlineStr">
        <is>
          <t>着</t>
        </is>
      </c>
      <c r="J5050" s="10" t="inlineStr">
        <is>
          <t>営業</t>
        </is>
      </c>
      <c r="L5050" t="inlineStr">
        <is>
          <t>21:16:00</t>
        </is>
      </c>
      <c r="N5050" t="inlineStr">
        <is>
          <t>○</t>
        </is>
      </c>
      <c r="Q5050" t="inlineStr">
        <is>
          <t>1</t>
        </is>
      </c>
    </row>
    <row r="5051" ht="15" customHeight="1" s="37">
      <c r="A5051" t="n">
        <v>10</v>
      </c>
      <c r="B5051" s="10" t="inlineStr">
        <is>
          <t>平日</t>
        </is>
      </c>
      <c r="C5051" s="10" t="inlineStr">
        <is>
          <t>本線</t>
        </is>
      </c>
      <c r="D5051" s="10" t="inlineStr">
        <is>
          <t>下り</t>
        </is>
      </c>
      <c r="E5051" t="inlineStr">
        <is>
          <t>2105</t>
        </is>
      </c>
      <c r="F5051" t="inlineStr">
        <is>
          <t>0122</t>
        </is>
      </c>
      <c r="G5051" s="10" t="inlineStr">
        <is>
          <t>四条大宮</t>
        </is>
      </c>
      <c r="H5051" s="10" t="inlineStr">
        <is>
          <t>発</t>
        </is>
      </c>
      <c r="J5051" s="10" t="inlineStr">
        <is>
          <t>営業</t>
        </is>
      </c>
      <c r="M5051" t="inlineStr">
        <is>
          <t>21:27:00</t>
        </is>
      </c>
      <c r="Q5051" t="inlineStr">
        <is>
          <t>1</t>
        </is>
      </c>
    </row>
    <row r="5052" ht="15" customHeight="1" s="37">
      <c r="A5052" t="n">
        <v>10</v>
      </c>
      <c r="B5052" s="10" t="inlineStr">
        <is>
          <t>平日</t>
        </is>
      </c>
      <c r="C5052" s="10" t="inlineStr">
        <is>
          <t>本線</t>
        </is>
      </c>
      <c r="D5052" s="10" t="inlineStr">
        <is>
          <t>下り</t>
        </is>
      </c>
      <c r="E5052" t="inlineStr">
        <is>
          <t>2105</t>
        </is>
      </c>
      <c r="F5052" t="inlineStr">
        <is>
          <t>0122</t>
        </is>
      </c>
      <c r="G5052" s="10" t="inlineStr">
        <is>
          <t>西院</t>
        </is>
      </c>
      <c r="H5052" s="10" t="inlineStr">
        <is>
          <t>発</t>
        </is>
      </c>
      <c r="J5052" s="10" t="inlineStr">
        <is>
          <t>営業</t>
        </is>
      </c>
      <c r="L5052" t="inlineStr">
        <is>
          <t>21:29:50</t>
        </is>
      </c>
      <c r="M5052" t="inlineStr">
        <is>
          <t>21:30:20</t>
        </is>
      </c>
    </row>
    <row r="5053" ht="15" customHeight="1" s="37">
      <c r="A5053" t="n">
        <v>10</v>
      </c>
      <c r="B5053" s="10" t="inlineStr">
        <is>
          <t>平日</t>
        </is>
      </c>
      <c r="C5053" s="10" t="inlineStr">
        <is>
          <t>本線</t>
        </is>
      </c>
      <c r="D5053" s="10" t="inlineStr">
        <is>
          <t>下り</t>
        </is>
      </c>
      <c r="E5053" t="inlineStr">
        <is>
          <t>2105</t>
        </is>
      </c>
      <c r="F5053" t="inlineStr">
        <is>
          <t>0122</t>
        </is>
      </c>
      <c r="G5053" s="10" t="inlineStr">
        <is>
          <t>西大路三条</t>
        </is>
      </c>
      <c r="H5053" s="10" t="inlineStr">
        <is>
          <t>発</t>
        </is>
      </c>
      <c r="J5053" s="10" t="inlineStr">
        <is>
          <t>営業</t>
        </is>
      </c>
      <c r="L5053" t="inlineStr">
        <is>
          <t>21:32:10</t>
        </is>
      </c>
      <c r="M5053" t="inlineStr">
        <is>
          <t>21:32:30</t>
        </is>
      </c>
    </row>
    <row r="5054" ht="15" customHeight="1" s="37">
      <c r="A5054" t="n">
        <v>10</v>
      </c>
      <c r="B5054" s="10" t="inlineStr">
        <is>
          <t>平日</t>
        </is>
      </c>
      <c r="C5054" s="10" t="inlineStr">
        <is>
          <t>本線</t>
        </is>
      </c>
      <c r="D5054" s="10" t="inlineStr">
        <is>
          <t>下り</t>
        </is>
      </c>
      <c r="E5054" t="inlineStr">
        <is>
          <t>2105</t>
        </is>
      </c>
      <c r="F5054" t="inlineStr">
        <is>
          <t>0122</t>
        </is>
      </c>
      <c r="G5054" s="10" t="inlineStr">
        <is>
          <t>山ノ内</t>
        </is>
      </c>
      <c r="H5054" s="10" t="inlineStr">
        <is>
          <t>発</t>
        </is>
      </c>
      <c r="J5054" s="10" t="inlineStr">
        <is>
          <t>営業</t>
        </is>
      </c>
      <c r="L5054" t="inlineStr">
        <is>
          <t>21:34:25</t>
        </is>
      </c>
      <c r="M5054" t="inlineStr">
        <is>
          <t>21:34:50</t>
        </is>
      </c>
    </row>
    <row r="5055" ht="15" customHeight="1" s="37">
      <c r="A5055" t="n">
        <v>10</v>
      </c>
      <c r="B5055" s="10" t="inlineStr">
        <is>
          <t>平日</t>
        </is>
      </c>
      <c r="C5055" s="10" t="inlineStr">
        <is>
          <t>本線</t>
        </is>
      </c>
      <c r="D5055" s="10" t="inlineStr">
        <is>
          <t>下り</t>
        </is>
      </c>
      <c r="E5055" t="inlineStr">
        <is>
          <t>2105</t>
        </is>
      </c>
      <c r="F5055" t="inlineStr">
        <is>
          <t>0122</t>
        </is>
      </c>
      <c r="G5055" s="10" t="inlineStr">
        <is>
          <t>天神川</t>
        </is>
      </c>
      <c r="H5055" s="10" t="inlineStr">
        <is>
          <t>発</t>
        </is>
      </c>
      <c r="J5055" s="10" t="inlineStr">
        <is>
          <t>営業</t>
        </is>
      </c>
      <c r="L5055" t="inlineStr">
        <is>
          <t>21:36:50</t>
        </is>
      </c>
      <c r="M5055" t="inlineStr">
        <is>
          <t>21:37:30</t>
        </is>
      </c>
    </row>
    <row r="5056" ht="15" customHeight="1" s="37">
      <c r="A5056" t="n">
        <v>10</v>
      </c>
      <c r="B5056" s="10" t="inlineStr">
        <is>
          <t>平日</t>
        </is>
      </c>
      <c r="C5056" s="10" t="inlineStr">
        <is>
          <t>本線</t>
        </is>
      </c>
      <c r="D5056" s="10" t="inlineStr">
        <is>
          <t>下り</t>
        </is>
      </c>
      <c r="E5056" t="inlineStr">
        <is>
          <t>2105</t>
        </is>
      </c>
      <c r="F5056" t="inlineStr">
        <is>
          <t>0122</t>
        </is>
      </c>
      <c r="G5056" s="10" t="inlineStr">
        <is>
          <t>蚕ノ社</t>
        </is>
      </c>
      <c r="H5056" s="10" t="inlineStr">
        <is>
          <t>発</t>
        </is>
      </c>
      <c r="J5056" s="10" t="inlineStr">
        <is>
          <t>営業</t>
        </is>
      </c>
      <c r="L5056" t="inlineStr">
        <is>
          <t>21:38:20</t>
        </is>
      </c>
      <c r="M5056" t="inlineStr">
        <is>
          <t>21:38:40</t>
        </is>
      </c>
    </row>
    <row r="5057" ht="15" customHeight="1" s="37">
      <c r="A5057" t="n">
        <v>10</v>
      </c>
      <c r="B5057" s="10" t="inlineStr">
        <is>
          <t>平日</t>
        </is>
      </c>
      <c r="C5057" s="10" t="inlineStr">
        <is>
          <t>本線</t>
        </is>
      </c>
      <c r="D5057" s="10" t="inlineStr">
        <is>
          <t>下り</t>
        </is>
      </c>
      <c r="E5057" t="inlineStr">
        <is>
          <t>2105</t>
        </is>
      </c>
      <c r="F5057" t="inlineStr">
        <is>
          <t>0122</t>
        </is>
      </c>
      <c r="G5057" s="10" t="inlineStr">
        <is>
          <t>太秦広隆寺</t>
        </is>
      </c>
      <c r="H5057" s="10" t="inlineStr">
        <is>
          <t>発</t>
        </is>
      </c>
      <c r="J5057" s="10" t="inlineStr">
        <is>
          <t>営業</t>
        </is>
      </c>
      <c r="L5057" t="inlineStr">
        <is>
          <t>21:40:00</t>
        </is>
      </c>
      <c r="M5057" t="inlineStr">
        <is>
          <t>21:40:20</t>
        </is>
      </c>
    </row>
    <row r="5058" ht="15" customHeight="1" s="37">
      <c r="A5058" t="n">
        <v>10</v>
      </c>
      <c r="B5058" s="10" t="inlineStr">
        <is>
          <t>平日</t>
        </is>
      </c>
      <c r="C5058" s="10" t="inlineStr">
        <is>
          <t>本線</t>
        </is>
      </c>
      <c r="D5058" s="10" t="inlineStr">
        <is>
          <t>下り</t>
        </is>
      </c>
      <c r="E5058" t="inlineStr">
        <is>
          <t>2105</t>
        </is>
      </c>
      <c r="F5058" t="inlineStr">
        <is>
          <t>0122</t>
        </is>
      </c>
      <c r="G5058" s="10" t="inlineStr">
        <is>
          <t>帷子ノ辻</t>
        </is>
      </c>
      <c r="H5058" s="10" t="inlineStr">
        <is>
          <t>発</t>
        </is>
      </c>
      <c r="J5058" s="10" t="inlineStr">
        <is>
          <t>営業</t>
        </is>
      </c>
      <c r="L5058" t="inlineStr">
        <is>
          <t>21:42:20</t>
        </is>
      </c>
      <c r="M5058" t="inlineStr">
        <is>
          <t>21:43:40</t>
        </is>
      </c>
    </row>
    <row r="5059" ht="15" customHeight="1" s="37">
      <c r="A5059" t="n">
        <v>10</v>
      </c>
      <c r="B5059" s="10" t="inlineStr">
        <is>
          <t>平日</t>
        </is>
      </c>
      <c r="C5059" s="10" t="inlineStr">
        <is>
          <t>本線</t>
        </is>
      </c>
      <c r="D5059" s="10" t="inlineStr">
        <is>
          <t>下り</t>
        </is>
      </c>
      <c r="E5059" t="inlineStr">
        <is>
          <t>2105</t>
        </is>
      </c>
      <c r="F5059" t="inlineStr">
        <is>
          <t>0122</t>
        </is>
      </c>
      <c r="G5059" s="10" t="inlineStr">
        <is>
          <t>有栖川</t>
        </is>
      </c>
      <c r="H5059" s="10" t="inlineStr">
        <is>
          <t>発</t>
        </is>
      </c>
      <c r="J5059" s="10" t="inlineStr">
        <is>
          <t>営業</t>
        </is>
      </c>
      <c r="L5059" t="inlineStr">
        <is>
          <t>21:44:50</t>
        </is>
      </c>
      <c r="M5059" t="inlineStr">
        <is>
          <t>21:45:15</t>
        </is>
      </c>
    </row>
    <row r="5060" ht="15" customHeight="1" s="37">
      <c r="A5060" t="n">
        <v>10</v>
      </c>
      <c r="B5060" s="10" t="inlineStr">
        <is>
          <t>平日</t>
        </is>
      </c>
      <c r="C5060" s="10" t="inlineStr">
        <is>
          <t>本線</t>
        </is>
      </c>
      <c r="D5060" s="10" t="inlineStr">
        <is>
          <t>下り</t>
        </is>
      </c>
      <c r="E5060" t="inlineStr">
        <is>
          <t>2105</t>
        </is>
      </c>
      <c r="F5060" t="inlineStr">
        <is>
          <t>0122</t>
        </is>
      </c>
      <c r="G5060" s="10" t="inlineStr">
        <is>
          <t>車折</t>
        </is>
      </c>
      <c r="H5060" s="10" t="inlineStr">
        <is>
          <t>発</t>
        </is>
      </c>
      <c r="J5060" s="10" t="inlineStr">
        <is>
          <t>営業</t>
        </is>
      </c>
      <c r="L5060" t="inlineStr">
        <is>
          <t>21:46:40</t>
        </is>
      </c>
      <c r="M5060" t="inlineStr">
        <is>
          <t>21:47:05</t>
        </is>
      </c>
    </row>
    <row r="5061" ht="15" customHeight="1" s="37">
      <c r="A5061" t="n">
        <v>10</v>
      </c>
      <c r="B5061" s="10" t="inlineStr">
        <is>
          <t>平日</t>
        </is>
      </c>
      <c r="C5061" s="10" t="inlineStr">
        <is>
          <t>本線</t>
        </is>
      </c>
      <c r="D5061" s="10" t="inlineStr">
        <is>
          <t>下り</t>
        </is>
      </c>
      <c r="E5061" t="inlineStr">
        <is>
          <t>2105</t>
        </is>
      </c>
      <c r="F5061" t="inlineStr">
        <is>
          <t>0122</t>
        </is>
      </c>
      <c r="G5061" s="10" t="inlineStr">
        <is>
          <t>鹿王院</t>
        </is>
      </c>
      <c r="H5061" s="10" t="inlineStr">
        <is>
          <t>発</t>
        </is>
      </c>
      <c r="J5061" s="10" t="inlineStr">
        <is>
          <t>営業</t>
        </is>
      </c>
      <c r="L5061" t="inlineStr">
        <is>
          <t>21:48:00</t>
        </is>
      </c>
      <c r="M5061" t="inlineStr">
        <is>
          <t>21:48:25</t>
        </is>
      </c>
    </row>
    <row r="5062" ht="15" customHeight="1" s="37">
      <c r="A5062" t="n">
        <v>10</v>
      </c>
      <c r="B5062" s="10" t="inlineStr">
        <is>
          <t>平日</t>
        </is>
      </c>
      <c r="C5062" s="10" t="inlineStr">
        <is>
          <t>本線</t>
        </is>
      </c>
      <c r="D5062" s="10" t="inlineStr">
        <is>
          <t>下り</t>
        </is>
      </c>
      <c r="E5062" t="inlineStr">
        <is>
          <t>2105</t>
        </is>
      </c>
      <c r="F5062" t="inlineStr">
        <is>
          <t>0122</t>
        </is>
      </c>
      <c r="G5062" s="10" t="inlineStr">
        <is>
          <t>嵯峨</t>
        </is>
      </c>
      <c r="H5062" s="10" t="inlineStr">
        <is>
          <t>発</t>
        </is>
      </c>
      <c r="J5062" s="10" t="inlineStr">
        <is>
          <t>営業</t>
        </is>
      </c>
      <c r="L5062" t="inlineStr">
        <is>
          <t>21:49:30</t>
        </is>
      </c>
      <c r="M5062" t="inlineStr">
        <is>
          <t>21:49:55</t>
        </is>
      </c>
    </row>
    <row r="5063" ht="15" customHeight="1" s="37">
      <c r="A5063" t="n">
        <v>10</v>
      </c>
      <c r="B5063" s="10" t="inlineStr">
        <is>
          <t>平日</t>
        </is>
      </c>
      <c r="C5063" s="10" t="inlineStr">
        <is>
          <t>本線</t>
        </is>
      </c>
      <c r="D5063" s="10" t="inlineStr">
        <is>
          <t>下り</t>
        </is>
      </c>
      <c r="E5063" t="inlineStr">
        <is>
          <t>2105</t>
        </is>
      </c>
      <c r="F5063" t="inlineStr">
        <is>
          <t>0122</t>
        </is>
      </c>
      <c r="G5063" s="10" t="inlineStr">
        <is>
          <t>嵐山</t>
        </is>
      </c>
      <c r="H5063" s="10" t="inlineStr">
        <is>
          <t>着</t>
        </is>
      </c>
      <c r="J5063" s="10" t="inlineStr">
        <is>
          <t>営業</t>
        </is>
      </c>
      <c r="L5063" t="inlineStr">
        <is>
          <t>21:51:00</t>
        </is>
      </c>
      <c r="N5063" t="inlineStr">
        <is>
          <t>○</t>
        </is>
      </c>
      <c r="Q5063" t="inlineStr">
        <is>
          <t>1</t>
        </is>
      </c>
    </row>
    <row r="5064" ht="15" customHeight="1" s="37">
      <c r="A5064" t="n">
        <v>10</v>
      </c>
      <c r="B5064" s="10" t="inlineStr">
        <is>
          <t>平日</t>
        </is>
      </c>
      <c r="C5064" s="10" t="inlineStr">
        <is>
          <t>本線</t>
        </is>
      </c>
      <c r="D5064" s="10" t="inlineStr">
        <is>
          <t>上り</t>
        </is>
      </c>
      <c r="E5064" t="inlineStr">
        <is>
          <t>2112</t>
        </is>
      </c>
      <c r="F5064" t="inlineStr">
        <is>
          <t>0221</t>
        </is>
      </c>
      <c r="G5064" s="10" t="inlineStr">
        <is>
          <t>嵐山</t>
        </is>
      </c>
      <c r="H5064" s="10" t="inlineStr">
        <is>
          <t>発</t>
        </is>
      </c>
      <c r="J5064" s="10" t="inlineStr">
        <is>
          <t>営業</t>
        </is>
      </c>
      <c r="M5064" t="inlineStr">
        <is>
          <t>21:56:00</t>
        </is>
      </c>
      <c r="Q5064" t="inlineStr">
        <is>
          <t>1</t>
        </is>
      </c>
    </row>
    <row r="5065" ht="15" customHeight="1" s="37">
      <c r="A5065" t="n">
        <v>10</v>
      </c>
      <c r="B5065" s="10" t="inlineStr">
        <is>
          <t>平日</t>
        </is>
      </c>
      <c r="C5065" s="10" t="inlineStr">
        <is>
          <t>本線</t>
        </is>
      </c>
      <c r="D5065" s="10" t="inlineStr">
        <is>
          <t>上り</t>
        </is>
      </c>
      <c r="E5065" t="inlineStr">
        <is>
          <t>2112</t>
        </is>
      </c>
      <c r="F5065" t="inlineStr">
        <is>
          <t>0221</t>
        </is>
      </c>
      <c r="G5065" s="10" t="inlineStr">
        <is>
          <t>嵯峨</t>
        </is>
      </c>
      <c r="H5065" s="10" t="inlineStr">
        <is>
          <t>発</t>
        </is>
      </c>
      <c r="J5065" s="10" t="inlineStr">
        <is>
          <t>営業</t>
        </is>
      </c>
      <c r="L5065" t="inlineStr">
        <is>
          <t>21:56:55</t>
        </is>
      </c>
      <c r="M5065" t="inlineStr">
        <is>
          <t>21:57:10</t>
        </is>
      </c>
    </row>
    <row r="5066" ht="15" customHeight="1" s="37">
      <c r="A5066" t="n">
        <v>10</v>
      </c>
      <c r="B5066" s="10" t="inlineStr">
        <is>
          <t>平日</t>
        </is>
      </c>
      <c r="C5066" s="10" t="inlineStr">
        <is>
          <t>本線</t>
        </is>
      </c>
      <c r="D5066" s="10" t="inlineStr">
        <is>
          <t>上り</t>
        </is>
      </c>
      <c r="E5066" t="inlineStr">
        <is>
          <t>2112</t>
        </is>
      </c>
      <c r="F5066" t="inlineStr">
        <is>
          <t>0221</t>
        </is>
      </c>
      <c r="G5066" s="10" t="inlineStr">
        <is>
          <t>鹿王院</t>
        </is>
      </c>
      <c r="H5066" s="10" t="inlineStr">
        <is>
          <t>発</t>
        </is>
      </c>
      <c r="J5066" s="10" t="inlineStr">
        <is>
          <t>営業</t>
        </is>
      </c>
      <c r="L5066" t="inlineStr">
        <is>
          <t>21:58:15</t>
        </is>
      </c>
      <c r="M5066" t="inlineStr">
        <is>
          <t>21:58:30</t>
        </is>
      </c>
    </row>
    <row r="5067" ht="15" customHeight="1" s="37">
      <c r="A5067" t="n">
        <v>10</v>
      </c>
      <c r="B5067" s="10" t="inlineStr">
        <is>
          <t>平日</t>
        </is>
      </c>
      <c r="C5067" s="10" t="inlineStr">
        <is>
          <t>本線</t>
        </is>
      </c>
      <c r="D5067" s="10" t="inlineStr">
        <is>
          <t>上り</t>
        </is>
      </c>
      <c r="E5067" t="inlineStr">
        <is>
          <t>2112</t>
        </is>
      </c>
      <c r="F5067" t="inlineStr">
        <is>
          <t>0221</t>
        </is>
      </c>
      <c r="G5067" s="10" t="inlineStr">
        <is>
          <t>車折</t>
        </is>
      </c>
      <c r="H5067" s="10" t="inlineStr">
        <is>
          <t>発</t>
        </is>
      </c>
      <c r="J5067" s="10" t="inlineStr">
        <is>
          <t>営業</t>
        </is>
      </c>
      <c r="L5067" t="inlineStr">
        <is>
          <t>21:59:25</t>
        </is>
      </c>
      <c r="M5067" t="inlineStr">
        <is>
          <t>21:59:40</t>
        </is>
      </c>
    </row>
    <row r="5068" ht="15" customHeight="1" s="37">
      <c r="A5068" t="n">
        <v>10</v>
      </c>
      <c r="B5068" s="10" t="inlineStr">
        <is>
          <t>平日</t>
        </is>
      </c>
      <c r="C5068" s="10" t="inlineStr">
        <is>
          <t>本線</t>
        </is>
      </c>
      <c r="D5068" s="10" t="inlineStr">
        <is>
          <t>上り</t>
        </is>
      </c>
      <c r="E5068" t="inlineStr">
        <is>
          <t>2112</t>
        </is>
      </c>
      <c r="F5068" t="inlineStr">
        <is>
          <t>0221</t>
        </is>
      </c>
      <c r="G5068" s="10" t="inlineStr">
        <is>
          <t>有栖川</t>
        </is>
      </c>
      <c r="H5068" s="10" t="inlineStr">
        <is>
          <t>発</t>
        </is>
      </c>
      <c r="J5068" s="10" t="inlineStr">
        <is>
          <t>営業</t>
        </is>
      </c>
      <c r="L5068" t="inlineStr">
        <is>
          <t>22:01:05</t>
        </is>
      </c>
      <c r="M5068" t="inlineStr">
        <is>
          <t>22:01:20</t>
        </is>
      </c>
    </row>
    <row r="5069" ht="15" customHeight="1" s="37">
      <c r="A5069" t="n">
        <v>10</v>
      </c>
      <c r="B5069" s="10" t="inlineStr">
        <is>
          <t>平日</t>
        </is>
      </c>
      <c r="C5069" s="10" t="inlineStr">
        <is>
          <t>本線</t>
        </is>
      </c>
      <c r="D5069" s="10" t="inlineStr">
        <is>
          <t>上り</t>
        </is>
      </c>
      <c r="E5069" t="inlineStr">
        <is>
          <t>2112</t>
        </is>
      </c>
      <c r="F5069" t="inlineStr">
        <is>
          <t>0221</t>
        </is>
      </c>
      <c r="G5069" s="10" t="inlineStr">
        <is>
          <t>帷子ノ辻</t>
        </is>
      </c>
      <c r="H5069" s="10" t="inlineStr">
        <is>
          <t>発</t>
        </is>
      </c>
      <c r="J5069" s="10" t="inlineStr">
        <is>
          <t>営業</t>
        </is>
      </c>
      <c r="L5069" t="inlineStr">
        <is>
          <t>22:02:35</t>
        </is>
      </c>
      <c r="M5069" t="inlineStr">
        <is>
          <t>22:03:05</t>
        </is>
      </c>
    </row>
    <row r="5070" ht="15" customHeight="1" s="37">
      <c r="A5070" t="n">
        <v>10</v>
      </c>
      <c r="B5070" s="10" t="inlineStr">
        <is>
          <t>平日</t>
        </is>
      </c>
      <c r="C5070" s="10" t="inlineStr">
        <is>
          <t>本線</t>
        </is>
      </c>
      <c r="D5070" s="10" t="inlineStr">
        <is>
          <t>上り</t>
        </is>
      </c>
      <c r="E5070" t="inlineStr">
        <is>
          <t>2112</t>
        </is>
      </c>
      <c r="F5070" t="inlineStr">
        <is>
          <t>0221</t>
        </is>
      </c>
      <c r="G5070" s="10" t="inlineStr">
        <is>
          <t>太秦広隆寺</t>
        </is>
      </c>
      <c r="H5070" s="10" t="inlineStr">
        <is>
          <t>発</t>
        </is>
      </c>
      <c r="J5070" s="10" t="inlineStr">
        <is>
          <t>営業</t>
        </is>
      </c>
      <c r="L5070" t="inlineStr">
        <is>
          <t>22:05:15</t>
        </is>
      </c>
      <c r="M5070" t="inlineStr">
        <is>
          <t>22:05:35</t>
        </is>
      </c>
    </row>
    <row r="5071" ht="15" customHeight="1" s="37">
      <c r="A5071" t="n">
        <v>10</v>
      </c>
      <c r="B5071" s="10" t="inlineStr">
        <is>
          <t>平日</t>
        </is>
      </c>
      <c r="C5071" s="10" t="inlineStr">
        <is>
          <t>本線</t>
        </is>
      </c>
      <c r="D5071" s="10" t="inlineStr">
        <is>
          <t>上り</t>
        </is>
      </c>
      <c r="E5071" t="inlineStr">
        <is>
          <t>2112</t>
        </is>
      </c>
      <c r="F5071" t="inlineStr">
        <is>
          <t>0221</t>
        </is>
      </c>
      <c r="G5071" s="10" t="inlineStr">
        <is>
          <t>蚕ノ社</t>
        </is>
      </c>
      <c r="H5071" s="10" t="inlineStr">
        <is>
          <t>発</t>
        </is>
      </c>
      <c r="J5071" s="10" t="inlineStr">
        <is>
          <t>営業</t>
        </is>
      </c>
      <c r="L5071" t="inlineStr">
        <is>
          <t>22:06:50</t>
        </is>
      </c>
      <c r="M5071" t="inlineStr">
        <is>
          <t>22:07:10</t>
        </is>
      </c>
    </row>
    <row r="5072" ht="15" customHeight="1" s="37">
      <c r="A5072" t="n">
        <v>10</v>
      </c>
      <c r="B5072" s="10" t="inlineStr">
        <is>
          <t>平日</t>
        </is>
      </c>
      <c r="C5072" s="10" t="inlineStr">
        <is>
          <t>本線</t>
        </is>
      </c>
      <c r="D5072" s="10" t="inlineStr">
        <is>
          <t>上り</t>
        </is>
      </c>
      <c r="E5072" t="inlineStr">
        <is>
          <t>2112</t>
        </is>
      </c>
      <c r="F5072" t="inlineStr">
        <is>
          <t>0221</t>
        </is>
      </c>
      <c r="G5072" s="10" t="inlineStr">
        <is>
          <t>天神川</t>
        </is>
      </c>
      <c r="H5072" s="10" t="inlineStr">
        <is>
          <t>発</t>
        </is>
      </c>
      <c r="J5072" s="10" t="inlineStr">
        <is>
          <t>営業</t>
        </is>
      </c>
      <c r="L5072" t="inlineStr">
        <is>
          <t>22:07:55</t>
        </is>
      </c>
      <c r="M5072" t="inlineStr">
        <is>
          <t>22:08:20</t>
        </is>
      </c>
    </row>
    <row r="5073" ht="15" customHeight="1" s="37">
      <c r="A5073" t="n">
        <v>10</v>
      </c>
      <c r="B5073" s="10" t="inlineStr">
        <is>
          <t>平日</t>
        </is>
      </c>
      <c r="C5073" s="10" t="inlineStr">
        <is>
          <t>本線</t>
        </is>
      </c>
      <c r="D5073" s="10" t="inlineStr">
        <is>
          <t>上り</t>
        </is>
      </c>
      <c r="E5073" t="inlineStr">
        <is>
          <t>2112</t>
        </is>
      </c>
      <c r="F5073" t="inlineStr">
        <is>
          <t>0221</t>
        </is>
      </c>
      <c r="G5073" s="10" t="inlineStr">
        <is>
          <t>山ノ内</t>
        </is>
      </c>
      <c r="H5073" s="10" t="inlineStr">
        <is>
          <t>発</t>
        </is>
      </c>
      <c r="J5073" s="10" t="inlineStr">
        <is>
          <t>営業</t>
        </is>
      </c>
      <c r="L5073" t="inlineStr">
        <is>
          <t>22:10:10</t>
        </is>
      </c>
      <c r="M5073" t="inlineStr">
        <is>
          <t>22:10:35</t>
        </is>
      </c>
    </row>
    <row r="5074" ht="15" customHeight="1" s="37">
      <c r="A5074" t="n">
        <v>10</v>
      </c>
      <c r="B5074" s="10" t="inlineStr">
        <is>
          <t>平日</t>
        </is>
      </c>
      <c r="C5074" s="10" t="inlineStr">
        <is>
          <t>本線</t>
        </is>
      </c>
      <c r="D5074" s="10" t="inlineStr">
        <is>
          <t>上り</t>
        </is>
      </c>
      <c r="E5074" t="inlineStr">
        <is>
          <t>2112</t>
        </is>
      </c>
      <c r="F5074" t="inlineStr">
        <is>
          <t>0221</t>
        </is>
      </c>
      <c r="G5074" s="10" t="inlineStr">
        <is>
          <t>西大路三条</t>
        </is>
      </c>
      <c r="H5074" s="10" t="inlineStr">
        <is>
          <t>発</t>
        </is>
      </c>
      <c r="J5074" s="10" t="inlineStr">
        <is>
          <t>営業</t>
        </is>
      </c>
      <c r="L5074" t="inlineStr">
        <is>
          <t>22:12:25</t>
        </is>
      </c>
      <c r="M5074" t="inlineStr">
        <is>
          <t>22:12:40</t>
        </is>
      </c>
    </row>
    <row r="5075" ht="15" customHeight="1" s="37">
      <c r="A5075" t="n">
        <v>10</v>
      </c>
      <c r="B5075" s="10" t="inlineStr">
        <is>
          <t>平日</t>
        </is>
      </c>
      <c r="C5075" s="10" t="inlineStr">
        <is>
          <t>本線</t>
        </is>
      </c>
      <c r="D5075" s="10" t="inlineStr">
        <is>
          <t>上り</t>
        </is>
      </c>
      <c r="E5075" t="inlineStr">
        <is>
          <t>2112</t>
        </is>
      </c>
      <c r="F5075" t="inlineStr">
        <is>
          <t>0221</t>
        </is>
      </c>
      <c r="G5075" s="10" t="inlineStr">
        <is>
          <t>西院</t>
        </is>
      </c>
      <c r="H5075" s="10" t="inlineStr">
        <is>
          <t>発</t>
        </is>
      </c>
      <c r="J5075" s="10" t="inlineStr">
        <is>
          <t>営業</t>
        </is>
      </c>
      <c r="L5075" t="inlineStr">
        <is>
          <t>22:14:35</t>
        </is>
      </c>
      <c r="M5075" t="inlineStr">
        <is>
          <t>22:15:05</t>
        </is>
      </c>
    </row>
    <row r="5076" ht="15" customHeight="1" s="37">
      <c r="A5076" t="n">
        <v>10</v>
      </c>
      <c r="B5076" s="10" t="inlineStr">
        <is>
          <t>平日</t>
        </is>
      </c>
      <c r="C5076" s="10" t="inlineStr">
        <is>
          <t>本線</t>
        </is>
      </c>
      <c r="D5076" s="10" t="inlineStr">
        <is>
          <t>上り</t>
        </is>
      </c>
      <c r="E5076" t="inlineStr">
        <is>
          <t>2112</t>
        </is>
      </c>
      <c r="F5076" t="inlineStr">
        <is>
          <t>0221</t>
        </is>
      </c>
      <c r="G5076" s="10" t="inlineStr">
        <is>
          <t>四条大宮</t>
        </is>
      </c>
      <c r="H5076" s="10" t="inlineStr">
        <is>
          <t>着</t>
        </is>
      </c>
      <c r="J5076" s="10" t="inlineStr">
        <is>
          <t>営業</t>
        </is>
      </c>
      <c r="L5076" t="inlineStr">
        <is>
          <t>22:18:00</t>
        </is>
      </c>
      <c r="N5076" t="inlineStr">
        <is>
          <t>○</t>
        </is>
      </c>
      <c r="Q5076" t="inlineStr">
        <is>
          <t>2</t>
        </is>
      </c>
    </row>
    <row r="5077" ht="15" customHeight="1" s="37">
      <c r="A5077" t="n">
        <v>10</v>
      </c>
      <c r="B5077" s="10" t="inlineStr">
        <is>
          <t>平日</t>
        </is>
      </c>
      <c r="C5077" s="10" t="inlineStr">
        <is>
          <t>本線</t>
        </is>
      </c>
      <c r="D5077" s="10" t="inlineStr">
        <is>
          <t>下り</t>
        </is>
      </c>
      <c r="E5077" t="inlineStr">
        <is>
          <t>2205</t>
        </is>
      </c>
      <c r="F5077" t="inlineStr">
        <is>
          <t>0122</t>
        </is>
      </c>
      <c r="G5077" s="10" t="inlineStr">
        <is>
          <t>四条大宮</t>
        </is>
      </c>
      <c r="H5077" s="10" t="inlineStr">
        <is>
          <t>発</t>
        </is>
      </c>
      <c r="J5077" s="10" t="inlineStr">
        <is>
          <t>営業</t>
        </is>
      </c>
      <c r="M5077" t="inlineStr">
        <is>
          <t>22:30:00</t>
        </is>
      </c>
      <c r="Q5077" t="inlineStr">
        <is>
          <t>2</t>
        </is>
      </c>
    </row>
    <row r="5078" ht="15" customHeight="1" s="37">
      <c r="A5078" t="n">
        <v>10</v>
      </c>
      <c r="B5078" s="10" t="inlineStr">
        <is>
          <t>平日</t>
        </is>
      </c>
      <c r="C5078" s="10" t="inlineStr">
        <is>
          <t>本線</t>
        </is>
      </c>
      <c r="D5078" s="10" t="inlineStr">
        <is>
          <t>下り</t>
        </is>
      </c>
      <c r="E5078" t="inlineStr">
        <is>
          <t>2205</t>
        </is>
      </c>
      <c r="F5078" t="inlineStr">
        <is>
          <t>0122</t>
        </is>
      </c>
      <c r="G5078" s="10" t="inlineStr">
        <is>
          <t>西院</t>
        </is>
      </c>
      <c r="H5078" s="10" t="inlineStr">
        <is>
          <t>着</t>
        </is>
      </c>
      <c r="J5078" s="10" t="inlineStr">
        <is>
          <t>営業</t>
        </is>
      </c>
      <c r="L5078" t="inlineStr">
        <is>
          <t>22:32:50</t>
        </is>
      </c>
      <c r="M5078" t="inlineStr">
        <is>
          <t>22:33:20</t>
        </is>
      </c>
      <c r="T5078" t="inlineStr">
        <is>
          <t>○</t>
        </is>
      </c>
    </row>
    <row r="5079" ht="15" customHeight="1" s="37">
      <c r="A5079" t="n">
        <v>10</v>
      </c>
      <c r="B5079" s="10" t="inlineStr">
        <is>
          <t>平日</t>
        </is>
      </c>
      <c r="C5079" s="10" t="inlineStr">
        <is>
          <t>本線</t>
        </is>
      </c>
      <c r="D5079" s="10" t="inlineStr">
        <is>
          <t>下り</t>
        </is>
      </c>
      <c r="E5079" s="10" t="inlineStr">
        <is>
          <t>連1501</t>
        </is>
      </c>
      <c r="F5079" t="inlineStr">
        <is>
          <t>0112</t>
        </is>
      </c>
      <c r="G5079" s="10" t="inlineStr">
        <is>
          <t>四条大宮</t>
        </is>
      </c>
      <c r="H5079" s="10" t="inlineStr">
        <is>
          <t>発</t>
        </is>
      </c>
      <c r="J5079" s="10" t="inlineStr">
        <is>
          <t>営業</t>
        </is>
      </c>
      <c r="M5079" t="inlineStr">
        <is>
          <t>15:03:00</t>
        </is>
      </c>
      <c r="P5079" t="inlineStr">
        <is>
          <t>A系統(日中)</t>
        </is>
      </c>
      <c r="Q5079" t="inlineStr">
        <is>
          <t>2</t>
        </is>
      </c>
    </row>
    <row r="5080" ht="15" customHeight="1" s="37">
      <c r="A5080" t="n">
        <v>10</v>
      </c>
      <c r="B5080" s="10" t="inlineStr">
        <is>
          <t>平日</t>
        </is>
      </c>
      <c r="C5080" s="10" t="inlineStr">
        <is>
          <t>本線</t>
        </is>
      </c>
      <c r="D5080" s="10" t="inlineStr">
        <is>
          <t>下り</t>
        </is>
      </c>
      <c r="E5080" s="10" t="inlineStr">
        <is>
          <t>連1501</t>
        </is>
      </c>
      <c r="F5080" t="inlineStr">
        <is>
          <t>0112</t>
        </is>
      </c>
      <c r="G5080" s="10" t="inlineStr">
        <is>
          <t>西院</t>
        </is>
      </c>
      <c r="H5080" s="10" t="inlineStr">
        <is>
          <t>発</t>
        </is>
      </c>
      <c r="J5080" s="10" t="inlineStr">
        <is>
          <t>営業</t>
        </is>
      </c>
      <c r="L5080" t="inlineStr">
        <is>
          <t>15:05:50</t>
        </is>
      </c>
      <c r="M5080" t="inlineStr">
        <is>
          <t>15:06:20</t>
        </is>
      </c>
      <c r="P5080" t="inlineStr">
        <is>
          <t>A系統(日中)</t>
        </is>
      </c>
    </row>
    <row r="5081" ht="15" customHeight="1" s="37">
      <c r="A5081" t="n">
        <v>10</v>
      </c>
      <c r="B5081" s="10" t="inlineStr">
        <is>
          <t>平日</t>
        </is>
      </c>
      <c r="C5081" s="10" t="inlineStr">
        <is>
          <t>本線</t>
        </is>
      </c>
      <c r="D5081" s="10" t="inlineStr">
        <is>
          <t>下り</t>
        </is>
      </c>
      <c r="E5081" s="10" t="inlineStr">
        <is>
          <t>連1501</t>
        </is>
      </c>
      <c r="F5081" t="inlineStr">
        <is>
          <t>0112</t>
        </is>
      </c>
      <c r="G5081" s="10" t="inlineStr">
        <is>
          <t>西大路三条</t>
        </is>
      </c>
      <c r="H5081" s="10" t="inlineStr">
        <is>
          <t>発</t>
        </is>
      </c>
      <c r="J5081" s="10" t="inlineStr">
        <is>
          <t>営業</t>
        </is>
      </c>
      <c r="L5081" t="inlineStr">
        <is>
          <t>15:08:10</t>
        </is>
      </c>
      <c r="M5081" t="inlineStr">
        <is>
          <t>15:08:30</t>
        </is>
      </c>
      <c r="P5081" t="inlineStr">
        <is>
          <t>A系統(日中)</t>
        </is>
      </c>
    </row>
    <row r="5082" ht="15" customHeight="1" s="37">
      <c r="A5082" t="n">
        <v>10</v>
      </c>
      <c r="B5082" s="10" t="inlineStr">
        <is>
          <t>平日</t>
        </is>
      </c>
      <c r="C5082" s="10" t="inlineStr">
        <is>
          <t>本線</t>
        </is>
      </c>
      <c r="D5082" s="10" t="inlineStr">
        <is>
          <t>下り</t>
        </is>
      </c>
      <c r="E5082" s="10" t="inlineStr">
        <is>
          <t>連1501</t>
        </is>
      </c>
      <c r="F5082" t="inlineStr">
        <is>
          <t>0112</t>
        </is>
      </c>
      <c r="G5082" s="10" t="inlineStr">
        <is>
          <t>山ノ内</t>
        </is>
      </c>
      <c r="H5082" s="10" t="inlineStr">
        <is>
          <t>発</t>
        </is>
      </c>
      <c r="J5082" s="10" t="inlineStr">
        <is>
          <t>営業</t>
        </is>
      </c>
      <c r="L5082" t="inlineStr">
        <is>
          <t>15:10:25</t>
        </is>
      </c>
      <c r="M5082" t="inlineStr">
        <is>
          <t>15:10:50</t>
        </is>
      </c>
      <c r="P5082" t="inlineStr">
        <is>
          <t>A系統(日中)</t>
        </is>
      </c>
    </row>
    <row r="5083" ht="15" customHeight="1" s="37">
      <c r="A5083" t="n">
        <v>10</v>
      </c>
      <c r="B5083" s="10" t="inlineStr">
        <is>
          <t>平日</t>
        </is>
      </c>
      <c r="C5083" s="10" t="inlineStr">
        <is>
          <t>本線</t>
        </is>
      </c>
      <c r="D5083" s="10" t="inlineStr">
        <is>
          <t>下り</t>
        </is>
      </c>
      <c r="E5083" s="10" t="inlineStr">
        <is>
          <t>連1501</t>
        </is>
      </c>
      <c r="F5083" t="inlineStr">
        <is>
          <t>0112</t>
        </is>
      </c>
      <c r="G5083" s="10" t="inlineStr">
        <is>
          <t>天神川</t>
        </is>
      </c>
      <c r="H5083" s="10" t="inlineStr">
        <is>
          <t>発</t>
        </is>
      </c>
      <c r="J5083" s="10" t="inlineStr">
        <is>
          <t>営業</t>
        </is>
      </c>
      <c r="L5083" t="inlineStr">
        <is>
          <t>15:12:50</t>
        </is>
      </c>
      <c r="M5083" t="inlineStr">
        <is>
          <t>15:13:30</t>
        </is>
      </c>
      <c r="P5083" t="inlineStr">
        <is>
          <t>A系統(日中)</t>
        </is>
      </c>
    </row>
    <row r="5084" ht="15" customHeight="1" s="37">
      <c r="A5084" t="n">
        <v>10</v>
      </c>
      <c r="B5084" s="10" t="inlineStr">
        <is>
          <t>平日</t>
        </is>
      </c>
      <c r="C5084" s="10" t="inlineStr">
        <is>
          <t>本線</t>
        </is>
      </c>
      <c r="D5084" s="10" t="inlineStr">
        <is>
          <t>下り</t>
        </is>
      </c>
      <c r="E5084" s="10" t="inlineStr">
        <is>
          <t>連1501</t>
        </is>
      </c>
      <c r="F5084" t="inlineStr">
        <is>
          <t>0112</t>
        </is>
      </c>
      <c r="G5084" s="10" t="inlineStr">
        <is>
          <t>蚕ノ社</t>
        </is>
      </c>
      <c r="H5084" s="10" t="inlineStr">
        <is>
          <t>発</t>
        </is>
      </c>
      <c r="J5084" s="10" t="inlineStr">
        <is>
          <t>営業</t>
        </is>
      </c>
      <c r="L5084" t="inlineStr">
        <is>
          <t>15:14:20</t>
        </is>
      </c>
      <c r="M5084" t="inlineStr">
        <is>
          <t>15:14:40</t>
        </is>
      </c>
      <c r="P5084" t="inlineStr">
        <is>
          <t>A系統(日中)</t>
        </is>
      </c>
    </row>
    <row r="5085" ht="15" customHeight="1" s="37">
      <c r="A5085" t="n">
        <v>10</v>
      </c>
      <c r="B5085" s="10" t="inlineStr">
        <is>
          <t>平日</t>
        </is>
      </c>
      <c r="C5085" s="10" t="inlineStr">
        <is>
          <t>本線</t>
        </is>
      </c>
      <c r="D5085" s="10" t="inlineStr">
        <is>
          <t>下り</t>
        </is>
      </c>
      <c r="E5085" s="10" t="inlineStr">
        <is>
          <t>連1501</t>
        </is>
      </c>
      <c r="F5085" t="inlineStr">
        <is>
          <t>0112</t>
        </is>
      </c>
      <c r="G5085" s="10" t="inlineStr">
        <is>
          <t>太秦広隆寺</t>
        </is>
      </c>
      <c r="H5085" s="10" t="inlineStr">
        <is>
          <t>発</t>
        </is>
      </c>
      <c r="J5085" s="10" t="inlineStr">
        <is>
          <t>営業</t>
        </is>
      </c>
      <c r="L5085" t="inlineStr">
        <is>
          <t>15:16:00</t>
        </is>
      </c>
      <c r="M5085" t="inlineStr">
        <is>
          <t>15:16:20</t>
        </is>
      </c>
      <c r="P5085" t="inlineStr">
        <is>
          <t>A系統(日中)</t>
        </is>
      </c>
    </row>
    <row r="5086" ht="15" customHeight="1" s="37">
      <c r="A5086" t="n">
        <v>10</v>
      </c>
      <c r="B5086" s="10" t="inlineStr">
        <is>
          <t>平日</t>
        </is>
      </c>
      <c r="C5086" s="10" t="inlineStr">
        <is>
          <t>本線</t>
        </is>
      </c>
      <c r="D5086" s="10" t="inlineStr">
        <is>
          <t>下り</t>
        </is>
      </c>
      <c r="E5086" s="10" t="inlineStr">
        <is>
          <t>連1501</t>
        </is>
      </c>
      <c r="F5086" t="inlineStr">
        <is>
          <t>0112</t>
        </is>
      </c>
      <c r="G5086" s="10" t="inlineStr">
        <is>
          <t>帷子ノ辻</t>
        </is>
      </c>
      <c r="H5086" s="10" t="inlineStr">
        <is>
          <t>発</t>
        </is>
      </c>
      <c r="J5086" s="10" t="inlineStr">
        <is>
          <t>営業</t>
        </is>
      </c>
      <c r="L5086" t="inlineStr">
        <is>
          <t>15:18:20</t>
        </is>
      </c>
      <c r="M5086" t="inlineStr">
        <is>
          <t>15:19:40</t>
        </is>
      </c>
      <c r="P5086" t="inlineStr">
        <is>
          <t>A系統(日中)</t>
        </is>
      </c>
    </row>
    <row r="5087" ht="15" customHeight="1" s="37">
      <c r="A5087" t="n">
        <v>10</v>
      </c>
      <c r="B5087" s="10" t="inlineStr">
        <is>
          <t>平日</t>
        </is>
      </c>
      <c r="C5087" s="10" t="inlineStr">
        <is>
          <t>本線</t>
        </is>
      </c>
      <c r="D5087" s="10" t="inlineStr">
        <is>
          <t>下り</t>
        </is>
      </c>
      <c r="E5087" s="10" t="inlineStr">
        <is>
          <t>連1501</t>
        </is>
      </c>
      <c r="F5087" t="inlineStr">
        <is>
          <t>0112</t>
        </is>
      </c>
      <c r="G5087" s="10" t="inlineStr">
        <is>
          <t>有栖川</t>
        </is>
      </c>
      <c r="H5087" s="10" t="inlineStr">
        <is>
          <t>発</t>
        </is>
      </c>
      <c r="J5087" s="10" t="inlineStr">
        <is>
          <t>営業</t>
        </is>
      </c>
      <c r="L5087" t="inlineStr">
        <is>
          <t>15:20:50</t>
        </is>
      </c>
      <c r="M5087" t="inlineStr">
        <is>
          <t>15:21:15</t>
        </is>
      </c>
      <c r="P5087" t="inlineStr">
        <is>
          <t>A系統(日中)</t>
        </is>
      </c>
    </row>
    <row r="5088" ht="15" customHeight="1" s="37">
      <c r="A5088" t="n">
        <v>10</v>
      </c>
      <c r="B5088" s="10" t="inlineStr">
        <is>
          <t>平日</t>
        </is>
      </c>
      <c r="C5088" s="10" t="inlineStr">
        <is>
          <t>本線</t>
        </is>
      </c>
      <c r="D5088" s="10" t="inlineStr">
        <is>
          <t>下り</t>
        </is>
      </c>
      <c r="E5088" s="10" t="inlineStr">
        <is>
          <t>連1501</t>
        </is>
      </c>
      <c r="F5088" t="inlineStr">
        <is>
          <t>0112</t>
        </is>
      </c>
      <c r="G5088" s="10" t="inlineStr">
        <is>
          <t>車折</t>
        </is>
      </c>
      <c r="H5088" s="10" t="inlineStr">
        <is>
          <t>発</t>
        </is>
      </c>
      <c r="J5088" s="10" t="inlineStr">
        <is>
          <t>営業</t>
        </is>
      </c>
      <c r="L5088" t="inlineStr">
        <is>
          <t>15:22:40</t>
        </is>
      </c>
      <c r="M5088" t="inlineStr">
        <is>
          <t>15:23:05</t>
        </is>
      </c>
      <c r="P5088" t="inlineStr">
        <is>
          <t>A系統(日中)</t>
        </is>
      </c>
    </row>
    <row r="5089" ht="15" customHeight="1" s="37">
      <c r="A5089" t="n">
        <v>10</v>
      </c>
      <c r="B5089" s="10" t="inlineStr">
        <is>
          <t>平日</t>
        </is>
      </c>
      <c r="C5089" s="10" t="inlineStr">
        <is>
          <t>本線</t>
        </is>
      </c>
      <c r="D5089" s="10" t="inlineStr">
        <is>
          <t>下り</t>
        </is>
      </c>
      <c r="E5089" s="10" t="inlineStr">
        <is>
          <t>連1501</t>
        </is>
      </c>
      <c r="F5089" t="inlineStr">
        <is>
          <t>0112</t>
        </is>
      </c>
      <c r="G5089" s="10" t="inlineStr">
        <is>
          <t>鹿王院</t>
        </is>
      </c>
      <c r="H5089" s="10" t="inlineStr">
        <is>
          <t>発</t>
        </is>
      </c>
      <c r="J5089" s="10" t="inlineStr">
        <is>
          <t>営業</t>
        </is>
      </c>
      <c r="L5089" t="inlineStr">
        <is>
          <t>15:24:00</t>
        </is>
      </c>
      <c r="M5089" t="inlineStr">
        <is>
          <t>15:24:25</t>
        </is>
      </c>
      <c r="P5089" t="inlineStr">
        <is>
          <t>A系統(日中)</t>
        </is>
      </c>
    </row>
    <row r="5090" ht="15" customHeight="1" s="37">
      <c r="A5090" t="n">
        <v>10</v>
      </c>
      <c r="B5090" s="10" t="inlineStr">
        <is>
          <t>平日</t>
        </is>
      </c>
      <c r="C5090" s="10" t="inlineStr">
        <is>
          <t>本線</t>
        </is>
      </c>
      <c r="D5090" s="10" t="inlineStr">
        <is>
          <t>下り</t>
        </is>
      </c>
      <c r="E5090" s="10" t="inlineStr">
        <is>
          <t>連1501</t>
        </is>
      </c>
      <c r="F5090" t="inlineStr">
        <is>
          <t>0112</t>
        </is>
      </c>
      <c r="G5090" s="10" t="inlineStr">
        <is>
          <t>嵯峨</t>
        </is>
      </c>
      <c r="H5090" s="10" t="inlineStr">
        <is>
          <t>発</t>
        </is>
      </c>
      <c r="J5090" s="10" t="inlineStr">
        <is>
          <t>営業</t>
        </is>
      </c>
      <c r="L5090" t="inlineStr">
        <is>
          <t>15:25:30</t>
        </is>
      </c>
      <c r="M5090" t="inlineStr">
        <is>
          <t>15:25:55</t>
        </is>
      </c>
      <c r="P5090" t="inlineStr">
        <is>
          <t>A系統(日中)</t>
        </is>
      </c>
    </row>
    <row r="5091" ht="15" customHeight="1" s="37">
      <c r="A5091" t="n">
        <v>10</v>
      </c>
      <c r="B5091" s="10" t="inlineStr">
        <is>
          <t>平日</t>
        </is>
      </c>
      <c r="C5091" s="10" t="inlineStr">
        <is>
          <t>本線</t>
        </is>
      </c>
      <c r="D5091" s="10" t="inlineStr">
        <is>
          <t>下り</t>
        </is>
      </c>
      <c r="E5091" s="10" t="inlineStr">
        <is>
          <t>連1501</t>
        </is>
      </c>
      <c r="F5091" t="inlineStr">
        <is>
          <t>0112</t>
        </is>
      </c>
      <c r="G5091" s="10" t="inlineStr">
        <is>
          <t>嵐山</t>
        </is>
      </c>
      <c r="H5091" s="10" t="inlineStr">
        <is>
          <t>着</t>
        </is>
      </c>
      <c r="J5091" s="10" t="inlineStr">
        <is>
          <t>営業</t>
        </is>
      </c>
      <c r="L5091" t="inlineStr">
        <is>
          <t>15:27:00</t>
        </is>
      </c>
      <c r="P5091" t="inlineStr">
        <is>
          <t>A系統(日中)</t>
        </is>
      </c>
      <c r="Q5091" t="inlineStr">
        <is>
          <t>1</t>
        </is>
      </c>
    </row>
    <row r="5092" ht="15" customHeight="1" s="37">
      <c r="A5092" t="n">
        <v>10</v>
      </c>
      <c r="B5092" s="10" t="inlineStr">
        <is>
          <t>平日</t>
        </is>
      </c>
      <c r="C5092" s="10" t="inlineStr">
        <is>
          <t>本線</t>
        </is>
      </c>
      <c r="D5092" s="10" t="inlineStr">
        <is>
          <t>上り</t>
        </is>
      </c>
      <c r="E5092" s="10" t="inlineStr">
        <is>
          <t>連1508</t>
        </is>
      </c>
      <c r="F5092" t="inlineStr">
        <is>
          <t>0211</t>
        </is>
      </c>
      <c r="G5092" s="10" t="inlineStr">
        <is>
          <t>嵐山</t>
        </is>
      </c>
      <c r="H5092" s="10" t="inlineStr">
        <is>
          <t>発</t>
        </is>
      </c>
      <c r="J5092" s="10" t="inlineStr">
        <is>
          <t>営業</t>
        </is>
      </c>
      <c r="M5092" t="inlineStr">
        <is>
          <t>15:33:00</t>
        </is>
      </c>
      <c r="P5092" t="inlineStr">
        <is>
          <t>A系統(日中)</t>
        </is>
      </c>
      <c r="Q5092" t="inlineStr">
        <is>
          <t>1</t>
        </is>
      </c>
      <c r="U5092" t="inlineStr">
        <is>
          <t>→西院 休憩(16:06〜17:26)</t>
        </is>
      </c>
    </row>
    <row r="5093" ht="15" customHeight="1" s="37">
      <c r="A5093" t="n">
        <v>10</v>
      </c>
      <c r="B5093" s="10" t="inlineStr">
        <is>
          <t>平日</t>
        </is>
      </c>
      <c r="C5093" s="10" t="inlineStr">
        <is>
          <t>本線</t>
        </is>
      </c>
      <c r="D5093" s="10" t="inlineStr">
        <is>
          <t>上り</t>
        </is>
      </c>
      <c r="E5093" s="10" t="inlineStr">
        <is>
          <t>連1508</t>
        </is>
      </c>
      <c r="F5093" t="inlineStr">
        <is>
          <t>0211</t>
        </is>
      </c>
      <c r="G5093" s="10" t="inlineStr">
        <is>
          <t>嵯峨</t>
        </is>
      </c>
      <c r="H5093" s="10" t="inlineStr">
        <is>
          <t>発</t>
        </is>
      </c>
      <c r="J5093" s="10" t="inlineStr">
        <is>
          <t>営業</t>
        </is>
      </c>
      <c r="L5093" t="inlineStr">
        <is>
          <t>15:33:55</t>
        </is>
      </c>
      <c r="M5093" t="inlineStr">
        <is>
          <t>15:34:20</t>
        </is>
      </c>
      <c r="P5093" t="inlineStr">
        <is>
          <t>A系統(日中)</t>
        </is>
      </c>
      <c r="U5093" t="inlineStr">
        <is>
          <t>→西院 休憩(16:06〜17:26)</t>
        </is>
      </c>
    </row>
    <row r="5094" ht="15" customHeight="1" s="37">
      <c r="A5094" t="n">
        <v>10</v>
      </c>
      <c r="B5094" s="10" t="inlineStr">
        <is>
          <t>平日</t>
        </is>
      </c>
      <c r="C5094" s="10" t="inlineStr">
        <is>
          <t>本線</t>
        </is>
      </c>
      <c r="D5094" s="10" t="inlineStr">
        <is>
          <t>上り</t>
        </is>
      </c>
      <c r="E5094" s="10" t="inlineStr">
        <is>
          <t>連1508</t>
        </is>
      </c>
      <c r="F5094" t="inlineStr">
        <is>
          <t>0211</t>
        </is>
      </c>
      <c r="G5094" s="10" t="inlineStr">
        <is>
          <t>鹿王院</t>
        </is>
      </c>
      <c r="H5094" s="10" t="inlineStr">
        <is>
          <t>発</t>
        </is>
      </c>
      <c r="J5094" s="10" t="inlineStr">
        <is>
          <t>営業</t>
        </is>
      </c>
      <c r="L5094" t="inlineStr">
        <is>
          <t>15:35:25</t>
        </is>
      </c>
      <c r="M5094" t="inlineStr">
        <is>
          <t>15:35:45</t>
        </is>
      </c>
      <c r="P5094" t="inlineStr">
        <is>
          <t>A系統(日中)</t>
        </is>
      </c>
      <c r="U5094" t="inlineStr">
        <is>
          <t>→西院 休憩(16:06〜17:26)</t>
        </is>
      </c>
    </row>
    <row r="5095" ht="15" customHeight="1" s="37">
      <c r="A5095" t="n">
        <v>10</v>
      </c>
      <c r="B5095" s="10" t="inlineStr">
        <is>
          <t>平日</t>
        </is>
      </c>
      <c r="C5095" s="10" t="inlineStr">
        <is>
          <t>本線</t>
        </is>
      </c>
      <c r="D5095" s="10" t="inlineStr">
        <is>
          <t>上り</t>
        </is>
      </c>
      <c r="E5095" s="10" t="inlineStr">
        <is>
          <t>連1508</t>
        </is>
      </c>
      <c r="F5095" t="inlineStr">
        <is>
          <t>0211</t>
        </is>
      </c>
      <c r="G5095" s="10" t="inlineStr">
        <is>
          <t>車折</t>
        </is>
      </c>
      <c r="H5095" s="10" t="inlineStr">
        <is>
          <t>発</t>
        </is>
      </c>
      <c r="J5095" s="10" t="inlineStr">
        <is>
          <t>営業</t>
        </is>
      </c>
      <c r="L5095" t="inlineStr">
        <is>
          <t>15:36:40</t>
        </is>
      </c>
      <c r="M5095" t="inlineStr">
        <is>
          <t>15:37:10</t>
        </is>
      </c>
      <c r="P5095" t="inlineStr">
        <is>
          <t>A系統(日中)</t>
        </is>
      </c>
      <c r="U5095" t="inlineStr">
        <is>
          <t>→西院 休憩(16:06〜17:26)</t>
        </is>
      </c>
    </row>
    <row r="5096" ht="15" customHeight="1" s="37">
      <c r="A5096" t="n">
        <v>10</v>
      </c>
      <c r="B5096" s="10" t="inlineStr">
        <is>
          <t>平日</t>
        </is>
      </c>
      <c r="C5096" s="10" t="inlineStr">
        <is>
          <t>本線</t>
        </is>
      </c>
      <c r="D5096" s="10" t="inlineStr">
        <is>
          <t>上り</t>
        </is>
      </c>
      <c r="E5096" s="10" t="inlineStr">
        <is>
          <t>連1508</t>
        </is>
      </c>
      <c r="F5096" t="inlineStr">
        <is>
          <t>0211</t>
        </is>
      </c>
      <c r="G5096" s="10" t="inlineStr">
        <is>
          <t>有栖川</t>
        </is>
      </c>
      <c r="H5096" s="10" t="inlineStr">
        <is>
          <t>発</t>
        </is>
      </c>
      <c r="J5096" s="10" t="inlineStr">
        <is>
          <t>営業</t>
        </is>
      </c>
      <c r="L5096" t="inlineStr">
        <is>
          <t>15:38:35</t>
        </is>
      </c>
      <c r="M5096" t="inlineStr">
        <is>
          <t>15:38:55</t>
        </is>
      </c>
      <c r="P5096" t="inlineStr">
        <is>
          <t>A系統(日中)</t>
        </is>
      </c>
      <c r="U5096" t="inlineStr">
        <is>
          <t>→西院 休憩(16:06〜17:26)</t>
        </is>
      </c>
    </row>
    <row r="5097" ht="15" customHeight="1" s="37">
      <c r="A5097" t="n">
        <v>10</v>
      </c>
      <c r="B5097" s="10" t="inlineStr">
        <is>
          <t>平日</t>
        </is>
      </c>
      <c r="C5097" s="10" t="inlineStr">
        <is>
          <t>本線</t>
        </is>
      </c>
      <c r="D5097" s="10" t="inlineStr">
        <is>
          <t>上り</t>
        </is>
      </c>
      <c r="E5097" s="10" t="inlineStr">
        <is>
          <t>連1508</t>
        </is>
      </c>
      <c r="F5097" t="inlineStr">
        <is>
          <t>0211</t>
        </is>
      </c>
      <c r="G5097" s="10" t="inlineStr">
        <is>
          <t>帷子ノ辻</t>
        </is>
      </c>
      <c r="H5097" s="10" t="inlineStr">
        <is>
          <t>発</t>
        </is>
      </c>
      <c r="J5097" s="10" t="inlineStr">
        <is>
          <t>営業</t>
        </is>
      </c>
      <c r="L5097" t="inlineStr">
        <is>
          <t>15:40:10</t>
        </is>
      </c>
      <c r="M5097" t="inlineStr">
        <is>
          <t>15:41:15</t>
        </is>
      </c>
      <c r="P5097" t="inlineStr">
        <is>
          <t>A系統(日中)</t>
        </is>
      </c>
      <c r="U5097" t="inlineStr">
        <is>
          <t>→西院 休憩(16:06〜17:26)</t>
        </is>
      </c>
    </row>
    <row r="5098" ht="15" customHeight="1" s="37">
      <c r="A5098" t="n">
        <v>10</v>
      </c>
      <c r="B5098" s="10" t="inlineStr">
        <is>
          <t>平日</t>
        </is>
      </c>
      <c r="C5098" s="10" t="inlineStr">
        <is>
          <t>本線</t>
        </is>
      </c>
      <c r="D5098" s="10" t="inlineStr">
        <is>
          <t>上り</t>
        </is>
      </c>
      <c r="E5098" s="10" t="inlineStr">
        <is>
          <t>連1508</t>
        </is>
      </c>
      <c r="F5098" t="inlineStr">
        <is>
          <t>0211</t>
        </is>
      </c>
      <c r="G5098" s="10" t="inlineStr">
        <is>
          <t>太秦広隆寺</t>
        </is>
      </c>
      <c r="H5098" s="10" t="inlineStr">
        <is>
          <t>発</t>
        </is>
      </c>
      <c r="J5098" s="10" t="inlineStr">
        <is>
          <t>営業</t>
        </is>
      </c>
      <c r="L5098" t="inlineStr">
        <is>
          <t>15:43:25</t>
        </is>
      </c>
      <c r="M5098" t="inlineStr">
        <is>
          <t>15:43:45</t>
        </is>
      </c>
      <c r="P5098" t="inlineStr">
        <is>
          <t>A系統(日中)</t>
        </is>
      </c>
      <c r="U5098" t="inlineStr">
        <is>
          <t>→西院 休憩(16:06〜17:26)</t>
        </is>
      </c>
    </row>
    <row r="5099" ht="15" customHeight="1" s="37">
      <c r="A5099" t="n">
        <v>10</v>
      </c>
      <c r="B5099" s="10" t="inlineStr">
        <is>
          <t>平日</t>
        </is>
      </c>
      <c r="C5099" s="10" t="inlineStr">
        <is>
          <t>本線</t>
        </is>
      </c>
      <c r="D5099" s="10" t="inlineStr">
        <is>
          <t>上り</t>
        </is>
      </c>
      <c r="E5099" s="10" t="inlineStr">
        <is>
          <t>連1508</t>
        </is>
      </c>
      <c r="F5099" t="inlineStr">
        <is>
          <t>0211</t>
        </is>
      </c>
      <c r="G5099" s="10" t="inlineStr">
        <is>
          <t>蚕ノ社</t>
        </is>
      </c>
      <c r="H5099" s="10" t="inlineStr">
        <is>
          <t>発</t>
        </is>
      </c>
      <c r="J5099" s="10" t="inlineStr">
        <is>
          <t>営業</t>
        </is>
      </c>
      <c r="L5099" t="inlineStr">
        <is>
          <t>15:45:00</t>
        </is>
      </c>
      <c r="M5099" t="inlineStr">
        <is>
          <t>15:45:20</t>
        </is>
      </c>
      <c r="P5099" t="inlineStr">
        <is>
          <t>A系統(日中)</t>
        </is>
      </c>
      <c r="U5099" t="inlineStr">
        <is>
          <t>→西院 休憩(16:06〜17:26)</t>
        </is>
      </c>
    </row>
    <row r="5100" ht="15" customHeight="1" s="37">
      <c r="A5100" t="n">
        <v>10</v>
      </c>
      <c r="B5100" s="10" t="inlineStr">
        <is>
          <t>平日</t>
        </is>
      </c>
      <c r="C5100" s="10" t="inlineStr">
        <is>
          <t>本線</t>
        </is>
      </c>
      <c r="D5100" s="10" t="inlineStr">
        <is>
          <t>上り</t>
        </is>
      </c>
      <c r="E5100" s="10" t="inlineStr">
        <is>
          <t>連1508</t>
        </is>
      </c>
      <c r="F5100" t="inlineStr">
        <is>
          <t>0211</t>
        </is>
      </c>
      <c r="G5100" s="10" t="inlineStr">
        <is>
          <t>天神川</t>
        </is>
      </c>
      <c r="H5100" s="10" t="inlineStr">
        <is>
          <t>発</t>
        </is>
      </c>
      <c r="J5100" s="10" t="inlineStr">
        <is>
          <t>営業</t>
        </is>
      </c>
      <c r="L5100" t="inlineStr">
        <is>
          <t>15:46:05</t>
        </is>
      </c>
      <c r="M5100" t="inlineStr">
        <is>
          <t>15:46:50</t>
        </is>
      </c>
      <c r="P5100" t="inlineStr">
        <is>
          <t>A系統(日中)</t>
        </is>
      </c>
      <c r="U5100" t="inlineStr">
        <is>
          <t>→西院 休憩(16:06〜17:26)</t>
        </is>
      </c>
    </row>
    <row r="5101" ht="15" customHeight="1" s="37">
      <c r="A5101" t="n">
        <v>10</v>
      </c>
      <c r="B5101" s="10" t="inlineStr">
        <is>
          <t>平日</t>
        </is>
      </c>
      <c r="C5101" s="10" t="inlineStr">
        <is>
          <t>本線</t>
        </is>
      </c>
      <c r="D5101" s="10" t="inlineStr">
        <is>
          <t>上り</t>
        </is>
      </c>
      <c r="E5101" s="10" t="inlineStr">
        <is>
          <t>連1508</t>
        </is>
      </c>
      <c r="F5101" t="inlineStr">
        <is>
          <t>0211</t>
        </is>
      </c>
      <c r="G5101" s="10" t="inlineStr">
        <is>
          <t>山ノ内</t>
        </is>
      </c>
      <c r="H5101" s="10" t="inlineStr">
        <is>
          <t>発</t>
        </is>
      </c>
      <c r="J5101" s="10" t="inlineStr">
        <is>
          <t>営業</t>
        </is>
      </c>
      <c r="L5101" t="inlineStr">
        <is>
          <t>15:48:40</t>
        </is>
      </c>
      <c r="M5101" t="inlineStr">
        <is>
          <t>15:49:05</t>
        </is>
      </c>
      <c r="P5101" t="inlineStr">
        <is>
          <t>A系統(日中)</t>
        </is>
      </c>
      <c r="U5101" t="inlineStr">
        <is>
          <t>→西院 休憩(16:06〜17:26)</t>
        </is>
      </c>
    </row>
    <row r="5102" ht="15" customHeight="1" s="37">
      <c r="A5102" t="n">
        <v>10</v>
      </c>
      <c r="B5102" s="10" t="inlineStr">
        <is>
          <t>平日</t>
        </is>
      </c>
      <c r="C5102" s="10" t="inlineStr">
        <is>
          <t>本線</t>
        </is>
      </c>
      <c r="D5102" s="10" t="inlineStr">
        <is>
          <t>上り</t>
        </is>
      </c>
      <c r="E5102" s="10" t="inlineStr">
        <is>
          <t>連1508</t>
        </is>
      </c>
      <c r="F5102" t="inlineStr">
        <is>
          <t>0211</t>
        </is>
      </c>
      <c r="G5102" s="10" t="inlineStr">
        <is>
          <t>西大路三条</t>
        </is>
      </c>
      <c r="H5102" s="10" t="inlineStr">
        <is>
          <t>発</t>
        </is>
      </c>
      <c r="J5102" s="10" t="inlineStr">
        <is>
          <t>営業</t>
        </is>
      </c>
      <c r="L5102" t="inlineStr">
        <is>
          <t>15:50:55</t>
        </is>
      </c>
      <c r="M5102" t="inlineStr">
        <is>
          <t>15:51:15</t>
        </is>
      </c>
      <c r="P5102" t="inlineStr">
        <is>
          <t>A系統(日中)</t>
        </is>
      </c>
      <c r="U5102" t="inlineStr">
        <is>
          <t>→西院 休憩(16:06〜17:26)</t>
        </is>
      </c>
    </row>
    <row r="5103" ht="15" customHeight="1" s="37">
      <c r="A5103" t="n">
        <v>10</v>
      </c>
      <c r="B5103" s="10" t="inlineStr">
        <is>
          <t>平日</t>
        </is>
      </c>
      <c r="C5103" s="10" t="inlineStr">
        <is>
          <t>本線</t>
        </is>
      </c>
      <c r="D5103" s="10" t="inlineStr">
        <is>
          <t>上り</t>
        </is>
      </c>
      <c r="E5103" s="10" t="inlineStr">
        <is>
          <t>連1508</t>
        </is>
      </c>
      <c r="F5103" t="inlineStr">
        <is>
          <t>0211</t>
        </is>
      </c>
      <c r="G5103" s="10" t="inlineStr">
        <is>
          <t>西院</t>
        </is>
      </c>
      <c r="H5103" s="10" t="inlineStr">
        <is>
          <t>発</t>
        </is>
      </c>
      <c r="J5103" s="10" t="inlineStr">
        <is>
          <t>営業</t>
        </is>
      </c>
      <c r="L5103" t="inlineStr">
        <is>
          <t>15:53:10</t>
        </is>
      </c>
      <c r="M5103" t="inlineStr">
        <is>
          <t>15:54:05</t>
        </is>
      </c>
      <c r="P5103" t="inlineStr">
        <is>
          <t>A系統(日中)</t>
        </is>
      </c>
      <c r="U5103" t="inlineStr">
        <is>
          <t>→西院 休憩(16:06〜17:26)</t>
        </is>
      </c>
    </row>
    <row r="5104" ht="15" customHeight="1" s="37">
      <c r="A5104" t="n">
        <v>10</v>
      </c>
      <c r="B5104" s="10" t="inlineStr">
        <is>
          <t>平日</t>
        </is>
      </c>
      <c r="C5104" s="10" t="inlineStr">
        <is>
          <t>本線</t>
        </is>
      </c>
      <c r="D5104" s="10" t="inlineStr">
        <is>
          <t>上り</t>
        </is>
      </c>
      <c r="E5104" s="10" t="inlineStr">
        <is>
          <t>連1508</t>
        </is>
      </c>
      <c r="F5104" t="inlineStr">
        <is>
          <t>0211</t>
        </is>
      </c>
      <c r="G5104" s="10" t="inlineStr">
        <is>
          <t>四条大宮</t>
        </is>
      </c>
      <c r="H5104" s="10" t="inlineStr">
        <is>
          <t>着</t>
        </is>
      </c>
      <c r="J5104" s="10" t="inlineStr">
        <is>
          <t>営業</t>
        </is>
      </c>
      <c r="L5104" t="inlineStr">
        <is>
          <t>15:57:00</t>
        </is>
      </c>
      <c r="P5104" t="inlineStr">
        <is>
          <t>A系統(日中)</t>
        </is>
      </c>
      <c r="Q5104" t="inlineStr">
        <is>
          <t>1</t>
        </is>
      </c>
      <c r="U5104" t="inlineStr">
        <is>
          <t>→西院 休憩(16:06〜17:26)</t>
        </is>
      </c>
    </row>
    <row r="5105" ht="15" customHeight="1" s="37">
      <c r="A5105" t="n">
        <v>10</v>
      </c>
      <c r="B5105" s="10" t="inlineStr">
        <is>
          <t>平日</t>
        </is>
      </c>
      <c r="C5105" s="10" t="inlineStr">
        <is>
          <t>本線</t>
        </is>
      </c>
      <c r="D5105" s="10" t="inlineStr">
        <is>
          <t>下り</t>
        </is>
      </c>
      <c r="E5105" s="10" t="inlineStr">
        <is>
          <t>連1601</t>
        </is>
      </c>
      <c r="F5105" t="inlineStr">
        <is>
          <t>0112</t>
        </is>
      </c>
      <c r="G5105" s="10" t="inlineStr">
        <is>
          <t>四条大宮</t>
        </is>
      </c>
      <c r="H5105" s="10" t="inlineStr">
        <is>
          <t>発</t>
        </is>
      </c>
      <c r="J5105" s="10" t="inlineStr">
        <is>
          <t>営業</t>
        </is>
      </c>
      <c r="M5105" t="inlineStr">
        <is>
          <t>16:03:00</t>
        </is>
      </c>
      <c r="P5105" t="inlineStr">
        <is>
          <t>A系統(日中)</t>
        </is>
      </c>
      <c r="Q5105" t="inlineStr">
        <is>
          <t>1</t>
        </is>
      </c>
      <c r="U5105" t="inlineStr">
        <is>
          <t>→西院 休憩(16:06〜17:26)</t>
        </is>
      </c>
    </row>
    <row r="5106" ht="15" customHeight="1" s="37">
      <c r="A5106" t="n">
        <v>10</v>
      </c>
      <c r="B5106" s="10" t="inlineStr">
        <is>
          <t>平日</t>
        </is>
      </c>
      <c r="C5106" s="10" t="inlineStr">
        <is>
          <t>本線</t>
        </is>
      </c>
      <c r="D5106" s="10" t="inlineStr">
        <is>
          <t>下り</t>
        </is>
      </c>
      <c r="E5106" s="10" t="inlineStr">
        <is>
          <t>連1601</t>
        </is>
      </c>
      <c r="F5106" t="inlineStr">
        <is>
          <t>0112</t>
        </is>
      </c>
      <c r="G5106" s="10" t="inlineStr">
        <is>
          <t>西院</t>
        </is>
      </c>
      <c r="H5106" s="10" t="inlineStr">
        <is>
          <t>着</t>
        </is>
      </c>
      <c r="J5106" s="10" t="inlineStr">
        <is>
          <t>営業</t>
        </is>
      </c>
      <c r="L5106" t="inlineStr">
        <is>
          <t>16:05:50</t>
        </is>
      </c>
      <c r="M5106" t="inlineStr">
        <is>
          <t>16:06:20</t>
        </is>
      </c>
      <c r="P5106" t="inlineStr">
        <is>
          <t>A系統(日中)</t>
        </is>
      </c>
      <c r="U5106" t="inlineStr">
        <is>
          <t>→西院 休憩(16:06〜17:26)</t>
        </is>
      </c>
    </row>
    <row r="5107" ht="15" customHeight="1" s="37">
      <c r="A5107" t="n">
        <v>10</v>
      </c>
      <c r="B5107" s="10" t="inlineStr">
        <is>
          <t>平日</t>
        </is>
      </c>
      <c r="C5107" s="10" t="inlineStr">
        <is>
          <t>本線</t>
        </is>
      </c>
      <c r="D5107" s="10" t="inlineStr">
        <is>
          <t>下り</t>
        </is>
      </c>
      <c r="E5107" s="10" t="inlineStr">
        <is>
          <t>連1705</t>
        </is>
      </c>
      <c r="F5107" t="inlineStr">
        <is>
          <t>0122</t>
        </is>
      </c>
      <c r="G5107" s="10" t="inlineStr">
        <is>
          <t>西院</t>
        </is>
      </c>
      <c r="H5107" s="10" t="inlineStr">
        <is>
          <t>発</t>
        </is>
      </c>
      <c r="J5107" s="10" t="inlineStr">
        <is>
          <t>営業</t>
        </is>
      </c>
      <c r="L5107" t="inlineStr">
        <is>
          <t>17:25:50</t>
        </is>
      </c>
      <c r="M5107" t="inlineStr">
        <is>
          <t>17:26:20</t>
        </is>
      </c>
      <c r="P5107" t="inlineStr">
        <is>
          <t>C系統(日中)</t>
        </is>
      </c>
    </row>
    <row r="5108" ht="15" customHeight="1" s="37">
      <c r="A5108" t="n">
        <v>10</v>
      </c>
      <c r="B5108" s="10" t="inlineStr">
        <is>
          <t>平日</t>
        </is>
      </c>
      <c r="C5108" s="10" t="inlineStr">
        <is>
          <t>本線</t>
        </is>
      </c>
      <c r="D5108" s="10" t="inlineStr">
        <is>
          <t>下り</t>
        </is>
      </c>
      <c r="E5108" s="10" t="inlineStr">
        <is>
          <t>連1705</t>
        </is>
      </c>
      <c r="F5108" t="inlineStr">
        <is>
          <t>0122</t>
        </is>
      </c>
      <c r="G5108" s="10" t="inlineStr">
        <is>
          <t>西大路三条</t>
        </is>
      </c>
      <c r="H5108" s="10" t="inlineStr">
        <is>
          <t>発</t>
        </is>
      </c>
      <c r="J5108" s="10" t="inlineStr">
        <is>
          <t>営業</t>
        </is>
      </c>
      <c r="L5108" t="inlineStr">
        <is>
          <t>17:28:10</t>
        </is>
      </c>
      <c r="M5108" t="inlineStr">
        <is>
          <t>17:28:30</t>
        </is>
      </c>
      <c r="P5108" t="inlineStr">
        <is>
          <t>C系統(日中)</t>
        </is>
      </c>
    </row>
    <row r="5109" ht="15" customHeight="1" s="37">
      <c r="A5109" t="n">
        <v>10</v>
      </c>
      <c r="B5109" s="10" t="inlineStr">
        <is>
          <t>平日</t>
        </is>
      </c>
      <c r="C5109" s="10" t="inlineStr">
        <is>
          <t>本線</t>
        </is>
      </c>
      <c r="D5109" s="10" t="inlineStr">
        <is>
          <t>下り</t>
        </is>
      </c>
      <c r="E5109" s="10" t="inlineStr">
        <is>
          <t>連1705</t>
        </is>
      </c>
      <c r="F5109" t="inlineStr">
        <is>
          <t>0122</t>
        </is>
      </c>
      <c r="G5109" s="10" t="inlineStr">
        <is>
          <t>山ノ内</t>
        </is>
      </c>
      <c r="H5109" s="10" t="inlineStr">
        <is>
          <t>発</t>
        </is>
      </c>
      <c r="J5109" s="10" t="inlineStr">
        <is>
          <t>営業</t>
        </is>
      </c>
      <c r="L5109" t="inlineStr">
        <is>
          <t>17:30:25</t>
        </is>
      </c>
      <c r="M5109" t="inlineStr">
        <is>
          <t>17:30:50</t>
        </is>
      </c>
      <c r="P5109" t="inlineStr">
        <is>
          <t>C系統(日中)</t>
        </is>
      </c>
    </row>
    <row r="5110" ht="15" customHeight="1" s="37">
      <c r="A5110" t="n">
        <v>10</v>
      </c>
      <c r="B5110" s="10" t="inlineStr">
        <is>
          <t>平日</t>
        </is>
      </c>
      <c r="C5110" s="10" t="inlineStr">
        <is>
          <t>本線</t>
        </is>
      </c>
      <c r="D5110" s="10" t="inlineStr">
        <is>
          <t>下り</t>
        </is>
      </c>
      <c r="E5110" s="10" t="inlineStr">
        <is>
          <t>連1705</t>
        </is>
      </c>
      <c r="F5110" t="inlineStr">
        <is>
          <t>0122</t>
        </is>
      </c>
      <c r="G5110" s="10" t="inlineStr">
        <is>
          <t>天神川</t>
        </is>
      </c>
      <c r="H5110" s="10" t="inlineStr">
        <is>
          <t>発</t>
        </is>
      </c>
      <c r="J5110" s="10" t="inlineStr">
        <is>
          <t>営業</t>
        </is>
      </c>
      <c r="L5110" t="inlineStr">
        <is>
          <t>17:32:50</t>
        </is>
      </c>
      <c r="M5110" t="inlineStr">
        <is>
          <t>17:33:30</t>
        </is>
      </c>
      <c r="P5110" t="inlineStr">
        <is>
          <t>C系統(日中)</t>
        </is>
      </c>
    </row>
    <row r="5111" ht="15" customHeight="1" s="37">
      <c r="A5111" t="n">
        <v>10</v>
      </c>
      <c r="B5111" s="10" t="inlineStr">
        <is>
          <t>平日</t>
        </is>
      </c>
      <c r="C5111" s="10" t="inlineStr">
        <is>
          <t>本線</t>
        </is>
      </c>
      <c r="D5111" s="10" t="inlineStr">
        <is>
          <t>下り</t>
        </is>
      </c>
      <c r="E5111" s="10" t="inlineStr">
        <is>
          <t>連1705</t>
        </is>
      </c>
      <c r="F5111" t="inlineStr">
        <is>
          <t>0122</t>
        </is>
      </c>
      <c r="G5111" s="10" t="inlineStr">
        <is>
          <t>蚕ノ社</t>
        </is>
      </c>
      <c r="H5111" s="10" t="inlineStr">
        <is>
          <t>発</t>
        </is>
      </c>
      <c r="J5111" s="10" t="inlineStr">
        <is>
          <t>営業</t>
        </is>
      </c>
      <c r="L5111" t="inlineStr">
        <is>
          <t>17:34:20</t>
        </is>
      </c>
      <c r="M5111" t="inlineStr">
        <is>
          <t>17:34:40</t>
        </is>
      </c>
      <c r="P5111" t="inlineStr">
        <is>
          <t>C系統(日中)</t>
        </is>
      </c>
    </row>
    <row r="5112" ht="15" customHeight="1" s="37">
      <c r="A5112" t="n">
        <v>10</v>
      </c>
      <c r="B5112" s="10" t="inlineStr">
        <is>
          <t>平日</t>
        </is>
      </c>
      <c r="C5112" s="10" t="inlineStr">
        <is>
          <t>本線</t>
        </is>
      </c>
      <c r="D5112" s="10" t="inlineStr">
        <is>
          <t>下り</t>
        </is>
      </c>
      <c r="E5112" s="10" t="inlineStr">
        <is>
          <t>連1705</t>
        </is>
      </c>
      <c r="F5112" t="inlineStr">
        <is>
          <t>0122</t>
        </is>
      </c>
      <c r="G5112" s="10" t="inlineStr">
        <is>
          <t>太秦広隆寺</t>
        </is>
      </c>
      <c r="H5112" s="10" t="inlineStr">
        <is>
          <t>発</t>
        </is>
      </c>
      <c r="J5112" s="10" t="inlineStr">
        <is>
          <t>営業</t>
        </is>
      </c>
      <c r="L5112" t="inlineStr">
        <is>
          <t>17:36:00</t>
        </is>
      </c>
      <c r="M5112" t="inlineStr">
        <is>
          <t>17:36:20</t>
        </is>
      </c>
      <c r="P5112" t="inlineStr">
        <is>
          <t>C系統(日中)</t>
        </is>
      </c>
    </row>
    <row r="5113" ht="15" customHeight="1" s="37">
      <c r="A5113" t="n">
        <v>10</v>
      </c>
      <c r="B5113" s="10" t="inlineStr">
        <is>
          <t>平日</t>
        </is>
      </c>
      <c r="C5113" s="10" t="inlineStr">
        <is>
          <t>本線</t>
        </is>
      </c>
      <c r="D5113" s="10" t="inlineStr">
        <is>
          <t>下り</t>
        </is>
      </c>
      <c r="E5113" s="10" t="inlineStr">
        <is>
          <t>連1705</t>
        </is>
      </c>
      <c r="F5113" t="inlineStr">
        <is>
          <t>0122</t>
        </is>
      </c>
      <c r="G5113" s="10" t="inlineStr">
        <is>
          <t>帷子ノ辻</t>
        </is>
      </c>
      <c r="H5113" s="10" t="inlineStr">
        <is>
          <t>発</t>
        </is>
      </c>
      <c r="J5113" s="10" t="inlineStr">
        <is>
          <t>営業</t>
        </is>
      </c>
      <c r="L5113" t="inlineStr">
        <is>
          <t>17:38:20</t>
        </is>
      </c>
      <c r="M5113" t="inlineStr">
        <is>
          <t>17:39:40</t>
        </is>
      </c>
      <c r="P5113" t="inlineStr">
        <is>
          <t>C系統(日中)</t>
        </is>
      </c>
    </row>
    <row r="5114" ht="15" customHeight="1" s="37">
      <c r="A5114" t="n">
        <v>10</v>
      </c>
      <c r="B5114" s="10" t="inlineStr">
        <is>
          <t>平日</t>
        </is>
      </c>
      <c r="C5114" s="10" t="inlineStr">
        <is>
          <t>本線</t>
        </is>
      </c>
      <c r="D5114" s="10" t="inlineStr">
        <is>
          <t>下り</t>
        </is>
      </c>
      <c r="E5114" s="10" t="inlineStr">
        <is>
          <t>連1705</t>
        </is>
      </c>
      <c r="F5114" t="inlineStr">
        <is>
          <t>0122</t>
        </is>
      </c>
      <c r="G5114" s="10" t="inlineStr">
        <is>
          <t>有栖川</t>
        </is>
      </c>
      <c r="H5114" s="10" t="inlineStr">
        <is>
          <t>発</t>
        </is>
      </c>
      <c r="J5114" s="10" t="inlineStr">
        <is>
          <t>営業</t>
        </is>
      </c>
      <c r="L5114" t="inlineStr">
        <is>
          <t>17:40:50</t>
        </is>
      </c>
      <c r="M5114" t="inlineStr">
        <is>
          <t>17:41:15</t>
        </is>
      </c>
      <c r="P5114" t="inlineStr">
        <is>
          <t>C系統(日中)</t>
        </is>
      </c>
    </row>
    <row r="5115" ht="15" customHeight="1" s="37">
      <c r="A5115" t="n">
        <v>10</v>
      </c>
      <c r="B5115" s="10" t="inlineStr">
        <is>
          <t>平日</t>
        </is>
      </c>
      <c r="C5115" s="10" t="inlineStr">
        <is>
          <t>本線</t>
        </is>
      </c>
      <c r="D5115" s="10" t="inlineStr">
        <is>
          <t>下り</t>
        </is>
      </c>
      <c r="E5115" s="10" t="inlineStr">
        <is>
          <t>連1705</t>
        </is>
      </c>
      <c r="F5115" t="inlineStr">
        <is>
          <t>0122</t>
        </is>
      </c>
      <c r="G5115" s="10" t="inlineStr">
        <is>
          <t>車折</t>
        </is>
      </c>
      <c r="H5115" s="10" t="inlineStr">
        <is>
          <t>発</t>
        </is>
      </c>
      <c r="J5115" s="10" t="inlineStr">
        <is>
          <t>営業</t>
        </is>
      </c>
      <c r="L5115" t="inlineStr">
        <is>
          <t>17:42:40</t>
        </is>
      </c>
      <c r="M5115" t="inlineStr">
        <is>
          <t>17:43:05</t>
        </is>
      </c>
      <c r="P5115" t="inlineStr">
        <is>
          <t>C系統(日中)</t>
        </is>
      </c>
    </row>
    <row r="5116" ht="15" customHeight="1" s="37">
      <c r="A5116" t="n">
        <v>10</v>
      </c>
      <c r="B5116" s="10" t="inlineStr">
        <is>
          <t>平日</t>
        </is>
      </c>
      <c r="C5116" s="10" t="inlineStr">
        <is>
          <t>本線</t>
        </is>
      </c>
      <c r="D5116" s="10" t="inlineStr">
        <is>
          <t>下り</t>
        </is>
      </c>
      <c r="E5116" s="10" t="inlineStr">
        <is>
          <t>連1705</t>
        </is>
      </c>
      <c r="F5116" t="inlineStr">
        <is>
          <t>0122</t>
        </is>
      </c>
      <c r="G5116" s="10" t="inlineStr">
        <is>
          <t>鹿王院</t>
        </is>
      </c>
      <c r="H5116" s="10" t="inlineStr">
        <is>
          <t>発</t>
        </is>
      </c>
      <c r="J5116" s="10" t="inlineStr">
        <is>
          <t>営業</t>
        </is>
      </c>
      <c r="L5116" t="inlineStr">
        <is>
          <t>17:44:00</t>
        </is>
      </c>
      <c r="M5116" t="inlineStr">
        <is>
          <t>17:44:25</t>
        </is>
      </c>
      <c r="P5116" t="inlineStr">
        <is>
          <t>C系統(日中)</t>
        </is>
      </c>
    </row>
    <row r="5117" ht="15" customHeight="1" s="37">
      <c r="A5117" t="n">
        <v>10</v>
      </c>
      <c r="B5117" s="10" t="inlineStr">
        <is>
          <t>平日</t>
        </is>
      </c>
      <c r="C5117" s="10" t="inlineStr">
        <is>
          <t>本線</t>
        </is>
      </c>
      <c r="D5117" s="10" t="inlineStr">
        <is>
          <t>下り</t>
        </is>
      </c>
      <c r="E5117" s="10" t="inlineStr">
        <is>
          <t>連1705</t>
        </is>
      </c>
      <c r="F5117" t="inlineStr">
        <is>
          <t>0122</t>
        </is>
      </c>
      <c r="G5117" s="10" t="inlineStr">
        <is>
          <t>嵯峨</t>
        </is>
      </c>
      <c r="H5117" s="10" t="inlineStr">
        <is>
          <t>発</t>
        </is>
      </c>
      <c r="J5117" s="10" t="inlineStr">
        <is>
          <t>営業</t>
        </is>
      </c>
      <c r="L5117" t="inlineStr">
        <is>
          <t>17:45:30</t>
        </is>
      </c>
      <c r="M5117" t="inlineStr">
        <is>
          <t>17:45:55</t>
        </is>
      </c>
      <c r="P5117" t="inlineStr">
        <is>
          <t>C系統(日中)</t>
        </is>
      </c>
    </row>
    <row r="5118" ht="15" customHeight="1" s="37">
      <c r="A5118" t="n">
        <v>10</v>
      </c>
      <c r="B5118" s="10" t="inlineStr">
        <is>
          <t>平日</t>
        </is>
      </c>
      <c r="C5118" s="10" t="inlineStr">
        <is>
          <t>本線</t>
        </is>
      </c>
      <c r="D5118" s="10" t="inlineStr">
        <is>
          <t>下り</t>
        </is>
      </c>
      <c r="E5118" s="10" t="inlineStr">
        <is>
          <t>連1705</t>
        </is>
      </c>
      <c r="F5118" t="inlineStr">
        <is>
          <t>0122</t>
        </is>
      </c>
      <c r="G5118" s="10" t="inlineStr">
        <is>
          <t>嵐山</t>
        </is>
      </c>
      <c r="H5118" s="10" t="inlineStr">
        <is>
          <t>着</t>
        </is>
      </c>
      <c r="J5118" s="10" t="inlineStr">
        <is>
          <t>営業</t>
        </is>
      </c>
      <c r="L5118" t="inlineStr">
        <is>
          <t>17:47:00</t>
        </is>
      </c>
      <c r="N5118" t="inlineStr">
        <is>
          <t>○</t>
        </is>
      </c>
      <c r="P5118" t="inlineStr">
        <is>
          <t>C系統(日中)</t>
        </is>
      </c>
      <c r="Q5118" t="inlineStr">
        <is>
          <t>1</t>
        </is>
      </c>
    </row>
    <row r="5119" ht="15" customHeight="1" s="37">
      <c r="A5119" t="n">
        <v>10</v>
      </c>
      <c r="B5119" s="10" t="inlineStr">
        <is>
          <t>平日</t>
        </is>
      </c>
      <c r="C5119" s="10" t="inlineStr">
        <is>
          <t>本線</t>
        </is>
      </c>
      <c r="D5119" s="10" t="inlineStr">
        <is>
          <t>上り</t>
        </is>
      </c>
      <c r="E5119" s="10" t="inlineStr">
        <is>
          <t>連1712</t>
        </is>
      </c>
      <c r="F5119" t="inlineStr">
        <is>
          <t>2221</t>
        </is>
      </c>
      <c r="G5119" s="10" t="inlineStr">
        <is>
          <t>嵐山</t>
        </is>
      </c>
      <c r="H5119" s="10" t="inlineStr">
        <is>
          <t>発</t>
        </is>
      </c>
      <c r="J5119" s="10" t="inlineStr">
        <is>
          <t>営業</t>
        </is>
      </c>
      <c r="M5119" t="inlineStr">
        <is>
          <t>17:53:00</t>
        </is>
      </c>
      <c r="P5119" t="inlineStr">
        <is>
          <t>C系統(日中)</t>
        </is>
      </c>
      <c r="Q5119" t="inlineStr">
        <is>
          <t>1</t>
        </is>
      </c>
    </row>
    <row r="5120" ht="15" customHeight="1" s="37">
      <c r="A5120" t="n">
        <v>10</v>
      </c>
      <c r="B5120" s="10" t="inlineStr">
        <is>
          <t>平日</t>
        </is>
      </c>
      <c r="C5120" s="10" t="inlineStr">
        <is>
          <t>本線</t>
        </is>
      </c>
      <c r="D5120" s="10" t="inlineStr">
        <is>
          <t>上り</t>
        </is>
      </c>
      <c r="E5120" s="10" t="inlineStr">
        <is>
          <t>連1712</t>
        </is>
      </c>
      <c r="F5120" t="inlineStr">
        <is>
          <t>2221</t>
        </is>
      </c>
      <c r="G5120" s="10" t="inlineStr">
        <is>
          <t>嵯峨</t>
        </is>
      </c>
      <c r="H5120" s="10" t="inlineStr">
        <is>
          <t>発</t>
        </is>
      </c>
      <c r="J5120" s="10" t="inlineStr">
        <is>
          <t>営業</t>
        </is>
      </c>
      <c r="L5120" t="inlineStr">
        <is>
          <t>17:53:55</t>
        </is>
      </c>
      <c r="M5120" t="inlineStr">
        <is>
          <t>17:54:20</t>
        </is>
      </c>
      <c r="P5120" t="inlineStr">
        <is>
          <t>C系統(日中)</t>
        </is>
      </c>
    </row>
    <row r="5121" ht="15" customHeight="1" s="37">
      <c r="A5121" t="n">
        <v>10</v>
      </c>
      <c r="B5121" s="10" t="inlineStr">
        <is>
          <t>平日</t>
        </is>
      </c>
      <c r="C5121" s="10" t="inlineStr">
        <is>
          <t>本線</t>
        </is>
      </c>
      <c r="D5121" s="10" t="inlineStr">
        <is>
          <t>上り</t>
        </is>
      </c>
      <c r="E5121" s="10" t="inlineStr">
        <is>
          <t>連1712</t>
        </is>
      </c>
      <c r="F5121" t="inlineStr">
        <is>
          <t>2221</t>
        </is>
      </c>
      <c r="G5121" s="10" t="inlineStr">
        <is>
          <t>鹿王院</t>
        </is>
      </c>
      <c r="H5121" s="10" t="inlineStr">
        <is>
          <t>発</t>
        </is>
      </c>
      <c r="J5121" s="10" t="inlineStr">
        <is>
          <t>営業</t>
        </is>
      </c>
      <c r="L5121" t="inlineStr">
        <is>
          <t>17:55:25</t>
        </is>
      </c>
      <c r="M5121" t="inlineStr">
        <is>
          <t>17:55:45</t>
        </is>
      </c>
      <c r="P5121" t="inlineStr">
        <is>
          <t>C系統(日中)</t>
        </is>
      </c>
    </row>
    <row r="5122" ht="15" customHeight="1" s="37">
      <c r="A5122" t="n">
        <v>10</v>
      </c>
      <c r="B5122" s="10" t="inlineStr">
        <is>
          <t>平日</t>
        </is>
      </c>
      <c r="C5122" s="10" t="inlineStr">
        <is>
          <t>本線</t>
        </is>
      </c>
      <c r="D5122" s="10" t="inlineStr">
        <is>
          <t>上り</t>
        </is>
      </c>
      <c r="E5122" s="10" t="inlineStr">
        <is>
          <t>連1712</t>
        </is>
      </c>
      <c r="F5122" t="inlineStr">
        <is>
          <t>2221</t>
        </is>
      </c>
      <c r="G5122" s="10" t="inlineStr">
        <is>
          <t>車折</t>
        </is>
      </c>
      <c r="H5122" s="10" t="inlineStr">
        <is>
          <t>発</t>
        </is>
      </c>
      <c r="J5122" s="10" t="inlineStr">
        <is>
          <t>営業</t>
        </is>
      </c>
      <c r="L5122" t="inlineStr">
        <is>
          <t>17:56:40</t>
        </is>
      </c>
      <c r="M5122" t="inlineStr">
        <is>
          <t>17:57:10</t>
        </is>
      </c>
      <c r="P5122" t="inlineStr">
        <is>
          <t>C系統(日中)</t>
        </is>
      </c>
    </row>
    <row r="5123" ht="15" customHeight="1" s="37">
      <c r="A5123" t="n">
        <v>10</v>
      </c>
      <c r="B5123" s="10" t="inlineStr">
        <is>
          <t>平日</t>
        </is>
      </c>
      <c r="C5123" s="10" t="inlineStr">
        <is>
          <t>本線</t>
        </is>
      </c>
      <c r="D5123" s="10" t="inlineStr">
        <is>
          <t>上り</t>
        </is>
      </c>
      <c r="E5123" s="10" t="inlineStr">
        <is>
          <t>連1712</t>
        </is>
      </c>
      <c r="F5123" t="inlineStr">
        <is>
          <t>2221</t>
        </is>
      </c>
      <c r="G5123" s="10" t="inlineStr">
        <is>
          <t>有栖川</t>
        </is>
      </c>
      <c r="H5123" s="10" t="inlineStr">
        <is>
          <t>発</t>
        </is>
      </c>
      <c r="J5123" s="10" t="inlineStr">
        <is>
          <t>営業</t>
        </is>
      </c>
      <c r="L5123" t="inlineStr">
        <is>
          <t>17:58:35</t>
        </is>
      </c>
      <c r="M5123" t="inlineStr">
        <is>
          <t>17:58:55</t>
        </is>
      </c>
      <c r="P5123" t="inlineStr">
        <is>
          <t>C系統(日中)</t>
        </is>
      </c>
    </row>
    <row r="5124" ht="15" customHeight="1" s="37">
      <c r="A5124" t="n">
        <v>10</v>
      </c>
      <c r="B5124" s="10" t="inlineStr">
        <is>
          <t>平日</t>
        </is>
      </c>
      <c r="C5124" s="10" t="inlineStr">
        <is>
          <t>本線</t>
        </is>
      </c>
      <c r="D5124" s="10" t="inlineStr">
        <is>
          <t>上り</t>
        </is>
      </c>
      <c r="E5124" s="10" t="inlineStr">
        <is>
          <t>連1712</t>
        </is>
      </c>
      <c r="F5124" t="inlineStr">
        <is>
          <t>2221</t>
        </is>
      </c>
      <c r="G5124" s="10" t="inlineStr">
        <is>
          <t>帷子ノ辻</t>
        </is>
      </c>
      <c r="H5124" s="10" t="inlineStr">
        <is>
          <t>発</t>
        </is>
      </c>
      <c r="J5124" s="10" t="inlineStr">
        <is>
          <t>営業</t>
        </is>
      </c>
      <c r="L5124" t="inlineStr">
        <is>
          <t>18:00:10</t>
        </is>
      </c>
      <c r="M5124" t="inlineStr">
        <is>
          <t>18:01:15</t>
        </is>
      </c>
      <c r="P5124" t="inlineStr">
        <is>
          <t>C系統(日中)</t>
        </is>
      </c>
    </row>
    <row r="5125" ht="15" customHeight="1" s="37">
      <c r="A5125" t="n">
        <v>10</v>
      </c>
      <c r="B5125" s="10" t="inlineStr">
        <is>
          <t>平日</t>
        </is>
      </c>
      <c r="C5125" s="10" t="inlineStr">
        <is>
          <t>本線</t>
        </is>
      </c>
      <c r="D5125" s="10" t="inlineStr">
        <is>
          <t>上り</t>
        </is>
      </c>
      <c r="E5125" s="10" t="inlineStr">
        <is>
          <t>連1712</t>
        </is>
      </c>
      <c r="F5125" t="inlineStr">
        <is>
          <t>2221</t>
        </is>
      </c>
      <c r="G5125" s="10" t="inlineStr">
        <is>
          <t>太秦広隆寺</t>
        </is>
      </c>
      <c r="H5125" s="10" t="inlineStr">
        <is>
          <t>発</t>
        </is>
      </c>
      <c r="J5125" s="10" t="inlineStr">
        <is>
          <t>営業</t>
        </is>
      </c>
      <c r="L5125" t="inlineStr">
        <is>
          <t>18:03:25</t>
        </is>
      </c>
      <c r="M5125" t="inlineStr">
        <is>
          <t>18:03:45</t>
        </is>
      </c>
      <c r="P5125" t="inlineStr">
        <is>
          <t>C系統(日中)</t>
        </is>
      </c>
    </row>
    <row r="5126" ht="15" customHeight="1" s="37">
      <c r="A5126" t="n">
        <v>10</v>
      </c>
      <c r="B5126" s="10" t="inlineStr">
        <is>
          <t>平日</t>
        </is>
      </c>
      <c r="C5126" s="10" t="inlineStr">
        <is>
          <t>本線</t>
        </is>
      </c>
      <c r="D5126" s="10" t="inlineStr">
        <is>
          <t>上り</t>
        </is>
      </c>
      <c r="E5126" s="10" t="inlineStr">
        <is>
          <t>連1712</t>
        </is>
      </c>
      <c r="F5126" t="inlineStr">
        <is>
          <t>2221</t>
        </is>
      </c>
      <c r="G5126" s="10" t="inlineStr">
        <is>
          <t>蚕ノ社</t>
        </is>
      </c>
      <c r="H5126" s="10" t="inlineStr">
        <is>
          <t>発</t>
        </is>
      </c>
      <c r="J5126" s="10" t="inlineStr">
        <is>
          <t>営業</t>
        </is>
      </c>
      <c r="L5126" t="inlineStr">
        <is>
          <t>18:05:00</t>
        </is>
      </c>
      <c r="M5126" t="inlineStr">
        <is>
          <t>18:05:20</t>
        </is>
      </c>
      <c r="P5126" t="inlineStr">
        <is>
          <t>C系統(日中)</t>
        </is>
      </c>
    </row>
    <row r="5127" ht="15" customHeight="1" s="37">
      <c r="A5127" t="n">
        <v>10</v>
      </c>
      <c r="B5127" s="10" t="inlineStr">
        <is>
          <t>平日</t>
        </is>
      </c>
      <c r="C5127" s="10" t="inlineStr">
        <is>
          <t>本線</t>
        </is>
      </c>
      <c r="D5127" s="10" t="inlineStr">
        <is>
          <t>上り</t>
        </is>
      </c>
      <c r="E5127" s="10" t="inlineStr">
        <is>
          <t>連1712</t>
        </is>
      </c>
      <c r="F5127" t="inlineStr">
        <is>
          <t>2221</t>
        </is>
      </c>
      <c r="G5127" s="10" t="inlineStr">
        <is>
          <t>天神川</t>
        </is>
      </c>
      <c r="H5127" s="10" t="inlineStr">
        <is>
          <t>発</t>
        </is>
      </c>
      <c r="J5127" s="10" t="inlineStr">
        <is>
          <t>営業</t>
        </is>
      </c>
      <c r="L5127" t="inlineStr">
        <is>
          <t>18:06:05</t>
        </is>
      </c>
      <c r="M5127" t="inlineStr">
        <is>
          <t>18:06:50</t>
        </is>
      </c>
      <c r="P5127" t="inlineStr">
        <is>
          <t>C系統(日中)</t>
        </is>
      </c>
    </row>
    <row r="5128" ht="15" customHeight="1" s="37">
      <c r="A5128" t="n">
        <v>10</v>
      </c>
      <c r="B5128" s="10" t="inlineStr">
        <is>
          <t>平日</t>
        </is>
      </c>
      <c r="C5128" s="10" t="inlineStr">
        <is>
          <t>本線</t>
        </is>
      </c>
      <c r="D5128" s="10" t="inlineStr">
        <is>
          <t>上り</t>
        </is>
      </c>
      <c r="E5128" s="10" t="inlineStr">
        <is>
          <t>連1712</t>
        </is>
      </c>
      <c r="F5128" t="inlineStr">
        <is>
          <t>2221</t>
        </is>
      </c>
      <c r="G5128" s="10" t="inlineStr">
        <is>
          <t>山ノ内</t>
        </is>
      </c>
      <c r="H5128" s="10" t="inlineStr">
        <is>
          <t>発</t>
        </is>
      </c>
      <c r="J5128" s="10" t="inlineStr">
        <is>
          <t>営業</t>
        </is>
      </c>
      <c r="L5128" t="inlineStr">
        <is>
          <t>18:08:40</t>
        </is>
      </c>
      <c r="M5128" t="inlineStr">
        <is>
          <t>18:09:05</t>
        </is>
      </c>
      <c r="P5128" t="inlineStr">
        <is>
          <t>C系統(日中)</t>
        </is>
      </c>
    </row>
    <row r="5129" ht="15" customHeight="1" s="37">
      <c r="A5129" t="n">
        <v>10</v>
      </c>
      <c r="B5129" s="10" t="inlineStr">
        <is>
          <t>平日</t>
        </is>
      </c>
      <c r="C5129" s="10" t="inlineStr">
        <is>
          <t>本線</t>
        </is>
      </c>
      <c r="D5129" s="10" t="inlineStr">
        <is>
          <t>上り</t>
        </is>
      </c>
      <c r="E5129" s="10" t="inlineStr">
        <is>
          <t>連1712</t>
        </is>
      </c>
      <c r="F5129" t="inlineStr">
        <is>
          <t>2221</t>
        </is>
      </c>
      <c r="G5129" s="10" t="inlineStr">
        <is>
          <t>西大路三条</t>
        </is>
      </c>
      <c r="H5129" s="10" t="inlineStr">
        <is>
          <t>発</t>
        </is>
      </c>
      <c r="J5129" s="10" t="inlineStr">
        <is>
          <t>営業</t>
        </is>
      </c>
      <c r="L5129" t="inlineStr">
        <is>
          <t>18:10:55</t>
        </is>
      </c>
      <c r="M5129" t="inlineStr">
        <is>
          <t>18:11:15</t>
        </is>
      </c>
      <c r="P5129" t="inlineStr">
        <is>
          <t>C系統(日中)</t>
        </is>
      </c>
    </row>
    <row r="5130" ht="15" customHeight="1" s="37">
      <c r="A5130" t="n">
        <v>10</v>
      </c>
      <c r="B5130" s="10" t="inlineStr">
        <is>
          <t>平日</t>
        </is>
      </c>
      <c r="C5130" s="10" t="inlineStr">
        <is>
          <t>本線</t>
        </is>
      </c>
      <c r="D5130" s="10" t="inlineStr">
        <is>
          <t>上り</t>
        </is>
      </c>
      <c r="E5130" s="10" t="inlineStr">
        <is>
          <t>連1712</t>
        </is>
      </c>
      <c r="F5130" t="inlineStr">
        <is>
          <t>2221</t>
        </is>
      </c>
      <c r="G5130" s="10" t="inlineStr">
        <is>
          <t>西院</t>
        </is>
      </c>
      <c r="H5130" s="10" t="inlineStr">
        <is>
          <t>発</t>
        </is>
      </c>
      <c r="J5130" s="10" t="inlineStr">
        <is>
          <t>営業</t>
        </is>
      </c>
      <c r="L5130" t="inlineStr">
        <is>
          <t>18:13:10</t>
        </is>
      </c>
      <c r="M5130" t="inlineStr">
        <is>
          <t>18:14:05</t>
        </is>
      </c>
      <c r="P5130" t="inlineStr">
        <is>
          <t>C系統(日中)</t>
        </is>
      </c>
    </row>
    <row r="5131" ht="15" customHeight="1" s="37">
      <c r="A5131" t="n">
        <v>10</v>
      </c>
      <c r="B5131" s="10" t="inlineStr">
        <is>
          <t>平日</t>
        </is>
      </c>
      <c r="C5131" s="10" t="inlineStr">
        <is>
          <t>本線</t>
        </is>
      </c>
      <c r="D5131" s="10" t="inlineStr">
        <is>
          <t>上り</t>
        </is>
      </c>
      <c r="E5131" s="10" t="inlineStr">
        <is>
          <t>連1712</t>
        </is>
      </c>
      <c r="F5131" t="inlineStr">
        <is>
          <t>2221</t>
        </is>
      </c>
      <c r="G5131" s="10" t="inlineStr">
        <is>
          <t>四条大宮</t>
        </is>
      </c>
      <c r="H5131" s="10" t="inlineStr">
        <is>
          <t>着</t>
        </is>
      </c>
      <c r="J5131" s="10" t="inlineStr">
        <is>
          <t>営業</t>
        </is>
      </c>
      <c r="L5131" t="inlineStr">
        <is>
          <t>18:17:00</t>
        </is>
      </c>
      <c r="P5131" t="inlineStr">
        <is>
          <t>C系統(日中)</t>
        </is>
      </c>
      <c r="Q5131" t="inlineStr">
        <is>
          <t>1</t>
        </is>
      </c>
    </row>
    <row r="5132" ht="15" customHeight="1" s="37">
      <c r="A5132" t="n">
        <v>10</v>
      </c>
      <c r="B5132" s="10" t="inlineStr">
        <is>
          <t>平日</t>
        </is>
      </c>
      <c r="C5132" s="10" t="inlineStr">
        <is>
          <t>本線</t>
        </is>
      </c>
      <c r="D5132" s="10" t="inlineStr">
        <is>
          <t>下り</t>
        </is>
      </c>
      <c r="E5132" s="10" t="inlineStr">
        <is>
          <t>連1805</t>
        </is>
      </c>
      <c r="F5132" t="inlineStr">
        <is>
          <t>0122</t>
        </is>
      </c>
      <c r="G5132" s="10" t="inlineStr">
        <is>
          <t>四条大宮</t>
        </is>
      </c>
      <c r="H5132" s="10" t="inlineStr">
        <is>
          <t>発</t>
        </is>
      </c>
      <c r="J5132" s="10" t="inlineStr">
        <is>
          <t>営業</t>
        </is>
      </c>
      <c r="M5132" t="inlineStr">
        <is>
          <t>18:23:00</t>
        </is>
      </c>
      <c r="P5132" t="inlineStr">
        <is>
          <t>C系統(日中)</t>
        </is>
      </c>
      <c r="Q5132" t="inlineStr">
        <is>
          <t>1</t>
        </is>
      </c>
    </row>
    <row r="5133" ht="15" customHeight="1" s="37">
      <c r="A5133" t="n">
        <v>10</v>
      </c>
      <c r="B5133" s="10" t="inlineStr">
        <is>
          <t>平日</t>
        </is>
      </c>
      <c r="C5133" s="10" t="inlineStr">
        <is>
          <t>本線</t>
        </is>
      </c>
      <c r="D5133" s="10" t="inlineStr">
        <is>
          <t>下り</t>
        </is>
      </c>
      <c r="E5133" s="10" t="inlineStr">
        <is>
          <t>連1805</t>
        </is>
      </c>
      <c r="F5133" t="inlineStr">
        <is>
          <t>0122</t>
        </is>
      </c>
      <c r="G5133" s="10" t="inlineStr">
        <is>
          <t>西院</t>
        </is>
      </c>
      <c r="H5133" s="10" t="inlineStr">
        <is>
          <t>発</t>
        </is>
      </c>
      <c r="J5133" s="10" t="inlineStr">
        <is>
          <t>営業</t>
        </is>
      </c>
      <c r="L5133" t="inlineStr">
        <is>
          <t>18:25:50</t>
        </is>
      </c>
      <c r="M5133" t="inlineStr">
        <is>
          <t>18:26:20</t>
        </is>
      </c>
      <c r="P5133" t="inlineStr">
        <is>
          <t>C系統(日中)</t>
        </is>
      </c>
    </row>
    <row r="5134" ht="15" customHeight="1" s="37">
      <c r="A5134" t="n">
        <v>10</v>
      </c>
      <c r="B5134" s="10" t="inlineStr">
        <is>
          <t>平日</t>
        </is>
      </c>
      <c r="C5134" s="10" t="inlineStr">
        <is>
          <t>本線</t>
        </is>
      </c>
      <c r="D5134" s="10" t="inlineStr">
        <is>
          <t>下り</t>
        </is>
      </c>
      <c r="E5134" s="10" t="inlineStr">
        <is>
          <t>連1805</t>
        </is>
      </c>
      <c r="F5134" t="inlineStr">
        <is>
          <t>0122</t>
        </is>
      </c>
      <c r="G5134" s="10" t="inlineStr">
        <is>
          <t>西大路三条</t>
        </is>
      </c>
      <c r="H5134" s="10" t="inlineStr">
        <is>
          <t>発</t>
        </is>
      </c>
      <c r="J5134" s="10" t="inlineStr">
        <is>
          <t>営業</t>
        </is>
      </c>
      <c r="L5134" t="inlineStr">
        <is>
          <t>18:28:10</t>
        </is>
      </c>
      <c r="M5134" t="inlineStr">
        <is>
          <t>18:28:30</t>
        </is>
      </c>
      <c r="P5134" t="inlineStr">
        <is>
          <t>C系統(日中)</t>
        </is>
      </c>
    </row>
    <row r="5135" ht="15" customHeight="1" s="37">
      <c r="A5135" t="n">
        <v>10</v>
      </c>
      <c r="B5135" s="10" t="inlineStr">
        <is>
          <t>平日</t>
        </is>
      </c>
      <c r="C5135" s="10" t="inlineStr">
        <is>
          <t>本線</t>
        </is>
      </c>
      <c r="D5135" s="10" t="inlineStr">
        <is>
          <t>下り</t>
        </is>
      </c>
      <c r="E5135" s="10" t="inlineStr">
        <is>
          <t>連1805</t>
        </is>
      </c>
      <c r="F5135" t="inlineStr">
        <is>
          <t>0122</t>
        </is>
      </c>
      <c r="G5135" s="10" t="inlineStr">
        <is>
          <t>山ノ内</t>
        </is>
      </c>
      <c r="H5135" s="10" t="inlineStr">
        <is>
          <t>発</t>
        </is>
      </c>
      <c r="J5135" s="10" t="inlineStr">
        <is>
          <t>営業</t>
        </is>
      </c>
      <c r="L5135" t="inlineStr">
        <is>
          <t>18:30:25</t>
        </is>
      </c>
      <c r="M5135" t="inlineStr">
        <is>
          <t>18:30:50</t>
        </is>
      </c>
      <c r="P5135" t="inlineStr">
        <is>
          <t>C系統(日中)</t>
        </is>
      </c>
    </row>
    <row r="5136" ht="15" customHeight="1" s="37">
      <c r="A5136" t="n">
        <v>10</v>
      </c>
      <c r="B5136" s="10" t="inlineStr">
        <is>
          <t>平日</t>
        </is>
      </c>
      <c r="C5136" s="10" t="inlineStr">
        <is>
          <t>本線</t>
        </is>
      </c>
      <c r="D5136" s="10" t="inlineStr">
        <is>
          <t>下り</t>
        </is>
      </c>
      <c r="E5136" s="10" t="inlineStr">
        <is>
          <t>連1805</t>
        </is>
      </c>
      <c r="F5136" t="inlineStr">
        <is>
          <t>0122</t>
        </is>
      </c>
      <c r="G5136" s="10" t="inlineStr">
        <is>
          <t>天神川</t>
        </is>
      </c>
      <c r="H5136" s="10" t="inlineStr">
        <is>
          <t>発</t>
        </is>
      </c>
      <c r="J5136" s="10" t="inlineStr">
        <is>
          <t>営業</t>
        </is>
      </c>
      <c r="L5136" t="inlineStr">
        <is>
          <t>18:32:50</t>
        </is>
      </c>
      <c r="M5136" t="inlineStr">
        <is>
          <t>18:33:30</t>
        </is>
      </c>
      <c r="P5136" t="inlineStr">
        <is>
          <t>C系統(日中)</t>
        </is>
      </c>
    </row>
    <row r="5137" ht="15" customHeight="1" s="37">
      <c r="A5137" t="n">
        <v>10</v>
      </c>
      <c r="B5137" s="10" t="inlineStr">
        <is>
          <t>平日</t>
        </is>
      </c>
      <c r="C5137" s="10" t="inlineStr">
        <is>
          <t>本線</t>
        </is>
      </c>
      <c r="D5137" s="10" t="inlineStr">
        <is>
          <t>下り</t>
        </is>
      </c>
      <c r="E5137" s="10" t="inlineStr">
        <is>
          <t>連1805</t>
        </is>
      </c>
      <c r="F5137" t="inlineStr">
        <is>
          <t>0122</t>
        </is>
      </c>
      <c r="G5137" s="10" t="inlineStr">
        <is>
          <t>蚕ノ社</t>
        </is>
      </c>
      <c r="H5137" s="10" t="inlineStr">
        <is>
          <t>発</t>
        </is>
      </c>
      <c r="J5137" s="10" t="inlineStr">
        <is>
          <t>営業</t>
        </is>
      </c>
      <c r="L5137" t="inlineStr">
        <is>
          <t>18:34:20</t>
        </is>
      </c>
      <c r="M5137" t="inlineStr">
        <is>
          <t>18:34:40</t>
        </is>
      </c>
      <c r="P5137" t="inlineStr">
        <is>
          <t>C系統(日中)</t>
        </is>
      </c>
    </row>
    <row r="5138" ht="15" customHeight="1" s="37">
      <c r="A5138" t="n">
        <v>10</v>
      </c>
      <c r="B5138" s="10" t="inlineStr">
        <is>
          <t>平日</t>
        </is>
      </c>
      <c r="C5138" s="10" t="inlineStr">
        <is>
          <t>本線</t>
        </is>
      </c>
      <c r="D5138" s="10" t="inlineStr">
        <is>
          <t>下り</t>
        </is>
      </c>
      <c r="E5138" s="10" t="inlineStr">
        <is>
          <t>連1805</t>
        </is>
      </c>
      <c r="F5138" t="inlineStr">
        <is>
          <t>0122</t>
        </is>
      </c>
      <c r="G5138" s="10" t="inlineStr">
        <is>
          <t>太秦広隆寺</t>
        </is>
      </c>
      <c r="H5138" s="10" t="inlineStr">
        <is>
          <t>発</t>
        </is>
      </c>
      <c r="J5138" s="10" t="inlineStr">
        <is>
          <t>営業</t>
        </is>
      </c>
      <c r="L5138" t="inlineStr">
        <is>
          <t>18:36:00</t>
        </is>
      </c>
      <c r="M5138" t="inlineStr">
        <is>
          <t>18:36:20</t>
        </is>
      </c>
      <c r="P5138" t="inlineStr">
        <is>
          <t>C系統(日中)</t>
        </is>
      </c>
    </row>
    <row r="5139" ht="15" customHeight="1" s="37">
      <c r="A5139" t="n">
        <v>10</v>
      </c>
      <c r="B5139" s="10" t="inlineStr">
        <is>
          <t>平日</t>
        </is>
      </c>
      <c r="C5139" s="10" t="inlineStr">
        <is>
          <t>本線</t>
        </is>
      </c>
      <c r="D5139" s="10" t="inlineStr">
        <is>
          <t>下り</t>
        </is>
      </c>
      <c r="E5139" s="10" t="inlineStr">
        <is>
          <t>連1805</t>
        </is>
      </c>
      <c r="F5139" t="inlineStr">
        <is>
          <t>0122</t>
        </is>
      </c>
      <c r="G5139" s="10" t="inlineStr">
        <is>
          <t>帷子ノ辻</t>
        </is>
      </c>
      <c r="H5139" s="10" t="inlineStr">
        <is>
          <t>発</t>
        </is>
      </c>
      <c r="J5139" s="10" t="inlineStr">
        <is>
          <t>営業</t>
        </is>
      </c>
      <c r="L5139" t="inlineStr">
        <is>
          <t>18:38:20</t>
        </is>
      </c>
      <c r="M5139" t="inlineStr">
        <is>
          <t>18:39:40</t>
        </is>
      </c>
      <c r="P5139" t="inlineStr">
        <is>
          <t>C系統(日中)</t>
        </is>
      </c>
    </row>
    <row r="5140" ht="15" customHeight="1" s="37">
      <c r="A5140" t="n">
        <v>10</v>
      </c>
      <c r="B5140" s="10" t="inlineStr">
        <is>
          <t>平日</t>
        </is>
      </c>
      <c r="C5140" s="10" t="inlineStr">
        <is>
          <t>本線</t>
        </is>
      </c>
      <c r="D5140" s="10" t="inlineStr">
        <is>
          <t>下り</t>
        </is>
      </c>
      <c r="E5140" s="10" t="inlineStr">
        <is>
          <t>連1805</t>
        </is>
      </c>
      <c r="F5140" t="inlineStr">
        <is>
          <t>0122</t>
        </is>
      </c>
      <c r="G5140" s="10" t="inlineStr">
        <is>
          <t>有栖川</t>
        </is>
      </c>
      <c r="H5140" s="10" t="inlineStr">
        <is>
          <t>発</t>
        </is>
      </c>
      <c r="J5140" s="10" t="inlineStr">
        <is>
          <t>営業</t>
        </is>
      </c>
      <c r="L5140" t="inlineStr">
        <is>
          <t>18:40:50</t>
        </is>
      </c>
      <c r="M5140" t="inlineStr">
        <is>
          <t>18:41:15</t>
        </is>
      </c>
      <c r="P5140" t="inlineStr">
        <is>
          <t>C系統(日中)</t>
        </is>
      </c>
    </row>
    <row r="5141" ht="15" customHeight="1" s="37">
      <c r="A5141" t="n">
        <v>10</v>
      </c>
      <c r="B5141" s="10" t="inlineStr">
        <is>
          <t>平日</t>
        </is>
      </c>
      <c r="C5141" s="10" t="inlineStr">
        <is>
          <t>本線</t>
        </is>
      </c>
      <c r="D5141" s="10" t="inlineStr">
        <is>
          <t>下り</t>
        </is>
      </c>
      <c r="E5141" s="10" t="inlineStr">
        <is>
          <t>連1805</t>
        </is>
      </c>
      <c r="F5141" t="inlineStr">
        <is>
          <t>0122</t>
        </is>
      </c>
      <c r="G5141" s="10" t="inlineStr">
        <is>
          <t>車折</t>
        </is>
      </c>
      <c r="H5141" s="10" t="inlineStr">
        <is>
          <t>発</t>
        </is>
      </c>
      <c r="J5141" s="10" t="inlineStr">
        <is>
          <t>営業</t>
        </is>
      </c>
      <c r="L5141" t="inlineStr">
        <is>
          <t>18:42:40</t>
        </is>
      </c>
      <c r="M5141" t="inlineStr">
        <is>
          <t>18:43:05</t>
        </is>
      </c>
      <c r="P5141" t="inlineStr">
        <is>
          <t>C系統(日中)</t>
        </is>
      </c>
    </row>
    <row r="5142" ht="15" customHeight="1" s="37">
      <c r="A5142" t="n">
        <v>10</v>
      </c>
      <c r="B5142" s="10" t="inlineStr">
        <is>
          <t>平日</t>
        </is>
      </c>
      <c r="C5142" s="10" t="inlineStr">
        <is>
          <t>本線</t>
        </is>
      </c>
      <c r="D5142" s="10" t="inlineStr">
        <is>
          <t>下り</t>
        </is>
      </c>
      <c r="E5142" s="10" t="inlineStr">
        <is>
          <t>連1805</t>
        </is>
      </c>
      <c r="F5142" t="inlineStr">
        <is>
          <t>0122</t>
        </is>
      </c>
      <c r="G5142" s="10" t="inlineStr">
        <is>
          <t>鹿王院</t>
        </is>
      </c>
      <c r="H5142" s="10" t="inlineStr">
        <is>
          <t>発</t>
        </is>
      </c>
      <c r="J5142" s="10" t="inlineStr">
        <is>
          <t>営業</t>
        </is>
      </c>
      <c r="L5142" t="inlineStr">
        <is>
          <t>18:44:00</t>
        </is>
      </c>
      <c r="M5142" t="inlineStr">
        <is>
          <t>18:44:25</t>
        </is>
      </c>
      <c r="P5142" t="inlineStr">
        <is>
          <t>C系統(日中)</t>
        </is>
      </c>
    </row>
    <row r="5143" ht="15" customHeight="1" s="37">
      <c r="A5143" t="n">
        <v>10</v>
      </c>
      <c r="B5143" s="10" t="inlineStr">
        <is>
          <t>平日</t>
        </is>
      </c>
      <c r="C5143" s="10" t="inlineStr">
        <is>
          <t>本線</t>
        </is>
      </c>
      <c r="D5143" s="10" t="inlineStr">
        <is>
          <t>下り</t>
        </is>
      </c>
      <c r="E5143" s="10" t="inlineStr">
        <is>
          <t>連1805</t>
        </is>
      </c>
      <c r="F5143" t="inlineStr">
        <is>
          <t>0122</t>
        </is>
      </c>
      <c r="G5143" s="10" t="inlineStr">
        <is>
          <t>嵯峨</t>
        </is>
      </c>
      <c r="H5143" s="10" t="inlineStr">
        <is>
          <t>発</t>
        </is>
      </c>
      <c r="J5143" s="10" t="inlineStr">
        <is>
          <t>営業</t>
        </is>
      </c>
      <c r="L5143" t="inlineStr">
        <is>
          <t>18:45:30</t>
        </is>
      </c>
      <c r="M5143" t="inlineStr">
        <is>
          <t>18:45:55</t>
        </is>
      </c>
      <c r="P5143" t="inlineStr">
        <is>
          <t>C系統(日中)</t>
        </is>
      </c>
    </row>
    <row r="5144" ht="15" customHeight="1" s="37">
      <c r="A5144" t="n">
        <v>10</v>
      </c>
      <c r="B5144" s="10" t="inlineStr">
        <is>
          <t>平日</t>
        </is>
      </c>
      <c r="C5144" s="10" t="inlineStr">
        <is>
          <t>本線</t>
        </is>
      </c>
      <c r="D5144" s="10" t="inlineStr">
        <is>
          <t>下り</t>
        </is>
      </c>
      <c r="E5144" s="10" t="inlineStr">
        <is>
          <t>連1805</t>
        </is>
      </c>
      <c r="F5144" t="inlineStr">
        <is>
          <t>0122</t>
        </is>
      </c>
      <c r="G5144" s="10" t="inlineStr">
        <is>
          <t>嵐山</t>
        </is>
      </c>
      <c r="H5144" s="10" t="inlineStr">
        <is>
          <t>着</t>
        </is>
      </c>
      <c r="J5144" s="10" t="inlineStr">
        <is>
          <t>営業</t>
        </is>
      </c>
      <c r="L5144" t="inlineStr">
        <is>
          <t>18:47:00</t>
        </is>
      </c>
      <c r="N5144" t="inlineStr">
        <is>
          <t>○</t>
        </is>
      </c>
      <c r="P5144" t="inlineStr">
        <is>
          <t>C系統(日中)</t>
        </is>
      </c>
      <c r="Q5144" t="inlineStr">
        <is>
          <t>1</t>
        </is>
      </c>
    </row>
    <row r="5145" ht="15" customHeight="1" s="37">
      <c r="A5145" t="n">
        <v>10</v>
      </c>
      <c r="B5145" s="10" t="inlineStr">
        <is>
          <t>平日</t>
        </is>
      </c>
      <c r="C5145" s="10" t="inlineStr">
        <is>
          <t>本線</t>
        </is>
      </c>
      <c r="D5145" s="10" t="inlineStr">
        <is>
          <t>上り</t>
        </is>
      </c>
      <c r="E5145" s="10" t="inlineStr">
        <is>
          <t>連1812</t>
        </is>
      </c>
      <c r="F5145" t="inlineStr">
        <is>
          <t>2221</t>
        </is>
      </c>
      <c r="G5145" s="10" t="inlineStr">
        <is>
          <t>嵐山</t>
        </is>
      </c>
      <c r="H5145" s="10" t="inlineStr">
        <is>
          <t>発</t>
        </is>
      </c>
      <c r="J5145" s="10" t="inlineStr">
        <is>
          <t>営業</t>
        </is>
      </c>
      <c r="M5145" t="inlineStr">
        <is>
          <t>18:53:00</t>
        </is>
      </c>
      <c r="P5145" t="inlineStr">
        <is>
          <t>C系統(日中)</t>
        </is>
      </c>
      <c r="Q5145" t="inlineStr">
        <is>
          <t>1</t>
        </is>
      </c>
    </row>
    <row r="5146" ht="15" customHeight="1" s="37">
      <c r="A5146" t="n">
        <v>10</v>
      </c>
      <c r="B5146" s="10" t="inlineStr">
        <is>
          <t>平日</t>
        </is>
      </c>
      <c r="C5146" s="10" t="inlineStr">
        <is>
          <t>本線</t>
        </is>
      </c>
      <c r="D5146" s="10" t="inlineStr">
        <is>
          <t>上り</t>
        </is>
      </c>
      <c r="E5146" s="10" t="inlineStr">
        <is>
          <t>連1812</t>
        </is>
      </c>
      <c r="F5146" t="inlineStr">
        <is>
          <t>2221</t>
        </is>
      </c>
      <c r="G5146" s="10" t="inlineStr">
        <is>
          <t>嵯峨</t>
        </is>
      </c>
      <c r="H5146" s="10" t="inlineStr">
        <is>
          <t>発</t>
        </is>
      </c>
      <c r="J5146" s="10" t="inlineStr">
        <is>
          <t>営業</t>
        </is>
      </c>
      <c r="L5146" t="inlineStr">
        <is>
          <t>18:53:55</t>
        </is>
      </c>
      <c r="M5146" t="inlineStr">
        <is>
          <t>18:54:20</t>
        </is>
      </c>
      <c r="P5146" t="inlineStr">
        <is>
          <t>C系統(日中)</t>
        </is>
      </c>
    </row>
    <row r="5147" ht="15" customHeight="1" s="37">
      <c r="A5147" t="n">
        <v>10</v>
      </c>
      <c r="B5147" s="10" t="inlineStr">
        <is>
          <t>平日</t>
        </is>
      </c>
      <c r="C5147" s="10" t="inlineStr">
        <is>
          <t>本線</t>
        </is>
      </c>
      <c r="D5147" s="10" t="inlineStr">
        <is>
          <t>上り</t>
        </is>
      </c>
      <c r="E5147" s="10" t="inlineStr">
        <is>
          <t>連1812</t>
        </is>
      </c>
      <c r="F5147" t="inlineStr">
        <is>
          <t>2221</t>
        </is>
      </c>
      <c r="G5147" s="10" t="inlineStr">
        <is>
          <t>鹿王院</t>
        </is>
      </c>
      <c r="H5147" s="10" t="inlineStr">
        <is>
          <t>発</t>
        </is>
      </c>
      <c r="J5147" s="10" t="inlineStr">
        <is>
          <t>営業</t>
        </is>
      </c>
      <c r="L5147" t="inlineStr">
        <is>
          <t>18:55:25</t>
        </is>
      </c>
      <c r="M5147" t="inlineStr">
        <is>
          <t>18:55:45</t>
        </is>
      </c>
      <c r="P5147" t="inlineStr">
        <is>
          <t>C系統(日中)</t>
        </is>
      </c>
    </row>
    <row r="5148" ht="15" customHeight="1" s="37">
      <c r="A5148" t="n">
        <v>10</v>
      </c>
      <c r="B5148" s="10" t="inlineStr">
        <is>
          <t>平日</t>
        </is>
      </c>
      <c r="C5148" s="10" t="inlineStr">
        <is>
          <t>本線</t>
        </is>
      </c>
      <c r="D5148" s="10" t="inlineStr">
        <is>
          <t>上り</t>
        </is>
      </c>
      <c r="E5148" s="10" t="inlineStr">
        <is>
          <t>連1812</t>
        </is>
      </c>
      <c r="F5148" t="inlineStr">
        <is>
          <t>2221</t>
        </is>
      </c>
      <c r="G5148" s="10" t="inlineStr">
        <is>
          <t>車折</t>
        </is>
      </c>
      <c r="H5148" s="10" t="inlineStr">
        <is>
          <t>発</t>
        </is>
      </c>
      <c r="J5148" s="10" t="inlineStr">
        <is>
          <t>営業</t>
        </is>
      </c>
      <c r="L5148" t="inlineStr">
        <is>
          <t>18:56:40</t>
        </is>
      </c>
      <c r="M5148" t="inlineStr">
        <is>
          <t>18:57:10</t>
        </is>
      </c>
      <c r="P5148" t="inlineStr">
        <is>
          <t>C系統(日中)</t>
        </is>
      </c>
    </row>
    <row r="5149" ht="15" customHeight="1" s="37">
      <c r="A5149" t="n">
        <v>10</v>
      </c>
      <c r="B5149" s="10" t="inlineStr">
        <is>
          <t>平日</t>
        </is>
      </c>
      <c r="C5149" s="10" t="inlineStr">
        <is>
          <t>本線</t>
        </is>
      </c>
      <c r="D5149" s="10" t="inlineStr">
        <is>
          <t>上り</t>
        </is>
      </c>
      <c r="E5149" s="10" t="inlineStr">
        <is>
          <t>連1812</t>
        </is>
      </c>
      <c r="F5149" t="inlineStr">
        <is>
          <t>2221</t>
        </is>
      </c>
      <c r="G5149" s="10" t="inlineStr">
        <is>
          <t>有栖川</t>
        </is>
      </c>
      <c r="H5149" s="10" t="inlineStr">
        <is>
          <t>発</t>
        </is>
      </c>
      <c r="J5149" s="10" t="inlineStr">
        <is>
          <t>営業</t>
        </is>
      </c>
      <c r="L5149" t="inlineStr">
        <is>
          <t>18:58:35</t>
        </is>
      </c>
      <c r="M5149" t="inlineStr">
        <is>
          <t>18:58:55</t>
        </is>
      </c>
      <c r="P5149" t="inlineStr">
        <is>
          <t>C系統(日中)</t>
        </is>
      </c>
    </row>
    <row r="5150" ht="15" customHeight="1" s="37">
      <c r="A5150" t="n">
        <v>10</v>
      </c>
      <c r="B5150" s="10" t="inlineStr">
        <is>
          <t>平日</t>
        </is>
      </c>
      <c r="C5150" s="10" t="inlineStr">
        <is>
          <t>本線</t>
        </is>
      </c>
      <c r="D5150" s="10" t="inlineStr">
        <is>
          <t>上り</t>
        </is>
      </c>
      <c r="E5150" s="10" t="inlineStr">
        <is>
          <t>連1812</t>
        </is>
      </c>
      <c r="F5150" t="inlineStr">
        <is>
          <t>2221</t>
        </is>
      </c>
      <c r="G5150" s="10" t="inlineStr">
        <is>
          <t>帷子ノ辻</t>
        </is>
      </c>
      <c r="H5150" s="10" t="inlineStr">
        <is>
          <t>発</t>
        </is>
      </c>
      <c r="J5150" s="10" t="inlineStr">
        <is>
          <t>営業</t>
        </is>
      </c>
      <c r="L5150" t="inlineStr">
        <is>
          <t>19:00:10</t>
        </is>
      </c>
      <c r="M5150" t="inlineStr">
        <is>
          <t>19:01:15</t>
        </is>
      </c>
      <c r="P5150" t="inlineStr">
        <is>
          <t>C系統(日中)</t>
        </is>
      </c>
    </row>
    <row r="5151" ht="15" customHeight="1" s="37">
      <c r="A5151" t="n">
        <v>10</v>
      </c>
      <c r="B5151" s="10" t="inlineStr">
        <is>
          <t>平日</t>
        </is>
      </c>
      <c r="C5151" s="10" t="inlineStr">
        <is>
          <t>本線</t>
        </is>
      </c>
      <c r="D5151" s="10" t="inlineStr">
        <is>
          <t>上り</t>
        </is>
      </c>
      <c r="E5151" s="10" t="inlineStr">
        <is>
          <t>連1812</t>
        </is>
      </c>
      <c r="F5151" t="inlineStr">
        <is>
          <t>2221</t>
        </is>
      </c>
      <c r="G5151" s="10" t="inlineStr">
        <is>
          <t>太秦広隆寺</t>
        </is>
      </c>
      <c r="H5151" s="10" t="inlineStr">
        <is>
          <t>発</t>
        </is>
      </c>
      <c r="J5151" s="10" t="inlineStr">
        <is>
          <t>営業</t>
        </is>
      </c>
      <c r="L5151" t="inlineStr">
        <is>
          <t>19:03:25</t>
        </is>
      </c>
      <c r="M5151" t="inlineStr">
        <is>
          <t>19:03:45</t>
        </is>
      </c>
      <c r="P5151" t="inlineStr">
        <is>
          <t>C系統(日中)</t>
        </is>
      </c>
    </row>
    <row r="5152" ht="15" customHeight="1" s="37">
      <c r="A5152" t="n">
        <v>10</v>
      </c>
      <c r="B5152" s="10" t="inlineStr">
        <is>
          <t>平日</t>
        </is>
      </c>
      <c r="C5152" s="10" t="inlineStr">
        <is>
          <t>本線</t>
        </is>
      </c>
      <c r="D5152" s="10" t="inlineStr">
        <is>
          <t>上り</t>
        </is>
      </c>
      <c r="E5152" s="10" t="inlineStr">
        <is>
          <t>連1812</t>
        </is>
      </c>
      <c r="F5152" t="inlineStr">
        <is>
          <t>2221</t>
        </is>
      </c>
      <c r="G5152" s="10" t="inlineStr">
        <is>
          <t>蚕ノ社</t>
        </is>
      </c>
      <c r="H5152" s="10" t="inlineStr">
        <is>
          <t>発</t>
        </is>
      </c>
      <c r="J5152" s="10" t="inlineStr">
        <is>
          <t>営業</t>
        </is>
      </c>
      <c r="L5152" t="inlineStr">
        <is>
          <t>19:05:00</t>
        </is>
      </c>
      <c r="M5152" t="inlineStr">
        <is>
          <t>19:05:20</t>
        </is>
      </c>
      <c r="P5152" t="inlineStr">
        <is>
          <t>C系統(日中)</t>
        </is>
      </c>
    </row>
    <row r="5153" ht="15" customHeight="1" s="37">
      <c r="A5153" t="n">
        <v>10</v>
      </c>
      <c r="B5153" s="10" t="inlineStr">
        <is>
          <t>平日</t>
        </is>
      </c>
      <c r="C5153" s="10" t="inlineStr">
        <is>
          <t>本線</t>
        </is>
      </c>
      <c r="D5153" s="10" t="inlineStr">
        <is>
          <t>上り</t>
        </is>
      </c>
      <c r="E5153" s="10" t="inlineStr">
        <is>
          <t>連1812</t>
        </is>
      </c>
      <c r="F5153" t="inlineStr">
        <is>
          <t>2221</t>
        </is>
      </c>
      <c r="G5153" s="10" t="inlineStr">
        <is>
          <t>天神川</t>
        </is>
      </c>
      <c r="H5153" s="10" t="inlineStr">
        <is>
          <t>発</t>
        </is>
      </c>
      <c r="J5153" s="10" t="inlineStr">
        <is>
          <t>営業</t>
        </is>
      </c>
      <c r="L5153" t="inlineStr">
        <is>
          <t>19:06:05</t>
        </is>
      </c>
      <c r="M5153" t="inlineStr">
        <is>
          <t>19:06:50</t>
        </is>
      </c>
      <c r="P5153" t="inlineStr">
        <is>
          <t>C系統(日中)</t>
        </is>
      </c>
    </row>
    <row r="5154" ht="15" customHeight="1" s="37">
      <c r="A5154" t="n">
        <v>10</v>
      </c>
      <c r="B5154" s="10" t="inlineStr">
        <is>
          <t>平日</t>
        </is>
      </c>
      <c r="C5154" s="10" t="inlineStr">
        <is>
          <t>本線</t>
        </is>
      </c>
      <c r="D5154" s="10" t="inlineStr">
        <is>
          <t>上り</t>
        </is>
      </c>
      <c r="E5154" s="10" t="inlineStr">
        <is>
          <t>連1812</t>
        </is>
      </c>
      <c r="F5154" t="inlineStr">
        <is>
          <t>2221</t>
        </is>
      </c>
      <c r="G5154" s="10" t="inlineStr">
        <is>
          <t>山ノ内</t>
        </is>
      </c>
      <c r="H5154" s="10" t="inlineStr">
        <is>
          <t>発</t>
        </is>
      </c>
      <c r="J5154" s="10" t="inlineStr">
        <is>
          <t>営業</t>
        </is>
      </c>
      <c r="L5154" t="inlineStr">
        <is>
          <t>19:08:40</t>
        </is>
      </c>
      <c r="M5154" t="inlineStr">
        <is>
          <t>19:09:05</t>
        </is>
      </c>
      <c r="P5154" t="inlineStr">
        <is>
          <t>C系統(日中)</t>
        </is>
      </c>
    </row>
    <row r="5155" ht="15" customHeight="1" s="37">
      <c r="A5155" t="n">
        <v>10</v>
      </c>
      <c r="B5155" s="10" t="inlineStr">
        <is>
          <t>平日</t>
        </is>
      </c>
      <c r="C5155" s="10" t="inlineStr">
        <is>
          <t>本線</t>
        </is>
      </c>
      <c r="D5155" s="10" t="inlineStr">
        <is>
          <t>上り</t>
        </is>
      </c>
      <c r="E5155" s="10" t="inlineStr">
        <is>
          <t>連1812</t>
        </is>
      </c>
      <c r="F5155" t="inlineStr">
        <is>
          <t>2221</t>
        </is>
      </c>
      <c r="G5155" s="10" t="inlineStr">
        <is>
          <t>西大路三条</t>
        </is>
      </c>
      <c r="H5155" s="10" t="inlineStr">
        <is>
          <t>発</t>
        </is>
      </c>
      <c r="J5155" s="10" t="inlineStr">
        <is>
          <t>営業</t>
        </is>
      </c>
      <c r="L5155" t="inlineStr">
        <is>
          <t>19:10:55</t>
        </is>
      </c>
      <c r="M5155" t="inlineStr">
        <is>
          <t>19:11:15</t>
        </is>
      </c>
      <c r="P5155" t="inlineStr">
        <is>
          <t>C系統(日中)</t>
        </is>
      </c>
    </row>
    <row r="5156" ht="15" customHeight="1" s="37">
      <c r="A5156" t="n">
        <v>10</v>
      </c>
      <c r="B5156" s="10" t="inlineStr">
        <is>
          <t>平日</t>
        </is>
      </c>
      <c r="C5156" s="10" t="inlineStr">
        <is>
          <t>本線</t>
        </is>
      </c>
      <c r="D5156" s="10" t="inlineStr">
        <is>
          <t>上り</t>
        </is>
      </c>
      <c r="E5156" s="10" t="inlineStr">
        <is>
          <t>連1812</t>
        </is>
      </c>
      <c r="F5156" t="inlineStr">
        <is>
          <t>2221</t>
        </is>
      </c>
      <c r="G5156" s="10" t="inlineStr">
        <is>
          <t>西院</t>
        </is>
      </c>
      <c r="H5156" s="10" t="inlineStr">
        <is>
          <t>発</t>
        </is>
      </c>
      <c r="J5156" s="10" t="inlineStr">
        <is>
          <t>営業</t>
        </is>
      </c>
      <c r="L5156" t="inlineStr">
        <is>
          <t>19:13:10</t>
        </is>
      </c>
      <c r="M5156" t="inlineStr">
        <is>
          <t>19:14:05</t>
        </is>
      </c>
      <c r="P5156" t="inlineStr">
        <is>
          <t>C系統(日中)</t>
        </is>
      </c>
    </row>
    <row r="5157" ht="15" customHeight="1" s="37">
      <c r="A5157" t="n">
        <v>10</v>
      </c>
      <c r="B5157" s="10" t="inlineStr">
        <is>
          <t>平日</t>
        </is>
      </c>
      <c r="C5157" s="10" t="inlineStr">
        <is>
          <t>本線</t>
        </is>
      </c>
      <c r="D5157" s="10" t="inlineStr">
        <is>
          <t>上り</t>
        </is>
      </c>
      <c r="E5157" s="10" t="inlineStr">
        <is>
          <t>連1812</t>
        </is>
      </c>
      <c r="F5157" t="inlineStr">
        <is>
          <t>2221</t>
        </is>
      </c>
      <c r="G5157" s="10" t="inlineStr">
        <is>
          <t>四条大宮</t>
        </is>
      </c>
      <c r="H5157" s="10" t="inlineStr">
        <is>
          <t>着</t>
        </is>
      </c>
      <c r="J5157" s="10" t="inlineStr">
        <is>
          <t>営業</t>
        </is>
      </c>
      <c r="L5157" t="inlineStr">
        <is>
          <t>19:17:00</t>
        </is>
      </c>
      <c r="P5157" t="inlineStr">
        <is>
          <t>C系統(日中)</t>
        </is>
      </c>
      <c r="Q5157" t="inlineStr">
        <is>
          <t>1</t>
        </is>
      </c>
    </row>
    <row r="5158" ht="15" customHeight="1" s="37">
      <c r="A5158" t="n">
        <v>10</v>
      </c>
      <c r="B5158" s="10" t="inlineStr">
        <is>
          <t>平日</t>
        </is>
      </c>
      <c r="C5158" s="10" t="inlineStr">
        <is>
          <t>本線</t>
        </is>
      </c>
      <c r="D5158" s="10" t="inlineStr">
        <is>
          <t>下り</t>
        </is>
      </c>
      <c r="E5158" s="10" t="inlineStr">
        <is>
          <t>連1905</t>
        </is>
      </c>
      <c r="F5158" t="inlineStr">
        <is>
          <t>0122</t>
        </is>
      </c>
      <c r="G5158" s="10" t="inlineStr">
        <is>
          <t>四条大宮</t>
        </is>
      </c>
      <c r="H5158" s="10" t="inlineStr">
        <is>
          <t>発</t>
        </is>
      </c>
      <c r="J5158" s="10" t="inlineStr">
        <is>
          <t>営業</t>
        </is>
      </c>
      <c r="M5158" t="inlineStr">
        <is>
          <t>19:22:00</t>
        </is>
      </c>
      <c r="P5158" t="inlineStr">
        <is>
          <t>C系統(日中)</t>
        </is>
      </c>
      <c r="Q5158" t="inlineStr">
        <is>
          <t>1</t>
        </is>
      </c>
    </row>
    <row r="5159" ht="15" customHeight="1" s="37">
      <c r="A5159" t="n">
        <v>10</v>
      </c>
      <c r="B5159" s="10" t="inlineStr">
        <is>
          <t>平日</t>
        </is>
      </c>
      <c r="C5159" s="10" t="inlineStr">
        <is>
          <t>本線</t>
        </is>
      </c>
      <c r="D5159" s="10" t="inlineStr">
        <is>
          <t>下り</t>
        </is>
      </c>
      <c r="E5159" s="10" t="inlineStr">
        <is>
          <t>連1905</t>
        </is>
      </c>
      <c r="F5159" t="inlineStr">
        <is>
          <t>0122</t>
        </is>
      </c>
      <c r="G5159" s="10" t="inlineStr">
        <is>
          <t>西院</t>
        </is>
      </c>
      <c r="H5159" s="10" t="inlineStr">
        <is>
          <t>着</t>
        </is>
      </c>
      <c r="J5159" s="10" t="inlineStr">
        <is>
          <t>営業</t>
        </is>
      </c>
      <c r="L5159" t="inlineStr">
        <is>
          <t>19:24:50</t>
        </is>
      </c>
      <c r="M5159" t="inlineStr">
        <is>
          <t>19:26:20</t>
        </is>
      </c>
      <c r="P5159" t="inlineStr">
        <is>
          <t>C系統(日中)</t>
        </is>
      </c>
    </row>
    <row r="5160" ht="15" customHeight="1" s="37">
      <c r="A5160" t="n">
        <v>11</v>
      </c>
      <c r="B5160" s="10" t="inlineStr">
        <is>
          <t>平日</t>
        </is>
      </c>
      <c r="C5160" s="10" t="inlineStr">
        <is>
          <t>本線</t>
        </is>
      </c>
      <c r="D5160" s="10" t="inlineStr">
        <is>
          <t>下り</t>
        </is>
      </c>
      <c r="E5160" t="inlineStr">
        <is>
          <t>1407</t>
        </is>
      </c>
      <c r="F5160" t="inlineStr">
        <is>
          <t>0112</t>
        </is>
      </c>
      <c r="G5160" s="10" t="inlineStr">
        <is>
          <t>西院</t>
        </is>
      </c>
      <c r="H5160" s="10" t="inlineStr">
        <is>
          <t>発</t>
        </is>
      </c>
      <c r="J5160" s="10" t="inlineStr">
        <is>
          <t>営業</t>
        </is>
      </c>
      <c r="L5160" t="inlineStr">
        <is>
          <t>14:35:50</t>
        </is>
      </c>
      <c r="M5160" t="inlineStr">
        <is>
          <t>14:36:20</t>
        </is>
      </c>
    </row>
    <row r="5161" ht="15" customHeight="1" s="37">
      <c r="A5161" t="n">
        <v>11</v>
      </c>
      <c r="B5161" s="10" t="inlineStr">
        <is>
          <t>平日</t>
        </is>
      </c>
      <c r="C5161" s="10" t="inlineStr">
        <is>
          <t>本線</t>
        </is>
      </c>
      <c r="D5161" s="10" t="inlineStr">
        <is>
          <t>下り</t>
        </is>
      </c>
      <c r="E5161" t="inlineStr">
        <is>
          <t>1407</t>
        </is>
      </c>
      <c r="F5161" t="inlineStr">
        <is>
          <t>0112</t>
        </is>
      </c>
      <c r="G5161" s="10" t="inlineStr">
        <is>
          <t>西大路三条</t>
        </is>
      </c>
      <c r="H5161" s="10" t="inlineStr">
        <is>
          <t>発</t>
        </is>
      </c>
      <c r="J5161" s="10" t="inlineStr">
        <is>
          <t>営業</t>
        </is>
      </c>
      <c r="L5161" t="inlineStr">
        <is>
          <t>14:38:10</t>
        </is>
      </c>
      <c r="M5161" t="inlineStr">
        <is>
          <t>14:38:30</t>
        </is>
      </c>
    </row>
    <row r="5162" ht="15" customHeight="1" s="37">
      <c r="A5162" t="n">
        <v>11</v>
      </c>
      <c r="B5162" s="10" t="inlineStr">
        <is>
          <t>平日</t>
        </is>
      </c>
      <c r="C5162" s="10" t="inlineStr">
        <is>
          <t>本線</t>
        </is>
      </c>
      <c r="D5162" s="10" t="inlineStr">
        <is>
          <t>下り</t>
        </is>
      </c>
      <c r="E5162" t="inlineStr">
        <is>
          <t>1407</t>
        </is>
      </c>
      <c r="F5162" t="inlineStr">
        <is>
          <t>0112</t>
        </is>
      </c>
      <c r="G5162" s="10" t="inlineStr">
        <is>
          <t>山ノ内</t>
        </is>
      </c>
      <c r="H5162" s="10" t="inlineStr">
        <is>
          <t>発</t>
        </is>
      </c>
      <c r="J5162" s="10" t="inlineStr">
        <is>
          <t>営業</t>
        </is>
      </c>
      <c r="L5162" t="inlineStr">
        <is>
          <t>14:40:25</t>
        </is>
      </c>
      <c r="M5162" t="inlineStr">
        <is>
          <t>14:40:50</t>
        </is>
      </c>
    </row>
    <row r="5163" ht="15" customHeight="1" s="37">
      <c r="A5163" t="n">
        <v>11</v>
      </c>
      <c r="B5163" s="10" t="inlineStr">
        <is>
          <t>平日</t>
        </is>
      </c>
      <c r="C5163" s="10" t="inlineStr">
        <is>
          <t>本線</t>
        </is>
      </c>
      <c r="D5163" s="10" t="inlineStr">
        <is>
          <t>下り</t>
        </is>
      </c>
      <c r="E5163" t="inlineStr">
        <is>
          <t>1407</t>
        </is>
      </c>
      <c r="F5163" t="inlineStr">
        <is>
          <t>0112</t>
        </is>
      </c>
      <c r="G5163" s="10" t="inlineStr">
        <is>
          <t>天神川</t>
        </is>
      </c>
      <c r="H5163" s="10" t="inlineStr">
        <is>
          <t>発</t>
        </is>
      </c>
      <c r="J5163" s="10" t="inlineStr">
        <is>
          <t>営業</t>
        </is>
      </c>
      <c r="L5163" t="inlineStr">
        <is>
          <t>14:42:50</t>
        </is>
      </c>
      <c r="M5163" t="inlineStr">
        <is>
          <t>14:43:30</t>
        </is>
      </c>
    </row>
    <row r="5164" ht="15" customHeight="1" s="37">
      <c r="A5164" t="n">
        <v>11</v>
      </c>
      <c r="B5164" s="10" t="inlineStr">
        <is>
          <t>平日</t>
        </is>
      </c>
      <c r="C5164" s="10" t="inlineStr">
        <is>
          <t>本線</t>
        </is>
      </c>
      <c r="D5164" s="10" t="inlineStr">
        <is>
          <t>下り</t>
        </is>
      </c>
      <c r="E5164" t="inlineStr">
        <is>
          <t>1407</t>
        </is>
      </c>
      <c r="F5164" t="inlineStr">
        <is>
          <t>0112</t>
        </is>
      </c>
      <c r="G5164" s="10" t="inlineStr">
        <is>
          <t>蚕ノ社</t>
        </is>
      </c>
      <c r="H5164" s="10" t="inlineStr">
        <is>
          <t>発</t>
        </is>
      </c>
      <c r="J5164" s="10" t="inlineStr">
        <is>
          <t>営業</t>
        </is>
      </c>
      <c r="L5164" t="inlineStr">
        <is>
          <t>14:44:20</t>
        </is>
      </c>
      <c r="M5164" t="inlineStr">
        <is>
          <t>14:44:40</t>
        </is>
      </c>
    </row>
    <row r="5165" ht="15" customHeight="1" s="37">
      <c r="A5165" t="n">
        <v>11</v>
      </c>
      <c r="B5165" s="10" t="inlineStr">
        <is>
          <t>平日</t>
        </is>
      </c>
      <c r="C5165" s="10" t="inlineStr">
        <is>
          <t>本線</t>
        </is>
      </c>
      <c r="D5165" s="10" t="inlineStr">
        <is>
          <t>下り</t>
        </is>
      </c>
      <c r="E5165" t="inlineStr">
        <is>
          <t>1407</t>
        </is>
      </c>
      <c r="F5165" t="inlineStr">
        <is>
          <t>0112</t>
        </is>
      </c>
      <c r="G5165" s="10" t="inlineStr">
        <is>
          <t>太秦広隆寺</t>
        </is>
      </c>
      <c r="H5165" s="10" t="inlineStr">
        <is>
          <t>発</t>
        </is>
      </c>
      <c r="J5165" s="10" t="inlineStr">
        <is>
          <t>営業</t>
        </is>
      </c>
      <c r="L5165" t="inlineStr">
        <is>
          <t>14:46:00</t>
        </is>
      </c>
      <c r="M5165" t="inlineStr">
        <is>
          <t>14:46:20</t>
        </is>
      </c>
    </row>
    <row r="5166" ht="15" customHeight="1" s="37">
      <c r="A5166" t="n">
        <v>11</v>
      </c>
      <c r="B5166" s="10" t="inlineStr">
        <is>
          <t>平日</t>
        </is>
      </c>
      <c r="C5166" s="10" t="inlineStr">
        <is>
          <t>本線</t>
        </is>
      </c>
      <c r="D5166" s="10" t="inlineStr">
        <is>
          <t>下り</t>
        </is>
      </c>
      <c r="E5166" t="inlineStr">
        <is>
          <t>1407</t>
        </is>
      </c>
      <c r="F5166" t="inlineStr">
        <is>
          <t>0112</t>
        </is>
      </c>
      <c r="G5166" s="10" t="inlineStr">
        <is>
          <t>帷子ノ辻</t>
        </is>
      </c>
      <c r="H5166" s="10" t="inlineStr">
        <is>
          <t>発</t>
        </is>
      </c>
      <c r="J5166" s="10" t="inlineStr">
        <is>
          <t>営業</t>
        </is>
      </c>
      <c r="L5166" t="inlineStr">
        <is>
          <t>14:48:20</t>
        </is>
      </c>
      <c r="M5166" t="inlineStr">
        <is>
          <t>14:49:40</t>
        </is>
      </c>
    </row>
    <row r="5167" ht="15" customHeight="1" s="37">
      <c r="A5167" t="n">
        <v>11</v>
      </c>
      <c r="B5167" s="10" t="inlineStr">
        <is>
          <t>平日</t>
        </is>
      </c>
      <c r="C5167" s="10" t="inlineStr">
        <is>
          <t>本線</t>
        </is>
      </c>
      <c r="D5167" s="10" t="inlineStr">
        <is>
          <t>下り</t>
        </is>
      </c>
      <c r="E5167" t="inlineStr">
        <is>
          <t>1407</t>
        </is>
      </c>
      <c r="F5167" t="inlineStr">
        <is>
          <t>0112</t>
        </is>
      </c>
      <c r="G5167" s="10" t="inlineStr">
        <is>
          <t>有栖川</t>
        </is>
      </c>
      <c r="H5167" s="10" t="inlineStr">
        <is>
          <t>発</t>
        </is>
      </c>
      <c r="J5167" s="10" t="inlineStr">
        <is>
          <t>営業</t>
        </is>
      </c>
      <c r="L5167" t="inlineStr">
        <is>
          <t>14:50:50</t>
        </is>
      </c>
      <c r="M5167" t="inlineStr">
        <is>
          <t>14:51:15</t>
        </is>
      </c>
    </row>
    <row r="5168" ht="15" customHeight="1" s="37">
      <c r="A5168" t="n">
        <v>11</v>
      </c>
      <c r="B5168" s="10" t="inlineStr">
        <is>
          <t>平日</t>
        </is>
      </c>
      <c r="C5168" s="10" t="inlineStr">
        <is>
          <t>本線</t>
        </is>
      </c>
      <c r="D5168" s="10" t="inlineStr">
        <is>
          <t>下り</t>
        </is>
      </c>
      <c r="E5168" t="inlineStr">
        <is>
          <t>1407</t>
        </is>
      </c>
      <c r="F5168" t="inlineStr">
        <is>
          <t>0112</t>
        </is>
      </c>
      <c r="G5168" s="10" t="inlineStr">
        <is>
          <t>車折</t>
        </is>
      </c>
      <c r="H5168" s="10" t="inlineStr">
        <is>
          <t>発</t>
        </is>
      </c>
      <c r="J5168" s="10" t="inlineStr">
        <is>
          <t>営業</t>
        </is>
      </c>
      <c r="L5168" t="inlineStr">
        <is>
          <t>14:52:40</t>
        </is>
      </c>
      <c r="M5168" t="inlineStr">
        <is>
          <t>14:53:05</t>
        </is>
      </c>
    </row>
    <row r="5169" ht="15" customHeight="1" s="37">
      <c r="A5169" t="n">
        <v>11</v>
      </c>
      <c r="B5169" s="10" t="inlineStr">
        <is>
          <t>平日</t>
        </is>
      </c>
      <c r="C5169" s="10" t="inlineStr">
        <is>
          <t>本線</t>
        </is>
      </c>
      <c r="D5169" s="10" t="inlineStr">
        <is>
          <t>下り</t>
        </is>
      </c>
      <c r="E5169" t="inlineStr">
        <is>
          <t>1407</t>
        </is>
      </c>
      <c r="F5169" t="inlineStr">
        <is>
          <t>0112</t>
        </is>
      </c>
      <c r="G5169" s="10" t="inlineStr">
        <is>
          <t>鹿王院</t>
        </is>
      </c>
      <c r="H5169" s="10" t="inlineStr">
        <is>
          <t>発</t>
        </is>
      </c>
      <c r="J5169" s="10" t="inlineStr">
        <is>
          <t>営業</t>
        </is>
      </c>
      <c r="L5169" t="inlineStr">
        <is>
          <t>14:54:00</t>
        </is>
      </c>
      <c r="M5169" t="inlineStr">
        <is>
          <t>14:54:25</t>
        </is>
      </c>
    </row>
    <row r="5170" ht="15" customHeight="1" s="37">
      <c r="A5170" t="n">
        <v>11</v>
      </c>
      <c r="B5170" s="10" t="inlineStr">
        <is>
          <t>平日</t>
        </is>
      </c>
      <c r="C5170" s="10" t="inlineStr">
        <is>
          <t>本線</t>
        </is>
      </c>
      <c r="D5170" s="10" t="inlineStr">
        <is>
          <t>下り</t>
        </is>
      </c>
      <c r="E5170" t="inlineStr">
        <is>
          <t>1407</t>
        </is>
      </c>
      <c r="F5170" t="inlineStr">
        <is>
          <t>0112</t>
        </is>
      </c>
      <c r="G5170" s="10" t="inlineStr">
        <is>
          <t>嵯峨</t>
        </is>
      </c>
      <c r="H5170" s="10" t="inlineStr">
        <is>
          <t>発</t>
        </is>
      </c>
      <c r="J5170" s="10" t="inlineStr">
        <is>
          <t>営業</t>
        </is>
      </c>
      <c r="L5170" t="inlineStr">
        <is>
          <t>14:55:30</t>
        </is>
      </c>
      <c r="M5170" t="inlineStr">
        <is>
          <t>14:55:55</t>
        </is>
      </c>
    </row>
    <row r="5171" ht="15" customHeight="1" s="37">
      <c r="A5171" t="n">
        <v>11</v>
      </c>
      <c r="B5171" s="10" t="inlineStr">
        <is>
          <t>平日</t>
        </is>
      </c>
      <c r="C5171" s="10" t="inlineStr">
        <is>
          <t>本線</t>
        </is>
      </c>
      <c r="D5171" s="10" t="inlineStr">
        <is>
          <t>下り</t>
        </is>
      </c>
      <c r="E5171" t="inlineStr">
        <is>
          <t>1407</t>
        </is>
      </c>
      <c r="F5171" t="inlineStr">
        <is>
          <t>0112</t>
        </is>
      </c>
      <c r="G5171" s="10" t="inlineStr">
        <is>
          <t>嵐山</t>
        </is>
      </c>
      <c r="H5171" s="10" t="inlineStr">
        <is>
          <t>着</t>
        </is>
      </c>
      <c r="J5171" s="10" t="inlineStr">
        <is>
          <t>営業</t>
        </is>
      </c>
      <c r="L5171" t="inlineStr">
        <is>
          <t>14:57:00</t>
        </is>
      </c>
      <c r="Q5171" t="inlineStr">
        <is>
          <t>1</t>
        </is>
      </c>
    </row>
    <row r="5172" ht="15" customHeight="1" s="37">
      <c r="A5172" t="n">
        <v>11</v>
      </c>
      <c r="B5172" s="10" t="inlineStr">
        <is>
          <t>平日</t>
        </is>
      </c>
      <c r="C5172" s="10" t="inlineStr">
        <is>
          <t>本線</t>
        </is>
      </c>
      <c r="D5172" s="10" t="inlineStr">
        <is>
          <t>上り</t>
        </is>
      </c>
      <c r="E5172" t="inlineStr">
        <is>
          <t>1502</t>
        </is>
      </c>
      <c r="F5172" t="inlineStr">
        <is>
          <t>0211</t>
        </is>
      </c>
      <c r="G5172" s="10" t="inlineStr">
        <is>
          <t>嵐山</t>
        </is>
      </c>
      <c r="H5172" s="10" t="inlineStr">
        <is>
          <t>発</t>
        </is>
      </c>
      <c r="J5172" s="10" t="inlineStr">
        <is>
          <t>営業</t>
        </is>
      </c>
      <c r="M5172" t="inlineStr">
        <is>
          <t>15:03:00</t>
        </is>
      </c>
      <c r="Q5172" t="inlineStr">
        <is>
          <t>1</t>
        </is>
      </c>
    </row>
    <row r="5173" ht="15" customHeight="1" s="37">
      <c r="A5173" t="n">
        <v>11</v>
      </c>
      <c r="B5173" s="10" t="inlineStr">
        <is>
          <t>平日</t>
        </is>
      </c>
      <c r="C5173" s="10" t="inlineStr">
        <is>
          <t>本線</t>
        </is>
      </c>
      <c r="D5173" s="10" t="inlineStr">
        <is>
          <t>上り</t>
        </is>
      </c>
      <c r="E5173" t="inlineStr">
        <is>
          <t>1502</t>
        </is>
      </c>
      <c r="F5173" t="inlineStr">
        <is>
          <t>0211</t>
        </is>
      </c>
      <c r="G5173" s="10" t="inlineStr">
        <is>
          <t>嵯峨</t>
        </is>
      </c>
      <c r="H5173" s="10" t="inlineStr">
        <is>
          <t>発</t>
        </is>
      </c>
      <c r="J5173" s="10" t="inlineStr">
        <is>
          <t>営業</t>
        </is>
      </c>
      <c r="L5173" t="inlineStr">
        <is>
          <t>15:03:55</t>
        </is>
      </c>
      <c r="M5173" t="inlineStr">
        <is>
          <t>15:04:20</t>
        </is>
      </c>
    </row>
    <row r="5174" ht="15" customHeight="1" s="37">
      <c r="A5174" t="n">
        <v>11</v>
      </c>
      <c r="B5174" s="10" t="inlineStr">
        <is>
          <t>平日</t>
        </is>
      </c>
      <c r="C5174" s="10" t="inlineStr">
        <is>
          <t>本線</t>
        </is>
      </c>
      <c r="D5174" s="10" t="inlineStr">
        <is>
          <t>上り</t>
        </is>
      </c>
      <c r="E5174" t="inlineStr">
        <is>
          <t>1502</t>
        </is>
      </c>
      <c r="F5174" t="inlineStr">
        <is>
          <t>0211</t>
        </is>
      </c>
      <c r="G5174" s="10" t="inlineStr">
        <is>
          <t>鹿王院</t>
        </is>
      </c>
      <c r="H5174" s="10" t="inlineStr">
        <is>
          <t>発</t>
        </is>
      </c>
      <c r="J5174" s="10" t="inlineStr">
        <is>
          <t>営業</t>
        </is>
      </c>
      <c r="L5174" t="inlineStr">
        <is>
          <t>15:05:25</t>
        </is>
      </c>
      <c r="M5174" t="inlineStr">
        <is>
          <t>15:05:45</t>
        </is>
      </c>
    </row>
    <row r="5175" ht="15" customHeight="1" s="37">
      <c r="A5175" t="n">
        <v>11</v>
      </c>
      <c r="B5175" s="10" t="inlineStr">
        <is>
          <t>平日</t>
        </is>
      </c>
      <c r="C5175" s="10" t="inlineStr">
        <is>
          <t>本線</t>
        </is>
      </c>
      <c r="D5175" s="10" t="inlineStr">
        <is>
          <t>上り</t>
        </is>
      </c>
      <c r="E5175" t="inlineStr">
        <is>
          <t>1502</t>
        </is>
      </c>
      <c r="F5175" t="inlineStr">
        <is>
          <t>0211</t>
        </is>
      </c>
      <c r="G5175" s="10" t="inlineStr">
        <is>
          <t>車折</t>
        </is>
      </c>
      <c r="H5175" s="10" t="inlineStr">
        <is>
          <t>発</t>
        </is>
      </c>
      <c r="J5175" s="10" t="inlineStr">
        <is>
          <t>営業</t>
        </is>
      </c>
      <c r="L5175" t="inlineStr">
        <is>
          <t>15:06:40</t>
        </is>
      </c>
      <c r="M5175" t="inlineStr">
        <is>
          <t>15:07:10</t>
        </is>
      </c>
    </row>
    <row r="5176" ht="15" customHeight="1" s="37">
      <c r="A5176" t="n">
        <v>11</v>
      </c>
      <c r="B5176" s="10" t="inlineStr">
        <is>
          <t>平日</t>
        </is>
      </c>
      <c r="C5176" s="10" t="inlineStr">
        <is>
          <t>本線</t>
        </is>
      </c>
      <c r="D5176" s="10" t="inlineStr">
        <is>
          <t>上り</t>
        </is>
      </c>
      <c r="E5176" t="inlineStr">
        <is>
          <t>1502</t>
        </is>
      </c>
      <c r="F5176" t="inlineStr">
        <is>
          <t>0211</t>
        </is>
      </c>
      <c r="G5176" s="10" t="inlineStr">
        <is>
          <t>有栖川</t>
        </is>
      </c>
      <c r="H5176" s="10" t="inlineStr">
        <is>
          <t>発</t>
        </is>
      </c>
      <c r="J5176" s="10" t="inlineStr">
        <is>
          <t>営業</t>
        </is>
      </c>
      <c r="L5176" t="inlineStr">
        <is>
          <t>15:08:35</t>
        </is>
      </c>
      <c r="M5176" t="inlineStr">
        <is>
          <t>15:08:55</t>
        </is>
      </c>
    </row>
    <row r="5177" ht="15" customHeight="1" s="37">
      <c r="A5177" t="n">
        <v>11</v>
      </c>
      <c r="B5177" s="10" t="inlineStr">
        <is>
          <t>平日</t>
        </is>
      </c>
      <c r="C5177" s="10" t="inlineStr">
        <is>
          <t>本線</t>
        </is>
      </c>
      <c r="D5177" s="10" t="inlineStr">
        <is>
          <t>上り</t>
        </is>
      </c>
      <c r="E5177" t="inlineStr">
        <is>
          <t>1502</t>
        </is>
      </c>
      <c r="F5177" t="inlineStr">
        <is>
          <t>0211</t>
        </is>
      </c>
      <c r="G5177" s="10" t="inlineStr">
        <is>
          <t>帷子ノ辻</t>
        </is>
      </c>
      <c r="H5177" s="10" t="inlineStr">
        <is>
          <t>発</t>
        </is>
      </c>
      <c r="J5177" s="10" t="inlineStr">
        <is>
          <t>営業</t>
        </is>
      </c>
      <c r="L5177" t="inlineStr">
        <is>
          <t>15:10:10</t>
        </is>
      </c>
      <c r="M5177" t="inlineStr">
        <is>
          <t>15:11:15</t>
        </is>
      </c>
    </row>
    <row r="5178" ht="15" customHeight="1" s="37">
      <c r="A5178" t="n">
        <v>11</v>
      </c>
      <c r="B5178" s="10" t="inlineStr">
        <is>
          <t>平日</t>
        </is>
      </c>
      <c r="C5178" s="10" t="inlineStr">
        <is>
          <t>本線</t>
        </is>
      </c>
      <c r="D5178" s="10" t="inlineStr">
        <is>
          <t>上り</t>
        </is>
      </c>
      <c r="E5178" t="inlineStr">
        <is>
          <t>1502</t>
        </is>
      </c>
      <c r="F5178" t="inlineStr">
        <is>
          <t>0211</t>
        </is>
      </c>
      <c r="G5178" s="10" t="inlineStr">
        <is>
          <t>太秦広隆寺</t>
        </is>
      </c>
      <c r="H5178" s="10" t="inlineStr">
        <is>
          <t>発</t>
        </is>
      </c>
      <c r="J5178" s="10" t="inlineStr">
        <is>
          <t>営業</t>
        </is>
      </c>
      <c r="L5178" t="inlineStr">
        <is>
          <t>15:13:25</t>
        </is>
      </c>
      <c r="M5178" t="inlineStr">
        <is>
          <t>15:13:45</t>
        </is>
      </c>
    </row>
    <row r="5179" ht="15" customHeight="1" s="37">
      <c r="A5179" t="n">
        <v>11</v>
      </c>
      <c r="B5179" s="10" t="inlineStr">
        <is>
          <t>平日</t>
        </is>
      </c>
      <c r="C5179" s="10" t="inlineStr">
        <is>
          <t>本線</t>
        </is>
      </c>
      <c r="D5179" s="10" t="inlineStr">
        <is>
          <t>上り</t>
        </is>
      </c>
      <c r="E5179" t="inlineStr">
        <is>
          <t>1502</t>
        </is>
      </c>
      <c r="F5179" t="inlineStr">
        <is>
          <t>0211</t>
        </is>
      </c>
      <c r="G5179" s="10" t="inlineStr">
        <is>
          <t>蚕ノ社</t>
        </is>
      </c>
      <c r="H5179" s="10" t="inlineStr">
        <is>
          <t>発</t>
        </is>
      </c>
      <c r="J5179" s="10" t="inlineStr">
        <is>
          <t>営業</t>
        </is>
      </c>
      <c r="L5179" t="inlineStr">
        <is>
          <t>15:15:00</t>
        </is>
      </c>
      <c r="M5179" t="inlineStr">
        <is>
          <t>15:15:20</t>
        </is>
      </c>
    </row>
    <row r="5180" ht="15" customHeight="1" s="37">
      <c r="A5180" t="n">
        <v>11</v>
      </c>
      <c r="B5180" s="10" t="inlineStr">
        <is>
          <t>平日</t>
        </is>
      </c>
      <c r="C5180" s="10" t="inlineStr">
        <is>
          <t>本線</t>
        </is>
      </c>
      <c r="D5180" s="10" t="inlineStr">
        <is>
          <t>上り</t>
        </is>
      </c>
      <c r="E5180" t="inlineStr">
        <is>
          <t>1502</t>
        </is>
      </c>
      <c r="F5180" t="inlineStr">
        <is>
          <t>0211</t>
        </is>
      </c>
      <c r="G5180" s="10" t="inlineStr">
        <is>
          <t>天神川</t>
        </is>
      </c>
      <c r="H5180" s="10" t="inlineStr">
        <is>
          <t>発</t>
        </is>
      </c>
      <c r="J5180" s="10" t="inlineStr">
        <is>
          <t>営業</t>
        </is>
      </c>
      <c r="L5180" t="inlineStr">
        <is>
          <t>15:16:05</t>
        </is>
      </c>
      <c r="M5180" t="inlineStr">
        <is>
          <t>15:16:50</t>
        </is>
      </c>
    </row>
    <row r="5181" ht="15" customHeight="1" s="37">
      <c r="A5181" t="n">
        <v>11</v>
      </c>
      <c r="B5181" s="10" t="inlineStr">
        <is>
          <t>平日</t>
        </is>
      </c>
      <c r="C5181" s="10" t="inlineStr">
        <is>
          <t>本線</t>
        </is>
      </c>
      <c r="D5181" s="10" t="inlineStr">
        <is>
          <t>上り</t>
        </is>
      </c>
      <c r="E5181" t="inlineStr">
        <is>
          <t>1502</t>
        </is>
      </c>
      <c r="F5181" t="inlineStr">
        <is>
          <t>0211</t>
        </is>
      </c>
      <c r="G5181" s="10" t="inlineStr">
        <is>
          <t>山ノ内</t>
        </is>
      </c>
      <c r="H5181" s="10" t="inlineStr">
        <is>
          <t>発</t>
        </is>
      </c>
      <c r="J5181" s="10" t="inlineStr">
        <is>
          <t>営業</t>
        </is>
      </c>
      <c r="L5181" t="inlineStr">
        <is>
          <t>15:18:40</t>
        </is>
      </c>
      <c r="M5181" t="inlineStr">
        <is>
          <t>15:19:05</t>
        </is>
      </c>
    </row>
    <row r="5182" ht="15" customHeight="1" s="37">
      <c r="A5182" t="n">
        <v>11</v>
      </c>
      <c r="B5182" s="10" t="inlineStr">
        <is>
          <t>平日</t>
        </is>
      </c>
      <c r="C5182" s="10" t="inlineStr">
        <is>
          <t>本線</t>
        </is>
      </c>
      <c r="D5182" s="10" t="inlineStr">
        <is>
          <t>上り</t>
        </is>
      </c>
      <c r="E5182" t="inlineStr">
        <is>
          <t>1502</t>
        </is>
      </c>
      <c r="F5182" t="inlineStr">
        <is>
          <t>0211</t>
        </is>
      </c>
      <c r="G5182" s="10" t="inlineStr">
        <is>
          <t>西大路三条</t>
        </is>
      </c>
      <c r="H5182" s="10" t="inlineStr">
        <is>
          <t>発</t>
        </is>
      </c>
      <c r="J5182" s="10" t="inlineStr">
        <is>
          <t>営業</t>
        </is>
      </c>
      <c r="L5182" t="inlineStr">
        <is>
          <t>15:20:55</t>
        </is>
      </c>
      <c r="M5182" t="inlineStr">
        <is>
          <t>15:21:15</t>
        </is>
      </c>
    </row>
    <row r="5183" ht="15" customHeight="1" s="37">
      <c r="A5183" t="n">
        <v>11</v>
      </c>
      <c r="B5183" s="10" t="inlineStr">
        <is>
          <t>平日</t>
        </is>
      </c>
      <c r="C5183" s="10" t="inlineStr">
        <is>
          <t>本線</t>
        </is>
      </c>
      <c r="D5183" s="10" t="inlineStr">
        <is>
          <t>上り</t>
        </is>
      </c>
      <c r="E5183" t="inlineStr">
        <is>
          <t>1502</t>
        </is>
      </c>
      <c r="F5183" t="inlineStr">
        <is>
          <t>0211</t>
        </is>
      </c>
      <c r="G5183" s="10" t="inlineStr">
        <is>
          <t>西院</t>
        </is>
      </c>
      <c r="H5183" s="10" t="inlineStr">
        <is>
          <t>発</t>
        </is>
      </c>
      <c r="J5183" s="10" t="inlineStr">
        <is>
          <t>営業</t>
        </is>
      </c>
      <c r="L5183" t="inlineStr">
        <is>
          <t>15:23:10</t>
        </is>
      </c>
      <c r="M5183" t="inlineStr">
        <is>
          <t>15:24:05</t>
        </is>
      </c>
    </row>
    <row r="5184" ht="15" customHeight="1" s="37">
      <c r="A5184" t="n">
        <v>11</v>
      </c>
      <c r="B5184" s="10" t="inlineStr">
        <is>
          <t>平日</t>
        </is>
      </c>
      <c r="C5184" s="10" t="inlineStr">
        <is>
          <t>本線</t>
        </is>
      </c>
      <c r="D5184" s="10" t="inlineStr">
        <is>
          <t>上り</t>
        </is>
      </c>
      <c r="E5184" t="inlineStr">
        <is>
          <t>1502</t>
        </is>
      </c>
      <c r="F5184" t="inlineStr">
        <is>
          <t>0211</t>
        </is>
      </c>
      <c r="G5184" s="10" t="inlineStr">
        <is>
          <t>四条大宮</t>
        </is>
      </c>
      <c r="H5184" s="10" t="inlineStr">
        <is>
          <t>着</t>
        </is>
      </c>
      <c r="J5184" s="10" t="inlineStr">
        <is>
          <t>営業</t>
        </is>
      </c>
      <c r="L5184" t="inlineStr">
        <is>
          <t>15:27:00</t>
        </is>
      </c>
      <c r="Q5184" t="inlineStr">
        <is>
          <t>1誘</t>
        </is>
      </c>
    </row>
    <row r="5185" ht="15" customHeight="1" s="37">
      <c r="A5185" t="n">
        <v>11</v>
      </c>
      <c r="B5185" s="10" t="inlineStr">
        <is>
          <t>平日</t>
        </is>
      </c>
      <c r="C5185" s="10" t="inlineStr">
        <is>
          <t>本線</t>
        </is>
      </c>
      <c r="D5185" s="10" t="inlineStr">
        <is>
          <t>下り</t>
        </is>
      </c>
      <c r="E5185" t="inlineStr">
        <is>
          <t>1909</t>
        </is>
      </c>
      <c r="F5185" t="inlineStr">
        <is>
          <t>0122</t>
        </is>
      </c>
      <c r="G5185" s="10" t="inlineStr">
        <is>
          <t>西院</t>
        </is>
      </c>
      <c r="H5185" s="10" t="inlineStr">
        <is>
          <t>発</t>
        </is>
      </c>
      <c r="J5185" s="10" t="inlineStr">
        <is>
          <t>営業</t>
        </is>
      </c>
      <c r="L5185" t="inlineStr">
        <is>
          <t>19:44:50</t>
        </is>
      </c>
      <c r="M5185" t="inlineStr">
        <is>
          <t>19:46:20</t>
        </is>
      </c>
    </row>
    <row r="5186" ht="15" customHeight="1" s="37">
      <c r="A5186" t="n">
        <v>11</v>
      </c>
      <c r="B5186" s="10" t="inlineStr">
        <is>
          <t>平日</t>
        </is>
      </c>
      <c r="C5186" s="10" t="inlineStr">
        <is>
          <t>本線</t>
        </is>
      </c>
      <c r="D5186" s="10" t="inlineStr">
        <is>
          <t>下り</t>
        </is>
      </c>
      <c r="E5186" t="inlineStr">
        <is>
          <t>1909</t>
        </is>
      </c>
      <c r="F5186" t="inlineStr">
        <is>
          <t>0122</t>
        </is>
      </c>
      <c r="G5186" s="10" t="inlineStr">
        <is>
          <t>西大路三条</t>
        </is>
      </c>
      <c r="H5186" s="10" t="inlineStr">
        <is>
          <t>発</t>
        </is>
      </c>
      <c r="J5186" s="10" t="inlineStr">
        <is>
          <t>営業</t>
        </is>
      </c>
      <c r="L5186" t="inlineStr">
        <is>
          <t>19:48:10</t>
        </is>
      </c>
      <c r="M5186" t="inlineStr">
        <is>
          <t>19:48:30</t>
        </is>
      </c>
    </row>
    <row r="5187" ht="15" customHeight="1" s="37">
      <c r="A5187" t="n">
        <v>11</v>
      </c>
      <c r="B5187" s="10" t="inlineStr">
        <is>
          <t>平日</t>
        </is>
      </c>
      <c r="C5187" s="10" t="inlineStr">
        <is>
          <t>本線</t>
        </is>
      </c>
      <c r="D5187" s="10" t="inlineStr">
        <is>
          <t>下り</t>
        </is>
      </c>
      <c r="E5187" t="inlineStr">
        <is>
          <t>1909</t>
        </is>
      </c>
      <c r="F5187" t="inlineStr">
        <is>
          <t>0122</t>
        </is>
      </c>
      <c r="G5187" s="10" t="inlineStr">
        <is>
          <t>山ノ内</t>
        </is>
      </c>
      <c r="H5187" s="10" t="inlineStr">
        <is>
          <t>発</t>
        </is>
      </c>
      <c r="J5187" s="10" t="inlineStr">
        <is>
          <t>営業</t>
        </is>
      </c>
      <c r="L5187" t="inlineStr">
        <is>
          <t>19:50:25</t>
        </is>
      </c>
      <c r="M5187" t="inlineStr">
        <is>
          <t>19:50:50</t>
        </is>
      </c>
    </row>
    <row r="5188" ht="15" customHeight="1" s="37">
      <c r="A5188" t="n">
        <v>11</v>
      </c>
      <c r="B5188" s="10" t="inlineStr">
        <is>
          <t>平日</t>
        </is>
      </c>
      <c r="C5188" s="10" t="inlineStr">
        <is>
          <t>本線</t>
        </is>
      </c>
      <c r="D5188" s="10" t="inlineStr">
        <is>
          <t>下り</t>
        </is>
      </c>
      <c r="E5188" t="inlineStr">
        <is>
          <t>1909</t>
        </is>
      </c>
      <c r="F5188" t="inlineStr">
        <is>
          <t>0122</t>
        </is>
      </c>
      <c r="G5188" s="10" t="inlineStr">
        <is>
          <t>天神川</t>
        </is>
      </c>
      <c r="H5188" s="10" t="inlineStr">
        <is>
          <t>発</t>
        </is>
      </c>
      <c r="J5188" s="10" t="inlineStr">
        <is>
          <t>営業</t>
        </is>
      </c>
      <c r="L5188" t="inlineStr">
        <is>
          <t>19:52:50</t>
        </is>
      </c>
      <c r="M5188" t="inlineStr">
        <is>
          <t>19:53:30</t>
        </is>
      </c>
    </row>
    <row r="5189" ht="15" customHeight="1" s="37">
      <c r="A5189" t="n">
        <v>11</v>
      </c>
      <c r="B5189" s="10" t="inlineStr">
        <is>
          <t>平日</t>
        </is>
      </c>
      <c r="C5189" s="10" t="inlineStr">
        <is>
          <t>本線</t>
        </is>
      </c>
      <c r="D5189" s="10" t="inlineStr">
        <is>
          <t>下り</t>
        </is>
      </c>
      <c r="E5189" t="inlineStr">
        <is>
          <t>1909</t>
        </is>
      </c>
      <c r="F5189" t="inlineStr">
        <is>
          <t>0122</t>
        </is>
      </c>
      <c r="G5189" s="10" t="inlineStr">
        <is>
          <t>蚕ノ社</t>
        </is>
      </c>
      <c r="H5189" s="10" t="inlineStr">
        <is>
          <t>発</t>
        </is>
      </c>
      <c r="J5189" s="10" t="inlineStr">
        <is>
          <t>営業</t>
        </is>
      </c>
      <c r="L5189" t="inlineStr">
        <is>
          <t>19:54:20</t>
        </is>
      </c>
      <c r="M5189" t="inlineStr">
        <is>
          <t>19:54:40</t>
        </is>
      </c>
    </row>
    <row r="5190" ht="15" customHeight="1" s="37">
      <c r="A5190" t="n">
        <v>11</v>
      </c>
      <c r="B5190" s="10" t="inlineStr">
        <is>
          <t>平日</t>
        </is>
      </c>
      <c r="C5190" s="10" t="inlineStr">
        <is>
          <t>本線</t>
        </is>
      </c>
      <c r="D5190" s="10" t="inlineStr">
        <is>
          <t>下り</t>
        </is>
      </c>
      <c r="E5190" t="inlineStr">
        <is>
          <t>1909</t>
        </is>
      </c>
      <c r="F5190" t="inlineStr">
        <is>
          <t>0122</t>
        </is>
      </c>
      <c r="G5190" s="10" t="inlineStr">
        <is>
          <t>太秦広隆寺</t>
        </is>
      </c>
      <c r="H5190" s="10" t="inlineStr">
        <is>
          <t>発</t>
        </is>
      </c>
      <c r="J5190" s="10" t="inlineStr">
        <is>
          <t>営業</t>
        </is>
      </c>
      <c r="L5190" t="inlineStr">
        <is>
          <t>19:56:00</t>
        </is>
      </c>
      <c r="M5190" t="inlineStr">
        <is>
          <t>19:56:20</t>
        </is>
      </c>
    </row>
    <row r="5191" ht="15" customHeight="1" s="37">
      <c r="A5191" t="n">
        <v>11</v>
      </c>
      <c r="B5191" s="10" t="inlineStr">
        <is>
          <t>平日</t>
        </is>
      </c>
      <c r="C5191" s="10" t="inlineStr">
        <is>
          <t>本線</t>
        </is>
      </c>
      <c r="D5191" s="10" t="inlineStr">
        <is>
          <t>下り</t>
        </is>
      </c>
      <c r="E5191" t="inlineStr">
        <is>
          <t>1909</t>
        </is>
      </c>
      <c r="F5191" t="inlineStr">
        <is>
          <t>0122</t>
        </is>
      </c>
      <c r="G5191" s="10" t="inlineStr">
        <is>
          <t>帷子ノ辻</t>
        </is>
      </c>
      <c r="H5191" s="10" t="inlineStr">
        <is>
          <t>発</t>
        </is>
      </c>
      <c r="J5191" s="10" t="inlineStr">
        <is>
          <t>営業</t>
        </is>
      </c>
      <c r="L5191" t="inlineStr">
        <is>
          <t>19:58:20</t>
        </is>
      </c>
      <c r="M5191" t="inlineStr">
        <is>
          <t>19:59:40</t>
        </is>
      </c>
    </row>
    <row r="5192" ht="15" customHeight="1" s="37">
      <c r="A5192" t="n">
        <v>11</v>
      </c>
      <c r="B5192" s="10" t="inlineStr">
        <is>
          <t>平日</t>
        </is>
      </c>
      <c r="C5192" s="10" t="inlineStr">
        <is>
          <t>本線</t>
        </is>
      </c>
      <c r="D5192" s="10" t="inlineStr">
        <is>
          <t>下り</t>
        </is>
      </c>
      <c r="E5192" t="inlineStr">
        <is>
          <t>1909</t>
        </is>
      </c>
      <c r="F5192" t="inlineStr">
        <is>
          <t>0122</t>
        </is>
      </c>
      <c r="G5192" s="10" t="inlineStr">
        <is>
          <t>有栖川</t>
        </is>
      </c>
      <c r="H5192" s="10" t="inlineStr">
        <is>
          <t>発</t>
        </is>
      </c>
      <c r="J5192" s="10" t="inlineStr">
        <is>
          <t>営業</t>
        </is>
      </c>
      <c r="L5192" t="inlineStr">
        <is>
          <t>20:00:50</t>
        </is>
      </c>
      <c r="M5192" t="inlineStr">
        <is>
          <t>20:01:15</t>
        </is>
      </c>
    </row>
    <row r="5193" ht="15" customHeight="1" s="37">
      <c r="A5193" t="n">
        <v>11</v>
      </c>
      <c r="B5193" s="10" t="inlineStr">
        <is>
          <t>平日</t>
        </is>
      </c>
      <c r="C5193" s="10" t="inlineStr">
        <is>
          <t>本線</t>
        </is>
      </c>
      <c r="D5193" s="10" t="inlineStr">
        <is>
          <t>下り</t>
        </is>
      </c>
      <c r="E5193" t="inlineStr">
        <is>
          <t>1909</t>
        </is>
      </c>
      <c r="F5193" t="inlineStr">
        <is>
          <t>0122</t>
        </is>
      </c>
      <c r="G5193" s="10" t="inlineStr">
        <is>
          <t>車折</t>
        </is>
      </c>
      <c r="H5193" s="10" t="inlineStr">
        <is>
          <t>発</t>
        </is>
      </c>
      <c r="J5193" s="10" t="inlineStr">
        <is>
          <t>営業</t>
        </is>
      </c>
      <c r="L5193" t="inlineStr">
        <is>
          <t>20:02:40</t>
        </is>
      </c>
      <c r="M5193" t="inlineStr">
        <is>
          <t>20:03:05</t>
        </is>
      </c>
    </row>
    <row r="5194" ht="15" customHeight="1" s="37">
      <c r="A5194" t="n">
        <v>11</v>
      </c>
      <c r="B5194" s="10" t="inlineStr">
        <is>
          <t>平日</t>
        </is>
      </c>
      <c r="C5194" s="10" t="inlineStr">
        <is>
          <t>本線</t>
        </is>
      </c>
      <c r="D5194" s="10" t="inlineStr">
        <is>
          <t>下り</t>
        </is>
      </c>
      <c r="E5194" t="inlineStr">
        <is>
          <t>1909</t>
        </is>
      </c>
      <c r="F5194" t="inlineStr">
        <is>
          <t>0122</t>
        </is>
      </c>
      <c r="G5194" s="10" t="inlineStr">
        <is>
          <t>鹿王院</t>
        </is>
      </c>
      <c r="H5194" s="10" t="inlineStr">
        <is>
          <t>発</t>
        </is>
      </c>
      <c r="J5194" s="10" t="inlineStr">
        <is>
          <t>営業</t>
        </is>
      </c>
      <c r="L5194" t="inlineStr">
        <is>
          <t>20:04:00</t>
        </is>
      </c>
      <c r="M5194" t="inlineStr">
        <is>
          <t>20:04:25</t>
        </is>
      </c>
    </row>
    <row r="5195" ht="15" customHeight="1" s="37">
      <c r="A5195" t="n">
        <v>11</v>
      </c>
      <c r="B5195" s="10" t="inlineStr">
        <is>
          <t>平日</t>
        </is>
      </c>
      <c r="C5195" s="10" t="inlineStr">
        <is>
          <t>本線</t>
        </is>
      </c>
      <c r="D5195" s="10" t="inlineStr">
        <is>
          <t>下り</t>
        </is>
      </c>
      <c r="E5195" t="inlineStr">
        <is>
          <t>1909</t>
        </is>
      </c>
      <c r="F5195" t="inlineStr">
        <is>
          <t>0122</t>
        </is>
      </c>
      <c r="G5195" s="10" t="inlineStr">
        <is>
          <t>嵯峨</t>
        </is>
      </c>
      <c r="H5195" s="10" t="inlineStr">
        <is>
          <t>発</t>
        </is>
      </c>
      <c r="J5195" s="10" t="inlineStr">
        <is>
          <t>営業</t>
        </is>
      </c>
      <c r="L5195" t="inlineStr">
        <is>
          <t>20:05:30</t>
        </is>
      </c>
      <c r="M5195" t="inlineStr">
        <is>
          <t>20:05:55</t>
        </is>
      </c>
    </row>
    <row r="5196" ht="15" customHeight="1" s="37">
      <c r="A5196" t="n">
        <v>11</v>
      </c>
      <c r="B5196" s="10" t="inlineStr">
        <is>
          <t>平日</t>
        </is>
      </c>
      <c r="C5196" s="10" t="inlineStr">
        <is>
          <t>本線</t>
        </is>
      </c>
      <c r="D5196" s="10" t="inlineStr">
        <is>
          <t>下り</t>
        </is>
      </c>
      <c r="E5196" t="inlineStr">
        <is>
          <t>1909</t>
        </is>
      </c>
      <c r="F5196" t="inlineStr">
        <is>
          <t>0122</t>
        </is>
      </c>
      <c r="G5196" s="10" t="inlineStr">
        <is>
          <t>嵐山</t>
        </is>
      </c>
      <c r="H5196" s="10" t="inlineStr">
        <is>
          <t>着</t>
        </is>
      </c>
      <c r="J5196" s="10" t="inlineStr">
        <is>
          <t>営業</t>
        </is>
      </c>
      <c r="L5196" t="inlineStr">
        <is>
          <t>20:07:00</t>
        </is>
      </c>
      <c r="N5196" t="inlineStr">
        <is>
          <t>○</t>
        </is>
      </c>
      <c r="Q5196" t="inlineStr">
        <is>
          <t>1</t>
        </is>
      </c>
    </row>
    <row r="5197" ht="15" customHeight="1" s="37">
      <c r="A5197" t="n">
        <v>11</v>
      </c>
      <c r="B5197" s="10" t="inlineStr">
        <is>
          <t>平日</t>
        </is>
      </c>
      <c r="C5197" s="10" t="inlineStr">
        <is>
          <t>本線</t>
        </is>
      </c>
      <c r="D5197" s="10" t="inlineStr">
        <is>
          <t>上り</t>
        </is>
      </c>
      <c r="E5197" t="inlineStr">
        <is>
          <t>2004</t>
        </is>
      </c>
      <c r="F5197" t="inlineStr">
        <is>
          <t>0221</t>
        </is>
      </c>
      <c r="G5197" s="10" t="inlineStr">
        <is>
          <t>嵐山</t>
        </is>
      </c>
      <c r="H5197" s="10" t="inlineStr">
        <is>
          <t>発</t>
        </is>
      </c>
      <c r="J5197" s="10" t="inlineStr">
        <is>
          <t>営業</t>
        </is>
      </c>
      <c r="M5197" t="inlineStr">
        <is>
          <t>20:14:00</t>
        </is>
      </c>
      <c r="Q5197" t="inlineStr">
        <is>
          <t>1</t>
        </is>
      </c>
    </row>
    <row r="5198" ht="15" customHeight="1" s="37">
      <c r="A5198" t="n">
        <v>11</v>
      </c>
      <c r="B5198" s="10" t="inlineStr">
        <is>
          <t>平日</t>
        </is>
      </c>
      <c r="C5198" s="10" t="inlineStr">
        <is>
          <t>本線</t>
        </is>
      </c>
      <c r="D5198" s="10" t="inlineStr">
        <is>
          <t>上り</t>
        </is>
      </c>
      <c r="E5198" t="inlineStr">
        <is>
          <t>2004</t>
        </is>
      </c>
      <c r="F5198" t="inlineStr">
        <is>
          <t>0221</t>
        </is>
      </c>
      <c r="G5198" s="10" t="inlineStr">
        <is>
          <t>嵯峨</t>
        </is>
      </c>
      <c r="H5198" s="10" t="inlineStr">
        <is>
          <t>発</t>
        </is>
      </c>
      <c r="J5198" s="10" t="inlineStr">
        <is>
          <t>営業</t>
        </is>
      </c>
      <c r="L5198" t="inlineStr">
        <is>
          <t>20:14:55</t>
        </is>
      </c>
      <c r="M5198" t="inlineStr">
        <is>
          <t>20:15:10</t>
        </is>
      </c>
    </row>
    <row r="5199" ht="15" customHeight="1" s="37">
      <c r="A5199" t="n">
        <v>11</v>
      </c>
      <c r="B5199" s="10" t="inlineStr">
        <is>
          <t>平日</t>
        </is>
      </c>
      <c r="C5199" s="10" t="inlineStr">
        <is>
          <t>本線</t>
        </is>
      </c>
      <c r="D5199" s="10" t="inlineStr">
        <is>
          <t>上り</t>
        </is>
      </c>
      <c r="E5199" t="inlineStr">
        <is>
          <t>2004</t>
        </is>
      </c>
      <c r="F5199" t="inlineStr">
        <is>
          <t>0221</t>
        </is>
      </c>
      <c r="G5199" s="10" t="inlineStr">
        <is>
          <t>鹿王院</t>
        </is>
      </c>
      <c r="H5199" s="10" t="inlineStr">
        <is>
          <t>発</t>
        </is>
      </c>
      <c r="J5199" s="10" t="inlineStr">
        <is>
          <t>営業</t>
        </is>
      </c>
      <c r="L5199" t="inlineStr">
        <is>
          <t>20:16:15</t>
        </is>
      </c>
      <c r="M5199" t="inlineStr">
        <is>
          <t>20:16:30</t>
        </is>
      </c>
    </row>
    <row r="5200" ht="15" customHeight="1" s="37">
      <c r="A5200" t="n">
        <v>11</v>
      </c>
      <c r="B5200" s="10" t="inlineStr">
        <is>
          <t>平日</t>
        </is>
      </c>
      <c r="C5200" s="10" t="inlineStr">
        <is>
          <t>本線</t>
        </is>
      </c>
      <c r="D5200" s="10" t="inlineStr">
        <is>
          <t>上り</t>
        </is>
      </c>
      <c r="E5200" t="inlineStr">
        <is>
          <t>2004</t>
        </is>
      </c>
      <c r="F5200" t="inlineStr">
        <is>
          <t>0221</t>
        </is>
      </c>
      <c r="G5200" s="10" t="inlineStr">
        <is>
          <t>車折</t>
        </is>
      </c>
      <c r="H5200" s="10" t="inlineStr">
        <is>
          <t>発</t>
        </is>
      </c>
      <c r="J5200" s="10" t="inlineStr">
        <is>
          <t>営業</t>
        </is>
      </c>
      <c r="L5200" t="inlineStr">
        <is>
          <t>20:17:25</t>
        </is>
      </c>
      <c r="M5200" t="inlineStr">
        <is>
          <t>20:17:40</t>
        </is>
      </c>
    </row>
    <row r="5201" ht="15" customHeight="1" s="37">
      <c r="A5201" t="n">
        <v>11</v>
      </c>
      <c r="B5201" s="10" t="inlineStr">
        <is>
          <t>平日</t>
        </is>
      </c>
      <c r="C5201" s="10" t="inlineStr">
        <is>
          <t>本線</t>
        </is>
      </c>
      <c r="D5201" s="10" t="inlineStr">
        <is>
          <t>上り</t>
        </is>
      </c>
      <c r="E5201" t="inlineStr">
        <is>
          <t>2004</t>
        </is>
      </c>
      <c r="F5201" t="inlineStr">
        <is>
          <t>0221</t>
        </is>
      </c>
      <c r="G5201" s="10" t="inlineStr">
        <is>
          <t>有栖川</t>
        </is>
      </c>
      <c r="H5201" s="10" t="inlineStr">
        <is>
          <t>発</t>
        </is>
      </c>
      <c r="J5201" s="10" t="inlineStr">
        <is>
          <t>営業</t>
        </is>
      </c>
      <c r="L5201" t="inlineStr">
        <is>
          <t>20:19:05</t>
        </is>
      </c>
      <c r="M5201" t="inlineStr">
        <is>
          <t>20:19:20</t>
        </is>
      </c>
    </row>
    <row r="5202" ht="15" customHeight="1" s="37">
      <c r="A5202" t="n">
        <v>11</v>
      </c>
      <c r="B5202" s="10" t="inlineStr">
        <is>
          <t>平日</t>
        </is>
      </c>
      <c r="C5202" s="10" t="inlineStr">
        <is>
          <t>本線</t>
        </is>
      </c>
      <c r="D5202" s="10" t="inlineStr">
        <is>
          <t>上り</t>
        </is>
      </c>
      <c r="E5202" t="inlineStr">
        <is>
          <t>2004</t>
        </is>
      </c>
      <c r="F5202" t="inlineStr">
        <is>
          <t>0221</t>
        </is>
      </c>
      <c r="G5202" s="10" t="inlineStr">
        <is>
          <t>帷子ノ辻</t>
        </is>
      </c>
      <c r="H5202" s="10" t="inlineStr">
        <is>
          <t>発</t>
        </is>
      </c>
      <c r="J5202" s="10" t="inlineStr">
        <is>
          <t>営業</t>
        </is>
      </c>
      <c r="L5202" t="inlineStr">
        <is>
          <t>20:20:35</t>
        </is>
      </c>
      <c r="M5202" t="inlineStr">
        <is>
          <t>20:21:05</t>
        </is>
      </c>
    </row>
    <row r="5203" ht="15" customHeight="1" s="37">
      <c r="A5203" t="n">
        <v>11</v>
      </c>
      <c r="B5203" s="10" t="inlineStr">
        <is>
          <t>平日</t>
        </is>
      </c>
      <c r="C5203" s="10" t="inlineStr">
        <is>
          <t>本線</t>
        </is>
      </c>
      <c r="D5203" s="10" t="inlineStr">
        <is>
          <t>上り</t>
        </is>
      </c>
      <c r="E5203" t="inlineStr">
        <is>
          <t>2004</t>
        </is>
      </c>
      <c r="F5203" t="inlineStr">
        <is>
          <t>0221</t>
        </is>
      </c>
      <c r="G5203" s="10" t="inlineStr">
        <is>
          <t>太秦広隆寺</t>
        </is>
      </c>
      <c r="H5203" s="10" t="inlineStr">
        <is>
          <t>発</t>
        </is>
      </c>
      <c r="J5203" s="10" t="inlineStr">
        <is>
          <t>営業</t>
        </is>
      </c>
      <c r="L5203" t="inlineStr">
        <is>
          <t>20:23:15</t>
        </is>
      </c>
      <c r="M5203" t="inlineStr">
        <is>
          <t>20:23:35</t>
        </is>
      </c>
    </row>
    <row r="5204" ht="15" customHeight="1" s="37">
      <c r="A5204" t="n">
        <v>11</v>
      </c>
      <c r="B5204" s="10" t="inlineStr">
        <is>
          <t>平日</t>
        </is>
      </c>
      <c r="C5204" s="10" t="inlineStr">
        <is>
          <t>本線</t>
        </is>
      </c>
      <c r="D5204" s="10" t="inlineStr">
        <is>
          <t>上り</t>
        </is>
      </c>
      <c r="E5204" t="inlineStr">
        <is>
          <t>2004</t>
        </is>
      </c>
      <c r="F5204" t="inlineStr">
        <is>
          <t>0221</t>
        </is>
      </c>
      <c r="G5204" s="10" t="inlineStr">
        <is>
          <t>蚕ノ社</t>
        </is>
      </c>
      <c r="H5204" s="10" t="inlineStr">
        <is>
          <t>発</t>
        </is>
      </c>
      <c r="J5204" s="10" t="inlineStr">
        <is>
          <t>営業</t>
        </is>
      </c>
      <c r="L5204" t="inlineStr">
        <is>
          <t>20:24:50</t>
        </is>
      </c>
      <c r="M5204" t="inlineStr">
        <is>
          <t>20:25:10</t>
        </is>
      </c>
    </row>
    <row r="5205" ht="15" customHeight="1" s="37">
      <c r="A5205" t="n">
        <v>11</v>
      </c>
      <c r="B5205" s="10" t="inlineStr">
        <is>
          <t>平日</t>
        </is>
      </c>
      <c r="C5205" s="10" t="inlineStr">
        <is>
          <t>本線</t>
        </is>
      </c>
      <c r="D5205" s="10" t="inlineStr">
        <is>
          <t>上り</t>
        </is>
      </c>
      <c r="E5205" t="inlineStr">
        <is>
          <t>2004</t>
        </is>
      </c>
      <c r="F5205" t="inlineStr">
        <is>
          <t>0221</t>
        </is>
      </c>
      <c r="G5205" s="10" t="inlineStr">
        <is>
          <t>天神川</t>
        </is>
      </c>
      <c r="H5205" s="10" t="inlineStr">
        <is>
          <t>発</t>
        </is>
      </c>
      <c r="J5205" s="10" t="inlineStr">
        <is>
          <t>営業</t>
        </is>
      </c>
      <c r="L5205" t="inlineStr">
        <is>
          <t>20:25:55</t>
        </is>
      </c>
      <c r="M5205" t="inlineStr">
        <is>
          <t>20:26:20</t>
        </is>
      </c>
    </row>
    <row r="5206" ht="15" customHeight="1" s="37">
      <c r="A5206" t="n">
        <v>11</v>
      </c>
      <c r="B5206" s="10" t="inlineStr">
        <is>
          <t>平日</t>
        </is>
      </c>
      <c r="C5206" s="10" t="inlineStr">
        <is>
          <t>本線</t>
        </is>
      </c>
      <c r="D5206" s="10" t="inlineStr">
        <is>
          <t>上り</t>
        </is>
      </c>
      <c r="E5206" t="inlineStr">
        <is>
          <t>2004</t>
        </is>
      </c>
      <c r="F5206" t="inlineStr">
        <is>
          <t>0221</t>
        </is>
      </c>
      <c r="G5206" s="10" t="inlineStr">
        <is>
          <t>山ノ内</t>
        </is>
      </c>
      <c r="H5206" s="10" t="inlineStr">
        <is>
          <t>発</t>
        </is>
      </c>
      <c r="J5206" s="10" t="inlineStr">
        <is>
          <t>営業</t>
        </is>
      </c>
      <c r="L5206" t="inlineStr">
        <is>
          <t>20:28:10</t>
        </is>
      </c>
      <c r="M5206" t="inlineStr">
        <is>
          <t>20:28:35</t>
        </is>
      </c>
    </row>
    <row r="5207" ht="15" customHeight="1" s="37">
      <c r="A5207" t="n">
        <v>11</v>
      </c>
      <c r="B5207" s="10" t="inlineStr">
        <is>
          <t>平日</t>
        </is>
      </c>
      <c r="C5207" s="10" t="inlineStr">
        <is>
          <t>本線</t>
        </is>
      </c>
      <c r="D5207" s="10" t="inlineStr">
        <is>
          <t>上り</t>
        </is>
      </c>
      <c r="E5207" t="inlineStr">
        <is>
          <t>2004</t>
        </is>
      </c>
      <c r="F5207" t="inlineStr">
        <is>
          <t>0221</t>
        </is>
      </c>
      <c r="G5207" s="10" t="inlineStr">
        <is>
          <t>西大路三条</t>
        </is>
      </c>
      <c r="H5207" s="10" t="inlineStr">
        <is>
          <t>発</t>
        </is>
      </c>
      <c r="J5207" s="10" t="inlineStr">
        <is>
          <t>営業</t>
        </is>
      </c>
      <c r="L5207" t="inlineStr">
        <is>
          <t>20:30:25</t>
        </is>
      </c>
      <c r="M5207" t="inlineStr">
        <is>
          <t>20:30:40</t>
        </is>
      </c>
    </row>
    <row r="5208" ht="15" customHeight="1" s="37">
      <c r="A5208" t="n">
        <v>11</v>
      </c>
      <c r="B5208" s="10" t="inlineStr">
        <is>
          <t>平日</t>
        </is>
      </c>
      <c r="C5208" s="10" t="inlineStr">
        <is>
          <t>本線</t>
        </is>
      </c>
      <c r="D5208" s="10" t="inlineStr">
        <is>
          <t>上り</t>
        </is>
      </c>
      <c r="E5208" t="inlineStr">
        <is>
          <t>2004</t>
        </is>
      </c>
      <c r="F5208" t="inlineStr">
        <is>
          <t>0221</t>
        </is>
      </c>
      <c r="G5208" s="10" t="inlineStr">
        <is>
          <t>西院</t>
        </is>
      </c>
      <c r="H5208" s="10" t="inlineStr">
        <is>
          <t>発</t>
        </is>
      </c>
      <c r="J5208" s="10" t="inlineStr">
        <is>
          <t>営業</t>
        </is>
      </c>
      <c r="L5208" t="inlineStr">
        <is>
          <t>20:32:35</t>
        </is>
      </c>
      <c r="M5208" t="inlineStr">
        <is>
          <t>20:33:05</t>
        </is>
      </c>
    </row>
    <row r="5209" ht="15" customHeight="1" s="37">
      <c r="A5209" t="n">
        <v>11</v>
      </c>
      <c r="B5209" s="10" t="inlineStr">
        <is>
          <t>平日</t>
        </is>
      </c>
      <c r="C5209" s="10" t="inlineStr">
        <is>
          <t>本線</t>
        </is>
      </c>
      <c r="D5209" s="10" t="inlineStr">
        <is>
          <t>上り</t>
        </is>
      </c>
      <c r="E5209" t="inlineStr">
        <is>
          <t>2004</t>
        </is>
      </c>
      <c r="F5209" t="inlineStr">
        <is>
          <t>0221</t>
        </is>
      </c>
      <c r="G5209" s="10" t="inlineStr">
        <is>
          <t>四条大宮</t>
        </is>
      </c>
      <c r="H5209" s="10" t="inlineStr">
        <is>
          <t>着</t>
        </is>
      </c>
      <c r="J5209" s="10" t="inlineStr">
        <is>
          <t>営業</t>
        </is>
      </c>
      <c r="L5209" t="inlineStr">
        <is>
          <t>20:36:00</t>
        </is>
      </c>
      <c r="N5209" t="inlineStr">
        <is>
          <t>○</t>
        </is>
      </c>
      <c r="Q5209" t="inlineStr">
        <is>
          <t>1</t>
        </is>
      </c>
    </row>
    <row r="5210" ht="15" customHeight="1" s="37">
      <c r="A5210" t="n">
        <v>11</v>
      </c>
      <c r="B5210" s="10" t="inlineStr">
        <is>
          <t>平日</t>
        </is>
      </c>
      <c r="C5210" s="10" t="inlineStr">
        <is>
          <t>本線</t>
        </is>
      </c>
      <c r="D5210" s="10" t="inlineStr">
        <is>
          <t>下り</t>
        </is>
      </c>
      <c r="E5210" t="inlineStr">
        <is>
          <t>2011</t>
        </is>
      </c>
      <c r="F5210" t="inlineStr">
        <is>
          <t>0122</t>
        </is>
      </c>
      <c r="G5210" s="10" t="inlineStr">
        <is>
          <t>四条大宮</t>
        </is>
      </c>
      <c r="H5210" s="10" t="inlineStr">
        <is>
          <t>発</t>
        </is>
      </c>
      <c r="J5210" s="10" t="inlineStr">
        <is>
          <t>営業</t>
        </is>
      </c>
      <c r="M5210" t="inlineStr">
        <is>
          <t>20:53:00</t>
        </is>
      </c>
      <c r="Q5210" t="inlineStr">
        <is>
          <t>1</t>
        </is>
      </c>
    </row>
    <row r="5211" ht="15" customHeight="1" s="37">
      <c r="A5211" t="n">
        <v>11</v>
      </c>
      <c r="B5211" s="10" t="inlineStr">
        <is>
          <t>平日</t>
        </is>
      </c>
      <c r="C5211" s="10" t="inlineStr">
        <is>
          <t>本線</t>
        </is>
      </c>
      <c r="D5211" s="10" t="inlineStr">
        <is>
          <t>下り</t>
        </is>
      </c>
      <c r="E5211" t="inlineStr">
        <is>
          <t>2011</t>
        </is>
      </c>
      <c r="F5211" t="inlineStr">
        <is>
          <t>0122</t>
        </is>
      </c>
      <c r="G5211" s="10" t="inlineStr">
        <is>
          <t>西院</t>
        </is>
      </c>
      <c r="H5211" s="10" t="inlineStr">
        <is>
          <t>発</t>
        </is>
      </c>
      <c r="J5211" s="10" t="inlineStr">
        <is>
          <t>営業</t>
        </is>
      </c>
      <c r="L5211" t="inlineStr">
        <is>
          <t>20:55:50</t>
        </is>
      </c>
      <c r="M5211" t="inlineStr">
        <is>
          <t>20:56:20</t>
        </is>
      </c>
    </row>
    <row r="5212" ht="15" customHeight="1" s="37">
      <c r="A5212" t="n">
        <v>11</v>
      </c>
      <c r="B5212" s="10" t="inlineStr">
        <is>
          <t>平日</t>
        </is>
      </c>
      <c r="C5212" s="10" t="inlineStr">
        <is>
          <t>本線</t>
        </is>
      </c>
      <c r="D5212" s="10" t="inlineStr">
        <is>
          <t>下り</t>
        </is>
      </c>
      <c r="E5212" t="inlineStr">
        <is>
          <t>2011</t>
        </is>
      </c>
      <c r="F5212" t="inlineStr">
        <is>
          <t>0122</t>
        </is>
      </c>
      <c r="G5212" s="10" t="inlineStr">
        <is>
          <t>西大路三条</t>
        </is>
      </c>
      <c r="H5212" s="10" t="inlineStr">
        <is>
          <t>発</t>
        </is>
      </c>
      <c r="J5212" s="10" t="inlineStr">
        <is>
          <t>営業</t>
        </is>
      </c>
      <c r="L5212" t="inlineStr">
        <is>
          <t>20:58:10</t>
        </is>
      </c>
      <c r="M5212" t="inlineStr">
        <is>
          <t>20:58:30</t>
        </is>
      </c>
    </row>
    <row r="5213" ht="15" customHeight="1" s="37">
      <c r="A5213" t="n">
        <v>11</v>
      </c>
      <c r="B5213" s="10" t="inlineStr">
        <is>
          <t>平日</t>
        </is>
      </c>
      <c r="C5213" s="10" t="inlineStr">
        <is>
          <t>本線</t>
        </is>
      </c>
      <c r="D5213" s="10" t="inlineStr">
        <is>
          <t>下り</t>
        </is>
      </c>
      <c r="E5213" t="inlineStr">
        <is>
          <t>2011</t>
        </is>
      </c>
      <c r="F5213" t="inlineStr">
        <is>
          <t>0122</t>
        </is>
      </c>
      <c r="G5213" s="10" t="inlineStr">
        <is>
          <t>山ノ内</t>
        </is>
      </c>
      <c r="H5213" s="10" t="inlineStr">
        <is>
          <t>発</t>
        </is>
      </c>
      <c r="J5213" s="10" t="inlineStr">
        <is>
          <t>営業</t>
        </is>
      </c>
      <c r="L5213" t="inlineStr">
        <is>
          <t>21:00:25</t>
        </is>
      </c>
      <c r="M5213" t="inlineStr">
        <is>
          <t>21:00:50</t>
        </is>
      </c>
    </row>
    <row r="5214" ht="15" customHeight="1" s="37">
      <c r="A5214" t="n">
        <v>11</v>
      </c>
      <c r="B5214" s="10" t="inlineStr">
        <is>
          <t>平日</t>
        </is>
      </c>
      <c r="C5214" s="10" t="inlineStr">
        <is>
          <t>本線</t>
        </is>
      </c>
      <c r="D5214" s="10" t="inlineStr">
        <is>
          <t>下り</t>
        </is>
      </c>
      <c r="E5214" t="inlineStr">
        <is>
          <t>2011</t>
        </is>
      </c>
      <c r="F5214" t="inlineStr">
        <is>
          <t>0122</t>
        </is>
      </c>
      <c r="G5214" s="10" t="inlineStr">
        <is>
          <t>天神川</t>
        </is>
      </c>
      <c r="H5214" s="10" t="inlineStr">
        <is>
          <t>発</t>
        </is>
      </c>
      <c r="J5214" s="10" t="inlineStr">
        <is>
          <t>営業</t>
        </is>
      </c>
      <c r="L5214" t="inlineStr">
        <is>
          <t>21:02:50</t>
        </is>
      </c>
      <c r="M5214" t="inlineStr">
        <is>
          <t>21:03:30</t>
        </is>
      </c>
    </row>
    <row r="5215" ht="15" customHeight="1" s="37">
      <c r="A5215" t="n">
        <v>11</v>
      </c>
      <c r="B5215" s="10" t="inlineStr">
        <is>
          <t>平日</t>
        </is>
      </c>
      <c r="C5215" s="10" t="inlineStr">
        <is>
          <t>本線</t>
        </is>
      </c>
      <c r="D5215" s="10" t="inlineStr">
        <is>
          <t>下り</t>
        </is>
      </c>
      <c r="E5215" t="inlineStr">
        <is>
          <t>2011</t>
        </is>
      </c>
      <c r="F5215" t="inlineStr">
        <is>
          <t>0122</t>
        </is>
      </c>
      <c r="G5215" s="10" t="inlineStr">
        <is>
          <t>蚕ノ社</t>
        </is>
      </c>
      <c r="H5215" s="10" t="inlineStr">
        <is>
          <t>発</t>
        </is>
      </c>
      <c r="J5215" s="10" t="inlineStr">
        <is>
          <t>営業</t>
        </is>
      </c>
      <c r="L5215" t="inlineStr">
        <is>
          <t>21:04:20</t>
        </is>
      </c>
      <c r="M5215" t="inlineStr">
        <is>
          <t>21:04:40</t>
        </is>
      </c>
    </row>
    <row r="5216" ht="15" customHeight="1" s="37">
      <c r="A5216" t="n">
        <v>11</v>
      </c>
      <c r="B5216" s="10" t="inlineStr">
        <is>
          <t>平日</t>
        </is>
      </c>
      <c r="C5216" s="10" t="inlineStr">
        <is>
          <t>本線</t>
        </is>
      </c>
      <c r="D5216" s="10" t="inlineStr">
        <is>
          <t>下り</t>
        </is>
      </c>
      <c r="E5216" t="inlineStr">
        <is>
          <t>2011</t>
        </is>
      </c>
      <c r="F5216" t="inlineStr">
        <is>
          <t>0122</t>
        </is>
      </c>
      <c r="G5216" s="10" t="inlineStr">
        <is>
          <t>太秦広隆寺</t>
        </is>
      </c>
      <c r="H5216" s="10" t="inlineStr">
        <is>
          <t>発</t>
        </is>
      </c>
      <c r="J5216" s="10" t="inlineStr">
        <is>
          <t>営業</t>
        </is>
      </c>
      <c r="L5216" t="inlineStr">
        <is>
          <t>21:06:00</t>
        </is>
      </c>
      <c r="M5216" t="inlineStr">
        <is>
          <t>21:06:20</t>
        </is>
      </c>
    </row>
    <row r="5217" ht="15" customHeight="1" s="37">
      <c r="A5217" t="n">
        <v>11</v>
      </c>
      <c r="B5217" s="10" t="inlineStr">
        <is>
          <t>平日</t>
        </is>
      </c>
      <c r="C5217" s="10" t="inlineStr">
        <is>
          <t>本線</t>
        </is>
      </c>
      <c r="D5217" s="10" t="inlineStr">
        <is>
          <t>下り</t>
        </is>
      </c>
      <c r="E5217" t="inlineStr">
        <is>
          <t>2011</t>
        </is>
      </c>
      <c r="F5217" t="inlineStr">
        <is>
          <t>0122</t>
        </is>
      </c>
      <c r="G5217" s="10" t="inlineStr">
        <is>
          <t>帷子ノ辻</t>
        </is>
      </c>
      <c r="H5217" s="10" t="inlineStr">
        <is>
          <t>発</t>
        </is>
      </c>
      <c r="J5217" s="10" t="inlineStr">
        <is>
          <t>営業</t>
        </is>
      </c>
      <c r="L5217" t="inlineStr">
        <is>
          <t>21:08:20</t>
        </is>
      </c>
      <c r="M5217" t="inlineStr">
        <is>
          <t>21:09:40</t>
        </is>
      </c>
    </row>
    <row r="5218" ht="15" customHeight="1" s="37">
      <c r="A5218" t="n">
        <v>11</v>
      </c>
      <c r="B5218" s="10" t="inlineStr">
        <is>
          <t>平日</t>
        </is>
      </c>
      <c r="C5218" s="10" t="inlineStr">
        <is>
          <t>本線</t>
        </is>
      </c>
      <c r="D5218" s="10" t="inlineStr">
        <is>
          <t>下り</t>
        </is>
      </c>
      <c r="E5218" t="inlineStr">
        <is>
          <t>2011</t>
        </is>
      </c>
      <c r="F5218" t="inlineStr">
        <is>
          <t>0122</t>
        </is>
      </c>
      <c r="G5218" s="10" t="inlineStr">
        <is>
          <t>有栖川</t>
        </is>
      </c>
      <c r="H5218" s="10" t="inlineStr">
        <is>
          <t>発</t>
        </is>
      </c>
      <c r="J5218" s="10" t="inlineStr">
        <is>
          <t>営業</t>
        </is>
      </c>
      <c r="L5218" t="inlineStr">
        <is>
          <t>21:10:50</t>
        </is>
      </c>
      <c r="M5218" t="inlineStr">
        <is>
          <t>21:11:15</t>
        </is>
      </c>
    </row>
    <row r="5219" ht="15" customHeight="1" s="37">
      <c r="A5219" t="n">
        <v>11</v>
      </c>
      <c r="B5219" s="10" t="inlineStr">
        <is>
          <t>平日</t>
        </is>
      </c>
      <c r="C5219" s="10" t="inlineStr">
        <is>
          <t>本線</t>
        </is>
      </c>
      <c r="D5219" s="10" t="inlineStr">
        <is>
          <t>下り</t>
        </is>
      </c>
      <c r="E5219" t="inlineStr">
        <is>
          <t>2011</t>
        </is>
      </c>
      <c r="F5219" t="inlineStr">
        <is>
          <t>0122</t>
        </is>
      </c>
      <c r="G5219" s="10" t="inlineStr">
        <is>
          <t>車折</t>
        </is>
      </c>
      <c r="H5219" s="10" t="inlineStr">
        <is>
          <t>発</t>
        </is>
      </c>
      <c r="J5219" s="10" t="inlineStr">
        <is>
          <t>営業</t>
        </is>
      </c>
      <c r="L5219" t="inlineStr">
        <is>
          <t>21:12:40</t>
        </is>
      </c>
      <c r="M5219" t="inlineStr">
        <is>
          <t>21:13:05</t>
        </is>
      </c>
    </row>
    <row r="5220" ht="15" customHeight="1" s="37">
      <c r="A5220" t="n">
        <v>11</v>
      </c>
      <c r="B5220" s="10" t="inlineStr">
        <is>
          <t>平日</t>
        </is>
      </c>
      <c r="C5220" s="10" t="inlineStr">
        <is>
          <t>本線</t>
        </is>
      </c>
      <c r="D5220" s="10" t="inlineStr">
        <is>
          <t>下り</t>
        </is>
      </c>
      <c r="E5220" t="inlineStr">
        <is>
          <t>2011</t>
        </is>
      </c>
      <c r="F5220" t="inlineStr">
        <is>
          <t>0122</t>
        </is>
      </c>
      <c r="G5220" s="10" t="inlineStr">
        <is>
          <t>鹿王院</t>
        </is>
      </c>
      <c r="H5220" s="10" t="inlineStr">
        <is>
          <t>発</t>
        </is>
      </c>
      <c r="J5220" s="10" t="inlineStr">
        <is>
          <t>営業</t>
        </is>
      </c>
      <c r="L5220" t="inlineStr">
        <is>
          <t>21:14:00</t>
        </is>
      </c>
      <c r="M5220" t="inlineStr">
        <is>
          <t>21:14:25</t>
        </is>
      </c>
    </row>
    <row r="5221" ht="15" customHeight="1" s="37">
      <c r="A5221" t="n">
        <v>11</v>
      </c>
      <c r="B5221" s="10" t="inlineStr">
        <is>
          <t>平日</t>
        </is>
      </c>
      <c r="C5221" s="10" t="inlineStr">
        <is>
          <t>本線</t>
        </is>
      </c>
      <c r="D5221" s="10" t="inlineStr">
        <is>
          <t>下り</t>
        </is>
      </c>
      <c r="E5221" t="inlineStr">
        <is>
          <t>2011</t>
        </is>
      </c>
      <c r="F5221" t="inlineStr">
        <is>
          <t>0122</t>
        </is>
      </c>
      <c r="G5221" s="10" t="inlineStr">
        <is>
          <t>嵯峨</t>
        </is>
      </c>
      <c r="H5221" s="10" t="inlineStr">
        <is>
          <t>発</t>
        </is>
      </c>
      <c r="J5221" s="10" t="inlineStr">
        <is>
          <t>営業</t>
        </is>
      </c>
      <c r="L5221" t="inlineStr">
        <is>
          <t>21:15:30</t>
        </is>
      </c>
      <c r="M5221" t="inlineStr">
        <is>
          <t>21:15:55</t>
        </is>
      </c>
    </row>
    <row r="5222" ht="15" customHeight="1" s="37">
      <c r="A5222" t="n">
        <v>11</v>
      </c>
      <c r="B5222" s="10" t="inlineStr">
        <is>
          <t>平日</t>
        </is>
      </c>
      <c r="C5222" s="10" t="inlineStr">
        <is>
          <t>本線</t>
        </is>
      </c>
      <c r="D5222" s="10" t="inlineStr">
        <is>
          <t>下り</t>
        </is>
      </c>
      <c r="E5222" t="inlineStr">
        <is>
          <t>2011</t>
        </is>
      </c>
      <c r="F5222" t="inlineStr">
        <is>
          <t>0122</t>
        </is>
      </c>
      <c r="G5222" s="10" t="inlineStr">
        <is>
          <t>嵐山</t>
        </is>
      </c>
      <c r="H5222" s="10" t="inlineStr">
        <is>
          <t>着</t>
        </is>
      </c>
      <c r="J5222" s="10" t="inlineStr">
        <is>
          <t>営業</t>
        </is>
      </c>
      <c r="L5222" t="inlineStr">
        <is>
          <t>21:17:00</t>
        </is>
      </c>
      <c r="N5222" t="inlineStr">
        <is>
          <t>○</t>
        </is>
      </c>
      <c r="Q5222" t="inlineStr">
        <is>
          <t>1</t>
        </is>
      </c>
    </row>
    <row r="5223" ht="15" customHeight="1" s="37">
      <c r="A5223" t="n">
        <v>11</v>
      </c>
      <c r="B5223" s="10" t="inlineStr">
        <is>
          <t>平日</t>
        </is>
      </c>
      <c r="C5223" s="10" t="inlineStr">
        <is>
          <t>本線</t>
        </is>
      </c>
      <c r="D5223" s="10" t="inlineStr">
        <is>
          <t>上り</t>
        </is>
      </c>
      <c r="E5223" t="inlineStr">
        <is>
          <t>2106</t>
        </is>
      </c>
      <c r="F5223" t="inlineStr">
        <is>
          <t>0221</t>
        </is>
      </c>
      <c r="G5223" s="10" t="inlineStr">
        <is>
          <t>嵐山</t>
        </is>
      </c>
      <c r="H5223" s="10" t="inlineStr">
        <is>
          <t>発</t>
        </is>
      </c>
      <c r="J5223" s="10" t="inlineStr">
        <is>
          <t>営業</t>
        </is>
      </c>
      <c r="M5223" t="inlineStr">
        <is>
          <t>21:24:00</t>
        </is>
      </c>
      <c r="Q5223" t="inlineStr">
        <is>
          <t>1</t>
        </is>
      </c>
    </row>
    <row r="5224" ht="15" customHeight="1" s="37">
      <c r="A5224" t="n">
        <v>11</v>
      </c>
      <c r="B5224" s="10" t="inlineStr">
        <is>
          <t>平日</t>
        </is>
      </c>
      <c r="C5224" s="10" t="inlineStr">
        <is>
          <t>本線</t>
        </is>
      </c>
      <c r="D5224" s="10" t="inlineStr">
        <is>
          <t>上り</t>
        </is>
      </c>
      <c r="E5224" t="inlineStr">
        <is>
          <t>2106</t>
        </is>
      </c>
      <c r="F5224" t="inlineStr">
        <is>
          <t>0221</t>
        </is>
      </c>
      <c r="G5224" s="10" t="inlineStr">
        <is>
          <t>嵯峨</t>
        </is>
      </c>
      <c r="H5224" s="10" t="inlineStr">
        <is>
          <t>発</t>
        </is>
      </c>
      <c r="J5224" s="10" t="inlineStr">
        <is>
          <t>営業</t>
        </is>
      </c>
      <c r="L5224" t="inlineStr">
        <is>
          <t>21:24:55</t>
        </is>
      </c>
      <c r="M5224" t="inlineStr">
        <is>
          <t>21:25:10</t>
        </is>
      </c>
    </row>
    <row r="5225" ht="15" customHeight="1" s="37">
      <c r="A5225" t="n">
        <v>11</v>
      </c>
      <c r="B5225" s="10" t="inlineStr">
        <is>
          <t>平日</t>
        </is>
      </c>
      <c r="C5225" s="10" t="inlineStr">
        <is>
          <t>本線</t>
        </is>
      </c>
      <c r="D5225" s="10" t="inlineStr">
        <is>
          <t>上り</t>
        </is>
      </c>
      <c r="E5225" t="inlineStr">
        <is>
          <t>2106</t>
        </is>
      </c>
      <c r="F5225" t="inlineStr">
        <is>
          <t>0221</t>
        </is>
      </c>
      <c r="G5225" s="10" t="inlineStr">
        <is>
          <t>鹿王院</t>
        </is>
      </c>
      <c r="H5225" s="10" t="inlineStr">
        <is>
          <t>発</t>
        </is>
      </c>
      <c r="J5225" s="10" t="inlineStr">
        <is>
          <t>営業</t>
        </is>
      </c>
      <c r="L5225" t="inlineStr">
        <is>
          <t>21:26:15</t>
        </is>
      </c>
      <c r="M5225" t="inlineStr">
        <is>
          <t>21:26:30</t>
        </is>
      </c>
    </row>
    <row r="5226" ht="15" customHeight="1" s="37">
      <c r="A5226" t="n">
        <v>11</v>
      </c>
      <c r="B5226" s="10" t="inlineStr">
        <is>
          <t>平日</t>
        </is>
      </c>
      <c r="C5226" s="10" t="inlineStr">
        <is>
          <t>本線</t>
        </is>
      </c>
      <c r="D5226" s="10" t="inlineStr">
        <is>
          <t>上り</t>
        </is>
      </c>
      <c r="E5226" t="inlineStr">
        <is>
          <t>2106</t>
        </is>
      </c>
      <c r="F5226" t="inlineStr">
        <is>
          <t>0221</t>
        </is>
      </c>
      <c r="G5226" s="10" t="inlineStr">
        <is>
          <t>車折</t>
        </is>
      </c>
      <c r="H5226" s="10" t="inlineStr">
        <is>
          <t>発</t>
        </is>
      </c>
      <c r="J5226" s="10" t="inlineStr">
        <is>
          <t>営業</t>
        </is>
      </c>
      <c r="L5226" t="inlineStr">
        <is>
          <t>21:27:25</t>
        </is>
      </c>
      <c r="M5226" t="inlineStr">
        <is>
          <t>21:27:40</t>
        </is>
      </c>
    </row>
    <row r="5227" ht="15" customHeight="1" s="37">
      <c r="A5227" t="n">
        <v>11</v>
      </c>
      <c r="B5227" s="10" t="inlineStr">
        <is>
          <t>平日</t>
        </is>
      </c>
      <c r="C5227" s="10" t="inlineStr">
        <is>
          <t>本線</t>
        </is>
      </c>
      <c r="D5227" s="10" t="inlineStr">
        <is>
          <t>上り</t>
        </is>
      </c>
      <c r="E5227" t="inlineStr">
        <is>
          <t>2106</t>
        </is>
      </c>
      <c r="F5227" t="inlineStr">
        <is>
          <t>0221</t>
        </is>
      </c>
      <c r="G5227" s="10" t="inlineStr">
        <is>
          <t>有栖川</t>
        </is>
      </c>
      <c r="H5227" s="10" t="inlineStr">
        <is>
          <t>発</t>
        </is>
      </c>
      <c r="J5227" s="10" t="inlineStr">
        <is>
          <t>営業</t>
        </is>
      </c>
      <c r="L5227" t="inlineStr">
        <is>
          <t>21:29:05</t>
        </is>
      </c>
      <c r="M5227" t="inlineStr">
        <is>
          <t>21:29:20</t>
        </is>
      </c>
    </row>
    <row r="5228" ht="15" customHeight="1" s="37">
      <c r="A5228" t="n">
        <v>11</v>
      </c>
      <c r="B5228" s="10" t="inlineStr">
        <is>
          <t>平日</t>
        </is>
      </c>
      <c r="C5228" s="10" t="inlineStr">
        <is>
          <t>本線</t>
        </is>
      </c>
      <c r="D5228" s="10" t="inlineStr">
        <is>
          <t>上り</t>
        </is>
      </c>
      <c r="E5228" t="inlineStr">
        <is>
          <t>2106</t>
        </is>
      </c>
      <c r="F5228" t="inlineStr">
        <is>
          <t>0221</t>
        </is>
      </c>
      <c r="G5228" s="10" t="inlineStr">
        <is>
          <t>帷子ノ辻</t>
        </is>
      </c>
      <c r="H5228" s="10" t="inlineStr">
        <is>
          <t>発</t>
        </is>
      </c>
      <c r="J5228" s="10" t="inlineStr">
        <is>
          <t>営業</t>
        </is>
      </c>
      <c r="L5228" t="inlineStr">
        <is>
          <t>21:30:35</t>
        </is>
      </c>
      <c r="M5228" t="inlineStr">
        <is>
          <t>21:31:05</t>
        </is>
      </c>
    </row>
    <row r="5229" ht="15" customHeight="1" s="37">
      <c r="A5229" t="n">
        <v>11</v>
      </c>
      <c r="B5229" s="10" t="inlineStr">
        <is>
          <t>平日</t>
        </is>
      </c>
      <c r="C5229" s="10" t="inlineStr">
        <is>
          <t>本線</t>
        </is>
      </c>
      <c r="D5229" s="10" t="inlineStr">
        <is>
          <t>上り</t>
        </is>
      </c>
      <c r="E5229" t="inlineStr">
        <is>
          <t>2106</t>
        </is>
      </c>
      <c r="F5229" t="inlineStr">
        <is>
          <t>0221</t>
        </is>
      </c>
      <c r="G5229" s="10" t="inlineStr">
        <is>
          <t>太秦広隆寺</t>
        </is>
      </c>
      <c r="H5229" s="10" t="inlineStr">
        <is>
          <t>発</t>
        </is>
      </c>
      <c r="J5229" s="10" t="inlineStr">
        <is>
          <t>営業</t>
        </is>
      </c>
      <c r="L5229" t="inlineStr">
        <is>
          <t>21:33:15</t>
        </is>
      </c>
      <c r="M5229" t="inlineStr">
        <is>
          <t>21:33:35</t>
        </is>
      </c>
    </row>
    <row r="5230" ht="15" customHeight="1" s="37">
      <c r="A5230" t="n">
        <v>11</v>
      </c>
      <c r="B5230" s="10" t="inlineStr">
        <is>
          <t>平日</t>
        </is>
      </c>
      <c r="C5230" s="10" t="inlineStr">
        <is>
          <t>本線</t>
        </is>
      </c>
      <c r="D5230" s="10" t="inlineStr">
        <is>
          <t>上り</t>
        </is>
      </c>
      <c r="E5230" t="inlineStr">
        <is>
          <t>2106</t>
        </is>
      </c>
      <c r="F5230" t="inlineStr">
        <is>
          <t>0221</t>
        </is>
      </c>
      <c r="G5230" s="10" t="inlineStr">
        <is>
          <t>蚕ノ社</t>
        </is>
      </c>
      <c r="H5230" s="10" t="inlineStr">
        <is>
          <t>発</t>
        </is>
      </c>
      <c r="J5230" s="10" t="inlineStr">
        <is>
          <t>営業</t>
        </is>
      </c>
      <c r="L5230" t="inlineStr">
        <is>
          <t>21:34:50</t>
        </is>
      </c>
      <c r="M5230" t="inlineStr">
        <is>
          <t>21:35:10</t>
        </is>
      </c>
    </row>
    <row r="5231" ht="15" customHeight="1" s="37">
      <c r="A5231" t="n">
        <v>11</v>
      </c>
      <c r="B5231" s="10" t="inlineStr">
        <is>
          <t>平日</t>
        </is>
      </c>
      <c r="C5231" s="10" t="inlineStr">
        <is>
          <t>本線</t>
        </is>
      </c>
      <c r="D5231" s="10" t="inlineStr">
        <is>
          <t>上り</t>
        </is>
      </c>
      <c r="E5231" t="inlineStr">
        <is>
          <t>2106</t>
        </is>
      </c>
      <c r="F5231" t="inlineStr">
        <is>
          <t>0221</t>
        </is>
      </c>
      <c r="G5231" s="10" t="inlineStr">
        <is>
          <t>天神川</t>
        </is>
      </c>
      <c r="H5231" s="10" t="inlineStr">
        <is>
          <t>発</t>
        </is>
      </c>
      <c r="J5231" s="10" t="inlineStr">
        <is>
          <t>営業</t>
        </is>
      </c>
      <c r="L5231" t="inlineStr">
        <is>
          <t>21:35:55</t>
        </is>
      </c>
      <c r="M5231" t="inlineStr">
        <is>
          <t>21:36:20</t>
        </is>
      </c>
    </row>
    <row r="5232" ht="15" customHeight="1" s="37">
      <c r="A5232" t="n">
        <v>11</v>
      </c>
      <c r="B5232" s="10" t="inlineStr">
        <is>
          <t>平日</t>
        </is>
      </c>
      <c r="C5232" s="10" t="inlineStr">
        <is>
          <t>本線</t>
        </is>
      </c>
      <c r="D5232" s="10" t="inlineStr">
        <is>
          <t>上り</t>
        </is>
      </c>
      <c r="E5232" t="inlineStr">
        <is>
          <t>2106</t>
        </is>
      </c>
      <c r="F5232" t="inlineStr">
        <is>
          <t>0221</t>
        </is>
      </c>
      <c r="G5232" s="10" t="inlineStr">
        <is>
          <t>山ノ内</t>
        </is>
      </c>
      <c r="H5232" s="10" t="inlineStr">
        <is>
          <t>発</t>
        </is>
      </c>
      <c r="J5232" s="10" t="inlineStr">
        <is>
          <t>営業</t>
        </is>
      </c>
      <c r="L5232" t="inlineStr">
        <is>
          <t>21:38:10</t>
        </is>
      </c>
      <c r="M5232" t="inlineStr">
        <is>
          <t>21:38:35</t>
        </is>
      </c>
    </row>
    <row r="5233" ht="15" customHeight="1" s="37">
      <c r="A5233" t="n">
        <v>11</v>
      </c>
      <c r="B5233" s="10" t="inlineStr">
        <is>
          <t>平日</t>
        </is>
      </c>
      <c r="C5233" s="10" t="inlineStr">
        <is>
          <t>本線</t>
        </is>
      </c>
      <c r="D5233" s="10" t="inlineStr">
        <is>
          <t>上り</t>
        </is>
      </c>
      <c r="E5233" t="inlineStr">
        <is>
          <t>2106</t>
        </is>
      </c>
      <c r="F5233" t="inlineStr">
        <is>
          <t>0221</t>
        </is>
      </c>
      <c r="G5233" s="10" t="inlineStr">
        <is>
          <t>西大路三条</t>
        </is>
      </c>
      <c r="H5233" s="10" t="inlineStr">
        <is>
          <t>発</t>
        </is>
      </c>
      <c r="J5233" s="10" t="inlineStr">
        <is>
          <t>営業</t>
        </is>
      </c>
      <c r="L5233" t="inlineStr">
        <is>
          <t>21:40:25</t>
        </is>
      </c>
      <c r="M5233" t="inlineStr">
        <is>
          <t>21:40:40</t>
        </is>
      </c>
    </row>
    <row r="5234" ht="15" customHeight="1" s="37">
      <c r="A5234" t="n">
        <v>11</v>
      </c>
      <c r="B5234" s="10" t="inlineStr">
        <is>
          <t>平日</t>
        </is>
      </c>
      <c r="C5234" s="10" t="inlineStr">
        <is>
          <t>本線</t>
        </is>
      </c>
      <c r="D5234" s="10" t="inlineStr">
        <is>
          <t>上り</t>
        </is>
      </c>
      <c r="E5234" t="inlineStr">
        <is>
          <t>2106</t>
        </is>
      </c>
      <c r="F5234" t="inlineStr">
        <is>
          <t>0221</t>
        </is>
      </c>
      <c r="G5234" s="10" t="inlineStr">
        <is>
          <t>西院</t>
        </is>
      </c>
      <c r="H5234" s="10" t="inlineStr">
        <is>
          <t>発</t>
        </is>
      </c>
      <c r="J5234" s="10" t="inlineStr">
        <is>
          <t>営業</t>
        </is>
      </c>
      <c r="L5234" t="inlineStr">
        <is>
          <t>21:42:35</t>
        </is>
      </c>
      <c r="M5234" t="inlineStr">
        <is>
          <t>21:43:05</t>
        </is>
      </c>
    </row>
    <row r="5235" ht="15" customHeight="1" s="37">
      <c r="A5235" t="n">
        <v>11</v>
      </c>
      <c r="B5235" s="10" t="inlineStr">
        <is>
          <t>平日</t>
        </is>
      </c>
      <c r="C5235" s="10" t="inlineStr">
        <is>
          <t>本線</t>
        </is>
      </c>
      <c r="D5235" s="10" t="inlineStr">
        <is>
          <t>上り</t>
        </is>
      </c>
      <c r="E5235" t="inlineStr">
        <is>
          <t>2106</t>
        </is>
      </c>
      <c r="F5235" t="inlineStr">
        <is>
          <t>0221</t>
        </is>
      </c>
      <c r="G5235" s="10" t="inlineStr">
        <is>
          <t>四条大宮</t>
        </is>
      </c>
      <c r="H5235" s="10" t="inlineStr">
        <is>
          <t>着</t>
        </is>
      </c>
      <c r="J5235" s="10" t="inlineStr">
        <is>
          <t>営業</t>
        </is>
      </c>
      <c r="L5235" t="inlineStr">
        <is>
          <t>21:46:00</t>
        </is>
      </c>
      <c r="N5235" t="inlineStr">
        <is>
          <t>○</t>
        </is>
      </c>
      <c r="Q5235" t="inlineStr">
        <is>
          <t>1</t>
        </is>
      </c>
    </row>
    <row r="5236" ht="15" customHeight="1" s="37">
      <c r="A5236" t="n">
        <v>11</v>
      </c>
      <c r="B5236" s="10" t="inlineStr">
        <is>
          <t>平日</t>
        </is>
      </c>
      <c r="C5236" s="10" t="inlineStr">
        <is>
          <t>本線</t>
        </is>
      </c>
      <c r="D5236" s="10" t="inlineStr">
        <is>
          <t>下り</t>
        </is>
      </c>
      <c r="E5236" t="inlineStr">
        <is>
          <t>2109</t>
        </is>
      </c>
      <c r="F5236" t="inlineStr">
        <is>
          <t>0122</t>
        </is>
      </c>
      <c r="G5236" s="10" t="inlineStr">
        <is>
          <t>四条大宮</t>
        </is>
      </c>
      <c r="H5236" s="10" t="inlineStr">
        <is>
          <t>発</t>
        </is>
      </c>
      <c r="J5236" s="10" t="inlineStr">
        <is>
          <t>営業</t>
        </is>
      </c>
      <c r="M5236" t="inlineStr">
        <is>
          <t>21:51:00</t>
        </is>
      </c>
      <c r="Q5236" t="inlineStr">
        <is>
          <t>1</t>
        </is>
      </c>
    </row>
    <row r="5237" ht="15" customHeight="1" s="37">
      <c r="A5237" t="n">
        <v>11</v>
      </c>
      <c r="B5237" s="10" t="inlineStr">
        <is>
          <t>平日</t>
        </is>
      </c>
      <c r="C5237" s="10" t="inlineStr">
        <is>
          <t>本線</t>
        </is>
      </c>
      <c r="D5237" s="10" t="inlineStr">
        <is>
          <t>下り</t>
        </is>
      </c>
      <c r="E5237" t="inlineStr">
        <is>
          <t>2109</t>
        </is>
      </c>
      <c r="F5237" t="inlineStr">
        <is>
          <t>0122</t>
        </is>
      </c>
      <c r="G5237" s="10" t="inlineStr">
        <is>
          <t>西院</t>
        </is>
      </c>
      <c r="H5237" s="10" t="inlineStr">
        <is>
          <t>発</t>
        </is>
      </c>
      <c r="J5237" s="10" t="inlineStr">
        <is>
          <t>営業</t>
        </is>
      </c>
      <c r="L5237" t="inlineStr">
        <is>
          <t>21:53:50</t>
        </is>
      </c>
      <c r="M5237" t="inlineStr">
        <is>
          <t>21:54:20</t>
        </is>
      </c>
    </row>
    <row r="5238" ht="15" customHeight="1" s="37">
      <c r="A5238" t="n">
        <v>11</v>
      </c>
      <c r="B5238" s="10" t="inlineStr">
        <is>
          <t>平日</t>
        </is>
      </c>
      <c r="C5238" s="10" t="inlineStr">
        <is>
          <t>本線</t>
        </is>
      </c>
      <c r="D5238" s="10" t="inlineStr">
        <is>
          <t>下り</t>
        </is>
      </c>
      <c r="E5238" t="inlineStr">
        <is>
          <t>2109</t>
        </is>
      </c>
      <c r="F5238" t="inlineStr">
        <is>
          <t>0122</t>
        </is>
      </c>
      <c r="G5238" s="10" t="inlineStr">
        <is>
          <t>西大路三条</t>
        </is>
      </c>
      <c r="H5238" s="10" t="inlineStr">
        <is>
          <t>発</t>
        </is>
      </c>
      <c r="J5238" s="10" t="inlineStr">
        <is>
          <t>営業</t>
        </is>
      </c>
      <c r="L5238" t="inlineStr">
        <is>
          <t>21:56:10</t>
        </is>
      </c>
      <c r="M5238" t="inlineStr">
        <is>
          <t>21:56:30</t>
        </is>
      </c>
    </row>
    <row r="5239" ht="15" customHeight="1" s="37">
      <c r="A5239" t="n">
        <v>11</v>
      </c>
      <c r="B5239" s="10" t="inlineStr">
        <is>
          <t>平日</t>
        </is>
      </c>
      <c r="C5239" s="10" t="inlineStr">
        <is>
          <t>本線</t>
        </is>
      </c>
      <c r="D5239" s="10" t="inlineStr">
        <is>
          <t>下り</t>
        </is>
      </c>
      <c r="E5239" t="inlineStr">
        <is>
          <t>2109</t>
        </is>
      </c>
      <c r="F5239" t="inlineStr">
        <is>
          <t>0122</t>
        </is>
      </c>
      <c r="G5239" s="10" t="inlineStr">
        <is>
          <t>山ノ内</t>
        </is>
      </c>
      <c r="H5239" s="10" t="inlineStr">
        <is>
          <t>発</t>
        </is>
      </c>
      <c r="J5239" s="10" t="inlineStr">
        <is>
          <t>営業</t>
        </is>
      </c>
      <c r="L5239" t="inlineStr">
        <is>
          <t>21:58:25</t>
        </is>
      </c>
      <c r="M5239" t="inlineStr">
        <is>
          <t>21:58:50</t>
        </is>
      </c>
    </row>
    <row r="5240" ht="15" customHeight="1" s="37">
      <c r="A5240" t="n">
        <v>11</v>
      </c>
      <c r="B5240" s="10" t="inlineStr">
        <is>
          <t>平日</t>
        </is>
      </c>
      <c r="C5240" s="10" t="inlineStr">
        <is>
          <t>本線</t>
        </is>
      </c>
      <c r="D5240" s="10" t="inlineStr">
        <is>
          <t>下り</t>
        </is>
      </c>
      <c r="E5240" t="inlineStr">
        <is>
          <t>2109</t>
        </is>
      </c>
      <c r="F5240" t="inlineStr">
        <is>
          <t>0122</t>
        </is>
      </c>
      <c r="G5240" s="10" t="inlineStr">
        <is>
          <t>天神川</t>
        </is>
      </c>
      <c r="H5240" s="10" t="inlineStr">
        <is>
          <t>発</t>
        </is>
      </c>
      <c r="J5240" s="10" t="inlineStr">
        <is>
          <t>営業</t>
        </is>
      </c>
      <c r="L5240" t="inlineStr">
        <is>
          <t>22:00:50</t>
        </is>
      </c>
      <c r="M5240" t="inlineStr">
        <is>
          <t>22:01:30</t>
        </is>
      </c>
    </row>
    <row r="5241" ht="15" customHeight="1" s="37">
      <c r="A5241" t="n">
        <v>11</v>
      </c>
      <c r="B5241" s="10" t="inlineStr">
        <is>
          <t>平日</t>
        </is>
      </c>
      <c r="C5241" s="10" t="inlineStr">
        <is>
          <t>本線</t>
        </is>
      </c>
      <c r="D5241" s="10" t="inlineStr">
        <is>
          <t>下り</t>
        </is>
      </c>
      <c r="E5241" t="inlineStr">
        <is>
          <t>2109</t>
        </is>
      </c>
      <c r="F5241" t="inlineStr">
        <is>
          <t>0122</t>
        </is>
      </c>
      <c r="G5241" s="10" t="inlineStr">
        <is>
          <t>蚕ノ社</t>
        </is>
      </c>
      <c r="H5241" s="10" t="inlineStr">
        <is>
          <t>発</t>
        </is>
      </c>
      <c r="J5241" s="10" t="inlineStr">
        <is>
          <t>営業</t>
        </is>
      </c>
      <c r="L5241" t="inlineStr">
        <is>
          <t>22:02:20</t>
        </is>
      </c>
      <c r="M5241" t="inlineStr">
        <is>
          <t>22:02:40</t>
        </is>
      </c>
    </row>
    <row r="5242" ht="15" customHeight="1" s="37">
      <c r="A5242" t="n">
        <v>11</v>
      </c>
      <c r="B5242" s="10" t="inlineStr">
        <is>
          <t>平日</t>
        </is>
      </c>
      <c r="C5242" s="10" t="inlineStr">
        <is>
          <t>本線</t>
        </is>
      </c>
      <c r="D5242" s="10" t="inlineStr">
        <is>
          <t>下り</t>
        </is>
      </c>
      <c r="E5242" t="inlineStr">
        <is>
          <t>2109</t>
        </is>
      </c>
      <c r="F5242" t="inlineStr">
        <is>
          <t>0122</t>
        </is>
      </c>
      <c r="G5242" s="10" t="inlineStr">
        <is>
          <t>太秦広隆寺</t>
        </is>
      </c>
      <c r="H5242" s="10" t="inlineStr">
        <is>
          <t>発</t>
        </is>
      </c>
      <c r="J5242" s="10" t="inlineStr">
        <is>
          <t>営業</t>
        </is>
      </c>
      <c r="L5242" t="inlineStr">
        <is>
          <t>22:04:00</t>
        </is>
      </c>
      <c r="M5242" t="inlineStr">
        <is>
          <t>22:04:20</t>
        </is>
      </c>
    </row>
    <row r="5243" ht="15" customHeight="1" s="37">
      <c r="A5243" t="n">
        <v>11</v>
      </c>
      <c r="B5243" s="10" t="inlineStr">
        <is>
          <t>平日</t>
        </is>
      </c>
      <c r="C5243" s="10" t="inlineStr">
        <is>
          <t>本線</t>
        </is>
      </c>
      <c r="D5243" s="10" t="inlineStr">
        <is>
          <t>下り</t>
        </is>
      </c>
      <c r="E5243" t="inlineStr">
        <is>
          <t>2109</t>
        </is>
      </c>
      <c r="F5243" t="inlineStr">
        <is>
          <t>0122</t>
        </is>
      </c>
      <c r="G5243" s="10" t="inlineStr">
        <is>
          <t>帷子ノ辻</t>
        </is>
      </c>
      <c r="H5243" s="10" t="inlineStr">
        <is>
          <t>発</t>
        </is>
      </c>
      <c r="J5243" s="10" t="inlineStr">
        <is>
          <t>営業</t>
        </is>
      </c>
      <c r="L5243" t="inlineStr">
        <is>
          <t>22:06:20</t>
        </is>
      </c>
      <c r="M5243" t="inlineStr">
        <is>
          <t>22:07:40</t>
        </is>
      </c>
    </row>
    <row r="5244" ht="15" customHeight="1" s="37">
      <c r="A5244" t="n">
        <v>11</v>
      </c>
      <c r="B5244" s="10" t="inlineStr">
        <is>
          <t>平日</t>
        </is>
      </c>
      <c r="C5244" s="10" t="inlineStr">
        <is>
          <t>本線</t>
        </is>
      </c>
      <c r="D5244" s="10" t="inlineStr">
        <is>
          <t>下り</t>
        </is>
      </c>
      <c r="E5244" t="inlineStr">
        <is>
          <t>2109</t>
        </is>
      </c>
      <c r="F5244" t="inlineStr">
        <is>
          <t>0122</t>
        </is>
      </c>
      <c r="G5244" s="10" t="inlineStr">
        <is>
          <t>有栖川</t>
        </is>
      </c>
      <c r="H5244" s="10" t="inlineStr">
        <is>
          <t>発</t>
        </is>
      </c>
      <c r="J5244" s="10" t="inlineStr">
        <is>
          <t>営業</t>
        </is>
      </c>
      <c r="L5244" t="inlineStr">
        <is>
          <t>22:08:50</t>
        </is>
      </c>
      <c r="M5244" t="inlineStr">
        <is>
          <t>22:09:15</t>
        </is>
      </c>
    </row>
    <row r="5245" ht="15" customHeight="1" s="37">
      <c r="A5245" t="n">
        <v>11</v>
      </c>
      <c r="B5245" s="10" t="inlineStr">
        <is>
          <t>平日</t>
        </is>
      </c>
      <c r="C5245" s="10" t="inlineStr">
        <is>
          <t>本線</t>
        </is>
      </c>
      <c r="D5245" s="10" t="inlineStr">
        <is>
          <t>下り</t>
        </is>
      </c>
      <c r="E5245" t="inlineStr">
        <is>
          <t>2109</t>
        </is>
      </c>
      <c r="F5245" t="inlineStr">
        <is>
          <t>0122</t>
        </is>
      </c>
      <c r="G5245" s="10" t="inlineStr">
        <is>
          <t>車折</t>
        </is>
      </c>
      <c r="H5245" s="10" t="inlineStr">
        <is>
          <t>発</t>
        </is>
      </c>
      <c r="J5245" s="10" t="inlineStr">
        <is>
          <t>営業</t>
        </is>
      </c>
      <c r="L5245" t="inlineStr">
        <is>
          <t>22:10:40</t>
        </is>
      </c>
      <c r="M5245" t="inlineStr">
        <is>
          <t>22:11:05</t>
        </is>
      </c>
    </row>
    <row r="5246" ht="15" customHeight="1" s="37">
      <c r="A5246" t="n">
        <v>11</v>
      </c>
      <c r="B5246" s="10" t="inlineStr">
        <is>
          <t>平日</t>
        </is>
      </c>
      <c r="C5246" s="10" t="inlineStr">
        <is>
          <t>本線</t>
        </is>
      </c>
      <c r="D5246" s="10" t="inlineStr">
        <is>
          <t>下り</t>
        </is>
      </c>
      <c r="E5246" t="inlineStr">
        <is>
          <t>2109</t>
        </is>
      </c>
      <c r="F5246" t="inlineStr">
        <is>
          <t>0122</t>
        </is>
      </c>
      <c r="G5246" s="10" t="inlineStr">
        <is>
          <t>鹿王院</t>
        </is>
      </c>
      <c r="H5246" s="10" t="inlineStr">
        <is>
          <t>発</t>
        </is>
      </c>
      <c r="J5246" s="10" t="inlineStr">
        <is>
          <t>営業</t>
        </is>
      </c>
      <c r="L5246" t="inlineStr">
        <is>
          <t>22:12:00</t>
        </is>
      </c>
      <c r="M5246" t="inlineStr">
        <is>
          <t>22:12:25</t>
        </is>
      </c>
    </row>
    <row r="5247" ht="15" customHeight="1" s="37">
      <c r="A5247" t="n">
        <v>11</v>
      </c>
      <c r="B5247" s="10" t="inlineStr">
        <is>
          <t>平日</t>
        </is>
      </c>
      <c r="C5247" s="10" t="inlineStr">
        <is>
          <t>本線</t>
        </is>
      </c>
      <c r="D5247" s="10" t="inlineStr">
        <is>
          <t>下り</t>
        </is>
      </c>
      <c r="E5247" t="inlineStr">
        <is>
          <t>2109</t>
        </is>
      </c>
      <c r="F5247" t="inlineStr">
        <is>
          <t>0122</t>
        </is>
      </c>
      <c r="G5247" s="10" t="inlineStr">
        <is>
          <t>嵯峨</t>
        </is>
      </c>
      <c r="H5247" s="10" t="inlineStr">
        <is>
          <t>発</t>
        </is>
      </c>
      <c r="J5247" s="10" t="inlineStr">
        <is>
          <t>営業</t>
        </is>
      </c>
      <c r="L5247" t="inlineStr">
        <is>
          <t>22:13:30</t>
        </is>
      </c>
      <c r="M5247" t="inlineStr">
        <is>
          <t>22:13:55</t>
        </is>
      </c>
    </row>
    <row r="5248" ht="15" customHeight="1" s="37">
      <c r="A5248" t="n">
        <v>11</v>
      </c>
      <c r="B5248" s="10" t="inlineStr">
        <is>
          <t>平日</t>
        </is>
      </c>
      <c r="C5248" s="10" t="inlineStr">
        <is>
          <t>本線</t>
        </is>
      </c>
      <c r="D5248" s="10" t="inlineStr">
        <is>
          <t>下り</t>
        </is>
      </c>
      <c r="E5248" t="inlineStr">
        <is>
          <t>2109</t>
        </is>
      </c>
      <c r="F5248" t="inlineStr">
        <is>
          <t>0122</t>
        </is>
      </c>
      <c r="G5248" s="10" t="inlineStr">
        <is>
          <t>嵐山</t>
        </is>
      </c>
      <c r="H5248" s="10" t="inlineStr">
        <is>
          <t>着</t>
        </is>
      </c>
      <c r="J5248" s="10" t="inlineStr">
        <is>
          <t>営業</t>
        </is>
      </c>
      <c r="L5248" t="inlineStr">
        <is>
          <t>22:15:00</t>
        </is>
      </c>
      <c r="N5248" t="inlineStr">
        <is>
          <t>○</t>
        </is>
      </c>
      <c r="Q5248" t="inlineStr">
        <is>
          <t>1</t>
        </is>
      </c>
    </row>
    <row r="5249" ht="15" customHeight="1" s="37">
      <c r="A5249" t="n">
        <v>11</v>
      </c>
      <c r="B5249" s="10" t="inlineStr">
        <is>
          <t>平日</t>
        </is>
      </c>
      <c r="C5249" s="10" t="inlineStr">
        <is>
          <t>本線</t>
        </is>
      </c>
      <c r="D5249" s="10" t="inlineStr">
        <is>
          <t>上り</t>
        </is>
      </c>
      <c r="E5249" t="inlineStr">
        <is>
          <t>2204</t>
        </is>
      </c>
      <c r="F5249" t="inlineStr">
        <is>
          <t>0221</t>
        </is>
      </c>
      <c r="G5249" s="10" t="inlineStr">
        <is>
          <t>嵐山</t>
        </is>
      </c>
      <c r="H5249" s="10" t="inlineStr">
        <is>
          <t>発</t>
        </is>
      </c>
      <c r="J5249" s="10" t="inlineStr">
        <is>
          <t>営業</t>
        </is>
      </c>
      <c r="M5249" t="inlineStr">
        <is>
          <t>22:20:00</t>
        </is>
      </c>
      <c r="Q5249" t="inlineStr">
        <is>
          <t>1</t>
        </is>
      </c>
    </row>
    <row r="5250" ht="15" customHeight="1" s="37">
      <c r="A5250" t="n">
        <v>11</v>
      </c>
      <c r="B5250" s="10" t="inlineStr">
        <is>
          <t>平日</t>
        </is>
      </c>
      <c r="C5250" s="10" t="inlineStr">
        <is>
          <t>本線</t>
        </is>
      </c>
      <c r="D5250" s="10" t="inlineStr">
        <is>
          <t>上り</t>
        </is>
      </c>
      <c r="E5250" t="inlineStr">
        <is>
          <t>2204</t>
        </is>
      </c>
      <c r="F5250" t="inlineStr">
        <is>
          <t>0221</t>
        </is>
      </c>
      <c r="G5250" s="10" t="inlineStr">
        <is>
          <t>嵯峨</t>
        </is>
      </c>
      <c r="H5250" s="10" t="inlineStr">
        <is>
          <t>発</t>
        </is>
      </c>
      <c r="J5250" s="10" t="inlineStr">
        <is>
          <t>営業</t>
        </is>
      </c>
      <c r="L5250" t="inlineStr">
        <is>
          <t>22:20:55</t>
        </is>
      </c>
      <c r="M5250" t="inlineStr">
        <is>
          <t>22:21:10</t>
        </is>
      </c>
    </row>
    <row r="5251" ht="15" customHeight="1" s="37">
      <c r="A5251" t="n">
        <v>11</v>
      </c>
      <c r="B5251" s="10" t="inlineStr">
        <is>
          <t>平日</t>
        </is>
      </c>
      <c r="C5251" s="10" t="inlineStr">
        <is>
          <t>本線</t>
        </is>
      </c>
      <c r="D5251" s="10" t="inlineStr">
        <is>
          <t>上り</t>
        </is>
      </c>
      <c r="E5251" t="inlineStr">
        <is>
          <t>2204</t>
        </is>
      </c>
      <c r="F5251" t="inlineStr">
        <is>
          <t>0221</t>
        </is>
      </c>
      <c r="G5251" s="10" t="inlineStr">
        <is>
          <t>鹿王院</t>
        </is>
      </c>
      <c r="H5251" s="10" t="inlineStr">
        <is>
          <t>発</t>
        </is>
      </c>
      <c r="J5251" s="10" t="inlineStr">
        <is>
          <t>営業</t>
        </is>
      </c>
      <c r="L5251" t="inlineStr">
        <is>
          <t>22:22:15</t>
        </is>
      </c>
      <c r="M5251" t="inlineStr">
        <is>
          <t>22:22:30</t>
        </is>
      </c>
    </row>
    <row r="5252" ht="15" customHeight="1" s="37">
      <c r="A5252" t="n">
        <v>11</v>
      </c>
      <c r="B5252" s="10" t="inlineStr">
        <is>
          <t>平日</t>
        </is>
      </c>
      <c r="C5252" s="10" t="inlineStr">
        <is>
          <t>本線</t>
        </is>
      </c>
      <c r="D5252" s="10" t="inlineStr">
        <is>
          <t>上り</t>
        </is>
      </c>
      <c r="E5252" t="inlineStr">
        <is>
          <t>2204</t>
        </is>
      </c>
      <c r="F5252" t="inlineStr">
        <is>
          <t>0221</t>
        </is>
      </c>
      <c r="G5252" s="10" t="inlineStr">
        <is>
          <t>車折</t>
        </is>
      </c>
      <c r="H5252" s="10" t="inlineStr">
        <is>
          <t>発</t>
        </is>
      </c>
      <c r="J5252" s="10" t="inlineStr">
        <is>
          <t>営業</t>
        </is>
      </c>
      <c r="L5252" t="inlineStr">
        <is>
          <t>22:23:25</t>
        </is>
      </c>
      <c r="M5252" t="inlineStr">
        <is>
          <t>22:23:40</t>
        </is>
      </c>
    </row>
    <row r="5253" ht="15" customHeight="1" s="37">
      <c r="A5253" t="n">
        <v>11</v>
      </c>
      <c r="B5253" s="10" t="inlineStr">
        <is>
          <t>平日</t>
        </is>
      </c>
      <c r="C5253" s="10" t="inlineStr">
        <is>
          <t>本線</t>
        </is>
      </c>
      <c r="D5253" s="10" t="inlineStr">
        <is>
          <t>上り</t>
        </is>
      </c>
      <c r="E5253" t="inlineStr">
        <is>
          <t>2204</t>
        </is>
      </c>
      <c r="F5253" t="inlineStr">
        <is>
          <t>0221</t>
        </is>
      </c>
      <c r="G5253" s="10" t="inlineStr">
        <is>
          <t>有栖川</t>
        </is>
      </c>
      <c r="H5253" s="10" t="inlineStr">
        <is>
          <t>発</t>
        </is>
      </c>
      <c r="J5253" s="10" t="inlineStr">
        <is>
          <t>営業</t>
        </is>
      </c>
      <c r="L5253" t="inlineStr">
        <is>
          <t>22:25:05</t>
        </is>
      </c>
      <c r="M5253" t="inlineStr">
        <is>
          <t>22:25:20</t>
        </is>
      </c>
    </row>
    <row r="5254" ht="15" customHeight="1" s="37">
      <c r="A5254" t="n">
        <v>11</v>
      </c>
      <c r="B5254" s="10" t="inlineStr">
        <is>
          <t>平日</t>
        </is>
      </c>
      <c r="C5254" s="10" t="inlineStr">
        <is>
          <t>本線</t>
        </is>
      </c>
      <c r="D5254" s="10" t="inlineStr">
        <is>
          <t>上り</t>
        </is>
      </c>
      <c r="E5254" t="inlineStr">
        <is>
          <t>2204</t>
        </is>
      </c>
      <c r="F5254" t="inlineStr">
        <is>
          <t>0221</t>
        </is>
      </c>
      <c r="G5254" s="10" t="inlineStr">
        <is>
          <t>帷子ノ辻</t>
        </is>
      </c>
      <c r="H5254" s="10" t="inlineStr">
        <is>
          <t>発</t>
        </is>
      </c>
      <c r="J5254" s="10" t="inlineStr">
        <is>
          <t>営業</t>
        </is>
      </c>
      <c r="L5254" t="inlineStr">
        <is>
          <t>22:26:35</t>
        </is>
      </c>
      <c r="M5254" t="inlineStr">
        <is>
          <t>22:27:05</t>
        </is>
      </c>
    </row>
    <row r="5255" ht="15" customHeight="1" s="37">
      <c r="A5255" t="n">
        <v>11</v>
      </c>
      <c r="B5255" s="10" t="inlineStr">
        <is>
          <t>平日</t>
        </is>
      </c>
      <c r="C5255" s="10" t="inlineStr">
        <is>
          <t>本線</t>
        </is>
      </c>
      <c r="D5255" s="10" t="inlineStr">
        <is>
          <t>上り</t>
        </is>
      </c>
      <c r="E5255" t="inlineStr">
        <is>
          <t>2204</t>
        </is>
      </c>
      <c r="F5255" t="inlineStr">
        <is>
          <t>0221</t>
        </is>
      </c>
      <c r="G5255" s="10" t="inlineStr">
        <is>
          <t>太秦広隆寺</t>
        </is>
      </c>
      <c r="H5255" s="10" t="inlineStr">
        <is>
          <t>発</t>
        </is>
      </c>
      <c r="J5255" s="10" t="inlineStr">
        <is>
          <t>営業</t>
        </is>
      </c>
      <c r="L5255" t="inlineStr">
        <is>
          <t>22:29:15</t>
        </is>
      </c>
      <c r="M5255" t="inlineStr">
        <is>
          <t>22:29:35</t>
        </is>
      </c>
    </row>
    <row r="5256" ht="15" customHeight="1" s="37">
      <c r="A5256" t="n">
        <v>11</v>
      </c>
      <c r="B5256" s="10" t="inlineStr">
        <is>
          <t>平日</t>
        </is>
      </c>
      <c r="C5256" s="10" t="inlineStr">
        <is>
          <t>本線</t>
        </is>
      </c>
      <c r="D5256" s="10" t="inlineStr">
        <is>
          <t>上り</t>
        </is>
      </c>
      <c r="E5256" t="inlineStr">
        <is>
          <t>2204</t>
        </is>
      </c>
      <c r="F5256" t="inlineStr">
        <is>
          <t>0221</t>
        </is>
      </c>
      <c r="G5256" s="10" t="inlineStr">
        <is>
          <t>蚕ノ社</t>
        </is>
      </c>
      <c r="H5256" s="10" t="inlineStr">
        <is>
          <t>発</t>
        </is>
      </c>
      <c r="J5256" s="10" t="inlineStr">
        <is>
          <t>営業</t>
        </is>
      </c>
      <c r="L5256" t="inlineStr">
        <is>
          <t>22:30:50</t>
        </is>
      </c>
      <c r="M5256" t="inlineStr">
        <is>
          <t>22:31:10</t>
        </is>
      </c>
    </row>
    <row r="5257" ht="15" customHeight="1" s="37">
      <c r="A5257" t="n">
        <v>11</v>
      </c>
      <c r="B5257" s="10" t="inlineStr">
        <is>
          <t>平日</t>
        </is>
      </c>
      <c r="C5257" s="10" t="inlineStr">
        <is>
          <t>本線</t>
        </is>
      </c>
      <c r="D5257" s="10" t="inlineStr">
        <is>
          <t>上り</t>
        </is>
      </c>
      <c r="E5257" t="inlineStr">
        <is>
          <t>2204</t>
        </is>
      </c>
      <c r="F5257" t="inlineStr">
        <is>
          <t>0221</t>
        </is>
      </c>
      <c r="G5257" s="10" t="inlineStr">
        <is>
          <t>天神川</t>
        </is>
      </c>
      <c r="H5257" s="10" t="inlineStr">
        <is>
          <t>発</t>
        </is>
      </c>
      <c r="J5257" s="10" t="inlineStr">
        <is>
          <t>営業</t>
        </is>
      </c>
      <c r="L5257" t="inlineStr">
        <is>
          <t>22:31:55</t>
        </is>
      </c>
      <c r="M5257" t="inlineStr">
        <is>
          <t>22:32:20</t>
        </is>
      </c>
    </row>
    <row r="5258" ht="15" customHeight="1" s="37">
      <c r="A5258" t="n">
        <v>11</v>
      </c>
      <c r="B5258" s="10" t="inlineStr">
        <is>
          <t>平日</t>
        </is>
      </c>
      <c r="C5258" s="10" t="inlineStr">
        <is>
          <t>本線</t>
        </is>
      </c>
      <c r="D5258" s="10" t="inlineStr">
        <is>
          <t>上り</t>
        </is>
      </c>
      <c r="E5258" t="inlineStr">
        <is>
          <t>2204</t>
        </is>
      </c>
      <c r="F5258" t="inlineStr">
        <is>
          <t>0221</t>
        </is>
      </c>
      <c r="G5258" s="10" t="inlineStr">
        <is>
          <t>山ノ内</t>
        </is>
      </c>
      <c r="H5258" s="10" t="inlineStr">
        <is>
          <t>発</t>
        </is>
      </c>
      <c r="J5258" s="10" t="inlineStr">
        <is>
          <t>営業</t>
        </is>
      </c>
      <c r="L5258" t="inlineStr">
        <is>
          <t>22:34:10</t>
        </is>
      </c>
      <c r="M5258" t="inlineStr">
        <is>
          <t>22:34:35</t>
        </is>
      </c>
    </row>
    <row r="5259" ht="15" customHeight="1" s="37">
      <c r="A5259" t="n">
        <v>11</v>
      </c>
      <c r="B5259" s="10" t="inlineStr">
        <is>
          <t>平日</t>
        </is>
      </c>
      <c r="C5259" s="10" t="inlineStr">
        <is>
          <t>本線</t>
        </is>
      </c>
      <c r="D5259" s="10" t="inlineStr">
        <is>
          <t>上り</t>
        </is>
      </c>
      <c r="E5259" t="inlineStr">
        <is>
          <t>2204</t>
        </is>
      </c>
      <c r="F5259" t="inlineStr">
        <is>
          <t>0221</t>
        </is>
      </c>
      <c r="G5259" s="10" t="inlineStr">
        <is>
          <t>西大路三条</t>
        </is>
      </c>
      <c r="H5259" s="10" t="inlineStr">
        <is>
          <t>発</t>
        </is>
      </c>
      <c r="J5259" s="10" t="inlineStr">
        <is>
          <t>営業</t>
        </is>
      </c>
      <c r="L5259" t="inlineStr">
        <is>
          <t>22:36:25</t>
        </is>
      </c>
      <c r="M5259" t="inlineStr">
        <is>
          <t>22:36:40</t>
        </is>
      </c>
    </row>
    <row r="5260" ht="15" customHeight="1" s="37">
      <c r="A5260" t="n">
        <v>11</v>
      </c>
      <c r="B5260" s="10" t="inlineStr">
        <is>
          <t>平日</t>
        </is>
      </c>
      <c r="C5260" s="10" t="inlineStr">
        <is>
          <t>本線</t>
        </is>
      </c>
      <c r="D5260" s="10" t="inlineStr">
        <is>
          <t>上り</t>
        </is>
      </c>
      <c r="E5260" t="inlineStr">
        <is>
          <t>2204</t>
        </is>
      </c>
      <c r="F5260" t="inlineStr">
        <is>
          <t>0221</t>
        </is>
      </c>
      <c r="G5260" s="10" t="inlineStr">
        <is>
          <t>西院</t>
        </is>
      </c>
      <c r="H5260" s="10" t="inlineStr">
        <is>
          <t>発</t>
        </is>
      </c>
      <c r="J5260" s="10" t="inlineStr">
        <is>
          <t>営業</t>
        </is>
      </c>
      <c r="L5260" t="inlineStr">
        <is>
          <t>22:38:35</t>
        </is>
      </c>
      <c r="M5260" t="inlineStr">
        <is>
          <t>22:39:05</t>
        </is>
      </c>
    </row>
    <row r="5261" ht="15" customHeight="1" s="37">
      <c r="A5261" t="n">
        <v>11</v>
      </c>
      <c r="B5261" s="10" t="inlineStr">
        <is>
          <t>平日</t>
        </is>
      </c>
      <c r="C5261" s="10" t="inlineStr">
        <is>
          <t>本線</t>
        </is>
      </c>
      <c r="D5261" s="10" t="inlineStr">
        <is>
          <t>上り</t>
        </is>
      </c>
      <c r="E5261" t="inlineStr">
        <is>
          <t>2204</t>
        </is>
      </c>
      <c r="F5261" t="inlineStr">
        <is>
          <t>0221</t>
        </is>
      </c>
      <c r="G5261" s="10" t="inlineStr">
        <is>
          <t>四条大宮</t>
        </is>
      </c>
      <c r="H5261" s="10" t="inlineStr">
        <is>
          <t>着</t>
        </is>
      </c>
      <c r="J5261" s="10" t="inlineStr">
        <is>
          <t>営業</t>
        </is>
      </c>
      <c r="L5261" t="inlineStr">
        <is>
          <t>22:42:00</t>
        </is>
      </c>
      <c r="N5261" t="inlineStr">
        <is>
          <t>○</t>
        </is>
      </c>
      <c r="Q5261" t="inlineStr">
        <is>
          <t>2</t>
        </is>
      </c>
      <c r="T5261" t="inlineStr">
        <is>
          <t>○</t>
        </is>
      </c>
    </row>
    <row r="5262" ht="15" customHeight="1" s="37">
      <c r="A5262" t="n">
        <v>11</v>
      </c>
      <c r="B5262" s="10" t="inlineStr">
        <is>
          <t>平日</t>
        </is>
      </c>
      <c r="C5262" s="10" t="inlineStr">
        <is>
          <t>本線</t>
        </is>
      </c>
      <c r="D5262" s="10" t="inlineStr">
        <is>
          <t>下り</t>
        </is>
      </c>
      <c r="E5262" s="10" t="inlineStr">
        <is>
          <t>回2271</t>
        </is>
      </c>
      <c r="F5262" s="10" t="inlineStr">
        <is>
          <t>回送</t>
        </is>
      </c>
      <c r="G5262" s="10" t="inlineStr">
        <is>
          <t>四条大宮</t>
        </is>
      </c>
      <c r="H5262" s="10" t="inlineStr">
        <is>
          <t>発</t>
        </is>
      </c>
      <c r="J5262" s="10" t="inlineStr">
        <is>
          <t>回送</t>
        </is>
      </c>
      <c r="M5262" t="inlineStr">
        <is>
          <t>22:47:00</t>
        </is>
      </c>
      <c r="Q5262" t="inlineStr">
        <is>
          <t>2</t>
        </is>
      </c>
    </row>
    <row r="5263" ht="15" customHeight="1" s="37">
      <c r="A5263" t="n">
        <v>11</v>
      </c>
      <c r="B5263" s="10" t="inlineStr">
        <is>
          <t>平日</t>
        </is>
      </c>
      <c r="C5263" s="10" t="inlineStr">
        <is>
          <t>本線</t>
        </is>
      </c>
      <c r="D5263" s="10" t="inlineStr">
        <is>
          <t>下り</t>
        </is>
      </c>
      <c r="E5263" s="10" t="inlineStr">
        <is>
          <t>回2271</t>
        </is>
      </c>
      <c r="F5263" s="10" t="inlineStr">
        <is>
          <t>回送</t>
        </is>
      </c>
      <c r="G5263" s="10" t="inlineStr">
        <is>
          <t>西院</t>
        </is>
      </c>
      <c r="H5263" s="10" t="inlineStr">
        <is>
          <t>着</t>
        </is>
      </c>
      <c r="J5263" s="10" t="inlineStr">
        <is>
          <t>回送</t>
        </is>
      </c>
      <c r="L5263" t="inlineStr">
        <is>
          <t>22:49:50</t>
        </is>
      </c>
    </row>
    <row r="5264" ht="15" customHeight="1" s="37">
      <c r="A5264" t="n">
        <v>11</v>
      </c>
      <c r="B5264" s="10" t="inlineStr">
        <is>
          <t>平日</t>
        </is>
      </c>
      <c r="C5264" s="10" t="inlineStr">
        <is>
          <t>本線</t>
        </is>
      </c>
      <c r="D5264" s="10" t="inlineStr">
        <is>
          <t>下り</t>
        </is>
      </c>
      <c r="E5264" s="10" t="inlineStr">
        <is>
          <t>連1507</t>
        </is>
      </c>
      <c r="F5264" t="inlineStr">
        <is>
          <t>0112</t>
        </is>
      </c>
      <c r="G5264" s="10" t="inlineStr">
        <is>
          <t>四条大宮</t>
        </is>
      </c>
      <c r="H5264" s="10" t="inlineStr">
        <is>
          <t>発</t>
        </is>
      </c>
      <c r="J5264" s="10" t="inlineStr">
        <is>
          <t>営業</t>
        </is>
      </c>
      <c r="M5264" t="inlineStr">
        <is>
          <t>15:33:00</t>
        </is>
      </c>
      <c r="P5264" t="inlineStr">
        <is>
          <t>D系統(日中)</t>
        </is>
      </c>
      <c r="Q5264" t="inlineStr">
        <is>
          <t>1</t>
        </is>
      </c>
    </row>
    <row r="5265" ht="15" customHeight="1" s="37">
      <c r="A5265" t="n">
        <v>11</v>
      </c>
      <c r="B5265" s="10" t="inlineStr">
        <is>
          <t>平日</t>
        </is>
      </c>
      <c r="C5265" s="10" t="inlineStr">
        <is>
          <t>本線</t>
        </is>
      </c>
      <c r="D5265" s="10" t="inlineStr">
        <is>
          <t>下り</t>
        </is>
      </c>
      <c r="E5265" s="10" t="inlineStr">
        <is>
          <t>連1507</t>
        </is>
      </c>
      <c r="F5265" t="inlineStr">
        <is>
          <t>0112</t>
        </is>
      </c>
      <c r="G5265" s="10" t="inlineStr">
        <is>
          <t>西院</t>
        </is>
      </c>
      <c r="H5265" s="10" t="inlineStr">
        <is>
          <t>発</t>
        </is>
      </c>
      <c r="J5265" s="10" t="inlineStr">
        <is>
          <t>営業</t>
        </is>
      </c>
      <c r="L5265" t="inlineStr">
        <is>
          <t>15:35:50</t>
        </is>
      </c>
      <c r="M5265" t="inlineStr">
        <is>
          <t>15:36:20</t>
        </is>
      </c>
      <c r="P5265" t="inlineStr">
        <is>
          <t>D系統(日中)</t>
        </is>
      </c>
    </row>
    <row r="5266" ht="15" customHeight="1" s="37">
      <c r="A5266" t="n">
        <v>11</v>
      </c>
      <c r="B5266" s="10" t="inlineStr">
        <is>
          <t>平日</t>
        </is>
      </c>
      <c r="C5266" s="10" t="inlineStr">
        <is>
          <t>本線</t>
        </is>
      </c>
      <c r="D5266" s="10" t="inlineStr">
        <is>
          <t>下り</t>
        </is>
      </c>
      <c r="E5266" s="10" t="inlineStr">
        <is>
          <t>連1507</t>
        </is>
      </c>
      <c r="F5266" t="inlineStr">
        <is>
          <t>0112</t>
        </is>
      </c>
      <c r="G5266" s="10" t="inlineStr">
        <is>
          <t>西大路三条</t>
        </is>
      </c>
      <c r="H5266" s="10" t="inlineStr">
        <is>
          <t>発</t>
        </is>
      </c>
      <c r="J5266" s="10" t="inlineStr">
        <is>
          <t>営業</t>
        </is>
      </c>
      <c r="L5266" t="inlineStr">
        <is>
          <t>15:38:10</t>
        </is>
      </c>
      <c r="M5266" t="inlineStr">
        <is>
          <t>15:38:30</t>
        </is>
      </c>
      <c r="P5266" t="inlineStr">
        <is>
          <t>D系統(日中)</t>
        </is>
      </c>
    </row>
    <row r="5267" ht="15" customHeight="1" s="37">
      <c r="A5267" t="n">
        <v>11</v>
      </c>
      <c r="B5267" s="10" t="inlineStr">
        <is>
          <t>平日</t>
        </is>
      </c>
      <c r="C5267" s="10" t="inlineStr">
        <is>
          <t>本線</t>
        </is>
      </c>
      <c r="D5267" s="10" t="inlineStr">
        <is>
          <t>下り</t>
        </is>
      </c>
      <c r="E5267" s="10" t="inlineStr">
        <is>
          <t>連1507</t>
        </is>
      </c>
      <c r="F5267" t="inlineStr">
        <is>
          <t>0112</t>
        </is>
      </c>
      <c r="G5267" s="10" t="inlineStr">
        <is>
          <t>山ノ内</t>
        </is>
      </c>
      <c r="H5267" s="10" t="inlineStr">
        <is>
          <t>発</t>
        </is>
      </c>
      <c r="J5267" s="10" t="inlineStr">
        <is>
          <t>営業</t>
        </is>
      </c>
      <c r="L5267" t="inlineStr">
        <is>
          <t>15:40:25</t>
        </is>
      </c>
      <c r="M5267" t="inlineStr">
        <is>
          <t>15:40:50</t>
        </is>
      </c>
      <c r="P5267" t="inlineStr">
        <is>
          <t>D系統(日中)</t>
        </is>
      </c>
    </row>
    <row r="5268" ht="15" customHeight="1" s="37">
      <c r="A5268" t="n">
        <v>11</v>
      </c>
      <c r="B5268" s="10" t="inlineStr">
        <is>
          <t>平日</t>
        </is>
      </c>
      <c r="C5268" s="10" t="inlineStr">
        <is>
          <t>本線</t>
        </is>
      </c>
      <c r="D5268" s="10" t="inlineStr">
        <is>
          <t>下り</t>
        </is>
      </c>
      <c r="E5268" s="10" t="inlineStr">
        <is>
          <t>連1507</t>
        </is>
      </c>
      <c r="F5268" t="inlineStr">
        <is>
          <t>0112</t>
        </is>
      </c>
      <c r="G5268" s="10" t="inlineStr">
        <is>
          <t>天神川</t>
        </is>
      </c>
      <c r="H5268" s="10" t="inlineStr">
        <is>
          <t>発</t>
        </is>
      </c>
      <c r="J5268" s="10" t="inlineStr">
        <is>
          <t>営業</t>
        </is>
      </c>
      <c r="L5268" t="inlineStr">
        <is>
          <t>15:42:50</t>
        </is>
      </c>
      <c r="M5268" t="inlineStr">
        <is>
          <t>15:43:30</t>
        </is>
      </c>
      <c r="P5268" t="inlineStr">
        <is>
          <t>D系統(日中)</t>
        </is>
      </c>
    </row>
    <row r="5269" ht="15" customHeight="1" s="37">
      <c r="A5269" t="n">
        <v>11</v>
      </c>
      <c r="B5269" s="10" t="inlineStr">
        <is>
          <t>平日</t>
        </is>
      </c>
      <c r="C5269" s="10" t="inlineStr">
        <is>
          <t>本線</t>
        </is>
      </c>
      <c r="D5269" s="10" t="inlineStr">
        <is>
          <t>下り</t>
        </is>
      </c>
      <c r="E5269" s="10" t="inlineStr">
        <is>
          <t>連1507</t>
        </is>
      </c>
      <c r="F5269" t="inlineStr">
        <is>
          <t>0112</t>
        </is>
      </c>
      <c r="G5269" s="10" t="inlineStr">
        <is>
          <t>蚕ノ社</t>
        </is>
      </c>
      <c r="H5269" s="10" t="inlineStr">
        <is>
          <t>発</t>
        </is>
      </c>
      <c r="J5269" s="10" t="inlineStr">
        <is>
          <t>営業</t>
        </is>
      </c>
      <c r="L5269" t="inlineStr">
        <is>
          <t>15:44:20</t>
        </is>
      </c>
      <c r="M5269" t="inlineStr">
        <is>
          <t>15:44:40</t>
        </is>
      </c>
      <c r="P5269" t="inlineStr">
        <is>
          <t>D系統(日中)</t>
        </is>
      </c>
    </row>
    <row r="5270" ht="15" customHeight="1" s="37">
      <c r="A5270" t="n">
        <v>11</v>
      </c>
      <c r="B5270" s="10" t="inlineStr">
        <is>
          <t>平日</t>
        </is>
      </c>
      <c r="C5270" s="10" t="inlineStr">
        <is>
          <t>本線</t>
        </is>
      </c>
      <c r="D5270" s="10" t="inlineStr">
        <is>
          <t>下り</t>
        </is>
      </c>
      <c r="E5270" s="10" t="inlineStr">
        <is>
          <t>連1507</t>
        </is>
      </c>
      <c r="F5270" t="inlineStr">
        <is>
          <t>0112</t>
        </is>
      </c>
      <c r="G5270" s="10" t="inlineStr">
        <is>
          <t>太秦広隆寺</t>
        </is>
      </c>
      <c r="H5270" s="10" t="inlineStr">
        <is>
          <t>発</t>
        </is>
      </c>
      <c r="J5270" s="10" t="inlineStr">
        <is>
          <t>営業</t>
        </is>
      </c>
      <c r="L5270" t="inlineStr">
        <is>
          <t>15:46:00</t>
        </is>
      </c>
      <c r="M5270" t="inlineStr">
        <is>
          <t>15:46:20</t>
        </is>
      </c>
      <c r="P5270" t="inlineStr">
        <is>
          <t>D系統(日中)</t>
        </is>
      </c>
    </row>
    <row r="5271" ht="15" customHeight="1" s="37">
      <c r="A5271" t="n">
        <v>11</v>
      </c>
      <c r="B5271" s="10" t="inlineStr">
        <is>
          <t>平日</t>
        </is>
      </c>
      <c r="C5271" s="10" t="inlineStr">
        <is>
          <t>本線</t>
        </is>
      </c>
      <c r="D5271" s="10" t="inlineStr">
        <is>
          <t>下り</t>
        </is>
      </c>
      <c r="E5271" s="10" t="inlineStr">
        <is>
          <t>連1507</t>
        </is>
      </c>
      <c r="F5271" t="inlineStr">
        <is>
          <t>0112</t>
        </is>
      </c>
      <c r="G5271" s="10" t="inlineStr">
        <is>
          <t>帷子ノ辻</t>
        </is>
      </c>
      <c r="H5271" s="10" t="inlineStr">
        <is>
          <t>発</t>
        </is>
      </c>
      <c r="J5271" s="10" t="inlineStr">
        <is>
          <t>営業</t>
        </is>
      </c>
      <c r="L5271" t="inlineStr">
        <is>
          <t>15:48:20</t>
        </is>
      </c>
      <c r="M5271" t="inlineStr">
        <is>
          <t>15:49:40</t>
        </is>
      </c>
      <c r="P5271" t="inlineStr">
        <is>
          <t>D系統(日中)</t>
        </is>
      </c>
    </row>
    <row r="5272" ht="15" customHeight="1" s="37">
      <c r="A5272" t="n">
        <v>11</v>
      </c>
      <c r="B5272" s="10" t="inlineStr">
        <is>
          <t>平日</t>
        </is>
      </c>
      <c r="C5272" s="10" t="inlineStr">
        <is>
          <t>本線</t>
        </is>
      </c>
      <c r="D5272" s="10" t="inlineStr">
        <is>
          <t>下り</t>
        </is>
      </c>
      <c r="E5272" s="10" t="inlineStr">
        <is>
          <t>連1507</t>
        </is>
      </c>
      <c r="F5272" t="inlineStr">
        <is>
          <t>0112</t>
        </is>
      </c>
      <c r="G5272" s="10" t="inlineStr">
        <is>
          <t>有栖川</t>
        </is>
      </c>
      <c r="H5272" s="10" t="inlineStr">
        <is>
          <t>発</t>
        </is>
      </c>
      <c r="J5272" s="10" t="inlineStr">
        <is>
          <t>営業</t>
        </is>
      </c>
      <c r="L5272" t="inlineStr">
        <is>
          <t>15:50:50</t>
        </is>
      </c>
      <c r="M5272" t="inlineStr">
        <is>
          <t>15:51:15</t>
        </is>
      </c>
      <c r="P5272" t="inlineStr">
        <is>
          <t>D系統(日中)</t>
        </is>
      </c>
    </row>
    <row r="5273" ht="15" customHeight="1" s="37">
      <c r="A5273" t="n">
        <v>11</v>
      </c>
      <c r="B5273" s="10" t="inlineStr">
        <is>
          <t>平日</t>
        </is>
      </c>
      <c r="C5273" s="10" t="inlineStr">
        <is>
          <t>本線</t>
        </is>
      </c>
      <c r="D5273" s="10" t="inlineStr">
        <is>
          <t>下り</t>
        </is>
      </c>
      <c r="E5273" s="10" t="inlineStr">
        <is>
          <t>連1507</t>
        </is>
      </c>
      <c r="F5273" t="inlineStr">
        <is>
          <t>0112</t>
        </is>
      </c>
      <c r="G5273" s="10" t="inlineStr">
        <is>
          <t>車折</t>
        </is>
      </c>
      <c r="H5273" s="10" t="inlineStr">
        <is>
          <t>発</t>
        </is>
      </c>
      <c r="J5273" s="10" t="inlineStr">
        <is>
          <t>営業</t>
        </is>
      </c>
      <c r="L5273" t="inlineStr">
        <is>
          <t>15:52:40</t>
        </is>
      </c>
      <c r="M5273" t="inlineStr">
        <is>
          <t>15:53:05</t>
        </is>
      </c>
      <c r="P5273" t="inlineStr">
        <is>
          <t>D系統(日中)</t>
        </is>
      </c>
    </row>
    <row r="5274" ht="15" customHeight="1" s="37">
      <c r="A5274" t="n">
        <v>11</v>
      </c>
      <c r="B5274" s="10" t="inlineStr">
        <is>
          <t>平日</t>
        </is>
      </c>
      <c r="C5274" s="10" t="inlineStr">
        <is>
          <t>本線</t>
        </is>
      </c>
      <c r="D5274" s="10" t="inlineStr">
        <is>
          <t>下り</t>
        </is>
      </c>
      <c r="E5274" s="10" t="inlineStr">
        <is>
          <t>連1507</t>
        </is>
      </c>
      <c r="F5274" t="inlineStr">
        <is>
          <t>0112</t>
        </is>
      </c>
      <c r="G5274" s="10" t="inlineStr">
        <is>
          <t>鹿王院</t>
        </is>
      </c>
      <c r="H5274" s="10" t="inlineStr">
        <is>
          <t>発</t>
        </is>
      </c>
      <c r="J5274" s="10" t="inlineStr">
        <is>
          <t>営業</t>
        </is>
      </c>
      <c r="L5274" t="inlineStr">
        <is>
          <t>15:54:00</t>
        </is>
      </c>
      <c r="M5274" t="inlineStr">
        <is>
          <t>15:54:25</t>
        </is>
      </c>
      <c r="P5274" t="inlineStr">
        <is>
          <t>D系統(日中)</t>
        </is>
      </c>
    </row>
    <row r="5275" ht="15" customHeight="1" s="37">
      <c r="A5275" t="n">
        <v>11</v>
      </c>
      <c r="B5275" s="10" t="inlineStr">
        <is>
          <t>平日</t>
        </is>
      </c>
      <c r="C5275" s="10" t="inlineStr">
        <is>
          <t>本線</t>
        </is>
      </c>
      <c r="D5275" s="10" t="inlineStr">
        <is>
          <t>下り</t>
        </is>
      </c>
      <c r="E5275" s="10" t="inlineStr">
        <is>
          <t>連1507</t>
        </is>
      </c>
      <c r="F5275" t="inlineStr">
        <is>
          <t>0112</t>
        </is>
      </c>
      <c r="G5275" s="10" t="inlineStr">
        <is>
          <t>嵯峨</t>
        </is>
      </c>
      <c r="H5275" s="10" t="inlineStr">
        <is>
          <t>発</t>
        </is>
      </c>
      <c r="J5275" s="10" t="inlineStr">
        <is>
          <t>営業</t>
        </is>
      </c>
      <c r="L5275" t="inlineStr">
        <is>
          <t>15:55:30</t>
        </is>
      </c>
      <c r="M5275" t="inlineStr">
        <is>
          <t>15:55:55</t>
        </is>
      </c>
      <c r="P5275" t="inlineStr">
        <is>
          <t>D系統(日中)</t>
        </is>
      </c>
    </row>
    <row r="5276" ht="15" customHeight="1" s="37">
      <c r="A5276" t="n">
        <v>11</v>
      </c>
      <c r="B5276" s="10" t="inlineStr">
        <is>
          <t>平日</t>
        </is>
      </c>
      <c r="C5276" s="10" t="inlineStr">
        <is>
          <t>本線</t>
        </is>
      </c>
      <c r="D5276" s="10" t="inlineStr">
        <is>
          <t>下り</t>
        </is>
      </c>
      <c r="E5276" s="10" t="inlineStr">
        <is>
          <t>連1507</t>
        </is>
      </c>
      <c r="F5276" t="inlineStr">
        <is>
          <t>0112</t>
        </is>
      </c>
      <c r="G5276" s="10" t="inlineStr">
        <is>
          <t>嵐山</t>
        </is>
      </c>
      <c r="H5276" s="10" t="inlineStr">
        <is>
          <t>着</t>
        </is>
      </c>
      <c r="J5276" s="10" t="inlineStr">
        <is>
          <t>営業</t>
        </is>
      </c>
      <c r="L5276" t="inlineStr">
        <is>
          <t>15:57:00</t>
        </is>
      </c>
      <c r="P5276" t="inlineStr">
        <is>
          <t>D系統(日中)</t>
        </is>
      </c>
      <c r="Q5276" t="inlineStr">
        <is>
          <t>1</t>
        </is>
      </c>
    </row>
    <row r="5277" ht="15" customHeight="1" s="37">
      <c r="A5277" t="n">
        <v>11</v>
      </c>
      <c r="B5277" s="10" t="inlineStr">
        <is>
          <t>平日</t>
        </is>
      </c>
      <c r="C5277" s="10" t="inlineStr">
        <is>
          <t>本線</t>
        </is>
      </c>
      <c r="D5277" s="10" t="inlineStr">
        <is>
          <t>上り</t>
        </is>
      </c>
      <c r="E5277" s="10" t="inlineStr">
        <is>
          <t>連1602</t>
        </is>
      </c>
      <c r="F5277" t="inlineStr">
        <is>
          <t>2221</t>
        </is>
      </c>
      <c r="G5277" s="10" t="inlineStr">
        <is>
          <t>嵐山</t>
        </is>
      </c>
      <c r="H5277" s="10" t="inlineStr">
        <is>
          <t>発</t>
        </is>
      </c>
      <c r="J5277" s="10" t="inlineStr">
        <is>
          <t>営業</t>
        </is>
      </c>
      <c r="M5277" t="inlineStr">
        <is>
          <t>16:03:00</t>
        </is>
      </c>
      <c r="P5277" t="inlineStr">
        <is>
          <t>D系統(日中)</t>
        </is>
      </c>
      <c r="Q5277" t="inlineStr">
        <is>
          <t>1</t>
        </is>
      </c>
    </row>
    <row r="5278" ht="15" customHeight="1" s="37">
      <c r="A5278" t="n">
        <v>11</v>
      </c>
      <c r="B5278" s="10" t="inlineStr">
        <is>
          <t>平日</t>
        </is>
      </c>
      <c r="C5278" s="10" t="inlineStr">
        <is>
          <t>本線</t>
        </is>
      </c>
      <c r="D5278" s="10" t="inlineStr">
        <is>
          <t>上り</t>
        </is>
      </c>
      <c r="E5278" s="10" t="inlineStr">
        <is>
          <t>連1602</t>
        </is>
      </c>
      <c r="F5278" t="inlineStr">
        <is>
          <t>2221</t>
        </is>
      </c>
      <c r="G5278" s="10" t="inlineStr">
        <is>
          <t>嵯峨</t>
        </is>
      </c>
      <c r="H5278" s="10" t="inlineStr">
        <is>
          <t>発</t>
        </is>
      </c>
      <c r="J5278" s="10" t="inlineStr">
        <is>
          <t>営業</t>
        </is>
      </c>
      <c r="L5278" t="inlineStr">
        <is>
          <t>16:03:55</t>
        </is>
      </c>
      <c r="M5278" t="inlineStr">
        <is>
          <t>16:04:20</t>
        </is>
      </c>
      <c r="P5278" t="inlineStr">
        <is>
          <t>D系統(日中)</t>
        </is>
      </c>
    </row>
    <row r="5279" ht="15" customHeight="1" s="37">
      <c r="A5279" t="n">
        <v>11</v>
      </c>
      <c r="B5279" s="10" t="inlineStr">
        <is>
          <t>平日</t>
        </is>
      </c>
      <c r="C5279" s="10" t="inlineStr">
        <is>
          <t>本線</t>
        </is>
      </c>
      <c r="D5279" s="10" t="inlineStr">
        <is>
          <t>上り</t>
        </is>
      </c>
      <c r="E5279" s="10" t="inlineStr">
        <is>
          <t>連1602</t>
        </is>
      </c>
      <c r="F5279" t="inlineStr">
        <is>
          <t>2221</t>
        </is>
      </c>
      <c r="G5279" s="10" t="inlineStr">
        <is>
          <t>鹿王院</t>
        </is>
      </c>
      <c r="H5279" s="10" t="inlineStr">
        <is>
          <t>発</t>
        </is>
      </c>
      <c r="J5279" s="10" t="inlineStr">
        <is>
          <t>営業</t>
        </is>
      </c>
      <c r="L5279" t="inlineStr">
        <is>
          <t>16:05:25</t>
        </is>
      </c>
      <c r="M5279" t="inlineStr">
        <is>
          <t>16:05:45</t>
        </is>
      </c>
      <c r="P5279" t="inlineStr">
        <is>
          <t>D系統(日中)</t>
        </is>
      </c>
    </row>
    <row r="5280" ht="15" customHeight="1" s="37">
      <c r="A5280" t="n">
        <v>11</v>
      </c>
      <c r="B5280" s="10" t="inlineStr">
        <is>
          <t>平日</t>
        </is>
      </c>
      <c r="C5280" s="10" t="inlineStr">
        <is>
          <t>本線</t>
        </is>
      </c>
      <c r="D5280" s="10" t="inlineStr">
        <is>
          <t>上り</t>
        </is>
      </c>
      <c r="E5280" s="10" t="inlineStr">
        <is>
          <t>連1602</t>
        </is>
      </c>
      <c r="F5280" t="inlineStr">
        <is>
          <t>2221</t>
        </is>
      </c>
      <c r="G5280" s="10" t="inlineStr">
        <is>
          <t>車折</t>
        </is>
      </c>
      <c r="H5280" s="10" t="inlineStr">
        <is>
          <t>発</t>
        </is>
      </c>
      <c r="J5280" s="10" t="inlineStr">
        <is>
          <t>営業</t>
        </is>
      </c>
      <c r="L5280" t="inlineStr">
        <is>
          <t>16:06:40</t>
        </is>
      </c>
      <c r="M5280" t="inlineStr">
        <is>
          <t>16:07:10</t>
        </is>
      </c>
      <c r="P5280" t="inlineStr">
        <is>
          <t>D系統(日中)</t>
        </is>
      </c>
    </row>
    <row r="5281" ht="15" customHeight="1" s="37">
      <c r="A5281" t="n">
        <v>11</v>
      </c>
      <c r="B5281" s="10" t="inlineStr">
        <is>
          <t>平日</t>
        </is>
      </c>
      <c r="C5281" s="10" t="inlineStr">
        <is>
          <t>本線</t>
        </is>
      </c>
      <c r="D5281" s="10" t="inlineStr">
        <is>
          <t>上り</t>
        </is>
      </c>
      <c r="E5281" s="10" t="inlineStr">
        <is>
          <t>連1602</t>
        </is>
      </c>
      <c r="F5281" t="inlineStr">
        <is>
          <t>2221</t>
        </is>
      </c>
      <c r="G5281" s="10" t="inlineStr">
        <is>
          <t>有栖川</t>
        </is>
      </c>
      <c r="H5281" s="10" t="inlineStr">
        <is>
          <t>発</t>
        </is>
      </c>
      <c r="J5281" s="10" t="inlineStr">
        <is>
          <t>営業</t>
        </is>
      </c>
      <c r="L5281" t="inlineStr">
        <is>
          <t>16:08:35</t>
        </is>
      </c>
      <c r="M5281" t="inlineStr">
        <is>
          <t>16:08:55</t>
        </is>
      </c>
      <c r="P5281" t="inlineStr">
        <is>
          <t>D系統(日中)</t>
        </is>
      </c>
    </row>
    <row r="5282" ht="15" customHeight="1" s="37">
      <c r="A5282" t="n">
        <v>11</v>
      </c>
      <c r="B5282" s="10" t="inlineStr">
        <is>
          <t>平日</t>
        </is>
      </c>
      <c r="C5282" s="10" t="inlineStr">
        <is>
          <t>本線</t>
        </is>
      </c>
      <c r="D5282" s="10" t="inlineStr">
        <is>
          <t>上り</t>
        </is>
      </c>
      <c r="E5282" s="10" t="inlineStr">
        <is>
          <t>連1602</t>
        </is>
      </c>
      <c r="F5282" t="inlineStr">
        <is>
          <t>2221</t>
        </is>
      </c>
      <c r="G5282" s="10" t="inlineStr">
        <is>
          <t>帷子ノ辻</t>
        </is>
      </c>
      <c r="H5282" s="10" t="inlineStr">
        <is>
          <t>発</t>
        </is>
      </c>
      <c r="J5282" s="10" t="inlineStr">
        <is>
          <t>営業</t>
        </is>
      </c>
      <c r="L5282" t="inlineStr">
        <is>
          <t>16:10:10</t>
        </is>
      </c>
      <c r="M5282" t="inlineStr">
        <is>
          <t>16:11:15</t>
        </is>
      </c>
      <c r="P5282" t="inlineStr">
        <is>
          <t>D系統(日中)</t>
        </is>
      </c>
    </row>
    <row r="5283" ht="15" customHeight="1" s="37">
      <c r="A5283" t="n">
        <v>11</v>
      </c>
      <c r="B5283" s="10" t="inlineStr">
        <is>
          <t>平日</t>
        </is>
      </c>
      <c r="C5283" s="10" t="inlineStr">
        <is>
          <t>本線</t>
        </is>
      </c>
      <c r="D5283" s="10" t="inlineStr">
        <is>
          <t>上り</t>
        </is>
      </c>
      <c r="E5283" s="10" t="inlineStr">
        <is>
          <t>連1602</t>
        </is>
      </c>
      <c r="F5283" t="inlineStr">
        <is>
          <t>2221</t>
        </is>
      </c>
      <c r="G5283" s="10" t="inlineStr">
        <is>
          <t>太秦広隆寺</t>
        </is>
      </c>
      <c r="H5283" s="10" t="inlineStr">
        <is>
          <t>発</t>
        </is>
      </c>
      <c r="J5283" s="10" t="inlineStr">
        <is>
          <t>営業</t>
        </is>
      </c>
      <c r="L5283" t="inlineStr">
        <is>
          <t>16:13:25</t>
        </is>
      </c>
      <c r="M5283" t="inlineStr">
        <is>
          <t>16:13:45</t>
        </is>
      </c>
      <c r="P5283" t="inlineStr">
        <is>
          <t>D系統(日中)</t>
        </is>
      </c>
    </row>
    <row r="5284" ht="15" customHeight="1" s="37">
      <c r="A5284" t="n">
        <v>11</v>
      </c>
      <c r="B5284" s="10" t="inlineStr">
        <is>
          <t>平日</t>
        </is>
      </c>
      <c r="C5284" s="10" t="inlineStr">
        <is>
          <t>本線</t>
        </is>
      </c>
      <c r="D5284" s="10" t="inlineStr">
        <is>
          <t>上り</t>
        </is>
      </c>
      <c r="E5284" s="10" t="inlineStr">
        <is>
          <t>連1602</t>
        </is>
      </c>
      <c r="F5284" t="inlineStr">
        <is>
          <t>2221</t>
        </is>
      </c>
      <c r="G5284" s="10" t="inlineStr">
        <is>
          <t>蚕ノ社</t>
        </is>
      </c>
      <c r="H5284" s="10" t="inlineStr">
        <is>
          <t>発</t>
        </is>
      </c>
      <c r="J5284" s="10" t="inlineStr">
        <is>
          <t>営業</t>
        </is>
      </c>
      <c r="L5284" t="inlineStr">
        <is>
          <t>16:15:00</t>
        </is>
      </c>
      <c r="M5284" t="inlineStr">
        <is>
          <t>16:15:20</t>
        </is>
      </c>
      <c r="P5284" t="inlineStr">
        <is>
          <t>D系統(日中)</t>
        </is>
      </c>
    </row>
    <row r="5285" ht="15" customHeight="1" s="37">
      <c r="A5285" t="n">
        <v>11</v>
      </c>
      <c r="B5285" s="10" t="inlineStr">
        <is>
          <t>平日</t>
        </is>
      </c>
      <c r="C5285" s="10" t="inlineStr">
        <is>
          <t>本線</t>
        </is>
      </c>
      <c r="D5285" s="10" t="inlineStr">
        <is>
          <t>上り</t>
        </is>
      </c>
      <c r="E5285" s="10" t="inlineStr">
        <is>
          <t>連1602</t>
        </is>
      </c>
      <c r="F5285" t="inlineStr">
        <is>
          <t>2221</t>
        </is>
      </c>
      <c r="G5285" s="10" t="inlineStr">
        <is>
          <t>天神川</t>
        </is>
      </c>
      <c r="H5285" s="10" t="inlineStr">
        <is>
          <t>発</t>
        </is>
      </c>
      <c r="J5285" s="10" t="inlineStr">
        <is>
          <t>営業</t>
        </is>
      </c>
      <c r="L5285" t="inlineStr">
        <is>
          <t>16:16:05</t>
        </is>
      </c>
      <c r="M5285" t="inlineStr">
        <is>
          <t>16:16:50</t>
        </is>
      </c>
      <c r="P5285" t="inlineStr">
        <is>
          <t>D系統(日中)</t>
        </is>
      </c>
    </row>
    <row r="5286" ht="15" customHeight="1" s="37">
      <c r="A5286" t="n">
        <v>11</v>
      </c>
      <c r="B5286" s="10" t="inlineStr">
        <is>
          <t>平日</t>
        </is>
      </c>
      <c r="C5286" s="10" t="inlineStr">
        <is>
          <t>本線</t>
        </is>
      </c>
      <c r="D5286" s="10" t="inlineStr">
        <is>
          <t>上り</t>
        </is>
      </c>
      <c r="E5286" s="10" t="inlineStr">
        <is>
          <t>連1602</t>
        </is>
      </c>
      <c r="F5286" t="inlineStr">
        <is>
          <t>2221</t>
        </is>
      </c>
      <c r="G5286" s="10" t="inlineStr">
        <is>
          <t>山ノ内</t>
        </is>
      </c>
      <c r="H5286" s="10" t="inlineStr">
        <is>
          <t>発</t>
        </is>
      </c>
      <c r="J5286" s="10" t="inlineStr">
        <is>
          <t>営業</t>
        </is>
      </c>
      <c r="L5286" t="inlineStr">
        <is>
          <t>16:18:40</t>
        </is>
      </c>
      <c r="M5286" t="inlineStr">
        <is>
          <t>16:19:05</t>
        </is>
      </c>
      <c r="P5286" t="inlineStr">
        <is>
          <t>D系統(日中)</t>
        </is>
      </c>
    </row>
    <row r="5287" ht="15" customHeight="1" s="37">
      <c r="A5287" t="n">
        <v>11</v>
      </c>
      <c r="B5287" s="10" t="inlineStr">
        <is>
          <t>平日</t>
        </is>
      </c>
      <c r="C5287" s="10" t="inlineStr">
        <is>
          <t>本線</t>
        </is>
      </c>
      <c r="D5287" s="10" t="inlineStr">
        <is>
          <t>上り</t>
        </is>
      </c>
      <c r="E5287" s="10" t="inlineStr">
        <is>
          <t>連1602</t>
        </is>
      </c>
      <c r="F5287" t="inlineStr">
        <is>
          <t>2221</t>
        </is>
      </c>
      <c r="G5287" s="10" t="inlineStr">
        <is>
          <t>西大路三条</t>
        </is>
      </c>
      <c r="H5287" s="10" t="inlineStr">
        <is>
          <t>発</t>
        </is>
      </c>
      <c r="J5287" s="10" t="inlineStr">
        <is>
          <t>営業</t>
        </is>
      </c>
      <c r="L5287" t="inlineStr">
        <is>
          <t>16:20:55</t>
        </is>
      </c>
      <c r="M5287" t="inlineStr">
        <is>
          <t>16:21:15</t>
        </is>
      </c>
      <c r="P5287" t="inlineStr">
        <is>
          <t>D系統(日中)</t>
        </is>
      </c>
    </row>
    <row r="5288" ht="15" customHeight="1" s="37">
      <c r="A5288" t="n">
        <v>11</v>
      </c>
      <c r="B5288" s="10" t="inlineStr">
        <is>
          <t>平日</t>
        </is>
      </c>
      <c r="C5288" s="10" t="inlineStr">
        <is>
          <t>本線</t>
        </is>
      </c>
      <c r="D5288" s="10" t="inlineStr">
        <is>
          <t>上り</t>
        </is>
      </c>
      <c r="E5288" s="10" t="inlineStr">
        <is>
          <t>連1602</t>
        </is>
      </c>
      <c r="F5288" t="inlineStr">
        <is>
          <t>2221</t>
        </is>
      </c>
      <c r="G5288" s="10" t="inlineStr">
        <is>
          <t>西院</t>
        </is>
      </c>
      <c r="H5288" s="10" t="inlineStr">
        <is>
          <t>発</t>
        </is>
      </c>
      <c r="J5288" s="10" t="inlineStr">
        <is>
          <t>営業</t>
        </is>
      </c>
      <c r="L5288" t="inlineStr">
        <is>
          <t>16:23:10</t>
        </is>
      </c>
      <c r="M5288" t="inlineStr">
        <is>
          <t>16:24:05</t>
        </is>
      </c>
      <c r="P5288" t="inlineStr">
        <is>
          <t>D系統(日中)</t>
        </is>
      </c>
    </row>
    <row r="5289" ht="15" customHeight="1" s="37">
      <c r="A5289" t="n">
        <v>11</v>
      </c>
      <c r="B5289" s="10" t="inlineStr">
        <is>
          <t>平日</t>
        </is>
      </c>
      <c r="C5289" s="10" t="inlineStr">
        <is>
          <t>本線</t>
        </is>
      </c>
      <c r="D5289" s="10" t="inlineStr">
        <is>
          <t>上り</t>
        </is>
      </c>
      <c r="E5289" s="10" t="inlineStr">
        <is>
          <t>連1602</t>
        </is>
      </c>
      <c r="F5289" t="inlineStr">
        <is>
          <t>2221</t>
        </is>
      </c>
      <c r="G5289" s="10" t="inlineStr">
        <is>
          <t>四条大宮</t>
        </is>
      </c>
      <c r="H5289" s="10" t="inlineStr">
        <is>
          <t>着</t>
        </is>
      </c>
      <c r="J5289" s="10" t="inlineStr">
        <is>
          <t>営業</t>
        </is>
      </c>
      <c r="L5289" t="inlineStr">
        <is>
          <t>16:27:00</t>
        </is>
      </c>
      <c r="P5289" t="inlineStr">
        <is>
          <t>D系統(日中)</t>
        </is>
      </c>
      <c r="Q5289" t="inlineStr">
        <is>
          <t>1</t>
        </is>
      </c>
    </row>
    <row r="5290" ht="15" customHeight="1" s="37">
      <c r="A5290" t="n">
        <v>11</v>
      </c>
      <c r="B5290" s="10" t="inlineStr">
        <is>
          <t>平日</t>
        </is>
      </c>
      <c r="C5290" s="10" t="inlineStr">
        <is>
          <t>本線</t>
        </is>
      </c>
      <c r="D5290" s="10" t="inlineStr">
        <is>
          <t>下り</t>
        </is>
      </c>
      <c r="E5290" s="10" t="inlineStr">
        <is>
          <t>連1607</t>
        </is>
      </c>
      <c r="F5290" t="inlineStr">
        <is>
          <t>0112</t>
        </is>
      </c>
      <c r="G5290" s="10" t="inlineStr">
        <is>
          <t>四条大宮</t>
        </is>
      </c>
      <c r="H5290" s="10" t="inlineStr">
        <is>
          <t>発</t>
        </is>
      </c>
      <c r="J5290" s="10" t="inlineStr">
        <is>
          <t>営業</t>
        </is>
      </c>
      <c r="M5290" t="inlineStr">
        <is>
          <t>16:33:00</t>
        </is>
      </c>
      <c r="P5290" t="inlineStr">
        <is>
          <t>D系統(日中)</t>
        </is>
      </c>
      <c r="Q5290" t="inlineStr">
        <is>
          <t>1</t>
        </is>
      </c>
    </row>
    <row r="5291" ht="15" customHeight="1" s="37">
      <c r="A5291" t="n">
        <v>11</v>
      </c>
      <c r="B5291" s="10" t="inlineStr">
        <is>
          <t>平日</t>
        </is>
      </c>
      <c r="C5291" s="10" t="inlineStr">
        <is>
          <t>本線</t>
        </is>
      </c>
      <c r="D5291" s="10" t="inlineStr">
        <is>
          <t>下り</t>
        </is>
      </c>
      <c r="E5291" s="10" t="inlineStr">
        <is>
          <t>連1607</t>
        </is>
      </c>
      <c r="F5291" t="inlineStr">
        <is>
          <t>0112</t>
        </is>
      </c>
      <c r="G5291" s="10" t="inlineStr">
        <is>
          <t>西院</t>
        </is>
      </c>
      <c r="H5291" s="10" t="inlineStr">
        <is>
          <t>発</t>
        </is>
      </c>
      <c r="J5291" s="10" t="inlineStr">
        <is>
          <t>営業</t>
        </is>
      </c>
      <c r="L5291" t="inlineStr">
        <is>
          <t>16:35:50</t>
        </is>
      </c>
      <c r="M5291" t="inlineStr">
        <is>
          <t>16:36:20</t>
        </is>
      </c>
      <c r="P5291" t="inlineStr">
        <is>
          <t>D系統(日中)</t>
        </is>
      </c>
    </row>
    <row r="5292" ht="15" customHeight="1" s="37">
      <c r="A5292" t="n">
        <v>11</v>
      </c>
      <c r="B5292" s="10" t="inlineStr">
        <is>
          <t>平日</t>
        </is>
      </c>
      <c r="C5292" s="10" t="inlineStr">
        <is>
          <t>本線</t>
        </is>
      </c>
      <c r="D5292" s="10" t="inlineStr">
        <is>
          <t>下り</t>
        </is>
      </c>
      <c r="E5292" s="10" t="inlineStr">
        <is>
          <t>連1607</t>
        </is>
      </c>
      <c r="F5292" t="inlineStr">
        <is>
          <t>0112</t>
        </is>
      </c>
      <c r="G5292" s="10" t="inlineStr">
        <is>
          <t>西大路三条</t>
        </is>
      </c>
      <c r="H5292" s="10" t="inlineStr">
        <is>
          <t>発</t>
        </is>
      </c>
      <c r="J5292" s="10" t="inlineStr">
        <is>
          <t>営業</t>
        </is>
      </c>
      <c r="L5292" t="inlineStr">
        <is>
          <t>16:38:10</t>
        </is>
      </c>
      <c r="M5292" t="inlineStr">
        <is>
          <t>16:38:30</t>
        </is>
      </c>
      <c r="P5292" t="inlineStr">
        <is>
          <t>D系統(日中)</t>
        </is>
      </c>
    </row>
    <row r="5293" ht="15" customHeight="1" s="37">
      <c r="A5293" t="n">
        <v>11</v>
      </c>
      <c r="B5293" s="10" t="inlineStr">
        <is>
          <t>平日</t>
        </is>
      </c>
      <c r="C5293" s="10" t="inlineStr">
        <is>
          <t>本線</t>
        </is>
      </c>
      <c r="D5293" s="10" t="inlineStr">
        <is>
          <t>下り</t>
        </is>
      </c>
      <c r="E5293" s="10" t="inlineStr">
        <is>
          <t>連1607</t>
        </is>
      </c>
      <c r="F5293" t="inlineStr">
        <is>
          <t>0112</t>
        </is>
      </c>
      <c r="G5293" s="10" t="inlineStr">
        <is>
          <t>山ノ内</t>
        </is>
      </c>
      <c r="H5293" s="10" t="inlineStr">
        <is>
          <t>発</t>
        </is>
      </c>
      <c r="J5293" s="10" t="inlineStr">
        <is>
          <t>営業</t>
        </is>
      </c>
      <c r="L5293" t="inlineStr">
        <is>
          <t>16:40:25</t>
        </is>
      </c>
      <c r="M5293" t="inlineStr">
        <is>
          <t>16:40:50</t>
        </is>
      </c>
      <c r="P5293" t="inlineStr">
        <is>
          <t>D系統(日中)</t>
        </is>
      </c>
    </row>
    <row r="5294" ht="15" customHeight="1" s="37">
      <c r="A5294" t="n">
        <v>11</v>
      </c>
      <c r="B5294" s="10" t="inlineStr">
        <is>
          <t>平日</t>
        </is>
      </c>
      <c r="C5294" s="10" t="inlineStr">
        <is>
          <t>本線</t>
        </is>
      </c>
      <c r="D5294" s="10" t="inlineStr">
        <is>
          <t>下り</t>
        </is>
      </c>
      <c r="E5294" s="10" t="inlineStr">
        <is>
          <t>連1607</t>
        </is>
      </c>
      <c r="F5294" t="inlineStr">
        <is>
          <t>0112</t>
        </is>
      </c>
      <c r="G5294" s="10" t="inlineStr">
        <is>
          <t>天神川</t>
        </is>
      </c>
      <c r="H5294" s="10" t="inlineStr">
        <is>
          <t>発</t>
        </is>
      </c>
      <c r="J5294" s="10" t="inlineStr">
        <is>
          <t>営業</t>
        </is>
      </c>
      <c r="L5294" t="inlineStr">
        <is>
          <t>16:42:50</t>
        </is>
      </c>
      <c r="M5294" t="inlineStr">
        <is>
          <t>16:43:30</t>
        </is>
      </c>
      <c r="P5294" t="inlineStr">
        <is>
          <t>D系統(日中)</t>
        </is>
      </c>
    </row>
    <row r="5295" ht="15" customHeight="1" s="37">
      <c r="A5295" t="n">
        <v>11</v>
      </c>
      <c r="B5295" s="10" t="inlineStr">
        <is>
          <t>平日</t>
        </is>
      </c>
      <c r="C5295" s="10" t="inlineStr">
        <is>
          <t>本線</t>
        </is>
      </c>
      <c r="D5295" s="10" t="inlineStr">
        <is>
          <t>下り</t>
        </is>
      </c>
      <c r="E5295" s="10" t="inlineStr">
        <is>
          <t>連1607</t>
        </is>
      </c>
      <c r="F5295" t="inlineStr">
        <is>
          <t>0112</t>
        </is>
      </c>
      <c r="G5295" s="10" t="inlineStr">
        <is>
          <t>蚕ノ社</t>
        </is>
      </c>
      <c r="H5295" s="10" t="inlineStr">
        <is>
          <t>発</t>
        </is>
      </c>
      <c r="J5295" s="10" t="inlineStr">
        <is>
          <t>営業</t>
        </is>
      </c>
      <c r="L5295" t="inlineStr">
        <is>
          <t>16:44:20</t>
        </is>
      </c>
      <c r="M5295" t="inlineStr">
        <is>
          <t>16:44:40</t>
        </is>
      </c>
      <c r="P5295" t="inlineStr">
        <is>
          <t>D系統(日中)</t>
        </is>
      </c>
    </row>
    <row r="5296" ht="15" customHeight="1" s="37">
      <c r="A5296" t="n">
        <v>11</v>
      </c>
      <c r="B5296" s="10" t="inlineStr">
        <is>
          <t>平日</t>
        </is>
      </c>
      <c r="C5296" s="10" t="inlineStr">
        <is>
          <t>本線</t>
        </is>
      </c>
      <c r="D5296" s="10" t="inlineStr">
        <is>
          <t>下り</t>
        </is>
      </c>
      <c r="E5296" s="10" t="inlineStr">
        <is>
          <t>連1607</t>
        </is>
      </c>
      <c r="F5296" t="inlineStr">
        <is>
          <t>0112</t>
        </is>
      </c>
      <c r="G5296" s="10" t="inlineStr">
        <is>
          <t>太秦広隆寺</t>
        </is>
      </c>
      <c r="H5296" s="10" t="inlineStr">
        <is>
          <t>発</t>
        </is>
      </c>
      <c r="J5296" s="10" t="inlineStr">
        <is>
          <t>営業</t>
        </is>
      </c>
      <c r="L5296" t="inlineStr">
        <is>
          <t>16:46:00</t>
        </is>
      </c>
      <c r="M5296" t="inlineStr">
        <is>
          <t>16:46:20</t>
        </is>
      </c>
      <c r="P5296" t="inlineStr">
        <is>
          <t>D系統(日中)</t>
        </is>
      </c>
    </row>
    <row r="5297" ht="15" customHeight="1" s="37">
      <c r="A5297" t="n">
        <v>11</v>
      </c>
      <c r="B5297" s="10" t="inlineStr">
        <is>
          <t>平日</t>
        </is>
      </c>
      <c r="C5297" s="10" t="inlineStr">
        <is>
          <t>本線</t>
        </is>
      </c>
      <c r="D5297" s="10" t="inlineStr">
        <is>
          <t>下り</t>
        </is>
      </c>
      <c r="E5297" s="10" t="inlineStr">
        <is>
          <t>連1607</t>
        </is>
      </c>
      <c r="F5297" t="inlineStr">
        <is>
          <t>0112</t>
        </is>
      </c>
      <c r="G5297" s="10" t="inlineStr">
        <is>
          <t>帷子ノ辻</t>
        </is>
      </c>
      <c r="H5297" s="10" t="inlineStr">
        <is>
          <t>発</t>
        </is>
      </c>
      <c r="J5297" s="10" t="inlineStr">
        <is>
          <t>営業</t>
        </is>
      </c>
      <c r="L5297" t="inlineStr">
        <is>
          <t>16:48:20</t>
        </is>
      </c>
      <c r="M5297" t="inlineStr">
        <is>
          <t>16:49:40</t>
        </is>
      </c>
      <c r="P5297" t="inlineStr">
        <is>
          <t>D系統(日中)</t>
        </is>
      </c>
    </row>
    <row r="5298" ht="15" customHeight="1" s="37">
      <c r="A5298" t="n">
        <v>11</v>
      </c>
      <c r="B5298" s="10" t="inlineStr">
        <is>
          <t>平日</t>
        </is>
      </c>
      <c r="C5298" s="10" t="inlineStr">
        <is>
          <t>本線</t>
        </is>
      </c>
      <c r="D5298" s="10" t="inlineStr">
        <is>
          <t>下り</t>
        </is>
      </c>
      <c r="E5298" s="10" t="inlineStr">
        <is>
          <t>連1607</t>
        </is>
      </c>
      <c r="F5298" t="inlineStr">
        <is>
          <t>0112</t>
        </is>
      </c>
      <c r="G5298" s="10" t="inlineStr">
        <is>
          <t>有栖川</t>
        </is>
      </c>
      <c r="H5298" s="10" t="inlineStr">
        <is>
          <t>発</t>
        </is>
      </c>
      <c r="J5298" s="10" t="inlineStr">
        <is>
          <t>営業</t>
        </is>
      </c>
      <c r="L5298" t="inlineStr">
        <is>
          <t>16:50:50</t>
        </is>
      </c>
      <c r="M5298" t="inlineStr">
        <is>
          <t>16:51:15</t>
        </is>
      </c>
      <c r="P5298" t="inlineStr">
        <is>
          <t>D系統(日中)</t>
        </is>
      </c>
    </row>
    <row r="5299" ht="15" customHeight="1" s="37">
      <c r="A5299" t="n">
        <v>11</v>
      </c>
      <c r="B5299" s="10" t="inlineStr">
        <is>
          <t>平日</t>
        </is>
      </c>
      <c r="C5299" s="10" t="inlineStr">
        <is>
          <t>本線</t>
        </is>
      </c>
      <c r="D5299" s="10" t="inlineStr">
        <is>
          <t>下り</t>
        </is>
      </c>
      <c r="E5299" s="10" t="inlineStr">
        <is>
          <t>連1607</t>
        </is>
      </c>
      <c r="F5299" t="inlineStr">
        <is>
          <t>0112</t>
        </is>
      </c>
      <c r="G5299" s="10" t="inlineStr">
        <is>
          <t>車折</t>
        </is>
      </c>
      <c r="H5299" s="10" t="inlineStr">
        <is>
          <t>発</t>
        </is>
      </c>
      <c r="J5299" s="10" t="inlineStr">
        <is>
          <t>営業</t>
        </is>
      </c>
      <c r="L5299" t="inlineStr">
        <is>
          <t>16:52:40</t>
        </is>
      </c>
      <c r="M5299" t="inlineStr">
        <is>
          <t>16:53:05</t>
        </is>
      </c>
      <c r="P5299" t="inlineStr">
        <is>
          <t>D系統(日中)</t>
        </is>
      </c>
    </row>
    <row r="5300" ht="15" customHeight="1" s="37">
      <c r="A5300" t="n">
        <v>11</v>
      </c>
      <c r="B5300" s="10" t="inlineStr">
        <is>
          <t>平日</t>
        </is>
      </c>
      <c r="C5300" s="10" t="inlineStr">
        <is>
          <t>本線</t>
        </is>
      </c>
      <c r="D5300" s="10" t="inlineStr">
        <is>
          <t>下り</t>
        </is>
      </c>
      <c r="E5300" s="10" t="inlineStr">
        <is>
          <t>連1607</t>
        </is>
      </c>
      <c r="F5300" t="inlineStr">
        <is>
          <t>0112</t>
        </is>
      </c>
      <c r="G5300" s="10" t="inlineStr">
        <is>
          <t>鹿王院</t>
        </is>
      </c>
      <c r="H5300" s="10" t="inlineStr">
        <is>
          <t>発</t>
        </is>
      </c>
      <c r="J5300" s="10" t="inlineStr">
        <is>
          <t>営業</t>
        </is>
      </c>
      <c r="L5300" t="inlineStr">
        <is>
          <t>16:54:00</t>
        </is>
      </c>
      <c r="M5300" t="inlineStr">
        <is>
          <t>16:54:25</t>
        </is>
      </c>
      <c r="P5300" t="inlineStr">
        <is>
          <t>D系統(日中)</t>
        </is>
      </c>
    </row>
    <row r="5301" ht="15" customHeight="1" s="37">
      <c r="A5301" t="n">
        <v>11</v>
      </c>
      <c r="B5301" s="10" t="inlineStr">
        <is>
          <t>平日</t>
        </is>
      </c>
      <c r="C5301" s="10" t="inlineStr">
        <is>
          <t>本線</t>
        </is>
      </c>
      <c r="D5301" s="10" t="inlineStr">
        <is>
          <t>下り</t>
        </is>
      </c>
      <c r="E5301" s="10" t="inlineStr">
        <is>
          <t>連1607</t>
        </is>
      </c>
      <c r="F5301" t="inlineStr">
        <is>
          <t>0112</t>
        </is>
      </c>
      <c r="G5301" s="10" t="inlineStr">
        <is>
          <t>嵯峨</t>
        </is>
      </c>
      <c r="H5301" s="10" t="inlineStr">
        <is>
          <t>発</t>
        </is>
      </c>
      <c r="J5301" s="10" t="inlineStr">
        <is>
          <t>営業</t>
        </is>
      </c>
      <c r="L5301" t="inlineStr">
        <is>
          <t>16:55:30</t>
        </is>
      </c>
      <c r="M5301" t="inlineStr">
        <is>
          <t>16:55:55</t>
        </is>
      </c>
      <c r="P5301" t="inlineStr">
        <is>
          <t>D系統(日中)</t>
        </is>
      </c>
    </row>
    <row r="5302" ht="15" customHeight="1" s="37">
      <c r="A5302" t="n">
        <v>11</v>
      </c>
      <c r="B5302" s="10" t="inlineStr">
        <is>
          <t>平日</t>
        </is>
      </c>
      <c r="C5302" s="10" t="inlineStr">
        <is>
          <t>本線</t>
        </is>
      </c>
      <c r="D5302" s="10" t="inlineStr">
        <is>
          <t>下り</t>
        </is>
      </c>
      <c r="E5302" s="10" t="inlineStr">
        <is>
          <t>連1607</t>
        </is>
      </c>
      <c r="F5302" t="inlineStr">
        <is>
          <t>0112</t>
        </is>
      </c>
      <c r="G5302" s="10" t="inlineStr">
        <is>
          <t>嵐山</t>
        </is>
      </c>
      <c r="H5302" s="10" t="inlineStr">
        <is>
          <t>着</t>
        </is>
      </c>
      <c r="J5302" s="10" t="inlineStr">
        <is>
          <t>営業</t>
        </is>
      </c>
      <c r="L5302" t="inlineStr">
        <is>
          <t>16:57:00</t>
        </is>
      </c>
      <c r="P5302" t="inlineStr">
        <is>
          <t>D系統(日中)</t>
        </is>
      </c>
      <c r="Q5302" t="inlineStr">
        <is>
          <t>1</t>
        </is>
      </c>
    </row>
    <row r="5303" ht="15" customHeight="1" s="37">
      <c r="A5303" t="n">
        <v>11</v>
      </c>
      <c r="B5303" s="10" t="inlineStr">
        <is>
          <t>平日</t>
        </is>
      </c>
      <c r="C5303" s="10" t="inlineStr">
        <is>
          <t>本線</t>
        </is>
      </c>
      <c r="D5303" s="10" t="inlineStr">
        <is>
          <t>上り</t>
        </is>
      </c>
      <c r="E5303" s="10" t="inlineStr">
        <is>
          <t>連1702</t>
        </is>
      </c>
      <c r="F5303" t="inlineStr">
        <is>
          <t>2221</t>
        </is>
      </c>
      <c r="G5303" s="10" t="inlineStr">
        <is>
          <t>嵐山</t>
        </is>
      </c>
      <c r="H5303" s="10" t="inlineStr">
        <is>
          <t>発</t>
        </is>
      </c>
      <c r="J5303" s="10" t="inlineStr">
        <is>
          <t>営業</t>
        </is>
      </c>
      <c r="M5303" t="inlineStr">
        <is>
          <t>17:03:00</t>
        </is>
      </c>
      <c r="P5303" t="inlineStr">
        <is>
          <t>D系統(日中)</t>
        </is>
      </c>
      <c r="Q5303" t="inlineStr">
        <is>
          <t>1</t>
        </is>
      </c>
      <c r="U5303" t="inlineStr">
        <is>
          <t>→西院 休憩(17:36〜18:46)</t>
        </is>
      </c>
    </row>
    <row r="5304" ht="15" customHeight="1" s="37">
      <c r="A5304" t="n">
        <v>11</v>
      </c>
      <c r="B5304" s="10" t="inlineStr">
        <is>
          <t>平日</t>
        </is>
      </c>
      <c r="C5304" s="10" t="inlineStr">
        <is>
          <t>本線</t>
        </is>
      </c>
      <c r="D5304" s="10" t="inlineStr">
        <is>
          <t>上り</t>
        </is>
      </c>
      <c r="E5304" s="10" t="inlineStr">
        <is>
          <t>連1702</t>
        </is>
      </c>
      <c r="F5304" t="inlineStr">
        <is>
          <t>2221</t>
        </is>
      </c>
      <c r="G5304" s="10" t="inlineStr">
        <is>
          <t>嵯峨</t>
        </is>
      </c>
      <c r="H5304" s="10" t="inlineStr">
        <is>
          <t>発</t>
        </is>
      </c>
      <c r="J5304" s="10" t="inlineStr">
        <is>
          <t>営業</t>
        </is>
      </c>
      <c r="L5304" t="inlineStr">
        <is>
          <t>17:03:55</t>
        </is>
      </c>
      <c r="M5304" t="inlineStr">
        <is>
          <t>17:04:20</t>
        </is>
      </c>
      <c r="P5304" t="inlineStr">
        <is>
          <t>D系統(日中)</t>
        </is>
      </c>
      <c r="U5304" t="inlineStr">
        <is>
          <t>→西院 休憩(17:36〜18:46)</t>
        </is>
      </c>
    </row>
    <row r="5305" ht="15" customHeight="1" s="37">
      <c r="A5305" t="n">
        <v>11</v>
      </c>
      <c r="B5305" s="10" t="inlineStr">
        <is>
          <t>平日</t>
        </is>
      </c>
      <c r="C5305" s="10" t="inlineStr">
        <is>
          <t>本線</t>
        </is>
      </c>
      <c r="D5305" s="10" t="inlineStr">
        <is>
          <t>上り</t>
        </is>
      </c>
      <c r="E5305" s="10" t="inlineStr">
        <is>
          <t>連1702</t>
        </is>
      </c>
      <c r="F5305" t="inlineStr">
        <is>
          <t>2221</t>
        </is>
      </c>
      <c r="G5305" s="10" t="inlineStr">
        <is>
          <t>鹿王院</t>
        </is>
      </c>
      <c r="H5305" s="10" t="inlineStr">
        <is>
          <t>発</t>
        </is>
      </c>
      <c r="J5305" s="10" t="inlineStr">
        <is>
          <t>営業</t>
        </is>
      </c>
      <c r="L5305" t="inlineStr">
        <is>
          <t>17:05:25</t>
        </is>
      </c>
      <c r="M5305" t="inlineStr">
        <is>
          <t>17:05:45</t>
        </is>
      </c>
      <c r="P5305" t="inlineStr">
        <is>
          <t>D系統(日中)</t>
        </is>
      </c>
      <c r="U5305" t="inlineStr">
        <is>
          <t>→西院 休憩(17:36〜18:46)</t>
        </is>
      </c>
    </row>
    <row r="5306" ht="15" customHeight="1" s="37">
      <c r="A5306" t="n">
        <v>11</v>
      </c>
      <c r="B5306" s="10" t="inlineStr">
        <is>
          <t>平日</t>
        </is>
      </c>
      <c r="C5306" s="10" t="inlineStr">
        <is>
          <t>本線</t>
        </is>
      </c>
      <c r="D5306" s="10" t="inlineStr">
        <is>
          <t>上り</t>
        </is>
      </c>
      <c r="E5306" s="10" t="inlineStr">
        <is>
          <t>連1702</t>
        </is>
      </c>
      <c r="F5306" t="inlineStr">
        <is>
          <t>2221</t>
        </is>
      </c>
      <c r="G5306" s="10" t="inlineStr">
        <is>
          <t>車折</t>
        </is>
      </c>
      <c r="H5306" s="10" t="inlineStr">
        <is>
          <t>発</t>
        </is>
      </c>
      <c r="J5306" s="10" t="inlineStr">
        <is>
          <t>営業</t>
        </is>
      </c>
      <c r="L5306" t="inlineStr">
        <is>
          <t>17:06:40</t>
        </is>
      </c>
      <c r="M5306" t="inlineStr">
        <is>
          <t>17:07:10</t>
        </is>
      </c>
      <c r="P5306" t="inlineStr">
        <is>
          <t>D系統(日中)</t>
        </is>
      </c>
      <c r="U5306" t="inlineStr">
        <is>
          <t>→西院 休憩(17:36〜18:46)</t>
        </is>
      </c>
    </row>
    <row r="5307" ht="15" customHeight="1" s="37">
      <c r="A5307" t="n">
        <v>11</v>
      </c>
      <c r="B5307" s="10" t="inlineStr">
        <is>
          <t>平日</t>
        </is>
      </c>
      <c r="C5307" s="10" t="inlineStr">
        <is>
          <t>本線</t>
        </is>
      </c>
      <c r="D5307" s="10" t="inlineStr">
        <is>
          <t>上り</t>
        </is>
      </c>
      <c r="E5307" s="10" t="inlineStr">
        <is>
          <t>連1702</t>
        </is>
      </c>
      <c r="F5307" t="inlineStr">
        <is>
          <t>2221</t>
        </is>
      </c>
      <c r="G5307" s="10" t="inlineStr">
        <is>
          <t>有栖川</t>
        </is>
      </c>
      <c r="H5307" s="10" t="inlineStr">
        <is>
          <t>発</t>
        </is>
      </c>
      <c r="J5307" s="10" t="inlineStr">
        <is>
          <t>営業</t>
        </is>
      </c>
      <c r="L5307" t="inlineStr">
        <is>
          <t>17:08:35</t>
        </is>
      </c>
      <c r="M5307" t="inlineStr">
        <is>
          <t>17:08:55</t>
        </is>
      </c>
      <c r="P5307" t="inlineStr">
        <is>
          <t>D系統(日中)</t>
        </is>
      </c>
      <c r="U5307" t="inlineStr">
        <is>
          <t>→西院 休憩(17:36〜18:46)</t>
        </is>
      </c>
    </row>
    <row r="5308" ht="15" customHeight="1" s="37">
      <c r="A5308" t="n">
        <v>11</v>
      </c>
      <c r="B5308" s="10" t="inlineStr">
        <is>
          <t>平日</t>
        </is>
      </c>
      <c r="C5308" s="10" t="inlineStr">
        <is>
          <t>本線</t>
        </is>
      </c>
      <c r="D5308" s="10" t="inlineStr">
        <is>
          <t>上り</t>
        </is>
      </c>
      <c r="E5308" s="10" t="inlineStr">
        <is>
          <t>連1702</t>
        </is>
      </c>
      <c r="F5308" t="inlineStr">
        <is>
          <t>2221</t>
        </is>
      </c>
      <c r="G5308" s="10" t="inlineStr">
        <is>
          <t>帷子ノ辻</t>
        </is>
      </c>
      <c r="H5308" s="10" t="inlineStr">
        <is>
          <t>発</t>
        </is>
      </c>
      <c r="J5308" s="10" t="inlineStr">
        <is>
          <t>営業</t>
        </is>
      </c>
      <c r="L5308" t="inlineStr">
        <is>
          <t>17:10:10</t>
        </is>
      </c>
      <c r="M5308" t="inlineStr">
        <is>
          <t>17:11:15</t>
        </is>
      </c>
      <c r="P5308" t="inlineStr">
        <is>
          <t>D系統(日中)</t>
        </is>
      </c>
      <c r="U5308" t="inlineStr">
        <is>
          <t>→西院 休憩(17:36〜18:46)</t>
        </is>
      </c>
    </row>
    <row r="5309" ht="15" customHeight="1" s="37">
      <c r="A5309" t="n">
        <v>11</v>
      </c>
      <c r="B5309" s="10" t="inlineStr">
        <is>
          <t>平日</t>
        </is>
      </c>
      <c r="C5309" s="10" t="inlineStr">
        <is>
          <t>本線</t>
        </is>
      </c>
      <c r="D5309" s="10" t="inlineStr">
        <is>
          <t>上り</t>
        </is>
      </c>
      <c r="E5309" s="10" t="inlineStr">
        <is>
          <t>連1702</t>
        </is>
      </c>
      <c r="F5309" t="inlineStr">
        <is>
          <t>2221</t>
        </is>
      </c>
      <c r="G5309" s="10" t="inlineStr">
        <is>
          <t>太秦広隆寺</t>
        </is>
      </c>
      <c r="H5309" s="10" t="inlineStr">
        <is>
          <t>発</t>
        </is>
      </c>
      <c r="J5309" s="10" t="inlineStr">
        <is>
          <t>営業</t>
        </is>
      </c>
      <c r="L5309" t="inlineStr">
        <is>
          <t>17:13:25</t>
        </is>
      </c>
      <c r="M5309" t="inlineStr">
        <is>
          <t>17:13:45</t>
        </is>
      </c>
      <c r="P5309" t="inlineStr">
        <is>
          <t>D系統(日中)</t>
        </is>
      </c>
      <c r="U5309" t="inlineStr">
        <is>
          <t>→西院 休憩(17:36〜18:46)</t>
        </is>
      </c>
    </row>
    <row r="5310" ht="15" customHeight="1" s="37">
      <c r="A5310" t="n">
        <v>11</v>
      </c>
      <c r="B5310" s="10" t="inlineStr">
        <is>
          <t>平日</t>
        </is>
      </c>
      <c r="C5310" s="10" t="inlineStr">
        <is>
          <t>本線</t>
        </is>
      </c>
      <c r="D5310" s="10" t="inlineStr">
        <is>
          <t>上り</t>
        </is>
      </c>
      <c r="E5310" s="10" t="inlineStr">
        <is>
          <t>連1702</t>
        </is>
      </c>
      <c r="F5310" t="inlineStr">
        <is>
          <t>2221</t>
        </is>
      </c>
      <c r="G5310" s="10" t="inlineStr">
        <is>
          <t>蚕ノ社</t>
        </is>
      </c>
      <c r="H5310" s="10" t="inlineStr">
        <is>
          <t>発</t>
        </is>
      </c>
      <c r="J5310" s="10" t="inlineStr">
        <is>
          <t>営業</t>
        </is>
      </c>
      <c r="L5310" t="inlineStr">
        <is>
          <t>17:15:00</t>
        </is>
      </c>
      <c r="M5310" t="inlineStr">
        <is>
          <t>17:15:20</t>
        </is>
      </c>
      <c r="P5310" t="inlineStr">
        <is>
          <t>D系統(日中)</t>
        </is>
      </c>
      <c r="U5310" t="inlineStr">
        <is>
          <t>→西院 休憩(17:36〜18:46)</t>
        </is>
      </c>
    </row>
    <row r="5311" ht="15" customHeight="1" s="37">
      <c r="A5311" t="n">
        <v>11</v>
      </c>
      <c r="B5311" s="10" t="inlineStr">
        <is>
          <t>平日</t>
        </is>
      </c>
      <c r="C5311" s="10" t="inlineStr">
        <is>
          <t>本線</t>
        </is>
      </c>
      <c r="D5311" s="10" t="inlineStr">
        <is>
          <t>上り</t>
        </is>
      </c>
      <c r="E5311" s="10" t="inlineStr">
        <is>
          <t>連1702</t>
        </is>
      </c>
      <c r="F5311" t="inlineStr">
        <is>
          <t>2221</t>
        </is>
      </c>
      <c r="G5311" s="10" t="inlineStr">
        <is>
          <t>天神川</t>
        </is>
      </c>
      <c r="H5311" s="10" t="inlineStr">
        <is>
          <t>発</t>
        </is>
      </c>
      <c r="J5311" s="10" t="inlineStr">
        <is>
          <t>営業</t>
        </is>
      </c>
      <c r="L5311" t="inlineStr">
        <is>
          <t>17:16:05</t>
        </is>
      </c>
      <c r="M5311" t="inlineStr">
        <is>
          <t>17:16:50</t>
        </is>
      </c>
      <c r="P5311" t="inlineStr">
        <is>
          <t>D系統(日中)</t>
        </is>
      </c>
      <c r="U5311" t="inlineStr">
        <is>
          <t>→西院 休憩(17:36〜18:46)</t>
        </is>
      </c>
    </row>
    <row r="5312" ht="15" customHeight="1" s="37">
      <c r="A5312" t="n">
        <v>11</v>
      </c>
      <c r="B5312" s="10" t="inlineStr">
        <is>
          <t>平日</t>
        </is>
      </c>
      <c r="C5312" s="10" t="inlineStr">
        <is>
          <t>本線</t>
        </is>
      </c>
      <c r="D5312" s="10" t="inlineStr">
        <is>
          <t>上り</t>
        </is>
      </c>
      <c r="E5312" s="10" t="inlineStr">
        <is>
          <t>連1702</t>
        </is>
      </c>
      <c r="F5312" t="inlineStr">
        <is>
          <t>2221</t>
        </is>
      </c>
      <c r="G5312" s="10" t="inlineStr">
        <is>
          <t>山ノ内</t>
        </is>
      </c>
      <c r="H5312" s="10" t="inlineStr">
        <is>
          <t>発</t>
        </is>
      </c>
      <c r="J5312" s="10" t="inlineStr">
        <is>
          <t>営業</t>
        </is>
      </c>
      <c r="L5312" t="inlineStr">
        <is>
          <t>17:18:40</t>
        </is>
      </c>
      <c r="M5312" t="inlineStr">
        <is>
          <t>17:19:05</t>
        </is>
      </c>
      <c r="P5312" t="inlineStr">
        <is>
          <t>D系統(日中)</t>
        </is>
      </c>
      <c r="U5312" t="inlineStr">
        <is>
          <t>→西院 休憩(17:36〜18:46)</t>
        </is>
      </c>
    </row>
    <row r="5313" ht="15" customHeight="1" s="37">
      <c r="A5313" t="n">
        <v>11</v>
      </c>
      <c r="B5313" s="10" t="inlineStr">
        <is>
          <t>平日</t>
        </is>
      </c>
      <c r="C5313" s="10" t="inlineStr">
        <is>
          <t>本線</t>
        </is>
      </c>
      <c r="D5313" s="10" t="inlineStr">
        <is>
          <t>上り</t>
        </is>
      </c>
      <c r="E5313" s="10" t="inlineStr">
        <is>
          <t>連1702</t>
        </is>
      </c>
      <c r="F5313" t="inlineStr">
        <is>
          <t>2221</t>
        </is>
      </c>
      <c r="G5313" s="10" t="inlineStr">
        <is>
          <t>西大路三条</t>
        </is>
      </c>
      <c r="H5313" s="10" t="inlineStr">
        <is>
          <t>発</t>
        </is>
      </c>
      <c r="J5313" s="10" t="inlineStr">
        <is>
          <t>営業</t>
        </is>
      </c>
      <c r="L5313" t="inlineStr">
        <is>
          <t>17:20:55</t>
        </is>
      </c>
      <c r="M5313" t="inlineStr">
        <is>
          <t>17:21:15</t>
        </is>
      </c>
      <c r="P5313" t="inlineStr">
        <is>
          <t>D系統(日中)</t>
        </is>
      </c>
      <c r="U5313" t="inlineStr">
        <is>
          <t>→西院 休憩(17:36〜18:46)</t>
        </is>
      </c>
    </row>
    <row r="5314" ht="15" customHeight="1" s="37">
      <c r="A5314" t="n">
        <v>11</v>
      </c>
      <c r="B5314" s="10" t="inlineStr">
        <is>
          <t>平日</t>
        </is>
      </c>
      <c r="C5314" s="10" t="inlineStr">
        <is>
          <t>本線</t>
        </is>
      </c>
      <c r="D5314" s="10" t="inlineStr">
        <is>
          <t>上り</t>
        </is>
      </c>
      <c r="E5314" s="10" t="inlineStr">
        <is>
          <t>連1702</t>
        </is>
      </c>
      <c r="F5314" t="inlineStr">
        <is>
          <t>2221</t>
        </is>
      </c>
      <c r="G5314" s="10" t="inlineStr">
        <is>
          <t>西院</t>
        </is>
      </c>
      <c r="H5314" s="10" t="inlineStr">
        <is>
          <t>発</t>
        </is>
      </c>
      <c r="J5314" s="10" t="inlineStr">
        <is>
          <t>営業</t>
        </is>
      </c>
      <c r="L5314" t="inlineStr">
        <is>
          <t>17:23:10</t>
        </is>
      </c>
      <c r="M5314" t="inlineStr">
        <is>
          <t>17:24:05</t>
        </is>
      </c>
      <c r="P5314" t="inlineStr">
        <is>
          <t>D系統(日中)</t>
        </is>
      </c>
      <c r="U5314" t="inlineStr">
        <is>
          <t>→西院 休憩(17:36〜18:46)</t>
        </is>
      </c>
    </row>
    <row r="5315" ht="15" customHeight="1" s="37">
      <c r="A5315" t="n">
        <v>11</v>
      </c>
      <c r="B5315" s="10" t="inlineStr">
        <is>
          <t>平日</t>
        </is>
      </c>
      <c r="C5315" s="10" t="inlineStr">
        <is>
          <t>本線</t>
        </is>
      </c>
      <c r="D5315" s="10" t="inlineStr">
        <is>
          <t>上り</t>
        </is>
      </c>
      <c r="E5315" s="10" t="inlineStr">
        <is>
          <t>連1702</t>
        </is>
      </c>
      <c r="F5315" t="inlineStr">
        <is>
          <t>2221</t>
        </is>
      </c>
      <c r="G5315" s="10" t="inlineStr">
        <is>
          <t>四条大宮</t>
        </is>
      </c>
      <c r="H5315" s="10" t="inlineStr">
        <is>
          <t>着</t>
        </is>
      </c>
      <c r="J5315" s="10" t="inlineStr">
        <is>
          <t>営業</t>
        </is>
      </c>
      <c r="L5315" t="inlineStr">
        <is>
          <t>17:27:00</t>
        </is>
      </c>
      <c r="P5315" t="inlineStr">
        <is>
          <t>D系統(日中)</t>
        </is>
      </c>
      <c r="Q5315" t="inlineStr">
        <is>
          <t>1</t>
        </is>
      </c>
      <c r="U5315" t="inlineStr">
        <is>
          <t>→西院 休憩(17:36〜18:46)</t>
        </is>
      </c>
    </row>
    <row r="5316" ht="15" customHeight="1" s="37">
      <c r="A5316" t="n">
        <v>11</v>
      </c>
      <c r="B5316" s="10" t="inlineStr">
        <is>
          <t>平日</t>
        </is>
      </c>
      <c r="C5316" s="10" t="inlineStr">
        <is>
          <t>本線</t>
        </is>
      </c>
      <c r="D5316" s="10" t="inlineStr">
        <is>
          <t>下り</t>
        </is>
      </c>
      <c r="E5316" s="10" t="inlineStr">
        <is>
          <t>連1707</t>
        </is>
      </c>
      <c r="F5316" t="inlineStr">
        <is>
          <t>0122</t>
        </is>
      </c>
      <c r="G5316" s="10" t="inlineStr">
        <is>
          <t>四条大宮</t>
        </is>
      </c>
      <c r="H5316" s="10" t="inlineStr">
        <is>
          <t>発</t>
        </is>
      </c>
      <c r="J5316" s="10" t="inlineStr">
        <is>
          <t>営業</t>
        </is>
      </c>
      <c r="M5316" t="inlineStr">
        <is>
          <t>17:33:00</t>
        </is>
      </c>
      <c r="P5316" t="inlineStr">
        <is>
          <t>D系統(日中)</t>
        </is>
      </c>
      <c r="Q5316" t="inlineStr">
        <is>
          <t>1</t>
        </is>
      </c>
      <c r="U5316" t="inlineStr">
        <is>
          <t>→西院 休憩(17:36〜18:46)</t>
        </is>
      </c>
    </row>
    <row r="5317" ht="15" customHeight="1" s="37">
      <c r="A5317" t="n">
        <v>11</v>
      </c>
      <c r="B5317" s="10" t="inlineStr">
        <is>
          <t>平日</t>
        </is>
      </c>
      <c r="C5317" s="10" t="inlineStr">
        <is>
          <t>本線</t>
        </is>
      </c>
      <c r="D5317" s="10" t="inlineStr">
        <is>
          <t>下り</t>
        </is>
      </c>
      <c r="E5317" s="10" t="inlineStr">
        <is>
          <t>連1707</t>
        </is>
      </c>
      <c r="F5317" t="inlineStr">
        <is>
          <t>0122</t>
        </is>
      </c>
      <c r="G5317" s="10" t="inlineStr">
        <is>
          <t>西院</t>
        </is>
      </c>
      <c r="H5317" s="10" t="inlineStr">
        <is>
          <t>着</t>
        </is>
      </c>
      <c r="J5317" s="10" t="inlineStr">
        <is>
          <t>営業</t>
        </is>
      </c>
      <c r="L5317" t="inlineStr">
        <is>
          <t>17:35:50</t>
        </is>
      </c>
      <c r="M5317" t="inlineStr">
        <is>
          <t>17:36:20</t>
        </is>
      </c>
      <c r="P5317" t="inlineStr">
        <is>
          <t>D系統(日中)</t>
        </is>
      </c>
      <c r="U5317" t="inlineStr">
        <is>
          <t>→西院 休憩(17:36〜18:46)</t>
        </is>
      </c>
    </row>
    <row r="5318" ht="15" customHeight="1" s="37">
      <c r="A5318" t="n">
        <v>11</v>
      </c>
      <c r="B5318" s="10" t="inlineStr">
        <is>
          <t>平日</t>
        </is>
      </c>
      <c r="C5318" s="10" t="inlineStr">
        <is>
          <t>本線</t>
        </is>
      </c>
      <c r="D5318" s="10" t="inlineStr">
        <is>
          <t>下り</t>
        </is>
      </c>
      <c r="E5318" s="10" t="inlineStr">
        <is>
          <t>連1809</t>
        </is>
      </c>
      <c r="F5318" t="inlineStr">
        <is>
          <t>0122</t>
        </is>
      </c>
      <c r="G5318" s="10" t="inlineStr">
        <is>
          <t>西院</t>
        </is>
      </c>
      <c r="H5318" s="10" t="inlineStr">
        <is>
          <t>発</t>
        </is>
      </c>
      <c r="J5318" s="10" t="inlineStr">
        <is>
          <t>営業</t>
        </is>
      </c>
      <c r="L5318" t="inlineStr">
        <is>
          <t>18:45:50</t>
        </is>
      </c>
      <c r="M5318" t="inlineStr">
        <is>
          <t>18:46:20</t>
        </is>
      </c>
      <c r="P5318" t="inlineStr">
        <is>
          <t>E系統(日中)</t>
        </is>
      </c>
    </row>
    <row r="5319" ht="15" customHeight="1" s="37">
      <c r="A5319" t="n">
        <v>11</v>
      </c>
      <c r="B5319" s="10" t="inlineStr">
        <is>
          <t>平日</t>
        </is>
      </c>
      <c r="C5319" s="10" t="inlineStr">
        <is>
          <t>本線</t>
        </is>
      </c>
      <c r="D5319" s="10" t="inlineStr">
        <is>
          <t>下り</t>
        </is>
      </c>
      <c r="E5319" s="10" t="inlineStr">
        <is>
          <t>連1809</t>
        </is>
      </c>
      <c r="F5319" t="inlineStr">
        <is>
          <t>0122</t>
        </is>
      </c>
      <c r="G5319" s="10" t="inlineStr">
        <is>
          <t>西大路三条</t>
        </is>
      </c>
      <c r="H5319" s="10" t="inlineStr">
        <is>
          <t>発</t>
        </is>
      </c>
      <c r="J5319" s="10" t="inlineStr">
        <is>
          <t>営業</t>
        </is>
      </c>
      <c r="L5319" t="inlineStr">
        <is>
          <t>18:48:10</t>
        </is>
      </c>
      <c r="M5319" t="inlineStr">
        <is>
          <t>18:48:30</t>
        </is>
      </c>
      <c r="P5319" t="inlineStr">
        <is>
          <t>E系統(日中)</t>
        </is>
      </c>
    </row>
    <row r="5320" ht="15" customHeight="1" s="37">
      <c r="A5320" t="n">
        <v>11</v>
      </c>
      <c r="B5320" s="10" t="inlineStr">
        <is>
          <t>平日</t>
        </is>
      </c>
      <c r="C5320" s="10" t="inlineStr">
        <is>
          <t>本線</t>
        </is>
      </c>
      <c r="D5320" s="10" t="inlineStr">
        <is>
          <t>下り</t>
        </is>
      </c>
      <c r="E5320" s="10" t="inlineStr">
        <is>
          <t>連1809</t>
        </is>
      </c>
      <c r="F5320" t="inlineStr">
        <is>
          <t>0122</t>
        </is>
      </c>
      <c r="G5320" s="10" t="inlineStr">
        <is>
          <t>山ノ内</t>
        </is>
      </c>
      <c r="H5320" s="10" t="inlineStr">
        <is>
          <t>発</t>
        </is>
      </c>
      <c r="J5320" s="10" t="inlineStr">
        <is>
          <t>営業</t>
        </is>
      </c>
      <c r="L5320" t="inlineStr">
        <is>
          <t>18:50:25</t>
        </is>
      </c>
      <c r="M5320" t="inlineStr">
        <is>
          <t>18:50:50</t>
        </is>
      </c>
      <c r="P5320" t="inlineStr">
        <is>
          <t>E系統(日中)</t>
        </is>
      </c>
    </row>
    <row r="5321" ht="15" customHeight="1" s="37">
      <c r="A5321" t="n">
        <v>11</v>
      </c>
      <c r="B5321" s="10" t="inlineStr">
        <is>
          <t>平日</t>
        </is>
      </c>
      <c r="C5321" s="10" t="inlineStr">
        <is>
          <t>本線</t>
        </is>
      </c>
      <c r="D5321" s="10" t="inlineStr">
        <is>
          <t>下り</t>
        </is>
      </c>
      <c r="E5321" s="10" t="inlineStr">
        <is>
          <t>連1809</t>
        </is>
      </c>
      <c r="F5321" t="inlineStr">
        <is>
          <t>0122</t>
        </is>
      </c>
      <c r="G5321" s="10" t="inlineStr">
        <is>
          <t>天神川</t>
        </is>
      </c>
      <c r="H5321" s="10" t="inlineStr">
        <is>
          <t>発</t>
        </is>
      </c>
      <c r="J5321" s="10" t="inlineStr">
        <is>
          <t>営業</t>
        </is>
      </c>
      <c r="L5321" t="inlineStr">
        <is>
          <t>18:52:50</t>
        </is>
      </c>
      <c r="M5321" t="inlineStr">
        <is>
          <t>18:53:30</t>
        </is>
      </c>
      <c r="P5321" t="inlineStr">
        <is>
          <t>E系統(日中)</t>
        </is>
      </c>
    </row>
    <row r="5322" ht="15" customHeight="1" s="37">
      <c r="A5322" t="n">
        <v>11</v>
      </c>
      <c r="B5322" s="10" t="inlineStr">
        <is>
          <t>平日</t>
        </is>
      </c>
      <c r="C5322" s="10" t="inlineStr">
        <is>
          <t>本線</t>
        </is>
      </c>
      <c r="D5322" s="10" t="inlineStr">
        <is>
          <t>下り</t>
        </is>
      </c>
      <c r="E5322" s="10" t="inlineStr">
        <is>
          <t>連1809</t>
        </is>
      </c>
      <c r="F5322" t="inlineStr">
        <is>
          <t>0122</t>
        </is>
      </c>
      <c r="G5322" s="10" t="inlineStr">
        <is>
          <t>蚕ノ社</t>
        </is>
      </c>
      <c r="H5322" s="10" t="inlineStr">
        <is>
          <t>発</t>
        </is>
      </c>
      <c r="J5322" s="10" t="inlineStr">
        <is>
          <t>営業</t>
        </is>
      </c>
      <c r="L5322" t="inlineStr">
        <is>
          <t>18:54:20</t>
        </is>
      </c>
      <c r="M5322" t="inlineStr">
        <is>
          <t>18:54:40</t>
        </is>
      </c>
      <c r="P5322" t="inlineStr">
        <is>
          <t>E系統(日中)</t>
        </is>
      </c>
    </row>
    <row r="5323" ht="15" customHeight="1" s="37">
      <c r="A5323" t="n">
        <v>11</v>
      </c>
      <c r="B5323" s="10" t="inlineStr">
        <is>
          <t>平日</t>
        </is>
      </c>
      <c r="C5323" s="10" t="inlineStr">
        <is>
          <t>本線</t>
        </is>
      </c>
      <c r="D5323" s="10" t="inlineStr">
        <is>
          <t>下り</t>
        </is>
      </c>
      <c r="E5323" s="10" t="inlineStr">
        <is>
          <t>連1809</t>
        </is>
      </c>
      <c r="F5323" t="inlineStr">
        <is>
          <t>0122</t>
        </is>
      </c>
      <c r="G5323" s="10" t="inlineStr">
        <is>
          <t>太秦広隆寺</t>
        </is>
      </c>
      <c r="H5323" s="10" t="inlineStr">
        <is>
          <t>発</t>
        </is>
      </c>
      <c r="J5323" s="10" t="inlineStr">
        <is>
          <t>営業</t>
        </is>
      </c>
      <c r="L5323" t="inlineStr">
        <is>
          <t>18:56:00</t>
        </is>
      </c>
      <c r="M5323" t="inlineStr">
        <is>
          <t>18:56:20</t>
        </is>
      </c>
      <c r="P5323" t="inlineStr">
        <is>
          <t>E系統(日中)</t>
        </is>
      </c>
    </row>
    <row r="5324" ht="15" customHeight="1" s="37">
      <c r="A5324" t="n">
        <v>11</v>
      </c>
      <c r="B5324" s="10" t="inlineStr">
        <is>
          <t>平日</t>
        </is>
      </c>
      <c r="C5324" s="10" t="inlineStr">
        <is>
          <t>本線</t>
        </is>
      </c>
      <c r="D5324" s="10" t="inlineStr">
        <is>
          <t>下り</t>
        </is>
      </c>
      <c r="E5324" s="10" t="inlineStr">
        <is>
          <t>連1809</t>
        </is>
      </c>
      <c r="F5324" t="inlineStr">
        <is>
          <t>0122</t>
        </is>
      </c>
      <c r="G5324" s="10" t="inlineStr">
        <is>
          <t>帷子ノ辻</t>
        </is>
      </c>
      <c r="H5324" s="10" t="inlineStr">
        <is>
          <t>発</t>
        </is>
      </c>
      <c r="J5324" s="10" t="inlineStr">
        <is>
          <t>営業</t>
        </is>
      </c>
      <c r="L5324" t="inlineStr">
        <is>
          <t>18:58:20</t>
        </is>
      </c>
      <c r="M5324" t="inlineStr">
        <is>
          <t>18:59:40</t>
        </is>
      </c>
      <c r="P5324" t="inlineStr">
        <is>
          <t>E系統(日中)</t>
        </is>
      </c>
    </row>
    <row r="5325" ht="15" customHeight="1" s="37">
      <c r="A5325" t="n">
        <v>11</v>
      </c>
      <c r="B5325" s="10" t="inlineStr">
        <is>
          <t>平日</t>
        </is>
      </c>
      <c r="C5325" s="10" t="inlineStr">
        <is>
          <t>本線</t>
        </is>
      </c>
      <c r="D5325" s="10" t="inlineStr">
        <is>
          <t>下り</t>
        </is>
      </c>
      <c r="E5325" s="10" t="inlineStr">
        <is>
          <t>連1809</t>
        </is>
      </c>
      <c r="F5325" t="inlineStr">
        <is>
          <t>0122</t>
        </is>
      </c>
      <c r="G5325" s="10" t="inlineStr">
        <is>
          <t>有栖川</t>
        </is>
      </c>
      <c r="H5325" s="10" t="inlineStr">
        <is>
          <t>発</t>
        </is>
      </c>
      <c r="J5325" s="10" t="inlineStr">
        <is>
          <t>営業</t>
        </is>
      </c>
      <c r="L5325" t="inlineStr">
        <is>
          <t>19:00:50</t>
        </is>
      </c>
      <c r="M5325" t="inlineStr">
        <is>
          <t>19:01:15</t>
        </is>
      </c>
      <c r="P5325" t="inlineStr">
        <is>
          <t>E系統(日中)</t>
        </is>
      </c>
    </row>
    <row r="5326" ht="15" customHeight="1" s="37">
      <c r="A5326" t="n">
        <v>11</v>
      </c>
      <c r="B5326" s="10" t="inlineStr">
        <is>
          <t>平日</t>
        </is>
      </c>
      <c r="C5326" s="10" t="inlineStr">
        <is>
          <t>本線</t>
        </is>
      </c>
      <c r="D5326" s="10" t="inlineStr">
        <is>
          <t>下り</t>
        </is>
      </c>
      <c r="E5326" s="10" t="inlineStr">
        <is>
          <t>連1809</t>
        </is>
      </c>
      <c r="F5326" t="inlineStr">
        <is>
          <t>0122</t>
        </is>
      </c>
      <c r="G5326" s="10" t="inlineStr">
        <is>
          <t>車折</t>
        </is>
      </c>
      <c r="H5326" s="10" t="inlineStr">
        <is>
          <t>発</t>
        </is>
      </c>
      <c r="J5326" s="10" t="inlineStr">
        <is>
          <t>営業</t>
        </is>
      </c>
      <c r="L5326" t="inlineStr">
        <is>
          <t>19:02:40</t>
        </is>
      </c>
      <c r="M5326" t="inlineStr">
        <is>
          <t>19:03:05</t>
        </is>
      </c>
      <c r="P5326" t="inlineStr">
        <is>
          <t>E系統(日中)</t>
        </is>
      </c>
    </row>
    <row r="5327" ht="15" customHeight="1" s="37">
      <c r="A5327" t="n">
        <v>11</v>
      </c>
      <c r="B5327" s="10" t="inlineStr">
        <is>
          <t>平日</t>
        </is>
      </c>
      <c r="C5327" s="10" t="inlineStr">
        <is>
          <t>本線</t>
        </is>
      </c>
      <c r="D5327" s="10" t="inlineStr">
        <is>
          <t>下り</t>
        </is>
      </c>
      <c r="E5327" s="10" t="inlineStr">
        <is>
          <t>連1809</t>
        </is>
      </c>
      <c r="F5327" t="inlineStr">
        <is>
          <t>0122</t>
        </is>
      </c>
      <c r="G5327" s="10" t="inlineStr">
        <is>
          <t>鹿王院</t>
        </is>
      </c>
      <c r="H5327" s="10" t="inlineStr">
        <is>
          <t>発</t>
        </is>
      </c>
      <c r="J5327" s="10" t="inlineStr">
        <is>
          <t>営業</t>
        </is>
      </c>
      <c r="L5327" t="inlineStr">
        <is>
          <t>19:04:00</t>
        </is>
      </c>
      <c r="M5327" t="inlineStr">
        <is>
          <t>19:04:25</t>
        </is>
      </c>
      <c r="P5327" t="inlineStr">
        <is>
          <t>E系統(日中)</t>
        </is>
      </c>
    </row>
    <row r="5328" ht="15" customHeight="1" s="37">
      <c r="A5328" t="n">
        <v>11</v>
      </c>
      <c r="B5328" s="10" t="inlineStr">
        <is>
          <t>平日</t>
        </is>
      </c>
      <c r="C5328" s="10" t="inlineStr">
        <is>
          <t>本線</t>
        </is>
      </c>
      <c r="D5328" s="10" t="inlineStr">
        <is>
          <t>下り</t>
        </is>
      </c>
      <c r="E5328" s="10" t="inlineStr">
        <is>
          <t>連1809</t>
        </is>
      </c>
      <c r="F5328" t="inlineStr">
        <is>
          <t>0122</t>
        </is>
      </c>
      <c r="G5328" s="10" t="inlineStr">
        <is>
          <t>嵯峨</t>
        </is>
      </c>
      <c r="H5328" s="10" t="inlineStr">
        <is>
          <t>発</t>
        </is>
      </c>
      <c r="J5328" s="10" t="inlineStr">
        <is>
          <t>営業</t>
        </is>
      </c>
      <c r="L5328" t="inlineStr">
        <is>
          <t>19:05:30</t>
        </is>
      </c>
      <c r="M5328" t="inlineStr">
        <is>
          <t>19:05:55</t>
        </is>
      </c>
      <c r="P5328" t="inlineStr">
        <is>
          <t>E系統(日中)</t>
        </is>
      </c>
    </row>
    <row r="5329" ht="15" customHeight="1" s="37">
      <c r="A5329" t="n">
        <v>11</v>
      </c>
      <c r="B5329" s="10" t="inlineStr">
        <is>
          <t>平日</t>
        </is>
      </c>
      <c r="C5329" s="10" t="inlineStr">
        <is>
          <t>本線</t>
        </is>
      </c>
      <c r="D5329" s="10" t="inlineStr">
        <is>
          <t>下り</t>
        </is>
      </c>
      <c r="E5329" s="10" t="inlineStr">
        <is>
          <t>連1809</t>
        </is>
      </c>
      <c r="F5329" t="inlineStr">
        <is>
          <t>0122</t>
        </is>
      </c>
      <c r="G5329" s="10" t="inlineStr">
        <is>
          <t>嵐山</t>
        </is>
      </c>
      <c r="H5329" s="10" t="inlineStr">
        <is>
          <t>着</t>
        </is>
      </c>
      <c r="J5329" s="10" t="inlineStr">
        <is>
          <t>営業</t>
        </is>
      </c>
      <c r="L5329" t="inlineStr">
        <is>
          <t>19:07:00</t>
        </is>
      </c>
      <c r="N5329" t="inlineStr">
        <is>
          <t>○</t>
        </is>
      </c>
      <c r="P5329" t="inlineStr">
        <is>
          <t>E系統(日中)</t>
        </is>
      </c>
      <c r="Q5329" t="inlineStr">
        <is>
          <t>1</t>
        </is>
      </c>
    </row>
    <row r="5330" ht="15" customHeight="1" s="37">
      <c r="A5330" t="n">
        <v>11</v>
      </c>
      <c r="B5330" s="10" t="inlineStr">
        <is>
          <t>平日</t>
        </is>
      </c>
      <c r="C5330" s="10" t="inlineStr">
        <is>
          <t>本線</t>
        </is>
      </c>
      <c r="D5330" s="10" t="inlineStr">
        <is>
          <t>上り</t>
        </is>
      </c>
      <c r="E5330" s="10" t="inlineStr">
        <is>
          <t>連1904</t>
        </is>
      </c>
      <c r="F5330" t="inlineStr">
        <is>
          <t>2221</t>
        </is>
      </c>
      <c r="G5330" s="10" t="inlineStr">
        <is>
          <t>嵐山</t>
        </is>
      </c>
      <c r="H5330" s="10" t="inlineStr">
        <is>
          <t>発</t>
        </is>
      </c>
      <c r="J5330" s="10" t="inlineStr">
        <is>
          <t>営業</t>
        </is>
      </c>
      <c r="M5330" t="inlineStr">
        <is>
          <t>19:13:00</t>
        </is>
      </c>
      <c r="P5330" t="inlineStr">
        <is>
          <t>E系統(日中)</t>
        </is>
      </c>
      <c r="Q5330" t="inlineStr">
        <is>
          <t>1</t>
        </is>
      </c>
    </row>
    <row r="5331" ht="15" customHeight="1" s="37">
      <c r="A5331" t="n">
        <v>11</v>
      </c>
      <c r="B5331" s="10" t="inlineStr">
        <is>
          <t>平日</t>
        </is>
      </c>
      <c r="C5331" s="10" t="inlineStr">
        <is>
          <t>本線</t>
        </is>
      </c>
      <c r="D5331" s="10" t="inlineStr">
        <is>
          <t>上り</t>
        </is>
      </c>
      <c r="E5331" s="10" t="inlineStr">
        <is>
          <t>連1904</t>
        </is>
      </c>
      <c r="F5331" t="inlineStr">
        <is>
          <t>2221</t>
        </is>
      </c>
      <c r="G5331" s="10" t="inlineStr">
        <is>
          <t>嵯峨</t>
        </is>
      </c>
      <c r="H5331" s="10" t="inlineStr">
        <is>
          <t>発</t>
        </is>
      </c>
      <c r="J5331" s="10" t="inlineStr">
        <is>
          <t>営業</t>
        </is>
      </c>
      <c r="L5331" t="inlineStr">
        <is>
          <t>19:13:55</t>
        </is>
      </c>
      <c r="M5331" t="inlineStr">
        <is>
          <t>19:14:20</t>
        </is>
      </c>
      <c r="P5331" t="inlineStr">
        <is>
          <t>E系統(日中)</t>
        </is>
      </c>
    </row>
    <row r="5332" ht="15" customHeight="1" s="37">
      <c r="A5332" t="n">
        <v>11</v>
      </c>
      <c r="B5332" s="10" t="inlineStr">
        <is>
          <t>平日</t>
        </is>
      </c>
      <c r="C5332" s="10" t="inlineStr">
        <is>
          <t>本線</t>
        </is>
      </c>
      <c r="D5332" s="10" t="inlineStr">
        <is>
          <t>上り</t>
        </is>
      </c>
      <c r="E5332" s="10" t="inlineStr">
        <is>
          <t>連1904</t>
        </is>
      </c>
      <c r="F5332" t="inlineStr">
        <is>
          <t>2221</t>
        </is>
      </c>
      <c r="G5332" s="10" t="inlineStr">
        <is>
          <t>鹿王院</t>
        </is>
      </c>
      <c r="H5332" s="10" t="inlineStr">
        <is>
          <t>発</t>
        </is>
      </c>
      <c r="J5332" s="10" t="inlineStr">
        <is>
          <t>営業</t>
        </is>
      </c>
      <c r="L5332" t="inlineStr">
        <is>
          <t>19:15:25</t>
        </is>
      </c>
      <c r="M5332" t="inlineStr">
        <is>
          <t>19:15:45</t>
        </is>
      </c>
      <c r="P5332" t="inlineStr">
        <is>
          <t>E系統(日中)</t>
        </is>
      </c>
    </row>
    <row r="5333" ht="15" customHeight="1" s="37">
      <c r="A5333" t="n">
        <v>11</v>
      </c>
      <c r="B5333" s="10" t="inlineStr">
        <is>
          <t>平日</t>
        </is>
      </c>
      <c r="C5333" s="10" t="inlineStr">
        <is>
          <t>本線</t>
        </is>
      </c>
      <c r="D5333" s="10" t="inlineStr">
        <is>
          <t>上り</t>
        </is>
      </c>
      <c r="E5333" s="10" t="inlineStr">
        <is>
          <t>連1904</t>
        </is>
      </c>
      <c r="F5333" t="inlineStr">
        <is>
          <t>2221</t>
        </is>
      </c>
      <c r="G5333" s="10" t="inlineStr">
        <is>
          <t>車折</t>
        </is>
      </c>
      <c r="H5333" s="10" t="inlineStr">
        <is>
          <t>発</t>
        </is>
      </c>
      <c r="J5333" s="10" t="inlineStr">
        <is>
          <t>営業</t>
        </is>
      </c>
      <c r="L5333" t="inlineStr">
        <is>
          <t>19:16:40</t>
        </is>
      </c>
      <c r="M5333" t="inlineStr">
        <is>
          <t>19:17:10</t>
        </is>
      </c>
      <c r="P5333" t="inlineStr">
        <is>
          <t>E系統(日中)</t>
        </is>
      </c>
    </row>
    <row r="5334" ht="15" customHeight="1" s="37">
      <c r="A5334" t="n">
        <v>11</v>
      </c>
      <c r="B5334" s="10" t="inlineStr">
        <is>
          <t>平日</t>
        </is>
      </c>
      <c r="C5334" s="10" t="inlineStr">
        <is>
          <t>本線</t>
        </is>
      </c>
      <c r="D5334" s="10" t="inlineStr">
        <is>
          <t>上り</t>
        </is>
      </c>
      <c r="E5334" s="10" t="inlineStr">
        <is>
          <t>連1904</t>
        </is>
      </c>
      <c r="F5334" t="inlineStr">
        <is>
          <t>2221</t>
        </is>
      </c>
      <c r="G5334" s="10" t="inlineStr">
        <is>
          <t>有栖川</t>
        </is>
      </c>
      <c r="H5334" s="10" t="inlineStr">
        <is>
          <t>発</t>
        </is>
      </c>
      <c r="J5334" s="10" t="inlineStr">
        <is>
          <t>営業</t>
        </is>
      </c>
      <c r="L5334" t="inlineStr">
        <is>
          <t>19:18:35</t>
        </is>
      </c>
      <c r="M5334" t="inlineStr">
        <is>
          <t>19:18:55</t>
        </is>
      </c>
      <c r="P5334" t="inlineStr">
        <is>
          <t>E系統(日中)</t>
        </is>
      </c>
    </row>
    <row r="5335" ht="15" customHeight="1" s="37">
      <c r="A5335" t="n">
        <v>11</v>
      </c>
      <c r="B5335" s="10" t="inlineStr">
        <is>
          <t>平日</t>
        </is>
      </c>
      <c r="C5335" s="10" t="inlineStr">
        <is>
          <t>本線</t>
        </is>
      </c>
      <c r="D5335" s="10" t="inlineStr">
        <is>
          <t>上り</t>
        </is>
      </c>
      <c r="E5335" s="10" t="inlineStr">
        <is>
          <t>連1904</t>
        </is>
      </c>
      <c r="F5335" t="inlineStr">
        <is>
          <t>2221</t>
        </is>
      </c>
      <c r="G5335" s="10" t="inlineStr">
        <is>
          <t>帷子ノ辻</t>
        </is>
      </c>
      <c r="H5335" s="10" t="inlineStr">
        <is>
          <t>発</t>
        </is>
      </c>
      <c r="J5335" s="10" t="inlineStr">
        <is>
          <t>営業</t>
        </is>
      </c>
      <c r="L5335" t="inlineStr">
        <is>
          <t>19:20:10</t>
        </is>
      </c>
      <c r="M5335" t="inlineStr">
        <is>
          <t>19:21:15</t>
        </is>
      </c>
      <c r="P5335" t="inlineStr">
        <is>
          <t>E系統(日中)</t>
        </is>
      </c>
    </row>
    <row r="5336" ht="15" customHeight="1" s="37">
      <c r="A5336" t="n">
        <v>11</v>
      </c>
      <c r="B5336" s="10" t="inlineStr">
        <is>
          <t>平日</t>
        </is>
      </c>
      <c r="C5336" s="10" t="inlineStr">
        <is>
          <t>本線</t>
        </is>
      </c>
      <c r="D5336" s="10" t="inlineStr">
        <is>
          <t>上り</t>
        </is>
      </c>
      <c r="E5336" s="10" t="inlineStr">
        <is>
          <t>連1904</t>
        </is>
      </c>
      <c r="F5336" t="inlineStr">
        <is>
          <t>2221</t>
        </is>
      </c>
      <c r="G5336" s="10" t="inlineStr">
        <is>
          <t>太秦広隆寺</t>
        </is>
      </c>
      <c r="H5336" s="10" t="inlineStr">
        <is>
          <t>発</t>
        </is>
      </c>
      <c r="J5336" s="10" t="inlineStr">
        <is>
          <t>営業</t>
        </is>
      </c>
      <c r="L5336" t="inlineStr">
        <is>
          <t>19:23:25</t>
        </is>
      </c>
      <c r="M5336" t="inlineStr">
        <is>
          <t>19:23:45</t>
        </is>
      </c>
      <c r="P5336" t="inlineStr">
        <is>
          <t>E系統(日中)</t>
        </is>
      </c>
    </row>
    <row r="5337" ht="15" customHeight="1" s="37">
      <c r="A5337" t="n">
        <v>11</v>
      </c>
      <c r="B5337" s="10" t="inlineStr">
        <is>
          <t>平日</t>
        </is>
      </c>
      <c r="C5337" s="10" t="inlineStr">
        <is>
          <t>本線</t>
        </is>
      </c>
      <c r="D5337" s="10" t="inlineStr">
        <is>
          <t>上り</t>
        </is>
      </c>
      <c r="E5337" s="10" t="inlineStr">
        <is>
          <t>連1904</t>
        </is>
      </c>
      <c r="F5337" t="inlineStr">
        <is>
          <t>2221</t>
        </is>
      </c>
      <c r="G5337" s="10" t="inlineStr">
        <is>
          <t>蚕ノ社</t>
        </is>
      </c>
      <c r="H5337" s="10" t="inlineStr">
        <is>
          <t>発</t>
        </is>
      </c>
      <c r="J5337" s="10" t="inlineStr">
        <is>
          <t>営業</t>
        </is>
      </c>
      <c r="L5337" t="inlineStr">
        <is>
          <t>19:25:00</t>
        </is>
      </c>
      <c r="M5337" t="inlineStr">
        <is>
          <t>19:25:20</t>
        </is>
      </c>
      <c r="P5337" t="inlineStr">
        <is>
          <t>E系統(日中)</t>
        </is>
      </c>
    </row>
    <row r="5338" ht="15" customHeight="1" s="37">
      <c r="A5338" t="n">
        <v>11</v>
      </c>
      <c r="B5338" s="10" t="inlineStr">
        <is>
          <t>平日</t>
        </is>
      </c>
      <c r="C5338" s="10" t="inlineStr">
        <is>
          <t>本線</t>
        </is>
      </c>
      <c r="D5338" s="10" t="inlineStr">
        <is>
          <t>上り</t>
        </is>
      </c>
      <c r="E5338" s="10" t="inlineStr">
        <is>
          <t>連1904</t>
        </is>
      </c>
      <c r="F5338" t="inlineStr">
        <is>
          <t>2221</t>
        </is>
      </c>
      <c r="G5338" s="10" t="inlineStr">
        <is>
          <t>天神川</t>
        </is>
      </c>
      <c r="H5338" s="10" t="inlineStr">
        <is>
          <t>発</t>
        </is>
      </c>
      <c r="J5338" s="10" t="inlineStr">
        <is>
          <t>営業</t>
        </is>
      </c>
      <c r="L5338" t="inlineStr">
        <is>
          <t>19:26:05</t>
        </is>
      </c>
      <c r="M5338" t="inlineStr">
        <is>
          <t>19:26:50</t>
        </is>
      </c>
      <c r="P5338" t="inlineStr">
        <is>
          <t>E系統(日中)</t>
        </is>
      </c>
    </row>
    <row r="5339" ht="15" customHeight="1" s="37">
      <c r="A5339" t="n">
        <v>11</v>
      </c>
      <c r="B5339" s="10" t="inlineStr">
        <is>
          <t>平日</t>
        </is>
      </c>
      <c r="C5339" s="10" t="inlineStr">
        <is>
          <t>本線</t>
        </is>
      </c>
      <c r="D5339" s="10" t="inlineStr">
        <is>
          <t>上り</t>
        </is>
      </c>
      <c r="E5339" s="10" t="inlineStr">
        <is>
          <t>連1904</t>
        </is>
      </c>
      <c r="F5339" t="inlineStr">
        <is>
          <t>2221</t>
        </is>
      </c>
      <c r="G5339" s="10" t="inlineStr">
        <is>
          <t>山ノ内</t>
        </is>
      </c>
      <c r="H5339" s="10" t="inlineStr">
        <is>
          <t>発</t>
        </is>
      </c>
      <c r="J5339" s="10" t="inlineStr">
        <is>
          <t>営業</t>
        </is>
      </c>
      <c r="L5339" t="inlineStr">
        <is>
          <t>19:28:40</t>
        </is>
      </c>
      <c r="M5339" t="inlineStr">
        <is>
          <t>19:29:05</t>
        </is>
      </c>
      <c r="P5339" t="inlineStr">
        <is>
          <t>E系統(日中)</t>
        </is>
      </c>
    </row>
    <row r="5340" ht="15" customHeight="1" s="37">
      <c r="A5340" t="n">
        <v>11</v>
      </c>
      <c r="B5340" s="10" t="inlineStr">
        <is>
          <t>平日</t>
        </is>
      </c>
      <c r="C5340" s="10" t="inlineStr">
        <is>
          <t>本線</t>
        </is>
      </c>
      <c r="D5340" s="10" t="inlineStr">
        <is>
          <t>上り</t>
        </is>
      </c>
      <c r="E5340" s="10" t="inlineStr">
        <is>
          <t>連1904</t>
        </is>
      </c>
      <c r="F5340" t="inlineStr">
        <is>
          <t>2221</t>
        </is>
      </c>
      <c r="G5340" s="10" t="inlineStr">
        <is>
          <t>西大路三条</t>
        </is>
      </c>
      <c r="H5340" s="10" t="inlineStr">
        <is>
          <t>発</t>
        </is>
      </c>
      <c r="J5340" s="10" t="inlineStr">
        <is>
          <t>営業</t>
        </is>
      </c>
      <c r="L5340" t="inlineStr">
        <is>
          <t>19:30:55</t>
        </is>
      </c>
      <c r="M5340" t="inlineStr">
        <is>
          <t>19:31:15</t>
        </is>
      </c>
      <c r="P5340" t="inlineStr">
        <is>
          <t>E系統(日中)</t>
        </is>
      </c>
    </row>
    <row r="5341" ht="15" customHeight="1" s="37">
      <c r="A5341" t="n">
        <v>11</v>
      </c>
      <c r="B5341" s="10" t="inlineStr">
        <is>
          <t>平日</t>
        </is>
      </c>
      <c r="C5341" s="10" t="inlineStr">
        <is>
          <t>本線</t>
        </is>
      </c>
      <c r="D5341" s="10" t="inlineStr">
        <is>
          <t>上り</t>
        </is>
      </c>
      <c r="E5341" s="10" t="inlineStr">
        <is>
          <t>連1904</t>
        </is>
      </c>
      <c r="F5341" t="inlineStr">
        <is>
          <t>2221</t>
        </is>
      </c>
      <c r="G5341" s="10" t="inlineStr">
        <is>
          <t>西院</t>
        </is>
      </c>
      <c r="H5341" s="10" t="inlineStr">
        <is>
          <t>発</t>
        </is>
      </c>
      <c r="J5341" s="10" t="inlineStr">
        <is>
          <t>営業</t>
        </is>
      </c>
      <c r="L5341" t="inlineStr">
        <is>
          <t>19:33:10</t>
        </is>
      </c>
      <c r="M5341" t="inlineStr">
        <is>
          <t>19:34:05</t>
        </is>
      </c>
      <c r="P5341" t="inlineStr">
        <is>
          <t>E系統(日中)</t>
        </is>
      </c>
    </row>
    <row r="5342" ht="15" customHeight="1" s="37">
      <c r="A5342" t="n">
        <v>11</v>
      </c>
      <c r="B5342" s="10" t="inlineStr">
        <is>
          <t>平日</t>
        </is>
      </c>
      <c r="C5342" s="10" t="inlineStr">
        <is>
          <t>本線</t>
        </is>
      </c>
      <c r="D5342" s="10" t="inlineStr">
        <is>
          <t>上り</t>
        </is>
      </c>
      <c r="E5342" s="10" t="inlineStr">
        <is>
          <t>連1904</t>
        </is>
      </c>
      <c r="F5342" t="inlineStr">
        <is>
          <t>2221</t>
        </is>
      </c>
      <c r="G5342" s="10" t="inlineStr">
        <is>
          <t>四条大宮</t>
        </is>
      </c>
      <c r="H5342" s="10" t="inlineStr">
        <is>
          <t>着</t>
        </is>
      </c>
      <c r="J5342" s="10" t="inlineStr">
        <is>
          <t>営業</t>
        </is>
      </c>
      <c r="L5342" t="inlineStr">
        <is>
          <t>19:37:00</t>
        </is>
      </c>
      <c r="P5342" t="inlineStr">
        <is>
          <t>E系統(日中)</t>
        </is>
      </c>
      <c r="Q5342" t="inlineStr">
        <is>
          <t>1</t>
        </is>
      </c>
    </row>
    <row r="5343" ht="15" customHeight="1" s="37">
      <c r="A5343" t="n">
        <v>11</v>
      </c>
      <c r="B5343" s="10" t="inlineStr">
        <is>
          <t>平日</t>
        </is>
      </c>
      <c r="C5343" s="10" t="inlineStr">
        <is>
          <t>本線</t>
        </is>
      </c>
      <c r="D5343" s="10" t="inlineStr">
        <is>
          <t>下り</t>
        </is>
      </c>
      <c r="E5343" s="10" t="inlineStr">
        <is>
          <t>連1909</t>
        </is>
      </c>
      <c r="F5343" t="inlineStr">
        <is>
          <t>0122</t>
        </is>
      </c>
      <c r="G5343" s="10" t="inlineStr">
        <is>
          <t>四条大宮</t>
        </is>
      </c>
      <c r="H5343" s="10" t="inlineStr">
        <is>
          <t>発</t>
        </is>
      </c>
      <c r="J5343" s="10" t="inlineStr">
        <is>
          <t>営業</t>
        </is>
      </c>
      <c r="M5343" t="inlineStr">
        <is>
          <t>19:42:00</t>
        </is>
      </c>
      <c r="P5343" t="inlineStr">
        <is>
          <t>E系統(日中)</t>
        </is>
      </c>
      <c r="Q5343" t="inlineStr">
        <is>
          <t>1</t>
        </is>
      </c>
    </row>
    <row r="5344" ht="15" customHeight="1" s="37">
      <c r="A5344" t="n">
        <v>11</v>
      </c>
      <c r="B5344" s="10" t="inlineStr">
        <is>
          <t>平日</t>
        </is>
      </c>
      <c r="C5344" s="10" t="inlineStr">
        <is>
          <t>本線</t>
        </is>
      </c>
      <c r="D5344" s="10" t="inlineStr">
        <is>
          <t>下り</t>
        </is>
      </c>
      <c r="E5344" s="10" t="inlineStr">
        <is>
          <t>連1909</t>
        </is>
      </c>
      <c r="F5344" t="inlineStr">
        <is>
          <t>0122</t>
        </is>
      </c>
      <c r="G5344" s="10" t="inlineStr">
        <is>
          <t>西院</t>
        </is>
      </c>
      <c r="H5344" s="10" t="inlineStr">
        <is>
          <t>着</t>
        </is>
      </c>
      <c r="J5344" s="10" t="inlineStr">
        <is>
          <t>営業</t>
        </is>
      </c>
      <c r="L5344" t="inlineStr">
        <is>
          <t>19:44:50</t>
        </is>
      </c>
      <c r="M5344" t="inlineStr">
        <is>
          <t>19:46:20</t>
        </is>
      </c>
      <c r="P5344" t="inlineStr">
        <is>
          <t>E系統(日中)</t>
        </is>
      </c>
    </row>
    <row r="5345" ht="15" customHeight="1" s="37">
      <c r="A5345" t="n">
        <v>12</v>
      </c>
      <c r="B5345" s="10" t="inlineStr">
        <is>
          <t>平日</t>
        </is>
      </c>
      <c r="C5345" s="10" t="inlineStr">
        <is>
          <t>本線</t>
        </is>
      </c>
      <c r="D5345" s="10" t="inlineStr">
        <is>
          <t>下り</t>
        </is>
      </c>
      <c r="E5345" t="inlineStr">
        <is>
          <t>1411</t>
        </is>
      </c>
      <c r="F5345" t="inlineStr">
        <is>
          <t>0112</t>
        </is>
      </c>
      <c r="G5345" s="10" t="inlineStr">
        <is>
          <t>西院</t>
        </is>
      </c>
      <c r="H5345" s="10" t="inlineStr">
        <is>
          <t>発</t>
        </is>
      </c>
      <c r="J5345" s="10" t="inlineStr">
        <is>
          <t>営業</t>
        </is>
      </c>
      <c r="L5345" t="inlineStr">
        <is>
          <t>14:55:50</t>
        </is>
      </c>
      <c r="M5345" t="inlineStr">
        <is>
          <t>14:56:20</t>
        </is>
      </c>
    </row>
    <row r="5346" ht="15" customHeight="1" s="37">
      <c r="A5346" t="n">
        <v>12</v>
      </c>
      <c r="B5346" s="10" t="inlineStr">
        <is>
          <t>平日</t>
        </is>
      </c>
      <c r="C5346" s="10" t="inlineStr">
        <is>
          <t>本線</t>
        </is>
      </c>
      <c r="D5346" s="10" t="inlineStr">
        <is>
          <t>下り</t>
        </is>
      </c>
      <c r="E5346" t="inlineStr">
        <is>
          <t>1411</t>
        </is>
      </c>
      <c r="F5346" t="inlineStr">
        <is>
          <t>0112</t>
        </is>
      </c>
      <c r="G5346" s="10" t="inlineStr">
        <is>
          <t>西大路三条</t>
        </is>
      </c>
      <c r="H5346" s="10" t="inlineStr">
        <is>
          <t>発</t>
        </is>
      </c>
      <c r="J5346" s="10" t="inlineStr">
        <is>
          <t>営業</t>
        </is>
      </c>
      <c r="L5346" t="inlineStr">
        <is>
          <t>14:58:10</t>
        </is>
      </c>
      <c r="M5346" t="inlineStr">
        <is>
          <t>14:58:30</t>
        </is>
      </c>
    </row>
    <row r="5347" ht="15" customHeight="1" s="37">
      <c r="A5347" t="n">
        <v>12</v>
      </c>
      <c r="B5347" s="10" t="inlineStr">
        <is>
          <t>平日</t>
        </is>
      </c>
      <c r="C5347" s="10" t="inlineStr">
        <is>
          <t>本線</t>
        </is>
      </c>
      <c r="D5347" s="10" t="inlineStr">
        <is>
          <t>下り</t>
        </is>
      </c>
      <c r="E5347" t="inlineStr">
        <is>
          <t>1411</t>
        </is>
      </c>
      <c r="F5347" t="inlineStr">
        <is>
          <t>0112</t>
        </is>
      </c>
      <c r="G5347" s="10" t="inlineStr">
        <is>
          <t>山ノ内</t>
        </is>
      </c>
      <c r="H5347" s="10" t="inlineStr">
        <is>
          <t>発</t>
        </is>
      </c>
      <c r="J5347" s="10" t="inlineStr">
        <is>
          <t>営業</t>
        </is>
      </c>
      <c r="L5347" t="inlineStr">
        <is>
          <t>15:00:25</t>
        </is>
      </c>
      <c r="M5347" t="inlineStr">
        <is>
          <t>15:00:50</t>
        </is>
      </c>
    </row>
    <row r="5348" ht="15" customHeight="1" s="37">
      <c r="A5348" t="n">
        <v>12</v>
      </c>
      <c r="B5348" s="10" t="inlineStr">
        <is>
          <t>平日</t>
        </is>
      </c>
      <c r="C5348" s="10" t="inlineStr">
        <is>
          <t>本線</t>
        </is>
      </c>
      <c r="D5348" s="10" t="inlineStr">
        <is>
          <t>下り</t>
        </is>
      </c>
      <c r="E5348" t="inlineStr">
        <is>
          <t>1411</t>
        </is>
      </c>
      <c r="F5348" t="inlineStr">
        <is>
          <t>0112</t>
        </is>
      </c>
      <c r="G5348" s="10" t="inlineStr">
        <is>
          <t>天神川</t>
        </is>
      </c>
      <c r="H5348" s="10" t="inlineStr">
        <is>
          <t>発</t>
        </is>
      </c>
      <c r="J5348" s="10" t="inlineStr">
        <is>
          <t>営業</t>
        </is>
      </c>
      <c r="L5348" t="inlineStr">
        <is>
          <t>15:02:50</t>
        </is>
      </c>
      <c r="M5348" t="inlineStr">
        <is>
          <t>15:03:30</t>
        </is>
      </c>
    </row>
    <row r="5349" ht="15" customHeight="1" s="37">
      <c r="A5349" t="n">
        <v>12</v>
      </c>
      <c r="B5349" s="10" t="inlineStr">
        <is>
          <t>平日</t>
        </is>
      </c>
      <c r="C5349" s="10" t="inlineStr">
        <is>
          <t>本線</t>
        </is>
      </c>
      <c r="D5349" s="10" t="inlineStr">
        <is>
          <t>下り</t>
        </is>
      </c>
      <c r="E5349" t="inlineStr">
        <is>
          <t>1411</t>
        </is>
      </c>
      <c r="F5349" t="inlineStr">
        <is>
          <t>0112</t>
        </is>
      </c>
      <c r="G5349" s="10" t="inlineStr">
        <is>
          <t>蚕ノ社</t>
        </is>
      </c>
      <c r="H5349" s="10" t="inlineStr">
        <is>
          <t>発</t>
        </is>
      </c>
      <c r="J5349" s="10" t="inlineStr">
        <is>
          <t>営業</t>
        </is>
      </c>
      <c r="L5349" t="inlineStr">
        <is>
          <t>15:04:20</t>
        </is>
      </c>
      <c r="M5349" t="inlineStr">
        <is>
          <t>15:04:40</t>
        </is>
      </c>
    </row>
    <row r="5350" ht="15" customHeight="1" s="37">
      <c r="A5350" t="n">
        <v>12</v>
      </c>
      <c r="B5350" s="10" t="inlineStr">
        <is>
          <t>平日</t>
        </is>
      </c>
      <c r="C5350" s="10" t="inlineStr">
        <is>
          <t>本線</t>
        </is>
      </c>
      <c r="D5350" s="10" t="inlineStr">
        <is>
          <t>下り</t>
        </is>
      </c>
      <c r="E5350" t="inlineStr">
        <is>
          <t>1411</t>
        </is>
      </c>
      <c r="F5350" t="inlineStr">
        <is>
          <t>0112</t>
        </is>
      </c>
      <c r="G5350" s="10" t="inlineStr">
        <is>
          <t>太秦広隆寺</t>
        </is>
      </c>
      <c r="H5350" s="10" t="inlineStr">
        <is>
          <t>発</t>
        </is>
      </c>
      <c r="J5350" s="10" t="inlineStr">
        <is>
          <t>営業</t>
        </is>
      </c>
      <c r="L5350" t="inlineStr">
        <is>
          <t>15:06:00</t>
        </is>
      </c>
      <c r="M5350" t="inlineStr">
        <is>
          <t>15:06:20</t>
        </is>
      </c>
    </row>
    <row r="5351" ht="15" customHeight="1" s="37">
      <c r="A5351" t="n">
        <v>12</v>
      </c>
      <c r="B5351" s="10" t="inlineStr">
        <is>
          <t>平日</t>
        </is>
      </c>
      <c r="C5351" s="10" t="inlineStr">
        <is>
          <t>本線</t>
        </is>
      </c>
      <c r="D5351" s="10" t="inlineStr">
        <is>
          <t>下り</t>
        </is>
      </c>
      <c r="E5351" t="inlineStr">
        <is>
          <t>1411</t>
        </is>
      </c>
      <c r="F5351" t="inlineStr">
        <is>
          <t>0112</t>
        </is>
      </c>
      <c r="G5351" s="10" t="inlineStr">
        <is>
          <t>帷子ノ辻</t>
        </is>
      </c>
      <c r="H5351" s="10" t="inlineStr">
        <is>
          <t>発</t>
        </is>
      </c>
      <c r="J5351" s="10" t="inlineStr">
        <is>
          <t>営業</t>
        </is>
      </c>
      <c r="L5351" t="inlineStr">
        <is>
          <t>15:08:20</t>
        </is>
      </c>
      <c r="M5351" t="inlineStr">
        <is>
          <t>15:09:40</t>
        </is>
      </c>
    </row>
    <row r="5352" ht="15" customHeight="1" s="37">
      <c r="A5352" t="n">
        <v>12</v>
      </c>
      <c r="B5352" s="10" t="inlineStr">
        <is>
          <t>平日</t>
        </is>
      </c>
      <c r="C5352" s="10" t="inlineStr">
        <is>
          <t>本線</t>
        </is>
      </c>
      <c r="D5352" s="10" t="inlineStr">
        <is>
          <t>下り</t>
        </is>
      </c>
      <c r="E5352" t="inlineStr">
        <is>
          <t>1411</t>
        </is>
      </c>
      <c r="F5352" t="inlineStr">
        <is>
          <t>0112</t>
        </is>
      </c>
      <c r="G5352" s="10" t="inlineStr">
        <is>
          <t>有栖川</t>
        </is>
      </c>
      <c r="H5352" s="10" t="inlineStr">
        <is>
          <t>発</t>
        </is>
      </c>
      <c r="J5352" s="10" t="inlineStr">
        <is>
          <t>営業</t>
        </is>
      </c>
      <c r="L5352" t="inlineStr">
        <is>
          <t>15:10:50</t>
        </is>
      </c>
      <c r="M5352" t="inlineStr">
        <is>
          <t>15:11:15</t>
        </is>
      </c>
    </row>
    <row r="5353" ht="15" customHeight="1" s="37">
      <c r="A5353" t="n">
        <v>12</v>
      </c>
      <c r="B5353" s="10" t="inlineStr">
        <is>
          <t>平日</t>
        </is>
      </c>
      <c r="C5353" s="10" t="inlineStr">
        <is>
          <t>本線</t>
        </is>
      </c>
      <c r="D5353" s="10" t="inlineStr">
        <is>
          <t>下り</t>
        </is>
      </c>
      <c r="E5353" t="inlineStr">
        <is>
          <t>1411</t>
        </is>
      </c>
      <c r="F5353" t="inlineStr">
        <is>
          <t>0112</t>
        </is>
      </c>
      <c r="G5353" s="10" t="inlineStr">
        <is>
          <t>車折</t>
        </is>
      </c>
      <c r="H5353" s="10" t="inlineStr">
        <is>
          <t>発</t>
        </is>
      </c>
      <c r="J5353" s="10" t="inlineStr">
        <is>
          <t>営業</t>
        </is>
      </c>
      <c r="L5353" t="inlineStr">
        <is>
          <t>15:12:40</t>
        </is>
      </c>
      <c r="M5353" t="inlineStr">
        <is>
          <t>15:13:05</t>
        </is>
      </c>
    </row>
    <row r="5354" ht="15" customHeight="1" s="37">
      <c r="A5354" t="n">
        <v>12</v>
      </c>
      <c r="B5354" s="10" t="inlineStr">
        <is>
          <t>平日</t>
        </is>
      </c>
      <c r="C5354" s="10" t="inlineStr">
        <is>
          <t>本線</t>
        </is>
      </c>
      <c r="D5354" s="10" t="inlineStr">
        <is>
          <t>下り</t>
        </is>
      </c>
      <c r="E5354" t="inlineStr">
        <is>
          <t>1411</t>
        </is>
      </c>
      <c r="F5354" t="inlineStr">
        <is>
          <t>0112</t>
        </is>
      </c>
      <c r="G5354" s="10" t="inlineStr">
        <is>
          <t>鹿王院</t>
        </is>
      </c>
      <c r="H5354" s="10" t="inlineStr">
        <is>
          <t>発</t>
        </is>
      </c>
      <c r="J5354" s="10" t="inlineStr">
        <is>
          <t>営業</t>
        </is>
      </c>
      <c r="L5354" t="inlineStr">
        <is>
          <t>15:14:00</t>
        </is>
      </c>
      <c r="M5354" t="inlineStr">
        <is>
          <t>15:14:25</t>
        </is>
      </c>
    </row>
    <row r="5355" ht="15" customHeight="1" s="37">
      <c r="A5355" t="n">
        <v>12</v>
      </c>
      <c r="B5355" s="10" t="inlineStr">
        <is>
          <t>平日</t>
        </is>
      </c>
      <c r="C5355" s="10" t="inlineStr">
        <is>
          <t>本線</t>
        </is>
      </c>
      <c r="D5355" s="10" t="inlineStr">
        <is>
          <t>下り</t>
        </is>
      </c>
      <c r="E5355" t="inlineStr">
        <is>
          <t>1411</t>
        </is>
      </c>
      <c r="F5355" t="inlineStr">
        <is>
          <t>0112</t>
        </is>
      </c>
      <c r="G5355" s="10" t="inlineStr">
        <is>
          <t>嵯峨</t>
        </is>
      </c>
      <c r="H5355" s="10" t="inlineStr">
        <is>
          <t>発</t>
        </is>
      </c>
      <c r="J5355" s="10" t="inlineStr">
        <is>
          <t>営業</t>
        </is>
      </c>
      <c r="L5355" t="inlineStr">
        <is>
          <t>15:15:30</t>
        </is>
      </c>
      <c r="M5355" t="inlineStr">
        <is>
          <t>15:15:55</t>
        </is>
      </c>
    </row>
    <row r="5356" ht="15" customHeight="1" s="37">
      <c r="A5356" t="n">
        <v>12</v>
      </c>
      <c r="B5356" s="10" t="inlineStr">
        <is>
          <t>平日</t>
        </is>
      </c>
      <c r="C5356" s="10" t="inlineStr">
        <is>
          <t>本線</t>
        </is>
      </c>
      <c r="D5356" s="10" t="inlineStr">
        <is>
          <t>下り</t>
        </is>
      </c>
      <c r="E5356" t="inlineStr">
        <is>
          <t>1411</t>
        </is>
      </c>
      <c r="F5356" t="inlineStr">
        <is>
          <t>0112</t>
        </is>
      </c>
      <c r="G5356" s="10" t="inlineStr">
        <is>
          <t>嵐山</t>
        </is>
      </c>
      <c r="H5356" s="10" t="inlineStr">
        <is>
          <t>着</t>
        </is>
      </c>
      <c r="J5356" s="10" t="inlineStr">
        <is>
          <t>営業</t>
        </is>
      </c>
      <c r="L5356" t="inlineStr">
        <is>
          <t>15:17:00</t>
        </is>
      </c>
      <c r="Q5356" t="inlineStr">
        <is>
          <t>1</t>
        </is>
      </c>
    </row>
    <row r="5357" ht="15" customHeight="1" s="37">
      <c r="A5357" t="n">
        <v>12</v>
      </c>
      <c r="B5357" s="10" t="inlineStr">
        <is>
          <t>平日</t>
        </is>
      </c>
      <c r="C5357" s="10" t="inlineStr">
        <is>
          <t>本線</t>
        </is>
      </c>
      <c r="D5357" s="10" t="inlineStr">
        <is>
          <t>上り</t>
        </is>
      </c>
      <c r="E5357" t="inlineStr">
        <is>
          <t>1506</t>
        </is>
      </c>
      <c r="F5357" t="inlineStr">
        <is>
          <t>0211</t>
        </is>
      </c>
      <c r="G5357" s="10" t="inlineStr">
        <is>
          <t>嵐山</t>
        </is>
      </c>
      <c r="H5357" s="10" t="inlineStr">
        <is>
          <t>発</t>
        </is>
      </c>
      <c r="J5357" s="10" t="inlineStr">
        <is>
          <t>営業</t>
        </is>
      </c>
      <c r="M5357" t="inlineStr">
        <is>
          <t>15:23:00</t>
        </is>
      </c>
      <c r="Q5357" t="inlineStr">
        <is>
          <t>1</t>
        </is>
      </c>
    </row>
    <row r="5358" ht="15" customHeight="1" s="37">
      <c r="A5358" t="n">
        <v>12</v>
      </c>
      <c r="B5358" s="10" t="inlineStr">
        <is>
          <t>平日</t>
        </is>
      </c>
      <c r="C5358" s="10" t="inlineStr">
        <is>
          <t>本線</t>
        </is>
      </c>
      <c r="D5358" s="10" t="inlineStr">
        <is>
          <t>上り</t>
        </is>
      </c>
      <c r="E5358" t="inlineStr">
        <is>
          <t>1506</t>
        </is>
      </c>
      <c r="F5358" t="inlineStr">
        <is>
          <t>0211</t>
        </is>
      </c>
      <c r="G5358" s="10" t="inlineStr">
        <is>
          <t>嵯峨</t>
        </is>
      </c>
      <c r="H5358" s="10" t="inlineStr">
        <is>
          <t>発</t>
        </is>
      </c>
      <c r="J5358" s="10" t="inlineStr">
        <is>
          <t>営業</t>
        </is>
      </c>
      <c r="L5358" t="inlineStr">
        <is>
          <t>15:23:55</t>
        </is>
      </c>
      <c r="M5358" t="inlineStr">
        <is>
          <t>15:24:20</t>
        </is>
      </c>
    </row>
    <row r="5359" ht="15" customHeight="1" s="37">
      <c r="A5359" t="n">
        <v>12</v>
      </c>
      <c r="B5359" s="10" t="inlineStr">
        <is>
          <t>平日</t>
        </is>
      </c>
      <c r="C5359" s="10" t="inlineStr">
        <is>
          <t>本線</t>
        </is>
      </c>
      <c r="D5359" s="10" t="inlineStr">
        <is>
          <t>上り</t>
        </is>
      </c>
      <c r="E5359" t="inlineStr">
        <is>
          <t>1506</t>
        </is>
      </c>
      <c r="F5359" t="inlineStr">
        <is>
          <t>0211</t>
        </is>
      </c>
      <c r="G5359" s="10" t="inlineStr">
        <is>
          <t>鹿王院</t>
        </is>
      </c>
      <c r="H5359" s="10" t="inlineStr">
        <is>
          <t>発</t>
        </is>
      </c>
      <c r="J5359" s="10" t="inlineStr">
        <is>
          <t>営業</t>
        </is>
      </c>
      <c r="L5359" t="inlineStr">
        <is>
          <t>15:25:25</t>
        </is>
      </c>
      <c r="M5359" t="inlineStr">
        <is>
          <t>15:25:45</t>
        </is>
      </c>
    </row>
    <row r="5360" ht="15" customHeight="1" s="37">
      <c r="A5360" t="n">
        <v>12</v>
      </c>
      <c r="B5360" s="10" t="inlineStr">
        <is>
          <t>平日</t>
        </is>
      </c>
      <c r="C5360" s="10" t="inlineStr">
        <is>
          <t>本線</t>
        </is>
      </c>
      <c r="D5360" s="10" t="inlineStr">
        <is>
          <t>上り</t>
        </is>
      </c>
      <c r="E5360" t="inlineStr">
        <is>
          <t>1506</t>
        </is>
      </c>
      <c r="F5360" t="inlineStr">
        <is>
          <t>0211</t>
        </is>
      </c>
      <c r="G5360" s="10" t="inlineStr">
        <is>
          <t>車折</t>
        </is>
      </c>
      <c r="H5360" s="10" t="inlineStr">
        <is>
          <t>発</t>
        </is>
      </c>
      <c r="J5360" s="10" t="inlineStr">
        <is>
          <t>営業</t>
        </is>
      </c>
      <c r="L5360" t="inlineStr">
        <is>
          <t>15:26:40</t>
        </is>
      </c>
      <c r="M5360" t="inlineStr">
        <is>
          <t>15:27:10</t>
        </is>
      </c>
    </row>
    <row r="5361" ht="15" customHeight="1" s="37">
      <c r="A5361" t="n">
        <v>12</v>
      </c>
      <c r="B5361" s="10" t="inlineStr">
        <is>
          <t>平日</t>
        </is>
      </c>
      <c r="C5361" s="10" t="inlineStr">
        <is>
          <t>本線</t>
        </is>
      </c>
      <c r="D5361" s="10" t="inlineStr">
        <is>
          <t>上り</t>
        </is>
      </c>
      <c r="E5361" t="inlineStr">
        <is>
          <t>1506</t>
        </is>
      </c>
      <c r="F5361" t="inlineStr">
        <is>
          <t>0211</t>
        </is>
      </c>
      <c r="G5361" s="10" t="inlineStr">
        <is>
          <t>有栖川</t>
        </is>
      </c>
      <c r="H5361" s="10" t="inlineStr">
        <is>
          <t>発</t>
        </is>
      </c>
      <c r="J5361" s="10" t="inlineStr">
        <is>
          <t>営業</t>
        </is>
      </c>
      <c r="L5361" t="inlineStr">
        <is>
          <t>15:28:35</t>
        </is>
      </c>
      <c r="M5361" t="inlineStr">
        <is>
          <t>15:28:55</t>
        </is>
      </c>
    </row>
    <row r="5362" ht="15" customHeight="1" s="37">
      <c r="A5362" t="n">
        <v>12</v>
      </c>
      <c r="B5362" s="10" t="inlineStr">
        <is>
          <t>平日</t>
        </is>
      </c>
      <c r="C5362" s="10" t="inlineStr">
        <is>
          <t>本線</t>
        </is>
      </c>
      <c r="D5362" s="10" t="inlineStr">
        <is>
          <t>上り</t>
        </is>
      </c>
      <c r="E5362" t="inlineStr">
        <is>
          <t>1506</t>
        </is>
      </c>
      <c r="F5362" t="inlineStr">
        <is>
          <t>0211</t>
        </is>
      </c>
      <c r="G5362" s="10" t="inlineStr">
        <is>
          <t>帷子ノ辻</t>
        </is>
      </c>
      <c r="H5362" s="10" t="inlineStr">
        <is>
          <t>発</t>
        </is>
      </c>
      <c r="J5362" s="10" t="inlineStr">
        <is>
          <t>営業</t>
        </is>
      </c>
      <c r="L5362" t="inlineStr">
        <is>
          <t>15:30:10</t>
        </is>
      </c>
      <c r="M5362" t="inlineStr">
        <is>
          <t>15:31:15</t>
        </is>
      </c>
    </row>
    <row r="5363" ht="15" customHeight="1" s="37">
      <c r="A5363" t="n">
        <v>12</v>
      </c>
      <c r="B5363" s="10" t="inlineStr">
        <is>
          <t>平日</t>
        </is>
      </c>
      <c r="C5363" s="10" t="inlineStr">
        <is>
          <t>本線</t>
        </is>
      </c>
      <c r="D5363" s="10" t="inlineStr">
        <is>
          <t>上り</t>
        </is>
      </c>
      <c r="E5363" t="inlineStr">
        <is>
          <t>1506</t>
        </is>
      </c>
      <c r="F5363" t="inlineStr">
        <is>
          <t>0211</t>
        </is>
      </c>
      <c r="G5363" s="10" t="inlineStr">
        <is>
          <t>太秦広隆寺</t>
        </is>
      </c>
      <c r="H5363" s="10" t="inlineStr">
        <is>
          <t>発</t>
        </is>
      </c>
      <c r="J5363" s="10" t="inlineStr">
        <is>
          <t>営業</t>
        </is>
      </c>
      <c r="L5363" t="inlineStr">
        <is>
          <t>15:33:25</t>
        </is>
      </c>
      <c r="M5363" t="inlineStr">
        <is>
          <t>15:33:45</t>
        </is>
      </c>
    </row>
    <row r="5364" ht="15" customHeight="1" s="37">
      <c r="A5364" t="n">
        <v>12</v>
      </c>
      <c r="B5364" s="10" t="inlineStr">
        <is>
          <t>平日</t>
        </is>
      </c>
      <c r="C5364" s="10" t="inlineStr">
        <is>
          <t>本線</t>
        </is>
      </c>
      <c r="D5364" s="10" t="inlineStr">
        <is>
          <t>上り</t>
        </is>
      </c>
      <c r="E5364" t="inlineStr">
        <is>
          <t>1506</t>
        </is>
      </c>
      <c r="F5364" t="inlineStr">
        <is>
          <t>0211</t>
        </is>
      </c>
      <c r="G5364" s="10" t="inlineStr">
        <is>
          <t>蚕ノ社</t>
        </is>
      </c>
      <c r="H5364" s="10" t="inlineStr">
        <is>
          <t>発</t>
        </is>
      </c>
      <c r="J5364" s="10" t="inlineStr">
        <is>
          <t>営業</t>
        </is>
      </c>
      <c r="L5364" t="inlineStr">
        <is>
          <t>15:35:00</t>
        </is>
      </c>
      <c r="M5364" t="inlineStr">
        <is>
          <t>15:35:20</t>
        </is>
      </c>
    </row>
    <row r="5365" ht="15" customHeight="1" s="37">
      <c r="A5365" t="n">
        <v>12</v>
      </c>
      <c r="B5365" s="10" t="inlineStr">
        <is>
          <t>平日</t>
        </is>
      </c>
      <c r="C5365" s="10" t="inlineStr">
        <is>
          <t>本線</t>
        </is>
      </c>
      <c r="D5365" s="10" t="inlineStr">
        <is>
          <t>上り</t>
        </is>
      </c>
      <c r="E5365" t="inlineStr">
        <is>
          <t>1506</t>
        </is>
      </c>
      <c r="F5365" t="inlineStr">
        <is>
          <t>0211</t>
        </is>
      </c>
      <c r="G5365" s="10" t="inlineStr">
        <is>
          <t>天神川</t>
        </is>
      </c>
      <c r="H5365" s="10" t="inlineStr">
        <is>
          <t>発</t>
        </is>
      </c>
      <c r="J5365" s="10" t="inlineStr">
        <is>
          <t>営業</t>
        </is>
      </c>
      <c r="L5365" t="inlineStr">
        <is>
          <t>15:36:05</t>
        </is>
      </c>
      <c r="M5365" t="inlineStr">
        <is>
          <t>15:36:50</t>
        </is>
      </c>
    </row>
    <row r="5366" ht="15" customHeight="1" s="37">
      <c r="A5366" t="n">
        <v>12</v>
      </c>
      <c r="B5366" s="10" t="inlineStr">
        <is>
          <t>平日</t>
        </is>
      </c>
      <c r="C5366" s="10" t="inlineStr">
        <is>
          <t>本線</t>
        </is>
      </c>
      <c r="D5366" s="10" t="inlineStr">
        <is>
          <t>上り</t>
        </is>
      </c>
      <c r="E5366" t="inlineStr">
        <is>
          <t>1506</t>
        </is>
      </c>
      <c r="F5366" t="inlineStr">
        <is>
          <t>0211</t>
        </is>
      </c>
      <c r="G5366" s="10" t="inlineStr">
        <is>
          <t>山ノ内</t>
        </is>
      </c>
      <c r="H5366" s="10" t="inlineStr">
        <is>
          <t>発</t>
        </is>
      </c>
      <c r="J5366" s="10" t="inlineStr">
        <is>
          <t>営業</t>
        </is>
      </c>
      <c r="L5366" t="inlineStr">
        <is>
          <t>15:38:40</t>
        </is>
      </c>
      <c r="M5366" t="inlineStr">
        <is>
          <t>15:39:05</t>
        </is>
      </c>
    </row>
    <row r="5367" ht="15" customHeight="1" s="37">
      <c r="A5367" t="n">
        <v>12</v>
      </c>
      <c r="B5367" s="10" t="inlineStr">
        <is>
          <t>平日</t>
        </is>
      </c>
      <c r="C5367" s="10" t="inlineStr">
        <is>
          <t>本線</t>
        </is>
      </c>
      <c r="D5367" s="10" t="inlineStr">
        <is>
          <t>上り</t>
        </is>
      </c>
      <c r="E5367" t="inlineStr">
        <is>
          <t>1506</t>
        </is>
      </c>
      <c r="F5367" t="inlineStr">
        <is>
          <t>0211</t>
        </is>
      </c>
      <c r="G5367" s="10" t="inlineStr">
        <is>
          <t>西大路三条</t>
        </is>
      </c>
      <c r="H5367" s="10" t="inlineStr">
        <is>
          <t>発</t>
        </is>
      </c>
      <c r="J5367" s="10" t="inlineStr">
        <is>
          <t>営業</t>
        </is>
      </c>
      <c r="L5367" t="inlineStr">
        <is>
          <t>15:40:55</t>
        </is>
      </c>
      <c r="M5367" t="inlineStr">
        <is>
          <t>15:41:15</t>
        </is>
      </c>
    </row>
    <row r="5368" ht="15" customHeight="1" s="37">
      <c r="A5368" t="n">
        <v>12</v>
      </c>
      <c r="B5368" s="10" t="inlineStr">
        <is>
          <t>平日</t>
        </is>
      </c>
      <c r="C5368" s="10" t="inlineStr">
        <is>
          <t>本線</t>
        </is>
      </c>
      <c r="D5368" s="10" t="inlineStr">
        <is>
          <t>上り</t>
        </is>
      </c>
      <c r="E5368" t="inlineStr">
        <is>
          <t>1506</t>
        </is>
      </c>
      <c r="F5368" t="inlineStr">
        <is>
          <t>0211</t>
        </is>
      </c>
      <c r="G5368" s="10" t="inlineStr">
        <is>
          <t>西院</t>
        </is>
      </c>
      <c r="H5368" s="10" t="inlineStr">
        <is>
          <t>発</t>
        </is>
      </c>
      <c r="J5368" s="10" t="inlineStr">
        <is>
          <t>営業</t>
        </is>
      </c>
      <c r="L5368" t="inlineStr">
        <is>
          <t>15:43:10</t>
        </is>
      </c>
      <c r="M5368" t="inlineStr">
        <is>
          <t>15:44:05</t>
        </is>
      </c>
    </row>
    <row r="5369" ht="15" customHeight="1" s="37">
      <c r="A5369" t="n">
        <v>12</v>
      </c>
      <c r="B5369" s="10" t="inlineStr">
        <is>
          <t>平日</t>
        </is>
      </c>
      <c r="C5369" s="10" t="inlineStr">
        <is>
          <t>本線</t>
        </is>
      </c>
      <c r="D5369" s="10" t="inlineStr">
        <is>
          <t>上り</t>
        </is>
      </c>
      <c r="E5369" t="inlineStr">
        <is>
          <t>1506</t>
        </is>
      </c>
      <c r="F5369" t="inlineStr">
        <is>
          <t>0211</t>
        </is>
      </c>
      <c r="G5369" s="10" t="inlineStr">
        <is>
          <t>四条大宮</t>
        </is>
      </c>
      <c r="H5369" s="10" t="inlineStr">
        <is>
          <t>着</t>
        </is>
      </c>
      <c r="J5369" s="10" t="inlineStr">
        <is>
          <t>営業</t>
        </is>
      </c>
      <c r="L5369" t="inlineStr">
        <is>
          <t>15:47:00</t>
        </is>
      </c>
      <c r="Q5369" t="inlineStr">
        <is>
          <t>1誘</t>
        </is>
      </c>
    </row>
    <row r="5370" ht="15" customHeight="1" s="37">
      <c r="A5370" t="n">
        <v>12</v>
      </c>
      <c r="B5370" s="10" t="inlineStr">
        <is>
          <t>平日</t>
        </is>
      </c>
      <c r="C5370" s="10" t="inlineStr">
        <is>
          <t>本線</t>
        </is>
      </c>
      <c r="D5370" s="10" t="inlineStr">
        <is>
          <t>下り</t>
        </is>
      </c>
      <c r="E5370" t="inlineStr">
        <is>
          <t>1903</t>
        </is>
      </c>
      <c r="F5370" t="inlineStr">
        <is>
          <t>0122</t>
        </is>
      </c>
      <c r="G5370" s="10" t="inlineStr">
        <is>
          <t>西院</t>
        </is>
      </c>
      <c r="H5370" s="10" t="inlineStr">
        <is>
          <t>発</t>
        </is>
      </c>
      <c r="J5370" s="10" t="inlineStr">
        <is>
          <t>営業</t>
        </is>
      </c>
      <c r="L5370" t="inlineStr">
        <is>
          <t>19:14:50</t>
        </is>
      </c>
      <c r="M5370" t="inlineStr">
        <is>
          <t>19:16:20</t>
        </is>
      </c>
    </row>
    <row r="5371" ht="15" customHeight="1" s="37">
      <c r="A5371" t="n">
        <v>12</v>
      </c>
      <c r="B5371" s="10" t="inlineStr">
        <is>
          <t>平日</t>
        </is>
      </c>
      <c r="C5371" s="10" t="inlineStr">
        <is>
          <t>本線</t>
        </is>
      </c>
      <c r="D5371" s="10" t="inlineStr">
        <is>
          <t>下り</t>
        </is>
      </c>
      <c r="E5371" t="inlineStr">
        <is>
          <t>1903</t>
        </is>
      </c>
      <c r="F5371" t="inlineStr">
        <is>
          <t>0122</t>
        </is>
      </c>
      <c r="G5371" s="10" t="inlineStr">
        <is>
          <t>西大路三条</t>
        </is>
      </c>
      <c r="H5371" s="10" t="inlineStr">
        <is>
          <t>発</t>
        </is>
      </c>
      <c r="J5371" s="10" t="inlineStr">
        <is>
          <t>営業</t>
        </is>
      </c>
      <c r="L5371" t="inlineStr">
        <is>
          <t>19:18:10</t>
        </is>
      </c>
      <c r="M5371" t="inlineStr">
        <is>
          <t>19:18:30</t>
        </is>
      </c>
    </row>
    <row r="5372" ht="15" customHeight="1" s="37">
      <c r="A5372" t="n">
        <v>12</v>
      </c>
      <c r="B5372" s="10" t="inlineStr">
        <is>
          <t>平日</t>
        </is>
      </c>
      <c r="C5372" s="10" t="inlineStr">
        <is>
          <t>本線</t>
        </is>
      </c>
      <c r="D5372" s="10" t="inlineStr">
        <is>
          <t>下り</t>
        </is>
      </c>
      <c r="E5372" t="inlineStr">
        <is>
          <t>1903</t>
        </is>
      </c>
      <c r="F5372" t="inlineStr">
        <is>
          <t>0122</t>
        </is>
      </c>
      <c r="G5372" s="10" t="inlineStr">
        <is>
          <t>山ノ内</t>
        </is>
      </c>
      <c r="H5372" s="10" t="inlineStr">
        <is>
          <t>発</t>
        </is>
      </c>
      <c r="J5372" s="10" t="inlineStr">
        <is>
          <t>営業</t>
        </is>
      </c>
      <c r="L5372" t="inlineStr">
        <is>
          <t>19:20:25</t>
        </is>
      </c>
      <c r="M5372" t="inlineStr">
        <is>
          <t>19:20:50</t>
        </is>
      </c>
    </row>
    <row r="5373" ht="15" customHeight="1" s="37">
      <c r="A5373" t="n">
        <v>12</v>
      </c>
      <c r="B5373" s="10" t="inlineStr">
        <is>
          <t>平日</t>
        </is>
      </c>
      <c r="C5373" s="10" t="inlineStr">
        <is>
          <t>本線</t>
        </is>
      </c>
      <c r="D5373" s="10" t="inlineStr">
        <is>
          <t>下り</t>
        </is>
      </c>
      <c r="E5373" t="inlineStr">
        <is>
          <t>1903</t>
        </is>
      </c>
      <c r="F5373" t="inlineStr">
        <is>
          <t>0122</t>
        </is>
      </c>
      <c r="G5373" s="10" t="inlineStr">
        <is>
          <t>天神川</t>
        </is>
      </c>
      <c r="H5373" s="10" t="inlineStr">
        <is>
          <t>発</t>
        </is>
      </c>
      <c r="J5373" s="10" t="inlineStr">
        <is>
          <t>営業</t>
        </is>
      </c>
      <c r="L5373" t="inlineStr">
        <is>
          <t>19:22:50</t>
        </is>
      </c>
      <c r="M5373" t="inlineStr">
        <is>
          <t>19:23:30</t>
        </is>
      </c>
    </row>
    <row r="5374" ht="15" customHeight="1" s="37">
      <c r="A5374" t="n">
        <v>12</v>
      </c>
      <c r="B5374" s="10" t="inlineStr">
        <is>
          <t>平日</t>
        </is>
      </c>
      <c r="C5374" s="10" t="inlineStr">
        <is>
          <t>本線</t>
        </is>
      </c>
      <c r="D5374" s="10" t="inlineStr">
        <is>
          <t>下り</t>
        </is>
      </c>
      <c r="E5374" t="inlineStr">
        <is>
          <t>1903</t>
        </is>
      </c>
      <c r="F5374" t="inlineStr">
        <is>
          <t>0122</t>
        </is>
      </c>
      <c r="G5374" s="10" t="inlineStr">
        <is>
          <t>蚕ノ社</t>
        </is>
      </c>
      <c r="H5374" s="10" t="inlineStr">
        <is>
          <t>発</t>
        </is>
      </c>
      <c r="J5374" s="10" t="inlineStr">
        <is>
          <t>営業</t>
        </is>
      </c>
      <c r="L5374" t="inlineStr">
        <is>
          <t>19:24:20</t>
        </is>
      </c>
      <c r="M5374" t="inlineStr">
        <is>
          <t>19:24:40</t>
        </is>
      </c>
    </row>
    <row r="5375" ht="15" customHeight="1" s="37">
      <c r="A5375" t="n">
        <v>12</v>
      </c>
      <c r="B5375" s="10" t="inlineStr">
        <is>
          <t>平日</t>
        </is>
      </c>
      <c r="C5375" s="10" t="inlineStr">
        <is>
          <t>本線</t>
        </is>
      </c>
      <c r="D5375" s="10" t="inlineStr">
        <is>
          <t>下り</t>
        </is>
      </c>
      <c r="E5375" t="inlineStr">
        <is>
          <t>1903</t>
        </is>
      </c>
      <c r="F5375" t="inlineStr">
        <is>
          <t>0122</t>
        </is>
      </c>
      <c r="G5375" s="10" t="inlineStr">
        <is>
          <t>太秦広隆寺</t>
        </is>
      </c>
      <c r="H5375" s="10" t="inlineStr">
        <is>
          <t>発</t>
        </is>
      </c>
      <c r="J5375" s="10" t="inlineStr">
        <is>
          <t>営業</t>
        </is>
      </c>
      <c r="L5375" t="inlineStr">
        <is>
          <t>19:26:00</t>
        </is>
      </c>
      <c r="M5375" t="inlineStr">
        <is>
          <t>19:26:20</t>
        </is>
      </c>
    </row>
    <row r="5376" ht="15" customHeight="1" s="37">
      <c r="A5376" t="n">
        <v>12</v>
      </c>
      <c r="B5376" s="10" t="inlineStr">
        <is>
          <t>平日</t>
        </is>
      </c>
      <c r="C5376" s="10" t="inlineStr">
        <is>
          <t>本線</t>
        </is>
      </c>
      <c r="D5376" s="10" t="inlineStr">
        <is>
          <t>下り</t>
        </is>
      </c>
      <c r="E5376" t="inlineStr">
        <is>
          <t>1903</t>
        </is>
      </c>
      <c r="F5376" t="inlineStr">
        <is>
          <t>0122</t>
        </is>
      </c>
      <c r="G5376" s="10" t="inlineStr">
        <is>
          <t>帷子ノ辻</t>
        </is>
      </c>
      <c r="H5376" s="10" t="inlineStr">
        <is>
          <t>発</t>
        </is>
      </c>
      <c r="J5376" s="10" t="inlineStr">
        <is>
          <t>営業</t>
        </is>
      </c>
      <c r="L5376" t="inlineStr">
        <is>
          <t>19:28:20</t>
        </is>
      </c>
      <c r="M5376" t="inlineStr">
        <is>
          <t>19:29:40</t>
        </is>
      </c>
    </row>
    <row r="5377" ht="15" customHeight="1" s="37">
      <c r="A5377" t="n">
        <v>12</v>
      </c>
      <c r="B5377" s="10" t="inlineStr">
        <is>
          <t>平日</t>
        </is>
      </c>
      <c r="C5377" s="10" t="inlineStr">
        <is>
          <t>本線</t>
        </is>
      </c>
      <c r="D5377" s="10" t="inlineStr">
        <is>
          <t>下り</t>
        </is>
      </c>
      <c r="E5377" t="inlineStr">
        <is>
          <t>1903</t>
        </is>
      </c>
      <c r="F5377" t="inlineStr">
        <is>
          <t>0122</t>
        </is>
      </c>
      <c r="G5377" s="10" t="inlineStr">
        <is>
          <t>有栖川</t>
        </is>
      </c>
      <c r="H5377" s="10" t="inlineStr">
        <is>
          <t>発</t>
        </is>
      </c>
      <c r="J5377" s="10" t="inlineStr">
        <is>
          <t>営業</t>
        </is>
      </c>
      <c r="L5377" t="inlineStr">
        <is>
          <t>19:30:50</t>
        </is>
      </c>
      <c r="M5377" t="inlineStr">
        <is>
          <t>19:31:15</t>
        </is>
      </c>
    </row>
    <row r="5378" ht="15" customHeight="1" s="37">
      <c r="A5378" t="n">
        <v>12</v>
      </c>
      <c r="B5378" s="10" t="inlineStr">
        <is>
          <t>平日</t>
        </is>
      </c>
      <c r="C5378" s="10" t="inlineStr">
        <is>
          <t>本線</t>
        </is>
      </c>
      <c r="D5378" s="10" t="inlineStr">
        <is>
          <t>下り</t>
        </is>
      </c>
      <c r="E5378" t="inlineStr">
        <is>
          <t>1903</t>
        </is>
      </c>
      <c r="F5378" t="inlineStr">
        <is>
          <t>0122</t>
        </is>
      </c>
      <c r="G5378" s="10" t="inlineStr">
        <is>
          <t>車折</t>
        </is>
      </c>
      <c r="H5378" s="10" t="inlineStr">
        <is>
          <t>発</t>
        </is>
      </c>
      <c r="J5378" s="10" t="inlineStr">
        <is>
          <t>営業</t>
        </is>
      </c>
      <c r="L5378" t="inlineStr">
        <is>
          <t>19:32:40</t>
        </is>
      </c>
      <c r="M5378" t="inlineStr">
        <is>
          <t>19:33:05</t>
        </is>
      </c>
    </row>
    <row r="5379" ht="15" customHeight="1" s="37">
      <c r="A5379" t="n">
        <v>12</v>
      </c>
      <c r="B5379" s="10" t="inlineStr">
        <is>
          <t>平日</t>
        </is>
      </c>
      <c r="C5379" s="10" t="inlineStr">
        <is>
          <t>本線</t>
        </is>
      </c>
      <c r="D5379" s="10" t="inlineStr">
        <is>
          <t>下り</t>
        </is>
      </c>
      <c r="E5379" t="inlineStr">
        <is>
          <t>1903</t>
        </is>
      </c>
      <c r="F5379" t="inlineStr">
        <is>
          <t>0122</t>
        </is>
      </c>
      <c r="G5379" s="10" t="inlineStr">
        <is>
          <t>鹿王院</t>
        </is>
      </c>
      <c r="H5379" s="10" t="inlineStr">
        <is>
          <t>発</t>
        </is>
      </c>
      <c r="J5379" s="10" t="inlineStr">
        <is>
          <t>営業</t>
        </is>
      </c>
      <c r="L5379" t="inlineStr">
        <is>
          <t>19:34:00</t>
        </is>
      </c>
      <c r="M5379" t="inlineStr">
        <is>
          <t>19:34:25</t>
        </is>
      </c>
    </row>
    <row r="5380" ht="15" customHeight="1" s="37">
      <c r="A5380" t="n">
        <v>12</v>
      </c>
      <c r="B5380" s="10" t="inlineStr">
        <is>
          <t>平日</t>
        </is>
      </c>
      <c r="C5380" s="10" t="inlineStr">
        <is>
          <t>本線</t>
        </is>
      </c>
      <c r="D5380" s="10" t="inlineStr">
        <is>
          <t>下り</t>
        </is>
      </c>
      <c r="E5380" t="inlineStr">
        <is>
          <t>1903</t>
        </is>
      </c>
      <c r="F5380" t="inlineStr">
        <is>
          <t>0122</t>
        </is>
      </c>
      <c r="G5380" s="10" t="inlineStr">
        <is>
          <t>嵯峨</t>
        </is>
      </c>
      <c r="H5380" s="10" t="inlineStr">
        <is>
          <t>発</t>
        </is>
      </c>
      <c r="J5380" s="10" t="inlineStr">
        <is>
          <t>営業</t>
        </is>
      </c>
      <c r="L5380" t="inlineStr">
        <is>
          <t>19:35:30</t>
        </is>
      </c>
      <c r="M5380" t="inlineStr">
        <is>
          <t>19:35:55</t>
        </is>
      </c>
    </row>
    <row r="5381" ht="15" customHeight="1" s="37">
      <c r="A5381" t="n">
        <v>12</v>
      </c>
      <c r="B5381" s="10" t="inlineStr">
        <is>
          <t>平日</t>
        </is>
      </c>
      <c r="C5381" s="10" t="inlineStr">
        <is>
          <t>本線</t>
        </is>
      </c>
      <c r="D5381" s="10" t="inlineStr">
        <is>
          <t>下り</t>
        </is>
      </c>
      <c r="E5381" t="inlineStr">
        <is>
          <t>1903</t>
        </is>
      </c>
      <c r="F5381" t="inlineStr">
        <is>
          <t>0122</t>
        </is>
      </c>
      <c r="G5381" s="10" t="inlineStr">
        <is>
          <t>嵐山</t>
        </is>
      </c>
      <c r="H5381" s="10" t="inlineStr">
        <is>
          <t>着</t>
        </is>
      </c>
      <c r="J5381" s="10" t="inlineStr">
        <is>
          <t>営業</t>
        </is>
      </c>
      <c r="L5381" t="inlineStr">
        <is>
          <t>19:37:00</t>
        </is>
      </c>
      <c r="N5381" t="inlineStr">
        <is>
          <t>○</t>
        </is>
      </c>
      <c r="Q5381" t="inlineStr">
        <is>
          <t>1</t>
        </is>
      </c>
    </row>
    <row r="5382" ht="15" customHeight="1" s="37">
      <c r="A5382" t="n">
        <v>12</v>
      </c>
      <c r="B5382" s="10" t="inlineStr">
        <is>
          <t>平日</t>
        </is>
      </c>
      <c r="C5382" s="10" t="inlineStr">
        <is>
          <t>本線</t>
        </is>
      </c>
      <c r="D5382" s="10" t="inlineStr">
        <is>
          <t>上り</t>
        </is>
      </c>
      <c r="E5382" t="inlineStr">
        <is>
          <t>1910</t>
        </is>
      </c>
      <c r="F5382" t="inlineStr">
        <is>
          <t>0221</t>
        </is>
      </c>
      <c r="G5382" s="10" t="inlineStr">
        <is>
          <t>嵐山</t>
        </is>
      </c>
      <c r="H5382" s="10" t="inlineStr">
        <is>
          <t>発</t>
        </is>
      </c>
      <c r="J5382" s="10" t="inlineStr">
        <is>
          <t>営業</t>
        </is>
      </c>
      <c r="M5382" t="inlineStr">
        <is>
          <t>19:43:00</t>
        </is>
      </c>
      <c r="Q5382" t="inlineStr">
        <is>
          <t>1</t>
        </is>
      </c>
    </row>
    <row r="5383" ht="15" customHeight="1" s="37">
      <c r="A5383" t="n">
        <v>12</v>
      </c>
      <c r="B5383" s="10" t="inlineStr">
        <is>
          <t>平日</t>
        </is>
      </c>
      <c r="C5383" s="10" t="inlineStr">
        <is>
          <t>本線</t>
        </is>
      </c>
      <c r="D5383" s="10" t="inlineStr">
        <is>
          <t>上り</t>
        </is>
      </c>
      <c r="E5383" t="inlineStr">
        <is>
          <t>1910</t>
        </is>
      </c>
      <c r="F5383" t="inlineStr">
        <is>
          <t>0221</t>
        </is>
      </c>
      <c r="G5383" s="10" t="inlineStr">
        <is>
          <t>嵯峨</t>
        </is>
      </c>
      <c r="H5383" s="10" t="inlineStr">
        <is>
          <t>発</t>
        </is>
      </c>
      <c r="J5383" s="10" t="inlineStr">
        <is>
          <t>営業</t>
        </is>
      </c>
      <c r="L5383" t="inlineStr">
        <is>
          <t>19:43:55</t>
        </is>
      </c>
      <c r="M5383" t="inlineStr">
        <is>
          <t>19:44:20</t>
        </is>
      </c>
    </row>
    <row r="5384" ht="15" customHeight="1" s="37">
      <c r="A5384" t="n">
        <v>12</v>
      </c>
      <c r="B5384" s="10" t="inlineStr">
        <is>
          <t>平日</t>
        </is>
      </c>
      <c r="C5384" s="10" t="inlineStr">
        <is>
          <t>本線</t>
        </is>
      </c>
      <c r="D5384" s="10" t="inlineStr">
        <is>
          <t>上り</t>
        </is>
      </c>
      <c r="E5384" t="inlineStr">
        <is>
          <t>1910</t>
        </is>
      </c>
      <c r="F5384" t="inlineStr">
        <is>
          <t>0221</t>
        </is>
      </c>
      <c r="G5384" s="10" t="inlineStr">
        <is>
          <t>鹿王院</t>
        </is>
      </c>
      <c r="H5384" s="10" t="inlineStr">
        <is>
          <t>発</t>
        </is>
      </c>
      <c r="J5384" s="10" t="inlineStr">
        <is>
          <t>営業</t>
        </is>
      </c>
      <c r="L5384" t="inlineStr">
        <is>
          <t>19:45:25</t>
        </is>
      </c>
      <c r="M5384" t="inlineStr">
        <is>
          <t>19:45:45</t>
        </is>
      </c>
    </row>
    <row r="5385" ht="15" customHeight="1" s="37">
      <c r="A5385" t="n">
        <v>12</v>
      </c>
      <c r="B5385" s="10" t="inlineStr">
        <is>
          <t>平日</t>
        </is>
      </c>
      <c r="C5385" s="10" t="inlineStr">
        <is>
          <t>本線</t>
        </is>
      </c>
      <c r="D5385" s="10" t="inlineStr">
        <is>
          <t>上り</t>
        </is>
      </c>
      <c r="E5385" t="inlineStr">
        <is>
          <t>1910</t>
        </is>
      </c>
      <c r="F5385" t="inlineStr">
        <is>
          <t>0221</t>
        </is>
      </c>
      <c r="G5385" s="10" t="inlineStr">
        <is>
          <t>車折</t>
        </is>
      </c>
      <c r="H5385" s="10" t="inlineStr">
        <is>
          <t>発</t>
        </is>
      </c>
      <c r="J5385" s="10" t="inlineStr">
        <is>
          <t>営業</t>
        </is>
      </c>
      <c r="L5385" t="inlineStr">
        <is>
          <t>19:46:40</t>
        </is>
      </c>
      <c r="M5385" t="inlineStr">
        <is>
          <t>19:47:10</t>
        </is>
      </c>
    </row>
    <row r="5386" ht="15" customHeight="1" s="37">
      <c r="A5386" t="n">
        <v>12</v>
      </c>
      <c r="B5386" s="10" t="inlineStr">
        <is>
          <t>平日</t>
        </is>
      </c>
      <c r="C5386" s="10" t="inlineStr">
        <is>
          <t>本線</t>
        </is>
      </c>
      <c r="D5386" s="10" t="inlineStr">
        <is>
          <t>上り</t>
        </is>
      </c>
      <c r="E5386" t="inlineStr">
        <is>
          <t>1910</t>
        </is>
      </c>
      <c r="F5386" t="inlineStr">
        <is>
          <t>0221</t>
        </is>
      </c>
      <c r="G5386" s="10" t="inlineStr">
        <is>
          <t>有栖川</t>
        </is>
      </c>
      <c r="H5386" s="10" t="inlineStr">
        <is>
          <t>発</t>
        </is>
      </c>
      <c r="J5386" s="10" t="inlineStr">
        <is>
          <t>営業</t>
        </is>
      </c>
      <c r="L5386" t="inlineStr">
        <is>
          <t>19:48:35</t>
        </is>
      </c>
      <c r="M5386" t="inlineStr">
        <is>
          <t>19:48:55</t>
        </is>
      </c>
    </row>
    <row r="5387" ht="15" customHeight="1" s="37">
      <c r="A5387" t="n">
        <v>12</v>
      </c>
      <c r="B5387" s="10" t="inlineStr">
        <is>
          <t>平日</t>
        </is>
      </c>
      <c r="C5387" s="10" t="inlineStr">
        <is>
          <t>本線</t>
        </is>
      </c>
      <c r="D5387" s="10" t="inlineStr">
        <is>
          <t>上り</t>
        </is>
      </c>
      <c r="E5387" t="inlineStr">
        <is>
          <t>1910</t>
        </is>
      </c>
      <c r="F5387" t="inlineStr">
        <is>
          <t>0221</t>
        </is>
      </c>
      <c r="G5387" s="10" t="inlineStr">
        <is>
          <t>帷子ノ辻</t>
        </is>
      </c>
      <c r="H5387" s="10" t="inlineStr">
        <is>
          <t>発</t>
        </is>
      </c>
      <c r="J5387" s="10" t="inlineStr">
        <is>
          <t>営業</t>
        </is>
      </c>
      <c r="L5387" t="inlineStr">
        <is>
          <t>19:50:10</t>
        </is>
      </c>
      <c r="M5387" t="inlineStr">
        <is>
          <t>19:51:15</t>
        </is>
      </c>
    </row>
    <row r="5388" ht="15" customHeight="1" s="37">
      <c r="A5388" t="n">
        <v>12</v>
      </c>
      <c r="B5388" s="10" t="inlineStr">
        <is>
          <t>平日</t>
        </is>
      </c>
      <c r="C5388" s="10" t="inlineStr">
        <is>
          <t>本線</t>
        </is>
      </c>
      <c r="D5388" s="10" t="inlineStr">
        <is>
          <t>上り</t>
        </is>
      </c>
      <c r="E5388" t="inlineStr">
        <is>
          <t>1910</t>
        </is>
      </c>
      <c r="F5388" t="inlineStr">
        <is>
          <t>0221</t>
        </is>
      </c>
      <c r="G5388" s="10" t="inlineStr">
        <is>
          <t>太秦広隆寺</t>
        </is>
      </c>
      <c r="H5388" s="10" t="inlineStr">
        <is>
          <t>発</t>
        </is>
      </c>
      <c r="J5388" s="10" t="inlineStr">
        <is>
          <t>営業</t>
        </is>
      </c>
      <c r="L5388" t="inlineStr">
        <is>
          <t>19:53:25</t>
        </is>
      </c>
      <c r="M5388" t="inlineStr">
        <is>
          <t>19:53:45</t>
        </is>
      </c>
    </row>
    <row r="5389" ht="15" customHeight="1" s="37">
      <c r="A5389" t="n">
        <v>12</v>
      </c>
      <c r="B5389" s="10" t="inlineStr">
        <is>
          <t>平日</t>
        </is>
      </c>
      <c r="C5389" s="10" t="inlineStr">
        <is>
          <t>本線</t>
        </is>
      </c>
      <c r="D5389" s="10" t="inlineStr">
        <is>
          <t>上り</t>
        </is>
      </c>
      <c r="E5389" t="inlineStr">
        <is>
          <t>1910</t>
        </is>
      </c>
      <c r="F5389" t="inlineStr">
        <is>
          <t>0221</t>
        </is>
      </c>
      <c r="G5389" s="10" t="inlineStr">
        <is>
          <t>蚕ノ社</t>
        </is>
      </c>
      <c r="H5389" s="10" t="inlineStr">
        <is>
          <t>発</t>
        </is>
      </c>
      <c r="J5389" s="10" t="inlineStr">
        <is>
          <t>営業</t>
        </is>
      </c>
      <c r="L5389" t="inlineStr">
        <is>
          <t>19:55:00</t>
        </is>
      </c>
      <c r="M5389" t="inlineStr">
        <is>
          <t>19:55:20</t>
        </is>
      </c>
    </row>
    <row r="5390" ht="15" customHeight="1" s="37">
      <c r="A5390" t="n">
        <v>12</v>
      </c>
      <c r="B5390" s="10" t="inlineStr">
        <is>
          <t>平日</t>
        </is>
      </c>
      <c r="C5390" s="10" t="inlineStr">
        <is>
          <t>本線</t>
        </is>
      </c>
      <c r="D5390" s="10" t="inlineStr">
        <is>
          <t>上り</t>
        </is>
      </c>
      <c r="E5390" t="inlineStr">
        <is>
          <t>1910</t>
        </is>
      </c>
      <c r="F5390" t="inlineStr">
        <is>
          <t>0221</t>
        </is>
      </c>
      <c r="G5390" s="10" t="inlineStr">
        <is>
          <t>天神川</t>
        </is>
      </c>
      <c r="H5390" s="10" t="inlineStr">
        <is>
          <t>発</t>
        </is>
      </c>
      <c r="J5390" s="10" t="inlineStr">
        <is>
          <t>営業</t>
        </is>
      </c>
      <c r="L5390" t="inlineStr">
        <is>
          <t>19:56:05</t>
        </is>
      </c>
      <c r="M5390" t="inlineStr">
        <is>
          <t>19:56:50</t>
        </is>
      </c>
    </row>
    <row r="5391" ht="15" customHeight="1" s="37">
      <c r="A5391" t="n">
        <v>12</v>
      </c>
      <c r="B5391" s="10" t="inlineStr">
        <is>
          <t>平日</t>
        </is>
      </c>
      <c r="C5391" s="10" t="inlineStr">
        <is>
          <t>本線</t>
        </is>
      </c>
      <c r="D5391" s="10" t="inlineStr">
        <is>
          <t>上り</t>
        </is>
      </c>
      <c r="E5391" t="inlineStr">
        <is>
          <t>1910</t>
        </is>
      </c>
      <c r="F5391" t="inlineStr">
        <is>
          <t>0221</t>
        </is>
      </c>
      <c r="G5391" s="10" t="inlineStr">
        <is>
          <t>山ノ内</t>
        </is>
      </c>
      <c r="H5391" s="10" t="inlineStr">
        <is>
          <t>発</t>
        </is>
      </c>
      <c r="J5391" s="10" t="inlineStr">
        <is>
          <t>営業</t>
        </is>
      </c>
      <c r="L5391" t="inlineStr">
        <is>
          <t>19:58:40</t>
        </is>
      </c>
      <c r="M5391" t="inlineStr">
        <is>
          <t>19:59:05</t>
        </is>
      </c>
    </row>
    <row r="5392" ht="15" customHeight="1" s="37">
      <c r="A5392" t="n">
        <v>12</v>
      </c>
      <c r="B5392" s="10" t="inlineStr">
        <is>
          <t>平日</t>
        </is>
      </c>
      <c r="C5392" s="10" t="inlineStr">
        <is>
          <t>本線</t>
        </is>
      </c>
      <c r="D5392" s="10" t="inlineStr">
        <is>
          <t>上り</t>
        </is>
      </c>
      <c r="E5392" t="inlineStr">
        <is>
          <t>1910</t>
        </is>
      </c>
      <c r="F5392" t="inlineStr">
        <is>
          <t>0221</t>
        </is>
      </c>
      <c r="G5392" s="10" t="inlineStr">
        <is>
          <t>西大路三条</t>
        </is>
      </c>
      <c r="H5392" s="10" t="inlineStr">
        <is>
          <t>発</t>
        </is>
      </c>
      <c r="J5392" s="10" t="inlineStr">
        <is>
          <t>営業</t>
        </is>
      </c>
      <c r="L5392" t="inlineStr">
        <is>
          <t>20:00:55</t>
        </is>
      </c>
      <c r="M5392" t="inlineStr">
        <is>
          <t>20:01:15</t>
        </is>
      </c>
    </row>
    <row r="5393" ht="15" customHeight="1" s="37">
      <c r="A5393" t="n">
        <v>12</v>
      </c>
      <c r="B5393" s="10" t="inlineStr">
        <is>
          <t>平日</t>
        </is>
      </c>
      <c r="C5393" s="10" t="inlineStr">
        <is>
          <t>本線</t>
        </is>
      </c>
      <c r="D5393" s="10" t="inlineStr">
        <is>
          <t>上り</t>
        </is>
      </c>
      <c r="E5393" t="inlineStr">
        <is>
          <t>1910</t>
        </is>
      </c>
      <c r="F5393" t="inlineStr">
        <is>
          <t>0221</t>
        </is>
      </c>
      <c r="G5393" s="10" t="inlineStr">
        <is>
          <t>西院</t>
        </is>
      </c>
      <c r="H5393" s="10" t="inlineStr">
        <is>
          <t>発</t>
        </is>
      </c>
      <c r="J5393" s="10" t="inlineStr">
        <is>
          <t>営業</t>
        </is>
      </c>
      <c r="L5393" t="inlineStr">
        <is>
          <t>20:03:10</t>
        </is>
      </c>
      <c r="M5393" t="inlineStr">
        <is>
          <t>20:04:05</t>
        </is>
      </c>
    </row>
    <row r="5394" ht="15" customHeight="1" s="37">
      <c r="A5394" t="n">
        <v>12</v>
      </c>
      <c r="B5394" s="10" t="inlineStr">
        <is>
          <t>平日</t>
        </is>
      </c>
      <c r="C5394" s="10" t="inlineStr">
        <is>
          <t>本線</t>
        </is>
      </c>
      <c r="D5394" s="10" t="inlineStr">
        <is>
          <t>上り</t>
        </is>
      </c>
      <c r="E5394" t="inlineStr">
        <is>
          <t>1910</t>
        </is>
      </c>
      <c r="F5394" t="inlineStr">
        <is>
          <t>0221</t>
        </is>
      </c>
      <c r="G5394" s="10" t="inlineStr">
        <is>
          <t>四条大宮</t>
        </is>
      </c>
      <c r="H5394" s="10" t="inlineStr">
        <is>
          <t>着</t>
        </is>
      </c>
      <c r="J5394" s="10" t="inlineStr">
        <is>
          <t>営業</t>
        </is>
      </c>
      <c r="L5394" t="inlineStr">
        <is>
          <t>20:07:00</t>
        </is>
      </c>
      <c r="N5394" t="inlineStr">
        <is>
          <t>○</t>
        </is>
      </c>
      <c r="Q5394" t="inlineStr">
        <is>
          <t>1</t>
        </is>
      </c>
    </row>
    <row r="5395" ht="15" customHeight="1" s="37">
      <c r="A5395" t="n">
        <v>12</v>
      </c>
      <c r="B5395" s="10" t="inlineStr">
        <is>
          <t>平日</t>
        </is>
      </c>
      <c r="C5395" s="10" t="inlineStr">
        <is>
          <t>本線</t>
        </is>
      </c>
      <c r="D5395" s="10" t="inlineStr">
        <is>
          <t>下り</t>
        </is>
      </c>
      <c r="E5395" t="inlineStr">
        <is>
          <t>2003</t>
        </is>
      </c>
      <c r="F5395" t="inlineStr">
        <is>
          <t>0122</t>
        </is>
      </c>
      <c r="G5395" s="10" t="inlineStr">
        <is>
          <t>四条大宮</t>
        </is>
      </c>
      <c r="H5395" s="10" t="inlineStr">
        <is>
          <t>発</t>
        </is>
      </c>
      <c r="J5395" s="10" t="inlineStr">
        <is>
          <t>営業</t>
        </is>
      </c>
      <c r="M5395" t="inlineStr">
        <is>
          <t>20:13:00</t>
        </is>
      </c>
      <c r="Q5395" t="inlineStr">
        <is>
          <t>1</t>
        </is>
      </c>
    </row>
    <row r="5396" ht="15" customHeight="1" s="37">
      <c r="A5396" t="n">
        <v>12</v>
      </c>
      <c r="B5396" s="10" t="inlineStr">
        <is>
          <t>平日</t>
        </is>
      </c>
      <c r="C5396" s="10" t="inlineStr">
        <is>
          <t>本線</t>
        </is>
      </c>
      <c r="D5396" s="10" t="inlineStr">
        <is>
          <t>下り</t>
        </is>
      </c>
      <c r="E5396" t="inlineStr">
        <is>
          <t>2003</t>
        </is>
      </c>
      <c r="F5396" t="inlineStr">
        <is>
          <t>0122</t>
        </is>
      </c>
      <c r="G5396" s="10" t="inlineStr">
        <is>
          <t>西院</t>
        </is>
      </c>
      <c r="H5396" s="10" t="inlineStr">
        <is>
          <t>発</t>
        </is>
      </c>
      <c r="J5396" s="10" t="inlineStr">
        <is>
          <t>営業</t>
        </is>
      </c>
      <c r="L5396" t="inlineStr">
        <is>
          <t>20:15:50</t>
        </is>
      </c>
      <c r="M5396" t="inlineStr">
        <is>
          <t>20:16:20</t>
        </is>
      </c>
    </row>
    <row r="5397" ht="15" customHeight="1" s="37">
      <c r="A5397" t="n">
        <v>12</v>
      </c>
      <c r="B5397" s="10" t="inlineStr">
        <is>
          <t>平日</t>
        </is>
      </c>
      <c r="C5397" s="10" t="inlineStr">
        <is>
          <t>本線</t>
        </is>
      </c>
      <c r="D5397" s="10" t="inlineStr">
        <is>
          <t>下り</t>
        </is>
      </c>
      <c r="E5397" t="inlineStr">
        <is>
          <t>2003</t>
        </is>
      </c>
      <c r="F5397" t="inlineStr">
        <is>
          <t>0122</t>
        </is>
      </c>
      <c r="G5397" s="10" t="inlineStr">
        <is>
          <t>西大路三条</t>
        </is>
      </c>
      <c r="H5397" s="10" t="inlineStr">
        <is>
          <t>発</t>
        </is>
      </c>
      <c r="J5397" s="10" t="inlineStr">
        <is>
          <t>営業</t>
        </is>
      </c>
      <c r="L5397" t="inlineStr">
        <is>
          <t>20:18:10</t>
        </is>
      </c>
      <c r="M5397" t="inlineStr">
        <is>
          <t>20:18:30</t>
        </is>
      </c>
    </row>
    <row r="5398" ht="15" customHeight="1" s="37">
      <c r="A5398" t="n">
        <v>12</v>
      </c>
      <c r="B5398" s="10" t="inlineStr">
        <is>
          <t>平日</t>
        </is>
      </c>
      <c r="C5398" s="10" t="inlineStr">
        <is>
          <t>本線</t>
        </is>
      </c>
      <c r="D5398" s="10" t="inlineStr">
        <is>
          <t>下り</t>
        </is>
      </c>
      <c r="E5398" t="inlineStr">
        <is>
          <t>2003</t>
        </is>
      </c>
      <c r="F5398" t="inlineStr">
        <is>
          <t>0122</t>
        </is>
      </c>
      <c r="G5398" s="10" t="inlineStr">
        <is>
          <t>山ノ内</t>
        </is>
      </c>
      <c r="H5398" s="10" t="inlineStr">
        <is>
          <t>発</t>
        </is>
      </c>
      <c r="J5398" s="10" t="inlineStr">
        <is>
          <t>営業</t>
        </is>
      </c>
      <c r="L5398" t="inlineStr">
        <is>
          <t>20:20:25</t>
        </is>
      </c>
      <c r="M5398" t="inlineStr">
        <is>
          <t>20:20:50</t>
        </is>
      </c>
    </row>
    <row r="5399" ht="15" customHeight="1" s="37">
      <c r="A5399" t="n">
        <v>12</v>
      </c>
      <c r="B5399" s="10" t="inlineStr">
        <is>
          <t>平日</t>
        </is>
      </c>
      <c r="C5399" s="10" t="inlineStr">
        <is>
          <t>本線</t>
        </is>
      </c>
      <c r="D5399" s="10" t="inlineStr">
        <is>
          <t>下り</t>
        </is>
      </c>
      <c r="E5399" t="inlineStr">
        <is>
          <t>2003</t>
        </is>
      </c>
      <c r="F5399" t="inlineStr">
        <is>
          <t>0122</t>
        </is>
      </c>
      <c r="G5399" s="10" t="inlineStr">
        <is>
          <t>天神川</t>
        </is>
      </c>
      <c r="H5399" s="10" t="inlineStr">
        <is>
          <t>発</t>
        </is>
      </c>
      <c r="J5399" s="10" t="inlineStr">
        <is>
          <t>営業</t>
        </is>
      </c>
      <c r="L5399" t="inlineStr">
        <is>
          <t>20:22:50</t>
        </is>
      </c>
      <c r="M5399" t="inlineStr">
        <is>
          <t>20:23:30</t>
        </is>
      </c>
    </row>
    <row r="5400" ht="15" customHeight="1" s="37">
      <c r="A5400" t="n">
        <v>12</v>
      </c>
      <c r="B5400" s="10" t="inlineStr">
        <is>
          <t>平日</t>
        </is>
      </c>
      <c r="C5400" s="10" t="inlineStr">
        <is>
          <t>本線</t>
        </is>
      </c>
      <c r="D5400" s="10" t="inlineStr">
        <is>
          <t>下り</t>
        </is>
      </c>
      <c r="E5400" t="inlineStr">
        <is>
          <t>2003</t>
        </is>
      </c>
      <c r="F5400" t="inlineStr">
        <is>
          <t>0122</t>
        </is>
      </c>
      <c r="G5400" s="10" t="inlineStr">
        <is>
          <t>蚕ノ社</t>
        </is>
      </c>
      <c r="H5400" s="10" t="inlineStr">
        <is>
          <t>発</t>
        </is>
      </c>
      <c r="J5400" s="10" t="inlineStr">
        <is>
          <t>営業</t>
        </is>
      </c>
      <c r="L5400" t="inlineStr">
        <is>
          <t>20:24:20</t>
        </is>
      </c>
      <c r="M5400" t="inlineStr">
        <is>
          <t>20:24:40</t>
        </is>
      </c>
    </row>
    <row r="5401" ht="15" customHeight="1" s="37">
      <c r="A5401" t="n">
        <v>12</v>
      </c>
      <c r="B5401" s="10" t="inlineStr">
        <is>
          <t>平日</t>
        </is>
      </c>
      <c r="C5401" s="10" t="inlineStr">
        <is>
          <t>本線</t>
        </is>
      </c>
      <c r="D5401" s="10" t="inlineStr">
        <is>
          <t>下り</t>
        </is>
      </c>
      <c r="E5401" t="inlineStr">
        <is>
          <t>2003</t>
        </is>
      </c>
      <c r="F5401" t="inlineStr">
        <is>
          <t>0122</t>
        </is>
      </c>
      <c r="G5401" s="10" t="inlineStr">
        <is>
          <t>太秦広隆寺</t>
        </is>
      </c>
      <c r="H5401" s="10" t="inlineStr">
        <is>
          <t>発</t>
        </is>
      </c>
      <c r="J5401" s="10" t="inlineStr">
        <is>
          <t>営業</t>
        </is>
      </c>
      <c r="L5401" t="inlineStr">
        <is>
          <t>20:26:00</t>
        </is>
      </c>
      <c r="M5401" t="inlineStr">
        <is>
          <t>20:26:20</t>
        </is>
      </c>
    </row>
    <row r="5402" ht="15" customHeight="1" s="37">
      <c r="A5402" t="n">
        <v>12</v>
      </c>
      <c r="B5402" s="10" t="inlineStr">
        <is>
          <t>平日</t>
        </is>
      </c>
      <c r="C5402" s="10" t="inlineStr">
        <is>
          <t>本線</t>
        </is>
      </c>
      <c r="D5402" s="10" t="inlineStr">
        <is>
          <t>下り</t>
        </is>
      </c>
      <c r="E5402" t="inlineStr">
        <is>
          <t>2003</t>
        </is>
      </c>
      <c r="F5402" t="inlineStr">
        <is>
          <t>0122</t>
        </is>
      </c>
      <c r="G5402" s="10" t="inlineStr">
        <is>
          <t>帷子ノ辻</t>
        </is>
      </c>
      <c r="H5402" s="10" t="inlineStr">
        <is>
          <t>発</t>
        </is>
      </c>
      <c r="J5402" s="10" t="inlineStr">
        <is>
          <t>営業</t>
        </is>
      </c>
      <c r="L5402" t="inlineStr">
        <is>
          <t>20:28:20</t>
        </is>
      </c>
      <c r="M5402" t="inlineStr">
        <is>
          <t>20:29:40</t>
        </is>
      </c>
    </row>
    <row r="5403" ht="15" customHeight="1" s="37">
      <c r="A5403" t="n">
        <v>12</v>
      </c>
      <c r="B5403" s="10" t="inlineStr">
        <is>
          <t>平日</t>
        </is>
      </c>
      <c r="C5403" s="10" t="inlineStr">
        <is>
          <t>本線</t>
        </is>
      </c>
      <c r="D5403" s="10" t="inlineStr">
        <is>
          <t>下り</t>
        </is>
      </c>
      <c r="E5403" t="inlineStr">
        <is>
          <t>2003</t>
        </is>
      </c>
      <c r="F5403" t="inlineStr">
        <is>
          <t>0122</t>
        </is>
      </c>
      <c r="G5403" s="10" t="inlineStr">
        <is>
          <t>有栖川</t>
        </is>
      </c>
      <c r="H5403" s="10" t="inlineStr">
        <is>
          <t>発</t>
        </is>
      </c>
      <c r="J5403" s="10" t="inlineStr">
        <is>
          <t>営業</t>
        </is>
      </c>
      <c r="L5403" t="inlineStr">
        <is>
          <t>20:30:50</t>
        </is>
      </c>
      <c r="M5403" t="inlineStr">
        <is>
          <t>20:31:15</t>
        </is>
      </c>
    </row>
    <row r="5404" ht="15" customHeight="1" s="37">
      <c r="A5404" t="n">
        <v>12</v>
      </c>
      <c r="B5404" s="10" t="inlineStr">
        <is>
          <t>平日</t>
        </is>
      </c>
      <c r="C5404" s="10" t="inlineStr">
        <is>
          <t>本線</t>
        </is>
      </c>
      <c r="D5404" s="10" t="inlineStr">
        <is>
          <t>下り</t>
        </is>
      </c>
      <c r="E5404" t="inlineStr">
        <is>
          <t>2003</t>
        </is>
      </c>
      <c r="F5404" t="inlineStr">
        <is>
          <t>0122</t>
        </is>
      </c>
      <c r="G5404" s="10" t="inlineStr">
        <is>
          <t>車折</t>
        </is>
      </c>
      <c r="H5404" s="10" t="inlineStr">
        <is>
          <t>発</t>
        </is>
      </c>
      <c r="J5404" s="10" t="inlineStr">
        <is>
          <t>営業</t>
        </is>
      </c>
      <c r="L5404" t="inlineStr">
        <is>
          <t>20:32:40</t>
        </is>
      </c>
      <c r="M5404" t="inlineStr">
        <is>
          <t>20:33:05</t>
        </is>
      </c>
    </row>
    <row r="5405" ht="15" customHeight="1" s="37">
      <c r="A5405" t="n">
        <v>12</v>
      </c>
      <c r="B5405" s="10" t="inlineStr">
        <is>
          <t>平日</t>
        </is>
      </c>
      <c r="C5405" s="10" t="inlineStr">
        <is>
          <t>本線</t>
        </is>
      </c>
      <c r="D5405" s="10" t="inlineStr">
        <is>
          <t>下り</t>
        </is>
      </c>
      <c r="E5405" t="inlineStr">
        <is>
          <t>2003</t>
        </is>
      </c>
      <c r="F5405" t="inlineStr">
        <is>
          <t>0122</t>
        </is>
      </c>
      <c r="G5405" s="10" t="inlineStr">
        <is>
          <t>鹿王院</t>
        </is>
      </c>
      <c r="H5405" s="10" t="inlineStr">
        <is>
          <t>発</t>
        </is>
      </c>
      <c r="J5405" s="10" t="inlineStr">
        <is>
          <t>営業</t>
        </is>
      </c>
      <c r="L5405" t="inlineStr">
        <is>
          <t>20:34:00</t>
        </is>
      </c>
      <c r="M5405" t="inlineStr">
        <is>
          <t>20:34:25</t>
        </is>
      </c>
    </row>
    <row r="5406" ht="15" customHeight="1" s="37">
      <c r="A5406" t="n">
        <v>12</v>
      </c>
      <c r="B5406" s="10" t="inlineStr">
        <is>
          <t>平日</t>
        </is>
      </c>
      <c r="C5406" s="10" t="inlineStr">
        <is>
          <t>本線</t>
        </is>
      </c>
      <c r="D5406" s="10" t="inlineStr">
        <is>
          <t>下り</t>
        </is>
      </c>
      <c r="E5406" t="inlineStr">
        <is>
          <t>2003</t>
        </is>
      </c>
      <c r="F5406" t="inlineStr">
        <is>
          <t>0122</t>
        </is>
      </c>
      <c r="G5406" s="10" t="inlineStr">
        <is>
          <t>嵯峨</t>
        </is>
      </c>
      <c r="H5406" s="10" t="inlineStr">
        <is>
          <t>発</t>
        </is>
      </c>
      <c r="J5406" s="10" t="inlineStr">
        <is>
          <t>営業</t>
        </is>
      </c>
      <c r="L5406" t="inlineStr">
        <is>
          <t>20:35:30</t>
        </is>
      </c>
      <c r="M5406" t="inlineStr">
        <is>
          <t>20:35:55</t>
        </is>
      </c>
    </row>
    <row r="5407" ht="15" customHeight="1" s="37">
      <c r="A5407" t="n">
        <v>12</v>
      </c>
      <c r="B5407" s="10" t="inlineStr">
        <is>
          <t>平日</t>
        </is>
      </c>
      <c r="C5407" s="10" t="inlineStr">
        <is>
          <t>本線</t>
        </is>
      </c>
      <c r="D5407" s="10" t="inlineStr">
        <is>
          <t>下り</t>
        </is>
      </c>
      <c r="E5407" t="inlineStr">
        <is>
          <t>2003</t>
        </is>
      </c>
      <c r="F5407" t="inlineStr">
        <is>
          <t>0122</t>
        </is>
      </c>
      <c r="G5407" s="10" t="inlineStr">
        <is>
          <t>嵐山</t>
        </is>
      </c>
      <c r="H5407" s="10" t="inlineStr">
        <is>
          <t>着</t>
        </is>
      </c>
      <c r="J5407" s="10" t="inlineStr">
        <is>
          <t>営業</t>
        </is>
      </c>
      <c r="L5407" t="inlineStr">
        <is>
          <t>20:37:00</t>
        </is>
      </c>
      <c r="N5407" t="inlineStr">
        <is>
          <t>○</t>
        </is>
      </c>
      <c r="Q5407" t="inlineStr">
        <is>
          <t>1</t>
        </is>
      </c>
    </row>
    <row r="5408" ht="15" customHeight="1" s="37">
      <c r="A5408" t="n">
        <v>12</v>
      </c>
      <c r="B5408" s="10" t="inlineStr">
        <is>
          <t>平日</t>
        </is>
      </c>
      <c r="C5408" s="10" t="inlineStr">
        <is>
          <t>本線</t>
        </is>
      </c>
      <c r="D5408" s="10" t="inlineStr">
        <is>
          <t>上り</t>
        </is>
      </c>
      <c r="E5408" t="inlineStr">
        <is>
          <t>2010</t>
        </is>
      </c>
      <c r="F5408" t="inlineStr">
        <is>
          <t>0221</t>
        </is>
      </c>
      <c r="G5408" s="10" t="inlineStr">
        <is>
          <t>嵐山</t>
        </is>
      </c>
      <c r="H5408" s="10" t="inlineStr">
        <is>
          <t>発</t>
        </is>
      </c>
      <c r="J5408" s="10" t="inlineStr">
        <is>
          <t>営業</t>
        </is>
      </c>
      <c r="M5408" t="inlineStr">
        <is>
          <t>20:44:00</t>
        </is>
      </c>
      <c r="Q5408" t="inlineStr">
        <is>
          <t>1</t>
        </is>
      </c>
      <c r="U5408" t="inlineStr">
        <is>
          <t>→西院 休憩(21:18〜21:42)</t>
        </is>
      </c>
    </row>
    <row r="5409" ht="15" customHeight="1" s="37">
      <c r="A5409" t="n">
        <v>12</v>
      </c>
      <c r="B5409" s="10" t="inlineStr">
        <is>
          <t>平日</t>
        </is>
      </c>
      <c r="C5409" s="10" t="inlineStr">
        <is>
          <t>本線</t>
        </is>
      </c>
      <c r="D5409" s="10" t="inlineStr">
        <is>
          <t>上り</t>
        </is>
      </c>
      <c r="E5409" t="inlineStr">
        <is>
          <t>2010</t>
        </is>
      </c>
      <c r="F5409" t="inlineStr">
        <is>
          <t>0221</t>
        </is>
      </c>
      <c r="G5409" s="10" t="inlineStr">
        <is>
          <t>嵯峨</t>
        </is>
      </c>
      <c r="H5409" s="10" t="inlineStr">
        <is>
          <t>発</t>
        </is>
      </c>
      <c r="J5409" s="10" t="inlineStr">
        <is>
          <t>営業</t>
        </is>
      </c>
      <c r="L5409" t="inlineStr">
        <is>
          <t>20:44:55</t>
        </is>
      </c>
      <c r="M5409" t="inlineStr">
        <is>
          <t>20:45:10</t>
        </is>
      </c>
      <c r="U5409" t="inlineStr">
        <is>
          <t>→西院 休憩(21:18〜21:42)</t>
        </is>
      </c>
    </row>
    <row r="5410" ht="15" customHeight="1" s="37">
      <c r="A5410" t="n">
        <v>12</v>
      </c>
      <c r="B5410" s="10" t="inlineStr">
        <is>
          <t>平日</t>
        </is>
      </c>
      <c r="C5410" s="10" t="inlineStr">
        <is>
          <t>本線</t>
        </is>
      </c>
      <c r="D5410" s="10" t="inlineStr">
        <is>
          <t>上り</t>
        </is>
      </c>
      <c r="E5410" t="inlineStr">
        <is>
          <t>2010</t>
        </is>
      </c>
      <c r="F5410" t="inlineStr">
        <is>
          <t>0221</t>
        </is>
      </c>
      <c r="G5410" s="10" t="inlineStr">
        <is>
          <t>鹿王院</t>
        </is>
      </c>
      <c r="H5410" s="10" t="inlineStr">
        <is>
          <t>発</t>
        </is>
      </c>
      <c r="J5410" s="10" t="inlineStr">
        <is>
          <t>営業</t>
        </is>
      </c>
      <c r="L5410" t="inlineStr">
        <is>
          <t>20:46:15</t>
        </is>
      </c>
      <c r="M5410" t="inlineStr">
        <is>
          <t>20:46:30</t>
        </is>
      </c>
      <c r="U5410" t="inlineStr">
        <is>
          <t>→西院 休憩(21:18〜21:42)</t>
        </is>
      </c>
    </row>
    <row r="5411" ht="15" customHeight="1" s="37">
      <c r="A5411" t="n">
        <v>12</v>
      </c>
      <c r="B5411" s="10" t="inlineStr">
        <is>
          <t>平日</t>
        </is>
      </c>
      <c r="C5411" s="10" t="inlineStr">
        <is>
          <t>本線</t>
        </is>
      </c>
      <c r="D5411" s="10" t="inlineStr">
        <is>
          <t>上り</t>
        </is>
      </c>
      <c r="E5411" t="inlineStr">
        <is>
          <t>2010</t>
        </is>
      </c>
      <c r="F5411" t="inlineStr">
        <is>
          <t>0221</t>
        </is>
      </c>
      <c r="G5411" s="10" t="inlineStr">
        <is>
          <t>車折</t>
        </is>
      </c>
      <c r="H5411" s="10" t="inlineStr">
        <is>
          <t>発</t>
        </is>
      </c>
      <c r="J5411" s="10" t="inlineStr">
        <is>
          <t>営業</t>
        </is>
      </c>
      <c r="L5411" t="inlineStr">
        <is>
          <t>20:47:25</t>
        </is>
      </c>
      <c r="M5411" t="inlineStr">
        <is>
          <t>20:47:40</t>
        </is>
      </c>
      <c r="U5411" t="inlineStr">
        <is>
          <t>→西院 休憩(21:18〜21:42)</t>
        </is>
      </c>
    </row>
    <row r="5412" ht="15" customHeight="1" s="37">
      <c r="A5412" t="n">
        <v>12</v>
      </c>
      <c r="B5412" s="10" t="inlineStr">
        <is>
          <t>平日</t>
        </is>
      </c>
      <c r="C5412" s="10" t="inlineStr">
        <is>
          <t>本線</t>
        </is>
      </c>
      <c r="D5412" s="10" t="inlineStr">
        <is>
          <t>上り</t>
        </is>
      </c>
      <c r="E5412" t="inlineStr">
        <is>
          <t>2010</t>
        </is>
      </c>
      <c r="F5412" t="inlineStr">
        <is>
          <t>0221</t>
        </is>
      </c>
      <c r="G5412" s="10" t="inlineStr">
        <is>
          <t>有栖川</t>
        </is>
      </c>
      <c r="H5412" s="10" t="inlineStr">
        <is>
          <t>発</t>
        </is>
      </c>
      <c r="J5412" s="10" t="inlineStr">
        <is>
          <t>営業</t>
        </is>
      </c>
      <c r="L5412" t="inlineStr">
        <is>
          <t>20:49:05</t>
        </is>
      </c>
      <c r="M5412" t="inlineStr">
        <is>
          <t>20:49:20</t>
        </is>
      </c>
      <c r="U5412" t="inlineStr">
        <is>
          <t>→西院 休憩(21:18〜21:42)</t>
        </is>
      </c>
    </row>
    <row r="5413" ht="15" customHeight="1" s="37">
      <c r="A5413" t="n">
        <v>12</v>
      </c>
      <c r="B5413" s="10" t="inlineStr">
        <is>
          <t>平日</t>
        </is>
      </c>
      <c r="C5413" s="10" t="inlineStr">
        <is>
          <t>本線</t>
        </is>
      </c>
      <c r="D5413" s="10" t="inlineStr">
        <is>
          <t>上り</t>
        </is>
      </c>
      <c r="E5413" t="inlineStr">
        <is>
          <t>2010</t>
        </is>
      </c>
      <c r="F5413" t="inlineStr">
        <is>
          <t>0221</t>
        </is>
      </c>
      <c r="G5413" s="10" t="inlineStr">
        <is>
          <t>帷子ノ辻</t>
        </is>
      </c>
      <c r="H5413" s="10" t="inlineStr">
        <is>
          <t>発</t>
        </is>
      </c>
      <c r="J5413" s="10" t="inlineStr">
        <is>
          <t>営業</t>
        </is>
      </c>
      <c r="L5413" t="inlineStr">
        <is>
          <t>20:50:35</t>
        </is>
      </c>
      <c r="M5413" t="inlineStr">
        <is>
          <t>20:51:05</t>
        </is>
      </c>
      <c r="U5413" t="inlineStr">
        <is>
          <t>→西院 休憩(21:18〜21:42)</t>
        </is>
      </c>
    </row>
    <row r="5414" ht="15" customHeight="1" s="37">
      <c r="A5414" t="n">
        <v>12</v>
      </c>
      <c r="B5414" s="10" t="inlineStr">
        <is>
          <t>平日</t>
        </is>
      </c>
      <c r="C5414" s="10" t="inlineStr">
        <is>
          <t>本線</t>
        </is>
      </c>
      <c r="D5414" s="10" t="inlineStr">
        <is>
          <t>上り</t>
        </is>
      </c>
      <c r="E5414" t="inlineStr">
        <is>
          <t>2010</t>
        </is>
      </c>
      <c r="F5414" t="inlineStr">
        <is>
          <t>0221</t>
        </is>
      </c>
      <c r="G5414" s="10" t="inlineStr">
        <is>
          <t>太秦広隆寺</t>
        </is>
      </c>
      <c r="H5414" s="10" t="inlineStr">
        <is>
          <t>発</t>
        </is>
      </c>
      <c r="J5414" s="10" t="inlineStr">
        <is>
          <t>営業</t>
        </is>
      </c>
      <c r="L5414" t="inlineStr">
        <is>
          <t>20:53:15</t>
        </is>
      </c>
      <c r="M5414" t="inlineStr">
        <is>
          <t>20:53:35</t>
        </is>
      </c>
      <c r="U5414" t="inlineStr">
        <is>
          <t>→西院 休憩(21:18〜21:42)</t>
        </is>
      </c>
    </row>
    <row r="5415" ht="15" customHeight="1" s="37">
      <c r="A5415" t="n">
        <v>12</v>
      </c>
      <c r="B5415" s="10" t="inlineStr">
        <is>
          <t>平日</t>
        </is>
      </c>
      <c r="C5415" s="10" t="inlineStr">
        <is>
          <t>本線</t>
        </is>
      </c>
      <c r="D5415" s="10" t="inlineStr">
        <is>
          <t>上り</t>
        </is>
      </c>
      <c r="E5415" t="inlineStr">
        <is>
          <t>2010</t>
        </is>
      </c>
      <c r="F5415" t="inlineStr">
        <is>
          <t>0221</t>
        </is>
      </c>
      <c r="G5415" s="10" t="inlineStr">
        <is>
          <t>蚕ノ社</t>
        </is>
      </c>
      <c r="H5415" s="10" t="inlineStr">
        <is>
          <t>発</t>
        </is>
      </c>
      <c r="J5415" s="10" t="inlineStr">
        <is>
          <t>営業</t>
        </is>
      </c>
      <c r="L5415" t="inlineStr">
        <is>
          <t>20:54:50</t>
        </is>
      </c>
      <c r="M5415" t="inlineStr">
        <is>
          <t>20:55:10</t>
        </is>
      </c>
      <c r="U5415" t="inlineStr">
        <is>
          <t>→西院 休憩(21:18〜21:42)</t>
        </is>
      </c>
    </row>
    <row r="5416" ht="15" customHeight="1" s="37">
      <c r="A5416" t="n">
        <v>12</v>
      </c>
      <c r="B5416" s="10" t="inlineStr">
        <is>
          <t>平日</t>
        </is>
      </c>
      <c r="C5416" s="10" t="inlineStr">
        <is>
          <t>本線</t>
        </is>
      </c>
      <c r="D5416" s="10" t="inlineStr">
        <is>
          <t>上り</t>
        </is>
      </c>
      <c r="E5416" t="inlineStr">
        <is>
          <t>2010</t>
        </is>
      </c>
      <c r="F5416" t="inlineStr">
        <is>
          <t>0221</t>
        </is>
      </c>
      <c r="G5416" s="10" t="inlineStr">
        <is>
          <t>天神川</t>
        </is>
      </c>
      <c r="H5416" s="10" t="inlineStr">
        <is>
          <t>発</t>
        </is>
      </c>
      <c r="J5416" s="10" t="inlineStr">
        <is>
          <t>営業</t>
        </is>
      </c>
      <c r="L5416" t="inlineStr">
        <is>
          <t>20:55:55</t>
        </is>
      </c>
      <c r="M5416" t="inlineStr">
        <is>
          <t>20:56:20</t>
        </is>
      </c>
      <c r="U5416" t="inlineStr">
        <is>
          <t>→西院 休憩(21:18〜21:42)</t>
        </is>
      </c>
    </row>
    <row r="5417" ht="15" customHeight="1" s="37">
      <c r="A5417" t="n">
        <v>12</v>
      </c>
      <c r="B5417" s="10" t="inlineStr">
        <is>
          <t>平日</t>
        </is>
      </c>
      <c r="C5417" s="10" t="inlineStr">
        <is>
          <t>本線</t>
        </is>
      </c>
      <c r="D5417" s="10" t="inlineStr">
        <is>
          <t>上り</t>
        </is>
      </c>
      <c r="E5417" t="inlineStr">
        <is>
          <t>2010</t>
        </is>
      </c>
      <c r="F5417" t="inlineStr">
        <is>
          <t>0221</t>
        </is>
      </c>
      <c r="G5417" s="10" t="inlineStr">
        <is>
          <t>山ノ内</t>
        </is>
      </c>
      <c r="H5417" s="10" t="inlineStr">
        <is>
          <t>発</t>
        </is>
      </c>
      <c r="J5417" s="10" t="inlineStr">
        <is>
          <t>営業</t>
        </is>
      </c>
      <c r="L5417" t="inlineStr">
        <is>
          <t>20:58:10</t>
        </is>
      </c>
      <c r="M5417" t="inlineStr">
        <is>
          <t>20:58:35</t>
        </is>
      </c>
      <c r="U5417" t="inlineStr">
        <is>
          <t>→西院 休憩(21:18〜21:42)</t>
        </is>
      </c>
    </row>
    <row r="5418" ht="15" customHeight="1" s="37">
      <c r="A5418" t="n">
        <v>12</v>
      </c>
      <c r="B5418" s="10" t="inlineStr">
        <is>
          <t>平日</t>
        </is>
      </c>
      <c r="C5418" s="10" t="inlineStr">
        <is>
          <t>本線</t>
        </is>
      </c>
      <c r="D5418" s="10" t="inlineStr">
        <is>
          <t>上り</t>
        </is>
      </c>
      <c r="E5418" t="inlineStr">
        <is>
          <t>2010</t>
        </is>
      </c>
      <c r="F5418" t="inlineStr">
        <is>
          <t>0221</t>
        </is>
      </c>
      <c r="G5418" s="10" t="inlineStr">
        <is>
          <t>西大路三条</t>
        </is>
      </c>
      <c r="H5418" s="10" t="inlineStr">
        <is>
          <t>発</t>
        </is>
      </c>
      <c r="J5418" s="10" t="inlineStr">
        <is>
          <t>営業</t>
        </is>
      </c>
      <c r="L5418" t="inlineStr">
        <is>
          <t>21:00:25</t>
        </is>
      </c>
      <c r="M5418" t="inlineStr">
        <is>
          <t>21:00:40</t>
        </is>
      </c>
      <c r="U5418" t="inlineStr">
        <is>
          <t>→西院 休憩(21:18〜21:42)</t>
        </is>
      </c>
    </row>
    <row r="5419" ht="15" customHeight="1" s="37">
      <c r="A5419" t="n">
        <v>12</v>
      </c>
      <c r="B5419" s="10" t="inlineStr">
        <is>
          <t>平日</t>
        </is>
      </c>
      <c r="C5419" s="10" t="inlineStr">
        <is>
          <t>本線</t>
        </is>
      </c>
      <c r="D5419" s="10" t="inlineStr">
        <is>
          <t>上り</t>
        </is>
      </c>
      <c r="E5419" t="inlineStr">
        <is>
          <t>2010</t>
        </is>
      </c>
      <c r="F5419" t="inlineStr">
        <is>
          <t>0221</t>
        </is>
      </c>
      <c r="G5419" s="10" t="inlineStr">
        <is>
          <t>西院</t>
        </is>
      </c>
      <c r="H5419" s="10" t="inlineStr">
        <is>
          <t>発</t>
        </is>
      </c>
      <c r="J5419" s="10" t="inlineStr">
        <is>
          <t>営業</t>
        </is>
      </c>
      <c r="L5419" t="inlineStr">
        <is>
          <t>21:02:35</t>
        </is>
      </c>
      <c r="M5419" t="inlineStr">
        <is>
          <t>21:03:05</t>
        </is>
      </c>
      <c r="U5419" t="inlineStr">
        <is>
          <t>→西院 休憩(21:18〜21:42)</t>
        </is>
      </c>
    </row>
    <row r="5420" ht="15" customHeight="1" s="37">
      <c r="A5420" t="n">
        <v>12</v>
      </c>
      <c r="B5420" s="10" t="inlineStr">
        <is>
          <t>平日</t>
        </is>
      </c>
      <c r="C5420" s="10" t="inlineStr">
        <is>
          <t>本線</t>
        </is>
      </c>
      <c r="D5420" s="10" t="inlineStr">
        <is>
          <t>上り</t>
        </is>
      </c>
      <c r="E5420" t="inlineStr">
        <is>
          <t>2010</t>
        </is>
      </c>
      <c r="F5420" t="inlineStr">
        <is>
          <t>0221</t>
        </is>
      </c>
      <c r="G5420" s="10" t="inlineStr">
        <is>
          <t>四条大宮</t>
        </is>
      </c>
      <c r="H5420" s="10" t="inlineStr">
        <is>
          <t>着</t>
        </is>
      </c>
      <c r="J5420" s="10" t="inlineStr">
        <is>
          <t>営業</t>
        </is>
      </c>
      <c r="L5420" t="inlineStr">
        <is>
          <t>21:06:00</t>
        </is>
      </c>
      <c r="N5420" t="inlineStr">
        <is>
          <t>○</t>
        </is>
      </c>
      <c r="Q5420" t="inlineStr">
        <is>
          <t>1</t>
        </is>
      </c>
      <c r="U5420" t="inlineStr">
        <is>
          <t>→西院 休憩(21:18〜21:42)</t>
        </is>
      </c>
    </row>
    <row r="5421" ht="15" customHeight="1" s="37">
      <c r="A5421" t="n">
        <v>12</v>
      </c>
      <c r="B5421" s="10" t="inlineStr">
        <is>
          <t>平日</t>
        </is>
      </c>
      <c r="C5421" s="10" t="inlineStr">
        <is>
          <t>本線</t>
        </is>
      </c>
      <c r="D5421" s="10" t="inlineStr">
        <is>
          <t>下り</t>
        </is>
      </c>
      <c r="E5421" t="inlineStr">
        <is>
          <t>2103</t>
        </is>
      </c>
      <c r="F5421" t="inlineStr">
        <is>
          <t>0122</t>
        </is>
      </c>
      <c r="G5421" s="10" t="inlineStr">
        <is>
          <t>四条大宮</t>
        </is>
      </c>
      <c r="H5421" s="10" t="inlineStr">
        <is>
          <t>発</t>
        </is>
      </c>
      <c r="J5421" s="10" t="inlineStr">
        <is>
          <t>営業</t>
        </is>
      </c>
      <c r="M5421" t="inlineStr">
        <is>
          <t>21:15:00</t>
        </is>
      </c>
      <c r="Q5421" t="inlineStr">
        <is>
          <t>1</t>
        </is>
      </c>
      <c r="U5421" t="inlineStr">
        <is>
          <t>→西院 休憩(21:18〜21:42)</t>
        </is>
      </c>
    </row>
    <row r="5422" ht="15" customHeight="1" s="37">
      <c r="A5422" t="n">
        <v>12</v>
      </c>
      <c r="B5422" s="10" t="inlineStr">
        <is>
          <t>平日</t>
        </is>
      </c>
      <c r="C5422" s="10" t="inlineStr">
        <is>
          <t>本線</t>
        </is>
      </c>
      <c r="D5422" s="10" t="inlineStr">
        <is>
          <t>下り</t>
        </is>
      </c>
      <c r="E5422" t="inlineStr">
        <is>
          <t>2103</t>
        </is>
      </c>
      <c r="F5422" t="inlineStr">
        <is>
          <t>0122</t>
        </is>
      </c>
      <c r="G5422" s="10" t="inlineStr">
        <is>
          <t>西院</t>
        </is>
      </c>
      <c r="H5422" s="10" t="inlineStr">
        <is>
          <t>着</t>
        </is>
      </c>
      <c r="J5422" s="10" t="inlineStr">
        <is>
          <t>営業</t>
        </is>
      </c>
      <c r="L5422" t="inlineStr">
        <is>
          <t>21:17:50</t>
        </is>
      </c>
      <c r="M5422" t="inlineStr">
        <is>
          <t>21:18:20</t>
        </is>
      </c>
      <c r="U5422" t="inlineStr">
        <is>
          <t>→西院 休憩(21:18〜21:42)</t>
        </is>
      </c>
    </row>
    <row r="5423" ht="15" customHeight="1" s="37">
      <c r="A5423" t="n">
        <v>12</v>
      </c>
      <c r="B5423" s="10" t="inlineStr">
        <is>
          <t>平日</t>
        </is>
      </c>
      <c r="C5423" s="10" t="inlineStr">
        <is>
          <t>本線</t>
        </is>
      </c>
      <c r="D5423" s="10" t="inlineStr">
        <is>
          <t>下り</t>
        </is>
      </c>
      <c r="E5423" t="inlineStr">
        <is>
          <t>2107</t>
        </is>
      </c>
      <c r="F5423" t="inlineStr">
        <is>
          <t>0122</t>
        </is>
      </c>
      <c r="G5423" s="10" t="inlineStr">
        <is>
          <t>西院</t>
        </is>
      </c>
      <c r="H5423" s="10" t="inlineStr">
        <is>
          <t>発</t>
        </is>
      </c>
      <c r="J5423" s="10" t="inlineStr">
        <is>
          <t>営業</t>
        </is>
      </c>
      <c r="L5423" t="inlineStr">
        <is>
          <t>21:41:50</t>
        </is>
      </c>
      <c r="M5423" t="inlineStr">
        <is>
          <t>21:42:20</t>
        </is>
      </c>
    </row>
    <row r="5424" ht="15" customHeight="1" s="37">
      <c r="A5424" t="n">
        <v>12</v>
      </c>
      <c r="B5424" s="10" t="inlineStr">
        <is>
          <t>平日</t>
        </is>
      </c>
      <c r="C5424" s="10" t="inlineStr">
        <is>
          <t>本線</t>
        </is>
      </c>
      <c r="D5424" s="10" t="inlineStr">
        <is>
          <t>下り</t>
        </is>
      </c>
      <c r="E5424" t="inlineStr">
        <is>
          <t>2107</t>
        </is>
      </c>
      <c r="F5424" t="inlineStr">
        <is>
          <t>0122</t>
        </is>
      </c>
      <c r="G5424" s="10" t="inlineStr">
        <is>
          <t>西大路三条</t>
        </is>
      </c>
      <c r="H5424" s="10" t="inlineStr">
        <is>
          <t>発</t>
        </is>
      </c>
      <c r="J5424" s="10" t="inlineStr">
        <is>
          <t>営業</t>
        </is>
      </c>
      <c r="L5424" t="inlineStr">
        <is>
          <t>21:44:10</t>
        </is>
      </c>
      <c r="M5424" t="inlineStr">
        <is>
          <t>21:44:30</t>
        </is>
      </c>
    </row>
    <row r="5425" ht="15" customHeight="1" s="37">
      <c r="A5425" t="n">
        <v>12</v>
      </c>
      <c r="B5425" s="10" t="inlineStr">
        <is>
          <t>平日</t>
        </is>
      </c>
      <c r="C5425" s="10" t="inlineStr">
        <is>
          <t>本線</t>
        </is>
      </c>
      <c r="D5425" s="10" t="inlineStr">
        <is>
          <t>下り</t>
        </is>
      </c>
      <c r="E5425" t="inlineStr">
        <is>
          <t>2107</t>
        </is>
      </c>
      <c r="F5425" t="inlineStr">
        <is>
          <t>0122</t>
        </is>
      </c>
      <c r="G5425" s="10" t="inlineStr">
        <is>
          <t>山ノ内</t>
        </is>
      </c>
      <c r="H5425" s="10" t="inlineStr">
        <is>
          <t>発</t>
        </is>
      </c>
      <c r="J5425" s="10" t="inlineStr">
        <is>
          <t>営業</t>
        </is>
      </c>
      <c r="L5425" t="inlineStr">
        <is>
          <t>21:46:25</t>
        </is>
      </c>
      <c r="M5425" t="inlineStr">
        <is>
          <t>21:46:50</t>
        </is>
      </c>
    </row>
    <row r="5426" ht="15" customHeight="1" s="37">
      <c r="A5426" t="n">
        <v>12</v>
      </c>
      <c r="B5426" s="10" t="inlineStr">
        <is>
          <t>平日</t>
        </is>
      </c>
      <c r="C5426" s="10" t="inlineStr">
        <is>
          <t>本線</t>
        </is>
      </c>
      <c r="D5426" s="10" t="inlineStr">
        <is>
          <t>下り</t>
        </is>
      </c>
      <c r="E5426" t="inlineStr">
        <is>
          <t>2107</t>
        </is>
      </c>
      <c r="F5426" t="inlineStr">
        <is>
          <t>0122</t>
        </is>
      </c>
      <c r="G5426" s="10" t="inlineStr">
        <is>
          <t>天神川</t>
        </is>
      </c>
      <c r="H5426" s="10" t="inlineStr">
        <is>
          <t>発</t>
        </is>
      </c>
      <c r="J5426" s="10" t="inlineStr">
        <is>
          <t>営業</t>
        </is>
      </c>
      <c r="L5426" t="inlineStr">
        <is>
          <t>21:48:50</t>
        </is>
      </c>
      <c r="M5426" t="inlineStr">
        <is>
          <t>21:49:30</t>
        </is>
      </c>
    </row>
    <row r="5427" ht="15" customHeight="1" s="37">
      <c r="A5427" t="n">
        <v>12</v>
      </c>
      <c r="B5427" s="10" t="inlineStr">
        <is>
          <t>平日</t>
        </is>
      </c>
      <c r="C5427" s="10" t="inlineStr">
        <is>
          <t>本線</t>
        </is>
      </c>
      <c r="D5427" s="10" t="inlineStr">
        <is>
          <t>下り</t>
        </is>
      </c>
      <c r="E5427" t="inlineStr">
        <is>
          <t>2107</t>
        </is>
      </c>
      <c r="F5427" t="inlineStr">
        <is>
          <t>0122</t>
        </is>
      </c>
      <c r="G5427" s="10" t="inlineStr">
        <is>
          <t>蚕ノ社</t>
        </is>
      </c>
      <c r="H5427" s="10" t="inlineStr">
        <is>
          <t>発</t>
        </is>
      </c>
      <c r="J5427" s="10" t="inlineStr">
        <is>
          <t>営業</t>
        </is>
      </c>
      <c r="L5427" t="inlineStr">
        <is>
          <t>21:50:20</t>
        </is>
      </c>
      <c r="M5427" t="inlineStr">
        <is>
          <t>21:50:40</t>
        </is>
      </c>
    </row>
    <row r="5428" ht="15" customHeight="1" s="37">
      <c r="A5428" t="n">
        <v>12</v>
      </c>
      <c r="B5428" s="10" t="inlineStr">
        <is>
          <t>平日</t>
        </is>
      </c>
      <c r="C5428" s="10" t="inlineStr">
        <is>
          <t>本線</t>
        </is>
      </c>
      <c r="D5428" s="10" t="inlineStr">
        <is>
          <t>下り</t>
        </is>
      </c>
      <c r="E5428" t="inlineStr">
        <is>
          <t>2107</t>
        </is>
      </c>
      <c r="F5428" t="inlineStr">
        <is>
          <t>0122</t>
        </is>
      </c>
      <c r="G5428" s="10" t="inlineStr">
        <is>
          <t>太秦広隆寺</t>
        </is>
      </c>
      <c r="H5428" s="10" t="inlineStr">
        <is>
          <t>発</t>
        </is>
      </c>
      <c r="J5428" s="10" t="inlineStr">
        <is>
          <t>営業</t>
        </is>
      </c>
      <c r="L5428" t="inlineStr">
        <is>
          <t>21:52:00</t>
        </is>
      </c>
      <c r="M5428" t="inlineStr">
        <is>
          <t>21:52:20</t>
        </is>
      </c>
    </row>
    <row r="5429" ht="15" customHeight="1" s="37">
      <c r="A5429" t="n">
        <v>12</v>
      </c>
      <c r="B5429" s="10" t="inlineStr">
        <is>
          <t>平日</t>
        </is>
      </c>
      <c r="C5429" s="10" t="inlineStr">
        <is>
          <t>本線</t>
        </is>
      </c>
      <c r="D5429" s="10" t="inlineStr">
        <is>
          <t>下り</t>
        </is>
      </c>
      <c r="E5429" t="inlineStr">
        <is>
          <t>2107</t>
        </is>
      </c>
      <c r="F5429" t="inlineStr">
        <is>
          <t>0122</t>
        </is>
      </c>
      <c r="G5429" s="10" t="inlineStr">
        <is>
          <t>帷子ノ辻</t>
        </is>
      </c>
      <c r="H5429" s="10" t="inlineStr">
        <is>
          <t>発</t>
        </is>
      </c>
      <c r="J5429" s="10" t="inlineStr">
        <is>
          <t>営業</t>
        </is>
      </c>
      <c r="L5429" t="inlineStr">
        <is>
          <t>21:54:20</t>
        </is>
      </c>
      <c r="M5429" t="inlineStr">
        <is>
          <t>21:55:40</t>
        </is>
      </c>
    </row>
    <row r="5430" ht="15" customHeight="1" s="37">
      <c r="A5430" t="n">
        <v>12</v>
      </c>
      <c r="B5430" s="10" t="inlineStr">
        <is>
          <t>平日</t>
        </is>
      </c>
      <c r="C5430" s="10" t="inlineStr">
        <is>
          <t>本線</t>
        </is>
      </c>
      <c r="D5430" s="10" t="inlineStr">
        <is>
          <t>下り</t>
        </is>
      </c>
      <c r="E5430" t="inlineStr">
        <is>
          <t>2107</t>
        </is>
      </c>
      <c r="F5430" t="inlineStr">
        <is>
          <t>0122</t>
        </is>
      </c>
      <c r="G5430" s="10" t="inlineStr">
        <is>
          <t>有栖川</t>
        </is>
      </c>
      <c r="H5430" s="10" t="inlineStr">
        <is>
          <t>発</t>
        </is>
      </c>
      <c r="J5430" s="10" t="inlineStr">
        <is>
          <t>営業</t>
        </is>
      </c>
      <c r="L5430" t="inlineStr">
        <is>
          <t>21:56:50</t>
        </is>
      </c>
      <c r="M5430" t="inlineStr">
        <is>
          <t>21:57:15</t>
        </is>
      </c>
    </row>
    <row r="5431" ht="15" customHeight="1" s="37">
      <c r="A5431" t="n">
        <v>12</v>
      </c>
      <c r="B5431" s="10" t="inlineStr">
        <is>
          <t>平日</t>
        </is>
      </c>
      <c r="C5431" s="10" t="inlineStr">
        <is>
          <t>本線</t>
        </is>
      </c>
      <c r="D5431" s="10" t="inlineStr">
        <is>
          <t>下り</t>
        </is>
      </c>
      <c r="E5431" t="inlineStr">
        <is>
          <t>2107</t>
        </is>
      </c>
      <c r="F5431" t="inlineStr">
        <is>
          <t>0122</t>
        </is>
      </c>
      <c r="G5431" s="10" t="inlineStr">
        <is>
          <t>車折</t>
        </is>
      </c>
      <c r="H5431" s="10" t="inlineStr">
        <is>
          <t>発</t>
        </is>
      </c>
      <c r="J5431" s="10" t="inlineStr">
        <is>
          <t>営業</t>
        </is>
      </c>
      <c r="L5431" t="inlineStr">
        <is>
          <t>21:58:40</t>
        </is>
      </c>
      <c r="M5431" t="inlineStr">
        <is>
          <t>21:59:05</t>
        </is>
      </c>
    </row>
    <row r="5432" ht="15" customHeight="1" s="37">
      <c r="A5432" t="n">
        <v>12</v>
      </c>
      <c r="B5432" s="10" t="inlineStr">
        <is>
          <t>平日</t>
        </is>
      </c>
      <c r="C5432" s="10" t="inlineStr">
        <is>
          <t>本線</t>
        </is>
      </c>
      <c r="D5432" s="10" t="inlineStr">
        <is>
          <t>下り</t>
        </is>
      </c>
      <c r="E5432" t="inlineStr">
        <is>
          <t>2107</t>
        </is>
      </c>
      <c r="F5432" t="inlineStr">
        <is>
          <t>0122</t>
        </is>
      </c>
      <c r="G5432" s="10" t="inlineStr">
        <is>
          <t>鹿王院</t>
        </is>
      </c>
      <c r="H5432" s="10" t="inlineStr">
        <is>
          <t>発</t>
        </is>
      </c>
      <c r="J5432" s="10" t="inlineStr">
        <is>
          <t>営業</t>
        </is>
      </c>
      <c r="L5432" t="inlineStr">
        <is>
          <t>22:00:00</t>
        </is>
      </c>
      <c r="M5432" t="inlineStr">
        <is>
          <t>22:00:25</t>
        </is>
      </c>
    </row>
    <row r="5433" ht="15" customHeight="1" s="37">
      <c r="A5433" t="n">
        <v>12</v>
      </c>
      <c r="B5433" s="10" t="inlineStr">
        <is>
          <t>平日</t>
        </is>
      </c>
      <c r="C5433" s="10" t="inlineStr">
        <is>
          <t>本線</t>
        </is>
      </c>
      <c r="D5433" s="10" t="inlineStr">
        <is>
          <t>下り</t>
        </is>
      </c>
      <c r="E5433" t="inlineStr">
        <is>
          <t>2107</t>
        </is>
      </c>
      <c r="F5433" t="inlineStr">
        <is>
          <t>0122</t>
        </is>
      </c>
      <c r="G5433" s="10" t="inlineStr">
        <is>
          <t>嵯峨</t>
        </is>
      </c>
      <c r="H5433" s="10" t="inlineStr">
        <is>
          <t>発</t>
        </is>
      </c>
      <c r="J5433" s="10" t="inlineStr">
        <is>
          <t>営業</t>
        </is>
      </c>
      <c r="L5433" t="inlineStr">
        <is>
          <t>22:01:30</t>
        </is>
      </c>
      <c r="M5433" t="inlineStr">
        <is>
          <t>22:01:55</t>
        </is>
      </c>
    </row>
    <row r="5434" ht="15" customHeight="1" s="37">
      <c r="A5434" t="n">
        <v>12</v>
      </c>
      <c r="B5434" s="10" t="inlineStr">
        <is>
          <t>平日</t>
        </is>
      </c>
      <c r="C5434" s="10" t="inlineStr">
        <is>
          <t>本線</t>
        </is>
      </c>
      <c r="D5434" s="10" t="inlineStr">
        <is>
          <t>下り</t>
        </is>
      </c>
      <c r="E5434" t="inlineStr">
        <is>
          <t>2107</t>
        </is>
      </c>
      <c r="F5434" t="inlineStr">
        <is>
          <t>0122</t>
        </is>
      </c>
      <c r="G5434" s="10" t="inlineStr">
        <is>
          <t>嵐山</t>
        </is>
      </c>
      <c r="H5434" s="10" t="inlineStr">
        <is>
          <t>着</t>
        </is>
      </c>
      <c r="J5434" s="10" t="inlineStr">
        <is>
          <t>営業</t>
        </is>
      </c>
      <c r="L5434" t="inlineStr">
        <is>
          <t>22:03:00</t>
        </is>
      </c>
      <c r="N5434" t="inlineStr">
        <is>
          <t>○</t>
        </is>
      </c>
      <c r="Q5434" t="inlineStr">
        <is>
          <t>1</t>
        </is>
      </c>
    </row>
    <row r="5435" ht="15" customHeight="1" s="37">
      <c r="A5435" t="n">
        <v>12</v>
      </c>
      <c r="B5435" s="10" t="inlineStr">
        <is>
          <t>平日</t>
        </is>
      </c>
      <c r="C5435" s="10" t="inlineStr">
        <is>
          <t>本線</t>
        </is>
      </c>
      <c r="D5435" s="10" t="inlineStr">
        <is>
          <t>上り</t>
        </is>
      </c>
      <c r="E5435" t="inlineStr">
        <is>
          <t>2202</t>
        </is>
      </c>
      <c r="F5435" t="inlineStr">
        <is>
          <t>0221</t>
        </is>
      </c>
      <c r="G5435" s="10" t="inlineStr">
        <is>
          <t>嵐山</t>
        </is>
      </c>
      <c r="H5435" s="10" t="inlineStr">
        <is>
          <t>発</t>
        </is>
      </c>
      <c r="J5435" s="10" t="inlineStr">
        <is>
          <t>営業</t>
        </is>
      </c>
      <c r="M5435" t="inlineStr">
        <is>
          <t>22:08:00</t>
        </is>
      </c>
      <c r="Q5435" t="inlineStr">
        <is>
          <t>1</t>
        </is>
      </c>
    </row>
    <row r="5436" ht="15" customHeight="1" s="37">
      <c r="A5436" t="n">
        <v>12</v>
      </c>
      <c r="B5436" s="10" t="inlineStr">
        <is>
          <t>平日</t>
        </is>
      </c>
      <c r="C5436" s="10" t="inlineStr">
        <is>
          <t>本線</t>
        </is>
      </c>
      <c r="D5436" s="10" t="inlineStr">
        <is>
          <t>上り</t>
        </is>
      </c>
      <c r="E5436" t="inlineStr">
        <is>
          <t>2202</t>
        </is>
      </c>
      <c r="F5436" t="inlineStr">
        <is>
          <t>0221</t>
        </is>
      </c>
      <c r="G5436" s="10" t="inlineStr">
        <is>
          <t>嵯峨</t>
        </is>
      </c>
      <c r="H5436" s="10" t="inlineStr">
        <is>
          <t>発</t>
        </is>
      </c>
      <c r="J5436" s="10" t="inlineStr">
        <is>
          <t>営業</t>
        </is>
      </c>
      <c r="L5436" t="inlineStr">
        <is>
          <t>22:08:55</t>
        </is>
      </c>
      <c r="M5436" t="inlineStr">
        <is>
          <t>22:09:10</t>
        </is>
      </c>
    </row>
    <row r="5437" ht="15" customHeight="1" s="37">
      <c r="A5437" t="n">
        <v>12</v>
      </c>
      <c r="B5437" s="10" t="inlineStr">
        <is>
          <t>平日</t>
        </is>
      </c>
      <c r="C5437" s="10" t="inlineStr">
        <is>
          <t>本線</t>
        </is>
      </c>
      <c r="D5437" s="10" t="inlineStr">
        <is>
          <t>上り</t>
        </is>
      </c>
      <c r="E5437" t="inlineStr">
        <is>
          <t>2202</t>
        </is>
      </c>
      <c r="F5437" t="inlineStr">
        <is>
          <t>0221</t>
        </is>
      </c>
      <c r="G5437" s="10" t="inlineStr">
        <is>
          <t>鹿王院</t>
        </is>
      </c>
      <c r="H5437" s="10" t="inlineStr">
        <is>
          <t>発</t>
        </is>
      </c>
      <c r="J5437" s="10" t="inlineStr">
        <is>
          <t>営業</t>
        </is>
      </c>
      <c r="L5437" t="inlineStr">
        <is>
          <t>22:10:15</t>
        </is>
      </c>
      <c r="M5437" t="inlineStr">
        <is>
          <t>22:10:30</t>
        </is>
      </c>
    </row>
    <row r="5438" ht="15" customHeight="1" s="37">
      <c r="A5438" t="n">
        <v>12</v>
      </c>
      <c r="B5438" s="10" t="inlineStr">
        <is>
          <t>平日</t>
        </is>
      </c>
      <c r="C5438" s="10" t="inlineStr">
        <is>
          <t>本線</t>
        </is>
      </c>
      <c r="D5438" s="10" t="inlineStr">
        <is>
          <t>上り</t>
        </is>
      </c>
      <c r="E5438" t="inlineStr">
        <is>
          <t>2202</t>
        </is>
      </c>
      <c r="F5438" t="inlineStr">
        <is>
          <t>0221</t>
        </is>
      </c>
      <c r="G5438" s="10" t="inlineStr">
        <is>
          <t>車折</t>
        </is>
      </c>
      <c r="H5438" s="10" t="inlineStr">
        <is>
          <t>発</t>
        </is>
      </c>
      <c r="J5438" s="10" t="inlineStr">
        <is>
          <t>営業</t>
        </is>
      </c>
      <c r="L5438" t="inlineStr">
        <is>
          <t>22:11:25</t>
        </is>
      </c>
      <c r="M5438" t="inlineStr">
        <is>
          <t>22:11:40</t>
        </is>
      </c>
    </row>
    <row r="5439" ht="15" customHeight="1" s="37">
      <c r="A5439" t="n">
        <v>12</v>
      </c>
      <c r="B5439" s="10" t="inlineStr">
        <is>
          <t>平日</t>
        </is>
      </c>
      <c r="C5439" s="10" t="inlineStr">
        <is>
          <t>本線</t>
        </is>
      </c>
      <c r="D5439" s="10" t="inlineStr">
        <is>
          <t>上り</t>
        </is>
      </c>
      <c r="E5439" t="inlineStr">
        <is>
          <t>2202</t>
        </is>
      </c>
      <c r="F5439" t="inlineStr">
        <is>
          <t>0221</t>
        </is>
      </c>
      <c r="G5439" s="10" t="inlineStr">
        <is>
          <t>有栖川</t>
        </is>
      </c>
      <c r="H5439" s="10" t="inlineStr">
        <is>
          <t>発</t>
        </is>
      </c>
      <c r="J5439" s="10" t="inlineStr">
        <is>
          <t>営業</t>
        </is>
      </c>
      <c r="L5439" t="inlineStr">
        <is>
          <t>22:13:05</t>
        </is>
      </c>
      <c r="M5439" t="inlineStr">
        <is>
          <t>22:13:20</t>
        </is>
      </c>
    </row>
    <row r="5440" ht="15" customHeight="1" s="37">
      <c r="A5440" t="n">
        <v>12</v>
      </c>
      <c r="B5440" s="10" t="inlineStr">
        <is>
          <t>平日</t>
        </is>
      </c>
      <c r="C5440" s="10" t="inlineStr">
        <is>
          <t>本線</t>
        </is>
      </c>
      <c r="D5440" s="10" t="inlineStr">
        <is>
          <t>上り</t>
        </is>
      </c>
      <c r="E5440" t="inlineStr">
        <is>
          <t>2202</t>
        </is>
      </c>
      <c r="F5440" t="inlineStr">
        <is>
          <t>0221</t>
        </is>
      </c>
      <c r="G5440" s="10" t="inlineStr">
        <is>
          <t>帷子ノ辻</t>
        </is>
      </c>
      <c r="H5440" s="10" t="inlineStr">
        <is>
          <t>発</t>
        </is>
      </c>
      <c r="J5440" s="10" t="inlineStr">
        <is>
          <t>営業</t>
        </is>
      </c>
      <c r="L5440" t="inlineStr">
        <is>
          <t>22:14:35</t>
        </is>
      </c>
      <c r="M5440" t="inlineStr">
        <is>
          <t>22:15:05</t>
        </is>
      </c>
    </row>
    <row r="5441" ht="15" customHeight="1" s="37">
      <c r="A5441" t="n">
        <v>12</v>
      </c>
      <c r="B5441" s="10" t="inlineStr">
        <is>
          <t>平日</t>
        </is>
      </c>
      <c r="C5441" s="10" t="inlineStr">
        <is>
          <t>本線</t>
        </is>
      </c>
      <c r="D5441" s="10" t="inlineStr">
        <is>
          <t>上り</t>
        </is>
      </c>
      <c r="E5441" t="inlineStr">
        <is>
          <t>2202</t>
        </is>
      </c>
      <c r="F5441" t="inlineStr">
        <is>
          <t>0221</t>
        </is>
      </c>
      <c r="G5441" s="10" t="inlineStr">
        <is>
          <t>太秦広隆寺</t>
        </is>
      </c>
      <c r="H5441" s="10" t="inlineStr">
        <is>
          <t>発</t>
        </is>
      </c>
      <c r="J5441" s="10" t="inlineStr">
        <is>
          <t>営業</t>
        </is>
      </c>
      <c r="L5441" t="inlineStr">
        <is>
          <t>22:17:15</t>
        </is>
      </c>
      <c r="M5441" t="inlineStr">
        <is>
          <t>22:17:35</t>
        </is>
      </c>
    </row>
    <row r="5442" ht="15" customHeight="1" s="37">
      <c r="A5442" t="n">
        <v>12</v>
      </c>
      <c r="B5442" s="10" t="inlineStr">
        <is>
          <t>平日</t>
        </is>
      </c>
      <c r="C5442" s="10" t="inlineStr">
        <is>
          <t>本線</t>
        </is>
      </c>
      <c r="D5442" s="10" t="inlineStr">
        <is>
          <t>上り</t>
        </is>
      </c>
      <c r="E5442" t="inlineStr">
        <is>
          <t>2202</t>
        </is>
      </c>
      <c r="F5442" t="inlineStr">
        <is>
          <t>0221</t>
        </is>
      </c>
      <c r="G5442" s="10" t="inlineStr">
        <is>
          <t>蚕ノ社</t>
        </is>
      </c>
      <c r="H5442" s="10" t="inlineStr">
        <is>
          <t>発</t>
        </is>
      </c>
      <c r="J5442" s="10" t="inlineStr">
        <is>
          <t>営業</t>
        </is>
      </c>
      <c r="L5442" t="inlineStr">
        <is>
          <t>22:18:50</t>
        </is>
      </c>
      <c r="M5442" t="inlineStr">
        <is>
          <t>22:19:10</t>
        </is>
      </c>
    </row>
    <row r="5443" ht="15" customHeight="1" s="37">
      <c r="A5443" t="n">
        <v>12</v>
      </c>
      <c r="B5443" s="10" t="inlineStr">
        <is>
          <t>平日</t>
        </is>
      </c>
      <c r="C5443" s="10" t="inlineStr">
        <is>
          <t>本線</t>
        </is>
      </c>
      <c r="D5443" s="10" t="inlineStr">
        <is>
          <t>上り</t>
        </is>
      </c>
      <c r="E5443" t="inlineStr">
        <is>
          <t>2202</t>
        </is>
      </c>
      <c r="F5443" t="inlineStr">
        <is>
          <t>0221</t>
        </is>
      </c>
      <c r="G5443" s="10" t="inlineStr">
        <is>
          <t>天神川</t>
        </is>
      </c>
      <c r="H5443" s="10" t="inlineStr">
        <is>
          <t>発</t>
        </is>
      </c>
      <c r="J5443" s="10" t="inlineStr">
        <is>
          <t>営業</t>
        </is>
      </c>
      <c r="L5443" t="inlineStr">
        <is>
          <t>22:19:55</t>
        </is>
      </c>
      <c r="M5443" t="inlineStr">
        <is>
          <t>22:20:20</t>
        </is>
      </c>
    </row>
    <row r="5444" ht="15" customHeight="1" s="37">
      <c r="A5444" t="n">
        <v>12</v>
      </c>
      <c r="B5444" s="10" t="inlineStr">
        <is>
          <t>平日</t>
        </is>
      </c>
      <c r="C5444" s="10" t="inlineStr">
        <is>
          <t>本線</t>
        </is>
      </c>
      <c r="D5444" s="10" t="inlineStr">
        <is>
          <t>上り</t>
        </is>
      </c>
      <c r="E5444" t="inlineStr">
        <is>
          <t>2202</t>
        </is>
      </c>
      <c r="F5444" t="inlineStr">
        <is>
          <t>0221</t>
        </is>
      </c>
      <c r="G5444" s="10" t="inlineStr">
        <is>
          <t>山ノ内</t>
        </is>
      </c>
      <c r="H5444" s="10" t="inlineStr">
        <is>
          <t>発</t>
        </is>
      </c>
      <c r="J5444" s="10" t="inlineStr">
        <is>
          <t>営業</t>
        </is>
      </c>
      <c r="L5444" t="inlineStr">
        <is>
          <t>22:22:10</t>
        </is>
      </c>
      <c r="M5444" t="inlineStr">
        <is>
          <t>22:22:35</t>
        </is>
      </c>
    </row>
    <row r="5445" ht="15" customHeight="1" s="37">
      <c r="A5445" t="n">
        <v>12</v>
      </c>
      <c r="B5445" s="10" t="inlineStr">
        <is>
          <t>平日</t>
        </is>
      </c>
      <c r="C5445" s="10" t="inlineStr">
        <is>
          <t>本線</t>
        </is>
      </c>
      <c r="D5445" s="10" t="inlineStr">
        <is>
          <t>上り</t>
        </is>
      </c>
      <c r="E5445" t="inlineStr">
        <is>
          <t>2202</t>
        </is>
      </c>
      <c r="F5445" t="inlineStr">
        <is>
          <t>0221</t>
        </is>
      </c>
      <c r="G5445" s="10" t="inlineStr">
        <is>
          <t>西大路三条</t>
        </is>
      </c>
      <c r="H5445" s="10" t="inlineStr">
        <is>
          <t>発</t>
        </is>
      </c>
      <c r="J5445" s="10" t="inlineStr">
        <is>
          <t>営業</t>
        </is>
      </c>
      <c r="L5445" t="inlineStr">
        <is>
          <t>22:24:25</t>
        </is>
      </c>
      <c r="M5445" t="inlineStr">
        <is>
          <t>22:24:40</t>
        </is>
      </c>
    </row>
    <row r="5446" ht="15" customHeight="1" s="37">
      <c r="A5446" t="n">
        <v>12</v>
      </c>
      <c r="B5446" s="10" t="inlineStr">
        <is>
          <t>平日</t>
        </is>
      </c>
      <c r="C5446" s="10" t="inlineStr">
        <is>
          <t>本線</t>
        </is>
      </c>
      <c r="D5446" s="10" t="inlineStr">
        <is>
          <t>上り</t>
        </is>
      </c>
      <c r="E5446" t="inlineStr">
        <is>
          <t>2202</t>
        </is>
      </c>
      <c r="F5446" t="inlineStr">
        <is>
          <t>0221</t>
        </is>
      </c>
      <c r="G5446" s="10" t="inlineStr">
        <is>
          <t>西院</t>
        </is>
      </c>
      <c r="H5446" s="10" t="inlineStr">
        <is>
          <t>発</t>
        </is>
      </c>
      <c r="J5446" s="10" t="inlineStr">
        <is>
          <t>営業</t>
        </is>
      </c>
      <c r="L5446" t="inlineStr">
        <is>
          <t>22:26:35</t>
        </is>
      </c>
      <c r="M5446" t="inlineStr">
        <is>
          <t>22:27:05</t>
        </is>
      </c>
    </row>
    <row r="5447" ht="15" customHeight="1" s="37">
      <c r="A5447" t="n">
        <v>12</v>
      </c>
      <c r="B5447" s="10" t="inlineStr">
        <is>
          <t>平日</t>
        </is>
      </c>
      <c r="C5447" s="10" t="inlineStr">
        <is>
          <t>本線</t>
        </is>
      </c>
      <c r="D5447" s="10" t="inlineStr">
        <is>
          <t>上り</t>
        </is>
      </c>
      <c r="E5447" t="inlineStr">
        <is>
          <t>2202</t>
        </is>
      </c>
      <c r="F5447" t="inlineStr">
        <is>
          <t>0221</t>
        </is>
      </c>
      <c r="G5447" s="10" t="inlineStr">
        <is>
          <t>四条大宮</t>
        </is>
      </c>
      <c r="H5447" s="10" t="inlineStr">
        <is>
          <t>着</t>
        </is>
      </c>
      <c r="J5447" s="10" t="inlineStr">
        <is>
          <t>営業</t>
        </is>
      </c>
      <c r="L5447" t="inlineStr">
        <is>
          <t>22:30:00</t>
        </is>
      </c>
      <c r="N5447" t="inlineStr">
        <is>
          <t>○</t>
        </is>
      </c>
      <c r="Q5447" t="inlineStr">
        <is>
          <t>1</t>
        </is>
      </c>
    </row>
    <row r="5448" ht="15" customHeight="1" s="37">
      <c r="A5448" t="n">
        <v>12</v>
      </c>
      <c r="B5448" s="10" t="inlineStr">
        <is>
          <t>平日</t>
        </is>
      </c>
      <c r="C5448" s="10" t="inlineStr">
        <is>
          <t>本線</t>
        </is>
      </c>
      <c r="D5448" s="10" t="inlineStr">
        <is>
          <t>下り</t>
        </is>
      </c>
      <c r="E5448" t="inlineStr">
        <is>
          <t>2207</t>
        </is>
      </c>
      <c r="F5448" t="inlineStr">
        <is>
          <t>0122</t>
        </is>
      </c>
      <c r="G5448" s="10" t="inlineStr">
        <is>
          <t>四条大宮</t>
        </is>
      </c>
      <c r="H5448" s="10" t="inlineStr">
        <is>
          <t>発</t>
        </is>
      </c>
      <c r="J5448" s="10" t="inlineStr">
        <is>
          <t>営業</t>
        </is>
      </c>
      <c r="M5448" t="inlineStr">
        <is>
          <t>22:45:00</t>
        </is>
      </c>
      <c r="Q5448" t="inlineStr">
        <is>
          <t>1</t>
        </is>
      </c>
    </row>
    <row r="5449" ht="15" customHeight="1" s="37">
      <c r="A5449" t="n">
        <v>12</v>
      </c>
      <c r="B5449" s="10" t="inlineStr">
        <is>
          <t>平日</t>
        </is>
      </c>
      <c r="C5449" s="10" t="inlineStr">
        <is>
          <t>本線</t>
        </is>
      </c>
      <c r="D5449" s="10" t="inlineStr">
        <is>
          <t>下り</t>
        </is>
      </c>
      <c r="E5449" t="inlineStr">
        <is>
          <t>2207</t>
        </is>
      </c>
      <c r="F5449" t="inlineStr">
        <is>
          <t>0122</t>
        </is>
      </c>
      <c r="G5449" s="10" t="inlineStr">
        <is>
          <t>西院</t>
        </is>
      </c>
      <c r="H5449" s="10" t="inlineStr">
        <is>
          <t>発</t>
        </is>
      </c>
      <c r="J5449" s="10" t="inlineStr">
        <is>
          <t>営業</t>
        </is>
      </c>
      <c r="L5449" t="inlineStr">
        <is>
          <t>22:47:50</t>
        </is>
      </c>
      <c r="M5449" t="inlineStr">
        <is>
          <t>22:48:20</t>
        </is>
      </c>
    </row>
    <row r="5450" ht="15" customHeight="1" s="37">
      <c r="A5450" t="n">
        <v>12</v>
      </c>
      <c r="B5450" s="10" t="inlineStr">
        <is>
          <t>平日</t>
        </is>
      </c>
      <c r="C5450" s="10" t="inlineStr">
        <is>
          <t>本線</t>
        </is>
      </c>
      <c r="D5450" s="10" t="inlineStr">
        <is>
          <t>下り</t>
        </is>
      </c>
      <c r="E5450" t="inlineStr">
        <is>
          <t>2207</t>
        </is>
      </c>
      <c r="F5450" t="inlineStr">
        <is>
          <t>0122</t>
        </is>
      </c>
      <c r="G5450" s="10" t="inlineStr">
        <is>
          <t>西大路三条</t>
        </is>
      </c>
      <c r="H5450" s="10" t="inlineStr">
        <is>
          <t>発</t>
        </is>
      </c>
      <c r="J5450" s="10" t="inlineStr">
        <is>
          <t>営業</t>
        </is>
      </c>
      <c r="L5450" t="inlineStr">
        <is>
          <t>22:50:10</t>
        </is>
      </c>
      <c r="M5450" t="inlineStr">
        <is>
          <t>22:50:30</t>
        </is>
      </c>
    </row>
    <row r="5451" ht="15" customHeight="1" s="37">
      <c r="A5451" t="n">
        <v>12</v>
      </c>
      <c r="B5451" s="10" t="inlineStr">
        <is>
          <t>平日</t>
        </is>
      </c>
      <c r="C5451" s="10" t="inlineStr">
        <is>
          <t>本線</t>
        </is>
      </c>
      <c r="D5451" s="10" t="inlineStr">
        <is>
          <t>下り</t>
        </is>
      </c>
      <c r="E5451" t="inlineStr">
        <is>
          <t>2207</t>
        </is>
      </c>
      <c r="F5451" t="inlineStr">
        <is>
          <t>0122</t>
        </is>
      </c>
      <c r="G5451" s="10" t="inlineStr">
        <is>
          <t>山ノ内</t>
        </is>
      </c>
      <c r="H5451" s="10" t="inlineStr">
        <is>
          <t>発</t>
        </is>
      </c>
      <c r="J5451" s="10" t="inlineStr">
        <is>
          <t>営業</t>
        </is>
      </c>
      <c r="L5451" t="inlineStr">
        <is>
          <t>22:52:25</t>
        </is>
      </c>
      <c r="M5451" t="inlineStr">
        <is>
          <t>22:52:50</t>
        </is>
      </c>
    </row>
    <row r="5452" ht="15" customHeight="1" s="37">
      <c r="A5452" t="n">
        <v>12</v>
      </c>
      <c r="B5452" s="10" t="inlineStr">
        <is>
          <t>平日</t>
        </is>
      </c>
      <c r="C5452" s="10" t="inlineStr">
        <is>
          <t>本線</t>
        </is>
      </c>
      <c r="D5452" s="10" t="inlineStr">
        <is>
          <t>下り</t>
        </is>
      </c>
      <c r="E5452" t="inlineStr">
        <is>
          <t>2207</t>
        </is>
      </c>
      <c r="F5452" t="inlineStr">
        <is>
          <t>0122</t>
        </is>
      </c>
      <c r="G5452" s="10" t="inlineStr">
        <is>
          <t>天神川</t>
        </is>
      </c>
      <c r="H5452" s="10" t="inlineStr">
        <is>
          <t>発</t>
        </is>
      </c>
      <c r="J5452" s="10" t="inlineStr">
        <is>
          <t>営業</t>
        </is>
      </c>
      <c r="L5452" t="inlineStr">
        <is>
          <t>22:54:50</t>
        </is>
      </c>
      <c r="M5452" t="inlineStr">
        <is>
          <t>22:55:30</t>
        </is>
      </c>
    </row>
    <row r="5453" ht="15" customHeight="1" s="37">
      <c r="A5453" t="n">
        <v>12</v>
      </c>
      <c r="B5453" s="10" t="inlineStr">
        <is>
          <t>平日</t>
        </is>
      </c>
      <c r="C5453" s="10" t="inlineStr">
        <is>
          <t>本線</t>
        </is>
      </c>
      <c r="D5453" s="10" t="inlineStr">
        <is>
          <t>下り</t>
        </is>
      </c>
      <c r="E5453" t="inlineStr">
        <is>
          <t>2207</t>
        </is>
      </c>
      <c r="F5453" t="inlineStr">
        <is>
          <t>0122</t>
        </is>
      </c>
      <c r="G5453" s="10" t="inlineStr">
        <is>
          <t>蚕ノ社</t>
        </is>
      </c>
      <c r="H5453" s="10" t="inlineStr">
        <is>
          <t>発</t>
        </is>
      </c>
      <c r="J5453" s="10" t="inlineStr">
        <is>
          <t>営業</t>
        </is>
      </c>
      <c r="L5453" t="inlineStr">
        <is>
          <t>22:56:20</t>
        </is>
      </c>
      <c r="M5453" t="inlineStr">
        <is>
          <t>22:56:40</t>
        </is>
      </c>
    </row>
    <row r="5454" ht="15" customHeight="1" s="37">
      <c r="A5454" t="n">
        <v>12</v>
      </c>
      <c r="B5454" s="10" t="inlineStr">
        <is>
          <t>平日</t>
        </is>
      </c>
      <c r="C5454" s="10" t="inlineStr">
        <is>
          <t>本線</t>
        </is>
      </c>
      <c r="D5454" s="10" t="inlineStr">
        <is>
          <t>下り</t>
        </is>
      </c>
      <c r="E5454" t="inlineStr">
        <is>
          <t>2207</t>
        </is>
      </c>
      <c r="F5454" t="inlineStr">
        <is>
          <t>0122</t>
        </is>
      </c>
      <c r="G5454" s="10" t="inlineStr">
        <is>
          <t>太秦広隆寺</t>
        </is>
      </c>
      <c r="H5454" s="10" t="inlineStr">
        <is>
          <t>発</t>
        </is>
      </c>
      <c r="J5454" s="10" t="inlineStr">
        <is>
          <t>営業</t>
        </is>
      </c>
      <c r="L5454" t="inlineStr">
        <is>
          <t>22:58:00</t>
        </is>
      </c>
      <c r="M5454" t="inlineStr">
        <is>
          <t>22:58:20</t>
        </is>
      </c>
    </row>
    <row r="5455" ht="15" customHeight="1" s="37">
      <c r="A5455" t="n">
        <v>12</v>
      </c>
      <c r="B5455" s="10" t="inlineStr">
        <is>
          <t>平日</t>
        </is>
      </c>
      <c r="C5455" s="10" t="inlineStr">
        <is>
          <t>本線</t>
        </is>
      </c>
      <c r="D5455" s="10" t="inlineStr">
        <is>
          <t>下り</t>
        </is>
      </c>
      <c r="E5455" t="inlineStr">
        <is>
          <t>2207</t>
        </is>
      </c>
      <c r="F5455" t="inlineStr">
        <is>
          <t>0122</t>
        </is>
      </c>
      <c r="G5455" s="10" t="inlineStr">
        <is>
          <t>帷子ノ辻</t>
        </is>
      </c>
      <c r="H5455" s="10" t="inlineStr">
        <is>
          <t>発</t>
        </is>
      </c>
      <c r="J5455" s="10" t="inlineStr">
        <is>
          <t>営業</t>
        </is>
      </c>
      <c r="L5455" t="inlineStr">
        <is>
          <t>23:00:20</t>
        </is>
      </c>
      <c r="M5455" t="inlineStr">
        <is>
          <t>23:01:40</t>
        </is>
      </c>
    </row>
    <row r="5456" ht="15" customHeight="1" s="37">
      <c r="A5456" t="n">
        <v>12</v>
      </c>
      <c r="B5456" s="10" t="inlineStr">
        <is>
          <t>平日</t>
        </is>
      </c>
      <c r="C5456" s="10" t="inlineStr">
        <is>
          <t>本線</t>
        </is>
      </c>
      <c r="D5456" s="10" t="inlineStr">
        <is>
          <t>下り</t>
        </is>
      </c>
      <c r="E5456" t="inlineStr">
        <is>
          <t>2207</t>
        </is>
      </c>
      <c r="F5456" t="inlineStr">
        <is>
          <t>0122</t>
        </is>
      </c>
      <c r="G5456" s="10" t="inlineStr">
        <is>
          <t>有栖川</t>
        </is>
      </c>
      <c r="H5456" s="10" t="inlineStr">
        <is>
          <t>発</t>
        </is>
      </c>
      <c r="J5456" s="10" t="inlineStr">
        <is>
          <t>営業</t>
        </is>
      </c>
      <c r="L5456" t="inlineStr">
        <is>
          <t>23:02:50</t>
        </is>
      </c>
      <c r="M5456" t="inlineStr">
        <is>
          <t>23:03:15</t>
        </is>
      </c>
    </row>
    <row r="5457" ht="15" customHeight="1" s="37">
      <c r="A5457" t="n">
        <v>12</v>
      </c>
      <c r="B5457" s="10" t="inlineStr">
        <is>
          <t>平日</t>
        </is>
      </c>
      <c r="C5457" s="10" t="inlineStr">
        <is>
          <t>本線</t>
        </is>
      </c>
      <c r="D5457" s="10" t="inlineStr">
        <is>
          <t>下り</t>
        </is>
      </c>
      <c r="E5457" t="inlineStr">
        <is>
          <t>2207</t>
        </is>
      </c>
      <c r="F5457" t="inlineStr">
        <is>
          <t>0122</t>
        </is>
      </c>
      <c r="G5457" s="10" t="inlineStr">
        <is>
          <t>車折</t>
        </is>
      </c>
      <c r="H5457" s="10" t="inlineStr">
        <is>
          <t>発</t>
        </is>
      </c>
      <c r="J5457" s="10" t="inlineStr">
        <is>
          <t>営業</t>
        </is>
      </c>
      <c r="L5457" t="inlineStr">
        <is>
          <t>23:04:40</t>
        </is>
      </c>
      <c r="M5457" t="inlineStr">
        <is>
          <t>23:05:05</t>
        </is>
      </c>
    </row>
    <row r="5458" ht="15" customHeight="1" s="37">
      <c r="A5458" t="n">
        <v>12</v>
      </c>
      <c r="B5458" s="10" t="inlineStr">
        <is>
          <t>平日</t>
        </is>
      </c>
      <c r="C5458" s="10" t="inlineStr">
        <is>
          <t>本線</t>
        </is>
      </c>
      <c r="D5458" s="10" t="inlineStr">
        <is>
          <t>下り</t>
        </is>
      </c>
      <c r="E5458" t="inlineStr">
        <is>
          <t>2207</t>
        </is>
      </c>
      <c r="F5458" t="inlineStr">
        <is>
          <t>0122</t>
        </is>
      </c>
      <c r="G5458" s="10" t="inlineStr">
        <is>
          <t>鹿王院</t>
        </is>
      </c>
      <c r="H5458" s="10" t="inlineStr">
        <is>
          <t>発</t>
        </is>
      </c>
      <c r="J5458" s="10" t="inlineStr">
        <is>
          <t>営業</t>
        </is>
      </c>
      <c r="L5458" t="inlineStr">
        <is>
          <t>23:06:00</t>
        </is>
      </c>
      <c r="M5458" t="inlineStr">
        <is>
          <t>23:06:25</t>
        </is>
      </c>
    </row>
    <row r="5459" ht="15" customHeight="1" s="37">
      <c r="A5459" t="n">
        <v>12</v>
      </c>
      <c r="B5459" s="10" t="inlineStr">
        <is>
          <t>平日</t>
        </is>
      </c>
      <c r="C5459" s="10" t="inlineStr">
        <is>
          <t>本線</t>
        </is>
      </c>
      <c r="D5459" s="10" t="inlineStr">
        <is>
          <t>下り</t>
        </is>
      </c>
      <c r="E5459" t="inlineStr">
        <is>
          <t>2207</t>
        </is>
      </c>
      <c r="F5459" t="inlineStr">
        <is>
          <t>0122</t>
        </is>
      </c>
      <c r="G5459" s="10" t="inlineStr">
        <is>
          <t>嵯峨</t>
        </is>
      </c>
      <c r="H5459" s="10" t="inlineStr">
        <is>
          <t>発</t>
        </is>
      </c>
      <c r="J5459" s="10" t="inlineStr">
        <is>
          <t>営業</t>
        </is>
      </c>
      <c r="L5459" t="inlineStr">
        <is>
          <t>23:07:30</t>
        </is>
      </c>
      <c r="M5459" t="inlineStr">
        <is>
          <t>23:07:55</t>
        </is>
      </c>
    </row>
    <row r="5460" ht="15" customHeight="1" s="37">
      <c r="A5460" t="n">
        <v>12</v>
      </c>
      <c r="B5460" s="10" t="inlineStr">
        <is>
          <t>平日</t>
        </is>
      </c>
      <c r="C5460" s="10" t="inlineStr">
        <is>
          <t>本線</t>
        </is>
      </c>
      <c r="D5460" s="10" t="inlineStr">
        <is>
          <t>下り</t>
        </is>
      </c>
      <c r="E5460" t="inlineStr">
        <is>
          <t>2207</t>
        </is>
      </c>
      <c r="F5460" t="inlineStr">
        <is>
          <t>0122</t>
        </is>
      </c>
      <c r="G5460" s="10" t="inlineStr">
        <is>
          <t>嵐山</t>
        </is>
      </c>
      <c r="H5460" s="10" t="inlineStr">
        <is>
          <t>着</t>
        </is>
      </c>
      <c r="J5460" s="10" t="inlineStr">
        <is>
          <t>営業</t>
        </is>
      </c>
      <c r="L5460" t="inlineStr">
        <is>
          <t>23:09:00</t>
        </is>
      </c>
      <c r="N5460" t="inlineStr">
        <is>
          <t>○</t>
        </is>
      </c>
      <c r="Q5460" t="inlineStr">
        <is>
          <t>1</t>
        </is>
      </c>
    </row>
    <row r="5461" ht="15" customHeight="1" s="37">
      <c r="A5461" t="n">
        <v>12</v>
      </c>
      <c r="B5461" s="10" t="inlineStr">
        <is>
          <t>平日</t>
        </is>
      </c>
      <c r="C5461" s="10" t="inlineStr">
        <is>
          <t>本線</t>
        </is>
      </c>
      <c r="D5461" s="10" t="inlineStr">
        <is>
          <t>上り</t>
        </is>
      </c>
      <c r="E5461" t="inlineStr">
        <is>
          <t>2304</t>
        </is>
      </c>
      <c r="F5461" t="inlineStr">
        <is>
          <t>0221</t>
        </is>
      </c>
      <c r="G5461" s="10" t="inlineStr">
        <is>
          <t>嵐山</t>
        </is>
      </c>
      <c r="H5461" s="10" t="inlineStr">
        <is>
          <t>発</t>
        </is>
      </c>
      <c r="J5461" s="10" t="inlineStr">
        <is>
          <t>営業</t>
        </is>
      </c>
      <c r="M5461" t="inlineStr">
        <is>
          <t>23:17:00</t>
        </is>
      </c>
      <c r="Q5461" t="inlineStr">
        <is>
          <t>1</t>
        </is>
      </c>
    </row>
    <row r="5462" ht="15" customHeight="1" s="37">
      <c r="A5462" t="n">
        <v>12</v>
      </c>
      <c r="B5462" s="10" t="inlineStr">
        <is>
          <t>平日</t>
        </is>
      </c>
      <c r="C5462" s="10" t="inlineStr">
        <is>
          <t>本線</t>
        </is>
      </c>
      <c r="D5462" s="10" t="inlineStr">
        <is>
          <t>上り</t>
        </is>
      </c>
      <c r="E5462" t="inlineStr">
        <is>
          <t>2304</t>
        </is>
      </c>
      <c r="F5462" t="inlineStr">
        <is>
          <t>0221</t>
        </is>
      </c>
      <c r="G5462" s="10" t="inlineStr">
        <is>
          <t>嵯峨</t>
        </is>
      </c>
      <c r="H5462" s="10" t="inlineStr">
        <is>
          <t>発</t>
        </is>
      </c>
      <c r="J5462" s="10" t="inlineStr">
        <is>
          <t>営業</t>
        </is>
      </c>
      <c r="L5462" t="inlineStr">
        <is>
          <t>23:17:55</t>
        </is>
      </c>
      <c r="M5462" t="inlineStr">
        <is>
          <t>23:18:10</t>
        </is>
      </c>
    </row>
    <row r="5463" ht="15" customHeight="1" s="37">
      <c r="A5463" t="n">
        <v>12</v>
      </c>
      <c r="B5463" s="10" t="inlineStr">
        <is>
          <t>平日</t>
        </is>
      </c>
      <c r="C5463" s="10" t="inlineStr">
        <is>
          <t>本線</t>
        </is>
      </c>
      <c r="D5463" s="10" t="inlineStr">
        <is>
          <t>上り</t>
        </is>
      </c>
      <c r="E5463" t="inlineStr">
        <is>
          <t>2304</t>
        </is>
      </c>
      <c r="F5463" t="inlineStr">
        <is>
          <t>0221</t>
        </is>
      </c>
      <c r="G5463" s="10" t="inlineStr">
        <is>
          <t>鹿王院</t>
        </is>
      </c>
      <c r="H5463" s="10" t="inlineStr">
        <is>
          <t>発</t>
        </is>
      </c>
      <c r="J5463" s="10" t="inlineStr">
        <is>
          <t>営業</t>
        </is>
      </c>
      <c r="L5463" t="inlineStr">
        <is>
          <t>23:19:15</t>
        </is>
      </c>
      <c r="M5463" t="inlineStr">
        <is>
          <t>23:19:30</t>
        </is>
      </c>
    </row>
    <row r="5464" ht="15" customHeight="1" s="37">
      <c r="A5464" t="n">
        <v>12</v>
      </c>
      <c r="B5464" s="10" t="inlineStr">
        <is>
          <t>平日</t>
        </is>
      </c>
      <c r="C5464" s="10" t="inlineStr">
        <is>
          <t>本線</t>
        </is>
      </c>
      <c r="D5464" s="10" t="inlineStr">
        <is>
          <t>上り</t>
        </is>
      </c>
      <c r="E5464" t="inlineStr">
        <is>
          <t>2304</t>
        </is>
      </c>
      <c r="F5464" t="inlineStr">
        <is>
          <t>0221</t>
        </is>
      </c>
      <c r="G5464" s="10" t="inlineStr">
        <is>
          <t>車折</t>
        </is>
      </c>
      <c r="H5464" s="10" t="inlineStr">
        <is>
          <t>発</t>
        </is>
      </c>
      <c r="J5464" s="10" t="inlineStr">
        <is>
          <t>営業</t>
        </is>
      </c>
      <c r="L5464" t="inlineStr">
        <is>
          <t>23:20:25</t>
        </is>
      </c>
      <c r="M5464" t="inlineStr">
        <is>
          <t>23:20:40</t>
        </is>
      </c>
    </row>
    <row r="5465" ht="15" customHeight="1" s="37">
      <c r="A5465" t="n">
        <v>12</v>
      </c>
      <c r="B5465" s="10" t="inlineStr">
        <is>
          <t>平日</t>
        </is>
      </c>
      <c r="C5465" s="10" t="inlineStr">
        <is>
          <t>本線</t>
        </is>
      </c>
      <c r="D5465" s="10" t="inlineStr">
        <is>
          <t>上り</t>
        </is>
      </c>
      <c r="E5465" t="inlineStr">
        <is>
          <t>2304</t>
        </is>
      </c>
      <c r="F5465" t="inlineStr">
        <is>
          <t>0221</t>
        </is>
      </c>
      <c r="G5465" s="10" t="inlineStr">
        <is>
          <t>有栖川</t>
        </is>
      </c>
      <c r="H5465" s="10" t="inlineStr">
        <is>
          <t>発</t>
        </is>
      </c>
      <c r="J5465" s="10" t="inlineStr">
        <is>
          <t>営業</t>
        </is>
      </c>
      <c r="L5465" t="inlineStr">
        <is>
          <t>23:22:05</t>
        </is>
      </c>
      <c r="M5465" t="inlineStr">
        <is>
          <t>23:22:20</t>
        </is>
      </c>
    </row>
    <row r="5466" ht="15" customHeight="1" s="37">
      <c r="A5466" t="n">
        <v>12</v>
      </c>
      <c r="B5466" t="inlineStr">
        <is>
          <t>平日</t>
        </is>
      </c>
      <c r="C5466" t="inlineStr">
        <is>
          <t>本線</t>
        </is>
      </c>
      <c r="D5466" t="inlineStr">
        <is>
          <t>上り</t>
        </is>
      </c>
      <c r="E5466" t="inlineStr">
        <is>
          <t>2304</t>
        </is>
      </c>
      <c r="F5466" t="inlineStr">
        <is>
          <t>0221</t>
        </is>
      </c>
      <c r="G5466" t="inlineStr">
        <is>
          <t>帷子ノ辻</t>
        </is>
      </c>
      <c r="H5466" t="inlineStr">
        <is>
          <t>発</t>
        </is>
      </c>
      <c r="J5466" t="inlineStr">
        <is>
          <t>営業</t>
        </is>
      </c>
      <c r="L5466" t="inlineStr">
        <is>
          <t>23:23:35</t>
        </is>
      </c>
      <c r="M5466" t="inlineStr">
        <is>
          <t>23:24:05</t>
        </is>
      </c>
    </row>
    <row r="5467" ht="15" customHeight="1" s="37">
      <c r="A5467" t="n">
        <v>12</v>
      </c>
      <c r="B5467" s="10" t="inlineStr">
        <is>
          <t>平日</t>
        </is>
      </c>
      <c r="C5467" s="10" t="inlineStr">
        <is>
          <t>本線</t>
        </is>
      </c>
      <c r="D5467" s="10" t="inlineStr">
        <is>
          <t>上り</t>
        </is>
      </c>
      <c r="E5467" t="inlineStr">
        <is>
          <t>2304</t>
        </is>
      </c>
      <c r="F5467" t="inlineStr">
        <is>
          <t>0221</t>
        </is>
      </c>
      <c r="G5467" s="10" t="inlineStr">
        <is>
          <t>太秦広隆寺</t>
        </is>
      </c>
      <c r="H5467" s="10" t="inlineStr">
        <is>
          <t>発</t>
        </is>
      </c>
      <c r="J5467" s="10" t="inlineStr">
        <is>
          <t>営業</t>
        </is>
      </c>
      <c r="L5467" t="inlineStr">
        <is>
          <t>23:26:15</t>
        </is>
      </c>
      <c r="M5467" t="inlineStr">
        <is>
          <t>23:26:35</t>
        </is>
      </c>
    </row>
    <row r="5468" ht="15" customHeight="1" s="37">
      <c r="A5468" t="n">
        <v>12</v>
      </c>
      <c r="B5468" s="10" t="inlineStr">
        <is>
          <t>平日</t>
        </is>
      </c>
      <c r="C5468" s="10" t="inlineStr">
        <is>
          <t>本線</t>
        </is>
      </c>
      <c r="D5468" s="10" t="inlineStr">
        <is>
          <t>上り</t>
        </is>
      </c>
      <c r="E5468" t="inlineStr">
        <is>
          <t>2304</t>
        </is>
      </c>
      <c r="F5468" t="inlineStr">
        <is>
          <t>0221</t>
        </is>
      </c>
      <c r="G5468" s="10" t="inlineStr">
        <is>
          <t>蚕ノ社</t>
        </is>
      </c>
      <c r="H5468" s="10" t="inlineStr">
        <is>
          <t>発</t>
        </is>
      </c>
      <c r="J5468" s="10" t="inlineStr">
        <is>
          <t>営業</t>
        </is>
      </c>
      <c r="L5468" t="inlineStr">
        <is>
          <t>23:27:50</t>
        </is>
      </c>
      <c r="M5468" t="inlineStr">
        <is>
          <t>23:28:10</t>
        </is>
      </c>
    </row>
    <row r="5469" ht="15" customHeight="1" s="37">
      <c r="A5469" t="n">
        <v>12</v>
      </c>
      <c r="B5469" s="10" t="inlineStr">
        <is>
          <t>平日</t>
        </is>
      </c>
      <c r="C5469" s="10" t="inlineStr">
        <is>
          <t>本線</t>
        </is>
      </c>
      <c r="D5469" s="10" t="inlineStr">
        <is>
          <t>上り</t>
        </is>
      </c>
      <c r="E5469" t="inlineStr">
        <is>
          <t>2304</t>
        </is>
      </c>
      <c r="F5469" t="inlineStr">
        <is>
          <t>0221</t>
        </is>
      </c>
      <c r="G5469" s="10" t="inlineStr">
        <is>
          <t>天神川</t>
        </is>
      </c>
      <c r="H5469" s="10" t="inlineStr">
        <is>
          <t>発</t>
        </is>
      </c>
      <c r="J5469" s="10" t="inlineStr">
        <is>
          <t>営業</t>
        </is>
      </c>
      <c r="L5469" t="inlineStr">
        <is>
          <t>23:28:55</t>
        </is>
      </c>
      <c r="M5469" t="inlineStr">
        <is>
          <t>23:29:20</t>
        </is>
      </c>
    </row>
    <row r="5470" ht="15" customHeight="1" s="37">
      <c r="A5470" t="n">
        <v>12</v>
      </c>
      <c r="B5470" s="10" t="inlineStr">
        <is>
          <t>平日</t>
        </is>
      </c>
      <c r="C5470" s="10" t="inlineStr">
        <is>
          <t>本線</t>
        </is>
      </c>
      <c r="D5470" s="10" t="inlineStr">
        <is>
          <t>上り</t>
        </is>
      </c>
      <c r="E5470" t="inlineStr">
        <is>
          <t>2304</t>
        </is>
      </c>
      <c r="F5470" t="inlineStr">
        <is>
          <t>0221</t>
        </is>
      </c>
      <c r="G5470" s="10" t="inlineStr">
        <is>
          <t>山ノ内</t>
        </is>
      </c>
      <c r="H5470" s="10" t="inlineStr">
        <is>
          <t>発</t>
        </is>
      </c>
      <c r="J5470" s="10" t="inlineStr">
        <is>
          <t>営業</t>
        </is>
      </c>
      <c r="L5470" t="inlineStr">
        <is>
          <t>23:31:10</t>
        </is>
      </c>
      <c r="M5470" t="inlineStr">
        <is>
          <t>23:31:35</t>
        </is>
      </c>
    </row>
    <row r="5471" ht="15" customHeight="1" s="37">
      <c r="A5471" t="n">
        <v>12</v>
      </c>
      <c r="B5471" s="10" t="inlineStr">
        <is>
          <t>平日</t>
        </is>
      </c>
      <c r="C5471" s="10" t="inlineStr">
        <is>
          <t>本線</t>
        </is>
      </c>
      <c r="D5471" s="10" t="inlineStr">
        <is>
          <t>上り</t>
        </is>
      </c>
      <c r="E5471" t="inlineStr">
        <is>
          <t>2304</t>
        </is>
      </c>
      <c r="F5471" t="inlineStr">
        <is>
          <t>0221</t>
        </is>
      </c>
      <c r="G5471" s="10" t="inlineStr">
        <is>
          <t>西大路三条</t>
        </is>
      </c>
      <c r="H5471" s="10" t="inlineStr">
        <is>
          <t>発</t>
        </is>
      </c>
      <c r="J5471" s="10" t="inlineStr">
        <is>
          <t>営業</t>
        </is>
      </c>
      <c r="L5471" t="inlineStr">
        <is>
          <t>23:33:25</t>
        </is>
      </c>
      <c r="M5471" t="inlineStr">
        <is>
          <t>23:33:40</t>
        </is>
      </c>
    </row>
    <row r="5472" ht="15" customHeight="1" s="37">
      <c r="A5472" t="n">
        <v>12</v>
      </c>
      <c r="B5472" s="10" t="inlineStr">
        <is>
          <t>平日</t>
        </is>
      </c>
      <c r="C5472" s="10" t="inlineStr">
        <is>
          <t>本線</t>
        </is>
      </c>
      <c r="D5472" s="10" t="inlineStr">
        <is>
          <t>上り</t>
        </is>
      </c>
      <c r="E5472" t="inlineStr">
        <is>
          <t>2304</t>
        </is>
      </c>
      <c r="F5472" t="inlineStr">
        <is>
          <t>0221</t>
        </is>
      </c>
      <c r="G5472" s="10" t="inlineStr">
        <is>
          <t>西院</t>
        </is>
      </c>
      <c r="H5472" s="10" t="inlineStr">
        <is>
          <t>発</t>
        </is>
      </c>
      <c r="J5472" s="10" t="inlineStr">
        <is>
          <t>営業</t>
        </is>
      </c>
      <c r="L5472" t="inlineStr">
        <is>
          <t>23:35:35</t>
        </is>
      </c>
      <c r="M5472" t="inlineStr">
        <is>
          <t>23:36:05</t>
        </is>
      </c>
    </row>
    <row r="5473" ht="15" customHeight="1" s="37">
      <c r="A5473" t="n">
        <v>12</v>
      </c>
      <c r="B5473" s="10" t="inlineStr">
        <is>
          <t>平日</t>
        </is>
      </c>
      <c r="C5473" s="10" t="inlineStr">
        <is>
          <t>本線</t>
        </is>
      </c>
      <c r="D5473" s="10" t="inlineStr">
        <is>
          <t>上り</t>
        </is>
      </c>
      <c r="E5473" t="inlineStr">
        <is>
          <t>2304</t>
        </is>
      </c>
      <c r="F5473" t="inlineStr">
        <is>
          <t>0221</t>
        </is>
      </c>
      <c r="G5473" s="10" t="inlineStr">
        <is>
          <t>四条大宮</t>
        </is>
      </c>
      <c r="H5473" s="10" t="inlineStr">
        <is>
          <t>着</t>
        </is>
      </c>
      <c r="J5473" s="10" t="inlineStr">
        <is>
          <t>営業</t>
        </is>
      </c>
      <c r="L5473" t="inlineStr">
        <is>
          <t>23:39:00</t>
        </is>
      </c>
      <c r="N5473" t="inlineStr">
        <is>
          <t>○</t>
        </is>
      </c>
      <c r="Q5473" t="inlineStr">
        <is>
          <t>2</t>
        </is>
      </c>
      <c r="T5473" t="inlineStr">
        <is>
          <t>○</t>
        </is>
      </c>
    </row>
    <row r="5474" ht="15" customHeight="1" s="37">
      <c r="A5474" t="n">
        <v>12</v>
      </c>
      <c r="B5474" s="10" t="inlineStr">
        <is>
          <t>平日</t>
        </is>
      </c>
      <c r="C5474" s="10" t="inlineStr">
        <is>
          <t>本線</t>
        </is>
      </c>
      <c r="D5474" s="10" t="inlineStr">
        <is>
          <t>下り</t>
        </is>
      </c>
      <c r="E5474" s="10" t="inlineStr">
        <is>
          <t>回2371</t>
        </is>
      </c>
      <c r="F5474" s="10" t="inlineStr">
        <is>
          <t>回送</t>
        </is>
      </c>
      <c r="G5474" s="10" t="inlineStr">
        <is>
          <t>四条大宮</t>
        </is>
      </c>
      <c r="H5474" s="10" t="inlineStr">
        <is>
          <t>発</t>
        </is>
      </c>
      <c r="J5474" s="10" t="inlineStr">
        <is>
          <t>回送</t>
        </is>
      </c>
      <c r="M5474" t="inlineStr">
        <is>
          <t>23:42:00</t>
        </is>
      </c>
    </row>
    <row r="5475" ht="15" customHeight="1" s="37">
      <c r="A5475" t="n">
        <v>12</v>
      </c>
      <c r="B5475" s="10" t="inlineStr">
        <is>
          <t>平日</t>
        </is>
      </c>
      <c r="C5475" s="10" t="inlineStr">
        <is>
          <t>本線</t>
        </is>
      </c>
      <c r="D5475" s="10" t="inlineStr">
        <is>
          <t>下り</t>
        </is>
      </c>
      <c r="E5475" s="10" t="inlineStr">
        <is>
          <t>回2371</t>
        </is>
      </c>
      <c r="F5475" s="10" t="inlineStr">
        <is>
          <t>回送</t>
        </is>
      </c>
      <c r="G5475" s="10" t="inlineStr">
        <is>
          <t>西院</t>
        </is>
      </c>
      <c r="H5475" s="10" t="inlineStr">
        <is>
          <t>着</t>
        </is>
      </c>
      <c r="J5475" s="10" t="inlineStr">
        <is>
          <t>回送</t>
        </is>
      </c>
      <c r="L5475" t="inlineStr">
        <is>
          <t>23:44:50</t>
        </is>
      </c>
    </row>
    <row r="5476" ht="15" customHeight="1" s="37">
      <c r="A5476" t="n">
        <v>12</v>
      </c>
      <c r="B5476" s="10" t="inlineStr">
        <is>
          <t>平日</t>
        </is>
      </c>
      <c r="C5476" s="10" t="inlineStr">
        <is>
          <t>本線</t>
        </is>
      </c>
      <c r="D5476" s="10" t="inlineStr">
        <is>
          <t>下り</t>
        </is>
      </c>
      <c r="E5476" s="10" t="inlineStr">
        <is>
          <t>連1511</t>
        </is>
      </c>
      <c r="F5476" t="inlineStr">
        <is>
          <t>0112</t>
        </is>
      </c>
      <c r="G5476" s="10" t="inlineStr">
        <is>
          <t>四条大宮</t>
        </is>
      </c>
      <c r="H5476" s="10" t="inlineStr">
        <is>
          <t>発</t>
        </is>
      </c>
      <c r="J5476" s="10" t="inlineStr">
        <is>
          <t>営業</t>
        </is>
      </c>
      <c r="M5476" t="inlineStr">
        <is>
          <t>15:53:00</t>
        </is>
      </c>
      <c r="P5476" t="inlineStr">
        <is>
          <t>F系統(日中)</t>
        </is>
      </c>
      <c r="Q5476" t="inlineStr">
        <is>
          <t>1</t>
        </is>
      </c>
    </row>
    <row r="5477" ht="15" customHeight="1" s="37">
      <c r="A5477" t="n">
        <v>12</v>
      </c>
      <c r="B5477" s="10" t="inlineStr">
        <is>
          <t>平日</t>
        </is>
      </c>
      <c r="C5477" s="10" t="inlineStr">
        <is>
          <t>本線</t>
        </is>
      </c>
      <c r="D5477" s="10" t="inlineStr">
        <is>
          <t>下り</t>
        </is>
      </c>
      <c r="E5477" s="10" t="inlineStr">
        <is>
          <t>連1511</t>
        </is>
      </c>
      <c r="F5477" t="inlineStr">
        <is>
          <t>0112</t>
        </is>
      </c>
      <c r="G5477" s="10" t="inlineStr">
        <is>
          <t>西院</t>
        </is>
      </c>
      <c r="H5477" s="10" t="inlineStr">
        <is>
          <t>発</t>
        </is>
      </c>
      <c r="J5477" s="10" t="inlineStr">
        <is>
          <t>営業</t>
        </is>
      </c>
      <c r="L5477" t="inlineStr">
        <is>
          <t>15:55:50</t>
        </is>
      </c>
      <c r="M5477" t="inlineStr">
        <is>
          <t>15:56:20</t>
        </is>
      </c>
      <c r="P5477" t="inlineStr">
        <is>
          <t>F系統(日中)</t>
        </is>
      </c>
    </row>
    <row r="5478" ht="15" customHeight="1" s="37">
      <c r="A5478" t="n">
        <v>12</v>
      </c>
      <c r="B5478" s="10" t="inlineStr">
        <is>
          <t>平日</t>
        </is>
      </c>
      <c r="C5478" s="10" t="inlineStr">
        <is>
          <t>本線</t>
        </is>
      </c>
      <c r="D5478" s="10" t="inlineStr">
        <is>
          <t>下り</t>
        </is>
      </c>
      <c r="E5478" s="10" t="inlineStr">
        <is>
          <t>連1511</t>
        </is>
      </c>
      <c r="F5478" t="inlineStr">
        <is>
          <t>0112</t>
        </is>
      </c>
      <c r="G5478" s="10" t="inlineStr">
        <is>
          <t>西大路三条</t>
        </is>
      </c>
      <c r="H5478" s="10" t="inlineStr">
        <is>
          <t>発</t>
        </is>
      </c>
      <c r="J5478" s="10" t="inlineStr">
        <is>
          <t>営業</t>
        </is>
      </c>
      <c r="L5478" t="inlineStr">
        <is>
          <t>15:58:10</t>
        </is>
      </c>
      <c r="M5478" t="inlineStr">
        <is>
          <t>15:58:30</t>
        </is>
      </c>
      <c r="P5478" t="inlineStr">
        <is>
          <t>F系統(日中)</t>
        </is>
      </c>
    </row>
    <row r="5479" ht="15" customHeight="1" s="37">
      <c r="A5479" t="n">
        <v>12</v>
      </c>
      <c r="B5479" s="10" t="inlineStr">
        <is>
          <t>平日</t>
        </is>
      </c>
      <c r="C5479" s="10" t="inlineStr">
        <is>
          <t>本線</t>
        </is>
      </c>
      <c r="D5479" s="10" t="inlineStr">
        <is>
          <t>下り</t>
        </is>
      </c>
      <c r="E5479" s="10" t="inlineStr">
        <is>
          <t>連1511</t>
        </is>
      </c>
      <c r="F5479" t="inlineStr">
        <is>
          <t>0112</t>
        </is>
      </c>
      <c r="G5479" s="10" t="inlineStr">
        <is>
          <t>山ノ内</t>
        </is>
      </c>
      <c r="H5479" s="10" t="inlineStr">
        <is>
          <t>発</t>
        </is>
      </c>
      <c r="J5479" s="10" t="inlineStr">
        <is>
          <t>営業</t>
        </is>
      </c>
      <c r="L5479" t="inlineStr">
        <is>
          <t>16:00:25</t>
        </is>
      </c>
      <c r="M5479" t="inlineStr">
        <is>
          <t>16:00:50</t>
        </is>
      </c>
      <c r="P5479" t="inlineStr">
        <is>
          <t>F系統(日中)</t>
        </is>
      </c>
    </row>
    <row r="5480" ht="15" customHeight="1" s="37">
      <c r="A5480" t="n">
        <v>12</v>
      </c>
      <c r="B5480" s="10" t="inlineStr">
        <is>
          <t>平日</t>
        </is>
      </c>
      <c r="C5480" s="10" t="inlineStr">
        <is>
          <t>本線</t>
        </is>
      </c>
      <c r="D5480" s="10" t="inlineStr">
        <is>
          <t>下り</t>
        </is>
      </c>
      <c r="E5480" s="10" t="inlineStr">
        <is>
          <t>連1511</t>
        </is>
      </c>
      <c r="F5480" t="inlineStr">
        <is>
          <t>0112</t>
        </is>
      </c>
      <c r="G5480" s="10" t="inlineStr">
        <is>
          <t>天神川</t>
        </is>
      </c>
      <c r="H5480" s="10" t="inlineStr">
        <is>
          <t>発</t>
        </is>
      </c>
      <c r="J5480" s="10" t="inlineStr">
        <is>
          <t>営業</t>
        </is>
      </c>
      <c r="L5480" t="inlineStr">
        <is>
          <t>16:02:50</t>
        </is>
      </c>
      <c r="M5480" t="inlineStr">
        <is>
          <t>16:03:30</t>
        </is>
      </c>
      <c r="P5480" t="inlineStr">
        <is>
          <t>F系統(日中)</t>
        </is>
      </c>
    </row>
    <row r="5481" ht="15" customHeight="1" s="37">
      <c r="A5481" t="n">
        <v>12</v>
      </c>
      <c r="B5481" s="10" t="inlineStr">
        <is>
          <t>平日</t>
        </is>
      </c>
      <c r="C5481" s="10" t="inlineStr">
        <is>
          <t>本線</t>
        </is>
      </c>
      <c r="D5481" s="10" t="inlineStr">
        <is>
          <t>下り</t>
        </is>
      </c>
      <c r="E5481" s="10" t="inlineStr">
        <is>
          <t>連1511</t>
        </is>
      </c>
      <c r="F5481" t="inlineStr">
        <is>
          <t>0112</t>
        </is>
      </c>
      <c r="G5481" s="10" t="inlineStr">
        <is>
          <t>蚕ノ社</t>
        </is>
      </c>
      <c r="H5481" s="10" t="inlineStr">
        <is>
          <t>発</t>
        </is>
      </c>
      <c r="J5481" s="10" t="inlineStr">
        <is>
          <t>営業</t>
        </is>
      </c>
      <c r="L5481" t="inlineStr">
        <is>
          <t>16:04:20</t>
        </is>
      </c>
      <c r="M5481" t="inlineStr">
        <is>
          <t>16:04:40</t>
        </is>
      </c>
      <c r="P5481" t="inlineStr">
        <is>
          <t>F系統(日中)</t>
        </is>
      </c>
    </row>
    <row r="5482" ht="15" customHeight="1" s="37">
      <c r="A5482" t="n">
        <v>12</v>
      </c>
      <c r="B5482" s="10" t="inlineStr">
        <is>
          <t>平日</t>
        </is>
      </c>
      <c r="C5482" s="10" t="inlineStr">
        <is>
          <t>本線</t>
        </is>
      </c>
      <c r="D5482" s="10" t="inlineStr">
        <is>
          <t>下り</t>
        </is>
      </c>
      <c r="E5482" s="10" t="inlineStr">
        <is>
          <t>連1511</t>
        </is>
      </c>
      <c r="F5482" t="inlineStr">
        <is>
          <t>0112</t>
        </is>
      </c>
      <c r="G5482" s="10" t="inlineStr">
        <is>
          <t>太秦広隆寺</t>
        </is>
      </c>
      <c r="H5482" s="10" t="inlineStr">
        <is>
          <t>発</t>
        </is>
      </c>
      <c r="J5482" s="10" t="inlineStr">
        <is>
          <t>営業</t>
        </is>
      </c>
      <c r="L5482" t="inlineStr">
        <is>
          <t>16:06:00</t>
        </is>
      </c>
      <c r="M5482" t="inlineStr">
        <is>
          <t>16:06:20</t>
        </is>
      </c>
      <c r="P5482" t="inlineStr">
        <is>
          <t>F系統(日中)</t>
        </is>
      </c>
    </row>
    <row r="5483" ht="15" customHeight="1" s="37">
      <c r="A5483" t="n">
        <v>12</v>
      </c>
      <c r="B5483" s="10" t="inlineStr">
        <is>
          <t>平日</t>
        </is>
      </c>
      <c r="C5483" s="10" t="inlineStr">
        <is>
          <t>本線</t>
        </is>
      </c>
      <c r="D5483" s="10" t="inlineStr">
        <is>
          <t>下り</t>
        </is>
      </c>
      <c r="E5483" s="10" t="inlineStr">
        <is>
          <t>連1511</t>
        </is>
      </c>
      <c r="F5483" t="inlineStr">
        <is>
          <t>0112</t>
        </is>
      </c>
      <c r="G5483" s="10" t="inlineStr">
        <is>
          <t>帷子ノ辻</t>
        </is>
      </c>
      <c r="H5483" s="10" t="inlineStr">
        <is>
          <t>発</t>
        </is>
      </c>
      <c r="J5483" s="10" t="inlineStr">
        <is>
          <t>営業</t>
        </is>
      </c>
      <c r="L5483" t="inlineStr">
        <is>
          <t>16:08:20</t>
        </is>
      </c>
      <c r="M5483" t="inlineStr">
        <is>
          <t>16:09:40</t>
        </is>
      </c>
      <c r="P5483" t="inlineStr">
        <is>
          <t>F系統(日中)</t>
        </is>
      </c>
    </row>
    <row r="5484" ht="15" customHeight="1" s="37">
      <c r="A5484" t="n">
        <v>12</v>
      </c>
      <c r="B5484" s="10" t="inlineStr">
        <is>
          <t>平日</t>
        </is>
      </c>
      <c r="C5484" s="10" t="inlineStr">
        <is>
          <t>本線</t>
        </is>
      </c>
      <c r="D5484" s="10" t="inlineStr">
        <is>
          <t>下り</t>
        </is>
      </c>
      <c r="E5484" s="10" t="inlineStr">
        <is>
          <t>連1511</t>
        </is>
      </c>
      <c r="F5484" t="inlineStr">
        <is>
          <t>0112</t>
        </is>
      </c>
      <c r="G5484" s="10" t="inlineStr">
        <is>
          <t>有栖川</t>
        </is>
      </c>
      <c r="H5484" s="10" t="inlineStr">
        <is>
          <t>発</t>
        </is>
      </c>
      <c r="J5484" s="10" t="inlineStr">
        <is>
          <t>営業</t>
        </is>
      </c>
      <c r="L5484" t="inlineStr">
        <is>
          <t>16:10:50</t>
        </is>
      </c>
      <c r="M5484" t="inlineStr">
        <is>
          <t>16:11:15</t>
        </is>
      </c>
      <c r="P5484" t="inlineStr">
        <is>
          <t>F系統(日中)</t>
        </is>
      </c>
    </row>
    <row r="5485" ht="15" customHeight="1" s="37">
      <c r="A5485" t="n">
        <v>12</v>
      </c>
      <c r="B5485" s="10" t="inlineStr">
        <is>
          <t>平日</t>
        </is>
      </c>
      <c r="C5485" s="10" t="inlineStr">
        <is>
          <t>本線</t>
        </is>
      </c>
      <c r="D5485" s="10" t="inlineStr">
        <is>
          <t>下り</t>
        </is>
      </c>
      <c r="E5485" s="10" t="inlineStr">
        <is>
          <t>連1511</t>
        </is>
      </c>
      <c r="F5485" t="inlineStr">
        <is>
          <t>0112</t>
        </is>
      </c>
      <c r="G5485" s="10" t="inlineStr">
        <is>
          <t>車折</t>
        </is>
      </c>
      <c r="H5485" s="10" t="inlineStr">
        <is>
          <t>発</t>
        </is>
      </c>
      <c r="J5485" s="10" t="inlineStr">
        <is>
          <t>営業</t>
        </is>
      </c>
      <c r="L5485" t="inlineStr">
        <is>
          <t>16:12:40</t>
        </is>
      </c>
      <c r="M5485" t="inlineStr">
        <is>
          <t>16:13:05</t>
        </is>
      </c>
      <c r="P5485" t="inlineStr">
        <is>
          <t>F系統(日中)</t>
        </is>
      </c>
    </row>
    <row r="5486" ht="15" customHeight="1" s="37">
      <c r="A5486" t="n">
        <v>12</v>
      </c>
      <c r="B5486" s="10" t="inlineStr">
        <is>
          <t>平日</t>
        </is>
      </c>
      <c r="C5486" s="10" t="inlineStr">
        <is>
          <t>本線</t>
        </is>
      </c>
      <c r="D5486" s="10" t="inlineStr">
        <is>
          <t>下り</t>
        </is>
      </c>
      <c r="E5486" s="10" t="inlineStr">
        <is>
          <t>連1511</t>
        </is>
      </c>
      <c r="F5486" t="inlineStr">
        <is>
          <t>0112</t>
        </is>
      </c>
      <c r="G5486" s="10" t="inlineStr">
        <is>
          <t>鹿王院</t>
        </is>
      </c>
      <c r="H5486" s="10" t="inlineStr">
        <is>
          <t>発</t>
        </is>
      </c>
      <c r="J5486" s="10" t="inlineStr">
        <is>
          <t>営業</t>
        </is>
      </c>
      <c r="L5486" t="inlineStr">
        <is>
          <t>16:14:00</t>
        </is>
      </c>
      <c r="M5486" t="inlineStr">
        <is>
          <t>16:14:25</t>
        </is>
      </c>
      <c r="P5486" t="inlineStr">
        <is>
          <t>F系統(日中)</t>
        </is>
      </c>
    </row>
    <row r="5487" ht="15" customHeight="1" s="37">
      <c r="A5487" t="n">
        <v>12</v>
      </c>
      <c r="B5487" s="10" t="inlineStr">
        <is>
          <t>平日</t>
        </is>
      </c>
      <c r="C5487" s="10" t="inlineStr">
        <is>
          <t>本線</t>
        </is>
      </c>
      <c r="D5487" s="10" t="inlineStr">
        <is>
          <t>下り</t>
        </is>
      </c>
      <c r="E5487" s="10" t="inlineStr">
        <is>
          <t>連1511</t>
        </is>
      </c>
      <c r="F5487" t="inlineStr">
        <is>
          <t>0112</t>
        </is>
      </c>
      <c r="G5487" s="10" t="inlineStr">
        <is>
          <t>嵯峨</t>
        </is>
      </c>
      <c r="H5487" s="10" t="inlineStr">
        <is>
          <t>発</t>
        </is>
      </c>
      <c r="J5487" s="10" t="inlineStr">
        <is>
          <t>営業</t>
        </is>
      </c>
      <c r="L5487" t="inlineStr">
        <is>
          <t>16:15:30</t>
        </is>
      </c>
      <c r="M5487" t="inlineStr">
        <is>
          <t>16:15:55</t>
        </is>
      </c>
      <c r="P5487" t="inlineStr">
        <is>
          <t>F系統(日中)</t>
        </is>
      </c>
    </row>
    <row r="5488" ht="15" customHeight="1" s="37">
      <c r="A5488" t="n">
        <v>12</v>
      </c>
      <c r="B5488" s="10" t="inlineStr">
        <is>
          <t>平日</t>
        </is>
      </c>
      <c r="C5488" s="10" t="inlineStr">
        <is>
          <t>本線</t>
        </is>
      </c>
      <c r="D5488" s="10" t="inlineStr">
        <is>
          <t>下り</t>
        </is>
      </c>
      <c r="E5488" s="10" t="inlineStr">
        <is>
          <t>連1511</t>
        </is>
      </c>
      <c r="F5488" t="inlineStr">
        <is>
          <t>0112</t>
        </is>
      </c>
      <c r="G5488" s="10" t="inlineStr">
        <is>
          <t>嵐山</t>
        </is>
      </c>
      <c r="H5488" s="10" t="inlineStr">
        <is>
          <t>着</t>
        </is>
      </c>
      <c r="J5488" s="10" t="inlineStr">
        <is>
          <t>営業</t>
        </is>
      </c>
      <c r="L5488" t="inlineStr">
        <is>
          <t>16:17:00</t>
        </is>
      </c>
      <c r="P5488" t="inlineStr">
        <is>
          <t>F系統(日中)</t>
        </is>
      </c>
      <c r="Q5488" t="inlineStr">
        <is>
          <t>1</t>
        </is>
      </c>
    </row>
    <row r="5489" ht="15" customHeight="1" s="37">
      <c r="A5489" t="n">
        <v>12</v>
      </c>
      <c r="B5489" s="10" t="inlineStr">
        <is>
          <t>平日</t>
        </is>
      </c>
      <c r="C5489" s="10" t="inlineStr">
        <is>
          <t>本線</t>
        </is>
      </c>
      <c r="D5489" s="10" t="inlineStr">
        <is>
          <t>上り</t>
        </is>
      </c>
      <c r="E5489" s="10" t="inlineStr">
        <is>
          <t>連1606</t>
        </is>
      </c>
      <c r="F5489" t="inlineStr">
        <is>
          <t>2221</t>
        </is>
      </c>
      <c r="G5489" s="10" t="inlineStr">
        <is>
          <t>嵐山</t>
        </is>
      </c>
      <c r="H5489" s="10" t="inlineStr">
        <is>
          <t>発</t>
        </is>
      </c>
      <c r="J5489" s="10" t="inlineStr">
        <is>
          <t>営業</t>
        </is>
      </c>
      <c r="M5489" t="inlineStr">
        <is>
          <t>16:23:00</t>
        </is>
      </c>
      <c r="P5489" t="inlineStr">
        <is>
          <t>F系統(日中)</t>
        </is>
      </c>
      <c r="Q5489" t="inlineStr">
        <is>
          <t>1</t>
        </is>
      </c>
    </row>
    <row r="5490" ht="15" customHeight="1" s="37">
      <c r="A5490" t="n">
        <v>12</v>
      </c>
      <c r="B5490" s="10" t="inlineStr">
        <is>
          <t>平日</t>
        </is>
      </c>
      <c r="C5490" s="10" t="inlineStr">
        <is>
          <t>本線</t>
        </is>
      </c>
      <c r="D5490" s="10" t="inlineStr">
        <is>
          <t>上り</t>
        </is>
      </c>
      <c r="E5490" s="10" t="inlineStr">
        <is>
          <t>連1606</t>
        </is>
      </c>
      <c r="F5490" t="inlineStr">
        <is>
          <t>2221</t>
        </is>
      </c>
      <c r="G5490" s="10" t="inlineStr">
        <is>
          <t>嵯峨</t>
        </is>
      </c>
      <c r="H5490" s="10" t="inlineStr">
        <is>
          <t>発</t>
        </is>
      </c>
      <c r="J5490" s="10" t="inlineStr">
        <is>
          <t>営業</t>
        </is>
      </c>
      <c r="L5490" t="inlineStr">
        <is>
          <t>16:23:55</t>
        </is>
      </c>
      <c r="M5490" t="inlineStr">
        <is>
          <t>16:24:20</t>
        </is>
      </c>
      <c r="P5490" t="inlineStr">
        <is>
          <t>F系統(日中)</t>
        </is>
      </c>
    </row>
    <row r="5491" ht="15" customHeight="1" s="37">
      <c r="A5491" t="n">
        <v>12</v>
      </c>
      <c r="B5491" s="10" t="inlineStr">
        <is>
          <t>平日</t>
        </is>
      </c>
      <c r="C5491" s="10" t="inlineStr">
        <is>
          <t>本線</t>
        </is>
      </c>
      <c r="D5491" s="10" t="inlineStr">
        <is>
          <t>上り</t>
        </is>
      </c>
      <c r="E5491" s="10" t="inlineStr">
        <is>
          <t>連1606</t>
        </is>
      </c>
      <c r="F5491" t="inlineStr">
        <is>
          <t>2221</t>
        </is>
      </c>
      <c r="G5491" s="10" t="inlineStr">
        <is>
          <t>鹿王院</t>
        </is>
      </c>
      <c r="H5491" s="10" t="inlineStr">
        <is>
          <t>発</t>
        </is>
      </c>
      <c r="J5491" s="10" t="inlineStr">
        <is>
          <t>営業</t>
        </is>
      </c>
      <c r="L5491" t="inlineStr">
        <is>
          <t>16:25:25</t>
        </is>
      </c>
      <c r="M5491" t="inlineStr">
        <is>
          <t>16:25:45</t>
        </is>
      </c>
      <c r="P5491" t="inlineStr">
        <is>
          <t>F系統(日中)</t>
        </is>
      </c>
    </row>
    <row r="5492" ht="15" customHeight="1" s="37">
      <c r="A5492" t="n">
        <v>12</v>
      </c>
      <c r="B5492" s="10" t="inlineStr">
        <is>
          <t>平日</t>
        </is>
      </c>
      <c r="C5492" s="10" t="inlineStr">
        <is>
          <t>本線</t>
        </is>
      </c>
      <c r="D5492" s="10" t="inlineStr">
        <is>
          <t>上り</t>
        </is>
      </c>
      <c r="E5492" s="10" t="inlineStr">
        <is>
          <t>連1606</t>
        </is>
      </c>
      <c r="F5492" t="inlineStr">
        <is>
          <t>2221</t>
        </is>
      </c>
      <c r="G5492" s="10" t="inlineStr">
        <is>
          <t>車折</t>
        </is>
      </c>
      <c r="H5492" s="10" t="inlineStr">
        <is>
          <t>発</t>
        </is>
      </c>
      <c r="J5492" s="10" t="inlineStr">
        <is>
          <t>営業</t>
        </is>
      </c>
      <c r="L5492" t="inlineStr">
        <is>
          <t>16:26:40</t>
        </is>
      </c>
      <c r="M5492" t="inlineStr">
        <is>
          <t>16:27:10</t>
        </is>
      </c>
      <c r="P5492" t="inlineStr">
        <is>
          <t>F系統(日中)</t>
        </is>
      </c>
    </row>
    <row r="5493" ht="15" customHeight="1" s="37">
      <c r="A5493" t="n">
        <v>12</v>
      </c>
      <c r="B5493" s="10" t="inlineStr">
        <is>
          <t>平日</t>
        </is>
      </c>
      <c r="C5493" s="10" t="inlineStr">
        <is>
          <t>本線</t>
        </is>
      </c>
      <c r="D5493" s="10" t="inlineStr">
        <is>
          <t>上り</t>
        </is>
      </c>
      <c r="E5493" s="10" t="inlineStr">
        <is>
          <t>連1606</t>
        </is>
      </c>
      <c r="F5493" t="inlineStr">
        <is>
          <t>2221</t>
        </is>
      </c>
      <c r="G5493" s="10" t="inlineStr">
        <is>
          <t>有栖川</t>
        </is>
      </c>
      <c r="H5493" s="10" t="inlineStr">
        <is>
          <t>発</t>
        </is>
      </c>
      <c r="J5493" s="10" t="inlineStr">
        <is>
          <t>営業</t>
        </is>
      </c>
      <c r="L5493" t="inlineStr">
        <is>
          <t>16:28:35</t>
        </is>
      </c>
      <c r="M5493" t="inlineStr">
        <is>
          <t>16:28:55</t>
        </is>
      </c>
      <c r="P5493" t="inlineStr">
        <is>
          <t>F系統(日中)</t>
        </is>
      </c>
    </row>
    <row r="5494" ht="15" customHeight="1" s="37">
      <c r="A5494" t="n">
        <v>12</v>
      </c>
      <c r="B5494" s="10" t="inlineStr">
        <is>
          <t>平日</t>
        </is>
      </c>
      <c r="C5494" s="10" t="inlineStr">
        <is>
          <t>本線</t>
        </is>
      </c>
      <c r="D5494" s="10" t="inlineStr">
        <is>
          <t>上り</t>
        </is>
      </c>
      <c r="E5494" s="10" t="inlineStr">
        <is>
          <t>連1606</t>
        </is>
      </c>
      <c r="F5494" t="inlineStr">
        <is>
          <t>2221</t>
        </is>
      </c>
      <c r="G5494" s="10" t="inlineStr">
        <is>
          <t>帷子ノ辻</t>
        </is>
      </c>
      <c r="H5494" s="10" t="inlineStr">
        <is>
          <t>発</t>
        </is>
      </c>
      <c r="J5494" s="10" t="inlineStr">
        <is>
          <t>営業</t>
        </is>
      </c>
      <c r="L5494" t="inlineStr">
        <is>
          <t>16:30:10</t>
        </is>
      </c>
      <c r="M5494" t="inlineStr">
        <is>
          <t>16:31:15</t>
        </is>
      </c>
      <c r="P5494" t="inlineStr">
        <is>
          <t>F系統(日中)</t>
        </is>
      </c>
    </row>
    <row r="5495" ht="15" customHeight="1" s="37">
      <c r="A5495" t="n">
        <v>12</v>
      </c>
      <c r="B5495" s="10" t="inlineStr">
        <is>
          <t>平日</t>
        </is>
      </c>
      <c r="C5495" s="10" t="inlineStr">
        <is>
          <t>本線</t>
        </is>
      </c>
      <c r="D5495" s="10" t="inlineStr">
        <is>
          <t>上り</t>
        </is>
      </c>
      <c r="E5495" s="10" t="inlineStr">
        <is>
          <t>連1606</t>
        </is>
      </c>
      <c r="F5495" t="inlineStr">
        <is>
          <t>2221</t>
        </is>
      </c>
      <c r="G5495" s="10" t="inlineStr">
        <is>
          <t>太秦広隆寺</t>
        </is>
      </c>
      <c r="H5495" s="10" t="inlineStr">
        <is>
          <t>発</t>
        </is>
      </c>
      <c r="J5495" s="10" t="inlineStr">
        <is>
          <t>営業</t>
        </is>
      </c>
      <c r="L5495" t="inlineStr">
        <is>
          <t>16:33:25</t>
        </is>
      </c>
      <c r="M5495" t="inlineStr">
        <is>
          <t>16:33:45</t>
        </is>
      </c>
      <c r="P5495" t="inlineStr">
        <is>
          <t>F系統(日中)</t>
        </is>
      </c>
    </row>
    <row r="5496" ht="15" customHeight="1" s="37">
      <c r="A5496" t="n">
        <v>12</v>
      </c>
      <c r="B5496" s="10" t="inlineStr">
        <is>
          <t>平日</t>
        </is>
      </c>
      <c r="C5496" s="10" t="inlineStr">
        <is>
          <t>本線</t>
        </is>
      </c>
      <c r="D5496" s="10" t="inlineStr">
        <is>
          <t>上り</t>
        </is>
      </c>
      <c r="E5496" s="10" t="inlineStr">
        <is>
          <t>連1606</t>
        </is>
      </c>
      <c r="F5496" t="inlineStr">
        <is>
          <t>2221</t>
        </is>
      </c>
      <c r="G5496" s="10" t="inlineStr">
        <is>
          <t>蚕ノ社</t>
        </is>
      </c>
      <c r="H5496" s="10" t="inlineStr">
        <is>
          <t>発</t>
        </is>
      </c>
      <c r="J5496" s="10" t="inlineStr">
        <is>
          <t>営業</t>
        </is>
      </c>
      <c r="L5496" t="inlineStr">
        <is>
          <t>16:35:00</t>
        </is>
      </c>
      <c r="M5496" t="inlineStr">
        <is>
          <t>16:35:20</t>
        </is>
      </c>
      <c r="P5496" t="inlineStr">
        <is>
          <t>F系統(日中)</t>
        </is>
      </c>
    </row>
    <row r="5497" ht="15" customHeight="1" s="37">
      <c r="A5497" t="n">
        <v>12</v>
      </c>
      <c r="B5497" s="10" t="inlineStr">
        <is>
          <t>平日</t>
        </is>
      </c>
      <c r="C5497" s="10" t="inlineStr">
        <is>
          <t>本線</t>
        </is>
      </c>
      <c r="D5497" s="10" t="inlineStr">
        <is>
          <t>上り</t>
        </is>
      </c>
      <c r="E5497" s="10" t="inlineStr">
        <is>
          <t>連1606</t>
        </is>
      </c>
      <c r="F5497" t="inlineStr">
        <is>
          <t>2221</t>
        </is>
      </c>
      <c r="G5497" s="10" t="inlineStr">
        <is>
          <t>天神川</t>
        </is>
      </c>
      <c r="H5497" s="10" t="inlineStr">
        <is>
          <t>発</t>
        </is>
      </c>
      <c r="J5497" s="10" t="inlineStr">
        <is>
          <t>営業</t>
        </is>
      </c>
      <c r="L5497" t="inlineStr">
        <is>
          <t>16:36:05</t>
        </is>
      </c>
      <c r="M5497" t="inlineStr">
        <is>
          <t>16:36:50</t>
        </is>
      </c>
      <c r="P5497" t="inlineStr">
        <is>
          <t>F系統(日中)</t>
        </is>
      </c>
    </row>
    <row r="5498" ht="15" customHeight="1" s="37">
      <c r="A5498" t="n">
        <v>12</v>
      </c>
      <c r="B5498" s="10" t="inlineStr">
        <is>
          <t>平日</t>
        </is>
      </c>
      <c r="C5498" s="10" t="inlineStr">
        <is>
          <t>本線</t>
        </is>
      </c>
      <c r="D5498" s="10" t="inlineStr">
        <is>
          <t>上り</t>
        </is>
      </c>
      <c r="E5498" s="10" t="inlineStr">
        <is>
          <t>連1606</t>
        </is>
      </c>
      <c r="F5498" t="inlineStr">
        <is>
          <t>2221</t>
        </is>
      </c>
      <c r="G5498" s="10" t="inlineStr">
        <is>
          <t>山ノ内</t>
        </is>
      </c>
      <c r="H5498" s="10" t="inlineStr">
        <is>
          <t>発</t>
        </is>
      </c>
      <c r="J5498" s="10" t="inlineStr">
        <is>
          <t>営業</t>
        </is>
      </c>
      <c r="L5498" t="inlineStr">
        <is>
          <t>16:38:40</t>
        </is>
      </c>
      <c r="M5498" t="inlineStr">
        <is>
          <t>16:39:05</t>
        </is>
      </c>
      <c r="P5498" t="inlineStr">
        <is>
          <t>F系統(日中)</t>
        </is>
      </c>
    </row>
    <row r="5499" ht="15" customHeight="1" s="37">
      <c r="A5499" t="n">
        <v>12</v>
      </c>
      <c r="B5499" s="10" t="inlineStr">
        <is>
          <t>平日</t>
        </is>
      </c>
      <c r="C5499" s="10" t="inlineStr">
        <is>
          <t>本線</t>
        </is>
      </c>
      <c r="D5499" s="10" t="inlineStr">
        <is>
          <t>上り</t>
        </is>
      </c>
      <c r="E5499" s="10" t="inlineStr">
        <is>
          <t>連1606</t>
        </is>
      </c>
      <c r="F5499" t="inlineStr">
        <is>
          <t>2221</t>
        </is>
      </c>
      <c r="G5499" s="10" t="inlineStr">
        <is>
          <t>西大路三条</t>
        </is>
      </c>
      <c r="H5499" s="10" t="inlineStr">
        <is>
          <t>発</t>
        </is>
      </c>
      <c r="J5499" s="10" t="inlineStr">
        <is>
          <t>営業</t>
        </is>
      </c>
      <c r="L5499" t="inlineStr">
        <is>
          <t>16:40:55</t>
        </is>
      </c>
      <c r="M5499" t="inlineStr">
        <is>
          <t>16:41:15</t>
        </is>
      </c>
      <c r="P5499" t="inlineStr">
        <is>
          <t>F系統(日中)</t>
        </is>
      </c>
    </row>
    <row r="5500" ht="15" customHeight="1" s="37">
      <c r="A5500" t="n">
        <v>12</v>
      </c>
      <c r="B5500" s="10" t="inlineStr">
        <is>
          <t>平日</t>
        </is>
      </c>
      <c r="C5500" s="10" t="inlineStr">
        <is>
          <t>本線</t>
        </is>
      </c>
      <c r="D5500" s="10" t="inlineStr">
        <is>
          <t>上り</t>
        </is>
      </c>
      <c r="E5500" s="10" t="inlineStr">
        <is>
          <t>連1606</t>
        </is>
      </c>
      <c r="F5500" t="inlineStr">
        <is>
          <t>2221</t>
        </is>
      </c>
      <c r="G5500" s="10" t="inlineStr">
        <is>
          <t>西院</t>
        </is>
      </c>
      <c r="H5500" s="10" t="inlineStr">
        <is>
          <t>発</t>
        </is>
      </c>
      <c r="J5500" s="10" t="inlineStr">
        <is>
          <t>営業</t>
        </is>
      </c>
      <c r="L5500" t="inlineStr">
        <is>
          <t>16:43:10</t>
        </is>
      </c>
      <c r="M5500" t="inlineStr">
        <is>
          <t>16:44:05</t>
        </is>
      </c>
      <c r="P5500" t="inlineStr">
        <is>
          <t>F系統(日中)</t>
        </is>
      </c>
    </row>
    <row r="5501" ht="15" customHeight="1" s="37">
      <c r="A5501" t="n">
        <v>12</v>
      </c>
      <c r="B5501" s="10" t="inlineStr">
        <is>
          <t>平日</t>
        </is>
      </c>
      <c r="C5501" s="10" t="inlineStr">
        <is>
          <t>本線</t>
        </is>
      </c>
      <c r="D5501" s="10" t="inlineStr">
        <is>
          <t>上り</t>
        </is>
      </c>
      <c r="E5501" s="10" t="inlineStr">
        <is>
          <t>連1606</t>
        </is>
      </c>
      <c r="F5501" t="inlineStr">
        <is>
          <t>2221</t>
        </is>
      </c>
      <c r="G5501" s="10" t="inlineStr">
        <is>
          <t>四条大宮</t>
        </is>
      </c>
      <c r="H5501" s="10" t="inlineStr">
        <is>
          <t>着</t>
        </is>
      </c>
      <c r="J5501" s="10" t="inlineStr">
        <is>
          <t>営業</t>
        </is>
      </c>
      <c r="L5501" t="inlineStr">
        <is>
          <t>16:47:00</t>
        </is>
      </c>
      <c r="P5501" t="inlineStr">
        <is>
          <t>F系統(日中)</t>
        </is>
      </c>
      <c r="Q5501" t="inlineStr">
        <is>
          <t>1</t>
        </is>
      </c>
    </row>
    <row r="5502" ht="15" customHeight="1" s="37">
      <c r="A5502" t="n">
        <v>12</v>
      </c>
      <c r="B5502" s="10" t="inlineStr">
        <is>
          <t>平日</t>
        </is>
      </c>
      <c r="C5502" s="10" t="inlineStr">
        <is>
          <t>本線</t>
        </is>
      </c>
      <c r="D5502" s="10" t="inlineStr">
        <is>
          <t>下り</t>
        </is>
      </c>
      <c r="E5502" s="10" t="inlineStr">
        <is>
          <t>連1611</t>
        </is>
      </c>
      <c r="F5502" t="inlineStr">
        <is>
          <t>0122</t>
        </is>
      </c>
      <c r="G5502" s="10" t="inlineStr">
        <is>
          <t>四条大宮</t>
        </is>
      </c>
      <c r="H5502" s="10" t="inlineStr">
        <is>
          <t>発</t>
        </is>
      </c>
      <c r="J5502" s="10" t="inlineStr">
        <is>
          <t>営業</t>
        </is>
      </c>
      <c r="M5502" t="inlineStr">
        <is>
          <t>16:53:00</t>
        </is>
      </c>
      <c r="P5502" t="inlineStr">
        <is>
          <t>F系統(日中)</t>
        </is>
      </c>
      <c r="Q5502" t="inlineStr">
        <is>
          <t>1</t>
        </is>
      </c>
    </row>
    <row r="5503" ht="15" customHeight="1" s="37">
      <c r="A5503" t="n">
        <v>12</v>
      </c>
      <c r="B5503" s="10" t="inlineStr">
        <is>
          <t>平日</t>
        </is>
      </c>
      <c r="C5503" s="10" t="inlineStr">
        <is>
          <t>本線</t>
        </is>
      </c>
      <c r="D5503" s="10" t="inlineStr">
        <is>
          <t>下り</t>
        </is>
      </c>
      <c r="E5503" s="10" t="inlineStr">
        <is>
          <t>連1611</t>
        </is>
      </c>
      <c r="F5503" t="inlineStr">
        <is>
          <t>0122</t>
        </is>
      </c>
      <c r="G5503" s="10" t="inlineStr">
        <is>
          <t>西院</t>
        </is>
      </c>
      <c r="H5503" s="10" t="inlineStr">
        <is>
          <t>発</t>
        </is>
      </c>
      <c r="J5503" s="10" t="inlineStr">
        <is>
          <t>営業</t>
        </is>
      </c>
      <c r="L5503" t="inlineStr">
        <is>
          <t>16:55:50</t>
        </is>
      </c>
      <c r="M5503" t="inlineStr">
        <is>
          <t>16:56:20</t>
        </is>
      </c>
      <c r="P5503" t="inlineStr">
        <is>
          <t>F系統(日中)</t>
        </is>
      </c>
    </row>
    <row r="5504" ht="15" customHeight="1" s="37">
      <c r="A5504" t="n">
        <v>12</v>
      </c>
      <c r="B5504" s="10" t="inlineStr">
        <is>
          <t>平日</t>
        </is>
      </c>
      <c r="C5504" s="10" t="inlineStr">
        <is>
          <t>本線</t>
        </is>
      </c>
      <c r="D5504" s="10" t="inlineStr">
        <is>
          <t>下り</t>
        </is>
      </c>
      <c r="E5504" s="10" t="inlineStr">
        <is>
          <t>連1611</t>
        </is>
      </c>
      <c r="F5504" t="inlineStr">
        <is>
          <t>0122</t>
        </is>
      </c>
      <c r="G5504" s="10" t="inlineStr">
        <is>
          <t>西大路三条</t>
        </is>
      </c>
      <c r="H5504" s="10" t="inlineStr">
        <is>
          <t>発</t>
        </is>
      </c>
      <c r="J5504" s="10" t="inlineStr">
        <is>
          <t>営業</t>
        </is>
      </c>
      <c r="L5504" t="inlineStr">
        <is>
          <t>16:58:10</t>
        </is>
      </c>
      <c r="M5504" t="inlineStr">
        <is>
          <t>16:58:30</t>
        </is>
      </c>
      <c r="P5504" t="inlineStr">
        <is>
          <t>F系統(日中)</t>
        </is>
      </c>
    </row>
    <row r="5505" ht="15" customHeight="1" s="37">
      <c r="A5505" t="n">
        <v>12</v>
      </c>
      <c r="B5505" s="10" t="inlineStr">
        <is>
          <t>平日</t>
        </is>
      </c>
      <c r="C5505" s="10" t="inlineStr">
        <is>
          <t>本線</t>
        </is>
      </c>
      <c r="D5505" s="10" t="inlineStr">
        <is>
          <t>下り</t>
        </is>
      </c>
      <c r="E5505" s="10" t="inlineStr">
        <is>
          <t>連1611</t>
        </is>
      </c>
      <c r="F5505" t="inlineStr">
        <is>
          <t>0122</t>
        </is>
      </c>
      <c r="G5505" s="10" t="inlineStr">
        <is>
          <t>山ノ内</t>
        </is>
      </c>
      <c r="H5505" s="10" t="inlineStr">
        <is>
          <t>発</t>
        </is>
      </c>
      <c r="J5505" s="10" t="inlineStr">
        <is>
          <t>営業</t>
        </is>
      </c>
      <c r="L5505" t="inlineStr">
        <is>
          <t>17:00:25</t>
        </is>
      </c>
      <c r="M5505" t="inlineStr">
        <is>
          <t>17:00:50</t>
        </is>
      </c>
      <c r="P5505" t="inlineStr">
        <is>
          <t>F系統(日中)</t>
        </is>
      </c>
    </row>
    <row r="5506" ht="15" customHeight="1" s="37">
      <c r="A5506" t="n">
        <v>12</v>
      </c>
      <c r="B5506" s="10" t="inlineStr">
        <is>
          <t>平日</t>
        </is>
      </c>
      <c r="C5506" s="10" t="inlineStr">
        <is>
          <t>本線</t>
        </is>
      </c>
      <c r="D5506" s="10" t="inlineStr">
        <is>
          <t>下り</t>
        </is>
      </c>
      <c r="E5506" s="10" t="inlineStr">
        <is>
          <t>連1611</t>
        </is>
      </c>
      <c r="F5506" t="inlineStr">
        <is>
          <t>0122</t>
        </is>
      </c>
      <c r="G5506" s="10" t="inlineStr">
        <is>
          <t>天神川</t>
        </is>
      </c>
      <c r="H5506" s="10" t="inlineStr">
        <is>
          <t>発</t>
        </is>
      </c>
      <c r="J5506" s="10" t="inlineStr">
        <is>
          <t>営業</t>
        </is>
      </c>
      <c r="L5506" t="inlineStr">
        <is>
          <t>17:02:50</t>
        </is>
      </c>
      <c r="M5506" t="inlineStr">
        <is>
          <t>17:03:30</t>
        </is>
      </c>
      <c r="P5506" t="inlineStr">
        <is>
          <t>F系統(日中)</t>
        </is>
      </c>
    </row>
    <row r="5507" ht="15" customHeight="1" s="37">
      <c r="A5507" t="n">
        <v>12</v>
      </c>
      <c r="B5507" s="10" t="inlineStr">
        <is>
          <t>平日</t>
        </is>
      </c>
      <c r="C5507" s="10" t="inlineStr">
        <is>
          <t>本線</t>
        </is>
      </c>
      <c r="D5507" s="10" t="inlineStr">
        <is>
          <t>下り</t>
        </is>
      </c>
      <c r="E5507" s="10" t="inlineStr">
        <is>
          <t>連1611</t>
        </is>
      </c>
      <c r="F5507" t="inlineStr">
        <is>
          <t>0122</t>
        </is>
      </c>
      <c r="G5507" s="10" t="inlineStr">
        <is>
          <t>蚕ノ社</t>
        </is>
      </c>
      <c r="H5507" s="10" t="inlineStr">
        <is>
          <t>発</t>
        </is>
      </c>
      <c r="J5507" s="10" t="inlineStr">
        <is>
          <t>営業</t>
        </is>
      </c>
      <c r="L5507" t="inlineStr">
        <is>
          <t>17:04:20</t>
        </is>
      </c>
      <c r="M5507" t="inlineStr">
        <is>
          <t>17:04:40</t>
        </is>
      </c>
      <c r="P5507" t="inlineStr">
        <is>
          <t>F系統(日中)</t>
        </is>
      </c>
    </row>
    <row r="5508" ht="15" customHeight="1" s="37">
      <c r="A5508" t="n">
        <v>12</v>
      </c>
      <c r="B5508" s="10" t="inlineStr">
        <is>
          <t>平日</t>
        </is>
      </c>
      <c r="C5508" s="10" t="inlineStr">
        <is>
          <t>本線</t>
        </is>
      </c>
      <c r="D5508" s="10" t="inlineStr">
        <is>
          <t>下り</t>
        </is>
      </c>
      <c r="E5508" s="10" t="inlineStr">
        <is>
          <t>連1611</t>
        </is>
      </c>
      <c r="F5508" t="inlineStr">
        <is>
          <t>0122</t>
        </is>
      </c>
      <c r="G5508" s="10" t="inlineStr">
        <is>
          <t>太秦広隆寺</t>
        </is>
      </c>
      <c r="H5508" s="10" t="inlineStr">
        <is>
          <t>発</t>
        </is>
      </c>
      <c r="J5508" s="10" t="inlineStr">
        <is>
          <t>営業</t>
        </is>
      </c>
      <c r="L5508" t="inlineStr">
        <is>
          <t>17:06:00</t>
        </is>
      </c>
      <c r="M5508" t="inlineStr">
        <is>
          <t>17:06:20</t>
        </is>
      </c>
      <c r="P5508" t="inlineStr">
        <is>
          <t>F系統(日中)</t>
        </is>
      </c>
    </row>
    <row r="5509" ht="15" customHeight="1" s="37">
      <c r="A5509" t="n">
        <v>12</v>
      </c>
      <c r="B5509" s="10" t="inlineStr">
        <is>
          <t>平日</t>
        </is>
      </c>
      <c r="C5509" s="10" t="inlineStr">
        <is>
          <t>本線</t>
        </is>
      </c>
      <c r="D5509" s="10" t="inlineStr">
        <is>
          <t>下り</t>
        </is>
      </c>
      <c r="E5509" s="10" t="inlineStr">
        <is>
          <t>連1611</t>
        </is>
      </c>
      <c r="F5509" t="inlineStr">
        <is>
          <t>0122</t>
        </is>
      </c>
      <c r="G5509" s="10" t="inlineStr">
        <is>
          <t>帷子ノ辻</t>
        </is>
      </c>
      <c r="H5509" s="10" t="inlineStr">
        <is>
          <t>発</t>
        </is>
      </c>
      <c r="J5509" s="10" t="inlineStr">
        <is>
          <t>営業</t>
        </is>
      </c>
      <c r="L5509" t="inlineStr">
        <is>
          <t>17:08:20</t>
        </is>
      </c>
      <c r="M5509" t="inlineStr">
        <is>
          <t>17:09:40</t>
        </is>
      </c>
      <c r="P5509" t="inlineStr">
        <is>
          <t>F系統(日中)</t>
        </is>
      </c>
    </row>
    <row r="5510" ht="15" customHeight="1" s="37">
      <c r="A5510" t="n">
        <v>12</v>
      </c>
      <c r="B5510" s="10" t="inlineStr">
        <is>
          <t>平日</t>
        </is>
      </c>
      <c r="C5510" s="10" t="inlineStr">
        <is>
          <t>本線</t>
        </is>
      </c>
      <c r="D5510" s="10" t="inlineStr">
        <is>
          <t>下り</t>
        </is>
      </c>
      <c r="E5510" s="10" t="inlineStr">
        <is>
          <t>連1611</t>
        </is>
      </c>
      <c r="F5510" t="inlineStr">
        <is>
          <t>0122</t>
        </is>
      </c>
      <c r="G5510" s="10" t="inlineStr">
        <is>
          <t>有栖川</t>
        </is>
      </c>
      <c r="H5510" s="10" t="inlineStr">
        <is>
          <t>発</t>
        </is>
      </c>
      <c r="J5510" s="10" t="inlineStr">
        <is>
          <t>営業</t>
        </is>
      </c>
      <c r="L5510" t="inlineStr">
        <is>
          <t>17:10:50</t>
        </is>
      </c>
      <c r="M5510" t="inlineStr">
        <is>
          <t>17:11:15</t>
        </is>
      </c>
      <c r="P5510" t="inlineStr">
        <is>
          <t>F系統(日中)</t>
        </is>
      </c>
    </row>
    <row r="5511" ht="15" customHeight="1" s="37">
      <c r="A5511" t="n">
        <v>12</v>
      </c>
      <c r="B5511" s="10" t="inlineStr">
        <is>
          <t>平日</t>
        </is>
      </c>
      <c r="C5511" s="10" t="inlineStr">
        <is>
          <t>本線</t>
        </is>
      </c>
      <c r="D5511" s="10" t="inlineStr">
        <is>
          <t>下り</t>
        </is>
      </c>
      <c r="E5511" s="10" t="inlineStr">
        <is>
          <t>連1611</t>
        </is>
      </c>
      <c r="F5511" t="inlineStr">
        <is>
          <t>0122</t>
        </is>
      </c>
      <c r="G5511" s="10" t="inlineStr">
        <is>
          <t>車折</t>
        </is>
      </c>
      <c r="H5511" s="10" t="inlineStr">
        <is>
          <t>発</t>
        </is>
      </c>
      <c r="J5511" s="10" t="inlineStr">
        <is>
          <t>営業</t>
        </is>
      </c>
      <c r="L5511" t="inlineStr">
        <is>
          <t>17:12:40</t>
        </is>
      </c>
      <c r="M5511" t="inlineStr">
        <is>
          <t>17:13:05</t>
        </is>
      </c>
      <c r="P5511" t="inlineStr">
        <is>
          <t>F系統(日中)</t>
        </is>
      </c>
    </row>
    <row r="5512" ht="15" customHeight="1" s="37">
      <c r="A5512" t="n">
        <v>12</v>
      </c>
      <c r="B5512" s="10" t="inlineStr">
        <is>
          <t>平日</t>
        </is>
      </c>
      <c r="C5512" s="10" t="inlineStr">
        <is>
          <t>本線</t>
        </is>
      </c>
      <c r="D5512" s="10" t="inlineStr">
        <is>
          <t>下り</t>
        </is>
      </c>
      <c r="E5512" s="10" t="inlineStr">
        <is>
          <t>連1611</t>
        </is>
      </c>
      <c r="F5512" t="inlineStr">
        <is>
          <t>0122</t>
        </is>
      </c>
      <c r="G5512" s="10" t="inlineStr">
        <is>
          <t>鹿王院</t>
        </is>
      </c>
      <c r="H5512" s="10" t="inlineStr">
        <is>
          <t>発</t>
        </is>
      </c>
      <c r="J5512" s="10" t="inlineStr">
        <is>
          <t>営業</t>
        </is>
      </c>
      <c r="L5512" t="inlineStr">
        <is>
          <t>17:14:00</t>
        </is>
      </c>
      <c r="M5512" t="inlineStr">
        <is>
          <t>17:14:25</t>
        </is>
      </c>
      <c r="P5512" t="inlineStr">
        <is>
          <t>F系統(日中)</t>
        </is>
      </c>
    </row>
    <row r="5513" ht="15" customHeight="1" s="37">
      <c r="A5513" t="n">
        <v>12</v>
      </c>
      <c r="B5513" s="10" t="inlineStr">
        <is>
          <t>平日</t>
        </is>
      </c>
      <c r="C5513" s="10" t="inlineStr">
        <is>
          <t>本線</t>
        </is>
      </c>
      <c r="D5513" s="10" t="inlineStr">
        <is>
          <t>下り</t>
        </is>
      </c>
      <c r="E5513" s="10" t="inlineStr">
        <is>
          <t>連1611</t>
        </is>
      </c>
      <c r="F5513" t="inlineStr">
        <is>
          <t>0122</t>
        </is>
      </c>
      <c r="G5513" s="10" t="inlineStr">
        <is>
          <t>嵯峨</t>
        </is>
      </c>
      <c r="H5513" s="10" t="inlineStr">
        <is>
          <t>発</t>
        </is>
      </c>
      <c r="J5513" s="10" t="inlineStr">
        <is>
          <t>営業</t>
        </is>
      </c>
      <c r="L5513" t="inlineStr">
        <is>
          <t>17:15:30</t>
        </is>
      </c>
      <c r="M5513" t="inlineStr">
        <is>
          <t>17:15:55</t>
        </is>
      </c>
      <c r="P5513" t="inlineStr">
        <is>
          <t>F系統(日中)</t>
        </is>
      </c>
    </row>
    <row r="5514" ht="15" customHeight="1" s="37">
      <c r="A5514" t="n">
        <v>12</v>
      </c>
      <c r="B5514" s="10" t="inlineStr">
        <is>
          <t>平日</t>
        </is>
      </c>
      <c r="C5514" s="10" t="inlineStr">
        <is>
          <t>本線</t>
        </is>
      </c>
      <c r="D5514" s="10" t="inlineStr">
        <is>
          <t>下り</t>
        </is>
      </c>
      <c r="E5514" s="10" t="inlineStr">
        <is>
          <t>連1611</t>
        </is>
      </c>
      <c r="F5514" t="inlineStr">
        <is>
          <t>0122</t>
        </is>
      </c>
      <c r="G5514" s="10" t="inlineStr">
        <is>
          <t>嵐山</t>
        </is>
      </c>
      <c r="H5514" s="10" t="inlineStr">
        <is>
          <t>着</t>
        </is>
      </c>
      <c r="J5514" s="10" t="inlineStr">
        <is>
          <t>営業</t>
        </is>
      </c>
      <c r="L5514" t="inlineStr">
        <is>
          <t>17:17:00</t>
        </is>
      </c>
      <c r="N5514" t="inlineStr">
        <is>
          <t>○</t>
        </is>
      </c>
      <c r="P5514" t="inlineStr">
        <is>
          <t>F系統(日中)</t>
        </is>
      </c>
      <c r="Q5514" t="inlineStr">
        <is>
          <t>1</t>
        </is>
      </c>
    </row>
    <row r="5515" ht="15" customHeight="1" s="37">
      <c r="A5515" t="n">
        <v>12</v>
      </c>
      <c r="B5515" s="10" t="inlineStr">
        <is>
          <t>平日</t>
        </is>
      </c>
      <c r="C5515" s="10" t="inlineStr">
        <is>
          <t>本線</t>
        </is>
      </c>
      <c r="D5515" s="10" t="inlineStr">
        <is>
          <t>上り</t>
        </is>
      </c>
      <c r="E5515" s="10" t="inlineStr">
        <is>
          <t>連1706</t>
        </is>
      </c>
      <c r="F5515" t="inlineStr">
        <is>
          <t>2221</t>
        </is>
      </c>
      <c r="G5515" s="10" t="inlineStr">
        <is>
          <t>嵐山</t>
        </is>
      </c>
      <c r="H5515" s="10" t="inlineStr">
        <is>
          <t>発</t>
        </is>
      </c>
      <c r="J5515" s="10" t="inlineStr">
        <is>
          <t>営業</t>
        </is>
      </c>
      <c r="M5515" t="inlineStr">
        <is>
          <t>17:23:00</t>
        </is>
      </c>
      <c r="P5515" t="inlineStr">
        <is>
          <t>F系統(日中)</t>
        </is>
      </c>
      <c r="Q5515" t="inlineStr">
        <is>
          <t>1</t>
        </is>
      </c>
      <c r="U5515" t="inlineStr">
        <is>
          <t>→西院 休憩(17:56〜19:16)</t>
        </is>
      </c>
    </row>
    <row r="5516" ht="15" customHeight="1" s="37">
      <c r="A5516" t="n">
        <v>12</v>
      </c>
      <c r="B5516" s="10" t="inlineStr">
        <is>
          <t>平日</t>
        </is>
      </c>
      <c r="C5516" s="10" t="inlineStr">
        <is>
          <t>本線</t>
        </is>
      </c>
      <c r="D5516" s="10" t="inlineStr">
        <is>
          <t>上り</t>
        </is>
      </c>
      <c r="E5516" s="10" t="inlineStr">
        <is>
          <t>連1706</t>
        </is>
      </c>
      <c r="F5516" t="inlineStr">
        <is>
          <t>2221</t>
        </is>
      </c>
      <c r="G5516" s="10" t="inlineStr">
        <is>
          <t>嵯峨</t>
        </is>
      </c>
      <c r="H5516" s="10" t="inlineStr">
        <is>
          <t>発</t>
        </is>
      </c>
      <c r="J5516" s="10" t="inlineStr">
        <is>
          <t>営業</t>
        </is>
      </c>
      <c r="L5516" t="inlineStr">
        <is>
          <t>17:23:55</t>
        </is>
      </c>
      <c r="M5516" t="inlineStr">
        <is>
          <t>17:24:20</t>
        </is>
      </c>
      <c r="P5516" t="inlineStr">
        <is>
          <t>F系統(日中)</t>
        </is>
      </c>
      <c r="U5516" t="inlineStr">
        <is>
          <t>→西院 休憩(17:56〜19:16)</t>
        </is>
      </c>
    </row>
    <row r="5517" ht="15" customHeight="1" s="37">
      <c r="A5517" t="n">
        <v>12</v>
      </c>
      <c r="B5517" s="10" t="inlineStr">
        <is>
          <t>平日</t>
        </is>
      </c>
      <c r="C5517" s="10" t="inlineStr">
        <is>
          <t>本線</t>
        </is>
      </c>
      <c r="D5517" s="10" t="inlineStr">
        <is>
          <t>上り</t>
        </is>
      </c>
      <c r="E5517" s="10" t="inlineStr">
        <is>
          <t>連1706</t>
        </is>
      </c>
      <c r="F5517" t="inlineStr">
        <is>
          <t>2221</t>
        </is>
      </c>
      <c r="G5517" s="10" t="inlineStr">
        <is>
          <t>鹿王院</t>
        </is>
      </c>
      <c r="H5517" s="10" t="inlineStr">
        <is>
          <t>発</t>
        </is>
      </c>
      <c r="J5517" s="10" t="inlineStr">
        <is>
          <t>営業</t>
        </is>
      </c>
      <c r="L5517" t="inlineStr">
        <is>
          <t>17:25:25</t>
        </is>
      </c>
      <c r="M5517" t="inlineStr">
        <is>
          <t>17:25:45</t>
        </is>
      </c>
      <c r="P5517" t="inlineStr">
        <is>
          <t>F系統(日中)</t>
        </is>
      </c>
      <c r="U5517" t="inlineStr">
        <is>
          <t>→西院 休憩(17:56〜19:16)</t>
        </is>
      </c>
    </row>
    <row r="5518" ht="15" customHeight="1" s="37">
      <c r="A5518" t="n">
        <v>12</v>
      </c>
      <c r="B5518" s="10" t="inlineStr">
        <is>
          <t>平日</t>
        </is>
      </c>
      <c r="C5518" s="10" t="inlineStr">
        <is>
          <t>本線</t>
        </is>
      </c>
      <c r="D5518" s="10" t="inlineStr">
        <is>
          <t>上り</t>
        </is>
      </c>
      <c r="E5518" s="10" t="inlineStr">
        <is>
          <t>連1706</t>
        </is>
      </c>
      <c r="F5518" t="inlineStr">
        <is>
          <t>2221</t>
        </is>
      </c>
      <c r="G5518" s="10" t="inlineStr">
        <is>
          <t>車折</t>
        </is>
      </c>
      <c r="H5518" s="10" t="inlineStr">
        <is>
          <t>発</t>
        </is>
      </c>
      <c r="J5518" s="10" t="inlineStr">
        <is>
          <t>営業</t>
        </is>
      </c>
      <c r="L5518" t="inlineStr">
        <is>
          <t>17:26:40</t>
        </is>
      </c>
      <c r="M5518" t="inlineStr">
        <is>
          <t>17:27:10</t>
        </is>
      </c>
      <c r="P5518" t="inlineStr">
        <is>
          <t>F系統(日中)</t>
        </is>
      </c>
      <c r="U5518" t="inlineStr">
        <is>
          <t>→西院 休憩(17:56〜19:16)</t>
        </is>
      </c>
    </row>
    <row r="5519" ht="15" customHeight="1" s="37">
      <c r="A5519" t="n">
        <v>12</v>
      </c>
      <c r="B5519" s="10" t="inlineStr">
        <is>
          <t>平日</t>
        </is>
      </c>
      <c r="C5519" s="10" t="inlineStr">
        <is>
          <t>本線</t>
        </is>
      </c>
      <c r="D5519" s="10" t="inlineStr">
        <is>
          <t>上り</t>
        </is>
      </c>
      <c r="E5519" s="10" t="inlineStr">
        <is>
          <t>連1706</t>
        </is>
      </c>
      <c r="F5519" t="inlineStr">
        <is>
          <t>2221</t>
        </is>
      </c>
      <c r="G5519" s="10" t="inlineStr">
        <is>
          <t>有栖川</t>
        </is>
      </c>
      <c r="H5519" s="10" t="inlineStr">
        <is>
          <t>発</t>
        </is>
      </c>
      <c r="J5519" s="10" t="inlineStr">
        <is>
          <t>営業</t>
        </is>
      </c>
      <c r="L5519" t="inlineStr">
        <is>
          <t>17:28:35</t>
        </is>
      </c>
      <c r="M5519" t="inlineStr">
        <is>
          <t>17:28:55</t>
        </is>
      </c>
      <c r="P5519" t="inlineStr">
        <is>
          <t>F系統(日中)</t>
        </is>
      </c>
      <c r="U5519" t="inlineStr">
        <is>
          <t>→西院 休憩(17:56〜19:16)</t>
        </is>
      </c>
    </row>
    <row r="5520" ht="15" customHeight="1" s="37">
      <c r="A5520" t="n">
        <v>12</v>
      </c>
      <c r="B5520" s="10" t="inlineStr">
        <is>
          <t>平日</t>
        </is>
      </c>
      <c r="C5520" s="10" t="inlineStr">
        <is>
          <t>本線</t>
        </is>
      </c>
      <c r="D5520" s="10" t="inlineStr">
        <is>
          <t>上り</t>
        </is>
      </c>
      <c r="E5520" s="10" t="inlineStr">
        <is>
          <t>連1706</t>
        </is>
      </c>
      <c r="F5520" t="inlineStr">
        <is>
          <t>2221</t>
        </is>
      </c>
      <c r="G5520" s="10" t="inlineStr">
        <is>
          <t>帷子ノ辻</t>
        </is>
      </c>
      <c r="H5520" s="10" t="inlineStr">
        <is>
          <t>発</t>
        </is>
      </c>
      <c r="J5520" s="10" t="inlineStr">
        <is>
          <t>営業</t>
        </is>
      </c>
      <c r="L5520" t="inlineStr">
        <is>
          <t>17:30:10</t>
        </is>
      </c>
      <c r="M5520" t="inlineStr">
        <is>
          <t>17:31:15</t>
        </is>
      </c>
      <c r="P5520" t="inlineStr">
        <is>
          <t>F系統(日中)</t>
        </is>
      </c>
      <c r="U5520" t="inlineStr">
        <is>
          <t>→西院 休憩(17:56〜19:16)</t>
        </is>
      </c>
    </row>
    <row r="5521" ht="15" customHeight="1" s="37">
      <c r="A5521" t="n">
        <v>12</v>
      </c>
      <c r="B5521" s="10" t="inlineStr">
        <is>
          <t>平日</t>
        </is>
      </c>
      <c r="C5521" s="10" t="inlineStr">
        <is>
          <t>本線</t>
        </is>
      </c>
      <c r="D5521" s="10" t="inlineStr">
        <is>
          <t>上り</t>
        </is>
      </c>
      <c r="E5521" s="10" t="inlineStr">
        <is>
          <t>連1706</t>
        </is>
      </c>
      <c r="F5521" t="inlineStr">
        <is>
          <t>2221</t>
        </is>
      </c>
      <c r="G5521" s="10" t="inlineStr">
        <is>
          <t>太秦広隆寺</t>
        </is>
      </c>
      <c r="H5521" s="10" t="inlineStr">
        <is>
          <t>発</t>
        </is>
      </c>
      <c r="J5521" s="10" t="inlineStr">
        <is>
          <t>営業</t>
        </is>
      </c>
      <c r="L5521" t="inlineStr">
        <is>
          <t>17:33:25</t>
        </is>
      </c>
      <c r="M5521" t="inlineStr">
        <is>
          <t>17:33:45</t>
        </is>
      </c>
      <c r="P5521" t="inlineStr">
        <is>
          <t>F系統(日中)</t>
        </is>
      </c>
      <c r="U5521" t="inlineStr">
        <is>
          <t>→西院 休憩(17:56〜19:16)</t>
        </is>
      </c>
    </row>
    <row r="5522" ht="15" customHeight="1" s="37">
      <c r="A5522" t="n">
        <v>12</v>
      </c>
      <c r="B5522" s="10" t="inlineStr">
        <is>
          <t>平日</t>
        </is>
      </c>
      <c r="C5522" s="10" t="inlineStr">
        <is>
          <t>本線</t>
        </is>
      </c>
      <c r="D5522" s="10" t="inlineStr">
        <is>
          <t>上り</t>
        </is>
      </c>
      <c r="E5522" s="10" t="inlineStr">
        <is>
          <t>連1706</t>
        </is>
      </c>
      <c r="F5522" t="inlineStr">
        <is>
          <t>2221</t>
        </is>
      </c>
      <c r="G5522" s="10" t="inlineStr">
        <is>
          <t>蚕ノ社</t>
        </is>
      </c>
      <c r="H5522" s="10" t="inlineStr">
        <is>
          <t>発</t>
        </is>
      </c>
      <c r="J5522" s="10" t="inlineStr">
        <is>
          <t>営業</t>
        </is>
      </c>
      <c r="L5522" t="inlineStr">
        <is>
          <t>17:35:00</t>
        </is>
      </c>
      <c r="M5522" t="inlineStr">
        <is>
          <t>17:35:20</t>
        </is>
      </c>
      <c r="P5522" t="inlineStr">
        <is>
          <t>F系統(日中)</t>
        </is>
      </c>
      <c r="U5522" t="inlineStr">
        <is>
          <t>→西院 休憩(17:56〜19:16)</t>
        </is>
      </c>
    </row>
    <row r="5523" ht="15" customHeight="1" s="37">
      <c r="A5523" t="n">
        <v>12</v>
      </c>
      <c r="B5523" s="10" t="inlineStr">
        <is>
          <t>平日</t>
        </is>
      </c>
      <c r="C5523" s="10" t="inlineStr">
        <is>
          <t>本線</t>
        </is>
      </c>
      <c r="D5523" s="10" t="inlineStr">
        <is>
          <t>上り</t>
        </is>
      </c>
      <c r="E5523" s="10" t="inlineStr">
        <is>
          <t>連1706</t>
        </is>
      </c>
      <c r="F5523" t="inlineStr">
        <is>
          <t>2221</t>
        </is>
      </c>
      <c r="G5523" s="10" t="inlineStr">
        <is>
          <t>天神川</t>
        </is>
      </c>
      <c r="H5523" s="10" t="inlineStr">
        <is>
          <t>発</t>
        </is>
      </c>
      <c r="J5523" s="10" t="inlineStr">
        <is>
          <t>営業</t>
        </is>
      </c>
      <c r="L5523" t="inlineStr">
        <is>
          <t>17:36:05</t>
        </is>
      </c>
      <c r="M5523" t="inlineStr">
        <is>
          <t>17:36:50</t>
        </is>
      </c>
      <c r="P5523" t="inlineStr">
        <is>
          <t>F系統(日中)</t>
        </is>
      </c>
      <c r="U5523" t="inlineStr">
        <is>
          <t>→西院 休憩(17:56〜19:16)</t>
        </is>
      </c>
    </row>
    <row r="5524" ht="15" customHeight="1" s="37">
      <c r="A5524" t="n">
        <v>12</v>
      </c>
      <c r="B5524" s="10" t="inlineStr">
        <is>
          <t>平日</t>
        </is>
      </c>
      <c r="C5524" s="10" t="inlineStr">
        <is>
          <t>本線</t>
        </is>
      </c>
      <c r="D5524" s="10" t="inlineStr">
        <is>
          <t>上り</t>
        </is>
      </c>
      <c r="E5524" s="10" t="inlineStr">
        <is>
          <t>連1706</t>
        </is>
      </c>
      <c r="F5524" t="inlineStr">
        <is>
          <t>2221</t>
        </is>
      </c>
      <c r="G5524" s="10" t="inlineStr">
        <is>
          <t>山ノ内</t>
        </is>
      </c>
      <c r="H5524" s="10" t="inlineStr">
        <is>
          <t>発</t>
        </is>
      </c>
      <c r="J5524" s="10" t="inlineStr">
        <is>
          <t>営業</t>
        </is>
      </c>
      <c r="L5524" t="inlineStr">
        <is>
          <t>17:38:40</t>
        </is>
      </c>
      <c r="M5524" t="inlineStr">
        <is>
          <t>17:39:05</t>
        </is>
      </c>
      <c r="P5524" t="inlineStr">
        <is>
          <t>F系統(日中)</t>
        </is>
      </c>
      <c r="U5524" t="inlineStr">
        <is>
          <t>→西院 休憩(17:56〜19:16)</t>
        </is>
      </c>
    </row>
    <row r="5525" ht="15" customHeight="1" s="37">
      <c r="A5525" t="n">
        <v>12</v>
      </c>
      <c r="B5525" s="10" t="inlineStr">
        <is>
          <t>平日</t>
        </is>
      </c>
      <c r="C5525" s="10" t="inlineStr">
        <is>
          <t>本線</t>
        </is>
      </c>
      <c r="D5525" s="10" t="inlineStr">
        <is>
          <t>上り</t>
        </is>
      </c>
      <c r="E5525" s="10" t="inlineStr">
        <is>
          <t>連1706</t>
        </is>
      </c>
      <c r="F5525" t="inlineStr">
        <is>
          <t>2221</t>
        </is>
      </c>
      <c r="G5525" s="10" t="inlineStr">
        <is>
          <t>西大路三条</t>
        </is>
      </c>
      <c r="H5525" s="10" t="inlineStr">
        <is>
          <t>発</t>
        </is>
      </c>
      <c r="J5525" s="10" t="inlineStr">
        <is>
          <t>営業</t>
        </is>
      </c>
      <c r="L5525" t="inlineStr">
        <is>
          <t>17:40:55</t>
        </is>
      </c>
      <c r="M5525" t="inlineStr">
        <is>
          <t>17:41:15</t>
        </is>
      </c>
      <c r="P5525" t="inlineStr">
        <is>
          <t>F系統(日中)</t>
        </is>
      </c>
      <c r="U5525" t="inlineStr">
        <is>
          <t>→西院 休憩(17:56〜19:16)</t>
        </is>
      </c>
    </row>
    <row r="5526" ht="15" customHeight="1" s="37">
      <c r="A5526" t="n">
        <v>12</v>
      </c>
      <c r="B5526" s="10" t="inlineStr">
        <is>
          <t>平日</t>
        </is>
      </c>
      <c r="C5526" s="10" t="inlineStr">
        <is>
          <t>本線</t>
        </is>
      </c>
      <c r="D5526" s="10" t="inlineStr">
        <is>
          <t>上り</t>
        </is>
      </c>
      <c r="E5526" s="10" t="inlineStr">
        <is>
          <t>連1706</t>
        </is>
      </c>
      <c r="F5526" t="inlineStr">
        <is>
          <t>2221</t>
        </is>
      </c>
      <c r="G5526" s="10" t="inlineStr">
        <is>
          <t>西院</t>
        </is>
      </c>
      <c r="H5526" s="10" t="inlineStr">
        <is>
          <t>発</t>
        </is>
      </c>
      <c r="J5526" s="10" t="inlineStr">
        <is>
          <t>営業</t>
        </is>
      </c>
      <c r="L5526" t="inlineStr">
        <is>
          <t>17:43:10</t>
        </is>
      </c>
      <c r="M5526" t="inlineStr">
        <is>
          <t>17:44:05</t>
        </is>
      </c>
      <c r="P5526" t="inlineStr">
        <is>
          <t>F系統(日中)</t>
        </is>
      </c>
      <c r="U5526" t="inlineStr">
        <is>
          <t>→西院 休憩(17:56〜19:16)</t>
        </is>
      </c>
    </row>
    <row r="5527" ht="15" customHeight="1" s="37">
      <c r="A5527" t="n">
        <v>12</v>
      </c>
      <c r="B5527" s="10" t="inlineStr">
        <is>
          <t>平日</t>
        </is>
      </c>
      <c r="C5527" s="10" t="inlineStr">
        <is>
          <t>本線</t>
        </is>
      </c>
      <c r="D5527" s="10" t="inlineStr">
        <is>
          <t>上り</t>
        </is>
      </c>
      <c r="E5527" s="10" t="inlineStr">
        <is>
          <t>連1706</t>
        </is>
      </c>
      <c r="F5527" t="inlineStr">
        <is>
          <t>2221</t>
        </is>
      </c>
      <c r="G5527" s="10" t="inlineStr">
        <is>
          <t>四条大宮</t>
        </is>
      </c>
      <c r="H5527" s="10" t="inlineStr">
        <is>
          <t>着</t>
        </is>
      </c>
      <c r="J5527" s="10" t="inlineStr">
        <is>
          <t>営業</t>
        </is>
      </c>
      <c r="L5527" t="inlineStr">
        <is>
          <t>17:47:00</t>
        </is>
      </c>
      <c r="P5527" t="inlineStr">
        <is>
          <t>F系統(日中)</t>
        </is>
      </c>
      <c r="Q5527" t="inlineStr">
        <is>
          <t>1</t>
        </is>
      </c>
      <c r="U5527" t="inlineStr">
        <is>
          <t>→西院 休憩(17:56〜19:16)</t>
        </is>
      </c>
    </row>
    <row r="5528" ht="15" customHeight="1" s="37">
      <c r="A5528" t="n">
        <v>12</v>
      </c>
      <c r="B5528" s="10" t="inlineStr">
        <is>
          <t>平日</t>
        </is>
      </c>
      <c r="C5528" s="10" t="inlineStr">
        <is>
          <t>本線</t>
        </is>
      </c>
      <c r="D5528" s="10" t="inlineStr">
        <is>
          <t>下り</t>
        </is>
      </c>
      <c r="E5528" s="10" t="inlineStr">
        <is>
          <t>連1711</t>
        </is>
      </c>
      <c r="F5528" t="inlineStr">
        <is>
          <t>0122</t>
        </is>
      </c>
      <c r="G5528" s="10" t="inlineStr">
        <is>
          <t>四条大宮</t>
        </is>
      </c>
      <c r="H5528" s="10" t="inlineStr">
        <is>
          <t>発</t>
        </is>
      </c>
      <c r="J5528" s="10" t="inlineStr">
        <is>
          <t>営業</t>
        </is>
      </c>
      <c r="M5528" t="inlineStr">
        <is>
          <t>17:53:00</t>
        </is>
      </c>
      <c r="P5528" t="inlineStr">
        <is>
          <t>F系統(日中)</t>
        </is>
      </c>
      <c r="Q5528" t="inlineStr">
        <is>
          <t>1</t>
        </is>
      </c>
      <c r="U5528" t="inlineStr">
        <is>
          <t>→西院 休憩(17:56〜19:16)</t>
        </is>
      </c>
    </row>
    <row r="5529" ht="15" customHeight="1" s="37">
      <c r="A5529" t="n">
        <v>12</v>
      </c>
      <c r="B5529" s="10" t="inlineStr">
        <is>
          <t>平日</t>
        </is>
      </c>
      <c r="C5529" s="10" t="inlineStr">
        <is>
          <t>本線</t>
        </is>
      </c>
      <c r="D5529" s="10" t="inlineStr">
        <is>
          <t>下り</t>
        </is>
      </c>
      <c r="E5529" s="10" t="inlineStr">
        <is>
          <t>連1711</t>
        </is>
      </c>
      <c r="F5529" t="inlineStr">
        <is>
          <t>0122</t>
        </is>
      </c>
      <c r="G5529" s="10" t="inlineStr">
        <is>
          <t>西院</t>
        </is>
      </c>
      <c r="H5529" s="10" t="inlineStr">
        <is>
          <t>着</t>
        </is>
      </c>
      <c r="J5529" s="10" t="inlineStr">
        <is>
          <t>営業</t>
        </is>
      </c>
      <c r="L5529" t="inlineStr">
        <is>
          <t>17:55:50</t>
        </is>
      </c>
      <c r="M5529" t="inlineStr">
        <is>
          <t>17:56:20</t>
        </is>
      </c>
      <c r="P5529" t="inlineStr">
        <is>
          <t>F系統(日中)</t>
        </is>
      </c>
      <c r="U5529" t="inlineStr">
        <is>
          <t>→西院 休憩(17:56〜19:16)</t>
        </is>
      </c>
    </row>
    <row r="5530" ht="15" customHeight="1" s="37">
      <c r="A5530" t="n">
        <v>13</v>
      </c>
      <c r="B5530" s="10" t="inlineStr">
        <is>
          <t>平日</t>
        </is>
      </c>
      <c r="C5530" s="10" t="inlineStr">
        <is>
          <t>本線</t>
        </is>
      </c>
      <c r="D5530" s="10" t="inlineStr">
        <is>
          <t>下り</t>
        </is>
      </c>
      <c r="E5530" t="inlineStr">
        <is>
          <t>2007</t>
        </is>
      </c>
      <c r="F5530" t="inlineStr">
        <is>
          <t>0122</t>
        </is>
      </c>
      <c r="G5530" s="10" t="inlineStr">
        <is>
          <t>四条大宮</t>
        </is>
      </c>
      <c r="H5530" s="10" t="inlineStr">
        <is>
          <t>発</t>
        </is>
      </c>
      <c r="J5530" s="10" t="inlineStr">
        <is>
          <t>営業</t>
        </is>
      </c>
      <c r="M5530" t="inlineStr">
        <is>
          <t>20:33:00</t>
        </is>
      </c>
      <c r="Q5530" t="inlineStr">
        <is>
          <t>1</t>
        </is>
      </c>
    </row>
    <row r="5531" ht="15" customHeight="1" s="37">
      <c r="A5531" t="n">
        <v>13</v>
      </c>
      <c r="B5531" s="10" t="inlineStr">
        <is>
          <t>平日</t>
        </is>
      </c>
      <c r="C5531" s="10" t="inlineStr">
        <is>
          <t>本線</t>
        </is>
      </c>
      <c r="D5531" s="10" t="inlineStr">
        <is>
          <t>下り</t>
        </is>
      </c>
      <c r="E5531" t="inlineStr">
        <is>
          <t>2007</t>
        </is>
      </c>
      <c r="F5531" t="inlineStr">
        <is>
          <t>0122</t>
        </is>
      </c>
      <c r="G5531" s="10" t="inlineStr">
        <is>
          <t>西院</t>
        </is>
      </c>
      <c r="H5531" s="10" t="inlineStr">
        <is>
          <t>発</t>
        </is>
      </c>
      <c r="J5531" s="10" t="inlineStr">
        <is>
          <t>営業</t>
        </is>
      </c>
      <c r="L5531" t="inlineStr">
        <is>
          <t>20:35:50</t>
        </is>
      </c>
      <c r="M5531" t="inlineStr">
        <is>
          <t>20:36:20</t>
        </is>
      </c>
    </row>
    <row r="5532" ht="15" customHeight="1" s="37">
      <c r="A5532" t="n">
        <v>13</v>
      </c>
      <c r="B5532" s="10" t="inlineStr">
        <is>
          <t>平日</t>
        </is>
      </c>
      <c r="C5532" s="10" t="inlineStr">
        <is>
          <t>本線</t>
        </is>
      </c>
      <c r="D5532" s="10" t="inlineStr">
        <is>
          <t>下り</t>
        </is>
      </c>
      <c r="E5532" t="inlineStr">
        <is>
          <t>2007</t>
        </is>
      </c>
      <c r="F5532" t="inlineStr">
        <is>
          <t>0122</t>
        </is>
      </c>
      <c r="G5532" s="10" t="inlineStr">
        <is>
          <t>西大路三条</t>
        </is>
      </c>
      <c r="H5532" s="10" t="inlineStr">
        <is>
          <t>発</t>
        </is>
      </c>
      <c r="J5532" s="10" t="inlineStr">
        <is>
          <t>営業</t>
        </is>
      </c>
      <c r="L5532" t="inlineStr">
        <is>
          <t>20:38:10</t>
        </is>
      </c>
      <c r="M5532" t="inlineStr">
        <is>
          <t>20:38:30</t>
        </is>
      </c>
    </row>
    <row r="5533" ht="15" customHeight="1" s="37">
      <c r="A5533" t="n">
        <v>13</v>
      </c>
      <c r="B5533" s="10" t="inlineStr">
        <is>
          <t>平日</t>
        </is>
      </c>
      <c r="C5533" s="10" t="inlineStr">
        <is>
          <t>本線</t>
        </is>
      </c>
      <c r="D5533" s="10" t="inlineStr">
        <is>
          <t>下り</t>
        </is>
      </c>
      <c r="E5533" t="inlineStr">
        <is>
          <t>2007</t>
        </is>
      </c>
      <c r="F5533" t="inlineStr">
        <is>
          <t>0122</t>
        </is>
      </c>
      <c r="G5533" s="10" t="inlineStr">
        <is>
          <t>山ノ内</t>
        </is>
      </c>
      <c r="H5533" s="10" t="inlineStr">
        <is>
          <t>発</t>
        </is>
      </c>
      <c r="J5533" s="10" t="inlineStr">
        <is>
          <t>営業</t>
        </is>
      </c>
      <c r="L5533" t="inlineStr">
        <is>
          <t>20:40:25</t>
        </is>
      </c>
      <c r="M5533" t="inlineStr">
        <is>
          <t>20:40:50</t>
        </is>
      </c>
    </row>
    <row r="5534" ht="15" customHeight="1" s="37">
      <c r="A5534" t="n">
        <v>13</v>
      </c>
      <c r="B5534" s="10" t="inlineStr">
        <is>
          <t>平日</t>
        </is>
      </c>
      <c r="C5534" s="10" t="inlineStr">
        <is>
          <t>本線</t>
        </is>
      </c>
      <c r="D5534" s="10" t="inlineStr">
        <is>
          <t>下り</t>
        </is>
      </c>
      <c r="E5534" t="inlineStr">
        <is>
          <t>2007</t>
        </is>
      </c>
      <c r="F5534" t="inlineStr">
        <is>
          <t>0122</t>
        </is>
      </c>
      <c r="G5534" s="10" t="inlineStr">
        <is>
          <t>天神川</t>
        </is>
      </c>
      <c r="H5534" s="10" t="inlineStr">
        <is>
          <t>発</t>
        </is>
      </c>
      <c r="J5534" s="10" t="inlineStr">
        <is>
          <t>営業</t>
        </is>
      </c>
      <c r="L5534" t="inlineStr">
        <is>
          <t>20:42:50</t>
        </is>
      </c>
      <c r="M5534" t="inlineStr">
        <is>
          <t>20:43:30</t>
        </is>
      </c>
    </row>
    <row r="5535" ht="15" customHeight="1" s="37">
      <c r="A5535" t="n">
        <v>13</v>
      </c>
      <c r="B5535" s="10" t="inlineStr">
        <is>
          <t>平日</t>
        </is>
      </c>
      <c r="C5535" s="10" t="inlineStr">
        <is>
          <t>本線</t>
        </is>
      </c>
      <c r="D5535" s="10" t="inlineStr">
        <is>
          <t>下り</t>
        </is>
      </c>
      <c r="E5535" t="inlineStr">
        <is>
          <t>2007</t>
        </is>
      </c>
      <c r="F5535" t="inlineStr">
        <is>
          <t>0122</t>
        </is>
      </c>
      <c r="G5535" s="10" t="inlineStr">
        <is>
          <t>蚕ノ社</t>
        </is>
      </c>
      <c r="H5535" s="10" t="inlineStr">
        <is>
          <t>発</t>
        </is>
      </c>
      <c r="J5535" s="10" t="inlineStr">
        <is>
          <t>営業</t>
        </is>
      </c>
      <c r="L5535" t="inlineStr">
        <is>
          <t>20:44:20</t>
        </is>
      </c>
      <c r="M5535" t="inlineStr">
        <is>
          <t>20:44:40</t>
        </is>
      </c>
    </row>
    <row r="5536" ht="15" customHeight="1" s="37">
      <c r="A5536" t="n">
        <v>13</v>
      </c>
      <c r="B5536" s="10" t="inlineStr">
        <is>
          <t>平日</t>
        </is>
      </c>
      <c r="C5536" s="10" t="inlineStr">
        <is>
          <t>本線</t>
        </is>
      </c>
      <c r="D5536" s="10" t="inlineStr">
        <is>
          <t>下り</t>
        </is>
      </c>
      <c r="E5536" t="inlineStr">
        <is>
          <t>2007</t>
        </is>
      </c>
      <c r="F5536" t="inlineStr">
        <is>
          <t>0122</t>
        </is>
      </c>
      <c r="G5536" s="10" t="inlineStr">
        <is>
          <t>太秦広隆寺</t>
        </is>
      </c>
      <c r="H5536" s="10" t="inlineStr">
        <is>
          <t>発</t>
        </is>
      </c>
      <c r="J5536" s="10" t="inlineStr">
        <is>
          <t>営業</t>
        </is>
      </c>
      <c r="L5536" t="inlineStr">
        <is>
          <t>20:46:00</t>
        </is>
      </c>
      <c r="M5536" t="inlineStr">
        <is>
          <t>20:46:20</t>
        </is>
      </c>
    </row>
    <row r="5537" ht="15" customHeight="1" s="37">
      <c r="A5537" t="n">
        <v>13</v>
      </c>
      <c r="B5537" s="10" t="inlineStr">
        <is>
          <t>平日</t>
        </is>
      </c>
      <c r="C5537" s="10" t="inlineStr">
        <is>
          <t>本線</t>
        </is>
      </c>
      <c r="D5537" s="10" t="inlineStr">
        <is>
          <t>下り</t>
        </is>
      </c>
      <c r="E5537" t="inlineStr">
        <is>
          <t>2007</t>
        </is>
      </c>
      <c r="F5537" t="inlineStr">
        <is>
          <t>0122</t>
        </is>
      </c>
      <c r="G5537" s="10" t="inlineStr">
        <is>
          <t>帷子ノ辻</t>
        </is>
      </c>
      <c r="H5537" s="10" t="inlineStr">
        <is>
          <t>発</t>
        </is>
      </c>
      <c r="J5537" s="10" t="inlineStr">
        <is>
          <t>営業</t>
        </is>
      </c>
      <c r="L5537" t="inlineStr">
        <is>
          <t>20:48:20</t>
        </is>
      </c>
      <c r="M5537" t="inlineStr">
        <is>
          <t>20:49:40</t>
        </is>
      </c>
    </row>
    <row r="5538" ht="15" customHeight="1" s="37">
      <c r="A5538" t="n">
        <v>13</v>
      </c>
      <c r="B5538" s="10" t="inlineStr">
        <is>
          <t>平日</t>
        </is>
      </c>
      <c r="C5538" s="10" t="inlineStr">
        <is>
          <t>本線</t>
        </is>
      </c>
      <c r="D5538" s="10" t="inlineStr">
        <is>
          <t>下り</t>
        </is>
      </c>
      <c r="E5538" t="inlineStr">
        <is>
          <t>2007</t>
        </is>
      </c>
      <c r="F5538" t="inlineStr">
        <is>
          <t>0122</t>
        </is>
      </c>
      <c r="G5538" s="10" t="inlineStr">
        <is>
          <t>有栖川</t>
        </is>
      </c>
      <c r="H5538" s="10" t="inlineStr">
        <is>
          <t>発</t>
        </is>
      </c>
      <c r="J5538" s="10" t="inlineStr">
        <is>
          <t>営業</t>
        </is>
      </c>
      <c r="L5538" t="inlineStr">
        <is>
          <t>20:50:50</t>
        </is>
      </c>
      <c r="M5538" t="inlineStr">
        <is>
          <t>20:51:15</t>
        </is>
      </c>
    </row>
    <row r="5539" ht="15" customHeight="1" s="37">
      <c r="A5539" t="n">
        <v>13</v>
      </c>
      <c r="B5539" s="10" t="inlineStr">
        <is>
          <t>平日</t>
        </is>
      </c>
      <c r="C5539" s="10" t="inlineStr">
        <is>
          <t>本線</t>
        </is>
      </c>
      <c r="D5539" s="10" t="inlineStr">
        <is>
          <t>下り</t>
        </is>
      </c>
      <c r="E5539" t="inlineStr">
        <is>
          <t>2007</t>
        </is>
      </c>
      <c r="F5539" t="inlineStr">
        <is>
          <t>0122</t>
        </is>
      </c>
      <c r="G5539" s="10" t="inlineStr">
        <is>
          <t>車折</t>
        </is>
      </c>
      <c r="H5539" s="10" t="inlineStr">
        <is>
          <t>発</t>
        </is>
      </c>
      <c r="J5539" s="10" t="inlineStr">
        <is>
          <t>営業</t>
        </is>
      </c>
      <c r="L5539" t="inlineStr">
        <is>
          <t>20:52:40</t>
        </is>
      </c>
      <c r="M5539" t="inlineStr">
        <is>
          <t>20:53:05</t>
        </is>
      </c>
    </row>
    <row r="5540" ht="15" customHeight="1" s="37">
      <c r="A5540" t="n">
        <v>13</v>
      </c>
      <c r="B5540" s="10" t="inlineStr">
        <is>
          <t>平日</t>
        </is>
      </c>
      <c r="C5540" s="10" t="inlineStr">
        <is>
          <t>本線</t>
        </is>
      </c>
      <c r="D5540" s="10" t="inlineStr">
        <is>
          <t>下り</t>
        </is>
      </c>
      <c r="E5540" t="inlineStr">
        <is>
          <t>2007</t>
        </is>
      </c>
      <c r="F5540" t="inlineStr">
        <is>
          <t>0122</t>
        </is>
      </c>
      <c r="G5540" s="10" t="inlineStr">
        <is>
          <t>鹿王院</t>
        </is>
      </c>
      <c r="H5540" s="10" t="inlineStr">
        <is>
          <t>発</t>
        </is>
      </c>
      <c r="J5540" s="10" t="inlineStr">
        <is>
          <t>営業</t>
        </is>
      </c>
      <c r="L5540" t="inlineStr">
        <is>
          <t>20:54:00</t>
        </is>
      </c>
      <c r="M5540" t="inlineStr">
        <is>
          <t>20:54:25</t>
        </is>
      </c>
    </row>
    <row r="5541" ht="15" customHeight="1" s="37">
      <c r="A5541" t="n">
        <v>13</v>
      </c>
      <c r="B5541" s="10" t="inlineStr">
        <is>
          <t>平日</t>
        </is>
      </c>
      <c r="C5541" s="10" t="inlineStr">
        <is>
          <t>本線</t>
        </is>
      </c>
      <c r="D5541" s="10" t="inlineStr">
        <is>
          <t>下り</t>
        </is>
      </c>
      <c r="E5541" t="inlineStr">
        <is>
          <t>2007</t>
        </is>
      </c>
      <c r="F5541" t="inlineStr">
        <is>
          <t>0122</t>
        </is>
      </c>
      <c r="G5541" s="10" t="inlineStr">
        <is>
          <t>嵯峨</t>
        </is>
      </c>
      <c r="H5541" s="10" t="inlineStr">
        <is>
          <t>発</t>
        </is>
      </c>
      <c r="J5541" s="10" t="inlineStr">
        <is>
          <t>営業</t>
        </is>
      </c>
      <c r="L5541" t="inlineStr">
        <is>
          <t>20:55:30</t>
        </is>
      </c>
      <c r="M5541" t="inlineStr">
        <is>
          <t>20:55:55</t>
        </is>
      </c>
    </row>
    <row r="5542" ht="15" customHeight="1" s="37">
      <c r="A5542" t="n">
        <v>13</v>
      </c>
      <c r="B5542" s="10" t="inlineStr">
        <is>
          <t>平日</t>
        </is>
      </c>
      <c r="C5542" s="10" t="inlineStr">
        <is>
          <t>本線</t>
        </is>
      </c>
      <c r="D5542" s="10" t="inlineStr">
        <is>
          <t>下り</t>
        </is>
      </c>
      <c r="E5542" t="inlineStr">
        <is>
          <t>2007</t>
        </is>
      </c>
      <c r="F5542" t="inlineStr">
        <is>
          <t>0122</t>
        </is>
      </c>
      <c r="G5542" s="10" t="inlineStr">
        <is>
          <t>嵐山</t>
        </is>
      </c>
      <c r="H5542" s="10" t="inlineStr">
        <is>
          <t>着</t>
        </is>
      </c>
      <c r="J5542" s="10" t="inlineStr">
        <is>
          <t>営業</t>
        </is>
      </c>
      <c r="L5542" t="inlineStr">
        <is>
          <t>20:57:00</t>
        </is>
      </c>
      <c r="N5542" t="inlineStr">
        <is>
          <t>○</t>
        </is>
      </c>
      <c r="Q5542" t="inlineStr">
        <is>
          <t>1</t>
        </is>
      </c>
    </row>
    <row r="5543" ht="15" customHeight="1" s="37">
      <c r="A5543" t="n">
        <v>13</v>
      </c>
      <c r="B5543" s="10" t="inlineStr">
        <is>
          <t>平日</t>
        </is>
      </c>
      <c r="C5543" s="10" t="inlineStr">
        <is>
          <t>本線</t>
        </is>
      </c>
      <c r="D5543" s="10" t="inlineStr">
        <is>
          <t>上り</t>
        </is>
      </c>
      <c r="E5543" t="inlineStr">
        <is>
          <t>2102</t>
        </is>
      </c>
      <c r="F5543" t="inlineStr">
        <is>
          <t>0221</t>
        </is>
      </c>
      <c r="G5543" s="10" t="inlineStr">
        <is>
          <t>嵐山</t>
        </is>
      </c>
      <c r="H5543" s="10" t="inlineStr">
        <is>
          <t>発</t>
        </is>
      </c>
      <c r="J5543" s="10" t="inlineStr">
        <is>
          <t>営業</t>
        </is>
      </c>
      <c r="M5543" t="inlineStr">
        <is>
          <t>21:04:00</t>
        </is>
      </c>
      <c r="Q5543" t="inlineStr">
        <is>
          <t>1</t>
        </is>
      </c>
      <c r="U5543" t="inlineStr">
        <is>
          <t>→西院 休憩(21:42〜22:06)</t>
        </is>
      </c>
    </row>
    <row r="5544" ht="15" customHeight="1" s="37">
      <c r="A5544" t="n">
        <v>13</v>
      </c>
      <c r="B5544" s="10" t="inlineStr">
        <is>
          <t>平日</t>
        </is>
      </c>
      <c r="C5544" s="10" t="inlineStr">
        <is>
          <t>本線</t>
        </is>
      </c>
      <c r="D5544" s="10" t="inlineStr">
        <is>
          <t>上り</t>
        </is>
      </c>
      <c r="E5544" t="inlineStr">
        <is>
          <t>2102</t>
        </is>
      </c>
      <c r="F5544" t="inlineStr">
        <is>
          <t>0221</t>
        </is>
      </c>
      <c r="G5544" s="10" t="inlineStr">
        <is>
          <t>嵯峨</t>
        </is>
      </c>
      <c r="H5544" s="10" t="inlineStr">
        <is>
          <t>発</t>
        </is>
      </c>
      <c r="J5544" s="10" t="inlineStr">
        <is>
          <t>営業</t>
        </is>
      </c>
      <c r="L5544" t="inlineStr">
        <is>
          <t>21:04:55</t>
        </is>
      </c>
      <c r="M5544" t="inlineStr">
        <is>
          <t>21:05:10</t>
        </is>
      </c>
      <c r="U5544" t="inlineStr">
        <is>
          <t>→西院 休憩(21:42〜22:06)</t>
        </is>
      </c>
    </row>
    <row r="5545" ht="15" customHeight="1" s="37">
      <c r="A5545" t="n">
        <v>13</v>
      </c>
      <c r="B5545" s="10" t="inlineStr">
        <is>
          <t>平日</t>
        </is>
      </c>
      <c r="C5545" s="10" t="inlineStr">
        <is>
          <t>本線</t>
        </is>
      </c>
      <c r="D5545" s="10" t="inlineStr">
        <is>
          <t>上り</t>
        </is>
      </c>
      <c r="E5545" t="inlineStr">
        <is>
          <t>2102</t>
        </is>
      </c>
      <c r="F5545" t="inlineStr">
        <is>
          <t>0221</t>
        </is>
      </c>
      <c r="G5545" s="10" t="inlineStr">
        <is>
          <t>鹿王院</t>
        </is>
      </c>
      <c r="H5545" s="10" t="inlineStr">
        <is>
          <t>発</t>
        </is>
      </c>
      <c r="J5545" s="10" t="inlineStr">
        <is>
          <t>営業</t>
        </is>
      </c>
      <c r="L5545" t="inlineStr">
        <is>
          <t>21:06:15</t>
        </is>
      </c>
      <c r="M5545" t="inlineStr">
        <is>
          <t>21:06:30</t>
        </is>
      </c>
      <c r="U5545" t="inlineStr">
        <is>
          <t>→西院 休憩(21:42〜22:06)</t>
        </is>
      </c>
    </row>
    <row r="5546" ht="15" customHeight="1" s="37">
      <c r="A5546" t="n">
        <v>13</v>
      </c>
      <c r="B5546" s="10" t="inlineStr">
        <is>
          <t>平日</t>
        </is>
      </c>
      <c r="C5546" s="10" t="inlineStr">
        <is>
          <t>本線</t>
        </is>
      </c>
      <c r="D5546" s="10" t="inlineStr">
        <is>
          <t>上り</t>
        </is>
      </c>
      <c r="E5546" t="inlineStr">
        <is>
          <t>2102</t>
        </is>
      </c>
      <c r="F5546" t="inlineStr">
        <is>
          <t>0221</t>
        </is>
      </c>
      <c r="G5546" s="10" t="inlineStr">
        <is>
          <t>車折</t>
        </is>
      </c>
      <c r="H5546" s="10" t="inlineStr">
        <is>
          <t>発</t>
        </is>
      </c>
      <c r="J5546" s="10" t="inlineStr">
        <is>
          <t>営業</t>
        </is>
      </c>
      <c r="L5546" t="inlineStr">
        <is>
          <t>21:07:25</t>
        </is>
      </c>
      <c r="M5546" t="inlineStr">
        <is>
          <t>21:07:40</t>
        </is>
      </c>
      <c r="U5546" t="inlineStr">
        <is>
          <t>→西院 休憩(21:42〜22:06)</t>
        </is>
      </c>
    </row>
    <row r="5547" ht="15" customHeight="1" s="37">
      <c r="A5547" t="n">
        <v>13</v>
      </c>
      <c r="B5547" s="10" t="inlineStr">
        <is>
          <t>平日</t>
        </is>
      </c>
      <c r="C5547" s="10" t="inlineStr">
        <is>
          <t>本線</t>
        </is>
      </c>
      <c r="D5547" s="10" t="inlineStr">
        <is>
          <t>上り</t>
        </is>
      </c>
      <c r="E5547" t="inlineStr">
        <is>
          <t>2102</t>
        </is>
      </c>
      <c r="F5547" t="inlineStr">
        <is>
          <t>0221</t>
        </is>
      </c>
      <c r="G5547" s="10" t="inlineStr">
        <is>
          <t>有栖川</t>
        </is>
      </c>
      <c r="H5547" s="10" t="inlineStr">
        <is>
          <t>発</t>
        </is>
      </c>
      <c r="J5547" s="10" t="inlineStr">
        <is>
          <t>営業</t>
        </is>
      </c>
      <c r="L5547" t="inlineStr">
        <is>
          <t>21:09:05</t>
        </is>
      </c>
      <c r="M5547" t="inlineStr">
        <is>
          <t>21:09:20</t>
        </is>
      </c>
      <c r="U5547" t="inlineStr">
        <is>
          <t>→西院 休憩(21:42〜22:06)</t>
        </is>
      </c>
    </row>
    <row r="5548" ht="15" customHeight="1" s="37">
      <c r="A5548" t="n">
        <v>13</v>
      </c>
      <c r="B5548" s="10" t="inlineStr">
        <is>
          <t>平日</t>
        </is>
      </c>
      <c r="C5548" s="10" t="inlineStr">
        <is>
          <t>本線</t>
        </is>
      </c>
      <c r="D5548" s="10" t="inlineStr">
        <is>
          <t>上り</t>
        </is>
      </c>
      <c r="E5548" t="inlineStr">
        <is>
          <t>2102</t>
        </is>
      </c>
      <c r="F5548" t="inlineStr">
        <is>
          <t>0221</t>
        </is>
      </c>
      <c r="G5548" s="10" t="inlineStr">
        <is>
          <t>帷子ノ辻</t>
        </is>
      </c>
      <c r="H5548" s="10" t="inlineStr">
        <is>
          <t>発</t>
        </is>
      </c>
      <c r="J5548" s="10" t="inlineStr">
        <is>
          <t>営業</t>
        </is>
      </c>
      <c r="L5548" t="inlineStr">
        <is>
          <t>21:10:35</t>
        </is>
      </c>
      <c r="M5548" t="inlineStr">
        <is>
          <t>21:11:05</t>
        </is>
      </c>
      <c r="U5548" t="inlineStr">
        <is>
          <t>→西院 休憩(21:42〜22:06)</t>
        </is>
      </c>
    </row>
    <row r="5549" ht="15" customHeight="1" s="37">
      <c r="A5549" t="n">
        <v>13</v>
      </c>
      <c r="B5549" s="10" t="inlineStr">
        <is>
          <t>平日</t>
        </is>
      </c>
      <c r="C5549" s="10" t="inlineStr">
        <is>
          <t>本線</t>
        </is>
      </c>
      <c r="D5549" s="10" t="inlineStr">
        <is>
          <t>上り</t>
        </is>
      </c>
      <c r="E5549" t="inlineStr">
        <is>
          <t>2102</t>
        </is>
      </c>
      <c r="F5549" t="inlineStr">
        <is>
          <t>0221</t>
        </is>
      </c>
      <c r="G5549" s="10" t="inlineStr">
        <is>
          <t>太秦広隆寺</t>
        </is>
      </c>
      <c r="H5549" s="10" t="inlineStr">
        <is>
          <t>発</t>
        </is>
      </c>
      <c r="J5549" s="10" t="inlineStr">
        <is>
          <t>営業</t>
        </is>
      </c>
      <c r="L5549" t="inlineStr">
        <is>
          <t>21:13:15</t>
        </is>
      </c>
      <c r="M5549" t="inlineStr">
        <is>
          <t>21:13:35</t>
        </is>
      </c>
      <c r="U5549" t="inlineStr">
        <is>
          <t>→西院 休憩(21:42〜22:06)</t>
        </is>
      </c>
    </row>
    <row r="5550" ht="15" customHeight="1" s="37">
      <c r="A5550" t="n">
        <v>13</v>
      </c>
      <c r="B5550" s="10" t="inlineStr">
        <is>
          <t>平日</t>
        </is>
      </c>
      <c r="C5550" s="10" t="inlineStr">
        <is>
          <t>本線</t>
        </is>
      </c>
      <c r="D5550" s="10" t="inlineStr">
        <is>
          <t>上り</t>
        </is>
      </c>
      <c r="E5550" t="inlineStr">
        <is>
          <t>2102</t>
        </is>
      </c>
      <c r="F5550" t="inlineStr">
        <is>
          <t>0221</t>
        </is>
      </c>
      <c r="G5550" s="10" t="inlineStr">
        <is>
          <t>蚕ノ社</t>
        </is>
      </c>
      <c r="H5550" s="10" t="inlineStr">
        <is>
          <t>発</t>
        </is>
      </c>
      <c r="J5550" s="10" t="inlineStr">
        <is>
          <t>営業</t>
        </is>
      </c>
      <c r="L5550" t="inlineStr">
        <is>
          <t>21:14:50</t>
        </is>
      </c>
      <c r="M5550" t="inlineStr">
        <is>
          <t>21:15:10</t>
        </is>
      </c>
      <c r="U5550" t="inlineStr">
        <is>
          <t>→西院 休憩(21:42〜22:06)</t>
        </is>
      </c>
    </row>
    <row r="5551" ht="15" customHeight="1" s="37">
      <c r="A5551" t="n">
        <v>13</v>
      </c>
      <c r="B5551" s="10" t="inlineStr">
        <is>
          <t>平日</t>
        </is>
      </c>
      <c r="C5551" s="10" t="inlineStr">
        <is>
          <t>本線</t>
        </is>
      </c>
      <c r="D5551" s="10" t="inlineStr">
        <is>
          <t>上り</t>
        </is>
      </c>
      <c r="E5551" t="inlineStr">
        <is>
          <t>2102</t>
        </is>
      </c>
      <c r="F5551" t="inlineStr">
        <is>
          <t>0221</t>
        </is>
      </c>
      <c r="G5551" s="10" t="inlineStr">
        <is>
          <t>天神川</t>
        </is>
      </c>
      <c r="H5551" s="10" t="inlineStr">
        <is>
          <t>発</t>
        </is>
      </c>
      <c r="J5551" s="10" t="inlineStr">
        <is>
          <t>営業</t>
        </is>
      </c>
      <c r="L5551" t="inlineStr">
        <is>
          <t>21:15:55</t>
        </is>
      </c>
      <c r="M5551" t="inlineStr">
        <is>
          <t>21:16:20</t>
        </is>
      </c>
      <c r="U5551" t="inlineStr">
        <is>
          <t>→西院 休憩(21:42〜22:06)</t>
        </is>
      </c>
    </row>
    <row r="5552" ht="15" customHeight="1" s="37">
      <c r="A5552" t="n">
        <v>13</v>
      </c>
      <c r="B5552" s="10" t="inlineStr">
        <is>
          <t>平日</t>
        </is>
      </c>
      <c r="C5552" s="10" t="inlineStr">
        <is>
          <t>本線</t>
        </is>
      </c>
      <c r="D5552" s="10" t="inlineStr">
        <is>
          <t>上り</t>
        </is>
      </c>
      <c r="E5552" t="inlineStr">
        <is>
          <t>2102</t>
        </is>
      </c>
      <c r="F5552" t="inlineStr">
        <is>
          <t>0221</t>
        </is>
      </c>
      <c r="G5552" s="10" t="inlineStr">
        <is>
          <t>山ノ内</t>
        </is>
      </c>
      <c r="H5552" s="10" t="inlineStr">
        <is>
          <t>発</t>
        </is>
      </c>
      <c r="J5552" s="10" t="inlineStr">
        <is>
          <t>営業</t>
        </is>
      </c>
      <c r="L5552" t="inlineStr">
        <is>
          <t>21:18:10</t>
        </is>
      </c>
      <c r="M5552" t="inlineStr">
        <is>
          <t>21:18:35</t>
        </is>
      </c>
      <c r="U5552" t="inlineStr">
        <is>
          <t>→西院 休憩(21:42〜22:06)</t>
        </is>
      </c>
    </row>
    <row r="5553" ht="15" customHeight="1" s="37">
      <c r="A5553" t="n">
        <v>13</v>
      </c>
      <c r="B5553" s="10" t="inlineStr">
        <is>
          <t>平日</t>
        </is>
      </c>
      <c r="C5553" s="10" t="inlineStr">
        <is>
          <t>本線</t>
        </is>
      </c>
      <c r="D5553" s="10" t="inlineStr">
        <is>
          <t>上り</t>
        </is>
      </c>
      <c r="E5553" t="inlineStr">
        <is>
          <t>2102</t>
        </is>
      </c>
      <c r="F5553" t="inlineStr">
        <is>
          <t>0221</t>
        </is>
      </c>
      <c r="G5553" s="10" t="inlineStr">
        <is>
          <t>西大路三条</t>
        </is>
      </c>
      <c r="H5553" s="10" t="inlineStr">
        <is>
          <t>発</t>
        </is>
      </c>
      <c r="J5553" s="10" t="inlineStr">
        <is>
          <t>営業</t>
        </is>
      </c>
      <c r="L5553" t="inlineStr">
        <is>
          <t>21:20:25</t>
        </is>
      </c>
      <c r="M5553" t="inlineStr">
        <is>
          <t>21:20:40</t>
        </is>
      </c>
      <c r="U5553" t="inlineStr">
        <is>
          <t>→西院 休憩(21:42〜22:06)</t>
        </is>
      </c>
    </row>
    <row r="5554" ht="15" customHeight="1" s="37">
      <c r="A5554" t="n">
        <v>13</v>
      </c>
      <c r="B5554" s="10" t="inlineStr">
        <is>
          <t>平日</t>
        </is>
      </c>
      <c r="C5554" s="10" t="inlineStr">
        <is>
          <t>本線</t>
        </is>
      </c>
      <c r="D5554" s="10" t="inlineStr">
        <is>
          <t>上り</t>
        </is>
      </c>
      <c r="E5554" t="inlineStr">
        <is>
          <t>2102</t>
        </is>
      </c>
      <c r="F5554" t="inlineStr">
        <is>
          <t>0221</t>
        </is>
      </c>
      <c r="G5554" s="10" t="inlineStr">
        <is>
          <t>西院</t>
        </is>
      </c>
      <c r="H5554" s="10" t="inlineStr">
        <is>
          <t>発</t>
        </is>
      </c>
      <c r="J5554" s="10" t="inlineStr">
        <is>
          <t>営業</t>
        </is>
      </c>
      <c r="L5554" t="inlineStr">
        <is>
          <t>21:22:35</t>
        </is>
      </c>
      <c r="M5554" t="inlineStr">
        <is>
          <t>21:23:05</t>
        </is>
      </c>
      <c r="U5554" t="inlineStr">
        <is>
          <t>→西院 休憩(21:42〜22:06)</t>
        </is>
      </c>
    </row>
    <row r="5555" ht="15" customHeight="1" s="37">
      <c r="A5555" t="n">
        <v>13</v>
      </c>
      <c r="B5555" s="10" t="inlineStr">
        <is>
          <t>平日</t>
        </is>
      </c>
      <c r="C5555" s="10" t="inlineStr">
        <is>
          <t>本線</t>
        </is>
      </c>
      <c r="D5555" s="10" t="inlineStr">
        <is>
          <t>上り</t>
        </is>
      </c>
      <c r="E5555" t="inlineStr">
        <is>
          <t>2102</t>
        </is>
      </c>
      <c r="F5555" t="inlineStr">
        <is>
          <t>0221</t>
        </is>
      </c>
      <c r="G5555" s="10" t="inlineStr">
        <is>
          <t>四条大宮</t>
        </is>
      </c>
      <c r="H5555" s="10" t="inlineStr">
        <is>
          <t>着</t>
        </is>
      </c>
      <c r="J5555" s="10" t="inlineStr">
        <is>
          <t>営業</t>
        </is>
      </c>
      <c r="L5555" t="inlineStr">
        <is>
          <t>21:26:00</t>
        </is>
      </c>
      <c r="N5555" t="inlineStr">
        <is>
          <t>○</t>
        </is>
      </c>
      <c r="Q5555" t="inlineStr">
        <is>
          <t>2</t>
        </is>
      </c>
      <c r="U5555" t="inlineStr">
        <is>
          <t>→西院 休憩(21:42〜22:06)</t>
        </is>
      </c>
    </row>
    <row r="5556" ht="15" customHeight="1" s="37">
      <c r="A5556" t="n">
        <v>13</v>
      </c>
      <c r="B5556" s="10" t="inlineStr">
        <is>
          <t>平日</t>
        </is>
      </c>
      <c r="C5556" s="10" t="inlineStr">
        <is>
          <t>本線</t>
        </is>
      </c>
      <c r="D5556" s="10" t="inlineStr">
        <is>
          <t>下り</t>
        </is>
      </c>
      <c r="E5556" t="inlineStr">
        <is>
          <t>2107</t>
        </is>
      </c>
      <c r="F5556" t="inlineStr">
        <is>
          <t>0122</t>
        </is>
      </c>
      <c r="G5556" s="10" t="inlineStr">
        <is>
          <t>四条大宮</t>
        </is>
      </c>
      <c r="H5556" s="10" t="inlineStr">
        <is>
          <t>発</t>
        </is>
      </c>
      <c r="J5556" s="10" t="inlineStr">
        <is>
          <t>営業</t>
        </is>
      </c>
      <c r="M5556" t="inlineStr">
        <is>
          <t>21:39:00</t>
        </is>
      </c>
      <c r="Q5556" t="inlineStr">
        <is>
          <t>2</t>
        </is>
      </c>
      <c r="U5556" t="inlineStr">
        <is>
          <t>→西院 休憩(21:42〜22:06)</t>
        </is>
      </c>
    </row>
    <row r="5557" ht="15" customHeight="1" s="37">
      <c r="A5557" t="n">
        <v>13</v>
      </c>
      <c r="B5557" s="10" t="inlineStr">
        <is>
          <t>平日</t>
        </is>
      </c>
      <c r="C5557" s="10" t="inlineStr">
        <is>
          <t>本線</t>
        </is>
      </c>
      <c r="D5557" s="10" t="inlineStr">
        <is>
          <t>下り</t>
        </is>
      </c>
      <c r="E5557" t="inlineStr">
        <is>
          <t>2107</t>
        </is>
      </c>
      <c r="F5557" t="inlineStr">
        <is>
          <t>0122</t>
        </is>
      </c>
      <c r="G5557" s="10" t="inlineStr">
        <is>
          <t>西院</t>
        </is>
      </c>
      <c r="H5557" s="10" t="inlineStr">
        <is>
          <t>着</t>
        </is>
      </c>
      <c r="J5557" s="10" t="inlineStr">
        <is>
          <t>営業</t>
        </is>
      </c>
      <c r="L5557" t="inlineStr">
        <is>
          <t>21:41:50</t>
        </is>
      </c>
      <c r="M5557" t="inlineStr">
        <is>
          <t>21:42:20</t>
        </is>
      </c>
      <c r="U5557" t="inlineStr">
        <is>
          <t>→西院 休憩(21:42〜22:06)</t>
        </is>
      </c>
    </row>
    <row r="5558" ht="15" customHeight="1" s="37">
      <c r="A5558" t="n">
        <v>13</v>
      </c>
      <c r="B5558" s="10" t="inlineStr">
        <is>
          <t>平日</t>
        </is>
      </c>
      <c r="C5558" s="10" t="inlineStr">
        <is>
          <t>本線</t>
        </is>
      </c>
      <c r="D5558" s="10" t="inlineStr">
        <is>
          <t>下り</t>
        </is>
      </c>
      <c r="E5558" t="inlineStr">
        <is>
          <t>2201</t>
        </is>
      </c>
      <c r="F5558" t="inlineStr">
        <is>
          <t>0122</t>
        </is>
      </c>
      <c r="G5558" s="10" t="inlineStr">
        <is>
          <t>西院</t>
        </is>
      </c>
      <c r="H5558" s="10" t="inlineStr">
        <is>
          <t>発</t>
        </is>
      </c>
      <c r="J5558" s="10" t="inlineStr">
        <is>
          <t>営業</t>
        </is>
      </c>
      <c r="L5558" t="inlineStr">
        <is>
          <t>22:05:50</t>
        </is>
      </c>
      <c r="M5558" t="inlineStr">
        <is>
          <t>22:06:20</t>
        </is>
      </c>
    </row>
    <row r="5559" ht="15" customHeight="1" s="37">
      <c r="A5559" t="n">
        <v>13</v>
      </c>
      <c r="B5559" s="10" t="inlineStr">
        <is>
          <t>平日</t>
        </is>
      </c>
      <c r="C5559" s="10" t="inlineStr">
        <is>
          <t>本線</t>
        </is>
      </c>
      <c r="D5559" s="10" t="inlineStr">
        <is>
          <t>下り</t>
        </is>
      </c>
      <c r="E5559" t="inlineStr">
        <is>
          <t>2201</t>
        </is>
      </c>
      <c r="F5559" t="inlineStr">
        <is>
          <t>0122</t>
        </is>
      </c>
      <c r="G5559" s="10" t="inlineStr">
        <is>
          <t>西大路三条</t>
        </is>
      </c>
      <c r="H5559" s="10" t="inlineStr">
        <is>
          <t>発</t>
        </is>
      </c>
      <c r="J5559" s="10" t="inlineStr">
        <is>
          <t>営業</t>
        </is>
      </c>
      <c r="L5559" t="inlineStr">
        <is>
          <t>22:08:10</t>
        </is>
      </c>
      <c r="M5559" t="inlineStr">
        <is>
          <t>22:08:30</t>
        </is>
      </c>
    </row>
    <row r="5560" ht="15" customHeight="1" s="37">
      <c r="A5560" t="n">
        <v>13</v>
      </c>
      <c r="B5560" s="10" t="inlineStr">
        <is>
          <t>平日</t>
        </is>
      </c>
      <c r="C5560" s="10" t="inlineStr">
        <is>
          <t>本線</t>
        </is>
      </c>
      <c r="D5560" s="10" t="inlineStr">
        <is>
          <t>下り</t>
        </is>
      </c>
      <c r="E5560" t="inlineStr">
        <is>
          <t>2201</t>
        </is>
      </c>
      <c r="F5560" t="inlineStr">
        <is>
          <t>0122</t>
        </is>
      </c>
      <c r="G5560" s="10" t="inlineStr">
        <is>
          <t>山ノ内</t>
        </is>
      </c>
      <c r="H5560" s="10" t="inlineStr">
        <is>
          <t>発</t>
        </is>
      </c>
      <c r="J5560" s="10" t="inlineStr">
        <is>
          <t>営業</t>
        </is>
      </c>
      <c r="L5560" t="inlineStr">
        <is>
          <t>22:10:25</t>
        </is>
      </c>
      <c r="M5560" t="inlineStr">
        <is>
          <t>22:10:50</t>
        </is>
      </c>
    </row>
    <row r="5561" ht="15" customHeight="1" s="37">
      <c r="A5561" t="n">
        <v>13</v>
      </c>
      <c r="B5561" s="10" t="inlineStr">
        <is>
          <t>平日</t>
        </is>
      </c>
      <c r="C5561" s="10" t="inlineStr">
        <is>
          <t>本線</t>
        </is>
      </c>
      <c r="D5561" s="10" t="inlineStr">
        <is>
          <t>下り</t>
        </is>
      </c>
      <c r="E5561" t="inlineStr">
        <is>
          <t>2201</t>
        </is>
      </c>
      <c r="F5561" t="inlineStr">
        <is>
          <t>0122</t>
        </is>
      </c>
      <c r="G5561" s="10" t="inlineStr">
        <is>
          <t>天神川</t>
        </is>
      </c>
      <c r="H5561" s="10" t="inlineStr">
        <is>
          <t>発</t>
        </is>
      </c>
      <c r="J5561" s="10" t="inlineStr">
        <is>
          <t>営業</t>
        </is>
      </c>
      <c r="L5561" t="inlineStr">
        <is>
          <t>22:12:50</t>
        </is>
      </c>
      <c r="M5561" t="inlineStr">
        <is>
          <t>22:13:30</t>
        </is>
      </c>
    </row>
    <row r="5562" ht="15" customHeight="1" s="37">
      <c r="A5562" t="n">
        <v>13</v>
      </c>
      <c r="B5562" s="10" t="inlineStr">
        <is>
          <t>平日</t>
        </is>
      </c>
      <c r="C5562" s="10" t="inlineStr">
        <is>
          <t>本線</t>
        </is>
      </c>
      <c r="D5562" s="10" t="inlineStr">
        <is>
          <t>下り</t>
        </is>
      </c>
      <c r="E5562" t="inlineStr">
        <is>
          <t>2201</t>
        </is>
      </c>
      <c r="F5562" t="inlineStr">
        <is>
          <t>0122</t>
        </is>
      </c>
      <c r="G5562" s="10" t="inlineStr">
        <is>
          <t>蚕ノ社</t>
        </is>
      </c>
      <c r="H5562" s="10" t="inlineStr">
        <is>
          <t>発</t>
        </is>
      </c>
      <c r="J5562" s="10" t="inlineStr">
        <is>
          <t>営業</t>
        </is>
      </c>
      <c r="L5562" t="inlineStr">
        <is>
          <t>22:14:20</t>
        </is>
      </c>
      <c r="M5562" t="inlineStr">
        <is>
          <t>22:14:40</t>
        </is>
      </c>
    </row>
    <row r="5563" ht="15" customHeight="1" s="37">
      <c r="A5563" t="n">
        <v>13</v>
      </c>
      <c r="B5563" s="10" t="inlineStr">
        <is>
          <t>平日</t>
        </is>
      </c>
      <c r="C5563" s="10" t="inlineStr">
        <is>
          <t>本線</t>
        </is>
      </c>
      <c r="D5563" s="10" t="inlineStr">
        <is>
          <t>下り</t>
        </is>
      </c>
      <c r="E5563" t="inlineStr">
        <is>
          <t>2201</t>
        </is>
      </c>
      <c r="F5563" t="inlineStr">
        <is>
          <t>0122</t>
        </is>
      </c>
      <c r="G5563" s="10" t="inlineStr">
        <is>
          <t>太秦広隆寺</t>
        </is>
      </c>
      <c r="H5563" s="10" t="inlineStr">
        <is>
          <t>発</t>
        </is>
      </c>
      <c r="J5563" s="10" t="inlineStr">
        <is>
          <t>営業</t>
        </is>
      </c>
      <c r="L5563" t="inlineStr">
        <is>
          <t>22:16:00</t>
        </is>
      </c>
      <c r="M5563" t="inlineStr">
        <is>
          <t>22:16:20</t>
        </is>
      </c>
    </row>
    <row r="5564" ht="15" customHeight="1" s="37">
      <c r="A5564" t="n">
        <v>13</v>
      </c>
      <c r="B5564" s="10" t="inlineStr">
        <is>
          <t>平日</t>
        </is>
      </c>
      <c r="C5564" s="10" t="inlineStr">
        <is>
          <t>本線</t>
        </is>
      </c>
      <c r="D5564" s="10" t="inlineStr">
        <is>
          <t>下り</t>
        </is>
      </c>
      <c r="E5564" t="inlineStr">
        <is>
          <t>2201</t>
        </is>
      </c>
      <c r="F5564" t="inlineStr">
        <is>
          <t>0122</t>
        </is>
      </c>
      <c r="G5564" s="10" t="inlineStr">
        <is>
          <t>帷子ノ辻</t>
        </is>
      </c>
      <c r="H5564" s="10" t="inlineStr">
        <is>
          <t>発</t>
        </is>
      </c>
      <c r="J5564" s="10" t="inlineStr">
        <is>
          <t>営業</t>
        </is>
      </c>
      <c r="L5564" t="inlineStr">
        <is>
          <t>22:18:20</t>
        </is>
      </c>
      <c r="M5564" t="inlineStr">
        <is>
          <t>22:19:40</t>
        </is>
      </c>
    </row>
    <row r="5565" ht="15" customHeight="1" s="37">
      <c r="A5565" t="n">
        <v>13</v>
      </c>
      <c r="B5565" s="10" t="inlineStr">
        <is>
          <t>平日</t>
        </is>
      </c>
      <c r="C5565" s="10" t="inlineStr">
        <is>
          <t>本線</t>
        </is>
      </c>
      <c r="D5565" s="10" t="inlineStr">
        <is>
          <t>下り</t>
        </is>
      </c>
      <c r="E5565" t="inlineStr">
        <is>
          <t>2201</t>
        </is>
      </c>
      <c r="F5565" t="inlineStr">
        <is>
          <t>0122</t>
        </is>
      </c>
      <c r="G5565" s="10" t="inlineStr">
        <is>
          <t>有栖川</t>
        </is>
      </c>
      <c r="H5565" s="10" t="inlineStr">
        <is>
          <t>発</t>
        </is>
      </c>
      <c r="J5565" s="10" t="inlineStr">
        <is>
          <t>営業</t>
        </is>
      </c>
      <c r="L5565" t="inlineStr">
        <is>
          <t>22:20:50</t>
        </is>
      </c>
      <c r="M5565" t="inlineStr">
        <is>
          <t>22:21:15</t>
        </is>
      </c>
    </row>
    <row r="5566" ht="15" customHeight="1" s="37">
      <c r="A5566" t="n">
        <v>13</v>
      </c>
      <c r="B5566" s="10" t="inlineStr">
        <is>
          <t>平日</t>
        </is>
      </c>
      <c r="C5566" s="10" t="inlineStr">
        <is>
          <t>本線</t>
        </is>
      </c>
      <c r="D5566" s="10" t="inlineStr">
        <is>
          <t>下り</t>
        </is>
      </c>
      <c r="E5566" t="inlineStr">
        <is>
          <t>2201</t>
        </is>
      </c>
      <c r="F5566" t="inlineStr">
        <is>
          <t>0122</t>
        </is>
      </c>
      <c r="G5566" s="10" t="inlineStr">
        <is>
          <t>車折</t>
        </is>
      </c>
      <c r="H5566" s="10" t="inlineStr">
        <is>
          <t>発</t>
        </is>
      </c>
      <c r="J5566" s="10" t="inlineStr">
        <is>
          <t>営業</t>
        </is>
      </c>
      <c r="L5566" t="inlineStr">
        <is>
          <t>22:22:40</t>
        </is>
      </c>
      <c r="M5566" t="inlineStr">
        <is>
          <t>22:23:05</t>
        </is>
      </c>
    </row>
    <row r="5567" ht="15" customHeight="1" s="37">
      <c r="A5567" t="n">
        <v>13</v>
      </c>
      <c r="B5567" s="10" t="inlineStr">
        <is>
          <t>平日</t>
        </is>
      </c>
      <c r="C5567" s="10" t="inlineStr">
        <is>
          <t>本線</t>
        </is>
      </c>
      <c r="D5567" s="10" t="inlineStr">
        <is>
          <t>下り</t>
        </is>
      </c>
      <c r="E5567" t="inlineStr">
        <is>
          <t>2201</t>
        </is>
      </c>
      <c r="F5567" t="inlineStr">
        <is>
          <t>0122</t>
        </is>
      </c>
      <c r="G5567" s="10" t="inlineStr">
        <is>
          <t>鹿王院</t>
        </is>
      </c>
      <c r="H5567" s="10" t="inlineStr">
        <is>
          <t>発</t>
        </is>
      </c>
      <c r="J5567" s="10" t="inlineStr">
        <is>
          <t>営業</t>
        </is>
      </c>
      <c r="L5567" t="inlineStr">
        <is>
          <t>22:24:00</t>
        </is>
      </c>
      <c r="M5567" t="inlineStr">
        <is>
          <t>22:24:25</t>
        </is>
      </c>
    </row>
    <row r="5568" ht="15" customHeight="1" s="37">
      <c r="A5568" t="n">
        <v>13</v>
      </c>
      <c r="B5568" s="10" t="inlineStr">
        <is>
          <t>平日</t>
        </is>
      </c>
      <c r="C5568" s="10" t="inlineStr">
        <is>
          <t>本線</t>
        </is>
      </c>
      <c r="D5568" s="10" t="inlineStr">
        <is>
          <t>下り</t>
        </is>
      </c>
      <c r="E5568" t="inlineStr">
        <is>
          <t>2201</t>
        </is>
      </c>
      <c r="F5568" t="inlineStr">
        <is>
          <t>0122</t>
        </is>
      </c>
      <c r="G5568" s="10" t="inlineStr">
        <is>
          <t>嵯峨</t>
        </is>
      </c>
      <c r="H5568" s="10" t="inlineStr">
        <is>
          <t>発</t>
        </is>
      </c>
      <c r="J5568" s="10" t="inlineStr">
        <is>
          <t>営業</t>
        </is>
      </c>
      <c r="L5568" t="inlineStr">
        <is>
          <t>22:25:30</t>
        </is>
      </c>
      <c r="M5568" t="inlineStr">
        <is>
          <t>22:25:55</t>
        </is>
      </c>
    </row>
    <row r="5569" ht="15" customHeight="1" s="37">
      <c r="A5569" t="n">
        <v>13</v>
      </c>
      <c r="B5569" s="10" t="inlineStr">
        <is>
          <t>平日</t>
        </is>
      </c>
      <c r="C5569" s="10" t="inlineStr">
        <is>
          <t>本線</t>
        </is>
      </c>
      <c r="D5569" s="10" t="inlineStr">
        <is>
          <t>下り</t>
        </is>
      </c>
      <c r="E5569" t="inlineStr">
        <is>
          <t>2201</t>
        </is>
      </c>
      <c r="F5569" t="inlineStr">
        <is>
          <t>0122</t>
        </is>
      </c>
      <c r="G5569" s="10" t="inlineStr">
        <is>
          <t>嵐山</t>
        </is>
      </c>
      <c r="H5569" s="10" t="inlineStr">
        <is>
          <t>着</t>
        </is>
      </c>
      <c r="J5569" s="10" t="inlineStr">
        <is>
          <t>営業</t>
        </is>
      </c>
      <c r="L5569" t="inlineStr">
        <is>
          <t>22:27:00</t>
        </is>
      </c>
      <c r="N5569" t="inlineStr">
        <is>
          <t>○</t>
        </is>
      </c>
      <c r="Q5569" t="inlineStr">
        <is>
          <t>1</t>
        </is>
      </c>
    </row>
    <row r="5570" ht="15" customHeight="1" s="37">
      <c r="A5570" t="n">
        <v>13</v>
      </c>
      <c r="B5570" s="10" t="inlineStr">
        <is>
          <t>平日</t>
        </is>
      </c>
      <c r="C5570" s="10" t="inlineStr">
        <is>
          <t>本線</t>
        </is>
      </c>
      <c r="D5570" s="10" t="inlineStr">
        <is>
          <t>上り</t>
        </is>
      </c>
      <c r="E5570" t="inlineStr">
        <is>
          <t>2206</t>
        </is>
      </c>
      <c r="F5570" t="inlineStr">
        <is>
          <t>0221</t>
        </is>
      </c>
      <c r="G5570" s="10" t="inlineStr">
        <is>
          <t>嵐山</t>
        </is>
      </c>
      <c r="H5570" s="10" t="inlineStr">
        <is>
          <t>発</t>
        </is>
      </c>
      <c r="J5570" s="10" t="inlineStr">
        <is>
          <t>営業</t>
        </is>
      </c>
      <c r="M5570" t="inlineStr">
        <is>
          <t>22:32:00</t>
        </is>
      </c>
      <c r="Q5570" t="inlineStr">
        <is>
          <t>1</t>
        </is>
      </c>
    </row>
    <row r="5571" ht="15" customHeight="1" s="37">
      <c r="A5571" t="n">
        <v>13</v>
      </c>
      <c r="B5571" s="10" t="inlineStr">
        <is>
          <t>平日</t>
        </is>
      </c>
      <c r="C5571" s="10" t="inlineStr">
        <is>
          <t>本線</t>
        </is>
      </c>
      <c r="D5571" s="10" t="inlineStr">
        <is>
          <t>上り</t>
        </is>
      </c>
      <c r="E5571" t="inlineStr">
        <is>
          <t>2206</t>
        </is>
      </c>
      <c r="F5571" t="inlineStr">
        <is>
          <t>0221</t>
        </is>
      </c>
      <c r="G5571" s="10" t="inlineStr">
        <is>
          <t>嵯峨</t>
        </is>
      </c>
      <c r="H5571" s="10" t="inlineStr">
        <is>
          <t>発</t>
        </is>
      </c>
      <c r="J5571" s="10" t="inlineStr">
        <is>
          <t>営業</t>
        </is>
      </c>
      <c r="L5571" t="inlineStr">
        <is>
          <t>22:32:55</t>
        </is>
      </c>
      <c r="M5571" t="inlineStr">
        <is>
          <t>22:33:10</t>
        </is>
      </c>
    </row>
    <row r="5572" ht="15" customHeight="1" s="37">
      <c r="A5572" t="n">
        <v>13</v>
      </c>
      <c r="B5572" s="10" t="inlineStr">
        <is>
          <t>平日</t>
        </is>
      </c>
      <c r="C5572" s="10" t="inlineStr">
        <is>
          <t>本線</t>
        </is>
      </c>
      <c r="D5572" s="10" t="inlineStr">
        <is>
          <t>上り</t>
        </is>
      </c>
      <c r="E5572" t="inlineStr">
        <is>
          <t>2206</t>
        </is>
      </c>
      <c r="F5572" t="inlineStr">
        <is>
          <t>0221</t>
        </is>
      </c>
      <c r="G5572" s="10" t="inlineStr">
        <is>
          <t>鹿王院</t>
        </is>
      </c>
      <c r="H5572" s="10" t="inlineStr">
        <is>
          <t>発</t>
        </is>
      </c>
      <c r="J5572" s="10" t="inlineStr">
        <is>
          <t>営業</t>
        </is>
      </c>
      <c r="L5572" t="inlineStr">
        <is>
          <t>22:34:15</t>
        </is>
      </c>
      <c r="M5572" t="inlineStr">
        <is>
          <t>22:34:30</t>
        </is>
      </c>
    </row>
    <row r="5573" ht="15" customHeight="1" s="37">
      <c r="A5573" t="n">
        <v>13</v>
      </c>
      <c r="B5573" s="10" t="inlineStr">
        <is>
          <t>平日</t>
        </is>
      </c>
      <c r="C5573" s="10" t="inlineStr">
        <is>
          <t>本線</t>
        </is>
      </c>
      <c r="D5573" s="10" t="inlineStr">
        <is>
          <t>上り</t>
        </is>
      </c>
      <c r="E5573" t="inlineStr">
        <is>
          <t>2206</t>
        </is>
      </c>
      <c r="F5573" t="inlineStr">
        <is>
          <t>0221</t>
        </is>
      </c>
      <c r="G5573" s="10" t="inlineStr">
        <is>
          <t>車折</t>
        </is>
      </c>
      <c r="H5573" s="10" t="inlineStr">
        <is>
          <t>発</t>
        </is>
      </c>
      <c r="J5573" s="10" t="inlineStr">
        <is>
          <t>営業</t>
        </is>
      </c>
      <c r="L5573" t="inlineStr">
        <is>
          <t>22:35:25</t>
        </is>
      </c>
      <c r="M5573" t="inlineStr">
        <is>
          <t>22:35:40</t>
        </is>
      </c>
    </row>
    <row r="5574" ht="15" customHeight="1" s="37">
      <c r="A5574" t="n">
        <v>13</v>
      </c>
      <c r="B5574" s="10" t="inlineStr">
        <is>
          <t>平日</t>
        </is>
      </c>
      <c r="C5574" s="10" t="inlineStr">
        <is>
          <t>本線</t>
        </is>
      </c>
      <c r="D5574" s="10" t="inlineStr">
        <is>
          <t>上り</t>
        </is>
      </c>
      <c r="E5574" t="inlineStr">
        <is>
          <t>2206</t>
        </is>
      </c>
      <c r="F5574" t="inlineStr">
        <is>
          <t>0221</t>
        </is>
      </c>
      <c r="G5574" s="10" t="inlineStr">
        <is>
          <t>有栖川</t>
        </is>
      </c>
      <c r="H5574" s="10" t="inlineStr">
        <is>
          <t>発</t>
        </is>
      </c>
      <c r="J5574" s="10" t="inlineStr">
        <is>
          <t>営業</t>
        </is>
      </c>
      <c r="L5574" t="inlineStr">
        <is>
          <t>22:37:05</t>
        </is>
      </c>
      <c r="M5574" t="inlineStr">
        <is>
          <t>22:37:20</t>
        </is>
      </c>
    </row>
    <row r="5575" ht="15" customHeight="1" s="37">
      <c r="A5575" t="n">
        <v>13</v>
      </c>
      <c r="B5575" s="10" t="inlineStr">
        <is>
          <t>平日</t>
        </is>
      </c>
      <c r="C5575" s="10" t="inlineStr">
        <is>
          <t>本線</t>
        </is>
      </c>
      <c r="D5575" s="10" t="inlineStr">
        <is>
          <t>上り</t>
        </is>
      </c>
      <c r="E5575" t="inlineStr">
        <is>
          <t>2206</t>
        </is>
      </c>
      <c r="F5575" t="inlineStr">
        <is>
          <t>0221</t>
        </is>
      </c>
      <c r="G5575" s="10" t="inlineStr">
        <is>
          <t>帷子ノ辻</t>
        </is>
      </c>
      <c r="H5575" s="10" t="inlineStr">
        <is>
          <t>発</t>
        </is>
      </c>
      <c r="J5575" s="10" t="inlineStr">
        <is>
          <t>営業</t>
        </is>
      </c>
      <c r="L5575" t="inlineStr">
        <is>
          <t>22:38:35</t>
        </is>
      </c>
      <c r="M5575" t="inlineStr">
        <is>
          <t>22:39:05</t>
        </is>
      </c>
    </row>
    <row r="5576" ht="15" customHeight="1" s="37">
      <c r="A5576" t="n">
        <v>13</v>
      </c>
      <c r="B5576" s="10" t="inlineStr">
        <is>
          <t>平日</t>
        </is>
      </c>
      <c r="C5576" s="10" t="inlineStr">
        <is>
          <t>本線</t>
        </is>
      </c>
      <c r="D5576" s="10" t="inlineStr">
        <is>
          <t>上り</t>
        </is>
      </c>
      <c r="E5576" t="inlineStr">
        <is>
          <t>2206</t>
        </is>
      </c>
      <c r="F5576" t="inlineStr">
        <is>
          <t>0221</t>
        </is>
      </c>
      <c r="G5576" s="10" t="inlineStr">
        <is>
          <t>太秦広隆寺</t>
        </is>
      </c>
      <c r="H5576" s="10" t="inlineStr">
        <is>
          <t>発</t>
        </is>
      </c>
      <c r="J5576" s="10" t="inlineStr">
        <is>
          <t>営業</t>
        </is>
      </c>
      <c r="L5576" t="inlineStr">
        <is>
          <t>22:41:15</t>
        </is>
      </c>
      <c r="M5576" t="inlineStr">
        <is>
          <t>22:41:35</t>
        </is>
      </c>
    </row>
    <row r="5577" ht="15" customHeight="1" s="37">
      <c r="A5577" t="n">
        <v>13</v>
      </c>
      <c r="B5577" s="10" t="inlineStr">
        <is>
          <t>平日</t>
        </is>
      </c>
      <c r="C5577" s="10" t="inlineStr">
        <is>
          <t>本線</t>
        </is>
      </c>
      <c r="D5577" s="10" t="inlineStr">
        <is>
          <t>上り</t>
        </is>
      </c>
      <c r="E5577" t="inlineStr">
        <is>
          <t>2206</t>
        </is>
      </c>
      <c r="F5577" t="inlineStr">
        <is>
          <t>0221</t>
        </is>
      </c>
      <c r="G5577" s="10" t="inlineStr">
        <is>
          <t>蚕ノ社</t>
        </is>
      </c>
      <c r="H5577" s="10" t="inlineStr">
        <is>
          <t>発</t>
        </is>
      </c>
      <c r="J5577" s="10" t="inlineStr">
        <is>
          <t>営業</t>
        </is>
      </c>
      <c r="L5577" t="inlineStr">
        <is>
          <t>22:42:50</t>
        </is>
      </c>
      <c r="M5577" t="inlineStr">
        <is>
          <t>22:43:10</t>
        </is>
      </c>
    </row>
    <row r="5578" ht="15" customHeight="1" s="37">
      <c r="A5578" t="n">
        <v>13</v>
      </c>
      <c r="B5578" s="10" t="inlineStr">
        <is>
          <t>平日</t>
        </is>
      </c>
      <c r="C5578" s="10" t="inlineStr">
        <is>
          <t>本線</t>
        </is>
      </c>
      <c r="D5578" s="10" t="inlineStr">
        <is>
          <t>上り</t>
        </is>
      </c>
      <c r="E5578" t="inlineStr">
        <is>
          <t>2206</t>
        </is>
      </c>
      <c r="F5578" t="inlineStr">
        <is>
          <t>0221</t>
        </is>
      </c>
      <c r="G5578" s="10" t="inlineStr">
        <is>
          <t>天神川</t>
        </is>
      </c>
      <c r="H5578" s="10" t="inlineStr">
        <is>
          <t>発</t>
        </is>
      </c>
      <c r="J5578" s="10" t="inlineStr">
        <is>
          <t>営業</t>
        </is>
      </c>
      <c r="L5578" t="inlineStr">
        <is>
          <t>22:43:55</t>
        </is>
      </c>
      <c r="M5578" t="inlineStr">
        <is>
          <t>22:44:20</t>
        </is>
      </c>
    </row>
    <row r="5579" ht="15" customHeight="1" s="37">
      <c r="A5579" t="n">
        <v>13</v>
      </c>
      <c r="B5579" s="10" t="inlineStr">
        <is>
          <t>平日</t>
        </is>
      </c>
      <c r="C5579" s="10" t="inlineStr">
        <is>
          <t>本線</t>
        </is>
      </c>
      <c r="D5579" s="10" t="inlineStr">
        <is>
          <t>上り</t>
        </is>
      </c>
      <c r="E5579" t="inlineStr">
        <is>
          <t>2206</t>
        </is>
      </c>
      <c r="F5579" t="inlineStr">
        <is>
          <t>0221</t>
        </is>
      </c>
      <c r="G5579" s="10" t="inlineStr">
        <is>
          <t>山ノ内</t>
        </is>
      </c>
      <c r="H5579" s="10" t="inlineStr">
        <is>
          <t>発</t>
        </is>
      </c>
      <c r="J5579" s="10" t="inlineStr">
        <is>
          <t>営業</t>
        </is>
      </c>
      <c r="L5579" t="inlineStr">
        <is>
          <t>22:46:10</t>
        </is>
      </c>
      <c r="M5579" t="inlineStr">
        <is>
          <t>22:46:35</t>
        </is>
      </c>
    </row>
    <row r="5580" ht="15" customHeight="1" s="37">
      <c r="A5580" t="n">
        <v>13</v>
      </c>
      <c r="B5580" s="10" t="inlineStr">
        <is>
          <t>平日</t>
        </is>
      </c>
      <c r="C5580" s="10" t="inlineStr">
        <is>
          <t>本線</t>
        </is>
      </c>
      <c r="D5580" s="10" t="inlineStr">
        <is>
          <t>上り</t>
        </is>
      </c>
      <c r="E5580" t="inlineStr">
        <is>
          <t>2206</t>
        </is>
      </c>
      <c r="F5580" t="inlineStr">
        <is>
          <t>0221</t>
        </is>
      </c>
      <c r="G5580" s="10" t="inlineStr">
        <is>
          <t>西大路三条</t>
        </is>
      </c>
      <c r="H5580" s="10" t="inlineStr">
        <is>
          <t>発</t>
        </is>
      </c>
      <c r="J5580" s="10" t="inlineStr">
        <is>
          <t>営業</t>
        </is>
      </c>
      <c r="L5580" t="inlineStr">
        <is>
          <t>22:48:25</t>
        </is>
      </c>
      <c r="M5580" t="inlineStr">
        <is>
          <t>22:48:40</t>
        </is>
      </c>
    </row>
    <row r="5581" ht="15" customHeight="1" s="37">
      <c r="A5581" t="n">
        <v>13</v>
      </c>
      <c r="B5581" s="10" t="inlineStr">
        <is>
          <t>平日</t>
        </is>
      </c>
      <c r="C5581" s="10" t="inlineStr">
        <is>
          <t>本線</t>
        </is>
      </c>
      <c r="D5581" s="10" t="inlineStr">
        <is>
          <t>上り</t>
        </is>
      </c>
      <c r="E5581" t="inlineStr">
        <is>
          <t>2206</t>
        </is>
      </c>
      <c r="F5581" t="inlineStr">
        <is>
          <t>0221</t>
        </is>
      </c>
      <c r="G5581" s="10" t="inlineStr">
        <is>
          <t>西院</t>
        </is>
      </c>
      <c r="H5581" s="10" t="inlineStr">
        <is>
          <t>発</t>
        </is>
      </c>
      <c r="J5581" s="10" t="inlineStr">
        <is>
          <t>営業</t>
        </is>
      </c>
      <c r="L5581" t="inlineStr">
        <is>
          <t>22:50:35</t>
        </is>
      </c>
      <c r="M5581" t="inlineStr">
        <is>
          <t>22:51:05</t>
        </is>
      </c>
    </row>
    <row r="5582" ht="15" customHeight="1" s="37">
      <c r="A5582" t="n">
        <v>13</v>
      </c>
      <c r="B5582" s="10" t="inlineStr">
        <is>
          <t>平日</t>
        </is>
      </c>
      <c r="C5582" s="10" t="inlineStr">
        <is>
          <t>本線</t>
        </is>
      </c>
      <c r="D5582" s="10" t="inlineStr">
        <is>
          <t>上り</t>
        </is>
      </c>
      <c r="E5582" t="inlineStr">
        <is>
          <t>2206</t>
        </is>
      </c>
      <c r="F5582" t="inlineStr">
        <is>
          <t>0221</t>
        </is>
      </c>
      <c r="G5582" s="10" t="inlineStr">
        <is>
          <t>四条大宮</t>
        </is>
      </c>
      <c r="H5582" s="10" t="inlineStr">
        <is>
          <t>着</t>
        </is>
      </c>
      <c r="J5582" s="10" t="inlineStr">
        <is>
          <t>営業</t>
        </is>
      </c>
      <c r="L5582" t="inlineStr">
        <is>
          <t>22:54:00</t>
        </is>
      </c>
      <c r="N5582" t="inlineStr">
        <is>
          <t>○</t>
        </is>
      </c>
      <c r="Q5582" t="inlineStr">
        <is>
          <t>1</t>
        </is>
      </c>
    </row>
    <row r="5583" ht="15" customHeight="1" s="37">
      <c r="A5583" t="n">
        <v>13</v>
      </c>
      <c r="B5583" s="10" t="inlineStr">
        <is>
          <t>平日</t>
        </is>
      </c>
      <c r="C5583" s="10" t="inlineStr">
        <is>
          <t>本線</t>
        </is>
      </c>
      <c r="D5583" s="10" t="inlineStr">
        <is>
          <t>下り</t>
        </is>
      </c>
      <c r="E5583" t="inlineStr">
        <is>
          <t>2301</t>
        </is>
      </c>
      <c r="F5583" t="inlineStr">
        <is>
          <t>0122</t>
        </is>
      </c>
      <c r="G5583" s="10" t="inlineStr">
        <is>
          <t>四条大宮</t>
        </is>
      </c>
      <c r="H5583" s="10" t="inlineStr">
        <is>
          <t>発</t>
        </is>
      </c>
      <c r="J5583" s="10" t="inlineStr">
        <is>
          <t>営業</t>
        </is>
      </c>
      <c r="M5583" t="inlineStr">
        <is>
          <t>23:00:00</t>
        </is>
      </c>
      <c r="Q5583" t="inlineStr">
        <is>
          <t>1</t>
        </is>
      </c>
    </row>
    <row r="5584" ht="15" customHeight="1" s="37">
      <c r="A5584" t="n">
        <v>13</v>
      </c>
      <c r="B5584" s="10" t="inlineStr">
        <is>
          <t>平日</t>
        </is>
      </c>
      <c r="C5584" s="10" t="inlineStr">
        <is>
          <t>本線</t>
        </is>
      </c>
      <c r="D5584" s="10" t="inlineStr">
        <is>
          <t>下り</t>
        </is>
      </c>
      <c r="E5584" t="inlineStr">
        <is>
          <t>2301</t>
        </is>
      </c>
      <c r="F5584" t="inlineStr">
        <is>
          <t>0122</t>
        </is>
      </c>
      <c r="G5584" s="10" t="inlineStr">
        <is>
          <t>西院</t>
        </is>
      </c>
      <c r="H5584" s="10" t="inlineStr">
        <is>
          <t>発</t>
        </is>
      </c>
      <c r="J5584" s="10" t="inlineStr">
        <is>
          <t>営業</t>
        </is>
      </c>
      <c r="L5584" t="inlineStr">
        <is>
          <t>23:02:50</t>
        </is>
      </c>
      <c r="M5584" t="inlineStr">
        <is>
          <t>23:03:20</t>
        </is>
      </c>
    </row>
    <row r="5585" ht="15" customHeight="1" s="37">
      <c r="A5585" t="n">
        <v>13</v>
      </c>
      <c r="B5585" s="10" t="inlineStr">
        <is>
          <t>平日</t>
        </is>
      </c>
      <c r="C5585" s="10" t="inlineStr">
        <is>
          <t>本線</t>
        </is>
      </c>
      <c r="D5585" s="10" t="inlineStr">
        <is>
          <t>下り</t>
        </is>
      </c>
      <c r="E5585" t="inlineStr">
        <is>
          <t>2301</t>
        </is>
      </c>
      <c r="F5585" t="inlineStr">
        <is>
          <t>0122</t>
        </is>
      </c>
      <c r="G5585" s="10" t="inlineStr">
        <is>
          <t>西大路三条</t>
        </is>
      </c>
      <c r="H5585" s="10" t="inlineStr">
        <is>
          <t>発</t>
        </is>
      </c>
      <c r="J5585" s="10" t="inlineStr">
        <is>
          <t>営業</t>
        </is>
      </c>
      <c r="L5585" t="inlineStr">
        <is>
          <t>23:05:10</t>
        </is>
      </c>
      <c r="M5585" t="inlineStr">
        <is>
          <t>23:05:30</t>
        </is>
      </c>
    </row>
    <row r="5586" ht="15" customHeight="1" s="37">
      <c r="A5586" t="n">
        <v>13</v>
      </c>
      <c r="B5586" s="10" t="inlineStr">
        <is>
          <t>平日</t>
        </is>
      </c>
      <c r="C5586" s="10" t="inlineStr">
        <is>
          <t>本線</t>
        </is>
      </c>
      <c r="D5586" s="10" t="inlineStr">
        <is>
          <t>下り</t>
        </is>
      </c>
      <c r="E5586" t="inlineStr">
        <is>
          <t>2301</t>
        </is>
      </c>
      <c r="F5586" t="inlineStr">
        <is>
          <t>0122</t>
        </is>
      </c>
      <c r="G5586" s="10" t="inlineStr">
        <is>
          <t>山ノ内</t>
        </is>
      </c>
      <c r="H5586" s="10" t="inlineStr">
        <is>
          <t>発</t>
        </is>
      </c>
      <c r="J5586" s="10" t="inlineStr">
        <is>
          <t>営業</t>
        </is>
      </c>
      <c r="L5586" t="inlineStr">
        <is>
          <t>23:07:25</t>
        </is>
      </c>
      <c r="M5586" t="inlineStr">
        <is>
          <t>23:07:50</t>
        </is>
      </c>
    </row>
    <row r="5587" ht="15" customHeight="1" s="37">
      <c r="A5587" t="n">
        <v>13</v>
      </c>
      <c r="B5587" s="10" t="inlineStr">
        <is>
          <t>平日</t>
        </is>
      </c>
      <c r="C5587" s="10" t="inlineStr">
        <is>
          <t>本線</t>
        </is>
      </c>
      <c r="D5587" s="10" t="inlineStr">
        <is>
          <t>下り</t>
        </is>
      </c>
      <c r="E5587" t="inlineStr">
        <is>
          <t>2301</t>
        </is>
      </c>
      <c r="F5587" t="inlineStr">
        <is>
          <t>0122</t>
        </is>
      </c>
      <c r="G5587" s="10" t="inlineStr">
        <is>
          <t>天神川</t>
        </is>
      </c>
      <c r="H5587" s="10" t="inlineStr">
        <is>
          <t>発</t>
        </is>
      </c>
      <c r="J5587" s="10" t="inlineStr">
        <is>
          <t>営業</t>
        </is>
      </c>
      <c r="L5587" t="inlineStr">
        <is>
          <t>23:09:50</t>
        </is>
      </c>
      <c r="M5587" t="inlineStr">
        <is>
          <t>23:10:30</t>
        </is>
      </c>
    </row>
    <row r="5588" ht="15" customHeight="1" s="37">
      <c r="A5588" t="n">
        <v>13</v>
      </c>
      <c r="B5588" s="10" t="inlineStr">
        <is>
          <t>平日</t>
        </is>
      </c>
      <c r="C5588" s="10" t="inlineStr">
        <is>
          <t>本線</t>
        </is>
      </c>
      <c r="D5588" s="10" t="inlineStr">
        <is>
          <t>下り</t>
        </is>
      </c>
      <c r="E5588" t="inlineStr">
        <is>
          <t>2301</t>
        </is>
      </c>
      <c r="F5588" t="inlineStr">
        <is>
          <t>0122</t>
        </is>
      </c>
      <c r="G5588" s="10" t="inlineStr">
        <is>
          <t>蚕ノ社</t>
        </is>
      </c>
      <c r="H5588" s="10" t="inlineStr">
        <is>
          <t>発</t>
        </is>
      </c>
      <c r="J5588" s="10" t="inlineStr">
        <is>
          <t>営業</t>
        </is>
      </c>
      <c r="L5588" t="inlineStr">
        <is>
          <t>23:11:20</t>
        </is>
      </c>
      <c r="M5588" t="inlineStr">
        <is>
          <t>23:11:40</t>
        </is>
      </c>
    </row>
    <row r="5589" ht="15" customHeight="1" s="37">
      <c r="A5589" t="n">
        <v>13</v>
      </c>
      <c r="B5589" s="10" t="inlineStr">
        <is>
          <t>平日</t>
        </is>
      </c>
      <c r="C5589" s="10" t="inlineStr">
        <is>
          <t>本線</t>
        </is>
      </c>
      <c r="D5589" s="10" t="inlineStr">
        <is>
          <t>下り</t>
        </is>
      </c>
      <c r="E5589" t="inlineStr">
        <is>
          <t>2301</t>
        </is>
      </c>
      <c r="F5589" t="inlineStr">
        <is>
          <t>0122</t>
        </is>
      </c>
      <c r="G5589" s="10" t="inlineStr">
        <is>
          <t>太秦広隆寺</t>
        </is>
      </c>
      <c r="H5589" s="10" t="inlineStr">
        <is>
          <t>発</t>
        </is>
      </c>
      <c r="J5589" s="10" t="inlineStr">
        <is>
          <t>営業</t>
        </is>
      </c>
      <c r="L5589" t="inlineStr">
        <is>
          <t>23:13:00</t>
        </is>
      </c>
      <c r="M5589" t="inlineStr">
        <is>
          <t>23:13:20</t>
        </is>
      </c>
    </row>
    <row r="5590" ht="15" customHeight="1" s="37">
      <c r="A5590" t="n">
        <v>13</v>
      </c>
      <c r="B5590" s="10" t="inlineStr">
        <is>
          <t>平日</t>
        </is>
      </c>
      <c r="C5590" s="10" t="inlineStr">
        <is>
          <t>本線</t>
        </is>
      </c>
      <c r="D5590" s="10" t="inlineStr">
        <is>
          <t>下り</t>
        </is>
      </c>
      <c r="E5590" t="inlineStr">
        <is>
          <t>2301</t>
        </is>
      </c>
      <c r="F5590" t="inlineStr">
        <is>
          <t>0122</t>
        </is>
      </c>
      <c r="G5590" s="10" t="inlineStr">
        <is>
          <t>有栖川</t>
        </is>
      </c>
      <c r="H5590" s="10" t="inlineStr">
        <is>
          <t>発</t>
        </is>
      </c>
      <c r="J5590" s="10" t="inlineStr">
        <is>
          <t>営業</t>
        </is>
      </c>
      <c r="L5590" t="inlineStr">
        <is>
          <t>23:17:50</t>
        </is>
      </c>
      <c r="M5590" t="inlineStr">
        <is>
          <t>23:18:15</t>
        </is>
      </c>
    </row>
    <row r="5591" ht="15" customHeight="1" s="37">
      <c r="A5591" t="n">
        <v>13</v>
      </c>
      <c r="B5591" s="10" t="inlineStr">
        <is>
          <t>平日</t>
        </is>
      </c>
      <c r="C5591" s="10" t="inlineStr">
        <is>
          <t>本線</t>
        </is>
      </c>
      <c r="D5591" s="10" t="inlineStr">
        <is>
          <t>下り</t>
        </is>
      </c>
      <c r="E5591" t="inlineStr">
        <is>
          <t>2301</t>
        </is>
      </c>
      <c r="F5591" t="inlineStr">
        <is>
          <t>0122</t>
        </is>
      </c>
      <c r="G5591" s="10" t="inlineStr">
        <is>
          <t>車折</t>
        </is>
      </c>
      <c r="H5591" s="10" t="inlineStr">
        <is>
          <t>発</t>
        </is>
      </c>
      <c r="J5591" s="10" t="inlineStr">
        <is>
          <t>営業</t>
        </is>
      </c>
      <c r="L5591" t="inlineStr">
        <is>
          <t>23:19:40</t>
        </is>
      </c>
      <c r="M5591" t="inlineStr">
        <is>
          <t>23:20:05</t>
        </is>
      </c>
    </row>
    <row r="5592" ht="15" customHeight="1" s="37">
      <c r="A5592" t="n">
        <v>13</v>
      </c>
      <c r="B5592" s="10" t="inlineStr">
        <is>
          <t>平日</t>
        </is>
      </c>
      <c r="C5592" s="10" t="inlineStr">
        <is>
          <t>本線</t>
        </is>
      </c>
      <c r="D5592" s="10" t="inlineStr">
        <is>
          <t>下り</t>
        </is>
      </c>
      <c r="E5592" t="inlineStr">
        <is>
          <t>2301</t>
        </is>
      </c>
      <c r="F5592" t="inlineStr">
        <is>
          <t>0122</t>
        </is>
      </c>
      <c r="G5592" s="10" t="inlineStr">
        <is>
          <t>鹿王院</t>
        </is>
      </c>
      <c r="H5592" s="10" t="inlineStr">
        <is>
          <t>発</t>
        </is>
      </c>
      <c r="J5592" s="10" t="inlineStr">
        <is>
          <t>営業</t>
        </is>
      </c>
      <c r="L5592" t="inlineStr">
        <is>
          <t>23:21:00</t>
        </is>
      </c>
      <c r="M5592" t="inlineStr">
        <is>
          <t>23:21:25</t>
        </is>
      </c>
    </row>
    <row r="5593" ht="15" customHeight="1" s="37">
      <c r="A5593" t="n">
        <v>13</v>
      </c>
      <c r="B5593" s="10" t="inlineStr">
        <is>
          <t>平日</t>
        </is>
      </c>
      <c r="C5593" s="10" t="inlineStr">
        <is>
          <t>本線</t>
        </is>
      </c>
      <c r="D5593" s="10" t="inlineStr">
        <is>
          <t>下り</t>
        </is>
      </c>
      <c r="E5593" t="inlineStr">
        <is>
          <t>2301</t>
        </is>
      </c>
      <c r="F5593" t="inlineStr">
        <is>
          <t>0122</t>
        </is>
      </c>
      <c r="G5593" s="10" t="inlineStr">
        <is>
          <t>嵯峨</t>
        </is>
      </c>
      <c r="H5593" s="10" t="inlineStr">
        <is>
          <t>発</t>
        </is>
      </c>
      <c r="J5593" s="10" t="inlineStr">
        <is>
          <t>営業</t>
        </is>
      </c>
      <c r="L5593" t="inlineStr">
        <is>
          <t>23:22:30</t>
        </is>
      </c>
      <c r="M5593" t="inlineStr">
        <is>
          <t>23:22:55</t>
        </is>
      </c>
    </row>
    <row r="5594" ht="15" customHeight="1" s="37">
      <c r="A5594" t="n">
        <v>13</v>
      </c>
      <c r="B5594" s="10" t="inlineStr">
        <is>
          <t>平日</t>
        </is>
      </c>
      <c r="C5594" s="10" t="inlineStr">
        <is>
          <t>本線</t>
        </is>
      </c>
      <c r="D5594" s="10" t="inlineStr">
        <is>
          <t>下り</t>
        </is>
      </c>
      <c r="E5594" t="inlineStr">
        <is>
          <t>2301</t>
        </is>
      </c>
      <c r="F5594" t="inlineStr">
        <is>
          <t>0122</t>
        </is>
      </c>
      <c r="G5594" s="10" t="inlineStr">
        <is>
          <t>嵐山</t>
        </is>
      </c>
      <c r="H5594" s="10" t="inlineStr">
        <is>
          <t>着</t>
        </is>
      </c>
      <c r="J5594" s="10" t="inlineStr">
        <is>
          <t>営業</t>
        </is>
      </c>
      <c r="L5594" t="inlineStr">
        <is>
          <t>23:24:00</t>
        </is>
      </c>
      <c r="N5594" t="inlineStr">
        <is>
          <t>○</t>
        </is>
      </c>
      <c r="Q5594" t="inlineStr">
        <is>
          <t>1</t>
        </is>
      </c>
    </row>
    <row r="5595" ht="15" customHeight="1" s="37">
      <c r="A5595" t="n">
        <v>13</v>
      </c>
      <c r="B5595" s="10" t="inlineStr">
        <is>
          <t>平日</t>
        </is>
      </c>
      <c r="C5595" s="10" t="inlineStr">
        <is>
          <t>本線</t>
        </is>
      </c>
      <c r="D5595" s="10" t="inlineStr">
        <is>
          <t>上り</t>
        </is>
      </c>
      <c r="E5595" t="inlineStr">
        <is>
          <t>2306</t>
        </is>
      </c>
      <c r="F5595" t="inlineStr">
        <is>
          <t>0225</t>
        </is>
      </c>
      <c r="G5595" s="10" t="inlineStr">
        <is>
          <t>嵐山</t>
        </is>
      </c>
      <c r="H5595" s="10" t="inlineStr">
        <is>
          <t>発</t>
        </is>
      </c>
      <c r="J5595" s="10" t="inlineStr">
        <is>
          <t>営業</t>
        </is>
      </c>
      <c r="M5595" t="inlineStr">
        <is>
          <t>23:32:00</t>
        </is>
      </c>
      <c r="Q5595" t="inlineStr">
        <is>
          <t>1</t>
        </is>
      </c>
      <c r="R5595" t="inlineStr">
        <is>
          <t>○</t>
        </is>
      </c>
    </row>
    <row r="5596" ht="15" customHeight="1" s="37">
      <c r="A5596" t="n">
        <v>13</v>
      </c>
      <c r="B5596" s="10" t="inlineStr">
        <is>
          <t>平日</t>
        </is>
      </c>
      <c r="C5596" s="10" t="inlineStr">
        <is>
          <t>本線</t>
        </is>
      </c>
      <c r="D5596" s="10" t="inlineStr">
        <is>
          <t>上り</t>
        </is>
      </c>
      <c r="E5596" t="inlineStr">
        <is>
          <t>2306</t>
        </is>
      </c>
      <c r="F5596" t="inlineStr">
        <is>
          <t>0225</t>
        </is>
      </c>
      <c r="G5596" s="10" t="inlineStr">
        <is>
          <t>嵯峨</t>
        </is>
      </c>
      <c r="H5596" s="10" t="inlineStr">
        <is>
          <t>発</t>
        </is>
      </c>
      <c r="J5596" s="10" t="inlineStr">
        <is>
          <t>営業</t>
        </is>
      </c>
      <c r="L5596" t="inlineStr">
        <is>
          <t>23:32:55</t>
        </is>
      </c>
      <c r="M5596" t="inlineStr">
        <is>
          <t>23:33:10</t>
        </is>
      </c>
      <c r="R5596" t="inlineStr">
        <is>
          <t>○</t>
        </is>
      </c>
    </row>
    <row r="5597" ht="15" customHeight="1" s="37">
      <c r="A5597" t="n">
        <v>13</v>
      </c>
      <c r="B5597" s="10" t="inlineStr">
        <is>
          <t>平日</t>
        </is>
      </c>
      <c r="C5597" s="10" t="inlineStr">
        <is>
          <t>本線</t>
        </is>
      </c>
      <c r="D5597" s="10" t="inlineStr">
        <is>
          <t>上り</t>
        </is>
      </c>
      <c r="E5597" t="inlineStr">
        <is>
          <t>2306</t>
        </is>
      </c>
      <c r="F5597" t="inlineStr">
        <is>
          <t>0225</t>
        </is>
      </c>
      <c r="G5597" s="10" t="inlineStr">
        <is>
          <t>鹿王院</t>
        </is>
      </c>
      <c r="H5597" s="10" t="inlineStr">
        <is>
          <t>発</t>
        </is>
      </c>
      <c r="J5597" s="10" t="inlineStr">
        <is>
          <t>営業</t>
        </is>
      </c>
      <c r="L5597" t="inlineStr">
        <is>
          <t>23:34:15</t>
        </is>
      </c>
      <c r="M5597" t="inlineStr">
        <is>
          <t>23:34:30</t>
        </is>
      </c>
      <c r="R5597" t="inlineStr">
        <is>
          <t>○</t>
        </is>
      </c>
    </row>
    <row r="5598" ht="15" customHeight="1" s="37">
      <c r="A5598" t="n">
        <v>13</v>
      </c>
      <c r="B5598" s="10" t="inlineStr">
        <is>
          <t>平日</t>
        </is>
      </c>
      <c r="C5598" s="10" t="inlineStr">
        <is>
          <t>本線</t>
        </is>
      </c>
      <c r="D5598" s="10" t="inlineStr">
        <is>
          <t>上り</t>
        </is>
      </c>
      <c r="E5598" t="inlineStr">
        <is>
          <t>2306</t>
        </is>
      </c>
      <c r="F5598" t="inlineStr">
        <is>
          <t>0225</t>
        </is>
      </c>
      <c r="G5598" s="10" t="inlineStr">
        <is>
          <t>車折</t>
        </is>
      </c>
      <c r="H5598" s="10" t="inlineStr">
        <is>
          <t>発</t>
        </is>
      </c>
      <c r="J5598" s="10" t="inlineStr">
        <is>
          <t>営業</t>
        </is>
      </c>
      <c r="L5598" t="inlineStr">
        <is>
          <t>23:35:25</t>
        </is>
      </c>
      <c r="M5598" t="inlineStr">
        <is>
          <t>23:35:40</t>
        </is>
      </c>
      <c r="R5598" t="inlineStr">
        <is>
          <t>○</t>
        </is>
      </c>
    </row>
    <row r="5599" ht="15" customHeight="1" s="37">
      <c r="A5599" t="n">
        <v>13</v>
      </c>
      <c r="B5599" s="10" t="inlineStr">
        <is>
          <t>平日</t>
        </is>
      </c>
      <c r="C5599" s="10" t="inlineStr">
        <is>
          <t>本線</t>
        </is>
      </c>
      <c r="D5599" s="10" t="inlineStr">
        <is>
          <t>上り</t>
        </is>
      </c>
      <c r="E5599" t="inlineStr">
        <is>
          <t>2306</t>
        </is>
      </c>
      <c r="F5599" t="inlineStr">
        <is>
          <t>0225</t>
        </is>
      </c>
      <c r="G5599" s="10" t="inlineStr">
        <is>
          <t>有栖川</t>
        </is>
      </c>
      <c r="H5599" s="10" t="inlineStr">
        <is>
          <t>発</t>
        </is>
      </c>
      <c r="J5599" s="10" t="inlineStr">
        <is>
          <t>営業</t>
        </is>
      </c>
      <c r="L5599" t="inlineStr">
        <is>
          <t>23:37:05</t>
        </is>
      </c>
      <c r="M5599" t="inlineStr">
        <is>
          <t>23:37:20</t>
        </is>
      </c>
      <c r="R5599" t="inlineStr">
        <is>
          <t>○</t>
        </is>
      </c>
    </row>
    <row r="5600" ht="15" customHeight="1" s="37">
      <c r="A5600" t="n">
        <v>13</v>
      </c>
      <c r="B5600" s="10" t="inlineStr">
        <is>
          <t>平日</t>
        </is>
      </c>
      <c r="C5600" s="10" t="inlineStr">
        <is>
          <t>本線</t>
        </is>
      </c>
      <c r="D5600" s="10" t="inlineStr">
        <is>
          <t>上り</t>
        </is>
      </c>
      <c r="E5600" t="inlineStr">
        <is>
          <t>2306</t>
        </is>
      </c>
      <c r="F5600" t="inlineStr">
        <is>
          <t>0225</t>
        </is>
      </c>
      <c r="G5600" s="10" t="inlineStr">
        <is>
          <t>帷子ノ辻</t>
        </is>
      </c>
      <c r="H5600" s="10" t="inlineStr">
        <is>
          <t>発</t>
        </is>
      </c>
      <c r="J5600" s="10" t="inlineStr">
        <is>
          <t>営業</t>
        </is>
      </c>
      <c r="L5600" t="inlineStr">
        <is>
          <t>23:38:35</t>
        </is>
      </c>
      <c r="M5600" t="inlineStr">
        <is>
          <t>23:39:05</t>
        </is>
      </c>
      <c r="R5600" t="inlineStr">
        <is>
          <t>○</t>
        </is>
      </c>
    </row>
    <row r="5601" ht="15" customHeight="1" s="37">
      <c r="A5601" t="n">
        <v>13</v>
      </c>
      <c r="B5601" s="10" t="inlineStr">
        <is>
          <t>平日</t>
        </is>
      </c>
      <c r="C5601" s="10" t="inlineStr">
        <is>
          <t>本線</t>
        </is>
      </c>
      <c r="D5601" s="10" t="inlineStr">
        <is>
          <t>上り</t>
        </is>
      </c>
      <c r="E5601" t="inlineStr">
        <is>
          <t>2306</t>
        </is>
      </c>
      <c r="F5601" t="inlineStr">
        <is>
          <t>0225</t>
        </is>
      </c>
      <c r="G5601" s="10" t="inlineStr">
        <is>
          <t>太秦広隆寺</t>
        </is>
      </c>
      <c r="H5601" s="10" t="inlineStr">
        <is>
          <t>発</t>
        </is>
      </c>
      <c r="J5601" s="10" t="inlineStr">
        <is>
          <t>営業</t>
        </is>
      </c>
      <c r="L5601" t="inlineStr">
        <is>
          <t>23:41:15</t>
        </is>
      </c>
      <c r="M5601" t="inlineStr">
        <is>
          <t>23:41:35</t>
        </is>
      </c>
      <c r="R5601" t="inlineStr">
        <is>
          <t>○</t>
        </is>
      </c>
    </row>
    <row r="5602" ht="15" customHeight="1" s="37">
      <c r="A5602" t="n">
        <v>13</v>
      </c>
      <c r="B5602" s="10" t="inlineStr">
        <is>
          <t>平日</t>
        </is>
      </c>
      <c r="C5602" s="10" t="inlineStr">
        <is>
          <t>本線</t>
        </is>
      </c>
      <c r="D5602" s="10" t="inlineStr">
        <is>
          <t>上り</t>
        </is>
      </c>
      <c r="E5602" t="inlineStr">
        <is>
          <t>2306</t>
        </is>
      </c>
      <c r="F5602" t="inlineStr">
        <is>
          <t>0225</t>
        </is>
      </c>
      <c r="G5602" s="10" t="inlineStr">
        <is>
          <t>蚕ノ社</t>
        </is>
      </c>
      <c r="H5602" s="10" t="inlineStr">
        <is>
          <t>発</t>
        </is>
      </c>
      <c r="J5602" s="10" t="inlineStr">
        <is>
          <t>営業</t>
        </is>
      </c>
      <c r="L5602" t="inlineStr">
        <is>
          <t>23:42:50</t>
        </is>
      </c>
      <c r="M5602" t="inlineStr">
        <is>
          <t>23:43:10</t>
        </is>
      </c>
      <c r="R5602" t="inlineStr">
        <is>
          <t>○</t>
        </is>
      </c>
    </row>
    <row r="5603" ht="15" customHeight="1" s="37">
      <c r="A5603" t="n">
        <v>13</v>
      </c>
      <c r="B5603" s="10" t="inlineStr">
        <is>
          <t>平日</t>
        </is>
      </c>
      <c r="C5603" s="10" t="inlineStr">
        <is>
          <t>本線</t>
        </is>
      </c>
      <c r="D5603" s="10" t="inlineStr">
        <is>
          <t>上り</t>
        </is>
      </c>
      <c r="E5603" t="inlineStr">
        <is>
          <t>2306</t>
        </is>
      </c>
      <c r="F5603" t="inlineStr">
        <is>
          <t>0225</t>
        </is>
      </c>
      <c r="G5603" s="10" t="inlineStr">
        <is>
          <t>天神川</t>
        </is>
      </c>
      <c r="H5603" s="10" t="inlineStr">
        <is>
          <t>発</t>
        </is>
      </c>
      <c r="J5603" s="10" t="inlineStr">
        <is>
          <t>営業</t>
        </is>
      </c>
      <c r="L5603" t="inlineStr">
        <is>
          <t>23:43:55</t>
        </is>
      </c>
      <c r="M5603" t="inlineStr">
        <is>
          <t>23:44:20</t>
        </is>
      </c>
      <c r="R5603" t="inlineStr">
        <is>
          <t>○</t>
        </is>
      </c>
    </row>
    <row r="5604" ht="15" customHeight="1" s="37">
      <c r="A5604" t="n">
        <v>13</v>
      </c>
      <c r="B5604" s="10" t="inlineStr">
        <is>
          <t>平日</t>
        </is>
      </c>
      <c r="C5604" s="10" t="inlineStr">
        <is>
          <t>本線</t>
        </is>
      </c>
      <c r="D5604" s="10" t="inlineStr">
        <is>
          <t>上り</t>
        </is>
      </c>
      <c r="E5604" t="inlineStr">
        <is>
          <t>2306</t>
        </is>
      </c>
      <c r="F5604" t="inlineStr">
        <is>
          <t>0225</t>
        </is>
      </c>
      <c r="G5604" s="10" t="inlineStr">
        <is>
          <t>山ノ内</t>
        </is>
      </c>
      <c r="H5604" s="10" t="inlineStr">
        <is>
          <t>発</t>
        </is>
      </c>
      <c r="J5604" s="10" t="inlineStr">
        <is>
          <t>営業</t>
        </is>
      </c>
      <c r="L5604" t="inlineStr">
        <is>
          <t>23:46:10</t>
        </is>
      </c>
      <c r="M5604" t="inlineStr">
        <is>
          <t>23:46:35</t>
        </is>
      </c>
      <c r="R5604" t="inlineStr">
        <is>
          <t>○</t>
        </is>
      </c>
    </row>
    <row r="5605" ht="15" customHeight="1" s="37">
      <c r="A5605" t="n">
        <v>13</v>
      </c>
      <c r="B5605" s="10" t="inlineStr">
        <is>
          <t>平日</t>
        </is>
      </c>
      <c r="C5605" s="10" t="inlineStr">
        <is>
          <t>本線</t>
        </is>
      </c>
      <c r="D5605" s="10" t="inlineStr">
        <is>
          <t>上り</t>
        </is>
      </c>
      <c r="E5605" t="inlineStr">
        <is>
          <t>2306</t>
        </is>
      </c>
      <c r="F5605" t="inlineStr">
        <is>
          <t>0225</t>
        </is>
      </c>
      <c r="G5605" s="10" t="inlineStr">
        <is>
          <t>西大路三条</t>
        </is>
      </c>
      <c r="H5605" s="10" t="inlineStr">
        <is>
          <t>発</t>
        </is>
      </c>
      <c r="J5605" s="10" t="inlineStr">
        <is>
          <t>営業</t>
        </is>
      </c>
      <c r="L5605" t="inlineStr">
        <is>
          <t>23:48:25</t>
        </is>
      </c>
      <c r="M5605" t="inlineStr">
        <is>
          <t>23:48:40</t>
        </is>
      </c>
      <c r="R5605" t="inlineStr">
        <is>
          <t>○</t>
        </is>
      </c>
    </row>
    <row r="5606" ht="15" customHeight="1" s="37">
      <c r="A5606" t="n">
        <v>13</v>
      </c>
      <c r="B5606" s="10" t="inlineStr">
        <is>
          <t>平日</t>
        </is>
      </c>
      <c r="C5606" s="10" t="inlineStr">
        <is>
          <t>本線</t>
        </is>
      </c>
      <c r="D5606" s="10" t="inlineStr">
        <is>
          <t>上り</t>
        </is>
      </c>
      <c r="E5606" t="inlineStr">
        <is>
          <t>2306</t>
        </is>
      </c>
      <c r="F5606" t="inlineStr">
        <is>
          <t>0225</t>
        </is>
      </c>
      <c r="G5606" s="10" t="inlineStr">
        <is>
          <t>西院</t>
        </is>
      </c>
      <c r="H5606" s="10" t="inlineStr">
        <is>
          <t>着</t>
        </is>
      </c>
      <c r="J5606" s="10" t="inlineStr">
        <is>
          <t>営業</t>
        </is>
      </c>
      <c r="L5606" t="inlineStr">
        <is>
          <t>23:50:35</t>
        </is>
      </c>
      <c r="R5606" t="inlineStr">
        <is>
          <t>○</t>
        </is>
      </c>
      <c r="T5606" t="inlineStr">
        <is>
          <t>○</t>
        </is>
      </c>
    </row>
    <row r="5607" ht="15" customHeight="1" s="37">
      <c r="A5607" t="n">
        <v>13</v>
      </c>
      <c r="B5607" s="10" t="inlineStr">
        <is>
          <t>平日</t>
        </is>
      </c>
      <c r="C5607" s="10" t="inlineStr">
        <is>
          <t>本線</t>
        </is>
      </c>
      <c r="D5607" s="10" t="inlineStr">
        <is>
          <t>下り</t>
        </is>
      </c>
      <c r="E5607" s="10" t="inlineStr">
        <is>
          <t>連1503</t>
        </is>
      </c>
      <c r="F5607" t="inlineStr">
        <is>
          <t>0112</t>
        </is>
      </c>
      <c r="G5607" s="10" t="inlineStr">
        <is>
          <t>西院</t>
        </is>
      </c>
      <c r="H5607" s="10" t="inlineStr">
        <is>
          <t>発</t>
        </is>
      </c>
      <c r="J5607" s="10" t="inlineStr">
        <is>
          <t>営業</t>
        </is>
      </c>
      <c r="L5607" t="inlineStr">
        <is>
          <t>15:15:50</t>
        </is>
      </c>
      <c r="M5607" t="inlineStr">
        <is>
          <t>15:16:20</t>
        </is>
      </c>
      <c r="P5607" t="inlineStr">
        <is>
          <t>B系統(日中)</t>
        </is>
      </c>
    </row>
    <row r="5608" ht="15" customHeight="1" s="37">
      <c r="A5608" t="n">
        <v>13</v>
      </c>
      <c r="B5608" s="10" t="inlineStr">
        <is>
          <t>平日</t>
        </is>
      </c>
      <c r="C5608" s="10" t="inlineStr">
        <is>
          <t>本線</t>
        </is>
      </c>
      <c r="D5608" s="10" t="inlineStr">
        <is>
          <t>下り</t>
        </is>
      </c>
      <c r="E5608" s="10" t="inlineStr">
        <is>
          <t>連1503</t>
        </is>
      </c>
      <c r="F5608" t="inlineStr">
        <is>
          <t>0112</t>
        </is>
      </c>
      <c r="G5608" s="10" t="inlineStr">
        <is>
          <t>西大路三条</t>
        </is>
      </c>
      <c r="H5608" s="10" t="inlineStr">
        <is>
          <t>発</t>
        </is>
      </c>
      <c r="J5608" s="10" t="inlineStr">
        <is>
          <t>営業</t>
        </is>
      </c>
      <c r="L5608" t="inlineStr">
        <is>
          <t>15:18:10</t>
        </is>
      </c>
      <c r="M5608" t="inlineStr">
        <is>
          <t>15:18:30</t>
        </is>
      </c>
      <c r="P5608" t="inlineStr">
        <is>
          <t>B系統(日中)</t>
        </is>
      </c>
    </row>
    <row r="5609" ht="15" customHeight="1" s="37">
      <c r="A5609" t="n">
        <v>13</v>
      </c>
      <c r="B5609" s="10" t="inlineStr">
        <is>
          <t>平日</t>
        </is>
      </c>
      <c r="C5609" s="10" t="inlineStr">
        <is>
          <t>本線</t>
        </is>
      </c>
      <c r="D5609" s="10" t="inlineStr">
        <is>
          <t>下り</t>
        </is>
      </c>
      <c r="E5609" s="10" t="inlineStr">
        <is>
          <t>連1503</t>
        </is>
      </c>
      <c r="F5609" t="inlineStr">
        <is>
          <t>0112</t>
        </is>
      </c>
      <c r="G5609" s="10" t="inlineStr">
        <is>
          <t>山ノ内</t>
        </is>
      </c>
      <c r="H5609" s="10" t="inlineStr">
        <is>
          <t>発</t>
        </is>
      </c>
      <c r="J5609" s="10" t="inlineStr">
        <is>
          <t>営業</t>
        </is>
      </c>
      <c r="L5609" t="inlineStr">
        <is>
          <t>15:20:25</t>
        </is>
      </c>
      <c r="M5609" t="inlineStr">
        <is>
          <t>15:20:50</t>
        </is>
      </c>
      <c r="P5609" t="inlineStr">
        <is>
          <t>B系統(日中)</t>
        </is>
      </c>
    </row>
    <row r="5610" ht="15" customHeight="1" s="37">
      <c r="A5610" t="n">
        <v>13</v>
      </c>
      <c r="B5610" s="10" t="inlineStr">
        <is>
          <t>平日</t>
        </is>
      </c>
      <c r="C5610" s="10" t="inlineStr">
        <is>
          <t>本線</t>
        </is>
      </c>
      <c r="D5610" s="10" t="inlineStr">
        <is>
          <t>下り</t>
        </is>
      </c>
      <c r="E5610" s="10" t="inlineStr">
        <is>
          <t>連1503</t>
        </is>
      </c>
      <c r="F5610" t="inlineStr">
        <is>
          <t>0112</t>
        </is>
      </c>
      <c r="G5610" s="10" t="inlineStr">
        <is>
          <t>天神川</t>
        </is>
      </c>
      <c r="H5610" s="10" t="inlineStr">
        <is>
          <t>発</t>
        </is>
      </c>
      <c r="J5610" s="10" t="inlineStr">
        <is>
          <t>営業</t>
        </is>
      </c>
      <c r="L5610" t="inlineStr">
        <is>
          <t>15:22:50</t>
        </is>
      </c>
      <c r="M5610" t="inlineStr">
        <is>
          <t>15:23:30</t>
        </is>
      </c>
      <c r="P5610" t="inlineStr">
        <is>
          <t>B系統(日中)</t>
        </is>
      </c>
    </row>
    <row r="5611" ht="15" customHeight="1" s="37">
      <c r="A5611" t="n">
        <v>13</v>
      </c>
      <c r="B5611" s="10" t="inlineStr">
        <is>
          <t>平日</t>
        </is>
      </c>
      <c r="C5611" s="10" t="inlineStr">
        <is>
          <t>本線</t>
        </is>
      </c>
      <c r="D5611" s="10" t="inlineStr">
        <is>
          <t>下り</t>
        </is>
      </c>
      <c r="E5611" s="10" t="inlineStr">
        <is>
          <t>連1503</t>
        </is>
      </c>
      <c r="F5611" t="inlineStr">
        <is>
          <t>0112</t>
        </is>
      </c>
      <c r="G5611" s="10" t="inlineStr">
        <is>
          <t>蚕ノ社</t>
        </is>
      </c>
      <c r="H5611" s="10" t="inlineStr">
        <is>
          <t>発</t>
        </is>
      </c>
      <c r="J5611" s="10" t="inlineStr">
        <is>
          <t>営業</t>
        </is>
      </c>
      <c r="L5611" t="inlineStr">
        <is>
          <t>15:24:20</t>
        </is>
      </c>
      <c r="M5611" t="inlineStr">
        <is>
          <t>15:24:40</t>
        </is>
      </c>
      <c r="P5611" t="inlineStr">
        <is>
          <t>B系統(日中)</t>
        </is>
      </c>
    </row>
    <row r="5612" ht="15" customHeight="1" s="37">
      <c r="A5612" t="n">
        <v>13</v>
      </c>
      <c r="B5612" s="10" t="inlineStr">
        <is>
          <t>平日</t>
        </is>
      </c>
      <c r="C5612" s="10" t="inlineStr">
        <is>
          <t>本線</t>
        </is>
      </c>
      <c r="D5612" s="10" t="inlineStr">
        <is>
          <t>下り</t>
        </is>
      </c>
      <c r="E5612" s="10" t="inlineStr">
        <is>
          <t>連1503</t>
        </is>
      </c>
      <c r="F5612" t="inlineStr">
        <is>
          <t>0112</t>
        </is>
      </c>
      <c r="G5612" s="10" t="inlineStr">
        <is>
          <t>太秦広隆寺</t>
        </is>
      </c>
      <c r="H5612" s="10" t="inlineStr">
        <is>
          <t>発</t>
        </is>
      </c>
      <c r="J5612" s="10" t="inlineStr">
        <is>
          <t>営業</t>
        </is>
      </c>
      <c r="L5612" t="inlineStr">
        <is>
          <t>15:26:00</t>
        </is>
      </c>
      <c r="M5612" t="inlineStr">
        <is>
          <t>15:26:20</t>
        </is>
      </c>
      <c r="P5612" t="inlineStr">
        <is>
          <t>B系統(日中)</t>
        </is>
      </c>
    </row>
    <row r="5613" ht="15" customHeight="1" s="37">
      <c r="A5613" t="n">
        <v>13</v>
      </c>
      <c r="B5613" s="10" t="inlineStr">
        <is>
          <t>平日</t>
        </is>
      </c>
      <c r="C5613" s="10" t="inlineStr">
        <is>
          <t>本線</t>
        </is>
      </c>
      <c r="D5613" s="10" t="inlineStr">
        <is>
          <t>下り</t>
        </is>
      </c>
      <c r="E5613" s="10" t="inlineStr">
        <is>
          <t>連1503</t>
        </is>
      </c>
      <c r="F5613" t="inlineStr">
        <is>
          <t>0112</t>
        </is>
      </c>
      <c r="G5613" s="10" t="inlineStr">
        <is>
          <t>帷子ノ辻</t>
        </is>
      </c>
      <c r="H5613" s="10" t="inlineStr">
        <is>
          <t>発</t>
        </is>
      </c>
      <c r="J5613" s="10" t="inlineStr">
        <is>
          <t>営業</t>
        </is>
      </c>
      <c r="L5613" t="inlineStr">
        <is>
          <t>15:28:20</t>
        </is>
      </c>
      <c r="M5613" t="inlineStr">
        <is>
          <t>15:29:40</t>
        </is>
      </c>
      <c r="P5613" t="inlineStr">
        <is>
          <t>B系統(日中)</t>
        </is>
      </c>
    </row>
    <row r="5614" ht="15" customHeight="1" s="37">
      <c r="A5614" t="n">
        <v>13</v>
      </c>
      <c r="B5614" s="10" t="inlineStr">
        <is>
          <t>平日</t>
        </is>
      </c>
      <c r="C5614" s="10" t="inlineStr">
        <is>
          <t>本線</t>
        </is>
      </c>
      <c r="D5614" s="10" t="inlineStr">
        <is>
          <t>下り</t>
        </is>
      </c>
      <c r="E5614" s="10" t="inlineStr">
        <is>
          <t>連1503</t>
        </is>
      </c>
      <c r="F5614" t="inlineStr">
        <is>
          <t>0112</t>
        </is>
      </c>
      <c r="G5614" s="10" t="inlineStr">
        <is>
          <t>有栖川</t>
        </is>
      </c>
      <c r="H5614" s="10" t="inlineStr">
        <is>
          <t>発</t>
        </is>
      </c>
      <c r="J5614" s="10" t="inlineStr">
        <is>
          <t>営業</t>
        </is>
      </c>
      <c r="L5614" t="inlineStr">
        <is>
          <t>15:30:50</t>
        </is>
      </c>
      <c r="M5614" t="inlineStr">
        <is>
          <t>15:31:15</t>
        </is>
      </c>
      <c r="P5614" t="inlineStr">
        <is>
          <t>B系統(日中)</t>
        </is>
      </c>
    </row>
    <row r="5615" ht="15" customHeight="1" s="37">
      <c r="A5615" t="n">
        <v>13</v>
      </c>
      <c r="B5615" s="10" t="inlineStr">
        <is>
          <t>平日</t>
        </is>
      </c>
      <c r="C5615" s="10" t="inlineStr">
        <is>
          <t>本線</t>
        </is>
      </c>
      <c r="D5615" s="10" t="inlineStr">
        <is>
          <t>下り</t>
        </is>
      </c>
      <c r="E5615" s="10" t="inlineStr">
        <is>
          <t>連1503</t>
        </is>
      </c>
      <c r="F5615" t="inlineStr">
        <is>
          <t>0112</t>
        </is>
      </c>
      <c r="G5615" s="10" t="inlineStr">
        <is>
          <t>車折</t>
        </is>
      </c>
      <c r="H5615" s="10" t="inlineStr">
        <is>
          <t>発</t>
        </is>
      </c>
      <c r="J5615" s="10" t="inlineStr">
        <is>
          <t>営業</t>
        </is>
      </c>
      <c r="L5615" t="inlineStr">
        <is>
          <t>15:32:40</t>
        </is>
      </c>
      <c r="M5615" t="inlineStr">
        <is>
          <t>15:33:05</t>
        </is>
      </c>
      <c r="P5615" t="inlineStr">
        <is>
          <t>B系統(日中)</t>
        </is>
      </c>
    </row>
    <row r="5616" ht="15" customHeight="1" s="37">
      <c r="A5616" t="n">
        <v>13</v>
      </c>
      <c r="B5616" s="10" t="inlineStr">
        <is>
          <t>平日</t>
        </is>
      </c>
      <c r="C5616" s="10" t="inlineStr">
        <is>
          <t>本線</t>
        </is>
      </c>
      <c r="D5616" s="10" t="inlineStr">
        <is>
          <t>下り</t>
        </is>
      </c>
      <c r="E5616" s="10" t="inlineStr">
        <is>
          <t>連1503</t>
        </is>
      </c>
      <c r="F5616" t="inlineStr">
        <is>
          <t>0112</t>
        </is>
      </c>
      <c r="G5616" s="10" t="inlineStr">
        <is>
          <t>鹿王院</t>
        </is>
      </c>
      <c r="H5616" s="10" t="inlineStr">
        <is>
          <t>発</t>
        </is>
      </c>
      <c r="J5616" s="10" t="inlineStr">
        <is>
          <t>営業</t>
        </is>
      </c>
      <c r="L5616" t="inlineStr">
        <is>
          <t>15:34:00</t>
        </is>
      </c>
      <c r="M5616" t="inlineStr">
        <is>
          <t>15:34:25</t>
        </is>
      </c>
      <c r="P5616" t="inlineStr">
        <is>
          <t>B系統(日中)</t>
        </is>
      </c>
    </row>
    <row r="5617" ht="15" customHeight="1" s="37">
      <c r="A5617" t="n">
        <v>13</v>
      </c>
      <c r="B5617" s="10" t="inlineStr">
        <is>
          <t>平日</t>
        </is>
      </c>
      <c r="C5617" s="10" t="inlineStr">
        <is>
          <t>本線</t>
        </is>
      </c>
      <c r="D5617" s="10" t="inlineStr">
        <is>
          <t>下り</t>
        </is>
      </c>
      <c r="E5617" s="10" t="inlineStr">
        <is>
          <t>連1503</t>
        </is>
      </c>
      <c r="F5617" t="inlineStr">
        <is>
          <t>0112</t>
        </is>
      </c>
      <c r="G5617" s="10" t="inlineStr">
        <is>
          <t>嵯峨</t>
        </is>
      </c>
      <c r="H5617" s="10" t="inlineStr">
        <is>
          <t>発</t>
        </is>
      </c>
      <c r="J5617" s="10" t="inlineStr">
        <is>
          <t>営業</t>
        </is>
      </c>
      <c r="L5617" t="inlineStr">
        <is>
          <t>15:35:30</t>
        </is>
      </c>
      <c r="M5617" t="inlineStr">
        <is>
          <t>15:35:55</t>
        </is>
      </c>
      <c r="P5617" t="inlineStr">
        <is>
          <t>B系統(日中)</t>
        </is>
      </c>
    </row>
    <row r="5618" ht="15" customHeight="1" s="37">
      <c r="A5618" t="n">
        <v>13</v>
      </c>
      <c r="B5618" s="10" t="inlineStr">
        <is>
          <t>平日</t>
        </is>
      </c>
      <c r="C5618" s="10" t="inlineStr">
        <is>
          <t>本線</t>
        </is>
      </c>
      <c r="D5618" s="10" t="inlineStr">
        <is>
          <t>下り</t>
        </is>
      </c>
      <c r="E5618" s="10" t="inlineStr">
        <is>
          <t>連1503</t>
        </is>
      </c>
      <c r="F5618" t="inlineStr">
        <is>
          <t>0112</t>
        </is>
      </c>
      <c r="G5618" s="10" t="inlineStr">
        <is>
          <t>嵐山</t>
        </is>
      </c>
      <c r="H5618" s="10" t="inlineStr">
        <is>
          <t>着</t>
        </is>
      </c>
      <c r="J5618" s="10" t="inlineStr">
        <is>
          <t>営業</t>
        </is>
      </c>
      <c r="L5618" t="inlineStr">
        <is>
          <t>15:37:00</t>
        </is>
      </c>
      <c r="P5618" t="inlineStr">
        <is>
          <t>B系統(日中)</t>
        </is>
      </c>
      <c r="Q5618" t="inlineStr">
        <is>
          <t>1</t>
        </is>
      </c>
    </row>
    <row r="5619" ht="15" customHeight="1" s="37">
      <c r="A5619" t="n">
        <v>13</v>
      </c>
      <c r="B5619" s="10" t="inlineStr">
        <is>
          <t>平日</t>
        </is>
      </c>
      <c r="C5619" s="10" t="inlineStr">
        <is>
          <t>本線</t>
        </is>
      </c>
      <c r="D5619" s="10" t="inlineStr">
        <is>
          <t>上り</t>
        </is>
      </c>
      <c r="E5619" s="10" t="inlineStr">
        <is>
          <t>連1510</t>
        </is>
      </c>
      <c r="F5619" t="inlineStr">
        <is>
          <t>0211</t>
        </is>
      </c>
      <c r="G5619" s="10" t="inlineStr">
        <is>
          <t>嵐山</t>
        </is>
      </c>
      <c r="H5619" s="10" t="inlineStr">
        <is>
          <t>発</t>
        </is>
      </c>
      <c r="J5619" s="10" t="inlineStr">
        <is>
          <t>営業</t>
        </is>
      </c>
      <c r="M5619" t="inlineStr">
        <is>
          <t>15:43:00</t>
        </is>
      </c>
      <c r="P5619" t="inlineStr">
        <is>
          <t>B系統(日中)</t>
        </is>
      </c>
      <c r="Q5619" t="inlineStr">
        <is>
          <t>1</t>
        </is>
      </c>
    </row>
    <row r="5620" ht="15" customHeight="1" s="37">
      <c r="A5620" t="n">
        <v>13</v>
      </c>
      <c r="B5620" s="10" t="inlineStr">
        <is>
          <t>平日</t>
        </is>
      </c>
      <c r="C5620" s="10" t="inlineStr">
        <is>
          <t>本線</t>
        </is>
      </c>
      <c r="D5620" s="10" t="inlineStr">
        <is>
          <t>上り</t>
        </is>
      </c>
      <c r="E5620" s="10" t="inlineStr">
        <is>
          <t>連1510</t>
        </is>
      </c>
      <c r="F5620" t="inlineStr">
        <is>
          <t>0211</t>
        </is>
      </c>
      <c r="G5620" s="10" t="inlineStr">
        <is>
          <t>嵯峨</t>
        </is>
      </c>
      <c r="H5620" s="10" t="inlineStr">
        <is>
          <t>発</t>
        </is>
      </c>
      <c r="J5620" s="10" t="inlineStr">
        <is>
          <t>営業</t>
        </is>
      </c>
      <c r="L5620" t="inlineStr">
        <is>
          <t>15:43:55</t>
        </is>
      </c>
      <c r="M5620" t="inlineStr">
        <is>
          <t>15:44:20</t>
        </is>
      </c>
      <c r="P5620" t="inlineStr">
        <is>
          <t>B系統(日中)</t>
        </is>
      </c>
    </row>
    <row r="5621" ht="15" customHeight="1" s="37">
      <c r="A5621" t="n">
        <v>13</v>
      </c>
      <c r="B5621" s="10" t="inlineStr">
        <is>
          <t>平日</t>
        </is>
      </c>
      <c r="C5621" s="10" t="inlineStr">
        <is>
          <t>本線</t>
        </is>
      </c>
      <c r="D5621" s="10" t="inlineStr">
        <is>
          <t>上り</t>
        </is>
      </c>
      <c r="E5621" s="10" t="inlineStr">
        <is>
          <t>連1510</t>
        </is>
      </c>
      <c r="F5621" t="inlineStr">
        <is>
          <t>0211</t>
        </is>
      </c>
      <c r="G5621" s="10" t="inlineStr">
        <is>
          <t>鹿王院</t>
        </is>
      </c>
      <c r="H5621" s="10" t="inlineStr">
        <is>
          <t>発</t>
        </is>
      </c>
      <c r="J5621" s="10" t="inlineStr">
        <is>
          <t>営業</t>
        </is>
      </c>
      <c r="L5621" t="inlineStr">
        <is>
          <t>15:45:25</t>
        </is>
      </c>
      <c r="M5621" t="inlineStr">
        <is>
          <t>15:45:45</t>
        </is>
      </c>
      <c r="P5621" t="inlineStr">
        <is>
          <t>B系統(日中)</t>
        </is>
      </c>
    </row>
    <row r="5622" ht="15" customHeight="1" s="37">
      <c r="A5622" t="n">
        <v>13</v>
      </c>
      <c r="B5622" s="10" t="inlineStr">
        <is>
          <t>平日</t>
        </is>
      </c>
      <c r="C5622" s="10" t="inlineStr">
        <is>
          <t>本線</t>
        </is>
      </c>
      <c r="D5622" s="10" t="inlineStr">
        <is>
          <t>上り</t>
        </is>
      </c>
      <c r="E5622" s="10" t="inlineStr">
        <is>
          <t>連1510</t>
        </is>
      </c>
      <c r="F5622" t="inlineStr">
        <is>
          <t>0211</t>
        </is>
      </c>
      <c r="G5622" s="10" t="inlineStr">
        <is>
          <t>車折</t>
        </is>
      </c>
      <c r="H5622" s="10" t="inlineStr">
        <is>
          <t>発</t>
        </is>
      </c>
      <c r="J5622" s="10" t="inlineStr">
        <is>
          <t>営業</t>
        </is>
      </c>
      <c r="L5622" t="inlineStr">
        <is>
          <t>15:46:40</t>
        </is>
      </c>
      <c r="M5622" t="inlineStr">
        <is>
          <t>15:47:10</t>
        </is>
      </c>
      <c r="P5622" t="inlineStr">
        <is>
          <t>B系統(日中)</t>
        </is>
      </c>
    </row>
    <row r="5623" ht="15" customHeight="1" s="37">
      <c r="A5623" t="n">
        <v>13</v>
      </c>
      <c r="B5623" s="10" t="inlineStr">
        <is>
          <t>平日</t>
        </is>
      </c>
      <c r="C5623" s="10" t="inlineStr">
        <is>
          <t>本線</t>
        </is>
      </c>
      <c r="D5623" s="10" t="inlineStr">
        <is>
          <t>上り</t>
        </is>
      </c>
      <c r="E5623" s="10" t="inlineStr">
        <is>
          <t>連1510</t>
        </is>
      </c>
      <c r="F5623" t="inlineStr">
        <is>
          <t>0211</t>
        </is>
      </c>
      <c r="G5623" s="10" t="inlineStr">
        <is>
          <t>有栖川</t>
        </is>
      </c>
      <c r="H5623" s="10" t="inlineStr">
        <is>
          <t>発</t>
        </is>
      </c>
      <c r="J5623" s="10" t="inlineStr">
        <is>
          <t>営業</t>
        </is>
      </c>
      <c r="L5623" t="inlineStr">
        <is>
          <t>15:48:35</t>
        </is>
      </c>
      <c r="M5623" t="inlineStr">
        <is>
          <t>15:48:55</t>
        </is>
      </c>
      <c r="P5623" t="inlineStr">
        <is>
          <t>B系統(日中)</t>
        </is>
      </c>
    </row>
    <row r="5624" ht="15" customHeight="1" s="37">
      <c r="A5624" t="n">
        <v>13</v>
      </c>
      <c r="B5624" s="10" t="inlineStr">
        <is>
          <t>平日</t>
        </is>
      </c>
      <c r="C5624" s="10" t="inlineStr">
        <is>
          <t>本線</t>
        </is>
      </c>
      <c r="D5624" s="10" t="inlineStr">
        <is>
          <t>上り</t>
        </is>
      </c>
      <c r="E5624" s="10" t="inlineStr">
        <is>
          <t>連1510</t>
        </is>
      </c>
      <c r="F5624" t="inlineStr">
        <is>
          <t>0211</t>
        </is>
      </c>
      <c r="G5624" s="10" t="inlineStr">
        <is>
          <t>帷子ノ辻</t>
        </is>
      </c>
      <c r="H5624" s="10" t="inlineStr">
        <is>
          <t>発</t>
        </is>
      </c>
      <c r="J5624" s="10" t="inlineStr">
        <is>
          <t>営業</t>
        </is>
      </c>
      <c r="L5624" t="inlineStr">
        <is>
          <t>15:50:10</t>
        </is>
      </c>
      <c r="M5624" t="inlineStr">
        <is>
          <t>15:51:15</t>
        </is>
      </c>
      <c r="P5624" t="inlineStr">
        <is>
          <t>B系統(日中)</t>
        </is>
      </c>
    </row>
    <row r="5625" ht="15" customHeight="1" s="37">
      <c r="A5625" t="n">
        <v>13</v>
      </c>
      <c r="B5625" s="10" t="inlineStr">
        <is>
          <t>平日</t>
        </is>
      </c>
      <c r="C5625" s="10" t="inlineStr">
        <is>
          <t>本線</t>
        </is>
      </c>
      <c r="D5625" s="10" t="inlineStr">
        <is>
          <t>上り</t>
        </is>
      </c>
      <c r="E5625" s="10" t="inlineStr">
        <is>
          <t>連1510</t>
        </is>
      </c>
      <c r="F5625" t="inlineStr">
        <is>
          <t>0211</t>
        </is>
      </c>
      <c r="G5625" s="10" t="inlineStr">
        <is>
          <t>太秦広隆寺</t>
        </is>
      </c>
      <c r="H5625" s="10" t="inlineStr">
        <is>
          <t>発</t>
        </is>
      </c>
      <c r="J5625" s="10" t="inlineStr">
        <is>
          <t>営業</t>
        </is>
      </c>
      <c r="L5625" t="inlineStr">
        <is>
          <t>15:53:25</t>
        </is>
      </c>
      <c r="M5625" t="inlineStr">
        <is>
          <t>15:53:45</t>
        </is>
      </c>
      <c r="P5625" t="inlineStr">
        <is>
          <t>B系統(日中)</t>
        </is>
      </c>
    </row>
    <row r="5626" ht="15" customHeight="1" s="37">
      <c r="A5626" t="n">
        <v>13</v>
      </c>
      <c r="B5626" s="10" t="inlineStr">
        <is>
          <t>平日</t>
        </is>
      </c>
      <c r="C5626" s="10" t="inlineStr">
        <is>
          <t>本線</t>
        </is>
      </c>
      <c r="D5626" s="10" t="inlineStr">
        <is>
          <t>上り</t>
        </is>
      </c>
      <c r="E5626" s="10" t="inlineStr">
        <is>
          <t>連1510</t>
        </is>
      </c>
      <c r="F5626" t="inlineStr">
        <is>
          <t>0211</t>
        </is>
      </c>
      <c r="G5626" s="10" t="inlineStr">
        <is>
          <t>蚕ノ社</t>
        </is>
      </c>
      <c r="H5626" s="10" t="inlineStr">
        <is>
          <t>発</t>
        </is>
      </c>
      <c r="J5626" s="10" t="inlineStr">
        <is>
          <t>営業</t>
        </is>
      </c>
      <c r="L5626" t="inlineStr">
        <is>
          <t>15:55:00</t>
        </is>
      </c>
      <c r="M5626" t="inlineStr">
        <is>
          <t>15:55:20</t>
        </is>
      </c>
      <c r="P5626" t="inlineStr">
        <is>
          <t>B系統(日中)</t>
        </is>
      </c>
    </row>
    <row r="5627" ht="15" customHeight="1" s="37">
      <c r="A5627" t="n">
        <v>13</v>
      </c>
      <c r="B5627" s="10" t="inlineStr">
        <is>
          <t>平日</t>
        </is>
      </c>
      <c r="C5627" s="10" t="inlineStr">
        <is>
          <t>本線</t>
        </is>
      </c>
      <c r="D5627" s="10" t="inlineStr">
        <is>
          <t>上り</t>
        </is>
      </c>
      <c r="E5627" s="10" t="inlineStr">
        <is>
          <t>連1510</t>
        </is>
      </c>
      <c r="F5627" t="inlineStr">
        <is>
          <t>0211</t>
        </is>
      </c>
      <c r="G5627" s="10" t="inlineStr">
        <is>
          <t>天神川</t>
        </is>
      </c>
      <c r="H5627" s="10" t="inlineStr">
        <is>
          <t>発</t>
        </is>
      </c>
      <c r="J5627" s="10" t="inlineStr">
        <is>
          <t>営業</t>
        </is>
      </c>
      <c r="L5627" t="inlineStr">
        <is>
          <t>15:56:05</t>
        </is>
      </c>
      <c r="M5627" t="inlineStr">
        <is>
          <t>15:56:50</t>
        </is>
      </c>
      <c r="P5627" t="inlineStr">
        <is>
          <t>B系統(日中)</t>
        </is>
      </c>
    </row>
    <row r="5628" ht="15" customHeight="1" s="37">
      <c r="A5628" t="n">
        <v>13</v>
      </c>
      <c r="B5628" s="10" t="inlineStr">
        <is>
          <t>平日</t>
        </is>
      </c>
      <c r="C5628" s="10" t="inlineStr">
        <is>
          <t>本線</t>
        </is>
      </c>
      <c r="D5628" s="10" t="inlineStr">
        <is>
          <t>上り</t>
        </is>
      </c>
      <c r="E5628" s="10" t="inlineStr">
        <is>
          <t>連1510</t>
        </is>
      </c>
      <c r="F5628" t="inlineStr">
        <is>
          <t>0211</t>
        </is>
      </c>
      <c r="G5628" s="10" t="inlineStr">
        <is>
          <t>山ノ内</t>
        </is>
      </c>
      <c r="H5628" s="10" t="inlineStr">
        <is>
          <t>発</t>
        </is>
      </c>
      <c r="J5628" s="10" t="inlineStr">
        <is>
          <t>営業</t>
        </is>
      </c>
      <c r="L5628" t="inlineStr">
        <is>
          <t>15:58:40</t>
        </is>
      </c>
      <c r="M5628" t="inlineStr">
        <is>
          <t>15:59:05</t>
        </is>
      </c>
      <c r="P5628" t="inlineStr">
        <is>
          <t>B系統(日中)</t>
        </is>
      </c>
    </row>
    <row r="5629" ht="15" customHeight="1" s="37">
      <c r="A5629" t="n">
        <v>13</v>
      </c>
      <c r="B5629" s="10" t="inlineStr">
        <is>
          <t>平日</t>
        </is>
      </c>
      <c r="C5629" s="10" t="inlineStr">
        <is>
          <t>本線</t>
        </is>
      </c>
      <c r="D5629" s="10" t="inlineStr">
        <is>
          <t>上り</t>
        </is>
      </c>
      <c r="E5629" s="10" t="inlineStr">
        <is>
          <t>連1510</t>
        </is>
      </c>
      <c r="F5629" t="inlineStr">
        <is>
          <t>0211</t>
        </is>
      </c>
      <c r="G5629" s="10" t="inlineStr">
        <is>
          <t>西大路三条</t>
        </is>
      </c>
      <c r="H5629" s="10" t="inlineStr">
        <is>
          <t>発</t>
        </is>
      </c>
      <c r="J5629" s="10" t="inlineStr">
        <is>
          <t>営業</t>
        </is>
      </c>
      <c r="L5629" t="inlineStr">
        <is>
          <t>16:00:55</t>
        </is>
      </c>
      <c r="M5629" t="inlineStr">
        <is>
          <t>16:01:15</t>
        </is>
      </c>
      <c r="P5629" t="inlineStr">
        <is>
          <t>B系統(日中)</t>
        </is>
      </c>
    </row>
    <row r="5630" ht="15" customHeight="1" s="37">
      <c r="A5630" t="n">
        <v>13</v>
      </c>
      <c r="B5630" s="10" t="inlineStr">
        <is>
          <t>平日</t>
        </is>
      </c>
      <c r="C5630" s="10" t="inlineStr">
        <is>
          <t>本線</t>
        </is>
      </c>
      <c r="D5630" s="10" t="inlineStr">
        <is>
          <t>上り</t>
        </is>
      </c>
      <c r="E5630" s="10" t="inlineStr">
        <is>
          <t>連1510</t>
        </is>
      </c>
      <c r="F5630" t="inlineStr">
        <is>
          <t>0211</t>
        </is>
      </c>
      <c r="G5630" s="10" t="inlineStr">
        <is>
          <t>西院</t>
        </is>
      </c>
      <c r="H5630" s="10" t="inlineStr">
        <is>
          <t>発</t>
        </is>
      </c>
      <c r="J5630" s="10" t="inlineStr">
        <is>
          <t>営業</t>
        </is>
      </c>
      <c r="L5630" t="inlineStr">
        <is>
          <t>16:03:10</t>
        </is>
      </c>
      <c r="M5630" t="inlineStr">
        <is>
          <t>16:04:05</t>
        </is>
      </c>
      <c r="P5630" t="inlineStr">
        <is>
          <t>B系統(日中)</t>
        </is>
      </c>
    </row>
    <row r="5631" ht="15" customHeight="1" s="37">
      <c r="A5631" t="n">
        <v>13</v>
      </c>
      <c r="B5631" s="10" t="inlineStr">
        <is>
          <t>平日</t>
        </is>
      </c>
      <c r="C5631" s="10" t="inlineStr">
        <is>
          <t>本線</t>
        </is>
      </c>
      <c r="D5631" s="10" t="inlineStr">
        <is>
          <t>上り</t>
        </is>
      </c>
      <c r="E5631" s="10" t="inlineStr">
        <is>
          <t>連1510</t>
        </is>
      </c>
      <c r="F5631" t="inlineStr">
        <is>
          <t>0211</t>
        </is>
      </c>
      <c r="G5631" s="10" t="inlineStr">
        <is>
          <t>四条大宮</t>
        </is>
      </c>
      <c r="H5631" s="10" t="inlineStr">
        <is>
          <t>着</t>
        </is>
      </c>
      <c r="J5631" s="10" t="inlineStr">
        <is>
          <t>営業</t>
        </is>
      </c>
      <c r="L5631" t="inlineStr">
        <is>
          <t>16:07:00</t>
        </is>
      </c>
      <c r="P5631" t="inlineStr">
        <is>
          <t>B系統(日中)</t>
        </is>
      </c>
      <c r="Q5631" t="inlineStr">
        <is>
          <t>1</t>
        </is>
      </c>
    </row>
    <row r="5632" ht="15" customHeight="1" s="37">
      <c r="A5632" t="n">
        <v>13</v>
      </c>
      <c r="B5632" s="10" t="inlineStr">
        <is>
          <t>平日</t>
        </is>
      </c>
      <c r="C5632" s="10" t="inlineStr">
        <is>
          <t>本線</t>
        </is>
      </c>
      <c r="D5632" s="10" t="inlineStr">
        <is>
          <t>下り</t>
        </is>
      </c>
      <c r="E5632" s="10" t="inlineStr">
        <is>
          <t>連1603</t>
        </is>
      </c>
      <c r="F5632" t="inlineStr">
        <is>
          <t>3112</t>
        </is>
      </c>
      <c r="G5632" s="10" t="inlineStr">
        <is>
          <t>四条大宮</t>
        </is>
      </c>
      <c r="H5632" s="10" t="inlineStr">
        <is>
          <t>発</t>
        </is>
      </c>
      <c r="J5632" s="10" t="inlineStr">
        <is>
          <t>営業</t>
        </is>
      </c>
      <c r="M5632" t="inlineStr">
        <is>
          <t>16:13:00</t>
        </is>
      </c>
      <c r="P5632" t="inlineStr">
        <is>
          <t>B系統(日中)</t>
        </is>
      </c>
      <c r="Q5632" t="inlineStr">
        <is>
          <t>1</t>
        </is>
      </c>
    </row>
    <row r="5633" ht="15" customHeight="1" s="37">
      <c r="A5633" t="n">
        <v>13</v>
      </c>
      <c r="B5633" s="10" t="inlineStr">
        <is>
          <t>平日</t>
        </is>
      </c>
      <c r="C5633" s="10" t="inlineStr">
        <is>
          <t>本線</t>
        </is>
      </c>
      <c r="D5633" s="10" t="inlineStr">
        <is>
          <t>下り</t>
        </is>
      </c>
      <c r="E5633" s="10" t="inlineStr">
        <is>
          <t>連1603</t>
        </is>
      </c>
      <c r="F5633" t="inlineStr">
        <is>
          <t>3112</t>
        </is>
      </c>
      <c r="G5633" s="10" t="inlineStr">
        <is>
          <t>西院</t>
        </is>
      </c>
      <c r="H5633" s="10" t="inlineStr">
        <is>
          <t>発</t>
        </is>
      </c>
      <c r="J5633" s="10" t="inlineStr">
        <is>
          <t>営業</t>
        </is>
      </c>
      <c r="L5633" t="inlineStr">
        <is>
          <t>16:15:50</t>
        </is>
      </c>
      <c r="M5633" t="inlineStr">
        <is>
          <t>16:16:20</t>
        </is>
      </c>
      <c r="P5633" t="inlineStr">
        <is>
          <t>B系統(日中)</t>
        </is>
      </c>
    </row>
    <row r="5634" ht="15" customHeight="1" s="37">
      <c r="A5634" t="n">
        <v>13</v>
      </c>
      <c r="B5634" s="10" t="inlineStr">
        <is>
          <t>平日</t>
        </is>
      </c>
      <c r="C5634" s="10" t="inlineStr">
        <is>
          <t>本線</t>
        </is>
      </c>
      <c r="D5634" s="10" t="inlineStr">
        <is>
          <t>下り</t>
        </is>
      </c>
      <c r="E5634" s="10" t="inlineStr">
        <is>
          <t>連1603</t>
        </is>
      </c>
      <c r="F5634" t="inlineStr">
        <is>
          <t>3112</t>
        </is>
      </c>
      <c r="G5634" s="10" t="inlineStr">
        <is>
          <t>西大路三条</t>
        </is>
      </c>
      <c r="H5634" s="10" t="inlineStr">
        <is>
          <t>発</t>
        </is>
      </c>
      <c r="J5634" s="10" t="inlineStr">
        <is>
          <t>営業</t>
        </is>
      </c>
      <c r="L5634" t="inlineStr">
        <is>
          <t>16:18:10</t>
        </is>
      </c>
      <c r="M5634" t="inlineStr">
        <is>
          <t>16:18:30</t>
        </is>
      </c>
      <c r="P5634" t="inlineStr">
        <is>
          <t>B系統(日中)</t>
        </is>
      </c>
    </row>
    <row r="5635" ht="15" customHeight="1" s="37">
      <c r="A5635" t="n">
        <v>13</v>
      </c>
      <c r="B5635" s="10" t="inlineStr">
        <is>
          <t>平日</t>
        </is>
      </c>
      <c r="C5635" s="10" t="inlineStr">
        <is>
          <t>本線</t>
        </is>
      </c>
      <c r="D5635" s="10" t="inlineStr">
        <is>
          <t>下り</t>
        </is>
      </c>
      <c r="E5635" s="10" t="inlineStr">
        <is>
          <t>連1603</t>
        </is>
      </c>
      <c r="F5635" t="inlineStr">
        <is>
          <t>3112</t>
        </is>
      </c>
      <c r="G5635" s="10" t="inlineStr">
        <is>
          <t>山ノ内</t>
        </is>
      </c>
      <c r="H5635" s="10" t="inlineStr">
        <is>
          <t>発</t>
        </is>
      </c>
      <c r="J5635" s="10" t="inlineStr">
        <is>
          <t>営業</t>
        </is>
      </c>
      <c r="L5635" t="inlineStr">
        <is>
          <t>16:20:25</t>
        </is>
      </c>
      <c r="M5635" t="inlineStr">
        <is>
          <t>16:20:50</t>
        </is>
      </c>
      <c r="P5635" t="inlineStr">
        <is>
          <t>B系統(日中)</t>
        </is>
      </c>
    </row>
    <row r="5636" ht="15" customHeight="1" s="37">
      <c r="A5636" t="n">
        <v>13</v>
      </c>
      <c r="B5636" s="10" t="inlineStr">
        <is>
          <t>平日</t>
        </is>
      </c>
      <c r="C5636" s="10" t="inlineStr">
        <is>
          <t>本線</t>
        </is>
      </c>
      <c r="D5636" s="10" t="inlineStr">
        <is>
          <t>下り</t>
        </is>
      </c>
      <c r="E5636" s="10" t="inlineStr">
        <is>
          <t>連1603</t>
        </is>
      </c>
      <c r="F5636" t="inlineStr">
        <is>
          <t>3112</t>
        </is>
      </c>
      <c r="G5636" s="10" t="inlineStr">
        <is>
          <t>天神川</t>
        </is>
      </c>
      <c r="H5636" s="10" t="inlineStr">
        <is>
          <t>発</t>
        </is>
      </c>
      <c r="J5636" s="10" t="inlineStr">
        <is>
          <t>営業</t>
        </is>
      </c>
      <c r="L5636" t="inlineStr">
        <is>
          <t>16:22:50</t>
        </is>
      </c>
      <c r="M5636" t="inlineStr">
        <is>
          <t>16:23:30</t>
        </is>
      </c>
      <c r="P5636" t="inlineStr">
        <is>
          <t>B系統(日中)</t>
        </is>
      </c>
    </row>
    <row r="5637" ht="15" customHeight="1" s="37">
      <c r="A5637" t="n">
        <v>13</v>
      </c>
      <c r="B5637" s="10" t="inlineStr">
        <is>
          <t>平日</t>
        </is>
      </c>
      <c r="C5637" s="10" t="inlineStr">
        <is>
          <t>本線</t>
        </is>
      </c>
      <c r="D5637" s="10" t="inlineStr">
        <is>
          <t>下り</t>
        </is>
      </c>
      <c r="E5637" s="10" t="inlineStr">
        <is>
          <t>連1603</t>
        </is>
      </c>
      <c r="F5637" t="inlineStr">
        <is>
          <t>3112</t>
        </is>
      </c>
      <c r="G5637" s="10" t="inlineStr">
        <is>
          <t>蚕ノ社</t>
        </is>
      </c>
      <c r="H5637" s="10" t="inlineStr">
        <is>
          <t>発</t>
        </is>
      </c>
      <c r="J5637" s="10" t="inlineStr">
        <is>
          <t>営業</t>
        </is>
      </c>
      <c r="L5637" t="inlineStr">
        <is>
          <t>16:24:20</t>
        </is>
      </c>
      <c r="M5637" t="inlineStr">
        <is>
          <t>16:24:40</t>
        </is>
      </c>
      <c r="P5637" t="inlineStr">
        <is>
          <t>B系統(日中)</t>
        </is>
      </c>
    </row>
    <row r="5638" ht="15" customHeight="1" s="37">
      <c r="A5638" t="n">
        <v>13</v>
      </c>
      <c r="B5638" s="10" t="inlineStr">
        <is>
          <t>平日</t>
        </is>
      </c>
      <c r="C5638" s="10" t="inlineStr">
        <is>
          <t>本線</t>
        </is>
      </c>
      <c r="D5638" s="10" t="inlineStr">
        <is>
          <t>下り</t>
        </is>
      </c>
      <c r="E5638" s="10" t="inlineStr">
        <is>
          <t>連1603</t>
        </is>
      </c>
      <c r="F5638" t="inlineStr">
        <is>
          <t>3112</t>
        </is>
      </c>
      <c r="G5638" s="10" t="inlineStr">
        <is>
          <t>太秦広隆寺</t>
        </is>
      </c>
      <c r="H5638" s="10" t="inlineStr">
        <is>
          <t>発</t>
        </is>
      </c>
      <c r="J5638" s="10" t="inlineStr">
        <is>
          <t>営業</t>
        </is>
      </c>
      <c r="L5638" t="inlineStr">
        <is>
          <t>16:26:00</t>
        </is>
      </c>
      <c r="M5638" t="inlineStr">
        <is>
          <t>16:26:20</t>
        </is>
      </c>
      <c r="P5638" t="inlineStr">
        <is>
          <t>B系統(日中)</t>
        </is>
      </c>
    </row>
    <row r="5639" ht="15" customHeight="1" s="37">
      <c r="A5639" t="n">
        <v>13</v>
      </c>
      <c r="B5639" s="10" t="inlineStr">
        <is>
          <t>平日</t>
        </is>
      </c>
      <c r="C5639" s="10" t="inlineStr">
        <is>
          <t>本線</t>
        </is>
      </c>
      <c r="D5639" s="10" t="inlineStr">
        <is>
          <t>下り</t>
        </is>
      </c>
      <c r="E5639" s="10" t="inlineStr">
        <is>
          <t>連1603</t>
        </is>
      </c>
      <c r="F5639" t="inlineStr">
        <is>
          <t>3112</t>
        </is>
      </c>
      <c r="G5639" s="10" t="inlineStr">
        <is>
          <t>帷子ノ辻</t>
        </is>
      </c>
      <c r="H5639" s="10" t="inlineStr">
        <is>
          <t>発</t>
        </is>
      </c>
      <c r="J5639" s="10" t="inlineStr">
        <is>
          <t>営業</t>
        </is>
      </c>
      <c r="L5639" t="inlineStr">
        <is>
          <t>16:28:20</t>
        </is>
      </c>
      <c r="M5639" t="inlineStr">
        <is>
          <t>16:29:40</t>
        </is>
      </c>
      <c r="P5639" t="inlineStr">
        <is>
          <t>B系統(日中)</t>
        </is>
      </c>
    </row>
    <row r="5640" ht="15" customHeight="1" s="37">
      <c r="A5640" t="n">
        <v>13</v>
      </c>
      <c r="B5640" s="10" t="inlineStr">
        <is>
          <t>平日</t>
        </is>
      </c>
      <c r="C5640" s="10" t="inlineStr">
        <is>
          <t>本線</t>
        </is>
      </c>
      <c r="D5640" s="10" t="inlineStr">
        <is>
          <t>下り</t>
        </is>
      </c>
      <c r="E5640" s="10" t="inlineStr">
        <is>
          <t>連1603</t>
        </is>
      </c>
      <c r="F5640" t="inlineStr">
        <is>
          <t>3112</t>
        </is>
      </c>
      <c r="G5640" s="10" t="inlineStr">
        <is>
          <t>有栖川</t>
        </is>
      </c>
      <c r="H5640" s="10" t="inlineStr">
        <is>
          <t>発</t>
        </is>
      </c>
      <c r="J5640" s="10" t="inlineStr">
        <is>
          <t>営業</t>
        </is>
      </c>
      <c r="L5640" t="inlineStr">
        <is>
          <t>16:30:50</t>
        </is>
      </c>
      <c r="M5640" t="inlineStr">
        <is>
          <t>16:31:15</t>
        </is>
      </c>
      <c r="P5640" t="inlineStr">
        <is>
          <t>B系統(日中)</t>
        </is>
      </c>
    </row>
    <row r="5641" ht="15" customHeight="1" s="37">
      <c r="A5641" t="n">
        <v>13</v>
      </c>
      <c r="B5641" s="10" t="inlineStr">
        <is>
          <t>平日</t>
        </is>
      </c>
      <c r="C5641" s="10" t="inlineStr">
        <is>
          <t>本線</t>
        </is>
      </c>
      <c r="D5641" s="10" t="inlineStr">
        <is>
          <t>下り</t>
        </is>
      </c>
      <c r="E5641" s="10" t="inlineStr">
        <is>
          <t>連1603</t>
        </is>
      </c>
      <c r="F5641" t="inlineStr">
        <is>
          <t>3112</t>
        </is>
      </c>
      <c r="G5641" s="10" t="inlineStr">
        <is>
          <t>車折</t>
        </is>
      </c>
      <c r="H5641" s="10" t="inlineStr">
        <is>
          <t>発</t>
        </is>
      </c>
      <c r="J5641" s="10" t="inlineStr">
        <is>
          <t>営業</t>
        </is>
      </c>
      <c r="L5641" t="inlineStr">
        <is>
          <t>16:32:40</t>
        </is>
      </c>
      <c r="M5641" t="inlineStr">
        <is>
          <t>16:33:05</t>
        </is>
      </c>
      <c r="P5641" t="inlineStr">
        <is>
          <t>B系統(日中)</t>
        </is>
      </c>
    </row>
    <row r="5642" ht="15" customHeight="1" s="37">
      <c r="A5642" t="n">
        <v>13</v>
      </c>
      <c r="B5642" s="10" t="inlineStr">
        <is>
          <t>平日</t>
        </is>
      </c>
      <c r="C5642" s="10" t="inlineStr">
        <is>
          <t>本線</t>
        </is>
      </c>
      <c r="D5642" s="10" t="inlineStr">
        <is>
          <t>下り</t>
        </is>
      </c>
      <c r="E5642" s="10" t="inlineStr">
        <is>
          <t>連1603</t>
        </is>
      </c>
      <c r="F5642" t="inlineStr">
        <is>
          <t>3112</t>
        </is>
      </c>
      <c r="G5642" s="10" t="inlineStr">
        <is>
          <t>鹿王院</t>
        </is>
      </c>
      <c r="H5642" s="10" t="inlineStr">
        <is>
          <t>発</t>
        </is>
      </c>
      <c r="J5642" s="10" t="inlineStr">
        <is>
          <t>営業</t>
        </is>
      </c>
      <c r="L5642" t="inlineStr">
        <is>
          <t>16:34:00</t>
        </is>
      </c>
      <c r="M5642" t="inlineStr">
        <is>
          <t>16:34:25</t>
        </is>
      </c>
      <c r="P5642" t="inlineStr">
        <is>
          <t>B系統(日中)</t>
        </is>
      </c>
    </row>
    <row r="5643" ht="15" customHeight="1" s="37">
      <c r="A5643" t="n">
        <v>13</v>
      </c>
      <c r="B5643" s="10" t="inlineStr">
        <is>
          <t>平日</t>
        </is>
      </c>
      <c r="C5643" s="10" t="inlineStr">
        <is>
          <t>本線</t>
        </is>
      </c>
      <c r="D5643" s="10" t="inlineStr">
        <is>
          <t>下り</t>
        </is>
      </c>
      <c r="E5643" s="10" t="inlineStr">
        <is>
          <t>連1603</t>
        </is>
      </c>
      <c r="F5643" t="inlineStr">
        <is>
          <t>3112</t>
        </is>
      </c>
      <c r="G5643" s="10" t="inlineStr">
        <is>
          <t>嵯峨</t>
        </is>
      </c>
      <c r="H5643" s="10" t="inlineStr">
        <is>
          <t>発</t>
        </is>
      </c>
      <c r="J5643" s="10" t="inlineStr">
        <is>
          <t>営業</t>
        </is>
      </c>
      <c r="L5643" t="inlineStr">
        <is>
          <t>16:35:30</t>
        </is>
      </c>
      <c r="M5643" t="inlineStr">
        <is>
          <t>16:35:55</t>
        </is>
      </c>
      <c r="P5643" t="inlineStr">
        <is>
          <t>B系統(日中)</t>
        </is>
      </c>
    </row>
    <row r="5644" ht="15" customHeight="1" s="37">
      <c r="A5644" t="n">
        <v>13</v>
      </c>
      <c r="B5644" s="10" t="inlineStr">
        <is>
          <t>平日</t>
        </is>
      </c>
      <c r="C5644" s="10" t="inlineStr">
        <is>
          <t>本線</t>
        </is>
      </c>
      <c r="D5644" s="10" t="inlineStr">
        <is>
          <t>下り</t>
        </is>
      </c>
      <c r="E5644" s="10" t="inlineStr">
        <is>
          <t>連1603</t>
        </is>
      </c>
      <c r="F5644" t="inlineStr">
        <is>
          <t>3112</t>
        </is>
      </c>
      <c r="G5644" s="10" t="inlineStr">
        <is>
          <t>嵐山</t>
        </is>
      </c>
      <c r="H5644" s="10" t="inlineStr">
        <is>
          <t>着</t>
        </is>
      </c>
      <c r="J5644" s="10" t="inlineStr">
        <is>
          <t>営業</t>
        </is>
      </c>
      <c r="L5644" t="inlineStr">
        <is>
          <t>16:37:00</t>
        </is>
      </c>
      <c r="P5644" t="inlineStr">
        <is>
          <t>B系統(日中)</t>
        </is>
      </c>
      <c r="Q5644" t="inlineStr">
        <is>
          <t>1</t>
        </is>
      </c>
    </row>
    <row r="5645" ht="15" customHeight="1" s="37">
      <c r="A5645" t="n">
        <v>13</v>
      </c>
      <c r="B5645" s="10" t="inlineStr">
        <is>
          <t>平日</t>
        </is>
      </c>
      <c r="C5645" s="10" t="inlineStr">
        <is>
          <t>本線</t>
        </is>
      </c>
      <c r="D5645" s="10" t="inlineStr">
        <is>
          <t>上り</t>
        </is>
      </c>
      <c r="E5645" s="10" t="inlineStr">
        <is>
          <t>連1610</t>
        </is>
      </c>
      <c r="F5645" t="inlineStr">
        <is>
          <t>2221</t>
        </is>
      </c>
      <c r="G5645" s="10" t="inlineStr">
        <is>
          <t>嵐山</t>
        </is>
      </c>
      <c r="H5645" s="10" t="inlineStr">
        <is>
          <t>発</t>
        </is>
      </c>
      <c r="J5645" s="10" t="inlineStr">
        <is>
          <t>営業</t>
        </is>
      </c>
      <c r="M5645" t="inlineStr">
        <is>
          <t>16:43:00</t>
        </is>
      </c>
      <c r="P5645" t="inlineStr">
        <is>
          <t>B系統(日中)</t>
        </is>
      </c>
      <c r="Q5645" t="inlineStr">
        <is>
          <t>1</t>
        </is>
      </c>
    </row>
    <row r="5646" ht="15" customHeight="1" s="37">
      <c r="A5646" t="n">
        <v>13</v>
      </c>
      <c r="B5646" s="10" t="inlineStr">
        <is>
          <t>平日</t>
        </is>
      </c>
      <c r="C5646" s="10" t="inlineStr">
        <is>
          <t>本線</t>
        </is>
      </c>
      <c r="D5646" s="10" t="inlineStr">
        <is>
          <t>上り</t>
        </is>
      </c>
      <c r="E5646" s="10" t="inlineStr">
        <is>
          <t>連1610</t>
        </is>
      </c>
      <c r="F5646" t="inlineStr">
        <is>
          <t>2221</t>
        </is>
      </c>
      <c r="G5646" s="10" t="inlineStr">
        <is>
          <t>嵯峨</t>
        </is>
      </c>
      <c r="H5646" s="10" t="inlineStr">
        <is>
          <t>発</t>
        </is>
      </c>
      <c r="J5646" s="10" t="inlineStr">
        <is>
          <t>営業</t>
        </is>
      </c>
      <c r="L5646" t="inlineStr">
        <is>
          <t>16:43:55</t>
        </is>
      </c>
      <c r="M5646" t="inlineStr">
        <is>
          <t>16:44:20</t>
        </is>
      </c>
      <c r="P5646" t="inlineStr">
        <is>
          <t>B系統(日中)</t>
        </is>
      </c>
    </row>
    <row r="5647" ht="15" customHeight="1" s="37">
      <c r="A5647" t="n">
        <v>13</v>
      </c>
      <c r="B5647" s="10" t="inlineStr">
        <is>
          <t>平日</t>
        </is>
      </c>
      <c r="C5647" s="10" t="inlineStr">
        <is>
          <t>本線</t>
        </is>
      </c>
      <c r="D5647" s="10" t="inlineStr">
        <is>
          <t>上り</t>
        </is>
      </c>
      <c r="E5647" s="10" t="inlineStr">
        <is>
          <t>連1610</t>
        </is>
      </c>
      <c r="F5647" t="inlineStr">
        <is>
          <t>2221</t>
        </is>
      </c>
      <c r="G5647" s="10" t="inlineStr">
        <is>
          <t>鹿王院</t>
        </is>
      </c>
      <c r="H5647" s="10" t="inlineStr">
        <is>
          <t>発</t>
        </is>
      </c>
      <c r="J5647" s="10" t="inlineStr">
        <is>
          <t>営業</t>
        </is>
      </c>
      <c r="L5647" t="inlineStr">
        <is>
          <t>16:45:25</t>
        </is>
      </c>
      <c r="M5647" t="inlineStr">
        <is>
          <t>16:45:45</t>
        </is>
      </c>
      <c r="P5647" t="inlineStr">
        <is>
          <t>B系統(日中)</t>
        </is>
      </c>
    </row>
    <row r="5648" ht="15" customHeight="1" s="37">
      <c r="A5648" t="n">
        <v>13</v>
      </c>
      <c r="B5648" s="10" t="inlineStr">
        <is>
          <t>平日</t>
        </is>
      </c>
      <c r="C5648" s="10" t="inlineStr">
        <is>
          <t>本線</t>
        </is>
      </c>
      <c r="D5648" s="10" t="inlineStr">
        <is>
          <t>上り</t>
        </is>
      </c>
      <c r="E5648" s="10" t="inlineStr">
        <is>
          <t>連1610</t>
        </is>
      </c>
      <c r="F5648" t="inlineStr">
        <is>
          <t>2221</t>
        </is>
      </c>
      <c r="G5648" s="10" t="inlineStr">
        <is>
          <t>車折</t>
        </is>
      </c>
      <c r="H5648" s="10" t="inlineStr">
        <is>
          <t>発</t>
        </is>
      </c>
      <c r="J5648" s="10" t="inlineStr">
        <is>
          <t>営業</t>
        </is>
      </c>
      <c r="L5648" t="inlineStr">
        <is>
          <t>16:46:40</t>
        </is>
      </c>
      <c r="M5648" t="inlineStr">
        <is>
          <t>16:47:10</t>
        </is>
      </c>
      <c r="P5648" t="inlineStr">
        <is>
          <t>B系統(日中)</t>
        </is>
      </c>
    </row>
    <row r="5649" ht="15" customHeight="1" s="37">
      <c r="A5649" t="n">
        <v>13</v>
      </c>
      <c r="B5649" s="10" t="inlineStr">
        <is>
          <t>平日</t>
        </is>
      </c>
      <c r="C5649" s="10" t="inlineStr">
        <is>
          <t>本線</t>
        </is>
      </c>
      <c r="D5649" s="10" t="inlineStr">
        <is>
          <t>上り</t>
        </is>
      </c>
      <c r="E5649" s="10" t="inlineStr">
        <is>
          <t>連1610</t>
        </is>
      </c>
      <c r="F5649" t="inlineStr">
        <is>
          <t>2221</t>
        </is>
      </c>
      <c r="G5649" s="10" t="inlineStr">
        <is>
          <t>有栖川</t>
        </is>
      </c>
      <c r="H5649" s="10" t="inlineStr">
        <is>
          <t>発</t>
        </is>
      </c>
      <c r="J5649" s="10" t="inlineStr">
        <is>
          <t>営業</t>
        </is>
      </c>
      <c r="L5649" t="inlineStr">
        <is>
          <t>16:48:35</t>
        </is>
      </c>
      <c r="M5649" t="inlineStr">
        <is>
          <t>16:48:55</t>
        </is>
      </c>
      <c r="P5649" t="inlineStr">
        <is>
          <t>B系統(日中)</t>
        </is>
      </c>
    </row>
    <row r="5650" ht="15" customHeight="1" s="37">
      <c r="A5650" t="n">
        <v>13</v>
      </c>
      <c r="B5650" s="10" t="inlineStr">
        <is>
          <t>平日</t>
        </is>
      </c>
      <c r="C5650" s="10" t="inlineStr">
        <is>
          <t>本線</t>
        </is>
      </c>
      <c r="D5650" s="10" t="inlineStr">
        <is>
          <t>上り</t>
        </is>
      </c>
      <c r="E5650" s="10" t="inlineStr">
        <is>
          <t>連1610</t>
        </is>
      </c>
      <c r="F5650" t="inlineStr">
        <is>
          <t>2221</t>
        </is>
      </c>
      <c r="G5650" s="10" t="inlineStr">
        <is>
          <t>帷子ノ辻</t>
        </is>
      </c>
      <c r="H5650" s="10" t="inlineStr">
        <is>
          <t>発</t>
        </is>
      </c>
      <c r="J5650" s="10" t="inlineStr">
        <is>
          <t>営業</t>
        </is>
      </c>
      <c r="L5650" t="inlineStr">
        <is>
          <t>16:50:10</t>
        </is>
      </c>
      <c r="M5650" t="inlineStr">
        <is>
          <t>16:51:15</t>
        </is>
      </c>
      <c r="P5650" t="inlineStr">
        <is>
          <t>B系統(日中)</t>
        </is>
      </c>
    </row>
    <row r="5651" ht="15" customHeight="1" s="37">
      <c r="A5651" t="n">
        <v>13</v>
      </c>
      <c r="B5651" s="10" t="inlineStr">
        <is>
          <t>平日</t>
        </is>
      </c>
      <c r="C5651" s="10" t="inlineStr">
        <is>
          <t>本線</t>
        </is>
      </c>
      <c r="D5651" s="10" t="inlineStr">
        <is>
          <t>上り</t>
        </is>
      </c>
      <c r="E5651" s="10" t="inlineStr">
        <is>
          <t>連1610</t>
        </is>
      </c>
      <c r="F5651" t="inlineStr">
        <is>
          <t>2221</t>
        </is>
      </c>
      <c r="G5651" s="10" t="inlineStr">
        <is>
          <t>太秦広隆寺</t>
        </is>
      </c>
      <c r="H5651" s="10" t="inlineStr">
        <is>
          <t>発</t>
        </is>
      </c>
      <c r="J5651" s="10" t="inlineStr">
        <is>
          <t>営業</t>
        </is>
      </c>
      <c r="L5651" t="inlineStr">
        <is>
          <t>16:53:25</t>
        </is>
      </c>
      <c r="M5651" t="inlineStr">
        <is>
          <t>16:53:45</t>
        </is>
      </c>
      <c r="P5651" t="inlineStr">
        <is>
          <t>B系統(日中)</t>
        </is>
      </c>
    </row>
    <row r="5652" ht="15" customHeight="1" s="37">
      <c r="A5652" t="n">
        <v>13</v>
      </c>
      <c r="B5652" s="10" t="inlineStr">
        <is>
          <t>平日</t>
        </is>
      </c>
      <c r="C5652" s="10" t="inlineStr">
        <is>
          <t>本線</t>
        </is>
      </c>
      <c r="D5652" s="10" t="inlineStr">
        <is>
          <t>上り</t>
        </is>
      </c>
      <c r="E5652" s="10" t="inlineStr">
        <is>
          <t>連1610</t>
        </is>
      </c>
      <c r="F5652" t="inlineStr">
        <is>
          <t>2221</t>
        </is>
      </c>
      <c r="G5652" s="10" t="inlineStr">
        <is>
          <t>蚕ノ社</t>
        </is>
      </c>
      <c r="H5652" s="10" t="inlineStr">
        <is>
          <t>発</t>
        </is>
      </c>
      <c r="J5652" s="10" t="inlineStr">
        <is>
          <t>営業</t>
        </is>
      </c>
      <c r="L5652" t="inlineStr">
        <is>
          <t>16:55:00</t>
        </is>
      </c>
      <c r="M5652" t="inlineStr">
        <is>
          <t>16:55:20</t>
        </is>
      </c>
      <c r="P5652" t="inlineStr">
        <is>
          <t>B系統(日中)</t>
        </is>
      </c>
    </row>
    <row r="5653" ht="15" customHeight="1" s="37">
      <c r="A5653" t="n">
        <v>13</v>
      </c>
      <c r="B5653" s="10" t="inlineStr">
        <is>
          <t>平日</t>
        </is>
      </c>
      <c r="C5653" s="10" t="inlineStr">
        <is>
          <t>本線</t>
        </is>
      </c>
      <c r="D5653" s="10" t="inlineStr">
        <is>
          <t>上り</t>
        </is>
      </c>
      <c r="E5653" s="10" t="inlineStr">
        <is>
          <t>連1610</t>
        </is>
      </c>
      <c r="F5653" t="inlineStr">
        <is>
          <t>2221</t>
        </is>
      </c>
      <c r="G5653" s="10" t="inlineStr">
        <is>
          <t>天神川</t>
        </is>
      </c>
      <c r="H5653" s="10" t="inlineStr">
        <is>
          <t>発</t>
        </is>
      </c>
      <c r="J5653" s="10" t="inlineStr">
        <is>
          <t>営業</t>
        </is>
      </c>
      <c r="L5653" t="inlineStr">
        <is>
          <t>16:56:05</t>
        </is>
      </c>
      <c r="M5653" t="inlineStr">
        <is>
          <t>16:56:50</t>
        </is>
      </c>
      <c r="P5653" t="inlineStr">
        <is>
          <t>B系統(日中)</t>
        </is>
      </c>
    </row>
    <row r="5654" ht="15" customHeight="1" s="37">
      <c r="A5654" t="n">
        <v>13</v>
      </c>
      <c r="B5654" s="10" t="inlineStr">
        <is>
          <t>平日</t>
        </is>
      </c>
      <c r="C5654" s="10" t="inlineStr">
        <is>
          <t>本線</t>
        </is>
      </c>
      <c r="D5654" s="10" t="inlineStr">
        <is>
          <t>上り</t>
        </is>
      </c>
      <c r="E5654" s="10" t="inlineStr">
        <is>
          <t>連1610</t>
        </is>
      </c>
      <c r="F5654" t="inlineStr">
        <is>
          <t>2221</t>
        </is>
      </c>
      <c r="G5654" s="10" t="inlineStr">
        <is>
          <t>山ノ内</t>
        </is>
      </c>
      <c r="H5654" s="10" t="inlineStr">
        <is>
          <t>発</t>
        </is>
      </c>
      <c r="J5654" s="10" t="inlineStr">
        <is>
          <t>営業</t>
        </is>
      </c>
      <c r="L5654" t="inlineStr">
        <is>
          <t>16:58:40</t>
        </is>
      </c>
      <c r="M5654" t="inlineStr">
        <is>
          <t>16:59:05</t>
        </is>
      </c>
      <c r="P5654" t="inlineStr">
        <is>
          <t>B系統(日中)</t>
        </is>
      </c>
    </row>
    <row r="5655" ht="15" customHeight="1" s="37">
      <c r="A5655" t="n">
        <v>13</v>
      </c>
      <c r="B5655" s="10" t="inlineStr">
        <is>
          <t>平日</t>
        </is>
      </c>
      <c r="C5655" s="10" t="inlineStr">
        <is>
          <t>本線</t>
        </is>
      </c>
      <c r="D5655" s="10" t="inlineStr">
        <is>
          <t>上り</t>
        </is>
      </c>
      <c r="E5655" s="10" t="inlineStr">
        <is>
          <t>連1610</t>
        </is>
      </c>
      <c r="F5655" t="inlineStr">
        <is>
          <t>2221</t>
        </is>
      </c>
      <c r="G5655" s="10" t="inlineStr">
        <is>
          <t>西大路三条</t>
        </is>
      </c>
      <c r="H5655" s="10" t="inlineStr">
        <is>
          <t>発</t>
        </is>
      </c>
      <c r="J5655" s="10" t="inlineStr">
        <is>
          <t>営業</t>
        </is>
      </c>
      <c r="L5655" t="inlineStr">
        <is>
          <t>17:00:55</t>
        </is>
      </c>
      <c r="M5655" t="inlineStr">
        <is>
          <t>17:01:15</t>
        </is>
      </c>
      <c r="P5655" t="inlineStr">
        <is>
          <t>B系統(日中)</t>
        </is>
      </c>
    </row>
    <row r="5656" ht="15" customHeight="1" s="37">
      <c r="A5656" t="n">
        <v>13</v>
      </c>
      <c r="B5656" s="10" t="inlineStr">
        <is>
          <t>平日</t>
        </is>
      </c>
      <c r="C5656" s="10" t="inlineStr">
        <is>
          <t>本線</t>
        </is>
      </c>
      <c r="D5656" s="10" t="inlineStr">
        <is>
          <t>上り</t>
        </is>
      </c>
      <c r="E5656" s="10" t="inlineStr">
        <is>
          <t>連1610</t>
        </is>
      </c>
      <c r="F5656" t="inlineStr">
        <is>
          <t>2221</t>
        </is>
      </c>
      <c r="G5656" s="10" t="inlineStr">
        <is>
          <t>西院</t>
        </is>
      </c>
      <c r="H5656" s="10" t="inlineStr">
        <is>
          <t>発</t>
        </is>
      </c>
      <c r="J5656" s="10" t="inlineStr">
        <is>
          <t>営業</t>
        </is>
      </c>
      <c r="L5656" t="inlineStr">
        <is>
          <t>17:03:10</t>
        </is>
      </c>
      <c r="M5656" t="inlineStr">
        <is>
          <t>17:04:05</t>
        </is>
      </c>
      <c r="P5656" t="inlineStr">
        <is>
          <t>B系統(日中)</t>
        </is>
      </c>
    </row>
    <row r="5657" ht="15" customHeight="1" s="37">
      <c r="A5657" t="n">
        <v>13</v>
      </c>
      <c r="B5657" s="10" t="inlineStr">
        <is>
          <t>平日</t>
        </is>
      </c>
      <c r="C5657" s="10" t="inlineStr">
        <is>
          <t>本線</t>
        </is>
      </c>
      <c r="D5657" s="10" t="inlineStr">
        <is>
          <t>上り</t>
        </is>
      </c>
      <c r="E5657" s="10" t="inlineStr">
        <is>
          <t>連1610</t>
        </is>
      </c>
      <c r="F5657" t="inlineStr">
        <is>
          <t>2221</t>
        </is>
      </c>
      <c r="G5657" s="10" t="inlineStr">
        <is>
          <t>四条大宮</t>
        </is>
      </c>
      <c r="H5657" s="10" t="inlineStr">
        <is>
          <t>着</t>
        </is>
      </c>
      <c r="J5657" s="10" t="inlineStr">
        <is>
          <t>営業</t>
        </is>
      </c>
      <c r="L5657" t="inlineStr">
        <is>
          <t>17:07:00</t>
        </is>
      </c>
      <c r="P5657" t="inlineStr">
        <is>
          <t>B系統(日中)</t>
        </is>
      </c>
      <c r="Q5657" t="inlineStr">
        <is>
          <t>1</t>
        </is>
      </c>
    </row>
    <row r="5658" ht="15" customHeight="1" s="37">
      <c r="A5658" t="n">
        <v>13</v>
      </c>
      <c r="B5658" s="10" t="inlineStr">
        <is>
          <t>平日</t>
        </is>
      </c>
      <c r="C5658" s="10" t="inlineStr">
        <is>
          <t>本線</t>
        </is>
      </c>
      <c r="D5658" s="10" t="inlineStr">
        <is>
          <t>下り</t>
        </is>
      </c>
      <c r="E5658" s="10" t="inlineStr">
        <is>
          <t>連1703</t>
        </is>
      </c>
      <c r="F5658" t="inlineStr">
        <is>
          <t>0122</t>
        </is>
      </c>
      <c r="G5658" s="10" t="inlineStr">
        <is>
          <t>四条大宮</t>
        </is>
      </c>
      <c r="H5658" s="10" t="inlineStr">
        <is>
          <t>発</t>
        </is>
      </c>
      <c r="J5658" s="10" t="inlineStr">
        <is>
          <t>営業</t>
        </is>
      </c>
      <c r="M5658" t="inlineStr">
        <is>
          <t>17:13:00</t>
        </is>
      </c>
      <c r="P5658" t="inlineStr">
        <is>
          <t>B系統(日中)</t>
        </is>
      </c>
      <c r="Q5658" t="inlineStr">
        <is>
          <t>1</t>
        </is>
      </c>
    </row>
    <row r="5659" ht="15" customHeight="1" s="37">
      <c r="A5659" t="n">
        <v>13</v>
      </c>
      <c r="B5659" s="10" t="inlineStr">
        <is>
          <t>平日</t>
        </is>
      </c>
      <c r="C5659" s="10" t="inlineStr">
        <is>
          <t>本線</t>
        </is>
      </c>
      <c r="D5659" s="10" t="inlineStr">
        <is>
          <t>下り</t>
        </is>
      </c>
      <c r="E5659" s="10" t="inlineStr">
        <is>
          <t>連1703</t>
        </is>
      </c>
      <c r="F5659" t="inlineStr">
        <is>
          <t>0122</t>
        </is>
      </c>
      <c r="G5659" s="10" t="inlineStr">
        <is>
          <t>西院</t>
        </is>
      </c>
      <c r="H5659" s="10" t="inlineStr">
        <is>
          <t>発</t>
        </is>
      </c>
      <c r="J5659" s="10" t="inlineStr">
        <is>
          <t>営業</t>
        </is>
      </c>
      <c r="L5659" t="inlineStr">
        <is>
          <t>17:15:50</t>
        </is>
      </c>
      <c r="M5659" t="inlineStr">
        <is>
          <t>17:16:20</t>
        </is>
      </c>
      <c r="P5659" t="inlineStr">
        <is>
          <t>B系統(日中)</t>
        </is>
      </c>
    </row>
    <row r="5660" ht="15" customHeight="1" s="37">
      <c r="A5660" t="n">
        <v>13</v>
      </c>
      <c r="B5660" s="10" t="inlineStr">
        <is>
          <t>平日</t>
        </is>
      </c>
      <c r="C5660" s="10" t="inlineStr">
        <is>
          <t>本線</t>
        </is>
      </c>
      <c r="D5660" s="10" t="inlineStr">
        <is>
          <t>下り</t>
        </is>
      </c>
      <c r="E5660" s="10" t="inlineStr">
        <is>
          <t>連1703</t>
        </is>
      </c>
      <c r="F5660" t="inlineStr">
        <is>
          <t>0122</t>
        </is>
      </c>
      <c r="G5660" s="10" t="inlineStr">
        <is>
          <t>西大路三条</t>
        </is>
      </c>
      <c r="H5660" s="10" t="inlineStr">
        <is>
          <t>発</t>
        </is>
      </c>
      <c r="J5660" s="10" t="inlineStr">
        <is>
          <t>営業</t>
        </is>
      </c>
      <c r="L5660" t="inlineStr">
        <is>
          <t>17:18:10</t>
        </is>
      </c>
      <c r="M5660" t="inlineStr">
        <is>
          <t>17:18:30</t>
        </is>
      </c>
      <c r="P5660" t="inlineStr">
        <is>
          <t>B系統(日中)</t>
        </is>
      </c>
    </row>
    <row r="5661" ht="15" customHeight="1" s="37">
      <c r="A5661" t="n">
        <v>13</v>
      </c>
      <c r="B5661" s="10" t="inlineStr">
        <is>
          <t>平日</t>
        </is>
      </c>
      <c r="C5661" s="10" t="inlineStr">
        <is>
          <t>本線</t>
        </is>
      </c>
      <c r="D5661" s="10" t="inlineStr">
        <is>
          <t>下り</t>
        </is>
      </c>
      <c r="E5661" s="10" t="inlineStr">
        <is>
          <t>連1703</t>
        </is>
      </c>
      <c r="F5661" t="inlineStr">
        <is>
          <t>0122</t>
        </is>
      </c>
      <c r="G5661" s="10" t="inlineStr">
        <is>
          <t>山ノ内</t>
        </is>
      </c>
      <c r="H5661" s="10" t="inlineStr">
        <is>
          <t>発</t>
        </is>
      </c>
      <c r="J5661" s="10" t="inlineStr">
        <is>
          <t>営業</t>
        </is>
      </c>
      <c r="L5661" t="inlineStr">
        <is>
          <t>17:20:25</t>
        </is>
      </c>
      <c r="M5661" t="inlineStr">
        <is>
          <t>17:20:50</t>
        </is>
      </c>
      <c r="P5661" t="inlineStr">
        <is>
          <t>B系統(日中)</t>
        </is>
      </c>
    </row>
    <row r="5662" ht="15" customHeight="1" s="37">
      <c r="A5662" t="n">
        <v>13</v>
      </c>
      <c r="B5662" s="10" t="inlineStr">
        <is>
          <t>平日</t>
        </is>
      </c>
      <c r="C5662" s="10" t="inlineStr">
        <is>
          <t>本線</t>
        </is>
      </c>
      <c r="D5662" s="10" t="inlineStr">
        <is>
          <t>下り</t>
        </is>
      </c>
      <c r="E5662" s="10" t="inlineStr">
        <is>
          <t>連1703</t>
        </is>
      </c>
      <c r="F5662" t="inlineStr">
        <is>
          <t>0122</t>
        </is>
      </c>
      <c r="G5662" s="10" t="inlineStr">
        <is>
          <t>天神川</t>
        </is>
      </c>
      <c r="H5662" s="10" t="inlineStr">
        <is>
          <t>発</t>
        </is>
      </c>
      <c r="J5662" s="10" t="inlineStr">
        <is>
          <t>営業</t>
        </is>
      </c>
      <c r="L5662" t="inlineStr">
        <is>
          <t>17:22:50</t>
        </is>
      </c>
      <c r="M5662" t="inlineStr">
        <is>
          <t>17:23:30</t>
        </is>
      </c>
      <c r="P5662" t="inlineStr">
        <is>
          <t>B系統(日中)</t>
        </is>
      </c>
    </row>
    <row r="5663" ht="15" customHeight="1" s="37">
      <c r="A5663" t="n">
        <v>13</v>
      </c>
      <c r="B5663" s="10" t="inlineStr">
        <is>
          <t>平日</t>
        </is>
      </c>
      <c r="C5663" s="10" t="inlineStr">
        <is>
          <t>本線</t>
        </is>
      </c>
      <c r="D5663" s="10" t="inlineStr">
        <is>
          <t>下り</t>
        </is>
      </c>
      <c r="E5663" s="10" t="inlineStr">
        <is>
          <t>連1703</t>
        </is>
      </c>
      <c r="F5663" t="inlineStr">
        <is>
          <t>0122</t>
        </is>
      </c>
      <c r="G5663" s="10" t="inlineStr">
        <is>
          <t>蚕ノ社</t>
        </is>
      </c>
      <c r="H5663" s="10" t="inlineStr">
        <is>
          <t>発</t>
        </is>
      </c>
      <c r="J5663" s="10" t="inlineStr">
        <is>
          <t>営業</t>
        </is>
      </c>
      <c r="L5663" t="inlineStr">
        <is>
          <t>17:24:20</t>
        </is>
      </c>
      <c r="M5663" t="inlineStr">
        <is>
          <t>17:24:40</t>
        </is>
      </c>
      <c r="P5663" t="inlineStr">
        <is>
          <t>B系統(日中)</t>
        </is>
      </c>
    </row>
    <row r="5664" ht="15" customHeight="1" s="37">
      <c r="A5664" t="n">
        <v>13</v>
      </c>
      <c r="B5664" s="10" t="inlineStr">
        <is>
          <t>平日</t>
        </is>
      </c>
      <c r="C5664" s="10" t="inlineStr">
        <is>
          <t>本線</t>
        </is>
      </c>
      <c r="D5664" s="10" t="inlineStr">
        <is>
          <t>下り</t>
        </is>
      </c>
      <c r="E5664" s="10" t="inlineStr">
        <is>
          <t>連1703</t>
        </is>
      </c>
      <c r="F5664" t="inlineStr">
        <is>
          <t>0122</t>
        </is>
      </c>
      <c r="G5664" s="10" t="inlineStr">
        <is>
          <t>太秦広隆寺</t>
        </is>
      </c>
      <c r="H5664" s="10" t="inlineStr">
        <is>
          <t>発</t>
        </is>
      </c>
      <c r="J5664" s="10" t="inlineStr">
        <is>
          <t>営業</t>
        </is>
      </c>
      <c r="L5664" t="inlineStr">
        <is>
          <t>17:26:00</t>
        </is>
      </c>
      <c r="M5664" t="inlineStr">
        <is>
          <t>17:26:20</t>
        </is>
      </c>
      <c r="P5664" t="inlineStr">
        <is>
          <t>B系統(日中)</t>
        </is>
      </c>
    </row>
    <row r="5665" ht="15" customHeight="1" s="37">
      <c r="A5665" t="n">
        <v>13</v>
      </c>
      <c r="B5665" s="10" t="inlineStr">
        <is>
          <t>平日</t>
        </is>
      </c>
      <c r="C5665" s="10" t="inlineStr">
        <is>
          <t>本線</t>
        </is>
      </c>
      <c r="D5665" s="10" t="inlineStr">
        <is>
          <t>下り</t>
        </is>
      </c>
      <c r="E5665" s="10" t="inlineStr">
        <is>
          <t>連1703</t>
        </is>
      </c>
      <c r="F5665" t="inlineStr">
        <is>
          <t>0122</t>
        </is>
      </c>
      <c r="G5665" s="10" t="inlineStr">
        <is>
          <t>帷子ノ辻</t>
        </is>
      </c>
      <c r="H5665" s="10" t="inlineStr">
        <is>
          <t>発</t>
        </is>
      </c>
      <c r="J5665" s="10" t="inlineStr">
        <is>
          <t>営業</t>
        </is>
      </c>
      <c r="L5665" t="inlineStr">
        <is>
          <t>17:28:20</t>
        </is>
      </c>
      <c r="M5665" t="inlineStr">
        <is>
          <t>17:29:40</t>
        </is>
      </c>
      <c r="P5665" t="inlineStr">
        <is>
          <t>B系統(日中)</t>
        </is>
      </c>
    </row>
    <row r="5666" ht="15" customHeight="1" s="37">
      <c r="A5666" t="n">
        <v>13</v>
      </c>
      <c r="B5666" s="10" t="inlineStr">
        <is>
          <t>平日</t>
        </is>
      </c>
      <c r="C5666" s="10" t="inlineStr">
        <is>
          <t>本線</t>
        </is>
      </c>
      <c r="D5666" s="10" t="inlineStr">
        <is>
          <t>下り</t>
        </is>
      </c>
      <c r="E5666" s="10" t="inlineStr">
        <is>
          <t>連1703</t>
        </is>
      </c>
      <c r="F5666" t="inlineStr">
        <is>
          <t>0122</t>
        </is>
      </c>
      <c r="G5666" s="10" t="inlineStr">
        <is>
          <t>有栖川</t>
        </is>
      </c>
      <c r="H5666" s="10" t="inlineStr">
        <is>
          <t>発</t>
        </is>
      </c>
      <c r="J5666" s="10" t="inlineStr">
        <is>
          <t>営業</t>
        </is>
      </c>
      <c r="L5666" t="inlineStr">
        <is>
          <t>17:30:50</t>
        </is>
      </c>
      <c r="M5666" t="inlineStr">
        <is>
          <t>17:31:15</t>
        </is>
      </c>
      <c r="P5666" t="inlineStr">
        <is>
          <t>B系統(日中)</t>
        </is>
      </c>
    </row>
    <row r="5667" ht="15" customHeight="1" s="37">
      <c r="A5667" t="n">
        <v>13</v>
      </c>
      <c r="B5667" s="10" t="inlineStr">
        <is>
          <t>平日</t>
        </is>
      </c>
      <c r="C5667" s="10" t="inlineStr">
        <is>
          <t>本線</t>
        </is>
      </c>
      <c r="D5667" s="10" t="inlineStr">
        <is>
          <t>下り</t>
        </is>
      </c>
      <c r="E5667" s="10" t="inlineStr">
        <is>
          <t>連1703</t>
        </is>
      </c>
      <c r="F5667" t="inlineStr">
        <is>
          <t>0122</t>
        </is>
      </c>
      <c r="G5667" s="10" t="inlineStr">
        <is>
          <t>車折</t>
        </is>
      </c>
      <c r="H5667" s="10" t="inlineStr">
        <is>
          <t>発</t>
        </is>
      </c>
      <c r="J5667" s="10" t="inlineStr">
        <is>
          <t>営業</t>
        </is>
      </c>
      <c r="L5667" t="inlineStr">
        <is>
          <t>17:32:40</t>
        </is>
      </c>
      <c r="M5667" t="inlineStr">
        <is>
          <t>17:33:05</t>
        </is>
      </c>
      <c r="P5667" t="inlineStr">
        <is>
          <t>B系統(日中)</t>
        </is>
      </c>
    </row>
    <row r="5668" ht="15" customHeight="1" s="37">
      <c r="A5668" t="n">
        <v>13</v>
      </c>
      <c r="B5668" s="10" t="inlineStr">
        <is>
          <t>平日</t>
        </is>
      </c>
      <c r="C5668" s="10" t="inlineStr">
        <is>
          <t>本線</t>
        </is>
      </c>
      <c r="D5668" s="10" t="inlineStr">
        <is>
          <t>下り</t>
        </is>
      </c>
      <c r="E5668" s="10" t="inlineStr">
        <is>
          <t>連1703</t>
        </is>
      </c>
      <c r="F5668" t="inlineStr">
        <is>
          <t>0122</t>
        </is>
      </c>
      <c r="G5668" s="10" t="inlineStr">
        <is>
          <t>鹿王院</t>
        </is>
      </c>
      <c r="H5668" s="10" t="inlineStr">
        <is>
          <t>発</t>
        </is>
      </c>
      <c r="J5668" s="10" t="inlineStr">
        <is>
          <t>営業</t>
        </is>
      </c>
      <c r="L5668" t="inlineStr">
        <is>
          <t>17:34:00</t>
        </is>
      </c>
      <c r="M5668" t="inlineStr">
        <is>
          <t>17:34:25</t>
        </is>
      </c>
      <c r="P5668" t="inlineStr">
        <is>
          <t>B系統(日中)</t>
        </is>
      </c>
    </row>
    <row r="5669" ht="15" customHeight="1" s="37">
      <c r="A5669" t="n">
        <v>13</v>
      </c>
      <c r="B5669" s="10" t="inlineStr">
        <is>
          <t>平日</t>
        </is>
      </c>
      <c r="C5669" s="10" t="inlineStr">
        <is>
          <t>本線</t>
        </is>
      </c>
      <c r="D5669" s="10" t="inlineStr">
        <is>
          <t>下り</t>
        </is>
      </c>
      <c r="E5669" s="10" t="inlineStr">
        <is>
          <t>連1703</t>
        </is>
      </c>
      <c r="F5669" t="inlineStr">
        <is>
          <t>0122</t>
        </is>
      </c>
      <c r="G5669" s="10" t="inlineStr">
        <is>
          <t>嵯峨</t>
        </is>
      </c>
      <c r="H5669" s="10" t="inlineStr">
        <is>
          <t>発</t>
        </is>
      </c>
      <c r="J5669" s="10" t="inlineStr">
        <is>
          <t>営業</t>
        </is>
      </c>
      <c r="L5669" t="inlineStr">
        <is>
          <t>17:35:30</t>
        </is>
      </c>
      <c r="M5669" t="inlineStr">
        <is>
          <t>17:35:55</t>
        </is>
      </c>
      <c r="P5669" t="inlineStr">
        <is>
          <t>B系統(日中)</t>
        </is>
      </c>
    </row>
    <row r="5670" ht="15" customHeight="1" s="37">
      <c r="A5670" t="n">
        <v>13</v>
      </c>
      <c r="B5670" s="10" t="inlineStr">
        <is>
          <t>平日</t>
        </is>
      </c>
      <c r="C5670" s="10" t="inlineStr">
        <is>
          <t>本線</t>
        </is>
      </c>
      <c r="D5670" s="10" t="inlineStr">
        <is>
          <t>下り</t>
        </is>
      </c>
      <c r="E5670" s="10" t="inlineStr">
        <is>
          <t>連1703</t>
        </is>
      </c>
      <c r="F5670" t="inlineStr">
        <is>
          <t>0122</t>
        </is>
      </c>
      <c r="G5670" s="10" t="inlineStr">
        <is>
          <t>嵐山</t>
        </is>
      </c>
      <c r="H5670" s="10" t="inlineStr">
        <is>
          <t>着</t>
        </is>
      </c>
      <c r="J5670" s="10" t="inlineStr">
        <is>
          <t>営業</t>
        </is>
      </c>
      <c r="L5670" t="inlineStr">
        <is>
          <t>17:37:00</t>
        </is>
      </c>
      <c r="N5670" t="inlineStr">
        <is>
          <t>○</t>
        </is>
      </c>
      <c r="P5670" t="inlineStr">
        <is>
          <t>B系統(日中)</t>
        </is>
      </c>
      <c r="Q5670" t="inlineStr">
        <is>
          <t>1</t>
        </is>
      </c>
    </row>
    <row r="5671" ht="15" customHeight="1" s="37">
      <c r="A5671" t="n">
        <v>13</v>
      </c>
      <c r="B5671" s="10" t="inlineStr">
        <is>
          <t>平日</t>
        </is>
      </c>
      <c r="C5671" s="10" t="inlineStr">
        <is>
          <t>本線</t>
        </is>
      </c>
      <c r="D5671" s="10" t="inlineStr">
        <is>
          <t>上り</t>
        </is>
      </c>
      <c r="E5671" s="10" t="inlineStr">
        <is>
          <t>連1710</t>
        </is>
      </c>
      <c r="F5671" t="inlineStr">
        <is>
          <t>2221</t>
        </is>
      </c>
      <c r="G5671" s="10" t="inlineStr">
        <is>
          <t>嵐山</t>
        </is>
      </c>
      <c r="H5671" s="10" t="inlineStr">
        <is>
          <t>発</t>
        </is>
      </c>
      <c r="J5671" s="10" t="inlineStr">
        <is>
          <t>営業</t>
        </is>
      </c>
      <c r="M5671" t="inlineStr">
        <is>
          <t>17:43:00</t>
        </is>
      </c>
      <c r="P5671" t="inlineStr">
        <is>
          <t>B系統(日中)</t>
        </is>
      </c>
      <c r="Q5671" t="inlineStr">
        <is>
          <t>1</t>
        </is>
      </c>
    </row>
    <row r="5672" ht="15" customHeight="1" s="37">
      <c r="A5672" t="n">
        <v>13</v>
      </c>
      <c r="B5672" s="10" t="inlineStr">
        <is>
          <t>平日</t>
        </is>
      </c>
      <c r="C5672" s="10" t="inlineStr">
        <is>
          <t>本線</t>
        </is>
      </c>
      <c r="D5672" s="10" t="inlineStr">
        <is>
          <t>上り</t>
        </is>
      </c>
      <c r="E5672" s="10" t="inlineStr">
        <is>
          <t>連1710</t>
        </is>
      </c>
      <c r="F5672" t="inlineStr">
        <is>
          <t>2221</t>
        </is>
      </c>
      <c r="G5672" s="10" t="inlineStr">
        <is>
          <t>嵯峨</t>
        </is>
      </c>
      <c r="H5672" s="10" t="inlineStr">
        <is>
          <t>発</t>
        </is>
      </c>
      <c r="J5672" s="10" t="inlineStr">
        <is>
          <t>営業</t>
        </is>
      </c>
      <c r="L5672" t="inlineStr">
        <is>
          <t>17:43:55</t>
        </is>
      </c>
      <c r="M5672" t="inlineStr">
        <is>
          <t>17:44:20</t>
        </is>
      </c>
      <c r="P5672" t="inlineStr">
        <is>
          <t>B系統(日中)</t>
        </is>
      </c>
    </row>
    <row r="5673" ht="15" customHeight="1" s="37">
      <c r="A5673" t="n">
        <v>13</v>
      </c>
      <c r="B5673" s="10" t="inlineStr">
        <is>
          <t>平日</t>
        </is>
      </c>
      <c r="C5673" s="10" t="inlineStr">
        <is>
          <t>本線</t>
        </is>
      </c>
      <c r="D5673" s="10" t="inlineStr">
        <is>
          <t>上り</t>
        </is>
      </c>
      <c r="E5673" s="10" t="inlineStr">
        <is>
          <t>連1710</t>
        </is>
      </c>
      <c r="F5673" t="inlineStr">
        <is>
          <t>2221</t>
        </is>
      </c>
      <c r="G5673" s="10" t="inlineStr">
        <is>
          <t>鹿王院</t>
        </is>
      </c>
      <c r="H5673" s="10" t="inlineStr">
        <is>
          <t>発</t>
        </is>
      </c>
      <c r="J5673" s="10" t="inlineStr">
        <is>
          <t>営業</t>
        </is>
      </c>
      <c r="L5673" t="inlineStr">
        <is>
          <t>17:45:25</t>
        </is>
      </c>
      <c r="M5673" t="inlineStr">
        <is>
          <t>17:45:45</t>
        </is>
      </c>
      <c r="P5673" t="inlineStr">
        <is>
          <t>B系統(日中)</t>
        </is>
      </c>
    </row>
    <row r="5674" ht="15" customHeight="1" s="37">
      <c r="A5674" t="n">
        <v>13</v>
      </c>
      <c r="B5674" s="10" t="inlineStr">
        <is>
          <t>平日</t>
        </is>
      </c>
      <c r="C5674" s="10" t="inlineStr">
        <is>
          <t>本線</t>
        </is>
      </c>
      <c r="D5674" s="10" t="inlineStr">
        <is>
          <t>上り</t>
        </is>
      </c>
      <c r="E5674" s="10" t="inlineStr">
        <is>
          <t>連1710</t>
        </is>
      </c>
      <c r="F5674" t="inlineStr">
        <is>
          <t>2221</t>
        </is>
      </c>
      <c r="G5674" s="10" t="inlineStr">
        <is>
          <t>車折</t>
        </is>
      </c>
      <c r="H5674" s="10" t="inlineStr">
        <is>
          <t>発</t>
        </is>
      </c>
      <c r="J5674" s="10" t="inlineStr">
        <is>
          <t>営業</t>
        </is>
      </c>
      <c r="L5674" t="inlineStr">
        <is>
          <t>17:46:40</t>
        </is>
      </c>
      <c r="M5674" t="inlineStr">
        <is>
          <t>17:47:10</t>
        </is>
      </c>
      <c r="P5674" t="inlineStr">
        <is>
          <t>B系統(日中)</t>
        </is>
      </c>
    </row>
    <row r="5675" ht="15" customHeight="1" s="37">
      <c r="A5675" t="n">
        <v>13</v>
      </c>
      <c r="B5675" s="10" t="inlineStr">
        <is>
          <t>平日</t>
        </is>
      </c>
      <c r="C5675" s="10" t="inlineStr">
        <is>
          <t>本線</t>
        </is>
      </c>
      <c r="D5675" s="10" t="inlineStr">
        <is>
          <t>上り</t>
        </is>
      </c>
      <c r="E5675" s="10" t="inlineStr">
        <is>
          <t>連1710</t>
        </is>
      </c>
      <c r="F5675" t="inlineStr">
        <is>
          <t>2221</t>
        </is>
      </c>
      <c r="G5675" s="10" t="inlineStr">
        <is>
          <t>有栖川</t>
        </is>
      </c>
      <c r="H5675" s="10" t="inlineStr">
        <is>
          <t>発</t>
        </is>
      </c>
      <c r="J5675" s="10" t="inlineStr">
        <is>
          <t>営業</t>
        </is>
      </c>
      <c r="L5675" t="inlineStr">
        <is>
          <t>17:48:35</t>
        </is>
      </c>
      <c r="M5675" t="inlineStr">
        <is>
          <t>17:48:55</t>
        </is>
      </c>
      <c r="P5675" t="inlineStr">
        <is>
          <t>B系統(日中)</t>
        </is>
      </c>
    </row>
    <row r="5676" ht="15" customHeight="1" s="37">
      <c r="A5676" t="n">
        <v>13</v>
      </c>
      <c r="B5676" s="10" t="inlineStr">
        <is>
          <t>平日</t>
        </is>
      </c>
      <c r="C5676" s="10" t="inlineStr">
        <is>
          <t>本線</t>
        </is>
      </c>
      <c r="D5676" s="10" t="inlineStr">
        <is>
          <t>上り</t>
        </is>
      </c>
      <c r="E5676" s="10" t="inlineStr">
        <is>
          <t>連1710</t>
        </is>
      </c>
      <c r="F5676" t="inlineStr">
        <is>
          <t>2221</t>
        </is>
      </c>
      <c r="G5676" s="10" t="inlineStr">
        <is>
          <t>帷子ノ辻</t>
        </is>
      </c>
      <c r="H5676" s="10" t="inlineStr">
        <is>
          <t>発</t>
        </is>
      </c>
      <c r="J5676" s="10" t="inlineStr">
        <is>
          <t>営業</t>
        </is>
      </c>
      <c r="L5676" t="inlineStr">
        <is>
          <t>17:50:10</t>
        </is>
      </c>
      <c r="M5676" t="inlineStr">
        <is>
          <t>17:51:15</t>
        </is>
      </c>
      <c r="P5676" t="inlineStr">
        <is>
          <t>B系統(日中)</t>
        </is>
      </c>
    </row>
    <row r="5677" ht="15" customHeight="1" s="37">
      <c r="A5677" t="n">
        <v>13</v>
      </c>
      <c r="B5677" s="10" t="inlineStr">
        <is>
          <t>平日</t>
        </is>
      </c>
      <c r="C5677" s="10" t="inlineStr">
        <is>
          <t>本線</t>
        </is>
      </c>
      <c r="D5677" s="10" t="inlineStr">
        <is>
          <t>上り</t>
        </is>
      </c>
      <c r="E5677" s="10" t="inlineStr">
        <is>
          <t>連1710</t>
        </is>
      </c>
      <c r="F5677" t="inlineStr">
        <is>
          <t>2221</t>
        </is>
      </c>
      <c r="G5677" s="10" t="inlineStr">
        <is>
          <t>太秦広隆寺</t>
        </is>
      </c>
      <c r="H5677" s="10" t="inlineStr">
        <is>
          <t>発</t>
        </is>
      </c>
      <c r="J5677" s="10" t="inlineStr">
        <is>
          <t>営業</t>
        </is>
      </c>
      <c r="L5677" t="inlineStr">
        <is>
          <t>17:53:25</t>
        </is>
      </c>
      <c r="M5677" t="inlineStr">
        <is>
          <t>17:53:45</t>
        </is>
      </c>
      <c r="P5677" t="inlineStr">
        <is>
          <t>B系統(日中)</t>
        </is>
      </c>
    </row>
    <row r="5678" ht="15" customHeight="1" s="37">
      <c r="A5678" t="n">
        <v>13</v>
      </c>
      <c r="B5678" s="10" t="inlineStr">
        <is>
          <t>平日</t>
        </is>
      </c>
      <c r="C5678" s="10" t="inlineStr">
        <is>
          <t>本線</t>
        </is>
      </c>
      <c r="D5678" s="10" t="inlineStr">
        <is>
          <t>上り</t>
        </is>
      </c>
      <c r="E5678" s="10" t="inlineStr">
        <is>
          <t>連1710</t>
        </is>
      </c>
      <c r="F5678" t="inlineStr">
        <is>
          <t>2221</t>
        </is>
      </c>
      <c r="G5678" s="10" t="inlineStr">
        <is>
          <t>蚕ノ社</t>
        </is>
      </c>
      <c r="H5678" s="10" t="inlineStr">
        <is>
          <t>発</t>
        </is>
      </c>
      <c r="J5678" s="10" t="inlineStr">
        <is>
          <t>営業</t>
        </is>
      </c>
      <c r="L5678" t="inlineStr">
        <is>
          <t>17:55:00</t>
        </is>
      </c>
      <c r="M5678" t="inlineStr">
        <is>
          <t>17:55:20</t>
        </is>
      </c>
      <c r="P5678" t="inlineStr">
        <is>
          <t>B系統(日中)</t>
        </is>
      </c>
    </row>
    <row r="5679" ht="15" customHeight="1" s="37">
      <c r="A5679" t="n">
        <v>13</v>
      </c>
      <c r="B5679" s="10" t="inlineStr">
        <is>
          <t>平日</t>
        </is>
      </c>
      <c r="C5679" s="10" t="inlineStr">
        <is>
          <t>本線</t>
        </is>
      </c>
      <c r="D5679" s="10" t="inlineStr">
        <is>
          <t>上り</t>
        </is>
      </c>
      <c r="E5679" s="10" t="inlineStr">
        <is>
          <t>連1710</t>
        </is>
      </c>
      <c r="F5679" t="inlineStr">
        <is>
          <t>2221</t>
        </is>
      </c>
      <c r="G5679" s="10" t="inlineStr">
        <is>
          <t>天神川</t>
        </is>
      </c>
      <c r="H5679" s="10" t="inlineStr">
        <is>
          <t>発</t>
        </is>
      </c>
      <c r="J5679" s="10" t="inlineStr">
        <is>
          <t>営業</t>
        </is>
      </c>
      <c r="L5679" t="inlineStr">
        <is>
          <t>17:56:05</t>
        </is>
      </c>
      <c r="M5679" t="inlineStr">
        <is>
          <t>17:56:50</t>
        </is>
      </c>
      <c r="P5679" t="inlineStr">
        <is>
          <t>B系統(日中)</t>
        </is>
      </c>
    </row>
    <row r="5680" ht="15" customHeight="1" s="37">
      <c r="A5680" t="n">
        <v>13</v>
      </c>
      <c r="B5680" s="10" t="inlineStr">
        <is>
          <t>平日</t>
        </is>
      </c>
      <c r="C5680" s="10" t="inlineStr">
        <is>
          <t>本線</t>
        </is>
      </c>
      <c r="D5680" s="10" t="inlineStr">
        <is>
          <t>上り</t>
        </is>
      </c>
      <c r="E5680" s="10" t="inlineStr">
        <is>
          <t>連1710</t>
        </is>
      </c>
      <c r="F5680" t="inlineStr">
        <is>
          <t>2221</t>
        </is>
      </c>
      <c r="G5680" s="10" t="inlineStr">
        <is>
          <t>山ノ内</t>
        </is>
      </c>
      <c r="H5680" s="10" t="inlineStr">
        <is>
          <t>発</t>
        </is>
      </c>
      <c r="J5680" s="10" t="inlineStr">
        <is>
          <t>営業</t>
        </is>
      </c>
      <c r="L5680" t="inlineStr">
        <is>
          <t>17:58:40</t>
        </is>
      </c>
      <c r="M5680" t="inlineStr">
        <is>
          <t>17:59:05</t>
        </is>
      </c>
      <c r="P5680" t="inlineStr">
        <is>
          <t>B系統(日中)</t>
        </is>
      </c>
    </row>
    <row r="5681" ht="15" customHeight="1" s="37">
      <c r="A5681" t="n">
        <v>13</v>
      </c>
      <c r="B5681" s="10" t="inlineStr">
        <is>
          <t>平日</t>
        </is>
      </c>
      <c r="C5681" s="10" t="inlineStr">
        <is>
          <t>本線</t>
        </is>
      </c>
      <c r="D5681" s="10" t="inlineStr">
        <is>
          <t>上り</t>
        </is>
      </c>
      <c r="E5681" s="10" t="inlineStr">
        <is>
          <t>連1710</t>
        </is>
      </c>
      <c r="F5681" t="inlineStr">
        <is>
          <t>2221</t>
        </is>
      </c>
      <c r="G5681" s="10" t="inlineStr">
        <is>
          <t>西大路三条</t>
        </is>
      </c>
      <c r="H5681" s="10" t="inlineStr">
        <is>
          <t>発</t>
        </is>
      </c>
      <c r="J5681" s="10" t="inlineStr">
        <is>
          <t>営業</t>
        </is>
      </c>
      <c r="L5681" t="inlineStr">
        <is>
          <t>18:00:55</t>
        </is>
      </c>
      <c r="M5681" t="inlineStr">
        <is>
          <t>18:01:15</t>
        </is>
      </c>
      <c r="P5681" t="inlineStr">
        <is>
          <t>B系統(日中)</t>
        </is>
      </c>
    </row>
    <row r="5682" ht="15" customHeight="1" s="37">
      <c r="A5682" t="n">
        <v>13</v>
      </c>
      <c r="B5682" s="10" t="inlineStr">
        <is>
          <t>平日</t>
        </is>
      </c>
      <c r="C5682" s="10" t="inlineStr">
        <is>
          <t>本線</t>
        </is>
      </c>
      <c r="D5682" s="10" t="inlineStr">
        <is>
          <t>上り</t>
        </is>
      </c>
      <c r="E5682" s="10" t="inlineStr">
        <is>
          <t>連1710</t>
        </is>
      </c>
      <c r="F5682" t="inlineStr">
        <is>
          <t>2221</t>
        </is>
      </c>
      <c r="G5682" s="10" t="inlineStr">
        <is>
          <t>西院</t>
        </is>
      </c>
      <c r="H5682" s="10" t="inlineStr">
        <is>
          <t>発</t>
        </is>
      </c>
      <c r="J5682" s="10" t="inlineStr">
        <is>
          <t>営業</t>
        </is>
      </c>
      <c r="L5682" t="inlineStr">
        <is>
          <t>18:03:10</t>
        </is>
      </c>
      <c r="M5682" t="inlineStr">
        <is>
          <t>18:04:05</t>
        </is>
      </c>
      <c r="P5682" t="inlineStr">
        <is>
          <t>B系統(日中)</t>
        </is>
      </c>
    </row>
    <row r="5683" ht="15" customHeight="1" s="37">
      <c r="A5683" t="n">
        <v>13</v>
      </c>
      <c r="B5683" s="10" t="inlineStr">
        <is>
          <t>平日</t>
        </is>
      </c>
      <c r="C5683" s="10" t="inlineStr">
        <is>
          <t>本線</t>
        </is>
      </c>
      <c r="D5683" s="10" t="inlineStr">
        <is>
          <t>上り</t>
        </is>
      </c>
      <c r="E5683" s="10" t="inlineStr">
        <is>
          <t>連1710</t>
        </is>
      </c>
      <c r="F5683" t="inlineStr">
        <is>
          <t>2221</t>
        </is>
      </c>
      <c r="G5683" s="10" t="inlineStr">
        <is>
          <t>四条大宮</t>
        </is>
      </c>
      <c r="H5683" s="10" t="inlineStr">
        <is>
          <t>着</t>
        </is>
      </c>
      <c r="J5683" s="10" t="inlineStr">
        <is>
          <t>営業</t>
        </is>
      </c>
      <c r="L5683" t="inlineStr">
        <is>
          <t>18:07:00</t>
        </is>
      </c>
      <c r="P5683" t="inlineStr">
        <is>
          <t>B系統(日中)</t>
        </is>
      </c>
      <c r="Q5683" t="inlineStr">
        <is>
          <t>1</t>
        </is>
      </c>
    </row>
    <row r="5684" ht="15" customHeight="1" s="37">
      <c r="A5684" t="n">
        <v>13</v>
      </c>
      <c r="B5684" s="10" t="inlineStr">
        <is>
          <t>平日</t>
        </is>
      </c>
      <c r="C5684" s="10" t="inlineStr">
        <is>
          <t>本線</t>
        </is>
      </c>
      <c r="D5684" s="10" t="inlineStr">
        <is>
          <t>下り</t>
        </is>
      </c>
      <c r="E5684" s="10" t="inlineStr">
        <is>
          <t>連1803</t>
        </is>
      </c>
      <c r="F5684" t="inlineStr">
        <is>
          <t>0122</t>
        </is>
      </c>
      <c r="G5684" s="10" t="inlineStr">
        <is>
          <t>四条大宮</t>
        </is>
      </c>
      <c r="H5684" s="10" t="inlineStr">
        <is>
          <t>発</t>
        </is>
      </c>
      <c r="J5684" s="10" t="inlineStr">
        <is>
          <t>営業</t>
        </is>
      </c>
      <c r="M5684" t="inlineStr">
        <is>
          <t>18:13:00</t>
        </is>
      </c>
      <c r="P5684" t="inlineStr">
        <is>
          <t>B系統(日中)</t>
        </is>
      </c>
      <c r="Q5684" t="inlineStr">
        <is>
          <t>1</t>
        </is>
      </c>
    </row>
    <row r="5685" ht="15" customHeight="1" s="37">
      <c r="A5685" t="n">
        <v>13</v>
      </c>
      <c r="B5685" s="10" t="inlineStr">
        <is>
          <t>平日</t>
        </is>
      </c>
      <c r="C5685" s="10" t="inlineStr">
        <is>
          <t>本線</t>
        </is>
      </c>
      <c r="D5685" s="10" t="inlineStr">
        <is>
          <t>下り</t>
        </is>
      </c>
      <c r="E5685" s="10" t="inlineStr">
        <is>
          <t>連1803</t>
        </is>
      </c>
      <c r="F5685" t="inlineStr">
        <is>
          <t>0122</t>
        </is>
      </c>
      <c r="G5685" s="10" t="inlineStr">
        <is>
          <t>西院</t>
        </is>
      </c>
      <c r="H5685" s="10" t="inlineStr">
        <is>
          <t>発</t>
        </is>
      </c>
      <c r="J5685" s="10" t="inlineStr">
        <is>
          <t>営業</t>
        </is>
      </c>
      <c r="L5685" t="inlineStr">
        <is>
          <t>18:15:50</t>
        </is>
      </c>
      <c r="M5685" t="inlineStr">
        <is>
          <t>18:16:20</t>
        </is>
      </c>
      <c r="P5685" t="inlineStr">
        <is>
          <t>B系統(日中)</t>
        </is>
      </c>
    </row>
    <row r="5686" ht="15" customHeight="1" s="37">
      <c r="A5686" t="n">
        <v>13</v>
      </c>
      <c r="B5686" s="10" t="inlineStr">
        <is>
          <t>平日</t>
        </is>
      </c>
      <c r="C5686" s="10" t="inlineStr">
        <is>
          <t>本線</t>
        </is>
      </c>
      <c r="D5686" s="10" t="inlineStr">
        <is>
          <t>下り</t>
        </is>
      </c>
      <c r="E5686" s="10" t="inlineStr">
        <is>
          <t>連1803</t>
        </is>
      </c>
      <c r="F5686" t="inlineStr">
        <is>
          <t>0122</t>
        </is>
      </c>
      <c r="G5686" s="10" t="inlineStr">
        <is>
          <t>西大路三条</t>
        </is>
      </c>
      <c r="H5686" s="10" t="inlineStr">
        <is>
          <t>発</t>
        </is>
      </c>
      <c r="J5686" s="10" t="inlineStr">
        <is>
          <t>営業</t>
        </is>
      </c>
      <c r="L5686" t="inlineStr">
        <is>
          <t>18:18:10</t>
        </is>
      </c>
      <c r="M5686" t="inlineStr">
        <is>
          <t>18:18:30</t>
        </is>
      </c>
      <c r="P5686" t="inlineStr">
        <is>
          <t>B系統(日中)</t>
        </is>
      </c>
    </row>
    <row r="5687" ht="15" customHeight="1" s="37">
      <c r="A5687" t="n">
        <v>13</v>
      </c>
      <c r="B5687" s="10" t="inlineStr">
        <is>
          <t>平日</t>
        </is>
      </c>
      <c r="C5687" s="10" t="inlineStr">
        <is>
          <t>本線</t>
        </is>
      </c>
      <c r="D5687" s="10" t="inlineStr">
        <is>
          <t>下り</t>
        </is>
      </c>
      <c r="E5687" s="10" t="inlineStr">
        <is>
          <t>連1803</t>
        </is>
      </c>
      <c r="F5687" t="inlineStr">
        <is>
          <t>0122</t>
        </is>
      </c>
      <c r="G5687" s="10" t="inlineStr">
        <is>
          <t>山ノ内</t>
        </is>
      </c>
      <c r="H5687" s="10" t="inlineStr">
        <is>
          <t>発</t>
        </is>
      </c>
      <c r="J5687" s="10" t="inlineStr">
        <is>
          <t>営業</t>
        </is>
      </c>
      <c r="L5687" t="inlineStr">
        <is>
          <t>18:20:25</t>
        </is>
      </c>
      <c r="M5687" t="inlineStr">
        <is>
          <t>18:20:50</t>
        </is>
      </c>
      <c r="P5687" t="inlineStr">
        <is>
          <t>B系統(日中)</t>
        </is>
      </c>
    </row>
    <row r="5688" ht="15" customHeight="1" s="37">
      <c r="A5688" t="n">
        <v>13</v>
      </c>
      <c r="B5688" s="10" t="inlineStr">
        <is>
          <t>平日</t>
        </is>
      </c>
      <c r="C5688" s="10" t="inlineStr">
        <is>
          <t>本線</t>
        </is>
      </c>
      <c r="D5688" s="10" t="inlineStr">
        <is>
          <t>下り</t>
        </is>
      </c>
      <c r="E5688" s="10" t="inlineStr">
        <is>
          <t>連1803</t>
        </is>
      </c>
      <c r="F5688" t="inlineStr">
        <is>
          <t>0122</t>
        </is>
      </c>
      <c r="G5688" s="10" t="inlineStr">
        <is>
          <t>天神川</t>
        </is>
      </c>
      <c r="H5688" s="10" t="inlineStr">
        <is>
          <t>発</t>
        </is>
      </c>
      <c r="J5688" s="10" t="inlineStr">
        <is>
          <t>営業</t>
        </is>
      </c>
      <c r="L5688" t="inlineStr">
        <is>
          <t>18:22:50</t>
        </is>
      </c>
      <c r="M5688" t="inlineStr">
        <is>
          <t>18:23:30</t>
        </is>
      </c>
      <c r="P5688" t="inlineStr">
        <is>
          <t>B系統(日中)</t>
        </is>
      </c>
    </row>
    <row r="5689" ht="15" customHeight="1" s="37">
      <c r="A5689" t="n">
        <v>13</v>
      </c>
      <c r="B5689" s="10" t="inlineStr">
        <is>
          <t>平日</t>
        </is>
      </c>
      <c r="C5689" s="10" t="inlineStr">
        <is>
          <t>本線</t>
        </is>
      </c>
      <c r="D5689" s="10" t="inlineStr">
        <is>
          <t>下り</t>
        </is>
      </c>
      <c r="E5689" s="10" t="inlineStr">
        <is>
          <t>連1803</t>
        </is>
      </c>
      <c r="F5689" t="inlineStr">
        <is>
          <t>0122</t>
        </is>
      </c>
      <c r="G5689" s="10" t="inlineStr">
        <is>
          <t>蚕ノ社</t>
        </is>
      </c>
      <c r="H5689" s="10" t="inlineStr">
        <is>
          <t>発</t>
        </is>
      </c>
      <c r="J5689" s="10" t="inlineStr">
        <is>
          <t>営業</t>
        </is>
      </c>
      <c r="L5689" t="inlineStr">
        <is>
          <t>18:24:20</t>
        </is>
      </c>
      <c r="M5689" t="inlineStr">
        <is>
          <t>18:24:40</t>
        </is>
      </c>
      <c r="P5689" t="inlineStr">
        <is>
          <t>B系統(日中)</t>
        </is>
      </c>
    </row>
    <row r="5690" ht="15" customHeight="1" s="37">
      <c r="A5690" t="n">
        <v>13</v>
      </c>
      <c r="B5690" s="10" t="inlineStr">
        <is>
          <t>平日</t>
        </is>
      </c>
      <c r="C5690" s="10" t="inlineStr">
        <is>
          <t>本線</t>
        </is>
      </c>
      <c r="D5690" s="10" t="inlineStr">
        <is>
          <t>下り</t>
        </is>
      </c>
      <c r="E5690" s="10" t="inlineStr">
        <is>
          <t>連1803</t>
        </is>
      </c>
      <c r="F5690" t="inlineStr">
        <is>
          <t>0122</t>
        </is>
      </c>
      <c r="G5690" s="10" t="inlineStr">
        <is>
          <t>太秦広隆寺</t>
        </is>
      </c>
      <c r="H5690" s="10" t="inlineStr">
        <is>
          <t>発</t>
        </is>
      </c>
      <c r="J5690" s="10" t="inlineStr">
        <is>
          <t>営業</t>
        </is>
      </c>
      <c r="L5690" t="inlineStr">
        <is>
          <t>18:26:00</t>
        </is>
      </c>
      <c r="M5690" t="inlineStr">
        <is>
          <t>18:26:20</t>
        </is>
      </c>
      <c r="P5690" t="inlineStr">
        <is>
          <t>B系統(日中)</t>
        </is>
      </c>
    </row>
    <row r="5691" ht="15" customHeight="1" s="37">
      <c r="A5691" t="n">
        <v>13</v>
      </c>
      <c r="B5691" s="10" t="inlineStr">
        <is>
          <t>平日</t>
        </is>
      </c>
      <c r="C5691" s="10" t="inlineStr">
        <is>
          <t>本線</t>
        </is>
      </c>
      <c r="D5691" s="10" t="inlineStr">
        <is>
          <t>下り</t>
        </is>
      </c>
      <c r="E5691" s="10" t="inlineStr">
        <is>
          <t>連1803</t>
        </is>
      </c>
      <c r="F5691" t="inlineStr">
        <is>
          <t>0122</t>
        </is>
      </c>
      <c r="G5691" s="10" t="inlineStr">
        <is>
          <t>帷子ノ辻</t>
        </is>
      </c>
      <c r="H5691" s="10" t="inlineStr">
        <is>
          <t>発</t>
        </is>
      </c>
      <c r="J5691" s="10" t="inlineStr">
        <is>
          <t>営業</t>
        </is>
      </c>
      <c r="L5691" t="inlineStr">
        <is>
          <t>18:28:20</t>
        </is>
      </c>
      <c r="M5691" t="inlineStr">
        <is>
          <t>18:29:40</t>
        </is>
      </c>
      <c r="P5691" t="inlineStr">
        <is>
          <t>B系統(日中)</t>
        </is>
      </c>
    </row>
    <row r="5692" ht="15" customHeight="1" s="37">
      <c r="A5692" t="n">
        <v>13</v>
      </c>
      <c r="B5692" s="10" t="inlineStr">
        <is>
          <t>平日</t>
        </is>
      </c>
      <c r="C5692" s="10" t="inlineStr">
        <is>
          <t>本線</t>
        </is>
      </c>
      <c r="D5692" s="10" t="inlineStr">
        <is>
          <t>下り</t>
        </is>
      </c>
      <c r="E5692" s="10" t="inlineStr">
        <is>
          <t>連1803</t>
        </is>
      </c>
      <c r="F5692" t="inlineStr">
        <is>
          <t>0122</t>
        </is>
      </c>
      <c r="G5692" s="10" t="inlineStr">
        <is>
          <t>有栖川</t>
        </is>
      </c>
      <c r="H5692" s="10" t="inlineStr">
        <is>
          <t>発</t>
        </is>
      </c>
      <c r="J5692" s="10" t="inlineStr">
        <is>
          <t>営業</t>
        </is>
      </c>
      <c r="L5692" t="inlineStr">
        <is>
          <t>18:30:50</t>
        </is>
      </c>
      <c r="M5692" t="inlineStr">
        <is>
          <t>18:31:15</t>
        </is>
      </c>
      <c r="P5692" t="inlineStr">
        <is>
          <t>B系統(日中)</t>
        </is>
      </c>
    </row>
    <row r="5693" ht="15" customHeight="1" s="37">
      <c r="A5693" t="n">
        <v>13</v>
      </c>
      <c r="B5693" s="10" t="inlineStr">
        <is>
          <t>平日</t>
        </is>
      </c>
      <c r="C5693" s="10" t="inlineStr">
        <is>
          <t>本線</t>
        </is>
      </c>
      <c r="D5693" s="10" t="inlineStr">
        <is>
          <t>下り</t>
        </is>
      </c>
      <c r="E5693" s="10" t="inlineStr">
        <is>
          <t>連1803</t>
        </is>
      </c>
      <c r="F5693" t="inlineStr">
        <is>
          <t>0122</t>
        </is>
      </c>
      <c r="G5693" s="10" t="inlineStr">
        <is>
          <t>車折</t>
        </is>
      </c>
      <c r="H5693" s="10" t="inlineStr">
        <is>
          <t>発</t>
        </is>
      </c>
      <c r="J5693" s="10" t="inlineStr">
        <is>
          <t>営業</t>
        </is>
      </c>
      <c r="L5693" t="inlineStr">
        <is>
          <t>18:32:40</t>
        </is>
      </c>
      <c r="M5693" t="inlineStr">
        <is>
          <t>18:33:05</t>
        </is>
      </c>
      <c r="P5693" t="inlineStr">
        <is>
          <t>B系統(日中)</t>
        </is>
      </c>
    </row>
    <row r="5694" ht="15" customHeight="1" s="37">
      <c r="A5694" t="n">
        <v>13</v>
      </c>
      <c r="B5694" s="10" t="inlineStr">
        <is>
          <t>平日</t>
        </is>
      </c>
      <c r="C5694" s="10" t="inlineStr">
        <is>
          <t>本線</t>
        </is>
      </c>
      <c r="D5694" s="10" t="inlineStr">
        <is>
          <t>下り</t>
        </is>
      </c>
      <c r="E5694" s="10" t="inlineStr">
        <is>
          <t>連1803</t>
        </is>
      </c>
      <c r="F5694" t="inlineStr">
        <is>
          <t>0122</t>
        </is>
      </c>
      <c r="G5694" s="10" t="inlineStr">
        <is>
          <t>鹿王院</t>
        </is>
      </c>
      <c r="H5694" s="10" t="inlineStr">
        <is>
          <t>発</t>
        </is>
      </c>
      <c r="J5694" s="10" t="inlineStr">
        <is>
          <t>営業</t>
        </is>
      </c>
      <c r="L5694" t="inlineStr">
        <is>
          <t>18:34:00</t>
        </is>
      </c>
      <c r="M5694" t="inlineStr">
        <is>
          <t>18:34:25</t>
        </is>
      </c>
      <c r="P5694" t="inlineStr">
        <is>
          <t>B系統(日中)</t>
        </is>
      </c>
    </row>
    <row r="5695" ht="15" customHeight="1" s="37">
      <c r="A5695" t="n">
        <v>13</v>
      </c>
      <c r="B5695" s="10" t="inlineStr">
        <is>
          <t>平日</t>
        </is>
      </c>
      <c r="C5695" s="10" t="inlineStr">
        <is>
          <t>本線</t>
        </is>
      </c>
      <c r="D5695" s="10" t="inlineStr">
        <is>
          <t>下り</t>
        </is>
      </c>
      <c r="E5695" s="10" t="inlineStr">
        <is>
          <t>連1803</t>
        </is>
      </c>
      <c r="F5695" t="inlineStr">
        <is>
          <t>0122</t>
        </is>
      </c>
      <c r="G5695" s="10" t="inlineStr">
        <is>
          <t>嵯峨</t>
        </is>
      </c>
      <c r="H5695" s="10" t="inlineStr">
        <is>
          <t>発</t>
        </is>
      </c>
      <c r="J5695" s="10" t="inlineStr">
        <is>
          <t>営業</t>
        </is>
      </c>
      <c r="L5695" t="inlineStr">
        <is>
          <t>18:35:30</t>
        </is>
      </c>
      <c r="M5695" t="inlineStr">
        <is>
          <t>18:35:55</t>
        </is>
      </c>
      <c r="P5695" t="inlineStr">
        <is>
          <t>B系統(日中)</t>
        </is>
      </c>
    </row>
    <row r="5696" ht="15" customHeight="1" s="37">
      <c r="A5696" t="n">
        <v>13</v>
      </c>
      <c r="B5696" s="10" t="inlineStr">
        <is>
          <t>平日</t>
        </is>
      </c>
      <c r="C5696" s="10" t="inlineStr">
        <is>
          <t>本線</t>
        </is>
      </c>
      <c r="D5696" s="10" t="inlineStr">
        <is>
          <t>下り</t>
        </is>
      </c>
      <c r="E5696" s="10" t="inlineStr">
        <is>
          <t>連1803</t>
        </is>
      </c>
      <c r="F5696" t="inlineStr">
        <is>
          <t>0122</t>
        </is>
      </c>
      <c r="G5696" s="10" t="inlineStr">
        <is>
          <t>嵐山</t>
        </is>
      </c>
      <c r="H5696" s="10" t="inlineStr">
        <is>
          <t>着</t>
        </is>
      </c>
      <c r="J5696" s="10" t="inlineStr">
        <is>
          <t>営業</t>
        </is>
      </c>
      <c r="L5696" t="inlineStr">
        <is>
          <t>18:37:00</t>
        </is>
      </c>
      <c r="N5696" t="inlineStr">
        <is>
          <t>○</t>
        </is>
      </c>
      <c r="P5696" t="inlineStr">
        <is>
          <t>B系統(日中)</t>
        </is>
      </c>
      <c r="Q5696" t="inlineStr">
        <is>
          <t>1</t>
        </is>
      </c>
    </row>
    <row r="5697" ht="15" customHeight="1" s="37">
      <c r="A5697" t="n">
        <v>13</v>
      </c>
      <c r="B5697" s="10" t="inlineStr">
        <is>
          <t>平日</t>
        </is>
      </c>
      <c r="C5697" s="10" t="inlineStr">
        <is>
          <t>本線</t>
        </is>
      </c>
      <c r="D5697" s="10" t="inlineStr">
        <is>
          <t>上り</t>
        </is>
      </c>
      <c r="E5697" s="10" t="inlineStr">
        <is>
          <t>連1810</t>
        </is>
      </c>
      <c r="F5697" t="inlineStr">
        <is>
          <t>2221</t>
        </is>
      </c>
      <c r="G5697" s="10" t="inlineStr">
        <is>
          <t>嵐山</t>
        </is>
      </c>
      <c r="H5697" s="10" t="inlineStr">
        <is>
          <t>発</t>
        </is>
      </c>
      <c r="J5697" s="10" t="inlineStr">
        <is>
          <t>営業</t>
        </is>
      </c>
      <c r="M5697" t="inlineStr">
        <is>
          <t>18:43:00</t>
        </is>
      </c>
      <c r="P5697" t="inlineStr">
        <is>
          <t>B系統(日中)</t>
        </is>
      </c>
      <c r="Q5697" t="inlineStr">
        <is>
          <t>1</t>
        </is>
      </c>
      <c r="U5697" t="inlineStr">
        <is>
          <t>→西院 休憩(19:15〜20:23)</t>
        </is>
      </c>
    </row>
    <row r="5698" ht="15" customHeight="1" s="37">
      <c r="A5698" t="n">
        <v>13</v>
      </c>
      <c r="B5698" s="10" t="inlineStr">
        <is>
          <t>平日</t>
        </is>
      </c>
      <c r="C5698" s="10" t="inlineStr">
        <is>
          <t>本線</t>
        </is>
      </c>
      <c r="D5698" s="10" t="inlineStr">
        <is>
          <t>上り</t>
        </is>
      </c>
      <c r="E5698" s="10" t="inlineStr">
        <is>
          <t>連1810</t>
        </is>
      </c>
      <c r="F5698" t="inlineStr">
        <is>
          <t>2221</t>
        </is>
      </c>
      <c r="G5698" s="10" t="inlineStr">
        <is>
          <t>嵯峨</t>
        </is>
      </c>
      <c r="H5698" s="10" t="inlineStr">
        <is>
          <t>発</t>
        </is>
      </c>
      <c r="J5698" s="10" t="inlineStr">
        <is>
          <t>営業</t>
        </is>
      </c>
      <c r="L5698" t="inlineStr">
        <is>
          <t>18:43:55</t>
        </is>
      </c>
      <c r="M5698" t="inlineStr">
        <is>
          <t>18:44:20</t>
        </is>
      </c>
      <c r="P5698" t="inlineStr">
        <is>
          <t>B系統(日中)</t>
        </is>
      </c>
      <c r="U5698" t="inlineStr">
        <is>
          <t>→西院 休憩(19:15〜20:23)</t>
        </is>
      </c>
    </row>
    <row r="5699" ht="15" customHeight="1" s="37">
      <c r="A5699" t="n">
        <v>13</v>
      </c>
      <c r="B5699" s="10" t="inlineStr">
        <is>
          <t>平日</t>
        </is>
      </c>
      <c r="C5699" s="10" t="inlineStr">
        <is>
          <t>本線</t>
        </is>
      </c>
      <c r="D5699" s="10" t="inlineStr">
        <is>
          <t>上り</t>
        </is>
      </c>
      <c r="E5699" s="10" t="inlineStr">
        <is>
          <t>連1810</t>
        </is>
      </c>
      <c r="F5699" t="inlineStr">
        <is>
          <t>2221</t>
        </is>
      </c>
      <c r="G5699" s="10" t="inlineStr">
        <is>
          <t>鹿王院</t>
        </is>
      </c>
      <c r="H5699" s="10" t="inlineStr">
        <is>
          <t>発</t>
        </is>
      </c>
      <c r="J5699" s="10" t="inlineStr">
        <is>
          <t>営業</t>
        </is>
      </c>
      <c r="L5699" t="inlineStr">
        <is>
          <t>18:45:25</t>
        </is>
      </c>
      <c r="M5699" t="inlineStr">
        <is>
          <t>18:45:45</t>
        </is>
      </c>
      <c r="P5699" t="inlineStr">
        <is>
          <t>B系統(日中)</t>
        </is>
      </c>
      <c r="U5699" t="inlineStr">
        <is>
          <t>→西院 休憩(19:15〜20:23)</t>
        </is>
      </c>
    </row>
    <row r="5700" ht="15" customHeight="1" s="37">
      <c r="A5700" t="n">
        <v>13</v>
      </c>
      <c r="B5700" s="10" t="inlineStr">
        <is>
          <t>平日</t>
        </is>
      </c>
      <c r="C5700" s="10" t="inlineStr">
        <is>
          <t>本線</t>
        </is>
      </c>
      <c r="D5700" s="10" t="inlineStr">
        <is>
          <t>上り</t>
        </is>
      </c>
      <c r="E5700" s="10" t="inlineStr">
        <is>
          <t>連1810</t>
        </is>
      </c>
      <c r="F5700" t="inlineStr">
        <is>
          <t>2221</t>
        </is>
      </c>
      <c r="G5700" s="10" t="inlineStr">
        <is>
          <t>車折</t>
        </is>
      </c>
      <c r="H5700" s="10" t="inlineStr">
        <is>
          <t>発</t>
        </is>
      </c>
      <c r="J5700" s="10" t="inlineStr">
        <is>
          <t>営業</t>
        </is>
      </c>
      <c r="L5700" t="inlineStr">
        <is>
          <t>18:46:40</t>
        </is>
      </c>
      <c r="M5700" t="inlineStr">
        <is>
          <t>18:47:10</t>
        </is>
      </c>
      <c r="P5700" t="inlineStr">
        <is>
          <t>B系統(日中)</t>
        </is>
      </c>
      <c r="U5700" t="inlineStr">
        <is>
          <t>→西院 休憩(19:15〜20:23)</t>
        </is>
      </c>
    </row>
    <row r="5701" ht="15" customHeight="1" s="37">
      <c r="A5701" t="n">
        <v>13</v>
      </c>
      <c r="B5701" s="10" t="inlineStr">
        <is>
          <t>平日</t>
        </is>
      </c>
      <c r="C5701" s="10" t="inlineStr">
        <is>
          <t>本線</t>
        </is>
      </c>
      <c r="D5701" s="10" t="inlineStr">
        <is>
          <t>上り</t>
        </is>
      </c>
      <c r="E5701" s="10" t="inlineStr">
        <is>
          <t>連1810</t>
        </is>
      </c>
      <c r="F5701" t="inlineStr">
        <is>
          <t>2221</t>
        </is>
      </c>
      <c r="G5701" s="10" t="inlineStr">
        <is>
          <t>有栖川</t>
        </is>
      </c>
      <c r="H5701" s="10" t="inlineStr">
        <is>
          <t>発</t>
        </is>
      </c>
      <c r="J5701" s="10" t="inlineStr">
        <is>
          <t>営業</t>
        </is>
      </c>
      <c r="L5701" t="inlineStr">
        <is>
          <t>18:48:35</t>
        </is>
      </c>
      <c r="M5701" t="inlineStr">
        <is>
          <t>18:48:55</t>
        </is>
      </c>
      <c r="P5701" t="inlineStr">
        <is>
          <t>B系統(日中)</t>
        </is>
      </c>
      <c r="U5701" t="inlineStr">
        <is>
          <t>→西院 休憩(19:15〜20:23)</t>
        </is>
      </c>
    </row>
    <row r="5702" ht="15" customHeight="1" s="37">
      <c r="A5702" t="n">
        <v>13</v>
      </c>
      <c r="B5702" s="10" t="inlineStr">
        <is>
          <t>平日</t>
        </is>
      </c>
      <c r="C5702" s="10" t="inlineStr">
        <is>
          <t>本線</t>
        </is>
      </c>
      <c r="D5702" s="10" t="inlineStr">
        <is>
          <t>上り</t>
        </is>
      </c>
      <c r="E5702" s="10" t="inlineStr">
        <is>
          <t>連1810</t>
        </is>
      </c>
      <c r="F5702" t="inlineStr">
        <is>
          <t>2221</t>
        </is>
      </c>
      <c r="G5702" s="10" t="inlineStr">
        <is>
          <t>帷子ノ辻</t>
        </is>
      </c>
      <c r="H5702" s="10" t="inlineStr">
        <is>
          <t>発</t>
        </is>
      </c>
      <c r="J5702" s="10" t="inlineStr">
        <is>
          <t>営業</t>
        </is>
      </c>
      <c r="L5702" t="inlineStr">
        <is>
          <t>18:50:10</t>
        </is>
      </c>
      <c r="M5702" t="inlineStr">
        <is>
          <t>18:51:15</t>
        </is>
      </c>
      <c r="P5702" t="inlineStr">
        <is>
          <t>B系統(日中)</t>
        </is>
      </c>
      <c r="U5702" t="inlineStr">
        <is>
          <t>→西院 休憩(19:15〜20:23)</t>
        </is>
      </c>
    </row>
    <row r="5703" ht="15" customHeight="1" s="37">
      <c r="A5703" t="n">
        <v>13</v>
      </c>
      <c r="B5703" s="10" t="inlineStr">
        <is>
          <t>平日</t>
        </is>
      </c>
      <c r="C5703" s="10" t="inlineStr">
        <is>
          <t>本線</t>
        </is>
      </c>
      <c r="D5703" s="10" t="inlineStr">
        <is>
          <t>上り</t>
        </is>
      </c>
      <c r="E5703" s="10" t="inlineStr">
        <is>
          <t>連1810</t>
        </is>
      </c>
      <c r="F5703" t="inlineStr">
        <is>
          <t>2221</t>
        </is>
      </c>
      <c r="G5703" s="10" t="inlineStr">
        <is>
          <t>太秦広隆寺</t>
        </is>
      </c>
      <c r="H5703" s="10" t="inlineStr">
        <is>
          <t>発</t>
        </is>
      </c>
      <c r="J5703" s="10" t="inlineStr">
        <is>
          <t>営業</t>
        </is>
      </c>
      <c r="L5703" t="inlineStr">
        <is>
          <t>18:53:25</t>
        </is>
      </c>
      <c r="M5703" t="inlineStr">
        <is>
          <t>18:53:45</t>
        </is>
      </c>
      <c r="P5703" t="inlineStr">
        <is>
          <t>B系統(日中)</t>
        </is>
      </c>
      <c r="U5703" t="inlineStr">
        <is>
          <t>→西院 休憩(19:15〜20:23)</t>
        </is>
      </c>
    </row>
    <row r="5704" ht="15" customHeight="1" s="37">
      <c r="A5704" t="n">
        <v>13</v>
      </c>
      <c r="B5704" s="10" t="inlineStr">
        <is>
          <t>平日</t>
        </is>
      </c>
      <c r="C5704" s="10" t="inlineStr">
        <is>
          <t>本線</t>
        </is>
      </c>
      <c r="D5704" s="10" t="inlineStr">
        <is>
          <t>上り</t>
        </is>
      </c>
      <c r="E5704" s="10" t="inlineStr">
        <is>
          <t>連1810</t>
        </is>
      </c>
      <c r="F5704" t="inlineStr">
        <is>
          <t>2221</t>
        </is>
      </c>
      <c r="G5704" s="10" t="inlineStr">
        <is>
          <t>蚕ノ社</t>
        </is>
      </c>
      <c r="H5704" s="10" t="inlineStr">
        <is>
          <t>発</t>
        </is>
      </c>
      <c r="J5704" s="10" t="inlineStr">
        <is>
          <t>営業</t>
        </is>
      </c>
      <c r="L5704" t="inlineStr">
        <is>
          <t>18:55:00</t>
        </is>
      </c>
      <c r="M5704" t="inlineStr">
        <is>
          <t>18:55:20</t>
        </is>
      </c>
      <c r="P5704" t="inlineStr">
        <is>
          <t>B系統(日中)</t>
        </is>
      </c>
      <c r="U5704" t="inlineStr">
        <is>
          <t>→西院 休憩(19:15〜20:23)</t>
        </is>
      </c>
    </row>
    <row r="5705" ht="15" customHeight="1" s="37">
      <c r="A5705" t="n">
        <v>13</v>
      </c>
      <c r="B5705" s="10" t="inlineStr">
        <is>
          <t>平日</t>
        </is>
      </c>
      <c r="C5705" s="10" t="inlineStr">
        <is>
          <t>本線</t>
        </is>
      </c>
      <c r="D5705" s="10" t="inlineStr">
        <is>
          <t>上り</t>
        </is>
      </c>
      <c r="E5705" s="10" t="inlineStr">
        <is>
          <t>連1810</t>
        </is>
      </c>
      <c r="F5705" t="inlineStr">
        <is>
          <t>2221</t>
        </is>
      </c>
      <c r="G5705" s="10" t="inlineStr">
        <is>
          <t>天神川</t>
        </is>
      </c>
      <c r="H5705" s="10" t="inlineStr">
        <is>
          <t>発</t>
        </is>
      </c>
      <c r="J5705" s="10" t="inlineStr">
        <is>
          <t>営業</t>
        </is>
      </c>
      <c r="L5705" t="inlineStr">
        <is>
          <t>18:56:05</t>
        </is>
      </c>
      <c r="M5705" t="inlineStr">
        <is>
          <t>18:56:50</t>
        </is>
      </c>
      <c r="P5705" t="inlineStr">
        <is>
          <t>B系統(日中)</t>
        </is>
      </c>
      <c r="U5705" t="inlineStr">
        <is>
          <t>→西院 休憩(19:15〜20:23)</t>
        </is>
      </c>
    </row>
    <row r="5706" ht="15" customHeight="1" s="37">
      <c r="A5706" t="n">
        <v>13</v>
      </c>
      <c r="B5706" s="10" t="inlineStr">
        <is>
          <t>平日</t>
        </is>
      </c>
      <c r="C5706" s="10" t="inlineStr">
        <is>
          <t>本線</t>
        </is>
      </c>
      <c r="D5706" s="10" t="inlineStr">
        <is>
          <t>上り</t>
        </is>
      </c>
      <c r="E5706" s="10" t="inlineStr">
        <is>
          <t>連1810</t>
        </is>
      </c>
      <c r="F5706" t="inlineStr">
        <is>
          <t>2221</t>
        </is>
      </c>
      <c r="G5706" s="10" t="inlineStr">
        <is>
          <t>山ノ内</t>
        </is>
      </c>
      <c r="H5706" s="10" t="inlineStr">
        <is>
          <t>発</t>
        </is>
      </c>
      <c r="J5706" s="10" t="inlineStr">
        <is>
          <t>営業</t>
        </is>
      </c>
      <c r="L5706" t="inlineStr">
        <is>
          <t>18:58:40</t>
        </is>
      </c>
      <c r="M5706" t="inlineStr">
        <is>
          <t>18:59:05</t>
        </is>
      </c>
      <c r="P5706" t="inlineStr">
        <is>
          <t>B系統(日中)</t>
        </is>
      </c>
      <c r="U5706" t="inlineStr">
        <is>
          <t>→西院 休憩(19:15〜20:23)</t>
        </is>
      </c>
    </row>
    <row r="5707" ht="15" customHeight="1" s="37">
      <c r="A5707" t="n">
        <v>13</v>
      </c>
      <c r="B5707" s="10" t="inlineStr">
        <is>
          <t>平日</t>
        </is>
      </c>
      <c r="C5707" s="10" t="inlineStr">
        <is>
          <t>本線</t>
        </is>
      </c>
      <c r="D5707" s="10" t="inlineStr">
        <is>
          <t>上り</t>
        </is>
      </c>
      <c r="E5707" s="10" t="inlineStr">
        <is>
          <t>連1810</t>
        </is>
      </c>
      <c r="F5707" t="inlineStr">
        <is>
          <t>2221</t>
        </is>
      </c>
      <c r="G5707" s="10" t="inlineStr">
        <is>
          <t>西大路三条</t>
        </is>
      </c>
      <c r="H5707" s="10" t="inlineStr">
        <is>
          <t>発</t>
        </is>
      </c>
      <c r="J5707" s="10" t="inlineStr">
        <is>
          <t>営業</t>
        </is>
      </c>
      <c r="L5707" t="inlineStr">
        <is>
          <t>19:00:55</t>
        </is>
      </c>
      <c r="M5707" t="inlineStr">
        <is>
          <t>19:01:15</t>
        </is>
      </c>
      <c r="P5707" t="inlineStr">
        <is>
          <t>B系統(日中)</t>
        </is>
      </c>
      <c r="U5707" t="inlineStr">
        <is>
          <t>→西院 休憩(19:15〜20:23)</t>
        </is>
      </c>
    </row>
    <row r="5708" ht="15" customHeight="1" s="37">
      <c r="A5708" t="n">
        <v>13</v>
      </c>
      <c r="B5708" s="10" t="inlineStr">
        <is>
          <t>平日</t>
        </is>
      </c>
      <c r="C5708" s="10" t="inlineStr">
        <is>
          <t>本線</t>
        </is>
      </c>
      <c r="D5708" s="10" t="inlineStr">
        <is>
          <t>上り</t>
        </is>
      </c>
      <c r="E5708" s="10" t="inlineStr">
        <is>
          <t>連1810</t>
        </is>
      </c>
      <c r="F5708" t="inlineStr">
        <is>
          <t>2221</t>
        </is>
      </c>
      <c r="G5708" s="10" t="inlineStr">
        <is>
          <t>西院</t>
        </is>
      </c>
      <c r="H5708" s="10" t="inlineStr">
        <is>
          <t>発</t>
        </is>
      </c>
      <c r="J5708" s="10" t="inlineStr">
        <is>
          <t>営業</t>
        </is>
      </c>
      <c r="L5708" t="inlineStr">
        <is>
          <t>19:03:10</t>
        </is>
      </c>
      <c r="M5708" t="inlineStr">
        <is>
          <t>19:04:05</t>
        </is>
      </c>
      <c r="P5708" t="inlineStr">
        <is>
          <t>B系統(日中)</t>
        </is>
      </c>
      <c r="U5708" t="inlineStr">
        <is>
          <t>→西院 休憩(19:15〜20:23)</t>
        </is>
      </c>
    </row>
    <row r="5709" ht="15" customHeight="1" s="37">
      <c r="A5709" t="n">
        <v>13</v>
      </c>
      <c r="B5709" s="10" t="inlineStr">
        <is>
          <t>平日</t>
        </is>
      </c>
      <c r="C5709" s="10" t="inlineStr">
        <is>
          <t>本線</t>
        </is>
      </c>
      <c r="D5709" s="10" t="inlineStr">
        <is>
          <t>上り</t>
        </is>
      </c>
      <c r="E5709" s="10" t="inlineStr">
        <is>
          <t>連1810</t>
        </is>
      </c>
      <c r="F5709" t="inlineStr">
        <is>
          <t>2221</t>
        </is>
      </c>
      <c r="G5709" s="10" t="inlineStr">
        <is>
          <t>四条大宮</t>
        </is>
      </c>
      <c r="H5709" s="10" t="inlineStr">
        <is>
          <t>着</t>
        </is>
      </c>
      <c r="J5709" s="10" t="inlineStr">
        <is>
          <t>営業</t>
        </is>
      </c>
      <c r="L5709" t="inlineStr">
        <is>
          <t>19:07:00</t>
        </is>
      </c>
      <c r="P5709" t="inlineStr">
        <is>
          <t>B系統(日中)</t>
        </is>
      </c>
      <c r="Q5709" t="inlineStr">
        <is>
          <t>1</t>
        </is>
      </c>
      <c r="U5709" t="inlineStr">
        <is>
          <t>→西院 休憩(19:15〜20:23)</t>
        </is>
      </c>
    </row>
    <row r="5710" ht="15" customHeight="1" s="37">
      <c r="A5710" t="n">
        <v>13</v>
      </c>
      <c r="B5710" s="10" t="inlineStr">
        <is>
          <t>平日</t>
        </is>
      </c>
      <c r="C5710" s="10" t="inlineStr">
        <is>
          <t>本線</t>
        </is>
      </c>
      <c r="D5710" s="10" t="inlineStr">
        <is>
          <t>下り</t>
        </is>
      </c>
      <c r="E5710" s="10" t="inlineStr">
        <is>
          <t>連1903</t>
        </is>
      </c>
      <c r="F5710" t="inlineStr">
        <is>
          <t>0122</t>
        </is>
      </c>
      <c r="G5710" s="10" t="inlineStr">
        <is>
          <t>四条大宮</t>
        </is>
      </c>
      <c r="H5710" s="10" t="inlineStr">
        <is>
          <t>発</t>
        </is>
      </c>
      <c r="J5710" s="10" t="inlineStr">
        <is>
          <t>営業</t>
        </is>
      </c>
      <c r="M5710" t="inlineStr">
        <is>
          <t>19:12:00</t>
        </is>
      </c>
      <c r="P5710" t="inlineStr">
        <is>
          <t>B系統(日中)</t>
        </is>
      </c>
      <c r="Q5710" t="inlineStr">
        <is>
          <t>1</t>
        </is>
      </c>
      <c r="U5710" t="inlineStr">
        <is>
          <t>→西院 休憩(19:15〜20:23)</t>
        </is>
      </c>
    </row>
    <row r="5711" ht="15" customHeight="1" s="37">
      <c r="A5711" t="n">
        <v>13</v>
      </c>
      <c r="B5711" s="10" t="inlineStr">
        <is>
          <t>平日</t>
        </is>
      </c>
      <c r="C5711" s="10" t="inlineStr">
        <is>
          <t>本線</t>
        </is>
      </c>
      <c r="D5711" s="10" t="inlineStr">
        <is>
          <t>下り</t>
        </is>
      </c>
      <c r="E5711" s="10" t="inlineStr">
        <is>
          <t>連1903</t>
        </is>
      </c>
      <c r="F5711" t="inlineStr">
        <is>
          <t>0122</t>
        </is>
      </c>
      <c r="G5711" s="10" t="inlineStr">
        <is>
          <t>西院</t>
        </is>
      </c>
      <c r="H5711" s="10" t="inlineStr">
        <is>
          <t>着</t>
        </is>
      </c>
      <c r="J5711" s="10" t="inlineStr">
        <is>
          <t>営業</t>
        </is>
      </c>
      <c r="L5711" t="inlineStr">
        <is>
          <t>19:14:50</t>
        </is>
      </c>
      <c r="M5711" t="inlineStr">
        <is>
          <t>19:16:20</t>
        </is>
      </c>
      <c r="P5711" t="inlineStr">
        <is>
          <t>B系統(日中)</t>
        </is>
      </c>
      <c r="U5711" t="inlineStr">
        <is>
          <t>→西院 休憩(19:15〜20:23)</t>
        </is>
      </c>
    </row>
    <row r="5712" ht="15" customHeight="1" s="37">
      <c r="A5712" t="n">
        <v>14</v>
      </c>
      <c r="B5712" s="10" t="inlineStr">
        <is>
          <t>平日</t>
        </is>
      </c>
      <c r="C5712" s="10" t="inlineStr">
        <is>
          <t>本線</t>
        </is>
      </c>
      <c r="D5712" s="10" t="inlineStr">
        <is>
          <t>下り</t>
        </is>
      </c>
      <c r="E5712" t="inlineStr">
        <is>
          <t>2001</t>
        </is>
      </c>
      <c r="F5712" t="inlineStr">
        <is>
          <t>0122</t>
        </is>
      </c>
      <c r="G5712" s="10" t="inlineStr">
        <is>
          <t>西院</t>
        </is>
      </c>
      <c r="H5712" s="10" t="inlineStr">
        <is>
          <t>発</t>
        </is>
      </c>
      <c r="J5712" s="10" t="inlineStr">
        <is>
          <t>営業</t>
        </is>
      </c>
      <c r="L5712" t="inlineStr">
        <is>
          <t>20:05:50</t>
        </is>
      </c>
      <c r="M5712" t="inlineStr">
        <is>
          <t>20:06:20</t>
        </is>
      </c>
    </row>
    <row r="5713" ht="15" customHeight="1" s="37">
      <c r="A5713" t="n">
        <v>14</v>
      </c>
      <c r="B5713" s="10" t="inlineStr">
        <is>
          <t>平日</t>
        </is>
      </c>
      <c r="C5713" s="10" t="inlineStr">
        <is>
          <t>本線</t>
        </is>
      </c>
      <c r="D5713" s="10" t="inlineStr">
        <is>
          <t>下り</t>
        </is>
      </c>
      <c r="E5713" t="inlineStr">
        <is>
          <t>2001</t>
        </is>
      </c>
      <c r="F5713" t="inlineStr">
        <is>
          <t>0122</t>
        </is>
      </c>
      <c r="G5713" s="10" t="inlineStr">
        <is>
          <t>西大路三条</t>
        </is>
      </c>
      <c r="H5713" s="10" t="inlineStr">
        <is>
          <t>発</t>
        </is>
      </c>
      <c r="J5713" s="10" t="inlineStr">
        <is>
          <t>営業</t>
        </is>
      </c>
      <c r="L5713" t="inlineStr">
        <is>
          <t>20:08:10</t>
        </is>
      </c>
      <c r="M5713" t="inlineStr">
        <is>
          <t>20:08:30</t>
        </is>
      </c>
    </row>
    <row r="5714" ht="15" customHeight="1" s="37">
      <c r="A5714" t="n">
        <v>14</v>
      </c>
      <c r="B5714" s="10" t="inlineStr">
        <is>
          <t>平日</t>
        </is>
      </c>
      <c r="C5714" s="10" t="inlineStr">
        <is>
          <t>本線</t>
        </is>
      </c>
      <c r="D5714" s="10" t="inlineStr">
        <is>
          <t>下り</t>
        </is>
      </c>
      <c r="E5714" t="inlineStr">
        <is>
          <t>2001</t>
        </is>
      </c>
      <c r="F5714" t="inlineStr">
        <is>
          <t>0122</t>
        </is>
      </c>
      <c r="G5714" s="10" t="inlineStr">
        <is>
          <t>山ノ内</t>
        </is>
      </c>
      <c r="H5714" s="10" t="inlineStr">
        <is>
          <t>発</t>
        </is>
      </c>
      <c r="J5714" s="10" t="inlineStr">
        <is>
          <t>営業</t>
        </is>
      </c>
      <c r="L5714" t="inlineStr">
        <is>
          <t>20:10:25</t>
        </is>
      </c>
      <c r="M5714" t="inlineStr">
        <is>
          <t>20:10:50</t>
        </is>
      </c>
    </row>
    <row r="5715" ht="15" customHeight="1" s="37">
      <c r="A5715" t="n">
        <v>14</v>
      </c>
      <c r="B5715" s="10" t="inlineStr">
        <is>
          <t>平日</t>
        </is>
      </c>
      <c r="C5715" s="10" t="inlineStr">
        <is>
          <t>本線</t>
        </is>
      </c>
      <c r="D5715" s="10" t="inlineStr">
        <is>
          <t>下り</t>
        </is>
      </c>
      <c r="E5715" t="inlineStr">
        <is>
          <t>2001</t>
        </is>
      </c>
      <c r="F5715" t="inlineStr">
        <is>
          <t>0122</t>
        </is>
      </c>
      <c r="G5715" s="10" t="inlineStr">
        <is>
          <t>天神川</t>
        </is>
      </c>
      <c r="H5715" s="10" t="inlineStr">
        <is>
          <t>発</t>
        </is>
      </c>
      <c r="J5715" s="10" t="inlineStr">
        <is>
          <t>営業</t>
        </is>
      </c>
      <c r="L5715" t="inlineStr">
        <is>
          <t>20:12:50</t>
        </is>
      </c>
      <c r="M5715" t="inlineStr">
        <is>
          <t>20:13:30</t>
        </is>
      </c>
    </row>
    <row r="5716" ht="15" customHeight="1" s="37">
      <c r="A5716" t="n">
        <v>14</v>
      </c>
      <c r="B5716" s="10" t="inlineStr">
        <is>
          <t>平日</t>
        </is>
      </c>
      <c r="C5716" s="10" t="inlineStr">
        <is>
          <t>本線</t>
        </is>
      </c>
      <c r="D5716" s="10" t="inlineStr">
        <is>
          <t>下り</t>
        </is>
      </c>
      <c r="E5716" t="inlineStr">
        <is>
          <t>2001</t>
        </is>
      </c>
      <c r="F5716" t="inlineStr">
        <is>
          <t>0122</t>
        </is>
      </c>
      <c r="G5716" s="10" t="inlineStr">
        <is>
          <t>蚕ノ社</t>
        </is>
      </c>
      <c r="H5716" s="10" t="inlineStr">
        <is>
          <t>発</t>
        </is>
      </c>
      <c r="J5716" s="10" t="inlineStr">
        <is>
          <t>営業</t>
        </is>
      </c>
      <c r="L5716" t="inlineStr">
        <is>
          <t>20:14:20</t>
        </is>
      </c>
      <c r="M5716" t="inlineStr">
        <is>
          <t>20:14:40</t>
        </is>
      </c>
    </row>
    <row r="5717" ht="15" customHeight="1" s="37">
      <c r="A5717" t="n">
        <v>14</v>
      </c>
      <c r="B5717" s="10" t="inlineStr">
        <is>
          <t>平日</t>
        </is>
      </c>
      <c r="C5717" s="10" t="inlineStr">
        <is>
          <t>本線</t>
        </is>
      </c>
      <c r="D5717" s="10" t="inlineStr">
        <is>
          <t>下り</t>
        </is>
      </c>
      <c r="E5717" t="inlineStr">
        <is>
          <t>2001</t>
        </is>
      </c>
      <c r="F5717" t="inlineStr">
        <is>
          <t>0122</t>
        </is>
      </c>
      <c r="G5717" s="10" t="inlineStr">
        <is>
          <t>太秦広隆寺</t>
        </is>
      </c>
      <c r="H5717" s="10" t="inlineStr">
        <is>
          <t>発</t>
        </is>
      </c>
      <c r="J5717" s="10" t="inlineStr">
        <is>
          <t>営業</t>
        </is>
      </c>
      <c r="L5717" t="inlineStr">
        <is>
          <t>20:16:00</t>
        </is>
      </c>
      <c r="M5717" t="inlineStr">
        <is>
          <t>20:16:20</t>
        </is>
      </c>
    </row>
    <row r="5718" ht="15" customHeight="1" s="37">
      <c r="A5718" t="n">
        <v>14</v>
      </c>
      <c r="B5718" s="10" t="inlineStr">
        <is>
          <t>平日</t>
        </is>
      </c>
      <c r="C5718" s="10" t="inlineStr">
        <is>
          <t>本線</t>
        </is>
      </c>
      <c r="D5718" s="10" t="inlineStr">
        <is>
          <t>下り</t>
        </is>
      </c>
      <c r="E5718" t="inlineStr">
        <is>
          <t>2001</t>
        </is>
      </c>
      <c r="F5718" t="inlineStr">
        <is>
          <t>0122</t>
        </is>
      </c>
      <c r="G5718" s="10" t="inlineStr">
        <is>
          <t>帷子ノ辻</t>
        </is>
      </c>
      <c r="H5718" s="10" t="inlineStr">
        <is>
          <t>発</t>
        </is>
      </c>
      <c r="J5718" s="10" t="inlineStr">
        <is>
          <t>営業</t>
        </is>
      </c>
      <c r="L5718" t="inlineStr">
        <is>
          <t>20:18:20</t>
        </is>
      </c>
      <c r="M5718" t="inlineStr">
        <is>
          <t>20:19:40</t>
        </is>
      </c>
    </row>
    <row r="5719" ht="15" customHeight="1" s="37">
      <c r="A5719" t="n">
        <v>14</v>
      </c>
      <c r="B5719" s="10" t="inlineStr">
        <is>
          <t>平日</t>
        </is>
      </c>
      <c r="C5719" s="10" t="inlineStr">
        <is>
          <t>本線</t>
        </is>
      </c>
      <c r="D5719" s="10" t="inlineStr">
        <is>
          <t>下り</t>
        </is>
      </c>
      <c r="E5719" t="inlineStr">
        <is>
          <t>2001</t>
        </is>
      </c>
      <c r="F5719" t="inlineStr">
        <is>
          <t>0122</t>
        </is>
      </c>
      <c r="G5719" s="10" t="inlineStr">
        <is>
          <t>有栖川</t>
        </is>
      </c>
      <c r="H5719" s="10" t="inlineStr">
        <is>
          <t>発</t>
        </is>
      </c>
      <c r="J5719" s="10" t="inlineStr">
        <is>
          <t>営業</t>
        </is>
      </c>
      <c r="L5719" t="inlineStr">
        <is>
          <t>20:20:50</t>
        </is>
      </c>
      <c r="M5719" t="inlineStr">
        <is>
          <t>20:21:15</t>
        </is>
      </c>
    </row>
    <row r="5720" ht="15" customHeight="1" s="37">
      <c r="A5720" t="n">
        <v>14</v>
      </c>
      <c r="B5720" s="10" t="inlineStr">
        <is>
          <t>平日</t>
        </is>
      </c>
      <c r="C5720" s="10" t="inlineStr">
        <is>
          <t>本線</t>
        </is>
      </c>
      <c r="D5720" s="10" t="inlineStr">
        <is>
          <t>下り</t>
        </is>
      </c>
      <c r="E5720" t="inlineStr">
        <is>
          <t>2001</t>
        </is>
      </c>
      <c r="F5720" t="inlineStr">
        <is>
          <t>0122</t>
        </is>
      </c>
      <c r="G5720" s="10" t="inlineStr">
        <is>
          <t>車折</t>
        </is>
      </c>
      <c r="H5720" s="10" t="inlineStr">
        <is>
          <t>発</t>
        </is>
      </c>
      <c r="J5720" s="10" t="inlineStr">
        <is>
          <t>営業</t>
        </is>
      </c>
      <c r="L5720" t="inlineStr">
        <is>
          <t>20:22:40</t>
        </is>
      </c>
      <c r="M5720" t="inlineStr">
        <is>
          <t>20:23:05</t>
        </is>
      </c>
    </row>
    <row r="5721" ht="15" customHeight="1" s="37">
      <c r="A5721" t="n">
        <v>14</v>
      </c>
      <c r="B5721" s="10" t="inlineStr">
        <is>
          <t>平日</t>
        </is>
      </c>
      <c r="C5721" s="10" t="inlineStr">
        <is>
          <t>本線</t>
        </is>
      </c>
      <c r="D5721" s="10" t="inlineStr">
        <is>
          <t>下り</t>
        </is>
      </c>
      <c r="E5721" t="inlineStr">
        <is>
          <t>2001</t>
        </is>
      </c>
      <c r="F5721" t="inlineStr">
        <is>
          <t>0122</t>
        </is>
      </c>
      <c r="G5721" s="10" t="inlineStr">
        <is>
          <t>鹿王院</t>
        </is>
      </c>
      <c r="H5721" s="10" t="inlineStr">
        <is>
          <t>発</t>
        </is>
      </c>
      <c r="J5721" s="10" t="inlineStr">
        <is>
          <t>営業</t>
        </is>
      </c>
      <c r="L5721" t="inlineStr">
        <is>
          <t>20:24:00</t>
        </is>
      </c>
      <c r="M5721" t="inlineStr">
        <is>
          <t>20:24:25</t>
        </is>
      </c>
    </row>
    <row r="5722" ht="15" customHeight="1" s="37">
      <c r="A5722" t="n">
        <v>14</v>
      </c>
      <c r="B5722" s="10" t="inlineStr">
        <is>
          <t>平日</t>
        </is>
      </c>
      <c r="C5722" s="10" t="inlineStr">
        <is>
          <t>本線</t>
        </is>
      </c>
      <c r="D5722" s="10" t="inlineStr">
        <is>
          <t>下り</t>
        </is>
      </c>
      <c r="E5722" t="inlineStr">
        <is>
          <t>2001</t>
        </is>
      </c>
      <c r="F5722" t="inlineStr">
        <is>
          <t>0122</t>
        </is>
      </c>
      <c r="G5722" s="10" t="inlineStr">
        <is>
          <t>嵯峨</t>
        </is>
      </c>
      <c r="H5722" s="10" t="inlineStr">
        <is>
          <t>発</t>
        </is>
      </c>
      <c r="J5722" s="10" t="inlineStr">
        <is>
          <t>営業</t>
        </is>
      </c>
      <c r="L5722" t="inlineStr">
        <is>
          <t>20:25:30</t>
        </is>
      </c>
      <c r="M5722" t="inlineStr">
        <is>
          <t>20:25:55</t>
        </is>
      </c>
    </row>
    <row r="5723" ht="16.5" customHeight="1" s="37">
      <c r="A5723" t="n">
        <v>14</v>
      </c>
      <c r="B5723" s="10" t="inlineStr">
        <is>
          <t>平日</t>
        </is>
      </c>
      <c r="C5723" s="10" t="inlineStr">
        <is>
          <t>本線</t>
        </is>
      </c>
      <c r="D5723" s="10" t="inlineStr">
        <is>
          <t>下り</t>
        </is>
      </c>
      <c r="E5723" t="inlineStr">
        <is>
          <t>2001</t>
        </is>
      </c>
      <c r="F5723" t="inlineStr">
        <is>
          <t>0122</t>
        </is>
      </c>
      <c r="G5723" s="10" t="inlineStr">
        <is>
          <t>嵐山</t>
        </is>
      </c>
      <c r="H5723" s="10" t="inlineStr">
        <is>
          <t>着</t>
        </is>
      </c>
      <c r="J5723" s="10" t="inlineStr">
        <is>
          <t>営業</t>
        </is>
      </c>
      <c r="L5723" t="inlineStr">
        <is>
          <t>20:27:00</t>
        </is>
      </c>
      <c r="N5723" t="inlineStr">
        <is>
          <t>○</t>
        </is>
      </c>
      <c r="Q5723" t="inlineStr">
        <is>
          <t>1</t>
        </is>
      </c>
    </row>
    <row r="5724" ht="16.5" customHeight="1" s="37">
      <c r="A5724" t="n">
        <v>14</v>
      </c>
      <c r="B5724" s="10" t="inlineStr">
        <is>
          <t>平日</t>
        </is>
      </c>
      <c r="C5724" s="10" t="inlineStr">
        <is>
          <t>本線</t>
        </is>
      </c>
      <c r="D5724" s="10" t="inlineStr">
        <is>
          <t>上り</t>
        </is>
      </c>
      <c r="E5724" t="inlineStr">
        <is>
          <t>2008</t>
        </is>
      </c>
      <c r="F5724" t="inlineStr">
        <is>
          <t>0221</t>
        </is>
      </c>
      <c r="G5724" s="10" t="inlineStr">
        <is>
          <t>嵐山</t>
        </is>
      </c>
      <c r="H5724" s="10" t="inlineStr">
        <is>
          <t>発</t>
        </is>
      </c>
      <c r="J5724" s="10" t="inlineStr">
        <is>
          <t>営業</t>
        </is>
      </c>
      <c r="M5724" t="inlineStr">
        <is>
          <t>20:34:00</t>
        </is>
      </c>
      <c r="Q5724" t="inlineStr">
        <is>
          <t>1</t>
        </is>
      </c>
      <c r="U5724" t="inlineStr">
        <is>
          <t>→西院 休憩(21:06〜21:18)</t>
        </is>
      </c>
    </row>
    <row r="5725" ht="16.5" customHeight="1" s="37">
      <c r="A5725" t="n">
        <v>14</v>
      </c>
      <c r="B5725" s="10" t="inlineStr">
        <is>
          <t>平日</t>
        </is>
      </c>
      <c r="C5725" s="10" t="inlineStr">
        <is>
          <t>本線</t>
        </is>
      </c>
      <c r="D5725" s="10" t="inlineStr">
        <is>
          <t>上り</t>
        </is>
      </c>
      <c r="E5725" t="inlineStr">
        <is>
          <t>2008</t>
        </is>
      </c>
      <c r="F5725" t="inlineStr">
        <is>
          <t>0221</t>
        </is>
      </c>
      <c r="G5725" s="10" t="inlineStr">
        <is>
          <t>嵯峨</t>
        </is>
      </c>
      <c r="H5725" s="10" t="inlineStr">
        <is>
          <t>発</t>
        </is>
      </c>
      <c r="J5725" s="10" t="inlineStr">
        <is>
          <t>営業</t>
        </is>
      </c>
      <c r="L5725" t="inlineStr">
        <is>
          <t>20:34:55</t>
        </is>
      </c>
      <c r="M5725" t="inlineStr">
        <is>
          <t>20:35:10</t>
        </is>
      </c>
      <c r="U5725" t="inlineStr">
        <is>
          <t>→西院 休憩(21:06〜21:18)</t>
        </is>
      </c>
    </row>
    <row r="5726" ht="16.5" customHeight="1" s="37">
      <c r="A5726" t="n">
        <v>14</v>
      </c>
      <c r="B5726" s="10" t="inlineStr">
        <is>
          <t>平日</t>
        </is>
      </c>
      <c r="C5726" s="10" t="inlineStr">
        <is>
          <t>本線</t>
        </is>
      </c>
      <c r="D5726" s="10" t="inlineStr">
        <is>
          <t>上り</t>
        </is>
      </c>
      <c r="E5726" t="inlineStr">
        <is>
          <t>2008</t>
        </is>
      </c>
      <c r="F5726" t="inlineStr">
        <is>
          <t>0221</t>
        </is>
      </c>
      <c r="G5726" s="10" t="inlineStr">
        <is>
          <t>鹿王院</t>
        </is>
      </c>
      <c r="H5726" s="10" t="inlineStr">
        <is>
          <t>発</t>
        </is>
      </c>
      <c r="J5726" s="10" t="inlineStr">
        <is>
          <t>営業</t>
        </is>
      </c>
      <c r="L5726" t="inlineStr">
        <is>
          <t>20:36:15</t>
        </is>
      </c>
      <c r="M5726" t="inlineStr">
        <is>
          <t>20:36:30</t>
        </is>
      </c>
      <c r="U5726" t="inlineStr">
        <is>
          <t>→西院 休憩(21:06〜21:18)</t>
        </is>
      </c>
    </row>
    <row r="5727" ht="16.5" customHeight="1" s="37">
      <c r="A5727" t="n">
        <v>14</v>
      </c>
      <c r="B5727" s="10" t="inlineStr">
        <is>
          <t>平日</t>
        </is>
      </c>
      <c r="C5727" s="10" t="inlineStr">
        <is>
          <t>本線</t>
        </is>
      </c>
      <c r="D5727" s="10" t="inlineStr">
        <is>
          <t>上り</t>
        </is>
      </c>
      <c r="E5727" t="inlineStr">
        <is>
          <t>2008</t>
        </is>
      </c>
      <c r="F5727" t="inlineStr">
        <is>
          <t>0221</t>
        </is>
      </c>
      <c r="G5727" s="10" t="inlineStr">
        <is>
          <t>車折</t>
        </is>
      </c>
      <c r="H5727" s="10" t="inlineStr">
        <is>
          <t>発</t>
        </is>
      </c>
      <c r="J5727" s="10" t="inlineStr">
        <is>
          <t>営業</t>
        </is>
      </c>
      <c r="L5727" t="inlineStr">
        <is>
          <t>20:37:25</t>
        </is>
      </c>
      <c r="M5727" t="inlineStr">
        <is>
          <t>20:37:40</t>
        </is>
      </c>
      <c r="U5727" t="inlineStr">
        <is>
          <t>→西院 休憩(21:06〜21:18)</t>
        </is>
      </c>
    </row>
    <row r="5728" ht="16.5" customHeight="1" s="37">
      <c r="A5728" t="n">
        <v>14</v>
      </c>
      <c r="B5728" s="10" t="inlineStr">
        <is>
          <t>平日</t>
        </is>
      </c>
      <c r="C5728" s="10" t="inlineStr">
        <is>
          <t>本線</t>
        </is>
      </c>
      <c r="D5728" s="10" t="inlineStr">
        <is>
          <t>上り</t>
        </is>
      </c>
      <c r="E5728" t="inlineStr">
        <is>
          <t>2008</t>
        </is>
      </c>
      <c r="F5728" t="inlineStr">
        <is>
          <t>0221</t>
        </is>
      </c>
      <c r="G5728" s="10" t="inlineStr">
        <is>
          <t>有栖川</t>
        </is>
      </c>
      <c r="H5728" s="10" t="inlineStr">
        <is>
          <t>発</t>
        </is>
      </c>
      <c r="J5728" s="10" t="inlineStr">
        <is>
          <t>営業</t>
        </is>
      </c>
      <c r="L5728" t="inlineStr">
        <is>
          <t>20:39:05</t>
        </is>
      </c>
      <c r="M5728" t="inlineStr">
        <is>
          <t>20:39:20</t>
        </is>
      </c>
      <c r="U5728" t="inlineStr">
        <is>
          <t>→西院 休憩(21:06〜21:18)</t>
        </is>
      </c>
    </row>
    <row r="5729" ht="16.5" customHeight="1" s="37">
      <c r="A5729" t="n">
        <v>14</v>
      </c>
      <c r="B5729" s="10" t="inlineStr">
        <is>
          <t>平日</t>
        </is>
      </c>
      <c r="C5729" s="10" t="inlineStr">
        <is>
          <t>本線</t>
        </is>
      </c>
      <c r="D5729" s="10" t="inlineStr">
        <is>
          <t>上り</t>
        </is>
      </c>
      <c r="E5729" t="inlineStr">
        <is>
          <t>2008</t>
        </is>
      </c>
      <c r="F5729" t="inlineStr">
        <is>
          <t>0221</t>
        </is>
      </c>
      <c r="G5729" s="10" t="inlineStr">
        <is>
          <t>帷子ノ辻</t>
        </is>
      </c>
      <c r="H5729" s="10" t="inlineStr">
        <is>
          <t>発</t>
        </is>
      </c>
      <c r="J5729" s="10" t="inlineStr">
        <is>
          <t>営業</t>
        </is>
      </c>
      <c r="L5729" t="inlineStr">
        <is>
          <t>20:40:35</t>
        </is>
      </c>
      <c r="M5729" t="inlineStr">
        <is>
          <t>20:41:05</t>
        </is>
      </c>
      <c r="U5729" t="inlineStr">
        <is>
          <t>→西院 休憩(21:06〜21:18)</t>
        </is>
      </c>
    </row>
    <row r="5730" ht="15" customHeight="1" s="37">
      <c r="A5730" t="n">
        <v>14</v>
      </c>
      <c r="B5730" s="10" t="inlineStr">
        <is>
          <t>平日</t>
        </is>
      </c>
      <c r="C5730" s="10" t="inlineStr">
        <is>
          <t>本線</t>
        </is>
      </c>
      <c r="D5730" s="10" t="inlineStr">
        <is>
          <t>上り</t>
        </is>
      </c>
      <c r="E5730" t="inlineStr">
        <is>
          <t>2008</t>
        </is>
      </c>
      <c r="F5730" t="inlineStr">
        <is>
          <t>0221</t>
        </is>
      </c>
      <c r="G5730" s="10" t="inlineStr">
        <is>
          <t>太秦広隆寺</t>
        </is>
      </c>
      <c r="H5730" s="10" t="inlineStr">
        <is>
          <t>発</t>
        </is>
      </c>
      <c r="J5730" s="10" t="inlineStr">
        <is>
          <t>営業</t>
        </is>
      </c>
      <c r="L5730" t="inlineStr">
        <is>
          <t>20:43:15</t>
        </is>
      </c>
      <c r="M5730" t="inlineStr">
        <is>
          <t>20:43:35</t>
        </is>
      </c>
      <c r="U5730" t="inlineStr">
        <is>
          <t>→西院 休憩(21:06〜21:18)</t>
        </is>
      </c>
    </row>
    <row r="5731" ht="15" customHeight="1" s="37">
      <c r="A5731" t="n">
        <v>14</v>
      </c>
      <c r="B5731" s="10" t="inlineStr">
        <is>
          <t>平日</t>
        </is>
      </c>
      <c r="C5731" s="10" t="inlineStr">
        <is>
          <t>本線</t>
        </is>
      </c>
      <c r="D5731" s="10" t="inlineStr">
        <is>
          <t>上り</t>
        </is>
      </c>
      <c r="E5731" t="inlineStr">
        <is>
          <t>2008</t>
        </is>
      </c>
      <c r="F5731" t="inlineStr">
        <is>
          <t>0221</t>
        </is>
      </c>
      <c r="G5731" s="10" t="inlineStr">
        <is>
          <t>蚕ノ社</t>
        </is>
      </c>
      <c r="H5731" s="10" t="inlineStr">
        <is>
          <t>発</t>
        </is>
      </c>
      <c r="J5731" s="10" t="inlineStr">
        <is>
          <t>営業</t>
        </is>
      </c>
      <c r="L5731" t="inlineStr">
        <is>
          <t>20:44:50</t>
        </is>
      </c>
      <c r="M5731" t="inlineStr">
        <is>
          <t>20:45:10</t>
        </is>
      </c>
      <c r="U5731" t="inlineStr">
        <is>
          <t>→西院 休憩(21:06〜21:18)</t>
        </is>
      </c>
    </row>
    <row r="5732" ht="15" customHeight="1" s="37">
      <c r="A5732" t="n">
        <v>14</v>
      </c>
      <c r="B5732" s="10" t="inlineStr">
        <is>
          <t>平日</t>
        </is>
      </c>
      <c r="C5732" s="10" t="inlineStr">
        <is>
          <t>本線</t>
        </is>
      </c>
      <c r="D5732" s="10" t="inlineStr">
        <is>
          <t>上り</t>
        </is>
      </c>
      <c r="E5732" t="inlineStr">
        <is>
          <t>2008</t>
        </is>
      </c>
      <c r="F5732" t="inlineStr">
        <is>
          <t>0221</t>
        </is>
      </c>
      <c r="G5732" s="10" t="inlineStr">
        <is>
          <t>天神川</t>
        </is>
      </c>
      <c r="H5732" s="10" t="inlineStr">
        <is>
          <t>発</t>
        </is>
      </c>
      <c r="J5732" s="10" t="inlineStr">
        <is>
          <t>営業</t>
        </is>
      </c>
      <c r="L5732" t="inlineStr">
        <is>
          <t>20:45:55</t>
        </is>
      </c>
      <c r="M5732" t="inlineStr">
        <is>
          <t>20:46:20</t>
        </is>
      </c>
      <c r="U5732" t="inlineStr">
        <is>
          <t>→西院 休憩(21:06〜21:18)</t>
        </is>
      </c>
    </row>
    <row r="5733" ht="15" customHeight="1" s="37">
      <c r="A5733" t="n">
        <v>14</v>
      </c>
      <c r="B5733" s="10" t="inlineStr">
        <is>
          <t>平日</t>
        </is>
      </c>
      <c r="C5733" s="10" t="inlineStr">
        <is>
          <t>本線</t>
        </is>
      </c>
      <c r="D5733" s="10" t="inlineStr">
        <is>
          <t>上り</t>
        </is>
      </c>
      <c r="E5733" t="inlineStr">
        <is>
          <t>2008</t>
        </is>
      </c>
      <c r="F5733" t="inlineStr">
        <is>
          <t>0221</t>
        </is>
      </c>
      <c r="G5733" s="10" t="inlineStr">
        <is>
          <t>山ノ内</t>
        </is>
      </c>
      <c r="H5733" s="10" t="inlineStr">
        <is>
          <t>発</t>
        </is>
      </c>
      <c r="J5733" s="10" t="inlineStr">
        <is>
          <t>営業</t>
        </is>
      </c>
      <c r="L5733" t="inlineStr">
        <is>
          <t>20:48:10</t>
        </is>
      </c>
      <c r="M5733" t="inlineStr">
        <is>
          <t>20:48:35</t>
        </is>
      </c>
      <c r="U5733" t="inlineStr">
        <is>
          <t>→西院 休憩(21:06〜21:18)</t>
        </is>
      </c>
    </row>
    <row r="5734" ht="15" customHeight="1" s="37">
      <c r="A5734" t="n">
        <v>14</v>
      </c>
      <c r="B5734" s="10" t="inlineStr">
        <is>
          <t>平日</t>
        </is>
      </c>
      <c r="C5734" s="10" t="inlineStr">
        <is>
          <t>本線</t>
        </is>
      </c>
      <c r="D5734" s="10" t="inlineStr">
        <is>
          <t>上り</t>
        </is>
      </c>
      <c r="E5734" t="inlineStr">
        <is>
          <t>2008</t>
        </is>
      </c>
      <c r="F5734" t="inlineStr">
        <is>
          <t>0221</t>
        </is>
      </c>
      <c r="G5734" s="10" t="inlineStr">
        <is>
          <t>西大路三条</t>
        </is>
      </c>
      <c r="H5734" s="10" t="inlineStr">
        <is>
          <t>発</t>
        </is>
      </c>
      <c r="J5734" s="10" t="inlineStr">
        <is>
          <t>営業</t>
        </is>
      </c>
      <c r="L5734" t="inlineStr">
        <is>
          <t>20:50:25</t>
        </is>
      </c>
      <c r="M5734" t="inlineStr">
        <is>
          <t>20:50:40</t>
        </is>
      </c>
      <c r="U5734" t="inlineStr">
        <is>
          <t>→西院 休憩(21:06〜21:18)</t>
        </is>
      </c>
    </row>
    <row r="5735" ht="15" customHeight="1" s="37">
      <c r="A5735" t="n">
        <v>14</v>
      </c>
      <c r="B5735" s="10" t="inlineStr">
        <is>
          <t>平日</t>
        </is>
      </c>
      <c r="C5735" s="10" t="inlineStr">
        <is>
          <t>本線</t>
        </is>
      </c>
      <c r="D5735" s="10" t="inlineStr">
        <is>
          <t>上り</t>
        </is>
      </c>
      <c r="E5735" t="inlineStr">
        <is>
          <t>2008</t>
        </is>
      </c>
      <c r="F5735" t="inlineStr">
        <is>
          <t>0221</t>
        </is>
      </c>
      <c r="G5735" s="10" t="inlineStr">
        <is>
          <t>西院</t>
        </is>
      </c>
      <c r="H5735" s="10" t="inlineStr">
        <is>
          <t>発</t>
        </is>
      </c>
      <c r="J5735" s="10" t="inlineStr">
        <is>
          <t>営業</t>
        </is>
      </c>
      <c r="L5735" t="inlineStr">
        <is>
          <t>20:52:35</t>
        </is>
      </c>
      <c r="M5735" t="inlineStr">
        <is>
          <t>20:53:05</t>
        </is>
      </c>
      <c r="U5735" t="inlineStr">
        <is>
          <t>→西院 休憩(21:06〜21:18)</t>
        </is>
      </c>
    </row>
    <row r="5736" ht="15" customHeight="1" s="37">
      <c r="A5736" t="n">
        <v>14</v>
      </c>
      <c r="B5736" s="10" t="inlineStr">
        <is>
          <t>平日</t>
        </is>
      </c>
      <c r="C5736" s="10" t="inlineStr">
        <is>
          <t>本線</t>
        </is>
      </c>
      <c r="D5736" s="10" t="inlineStr">
        <is>
          <t>上り</t>
        </is>
      </c>
      <c r="E5736" t="inlineStr">
        <is>
          <t>2008</t>
        </is>
      </c>
      <c r="F5736" t="inlineStr">
        <is>
          <t>0221</t>
        </is>
      </c>
      <c r="G5736" s="10" t="inlineStr">
        <is>
          <t>四条大宮</t>
        </is>
      </c>
      <c r="H5736" s="10" t="inlineStr">
        <is>
          <t>着</t>
        </is>
      </c>
      <c r="J5736" s="10" t="inlineStr">
        <is>
          <t>営業</t>
        </is>
      </c>
      <c r="L5736" t="inlineStr">
        <is>
          <t>20:56:00</t>
        </is>
      </c>
      <c r="N5736" t="inlineStr">
        <is>
          <t>○</t>
        </is>
      </c>
      <c r="Q5736" t="inlineStr">
        <is>
          <t>1</t>
        </is>
      </c>
      <c r="U5736" t="inlineStr">
        <is>
          <t>→西院 休憩(21:06〜21:18)</t>
        </is>
      </c>
    </row>
    <row r="5737" ht="15" customHeight="1" s="37">
      <c r="A5737" t="n">
        <v>14</v>
      </c>
      <c r="B5737" s="10" t="inlineStr">
        <is>
          <t>平日</t>
        </is>
      </c>
      <c r="C5737" s="10" t="inlineStr">
        <is>
          <t>本線</t>
        </is>
      </c>
      <c r="D5737" s="10" t="inlineStr">
        <is>
          <t>下り</t>
        </is>
      </c>
      <c r="E5737" t="inlineStr">
        <is>
          <t>2101</t>
        </is>
      </c>
      <c r="F5737" t="inlineStr">
        <is>
          <t>0122</t>
        </is>
      </c>
      <c r="G5737" s="10" t="inlineStr">
        <is>
          <t>四条大宮</t>
        </is>
      </c>
      <c r="H5737" s="10" t="inlineStr">
        <is>
          <t>発</t>
        </is>
      </c>
      <c r="J5737" s="10" t="inlineStr">
        <is>
          <t>営業</t>
        </is>
      </c>
      <c r="M5737" t="inlineStr">
        <is>
          <t>21:03:00</t>
        </is>
      </c>
      <c r="Q5737" t="inlineStr">
        <is>
          <t>1</t>
        </is>
      </c>
      <c r="U5737" t="inlineStr">
        <is>
          <t>→西院 休憩(21:06〜21:18)</t>
        </is>
      </c>
    </row>
    <row r="5738" ht="15" customHeight="1" s="37">
      <c r="A5738" t="n">
        <v>14</v>
      </c>
      <c r="B5738" s="10" t="inlineStr">
        <is>
          <t>平日</t>
        </is>
      </c>
      <c r="C5738" s="10" t="inlineStr">
        <is>
          <t>本線</t>
        </is>
      </c>
      <c r="D5738" s="10" t="inlineStr">
        <is>
          <t>下り</t>
        </is>
      </c>
      <c r="E5738" t="inlineStr">
        <is>
          <t>2101</t>
        </is>
      </c>
      <c r="F5738" t="inlineStr">
        <is>
          <t>0122</t>
        </is>
      </c>
      <c r="G5738" s="10" t="inlineStr">
        <is>
          <t>西院</t>
        </is>
      </c>
      <c r="H5738" s="10" t="inlineStr">
        <is>
          <t>着</t>
        </is>
      </c>
      <c r="J5738" s="10" t="inlineStr">
        <is>
          <t>営業</t>
        </is>
      </c>
      <c r="L5738" t="inlineStr">
        <is>
          <t>21:05:50</t>
        </is>
      </c>
      <c r="M5738" t="inlineStr">
        <is>
          <t>21:06:20</t>
        </is>
      </c>
      <c r="U5738" t="inlineStr">
        <is>
          <t>→西院 休憩(21:06〜21:18)</t>
        </is>
      </c>
    </row>
    <row r="5739" ht="15" customHeight="1" s="37">
      <c r="A5739" t="n">
        <v>14</v>
      </c>
      <c r="B5739" s="10" t="inlineStr">
        <is>
          <t>平日</t>
        </is>
      </c>
      <c r="C5739" s="10" t="inlineStr">
        <is>
          <t>本線</t>
        </is>
      </c>
      <c r="D5739" s="10" t="inlineStr">
        <is>
          <t>下り</t>
        </is>
      </c>
      <c r="E5739" t="inlineStr">
        <is>
          <t>2103</t>
        </is>
      </c>
      <c r="F5739" t="inlineStr">
        <is>
          <t>0122</t>
        </is>
      </c>
      <c r="G5739" s="10" t="inlineStr">
        <is>
          <t>西院</t>
        </is>
      </c>
      <c r="H5739" s="10" t="inlineStr">
        <is>
          <t>発</t>
        </is>
      </c>
      <c r="J5739" s="10" t="inlineStr">
        <is>
          <t>営業</t>
        </is>
      </c>
      <c r="L5739" t="inlineStr">
        <is>
          <t>21:17:50</t>
        </is>
      </c>
      <c r="M5739" t="inlineStr">
        <is>
          <t>21:18:20</t>
        </is>
      </c>
    </row>
    <row r="5740" ht="15" customHeight="1" s="37">
      <c r="A5740" t="n">
        <v>14</v>
      </c>
      <c r="B5740" s="10" t="inlineStr">
        <is>
          <t>平日</t>
        </is>
      </c>
      <c r="C5740" s="10" t="inlineStr">
        <is>
          <t>本線</t>
        </is>
      </c>
      <c r="D5740" s="10" t="inlineStr">
        <is>
          <t>下り</t>
        </is>
      </c>
      <c r="E5740" t="inlineStr">
        <is>
          <t>2103</t>
        </is>
      </c>
      <c r="F5740" t="inlineStr">
        <is>
          <t>0122</t>
        </is>
      </c>
      <c r="G5740" s="10" t="inlineStr">
        <is>
          <t>西大路三条</t>
        </is>
      </c>
      <c r="H5740" s="10" t="inlineStr">
        <is>
          <t>発</t>
        </is>
      </c>
      <c r="J5740" s="10" t="inlineStr">
        <is>
          <t>営業</t>
        </is>
      </c>
      <c r="L5740" t="inlineStr">
        <is>
          <t>21:20:10</t>
        </is>
      </c>
      <c r="M5740" t="inlineStr">
        <is>
          <t>21:20:30</t>
        </is>
      </c>
    </row>
    <row r="5741" ht="15" customHeight="1" s="37">
      <c r="A5741" t="n">
        <v>14</v>
      </c>
      <c r="B5741" s="10" t="inlineStr">
        <is>
          <t>平日</t>
        </is>
      </c>
      <c r="C5741" s="10" t="inlineStr">
        <is>
          <t>本線</t>
        </is>
      </c>
      <c r="D5741" s="10" t="inlineStr">
        <is>
          <t>下り</t>
        </is>
      </c>
      <c r="E5741" t="inlineStr">
        <is>
          <t>2103</t>
        </is>
      </c>
      <c r="F5741" t="inlineStr">
        <is>
          <t>0122</t>
        </is>
      </c>
      <c r="G5741" s="10" t="inlineStr">
        <is>
          <t>山ノ内</t>
        </is>
      </c>
      <c r="H5741" s="10" t="inlineStr">
        <is>
          <t>発</t>
        </is>
      </c>
      <c r="J5741" s="10" t="inlineStr">
        <is>
          <t>営業</t>
        </is>
      </c>
      <c r="L5741" t="inlineStr">
        <is>
          <t>21:22:25</t>
        </is>
      </c>
      <c r="M5741" t="inlineStr">
        <is>
          <t>21:22:50</t>
        </is>
      </c>
    </row>
    <row r="5742" ht="15" customHeight="1" s="37">
      <c r="A5742" t="n">
        <v>14</v>
      </c>
      <c r="B5742" s="10" t="inlineStr">
        <is>
          <t>平日</t>
        </is>
      </c>
      <c r="C5742" s="10" t="inlineStr">
        <is>
          <t>本線</t>
        </is>
      </c>
      <c r="D5742" s="10" t="inlineStr">
        <is>
          <t>下り</t>
        </is>
      </c>
      <c r="E5742" t="inlineStr">
        <is>
          <t>2103</t>
        </is>
      </c>
      <c r="F5742" t="inlineStr">
        <is>
          <t>0122</t>
        </is>
      </c>
      <c r="G5742" s="10" t="inlineStr">
        <is>
          <t>天神川</t>
        </is>
      </c>
      <c r="H5742" s="10" t="inlineStr">
        <is>
          <t>発</t>
        </is>
      </c>
      <c r="J5742" s="10" t="inlineStr">
        <is>
          <t>営業</t>
        </is>
      </c>
      <c r="L5742" t="inlineStr">
        <is>
          <t>21:24:50</t>
        </is>
      </c>
      <c r="M5742" t="inlineStr">
        <is>
          <t>21:25:30</t>
        </is>
      </c>
    </row>
    <row r="5743" ht="15" customHeight="1" s="37">
      <c r="A5743" t="n">
        <v>14</v>
      </c>
      <c r="B5743" s="10" t="inlineStr">
        <is>
          <t>平日</t>
        </is>
      </c>
      <c r="C5743" s="10" t="inlineStr">
        <is>
          <t>本線</t>
        </is>
      </c>
      <c r="D5743" s="10" t="inlineStr">
        <is>
          <t>下り</t>
        </is>
      </c>
      <c r="E5743" t="inlineStr">
        <is>
          <t>2103</t>
        </is>
      </c>
      <c r="F5743" t="inlineStr">
        <is>
          <t>0122</t>
        </is>
      </c>
      <c r="G5743" s="10" t="inlineStr">
        <is>
          <t>蚕ノ社</t>
        </is>
      </c>
      <c r="H5743" s="10" t="inlineStr">
        <is>
          <t>発</t>
        </is>
      </c>
      <c r="J5743" s="10" t="inlineStr">
        <is>
          <t>営業</t>
        </is>
      </c>
      <c r="L5743" t="inlineStr">
        <is>
          <t>21:26:20</t>
        </is>
      </c>
      <c r="M5743" t="inlineStr">
        <is>
          <t>21:26:40</t>
        </is>
      </c>
    </row>
    <row r="5744" ht="15" customHeight="1" s="37">
      <c r="A5744" t="n">
        <v>14</v>
      </c>
      <c r="B5744" s="10" t="inlineStr">
        <is>
          <t>平日</t>
        </is>
      </c>
      <c r="C5744" s="10" t="inlineStr">
        <is>
          <t>本線</t>
        </is>
      </c>
      <c r="D5744" s="10" t="inlineStr">
        <is>
          <t>下り</t>
        </is>
      </c>
      <c r="E5744" t="inlineStr">
        <is>
          <t>2103</t>
        </is>
      </c>
      <c r="F5744" t="inlineStr">
        <is>
          <t>0122</t>
        </is>
      </c>
      <c r="G5744" s="10" t="inlineStr">
        <is>
          <t>太秦広隆寺</t>
        </is>
      </c>
      <c r="H5744" s="10" t="inlineStr">
        <is>
          <t>発</t>
        </is>
      </c>
      <c r="J5744" s="10" t="inlineStr">
        <is>
          <t>営業</t>
        </is>
      </c>
      <c r="L5744" t="inlineStr">
        <is>
          <t>21:28:00</t>
        </is>
      </c>
      <c r="M5744" t="inlineStr">
        <is>
          <t>21:28:20</t>
        </is>
      </c>
    </row>
    <row r="5745" ht="15" customHeight="1" s="37">
      <c r="A5745" t="n">
        <v>14</v>
      </c>
      <c r="B5745" s="10" t="inlineStr">
        <is>
          <t>平日</t>
        </is>
      </c>
      <c r="C5745" s="10" t="inlineStr">
        <is>
          <t>本線</t>
        </is>
      </c>
      <c r="D5745" s="10" t="inlineStr">
        <is>
          <t>下り</t>
        </is>
      </c>
      <c r="E5745" t="inlineStr">
        <is>
          <t>2103</t>
        </is>
      </c>
      <c r="F5745" t="inlineStr">
        <is>
          <t>0122</t>
        </is>
      </c>
      <c r="G5745" s="10" t="inlineStr">
        <is>
          <t>帷子ノ辻</t>
        </is>
      </c>
      <c r="H5745" s="10" t="inlineStr">
        <is>
          <t>発</t>
        </is>
      </c>
      <c r="J5745" s="10" t="inlineStr">
        <is>
          <t>営業</t>
        </is>
      </c>
      <c r="L5745" t="inlineStr">
        <is>
          <t>21:30:20</t>
        </is>
      </c>
      <c r="M5745" t="inlineStr">
        <is>
          <t>21:31:40</t>
        </is>
      </c>
    </row>
    <row r="5746" ht="15" customHeight="1" s="37">
      <c r="A5746" t="n">
        <v>14</v>
      </c>
      <c r="B5746" s="10" t="inlineStr">
        <is>
          <t>平日</t>
        </is>
      </c>
      <c r="C5746" s="10" t="inlineStr">
        <is>
          <t>本線</t>
        </is>
      </c>
      <c r="D5746" s="10" t="inlineStr">
        <is>
          <t>下り</t>
        </is>
      </c>
      <c r="E5746" t="inlineStr">
        <is>
          <t>2103</t>
        </is>
      </c>
      <c r="F5746" t="inlineStr">
        <is>
          <t>0122</t>
        </is>
      </c>
      <c r="G5746" s="10" t="inlineStr">
        <is>
          <t>有栖川</t>
        </is>
      </c>
      <c r="H5746" s="10" t="inlineStr">
        <is>
          <t>発</t>
        </is>
      </c>
      <c r="J5746" s="10" t="inlineStr">
        <is>
          <t>営業</t>
        </is>
      </c>
      <c r="L5746" t="inlineStr">
        <is>
          <t>21:32:50</t>
        </is>
      </c>
      <c r="M5746" t="inlineStr">
        <is>
          <t>21:33:15</t>
        </is>
      </c>
    </row>
    <row r="5747" ht="15" customHeight="1" s="37">
      <c r="A5747" t="n">
        <v>14</v>
      </c>
      <c r="B5747" s="10" t="inlineStr">
        <is>
          <t>平日</t>
        </is>
      </c>
      <c r="C5747" s="10" t="inlineStr">
        <is>
          <t>本線</t>
        </is>
      </c>
      <c r="D5747" s="10" t="inlineStr">
        <is>
          <t>下り</t>
        </is>
      </c>
      <c r="E5747" t="inlineStr">
        <is>
          <t>2103</t>
        </is>
      </c>
      <c r="F5747" t="inlineStr">
        <is>
          <t>0122</t>
        </is>
      </c>
      <c r="G5747" s="10" t="inlineStr">
        <is>
          <t>車折</t>
        </is>
      </c>
      <c r="H5747" s="10" t="inlineStr">
        <is>
          <t>発</t>
        </is>
      </c>
      <c r="J5747" s="10" t="inlineStr">
        <is>
          <t>営業</t>
        </is>
      </c>
      <c r="L5747" t="inlineStr">
        <is>
          <t>21:34:40</t>
        </is>
      </c>
      <c r="M5747" t="inlineStr">
        <is>
          <t>21:35:05</t>
        </is>
      </c>
    </row>
    <row r="5748" ht="15" customHeight="1" s="37">
      <c r="A5748" t="n">
        <v>14</v>
      </c>
      <c r="B5748" s="10" t="inlineStr">
        <is>
          <t>平日</t>
        </is>
      </c>
      <c r="C5748" s="10" t="inlineStr">
        <is>
          <t>本線</t>
        </is>
      </c>
      <c r="D5748" s="10" t="inlineStr">
        <is>
          <t>下り</t>
        </is>
      </c>
      <c r="E5748" t="inlineStr">
        <is>
          <t>2103</t>
        </is>
      </c>
      <c r="F5748" t="inlineStr">
        <is>
          <t>0122</t>
        </is>
      </c>
      <c r="G5748" s="10" t="inlineStr">
        <is>
          <t>鹿王院</t>
        </is>
      </c>
      <c r="H5748" s="10" t="inlineStr">
        <is>
          <t>発</t>
        </is>
      </c>
      <c r="J5748" s="10" t="inlineStr">
        <is>
          <t>営業</t>
        </is>
      </c>
      <c r="L5748" t="inlineStr">
        <is>
          <t>21:36:00</t>
        </is>
      </c>
      <c r="M5748" t="inlineStr">
        <is>
          <t>21:36:25</t>
        </is>
      </c>
    </row>
    <row r="5749" ht="15" customHeight="1" s="37">
      <c r="A5749" t="n">
        <v>14</v>
      </c>
      <c r="B5749" s="10" t="inlineStr">
        <is>
          <t>平日</t>
        </is>
      </c>
      <c r="C5749" s="10" t="inlineStr">
        <is>
          <t>本線</t>
        </is>
      </c>
      <c r="D5749" s="10" t="inlineStr">
        <is>
          <t>下り</t>
        </is>
      </c>
      <c r="E5749" t="inlineStr">
        <is>
          <t>2103</t>
        </is>
      </c>
      <c r="F5749" t="inlineStr">
        <is>
          <t>0122</t>
        </is>
      </c>
      <c r="G5749" s="10" t="inlineStr">
        <is>
          <t>嵯峨</t>
        </is>
      </c>
      <c r="H5749" s="10" t="inlineStr">
        <is>
          <t>発</t>
        </is>
      </c>
      <c r="J5749" s="10" t="inlineStr">
        <is>
          <t>営業</t>
        </is>
      </c>
      <c r="L5749" t="inlineStr">
        <is>
          <t>21:37:30</t>
        </is>
      </c>
      <c r="M5749" t="inlineStr">
        <is>
          <t>21:37:55</t>
        </is>
      </c>
    </row>
    <row r="5750" ht="15" customHeight="1" s="37">
      <c r="A5750" t="n">
        <v>14</v>
      </c>
      <c r="B5750" s="10" t="inlineStr">
        <is>
          <t>平日</t>
        </is>
      </c>
      <c r="C5750" s="10" t="inlineStr">
        <is>
          <t>本線</t>
        </is>
      </c>
      <c r="D5750" s="10" t="inlineStr">
        <is>
          <t>下り</t>
        </is>
      </c>
      <c r="E5750" t="inlineStr">
        <is>
          <t>2103</t>
        </is>
      </c>
      <c r="F5750" t="inlineStr">
        <is>
          <t>0122</t>
        </is>
      </c>
      <c r="G5750" s="10" t="inlineStr">
        <is>
          <t>嵐山</t>
        </is>
      </c>
      <c r="H5750" s="10" t="inlineStr">
        <is>
          <t>着</t>
        </is>
      </c>
      <c r="J5750" s="10" t="inlineStr">
        <is>
          <t>営業</t>
        </is>
      </c>
      <c r="L5750" t="inlineStr">
        <is>
          <t>21:39:00</t>
        </is>
      </c>
      <c r="N5750" t="inlineStr">
        <is>
          <t>○</t>
        </is>
      </c>
      <c r="Q5750" t="inlineStr">
        <is>
          <t>1</t>
        </is>
      </c>
    </row>
    <row r="5751" ht="15" customHeight="1" s="37">
      <c r="A5751" t="n">
        <v>14</v>
      </c>
      <c r="B5751" s="10" t="inlineStr">
        <is>
          <t>平日</t>
        </is>
      </c>
      <c r="C5751" s="10" t="inlineStr">
        <is>
          <t>本線</t>
        </is>
      </c>
      <c r="D5751" s="10" t="inlineStr">
        <is>
          <t>上り</t>
        </is>
      </c>
      <c r="E5751" t="inlineStr">
        <is>
          <t>2110</t>
        </is>
      </c>
      <c r="F5751" t="inlineStr">
        <is>
          <t>0221</t>
        </is>
      </c>
      <c r="G5751" s="10" t="inlineStr">
        <is>
          <t>嵐山</t>
        </is>
      </c>
      <c r="H5751" s="10" t="inlineStr">
        <is>
          <t>発</t>
        </is>
      </c>
      <c r="J5751" s="10" t="inlineStr">
        <is>
          <t>営業</t>
        </is>
      </c>
      <c r="M5751" t="inlineStr">
        <is>
          <t>21:44:00</t>
        </is>
      </c>
      <c r="Q5751" t="inlineStr">
        <is>
          <t>1</t>
        </is>
      </c>
    </row>
    <row r="5752" ht="15" customHeight="1" s="37">
      <c r="A5752" t="n">
        <v>14</v>
      </c>
      <c r="B5752" s="10" t="inlineStr">
        <is>
          <t>平日</t>
        </is>
      </c>
      <c r="C5752" s="10" t="inlineStr">
        <is>
          <t>本線</t>
        </is>
      </c>
      <c r="D5752" s="10" t="inlineStr">
        <is>
          <t>上り</t>
        </is>
      </c>
      <c r="E5752" t="inlineStr">
        <is>
          <t>2110</t>
        </is>
      </c>
      <c r="F5752" t="inlineStr">
        <is>
          <t>0221</t>
        </is>
      </c>
      <c r="G5752" s="10" t="inlineStr">
        <is>
          <t>嵯峨</t>
        </is>
      </c>
      <c r="H5752" s="10" t="inlineStr">
        <is>
          <t>発</t>
        </is>
      </c>
      <c r="J5752" s="10" t="inlineStr">
        <is>
          <t>営業</t>
        </is>
      </c>
      <c r="L5752" t="inlineStr">
        <is>
          <t>21:44:55</t>
        </is>
      </c>
      <c r="M5752" t="inlineStr">
        <is>
          <t>21:45:10</t>
        </is>
      </c>
    </row>
    <row r="5753" ht="15" customHeight="1" s="37">
      <c r="A5753" t="n">
        <v>14</v>
      </c>
      <c r="B5753" s="10" t="inlineStr">
        <is>
          <t>平日</t>
        </is>
      </c>
      <c r="C5753" s="10" t="inlineStr">
        <is>
          <t>本線</t>
        </is>
      </c>
      <c r="D5753" s="10" t="inlineStr">
        <is>
          <t>上り</t>
        </is>
      </c>
      <c r="E5753" t="inlineStr">
        <is>
          <t>2110</t>
        </is>
      </c>
      <c r="F5753" t="inlineStr">
        <is>
          <t>0221</t>
        </is>
      </c>
      <c r="G5753" s="10" t="inlineStr">
        <is>
          <t>鹿王院</t>
        </is>
      </c>
      <c r="H5753" s="10" t="inlineStr">
        <is>
          <t>発</t>
        </is>
      </c>
      <c r="J5753" s="10" t="inlineStr">
        <is>
          <t>営業</t>
        </is>
      </c>
      <c r="L5753" t="inlineStr">
        <is>
          <t>21:46:15</t>
        </is>
      </c>
      <c r="M5753" t="inlineStr">
        <is>
          <t>21:46:30</t>
        </is>
      </c>
    </row>
    <row r="5754" ht="15" customHeight="1" s="37">
      <c r="A5754" t="n">
        <v>14</v>
      </c>
      <c r="B5754" s="10" t="inlineStr">
        <is>
          <t>平日</t>
        </is>
      </c>
      <c r="C5754" s="10" t="inlineStr">
        <is>
          <t>本線</t>
        </is>
      </c>
      <c r="D5754" s="10" t="inlineStr">
        <is>
          <t>上り</t>
        </is>
      </c>
      <c r="E5754" t="inlineStr">
        <is>
          <t>2110</t>
        </is>
      </c>
      <c r="F5754" t="inlineStr">
        <is>
          <t>0221</t>
        </is>
      </c>
      <c r="G5754" s="10" t="inlineStr">
        <is>
          <t>車折</t>
        </is>
      </c>
      <c r="H5754" s="10" t="inlineStr">
        <is>
          <t>発</t>
        </is>
      </c>
      <c r="J5754" s="10" t="inlineStr">
        <is>
          <t>営業</t>
        </is>
      </c>
      <c r="L5754" t="inlineStr">
        <is>
          <t>21:47:25</t>
        </is>
      </c>
      <c r="M5754" t="inlineStr">
        <is>
          <t>21:47:40</t>
        </is>
      </c>
    </row>
    <row r="5755" ht="15" customHeight="1" s="37">
      <c r="A5755" t="n">
        <v>14</v>
      </c>
      <c r="B5755" s="10" t="inlineStr">
        <is>
          <t>平日</t>
        </is>
      </c>
      <c r="C5755" s="10" t="inlineStr">
        <is>
          <t>本線</t>
        </is>
      </c>
      <c r="D5755" s="10" t="inlineStr">
        <is>
          <t>上り</t>
        </is>
      </c>
      <c r="E5755" t="inlineStr">
        <is>
          <t>2110</t>
        </is>
      </c>
      <c r="F5755" t="inlineStr">
        <is>
          <t>0221</t>
        </is>
      </c>
      <c r="G5755" s="10" t="inlineStr">
        <is>
          <t>有栖川</t>
        </is>
      </c>
      <c r="H5755" s="10" t="inlineStr">
        <is>
          <t>発</t>
        </is>
      </c>
      <c r="J5755" s="10" t="inlineStr">
        <is>
          <t>営業</t>
        </is>
      </c>
      <c r="L5755" t="inlineStr">
        <is>
          <t>21:49:05</t>
        </is>
      </c>
      <c r="M5755" t="inlineStr">
        <is>
          <t>21:49:20</t>
        </is>
      </c>
    </row>
    <row r="5756" ht="15" customHeight="1" s="37">
      <c r="A5756" t="n">
        <v>14</v>
      </c>
      <c r="B5756" s="10" t="inlineStr">
        <is>
          <t>平日</t>
        </is>
      </c>
      <c r="C5756" s="10" t="inlineStr">
        <is>
          <t>本線</t>
        </is>
      </c>
      <c r="D5756" s="10" t="inlineStr">
        <is>
          <t>上り</t>
        </is>
      </c>
      <c r="E5756" t="inlineStr">
        <is>
          <t>2110</t>
        </is>
      </c>
      <c r="F5756" t="inlineStr">
        <is>
          <t>0221</t>
        </is>
      </c>
      <c r="G5756" s="10" t="inlineStr">
        <is>
          <t>帷子ノ辻</t>
        </is>
      </c>
      <c r="H5756" s="10" t="inlineStr">
        <is>
          <t>発</t>
        </is>
      </c>
      <c r="J5756" s="10" t="inlineStr">
        <is>
          <t>営業</t>
        </is>
      </c>
      <c r="L5756" t="inlineStr">
        <is>
          <t>21:50:35</t>
        </is>
      </c>
      <c r="M5756" t="inlineStr">
        <is>
          <t>21:51:05</t>
        </is>
      </c>
    </row>
    <row r="5757" ht="15" customHeight="1" s="37">
      <c r="A5757" t="n">
        <v>14</v>
      </c>
      <c r="B5757" s="10" t="inlineStr">
        <is>
          <t>平日</t>
        </is>
      </c>
      <c r="C5757" s="10" t="inlineStr">
        <is>
          <t>本線</t>
        </is>
      </c>
      <c r="D5757" s="10" t="inlineStr">
        <is>
          <t>上り</t>
        </is>
      </c>
      <c r="E5757" t="inlineStr">
        <is>
          <t>2110</t>
        </is>
      </c>
      <c r="F5757" t="inlineStr">
        <is>
          <t>0221</t>
        </is>
      </c>
      <c r="G5757" s="10" t="inlineStr">
        <is>
          <t>太秦広隆寺</t>
        </is>
      </c>
      <c r="H5757" s="10" t="inlineStr">
        <is>
          <t>発</t>
        </is>
      </c>
      <c r="J5757" s="10" t="inlineStr">
        <is>
          <t>営業</t>
        </is>
      </c>
      <c r="L5757" t="inlineStr">
        <is>
          <t>21:53:15</t>
        </is>
      </c>
      <c r="M5757" t="inlineStr">
        <is>
          <t>21:53:35</t>
        </is>
      </c>
    </row>
    <row r="5758" ht="15" customHeight="1" s="37">
      <c r="A5758" t="n">
        <v>14</v>
      </c>
      <c r="B5758" s="10" t="inlineStr">
        <is>
          <t>平日</t>
        </is>
      </c>
      <c r="C5758" s="10" t="inlineStr">
        <is>
          <t>本線</t>
        </is>
      </c>
      <c r="D5758" s="10" t="inlineStr">
        <is>
          <t>上り</t>
        </is>
      </c>
      <c r="E5758" t="inlineStr">
        <is>
          <t>2110</t>
        </is>
      </c>
      <c r="F5758" t="inlineStr">
        <is>
          <t>0221</t>
        </is>
      </c>
      <c r="G5758" s="10" t="inlineStr">
        <is>
          <t>蚕ノ社</t>
        </is>
      </c>
      <c r="H5758" s="10" t="inlineStr">
        <is>
          <t>発</t>
        </is>
      </c>
      <c r="J5758" s="10" t="inlineStr">
        <is>
          <t>営業</t>
        </is>
      </c>
      <c r="L5758" t="inlineStr">
        <is>
          <t>21:54:50</t>
        </is>
      </c>
      <c r="M5758" t="inlineStr">
        <is>
          <t>21:55:10</t>
        </is>
      </c>
    </row>
    <row r="5759" ht="15" customHeight="1" s="37">
      <c r="A5759" t="n">
        <v>14</v>
      </c>
      <c r="B5759" s="10" t="inlineStr">
        <is>
          <t>平日</t>
        </is>
      </c>
      <c r="C5759" s="10" t="inlineStr">
        <is>
          <t>本線</t>
        </is>
      </c>
      <c r="D5759" s="10" t="inlineStr">
        <is>
          <t>上り</t>
        </is>
      </c>
      <c r="E5759" t="inlineStr">
        <is>
          <t>2110</t>
        </is>
      </c>
      <c r="F5759" t="inlineStr">
        <is>
          <t>0221</t>
        </is>
      </c>
      <c r="G5759" s="10" t="inlineStr">
        <is>
          <t>天神川</t>
        </is>
      </c>
      <c r="H5759" s="10" t="inlineStr">
        <is>
          <t>発</t>
        </is>
      </c>
      <c r="J5759" s="10" t="inlineStr">
        <is>
          <t>営業</t>
        </is>
      </c>
      <c r="L5759" t="inlineStr">
        <is>
          <t>21:55:55</t>
        </is>
      </c>
      <c r="M5759" t="inlineStr">
        <is>
          <t>21:56:20</t>
        </is>
      </c>
    </row>
    <row r="5760" ht="15" customHeight="1" s="37">
      <c r="A5760" t="n">
        <v>14</v>
      </c>
      <c r="B5760" s="10" t="inlineStr">
        <is>
          <t>平日</t>
        </is>
      </c>
      <c r="C5760" s="10" t="inlineStr">
        <is>
          <t>本線</t>
        </is>
      </c>
      <c r="D5760" s="10" t="inlineStr">
        <is>
          <t>上り</t>
        </is>
      </c>
      <c r="E5760" t="inlineStr">
        <is>
          <t>2110</t>
        </is>
      </c>
      <c r="F5760" t="inlineStr">
        <is>
          <t>0221</t>
        </is>
      </c>
      <c r="G5760" s="10" t="inlineStr">
        <is>
          <t>山ノ内</t>
        </is>
      </c>
      <c r="H5760" s="10" t="inlineStr">
        <is>
          <t>発</t>
        </is>
      </c>
      <c r="J5760" s="10" t="inlineStr">
        <is>
          <t>営業</t>
        </is>
      </c>
      <c r="L5760" t="inlineStr">
        <is>
          <t>21:58:10</t>
        </is>
      </c>
      <c r="M5760" t="inlineStr">
        <is>
          <t>21:58:35</t>
        </is>
      </c>
    </row>
    <row r="5761" ht="15" customHeight="1" s="37">
      <c r="A5761" t="n">
        <v>14</v>
      </c>
      <c r="B5761" s="10" t="inlineStr">
        <is>
          <t>平日</t>
        </is>
      </c>
      <c r="C5761" s="10" t="inlineStr">
        <is>
          <t>本線</t>
        </is>
      </c>
      <c r="D5761" s="10" t="inlineStr">
        <is>
          <t>上り</t>
        </is>
      </c>
      <c r="E5761" t="inlineStr">
        <is>
          <t>2110</t>
        </is>
      </c>
      <c r="F5761" t="inlineStr">
        <is>
          <t>0221</t>
        </is>
      </c>
      <c r="G5761" s="10" t="inlineStr">
        <is>
          <t>西大路三条</t>
        </is>
      </c>
      <c r="H5761" s="10" t="inlineStr">
        <is>
          <t>発</t>
        </is>
      </c>
      <c r="J5761" s="10" t="inlineStr">
        <is>
          <t>営業</t>
        </is>
      </c>
      <c r="L5761" t="inlineStr">
        <is>
          <t>22:00:25</t>
        </is>
      </c>
      <c r="M5761" t="inlineStr">
        <is>
          <t>22:00:40</t>
        </is>
      </c>
    </row>
    <row r="5762" ht="15" customHeight="1" s="37">
      <c r="A5762" t="n">
        <v>14</v>
      </c>
      <c r="B5762" s="10" t="inlineStr">
        <is>
          <t>平日</t>
        </is>
      </c>
      <c r="C5762" s="10" t="inlineStr">
        <is>
          <t>本線</t>
        </is>
      </c>
      <c r="D5762" s="10" t="inlineStr">
        <is>
          <t>上り</t>
        </is>
      </c>
      <c r="E5762" t="inlineStr">
        <is>
          <t>2110</t>
        </is>
      </c>
      <c r="F5762" t="inlineStr">
        <is>
          <t>0221</t>
        </is>
      </c>
      <c r="G5762" s="10" t="inlineStr">
        <is>
          <t>西院</t>
        </is>
      </c>
      <c r="H5762" s="10" t="inlineStr">
        <is>
          <t>発</t>
        </is>
      </c>
      <c r="J5762" s="10" t="inlineStr">
        <is>
          <t>営業</t>
        </is>
      </c>
      <c r="L5762" t="inlineStr">
        <is>
          <t>22:02:35</t>
        </is>
      </c>
      <c r="M5762" t="inlineStr">
        <is>
          <t>22:03:05</t>
        </is>
      </c>
    </row>
    <row r="5763" ht="15" customHeight="1" s="37">
      <c r="A5763" t="n">
        <v>14</v>
      </c>
      <c r="B5763" s="10" t="inlineStr">
        <is>
          <t>平日</t>
        </is>
      </c>
      <c r="C5763" s="10" t="inlineStr">
        <is>
          <t>本線</t>
        </is>
      </c>
      <c r="D5763" s="10" t="inlineStr">
        <is>
          <t>上り</t>
        </is>
      </c>
      <c r="E5763" t="inlineStr">
        <is>
          <t>2110</t>
        </is>
      </c>
      <c r="F5763" t="inlineStr">
        <is>
          <t>0221</t>
        </is>
      </c>
      <c r="G5763" s="10" t="inlineStr">
        <is>
          <t>四条大宮</t>
        </is>
      </c>
      <c r="H5763" s="10" t="inlineStr">
        <is>
          <t>着</t>
        </is>
      </c>
      <c r="J5763" s="10" t="inlineStr">
        <is>
          <t>営業</t>
        </is>
      </c>
      <c r="L5763" t="inlineStr">
        <is>
          <t>22:06:00</t>
        </is>
      </c>
      <c r="N5763" t="inlineStr">
        <is>
          <t>○</t>
        </is>
      </c>
      <c r="Q5763" t="inlineStr">
        <is>
          <t>1</t>
        </is>
      </c>
    </row>
    <row r="5764" ht="15" customHeight="1" s="37">
      <c r="A5764" t="n">
        <v>14</v>
      </c>
      <c r="B5764" s="10" t="inlineStr">
        <is>
          <t>平日</t>
        </is>
      </c>
      <c r="C5764" s="10" t="inlineStr">
        <is>
          <t>本線</t>
        </is>
      </c>
      <c r="D5764" s="10" t="inlineStr">
        <is>
          <t>下り</t>
        </is>
      </c>
      <c r="E5764" t="inlineStr">
        <is>
          <t>2203</t>
        </is>
      </c>
      <c r="F5764" t="inlineStr">
        <is>
          <t>0122</t>
        </is>
      </c>
      <c r="G5764" s="10" t="inlineStr">
        <is>
          <t>四条大宮</t>
        </is>
      </c>
      <c r="H5764" s="10" t="inlineStr">
        <is>
          <t>発</t>
        </is>
      </c>
      <c r="J5764" s="10" t="inlineStr">
        <is>
          <t>営業</t>
        </is>
      </c>
      <c r="M5764" t="inlineStr">
        <is>
          <t>22:15:00</t>
        </is>
      </c>
      <c r="Q5764" t="inlineStr">
        <is>
          <t>1</t>
        </is>
      </c>
    </row>
    <row r="5765" ht="15" customHeight="1" s="37">
      <c r="A5765" t="n">
        <v>14</v>
      </c>
      <c r="B5765" s="10" t="inlineStr">
        <is>
          <t>平日</t>
        </is>
      </c>
      <c r="C5765" s="10" t="inlineStr">
        <is>
          <t>本線</t>
        </is>
      </c>
      <c r="D5765" s="10" t="inlineStr">
        <is>
          <t>下り</t>
        </is>
      </c>
      <c r="E5765" t="inlineStr">
        <is>
          <t>2203</t>
        </is>
      </c>
      <c r="F5765" t="inlineStr">
        <is>
          <t>0122</t>
        </is>
      </c>
      <c r="G5765" s="10" t="inlineStr">
        <is>
          <t>西院</t>
        </is>
      </c>
      <c r="H5765" s="10" t="inlineStr">
        <is>
          <t>発</t>
        </is>
      </c>
      <c r="J5765" s="10" t="inlineStr">
        <is>
          <t>営業</t>
        </is>
      </c>
      <c r="L5765" t="inlineStr">
        <is>
          <t>22:17:50</t>
        </is>
      </c>
      <c r="M5765" t="inlineStr">
        <is>
          <t>22:18:20</t>
        </is>
      </c>
    </row>
    <row r="5766" ht="15" customHeight="1" s="37">
      <c r="A5766" t="n">
        <v>14</v>
      </c>
      <c r="B5766" s="10" t="inlineStr">
        <is>
          <t>平日</t>
        </is>
      </c>
      <c r="C5766" s="10" t="inlineStr">
        <is>
          <t>本線</t>
        </is>
      </c>
      <c r="D5766" s="10" t="inlineStr">
        <is>
          <t>下り</t>
        </is>
      </c>
      <c r="E5766" t="inlineStr">
        <is>
          <t>2203</t>
        </is>
      </c>
      <c r="F5766" t="inlineStr">
        <is>
          <t>0122</t>
        </is>
      </c>
      <c r="G5766" s="10" t="inlineStr">
        <is>
          <t>西大路三条</t>
        </is>
      </c>
      <c r="H5766" s="10" t="inlineStr">
        <is>
          <t>発</t>
        </is>
      </c>
      <c r="J5766" s="10" t="inlineStr">
        <is>
          <t>営業</t>
        </is>
      </c>
      <c r="L5766" t="inlineStr">
        <is>
          <t>22:20:10</t>
        </is>
      </c>
      <c r="M5766" t="inlineStr">
        <is>
          <t>22:20:30</t>
        </is>
      </c>
    </row>
    <row r="5767" ht="15" customHeight="1" s="37">
      <c r="A5767" t="n">
        <v>14</v>
      </c>
      <c r="B5767" s="10" t="inlineStr">
        <is>
          <t>平日</t>
        </is>
      </c>
      <c r="C5767" s="10" t="inlineStr">
        <is>
          <t>本線</t>
        </is>
      </c>
      <c r="D5767" s="10" t="inlineStr">
        <is>
          <t>下り</t>
        </is>
      </c>
      <c r="E5767" t="inlineStr">
        <is>
          <t>2203</t>
        </is>
      </c>
      <c r="F5767" t="inlineStr">
        <is>
          <t>0122</t>
        </is>
      </c>
      <c r="G5767" s="10" t="inlineStr">
        <is>
          <t>山ノ内</t>
        </is>
      </c>
      <c r="H5767" s="10" t="inlineStr">
        <is>
          <t>発</t>
        </is>
      </c>
      <c r="J5767" s="10" t="inlineStr">
        <is>
          <t>営業</t>
        </is>
      </c>
      <c r="L5767" t="inlineStr">
        <is>
          <t>22:22:25</t>
        </is>
      </c>
      <c r="M5767" t="inlineStr">
        <is>
          <t>22:22:50</t>
        </is>
      </c>
    </row>
    <row r="5768" ht="15" customHeight="1" s="37">
      <c r="A5768" t="n">
        <v>14</v>
      </c>
      <c r="B5768" s="10" t="inlineStr">
        <is>
          <t>平日</t>
        </is>
      </c>
      <c r="C5768" s="10" t="inlineStr">
        <is>
          <t>本線</t>
        </is>
      </c>
      <c r="D5768" s="10" t="inlineStr">
        <is>
          <t>下り</t>
        </is>
      </c>
      <c r="E5768" t="inlineStr">
        <is>
          <t>2203</t>
        </is>
      </c>
      <c r="F5768" t="inlineStr">
        <is>
          <t>0122</t>
        </is>
      </c>
      <c r="G5768" s="10" t="inlineStr">
        <is>
          <t>天神川</t>
        </is>
      </c>
      <c r="H5768" s="10" t="inlineStr">
        <is>
          <t>発</t>
        </is>
      </c>
      <c r="J5768" s="10" t="inlineStr">
        <is>
          <t>営業</t>
        </is>
      </c>
      <c r="L5768" t="inlineStr">
        <is>
          <t>22:24:50</t>
        </is>
      </c>
      <c r="M5768" t="inlineStr">
        <is>
          <t>22:25:30</t>
        </is>
      </c>
    </row>
    <row r="5769" ht="15" customHeight="1" s="37">
      <c r="A5769" t="n">
        <v>14</v>
      </c>
      <c r="B5769" s="10" t="inlineStr">
        <is>
          <t>平日</t>
        </is>
      </c>
      <c r="C5769" s="10" t="inlineStr">
        <is>
          <t>本線</t>
        </is>
      </c>
      <c r="D5769" s="10" t="inlineStr">
        <is>
          <t>下り</t>
        </is>
      </c>
      <c r="E5769" t="inlineStr">
        <is>
          <t>2203</t>
        </is>
      </c>
      <c r="F5769" t="inlineStr">
        <is>
          <t>0122</t>
        </is>
      </c>
      <c r="G5769" s="10" t="inlineStr">
        <is>
          <t>蚕ノ社</t>
        </is>
      </c>
      <c r="H5769" s="10" t="inlineStr">
        <is>
          <t>発</t>
        </is>
      </c>
      <c r="J5769" s="10" t="inlineStr">
        <is>
          <t>営業</t>
        </is>
      </c>
      <c r="L5769" t="inlineStr">
        <is>
          <t>22:26:20</t>
        </is>
      </c>
      <c r="M5769" t="inlineStr">
        <is>
          <t>22:26:40</t>
        </is>
      </c>
    </row>
    <row r="5770" ht="15" customHeight="1" s="37">
      <c r="A5770" t="n">
        <v>14</v>
      </c>
      <c r="B5770" s="10" t="inlineStr">
        <is>
          <t>平日</t>
        </is>
      </c>
      <c r="C5770" s="10" t="inlineStr">
        <is>
          <t>本線</t>
        </is>
      </c>
      <c r="D5770" s="10" t="inlineStr">
        <is>
          <t>下り</t>
        </is>
      </c>
      <c r="E5770" t="inlineStr">
        <is>
          <t>2203</t>
        </is>
      </c>
      <c r="F5770" t="inlineStr">
        <is>
          <t>0122</t>
        </is>
      </c>
      <c r="G5770" s="10" t="inlineStr">
        <is>
          <t>太秦広隆寺</t>
        </is>
      </c>
      <c r="H5770" s="10" t="inlineStr">
        <is>
          <t>発</t>
        </is>
      </c>
      <c r="J5770" s="10" t="inlineStr">
        <is>
          <t>営業</t>
        </is>
      </c>
      <c r="L5770" t="inlineStr">
        <is>
          <t>22:28:00</t>
        </is>
      </c>
      <c r="M5770" t="inlineStr">
        <is>
          <t>22:28:20</t>
        </is>
      </c>
    </row>
    <row r="5771" ht="15" customHeight="1" s="37">
      <c r="A5771" t="n">
        <v>14</v>
      </c>
      <c r="B5771" s="10" t="inlineStr">
        <is>
          <t>平日</t>
        </is>
      </c>
      <c r="C5771" s="10" t="inlineStr">
        <is>
          <t>本線</t>
        </is>
      </c>
      <c r="D5771" s="10" t="inlineStr">
        <is>
          <t>下り</t>
        </is>
      </c>
      <c r="E5771" t="inlineStr">
        <is>
          <t>2203</t>
        </is>
      </c>
      <c r="F5771" t="inlineStr">
        <is>
          <t>0122</t>
        </is>
      </c>
      <c r="G5771" s="10" t="inlineStr">
        <is>
          <t>帷子ノ辻</t>
        </is>
      </c>
      <c r="H5771" s="10" t="inlineStr">
        <is>
          <t>発</t>
        </is>
      </c>
      <c r="J5771" s="10" t="inlineStr">
        <is>
          <t>営業</t>
        </is>
      </c>
      <c r="L5771" t="inlineStr">
        <is>
          <t>22:30:20</t>
        </is>
      </c>
      <c r="M5771" t="inlineStr">
        <is>
          <t>22:31:40</t>
        </is>
      </c>
    </row>
    <row r="5772" ht="15" customHeight="1" s="37">
      <c r="A5772" t="n">
        <v>14</v>
      </c>
      <c r="B5772" s="10" t="inlineStr">
        <is>
          <t>平日</t>
        </is>
      </c>
      <c r="C5772" s="10" t="inlineStr">
        <is>
          <t>本線</t>
        </is>
      </c>
      <c r="D5772" s="10" t="inlineStr">
        <is>
          <t>下り</t>
        </is>
      </c>
      <c r="E5772" t="inlineStr">
        <is>
          <t>2203</t>
        </is>
      </c>
      <c r="F5772" t="inlineStr">
        <is>
          <t>0122</t>
        </is>
      </c>
      <c r="G5772" s="10" t="inlineStr">
        <is>
          <t>有栖川</t>
        </is>
      </c>
      <c r="H5772" s="10" t="inlineStr">
        <is>
          <t>発</t>
        </is>
      </c>
      <c r="J5772" s="10" t="inlineStr">
        <is>
          <t>営業</t>
        </is>
      </c>
      <c r="L5772" t="inlineStr">
        <is>
          <t>22:32:50</t>
        </is>
      </c>
      <c r="M5772" t="inlineStr">
        <is>
          <t>22:33:15</t>
        </is>
      </c>
    </row>
    <row r="5773" ht="15" customHeight="1" s="37">
      <c r="A5773" t="n">
        <v>14</v>
      </c>
      <c r="B5773" s="10" t="inlineStr">
        <is>
          <t>平日</t>
        </is>
      </c>
      <c r="C5773" s="10" t="inlineStr">
        <is>
          <t>本線</t>
        </is>
      </c>
      <c r="D5773" s="10" t="inlineStr">
        <is>
          <t>下り</t>
        </is>
      </c>
      <c r="E5773" t="inlineStr">
        <is>
          <t>2203</t>
        </is>
      </c>
      <c r="F5773" t="inlineStr">
        <is>
          <t>0122</t>
        </is>
      </c>
      <c r="G5773" s="10" t="inlineStr">
        <is>
          <t>車折</t>
        </is>
      </c>
      <c r="H5773" s="10" t="inlineStr">
        <is>
          <t>発</t>
        </is>
      </c>
      <c r="J5773" s="10" t="inlineStr">
        <is>
          <t>営業</t>
        </is>
      </c>
      <c r="L5773" t="inlineStr">
        <is>
          <t>22:34:40</t>
        </is>
      </c>
      <c r="M5773" t="inlineStr">
        <is>
          <t>22:35:05</t>
        </is>
      </c>
    </row>
    <row r="5774" ht="15" customHeight="1" s="37">
      <c r="A5774" t="n">
        <v>14</v>
      </c>
      <c r="B5774" s="10" t="inlineStr">
        <is>
          <t>平日</t>
        </is>
      </c>
      <c r="C5774" s="10" t="inlineStr">
        <is>
          <t>本線</t>
        </is>
      </c>
      <c r="D5774" s="10" t="inlineStr">
        <is>
          <t>下り</t>
        </is>
      </c>
      <c r="E5774" t="inlineStr">
        <is>
          <t>2203</t>
        </is>
      </c>
      <c r="F5774" t="inlineStr">
        <is>
          <t>0122</t>
        </is>
      </c>
      <c r="G5774" s="10" t="inlineStr">
        <is>
          <t>鹿王院</t>
        </is>
      </c>
      <c r="H5774" s="10" t="inlineStr">
        <is>
          <t>発</t>
        </is>
      </c>
      <c r="J5774" s="10" t="inlineStr">
        <is>
          <t>営業</t>
        </is>
      </c>
      <c r="L5774" t="inlineStr">
        <is>
          <t>22:36:00</t>
        </is>
      </c>
      <c r="M5774" t="inlineStr">
        <is>
          <t>22:36:25</t>
        </is>
      </c>
    </row>
    <row r="5775" ht="15" customHeight="1" s="37">
      <c r="A5775" t="n">
        <v>14</v>
      </c>
      <c r="B5775" s="10" t="inlineStr">
        <is>
          <t>平日</t>
        </is>
      </c>
      <c r="C5775" s="10" t="inlineStr">
        <is>
          <t>本線</t>
        </is>
      </c>
      <c r="D5775" s="10" t="inlineStr">
        <is>
          <t>下り</t>
        </is>
      </c>
      <c r="E5775" t="inlineStr">
        <is>
          <t>2203</t>
        </is>
      </c>
      <c r="F5775" t="inlineStr">
        <is>
          <t>0122</t>
        </is>
      </c>
      <c r="G5775" s="10" t="inlineStr">
        <is>
          <t>嵯峨</t>
        </is>
      </c>
      <c r="H5775" s="10" t="inlineStr">
        <is>
          <t>発</t>
        </is>
      </c>
      <c r="J5775" s="10" t="inlineStr">
        <is>
          <t>営業</t>
        </is>
      </c>
      <c r="L5775" t="inlineStr">
        <is>
          <t>22:37:30</t>
        </is>
      </c>
      <c r="M5775" t="inlineStr">
        <is>
          <t>22:37:55</t>
        </is>
      </c>
    </row>
    <row r="5776" ht="15" customHeight="1" s="37">
      <c r="A5776" t="n">
        <v>14</v>
      </c>
      <c r="B5776" s="10" t="inlineStr">
        <is>
          <t>平日</t>
        </is>
      </c>
      <c r="C5776" s="10" t="inlineStr">
        <is>
          <t>本線</t>
        </is>
      </c>
      <c r="D5776" s="10" t="inlineStr">
        <is>
          <t>下り</t>
        </is>
      </c>
      <c r="E5776" t="inlineStr">
        <is>
          <t>2203</t>
        </is>
      </c>
      <c r="F5776" t="inlineStr">
        <is>
          <t>0122</t>
        </is>
      </c>
      <c r="G5776" s="10" t="inlineStr">
        <is>
          <t>嵐山</t>
        </is>
      </c>
      <c r="H5776" s="10" t="inlineStr">
        <is>
          <t>着</t>
        </is>
      </c>
      <c r="J5776" s="10" t="inlineStr">
        <is>
          <t>営業</t>
        </is>
      </c>
      <c r="L5776" t="inlineStr">
        <is>
          <t>22:39:00</t>
        </is>
      </c>
      <c r="N5776" t="inlineStr">
        <is>
          <t>○</t>
        </is>
      </c>
      <c r="Q5776" t="inlineStr">
        <is>
          <t>1</t>
        </is>
      </c>
    </row>
    <row r="5777" ht="15" customHeight="1" s="37">
      <c r="A5777" t="n">
        <v>14</v>
      </c>
      <c r="B5777" s="10" t="inlineStr">
        <is>
          <t>平日</t>
        </is>
      </c>
      <c r="C5777" s="10" t="inlineStr">
        <is>
          <t>本線</t>
        </is>
      </c>
      <c r="D5777" s="10" t="inlineStr">
        <is>
          <t>上り</t>
        </is>
      </c>
      <c r="E5777" t="inlineStr">
        <is>
          <t>2208</t>
        </is>
      </c>
      <c r="F5777" t="inlineStr">
        <is>
          <t>0221</t>
        </is>
      </c>
      <c r="G5777" s="10" t="inlineStr">
        <is>
          <t>嵐山</t>
        </is>
      </c>
      <c r="H5777" s="10" t="inlineStr">
        <is>
          <t>発</t>
        </is>
      </c>
      <c r="J5777" s="10" t="inlineStr">
        <is>
          <t>営業</t>
        </is>
      </c>
      <c r="M5777" t="inlineStr">
        <is>
          <t>22:47:00</t>
        </is>
      </c>
      <c r="Q5777" t="inlineStr">
        <is>
          <t>1</t>
        </is>
      </c>
    </row>
    <row r="5778" ht="15" customHeight="1" s="37">
      <c r="A5778" t="n">
        <v>14</v>
      </c>
      <c r="B5778" s="10" t="inlineStr">
        <is>
          <t>平日</t>
        </is>
      </c>
      <c r="C5778" s="10" t="inlineStr">
        <is>
          <t>本線</t>
        </is>
      </c>
      <c r="D5778" s="10" t="inlineStr">
        <is>
          <t>上り</t>
        </is>
      </c>
      <c r="E5778" t="inlineStr">
        <is>
          <t>2208</t>
        </is>
      </c>
      <c r="F5778" t="inlineStr">
        <is>
          <t>0221</t>
        </is>
      </c>
      <c r="G5778" s="10" t="inlineStr">
        <is>
          <t>嵯峨</t>
        </is>
      </c>
      <c r="H5778" s="10" t="inlineStr">
        <is>
          <t>発</t>
        </is>
      </c>
      <c r="J5778" s="10" t="inlineStr">
        <is>
          <t>営業</t>
        </is>
      </c>
      <c r="L5778" t="inlineStr">
        <is>
          <t>22:47:55</t>
        </is>
      </c>
      <c r="M5778" t="inlineStr">
        <is>
          <t>22:48:10</t>
        </is>
      </c>
    </row>
    <row r="5779" ht="15" customHeight="1" s="37">
      <c r="A5779" t="n">
        <v>14</v>
      </c>
      <c r="B5779" s="10" t="inlineStr">
        <is>
          <t>平日</t>
        </is>
      </c>
      <c r="C5779" s="10" t="inlineStr">
        <is>
          <t>本線</t>
        </is>
      </c>
      <c r="D5779" s="10" t="inlineStr">
        <is>
          <t>上り</t>
        </is>
      </c>
      <c r="E5779" t="inlineStr">
        <is>
          <t>2208</t>
        </is>
      </c>
      <c r="F5779" t="inlineStr">
        <is>
          <t>0221</t>
        </is>
      </c>
      <c r="G5779" s="10" t="inlineStr">
        <is>
          <t>鹿王院</t>
        </is>
      </c>
      <c r="H5779" s="10" t="inlineStr">
        <is>
          <t>発</t>
        </is>
      </c>
      <c r="J5779" s="10" t="inlineStr">
        <is>
          <t>営業</t>
        </is>
      </c>
      <c r="L5779" t="inlineStr">
        <is>
          <t>22:49:15</t>
        </is>
      </c>
      <c r="M5779" t="inlineStr">
        <is>
          <t>22:49:30</t>
        </is>
      </c>
    </row>
    <row r="5780" ht="15" customHeight="1" s="37">
      <c r="A5780" t="n">
        <v>14</v>
      </c>
      <c r="B5780" s="10" t="inlineStr">
        <is>
          <t>平日</t>
        </is>
      </c>
      <c r="C5780" s="10" t="inlineStr">
        <is>
          <t>本線</t>
        </is>
      </c>
      <c r="D5780" s="10" t="inlineStr">
        <is>
          <t>上り</t>
        </is>
      </c>
      <c r="E5780" t="inlineStr">
        <is>
          <t>2208</t>
        </is>
      </c>
      <c r="F5780" t="inlineStr">
        <is>
          <t>0221</t>
        </is>
      </c>
      <c r="G5780" s="10" t="inlineStr">
        <is>
          <t>車折</t>
        </is>
      </c>
      <c r="H5780" s="10" t="inlineStr">
        <is>
          <t>発</t>
        </is>
      </c>
      <c r="J5780" s="10" t="inlineStr">
        <is>
          <t>営業</t>
        </is>
      </c>
      <c r="L5780" t="inlineStr">
        <is>
          <t>22:50:25</t>
        </is>
      </c>
      <c r="M5780" t="inlineStr">
        <is>
          <t>22:50:40</t>
        </is>
      </c>
    </row>
    <row r="5781" ht="15" customHeight="1" s="37">
      <c r="A5781" t="n">
        <v>14</v>
      </c>
      <c r="B5781" s="10" t="inlineStr">
        <is>
          <t>平日</t>
        </is>
      </c>
      <c r="C5781" s="10" t="inlineStr">
        <is>
          <t>本線</t>
        </is>
      </c>
      <c r="D5781" s="10" t="inlineStr">
        <is>
          <t>上り</t>
        </is>
      </c>
      <c r="E5781" t="inlineStr">
        <is>
          <t>2208</t>
        </is>
      </c>
      <c r="F5781" t="inlineStr">
        <is>
          <t>0221</t>
        </is>
      </c>
      <c r="G5781" s="10" t="inlineStr">
        <is>
          <t>有栖川</t>
        </is>
      </c>
      <c r="H5781" s="10" t="inlineStr">
        <is>
          <t>発</t>
        </is>
      </c>
      <c r="J5781" s="10" t="inlineStr">
        <is>
          <t>営業</t>
        </is>
      </c>
      <c r="L5781" t="inlineStr">
        <is>
          <t>22:52:05</t>
        </is>
      </c>
      <c r="M5781" t="inlineStr">
        <is>
          <t>22:52:20</t>
        </is>
      </c>
    </row>
    <row r="5782" ht="15" customHeight="1" s="37">
      <c r="A5782" t="n">
        <v>14</v>
      </c>
      <c r="B5782" s="10" t="inlineStr">
        <is>
          <t>平日</t>
        </is>
      </c>
      <c r="C5782" s="10" t="inlineStr">
        <is>
          <t>本線</t>
        </is>
      </c>
      <c r="D5782" s="10" t="inlineStr">
        <is>
          <t>上り</t>
        </is>
      </c>
      <c r="E5782" t="inlineStr">
        <is>
          <t>2208</t>
        </is>
      </c>
      <c r="F5782" t="inlineStr">
        <is>
          <t>0221</t>
        </is>
      </c>
      <c r="G5782" s="10" t="inlineStr">
        <is>
          <t>帷子ノ辻</t>
        </is>
      </c>
      <c r="H5782" s="10" t="inlineStr">
        <is>
          <t>発</t>
        </is>
      </c>
      <c r="J5782" s="10" t="inlineStr">
        <is>
          <t>営業</t>
        </is>
      </c>
      <c r="L5782" t="inlineStr">
        <is>
          <t>22:53:35</t>
        </is>
      </c>
      <c r="M5782" t="inlineStr">
        <is>
          <t>22:54:05</t>
        </is>
      </c>
    </row>
    <row r="5783" ht="15" customHeight="1" s="37">
      <c r="A5783" t="n">
        <v>14</v>
      </c>
      <c r="B5783" s="10" t="inlineStr">
        <is>
          <t>平日</t>
        </is>
      </c>
      <c r="C5783" s="10" t="inlineStr">
        <is>
          <t>本線</t>
        </is>
      </c>
      <c r="D5783" s="10" t="inlineStr">
        <is>
          <t>上り</t>
        </is>
      </c>
      <c r="E5783" t="inlineStr">
        <is>
          <t>2208</t>
        </is>
      </c>
      <c r="F5783" t="inlineStr">
        <is>
          <t>0221</t>
        </is>
      </c>
      <c r="G5783" s="10" t="inlineStr">
        <is>
          <t>太秦広隆寺</t>
        </is>
      </c>
      <c r="H5783" s="10" t="inlineStr">
        <is>
          <t>発</t>
        </is>
      </c>
      <c r="J5783" s="10" t="inlineStr">
        <is>
          <t>営業</t>
        </is>
      </c>
      <c r="L5783" t="inlineStr">
        <is>
          <t>22:56:15</t>
        </is>
      </c>
      <c r="M5783" t="inlineStr">
        <is>
          <t>22:56:35</t>
        </is>
      </c>
    </row>
    <row r="5784" ht="15" customHeight="1" s="37">
      <c r="A5784" t="n">
        <v>14</v>
      </c>
      <c r="B5784" s="10" t="inlineStr">
        <is>
          <t>平日</t>
        </is>
      </c>
      <c r="C5784" s="10" t="inlineStr">
        <is>
          <t>本線</t>
        </is>
      </c>
      <c r="D5784" s="10" t="inlineStr">
        <is>
          <t>上り</t>
        </is>
      </c>
      <c r="E5784" t="inlineStr">
        <is>
          <t>2208</t>
        </is>
      </c>
      <c r="F5784" t="inlineStr">
        <is>
          <t>0221</t>
        </is>
      </c>
      <c r="G5784" s="10" t="inlineStr">
        <is>
          <t>蚕ノ社</t>
        </is>
      </c>
      <c r="H5784" s="10" t="inlineStr">
        <is>
          <t>発</t>
        </is>
      </c>
      <c r="J5784" s="10" t="inlineStr">
        <is>
          <t>営業</t>
        </is>
      </c>
      <c r="L5784" t="inlineStr">
        <is>
          <t>22:57:50</t>
        </is>
      </c>
      <c r="M5784" t="inlineStr">
        <is>
          <t>22:58:10</t>
        </is>
      </c>
    </row>
    <row r="5785" ht="15" customHeight="1" s="37">
      <c r="A5785" t="n">
        <v>14</v>
      </c>
      <c r="B5785" s="10" t="inlineStr">
        <is>
          <t>平日</t>
        </is>
      </c>
      <c r="C5785" s="10" t="inlineStr">
        <is>
          <t>本線</t>
        </is>
      </c>
      <c r="D5785" s="10" t="inlineStr">
        <is>
          <t>上り</t>
        </is>
      </c>
      <c r="E5785" t="inlineStr">
        <is>
          <t>2208</t>
        </is>
      </c>
      <c r="F5785" t="inlineStr">
        <is>
          <t>0221</t>
        </is>
      </c>
      <c r="G5785" s="10" t="inlineStr">
        <is>
          <t>天神川</t>
        </is>
      </c>
      <c r="H5785" s="10" t="inlineStr">
        <is>
          <t>発</t>
        </is>
      </c>
      <c r="J5785" s="10" t="inlineStr">
        <is>
          <t>営業</t>
        </is>
      </c>
      <c r="L5785" t="inlineStr">
        <is>
          <t>22:58:55</t>
        </is>
      </c>
      <c r="M5785" t="inlineStr">
        <is>
          <t>22:59:20</t>
        </is>
      </c>
    </row>
    <row r="5786" ht="15" customHeight="1" s="37">
      <c r="A5786" t="n">
        <v>14</v>
      </c>
      <c r="B5786" s="10" t="inlineStr">
        <is>
          <t>平日</t>
        </is>
      </c>
      <c r="C5786" s="10" t="inlineStr">
        <is>
          <t>本線</t>
        </is>
      </c>
      <c r="D5786" s="10" t="inlineStr">
        <is>
          <t>上り</t>
        </is>
      </c>
      <c r="E5786" t="inlineStr">
        <is>
          <t>2208</t>
        </is>
      </c>
      <c r="F5786" t="inlineStr">
        <is>
          <t>0221</t>
        </is>
      </c>
      <c r="G5786" s="10" t="inlineStr">
        <is>
          <t>山ノ内</t>
        </is>
      </c>
      <c r="H5786" s="10" t="inlineStr">
        <is>
          <t>発</t>
        </is>
      </c>
      <c r="J5786" s="10" t="inlineStr">
        <is>
          <t>営業</t>
        </is>
      </c>
      <c r="L5786" t="inlineStr">
        <is>
          <t>23:01:10</t>
        </is>
      </c>
      <c r="M5786" t="inlineStr">
        <is>
          <t>23:01:35</t>
        </is>
      </c>
    </row>
    <row r="5787" ht="15" customHeight="1" s="37">
      <c r="A5787" t="n">
        <v>14</v>
      </c>
      <c r="B5787" s="10" t="inlineStr">
        <is>
          <t>平日</t>
        </is>
      </c>
      <c r="C5787" s="10" t="inlineStr">
        <is>
          <t>本線</t>
        </is>
      </c>
      <c r="D5787" s="10" t="inlineStr">
        <is>
          <t>上り</t>
        </is>
      </c>
      <c r="E5787" t="inlineStr">
        <is>
          <t>2208</t>
        </is>
      </c>
      <c r="F5787" t="inlineStr">
        <is>
          <t>0221</t>
        </is>
      </c>
      <c r="G5787" s="10" t="inlineStr">
        <is>
          <t>西大路三条</t>
        </is>
      </c>
      <c r="H5787" s="10" t="inlineStr">
        <is>
          <t>発</t>
        </is>
      </c>
      <c r="J5787" s="10" t="inlineStr">
        <is>
          <t>営業</t>
        </is>
      </c>
      <c r="L5787" t="inlineStr">
        <is>
          <t>23:03:25</t>
        </is>
      </c>
      <c r="M5787" t="inlineStr">
        <is>
          <t>23:03:40</t>
        </is>
      </c>
    </row>
    <row r="5788" ht="15" customHeight="1" s="37">
      <c r="A5788" t="n">
        <v>14</v>
      </c>
      <c r="B5788" s="10" t="inlineStr">
        <is>
          <t>平日</t>
        </is>
      </c>
      <c r="C5788" s="10" t="inlineStr">
        <is>
          <t>本線</t>
        </is>
      </c>
      <c r="D5788" s="10" t="inlineStr">
        <is>
          <t>上り</t>
        </is>
      </c>
      <c r="E5788" t="inlineStr">
        <is>
          <t>2208</t>
        </is>
      </c>
      <c r="F5788" t="inlineStr">
        <is>
          <t>0221</t>
        </is>
      </c>
      <c r="G5788" s="10" t="inlineStr">
        <is>
          <t>西院</t>
        </is>
      </c>
      <c r="H5788" s="10" t="inlineStr">
        <is>
          <t>発</t>
        </is>
      </c>
      <c r="J5788" s="10" t="inlineStr">
        <is>
          <t>営業</t>
        </is>
      </c>
      <c r="L5788" t="inlineStr">
        <is>
          <t>23:05:35</t>
        </is>
      </c>
      <c r="M5788" t="inlineStr">
        <is>
          <t>23:06:05</t>
        </is>
      </c>
    </row>
    <row r="5789" ht="15" customHeight="1" s="37">
      <c r="A5789" t="n">
        <v>14</v>
      </c>
      <c r="B5789" s="10" t="inlineStr">
        <is>
          <t>平日</t>
        </is>
      </c>
      <c r="C5789" s="10" t="inlineStr">
        <is>
          <t>本線</t>
        </is>
      </c>
      <c r="D5789" s="10" t="inlineStr">
        <is>
          <t>上り</t>
        </is>
      </c>
      <c r="E5789" t="inlineStr">
        <is>
          <t>2208</t>
        </is>
      </c>
      <c r="F5789" t="inlineStr">
        <is>
          <t>0221</t>
        </is>
      </c>
      <c r="G5789" s="10" t="inlineStr">
        <is>
          <t>四条大宮</t>
        </is>
      </c>
      <c r="H5789" s="10" t="inlineStr">
        <is>
          <t>着</t>
        </is>
      </c>
      <c r="J5789" s="10" t="inlineStr">
        <is>
          <t>営業</t>
        </is>
      </c>
      <c r="L5789" t="inlineStr">
        <is>
          <t>23:09:00</t>
        </is>
      </c>
      <c r="N5789" t="inlineStr">
        <is>
          <t>○</t>
        </is>
      </c>
      <c r="Q5789" t="inlineStr">
        <is>
          <t>1</t>
        </is>
      </c>
    </row>
    <row r="5790" ht="15" customHeight="1" s="37">
      <c r="A5790" t="n">
        <v>14</v>
      </c>
      <c r="B5790" s="10" t="inlineStr">
        <is>
          <t>平日</t>
        </is>
      </c>
      <c r="C5790" s="10" t="inlineStr">
        <is>
          <t>本線</t>
        </is>
      </c>
      <c r="D5790" s="10" t="inlineStr">
        <is>
          <t>下り</t>
        </is>
      </c>
      <c r="E5790" t="inlineStr">
        <is>
          <t>2303</t>
        </is>
      </c>
      <c r="F5790" t="inlineStr">
        <is>
          <t>0182</t>
        </is>
      </c>
      <c r="G5790" s="10" t="inlineStr">
        <is>
          <t>四条大宮</t>
        </is>
      </c>
      <c r="H5790" s="10" t="inlineStr">
        <is>
          <t>発</t>
        </is>
      </c>
      <c r="J5790" s="10" t="inlineStr">
        <is>
          <t>営業</t>
        </is>
      </c>
      <c r="M5790" t="inlineStr">
        <is>
          <t>23:20:00</t>
        </is>
      </c>
      <c r="Q5790" t="inlineStr">
        <is>
          <t>1</t>
        </is>
      </c>
    </row>
    <row r="5791" ht="15" customHeight="1" s="37">
      <c r="A5791" t="n">
        <v>14</v>
      </c>
      <c r="B5791" s="10" t="inlineStr">
        <is>
          <t>平日</t>
        </is>
      </c>
      <c r="C5791" s="10" t="inlineStr">
        <is>
          <t>本線</t>
        </is>
      </c>
      <c r="D5791" s="10" t="inlineStr">
        <is>
          <t>下り</t>
        </is>
      </c>
      <c r="E5791" t="inlineStr">
        <is>
          <t>2303</t>
        </is>
      </c>
      <c r="F5791" t="inlineStr">
        <is>
          <t>0182</t>
        </is>
      </c>
      <c r="G5791" s="10" t="inlineStr">
        <is>
          <t>西院</t>
        </is>
      </c>
      <c r="H5791" s="10" t="inlineStr">
        <is>
          <t>発</t>
        </is>
      </c>
      <c r="J5791" s="10" t="inlineStr">
        <is>
          <t>営業</t>
        </is>
      </c>
      <c r="L5791" t="inlineStr">
        <is>
          <t>23:22:50</t>
        </is>
      </c>
      <c r="M5791" t="inlineStr">
        <is>
          <t>23:23:20</t>
        </is>
      </c>
    </row>
    <row r="5792" ht="15" customHeight="1" s="37">
      <c r="A5792" t="n">
        <v>14</v>
      </c>
      <c r="B5792" s="10" t="inlineStr">
        <is>
          <t>平日</t>
        </is>
      </c>
      <c r="C5792" s="10" t="inlineStr">
        <is>
          <t>本線</t>
        </is>
      </c>
      <c r="D5792" s="10" t="inlineStr">
        <is>
          <t>下り</t>
        </is>
      </c>
      <c r="E5792" t="inlineStr">
        <is>
          <t>2303</t>
        </is>
      </c>
      <c r="F5792" t="inlineStr">
        <is>
          <t>0182</t>
        </is>
      </c>
      <c r="G5792" s="10" t="inlineStr">
        <is>
          <t>西大路三条</t>
        </is>
      </c>
      <c r="H5792" s="10" t="inlineStr">
        <is>
          <t>発</t>
        </is>
      </c>
      <c r="J5792" s="10" t="inlineStr">
        <is>
          <t>営業</t>
        </is>
      </c>
      <c r="L5792" t="inlineStr">
        <is>
          <t>23:25:10</t>
        </is>
      </c>
      <c r="M5792" t="inlineStr">
        <is>
          <t>23:25:30</t>
        </is>
      </c>
    </row>
    <row r="5793" ht="15" customHeight="1" s="37">
      <c r="A5793" t="n">
        <v>14</v>
      </c>
      <c r="B5793" s="10" t="inlineStr">
        <is>
          <t>平日</t>
        </is>
      </c>
      <c r="C5793" s="10" t="inlineStr">
        <is>
          <t>本線</t>
        </is>
      </c>
      <c r="D5793" s="10" t="inlineStr">
        <is>
          <t>下り</t>
        </is>
      </c>
      <c r="E5793" t="inlineStr">
        <is>
          <t>2303</t>
        </is>
      </c>
      <c r="F5793" t="inlineStr">
        <is>
          <t>0182</t>
        </is>
      </c>
      <c r="G5793" s="10" t="inlineStr">
        <is>
          <t>山ノ内</t>
        </is>
      </c>
      <c r="H5793" s="10" t="inlineStr">
        <is>
          <t>発</t>
        </is>
      </c>
      <c r="J5793" s="10" t="inlineStr">
        <is>
          <t>営業</t>
        </is>
      </c>
      <c r="L5793" t="inlineStr">
        <is>
          <t>23:27:25</t>
        </is>
      </c>
      <c r="M5793" t="inlineStr">
        <is>
          <t>23:27:50</t>
        </is>
      </c>
    </row>
    <row r="5794" ht="15" customHeight="1" s="37">
      <c r="A5794" t="n">
        <v>14</v>
      </c>
      <c r="B5794" s="10" t="inlineStr">
        <is>
          <t>平日</t>
        </is>
      </c>
      <c r="C5794" s="10" t="inlineStr">
        <is>
          <t>本線</t>
        </is>
      </c>
      <c r="D5794" s="10" t="inlineStr">
        <is>
          <t>下り</t>
        </is>
      </c>
      <c r="E5794" t="inlineStr">
        <is>
          <t>2303</t>
        </is>
      </c>
      <c r="F5794" t="inlineStr">
        <is>
          <t>0182</t>
        </is>
      </c>
      <c r="G5794" s="10" t="inlineStr">
        <is>
          <t>天神川</t>
        </is>
      </c>
      <c r="H5794" s="10" t="inlineStr">
        <is>
          <t>発</t>
        </is>
      </c>
      <c r="J5794" s="10" t="inlineStr">
        <is>
          <t>営業</t>
        </is>
      </c>
      <c r="L5794" t="inlineStr">
        <is>
          <t>23:29:50</t>
        </is>
      </c>
      <c r="M5794" t="inlineStr">
        <is>
          <t>23:30:30</t>
        </is>
      </c>
    </row>
    <row r="5795" ht="15" customHeight="1" s="37">
      <c r="A5795" t="n">
        <v>14</v>
      </c>
      <c r="B5795" s="10" t="inlineStr">
        <is>
          <t>平日</t>
        </is>
      </c>
      <c r="C5795" s="10" t="inlineStr">
        <is>
          <t>本線</t>
        </is>
      </c>
      <c r="D5795" s="10" t="inlineStr">
        <is>
          <t>下り</t>
        </is>
      </c>
      <c r="E5795" t="inlineStr">
        <is>
          <t>2303</t>
        </is>
      </c>
      <c r="F5795" t="inlineStr">
        <is>
          <t>0182</t>
        </is>
      </c>
      <c r="G5795" s="10" t="inlineStr">
        <is>
          <t>蚕ノ社</t>
        </is>
      </c>
      <c r="H5795" s="10" t="inlineStr">
        <is>
          <t>発</t>
        </is>
      </c>
      <c r="J5795" s="10" t="inlineStr">
        <is>
          <t>営業</t>
        </is>
      </c>
      <c r="L5795" t="inlineStr">
        <is>
          <t>23:31:20</t>
        </is>
      </c>
      <c r="M5795" t="inlineStr">
        <is>
          <t>23:31:40</t>
        </is>
      </c>
    </row>
    <row r="5796" ht="15" customHeight="1" s="37">
      <c r="A5796" t="n">
        <v>14</v>
      </c>
      <c r="B5796" s="10" t="inlineStr">
        <is>
          <t>平日</t>
        </is>
      </c>
      <c r="C5796" s="10" t="inlineStr">
        <is>
          <t>本線</t>
        </is>
      </c>
      <c r="D5796" s="10" t="inlineStr">
        <is>
          <t>下り</t>
        </is>
      </c>
      <c r="E5796" t="inlineStr">
        <is>
          <t>2303</t>
        </is>
      </c>
      <c r="F5796" t="inlineStr">
        <is>
          <t>0182</t>
        </is>
      </c>
      <c r="G5796" s="10" t="inlineStr">
        <is>
          <t>太秦広隆寺</t>
        </is>
      </c>
      <c r="H5796" s="10" t="inlineStr">
        <is>
          <t>発</t>
        </is>
      </c>
      <c r="J5796" s="10" t="inlineStr">
        <is>
          <t>営業</t>
        </is>
      </c>
      <c r="L5796" t="inlineStr">
        <is>
          <t>23:33:00</t>
        </is>
      </c>
      <c r="M5796" t="inlineStr">
        <is>
          <t>23:33:20</t>
        </is>
      </c>
    </row>
    <row r="5797" ht="15" customHeight="1" s="37">
      <c r="A5797" t="n">
        <v>14</v>
      </c>
      <c r="B5797" s="10" t="inlineStr">
        <is>
          <t>平日</t>
        </is>
      </c>
      <c r="C5797" s="10" t="inlineStr">
        <is>
          <t>本線</t>
        </is>
      </c>
      <c r="D5797" s="10" t="inlineStr">
        <is>
          <t>下り</t>
        </is>
      </c>
      <c r="E5797" t="inlineStr">
        <is>
          <t>2303</t>
        </is>
      </c>
      <c r="F5797" t="inlineStr">
        <is>
          <t>0182</t>
        </is>
      </c>
      <c r="G5797" s="10" t="inlineStr">
        <is>
          <t>帷子ノ辻</t>
        </is>
      </c>
      <c r="H5797" s="10" t="inlineStr">
        <is>
          <t>発</t>
        </is>
      </c>
      <c r="J5797" s="10" t="inlineStr">
        <is>
          <t>営業</t>
        </is>
      </c>
      <c r="L5797" t="inlineStr">
        <is>
          <t>23:35:20</t>
        </is>
      </c>
      <c r="M5797" t="inlineStr">
        <is>
          <t>23:36:40</t>
        </is>
      </c>
    </row>
    <row r="5798" ht="15" customHeight="1" s="37">
      <c r="A5798" t="n">
        <v>14</v>
      </c>
      <c r="B5798" s="10" t="inlineStr">
        <is>
          <t>平日</t>
        </is>
      </c>
      <c r="C5798" s="10" t="inlineStr">
        <is>
          <t>本線</t>
        </is>
      </c>
      <c r="D5798" s="10" t="inlineStr">
        <is>
          <t>下り</t>
        </is>
      </c>
      <c r="E5798" t="inlineStr">
        <is>
          <t>2303</t>
        </is>
      </c>
      <c r="F5798" t="inlineStr">
        <is>
          <t>0182</t>
        </is>
      </c>
      <c r="G5798" s="10" t="inlineStr">
        <is>
          <t>有栖川</t>
        </is>
      </c>
      <c r="H5798" s="10" t="inlineStr">
        <is>
          <t>発</t>
        </is>
      </c>
      <c r="J5798" s="10" t="inlineStr">
        <is>
          <t>営業</t>
        </is>
      </c>
      <c r="L5798" t="inlineStr">
        <is>
          <t>23:37:50</t>
        </is>
      </c>
      <c r="M5798" t="inlineStr">
        <is>
          <t>23:38:15</t>
        </is>
      </c>
    </row>
    <row r="5799" ht="15" customHeight="1" s="37">
      <c r="A5799" t="n">
        <v>14</v>
      </c>
      <c r="B5799" s="10" t="inlineStr">
        <is>
          <t>平日</t>
        </is>
      </c>
      <c r="C5799" s="10" t="inlineStr">
        <is>
          <t>本線</t>
        </is>
      </c>
      <c r="D5799" s="10" t="inlineStr">
        <is>
          <t>下り</t>
        </is>
      </c>
      <c r="E5799" t="inlineStr">
        <is>
          <t>2303</t>
        </is>
      </c>
      <c r="F5799" t="inlineStr">
        <is>
          <t>0182</t>
        </is>
      </c>
      <c r="G5799" s="10" t="inlineStr">
        <is>
          <t>車折</t>
        </is>
      </c>
      <c r="H5799" s="10" t="inlineStr">
        <is>
          <t>発</t>
        </is>
      </c>
      <c r="J5799" s="10" t="inlineStr">
        <is>
          <t>営業</t>
        </is>
      </c>
      <c r="L5799" t="inlineStr">
        <is>
          <t>23:39:40</t>
        </is>
      </c>
      <c r="M5799" t="inlineStr">
        <is>
          <t>23:40:05</t>
        </is>
      </c>
    </row>
    <row r="5800" ht="15" customHeight="1" s="37">
      <c r="A5800" t="n">
        <v>14</v>
      </c>
      <c r="B5800" s="10" t="inlineStr">
        <is>
          <t>平日</t>
        </is>
      </c>
      <c r="C5800" s="10" t="inlineStr">
        <is>
          <t>本線</t>
        </is>
      </c>
      <c r="D5800" s="10" t="inlineStr">
        <is>
          <t>下り</t>
        </is>
      </c>
      <c r="E5800" t="inlineStr">
        <is>
          <t>2303</t>
        </is>
      </c>
      <c r="F5800" t="inlineStr">
        <is>
          <t>0182</t>
        </is>
      </c>
      <c r="G5800" s="10" t="inlineStr">
        <is>
          <t>鹿王院</t>
        </is>
      </c>
      <c r="H5800" s="10" t="inlineStr">
        <is>
          <t>発</t>
        </is>
      </c>
      <c r="J5800" s="10" t="inlineStr">
        <is>
          <t>営業</t>
        </is>
      </c>
      <c r="L5800" t="inlineStr">
        <is>
          <t>23:41:00</t>
        </is>
      </c>
      <c r="M5800" t="inlineStr">
        <is>
          <t>23:41:25</t>
        </is>
      </c>
    </row>
    <row r="5801" ht="15" customHeight="1" s="37">
      <c r="A5801" t="n">
        <v>14</v>
      </c>
      <c r="B5801" s="10" t="inlineStr">
        <is>
          <t>平日</t>
        </is>
      </c>
      <c r="C5801" s="10" t="inlineStr">
        <is>
          <t>本線</t>
        </is>
      </c>
      <c r="D5801" s="10" t="inlineStr">
        <is>
          <t>下り</t>
        </is>
      </c>
      <c r="E5801" t="inlineStr">
        <is>
          <t>2303</t>
        </is>
      </c>
      <c r="F5801" t="inlineStr">
        <is>
          <t>0182</t>
        </is>
      </c>
      <c r="G5801" s="10" t="inlineStr">
        <is>
          <t>嵯峨</t>
        </is>
      </c>
      <c r="H5801" s="10" t="inlineStr">
        <is>
          <t>発</t>
        </is>
      </c>
      <c r="J5801" s="10" t="inlineStr">
        <is>
          <t>営業</t>
        </is>
      </c>
      <c r="L5801" t="inlineStr">
        <is>
          <t>23:42:30</t>
        </is>
      </c>
      <c r="M5801" t="inlineStr">
        <is>
          <t>23:42:55</t>
        </is>
      </c>
    </row>
    <row r="5802" ht="15" customHeight="1" s="37">
      <c r="A5802" t="n">
        <v>14</v>
      </c>
      <c r="B5802" s="10" t="inlineStr">
        <is>
          <t>平日</t>
        </is>
      </c>
      <c r="C5802" s="10" t="inlineStr">
        <is>
          <t>本線</t>
        </is>
      </c>
      <c r="D5802" s="10" t="inlineStr">
        <is>
          <t>下り</t>
        </is>
      </c>
      <c r="E5802" t="inlineStr">
        <is>
          <t>2303</t>
        </is>
      </c>
      <c r="F5802" t="inlineStr">
        <is>
          <t>0182</t>
        </is>
      </c>
      <c r="G5802" s="10" t="inlineStr">
        <is>
          <t>嵐山</t>
        </is>
      </c>
      <c r="H5802" s="10" t="inlineStr">
        <is>
          <t>着</t>
        </is>
      </c>
      <c r="J5802" s="10" t="inlineStr">
        <is>
          <t>営業</t>
        </is>
      </c>
      <c r="L5802" t="inlineStr">
        <is>
          <t>23:44:00</t>
        </is>
      </c>
      <c r="N5802" t="inlineStr">
        <is>
          <t>○</t>
        </is>
      </c>
      <c r="Q5802" t="inlineStr">
        <is>
          <t>1</t>
        </is>
      </c>
    </row>
    <row r="5803" ht="15" customHeight="1" s="37">
      <c r="A5803" t="n">
        <v>14</v>
      </c>
      <c r="B5803" s="10" t="inlineStr">
        <is>
          <t>平日</t>
        </is>
      </c>
      <c r="C5803" s="10" t="inlineStr">
        <is>
          <t>本線</t>
        </is>
      </c>
      <c r="D5803" s="10" t="inlineStr">
        <is>
          <t>上り</t>
        </is>
      </c>
      <c r="E5803" t="inlineStr">
        <is>
          <t>2308</t>
        </is>
      </c>
      <c r="F5803" t="inlineStr">
        <is>
          <t>0225</t>
        </is>
      </c>
      <c r="G5803" s="10" t="inlineStr">
        <is>
          <t>嵐山</t>
        </is>
      </c>
      <c r="H5803" s="10" t="inlineStr">
        <is>
          <t>発</t>
        </is>
      </c>
      <c r="I5803" t="inlineStr">
        <is>
          <t>○</t>
        </is>
      </c>
      <c r="J5803" s="10" t="inlineStr">
        <is>
          <t>営業</t>
        </is>
      </c>
      <c r="M5803" t="inlineStr">
        <is>
          <t>23:47:00</t>
        </is>
      </c>
      <c r="Q5803" t="inlineStr">
        <is>
          <t>1</t>
        </is>
      </c>
      <c r="R5803" t="inlineStr">
        <is>
          <t>○</t>
        </is>
      </c>
    </row>
    <row r="5804" ht="15" customHeight="1" s="37">
      <c r="A5804" t="n">
        <v>14</v>
      </c>
      <c r="B5804" s="10" t="inlineStr">
        <is>
          <t>平日</t>
        </is>
      </c>
      <c r="C5804" s="10" t="inlineStr">
        <is>
          <t>本線</t>
        </is>
      </c>
      <c r="D5804" s="10" t="inlineStr">
        <is>
          <t>上り</t>
        </is>
      </c>
      <c r="E5804" t="inlineStr">
        <is>
          <t>2308</t>
        </is>
      </c>
      <c r="F5804" t="inlineStr">
        <is>
          <t>0225</t>
        </is>
      </c>
      <c r="G5804" s="10" t="inlineStr">
        <is>
          <t>嵯峨</t>
        </is>
      </c>
      <c r="H5804" s="10" t="inlineStr">
        <is>
          <t>発</t>
        </is>
      </c>
      <c r="I5804" t="inlineStr">
        <is>
          <t>○</t>
        </is>
      </c>
      <c r="J5804" s="10" t="inlineStr">
        <is>
          <t>営業</t>
        </is>
      </c>
      <c r="L5804" t="inlineStr">
        <is>
          <t>23:47:55</t>
        </is>
      </c>
      <c r="M5804" t="inlineStr">
        <is>
          <t>23:48:10</t>
        </is>
      </c>
      <c r="R5804" t="inlineStr">
        <is>
          <t>○</t>
        </is>
      </c>
    </row>
    <row r="5805" ht="15" customHeight="1" s="37">
      <c r="A5805" t="n">
        <v>14</v>
      </c>
      <c r="B5805" s="10" t="inlineStr">
        <is>
          <t>平日</t>
        </is>
      </c>
      <c r="C5805" s="10" t="inlineStr">
        <is>
          <t>本線</t>
        </is>
      </c>
      <c r="D5805" s="10" t="inlineStr">
        <is>
          <t>上り</t>
        </is>
      </c>
      <c r="E5805" t="inlineStr">
        <is>
          <t>2308</t>
        </is>
      </c>
      <c r="F5805" t="inlineStr">
        <is>
          <t>0225</t>
        </is>
      </c>
      <c r="G5805" s="10" t="inlineStr">
        <is>
          <t>鹿王院</t>
        </is>
      </c>
      <c r="H5805" s="10" t="inlineStr">
        <is>
          <t>発</t>
        </is>
      </c>
      <c r="I5805" t="inlineStr">
        <is>
          <t>○</t>
        </is>
      </c>
      <c r="J5805" s="10" t="inlineStr">
        <is>
          <t>営業</t>
        </is>
      </c>
      <c r="L5805" t="inlineStr">
        <is>
          <t>23:49:15</t>
        </is>
      </c>
      <c r="M5805" t="inlineStr">
        <is>
          <t>23:49:30</t>
        </is>
      </c>
      <c r="R5805" t="inlineStr">
        <is>
          <t>○</t>
        </is>
      </c>
    </row>
    <row r="5806" ht="15" customHeight="1" s="37">
      <c r="A5806" t="n">
        <v>14</v>
      </c>
      <c r="B5806" s="10" t="inlineStr">
        <is>
          <t>平日</t>
        </is>
      </c>
      <c r="C5806" s="10" t="inlineStr">
        <is>
          <t>本線</t>
        </is>
      </c>
      <c r="D5806" s="10" t="inlineStr">
        <is>
          <t>上り</t>
        </is>
      </c>
      <c r="E5806" t="inlineStr">
        <is>
          <t>2308</t>
        </is>
      </c>
      <c r="F5806" t="inlineStr">
        <is>
          <t>0225</t>
        </is>
      </c>
      <c r="G5806" s="10" t="inlineStr">
        <is>
          <t>車折</t>
        </is>
      </c>
      <c r="H5806" s="10" t="inlineStr">
        <is>
          <t>発</t>
        </is>
      </c>
      <c r="I5806" t="inlineStr">
        <is>
          <t>○</t>
        </is>
      </c>
      <c r="J5806" s="10" t="inlineStr">
        <is>
          <t>営業</t>
        </is>
      </c>
      <c r="L5806" t="inlineStr">
        <is>
          <t>23:50:25</t>
        </is>
      </c>
      <c r="M5806" t="inlineStr">
        <is>
          <t>23:50:40</t>
        </is>
      </c>
      <c r="R5806" t="inlineStr">
        <is>
          <t>○</t>
        </is>
      </c>
    </row>
    <row r="5807" ht="15" customHeight="1" s="37">
      <c r="A5807" t="n">
        <v>14</v>
      </c>
      <c r="B5807" s="10" t="inlineStr">
        <is>
          <t>平日</t>
        </is>
      </c>
      <c r="C5807" s="10" t="inlineStr">
        <is>
          <t>本線</t>
        </is>
      </c>
      <c r="D5807" s="10" t="inlineStr">
        <is>
          <t>上り</t>
        </is>
      </c>
      <c r="E5807" t="inlineStr">
        <is>
          <t>2308</t>
        </is>
      </c>
      <c r="F5807" t="inlineStr">
        <is>
          <t>0225</t>
        </is>
      </c>
      <c r="G5807" s="10" t="inlineStr">
        <is>
          <t>有栖川</t>
        </is>
      </c>
      <c r="H5807" s="10" t="inlineStr">
        <is>
          <t>発</t>
        </is>
      </c>
      <c r="I5807" t="inlineStr">
        <is>
          <t>○</t>
        </is>
      </c>
      <c r="J5807" s="10" t="inlineStr">
        <is>
          <t>営業</t>
        </is>
      </c>
      <c r="L5807" t="inlineStr">
        <is>
          <t>23:52:05</t>
        </is>
      </c>
      <c r="M5807" t="inlineStr">
        <is>
          <t>23:52:20</t>
        </is>
      </c>
      <c r="R5807" t="inlineStr">
        <is>
          <t>○</t>
        </is>
      </c>
    </row>
    <row r="5808" ht="15" customHeight="1" s="37">
      <c r="A5808" t="n">
        <v>14</v>
      </c>
      <c r="B5808" s="10" t="inlineStr">
        <is>
          <t>平日</t>
        </is>
      </c>
      <c r="C5808" s="10" t="inlineStr">
        <is>
          <t>本線</t>
        </is>
      </c>
      <c r="D5808" s="10" t="inlineStr">
        <is>
          <t>上り</t>
        </is>
      </c>
      <c r="E5808" t="inlineStr">
        <is>
          <t>2308</t>
        </is>
      </c>
      <c r="F5808" t="inlineStr">
        <is>
          <t>0225</t>
        </is>
      </c>
      <c r="G5808" s="10" t="inlineStr">
        <is>
          <t>帷子ノ辻</t>
        </is>
      </c>
      <c r="H5808" s="10" t="inlineStr">
        <is>
          <t>発</t>
        </is>
      </c>
      <c r="I5808" t="inlineStr">
        <is>
          <t>○</t>
        </is>
      </c>
      <c r="J5808" s="10" t="inlineStr">
        <is>
          <t>営業</t>
        </is>
      </c>
      <c r="L5808" t="inlineStr">
        <is>
          <t>23:53:35</t>
        </is>
      </c>
      <c r="M5808" t="inlineStr">
        <is>
          <t>23:54:05</t>
        </is>
      </c>
      <c r="R5808" t="inlineStr">
        <is>
          <t>○</t>
        </is>
      </c>
    </row>
    <row r="5809" ht="15" customHeight="1" s="37">
      <c r="A5809" t="n">
        <v>14</v>
      </c>
      <c r="B5809" s="10" t="inlineStr">
        <is>
          <t>平日</t>
        </is>
      </c>
      <c r="C5809" s="10" t="inlineStr">
        <is>
          <t>本線</t>
        </is>
      </c>
      <c r="D5809" s="10" t="inlineStr">
        <is>
          <t>上り</t>
        </is>
      </c>
      <c r="E5809" t="inlineStr">
        <is>
          <t>2308</t>
        </is>
      </c>
      <c r="F5809" t="inlineStr">
        <is>
          <t>0225</t>
        </is>
      </c>
      <c r="G5809" s="10" t="inlineStr">
        <is>
          <t>太秦広隆寺</t>
        </is>
      </c>
      <c r="H5809" s="10" t="inlineStr">
        <is>
          <t>発</t>
        </is>
      </c>
      <c r="I5809" t="inlineStr">
        <is>
          <t>○</t>
        </is>
      </c>
      <c r="J5809" s="10" t="inlineStr">
        <is>
          <t>営業</t>
        </is>
      </c>
      <c r="L5809" t="inlineStr">
        <is>
          <t>23:56:15</t>
        </is>
      </c>
      <c r="M5809" t="inlineStr">
        <is>
          <t>23:56:35</t>
        </is>
      </c>
      <c r="R5809" t="inlineStr">
        <is>
          <t>○</t>
        </is>
      </c>
    </row>
    <row r="5810" ht="15" customHeight="1" s="37">
      <c r="A5810" t="n">
        <v>14</v>
      </c>
      <c r="B5810" s="10" t="inlineStr">
        <is>
          <t>平日</t>
        </is>
      </c>
      <c r="C5810" s="10" t="inlineStr">
        <is>
          <t>本線</t>
        </is>
      </c>
      <c r="D5810" s="10" t="inlineStr">
        <is>
          <t>上り</t>
        </is>
      </c>
      <c r="E5810" t="inlineStr">
        <is>
          <t>2308</t>
        </is>
      </c>
      <c r="F5810" t="inlineStr">
        <is>
          <t>0225</t>
        </is>
      </c>
      <c r="G5810" s="10" t="inlineStr">
        <is>
          <t>蚕ノ社</t>
        </is>
      </c>
      <c r="H5810" s="10" t="inlineStr">
        <is>
          <t>発</t>
        </is>
      </c>
      <c r="I5810" t="inlineStr">
        <is>
          <t>○</t>
        </is>
      </c>
      <c r="J5810" s="10" t="inlineStr">
        <is>
          <t>営業</t>
        </is>
      </c>
      <c r="L5810" t="inlineStr">
        <is>
          <t>23:57:50</t>
        </is>
      </c>
      <c r="M5810" t="inlineStr">
        <is>
          <t>23:58:10</t>
        </is>
      </c>
      <c r="R5810" t="inlineStr">
        <is>
          <t>○</t>
        </is>
      </c>
    </row>
    <row r="5811" ht="15" customHeight="1" s="37">
      <c r="A5811" t="n">
        <v>14</v>
      </c>
      <c r="B5811" s="10" t="inlineStr">
        <is>
          <t>平日</t>
        </is>
      </c>
      <c r="C5811" s="10" t="inlineStr">
        <is>
          <t>本線</t>
        </is>
      </c>
      <c r="D5811" s="10" t="inlineStr">
        <is>
          <t>上り</t>
        </is>
      </c>
      <c r="E5811" t="inlineStr">
        <is>
          <t>2308</t>
        </is>
      </c>
      <c r="F5811" t="inlineStr">
        <is>
          <t>0225</t>
        </is>
      </c>
      <c r="G5811" s="10" t="inlineStr">
        <is>
          <t>天神川</t>
        </is>
      </c>
      <c r="H5811" s="10" t="inlineStr">
        <is>
          <t>発</t>
        </is>
      </c>
      <c r="I5811" t="inlineStr">
        <is>
          <t>○</t>
        </is>
      </c>
      <c r="J5811" s="10" t="inlineStr">
        <is>
          <t>営業</t>
        </is>
      </c>
      <c r="L5811" t="inlineStr">
        <is>
          <t>23:58:55</t>
        </is>
      </c>
      <c r="M5811" t="inlineStr">
        <is>
          <t>23:59:20</t>
        </is>
      </c>
      <c r="R5811" t="inlineStr">
        <is>
          <t>○</t>
        </is>
      </c>
    </row>
    <row r="5812" ht="15" customHeight="1" s="37">
      <c r="A5812" t="n">
        <v>14</v>
      </c>
      <c r="B5812" s="10" t="inlineStr">
        <is>
          <t>平日</t>
        </is>
      </c>
      <c r="C5812" s="10" t="inlineStr">
        <is>
          <t>本線</t>
        </is>
      </c>
      <c r="D5812" s="10" t="inlineStr">
        <is>
          <t>上り</t>
        </is>
      </c>
      <c r="E5812" t="inlineStr">
        <is>
          <t>2308</t>
        </is>
      </c>
      <c r="F5812" t="inlineStr">
        <is>
          <t>0225</t>
        </is>
      </c>
      <c r="G5812" s="10" t="inlineStr">
        <is>
          <t>山ノ内</t>
        </is>
      </c>
      <c r="H5812" s="10" t="inlineStr">
        <is>
          <t>発</t>
        </is>
      </c>
      <c r="I5812" t="inlineStr">
        <is>
          <t>○</t>
        </is>
      </c>
      <c r="J5812" s="10" t="inlineStr">
        <is>
          <t>営業</t>
        </is>
      </c>
      <c r="L5812" t="inlineStr">
        <is>
          <t>24:01:10</t>
        </is>
      </c>
      <c r="M5812" t="inlineStr">
        <is>
          <t>24:01:35</t>
        </is>
      </c>
      <c r="R5812" t="inlineStr">
        <is>
          <t>○</t>
        </is>
      </c>
    </row>
    <row r="5813" ht="15" customHeight="1" s="37">
      <c r="A5813" t="n">
        <v>14</v>
      </c>
      <c r="B5813" s="10" t="inlineStr">
        <is>
          <t>平日</t>
        </is>
      </c>
      <c r="C5813" s="10" t="inlineStr">
        <is>
          <t>本線</t>
        </is>
      </c>
      <c r="D5813" s="10" t="inlineStr">
        <is>
          <t>上り</t>
        </is>
      </c>
      <c r="E5813" t="inlineStr">
        <is>
          <t>2308</t>
        </is>
      </c>
      <c r="F5813" t="inlineStr">
        <is>
          <t>0225</t>
        </is>
      </c>
      <c r="G5813" s="10" t="inlineStr">
        <is>
          <t>西大路三条</t>
        </is>
      </c>
      <c r="H5813" s="10" t="inlineStr">
        <is>
          <t>発</t>
        </is>
      </c>
      <c r="I5813" t="inlineStr">
        <is>
          <t>○</t>
        </is>
      </c>
      <c r="J5813" s="10" t="inlineStr">
        <is>
          <t>営業</t>
        </is>
      </c>
      <c r="L5813" t="inlineStr">
        <is>
          <t>24:03:25</t>
        </is>
      </c>
      <c r="M5813" t="inlineStr">
        <is>
          <t>24:03:40</t>
        </is>
      </c>
      <c r="R5813" t="inlineStr">
        <is>
          <t>○</t>
        </is>
      </c>
    </row>
    <row r="5814" ht="15" customHeight="1" s="37">
      <c r="A5814" t="n">
        <v>14</v>
      </c>
      <c r="B5814" s="10" t="inlineStr">
        <is>
          <t>平日</t>
        </is>
      </c>
      <c r="C5814" s="10" t="inlineStr">
        <is>
          <t>本線</t>
        </is>
      </c>
      <c r="D5814" s="10" t="inlineStr">
        <is>
          <t>上り</t>
        </is>
      </c>
      <c r="E5814" t="inlineStr">
        <is>
          <t>2308</t>
        </is>
      </c>
      <c r="F5814" t="inlineStr">
        <is>
          <t>0225</t>
        </is>
      </c>
      <c r="G5814" s="10" t="inlineStr">
        <is>
          <t>西院</t>
        </is>
      </c>
      <c r="H5814" s="10" t="inlineStr">
        <is>
          <t>着</t>
        </is>
      </c>
      <c r="I5814" t="inlineStr">
        <is>
          <t>○</t>
        </is>
      </c>
      <c r="J5814" s="10" t="inlineStr">
        <is>
          <t>営業</t>
        </is>
      </c>
      <c r="L5814" t="inlineStr">
        <is>
          <t>24:05:35</t>
        </is>
      </c>
      <c r="R5814" t="inlineStr">
        <is>
          <t>○</t>
        </is>
      </c>
      <c r="T5814" t="inlineStr">
        <is>
          <t>○</t>
        </is>
      </c>
    </row>
    <row r="5815" ht="15" customHeight="1" s="37">
      <c r="A5815" t="n">
        <v>14</v>
      </c>
      <c r="B5815" s="10" t="inlineStr">
        <is>
          <t>平日</t>
        </is>
      </c>
      <c r="C5815" s="10" t="inlineStr">
        <is>
          <t>本線</t>
        </is>
      </c>
      <c r="D5815" s="10" t="inlineStr">
        <is>
          <t>下り</t>
        </is>
      </c>
      <c r="E5815" s="10" t="inlineStr">
        <is>
          <t>連1509</t>
        </is>
      </c>
      <c r="F5815" t="inlineStr">
        <is>
          <t>0112</t>
        </is>
      </c>
      <c r="G5815" s="10" t="inlineStr">
        <is>
          <t>西院</t>
        </is>
      </c>
      <c r="H5815" s="10" t="inlineStr">
        <is>
          <t>発</t>
        </is>
      </c>
      <c r="J5815" s="10" t="inlineStr">
        <is>
          <t>営業</t>
        </is>
      </c>
      <c r="L5815" t="inlineStr">
        <is>
          <t>15:45:50</t>
        </is>
      </c>
      <c r="M5815" t="inlineStr">
        <is>
          <t>15:46:20</t>
        </is>
      </c>
      <c r="P5815" t="inlineStr">
        <is>
          <t>E系統(日中)</t>
        </is>
      </c>
    </row>
    <row r="5816" ht="15" customHeight="1" s="37">
      <c r="A5816" t="n">
        <v>14</v>
      </c>
      <c r="B5816" s="10" t="inlineStr">
        <is>
          <t>平日</t>
        </is>
      </c>
      <c r="C5816" s="10" t="inlineStr">
        <is>
          <t>本線</t>
        </is>
      </c>
      <c r="D5816" s="10" t="inlineStr">
        <is>
          <t>下り</t>
        </is>
      </c>
      <c r="E5816" s="10" t="inlineStr">
        <is>
          <t>連1509</t>
        </is>
      </c>
      <c r="F5816" t="inlineStr">
        <is>
          <t>0112</t>
        </is>
      </c>
      <c r="G5816" s="10" t="inlineStr">
        <is>
          <t>西大路三条</t>
        </is>
      </c>
      <c r="H5816" s="10" t="inlineStr">
        <is>
          <t>発</t>
        </is>
      </c>
      <c r="J5816" s="10" t="inlineStr">
        <is>
          <t>営業</t>
        </is>
      </c>
      <c r="L5816" t="inlineStr">
        <is>
          <t>15:48:10</t>
        </is>
      </c>
      <c r="M5816" t="inlineStr">
        <is>
          <t>15:48:30</t>
        </is>
      </c>
      <c r="P5816" t="inlineStr">
        <is>
          <t>E系統(日中)</t>
        </is>
      </c>
    </row>
    <row r="5817" ht="15" customHeight="1" s="37">
      <c r="A5817" t="n">
        <v>14</v>
      </c>
      <c r="B5817" s="10" t="inlineStr">
        <is>
          <t>平日</t>
        </is>
      </c>
      <c r="C5817" s="10" t="inlineStr">
        <is>
          <t>本線</t>
        </is>
      </c>
      <c r="D5817" s="10" t="inlineStr">
        <is>
          <t>下り</t>
        </is>
      </c>
      <c r="E5817" s="10" t="inlineStr">
        <is>
          <t>連1509</t>
        </is>
      </c>
      <c r="F5817" t="inlineStr">
        <is>
          <t>0112</t>
        </is>
      </c>
      <c r="G5817" s="10" t="inlineStr">
        <is>
          <t>山ノ内</t>
        </is>
      </c>
      <c r="H5817" s="10" t="inlineStr">
        <is>
          <t>発</t>
        </is>
      </c>
      <c r="J5817" s="10" t="inlineStr">
        <is>
          <t>営業</t>
        </is>
      </c>
      <c r="L5817" t="inlineStr">
        <is>
          <t>15:50:25</t>
        </is>
      </c>
      <c r="M5817" t="inlineStr">
        <is>
          <t>15:50:50</t>
        </is>
      </c>
      <c r="P5817" t="inlineStr">
        <is>
          <t>E系統(日中)</t>
        </is>
      </c>
    </row>
    <row r="5818" ht="15" customHeight="1" s="37">
      <c r="A5818" t="n">
        <v>14</v>
      </c>
      <c r="B5818" s="10" t="inlineStr">
        <is>
          <t>平日</t>
        </is>
      </c>
      <c r="C5818" s="10" t="inlineStr">
        <is>
          <t>本線</t>
        </is>
      </c>
      <c r="D5818" s="10" t="inlineStr">
        <is>
          <t>下り</t>
        </is>
      </c>
      <c r="E5818" s="10" t="inlineStr">
        <is>
          <t>連1509</t>
        </is>
      </c>
      <c r="F5818" t="inlineStr">
        <is>
          <t>0112</t>
        </is>
      </c>
      <c r="G5818" s="10" t="inlineStr">
        <is>
          <t>天神川</t>
        </is>
      </c>
      <c r="H5818" s="10" t="inlineStr">
        <is>
          <t>発</t>
        </is>
      </c>
      <c r="J5818" s="10" t="inlineStr">
        <is>
          <t>営業</t>
        </is>
      </c>
      <c r="L5818" t="inlineStr">
        <is>
          <t>15:52:50</t>
        </is>
      </c>
      <c r="M5818" t="inlineStr">
        <is>
          <t>15:53:30</t>
        </is>
      </c>
      <c r="P5818" t="inlineStr">
        <is>
          <t>E系統(日中)</t>
        </is>
      </c>
    </row>
    <row r="5819" ht="15" customHeight="1" s="37">
      <c r="A5819" t="n">
        <v>14</v>
      </c>
      <c r="B5819" s="10" t="inlineStr">
        <is>
          <t>平日</t>
        </is>
      </c>
      <c r="C5819" s="10" t="inlineStr">
        <is>
          <t>本線</t>
        </is>
      </c>
      <c r="D5819" s="10" t="inlineStr">
        <is>
          <t>下り</t>
        </is>
      </c>
      <c r="E5819" s="10" t="inlineStr">
        <is>
          <t>連1509</t>
        </is>
      </c>
      <c r="F5819" t="inlineStr">
        <is>
          <t>0112</t>
        </is>
      </c>
      <c r="G5819" s="10" t="inlineStr">
        <is>
          <t>蚕ノ社</t>
        </is>
      </c>
      <c r="H5819" s="10" t="inlineStr">
        <is>
          <t>発</t>
        </is>
      </c>
      <c r="J5819" s="10" t="inlineStr">
        <is>
          <t>営業</t>
        </is>
      </c>
      <c r="L5819" t="inlineStr">
        <is>
          <t>15:54:20</t>
        </is>
      </c>
      <c r="M5819" t="inlineStr">
        <is>
          <t>15:54:40</t>
        </is>
      </c>
      <c r="P5819" t="inlineStr">
        <is>
          <t>E系統(日中)</t>
        </is>
      </c>
    </row>
    <row r="5820" ht="15" customHeight="1" s="37">
      <c r="A5820" t="n">
        <v>14</v>
      </c>
      <c r="B5820" s="10" t="inlineStr">
        <is>
          <t>平日</t>
        </is>
      </c>
      <c r="C5820" s="10" t="inlineStr">
        <is>
          <t>本線</t>
        </is>
      </c>
      <c r="D5820" s="10" t="inlineStr">
        <is>
          <t>下り</t>
        </is>
      </c>
      <c r="E5820" s="10" t="inlineStr">
        <is>
          <t>連1509</t>
        </is>
      </c>
      <c r="F5820" t="inlineStr">
        <is>
          <t>0112</t>
        </is>
      </c>
      <c r="G5820" s="10" t="inlineStr">
        <is>
          <t>太秦広隆寺</t>
        </is>
      </c>
      <c r="H5820" s="10" t="inlineStr">
        <is>
          <t>発</t>
        </is>
      </c>
      <c r="J5820" s="10" t="inlineStr">
        <is>
          <t>営業</t>
        </is>
      </c>
      <c r="L5820" t="inlineStr">
        <is>
          <t>15:56:00</t>
        </is>
      </c>
      <c r="M5820" t="inlineStr">
        <is>
          <t>15:56:20</t>
        </is>
      </c>
      <c r="P5820" t="inlineStr">
        <is>
          <t>E系統(日中)</t>
        </is>
      </c>
    </row>
    <row r="5821" ht="15" customHeight="1" s="37">
      <c r="A5821" t="n">
        <v>14</v>
      </c>
      <c r="B5821" s="10" t="inlineStr">
        <is>
          <t>平日</t>
        </is>
      </c>
      <c r="C5821" s="10" t="inlineStr">
        <is>
          <t>本線</t>
        </is>
      </c>
      <c r="D5821" s="10" t="inlineStr">
        <is>
          <t>下り</t>
        </is>
      </c>
      <c r="E5821" s="10" t="inlineStr">
        <is>
          <t>連1509</t>
        </is>
      </c>
      <c r="F5821" t="inlineStr">
        <is>
          <t>0112</t>
        </is>
      </c>
      <c r="G5821" s="10" t="inlineStr">
        <is>
          <t>帷子ノ辻</t>
        </is>
      </c>
      <c r="H5821" s="10" t="inlineStr">
        <is>
          <t>発</t>
        </is>
      </c>
      <c r="J5821" s="10" t="inlineStr">
        <is>
          <t>営業</t>
        </is>
      </c>
      <c r="L5821" t="inlineStr">
        <is>
          <t>15:58:20</t>
        </is>
      </c>
      <c r="M5821" t="inlineStr">
        <is>
          <t>15:59:40</t>
        </is>
      </c>
      <c r="P5821" t="inlineStr">
        <is>
          <t>E系統(日中)</t>
        </is>
      </c>
    </row>
    <row r="5822" ht="15" customHeight="1" s="37">
      <c r="A5822" t="n">
        <v>14</v>
      </c>
      <c r="B5822" s="10" t="inlineStr">
        <is>
          <t>平日</t>
        </is>
      </c>
      <c r="C5822" s="10" t="inlineStr">
        <is>
          <t>本線</t>
        </is>
      </c>
      <c r="D5822" s="10" t="inlineStr">
        <is>
          <t>下り</t>
        </is>
      </c>
      <c r="E5822" s="10" t="inlineStr">
        <is>
          <t>連1509</t>
        </is>
      </c>
      <c r="F5822" t="inlineStr">
        <is>
          <t>0112</t>
        </is>
      </c>
      <c r="G5822" s="10" t="inlineStr">
        <is>
          <t>有栖川</t>
        </is>
      </c>
      <c r="H5822" s="10" t="inlineStr">
        <is>
          <t>発</t>
        </is>
      </c>
      <c r="J5822" s="10" t="inlineStr">
        <is>
          <t>営業</t>
        </is>
      </c>
      <c r="L5822" t="inlineStr">
        <is>
          <t>16:00:50</t>
        </is>
      </c>
      <c r="M5822" t="inlineStr">
        <is>
          <t>16:01:15</t>
        </is>
      </c>
      <c r="P5822" t="inlineStr">
        <is>
          <t>E系統(日中)</t>
        </is>
      </c>
    </row>
    <row r="5823" ht="15" customHeight="1" s="37">
      <c r="A5823" t="n">
        <v>14</v>
      </c>
      <c r="B5823" s="10" t="inlineStr">
        <is>
          <t>平日</t>
        </is>
      </c>
      <c r="C5823" s="10" t="inlineStr">
        <is>
          <t>本線</t>
        </is>
      </c>
      <c r="D5823" s="10" t="inlineStr">
        <is>
          <t>下り</t>
        </is>
      </c>
      <c r="E5823" s="10" t="inlineStr">
        <is>
          <t>連1509</t>
        </is>
      </c>
      <c r="F5823" t="inlineStr">
        <is>
          <t>0112</t>
        </is>
      </c>
      <c r="G5823" s="10" t="inlineStr">
        <is>
          <t>車折</t>
        </is>
      </c>
      <c r="H5823" s="10" t="inlineStr">
        <is>
          <t>発</t>
        </is>
      </c>
      <c r="J5823" s="10" t="inlineStr">
        <is>
          <t>営業</t>
        </is>
      </c>
      <c r="L5823" t="inlineStr">
        <is>
          <t>16:02:40</t>
        </is>
      </c>
      <c r="M5823" t="inlineStr">
        <is>
          <t>16:03:05</t>
        </is>
      </c>
      <c r="P5823" t="inlineStr">
        <is>
          <t>E系統(日中)</t>
        </is>
      </c>
    </row>
    <row r="5824" ht="15" customHeight="1" s="37">
      <c r="A5824" t="n">
        <v>14</v>
      </c>
      <c r="B5824" s="10" t="inlineStr">
        <is>
          <t>平日</t>
        </is>
      </c>
      <c r="C5824" s="10" t="inlineStr">
        <is>
          <t>本線</t>
        </is>
      </c>
      <c r="D5824" s="10" t="inlineStr">
        <is>
          <t>下り</t>
        </is>
      </c>
      <c r="E5824" s="10" t="inlineStr">
        <is>
          <t>連1509</t>
        </is>
      </c>
      <c r="F5824" t="inlineStr">
        <is>
          <t>0112</t>
        </is>
      </c>
      <c r="G5824" s="10" t="inlineStr">
        <is>
          <t>鹿王院</t>
        </is>
      </c>
      <c r="H5824" s="10" t="inlineStr">
        <is>
          <t>発</t>
        </is>
      </c>
      <c r="J5824" s="10" t="inlineStr">
        <is>
          <t>営業</t>
        </is>
      </c>
      <c r="L5824" t="inlineStr">
        <is>
          <t>16:04:00</t>
        </is>
      </c>
      <c r="M5824" t="inlineStr">
        <is>
          <t>16:04:25</t>
        </is>
      </c>
      <c r="P5824" t="inlineStr">
        <is>
          <t>E系統(日中)</t>
        </is>
      </c>
    </row>
    <row r="5825" ht="15" customHeight="1" s="37">
      <c r="A5825" t="n">
        <v>14</v>
      </c>
      <c r="B5825" s="10" t="inlineStr">
        <is>
          <t>平日</t>
        </is>
      </c>
      <c r="C5825" s="10" t="inlineStr">
        <is>
          <t>本線</t>
        </is>
      </c>
      <c r="D5825" s="10" t="inlineStr">
        <is>
          <t>下り</t>
        </is>
      </c>
      <c r="E5825" s="10" t="inlineStr">
        <is>
          <t>連1509</t>
        </is>
      </c>
      <c r="F5825" t="inlineStr">
        <is>
          <t>0112</t>
        </is>
      </c>
      <c r="G5825" s="10" t="inlineStr">
        <is>
          <t>嵯峨</t>
        </is>
      </c>
      <c r="H5825" s="10" t="inlineStr">
        <is>
          <t>発</t>
        </is>
      </c>
      <c r="J5825" s="10" t="inlineStr">
        <is>
          <t>営業</t>
        </is>
      </c>
      <c r="L5825" t="inlineStr">
        <is>
          <t>16:05:30</t>
        </is>
      </c>
      <c r="M5825" t="inlineStr">
        <is>
          <t>16:05:55</t>
        </is>
      </c>
      <c r="P5825" t="inlineStr">
        <is>
          <t>E系統(日中)</t>
        </is>
      </c>
    </row>
    <row r="5826" ht="15" customHeight="1" s="37">
      <c r="A5826" t="n">
        <v>14</v>
      </c>
      <c r="B5826" s="10" t="inlineStr">
        <is>
          <t>平日</t>
        </is>
      </c>
      <c r="C5826" s="10" t="inlineStr">
        <is>
          <t>本線</t>
        </is>
      </c>
      <c r="D5826" s="10" t="inlineStr">
        <is>
          <t>下り</t>
        </is>
      </c>
      <c r="E5826" s="10" t="inlineStr">
        <is>
          <t>連1509</t>
        </is>
      </c>
      <c r="F5826" t="inlineStr">
        <is>
          <t>0112</t>
        </is>
      </c>
      <c r="G5826" s="10" t="inlineStr">
        <is>
          <t>嵐山</t>
        </is>
      </c>
      <c r="H5826" s="10" t="inlineStr">
        <is>
          <t>着</t>
        </is>
      </c>
      <c r="J5826" s="10" t="inlineStr">
        <is>
          <t>営業</t>
        </is>
      </c>
      <c r="L5826" t="inlineStr">
        <is>
          <t>16:07:00</t>
        </is>
      </c>
      <c r="P5826" t="inlineStr">
        <is>
          <t>E系統(日中)</t>
        </is>
      </c>
      <c r="Q5826" t="inlineStr">
        <is>
          <t>1</t>
        </is>
      </c>
    </row>
    <row r="5827" ht="15" customHeight="1" s="37">
      <c r="A5827" t="n">
        <v>14</v>
      </c>
      <c r="B5827" s="10" t="inlineStr">
        <is>
          <t>平日</t>
        </is>
      </c>
      <c r="C5827" s="10" t="inlineStr">
        <is>
          <t>本線</t>
        </is>
      </c>
      <c r="D5827" s="10" t="inlineStr">
        <is>
          <t>上り</t>
        </is>
      </c>
      <c r="E5827" s="10" t="inlineStr">
        <is>
          <t>連1604</t>
        </is>
      </c>
      <c r="F5827" t="inlineStr">
        <is>
          <t>2221</t>
        </is>
      </c>
      <c r="G5827" s="10" t="inlineStr">
        <is>
          <t>嵐山</t>
        </is>
      </c>
      <c r="H5827" s="10" t="inlineStr">
        <is>
          <t>発</t>
        </is>
      </c>
      <c r="J5827" s="10" t="inlineStr">
        <is>
          <t>営業</t>
        </is>
      </c>
      <c r="M5827" t="inlineStr">
        <is>
          <t>16:13:00</t>
        </is>
      </c>
      <c r="P5827" t="inlineStr">
        <is>
          <t>E系統(日中)</t>
        </is>
      </c>
      <c r="Q5827" t="inlineStr">
        <is>
          <t>1</t>
        </is>
      </c>
    </row>
    <row r="5828" ht="15" customHeight="1" s="37">
      <c r="A5828" t="n">
        <v>14</v>
      </c>
      <c r="B5828" s="10" t="inlineStr">
        <is>
          <t>平日</t>
        </is>
      </c>
      <c r="C5828" s="10" t="inlineStr">
        <is>
          <t>本線</t>
        </is>
      </c>
      <c r="D5828" s="10" t="inlineStr">
        <is>
          <t>上り</t>
        </is>
      </c>
      <c r="E5828" s="10" t="inlineStr">
        <is>
          <t>連1604</t>
        </is>
      </c>
      <c r="F5828" t="inlineStr">
        <is>
          <t>2221</t>
        </is>
      </c>
      <c r="G5828" s="10" t="inlineStr">
        <is>
          <t>嵯峨</t>
        </is>
      </c>
      <c r="H5828" s="10" t="inlineStr">
        <is>
          <t>発</t>
        </is>
      </c>
      <c r="J5828" s="10" t="inlineStr">
        <is>
          <t>営業</t>
        </is>
      </c>
      <c r="L5828" t="inlineStr">
        <is>
          <t>16:13:55</t>
        </is>
      </c>
      <c r="M5828" t="inlineStr">
        <is>
          <t>16:14:20</t>
        </is>
      </c>
      <c r="P5828" t="inlineStr">
        <is>
          <t>E系統(日中)</t>
        </is>
      </c>
    </row>
    <row r="5829" ht="15" customHeight="1" s="37">
      <c r="A5829" t="n">
        <v>14</v>
      </c>
      <c r="B5829" s="10" t="inlineStr">
        <is>
          <t>平日</t>
        </is>
      </c>
      <c r="C5829" s="10" t="inlineStr">
        <is>
          <t>本線</t>
        </is>
      </c>
      <c r="D5829" s="10" t="inlineStr">
        <is>
          <t>上り</t>
        </is>
      </c>
      <c r="E5829" s="10" t="inlineStr">
        <is>
          <t>連1604</t>
        </is>
      </c>
      <c r="F5829" t="inlineStr">
        <is>
          <t>2221</t>
        </is>
      </c>
      <c r="G5829" s="10" t="inlineStr">
        <is>
          <t>鹿王院</t>
        </is>
      </c>
      <c r="H5829" s="10" t="inlineStr">
        <is>
          <t>発</t>
        </is>
      </c>
      <c r="J5829" s="10" t="inlineStr">
        <is>
          <t>営業</t>
        </is>
      </c>
      <c r="L5829" t="inlineStr">
        <is>
          <t>16:15:25</t>
        </is>
      </c>
      <c r="M5829" t="inlineStr">
        <is>
          <t>16:15:45</t>
        </is>
      </c>
      <c r="P5829" t="inlineStr">
        <is>
          <t>E系統(日中)</t>
        </is>
      </c>
    </row>
    <row r="5830" ht="15" customHeight="1" s="37">
      <c r="A5830" t="n">
        <v>14</v>
      </c>
      <c r="B5830" s="10" t="inlineStr">
        <is>
          <t>平日</t>
        </is>
      </c>
      <c r="C5830" s="10" t="inlineStr">
        <is>
          <t>本線</t>
        </is>
      </c>
      <c r="D5830" s="10" t="inlineStr">
        <is>
          <t>上り</t>
        </is>
      </c>
      <c r="E5830" s="10" t="inlineStr">
        <is>
          <t>連1604</t>
        </is>
      </c>
      <c r="F5830" t="inlineStr">
        <is>
          <t>2221</t>
        </is>
      </c>
      <c r="G5830" s="10" t="inlineStr">
        <is>
          <t>車折</t>
        </is>
      </c>
      <c r="H5830" s="10" t="inlineStr">
        <is>
          <t>発</t>
        </is>
      </c>
      <c r="J5830" s="10" t="inlineStr">
        <is>
          <t>営業</t>
        </is>
      </c>
      <c r="L5830" t="inlineStr">
        <is>
          <t>16:16:40</t>
        </is>
      </c>
      <c r="M5830" t="inlineStr">
        <is>
          <t>16:17:10</t>
        </is>
      </c>
      <c r="P5830" t="inlineStr">
        <is>
          <t>E系統(日中)</t>
        </is>
      </c>
    </row>
    <row r="5831" ht="15" customHeight="1" s="37">
      <c r="A5831" t="n">
        <v>14</v>
      </c>
      <c r="B5831" s="10" t="inlineStr">
        <is>
          <t>平日</t>
        </is>
      </c>
      <c r="C5831" s="10" t="inlineStr">
        <is>
          <t>本線</t>
        </is>
      </c>
      <c r="D5831" s="10" t="inlineStr">
        <is>
          <t>上り</t>
        </is>
      </c>
      <c r="E5831" s="10" t="inlineStr">
        <is>
          <t>連1604</t>
        </is>
      </c>
      <c r="F5831" t="inlineStr">
        <is>
          <t>2221</t>
        </is>
      </c>
      <c r="G5831" s="10" t="inlineStr">
        <is>
          <t>有栖川</t>
        </is>
      </c>
      <c r="H5831" s="10" t="inlineStr">
        <is>
          <t>発</t>
        </is>
      </c>
      <c r="J5831" s="10" t="inlineStr">
        <is>
          <t>営業</t>
        </is>
      </c>
      <c r="L5831" t="inlineStr">
        <is>
          <t>16:18:35</t>
        </is>
      </c>
      <c r="M5831" t="inlineStr">
        <is>
          <t>16:18:55</t>
        </is>
      </c>
      <c r="P5831" t="inlineStr">
        <is>
          <t>E系統(日中)</t>
        </is>
      </c>
    </row>
    <row r="5832" ht="15" customHeight="1" s="37">
      <c r="A5832" t="n">
        <v>14</v>
      </c>
      <c r="B5832" s="10" t="inlineStr">
        <is>
          <t>平日</t>
        </is>
      </c>
      <c r="C5832" s="10" t="inlineStr">
        <is>
          <t>本線</t>
        </is>
      </c>
      <c r="D5832" s="10" t="inlineStr">
        <is>
          <t>上り</t>
        </is>
      </c>
      <c r="E5832" s="10" t="inlineStr">
        <is>
          <t>連1604</t>
        </is>
      </c>
      <c r="F5832" t="inlineStr">
        <is>
          <t>2221</t>
        </is>
      </c>
      <c r="G5832" s="10" t="inlineStr">
        <is>
          <t>帷子ノ辻</t>
        </is>
      </c>
      <c r="H5832" s="10" t="inlineStr">
        <is>
          <t>発</t>
        </is>
      </c>
      <c r="J5832" s="10" t="inlineStr">
        <is>
          <t>営業</t>
        </is>
      </c>
      <c r="L5832" t="inlineStr">
        <is>
          <t>16:20:10</t>
        </is>
      </c>
      <c r="M5832" t="inlineStr">
        <is>
          <t>16:21:15</t>
        </is>
      </c>
      <c r="P5832" t="inlineStr">
        <is>
          <t>E系統(日中)</t>
        </is>
      </c>
    </row>
    <row r="5833" ht="15" customHeight="1" s="37">
      <c r="A5833" t="n">
        <v>14</v>
      </c>
      <c r="B5833" s="10" t="inlineStr">
        <is>
          <t>平日</t>
        </is>
      </c>
      <c r="C5833" s="10" t="inlineStr">
        <is>
          <t>本線</t>
        </is>
      </c>
      <c r="D5833" s="10" t="inlineStr">
        <is>
          <t>上り</t>
        </is>
      </c>
      <c r="E5833" s="10" t="inlineStr">
        <is>
          <t>連1604</t>
        </is>
      </c>
      <c r="F5833" t="inlineStr">
        <is>
          <t>2221</t>
        </is>
      </c>
      <c r="G5833" s="10" t="inlineStr">
        <is>
          <t>太秦広隆寺</t>
        </is>
      </c>
      <c r="H5833" s="10" t="inlineStr">
        <is>
          <t>発</t>
        </is>
      </c>
      <c r="J5833" s="10" t="inlineStr">
        <is>
          <t>営業</t>
        </is>
      </c>
      <c r="L5833" t="inlineStr">
        <is>
          <t>16:23:25</t>
        </is>
      </c>
      <c r="M5833" t="inlineStr">
        <is>
          <t>16:23:45</t>
        </is>
      </c>
      <c r="P5833" t="inlineStr">
        <is>
          <t>E系統(日中)</t>
        </is>
      </c>
    </row>
    <row r="5834" ht="15" customHeight="1" s="37">
      <c r="A5834" t="n">
        <v>14</v>
      </c>
      <c r="B5834" s="10" t="inlineStr">
        <is>
          <t>平日</t>
        </is>
      </c>
      <c r="C5834" s="10" t="inlineStr">
        <is>
          <t>本線</t>
        </is>
      </c>
      <c r="D5834" s="10" t="inlineStr">
        <is>
          <t>上り</t>
        </is>
      </c>
      <c r="E5834" s="10" t="inlineStr">
        <is>
          <t>連1604</t>
        </is>
      </c>
      <c r="F5834" t="inlineStr">
        <is>
          <t>2221</t>
        </is>
      </c>
      <c r="G5834" s="10" t="inlineStr">
        <is>
          <t>蚕ノ社</t>
        </is>
      </c>
      <c r="H5834" s="10" t="inlineStr">
        <is>
          <t>発</t>
        </is>
      </c>
      <c r="J5834" s="10" t="inlineStr">
        <is>
          <t>営業</t>
        </is>
      </c>
      <c r="L5834" t="inlineStr">
        <is>
          <t>16:25:00</t>
        </is>
      </c>
      <c r="M5834" t="inlineStr">
        <is>
          <t>16:25:20</t>
        </is>
      </c>
      <c r="P5834" t="inlineStr">
        <is>
          <t>E系統(日中)</t>
        </is>
      </c>
    </row>
    <row r="5835" ht="15" customHeight="1" s="37">
      <c r="A5835" t="n">
        <v>14</v>
      </c>
      <c r="B5835" s="10" t="inlineStr">
        <is>
          <t>平日</t>
        </is>
      </c>
      <c r="C5835" s="10" t="inlineStr">
        <is>
          <t>本線</t>
        </is>
      </c>
      <c r="D5835" s="10" t="inlineStr">
        <is>
          <t>上り</t>
        </is>
      </c>
      <c r="E5835" s="10" t="inlineStr">
        <is>
          <t>連1604</t>
        </is>
      </c>
      <c r="F5835" t="inlineStr">
        <is>
          <t>2221</t>
        </is>
      </c>
      <c r="G5835" s="10" t="inlineStr">
        <is>
          <t>天神川</t>
        </is>
      </c>
      <c r="H5835" s="10" t="inlineStr">
        <is>
          <t>発</t>
        </is>
      </c>
      <c r="J5835" s="10" t="inlineStr">
        <is>
          <t>営業</t>
        </is>
      </c>
      <c r="L5835" t="inlineStr">
        <is>
          <t>16:26:05</t>
        </is>
      </c>
      <c r="M5835" t="inlineStr">
        <is>
          <t>16:26:50</t>
        </is>
      </c>
      <c r="P5835" t="inlineStr">
        <is>
          <t>E系統(日中)</t>
        </is>
      </c>
    </row>
    <row r="5836" ht="15" customHeight="1" s="37">
      <c r="A5836" t="n">
        <v>14</v>
      </c>
      <c r="B5836" s="10" t="inlineStr">
        <is>
          <t>平日</t>
        </is>
      </c>
      <c r="C5836" s="10" t="inlineStr">
        <is>
          <t>本線</t>
        </is>
      </c>
      <c r="D5836" s="10" t="inlineStr">
        <is>
          <t>上り</t>
        </is>
      </c>
      <c r="E5836" s="10" t="inlineStr">
        <is>
          <t>連1604</t>
        </is>
      </c>
      <c r="F5836" t="inlineStr">
        <is>
          <t>2221</t>
        </is>
      </c>
      <c r="G5836" s="10" t="inlineStr">
        <is>
          <t>山ノ内</t>
        </is>
      </c>
      <c r="H5836" s="10" t="inlineStr">
        <is>
          <t>発</t>
        </is>
      </c>
      <c r="J5836" s="10" t="inlineStr">
        <is>
          <t>営業</t>
        </is>
      </c>
      <c r="L5836" t="inlineStr">
        <is>
          <t>16:28:40</t>
        </is>
      </c>
      <c r="M5836" t="inlineStr">
        <is>
          <t>16:29:05</t>
        </is>
      </c>
      <c r="P5836" t="inlineStr">
        <is>
          <t>E系統(日中)</t>
        </is>
      </c>
    </row>
    <row r="5837" ht="15" customHeight="1" s="37">
      <c r="A5837" t="n">
        <v>14</v>
      </c>
      <c r="B5837" s="10" t="inlineStr">
        <is>
          <t>平日</t>
        </is>
      </c>
      <c r="C5837" s="10" t="inlineStr">
        <is>
          <t>本線</t>
        </is>
      </c>
      <c r="D5837" s="10" t="inlineStr">
        <is>
          <t>上り</t>
        </is>
      </c>
      <c r="E5837" s="10" t="inlineStr">
        <is>
          <t>連1604</t>
        </is>
      </c>
      <c r="F5837" t="inlineStr">
        <is>
          <t>2221</t>
        </is>
      </c>
      <c r="G5837" s="10" t="inlineStr">
        <is>
          <t>西大路三条</t>
        </is>
      </c>
      <c r="H5837" s="10" t="inlineStr">
        <is>
          <t>発</t>
        </is>
      </c>
      <c r="J5837" s="10" t="inlineStr">
        <is>
          <t>営業</t>
        </is>
      </c>
      <c r="L5837" t="inlineStr">
        <is>
          <t>16:30:55</t>
        </is>
      </c>
      <c r="M5837" t="inlineStr">
        <is>
          <t>16:31:15</t>
        </is>
      </c>
      <c r="P5837" t="inlineStr">
        <is>
          <t>E系統(日中)</t>
        </is>
      </c>
    </row>
    <row r="5838" ht="15" customHeight="1" s="37">
      <c r="A5838" t="n">
        <v>14</v>
      </c>
      <c r="B5838" s="10" t="inlineStr">
        <is>
          <t>平日</t>
        </is>
      </c>
      <c r="C5838" s="10" t="inlineStr">
        <is>
          <t>本線</t>
        </is>
      </c>
      <c r="D5838" s="10" t="inlineStr">
        <is>
          <t>上り</t>
        </is>
      </c>
      <c r="E5838" s="10" t="inlineStr">
        <is>
          <t>連1604</t>
        </is>
      </c>
      <c r="F5838" t="inlineStr">
        <is>
          <t>2221</t>
        </is>
      </c>
      <c r="G5838" s="10" t="inlineStr">
        <is>
          <t>西院</t>
        </is>
      </c>
      <c r="H5838" s="10" t="inlineStr">
        <is>
          <t>発</t>
        </is>
      </c>
      <c r="J5838" s="10" t="inlineStr">
        <is>
          <t>営業</t>
        </is>
      </c>
      <c r="L5838" t="inlineStr">
        <is>
          <t>16:33:10</t>
        </is>
      </c>
      <c r="M5838" t="inlineStr">
        <is>
          <t>16:34:05</t>
        </is>
      </c>
      <c r="P5838" t="inlineStr">
        <is>
          <t>E系統(日中)</t>
        </is>
      </c>
    </row>
    <row r="5839" ht="15" customHeight="1" s="37">
      <c r="A5839" t="n">
        <v>14</v>
      </c>
      <c r="B5839" s="10" t="inlineStr">
        <is>
          <t>平日</t>
        </is>
      </c>
      <c r="C5839" s="10" t="inlineStr">
        <is>
          <t>本線</t>
        </is>
      </c>
      <c r="D5839" s="10" t="inlineStr">
        <is>
          <t>上り</t>
        </is>
      </c>
      <c r="E5839" s="10" t="inlineStr">
        <is>
          <t>連1604</t>
        </is>
      </c>
      <c r="F5839" t="inlineStr">
        <is>
          <t>2221</t>
        </is>
      </c>
      <c r="G5839" s="10" t="inlineStr">
        <is>
          <t>四条大宮</t>
        </is>
      </c>
      <c r="H5839" s="10" t="inlineStr">
        <is>
          <t>着</t>
        </is>
      </c>
      <c r="J5839" s="10" t="inlineStr">
        <is>
          <t>営業</t>
        </is>
      </c>
      <c r="L5839" t="inlineStr">
        <is>
          <t>16:37:00</t>
        </is>
      </c>
      <c r="P5839" t="inlineStr">
        <is>
          <t>E系統(日中)</t>
        </is>
      </c>
      <c r="Q5839" t="inlineStr">
        <is>
          <t>1</t>
        </is>
      </c>
    </row>
    <row r="5840" ht="15" customHeight="1" s="37">
      <c r="A5840" t="n">
        <v>14</v>
      </c>
      <c r="B5840" s="10" t="inlineStr">
        <is>
          <t>平日</t>
        </is>
      </c>
      <c r="C5840" s="10" t="inlineStr">
        <is>
          <t>本線</t>
        </is>
      </c>
      <c r="D5840" s="10" t="inlineStr">
        <is>
          <t>下り</t>
        </is>
      </c>
      <c r="E5840" s="10" t="inlineStr">
        <is>
          <t>連1609</t>
        </is>
      </c>
      <c r="F5840" t="inlineStr">
        <is>
          <t>0122</t>
        </is>
      </c>
      <c r="G5840" s="10" t="inlineStr">
        <is>
          <t>四条大宮</t>
        </is>
      </c>
      <c r="H5840" s="10" t="inlineStr">
        <is>
          <t>発</t>
        </is>
      </c>
      <c r="J5840" s="10" t="inlineStr">
        <is>
          <t>営業</t>
        </is>
      </c>
      <c r="M5840" t="inlineStr">
        <is>
          <t>16:43:00</t>
        </is>
      </c>
      <c r="P5840" t="inlineStr">
        <is>
          <t>E系統(日中)</t>
        </is>
      </c>
      <c r="Q5840" t="inlineStr">
        <is>
          <t>1</t>
        </is>
      </c>
    </row>
    <row r="5841" ht="15" customHeight="1" s="37">
      <c r="A5841" t="n">
        <v>14</v>
      </c>
      <c r="B5841" s="10" t="inlineStr">
        <is>
          <t>平日</t>
        </is>
      </c>
      <c r="C5841" s="10" t="inlineStr">
        <is>
          <t>本線</t>
        </is>
      </c>
      <c r="D5841" s="10" t="inlineStr">
        <is>
          <t>下り</t>
        </is>
      </c>
      <c r="E5841" s="10" t="inlineStr">
        <is>
          <t>連1609</t>
        </is>
      </c>
      <c r="F5841" t="inlineStr">
        <is>
          <t>0122</t>
        </is>
      </c>
      <c r="G5841" s="10" t="inlineStr">
        <is>
          <t>西院</t>
        </is>
      </c>
      <c r="H5841" s="10" t="inlineStr">
        <is>
          <t>発</t>
        </is>
      </c>
      <c r="J5841" s="10" t="inlineStr">
        <is>
          <t>営業</t>
        </is>
      </c>
      <c r="L5841" t="inlineStr">
        <is>
          <t>16:45:50</t>
        </is>
      </c>
      <c r="M5841" t="inlineStr">
        <is>
          <t>16:46:20</t>
        </is>
      </c>
      <c r="P5841" t="inlineStr">
        <is>
          <t>E系統(日中)</t>
        </is>
      </c>
    </row>
    <row r="5842" ht="15" customHeight="1" s="37">
      <c r="A5842" t="n">
        <v>14</v>
      </c>
      <c r="B5842" s="10" t="inlineStr">
        <is>
          <t>平日</t>
        </is>
      </c>
      <c r="C5842" s="10" t="inlineStr">
        <is>
          <t>本線</t>
        </is>
      </c>
      <c r="D5842" s="10" t="inlineStr">
        <is>
          <t>下り</t>
        </is>
      </c>
      <c r="E5842" s="10" t="inlineStr">
        <is>
          <t>連1609</t>
        </is>
      </c>
      <c r="F5842" t="inlineStr">
        <is>
          <t>0122</t>
        </is>
      </c>
      <c r="G5842" s="10" t="inlineStr">
        <is>
          <t>西大路三条</t>
        </is>
      </c>
      <c r="H5842" s="10" t="inlineStr">
        <is>
          <t>発</t>
        </is>
      </c>
      <c r="J5842" s="10" t="inlineStr">
        <is>
          <t>営業</t>
        </is>
      </c>
      <c r="L5842" t="inlineStr">
        <is>
          <t>16:48:10</t>
        </is>
      </c>
      <c r="M5842" t="inlineStr">
        <is>
          <t>16:48:30</t>
        </is>
      </c>
      <c r="P5842" t="inlineStr">
        <is>
          <t>E系統(日中)</t>
        </is>
      </c>
    </row>
    <row r="5843" ht="15" customHeight="1" s="37">
      <c r="A5843" t="n">
        <v>14</v>
      </c>
      <c r="B5843" s="10" t="inlineStr">
        <is>
          <t>平日</t>
        </is>
      </c>
      <c r="C5843" s="10" t="inlineStr">
        <is>
          <t>本線</t>
        </is>
      </c>
      <c r="D5843" s="10" t="inlineStr">
        <is>
          <t>下り</t>
        </is>
      </c>
      <c r="E5843" s="10" t="inlineStr">
        <is>
          <t>連1609</t>
        </is>
      </c>
      <c r="F5843" t="inlineStr">
        <is>
          <t>0122</t>
        </is>
      </c>
      <c r="G5843" s="10" t="inlineStr">
        <is>
          <t>山ノ内</t>
        </is>
      </c>
      <c r="H5843" s="10" t="inlineStr">
        <is>
          <t>発</t>
        </is>
      </c>
      <c r="J5843" s="10" t="inlineStr">
        <is>
          <t>営業</t>
        </is>
      </c>
      <c r="L5843" t="inlineStr">
        <is>
          <t>16:50:25</t>
        </is>
      </c>
      <c r="M5843" t="inlineStr">
        <is>
          <t>16:50:50</t>
        </is>
      </c>
      <c r="P5843" t="inlineStr">
        <is>
          <t>E系統(日中)</t>
        </is>
      </c>
    </row>
    <row r="5844" ht="15" customHeight="1" s="37">
      <c r="A5844" t="n">
        <v>14</v>
      </c>
      <c r="B5844" s="10" t="inlineStr">
        <is>
          <t>平日</t>
        </is>
      </c>
      <c r="C5844" s="10" t="inlineStr">
        <is>
          <t>本線</t>
        </is>
      </c>
      <c r="D5844" s="10" t="inlineStr">
        <is>
          <t>下り</t>
        </is>
      </c>
      <c r="E5844" s="10" t="inlineStr">
        <is>
          <t>連1609</t>
        </is>
      </c>
      <c r="F5844" t="inlineStr">
        <is>
          <t>0122</t>
        </is>
      </c>
      <c r="G5844" s="10" t="inlineStr">
        <is>
          <t>天神川</t>
        </is>
      </c>
      <c r="H5844" s="10" t="inlineStr">
        <is>
          <t>発</t>
        </is>
      </c>
      <c r="J5844" s="10" t="inlineStr">
        <is>
          <t>営業</t>
        </is>
      </c>
      <c r="L5844" t="inlineStr">
        <is>
          <t>16:52:50</t>
        </is>
      </c>
      <c r="M5844" t="inlineStr">
        <is>
          <t>16:53:30</t>
        </is>
      </c>
      <c r="P5844" t="inlineStr">
        <is>
          <t>E系統(日中)</t>
        </is>
      </c>
    </row>
    <row r="5845" ht="15" customHeight="1" s="37">
      <c r="A5845" t="n">
        <v>14</v>
      </c>
      <c r="B5845" s="10" t="inlineStr">
        <is>
          <t>平日</t>
        </is>
      </c>
      <c r="C5845" s="10" t="inlineStr">
        <is>
          <t>本線</t>
        </is>
      </c>
      <c r="D5845" s="10" t="inlineStr">
        <is>
          <t>下り</t>
        </is>
      </c>
      <c r="E5845" s="10" t="inlineStr">
        <is>
          <t>連1609</t>
        </is>
      </c>
      <c r="F5845" t="inlineStr">
        <is>
          <t>0122</t>
        </is>
      </c>
      <c r="G5845" s="10" t="inlineStr">
        <is>
          <t>蚕ノ社</t>
        </is>
      </c>
      <c r="H5845" s="10" t="inlineStr">
        <is>
          <t>発</t>
        </is>
      </c>
      <c r="J5845" s="10" t="inlineStr">
        <is>
          <t>営業</t>
        </is>
      </c>
      <c r="L5845" t="inlineStr">
        <is>
          <t>16:54:20</t>
        </is>
      </c>
      <c r="M5845" t="inlineStr">
        <is>
          <t>16:54:40</t>
        </is>
      </c>
      <c r="P5845" t="inlineStr">
        <is>
          <t>E系統(日中)</t>
        </is>
      </c>
    </row>
    <row r="5846" ht="15" customHeight="1" s="37">
      <c r="A5846" t="n">
        <v>14</v>
      </c>
      <c r="B5846" s="10" t="inlineStr">
        <is>
          <t>平日</t>
        </is>
      </c>
      <c r="C5846" s="10" t="inlineStr">
        <is>
          <t>本線</t>
        </is>
      </c>
      <c r="D5846" s="10" t="inlineStr">
        <is>
          <t>下り</t>
        </is>
      </c>
      <c r="E5846" s="10" t="inlineStr">
        <is>
          <t>連1609</t>
        </is>
      </c>
      <c r="F5846" t="inlineStr">
        <is>
          <t>0122</t>
        </is>
      </c>
      <c r="G5846" s="10" t="inlineStr">
        <is>
          <t>太秦広隆寺</t>
        </is>
      </c>
      <c r="H5846" s="10" t="inlineStr">
        <is>
          <t>発</t>
        </is>
      </c>
      <c r="J5846" s="10" t="inlineStr">
        <is>
          <t>営業</t>
        </is>
      </c>
      <c r="L5846" t="inlineStr">
        <is>
          <t>16:56:00</t>
        </is>
      </c>
      <c r="M5846" t="inlineStr">
        <is>
          <t>16:56:20</t>
        </is>
      </c>
      <c r="P5846" t="inlineStr">
        <is>
          <t>E系統(日中)</t>
        </is>
      </c>
    </row>
    <row r="5847" ht="15" customHeight="1" s="37">
      <c r="A5847" t="n">
        <v>14</v>
      </c>
      <c r="B5847" s="10" t="inlineStr">
        <is>
          <t>平日</t>
        </is>
      </c>
      <c r="C5847" s="10" t="inlineStr">
        <is>
          <t>本線</t>
        </is>
      </c>
      <c r="D5847" s="10" t="inlineStr">
        <is>
          <t>下り</t>
        </is>
      </c>
      <c r="E5847" s="10" t="inlineStr">
        <is>
          <t>連1609</t>
        </is>
      </c>
      <c r="F5847" t="inlineStr">
        <is>
          <t>0122</t>
        </is>
      </c>
      <c r="G5847" s="10" t="inlineStr">
        <is>
          <t>帷子ノ辻</t>
        </is>
      </c>
      <c r="H5847" s="10" t="inlineStr">
        <is>
          <t>発</t>
        </is>
      </c>
      <c r="J5847" s="10" t="inlineStr">
        <is>
          <t>営業</t>
        </is>
      </c>
      <c r="L5847" t="inlineStr">
        <is>
          <t>16:58:20</t>
        </is>
      </c>
      <c r="M5847" t="inlineStr">
        <is>
          <t>16:59:40</t>
        </is>
      </c>
      <c r="P5847" t="inlineStr">
        <is>
          <t>E系統(日中)</t>
        </is>
      </c>
    </row>
    <row r="5848" ht="15" customHeight="1" s="37">
      <c r="A5848" t="n">
        <v>14</v>
      </c>
      <c r="B5848" s="10" t="inlineStr">
        <is>
          <t>平日</t>
        </is>
      </c>
      <c r="C5848" s="10" t="inlineStr">
        <is>
          <t>本線</t>
        </is>
      </c>
      <c r="D5848" s="10" t="inlineStr">
        <is>
          <t>下り</t>
        </is>
      </c>
      <c r="E5848" s="10" t="inlineStr">
        <is>
          <t>連1609</t>
        </is>
      </c>
      <c r="F5848" t="inlineStr">
        <is>
          <t>0122</t>
        </is>
      </c>
      <c r="G5848" s="10" t="inlineStr">
        <is>
          <t>有栖川</t>
        </is>
      </c>
      <c r="H5848" s="10" t="inlineStr">
        <is>
          <t>発</t>
        </is>
      </c>
      <c r="J5848" s="10" t="inlineStr">
        <is>
          <t>営業</t>
        </is>
      </c>
      <c r="L5848" t="inlineStr">
        <is>
          <t>17:00:50</t>
        </is>
      </c>
      <c r="M5848" t="inlineStr">
        <is>
          <t>17:01:15</t>
        </is>
      </c>
      <c r="P5848" t="inlineStr">
        <is>
          <t>E系統(日中)</t>
        </is>
      </c>
    </row>
    <row r="5849" ht="15" customHeight="1" s="37">
      <c r="A5849" t="n">
        <v>14</v>
      </c>
      <c r="B5849" s="10" t="inlineStr">
        <is>
          <t>平日</t>
        </is>
      </c>
      <c r="C5849" s="10" t="inlineStr">
        <is>
          <t>本線</t>
        </is>
      </c>
      <c r="D5849" s="10" t="inlineStr">
        <is>
          <t>下り</t>
        </is>
      </c>
      <c r="E5849" s="10" t="inlineStr">
        <is>
          <t>連1609</t>
        </is>
      </c>
      <c r="F5849" t="inlineStr">
        <is>
          <t>0122</t>
        </is>
      </c>
      <c r="G5849" s="10" t="inlineStr">
        <is>
          <t>車折</t>
        </is>
      </c>
      <c r="H5849" s="10" t="inlineStr">
        <is>
          <t>発</t>
        </is>
      </c>
      <c r="J5849" s="10" t="inlineStr">
        <is>
          <t>営業</t>
        </is>
      </c>
      <c r="L5849" t="inlineStr">
        <is>
          <t>17:02:40</t>
        </is>
      </c>
      <c r="M5849" t="inlineStr">
        <is>
          <t>17:03:05</t>
        </is>
      </c>
      <c r="P5849" t="inlineStr">
        <is>
          <t>E系統(日中)</t>
        </is>
      </c>
    </row>
    <row r="5850" ht="15" customHeight="1" s="37">
      <c r="A5850" t="n">
        <v>14</v>
      </c>
      <c r="B5850" s="10" t="inlineStr">
        <is>
          <t>平日</t>
        </is>
      </c>
      <c r="C5850" s="10" t="inlineStr">
        <is>
          <t>本線</t>
        </is>
      </c>
      <c r="D5850" s="10" t="inlineStr">
        <is>
          <t>下り</t>
        </is>
      </c>
      <c r="E5850" s="10" t="inlineStr">
        <is>
          <t>連1609</t>
        </is>
      </c>
      <c r="F5850" t="inlineStr">
        <is>
          <t>0122</t>
        </is>
      </c>
      <c r="G5850" s="10" t="inlineStr">
        <is>
          <t>鹿王院</t>
        </is>
      </c>
      <c r="H5850" s="10" t="inlineStr">
        <is>
          <t>発</t>
        </is>
      </c>
      <c r="J5850" s="10" t="inlineStr">
        <is>
          <t>営業</t>
        </is>
      </c>
      <c r="L5850" t="inlineStr">
        <is>
          <t>17:04:00</t>
        </is>
      </c>
      <c r="M5850" t="inlineStr">
        <is>
          <t>17:04:25</t>
        </is>
      </c>
      <c r="P5850" t="inlineStr">
        <is>
          <t>E系統(日中)</t>
        </is>
      </c>
    </row>
    <row r="5851" ht="15" customHeight="1" s="37">
      <c r="A5851" t="n">
        <v>14</v>
      </c>
      <c r="B5851" s="10" t="inlineStr">
        <is>
          <t>平日</t>
        </is>
      </c>
      <c r="C5851" s="10" t="inlineStr">
        <is>
          <t>本線</t>
        </is>
      </c>
      <c r="D5851" s="10" t="inlineStr">
        <is>
          <t>下り</t>
        </is>
      </c>
      <c r="E5851" s="10" t="inlineStr">
        <is>
          <t>連1609</t>
        </is>
      </c>
      <c r="F5851" t="inlineStr">
        <is>
          <t>0122</t>
        </is>
      </c>
      <c r="G5851" s="10" t="inlineStr">
        <is>
          <t>嵯峨</t>
        </is>
      </c>
      <c r="H5851" s="10" t="inlineStr">
        <is>
          <t>発</t>
        </is>
      </c>
      <c r="J5851" s="10" t="inlineStr">
        <is>
          <t>営業</t>
        </is>
      </c>
      <c r="L5851" t="inlineStr">
        <is>
          <t>17:05:30</t>
        </is>
      </c>
      <c r="M5851" t="inlineStr">
        <is>
          <t>17:05:55</t>
        </is>
      </c>
      <c r="P5851" t="inlineStr">
        <is>
          <t>E系統(日中)</t>
        </is>
      </c>
    </row>
    <row r="5852" ht="15" customHeight="1" s="37">
      <c r="A5852" t="n">
        <v>14</v>
      </c>
      <c r="B5852" s="10" t="inlineStr">
        <is>
          <t>平日</t>
        </is>
      </c>
      <c r="C5852" s="10" t="inlineStr">
        <is>
          <t>本線</t>
        </is>
      </c>
      <c r="D5852" s="10" t="inlineStr">
        <is>
          <t>下り</t>
        </is>
      </c>
      <c r="E5852" s="10" t="inlineStr">
        <is>
          <t>連1609</t>
        </is>
      </c>
      <c r="F5852" t="inlineStr">
        <is>
          <t>0122</t>
        </is>
      </c>
      <c r="G5852" s="10" t="inlineStr">
        <is>
          <t>嵐山</t>
        </is>
      </c>
      <c r="H5852" s="10" t="inlineStr">
        <is>
          <t>着</t>
        </is>
      </c>
      <c r="J5852" s="10" t="inlineStr">
        <is>
          <t>営業</t>
        </is>
      </c>
      <c r="L5852" t="inlineStr">
        <is>
          <t>17:07:00</t>
        </is>
      </c>
      <c r="N5852" t="inlineStr">
        <is>
          <t>○</t>
        </is>
      </c>
      <c r="P5852" t="inlineStr">
        <is>
          <t>E系統(日中)</t>
        </is>
      </c>
      <c r="Q5852" t="inlineStr">
        <is>
          <t>1</t>
        </is>
      </c>
    </row>
    <row r="5853" ht="15" customHeight="1" s="37">
      <c r="A5853" t="n">
        <v>14</v>
      </c>
      <c r="B5853" s="10" t="inlineStr">
        <is>
          <t>平日</t>
        </is>
      </c>
      <c r="C5853" s="10" t="inlineStr">
        <is>
          <t>本線</t>
        </is>
      </c>
      <c r="D5853" s="10" t="inlineStr">
        <is>
          <t>上り</t>
        </is>
      </c>
      <c r="E5853" s="10" t="inlineStr">
        <is>
          <t>連1704</t>
        </is>
      </c>
      <c r="F5853" t="inlineStr">
        <is>
          <t>2221</t>
        </is>
      </c>
      <c r="G5853" s="10" t="inlineStr">
        <is>
          <t>嵐山</t>
        </is>
      </c>
      <c r="H5853" s="10" t="inlineStr">
        <is>
          <t>発</t>
        </is>
      </c>
      <c r="J5853" s="10" t="inlineStr">
        <is>
          <t>営業</t>
        </is>
      </c>
      <c r="M5853" t="inlineStr">
        <is>
          <t>17:13:00</t>
        </is>
      </c>
      <c r="P5853" t="inlineStr">
        <is>
          <t>E系統(日中)</t>
        </is>
      </c>
      <c r="Q5853" t="inlineStr">
        <is>
          <t>1</t>
        </is>
      </c>
    </row>
    <row r="5854" ht="15" customHeight="1" s="37">
      <c r="A5854" t="n">
        <v>14</v>
      </c>
      <c r="B5854" s="10" t="inlineStr">
        <is>
          <t>平日</t>
        </is>
      </c>
      <c r="C5854" s="10" t="inlineStr">
        <is>
          <t>本線</t>
        </is>
      </c>
      <c r="D5854" s="10" t="inlineStr">
        <is>
          <t>上り</t>
        </is>
      </c>
      <c r="E5854" s="10" t="inlineStr">
        <is>
          <t>連1704</t>
        </is>
      </c>
      <c r="F5854" t="inlineStr">
        <is>
          <t>2221</t>
        </is>
      </c>
      <c r="G5854" s="10" t="inlineStr">
        <is>
          <t>嵯峨</t>
        </is>
      </c>
      <c r="H5854" s="10" t="inlineStr">
        <is>
          <t>発</t>
        </is>
      </c>
      <c r="J5854" s="10" t="inlineStr">
        <is>
          <t>営業</t>
        </is>
      </c>
      <c r="L5854" t="inlineStr">
        <is>
          <t>17:13:55</t>
        </is>
      </c>
      <c r="M5854" t="inlineStr">
        <is>
          <t>17:14:20</t>
        </is>
      </c>
      <c r="P5854" t="inlineStr">
        <is>
          <t>E系統(日中)</t>
        </is>
      </c>
    </row>
    <row r="5855" ht="15" customHeight="1" s="37">
      <c r="A5855" t="n">
        <v>14</v>
      </c>
      <c r="B5855" s="10" t="inlineStr">
        <is>
          <t>平日</t>
        </is>
      </c>
      <c r="C5855" s="10" t="inlineStr">
        <is>
          <t>本線</t>
        </is>
      </c>
      <c r="D5855" s="10" t="inlineStr">
        <is>
          <t>上り</t>
        </is>
      </c>
      <c r="E5855" s="10" t="inlineStr">
        <is>
          <t>連1704</t>
        </is>
      </c>
      <c r="F5855" t="inlineStr">
        <is>
          <t>2221</t>
        </is>
      </c>
      <c r="G5855" s="10" t="inlineStr">
        <is>
          <t>鹿王院</t>
        </is>
      </c>
      <c r="H5855" s="10" t="inlineStr">
        <is>
          <t>発</t>
        </is>
      </c>
      <c r="J5855" s="10" t="inlineStr">
        <is>
          <t>営業</t>
        </is>
      </c>
      <c r="L5855" t="inlineStr">
        <is>
          <t>17:15:25</t>
        </is>
      </c>
      <c r="M5855" t="inlineStr">
        <is>
          <t>17:15:45</t>
        </is>
      </c>
      <c r="P5855" t="inlineStr">
        <is>
          <t>E系統(日中)</t>
        </is>
      </c>
    </row>
    <row r="5856" ht="15" customHeight="1" s="37">
      <c r="A5856" t="n">
        <v>14</v>
      </c>
      <c r="B5856" s="10" t="inlineStr">
        <is>
          <t>平日</t>
        </is>
      </c>
      <c r="C5856" s="10" t="inlineStr">
        <is>
          <t>本線</t>
        </is>
      </c>
      <c r="D5856" s="10" t="inlineStr">
        <is>
          <t>上り</t>
        </is>
      </c>
      <c r="E5856" s="10" t="inlineStr">
        <is>
          <t>連1704</t>
        </is>
      </c>
      <c r="F5856" t="inlineStr">
        <is>
          <t>2221</t>
        </is>
      </c>
      <c r="G5856" s="10" t="inlineStr">
        <is>
          <t>車折</t>
        </is>
      </c>
      <c r="H5856" s="10" t="inlineStr">
        <is>
          <t>発</t>
        </is>
      </c>
      <c r="J5856" s="10" t="inlineStr">
        <is>
          <t>営業</t>
        </is>
      </c>
      <c r="L5856" t="inlineStr">
        <is>
          <t>17:16:40</t>
        </is>
      </c>
      <c r="M5856" t="inlineStr">
        <is>
          <t>17:17:10</t>
        </is>
      </c>
      <c r="P5856" t="inlineStr">
        <is>
          <t>E系統(日中)</t>
        </is>
      </c>
    </row>
    <row r="5857" ht="15" customHeight="1" s="37">
      <c r="A5857" t="n">
        <v>14</v>
      </c>
      <c r="B5857" s="10" t="inlineStr">
        <is>
          <t>平日</t>
        </is>
      </c>
      <c r="C5857" s="10" t="inlineStr">
        <is>
          <t>本線</t>
        </is>
      </c>
      <c r="D5857" s="10" t="inlineStr">
        <is>
          <t>上り</t>
        </is>
      </c>
      <c r="E5857" s="10" t="inlineStr">
        <is>
          <t>連1704</t>
        </is>
      </c>
      <c r="F5857" t="inlineStr">
        <is>
          <t>2221</t>
        </is>
      </c>
      <c r="G5857" s="10" t="inlineStr">
        <is>
          <t>有栖川</t>
        </is>
      </c>
      <c r="H5857" s="10" t="inlineStr">
        <is>
          <t>発</t>
        </is>
      </c>
      <c r="J5857" s="10" t="inlineStr">
        <is>
          <t>営業</t>
        </is>
      </c>
      <c r="L5857" t="inlineStr">
        <is>
          <t>17:18:35</t>
        </is>
      </c>
      <c r="M5857" t="inlineStr">
        <is>
          <t>17:18:55</t>
        </is>
      </c>
      <c r="P5857" t="inlineStr">
        <is>
          <t>E系統(日中)</t>
        </is>
      </c>
    </row>
    <row r="5858" ht="15" customHeight="1" s="37">
      <c r="A5858" t="n">
        <v>14</v>
      </c>
      <c r="B5858" s="10" t="inlineStr">
        <is>
          <t>平日</t>
        </is>
      </c>
      <c r="C5858" s="10" t="inlineStr">
        <is>
          <t>本線</t>
        </is>
      </c>
      <c r="D5858" s="10" t="inlineStr">
        <is>
          <t>上り</t>
        </is>
      </c>
      <c r="E5858" s="10" t="inlineStr">
        <is>
          <t>連1704</t>
        </is>
      </c>
      <c r="F5858" t="inlineStr">
        <is>
          <t>2221</t>
        </is>
      </c>
      <c r="G5858" s="10" t="inlineStr">
        <is>
          <t>帷子ノ辻</t>
        </is>
      </c>
      <c r="H5858" s="10" t="inlineStr">
        <is>
          <t>発</t>
        </is>
      </c>
      <c r="J5858" s="10" t="inlineStr">
        <is>
          <t>営業</t>
        </is>
      </c>
      <c r="L5858" t="inlineStr">
        <is>
          <t>17:20:10</t>
        </is>
      </c>
      <c r="M5858" t="inlineStr">
        <is>
          <t>17:21:15</t>
        </is>
      </c>
      <c r="P5858" t="inlineStr">
        <is>
          <t>E系統(日中)</t>
        </is>
      </c>
    </row>
    <row r="5859" ht="15" customHeight="1" s="37">
      <c r="A5859" t="n">
        <v>14</v>
      </c>
      <c r="B5859" s="10" t="inlineStr">
        <is>
          <t>平日</t>
        </is>
      </c>
      <c r="C5859" s="10" t="inlineStr">
        <is>
          <t>本線</t>
        </is>
      </c>
      <c r="D5859" s="10" t="inlineStr">
        <is>
          <t>上り</t>
        </is>
      </c>
      <c r="E5859" s="10" t="inlineStr">
        <is>
          <t>連1704</t>
        </is>
      </c>
      <c r="F5859" t="inlineStr">
        <is>
          <t>2221</t>
        </is>
      </c>
      <c r="G5859" s="10" t="inlineStr">
        <is>
          <t>太秦広隆寺</t>
        </is>
      </c>
      <c r="H5859" s="10" t="inlineStr">
        <is>
          <t>発</t>
        </is>
      </c>
      <c r="J5859" s="10" t="inlineStr">
        <is>
          <t>営業</t>
        </is>
      </c>
      <c r="L5859" t="inlineStr">
        <is>
          <t>17:23:25</t>
        </is>
      </c>
      <c r="M5859" t="inlineStr">
        <is>
          <t>17:23:45</t>
        </is>
      </c>
      <c r="P5859" t="inlineStr">
        <is>
          <t>E系統(日中)</t>
        </is>
      </c>
    </row>
    <row r="5860" ht="15" customHeight="1" s="37">
      <c r="A5860" t="n">
        <v>14</v>
      </c>
      <c r="B5860" s="10" t="inlineStr">
        <is>
          <t>平日</t>
        </is>
      </c>
      <c r="C5860" s="10" t="inlineStr">
        <is>
          <t>本線</t>
        </is>
      </c>
      <c r="D5860" s="10" t="inlineStr">
        <is>
          <t>上り</t>
        </is>
      </c>
      <c r="E5860" s="10" t="inlineStr">
        <is>
          <t>連1704</t>
        </is>
      </c>
      <c r="F5860" t="inlineStr">
        <is>
          <t>2221</t>
        </is>
      </c>
      <c r="G5860" s="10" t="inlineStr">
        <is>
          <t>蚕ノ社</t>
        </is>
      </c>
      <c r="H5860" s="10" t="inlineStr">
        <is>
          <t>発</t>
        </is>
      </c>
      <c r="J5860" s="10" t="inlineStr">
        <is>
          <t>営業</t>
        </is>
      </c>
      <c r="L5860" t="inlineStr">
        <is>
          <t>17:25:00</t>
        </is>
      </c>
      <c r="M5860" t="inlineStr">
        <is>
          <t>17:25:20</t>
        </is>
      </c>
      <c r="P5860" t="inlineStr">
        <is>
          <t>E系統(日中)</t>
        </is>
      </c>
    </row>
    <row r="5861" ht="15" customHeight="1" s="37">
      <c r="A5861" t="n">
        <v>14</v>
      </c>
      <c r="B5861" s="10" t="inlineStr">
        <is>
          <t>平日</t>
        </is>
      </c>
      <c r="C5861" s="10" t="inlineStr">
        <is>
          <t>本線</t>
        </is>
      </c>
      <c r="D5861" s="10" t="inlineStr">
        <is>
          <t>上り</t>
        </is>
      </c>
      <c r="E5861" s="10" t="inlineStr">
        <is>
          <t>連1704</t>
        </is>
      </c>
      <c r="F5861" t="inlineStr">
        <is>
          <t>2221</t>
        </is>
      </c>
      <c r="G5861" s="10" t="inlineStr">
        <is>
          <t>天神川</t>
        </is>
      </c>
      <c r="H5861" s="10" t="inlineStr">
        <is>
          <t>発</t>
        </is>
      </c>
      <c r="J5861" s="10" t="inlineStr">
        <is>
          <t>営業</t>
        </is>
      </c>
      <c r="L5861" t="inlineStr">
        <is>
          <t>17:26:05</t>
        </is>
      </c>
      <c r="M5861" t="inlineStr">
        <is>
          <t>17:26:50</t>
        </is>
      </c>
      <c r="P5861" t="inlineStr">
        <is>
          <t>E系統(日中)</t>
        </is>
      </c>
    </row>
    <row r="5862" ht="15" customHeight="1" s="37">
      <c r="A5862" t="n">
        <v>14</v>
      </c>
      <c r="B5862" s="10" t="inlineStr">
        <is>
          <t>平日</t>
        </is>
      </c>
      <c r="C5862" s="10" t="inlineStr">
        <is>
          <t>本線</t>
        </is>
      </c>
      <c r="D5862" s="10" t="inlineStr">
        <is>
          <t>上り</t>
        </is>
      </c>
      <c r="E5862" s="10" t="inlineStr">
        <is>
          <t>連1704</t>
        </is>
      </c>
      <c r="F5862" t="inlineStr">
        <is>
          <t>2221</t>
        </is>
      </c>
      <c r="G5862" s="10" t="inlineStr">
        <is>
          <t>山ノ内</t>
        </is>
      </c>
      <c r="H5862" s="10" t="inlineStr">
        <is>
          <t>発</t>
        </is>
      </c>
      <c r="J5862" s="10" t="inlineStr">
        <is>
          <t>営業</t>
        </is>
      </c>
      <c r="L5862" t="inlineStr">
        <is>
          <t>17:28:40</t>
        </is>
      </c>
      <c r="M5862" t="inlineStr">
        <is>
          <t>17:29:05</t>
        </is>
      </c>
      <c r="P5862" t="inlineStr">
        <is>
          <t>E系統(日中)</t>
        </is>
      </c>
    </row>
    <row r="5863" ht="15" customHeight="1" s="37">
      <c r="A5863" t="n">
        <v>14</v>
      </c>
      <c r="B5863" s="10" t="inlineStr">
        <is>
          <t>平日</t>
        </is>
      </c>
      <c r="C5863" s="10" t="inlineStr">
        <is>
          <t>本線</t>
        </is>
      </c>
      <c r="D5863" s="10" t="inlineStr">
        <is>
          <t>上り</t>
        </is>
      </c>
      <c r="E5863" s="10" t="inlineStr">
        <is>
          <t>連1704</t>
        </is>
      </c>
      <c r="F5863" t="inlineStr">
        <is>
          <t>2221</t>
        </is>
      </c>
      <c r="G5863" s="10" t="inlineStr">
        <is>
          <t>西大路三条</t>
        </is>
      </c>
      <c r="H5863" s="10" t="inlineStr">
        <is>
          <t>発</t>
        </is>
      </c>
      <c r="J5863" s="10" t="inlineStr">
        <is>
          <t>営業</t>
        </is>
      </c>
      <c r="L5863" t="inlineStr">
        <is>
          <t>17:30:55</t>
        </is>
      </c>
      <c r="M5863" t="inlineStr">
        <is>
          <t>17:31:15</t>
        </is>
      </c>
      <c r="P5863" t="inlineStr">
        <is>
          <t>E系統(日中)</t>
        </is>
      </c>
    </row>
    <row r="5864" ht="15" customHeight="1" s="37">
      <c r="A5864" t="n">
        <v>14</v>
      </c>
      <c r="B5864" s="10" t="inlineStr">
        <is>
          <t>平日</t>
        </is>
      </c>
      <c r="C5864" s="10" t="inlineStr">
        <is>
          <t>本線</t>
        </is>
      </c>
      <c r="D5864" s="10" t="inlineStr">
        <is>
          <t>上り</t>
        </is>
      </c>
      <c r="E5864" s="10" t="inlineStr">
        <is>
          <t>連1704</t>
        </is>
      </c>
      <c r="F5864" t="inlineStr">
        <is>
          <t>2221</t>
        </is>
      </c>
      <c r="G5864" s="10" t="inlineStr">
        <is>
          <t>西院</t>
        </is>
      </c>
      <c r="H5864" s="10" t="inlineStr">
        <is>
          <t>発</t>
        </is>
      </c>
      <c r="J5864" s="10" t="inlineStr">
        <is>
          <t>営業</t>
        </is>
      </c>
      <c r="L5864" t="inlineStr">
        <is>
          <t>17:33:10</t>
        </is>
      </c>
      <c r="M5864" t="inlineStr">
        <is>
          <t>17:34:05</t>
        </is>
      </c>
      <c r="P5864" t="inlineStr">
        <is>
          <t>E系統(日中)</t>
        </is>
      </c>
    </row>
    <row r="5865" ht="15" customHeight="1" s="37">
      <c r="A5865" t="n">
        <v>14</v>
      </c>
      <c r="B5865" s="10" t="inlineStr">
        <is>
          <t>平日</t>
        </is>
      </c>
      <c r="C5865" s="10" t="inlineStr">
        <is>
          <t>本線</t>
        </is>
      </c>
      <c r="D5865" s="10" t="inlineStr">
        <is>
          <t>上り</t>
        </is>
      </c>
      <c r="E5865" s="10" t="inlineStr">
        <is>
          <t>連1704</t>
        </is>
      </c>
      <c r="F5865" t="inlineStr">
        <is>
          <t>2221</t>
        </is>
      </c>
      <c r="G5865" s="10" t="inlineStr">
        <is>
          <t>四条大宮</t>
        </is>
      </c>
      <c r="H5865" s="10" t="inlineStr">
        <is>
          <t>着</t>
        </is>
      </c>
      <c r="J5865" s="10" t="inlineStr">
        <is>
          <t>営業</t>
        </is>
      </c>
      <c r="L5865" t="inlineStr">
        <is>
          <t>17:37:00</t>
        </is>
      </c>
      <c r="P5865" t="inlineStr">
        <is>
          <t>E系統(日中)</t>
        </is>
      </c>
      <c r="Q5865" t="inlineStr">
        <is>
          <t>1</t>
        </is>
      </c>
    </row>
    <row r="5866" ht="15" customHeight="1" s="37">
      <c r="A5866" t="n">
        <v>14</v>
      </c>
      <c r="B5866" s="10" t="inlineStr">
        <is>
          <t>平日</t>
        </is>
      </c>
      <c r="C5866" s="10" t="inlineStr">
        <is>
          <t>本線</t>
        </is>
      </c>
      <c r="D5866" s="10" t="inlineStr">
        <is>
          <t>下り</t>
        </is>
      </c>
      <c r="E5866" s="10" t="inlineStr">
        <is>
          <t>連1709</t>
        </is>
      </c>
      <c r="F5866" t="inlineStr">
        <is>
          <t>0122</t>
        </is>
      </c>
      <c r="G5866" s="10" t="inlineStr">
        <is>
          <t>四条大宮</t>
        </is>
      </c>
      <c r="H5866" s="10" t="inlineStr">
        <is>
          <t>発</t>
        </is>
      </c>
      <c r="J5866" s="10" t="inlineStr">
        <is>
          <t>営業</t>
        </is>
      </c>
      <c r="M5866" t="inlineStr">
        <is>
          <t>17:43:00</t>
        </is>
      </c>
      <c r="P5866" t="inlineStr">
        <is>
          <t>E系統(日中)</t>
        </is>
      </c>
      <c r="Q5866" t="inlineStr">
        <is>
          <t>1</t>
        </is>
      </c>
    </row>
    <row r="5867" ht="15" customHeight="1" s="37">
      <c r="A5867" t="n">
        <v>14</v>
      </c>
      <c r="B5867" s="10" t="inlineStr">
        <is>
          <t>平日</t>
        </is>
      </c>
      <c r="C5867" s="10" t="inlineStr">
        <is>
          <t>本線</t>
        </is>
      </c>
      <c r="D5867" s="10" t="inlineStr">
        <is>
          <t>下り</t>
        </is>
      </c>
      <c r="E5867" s="10" t="inlineStr">
        <is>
          <t>連1709</t>
        </is>
      </c>
      <c r="F5867" t="inlineStr">
        <is>
          <t>0122</t>
        </is>
      </c>
      <c r="G5867" s="10" t="inlineStr">
        <is>
          <t>西院</t>
        </is>
      </c>
      <c r="H5867" s="10" t="inlineStr">
        <is>
          <t>発</t>
        </is>
      </c>
      <c r="J5867" s="10" t="inlineStr">
        <is>
          <t>営業</t>
        </is>
      </c>
      <c r="L5867" t="inlineStr">
        <is>
          <t>17:45:50</t>
        </is>
      </c>
      <c r="M5867" t="inlineStr">
        <is>
          <t>17:46:20</t>
        </is>
      </c>
      <c r="P5867" t="inlineStr">
        <is>
          <t>E系統(日中)</t>
        </is>
      </c>
    </row>
    <row r="5868" ht="15" customHeight="1" s="37">
      <c r="A5868" t="n">
        <v>14</v>
      </c>
      <c r="B5868" s="10" t="inlineStr">
        <is>
          <t>平日</t>
        </is>
      </c>
      <c r="C5868" s="10" t="inlineStr">
        <is>
          <t>本線</t>
        </is>
      </c>
      <c r="D5868" s="10" t="inlineStr">
        <is>
          <t>下り</t>
        </is>
      </c>
      <c r="E5868" s="10" t="inlineStr">
        <is>
          <t>連1709</t>
        </is>
      </c>
      <c r="F5868" t="inlineStr">
        <is>
          <t>0122</t>
        </is>
      </c>
      <c r="G5868" s="10" t="inlineStr">
        <is>
          <t>西大路三条</t>
        </is>
      </c>
      <c r="H5868" s="10" t="inlineStr">
        <is>
          <t>発</t>
        </is>
      </c>
      <c r="J5868" s="10" t="inlineStr">
        <is>
          <t>営業</t>
        </is>
      </c>
      <c r="L5868" t="inlineStr">
        <is>
          <t>17:48:10</t>
        </is>
      </c>
      <c r="M5868" t="inlineStr">
        <is>
          <t>17:48:30</t>
        </is>
      </c>
      <c r="P5868" t="inlineStr">
        <is>
          <t>E系統(日中)</t>
        </is>
      </c>
    </row>
    <row r="5869" ht="15" customHeight="1" s="37">
      <c r="A5869" t="n">
        <v>14</v>
      </c>
      <c r="B5869" s="10" t="inlineStr">
        <is>
          <t>平日</t>
        </is>
      </c>
      <c r="C5869" s="10" t="inlineStr">
        <is>
          <t>本線</t>
        </is>
      </c>
      <c r="D5869" s="10" t="inlineStr">
        <is>
          <t>下り</t>
        </is>
      </c>
      <c r="E5869" s="10" t="inlineStr">
        <is>
          <t>連1709</t>
        </is>
      </c>
      <c r="F5869" t="inlineStr">
        <is>
          <t>0122</t>
        </is>
      </c>
      <c r="G5869" s="10" t="inlineStr">
        <is>
          <t>山ノ内</t>
        </is>
      </c>
      <c r="H5869" s="10" t="inlineStr">
        <is>
          <t>発</t>
        </is>
      </c>
      <c r="J5869" s="10" t="inlineStr">
        <is>
          <t>営業</t>
        </is>
      </c>
      <c r="L5869" t="inlineStr">
        <is>
          <t>17:50:25</t>
        </is>
      </c>
      <c r="M5869" t="inlineStr">
        <is>
          <t>17:50:50</t>
        </is>
      </c>
      <c r="P5869" t="inlineStr">
        <is>
          <t>E系統(日中)</t>
        </is>
      </c>
    </row>
    <row r="5870" ht="15" customHeight="1" s="37">
      <c r="A5870" t="n">
        <v>14</v>
      </c>
      <c r="B5870" s="10" t="inlineStr">
        <is>
          <t>平日</t>
        </is>
      </c>
      <c r="C5870" s="10" t="inlineStr">
        <is>
          <t>本線</t>
        </is>
      </c>
      <c r="D5870" s="10" t="inlineStr">
        <is>
          <t>下り</t>
        </is>
      </c>
      <c r="E5870" s="10" t="inlineStr">
        <is>
          <t>連1709</t>
        </is>
      </c>
      <c r="F5870" t="inlineStr">
        <is>
          <t>0122</t>
        </is>
      </c>
      <c r="G5870" s="10" t="inlineStr">
        <is>
          <t>天神川</t>
        </is>
      </c>
      <c r="H5870" s="10" t="inlineStr">
        <is>
          <t>発</t>
        </is>
      </c>
      <c r="J5870" s="10" t="inlineStr">
        <is>
          <t>営業</t>
        </is>
      </c>
      <c r="L5870" t="inlineStr">
        <is>
          <t>17:52:50</t>
        </is>
      </c>
      <c r="M5870" t="inlineStr">
        <is>
          <t>17:53:30</t>
        </is>
      </c>
      <c r="P5870" t="inlineStr">
        <is>
          <t>E系統(日中)</t>
        </is>
      </c>
    </row>
    <row r="5871" ht="15" customHeight="1" s="37">
      <c r="A5871" t="n">
        <v>14</v>
      </c>
      <c r="B5871" s="10" t="inlineStr">
        <is>
          <t>平日</t>
        </is>
      </c>
      <c r="C5871" s="10" t="inlineStr">
        <is>
          <t>本線</t>
        </is>
      </c>
      <c r="D5871" s="10" t="inlineStr">
        <is>
          <t>下り</t>
        </is>
      </c>
      <c r="E5871" s="10" t="inlineStr">
        <is>
          <t>連1709</t>
        </is>
      </c>
      <c r="F5871" t="inlineStr">
        <is>
          <t>0122</t>
        </is>
      </c>
      <c r="G5871" s="10" t="inlineStr">
        <is>
          <t>蚕ノ社</t>
        </is>
      </c>
      <c r="H5871" s="10" t="inlineStr">
        <is>
          <t>発</t>
        </is>
      </c>
      <c r="J5871" s="10" t="inlineStr">
        <is>
          <t>営業</t>
        </is>
      </c>
      <c r="L5871" t="inlineStr">
        <is>
          <t>17:54:20</t>
        </is>
      </c>
      <c r="M5871" t="inlineStr">
        <is>
          <t>17:54:40</t>
        </is>
      </c>
      <c r="P5871" t="inlineStr">
        <is>
          <t>E系統(日中)</t>
        </is>
      </c>
    </row>
    <row r="5872" ht="15" customHeight="1" s="37">
      <c r="A5872" t="n">
        <v>14</v>
      </c>
      <c r="B5872" s="10" t="inlineStr">
        <is>
          <t>平日</t>
        </is>
      </c>
      <c r="C5872" s="10" t="inlineStr">
        <is>
          <t>本線</t>
        </is>
      </c>
      <c r="D5872" s="10" t="inlineStr">
        <is>
          <t>下り</t>
        </is>
      </c>
      <c r="E5872" s="10" t="inlineStr">
        <is>
          <t>連1709</t>
        </is>
      </c>
      <c r="F5872" t="inlineStr">
        <is>
          <t>0122</t>
        </is>
      </c>
      <c r="G5872" s="10" t="inlineStr">
        <is>
          <t>太秦広隆寺</t>
        </is>
      </c>
      <c r="H5872" s="10" t="inlineStr">
        <is>
          <t>発</t>
        </is>
      </c>
      <c r="J5872" s="10" t="inlineStr">
        <is>
          <t>営業</t>
        </is>
      </c>
      <c r="L5872" t="inlineStr">
        <is>
          <t>17:56:00</t>
        </is>
      </c>
      <c r="M5872" t="inlineStr">
        <is>
          <t>17:56:20</t>
        </is>
      </c>
      <c r="P5872" t="inlineStr">
        <is>
          <t>E系統(日中)</t>
        </is>
      </c>
    </row>
    <row r="5873" ht="15" customHeight="1" s="37">
      <c r="A5873" t="n">
        <v>14</v>
      </c>
      <c r="B5873" s="10" t="inlineStr">
        <is>
          <t>平日</t>
        </is>
      </c>
      <c r="C5873" s="10" t="inlineStr">
        <is>
          <t>本線</t>
        </is>
      </c>
      <c r="D5873" s="10" t="inlineStr">
        <is>
          <t>下り</t>
        </is>
      </c>
      <c r="E5873" s="10" t="inlineStr">
        <is>
          <t>連1709</t>
        </is>
      </c>
      <c r="F5873" t="inlineStr">
        <is>
          <t>0122</t>
        </is>
      </c>
      <c r="G5873" s="10" t="inlineStr">
        <is>
          <t>帷子ノ辻</t>
        </is>
      </c>
      <c r="H5873" s="10" t="inlineStr">
        <is>
          <t>発</t>
        </is>
      </c>
      <c r="J5873" s="10" t="inlineStr">
        <is>
          <t>営業</t>
        </is>
      </c>
      <c r="L5873" t="inlineStr">
        <is>
          <t>17:58:20</t>
        </is>
      </c>
      <c r="M5873" t="inlineStr">
        <is>
          <t>17:59:40</t>
        </is>
      </c>
      <c r="P5873" t="inlineStr">
        <is>
          <t>E系統(日中)</t>
        </is>
      </c>
    </row>
    <row r="5874" ht="15" customHeight="1" s="37">
      <c r="A5874" t="n">
        <v>14</v>
      </c>
      <c r="B5874" s="10" t="inlineStr">
        <is>
          <t>平日</t>
        </is>
      </c>
      <c r="C5874" s="10" t="inlineStr">
        <is>
          <t>本線</t>
        </is>
      </c>
      <c r="D5874" s="10" t="inlineStr">
        <is>
          <t>下り</t>
        </is>
      </c>
      <c r="E5874" s="10" t="inlineStr">
        <is>
          <t>連1709</t>
        </is>
      </c>
      <c r="F5874" t="inlineStr">
        <is>
          <t>0122</t>
        </is>
      </c>
      <c r="G5874" s="10" t="inlineStr">
        <is>
          <t>有栖川</t>
        </is>
      </c>
      <c r="H5874" s="10" t="inlineStr">
        <is>
          <t>発</t>
        </is>
      </c>
      <c r="J5874" s="10" t="inlineStr">
        <is>
          <t>営業</t>
        </is>
      </c>
      <c r="L5874" t="inlineStr">
        <is>
          <t>18:00:50</t>
        </is>
      </c>
      <c r="M5874" t="inlineStr">
        <is>
          <t>18:01:15</t>
        </is>
      </c>
      <c r="P5874" t="inlineStr">
        <is>
          <t>E系統(日中)</t>
        </is>
      </c>
    </row>
    <row r="5875" ht="15" customHeight="1" s="37">
      <c r="A5875" t="n">
        <v>14</v>
      </c>
      <c r="B5875" s="10" t="inlineStr">
        <is>
          <t>平日</t>
        </is>
      </c>
      <c r="C5875" s="10" t="inlineStr">
        <is>
          <t>本線</t>
        </is>
      </c>
      <c r="D5875" s="10" t="inlineStr">
        <is>
          <t>下り</t>
        </is>
      </c>
      <c r="E5875" s="10" t="inlineStr">
        <is>
          <t>連1709</t>
        </is>
      </c>
      <c r="F5875" t="inlineStr">
        <is>
          <t>0122</t>
        </is>
      </c>
      <c r="G5875" s="10" t="inlineStr">
        <is>
          <t>車折</t>
        </is>
      </c>
      <c r="H5875" s="10" t="inlineStr">
        <is>
          <t>発</t>
        </is>
      </c>
      <c r="J5875" s="10" t="inlineStr">
        <is>
          <t>営業</t>
        </is>
      </c>
      <c r="L5875" t="inlineStr">
        <is>
          <t>18:02:40</t>
        </is>
      </c>
      <c r="M5875" t="inlineStr">
        <is>
          <t>18:03:05</t>
        </is>
      </c>
      <c r="P5875" t="inlineStr">
        <is>
          <t>E系統(日中)</t>
        </is>
      </c>
    </row>
    <row r="5876" ht="15" customHeight="1" s="37">
      <c r="A5876" t="n">
        <v>14</v>
      </c>
      <c r="B5876" s="10" t="inlineStr">
        <is>
          <t>平日</t>
        </is>
      </c>
      <c r="C5876" s="10" t="inlineStr">
        <is>
          <t>本線</t>
        </is>
      </c>
      <c r="D5876" s="10" t="inlineStr">
        <is>
          <t>下り</t>
        </is>
      </c>
      <c r="E5876" s="10" t="inlineStr">
        <is>
          <t>連1709</t>
        </is>
      </c>
      <c r="F5876" t="inlineStr">
        <is>
          <t>0122</t>
        </is>
      </c>
      <c r="G5876" s="10" t="inlineStr">
        <is>
          <t>鹿王院</t>
        </is>
      </c>
      <c r="H5876" s="10" t="inlineStr">
        <is>
          <t>発</t>
        </is>
      </c>
      <c r="J5876" s="10" t="inlineStr">
        <is>
          <t>営業</t>
        </is>
      </c>
      <c r="L5876" t="inlineStr">
        <is>
          <t>18:04:00</t>
        </is>
      </c>
      <c r="M5876" t="inlineStr">
        <is>
          <t>18:04:25</t>
        </is>
      </c>
      <c r="P5876" t="inlineStr">
        <is>
          <t>E系統(日中)</t>
        </is>
      </c>
    </row>
    <row r="5877" ht="15" customHeight="1" s="37">
      <c r="A5877" t="n">
        <v>14</v>
      </c>
      <c r="B5877" s="10" t="inlineStr">
        <is>
          <t>平日</t>
        </is>
      </c>
      <c r="C5877" s="10" t="inlineStr">
        <is>
          <t>本線</t>
        </is>
      </c>
      <c r="D5877" s="10" t="inlineStr">
        <is>
          <t>下り</t>
        </is>
      </c>
      <c r="E5877" s="10" t="inlineStr">
        <is>
          <t>連1709</t>
        </is>
      </c>
      <c r="F5877" t="inlineStr">
        <is>
          <t>0122</t>
        </is>
      </c>
      <c r="G5877" s="10" t="inlineStr">
        <is>
          <t>嵯峨</t>
        </is>
      </c>
      <c r="H5877" s="10" t="inlineStr">
        <is>
          <t>発</t>
        </is>
      </c>
      <c r="J5877" s="10" t="inlineStr">
        <is>
          <t>営業</t>
        </is>
      </c>
      <c r="L5877" t="inlineStr">
        <is>
          <t>18:05:30</t>
        </is>
      </c>
      <c r="M5877" t="inlineStr">
        <is>
          <t>18:05:55</t>
        </is>
      </c>
      <c r="P5877" t="inlineStr">
        <is>
          <t>E系統(日中)</t>
        </is>
      </c>
    </row>
    <row r="5878" ht="15" customHeight="1" s="37">
      <c r="A5878" t="n">
        <v>14</v>
      </c>
      <c r="B5878" s="10" t="inlineStr">
        <is>
          <t>平日</t>
        </is>
      </c>
      <c r="C5878" s="10" t="inlineStr">
        <is>
          <t>本線</t>
        </is>
      </c>
      <c r="D5878" s="10" t="inlineStr">
        <is>
          <t>下り</t>
        </is>
      </c>
      <c r="E5878" s="10" t="inlineStr">
        <is>
          <t>連1709</t>
        </is>
      </c>
      <c r="F5878" t="inlineStr">
        <is>
          <t>0122</t>
        </is>
      </c>
      <c r="G5878" s="10" t="inlineStr">
        <is>
          <t>嵐山</t>
        </is>
      </c>
      <c r="H5878" s="10" t="inlineStr">
        <is>
          <t>着</t>
        </is>
      </c>
      <c r="J5878" s="10" t="inlineStr">
        <is>
          <t>営業</t>
        </is>
      </c>
      <c r="L5878" t="inlineStr">
        <is>
          <t>18:07:00</t>
        </is>
      </c>
      <c r="N5878" t="inlineStr">
        <is>
          <t>○</t>
        </is>
      </c>
      <c r="P5878" t="inlineStr">
        <is>
          <t>E系統(日中)</t>
        </is>
      </c>
      <c r="Q5878" t="inlineStr">
        <is>
          <t>1</t>
        </is>
      </c>
    </row>
    <row r="5879" ht="15" customHeight="1" s="37">
      <c r="A5879" t="n">
        <v>14</v>
      </c>
      <c r="B5879" s="10" t="inlineStr">
        <is>
          <t>平日</t>
        </is>
      </c>
      <c r="C5879" s="10" t="inlineStr">
        <is>
          <t>本線</t>
        </is>
      </c>
      <c r="D5879" s="10" t="inlineStr">
        <is>
          <t>上り</t>
        </is>
      </c>
      <c r="E5879" s="10" t="inlineStr">
        <is>
          <t>連1804</t>
        </is>
      </c>
      <c r="F5879" t="inlineStr">
        <is>
          <t>2221</t>
        </is>
      </c>
      <c r="G5879" s="10" t="inlineStr">
        <is>
          <t>嵐山</t>
        </is>
      </c>
      <c r="H5879" s="10" t="inlineStr">
        <is>
          <t>発</t>
        </is>
      </c>
      <c r="J5879" s="10" t="inlineStr">
        <is>
          <t>営業</t>
        </is>
      </c>
      <c r="M5879" t="inlineStr">
        <is>
          <t>18:13:00</t>
        </is>
      </c>
      <c r="P5879" t="inlineStr">
        <is>
          <t>E系統(日中)</t>
        </is>
      </c>
      <c r="Q5879" t="inlineStr">
        <is>
          <t>1</t>
        </is>
      </c>
      <c r="U5879" t="inlineStr">
        <is>
          <t>→西院 休憩(18:46〜20:06)</t>
        </is>
      </c>
    </row>
    <row r="5880" ht="15" customHeight="1" s="37">
      <c r="A5880" t="n">
        <v>14</v>
      </c>
      <c r="B5880" s="10" t="inlineStr">
        <is>
          <t>平日</t>
        </is>
      </c>
      <c r="C5880" s="10" t="inlineStr">
        <is>
          <t>本線</t>
        </is>
      </c>
      <c r="D5880" s="10" t="inlineStr">
        <is>
          <t>上り</t>
        </is>
      </c>
      <c r="E5880" s="10" t="inlineStr">
        <is>
          <t>連1804</t>
        </is>
      </c>
      <c r="F5880" t="inlineStr">
        <is>
          <t>2221</t>
        </is>
      </c>
      <c r="G5880" s="10" t="inlineStr">
        <is>
          <t>嵯峨</t>
        </is>
      </c>
      <c r="H5880" s="10" t="inlineStr">
        <is>
          <t>発</t>
        </is>
      </c>
      <c r="J5880" s="10" t="inlineStr">
        <is>
          <t>営業</t>
        </is>
      </c>
      <c r="L5880" t="inlineStr">
        <is>
          <t>18:13:55</t>
        </is>
      </c>
      <c r="M5880" t="inlineStr">
        <is>
          <t>18:14:20</t>
        </is>
      </c>
      <c r="P5880" t="inlineStr">
        <is>
          <t>E系統(日中)</t>
        </is>
      </c>
      <c r="U5880" t="inlineStr">
        <is>
          <t>→西院 休憩(18:46〜20:06)</t>
        </is>
      </c>
    </row>
    <row r="5881" ht="15" customHeight="1" s="37">
      <c r="A5881" t="n">
        <v>14</v>
      </c>
      <c r="B5881" s="10" t="inlineStr">
        <is>
          <t>平日</t>
        </is>
      </c>
      <c r="C5881" s="10" t="inlineStr">
        <is>
          <t>本線</t>
        </is>
      </c>
      <c r="D5881" s="10" t="inlineStr">
        <is>
          <t>上り</t>
        </is>
      </c>
      <c r="E5881" s="10" t="inlineStr">
        <is>
          <t>連1804</t>
        </is>
      </c>
      <c r="F5881" t="inlineStr">
        <is>
          <t>2221</t>
        </is>
      </c>
      <c r="G5881" s="10" t="inlineStr">
        <is>
          <t>鹿王院</t>
        </is>
      </c>
      <c r="H5881" s="10" t="inlineStr">
        <is>
          <t>発</t>
        </is>
      </c>
      <c r="J5881" s="10" t="inlineStr">
        <is>
          <t>営業</t>
        </is>
      </c>
      <c r="L5881" t="inlineStr">
        <is>
          <t>18:15:25</t>
        </is>
      </c>
      <c r="M5881" t="inlineStr">
        <is>
          <t>18:15:45</t>
        </is>
      </c>
      <c r="P5881" t="inlineStr">
        <is>
          <t>E系統(日中)</t>
        </is>
      </c>
      <c r="U5881" t="inlineStr">
        <is>
          <t>→西院 休憩(18:46〜20:06)</t>
        </is>
      </c>
    </row>
    <row r="5882" ht="15" customHeight="1" s="37">
      <c r="A5882" t="n">
        <v>14</v>
      </c>
      <c r="B5882" s="10" t="inlineStr">
        <is>
          <t>平日</t>
        </is>
      </c>
      <c r="C5882" s="10" t="inlineStr">
        <is>
          <t>本線</t>
        </is>
      </c>
      <c r="D5882" s="10" t="inlineStr">
        <is>
          <t>上り</t>
        </is>
      </c>
      <c r="E5882" s="10" t="inlineStr">
        <is>
          <t>連1804</t>
        </is>
      </c>
      <c r="F5882" t="inlineStr">
        <is>
          <t>2221</t>
        </is>
      </c>
      <c r="G5882" s="10" t="inlineStr">
        <is>
          <t>車折</t>
        </is>
      </c>
      <c r="H5882" s="10" t="inlineStr">
        <is>
          <t>発</t>
        </is>
      </c>
      <c r="J5882" s="10" t="inlineStr">
        <is>
          <t>営業</t>
        </is>
      </c>
      <c r="L5882" t="inlineStr">
        <is>
          <t>18:16:40</t>
        </is>
      </c>
      <c r="M5882" t="inlineStr">
        <is>
          <t>18:17:10</t>
        </is>
      </c>
      <c r="P5882" t="inlineStr">
        <is>
          <t>E系統(日中)</t>
        </is>
      </c>
      <c r="U5882" t="inlineStr">
        <is>
          <t>→西院 休憩(18:46〜20:06)</t>
        </is>
      </c>
    </row>
    <row r="5883" ht="15" customHeight="1" s="37">
      <c r="A5883" t="n">
        <v>14</v>
      </c>
      <c r="B5883" s="10" t="inlineStr">
        <is>
          <t>平日</t>
        </is>
      </c>
      <c r="C5883" s="10" t="inlineStr">
        <is>
          <t>本線</t>
        </is>
      </c>
      <c r="D5883" s="10" t="inlineStr">
        <is>
          <t>上り</t>
        </is>
      </c>
      <c r="E5883" s="10" t="inlineStr">
        <is>
          <t>連1804</t>
        </is>
      </c>
      <c r="F5883" t="inlineStr">
        <is>
          <t>2221</t>
        </is>
      </c>
      <c r="G5883" s="10" t="inlineStr">
        <is>
          <t>有栖川</t>
        </is>
      </c>
      <c r="H5883" s="10" t="inlineStr">
        <is>
          <t>発</t>
        </is>
      </c>
      <c r="J5883" s="10" t="inlineStr">
        <is>
          <t>営業</t>
        </is>
      </c>
      <c r="L5883" t="inlineStr">
        <is>
          <t>18:18:35</t>
        </is>
      </c>
      <c r="M5883" t="inlineStr">
        <is>
          <t>18:18:55</t>
        </is>
      </c>
      <c r="P5883" t="inlineStr">
        <is>
          <t>E系統(日中)</t>
        </is>
      </c>
      <c r="U5883" t="inlineStr">
        <is>
          <t>→西院 休憩(18:46〜20:06)</t>
        </is>
      </c>
    </row>
    <row r="5884" ht="15" customHeight="1" s="37">
      <c r="A5884" t="n">
        <v>14</v>
      </c>
      <c r="B5884" s="10" t="inlineStr">
        <is>
          <t>平日</t>
        </is>
      </c>
      <c r="C5884" s="10" t="inlineStr">
        <is>
          <t>本線</t>
        </is>
      </c>
      <c r="D5884" s="10" t="inlineStr">
        <is>
          <t>上り</t>
        </is>
      </c>
      <c r="E5884" s="10" t="inlineStr">
        <is>
          <t>連1804</t>
        </is>
      </c>
      <c r="F5884" t="inlineStr">
        <is>
          <t>2221</t>
        </is>
      </c>
      <c r="G5884" s="10" t="inlineStr">
        <is>
          <t>帷子ノ辻</t>
        </is>
      </c>
      <c r="H5884" s="10" t="inlineStr">
        <is>
          <t>発</t>
        </is>
      </c>
      <c r="J5884" s="10" t="inlineStr">
        <is>
          <t>営業</t>
        </is>
      </c>
      <c r="L5884" t="inlineStr">
        <is>
          <t>18:20:10</t>
        </is>
      </c>
      <c r="M5884" t="inlineStr">
        <is>
          <t>18:21:15</t>
        </is>
      </c>
      <c r="P5884" t="inlineStr">
        <is>
          <t>E系統(日中)</t>
        </is>
      </c>
      <c r="U5884" t="inlineStr">
        <is>
          <t>→西院 休憩(18:46〜20:06)</t>
        </is>
      </c>
    </row>
    <row r="5885" ht="15" customHeight="1" s="37">
      <c r="A5885" t="n">
        <v>14</v>
      </c>
      <c r="B5885" s="10" t="inlineStr">
        <is>
          <t>平日</t>
        </is>
      </c>
      <c r="C5885" s="10" t="inlineStr">
        <is>
          <t>本線</t>
        </is>
      </c>
      <c r="D5885" s="10" t="inlineStr">
        <is>
          <t>上り</t>
        </is>
      </c>
      <c r="E5885" s="10" t="inlineStr">
        <is>
          <t>連1804</t>
        </is>
      </c>
      <c r="F5885" t="inlineStr">
        <is>
          <t>2221</t>
        </is>
      </c>
      <c r="G5885" s="10" t="inlineStr">
        <is>
          <t>太秦広隆寺</t>
        </is>
      </c>
      <c r="H5885" s="10" t="inlineStr">
        <is>
          <t>発</t>
        </is>
      </c>
      <c r="J5885" s="10" t="inlineStr">
        <is>
          <t>営業</t>
        </is>
      </c>
      <c r="L5885" t="inlineStr">
        <is>
          <t>18:23:25</t>
        </is>
      </c>
      <c r="M5885" t="inlineStr">
        <is>
          <t>18:23:45</t>
        </is>
      </c>
      <c r="P5885" t="inlineStr">
        <is>
          <t>E系統(日中)</t>
        </is>
      </c>
      <c r="U5885" t="inlineStr">
        <is>
          <t>→西院 休憩(18:46〜20:06)</t>
        </is>
      </c>
    </row>
    <row r="5886" ht="15" customHeight="1" s="37">
      <c r="A5886" t="n">
        <v>14</v>
      </c>
      <c r="B5886" s="10" t="inlineStr">
        <is>
          <t>平日</t>
        </is>
      </c>
      <c r="C5886" s="10" t="inlineStr">
        <is>
          <t>本線</t>
        </is>
      </c>
      <c r="D5886" s="10" t="inlineStr">
        <is>
          <t>上り</t>
        </is>
      </c>
      <c r="E5886" s="10" t="inlineStr">
        <is>
          <t>連1804</t>
        </is>
      </c>
      <c r="F5886" t="inlineStr">
        <is>
          <t>2221</t>
        </is>
      </c>
      <c r="G5886" s="10" t="inlineStr">
        <is>
          <t>蚕ノ社</t>
        </is>
      </c>
      <c r="H5886" s="10" t="inlineStr">
        <is>
          <t>発</t>
        </is>
      </c>
      <c r="J5886" s="10" t="inlineStr">
        <is>
          <t>営業</t>
        </is>
      </c>
      <c r="L5886" t="inlineStr">
        <is>
          <t>18:25:00</t>
        </is>
      </c>
      <c r="M5886" t="inlineStr">
        <is>
          <t>18:25:20</t>
        </is>
      </c>
      <c r="P5886" t="inlineStr">
        <is>
          <t>E系統(日中)</t>
        </is>
      </c>
      <c r="U5886" t="inlineStr">
        <is>
          <t>→西院 休憩(18:46〜20:06)</t>
        </is>
      </c>
    </row>
    <row r="5887" ht="15" customHeight="1" s="37">
      <c r="A5887" t="n">
        <v>14</v>
      </c>
      <c r="B5887" s="10" t="inlineStr">
        <is>
          <t>平日</t>
        </is>
      </c>
      <c r="C5887" s="10" t="inlineStr">
        <is>
          <t>本線</t>
        </is>
      </c>
      <c r="D5887" s="10" t="inlineStr">
        <is>
          <t>上り</t>
        </is>
      </c>
      <c r="E5887" s="10" t="inlineStr">
        <is>
          <t>連1804</t>
        </is>
      </c>
      <c r="F5887" t="inlineStr">
        <is>
          <t>2221</t>
        </is>
      </c>
      <c r="G5887" s="10" t="inlineStr">
        <is>
          <t>天神川</t>
        </is>
      </c>
      <c r="H5887" s="10" t="inlineStr">
        <is>
          <t>発</t>
        </is>
      </c>
      <c r="J5887" s="10" t="inlineStr">
        <is>
          <t>営業</t>
        </is>
      </c>
      <c r="L5887" t="inlineStr">
        <is>
          <t>18:26:05</t>
        </is>
      </c>
      <c r="M5887" t="inlineStr">
        <is>
          <t>18:26:50</t>
        </is>
      </c>
      <c r="P5887" t="inlineStr">
        <is>
          <t>E系統(日中)</t>
        </is>
      </c>
      <c r="U5887" t="inlineStr">
        <is>
          <t>→西院 休憩(18:46〜20:06)</t>
        </is>
      </c>
    </row>
    <row r="5888" ht="15" customHeight="1" s="37">
      <c r="A5888" t="n">
        <v>14</v>
      </c>
      <c r="B5888" s="10" t="inlineStr">
        <is>
          <t>平日</t>
        </is>
      </c>
      <c r="C5888" s="10" t="inlineStr">
        <is>
          <t>本線</t>
        </is>
      </c>
      <c r="D5888" s="10" t="inlineStr">
        <is>
          <t>上り</t>
        </is>
      </c>
      <c r="E5888" s="10" t="inlineStr">
        <is>
          <t>連1804</t>
        </is>
      </c>
      <c r="F5888" t="inlineStr">
        <is>
          <t>2221</t>
        </is>
      </c>
      <c r="G5888" s="10" t="inlineStr">
        <is>
          <t>山ノ内</t>
        </is>
      </c>
      <c r="H5888" s="10" t="inlineStr">
        <is>
          <t>発</t>
        </is>
      </c>
      <c r="J5888" s="10" t="inlineStr">
        <is>
          <t>営業</t>
        </is>
      </c>
      <c r="L5888" t="inlineStr">
        <is>
          <t>18:28:40</t>
        </is>
      </c>
      <c r="M5888" t="inlineStr">
        <is>
          <t>18:29:05</t>
        </is>
      </c>
      <c r="P5888" t="inlineStr">
        <is>
          <t>E系統(日中)</t>
        </is>
      </c>
      <c r="U5888" t="inlineStr">
        <is>
          <t>→西院 休憩(18:46〜20:06)</t>
        </is>
      </c>
    </row>
    <row r="5889" ht="15" customHeight="1" s="37">
      <c r="A5889" t="n">
        <v>14</v>
      </c>
      <c r="B5889" s="10" t="inlineStr">
        <is>
          <t>平日</t>
        </is>
      </c>
      <c r="C5889" s="10" t="inlineStr">
        <is>
          <t>本線</t>
        </is>
      </c>
      <c r="D5889" s="10" t="inlineStr">
        <is>
          <t>上り</t>
        </is>
      </c>
      <c r="E5889" s="10" t="inlineStr">
        <is>
          <t>連1804</t>
        </is>
      </c>
      <c r="F5889" t="inlineStr">
        <is>
          <t>2221</t>
        </is>
      </c>
      <c r="G5889" s="10" t="inlineStr">
        <is>
          <t>西大路三条</t>
        </is>
      </c>
      <c r="H5889" s="10" t="inlineStr">
        <is>
          <t>発</t>
        </is>
      </c>
      <c r="J5889" s="10" t="inlineStr">
        <is>
          <t>営業</t>
        </is>
      </c>
      <c r="L5889" t="inlineStr">
        <is>
          <t>18:30:55</t>
        </is>
      </c>
      <c r="M5889" t="inlineStr">
        <is>
          <t>18:31:15</t>
        </is>
      </c>
      <c r="P5889" t="inlineStr">
        <is>
          <t>E系統(日中)</t>
        </is>
      </c>
      <c r="U5889" t="inlineStr">
        <is>
          <t>→西院 休憩(18:46〜20:06)</t>
        </is>
      </c>
    </row>
    <row r="5890" ht="15" customHeight="1" s="37">
      <c r="A5890" t="n">
        <v>14</v>
      </c>
      <c r="B5890" s="10" t="inlineStr">
        <is>
          <t>平日</t>
        </is>
      </c>
      <c r="C5890" s="10" t="inlineStr">
        <is>
          <t>本線</t>
        </is>
      </c>
      <c r="D5890" s="10" t="inlineStr">
        <is>
          <t>上り</t>
        </is>
      </c>
      <c r="E5890" s="10" t="inlineStr">
        <is>
          <t>連1804</t>
        </is>
      </c>
      <c r="F5890" t="inlineStr">
        <is>
          <t>2221</t>
        </is>
      </c>
      <c r="G5890" s="10" t="inlineStr">
        <is>
          <t>西院</t>
        </is>
      </c>
      <c r="H5890" s="10" t="inlineStr">
        <is>
          <t>発</t>
        </is>
      </c>
      <c r="J5890" s="10" t="inlineStr">
        <is>
          <t>営業</t>
        </is>
      </c>
      <c r="L5890" t="inlineStr">
        <is>
          <t>18:33:10</t>
        </is>
      </c>
      <c r="M5890" t="inlineStr">
        <is>
          <t>18:34:05</t>
        </is>
      </c>
      <c r="P5890" t="inlineStr">
        <is>
          <t>E系統(日中)</t>
        </is>
      </c>
      <c r="U5890" t="inlineStr">
        <is>
          <t>→西院 休憩(18:46〜20:06)</t>
        </is>
      </c>
    </row>
    <row r="5891" ht="15" customHeight="1" s="37">
      <c r="A5891" t="n">
        <v>14</v>
      </c>
      <c r="B5891" s="10" t="inlineStr">
        <is>
          <t>平日</t>
        </is>
      </c>
      <c r="C5891" s="10" t="inlineStr">
        <is>
          <t>本線</t>
        </is>
      </c>
      <c r="D5891" s="10" t="inlineStr">
        <is>
          <t>上り</t>
        </is>
      </c>
      <c r="E5891" s="10" t="inlineStr">
        <is>
          <t>連1804</t>
        </is>
      </c>
      <c r="F5891" t="inlineStr">
        <is>
          <t>2221</t>
        </is>
      </c>
      <c r="G5891" s="10" t="inlineStr">
        <is>
          <t>四条大宮</t>
        </is>
      </c>
      <c r="H5891" s="10" t="inlineStr">
        <is>
          <t>着</t>
        </is>
      </c>
      <c r="J5891" s="10" t="inlineStr">
        <is>
          <t>営業</t>
        </is>
      </c>
      <c r="L5891" t="inlineStr">
        <is>
          <t>18:37:00</t>
        </is>
      </c>
      <c r="P5891" t="inlineStr">
        <is>
          <t>E系統(日中)</t>
        </is>
      </c>
      <c r="Q5891" t="inlineStr">
        <is>
          <t>1</t>
        </is>
      </c>
      <c r="U5891" t="inlineStr">
        <is>
          <t>→西院 休憩(18:46〜20:06)</t>
        </is>
      </c>
    </row>
    <row r="5892" ht="15" customHeight="1" s="37">
      <c r="A5892" t="n">
        <v>14</v>
      </c>
      <c r="B5892" s="10" t="inlineStr">
        <is>
          <t>平日</t>
        </is>
      </c>
      <c r="C5892" s="10" t="inlineStr">
        <is>
          <t>本線</t>
        </is>
      </c>
      <c r="D5892" s="10" t="inlineStr">
        <is>
          <t>下り</t>
        </is>
      </c>
      <c r="E5892" s="10" t="inlineStr">
        <is>
          <t>連1809</t>
        </is>
      </c>
      <c r="F5892" t="inlineStr">
        <is>
          <t>0122</t>
        </is>
      </c>
      <c r="G5892" s="10" t="inlineStr">
        <is>
          <t>四条大宮</t>
        </is>
      </c>
      <c r="H5892" s="10" t="inlineStr">
        <is>
          <t>発</t>
        </is>
      </c>
      <c r="J5892" s="10" t="inlineStr">
        <is>
          <t>営業</t>
        </is>
      </c>
      <c r="M5892" t="inlineStr">
        <is>
          <t>18:43:00</t>
        </is>
      </c>
      <c r="P5892" t="inlineStr">
        <is>
          <t>E系統(日中)</t>
        </is>
      </c>
      <c r="Q5892" t="inlineStr">
        <is>
          <t>1</t>
        </is>
      </c>
      <c r="U5892" t="inlineStr">
        <is>
          <t>→西院 休憩(18:46〜20:06)</t>
        </is>
      </c>
    </row>
    <row r="5893" ht="15" customHeight="1" s="37">
      <c r="A5893" t="n">
        <v>14</v>
      </c>
      <c r="B5893" s="10" t="inlineStr">
        <is>
          <t>平日</t>
        </is>
      </c>
      <c r="C5893" s="10" t="inlineStr">
        <is>
          <t>本線</t>
        </is>
      </c>
      <c r="D5893" s="10" t="inlineStr">
        <is>
          <t>下り</t>
        </is>
      </c>
      <c r="E5893" s="10" t="inlineStr">
        <is>
          <t>連1809</t>
        </is>
      </c>
      <c r="F5893" t="inlineStr">
        <is>
          <t>0122</t>
        </is>
      </c>
      <c r="G5893" s="10" t="inlineStr">
        <is>
          <t>西院</t>
        </is>
      </c>
      <c r="H5893" s="10" t="inlineStr">
        <is>
          <t>着</t>
        </is>
      </c>
      <c r="J5893" s="10" t="inlineStr">
        <is>
          <t>営業</t>
        </is>
      </c>
      <c r="L5893" t="inlineStr">
        <is>
          <t>18:45:50</t>
        </is>
      </c>
      <c r="M5893" t="inlineStr">
        <is>
          <t>18:46:20</t>
        </is>
      </c>
      <c r="P5893" t="inlineStr">
        <is>
          <t>E系統(日中)</t>
        </is>
      </c>
      <c r="U5893" t="inlineStr">
        <is>
          <t>→西院 休憩(18:46〜20:06)</t>
        </is>
      </c>
    </row>
    <row r="5894" ht="15" customHeight="1" s="37">
      <c r="A5894" t="n">
        <v>15</v>
      </c>
      <c r="B5894" s="10" t="inlineStr">
        <is>
          <t>平日</t>
        </is>
      </c>
      <c r="C5894" s="10" t="inlineStr">
        <is>
          <t>本線</t>
        </is>
      </c>
      <c r="D5894" s="10" t="inlineStr">
        <is>
          <t>下り</t>
        </is>
      </c>
      <c r="E5894" t="inlineStr">
        <is>
          <t>1901</t>
        </is>
      </c>
      <c r="F5894" t="inlineStr">
        <is>
          <t>0122</t>
        </is>
      </c>
      <c r="G5894" s="10" t="inlineStr">
        <is>
          <t>西院</t>
        </is>
      </c>
      <c r="H5894" s="10" t="inlineStr">
        <is>
          <t>発</t>
        </is>
      </c>
      <c r="J5894" s="10" t="inlineStr">
        <is>
          <t>営業</t>
        </is>
      </c>
      <c r="L5894" t="inlineStr">
        <is>
          <t>19:04:50</t>
        </is>
      </c>
      <c r="M5894" t="inlineStr">
        <is>
          <t>19:06:20</t>
        </is>
      </c>
    </row>
    <row r="5895" ht="15" customHeight="1" s="37">
      <c r="A5895" t="n">
        <v>15</v>
      </c>
      <c r="B5895" s="10" t="inlineStr">
        <is>
          <t>平日</t>
        </is>
      </c>
      <c r="C5895" s="10" t="inlineStr">
        <is>
          <t>本線</t>
        </is>
      </c>
      <c r="D5895" s="10" t="inlineStr">
        <is>
          <t>下り</t>
        </is>
      </c>
      <c r="E5895" t="inlineStr">
        <is>
          <t>1901</t>
        </is>
      </c>
      <c r="F5895" t="inlineStr">
        <is>
          <t>0122</t>
        </is>
      </c>
      <c r="G5895" s="10" t="inlineStr">
        <is>
          <t>西大路三条</t>
        </is>
      </c>
      <c r="H5895" s="10" t="inlineStr">
        <is>
          <t>発</t>
        </is>
      </c>
      <c r="J5895" s="10" t="inlineStr">
        <is>
          <t>営業</t>
        </is>
      </c>
      <c r="L5895" t="inlineStr">
        <is>
          <t>19:08:10</t>
        </is>
      </c>
      <c r="M5895" t="inlineStr">
        <is>
          <t>19:08:30</t>
        </is>
      </c>
    </row>
    <row r="5896" ht="15" customHeight="1" s="37">
      <c r="A5896" t="n">
        <v>15</v>
      </c>
      <c r="B5896" s="10" t="inlineStr">
        <is>
          <t>平日</t>
        </is>
      </c>
      <c r="C5896" s="10" t="inlineStr">
        <is>
          <t>本線</t>
        </is>
      </c>
      <c r="D5896" s="10" t="inlineStr">
        <is>
          <t>下り</t>
        </is>
      </c>
      <c r="E5896" t="inlineStr">
        <is>
          <t>1901</t>
        </is>
      </c>
      <c r="F5896" t="inlineStr">
        <is>
          <t>0122</t>
        </is>
      </c>
      <c r="G5896" s="10" t="inlineStr">
        <is>
          <t>山ノ内</t>
        </is>
      </c>
      <c r="H5896" s="10" t="inlineStr">
        <is>
          <t>発</t>
        </is>
      </c>
      <c r="J5896" s="10" t="inlineStr">
        <is>
          <t>営業</t>
        </is>
      </c>
      <c r="L5896" t="inlineStr">
        <is>
          <t>19:10:25</t>
        </is>
      </c>
      <c r="M5896" t="inlineStr">
        <is>
          <t>19:10:50</t>
        </is>
      </c>
    </row>
    <row r="5897" ht="15" customHeight="1" s="37">
      <c r="A5897" t="n">
        <v>15</v>
      </c>
      <c r="B5897" s="10" t="inlineStr">
        <is>
          <t>平日</t>
        </is>
      </c>
      <c r="C5897" s="10" t="inlineStr">
        <is>
          <t>本線</t>
        </is>
      </c>
      <c r="D5897" s="10" t="inlineStr">
        <is>
          <t>下り</t>
        </is>
      </c>
      <c r="E5897" t="inlineStr">
        <is>
          <t>1901</t>
        </is>
      </c>
      <c r="F5897" t="inlineStr">
        <is>
          <t>0122</t>
        </is>
      </c>
      <c r="G5897" s="10" t="inlineStr">
        <is>
          <t>天神川</t>
        </is>
      </c>
      <c r="H5897" s="10" t="inlineStr">
        <is>
          <t>発</t>
        </is>
      </c>
      <c r="J5897" s="10" t="inlineStr">
        <is>
          <t>営業</t>
        </is>
      </c>
      <c r="L5897" t="inlineStr">
        <is>
          <t>19:12:50</t>
        </is>
      </c>
      <c r="M5897" t="inlineStr">
        <is>
          <t>19:13:30</t>
        </is>
      </c>
    </row>
    <row r="5898" ht="15" customHeight="1" s="37">
      <c r="A5898" t="n">
        <v>15</v>
      </c>
      <c r="B5898" s="10" t="inlineStr">
        <is>
          <t>平日</t>
        </is>
      </c>
      <c r="C5898" s="10" t="inlineStr">
        <is>
          <t>本線</t>
        </is>
      </c>
      <c r="D5898" s="10" t="inlineStr">
        <is>
          <t>下り</t>
        </is>
      </c>
      <c r="E5898" t="inlineStr">
        <is>
          <t>1901</t>
        </is>
      </c>
      <c r="F5898" t="inlineStr">
        <is>
          <t>0122</t>
        </is>
      </c>
      <c r="G5898" s="10" t="inlineStr">
        <is>
          <t>蚕ノ社</t>
        </is>
      </c>
      <c r="H5898" s="10" t="inlineStr">
        <is>
          <t>発</t>
        </is>
      </c>
      <c r="J5898" s="10" t="inlineStr">
        <is>
          <t>営業</t>
        </is>
      </c>
      <c r="L5898" t="inlineStr">
        <is>
          <t>19:14:20</t>
        </is>
      </c>
      <c r="M5898" t="inlineStr">
        <is>
          <t>19:14:40</t>
        </is>
      </c>
    </row>
    <row r="5899" ht="15" customHeight="1" s="37">
      <c r="A5899" t="n">
        <v>15</v>
      </c>
      <c r="B5899" s="10" t="inlineStr">
        <is>
          <t>平日</t>
        </is>
      </c>
      <c r="C5899" s="10" t="inlineStr">
        <is>
          <t>本線</t>
        </is>
      </c>
      <c r="D5899" s="10" t="inlineStr">
        <is>
          <t>下り</t>
        </is>
      </c>
      <c r="E5899" t="inlineStr">
        <is>
          <t>1901</t>
        </is>
      </c>
      <c r="F5899" t="inlineStr">
        <is>
          <t>0122</t>
        </is>
      </c>
      <c r="G5899" s="10" t="inlineStr">
        <is>
          <t>太秦広隆寺</t>
        </is>
      </c>
      <c r="H5899" s="10" t="inlineStr">
        <is>
          <t>発</t>
        </is>
      </c>
      <c r="J5899" s="10" t="inlineStr">
        <is>
          <t>営業</t>
        </is>
      </c>
      <c r="L5899" t="inlineStr">
        <is>
          <t>19:16:00</t>
        </is>
      </c>
      <c r="M5899" t="inlineStr">
        <is>
          <t>19:16:20</t>
        </is>
      </c>
    </row>
    <row r="5900" ht="15" customHeight="1" s="37">
      <c r="A5900" t="n">
        <v>15</v>
      </c>
      <c r="B5900" s="10" t="inlineStr">
        <is>
          <t>平日</t>
        </is>
      </c>
      <c r="C5900" s="10" t="inlineStr">
        <is>
          <t>本線</t>
        </is>
      </c>
      <c r="D5900" s="10" t="inlineStr">
        <is>
          <t>下り</t>
        </is>
      </c>
      <c r="E5900" t="inlineStr">
        <is>
          <t>1901</t>
        </is>
      </c>
      <c r="F5900" t="inlineStr">
        <is>
          <t>0122</t>
        </is>
      </c>
      <c r="G5900" s="10" t="inlineStr">
        <is>
          <t>帷子ノ辻</t>
        </is>
      </c>
      <c r="H5900" s="10" t="inlineStr">
        <is>
          <t>発</t>
        </is>
      </c>
      <c r="J5900" s="10" t="inlineStr">
        <is>
          <t>営業</t>
        </is>
      </c>
      <c r="L5900" t="inlineStr">
        <is>
          <t>19:18:20</t>
        </is>
      </c>
      <c r="M5900" t="inlineStr">
        <is>
          <t>19:19:40</t>
        </is>
      </c>
    </row>
    <row r="5901" ht="15" customHeight="1" s="37">
      <c r="A5901" t="n">
        <v>15</v>
      </c>
      <c r="B5901" s="10" t="inlineStr">
        <is>
          <t>平日</t>
        </is>
      </c>
      <c r="C5901" s="10" t="inlineStr">
        <is>
          <t>本線</t>
        </is>
      </c>
      <c r="D5901" s="10" t="inlineStr">
        <is>
          <t>下り</t>
        </is>
      </c>
      <c r="E5901" t="inlineStr">
        <is>
          <t>1901</t>
        </is>
      </c>
      <c r="F5901" t="inlineStr">
        <is>
          <t>0122</t>
        </is>
      </c>
      <c r="G5901" s="10" t="inlineStr">
        <is>
          <t>有栖川</t>
        </is>
      </c>
      <c r="H5901" s="10" t="inlineStr">
        <is>
          <t>発</t>
        </is>
      </c>
      <c r="J5901" s="10" t="inlineStr">
        <is>
          <t>営業</t>
        </is>
      </c>
      <c r="L5901" t="inlineStr">
        <is>
          <t>19:20:50</t>
        </is>
      </c>
      <c r="M5901" t="inlineStr">
        <is>
          <t>19:21:15</t>
        </is>
      </c>
    </row>
    <row r="5902" ht="15" customHeight="1" s="37">
      <c r="A5902" t="n">
        <v>15</v>
      </c>
      <c r="B5902" s="10" t="inlineStr">
        <is>
          <t>平日</t>
        </is>
      </c>
      <c r="C5902" s="10" t="inlineStr">
        <is>
          <t>本線</t>
        </is>
      </c>
      <c r="D5902" s="10" t="inlineStr">
        <is>
          <t>下り</t>
        </is>
      </c>
      <c r="E5902" t="inlineStr">
        <is>
          <t>1901</t>
        </is>
      </c>
      <c r="F5902" t="inlineStr">
        <is>
          <t>0122</t>
        </is>
      </c>
      <c r="G5902" s="10" t="inlineStr">
        <is>
          <t>車折</t>
        </is>
      </c>
      <c r="H5902" s="10" t="inlineStr">
        <is>
          <t>発</t>
        </is>
      </c>
      <c r="J5902" s="10" t="inlineStr">
        <is>
          <t>営業</t>
        </is>
      </c>
      <c r="L5902" t="inlineStr">
        <is>
          <t>19:22:40</t>
        </is>
      </c>
      <c r="M5902" t="inlineStr">
        <is>
          <t>19:23:05</t>
        </is>
      </c>
    </row>
    <row r="5903" ht="15" customHeight="1" s="37">
      <c r="A5903" t="n">
        <v>15</v>
      </c>
      <c r="B5903" s="10" t="inlineStr">
        <is>
          <t>平日</t>
        </is>
      </c>
      <c r="C5903" s="10" t="inlineStr">
        <is>
          <t>本線</t>
        </is>
      </c>
      <c r="D5903" s="10" t="inlineStr">
        <is>
          <t>下り</t>
        </is>
      </c>
      <c r="E5903" t="inlineStr">
        <is>
          <t>1901</t>
        </is>
      </c>
      <c r="F5903" t="inlineStr">
        <is>
          <t>0122</t>
        </is>
      </c>
      <c r="G5903" s="10" t="inlineStr">
        <is>
          <t>鹿王院</t>
        </is>
      </c>
      <c r="H5903" s="10" t="inlineStr">
        <is>
          <t>発</t>
        </is>
      </c>
      <c r="J5903" s="10" t="inlineStr">
        <is>
          <t>営業</t>
        </is>
      </c>
      <c r="L5903" t="inlineStr">
        <is>
          <t>19:24:00</t>
        </is>
      </c>
      <c r="M5903" t="inlineStr">
        <is>
          <t>19:24:25</t>
        </is>
      </c>
    </row>
    <row r="5904" ht="15" customHeight="1" s="37">
      <c r="A5904" t="n">
        <v>15</v>
      </c>
      <c r="B5904" s="10" t="inlineStr">
        <is>
          <t>平日</t>
        </is>
      </c>
      <c r="C5904" s="10" t="inlineStr">
        <is>
          <t>本線</t>
        </is>
      </c>
      <c r="D5904" s="10" t="inlineStr">
        <is>
          <t>下り</t>
        </is>
      </c>
      <c r="E5904" t="inlineStr">
        <is>
          <t>1901</t>
        </is>
      </c>
      <c r="F5904" t="inlineStr">
        <is>
          <t>0122</t>
        </is>
      </c>
      <c r="G5904" s="10" t="inlineStr">
        <is>
          <t>嵯峨</t>
        </is>
      </c>
      <c r="H5904" s="10" t="inlineStr">
        <is>
          <t>発</t>
        </is>
      </c>
      <c r="J5904" s="10" t="inlineStr">
        <is>
          <t>営業</t>
        </is>
      </c>
      <c r="L5904" t="inlineStr">
        <is>
          <t>19:25:30</t>
        </is>
      </c>
      <c r="M5904" t="inlineStr">
        <is>
          <t>19:25:55</t>
        </is>
      </c>
    </row>
    <row r="5905" ht="15" customHeight="1" s="37">
      <c r="A5905" t="n">
        <v>15</v>
      </c>
      <c r="B5905" s="10" t="inlineStr">
        <is>
          <t>平日</t>
        </is>
      </c>
      <c r="C5905" s="10" t="inlineStr">
        <is>
          <t>本線</t>
        </is>
      </c>
      <c r="D5905" s="10" t="inlineStr">
        <is>
          <t>下り</t>
        </is>
      </c>
      <c r="E5905" t="inlineStr">
        <is>
          <t>1901</t>
        </is>
      </c>
      <c r="F5905" t="inlineStr">
        <is>
          <t>0122</t>
        </is>
      </c>
      <c r="G5905" s="10" t="inlineStr">
        <is>
          <t>嵐山</t>
        </is>
      </c>
      <c r="H5905" s="10" t="inlineStr">
        <is>
          <t>着</t>
        </is>
      </c>
      <c r="J5905" s="10" t="inlineStr">
        <is>
          <t>営業</t>
        </is>
      </c>
      <c r="L5905" t="inlineStr">
        <is>
          <t>19:27:00</t>
        </is>
      </c>
      <c r="N5905" t="inlineStr">
        <is>
          <t>○</t>
        </is>
      </c>
      <c r="Q5905" t="inlineStr">
        <is>
          <t>1</t>
        </is>
      </c>
    </row>
    <row r="5906" ht="15" customHeight="1" s="37">
      <c r="A5906" t="n">
        <v>15</v>
      </c>
      <c r="B5906" s="10" t="inlineStr">
        <is>
          <t>平日</t>
        </is>
      </c>
      <c r="C5906" s="10" t="inlineStr">
        <is>
          <t>本線</t>
        </is>
      </c>
      <c r="D5906" s="10" t="inlineStr">
        <is>
          <t>上り</t>
        </is>
      </c>
      <c r="E5906" t="inlineStr">
        <is>
          <t>1908</t>
        </is>
      </c>
      <c r="F5906" t="inlineStr">
        <is>
          <t>2221</t>
        </is>
      </c>
      <c r="G5906" s="10" t="inlineStr">
        <is>
          <t>嵐山</t>
        </is>
      </c>
      <c r="H5906" s="10" t="inlineStr">
        <is>
          <t>発</t>
        </is>
      </c>
      <c r="J5906" s="10" t="inlineStr">
        <is>
          <t>営業</t>
        </is>
      </c>
      <c r="M5906" t="inlineStr">
        <is>
          <t>19:33:00</t>
        </is>
      </c>
      <c r="Q5906" t="inlineStr">
        <is>
          <t>1</t>
        </is>
      </c>
      <c r="U5906" t="inlineStr">
        <is>
          <t>→西院 休憩(20:06〜21:06)</t>
        </is>
      </c>
    </row>
    <row r="5907" ht="15" customHeight="1" s="37">
      <c r="A5907" t="n">
        <v>15</v>
      </c>
      <c r="B5907" s="10" t="inlineStr">
        <is>
          <t>平日</t>
        </is>
      </c>
      <c r="C5907" s="10" t="inlineStr">
        <is>
          <t>本線</t>
        </is>
      </c>
      <c r="D5907" s="10" t="inlineStr">
        <is>
          <t>上り</t>
        </is>
      </c>
      <c r="E5907" t="inlineStr">
        <is>
          <t>1908</t>
        </is>
      </c>
      <c r="F5907" t="inlineStr">
        <is>
          <t>2221</t>
        </is>
      </c>
      <c r="G5907" s="10" t="inlineStr">
        <is>
          <t>嵯峨</t>
        </is>
      </c>
      <c r="H5907" s="10" t="inlineStr">
        <is>
          <t>発</t>
        </is>
      </c>
      <c r="J5907" s="10" t="inlineStr">
        <is>
          <t>営業</t>
        </is>
      </c>
      <c r="L5907" t="inlineStr">
        <is>
          <t>19:33:55</t>
        </is>
      </c>
      <c r="M5907" t="inlineStr">
        <is>
          <t>19:34:20</t>
        </is>
      </c>
      <c r="U5907" t="inlineStr">
        <is>
          <t>→西院 休憩(20:06〜21:06)</t>
        </is>
      </c>
    </row>
    <row r="5908" ht="15" customHeight="1" s="37">
      <c r="A5908" t="n">
        <v>15</v>
      </c>
      <c r="B5908" s="10" t="inlineStr">
        <is>
          <t>平日</t>
        </is>
      </c>
      <c r="C5908" s="10" t="inlineStr">
        <is>
          <t>本線</t>
        </is>
      </c>
      <c r="D5908" s="10" t="inlineStr">
        <is>
          <t>上り</t>
        </is>
      </c>
      <c r="E5908" t="inlineStr">
        <is>
          <t>1908</t>
        </is>
      </c>
      <c r="F5908" t="inlineStr">
        <is>
          <t>2221</t>
        </is>
      </c>
      <c r="G5908" s="10" t="inlineStr">
        <is>
          <t>鹿王院</t>
        </is>
      </c>
      <c r="H5908" s="10" t="inlineStr">
        <is>
          <t>発</t>
        </is>
      </c>
      <c r="J5908" s="10" t="inlineStr">
        <is>
          <t>営業</t>
        </is>
      </c>
      <c r="L5908" t="inlineStr">
        <is>
          <t>19:35:25</t>
        </is>
      </c>
      <c r="M5908" t="inlineStr">
        <is>
          <t>19:35:45</t>
        </is>
      </c>
      <c r="U5908" t="inlineStr">
        <is>
          <t>→西院 休憩(20:06〜21:06)</t>
        </is>
      </c>
    </row>
    <row r="5909" ht="15" customHeight="1" s="37">
      <c r="A5909" t="n">
        <v>15</v>
      </c>
      <c r="B5909" s="10" t="inlineStr">
        <is>
          <t>平日</t>
        </is>
      </c>
      <c r="C5909" s="10" t="inlineStr">
        <is>
          <t>本線</t>
        </is>
      </c>
      <c r="D5909" s="10" t="inlineStr">
        <is>
          <t>上り</t>
        </is>
      </c>
      <c r="E5909" t="inlineStr">
        <is>
          <t>1908</t>
        </is>
      </c>
      <c r="F5909" t="inlineStr">
        <is>
          <t>2221</t>
        </is>
      </c>
      <c r="G5909" s="10" t="inlineStr">
        <is>
          <t>車折</t>
        </is>
      </c>
      <c r="H5909" s="10" t="inlineStr">
        <is>
          <t>発</t>
        </is>
      </c>
      <c r="J5909" s="10" t="inlineStr">
        <is>
          <t>営業</t>
        </is>
      </c>
      <c r="L5909" t="inlineStr">
        <is>
          <t>19:36:40</t>
        </is>
      </c>
      <c r="M5909" t="inlineStr">
        <is>
          <t>19:37:10</t>
        </is>
      </c>
      <c r="U5909" t="inlineStr">
        <is>
          <t>→西院 休憩(20:06〜21:06)</t>
        </is>
      </c>
    </row>
    <row r="5910" ht="15" customHeight="1" s="37">
      <c r="A5910" t="n">
        <v>15</v>
      </c>
      <c r="B5910" s="10" t="inlineStr">
        <is>
          <t>平日</t>
        </is>
      </c>
      <c r="C5910" s="10" t="inlineStr">
        <is>
          <t>本線</t>
        </is>
      </c>
      <c r="D5910" s="10" t="inlineStr">
        <is>
          <t>上り</t>
        </is>
      </c>
      <c r="E5910" t="inlineStr">
        <is>
          <t>1908</t>
        </is>
      </c>
      <c r="F5910" t="inlineStr">
        <is>
          <t>2221</t>
        </is>
      </c>
      <c r="G5910" s="10" t="inlineStr">
        <is>
          <t>有栖川</t>
        </is>
      </c>
      <c r="H5910" s="10" t="inlineStr">
        <is>
          <t>発</t>
        </is>
      </c>
      <c r="J5910" s="10" t="inlineStr">
        <is>
          <t>営業</t>
        </is>
      </c>
      <c r="L5910" t="inlineStr">
        <is>
          <t>19:38:35</t>
        </is>
      </c>
      <c r="M5910" t="inlineStr">
        <is>
          <t>19:38:55</t>
        </is>
      </c>
      <c r="U5910" t="inlineStr">
        <is>
          <t>→西院 休憩(20:06〜21:06)</t>
        </is>
      </c>
    </row>
    <row r="5911" ht="15" customHeight="1" s="37">
      <c r="A5911" t="n">
        <v>15</v>
      </c>
      <c r="B5911" s="10" t="inlineStr">
        <is>
          <t>平日</t>
        </is>
      </c>
      <c r="C5911" s="10" t="inlineStr">
        <is>
          <t>本線</t>
        </is>
      </c>
      <c r="D5911" s="10" t="inlineStr">
        <is>
          <t>上り</t>
        </is>
      </c>
      <c r="E5911" t="inlineStr">
        <is>
          <t>1908</t>
        </is>
      </c>
      <c r="F5911" t="inlineStr">
        <is>
          <t>2221</t>
        </is>
      </c>
      <c r="G5911" s="10" t="inlineStr">
        <is>
          <t>帷子ノ辻</t>
        </is>
      </c>
      <c r="H5911" s="10" t="inlineStr">
        <is>
          <t>発</t>
        </is>
      </c>
      <c r="J5911" s="10" t="inlineStr">
        <is>
          <t>営業</t>
        </is>
      </c>
      <c r="L5911" t="inlineStr">
        <is>
          <t>19:40:10</t>
        </is>
      </c>
      <c r="M5911" t="inlineStr">
        <is>
          <t>19:41:15</t>
        </is>
      </c>
      <c r="U5911" t="inlineStr">
        <is>
          <t>→西院 休憩(20:06〜21:06)</t>
        </is>
      </c>
    </row>
    <row r="5912" ht="15" customHeight="1" s="37">
      <c r="A5912" t="n">
        <v>15</v>
      </c>
      <c r="B5912" s="10" t="inlineStr">
        <is>
          <t>平日</t>
        </is>
      </c>
      <c r="C5912" s="10" t="inlineStr">
        <is>
          <t>本線</t>
        </is>
      </c>
      <c r="D5912" s="10" t="inlineStr">
        <is>
          <t>上り</t>
        </is>
      </c>
      <c r="E5912" t="inlineStr">
        <is>
          <t>1908</t>
        </is>
      </c>
      <c r="F5912" t="inlineStr">
        <is>
          <t>2221</t>
        </is>
      </c>
      <c r="G5912" s="10" t="inlineStr">
        <is>
          <t>太秦広隆寺</t>
        </is>
      </c>
      <c r="H5912" s="10" t="inlineStr">
        <is>
          <t>発</t>
        </is>
      </c>
      <c r="J5912" s="10" t="inlineStr">
        <is>
          <t>営業</t>
        </is>
      </c>
      <c r="L5912" t="inlineStr">
        <is>
          <t>19:43:25</t>
        </is>
      </c>
      <c r="M5912" t="inlineStr">
        <is>
          <t>19:43:45</t>
        </is>
      </c>
      <c r="U5912" t="inlineStr">
        <is>
          <t>→西院 休憩(20:06〜21:06)</t>
        </is>
      </c>
    </row>
    <row r="5913" ht="15" customHeight="1" s="37">
      <c r="A5913" t="n">
        <v>15</v>
      </c>
      <c r="B5913" s="10" t="inlineStr">
        <is>
          <t>平日</t>
        </is>
      </c>
      <c r="C5913" s="10" t="inlineStr">
        <is>
          <t>本線</t>
        </is>
      </c>
      <c r="D5913" s="10" t="inlineStr">
        <is>
          <t>上り</t>
        </is>
      </c>
      <c r="E5913" t="inlineStr">
        <is>
          <t>1908</t>
        </is>
      </c>
      <c r="F5913" t="inlineStr">
        <is>
          <t>2221</t>
        </is>
      </c>
      <c r="G5913" s="10" t="inlineStr">
        <is>
          <t>蚕ノ社</t>
        </is>
      </c>
      <c r="H5913" s="10" t="inlineStr">
        <is>
          <t>発</t>
        </is>
      </c>
      <c r="J5913" s="10" t="inlineStr">
        <is>
          <t>営業</t>
        </is>
      </c>
      <c r="L5913" t="inlineStr">
        <is>
          <t>19:45:00</t>
        </is>
      </c>
      <c r="M5913" t="inlineStr">
        <is>
          <t>19:45:20</t>
        </is>
      </c>
      <c r="U5913" t="inlineStr">
        <is>
          <t>→西院 休憩(20:06〜21:06)</t>
        </is>
      </c>
    </row>
    <row r="5914" ht="15" customHeight="1" s="37">
      <c r="A5914" t="n">
        <v>15</v>
      </c>
      <c r="B5914" s="10" t="inlineStr">
        <is>
          <t>平日</t>
        </is>
      </c>
      <c r="C5914" s="10" t="inlineStr">
        <is>
          <t>本線</t>
        </is>
      </c>
      <c r="D5914" s="10" t="inlineStr">
        <is>
          <t>上り</t>
        </is>
      </c>
      <c r="E5914" t="inlineStr">
        <is>
          <t>1908</t>
        </is>
      </c>
      <c r="F5914" t="inlineStr">
        <is>
          <t>2221</t>
        </is>
      </c>
      <c r="G5914" s="10" t="inlineStr">
        <is>
          <t>天神川</t>
        </is>
      </c>
      <c r="H5914" s="10" t="inlineStr">
        <is>
          <t>発</t>
        </is>
      </c>
      <c r="J5914" s="10" t="inlineStr">
        <is>
          <t>営業</t>
        </is>
      </c>
      <c r="L5914" t="inlineStr">
        <is>
          <t>19:46:05</t>
        </is>
      </c>
      <c r="M5914" t="inlineStr">
        <is>
          <t>19:46:50</t>
        </is>
      </c>
      <c r="U5914" t="inlineStr">
        <is>
          <t>→西院 休憩(20:06〜21:06)</t>
        </is>
      </c>
    </row>
    <row r="5915" ht="15" customHeight="1" s="37">
      <c r="A5915" t="n">
        <v>15</v>
      </c>
      <c r="B5915" s="10" t="inlineStr">
        <is>
          <t>平日</t>
        </is>
      </c>
      <c r="C5915" s="10" t="inlineStr">
        <is>
          <t>本線</t>
        </is>
      </c>
      <c r="D5915" s="10" t="inlineStr">
        <is>
          <t>上り</t>
        </is>
      </c>
      <c r="E5915" t="inlineStr">
        <is>
          <t>1908</t>
        </is>
      </c>
      <c r="F5915" t="inlineStr">
        <is>
          <t>2221</t>
        </is>
      </c>
      <c r="G5915" s="10" t="inlineStr">
        <is>
          <t>山ノ内</t>
        </is>
      </c>
      <c r="H5915" s="10" t="inlineStr">
        <is>
          <t>発</t>
        </is>
      </c>
      <c r="J5915" s="10" t="inlineStr">
        <is>
          <t>営業</t>
        </is>
      </c>
      <c r="L5915" t="inlineStr">
        <is>
          <t>19:48:40</t>
        </is>
      </c>
      <c r="M5915" t="inlineStr">
        <is>
          <t>19:49:05</t>
        </is>
      </c>
      <c r="U5915" t="inlineStr">
        <is>
          <t>→西院 休憩(20:06〜21:06)</t>
        </is>
      </c>
    </row>
    <row r="5916" ht="15" customHeight="1" s="37">
      <c r="A5916" t="n">
        <v>15</v>
      </c>
      <c r="B5916" s="10" t="inlineStr">
        <is>
          <t>平日</t>
        </is>
      </c>
      <c r="C5916" s="10" t="inlineStr">
        <is>
          <t>本線</t>
        </is>
      </c>
      <c r="D5916" s="10" t="inlineStr">
        <is>
          <t>上り</t>
        </is>
      </c>
      <c r="E5916" t="inlineStr">
        <is>
          <t>1908</t>
        </is>
      </c>
      <c r="F5916" t="inlineStr">
        <is>
          <t>2221</t>
        </is>
      </c>
      <c r="G5916" s="10" t="inlineStr">
        <is>
          <t>西大路三条</t>
        </is>
      </c>
      <c r="H5916" s="10" t="inlineStr">
        <is>
          <t>発</t>
        </is>
      </c>
      <c r="J5916" s="10" t="inlineStr">
        <is>
          <t>営業</t>
        </is>
      </c>
      <c r="L5916" t="inlineStr">
        <is>
          <t>19:50:55</t>
        </is>
      </c>
      <c r="M5916" t="inlineStr">
        <is>
          <t>19:51:15</t>
        </is>
      </c>
      <c r="U5916" t="inlineStr">
        <is>
          <t>→西院 休憩(20:06〜21:06)</t>
        </is>
      </c>
    </row>
    <row r="5917" ht="15" customHeight="1" s="37">
      <c r="A5917" t="n">
        <v>15</v>
      </c>
      <c r="B5917" s="10" t="inlineStr">
        <is>
          <t>平日</t>
        </is>
      </c>
      <c r="C5917" s="10" t="inlineStr">
        <is>
          <t>本線</t>
        </is>
      </c>
      <c r="D5917" s="10" t="inlineStr">
        <is>
          <t>上り</t>
        </is>
      </c>
      <c r="E5917" t="inlineStr">
        <is>
          <t>1908</t>
        </is>
      </c>
      <c r="F5917" t="inlineStr">
        <is>
          <t>2221</t>
        </is>
      </c>
      <c r="G5917" s="10" t="inlineStr">
        <is>
          <t>西院</t>
        </is>
      </c>
      <c r="H5917" s="10" t="inlineStr">
        <is>
          <t>発</t>
        </is>
      </c>
      <c r="J5917" s="10" t="inlineStr">
        <is>
          <t>営業</t>
        </is>
      </c>
      <c r="L5917" t="inlineStr">
        <is>
          <t>19:53:10</t>
        </is>
      </c>
      <c r="M5917" t="inlineStr">
        <is>
          <t>19:54:05</t>
        </is>
      </c>
      <c r="U5917" t="inlineStr">
        <is>
          <t>→西院 休憩(20:06〜21:06)</t>
        </is>
      </c>
    </row>
    <row r="5918" ht="15" customHeight="1" s="37">
      <c r="A5918" t="n">
        <v>15</v>
      </c>
      <c r="B5918" s="10" t="inlineStr">
        <is>
          <t>平日</t>
        </is>
      </c>
      <c r="C5918" s="10" t="inlineStr">
        <is>
          <t>本線</t>
        </is>
      </c>
      <c r="D5918" s="10" t="inlineStr">
        <is>
          <t>上り</t>
        </is>
      </c>
      <c r="E5918" t="inlineStr">
        <is>
          <t>1908</t>
        </is>
      </c>
      <c r="F5918" t="inlineStr">
        <is>
          <t>2221</t>
        </is>
      </c>
      <c r="G5918" s="10" t="inlineStr">
        <is>
          <t>四条大宮</t>
        </is>
      </c>
      <c r="H5918" s="10" t="inlineStr">
        <is>
          <t>着</t>
        </is>
      </c>
      <c r="J5918" s="10" t="inlineStr">
        <is>
          <t>営業</t>
        </is>
      </c>
      <c r="L5918" t="inlineStr">
        <is>
          <t>19:57:00</t>
        </is>
      </c>
      <c r="Q5918" t="inlineStr">
        <is>
          <t>1</t>
        </is>
      </c>
      <c r="U5918" t="inlineStr">
        <is>
          <t>→西院 休憩(20:06〜21:06)</t>
        </is>
      </c>
    </row>
    <row r="5919" ht="15" customHeight="1" s="37">
      <c r="A5919" t="n">
        <v>15</v>
      </c>
      <c r="B5919" s="10" t="inlineStr">
        <is>
          <t>平日</t>
        </is>
      </c>
      <c r="C5919" s="10" t="inlineStr">
        <is>
          <t>本線</t>
        </is>
      </c>
      <c r="D5919" s="10" t="inlineStr">
        <is>
          <t>下り</t>
        </is>
      </c>
      <c r="E5919" t="inlineStr">
        <is>
          <t>2001</t>
        </is>
      </c>
      <c r="F5919" t="inlineStr">
        <is>
          <t>0122</t>
        </is>
      </c>
      <c r="G5919" s="10" t="inlineStr">
        <is>
          <t>四条大宮</t>
        </is>
      </c>
      <c r="H5919" s="10" t="inlineStr">
        <is>
          <t>発</t>
        </is>
      </c>
      <c r="J5919" s="10" t="inlineStr">
        <is>
          <t>営業</t>
        </is>
      </c>
      <c r="M5919" t="inlineStr">
        <is>
          <t>20:03:00</t>
        </is>
      </c>
      <c r="Q5919" t="inlineStr">
        <is>
          <t>1</t>
        </is>
      </c>
      <c r="U5919" t="inlineStr">
        <is>
          <t>→西院 休憩(20:06〜21:06)</t>
        </is>
      </c>
    </row>
    <row r="5920" ht="15" customHeight="1" s="37">
      <c r="A5920" t="n">
        <v>15</v>
      </c>
      <c r="B5920" s="10" t="inlineStr">
        <is>
          <t>平日</t>
        </is>
      </c>
      <c r="C5920" s="10" t="inlineStr">
        <is>
          <t>本線</t>
        </is>
      </c>
      <c r="D5920" s="10" t="inlineStr">
        <is>
          <t>下り</t>
        </is>
      </c>
      <c r="E5920" t="inlineStr">
        <is>
          <t>2001</t>
        </is>
      </c>
      <c r="F5920" t="inlineStr">
        <is>
          <t>0122</t>
        </is>
      </c>
      <c r="G5920" s="10" t="inlineStr">
        <is>
          <t>西院</t>
        </is>
      </c>
      <c r="H5920" s="10" t="inlineStr">
        <is>
          <t>着</t>
        </is>
      </c>
      <c r="J5920" s="10" t="inlineStr">
        <is>
          <t>営業</t>
        </is>
      </c>
      <c r="L5920" t="inlineStr">
        <is>
          <t>20:05:50</t>
        </is>
      </c>
      <c r="M5920" t="inlineStr">
        <is>
          <t>20:06:20</t>
        </is>
      </c>
      <c r="U5920" t="inlineStr">
        <is>
          <t>→西院 休憩(20:06〜21:06)</t>
        </is>
      </c>
    </row>
    <row r="5921" ht="15" customHeight="1" s="37">
      <c r="A5921" t="n">
        <v>15</v>
      </c>
      <c r="B5921" s="10" t="inlineStr">
        <is>
          <t>平日</t>
        </is>
      </c>
      <c r="C5921" s="10" t="inlineStr">
        <is>
          <t>本線</t>
        </is>
      </c>
      <c r="D5921" s="10" t="inlineStr">
        <is>
          <t>下り</t>
        </is>
      </c>
      <c r="E5921" t="inlineStr">
        <is>
          <t>2101</t>
        </is>
      </c>
      <c r="F5921" t="inlineStr">
        <is>
          <t>0122</t>
        </is>
      </c>
      <c r="G5921" s="10" t="inlineStr">
        <is>
          <t>西院</t>
        </is>
      </c>
      <c r="H5921" s="10" t="inlineStr">
        <is>
          <t>発</t>
        </is>
      </c>
      <c r="J5921" s="10" t="inlineStr">
        <is>
          <t>営業</t>
        </is>
      </c>
      <c r="L5921" t="inlineStr">
        <is>
          <t>21:05:50</t>
        </is>
      </c>
      <c r="M5921" t="inlineStr">
        <is>
          <t>21:06:20</t>
        </is>
      </c>
    </row>
    <row r="5922" ht="15" customHeight="1" s="37">
      <c r="A5922" t="n">
        <v>15</v>
      </c>
      <c r="B5922" s="10" t="inlineStr">
        <is>
          <t>平日</t>
        </is>
      </c>
      <c r="C5922" s="10" t="inlineStr">
        <is>
          <t>本線</t>
        </is>
      </c>
      <c r="D5922" s="10" t="inlineStr">
        <is>
          <t>下り</t>
        </is>
      </c>
      <c r="E5922" t="inlineStr">
        <is>
          <t>2101</t>
        </is>
      </c>
      <c r="F5922" t="inlineStr">
        <is>
          <t>0122</t>
        </is>
      </c>
      <c r="G5922" s="10" t="inlineStr">
        <is>
          <t>西大路三条</t>
        </is>
      </c>
      <c r="H5922" s="10" t="inlineStr">
        <is>
          <t>発</t>
        </is>
      </c>
      <c r="J5922" s="10" t="inlineStr">
        <is>
          <t>営業</t>
        </is>
      </c>
      <c r="L5922" t="inlineStr">
        <is>
          <t>21:08:10</t>
        </is>
      </c>
      <c r="M5922" t="inlineStr">
        <is>
          <t>21:08:30</t>
        </is>
      </c>
    </row>
    <row r="5923" ht="15" customHeight="1" s="37">
      <c r="A5923" t="n">
        <v>15</v>
      </c>
      <c r="B5923" s="10" t="inlineStr">
        <is>
          <t>平日</t>
        </is>
      </c>
      <c r="C5923" s="10" t="inlineStr">
        <is>
          <t>本線</t>
        </is>
      </c>
      <c r="D5923" s="10" t="inlineStr">
        <is>
          <t>下り</t>
        </is>
      </c>
      <c r="E5923" t="inlineStr">
        <is>
          <t>2101</t>
        </is>
      </c>
      <c r="F5923" t="inlineStr">
        <is>
          <t>0122</t>
        </is>
      </c>
      <c r="G5923" s="10" t="inlineStr">
        <is>
          <t>山ノ内</t>
        </is>
      </c>
      <c r="H5923" s="10" t="inlineStr">
        <is>
          <t>発</t>
        </is>
      </c>
      <c r="J5923" s="10" t="inlineStr">
        <is>
          <t>営業</t>
        </is>
      </c>
      <c r="L5923" t="inlineStr">
        <is>
          <t>21:10:25</t>
        </is>
      </c>
      <c r="M5923" t="inlineStr">
        <is>
          <t>21:10:50</t>
        </is>
      </c>
    </row>
    <row r="5924" ht="15" customHeight="1" s="37">
      <c r="A5924" t="n">
        <v>15</v>
      </c>
      <c r="B5924" s="10" t="inlineStr">
        <is>
          <t>平日</t>
        </is>
      </c>
      <c r="C5924" s="10" t="inlineStr">
        <is>
          <t>本線</t>
        </is>
      </c>
      <c r="D5924" s="10" t="inlineStr">
        <is>
          <t>下り</t>
        </is>
      </c>
      <c r="E5924" t="inlineStr">
        <is>
          <t>2101</t>
        </is>
      </c>
      <c r="F5924" t="inlineStr">
        <is>
          <t>0122</t>
        </is>
      </c>
      <c r="G5924" s="10" t="inlineStr">
        <is>
          <t>天神川</t>
        </is>
      </c>
      <c r="H5924" s="10" t="inlineStr">
        <is>
          <t>発</t>
        </is>
      </c>
      <c r="J5924" s="10" t="inlineStr">
        <is>
          <t>営業</t>
        </is>
      </c>
      <c r="L5924" t="inlineStr">
        <is>
          <t>21:12:50</t>
        </is>
      </c>
      <c r="M5924" t="inlineStr">
        <is>
          <t>21:13:30</t>
        </is>
      </c>
    </row>
    <row r="5925" ht="15" customHeight="1" s="37">
      <c r="A5925" t="n">
        <v>15</v>
      </c>
      <c r="B5925" s="10" t="inlineStr">
        <is>
          <t>平日</t>
        </is>
      </c>
      <c r="C5925" s="10" t="inlineStr">
        <is>
          <t>本線</t>
        </is>
      </c>
      <c r="D5925" s="10" t="inlineStr">
        <is>
          <t>下り</t>
        </is>
      </c>
      <c r="E5925" t="inlineStr">
        <is>
          <t>2101</t>
        </is>
      </c>
      <c r="F5925" t="inlineStr">
        <is>
          <t>0122</t>
        </is>
      </c>
      <c r="G5925" s="10" t="inlineStr">
        <is>
          <t>蚕ノ社</t>
        </is>
      </c>
      <c r="H5925" s="10" t="inlineStr">
        <is>
          <t>発</t>
        </is>
      </c>
      <c r="J5925" s="10" t="inlineStr">
        <is>
          <t>営業</t>
        </is>
      </c>
      <c r="L5925" t="inlineStr">
        <is>
          <t>21:14:20</t>
        </is>
      </c>
      <c r="M5925" t="inlineStr">
        <is>
          <t>21:14:40</t>
        </is>
      </c>
    </row>
    <row r="5926" ht="15" customHeight="1" s="37">
      <c r="A5926" t="n">
        <v>15</v>
      </c>
      <c r="B5926" s="10" t="inlineStr">
        <is>
          <t>平日</t>
        </is>
      </c>
      <c r="C5926" s="10" t="inlineStr">
        <is>
          <t>本線</t>
        </is>
      </c>
      <c r="D5926" s="10" t="inlineStr">
        <is>
          <t>下り</t>
        </is>
      </c>
      <c r="E5926" t="inlineStr">
        <is>
          <t>2101</t>
        </is>
      </c>
      <c r="F5926" t="inlineStr">
        <is>
          <t>0122</t>
        </is>
      </c>
      <c r="G5926" s="10" t="inlineStr">
        <is>
          <t>太秦広隆寺</t>
        </is>
      </c>
      <c r="H5926" s="10" t="inlineStr">
        <is>
          <t>発</t>
        </is>
      </c>
      <c r="J5926" s="10" t="inlineStr">
        <is>
          <t>営業</t>
        </is>
      </c>
      <c r="L5926" t="inlineStr">
        <is>
          <t>21:16:00</t>
        </is>
      </c>
      <c r="M5926" t="inlineStr">
        <is>
          <t>21:16:20</t>
        </is>
      </c>
    </row>
    <row r="5927" ht="15" customHeight="1" s="37">
      <c r="A5927" t="n">
        <v>15</v>
      </c>
      <c r="B5927" s="10" t="inlineStr">
        <is>
          <t>平日</t>
        </is>
      </c>
      <c r="C5927" s="10" t="inlineStr">
        <is>
          <t>本線</t>
        </is>
      </c>
      <c r="D5927" s="10" t="inlineStr">
        <is>
          <t>下り</t>
        </is>
      </c>
      <c r="E5927" t="inlineStr">
        <is>
          <t>2101</t>
        </is>
      </c>
      <c r="F5927" t="inlineStr">
        <is>
          <t>0122</t>
        </is>
      </c>
      <c r="G5927" s="10" t="inlineStr">
        <is>
          <t>帷子ノ辻</t>
        </is>
      </c>
      <c r="H5927" s="10" t="inlineStr">
        <is>
          <t>発</t>
        </is>
      </c>
      <c r="J5927" s="10" t="inlineStr">
        <is>
          <t>営業</t>
        </is>
      </c>
      <c r="L5927" t="inlineStr">
        <is>
          <t>21:18:20</t>
        </is>
      </c>
      <c r="M5927" t="inlineStr">
        <is>
          <t>21:19:40</t>
        </is>
      </c>
    </row>
    <row r="5928" ht="15" customHeight="1" s="37">
      <c r="A5928" t="n">
        <v>15</v>
      </c>
      <c r="B5928" s="10" t="inlineStr">
        <is>
          <t>平日</t>
        </is>
      </c>
      <c r="C5928" s="10" t="inlineStr">
        <is>
          <t>本線</t>
        </is>
      </c>
      <c r="D5928" s="10" t="inlineStr">
        <is>
          <t>下り</t>
        </is>
      </c>
      <c r="E5928" t="inlineStr">
        <is>
          <t>2101</t>
        </is>
      </c>
      <c r="F5928" t="inlineStr">
        <is>
          <t>0122</t>
        </is>
      </c>
      <c r="G5928" s="10" t="inlineStr">
        <is>
          <t>有栖川</t>
        </is>
      </c>
      <c r="H5928" s="10" t="inlineStr">
        <is>
          <t>発</t>
        </is>
      </c>
      <c r="J5928" s="10" t="inlineStr">
        <is>
          <t>営業</t>
        </is>
      </c>
      <c r="L5928" t="inlineStr">
        <is>
          <t>21:20:50</t>
        </is>
      </c>
      <c r="M5928" t="inlineStr">
        <is>
          <t>21:21:15</t>
        </is>
      </c>
    </row>
    <row r="5929" ht="15" customHeight="1" s="37">
      <c r="A5929" t="n">
        <v>15</v>
      </c>
      <c r="B5929" s="10" t="inlineStr">
        <is>
          <t>平日</t>
        </is>
      </c>
      <c r="C5929" s="10" t="inlineStr">
        <is>
          <t>本線</t>
        </is>
      </c>
      <c r="D5929" s="10" t="inlineStr">
        <is>
          <t>下り</t>
        </is>
      </c>
      <c r="E5929" t="inlineStr">
        <is>
          <t>2101</t>
        </is>
      </c>
      <c r="F5929" t="inlineStr">
        <is>
          <t>0122</t>
        </is>
      </c>
      <c r="G5929" s="10" t="inlineStr">
        <is>
          <t>車折</t>
        </is>
      </c>
      <c r="H5929" s="10" t="inlineStr">
        <is>
          <t>発</t>
        </is>
      </c>
      <c r="J5929" s="10" t="inlineStr">
        <is>
          <t>営業</t>
        </is>
      </c>
      <c r="L5929" t="inlineStr">
        <is>
          <t>21:22:40</t>
        </is>
      </c>
      <c r="M5929" t="inlineStr">
        <is>
          <t>21:23:05</t>
        </is>
      </c>
    </row>
    <row r="5930" ht="15" customHeight="1" s="37">
      <c r="A5930" t="n">
        <v>15</v>
      </c>
      <c r="B5930" s="10" t="inlineStr">
        <is>
          <t>平日</t>
        </is>
      </c>
      <c r="C5930" s="10" t="inlineStr">
        <is>
          <t>本線</t>
        </is>
      </c>
      <c r="D5930" s="10" t="inlineStr">
        <is>
          <t>下り</t>
        </is>
      </c>
      <c r="E5930" t="inlineStr">
        <is>
          <t>2101</t>
        </is>
      </c>
      <c r="F5930" t="inlineStr">
        <is>
          <t>0122</t>
        </is>
      </c>
      <c r="G5930" s="10" t="inlineStr">
        <is>
          <t>鹿王院</t>
        </is>
      </c>
      <c r="H5930" s="10" t="inlineStr">
        <is>
          <t>発</t>
        </is>
      </c>
      <c r="J5930" s="10" t="inlineStr">
        <is>
          <t>営業</t>
        </is>
      </c>
      <c r="L5930" t="inlineStr">
        <is>
          <t>21:24:00</t>
        </is>
      </c>
      <c r="M5930" t="inlineStr">
        <is>
          <t>21:24:25</t>
        </is>
      </c>
    </row>
    <row r="5931" ht="15" customHeight="1" s="37">
      <c r="A5931" t="n">
        <v>15</v>
      </c>
      <c r="B5931" s="10" t="inlineStr">
        <is>
          <t>平日</t>
        </is>
      </c>
      <c r="C5931" s="10" t="inlineStr">
        <is>
          <t>本線</t>
        </is>
      </c>
      <c r="D5931" s="10" t="inlineStr">
        <is>
          <t>下り</t>
        </is>
      </c>
      <c r="E5931" t="inlineStr">
        <is>
          <t>2101</t>
        </is>
      </c>
      <c r="F5931" t="inlineStr">
        <is>
          <t>0122</t>
        </is>
      </c>
      <c r="G5931" s="10" t="inlineStr">
        <is>
          <t>嵯峨</t>
        </is>
      </c>
      <c r="H5931" s="10" t="inlineStr">
        <is>
          <t>発</t>
        </is>
      </c>
      <c r="J5931" s="10" t="inlineStr">
        <is>
          <t>営業</t>
        </is>
      </c>
      <c r="L5931" t="inlineStr">
        <is>
          <t>21:25:30</t>
        </is>
      </c>
      <c r="M5931" t="inlineStr">
        <is>
          <t>21:25:55</t>
        </is>
      </c>
    </row>
    <row r="5932" ht="15" customHeight="1" s="37">
      <c r="A5932" t="n">
        <v>15</v>
      </c>
      <c r="B5932" s="10" t="inlineStr">
        <is>
          <t>平日</t>
        </is>
      </c>
      <c r="C5932" s="10" t="inlineStr">
        <is>
          <t>本線</t>
        </is>
      </c>
      <c r="D5932" s="10" t="inlineStr">
        <is>
          <t>下り</t>
        </is>
      </c>
      <c r="E5932" t="inlineStr">
        <is>
          <t>2101</t>
        </is>
      </c>
      <c r="F5932" t="inlineStr">
        <is>
          <t>0122</t>
        </is>
      </c>
      <c r="G5932" s="10" t="inlineStr">
        <is>
          <t>嵐山</t>
        </is>
      </c>
      <c r="H5932" s="10" t="inlineStr">
        <is>
          <t>着</t>
        </is>
      </c>
      <c r="J5932" s="10" t="inlineStr">
        <is>
          <t>営業</t>
        </is>
      </c>
      <c r="L5932" t="inlineStr">
        <is>
          <t>21:27:00</t>
        </is>
      </c>
      <c r="N5932" t="inlineStr">
        <is>
          <t>○</t>
        </is>
      </c>
      <c r="Q5932" t="inlineStr">
        <is>
          <t>1</t>
        </is>
      </c>
    </row>
    <row r="5933" ht="15" customHeight="1" s="37">
      <c r="A5933" t="n">
        <v>15</v>
      </c>
      <c r="B5933" s="10" t="inlineStr">
        <is>
          <t>平日</t>
        </is>
      </c>
      <c r="C5933" s="10" t="inlineStr">
        <is>
          <t>本線</t>
        </is>
      </c>
      <c r="D5933" s="10" t="inlineStr">
        <is>
          <t>上り</t>
        </is>
      </c>
      <c r="E5933" t="inlineStr">
        <is>
          <t>2108</t>
        </is>
      </c>
      <c r="F5933" t="inlineStr">
        <is>
          <t>0221</t>
        </is>
      </c>
      <c r="G5933" s="10" t="inlineStr">
        <is>
          <t>嵐山</t>
        </is>
      </c>
      <c r="H5933" s="10" t="inlineStr">
        <is>
          <t>発</t>
        </is>
      </c>
      <c r="J5933" s="10" t="inlineStr">
        <is>
          <t>営業</t>
        </is>
      </c>
      <c r="M5933" t="inlineStr">
        <is>
          <t>21:34:00</t>
        </is>
      </c>
      <c r="Q5933" t="inlineStr">
        <is>
          <t>1</t>
        </is>
      </c>
      <c r="U5933" t="inlineStr">
        <is>
          <t>→西院 休憩(22:06〜22:33)</t>
        </is>
      </c>
    </row>
    <row r="5934" ht="15" customHeight="1" s="37">
      <c r="A5934" t="n">
        <v>15</v>
      </c>
      <c r="B5934" s="10" t="inlineStr">
        <is>
          <t>平日</t>
        </is>
      </c>
      <c r="C5934" s="10" t="inlineStr">
        <is>
          <t>本線</t>
        </is>
      </c>
      <c r="D5934" s="10" t="inlineStr">
        <is>
          <t>上り</t>
        </is>
      </c>
      <c r="E5934" t="inlineStr">
        <is>
          <t>2108</t>
        </is>
      </c>
      <c r="F5934" t="inlineStr">
        <is>
          <t>0221</t>
        </is>
      </c>
      <c r="G5934" s="10" t="inlineStr">
        <is>
          <t>嵯峨</t>
        </is>
      </c>
      <c r="H5934" s="10" t="inlineStr">
        <is>
          <t>発</t>
        </is>
      </c>
      <c r="J5934" s="10" t="inlineStr">
        <is>
          <t>営業</t>
        </is>
      </c>
      <c r="L5934" t="inlineStr">
        <is>
          <t>21:34:55</t>
        </is>
      </c>
      <c r="M5934" t="inlineStr">
        <is>
          <t>21:35:10</t>
        </is>
      </c>
      <c r="U5934" t="inlineStr">
        <is>
          <t>→西院 休憩(22:06〜22:33)</t>
        </is>
      </c>
    </row>
    <row r="5935" ht="15" customHeight="1" s="37">
      <c r="A5935" t="n">
        <v>15</v>
      </c>
      <c r="B5935" s="10" t="inlineStr">
        <is>
          <t>平日</t>
        </is>
      </c>
      <c r="C5935" s="10" t="inlineStr">
        <is>
          <t>本線</t>
        </is>
      </c>
      <c r="D5935" s="10" t="inlineStr">
        <is>
          <t>上り</t>
        </is>
      </c>
      <c r="E5935" t="inlineStr">
        <is>
          <t>2108</t>
        </is>
      </c>
      <c r="F5935" t="inlineStr">
        <is>
          <t>0221</t>
        </is>
      </c>
      <c r="G5935" s="10" t="inlineStr">
        <is>
          <t>鹿王院</t>
        </is>
      </c>
      <c r="H5935" s="10" t="inlineStr">
        <is>
          <t>発</t>
        </is>
      </c>
      <c r="J5935" s="10" t="inlineStr">
        <is>
          <t>営業</t>
        </is>
      </c>
      <c r="L5935" t="inlineStr">
        <is>
          <t>21:36:15</t>
        </is>
      </c>
      <c r="M5935" t="inlineStr">
        <is>
          <t>21:36:30</t>
        </is>
      </c>
      <c r="U5935" t="inlineStr">
        <is>
          <t>→西院 休憩(22:06〜22:33)</t>
        </is>
      </c>
    </row>
    <row r="5936" ht="15" customHeight="1" s="37">
      <c r="A5936" t="n">
        <v>15</v>
      </c>
      <c r="B5936" s="10" t="inlineStr">
        <is>
          <t>平日</t>
        </is>
      </c>
      <c r="C5936" s="10" t="inlineStr">
        <is>
          <t>本線</t>
        </is>
      </c>
      <c r="D5936" s="10" t="inlineStr">
        <is>
          <t>上り</t>
        </is>
      </c>
      <c r="E5936" t="inlineStr">
        <is>
          <t>2108</t>
        </is>
      </c>
      <c r="F5936" t="inlineStr">
        <is>
          <t>0221</t>
        </is>
      </c>
      <c r="G5936" s="10" t="inlineStr">
        <is>
          <t>車折</t>
        </is>
      </c>
      <c r="H5936" s="10" t="inlineStr">
        <is>
          <t>発</t>
        </is>
      </c>
      <c r="J5936" s="10" t="inlineStr">
        <is>
          <t>営業</t>
        </is>
      </c>
      <c r="L5936" t="inlineStr">
        <is>
          <t>21:37:25</t>
        </is>
      </c>
      <c r="M5936" t="inlineStr">
        <is>
          <t>21:37:40</t>
        </is>
      </c>
      <c r="U5936" t="inlineStr">
        <is>
          <t>→西院 休憩(22:06〜22:33)</t>
        </is>
      </c>
    </row>
    <row r="5937" ht="15" customHeight="1" s="37">
      <c r="A5937" t="n">
        <v>15</v>
      </c>
      <c r="B5937" s="10" t="inlineStr">
        <is>
          <t>平日</t>
        </is>
      </c>
      <c r="C5937" s="10" t="inlineStr">
        <is>
          <t>本線</t>
        </is>
      </c>
      <c r="D5937" s="10" t="inlineStr">
        <is>
          <t>上り</t>
        </is>
      </c>
      <c r="E5937" t="inlineStr">
        <is>
          <t>2108</t>
        </is>
      </c>
      <c r="F5937" t="inlineStr">
        <is>
          <t>0221</t>
        </is>
      </c>
      <c r="G5937" s="10" t="inlineStr">
        <is>
          <t>有栖川</t>
        </is>
      </c>
      <c r="H5937" s="10" t="inlineStr">
        <is>
          <t>発</t>
        </is>
      </c>
      <c r="J5937" s="10" t="inlineStr">
        <is>
          <t>営業</t>
        </is>
      </c>
      <c r="L5937" t="inlineStr">
        <is>
          <t>21:39:05</t>
        </is>
      </c>
      <c r="M5937" t="inlineStr">
        <is>
          <t>21:39:20</t>
        </is>
      </c>
      <c r="U5937" t="inlineStr">
        <is>
          <t>→西院 休憩(22:06〜22:33)</t>
        </is>
      </c>
    </row>
    <row r="5938" ht="15" customHeight="1" s="37">
      <c r="A5938" t="n">
        <v>15</v>
      </c>
      <c r="B5938" s="10" t="inlineStr">
        <is>
          <t>平日</t>
        </is>
      </c>
      <c r="C5938" s="10" t="inlineStr">
        <is>
          <t>本線</t>
        </is>
      </c>
      <c r="D5938" s="10" t="inlineStr">
        <is>
          <t>上り</t>
        </is>
      </c>
      <c r="E5938" t="inlineStr">
        <is>
          <t>2108</t>
        </is>
      </c>
      <c r="F5938" t="inlineStr">
        <is>
          <t>0221</t>
        </is>
      </c>
      <c r="G5938" s="10" t="inlineStr">
        <is>
          <t>帷子ノ辻</t>
        </is>
      </c>
      <c r="H5938" s="10" t="inlineStr">
        <is>
          <t>発</t>
        </is>
      </c>
      <c r="J5938" s="10" t="inlineStr">
        <is>
          <t>営業</t>
        </is>
      </c>
      <c r="L5938" t="inlineStr">
        <is>
          <t>21:40:35</t>
        </is>
      </c>
      <c r="M5938" t="inlineStr">
        <is>
          <t>21:41:05</t>
        </is>
      </c>
      <c r="U5938" t="inlineStr">
        <is>
          <t>→西院 休憩(22:06〜22:33)</t>
        </is>
      </c>
    </row>
    <row r="5939" ht="15" customHeight="1" s="37">
      <c r="A5939" t="n">
        <v>15</v>
      </c>
      <c r="B5939" s="10" t="inlineStr">
        <is>
          <t>平日</t>
        </is>
      </c>
      <c r="C5939" s="10" t="inlineStr">
        <is>
          <t>本線</t>
        </is>
      </c>
      <c r="D5939" s="10" t="inlineStr">
        <is>
          <t>上り</t>
        </is>
      </c>
      <c r="E5939" t="inlineStr">
        <is>
          <t>2108</t>
        </is>
      </c>
      <c r="F5939" t="inlineStr">
        <is>
          <t>0221</t>
        </is>
      </c>
      <c r="G5939" s="10" t="inlineStr">
        <is>
          <t>太秦広隆寺</t>
        </is>
      </c>
      <c r="H5939" s="10" t="inlineStr">
        <is>
          <t>発</t>
        </is>
      </c>
      <c r="J5939" s="10" t="inlineStr">
        <is>
          <t>営業</t>
        </is>
      </c>
      <c r="L5939" t="inlineStr">
        <is>
          <t>21:43:15</t>
        </is>
      </c>
      <c r="M5939" t="inlineStr">
        <is>
          <t>21:43:35</t>
        </is>
      </c>
      <c r="U5939" t="inlineStr">
        <is>
          <t>→西院 休憩(22:06〜22:33)</t>
        </is>
      </c>
    </row>
    <row r="5940" ht="15" customHeight="1" s="37">
      <c r="A5940" t="n">
        <v>15</v>
      </c>
      <c r="B5940" s="10" t="inlineStr">
        <is>
          <t>平日</t>
        </is>
      </c>
      <c r="C5940" s="10" t="inlineStr">
        <is>
          <t>本線</t>
        </is>
      </c>
      <c r="D5940" s="10" t="inlineStr">
        <is>
          <t>上り</t>
        </is>
      </c>
      <c r="E5940" t="inlineStr">
        <is>
          <t>2108</t>
        </is>
      </c>
      <c r="F5940" t="inlineStr">
        <is>
          <t>0221</t>
        </is>
      </c>
      <c r="G5940" s="10" t="inlineStr">
        <is>
          <t>蚕ノ社</t>
        </is>
      </c>
      <c r="H5940" s="10" t="inlineStr">
        <is>
          <t>発</t>
        </is>
      </c>
      <c r="J5940" s="10" t="inlineStr">
        <is>
          <t>営業</t>
        </is>
      </c>
      <c r="L5940" t="inlineStr">
        <is>
          <t>21:44:50</t>
        </is>
      </c>
      <c r="M5940" t="inlineStr">
        <is>
          <t>21:45:10</t>
        </is>
      </c>
      <c r="U5940" t="inlineStr">
        <is>
          <t>→西院 休憩(22:06〜22:33)</t>
        </is>
      </c>
    </row>
    <row r="5941" ht="15" customHeight="1" s="37">
      <c r="A5941" t="n">
        <v>15</v>
      </c>
      <c r="B5941" s="10" t="inlineStr">
        <is>
          <t>平日</t>
        </is>
      </c>
      <c r="C5941" s="10" t="inlineStr">
        <is>
          <t>本線</t>
        </is>
      </c>
      <c r="D5941" s="10" t="inlineStr">
        <is>
          <t>上り</t>
        </is>
      </c>
      <c r="E5941" t="inlineStr">
        <is>
          <t>2108</t>
        </is>
      </c>
      <c r="F5941" t="inlineStr">
        <is>
          <t>0221</t>
        </is>
      </c>
      <c r="G5941" s="10" t="inlineStr">
        <is>
          <t>天神川</t>
        </is>
      </c>
      <c r="H5941" s="10" t="inlineStr">
        <is>
          <t>発</t>
        </is>
      </c>
      <c r="J5941" s="10" t="inlineStr">
        <is>
          <t>営業</t>
        </is>
      </c>
      <c r="L5941" t="inlineStr">
        <is>
          <t>21:45:55</t>
        </is>
      </c>
      <c r="M5941" t="inlineStr">
        <is>
          <t>21:46:20</t>
        </is>
      </c>
      <c r="U5941" t="inlineStr">
        <is>
          <t>→西院 休憩(22:06〜22:33)</t>
        </is>
      </c>
    </row>
    <row r="5942" ht="15" customHeight="1" s="37">
      <c r="A5942" t="n">
        <v>15</v>
      </c>
      <c r="B5942" s="10" t="inlineStr">
        <is>
          <t>平日</t>
        </is>
      </c>
      <c r="C5942" s="10" t="inlineStr">
        <is>
          <t>本線</t>
        </is>
      </c>
      <c r="D5942" s="10" t="inlineStr">
        <is>
          <t>上り</t>
        </is>
      </c>
      <c r="E5942" t="inlineStr">
        <is>
          <t>2108</t>
        </is>
      </c>
      <c r="F5942" t="inlineStr">
        <is>
          <t>0221</t>
        </is>
      </c>
      <c r="G5942" s="10" t="inlineStr">
        <is>
          <t>山ノ内</t>
        </is>
      </c>
      <c r="H5942" s="10" t="inlineStr">
        <is>
          <t>発</t>
        </is>
      </c>
      <c r="J5942" s="10" t="inlineStr">
        <is>
          <t>営業</t>
        </is>
      </c>
      <c r="L5942" t="inlineStr">
        <is>
          <t>21:48:10</t>
        </is>
      </c>
      <c r="M5942" t="inlineStr">
        <is>
          <t>21:48:35</t>
        </is>
      </c>
      <c r="U5942" t="inlineStr">
        <is>
          <t>→西院 休憩(22:06〜22:33)</t>
        </is>
      </c>
    </row>
    <row r="5943" ht="15" customHeight="1" s="37">
      <c r="A5943" t="n">
        <v>15</v>
      </c>
      <c r="B5943" s="10" t="inlineStr">
        <is>
          <t>平日</t>
        </is>
      </c>
      <c r="C5943" s="10" t="inlineStr">
        <is>
          <t>本線</t>
        </is>
      </c>
      <c r="D5943" s="10" t="inlineStr">
        <is>
          <t>上り</t>
        </is>
      </c>
      <c r="E5943" t="inlineStr">
        <is>
          <t>2108</t>
        </is>
      </c>
      <c r="F5943" t="inlineStr">
        <is>
          <t>0221</t>
        </is>
      </c>
      <c r="G5943" s="10" t="inlineStr">
        <is>
          <t>西大路三条</t>
        </is>
      </c>
      <c r="H5943" s="10" t="inlineStr">
        <is>
          <t>発</t>
        </is>
      </c>
      <c r="J5943" s="10" t="inlineStr">
        <is>
          <t>営業</t>
        </is>
      </c>
      <c r="L5943" t="inlineStr">
        <is>
          <t>21:50:25</t>
        </is>
      </c>
      <c r="M5943" t="inlineStr">
        <is>
          <t>21:50:40</t>
        </is>
      </c>
      <c r="U5943" t="inlineStr">
        <is>
          <t>→西院 休憩(22:06〜22:33)</t>
        </is>
      </c>
    </row>
    <row r="5944" ht="15" customHeight="1" s="37">
      <c r="A5944" t="n">
        <v>15</v>
      </c>
      <c r="B5944" s="10" t="inlineStr">
        <is>
          <t>平日</t>
        </is>
      </c>
      <c r="C5944" s="10" t="inlineStr">
        <is>
          <t>本線</t>
        </is>
      </c>
      <c r="D5944" s="10" t="inlineStr">
        <is>
          <t>上り</t>
        </is>
      </c>
      <c r="E5944" t="inlineStr">
        <is>
          <t>2108</t>
        </is>
      </c>
      <c r="F5944" t="inlineStr">
        <is>
          <t>0221</t>
        </is>
      </c>
      <c r="G5944" s="10" t="inlineStr">
        <is>
          <t>西院</t>
        </is>
      </c>
      <c r="H5944" s="10" t="inlineStr">
        <is>
          <t>発</t>
        </is>
      </c>
      <c r="J5944" s="10" t="inlineStr">
        <is>
          <t>営業</t>
        </is>
      </c>
      <c r="L5944" t="inlineStr">
        <is>
          <t>21:52:35</t>
        </is>
      </c>
      <c r="M5944" t="inlineStr">
        <is>
          <t>21:53:05</t>
        </is>
      </c>
      <c r="U5944" t="inlineStr">
        <is>
          <t>→西院 休憩(22:06〜22:33)</t>
        </is>
      </c>
    </row>
    <row r="5945" ht="15" customHeight="1" s="37">
      <c r="A5945" t="n">
        <v>15</v>
      </c>
      <c r="B5945" s="10" t="inlineStr">
        <is>
          <t>平日</t>
        </is>
      </c>
      <c r="C5945" s="10" t="inlineStr">
        <is>
          <t>本線</t>
        </is>
      </c>
      <c r="D5945" s="10" t="inlineStr">
        <is>
          <t>上り</t>
        </is>
      </c>
      <c r="E5945" t="inlineStr">
        <is>
          <t>2108</t>
        </is>
      </c>
      <c r="F5945" t="inlineStr">
        <is>
          <t>0221</t>
        </is>
      </c>
      <c r="G5945" s="10" t="inlineStr">
        <is>
          <t>四条大宮</t>
        </is>
      </c>
      <c r="H5945" s="10" t="inlineStr">
        <is>
          <t>着</t>
        </is>
      </c>
      <c r="J5945" s="10" t="inlineStr">
        <is>
          <t>営業</t>
        </is>
      </c>
      <c r="L5945" t="inlineStr">
        <is>
          <t>21:56:00</t>
        </is>
      </c>
      <c r="N5945" t="inlineStr">
        <is>
          <t>○</t>
        </is>
      </c>
      <c r="Q5945" t="inlineStr">
        <is>
          <t>1</t>
        </is>
      </c>
      <c r="U5945" t="inlineStr">
        <is>
          <t>→西院 休憩(22:06〜22:33)</t>
        </is>
      </c>
    </row>
    <row r="5946" ht="15" customHeight="1" s="37">
      <c r="A5946" t="n">
        <v>15</v>
      </c>
      <c r="B5946" s="10" t="inlineStr">
        <is>
          <t>平日</t>
        </is>
      </c>
      <c r="C5946" s="10" t="inlineStr">
        <is>
          <t>本線</t>
        </is>
      </c>
      <c r="D5946" s="10" t="inlineStr">
        <is>
          <t>下り</t>
        </is>
      </c>
      <c r="E5946" t="inlineStr">
        <is>
          <t>2201</t>
        </is>
      </c>
      <c r="F5946" t="inlineStr">
        <is>
          <t>0122</t>
        </is>
      </c>
      <c r="G5946" s="10" t="inlineStr">
        <is>
          <t>四条大宮</t>
        </is>
      </c>
      <c r="H5946" s="10" t="inlineStr">
        <is>
          <t>発</t>
        </is>
      </c>
      <c r="J5946" s="10" t="inlineStr">
        <is>
          <t>営業</t>
        </is>
      </c>
      <c r="M5946" t="inlineStr">
        <is>
          <t>22:03:00</t>
        </is>
      </c>
      <c r="Q5946" t="inlineStr">
        <is>
          <t>1</t>
        </is>
      </c>
      <c r="U5946" t="inlineStr">
        <is>
          <t>→西院 休憩(22:06〜22:33)</t>
        </is>
      </c>
    </row>
    <row r="5947" ht="15" customHeight="1" s="37">
      <c r="A5947" t="n">
        <v>15</v>
      </c>
      <c r="B5947" s="10" t="inlineStr">
        <is>
          <t>平日</t>
        </is>
      </c>
      <c r="C5947" s="10" t="inlineStr">
        <is>
          <t>本線</t>
        </is>
      </c>
      <c r="D5947" s="10" t="inlineStr">
        <is>
          <t>下り</t>
        </is>
      </c>
      <c r="E5947" t="inlineStr">
        <is>
          <t>2201</t>
        </is>
      </c>
      <c r="F5947" t="inlineStr">
        <is>
          <t>0122</t>
        </is>
      </c>
      <c r="G5947" s="10" t="inlineStr">
        <is>
          <t>西院</t>
        </is>
      </c>
      <c r="H5947" s="10" t="inlineStr">
        <is>
          <t>着</t>
        </is>
      </c>
      <c r="J5947" s="10" t="inlineStr">
        <is>
          <t>営業</t>
        </is>
      </c>
      <c r="L5947" t="inlineStr">
        <is>
          <t>22:05:50</t>
        </is>
      </c>
      <c r="M5947" t="inlineStr">
        <is>
          <t>22:06:20</t>
        </is>
      </c>
      <c r="U5947" t="inlineStr">
        <is>
          <t>→西院 休憩(22:06〜22:33)</t>
        </is>
      </c>
    </row>
    <row r="5948" ht="15" customHeight="1" s="37">
      <c r="A5948" t="n">
        <v>15</v>
      </c>
      <c r="B5948" s="10" t="inlineStr">
        <is>
          <t>平日</t>
        </is>
      </c>
      <c r="C5948" s="10" t="inlineStr">
        <is>
          <t>本線</t>
        </is>
      </c>
      <c r="D5948" s="10" t="inlineStr">
        <is>
          <t>下り</t>
        </is>
      </c>
      <c r="E5948" t="inlineStr">
        <is>
          <t>2205</t>
        </is>
      </c>
      <c r="F5948" t="inlineStr">
        <is>
          <t>0122</t>
        </is>
      </c>
      <c r="G5948" s="10" t="inlineStr">
        <is>
          <t>西院</t>
        </is>
      </c>
      <c r="H5948" s="10" t="inlineStr">
        <is>
          <t>発</t>
        </is>
      </c>
      <c r="J5948" s="10" t="inlineStr">
        <is>
          <t>営業</t>
        </is>
      </c>
      <c r="L5948" t="inlineStr">
        <is>
          <t>22:32:50</t>
        </is>
      </c>
      <c r="M5948" t="inlineStr">
        <is>
          <t>22:33:20</t>
        </is>
      </c>
    </row>
    <row r="5949" ht="15" customHeight="1" s="37">
      <c r="A5949" t="n">
        <v>15</v>
      </c>
      <c r="B5949" s="10" t="inlineStr">
        <is>
          <t>平日</t>
        </is>
      </c>
      <c r="C5949" s="10" t="inlineStr">
        <is>
          <t>本線</t>
        </is>
      </c>
      <c r="D5949" s="10" t="inlineStr">
        <is>
          <t>下り</t>
        </is>
      </c>
      <c r="E5949" t="inlineStr">
        <is>
          <t>2205</t>
        </is>
      </c>
      <c r="F5949" t="inlineStr">
        <is>
          <t>0122</t>
        </is>
      </c>
      <c r="G5949" s="10" t="inlineStr">
        <is>
          <t>西大路三条</t>
        </is>
      </c>
      <c r="H5949" s="10" t="inlineStr">
        <is>
          <t>発</t>
        </is>
      </c>
      <c r="J5949" s="10" t="inlineStr">
        <is>
          <t>営業</t>
        </is>
      </c>
      <c r="L5949" t="inlineStr">
        <is>
          <t>22:35:10</t>
        </is>
      </c>
      <c r="M5949" t="inlineStr">
        <is>
          <t>22:35:30</t>
        </is>
      </c>
    </row>
    <row r="5950" ht="15" customHeight="1" s="37">
      <c r="A5950" t="n">
        <v>15</v>
      </c>
      <c r="B5950" s="10" t="inlineStr">
        <is>
          <t>平日</t>
        </is>
      </c>
      <c r="C5950" s="10" t="inlineStr">
        <is>
          <t>本線</t>
        </is>
      </c>
      <c r="D5950" s="10" t="inlineStr">
        <is>
          <t>下り</t>
        </is>
      </c>
      <c r="E5950" t="inlineStr">
        <is>
          <t>2205</t>
        </is>
      </c>
      <c r="F5950" t="inlineStr">
        <is>
          <t>0122</t>
        </is>
      </c>
      <c r="G5950" s="10" t="inlineStr">
        <is>
          <t>山ノ内</t>
        </is>
      </c>
      <c r="H5950" s="10" t="inlineStr">
        <is>
          <t>発</t>
        </is>
      </c>
      <c r="J5950" s="10" t="inlineStr">
        <is>
          <t>営業</t>
        </is>
      </c>
      <c r="L5950" t="inlineStr">
        <is>
          <t>22:37:25</t>
        </is>
      </c>
      <c r="M5950" t="inlineStr">
        <is>
          <t>22:37:50</t>
        </is>
      </c>
    </row>
    <row r="5951" ht="15" customHeight="1" s="37">
      <c r="A5951" t="n">
        <v>15</v>
      </c>
      <c r="B5951" s="10" t="inlineStr">
        <is>
          <t>平日</t>
        </is>
      </c>
      <c r="C5951" s="10" t="inlineStr">
        <is>
          <t>本線</t>
        </is>
      </c>
      <c r="D5951" s="10" t="inlineStr">
        <is>
          <t>下り</t>
        </is>
      </c>
      <c r="E5951" t="inlineStr">
        <is>
          <t>2205</t>
        </is>
      </c>
      <c r="F5951" t="inlineStr">
        <is>
          <t>0122</t>
        </is>
      </c>
      <c r="G5951" s="10" t="inlineStr">
        <is>
          <t>天神川</t>
        </is>
      </c>
      <c r="H5951" s="10" t="inlineStr">
        <is>
          <t>発</t>
        </is>
      </c>
      <c r="J5951" s="10" t="inlineStr">
        <is>
          <t>営業</t>
        </is>
      </c>
      <c r="L5951" t="inlineStr">
        <is>
          <t>22:39:50</t>
        </is>
      </c>
      <c r="M5951" t="inlineStr">
        <is>
          <t>22:40:30</t>
        </is>
      </c>
    </row>
    <row r="5952" ht="15" customHeight="1" s="37">
      <c r="A5952" t="n">
        <v>15</v>
      </c>
      <c r="B5952" s="10" t="inlineStr">
        <is>
          <t>平日</t>
        </is>
      </c>
      <c r="C5952" s="10" t="inlineStr">
        <is>
          <t>本線</t>
        </is>
      </c>
      <c r="D5952" s="10" t="inlineStr">
        <is>
          <t>下り</t>
        </is>
      </c>
      <c r="E5952" t="inlineStr">
        <is>
          <t>2205</t>
        </is>
      </c>
      <c r="F5952" t="inlineStr">
        <is>
          <t>0122</t>
        </is>
      </c>
      <c r="G5952" s="10" t="inlineStr">
        <is>
          <t>蚕ノ社</t>
        </is>
      </c>
      <c r="H5952" s="10" t="inlineStr">
        <is>
          <t>発</t>
        </is>
      </c>
      <c r="J5952" s="10" t="inlineStr">
        <is>
          <t>営業</t>
        </is>
      </c>
      <c r="L5952" t="inlineStr">
        <is>
          <t>22:41:20</t>
        </is>
      </c>
      <c r="M5952" t="inlineStr">
        <is>
          <t>22:41:40</t>
        </is>
      </c>
    </row>
    <row r="5953" ht="15" customHeight="1" s="37">
      <c r="A5953" t="n">
        <v>15</v>
      </c>
      <c r="B5953" s="10" t="inlineStr">
        <is>
          <t>平日</t>
        </is>
      </c>
      <c r="C5953" s="10" t="inlineStr">
        <is>
          <t>本線</t>
        </is>
      </c>
      <c r="D5953" s="10" t="inlineStr">
        <is>
          <t>下り</t>
        </is>
      </c>
      <c r="E5953" t="inlineStr">
        <is>
          <t>2205</t>
        </is>
      </c>
      <c r="F5953" t="inlineStr">
        <is>
          <t>0122</t>
        </is>
      </c>
      <c r="G5953" s="10" t="inlineStr">
        <is>
          <t>太秦広隆寺</t>
        </is>
      </c>
      <c r="H5953" s="10" t="inlineStr">
        <is>
          <t>発</t>
        </is>
      </c>
      <c r="J5953" s="10" t="inlineStr">
        <is>
          <t>営業</t>
        </is>
      </c>
      <c r="L5953" t="inlineStr">
        <is>
          <t>22:43:00</t>
        </is>
      </c>
      <c r="M5953" t="inlineStr">
        <is>
          <t>22:43:20</t>
        </is>
      </c>
    </row>
    <row r="5954" ht="15" customHeight="1" s="37">
      <c r="A5954" t="n">
        <v>15</v>
      </c>
      <c r="B5954" s="10" t="inlineStr">
        <is>
          <t>平日</t>
        </is>
      </c>
      <c r="C5954" s="10" t="inlineStr">
        <is>
          <t>本線</t>
        </is>
      </c>
      <c r="D5954" s="10" t="inlineStr">
        <is>
          <t>下り</t>
        </is>
      </c>
      <c r="E5954" t="inlineStr">
        <is>
          <t>2205</t>
        </is>
      </c>
      <c r="F5954" t="inlineStr">
        <is>
          <t>0122</t>
        </is>
      </c>
      <c r="G5954" s="10" t="inlineStr">
        <is>
          <t>帷子ノ辻</t>
        </is>
      </c>
      <c r="H5954" s="10" t="inlineStr">
        <is>
          <t>発</t>
        </is>
      </c>
      <c r="J5954" s="10" t="inlineStr">
        <is>
          <t>営業</t>
        </is>
      </c>
      <c r="L5954" t="inlineStr">
        <is>
          <t>22:45:20</t>
        </is>
      </c>
      <c r="M5954" t="inlineStr">
        <is>
          <t>22:46:40</t>
        </is>
      </c>
    </row>
    <row r="5955" ht="15" customHeight="1" s="37">
      <c r="A5955" t="n">
        <v>15</v>
      </c>
      <c r="B5955" s="10" t="inlineStr">
        <is>
          <t>平日</t>
        </is>
      </c>
      <c r="C5955" s="10" t="inlineStr">
        <is>
          <t>本線</t>
        </is>
      </c>
      <c r="D5955" s="10" t="inlineStr">
        <is>
          <t>下り</t>
        </is>
      </c>
      <c r="E5955" t="inlineStr">
        <is>
          <t>2205</t>
        </is>
      </c>
      <c r="F5955" t="inlineStr">
        <is>
          <t>0122</t>
        </is>
      </c>
      <c r="G5955" s="10" t="inlineStr">
        <is>
          <t>有栖川</t>
        </is>
      </c>
      <c r="H5955" s="10" t="inlineStr">
        <is>
          <t>発</t>
        </is>
      </c>
      <c r="J5955" s="10" t="inlineStr">
        <is>
          <t>営業</t>
        </is>
      </c>
      <c r="L5955" t="inlineStr">
        <is>
          <t>22:47:50</t>
        </is>
      </c>
      <c r="M5955" t="inlineStr">
        <is>
          <t>22:48:15</t>
        </is>
      </c>
    </row>
    <row r="5956" ht="15" customHeight="1" s="37">
      <c r="A5956" t="n">
        <v>15</v>
      </c>
      <c r="B5956" s="10" t="inlineStr">
        <is>
          <t>平日</t>
        </is>
      </c>
      <c r="C5956" s="10" t="inlineStr">
        <is>
          <t>本線</t>
        </is>
      </c>
      <c r="D5956" s="10" t="inlineStr">
        <is>
          <t>下り</t>
        </is>
      </c>
      <c r="E5956" t="inlineStr">
        <is>
          <t>2205</t>
        </is>
      </c>
      <c r="F5956" t="inlineStr">
        <is>
          <t>0122</t>
        </is>
      </c>
      <c r="G5956" s="10" t="inlineStr">
        <is>
          <t>車折</t>
        </is>
      </c>
      <c r="H5956" s="10" t="inlineStr">
        <is>
          <t>発</t>
        </is>
      </c>
      <c r="J5956" s="10" t="inlineStr">
        <is>
          <t>営業</t>
        </is>
      </c>
      <c r="L5956" t="inlineStr">
        <is>
          <t>22:49:40</t>
        </is>
      </c>
      <c r="M5956" t="inlineStr">
        <is>
          <t>22:50:05</t>
        </is>
      </c>
    </row>
    <row r="5957" ht="15" customHeight="1" s="37">
      <c r="A5957" t="n">
        <v>15</v>
      </c>
      <c r="B5957" s="10" t="inlineStr">
        <is>
          <t>平日</t>
        </is>
      </c>
      <c r="C5957" s="10" t="inlineStr">
        <is>
          <t>本線</t>
        </is>
      </c>
      <c r="D5957" s="10" t="inlineStr">
        <is>
          <t>下り</t>
        </is>
      </c>
      <c r="E5957" t="inlineStr">
        <is>
          <t>2205</t>
        </is>
      </c>
      <c r="F5957" t="inlineStr">
        <is>
          <t>0122</t>
        </is>
      </c>
      <c r="G5957" s="10" t="inlineStr">
        <is>
          <t>鹿王院</t>
        </is>
      </c>
      <c r="H5957" s="10" t="inlineStr">
        <is>
          <t>発</t>
        </is>
      </c>
      <c r="J5957" s="10" t="inlineStr">
        <is>
          <t>営業</t>
        </is>
      </c>
      <c r="L5957" t="inlineStr">
        <is>
          <t>22:51:00</t>
        </is>
      </c>
      <c r="M5957" t="inlineStr">
        <is>
          <t>22:51:25</t>
        </is>
      </c>
    </row>
    <row r="5958" ht="15" customHeight="1" s="37">
      <c r="A5958" t="n">
        <v>15</v>
      </c>
      <c r="B5958" s="10" t="inlineStr">
        <is>
          <t>平日</t>
        </is>
      </c>
      <c r="C5958" s="10" t="inlineStr">
        <is>
          <t>本線</t>
        </is>
      </c>
      <c r="D5958" s="10" t="inlineStr">
        <is>
          <t>下り</t>
        </is>
      </c>
      <c r="E5958" t="inlineStr">
        <is>
          <t>2205</t>
        </is>
      </c>
      <c r="F5958" t="inlineStr">
        <is>
          <t>0122</t>
        </is>
      </c>
      <c r="G5958" s="10" t="inlineStr">
        <is>
          <t>嵯峨</t>
        </is>
      </c>
      <c r="H5958" s="10" t="inlineStr">
        <is>
          <t>発</t>
        </is>
      </c>
      <c r="J5958" s="10" t="inlineStr">
        <is>
          <t>営業</t>
        </is>
      </c>
      <c r="L5958" t="inlineStr">
        <is>
          <t>22:52:30</t>
        </is>
      </c>
      <c r="M5958" t="inlineStr">
        <is>
          <t>22:52:55</t>
        </is>
      </c>
    </row>
    <row r="5959" ht="15" customHeight="1" s="37">
      <c r="A5959" t="n">
        <v>15</v>
      </c>
      <c r="B5959" s="10" t="inlineStr">
        <is>
          <t>平日</t>
        </is>
      </c>
      <c r="C5959" s="10" t="inlineStr">
        <is>
          <t>本線</t>
        </is>
      </c>
      <c r="D5959" s="10" t="inlineStr">
        <is>
          <t>下り</t>
        </is>
      </c>
      <c r="E5959" t="inlineStr">
        <is>
          <t>2205</t>
        </is>
      </c>
      <c r="F5959" t="inlineStr">
        <is>
          <t>0122</t>
        </is>
      </c>
      <c r="G5959" s="10" t="inlineStr">
        <is>
          <t>嵐山</t>
        </is>
      </c>
      <c r="H5959" s="10" t="inlineStr">
        <is>
          <t>着</t>
        </is>
      </c>
      <c r="J5959" s="10" t="inlineStr">
        <is>
          <t>営業</t>
        </is>
      </c>
      <c r="L5959" t="inlineStr">
        <is>
          <t>22:54:00</t>
        </is>
      </c>
      <c r="N5959" t="inlineStr">
        <is>
          <t>○</t>
        </is>
      </c>
      <c r="Q5959" t="inlineStr">
        <is>
          <t>1</t>
        </is>
      </c>
    </row>
    <row r="5960" ht="15" customHeight="1" s="37">
      <c r="A5960" t="n">
        <v>15</v>
      </c>
      <c r="B5960" s="10" t="inlineStr">
        <is>
          <t>平日</t>
        </is>
      </c>
      <c r="C5960" s="10" t="inlineStr">
        <is>
          <t>本線</t>
        </is>
      </c>
      <c r="D5960" s="10" t="inlineStr">
        <is>
          <t>上り</t>
        </is>
      </c>
      <c r="E5960" t="inlineStr">
        <is>
          <t>2302</t>
        </is>
      </c>
      <c r="F5960" t="inlineStr">
        <is>
          <t>0221</t>
        </is>
      </c>
      <c r="G5960" s="10" t="inlineStr">
        <is>
          <t>嵐山</t>
        </is>
      </c>
      <c r="H5960" s="10" t="inlineStr">
        <is>
          <t>発</t>
        </is>
      </c>
      <c r="J5960" s="10" t="inlineStr">
        <is>
          <t>営業</t>
        </is>
      </c>
      <c r="M5960" t="inlineStr">
        <is>
          <t>23:02:00</t>
        </is>
      </c>
      <c r="Q5960" t="inlineStr">
        <is>
          <t>1</t>
        </is>
      </c>
    </row>
    <row r="5961" ht="15" customHeight="1" s="37">
      <c r="A5961" t="n">
        <v>15</v>
      </c>
      <c r="B5961" s="10" t="inlineStr">
        <is>
          <t>平日</t>
        </is>
      </c>
      <c r="C5961" s="10" t="inlineStr">
        <is>
          <t>本線</t>
        </is>
      </c>
      <c r="D5961" s="10" t="inlineStr">
        <is>
          <t>上り</t>
        </is>
      </c>
      <c r="E5961" t="inlineStr">
        <is>
          <t>2302</t>
        </is>
      </c>
      <c r="F5961" t="inlineStr">
        <is>
          <t>0221</t>
        </is>
      </c>
      <c r="G5961" s="10" t="inlineStr">
        <is>
          <t>嵯峨</t>
        </is>
      </c>
      <c r="H5961" s="10" t="inlineStr">
        <is>
          <t>発</t>
        </is>
      </c>
      <c r="J5961" s="10" t="inlineStr">
        <is>
          <t>営業</t>
        </is>
      </c>
      <c r="L5961" t="inlineStr">
        <is>
          <t>23:02:55</t>
        </is>
      </c>
      <c r="M5961" t="inlineStr">
        <is>
          <t>23:03:10</t>
        </is>
      </c>
    </row>
    <row r="5962" ht="15" customHeight="1" s="37">
      <c r="A5962" t="n">
        <v>15</v>
      </c>
      <c r="B5962" s="10" t="inlineStr">
        <is>
          <t>平日</t>
        </is>
      </c>
      <c r="C5962" s="10" t="inlineStr">
        <is>
          <t>本線</t>
        </is>
      </c>
      <c r="D5962" s="10" t="inlineStr">
        <is>
          <t>上り</t>
        </is>
      </c>
      <c r="E5962" t="inlineStr">
        <is>
          <t>2302</t>
        </is>
      </c>
      <c r="F5962" t="inlineStr">
        <is>
          <t>0221</t>
        </is>
      </c>
      <c r="G5962" s="10" t="inlineStr">
        <is>
          <t>鹿王院</t>
        </is>
      </c>
      <c r="H5962" s="10" t="inlineStr">
        <is>
          <t>発</t>
        </is>
      </c>
      <c r="J5962" s="10" t="inlineStr">
        <is>
          <t>営業</t>
        </is>
      </c>
      <c r="L5962" t="inlineStr">
        <is>
          <t>23:04:15</t>
        </is>
      </c>
      <c r="M5962" t="inlineStr">
        <is>
          <t>23:04:30</t>
        </is>
      </c>
    </row>
    <row r="5963" ht="15" customHeight="1" s="37">
      <c r="A5963" t="n">
        <v>15</v>
      </c>
      <c r="B5963" s="10" t="inlineStr">
        <is>
          <t>平日</t>
        </is>
      </c>
      <c r="C5963" s="10" t="inlineStr">
        <is>
          <t>本線</t>
        </is>
      </c>
      <c r="D5963" s="10" t="inlineStr">
        <is>
          <t>上り</t>
        </is>
      </c>
      <c r="E5963" t="inlineStr">
        <is>
          <t>2302</t>
        </is>
      </c>
      <c r="F5963" t="inlineStr">
        <is>
          <t>0221</t>
        </is>
      </c>
      <c r="G5963" s="10" t="inlineStr">
        <is>
          <t>車折</t>
        </is>
      </c>
      <c r="H5963" s="10" t="inlineStr">
        <is>
          <t>発</t>
        </is>
      </c>
      <c r="J5963" s="10" t="inlineStr">
        <is>
          <t>営業</t>
        </is>
      </c>
      <c r="L5963" t="inlineStr">
        <is>
          <t>23:05:25</t>
        </is>
      </c>
      <c r="M5963" t="inlineStr">
        <is>
          <t>23:05:40</t>
        </is>
      </c>
    </row>
    <row r="5964" ht="15" customHeight="1" s="37">
      <c r="A5964" t="n">
        <v>15</v>
      </c>
      <c r="B5964" s="10" t="inlineStr">
        <is>
          <t>平日</t>
        </is>
      </c>
      <c r="C5964" s="10" t="inlineStr">
        <is>
          <t>本線</t>
        </is>
      </c>
      <c r="D5964" s="10" t="inlineStr">
        <is>
          <t>上り</t>
        </is>
      </c>
      <c r="E5964" t="inlineStr">
        <is>
          <t>2302</t>
        </is>
      </c>
      <c r="F5964" t="inlineStr">
        <is>
          <t>0221</t>
        </is>
      </c>
      <c r="G5964" s="10" t="inlineStr">
        <is>
          <t>有栖川</t>
        </is>
      </c>
      <c r="H5964" s="10" t="inlineStr">
        <is>
          <t>発</t>
        </is>
      </c>
      <c r="J5964" s="10" t="inlineStr">
        <is>
          <t>営業</t>
        </is>
      </c>
      <c r="L5964" t="inlineStr">
        <is>
          <t>23:07:05</t>
        </is>
      </c>
      <c r="M5964" t="inlineStr">
        <is>
          <t>23:07:20</t>
        </is>
      </c>
    </row>
    <row r="5965" ht="15" customHeight="1" s="37">
      <c r="A5965" t="n">
        <v>15</v>
      </c>
      <c r="B5965" s="10" t="inlineStr">
        <is>
          <t>平日</t>
        </is>
      </c>
      <c r="C5965" s="10" t="inlineStr">
        <is>
          <t>本線</t>
        </is>
      </c>
      <c r="D5965" s="10" t="inlineStr">
        <is>
          <t>上り</t>
        </is>
      </c>
      <c r="E5965" t="inlineStr">
        <is>
          <t>2302</t>
        </is>
      </c>
      <c r="F5965" t="inlineStr">
        <is>
          <t>0221</t>
        </is>
      </c>
      <c r="G5965" s="10" t="inlineStr">
        <is>
          <t>帷子ノ辻</t>
        </is>
      </c>
      <c r="H5965" s="10" t="inlineStr">
        <is>
          <t>発</t>
        </is>
      </c>
      <c r="J5965" s="10" t="inlineStr">
        <is>
          <t>営業</t>
        </is>
      </c>
      <c r="L5965" t="inlineStr">
        <is>
          <t>23:08:35</t>
        </is>
      </c>
      <c r="M5965" t="inlineStr">
        <is>
          <t>23:09:05</t>
        </is>
      </c>
    </row>
    <row r="5966" ht="15" customHeight="1" s="37">
      <c r="A5966" t="n">
        <v>15</v>
      </c>
      <c r="B5966" s="10" t="inlineStr">
        <is>
          <t>平日</t>
        </is>
      </c>
      <c r="C5966" s="10" t="inlineStr">
        <is>
          <t>本線</t>
        </is>
      </c>
      <c r="D5966" s="10" t="inlineStr">
        <is>
          <t>上り</t>
        </is>
      </c>
      <c r="E5966" t="inlineStr">
        <is>
          <t>2302</t>
        </is>
      </c>
      <c r="F5966" t="inlineStr">
        <is>
          <t>0221</t>
        </is>
      </c>
      <c r="G5966" s="10" t="inlineStr">
        <is>
          <t>太秦広隆寺</t>
        </is>
      </c>
      <c r="H5966" s="10" t="inlineStr">
        <is>
          <t>発</t>
        </is>
      </c>
      <c r="J5966" s="10" t="inlineStr">
        <is>
          <t>営業</t>
        </is>
      </c>
      <c r="L5966" t="inlineStr">
        <is>
          <t>23:11:15</t>
        </is>
      </c>
      <c r="M5966" t="inlineStr">
        <is>
          <t>23:11:35</t>
        </is>
      </c>
    </row>
    <row r="5967" ht="15" customHeight="1" s="37">
      <c r="A5967" t="n">
        <v>15</v>
      </c>
      <c r="B5967" s="10" t="inlineStr">
        <is>
          <t>平日</t>
        </is>
      </c>
      <c r="C5967" s="10" t="inlineStr">
        <is>
          <t>本線</t>
        </is>
      </c>
      <c r="D5967" s="10" t="inlineStr">
        <is>
          <t>上り</t>
        </is>
      </c>
      <c r="E5967" t="inlineStr">
        <is>
          <t>2302</t>
        </is>
      </c>
      <c r="F5967" t="inlineStr">
        <is>
          <t>0221</t>
        </is>
      </c>
      <c r="G5967" s="10" t="inlineStr">
        <is>
          <t>蚕ノ社</t>
        </is>
      </c>
      <c r="H5967" s="10" t="inlineStr">
        <is>
          <t>発</t>
        </is>
      </c>
      <c r="J5967" s="10" t="inlineStr">
        <is>
          <t>営業</t>
        </is>
      </c>
      <c r="L5967" t="inlineStr">
        <is>
          <t>23:12:50</t>
        </is>
      </c>
      <c r="M5967" t="inlineStr">
        <is>
          <t>23:13:10</t>
        </is>
      </c>
    </row>
    <row r="5968" ht="15" customHeight="1" s="37">
      <c r="A5968" t="n">
        <v>15</v>
      </c>
      <c r="B5968" s="10" t="inlineStr">
        <is>
          <t>平日</t>
        </is>
      </c>
      <c r="C5968" s="10" t="inlineStr">
        <is>
          <t>本線</t>
        </is>
      </c>
      <c r="D5968" s="10" t="inlineStr">
        <is>
          <t>上り</t>
        </is>
      </c>
      <c r="E5968" t="inlineStr">
        <is>
          <t>2302</t>
        </is>
      </c>
      <c r="F5968" t="inlineStr">
        <is>
          <t>0221</t>
        </is>
      </c>
      <c r="G5968" s="10" t="inlineStr">
        <is>
          <t>天神川</t>
        </is>
      </c>
      <c r="H5968" s="10" t="inlineStr">
        <is>
          <t>発</t>
        </is>
      </c>
      <c r="J5968" s="10" t="inlineStr">
        <is>
          <t>営業</t>
        </is>
      </c>
      <c r="L5968" t="inlineStr">
        <is>
          <t>23:13:55</t>
        </is>
      </c>
      <c r="M5968" t="inlineStr">
        <is>
          <t>23:14:20</t>
        </is>
      </c>
    </row>
    <row r="5969" ht="15" customHeight="1" s="37">
      <c r="A5969" t="n">
        <v>15</v>
      </c>
      <c r="B5969" s="10" t="inlineStr">
        <is>
          <t>平日</t>
        </is>
      </c>
      <c r="C5969" s="10" t="inlineStr">
        <is>
          <t>本線</t>
        </is>
      </c>
      <c r="D5969" s="10" t="inlineStr">
        <is>
          <t>上り</t>
        </is>
      </c>
      <c r="E5969" t="inlineStr">
        <is>
          <t>2302</t>
        </is>
      </c>
      <c r="F5969" t="inlineStr">
        <is>
          <t>0221</t>
        </is>
      </c>
      <c r="G5969" s="10" t="inlineStr">
        <is>
          <t>山ノ内</t>
        </is>
      </c>
      <c r="H5969" s="10" t="inlineStr">
        <is>
          <t>発</t>
        </is>
      </c>
      <c r="J5969" s="10" t="inlineStr">
        <is>
          <t>営業</t>
        </is>
      </c>
      <c r="L5969" t="inlineStr">
        <is>
          <t>23:16:10</t>
        </is>
      </c>
      <c r="M5969" t="inlineStr">
        <is>
          <t>23:16:35</t>
        </is>
      </c>
    </row>
    <row r="5970" ht="15" customHeight="1" s="37">
      <c r="A5970" t="n">
        <v>15</v>
      </c>
      <c r="B5970" s="10" t="inlineStr">
        <is>
          <t>平日</t>
        </is>
      </c>
      <c r="C5970" s="10" t="inlineStr">
        <is>
          <t>本線</t>
        </is>
      </c>
      <c r="D5970" s="10" t="inlineStr">
        <is>
          <t>上り</t>
        </is>
      </c>
      <c r="E5970" t="inlineStr">
        <is>
          <t>2302</t>
        </is>
      </c>
      <c r="F5970" t="inlineStr">
        <is>
          <t>0221</t>
        </is>
      </c>
      <c r="G5970" s="10" t="inlineStr">
        <is>
          <t>西大路三条</t>
        </is>
      </c>
      <c r="H5970" s="10" t="inlineStr">
        <is>
          <t>発</t>
        </is>
      </c>
      <c r="J5970" s="10" t="inlineStr">
        <is>
          <t>営業</t>
        </is>
      </c>
      <c r="L5970" t="inlineStr">
        <is>
          <t>23:18:25</t>
        </is>
      </c>
      <c r="M5970" t="inlineStr">
        <is>
          <t>23:18:40</t>
        </is>
      </c>
    </row>
    <row r="5971" ht="15" customHeight="1" s="37">
      <c r="A5971" t="n">
        <v>15</v>
      </c>
      <c r="B5971" s="10" t="inlineStr">
        <is>
          <t>平日</t>
        </is>
      </c>
      <c r="C5971" s="10" t="inlineStr">
        <is>
          <t>本線</t>
        </is>
      </c>
      <c r="D5971" s="10" t="inlineStr">
        <is>
          <t>上り</t>
        </is>
      </c>
      <c r="E5971" t="inlineStr">
        <is>
          <t>2302</t>
        </is>
      </c>
      <c r="F5971" t="inlineStr">
        <is>
          <t>0221</t>
        </is>
      </c>
      <c r="G5971" s="10" t="inlineStr">
        <is>
          <t>西院</t>
        </is>
      </c>
      <c r="H5971" s="10" t="inlineStr">
        <is>
          <t>発</t>
        </is>
      </c>
      <c r="J5971" s="10" t="inlineStr">
        <is>
          <t>営業</t>
        </is>
      </c>
      <c r="L5971" t="inlineStr">
        <is>
          <t>23:20:35</t>
        </is>
      </c>
      <c r="M5971" t="inlineStr">
        <is>
          <t>23:21:05</t>
        </is>
      </c>
    </row>
    <row r="5972" ht="15" customHeight="1" s="37">
      <c r="A5972" t="n">
        <v>15</v>
      </c>
      <c r="B5972" s="10" t="inlineStr">
        <is>
          <t>平日</t>
        </is>
      </c>
      <c r="C5972" s="10" t="inlineStr">
        <is>
          <t>本線</t>
        </is>
      </c>
      <c r="D5972" s="10" t="inlineStr">
        <is>
          <t>上り</t>
        </is>
      </c>
      <c r="E5972" t="inlineStr">
        <is>
          <t>2302</t>
        </is>
      </c>
      <c r="F5972" t="inlineStr">
        <is>
          <t>0221</t>
        </is>
      </c>
      <c r="G5972" s="10" t="inlineStr">
        <is>
          <t>四条大宮</t>
        </is>
      </c>
      <c r="H5972" s="10" t="inlineStr">
        <is>
          <t>着</t>
        </is>
      </c>
      <c r="J5972" s="10" t="inlineStr">
        <is>
          <t>営業</t>
        </is>
      </c>
      <c r="L5972" t="inlineStr">
        <is>
          <t>23:24:00</t>
        </is>
      </c>
      <c r="N5972" t="inlineStr">
        <is>
          <t>○</t>
        </is>
      </c>
      <c r="Q5972" t="inlineStr">
        <is>
          <t>1</t>
        </is>
      </c>
    </row>
    <row r="5973" ht="15" customHeight="1" s="37">
      <c r="A5973" t="n">
        <v>15</v>
      </c>
      <c r="B5973" s="10" t="inlineStr">
        <is>
          <t>平日</t>
        </is>
      </c>
      <c r="C5973" s="10" t="inlineStr">
        <is>
          <t>本線</t>
        </is>
      </c>
      <c r="D5973" s="10" t="inlineStr">
        <is>
          <t>下り</t>
        </is>
      </c>
      <c r="E5973" t="inlineStr">
        <is>
          <t>2305</t>
        </is>
      </c>
      <c r="F5973" t="inlineStr">
        <is>
          <t>0182</t>
        </is>
      </c>
      <c r="G5973" s="10" t="inlineStr">
        <is>
          <t>四条大宮</t>
        </is>
      </c>
      <c r="H5973" s="10" t="inlineStr">
        <is>
          <t>発</t>
        </is>
      </c>
      <c r="I5973" t="inlineStr">
        <is>
          <t>○</t>
        </is>
      </c>
      <c r="J5973" s="10" t="inlineStr">
        <is>
          <t>営業</t>
        </is>
      </c>
      <c r="M5973" t="inlineStr">
        <is>
          <t>23:40:00</t>
        </is>
      </c>
      <c r="Q5973" t="inlineStr">
        <is>
          <t>1</t>
        </is>
      </c>
    </row>
    <row r="5974" ht="15" customHeight="1" s="37">
      <c r="A5974" t="n">
        <v>15</v>
      </c>
      <c r="B5974" s="10" t="inlineStr">
        <is>
          <t>平日</t>
        </is>
      </c>
      <c r="C5974" s="10" t="inlineStr">
        <is>
          <t>本線</t>
        </is>
      </c>
      <c r="D5974" s="10" t="inlineStr">
        <is>
          <t>下り</t>
        </is>
      </c>
      <c r="E5974" t="inlineStr">
        <is>
          <t>2305</t>
        </is>
      </c>
      <c r="F5974" t="inlineStr">
        <is>
          <t>0182</t>
        </is>
      </c>
      <c r="G5974" s="10" t="inlineStr">
        <is>
          <t>西院</t>
        </is>
      </c>
      <c r="H5974" s="10" t="inlineStr">
        <is>
          <t>発</t>
        </is>
      </c>
      <c r="I5974" t="inlineStr">
        <is>
          <t>○</t>
        </is>
      </c>
      <c r="J5974" s="10" t="inlineStr">
        <is>
          <t>営業</t>
        </is>
      </c>
      <c r="L5974" t="inlineStr">
        <is>
          <t>23:42:50</t>
        </is>
      </c>
      <c r="M5974" t="inlineStr">
        <is>
          <t>23:43:20</t>
        </is>
      </c>
    </row>
    <row r="5975" ht="15" customHeight="1" s="37">
      <c r="A5975" t="n">
        <v>15</v>
      </c>
      <c r="B5975" s="10" t="inlineStr">
        <is>
          <t>平日</t>
        </is>
      </c>
      <c r="C5975" s="10" t="inlineStr">
        <is>
          <t>本線</t>
        </is>
      </c>
      <c r="D5975" s="10" t="inlineStr">
        <is>
          <t>下り</t>
        </is>
      </c>
      <c r="E5975" t="inlineStr">
        <is>
          <t>2305</t>
        </is>
      </c>
      <c r="F5975" t="inlineStr">
        <is>
          <t>0182</t>
        </is>
      </c>
      <c r="G5975" s="10" t="inlineStr">
        <is>
          <t>西大路三条</t>
        </is>
      </c>
      <c r="H5975" s="10" t="inlineStr">
        <is>
          <t>発</t>
        </is>
      </c>
      <c r="I5975" t="inlineStr">
        <is>
          <t>○</t>
        </is>
      </c>
      <c r="J5975" s="10" t="inlineStr">
        <is>
          <t>営業</t>
        </is>
      </c>
      <c r="L5975" t="inlineStr">
        <is>
          <t>23:45:10</t>
        </is>
      </c>
      <c r="M5975" t="inlineStr">
        <is>
          <t>23:45:30</t>
        </is>
      </c>
    </row>
    <row r="5976" ht="15" customHeight="1" s="37">
      <c r="A5976" t="n">
        <v>15</v>
      </c>
      <c r="B5976" s="10" t="inlineStr">
        <is>
          <t>平日</t>
        </is>
      </c>
      <c r="C5976" s="10" t="inlineStr">
        <is>
          <t>本線</t>
        </is>
      </c>
      <c r="D5976" s="10" t="inlineStr">
        <is>
          <t>下り</t>
        </is>
      </c>
      <c r="E5976" t="inlineStr">
        <is>
          <t>2305</t>
        </is>
      </c>
      <c r="F5976" t="inlineStr">
        <is>
          <t>0182</t>
        </is>
      </c>
      <c r="G5976" s="10" t="inlineStr">
        <is>
          <t>山ノ内</t>
        </is>
      </c>
      <c r="H5976" s="10" t="inlineStr">
        <is>
          <t>発</t>
        </is>
      </c>
      <c r="I5976" t="inlineStr">
        <is>
          <t>○</t>
        </is>
      </c>
      <c r="J5976" s="10" t="inlineStr">
        <is>
          <t>営業</t>
        </is>
      </c>
      <c r="L5976" t="inlineStr">
        <is>
          <t>23:47:25</t>
        </is>
      </c>
      <c r="M5976" t="inlineStr">
        <is>
          <t>23:47:50</t>
        </is>
      </c>
    </row>
    <row r="5977" ht="15" customHeight="1" s="37">
      <c r="A5977" t="n">
        <v>15</v>
      </c>
      <c r="B5977" s="10" t="inlineStr">
        <is>
          <t>平日</t>
        </is>
      </c>
      <c r="C5977" s="10" t="inlineStr">
        <is>
          <t>本線</t>
        </is>
      </c>
      <c r="D5977" s="10" t="inlineStr">
        <is>
          <t>下り</t>
        </is>
      </c>
      <c r="E5977" t="inlineStr">
        <is>
          <t>2305</t>
        </is>
      </c>
      <c r="F5977" t="inlineStr">
        <is>
          <t>0182</t>
        </is>
      </c>
      <c r="G5977" s="10" t="inlineStr">
        <is>
          <t>天神川</t>
        </is>
      </c>
      <c r="H5977" s="10" t="inlineStr">
        <is>
          <t>発</t>
        </is>
      </c>
      <c r="I5977" t="inlineStr">
        <is>
          <t>○</t>
        </is>
      </c>
      <c r="J5977" s="10" t="inlineStr">
        <is>
          <t>営業</t>
        </is>
      </c>
      <c r="L5977" t="inlineStr">
        <is>
          <t>23:49:50</t>
        </is>
      </c>
      <c r="M5977" t="inlineStr">
        <is>
          <t>23:50:30</t>
        </is>
      </c>
    </row>
    <row r="5978" ht="15" customHeight="1" s="37">
      <c r="A5978" t="n">
        <v>15</v>
      </c>
      <c r="B5978" s="10" t="inlineStr">
        <is>
          <t>平日</t>
        </is>
      </c>
      <c r="C5978" s="10" t="inlineStr">
        <is>
          <t>本線</t>
        </is>
      </c>
      <c r="D5978" s="10" t="inlineStr">
        <is>
          <t>下り</t>
        </is>
      </c>
      <c r="E5978" t="inlineStr">
        <is>
          <t>2305</t>
        </is>
      </c>
      <c r="F5978" t="inlineStr">
        <is>
          <t>0182</t>
        </is>
      </c>
      <c r="G5978" s="10" t="inlineStr">
        <is>
          <t>蚕ノ社</t>
        </is>
      </c>
      <c r="H5978" s="10" t="inlineStr">
        <is>
          <t>発</t>
        </is>
      </c>
      <c r="I5978" t="inlineStr">
        <is>
          <t>○</t>
        </is>
      </c>
      <c r="J5978" s="10" t="inlineStr">
        <is>
          <t>営業</t>
        </is>
      </c>
      <c r="L5978" t="inlineStr">
        <is>
          <t>23:51:20</t>
        </is>
      </c>
      <c r="M5978" t="inlineStr">
        <is>
          <t>23:51:40</t>
        </is>
      </c>
    </row>
    <row r="5979" ht="15" customHeight="1" s="37">
      <c r="A5979" t="n">
        <v>15</v>
      </c>
      <c r="B5979" s="10" t="inlineStr">
        <is>
          <t>平日</t>
        </is>
      </c>
      <c r="C5979" s="10" t="inlineStr">
        <is>
          <t>本線</t>
        </is>
      </c>
      <c r="D5979" s="10" t="inlineStr">
        <is>
          <t>下り</t>
        </is>
      </c>
      <c r="E5979" t="inlineStr">
        <is>
          <t>2305</t>
        </is>
      </c>
      <c r="F5979" t="inlineStr">
        <is>
          <t>0182</t>
        </is>
      </c>
      <c r="G5979" s="10" t="inlineStr">
        <is>
          <t>太秦広隆寺</t>
        </is>
      </c>
      <c r="H5979" s="10" t="inlineStr">
        <is>
          <t>発</t>
        </is>
      </c>
      <c r="I5979" t="inlineStr">
        <is>
          <t>○</t>
        </is>
      </c>
      <c r="J5979" s="10" t="inlineStr">
        <is>
          <t>営業</t>
        </is>
      </c>
      <c r="L5979" t="inlineStr">
        <is>
          <t>23:53:00</t>
        </is>
      </c>
      <c r="M5979" t="inlineStr">
        <is>
          <t>23:53:20</t>
        </is>
      </c>
    </row>
    <row r="5980" ht="15" customHeight="1" s="37">
      <c r="A5980" t="n">
        <v>15</v>
      </c>
      <c r="B5980" s="10" t="inlineStr">
        <is>
          <t>平日</t>
        </is>
      </c>
      <c r="C5980" s="10" t="inlineStr">
        <is>
          <t>本線</t>
        </is>
      </c>
      <c r="D5980" s="10" t="inlineStr">
        <is>
          <t>下り</t>
        </is>
      </c>
      <c r="E5980" t="inlineStr">
        <is>
          <t>2305</t>
        </is>
      </c>
      <c r="F5980" t="inlineStr">
        <is>
          <t>0182</t>
        </is>
      </c>
      <c r="G5980" s="10" t="inlineStr">
        <is>
          <t>帷子ノ辻</t>
        </is>
      </c>
      <c r="H5980" s="10" t="inlineStr">
        <is>
          <t>発</t>
        </is>
      </c>
      <c r="I5980" t="inlineStr">
        <is>
          <t>○</t>
        </is>
      </c>
      <c r="J5980" s="10" t="inlineStr">
        <is>
          <t>営業</t>
        </is>
      </c>
      <c r="L5980" t="inlineStr">
        <is>
          <t>23:55:20</t>
        </is>
      </c>
      <c r="M5980" t="inlineStr">
        <is>
          <t>23:56:40</t>
        </is>
      </c>
    </row>
    <row r="5981" ht="15" customHeight="1" s="37">
      <c r="A5981" t="n">
        <v>15</v>
      </c>
      <c r="B5981" s="10" t="inlineStr">
        <is>
          <t>平日</t>
        </is>
      </c>
      <c r="C5981" s="10" t="inlineStr">
        <is>
          <t>本線</t>
        </is>
      </c>
      <c r="D5981" s="10" t="inlineStr">
        <is>
          <t>下り</t>
        </is>
      </c>
      <c r="E5981" t="inlineStr">
        <is>
          <t>2305</t>
        </is>
      </c>
      <c r="F5981" t="inlineStr">
        <is>
          <t>0182</t>
        </is>
      </c>
      <c r="G5981" s="10" t="inlineStr">
        <is>
          <t>有栖川</t>
        </is>
      </c>
      <c r="H5981" s="10" t="inlineStr">
        <is>
          <t>発</t>
        </is>
      </c>
      <c r="I5981" t="inlineStr">
        <is>
          <t>○</t>
        </is>
      </c>
      <c r="J5981" s="10" t="inlineStr">
        <is>
          <t>営業</t>
        </is>
      </c>
      <c r="L5981" t="inlineStr">
        <is>
          <t>23:57:50</t>
        </is>
      </c>
      <c r="M5981" t="inlineStr">
        <is>
          <t>23:58:15</t>
        </is>
      </c>
    </row>
    <row r="5982" ht="15" customHeight="1" s="37">
      <c r="A5982" t="n">
        <v>15</v>
      </c>
      <c r="B5982" s="10" t="inlineStr">
        <is>
          <t>平日</t>
        </is>
      </c>
      <c r="C5982" s="10" t="inlineStr">
        <is>
          <t>本線</t>
        </is>
      </c>
      <c r="D5982" s="10" t="inlineStr">
        <is>
          <t>下り</t>
        </is>
      </c>
      <c r="E5982" t="inlineStr">
        <is>
          <t>2305</t>
        </is>
      </c>
      <c r="F5982" t="inlineStr">
        <is>
          <t>0182</t>
        </is>
      </c>
      <c r="G5982" s="10" t="inlineStr">
        <is>
          <t>車折</t>
        </is>
      </c>
      <c r="H5982" s="10" t="inlineStr">
        <is>
          <t>発</t>
        </is>
      </c>
      <c r="I5982" t="inlineStr">
        <is>
          <t>○</t>
        </is>
      </c>
      <c r="J5982" s="10" t="inlineStr">
        <is>
          <t>営業</t>
        </is>
      </c>
      <c r="L5982" t="inlineStr">
        <is>
          <t>23:59:40</t>
        </is>
      </c>
      <c r="M5982" t="inlineStr">
        <is>
          <t>24:00:05</t>
        </is>
      </c>
    </row>
    <row r="5983" ht="15" customHeight="1" s="37">
      <c r="A5983" t="n">
        <v>15</v>
      </c>
      <c r="B5983" s="10" t="inlineStr">
        <is>
          <t>平日</t>
        </is>
      </c>
      <c r="C5983" s="10" t="inlineStr">
        <is>
          <t>本線</t>
        </is>
      </c>
      <c r="D5983" s="10" t="inlineStr">
        <is>
          <t>下り</t>
        </is>
      </c>
      <c r="E5983" t="inlineStr">
        <is>
          <t>2305</t>
        </is>
      </c>
      <c r="F5983" t="inlineStr">
        <is>
          <t>0182</t>
        </is>
      </c>
      <c r="G5983" s="10" t="inlineStr">
        <is>
          <t>鹿王院</t>
        </is>
      </c>
      <c r="H5983" s="10" t="inlineStr">
        <is>
          <t>発</t>
        </is>
      </c>
      <c r="I5983" t="inlineStr">
        <is>
          <t>○</t>
        </is>
      </c>
      <c r="J5983" s="10" t="inlineStr">
        <is>
          <t>営業</t>
        </is>
      </c>
      <c r="L5983" t="inlineStr">
        <is>
          <t>24:01:00</t>
        </is>
      </c>
      <c r="M5983" t="inlineStr">
        <is>
          <t>24:01:25</t>
        </is>
      </c>
    </row>
    <row r="5984" ht="15" customHeight="1" s="37">
      <c r="A5984" t="n">
        <v>15</v>
      </c>
      <c r="B5984" s="10" t="inlineStr">
        <is>
          <t>平日</t>
        </is>
      </c>
      <c r="C5984" s="10" t="inlineStr">
        <is>
          <t>本線</t>
        </is>
      </c>
      <c r="D5984" s="10" t="inlineStr">
        <is>
          <t>下り</t>
        </is>
      </c>
      <c r="E5984" t="inlineStr">
        <is>
          <t>2305</t>
        </is>
      </c>
      <c r="F5984" t="inlineStr">
        <is>
          <t>0182</t>
        </is>
      </c>
      <c r="G5984" s="10" t="inlineStr">
        <is>
          <t>嵯峨</t>
        </is>
      </c>
      <c r="H5984" s="10" t="inlineStr">
        <is>
          <t>発</t>
        </is>
      </c>
      <c r="I5984" t="inlineStr">
        <is>
          <t>○</t>
        </is>
      </c>
      <c r="J5984" s="10" t="inlineStr">
        <is>
          <t>営業</t>
        </is>
      </c>
      <c r="L5984" t="inlineStr">
        <is>
          <t>24:02:30</t>
        </is>
      </c>
      <c r="M5984" t="inlineStr">
        <is>
          <t>24:02:55</t>
        </is>
      </c>
    </row>
    <row r="5985" ht="15" customHeight="1" s="37">
      <c r="A5985" t="n">
        <v>15</v>
      </c>
      <c r="B5985" s="10" t="inlineStr">
        <is>
          <t>平日</t>
        </is>
      </c>
      <c r="C5985" s="10" t="inlineStr">
        <is>
          <t>本線</t>
        </is>
      </c>
      <c r="D5985" s="10" t="inlineStr">
        <is>
          <t>下り</t>
        </is>
      </c>
      <c r="E5985" t="inlineStr">
        <is>
          <t>2305</t>
        </is>
      </c>
      <c r="F5985" t="inlineStr">
        <is>
          <t>0182</t>
        </is>
      </c>
      <c r="G5985" s="10" t="inlineStr">
        <is>
          <t>嵐山</t>
        </is>
      </c>
      <c r="H5985" s="10" t="inlineStr">
        <is>
          <t>着</t>
        </is>
      </c>
      <c r="I5985" t="inlineStr">
        <is>
          <t>○</t>
        </is>
      </c>
      <c r="J5985" s="10" t="inlineStr">
        <is>
          <t>営業</t>
        </is>
      </c>
      <c r="L5985" t="inlineStr">
        <is>
          <t>24:04:00</t>
        </is>
      </c>
      <c r="N5985" t="inlineStr">
        <is>
          <t>○</t>
        </is>
      </c>
      <c r="Q5985" t="inlineStr">
        <is>
          <t>1</t>
        </is>
      </c>
    </row>
    <row r="5986" ht="15" customHeight="1" s="37">
      <c r="A5986" t="n">
        <v>15</v>
      </c>
      <c r="B5986" s="10" t="inlineStr">
        <is>
          <t>平日</t>
        </is>
      </c>
      <c r="C5986" s="10" t="inlineStr">
        <is>
          <t>本線</t>
        </is>
      </c>
      <c r="D5986" s="10" t="inlineStr">
        <is>
          <t>上り</t>
        </is>
      </c>
      <c r="E5986" t="inlineStr">
        <is>
          <t>2402</t>
        </is>
      </c>
      <c r="F5986" t="inlineStr">
        <is>
          <t>0205</t>
        </is>
      </c>
      <c r="G5986" s="10" t="inlineStr">
        <is>
          <t>嵐山</t>
        </is>
      </c>
      <c r="H5986" s="10" t="inlineStr">
        <is>
          <t>発</t>
        </is>
      </c>
      <c r="I5986" t="inlineStr">
        <is>
          <t>○</t>
        </is>
      </c>
      <c r="J5986" s="10" t="inlineStr">
        <is>
          <t>営業</t>
        </is>
      </c>
      <c r="M5986" t="inlineStr">
        <is>
          <t>24:07:00</t>
        </is>
      </c>
      <c r="Q5986" t="inlineStr">
        <is>
          <t>1</t>
        </is>
      </c>
      <c r="R5986" t="inlineStr">
        <is>
          <t>○</t>
        </is>
      </c>
    </row>
    <row r="5987" ht="15" customHeight="1" s="37">
      <c r="A5987" t="n">
        <v>15</v>
      </c>
      <c r="B5987" s="10" t="inlineStr">
        <is>
          <t>平日</t>
        </is>
      </c>
      <c r="C5987" s="10" t="inlineStr">
        <is>
          <t>本線</t>
        </is>
      </c>
      <c r="D5987" s="10" t="inlineStr">
        <is>
          <t>上り</t>
        </is>
      </c>
      <c r="E5987" t="inlineStr">
        <is>
          <t>2402</t>
        </is>
      </c>
      <c r="F5987" t="inlineStr">
        <is>
          <t>0205</t>
        </is>
      </c>
      <c r="G5987" s="10" t="inlineStr">
        <is>
          <t>嵯峨</t>
        </is>
      </c>
      <c r="H5987" s="10" t="inlineStr">
        <is>
          <t>発</t>
        </is>
      </c>
      <c r="I5987" t="inlineStr">
        <is>
          <t>○</t>
        </is>
      </c>
      <c r="J5987" s="10" t="inlineStr">
        <is>
          <t>営業</t>
        </is>
      </c>
      <c r="L5987" t="inlineStr">
        <is>
          <t>24:07:55</t>
        </is>
      </c>
      <c r="M5987" t="inlineStr">
        <is>
          <t>24:08:10</t>
        </is>
      </c>
      <c r="R5987" t="inlineStr">
        <is>
          <t>○</t>
        </is>
      </c>
    </row>
    <row r="5988" ht="15" customHeight="1" s="37">
      <c r="A5988" t="n">
        <v>15</v>
      </c>
      <c r="B5988" s="10" t="inlineStr">
        <is>
          <t>平日</t>
        </is>
      </c>
      <c r="C5988" s="10" t="inlineStr">
        <is>
          <t>本線</t>
        </is>
      </c>
      <c r="D5988" s="10" t="inlineStr">
        <is>
          <t>上り</t>
        </is>
      </c>
      <c r="E5988" t="inlineStr">
        <is>
          <t>2402</t>
        </is>
      </c>
      <c r="F5988" t="inlineStr">
        <is>
          <t>0205</t>
        </is>
      </c>
      <c r="G5988" s="10" t="inlineStr">
        <is>
          <t>鹿王院</t>
        </is>
      </c>
      <c r="H5988" s="10" t="inlineStr">
        <is>
          <t>発</t>
        </is>
      </c>
      <c r="I5988" t="inlineStr">
        <is>
          <t>○</t>
        </is>
      </c>
      <c r="J5988" s="10" t="inlineStr">
        <is>
          <t>営業</t>
        </is>
      </c>
      <c r="L5988" t="inlineStr">
        <is>
          <t>24:09:15</t>
        </is>
      </c>
      <c r="M5988" t="inlineStr">
        <is>
          <t>24:09:30</t>
        </is>
      </c>
      <c r="R5988" t="inlineStr">
        <is>
          <t>○</t>
        </is>
      </c>
    </row>
    <row r="5989" ht="15" customHeight="1" s="37">
      <c r="A5989" t="n">
        <v>15</v>
      </c>
      <c r="B5989" s="10" t="inlineStr">
        <is>
          <t>平日</t>
        </is>
      </c>
      <c r="C5989" s="10" t="inlineStr">
        <is>
          <t>本線</t>
        </is>
      </c>
      <c r="D5989" s="10" t="inlineStr">
        <is>
          <t>上り</t>
        </is>
      </c>
      <c r="E5989" t="inlineStr">
        <is>
          <t>2402</t>
        </is>
      </c>
      <c r="F5989" t="inlineStr">
        <is>
          <t>0205</t>
        </is>
      </c>
      <c r="G5989" s="10" t="inlineStr">
        <is>
          <t>車折</t>
        </is>
      </c>
      <c r="H5989" s="10" t="inlineStr">
        <is>
          <t>発</t>
        </is>
      </c>
      <c r="I5989" t="inlineStr">
        <is>
          <t>○</t>
        </is>
      </c>
      <c r="J5989" s="10" t="inlineStr">
        <is>
          <t>営業</t>
        </is>
      </c>
      <c r="L5989" t="inlineStr">
        <is>
          <t>24:10:25</t>
        </is>
      </c>
      <c r="M5989" t="inlineStr">
        <is>
          <t>24:10:40</t>
        </is>
      </c>
      <c r="R5989" t="inlineStr">
        <is>
          <t>○</t>
        </is>
      </c>
    </row>
    <row r="5990" ht="15" customHeight="1" s="37">
      <c r="A5990" t="n">
        <v>15</v>
      </c>
      <c r="B5990" s="10" t="inlineStr">
        <is>
          <t>平日</t>
        </is>
      </c>
      <c r="C5990" s="10" t="inlineStr">
        <is>
          <t>本線</t>
        </is>
      </c>
      <c r="D5990" s="10" t="inlineStr">
        <is>
          <t>上り</t>
        </is>
      </c>
      <c r="E5990" t="inlineStr">
        <is>
          <t>2402</t>
        </is>
      </c>
      <c r="F5990" t="inlineStr">
        <is>
          <t>0205</t>
        </is>
      </c>
      <c r="G5990" s="10" t="inlineStr">
        <is>
          <t>有栖川</t>
        </is>
      </c>
      <c r="H5990" s="10" t="inlineStr">
        <is>
          <t>発</t>
        </is>
      </c>
      <c r="I5990" t="inlineStr">
        <is>
          <t>○</t>
        </is>
      </c>
      <c r="J5990" s="10" t="inlineStr">
        <is>
          <t>営業</t>
        </is>
      </c>
      <c r="L5990" t="inlineStr">
        <is>
          <t>24:12:05</t>
        </is>
      </c>
      <c r="M5990" t="inlineStr">
        <is>
          <t>24:12:20</t>
        </is>
      </c>
      <c r="R5990" t="inlineStr">
        <is>
          <t>○</t>
        </is>
      </c>
    </row>
    <row r="5991" ht="15" customHeight="1" s="37">
      <c r="A5991" t="n">
        <v>15</v>
      </c>
      <c r="B5991" s="10" t="inlineStr">
        <is>
          <t>平日</t>
        </is>
      </c>
      <c r="C5991" s="10" t="inlineStr">
        <is>
          <t>本線</t>
        </is>
      </c>
      <c r="D5991" s="10" t="inlineStr">
        <is>
          <t>上り</t>
        </is>
      </c>
      <c r="E5991" t="inlineStr">
        <is>
          <t>2402</t>
        </is>
      </c>
      <c r="F5991" t="inlineStr">
        <is>
          <t>0205</t>
        </is>
      </c>
      <c r="G5991" s="10" t="inlineStr">
        <is>
          <t>帷子ノ辻</t>
        </is>
      </c>
      <c r="H5991" s="10" t="inlineStr">
        <is>
          <t>発</t>
        </is>
      </c>
      <c r="I5991" t="inlineStr">
        <is>
          <t>○</t>
        </is>
      </c>
      <c r="J5991" s="10" t="inlineStr">
        <is>
          <t>営業</t>
        </is>
      </c>
      <c r="L5991" t="inlineStr">
        <is>
          <t>24:13:35</t>
        </is>
      </c>
      <c r="M5991" t="inlineStr">
        <is>
          <t>24:14:05</t>
        </is>
      </c>
      <c r="N5991" t="inlineStr">
        <is>
          <t>○</t>
        </is>
      </c>
      <c r="R5991" t="inlineStr">
        <is>
          <t>○</t>
        </is>
      </c>
    </row>
    <row r="5992" ht="15" customHeight="1" s="37">
      <c r="A5992" t="n">
        <v>15</v>
      </c>
      <c r="B5992" s="10" t="inlineStr">
        <is>
          <t>平日</t>
        </is>
      </c>
      <c r="C5992" s="10" t="inlineStr">
        <is>
          <t>本線</t>
        </is>
      </c>
      <c r="D5992" s="10" t="inlineStr">
        <is>
          <t>上り</t>
        </is>
      </c>
      <c r="E5992" t="inlineStr">
        <is>
          <t>2402</t>
        </is>
      </c>
      <c r="F5992" t="inlineStr">
        <is>
          <t>0205</t>
        </is>
      </c>
      <c r="G5992" s="10" t="inlineStr">
        <is>
          <t>太秦広隆寺</t>
        </is>
      </c>
      <c r="H5992" s="10" t="inlineStr">
        <is>
          <t>発</t>
        </is>
      </c>
      <c r="I5992" t="inlineStr">
        <is>
          <t>○</t>
        </is>
      </c>
      <c r="J5992" s="10" t="inlineStr">
        <is>
          <t>営業</t>
        </is>
      </c>
      <c r="L5992" t="inlineStr">
        <is>
          <t>24:16:15</t>
        </is>
      </c>
      <c r="M5992" t="inlineStr">
        <is>
          <t>24:16:35</t>
        </is>
      </c>
      <c r="R5992" t="inlineStr">
        <is>
          <t>○</t>
        </is>
      </c>
    </row>
    <row r="5993" ht="15" customHeight="1" s="37">
      <c r="A5993" t="n">
        <v>15</v>
      </c>
      <c r="B5993" s="10" t="inlineStr">
        <is>
          <t>平日</t>
        </is>
      </c>
      <c r="C5993" s="10" t="inlineStr">
        <is>
          <t>本線</t>
        </is>
      </c>
      <c r="D5993" s="10" t="inlineStr">
        <is>
          <t>上り</t>
        </is>
      </c>
      <c r="E5993" t="inlineStr">
        <is>
          <t>2402</t>
        </is>
      </c>
      <c r="F5993" t="inlineStr">
        <is>
          <t>0205</t>
        </is>
      </c>
      <c r="G5993" s="10" t="inlineStr">
        <is>
          <t>蚕ノ社</t>
        </is>
      </c>
      <c r="H5993" s="10" t="inlineStr">
        <is>
          <t>発</t>
        </is>
      </c>
      <c r="I5993" t="inlineStr">
        <is>
          <t>○</t>
        </is>
      </c>
      <c r="J5993" s="10" t="inlineStr">
        <is>
          <t>営業</t>
        </is>
      </c>
      <c r="L5993" t="inlineStr">
        <is>
          <t>24:17:50</t>
        </is>
      </c>
      <c r="M5993" t="inlineStr">
        <is>
          <t>24:18:10</t>
        </is>
      </c>
      <c r="R5993" t="inlineStr">
        <is>
          <t>○</t>
        </is>
      </c>
    </row>
    <row r="5994" ht="15" customHeight="1" s="37">
      <c r="A5994" t="n">
        <v>15</v>
      </c>
      <c r="B5994" s="10" t="inlineStr">
        <is>
          <t>平日</t>
        </is>
      </c>
      <c r="C5994" s="10" t="inlineStr">
        <is>
          <t>本線</t>
        </is>
      </c>
      <c r="D5994" s="10" t="inlineStr">
        <is>
          <t>上り</t>
        </is>
      </c>
      <c r="E5994" t="inlineStr">
        <is>
          <t>2402</t>
        </is>
      </c>
      <c r="F5994" t="inlineStr">
        <is>
          <t>0205</t>
        </is>
      </c>
      <c r="G5994" s="10" t="inlineStr">
        <is>
          <t>天神川</t>
        </is>
      </c>
      <c r="H5994" s="10" t="inlineStr">
        <is>
          <t>発</t>
        </is>
      </c>
      <c r="I5994" t="inlineStr">
        <is>
          <t>○</t>
        </is>
      </c>
      <c r="J5994" s="10" t="inlineStr">
        <is>
          <t>営業</t>
        </is>
      </c>
      <c r="L5994" t="inlineStr">
        <is>
          <t>24:18:55</t>
        </is>
      </c>
      <c r="M5994" t="inlineStr">
        <is>
          <t>24:19:20</t>
        </is>
      </c>
      <c r="R5994" t="inlineStr">
        <is>
          <t>○</t>
        </is>
      </c>
    </row>
    <row r="5995" ht="15" customHeight="1" s="37">
      <c r="A5995" t="n">
        <v>15</v>
      </c>
      <c r="B5995" s="10" t="inlineStr">
        <is>
          <t>平日</t>
        </is>
      </c>
      <c r="C5995" s="10" t="inlineStr">
        <is>
          <t>本線</t>
        </is>
      </c>
      <c r="D5995" s="10" t="inlineStr">
        <is>
          <t>上り</t>
        </is>
      </c>
      <c r="E5995" t="inlineStr">
        <is>
          <t>2402</t>
        </is>
      </c>
      <c r="F5995" t="inlineStr">
        <is>
          <t>0205</t>
        </is>
      </c>
      <c r="G5995" s="10" t="inlineStr">
        <is>
          <t>山ノ内</t>
        </is>
      </c>
      <c r="H5995" s="10" t="inlineStr">
        <is>
          <t>発</t>
        </is>
      </c>
      <c r="I5995" t="inlineStr">
        <is>
          <t>○</t>
        </is>
      </c>
      <c r="J5995" s="10" t="inlineStr">
        <is>
          <t>営業</t>
        </is>
      </c>
      <c r="L5995" t="inlineStr">
        <is>
          <t>24:21:10</t>
        </is>
      </c>
      <c r="M5995" t="inlineStr">
        <is>
          <t>24:21:35</t>
        </is>
      </c>
      <c r="R5995" t="inlineStr">
        <is>
          <t>○</t>
        </is>
      </c>
    </row>
    <row r="5996" ht="15" customHeight="1" s="37">
      <c r="A5996" t="n">
        <v>15</v>
      </c>
      <c r="B5996" s="10" t="inlineStr">
        <is>
          <t>平日</t>
        </is>
      </c>
      <c r="C5996" s="10" t="inlineStr">
        <is>
          <t>本線</t>
        </is>
      </c>
      <c r="D5996" s="10" t="inlineStr">
        <is>
          <t>上り</t>
        </is>
      </c>
      <c r="E5996" t="inlineStr">
        <is>
          <t>2402</t>
        </is>
      </c>
      <c r="F5996" t="inlineStr">
        <is>
          <t>0205</t>
        </is>
      </c>
      <c r="G5996" s="10" t="inlineStr">
        <is>
          <t>西大路三条</t>
        </is>
      </c>
      <c r="H5996" s="10" t="inlineStr">
        <is>
          <t>発</t>
        </is>
      </c>
      <c r="I5996" t="inlineStr">
        <is>
          <t>○</t>
        </is>
      </c>
      <c r="J5996" s="10" t="inlineStr">
        <is>
          <t>営業</t>
        </is>
      </c>
      <c r="L5996" t="inlineStr">
        <is>
          <t>24:23:25</t>
        </is>
      </c>
      <c r="M5996" t="inlineStr">
        <is>
          <t>24:23:40</t>
        </is>
      </c>
      <c r="R5996" t="inlineStr">
        <is>
          <t>○</t>
        </is>
      </c>
    </row>
    <row r="5997" ht="15" customHeight="1" s="37">
      <c r="A5997" t="n">
        <v>15</v>
      </c>
      <c r="B5997" s="10" t="inlineStr">
        <is>
          <t>平日</t>
        </is>
      </c>
      <c r="C5997" s="10" t="inlineStr">
        <is>
          <t>本線</t>
        </is>
      </c>
      <c r="D5997" s="10" t="inlineStr">
        <is>
          <t>上り</t>
        </is>
      </c>
      <c r="E5997" t="inlineStr">
        <is>
          <t>2402</t>
        </is>
      </c>
      <c r="F5997" t="inlineStr">
        <is>
          <t>0205</t>
        </is>
      </c>
      <c r="G5997" s="10" t="inlineStr">
        <is>
          <t>西院</t>
        </is>
      </c>
      <c r="H5997" s="10" t="inlineStr">
        <is>
          <t>着</t>
        </is>
      </c>
      <c r="I5997" t="inlineStr">
        <is>
          <t>○</t>
        </is>
      </c>
      <c r="J5997" s="10" t="inlineStr">
        <is>
          <t>営業</t>
        </is>
      </c>
      <c r="L5997" t="inlineStr">
        <is>
          <t>24:25:35</t>
        </is>
      </c>
      <c r="R5997" t="inlineStr">
        <is>
          <t>○</t>
        </is>
      </c>
      <c r="T5997" t="inlineStr">
        <is>
          <t>○</t>
        </is>
      </c>
    </row>
    <row r="5998" ht="15" customHeight="1" s="37">
      <c r="A5998" t="n">
        <v>15</v>
      </c>
      <c r="B5998" s="10" t="inlineStr">
        <is>
          <t>平日</t>
        </is>
      </c>
      <c r="C5998" s="10" t="inlineStr">
        <is>
          <t>本線</t>
        </is>
      </c>
      <c r="D5998" s="10" t="inlineStr">
        <is>
          <t>下り</t>
        </is>
      </c>
      <c r="E5998" s="10" t="inlineStr">
        <is>
          <t>連1601</t>
        </is>
      </c>
      <c r="F5998" t="inlineStr">
        <is>
          <t>0112</t>
        </is>
      </c>
      <c r="G5998" s="10" t="inlineStr">
        <is>
          <t>西院</t>
        </is>
      </c>
      <c r="H5998" s="10" t="inlineStr">
        <is>
          <t>発</t>
        </is>
      </c>
      <c r="J5998" s="10" t="inlineStr">
        <is>
          <t>営業</t>
        </is>
      </c>
      <c r="L5998" t="inlineStr">
        <is>
          <t>16:05:50</t>
        </is>
      </c>
      <c r="M5998" t="inlineStr">
        <is>
          <t>16:06:20</t>
        </is>
      </c>
      <c r="P5998" t="inlineStr">
        <is>
          <t>A系統(日中)</t>
        </is>
      </c>
    </row>
    <row r="5999" ht="15" customHeight="1" s="37">
      <c r="A5999" t="n">
        <v>15</v>
      </c>
      <c r="B5999" s="10" t="inlineStr">
        <is>
          <t>平日</t>
        </is>
      </c>
      <c r="C5999" s="10" t="inlineStr">
        <is>
          <t>本線</t>
        </is>
      </c>
      <c r="D5999" s="10" t="inlineStr">
        <is>
          <t>下り</t>
        </is>
      </c>
      <c r="E5999" s="10" t="inlineStr">
        <is>
          <t>連1601</t>
        </is>
      </c>
      <c r="F5999" t="inlineStr">
        <is>
          <t>0112</t>
        </is>
      </c>
      <c r="G5999" s="10" t="inlineStr">
        <is>
          <t>西大路三条</t>
        </is>
      </c>
      <c r="H5999" s="10" t="inlineStr">
        <is>
          <t>発</t>
        </is>
      </c>
      <c r="J5999" s="10" t="inlineStr">
        <is>
          <t>営業</t>
        </is>
      </c>
      <c r="L5999" t="inlineStr">
        <is>
          <t>16:08:10</t>
        </is>
      </c>
      <c r="M5999" t="inlineStr">
        <is>
          <t>16:08:30</t>
        </is>
      </c>
      <c r="P5999" t="inlineStr">
        <is>
          <t>A系統(日中)</t>
        </is>
      </c>
    </row>
    <row r="6000" ht="15" customHeight="1" s="37">
      <c r="A6000" t="n">
        <v>15</v>
      </c>
      <c r="B6000" s="10" t="inlineStr">
        <is>
          <t>平日</t>
        </is>
      </c>
      <c r="C6000" s="10" t="inlineStr">
        <is>
          <t>本線</t>
        </is>
      </c>
      <c r="D6000" s="10" t="inlineStr">
        <is>
          <t>下り</t>
        </is>
      </c>
      <c r="E6000" s="10" t="inlineStr">
        <is>
          <t>連1601</t>
        </is>
      </c>
      <c r="F6000" t="inlineStr">
        <is>
          <t>0112</t>
        </is>
      </c>
      <c r="G6000" s="10" t="inlineStr">
        <is>
          <t>山ノ内</t>
        </is>
      </c>
      <c r="H6000" s="10" t="inlineStr">
        <is>
          <t>発</t>
        </is>
      </c>
      <c r="J6000" s="10" t="inlineStr">
        <is>
          <t>営業</t>
        </is>
      </c>
      <c r="L6000" t="inlineStr">
        <is>
          <t>16:10:25</t>
        </is>
      </c>
      <c r="M6000" t="inlineStr">
        <is>
          <t>16:10:50</t>
        </is>
      </c>
      <c r="P6000" t="inlineStr">
        <is>
          <t>A系統(日中)</t>
        </is>
      </c>
    </row>
    <row r="6001" ht="15" customHeight="1" s="37">
      <c r="A6001" t="n">
        <v>15</v>
      </c>
      <c r="B6001" s="10" t="inlineStr">
        <is>
          <t>平日</t>
        </is>
      </c>
      <c r="C6001" s="10" t="inlineStr">
        <is>
          <t>本線</t>
        </is>
      </c>
      <c r="D6001" s="10" t="inlineStr">
        <is>
          <t>下り</t>
        </is>
      </c>
      <c r="E6001" s="10" t="inlineStr">
        <is>
          <t>連1601</t>
        </is>
      </c>
      <c r="F6001" t="inlineStr">
        <is>
          <t>0112</t>
        </is>
      </c>
      <c r="G6001" s="10" t="inlineStr">
        <is>
          <t>天神川</t>
        </is>
      </c>
      <c r="H6001" s="10" t="inlineStr">
        <is>
          <t>発</t>
        </is>
      </c>
      <c r="J6001" s="10" t="inlineStr">
        <is>
          <t>営業</t>
        </is>
      </c>
      <c r="L6001" t="inlineStr">
        <is>
          <t>16:12:50</t>
        </is>
      </c>
      <c r="M6001" t="inlineStr">
        <is>
          <t>16:13:30</t>
        </is>
      </c>
      <c r="P6001" t="inlineStr">
        <is>
          <t>A系統(日中)</t>
        </is>
      </c>
    </row>
    <row r="6002" ht="15" customHeight="1" s="37">
      <c r="A6002" t="n">
        <v>15</v>
      </c>
      <c r="B6002" s="10" t="inlineStr">
        <is>
          <t>平日</t>
        </is>
      </c>
      <c r="C6002" s="10" t="inlineStr">
        <is>
          <t>本線</t>
        </is>
      </c>
      <c r="D6002" s="10" t="inlineStr">
        <is>
          <t>下り</t>
        </is>
      </c>
      <c r="E6002" s="10" t="inlineStr">
        <is>
          <t>連1601</t>
        </is>
      </c>
      <c r="F6002" t="inlineStr">
        <is>
          <t>0112</t>
        </is>
      </c>
      <c r="G6002" s="10" t="inlineStr">
        <is>
          <t>蚕ノ社</t>
        </is>
      </c>
      <c r="H6002" s="10" t="inlineStr">
        <is>
          <t>発</t>
        </is>
      </c>
      <c r="J6002" s="10" t="inlineStr">
        <is>
          <t>営業</t>
        </is>
      </c>
      <c r="L6002" t="inlineStr">
        <is>
          <t>16:14:20</t>
        </is>
      </c>
      <c r="M6002" t="inlineStr">
        <is>
          <t>16:14:40</t>
        </is>
      </c>
      <c r="P6002" t="inlineStr">
        <is>
          <t>A系統(日中)</t>
        </is>
      </c>
    </row>
    <row r="6003" ht="15" customHeight="1" s="37">
      <c r="A6003" t="n">
        <v>15</v>
      </c>
      <c r="B6003" s="10" t="inlineStr">
        <is>
          <t>平日</t>
        </is>
      </c>
      <c r="C6003" s="10" t="inlineStr">
        <is>
          <t>本線</t>
        </is>
      </c>
      <c r="D6003" s="10" t="inlineStr">
        <is>
          <t>下り</t>
        </is>
      </c>
      <c r="E6003" s="10" t="inlineStr">
        <is>
          <t>連1601</t>
        </is>
      </c>
      <c r="F6003" t="inlineStr">
        <is>
          <t>0112</t>
        </is>
      </c>
      <c r="G6003" s="10" t="inlineStr">
        <is>
          <t>太秦広隆寺</t>
        </is>
      </c>
      <c r="H6003" s="10" t="inlineStr">
        <is>
          <t>発</t>
        </is>
      </c>
      <c r="J6003" s="10" t="inlineStr">
        <is>
          <t>営業</t>
        </is>
      </c>
      <c r="L6003" t="inlineStr">
        <is>
          <t>16:16:00</t>
        </is>
      </c>
      <c r="M6003" t="inlineStr">
        <is>
          <t>16:16:20</t>
        </is>
      </c>
      <c r="P6003" t="inlineStr">
        <is>
          <t>A系統(日中)</t>
        </is>
      </c>
    </row>
    <row r="6004" ht="15" customHeight="1" s="37">
      <c r="A6004" t="n">
        <v>15</v>
      </c>
      <c r="B6004" s="10" t="inlineStr">
        <is>
          <t>平日</t>
        </is>
      </c>
      <c r="C6004" s="10" t="inlineStr">
        <is>
          <t>本線</t>
        </is>
      </c>
      <c r="D6004" s="10" t="inlineStr">
        <is>
          <t>下り</t>
        </is>
      </c>
      <c r="E6004" s="10" t="inlineStr">
        <is>
          <t>連1601</t>
        </is>
      </c>
      <c r="F6004" t="inlineStr">
        <is>
          <t>0112</t>
        </is>
      </c>
      <c r="G6004" s="10" t="inlineStr">
        <is>
          <t>帷子ノ辻</t>
        </is>
      </c>
      <c r="H6004" s="10" t="inlineStr">
        <is>
          <t>発</t>
        </is>
      </c>
      <c r="J6004" s="10" t="inlineStr">
        <is>
          <t>営業</t>
        </is>
      </c>
      <c r="L6004" t="inlineStr">
        <is>
          <t>16:18:20</t>
        </is>
      </c>
      <c r="M6004" t="inlineStr">
        <is>
          <t>16:19:40</t>
        </is>
      </c>
      <c r="P6004" t="inlineStr">
        <is>
          <t>A系統(日中)</t>
        </is>
      </c>
    </row>
    <row r="6005" ht="15" customHeight="1" s="37">
      <c r="A6005" t="n">
        <v>15</v>
      </c>
      <c r="B6005" s="10" t="inlineStr">
        <is>
          <t>平日</t>
        </is>
      </c>
      <c r="C6005" s="10" t="inlineStr">
        <is>
          <t>本線</t>
        </is>
      </c>
      <c r="D6005" s="10" t="inlineStr">
        <is>
          <t>下り</t>
        </is>
      </c>
      <c r="E6005" s="10" t="inlineStr">
        <is>
          <t>連1601</t>
        </is>
      </c>
      <c r="F6005" t="inlineStr">
        <is>
          <t>0112</t>
        </is>
      </c>
      <c r="G6005" s="10" t="inlineStr">
        <is>
          <t>有栖川</t>
        </is>
      </c>
      <c r="H6005" s="10" t="inlineStr">
        <is>
          <t>発</t>
        </is>
      </c>
      <c r="J6005" s="10" t="inlineStr">
        <is>
          <t>営業</t>
        </is>
      </c>
      <c r="L6005" t="inlineStr">
        <is>
          <t>16:20:50</t>
        </is>
      </c>
      <c r="M6005" t="inlineStr">
        <is>
          <t>16:21:15</t>
        </is>
      </c>
      <c r="P6005" t="inlineStr">
        <is>
          <t>A系統(日中)</t>
        </is>
      </c>
    </row>
    <row r="6006" ht="15" customHeight="1" s="37">
      <c r="A6006" t="n">
        <v>15</v>
      </c>
      <c r="B6006" s="10" t="inlineStr">
        <is>
          <t>平日</t>
        </is>
      </c>
      <c r="C6006" s="10" t="inlineStr">
        <is>
          <t>本線</t>
        </is>
      </c>
      <c r="D6006" s="10" t="inlineStr">
        <is>
          <t>下り</t>
        </is>
      </c>
      <c r="E6006" s="10" t="inlineStr">
        <is>
          <t>連1601</t>
        </is>
      </c>
      <c r="F6006" t="inlineStr">
        <is>
          <t>0112</t>
        </is>
      </c>
      <c r="G6006" s="10" t="inlineStr">
        <is>
          <t>車折</t>
        </is>
      </c>
      <c r="H6006" s="10" t="inlineStr">
        <is>
          <t>発</t>
        </is>
      </c>
      <c r="J6006" s="10" t="inlineStr">
        <is>
          <t>営業</t>
        </is>
      </c>
      <c r="L6006" t="inlineStr">
        <is>
          <t>16:22:40</t>
        </is>
      </c>
      <c r="M6006" t="inlineStr">
        <is>
          <t>16:23:05</t>
        </is>
      </c>
      <c r="P6006" t="inlineStr">
        <is>
          <t>A系統(日中)</t>
        </is>
      </c>
    </row>
    <row r="6007" ht="15" customHeight="1" s="37">
      <c r="A6007" t="n">
        <v>15</v>
      </c>
      <c r="B6007" s="10" t="inlineStr">
        <is>
          <t>平日</t>
        </is>
      </c>
      <c r="C6007" s="10" t="inlineStr">
        <is>
          <t>本線</t>
        </is>
      </c>
      <c r="D6007" s="10" t="inlineStr">
        <is>
          <t>下り</t>
        </is>
      </c>
      <c r="E6007" s="10" t="inlineStr">
        <is>
          <t>連1601</t>
        </is>
      </c>
      <c r="F6007" t="inlineStr">
        <is>
          <t>0112</t>
        </is>
      </c>
      <c r="G6007" s="10" t="inlineStr">
        <is>
          <t>鹿王院</t>
        </is>
      </c>
      <c r="H6007" s="10" t="inlineStr">
        <is>
          <t>発</t>
        </is>
      </c>
      <c r="J6007" s="10" t="inlineStr">
        <is>
          <t>営業</t>
        </is>
      </c>
      <c r="L6007" t="inlineStr">
        <is>
          <t>16:24:00</t>
        </is>
      </c>
      <c r="M6007" t="inlineStr">
        <is>
          <t>16:24:25</t>
        </is>
      </c>
      <c r="P6007" t="inlineStr">
        <is>
          <t>A系統(日中)</t>
        </is>
      </c>
    </row>
    <row r="6008" ht="15" customHeight="1" s="37">
      <c r="A6008" t="n">
        <v>15</v>
      </c>
      <c r="B6008" s="10" t="inlineStr">
        <is>
          <t>平日</t>
        </is>
      </c>
      <c r="C6008" s="10" t="inlineStr">
        <is>
          <t>本線</t>
        </is>
      </c>
      <c r="D6008" s="10" t="inlineStr">
        <is>
          <t>下り</t>
        </is>
      </c>
      <c r="E6008" s="10" t="inlineStr">
        <is>
          <t>連1601</t>
        </is>
      </c>
      <c r="F6008" t="inlineStr">
        <is>
          <t>0112</t>
        </is>
      </c>
      <c r="G6008" s="10" t="inlineStr">
        <is>
          <t>嵯峨</t>
        </is>
      </c>
      <c r="H6008" s="10" t="inlineStr">
        <is>
          <t>発</t>
        </is>
      </c>
      <c r="J6008" s="10" t="inlineStr">
        <is>
          <t>営業</t>
        </is>
      </c>
      <c r="L6008" t="inlineStr">
        <is>
          <t>16:25:30</t>
        </is>
      </c>
      <c r="M6008" t="inlineStr">
        <is>
          <t>16:25:55</t>
        </is>
      </c>
      <c r="P6008" t="inlineStr">
        <is>
          <t>A系統(日中)</t>
        </is>
      </c>
    </row>
    <row r="6009" ht="15" customHeight="1" s="37">
      <c r="A6009" t="n">
        <v>15</v>
      </c>
      <c r="B6009" s="10" t="inlineStr">
        <is>
          <t>平日</t>
        </is>
      </c>
      <c r="C6009" s="10" t="inlineStr">
        <is>
          <t>本線</t>
        </is>
      </c>
      <c r="D6009" s="10" t="inlineStr">
        <is>
          <t>下り</t>
        </is>
      </c>
      <c r="E6009" s="10" t="inlineStr">
        <is>
          <t>連1601</t>
        </is>
      </c>
      <c r="F6009" t="inlineStr">
        <is>
          <t>0112</t>
        </is>
      </c>
      <c r="G6009" s="10" t="inlineStr">
        <is>
          <t>嵐山</t>
        </is>
      </c>
      <c r="H6009" s="10" t="inlineStr">
        <is>
          <t>着</t>
        </is>
      </c>
      <c r="J6009" s="10" t="inlineStr">
        <is>
          <t>営業</t>
        </is>
      </c>
      <c r="L6009" t="inlineStr">
        <is>
          <t>16:27:00</t>
        </is>
      </c>
      <c r="P6009" t="inlineStr">
        <is>
          <t>A系統(日中)</t>
        </is>
      </c>
      <c r="Q6009" t="inlineStr">
        <is>
          <t>1</t>
        </is>
      </c>
    </row>
    <row r="6010" ht="15" customHeight="1" s="37">
      <c r="A6010" t="n">
        <v>15</v>
      </c>
      <c r="B6010" s="10" t="inlineStr">
        <is>
          <t>平日</t>
        </is>
      </c>
      <c r="C6010" s="10" t="inlineStr">
        <is>
          <t>本線</t>
        </is>
      </c>
      <c r="D6010" s="10" t="inlineStr">
        <is>
          <t>上り</t>
        </is>
      </c>
      <c r="E6010" s="10" t="inlineStr">
        <is>
          <t>連1608</t>
        </is>
      </c>
      <c r="F6010" t="inlineStr">
        <is>
          <t>2221</t>
        </is>
      </c>
      <c r="G6010" s="10" t="inlineStr">
        <is>
          <t>嵐山</t>
        </is>
      </c>
      <c r="H6010" s="10" t="inlineStr">
        <is>
          <t>発</t>
        </is>
      </c>
      <c r="J6010" s="10" t="inlineStr">
        <is>
          <t>営業</t>
        </is>
      </c>
      <c r="M6010" t="inlineStr">
        <is>
          <t>16:33:00</t>
        </is>
      </c>
      <c r="P6010" t="inlineStr">
        <is>
          <t>A系統(日中)</t>
        </is>
      </c>
      <c r="Q6010" t="inlineStr">
        <is>
          <t>1</t>
        </is>
      </c>
    </row>
    <row r="6011" ht="15" customHeight="1" s="37">
      <c r="A6011" t="n">
        <v>15</v>
      </c>
      <c r="B6011" s="10" t="inlineStr">
        <is>
          <t>平日</t>
        </is>
      </c>
      <c r="C6011" s="10" t="inlineStr">
        <is>
          <t>本線</t>
        </is>
      </c>
      <c r="D6011" s="10" t="inlineStr">
        <is>
          <t>上り</t>
        </is>
      </c>
      <c r="E6011" s="10" t="inlineStr">
        <is>
          <t>連1608</t>
        </is>
      </c>
      <c r="F6011" t="inlineStr">
        <is>
          <t>2221</t>
        </is>
      </c>
      <c r="G6011" s="10" t="inlineStr">
        <is>
          <t>嵯峨</t>
        </is>
      </c>
      <c r="H6011" s="10" t="inlineStr">
        <is>
          <t>発</t>
        </is>
      </c>
      <c r="J6011" s="10" t="inlineStr">
        <is>
          <t>営業</t>
        </is>
      </c>
      <c r="L6011" t="inlineStr">
        <is>
          <t>16:33:55</t>
        </is>
      </c>
      <c r="M6011" t="inlineStr">
        <is>
          <t>16:34:20</t>
        </is>
      </c>
      <c r="P6011" t="inlineStr">
        <is>
          <t>A系統(日中)</t>
        </is>
      </c>
    </row>
    <row r="6012" ht="15" customHeight="1" s="37">
      <c r="A6012" t="n">
        <v>15</v>
      </c>
      <c r="B6012" s="10" t="inlineStr">
        <is>
          <t>平日</t>
        </is>
      </c>
      <c r="C6012" s="10" t="inlineStr">
        <is>
          <t>本線</t>
        </is>
      </c>
      <c r="D6012" s="10" t="inlineStr">
        <is>
          <t>上り</t>
        </is>
      </c>
      <c r="E6012" s="10" t="inlineStr">
        <is>
          <t>連1608</t>
        </is>
      </c>
      <c r="F6012" t="inlineStr">
        <is>
          <t>2221</t>
        </is>
      </c>
      <c r="G6012" s="10" t="inlineStr">
        <is>
          <t>鹿王院</t>
        </is>
      </c>
      <c r="H6012" s="10" t="inlineStr">
        <is>
          <t>発</t>
        </is>
      </c>
      <c r="J6012" s="10" t="inlineStr">
        <is>
          <t>営業</t>
        </is>
      </c>
      <c r="L6012" t="inlineStr">
        <is>
          <t>16:35:25</t>
        </is>
      </c>
      <c r="M6012" t="inlineStr">
        <is>
          <t>16:35:45</t>
        </is>
      </c>
      <c r="P6012" t="inlineStr">
        <is>
          <t>A系統(日中)</t>
        </is>
      </c>
    </row>
    <row r="6013" ht="15" customHeight="1" s="37">
      <c r="A6013" t="n">
        <v>15</v>
      </c>
      <c r="B6013" s="10" t="inlineStr">
        <is>
          <t>平日</t>
        </is>
      </c>
      <c r="C6013" s="10" t="inlineStr">
        <is>
          <t>本線</t>
        </is>
      </c>
      <c r="D6013" s="10" t="inlineStr">
        <is>
          <t>上り</t>
        </is>
      </c>
      <c r="E6013" s="10" t="inlineStr">
        <is>
          <t>連1608</t>
        </is>
      </c>
      <c r="F6013" t="inlineStr">
        <is>
          <t>2221</t>
        </is>
      </c>
      <c r="G6013" s="10" t="inlineStr">
        <is>
          <t>車折</t>
        </is>
      </c>
      <c r="H6013" s="10" t="inlineStr">
        <is>
          <t>発</t>
        </is>
      </c>
      <c r="J6013" s="10" t="inlineStr">
        <is>
          <t>営業</t>
        </is>
      </c>
      <c r="L6013" t="inlineStr">
        <is>
          <t>16:36:40</t>
        </is>
      </c>
      <c r="M6013" t="inlineStr">
        <is>
          <t>16:37:10</t>
        </is>
      </c>
      <c r="P6013" t="inlineStr">
        <is>
          <t>A系統(日中)</t>
        </is>
      </c>
    </row>
    <row r="6014" ht="15" customHeight="1" s="37">
      <c r="A6014" t="n">
        <v>15</v>
      </c>
      <c r="B6014" s="10" t="inlineStr">
        <is>
          <t>平日</t>
        </is>
      </c>
      <c r="C6014" s="10" t="inlineStr">
        <is>
          <t>本線</t>
        </is>
      </c>
      <c r="D6014" s="10" t="inlineStr">
        <is>
          <t>上り</t>
        </is>
      </c>
      <c r="E6014" s="10" t="inlineStr">
        <is>
          <t>連1608</t>
        </is>
      </c>
      <c r="F6014" t="inlineStr">
        <is>
          <t>2221</t>
        </is>
      </c>
      <c r="G6014" s="10" t="inlineStr">
        <is>
          <t>有栖川</t>
        </is>
      </c>
      <c r="H6014" s="10" t="inlineStr">
        <is>
          <t>発</t>
        </is>
      </c>
      <c r="J6014" s="10" t="inlineStr">
        <is>
          <t>営業</t>
        </is>
      </c>
      <c r="L6014" t="inlineStr">
        <is>
          <t>16:38:35</t>
        </is>
      </c>
      <c r="M6014" t="inlineStr">
        <is>
          <t>16:38:55</t>
        </is>
      </c>
      <c r="P6014" t="inlineStr">
        <is>
          <t>A系統(日中)</t>
        </is>
      </c>
    </row>
    <row r="6015" ht="15" customHeight="1" s="37">
      <c r="A6015" t="n">
        <v>15</v>
      </c>
      <c r="B6015" s="10" t="inlineStr">
        <is>
          <t>平日</t>
        </is>
      </c>
      <c r="C6015" s="10" t="inlineStr">
        <is>
          <t>本線</t>
        </is>
      </c>
      <c r="D6015" s="10" t="inlineStr">
        <is>
          <t>上り</t>
        </is>
      </c>
      <c r="E6015" s="10" t="inlineStr">
        <is>
          <t>連1608</t>
        </is>
      </c>
      <c r="F6015" t="inlineStr">
        <is>
          <t>2221</t>
        </is>
      </c>
      <c r="G6015" s="10" t="inlineStr">
        <is>
          <t>帷子ノ辻</t>
        </is>
      </c>
      <c r="H6015" s="10" t="inlineStr">
        <is>
          <t>発</t>
        </is>
      </c>
      <c r="J6015" s="10" t="inlineStr">
        <is>
          <t>営業</t>
        </is>
      </c>
      <c r="L6015" t="inlineStr">
        <is>
          <t>16:40:10</t>
        </is>
      </c>
      <c r="M6015" t="inlineStr">
        <is>
          <t>16:41:15</t>
        </is>
      </c>
      <c r="P6015" t="inlineStr">
        <is>
          <t>A系統(日中)</t>
        </is>
      </c>
    </row>
    <row r="6016" ht="15" customHeight="1" s="37">
      <c r="A6016" t="n">
        <v>15</v>
      </c>
      <c r="B6016" s="10" t="inlineStr">
        <is>
          <t>平日</t>
        </is>
      </c>
      <c r="C6016" s="10" t="inlineStr">
        <is>
          <t>本線</t>
        </is>
      </c>
      <c r="D6016" s="10" t="inlineStr">
        <is>
          <t>上り</t>
        </is>
      </c>
      <c r="E6016" s="10" t="inlineStr">
        <is>
          <t>連1608</t>
        </is>
      </c>
      <c r="F6016" t="inlineStr">
        <is>
          <t>2221</t>
        </is>
      </c>
      <c r="G6016" s="10" t="inlineStr">
        <is>
          <t>太秦広隆寺</t>
        </is>
      </c>
      <c r="H6016" s="10" t="inlineStr">
        <is>
          <t>発</t>
        </is>
      </c>
      <c r="J6016" s="10" t="inlineStr">
        <is>
          <t>営業</t>
        </is>
      </c>
      <c r="L6016" t="inlineStr">
        <is>
          <t>16:43:25</t>
        </is>
      </c>
      <c r="M6016" t="inlineStr">
        <is>
          <t>16:43:45</t>
        </is>
      </c>
      <c r="P6016" t="inlineStr">
        <is>
          <t>A系統(日中)</t>
        </is>
      </c>
    </row>
    <row r="6017" ht="15" customHeight="1" s="37">
      <c r="A6017" t="n">
        <v>15</v>
      </c>
      <c r="B6017" s="10" t="inlineStr">
        <is>
          <t>平日</t>
        </is>
      </c>
      <c r="C6017" s="10" t="inlineStr">
        <is>
          <t>本線</t>
        </is>
      </c>
      <c r="D6017" s="10" t="inlineStr">
        <is>
          <t>上り</t>
        </is>
      </c>
      <c r="E6017" s="10" t="inlineStr">
        <is>
          <t>連1608</t>
        </is>
      </c>
      <c r="F6017" t="inlineStr">
        <is>
          <t>2221</t>
        </is>
      </c>
      <c r="G6017" s="10" t="inlineStr">
        <is>
          <t>蚕ノ社</t>
        </is>
      </c>
      <c r="H6017" s="10" t="inlineStr">
        <is>
          <t>発</t>
        </is>
      </c>
      <c r="J6017" s="10" t="inlineStr">
        <is>
          <t>営業</t>
        </is>
      </c>
      <c r="L6017" t="inlineStr">
        <is>
          <t>16:45:00</t>
        </is>
      </c>
      <c r="M6017" t="inlineStr">
        <is>
          <t>16:45:20</t>
        </is>
      </c>
      <c r="P6017" t="inlineStr">
        <is>
          <t>A系統(日中)</t>
        </is>
      </c>
    </row>
    <row r="6018" ht="15" customHeight="1" s="37">
      <c r="A6018" t="n">
        <v>15</v>
      </c>
      <c r="B6018" s="10" t="inlineStr">
        <is>
          <t>平日</t>
        </is>
      </c>
      <c r="C6018" s="10" t="inlineStr">
        <is>
          <t>本線</t>
        </is>
      </c>
      <c r="D6018" s="10" t="inlineStr">
        <is>
          <t>上り</t>
        </is>
      </c>
      <c r="E6018" s="10" t="inlineStr">
        <is>
          <t>連1608</t>
        </is>
      </c>
      <c r="F6018" t="inlineStr">
        <is>
          <t>2221</t>
        </is>
      </c>
      <c r="G6018" s="10" t="inlineStr">
        <is>
          <t>天神川</t>
        </is>
      </c>
      <c r="H6018" s="10" t="inlineStr">
        <is>
          <t>発</t>
        </is>
      </c>
      <c r="J6018" s="10" t="inlineStr">
        <is>
          <t>営業</t>
        </is>
      </c>
      <c r="L6018" t="inlineStr">
        <is>
          <t>16:46:05</t>
        </is>
      </c>
      <c r="M6018" t="inlineStr">
        <is>
          <t>16:46:50</t>
        </is>
      </c>
      <c r="P6018" t="inlineStr">
        <is>
          <t>A系統(日中)</t>
        </is>
      </c>
    </row>
    <row r="6019" ht="15" customHeight="1" s="37">
      <c r="A6019" t="n">
        <v>15</v>
      </c>
      <c r="B6019" s="10" t="inlineStr">
        <is>
          <t>平日</t>
        </is>
      </c>
      <c r="C6019" s="10" t="inlineStr">
        <is>
          <t>本線</t>
        </is>
      </c>
      <c r="D6019" s="10" t="inlineStr">
        <is>
          <t>上り</t>
        </is>
      </c>
      <c r="E6019" s="10" t="inlineStr">
        <is>
          <t>連1608</t>
        </is>
      </c>
      <c r="F6019" t="inlineStr">
        <is>
          <t>2221</t>
        </is>
      </c>
      <c r="G6019" s="10" t="inlineStr">
        <is>
          <t>山ノ内</t>
        </is>
      </c>
      <c r="H6019" s="10" t="inlineStr">
        <is>
          <t>発</t>
        </is>
      </c>
      <c r="J6019" s="10" t="inlineStr">
        <is>
          <t>営業</t>
        </is>
      </c>
      <c r="L6019" t="inlineStr">
        <is>
          <t>16:48:40</t>
        </is>
      </c>
      <c r="M6019" t="inlineStr">
        <is>
          <t>16:49:05</t>
        </is>
      </c>
      <c r="P6019" t="inlineStr">
        <is>
          <t>A系統(日中)</t>
        </is>
      </c>
    </row>
    <row r="6020" ht="15" customHeight="1" s="37">
      <c r="A6020" t="n">
        <v>15</v>
      </c>
      <c r="B6020" s="10" t="inlineStr">
        <is>
          <t>平日</t>
        </is>
      </c>
      <c r="C6020" s="10" t="inlineStr">
        <is>
          <t>本線</t>
        </is>
      </c>
      <c r="D6020" s="10" t="inlineStr">
        <is>
          <t>上り</t>
        </is>
      </c>
      <c r="E6020" s="10" t="inlineStr">
        <is>
          <t>連1608</t>
        </is>
      </c>
      <c r="F6020" t="inlineStr">
        <is>
          <t>2221</t>
        </is>
      </c>
      <c r="G6020" s="10" t="inlineStr">
        <is>
          <t>西大路三条</t>
        </is>
      </c>
      <c r="H6020" s="10" t="inlineStr">
        <is>
          <t>発</t>
        </is>
      </c>
      <c r="J6020" s="10" t="inlineStr">
        <is>
          <t>営業</t>
        </is>
      </c>
      <c r="L6020" t="inlineStr">
        <is>
          <t>16:50:55</t>
        </is>
      </c>
      <c r="M6020" t="inlineStr">
        <is>
          <t>16:51:15</t>
        </is>
      </c>
      <c r="P6020" t="inlineStr">
        <is>
          <t>A系統(日中)</t>
        </is>
      </c>
    </row>
    <row r="6021" ht="15" customHeight="1" s="37">
      <c r="A6021" t="n">
        <v>15</v>
      </c>
      <c r="B6021" s="10" t="inlineStr">
        <is>
          <t>平日</t>
        </is>
      </c>
      <c r="C6021" s="10" t="inlineStr">
        <is>
          <t>本線</t>
        </is>
      </c>
      <c r="D6021" s="10" t="inlineStr">
        <is>
          <t>上り</t>
        </is>
      </c>
      <c r="E6021" s="10" t="inlineStr">
        <is>
          <t>連1608</t>
        </is>
      </c>
      <c r="F6021" t="inlineStr">
        <is>
          <t>2221</t>
        </is>
      </c>
      <c r="G6021" s="10" t="inlineStr">
        <is>
          <t>西院</t>
        </is>
      </c>
      <c r="H6021" s="10" t="inlineStr">
        <is>
          <t>発</t>
        </is>
      </c>
      <c r="J6021" s="10" t="inlineStr">
        <is>
          <t>営業</t>
        </is>
      </c>
      <c r="L6021" t="inlineStr">
        <is>
          <t>16:53:10</t>
        </is>
      </c>
      <c r="M6021" t="inlineStr">
        <is>
          <t>16:54:05</t>
        </is>
      </c>
      <c r="P6021" t="inlineStr">
        <is>
          <t>A系統(日中)</t>
        </is>
      </c>
    </row>
    <row r="6022" ht="15" customHeight="1" s="37">
      <c r="A6022" t="n">
        <v>15</v>
      </c>
      <c r="B6022" s="10" t="inlineStr">
        <is>
          <t>平日</t>
        </is>
      </c>
      <c r="C6022" s="10" t="inlineStr">
        <is>
          <t>本線</t>
        </is>
      </c>
      <c r="D6022" s="10" t="inlineStr">
        <is>
          <t>上り</t>
        </is>
      </c>
      <c r="E6022" s="10" t="inlineStr">
        <is>
          <t>連1608</t>
        </is>
      </c>
      <c r="F6022" t="inlineStr">
        <is>
          <t>2221</t>
        </is>
      </c>
      <c r="G6022" s="10" t="inlineStr">
        <is>
          <t>四条大宮</t>
        </is>
      </c>
      <c r="H6022" s="10" t="inlineStr">
        <is>
          <t>着</t>
        </is>
      </c>
      <c r="J6022" s="10" t="inlineStr">
        <is>
          <t>営業</t>
        </is>
      </c>
      <c r="L6022" t="inlineStr">
        <is>
          <t>16:57:00</t>
        </is>
      </c>
      <c r="P6022" t="inlineStr">
        <is>
          <t>A系統(日中)</t>
        </is>
      </c>
      <c r="Q6022" t="inlineStr">
        <is>
          <t>1</t>
        </is>
      </c>
    </row>
    <row r="6023" ht="15" customHeight="1" s="37">
      <c r="A6023" t="n">
        <v>15</v>
      </c>
      <c r="B6023" s="10" t="inlineStr">
        <is>
          <t>平日</t>
        </is>
      </c>
      <c r="C6023" s="10" t="inlineStr">
        <is>
          <t>本線</t>
        </is>
      </c>
      <c r="D6023" s="10" t="inlineStr">
        <is>
          <t>下り</t>
        </is>
      </c>
      <c r="E6023" s="10" t="inlineStr">
        <is>
          <t>連1701</t>
        </is>
      </c>
      <c r="F6023" t="inlineStr">
        <is>
          <t>0122</t>
        </is>
      </c>
      <c r="G6023" s="10" t="inlineStr">
        <is>
          <t>四条大宮</t>
        </is>
      </c>
      <c r="H6023" s="10" t="inlineStr">
        <is>
          <t>発</t>
        </is>
      </c>
      <c r="J6023" s="10" t="inlineStr">
        <is>
          <t>営業</t>
        </is>
      </c>
      <c r="M6023" t="inlineStr">
        <is>
          <t>17:03:00</t>
        </is>
      </c>
      <c r="P6023" t="inlineStr">
        <is>
          <t>A系統(日中)</t>
        </is>
      </c>
      <c r="Q6023" t="inlineStr">
        <is>
          <t>1</t>
        </is>
      </c>
    </row>
    <row r="6024" ht="15" customHeight="1" s="37">
      <c r="A6024" t="n">
        <v>15</v>
      </c>
      <c r="B6024" s="10" t="inlineStr">
        <is>
          <t>平日</t>
        </is>
      </c>
      <c r="C6024" s="10" t="inlineStr">
        <is>
          <t>本線</t>
        </is>
      </c>
      <c r="D6024" s="10" t="inlineStr">
        <is>
          <t>下り</t>
        </is>
      </c>
      <c r="E6024" s="10" t="inlineStr">
        <is>
          <t>連1701</t>
        </is>
      </c>
      <c r="F6024" t="inlineStr">
        <is>
          <t>0122</t>
        </is>
      </c>
      <c r="G6024" s="10" t="inlineStr">
        <is>
          <t>西院</t>
        </is>
      </c>
      <c r="H6024" s="10" t="inlineStr">
        <is>
          <t>発</t>
        </is>
      </c>
      <c r="J6024" s="10" t="inlineStr">
        <is>
          <t>営業</t>
        </is>
      </c>
      <c r="L6024" t="inlineStr">
        <is>
          <t>17:05:50</t>
        </is>
      </c>
      <c r="M6024" t="inlineStr">
        <is>
          <t>17:06:20</t>
        </is>
      </c>
      <c r="P6024" t="inlineStr">
        <is>
          <t>A系統(日中)</t>
        </is>
      </c>
    </row>
    <row r="6025" ht="15" customHeight="1" s="37">
      <c r="A6025" t="n">
        <v>15</v>
      </c>
      <c r="B6025" s="10" t="inlineStr">
        <is>
          <t>平日</t>
        </is>
      </c>
      <c r="C6025" s="10" t="inlineStr">
        <is>
          <t>本線</t>
        </is>
      </c>
      <c r="D6025" s="10" t="inlineStr">
        <is>
          <t>下り</t>
        </is>
      </c>
      <c r="E6025" s="10" t="inlineStr">
        <is>
          <t>連1701</t>
        </is>
      </c>
      <c r="F6025" t="inlineStr">
        <is>
          <t>0122</t>
        </is>
      </c>
      <c r="G6025" s="10" t="inlineStr">
        <is>
          <t>西大路三条</t>
        </is>
      </c>
      <c r="H6025" s="10" t="inlineStr">
        <is>
          <t>発</t>
        </is>
      </c>
      <c r="J6025" s="10" t="inlineStr">
        <is>
          <t>営業</t>
        </is>
      </c>
      <c r="L6025" t="inlineStr">
        <is>
          <t>17:08:10</t>
        </is>
      </c>
      <c r="M6025" t="inlineStr">
        <is>
          <t>17:08:30</t>
        </is>
      </c>
      <c r="P6025" t="inlineStr">
        <is>
          <t>A系統(日中)</t>
        </is>
      </c>
    </row>
    <row r="6026" ht="15" customHeight="1" s="37">
      <c r="A6026" t="n">
        <v>15</v>
      </c>
      <c r="B6026" s="10" t="inlineStr">
        <is>
          <t>平日</t>
        </is>
      </c>
      <c r="C6026" s="10" t="inlineStr">
        <is>
          <t>本線</t>
        </is>
      </c>
      <c r="D6026" s="10" t="inlineStr">
        <is>
          <t>下り</t>
        </is>
      </c>
      <c r="E6026" s="10" t="inlineStr">
        <is>
          <t>連1701</t>
        </is>
      </c>
      <c r="F6026" t="inlineStr">
        <is>
          <t>0122</t>
        </is>
      </c>
      <c r="G6026" s="10" t="inlineStr">
        <is>
          <t>山ノ内</t>
        </is>
      </c>
      <c r="H6026" s="10" t="inlineStr">
        <is>
          <t>発</t>
        </is>
      </c>
      <c r="J6026" s="10" t="inlineStr">
        <is>
          <t>営業</t>
        </is>
      </c>
      <c r="L6026" t="inlineStr">
        <is>
          <t>17:10:25</t>
        </is>
      </c>
      <c r="M6026" t="inlineStr">
        <is>
          <t>17:10:50</t>
        </is>
      </c>
      <c r="P6026" t="inlineStr">
        <is>
          <t>A系統(日中)</t>
        </is>
      </c>
    </row>
    <row r="6027" ht="15" customHeight="1" s="37">
      <c r="A6027" t="n">
        <v>15</v>
      </c>
      <c r="B6027" s="10" t="inlineStr">
        <is>
          <t>平日</t>
        </is>
      </c>
      <c r="C6027" s="10" t="inlineStr">
        <is>
          <t>本線</t>
        </is>
      </c>
      <c r="D6027" s="10" t="inlineStr">
        <is>
          <t>下り</t>
        </is>
      </c>
      <c r="E6027" s="10" t="inlineStr">
        <is>
          <t>連1701</t>
        </is>
      </c>
      <c r="F6027" t="inlineStr">
        <is>
          <t>0122</t>
        </is>
      </c>
      <c r="G6027" s="10" t="inlineStr">
        <is>
          <t>天神川</t>
        </is>
      </c>
      <c r="H6027" s="10" t="inlineStr">
        <is>
          <t>発</t>
        </is>
      </c>
      <c r="J6027" s="10" t="inlineStr">
        <is>
          <t>営業</t>
        </is>
      </c>
      <c r="L6027" t="inlineStr">
        <is>
          <t>17:12:50</t>
        </is>
      </c>
      <c r="M6027" t="inlineStr">
        <is>
          <t>17:13:30</t>
        </is>
      </c>
      <c r="P6027" t="inlineStr">
        <is>
          <t>A系統(日中)</t>
        </is>
      </c>
    </row>
    <row r="6028" ht="15" customHeight="1" s="37">
      <c r="A6028" t="n">
        <v>15</v>
      </c>
      <c r="B6028" s="10" t="inlineStr">
        <is>
          <t>平日</t>
        </is>
      </c>
      <c r="C6028" s="10" t="inlineStr">
        <is>
          <t>本線</t>
        </is>
      </c>
      <c r="D6028" s="10" t="inlineStr">
        <is>
          <t>下り</t>
        </is>
      </c>
      <c r="E6028" s="10" t="inlineStr">
        <is>
          <t>連1701</t>
        </is>
      </c>
      <c r="F6028" t="inlineStr">
        <is>
          <t>0122</t>
        </is>
      </c>
      <c r="G6028" s="10" t="inlineStr">
        <is>
          <t>蚕ノ社</t>
        </is>
      </c>
      <c r="H6028" s="10" t="inlineStr">
        <is>
          <t>発</t>
        </is>
      </c>
      <c r="J6028" s="10" t="inlineStr">
        <is>
          <t>営業</t>
        </is>
      </c>
      <c r="L6028" t="inlineStr">
        <is>
          <t>17:14:20</t>
        </is>
      </c>
      <c r="M6028" t="inlineStr">
        <is>
          <t>17:14:40</t>
        </is>
      </c>
      <c r="P6028" t="inlineStr">
        <is>
          <t>A系統(日中)</t>
        </is>
      </c>
    </row>
    <row r="6029" ht="15" customHeight="1" s="37">
      <c r="A6029" t="n">
        <v>15</v>
      </c>
      <c r="B6029" s="10" t="inlineStr">
        <is>
          <t>平日</t>
        </is>
      </c>
      <c r="C6029" s="10" t="inlineStr">
        <is>
          <t>本線</t>
        </is>
      </c>
      <c r="D6029" s="10" t="inlineStr">
        <is>
          <t>下り</t>
        </is>
      </c>
      <c r="E6029" s="10" t="inlineStr">
        <is>
          <t>連1701</t>
        </is>
      </c>
      <c r="F6029" t="inlineStr">
        <is>
          <t>0122</t>
        </is>
      </c>
      <c r="G6029" s="10" t="inlineStr">
        <is>
          <t>太秦広隆寺</t>
        </is>
      </c>
      <c r="H6029" s="10" t="inlineStr">
        <is>
          <t>発</t>
        </is>
      </c>
      <c r="J6029" s="10" t="inlineStr">
        <is>
          <t>営業</t>
        </is>
      </c>
      <c r="L6029" t="inlineStr">
        <is>
          <t>17:16:00</t>
        </is>
      </c>
      <c r="M6029" t="inlineStr">
        <is>
          <t>17:16:20</t>
        </is>
      </c>
      <c r="P6029" t="inlineStr">
        <is>
          <t>A系統(日中)</t>
        </is>
      </c>
    </row>
    <row r="6030" ht="15" customHeight="1" s="37">
      <c r="A6030" t="n">
        <v>15</v>
      </c>
      <c r="B6030" s="10" t="inlineStr">
        <is>
          <t>平日</t>
        </is>
      </c>
      <c r="C6030" s="10" t="inlineStr">
        <is>
          <t>本線</t>
        </is>
      </c>
      <c r="D6030" s="10" t="inlineStr">
        <is>
          <t>下り</t>
        </is>
      </c>
      <c r="E6030" s="10" t="inlineStr">
        <is>
          <t>連1701</t>
        </is>
      </c>
      <c r="F6030" t="inlineStr">
        <is>
          <t>0122</t>
        </is>
      </c>
      <c r="G6030" s="10" t="inlineStr">
        <is>
          <t>帷子ノ辻</t>
        </is>
      </c>
      <c r="H6030" s="10" t="inlineStr">
        <is>
          <t>発</t>
        </is>
      </c>
      <c r="J6030" s="10" t="inlineStr">
        <is>
          <t>営業</t>
        </is>
      </c>
      <c r="L6030" t="inlineStr">
        <is>
          <t>17:18:20</t>
        </is>
      </c>
      <c r="M6030" t="inlineStr">
        <is>
          <t>17:19:40</t>
        </is>
      </c>
      <c r="P6030" t="inlineStr">
        <is>
          <t>A系統(日中)</t>
        </is>
      </c>
    </row>
    <row r="6031" ht="15" customHeight="1" s="37">
      <c r="A6031" t="n">
        <v>15</v>
      </c>
      <c r="B6031" s="10" t="inlineStr">
        <is>
          <t>平日</t>
        </is>
      </c>
      <c r="C6031" s="10" t="inlineStr">
        <is>
          <t>本線</t>
        </is>
      </c>
      <c r="D6031" s="10" t="inlineStr">
        <is>
          <t>下り</t>
        </is>
      </c>
      <c r="E6031" s="10" t="inlineStr">
        <is>
          <t>連1701</t>
        </is>
      </c>
      <c r="F6031" t="inlineStr">
        <is>
          <t>0122</t>
        </is>
      </c>
      <c r="G6031" s="10" t="inlineStr">
        <is>
          <t>有栖川</t>
        </is>
      </c>
      <c r="H6031" s="10" t="inlineStr">
        <is>
          <t>発</t>
        </is>
      </c>
      <c r="J6031" s="10" t="inlineStr">
        <is>
          <t>営業</t>
        </is>
      </c>
      <c r="L6031" t="inlineStr">
        <is>
          <t>17:20:50</t>
        </is>
      </c>
      <c r="M6031" t="inlineStr">
        <is>
          <t>17:21:15</t>
        </is>
      </c>
      <c r="P6031" t="inlineStr">
        <is>
          <t>A系統(日中)</t>
        </is>
      </c>
    </row>
    <row r="6032" ht="15" customHeight="1" s="37">
      <c r="A6032" t="n">
        <v>15</v>
      </c>
      <c r="B6032" s="10" t="inlineStr">
        <is>
          <t>平日</t>
        </is>
      </c>
      <c r="C6032" s="10" t="inlineStr">
        <is>
          <t>本線</t>
        </is>
      </c>
      <c r="D6032" s="10" t="inlineStr">
        <is>
          <t>下り</t>
        </is>
      </c>
      <c r="E6032" s="10" t="inlineStr">
        <is>
          <t>連1701</t>
        </is>
      </c>
      <c r="F6032" t="inlineStr">
        <is>
          <t>0122</t>
        </is>
      </c>
      <c r="G6032" s="10" t="inlineStr">
        <is>
          <t>車折</t>
        </is>
      </c>
      <c r="H6032" s="10" t="inlineStr">
        <is>
          <t>発</t>
        </is>
      </c>
      <c r="J6032" s="10" t="inlineStr">
        <is>
          <t>営業</t>
        </is>
      </c>
      <c r="L6032" t="inlineStr">
        <is>
          <t>17:22:40</t>
        </is>
      </c>
      <c r="M6032" t="inlineStr">
        <is>
          <t>17:23:05</t>
        </is>
      </c>
      <c r="P6032" t="inlineStr">
        <is>
          <t>A系統(日中)</t>
        </is>
      </c>
    </row>
    <row r="6033" ht="15" customHeight="1" s="37">
      <c r="A6033" t="n">
        <v>15</v>
      </c>
      <c r="B6033" s="10" t="inlineStr">
        <is>
          <t>平日</t>
        </is>
      </c>
      <c r="C6033" s="10" t="inlineStr">
        <is>
          <t>本線</t>
        </is>
      </c>
      <c r="D6033" s="10" t="inlineStr">
        <is>
          <t>下り</t>
        </is>
      </c>
      <c r="E6033" s="10" t="inlineStr">
        <is>
          <t>連1701</t>
        </is>
      </c>
      <c r="F6033" t="inlineStr">
        <is>
          <t>0122</t>
        </is>
      </c>
      <c r="G6033" s="10" t="inlineStr">
        <is>
          <t>鹿王院</t>
        </is>
      </c>
      <c r="H6033" s="10" t="inlineStr">
        <is>
          <t>発</t>
        </is>
      </c>
      <c r="J6033" s="10" t="inlineStr">
        <is>
          <t>営業</t>
        </is>
      </c>
      <c r="L6033" t="inlineStr">
        <is>
          <t>17:24:00</t>
        </is>
      </c>
      <c r="M6033" t="inlineStr">
        <is>
          <t>17:24:25</t>
        </is>
      </c>
      <c r="P6033" t="inlineStr">
        <is>
          <t>A系統(日中)</t>
        </is>
      </c>
    </row>
    <row r="6034" ht="15" customHeight="1" s="37">
      <c r="A6034" t="n">
        <v>15</v>
      </c>
      <c r="B6034" s="10" t="inlineStr">
        <is>
          <t>平日</t>
        </is>
      </c>
      <c r="C6034" s="10" t="inlineStr">
        <is>
          <t>本線</t>
        </is>
      </c>
      <c r="D6034" s="10" t="inlineStr">
        <is>
          <t>下り</t>
        </is>
      </c>
      <c r="E6034" s="10" t="inlineStr">
        <is>
          <t>連1701</t>
        </is>
      </c>
      <c r="F6034" t="inlineStr">
        <is>
          <t>0122</t>
        </is>
      </c>
      <c r="G6034" s="10" t="inlineStr">
        <is>
          <t>嵯峨</t>
        </is>
      </c>
      <c r="H6034" s="10" t="inlineStr">
        <is>
          <t>発</t>
        </is>
      </c>
      <c r="J6034" s="10" t="inlineStr">
        <is>
          <t>営業</t>
        </is>
      </c>
      <c r="L6034" t="inlineStr">
        <is>
          <t>17:25:30</t>
        </is>
      </c>
      <c r="M6034" t="inlineStr">
        <is>
          <t>17:25:55</t>
        </is>
      </c>
      <c r="P6034" t="inlineStr">
        <is>
          <t>A系統(日中)</t>
        </is>
      </c>
    </row>
    <row r="6035" ht="15" customHeight="1" s="37">
      <c r="A6035" t="n">
        <v>15</v>
      </c>
      <c r="B6035" s="10" t="inlineStr">
        <is>
          <t>平日</t>
        </is>
      </c>
      <c r="C6035" s="10" t="inlineStr">
        <is>
          <t>本線</t>
        </is>
      </c>
      <c r="D6035" s="10" t="inlineStr">
        <is>
          <t>下り</t>
        </is>
      </c>
      <c r="E6035" s="10" t="inlineStr">
        <is>
          <t>連1701</t>
        </is>
      </c>
      <c r="F6035" t="inlineStr">
        <is>
          <t>0122</t>
        </is>
      </c>
      <c r="G6035" s="10" t="inlineStr">
        <is>
          <t>嵐山</t>
        </is>
      </c>
      <c r="H6035" s="10" t="inlineStr">
        <is>
          <t>着</t>
        </is>
      </c>
      <c r="J6035" s="10" t="inlineStr">
        <is>
          <t>営業</t>
        </is>
      </c>
      <c r="L6035" t="inlineStr">
        <is>
          <t>17:27:00</t>
        </is>
      </c>
      <c r="N6035" t="inlineStr">
        <is>
          <t>○</t>
        </is>
      </c>
      <c r="P6035" t="inlineStr">
        <is>
          <t>A系統(日中)</t>
        </is>
      </c>
      <c r="Q6035" t="inlineStr">
        <is>
          <t>1</t>
        </is>
      </c>
    </row>
    <row r="6036" ht="15" customHeight="1" s="37">
      <c r="A6036" t="n">
        <v>15</v>
      </c>
      <c r="B6036" s="10" t="inlineStr">
        <is>
          <t>平日</t>
        </is>
      </c>
      <c r="C6036" s="10" t="inlineStr">
        <is>
          <t>本線</t>
        </is>
      </c>
      <c r="D6036" s="10" t="inlineStr">
        <is>
          <t>上り</t>
        </is>
      </c>
      <c r="E6036" s="10" t="inlineStr">
        <is>
          <t>連1708</t>
        </is>
      </c>
      <c r="F6036" t="inlineStr">
        <is>
          <t>2221</t>
        </is>
      </c>
      <c r="G6036" s="10" t="inlineStr">
        <is>
          <t>嵐山</t>
        </is>
      </c>
      <c r="H6036" s="10" t="inlineStr">
        <is>
          <t>発</t>
        </is>
      </c>
      <c r="J6036" s="10" t="inlineStr">
        <is>
          <t>営業</t>
        </is>
      </c>
      <c r="M6036" t="inlineStr">
        <is>
          <t>17:33:00</t>
        </is>
      </c>
      <c r="P6036" t="inlineStr">
        <is>
          <t>A系統(日中)</t>
        </is>
      </c>
      <c r="Q6036" t="inlineStr">
        <is>
          <t>1</t>
        </is>
      </c>
    </row>
    <row r="6037" ht="15" customHeight="1" s="37">
      <c r="A6037" t="n">
        <v>15</v>
      </c>
      <c r="B6037" s="10" t="inlineStr">
        <is>
          <t>平日</t>
        </is>
      </c>
      <c r="C6037" s="10" t="inlineStr">
        <is>
          <t>本線</t>
        </is>
      </c>
      <c r="D6037" s="10" t="inlineStr">
        <is>
          <t>上り</t>
        </is>
      </c>
      <c r="E6037" s="10" t="inlineStr">
        <is>
          <t>連1708</t>
        </is>
      </c>
      <c r="F6037" t="inlineStr">
        <is>
          <t>2221</t>
        </is>
      </c>
      <c r="G6037" s="10" t="inlineStr">
        <is>
          <t>嵯峨</t>
        </is>
      </c>
      <c r="H6037" s="10" t="inlineStr">
        <is>
          <t>発</t>
        </is>
      </c>
      <c r="J6037" s="10" t="inlineStr">
        <is>
          <t>営業</t>
        </is>
      </c>
      <c r="L6037" t="inlineStr">
        <is>
          <t>17:33:55</t>
        </is>
      </c>
      <c r="M6037" t="inlineStr">
        <is>
          <t>17:34:20</t>
        </is>
      </c>
      <c r="P6037" t="inlineStr">
        <is>
          <t>A系統(日中)</t>
        </is>
      </c>
    </row>
    <row r="6038" ht="15" customHeight="1" s="37">
      <c r="A6038" t="n">
        <v>15</v>
      </c>
      <c r="B6038" s="10" t="inlineStr">
        <is>
          <t>平日</t>
        </is>
      </c>
      <c r="C6038" s="10" t="inlineStr">
        <is>
          <t>本線</t>
        </is>
      </c>
      <c r="D6038" s="10" t="inlineStr">
        <is>
          <t>上り</t>
        </is>
      </c>
      <c r="E6038" s="10" t="inlineStr">
        <is>
          <t>連1708</t>
        </is>
      </c>
      <c r="F6038" t="inlineStr">
        <is>
          <t>2221</t>
        </is>
      </c>
      <c r="G6038" s="10" t="inlineStr">
        <is>
          <t>鹿王院</t>
        </is>
      </c>
      <c r="H6038" s="10" t="inlineStr">
        <is>
          <t>発</t>
        </is>
      </c>
      <c r="J6038" s="10" t="inlineStr">
        <is>
          <t>営業</t>
        </is>
      </c>
      <c r="L6038" t="inlineStr">
        <is>
          <t>17:35:25</t>
        </is>
      </c>
      <c r="M6038" t="inlineStr">
        <is>
          <t>17:35:45</t>
        </is>
      </c>
      <c r="P6038" t="inlineStr">
        <is>
          <t>A系統(日中)</t>
        </is>
      </c>
    </row>
    <row r="6039" ht="15" customHeight="1" s="37">
      <c r="A6039" t="n">
        <v>15</v>
      </c>
      <c r="B6039" s="10" t="inlineStr">
        <is>
          <t>平日</t>
        </is>
      </c>
      <c r="C6039" s="10" t="inlineStr">
        <is>
          <t>本線</t>
        </is>
      </c>
      <c r="D6039" s="10" t="inlineStr">
        <is>
          <t>上り</t>
        </is>
      </c>
      <c r="E6039" s="10" t="inlineStr">
        <is>
          <t>連1708</t>
        </is>
      </c>
      <c r="F6039" t="inlineStr">
        <is>
          <t>2221</t>
        </is>
      </c>
      <c r="G6039" s="10" t="inlineStr">
        <is>
          <t>車折</t>
        </is>
      </c>
      <c r="H6039" s="10" t="inlineStr">
        <is>
          <t>発</t>
        </is>
      </c>
      <c r="J6039" s="10" t="inlineStr">
        <is>
          <t>営業</t>
        </is>
      </c>
      <c r="L6039" t="inlineStr">
        <is>
          <t>17:36:40</t>
        </is>
      </c>
      <c r="M6039" t="inlineStr">
        <is>
          <t>17:37:10</t>
        </is>
      </c>
      <c r="P6039" t="inlineStr">
        <is>
          <t>A系統(日中)</t>
        </is>
      </c>
    </row>
    <row r="6040" ht="15" customHeight="1" s="37">
      <c r="A6040" t="n">
        <v>15</v>
      </c>
      <c r="B6040" s="10" t="inlineStr">
        <is>
          <t>平日</t>
        </is>
      </c>
      <c r="C6040" s="10" t="inlineStr">
        <is>
          <t>本線</t>
        </is>
      </c>
      <c r="D6040" s="10" t="inlineStr">
        <is>
          <t>上り</t>
        </is>
      </c>
      <c r="E6040" s="10" t="inlineStr">
        <is>
          <t>連1708</t>
        </is>
      </c>
      <c r="F6040" t="inlineStr">
        <is>
          <t>2221</t>
        </is>
      </c>
      <c r="G6040" s="10" t="inlineStr">
        <is>
          <t>有栖川</t>
        </is>
      </c>
      <c r="H6040" s="10" t="inlineStr">
        <is>
          <t>発</t>
        </is>
      </c>
      <c r="J6040" s="10" t="inlineStr">
        <is>
          <t>営業</t>
        </is>
      </c>
      <c r="L6040" t="inlineStr">
        <is>
          <t>17:38:35</t>
        </is>
      </c>
      <c r="M6040" t="inlineStr">
        <is>
          <t>17:38:55</t>
        </is>
      </c>
      <c r="P6040" t="inlineStr">
        <is>
          <t>A系統(日中)</t>
        </is>
      </c>
    </row>
    <row r="6041" ht="15" customHeight="1" s="37">
      <c r="A6041" t="n">
        <v>15</v>
      </c>
      <c r="B6041" s="10" t="inlineStr">
        <is>
          <t>平日</t>
        </is>
      </c>
      <c r="C6041" s="10" t="inlineStr">
        <is>
          <t>本線</t>
        </is>
      </c>
      <c r="D6041" s="10" t="inlineStr">
        <is>
          <t>上り</t>
        </is>
      </c>
      <c r="E6041" s="10" t="inlineStr">
        <is>
          <t>連1708</t>
        </is>
      </c>
      <c r="F6041" t="inlineStr">
        <is>
          <t>2221</t>
        </is>
      </c>
      <c r="G6041" s="10" t="inlineStr">
        <is>
          <t>帷子ノ辻</t>
        </is>
      </c>
      <c r="H6041" s="10" t="inlineStr">
        <is>
          <t>発</t>
        </is>
      </c>
      <c r="J6041" s="10" t="inlineStr">
        <is>
          <t>営業</t>
        </is>
      </c>
      <c r="L6041" t="inlineStr">
        <is>
          <t>17:40:10</t>
        </is>
      </c>
      <c r="M6041" t="inlineStr">
        <is>
          <t>17:41:15</t>
        </is>
      </c>
      <c r="P6041" t="inlineStr">
        <is>
          <t>A系統(日中)</t>
        </is>
      </c>
    </row>
    <row r="6042" ht="15" customHeight="1" s="37">
      <c r="A6042" t="n">
        <v>15</v>
      </c>
      <c r="B6042" s="10" t="inlineStr">
        <is>
          <t>平日</t>
        </is>
      </c>
      <c r="C6042" s="10" t="inlineStr">
        <is>
          <t>本線</t>
        </is>
      </c>
      <c r="D6042" s="10" t="inlineStr">
        <is>
          <t>上り</t>
        </is>
      </c>
      <c r="E6042" s="10" t="inlineStr">
        <is>
          <t>連1708</t>
        </is>
      </c>
      <c r="F6042" t="inlineStr">
        <is>
          <t>2221</t>
        </is>
      </c>
      <c r="G6042" s="10" t="inlineStr">
        <is>
          <t>太秦広隆寺</t>
        </is>
      </c>
      <c r="H6042" s="10" t="inlineStr">
        <is>
          <t>発</t>
        </is>
      </c>
      <c r="J6042" s="10" t="inlineStr">
        <is>
          <t>営業</t>
        </is>
      </c>
      <c r="L6042" t="inlineStr">
        <is>
          <t>17:43:25</t>
        </is>
      </c>
      <c r="M6042" t="inlineStr">
        <is>
          <t>17:43:45</t>
        </is>
      </c>
      <c r="P6042" t="inlineStr">
        <is>
          <t>A系統(日中)</t>
        </is>
      </c>
    </row>
    <row r="6043" ht="15" customHeight="1" s="37">
      <c r="A6043" t="n">
        <v>15</v>
      </c>
      <c r="B6043" s="10" t="inlineStr">
        <is>
          <t>平日</t>
        </is>
      </c>
      <c r="C6043" s="10" t="inlineStr">
        <is>
          <t>本線</t>
        </is>
      </c>
      <c r="D6043" s="10" t="inlineStr">
        <is>
          <t>上り</t>
        </is>
      </c>
      <c r="E6043" s="10" t="inlineStr">
        <is>
          <t>連1708</t>
        </is>
      </c>
      <c r="F6043" t="inlineStr">
        <is>
          <t>2221</t>
        </is>
      </c>
      <c r="G6043" s="10" t="inlineStr">
        <is>
          <t>蚕ノ社</t>
        </is>
      </c>
      <c r="H6043" s="10" t="inlineStr">
        <is>
          <t>発</t>
        </is>
      </c>
      <c r="J6043" s="10" t="inlineStr">
        <is>
          <t>営業</t>
        </is>
      </c>
      <c r="L6043" t="inlineStr">
        <is>
          <t>17:45:00</t>
        </is>
      </c>
      <c r="M6043" t="inlineStr">
        <is>
          <t>17:45:20</t>
        </is>
      </c>
      <c r="P6043" t="inlineStr">
        <is>
          <t>A系統(日中)</t>
        </is>
      </c>
    </row>
    <row r="6044" ht="15" customHeight="1" s="37">
      <c r="A6044" t="n">
        <v>15</v>
      </c>
      <c r="B6044" s="10" t="inlineStr">
        <is>
          <t>平日</t>
        </is>
      </c>
      <c r="C6044" s="10" t="inlineStr">
        <is>
          <t>本線</t>
        </is>
      </c>
      <c r="D6044" s="10" t="inlineStr">
        <is>
          <t>上り</t>
        </is>
      </c>
      <c r="E6044" s="10" t="inlineStr">
        <is>
          <t>連1708</t>
        </is>
      </c>
      <c r="F6044" t="inlineStr">
        <is>
          <t>2221</t>
        </is>
      </c>
      <c r="G6044" s="10" t="inlineStr">
        <is>
          <t>天神川</t>
        </is>
      </c>
      <c r="H6044" s="10" t="inlineStr">
        <is>
          <t>発</t>
        </is>
      </c>
      <c r="J6044" s="10" t="inlineStr">
        <is>
          <t>営業</t>
        </is>
      </c>
      <c r="L6044" t="inlineStr">
        <is>
          <t>17:46:05</t>
        </is>
      </c>
      <c r="M6044" t="inlineStr">
        <is>
          <t>17:46:50</t>
        </is>
      </c>
      <c r="P6044" t="inlineStr">
        <is>
          <t>A系統(日中)</t>
        </is>
      </c>
    </row>
    <row r="6045" ht="15" customHeight="1" s="37">
      <c r="A6045" t="n">
        <v>15</v>
      </c>
      <c r="B6045" s="10" t="inlineStr">
        <is>
          <t>平日</t>
        </is>
      </c>
      <c r="C6045" s="10" t="inlineStr">
        <is>
          <t>本線</t>
        </is>
      </c>
      <c r="D6045" s="10" t="inlineStr">
        <is>
          <t>上り</t>
        </is>
      </c>
      <c r="E6045" s="10" t="inlineStr">
        <is>
          <t>連1708</t>
        </is>
      </c>
      <c r="F6045" t="inlineStr">
        <is>
          <t>2221</t>
        </is>
      </c>
      <c r="G6045" s="10" t="inlineStr">
        <is>
          <t>山ノ内</t>
        </is>
      </c>
      <c r="H6045" s="10" t="inlineStr">
        <is>
          <t>発</t>
        </is>
      </c>
      <c r="J6045" s="10" t="inlineStr">
        <is>
          <t>営業</t>
        </is>
      </c>
      <c r="L6045" t="inlineStr">
        <is>
          <t>17:48:40</t>
        </is>
      </c>
      <c r="M6045" t="inlineStr">
        <is>
          <t>17:49:05</t>
        </is>
      </c>
      <c r="P6045" t="inlineStr">
        <is>
          <t>A系統(日中)</t>
        </is>
      </c>
    </row>
    <row r="6046" ht="15" customHeight="1" s="37">
      <c r="A6046" t="n">
        <v>15</v>
      </c>
      <c r="B6046" s="10" t="inlineStr">
        <is>
          <t>平日</t>
        </is>
      </c>
      <c r="C6046" s="10" t="inlineStr">
        <is>
          <t>本線</t>
        </is>
      </c>
      <c r="D6046" s="10" t="inlineStr">
        <is>
          <t>上り</t>
        </is>
      </c>
      <c r="E6046" s="10" t="inlineStr">
        <is>
          <t>連1708</t>
        </is>
      </c>
      <c r="F6046" t="inlineStr">
        <is>
          <t>2221</t>
        </is>
      </c>
      <c r="G6046" s="10" t="inlineStr">
        <is>
          <t>西大路三条</t>
        </is>
      </c>
      <c r="H6046" s="10" t="inlineStr">
        <is>
          <t>発</t>
        </is>
      </c>
      <c r="J6046" s="10" t="inlineStr">
        <is>
          <t>営業</t>
        </is>
      </c>
      <c r="L6046" t="inlineStr">
        <is>
          <t>17:50:55</t>
        </is>
      </c>
      <c r="M6046" t="inlineStr">
        <is>
          <t>17:51:15</t>
        </is>
      </c>
      <c r="P6046" t="inlineStr">
        <is>
          <t>A系統(日中)</t>
        </is>
      </c>
    </row>
    <row r="6047" ht="15" customHeight="1" s="37">
      <c r="A6047" t="n">
        <v>15</v>
      </c>
      <c r="B6047" s="10" t="inlineStr">
        <is>
          <t>平日</t>
        </is>
      </c>
      <c r="C6047" s="10" t="inlineStr">
        <is>
          <t>本線</t>
        </is>
      </c>
      <c r="D6047" s="10" t="inlineStr">
        <is>
          <t>上り</t>
        </is>
      </c>
      <c r="E6047" s="10" t="inlineStr">
        <is>
          <t>連1708</t>
        </is>
      </c>
      <c r="F6047" t="inlineStr">
        <is>
          <t>2221</t>
        </is>
      </c>
      <c r="G6047" s="10" t="inlineStr">
        <is>
          <t>西院</t>
        </is>
      </c>
      <c r="H6047" s="10" t="inlineStr">
        <is>
          <t>発</t>
        </is>
      </c>
      <c r="J6047" s="10" t="inlineStr">
        <is>
          <t>営業</t>
        </is>
      </c>
      <c r="L6047" t="inlineStr">
        <is>
          <t>17:53:10</t>
        </is>
      </c>
      <c r="M6047" t="inlineStr">
        <is>
          <t>17:54:05</t>
        </is>
      </c>
      <c r="P6047" t="inlineStr">
        <is>
          <t>A系統(日中)</t>
        </is>
      </c>
    </row>
    <row r="6048" ht="15" customHeight="1" s="37">
      <c r="A6048" t="n">
        <v>15</v>
      </c>
      <c r="B6048" s="10" t="inlineStr">
        <is>
          <t>平日</t>
        </is>
      </c>
      <c r="C6048" s="10" t="inlineStr">
        <is>
          <t>本線</t>
        </is>
      </c>
      <c r="D6048" s="10" t="inlineStr">
        <is>
          <t>上り</t>
        </is>
      </c>
      <c r="E6048" s="10" t="inlineStr">
        <is>
          <t>連1708</t>
        </is>
      </c>
      <c r="F6048" t="inlineStr">
        <is>
          <t>2221</t>
        </is>
      </c>
      <c r="G6048" s="10" t="inlineStr">
        <is>
          <t>四条大宮</t>
        </is>
      </c>
      <c r="H6048" s="10" t="inlineStr">
        <is>
          <t>着</t>
        </is>
      </c>
      <c r="J6048" s="10" t="inlineStr">
        <is>
          <t>営業</t>
        </is>
      </c>
      <c r="L6048" t="inlineStr">
        <is>
          <t>17:57:00</t>
        </is>
      </c>
      <c r="P6048" t="inlineStr">
        <is>
          <t>A系統(日中)</t>
        </is>
      </c>
      <c r="Q6048" t="inlineStr">
        <is>
          <t>1</t>
        </is>
      </c>
    </row>
    <row r="6049" ht="15" customHeight="1" s="37">
      <c r="A6049" t="n">
        <v>15</v>
      </c>
      <c r="B6049" s="10" t="inlineStr">
        <is>
          <t>平日</t>
        </is>
      </c>
      <c r="C6049" s="10" t="inlineStr">
        <is>
          <t>本線</t>
        </is>
      </c>
      <c r="D6049" s="10" t="inlineStr">
        <is>
          <t>下り</t>
        </is>
      </c>
      <c r="E6049" s="10" t="inlineStr">
        <is>
          <t>連1801</t>
        </is>
      </c>
      <c r="F6049" t="inlineStr">
        <is>
          <t>0122</t>
        </is>
      </c>
      <c r="G6049" s="10" t="inlineStr">
        <is>
          <t>四条大宮</t>
        </is>
      </c>
      <c r="H6049" s="10" t="inlineStr">
        <is>
          <t>発</t>
        </is>
      </c>
      <c r="J6049" s="10" t="inlineStr">
        <is>
          <t>営業</t>
        </is>
      </c>
      <c r="M6049" t="inlineStr">
        <is>
          <t>18:03:00</t>
        </is>
      </c>
      <c r="P6049" t="inlineStr">
        <is>
          <t>A系統(日中)</t>
        </is>
      </c>
      <c r="Q6049" t="inlineStr">
        <is>
          <t>1</t>
        </is>
      </c>
    </row>
    <row r="6050" ht="15" customHeight="1" s="37">
      <c r="A6050" t="n">
        <v>15</v>
      </c>
      <c r="B6050" s="10" t="inlineStr">
        <is>
          <t>平日</t>
        </is>
      </c>
      <c r="C6050" s="10" t="inlineStr">
        <is>
          <t>本線</t>
        </is>
      </c>
      <c r="D6050" s="10" t="inlineStr">
        <is>
          <t>下り</t>
        </is>
      </c>
      <c r="E6050" s="10" t="inlineStr">
        <is>
          <t>連1801</t>
        </is>
      </c>
      <c r="F6050" t="inlineStr">
        <is>
          <t>0122</t>
        </is>
      </c>
      <c r="G6050" s="10" t="inlineStr">
        <is>
          <t>西院</t>
        </is>
      </c>
      <c r="H6050" s="10" t="inlineStr">
        <is>
          <t>発</t>
        </is>
      </c>
      <c r="J6050" s="10" t="inlineStr">
        <is>
          <t>営業</t>
        </is>
      </c>
      <c r="L6050" t="inlineStr">
        <is>
          <t>18:05:50</t>
        </is>
      </c>
      <c r="M6050" t="inlineStr">
        <is>
          <t>18:06:20</t>
        </is>
      </c>
      <c r="P6050" t="inlineStr">
        <is>
          <t>A系統(日中)</t>
        </is>
      </c>
    </row>
    <row r="6051" ht="15" customHeight="1" s="37">
      <c r="A6051" t="n">
        <v>15</v>
      </c>
      <c r="B6051" s="10" t="inlineStr">
        <is>
          <t>平日</t>
        </is>
      </c>
      <c r="C6051" s="10" t="inlineStr">
        <is>
          <t>本線</t>
        </is>
      </c>
      <c r="D6051" s="10" t="inlineStr">
        <is>
          <t>下り</t>
        </is>
      </c>
      <c r="E6051" s="10" t="inlineStr">
        <is>
          <t>連1801</t>
        </is>
      </c>
      <c r="F6051" t="inlineStr">
        <is>
          <t>0122</t>
        </is>
      </c>
      <c r="G6051" s="10" t="inlineStr">
        <is>
          <t>西大路三条</t>
        </is>
      </c>
      <c r="H6051" s="10" t="inlineStr">
        <is>
          <t>発</t>
        </is>
      </c>
      <c r="J6051" s="10" t="inlineStr">
        <is>
          <t>営業</t>
        </is>
      </c>
      <c r="L6051" t="inlineStr">
        <is>
          <t>18:08:10</t>
        </is>
      </c>
      <c r="M6051" t="inlineStr">
        <is>
          <t>18:08:30</t>
        </is>
      </c>
      <c r="P6051" t="inlineStr">
        <is>
          <t>A系統(日中)</t>
        </is>
      </c>
    </row>
    <row r="6052" ht="15" customHeight="1" s="37">
      <c r="A6052" t="n">
        <v>15</v>
      </c>
      <c r="B6052" s="10" t="inlineStr">
        <is>
          <t>平日</t>
        </is>
      </c>
      <c r="C6052" s="10" t="inlineStr">
        <is>
          <t>本線</t>
        </is>
      </c>
      <c r="D6052" s="10" t="inlineStr">
        <is>
          <t>下り</t>
        </is>
      </c>
      <c r="E6052" s="10" t="inlineStr">
        <is>
          <t>連1801</t>
        </is>
      </c>
      <c r="F6052" t="inlineStr">
        <is>
          <t>0122</t>
        </is>
      </c>
      <c r="G6052" s="10" t="inlineStr">
        <is>
          <t>山ノ内</t>
        </is>
      </c>
      <c r="H6052" s="10" t="inlineStr">
        <is>
          <t>発</t>
        </is>
      </c>
      <c r="J6052" s="10" t="inlineStr">
        <is>
          <t>営業</t>
        </is>
      </c>
      <c r="L6052" t="inlineStr">
        <is>
          <t>18:10:25</t>
        </is>
      </c>
      <c r="M6052" t="inlineStr">
        <is>
          <t>18:10:50</t>
        </is>
      </c>
      <c r="P6052" t="inlineStr">
        <is>
          <t>A系統(日中)</t>
        </is>
      </c>
    </row>
    <row r="6053" ht="15" customHeight="1" s="37">
      <c r="A6053" t="n">
        <v>15</v>
      </c>
      <c r="B6053" s="10" t="inlineStr">
        <is>
          <t>平日</t>
        </is>
      </c>
      <c r="C6053" s="10" t="inlineStr">
        <is>
          <t>本線</t>
        </is>
      </c>
      <c r="D6053" s="10" t="inlineStr">
        <is>
          <t>下り</t>
        </is>
      </c>
      <c r="E6053" s="10" t="inlineStr">
        <is>
          <t>連1801</t>
        </is>
      </c>
      <c r="F6053" t="inlineStr">
        <is>
          <t>0122</t>
        </is>
      </c>
      <c r="G6053" s="10" t="inlineStr">
        <is>
          <t>天神川</t>
        </is>
      </c>
      <c r="H6053" s="10" t="inlineStr">
        <is>
          <t>発</t>
        </is>
      </c>
      <c r="J6053" s="10" t="inlineStr">
        <is>
          <t>営業</t>
        </is>
      </c>
      <c r="L6053" t="inlineStr">
        <is>
          <t>18:12:50</t>
        </is>
      </c>
      <c r="M6053" t="inlineStr">
        <is>
          <t>18:13:30</t>
        </is>
      </c>
      <c r="P6053" t="inlineStr">
        <is>
          <t>A系統(日中)</t>
        </is>
      </c>
    </row>
    <row r="6054" ht="15" customHeight="1" s="37">
      <c r="A6054" t="n">
        <v>15</v>
      </c>
      <c r="B6054" s="10" t="inlineStr">
        <is>
          <t>平日</t>
        </is>
      </c>
      <c r="C6054" s="10" t="inlineStr">
        <is>
          <t>本線</t>
        </is>
      </c>
      <c r="D6054" s="10" t="inlineStr">
        <is>
          <t>下り</t>
        </is>
      </c>
      <c r="E6054" s="10" t="inlineStr">
        <is>
          <t>連1801</t>
        </is>
      </c>
      <c r="F6054" t="inlineStr">
        <is>
          <t>0122</t>
        </is>
      </c>
      <c r="G6054" s="10" t="inlineStr">
        <is>
          <t>蚕ノ社</t>
        </is>
      </c>
      <c r="H6054" s="10" t="inlineStr">
        <is>
          <t>発</t>
        </is>
      </c>
      <c r="J6054" s="10" t="inlineStr">
        <is>
          <t>営業</t>
        </is>
      </c>
      <c r="L6054" t="inlineStr">
        <is>
          <t>18:14:20</t>
        </is>
      </c>
      <c r="M6054" t="inlineStr">
        <is>
          <t>18:14:40</t>
        </is>
      </c>
      <c r="P6054" t="inlineStr">
        <is>
          <t>A系統(日中)</t>
        </is>
      </c>
    </row>
    <row r="6055" ht="15" customHeight="1" s="37">
      <c r="A6055" t="n">
        <v>15</v>
      </c>
      <c r="B6055" s="10" t="inlineStr">
        <is>
          <t>平日</t>
        </is>
      </c>
      <c r="C6055" s="10" t="inlineStr">
        <is>
          <t>本線</t>
        </is>
      </c>
      <c r="D6055" s="10" t="inlineStr">
        <is>
          <t>下り</t>
        </is>
      </c>
      <c r="E6055" s="10" t="inlineStr">
        <is>
          <t>連1801</t>
        </is>
      </c>
      <c r="F6055" t="inlineStr">
        <is>
          <t>0122</t>
        </is>
      </c>
      <c r="G6055" s="10" t="inlineStr">
        <is>
          <t>太秦広隆寺</t>
        </is>
      </c>
      <c r="H6055" s="10" t="inlineStr">
        <is>
          <t>発</t>
        </is>
      </c>
      <c r="J6055" s="10" t="inlineStr">
        <is>
          <t>営業</t>
        </is>
      </c>
      <c r="L6055" t="inlineStr">
        <is>
          <t>18:16:00</t>
        </is>
      </c>
      <c r="M6055" t="inlineStr">
        <is>
          <t>18:16:20</t>
        </is>
      </c>
      <c r="P6055" t="inlineStr">
        <is>
          <t>A系統(日中)</t>
        </is>
      </c>
    </row>
    <row r="6056" ht="15" customHeight="1" s="37">
      <c r="A6056" t="n">
        <v>15</v>
      </c>
      <c r="B6056" s="10" t="inlineStr">
        <is>
          <t>平日</t>
        </is>
      </c>
      <c r="C6056" s="10" t="inlineStr">
        <is>
          <t>本線</t>
        </is>
      </c>
      <c r="D6056" s="10" t="inlineStr">
        <is>
          <t>下り</t>
        </is>
      </c>
      <c r="E6056" s="10" t="inlineStr">
        <is>
          <t>連1801</t>
        </is>
      </c>
      <c r="F6056" t="inlineStr">
        <is>
          <t>0122</t>
        </is>
      </c>
      <c r="G6056" s="10" t="inlineStr">
        <is>
          <t>帷子ノ辻</t>
        </is>
      </c>
      <c r="H6056" s="10" t="inlineStr">
        <is>
          <t>発</t>
        </is>
      </c>
      <c r="J6056" s="10" t="inlineStr">
        <is>
          <t>営業</t>
        </is>
      </c>
      <c r="L6056" t="inlineStr">
        <is>
          <t>18:18:20</t>
        </is>
      </c>
      <c r="M6056" t="inlineStr">
        <is>
          <t>18:19:40</t>
        </is>
      </c>
      <c r="P6056" t="inlineStr">
        <is>
          <t>A系統(日中)</t>
        </is>
      </c>
    </row>
    <row r="6057" ht="15" customHeight="1" s="37">
      <c r="A6057" t="n">
        <v>15</v>
      </c>
      <c r="B6057" s="10" t="inlineStr">
        <is>
          <t>平日</t>
        </is>
      </c>
      <c r="C6057" s="10" t="inlineStr">
        <is>
          <t>本線</t>
        </is>
      </c>
      <c r="D6057" s="10" t="inlineStr">
        <is>
          <t>下り</t>
        </is>
      </c>
      <c r="E6057" s="10" t="inlineStr">
        <is>
          <t>連1801</t>
        </is>
      </c>
      <c r="F6057" t="inlineStr">
        <is>
          <t>0122</t>
        </is>
      </c>
      <c r="G6057" s="10" t="inlineStr">
        <is>
          <t>有栖川</t>
        </is>
      </c>
      <c r="H6057" s="10" t="inlineStr">
        <is>
          <t>発</t>
        </is>
      </c>
      <c r="J6057" s="10" t="inlineStr">
        <is>
          <t>営業</t>
        </is>
      </c>
      <c r="L6057" t="inlineStr">
        <is>
          <t>18:20:50</t>
        </is>
      </c>
      <c r="M6057" t="inlineStr">
        <is>
          <t>18:21:15</t>
        </is>
      </c>
      <c r="P6057" t="inlineStr">
        <is>
          <t>A系統(日中)</t>
        </is>
      </c>
    </row>
    <row r="6058" ht="15" customHeight="1" s="37">
      <c r="A6058" t="n">
        <v>15</v>
      </c>
      <c r="B6058" s="10" t="inlineStr">
        <is>
          <t>平日</t>
        </is>
      </c>
      <c r="C6058" s="10" t="inlineStr">
        <is>
          <t>本線</t>
        </is>
      </c>
      <c r="D6058" s="10" t="inlineStr">
        <is>
          <t>下り</t>
        </is>
      </c>
      <c r="E6058" s="10" t="inlineStr">
        <is>
          <t>連1801</t>
        </is>
      </c>
      <c r="F6058" t="inlineStr">
        <is>
          <t>0122</t>
        </is>
      </c>
      <c r="G6058" s="10" t="inlineStr">
        <is>
          <t>車折</t>
        </is>
      </c>
      <c r="H6058" s="10" t="inlineStr">
        <is>
          <t>発</t>
        </is>
      </c>
      <c r="J6058" s="10" t="inlineStr">
        <is>
          <t>営業</t>
        </is>
      </c>
      <c r="L6058" t="inlineStr">
        <is>
          <t>18:22:40</t>
        </is>
      </c>
      <c r="M6058" t="inlineStr">
        <is>
          <t>18:23:05</t>
        </is>
      </c>
      <c r="P6058" t="inlineStr">
        <is>
          <t>A系統(日中)</t>
        </is>
      </c>
    </row>
    <row r="6059" ht="15" customHeight="1" s="37">
      <c r="A6059" t="n">
        <v>15</v>
      </c>
      <c r="B6059" s="10" t="inlineStr">
        <is>
          <t>平日</t>
        </is>
      </c>
      <c r="C6059" s="10" t="inlineStr">
        <is>
          <t>本線</t>
        </is>
      </c>
      <c r="D6059" s="10" t="inlineStr">
        <is>
          <t>下り</t>
        </is>
      </c>
      <c r="E6059" s="10" t="inlineStr">
        <is>
          <t>連1801</t>
        </is>
      </c>
      <c r="F6059" t="inlineStr">
        <is>
          <t>0122</t>
        </is>
      </c>
      <c r="G6059" s="10" t="inlineStr">
        <is>
          <t>鹿王院</t>
        </is>
      </c>
      <c r="H6059" s="10" t="inlineStr">
        <is>
          <t>発</t>
        </is>
      </c>
      <c r="J6059" s="10" t="inlineStr">
        <is>
          <t>営業</t>
        </is>
      </c>
      <c r="L6059" t="inlineStr">
        <is>
          <t>18:24:00</t>
        </is>
      </c>
      <c r="M6059" t="inlineStr">
        <is>
          <t>18:24:25</t>
        </is>
      </c>
      <c r="P6059" t="inlineStr">
        <is>
          <t>A系統(日中)</t>
        </is>
      </c>
    </row>
    <row r="6060" ht="15" customHeight="1" s="37">
      <c r="A6060" t="n">
        <v>15</v>
      </c>
      <c r="B6060" s="10" t="inlineStr">
        <is>
          <t>平日</t>
        </is>
      </c>
      <c r="C6060" s="10" t="inlineStr">
        <is>
          <t>本線</t>
        </is>
      </c>
      <c r="D6060" s="10" t="inlineStr">
        <is>
          <t>下り</t>
        </is>
      </c>
      <c r="E6060" s="10" t="inlineStr">
        <is>
          <t>連1801</t>
        </is>
      </c>
      <c r="F6060" t="inlineStr">
        <is>
          <t>0122</t>
        </is>
      </c>
      <c r="G6060" s="10" t="inlineStr">
        <is>
          <t>嵯峨</t>
        </is>
      </c>
      <c r="H6060" s="10" t="inlineStr">
        <is>
          <t>発</t>
        </is>
      </c>
      <c r="J6060" s="10" t="inlineStr">
        <is>
          <t>営業</t>
        </is>
      </c>
      <c r="L6060" t="inlineStr">
        <is>
          <t>18:25:30</t>
        </is>
      </c>
      <c r="M6060" t="inlineStr">
        <is>
          <t>18:25:55</t>
        </is>
      </c>
      <c r="P6060" t="inlineStr">
        <is>
          <t>A系統(日中)</t>
        </is>
      </c>
    </row>
    <row r="6061" ht="15" customHeight="1" s="37">
      <c r="A6061" t="n">
        <v>15</v>
      </c>
      <c r="B6061" s="10" t="inlineStr">
        <is>
          <t>平日</t>
        </is>
      </c>
      <c r="C6061" s="10" t="inlineStr">
        <is>
          <t>本線</t>
        </is>
      </c>
      <c r="D6061" s="10" t="inlineStr">
        <is>
          <t>下り</t>
        </is>
      </c>
      <c r="E6061" s="10" t="inlineStr">
        <is>
          <t>連1801</t>
        </is>
      </c>
      <c r="F6061" t="inlineStr">
        <is>
          <t>0122</t>
        </is>
      </c>
      <c r="G6061" s="10" t="inlineStr">
        <is>
          <t>嵐山</t>
        </is>
      </c>
      <c r="H6061" s="10" t="inlineStr">
        <is>
          <t>着</t>
        </is>
      </c>
      <c r="J6061" s="10" t="inlineStr">
        <is>
          <t>営業</t>
        </is>
      </c>
      <c r="L6061" t="inlineStr">
        <is>
          <t>18:27:00</t>
        </is>
      </c>
      <c r="N6061" t="inlineStr">
        <is>
          <t>○</t>
        </is>
      </c>
      <c r="P6061" t="inlineStr">
        <is>
          <t>A系統(日中)</t>
        </is>
      </c>
      <c r="Q6061" t="inlineStr">
        <is>
          <t>1</t>
        </is>
      </c>
    </row>
    <row r="6062" ht="15" customHeight="1" s="37">
      <c r="A6062" t="n">
        <v>15</v>
      </c>
      <c r="B6062" s="10" t="inlineStr">
        <is>
          <t>平日</t>
        </is>
      </c>
      <c r="C6062" s="10" t="inlineStr">
        <is>
          <t>本線</t>
        </is>
      </c>
      <c r="D6062" s="10" t="inlineStr">
        <is>
          <t>上り</t>
        </is>
      </c>
      <c r="E6062" s="10" t="inlineStr">
        <is>
          <t>連1808</t>
        </is>
      </c>
      <c r="F6062" t="inlineStr">
        <is>
          <t>2221</t>
        </is>
      </c>
      <c r="G6062" s="10" t="inlineStr">
        <is>
          <t>嵐山</t>
        </is>
      </c>
      <c r="H6062" s="10" t="inlineStr">
        <is>
          <t>発</t>
        </is>
      </c>
      <c r="J6062" s="10" t="inlineStr">
        <is>
          <t>営業</t>
        </is>
      </c>
      <c r="M6062" t="inlineStr">
        <is>
          <t>18:33:00</t>
        </is>
      </c>
      <c r="P6062" t="inlineStr">
        <is>
          <t>A系統(日中)</t>
        </is>
      </c>
      <c r="Q6062" t="inlineStr">
        <is>
          <t>1</t>
        </is>
      </c>
    </row>
    <row r="6063" ht="15" customHeight="1" s="37">
      <c r="A6063" t="n">
        <v>15</v>
      </c>
      <c r="B6063" s="10" t="inlineStr">
        <is>
          <t>平日</t>
        </is>
      </c>
      <c r="C6063" s="10" t="inlineStr">
        <is>
          <t>本線</t>
        </is>
      </c>
      <c r="D6063" s="10" t="inlineStr">
        <is>
          <t>上り</t>
        </is>
      </c>
      <c r="E6063" s="10" t="inlineStr">
        <is>
          <t>連1808</t>
        </is>
      </c>
      <c r="F6063" t="inlineStr">
        <is>
          <t>2221</t>
        </is>
      </c>
      <c r="G6063" s="10" t="inlineStr">
        <is>
          <t>嵯峨</t>
        </is>
      </c>
      <c r="H6063" s="10" t="inlineStr">
        <is>
          <t>発</t>
        </is>
      </c>
      <c r="J6063" s="10" t="inlineStr">
        <is>
          <t>営業</t>
        </is>
      </c>
      <c r="L6063" t="inlineStr">
        <is>
          <t>18:33:55</t>
        </is>
      </c>
      <c r="M6063" t="inlineStr">
        <is>
          <t>18:34:20</t>
        </is>
      </c>
      <c r="P6063" t="inlineStr">
        <is>
          <t>A系統(日中)</t>
        </is>
      </c>
    </row>
    <row r="6064" ht="15" customHeight="1" s="37">
      <c r="A6064" t="n">
        <v>15</v>
      </c>
      <c r="B6064" s="10" t="inlineStr">
        <is>
          <t>平日</t>
        </is>
      </c>
      <c r="C6064" s="10" t="inlineStr">
        <is>
          <t>本線</t>
        </is>
      </c>
      <c r="D6064" s="10" t="inlineStr">
        <is>
          <t>上り</t>
        </is>
      </c>
      <c r="E6064" s="10" t="inlineStr">
        <is>
          <t>連1808</t>
        </is>
      </c>
      <c r="F6064" t="inlineStr">
        <is>
          <t>2221</t>
        </is>
      </c>
      <c r="G6064" s="10" t="inlineStr">
        <is>
          <t>鹿王院</t>
        </is>
      </c>
      <c r="H6064" s="10" t="inlineStr">
        <is>
          <t>発</t>
        </is>
      </c>
      <c r="J6064" s="10" t="inlineStr">
        <is>
          <t>営業</t>
        </is>
      </c>
      <c r="L6064" t="inlineStr">
        <is>
          <t>18:35:25</t>
        </is>
      </c>
      <c r="M6064" t="inlineStr">
        <is>
          <t>18:35:45</t>
        </is>
      </c>
      <c r="P6064" t="inlineStr">
        <is>
          <t>A系統(日中)</t>
        </is>
      </c>
    </row>
    <row r="6065" ht="15" customHeight="1" s="37">
      <c r="A6065" t="n">
        <v>15</v>
      </c>
      <c r="B6065" s="10" t="inlineStr">
        <is>
          <t>平日</t>
        </is>
      </c>
      <c r="C6065" s="10" t="inlineStr">
        <is>
          <t>本線</t>
        </is>
      </c>
      <c r="D6065" s="10" t="inlineStr">
        <is>
          <t>上り</t>
        </is>
      </c>
      <c r="E6065" s="10" t="inlineStr">
        <is>
          <t>連1808</t>
        </is>
      </c>
      <c r="F6065" t="inlineStr">
        <is>
          <t>2221</t>
        </is>
      </c>
      <c r="G6065" s="10" t="inlineStr">
        <is>
          <t>車折</t>
        </is>
      </c>
      <c r="H6065" s="10" t="inlineStr">
        <is>
          <t>発</t>
        </is>
      </c>
      <c r="J6065" s="10" t="inlineStr">
        <is>
          <t>営業</t>
        </is>
      </c>
      <c r="L6065" t="inlineStr">
        <is>
          <t>18:36:40</t>
        </is>
      </c>
      <c r="M6065" t="inlineStr">
        <is>
          <t>18:37:10</t>
        </is>
      </c>
      <c r="P6065" t="inlineStr">
        <is>
          <t>A系統(日中)</t>
        </is>
      </c>
    </row>
    <row r="6066" ht="15" customHeight="1" s="37">
      <c r="A6066" t="n">
        <v>15</v>
      </c>
      <c r="B6066" s="10" t="inlineStr">
        <is>
          <t>平日</t>
        </is>
      </c>
      <c r="C6066" s="10" t="inlineStr">
        <is>
          <t>本線</t>
        </is>
      </c>
      <c r="D6066" s="10" t="inlineStr">
        <is>
          <t>上り</t>
        </is>
      </c>
      <c r="E6066" s="10" t="inlineStr">
        <is>
          <t>連1808</t>
        </is>
      </c>
      <c r="F6066" t="inlineStr">
        <is>
          <t>2221</t>
        </is>
      </c>
      <c r="G6066" s="10" t="inlineStr">
        <is>
          <t>有栖川</t>
        </is>
      </c>
      <c r="H6066" s="10" t="inlineStr">
        <is>
          <t>発</t>
        </is>
      </c>
      <c r="J6066" s="10" t="inlineStr">
        <is>
          <t>営業</t>
        </is>
      </c>
      <c r="L6066" t="inlineStr">
        <is>
          <t>18:38:35</t>
        </is>
      </c>
      <c r="M6066" t="inlineStr">
        <is>
          <t>18:38:55</t>
        </is>
      </c>
      <c r="P6066" t="inlineStr">
        <is>
          <t>A系統(日中)</t>
        </is>
      </c>
    </row>
    <row r="6067" ht="15" customHeight="1" s="37">
      <c r="A6067" t="n">
        <v>15</v>
      </c>
      <c r="B6067" s="10" t="inlineStr">
        <is>
          <t>平日</t>
        </is>
      </c>
      <c r="C6067" s="10" t="inlineStr">
        <is>
          <t>本線</t>
        </is>
      </c>
      <c r="D6067" s="10" t="inlineStr">
        <is>
          <t>上り</t>
        </is>
      </c>
      <c r="E6067" s="10" t="inlineStr">
        <is>
          <t>連1808</t>
        </is>
      </c>
      <c r="F6067" t="inlineStr">
        <is>
          <t>2221</t>
        </is>
      </c>
      <c r="G6067" s="10" t="inlineStr">
        <is>
          <t>帷子ノ辻</t>
        </is>
      </c>
      <c r="H6067" s="10" t="inlineStr">
        <is>
          <t>発</t>
        </is>
      </c>
      <c r="J6067" s="10" t="inlineStr">
        <is>
          <t>営業</t>
        </is>
      </c>
      <c r="L6067" t="inlineStr">
        <is>
          <t>18:40:10</t>
        </is>
      </c>
      <c r="M6067" t="inlineStr">
        <is>
          <t>18:41:15</t>
        </is>
      </c>
      <c r="P6067" t="inlineStr">
        <is>
          <t>A系統(日中)</t>
        </is>
      </c>
    </row>
    <row r="6068" ht="15" customHeight="1" s="37">
      <c r="A6068" t="n">
        <v>15</v>
      </c>
      <c r="B6068" s="10" t="inlineStr">
        <is>
          <t>平日</t>
        </is>
      </c>
      <c r="C6068" s="10" t="inlineStr">
        <is>
          <t>本線</t>
        </is>
      </c>
      <c r="D6068" s="10" t="inlineStr">
        <is>
          <t>上り</t>
        </is>
      </c>
      <c r="E6068" s="10" t="inlineStr">
        <is>
          <t>連1808</t>
        </is>
      </c>
      <c r="F6068" t="inlineStr">
        <is>
          <t>2221</t>
        </is>
      </c>
      <c r="G6068" s="10" t="inlineStr">
        <is>
          <t>太秦広隆寺</t>
        </is>
      </c>
      <c r="H6068" s="10" t="inlineStr">
        <is>
          <t>発</t>
        </is>
      </c>
      <c r="J6068" s="10" t="inlineStr">
        <is>
          <t>営業</t>
        </is>
      </c>
      <c r="L6068" t="inlineStr">
        <is>
          <t>18:43:25</t>
        </is>
      </c>
      <c r="M6068" t="inlineStr">
        <is>
          <t>18:43:45</t>
        </is>
      </c>
      <c r="P6068" t="inlineStr">
        <is>
          <t>A系統(日中)</t>
        </is>
      </c>
    </row>
    <row r="6069" ht="15" customHeight="1" s="37">
      <c r="A6069" t="n">
        <v>15</v>
      </c>
      <c r="B6069" s="10" t="inlineStr">
        <is>
          <t>平日</t>
        </is>
      </c>
      <c r="C6069" s="10" t="inlineStr">
        <is>
          <t>本線</t>
        </is>
      </c>
      <c r="D6069" s="10" t="inlineStr">
        <is>
          <t>上り</t>
        </is>
      </c>
      <c r="E6069" s="10" t="inlineStr">
        <is>
          <t>連1808</t>
        </is>
      </c>
      <c r="F6069" t="inlineStr">
        <is>
          <t>2221</t>
        </is>
      </c>
      <c r="G6069" s="10" t="inlineStr">
        <is>
          <t>蚕ノ社</t>
        </is>
      </c>
      <c r="H6069" s="10" t="inlineStr">
        <is>
          <t>発</t>
        </is>
      </c>
      <c r="J6069" s="10" t="inlineStr">
        <is>
          <t>営業</t>
        </is>
      </c>
      <c r="L6069" t="inlineStr">
        <is>
          <t>18:45:00</t>
        </is>
      </c>
      <c r="M6069" t="inlineStr">
        <is>
          <t>18:45:20</t>
        </is>
      </c>
      <c r="P6069" t="inlineStr">
        <is>
          <t>A系統(日中)</t>
        </is>
      </c>
    </row>
    <row r="6070" ht="15" customHeight="1" s="37">
      <c r="A6070" t="n">
        <v>15</v>
      </c>
      <c r="B6070" s="10" t="inlineStr">
        <is>
          <t>平日</t>
        </is>
      </c>
      <c r="C6070" s="10" t="inlineStr">
        <is>
          <t>本線</t>
        </is>
      </c>
      <c r="D6070" s="10" t="inlineStr">
        <is>
          <t>上り</t>
        </is>
      </c>
      <c r="E6070" s="10" t="inlineStr">
        <is>
          <t>連1808</t>
        </is>
      </c>
      <c r="F6070" t="inlineStr">
        <is>
          <t>2221</t>
        </is>
      </c>
      <c r="G6070" s="10" t="inlineStr">
        <is>
          <t>天神川</t>
        </is>
      </c>
      <c r="H6070" s="10" t="inlineStr">
        <is>
          <t>発</t>
        </is>
      </c>
      <c r="J6070" s="10" t="inlineStr">
        <is>
          <t>営業</t>
        </is>
      </c>
      <c r="L6070" t="inlineStr">
        <is>
          <t>18:46:05</t>
        </is>
      </c>
      <c r="M6070" t="inlineStr">
        <is>
          <t>18:46:50</t>
        </is>
      </c>
      <c r="P6070" t="inlineStr">
        <is>
          <t>A系統(日中)</t>
        </is>
      </c>
    </row>
    <row r="6071" ht="15" customHeight="1" s="37">
      <c r="A6071" t="n">
        <v>15</v>
      </c>
      <c r="B6071" s="10" t="inlineStr">
        <is>
          <t>平日</t>
        </is>
      </c>
      <c r="C6071" s="10" t="inlineStr">
        <is>
          <t>本線</t>
        </is>
      </c>
      <c r="D6071" s="10" t="inlineStr">
        <is>
          <t>上り</t>
        </is>
      </c>
      <c r="E6071" s="10" t="inlineStr">
        <is>
          <t>連1808</t>
        </is>
      </c>
      <c r="F6071" t="inlineStr">
        <is>
          <t>2221</t>
        </is>
      </c>
      <c r="G6071" s="10" t="inlineStr">
        <is>
          <t>山ノ内</t>
        </is>
      </c>
      <c r="H6071" s="10" t="inlineStr">
        <is>
          <t>発</t>
        </is>
      </c>
      <c r="J6071" s="10" t="inlineStr">
        <is>
          <t>営業</t>
        </is>
      </c>
      <c r="L6071" t="inlineStr">
        <is>
          <t>18:48:40</t>
        </is>
      </c>
      <c r="M6071" t="inlineStr">
        <is>
          <t>18:49:05</t>
        </is>
      </c>
      <c r="P6071" t="inlineStr">
        <is>
          <t>A系統(日中)</t>
        </is>
      </c>
    </row>
    <row r="6072" ht="15" customHeight="1" s="37">
      <c r="A6072" t="n">
        <v>15</v>
      </c>
      <c r="B6072" s="10" t="inlineStr">
        <is>
          <t>平日</t>
        </is>
      </c>
      <c r="C6072" s="10" t="inlineStr">
        <is>
          <t>本線</t>
        </is>
      </c>
      <c r="D6072" s="10" t="inlineStr">
        <is>
          <t>上り</t>
        </is>
      </c>
      <c r="E6072" s="10" t="inlineStr">
        <is>
          <t>連1808</t>
        </is>
      </c>
      <c r="F6072" t="inlineStr">
        <is>
          <t>2221</t>
        </is>
      </c>
      <c r="G6072" s="10" t="inlineStr">
        <is>
          <t>西大路三条</t>
        </is>
      </c>
      <c r="H6072" s="10" t="inlineStr">
        <is>
          <t>発</t>
        </is>
      </c>
      <c r="J6072" s="10" t="inlineStr">
        <is>
          <t>営業</t>
        </is>
      </c>
      <c r="L6072" t="inlineStr">
        <is>
          <t>18:50:55</t>
        </is>
      </c>
      <c r="M6072" t="inlineStr">
        <is>
          <t>18:51:15</t>
        </is>
      </c>
      <c r="P6072" t="inlineStr">
        <is>
          <t>A系統(日中)</t>
        </is>
      </c>
    </row>
    <row r="6073" ht="15" customHeight="1" s="37">
      <c r="A6073" t="n">
        <v>15</v>
      </c>
      <c r="B6073" s="10" t="inlineStr">
        <is>
          <t>平日</t>
        </is>
      </c>
      <c r="C6073" s="10" t="inlineStr">
        <is>
          <t>本線</t>
        </is>
      </c>
      <c r="D6073" s="10" t="inlineStr">
        <is>
          <t>上り</t>
        </is>
      </c>
      <c r="E6073" s="10" t="inlineStr">
        <is>
          <t>連1808</t>
        </is>
      </c>
      <c r="F6073" t="inlineStr">
        <is>
          <t>2221</t>
        </is>
      </c>
      <c r="G6073" s="10" t="inlineStr">
        <is>
          <t>西院</t>
        </is>
      </c>
      <c r="H6073" s="10" t="inlineStr">
        <is>
          <t>発</t>
        </is>
      </c>
      <c r="J6073" s="10" t="inlineStr">
        <is>
          <t>営業</t>
        </is>
      </c>
      <c r="L6073" t="inlineStr">
        <is>
          <t>18:53:10</t>
        </is>
      </c>
      <c r="M6073" t="inlineStr">
        <is>
          <t>18:54:05</t>
        </is>
      </c>
      <c r="P6073" t="inlineStr">
        <is>
          <t>A系統(日中)</t>
        </is>
      </c>
    </row>
    <row r="6074" ht="15" customHeight="1" s="37">
      <c r="A6074" t="n">
        <v>15</v>
      </c>
      <c r="B6074" s="10" t="inlineStr">
        <is>
          <t>平日</t>
        </is>
      </c>
      <c r="C6074" s="10" t="inlineStr">
        <is>
          <t>本線</t>
        </is>
      </c>
      <c r="D6074" s="10" t="inlineStr">
        <is>
          <t>上り</t>
        </is>
      </c>
      <c r="E6074" s="10" t="inlineStr">
        <is>
          <t>連1808</t>
        </is>
      </c>
      <c r="F6074" t="inlineStr">
        <is>
          <t>2221</t>
        </is>
      </c>
      <c r="G6074" s="10" t="inlineStr">
        <is>
          <t>四条大宮</t>
        </is>
      </c>
      <c r="H6074" s="10" t="inlineStr">
        <is>
          <t>着</t>
        </is>
      </c>
      <c r="J6074" s="10" t="inlineStr">
        <is>
          <t>営業</t>
        </is>
      </c>
      <c r="L6074" t="inlineStr">
        <is>
          <t>18:57:00</t>
        </is>
      </c>
      <c r="P6074" t="inlineStr">
        <is>
          <t>A系統(日中)</t>
        </is>
      </c>
      <c r="Q6074" t="inlineStr">
        <is>
          <t>1</t>
        </is>
      </c>
    </row>
    <row r="6075" ht="15" customHeight="1" s="37">
      <c r="A6075" t="n">
        <v>15</v>
      </c>
      <c r="B6075" s="10" t="inlineStr">
        <is>
          <t>平日</t>
        </is>
      </c>
      <c r="C6075" s="10" t="inlineStr">
        <is>
          <t>本線</t>
        </is>
      </c>
      <c r="D6075" s="10" t="inlineStr">
        <is>
          <t>下り</t>
        </is>
      </c>
      <c r="E6075" s="10" t="inlineStr">
        <is>
          <t>連1901</t>
        </is>
      </c>
      <c r="F6075" t="inlineStr">
        <is>
          <t>0122</t>
        </is>
      </c>
      <c r="G6075" s="10" t="inlineStr">
        <is>
          <t>四条大宮</t>
        </is>
      </c>
      <c r="H6075" s="10" t="inlineStr">
        <is>
          <t>発</t>
        </is>
      </c>
      <c r="J6075" s="10" t="inlineStr">
        <is>
          <t>営業</t>
        </is>
      </c>
      <c r="M6075" t="inlineStr">
        <is>
          <t>19:02:00</t>
        </is>
      </c>
      <c r="P6075" t="inlineStr">
        <is>
          <t>A系統(日中)</t>
        </is>
      </c>
      <c r="Q6075" t="inlineStr">
        <is>
          <t>1</t>
        </is>
      </c>
    </row>
    <row r="6076" ht="15" customHeight="1" s="37">
      <c r="A6076" t="n">
        <v>15</v>
      </c>
      <c r="B6076" s="10" t="inlineStr">
        <is>
          <t>平日</t>
        </is>
      </c>
      <c r="C6076" s="10" t="inlineStr">
        <is>
          <t>本線</t>
        </is>
      </c>
      <c r="D6076" s="10" t="inlineStr">
        <is>
          <t>下り</t>
        </is>
      </c>
      <c r="E6076" s="10" t="inlineStr">
        <is>
          <t>連1901</t>
        </is>
      </c>
      <c r="F6076" t="inlineStr">
        <is>
          <t>0122</t>
        </is>
      </c>
      <c r="G6076" s="10" t="inlineStr">
        <is>
          <t>西院</t>
        </is>
      </c>
      <c r="H6076" s="10" t="inlineStr">
        <is>
          <t>着</t>
        </is>
      </c>
      <c r="J6076" s="10" t="inlineStr">
        <is>
          <t>営業</t>
        </is>
      </c>
      <c r="L6076" t="inlineStr">
        <is>
          <t>19:04:50</t>
        </is>
      </c>
      <c r="M6076" t="inlineStr">
        <is>
          <t>19:06:20</t>
        </is>
      </c>
      <c r="P6076" t="inlineStr">
        <is>
          <t>A系統(日中)</t>
        </is>
      </c>
    </row>
    <row r="6077" ht="15" customHeight="1" s="37">
      <c r="A6077" t="n">
        <v>16</v>
      </c>
      <c r="B6077" s="10" t="inlineStr">
        <is>
          <t>平日</t>
        </is>
      </c>
      <c r="C6077" s="10" t="inlineStr">
        <is>
          <t>北野線</t>
        </is>
      </c>
      <c r="D6077" s="10" t="inlineStr">
        <is>
          <t>上り</t>
        </is>
      </c>
      <c r="E6077" t="inlineStr">
        <is>
          <t>0552</t>
        </is>
      </c>
      <c r="F6077" t="inlineStr">
        <is>
          <t>0304</t>
        </is>
      </c>
      <c r="G6077" s="10" t="inlineStr">
        <is>
          <t>帷子ノ辻</t>
        </is>
      </c>
      <c r="H6077" s="10" t="inlineStr">
        <is>
          <t>発</t>
        </is>
      </c>
      <c r="J6077" s="10" t="inlineStr">
        <is>
          <t>営業</t>
        </is>
      </c>
      <c r="K6077" t="inlineStr">
        <is>
          <t>←0591</t>
        </is>
      </c>
      <c r="M6077" t="inlineStr">
        <is>
          <t>5:48:50</t>
        </is>
      </c>
      <c r="Q6077" t="inlineStr">
        <is>
          <t>4出</t>
        </is>
      </c>
    </row>
    <row r="6078" ht="15" customHeight="1" s="37">
      <c r="A6078" t="n">
        <v>16</v>
      </c>
      <c r="B6078" s="10" t="inlineStr">
        <is>
          <t>平日</t>
        </is>
      </c>
      <c r="C6078" s="10" t="inlineStr">
        <is>
          <t>北野線</t>
        </is>
      </c>
      <c r="D6078" s="10" t="inlineStr">
        <is>
          <t>上り</t>
        </is>
      </c>
      <c r="E6078" t="inlineStr">
        <is>
          <t>0552</t>
        </is>
      </c>
      <c r="F6078" t="inlineStr">
        <is>
          <t>0304</t>
        </is>
      </c>
      <c r="G6078" s="10" t="inlineStr">
        <is>
          <t>撮影所前</t>
        </is>
      </c>
      <c r="H6078" s="10" t="inlineStr">
        <is>
          <t>発</t>
        </is>
      </c>
      <c r="J6078" s="10" t="inlineStr">
        <is>
          <t>営業</t>
        </is>
      </c>
      <c r="K6078" t="inlineStr">
        <is>
          <t>←0591</t>
        </is>
      </c>
      <c r="L6078" t="inlineStr">
        <is>
          <t>5:49:50</t>
        </is>
      </c>
      <c r="M6078" t="inlineStr">
        <is>
          <t>5:49:55</t>
        </is>
      </c>
    </row>
    <row r="6079" ht="15" customHeight="1" s="37">
      <c r="A6079" t="n">
        <v>16</v>
      </c>
      <c r="B6079" s="10" t="inlineStr">
        <is>
          <t>平日</t>
        </is>
      </c>
      <c r="C6079" s="10" t="inlineStr">
        <is>
          <t>北野線</t>
        </is>
      </c>
      <c r="D6079" s="10" t="inlineStr">
        <is>
          <t>上り</t>
        </is>
      </c>
      <c r="E6079" t="inlineStr">
        <is>
          <t>0552</t>
        </is>
      </c>
      <c r="F6079" t="inlineStr">
        <is>
          <t>0304</t>
        </is>
      </c>
      <c r="G6079" s="10" t="inlineStr">
        <is>
          <t>常盤</t>
        </is>
      </c>
      <c r="H6079" s="10" t="inlineStr">
        <is>
          <t>発</t>
        </is>
      </c>
      <c r="J6079" s="10" t="inlineStr">
        <is>
          <t>営業</t>
        </is>
      </c>
      <c r="K6079" t="inlineStr">
        <is>
          <t>←0591</t>
        </is>
      </c>
      <c r="L6079" t="inlineStr">
        <is>
          <t>5:51:15</t>
        </is>
      </c>
      <c r="M6079" t="inlineStr">
        <is>
          <t>5:51:35</t>
        </is>
      </c>
    </row>
    <row r="6080" ht="15" customHeight="1" s="37">
      <c r="A6080" t="n">
        <v>16</v>
      </c>
      <c r="B6080" s="10" t="inlineStr">
        <is>
          <t>平日</t>
        </is>
      </c>
      <c r="C6080" s="10" t="inlineStr">
        <is>
          <t>北野線</t>
        </is>
      </c>
      <c r="D6080" s="10" t="inlineStr">
        <is>
          <t>上り</t>
        </is>
      </c>
      <c r="E6080" t="inlineStr">
        <is>
          <t>0552</t>
        </is>
      </c>
      <c r="F6080" t="inlineStr">
        <is>
          <t>0304</t>
        </is>
      </c>
      <c r="G6080" s="10" t="inlineStr">
        <is>
          <t>鳴滝</t>
        </is>
      </c>
      <c r="H6080" s="10" t="inlineStr">
        <is>
          <t>発</t>
        </is>
      </c>
      <c r="J6080" s="10" t="inlineStr">
        <is>
          <t>営業</t>
        </is>
      </c>
      <c r="K6080" t="inlineStr">
        <is>
          <t>←0591</t>
        </is>
      </c>
      <c r="L6080" t="inlineStr">
        <is>
          <t>5:52:35</t>
        </is>
      </c>
      <c r="M6080" t="inlineStr">
        <is>
          <t>5:52:55</t>
        </is>
      </c>
    </row>
    <row r="6081" ht="15" customHeight="1" s="37">
      <c r="A6081" t="n">
        <v>16</v>
      </c>
      <c r="B6081" s="10" t="inlineStr">
        <is>
          <t>平日</t>
        </is>
      </c>
      <c r="C6081" s="10" t="inlineStr">
        <is>
          <t>北野線</t>
        </is>
      </c>
      <c r="D6081" s="10" t="inlineStr">
        <is>
          <t>上り</t>
        </is>
      </c>
      <c r="E6081" t="inlineStr">
        <is>
          <t>0552</t>
        </is>
      </c>
      <c r="F6081" t="inlineStr">
        <is>
          <t>0304</t>
        </is>
      </c>
      <c r="G6081" s="10" t="inlineStr">
        <is>
          <t>宇多野</t>
        </is>
      </c>
      <c r="H6081" s="10" t="inlineStr">
        <is>
          <t>発</t>
        </is>
      </c>
      <c r="J6081" s="10" t="inlineStr">
        <is>
          <t>営業</t>
        </is>
      </c>
      <c r="K6081" t="inlineStr">
        <is>
          <t>←0591</t>
        </is>
      </c>
      <c r="L6081" t="inlineStr">
        <is>
          <t>5:54:15</t>
        </is>
      </c>
      <c r="M6081" t="inlineStr">
        <is>
          <t>5:54:30</t>
        </is>
      </c>
    </row>
    <row r="6082" ht="15" customHeight="1" s="37">
      <c r="A6082" t="n">
        <v>16</v>
      </c>
      <c r="B6082" s="10" t="inlineStr">
        <is>
          <t>平日</t>
        </is>
      </c>
      <c r="C6082" s="10" t="inlineStr">
        <is>
          <t>北野線</t>
        </is>
      </c>
      <c r="D6082" s="10" t="inlineStr">
        <is>
          <t>上り</t>
        </is>
      </c>
      <c r="E6082" t="inlineStr">
        <is>
          <t>0552</t>
        </is>
      </c>
      <c r="F6082" t="inlineStr">
        <is>
          <t>0304</t>
        </is>
      </c>
      <c r="G6082" s="10" t="inlineStr">
        <is>
          <t>御室仁和寺</t>
        </is>
      </c>
      <c r="H6082" s="10" t="inlineStr">
        <is>
          <t>発</t>
        </is>
      </c>
      <c r="J6082" s="10" t="inlineStr">
        <is>
          <t>営業</t>
        </is>
      </c>
      <c r="K6082" t="inlineStr">
        <is>
          <t>←0591</t>
        </is>
      </c>
      <c r="L6082" t="inlineStr">
        <is>
          <t>5:55:30</t>
        </is>
      </c>
      <c r="M6082" t="inlineStr">
        <is>
          <t>5:55:50</t>
        </is>
      </c>
    </row>
    <row r="6083" ht="15" customHeight="1" s="37">
      <c r="A6083" t="n">
        <v>16</v>
      </c>
      <c r="B6083" s="10" t="inlineStr">
        <is>
          <t>平日</t>
        </is>
      </c>
      <c r="C6083" s="10" t="inlineStr">
        <is>
          <t>北野線</t>
        </is>
      </c>
      <c r="D6083" s="10" t="inlineStr">
        <is>
          <t>上り</t>
        </is>
      </c>
      <c r="E6083" t="inlineStr">
        <is>
          <t>0552</t>
        </is>
      </c>
      <c r="F6083" t="inlineStr">
        <is>
          <t>0304</t>
        </is>
      </c>
      <c r="G6083" s="10" t="inlineStr">
        <is>
          <t>妙心寺</t>
        </is>
      </c>
      <c r="H6083" s="10" t="inlineStr">
        <is>
          <t>発</t>
        </is>
      </c>
      <c r="J6083" s="10" t="inlineStr">
        <is>
          <t>営業</t>
        </is>
      </c>
      <c r="K6083" t="inlineStr">
        <is>
          <t>←0591</t>
        </is>
      </c>
      <c r="L6083" t="inlineStr">
        <is>
          <t>5:56:50</t>
        </is>
      </c>
      <c r="M6083" t="inlineStr">
        <is>
          <t>5:56:55</t>
        </is>
      </c>
    </row>
    <row r="6084" ht="15" customHeight="1" s="37">
      <c r="A6084" t="n">
        <v>16</v>
      </c>
      <c r="B6084" s="10" t="inlineStr">
        <is>
          <t>平日</t>
        </is>
      </c>
      <c r="C6084" s="10" t="inlineStr">
        <is>
          <t>北野線</t>
        </is>
      </c>
      <c r="D6084" s="10" t="inlineStr">
        <is>
          <t>上り</t>
        </is>
      </c>
      <c r="E6084" t="inlineStr">
        <is>
          <t>0552</t>
        </is>
      </c>
      <c r="F6084" t="inlineStr">
        <is>
          <t>0304</t>
        </is>
      </c>
      <c r="G6084" s="10" t="inlineStr">
        <is>
          <t>龍安寺</t>
        </is>
      </c>
      <c r="H6084" s="10" t="inlineStr">
        <is>
          <t>発</t>
        </is>
      </c>
      <c r="J6084" s="10" t="inlineStr">
        <is>
          <t>営業</t>
        </is>
      </c>
      <c r="K6084" t="inlineStr">
        <is>
          <t>←0591</t>
        </is>
      </c>
      <c r="L6084" t="inlineStr">
        <is>
          <t>5:57:50</t>
        </is>
      </c>
      <c r="M6084" t="inlineStr">
        <is>
          <t>5:58:10</t>
        </is>
      </c>
    </row>
    <row r="6085" ht="15" customHeight="1" s="37">
      <c r="A6085" t="n">
        <v>16</v>
      </c>
      <c r="B6085" s="10" t="inlineStr">
        <is>
          <t>平日</t>
        </is>
      </c>
      <c r="C6085" s="10" t="inlineStr">
        <is>
          <t>北野線</t>
        </is>
      </c>
      <c r="D6085" s="10" t="inlineStr">
        <is>
          <t>上り</t>
        </is>
      </c>
      <c r="E6085" t="inlineStr">
        <is>
          <t>0552</t>
        </is>
      </c>
      <c r="F6085" t="inlineStr">
        <is>
          <t>0304</t>
        </is>
      </c>
      <c r="G6085" s="10" t="inlineStr">
        <is>
          <t>等持院</t>
        </is>
      </c>
      <c r="H6085" s="10" t="inlineStr">
        <is>
          <t>発</t>
        </is>
      </c>
      <c r="J6085" s="10" t="inlineStr">
        <is>
          <t>営業</t>
        </is>
      </c>
      <c r="K6085" t="inlineStr">
        <is>
          <t>←0591</t>
        </is>
      </c>
      <c r="L6085" t="inlineStr">
        <is>
          <t>5:58:50</t>
        </is>
      </c>
      <c r="M6085" t="inlineStr">
        <is>
          <t>5:58:55</t>
        </is>
      </c>
    </row>
    <row r="6086" ht="15" customHeight="1" s="37">
      <c r="A6086" t="n">
        <v>16</v>
      </c>
      <c r="B6086" s="10" t="inlineStr">
        <is>
          <t>平日</t>
        </is>
      </c>
      <c r="C6086" s="10" t="inlineStr">
        <is>
          <t>北野線</t>
        </is>
      </c>
      <c r="D6086" s="10" t="inlineStr">
        <is>
          <t>上り</t>
        </is>
      </c>
      <c r="E6086" t="inlineStr">
        <is>
          <t>0552</t>
        </is>
      </c>
      <c r="F6086" t="inlineStr">
        <is>
          <t>0304</t>
        </is>
      </c>
      <c r="G6086" s="10" t="inlineStr">
        <is>
          <t>北野白梅町</t>
        </is>
      </c>
      <c r="H6086" s="10" t="inlineStr">
        <is>
          <t>着</t>
        </is>
      </c>
      <c r="J6086" s="10" t="inlineStr">
        <is>
          <t>営業</t>
        </is>
      </c>
      <c r="K6086" t="inlineStr">
        <is>
          <t>←0591</t>
        </is>
      </c>
      <c r="L6086" t="inlineStr">
        <is>
          <t>6:00:40</t>
        </is>
      </c>
      <c r="N6086" t="inlineStr">
        <is>
          <t>○</t>
        </is>
      </c>
      <c r="Q6086" t="inlineStr">
        <is>
          <t>1</t>
        </is>
      </c>
    </row>
    <row r="6087" ht="15" customHeight="1" s="37">
      <c r="A6087" t="n">
        <v>16</v>
      </c>
      <c r="B6087" s="10" t="inlineStr">
        <is>
          <t>平日</t>
        </is>
      </c>
      <c r="C6087" s="10" t="inlineStr">
        <is>
          <t>本線</t>
        </is>
      </c>
      <c r="D6087" s="10" t="inlineStr">
        <is>
          <t>下り</t>
        </is>
      </c>
      <c r="E6087" t="inlineStr">
        <is>
          <t>0591</t>
        </is>
      </c>
      <c r="F6087" t="inlineStr">
        <is>
          <t>0504</t>
        </is>
      </c>
      <c r="G6087" s="10" t="inlineStr">
        <is>
          <t>西院</t>
        </is>
      </c>
      <c r="H6087" s="10" t="inlineStr">
        <is>
          <t>発</t>
        </is>
      </c>
      <c r="J6087" s="10" t="inlineStr">
        <is>
          <t>営業</t>
        </is>
      </c>
      <c r="K6087" t="inlineStr">
        <is>
          <t>→0552</t>
        </is>
      </c>
      <c r="M6087" t="inlineStr">
        <is>
          <t>5:33:20</t>
        </is>
      </c>
    </row>
    <row r="6088" ht="15" customHeight="1" s="37">
      <c r="A6088" t="n">
        <v>16</v>
      </c>
      <c r="B6088" s="10" t="inlineStr">
        <is>
          <t>平日</t>
        </is>
      </c>
      <c r="C6088" s="10" t="inlineStr">
        <is>
          <t>本線</t>
        </is>
      </c>
      <c r="D6088" s="10" t="inlineStr">
        <is>
          <t>下り</t>
        </is>
      </c>
      <c r="E6088" t="inlineStr">
        <is>
          <t>0591</t>
        </is>
      </c>
      <c r="F6088" t="inlineStr">
        <is>
          <t>0504</t>
        </is>
      </c>
      <c r="G6088" s="10" t="inlineStr">
        <is>
          <t>西大路三条</t>
        </is>
      </c>
      <c r="H6088" s="10" t="inlineStr">
        <is>
          <t>発</t>
        </is>
      </c>
      <c r="J6088" s="10" t="inlineStr">
        <is>
          <t>営業</t>
        </is>
      </c>
      <c r="K6088" t="inlineStr">
        <is>
          <t>→0552</t>
        </is>
      </c>
      <c r="L6088" t="inlineStr">
        <is>
          <t>5:35:10</t>
        </is>
      </c>
      <c r="M6088" t="inlineStr">
        <is>
          <t>5:35:25</t>
        </is>
      </c>
    </row>
    <row r="6089" ht="15" customHeight="1" s="37">
      <c r="A6089" t="n">
        <v>16</v>
      </c>
      <c r="B6089" s="10" t="inlineStr">
        <is>
          <t>平日</t>
        </is>
      </c>
      <c r="C6089" s="10" t="inlineStr">
        <is>
          <t>本線</t>
        </is>
      </c>
      <c r="D6089" s="10" t="inlineStr">
        <is>
          <t>下り</t>
        </is>
      </c>
      <c r="E6089" t="inlineStr">
        <is>
          <t>0591</t>
        </is>
      </c>
      <c r="F6089" t="inlineStr">
        <is>
          <t>0504</t>
        </is>
      </c>
      <c r="G6089" s="10" t="inlineStr">
        <is>
          <t>山ノ内</t>
        </is>
      </c>
      <c r="H6089" s="10" t="inlineStr">
        <is>
          <t>発</t>
        </is>
      </c>
      <c r="J6089" s="10" t="inlineStr">
        <is>
          <t>営業</t>
        </is>
      </c>
      <c r="K6089" t="inlineStr">
        <is>
          <t>→0552</t>
        </is>
      </c>
      <c r="L6089" t="inlineStr">
        <is>
          <t>5:37:20</t>
        </is>
      </c>
      <c r="M6089" t="inlineStr">
        <is>
          <t>5:37:45</t>
        </is>
      </c>
    </row>
    <row r="6090" ht="15" customHeight="1" s="37">
      <c r="A6090" t="n">
        <v>16</v>
      </c>
      <c r="B6090" s="10" t="inlineStr">
        <is>
          <t>平日</t>
        </is>
      </c>
      <c r="C6090" s="10" t="inlineStr">
        <is>
          <t>本線</t>
        </is>
      </c>
      <c r="D6090" s="10" t="inlineStr">
        <is>
          <t>下り</t>
        </is>
      </c>
      <c r="E6090" t="inlineStr">
        <is>
          <t>0591</t>
        </is>
      </c>
      <c r="F6090" t="inlineStr">
        <is>
          <t>0504</t>
        </is>
      </c>
      <c r="G6090" s="10" t="inlineStr">
        <is>
          <t>天神川</t>
        </is>
      </c>
      <c r="H6090" s="10" t="inlineStr">
        <is>
          <t>発</t>
        </is>
      </c>
      <c r="J6090" s="10" t="inlineStr">
        <is>
          <t>営業</t>
        </is>
      </c>
      <c r="K6090" t="inlineStr">
        <is>
          <t>→0552</t>
        </is>
      </c>
      <c r="L6090" t="inlineStr">
        <is>
          <t>5:39:45</t>
        </is>
      </c>
      <c r="M6090" t="inlineStr">
        <is>
          <t>5:40:10</t>
        </is>
      </c>
    </row>
    <row r="6091" ht="15" customHeight="1" s="37">
      <c r="A6091" t="n">
        <v>16</v>
      </c>
      <c r="B6091" s="10" t="inlineStr">
        <is>
          <t>平日</t>
        </is>
      </c>
      <c r="C6091" s="10" t="inlineStr">
        <is>
          <t>本線</t>
        </is>
      </c>
      <c r="D6091" s="10" t="inlineStr">
        <is>
          <t>下り</t>
        </is>
      </c>
      <c r="E6091" t="inlineStr">
        <is>
          <t>0591</t>
        </is>
      </c>
      <c r="F6091" t="inlineStr">
        <is>
          <t>0504</t>
        </is>
      </c>
      <c r="G6091" s="10" t="inlineStr">
        <is>
          <t>蚕ノ社</t>
        </is>
      </c>
      <c r="H6091" s="10" t="inlineStr">
        <is>
          <t>発</t>
        </is>
      </c>
      <c r="J6091" s="10" t="inlineStr">
        <is>
          <t>営業</t>
        </is>
      </c>
      <c r="K6091" t="inlineStr">
        <is>
          <t>→0552</t>
        </is>
      </c>
      <c r="L6091" t="inlineStr">
        <is>
          <t>5:41:00</t>
        </is>
      </c>
      <c r="M6091" t="inlineStr">
        <is>
          <t>5:41:15</t>
        </is>
      </c>
    </row>
    <row r="6092" ht="15" customHeight="1" s="37">
      <c r="A6092" t="n">
        <v>16</v>
      </c>
      <c r="B6092" s="10" t="inlineStr">
        <is>
          <t>平日</t>
        </is>
      </c>
      <c r="C6092" s="10" t="inlineStr">
        <is>
          <t>本線</t>
        </is>
      </c>
      <c r="D6092" s="10" t="inlineStr">
        <is>
          <t>下り</t>
        </is>
      </c>
      <c r="E6092" t="inlineStr">
        <is>
          <t>0591</t>
        </is>
      </c>
      <c r="F6092" t="inlineStr">
        <is>
          <t>0504</t>
        </is>
      </c>
      <c r="G6092" s="10" t="inlineStr">
        <is>
          <t>太秦広隆寺</t>
        </is>
      </c>
      <c r="H6092" s="10" t="inlineStr">
        <is>
          <t>発</t>
        </is>
      </c>
      <c r="J6092" s="10" t="inlineStr">
        <is>
          <t>営業</t>
        </is>
      </c>
      <c r="K6092" t="inlineStr">
        <is>
          <t>→0552</t>
        </is>
      </c>
      <c r="L6092" t="inlineStr">
        <is>
          <t>5:42:35</t>
        </is>
      </c>
      <c r="M6092" t="inlineStr">
        <is>
          <t>5:42:50</t>
        </is>
      </c>
    </row>
    <row r="6093" ht="15" customHeight="1" s="37">
      <c r="A6093" t="n">
        <v>16</v>
      </c>
      <c r="B6093" s="10" t="inlineStr">
        <is>
          <t>平日</t>
        </is>
      </c>
      <c r="C6093" s="10" t="inlineStr">
        <is>
          <t>本線</t>
        </is>
      </c>
      <c r="D6093" s="10" t="inlineStr">
        <is>
          <t>下り</t>
        </is>
      </c>
      <c r="E6093" t="inlineStr">
        <is>
          <t>0591</t>
        </is>
      </c>
      <c r="F6093" t="inlineStr">
        <is>
          <t>0504</t>
        </is>
      </c>
      <c r="G6093" s="10" t="inlineStr">
        <is>
          <t>帷子ノ辻</t>
        </is>
      </c>
      <c r="H6093" s="10" t="inlineStr">
        <is>
          <t>着</t>
        </is>
      </c>
      <c r="J6093" s="10" t="inlineStr">
        <is>
          <t>営業</t>
        </is>
      </c>
      <c r="K6093" t="inlineStr">
        <is>
          <t>→0552</t>
        </is>
      </c>
      <c r="L6093" t="inlineStr">
        <is>
          <t>5:44:50</t>
        </is>
      </c>
      <c r="N6093" t="inlineStr">
        <is>
          <t>○</t>
        </is>
      </c>
    </row>
    <row r="6094" ht="15" customHeight="1" s="37">
      <c r="A6094" t="n">
        <v>16</v>
      </c>
      <c r="B6094" s="10" t="inlineStr">
        <is>
          <t>平日</t>
        </is>
      </c>
      <c r="C6094" s="10" t="inlineStr">
        <is>
          <t>北野線</t>
        </is>
      </c>
      <c r="D6094" s="10" t="inlineStr">
        <is>
          <t>下り</t>
        </is>
      </c>
      <c r="E6094" t="inlineStr">
        <is>
          <t>0651</t>
        </is>
      </c>
      <c r="F6094" t="inlineStr">
        <is>
          <t>0403</t>
        </is>
      </c>
      <c r="G6094" s="10" t="inlineStr">
        <is>
          <t>北野白梅町</t>
        </is>
      </c>
      <c r="H6094" s="10" t="inlineStr">
        <is>
          <t>発</t>
        </is>
      </c>
      <c r="J6094" s="10" t="inlineStr">
        <is>
          <t>営業</t>
        </is>
      </c>
      <c r="M6094" t="inlineStr">
        <is>
          <t>6:03:40</t>
        </is>
      </c>
      <c r="Q6094" t="inlineStr">
        <is>
          <t>1</t>
        </is>
      </c>
    </row>
    <row r="6095" ht="15" customHeight="1" s="37">
      <c r="A6095" t="n">
        <v>16</v>
      </c>
      <c r="B6095" s="10" t="inlineStr">
        <is>
          <t>平日</t>
        </is>
      </c>
      <c r="C6095" s="10" t="inlineStr">
        <is>
          <t>北野線</t>
        </is>
      </c>
      <c r="D6095" s="10" t="inlineStr">
        <is>
          <t>下り</t>
        </is>
      </c>
      <c r="E6095" t="inlineStr">
        <is>
          <t>0651</t>
        </is>
      </c>
      <c r="F6095" t="inlineStr">
        <is>
          <t>0403</t>
        </is>
      </c>
      <c r="G6095" s="10" t="inlineStr">
        <is>
          <t>等持院</t>
        </is>
      </c>
      <c r="H6095" s="10" t="inlineStr">
        <is>
          <t>発</t>
        </is>
      </c>
      <c r="J6095" s="10" t="inlineStr">
        <is>
          <t>営業</t>
        </is>
      </c>
      <c r="L6095" t="inlineStr">
        <is>
          <t>6:05:05</t>
        </is>
      </c>
      <c r="M6095" t="inlineStr">
        <is>
          <t>6:05:15</t>
        </is>
      </c>
    </row>
    <row r="6096" ht="15" customHeight="1" s="37">
      <c r="A6096" t="n">
        <v>16</v>
      </c>
      <c r="B6096" s="10" t="inlineStr">
        <is>
          <t>平日</t>
        </is>
      </c>
      <c r="C6096" s="10" t="inlineStr">
        <is>
          <t>北野線</t>
        </is>
      </c>
      <c r="D6096" s="10" t="inlineStr">
        <is>
          <t>下り</t>
        </is>
      </c>
      <c r="E6096" t="inlineStr">
        <is>
          <t>0651</t>
        </is>
      </c>
      <c r="F6096" t="inlineStr">
        <is>
          <t>0403</t>
        </is>
      </c>
      <c r="G6096" s="10" t="inlineStr">
        <is>
          <t>龍安寺</t>
        </is>
      </c>
      <c r="H6096" s="10" t="inlineStr">
        <is>
          <t>発</t>
        </is>
      </c>
      <c r="J6096" s="10" t="inlineStr">
        <is>
          <t>営業</t>
        </is>
      </c>
      <c r="L6096" t="inlineStr">
        <is>
          <t>6:06:05</t>
        </is>
      </c>
      <c r="M6096" t="inlineStr">
        <is>
          <t>6:06:25</t>
        </is>
      </c>
    </row>
    <row r="6097" ht="15" customHeight="1" s="37">
      <c r="A6097" t="n">
        <v>16</v>
      </c>
      <c r="B6097" s="10" t="inlineStr">
        <is>
          <t>平日</t>
        </is>
      </c>
      <c r="C6097" s="10" t="inlineStr">
        <is>
          <t>北野線</t>
        </is>
      </c>
      <c r="D6097" s="10" t="inlineStr">
        <is>
          <t>下り</t>
        </is>
      </c>
      <c r="E6097" t="inlineStr">
        <is>
          <t>0651</t>
        </is>
      </c>
      <c r="F6097" t="inlineStr">
        <is>
          <t>0403</t>
        </is>
      </c>
      <c r="G6097" s="10" t="inlineStr">
        <is>
          <t>妙心寺</t>
        </is>
      </c>
      <c r="H6097" s="10" t="inlineStr">
        <is>
          <t>発</t>
        </is>
      </c>
      <c r="J6097" s="10" t="inlineStr">
        <is>
          <t>営業</t>
        </is>
      </c>
      <c r="L6097" t="inlineStr">
        <is>
          <t>6:07:20</t>
        </is>
      </c>
      <c r="M6097" t="inlineStr">
        <is>
          <t>6:07:30</t>
        </is>
      </c>
    </row>
    <row r="6098" ht="15" customHeight="1" s="37">
      <c r="A6098" t="n">
        <v>16</v>
      </c>
      <c r="B6098" s="10" t="inlineStr">
        <is>
          <t>平日</t>
        </is>
      </c>
      <c r="C6098" s="10" t="inlineStr">
        <is>
          <t>北野線</t>
        </is>
      </c>
      <c r="D6098" s="10" t="inlineStr">
        <is>
          <t>下り</t>
        </is>
      </c>
      <c r="E6098" t="inlineStr">
        <is>
          <t>0651</t>
        </is>
      </c>
      <c r="F6098" t="inlineStr">
        <is>
          <t>0403</t>
        </is>
      </c>
      <c r="G6098" s="10" t="inlineStr">
        <is>
          <t>御室仁和寺</t>
        </is>
      </c>
      <c r="H6098" s="10" t="inlineStr">
        <is>
          <t>発</t>
        </is>
      </c>
      <c r="J6098" s="10" t="inlineStr">
        <is>
          <t>営業</t>
        </is>
      </c>
      <c r="L6098" t="inlineStr">
        <is>
          <t>6:08:30</t>
        </is>
      </c>
      <c r="M6098" t="inlineStr">
        <is>
          <t>6:08:35</t>
        </is>
      </c>
    </row>
    <row r="6099" ht="15" customHeight="1" s="37">
      <c r="A6099" t="n">
        <v>16</v>
      </c>
      <c r="B6099" s="10" t="inlineStr">
        <is>
          <t>平日</t>
        </is>
      </c>
      <c r="C6099" s="10" t="inlineStr">
        <is>
          <t>北野線</t>
        </is>
      </c>
      <c r="D6099" s="10" t="inlineStr">
        <is>
          <t>下り</t>
        </is>
      </c>
      <c r="E6099" t="inlineStr">
        <is>
          <t>0651</t>
        </is>
      </c>
      <c r="F6099" t="inlineStr">
        <is>
          <t>0403</t>
        </is>
      </c>
      <c r="G6099" s="10" t="inlineStr">
        <is>
          <t>宇多野</t>
        </is>
      </c>
      <c r="H6099" s="10" t="inlineStr">
        <is>
          <t>発</t>
        </is>
      </c>
      <c r="J6099" s="10" t="inlineStr">
        <is>
          <t>営業</t>
        </is>
      </c>
      <c r="L6099" t="inlineStr">
        <is>
          <t>6:09:35</t>
        </is>
      </c>
      <c r="M6099" t="inlineStr">
        <is>
          <t>6:09:45</t>
        </is>
      </c>
    </row>
    <row r="6100" ht="15" customHeight="1" s="37">
      <c r="A6100" t="n">
        <v>16</v>
      </c>
      <c r="B6100" s="10" t="inlineStr">
        <is>
          <t>平日</t>
        </is>
      </c>
      <c r="C6100" s="10" t="inlineStr">
        <is>
          <t>北野線</t>
        </is>
      </c>
      <c r="D6100" s="10" t="inlineStr">
        <is>
          <t>下り</t>
        </is>
      </c>
      <c r="E6100" t="inlineStr">
        <is>
          <t>0651</t>
        </is>
      </c>
      <c r="F6100" t="inlineStr">
        <is>
          <t>0403</t>
        </is>
      </c>
      <c r="G6100" s="10" t="inlineStr">
        <is>
          <t>鳴滝</t>
        </is>
      </c>
      <c r="H6100" s="10" t="inlineStr">
        <is>
          <t>発</t>
        </is>
      </c>
      <c r="J6100" s="10" t="inlineStr">
        <is>
          <t>営業</t>
        </is>
      </c>
      <c r="L6100" t="inlineStr">
        <is>
          <t>6:11:05</t>
        </is>
      </c>
      <c r="M6100" t="inlineStr">
        <is>
          <t>6:11:15</t>
        </is>
      </c>
    </row>
    <row r="6101" ht="15" customHeight="1" s="37">
      <c r="A6101" t="n">
        <v>16</v>
      </c>
      <c r="B6101" s="10" t="inlineStr">
        <is>
          <t>平日</t>
        </is>
      </c>
      <c r="C6101" s="10" t="inlineStr">
        <is>
          <t>北野線</t>
        </is>
      </c>
      <c r="D6101" s="10" t="inlineStr">
        <is>
          <t>下り</t>
        </is>
      </c>
      <c r="E6101" t="inlineStr">
        <is>
          <t>0651</t>
        </is>
      </c>
      <c r="F6101" t="inlineStr">
        <is>
          <t>0403</t>
        </is>
      </c>
      <c r="G6101" s="10" t="inlineStr">
        <is>
          <t>常盤</t>
        </is>
      </c>
      <c r="H6101" s="10" t="inlineStr">
        <is>
          <t>発</t>
        </is>
      </c>
      <c r="J6101" s="10" t="inlineStr">
        <is>
          <t>営業</t>
        </is>
      </c>
      <c r="L6101" t="inlineStr">
        <is>
          <t>6:12:05</t>
        </is>
      </c>
      <c r="M6101" t="inlineStr">
        <is>
          <t>6:12:25</t>
        </is>
      </c>
    </row>
    <row r="6102" ht="15" customHeight="1" s="37">
      <c r="A6102" t="n">
        <v>16</v>
      </c>
      <c r="B6102" s="10" t="inlineStr">
        <is>
          <t>平日</t>
        </is>
      </c>
      <c r="C6102" s="10" t="inlineStr">
        <is>
          <t>北野線</t>
        </is>
      </c>
      <c r="D6102" s="10" t="inlineStr">
        <is>
          <t>下り</t>
        </is>
      </c>
      <c r="E6102" t="inlineStr">
        <is>
          <t>0651</t>
        </is>
      </c>
      <c r="F6102" t="inlineStr">
        <is>
          <t>0403</t>
        </is>
      </c>
      <c r="G6102" s="10" t="inlineStr">
        <is>
          <t>撮影所前</t>
        </is>
      </c>
      <c r="H6102" s="10" t="inlineStr">
        <is>
          <t>発</t>
        </is>
      </c>
      <c r="J6102" s="10" t="inlineStr">
        <is>
          <t>営業</t>
        </is>
      </c>
      <c r="L6102" t="inlineStr">
        <is>
          <t>6:13:45</t>
        </is>
      </c>
      <c r="M6102" t="inlineStr">
        <is>
          <t>6:13:55</t>
        </is>
      </c>
    </row>
    <row r="6103" ht="15" customHeight="1" s="37">
      <c r="A6103" t="n">
        <v>16</v>
      </c>
      <c r="B6103" s="10" t="inlineStr">
        <is>
          <t>平日</t>
        </is>
      </c>
      <c r="C6103" s="10" t="inlineStr">
        <is>
          <t>北野線</t>
        </is>
      </c>
      <c r="D6103" s="10" t="inlineStr">
        <is>
          <t>下り</t>
        </is>
      </c>
      <c r="E6103" t="inlineStr">
        <is>
          <t>0651</t>
        </is>
      </c>
      <c r="F6103" t="inlineStr">
        <is>
          <t>0403</t>
        </is>
      </c>
      <c r="G6103" s="10" t="inlineStr">
        <is>
          <t>帷子ノ辻</t>
        </is>
      </c>
      <c r="H6103" s="10" t="inlineStr">
        <is>
          <t>着</t>
        </is>
      </c>
      <c r="J6103" s="10" t="inlineStr">
        <is>
          <t>営業</t>
        </is>
      </c>
      <c r="L6103" t="inlineStr">
        <is>
          <t>6:15:00</t>
        </is>
      </c>
      <c r="N6103" t="inlineStr">
        <is>
          <t>○</t>
        </is>
      </c>
      <c r="Q6103" t="inlineStr">
        <is>
          <t>4</t>
        </is>
      </c>
    </row>
    <row r="6104" ht="15" customHeight="1" s="37">
      <c r="A6104" t="n">
        <v>16</v>
      </c>
      <c r="B6104" s="10" t="inlineStr">
        <is>
          <t>平日</t>
        </is>
      </c>
      <c r="C6104" s="10" t="inlineStr">
        <is>
          <t>北野線</t>
        </is>
      </c>
      <c r="D6104" s="10" t="inlineStr">
        <is>
          <t>上り</t>
        </is>
      </c>
      <c r="E6104" t="inlineStr">
        <is>
          <t>0654</t>
        </is>
      </c>
      <c r="F6104" t="inlineStr">
        <is>
          <t>0304</t>
        </is>
      </c>
      <c r="G6104" s="10" t="inlineStr">
        <is>
          <t>帷子ノ辻</t>
        </is>
      </c>
      <c r="H6104" s="10" t="inlineStr">
        <is>
          <t>発</t>
        </is>
      </c>
      <c r="J6104" s="10" t="inlineStr">
        <is>
          <t>営業</t>
        </is>
      </c>
      <c r="M6104" t="inlineStr">
        <is>
          <t>6:18:00</t>
        </is>
      </c>
      <c r="Q6104" t="inlineStr">
        <is>
          <t>4</t>
        </is>
      </c>
    </row>
    <row r="6105" ht="15" customHeight="1" s="37">
      <c r="A6105" t="n">
        <v>16</v>
      </c>
      <c r="B6105" s="10" t="inlineStr">
        <is>
          <t>平日</t>
        </is>
      </c>
      <c r="C6105" s="10" t="inlineStr">
        <is>
          <t>北野線</t>
        </is>
      </c>
      <c r="D6105" s="10" t="inlineStr">
        <is>
          <t>上り</t>
        </is>
      </c>
      <c r="E6105" t="inlineStr">
        <is>
          <t>0654</t>
        </is>
      </c>
      <c r="F6105" t="inlineStr">
        <is>
          <t>0304</t>
        </is>
      </c>
      <c r="G6105" s="10" t="inlineStr">
        <is>
          <t>撮影所前</t>
        </is>
      </c>
      <c r="H6105" s="10" t="inlineStr">
        <is>
          <t>発</t>
        </is>
      </c>
      <c r="J6105" s="10" t="inlineStr">
        <is>
          <t>営業</t>
        </is>
      </c>
      <c r="L6105" t="inlineStr">
        <is>
          <t>6:19:00</t>
        </is>
      </c>
      <c r="M6105" t="inlineStr">
        <is>
          <t>6:19:15</t>
        </is>
      </c>
    </row>
    <row r="6106" ht="15" customHeight="1" s="37">
      <c r="A6106" t="n">
        <v>16</v>
      </c>
      <c r="B6106" s="10" t="inlineStr">
        <is>
          <t>平日</t>
        </is>
      </c>
      <c r="C6106" s="10" t="inlineStr">
        <is>
          <t>北野線</t>
        </is>
      </c>
      <c r="D6106" s="10" t="inlineStr">
        <is>
          <t>上り</t>
        </is>
      </c>
      <c r="E6106" t="inlineStr">
        <is>
          <t>0654</t>
        </is>
      </c>
      <c r="F6106" t="inlineStr">
        <is>
          <t>0304</t>
        </is>
      </c>
      <c r="G6106" s="10" t="inlineStr">
        <is>
          <t>常盤</t>
        </is>
      </c>
      <c r="H6106" s="10" t="inlineStr">
        <is>
          <t>発</t>
        </is>
      </c>
      <c r="J6106" s="10" t="inlineStr">
        <is>
          <t>営業</t>
        </is>
      </c>
      <c r="L6106" t="inlineStr">
        <is>
          <t>6:20:35</t>
        </is>
      </c>
      <c r="M6106" t="inlineStr">
        <is>
          <t>6:20:55</t>
        </is>
      </c>
    </row>
    <row r="6107" ht="15" customHeight="1" s="37">
      <c r="A6107" t="n">
        <v>16</v>
      </c>
      <c r="B6107" s="10" t="inlineStr">
        <is>
          <t>平日</t>
        </is>
      </c>
      <c r="C6107" s="10" t="inlineStr">
        <is>
          <t>北野線</t>
        </is>
      </c>
      <c r="D6107" s="10" t="inlineStr">
        <is>
          <t>上り</t>
        </is>
      </c>
      <c r="E6107" t="inlineStr">
        <is>
          <t>0654</t>
        </is>
      </c>
      <c r="F6107" t="inlineStr">
        <is>
          <t>0304</t>
        </is>
      </c>
      <c r="G6107" s="10" t="inlineStr">
        <is>
          <t>鳴滝</t>
        </is>
      </c>
      <c r="H6107" s="10" t="inlineStr">
        <is>
          <t>発</t>
        </is>
      </c>
      <c r="J6107" s="10" t="inlineStr">
        <is>
          <t>営業</t>
        </is>
      </c>
      <c r="L6107" t="inlineStr">
        <is>
          <t>6:21:55</t>
        </is>
      </c>
      <c r="M6107" t="inlineStr">
        <is>
          <t>6:22:15</t>
        </is>
      </c>
    </row>
    <row r="6108" ht="15" customHeight="1" s="37">
      <c r="A6108" t="n">
        <v>16</v>
      </c>
      <c r="B6108" s="10" t="inlineStr">
        <is>
          <t>平日</t>
        </is>
      </c>
      <c r="C6108" s="10" t="inlineStr">
        <is>
          <t>北野線</t>
        </is>
      </c>
      <c r="D6108" s="10" t="inlineStr">
        <is>
          <t>上り</t>
        </is>
      </c>
      <c r="E6108" t="inlineStr">
        <is>
          <t>0654</t>
        </is>
      </c>
      <c r="F6108" t="inlineStr">
        <is>
          <t>0304</t>
        </is>
      </c>
      <c r="G6108" s="10" t="inlineStr">
        <is>
          <t>宇多野</t>
        </is>
      </c>
      <c r="H6108" s="10" t="inlineStr">
        <is>
          <t>発</t>
        </is>
      </c>
      <c r="J6108" s="10" t="inlineStr">
        <is>
          <t>営業</t>
        </is>
      </c>
      <c r="L6108" t="inlineStr">
        <is>
          <t>6:23:35</t>
        </is>
      </c>
      <c r="M6108" t="inlineStr">
        <is>
          <t>6:23:50</t>
        </is>
      </c>
    </row>
    <row r="6109" ht="15" customHeight="1" s="37">
      <c r="A6109" t="n">
        <v>16</v>
      </c>
      <c r="B6109" s="10" t="inlineStr">
        <is>
          <t>平日</t>
        </is>
      </c>
      <c r="C6109" s="10" t="inlineStr">
        <is>
          <t>北野線</t>
        </is>
      </c>
      <c r="D6109" s="10" t="inlineStr">
        <is>
          <t>上り</t>
        </is>
      </c>
      <c r="E6109" t="inlineStr">
        <is>
          <t>0654</t>
        </is>
      </c>
      <c r="F6109" t="inlineStr">
        <is>
          <t>0304</t>
        </is>
      </c>
      <c r="G6109" s="10" t="inlineStr">
        <is>
          <t>御室仁和寺</t>
        </is>
      </c>
      <c r="H6109" s="10" t="inlineStr">
        <is>
          <t>発</t>
        </is>
      </c>
      <c r="J6109" s="10" t="inlineStr">
        <is>
          <t>営業</t>
        </is>
      </c>
      <c r="L6109" t="inlineStr">
        <is>
          <t>6:24:50</t>
        </is>
      </c>
      <c r="M6109" t="inlineStr">
        <is>
          <t>6:24:55</t>
        </is>
      </c>
    </row>
    <row r="6110" ht="15" customHeight="1" s="37">
      <c r="A6110" t="n">
        <v>16</v>
      </c>
      <c r="B6110" s="10" t="inlineStr">
        <is>
          <t>平日</t>
        </is>
      </c>
      <c r="C6110" s="10" t="inlineStr">
        <is>
          <t>北野線</t>
        </is>
      </c>
      <c r="D6110" s="10" t="inlineStr">
        <is>
          <t>上り</t>
        </is>
      </c>
      <c r="E6110" t="inlineStr">
        <is>
          <t>0654</t>
        </is>
      </c>
      <c r="F6110" t="inlineStr">
        <is>
          <t>0304</t>
        </is>
      </c>
      <c r="G6110" s="10" t="inlineStr">
        <is>
          <t>妙心寺</t>
        </is>
      </c>
      <c r="H6110" s="10" t="inlineStr">
        <is>
          <t>発</t>
        </is>
      </c>
      <c r="J6110" s="10" t="inlineStr">
        <is>
          <t>営業</t>
        </is>
      </c>
      <c r="L6110" t="inlineStr">
        <is>
          <t>6:25:55</t>
        </is>
      </c>
      <c r="M6110" t="inlineStr">
        <is>
          <t>6:26:10</t>
        </is>
      </c>
    </row>
    <row r="6111" ht="15" customHeight="1" s="37">
      <c r="A6111" t="n">
        <v>16</v>
      </c>
      <c r="B6111" s="10" t="inlineStr">
        <is>
          <t>平日</t>
        </is>
      </c>
      <c r="C6111" s="10" t="inlineStr">
        <is>
          <t>北野線</t>
        </is>
      </c>
      <c r="D6111" s="10" t="inlineStr">
        <is>
          <t>上り</t>
        </is>
      </c>
      <c r="E6111" t="inlineStr">
        <is>
          <t>0654</t>
        </is>
      </c>
      <c r="F6111" t="inlineStr">
        <is>
          <t>0304</t>
        </is>
      </c>
      <c r="G6111" s="10" t="inlineStr">
        <is>
          <t>龍安寺</t>
        </is>
      </c>
      <c r="H6111" s="10" t="inlineStr">
        <is>
          <t>発</t>
        </is>
      </c>
      <c r="J6111" s="10" t="inlineStr">
        <is>
          <t>営業</t>
        </is>
      </c>
      <c r="L6111" t="inlineStr">
        <is>
          <t>6:27:05</t>
        </is>
      </c>
      <c r="M6111" t="inlineStr">
        <is>
          <t>6:27:25</t>
        </is>
      </c>
    </row>
    <row r="6112" ht="15" customHeight="1" s="37">
      <c r="A6112" t="n">
        <v>16</v>
      </c>
      <c r="B6112" s="10" t="inlineStr">
        <is>
          <t>平日</t>
        </is>
      </c>
      <c r="C6112" s="10" t="inlineStr">
        <is>
          <t>北野線</t>
        </is>
      </c>
      <c r="D6112" s="10" t="inlineStr">
        <is>
          <t>上り</t>
        </is>
      </c>
      <c r="E6112" t="inlineStr">
        <is>
          <t>0654</t>
        </is>
      </c>
      <c r="F6112" t="inlineStr">
        <is>
          <t>0304</t>
        </is>
      </c>
      <c r="G6112" s="10" t="inlineStr">
        <is>
          <t>等持院</t>
        </is>
      </c>
      <c r="H6112" s="10" t="inlineStr">
        <is>
          <t>発</t>
        </is>
      </c>
      <c r="J6112" s="10" t="inlineStr">
        <is>
          <t>営業</t>
        </is>
      </c>
      <c r="L6112" t="inlineStr">
        <is>
          <t>6:28:05</t>
        </is>
      </c>
      <c r="M6112" t="inlineStr">
        <is>
          <t>6:28:15</t>
        </is>
      </c>
    </row>
    <row r="6113" ht="15" customHeight="1" s="37">
      <c r="A6113" t="n">
        <v>16</v>
      </c>
      <c r="B6113" s="10" t="inlineStr">
        <is>
          <t>平日</t>
        </is>
      </c>
      <c r="C6113" s="10" t="inlineStr">
        <is>
          <t>北野線</t>
        </is>
      </c>
      <c r="D6113" s="10" t="inlineStr">
        <is>
          <t>上り</t>
        </is>
      </c>
      <c r="E6113" t="inlineStr">
        <is>
          <t>0654</t>
        </is>
      </c>
      <c r="F6113" t="inlineStr">
        <is>
          <t>0304</t>
        </is>
      </c>
      <c r="G6113" s="10" t="inlineStr">
        <is>
          <t>北野白梅町</t>
        </is>
      </c>
      <c r="H6113" s="10" t="inlineStr">
        <is>
          <t>着</t>
        </is>
      </c>
      <c r="J6113" s="10" t="inlineStr">
        <is>
          <t>営業</t>
        </is>
      </c>
      <c r="L6113" t="inlineStr">
        <is>
          <t>6:29:50</t>
        </is>
      </c>
      <c r="N6113" t="inlineStr">
        <is>
          <t>○</t>
        </is>
      </c>
      <c r="Q6113" t="inlineStr">
        <is>
          <t>1</t>
        </is>
      </c>
    </row>
    <row r="6114" ht="15" customHeight="1" s="37">
      <c r="A6114" t="n">
        <v>16</v>
      </c>
      <c r="B6114" s="10" t="inlineStr">
        <is>
          <t>平日</t>
        </is>
      </c>
      <c r="C6114" s="10" t="inlineStr">
        <is>
          <t>北野線</t>
        </is>
      </c>
      <c r="D6114" s="10" t="inlineStr">
        <is>
          <t>下り</t>
        </is>
      </c>
      <c r="E6114" t="inlineStr">
        <is>
          <t>0655</t>
        </is>
      </c>
      <c r="F6114" t="inlineStr">
        <is>
          <t>0453</t>
        </is>
      </c>
      <c r="G6114" s="10" t="inlineStr">
        <is>
          <t>北野白梅町</t>
        </is>
      </c>
      <c r="H6114" s="10" t="inlineStr">
        <is>
          <t>発</t>
        </is>
      </c>
      <c r="J6114" s="10" t="inlineStr">
        <is>
          <t>営業</t>
        </is>
      </c>
      <c r="M6114" t="inlineStr">
        <is>
          <t>6:36:00</t>
        </is>
      </c>
      <c r="Q6114" t="inlineStr">
        <is>
          <t>1</t>
        </is>
      </c>
    </row>
    <row r="6115" ht="15" customHeight="1" s="37">
      <c r="A6115" t="n">
        <v>16</v>
      </c>
      <c r="B6115" s="10" t="inlineStr">
        <is>
          <t>平日</t>
        </is>
      </c>
      <c r="C6115" s="10" t="inlineStr">
        <is>
          <t>北野線</t>
        </is>
      </c>
      <c r="D6115" s="10" t="inlineStr">
        <is>
          <t>下り</t>
        </is>
      </c>
      <c r="E6115" t="inlineStr">
        <is>
          <t>0655</t>
        </is>
      </c>
      <c r="F6115" t="inlineStr">
        <is>
          <t>0453</t>
        </is>
      </c>
      <c r="G6115" s="10" t="inlineStr">
        <is>
          <t>等持院</t>
        </is>
      </c>
      <c r="H6115" s="10" t="inlineStr">
        <is>
          <t>発</t>
        </is>
      </c>
      <c r="J6115" s="10" t="inlineStr">
        <is>
          <t>営業</t>
        </is>
      </c>
      <c r="L6115" t="inlineStr">
        <is>
          <t>6:37:25</t>
        </is>
      </c>
      <c r="M6115" t="inlineStr">
        <is>
          <t>6:37:35</t>
        </is>
      </c>
    </row>
    <row r="6116" ht="15" customHeight="1" s="37">
      <c r="A6116" t="n">
        <v>16</v>
      </c>
      <c r="B6116" s="10" t="inlineStr">
        <is>
          <t>平日</t>
        </is>
      </c>
      <c r="C6116" s="10" t="inlineStr">
        <is>
          <t>北野線</t>
        </is>
      </c>
      <c r="D6116" s="10" t="inlineStr">
        <is>
          <t>下り</t>
        </is>
      </c>
      <c r="E6116" t="inlineStr">
        <is>
          <t>0655</t>
        </is>
      </c>
      <c r="F6116" t="inlineStr">
        <is>
          <t>0453</t>
        </is>
      </c>
      <c r="G6116" s="10" t="inlineStr">
        <is>
          <t>龍安寺</t>
        </is>
      </c>
      <c r="H6116" s="10" t="inlineStr">
        <is>
          <t>発</t>
        </is>
      </c>
      <c r="J6116" s="10" t="inlineStr">
        <is>
          <t>営業</t>
        </is>
      </c>
      <c r="L6116" t="inlineStr">
        <is>
          <t>6:38:25</t>
        </is>
      </c>
      <c r="M6116" t="inlineStr">
        <is>
          <t>6:38:45</t>
        </is>
      </c>
    </row>
    <row r="6117" ht="15" customHeight="1" s="37">
      <c r="A6117" t="n">
        <v>16</v>
      </c>
      <c r="B6117" s="10" t="inlineStr">
        <is>
          <t>平日</t>
        </is>
      </c>
      <c r="C6117" s="10" t="inlineStr">
        <is>
          <t>北野線</t>
        </is>
      </c>
      <c r="D6117" s="10" t="inlineStr">
        <is>
          <t>下り</t>
        </is>
      </c>
      <c r="E6117" t="inlineStr">
        <is>
          <t>0655</t>
        </is>
      </c>
      <c r="F6117" t="inlineStr">
        <is>
          <t>0453</t>
        </is>
      </c>
      <c r="G6117" s="10" t="inlineStr">
        <is>
          <t>妙心寺</t>
        </is>
      </c>
      <c r="H6117" s="10" t="inlineStr">
        <is>
          <t>発</t>
        </is>
      </c>
      <c r="J6117" s="10" t="inlineStr">
        <is>
          <t>営業</t>
        </is>
      </c>
      <c r="L6117" t="inlineStr">
        <is>
          <t>6:39:40</t>
        </is>
      </c>
      <c r="M6117" t="inlineStr">
        <is>
          <t>6:39:50</t>
        </is>
      </c>
    </row>
    <row r="6118" ht="15" customHeight="1" s="37">
      <c r="A6118" t="n">
        <v>16</v>
      </c>
      <c r="B6118" s="10" t="inlineStr">
        <is>
          <t>平日</t>
        </is>
      </c>
      <c r="C6118" s="10" t="inlineStr">
        <is>
          <t>北野線</t>
        </is>
      </c>
      <c r="D6118" s="10" t="inlineStr">
        <is>
          <t>下り</t>
        </is>
      </c>
      <c r="E6118" t="inlineStr">
        <is>
          <t>0655</t>
        </is>
      </c>
      <c r="F6118" t="inlineStr">
        <is>
          <t>0453</t>
        </is>
      </c>
      <c r="G6118" s="10" t="inlineStr">
        <is>
          <t>御室仁和寺</t>
        </is>
      </c>
      <c r="H6118" s="10" t="inlineStr">
        <is>
          <t>発</t>
        </is>
      </c>
      <c r="J6118" s="10" t="inlineStr">
        <is>
          <t>営業</t>
        </is>
      </c>
      <c r="L6118" t="inlineStr">
        <is>
          <t>6:40:50</t>
        </is>
      </c>
      <c r="M6118" t="inlineStr">
        <is>
          <t>6:40:55</t>
        </is>
      </c>
    </row>
    <row r="6119" ht="15" customHeight="1" s="37">
      <c r="A6119" t="n">
        <v>16</v>
      </c>
      <c r="B6119" s="10" t="inlineStr">
        <is>
          <t>平日</t>
        </is>
      </c>
      <c r="C6119" s="10" t="inlineStr">
        <is>
          <t>北野線</t>
        </is>
      </c>
      <c r="D6119" s="10" t="inlineStr">
        <is>
          <t>下り</t>
        </is>
      </c>
      <c r="E6119" t="inlineStr">
        <is>
          <t>0655</t>
        </is>
      </c>
      <c r="F6119" t="inlineStr">
        <is>
          <t>0453</t>
        </is>
      </c>
      <c r="G6119" s="10" t="inlineStr">
        <is>
          <t>宇多野</t>
        </is>
      </c>
      <c r="H6119" s="10" t="inlineStr">
        <is>
          <t>発</t>
        </is>
      </c>
      <c r="J6119" s="10" t="inlineStr">
        <is>
          <t>営業</t>
        </is>
      </c>
      <c r="L6119" t="inlineStr">
        <is>
          <t>6:41:55</t>
        </is>
      </c>
      <c r="M6119" t="inlineStr">
        <is>
          <t>6:42:05</t>
        </is>
      </c>
    </row>
    <row r="6120" ht="15" customHeight="1" s="37">
      <c r="A6120" t="n">
        <v>16</v>
      </c>
      <c r="B6120" s="10" t="inlineStr">
        <is>
          <t>平日</t>
        </is>
      </c>
      <c r="C6120" s="10" t="inlineStr">
        <is>
          <t>北野線</t>
        </is>
      </c>
      <c r="D6120" s="10" t="inlineStr">
        <is>
          <t>下り</t>
        </is>
      </c>
      <c r="E6120" t="inlineStr">
        <is>
          <t>0655</t>
        </is>
      </c>
      <c r="F6120" t="inlineStr">
        <is>
          <t>0453</t>
        </is>
      </c>
      <c r="G6120" s="10" t="inlineStr">
        <is>
          <t>鳴滝</t>
        </is>
      </c>
      <c r="H6120" s="10" t="inlineStr">
        <is>
          <t>発</t>
        </is>
      </c>
      <c r="J6120" s="10" t="inlineStr">
        <is>
          <t>営業</t>
        </is>
      </c>
      <c r="L6120" t="inlineStr">
        <is>
          <t>6:43:25</t>
        </is>
      </c>
      <c r="M6120" t="inlineStr">
        <is>
          <t>6:43:35</t>
        </is>
      </c>
    </row>
    <row r="6121" ht="15" customHeight="1" s="37">
      <c r="A6121" t="n">
        <v>16</v>
      </c>
      <c r="B6121" s="10" t="inlineStr">
        <is>
          <t>平日</t>
        </is>
      </c>
      <c r="C6121" s="10" t="inlineStr">
        <is>
          <t>北野線</t>
        </is>
      </c>
      <c r="D6121" s="10" t="inlineStr">
        <is>
          <t>下り</t>
        </is>
      </c>
      <c r="E6121" t="inlineStr">
        <is>
          <t>0655</t>
        </is>
      </c>
      <c r="F6121" t="inlineStr">
        <is>
          <t>0453</t>
        </is>
      </c>
      <c r="G6121" s="10" t="inlineStr">
        <is>
          <t>常盤</t>
        </is>
      </c>
      <c r="H6121" s="10" t="inlineStr">
        <is>
          <t>発</t>
        </is>
      </c>
      <c r="J6121" s="10" t="inlineStr">
        <is>
          <t>営業</t>
        </is>
      </c>
      <c r="L6121" t="inlineStr">
        <is>
          <t>6:44:25</t>
        </is>
      </c>
      <c r="M6121" t="inlineStr">
        <is>
          <t>6:44:35</t>
        </is>
      </c>
    </row>
    <row r="6122" ht="15" customHeight="1" s="37">
      <c r="A6122" t="n">
        <v>16</v>
      </c>
      <c r="B6122" s="10" t="inlineStr">
        <is>
          <t>平日</t>
        </is>
      </c>
      <c r="C6122" s="10" t="inlineStr">
        <is>
          <t>北野線</t>
        </is>
      </c>
      <c r="D6122" s="10" t="inlineStr">
        <is>
          <t>下り</t>
        </is>
      </c>
      <c r="E6122" t="inlineStr">
        <is>
          <t>0655</t>
        </is>
      </c>
      <c r="F6122" t="inlineStr">
        <is>
          <t>0453</t>
        </is>
      </c>
      <c r="G6122" s="10" t="inlineStr">
        <is>
          <t>撮影所前</t>
        </is>
      </c>
      <c r="H6122" s="10" t="inlineStr">
        <is>
          <t>発</t>
        </is>
      </c>
      <c r="J6122" s="10" t="inlineStr">
        <is>
          <t>営業</t>
        </is>
      </c>
      <c r="L6122" t="inlineStr">
        <is>
          <t>6:45:55</t>
        </is>
      </c>
      <c r="M6122" t="inlineStr">
        <is>
          <t>6:46:05</t>
        </is>
      </c>
    </row>
    <row r="6123" ht="15" customHeight="1" s="37">
      <c r="A6123" t="n">
        <v>16</v>
      </c>
      <c r="B6123" s="10" t="inlineStr">
        <is>
          <t>平日</t>
        </is>
      </c>
      <c r="C6123" s="10" t="inlineStr">
        <is>
          <t>北野線</t>
        </is>
      </c>
      <c r="D6123" s="10" t="inlineStr">
        <is>
          <t>下り</t>
        </is>
      </c>
      <c r="E6123" t="inlineStr">
        <is>
          <t>0655</t>
        </is>
      </c>
      <c r="F6123" t="inlineStr">
        <is>
          <t>0453</t>
        </is>
      </c>
      <c r="G6123" s="10" t="inlineStr">
        <is>
          <t>帷子ノ辻</t>
        </is>
      </c>
      <c r="H6123" s="10" t="inlineStr">
        <is>
          <t>着</t>
        </is>
      </c>
      <c r="J6123" s="10" t="inlineStr">
        <is>
          <t>営業</t>
        </is>
      </c>
      <c r="L6123" t="inlineStr">
        <is>
          <t>6:47:00</t>
        </is>
      </c>
      <c r="Q6123" t="inlineStr">
        <is>
          <t>4</t>
        </is>
      </c>
    </row>
    <row r="6124" ht="15" customHeight="1" s="37">
      <c r="A6124" t="n">
        <v>16</v>
      </c>
      <c r="B6124" s="10" t="inlineStr">
        <is>
          <t>平日</t>
        </is>
      </c>
      <c r="C6124" s="10" t="inlineStr">
        <is>
          <t>北野線</t>
        </is>
      </c>
      <c r="D6124" s="10" t="inlineStr">
        <is>
          <t>上り</t>
        </is>
      </c>
      <c r="E6124" t="inlineStr">
        <is>
          <t>0658</t>
        </is>
      </c>
      <c r="F6124" t="inlineStr">
        <is>
          <t>0304</t>
        </is>
      </c>
      <c r="G6124" s="10" t="inlineStr">
        <is>
          <t>帷子ノ辻</t>
        </is>
      </c>
      <c r="H6124" s="10" t="inlineStr">
        <is>
          <t>発</t>
        </is>
      </c>
      <c r="J6124" s="10" t="inlineStr">
        <is>
          <t>営業</t>
        </is>
      </c>
      <c r="M6124" t="inlineStr">
        <is>
          <t>6:50:00</t>
        </is>
      </c>
      <c r="Q6124" t="inlineStr">
        <is>
          <t>4</t>
        </is>
      </c>
    </row>
    <row r="6125" ht="15" customHeight="1" s="37">
      <c r="A6125" t="n">
        <v>16</v>
      </c>
      <c r="B6125" s="10" t="inlineStr">
        <is>
          <t>平日</t>
        </is>
      </c>
      <c r="C6125" s="10" t="inlineStr">
        <is>
          <t>北野線</t>
        </is>
      </c>
      <c r="D6125" s="10" t="inlineStr">
        <is>
          <t>上り</t>
        </is>
      </c>
      <c r="E6125" t="inlineStr">
        <is>
          <t>0658</t>
        </is>
      </c>
      <c r="F6125" t="inlineStr">
        <is>
          <t>0304</t>
        </is>
      </c>
      <c r="G6125" s="10" t="inlineStr">
        <is>
          <t>撮影所前</t>
        </is>
      </c>
      <c r="H6125" s="10" t="inlineStr">
        <is>
          <t>発</t>
        </is>
      </c>
      <c r="J6125" s="10" t="inlineStr">
        <is>
          <t>営業</t>
        </is>
      </c>
      <c r="L6125" t="inlineStr">
        <is>
          <t>6:51:00</t>
        </is>
      </c>
      <c r="M6125" t="inlineStr">
        <is>
          <t>6:51:15</t>
        </is>
      </c>
    </row>
    <row r="6126" ht="16.5" customHeight="1" s="37">
      <c r="A6126" t="n">
        <v>16</v>
      </c>
      <c r="B6126" s="10" t="inlineStr">
        <is>
          <t>平日</t>
        </is>
      </c>
      <c r="C6126" s="10" t="inlineStr">
        <is>
          <t>北野線</t>
        </is>
      </c>
      <c r="D6126" s="10" t="inlineStr">
        <is>
          <t>上り</t>
        </is>
      </c>
      <c r="E6126" t="inlineStr">
        <is>
          <t>0658</t>
        </is>
      </c>
      <c r="F6126" t="inlineStr">
        <is>
          <t>0304</t>
        </is>
      </c>
      <c r="G6126" s="10" t="inlineStr">
        <is>
          <t>常盤</t>
        </is>
      </c>
      <c r="H6126" s="10" t="inlineStr">
        <is>
          <t>発</t>
        </is>
      </c>
      <c r="J6126" s="10" t="inlineStr">
        <is>
          <t>営業</t>
        </is>
      </c>
      <c r="L6126" t="inlineStr">
        <is>
          <t>6:52:35</t>
        </is>
      </c>
      <c r="M6126" t="inlineStr">
        <is>
          <t>6:52:55</t>
        </is>
      </c>
    </row>
    <row r="6127" ht="16.5" customHeight="1" s="37">
      <c r="A6127" t="n">
        <v>16</v>
      </c>
      <c r="B6127" s="10" t="inlineStr">
        <is>
          <t>平日</t>
        </is>
      </c>
      <c r="C6127" s="10" t="inlineStr">
        <is>
          <t>北野線</t>
        </is>
      </c>
      <c r="D6127" s="10" t="inlineStr">
        <is>
          <t>上り</t>
        </is>
      </c>
      <c r="E6127" t="inlineStr">
        <is>
          <t>0658</t>
        </is>
      </c>
      <c r="F6127" t="inlineStr">
        <is>
          <t>0304</t>
        </is>
      </c>
      <c r="G6127" s="10" t="inlineStr">
        <is>
          <t>鳴滝</t>
        </is>
      </c>
      <c r="H6127" s="10" t="inlineStr">
        <is>
          <t>発</t>
        </is>
      </c>
      <c r="J6127" s="10" t="inlineStr">
        <is>
          <t>営業</t>
        </is>
      </c>
      <c r="L6127" t="inlineStr">
        <is>
          <t>6:53:55</t>
        </is>
      </c>
      <c r="M6127" t="inlineStr">
        <is>
          <t>6:54:15</t>
        </is>
      </c>
    </row>
    <row r="6128" ht="16.5" customHeight="1" s="37">
      <c r="A6128" t="n">
        <v>16</v>
      </c>
      <c r="B6128" s="10" t="inlineStr">
        <is>
          <t>平日</t>
        </is>
      </c>
      <c r="C6128" s="10" t="inlineStr">
        <is>
          <t>北野線</t>
        </is>
      </c>
      <c r="D6128" s="10" t="inlineStr">
        <is>
          <t>上り</t>
        </is>
      </c>
      <c r="E6128" t="inlineStr">
        <is>
          <t>0658</t>
        </is>
      </c>
      <c r="F6128" t="inlineStr">
        <is>
          <t>0304</t>
        </is>
      </c>
      <c r="G6128" s="10" t="inlineStr">
        <is>
          <t>宇多野</t>
        </is>
      </c>
      <c r="H6128" s="10" t="inlineStr">
        <is>
          <t>発</t>
        </is>
      </c>
      <c r="J6128" s="10" t="inlineStr">
        <is>
          <t>営業</t>
        </is>
      </c>
      <c r="L6128" t="inlineStr">
        <is>
          <t>6:55:35</t>
        </is>
      </c>
      <c r="M6128" t="inlineStr">
        <is>
          <t>6:55:50</t>
        </is>
      </c>
    </row>
    <row r="6129" ht="16.5" customHeight="1" s="37">
      <c r="A6129" t="n">
        <v>16</v>
      </c>
      <c r="B6129" s="10" t="inlineStr">
        <is>
          <t>平日</t>
        </is>
      </c>
      <c r="C6129" s="10" t="inlineStr">
        <is>
          <t>北野線</t>
        </is>
      </c>
      <c r="D6129" s="10" t="inlineStr">
        <is>
          <t>上り</t>
        </is>
      </c>
      <c r="E6129" t="inlineStr">
        <is>
          <t>0658</t>
        </is>
      </c>
      <c r="F6129" t="inlineStr">
        <is>
          <t>0304</t>
        </is>
      </c>
      <c r="G6129" s="10" t="inlineStr">
        <is>
          <t>御室仁和寺</t>
        </is>
      </c>
      <c r="H6129" s="10" t="inlineStr">
        <is>
          <t>発</t>
        </is>
      </c>
      <c r="J6129" s="10" t="inlineStr">
        <is>
          <t>営業</t>
        </is>
      </c>
      <c r="L6129" t="inlineStr">
        <is>
          <t>6:56:50</t>
        </is>
      </c>
      <c r="M6129" t="inlineStr">
        <is>
          <t>6:56:55</t>
        </is>
      </c>
    </row>
    <row r="6130" ht="16.5" customHeight="1" s="37">
      <c r="A6130" t="n">
        <v>16</v>
      </c>
      <c r="B6130" s="10" t="inlineStr">
        <is>
          <t>平日</t>
        </is>
      </c>
      <c r="C6130" s="10" t="inlineStr">
        <is>
          <t>北野線</t>
        </is>
      </c>
      <c r="D6130" s="10" t="inlineStr">
        <is>
          <t>上り</t>
        </is>
      </c>
      <c r="E6130" t="inlineStr">
        <is>
          <t>0658</t>
        </is>
      </c>
      <c r="F6130" t="inlineStr">
        <is>
          <t>0304</t>
        </is>
      </c>
      <c r="G6130" s="10" t="inlineStr">
        <is>
          <t>妙心寺</t>
        </is>
      </c>
      <c r="H6130" s="10" t="inlineStr">
        <is>
          <t>発</t>
        </is>
      </c>
      <c r="J6130" s="10" t="inlineStr">
        <is>
          <t>営業</t>
        </is>
      </c>
      <c r="L6130" t="inlineStr">
        <is>
          <t>6:57:55</t>
        </is>
      </c>
      <c r="M6130" t="inlineStr">
        <is>
          <t>6:58:10</t>
        </is>
      </c>
    </row>
    <row r="6131" ht="16.5" customHeight="1" s="37">
      <c r="A6131" t="n">
        <v>16</v>
      </c>
      <c r="B6131" s="10" t="inlineStr">
        <is>
          <t>平日</t>
        </is>
      </c>
      <c r="C6131" s="10" t="inlineStr">
        <is>
          <t>北野線</t>
        </is>
      </c>
      <c r="D6131" s="10" t="inlineStr">
        <is>
          <t>上り</t>
        </is>
      </c>
      <c r="E6131" t="inlineStr">
        <is>
          <t>0658</t>
        </is>
      </c>
      <c r="F6131" t="inlineStr">
        <is>
          <t>0304</t>
        </is>
      </c>
      <c r="G6131" s="10" t="inlineStr">
        <is>
          <t>龍安寺</t>
        </is>
      </c>
      <c r="H6131" s="10" t="inlineStr">
        <is>
          <t>発</t>
        </is>
      </c>
      <c r="J6131" s="10" t="inlineStr">
        <is>
          <t>営業</t>
        </is>
      </c>
      <c r="L6131" t="inlineStr">
        <is>
          <t>6:59:05</t>
        </is>
      </c>
      <c r="M6131" t="inlineStr">
        <is>
          <t>6:59:25</t>
        </is>
      </c>
    </row>
    <row r="6132" ht="16.5" customHeight="1" s="37">
      <c r="A6132" t="n">
        <v>16</v>
      </c>
      <c r="B6132" s="10" t="inlineStr">
        <is>
          <t>平日</t>
        </is>
      </c>
      <c r="C6132" s="10" t="inlineStr">
        <is>
          <t>北野線</t>
        </is>
      </c>
      <c r="D6132" s="10" t="inlineStr">
        <is>
          <t>上り</t>
        </is>
      </c>
      <c r="E6132" t="inlineStr">
        <is>
          <t>0658</t>
        </is>
      </c>
      <c r="F6132" t="inlineStr">
        <is>
          <t>0304</t>
        </is>
      </c>
      <c r="G6132" s="10" t="inlineStr">
        <is>
          <t>等持院</t>
        </is>
      </c>
      <c r="H6132" s="10" t="inlineStr">
        <is>
          <t>発</t>
        </is>
      </c>
      <c r="J6132" s="10" t="inlineStr">
        <is>
          <t>営業</t>
        </is>
      </c>
      <c r="L6132" t="inlineStr">
        <is>
          <t>7:00:05</t>
        </is>
      </c>
      <c r="M6132" t="inlineStr">
        <is>
          <t>7:00:15</t>
        </is>
      </c>
    </row>
    <row r="6133" ht="15" customHeight="1" s="37">
      <c r="A6133" t="n">
        <v>16</v>
      </c>
      <c r="B6133" s="10" t="inlineStr">
        <is>
          <t>平日</t>
        </is>
      </c>
      <c r="C6133" s="10" t="inlineStr">
        <is>
          <t>北野線</t>
        </is>
      </c>
      <c r="D6133" s="10" t="inlineStr">
        <is>
          <t>上り</t>
        </is>
      </c>
      <c r="E6133" t="inlineStr">
        <is>
          <t>0658</t>
        </is>
      </c>
      <c r="F6133" t="inlineStr">
        <is>
          <t>0304</t>
        </is>
      </c>
      <c r="G6133" s="10" t="inlineStr">
        <is>
          <t>北野白梅町</t>
        </is>
      </c>
      <c r="H6133" s="10" t="inlineStr">
        <is>
          <t>着</t>
        </is>
      </c>
      <c r="J6133" s="10" t="inlineStr">
        <is>
          <t>営業</t>
        </is>
      </c>
      <c r="L6133" t="inlineStr">
        <is>
          <t>7:01:50</t>
        </is>
      </c>
      <c r="N6133" t="inlineStr">
        <is>
          <t>○</t>
        </is>
      </c>
      <c r="Q6133" t="inlineStr">
        <is>
          <t>1</t>
        </is>
      </c>
    </row>
    <row r="6134" ht="15" customHeight="1" s="37">
      <c r="A6134" t="n">
        <v>16</v>
      </c>
      <c r="B6134" s="10" t="inlineStr">
        <is>
          <t>平日</t>
        </is>
      </c>
      <c r="C6134" s="10" t="inlineStr">
        <is>
          <t>北野線</t>
        </is>
      </c>
      <c r="D6134" s="10" t="inlineStr">
        <is>
          <t>下り</t>
        </is>
      </c>
      <c r="E6134" t="inlineStr">
        <is>
          <t>0751</t>
        </is>
      </c>
      <c r="F6134" t="inlineStr">
        <is>
          <t>0453</t>
        </is>
      </c>
      <c r="G6134" s="10" t="inlineStr">
        <is>
          <t>北野白梅町</t>
        </is>
      </c>
      <c r="H6134" s="10" t="inlineStr">
        <is>
          <t>発</t>
        </is>
      </c>
      <c r="J6134" s="10" t="inlineStr">
        <is>
          <t>営業</t>
        </is>
      </c>
      <c r="M6134" t="inlineStr">
        <is>
          <t>7:06:50</t>
        </is>
      </c>
      <c r="Q6134" t="inlineStr">
        <is>
          <t>1</t>
        </is>
      </c>
    </row>
    <row r="6135" ht="15" customHeight="1" s="37">
      <c r="A6135" t="n">
        <v>16</v>
      </c>
      <c r="B6135" s="10" t="inlineStr">
        <is>
          <t>平日</t>
        </is>
      </c>
      <c r="C6135" s="10" t="inlineStr">
        <is>
          <t>北野線</t>
        </is>
      </c>
      <c r="D6135" s="10" t="inlineStr">
        <is>
          <t>下り</t>
        </is>
      </c>
      <c r="E6135" t="inlineStr">
        <is>
          <t>0751</t>
        </is>
      </c>
      <c r="F6135" t="inlineStr">
        <is>
          <t>0453</t>
        </is>
      </c>
      <c r="G6135" s="10" t="inlineStr">
        <is>
          <t>等持院</t>
        </is>
      </c>
      <c r="H6135" s="10" t="inlineStr">
        <is>
          <t>発</t>
        </is>
      </c>
      <c r="J6135" s="10" t="inlineStr">
        <is>
          <t>営業</t>
        </is>
      </c>
      <c r="L6135" t="inlineStr">
        <is>
          <t>7:08:15</t>
        </is>
      </c>
      <c r="M6135" t="inlineStr">
        <is>
          <t>7:08:25</t>
        </is>
      </c>
    </row>
    <row r="6136" ht="15" customHeight="1" s="37">
      <c r="A6136" t="n">
        <v>16</v>
      </c>
      <c r="B6136" s="10" t="inlineStr">
        <is>
          <t>平日</t>
        </is>
      </c>
      <c r="C6136" s="10" t="inlineStr">
        <is>
          <t>北野線</t>
        </is>
      </c>
      <c r="D6136" s="10" t="inlineStr">
        <is>
          <t>下り</t>
        </is>
      </c>
      <c r="E6136" t="inlineStr">
        <is>
          <t>0751</t>
        </is>
      </c>
      <c r="F6136" t="inlineStr">
        <is>
          <t>0453</t>
        </is>
      </c>
      <c r="G6136" s="10" t="inlineStr">
        <is>
          <t>龍安寺</t>
        </is>
      </c>
      <c r="H6136" s="10" t="inlineStr">
        <is>
          <t>発</t>
        </is>
      </c>
      <c r="J6136" s="10" t="inlineStr">
        <is>
          <t>営業</t>
        </is>
      </c>
      <c r="L6136" t="inlineStr">
        <is>
          <t>7:09:15</t>
        </is>
      </c>
      <c r="M6136" t="inlineStr">
        <is>
          <t>7:09:35</t>
        </is>
      </c>
    </row>
    <row r="6137" ht="15" customHeight="1" s="37">
      <c r="A6137" t="n">
        <v>16</v>
      </c>
      <c r="B6137" s="10" t="inlineStr">
        <is>
          <t>平日</t>
        </is>
      </c>
      <c r="C6137" s="10" t="inlineStr">
        <is>
          <t>北野線</t>
        </is>
      </c>
      <c r="D6137" s="10" t="inlineStr">
        <is>
          <t>下り</t>
        </is>
      </c>
      <c r="E6137" t="inlineStr">
        <is>
          <t>0751</t>
        </is>
      </c>
      <c r="F6137" t="inlineStr">
        <is>
          <t>0453</t>
        </is>
      </c>
      <c r="G6137" s="10" t="inlineStr">
        <is>
          <t>妙心寺</t>
        </is>
      </c>
      <c r="H6137" s="10" t="inlineStr">
        <is>
          <t>発</t>
        </is>
      </c>
      <c r="J6137" s="10" t="inlineStr">
        <is>
          <t>営業</t>
        </is>
      </c>
      <c r="L6137" t="inlineStr">
        <is>
          <t>7:10:30</t>
        </is>
      </c>
      <c r="M6137" t="inlineStr">
        <is>
          <t>7:10:40</t>
        </is>
      </c>
    </row>
    <row r="6138" ht="15" customHeight="1" s="37">
      <c r="A6138" t="n">
        <v>16</v>
      </c>
      <c r="B6138" s="10" t="inlineStr">
        <is>
          <t>平日</t>
        </is>
      </c>
      <c r="C6138" s="10" t="inlineStr">
        <is>
          <t>北野線</t>
        </is>
      </c>
      <c r="D6138" s="10" t="inlineStr">
        <is>
          <t>下り</t>
        </is>
      </c>
      <c r="E6138" t="inlineStr">
        <is>
          <t>0751</t>
        </is>
      </c>
      <c r="F6138" t="inlineStr">
        <is>
          <t>0453</t>
        </is>
      </c>
      <c r="G6138" s="10" t="inlineStr">
        <is>
          <t>御室仁和寺</t>
        </is>
      </c>
      <c r="H6138" s="10" t="inlineStr">
        <is>
          <t>発</t>
        </is>
      </c>
      <c r="J6138" s="10" t="inlineStr">
        <is>
          <t>営業</t>
        </is>
      </c>
      <c r="L6138" t="inlineStr">
        <is>
          <t>7:11:40</t>
        </is>
      </c>
      <c r="M6138" t="inlineStr">
        <is>
          <t>7:12:45</t>
        </is>
      </c>
    </row>
    <row r="6139" ht="15" customHeight="1" s="37">
      <c r="A6139" t="n">
        <v>16</v>
      </c>
      <c r="B6139" s="10" t="inlineStr">
        <is>
          <t>平日</t>
        </is>
      </c>
      <c r="C6139" s="10" t="inlineStr">
        <is>
          <t>北野線</t>
        </is>
      </c>
      <c r="D6139" s="10" t="inlineStr">
        <is>
          <t>下り</t>
        </is>
      </c>
      <c r="E6139" t="inlineStr">
        <is>
          <t>0751</t>
        </is>
      </c>
      <c r="F6139" t="inlineStr">
        <is>
          <t>0453</t>
        </is>
      </c>
      <c r="G6139" s="10" t="inlineStr">
        <is>
          <t>宇多野</t>
        </is>
      </c>
      <c r="H6139" s="10" t="inlineStr">
        <is>
          <t>発</t>
        </is>
      </c>
      <c r="J6139" s="10" t="inlineStr">
        <is>
          <t>営業</t>
        </is>
      </c>
      <c r="L6139" t="inlineStr">
        <is>
          <t>7:13:45</t>
        </is>
      </c>
      <c r="M6139" t="inlineStr">
        <is>
          <t>7:13:55</t>
        </is>
      </c>
    </row>
    <row r="6140" ht="15" customHeight="1" s="37">
      <c r="A6140" t="n">
        <v>16</v>
      </c>
      <c r="B6140" s="10" t="inlineStr">
        <is>
          <t>平日</t>
        </is>
      </c>
      <c r="C6140" s="10" t="inlineStr">
        <is>
          <t>北野線</t>
        </is>
      </c>
      <c r="D6140" s="10" t="inlineStr">
        <is>
          <t>下り</t>
        </is>
      </c>
      <c r="E6140" t="inlineStr">
        <is>
          <t>0751</t>
        </is>
      </c>
      <c r="F6140" t="inlineStr">
        <is>
          <t>0453</t>
        </is>
      </c>
      <c r="G6140" s="10" t="inlineStr">
        <is>
          <t>鳴滝</t>
        </is>
      </c>
      <c r="H6140" s="10" t="inlineStr">
        <is>
          <t>発</t>
        </is>
      </c>
      <c r="J6140" s="10" t="inlineStr">
        <is>
          <t>営業</t>
        </is>
      </c>
      <c r="L6140" t="inlineStr">
        <is>
          <t>7:15:15</t>
        </is>
      </c>
      <c r="M6140" t="inlineStr">
        <is>
          <t>7:15:25</t>
        </is>
      </c>
    </row>
    <row r="6141" ht="15" customHeight="1" s="37">
      <c r="A6141" t="n">
        <v>16</v>
      </c>
      <c r="B6141" s="10" t="inlineStr">
        <is>
          <t>平日</t>
        </is>
      </c>
      <c r="C6141" s="10" t="inlineStr">
        <is>
          <t>北野線</t>
        </is>
      </c>
      <c r="D6141" s="10" t="inlineStr">
        <is>
          <t>下り</t>
        </is>
      </c>
      <c r="E6141" t="inlineStr">
        <is>
          <t>0751</t>
        </is>
      </c>
      <c r="F6141" t="inlineStr">
        <is>
          <t>0453</t>
        </is>
      </c>
      <c r="G6141" s="10" t="inlineStr">
        <is>
          <t>常盤</t>
        </is>
      </c>
      <c r="H6141" s="10" t="inlineStr">
        <is>
          <t>発</t>
        </is>
      </c>
      <c r="J6141" s="10" t="inlineStr">
        <is>
          <t>営業</t>
        </is>
      </c>
      <c r="L6141" t="inlineStr">
        <is>
          <t>7:16:15</t>
        </is>
      </c>
      <c r="M6141" t="inlineStr">
        <is>
          <t>7:16:35</t>
        </is>
      </c>
    </row>
    <row r="6142" ht="15" customHeight="1" s="37">
      <c r="A6142" t="n">
        <v>16</v>
      </c>
      <c r="B6142" s="10" t="inlineStr">
        <is>
          <t>平日</t>
        </is>
      </c>
      <c r="C6142" s="10" t="inlineStr">
        <is>
          <t>北野線</t>
        </is>
      </c>
      <c r="D6142" s="10" t="inlineStr">
        <is>
          <t>下り</t>
        </is>
      </c>
      <c r="E6142" t="inlineStr">
        <is>
          <t>0751</t>
        </is>
      </c>
      <c r="F6142" t="inlineStr">
        <is>
          <t>0453</t>
        </is>
      </c>
      <c r="G6142" s="10" t="inlineStr">
        <is>
          <t>撮影所前</t>
        </is>
      </c>
      <c r="H6142" s="10" t="inlineStr">
        <is>
          <t>発</t>
        </is>
      </c>
      <c r="J6142" s="10" t="inlineStr">
        <is>
          <t>営業</t>
        </is>
      </c>
      <c r="L6142" t="inlineStr">
        <is>
          <t>7:17:55</t>
        </is>
      </c>
      <c r="M6142" t="inlineStr">
        <is>
          <t>7:18:05</t>
        </is>
      </c>
    </row>
    <row r="6143" ht="15" customHeight="1" s="37">
      <c r="A6143" t="n">
        <v>16</v>
      </c>
      <c r="B6143" s="10" t="inlineStr">
        <is>
          <t>平日</t>
        </is>
      </c>
      <c r="C6143" s="10" t="inlineStr">
        <is>
          <t>北野線</t>
        </is>
      </c>
      <c r="D6143" s="10" t="inlineStr">
        <is>
          <t>下り</t>
        </is>
      </c>
      <c r="E6143" t="inlineStr">
        <is>
          <t>0751</t>
        </is>
      </c>
      <c r="F6143" t="inlineStr">
        <is>
          <t>0453</t>
        </is>
      </c>
      <c r="G6143" s="10" t="inlineStr">
        <is>
          <t>帷子ノ辻</t>
        </is>
      </c>
      <c r="H6143" s="10" t="inlineStr">
        <is>
          <t>着</t>
        </is>
      </c>
      <c r="J6143" s="10" t="inlineStr">
        <is>
          <t>営業</t>
        </is>
      </c>
      <c r="L6143" t="inlineStr">
        <is>
          <t>7:19:00</t>
        </is>
      </c>
      <c r="Q6143" t="inlineStr">
        <is>
          <t>4</t>
        </is>
      </c>
    </row>
    <row r="6144" ht="15" customHeight="1" s="37">
      <c r="A6144" t="n">
        <v>16</v>
      </c>
      <c r="B6144" s="10" t="inlineStr">
        <is>
          <t>平日</t>
        </is>
      </c>
      <c r="C6144" s="10" t="inlineStr">
        <is>
          <t>北野線</t>
        </is>
      </c>
      <c r="D6144" s="10" t="inlineStr">
        <is>
          <t>上り</t>
        </is>
      </c>
      <c r="E6144" t="inlineStr">
        <is>
          <t>0758</t>
        </is>
      </c>
      <c r="F6144" t="inlineStr">
        <is>
          <t>0354</t>
        </is>
      </c>
      <c r="G6144" s="10" t="inlineStr">
        <is>
          <t>帷子ノ辻</t>
        </is>
      </c>
      <c r="H6144" s="10" t="inlineStr">
        <is>
          <t>発</t>
        </is>
      </c>
      <c r="J6144" s="10" t="inlineStr">
        <is>
          <t>営業</t>
        </is>
      </c>
      <c r="M6144" t="inlineStr">
        <is>
          <t>7:30:00</t>
        </is>
      </c>
      <c r="Q6144" t="inlineStr">
        <is>
          <t>4</t>
        </is>
      </c>
    </row>
    <row r="6145" ht="15" customHeight="1" s="37">
      <c r="A6145" t="n">
        <v>16</v>
      </c>
      <c r="B6145" s="10" t="inlineStr">
        <is>
          <t>平日</t>
        </is>
      </c>
      <c r="C6145" s="10" t="inlineStr">
        <is>
          <t>北野線</t>
        </is>
      </c>
      <c r="D6145" s="10" t="inlineStr">
        <is>
          <t>上り</t>
        </is>
      </c>
      <c r="E6145" t="inlineStr">
        <is>
          <t>0758</t>
        </is>
      </c>
      <c r="F6145" t="inlineStr">
        <is>
          <t>0354</t>
        </is>
      </c>
      <c r="G6145" s="10" t="inlineStr">
        <is>
          <t>撮影所前</t>
        </is>
      </c>
      <c r="H6145" s="10" t="inlineStr">
        <is>
          <t>発</t>
        </is>
      </c>
      <c r="J6145" s="10" t="inlineStr">
        <is>
          <t>営業</t>
        </is>
      </c>
      <c r="L6145" t="inlineStr">
        <is>
          <t>7:31:00</t>
        </is>
      </c>
      <c r="M6145" t="inlineStr">
        <is>
          <t>7:31:10</t>
        </is>
      </c>
    </row>
    <row r="6146" ht="15" customHeight="1" s="37">
      <c r="A6146" t="n">
        <v>16</v>
      </c>
      <c r="B6146" s="10" t="inlineStr">
        <is>
          <t>平日</t>
        </is>
      </c>
      <c r="C6146" s="10" t="inlineStr">
        <is>
          <t>北野線</t>
        </is>
      </c>
      <c r="D6146" s="10" t="inlineStr">
        <is>
          <t>上り</t>
        </is>
      </c>
      <c r="E6146" t="inlineStr">
        <is>
          <t>0758</t>
        </is>
      </c>
      <c r="F6146" t="inlineStr">
        <is>
          <t>0354</t>
        </is>
      </c>
      <c r="G6146" s="10" t="inlineStr">
        <is>
          <t>常盤</t>
        </is>
      </c>
      <c r="H6146" s="10" t="inlineStr">
        <is>
          <t>発</t>
        </is>
      </c>
      <c r="J6146" s="10" t="inlineStr">
        <is>
          <t>営業</t>
        </is>
      </c>
      <c r="L6146" t="inlineStr">
        <is>
          <t>7:32:30</t>
        </is>
      </c>
      <c r="M6146" t="inlineStr">
        <is>
          <t>7:32:50</t>
        </is>
      </c>
    </row>
    <row r="6147" ht="15" customHeight="1" s="37">
      <c r="A6147" t="n">
        <v>16</v>
      </c>
      <c r="B6147" s="10" t="inlineStr">
        <is>
          <t>平日</t>
        </is>
      </c>
      <c r="C6147" s="10" t="inlineStr">
        <is>
          <t>北野線</t>
        </is>
      </c>
      <c r="D6147" s="10" t="inlineStr">
        <is>
          <t>上り</t>
        </is>
      </c>
      <c r="E6147" t="inlineStr">
        <is>
          <t>0758</t>
        </is>
      </c>
      <c r="F6147" t="inlineStr">
        <is>
          <t>0354</t>
        </is>
      </c>
      <c r="G6147" s="10" t="inlineStr">
        <is>
          <t>鳴滝</t>
        </is>
      </c>
      <c r="H6147" s="10" t="inlineStr">
        <is>
          <t>発</t>
        </is>
      </c>
      <c r="J6147" s="10" t="inlineStr">
        <is>
          <t>営業</t>
        </is>
      </c>
      <c r="L6147" t="inlineStr">
        <is>
          <t>7:33:50</t>
        </is>
      </c>
      <c r="M6147" t="inlineStr">
        <is>
          <t>7:34:10</t>
        </is>
      </c>
    </row>
    <row r="6148" ht="15" customHeight="1" s="37">
      <c r="A6148" t="n">
        <v>16</v>
      </c>
      <c r="B6148" s="10" t="inlineStr">
        <is>
          <t>平日</t>
        </is>
      </c>
      <c r="C6148" s="10" t="inlineStr">
        <is>
          <t>北野線</t>
        </is>
      </c>
      <c r="D6148" s="10" t="inlineStr">
        <is>
          <t>上り</t>
        </is>
      </c>
      <c r="E6148" t="inlineStr">
        <is>
          <t>0758</t>
        </is>
      </c>
      <c r="F6148" t="inlineStr">
        <is>
          <t>0354</t>
        </is>
      </c>
      <c r="G6148" s="10" t="inlineStr">
        <is>
          <t>宇多野</t>
        </is>
      </c>
      <c r="H6148" s="10" t="inlineStr">
        <is>
          <t>発</t>
        </is>
      </c>
      <c r="J6148" s="10" t="inlineStr">
        <is>
          <t>営業</t>
        </is>
      </c>
      <c r="L6148" t="inlineStr">
        <is>
          <t>7:35:30</t>
        </is>
      </c>
      <c r="M6148" t="inlineStr">
        <is>
          <t>7:35:45</t>
        </is>
      </c>
    </row>
    <row r="6149" ht="15" customHeight="1" s="37">
      <c r="A6149" t="n">
        <v>16</v>
      </c>
      <c r="B6149" s="10" t="inlineStr">
        <is>
          <t>平日</t>
        </is>
      </c>
      <c r="C6149" s="10" t="inlineStr">
        <is>
          <t>北野線</t>
        </is>
      </c>
      <c r="D6149" s="10" t="inlineStr">
        <is>
          <t>上り</t>
        </is>
      </c>
      <c r="E6149" t="inlineStr">
        <is>
          <t>0758</t>
        </is>
      </c>
      <c r="F6149" t="inlineStr">
        <is>
          <t>0354</t>
        </is>
      </c>
      <c r="G6149" s="10" t="inlineStr">
        <is>
          <t>御室仁和寺</t>
        </is>
      </c>
      <c r="H6149" s="10" t="inlineStr">
        <is>
          <t>発</t>
        </is>
      </c>
      <c r="J6149" s="10" t="inlineStr">
        <is>
          <t>営業</t>
        </is>
      </c>
      <c r="L6149" t="inlineStr">
        <is>
          <t>7:36:45</t>
        </is>
      </c>
      <c r="M6149" t="inlineStr">
        <is>
          <t>7:36:55</t>
        </is>
      </c>
    </row>
    <row r="6150" ht="15" customHeight="1" s="37">
      <c r="A6150" t="n">
        <v>16</v>
      </c>
      <c r="B6150" s="10" t="inlineStr">
        <is>
          <t>平日</t>
        </is>
      </c>
      <c r="C6150" s="10" t="inlineStr">
        <is>
          <t>北野線</t>
        </is>
      </c>
      <c r="D6150" s="10" t="inlineStr">
        <is>
          <t>上り</t>
        </is>
      </c>
      <c r="E6150" t="inlineStr">
        <is>
          <t>0758</t>
        </is>
      </c>
      <c r="F6150" t="inlineStr">
        <is>
          <t>0354</t>
        </is>
      </c>
      <c r="G6150" s="10" t="inlineStr">
        <is>
          <t>妙心寺</t>
        </is>
      </c>
      <c r="H6150" s="10" t="inlineStr">
        <is>
          <t>発</t>
        </is>
      </c>
      <c r="J6150" s="10" t="inlineStr">
        <is>
          <t>営業</t>
        </is>
      </c>
      <c r="L6150" t="inlineStr">
        <is>
          <t>7:37:55</t>
        </is>
      </c>
      <c r="M6150" t="inlineStr">
        <is>
          <t>7:38:10</t>
        </is>
      </c>
    </row>
    <row r="6151" ht="15" customHeight="1" s="37">
      <c r="A6151" t="n">
        <v>16</v>
      </c>
      <c r="B6151" s="10" t="inlineStr">
        <is>
          <t>平日</t>
        </is>
      </c>
      <c r="C6151" s="10" t="inlineStr">
        <is>
          <t>北野線</t>
        </is>
      </c>
      <c r="D6151" s="10" t="inlineStr">
        <is>
          <t>上り</t>
        </is>
      </c>
      <c r="E6151" t="inlineStr">
        <is>
          <t>0758</t>
        </is>
      </c>
      <c r="F6151" t="inlineStr">
        <is>
          <t>0354</t>
        </is>
      </c>
      <c r="G6151" s="10" t="inlineStr">
        <is>
          <t>龍安寺</t>
        </is>
      </c>
      <c r="H6151" s="10" t="inlineStr">
        <is>
          <t>発</t>
        </is>
      </c>
      <c r="J6151" s="10" t="inlineStr">
        <is>
          <t>営業</t>
        </is>
      </c>
      <c r="L6151" t="inlineStr">
        <is>
          <t>7:39:05</t>
        </is>
      </c>
      <c r="M6151" t="inlineStr">
        <is>
          <t>7:39:20</t>
        </is>
      </c>
    </row>
    <row r="6152" ht="15" customHeight="1" s="37">
      <c r="A6152" t="n">
        <v>16</v>
      </c>
      <c r="B6152" s="10" t="inlineStr">
        <is>
          <t>平日</t>
        </is>
      </c>
      <c r="C6152" s="10" t="inlineStr">
        <is>
          <t>北野線</t>
        </is>
      </c>
      <c r="D6152" s="10" t="inlineStr">
        <is>
          <t>上り</t>
        </is>
      </c>
      <c r="E6152" t="inlineStr">
        <is>
          <t>0758</t>
        </is>
      </c>
      <c r="F6152" t="inlineStr">
        <is>
          <t>0354</t>
        </is>
      </c>
      <c r="G6152" s="10" t="inlineStr">
        <is>
          <t>等持院</t>
        </is>
      </c>
      <c r="H6152" s="10" t="inlineStr">
        <is>
          <t>発</t>
        </is>
      </c>
      <c r="J6152" s="10" t="inlineStr">
        <is>
          <t>営業</t>
        </is>
      </c>
      <c r="L6152" t="inlineStr">
        <is>
          <t>7:40:00</t>
        </is>
      </c>
      <c r="M6152" t="inlineStr">
        <is>
          <t>7:40:20</t>
        </is>
      </c>
    </row>
    <row r="6153" ht="15" customHeight="1" s="37">
      <c r="A6153" t="n">
        <v>16</v>
      </c>
      <c r="B6153" s="10" t="inlineStr">
        <is>
          <t>平日</t>
        </is>
      </c>
      <c r="C6153" s="10" t="inlineStr">
        <is>
          <t>北野線</t>
        </is>
      </c>
      <c r="D6153" s="10" t="inlineStr">
        <is>
          <t>上り</t>
        </is>
      </c>
      <c r="E6153" t="inlineStr">
        <is>
          <t>0758</t>
        </is>
      </c>
      <c r="F6153" t="inlineStr">
        <is>
          <t>0354</t>
        </is>
      </c>
      <c r="G6153" s="10" t="inlineStr">
        <is>
          <t>北野白梅町</t>
        </is>
      </c>
      <c r="H6153" s="10" t="inlineStr">
        <is>
          <t>着</t>
        </is>
      </c>
      <c r="J6153" s="10" t="inlineStr">
        <is>
          <t>営業</t>
        </is>
      </c>
      <c r="L6153" t="inlineStr">
        <is>
          <t>7:41:40</t>
        </is>
      </c>
      <c r="Q6153" t="inlineStr">
        <is>
          <t>1</t>
        </is>
      </c>
    </row>
    <row r="6154" ht="15" customHeight="1" s="37">
      <c r="A6154" t="n">
        <v>16</v>
      </c>
      <c r="B6154" s="10" t="inlineStr">
        <is>
          <t>平日</t>
        </is>
      </c>
      <c r="C6154" s="10" t="inlineStr">
        <is>
          <t>北野線</t>
        </is>
      </c>
      <c r="D6154" s="10" t="inlineStr">
        <is>
          <t>下り</t>
        </is>
      </c>
      <c r="E6154" t="inlineStr">
        <is>
          <t>0761</t>
        </is>
      </c>
      <c r="F6154" t="inlineStr">
        <is>
          <t>0453</t>
        </is>
      </c>
      <c r="G6154" s="10" t="inlineStr">
        <is>
          <t>北野白梅町</t>
        </is>
      </c>
      <c r="H6154" s="10" t="inlineStr">
        <is>
          <t>発</t>
        </is>
      </c>
      <c r="J6154" s="10" t="inlineStr">
        <is>
          <t>営業</t>
        </is>
      </c>
      <c r="M6154" t="inlineStr">
        <is>
          <t>7:46:50</t>
        </is>
      </c>
      <c r="Q6154" t="inlineStr">
        <is>
          <t>1</t>
        </is>
      </c>
    </row>
    <row r="6155" ht="15" customHeight="1" s="37">
      <c r="A6155" t="n">
        <v>16</v>
      </c>
      <c r="B6155" s="10" t="inlineStr">
        <is>
          <t>平日</t>
        </is>
      </c>
      <c r="C6155" s="10" t="inlineStr">
        <is>
          <t>北野線</t>
        </is>
      </c>
      <c r="D6155" s="10" t="inlineStr">
        <is>
          <t>下り</t>
        </is>
      </c>
      <c r="E6155" t="inlineStr">
        <is>
          <t>0761</t>
        </is>
      </c>
      <c r="F6155" t="inlineStr">
        <is>
          <t>0453</t>
        </is>
      </c>
      <c r="G6155" s="10" t="inlineStr">
        <is>
          <t>等持院</t>
        </is>
      </c>
      <c r="H6155" s="10" t="inlineStr">
        <is>
          <t>発</t>
        </is>
      </c>
      <c r="J6155" s="10" t="inlineStr">
        <is>
          <t>営業</t>
        </is>
      </c>
      <c r="L6155" t="inlineStr">
        <is>
          <t>7:48:15</t>
        </is>
      </c>
      <c r="M6155" t="inlineStr">
        <is>
          <t>7:48:25</t>
        </is>
      </c>
    </row>
    <row r="6156" ht="15" customHeight="1" s="37">
      <c r="A6156" t="n">
        <v>16</v>
      </c>
      <c r="B6156" s="10" t="inlineStr">
        <is>
          <t>平日</t>
        </is>
      </c>
      <c r="C6156" s="10" t="inlineStr">
        <is>
          <t>北野線</t>
        </is>
      </c>
      <c r="D6156" s="10" t="inlineStr">
        <is>
          <t>下り</t>
        </is>
      </c>
      <c r="E6156" t="inlineStr">
        <is>
          <t>0761</t>
        </is>
      </c>
      <c r="F6156" t="inlineStr">
        <is>
          <t>0453</t>
        </is>
      </c>
      <c r="G6156" s="10" t="inlineStr">
        <is>
          <t>龍安寺</t>
        </is>
      </c>
      <c r="H6156" s="10" t="inlineStr">
        <is>
          <t>発</t>
        </is>
      </c>
      <c r="J6156" s="10" t="inlineStr">
        <is>
          <t>営業</t>
        </is>
      </c>
      <c r="L6156" t="inlineStr">
        <is>
          <t>7:49:15</t>
        </is>
      </c>
      <c r="M6156" t="inlineStr">
        <is>
          <t>7:49:35</t>
        </is>
      </c>
    </row>
    <row r="6157" ht="15" customHeight="1" s="37">
      <c r="A6157" t="n">
        <v>16</v>
      </c>
      <c r="B6157" s="10" t="inlineStr">
        <is>
          <t>平日</t>
        </is>
      </c>
      <c r="C6157" s="10" t="inlineStr">
        <is>
          <t>北野線</t>
        </is>
      </c>
      <c r="D6157" s="10" t="inlineStr">
        <is>
          <t>下り</t>
        </is>
      </c>
      <c r="E6157" t="inlineStr">
        <is>
          <t>0761</t>
        </is>
      </c>
      <c r="F6157" t="inlineStr">
        <is>
          <t>0453</t>
        </is>
      </c>
      <c r="G6157" s="10" t="inlineStr">
        <is>
          <t>妙心寺</t>
        </is>
      </c>
      <c r="H6157" s="10" t="inlineStr">
        <is>
          <t>発</t>
        </is>
      </c>
      <c r="J6157" s="10" t="inlineStr">
        <is>
          <t>営業</t>
        </is>
      </c>
      <c r="L6157" t="inlineStr">
        <is>
          <t>7:50:30</t>
        </is>
      </c>
      <c r="M6157" t="inlineStr">
        <is>
          <t>7:50:40</t>
        </is>
      </c>
    </row>
    <row r="6158" ht="15" customHeight="1" s="37">
      <c r="A6158" t="n">
        <v>16</v>
      </c>
      <c r="B6158" s="10" t="inlineStr">
        <is>
          <t>平日</t>
        </is>
      </c>
      <c r="C6158" s="10" t="inlineStr">
        <is>
          <t>北野線</t>
        </is>
      </c>
      <c r="D6158" s="10" t="inlineStr">
        <is>
          <t>下り</t>
        </is>
      </c>
      <c r="E6158" t="inlineStr">
        <is>
          <t>0761</t>
        </is>
      </c>
      <c r="F6158" t="inlineStr">
        <is>
          <t>0453</t>
        </is>
      </c>
      <c r="G6158" s="10" t="inlineStr">
        <is>
          <t>御室仁和寺</t>
        </is>
      </c>
      <c r="H6158" s="10" t="inlineStr">
        <is>
          <t>発</t>
        </is>
      </c>
      <c r="J6158" s="10" t="inlineStr">
        <is>
          <t>営業</t>
        </is>
      </c>
      <c r="L6158" t="inlineStr">
        <is>
          <t>7:51:40</t>
        </is>
      </c>
      <c r="M6158" t="inlineStr">
        <is>
          <t>7:52:45</t>
        </is>
      </c>
    </row>
    <row r="6159" ht="15" customHeight="1" s="37">
      <c r="A6159" t="n">
        <v>16</v>
      </c>
      <c r="B6159" s="10" t="inlineStr">
        <is>
          <t>平日</t>
        </is>
      </c>
      <c r="C6159" s="10" t="inlineStr">
        <is>
          <t>北野線</t>
        </is>
      </c>
      <c r="D6159" s="10" t="inlineStr">
        <is>
          <t>下り</t>
        </is>
      </c>
      <c r="E6159" t="inlineStr">
        <is>
          <t>0761</t>
        </is>
      </c>
      <c r="F6159" t="inlineStr">
        <is>
          <t>0453</t>
        </is>
      </c>
      <c r="G6159" s="10" t="inlineStr">
        <is>
          <t>宇多野</t>
        </is>
      </c>
      <c r="H6159" s="10" t="inlineStr">
        <is>
          <t>発</t>
        </is>
      </c>
      <c r="J6159" s="10" t="inlineStr">
        <is>
          <t>営業</t>
        </is>
      </c>
      <c r="L6159" t="inlineStr">
        <is>
          <t>7:53:45</t>
        </is>
      </c>
      <c r="M6159" t="inlineStr">
        <is>
          <t>7:53:55</t>
        </is>
      </c>
    </row>
    <row r="6160" ht="15" customHeight="1" s="37">
      <c r="A6160" t="n">
        <v>16</v>
      </c>
      <c r="B6160" s="10" t="inlineStr">
        <is>
          <t>平日</t>
        </is>
      </c>
      <c r="C6160" s="10" t="inlineStr">
        <is>
          <t>北野線</t>
        </is>
      </c>
      <c r="D6160" s="10" t="inlineStr">
        <is>
          <t>下り</t>
        </is>
      </c>
      <c r="E6160" t="inlineStr">
        <is>
          <t>0761</t>
        </is>
      </c>
      <c r="F6160" t="inlineStr">
        <is>
          <t>0453</t>
        </is>
      </c>
      <c r="G6160" s="10" t="inlineStr">
        <is>
          <t>鳴滝</t>
        </is>
      </c>
      <c r="H6160" s="10" t="inlineStr">
        <is>
          <t>発</t>
        </is>
      </c>
      <c r="J6160" s="10" t="inlineStr">
        <is>
          <t>営業</t>
        </is>
      </c>
      <c r="L6160" t="inlineStr">
        <is>
          <t>7:55:15</t>
        </is>
      </c>
      <c r="M6160" t="inlineStr">
        <is>
          <t>7:55:25</t>
        </is>
      </c>
    </row>
    <row r="6161" ht="15" customHeight="1" s="37">
      <c r="A6161" t="n">
        <v>16</v>
      </c>
      <c r="B6161" s="10" t="inlineStr">
        <is>
          <t>平日</t>
        </is>
      </c>
      <c r="C6161" s="10" t="inlineStr">
        <is>
          <t>北野線</t>
        </is>
      </c>
      <c r="D6161" s="10" t="inlineStr">
        <is>
          <t>下り</t>
        </is>
      </c>
      <c r="E6161" t="inlineStr">
        <is>
          <t>0761</t>
        </is>
      </c>
      <c r="F6161" t="inlineStr">
        <is>
          <t>0453</t>
        </is>
      </c>
      <c r="G6161" s="10" t="inlineStr">
        <is>
          <t>常盤</t>
        </is>
      </c>
      <c r="H6161" s="10" t="inlineStr">
        <is>
          <t>発</t>
        </is>
      </c>
      <c r="J6161" s="10" t="inlineStr">
        <is>
          <t>営業</t>
        </is>
      </c>
      <c r="L6161" t="inlineStr">
        <is>
          <t>7:56:15</t>
        </is>
      </c>
      <c r="M6161" t="inlineStr">
        <is>
          <t>7:56:35</t>
        </is>
      </c>
    </row>
    <row r="6162" ht="15" customHeight="1" s="37">
      <c r="A6162" t="n">
        <v>16</v>
      </c>
      <c r="B6162" s="10" t="inlineStr">
        <is>
          <t>平日</t>
        </is>
      </c>
      <c r="C6162" s="10" t="inlineStr">
        <is>
          <t>北野線</t>
        </is>
      </c>
      <c r="D6162" s="10" t="inlineStr">
        <is>
          <t>下り</t>
        </is>
      </c>
      <c r="E6162" t="inlineStr">
        <is>
          <t>0761</t>
        </is>
      </c>
      <c r="F6162" t="inlineStr">
        <is>
          <t>0453</t>
        </is>
      </c>
      <c r="G6162" s="10" t="inlineStr">
        <is>
          <t>撮影所前</t>
        </is>
      </c>
      <c r="H6162" s="10" t="inlineStr">
        <is>
          <t>発</t>
        </is>
      </c>
      <c r="J6162" s="10" t="inlineStr">
        <is>
          <t>営業</t>
        </is>
      </c>
      <c r="L6162" t="inlineStr">
        <is>
          <t>7:57:55</t>
        </is>
      </c>
      <c r="M6162" t="inlineStr">
        <is>
          <t>7:58:05</t>
        </is>
      </c>
    </row>
    <row r="6163" ht="15" customHeight="1" s="37">
      <c r="A6163" t="n">
        <v>16</v>
      </c>
      <c r="B6163" s="10" t="inlineStr">
        <is>
          <t>平日</t>
        </is>
      </c>
      <c r="C6163" s="10" t="inlineStr">
        <is>
          <t>北野線</t>
        </is>
      </c>
      <c r="D6163" s="10" t="inlineStr">
        <is>
          <t>下り</t>
        </is>
      </c>
      <c r="E6163" t="inlineStr">
        <is>
          <t>0761</t>
        </is>
      </c>
      <c r="F6163" t="inlineStr">
        <is>
          <t>0453</t>
        </is>
      </c>
      <c r="G6163" s="10" t="inlineStr">
        <is>
          <t>帷子ノ辻</t>
        </is>
      </c>
      <c r="H6163" s="10" t="inlineStr">
        <is>
          <t>着</t>
        </is>
      </c>
      <c r="J6163" s="10" t="inlineStr">
        <is>
          <t>営業</t>
        </is>
      </c>
      <c r="L6163" t="inlineStr">
        <is>
          <t>7:59:00</t>
        </is>
      </c>
      <c r="Q6163" t="inlineStr">
        <is>
          <t>4</t>
        </is>
      </c>
    </row>
    <row r="6164" ht="15" customHeight="1" s="37">
      <c r="A6164" t="n">
        <v>16</v>
      </c>
      <c r="B6164" s="10" t="inlineStr">
        <is>
          <t>平日</t>
        </is>
      </c>
      <c r="C6164" s="10" t="inlineStr">
        <is>
          <t>北野線</t>
        </is>
      </c>
      <c r="D6164" s="10" t="inlineStr">
        <is>
          <t>上り</t>
        </is>
      </c>
      <c r="E6164" t="inlineStr">
        <is>
          <t>0854</t>
        </is>
      </c>
      <c r="F6164" t="inlineStr">
        <is>
          <t>0354</t>
        </is>
      </c>
      <c r="G6164" s="10" t="inlineStr">
        <is>
          <t>帷子ノ辻</t>
        </is>
      </c>
      <c r="H6164" s="10" t="inlineStr">
        <is>
          <t>発</t>
        </is>
      </c>
      <c r="J6164" s="10" t="inlineStr">
        <is>
          <t>営業</t>
        </is>
      </c>
      <c r="M6164" t="inlineStr">
        <is>
          <t>8:10:00</t>
        </is>
      </c>
      <c r="Q6164" t="inlineStr">
        <is>
          <t>4</t>
        </is>
      </c>
      <c r="U6164" t="inlineStr">
        <is>
          <t>→帷子ノ辻 休憩(8:39〜9:36)</t>
        </is>
      </c>
    </row>
    <row r="6165" ht="15" customHeight="1" s="37">
      <c r="A6165" t="n">
        <v>16</v>
      </c>
      <c r="B6165" s="10" t="inlineStr">
        <is>
          <t>平日</t>
        </is>
      </c>
      <c r="C6165" s="10" t="inlineStr">
        <is>
          <t>北野線</t>
        </is>
      </c>
      <c r="D6165" s="10" t="inlineStr">
        <is>
          <t>上り</t>
        </is>
      </c>
      <c r="E6165" t="inlineStr">
        <is>
          <t>0854</t>
        </is>
      </c>
      <c r="F6165" t="inlineStr">
        <is>
          <t>0354</t>
        </is>
      </c>
      <c r="G6165" s="10" t="inlineStr">
        <is>
          <t>撮影所前</t>
        </is>
      </c>
      <c r="H6165" s="10" t="inlineStr">
        <is>
          <t>発</t>
        </is>
      </c>
      <c r="J6165" s="10" t="inlineStr">
        <is>
          <t>営業</t>
        </is>
      </c>
      <c r="L6165" t="inlineStr">
        <is>
          <t>8:11:00</t>
        </is>
      </c>
      <c r="M6165" t="inlineStr">
        <is>
          <t>8:11:10</t>
        </is>
      </c>
      <c r="U6165" t="inlineStr">
        <is>
          <t>→帷子ノ辻 休憩(8:39〜9:36)</t>
        </is>
      </c>
    </row>
    <row r="6166" ht="15" customHeight="1" s="37">
      <c r="A6166" t="n">
        <v>16</v>
      </c>
      <c r="B6166" s="10" t="inlineStr">
        <is>
          <t>平日</t>
        </is>
      </c>
      <c r="C6166" s="10" t="inlineStr">
        <is>
          <t>北野線</t>
        </is>
      </c>
      <c r="D6166" s="10" t="inlineStr">
        <is>
          <t>上り</t>
        </is>
      </c>
      <c r="E6166" t="inlineStr">
        <is>
          <t>0854</t>
        </is>
      </c>
      <c r="F6166" t="inlineStr">
        <is>
          <t>0354</t>
        </is>
      </c>
      <c r="G6166" s="10" t="inlineStr">
        <is>
          <t>常盤</t>
        </is>
      </c>
      <c r="H6166" s="10" t="inlineStr">
        <is>
          <t>発</t>
        </is>
      </c>
      <c r="J6166" s="10" t="inlineStr">
        <is>
          <t>営業</t>
        </is>
      </c>
      <c r="L6166" t="inlineStr">
        <is>
          <t>8:12:30</t>
        </is>
      </c>
      <c r="M6166" t="inlineStr">
        <is>
          <t>8:12:50</t>
        </is>
      </c>
      <c r="U6166" t="inlineStr">
        <is>
          <t>→帷子ノ辻 休憩(8:39〜9:36)</t>
        </is>
      </c>
    </row>
    <row r="6167" ht="15" customHeight="1" s="37">
      <c r="A6167" t="n">
        <v>16</v>
      </c>
      <c r="B6167" s="10" t="inlineStr">
        <is>
          <t>平日</t>
        </is>
      </c>
      <c r="C6167" s="10" t="inlineStr">
        <is>
          <t>北野線</t>
        </is>
      </c>
      <c r="D6167" s="10" t="inlineStr">
        <is>
          <t>上り</t>
        </is>
      </c>
      <c r="E6167" t="inlineStr">
        <is>
          <t>0854</t>
        </is>
      </c>
      <c r="F6167" t="inlineStr">
        <is>
          <t>0354</t>
        </is>
      </c>
      <c r="G6167" s="10" t="inlineStr">
        <is>
          <t>鳴滝</t>
        </is>
      </c>
      <c r="H6167" s="10" t="inlineStr">
        <is>
          <t>発</t>
        </is>
      </c>
      <c r="J6167" s="10" t="inlineStr">
        <is>
          <t>営業</t>
        </is>
      </c>
      <c r="L6167" t="inlineStr">
        <is>
          <t>8:13:50</t>
        </is>
      </c>
      <c r="M6167" t="inlineStr">
        <is>
          <t>8:14:10</t>
        </is>
      </c>
      <c r="U6167" t="inlineStr">
        <is>
          <t>→帷子ノ辻 休憩(8:39〜9:36)</t>
        </is>
      </c>
    </row>
    <row r="6168" ht="15" customHeight="1" s="37">
      <c r="A6168" t="n">
        <v>16</v>
      </c>
      <c r="B6168" s="10" t="inlineStr">
        <is>
          <t>平日</t>
        </is>
      </c>
      <c r="C6168" s="10" t="inlineStr">
        <is>
          <t>北野線</t>
        </is>
      </c>
      <c r="D6168" s="10" t="inlineStr">
        <is>
          <t>上り</t>
        </is>
      </c>
      <c r="E6168" t="inlineStr">
        <is>
          <t>0854</t>
        </is>
      </c>
      <c r="F6168" t="inlineStr">
        <is>
          <t>0354</t>
        </is>
      </c>
      <c r="G6168" s="10" t="inlineStr">
        <is>
          <t>宇多野</t>
        </is>
      </c>
      <c r="H6168" s="10" t="inlineStr">
        <is>
          <t>発</t>
        </is>
      </c>
      <c r="J6168" s="10" t="inlineStr">
        <is>
          <t>営業</t>
        </is>
      </c>
      <c r="L6168" t="inlineStr">
        <is>
          <t>8:15:30</t>
        </is>
      </c>
      <c r="M6168" t="inlineStr">
        <is>
          <t>8:15:45</t>
        </is>
      </c>
      <c r="U6168" t="inlineStr">
        <is>
          <t>→帷子ノ辻 休憩(8:39〜9:36)</t>
        </is>
      </c>
    </row>
    <row r="6169" ht="15" customHeight="1" s="37">
      <c r="A6169" t="n">
        <v>16</v>
      </c>
      <c r="B6169" s="10" t="inlineStr">
        <is>
          <t>平日</t>
        </is>
      </c>
      <c r="C6169" s="10" t="inlineStr">
        <is>
          <t>北野線</t>
        </is>
      </c>
      <c r="D6169" s="10" t="inlineStr">
        <is>
          <t>上り</t>
        </is>
      </c>
      <c r="E6169" t="inlineStr">
        <is>
          <t>0854</t>
        </is>
      </c>
      <c r="F6169" t="inlineStr">
        <is>
          <t>0354</t>
        </is>
      </c>
      <c r="G6169" s="10" t="inlineStr">
        <is>
          <t>御室仁和寺</t>
        </is>
      </c>
      <c r="H6169" s="10" t="inlineStr">
        <is>
          <t>発</t>
        </is>
      </c>
      <c r="J6169" s="10" t="inlineStr">
        <is>
          <t>営業</t>
        </is>
      </c>
      <c r="L6169" t="inlineStr">
        <is>
          <t>8:16:45</t>
        </is>
      </c>
      <c r="M6169" t="inlineStr">
        <is>
          <t>8:16:55</t>
        </is>
      </c>
      <c r="U6169" t="inlineStr">
        <is>
          <t>→帷子ノ辻 休憩(8:39〜9:36)</t>
        </is>
      </c>
    </row>
    <row r="6170" ht="15" customHeight="1" s="37">
      <c r="A6170" t="n">
        <v>16</v>
      </c>
      <c r="B6170" s="10" t="inlineStr">
        <is>
          <t>平日</t>
        </is>
      </c>
      <c r="C6170" s="10" t="inlineStr">
        <is>
          <t>北野線</t>
        </is>
      </c>
      <c r="D6170" s="10" t="inlineStr">
        <is>
          <t>上り</t>
        </is>
      </c>
      <c r="E6170" t="inlineStr">
        <is>
          <t>0854</t>
        </is>
      </c>
      <c r="F6170" t="inlineStr">
        <is>
          <t>0354</t>
        </is>
      </c>
      <c r="G6170" s="10" t="inlineStr">
        <is>
          <t>妙心寺</t>
        </is>
      </c>
      <c r="H6170" s="10" t="inlineStr">
        <is>
          <t>発</t>
        </is>
      </c>
      <c r="J6170" s="10" t="inlineStr">
        <is>
          <t>営業</t>
        </is>
      </c>
      <c r="L6170" t="inlineStr">
        <is>
          <t>8:17:55</t>
        </is>
      </c>
      <c r="M6170" t="inlineStr">
        <is>
          <t>8:18:10</t>
        </is>
      </c>
      <c r="U6170" t="inlineStr">
        <is>
          <t>→帷子ノ辻 休憩(8:39〜9:36)</t>
        </is>
      </c>
    </row>
    <row r="6171" ht="15" customHeight="1" s="37">
      <c r="A6171" t="n">
        <v>16</v>
      </c>
      <c r="B6171" s="10" t="inlineStr">
        <is>
          <t>平日</t>
        </is>
      </c>
      <c r="C6171" s="10" t="inlineStr">
        <is>
          <t>北野線</t>
        </is>
      </c>
      <c r="D6171" s="10" t="inlineStr">
        <is>
          <t>上り</t>
        </is>
      </c>
      <c r="E6171" t="inlineStr">
        <is>
          <t>0854</t>
        </is>
      </c>
      <c r="F6171" t="inlineStr">
        <is>
          <t>0354</t>
        </is>
      </c>
      <c r="G6171" s="10" t="inlineStr">
        <is>
          <t>龍安寺</t>
        </is>
      </c>
      <c r="H6171" s="10" t="inlineStr">
        <is>
          <t>発</t>
        </is>
      </c>
      <c r="J6171" s="10" t="inlineStr">
        <is>
          <t>営業</t>
        </is>
      </c>
      <c r="L6171" t="inlineStr">
        <is>
          <t>8:19:05</t>
        </is>
      </c>
      <c r="M6171" t="inlineStr">
        <is>
          <t>8:19:20</t>
        </is>
      </c>
      <c r="U6171" t="inlineStr">
        <is>
          <t>→帷子ノ辻 休憩(8:39〜9:36)</t>
        </is>
      </c>
    </row>
    <row r="6172" ht="15" customHeight="1" s="37">
      <c r="A6172" t="n">
        <v>16</v>
      </c>
      <c r="B6172" s="10" t="inlineStr">
        <is>
          <t>平日</t>
        </is>
      </c>
      <c r="C6172" s="10" t="inlineStr">
        <is>
          <t>北野線</t>
        </is>
      </c>
      <c r="D6172" s="10" t="inlineStr">
        <is>
          <t>上り</t>
        </is>
      </c>
      <c r="E6172" t="inlineStr">
        <is>
          <t>0854</t>
        </is>
      </c>
      <c r="F6172" t="inlineStr">
        <is>
          <t>0354</t>
        </is>
      </c>
      <c r="G6172" s="10" t="inlineStr">
        <is>
          <t>等持院</t>
        </is>
      </c>
      <c r="H6172" s="10" t="inlineStr">
        <is>
          <t>発</t>
        </is>
      </c>
      <c r="J6172" s="10" t="inlineStr">
        <is>
          <t>営業</t>
        </is>
      </c>
      <c r="L6172" t="inlineStr">
        <is>
          <t>8:20:00</t>
        </is>
      </c>
      <c r="M6172" t="inlineStr">
        <is>
          <t>8:20:20</t>
        </is>
      </c>
      <c r="U6172" t="inlineStr">
        <is>
          <t>→帷子ノ辻 休憩(8:39〜9:36)</t>
        </is>
      </c>
    </row>
    <row r="6173" ht="15" customHeight="1" s="37">
      <c r="A6173" t="n">
        <v>16</v>
      </c>
      <c r="B6173" s="10" t="inlineStr">
        <is>
          <t>平日</t>
        </is>
      </c>
      <c r="C6173" s="10" t="inlineStr">
        <is>
          <t>北野線</t>
        </is>
      </c>
      <c r="D6173" s="10" t="inlineStr">
        <is>
          <t>上り</t>
        </is>
      </c>
      <c r="E6173" t="inlineStr">
        <is>
          <t>0854</t>
        </is>
      </c>
      <c r="F6173" t="inlineStr">
        <is>
          <t>0354</t>
        </is>
      </c>
      <c r="G6173" s="10" t="inlineStr">
        <is>
          <t>北野白梅町</t>
        </is>
      </c>
      <c r="H6173" s="10" t="inlineStr">
        <is>
          <t>着</t>
        </is>
      </c>
      <c r="J6173" s="10" t="inlineStr">
        <is>
          <t>営業</t>
        </is>
      </c>
      <c r="L6173" t="inlineStr">
        <is>
          <t>8:21:40</t>
        </is>
      </c>
      <c r="Q6173" t="inlineStr">
        <is>
          <t>1</t>
        </is>
      </c>
      <c r="U6173" t="inlineStr">
        <is>
          <t>→帷子ノ辻 休憩(8:39〜9:36)</t>
        </is>
      </c>
    </row>
    <row r="6174" ht="15" customHeight="1" s="37">
      <c r="A6174" t="n">
        <v>16</v>
      </c>
      <c r="B6174" s="10" t="inlineStr">
        <is>
          <t>平日</t>
        </is>
      </c>
      <c r="C6174" s="10" t="inlineStr">
        <is>
          <t>北野線</t>
        </is>
      </c>
      <c r="D6174" s="10" t="inlineStr">
        <is>
          <t>下り</t>
        </is>
      </c>
      <c r="E6174" t="inlineStr">
        <is>
          <t>0857</t>
        </is>
      </c>
      <c r="F6174" t="inlineStr">
        <is>
          <t>0453</t>
        </is>
      </c>
      <c r="G6174" s="10" t="inlineStr">
        <is>
          <t>北野白梅町</t>
        </is>
      </c>
      <c r="H6174" s="10" t="inlineStr">
        <is>
          <t>発</t>
        </is>
      </c>
      <c r="J6174" s="10" t="inlineStr">
        <is>
          <t>営業</t>
        </is>
      </c>
      <c r="M6174" t="inlineStr">
        <is>
          <t>8:26:50</t>
        </is>
      </c>
      <c r="Q6174" t="inlineStr">
        <is>
          <t>1</t>
        </is>
      </c>
      <c r="U6174" t="inlineStr">
        <is>
          <t>→帷子ノ辻 休憩(8:39〜9:36)</t>
        </is>
      </c>
    </row>
    <row r="6175" ht="15" customHeight="1" s="37">
      <c r="A6175" t="n">
        <v>16</v>
      </c>
      <c r="B6175" s="10" t="inlineStr">
        <is>
          <t>平日</t>
        </is>
      </c>
      <c r="C6175" s="10" t="inlineStr">
        <is>
          <t>北野線</t>
        </is>
      </c>
      <c r="D6175" s="10" t="inlineStr">
        <is>
          <t>下り</t>
        </is>
      </c>
      <c r="E6175" t="inlineStr">
        <is>
          <t>0857</t>
        </is>
      </c>
      <c r="F6175" t="inlineStr">
        <is>
          <t>0453</t>
        </is>
      </c>
      <c r="G6175" s="10" t="inlineStr">
        <is>
          <t>等持院</t>
        </is>
      </c>
      <c r="H6175" s="10" t="inlineStr">
        <is>
          <t>発</t>
        </is>
      </c>
      <c r="J6175" s="10" t="inlineStr">
        <is>
          <t>営業</t>
        </is>
      </c>
      <c r="L6175" t="inlineStr">
        <is>
          <t>8:28:15</t>
        </is>
      </c>
      <c r="M6175" t="inlineStr">
        <is>
          <t>8:28:25</t>
        </is>
      </c>
      <c r="U6175" t="inlineStr">
        <is>
          <t>→帷子ノ辻 休憩(8:39〜9:36)</t>
        </is>
      </c>
    </row>
    <row r="6176" ht="15" customHeight="1" s="37">
      <c r="A6176" t="n">
        <v>16</v>
      </c>
      <c r="B6176" s="10" t="inlineStr">
        <is>
          <t>平日</t>
        </is>
      </c>
      <c r="C6176" s="10" t="inlineStr">
        <is>
          <t>北野線</t>
        </is>
      </c>
      <c r="D6176" s="10" t="inlineStr">
        <is>
          <t>下り</t>
        </is>
      </c>
      <c r="E6176" t="inlineStr">
        <is>
          <t>0857</t>
        </is>
      </c>
      <c r="F6176" t="inlineStr">
        <is>
          <t>0453</t>
        </is>
      </c>
      <c r="G6176" s="10" t="inlineStr">
        <is>
          <t>龍安寺</t>
        </is>
      </c>
      <c r="H6176" s="10" t="inlineStr">
        <is>
          <t>発</t>
        </is>
      </c>
      <c r="J6176" s="10" t="inlineStr">
        <is>
          <t>営業</t>
        </is>
      </c>
      <c r="L6176" t="inlineStr">
        <is>
          <t>8:29:15</t>
        </is>
      </c>
      <c r="M6176" t="inlineStr">
        <is>
          <t>8:29:35</t>
        </is>
      </c>
      <c r="U6176" t="inlineStr">
        <is>
          <t>→帷子ノ辻 休憩(8:39〜9:36)</t>
        </is>
      </c>
    </row>
    <row r="6177" ht="15" customHeight="1" s="37">
      <c r="A6177" t="n">
        <v>16</v>
      </c>
      <c r="B6177" s="10" t="inlineStr">
        <is>
          <t>平日</t>
        </is>
      </c>
      <c r="C6177" s="10" t="inlineStr">
        <is>
          <t>北野線</t>
        </is>
      </c>
      <c r="D6177" s="10" t="inlineStr">
        <is>
          <t>下り</t>
        </is>
      </c>
      <c r="E6177" t="inlineStr">
        <is>
          <t>0857</t>
        </is>
      </c>
      <c r="F6177" t="inlineStr">
        <is>
          <t>0453</t>
        </is>
      </c>
      <c r="G6177" s="10" t="inlineStr">
        <is>
          <t>妙心寺</t>
        </is>
      </c>
      <c r="H6177" s="10" t="inlineStr">
        <is>
          <t>発</t>
        </is>
      </c>
      <c r="J6177" s="10" t="inlineStr">
        <is>
          <t>営業</t>
        </is>
      </c>
      <c r="L6177" t="inlineStr">
        <is>
          <t>8:30:30</t>
        </is>
      </c>
      <c r="M6177" t="inlineStr">
        <is>
          <t>8:30:40</t>
        </is>
      </c>
      <c r="U6177" t="inlineStr">
        <is>
          <t>→帷子ノ辻 休憩(8:39〜9:36)</t>
        </is>
      </c>
    </row>
    <row r="6178" ht="15" customHeight="1" s="37">
      <c r="A6178" t="n">
        <v>16</v>
      </c>
      <c r="B6178" s="10" t="inlineStr">
        <is>
          <t>平日</t>
        </is>
      </c>
      <c r="C6178" s="10" t="inlineStr">
        <is>
          <t>北野線</t>
        </is>
      </c>
      <c r="D6178" s="10" t="inlineStr">
        <is>
          <t>下り</t>
        </is>
      </c>
      <c r="E6178" t="inlineStr">
        <is>
          <t>0857</t>
        </is>
      </c>
      <c r="F6178" t="inlineStr">
        <is>
          <t>0453</t>
        </is>
      </c>
      <c r="G6178" s="10" t="inlineStr">
        <is>
          <t>御室仁和寺</t>
        </is>
      </c>
      <c r="H6178" s="10" t="inlineStr">
        <is>
          <t>発</t>
        </is>
      </c>
      <c r="J6178" s="10" t="inlineStr">
        <is>
          <t>営業</t>
        </is>
      </c>
      <c r="L6178" t="inlineStr">
        <is>
          <t>8:31:40</t>
        </is>
      </c>
      <c r="M6178" t="inlineStr">
        <is>
          <t>8:32:45</t>
        </is>
      </c>
      <c r="U6178" t="inlineStr">
        <is>
          <t>→帷子ノ辻 休憩(8:39〜9:36)</t>
        </is>
      </c>
    </row>
    <row r="6179" ht="15" customHeight="1" s="37">
      <c r="A6179" t="n">
        <v>16</v>
      </c>
      <c r="B6179" s="10" t="inlineStr">
        <is>
          <t>平日</t>
        </is>
      </c>
      <c r="C6179" s="10" t="inlineStr">
        <is>
          <t>北野線</t>
        </is>
      </c>
      <c r="D6179" s="10" t="inlineStr">
        <is>
          <t>下り</t>
        </is>
      </c>
      <c r="E6179" t="inlineStr">
        <is>
          <t>0857</t>
        </is>
      </c>
      <c r="F6179" t="inlineStr">
        <is>
          <t>0453</t>
        </is>
      </c>
      <c r="G6179" s="10" t="inlineStr">
        <is>
          <t>宇多野</t>
        </is>
      </c>
      <c r="H6179" s="10" t="inlineStr">
        <is>
          <t>発</t>
        </is>
      </c>
      <c r="J6179" s="10" t="inlineStr">
        <is>
          <t>営業</t>
        </is>
      </c>
      <c r="L6179" t="inlineStr">
        <is>
          <t>8:33:45</t>
        </is>
      </c>
      <c r="M6179" t="inlineStr">
        <is>
          <t>8:33:55</t>
        </is>
      </c>
      <c r="U6179" t="inlineStr">
        <is>
          <t>→帷子ノ辻 休憩(8:39〜9:36)</t>
        </is>
      </c>
    </row>
    <row r="6180" ht="15" customHeight="1" s="37">
      <c r="A6180" t="n">
        <v>16</v>
      </c>
      <c r="B6180" s="10" t="inlineStr">
        <is>
          <t>平日</t>
        </is>
      </c>
      <c r="C6180" s="10" t="inlineStr">
        <is>
          <t>北野線</t>
        </is>
      </c>
      <c r="D6180" s="10" t="inlineStr">
        <is>
          <t>下り</t>
        </is>
      </c>
      <c r="E6180" t="inlineStr">
        <is>
          <t>0857</t>
        </is>
      </c>
      <c r="F6180" t="inlineStr">
        <is>
          <t>0453</t>
        </is>
      </c>
      <c r="G6180" s="10" t="inlineStr">
        <is>
          <t>鳴滝</t>
        </is>
      </c>
      <c r="H6180" s="10" t="inlineStr">
        <is>
          <t>発</t>
        </is>
      </c>
      <c r="J6180" s="10" t="inlineStr">
        <is>
          <t>営業</t>
        </is>
      </c>
      <c r="L6180" t="inlineStr">
        <is>
          <t>8:35:15</t>
        </is>
      </c>
      <c r="M6180" t="inlineStr">
        <is>
          <t>8:35:25</t>
        </is>
      </c>
      <c r="U6180" t="inlineStr">
        <is>
          <t>→帷子ノ辻 休憩(8:39〜9:36)</t>
        </is>
      </c>
    </row>
    <row r="6181" ht="15" customHeight="1" s="37">
      <c r="A6181" t="n">
        <v>16</v>
      </c>
      <c r="B6181" s="10" t="inlineStr">
        <is>
          <t>平日</t>
        </is>
      </c>
      <c r="C6181" s="10" t="inlineStr">
        <is>
          <t>北野線</t>
        </is>
      </c>
      <c r="D6181" s="10" t="inlineStr">
        <is>
          <t>下り</t>
        </is>
      </c>
      <c r="E6181" t="inlineStr">
        <is>
          <t>0857</t>
        </is>
      </c>
      <c r="F6181" t="inlineStr">
        <is>
          <t>0453</t>
        </is>
      </c>
      <c r="G6181" s="10" t="inlineStr">
        <is>
          <t>常盤</t>
        </is>
      </c>
      <c r="H6181" s="10" t="inlineStr">
        <is>
          <t>発</t>
        </is>
      </c>
      <c r="J6181" s="10" t="inlineStr">
        <is>
          <t>営業</t>
        </is>
      </c>
      <c r="L6181" t="inlineStr">
        <is>
          <t>8:36:15</t>
        </is>
      </c>
      <c r="M6181" t="inlineStr">
        <is>
          <t>8:36:35</t>
        </is>
      </c>
      <c r="U6181" t="inlineStr">
        <is>
          <t>→帷子ノ辻 休憩(8:39〜9:36)</t>
        </is>
      </c>
    </row>
    <row r="6182" ht="15" customHeight="1" s="37">
      <c r="A6182" t="n">
        <v>16</v>
      </c>
      <c r="B6182" s="10" t="inlineStr">
        <is>
          <t>平日</t>
        </is>
      </c>
      <c r="C6182" s="10" t="inlineStr">
        <is>
          <t>北野線</t>
        </is>
      </c>
      <c r="D6182" s="10" t="inlineStr">
        <is>
          <t>下り</t>
        </is>
      </c>
      <c r="E6182" t="inlineStr">
        <is>
          <t>0857</t>
        </is>
      </c>
      <c r="F6182" t="inlineStr">
        <is>
          <t>0453</t>
        </is>
      </c>
      <c r="G6182" s="10" t="inlineStr">
        <is>
          <t>撮影所前</t>
        </is>
      </c>
      <c r="H6182" s="10" t="inlineStr">
        <is>
          <t>発</t>
        </is>
      </c>
      <c r="J6182" s="10" t="inlineStr">
        <is>
          <t>営業</t>
        </is>
      </c>
      <c r="L6182" t="inlineStr">
        <is>
          <t>8:37:55</t>
        </is>
      </c>
      <c r="M6182" t="inlineStr">
        <is>
          <t>8:38:05</t>
        </is>
      </c>
      <c r="U6182" t="inlineStr">
        <is>
          <t>→帷子ノ辻 休憩(8:39〜9:36)</t>
        </is>
      </c>
    </row>
    <row r="6183" ht="15" customHeight="1" s="37">
      <c r="A6183" t="n">
        <v>16</v>
      </c>
      <c r="B6183" s="10" t="inlineStr">
        <is>
          <t>平日</t>
        </is>
      </c>
      <c r="C6183" s="10" t="inlineStr">
        <is>
          <t>北野線</t>
        </is>
      </c>
      <c r="D6183" s="10" t="inlineStr">
        <is>
          <t>下り</t>
        </is>
      </c>
      <c r="E6183" t="inlineStr">
        <is>
          <t>0857</t>
        </is>
      </c>
      <c r="F6183" t="inlineStr">
        <is>
          <t>0453</t>
        </is>
      </c>
      <c r="G6183" s="10" t="inlineStr">
        <is>
          <t>帷子ノ辻</t>
        </is>
      </c>
      <c r="H6183" s="10" t="inlineStr">
        <is>
          <t>着</t>
        </is>
      </c>
      <c r="J6183" s="10" t="inlineStr">
        <is>
          <t>営業</t>
        </is>
      </c>
      <c r="L6183" t="inlineStr">
        <is>
          <t>8:39:00</t>
        </is>
      </c>
      <c r="Q6183" t="inlineStr">
        <is>
          <t>4</t>
        </is>
      </c>
      <c r="U6183" t="inlineStr">
        <is>
          <t>→帷子ノ辻 休憩(8:39〜9:36)</t>
        </is>
      </c>
    </row>
    <row r="6184" ht="15" customHeight="1" s="37">
      <c r="A6184" t="n">
        <v>16</v>
      </c>
      <c r="B6184" s="10" t="inlineStr">
        <is>
          <t>平日</t>
        </is>
      </c>
      <c r="C6184" s="10" t="inlineStr">
        <is>
          <t>北野線</t>
        </is>
      </c>
      <c r="D6184" s="10" t="inlineStr">
        <is>
          <t>上り</t>
        </is>
      </c>
      <c r="E6184" t="inlineStr">
        <is>
          <t>0958</t>
        </is>
      </c>
      <c r="F6184" t="inlineStr">
        <is>
          <t>0354</t>
        </is>
      </c>
      <c r="G6184" s="10" t="inlineStr">
        <is>
          <t>帷子ノ辻</t>
        </is>
      </c>
      <c r="H6184" s="10" t="inlineStr">
        <is>
          <t>発</t>
        </is>
      </c>
      <c r="J6184" s="10" t="inlineStr">
        <is>
          <t>営業</t>
        </is>
      </c>
      <c r="M6184" t="inlineStr">
        <is>
          <t>9:36:25</t>
        </is>
      </c>
      <c r="Q6184" t="inlineStr">
        <is>
          <t>3</t>
        </is>
      </c>
    </row>
    <row r="6185" ht="15" customHeight="1" s="37">
      <c r="A6185" t="n">
        <v>16</v>
      </c>
      <c r="B6185" s="10" t="inlineStr">
        <is>
          <t>平日</t>
        </is>
      </c>
      <c r="C6185" s="10" t="inlineStr">
        <is>
          <t>北野線</t>
        </is>
      </c>
      <c r="D6185" s="10" t="inlineStr">
        <is>
          <t>上り</t>
        </is>
      </c>
      <c r="E6185" t="inlineStr">
        <is>
          <t>0958</t>
        </is>
      </c>
      <c r="F6185" t="inlineStr">
        <is>
          <t>0354</t>
        </is>
      </c>
      <c r="G6185" s="10" t="inlineStr">
        <is>
          <t>撮影所前</t>
        </is>
      </c>
      <c r="H6185" s="10" t="inlineStr">
        <is>
          <t>発</t>
        </is>
      </c>
      <c r="J6185" s="10" t="inlineStr">
        <is>
          <t>営業</t>
        </is>
      </c>
      <c r="L6185" t="inlineStr">
        <is>
          <t>9:37:25</t>
        </is>
      </c>
      <c r="M6185" t="inlineStr">
        <is>
          <t>9:37:40</t>
        </is>
      </c>
    </row>
    <row r="6186" ht="15" customHeight="1" s="37">
      <c r="A6186" t="n">
        <v>16</v>
      </c>
      <c r="B6186" s="10" t="inlineStr">
        <is>
          <t>平日</t>
        </is>
      </c>
      <c r="C6186" s="10" t="inlineStr">
        <is>
          <t>北野線</t>
        </is>
      </c>
      <c r="D6186" s="10" t="inlineStr">
        <is>
          <t>上り</t>
        </is>
      </c>
      <c r="E6186" t="inlineStr">
        <is>
          <t>0958</t>
        </is>
      </c>
      <c r="F6186" t="inlineStr">
        <is>
          <t>0354</t>
        </is>
      </c>
      <c r="G6186" s="10" t="inlineStr">
        <is>
          <t>常盤</t>
        </is>
      </c>
      <c r="H6186" s="10" t="inlineStr">
        <is>
          <t>発</t>
        </is>
      </c>
      <c r="J6186" s="10" t="inlineStr">
        <is>
          <t>営業</t>
        </is>
      </c>
      <c r="L6186" t="inlineStr">
        <is>
          <t>9:39:00</t>
        </is>
      </c>
      <c r="M6186" t="inlineStr">
        <is>
          <t>9:39:20</t>
        </is>
      </c>
    </row>
    <row r="6187" ht="15" customHeight="1" s="37">
      <c r="A6187" t="n">
        <v>16</v>
      </c>
      <c r="B6187" s="10" t="inlineStr">
        <is>
          <t>平日</t>
        </is>
      </c>
      <c r="C6187" s="10" t="inlineStr">
        <is>
          <t>北野線</t>
        </is>
      </c>
      <c r="D6187" s="10" t="inlineStr">
        <is>
          <t>上り</t>
        </is>
      </c>
      <c r="E6187" t="inlineStr">
        <is>
          <t>0958</t>
        </is>
      </c>
      <c r="F6187" t="inlineStr">
        <is>
          <t>0354</t>
        </is>
      </c>
      <c r="G6187" s="10" t="inlineStr">
        <is>
          <t>鳴滝</t>
        </is>
      </c>
      <c r="H6187" s="10" t="inlineStr">
        <is>
          <t>発</t>
        </is>
      </c>
      <c r="J6187" s="10" t="inlineStr">
        <is>
          <t>営業</t>
        </is>
      </c>
      <c r="L6187" t="inlineStr">
        <is>
          <t>9:40:20</t>
        </is>
      </c>
      <c r="M6187" t="inlineStr">
        <is>
          <t>9:40:40</t>
        </is>
      </c>
    </row>
    <row r="6188" ht="15" customHeight="1" s="37">
      <c r="A6188" t="n">
        <v>16</v>
      </c>
      <c r="B6188" s="10" t="inlineStr">
        <is>
          <t>平日</t>
        </is>
      </c>
      <c r="C6188" s="10" t="inlineStr">
        <is>
          <t>北野線</t>
        </is>
      </c>
      <c r="D6188" s="10" t="inlineStr">
        <is>
          <t>上り</t>
        </is>
      </c>
      <c r="E6188" t="inlineStr">
        <is>
          <t>0958</t>
        </is>
      </c>
      <c r="F6188" t="inlineStr">
        <is>
          <t>0354</t>
        </is>
      </c>
      <c r="G6188" s="10" t="inlineStr">
        <is>
          <t>宇多野</t>
        </is>
      </c>
      <c r="H6188" s="10" t="inlineStr">
        <is>
          <t>発</t>
        </is>
      </c>
      <c r="J6188" s="10" t="inlineStr">
        <is>
          <t>営業</t>
        </is>
      </c>
      <c r="L6188" t="inlineStr">
        <is>
          <t>9:42:00</t>
        </is>
      </c>
      <c r="M6188" t="inlineStr">
        <is>
          <t>9:42:15</t>
        </is>
      </c>
    </row>
    <row r="6189" ht="15" customHeight="1" s="37">
      <c r="A6189" t="n">
        <v>16</v>
      </c>
      <c r="B6189" s="10" t="inlineStr">
        <is>
          <t>平日</t>
        </is>
      </c>
      <c r="C6189" s="10" t="inlineStr">
        <is>
          <t>北野線</t>
        </is>
      </c>
      <c r="D6189" s="10" t="inlineStr">
        <is>
          <t>上り</t>
        </is>
      </c>
      <c r="E6189" t="inlineStr">
        <is>
          <t>0958</t>
        </is>
      </c>
      <c r="F6189" t="inlineStr">
        <is>
          <t>0354</t>
        </is>
      </c>
      <c r="G6189" s="10" t="inlineStr">
        <is>
          <t>御室仁和寺</t>
        </is>
      </c>
      <c r="H6189" s="10" t="inlineStr">
        <is>
          <t>発</t>
        </is>
      </c>
      <c r="J6189" s="10" t="inlineStr">
        <is>
          <t>営業</t>
        </is>
      </c>
      <c r="L6189" t="inlineStr">
        <is>
          <t>9:43:15</t>
        </is>
      </c>
      <c r="M6189" t="inlineStr">
        <is>
          <t>9:43:35</t>
        </is>
      </c>
    </row>
    <row r="6190" ht="15" customHeight="1" s="37">
      <c r="A6190" t="n">
        <v>16</v>
      </c>
      <c r="B6190" s="10" t="inlineStr">
        <is>
          <t>平日</t>
        </is>
      </c>
      <c r="C6190" s="10" t="inlineStr">
        <is>
          <t>北野線</t>
        </is>
      </c>
      <c r="D6190" s="10" t="inlineStr">
        <is>
          <t>上り</t>
        </is>
      </c>
      <c r="E6190" t="inlineStr">
        <is>
          <t>0958</t>
        </is>
      </c>
      <c r="F6190" t="inlineStr">
        <is>
          <t>0354</t>
        </is>
      </c>
      <c r="G6190" s="10" t="inlineStr">
        <is>
          <t>妙心寺</t>
        </is>
      </c>
      <c r="H6190" s="10" t="inlineStr">
        <is>
          <t>発</t>
        </is>
      </c>
      <c r="J6190" s="10" t="inlineStr">
        <is>
          <t>営業</t>
        </is>
      </c>
      <c r="L6190" t="inlineStr">
        <is>
          <t>9:44:35</t>
        </is>
      </c>
      <c r="M6190" t="inlineStr">
        <is>
          <t>9:44:50</t>
        </is>
      </c>
    </row>
    <row r="6191" ht="15" customHeight="1" s="37">
      <c r="A6191" t="n">
        <v>16</v>
      </c>
      <c r="B6191" s="10" t="inlineStr">
        <is>
          <t>平日</t>
        </is>
      </c>
      <c r="C6191" s="10" t="inlineStr">
        <is>
          <t>北野線</t>
        </is>
      </c>
      <c r="D6191" s="10" t="inlineStr">
        <is>
          <t>上り</t>
        </is>
      </c>
      <c r="E6191" t="inlineStr">
        <is>
          <t>0958</t>
        </is>
      </c>
      <c r="F6191" t="inlineStr">
        <is>
          <t>0354</t>
        </is>
      </c>
      <c r="G6191" s="10" t="inlineStr">
        <is>
          <t>龍安寺</t>
        </is>
      </c>
      <c r="H6191" s="10" t="inlineStr">
        <is>
          <t>発</t>
        </is>
      </c>
      <c r="J6191" s="10" t="inlineStr">
        <is>
          <t>営業</t>
        </is>
      </c>
      <c r="L6191" t="inlineStr">
        <is>
          <t>9:45:45</t>
        </is>
      </c>
      <c r="M6191" t="inlineStr">
        <is>
          <t>9:45:55</t>
        </is>
      </c>
    </row>
    <row r="6192" ht="15" customHeight="1" s="37">
      <c r="A6192" t="n">
        <v>16</v>
      </c>
      <c r="B6192" s="10" t="inlineStr">
        <is>
          <t>平日</t>
        </is>
      </c>
      <c r="C6192" s="10" t="inlineStr">
        <is>
          <t>北野線</t>
        </is>
      </c>
      <c r="D6192" s="10" t="inlineStr">
        <is>
          <t>上り</t>
        </is>
      </c>
      <c r="E6192" t="inlineStr">
        <is>
          <t>0958</t>
        </is>
      </c>
      <c r="F6192" t="inlineStr">
        <is>
          <t>0354</t>
        </is>
      </c>
      <c r="G6192" s="10" t="inlineStr">
        <is>
          <t>等持院</t>
        </is>
      </c>
      <c r="H6192" s="10" t="inlineStr">
        <is>
          <t>発</t>
        </is>
      </c>
      <c r="J6192" s="10" t="inlineStr">
        <is>
          <t>営業</t>
        </is>
      </c>
      <c r="L6192" t="inlineStr">
        <is>
          <t>9:46:35</t>
        </is>
      </c>
      <c r="M6192" t="inlineStr">
        <is>
          <t>9:46:55</t>
        </is>
      </c>
    </row>
    <row r="6193" ht="15" customHeight="1" s="37">
      <c r="A6193" t="n">
        <v>16</v>
      </c>
      <c r="B6193" s="10" t="inlineStr">
        <is>
          <t>平日</t>
        </is>
      </c>
      <c r="C6193" s="10" t="inlineStr">
        <is>
          <t>北野線</t>
        </is>
      </c>
      <c r="D6193" s="10" t="inlineStr">
        <is>
          <t>上り</t>
        </is>
      </c>
      <c r="E6193" t="inlineStr">
        <is>
          <t>0958</t>
        </is>
      </c>
      <c r="F6193" t="inlineStr">
        <is>
          <t>0354</t>
        </is>
      </c>
      <c r="G6193" s="10" t="inlineStr">
        <is>
          <t>北野白梅町</t>
        </is>
      </c>
      <c r="H6193" s="10" t="inlineStr">
        <is>
          <t>着</t>
        </is>
      </c>
      <c r="J6193" s="10" t="inlineStr">
        <is>
          <t>営業</t>
        </is>
      </c>
      <c r="L6193" t="inlineStr">
        <is>
          <t>9:48:15</t>
        </is>
      </c>
      <c r="Q6193" t="inlineStr">
        <is>
          <t>1</t>
        </is>
      </c>
    </row>
    <row r="6194" ht="15" customHeight="1" s="37">
      <c r="A6194" t="n">
        <v>16</v>
      </c>
      <c r="B6194" s="10" t="inlineStr">
        <is>
          <t>平日</t>
        </is>
      </c>
      <c r="C6194" s="10" t="inlineStr">
        <is>
          <t>北野線</t>
        </is>
      </c>
      <c r="D6194" s="10" t="inlineStr">
        <is>
          <t>下り</t>
        </is>
      </c>
      <c r="E6194" t="inlineStr">
        <is>
          <t>0961</t>
        </is>
      </c>
      <c r="F6194" t="inlineStr">
        <is>
          <t>0453</t>
        </is>
      </c>
      <c r="G6194" s="10" t="inlineStr">
        <is>
          <t>北野白梅町</t>
        </is>
      </c>
      <c r="H6194" s="10" t="inlineStr">
        <is>
          <t>発</t>
        </is>
      </c>
      <c r="J6194" s="10" t="inlineStr">
        <is>
          <t>営業</t>
        </is>
      </c>
      <c r="M6194" t="inlineStr">
        <is>
          <t>9:53:00</t>
        </is>
      </c>
      <c r="Q6194" t="inlineStr">
        <is>
          <t>1</t>
        </is>
      </c>
    </row>
    <row r="6195" ht="15" customHeight="1" s="37">
      <c r="A6195" t="n">
        <v>16</v>
      </c>
      <c r="B6195" s="10" t="inlineStr">
        <is>
          <t>平日</t>
        </is>
      </c>
      <c r="C6195" s="10" t="inlineStr">
        <is>
          <t>北野線</t>
        </is>
      </c>
      <c r="D6195" s="10" t="inlineStr">
        <is>
          <t>下り</t>
        </is>
      </c>
      <c r="E6195" t="inlineStr">
        <is>
          <t>0961</t>
        </is>
      </c>
      <c r="F6195" t="inlineStr">
        <is>
          <t>0453</t>
        </is>
      </c>
      <c r="G6195" s="10" t="inlineStr">
        <is>
          <t>等持院</t>
        </is>
      </c>
      <c r="H6195" s="10" t="inlineStr">
        <is>
          <t>発</t>
        </is>
      </c>
      <c r="J6195" s="10" t="inlineStr">
        <is>
          <t>営業</t>
        </is>
      </c>
      <c r="L6195" t="inlineStr">
        <is>
          <t>9:54:25</t>
        </is>
      </c>
      <c r="M6195" t="inlineStr">
        <is>
          <t>9:54:35</t>
        </is>
      </c>
    </row>
    <row r="6196" ht="15" customHeight="1" s="37">
      <c r="A6196" t="n">
        <v>16</v>
      </c>
      <c r="B6196" s="10" t="inlineStr">
        <is>
          <t>平日</t>
        </is>
      </c>
      <c r="C6196" s="10" t="inlineStr">
        <is>
          <t>北野線</t>
        </is>
      </c>
      <c r="D6196" s="10" t="inlineStr">
        <is>
          <t>下り</t>
        </is>
      </c>
      <c r="E6196" t="inlineStr">
        <is>
          <t>0961</t>
        </is>
      </c>
      <c r="F6196" t="inlineStr">
        <is>
          <t>0453</t>
        </is>
      </c>
      <c r="G6196" s="10" t="inlineStr">
        <is>
          <t>龍安寺</t>
        </is>
      </c>
      <c r="H6196" s="10" t="inlineStr">
        <is>
          <t>発</t>
        </is>
      </c>
      <c r="J6196" s="10" t="inlineStr">
        <is>
          <t>営業</t>
        </is>
      </c>
      <c r="L6196" t="inlineStr">
        <is>
          <t>9:55:25</t>
        </is>
      </c>
      <c r="M6196" t="inlineStr">
        <is>
          <t>9:55:50</t>
        </is>
      </c>
    </row>
    <row r="6197" ht="15" customHeight="1" s="37">
      <c r="A6197" t="n">
        <v>16</v>
      </c>
      <c r="B6197" s="10" t="inlineStr">
        <is>
          <t>平日</t>
        </is>
      </c>
      <c r="C6197" s="10" t="inlineStr">
        <is>
          <t>北野線</t>
        </is>
      </c>
      <c r="D6197" s="10" t="inlineStr">
        <is>
          <t>下り</t>
        </is>
      </c>
      <c r="E6197" t="inlineStr">
        <is>
          <t>0961</t>
        </is>
      </c>
      <c r="F6197" t="inlineStr">
        <is>
          <t>0453</t>
        </is>
      </c>
      <c r="G6197" s="10" t="inlineStr">
        <is>
          <t>妙心寺</t>
        </is>
      </c>
      <c r="H6197" s="10" t="inlineStr">
        <is>
          <t>発</t>
        </is>
      </c>
      <c r="J6197" s="10" t="inlineStr">
        <is>
          <t>営業</t>
        </is>
      </c>
      <c r="L6197" t="inlineStr">
        <is>
          <t>9:56:40</t>
        </is>
      </c>
      <c r="M6197" t="inlineStr">
        <is>
          <t>9:56:50</t>
        </is>
      </c>
    </row>
    <row r="6198" ht="15" customHeight="1" s="37">
      <c r="A6198" t="n">
        <v>16</v>
      </c>
      <c r="B6198" s="10" t="inlineStr">
        <is>
          <t>平日</t>
        </is>
      </c>
      <c r="C6198" s="10" t="inlineStr">
        <is>
          <t>北野線</t>
        </is>
      </c>
      <c r="D6198" s="10" t="inlineStr">
        <is>
          <t>下り</t>
        </is>
      </c>
      <c r="E6198" t="inlineStr">
        <is>
          <t>0961</t>
        </is>
      </c>
      <c r="F6198" t="inlineStr">
        <is>
          <t>0453</t>
        </is>
      </c>
      <c r="G6198" s="10" t="inlineStr">
        <is>
          <t>御室仁和寺</t>
        </is>
      </c>
      <c r="H6198" s="10" t="inlineStr">
        <is>
          <t>発</t>
        </is>
      </c>
      <c r="J6198" s="10" t="inlineStr">
        <is>
          <t>営業</t>
        </is>
      </c>
      <c r="L6198" t="inlineStr">
        <is>
          <t>9:57:50</t>
        </is>
      </c>
      <c r="M6198" t="inlineStr">
        <is>
          <t>9:58:05</t>
        </is>
      </c>
    </row>
    <row r="6199" ht="15" customHeight="1" s="37">
      <c r="A6199" t="n">
        <v>16</v>
      </c>
      <c r="B6199" s="10" t="inlineStr">
        <is>
          <t>平日</t>
        </is>
      </c>
      <c r="C6199" s="10" t="inlineStr">
        <is>
          <t>北野線</t>
        </is>
      </c>
      <c r="D6199" s="10" t="inlineStr">
        <is>
          <t>下り</t>
        </is>
      </c>
      <c r="E6199" t="inlineStr">
        <is>
          <t>0961</t>
        </is>
      </c>
      <c r="F6199" t="inlineStr">
        <is>
          <t>0453</t>
        </is>
      </c>
      <c r="G6199" s="10" t="inlineStr">
        <is>
          <t>宇多野</t>
        </is>
      </c>
      <c r="H6199" s="10" t="inlineStr">
        <is>
          <t>発</t>
        </is>
      </c>
      <c r="J6199" s="10" t="inlineStr">
        <is>
          <t>営業</t>
        </is>
      </c>
      <c r="L6199" t="inlineStr">
        <is>
          <t>9:59:05</t>
        </is>
      </c>
      <c r="M6199" t="inlineStr">
        <is>
          <t>9:59:15</t>
        </is>
      </c>
    </row>
    <row r="6200" ht="15" customHeight="1" s="37">
      <c r="A6200" t="n">
        <v>16</v>
      </c>
      <c r="B6200" s="10" t="inlineStr">
        <is>
          <t>平日</t>
        </is>
      </c>
      <c r="C6200" s="10" t="inlineStr">
        <is>
          <t>北野線</t>
        </is>
      </c>
      <c r="D6200" s="10" t="inlineStr">
        <is>
          <t>下り</t>
        </is>
      </c>
      <c r="E6200" t="inlineStr">
        <is>
          <t>0961</t>
        </is>
      </c>
      <c r="F6200" t="inlineStr">
        <is>
          <t>0453</t>
        </is>
      </c>
      <c r="G6200" s="10" t="inlineStr">
        <is>
          <t>鳴滝</t>
        </is>
      </c>
      <c r="H6200" s="10" t="inlineStr">
        <is>
          <t>発</t>
        </is>
      </c>
      <c r="J6200" s="10" t="inlineStr">
        <is>
          <t>営業</t>
        </is>
      </c>
      <c r="L6200" t="inlineStr">
        <is>
          <t>10:00:35</t>
        </is>
      </c>
      <c r="M6200" t="inlineStr">
        <is>
          <t>10:00:45</t>
        </is>
      </c>
    </row>
    <row r="6201" ht="15" customHeight="1" s="37">
      <c r="A6201" t="n">
        <v>16</v>
      </c>
      <c r="B6201" s="10" t="inlineStr">
        <is>
          <t>平日</t>
        </is>
      </c>
      <c r="C6201" s="10" t="inlineStr">
        <is>
          <t>北野線</t>
        </is>
      </c>
      <c r="D6201" s="10" t="inlineStr">
        <is>
          <t>下り</t>
        </is>
      </c>
      <c r="E6201" t="inlineStr">
        <is>
          <t>0961</t>
        </is>
      </c>
      <c r="F6201" t="inlineStr">
        <is>
          <t>0453</t>
        </is>
      </c>
      <c r="G6201" s="10" t="inlineStr">
        <is>
          <t>常盤</t>
        </is>
      </c>
      <c r="H6201" s="10" t="inlineStr">
        <is>
          <t>発</t>
        </is>
      </c>
      <c r="J6201" s="10" t="inlineStr">
        <is>
          <t>営業</t>
        </is>
      </c>
      <c r="L6201" t="inlineStr">
        <is>
          <t>10:01:35</t>
        </is>
      </c>
      <c r="M6201" t="inlineStr">
        <is>
          <t>10:01:55</t>
        </is>
      </c>
    </row>
    <row r="6202" ht="15" customHeight="1" s="37">
      <c r="A6202" t="n">
        <v>16</v>
      </c>
      <c r="B6202" s="10" t="inlineStr">
        <is>
          <t>平日</t>
        </is>
      </c>
      <c r="C6202" s="10" t="inlineStr">
        <is>
          <t>北野線</t>
        </is>
      </c>
      <c r="D6202" s="10" t="inlineStr">
        <is>
          <t>下り</t>
        </is>
      </c>
      <c r="E6202" t="inlineStr">
        <is>
          <t>0961</t>
        </is>
      </c>
      <c r="F6202" t="inlineStr">
        <is>
          <t>0453</t>
        </is>
      </c>
      <c r="G6202" s="10" t="inlineStr">
        <is>
          <t>撮影所前</t>
        </is>
      </c>
      <c r="H6202" s="10" t="inlineStr">
        <is>
          <t>発</t>
        </is>
      </c>
      <c r="J6202" s="10" t="inlineStr">
        <is>
          <t>営業</t>
        </is>
      </c>
      <c r="L6202" t="inlineStr">
        <is>
          <t>10:03:15</t>
        </is>
      </c>
      <c r="M6202" t="inlineStr">
        <is>
          <t>10:03:30</t>
        </is>
      </c>
    </row>
    <row r="6203" ht="15" customHeight="1" s="37">
      <c r="A6203" t="n">
        <v>16</v>
      </c>
      <c r="B6203" s="10" t="inlineStr">
        <is>
          <t>平日</t>
        </is>
      </c>
      <c r="C6203" s="10" t="inlineStr">
        <is>
          <t>北野線</t>
        </is>
      </c>
      <c r="D6203" s="10" t="inlineStr">
        <is>
          <t>下り</t>
        </is>
      </c>
      <c r="E6203" t="inlineStr">
        <is>
          <t>0961</t>
        </is>
      </c>
      <c r="F6203" t="inlineStr">
        <is>
          <t>0453</t>
        </is>
      </c>
      <c r="G6203" s="10" t="inlineStr">
        <is>
          <t>帷子ノ辻</t>
        </is>
      </c>
      <c r="H6203" s="10" t="inlineStr">
        <is>
          <t>着</t>
        </is>
      </c>
      <c r="J6203" s="10" t="inlineStr">
        <is>
          <t>営業</t>
        </is>
      </c>
      <c r="L6203" t="inlineStr">
        <is>
          <t>10:04:25</t>
        </is>
      </c>
      <c r="Q6203" t="inlineStr">
        <is>
          <t>3</t>
        </is>
      </c>
    </row>
    <row r="6204" ht="15" customHeight="1" s="37">
      <c r="A6204" t="n">
        <v>16</v>
      </c>
      <c r="B6204" s="10" t="inlineStr">
        <is>
          <t>平日</t>
        </is>
      </c>
      <c r="C6204" s="10" t="inlineStr">
        <is>
          <t>北野線</t>
        </is>
      </c>
      <c r="D6204" s="10" t="inlineStr">
        <is>
          <t>上り</t>
        </is>
      </c>
      <c r="E6204" t="inlineStr">
        <is>
          <t>1054</t>
        </is>
      </c>
      <c r="F6204" t="inlineStr">
        <is>
          <t>0354</t>
        </is>
      </c>
      <c r="G6204" s="10" t="inlineStr">
        <is>
          <t>帷子ノ辻</t>
        </is>
      </c>
      <c r="H6204" s="10" t="inlineStr">
        <is>
          <t>発</t>
        </is>
      </c>
      <c r="J6204" s="10" t="inlineStr">
        <is>
          <t>営業</t>
        </is>
      </c>
      <c r="M6204" t="inlineStr">
        <is>
          <t>10:16:25</t>
        </is>
      </c>
      <c r="Q6204" t="inlineStr">
        <is>
          <t>3</t>
        </is>
      </c>
    </row>
    <row r="6205" ht="15" customHeight="1" s="37">
      <c r="A6205" t="n">
        <v>16</v>
      </c>
      <c r="B6205" s="10" t="inlineStr">
        <is>
          <t>平日</t>
        </is>
      </c>
      <c r="C6205" s="10" t="inlineStr">
        <is>
          <t>北野線</t>
        </is>
      </c>
      <c r="D6205" s="10" t="inlineStr">
        <is>
          <t>上り</t>
        </is>
      </c>
      <c r="E6205" t="inlineStr">
        <is>
          <t>1054</t>
        </is>
      </c>
      <c r="F6205" t="inlineStr">
        <is>
          <t>0354</t>
        </is>
      </c>
      <c r="G6205" s="10" t="inlineStr">
        <is>
          <t>撮影所前</t>
        </is>
      </c>
      <c r="H6205" s="10" t="inlineStr">
        <is>
          <t>発</t>
        </is>
      </c>
      <c r="J6205" s="10" t="inlineStr">
        <is>
          <t>営業</t>
        </is>
      </c>
      <c r="L6205" t="inlineStr">
        <is>
          <t>10:17:25</t>
        </is>
      </c>
      <c r="M6205" t="inlineStr">
        <is>
          <t>10:17:40</t>
        </is>
      </c>
    </row>
    <row r="6206" ht="15" customHeight="1" s="37">
      <c r="A6206" t="n">
        <v>16</v>
      </c>
      <c r="B6206" s="10" t="inlineStr">
        <is>
          <t>平日</t>
        </is>
      </c>
      <c r="C6206" s="10" t="inlineStr">
        <is>
          <t>北野線</t>
        </is>
      </c>
      <c r="D6206" s="10" t="inlineStr">
        <is>
          <t>上り</t>
        </is>
      </c>
      <c r="E6206" t="inlineStr">
        <is>
          <t>1054</t>
        </is>
      </c>
      <c r="F6206" t="inlineStr">
        <is>
          <t>0354</t>
        </is>
      </c>
      <c r="G6206" s="10" t="inlineStr">
        <is>
          <t>常盤</t>
        </is>
      </c>
      <c r="H6206" s="10" t="inlineStr">
        <is>
          <t>発</t>
        </is>
      </c>
      <c r="J6206" s="10" t="inlineStr">
        <is>
          <t>営業</t>
        </is>
      </c>
      <c r="L6206" t="inlineStr">
        <is>
          <t>10:19:00</t>
        </is>
      </c>
      <c r="M6206" t="inlineStr">
        <is>
          <t>10:19:20</t>
        </is>
      </c>
    </row>
    <row r="6207" ht="15" customHeight="1" s="37">
      <c r="A6207" t="n">
        <v>16</v>
      </c>
      <c r="B6207" s="10" t="inlineStr">
        <is>
          <t>平日</t>
        </is>
      </c>
      <c r="C6207" s="10" t="inlineStr">
        <is>
          <t>北野線</t>
        </is>
      </c>
      <c r="D6207" s="10" t="inlineStr">
        <is>
          <t>上り</t>
        </is>
      </c>
      <c r="E6207" t="inlineStr">
        <is>
          <t>1054</t>
        </is>
      </c>
      <c r="F6207" t="inlineStr">
        <is>
          <t>0354</t>
        </is>
      </c>
      <c r="G6207" s="10" t="inlineStr">
        <is>
          <t>鳴滝</t>
        </is>
      </c>
      <c r="H6207" s="10" t="inlineStr">
        <is>
          <t>発</t>
        </is>
      </c>
      <c r="J6207" s="10" t="inlineStr">
        <is>
          <t>営業</t>
        </is>
      </c>
      <c r="L6207" t="inlineStr">
        <is>
          <t>10:20:20</t>
        </is>
      </c>
      <c r="M6207" t="inlineStr">
        <is>
          <t>10:20:40</t>
        </is>
      </c>
    </row>
    <row r="6208" ht="15" customHeight="1" s="37">
      <c r="A6208" t="n">
        <v>16</v>
      </c>
      <c r="B6208" s="10" t="inlineStr">
        <is>
          <t>平日</t>
        </is>
      </c>
      <c r="C6208" s="10" t="inlineStr">
        <is>
          <t>北野線</t>
        </is>
      </c>
      <c r="D6208" s="10" t="inlineStr">
        <is>
          <t>上り</t>
        </is>
      </c>
      <c r="E6208" t="inlineStr">
        <is>
          <t>1054</t>
        </is>
      </c>
      <c r="F6208" t="inlineStr">
        <is>
          <t>0354</t>
        </is>
      </c>
      <c r="G6208" s="10" t="inlineStr">
        <is>
          <t>宇多野</t>
        </is>
      </c>
      <c r="H6208" s="10" t="inlineStr">
        <is>
          <t>発</t>
        </is>
      </c>
      <c r="J6208" s="10" t="inlineStr">
        <is>
          <t>営業</t>
        </is>
      </c>
      <c r="L6208" t="inlineStr">
        <is>
          <t>10:22:00</t>
        </is>
      </c>
      <c r="M6208" t="inlineStr">
        <is>
          <t>10:22:15</t>
        </is>
      </c>
    </row>
    <row r="6209" ht="15" customHeight="1" s="37">
      <c r="A6209" t="n">
        <v>16</v>
      </c>
      <c r="B6209" s="10" t="inlineStr">
        <is>
          <t>平日</t>
        </is>
      </c>
      <c r="C6209" s="10" t="inlineStr">
        <is>
          <t>北野線</t>
        </is>
      </c>
      <c r="D6209" s="10" t="inlineStr">
        <is>
          <t>上り</t>
        </is>
      </c>
      <c r="E6209" t="inlineStr">
        <is>
          <t>1054</t>
        </is>
      </c>
      <c r="F6209" t="inlineStr">
        <is>
          <t>0354</t>
        </is>
      </c>
      <c r="G6209" s="10" t="inlineStr">
        <is>
          <t>御室仁和寺</t>
        </is>
      </c>
      <c r="H6209" s="10" t="inlineStr">
        <is>
          <t>発</t>
        </is>
      </c>
      <c r="J6209" s="10" t="inlineStr">
        <is>
          <t>営業</t>
        </is>
      </c>
      <c r="L6209" t="inlineStr">
        <is>
          <t>10:23:15</t>
        </is>
      </c>
      <c r="M6209" t="inlineStr">
        <is>
          <t>10:23:35</t>
        </is>
      </c>
    </row>
    <row r="6210" ht="15" customHeight="1" s="37">
      <c r="A6210" t="n">
        <v>16</v>
      </c>
      <c r="B6210" s="10" t="inlineStr">
        <is>
          <t>平日</t>
        </is>
      </c>
      <c r="C6210" s="10" t="inlineStr">
        <is>
          <t>北野線</t>
        </is>
      </c>
      <c r="D6210" s="10" t="inlineStr">
        <is>
          <t>上り</t>
        </is>
      </c>
      <c r="E6210" t="inlineStr">
        <is>
          <t>1054</t>
        </is>
      </c>
      <c r="F6210" t="inlineStr">
        <is>
          <t>0354</t>
        </is>
      </c>
      <c r="G6210" s="10" t="inlineStr">
        <is>
          <t>妙心寺</t>
        </is>
      </c>
      <c r="H6210" s="10" t="inlineStr">
        <is>
          <t>発</t>
        </is>
      </c>
      <c r="J6210" s="10" t="inlineStr">
        <is>
          <t>営業</t>
        </is>
      </c>
      <c r="L6210" t="inlineStr">
        <is>
          <t>10:24:35</t>
        </is>
      </c>
      <c r="M6210" t="inlineStr">
        <is>
          <t>10:24:50</t>
        </is>
      </c>
    </row>
    <row r="6211" ht="15" customHeight="1" s="37">
      <c r="A6211" t="n">
        <v>16</v>
      </c>
      <c r="B6211" s="10" t="inlineStr">
        <is>
          <t>平日</t>
        </is>
      </c>
      <c r="C6211" s="10" t="inlineStr">
        <is>
          <t>北野線</t>
        </is>
      </c>
      <c r="D6211" s="10" t="inlineStr">
        <is>
          <t>上り</t>
        </is>
      </c>
      <c r="E6211" t="inlineStr">
        <is>
          <t>1054</t>
        </is>
      </c>
      <c r="F6211" t="inlineStr">
        <is>
          <t>0354</t>
        </is>
      </c>
      <c r="G6211" s="10" t="inlineStr">
        <is>
          <t>龍安寺</t>
        </is>
      </c>
      <c r="H6211" s="10" t="inlineStr">
        <is>
          <t>発</t>
        </is>
      </c>
      <c r="J6211" s="10" t="inlineStr">
        <is>
          <t>営業</t>
        </is>
      </c>
      <c r="L6211" t="inlineStr">
        <is>
          <t>10:25:45</t>
        </is>
      </c>
      <c r="M6211" t="inlineStr">
        <is>
          <t>10:25:55</t>
        </is>
      </c>
    </row>
    <row r="6212" ht="15" customHeight="1" s="37">
      <c r="A6212" t="n">
        <v>16</v>
      </c>
      <c r="B6212" s="10" t="inlineStr">
        <is>
          <t>平日</t>
        </is>
      </c>
      <c r="C6212" s="10" t="inlineStr">
        <is>
          <t>北野線</t>
        </is>
      </c>
      <c r="D6212" s="10" t="inlineStr">
        <is>
          <t>上り</t>
        </is>
      </c>
      <c r="E6212" t="inlineStr">
        <is>
          <t>1054</t>
        </is>
      </c>
      <c r="F6212" t="inlineStr">
        <is>
          <t>0354</t>
        </is>
      </c>
      <c r="G6212" s="10" t="inlineStr">
        <is>
          <t>等持院</t>
        </is>
      </c>
      <c r="H6212" s="10" t="inlineStr">
        <is>
          <t>発</t>
        </is>
      </c>
      <c r="J6212" s="10" t="inlineStr">
        <is>
          <t>営業</t>
        </is>
      </c>
      <c r="L6212" t="inlineStr">
        <is>
          <t>10:26:35</t>
        </is>
      </c>
      <c r="M6212" t="inlineStr">
        <is>
          <t>10:26:55</t>
        </is>
      </c>
    </row>
    <row r="6213" ht="15" customHeight="1" s="37">
      <c r="A6213" t="n">
        <v>16</v>
      </c>
      <c r="B6213" s="10" t="inlineStr">
        <is>
          <t>平日</t>
        </is>
      </c>
      <c r="C6213" s="10" t="inlineStr">
        <is>
          <t>北野線</t>
        </is>
      </c>
      <c r="D6213" s="10" t="inlineStr">
        <is>
          <t>上り</t>
        </is>
      </c>
      <c r="E6213" t="inlineStr">
        <is>
          <t>1054</t>
        </is>
      </c>
      <c r="F6213" t="inlineStr">
        <is>
          <t>0354</t>
        </is>
      </c>
      <c r="G6213" s="10" t="inlineStr">
        <is>
          <t>北野白梅町</t>
        </is>
      </c>
      <c r="H6213" s="10" t="inlineStr">
        <is>
          <t>着</t>
        </is>
      </c>
      <c r="J6213" s="10" t="inlineStr">
        <is>
          <t>営業</t>
        </is>
      </c>
      <c r="L6213" t="inlineStr">
        <is>
          <t>10:28:15</t>
        </is>
      </c>
      <c r="Q6213" t="inlineStr">
        <is>
          <t>1</t>
        </is>
      </c>
    </row>
    <row r="6214" ht="15" customHeight="1" s="37">
      <c r="A6214" t="n">
        <v>16</v>
      </c>
      <c r="B6214" s="10" t="inlineStr">
        <is>
          <t>平日</t>
        </is>
      </c>
      <c r="C6214" s="10" t="inlineStr">
        <is>
          <t>北野線</t>
        </is>
      </c>
      <c r="D6214" s="10" t="inlineStr">
        <is>
          <t>下り</t>
        </is>
      </c>
      <c r="E6214" t="inlineStr">
        <is>
          <t>1057</t>
        </is>
      </c>
      <c r="F6214" t="inlineStr">
        <is>
          <t>0453</t>
        </is>
      </c>
      <c r="G6214" s="10" t="inlineStr">
        <is>
          <t>北野白梅町</t>
        </is>
      </c>
      <c r="H6214" s="10" t="inlineStr">
        <is>
          <t>発</t>
        </is>
      </c>
      <c r="J6214" s="10" t="inlineStr">
        <is>
          <t>営業</t>
        </is>
      </c>
      <c r="M6214" t="inlineStr">
        <is>
          <t>10:33:00</t>
        </is>
      </c>
      <c r="Q6214" t="inlineStr">
        <is>
          <t>1</t>
        </is>
      </c>
    </row>
    <row r="6215" ht="15" customHeight="1" s="37">
      <c r="A6215" t="n">
        <v>16</v>
      </c>
      <c r="B6215" s="10" t="inlineStr">
        <is>
          <t>平日</t>
        </is>
      </c>
      <c r="C6215" s="10" t="inlineStr">
        <is>
          <t>北野線</t>
        </is>
      </c>
      <c r="D6215" s="10" t="inlineStr">
        <is>
          <t>下り</t>
        </is>
      </c>
      <c r="E6215" t="inlineStr">
        <is>
          <t>1057</t>
        </is>
      </c>
      <c r="F6215" t="inlineStr">
        <is>
          <t>0453</t>
        </is>
      </c>
      <c r="G6215" s="10" t="inlineStr">
        <is>
          <t>等持院</t>
        </is>
      </c>
      <c r="H6215" s="10" t="inlineStr">
        <is>
          <t>発</t>
        </is>
      </c>
      <c r="J6215" s="10" t="inlineStr">
        <is>
          <t>営業</t>
        </is>
      </c>
      <c r="L6215" t="inlineStr">
        <is>
          <t>10:34:25</t>
        </is>
      </c>
      <c r="M6215" t="inlineStr">
        <is>
          <t>10:34:35</t>
        </is>
      </c>
    </row>
    <row r="6216" ht="15" customHeight="1" s="37">
      <c r="A6216" t="n">
        <v>16</v>
      </c>
      <c r="B6216" s="10" t="inlineStr">
        <is>
          <t>平日</t>
        </is>
      </c>
      <c r="C6216" s="10" t="inlineStr">
        <is>
          <t>北野線</t>
        </is>
      </c>
      <c r="D6216" s="10" t="inlineStr">
        <is>
          <t>下り</t>
        </is>
      </c>
      <c r="E6216" t="inlineStr">
        <is>
          <t>1057</t>
        </is>
      </c>
      <c r="F6216" t="inlineStr">
        <is>
          <t>0453</t>
        </is>
      </c>
      <c r="G6216" s="10" t="inlineStr">
        <is>
          <t>龍安寺</t>
        </is>
      </c>
      <c r="H6216" s="10" t="inlineStr">
        <is>
          <t>発</t>
        </is>
      </c>
      <c r="J6216" s="10" t="inlineStr">
        <is>
          <t>営業</t>
        </is>
      </c>
      <c r="L6216" t="inlineStr">
        <is>
          <t>10:35:25</t>
        </is>
      </c>
      <c r="M6216" t="inlineStr">
        <is>
          <t>10:35:50</t>
        </is>
      </c>
    </row>
    <row r="6217" ht="15" customHeight="1" s="37">
      <c r="A6217" t="n">
        <v>16</v>
      </c>
      <c r="B6217" s="10" t="inlineStr">
        <is>
          <t>平日</t>
        </is>
      </c>
      <c r="C6217" s="10" t="inlineStr">
        <is>
          <t>北野線</t>
        </is>
      </c>
      <c r="D6217" s="10" t="inlineStr">
        <is>
          <t>下り</t>
        </is>
      </c>
      <c r="E6217" t="inlineStr">
        <is>
          <t>1057</t>
        </is>
      </c>
      <c r="F6217" t="inlineStr">
        <is>
          <t>0453</t>
        </is>
      </c>
      <c r="G6217" s="10" t="inlineStr">
        <is>
          <t>妙心寺</t>
        </is>
      </c>
      <c r="H6217" s="10" t="inlineStr">
        <is>
          <t>発</t>
        </is>
      </c>
      <c r="J6217" s="10" t="inlineStr">
        <is>
          <t>営業</t>
        </is>
      </c>
      <c r="L6217" t="inlineStr">
        <is>
          <t>10:36:40</t>
        </is>
      </c>
      <c r="M6217" t="inlineStr">
        <is>
          <t>10:36:50</t>
        </is>
      </c>
    </row>
    <row r="6218" ht="15" customHeight="1" s="37">
      <c r="A6218" t="n">
        <v>16</v>
      </c>
      <c r="B6218" s="10" t="inlineStr">
        <is>
          <t>平日</t>
        </is>
      </c>
      <c r="C6218" s="10" t="inlineStr">
        <is>
          <t>北野線</t>
        </is>
      </c>
      <c r="D6218" s="10" t="inlineStr">
        <is>
          <t>下り</t>
        </is>
      </c>
      <c r="E6218" t="inlineStr">
        <is>
          <t>1057</t>
        </is>
      </c>
      <c r="F6218" t="inlineStr">
        <is>
          <t>0453</t>
        </is>
      </c>
      <c r="G6218" s="10" t="inlineStr">
        <is>
          <t>御室仁和寺</t>
        </is>
      </c>
      <c r="H6218" s="10" t="inlineStr">
        <is>
          <t>発</t>
        </is>
      </c>
      <c r="J6218" s="10" t="inlineStr">
        <is>
          <t>営業</t>
        </is>
      </c>
      <c r="L6218" t="inlineStr">
        <is>
          <t>10:37:50</t>
        </is>
      </c>
      <c r="M6218" t="inlineStr">
        <is>
          <t>10:38:05</t>
        </is>
      </c>
    </row>
    <row r="6219" ht="15" customHeight="1" s="37">
      <c r="A6219" t="n">
        <v>16</v>
      </c>
      <c r="B6219" s="10" t="inlineStr">
        <is>
          <t>平日</t>
        </is>
      </c>
      <c r="C6219" s="10" t="inlineStr">
        <is>
          <t>北野線</t>
        </is>
      </c>
      <c r="D6219" s="10" t="inlineStr">
        <is>
          <t>下り</t>
        </is>
      </c>
      <c r="E6219" t="inlineStr">
        <is>
          <t>1057</t>
        </is>
      </c>
      <c r="F6219" t="inlineStr">
        <is>
          <t>0453</t>
        </is>
      </c>
      <c r="G6219" s="10" t="inlineStr">
        <is>
          <t>宇多野</t>
        </is>
      </c>
      <c r="H6219" s="10" t="inlineStr">
        <is>
          <t>発</t>
        </is>
      </c>
      <c r="J6219" s="10" t="inlineStr">
        <is>
          <t>営業</t>
        </is>
      </c>
      <c r="L6219" t="inlineStr">
        <is>
          <t>10:39:05</t>
        </is>
      </c>
      <c r="M6219" t="inlineStr">
        <is>
          <t>10:39:15</t>
        </is>
      </c>
    </row>
    <row r="6220" ht="15" customHeight="1" s="37">
      <c r="A6220" t="n">
        <v>16</v>
      </c>
      <c r="B6220" s="10" t="inlineStr">
        <is>
          <t>平日</t>
        </is>
      </c>
      <c r="C6220" s="10" t="inlineStr">
        <is>
          <t>北野線</t>
        </is>
      </c>
      <c r="D6220" s="10" t="inlineStr">
        <is>
          <t>下り</t>
        </is>
      </c>
      <c r="E6220" t="inlineStr">
        <is>
          <t>1057</t>
        </is>
      </c>
      <c r="F6220" t="inlineStr">
        <is>
          <t>0453</t>
        </is>
      </c>
      <c r="G6220" s="10" t="inlineStr">
        <is>
          <t>鳴滝</t>
        </is>
      </c>
      <c r="H6220" s="10" t="inlineStr">
        <is>
          <t>発</t>
        </is>
      </c>
      <c r="J6220" s="10" t="inlineStr">
        <is>
          <t>営業</t>
        </is>
      </c>
      <c r="L6220" t="inlineStr">
        <is>
          <t>10:40:35</t>
        </is>
      </c>
      <c r="M6220" t="inlineStr">
        <is>
          <t>10:40:45</t>
        </is>
      </c>
    </row>
    <row r="6221" ht="15" customHeight="1" s="37">
      <c r="A6221" t="n">
        <v>16</v>
      </c>
      <c r="B6221" s="10" t="inlineStr">
        <is>
          <t>平日</t>
        </is>
      </c>
      <c r="C6221" s="10" t="inlineStr">
        <is>
          <t>北野線</t>
        </is>
      </c>
      <c r="D6221" s="10" t="inlineStr">
        <is>
          <t>下り</t>
        </is>
      </c>
      <c r="E6221" t="inlineStr">
        <is>
          <t>1057</t>
        </is>
      </c>
      <c r="F6221" t="inlineStr">
        <is>
          <t>0453</t>
        </is>
      </c>
      <c r="G6221" s="10" t="inlineStr">
        <is>
          <t>常盤</t>
        </is>
      </c>
      <c r="H6221" s="10" t="inlineStr">
        <is>
          <t>発</t>
        </is>
      </c>
      <c r="J6221" s="10" t="inlineStr">
        <is>
          <t>営業</t>
        </is>
      </c>
      <c r="L6221" t="inlineStr">
        <is>
          <t>10:41:35</t>
        </is>
      </c>
      <c r="M6221" t="inlineStr">
        <is>
          <t>10:41:55</t>
        </is>
      </c>
    </row>
    <row r="6222" ht="15" customHeight="1" s="37">
      <c r="A6222" t="n">
        <v>16</v>
      </c>
      <c r="B6222" s="10" t="inlineStr">
        <is>
          <t>平日</t>
        </is>
      </c>
      <c r="C6222" s="10" t="inlineStr">
        <is>
          <t>北野線</t>
        </is>
      </c>
      <c r="D6222" s="10" t="inlineStr">
        <is>
          <t>下り</t>
        </is>
      </c>
      <c r="E6222" t="inlineStr">
        <is>
          <t>1057</t>
        </is>
      </c>
      <c r="F6222" t="inlineStr">
        <is>
          <t>0453</t>
        </is>
      </c>
      <c r="G6222" s="10" t="inlineStr">
        <is>
          <t>撮影所前</t>
        </is>
      </c>
      <c r="H6222" s="10" t="inlineStr">
        <is>
          <t>発</t>
        </is>
      </c>
      <c r="J6222" s="10" t="inlineStr">
        <is>
          <t>営業</t>
        </is>
      </c>
      <c r="L6222" t="inlineStr">
        <is>
          <t>10:43:15</t>
        </is>
      </c>
      <c r="M6222" t="inlineStr">
        <is>
          <t>10:43:30</t>
        </is>
      </c>
    </row>
    <row r="6223" ht="15" customHeight="1" s="37">
      <c r="A6223" t="n">
        <v>16</v>
      </c>
      <c r="B6223" s="10" t="inlineStr">
        <is>
          <t>平日</t>
        </is>
      </c>
      <c r="C6223" s="10" t="inlineStr">
        <is>
          <t>北野線</t>
        </is>
      </c>
      <c r="D6223" s="10" t="inlineStr">
        <is>
          <t>下り</t>
        </is>
      </c>
      <c r="E6223" t="inlineStr">
        <is>
          <t>1057</t>
        </is>
      </c>
      <c r="F6223" t="inlineStr">
        <is>
          <t>0453</t>
        </is>
      </c>
      <c r="G6223" s="10" t="inlineStr">
        <is>
          <t>帷子ノ辻</t>
        </is>
      </c>
      <c r="H6223" s="10" t="inlineStr">
        <is>
          <t>着</t>
        </is>
      </c>
      <c r="J6223" s="10" t="inlineStr">
        <is>
          <t>営業</t>
        </is>
      </c>
      <c r="L6223" t="inlineStr">
        <is>
          <t>10:44:25</t>
        </is>
      </c>
      <c r="Q6223" t="inlineStr">
        <is>
          <t>3</t>
        </is>
      </c>
    </row>
    <row r="6224" ht="15" customHeight="1" s="37">
      <c r="A6224" t="n">
        <v>16</v>
      </c>
      <c r="B6224" s="10" t="inlineStr">
        <is>
          <t>平日</t>
        </is>
      </c>
      <c r="C6224" s="10" t="inlineStr">
        <is>
          <t>北野線</t>
        </is>
      </c>
      <c r="D6224" s="10" t="inlineStr">
        <is>
          <t>上り</t>
        </is>
      </c>
      <c r="E6224" t="inlineStr">
        <is>
          <t>1062</t>
        </is>
      </c>
      <c r="F6224" t="inlineStr">
        <is>
          <t>0354</t>
        </is>
      </c>
      <c r="G6224" s="10" t="inlineStr">
        <is>
          <t>帷子ノ辻</t>
        </is>
      </c>
      <c r="H6224" s="10" t="inlineStr">
        <is>
          <t>発</t>
        </is>
      </c>
      <c r="J6224" s="10" t="inlineStr">
        <is>
          <t>営業</t>
        </is>
      </c>
      <c r="M6224" t="inlineStr">
        <is>
          <t>10:56:25</t>
        </is>
      </c>
      <c r="Q6224" t="inlineStr">
        <is>
          <t>3</t>
        </is>
      </c>
    </row>
    <row r="6225" ht="15" customHeight="1" s="37">
      <c r="A6225" t="n">
        <v>16</v>
      </c>
      <c r="B6225" s="10" t="inlineStr">
        <is>
          <t>平日</t>
        </is>
      </c>
      <c r="C6225" s="10" t="inlineStr">
        <is>
          <t>北野線</t>
        </is>
      </c>
      <c r="D6225" s="10" t="inlineStr">
        <is>
          <t>上り</t>
        </is>
      </c>
      <c r="E6225" t="inlineStr">
        <is>
          <t>1062</t>
        </is>
      </c>
      <c r="F6225" t="inlineStr">
        <is>
          <t>0354</t>
        </is>
      </c>
      <c r="G6225" s="10" t="inlineStr">
        <is>
          <t>撮影所前</t>
        </is>
      </c>
      <c r="H6225" s="10" t="inlineStr">
        <is>
          <t>発</t>
        </is>
      </c>
      <c r="J6225" s="10" t="inlineStr">
        <is>
          <t>営業</t>
        </is>
      </c>
      <c r="L6225" t="inlineStr">
        <is>
          <t>10:57:25</t>
        </is>
      </c>
      <c r="M6225" t="inlineStr">
        <is>
          <t>10:57:40</t>
        </is>
      </c>
    </row>
    <row r="6226" ht="15" customHeight="1" s="37">
      <c r="A6226" t="n">
        <v>16</v>
      </c>
      <c r="B6226" s="10" t="inlineStr">
        <is>
          <t>平日</t>
        </is>
      </c>
      <c r="C6226" s="10" t="inlineStr">
        <is>
          <t>北野線</t>
        </is>
      </c>
      <c r="D6226" s="10" t="inlineStr">
        <is>
          <t>上り</t>
        </is>
      </c>
      <c r="E6226" t="inlineStr">
        <is>
          <t>1062</t>
        </is>
      </c>
      <c r="F6226" t="inlineStr">
        <is>
          <t>0354</t>
        </is>
      </c>
      <c r="G6226" s="10" t="inlineStr">
        <is>
          <t>常盤</t>
        </is>
      </c>
      <c r="H6226" s="10" t="inlineStr">
        <is>
          <t>発</t>
        </is>
      </c>
      <c r="J6226" s="10" t="inlineStr">
        <is>
          <t>営業</t>
        </is>
      </c>
      <c r="L6226" t="inlineStr">
        <is>
          <t>10:59:00</t>
        </is>
      </c>
      <c r="M6226" t="inlineStr">
        <is>
          <t>10:59:20</t>
        </is>
      </c>
    </row>
    <row r="6227" ht="15" customHeight="1" s="37">
      <c r="A6227" t="n">
        <v>16</v>
      </c>
      <c r="B6227" s="10" t="inlineStr">
        <is>
          <t>平日</t>
        </is>
      </c>
      <c r="C6227" s="10" t="inlineStr">
        <is>
          <t>北野線</t>
        </is>
      </c>
      <c r="D6227" s="10" t="inlineStr">
        <is>
          <t>上り</t>
        </is>
      </c>
      <c r="E6227" t="inlineStr">
        <is>
          <t>1062</t>
        </is>
      </c>
      <c r="F6227" t="inlineStr">
        <is>
          <t>0354</t>
        </is>
      </c>
      <c r="G6227" s="10" t="inlineStr">
        <is>
          <t>鳴滝</t>
        </is>
      </c>
      <c r="H6227" s="10" t="inlineStr">
        <is>
          <t>発</t>
        </is>
      </c>
      <c r="J6227" s="10" t="inlineStr">
        <is>
          <t>営業</t>
        </is>
      </c>
      <c r="L6227" t="inlineStr">
        <is>
          <t>11:00:20</t>
        </is>
      </c>
      <c r="M6227" t="inlineStr">
        <is>
          <t>11:00:40</t>
        </is>
      </c>
    </row>
    <row r="6228" ht="15" customHeight="1" s="37">
      <c r="A6228" t="n">
        <v>16</v>
      </c>
      <c r="B6228" s="10" t="inlineStr">
        <is>
          <t>平日</t>
        </is>
      </c>
      <c r="C6228" s="10" t="inlineStr">
        <is>
          <t>北野線</t>
        </is>
      </c>
      <c r="D6228" s="10" t="inlineStr">
        <is>
          <t>上り</t>
        </is>
      </c>
      <c r="E6228" t="inlineStr">
        <is>
          <t>1062</t>
        </is>
      </c>
      <c r="F6228" t="inlineStr">
        <is>
          <t>0354</t>
        </is>
      </c>
      <c r="G6228" s="10" t="inlineStr">
        <is>
          <t>宇多野</t>
        </is>
      </c>
      <c r="H6228" s="10" t="inlineStr">
        <is>
          <t>発</t>
        </is>
      </c>
      <c r="J6228" s="10" t="inlineStr">
        <is>
          <t>営業</t>
        </is>
      </c>
      <c r="L6228" t="inlineStr">
        <is>
          <t>11:02:00</t>
        </is>
      </c>
      <c r="M6228" t="inlineStr">
        <is>
          <t>11:02:15</t>
        </is>
      </c>
    </row>
    <row r="6229" ht="15" customHeight="1" s="37">
      <c r="A6229" t="n">
        <v>16</v>
      </c>
      <c r="B6229" s="10" t="inlineStr">
        <is>
          <t>平日</t>
        </is>
      </c>
      <c r="C6229" s="10" t="inlineStr">
        <is>
          <t>北野線</t>
        </is>
      </c>
      <c r="D6229" s="10" t="inlineStr">
        <is>
          <t>上り</t>
        </is>
      </c>
      <c r="E6229" t="inlineStr">
        <is>
          <t>1062</t>
        </is>
      </c>
      <c r="F6229" t="inlineStr">
        <is>
          <t>0354</t>
        </is>
      </c>
      <c r="G6229" s="10" t="inlineStr">
        <is>
          <t>御室仁和寺</t>
        </is>
      </c>
      <c r="H6229" s="10" t="inlineStr">
        <is>
          <t>発</t>
        </is>
      </c>
      <c r="J6229" s="10" t="inlineStr">
        <is>
          <t>営業</t>
        </is>
      </c>
      <c r="L6229" t="inlineStr">
        <is>
          <t>11:03:15</t>
        </is>
      </c>
      <c r="M6229" t="inlineStr">
        <is>
          <t>11:03:35</t>
        </is>
      </c>
    </row>
    <row r="6230" ht="15" customHeight="1" s="37">
      <c r="A6230" t="n">
        <v>16</v>
      </c>
      <c r="B6230" s="10" t="inlineStr">
        <is>
          <t>平日</t>
        </is>
      </c>
      <c r="C6230" s="10" t="inlineStr">
        <is>
          <t>北野線</t>
        </is>
      </c>
      <c r="D6230" s="10" t="inlineStr">
        <is>
          <t>上り</t>
        </is>
      </c>
      <c r="E6230" t="inlineStr">
        <is>
          <t>1062</t>
        </is>
      </c>
      <c r="F6230" t="inlineStr">
        <is>
          <t>0354</t>
        </is>
      </c>
      <c r="G6230" s="10" t="inlineStr">
        <is>
          <t>妙心寺</t>
        </is>
      </c>
      <c r="H6230" s="10" t="inlineStr">
        <is>
          <t>発</t>
        </is>
      </c>
      <c r="J6230" s="10" t="inlineStr">
        <is>
          <t>営業</t>
        </is>
      </c>
      <c r="L6230" t="inlineStr">
        <is>
          <t>11:04:35</t>
        </is>
      </c>
      <c r="M6230" t="inlineStr">
        <is>
          <t>11:04:50</t>
        </is>
      </c>
    </row>
    <row r="6231" ht="15" customHeight="1" s="37">
      <c r="A6231" t="n">
        <v>16</v>
      </c>
      <c r="B6231" s="10" t="inlineStr">
        <is>
          <t>平日</t>
        </is>
      </c>
      <c r="C6231" s="10" t="inlineStr">
        <is>
          <t>北野線</t>
        </is>
      </c>
      <c r="D6231" s="10" t="inlineStr">
        <is>
          <t>上り</t>
        </is>
      </c>
      <c r="E6231" t="inlineStr">
        <is>
          <t>1062</t>
        </is>
      </c>
      <c r="F6231" t="inlineStr">
        <is>
          <t>0354</t>
        </is>
      </c>
      <c r="G6231" s="10" t="inlineStr">
        <is>
          <t>龍安寺</t>
        </is>
      </c>
      <c r="H6231" s="10" t="inlineStr">
        <is>
          <t>発</t>
        </is>
      </c>
      <c r="J6231" s="10" t="inlineStr">
        <is>
          <t>営業</t>
        </is>
      </c>
      <c r="L6231" t="inlineStr">
        <is>
          <t>11:05:45</t>
        </is>
      </c>
      <c r="M6231" t="inlineStr">
        <is>
          <t>11:05:55</t>
        </is>
      </c>
    </row>
    <row r="6232" ht="15" customHeight="1" s="37">
      <c r="A6232" t="n">
        <v>16</v>
      </c>
      <c r="B6232" s="10" t="inlineStr">
        <is>
          <t>平日</t>
        </is>
      </c>
      <c r="C6232" s="10" t="inlineStr">
        <is>
          <t>北野線</t>
        </is>
      </c>
      <c r="D6232" s="10" t="inlineStr">
        <is>
          <t>上り</t>
        </is>
      </c>
      <c r="E6232" t="inlineStr">
        <is>
          <t>1062</t>
        </is>
      </c>
      <c r="F6232" t="inlineStr">
        <is>
          <t>0354</t>
        </is>
      </c>
      <c r="G6232" s="10" t="inlineStr">
        <is>
          <t>等持院</t>
        </is>
      </c>
      <c r="H6232" s="10" t="inlineStr">
        <is>
          <t>発</t>
        </is>
      </c>
      <c r="J6232" s="10" t="inlineStr">
        <is>
          <t>営業</t>
        </is>
      </c>
      <c r="L6232" t="inlineStr">
        <is>
          <t>11:06:35</t>
        </is>
      </c>
      <c r="M6232" t="inlineStr">
        <is>
          <t>11:06:55</t>
        </is>
      </c>
    </row>
    <row r="6233" ht="15" customHeight="1" s="37">
      <c r="A6233" t="n">
        <v>16</v>
      </c>
      <c r="B6233" s="10" t="inlineStr">
        <is>
          <t>平日</t>
        </is>
      </c>
      <c r="C6233" s="10" t="inlineStr">
        <is>
          <t>北野線</t>
        </is>
      </c>
      <c r="D6233" s="10" t="inlineStr">
        <is>
          <t>上り</t>
        </is>
      </c>
      <c r="E6233" t="inlineStr">
        <is>
          <t>1062</t>
        </is>
      </c>
      <c r="F6233" t="inlineStr">
        <is>
          <t>0354</t>
        </is>
      </c>
      <c r="G6233" s="10" t="inlineStr">
        <is>
          <t>北野白梅町</t>
        </is>
      </c>
      <c r="H6233" s="10" t="inlineStr">
        <is>
          <t>着</t>
        </is>
      </c>
      <c r="J6233" s="10" t="inlineStr">
        <is>
          <t>営業</t>
        </is>
      </c>
      <c r="L6233" t="inlineStr">
        <is>
          <t>11:08:15</t>
        </is>
      </c>
      <c r="Q6233" t="inlineStr">
        <is>
          <t>1</t>
        </is>
      </c>
    </row>
    <row r="6234" ht="15" customHeight="1" s="37">
      <c r="A6234" t="n">
        <v>16</v>
      </c>
      <c r="B6234" s="10" t="inlineStr">
        <is>
          <t>平日</t>
        </is>
      </c>
      <c r="C6234" s="10" t="inlineStr">
        <is>
          <t>北野線</t>
        </is>
      </c>
      <c r="D6234" s="10" t="inlineStr">
        <is>
          <t>下り</t>
        </is>
      </c>
      <c r="E6234" t="inlineStr">
        <is>
          <t>1153</t>
        </is>
      </c>
      <c r="F6234" t="inlineStr">
        <is>
          <t>0453</t>
        </is>
      </c>
      <c r="G6234" s="10" t="inlineStr">
        <is>
          <t>北野白梅町</t>
        </is>
      </c>
      <c r="H6234" s="10" t="inlineStr">
        <is>
          <t>発</t>
        </is>
      </c>
      <c r="J6234" s="10" t="inlineStr">
        <is>
          <t>営業</t>
        </is>
      </c>
      <c r="M6234" t="inlineStr">
        <is>
          <t>11:13:00</t>
        </is>
      </c>
      <c r="Q6234" t="inlineStr">
        <is>
          <t>1</t>
        </is>
      </c>
    </row>
    <row r="6235" ht="15" customHeight="1" s="37">
      <c r="A6235" t="n">
        <v>16</v>
      </c>
      <c r="B6235" s="10" t="inlineStr">
        <is>
          <t>平日</t>
        </is>
      </c>
      <c r="C6235" s="10" t="inlineStr">
        <is>
          <t>北野線</t>
        </is>
      </c>
      <c r="D6235" s="10" t="inlineStr">
        <is>
          <t>下り</t>
        </is>
      </c>
      <c r="E6235" t="inlineStr">
        <is>
          <t>1153</t>
        </is>
      </c>
      <c r="F6235" t="inlineStr">
        <is>
          <t>0453</t>
        </is>
      </c>
      <c r="G6235" s="10" t="inlineStr">
        <is>
          <t>等持院</t>
        </is>
      </c>
      <c r="H6235" s="10" t="inlineStr">
        <is>
          <t>発</t>
        </is>
      </c>
      <c r="J6235" s="10" t="inlineStr">
        <is>
          <t>営業</t>
        </is>
      </c>
      <c r="L6235" t="inlineStr">
        <is>
          <t>11:14:25</t>
        </is>
      </c>
      <c r="M6235" t="inlineStr">
        <is>
          <t>11:14:35</t>
        </is>
      </c>
    </row>
    <row r="6236" ht="15" customHeight="1" s="37">
      <c r="A6236" t="n">
        <v>16</v>
      </c>
      <c r="B6236" s="10" t="inlineStr">
        <is>
          <t>平日</t>
        </is>
      </c>
      <c r="C6236" s="10" t="inlineStr">
        <is>
          <t>北野線</t>
        </is>
      </c>
      <c r="D6236" s="10" t="inlineStr">
        <is>
          <t>下り</t>
        </is>
      </c>
      <c r="E6236" t="inlineStr">
        <is>
          <t>1153</t>
        </is>
      </c>
      <c r="F6236" t="inlineStr">
        <is>
          <t>0453</t>
        </is>
      </c>
      <c r="G6236" s="10" t="inlineStr">
        <is>
          <t>龍安寺</t>
        </is>
      </c>
      <c r="H6236" s="10" t="inlineStr">
        <is>
          <t>発</t>
        </is>
      </c>
      <c r="J6236" s="10" t="inlineStr">
        <is>
          <t>営業</t>
        </is>
      </c>
      <c r="L6236" t="inlineStr">
        <is>
          <t>11:15:25</t>
        </is>
      </c>
      <c r="M6236" t="inlineStr">
        <is>
          <t>11:15:50</t>
        </is>
      </c>
    </row>
    <row r="6237" ht="15" customHeight="1" s="37">
      <c r="A6237" t="n">
        <v>16</v>
      </c>
      <c r="B6237" s="10" t="inlineStr">
        <is>
          <t>平日</t>
        </is>
      </c>
      <c r="C6237" s="10" t="inlineStr">
        <is>
          <t>北野線</t>
        </is>
      </c>
      <c r="D6237" s="10" t="inlineStr">
        <is>
          <t>下り</t>
        </is>
      </c>
      <c r="E6237" t="inlineStr">
        <is>
          <t>1153</t>
        </is>
      </c>
      <c r="F6237" t="inlineStr">
        <is>
          <t>0453</t>
        </is>
      </c>
      <c r="G6237" s="10" t="inlineStr">
        <is>
          <t>妙心寺</t>
        </is>
      </c>
      <c r="H6237" s="10" t="inlineStr">
        <is>
          <t>発</t>
        </is>
      </c>
      <c r="J6237" s="10" t="inlineStr">
        <is>
          <t>営業</t>
        </is>
      </c>
      <c r="L6237" t="inlineStr">
        <is>
          <t>11:16:40</t>
        </is>
      </c>
      <c r="M6237" t="inlineStr">
        <is>
          <t>11:16:50</t>
        </is>
      </c>
    </row>
    <row r="6238" ht="15" customHeight="1" s="37">
      <c r="A6238" t="n">
        <v>16</v>
      </c>
      <c r="B6238" s="10" t="inlineStr">
        <is>
          <t>平日</t>
        </is>
      </c>
      <c r="C6238" s="10" t="inlineStr">
        <is>
          <t>北野線</t>
        </is>
      </c>
      <c r="D6238" s="10" t="inlineStr">
        <is>
          <t>下り</t>
        </is>
      </c>
      <c r="E6238" t="inlineStr">
        <is>
          <t>1153</t>
        </is>
      </c>
      <c r="F6238" t="inlineStr">
        <is>
          <t>0453</t>
        </is>
      </c>
      <c r="G6238" s="10" t="inlineStr">
        <is>
          <t>御室仁和寺</t>
        </is>
      </c>
      <c r="H6238" s="10" t="inlineStr">
        <is>
          <t>発</t>
        </is>
      </c>
      <c r="J6238" s="10" t="inlineStr">
        <is>
          <t>営業</t>
        </is>
      </c>
      <c r="L6238" t="inlineStr">
        <is>
          <t>11:17:50</t>
        </is>
      </c>
      <c r="M6238" t="inlineStr">
        <is>
          <t>11:18:05</t>
        </is>
      </c>
    </row>
    <row r="6239" ht="15" customHeight="1" s="37">
      <c r="A6239" t="n">
        <v>16</v>
      </c>
      <c r="B6239" s="10" t="inlineStr">
        <is>
          <t>平日</t>
        </is>
      </c>
      <c r="C6239" s="10" t="inlineStr">
        <is>
          <t>北野線</t>
        </is>
      </c>
      <c r="D6239" s="10" t="inlineStr">
        <is>
          <t>下り</t>
        </is>
      </c>
      <c r="E6239" t="inlineStr">
        <is>
          <t>1153</t>
        </is>
      </c>
      <c r="F6239" t="inlineStr">
        <is>
          <t>0453</t>
        </is>
      </c>
      <c r="G6239" s="10" t="inlineStr">
        <is>
          <t>宇多野</t>
        </is>
      </c>
      <c r="H6239" s="10" t="inlineStr">
        <is>
          <t>発</t>
        </is>
      </c>
      <c r="J6239" s="10" t="inlineStr">
        <is>
          <t>営業</t>
        </is>
      </c>
      <c r="L6239" t="inlineStr">
        <is>
          <t>11:19:05</t>
        </is>
      </c>
      <c r="M6239" t="inlineStr">
        <is>
          <t>11:19:15</t>
        </is>
      </c>
    </row>
    <row r="6240" ht="15" customHeight="1" s="37">
      <c r="A6240" t="n">
        <v>16</v>
      </c>
      <c r="B6240" s="10" t="inlineStr">
        <is>
          <t>平日</t>
        </is>
      </c>
      <c r="C6240" s="10" t="inlineStr">
        <is>
          <t>北野線</t>
        </is>
      </c>
      <c r="D6240" s="10" t="inlineStr">
        <is>
          <t>下り</t>
        </is>
      </c>
      <c r="E6240" t="inlineStr">
        <is>
          <t>1153</t>
        </is>
      </c>
      <c r="F6240" t="inlineStr">
        <is>
          <t>0453</t>
        </is>
      </c>
      <c r="G6240" s="10" t="inlineStr">
        <is>
          <t>鳴滝</t>
        </is>
      </c>
      <c r="H6240" s="10" t="inlineStr">
        <is>
          <t>発</t>
        </is>
      </c>
      <c r="J6240" s="10" t="inlineStr">
        <is>
          <t>営業</t>
        </is>
      </c>
      <c r="L6240" t="inlineStr">
        <is>
          <t>11:20:35</t>
        </is>
      </c>
      <c r="M6240" t="inlineStr">
        <is>
          <t>11:20:45</t>
        </is>
      </c>
    </row>
    <row r="6241" ht="15" customHeight="1" s="37">
      <c r="A6241" t="n">
        <v>16</v>
      </c>
      <c r="B6241" s="10" t="inlineStr">
        <is>
          <t>平日</t>
        </is>
      </c>
      <c r="C6241" s="10" t="inlineStr">
        <is>
          <t>北野線</t>
        </is>
      </c>
      <c r="D6241" s="10" t="inlineStr">
        <is>
          <t>下り</t>
        </is>
      </c>
      <c r="E6241" t="inlineStr">
        <is>
          <t>1153</t>
        </is>
      </c>
      <c r="F6241" t="inlineStr">
        <is>
          <t>0453</t>
        </is>
      </c>
      <c r="G6241" s="10" t="inlineStr">
        <is>
          <t>常盤</t>
        </is>
      </c>
      <c r="H6241" s="10" t="inlineStr">
        <is>
          <t>発</t>
        </is>
      </c>
      <c r="J6241" s="10" t="inlineStr">
        <is>
          <t>営業</t>
        </is>
      </c>
      <c r="L6241" t="inlineStr">
        <is>
          <t>11:21:35</t>
        </is>
      </c>
      <c r="M6241" t="inlineStr">
        <is>
          <t>11:21:55</t>
        </is>
      </c>
    </row>
    <row r="6242" ht="15" customHeight="1" s="37">
      <c r="A6242" t="n">
        <v>16</v>
      </c>
      <c r="B6242" s="10" t="inlineStr">
        <is>
          <t>平日</t>
        </is>
      </c>
      <c r="C6242" s="10" t="inlineStr">
        <is>
          <t>北野線</t>
        </is>
      </c>
      <c r="D6242" s="10" t="inlineStr">
        <is>
          <t>下り</t>
        </is>
      </c>
      <c r="E6242" t="inlineStr">
        <is>
          <t>1153</t>
        </is>
      </c>
      <c r="F6242" t="inlineStr">
        <is>
          <t>0453</t>
        </is>
      </c>
      <c r="G6242" s="10" t="inlineStr">
        <is>
          <t>撮影所前</t>
        </is>
      </c>
      <c r="H6242" s="10" t="inlineStr">
        <is>
          <t>発</t>
        </is>
      </c>
      <c r="J6242" s="10" t="inlineStr">
        <is>
          <t>営業</t>
        </is>
      </c>
      <c r="L6242" t="inlineStr">
        <is>
          <t>11:23:15</t>
        </is>
      </c>
      <c r="M6242" t="inlineStr">
        <is>
          <t>11:23:30</t>
        </is>
      </c>
    </row>
    <row r="6243" ht="15" customHeight="1" s="37">
      <c r="A6243" t="n">
        <v>16</v>
      </c>
      <c r="B6243" s="10" t="inlineStr">
        <is>
          <t>平日</t>
        </is>
      </c>
      <c r="C6243" s="10" t="inlineStr">
        <is>
          <t>北野線</t>
        </is>
      </c>
      <c r="D6243" s="10" t="inlineStr">
        <is>
          <t>下り</t>
        </is>
      </c>
      <c r="E6243" t="inlineStr">
        <is>
          <t>1153</t>
        </is>
      </c>
      <c r="F6243" t="inlineStr">
        <is>
          <t>0453</t>
        </is>
      </c>
      <c r="G6243" s="10" t="inlineStr">
        <is>
          <t>帷子ノ辻</t>
        </is>
      </c>
      <c r="H6243" s="10" t="inlineStr">
        <is>
          <t>着</t>
        </is>
      </c>
      <c r="J6243" s="10" t="inlineStr">
        <is>
          <t>営業</t>
        </is>
      </c>
      <c r="L6243" t="inlineStr">
        <is>
          <t>11:24:25</t>
        </is>
      </c>
      <c r="Q6243" t="inlineStr">
        <is>
          <t>3</t>
        </is>
      </c>
    </row>
    <row r="6244" ht="15" customHeight="1" s="37">
      <c r="A6244" t="n">
        <v>16</v>
      </c>
      <c r="B6244" s="10" t="inlineStr">
        <is>
          <t>平日</t>
        </is>
      </c>
      <c r="C6244" s="10" t="inlineStr">
        <is>
          <t>北野線</t>
        </is>
      </c>
      <c r="D6244" s="10" t="inlineStr">
        <is>
          <t>上り</t>
        </is>
      </c>
      <c r="E6244" t="inlineStr">
        <is>
          <t>1158</t>
        </is>
      </c>
      <c r="F6244" t="inlineStr">
        <is>
          <t>0354</t>
        </is>
      </c>
      <c r="G6244" s="10" t="inlineStr">
        <is>
          <t>帷子ノ辻</t>
        </is>
      </c>
      <c r="H6244" s="10" t="inlineStr">
        <is>
          <t>発</t>
        </is>
      </c>
      <c r="J6244" s="10" t="inlineStr">
        <is>
          <t>営業</t>
        </is>
      </c>
      <c r="M6244" t="inlineStr">
        <is>
          <t>11:36:25</t>
        </is>
      </c>
      <c r="Q6244" t="inlineStr">
        <is>
          <t>3</t>
        </is>
      </c>
    </row>
    <row r="6245" ht="15" customHeight="1" s="37">
      <c r="A6245" t="n">
        <v>16</v>
      </c>
      <c r="B6245" s="10" t="inlineStr">
        <is>
          <t>平日</t>
        </is>
      </c>
      <c r="C6245" s="10" t="inlineStr">
        <is>
          <t>北野線</t>
        </is>
      </c>
      <c r="D6245" s="10" t="inlineStr">
        <is>
          <t>上り</t>
        </is>
      </c>
      <c r="E6245" t="inlineStr">
        <is>
          <t>1158</t>
        </is>
      </c>
      <c r="F6245" t="inlineStr">
        <is>
          <t>0354</t>
        </is>
      </c>
      <c r="G6245" s="10" t="inlineStr">
        <is>
          <t>撮影所前</t>
        </is>
      </c>
      <c r="H6245" s="10" t="inlineStr">
        <is>
          <t>発</t>
        </is>
      </c>
      <c r="J6245" s="10" t="inlineStr">
        <is>
          <t>営業</t>
        </is>
      </c>
      <c r="L6245" t="inlineStr">
        <is>
          <t>11:37:25</t>
        </is>
      </c>
      <c r="M6245" t="inlineStr">
        <is>
          <t>11:37:40</t>
        </is>
      </c>
    </row>
    <row r="6246" ht="15" customHeight="1" s="37">
      <c r="A6246" t="n">
        <v>16</v>
      </c>
      <c r="B6246" s="10" t="inlineStr">
        <is>
          <t>平日</t>
        </is>
      </c>
      <c r="C6246" s="10" t="inlineStr">
        <is>
          <t>北野線</t>
        </is>
      </c>
      <c r="D6246" s="10" t="inlineStr">
        <is>
          <t>上り</t>
        </is>
      </c>
      <c r="E6246" t="inlineStr">
        <is>
          <t>1158</t>
        </is>
      </c>
      <c r="F6246" t="inlineStr">
        <is>
          <t>0354</t>
        </is>
      </c>
      <c r="G6246" s="10" t="inlineStr">
        <is>
          <t>常盤</t>
        </is>
      </c>
      <c r="H6246" s="10" t="inlineStr">
        <is>
          <t>発</t>
        </is>
      </c>
      <c r="J6246" s="10" t="inlineStr">
        <is>
          <t>営業</t>
        </is>
      </c>
      <c r="L6246" t="inlineStr">
        <is>
          <t>11:39:00</t>
        </is>
      </c>
      <c r="M6246" t="inlineStr">
        <is>
          <t>11:39:20</t>
        </is>
      </c>
    </row>
    <row r="6247" ht="15" customHeight="1" s="37">
      <c r="A6247" t="n">
        <v>16</v>
      </c>
      <c r="B6247" s="10" t="inlineStr">
        <is>
          <t>平日</t>
        </is>
      </c>
      <c r="C6247" s="10" t="inlineStr">
        <is>
          <t>北野線</t>
        </is>
      </c>
      <c r="D6247" s="10" t="inlineStr">
        <is>
          <t>上り</t>
        </is>
      </c>
      <c r="E6247" t="inlineStr">
        <is>
          <t>1158</t>
        </is>
      </c>
      <c r="F6247" t="inlineStr">
        <is>
          <t>0354</t>
        </is>
      </c>
      <c r="G6247" s="10" t="inlineStr">
        <is>
          <t>鳴滝</t>
        </is>
      </c>
      <c r="H6247" s="10" t="inlineStr">
        <is>
          <t>発</t>
        </is>
      </c>
      <c r="J6247" s="10" t="inlineStr">
        <is>
          <t>営業</t>
        </is>
      </c>
      <c r="L6247" t="inlineStr">
        <is>
          <t>11:40:20</t>
        </is>
      </c>
      <c r="M6247" t="inlineStr">
        <is>
          <t>11:40:40</t>
        </is>
      </c>
    </row>
    <row r="6248" ht="15" customHeight="1" s="37">
      <c r="A6248" t="n">
        <v>16</v>
      </c>
      <c r="B6248" s="10" t="inlineStr">
        <is>
          <t>平日</t>
        </is>
      </c>
      <c r="C6248" s="10" t="inlineStr">
        <is>
          <t>北野線</t>
        </is>
      </c>
      <c r="D6248" s="10" t="inlineStr">
        <is>
          <t>上り</t>
        </is>
      </c>
      <c r="E6248" t="inlineStr">
        <is>
          <t>1158</t>
        </is>
      </c>
      <c r="F6248" t="inlineStr">
        <is>
          <t>0354</t>
        </is>
      </c>
      <c r="G6248" s="10" t="inlineStr">
        <is>
          <t>宇多野</t>
        </is>
      </c>
      <c r="H6248" s="10" t="inlineStr">
        <is>
          <t>発</t>
        </is>
      </c>
      <c r="J6248" s="10" t="inlineStr">
        <is>
          <t>営業</t>
        </is>
      </c>
      <c r="L6248" t="inlineStr">
        <is>
          <t>11:42:00</t>
        </is>
      </c>
      <c r="M6248" t="inlineStr">
        <is>
          <t>11:42:15</t>
        </is>
      </c>
    </row>
    <row r="6249" ht="15" customHeight="1" s="37">
      <c r="A6249" t="n">
        <v>16</v>
      </c>
      <c r="B6249" s="10" t="inlineStr">
        <is>
          <t>平日</t>
        </is>
      </c>
      <c r="C6249" s="10" t="inlineStr">
        <is>
          <t>北野線</t>
        </is>
      </c>
      <c r="D6249" s="10" t="inlineStr">
        <is>
          <t>上り</t>
        </is>
      </c>
      <c r="E6249" t="inlineStr">
        <is>
          <t>1158</t>
        </is>
      </c>
      <c r="F6249" t="inlineStr">
        <is>
          <t>0354</t>
        </is>
      </c>
      <c r="G6249" s="10" t="inlineStr">
        <is>
          <t>御室仁和寺</t>
        </is>
      </c>
      <c r="H6249" s="10" t="inlineStr">
        <is>
          <t>発</t>
        </is>
      </c>
      <c r="J6249" s="10" t="inlineStr">
        <is>
          <t>営業</t>
        </is>
      </c>
      <c r="L6249" t="inlineStr">
        <is>
          <t>11:43:15</t>
        </is>
      </c>
      <c r="M6249" t="inlineStr">
        <is>
          <t>11:43:35</t>
        </is>
      </c>
    </row>
    <row r="6250" ht="15" customHeight="1" s="37">
      <c r="A6250" t="n">
        <v>16</v>
      </c>
      <c r="B6250" s="10" t="inlineStr">
        <is>
          <t>平日</t>
        </is>
      </c>
      <c r="C6250" s="10" t="inlineStr">
        <is>
          <t>北野線</t>
        </is>
      </c>
      <c r="D6250" s="10" t="inlineStr">
        <is>
          <t>上り</t>
        </is>
      </c>
      <c r="E6250" t="inlineStr">
        <is>
          <t>1158</t>
        </is>
      </c>
      <c r="F6250" t="inlineStr">
        <is>
          <t>0354</t>
        </is>
      </c>
      <c r="G6250" s="10" t="inlineStr">
        <is>
          <t>妙心寺</t>
        </is>
      </c>
      <c r="H6250" s="10" t="inlineStr">
        <is>
          <t>発</t>
        </is>
      </c>
      <c r="J6250" s="10" t="inlineStr">
        <is>
          <t>営業</t>
        </is>
      </c>
      <c r="L6250" t="inlineStr">
        <is>
          <t>11:44:35</t>
        </is>
      </c>
      <c r="M6250" t="inlineStr">
        <is>
          <t>11:44:50</t>
        </is>
      </c>
    </row>
    <row r="6251" ht="15" customHeight="1" s="37">
      <c r="A6251" t="n">
        <v>16</v>
      </c>
      <c r="B6251" s="10" t="inlineStr">
        <is>
          <t>平日</t>
        </is>
      </c>
      <c r="C6251" s="10" t="inlineStr">
        <is>
          <t>北野線</t>
        </is>
      </c>
      <c r="D6251" s="10" t="inlineStr">
        <is>
          <t>上り</t>
        </is>
      </c>
      <c r="E6251" t="inlineStr">
        <is>
          <t>1158</t>
        </is>
      </c>
      <c r="F6251" t="inlineStr">
        <is>
          <t>0354</t>
        </is>
      </c>
      <c r="G6251" s="10" t="inlineStr">
        <is>
          <t>龍安寺</t>
        </is>
      </c>
      <c r="H6251" s="10" t="inlineStr">
        <is>
          <t>発</t>
        </is>
      </c>
      <c r="J6251" s="10" t="inlineStr">
        <is>
          <t>営業</t>
        </is>
      </c>
      <c r="L6251" t="inlineStr">
        <is>
          <t>11:45:45</t>
        </is>
      </c>
      <c r="M6251" t="inlineStr">
        <is>
          <t>11:45:55</t>
        </is>
      </c>
    </row>
    <row r="6252" ht="15" customHeight="1" s="37">
      <c r="A6252" t="n">
        <v>16</v>
      </c>
      <c r="B6252" s="10" t="inlineStr">
        <is>
          <t>平日</t>
        </is>
      </c>
      <c r="C6252" s="10" t="inlineStr">
        <is>
          <t>北野線</t>
        </is>
      </c>
      <c r="D6252" s="10" t="inlineStr">
        <is>
          <t>上り</t>
        </is>
      </c>
      <c r="E6252" t="inlineStr">
        <is>
          <t>1158</t>
        </is>
      </c>
      <c r="F6252" t="inlineStr">
        <is>
          <t>0354</t>
        </is>
      </c>
      <c r="G6252" s="10" t="inlineStr">
        <is>
          <t>等持院</t>
        </is>
      </c>
      <c r="H6252" s="10" t="inlineStr">
        <is>
          <t>発</t>
        </is>
      </c>
      <c r="J6252" s="10" t="inlineStr">
        <is>
          <t>営業</t>
        </is>
      </c>
      <c r="L6252" t="inlineStr">
        <is>
          <t>11:46:35</t>
        </is>
      </c>
      <c r="M6252" t="inlineStr">
        <is>
          <t>11:46:55</t>
        </is>
      </c>
    </row>
    <row r="6253" ht="15" customHeight="1" s="37">
      <c r="A6253" t="n">
        <v>16</v>
      </c>
      <c r="B6253" s="10" t="inlineStr">
        <is>
          <t>平日</t>
        </is>
      </c>
      <c r="C6253" s="10" t="inlineStr">
        <is>
          <t>北野線</t>
        </is>
      </c>
      <c r="D6253" s="10" t="inlineStr">
        <is>
          <t>上り</t>
        </is>
      </c>
      <c r="E6253" t="inlineStr">
        <is>
          <t>1158</t>
        </is>
      </c>
      <c r="F6253" t="inlineStr">
        <is>
          <t>0354</t>
        </is>
      </c>
      <c r="G6253" s="10" t="inlineStr">
        <is>
          <t>北野白梅町</t>
        </is>
      </c>
      <c r="H6253" s="10" t="inlineStr">
        <is>
          <t>着</t>
        </is>
      </c>
      <c r="J6253" s="10" t="inlineStr">
        <is>
          <t>営業</t>
        </is>
      </c>
      <c r="L6253" t="inlineStr">
        <is>
          <t>11:48:15</t>
        </is>
      </c>
      <c r="Q6253" t="inlineStr">
        <is>
          <t>1</t>
        </is>
      </c>
    </row>
    <row r="6254" ht="15" customHeight="1" s="37">
      <c r="A6254" t="n">
        <v>16</v>
      </c>
      <c r="B6254" s="10" t="inlineStr">
        <is>
          <t>平日</t>
        </is>
      </c>
      <c r="C6254" s="10" t="inlineStr">
        <is>
          <t>北野線</t>
        </is>
      </c>
      <c r="D6254" s="10" t="inlineStr">
        <is>
          <t>下り</t>
        </is>
      </c>
      <c r="E6254" t="inlineStr">
        <is>
          <t>1161</t>
        </is>
      </c>
      <c r="F6254" t="inlineStr">
        <is>
          <t>0453</t>
        </is>
      </c>
      <c r="G6254" s="10" t="inlineStr">
        <is>
          <t>北野白梅町</t>
        </is>
      </c>
      <c r="H6254" s="10" t="inlineStr">
        <is>
          <t>発</t>
        </is>
      </c>
      <c r="J6254" s="10" t="inlineStr">
        <is>
          <t>営業</t>
        </is>
      </c>
      <c r="M6254" t="inlineStr">
        <is>
          <t>11:53:00</t>
        </is>
      </c>
      <c r="Q6254" t="inlineStr">
        <is>
          <t>1</t>
        </is>
      </c>
    </row>
    <row r="6255" ht="15" customHeight="1" s="37">
      <c r="A6255" t="n">
        <v>16</v>
      </c>
      <c r="B6255" s="10" t="inlineStr">
        <is>
          <t>平日</t>
        </is>
      </c>
      <c r="C6255" s="10" t="inlineStr">
        <is>
          <t>北野線</t>
        </is>
      </c>
      <c r="D6255" s="10" t="inlineStr">
        <is>
          <t>下り</t>
        </is>
      </c>
      <c r="E6255" t="inlineStr">
        <is>
          <t>1161</t>
        </is>
      </c>
      <c r="F6255" t="inlineStr">
        <is>
          <t>0453</t>
        </is>
      </c>
      <c r="G6255" s="10" t="inlineStr">
        <is>
          <t>等持院</t>
        </is>
      </c>
      <c r="H6255" s="10" t="inlineStr">
        <is>
          <t>発</t>
        </is>
      </c>
      <c r="J6255" s="10" t="inlineStr">
        <is>
          <t>営業</t>
        </is>
      </c>
      <c r="L6255" t="inlineStr">
        <is>
          <t>11:54:25</t>
        </is>
      </c>
      <c r="M6255" t="inlineStr">
        <is>
          <t>11:54:35</t>
        </is>
      </c>
    </row>
    <row r="6256" ht="15" customHeight="1" s="37">
      <c r="A6256" t="n">
        <v>16</v>
      </c>
      <c r="B6256" s="10" t="inlineStr">
        <is>
          <t>平日</t>
        </is>
      </c>
      <c r="C6256" s="10" t="inlineStr">
        <is>
          <t>北野線</t>
        </is>
      </c>
      <c r="D6256" s="10" t="inlineStr">
        <is>
          <t>下り</t>
        </is>
      </c>
      <c r="E6256" t="inlineStr">
        <is>
          <t>1161</t>
        </is>
      </c>
      <c r="F6256" t="inlineStr">
        <is>
          <t>0453</t>
        </is>
      </c>
      <c r="G6256" s="10" t="inlineStr">
        <is>
          <t>龍安寺</t>
        </is>
      </c>
      <c r="H6256" s="10" t="inlineStr">
        <is>
          <t>発</t>
        </is>
      </c>
      <c r="J6256" s="10" t="inlineStr">
        <is>
          <t>営業</t>
        </is>
      </c>
      <c r="L6256" t="inlineStr">
        <is>
          <t>11:55:25</t>
        </is>
      </c>
      <c r="M6256" t="inlineStr">
        <is>
          <t>11:55:50</t>
        </is>
      </c>
    </row>
    <row r="6257" ht="15" customHeight="1" s="37">
      <c r="A6257" t="n">
        <v>16</v>
      </c>
      <c r="B6257" s="10" t="inlineStr">
        <is>
          <t>平日</t>
        </is>
      </c>
      <c r="C6257" s="10" t="inlineStr">
        <is>
          <t>北野線</t>
        </is>
      </c>
      <c r="D6257" s="10" t="inlineStr">
        <is>
          <t>下り</t>
        </is>
      </c>
      <c r="E6257" t="inlineStr">
        <is>
          <t>1161</t>
        </is>
      </c>
      <c r="F6257" t="inlineStr">
        <is>
          <t>0453</t>
        </is>
      </c>
      <c r="G6257" s="10" t="inlineStr">
        <is>
          <t>妙心寺</t>
        </is>
      </c>
      <c r="H6257" s="10" t="inlineStr">
        <is>
          <t>発</t>
        </is>
      </c>
      <c r="J6257" s="10" t="inlineStr">
        <is>
          <t>営業</t>
        </is>
      </c>
      <c r="L6257" t="inlineStr">
        <is>
          <t>11:56:40</t>
        </is>
      </c>
      <c r="M6257" t="inlineStr">
        <is>
          <t>11:56:50</t>
        </is>
      </c>
    </row>
    <row r="6258" ht="15" customHeight="1" s="37">
      <c r="A6258" t="n">
        <v>16</v>
      </c>
      <c r="B6258" s="10" t="inlineStr">
        <is>
          <t>平日</t>
        </is>
      </c>
      <c r="C6258" s="10" t="inlineStr">
        <is>
          <t>北野線</t>
        </is>
      </c>
      <c r="D6258" s="10" t="inlineStr">
        <is>
          <t>下り</t>
        </is>
      </c>
      <c r="E6258" t="inlineStr">
        <is>
          <t>1161</t>
        </is>
      </c>
      <c r="F6258" t="inlineStr">
        <is>
          <t>0453</t>
        </is>
      </c>
      <c r="G6258" s="10" t="inlineStr">
        <is>
          <t>御室仁和寺</t>
        </is>
      </c>
      <c r="H6258" s="10" t="inlineStr">
        <is>
          <t>発</t>
        </is>
      </c>
      <c r="J6258" s="10" t="inlineStr">
        <is>
          <t>営業</t>
        </is>
      </c>
      <c r="L6258" t="inlineStr">
        <is>
          <t>11:57:50</t>
        </is>
      </c>
      <c r="M6258" t="inlineStr">
        <is>
          <t>11:58:05</t>
        </is>
      </c>
    </row>
    <row r="6259" ht="15" customHeight="1" s="37">
      <c r="A6259" t="n">
        <v>16</v>
      </c>
      <c r="B6259" s="10" t="inlineStr">
        <is>
          <t>平日</t>
        </is>
      </c>
      <c r="C6259" s="10" t="inlineStr">
        <is>
          <t>北野線</t>
        </is>
      </c>
      <c r="D6259" s="10" t="inlineStr">
        <is>
          <t>下り</t>
        </is>
      </c>
      <c r="E6259" t="inlineStr">
        <is>
          <t>1161</t>
        </is>
      </c>
      <c r="F6259" t="inlineStr">
        <is>
          <t>0453</t>
        </is>
      </c>
      <c r="G6259" s="10" t="inlineStr">
        <is>
          <t>宇多野</t>
        </is>
      </c>
      <c r="H6259" s="10" t="inlineStr">
        <is>
          <t>発</t>
        </is>
      </c>
      <c r="J6259" s="10" t="inlineStr">
        <is>
          <t>営業</t>
        </is>
      </c>
      <c r="L6259" t="inlineStr">
        <is>
          <t>11:59:05</t>
        </is>
      </c>
      <c r="M6259" t="inlineStr">
        <is>
          <t>11:59:15</t>
        </is>
      </c>
    </row>
    <row r="6260" ht="15" customHeight="1" s="37">
      <c r="A6260" t="n">
        <v>16</v>
      </c>
      <c r="B6260" s="10" t="inlineStr">
        <is>
          <t>平日</t>
        </is>
      </c>
      <c r="C6260" s="10" t="inlineStr">
        <is>
          <t>北野線</t>
        </is>
      </c>
      <c r="D6260" s="10" t="inlineStr">
        <is>
          <t>下り</t>
        </is>
      </c>
      <c r="E6260" t="inlineStr">
        <is>
          <t>1161</t>
        </is>
      </c>
      <c r="F6260" t="inlineStr">
        <is>
          <t>0453</t>
        </is>
      </c>
      <c r="G6260" s="10" t="inlineStr">
        <is>
          <t>鳴滝</t>
        </is>
      </c>
      <c r="H6260" s="10" t="inlineStr">
        <is>
          <t>発</t>
        </is>
      </c>
      <c r="J6260" s="10" t="inlineStr">
        <is>
          <t>営業</t>
        </is>
      </c>
      <c r="L6260" t="inlineStr">
        <is>
          <t>12:00:35</t>
        </is>
      </c>
      <c r="M6260" t="inlineStr">
        <is>
          <t>12:00:45</t>
        </is>
      </c>
    </row>
    <row r="6261" ht="15" customHeight="1" s="37">
      <c r="A6261" t="n">
        <v>16</v>
      </c>
      <c r="B6261" s="10" t="inlineStr">
        <is>
          <t>平日</t>
        </is>
      </c>
      <c r="C6261" s="10" t="inlineStr">
        <is>
          <t>北野線</t>
        </is>
      </c>
      <c r="D6261" s="10" t="inlineStr">
        <is>
          <t>下り</t>
        </is>
      </c>
      <c r="E6261" t="inlineStr">
        <is>
          <t>1161</t>
        </is>
      </c>
      <c r="F6261" t="inlineStr">
        <is>
          <t>0453</t>
        </is>
      </c>
      <c r="G6261" s="10" t="inlineStr">
        <is>
          <t>常盤</t>
        </is>
      </c>
      <c r="H6261" s="10" t="inlineStr">
        <is>
          <t>発</t>
        </is>
      </c>
      <c r="J6261" s="10" t="inlineStr">
        <is>
          <t>営業</t>
        </is>
      </c>
      <c r="L6261" t="inlineStr">
        <is>
          <t>12:01:35</t>
        </is>
      </c>
      <c r="M6261" t="inlineStr">
        <is>
          <t>12:01:55</t>
        </is>
      </c>
    </row>
    <row r="6262" ht="15" customHeight="1" s="37">
      <c r="A6262" t="n">
        <v>16</v>
      </c>
      <c r="B6262" s="10" t="inlineStr">
        <is>
          <t>平日</t>
        </is>
      </c>
      <c r="C6262" s="10" t="inlineStr">
        <is>
          <t>北野線</t>
        </is>
      </c>
      <c r="D6262" s="10" t="inlineStr">
        <is>
          <t>下り</t>
        </is>
      </c>
      <c r="E6262" t="inlineStr">
        <is>
          <t>1161</t>
        </is>
      </c>
      <c r="F6262" t="inlineStr">
        <is>
          <t>0453</t>
        </is>
      </c>
      <c r="G6262" s="10" t="inlineStr">
        <is>
          <t>撮影所前</t>
        </is>
      </c>
      <c r="H6262" s="10" t="inlineStr">
        <is>
          <t>発</t>
        </is>
      </c>
      <c r="J6262" s="10" t="inlineStr">
        <is>
          <t>営業</t>
        </is>
      </c>
      <c r="L6262" t="inlineStr">
        <is>
          <t>12:03:15</t>
        </is>
      </c>
      <c r="M6262" t="inlineStr">
        <is>
          <t>12:03:30</t>
        </is>
      </c>
    </row>
    <row r="6263" ht="15" customHeight="1" s="37">
      <c r="A6263" t="n">
        <v>16</v>
      </c>
      <c r="B6263" s="10" t="inlineStr">
        <is>
          <t>平日</t>
        </is>
      </c>
      <c r="C6263" s="10" t="inlineStr">
        <is>
          <t>北野線</t>
        </is>
      </c>
      <c r="D6263" s="10" t="inlineStr">
        <is>
          <t>下り</t>
        </is>
      </c>
      <c r="E6263" t="inlineStr">
        <is>
          <t>1161</t>
        </is>
      </c>
      <c r="F6263" t="inlineStr">
        <is>
          <t>0453</t>
        </is>
      </c>
      <c r="G6263" s="10" t="inlineStr">
        <is>
          <t>帷子ノ辻</t>
        </is>
      </c>
      <c r="H6263" s="10" t="inlineStr">
        <is>
          <t>着</t>
        </is>
      </c>
      <c r="J6263" s="10" t="inlineStr">
        <is>
          <t>営業</t>
        </is>
      </c>
      <c r="L6263" t="inlineStr">
        <is>
          <t>12:04:25</t>
        </is>
      </c>
      <c r="Q6263" t="inlineStr">
        <is>
          <t>3</t>
        </is>
      </c>
    </row>
    <row r="6264" ht="15" customHeight="1" s="37">
      <c r="A6264" t="n">
        <v>16</v>
      </c>
      <c r="B6264" s="10" t="inlineStr">
        <is>
          <t>平日</t>
        </is>
      </c>
      <c r="C6264" s="10" t="inlineStr">
        <is>
          <t>北野線</t>
        </is>
      </c>
      <c r="D6264" s="10" t="inlineStr">
        <is>
          <t>上り</t>
        </is>
      </c>
      <c r="E6264" t="inlineStr">
        <is>
          <t>1256</t>
        </is>
      </c>
      <c r="F6264" t="inlineStr">
        <is>
          <t>0354</t>
        </is>
      </c>
      <c r="G6264" s="10" t="inlineStr">
        <is>
          <t>帷子ノ辻</t>
        </is>
      </c>
      <c r="H6264" s="10" t="inlineStr">
        <is>
          <t>発</t>
        </is>
      </c>
      <c r="J6264" s="10" t="inlineStr">
        <is>
          <t>営業</t>
        </is>
      </c>
      <c r="M6264" t="inlineStr">
        <is>
          <t>12:26:25</t>
        </is>
      </c>
      <c r="Q6264" t="inlineStr">
        <is>
          <t>4</t>
        </is>
      </c>
    </row>
    <row r="6265" ht="15" customHeight="1" s="37">
      <c r="A6265" t="n">
        <v>16</v>
      </c>
      <c r="B6265" s="10" t="inlineStr">
        <is>
          <t>平日</t>
        </is>
      </c>
      <c r="C6265" s="10" t="inlineStr">
        <is>
          <t>北野線</t>
        </is>
      </c>
      <c r="D6265" s="10" t="inlineStr">
        <is>
          <t>上り</t>
        </is>
      </c>
      <c r="E6265" t="inlineStr">
        <is>
          <t>1256</t>
        </is>
      </c>
      <c r="F6265" t="inlineStr">
        <is>
          <t>0354</t>
        </is>
      </c>
      <c r="G6265" s="10" t="inlineStr">
        <is>
          <t>撮影所前</t>
        </is>
      </c>
      <c r="H6265" s="10" t="inlineStr">
        <is>
          <t>発</t>
        </is>
      </c>
      <c r="J6265" s="10" t="inlineStr">
        <is>
          <t>営業</t>
        </is>
      </c>
      <c r="L6265" t="inlineStr">
        <is>
          <t>12:27:25</t>
        </is>
      </c>
      <c r="M6265" t="inlineStr">
        <is>
          <t>12:27:40</t>
        </is>
      </c>
    </row>
    <row r="6266" ht="15" customHeight="1" s="37">
      <c r="A6266" t="n">
        <v>16</v>
      </c>
      <c r="B6266" s="10" t="inlineStr">
        <is>
          <t>平日</t>
        </is>
      </c>
      <c r="C6266" s="10" t="inlineStr">
        <is>
          <t>北野線</t>
        </is>
      </c>
      <c r="D6266" s="10" t="inlineStr">
        <is>
          <t>上り</t>
        </is>
      </c>
      <c r="E6266" t="inlineStr">
        <is>
          <t>1256</t>
        </is>
      </c>
      <c r="F6266" t="inlineStr">
        <is>
          <t>0354</t>
        </is>
      </c>
      <c r="G6266" s="10" t="inlineStr">
        <is>
          <t>常盤</t>
        </is>
      </c>
      <c r="H6266" s="10" t="inlineStr">
        <is>
          <t>発</t>
        </is>
      </c>
      <c r="J6266" s="10" t="inlineStr">
        <is>
          <t>営業</t>
        </is>
      </c>
      <c r="L6266" t="inlineStr">
        <is>
          <t>12:29:00</t>
        </is>
      </c>
      <c r="M6266" t="inlineStr">
        <is>
          <t>12:29:20</t>
        </is>
      </c>
    </row>
    <row r="6267" ht="15" customHeight="1" s="37">
      <c r="A6267" t="n">
        <v>16</v>
      </c>
      <c r="B6267" s="10" t="inlineStr">
        <is>
          <t>平日</t>
        </is>
      </c>
      <c r="C6267" s="10" t="inlineStr">
        <is>
          <t>北野線</t>
        </is>
      </c>
      <c r="D6267" s="10" t="inlineStr">
        <is>
          <t>上り</t>
        </is>
      </c>
      <c r="E6267" t="inlineStr">
        <is>
          <t>1256</t>
        </is>
      </c>
      <c r="F6267" t="inlineStr">
        <is>
          <t>0354</t>
        </is>
      </c>
      <c r="G6267" s="10" t="inlineStr">
        <is>
          <t>鳴滝</t>
        </is>
      </c>
      <c r="H6267" s="10" t="inlineStr">
        <is>
          <t>発</t>
        </is>
      </c>
      <c r="J6267" s="10" t="inlineStr">
        <is>
          <t>営業</t>
        </is>
      </c>
      <c r="L6267" t="inlineStr">
        <is>
          <t>12:30:20</t>
        </is>
      </c>
      <c r="M6267" t="inlineStr">
        <is>
          <t>12:30:40</t>
        </is>
      </c>
    </row>
    <row r="6268" ht="15" customHeight="1" s="37">
      <c r="A6268" t="n">
        <v>16</v>
      </c>
      <c r="B6268" s="10" t="inlineStr">
        <is>
          <t>平日</t>
        </is>
      </c>
      <c r="C6268" s="10" t="inlineStr">
        <is>
          <t>北野線</t>
        </is>
      </c>
      <c r="D6268" s="10" t="inlineStr">
        <is>
          <t>上り</t>
        </is>
      </c>
      <c r="E6268" t="inlineStr">
        <is>
          <t>1256</t>
        </is>
      </c>
      <c r="F6268" t="inlineStr">
        <is>
          <t>0354</t>
        </is>
      </c>
      <c r="G6268" s="10" t="inlineStr">
        <is>
          <t>宇多野</t>
        </is>
      </c>
      <c r="H6268" s="10" t="inlineStr">
        <is>
          <t>発</t>
        </is>
      </c>
      <c r="J6268" s="10" t="inlineStr">
        <is>
          <t>営業</t>
        </is>
      </c>
      <c r="L6268" t="inlineStr">
        <is>
          <t>12:32:00</t>
        </is>
      </c>
      <c r="M6268" t="inlineStr">
        <is>
          <t>12:32:15</t>
        </is>
      </c>
    </row>
    <row r="6269" ht="15" customHeight="1" s="37">
      <c r="A6269" t="n">
        <v>16</v>
      </c>
      <c r="B6269" s="10" t="inlineStr">
        <is>
          <t>平日</t>
        </is>
      </c>
      <c r="C6269" s="10" t="inlineStr">
        <is>
          <t>北野線</t>
        </is>
      </c>
      <c r="D6269" s="10" t="inlineStr">
        <is>
          <t>上り</t>
        </is>
      </c>
      <c r="E6269" t="inlineStr">
        <is>
          <t>1256</t>
        </is>
      </c>
      <c r="F6269" t="inlineStr">
        <is>
          <t>0354</t>
        </is>
      </c>
      <c r="G6269" s="10" t="inlineStr">
        <is>
          <t>御室仁和寺</t>
        </is>
      </c>
      <c r="H6269" s="10" t="inlineStr">
        <is>
          <t>発</t>
        </is>
      </c>
      <c r="J6269" s="10" t="inlineStr">
        <is>
          <t>営業</t>
        </is>
      </c>
      <c r="L6269" t="inlineStr">
        <is>
          <t>12:33:15</t>
        </is>
      </c>
      <c r="M6269" t="inlineStr">
        <is>
          <t>12:33:35</t>
        </is>
      </c>
    </row>
    <row r="6270" ht="15" customHeight="1" s="37">
      <c r="A6270" t="n">
        <v>16</v>
      </c>
      <c r="B6270" s="10" t="inlineStr">
        <is>
          <t>平日</t>
        </is>
      </c>
      <c r="C6270" s="10" t="inlineStr">
        <is>
          <t>北野線</t>
        </is>
      </c>
      <c r="D6270" s="10" t="inlineStr">
        <is>
          <t>上り</t>
        </is>
      </c>
      <c r="E6270" t="inlineStr">
        <is>
          <t>1256</t>
        </is>
      </c>
      <c r="F6270" t="inlineStr">
        <is>
          <t>0354</t>
        </is>
      </c>
      <c r="G6270" s="10" t="inlineStr">
        <is>
          <t>妙心寺</t>
        </is>
      </c>
      <c r="H6270" s="10" t="inlineStr">
        <is>
          <t>発</t>
        </is>
      </c>
      <c r="J6270" s="10" t="inlineStr">
        <is>
          <t>営業</t>
        </is>
      </c>
      <c r="L6270" t="inlineStr">
        <is>
          <t>12:34:35</t>
        </is>
      </c>
      <c r="M6270" t="inlineStr">
        <is>
          <t>12:34:50</t>
        </is>
      </c>
    </row>
    <row r="6271" ht="15" customHeight="1" s="37">
      <c r="A6271" t="n">
        <v>16</v>
      </c>
      <c r="B6271" s="10" t="inlineStr">
        <is>
          <t>平日</t>
        </is>
      </c>
      <c r="C6271" s="10" t="inlineStr">
        <is>
          <t>北野線</t>
        </is>
      </c>
      <c r="D6271" s="10" t="inlineStr">
        <is>
          <t>上り</t>
        </is>
      </c>
      <c r="E6271" t="inlineStr">
        <is>
          <t>1256</t>
        </is>
      </c>
      <c r="F6271" t="inlineStr">
        <is>
          <t>0354</t>
        </is>
      </c>
      <c r="G6271" s="10" t="inlineStr">
        <is>
          <t>龍安寺</t>
        </is>
      </c>
      <c r="H6271" s="10" t="inlineStr">
        <is>
          <t>発</t>
        </is>
      </c>
      <c r="J6271" s="10" t="inlineStr">
        <is>
          <t>営業</t>
        </is>
      </c>
      <c r="L6271" t="inlineStr">
        <is>
          <t>12:35:45</t>
        </is>
      </c>
      <c r="M6271" t="inlineStr">
        <is>
          <t>12:35:55</t>
        </is>
      </c>
    </row>
    <row r="6272" ht="15" customHeight="1" s="37">
      <c r="A6272" t="n">
        <v>16</v>
      </c>
      <c r="B6272" s="10" t="inlineStr">
        <is>
          <t>平日</t>
        </is>
      </c>
      <c r="C6272" s="10" t="inlineStr">
        <is>
          <t>北野線</t>
        </is>
      </c>
      <c r="D6272" s="10" t="inlineStr">
        <is>
          <t>上り</t>
        </is>
      </c>
      <c r="E6272" t="inlineStr">
        <is>
          <t>1256</t>
        </is>
      </c>
      <c r="F6272" t="inlineStr">
        <is>
          <t>0354</t>
        </is>
      </c>
      <c r="G6272" s="10" t="inlineStr">
        <is>
          <t>等持院</t>
        </is>
      </c>
      <c r="H6272" s="10" t="inlineStr">
        <is>
          <t>発</t>
        </is>
      </c>
      <c r="J6272" s="10" t="inlineStr">
        <is>
          <t>営業</t>
        </is>
      </c>
      <c r="L6272" t="inlineStr">
        <is>
          <t>12:36:35</t>
        </is>
      </c>
      <c r="M6272" t="inlineStr">
        <is>
          <t>12:36:55</t>
        </is>
      </c>
    </row>
    <row r="6273" ht="15" customHeight="1" s="37">
      <c r="A6273" t="n">
        <v>16</v>
      </c>
      <c r="B6273" s="10" t="inlineStr">
        <is>
          <t>平日</t>
        </is>
      </c>
      <c r="C6273" s="10" t="inlineStr">
        <is>
          <t>北野線</t>
        </is>
      </c>
      <c r="D6273" s="10" t="inlineStr">
        <is>
          <t>上り</t>
        </is>
      </c>
      <c r="E6273" t="inlineStr">
        <is>
          <t>1256</t>
        </is>
      </c>
      <c r="F6273" t="inlineStr">
        <is>
          <t>0354</t>
        </is>
      </c>
      <c r="G6273" s="10" t="inlineStr">
        <is>
          <t>北野白梅町</t>
        </is>
      </c>
      <c r="H6273" s="10" t="inlineStr">
        <is>
          <t>着</t>
        </is>
      </c>
      <c r="J6273" s="10" t="inlineStr">
        <is>
          <t>営業</t>
        </is>
      </c>
      <c r="L6273" t="inlineStr">
        <is>
          <t>12:38:15</t>
        </is>
      </c>
      <c r="Q6273" t="inlineStr">
        <is>
          <t>1</t>
        </is>
      </c>
    </row>
    <row r="6274" ht="15" customHeight="1" s="37">
      <c r="A6274" t="n">
        <v>16</v>
      </c>
      <c r="B6274" s="10" t="inlineStr">
        <is>
          <t>平日</t>
        </is>
      </c>
      <c r="C6274" s="10" t="inlineStr">
        <is>
          <t>北野線</t>
        </is>
      </c>
      <c r="D6274" s="10" t="inlineStr">
        <is>
          <t>下り</t>
        </is>
      </c>
      <c r="E6274" t="inlineStr">
        <is>
          <t>1259</t>
        </is>
      </c>
      <c r="F6274" t="inlineStr">
        <is>
          <t>0453</t>
        </is>
      </c>
      <c r="G6274" s="10" t="inlineStr">
        <is>
          <t>北野白梅町</t>
        </is>
      </c>
      <c r="H6274" s="10" t="inlineStr">
        <is>
          <t>発</t>
        </is>
      </c>
      <c r="J6274" s="10" t="inlineStr">
        <is>
          <t>営業</t>
        </is>
      </c>
      <c r="M6274" t="inlineStr">
        <is>
          <t>12:43:00</t>
        </is>
      </c>
      <c r="Q6274" t="inlineStr">
        <is>
          <t>1</t>
        </is>
      </c>
    </row>
    <row r="6275" ht="15" customHeight="1" s="37">
      <c r="A6275" t="n">
        <v>16</v>
      </c>
      <c r="B6275" s="10" t="inlineStr">
        <is>
          <t>平日</t>
        </is>
      </c>
      <c r="C6275" s="10" t="inlineStr">
        <is>
          <t>北野線</t>
        </is>
      </c>
      <c r="D6275" s="10" t="inlineStr">
        <is>
          <t>下り</t>
        </is>
      </c>
      <c r="E6275" t="inlineStr">
        <is>
          <t>1259</t>
        </is>
      </c>
      <c r="F6275" t="inlineStr">
        <is>
          <t>0453</t>
        </is>
      </c>
      <c r="G6275" s="10" t="inlineStr">
        <is>
          <t>等持院</t>
        </is>
      </c>
      <c r="H6275" s="10" t="inlineStr">
        <is>
          <t>発</t>
        </is>
      </c>
      <c r="J6275" s="10" t="inlineStr">
        <is>
          <t>営業</t>
        </is>
      </c>
      <c r="L6275" t="inlineStr">
        <is>
          <t>12:44:25</t>
        </is>
      </c>
      <c r="M6275" t="inlineStr">
        <is>
          <t>12:44:35</t>
        </is>
      </c>
    </row>
    <row r="6276" ht="15" customHeight="1" s="37">
      <c r="A6276" t="n">
        <v>16</v>
      </c>
      <c r="B6276" s="10" t="inlineStr">
        <is>
          <t>平日</t>
        </is>
      </c>
      <c r="C6276" s="10" t="inlineStr">
        <is>
          <t>北野線</t>
        </is>
      </c>
      <c r="D6276" s="10" t="inlineStr">
        <is>
          <t>下り</t>
        </is>
      </c>
      <c r="E6276" t="inlineStr">
        <is>
          <t>1259</t>
        </is>
      </c>
      <c r="F6276" t="inlineStr">
        <is>
          <t>0453</t>
        </is>
      </c>
      <c r="G6276" s="10" t="inlineStr">
        <is>
          <t>龍安寺</t>
        </is>
      </c>
      <c r="H6276" s="10" t="inlineStr">
        <is>
          <t>発</t>
        </is>
      </c>
      <c r="J6276" s="10" t="inlineStr">
        <is>
          <t>営業</t>
        </is>
      </c>
      <c r="L6276" t="inlineStr">
        <is>
          <t>12:45:25</t>
        </is>
      </c>
      <c r="M6276" t="inlineStr">
        <is>
          <t>12:45:50</t>
        </is>
      </c>
    </row>
    <row r="6277" ht="15" customHeight="1" s="37">
      <c r="A6277" t="n">
        <v>16</v>
      </c>
      <c r="B6277" s="10" t="inlineStr">
        <is>
          <t>平日</t>
        </is>
      </c>
      <c r="C6277" s="10" t="inlineStr">
        <is>
          <t>北野線</t>
        </is>
      </c>
      <c r="D6277" s="10" t="inlineStr">
        <is>
          <t>下り</t>
        </is>
      </c>
      <c r="E6277" t="inlineStr">
        <is>
          <t>1259</t>
        </is>
      </c>
      <c r="F6277" t="inlineStr">
        <is>
          <t>0453</t>
        </is>
      </c>
      <c r="G6277" s="10" t="inlineStr">
        <is>
          <t>妙心寺</t>
        </is>
      </c>
      <c r="H6277" s="10" t="inlineStr">
        <is>
          <t>発</t>
        </is>
      </c>
      <c r="J6277" s="10" t="inlineStr">
        <is>
          <t>営業</t>
        </is>
      </c>
      <c r="L6277" t="inlineStr">
        <is>
          <t>12:46:40</t>
        </is>
      </c>
      <c r="M6277" t="inlineStr">
        <is>
          <t>12:46:50</t>
        </is>
      </c>
    </row>
    <row r="6278" ht="15" customHeight="1" s="37">
      <c r="A6278" t="n">
        <v>16</v>
      </c>
      <c r="B6278" s="10" t="inlineStr">
        <is>
          <t>平日</t>
        </is>
      </c>
      <c r="C6278" s="10" t="inlineStr">
        <is>
          <t>北野線</t>
        </is>
      </c>
      <c r="D6278" s="10" t="inlineStr">
        <is>
          <t>下り</t>
        </is>
      </c>
      <c r="E6278" t="inlineStr">
        <is>
          <t>1259</t>
        </is>
      </c>
      <c r="F6278" t="inlineStr">
        <is>
          <t>0453</t>
        </is>
      </c>
      <c r="G6278" s="10" t="inlineStr">
        <is>
          <t>御室仁和寺</t>
        </is>
      </c>
      <c r="H6278" s="10" t="inlineStr">
        <is>
          <t>発</t>
        </is>
      </c>
      <c r="J6278" s="10" t="inlineStr">
        <is>
          <t>営業</t>
        </is>
      </c>
      <c r="L6278" t="inlineStr">
        <is>
          <t>12:47:50</t>
        </is>
      </c>
      <c r="M6278" t="inlineStr">
        <is>
          <t>12:48:05</t>
        </is>
      </c>
    </row>
    <row r="6279" ht="15" customHeight="1" s="37">
      <c r="A6279" t="n">
        <v>16</v>
      </c>
      <c r="B6279" s="10" t="inlineStr">
        <is>
          <t>平日</t>
        </is>
      </c>
      <c r="C6279" s="10" t="inlineStr">
        <is>
          <t>北野線</t>
        </is>
      </c>
      <c r="D6279" s="10" t="inlineStr">
        <is>
          <t>下り</t>
        </is>
      </c>
      <c r="E6279" t="inlineStr">
        <is>
          <t>1259</t>
        </is>
      </c>
      <c r="F6279" t="inlineStr">
        <is>
          <t>0453</t>
        </is>
      </c>
      <c r="G6279" s="10" t="inlineStr">
        <is>
          <t>宇多野</t>
        </is>
      </c>
      <c r="H6279" s="10" t="inlineStr">
        <is>
          <t>発</t>
        </is>
      </c>
      <c r="J6279" s="10" t="inlineStr">
        <is>
          <t>営業</t>
        </is>
      </c>
      <c r="L6279" t="inlineStr">
        <is>
          <t>12:49:05</t>
        </is>
      </c>
      <c r="M6279" t="inlineStr">
        <is>
          <t>12:49:15</t>
        </is>
      </c>
    </row>
    <row r="6280" ht="15" customHeight="1" s="37">
      <c r="A6280" t="n">
        <v>16</v>
      </c>
      <c r="B6280" s="10" t="inlineStr">
        <is>
          <t>平日</t>
        </is>
      </c>
      <c r="C6280" s="10" t="inlineStr">
        <is>
          <t>北野線</t>
        </is>
      </c>
      <c r="D6280" s="10" t="inlineStr">
        <is>
          <t>下り</t>
        </is>
      </c>
      <c r="E6280" t="inlineStr">
        <is>
          <t>1259</t>
        </is>
      </c>
      <c r="F6280" t="inlineStr">
        <is>
          <t>0453</t>
        </is>
      </c>
      <c r="G6280" s="10" t="inlineStr">
        <is>
          <t>鳴滝</t>
        </is>
      </c>
      <c r="H6280" s="10" t="inlineStr">
        <is>
          <t>発</t>
        </is>
      </c>
      <c r="J6280" s="10" t="inlineStr">
        <is>
          <t>営業</t>
        </is>
      </c>
      <c r="L6280" t="inlineStr">
        <is>
          <t>12:50:35</t>
        </is>
      </c>
      <c r="M6280" t="inlineStr">
        <is>
          <t>12:50:45</t>
        </is>
      </c>
    </row>
    <row r="6281" ht="15" customHeight="1" s="37">
      <c r="A6281" t="n">
        <v>16</v>
      </c>
      <c r="B6281" s="10" t="inlineStr">
        <is>
          <t>平日</t>
        </is>
      </c>
      <c r="C6281" s="10" t="inlineStr">
        <is>
          <t>北野線</t>
        </is>
      </c>
      <c r="D6281" s="10" t="inlineStr">
        <is>
          <t>下り</t>
        </is>
      </c>
      <c r="E6281" t="inlineStr">
        <is>
          <t>1259</t>
        </is>
      </c>
      <c r="F6281" t="inlineStr">
        <is>
          <t>0453</t>
        </is>
      </c>
      <c r="G6281" s="10" t="inlineStr">
        <is>
          <t>常盤</t>
        </is>
      </c>
      <c r="H6281" s="10" t="inlineStr">
        <is>
          <t>発</t>
        </is>
      </c>
      <c r="J6281" s="10" t="inlineStr">
        <is>
          <t>営業</t>
        </is>
      </c>
      <c r="L6281" t="inlineStr">
        <is>
          <t>12:51:35</t>
        </is>
      </c>
      <c r="M6281" t="inlineStr">
        <is>
          <t>12:51:55</t>
        </is>
      </c>
    </row>
    <row r="6282" ht="15" customHeight="1" s="37">
      <c r="A6282" t="n">
        <v>16</v>
      </c>
      <c r="B6282" s="10" t="inlineStr">
        <is>
          <t>平日</t>
        </is>
      </c>
      <c r="C6282" s="10" t="inlineStr">
        <is>
          <t>北野線</t>
        </is>
      </c>
      <c r="D6282" s="10" t="inlineStr">
        <is>
          <t>下り</t>
        </is>
      </c>
      <c r="E6282" t="inlineStr">
        <is>
          <t>1259</t>
        </is>
      </c>
      <c r="F6282" t="inlineStr">
        <is>
          <t>0453</t>
        </is>
      </c>
      <c r="G6282" s="10" t="inlineStr">
        <is>
          <t>撮影所前</t>
        </is>
      </c>
      <c r="H6282" s="10" t="inlineStr">
        <is>
          <t>発</t>
        </is>
      </c>
      <c r="J6282" s="10" t="inlineStr">
        <is>
          <t>営業</t>
        </is>
      </c>
      <c r="L6282" t="inlineStr">
        <is>
          <t>12:53:15</t>
        </is>
      </c>
      <c r="M6282" t="inlineStr">
        <is>
          <t>12:53:30</t>
        </is>
      </c>
    </row>
    <row r="6283" ht="15" customHeight="1" s="37">
      <c r="A6283" t="n">
        <v>16</v>
      </c>
      <c r="B6283" s="10" t="inlineStr">
        <is>
          <t>平日</t>
        </is>
      </c>
      <c r="C6283" s="10" t="inlineStr">
        <is>
          <t>北野線</t>
        </is>
      </c>
      <c r="D6283" s="10" t="inlineStr">
        <is>
          <t>下り</t>
        </is>
      </c>
      <c r="E6283" t="inlineStr">
        <is>
          <t>1259</t>
        </is>
      </c>
      <c r="F6283" t="inlineStr">
        <is>
          <t>0453</t>
        </is>
      </c>
      <c r="G6283" s="10" t="inlineStr">
        <is>
          <t>帷子ノ辻</t>
        </is>
      </c>
      <c r="H6283" s="10" t="inlineStr">
        <is>
          <t>着</t>
        </is>
      </c>
      <c r="J6283" s="10" t="inlineStr">
        <is>
          <t>営業</t>
        </is>
      </c>
      <c r="L6283" t="inlineStr">
        <is>
          <t>12:54:25</t>
        </is>
      </c>
      <c r="Q6283" t="inlineStr">
        <is>
          <t>4</t>
        </is>
      </c>
    </row>
    <row r="6284" ht="15" customHeight="1" s="37">
      <c r="A6284" t="n">
        <v>16</v>
      </c>
      <c r="B6284" s="10" t="inlineStr">
        <is>
          <t>平日</t>
        </is>
      </c>
      <c r="C6284" s="10" t="inlineStr">
        <is>
          <t>北野線</t>
        </is>
      </c>
      <c r="D6284" s="10" t="inlineStr">
        <is>
          <t>上り</t>
        </is>
      </c>
      <c r="E6284" t="inlineStr">
        <is>
          <t>1354</t>
        </is>
      </c>
      <c r="F6284" t="inlineStr">
        <is>
          <t>0354</t>
        </is>
      </c>
      <c r="G6284" s="10" t="inlineStr">
        <is>
          <t>帷子ノ辻</t>
        </is>
      </c>
      <c r="H6284" s="10" t="inlineStr">
        <is>
          <t>発</t>
        </is>
      </c>
      <c r="J6284" s="10" t="inlineStr">
        <is>
          <t>営業</t>
        </is>
      </c>
      <c r="M6284" t="inlineStr">
        <is>
          <t>13:16:25</t>
        </is>
      </c>
      <c r="Q6284" t="inlineStr">
        <is>
          <t>3</t>
        </is>
      </c>
    </row>
    <row r="6285" ht="15" customHeight="1" s="37">
      <c r="A6285" t="n">
        <v>16</v>
      </c>
      <c r="B6285" s="10" t="inlineStr">
        <is>
          <t>平日</t>
        </is>
      </c>
      <c r="C6285" s="10" t="inlineStr">
        <is>
          <t>北野線</t>
        </is>
      </c>
      <c r="D6285" s="10" t="inlineStr">
        <is>
          <t>上り</t>
        </is>
      </c>
      <c r="E6285" t="inlineStr">
        <is>
          <t>1354</t>
        </is>
      </c>
      <c r="F6285" t="inlineStr">
        <is>
          <t>0354</t>
        </is>
      </c>
      <c r="G6285" s="10" t="inlineStr">
        <is>
          <t>撮影所前</t>
        </is>
      </c>
      <c r="H6285" s="10" t="inlineStr">
        <is>
          <t>発</t>
        </is>
      </c>
      <c r="J6285" s="10" t="inlineStr">
        <is>
          <t>営業</t>
        </is>
      </c>
      <c r="L6285" t="inlineStr">
        <is>
          <t>13:17:25</t>
        </is>
      </c>
      <c r="M6285" t="inlineStr">
        <is>
          <t>13:17:40</t>
        </is>
      </c>
    </row>
    <row r="6286" ht="15" customHeight="1" s="37">
      <c r="A6286" t="n">
        <v>16</v>
      </c>
      <c r="B6286" s="10" t="inlineStr">
        <is>
          <t>平日</t>
        </is>
      </c>
      <c r="C6286" s="10" t="inlineStr">
        <is>
          <t>北野線</t>
        </is>
      </c>
      <c r="D6286" s="10" t="inlineStr">
        <is>
          <t>上り</t>
        </is>
      </c>
      <c r="E6286" t="inlineStr">
        <is>
          <t>1354</t>
        </is>
      </c>
      <c r="F6286" t="inlineStr">
        <is>
          <t>0354</t>
        </is>
      </c>
      <c r="G6286" s="10" t="inlineStr">
        <is>
          <t>常盤</t>
        </is>
      </c>
      <c r="H6286" s="10" t="inlineStr">
        <is>
          <t>発</t>
        </is>
      </c>
      <c r="J6286" s="10" t="inlineStr">
        <is>
          <t>営業</t>
        </is>
      </c>
      <c r="L6286" t="inlineStr">
        <is>
          <t>13:19:00</t>
        </is>
      </c>
      <c r="M6286" t="inlineStr">
        <is>
          <t>13:19:20</t>
        </is>
      </c>
    </row>
    <row r="6287" ht="15" customHeight="1" s="37">
      <c r="A6287" t="n">
        <v>16</v>
      </c>
      <c r="B6287" s="10" t="inlineStr">
        <is>
          <t>平日</t>
        </is>
      </c>
      <c r="C6287" s="10" t="inlineStr">
        <is>
          <t>北野線</t>
        </is>
      </c>
      <c r="D6287" s="10" t="inlineStr">
        <is>
          <t>上り</t>
        </is>
      </c>
      <c r="E6287" t="inlineStr">
        <is>
          <t>1354</t>
        </is>
      </c>
      <c r="F6287" t="inlineStr">
        <is>
          <t>0354</t>
        </is>
      </c>
      <c r="G6287" s="10" t="inlineStr">
        <is>
          <t>鳴滝</t>
        </is>
      </c>
      <c r="H6287" s="10" t="inlineStr">
        <is>
          <t>発</t>
        </is>
      </c>
      <c r="J6287" s="10" t="inlineStr">
        <is>
          <t>営業</t>
        </is>
      </c>
      <c r="L6287" t="inlineStr">
        <is>
          <t>13:20:20</t>
        </is>
      </c>
      <c r="M6287" t="inlineStr">
        <is>
          <t>13:20:40</t>
        </is>
      </c>
    </row>
    <row r="6288" ht="15" customHeight="1" s="37">
      <c r="A6288" t="n">
        <v>16</v>
      </c>
      <c r="B6288" s="10" t="inlineStr">
        <is>
          <t>平日</t>
        </is>
      </c>
      <c r="C6288" s="10" t="inlineStr">
        <is>
          <t>北野線</t>
        </is>
      </c>
      <c r="D6288" s="10" t="inlineStr">
        <is>
          <t>上り</t>
        </is>
      </c>
      <c r="E6288" t="inlineStr">
        <is>
          <t>1354</t>
        </is>
      </c>
      <c r="F6288" t="inlineStr">
        <is>
          <t>0354</t>
        </is>
      </c>
      <c r="G6288" s="10" t="inlineStr">
        <is>
          <t>宇多野</t>
        </is>
      </c>
      <c r="H6288" s="10" t="inlineStr">
        <is>
          <t>発</t>
        </is>
      </c>
      <c r="J6288" s="10" t="inlineStr">
        <is>
          <t>営業</t>
        </is>
      </c>
      <c r="L6288" t="inlineStr">
        <is>
          <t>13:22:00</t>
        </is>
      </c>
      <c r="M6288" t="inlineStr">
        <is>
          <t>13:22:15</t>
        </is>
      </c>
    </row>
    <row r="6289" ht="15" customHeight="1" s="37">
      <c r="A6289" t="n">
        <v>16</v>
      </c>
      <c r="B6289" s="10" t="inlineStr">
        <is>
          <t>平日</t>
        </is>
      </c>
      <c r="C6289" s="10" t="inlineStr">
        <is>
          <t>北野線</t>
        </is>
      </c>
      <c r="D6289" s="10" t="inlineStr">
        <is>
          <t>上り</t>
        </is>
      </c>
      <c r="E6289" t="inlineStr">
        <is>
          <t>1354</t>
        </is>
      </c>
      <c r="F6289" t="inlineStr">
        <is>
          <t>0354</t>
        </is>
      </c>
      <c r="G6289" s="10" t="inlineStr">
        <is>
          <t>御室仁和寺</t>
        </is>
      </c>
      <c r="H6289" s="10" t="inlineStr">
        <is>
          <t>発</t>
        </is>
      </c>
      <c r="J6289" s="10" t="inlineStr">
        <is>
          <t>営業</t>
        </is>
      </c>
      <c r="L6289" t="inlineStr">
        <is>
          <t>13:23:15</t>
        </is>
      </c>
      <c r="M6289" t="inlineStr">
        <is>
          <t>13:23:35</t>
        </is>
      </c>
    </row>
    <row r="6290" ht="15" customHeight="1" s="37">
      <c r="A6290" t="n">
        <v>16</v>
      </c>
      <c r="B6290" s="10" t="inlineStr">
        <is>
          <t>平日</t>
        </is>
      </c>
      <c r="C6290" s="10" t="inlineStr">
        <is>
          <t>北野線</t>
        </is>
      </c>
      <c r="D6290" s="10" t="inlineStr">
        <is>
          <t>上り</t>
        </is>
      </c>
      <c r="E6290" t="inlineStr">
        <is>
          <t>1354</t>
        </is>
      </c>
      <c r="F6290" t="inlineStr">
        <is>
          <t>0354</t>
        </is>
      </c>
      <c r="G6290" s="10" t="inlineStr">
        <is>
          <t>妙心寺</t>
        </is>
      </c>
      <c r="H6290" s="10" t="inlineStr">
        <is>
          <t>発</t>
        </is>
      </c>
      <c r="J6290" s="10" t="inlineStr">
        <is>
          <t>営業</t>
        </is>
      </c>
      <c r="L6290" t="inlineStr">
        <is>
          <t>13:24:35</t>
        </is>
      </c>
      <c r="M6290" t="inlineStr">
        <is>
          <t>13:24:50</t>
        </is>
      </c>
    </row>
    <row r="6291" ht="15" customHeight="1" s="37">
      <c r="A6291" t="n">
        <v>16</v>
      </c>
      <c r="B6291" s="10" t="inlineStr">
        <is>
          <t>平日</t>
        </is>
      </c>
      <c r="C6291" s="10" t="inlineStr">
        <is>
          <t>北野線</t>
        </is>
      </c>
      <c r="D6291" s="10" t="inlineStr">
        <is>
          <t>上り</t>
        </is>
      </c>
      <c r="E6291" t="inlineStr">
        <is>
          <t>1354</t>
        </is>
      </c>
      <c r="F6291" t="inlineStr">
        <is>
          <t>0354</t>
        </is>
      </c>
      <c r="G6291" s="10" t="inlineStr">
        <is>
          <t>龍安寺</t>
        </is>
      </c>
      <c r="H6291" s="10" t="inlineStr">
        <is>
          <t>発</t>
        </is>
      </c>
      <c r="J6291" s="10" t="inlineStr">
        <is>
          <t>営業</t>
        </is>
      </c>
      <c r="L6291" t="inlineStr">
        <is>
          <t>13:25:45</t>
        </is>
      </c>
      <c r="M6291" t="inlineStr">
        <is>
          <t>13:25:55</t>
        </is>
      </c>
    </row>
    <row r="6292" ht="15" customHeight="1" s="37">
      <c r="A6292" t="n">
        <v>16</v>
      </c>
      <c r="B6292" s="10" t="inlineStr">
        <is>
          <t>平日</t>
        </is>
      </c>
      <c r="C6292" s="10" t="inlineStr">
        <is>
          <t>北野線</t>
        </is>
      </c>
      <c r="D6292" s="10" t="inlineStr">
        <is>
          <t>上り</t>
        </is>
      </c>
      <c r="E6292" t="inlineStr">
        <is>
          <t>1354</t>
        </is>
      </c>
      <c r="F6292" t="inlineStr">
        <is>
          <t>0354</t>
        </is>
      </c>
      <c r="G6292" s="10" t="inlineStr">
        <is>
          <t>等持院</t>
        </is>
      </c>
      <c r="H6292" s="10" t="inlineStr">
        <is>
          <t>発</t>
        </is>
      </c>
      <c r="J6292" s="10" t="inlineStr">
        <is>
          <t>営業</t>
        </is>
      </c>
      <c r="L6292" t="inlineStr">
        <is>
          <t>13:26:35</t>
        </is>
      </c>
      <c r="M6292" t="inlineStr">
        <is>
          <t>13:26:55</t>
        </is>
      </c>
    </row>
    <row r="6293" ht="15" customHeight="1" s="37">
      <c r="A6293" t="n">
        <v>16</v>
      </c>
      <c r="B6293" s="10" t="inlineStr">
        <is>
          <t>平日</t>
        </is>
      </c>
      <c r="C6293" s="10" t="inlineStr">
        <is>
          <t>北野線</t>
        </is>
      </c>
      <c r="D6293" s="10" t="inlineStr">
        <is>
          <t>上り</t>
        </is>
      </c>
      <c r="E6293" t="inlineStr">
        <is>
          <t>1354</t>
        </is>
      </c>
      <c r="F6293" t="inlineStr">
        <is>
          <t>0354</t>
        </is>
      </c>
      <c r="G6293" s="10" t="inlineStr">
        <is>
          <t>北野白梅町</t>
        </is>
      </c>
      <c r="H6293" s="10" t="inlineStr">
        <is>
          <t>着</t>
        </is>
      </c>
      <c r="J6293" s="10" t="inlineStr">
        <is>
          <t>営業</t>
        </is>
      </c>
      <c r="L6293" t="inlineStr">
        <is>
          <t>13:28:15</t>
        </is>
      </c>
      <c r="Q6293" t="inlineStr">
        <is>
          <t>1</t>
        </is>
      </c>
    </row>
    <row r="6294" ht="15" customHeight="1" s="37">
      <c r="A6294" t="n">
        <v>16</v>
      </c>
      <c r="B6294" s="10" t="inlineStr">
        <is>
          <t>平日</t>
        </is>
      </c>
      <c r="C6294" s="10" t="inlineStr">
        <is>
          <t>北野線</t>
        </is>
      </c>
      <c r="D6294" s="10" t="inlineStr">
        <is>
          <t>下り</t>
        </is>
      </c>
      <c r="E6294" t="inlineStr">
        <is>
          <t>1357</t>
        </is>
      </c>
      <c r="F6294" t="inlineStr">
        <is>
          <t>0453</t>
        </is>
      </c>
      <c r="G6294" s="10" t="inlineStr">
        <is>
          <t>北野白梅町</t>
        </is>
      </c>
      <c r="H6294" s="10" t="inlineStr">
        <is>
          <t>発</t>
        </is>
      </c>
      <c r="J6294" s="10" t="inlineStr">
        <is>
          <t>営業</t>
        </is>
      </c>
      <c r="M6294" t="inlineStr">
        <is>
          <t>13:33:00</t>
        </is>
      </c>
      <c r="Q6294" t="inlineStr">
        <is>
          <t>1</t>
        </is>
      </c>
    </row>
    <row r="6295" ht="15" customHeight="1" s="37">
      <c r="A6295" t="n">
        <v>16</v>
      </c>
      <c r="B6295" s="10" t="inlineStr">
        <is>
          <t>平日</t>
        </is>
      </c>
      <c r="C6295" s="10" t="inlineStr">
        <is>
          <t>北野線</t>
        </is>
      </c>
      <c r="D6295" s="10" t="inlineStr">
        <is>
          <t>下り</t>
        </is>
      </c>
      <c r="E6295" t="inlineStr">
        <is>
          <t>1357</t>
        </is>
      </c>
      <c r="F6295" t="inlineStr">
        <is>
          <t>0453</t>
        </is>
      </c>
      <c r="G6295" s="10" t="inlineStr">
        <is>
          <t>等持院</t>
        </is>
      </c>
      <c r="H6295" s="10" t="inlineStr">
        <is>
          <t>発</t>
        </is>
      </c>
      <c r="J6295" s="10" t="inlineStr">
        <is>
          <t>営業</t>
        </is>
      </c>
      <c r="L6295" t="inlineStr">
        <is>
          <t>13:34:25</t>
        </is>
      </c>
      <c r="M6295" t="inlineStr">
        <is>
          <t>13:34:35</t>
        </is>
      </c>
    </row>
    <row r="6296" ht="15" customHeight="1" s="37">
      <c r="A6296" t="n">
        <v>16</v>
      </c>
      <c r="B6296" s="10" t="inlineStr">
        <is>
          <t>平日</t>
        </is>
      </c>
      <c r="C6296" s="10" t="inlineStr">
        <is>
          <t>北野線</t>
        </is>
      </c>
      <c r="D6296" s="10" t="inlineStr">
        <is>
          <t>下り</t>
        </is>
      </c>
      <c r="E6296" t="inlineStr">
        <is>
          <t>1357</t>
        </is>
      </c>
      <c r="F6296" t="inlineStr">
        <is>
          <t>0453</t>
        </is>
      </c>
      <c r="G6296" s="10" t="inlineStr">
        <is>
          <t>龍安寺</t>
        </is>
      </c>
      <c r="H6296" s="10" t="inlineStr">
        <is>
          <t>発</t>
        </is>
      </c>
      <c r="J6296" s="10" t="inlineStr">
        <is>
          <t>営業</t>
        </is>
      </c>
      <c r="L6296" t="inlineStr">
        <is>
          <t>13:35:25</t>
        </is>
      </c>
      <c r="M6296" t="inlineStr">
        <is>
          <t>13:35:50</t>
        </is>
      </c>
    </row>
    <row r="6297" ht="15" customHeight="1" s="37">
      <c r="A6297" t="n">
        <v>16</v>
      </c>
      <c r="B6297" s="10" t="inlineStr">
        <is>
          <t>平日</t>
        </is>
      </c>
      <c r="C6297" s="10" t="inlineStr">
        <is>
          <t>北野線</t>
        </is>
      </c>
      <c r="D6297" s="10" t="inlineStr">
        <is>
          <t>下り</t>
        </is>
      </c>
      <c r="E6297" t="inlineStr">
        <is>
          <t>1357</t>
        </is>
      </c>
      <c r="F6297" t="inlineStr">
        <is>
          <t>0453</t>
        </is>
      </c>
      <c r="G6297" s="10" t="inlineStr">
        <is>
          <t>妙心寺</t>
        </is>
      </c>
      <c r="H6297" s="10" t="inlineStr">
        <is>
          <t>発</t>
        </is>
      </c>
      <c r="J6297" s="10" t="inlineStr">
        <is>
          <t>営業</t>
        </is>
      </c>
      <c r="L6297" t="inlineStr">
        <is>
          <t>13:36:40</t>
        </is>
      </c>
      <c r="M6297" t="inlineStr">
        <is>
          <t>13:36:50</t>
        </is>
      </c>
    </row>
    <row r="6298" ht="15" customHeight="1" s="37">
      <c r="A6298" t="n">
        <v>16</v>
      </c>
      <c r="B6298" s="10" t="inlineStr">
        <is>
          <t>平日</t>
        </is>
      </c>
      <c r="C6298" s="10" t="inlineStr">
        <is>
          <t>北野線</t>
        </is>
      </c>
      <c r="D6298" s="10" t="inlineStr">
        <is>
          <t>下り</t>
        </is>
      </c>
      <c r="E6298" t="inlineStr">
        <is>
          <t>1357</t>
        </is>
      </c>
      <c r="F6298" t="inlineStr">
        <is>
          <t>0453</t>
        </is>
      </c>
      <c r="G6298" s="10" t="inlineStr">
        <is>
          <t>御室仁和寺</t>
        </is>
      </c>
      <c r="H6298" s="10" t="inlineStr">
        <is>
          <t>発</t>
        </is>
      </c>
      <c r="J6298" s="10" t="inlineStr">
        <is>
          <t>営業</t>
        </is>
      </c>
      <c r="L6298" t="inlineStr">
        <is>
          <t>13:37:50</t>
        </is>
      </c>
      <c r="M6298" t="inlineStr">
        <is>
          <t>13:38:05</t>
        </is>
      </c>
    </row>
    <row r="6299" ht="15" customHeight="1" s="37">
      <c r="A6299" t="n">
        <v>16</v>
      </c>
      <c r="B6299" s="10" t="inlineStr">
        <is>
          <t>平日</t>
        </is>
      </c>
      <c r="C6299" s="10" t="inlineStr">
        <is>
          <t>北野線</t>
        </is>
      </c>
      <c r="D6299" s="10" t="inlineStr">
        <is>
          <t>下り</t>
        </is>
      </c>
      <c r="E6299" t="inlineStr">
        <is>
          <t>1357</t>
        </is>
      </c>
      <c r="F6299" t="inlineStr">
        <is>
          <t>0453</t>
        </is>
      </c>
      <c r="G6299" s="10" t="inlineStr">
        <is>
          <t>宇多野</t>
        </is>
      </c>
      <c r="H6299" s="10" t="inlineStr">
        <is>
          <t>発</t>
        </is>
      </c>
      <c r="J6299" s="10" t="inlineStr">
        <is>
          <t>営業</t>
        </is>
      </c>
      <c r="L6299" t="inlineStr">
        <is>
          <t>13:39:05</t>
        </is>
      </c>
      <c r="M6299" t="inlineStr">
        <is>
          <t>13:39:15</t>
        </is>
      </c>
    </row>
    <row r="6300" ht="15" customHeight="1" s="37">
      <c r="A6300" t="n">
        <v>16</v>
      </c>
      <c r="B6300" s="10" t="inlineStr">
        <is>
          <t>平日</t>
        </is>
      </c>
      <c r="C6300" s="10" t="inlineStr">
        <is>
          <t>北野線</t>
        </is>
      </c>
      <c r="D6300" s="10" t="inlineStr">
        <is>
          <t>下り</t>
        </is>
      </c>
      <c r="E6300" t="inlineStr">
        <is>
          <t>1357</t>
        </is>
      </c>
      <c r="F6300" t="inlineStr">
        <is>
          <t>0453</t>
        </is>
      </c>
      <c r="G6300" s="10" t="inlineStr">
        <is>
          <t>鳴滝</t>
        </is>
      </c>
      <c r="H6300" s="10" t="inlineStr">
        <is>
          <t>発</t>
        </is>
      </c>
      <c r="J6300" s="10" t="inlineStr">
        <is>
          <t>営業</t>
        </is>
      </c>
      <c r="L6300" t="inlineStr">
        <is>
          <t>13:40:35</t>
        </is>
      </c>
      <c r="M6300" t="inlineStr">
        <is>
          <t>13:40:45</t>
        </is>
      </c>
    </row>
    <row r="6301" ht="15" customHeight="1" s="37">
      <c r="A6301" t="n">
        <v>16</v>
      </c>
      <c r="B6301" s="10" t="inlineStr">
        <is>
          <t>平日</t>
        </is>
      </c>
      <c r="C6301" s="10" t="inlineStr">
        <is>
          <t>北野線</t>
        </is>
      </c>
      <c r="D6301" s="10" t="inlineStr">
        <is>
          <t>下り</t>
        </is>
      </c>
      <c r="E6301" t="inlineStr">
        <is>
          <t>1357</t>
        </is>
      </c>
      <c r="F6301" t="inlineStr">
        <is>
          <t>0453</t>
        </is>
      </c>
      <c r="G6301" s="10" t="inlineStr">
        <is>
          <t>常盤</t>
        </is>
      </c>
      <c r="H6301" s="10" t="inlineStr">
        <is>
          <t>発</t>
        </is>
      </c>
      <c r="J6301" s="10" t="inlineStr">
        <is>
          <t>営業</t>
        </is>
      </c>
      <c r="L6301" t="inlineStr">
        <is>
          <t>13:41:35</t>
        </is>
      </c>
      <c r="M6301" t="inlineStr">
        <is>
          <t>13:41:55</t>
        </is>
      </c>
    </row>
    <row r="6302" ht="15" customHeight="1" s="37">
      <c r="A6302" t="n">
        <v>16</v>
      </c>
      <c r="B6302" s="10" t="inlineStr">
        <is>
          <t>平日</t>
        </is>
      </c>
      <c r="C6302" s="10" t="inlineStr">
        <is>
          <t>北野線</t>
        </is>
      </c>
      <c r="D6302" s="10" t="inlineStr">
        <is>
          <t>下り</t>
        </is>
      </c>
      <c r="E6302" t="inlineStr">
        <is>
          <t>1357</t>
        </is>
      </c>
      <c r="F6302" t="inlineStr">
        <is>
          <t>0453</t>
        </is>
      </c>
      <c r="G6302" s="10" t="inlineStr">
        <is>
          <t>撮影所前</t>
        </is>
      </c>
      <c r="H6302" s="10" t="inlineStr">
        <is>
          <t>発</t>
        </is>
      </c>
      <c r="J6302" s="10" t="inlineStr">
        <is>
          <t>営業</t>
        </is>
      </c>
      <c r="L6302" t="inlineStr">
        <is>
          <t>13:43:15</t>
        </is>
      </c>
      <c r="M6302" t="inlineStr">
        <is>
          <t>13:43:30</t>
        </is>
      </c>
    </row>
    <row r="6303" ht="15" customHeight="1" s="37">
      <c r="A6303" t="n">
        <v>16</v>
      </c>
      <c r="B6303" s="10" t="inlineStr">
        <is>
          <t>平日</t>
        </is>
      </c>
      <c r="C6303" s="10" t="inlineStr">
        <is>
          <t>北野線</t>
        </is>
      </c>
      <c r="D6303" s="10" t="inlineStr">
        <is>
          <t>下り</t>
        </is>
      </c>
      <c r="E6303" t="inlineStr">
        <is>
          <t>1357</t>
        </is>
      </c>
      <c r="F6303" t="inlineStr">
        <is>
          <t>0453</t>
        </is>
      </c>
      <c r="G6303" s="10" t="inlineStr">
        <is>
          <t>帷子ノ辻</t>
        </is>
      </c>
      <c r="H6303" s="10" t="inlineStr">
        <is>
          <t>着</t>
        </is>
      </c>
      <c r="J6303" s="10" t="inlineStr">
        <is>
          <t>営業</t>
        </is>
      </c>
      <c r="L6303" t="inlineStr">
        <is>
          <t>13:44:25</t>
        </is>
      </c>
      <c r="Q6303" t="inlineStr">
        <is>
          <t>3</t>
        </is>
      </c>
      <c r="T6303" t="inlineStr">
        <is>
          <t>○</t>
        </is>
      </c>
    </row>
    <row r="6304" ht="15" customHeight="1" s="37">
      <c r="A6304" t="n">
        <v>16</v>
      </c>
      <c r="B6304" s="10" t="inlineStr">
        <is>
          <t>平日</t>
        </is>
      </c>
      <c r="C6304" s="10" t="inlineStr">
        <is>
          <t>本線</t>
        </is>
      </c>
      <c r="D6304" s="10" t="inlineStr">
        <is>
          <t>上り</t>
        </is>
      </c>
      <c r="E6304" t="inlineStr">
        <is>
          <t>16系統⑤便乗</t>
        </is>
      </c>
      <c r="F6304" s="10" t="inlineStr">
        <is>
          <t>便乗</t>
        </is>
      </c>
      <c r="G6304" s="10" t="inlineStr">
        <is>
          <t>帷子ノ辻</t>
        </is>
      </c>
      <c r="H6304" s="10" t="inlineStr">
        <is>
          <t>発</t>
        </is>
      </c>
      <c r="J6304" s="10" t="inlineStr">
        <is>
          <t>便乗</t>
        </is>
      </c>
      <c r="L6304" t="inlineStr">
        <is>
          <t>13:50:10</t>
        </is>
      </c>
      <c r="M6304" t="inlineStr">
        <is>
          <t>13:51:15</t>
        </is>
      </c>
      <c r="S6304" t="inlineStr">
        <is>
          <t>1310</t>
        </is>
      </c>
    </row>
    <row r="6305" ht="15" customHeight="1" s="37">
      <c r="A6305" t="n">
        <v>16</v>
      </c>
      <c r="B6305" s="10" t="inlineStr">
        <is>
          <t>平日</t>
        </is>
      </c>
      <c r="C6305" s="10" t="inlineStr">
        <is>
          <t>本線</t>
        </is>
      </c>
      <c r="D6305" s="10" t="inlineStr">
        <is>
          <t>上り</t>
        </is>
      </c>
      <c r="E6305" t="inlineStr">
        <is>
          <t>16系統⑤便乗</t>
        </is>
      </c>
      <c r="F6305" s="10" t="inlineStr">
        <is>
          <t>便乗</t>
        </is>
      </c>
      <c r="G6305" s="10" t="inlineStr">
        <is>
          <t>太秦広隆寺</t>
        </is>
      </c>
      <c r="H6305" s="10" t="inlineStr">
        <is>
          <t>発</t>
        </is>
      </c>
      <c r="J6305" s="10" t="inlineStr">
        <is>
          <t>便乗</t>
        </is>
      </c>
      <c r="L6305" t="inlineStr">
        <is>
          <t>13:53:25</t>
        </is>
      </c>
      <c r="M6305" t="inlineStr">
        <is>
          <t>13:53:45</t>
        </is>
      </c>
      <c r="S6305" t="inlineStr">
        <is>
          <t>1310</t>
        </is>
      </c>
    </row>
    <row r="6306" ht="15" customHeight="1" s="37">
      <c r="A6306" t="n">
        <v>16</v>
      </c>
      <c r="B6306" s="10" t="inlineStr">
        <is>
          <t>平日</t>
        </is>
      </c>
      <c r="C6306" s="10" t="inlineStr">
        <is>
          <t>本線</t>
        </is>
      </c>
      <c r="D6306" s="10" t="inlineStr">
        <is>
          <t>上り</t>
        </is>
      </c>
      <c r="E6306" t="inlineStr">
        <is>
          <t>16系統⑤便乗</t>
        </is>
      </c>
      <c r="F6306" s="10" t="inlineStr">
        <is>
          <t>便乗</t>
        </is>
      </c>
      <c r="G6306" s="10" t="inlineStr">
        <is>
          <t>蚕ノ社</t>
        </is>
      </c>
      <c r="H6306" s="10" t="inlineStr">
        <is>
          <t>発</t>
        </is>
      </c>
      <c r="J6306" s="10" t="inlineStr">
        <is>
          <t>便乗</t>
        </is>
      </c>
      <c r="L6306" t="inlineStr">
        <is>
          <t>13:55:00</t>
        </is>
      </c>
      <c r="M6306" t="inlineStr">
        <is>
          <t>13:55:20</t>
        </is>
      </c>
      <c r="S6306" t="inlineStr">
        <is>
          <t>1310</t>
        </is>
      </c>
    </row>
    <row r="6307" ht="15" customHeight="1" s="37">
      <c r="A6307" t="n">
        <v>16</v>
      </c>
      <c r="B6307" s="10" t="inlineStr">
        <is>
          <t>平日</t>
        </is>
      </c>
      <c r="C6307" s="10" t="inlineStr">
        <is>
          <t>本線</t>
        </is>
      </c>
      <c r="D6307" s="10" t="inlineStr">
        <is>
          <t>上り</t>
        </is>
      </c>
      <c r="E6307" t="inlineStr">
        <is>
          <t>16系統⑤便乗</t>
        </is>
      </c>
      <c r="F6307" s="10" t="inlineStr">
        <is>
          <t>便乗</t>
        </is>
      </c>
      <c r="G6307" s="10" t="inlineStr">
        <is>
          <t>天神川</t>
        </is>
      </c>
      <c r="H6307" s="10" t="inlineStr">
        <is>
          <t>発</t>
        </is>
      </c>
      <c r="J6307" s="10" t="inlineStr">
        <is>
          <t>便乗</t>
        </is>
      </c>
      <c r="L6307" t="inlineStr">
        <is>
          <t>13:56:05</t>
        </is>
      </c>
      <c r="M6307" t="inlineStr">
        <is>
          <t>13:56:50</t>
        </is>
      </c>
      <c r="S6307" t="inlineStr">
        <is>
          <t>1310</t>
        </is>
      </c>
    </row>
    <row r="6308" ht="15" customHeight="1" s="37">
      <c r="A6308" t="n">
        <v>16</v>
      </c>
      <c r="B6308" s="10" t="inlineStr">
        <is>
          <t>平日</t>
        </is>
      </c>
      <c r="C6308" s="10" t="inlineStr">
        <is>
          <t>本線</t>
        </is>
      </c>
      <c r="D6308" s="10" t="inlineStr">
        <is>
          <t>上り</t>
        </is>
      </c>
      <c r="E6308" t="inlineStr">
        <is>
          <t>16系統⑤便乗</t>
        </is>
      </c>
      <c r="F6308" s="10" t="inlineStr">
        <is>
          <t>便乗</t>
        </is>
      </c>
      <c r="G6308" s="10" t="inlineStr">
        <is>
          <t>山ノ内</t>
        </is>
      </c>
      <c r="H6308" s="10" t="inlineStr">
        <is>
          <t>発</t>
        </is>
      </c>
      <c r="J6308" s="10" t="inlineStr">
        <is>
          <t>便乗</t>
        </is>
      </c>
      <c r="L6308" t="inlineStr">
        <is>
          <t>13:58:40</t>
        </is>
      </c>
      <c r="M6308" t="inlineStr">
        <is>
          <t>13:59:05</t>
        </is>
      </c>
      <c r="S6308" t="inlineStr">
        <is>
          <t>1310</t>
        </is>
      </c>
    </row>
    <row r="6309" ht="15" customHeight="1" s="37">
      <c r="A6309" t="n">
        <v>16</v>
      </c>
      <c r="B6309" s="10" t="inlineStr">
        <is>
          <t>平日</t>
        </is>
      </c>
      <c r="C6309" s="10" t="inlineStr">
        <is>
          <t>本線</t>
        </is>
      </c>
      <c r="D6309" s="10" t="inlineStr">
        <is>
          <t>上り</t>
        </is>
      </c>
      <c r="E6309" t="inlineStr">
        <is>
          <t>16系統⑤便乗</t>
        </is>
      </c>
      <c r="F6309" s="10" t="inlineStr">
        <is>
          <t>便乗</t>
        </is>
      </c>
      <c r="G6309" s="10" t="inlineStr">
        <is>
          <t>西大路三条</t>
        </is>
      </c>
      <c r="H6309" s="10" t="inlineStr">
        <is>
          <t>発</t>
        </is>
      </c>
      <c r="J6309" s="10" t="inlineStr">
        <is>
          <t>便乗</t>
        </is>
      </c>
      <c r="L6309" t="inlineStr">
        <is>
          <t>14:00:55</t>
        </is>
      </c>
      <c r="M6309" t="inlineStr">
        <is>
          <t>14:01:15</t>
        </is>
      </c>
      <c r="S6309" t="inlineStr">
        <is>
          <t>1310</t>
        </is>
      </c>
    </row>
    <row r="6310" ht="15" customHeight="1" s="37">
      <c r="A6310" t="n">
        <v>16</v>
      </c>
      <c r="B6310" s="10" t="inlineStr">
        <is>
          <t>平日</t>
        </is>
      </c>
      <c r="C6310" s="10" t="inlineStr">
        <is>
          <t>本線</t>
        </is>
      </c>
      <c r="D6310" s="10" t="inlineStr">
        <is>
          <t>上り</t>
        </is>
      </c>
      <c r="E6310" t="inlineStr">
        <is>
          <t>16系統⑤便乗</t>
        </is>
      </c>
      <c r="F6310" s="10" t="inlineStr">
        <is>
          <t>便乗</t>
        </is>
      </c>
      <c r="G6310" s="10" t="inlineStr">
        <is>
          <t>西院</t>
        </is>
      </c>
      <c r="H6310" s="10" t="inlineStr">
        <is>
          <t>着</t>
        </is>
      </c>
      <c r="J6310" s="10" t="inlineStr">
        <is>
          <t>便乗</t>
        </is>
      </c>
      <c r="L6310" t="inlineStr">
        <is>
          <t>14:03:10</t>
        </is>
      </c>
      <c r="M6310" t="inlineStr">
        <is>
          <t>14:04:05</t>
        </is>
      </c>
      <c r="S6310" t="inlineStr">
        <is>
          <t>1310</t>
        </is>
      </c>
    </row>
    <row r="6311" ht="15" customHeight="1" s="37">
      <c r="A6311" t="n">
        <v>17</v>
      </c>
      <c r="B6311" s="10" t="inlineStr">
        <is>
          <t>平日</t>
        </is>
      </c>
      <c r="C6311" s="10" t="inlineStr">
        <is>
          <t>本線</t>
        </is>
      </c>
      <c r="D6311" s="10" t="inlineStr">
        <is>
          <t>下り</t>
        </is>
      </c>
      <c r="E6311" t="inlineStr">
        <is>
          <t>0593</t>
        </is>
      </c>
      <c r="F6311" t="inlineStr">
        <is>
          <t>0504</t>
        </is>
      </c>
      <c r="G6311" s="10" t="inlineStr">
        <is>
          <t>西院</t>
        </is>
      </c>
      <c r="H6311" s="10" t="inlineStr">
        <is>
          <t>発</t>
        </is>
      </c>
      <c r="J6311" s="10" t="inlineStr">
        <is>
          <t>営業</t>
        </is>
      </c>
      <c r="K6311" t="inlineStr">
        <is>
          <t>→0652</t>
        </is>
      </c>
      <c r="M6311" t="inlineStr">
        <is>
          <t>5:40:20</t>
        </is>
      </c>
      <c r="O6311" t="inlineStr">
        <is>
          <t>積込:帷子金庫(金庫2・納金袋1) 17系統Ⅱ側 帷子5:51着</t>
        </is>
      </c>
    </row>
    <row r="6312" ht="15" customHeight="1" s="37">
      <c r="A6312" t="n">
        <v>17</v>
      </c>
      <c r="B6312" s="10" t="inlineStr">
        <is>
          <t>平日</t>
        </is>
      </c>
      <c r="C6312" s="10" t="inlineStr">
        <is>
          <t>本線</t>
        </is>
      </c>
      <c r="D6312" s="10" t="inlineStr">
        <is>
          <t>下り</t>
        </is>
      </c>
      <c r="E6312" t="inlineStr">
        <is>
          <t>0593</t>
        </is>
      </c>
      <c r="F6312" t="inlineStr">
        <is>
          <t>0504</t>
        </is>
      </c>
      <c r="G6312" s="10" t="inlineStr">
        <is>
          <t>西大路三条</t>
        </is>
      </c>
      <c r="H6312" s="10" t="inlineStr">
        <is>
          <t>発</t>
        </is>
      </c>
      <c r="J6312" s="10" t="inlineStr">
        <is>
          <t>営業</t>
        </is>
      </c>
      <c r="K6312" t="inlineStr">
        <is>
          <t>→0652</t>
        </is>
      </c>
      <c r="L6312" t="inlineStr">
        <is>
          <t>5:42:10</t>
        </is>
      </c>
      <c r="M6312" t="inlineStr">
        <is>
          <t>5:42:25</t>
        </is>
      </c>
      <c r="O6312" t="inlineStr">
        <is>
          <t>積込:帷子金庫(金庫2・納金袋1) 17系統Ⅱ側 帷子5:51着</t>
        </is>
      </c>
    </row>
    <row r="6313" ht="15" customHeight="1" s="37">
      <c r="A6313" t="n">
        <v>17</v>
      </c>
      <c r="B6313" s="10" t="inlineStr">
        <is>
          <t>平日</t>
        </is>
      </c>
      <c r="C6313" s="10" t="inlineStr">
        <is>
          <t>本線</t>
        </is>
      </c>
      <c r="D6313" s="10" t="inlineStr">
        <is>
          <t>下り</t>
        </is>
      </c>
      <c r="E6313" t="inlineStr">
        <is>
          <t>0593</t>
        </is>
      </c>
      <c r="F6313" t="inlineStr">
        <is>
          <t>0504</t>
        </is>
      </c>
      <c r="G6313" s="10" t="inlineStr">
        <is>
          <t>山ノ内</t>
        </is>
      </c>
      <c r="H6313" s="10" t="inlineStr">
        <is>
          <t>発</t>
        </is>
      </c>
      <c r="J6313" s="10" t="inlineStr">
        <is>
          <t>営業</t>
        </is>
      </c>
      <c r="K6313" t="inlineStr">
        <is>
          <t>→0652</t>
        </is>
      </c>
      <c r="L6313" t="inlineStr">
        <is>
          <t>5:44:20</t>
        </is>
      </c>
      <c r="M6313" t="inlineStr">
        <is>
          <t>5:44:45</t>
        </is>
      </c>
      <c r="O6313" t="inlineStr">
        <is>
          <t>積込:帷子金庫(金庫2・納金袋1) 17系統Ⅱ側 帷子5:51着</t>
        </is>
      </c>
    </row>
    <row r="6314" ht="15" customHeight="1" s="37">
      <c r="A6314" t="n">
        <v>17</v>
      </c>
      <c r="B6314" s="10" t="inlineStr">
        <is>
          <t>平日</t>
        </is>
      </c>
      <c r="C6314" s="10" t="inlineStr">
        <is>
          <t>本線</t>
        </is>
      </c>
      <c r="D6314" s="10" t="inlineStr">
        <is>
          <t>下り</t>
        </is>
      </c>
      <c r="E6314" t="inlineStr">
        <is>
          <t>0593</t>
        </is>
      </c>
      <c r="F6314" t="inlineStr">
        <is>
          <t>0504</t>
        </is>
      </c>
      <c r="G6314" s="10" t="inlineStr">
        <is>
          <t>天神川</t>
        </is>
      </c>
      <c r="H6314" s="10" t="inlineStr">
        <is>
          <t>発</t>
        </is>
      </c>
      <c r="J6314" s="10" t="inlineStr">
        <is>
          <t>営業</t>
        </is>
      </c>
      <c r="K6314" t="inlineStr">
        <is>
          <t>→0652</t>
        </is>
      </c>
      <c r="L6314" t="inlineStr">
        <is>
          <t>5:46:45</t>
        </is>
      </c>
      <c r="M6314" t="inlineStr">
        <is>
          <t>5:47:10</t>
        </is>
      </c>
      <c r="O6314" t="inlineStr">
        <is>
          <t>積込:帷子金庫(金庫2・納金袋1) 17系統Ⅱ側 帷子5:51着</t>
        </is>
      </c>
    </row>
    <row r="6315" ht="15" customHeight="1" s="37">
      <c r="A6315" t="n">
        <v>17</v>
      </c>
      <c r="B6315" s="10" t="inlineStr">
        <is>
          <t>平日</t>
        </is>
      </c>
      <c r="C6315" s="10" t="inlineStr">
        <is>
          <t>本線</t>
        </is>
      </c>
      <c r="D6315" s="10" t="inlineStr">
        <is>
          <t>下り</t>
        </is>
      </c>
      <c r="E6315" t="inlineStr">
        <is>
          <t>0593</t>
        </is>
      </c>
      <c r="F6315" t="inlineStr">
        <is>
          <t>0504</t>
        </is>
      </c>
      <c r="G6315" s="10" t="inlineStr">
        <is>
          <t>蚕ノ社</t>
        </is>
      </c>
      <c r="H6315" s="10" t="inlineStr">
        <is>
          <t>発</t>
        </is>
      </c>
      <c r="J6315" s="10" t="inlineStr">
        <is>
          <t>営業</t>
        </is>
      </c>
      <c r="K6315" t="inlineStr">
        <is>
          <t>→0652</t>
        </is>
      </c>
      <c r="L6315" t="inlineStr">
        <is>
          <t>5:48:00</t>
        </is>
      </c>
      <c r="M6315" t="inlineStr">
        <is>
          <t>5:48:15</t>
        </is>
      </c>
      <c r="O6315" t="inlineStr">
        <is>
          <t>積込:帷子金庫(金庫2・納金袋1) 17系統Ⅱ側 帷子5:51着</t>
        </is>
      </c>
    </row>
    <row r="6316" ht="15" customHeight="1" s="37">
      <c r="A6316" t="n">
        <v>17</v>
      </c>
      <c r="B6316" s="10" t="inlineStr">
        <is>
          <t>平日</t>
        </is>
      </c>
      <c r="C6316" s="10" t="inlineStr">
        <is>
          <t>本線</t>
        </is>
      </c>
      <c r="D6316" s="10" t="inlineStr">
        <is>
          <t>下り</t>
        </is>
      </c>
      <c r="E6316" t="inlineStr">
        <is>
          <t>0593</t>
        </is>
      </c>
      <c r="F6316" t="inlineStr">
        <is>
          <t>0504</t>
        </is>
      </c>
      <c r="G6316" s="10" t="inlineStr">
        <is>
          <t>太秦広隆寺</t>
        </is>
      </c>
      <c r="H6316" s="10" t="inlineStr">
        <is>
          <t>発</t>
        </is>
      </c>
      <c r="J6316" s="10" t="inlineStr">
        <is>
          <t>営業</t>
        </is>
      </c>
      <c r="K6316" t="inlineStr">
        <is>
          <t>→0652</t>
        </is>
      </c>
      <c r="L6316" t="inlineStr">
        <is>
          <t>5:49:35</t>
        </is>
      </c>
      <c r="M6316" t="inlineStr">
        <is>
          <t>5:49:50</t>
        </is>
      </c>
      <c r="O6316" t="inlineStr">
        <is>
          <t>積込:帷子金庫(金庫2・納金袋1) 17系統Ⅱ側 帷子5:51着</t>
        </is>
      </c>
    </row>
    <row r="6317" ht="15" customHeight="1" s="37">
      <c r="A6317" t="n">
        <v>17</v>
      </c>
      <c r="B6317" s="10" t="inlineStr">
        <is>
          <t>平日</t>
        </is>
      </c>
      <c r="C6317" s="10" t="inlineStr">
        <is>
          <t>本線</t>
        </is>
      </c>
      <c r="D6317" s="10" t="inlineStr">
        <is>
          <t>下り</t>
        </is>
      </c>
      <c r="E6317" t="inlineStr">
        <is>
          <t>0593</t>
        </is>
      </c>
      <c r="F6317" t="inlineStr">
        <is>
          <t>0504</t>
        </is>
      </c>
      <c r="G6317" s="10" t="inlineStr">
        <is>
          <t>帷子ノ辻</t>
        </is>
      </c>
      <c r="H6317" s="10" t="inlineStr">
        <is>
          <t>着</t>
        </is>
      </c>
      <c r="J6317" s="10" t="inlineStr">
        <is>
          <t>営業</t>
        </is>
      </c>
      <c r="K6317" t="inlineStr">
        <is>
          <t>→0652</t>
        </is>
      </c>
      <c r="L6317" t="inlineStr">
        <is>
          <t>5:51:50</t>
        </is>
      </c>
      <c r="N6317" t="inlineStr">
        <is>
          <t>○</t>
        </is>
      </c>
      <c r="O6317" t="inlineStr">
        <is>
          <t>積込:帷子金庫(金庫2・納金袋1) 17系統Ⅱ側 帷子5:51着</t>
        </is>
      </c>
    </row>
    <row r="6318" ht="15" customHeight="1" s="37">
      <c r="A6318" t="n">
        <v>17</v>
      </c>
      <c r="B6318" s="10" t="inlineStr">
        <is>
          <t>平日</t>
        </is>
      </c>
      <c r="C6318" s="10" t="inlineStr">
        <is>
          <t>北野線</t>
        </is>
      </c>
      <c r="D6318" s="10" t="inlineStr">
        <is>
          <t>上り</t>
        </is>
      </c>
      <c r="E6318" t="inlineStr">
        <is>
          <t>0652</t>
        </is>
      </c>
      <c r="F6318" t="inlineStr">
        <is>
          <t>0304</t>
        </is>
      </c>
      <c r="G6318" s="10" t="inlineStr">
        <is>
          <t>帷子ノ辻</t>
        </is>
      </c>
      <c r="H6318" s="10" t="inlineStr">
        <is>
          <t>発</t>
        </is>
      </c>
      <c r="J6318" s="10" t="inlineStr">
        <is>
          <t>営業</t>
        </is>
      </c>
      <c r="K6318" t="inlineStr">
        <is>
          <t>←0593</t>
        </is>
      </c>
      <c r="M6318" t="inlineStr">
        <is>
          <t>6:01:45</t>
        </is>
      </c>
      <c r="Q6318" t="inlineStr">
        <is>
          <t>4出</t>
        </is>
      </c>
    </row>
    <row r="6319" ht="15" customHeight="1" s="37">
      <c r="A6319" t="n">
        <v>17</v>
      </c>
      <c r="B6319" s="10" t="inlineStr">
        <is>
          <t>平日</t>
        </is>
      </c>
      <c r="C6319" s="10" t="inlineStr">
        <is>
          <t>北野線</t>
        </is>
      </c>
      <c r="D6319" s="10" t="inlineStr">
        <is>
          <t>上り</t>
        </is>
      </c>
      <c r="E6319" t="inlineStr">
        <is>
          <t>0652</t>
        </is>
      </c>
      <c r="F6319" t="inlineStr">
        <is>
          <t>0304</t>
        </is>
      </c>
      <c r="G6319" s="10" t="inlineStr">
        <is>
          <t>撮影所前</t>
        </is>
      </c>
      <c r="H6319" s="10" t="inlineStr">
        <is>
          <t>発</t>
        </is>
      </c>
      <c r="J6319" s="10" t="inlineStr">
        <is>
          <t>営業</t>
        </is>
      </c>
      <c r="K6319" t="inlineStr">
        <is>
          <t>←0593</t>
        </is>
      </c>
      <c r="L6319" t="inlineStr">
        <is>
          <t>6:02:45</t>
        </is>
      </c>
      <c r="M6319" t="inlineStr">
        <is>
          <t>6:02:55</t>
        </is>
      </c>
    </row>
    <row r="6320" ht="15" customHeight="1" s="37">
      <c r="A6320" t="n">
        <v>17</v>
      </c>
      <c r="B6320" s="10" t="inlineStr">
        <is>
          <t>平日</t>
        </is>
      </c>
      <c r="C6320" s="10" t="inlineStr">
        <is>
          <t>北野線</t>
        </is>
      </c>
      <c r="D6320" s="10" t="inlineStr">
        <is>
          <t>上り</t>
        </is>
      </c>
      <c r="E6320" t="inlineStr">
        <is>
          <t>0652</t>
        </is>
      </c>
      <c r="F6320" t="inlineStr">
        <is>
          <t>0304</t>
        </is>
      </c>
      <c r="G6320" s="10" t="inlineStr">
        <is>
          <t>常盤</t>
        </is>
      </c>
      <c r="H6320" s="10" t="inlineStr">
        <is>
          <t>発</t>
        </is>
      </c>
      <c r="J6320" s="10" t="inlineStr">
        <is>
          <t>営業</t>
        </is>
      </c>
      <c r="K6320" t="inlineStr">
        <is>
          <t>←0593</t>
        </is>
      </c>
      <c r="L6320" t="inlineStr">
        <is>
          <t>6:04:15</t>
        </is>
      </c>
      <c r="M6320" t="inlineStr">
        <is>
          <t>6:04:35</t>
        </is>
      </c>
    </row>
    <row r="6321" ht="15" customHeight="1" s="37">
      <c r="A6321" t="n">
        <v>17</v>
      </c>
      <c r="B6321" s="10" t="inlineStr">
        <is>
          <t>平日</t>
        </is>
      </c>
      <c r="C6321" s="10" t="inlineStr">
        <is>
          <t>北野線</t>
        </is>
      </c>
      <c r="D6321" s="10" t="inlineStr">
        <is>
          <t>上り</t>
        </is>
      </c>
      <c r="E6321" t="inlineStr">
        <is>
          <t>0652</t>
        </is>
      </c>
      <c r="F6321" t="inlineStr">
        <is>
          <t>0304</t>
        </is>
      </c>
      <c r="G6321" s="10" t="inlineStr">
        <is>
          <t>鳴滝</t>
        </is>
      </c>
      <c r="H6321" s="10" t="inlineStr">
        <is>
          <t>発</t>
        </is>
      </c>
      <c r="J6321" s="10" t="inlineStr">
        <is>
          <t>営業</t>
        </is>
      </c>
      <c r="K6321" t="inlineStr">
        <is>
          <t>←0593</t>
        </is>
      </c>
      <c r="L6321" t="inlineStr">
        <is>
          <t>6:05:35</t>
        </is>
      </c>
      <c r="M6321" t="inlineStr">
        <is>
          <t>6:05:55</t>
        </is>
      </c>
    </row>
    <row r="6322" ht="15" customHeight="1" s="37">
      <c r="A6322" t="n">
        <v>17</v>
      </c>
      <c r="B6322" s="10" t="inlineStr">
        <is>
          <t>平日</t>
        </is>
      </c>
      <c r="C6322" s="10" t="inlineStr">
        <is>
          <t>北野線</t>
        </is>
      </c>
      <c r="D6322" s="10" t="inlineStr">
        <is>
          <t>上り</t>
        </is>
      </c>
      <c r="E6322" t="inlineStr">
        <is>
          <t>0652</t>
        </is>
      </c>
      <c r="F6322" t="inlineStr">
        <is>
          <t>0304</t>
        </is>
      </c>
      <c r="G6322" s="10" t="inlineStr">
        <is>
          <t>宇多野</t>
        </is>
      </c>
      <c r="H6322" s="10" t="inlineStr">
        <is>
          <t>発</t>
        </is>
      </c>
      <c r="J6322" s="10" t="inlineStr">
        <is>
          <t>営業</t>
        </is>
      </c>
      <c r="K6322" t="inlineStr">
        <is>
          <t>←0593</t>
        </is>
      </c>
      <c r="L6322" t="inlineStr">
        <is>
          <t>6:07:15</t>
        </is>
      </c>
      <c r="M6322" t="inlineStr">
        <is>
          <t>6:07:30</t>
        </is>
      </c>
    </row>
    <row r="6323" ht="15" customHeight="1" s="37">
      <c r="A6323" t="n">
        <v>17</v>
      </c>
      <c r="B6323" s="10" t="inlineStr">
        <is>
          <t>平日</t>
        </is>
      </c>
      <c r="C6323" s="10" t="inlineStr">
        <is>
          <t>北野線</t>
        </is>
      </c>
      <c r="D6323" s="10" t="inlineStr">
        <is>
          <t>上り</t>
        </is>
      </c>
      <c r="E6323" t="inlineStr">
        <is>
          <t>0652</t>
        </is>
      </c>
      <c r="F6323" t="inlineStr">
        <is>
          <t>0304</t>
        </is>
      </c>
      <c r="G6323" s="10" t="inlineStr">
        <is>
          <t>御室仁和寺</t>
        </is>
      </c>
      <c r="H6323" s="10" t="inlineStr">
        <is>
          <t>発</t>
        </is>
      </c>
      <c r="J6323" s="10" t="inlineStr">
        <is>
          <t>営業</t>
        </is>
      </c>
      <c r="K6323" t="inlineStr">
        <is>
          <t>←0593</t>
        </is>
      </c>
      <c r="L6323" t="inlineStr">
        <is>
          <t>6:08:30</t>
        </is>
      </c>
      <c r="M6323" t="inlineStr">
        <is>
          <t>6:08:50</t>
        </is>
      </c>
    </row>
    <row r="6324" ht="15" customHeight="1" s="37">
      <c r="A6324" t="n">
        <v>17</v>
      </c>
      <c r="B6324" s="10" t="inlineStr">
        <is>
          <t>平日</t>
        </is>
      </c>
      <c r="C6324" s="10" t="inlineStr">
        <is>
          <t>北野線</t>
        </is>
      </c>
      <c r="D6324" s="10" t="inlineStr">
        <is>
          <t>上り</t>
        </is>
      </c>
      <c r="E6324" t="inlineStr">
        <is>
          <t>0652</t>
        </is>
      </c>
      <c r="F6324" t="inlineStr">
        <is>
          <t>0304</t>
        </is>
      </c>
      <c r="G6324" s="10" t="inlineStr">
        <is>
          <t>妙心寺</t>
        </is>
      </c>
      <c r="H6324" s="10" t="inlineStr">
        <is>
          <t>発</t>
        </is>
      </c>
      <c r="J6324" s="10" t="inlineStr">
        <is>
          <t>営業</t>
        </is>
      </c>
      <c r="K6324" t="inlineStr">
        <is>
          <t>←0593</t>
        </is>
      </c>
      <c r="L6324" t="inlineStr">
        <is>
          <t>6:09:50</t>
        </is>
      </c>
      <c r="M6324" t="inlineStr">
        <is>
          <t>6:09:55</t>
        </is>
      </c>
    </row>
    <row r="6325" ht="15" customHeight="1" s="37">
      <c r="A6325" t="n">
        <v>17</v>
      </c>
      <c r="B6325" s="10" t="inlineStr">
        <is>
          <t>平日</t>
        </is>
      </c>
      <c r="C6325" s="10" t="inlineStr">
        <is>
          <t>北野線</t>
        </is>
      </c>
      <c r="D6325" s="10" t="inlineStr">
        <is>
          <t>上り</t>
        </is>
      </c>
      <c r="E6325" t="inlineStr">
        <is>
          <t>0652</t>
        </is>
      </c>
      <c r="F6325" t="inlineStr">
        <is>
          <t>0304</t>
        </is>
      </c>
      <c r="G6325" s="10" t="inlineStr">
        <is>
          <t>龍安寺</t>
        </is>
      </c>
      <c r="H6325" s="10" t="inlineStr">
        <is>
          <t>発</t>
        </is>
      </c>
      <c r="J6325" s="10" t="inlineStr">
        <is>
          <t>営業</t>
        </is>
      </c>
      <c r="K6325" t="inlineStr">
        <is>
          <t>←0593</t>
        </is>
      </c>
      <c r="L6325" t="inlineStr">
        <is>
          <t>6:10:50</t>
        </is>
      </c>
      <c r="M6325" t="inlineStr">
        <is>
          <t>6:10:55</t>
        </is>
      </c>
    </row>
    <row r="6326" ht="15" customHeight="1" s="37">
      <c r="A6326" t="n">
        <v>17</v>
      </c>
      <c r="B6326" s="10" t="inlineStr">
        <is>
          <t>平日</t>
        </is>
      </c>
      <c r="C6326" s="10" t="inlineStr">
        <is>
          <t>北野線</t>
        </is>
      </c>
      <c r="D6326" s="10" t="inlineStr">
        <is>
          <t>上り</t>
        </is>
      </c>
      <c r="E6326" t="inlineStr">
        <is>
          <t>0652</t>
        </is>
      </c>
      <c r="F6326" t="inlineStr">
        <is>
          <t>0304</t>
        </is>
      </c>
      <c r="G6326" s="10" t="inlineStr">
        <is>
          <t>等持院</t>
        </is>
      </c>
      <c r="H6326" s="10" t="inlineStr">
        <is>
          <t>発</t>
        </is>
      </c>
      <c r="J6326" s="10" t="inlineStr">
        <is>
          <t>営業</t>
        </is>
      </c>
      <c r="K6326" t="inlineStr">
        <is>
          <t>←0593</t>
        </is>
      </c>
      <c r="L6326" t="inlineStr">
        <is>
          <t>6:11:35</t>
        </is>
      </c>
      <c r="M6326" t="inlineStr">
        <is>
          <t>6:11:45</t>
        </is>
      </c>
    </row>
    <row r="6327" ht="15" customHeight="1" s="37">
      <c r="A6327" t="n">
        <v>17</v>
      </c>
      <c r="B6327" s="10" t="inlineStr">
        <is>
          <t>平日</t>
        </is>
      </c>
      <c r="C6327" s="10" t="inlineStr">
        <is>
          <t>北野線</t>
        </is>
      </c>
      <c r="D6327" s="10" t="inlineStr">
        <is>
          <t>上り</t>
        </is>
      </c>
      <c r="E6327" t="inlineStr">
        <is>
          <t>0652</t>
        </is>
      </c>
      <c r="F6327" t="inlineStr">
        <is>
          <t>0304</t>
        </is>
      </c>
      <c r="G6327" s="10" t="inlineStr">
        <is>
          <t>北野白梅町</t>
        </is>
      </c>
      <c r="H6327" s="10" t="inlineStr">
        <is>
          <t>着</t>
        </is>
      </c>
      <c r="J6327" s="10" t="inlineStr">
        <is>
          <t>営業</t>
        </is>
      </c>
      <c r="K6327" t="inlineStr">
        <is>
          <t>←0593</t>
        </is>
      </c>
      <c r="L6327" t="inlineStr">
        <is>
          <t>6:13:35</t>
        </is>
      </c>
      <c r="N6327" t="inlineStr">
        <is>
          <t>○</t>
        </is>
      </c>
      <c r="Q6327" t="inlineStr">
        <is>
          <t>1</t>
        </is>
      </c>
    </row>
    <row r="6328" ht="15" customHeight="1" s="37">
      <c r="A6328" t="n">
        <v>17</v>
      </c>
      <c r="B6328" s="10" t="inlineStr">
        <is>
          <t>平日</t>
        </is>
      </c>
      <c r="C6328" s="10" t="inlineStr">
        <is>
          <t>北野線</t>
        </is>
      </c>
      <c r="D6328" s="10" t="inlineStr">
        <is>
          <t>下り</t>
        </is>
      </c>
      <c r="E6328" t="inlineStr">
        <is>
          <t>0653</t>
        </is>
      </c>
      <c r="F6328" t="inlineStr">
        <is>
          <t>0403</t>
        </is>
      </c>
      <c r="G6328" s="10" t="inlineStr">
        <is>
          <t>北野白梅町</t>
        </is>
      </c>
      <c r="H6328" s="10" t="inlineStr">
        <is>
          <t>発</t>
        </is>
      </c>
      <c r="J6328" s="10" t="inlineStr">
        <is>
          <t>営業</t>
        </is>
      </c>
      <c r="M6328" t="inlineStr">
        <is>
          <t>6:19:50</t>
        </is>
      </c>
      <c r="Q6328" t="inlineStr">
        <is>
          <t>1</t>
        </is>
      </c>
    </row>
    <row r="6329" ht="15" customHeight="1" s="37">
      <c r="A6329" t="n">
        <v>17</v>
      </c>
      <c r="B6329" s="10" t="inlineStr">
        <is>
          <t>平日</t>
        </is>
      </c>
      <c r="C6329" s="10" t="inlineStr">
        <is>
          <t>北野線</t>
        </is>
      </c>
      <c r="D6329" s="10" t="inlineStr">
        <is>
          <t>下り</t>
        </is>
      </c>
      <c r="E6329" t="inlineStr">
        <is>
          <t>0653</t>
        </is>
      </c>
      <c r="F6329" t="inlineStr">
        <is>
          <t>0403</t>
        </is>
      </c>
      <c r="G6329" s="10" t="inlineStr">
        <is>
          <t>等持院</t>
        </is>
      </c>
      <c r="H6329" s="10" t="inlineStr">
        <is>
          <t>発</t>
        </is>
      </c>
      <c r="J6329" s="10" t="inlineStr">
        <is>
          <t>営業</t>
        </is>
      </c>
      <c r="L6329" t="inlineStr">
        <is>
          <t>6:21:15</t>
        </is>
      </c>
      <c r="M6329" t="inlineStr">
        <is>
          <t>6:21:25</t>
        </is>
      </c>
    </row>
    <row r="6330" ht="15" customHeight="1" s="37">
      <c r="A6330" t="n">
        <v>17</v>
      </c>
      <c r="B6330" s="10" t="inlineStr">
        <is>
          <t>平日</t>
        </is>
      </c>
      <c r="C6330" s="10" t="inlineStr">
        <is>
          <t>北野線</t>
        </is>
      </c>
      <c r="D6330" s="10" t="inlineStr">
        <is>
          <t>下り</t>
        </is>
      </c>
      <c r="E6330" t="inlineStr">
        <is>
          <t>0653</t>
        </is>
      </c>
      <c r="F6330" t="inlineStr">
        <is>
          <t>0403</t>
        </is>
      </c>
      <c r="G6330" s="10" t="inlineStr">
        <is>
          <t>龍安寺</t>
        </is>
      </c>
      <c r="H6330" s="10" t="inlineStr">
        <is>
          <t>発</t>
        </is>
      </c>
      <c r="J6330" s="10" t="inlineStr">
        <is>
          <t>営業</t>
        </is>
      </c>
      <c r="L6330" t="inlineStr">
        <is>
          <t>6:22:15</t>
        </is>
      </c>
      <c r="M6330" t="inlineStr">
        <is>
          <t>6:22:35</t>
        </is>
      </c>
    </row>
    <row r="6331" ht="16.5" customHeight="1" s="37">
      <c r="A6331" t="n">
        <v>17</v>
      </c>
      <c r="B6331" s="10" t="inlineStr">
        <is>
          <t>平日</t>
        </is>
      </c>
      <c r="C6331" s="10" t="inlineStr">
        <is>
          <t>北野線</t>
        </is>
      </c>
      <c r="D6331" s="10" t="inlineStr">
        <is>
          <t>下り</t>
        </is>
      </c>
      <c r="E6331" t="inlineStr">
        <is>
          <t>0653</t>
        </is>
      </c>
      <c r="F6331" t="inlineStr">
        <is>
          <t>0403</t>
        </is>
      </c>
      <c r="G6331" s="10" t="inlineStr">
        <is>
          <t>妙心寺</t>
        </is>
      </c>
      <c r="H6331" s="10" t="inlineStr">
        <is>
          <t>発</t>
        </is>
      </c>
      <c r="J6331" s="10" t="inlineStr">
        <is>
          <t>営業</t>
        </is>
      </c>
      <c r="L6331" t="inlineStr">
        <is>
          <t>6:23:30</t>
        </is>
      </c>
      <c r="M6331" t="inlineStr">
        <is>
          <t>6:23:40</t>
        </is>
      </c>
    </row>
    <row r="6332" ht="16.5" customHeight="1" s="37">
      <c r="A6332" t="n">
        <v>17</v>
      </c>
      <c r="B6332" s="10" t="inlineStr">
        <is>
          <t>平日</t>
        </is>
      </c>
      <c r="C6332" s="10" t="inlineStr">
        <is>
          <t>北野線</t>
        </is>
      </c>
      <c r="D6332" s="10" t="inlineStr">
        <is>
          <t>下り</t>
        </is>
      </c>
      <c r="E6332" t="inlineStr">
        <is>
          <t>0653</t>
        </is>
      </c>
      <c r="F6332" t="inlineStr">
        <is>
          <t>0403</t>
        </is>
      </c>
      <c r="G6332" s="10" t="inlineStr">
        <is>
          <t>御室仁和寺</t>
        </is>
      </c>
      <c r="H6332" s="10" t="inlineStr">
        <is>
          <t>発</t>
        </is>
      </c>
      <c r="J6332" s="10" t="inlineStr">
        <is>
          <t>営業</t>
        </is>
      </c>
      <c r="L6332" t="inlineStr">
        <is>
          <t>6:24:40</t>
        </is>
      </c>
      <c r="M6332" t="inlineStr">
        <is>
          <t>6:24:50</t>
        </is>
      </c>
    </row>
    <row r="6333" ht="16.5" customHeight="1" s="37">
      <c r="A6333" t="n">
        <v>17</v>
      </c>
      <c r="B6333" s="10" t="inlineStr">
        <is>
          <t>平日</t>
        </is>
      </c>
      <c r="C6333" s="10" t="inlineStr">
        <is>
          <t>北野線</t>
        </is>
      </c>
      <c r="D6333" s="10" t="inlineStr">
        <is>
          <t>下り</t>
        </is>
      </c>
      <c r="E6333" t="inlineStr">
        <is>
          <t>0653</t>
        </is>
      </c>
      <c r="F6333" t="inlineStr">
        <is>
          <t>0403</t>
        </is>
      </c>
      <c r="G6333" s="10" t="inlineStr">
        <is>
          <t>宇多野</t>
        </is>
      </c>
      <c r="H6333" s="10" t="inlineStr">
        <is>
          <t>発</t>
        </is>
      </c>
      <c r="J6333" s="10" t="inlineStr">
        <is>
          <t>営業</t>
        </is>
      </c>
      <c r="L6333" t="inlineStr">
        <is>
          <t>6:25:50</t>
        </is>
      </c>
      <c r="M6333" t="inlineStr">
        <is>
          <t>6:25:55</t>
        </is>
      </c>
    </row>
    <row r="6334" ht="16.5" customHeight="1" s="37">
      <c r="A6334" t="n">
        <v>17</v>
      </c>
      <c r="B6334" s="10" t="inlineStr">
        <is>
          <t>平日</t>
        </is>
      </c>
      <c r="C6334" s="10" t="inlineStr">
        <is>
          <t>北野線</t>
        </is>
      </c>
      <c r="D6334" s="10" t="inlineStr">
        <is>
          <t>下り</t>
        </is>
      </c>
      <c r="E6334" t="inlineStr">
        <is>
          <t>0653</t>
        </is>
      </c>
      <c r="F6334" t="inlineStr">
        <is>
          <t>0403</t>
        </is>
      </c>
      <c r="G6334" s="10" t="inlineStr">
        <is>
          <t>鳴滝</t>
        </is>
      </c>
      <c r="H6334" s="10" t="inlineStr">
        <is>
          <t>発</t>
        </is>
      </c>
      <c r="J6334" s="10" t="inlineStr">
        <is>
          <t>営業</t>
        </is>
      </c>
      <c r="L6334" t="inlineStr">
        <is>
          <t>6:27:15</t>
        </is>
      </c>
      <c r="M6334" t="inlineStr">
        <is>
          <t>6:27:25</t>
        </is>
      </c>
    </row>
    <row r="6335" ht="16.5" customHeight="1" s="37">
      <c r="A6335" t="n">
        <v>17</v>
      </c>
      <c r="B6335" s="10" t="inlineStr">
        <is>
          <t>平日</t>
        </is>
      </c>
      <c r="C6335" s="10" t="inlineStr">
        <is>
          <t>北野線</t>
        </is>
      </c>
      <c r="D6335" s="10" t="inlineStr">
        <is>
          <t>下り</t>
        </is>
      </c>
      <c r="E6335" t="inlineStr">
        <is>
          <t>0653</t>
        </is>
      </c>
      <c r="F6335" t="inlineStr">
        <is>
          <t>0403</t>
        </is>
      </c>
      <c r="G6335" s="10" t="inlineStr">
        <is>
          <t>常盤</t>
        </is>
      </c>
      <c r="H6335" s="10" t="inlineStr">
        <is>
          <t>発</t>
        </is>
      </c>
      <c r="J6335" s="10" t="inlineStr">
        <is>
          <t>営業</t>
        </is>
      </c>
      <c r="L6335" t="inlineStr">
        <is>
          <t>6:28:15</t>
        </is>
      </c>
      <c r="M6335" t="inlineStr">
        <is>
          <t>6:28:30</t>
        </is>
      </c>
    </row>
    <row r="6336" ht="16.5" customHeight="1" s="37">
      <c r="A6336" t="n">
        <v>17</v>
      </c>
      <c r="B6336" s="10" t="inlineStr">
        <is>
          <t>平日</t>
        </is>
      </c>
      <c r="C6336" s="10" t="inlineStr">
        <is>
          <t>北野線</t>
        </is>
      </c>
      <c r="D6336" s="10" t="inlineStr">
        <is>
          <t>下り</t>
        </is>
      </c>
      <c r="E6336" t="inlineStr">
        <is>
          <t>0653</t>
        </is>
      </c>
      <c r="F6336" t="inlineStr">
        <is>
          <t>0403</t>
        </is>
      </c>
      <c r="G6336" s="10" t="inlineStr">
        <is>
          <t>撮影所前</t>
        </is>
      </c>
      <c r="H6336" s="10" t="inlineStr">
        <is>
          <t>発</t>
        </is>
      </c>
      <c r="J6336" s="10" t="inlineStr">
        <is>
          <t>営業</t>
        </is>
      </c>
      <c r="L6336" t="inlineStr">
        <is>
          <t>6:29:50</t>
        </is>
      </c>
      <c r="M6336" t="inlineStr">
        <is>
          <t>6:29:55</t>
        </is>
      </c>
    </row>
    <row r="6337" ht="16.5" customHeight="1" s="37">
      <c r="A6337" t="n">
        <v>17</v>
      </c>
      <c r="B6337" s="10" t="inlineStr">
        <is>
          <t>平日</t>
        </is>
      </c>
      <c r="C6337" s="10" t="inlineStr">
        <is>
          <t>北野線</t>
        </is>
      </c>
      <c r="D6337" s="10" t="inlineStr">
        <is>
          <t>下り</t>
        </is>
      </c>
      <c r="E6337" t="inlineStr">
        <is>
          <t>0653</t>
        </is>
      </c>
      <c r="F6337" t="inlineStr">
        <is>
          <t>0403</t>
        </is>
      </c>
      <c r="G6337" s="10" t="inlineStr">
        <is>
          <t>帷子ノ辻</t>
        </is>
      </c>
      <c r="H6337" s="10" t="inlineStr">
        <is>
          <t>着</t>
        </is>
      </c>
      <c r="J6337" s="10" t="inlineStr">
        <is>
          <t>営業</t>
        </is>
      </c>
      <c r="L6337" t="inlineStr">
        <is>
          <t>6:31:00</t>
        </is>
      </c>
      <c r="N6337" t="inlineStr">
        <is>
          <t>○</t>
        </is>
      </c>
      <c r="Q6337" t="inlineStr">
        <is>
          <t>4</t>
        </is>
      </c>
    </row>
    <row r="6338" ht="16.5" customHeight="1" s="37">
      <c r="A6338" t="n">
        <v>17</v>
      </c>
      <c r="B6338" s="10" t="inlineStr">
        <is>
          <t>平日</t>
        </is>
      </c>
      <c r="C6338" s="10" t="inlineStr">
        <is>
          <t>北野線</t>
        </is>
      </c>
      <c r="D6338" s="10" t="inlineStr">
        <is>
          <t>上り</t>
        </is>
      </c>
      <c r="E6338" t="inlineStr">
        <is>
          <t>0656</t>
        </is>
      </c>
      <c r="F6338" t="inlineStr">
        <is>
          <t>0304</t>
        </is>
      </c>
      <c r="G6338" s="10" t="inlineStr">
        <is>
          <t>帷子ノ辻</t>
        </is>
      </c>
      <c r="H6338" s="10" t="inlineStr">
        <is>
          <t>発</t>
        </is>
      </c>
      <c r="J6338" s="10" t="inlineStr">
        <is>
          <t>営業</t>
        </is>
      </c>
      <c r="M6338" t="inlineStr">
        <is>
          <t>6:34:00</t>
        </is>
      </c>
      <c r="Q6338" t="inlineStr">
        <is>
          <t>4</t>
        </is>
      </c>
    </row>
    <row r="6339" ht="16.5" customHeight="1" s="37">
      <c r="A6339" t="n">
        <v>17</v>
      </c>
      <c r="B6339" s="10" t="inlineStr">
        <is>
          <t>平日</t>
        </is>
      </c>
      <c r="C6339" s="10" t="inlineStr">
        <is>
          <t>北野線</t>
        </is>
      </c>
      <c r="D6339" s="10" t="inlineStr">
        <is>
          <t>上り</t>
        </is>
      </c>
      <c r="E6339" t="inlineStr">
        <is>
          <t>0656</t>
        </is>
      </c>
      <c r="F6339" t="inlineStr">
        <is>
          <t>0304</t>
        </is>
      </c>
      <c r="G6339" s="10" t="inlineStr">
        <is>
          <t>撮影所前</t>
        </is>
      </c>
      <c r="H6339" s="10" t="inlineStr">
        <is>
          <t>発</t>
        </is>
      </c>
      <c r="J6339" s="10" t="inlineStr">
        <is>
          <t>営業</t>
        </is>
      </c>
      <c r="L6339" t="inlineStr">
        <is>
          <t>6:35:00</t>
        </is>
      </c>
      <c r="M6339" t="inlineStr">
        <is>
          <t>6:35:15</t>
        </is>
      </c>
    </row>
    <row r="6340" ht="16.5" customHeight="1" s="37">
      <c r="A6340" t="n">
        <v>17</v>
      </c>
      <c r="B6340" s="10" t="inlineStr">
        <is>
          <t>平日</t>
        </is>
      </c>
      <c r="C6340" s="10" t="inlineStr">
        <is>
          <t>北野線</t>
        </is>
      </c>
      <c r="D6340" s="10" t="inlineStr">
        <is>
          <t>上り</t>
        </is>
      </c>
      <c r="E6340" t="inlineStr">
        <is>
          <t>0656</t>
        </is>
      </c>
      <c r="F6340" t="inlineStr">
        <is>
          <t>0304</t>
        </is>
      </c>
      <c r="G6340" s="10" t="inlineStr">
        <is>
          <t>常盤</t>
        </is>
      </c>
      <c r="H6340" s="10" t="inlineStr">
        <is>
          <t>発</t>
        </is>
      </c>
      <c r="J6340" s="10" t="inlineStr">
        <is>
          <t>営業</t>
        </is>
      </c>
      <c r="L6340" t="inlineStr">
        <is>
          <t>6:36:35</t>
        </is>
      </c>
      <c r="M6340" t="inlineStr">
        <is>
          <t>6:36:55</t>
        </is>
      </c>
    </row>
    <row r="6341" ht="16.5" customHeight="1" s="37">
      <c r="A6341" t="n">
        <v>17</v>
      </c>
      <c r="B6341" s="10" t="inlineStr">
        <is>
          <t>平日</t>
        </is>
      </c>
      <c r="C6341" s="10" t="inlineStr">
        <is>
          <t>北野線</t>
        </is>
      </c>
      <c r="D6341" s="10" t="inlineStr">
        <is>
          <t>上り</t>
        </is>
      </c>
      <c r="E6341" t="inlineStr">
        <is>
          <t>0656</t>
        </is>
      </c>
      <c r="F6341" t="inlineStr">
        <is>
          <t>0304</t>
        </is>
      </c>
      <c r="G6341" s="10" t="inlineStr">
        <is>
          <t>鳴滝</t>
        </is>
      </c>
      <c r="H6341" s="10" t="inlineStr">
        <is>
          <t>発</t>
        </is>
      </c>
      <c r="J6341" s="10" t="inlineStr">
        <is>
          <t>営業</t>
        </is>
      </c>
      <c r="L6341" t="inlineStr">
        <is>
          <t>6:37:55</t>
        </is>
      </c>
      <c r="M6341" t="inlineStr">
        <is>
          <t>6:38:15</t>
        </is>
      </c>
    </row>
    <row r="6342" ht="16.5" customHeight="1" s="37">
      <c r="A6342" t="n">
        <v>17</v>
      </c>
      <c r="B6342" s="10" t="inlineStr">
        <is>
          <t>平日</t>
        </is>
      </c>
      <c r="C6342" s="10" t="inlineStr">
        <is>
          <t>北野線</t>
        </is>
      </c>
      <c r="D6342" s="10" t="inlineStr">
        <is>
          <t>上り</t>
        </is>
      </c>
      <c r="E6342" t="inlineStr">
        <is>
          <t>0656</t>
        </is>
      </c>
      <c r="F6342" t="inlineStr">
        <is>
          <t>0304</t>
        </is>
      </c>
      <c r="G6342" s="10" t="inlineStr">
        <is>
          <t>宇多野</t>
        </is>
      </c>
      <c r="H6342" s="10" t="inlineStr">
        <is>
          <t>発</t>
        </is>
      </c>
      <c r="J6342" s="10" t="inlineStr">
        <is>
          <t>営業</t>
        </is>
      </c>
      <c r="L6342" t="inlineStr">
        <is>
          <t>6:39:35</t>
        </is>
      </c>
      <c r="M6342" t="inlineStr">
        <is>
          <t>6:39:50</t>
        </is>
      </c>
    </row>
    <row r="6343" ht="16.5" customHeight="1" s="37">
      <c r="A6343" t="n">
        <v>17</v>
      </c>
      <c r="B6343" s="10" t="inlineStr">
        <is>
          <t>平日</t>
        </is>
      </c>
      <c r="C6343" s="10" t="inlineStr">
        <is>
          <t>北野線</t>
        </is>
      </c>
      <c r="D6343" s="10" t="inlineStr">
        <is>
          <t>上り</t>
        </is>
      </c>
      <c r="E6343" t="inlineStr">
        <is>
          <t>0656</t>
        </is>
      </c>
      <c r="F6343" t="inlineStr">
        <is>
          <t>0304</t>
        </is>
      </c>
      <c r="G6343" s="10" t="inlineStr">
        <is>
          <t>御室仁和寺</t>
        </is>
      </c>
      <c r="H6343" s="10" t="inlineStr">
        <is>
          <t>発</t>
        </is>
      </c>
      <c r="J6343" s="10" t="inlineStr">
        <is>
          <t>営業</t>
        </is>
      </c>
      <c r="L6343" t="inlineStr">
        <is>
          <t>6:40:50</t>
        </is>
      </c>
      <c r="M6343" t="inlineStr">
        <is>
          <t>6:40:55</t>
        </is>
      </c>
    </row>
    <row r="6344" ht="16.5" customHeight="1" s="37">
      <c r="A6344" t="n">
        <v>17</v>
      </c>
      <c r="B6344" s="10" t="inlineStr">
        <is>
          <t>平日</t>
        </is>
      </c>
      <c r="C6344" s="10" t="inlineStr">
        <is>
          <t>北野線</t>
        </is>
      </c>
      <c r="D6344" s="10" t="inlineStr">
        <is>
          <t>上り</t>
        </is>
      </c>
      <c r="E6344" t="inlineStr">
        <is>
          <t>0656</t>
        </is>
      </c>
      <c r="F6344" t="inlineStr">
        <is>
          <t>0304</t>
        </is>
      </c>
      <c r="G6344" s="10" t="inlineStr">
        <is>
          <t>妙心寺</t>
        </is>
      </c>
      <c r="H6344" s="10" t="inlineStr">
        <is>
          <t>発</t>
        </is>
      </c>
      <c r="J6344" s="10" t="inlineStr">
        <is>
          <t>営業</t>
        </is>
      </c>
      <c r="L6344" t="inlineStr">
        <is>
          <t>6:41:55</t>
        </is>
      </c>
      <c r="M6344" t="inlineStr">
        <is>
          <t>6:42:10</t>
        </is>
      </c>
    </row>
    <row r="6345" ht="16.5" customHeight="1" s="37">
      <c r="A6345" t="n">
        <v>17</v>
      </c>
      <c r="B6345" s="10" t="inlineStr">
        <is>
          <t>平日</t>
        </is>
      </c>
      <c r="C6345" s="10" t="inlineStr">
        <is>
          <t>北野線</t>
        </is>
      </c>
      <c r="D6345" s="10" t="inlineStr">
        <is>
          <t>上り</t>
        </is>
      </c>
      <c r="E6345" t="inlineStr">
        <is>
          <t>0656</t>
        </is>
      </c>
      <c r="F6345" t="inlineStr">
        <is>
          <t>0304</t>
        </is>
      </c>
      <c r="G6345" s="10" t="inlineStr">
        <is>
          <t>龍安寺</t>
        </is>
      </c>
      <c r="H6345" s="10" t="inlineStr">
        <is>
          <t>発</t>
        </is>
      </c>
      <c r="J6345" s="10" t="inlineStr">
        <is>
          <t>営業</t>
        </is>
      </c>
      <c r="L6345" t="inlineStr">
        <is>
          <t>6:43:05</t>
        </is>
      </c>
      <c r="M6345" t="inlineStr">
        <is>
          <t>6:43:25</t>
        </is>
      </c>
    </row>
    <row r="6346" ht="16.5" customHeight="1" s="37">
      <c r="A6346" t="n">
        <v>17</v>
      </c>
      <c r="B6346" s="10" t="inlineStr">
        <is>
          <t>平日</t>
        </is>
      </c>
      <c r="C6346" s="10" t="inlineStr">
        <is>
          <t>北野線</t>
        </is>
      </c>
      <c r="D6346" s="10" t="inlineStr">
        <is>
          <t>上り</t>
        </is>
      </c>
      <c r="E6346" t="inlineStr">
        <is>
          <t>0656</t>
        </is>
      </c>
      <c r="F6346" t="inlineStr">
        <is>
          <t>0304</t>
        </is>
      </c>
      <c r="G6346" s="10" t="inlineStr">
        <is>
          <t>等持院</t>
        </is>
      </c>
      <c r="H6346" s="10" t="inlineStr">
        <is>
          <t>発</t>
        </is>
      </c>
      <c r="J6346" s="10" t="inlineStr">
        <is>
          <t>営業</t>
        </is>
      </c>
      <c r="L6346" t="inlineStr">
        <is>
          <t>6:44:05</t>
        </is>
      </c>
      <c r="M6346" t="inlineStr">
        <is>
          <t>6:44:15</t>
        </is>
      </c>
    </row>
    <row r="6347" ht="16.5" customHeight="1" s="37">
      <c r="A6347" t="n">
        <v>17</v>
      </c>
      <c r="B6347" s="10" t="inlineStr">
        <is>
          <t>平日</t>
        </is>
      </c>
      <c r="C6347" s="10" t="inlineStr">
        <is>
          <t>北野線</t>
        </is>
      </c>
      <c r="D6347" s="10" t="inlineStr">
        <is>
          <t>上り</t>
        </is>
      </c>
      <c r="E6347" t="inlineStr">
        <is>
          <t>0656</t>
        </is>
      </c>
      <c r="F6347" t="inlineStr">
        <is>
          <t>0304</t>
        </is>
      </c>
      <c r="G6347" s="10" t="inlineStr">
        <is>
          <t>北野白梅町</t>
        </is>
      </c>
      <c r="H6347" s="10" t="inlineStr">
        <is>
          <t>着</t>
        </is>
      </c>
      <c r="J6347" s="10" t="inlineStr">
        <is>
          <t>営業</t>
        </is>
      </c>
      <c r="L6347" t="inlineStr">
        <is>
          <t>6:45:50</t>
        </is>
      </c>
      <c r="N6347" t="inlineStr">
        <is>
          <t>○</t>
        </is>
      </c>
      <c r="Q6347" t="inlineStr">
        <is>
          <t>1</t>
        </is>
      </c>
    </row>
    <row r="6348" ht="16.5" customHeight="1" s="37">
      <c r="A6348" t="n">
        <v>17</v>
      </c>
      <c r="B6348" s="10" t="inlineStr">
        <is>
          <t>平日</t>
        </is>
      </c>
      <c r="C6348" s="10" t="inlineStr">
        <is>
          <t>北野線</t>
        </is>
      </c>
      <c r="D6348" s="10" t="inlineStr">
        <is>
          <t>下り</t>
        </is>
      </c>
      <c r="E6348" t="inlineStr">
        <is>
          <t>0657</t>
        </is>
      </c>
      <c r="F6348" t="inlineStr">
        <is>
          <t>0453</t>
        </is>
      </c>
      <c r="G6348" s="10" t="inlineStr">
        <is>
          <t>北野白梅町</t>
        </is>
      </c>
      <c r="H6348" s="10" t="inlineStr">
        <is>
          <t>発</t>
        </is>
      </c>
      <c r="J6348" s="10" t="inlineStr">
        <is>
          <t>営業</t>
        </is>
      </c>
      <c r="M6348" t="inlineStr">
        <is>
          <t>6:52:00</t>
        </is>
      </c>
      <c r="Q6348" t="inlineStr">
        <is>
          <t>1</t>
        </is>
      </c>
    </row>
    <row r="6349" ht="16.5" customHeight="1" s="37">
      <c r="A6349" t="n">
        <v>17</v>
      </c>
      <c r="B6349" s="10" t="inlineStr">
        <is>
          <t>平日</t>
        </is>
      </c>
      <c r="C6349" s="10" t="inlineStr">
        <is>
          <t>北野線</t>
        </is>
      </c>
      <c r="D6349" s="10" t="inlineStr">
        <is>
          <t>下り</t>
        </is>
      </c>
      <c r="E6349" t="inlineStr">
        <is>
          <t>0657</t>
        </is>
      </c>
      <c r="F6349" t="inlineStr">
        <is>
          <t>0453</t>
        </is>
      </c>
      <c r="G6349" s="10" t="inlineStr">
        <is>
          <t>等持院</t>
        </is>
      </c>
      <c r="H6349" s="10" t="inlineStr">
        <is>
          <t>発</t>
        </is>
      </c>
      <c r="J6349" s="10" t="inlineStr">
        <is>
          <t>営業</t>
        </is>
      </c>
      <c r="L6349" t="inlineStr">
        <is>
          <t>6:53:25</t>
        </is>
      </c>
      <c r="M6349" t="inlineStr">
        <is>
          <t>6:53:35</t>
        </is>
      </c>
    </row>
    <row r="6350" ht="16.5" customHeight="1" s="37">
      <c r="A6350" t="n">
        <v>17</v>
      </c>
      <c r="B6350" s="10" t="inlineStr">
        <is>
          <t>平日</t>
        </is>
      </c>
      <c r="C6350" s="10" t="inlineStr">
        <is>
          <t>北野線</t>
        </is>
      </c>
      <c r="D6350" s="10" t="inlineStr">
        <is>
          <t>下り</t>
        </is>
      </c>
      <c r="E6350" t="inlineStr">
        <is>
          <t>0657</t>
        </is>
      </c>
      <c r="F6350" t="inlineStr">
        <is>
          <t>0453</t>
        </is>
      </c>
      <c r="G6350" s="10" t="inlineStr">
        <is>
          <t>龍安寺</t>
        </is>
      </c>
      <c r="H6350" s="10" t="inlineStr">
        <is>
          <t>発</t>
        </is>
      </c>
      <c r="J6350" s="10" t="inlineStr">
        <is>
          <t>営業</t>
        </is>
      </c>
      <c r="L6350" t="inlineStr">
        <is>
          <t>6:54:25</t>
        </is>
      </c>
      <c r="M6350" t="inlineStr">
        <is>
          <t>6:54:45</t>
        </is>
      </c>
    </row>
    <row r="6351" ht="16.5" customHeight="1" s="37">
      <c r="A6351" t="n">
        <v>17</v>
      </c>
      <c r="B6351" s="10" t="inlineStr">
        <is>
          <t>平日</t>
        </is>
      </c>
      <c r="C6351" s="10" t="inlineStr">
        <is>
          <t>北野線</t>
        </is>
      </c>
      <c r="D6351" s="10" t="inlineStr">
        <is>
          <t>下り</t>
        </is>
      </c>
      <c r="E6351" t="inlineStr">
        <is>
          <t>0657</t>
        </is>
      </c>
      <c r="F6351" t="inlineStr">
        <is>
          <t>0453</t>
        </is>
      </c>
      <c r="G6351" s="10" t="inlineStr">
        <is>
          <t>妙心寺</t>
        </is>
      </c>
      <c r="H6351" s="10" t="inlineStr">
        <is>
          <t>発</t>
        </is>
      </c>
      <c r="J6351" s="10" t="inlineStr">
        <is>
          <t>営業</t>
        </is>
      </c>
      <c r="L6351" t="inlineStr">
        <is>
          <t>6:55:40</t>
        </is>
      </c>
      <c r="M6351" t="inlineStr">
        <is>
          <t>6:55:50</t>
        </is>
      </c>
    </row>
    <row r="6352" ht="16.5" customHeight="1" s="37">
      <c r="A6352" t="n">
        <v>17</v>
      </c>
      <c r="B6352" s="10" t="inlineStr">
        <is>
          <t>平日</t>
        </is>
      </c>
      <c r="C6352" s="10" t="inlineStr">
        <is>
          <t>北野線</t>
        </is>
      </c>
      <c r="D6352" s="10" t="inlineStr">
        <is>
          <t>下り</t>
        </is>
      </c>
      <c r="E6352" t="inlineStr">
        <is>
          <t>0657</t>
        </is>
      </c>
      <c r="F6352" t="inlineStr">
        <is>
          <t>0453</t>
        </is>
      </c>
      <c r="G6352" s="10" t="inlineStr">
        <is>
          <t>御室仁和寺</t>
        </is>
      </c>
      <c r="H6352" s="10" t="inlineStr">
        <is>
          <t>発</t>
        </is>
      </c>
      <c r="J6352" s="10" t="inlineStr">
        <is>
          <t>営業</t>
        </is>
      </c>
      <c r="L6352" t="inlineStr">
        <is>
          <t>6:56:50</t>
        </is>
      </c>
      <c r="M6352" t="inlineStr">
        <is>
          <t>6:56:55</t>
        </is>
      </c>
    </row>
    <row r="6353" ht="16.5" customHeight="1" s="37">
      <c r="A6353" t="n">
        <v>17</v>
      </c>
      <c r="B6353" s="10" t="inlineStr">
        <is>
          <t>平日</t>
        </is>
      </c>
      <c r="C6353" s="10" t="inlineStr">
        <is>
          <t>北野線</t>
        </is>
      </c>
      <c r="D6353" s="10" t="inlineStr">
        <is>
          <t>下り</t>
        </is>
      </c>
      <c r="E6353" t="inlineStr">
        <is>
          <t>0657</t>
        </is>
      </c>
      <c r="F6353" t="inlineStr">
        <is>
          <t>0453</t>
        </is>
      </c>
      <c r="G6353" s="10" t="inlineStr">
        <is>
          <t>宇多野</t>
        </is>
      </c>
      <c r="H6353" s="10" t="inlineStr">
        <is>
          <t>発</t>
        </is>
      </c>
      <c r="J6353" s="10" t="inlineStr">
        <is>
          <t>営業</t>
        </is>
      </c>
      <c r="L6353" t="inlineStr">
        <is>
          <t>6:57:55</t>
        </is>
      </c>
      <c r="M6353" t="inlineStr">
        <is>
          <t>6:58:05</t>
        </is>
      </c>
    </row>
    <row r="6354" ht="16.5" customHeight="1" s="37">
      <c r="A6354" t="n">
        <v>17</v>
      </c>
      <c r="B6354" s="10" t="inlineStr">
        <is>
          <t>平日</t>
        </is>
      </c>
      <c r="C6354" s="10" t="inlineStr">
        <is>
          <t>北野線</t>
        </is>
      </c>
      <c r="D6354" s="10" t="inlineStr">
        <is>
          <t>下り</t>
        </is>
      </c>
      <c r="E6354" t="inlineStr">
        <is>
          <t>0657</t>
        </is>
      </c>
      <c r="F6354" t="inlineStr">
        <is>
          <t>0453</t>
        </is>
      </c>
      <c r="G6354" s="10" t="inlineStr">
        <is>
          <t>鳴滝</t>
        </is>
      </c>
      <c r="H6354" s="10" t="inlineStr">
        <is>
          <t>発</t>
        </is>
      </c>
      <c r="J6354" s="10" t="inlineStr">
        <is>
          <t>営業</t>
        </is>
      </c>
      <c r="L6354" t="inlineStr">
        <is>
          <t>6:59:25</t>
        </is>
      </c>
      <c r="M6354" t="inlineStr">
        <is>
          <t>6:59:35</t>
        </is>
      </c>
    </row>
    <row r="6355" ht="16.5" customHeight="1" s="37">
      <c r="A6355" t="n">
        <v>17</v>
      </c>
      <c r="B6355" s="10" t="inlineStr">
        <is>
          <t>平日</t>
        </is>
      </c>
      <c r="C6355" s="10" t="inlineStr">
        <is>
          <t>北野線</t>
        </is>
      </c>
      <c r="D6355" s="10" t="inlineStr">
        <is>
          <t>下り</t>
        </is>
      </c>
      <c r="E6355" t="inlineStr">
        <is>
          <t>0657</t>
        </is>
      </c>
      <c r="F6355" t="inlineStr">
        <is>
          <t>0453</t>
        </is>
      </c>
      <c r="G6355" s="10" t="inlineStr">
        <is>
          <t>常盤</t>
        </is>
      </c>
      <c r="H6355" s="10" t="inlineStr">
        <is>
          <t>発</t>
        </is>
      </c>
      <c r="J6355" s="10" t="inlineStr">
        <is>
          <t>営業</t>
        </is>
      </c>
      <c r="L6355" t="inlineStr">
        <is>
          <t>7:00:25</t>
        </is>
      </c>
      <c r="M6355" t="inlineStr">
        <is>
          <t>7:00:35</t>
        </is>
      </c>
    </row>
    <row r="6356" ht="16.5" customHeight="1" s="37">
      <c r="A6356" t="n">
        <v>17</v>
      </c>
      <c r="B6356" s="10" t="inlineStr">
        <is>
          <t>平日</t>
        </is>
      </c>
      <c r="C6356" s="10" t="inlineStr">
        <is>
          <t>北野線</t>
        </is>
      </c>
      <c r="D6356" s="10" t="inlineStr">
        <is>
          <t>下り</t>
        </is>
      </c>
      <c r="E6356" t="inlineStr">
        <is>
          <t>0657</t>
        </is>
      </c>
      <c r="F6356" t="inlineStr">
        <is>
          <t>0453</t>
        </is>
      </c>
      <c r="G6356" s="10" t="inlineStr">
        <is>
          <t>撮影所前</t>
        </is>
      </c>
      <c r="H6356" s="10" t="inlineStr">
        <is>
          <t>発</t>
        </is>
      </c>
      <c r="J6356" s="10" t="inlineStr">
        <is>
          <t>営業</t>
        </is>
      </c>
      <c r="L6356" t="inlineStr">
        <is>
          <t>7:01:55</t>
        </is>
      </c>
      <c r="M6356" t="inlineStr">
        <is>
          <t>7:02:05</t>
        </is>
      </c>
    </row>
    <row r="6357" ht="16.5" customHeight="1" s="37">
      <c r="A6357" t="n">
        <v>17</v>
      </c>
      <c r="B6357" s="10" t="inlineStr">
        <is>
          <t>平日</t>
        </is>
      </c>
      <c r="C6357" s="10" t="inlineStr">
        <is>
          <t>北野線</t>
        </is>
      </c>
      <c r="D6357" s="10" t="inlineStr">
        <is>
          <t>下り</t>
        </is>
      </c>
      <c r="E6357" t="inlineStr">
        <is>
          <t>0657</t>
        </is>
      </c>
      <c r="F6357" t="inlineStr">
        <is>
          <t>0453</t>
        </is>
      </c>
      <c r="G6357" s="10" t="inlineStr">
        <is>
          <t>帷子ノ辻</t>
        </is>
      </c>
      <c r="H6357" s="10" t="inlineStr">
        <is>
          <t>着</t>
        </is>
      </c>
      <c r="J6357" s="10" t="inlineStr">
        <is>
          <t>営業</t>
        </is>
      </c>
      <c r="L6357" t="inlineStr">
        <is>
          <t>7:03:00</t>
        </is>
      </c>
      <c r="Q6357" t="inlineStr">
        <is>
          <t>4</t>
        </is>
      </c>
    </row>
    <row r="6358" ht="16.5" customHeight="1" s="37">
      <c r="A6358" t="n">
        <v>17</v>
      </c>
      <c r="B6358" s="10" t="inlineStr">
        <is>
          <t>平日</t>
        </is>
      </c>
      <c r="C6358" s="10" t="inlineStr">
        <is>
          <t>北野線</t>
        </is>
      </c>
      <c r="D6358" s="10" t="inlineStr">
        <is>
          <t>上り</t>
        </is>
      </c>
      <c r="E6358" t="inlineStr">
        <is>
          <t>0752</t>
        </is>
      </c>
      <c r="F6358" t="inlineStr">
        <is>
          <t>0354</t>
        </is>
      </c>
      <c r="G6358" s="10" t="inlineStr">
        <is>
          <t>帷子ノ辻</t>
        </is>
      </c>
      <c r="H6358" s="10" t="inlineStr">
        <is>
          <t>発</t>
        </is>
      </c>
      <c r="J6358" s="10" t="inlineStr">
        <is>
          <t>営業</t>
        </is>
      </c>
      <c r="M6358" t="inlineStr">
        <is>
          <t>7:06:00</t>
        </is>
      </c>
      <c r="Q6358" t="inlineStr">
        <is>
          <t>4</t>
        </is>
      </c>
    </row>
    <row r="6359" ht="16.5" customHeight="1" s="37">
      <c r="A6359" t="n">
        <v>17</v>
      </c>
      <c r="B6359" s="10" t="inlineStr">
        <is>
          <t>平日</t>
        </is>
      </c>
      <c r="C6359" s="10" t="inlineStr">
        <is>
          <t>北野線</t>
        </is>
      </c>
      <c r="D6359" s="10" t="inlineStr">
        <is>
          <t>上り</t>
        </is>
      </c>
      <c r="E6359" t="inlineStr">
        <is>
          <t>0752</t>
        </is>
      </c>
      <c r="F6359" t="inlineStr">
        <is>
          <t>0354</t>
        </is>
      </c>
      <c r="G6359" s="10" t="inlineStr">
        <is>
          <t>撮影所前</t>
        </is>
      </c>
      <c r="H6359" s="10" t="inlineStr">
        <is>
          <t>発</t>
        </is>
      </c>
      <c r="J6359" s="10" t="inlineStr">
        <is>
          <t>営業</t>
        </is>
      </c>
      <c r="L6359" t="inlineStr">
        <is>
          <t>7:07:00</t>
        </is>
      </c>
      <c r="M6359" t="inlineStr">
        <is>
          <t>7:07:10</t>
        </is>
      </c>
    </row>
    <row r="6360" ht="16.5" customHeight="1" s="37">
      <c r="A6360" t="n">
        <v>17</v>
      </c>
      <c r="B6360" s="10" t="inlineStr">
        <is>
          <t>平日</t>
        </is>
      </c>
      <c r="C6360" s="10" t="inlineStr">
        <is>
          <t>北野線</t>
        </is>
      </c>
      <c r="D6360" s="10" t="inlineStr">
        <is>
          <t>上り</t>
        </is>
      </c>
      <c r="E6360" t="inlineStr">
        <is>
          <t>0752</t>
        </is>
      </c>
      <c r="F6360" t="inlineStr">
        <is>
          <t>0354</t>
        </is>
      </c>
      <c r="G6360" s="10" t="inlineStr">
        <is>
          <t>常盤</t>
        </is>
      </c>
      <c r="H6360" s="10" t="inlineStr">
        <is>
          <t>発</t>
        </is>
      </c>
      <c r="J6360" s="10" t="inlineStr">
        <is>
          <t>営業</t>
        </is>
      </c>
      <c r="L6360" t="inlineStr">
        <is>
          <t>7:08:30</t>
        </is>
      </c>
      <c r="M6360" t="inlineStr">
        <is>
          <t>7:08:50</t>
        </is>
      </c>
    </row>
    <row r="6361" ht="16.5" customHeight="1" s="37">
      <c r="A6361" t="n">
        <v>17</v>
      </c>
      <c r="B6361" s="10" t="inlineStr">
        <is>
          <t>平日</t>
        </is>
      </c>
      <c r="C6361" s="10" t="inlineStr">
        <is>
          <t>北野線</t>
        </is>
      </c>
      <c r="D6361" s="10" t="inlineStr">
        <is>
          <t>上り</t>
        </is>
      </c>
      <c r="E6361" t="inlineStr">
        <is>
          <t>0752</t>
        </is>
      </c>
      <c r="F6361" t="inlineStr">
        <is>
          <t>0354</t>
        </is>
      </c>
      <c r="G6361" s="10" t="inlineStr">
        <is>
          <t>鳴滝</t>
        </is>
      </c>
      <c r="H6361" s="10" t="inlineStr">
        <is>
          <t>発</t>
        </is>
      </c>
      <c r="J6361" s="10" t="inlineStr">
        <is>
          <t>営業</t>
        </is>
      </c>
      <c r="L6361" t="inlineStr">
        <is>
          <t>7:09:50</t>
        </is>
      </c>
      <c r="M6361" t="inlineStr">
        <is>
          <t>7:10:10</t>
        </is>
      </c>
    </row>
    <row r="6362" ht="16.5" customHeight="1" s="37">
      <c r="A6362" t="n">
        <v>17</v>
      </c>
      <c r="B6362" s="10" t="inlineStr">
        <is>
          <t>平日</t>
        </is>
      </c>
      <c r="C6362" s="10" t="inlineStr">
        <is>
          <t>北野線</t>
        </is>
      </c>
      <c r="D6362" s="10" t="inlineStr">
        <is>
          <t>上り</t>
        </is>
      </c>
      <c r="E6362" t="inlineStr">
        <is>
          <t>0752</t>
        </is>
      </c>
      <c r="F6362" t="inlineStr">
        <is>
          <t>0354</t>
        </is>
      </c>
      <c r="G6362" s="10" t="inlineStr">
        <is>
          <t>宇多野</t>
        </is>
      </c>
      <c r="H6362" s="10" t="inlineStr">
        <is>
          <t>発</t>
        </is>
      </c>
      <c r="J6362" s="10" t="inlineStr">
        <is>
          <t>営業</t>
        </is>
      </c>
      <c r="L6362" t="inlineStr">
        <is>
          <t>7:11:30</t>
        </is>
      </c>
      <c r="M6362" t="inlineStr">
        <is>
          <t>7:11:45</t>
        </is>
      </c>
    </row>
    <row r="6363" ht="16.5" customHeight="1" s="37">
      <c r="A6363" t="n">
        <v>17</v>
      </c>
      <c r="B6363" s="10" t="inlineStr">
        <is>
          <t>平日</t>
        </is>
      </c>
      <c r="C6363" s="10" t="inlineStr">
        <is>
          <t>北野線</t>
        </is>
      </c>
      <c r="D6363" s="10" t="inlineStr">
        <is>
          <t>上り</t>
        </is>
      </c>
      <c r="E6363" t="inlineStr">
        <is>
          <t>0752</t>
        </is>
      </c>
      <c r="F6363" t="inlineStr">
        <is>
          <t>0354</t>
        </is>
      </c>
      <c r="G6363" s="10" t="inlineStr">
        <is>
          <t>御室仁和寺</t>
        </is>
      </c>
      <c r="H6363" s="10" t="inlineStr">
        <is>
          <t>発</t>
        </is>
      </c>
      <c r="J6363" s="10" t="inlineStr">
        <is>
          <t>営業</t>
        </is>
      </c>
      <c r="L6363" t="inlineStr">
        <is>
          <t>7:12:45</t>
        </is>
      </c>
      <c r="M6363" t="inlineStr">
        <is>
          <t>7:12:55</t>
        </is>
      </c>
    </row>
    <row r="6364" ht="16.5" customHeight="1" s="37">
      <c r="A6364" t="n">
        <v>17</v>
      </c>
      <c r="B6364" s="10" t="inlineStr">
        <is>
          <t>平日</t>
        </is>
      </c>
      <c r="C6364" s="10" t="inlineStr">
        <is>
          <t>北野線</t>
        </is>
      </c>
      <c r="D6364" s="10" t="inlineStr">
        <is>
          <t>上り</t>
        </is>
      </c>
      <c r="E6364" t="inlineStr">
        <is>
          <t>0752</t>
        </is>
      </c>
      <c r="F6364" t="inlineStr">
        <is>
          <t>0354</t>
        </is>
      </c>
      <c r="G6364" s="10" t="inlineStr">
        <is>
          <t>妙心寺</t>
        </is>
      </c>
      <c r="H6364" s="10" t="inlineStr">
        <is>
          <t>発</t>
        </is>
      </c>
      <c r="J6364" s="10" t="inlineStr">
        <is>
          <t>営業</t>
        </is>
      </c>
      <c r="L6364" t="inlineStr">
        <is>
          <t>7:13:55</t>
        </is>
      </c>
      <c r="M6364" t="inlineStr">
        <is>
          <t>7:14:10</t>
        </is>
      </c>
    </row>
    <row r="6365" ht="16.5" customHeight="1" s="37">
      <c r="A6365" t="n">
        <v>17</v>
      </c>
      <c r="B6365" s="10" t="inlineStr">
        <is>
          <t>平日</t>
        </is>
      </c>
      <c r="C6365" s="10" t="inlineStr">
        <is>
          <t>北野線</t>
        </is>
      </c>
      <c r="D6365" s="10" t="inlineStr">
        <is>
          <t>上り</t>
        </is>
      </c>
      <c r="E6365" t="inlineStr">
        <is>
          <t>0752</t>
        </is>
      </c>
      <c r="F6365" t="inlineStr">
        <is>
          <t>0354</t>
        </is>
      </c>
      <c r="G6365" s="10" t="inlineStr">
        <is>
          <t>龍安寺</t>
        </is>
      </c>
      <c r="H6365" s="10" t="inlineStr">
        <is>
          <t>発</t>
        </is>
      </c>
      <c r="J6365" s="10" t="inlineStr">
        <is>
          <t>営業</t>
        </is>
      </c>
      <c r="L6365" t="inlineStr">
        <is>
          <t>7:15:05</t>
        </is>
      </c>
      <c r="M6365" t="inlineStr">
        <is>
          <t>7:15:20</t>
        </is>
      </c>
    </row>
    <row r="6366" ht="16.5" customHeight="1" s="37">
      <c r="A6366" t="n">
        <v>17</v>
      </c>
      <c r="B6366" s="10" t="inlineStr">
        <is>
          <t>平日</t>
        </is>
      </c>
      <c r="C6366" s="10" t="inlineStr">
        <is>
          <t>北野線</t>
        </is>
      </c>
      <c r="D6366" s="10" t="inlineStr">
        <is>
          <t>上り</t>
        </is>
      </c>
      <c r="E6366" t="inlineStr">
        <is>
          <t>0752</t>
        </is>
      </c>
      <c r="F6366" t="inlineStr">
        <is>
          <t>0354</t>
        </is>
      </c>
      <c r="G6366" s="10" t="inlineStr">
        <is>
          <t>等持院</t>
        </is>
      </c>
      <c r="H6366" s="10" t="inlineStr">
        <is>
          <t>発</t>
        </is>
      </c>
      <c r="J6366" s="10" t="inlineStr">
        <is>
          <t>営業</t>
        </is>
      </c>
      <c r="L6366" t="inlineStr">
        <is>
          <t>7:16:00</t>
        </is>
      </c>
      <c r="M6366" t="inlineStr">
        <is>
          <t>7:16:20</t>
        </is>
      </c>
    </row>
    <row r="6367" ht="16.5" customHeight="1" s="37">
      <c r="A6367" t="n">
        <v>17</v>
      </c>
      <c r="B6367" s="10" t="inlineStr">
        <is>
          <t>平日</t>
        </is>
      </c>
      <c r="C6367" s="10" t="inlineStr">
        <is>
          <t>北野線</t>
        </is>
      </c>
      <c r="D6367" s="10" t="inlineStr">
        <is>
          <t>上り</t>
        </is>
      </c>
      <c r="E6367" t="inlineStr">
        <is>
          <t>0752</t>
        </is>
      </c>
      <c r="F6367" t="inlineStr">
        <is>
          <t>0354</t>
        </is>
      </c>
      <c r="G6367" s="10" t="inlineStr">
        <is>
          <t>北野白梅町</t>
        </is>
      </c>
      <c r="H6367" s="10" t="inlineStr">
        <is>
          <t>着</t>
        </is>
      </c>
      <c r="J6367" s="10" t="inlineStr">
        <is>
          <t>営業</t>
        </is>
      </c>
      <c r="L6367" t="inlineStr">
        <is>
          <t>7:17:40</t>
        </is>
      </c>
      <c r="Q6367" t="inlineStr">
        <is>
          <t>1</t>
        </is>
      </c>
    </row>
    <row r="6368" ht="16.5" customHeight="1" s="37">
      <c r="A6368" t="n">
        <v>17</v>
      </c>
      <c r="B6368" s="10" t="inlineStr">
        <is>
          <t>平日</t>
        </is>
      </c>
      <c r="C6368" s="10" t="inlineStr">
        <is>
          <t>北野線</t>
        </is>
      </c>
      <c r="D6368" s="10" t="inlineStr">
        <is>
          <t>下り</t>
        </is>
      </c>
      <c r="E6368" t="inlineStr">
        <is>
          <t>0755</t>
        </is>
      </c>
      <c r="F6368" t="inlineStr">
        <is>
          <t>0453</t>
        </is>
      </c>
      <c r="G6368" s="10" t="inlineStr">
        <is>
          <t>北野白梅町</t>
        </is>
      </c>
      <c r="H6368" s="10" t="inlineStr">
        <is>
          <t>発</t>
        </is>
      </c>
      <c r="J6368" s="10" t="inlineStr">
        <is>
          <t>営業</t>
        </is>
      </c>
      <c r="M6368" t="inlineStr">
        <is>
          <t>7:22:50</t>
        </is>
      </c>
      <c r="Q6368" t="inlineStr">
        <is>
          <t>1</t>
        </is>
      </c>
    </row>
    <row r="6369" ht="16.5" customHeight="1" s="37">
      <c r="A6369" t="n">
        <v>17</v>
      </c>
      <c r="B6369" s="10" t="inlineStr">
        <is>
          <t>平日</t>
        </is>
      </c>
      <c r="C6369" s="10" t="inlineStr">
        <is>
          <t>北野線</t>
        </is>
      </c>
      <c r="D6369" s="10" t="inlineStr">
        <is>
          <t>下り</t>
        </is>
      </c>
      <c r="E6369" t="inlineStr">
        <is>
          <t>0755</t>
        </is>
      </c>
      <c r="F6369" t="inlineStr">
        <is>
          <t>0453</t>
        </is>
      </c>
      <c r="G6369" s="10" t="inlineStr">
        <is>
          <t>等持院</t>
        </is>
      </c>
      <c r="H6369" s="10" t="inlineStr">
        <is>
          <t>発</t>
        </is>
      </c>
      <c r="J6369" s="10" t="inlineStr">
        <is>
          <t>営業</t>
        </is>
      </c>
      <c r="L6369" t="inlineStr">
        <is>
          <t>7:24:15</t>
        </is>
      </c>
      <c r="M6369" t="inlineStr">
        <is>
          <t>7:24:25</t>
        </is>
      </c>
    </row>
    <row r="6370" ht="16.5" customHeight="1" s="37">
      <c r="A6370" t="n">
        <v>17</v>
      </c>
      <c r="B6370" s="10" t="inlineStr">
        <is>
          <t>平日</t>
        </is>
      </c>
      <c r="C6370" s="10" t="inlineStr">
        <is>
          <t>北野線</t>
        </is>
      </c>
      <c r="D6370" s="10" t="inlineStr">
        <is>
          <t>下り</t>
        </is>
      </c>
      <c r="E6370" t="inlineStr">
        <is>
          <t>0755</t>
        </is>
      </c>
      <c r="F6370" t="inlineStr">
        <is>
          <t>0453</t>
        </is>
      </c>
      <c r="G6370" s="10" t="inlineStr">
        <is>
          <t>龍安寺</t>
        </is>
      </c>
      <c r="H6370" s="10" t="inlineStr">
        <is>
          <t>発</t>
        </is>
      </c>
      <c r="J6370" s="10" t="inlineStr">
        <is>
          <t>営業</t>
        </is>
      </c>
      <c r="L6370" t="inlineStr">
        <is>
          <t>7:25:15</t>
        </is>
      </c>
      <c r="M6370" t="inlineStr">
        <is>
          <t>7:25:35</t>
        </is>
      </c>
    </row>
    <row r="6371" ht="16.5" customHeight="1" s="37">
      <c r="A6371" t="n">
        <v>17</v>
      </c>
      <c r="B6371" s="10" t="inlineStr">
        <is>
          <t>平日</t>
        </is>
      </c>
      <c r="C6371" s="10" t="inlineStr">
        <is>
          <t>北野線</t>
        </is>
      </c>
      <c r="D6371" s="10" t="inlineStr">
        <is>
          <t>下り</t>
        </is>
      </c>
      <c r="E6371" t="inlineStr">
        <is>
          <t>0755</t>
        </is>
      </c>
      <c r="F6371" t="inlineStr">
        <is>
          <t>0453</t>
        </is>
      </c>
      <c r="G6371" s="10" t="inlineStr">
        <is>
          <t>妙心寺</t>
        </is>
      </c>
      <c r="H6371" s="10" t="inlineStr">
        <is>
          <t>発</t>
        </is>
      </c>
      <c r="J6371" s="10" t="inlineStr">
        <is>
          <t>営業</t>
        </is>
      </c>
      <c r="L6371" t="inlineStr">
        <is>
          <t>7:26:30</t>
        </is>
      </c>
      <c r="M6371" t="inlineStr">
        <is>
          <t>7:26:40</t>
        </is>
      </c>
    </row>
    <row r="6372" ht="16.5" customHeight="1" s="37">
      <c r="A6372" t="n">
        <v>17</v>
      </c>
      <c r="B6372" s="10" t="inlineStr">
        <is>
          <t>平日</t>
        </is>
      </c>
      <c r="C6372" s="10" t="inlineStr">
        <is>
          <t>北野線</t>
        </is>
      </c>
      <c r="D6372" s="10" t="inlineStr">
        <is>
          <t>下り</t>
        </is>
      </c>
      <c r="E6372" t="inlineStr">
        <is>
          <t>0755</t>
        </is>
      </c>
      <c r="F6372" t="inlineStr">
        <is>
          <t>0453</t>
        </is>
      </c>
      <c r="G6372" s="10" t="inlineStr">
        <is>
          <t>御室仁和寺</t>
        </is>
      </c>
      <c r="H6372" s="10" t="inlineStr">
        <is>
          <t>発</t>
        </is>
      </c>
      <c r="J6372" s="10" t="inlineStr">
        <is>
          <t>営業</t>
        </is>
      </c>
      <c r="L6372" t="inlineStr">
        <is>
          <t>7:27:40</t>
        </is>
      </c>
      <c r="M6372" t="inlineStr">
        <is>
          <t>7:28:45</t>
        </is>
      </c>
    </row>
    <row r="6373" ht="16.5" customHeight="1" s="37">
      <c r="A6373" t="n">
        <v>17</v>
      </c>
      <c r="B6373" s="10" t="inlineStr">
        <is>
          <t>平日</t>
        </is>
      </c>
      <c r="C6373" s="10" t="inlineStr">
        <is>
          <t>北野線</t>
        </is>
      </c>
      <c r="D6373" s="10" t="inlineStr">
        <is>
          <t>下り</t>
        </is>
      </c>
      <c r="E6373" t="inlineStr">
        <is>
          <t>0755</t>
        </is>
      </c>
      <c r="F6373" t="inlineStr">
        <is>
          <t>0453</t>
        </is>
      </c>
      <c r="G6373" s="10" t="inlineStr">
        <is>
          <t>宇多野</t>
        </is>
      </c>
      <c r="H6373" s="10" t="inlineStr">
        <is>
          <t>発</t>
        </is>
      </c>
      <c r="J6373" s="10" t="inlineStr">
        <is>
          <t>営業</t>
        </is>
      </c>
      <c r="L6373" t="inlineStr">
        <is>
          <t>7:29:45</t>
        </is>
      </c>
      <c r="M6373" t="inlineStr">
        <is>
          <t>7:29:55</t>
        </is>
      </c>
    </row>
    <row r="6374" ht="16.5" customHeight="1" s="37">
      <c r="A6374" t="n">
        <v>17</v>
      </c>
      <c r="B6374" s="10" t="inlineStr">
        <is>
          <t>平日</t>
        </is>
      </c>
      <c r="C6374" s="10" t="inlineStr">
        <is>
          <t>北野線</t>
        </is>
      </c>
      <c r="D6374" s="10" t="inlineStr">
        <is>
          <t>下り</t>
        </is>
      </c>
      <c r="E6374" t="inlineStr">
        <is>
          <t>0755</t>
        </is>
      </c>
      <c r="F6374" t="inlineStr">
        <is>
          <t>0453</t>
        </is>
      </c>
      <c r="G6374" s="10" t="inlineStr">
        <is>
          <t>鳴滝</t>
        </is>
      </c>
      <c r="H6374" s="10" t="inlineStr">
        <is>
          <t>発</t>
        </is>
      </c>
      <c r="J6374" s="10" t="inlineStr">
        <is>
          <t>営業</t>
        </is>
      </c>
      <c r="L6374" t="inlineStr">
        <is>
          <t>7:31:15</t>
        </is>
      </c>
      <c r="M6374" t="inlineStr">
        <is>
          <t>7:31:25</t>
        </is>
      </c>
    </row>
    <row r="6375" ht="16.5" customHeight="1" s="37">
      <c r="A6375" t="n">
        <v>17</v>
      </c>
      <c r="B6375" s="10" t="inlineStr">
        <is>
          <t>平日</t>
        </is>
      </c>
      <c r="C6375" s="10" t="inlineStr">
        <is>
          <t>北野線</t>
        </is>
      </c>
      <c r="D6375" s="10" t="inlineStr">
        <is>
          <t>下り</t>
        </is>
      </c>
      <c r="E6375" t="inlineStr">
        <is>
          <t>0755</t>
        </is>
      </c>
      <c r="F6375" t="inlineStr">
        <is>
          <t>0453</t>
        </is>
      </c>
      <c r="G6375" s="10" t="inlineStr">
        <is>
          <t>常盤</t>
        </is>
      </c>
      <c r="H6375" s="10" t="inlineStr">
        <is>
          <t>発</t>
        </is>
      </c>
      <c r="J6375" s="10" t="inlineStr">
        <is>
          <t>営業</t>
        </is>
      </c>
      <c r="L6375" t="inlineStr">
        <is>
          <t>7:32:15</t>
        </is>
      </c>
      <c r="M6375" t="inlineStr">
        <is>
          <t>7:32:35</t>
        </is>
      </c>
    </row>
    <row r="6376" ht="16.5" customHeight="1" s="37">
      <c r="A6376" t="n">
        <v>17</v>
      </c>
      <c r="B6376" s="10" t="inlineStr">
        <is>
          <t>平日</t>
        </is>
      </c>
      <c r="C6376" s="10" t="inlineStr">
        <is>
          <t>北野線</t>
        </is>
      </c>
      <c r="D6376" s="10" t="inlineStr">
        <is>
          <t>下り</t>
        </is>
      </c>
      <c r="E6376" t="inlineStr">
        <is>
          <t>0755</t>
        </is>
      </c>
      <c r="F6376" t="inlineStr">
        <is>
          <t>0453</t>
        </is>
      </c>
      <c r="G6376" s="10" t="inlineStr">
        <is>
          <t>撮影所前</t>
        </is>
      </c>
      <c r="H6376" s="10" t="inlineStr">
        <is>
          <t>発</t>
        </is>
      </c>
      <c r="J6376" s="10" t="inlineStr">
        <is>
          <t>営業</t>
        </is>
      </c>
      <c r="L6376" t="inlineStr">
        <is>
          <t>7:33:55</t>
        </is>
      </c>
      <c r="M6376" t="inlineStr">
        <is>
          <t>7:34:05</t>
        </is>
      </c>
    </row>
    <row r="6377" ht="16.5" customHeight="1" s="37">
      <c r="A6377" t="n">
        <v>17</v>
      </c>
      <c r="B6377" s="10" t="inlineStr">
        <is>
          <t>平日</t>
        </is>
      </c>
      <c r="C6377" s="10" t="inlineStr">
        <is>
          <t>北野線</t>
        </is>
      </c>
      <c r="D6377" s="10" t="inlineStr">
        <is>
          <t>下り</t>
        </is>
      </c>
      <c r="E6377" t="inlineStr">
        <is>
          <t>0755</t>
        </is>
      </c>
      <c r="F6377" t="inlineStr">
        <is>
          <t>0453</t>
        </is>
      </c>
      <c r="G6377" s="10" t="inlineStr">
        <is>
          <t>帷子ノ辻</t>
        </is>
      </c>
      <c r="H6377" s="10" t="inlineStr">
        <is>
          <t>着</t>
        </is>
      </c>
      <c r="J6377" s="10" t="inlineStr">
        <is>
          <t>営業</t>
        </is>
      </c>
      <c r="L6377" t="inlineStr">
        <is>
          <t>7:35:00</t>
        </is>
      </c>
      <c r="Q6377" t="inlineStr">
        <is>
          <t>4</t>
        </is>
      </c>
    </row>
    <row r="6378" ht="16.5" customHeight="1" s="37">
      <c r="A6378" t="n">
        <v>17</v>
      </c>
      <c r="B6378" s="10" t="inlineStr">
        <is>
          <t>平日</t>
        </is>
      </c>
      <c r="C6378" s="10" t="inlineStr">
        <is>
          <t>北野線</t>
        </is>
      </c>
      <c r="D6378" s="10" t="inlineStr">
        <is>
          <t>上り</t>
        </is>
      </c>
      <c r="E6378" t="inlineStr">
        <is>
          <t>0762</t>
        </is>
      </c>
      <c r="F6378" t="inlineStr">
        <is>
          <t>0354</t>
        </is>
      </c>
      <c r="G6378" s="10" t="inlineStr">
        <is>
          <t>帷子ノ辻</t>
        </is>
      </c>
      <c r="H6378" s="10" t="inlineStr">
        <is>
          <t>発</t>
        </is>
      </c>
      <c r="J6378" s="10" t="inlineStr">
        <is>
          <t>営業</t>
        </is>
      </c>
      <c r="M6378" t="inlineStr">
        <is>
          <t>7:46:00</t>
        </is>
      </c>
      <c r="Q6378" t="inlineStr">
        <is>
          <t>4</t>
        </is>
      </c>
    </row>
    <row r="6379" ht="16.5" customHeight="1" s="37">
      <c r="A6379" t="n">
        <v>17</v>
      </c>
      <c r="B6379" s="10" t="inlineStr">
        <is>
          <t>平日</t>
        </is>
      </c>
      <c r="C6379" s="10" t="inlineStr">
        <is>
          <t>北野線</t>
        </is>
      </c>
      <c r="D6379" s="10" t="inlineStr">
        <is>
          <t>上り</t>
        </is>
      </c>
      <c r="E6379" t="inlineStr">
        <is>
          <t>0762</t>
        </is>
      </c>
      <c r="F6379" t="inlineStr">
        <is>
          <t>0354</t>
        </is>
      </c>
      <c r="G6379" s="10" t="inlineStr">
        <is>
          <t>撮影所前</t>
        </is>
      </c>
      <c r="H6379" s="10" t="inlineStr">
        <is>
          <t>発</t>
        </is>
      </c>
      <c r="J6379" s="10" t="inlineStr">
        <is>
          <t>営業</t>
        </is>
      </c>
      <c r="L6379" t="inlineStr">
        <is>
          <t>7:47:00</t>
        </is>
      </c>
      <c r="M6379" t="inlineStr">
        <is>
          <t>7:47:10</t>
        </is>
      </c>
    </row>
    <row r="6380" ht="16.5" customHeight="1" s="37">
      <c r="A6380" t="n">
        <v>17</v>
      </c>
      <c r="B6380" s="10" t="inlineStr">
        <is>
          <t>平日</t>
        </is>
      </c>
      <c r="C6380" s="10" t="inlineStr">
        <is>
          <t>北野線</t>
        </is>
      </c>
      <c r="D6380" s="10" t="inlineStr">
        <is>
          <t>上り</t>
        </is>
      </c>
      <c r="E6380" t="inlineStr">
        <is>
          <t>0762</t>
        </is>
      </c>
      <c r="F6380" t="inlineStr">
        <is>
          <t>0354</t>
        </is>
      </c>
      <c r="G6380" s="10" t="inlineStr">
        <is>
          <t>常盤</t>
        </is>
      </c>
      <c r="H6380" s="10" t="inlineStr">
        <is>
          <t>発</t>
        </is>
      </c>
      <c r="J6380" s="10" t="inlineStr">
        <is>
          <t>営業</t>
        </is>
      </c>
      <c r="L6380" t="inlineStr">
        <is>
          <t>7:48:30</t>
        </is>
      </c>
      <c r="M6380" t="inlineStr">
        <is>
          <t>7:48:50</t>
        </is>
      </c>
    </row>
    <row r="6381" ht="16.5" customHeight="1" s="37">
      <c r="A6381" t="n">
        <v>17</v>
      </c>
      <c r="B6381" s="10" t="inlineStr">
        <is>
          <t>平日</t>
        </is>
      </c>
      <c r="C6381" s="10" t="inlineStr">
        <is>
          <t>北野線</t>
        </is>
      </c>
      <c r="D6381" s="10" t="inlineStr">
        <is>
          <t>上り</t>
        </is>
      </c>
      <c r="E6381" t="inlineStr">
        <is>
          <t>0762</t>
        </is>
      </c>
      <c r="F6381" t="inlineStr">
        <is>
          <t>0354</t>
        </is>
      </c>
      <c r="G6381" s="10" t="inlineStr">
        <is>
          <t>鳴滝</t>
        </is>
      </c>
      <c r="H6381" s="10" t="inlineStr">
        <is>
          <t>発</t>
        </is>
      </c>
      <c r="J6381" s="10" t="inlineStr">
        <is>
          <t>営業</t>
        </is>
      </c>
      <c r="L6381" t="inlineStr">
        <is>
          <t>7:49:50</t>
        </is>
      </c>
      <c r="M6381" t="inlineStr">
        <is>
          <t>7:50:10</t>
        </is>
      </c>
    </row>
    <row r="6382" ht="16.5" customHeight="1" s="37">
      <c r="A6382" t="n">
        <v>17</v>
      </c>
      <c r="B6382" s="10" t="inlineStr">
        <is>
          <t>平日</t>
        </is>
      </c>
      <c r="C6382" s="10" t="inlineStr">
        <is>
          <t>北野線</t>
        </is>
      </c>
      <c r="D6382" s="10" t="inlineStr">
        <is>
          <t>上り</t>
        </is>
      </c>
      <c r="E6382" t="inlineStr">
        <is>
          <t>0762</t>
        </is>
      </c>
      <c r="F6382" t="inlineStr">
        <is>
          <t>0354</t>
        </is>
      </c>
      <c r="G6382" s="10" t="inlineStr">
        <is>
          <t>宇多野</t>
        </is>
      </c>
      <c r="H6382" s="10" t="inlineStr">
        <is>
          <t>発</t>
        </is>
      </c>
      <c r="J6382" s="10" t="inlineStr">
        <is>
          <t>営業</t>
        </is>
      </c>
      <c r="L6382" t="inlineStr">
        <is>
          <t>7:51:30</t>
        </is>
      </c>
      <c r="M6382" t="inlineStr">
        <is>
          <t>7:51:45</t>
        </is>
      </c>
    </row>
    <row r="6383" ht="16.5" customHeight="1" s="37">
      <c r="A6383" t="n">
        <v>17</v>
      </c>
      <c r="B6383" s="10" t="inlineStr">
        <is>
          <t>平日</t>
        </is>
      </c>
      <c r="C6383" s="10" t="inlineStr">
        <is>
          <t>北野線</t>
        </is>
      </c>
      <c r="D6383" s="10" t="inlineStr">
        <is>
          <t>上り</t>
        </is>
      </c>
      <c r="E6383" t="inlineStr">
        <is>
          <t>0762</t>
        </is>
      </c>
      <c r="F6383" t="inlineStr">
        <is>
          <t>0354</t>
        </is>
      </c>
      <c r="G6383" s="10" t="inlineStr">
        <is>
          <t>御室仁和寺</t>
        </is>
      </c>
      <c r="H6383" s="10" t="inlineStr">
        <is>
          <t>発</t>
        </is>
      </c>
      <c r="J6383" s="10" t="inlineStr">
        <is>
          <t>営業</t>
        </is>
      </c>
      <c r="L6383" t="inlineStr">
        <is>
          <t>7:52:45</t>
        </is>
      </c>
      <c r="M6383" t="inlineStr">
        <is>
          <t>7:52:55</t>
        </is>
      </c>
    </row>
    <row r="6384" ht="16.5" customHeight="1" s="37">
      <c r="A6384" t="n">
        <v>17</v>
      </c>
      <c r="B6384" s="10" t="inlineStr">
        <is>
          <t>平日</t>
        </is>
      </c>
      <c r="C6384" s="10" t="inlineStr">
        <is>
          <t>北野線</t>
        </is>
      </c>
      <c r="D6384" s="10" t="inlineStr">
        <is>
          <t>上り</t>
        </is>
      </c>
      <c r="E6384" t="inlineStr">
        <is>
          <t>0762</t>
        </is>
      </c>
      <c r="F6384" t="inlineStr">
        <is>
          <t>0354</t>
        </is>
      </c>
      <c r="G6384" s="10" t="inlineStr">
        <is>
          <t>妙心寺</t>
        </is>
      </c>
      <c r="H6384" s="10" t="inlineStr">
        <is>
          <t>発</t>
        </is>
      </c>
      <c r="J6384" s="10" t="inlineStr">
        <is>
          <t>営業</t>
        </is>
      </c>
      <c r="L6384" t="inlineStr">
        <is>
          <t>7:53:55</t>
        </is>
      </c>
      <c r="M6384" t="inlineStr">
        <is>
          <t>7:54:10</t>
        </is>
      </c>
    </row>
    <row r="6385" ht="16.5" customHeight="1" s="37">
      <c r="A6385" t="n">
        <v>17</v>
      </c>
      <c r="B6385" s="10" t="inlineStr">
        <is>
          <t>平日</t>
        </is>
      </c>
      <c r="C6385" s="10" t="inlineStr">
        <is>
          <t>北野線</t>
        </is>
      </c>
      <c r="D6385" s="10" t="inlineStr">
        <is>
          <t>上り</t>
        </is>
      </c>
      <c r="E6385" t="inlineStr">
        <is>
          <t>0762</t>
        </is>
      </c>
      <c r="F6385" t="inlineStr">
        <is>
          <t>0354</t>
        </is>
      </c>
      <c r="G6385" s="10" t="inlineStr">
        <is>
          <t>龍安寺</t>
        </is>
      </c>
      <c r="H6385" s="10" t="inlineStr">
        <is>
          <t>発</t>
        </is>
      </c>
      <c r="J6385" s="10" t="inlineStr">
        <is>
          <t>営業</t>
        </is>
      </c>
      <c r="L6385" t="inlineStr">
        <is>
          <t>7:55:05</t>
        </is>
      </c>
      <c r="M6385" t="inlineStr">
        <is>
          <t>7:55:20</t>
        </is>
      </c>
    </row>
    <row r="6386" ht="16.5" customHeight="1" s="37">
      <c r="A6386" t="n">
        <v>17</v>
      </c>
      <c r="B6386" s="10" t="inlineStr">
        <is>
          <t>平日</t>
        </is>
      </c>
      <c r="C6386" s="10" t="inlineStr">
        <is>
          <t>北野線</t>
        </is>
      </c>
      <c r="D6386" s="10" t="inlineStr">
        <is>
          <t>上り</t>
        </is>
      </c>
      <c r="E6386" t="inlineStr">
        <is>
          <t>0762</t>
        </is>
      </c>
      <c r="F6386" t="inlineStr">
        <is>
          <t>0354</t>
        </is>
      </c>
      <c r="G6386" s="10" t="inlineStr">
        <is>
          <t>等持院</t>
        </is>
      </c>
      <c r="H6386" s="10" t="inlineStr">
        <is>
          <t>発</t>
        </is>
      </c>
      <c r="J6386" s="10" t="inlineStr">
        <is>
          <t>営業</t>
        </is>
      </c>
      <c r="L6386" t="inlineStr">
        <is>
          <t>7:56:00</t>
        </is>
      </c>
      <c r="M6386" t="inlineStr">
        <is>
          <t>7:56:20</t>
        </is>
      </c>
    </row>
    <row r="6387" ht="16.5" customHeight="1" s="37">
      <c r="A6387" t="n">
        <v>17</v>
      </c>
      <c r="B6387" s="10" t="inlineStr">
        <is>
          <t>平日</t>
        </is>
      </c>
      <c r="C6387" s="10" t="inlineStr">
        <is>
          <t>北野線</t>
        </is>
      </c>
      <c r="D6387" s="10" t="inlineStr">
        <is>
          <t>上り</t>
        </is>
      </c>
      <c r="E6387" t="inlineStr">
        <is>
          <t>0762</t>
        </is>
      </c>
      <c r="F6387" t="inlineStr">
        <is>
          <t>0354</t>
        </is>
      </c>
      <c r="G6387" s="10" t="inlineStr">
        <is>
          <t>北野白梅町</t>
        </is>
      </c>
      <c r="H6387" s="10" t="inlineStr">
        <is>
          <t>着</t>
        </is>
      </c>
      <c r="J6387" s="10" t="inlineStr">
        <is>
          <t>営業</t>
        </is>
      </c>
      <c r="L6387" t="inlineStr">
        <is>
          <t>7:57:40</t>
        </is>
      </c>
      <c r="Q6387" t="inlineStr">
        <is>
          <t>1</t>
        </is>
      </c>
    </row>
    <row r="6388" ht="16.5" customHeight="1" s="37">
      <c r="A6388" t="n">
        <v>17</v>
      </c>
      <c r="B6388" s="10" t="inlineStr">
        <is>
          <t>平日</t>
        </is>
      </c>
      <c r="C6388" s="10" t="inlineStr">
        <is>
          <t>北野線</t>
        </is>
      </c>
      <c r="D6388" s="10" t="inlineStr">
        <is>
          <t>下り</t>
        </is>
      </c>
      <c r="E6388" t="inlineStr">
        <is>
          <t>0851</t>
        </is>
      </c>
      <c r="F6388" t="inlineStr">
        <is>
          <t>0453</t>
        </is>
      </c>
      <c r="G6388" s="10" t="inlineStr">
        <is>
          <t>北野白梅町</t>
        </is>
      </c>
      <c r="H6388" s="10" t="inlineStr">
        <is>
          <t>発</t>
        </is>
      </c>
      <c r="J6388" s="10" t="inlineStr">
        <is>
          <t>営業</t>
        </is>
      </c>
      <c r="M6388" t="inlineStr">
        <is>
          <t>8:02:50</t>
        </is>
      </c>
      <c r="Q6388" t="inlineStr">
        <is>
          <t>1</t>
        </is>
      </c>
    </row>
    <row r="6389" ht="16.5" customHeight="1" s="37">
      <c r="A6389" t="n">
        <v>17</v>
      </c>
      <c r="B6389" s="10" t="inlineStr">
        <is>
          <t>平日</t>
        </is>
      </c>
      <c r="C6389" s="10" t="inlineStr">
        <is>
          <t>北野線</t>
        </is>
      </c>
      <c r="D6389" s="10" t="inlineStr">
        <is>
          <t>下り</t>
        </is>
      </c>
      <c r="E6389" t="inlineStr">
        <is>
          <t>0851</t>
        </is>
      </c>
      <c r="F6389" t="inlineStr">
        <is>
          <t>0453</t>
        </is>
      </c>
      <c r="G6389" s="10" t="inlineStr">
        <is>
          <t>等持院</t>
        </is>
      </c>
      <c r="H6389" s="10" t="inlineStr">
        <is>
          <t>発</t>
        </is>
      </c>
      <c r="J6389" s="10" t="inlineStr">
        <is>
          <t>営業</t>
        </is>
      </c>
      <c r="L6389" t="inlineStr">
        <is>
          <t>8:04:15</t>
        </is>
      </c>
      <c r="M6389" t="inlineStr">
        <is>
          <t>8:04:25</t>
        </is>
      </c>
    </row>
    <row r="6390" ht="16.5" customHeight="1" s="37">
      <c r="A6390" t="n">
        <v>17</v>
      </c>
      <c r="B6390" s="10" t="inlineStr">
        <is>
          <t>平日</t>
        </is>
      </c>
      <c r="C6390" s="10" t="inlineStr">
        <is>
          <t>北野線</t>
        </is>
      </c>
      <c r="D6390" s="10" t="inlineStr">
        <is>
          <t>下り</t>
        </is>
      </c>
      <c r="E6390" t="inlineStr">
        <is>
          <t>0851</t>
        </is>
      </c>
      <c r="F6390" t="inlineStr">
        <is>
          <t>0453</t>
        </is>
      </c>
      <c r="G6390" s="10" t="inlineStr">
        <is>
          <t>龍安寺</t>
        </is>
      </c>
      <c r="H6390" s="10" t="inlineStr">
        <is>
          <t>発</t>
        </is>
      </c>
      <c r="J6390" s="10" t="inlineStr">
        <is>
          <t>営業</t>
        </is>
      </c>
      <c r="L6390" t="inlineStr">
        <is>
          <t>8:05:15</t>
        </is>
      </c>
      <c r="M6390" t="inlineStr">
        <is>
          <t>8:05:35</t>
        </is>
      </c>
    </row>
    <row r="6391" ht="16.5" customHeight="1" s="37">
      <c r="A6391" t="n">
        <v>17</v>
      </c>
      <c r="B6391" s="10" t="inlineStr">
        <is>
          <t>平日</t>
        </is>
      </c>
      <c r="C6391" s="10" t="inlineStr">
        <is>
          <t>北野線</t>
        </is>
      </c>
      <c r="D6391" s="10" t="inlineStr">
        <is>
          <t>下り</t>
        </is>
      </c>
      <c r="E6391" t="inlineStr">
        <is>
          <t>0851</t>
        </is>
      </c>
      <c r="F6391" t="inlineStr">
        <is>
          <t>0453</t>
        </is>
      </c>
      <c r="G6391" s="10" t="inlineStr">
        <is>
          <t>妙心寺</t>
        </is>
      </c>
      <c r="H6391" s="10" t="inlineStr">
        <is>
          <t>発</t>
        </is>
      </c>
      <c r="J6391" s="10" t="inlineStr">
        <is>
          <t>営業</t>
        </is>
      </c>
      <c r="L6391" t="inlineStr">
        <is>
          <t>8:06:30</t>
        </is>
      </c>
      <c r="M6391" t="inlineStr">
        <is>
          <t>8:06:40</t>
        </is>
      </c>
    </row>
    <row r="6392" ht="16.5" customHeight="1" s="37">
      <c r="A6392" t="n">
        <v>17</v>
      </c>
      <c r="B6392" s="10" t="inlineStr">
        <is>
          <t>平日</t>
        </is>
      </c>
      <c r="C6392" s="10" t="inlineStr">
        <is>
          <t>北野線</t>
        </is>
      </c>
      <c r="D6392" s="10" t="inlineStr">
        <is>
          <t>下り</t>
        </is>
      </c>
      <c r="E6392" t="inlineStr">
        <is>
          <t>0851</t>
        </is>
      </c>
      <c r="F6392" t="inlineStr">
        <is>
          <t>0453</t>
        </is>
      </c>
      <c r="G6392" s="10" t="inlineStr">
        <is>
          <t>御室仁和寺</t>
        </is>
      </c>
      <c r="H6392" s="10" t="inlineStr">
        <is>
          <t>発</t>
        </is>
      </c>
      <c r="J6392" s="10" t="inlineStr">
        <is>
          <t>営業</t>
        </is>
      </c>
      <c r="L6392" t="inlineStr">
        <is>
          <t>8:07:40</t>
        </is>
      </c>
      <c r="M6392" t="inlineStr">
        <is>
          <t>8:08:45</t>
        </is>
      </c>
    </row>
    <row r="6393" ht="16.5" customHeight="1" s="37">
      <c r="A6393" t="n">
        <v>17</v>
      </c>
      <c r="B6393" s="10" t="inlineStr">
        <is>
          <t>平日</t>
        </is>
      </c>
      <c r="C6393" s="10" t="inlineStr">
        <is>
          <t>北野線</t>
        </is>
      </c>
      <c r="D6393" s="10" t="inlineStr">
        <is>
          <t>下り</t>
        </is>
      </c>
      <c r="E6393" t="inlineStr">
        <is>
          <t>0851</t>
        </is>
      </c>
      <c r="F6393" t="inlineStr">
        <is>
          <t>0453</t>
        </is>
      </c>
      <c r="G6393" s="10" t="inlineStr">
        <is>
          <t>宇多野</t>
        </is>
      </c>
      <c r="H6393" s="10" t="inlineStr">
        <is>
          <t>発</t>
        </is>
      </c>
      <c r="J6393" s="10" t="inlineStr">
        <is>
          <t>営業</t>
        </is>
      </c>
      <c r="L6393" t="inlineStr">
        <is>
          <t>8:09:45</t>
        </is>
      </c>
      <c r="M6393" t="inlineStr">
        <is>
          <t>8:09:55</t>
        </is>
      </c>
    </row>
    <row r="6394" ht="16.5" customHeight="1" s="37">
      <c r="A6394" t="n">
        <v>17</v>
      </c>
      <c r="B6394" s="10" t="inlineStr">
        <is>
          <t>平日</t>
        </is>
      </c>
      <c r="C6394" s="10" t="inlineStr">
        <is>
          <t>北野線</t>
        </is>
      </c>
      <c r="D6394" s="10" t="inlineStr">
        <is>
          <t>下り</t>
        </is>
      </c>
      <c r="E6394" t="inlineStr">
        <is>
          <t>0851</t>
        </is>
      </c>
      <c r="F6394" t="inlineStr">
        <is>
          <t>0453</t>
        </is>
      </c>
      <c r="G6394" s="10" t="inlineStr">
        <is>
          <t>鳴滝</t>
        </is>
      </c>
      <c r="H6394" s="10" t="inlineStr">
        <is>
          <t>発</t>
        </is>
      </c>
      <c r="J6394" s="10" t="inlineStr">
        <is>
          <t>営業</t>
        </is>
      </c>
      <c r="L6394" t="inlineStr">
        <is>
          <t>8:11:15</t>
        </is>
      </c>
      <c r="M6394" t="inlineStr">
        <is>
          <t>8:11:25</t>
        </is>
      </c>
    </row>
    <row r="6395" ht="16.5" customHeight="1" s="37">
      <c r="A6395" t="n">
        <v>17</v>
      </c>
      <c r="B6395" s="10" t="inlineStr">
        <is>
          <t>平日</t>
        </is>
      </c>
      <c r="C6395" s="10" t="inlineStr">
        <is>
          <t>北野線</t>
        </is>
      </c>
      <c r="D6395" s="10" t="inlineStr">
        <is>
          <t>下り</t>
        </is>
      </c>
      <c r="E6395" t="inlineStr">
        <is>
          <t>0851</t>
        </is>
      </c>
      <c r="F6395" t="inlineStr">
        <is>
          <t>0453</t>
        </is>
      </c>
      <c r="G6395" s="10" t="inlineStr">
        <is>
          <t>常盤</t>
        </is>
      </c>
      <c r="H6395" s="10" t="inlineStr">
        <is>
          <t>発</t>
        </is>
      </c>
      <c r="J6395" s="10" t="inlineStr">
        <is>
          <t>営業</t>
        </is>
      </c>
      <c r="L6395" t="inlineStr">
        <is>
          <t>8:12:15</t>
        </is>
      </c>
      <c r="M6395" t="inlineStr">
        <is>
          <t>8:12:35</t>
        </is>
      </c>
    </row>
    <row r="6396" ht="16.5" customHeight="1" s="37">
      <c r="A6396" t="n">
        <v>17</v>
      </c>
      <c r="B6396" s="10" t="inlineStr">
        <is>
          <t>平日</t>
        </is>
      </c>
      <c r="C6396" s="10" t="inlineStr">
        <is>
          <t>北野線</t>
        </is>
      </c>
      <c r="D6396" s="10" t="inlineStr">
        <is>
          <t>下り</t>
        </is>
      </c>
      <c r="E6396" t="inlineStr">
        <is>
          <t>0851</t>
        </is>
      </c>
      <c r="F6396" t="inlineStr">
        <is>
          <t>0453</t>
        </is>
      </c>
      <c r="G6396" s="10" t="inlineStr">
        <is>
          <t>撮影所前</t>
        </is>
      </c>
      <c r="H6396" s="10" t="inlineStr">
        <is>
          <t>発</t>
        </is>
      </c>
      <c r="J6396" s="10" t="inlineStr">
        <is>
          <t>営業</t>
        </is>
      </c>
      <c r="L6396" t="inlineStr">
        <is>
          <t>8:13:55</t>
        </is>
      </c>
      <c r="M6396" t="inlineStr">
        <is>
          <t>8:14:05</t>
        </is>
      </c>
    </row>
    <row r="6397" ht="16.5" customHeight="1" s="37">
      <c r="A6397" t="n">
        <v>17</v>
      </c>
      <c r="B6397" s="10" t="inlineStr">
        <is>
          <t>平日</t>
        </is>
      </c>
      <c r="C6397" s="10" t="inlineStr">
        <is>
          <t>北野線</t>
        </is>
      </c>
      <c r="D6397" s="10" t="inlineStr">
        <is>
          <t>下り</t>
        </is>
      </c>
      <c r="E6397" t="inlineStr">
        <is>
          <t>0851</t>
        </is>
      </c>
      <c r="F6397" t="inlineStr">
        <is>
          <t>0453</t>
        </is>
      </c>
      <c r="G6397" s="10" t="inlineStr">
        <is>
          <t>帷子ノ辻</t>
        </is>
      </c>
      <c r="H6397" s="10" t="inlineStr">
        <is>
          <t>着</t>
        </is>
      </c>
      <c r="J6397" s="10" t="inlineStr">
        <is>
          <t>営業</t>
        </is>
      </c>
      <c r="L6397" t="inlineStr">
        <is>
          <t>8:15:00</t>
        </is>
      </c>
      <c r="Q6397" t="inlineStr">
        <is>
          <t>4</t>
        </is>
      </c>
    </row>
    <row r="6398" ht="16.5" customHeight="1" s="37">
      <c r="A6398" t="n">
        <v>17</v>
      </c>
      <c r="B6398" s="10" t="inlineStr">
        <is>
          <t>平日</t>
        </is>
      </c>
      <c r="C6398" s="10" t="inlineStr">
        <is>
          <t>北野線</t>
        </is>
      </c>
      <c r="D6398" s="10" t="inlineStr">
        <is>
          <t>上り</t>
        </is>
      </c>
      <c r="E6398" t="inlineStr">
        <is>
          <t>0860</t>
        </is>
      </c>
      <c r="F6398" t="inlineStr">
        <is>
          <t>0354</t>
        </is>
      </c>
      <c r="G6398" s="10" t="inlineStr">
        <is>
          <t>帷子ノ辻</t>
        </is>
      </c>
      <c r="H6398" s="10" t="inlineStr">
        <is>
          <t>発</t>
        </is>
      </c>
      <c r="J6398" s="10" t="inlineStr">
        <is>
          <t>営業</t>
        </is>
      </c>
      <c r="M6398" t="inlineStr">
        <is>
          <t>8:34:00</t>
        </is>
      </c>
      <c r="Q6398" t="inlineStr">
        <is>
          <t>4</t>
        </is>
      </c>
    </row>
    <row r="6399" ht="16.5" customHeight="1" s="37">
      <c r="A6399" t="n">
        <v>17</v>
      </c>
      <c r="B6399" s="10" t="inlineStr">
        <is>
          <t>平日</t>
        </is>
      </c>
      <c r="C6399" s="10" t="inlineStr">
        <is>
          <t>北野線</t>
        </is>
      </c>
      <c r="D6399" s="10" t="inlineStr">
        <is>
          <t>上り</t>
        </is>
      </c>
      <c r="E6399" t="inlineStr">
        <is>
          <t>0860</t>
        </is>
      </c>
      <c r="F6399" t="inlineStr">
        <is>
          <t>0354</t>
        </is>
      </c>
      <c r="G6399" s="10" t="inlineStr">
        <is>
          <t>撮影所前</t>
        </is>
      </c>
      <c r="H6399" s="10" t="inlineStr">
        <is>
          <t>発</t>
        </is>
      </c>
      <c r="J6399" s="10" t="inlineStr">
        <is>
          <t>営業</t>
        </is>
      </c>
      <c r="L6399" t="inlineStr">
        <is>
          <t>8:35:00</t>
        </is>
      </c>
      <c r="M6399" t="inlineStr">
        <is>
          <t>8:35:10</t>
        </is>
      </c>
    </row>
    <row r="6400" ht="16.5" customHeight="1" s="37">
      <c r="A6400" t="n">
        <v>17</v>
      </c>
      <c r="B6400" s="10" t="inlineStr">
        <is>
          <t>平日</t>
        </is>
      </c>
      <c r="C6400" s="10" t="inlineStr">
        <is>
          <t>北野線</t>
        </is>
      </c>
      <c r="D6400" s="10" t="inlineStr">
        <is>
          <t>上り</t>
        </is>
      </c>
      <c r="E6400" t="inlineStr">
        <is>
          <t>0860</t>
        </is>
      </c>
      <c r="F6400" t="inlineStr">
        <is>
          <t>0354</t>
        </is>
      </c>
      <c r="G6400" s="10" t="inlineStr">
        <is>
          <t>常盤</t>
        </is>
      </c>
      <c r="H6400" s="10" t="inlineStr">
        <is>
          <t>発</t>
        </is>
      </c>
      <c r="J6400" s="10" t="inlineStr">
        <is>
          <t>営業</t>
        </is>
      </c>
      <c r="L6400" t="inlineStr">
        <is>
          <t>8:36:30</t>
        </is>
      </c>
      <c r="M6400" t="inlineStr">
        <is>
          <t>8:36:50</t>
        </is>
      </c>
    </row>
    <row r="6401" ht="16.5" customHeight="1" s="37">
      <c r="A6401" t="n">
        <v>17</v>
      </c>
      <c r="B6401" s="10" t="inlineStr">
        <is>
          <t>平日</t>
        </is>
      </c>
      <c r="C6401" s="10" t="inlineStr">
        <is>
          <t>北野線</t>
        </is>
      </c>
      <c r="D6401" s="10" t="inlineStr">
        <is>
          <t>上り</t>
        </is>
      </c>
      <c r="E6401" t="inlineStr">
        <is>
          <t>0860</t>
        </is>
      </c>
      <c r="F6401" t="inlineStr">
        <is>
          <t>0354</t>
        </is>
      </c>
      <c r="G6401" s="10" t="inlineStr">
        <is>
          <t>鳴滝</t>
        </is>
      </c>
      <c r="H6401" s="10" t="inlineStr">
        <is>
          <t>発</t>
        </is>
      </c>
      <c r="J6401" s="10" t="inlineStr">
        <is>
          <t>営業</t>
        </is>
      </c>
      <c r="L6401" t="inlineStr">
        <is>
          <t>8:37:50</t>
        </is>
      </c>
      <c r="M6401" t="inlineStr">
        <is>
          <t>8:38:10</t>
        </is>
      </c>
    </row>
    <row r="6402" ht="16.5" customHeight="1" s="37">
      <c r="A6402" t="n">
        <v>17</v>
      </c>
      <c r="B6402" s="10" t="inlineStr">
        <is>
          <t>平日</t>
        </is>
      </c>
      <c r="C6402" s="10" t="inlineStr">
        <is>
          <t>北野線</t>
        </is>
      </c>
      <c r="D6402" s="10" t="inlineStr">
        <is>
          <t>上り</t>
        </is>
      </c>
      <c r="E6402" t="inlineStr">
        <is>
          <t>0860</t>
        </is>
      </c>
      <c r="F6402" t="inlineStr">
        <is>
          <t>0354</t>
        </is>
      </c>
      <c r="G6402" s="10" t="inlineStr">
        <is>
          <t>宇多野</t>
        </is>
      </c>
      <c r="H6402" s="10" t="inlineStr">
        <is>
          <t>発</t>
        </is>
      </c>
      <c r="J6402" s="10" t="inlineStr">
        <is>
          <t>営業</t>
        </is>
      </c>
      <c r="L6402" t="inlineStr">
        <is>
          <t>8:39:30</t>
        </is>
      </c>
      <c r="M6402" t="inlineStr">
        <is>
          <t>8:39:45</t>
        </is>
      </c>
    </row>
    <row r="6403" ht="16.5" customHeight="1" s="37">
      <c r="A6403" t="n">
        <v>17</v>
      </c>
      <c r="B6403" s="10" t="inlineStr">
        <is>
          <t>平日</t>
        </is>
      </c>
      <c r="C6403" s="10" t="inlineStr">
        <is>
          <t>北野線</t>
        </is>
      </c>
      <c r="D6403" s="10" t="inlineStr">
        <is>
          <t>上り</t>
        </is>
      </c>
      <c r="E6403" t="inlineStr">
        <is>
          <t>0860</t>
        </is>
      </c>
      <c r="F6403" t="inlineStr">
        <is>
          <t>0354</t>
        </is>
      </c>
      <c r="G6403" s="10" t="inlineStr">
        <is>
          <t>御室仁和寺</t>
        </is>
      </c>
      <c r="H6403" s="10" t="inlineStr">
        <is>
          <t>発</t>
        </is>
      </c>
      <c r="J6403" s="10" t="inlineStr">
        <is>
          <t>営業</t>
        </is>
      </c>
      <c r="L6403" t="inlineStr">
        <is>
          <t>8:40:45</t>
        </is>
      </c>
      <c r="M6403" t="inlineStr">
        <is>
          <t>8:40:55</t>
        </is>
      </c>
    </row>
    <row r="6404" ht="16.5" customHeight="1" s="37">
      <c r="A6404" t="n">
        <v>17</v>
      </c>
      <c r="B6404" s="10" t="inlineStr">
        <is>
          <t>平日</t>
        </is>
      </c>
      <c r="C6404" s="10" t="inlineStr">
        <is>
          <t>北野線</t>
        </is>
      </c>
      <c r="D6404" s="10" t="inlineStr">
        <is>
          <t>上り</t>
        </is>
      </c>
      <c r="E6404" t="inlineStr">
        <is>
          <t>0860</t>
        </is>
      </c>
      <c r="F6404" t="inlineStr">
        <is>
          <t>0354</t>
        </is>
      </c>
      <c r="G6404" s="10" t="inlineStr">
        <is>
          <t>妙心寺</t>
        </is>
      </c>
      <c r="H6404" s="10" t="inlineStr">
        <is>
          <t>発</t>
        </is>
      </c>
      <c r="J6404" s="10" t="inlineStr">
        <is>
          <t>営業</t>
        </is>
      </c>
      <c r="L6404" t="inlineStr">
        <is>
          <t>8:41:55</t>
        </is>
      </c>
      <c r="M6404" t="inlineStr">
        <is>
          <t>8:42:10</t>
        </is>
      </c>
    </row>
    <row r="6405" ht="16.5" customHeight="1" s="37">
      <c r="A6405" t="n">
        <v>17</v>
      </c>
      <c r="B6405" s="10" t="inlineStr">
        <is>
          <t>平日</t>
        </is>
      </c>
      <c r="C6405" s="10" t="inlineStr">
        <is>
          <t>北野線</t>
        </is>
      </c>
      <c r="D6405" s="10" t="inlineStr">
        <is>
          <t>上り</t>
        </is>
      </c>
      <c r="E6405" t="inlineStr">
        <is>
          <t>0860</t>
        </is>
      </c>
      <c r="F6405" t="inlineStr">
        <is>
          <t>0354</t>
        </is>
      </c>
      <c r="G6405" s="10" t="inlineStr">
        <is>
          <t>龍安寺</t>
        </is>
      </c>
      <c r="H6405" s="10" t="inlineStr">
        <is>
          <t>発</t>
        </is>
      </c>
      <c r="J6405" s="10" t="inlineStr">
        <is>
          <t>営業</t>
        </is>
      </c>
      <c r="L6405" t="inlineStr">
        <is>
          <t>8:43:05</t>
        </is>
      </c>
      <c r="M6405" t="inlineStr">
        <is>
          <t>8:43:20</t>
        </is>
      </c>
    </row>
    <row r="6406" ht="16.5" customHeight="1" s="37">
      <c r="A6406" t="n">
        <v>17</v>
      </c>
      <c r="B6406" s="10" t="inlineStr">
        <is>
          <t>平日</t>
        </is>
      </c>
      <c r="C6406" s="10" t="inlineStr">
        <is>
          <t>北野線</t>
        </is>
      </c>
      <c r="D6406" s="10" t="inlineStr">
        <is>
          <t>上り</t>
        </is>
      </c>
      <c r="E6406" t="inlineStr">
        <is>
          <t>0860</t>
        </is>
      </c>
      <c r="F6406" t="inlineStr">
        <is>
          <t>0354</t>
        </is>
      </c>
      <c r="G6406" s="10" t="inlineStr">
        <is>
          <t>等持院</t>
        </is>
      </c>
      <c r="H6406" s="10" t="inlineStr">
        <is>
          <t>発</t>
        </is>
      </c>
      <c r="J6406" s="10" t="inlineStr">
        <is>
          <t>営業</t>
        </is>
      </c>
      <c r="L6406" t="inlineStr">
        <is>
          <t>8:44:00</t>
        </is>
      </c>
      <c r="M6406" t="inlineStr">
        <is>
          <t>8:44:20</t>
        </is>
      </c>
    </row>
    <row r="6407" ht="16.5" customHeight="1" s="37">
      <c r="A6407" t="n">
        <v>17</v>
      </c>
      <c r="B6407" s="10" t="inlineStr">
        <is>
          <t>平日</t>
        </is>
      </c>
      <c r="C6407" s="10" t="inlineStr">
        <is>
          <t>北野線</t>
        </is>
      </c>
      <c r="D6407" s="10" t="inlineStr">
        <is>
          <t>上り</t>
        </is>
      </c>
      <c r="E6407" t="inlineStr">
        <is>
          <t>0860</t>
        </is>
      </c>
      <c r="F6407" t="inlineStr">
        <is>
          <t>0354</t>
        </is>
      </c>
      <c r="G6407" s="10" t="inlineStr">
        <is>
          <t>北野白梅町</t>
        </is>
      </c>
      <c r="H6407" s="10" t="inlineStr">
        <is>
          <t>着</t>
        </is>
      </c>
      <c r="J6407" s="10" t="inlineStr">
        <is>
          <t>営業</t>
        </is>
      </c>
      <c r="L6407" t="inlineStr">
        <is>
          <t>8:45:40</t>
        </is>
      </c>
      <c r="Q6407" t="inlineStr">
        <is>
          <t>1</t>
        </is>
      </c>
    </row>
    <row r="6408" ht="16.5" customHeight="1" s="37">
      <c r="A6408" t="n">
        <v>17</v>
      </c>
      <c r="B6408" s="10" t="inlineStr">
        <is>
          <t>平日</t>
        </is>
      </c>
      <c r="C6408" s="10" t="inlineStr">
        <is>
          <t>北野線</t>
        </is>
      </c>
      <c r="D6408" s="10" t="inlineStr">
        <is>
          <t>下り</t>
        </is>
      </c>
      <c r="E6408" t="inlineStr">
        <is>
          <t>0863</t>
        </is>
      </c>
      <c r="F6408" t="inlineStr">
        <is>
          <t>0453</t>
        </is>
      </c>
      <c r="G6408" s="10" t="inlineStr">
        <is>
          <t>北野白梅町</t>
        </is>
      </c>
      <c r="H6408" s="10" t="inlineStr">
        <is>
          <t>発</t>
        </is>
      </c>
      <c r="J6408" s="10" t="inlineStr">
        <is>
          <t>営業</t>
        </is>
      </c>
      <c r="M6408" t="inlineStr">
        <is>
          <t>8:50:50</t>
        </is>
      </c>
      <c r="Q6408" t="inlineStr">
        <is>
          <t>1</t>
        </is>
      </c>
    </row>
    <row r="6409" ht="16.5" customHeight="1" s="37">
      <c r="A6409" t="n">
        <v>17</v>
      </c>
      <c r="B6409" s="10" t="inlineStr">
        <is>
          <t>平日</t>
        </is>
      </c>
      <c r="C6409" s="10" t="inlineStr">
        <is>
          <t>北野線</t>
        </is>
      </c>
      <c r="D6409" s="10" t="inlineStr">
        <is>
          <t>下り</t>
        </is>
      </c>
      <c r="E6409" t="inlineStr">
        <is>
          <t>0863</t>
        </is>
      </c>
      <c r="F6409" t="inlineStr">
        <is>
          <t>0453</t>
        </is>
      </c>
      <c r="G6409" s="10" t="inlineStr">
        <is>
          <t>等持院</t>
        </is>
      </c>
      <c r="H6409" s="10" t="inlineStr">
        <is>
          <t>発</t>
        </is>
      </c>
      <c r="J6409" s="10" t="inlineStr">
        <is>
          <t>営業</t>
        </is>
      </c>
      <c r="L6409" t="inlineStr">
        <is>
          <t>8:52:15</t>
        </is>
      </c>
      <c r="M6409" t="inlineStr">
        <is>
          <t>8:52:25</t>
        </is>
      </c>
    </row>
    <row r="6410" ht="16.5" customHeight="1" s="37">
      <c r="A6410" t="n">
        <v>17</v>
      </c>
      <c r="B6410" s="10" t="inlineStr">
        <is>
          <t>平日</t>
        </is>
      </c>
      <c r="C6410" s="10" t="inlineStr">
        <is>
          <t>北野線</t>
        </is>
      </c>
      <c r="D6410" s="10" t="inlineStr">
        <is>
          <t>下り</t>
        </is>
      </c>
      <c r="E6410" t="inlineStr">
        <is>
          <t>0863</t>
        </is>
      </c>
      <c r="F6410" t="inlineStr">
        <is>
          <t>0453</t>
        </is>
      </c>
      <c r="G6410" s="10" t="inlineStr">
        <is>
          <t>龍安寺</t>
        </is>
      </c>
      <c r="H6410" s="10" t="inlineStr">
        <is>
          <t>発</t>
        </is>
      </c>
      <c r="J6410" s="10" t="inlineStr">
        <is>
          <t>営業</t>
        </is>
      </c>
      <c r="L6410" t="inlineStr">
        <is>
          <t>8:53:15</t>
        </is>
      </c>
      <c r="M6410" t="inlineStr">
        <is>
          <t>8:53:35</t>
        </is>
      </c>
    </row>
    <row r="6411" ht="16.5" customHeight="1" s="37">
      <c r="A6411" t="n">
        <v>17</v>
      </c>
      <c r="B6411" s="10" t="inlineStr">
        <is>
          <t>平日</t>
        </is>
      </c>
      <c r="C6411" s="10" t="inlineStr">
        <is>
          <t>北野線</t>
        </is>
      </c>
      <c r="D6411" s="10" t="inlineStr">
        <is>
          <t>下り</t>
        </is>
      </c>
      <c r="E6411" t="inlineStr">
        <is>
          <t>0863</t>
        </is>
      </c>
      <c r="F6411" t="inlineStr">
        <is>
          <t>0453</t>
        </is>
      </c>
      <c r="G6411" s="10" t="inlineStr">
        <is>
          <t>妙心寺</t>
        </is>
      </c>
      <c r="H6411" s="10" t="inlineStr">
        <is>
          <t>発</t>
        </is>
      </c>
      <c r="J6411" s="10" t="inlineStr">
        <is>
          <t>営業</t>
        </is>
      </c>
      <c r="L6411" t="inlineStr">
        <is>
          <t>8:54:30</t>
        </is>
      </c>
      <c r="M6411" t="inlineStr">
        <is>
          <t>8:54:40</t>
        </is>
      </c>
    </row>
    <row r="6412" ht="16.5" customHeight="1" s="37">
      <c r="A6412" t="n">
        <v>17</v>
      </c>
      <c r="B6412" s="10" t="inlineStr">
        <is>
          <t>平日</t>
        </is>
      </c>
      <c r="C6412" s="10" t="inlineStr">
        <is>
          <t>北野線</t>
        </is>
      </c>
      <c r="D6412" s="10" t="inlineStr">
        <is>
          <t>下り</t>
        </is>
      </c>
      <c r="E6412" t="inlineStr">
        <is>
          <t>0863</t>
        </is>
      </c>
      <c r="F6412" t="inlineStr">
        <is>
          <t>0453</t>
        </is>
      </c>
      <c r="G6412" s="10" t="inlineStr">
        <is>
          <t>御室仁和寺</t>
        </is>
      </c>
      <c r="H6412" s="10" t="inlineStr">
        <is>
          <t>発</t>
        </is>
      </c>
      <c r="J6412" s="10" t="inlineStr">
        <is>
          <t>営業</t>
        </is>
      </c>
      <c r="L6412" t="inlineStr">
        <is>
          <t>8:55:40</t>
        </is>
      </c>
      <c r="M6412" t="inlineStr">
        <is>
          <t>8:55:55</t>
        </is>
      </c>
    </row>
    <row r="6413" ht="16.5" customHeight="1" s="37">
      <c r="A6413" t="n">
        <v>17</v>
      </c>
      <c r="B6413" s="10" t="inlineStr">
        <is>
          <t>平日</t>
        </is>
      </c>
      <c r="C6413" s="10" t="inlineStr">
        <is>
          <t>北野線</t>
        </is>
      </c>
      <c r="D6413" s="10" t="inlineStr">
        <is>
          <t>下り</t>
        </is>
      </c>
      <c r="E6413" t="inlineStr">
        <is>
          <t>0863</t>
        </is>
      </c>
      <c r="F6413" t="inlineStr">
        <is>
          <t>0453</t>
        </is>
      </c>
      <c r="G6413" s="10" t="inlineStr">
        <is>
          <t>宇多野</t>
        </is>
      </c>
      <c r="H6413" s="10" t="inlineStr">
        <is>
          <t>発</t>
        </is>
      </c>
      <c r="J6413" s="10" t="inlineStr">
        <is>
          <t>営業</t>
        </is>
      </c>
      <c r="L6413" t="inlineStr">
        <is>
          <t>8:56:55</t>
        </is>
      </c>
      <c r="M6413" t="inlineStr">
        <is>
          <t>8:57:05</t>
        </is>
      </c>
    </row>
    <row r="6414" ht="16.5" customHeight="1" s="37">
      <c r="A6414" t="n">
        <v>17</v>
      </c>
      <c r="B6414" s="10" t="inlineStr">
        <is>
          <t>平日</t>
        </is>
      </c>
      <c r="C6414" s="10" t="inlineStr">
        <is>
          <t>北野線</t>
        </is>
      </c>
      <c r="D6414" s="10" t="inlineStr">
        <is>
          <t>下り</t>
        </is>
      </c>
      <c r="E6414" t="inlineStr">
        <is>
          <t>0863</t>
        </is>
      </c>
      <c r="F6414" t="inlineStr">
        <is>
          <t>0453</t>
        </is>
      </c>
      <c r="G6414" s="10" t="inlineStr">
        <is>
          <t>鳴滝</t>
        </is>
      </c>
      <c r="H6414" s="10" t="inlineStr">
        <is>
          <t>発</t>
        </is>
      </c>
      <c r="J6414" s="10" t="inlineStr">
        <is>
          <t>営業</t>
        </is>
      </c>
      <c r="L6414" t="inlineStr">
        <is>
          <t>8:58:25</t>
        </is>
      </c>
      <c r="M6414" t="inlineStr">
        <is>
          <t>8:58:35</t>
        </is>
      </c>
    </row>
    <row r="6415" ht="16.5" customHeight="1" s="37">
      <c r="A6415" t="n">
        <v>17</v>
      </c>
      <c r="B6415" s="10" t="inlineStr">
        <is>
          <t>平日</t>
        </is>
      </c>
      <c r="C6415" s="10" t="inlineStr">
        <is>
          <t>北野線</t>
        </is>
      </c>
      <c r="D6415" s="10" t="inlineStr">
        <is>
          <t>下り</t>
        </is>
      </c>
      <c r="E6415" t="inlineStr">
        <is>
          <t>0863</t>
        </is>
      </c>
      <c r="F6415" t="inlineStr">
        <is>
          <t>0453</t>
        </is>
      </c>
      <c r="G6415" s="10" t="inlineStr">
        <is>
          <t>常盤</t>
        </is>
      </c>
      <c r="H6415" s="10" t="inlineStr">
        <is>
          <t>発</t>
        </is>
      </c>
      <c r="J6415" s="10" t="inlineStr">
        <is>
          <t>営業</t>
        </is>
      </c>
      <c r="L6415" t="inlineStr">
        <is>
          <t>8:59:25</t>
        </is>
      </c>
      <c r="M6415" t="inlineStr">
        <is>
          <t>8:59:45</t>
        </is>
      </c>
    </row>
    <row r="6416" ht="15" customHeight="1" s="37">
      <c r="A6416" t="n">
        <v>17</v>
      </c>
      <c r="B6416" s="10" t="inlineStr">
        <is>
          <t>平日</t>
        </is>
      </c>
      <c r="C6416" s="10" t="inlineStr">
        <is>
          <t>北野線</t>
        </is>
      </c>
      <c r="D6416" s="10" t="inlineStr">
        <is>
          <t>下り</t>
        </is>
      </c>
      <c r="E6416" t="inlineStr">
        <is>
          <t>0863</t>
        </is>
      </c>
      <c r="F6416" t="inlineStr">
        <is>
          <t>0453</t>
        </is>
      </c>
      <c r="G6416" s="10" t="inlineStr">
        <is>
          <t>撮影所前</t>
        </is>
      </c>
      <c r="H6416" s="10" t="inlineStr">
        <is>
          <t>発</t>
        </is>
      </c>
      <c r="J6416" s="10" t="inlineStr">
        <is>
          <t>営業</t>
        </is>
      </c>
      <c r="L6416" t="inlineStr">
        <is>
          <t>9:01:05</t>
        </is>
      </c>
      <c r="M6416" t="inlineStr">
        <is>
          <t>9:01:20</t>
        </is>
      </c>
    </row>
    <row r="6417" ht="15" customHeight="1" s="37">
      <c r="A6417" t="n">
        <v>17</v>
      </c>
      <c r="B6417" s="10" t="inlineStr">
        <is>
          <t>平日</t>
        </is>
      </c>
      <c r="C6417" s="10" t="inlineStr">
        <is>
          <t>北野線</t>
        </is>
      </c>
      <c r="D6417" s="10" t="inlineStr">
        <is>
          <t>下り</t>
        </is>
      </c>
      <c r="E6417" t="inlineStr">
        <is>
          <t>0863</t>
        </is>
      </c>
      <c r="F6417" t="inlineStr">
        <is>
          <t>0453</t>
        </is>
      </c>
      <c r="G6417" s="10" t="inlineStr">
        <is>
          <t>帷子ノ辻</t>
        </is>
      </c>
      <c r="H6417" s="10" t="inlineStr">
        <is>
          <t>着</t>
        </is>
      </c>
      <c r="J6417" s="10" t="inlineStr">
        <is>
          <t>営業</t>
        </is>
      </c>
      <c r="L6417" t="inlineStr">
        <is>
          <t>9:02:15</t>
        </is>
      </c>
      <c r="Q6417" t="inlineStr">
        <is>
          <t>3</t>
        </is>
      </c>
    </row>
    <row r="6418" ht="15" customHeight="1" s="37">
      <c r="A6418" t="n">
        <v>17</v>
      </c>
      <c r="B6418" s="10" t="inlineStr">
        <is>
          <t>平日</t>
        </is>
      </c>
      <c r="C6418" s="10" t="inlineStr">
        <is>
          <t>北野線</t>
        </is>
      </c>
      <c r="D6418" s="10" t="inlineStr">
        <is>
          <t>上り</t>
        </is>
      </c>
      <c r="E6418" t="inlineStr">
        <is>
          <t>0954</t>
        </is>
      </c>
      <c r="F6418" t="inlineStr">
        <is>
          <t>0354</t>
        </is>
      </c>
      <c r="G6418" s="10" t="inlineStr">
        <is>
          <t>帷子ノ辻</t>
        </is>
      </c>
      <c r="H6418" s="10" t="inlineStr">
        <is>
          <t>発</t>
        </is>
      </c>
      <c r="J6418" s="10" t="inlineStr">
        <is>
          <t>営業</t>
        </is>
      </c>
      <c r="M6418" t="inlineStr">
        <is>
          <t>9:16:25</t>
        </is>
      </c>
      <c r="Q6418" t="inlineStr">
        <is>
          <t>3</t>
        </is>
      </c>
    </row>
    <row r="6419" ht="15" customHeight="1" s="37">
      <c r="A6419" t="n">
        <v>17</v>
      </c>
      <c r="B6419" s="10" t="inlineStr">
        <is>
          <t>平日</t>
        </is>
      </c>
      <c r="C6419" s="10" t="inlineStr">
        <is>
          <t>北野線</t>
        </is>
      </c>
      <c r="D6419" s="10" t="inlineStr">
        <is>
          <t>上り</t>
        </is>
      </c>
      <c r="E6419" t="inlineStr">
        <is>
          <t>0954</t>
        </is>
      </c>
      <c r="F6419" t="inlineStr">
        <is>
          <t>0354</t>
        </is>
      </c>
      <c r="G6419" s="10" t="inlineStr">
        <is>
          <t>撮影所前</t>
        </is>
      </c>
      <c r="H6419" s="10" t="inlineStr">
        <is>
          <t>発</t>
        </is>
      </c>
      <c r="J6419" s="10" t="inlineStr">
        <is>
          <t>営業</t>
        </is>
      </c>
      <c r="L6419" t="inlineStr">
        <is>
          <t>9:17:25</t>
        </is>
      </c>
      <c r="M6419" t="inlineStr">
        <is>
          <t>9:17:40</t>
        </is>
      </c>
    </row>
    <row r="6420" ht="15" customHeight="1" s="37">
      <c r="A6420" t="n">
        <v>17</v>
      </c>
      <c r="B6420" s="10" t="inlineStr">
        <is>
          <t>平日</t>
        </is>
      </c>
      <c r="C6420" s="10" t="inlineStr">
        <is>
          <t>北野線</t>
        </is>
      </c>
      <c r="D6420" s="10" t="inlineStr">
        <is>
          <t>上り</t>
        </is>
      </c>
      <c r="E6420" t="inlineStr">
        <is>
          <t>0954</t>
        </is>
      </c>
      <c r="F6420" t="inlineStr">
        <is>
          <t>0354</t>
        </is>
      </c>
      <c r="G6420" s="10" t="inlineStr">
        <is>
          <t>常盤</t>
        </is>
      </c>
      <c r="H6420" s="10" t="inlineStr">
        <is>
          <t>発</t>
        </is>
      </c>
      <c r="J6420" s="10" t="inlineStr">
        <is>
          <t>営業</t>
        </is>
      </c>
      <c r="L6420" t="inlineStr">
        <is>
          <t>9:19:00</t>
        </is>
      </c>
      <c r="M6420" t="inlineStr">
        <is>
          <t>9:19:20</t>
        </is>
      </c>
    </row>
    <row r="6421" ht="15" customHeight="1" s="37">
      <c r="A6421" t="n">
        <v>17</v>
      </c>
      <c r="B6421" s="10" t="inlineStr">
        <is>
          <t>平日</t>
        </is>
      </c>
      <c r="C6421" s="10" t="inlineStr">
        <is>
          <t>北野線</t>
        </is>
      </c>
      <c r="D6421" s="10" t="inlineStr">
        <is>
          <t>上り</t>
        </is>
      </c>
      <c r="E6421" t="inlineStr">
        <is>
          <t>0954</t>
        </is>
      </c>
      <c r="F6421" t="inlineStr">
        <is>
          <t>0354</t>
        </is>
      </c>
      <c r="G6421" s="10" t="inlineStr">
        <is>
          <t>鳴滝</t>
        </is>
      </c>
      <c r="H6421" s="10" t="inlineStr">
        <is>
          <t>発</t>
        </is>
      </c>
      <c r="J6421" s="10" t="inlineStr">
        <is>
          <t>営業</t>
        </is>
      </c>
      <c r="L6421" t="inlineStr">
        <is>
          <t>9:20:20</t>
        </is>
      </c>
      <c r="M6421" t="inlineStr">
        <is>
          <t>9:20:40</t>
        </is>
      </c>
    </row>
    <row r="6422" ht="15" customHeight="1" s="37">
      <c r="A6422" t="n">
        <v>17</v>
      </c>
      <c r="B6422" s="10" t="inlineStr">
        <is>
          <t>平日</t>
        </is>
      </c>
      <c r="C6422" s="10" t="inlineStr">
        <is>
          <t>北野線</t>
        </is>
      </c>
      <c r="D6422" s="10" t="inlineStr">
        <is>
          <t>上り</t>
        </is>
      </c>
      <c r="E6422" t="inlineStr">
        <is>
          <t>0954</t>
        </is>
      </c>
      <c r="F6422" t="inlineStr">
        <is>
          <t>0354</t>
        </is>
      </c>
      <c r="G6422" s="10" t="inlineStr">
        <is>
          <t>宇多野</t>
        </is>
      </c>
      <c r="H6422" s="10" t="inlineStr">
        <is>
          <t>発</t>
        </is>
      </c>
      <c r="J6422" s="10" t="inlineStr">
        <is>
          <t>営業</t>
        </is>
      </c>
      <c r="L6422" t="inlineStr">
        <is>
          <t>9:22:00</t>
        </is>
      </c>
      <c r="M6422" t="inlineStr">
        <is>
          <t>9:22:15</t>
        </is>
      </c>
    </row>
    <row r="6423" ht="15" customHeight="1" s="37">
      <c r="A6423" t="n">
        <v>17</v>
      </c>
      <c r="B6423" s="10" t="inlineStr">
        <is>
          <t>平日</t>
        </is>
      </c>
      <c r="C6423" s="10" t="inlineStr">
        <is>
          <t>北野線</t>
        </is>
      </c>
      <c r="D6423" s="10" t="inlineStr">
        <is>
          <t>上り</t>
        </is>
      </c>
      <c r="E6423" t="inlineStr">
        <is>
          <t>0954</t>
        </is>
      </c>
      <c r="F6423" t="inlineStr">
        <is>
          <t>0354</t>
        </is>
      </c>
      <c r="G6423" s="10" t="inlineStr">
        <is>
          <t>御室仁和寺</t>
        </is>
      </c>
      <c r="H6423" s="10" t="inlineStr">
        <is>
          <t>発</t>
        </is>
      </c>
      <c r="J6423" s="10" t="inlineStr">
        <is>
          <t>営業</t>
        </is>
      </c>
      <c r="L6423" t="inlineStr">
        <is>
          <t>9:23:15</t>
        </is>
      </c>
      <c r="M6423" t="inlineStr">
        <is>
          <t>9:23:35</t>
        </is>
      </c>
    </row>
    <row r="6424" ht="15" customHeight="1" s="37">
      <c r="A6424" t="n">
        <v>17</v>
      </c>
      <c r="B6424" s="10" t="inlineStr">
        <is>
          <t>平日</t>
        </is>
      </c>
      <c r="C6424" s="10" t="inlineStr">
        <is>
          <t>北野線</t>
        </is>
      </c>
      <c r="D6424" s="10" t="inlineStr">
        <is>
          <t>上り</t>
        </is>
      </c>
      <c r="E6424" t="inlineStr">
        <is>
          <t>0954</t>
        </is>
      </c>
      <c r="F6424" t="inlineStr">
        <is>
          <t>0354</t>
        </is>
      </c>
      <c r="G6424" s="10" t="inlineStr">
        <is>
          <t>妙心寺</t>
        </is>
      </c>
      <c r="H6424" s="10" t="inlineStr">
        <is>
          <t>発</t>
        </is>
      </c>
      <c r="J6424" s="10" t="inlineStr">
        <is>
          <t>営業</t>
        </is>
      </c>
      <c r="L6424" t="inlineStr">
        <is>
          <t>9:24:35</t>
        </is>
      </c>
      <c r="M6424" t="inlineStr">
        <is>
          <t>9:24:50</t>
        </is>
      </c>
    </row>
    <row r="6425" ht="15" customHeight="1" s="37">
      <c r="A6425" t="n">
        <v>17</v>
      </c>
      <c r="B6425" s="10" t="inlineStr">
        <is>
          <t>平日</t>
        </is>
      </c>
      <c r="C6425" s="10" t="inlineStr">
        <is>
          <t>北野線</t>
        </is>
      </c>
      <c r="D6425" s="10" t="inlineStr">
        <is>
          <t>上り</t>
        </is>
      </c>
      <c r="E6425" t="inlineStr">
        <is>
          <t>0954</t>
        </is>
      </c>
      <c r="F6425" t="inlineStr">
        <is>
          <t>0354</t>
        </is>
      </c>
      <c r="G6425" s="10" t="inlineStr">
        <is>
          <t>龍安寺</t>
        </is>
      </c>
      <c r="H6425" s="10" t="inlineStr">
        <is>
          <t>発</t>
        </is>
      </c>
      <c r="J6425" s="10" t="inlineStr">
        <is>
          <t>営業</t>
        </is>
      </c>
      <c r="L6425" t="inlineStr">
        <is>
          <t>9:25:45</t>
        </is>
      </c>
      <c r="M6425" t="inlineStr">
        <is>
          <t>9:25:55</t>
        </is>
      </c>
    </row>
    <row r="6426" ht="15" customHeight="1" s="37">
      <c r="A6426" t="n">
        <v>17</v>
      </c>
      <c r="B6426" s="10" t="inlineStr">
        <is>
          <t>平日</t>
        </is>
      </c>
      <c r="C6426" s="10" t="inlineStr">
        <is>
          <t>北野線</t>
        </is>
      </c>
      <c r="D6426" s="10" t="inlineStr">
        <is>
          <t>上り</t>
        </is>
      </c>
      <c r="E6426" t="inlineStr">
        <is>
          <t>0954</t>
        </is>
      </c>
      <c r="F6426" t="inlineStr">
        <is>
          <t>0354</t>
        </is>
      </c>
      <c r="G6426" s="10" t="inlineStr">
        <is>
          <t>等持院</t>
        </is>
      </c>
      <c r="H6426" s="10" t="inlineStr">
        <is>
          <t>発</t>
        </is>
      </c>
      <c r="J6426" s="10" t="inlineStr">
        <is>
          <t>営業</t>
        </is>
      </c>
      <c r="L6426" t="inlineStr">
        <is>
          <t>9:26:35</t>
        </is>
      </c>
      <c r="M6426" t="inlineStr">
        <is>
          <t>9:26:55</t>
        </is>
      </c>
    </row>
    <row r="6427" ht="15" customHeight="1" s="37">
      <c r="A6427" t="n">
        <v>17</v>
      </c>
      <c r="B6427" s="10" t="inlineStr">
        <is>
          <t>平日</t>
        </is>
      </c>
      <c r="C6427" s="10" t="inlineStr">
        <is>
          <t>北野線</t>
        </is>
      </c>
      <c r="D6427" s="10" t="inlineStr">
        <is>
          <t>上り</t>
        </is>
      </c>
      <c r="E6427" t="inlineStr">
        <is>
          <t>0954</t>
        </is>
      </c>
      <c r="F6427" t="inlineStr">
        <is>
          <t>0354</t>
        </is>
      </c>
      <c r="G6427" s="10" t="inlineStr">
        <is>
          <t>北野白梅町</t>
        </is>
      </c>
      <c r="H6427" s="10" t="inlineStr">
        <is>
          <t>着</t>
        </is>
      </c>
      <c r="J6427" s="10" t="inlineStr">
        <is>
          <t>営業</t>
        </is>
      </c>
      <c r="L6427" t="inlineStr">
        <is>
          <t>9:28:15</t>
        </is>
      </c>
      <c r="Q6427" t="inlineStr">
        <is>
          <t>1</t>
        </is>
      </c>
    </row>
    <row r="6428" ht="15" customHeight="1" s="37">
      <c r="A6428" t="n">
        <v>17</v>
      </c>
      <c r="B6428" s="10" t="inlineStr">
        <is>
          <t>平日</t>
        </is>
      </c>
      <c r="C6428" s="10" t="inlineStr">
        <is>
          <t>北野線</t>
        </is>
      </c>
      <c r="D6428" s="10" t="inlineStr">
        <is>
          <t>下り</t>
        </is>
      </c>
      <c r="E6428" t="inlineStr">
        <is>
          <t>0957</t>
        </is>
      </c>
      <c r="F6428" t="inlineStr">
        <is>
          <t>0453</t>
        </is>
      </c>
      <c r="G6428" s="10" t="inlineStr">
        <is>
          <t>北野白梅町</t>
        </is>
      </c>
      <c r="H6428" s="10" t="inlineStr">
        <is>
          <t>発</t>
        </is>
      </c>
      <c r="J6428" s="10" t="inlineStr">
        <is>
          <t>営業</t>
        </is>
      </c>
      <c r="M6428" t="inlineStr">
        <is>
          <t>9:33:00</t>
        </is>
      </c>
      <c r="Q6428" t="inlineStr">
        <is>
          <t>1</t>
        </is>
      </c>
    </row>
    <row r="6429" ht="15" customHeight="1" s="37">
      <c r="A6429" t="n">
        <v>17</v>
      </c>
      <c r="B6429" s="10" t="inlineStr">
        <is>
          <t>平日</t>
        </is>
      </c>
      <c r="C6429" s="10" t="inlineStr">
        <is>
          <t>北野線</t>
        </is>
      </c>
      <c r="D6429" s="10" t="inlineStr">
        <is>
          <t>下り</t>
        </is>
      </c>
      <c r="E6429" t="inlineStr">
        <is>
          <t>0957</t>
        </is>
      </c>
      <c r="F6429" t="inlineStr">
        <is>
          <t>0453</t>
        </is>
      </c>
      <c r="G6429" s="10" t="inlineStr">
        <is>
          <t>等持院</t>
        </is>
      </c>
      <c r="H6429" s="10" t="inlineStr">
        <is>
          <t>発</t>
        </is>
      </c>
      <c r="J6429" s="10" t="inlineStr">
        <is>
          <t>営業</t>
        </is>
      </c>
      <c r="L6429" t="inlineStr">
        <is>
          <t>9:34:25</t>
        </is>
      </c>
      <c r="M6429" t="inlineStr">
        <is>
          <t>9:34:35</t>
        </is>
      </c>
    </row>
    <row r="6430" ht="15" customHeight="1" s="37">
      <c r="A6430" t="n">
        <v>17</v>
      </c>
      <c r="B6430" s="10" t="inlineStr">
        <is>
          <t>平日</t>
        </is>
      </c>
      <c r="C6430" s="10" t="inlineStr">
        <is>
          <t>北野線</t>
        </is>
      </c>
      <c r="D6430" s="10" t="inlineStr">
        <is>
          <t>下り</t>
        </is>
      </c>
      <c r="E6430" t="inlineStr">
        <is>
          <t>0957</t>
        </is>
      </c>
      <c r="F6430" t="inlineStr">
        <is>
          <t>0453</t>
        </is>
      </c>
      <c r="G6430" s="10" t="inlineStr">
        <is>
          <t>龍安寺</t>
        </is>
      </c>
      <c r="H6430" s="10" t="inlineStr">
        <is>
          <t>発</t>
        </is>
      </c>
      <c r="J6430" s="10" t="inlineStr">
        <is>
          <t>営業</t>
        </is>
      </c>
      <c r="L6430" t="inlineStr">
        <is>
          <t>9:35:25</t>
        </is>
      </c>
      <c r="M6430" t="inlineStr">
        <is>
          <t>9:35:50</t>
        </is>
      </c>
    </row>
    <row r="6431" ht="15" customHeight="1" s="37">
      <c r="A6431" t="n">
        <v>17</v>
      </c>
      <c r="B6431" s="10" t="inlineStr">
        <is>
          <t>平日</t>
        </is>
      </c>
      <c r="C6431" s="10" t="inlineStr">
        <is>
          <t>北野線</t>
        </is>
      </c>
      <c r="D6431" s="10" t="inlineStr">
        <is>
          <t>下り</t>
        </is>
      </c>
      <c r="E6431" t="inlineStr">
        <is>
          <t>0957</t>
        </is>
      </c>
      <c r="F6431" t="inlineStr">
        <is>
          <t>0453</t>
        </is>
      </c>
      <c r="G6431" s="10" t="inlineStr">
        <is>
          <t>妙心寺</t>
        </is>
      </c>
      <c r="H6431" s="10" t="inlineStr">
        <is>
          <t>発</t>
        </is>
      </c>
      <c r="J6431" s="10" t="inlineStr">
        <is>
          <t>営業</t>
        </is>
      </c>
      <c r="L6431" t="inlineStr">
        <is>
          <t>9:36:40</t>
        </is>
      </c>
      <c r="M6431" t="inlineStr">
        <is>
          <t>9:36:50</t>
        </is>
      </c>
    </row>
    <row r="6432" ht="15" customHeight="1" s="37">
      <c r="A6432" t="n">
        <v>17</v>
      </c>
      <c r="B6432" s="10" t="inlineStr">
        <is>
          <t>平日</t>
        </is>
      </c>
      <c r="C6432" s="10" t="inlineStr">
        <is>
          <t>北野線</t>
        </is>
      </c>
      <c r="D6432" s="10" t="inlineStr">
        <is>
          <t>下り</t>
        </is>
      </c>
      <c r="E6432" t="inlineStr">
        <is>
          <t>0957</t>
        </is>
      </c>
      <c r="F6432" t="inlineStr">
        <is>
          <t>0453</t>
        </is>
      </c>
      <c r="G6432" s="10" t="inlineStr">
        <is>
          <t>御室仁和寺</t>
        </is>
      </c>
      <c r="H6432" s="10" t="inlineStr">
        <is>
          <t>発</t>
        </is>
      </c>
      <c r="J6432" s="10" t="inlineStr">
        <is>
          <t>営業</t>
        </is>
      </c>
      <c r="L6432" t="inlineStr">
        <is>
          <t>9:37:50</t>
        </is>
      </c>
      <c r="M6432" t="inlineStr">
        <is>
          <t>9:38:05</t>
        </is>
      </c>
    </row>
    <row r="6433" ht="15" customHeight="1" s="37">
      <c r="A6433" t="n">
        <v>17</v>
      </c>
      <c r="B6433" s="10" t="inlineStr">
        <is>
          <t>平日</t>
        </is>
      </c>
      <c r="C6433" s="10" t="inlineStr">
        <is>
          <t>北野線</t>
        </is>
      </c>
      <c r="D6433" s="10" t="inlineStr">
        <is>
          <t>下り</t>
        </is>
      </c>
      <c r="E6433" t="inlineStr">
        <is>
          <t>0957</t>
        </is>
      </c>
      <c r="F6433" t="inlineStr">
        <is>
          <t>0453</t>
        </is>
      </c>
      <c r="G6433" s="10" t="inlineStr">
        <is>
          <t>宇多野</t>
        </is>
      </c>
      <c r="H6433" s="10" t="inlineStr">
        <is>
          <t>発</t>
        </is>
      </c>
      <c r="J6433" s="10" t="inlineStr">
        <is>
          <t>営業</t>
        </is>
      </c>
      <c r="L6433" t="inlineStr">
        <is>
          <t>9:39:05</t>
        </is>
      </c>
      <c r="M6433" t="inlineStr">
        <is>
          <t>9:39:15</t>
        </is>
      </c>
    </row>
    <row r="6434" ht="15" customHeight="1" s="37">
      <c r="A6434" t="n">
        <v>17</v>
      </c>
      <c r="B6434" s="10" t="inlineStr">
        <is>
          <t>平日</t>
        </is>
      </c>
      <c r="C6434" s="10" t="inlineStr">
        <is>
          <t>北野線</t>
        </is>
      </c>
      <c r="D6434" s="10" t="inlineStr">
        <is>
          <t>下り</t>
        </is>
      </c>
      <c r="E6434" t="inlineStr">
        <is>
          <t>0957</t>
        </is>
      </c>
      <c r="F6434" t="inlineStr">
        <is>
          <t>0453</t>
        </is>
      </c>
      <c r="G6434" s="10" t="inlineStr">
        <is>
          <t>鳴滝</t>
        </is>
      </c>
      <c r="H6434" s="10" t="inlineStr">
        <is>
          <t>発</t>
        </is>
      </c>
      <c r="J6434" s="10" t="inlineStr">
        <is>
          <t>営業</t>
        </is>
      </c>
      <c r="L6434" t="inlineStr">
        <is>
          <t>9:40:35</t>
        </is>
      </c>
      <c r="M6434" t="inlineStr">
        <is>
          <t>9:40:45</t>
        </is>
      </c>
    </row>
    <row r="6435" ht="15" customHeight="1" s="37">
      <c r="A6435" t="n">
        <v>17</v>
      </c>
      <c r="B6435" s="10" t="inlineStr">
        <is>
          <t>平日</t>
        </is>
      </c>
      <c r="C6435" s="10" t="inlineStr">
        <is>
          <t>北野線</t>
        </is>
      </c>
      <c r="D6435" s="10" t="inlineStr">
        <is>
          <t>下り</t>
        </is>
      </c>
      <c r="E6435" t="inlineStr">
        <is>
          <t>0957</t>
        </is>
      </c>
      <c r="F6435" t="inlineStr">
        <is>
          <t>0453</t>
        </is>
      </c>
      <c r="G6435" s="10" t="inlineStr">
        <is>
          <t>常盤</t>
        </is>
      </c>
      <c r="H6435" s="10" t="inlineStr">
        <is>
          <t>発</t>
        </is>
      </c>
      <c r="J6435" s="10" t="inlineStr">
        <is>
          <t>営業</t>
        </is>
      </c>
      <c r="L6435" t="inlineStr">
        <is>
          <t>9:41:35</t>
        </is>
      </c>
      <c r="M6435" t="inlineStr">
        <is>
          <t>9:41:55</t>
        </is>
      </c>
    </row>
    <row r="6436" ht="15" customHeight="1" s="37">
      <c r="A6436" t="n">
        <v>17</v>
      </c>
      <c r="B6436" s="10" t="inlineStr">
        <is>
          <t>平日</t>
        </is>
      </c>
      <c r="C6436" s="10" t="inlineStr">
        <is>
          <t>北野線</t>
        </is>
      </c>
      <c r="D6436" s="10" t="inlineStr">
        <is>
          <t>下り</t>
        </is>
      </c>
      <c r="E6436" t="inlineStr">
        <is>
          <t>0957</t>
        </is>
      </c>
      <c r="F6436" t="inlineStr">
        <is>
          <t>0453</t>
        </is>
      </c>
      <c r="G6436" s="10" t="inlineStr">
        <is>
          <t>撮影所前</t>
        </is>
      </c>
      <c r="H6436" s="10" t="inlineStr">
        <is>
          <t>発</t>
        </is>
      </c>
      <c r="J6436" s="10" t="inlineStr">
        <is>
          <t>営業</t>
        </is>
      </c>
      <c r="L6436" t="inlineStr">
        <is>
          <t>9:43:15</t>
        </is>
      </c>
      <c r="M6436" t="inlineStr">
        <is>
          <t>9:43:30</t>
        </is>
      </c>
    </row>
    <row r="6437" ht="15" customHeight="1" s="37">
      <c r="A6437" t="n">
        <v>17</v>
      </c>
      <c r="B6437" s="10" t="inlineStr">
        <is>
          <t>平日</t>
        </is>
      </c>
      <c r="C6437" s="10" t="inlineStr">
        <is>
          <t>北野線</t>
        </is>
      </c>
      <c r="D6437" s="10" t="inlineStr">
        <is>
          <t>下り</t>
        </is>
      </c>
      <c r="E6437" t="inlineStr">
        <is>
          <t>0957</t>
        </is>
      </c>
      <c r="F6437" t="inlineStr">
        <is>
          <t>0453</t>
        </is>
      </c>
      <c r="G6437" s="10" t="inlineStr">
        <is>
          <t>帷子ノ辻</t>
        </is>
      </c>
      <c r="H6437" s="10" t="inlineStr">
        <is>
          <t>着</t>
        </is>
      </c>
      <c r="J6437" s="10" t="inlineStr">
        <is>
          <t>営業</t>
        </is>
      </c>
      <c r="L6437" t="inlineStr">
        <is>
          <t>9:44:25</t>
        </is>
      </c>
      <c r="Q6437" t="inlineStr">
        <is>
          <t>3</t>
        </is>
      </c>
    </row>
    <row r="6438" ht="15" customHeight="1" s="37">
      <c r="A6438" t="n">
        <v>17</v>
      </c>
      <c r="B6438" s="10" t="inlineStr">
        <is>
          <t>平日</t>
        </is>
      </c>
      <c r="C6438" s="10" t="inlineStr">
        <is>
          <t>北野線</t>
        </is>
      </c>
      <c r="D6438" s="10" t="inlineStr">
        <is>
          <t>上り</t>
        </is>
      </c>
      <c r="E6438" t="inlineStr">
        <is>
          <t>0962</t>
        </is>
      </c>
      <c r="F6438" t="inlineStr">
        <is>
          <t>0354</t>
        </is>
      </c>
      <c r="G6438" s="10" t="inlineStr">
        <is>
          <t>帷子ノ辻</t>
        </is>
      </c>
      <c r="H6438" s="10" t="inlineStr">
        <is>
          <t>発</t>
        </is>
      </c>
      <c r="J6438" s="10" t="inlineStr">
        <is>
          <t>営業</t>
        </is>
      </c>
      <c r="M6438" t="inlineStr">
        <is>
          <t>9:56:25</t>
        </is>
      </c>
      <c r="Q6438" t="inlineStr">
        <is>
          <t>3</t>
        </is>
      </c>
      <c r="U6438" t="inlineStr">
        <is>
          <t>→帷子ノ辻 休憩(10:24〜11:26)</t>
        </is>
      </c>
    </row>
    <row r="6439" ht="15" customHeight="1" s="37">
      <c r="A6439" t="n">
        <v>17</v>
      </c>
      <c r="B6439" s="10" t="inlineStr">
        <is>
          <t>平日</t>
        </is>
      </c>
      <c r="C6439" s="10" t="inlineStr">
        <is>
          <t>北野線</t>
        </is>
      </c>
      <c r="D6439" s="10" t="inlineStr">
        <is>
          <t>上り</t>
        </is>
      </c>
      <c r="E6439" t="inlineStr">
        <is>
          <t>0962</t>
        </is>
      </c>
      <c r="F6439" t="inlineStr">
        <is>
          <t>0354</t>
        </is>
      </c>
      <c r="G6439" s="10" t="inlineStr">
        <is>
          <t>撮影所前</t>
        </is>
      </c>
      <c r="H6439" s="10" t="inlineStr">
        <is>
          <t>発</t>
        </is>
      </c>
      <c r="J6439" s="10" t="inlineStr">
        <is>
          <t>営業</t>
        </is>
      </c>
      <c r="L6439" t="inlineStr">
        <is>
          <t>9:57:25</t>
        </is>
      </c>
      <c r="M6439" t="inlineStr">
        <is>
          <t>9:57:40</t>
        </is>
      </c>
      <c r="U6439" t="inlineStr">
        <is>
          <t>→帷子ノ辻 休憩(10:24〜11:26)</t>
        </is>
      </c>
    </row>
    <row r="6440" ht="15" customHeight="1" s="37">
      <c r="A6440" t="n">
        <v>17</v>
      </c>
      <c r="B6440" s="10" t="inlineStr">
        <is>
          <t>平日</t>
        </is>
      </c>
      <c r="C6440" s="10" t="inlineStr">
        <is>
          <t>北野線</t>
        </is>
      </c>
      <c r="D6440" s="10" t="inlineStr">
        <is>
          <t>上り</t>
        </is>
      </c>
      <c r="E6440" t="inlineStr">
        <is>
          <t>0962</t>
        </is>
      </c>
      <c r="F6440" t="inlineStr">
        <is>
          <t>0354</t>
        </is>
      </c>
      <c r="G6440" s="10" t="inlineStr">
        <is>
          <t>常盤</t>
        </is>
      </c>
      <c r="H6440" s="10" t="inlineStr">
        <is>
          <t>発</t>
        </is>
      </c>
      <c r="J6440" s="10" t="inlineStr">
        <is>
          <t>営業</t>
        </is>
      </c>
      <c r="L6440" t="inlineStr">
        <is>
          <t>9:59:00</t>
        </is>
      </c>
      <c r="M6440" t="inlineStr">
        <is>
          <t>9:59:20</t>
        </is>
      </c>
      <c r="U6440" t="inlineStr">
        <is>
          <t>→帷子ノ辻 休憩(10:24〜11:26)</t>
        </is>
      </c>
    </row>
    <row r="6441" ht="15" customHeight="1" s="37">
      <c r="A6441" t="n">
        <v>17</v>
      </c>
      <c r="B6441" s="10" t="inlineStr">
        <is>
          <t>平日</t>
        </is>
      </c>
      <c r="C6441" s="10" t="inlineStr">
        <is>
          <t>北野線</t>
        </is>
      </c>
      <c r="D6441" s="10" t="inlineStr">
        <is>
          <t>上り</t>
        </is>
      </c>
      <c r="E6441" t="inlineStr">
        <is>
          <t>0962</t>
        </is>
      </c>
      <c r="F6441" t="inlineStr">
        <is>
          <t>0354</t>
        </is>
      </c>
      <c r="G6441" s="10" t="inlineStr">
        <is>
          <t>鳴滝</t>
        </is>
      </c>
      <c r="H6441" s="10" t="inlineStr">
        <is>
          <t>発</t>
        </is>
      </c>
      <c r="J6441" s="10" t="inlineStr">
        <is>
          <t>営業</t>
        </is>
      </c>
      <c r="L6441" t="inlineStr">
        <is>
          <t>10:00:20</t>
        </is>
      </c>
      <c r="M6441" t="inlineStr">
        <is>
          <t>10:00:40</t>
        </is>
      </c>
      <c r="U6441" t="inlineStr">
        <is>
          <t>→帷子ノ辻 休憩(10:24〜11:26)</t>
        </is>
      </c>
    </row>
    <row r="6442" ht="15" customHeight="1" s="37">
      <c r="A6442" t="n">
        <v>17</v>
      </c>
      <c r="B6442" s="10" t="inlineStr">
        <is>
          <t>平日</t>
        </is>
      </c>
      <c r="C6442" s="10" t="inlineStr">
        <is>
          <t>北野線</t>
        </is>
      </c>
      <c r="D6442" s="10" t="inlineStr">
        <is>
          <t>上り</t>
        </is>
      </c>
      <c r="E6442" t="inlineStr">
        <is>
          <t>0962</t>
        </is>
      </c>
      <c r="F6442" t="inlineStr">
        <is>
          <t>0354</t>
        </is>
      </c>
      <c r="G6442" s="10" t="inlineStr">
        <is>
          <t>宇多野</t>
        </is>
      </c>
      <c r="H6442" s="10" t="inlineStr">
        <is>
          <t>発</t>
        </is>
      </c>
      <c r="J6442" s="10" t="inlineStr">
        <is>
          <t>営業</t>
        </is>
      </c>
      <c r="L6442" t="inlineStr">
        <is>
          <t>10:02:00</t>
        </is>
      </c>
      <c r="M6442" t="inlineStr">
        <is>
          <t>10:02:15</t>
        </is>
      </c>
      <c r="U6442" t="inlineStr">
        <is>
          <t>→帷子ノ辻 休憩(10:24〜11:26)</t>
        </is>
      </c>
    </row>
    <row r="6443" ht="15" customHeight="1" s="37">
      <c r="A6443" t="n">
        <v>17</v>
      </c>
      <c r="B6443" s="10" t="inlineStr">
        <is>
          <t>平日</t>
        </is>
      </c>
      <c r="C6443" s="10" t="inlineStr">
        <is>
          <t>北野線</t>
        </is>
      </c>
      <c r="D6443" s="10" t="inlineStr">
        <is>
          <t>上り</t>
        </is>
      </c>
      <c r="E6443" t="inlineStr">
        <is>
          <t>0962</t>
        </is>
      </c>
      <c r="F6443" t="inlineStr">
        <is>
          <t>0354</t>
        </is>
      </c>
      <c r="G6443" s="10" t="inlineStr">
        <is>
          <t>御室仁和寺</t>
        </is>
      </c>
      <c r="H6443" s="10" t="inlineStr">
        <is>
          <t>発</t>
        </is>
      </c>
      <c r="J6443" s="10" t="inlineStr">
        <is>
          <t>営業</t>
        </is>
      </c>
      <c r="L6443" t="inlineStr">
        <is>
          <t>10:03:15</t>
        </is>
      </c>
      <c r="M6443" t="inlineStr">
        <is>
          <t>10:03:35</t>
        </is>
      </c>
      <c r="U6443" t="inlineStr">
        <is>
          <t>→帷子ノ辻 休憩(10:24〜11:26)</t>
        </is>
      </c>
    </row>
    <row r="6444" ht="15" customHeight="1" s="37">
      <c r="A6444" t="n">
        <v>17</v>
      </c>
      <c r="B6444" s="10" t="inlineStr">
        <is>
          <t>平日</t>
        </is>
      </c>
      <c r="C6444" s="10" t="inlineStr">
        <is>
          <t>北野線</t>
        </is>
      </c>
      <c r="D6444" s="10" t="inlineStr">
        <is>
          <t>上り</t>
        </is>
      </c>
      <c r="E6444" t="inlineStr">
        <is>
          <t>0962</t>
        </is>
      </c>
      <c r="F6444" t="inlineStr">
        <is>
          <t>0354</t>
        </is>
      </c>
      <c r="G6444" s="10" t="inlineStr">
        <is>
          <t>妙心寺</t>
        </is>
      </c>
      <c r="H6444" s="10" t="inlineStr">
        <is>
          <t>発</t>
        </is>
      </c>
      <c r="J6444" s="10" t="inlineStr">
        <is>
          <t>営業</t>
        </is>
      </c>
      <c r="L6444" t="inlineStr">
        <is>
          <t>10:04:35</t>
        </is>
      </c>
      <c r="M6444" t="inlineStr">
        <is>
          <t>10:04:50</t>
        </is>
      </c>
      <c r="U6444" t="inlineStr">
        <is>
          <t>→帷子ノ辻 休憩(10:24〜11:26)</t>
        </is>
      </c>
    </row>
    <row r="6445" ht="15" customHeight="1" s="37">
      <c r="A6445" t="n">
        <v>17</v>
      </c>
      <c r="B6445" s="10" t="inlineStr">
        <is>
          <t>平日</t>
        </is>
      </c>
      <c r="C6445" s="10" t="inlineStr">
        <is>
          <t>北野線</t>
        </is>
      </c>
      <c r="D6445" s="10" t="inlineStr">
        <is>
          <t>上り</t>
        </is>
      </c>
      <c r="E6445" t="inlineStr">
        <is>
          <t>0962</t>
        </is>
      </c>
      <c r="F6445" t="inlineStr">
        <is>
          <t>0354</t>
        </is>
      </c>
      <c r="G6445" s="10" t="inlineStr">
        <is>
          <t>龍安寺</t>
        </is>
      </c>
      <c r="H6445" s="10" t="inlineStr">
        <is>
          <t>発</t>
        </is>
      </c>
      <c r="J6445" s="10" t="inlineStr">
        <is>
          <t>営業</t>
        </is>
      </c>
      <c r="L6445" t="inlineStr">
        <is>
          <t>10:05:45</t>
        </is>
      </c>
      <c r="M6445" t="inlineStr">
        <is>
          <t>10:05:55</t>
        </is>
      </c>
      <c r="U6445" t="inlineStr">
        <is>
          <t>→帷子ノ辻 休憩(10:24〜11:26)</t>
        </is>
      </c>
    </row>
    <row r="6446" ht="15" customHeight="1" s="37">
      <c r="A6446" t="n">
        <v>17</v>
      </c>
      <c r="B6446" s="10" t="inlineStr">
        <is>
          <t>平日</t>
        </is>
      </c>
      <c r="C6446" s="10" t="inlineStr">
        <is>
          <t>北野線</t>
        </is>
      </c>
      <c r="D6446" s="10" t="inlineStr">
        <is>
          <t>上り</t>
        </is>
      </c>
      <c r="E6446" t="inlineStr">
        <is>
          <t>0962</t>
        </is>
      </c>
      <c r="F6446" t="inlineStr">
        <is>
          <t>0354</t>
        </is>
      </c>
      <c r="G6446" s="10" t="inlineStr">
        <is>
          <t>等持院</t>
        </is>
      </c>
      <c r="H6446" s="10" t="inlineStr">
        <is>
          <t>発</t>
        </is>
      </c>
      <c r="J6446" s="10" t="inlineStr">
        <is>
          <t>営業</t>
        </is>
      </c>
      <c r="L6446" t="inlineStr">
        <is>
          <t>10:06:35</t>
        </is>
      </c>
      <c r="M6446" t="inlineStr">
        <is>
          <t>10:06:55</t>
        </is>
      </c>
      <c r="U6446" t="inlineStr">
        <is>
          <t>→帷子ノ辻 休憩(10:24〜11:26)</t>
        </is>
      </c>
    </row>
    <row r="6447" ht="15" customHeight="1" s="37">
      <c r="A6447" t="n">
        <v>17</v>
      </c>
      <c r="B6447" s="10" t="inlineStr">
        <is>
          <t>平日</t>
        </is>
      </c>
      <c r="C6447" s="10" t="inlineStr">
        <is>
          <t>北野線</t>
        </is>
      </c>
      <c r="D6447" s="10" t="inlineStr">
        <is>
          <t>上り</t>
        </is>
      </c>
      <c r="E6447" t="inlineStr">
        <is>
          <t>0962</t>
        </is>
      </c>
      <c r="F6447" t="inlineStr">
        <is>
          <t>0354</t>
        </is>
      </c>
      <c r="G6447" s="10" t="inlineStr">
        <is>
          <t>北野白梅町</t>
        </is>
      </c>
      <c r="H6447" s="10" t="inlineStr">
        <is>
          <t>着</t>
        </is>
      </c>
      <c r="J6447" s="10" t="inlineStr">
        <is>
          <t>営業</t>
        </is>
      </c>
      <c r="L6447" t="inlineStr">
        <is>
          <t>10:08:15</t>
        </is>
      </c>
      <c r="Q6447" t="inlineStr">
        <is>
          <t>1</t>
        </is>
      </c>
      <c r="U6447" t="inlineStr">
        <is>
          <t>→帷子ノ辻 休憩(10:24〜11:26)</t>
        </is>
      </c>
    </row>
    <row r="6448" ht="15" customHeight="1" s="37">
      <c r="A6448" t="n">
        <v>17</v>
      </c>
      <c r="B6448" s="10" t="inlineStr">
        <is>
          <t>平日</t>
        </is>
      </c>
      <c r="C6448" s="10" t="inlineStr">
        <is>
          <t>北野線</t>
        </is>
      </c>
      <c r="D6448" s="10" t="inlineStr">
        <is>
          <t>下り</t>
        </is>
      </c>
      <c r="E6448" t="inlineStr">
        <is>
          <t>1053</t>
        </is>
      </c>
      <c r="F6448" t="inlineStr">
        <is>
          <t>0453</t>
        </is>
      </c>
      <c r="G6448" s="10" t="inlineStr">
        <is>
          <t>北野白梅町</t>
        </is>
      </c>
      <c r="H6448" s="10" t="inlineStr">
        <is>
          <t>発</t>
        </is>
      </c>
      <c r="J6448" s="10" t="inlineStr">
        <is>
          <t>営業</t>
        </is>
      </c>
      <c r="M6448" t="inlineStr">
        <is>
          <t>10:13:00</t>
        </is>
      </c>
      <c r="Q6448" t="inlineStr">
        <is>
          <t>1</t>
        </is>
      </c>
      <c r="U6448" t="inlineStr">
        <is>
          <t>→帷子ノ辻 休憩(10:24〜11:26)</t>
        </is>
      </c>
    </row>
    <row r="6449" ht="15" customHeight="1" s="37">
      <c r="A6449" t="n">
        <v>17</v>
      </c>
      <c r="B6449" s="10" t="inlineStr">
        <is>
          <t>平日</t>
        </is>
      </c>
      <c r="C6449" s="10" t="inlineStr">
        <is>
          <t>北野線</t>
        </is>
      </c>
      <c r="D6449" s="10" t="inlineStr">
        <is>
          <t>下り</t>
        </is>
      </c>
      <c r="E6449" t="inlineStr">
        <is>
          <t>1053</t>
        </is>
      </c>
      <c r="F6449" t="inlineStr">
        <is>
          <t>0453</t>
        </is>
      </c>
      <c r="G6449" s="10" t="inlineStr">
        <is>
          <t>等持院</t>
        </is>
      </c>
      <c r="H6449" s="10" t="inlineStr">
        <is>
          <t>発</t>
        </is>
      </c>
      <c r="J6449" s="10" t="inlineStr">
        <is>
          <t>営業</t>
        </is>
      </c>
      <c r="L6449" t="inlineStr">
        <is>
          <t>10:14:25</t>
        </is>
      </c>
      <c r="M6449" t="inlineStr">
        <is>
          <t>10:14:35</t>
        </is>
      </c>
      <c r="U6449" t="inlineStr">
        <is>
          <t>→帷子ノ辻 休憩(10:24〜11:26)</t>
        </is>
      </c>
    </row>
    <row r="6450" ht="15" customHeight="1" s="37">
      <c r="A6450" t="n">
        <v>17</v>
      </c>
      <c r="B6450" s="10" t="inlineStr">
        <is>
          <t>平日</t>
        </is>
      </c>
      <c r="C6450" s="10" t="inlineStr">
        <is>
          <t>北野線</t>
        </is>
      </c>
      <c r="D6450" s="10" t="inlineStr">
        <is>
          <t>下り</t>
        </is>
      </c>
      <c r="E6450" t="inlineStr">
        <is>
          <t>1053</t>
        </is>
      </c>
      <c r="F6450" t="inlineStr">
        <is>
          <t>0453</t>
        </is>
      </c>
      <c r="G6450" s="10" t="inlineStr">
        <is>
          <t>龍安寺</t>
        </is>
      </c>
      <c r="H6450" s="10" t="inlineStr">
        <is>
          <t>発</t>
        </is>
      </c>
      <c r="J6450" s="10" t="inlineStr">
        <is>
          <t>営業</t>
        </is>
      </c>
      <c r="L6450" t="inlineStr">
        <is>
          <t>10:15:25</t>
        </is>
      </c>
      <c r="M6450" t="inlineStr">
        <is>
          <t>10:15:50</t>
        </is>
      </c>
      <c r="U6450" t="inlineStr">
        <is>
          <t>→帷子ノ辻 休憩(10:24〜11:26)</t>
        </is>
      </c>
    </row>
    <row r="6451" ht="15" customHeight="1" s="37">
      <c r="A6451" t="n">
        <v>17</v>
      </c>
      <c r="B6451" s="10" t="inlineStr">
        <is>
          <t>平日</t>
        </is>
      </c>
      <c r="C6451" s="10" t="inlineStr">
        <is>
          <t>北野線</t>
        </is>
      </c>
      <c r="D6451" s="10" t="inlineStr">
        <is>
          <t>下り</t>
        </is>
      </c>
      <c r="E6451" t="inlineStr">
        <is>
          <t>1053</t>
        </is>
      </c>
      <c r="F6451" t="inlineStr">
        <is>
          <t>0453</t>
        </is>
      </c>
      <c r="G6451" s="10" t="inlineStr">
        <is>
          <t>妙心寺</t>
        </is>
      </c>
      <c r="H6451" s="10" t="inlineStr">
        <is>
          <t>発</t>
        </is>
      </c>
      <c r="J6451" s="10" t="inlineStr">
        <is>
          <t>営業</t>
        </is>
      </c>
      <c r="L6451" t="inlineStr">
        <is>
          <t>10:16:40</t>
        </is>
      </c>
      <c r="M6451" t="inlineStr">
        <is>
          <t>10:16:50</t>
        </is>
      </c>
      <c r="U6451" t="inlineStr">
        <is>
          <t>→帷子ノ辻 休憩(10:24〜11:26)</t>
        </is>
      </c>
    </row>
    <row r="6452" ht="15" customHeight="1" s="37">
      <c r="A6452" t="n">
        <v>17</v>
      </c>
      <c r="B6452" s="10" t="inlineStr">
        <is>
          <t>平日</t>
        </is>
      </c>
      <c r="C6452" s="10" t="inlineStr">
        <is>
          <t>北野線</t>
        </is>
      </c>
      <c r="D6452" s="10" t="inlineStr">
        <is>
          <t>下り</t>
        </is>
      </c>
      <c r="E6452" t="inlineStr">
        <is>
          <t>1053</t>
        </is>
      </c>
      <c r="F6452" t="inlineStr">
        <is>
          <t>0453</t>
        </is>
      </c>
      <c r="G6452" s="10" t="inlineStr">
        <is>
          <t>御室仁和寺</t>
        </is>
      </c>
      <c r="H6452" s="10" t="inlineStr">
        <is>
          <t>発</t>
        </is>
      </c>
      <c r="J6452" s="10" t="inlineStr">
        <is>
          <t>営業</t>
        </is>
      </c>
      <c r="L6452" t="inlineStr">
        <is>
          <t>10:17:50</t>
        </is>
      </c>
      <c r="M6452" t="inlineStr">
        <is>
          <t>10:18:05</t>
        </is>
      </c>
      <c r="U6452" t="inlineStr">
        <is>
          <t>→帷子ノ辻 休憩(10:24〜11:26)</t>
        </is>
      </c>
    </row>
    <row r="6453" ht="15" customHeight="1" s="37">
      <c r="A6453" t="n">
        <v>17</v>
      </c>
      <c r="B6453" s="10" t="inlineStr">
        <is>
          <t>平日</t>
        </is>
      </c>
      <c r="C6453" s="10" t="inlineStr">
        <is>
          <t>北野線</t>
        </is>
      </c>
      <c r="D6453" s="10" t="inlineStr">
        <is>
          <t>下り</t>
        </is>
      </c>
      <c r="E6453" t="inlineStr">
        <is>
          <t>1053</t>
        </is>
      </c>
      <c r="F6453" t="inlineStr">
        <is>
          <t>0453</t>
        </is>
      </c>
      <c r="G6453" s="10" t="inlineStr">
        <is>
          <t>宇多野</t>
        </is>
      </c>
      <c r="H6453" s="10" t="inlineStr">
        <is>
          <t>発</t>
        </is>
      </c>
      <c r="J6453" s="10" t="inlineStr">
        <is>
          <t>営業</t>
        </is>
      </c>
      <c r="L6453" t="inlineStr">
        <is>
          <t>10:19:05</t>
        </is>
      </c>
      <c r="M6453" t="inlineStr">
        <is>
          <t>10:19:15</t>
        </is>
      </c>
      <c r="U6453" t="inlineStr">
        <is>
          <t>→帷子ノ辻 休憩(10:24〜11:26)</t>
        </is>
      </c>
    </row>
    <row r="6454" ht="15" customHeight="1" s="37">
      <c r="A6454" t="n">
        <v>17</v>
      </c>
      <c r="B6454" s="10" t="inlineStr">
        <is>
          <t>平日</t>
        </is>
      </c>
      <c r="C6454" s="10" t="inlineStr">
        <is>
          <t>北野線</t>
        </is>
      </c>
      <c r="D6454" s="10" t="inlineStr">
        <is>
          <t>下り</t>
        </is>
      </c>
      <c r="E6454" t="inlineStr">
        <is>
          <t>1053</t>
        </is>
      </c>
      <c r="F6454" t="inlineStr">
        <is>
          <t>0453</t>
        </is>
      </c>
      <c r="G6454" s="10" t="inlineStr">
        <is>
          <t>鳴滝</t>
        </is>
      </c>
      <c r="H6454" s="10" t="inlineStr">
        <is>
          <t>発</t>
        </is>
      </c>
      <c r="J6454" s="10" t="inlineStr">
        <is>
          <t>営業</t>
        </is>
      </c>
      <c r="L6454" t="inlineStr">
        <is>
          <t>10:20:35</t>
        </is>
      </c>
      <c r="M6454" t="inlineStr">
        <is>
          <t>10:20:45</t>
        </is>
      </c>
      <c r="U6454" t="inlineStr">
        <is>
          <t>→帷子ノ辻 休憩(10:24〜11:26)</t>
        </is>
      </c>
    </row>
    <row r="6455" ht="15" customHeight="1" s="37">
      <c r="A6455" t="n">
        <v>17</v>
      </c>
      <c r="B6455" s="10" t="inlineStr">
        <is>
          <t>平日</t>
        </is>
      </c>
      <c r="C6455" s="10" t="inlineStr">
        <is>
          <t>北野線</t>
        </is>
      </c>
      <c r="D6455" s="10" t="inlineStr">
        <is>
          <t>下り</t>
        </is>
      </c>
      <c r="E6455" t="inlineStr">
        <is>
          <t>1053</t>
        </is>
      </c>
      <c r="F6455" t="inlineStr">
        <is>
          <t>0453</t>
        </is>
      </c>
      <c r="G6455" s="10" t="inlineStr">
        <is>
          <t>常盤</t>
        </is>
      </c>
      <c r="H6455" s="10" t="inlineStr">
        <is>
          <t>発</t>
        </is>
      </c>
      <c r="J6455" s="10" t="inlineStr">
        <is>
          <t>営業</t>
        </is>
      </c>
      <c r="L6455" t="inlineStr">
        <is>
          <t>10:21:35</t>
        </is>
      </c>
      <c r="M6455" t="inlineStr">
        <is>
          <t>10:21:55</t>
        </is>
      </c>
      <c r="U6455" t="inlineStr">
        <is>
          <t>→帷子ノ辻 休憩(10:24〜11:26)</t>
        </is>
      </c>
    </row>
    <row r="6456" ht="15" customHeight="1" s="37">
      <c r="A6456" t="n">
        <v>17</v>
      </c>
      <c r="B6456" s="10" t="inlineStr">
        <is>
          <t>平日</t>
        </is>
      </c>
      <c r="C6456" s="10" t="inlineStr">
        <is>
          <t>北野線</t>
        </is>
      </c>
      <c r="D6456" s="10" t="inlineStr">
        <is>
          <t>下り</t>
        </is>
      </c>
      <c r="E6456" t="inlineStr">
        <is>
          <t>1053</t>
        </is>
      </c>
      <c r="F6456" t="inlineStr">
        <is>
          <t>0453</t>
        </is>
      </c>
      <c r="G6456" s="10" t="inlineStr">
        <is>
          <t>撮影所前</t>
        </is>
      </c>
      <c r="H6456" s="10" t="inlineStr">
        <is>
          <t>発</t>
        </is>
      </c>
      <c r="J6456" s="10" t="inlineStr">
        <is>
          <t>営業</t>
        </is>
      </c>
      <c r="L6456" t="inlineStr">
        <is>
          <t>10:23:15</t>
        </is>
      </c>
      <c r="M6456" t="inlineStr">
        <is>
          <t>10:23:30</t>
        </is>
      </c>
      <c r="U6456" t="inlineStr">
        <is>
          <t>→帷子ノ辻 休憩(10:24〜11:26)</t>
        </is>
      </c>
    </row>
    <row r="6457" ht="15" customHeight="1" s="37">
      <c r="A6457" t="n">
        <v>17</v>
      </c>
      <c r="B6457" s="10" t="inlineStr">
        <is>
          <t>平日</t>
        </is>
      </c>
      <c r="C6457" s="10" t="inlineStr">
        <is>
          <t>北野線</t>
        </is>
      </c>
      <c r="D6457" s="10" t="inlineStr">
        <is>
          <t>下り</t>
        </is>
      </c>
      <c r="E6457" t="inlineStr">
        <is>
          <t>1053</t>
        </is>
      </c>
      <c r="F6457" t="inlineStr">
        <is>
          <t>0453</t>
        </is>
      </c>
      <c r="G6457" s="10" t="inlineStr">
        <is>
          <t>帷子ノ辻</t>
        </is>
      </c>
      <c r="H6457" s="10" t="inlineStr">
        <is>
          <t>着</t>
        </is>
      </c>
      <c r="J6457" s="10" t="inlineStr">
        <is>
          <t>営業</t>
        </is>
      </c>
      <c r="L6457" t="inlineStr">
        <is>
          <t>10:24:25</t>
        </is>
      </c>
      <c r="Q6457" t="inlineStr">
        <is>
          <t>3</t>
        </is>
      </c>
      <c r="U6457" t="inlineStr">
        <is>
          <t>→帷子ノ辻 休憩(10:24〜11:26)</t>
        </is>
      </c>
    </row>
    <row r="6458" ht="15" customHeight="1" s="37">
      <c r="A6458" t="n">
        <v>17</v>
      </c>
      <c r="B6458" s="10" t="inlineStr">
        <is>
          <t>平日</t>
        </is>
      </c>
      <c r="C6458" s="10" t="inlineStr">
        <is>
          <t>北野線</t>
        </is>
      </c>
      <c r="D6458" s="10" t="inlineStr">
        <is>
          <t>上り</t>
        </is>
      </c>
      <c r="E6458" t="inlineStr">
        <is>
          <t>1156</t>
        </is>
      </c>
      <c r="F6458" t="inlineStr">
        <is>
          <t>0354</t>
        </is>
      </c>
      <c r="G6458" s="10" t="inlineStr">
        <is>
          <t>帷子ノ辻</t>
        </is>
      </c>
      <c r="H6458" s="10" t="inlineStr">
        <is>
          <t>発</t>
        </is>
      </c>
      <c r="J6458" s="10" t="inlineStr">
        <is>
          <t>営業</t>
        </is>
      </c>
      <c r="M6458" t="inlineStr">
        <is>
          <t>11:26:25</t>
        </is>
      </c>
      <c r="Q6458" t="inlineStr">
        <is>
          <t>4</t>
        </is>
      </c>
    </row>
    <row r="6459" ht="15" customHeight="1" s="37">
      <c r="A6459" t="n">
        <v>17</v>
      </c>
      <c r="B6459" s="10" t="inlineStr">
        <is>
          <t>平日</t>
        </is>
      </c>
      <c r="C6459" s="10" t="inlineStr">
        <is>
          <t>北野線</t>
        </is>
      </c>
      <c r="D6459" s="10" t="inlineStr">
        <is>
          <t>上り</t>
        </is>
      </c>
      <c r="E6459" t="inlineStr">
        <is>
          <t>1156</t>
        </is>
      </c>
      <c r="F6459" t="inlineStr">
        <is>
          <t>0354</t>
        </is>
      </c>
      <c r="G6459" s="10" t="inlineStr">
        <is>
          <t>撮影所前</t>
        </is>
      </c>
      <c r="H6459" s="10" t="inlineStr">
        <is>
          <t>発</t>
        </is>
      </c>
      <c r="J6459" s="10" t="inlineStr">
        <is>
          <t>営業</t>
        </is>
      </c>
      <c r="L6459" t="inlineStr">
        <is>
          <t>11:27:25</t>
        </is>
      </c>
      <c r="M6459" t="inlineStr">
        <is>
          <t>11:27:40</t>
        </is>
      </c>
    </row>
    <row r="6460" ht="15" customHeight="1" s="37">
      <c r="A6460" t="n">
        <v>17</v>
      </c>
      <c r="B6460" s="10" t="inlineStr">
        <is>
          <t>平日</t>
        </is>
      </c>
      <c r="C6460" s="10" t="inlineStr">
        <is>
          <t>北野線</t>
        </is>
      </c>
      <c r="D6460" s="10" t="inlineStr">
        <is>
          <t>上り</t>
        </is>
      </c>
      <c r="E6460" t="inlineStr">
        <is>
          <t>1156</t>
        </is>
      </c>
      <c r="F6460" t="inlineStr">
        <is>
          <t>0354</t>
        </is>
      </c>
      <c r="G6460" s="10" t="inlineStr">
        <is>
          <t>常盤</t>
        </is>
      </c>
      <c r="H6460" s="10" t="inlineStr">
        <is>
          <t>発</t>
        </is>
      </c>
      <c r="J6460" s="10" t="inlineStr">
        <is>
          <t>営業</t>
        </is>
      </c>
      <c r="L6460" t="inlineStr">
        <is>
          <t>11:29:00</t>
        </is>
      </c>
      <c r="M6460" t="inlineStr">
        <is>
          <t>11:29:20</t>
        </is>
      </c>
    </row>
    <row r="6461" ht="15" customHeight="1" s="37">
      <c r="A6461" t="n">
        <v>17</v>
      </c>
      <c r="B6461" s="10" t="inlineStr">
        <is>
          <t>平日</t>
        </is>
      </c>
      <c r="C6461" s="10" t="inlineStr">
        <is>
          <t>北野線</t>
        </is>
      </c>
      <c r="D6461" s="10" t="inlineStr">
        <is>
          <t>上り</t>
        </is>
      </c>
      <c r="E6461" t="inlineStr">
        <is>
          <t>1156</t>
        </is>
      </c>
      <c r="F6461" t="inlineStr">
        <is>
          <t>0354</t>
        </is>
      </c>
      <c r="G6461" s="10" t="inlineStr">
        <is>
          <t>鳴滝</t>
        </is>
      </c>
      <c r="H6461" s="10" t="inlineStr">
        <is>
          <t>発</t>
        </is>
      </c>
      <c r="J6461" s="10" t="inlineStr">
        <is>
          <t>営業</t>
        </is>
      </c>
      <c r="L6461" t="inlineStr">
        <is>
          <t>11:30:20</t>
        </is>
      </c>
      <c r="M6461" t="inlineStr">
        <is>
          <t>11:30:40</t>
        </is>
      </c>
    </row>
    <row r="6462" ht="15" customHeight="1" s="37">
      <c r="A6462" t="n">
        <v>17</v>
      </c>
      <c r="B6462" s="10" t="inlineStr">
        <is>
          <t>平日</t>
        </is>
      </c>
      <c r="C6462" s="10" t="inlineStr">
        <is>
          <t>北野線</t>
        </is>
      </c>
      <c r="D6462" s="10" t="inlineStr">
        <is>
          <t>上り</t>
        </is>
      </c>
      <c r="E6462" t="inlineStr">
        <is>
          <t>1156</t>
        </is>
      </c>
      <c r="F6462" t="inlineStr">
        <is>
          <t>0354</t>
        </is>
      </c>
      <c r="G6462" s="10" t="inlineStr">
        <is>
          <t>宇多野</t>
        </is>
      </c>
      <c r="H6462" s="10" t="inlineStr">
        <is>
          <t>発</t>
        </is>
      </c>
      <c r="J6462" s="10" t="inlineStr">
        <is>
          <t>営業</t>
        </is>
      </c>
      <c r="L6462" t="inlineStr">
        <is>
          <t>11:32:00</t>
        </is>
      </c>
      <c r="M6462" t="inlineStr">
        <is>
          <t>11:32:15</t>
        </is>
      </c>
    </row>
    <row r="6463" ht="15" customHeight="1" s="37">
      <c r="A6463" t="n">
        <v>17</v>
      </c>
      <c r="B6463" s="10" t="inlineStr">
        <is>
          <t>平日</t>
        </is>
      </c>
      <c r="C6463" s="10" t="inlineStr">
        <is>
          <t>北野線</t>
        </is>
      </c>
      <c r="D6463" s="10" t="inlineStr">
        <is>
          <t>上り</t>
        </is>
      </c>
      <c r="E6463" t="inlineStr">
        <is>
          <t>1156</t>
        </is>
      </c>
      <c r="F6463" t="inlineStr">
        <is>
          <t>0354</t>
        </is>
      </c>
      <c r="G6463" s="10" t="inlineStr">
        <is>
          <t>御室仁和寺</t>
        </is>
      </c>
      <c r="H6463" s="10" t="inlineStr">
        <is>
          <t>発</t>
        </is>
      </c>
      <c r="J6463" s="10" t="inlineStr">
        <is>
          <t>営業</t>
        </is>
      </c>
      <c r="L6463" t="inlineStr">
        <is>
          <t>11:33:15</t>
        </is>
      </c>
      <c r="M6463" t="inlineStr">
        <is>
          <t>11:33:35</t>
        </is>
      </c>
    </row>
    <row r="6464" ht="15" customHeight="1" s="37">
      <c r="A6464" t="n">
        <v>17</v>
      </c>
      <c r="B6464" s="10" t="inlineStr">
        <is>
          <t>平日</t>
        </is>
      </c>
      <c r="C6464" s="10" t="inlineStr">
        <is>
          <t>北野線</t>
        </is>
      </c>
      <c r="D6464" s="10" t="inlineStr">
        <is>
          <t>上り</t>
        </is>
      </c>
      <c r="E6464" t="inlineStr">
        <is>
          <t>1156</t>
        </is>
      </c>
      <c r="F6464" t="inlineStr">
        <is>
          <t>0354</t>
        </is>
      </c>
      <c r="G6464" s="10" t="inlineStr">
        <is>
          <t>妙心寺</t>
        </is>
      </c>
      <c r="H6464" s="10" t="inlineStr">
        <is>
          <t>発</t>
        </is>
      </c>
      <c r="J6464" s="10" t="inlineStr">
        <is>
          <t>営業</t>
        </is>
      </c>
      <c r="L6464" t="inlineStr">
        <is>
          <t>11:34:35</t>
        </is>
      </c>
      <c r="M6464" t="inlineStr">
        <is>
          <t>11:34:50</t>
        </is>
      </c>
    </row>
    <row r="6465" ht="15" customHeight="1" s="37">
      <c r="A6465" t="n">
        <v>17</v>
      </c>
      <c r="B6465" s="10" t="inlineStr">
        <is>
          <t>平日</t>
        </is>
      </c>
      <c r="C6465" s="10" t="inlineStr">
        <is>
          <t>北野線</t>
        </is>
      </c>
      <c r="D6465" s="10" t="inlineStr">
        <is>
          <t>上り</t>
        </is>
      </c>
      <c r="E6465" t="inlineStr">
        <is>
          <t>1156</t>
        </is>
      </c>
      <c r="F6465" t="inlineStr">
        <is>
          <t>0354</t>
        </is>
      </c>
      <c r="G6465" s="10" t="inlineStr">
        <is>
          <t>龍安寺</t>
        </is>
      </c>
      <c r="H6465" s="10" t="inlineStr">
        <is>
          <t>発</t>
        </is>
      </c>
      <c r="J6465" s="10" t="inlineStr">
        <is>
          <t>営業</t>
        </is>
      </c>
      <c r="L6465" t="inlineStr">
        <is>
          <t>11:35:45</t>
        </is>
      </c>
      <c r="M6465" t="inlineStr">
        <is>
          <t>11:35:55</t>
        </is>
      </c>
    </row>
    <row r="6466" ht="15" customHeight="1" s="37">
      <c r="A6466" t="n">
        <v>17</v>
      </c>
      <c r="B6466" s="10" t="inlineStr">
        <is>
          <t>平日</t>
        </is>
      </c>
      <c r="C6466" s="10" t="inlineStr">
        <is>
          <t>北野線</t>
        </is>
      </c>
      <c r="D6466" s="10" t="inlineStr">
        <is>
          <t>上り</t>
        </is>
      </c>
      <c r="E6466" t="inlineStr">
        <is>
          <t>1156</t>
        </is>
      </c>
      <c r="F6466" t="inlineStr">
        <is>
          <t>0354</t>
        </is>
      </c>
      <c r="G6466" s="10" t="inlineStr">
        <is>
          <t>等持院</t>
        </is>
      </c>
      <c r="H6466" s="10" t="inlineStr">
        <is>
          <t>発</t>
        </is>
      </c>
      <c r="J6466" s="10" t="inlineStr">
        <is>
          <t>営業</t>
        </is>
      </c>
      <c r="L6466" t="inlineStr">
        <is>
          <t>11:36:35</t>
        </is>
      </c>
      <c r="M6466" t="inlineStr">
        <is>
          <t>11:36:55</t>
        </is>
      </c>
    </row>
    <row r="6467" ht="15" customHeight="1" s="37">
      <c r="A6467" t="n">
        <v>17</v>
      </c>
      <c r="B6467" s="10" t="inlineStr">
        <is>
          <t>平日</t>
        </is>
      </c>
      <c r="C6467" s="10" t="inlineStr">
        <is>
          <t>北野線</t>
        </is>
      </c>
      <c r="D6467" s="10" t="inlineStr">
        <is>
          <t>上り</t>
        </is>
      </c>
      <c r="E6467" t="inlineStr">
        <is>
          <t>1156</t>
        </is>
      </c>
      <c r="F6467" t="inlineStr">
        <is>
          <t>0354</t>
        </is>
      </c>
      <c r="G6467" s="10" t="inlineStr">
        <is>
          <t>北野白梅町</t>
        </is>
      </c>
      <c r="H6467" s="10" t="inlineStr">
        <is>
          <t>着</t>
        </is>
      </c>
      <c r="J6467" s="10" t="inlineStr">
        <is>
          <t>営業</t>
        </is>
      </c>
      <c r="L6467" t="inlineStr">
        <is>
          <t>11:38:15</t>
        </is>
      </c>
      <c r="Q6467" t="inlineStr">
        <is>
          <t>1</t>
        </is>
      </c>
    </row>
    <row r="6468" ht="15" customHeight="1" s="37">
      <c r="A6468" t="n">
        <v>17</v>
      </c>
      <c r="B6468" s="10" t="inlineStr">
        <is>
          <t>平日</t>
        </is>
      </c>
      <c r="C6468" s="10" t="inlineStr">
        <is>
          <t>北野線</t>
        </is>
      </c>
      <c r="D6468" s="10" t="inlineStr">
        <is>
          <t>下り</t>
        </is>
      </c>
      <c r="E6468" t="inlineStr">
        <is>
          <t>1159</t>
        </is>
      </c>
      <c r="F6468" t="inlineStr">
        <is>
          <t>0453</t>
        </is>
      </c>
      <c r="G6468" s="10" t="inlineStr">
        <is>
          <t>北野白梅町</t>
        </is>
      </c>
      <c r="H6468" s="10" t="inlineStr">
        <is>
          <t>発</t>
        </is>
      </c>
      <c r="J6468" s="10" t="inlineStr">
        <is>
          <t>営業</t>
        </is>
      </c>
      <c r="M6468" t="inlineStr">
        <is>
          <t>11:43:00</t>
        </is>
      </c>
      <c r="Q6468" t="inlineStr">
        <is>
          <t>1</t>
        </is>
      </c>
    </row>
    <row r="6469" ht="15" customHeight="1" s="37">
      <c r="A6469" t="n">
        <v>17</v>
      </c>
      <c r="B6469" s="10" t="inlineStr">
        <is>
          <t>平日</t>
        </is>
      </c>
      <c r="C6469" s="10" t="inlineStr">
        <is>
          <t>北野線</t>
        </is>
      </c>
      <c r="D6469" s="10" t="inlineStr">
        <is>
          <t>下り</t>
        </is>
      </c>
      <c r="E6469" t="inlineStr">
        <is>
          <t>1159</t>
        </is>
      </c>
      <c r="F6469" t="inlineStr">
        <is>
          <t>0453</t>
        </is>
      </c>
      <c r="G6469" s="10" t="inlineStr">
        <is>
          <t>等持院</t>
        </is>
      </c>
      <c r="H6469" s="10" t="inlineStr">
        <is>
          <t>発</t>
        </is>
      </c>
      <c r="J6469" s="10" t="inlineStr">
        <is>
          <t>営業</t>
        </is>
      </c>
      <c r="L6469" t="inlineStr">
        <is>
          <t>11:44:25</t>
        </is>
      </c>
      <c r="M6469" t="inlineStr">
        <is>
          <t>11:44:35</t>
        </is>
      </c>
    </row>
    <row r="6470" ht="15" customHeight="1" s="37">
      <c r="A6470" t="n">
        <v>17</v>
      </c>
      <c r="B6470" s="10" t="inlineStr">
        <is>
          <t>平日</t>
        </is>
      </c>
      <c r="C6470" s="10" t="inlineStr">
        <is>
          <t>北野線</t>
        </is>
      </c>
      <c r="D6470" s="10" t="inlineStr">
        <is>
          <t>下り</t>
        </is>
      </c>
      <c r="E6470" t="inlineStr">
        <is>
          <t>1159</t>
        </is>
      </c>
      <c r="F6470" t="inlineStr">
        <is>
          <t>0453</t>
        </is>
      </c>
      <c r="G6470" s="10" t="inlineStr">
        <is>
          <t>龍安寺</t>
        </is>
      </c>
      <c r="H6470" s="10" t="inlineStr">
        <is>
          <t>発</t>
        </is>
      </c>
      <c r="J6470" s="10" t="inlineStr">
        <is>
          <t>営業</t>
        </is>
      </c>
      <c r="L6470" t="inlineStr">
        <is>
          <t>11:45:25</t>
        </is>
      </c>
      <c r="M6470" t="inlineStr">
        <is>
          <t>11:45:50</t>
        </is>
      </c>
    </row>
    <row r="6471" ht="15" customHeight="1" s="37">
      <c r="A6471" t="n">
        <v>17</v>
      </c>
      <c r="B6471" s="10" t="inlineStr">
        <is>
          <t>平日</t>
        </is>
      </c>
      <c r="C6471" s="10" t="inlineStr">
        <is>
          <t>北野線</t>
        </is>
      </c>
      <c r="D6471" s="10" t="inlineStr">
        <is>
          <t>下り</t>
        </is>
      </c>
      <c r="E6471" t="inlineStr">
        <is>
          <t>1159</t>
        </is>
      </c>
      <c r="F6471" t="inlineStr">
        <is>
          <t>0453</t>
        </is>
      </c>
      <c r="G6471" s="10" t="inlineStr">
        <is>
          <t>妙心寺</t>
        </is>
      </c>
      <c r="H6471" s="10" t="inlineStr">
        <is>
          <t>発</t>
        </is>
      </c>
      <c r="J6471" s="10" t="inlineStr">
        <is>
          <t>営業</t>
        </is>
      </c>
      <c r="L6471" t="inlineStr">
        <is>
          <t>11:46:40</t>
        </is>
      </c>
      <c r="M6471" t="inlineStr">
        <is>
          <t>11:46:50</t>
        </is>
      </c>
    </row>
    <row r="6472" ht="15" customHeight="1" s="37">
      <c r="A6472" t="n">
        <v>17</v>
      </c>
      <c r="B6472" s="10" t="inlineStr">
        <is>
          <t>平日</t>
        </is>
      </c>
      <c r="C6472" s="10" t="inlineStr">
        <is>
          <t>北野線</t>
        </is>
      </c>
      <c r="D6472" s="10" t="inlineStr">
        <is>
          <t>下り</t>
        </is>
      </c>
      <c r="E6472" t="inlineStr">
        <is>
          <t>1159</t>
        </is>
      </c>
      <c r="F6472" t="inlineStr">
        <is>
          <t>0453</t>
        </is>
      </c>
      <c r="G6472" s="10" t="inlineStr">
        <is>
          <t>御室仁和寺</t>
        </is>
      </c>
      <c r="H6472" s="10" t="inlineStr">
        <is>
          <t>発</t>
        </is>
      </c>
      <c r="J6472" s="10" t="inlineStr">
        <is>
          <t>営業</t>
        </is>
      </c>
      <c r="L6472" t="inlineStr">
        <is>
          <t>11:47:50</t>
        </is>
      </c>
      <c r="M6472" t="inlineStr">
        <is>
          <t>11:48:05</t>
        </is>
      </c>
    </row>
    <row r="6473" ht="15" customHeight="1" s="37">
      <c r="A6473" t="n">
        <v>17</v>
      </c>
      <c r="B6473" s="10" t="inlineStr">
        <is>
          <t>平日</t>
        </is>
      </c>
      <c r="C6473" s="10" t="inlineStr">
        <is>
          <t>北野線</t>
        </is>
      </c>
      <c r="D6473" s="10" t="inlineStr">
        <is>
          <t>下り</t>
        </is>
      </c>
      <c r="E6473" t="inlineStr">
        <is>
          <t>1159</t>
        </is>
      </c>
      <c r="F6473" t="inlineStr">
        <is>
          <t>0453</t>
        </is>
      </c>
      <c r="G6473" s="10" t="inlineStr">
        <is>
          <t>宇多野</t>
        </is>
      </c>
      <c r="H6473" s="10" t="inlineStr">
        <is>
          <t>発</t>
        </is>
      </c>
      <c r="J6473" s="10" t="inlineStr">
        <is>
          <t>営業</t>
        </is>
      </c>
      <c r="L6473" t="inlineStr">
        <is>
          <t>11:49:05</t>
        </is>
      </c>
      <c r="M6473" t="inlineStr">
        <is>
          <t>11:49:15</t>
        </is>
      </c>
    </row>
    <row r="6474" ht="15" customHeight="1" s="37">
      <c r="A6474" t="n">
        <v>17</v>
      </c>
      <c r="B6474" s="10" t="inlineStr">
        <is>
          <t>平日</t>
        </is>
      </c>
      <c r="C6474" s="10" t="inlineStr">
        <is>
          <t>北野線</t>
        </is>
      </c>
      <c r="D6474" s="10" t="inlineStr">
        <is>
          <t>下り</t>
        </is>
      </c>
      <c r="E6474" t="inlineStr">
        <is>
          <t>1159</t>
        </is>
      </c>
      <c r="F6474" t="inlineStr">
        <is>
          <t>0453</t>
        </is>
      </c>
      <c r="G6474" s="10" t="inlineStr">
        <is>
          <t>鳴滝</t>
        </is>
      </c>
      <c r="H6474" s="10" t="inlineStr">
        <is>
          <t>発</t>
        </is>
      </c>
      <c r="J6474" s="10" t="inlineStr">
        <is>
          <t>営業</t>
        </is>
      </c>
      <c r="L6474" t="inlineStr">
        <is>
          <t>11:50:35</t>
        </is>
      </c>
      <c r="M6474" t="inlineStr">
        <is>
          <t>11:50:45</t>
        </is>
      </c>
    </row>
    <row r="6475" ht="15" customHeight="1" s="37">
      <c r="A6475" t="n">
        <v>17</v>
      </c>
      <c r="B6475" s="10" t="inlineStr">
        <is>
          <t>平日</t>
        </is>
      </c>
      <c r="C6475" s="10" t="inlineStr">
        <is>
          <t>北野線</t>
        </is>
      </c>
      <c r="D6475" s="10" t="inlineStr">
        <is>
          <t>下り</t>
        </is>
      </c>
      <c r="E6475" t="inlineStr">
        <is>
          <t>1159</t>
        </is>
      </c>
      <c r="F6475" t="inlineStr">
        <is>
          <t>0453</t>
        </is>
      </c>
      <c r="G6475" s="10" t="inlineStr">
        <is>
          <t>常盤</t>
        </is>
      </c>
      <c r="H6475" s="10" t="inlineStr">
        <is>
          <t>発</t>
        </is>
      </c>
      <c r="J6475" s="10" t="inlineStr">
        <is>
          <t>営業</t>
        </is>
      </c>
      <c r="L6475" t="inlineStr">
        <is>
          <t>11:51:35</t>
        </is>
      </c>
      <c r="M6475" t="inlineStr">
        <is>
          <t>11:51:55</t>
        </is>
      </c>
    </row>
    <row r="6476" ht="15" customHeight="1" s="37">
      <c r="A6476" t="n">
        <v>17</v>
      </c>
      <c r="B6476" s="10" t="inlineStr">
        <is>
          <t>平日</t>
        </is>
      </c>
      <c r="C6476" s="10" t="inlineStr">
        <is>
          <t>北野線</t>
        </is>
      </c>
      <c r="D6476" s="10" t="inlineStr">
        <is>
          <t>下り</t>
        </is>
      </c>
      <c r="E6476" t="inlineStr">
        <is>
          <t>1159</t>
        </is>
      </c>
      <c r="F6476" t="inlineStr">
        <is>
          <t>0453</t>
        </is>
      </c>
      <c r="G6476" s="10" t="inlineStr">
        <is>
          <t>撮影所前</t>
        </is>
      </c>
      <c r="H6476" s="10" t="inlineStr">
        <is>
          <t>発</t>
        </is>
      </c>
      <c r="J6476" s="10" t="inlineStr">
        <is>
          <t>営業</t>
        </is>
      </c>
      <c r="L6476" t="inlineStr">
        <is>
          <t>11:53:15</t>
        </is>
      </c>
      <c r="M6476" t="inlineStr">
        <is>
          <t>11:53:30</t>
        </is>
      </c>
    </row>
    <row r="6477" ht="15" customHeight="1" s="37">
      <c r="A6477" t="n">
        <v>17</v>
      </c>
      <c r="B6477" s="10" t="inlineStr">
        <is>
          <t>平日</t>
        </is>
      </c>
      <c r="C6477" s="10" t="inlineStr">
        <is>
          <t>北野線</t>
        </is>
      </c>
      <c r="D6477" s="10" t="inlineStr">
        <is>
          <t>下り</t>
        </is>
      </c>
      <c r="E6477" t="inlineStr">
        <is>
          <t>1159</t>
        </is>
      </c>
      <c r="F6477" t="inlineStr">
        <is>
          <t>0453</t>
        </is>
      </c>
      <c r="G6477" s="10" t="inlineStr">
        <is>
          <t>帷子ノ辻</t>
        </is>
      </c>
      <c r="H6477" s="10" t="inlineStr">
        <is>
          <t>着</t>
        </is>
      </c>
      <c r="J6477" s="10" t="inlineStr">
        <is>
          <t>営業</t>
        </is>
      </c>
      <c r="L6477" t="inlineStr">
        <is>
          <t>11:54:25</t>
        </is>
      </c>
      <c r="Q6477" t="inlineStr">
        <is>
          <t>4</t>
        </is>
      </c>
    </row>
    <row r="6478" ht="15" customHeight="1" s="37">
      <c r="A6478" t="n">
        <v>17</v>
      </c>
      <c r="B6478" s="10" t="inlineStr">
        <is>
          <t>平日</t>
        </is>
      </c>
      <c r="C6478" s="10" t="inlineStr">
        <is>
          <t>北野線</t>
        </is>
      </c>
      <c r="D6478" s="10" t="inlineStr">
        <is>
          <t>上り</t>
        </is>
      </c>
      <c r="E6478" t="inlineStr">
        <is>
          <t>1252</t>
        </is>
      </c>
      <c r="F6478" t="inlineStr">
        <is>
          <t>0354</t>
        </is>
      </c>
      <c r="G6478" s="10" t="inlineStr">
        <is>
          <t>帷子ノ辻</t>
        </is>
      </c>
      <c r="H6478" s="10" t="inlineStr">
        <is>
          <t>発</t>
        </is>
      </c>
      <c r="J6478" s="10" t="inlineStr">
        <is>
          <t>営業</t>
        </is>
      </c>
      <c r="M6478" t="inlineStr">
        <is>
          <t>12:06:25</t>
        </is>
      </c>
      <c r="Q6478" t="inlineStr">
        <is>
          <t>4</t>
        </is>
      </c>
    </row>
    <row r="6479" ht="15" customHeight="1" s="37">
      <c r="A6479" t="n">
        <v>17</v>
      </c>
      <c r="B6479" s="10" t="inlineStr">
        <is>
          <t>平日</t>
        </is>
      </c>
      <c r="C6479" s="10" t="inlineStr">
        <is>
          <t>北野線</t>
        </is>
      </c>
      <c r="D6479" s="10" t="inlineStr">
        <is>
          <t>上り</t>
        </is>
      </c>
      <c r="E6479" t="inlineStr">
        <is>
          <t>1252</t>
        </is>
      </c>
      <c r="F6479" t="inlineStr">
        <is>
          <t>0354</t>
        </is>
      </c>
      <c r="G6479" s="10" t="inlineStr">
        <is>
          <t>撮影所前</t>
        </is>
      </c>
      <c r="H6479" s="10" t="inlineStr">
        <is>
          <t>発</t>
        </is>
      </c>
      <c r="J6479" s="10" t="inlineStr">
        <is>
          <t>営業</t>
        </is>
      </c>
      <c r="L6479" t="inlineStr">
        <is>
          <t>12:07:25</t>
        </is>
      </c>
      <c r="M6479" t="inlineStr">
        <is>
          <t>12:07:40</t>
        </is>
      </c>
    </row>
    <row r="6480" ht="15" customHeight="1" s="37">
      <c r="A6480" t="n">
        <v>17</v>
      </c>
      <c r="B6480" s="10" t="inlineStr">
        <is>
          <t>平日</t>
        </is>
      </c>
      <c r="C6480" s="10" t="inlineStr">
        <is>
          <t>北野線</t>
        </is>
      </c>
      <c r="D6480" s="10" t="inlineStr">
        <is>
          <t>上り</t>
        </is>
      </c>
      <c r="E6480" t="inlineStr">
        <is>
          <t>1252</t>
        </is>
      </c>
      <c r="F6480" t="inlineStr">
        <is>
          <t>0354</t>
        </is>
      </c>
      <c r="G6480" s="10" t="inlineStr">
        <is>
          <t>常盤</t>
        </is>
      </c>
      <c r="H6480" s="10" t="inlineStr">
        <is>
          <t>発</t>
        </is>
      </c>
      <c r="J6480" s="10" t="inlineStr">
        <is>
          <t>営業</t>
        </is>
      </c>
      <c r="L6480" t="inlineStr">
        <is>
          <t>12:09:00</t>
        </is>
      </c>
      <c r="M6480" t="inlineStr">
        <is>
          <t>12:09:20</t>
        </is>
      </c>
    </row>
    <row r="6481" ht="15" customHeight="1" s="37">
      <c r="A6481" t="n">
        <v>17</v>
      </c>
      <c r="B6481" s="10" t="inlineStr">
        <is>
          <t>平日</t>
        </is>
      </c>
      <c r="C6481" s="10" t="inlineStr">
        <is>
          <t>北野線</t>
        </is>
      </c>
      <c r="D6481" s="10" t="inlineStr">
        <is>
          <t>上り</t>
        </is>
      </c>
      <c r="E6481" t="inlineStr">
        <is>
          <t>1252</t>
        </is>
      </c>
      <c r="F6481" t="inlineStr">
        <is>
          <t>0354</t>
        </is>
      </c>
      <c r="G6481" s="10" t="inlineStr">
        <is>
          <t>鳴滝</t>
        </is>
      </c>
      <c r="H6481" s="10" t="inlineStr">
        <is>
          <t>発</t>
        </is>
      </c>
      <c r="J6481" s="10" t="inlineStr">
        <is>
          <t>営業</t>
        </is>
      </c>
      <c r="L6481" t="inlineStr">
        <is>
          <t>12:10:20</t>
        </is>
      </c>
      <c r="M6481" t="inlineStr">
        <is>
          <t>12:10:40</t>
        </is>
      </c>
    </row>
    <row r="6482" ht="15" customHeight="1" s="37">
      <c r="A6482" t="n">
        <v>17</v>
      </c>
      <c r="B6482" s="10" t="inlineStr">
        <is>
          <t>平日</t>
        </is>
      </c>
      <c r="C6482" s="10" t="inlineStr">
        <is>
          <t>北野線</t>
        </is>
      </c>
      <c r="D6482" s="10" t="inlineStr">
        <is>
          <t>上り</t>
        </is>
      </c>
      <c r="E6482" t="inlineStr">
        <is>
          <t>1252</t>
        </is>
      </c>
      <c r="F6482" t="inlineStr">
        <is>
          <t>0354</t>
        </is>
      </c>
      <c r="G6482" s="10" t="inlineStr">
        <is>
          <t>宇多野</t>
        </is>
      </c>
      <c r="H6482" s="10" t="inlineStr">
        <is>
          <t>発</t>
        </is>
      </c>
      <c r="J6482" s="10" t="inlineStr">
        <is>
          <t>営業</t>
        </is>
      </c>
      <c r="L6482" t="inlineStr">
        <is>
          <t>12:12:00</t>
        </is>
      </c>
      <c r="M6482" t="inlineStr">
        <is>
          <t>12:12:15</t>
        </is>
      </c>
    </row>
    <row r="6483" ht="15" customHeight="1" s="37">
      <c r="A6483" t="n">
        <v>17</v>
      </c>
      <c r="B6483" s="10" t="inlineStr">
        <is>
          <t>平日</t>
        </is>
      </c>
      <c r="C6483" s="10" t="inlineStr">
        <is>
          <t>北野線</t>
        </is>
      </c>
      <c r="D6483" s="10" t="inlineStr">
        <is>
          <t>上り</t>
        </is>
      </c>
      <c r="E6483" t="inlineStr">
        <is>
          <t>1252</t>
        </is>
      </c>
      <c r="F6483" t="inlineStr">
        <is>
          <t>0354</t>
        </is>
      </c>
      <c r="G6483" s="10" t="inlineStr">
        <is>
          <t>御室仁和寺</t>
        </is>
      </c>
      <c r="H6483" s="10" t="inlineStr">
        <is>
          <t>発</t>
        </is>
      </c>
      <c r="J6483" s="10" t="inlineStr">
        <is>
          <t>営業</t>
        </is>
      </c>
      <c r="L6483" t="inlineStr">
        <is>
          <t>12:13:15</t>
        </is>
      </c>
      <c r="M6483" t="inlineStr">
        <is>
          <t>12:13:35</t>
        </is>
      </c>
    </row>
    <row r="6484" ht="15" customHeight="1" s="37">
      <c r="A6484" t="n">
        <v>17</v>
      </c>
      <c r="B6484" s="10" t="inlineStr">
        <is>
          <t>平日</t>
        </is>
      </c>
      <c r="C6484" s="10" t="inlineStr">
        <is>
          <t>北野線</t>
        </is>
      </c>
      <c r="D6484" s="10" t="inlineStr">
        <is>
          <t>上り</t>
        </is>
      </c>
      <c r="E6484" t="inlineStr">
        <is>
          <t>1252</t>
        </is>
      </c>
      <c r="F6484" t="inlineStr">
        <is>
          <t>0354</t>
        </is>
      </c>
      <c r="G6484" s="10" t="inlineStr">
        <is>
          <t>妙心寺</t>
        </is>
      </c>
      <c r="H6484" s="10" t="inlineStr">
        <is>
          <t>発</t>
        </is>
      </c>
      <c r="J6484" s="10" t="inlineStr">
        <is>
          <t>営業</t>
        </is>
      </c>
      <c r="L6484" t="inlineStr">
        <is>
          <t>12:14:35</t>
        </is>
      </c>
      <c r="M6484" t="inlineStr">
        <is>
          <t>12:14:50</t>
        </is>
      </c>
    </row>
    <row r="6485" ht="15" customHeight="1" s="37">
      <c r="A6485" t="n">
        <v>17</v>
      </c>
      <c r="B6485" s="10" t="inlineStr">
        <is>
          <t>平日</t>
        </is>
      </c>
      <c r="C6485" s="10" t="inlineStr">
        <is>
          <t>北野線</t>
        </is>
      </c>
      <c r="D6485" s="10" t="inlineStr">
        <is>
          <t>上り</t>
        </is>
      </c>
      <c r="E6485" t="inlineStr">
        <is>
          <t>1252</t>
        </is>
      </c>
      <c r="F6485" t="inlineStr">
        <is>
          <t>0354</t>
        </is>
      </c>
      <c r="G6485" s="10" t="inlineStr">
        <is>
          <t>龍安寺</t>
        </is>
      </c>
      <c r="H6485" s="10" t="inlineStr">
        <is>
          <t>発</t>
        </is>
      </c>
      <c r="J6485" s="10" t="inlineStr">
        <is>
          <t>営業</t>
        </is>
      </c>
      <c r="L6485" t="inlineStr">
        <is>
          <t>12:15:45</t>
        </is>
      </c>
      <c r="M6485" t="inlineStr">
        <is>
          <t>12:15:55</t>
        </is>
      </c>
    </row>
    <row r="6486" ht="15" customHeight="1" s="37">
      <c r="A6486" t="n">
        <v>17</v>
      </c>
      <c r="B6486" s="10" t="inlineStr">
        <is>
          <t>平日</t>
        </is>
      </c>
      <c r="C6486" s="10" t="inlineStr">
        <is>
          <t>北野線</t>
        </is>
      </c>
      <c r="D6486" s="10" t="inlineStr">
        <is>
          <t>上り</t>
        </is>
      </c>
      <c r="E6486" t="inlineStr">
        <is>
          <t>1252</t>
        </is>
      </c>
      <c r="F6486" t="inlineStr">
        <is>
          <t>0354</t>
        </is>
      </c>
      <c r="G6486" s="10" t="inlineStr">
        <is>
          <t>等持院</t>
        </is>
      </c>
      <c r="H6486" s="10" t="inlineStr">
        <is>
          <t>発</t>
        </is>
      </c>
      <c r="J6486" s="10" t="inlineStr">
        <is>
          <t>営業</t>
        </is>
      </c>
      <c r="L6486" t="inlineStr">
        <is>
          <t>12:16:35</t>
        </is>
      </c>
      <c r="M6486" t="inlineStr">
        <is>
          <t>12:16:55</t>
        </is>
      </c>
    </row>
    <row r="6487" ht="15" customHeight="1" s="37">
      <c r="A6487" t="n">
        <v>17</v>
      </c>
      <c r="B6487" s="10" t="inlineStr">
        <is>
          <t>平日</t>
        </is>
      </c>
      <c r="C6487" s="10" t="inlineStr">
        <is>
          <t>北野線</t>
        </is>
      </c>
      <c r="D6487" s="10" t="inlineStr">
        <is>
          <t>上り</t>
        </is>
      </c>
      <c r="E6487" t="inlineStr">
        <is>
          <t>1252</t>
        </is>
      </c>
      <c r="F6487" t="inlineStr">
        <is>
          <t>0354</t>
        </is>
      </c>
      <c r="G6487" s="10" t="inlineStr">
        <is>
          <t>北野白梅町</t>
        </is>
      </c>
      <c r="H6487" s="10" t="inlineStr">
        <is>
          <t>着</t>
        </is>
      </c>
      <c r="J6487" s="10" t="inlineStr">
        <is>
          <t>営業</t>
        </is>
      </c>
      <c r="L6487" t="inlineStr">
        <is>
          <t>12:18:15</t>
        </is>
      </c>
      <c r="Q6487" t="inlineStr">
        <is>
          <t>1</t>
        </is>
      </c>
    </row>
    <row r="6488" ht="15" customHeight="1" s="37">
      <c r="A6488" t="n">
        <v>17</v>
      </c>
      <c r="B6488" s="10" t="inlineStr">
        <is>
          <t>平日</t>
        </is>
      </c>
      <c r="C6488" s="10" t="inlineStr">
        <is>
          <t>北野線</t>
        </is>
      </c>
      <c r="D6488" s="10" t="inlineStr">
        <is>
          <t>下り</t>
        </is>
      </c>
      <c r="E6488" t="inlineStr">
        <is>
          <t>1255</t>
        </is>
      </c>
      <c r="F6488" t="inlineStr">
        <is>
          <t>0453</t>
        </is>
      </c>
      <c r="G6488" s="10" t="inlineStr">
        <is>
          <t>北野白梅町</t>
        </is>
      </c>
      <c r="H6488" s="10" t="inlineStr">
        <is>
          <t>発</t>
        </is>
      </c>
      <c r="J6488" s="10" t="inlineStr">
        <is>
          <t>営業</t>
        </is>
      </c>
      <c r="M6488" t="inlineStr">
        <is>
          <t>12:23:00</t>
        </is>
      </c>
      <c r="Q6488" t="inlineStr">
        <is>
          <t>1</t>
        </is>
      </c>
    </row>
    <row r="6489" ht="15" customHeight="1" s="37">
      <c r="A6489" t="n">
        <v>17</v>
      </c>
      <c r="B6489" s="10" t="inlineStr">
        <is>
          <t>平日</t>
        </is>
      </c>
      <c r="C6489" s="10" t="inlineStr">
        <is>
          <t>北野線</t>
        </is>
      </c>
      <c r="D6489" s="10" t="inlineStr">
        <is>
          <t>下り</t>
        </is>
      </c>
      <c r="E6489" t="inlineStr">
        <is>
          <t>1255</t>
        </is>
      </c>
      <c r="F6489" t="inlineStr">
        <is>
          <t>0453</t>
        </is>
      </c>
      <c r="G6489" s="10" t="inlineStr">
        <is>
          <t>等持院</t>
        </is>
      </c>
      <c r="H6489" s="10" t="inlineStr">
        <is>
          <t>発</t>
        </is>
      </c>
      <c r="J6489" s="10" t="inlineStr">
        <is>
          <t>営業</t>
        </is>
      </c>
      <c r="L6489" t="inlineStr">
        <is>
          <t>12:24:25</t>
        </is>
      </c>
      <c r="M6489" t="inlineStr">
        <is>
          <t>12:24:35</t>
        </is>
      </c>
    </row>
    <row r="6490" ht="15" customHeight="1" s="37">
      <c r="A6490" t="n">
        <v>17</v>
      </c>
      <c r="B6490" s="10" t="inlineStr">
        <is>
          <t>平日</t>
        </is>
      </c>
      <c r="C6490" s="10" t="inlineStr">
        <is>
          <t>北野線</t>
        </is>
      </c>
      <c r="D6490" s="10" t="inlineStr">
        <is>
          <t>下り</t>
        </is>
      </c>
      <c r="E6490" t="inlineStr">
        <is>
          <t>1255</t>
        </is>
      </c>
      <c r="F6490" t="inlineStr">
        <is>
          <t>0453</t>
        </is>
      </c>
      <c r="G6490" s="10" t="inlineStr">
        <is>
          <t>龍安寺</t>
        </is>
      </c>
      <c r="H6490" s="10" t="inlineStr">
        <is>
          <t>発</t>
        </is>
      </c>
      <c r="J6490" s="10" t="inlineStr">
        <is>
          <t>営業</t>
        </is>
      </c>
      <c r="L6490" t="inlineStr">
        <is>
          <t>12:25:25</t>
        </is>
      </c>
      <c r="M6490" t="inlineStr">
        <is>
          <t>12:25:50</t>
        </is>
      </c>
    </row>
    <row r="6491" ht="15" customHeight="1" s="37">
      <c r="A6491" t="n">
        <v>17</v>
      </c>
      <c r="B6491" s="10" t="inlineStr">
        <is>
          <t>平日</t>
        </is>
      </c>
      <c r="C6491" s="10" t="inlineStr">
        <is>
          <t>北野線</t>
        </is>
      </c>
      <c r="D6491" s="10" t="inlineStr">
        <is>
          <t>下り</t>
        </is>
      </c>
      <c r="E6491" t="inlineStr">
        <is>
          <t>1255</t>
        </is>
      </c>
      <c r="F6491" t="inlineStr">
        <is>
          <t>0453</t>
        </is>
      </c>
      <c r="G6491" s="10" t="inlineStr">
        <is>
          <t>妙心寺</t>
        </is>
      </c>
      <c r="H6491" s="10" t="inlineStr">
        <is>
          <t>発</t>
        </is>
      </c>
      <c r="J6491" s="10" t="inlineStr">
        <is>
          <t>営業</t>
        </is>
      </c>
      <c r="L6491" t="inlineStr">
        <is>
          <t>12:26:40</t>
        </is>
      </c>
      <c r="M6491" t="inlineStr">
        <is>
          <t>12:26:50</t>
        </is>
      </c>
    </row>
    <row r="6492" ht="15" customHeight="1" s="37">
      <c r="A6492" t="n">
        <v>17</v>
      </c>
      <c r="B6492" s="10" t="inlineStr">
        <is>
          <t>平日</t>
        </is>
      </c>
      <c r="C6492" s="10" t="inlineStr">
        <is>
          <t>北野線</t>
        </is>
      </c>
      <c r="D6492" s="10" t="inlineStr">
        <is>
          <t>下り</t>
        </is>
      </c>
      <c r="E6492" t="inlineStr">
        <is>
          <t>1255</t>
        </is>
      </c>
      <c r="F6492" t="inlineStr">
        <is>
          <t>0453</t>
        </is>
      </c>
      <c r="G6492" s="10" t="inlineStr">
        <is>
          <t>御室仁和寺</t>
        </is>
      </c>
      <c r="H6492" s="10" t="inlineStr">
        <is>
          <t>発</t>
        </is>
      </c>
      <c r="J6492" s="10" t="inlineStr">
        <is>
          <t>営業</t>
        </is>
      </c>
      <c r="L6492" t="inlineStr">
        <is>
          <t>12:27:50</t>
        </is>
      </c>
      <c r="M6492" t="inlineStr">
        <is>
          <t>12:28:05</t>
        </is>
      </c>
    </row>
    <row r="6493" ht="15" customHeight="1" s="37">
      <c r="A6493" t="n">
        <v>17</v>
      </c>
      <c r="B6493" s="10" t="inlineStr">
        <is>
          <t>平日</t>
        </is>
      </c>
      <c r="C6493" s="10" t="inlineStr">
        <is>
          <t>北野線</t>
        </is>
      </c>
      <c r="D6493" s="10" t="inlineStr">
        <is>
          <t>下り</t>
        </is>
      </c>
      <c r="E6493" t="inlineStr">
        <is>
          <t>1255</t>
        </is>
      </c>
      <c r="F6493" t="inlineStr">
        <is>
          <t>0453</t>
        </is>
      </c>
      <c r="G6493" s="10" t="inlineStr">
        <is>
          <t>宇多野</t>
        </is>
      </c>
      <c r="H6493" s="10" t="inlineStr">
        <is>
          <t>発</t>
        </is>
      </c>
      <c r="J6493" s="10" t="inlineStr">
        <is>
          <t>営業</t>
        </is>
      </c>
      <c r="L6493" t="inlineStr">
        <is>
          <t>12:29:05</t>
        </is>
      </c>
      <c r="M6493" t="inlineStr">
        <is>
          <t>12:29:15</t>
        </is>
      </c>
    </row>
    <row r="6494" ht="15" customHeight="1" s="37">
      <c r="A6494" t="n">
        <v>17</v>
      </c>
      <c r="B6494" s="10" t="inlineStr">
        <is>
          <t>平日</t>
        </is>
      </c>
      <c r="C6494" s="10" t="inlineStr">
        <is>
          <t>北野線</t>
        </is>
      </c>
      <c r="D6494" s="10" t="inlineStr">
        <is>
          <t>下り</t>
        </is>
      </c>
      <c r="E6494" t="inlineStr">
        <is>
          <t>1255</t>
        </is>
      </c>
      <c r="F6494" t="inlineStr">
        <is>
          <t>0453</t>
        </is>
      </c>
      <c r="G6494" s="10" t="inlineStr">
        <is>
          <t>鳴滝</t>
        </is>
      </c>
      <c r="H6494" s="10" t="inlineStr">
        <is>
          <t>発</t>
        </is>
      </c>
      <c r="J6494" s="10" t="inlineStr">
        <is>
          <t>営業</t>
        </is>
      </c>
      <c r="L6494" t="inlineStr">
        <is>
          <t>12:30:35</t>
        </is>
      </c>
      <c r="M6494" t="inlineStr">
        <is>
          <t>12:30:45</t>
        </is>
      </c>
    </row>
    <row r="6495" ht="15" customHeight="1" s="37">
      <c r="A6495" t="n">
        <v>17</v>
      </c>
      <c r="B6495" s="10" t="inlineStr">
        <is>
          <t>平日</t>
        </is>
      </c>
      <c r="C6495" s="10" t="inlineStr">
        <is>
          <t>北野線</t>
        </is>
      </c>
      <c r="D6495" s="10" t="inlineStr">
        <is>
          <t>下り</t>
        </is>
      </c>
      <c r="E6495" t="inlineStr">
        <is>
          <t>1255</t>
        </is>
      </c>
      <c r="F6495" t="inlineStr">
        <is>
          <t>0453</t>
        </is>
      </c>
      <c r="G6495" s="10" t="inlineStr">
        <is>
          <t>常盤</t>
        </is>
      </c>
      <c r="H6495" s="10" t="inlineStr">
        <is>
          <t>発</t>
        </is>
      </c>
      <c r="J6495" s="10" t="inlineStr">
        <is>
          <t>営業</t>
        </is>
      </c>
      <c r="L6495" t="inlineStr">
        <is>
          <t>12:31:35</t>
        </is>
      </c>
      <c r="M6495" t="inlineStr">
        <is>
          <t>12:31:55</t>
        </is>
      </c>
    </row>
    <row r="6496" ht="15" customHeight="1" s="37">
      <c r="A6496" t="n">
        <v>17</v>
      </c>
      <c r="B6496" s="10" t="inlineStr">
        <is>
          <t>平日</t>
        </is>
      </c>
      <c r="C6496" s="10" t="inlineStr">
        <is>
          <t>北野線</t>
        </is>
      </c>
      <c r="D6496" s="10" t="inlineStr">
        <is>
          <t>下り</t>
        </is>
      </c>
      <c r="E6496" t="inlineStr">
        <is>
          <t>1255</t>
        </is>
      </c>
      <c r="F6496" t="inlineStr">
        <is>
          <t>0453</t>
        </is>
      </c>
      <c r="G6496" s="10" t="inlineStr">
        <is>
          <t>撮影所前</t>
        </is>
      </c>
      <c r="H6496" s="10" t="inlineStr">
        <is>
          <t>発</t>
        </is>
      </c>
      <c r="J6496" s="10" t="inlineStr">
        <is>
          <t>営業</t>
        </is>
      </c>
      <c r="L6496" t="inlineStr">
        <is>
          <t>12:33:15</t>
        </is>
      </c>
      <c r="M6496" t="inlineStr">
        <is>
          <t>12:33:30</t>
        </is>
      </c>
    </row>
    <row r="6497" ht="15" customHeight="1" s="37">
      <c r="A6497" t="n">
        <v>17</v>
      </c>
      <c r="B6497" s="10" t="inlineStr">
        <is>
          <t>平日</t>
        </is>
      </c>
      <c r="C6497" s="10" t="inlineStr">
        <is>
          <t>北野線</t>
        </is>
      </c>
      <c r="D6497" s="10" t="inlineStr">
        <is>
          <t>下り</t>
        </is>
      </c>
      <c r="E6497" t="inlineStr">
        <is>
          <t>1255</t>
        </is>
      </c>
      <c r="F6497" t="inlineStr">
        <is>
          <t>0453</t>
        </is>
      </c>
      <c r="G6497" s="10" t="inlineStr">
        <is>
          <t>帷子ノ辻</t>
        </is>
      </c>
      <c r="H6497" s="10" t="inlineStr">
        <is>
          <t>着</t>
        </is>
      </c>
      <c r="J6497" s="10" t="inlineStr">
        <is>
          <t>営業</t>
        </is>
      </c>
      <c r="L6497" t="inlineStr">
        <is>
          <t>12:34:25</t>
        </is>
      </c>
      <c r="Q6497" t="inlineStr">
        <is>
          <t>4</t>
        </is>
      </c>
    </row>
    <row r="6498" ht="15" customHeight="1" s="37">
      <c r="A6498" t="n">
        <v>17</v>
      </c>
      <c r="B6498" s="10" t="inlineStr">
        <is>
          <t>平日</t>
        </is>
      </c>
      <c r="C6498" s="10" t="inlineStr">
        <is>
          <t>北野線</t>
        </is>
      </c>
      <c r="D6498" s="10" t="inlineStr">
        <is>
          <t>上り</t>
        </is>
      </c>
      <c r="E6498" t="inlineStr">
        <is>
          <t>1262</t>
        </is>
      </c>
      <c r="F6498" t="inlineStr">
        <is>
          <t>0354</t>
        </is>
      </c>
      <c r="G6498" s="10" t="inlineStr">
        <is>
          <t>帷子ノ辻</t>
        </is>
      </c>
      <c r="H6498" s="10" t="inlineStr">
        <is>
          <t>発</t>
        </is>
      </c>
      <c r="J6498" s="10" t="inlineStr">
        <is>
          <t>営業</t>
        </is>
      </c>
      <c r="M6498" t="inlineStr">
        <is>
          <t>12:56:25</t>
        </is>
      </c>
      <c r="Q6498" t="inlineStr">
        <is>
          <t>3</t>
        </is>
      </c>
    </row>
    <row r="6499" ht="15" customHeight="1" s="37">
      <c r="A6499" t="n">
        <v>17</v>
      </c>
      <c r="B6499" s="10" t="inlineStr">
        <is>
          <t>平日</t>
        </is>
      </c>
      <c r="C6499" s="10" t="inlineStr">
        <is>
          <t>北野線</t>
        </is>
      </c>
      <c r="D6499" s="10" t="inlineStr">
        <is>
          <t>上り</t>
        </is>
      </c>
      <c r="E6499" t="inlineStr">
        <is>
          <t>1262</t>
        </is>
      </c>
      <c r="F6499" t="inlineStr">
        <is>
          <t>0354</t>
        </is>
      </c>
      <c r="G6499" s="10" t="inlineStr">
        <is>
          <t>撮影所前</t>
        </is>
      </c>
      <c r="H6499" s="10" t="inlineStr">
        <is>
          <t>発</t>
        </is>
      </c>
      <c r="J6499" s="10" t="inlineStr">
        <is>
          <t>営業</t>
        </is>
      </c>
      <c r="L6499" t="inlineStr">
        <is>
          <t>12:57:25</t>
        </is>
      </c>
      <c r="M6499" t="inlineStr">
        <is>
          <t>12:57:40</t>
        </is>
      </c>
    </row>
    <row r="6500" ht="15" customHeight="1" s="37">
      <c r="A6500" t="n">
        <v>17</v>
      </c>
      <c r="B6500" s="10" t="inlineStr">
        <is>
          <t>平日</t>
        </is>
      </c>
      <c r="C6500" s="10" t="inlineStr">
        <is>
          <t>北野線</t>
        </is>
      </c>
      <c r="D6500" s="10" t="inlineStr">
        <is>
          <t>上り</t>
        </is>
      </c>
      <c r="E6500" t="inlineStr">
        <is>
          <t>1262</t>
        </is>
      </c>
      <c r="F6500" t="inlineStr">
        <is>
          <t>0354</t>
        </is>
      </c>
      <c r="G6500" s="10" t="inlineStr">
        <is>
          <t>常盤</t>
        </is>
      </c>
      <c r="H6500" s="10" t="inlineStr">
        <is>
          <t>発</t>
        </is>
      </c>
      <c r="J6500" s="10" t="inlineStr">
        <is>
          <t>営業</t>
        </is>
      </c>
      <c r="L6500" t="inlineStr">
        <is>
          <t>12:59:00</t>
        </is>
      </c>
      <c r="M6500" t="inlineStr">
        <is>
          <t>12:59:20</t>
        </is>
      </c>
    </row>
    <row r="6501" ht="15" customHeight="1" s="37">
      <c r="A6501" t="n">
        <v>17</v>
      </c>
      <c r="B6501" s="10" t="inlineStr">
        <is>
          <t>平日</t>
        </is>
      </c>
      <c r="C6501" s="10" t="inlineStr">
        <is>
          <t>北野線</t>
        </is>
      </c>
      <c r="D6501" s="10" t="inlineStr">
        <is>
          <t>上り</t>
        </is>
      </c>
      <c r="E6501" t="inlineStr">
        <is>
          <t>1262</t>
        </is>
      </c>
      <c r="F6501" t="inlineStr">
        <is>
          <t>0354</t>
        </is>
      </c>
      <c r="G6501" s="10" t="inlineStr">
        <is>
          <t>鳴滝</t>
        </is>
      </c>
      <c r="H6501" s="10" t="inlineStr">
        <is>
          <t>発</t>
        </is>
      </c>
      <c r="J6501" s="10" t="inlineStr">
        <is>
          <t>営業</t>
        </is>
      </c>
      <c r="L6501" t="inlineStr">
        <is>
          <t>13:00:20</t>
        </is>
      </c>
      <c r="M6501" t="inlineStr">
        <is>
          <t>13:00:40</t>
        </is>
      </c>
    </row>
    <row r="6502" ht="15" customHeight="1" s="37">
      <c r="A6502" t="n">
        <v>17</v>
      </c>
      <c r="B6502" s="10" t="inlineStr">
        <is>
          <t>平日</t>
        </is>
      </c>
      <c r="C6502" s="10" t="inlineStr">
        <is>
          <t>北野線</t>
        </is>
      </c>
      <c r="D6502" s="10" t="inlineStr">
        <is>
          <t>上り</t>
        </is>
      </c>
      <c r="E6502" t="inlineStr">
        <is>
          <t>1262</t>
        </is>
      </c>
      <c r="F6502" t="inlineStr">
        <is>
          <t>0354</t>
        </is>
      </c>
      <c r="G6502" s="10" t="inlineStr">
        <is>
          <t>宇多野</t>
        </is>
      </c>
      <c r="H6502" s="10" t="inlineStr">
        <is>
          <t>発</t>
        </is>
      </c>
      <c r="J6502" s="10" t="inlineStr">
        <is>
          <t>営業</t>
        </is>
      </c>
      <c r="L6502" t="inlineStr">
        <is>
          <t>13:02:00</t>
        </is>
      </c>
      <c r="M6502" t="inlineStr">
        <is>
          <t>13:02:15</t>
        </is>
      </c>
    </row>
    <row r="6503" ht="15" customHeight="1" s="37">
      <c r="A6503" t="n">
        <v>17</v>
      </c>
      <c r="B6503" s="10" t="inlineStr">
        <is>
          <t>平日</t>
        </is>
      </c>
      <c r="C6503" s="10" t="inlineStr">
        <is>
          <t>北野線</t>
        </is>
      </c>
      <c r="D6503" s="10" t="inlineStr">
        <is>
          <t>上り</t>
        </is>
      </c>
      <c r="E6503" t="inlineStr">
        <is>
          <t>1262</t>
        </is>
      </c>
      <c r="F6503" t="inlineStr">
        <is>
          <t>0354</t>
        </is>
      </c>
      <c r="G6503" s="10" t="inlineStr">
        <is>
          <t>御室仁和寺</t>
        </is>
      </c>
      <c r="H6503" s="10" t="inlineStr">
        <is>
          <t>発</t>
        </is>
      </c>
      <c r="J6503" s="10" t="inlineStr">
        <is>
          <t>営業</t>
        </is>
      </c>
      <c r="L6503" t="inlineStr">
        <is>
          <t>13:03:15</t>
        </is>
      </c>
      <c r="M6503" t="inlineStr">
        <is>
          <t>13:03:35</t>
        </is>
      </c>
    </row>
    <row r="6504" ht="15" customHeight="1" s="37">
      <c r="A6504" t="n">
        <v>17</v>
      </c>
      <c r="B6504" s="10" t="inlineStr">
        <is>
          <t>平日</t>
        </is>
      </c>
      <c r="C6504" s="10" t="inlineStr">
        <is>
          <t>北野線</t>
        </is>
      </c>
      <c r="D6504" s="10" t="inlineStr">
        <is>
          <t>上り</t>
        </is>
      </c>
      <c r="E6504" t="inlineStr">
        <is>
          <t>1262</t>
        </is>
      </c>
      <c r="F6504" t="inlineStr">
        <is>
          <t>0354</t>
        </is>
      </c>
      <c r="G6504" s="10" t="inlineStr">
        <is>
          <t>妙心寺</t>
        </is>
      </c>
      <c r="H6504" s="10" t="inlineStr">
        <is>
          <t>発</t>
        </is>
      </c>
      <c r="J6504" s="10" t="inlineStr">
        <is>
          <t>営業</t>
        </is>
      </c>
      <c r="L6504" t="inlineStr">
        <is>
          <t>13:04:35</t>
        </is>
      </c>
      <c r="M6504" t="inlineStr">
        <is>
          <t>13:04:50</t>
        </is>
      </c>
    </row>
    <row r="6505" ht="15" customHeight="1" s="37">
      <c r="A6505" t="n">
        <v>17</v>
      </c>
      <c r="B6505" s="10" t="inlineStr">
        <is>
          <t>平日</t>
        </is>
      </c>
      <c r="C6505" s="10" t="inlineStr">
        <is>
          <t>北野線</t>
        </is>
      </c>
      <c r="D6505" s="10" t="inlineStr">
        <is>
          <t>上り</t>
        </is>
      </c>
      <c r="E6505" t="inlineStr">
        <is>
          <t>1262</t>
        </is>
      </c>
      <c r="F6505" t="inlineStr">
        <is>
          <t>0354</t>
        </is>
      </c>
      <c r="G6505" s="10" t="inlineStr">
        <is>
          <t>龍安寺</t>
        </is>
      </c>
      <c r="H6505" s="10" t="inlineStr">
        <is>
          <t>発</t>
        </is>
      </c>
      <c r="J6505" s="10" t="inlineStr">
        <is>
          <t>営業</t>
        </is>
      </c>
      <c r="L6505" t="inlineStr">
        <is>
          <t>13:05:45</t>
        </is>
      </c>
      <c r="M6505" t="inlineStr">
        <is>
          <t>13:05:55</t>
        </is>
      </c>
    </row>
    <row r="6506" ht="15" customHeight="1" s="37">
      <c r="A6506" t="n">
        <v>17</v>
      </c>
      <c r="B6506" s="10" t="inlineStr">
        <is>
          <t>平日</t>
        </is>
      </c>
      <c r="C6506" s="10" t="inlineStr">
        <is>
          <t>北野線</t>
        </is>
      </c>
      <c r="D6506" s="10" t="inlineStr">
        <is>
          <t>上り</t>
        </is>
      </c>
      <c r="E6506" t="inlineStr">
        <is>
          <t>1262</t>
        </is>
      </c>
      <c r="F6506" t="inlineStr">
        <is>
          <t>0354</t>
        </is>
      </c>
      <c r="G6506" s="10" t="inlineStr">
        <is>
          <t>等持院</t>
        </is>
      </c>
      <c r="H6506" s="10" t="inlineStr">
        <is>
          <t>発</t>
        </is>
      </c>
      <c r="J6506" s="10" t="inlineStr">
        <is>
          <t>営業</t>
        </is>
      </c>
      <c r="L6506" t="inlineStr">
        <is>
          <t>13:06:35</t>
        </is>
      </c>
      <c r="M6506" t="inlineStr">
        <is>
          <t>13:06:55</t>
        </is>
      </c>
    </row>
    <row r="6507" ht="15" customHeight="1" s="37">
      <c r="A6507" t="n">
        <v>17</v>
      </c>
      <c r="B6507" s="10" t="inlineStr">
        <is>
          <t>平日</t>
        </is>
      </c>
      <c r="C6507" s="10" t="inlineStr">
        <is>
          <t>北野線</t>
        </is>
      </c>
      <c r="D6507" s="10" t="inlineStr">
        <is>
          <t>上り</t>
        </is>
      </c>
      <c r="E6507" t="inlineStr">
        <is>
          <t>1262</t>
        </is>
      </c>
      <c r="F6507" t="inlineStr">
        <is>
          <t>0354</t>
        </is>
      </c>
      <c r="G6507" s="10" t="inlineStr">
        <is>
          <t>北野白梅町</t>
        </is>
      </c>
      <c r="H6507" s="10" t="inlineStr">
        <is>
          <t>着</t>
        </is>
      </c>
      <c r="J6507" s="10" t="inlineStr">
        <is>
          <t>営業</t>
        </is>
      </c>
      <c r="L6507" t="inlineStr">
        <is>
          <t>13:08:15</t>
        </is>
      </c>
      <c r="Q6507" t="inlineStr">
        <is>
          <t>1</t>
        </is>
      </c>
    </row>
    <row r="6508" ht="15" customHeight="1" s="37">
      <c r="A6508" t="n">
        <v>17</v>
      </c>
      <c r="B6508" s="10" t="inlineStr">
        <is>
          <t>平日</t>
        </is>
      </c>
      <c r="C6508" s="10" t="inlineStr">
        <is>
          <t>北野線</t>
        </is>
      </c>
      <c r="D6508" s="10" t="inlineStr">
        <is>
          <t>下り</t>
        </is>
      </c>
      <c r="E6508" t="inlineStr">
        <is>
          <t>1353</t>
        </is>
      </c>
      <c r="F6508" t="inlineStr">
        <is>
          <t>0453</t>
        </is>
      </c>
      <c r="G6508" s="10" t="inlineStr">
        <is>
          <t>北野白梅町</t>
        </is>
      </c>
      <c r="H6508" s="10" t="inlineStr">
        <is>
          <t>発</t>
        </is>
      </c>
      <c r="J6508" s="10" t="inlineStr">
        <is>
          <t>営業</t>
        </is>
      </c>
      <c r="M6508" t="inlineStr">
        <is>
          <t>13:13:00</t>
        </is>
      </c>
      <c r="Q6508" t="inlineStr">
        <is>
          <t>1</t>
        </is>
      </c>
    </row>
    <row r="6509" ht="15" customHeight="1" s="37">
      <c r="A6509" t="n">
        <v>17</v>
      </c>
      <c r="B6509" s="10" t="inlineStr">
        <is>
          <t>平日</t>
        </is>
      </c>
      <c r="C6509" s="10" t="inlineStr">
        <is>
          <t>北野線</t>
        </is>
      </c>
      <c r="D6509" s="10" t="inlineStr">
        <is>
          <t>下り</t>
        </is>
      </c>
      <c r="E6509" t="inlineStr">
        <is>
          <t>1353</t>
        </is>
      </c>
      <c r="F6509" t="inlineStr">
        <is>
          <t>0453</t>
        </is>
      </c>
      <c r="G6509" s="10" t="inlineStr">
        <is>
          <t>等持院</t>
        </is>
      </c>
      <c r="H6509" s="10" t="inlineStr">
        <is>
          <t>発</t>
        </is>
      </c>
      <c r="J6509" s="10" t="inlineStr">
        <is>
          <t>営業</t>
        </is>
      </c>
      <c r="L6509" t="inlineStr">
        <is>
          <t>13:14:25</t>
        </is>
      </c>
      <c r="M6509" t="inlineStr">
        <is>
          <t>13:14:35</t>
        </is>
      </c>
    </row>
    <row r="6510" ht="15" customHeight="1" s="37">
      <c r="A6510" t="n">
        <v>17</v>
      </c>
      <c r="B6510" s="10" t="inlineStr">
        <is>
          <t>平日</t>
        </is>
      </c>
      <c r="C6510" s="10" t="inlineStr">
        <is>
          <t>北野線</t>
        </is>
      </c>
      <c r="D6510" s="10" t="inlineStr">
        <is>
          <t>下り</t>
        </is>
      </c>
      <c r="E6510" t="inlineStr">
        <is>
          <t>1353</t>
        </is>
      </c>
      <c r="F6510" t="inlineStr">
        <is>
          <t>0453</t>
        </is>
      </c>
      <c r="G6510" s="10" t="inlineStr">
        <is>
          <t>龍安寺</t>
        </is>
      </c>
      <c r="H6510" s="10" t="inlineStr">
        <is>
          <t>発</t>
        </is>
      </c>
      <c r="J6510" s="10" t="inlineStr">
        <is>
          <t>営業</t>
        </is>
      </c>
      <c r="L6510" t="inlineStr">
        <is>
          <t>13:15:25</t>
        </is>
      </c>
      <c r="M6510" t="inlineStr">
        <is>
          <t>13:15:50</t>
        </is>
      </c>
    </row>
    <row r="6511" ht="15" customHeight="1" s="37">
      <c r="A6511" t="n">
        <v>17</v>
      </c>
      <c r="B6511" s="10" t="inlineStr">
        <is>
          <t>平日</t>
        </is>
      </c>
      <c r="C6511" s="10" t="inlineStr">
        <is>
          <t>北野線</t>
        </is>
      </c>
      <c r="D6511" s="10" t="inlineStr">
        <is>
          <t>下り</t>
        </is>
      </c>
      <c r="E6511" t="inlineStr">
        <is>
          <t>1353</t>
        </is>
      </c>
      <c r="F6511" t="inlineStr">
        <is>
          <t>0453</t>
        </is>
      </c>
      <c r="G6511" s="10" t="inlineStr">
        <is>
          <t>妙心寺</t>
        </is>
      </c>
      <c r="H6511" s="10" t="inlineStr">
        <is>
          <t>発</t>
        </is>
      </c>
      <c r="J6511" s="10" t="inlineStr">
        <is>
          <t>営業</t>
        </is>
      </c>
      <c r="L6511" t="inlineStr">
        <is>
          <t>13:16:40</t>
        </is>
      </c>
      <c r="M6511" t="inlineStr">
        <is>
          <t>13:16:50</t>
        </is>
      </c>
    </row>
    <row r="6512" ht="15" customHeight="1" s="37">
      <c r="A6512" t="n">
        <v>17</v>
      </c>
      <c r="B6512" s="10" t="inlineStr">
        <is>
          <t>平日</t>
        </is>
      </c>
      <c r="C6512" s="10" t="inlineStr">
        <is>
          <t>北野線</t>
        </is>
      </c>
      <c r="D6512" s="10" t="inlineStr">
        <is>
          <t>下り</t>
        </is>
      </c>
      <c r="E6512" t="inlineStr">
        <is>
          <t>1353</t>
        </is>
      </c>
      <c r="F6512" t="inlineStr">
        <is>
          <t>0453</t>
        </is>
      </c>
      <c r="G6512" s="10" t="inlineStr">
        <is>
          <t>御室仁和寺</t>
        </is>
      </c>
      <c r="H6512" s="10" t="inlineStr">
        <is>
          <t>発</t>
        </is>
      </c>
      <c r="J6512" s="10" t="inlineStr">
        <is>
          <t>営業</t>
        </is>
      </c>
      <c r="L6512" t="inlineStr">
        <is>
          <t>13:17:50</t>
        </is>
      </c>
      <c r="M6512" t="inlineStr">
        <is>
          <t>13:18:05</t>
        </is>
      </c>
    </row>
    <row r="6513" ht="15" customHeight="1" s="37">
      <c r="A6513" t="n">
        <v>17</v>
      </c>
      <c r="B6513" s="10" t="inlineStr">
        <is>
          <t>平日</t>
        </is>
      </c>
      <c r="C6513" s="10" t="inlineStr">
        <is>
          <t>北野線</t>
        </is>
      </c>
      <c r="D6513" s="10" t="inlineStr">
        <is>
          <t>下り</t>
        </is>
      </c>
      <c r="E6513" t="inlineStr">
        <is>
          <t>1353</t>
        </is>
      </c>
      <c r="F6513" t="inlineStr">
        <is>
          <t>0453</t>
        </is>
      </c>
      <c r="G6513" s="10" t="inlineStr">
        <is>
          <t>宇多野</t>
        </is>
      </c>
      <c r="H6513" s="10" t="inlineStr">
        <is>
          <t>発</t>
        </is>
      </c>
      <c r="J6513" s="10" t="inlineStr">
        <is>
          <t>営業</t>
        </is>
      </c>
      <c r="L6513" t="inlineStr">
        <is>
          <t>13:19:05</t>
        </is>
      </c>
      <c r="M6513" t="inlineStr">
        <is>
          <t>13:19:15</t>
        </is>
      </c>
    </row>
    <row r="6514" ht="15" customHeight="1" s="37">
      <c r="A6514" t="n">
        <v>17</v>
      </c>
      <c r="B6514" s="10" t="inlineStr">
        <is>
          <t>平日</t>
        </is>
      </c>
      <c r="C6514" s="10" t="inlineStr">
        <is>
          <t>北野線</t>
        </is>
      </c>
      <c r="D6514" s="10" t="inlineStr">
        <is>
          <t>下り</t>
        </is>
      </c>
      <c r="E6514" t="inlineStr">
        <is>
          <t>1353</t>
        </is>
      </c>
      <c r="F6514" t="inlineStr">
        <is>
          <t>0453</t>
        </is>
      </c>
      <c r="G6514" s="10" t="inlineStr">
        <is>
          <t>鳴滝</t>
        </is>
      </c>
      <c r="H6514" s="10" t="inlineStr">
        <is>
          <t>発</t>
        </is>
      </c>
      <c r="J6514" s="10" t="inlineStr">
        <is>
          <t>営業</t>
        </is>
      </c>
      <c r="L6514" t="inlineStr">
        <is>
          <t>13:20:35</t>
        </is>
      </c>
      <c r="M6514" t="inlineStr">
        <is>
          <t>13:20:45</t>
        </is>
      </c>
    </row>
    <row r="6515" ht="15" customHeight="1" s="37">
      <c r="A6515" t="n">
        <v>17</v>
      </c>
      <c r="B6515" s="10" t="inlineStr">
        <is>
          <t>平日</t>
        </is>
      </c>
      <c r="C6515" s="10" t="inlineStr">
        <is>
          <t>北野線</t>
        </is>
      </c>
      <c r="D6515" s="10" t="inlineStr">
        <is>
          <t>下り</t>
        </is>
      </c>
      <c r="E6515" t="inlineStr">
        <is>
          <t>1353</t>
        </is>
      </c>
      <c r="F6515" t="inlineStr">
        <is>
          <t>0453</t>
        </is>
      </c>
      <c r="G6515" s="10" t="inlineStr">
        <is>
          <t>常盤</t>
        </is>
      </c>
      <c r="H6515" s="10" t="inlineStr">
        <is>
          <t>発</t>
        </is>
      </c>
      <c r="J6515" s="10" t="inlineStr">
        <is>
          <t>営業</t>
        </is>
      </c>
      <c r="L6515" t="inlineStr">
        <is>
          <t>13:21:35</t>
        </is>
      </c>
      <c r="M6515" t="inlineStr">
        <is>
          <t>13:21:55</t>
        </is>
      </c>
    </row>
    <row r="6516" ht="15" customHeight="1" s="37">
      <c r="A6516" t="n">
        <v>17</v>
      </c>
      <c r="B6516" s="10" t="inlineStr">
        <is>
          <t>平日</t>
        </is>
      </c>
      <c r="C6516" s="10" t="inlineStr">
        <is>
          <t>北野線</t>
        </is>
      </c>
      <c r="D6516" s="10" t="inlineStr">
        <is>
          <t>下り</t>
        </is>
      </c>
      <c r="E6516" t="inlineStr">
        <is>
          <t>1353</t>
        </is>
      </c>
      <c r="F6516" t="inlineStr">
        <is>
          <t>0453</t>
        </is>
      </c>
      <c r="G6516" s="10" t="inlineStr">
        <is>
          <t>撮影所前</t>
        </is>
      </c>
      <c r="H6516" s="10" t="inlineStr">
        <is>
          <t>発</t>
        </is>
      </c>
      <c r="J6516" s="10" t="inlineStr">
        <is>
          <t>営業</t>
        </is>
      </c>
      <c r="L6516" t="inlineStr">
        <is>
          <t>13:23:15</t>
        </is>
      </c>
      <c r="M6516" t="inlineStr">
        <is>
          <t>13:23:30</t>
        </is>
      </c>
    </row>
    <row r="6517" ht="15" customHeight="1" s="37">
      <c r="A6517" t="n">
        <v>17</v>
      </c>
      <c r="B6517" s="10" t="inlineStr">
        <is>
          <t>平日</t>
        </is>
      </c>
      <c r="C6517" s="10" t="inlineStr">
        <is>
          <t>北野線</t>
        </is>
      </c>
      <c r="D6517" s="10" t="inlineStr">
        <is>
          <t>下り</t>
        </is>
      </c>
      <c r="E6517" t="inlineStr">
        <is>
          <t>1353</t>
        </is>
      </c>
      <c r="F6517" t="inlineStr">
        <is>
          <t>0453</t>
        </is>
      </c>
      <c r="G6517" s="10" t="inlineStr">
        <is>
          <t>帷子ノ辻</t>
        </is>
      </c>
      <c r="H6517" s="10" t="inlineStr">
        <is>
          <t>着</t>
        </is>
      </c>
      <c r="J6517" s="10" t="inlineStr">
        <is>
          <t>営業</t>
        </is>
      </c>
      <c r="L6517" t="inlineStr">
        <is>
          <t>13:24:25</t>
        </is>
      </c>
      <c r="Q6517" t="inlineStr">
        <is>
          <t>3</t>
        </is>
      </c>
    </row>
    <row r="6518" ht="15" customHeight="1" s="37">
      <c r="A6518" t="n">
        <v>17</v>
      </c>
      <c r="B6518" s="10" t="inlineStr">
        <is>
          <t>平日</t>
        </is>
      </c>
      <c r="C6518" s="10" t="inlineStr">
        <is>
          <t>北野線</t>
        </is>
      </c>
      <c r="D6518" s="10" t="inlineStr">
        <is>
          <t>上り</t>
        </is>
      </c>
      <c r="E6518" t="inlineStr">
        <is>
          <t>1358</t>
        </is>
      </c>
      <c r="F6518" t="inlineStr">
        <is>
          <t>0354</t>
        </is>
      </c>
      <c r="G6518" s="10" t="inlineStr">
        <is>
          <t>帷子ノ辻</t>
        </is>
      </c>
      <c r="H6518" s="10" t="inlineStr">
        <is>
          <t>発</t>
        </is>
      </c>
      <c r="J6518" s="10" t="inlineStr">
        <is>
          <t>営業</t>
        </is>
      </c>
      <c r="M6518" t="inlineStr">
        <is>
          <t>13:36:25</t>
        </is>
      </c>
      <c r="Q6518" t="inlineStr">
        <is>
          <t>3</t>
        </is>
      </c>
    </row>
    <row r="6519" ht="15" customHeight="1" s="37">
      <c r="A6519" t="n">
        <v>17</v>
      </c>
      <c r="B6519" s="10" t="inlineStr">
        <is>
          <t>平日</t>
        </is>
      </c>
      <c r="C6519" s="10" t="inlineStr">
        <is>
          <t>北野線</t>
        </is>
      </c>
      <c r="D6519" s="10" t="inlineStr">
        <is>
          <t>上り</t>
        </is>
      </c>
      <c r="E6519" t="inlineStr">
        <is>
          <t>1358</t>
        </is>
      </c>
      <c r="F6519" t="inlineStr">
        <is>
          <t>0354</t>
        </is>
      </c>
      <c r="G6519" s="10" t="inlineStr">
        <is>
          <t>撮影所前</t>
        </is>
      </c>
      <c r="H6519" s="10" t="inlineStr">
        <is>
          <t>発</t>
        </is>
      </c>
      <c r="J6519" s="10" t="inlineStr">
        <is>
          <t>営業</t>
        </is>
      </c>
      <c r="L6519" t="inlineStr">
        <is>
          <t>13:37:25</t>
        </is>
      </c>
      <c r="M6519" t="inlineStr">
        <is>
          <t>13:37:40</t>
        </is>
      </c>
    </row>
    <row r="6520" ht="15" customHeight="1" s="37">
      <c r="A6520" t="n">
        <v>17</v>
      </c>
      <c r="B6520" s="10" t="inlineStr">
        <is>
          <t>平日</t>
        </is>
      </c>
      <c r="C6520" s="10" t="inlineStr">
        <is>
          <t>北野線</t>
        </is>
      </c>
      <c r="D6520" s="10" t="inlineStr">
        <is>
          <t>上り</t>
        </is>
      </c>
      <c r="E6520" t="inlineStr">
        <is>
          <t>1358</t>
        </is>
      </c>
      <c r="F6520" t="inlineStr">
        <is>
          <t>0354</t>
        </is>
      </c>
      <c r="G6520" s="10" t="inlineStr">
        <is>
          <t>常盤</t>
        </is>
      </c>
      <c r="H6520" s="10" t="inlineStr">
        <is>
          <t>発</t>
        </is>
      </c>
      <c r="J6520" s="10" t="inlineStr">
        <is>
          <t>営業</t>
        </is>
      </c>
      <c r="L6520" t="inlineStr">
        <is>
          <t>13:39:00</t>
        </is>
      </c>
      <c r="M6520" t="inlineStr">
        <is>
          <t>13:39:20</t>
        </is>
      </c>
    </row>
    <row r="6521" ht="16.5" customHeight="1" s="37">
      <c r="A6521" t="n">
        <v>17</v>
      </c>
      <c r="B6521" s="10" t="inlineStr">
        <is>
          <t>平日</t>
        </is>
      </c>
      <c r="C6521" s="10" t="inlineStr">
        <is>
          <t>北野線</t>
        </is>
      </c>
      <c r="D6521" s="10" t="inlineStr">
        <is>
          <t>上り</t>
        </is>
      </c>
      <c r="E6521" t="inlineStr">
        <is>
          <t>1358</t>
        </is>
      </c>
      <c r="F6521" t="inlineStr">
        <is>
          <t>0354</t>
        </is>
      </c>
      <c r="G6521" s="10" t="inlineStr">
        <is>
          <t>鳴滝</t>
        </is>
      </c>
      <c r="H6521" s="10" t="inlineStr">
        <is>
          <t>発</t>
        </is>
      </c>
      <c r="J6521" s="10" t="inlineStr">
        <is>
          <t>営業</t>
        </is>
      </c>
      <c r="L6521" t="inlineStr">
        <is>
          <t>13:40:20</t>
        </is>
      </c>
      <c r="M6521" t="inlineStr">
        <is>
          <t>13:40:40</t>
        </is>
      </c>
    </row>
    <row r="6522" ht="16.5" customHeight="1" s="37">
      <c r="A6522" t="n">
        <v>17</v>
      </c>
      <c r="B6522" s="10" t="inlineStr">
        <is>
          <t>平日</t>
        </is>
      </c>
      <c r="C6522" s="10" t="inlineStr">
        <is>
          <t>北野線</t>
        </is>
      </c>
      <c r="D6522" s="10" t="inlineStr">
        <is>
          <t>上り</t>
        </is>
      </c>
      <c r="E6522" t="inlineStr">
        <is>
          <t>1358</t>
        </is>
      </c>
      <c r="F6522" t="inlineStr">
        <is>
          <t>0354</t>
        </is>
      </c>
      <c r="G6522" s="10" t="inlineStr">
        <is>
          <t>宇多野</t>
        </is>
      </c>
      <c r="H6522" s="10" t="inlineStr">
        <is>
          <t>発</t>
        </is>
      </c>
      <c r="J6522" s="10" t="inlineStr">
        <is>
          <t>営業</t>
        </is>
      </c>
      <c r="L6522" t="inlineStr">
        <is>
          <t>13:42:00</t>
        </is>
      </c>
      <c r="M6522" t="inlineStr">
        <is>
          <t>13:42:15</t>
        </is>
      </c>
    </row>
    <row r="6523" ht="16.5" customHeight="1" s="37">
      <c r="A6523" t="n">
        <v>17</v>
      </c>
      <c r="B6523" s="10" t="inlineStr">
        <is>
          <t>平日</t>
        </is>
      </c>
      <c r="C6523" s="10" t="inlineStr">
        <is>
          <t>北野線</t>
        </is>
      </c>
      <c r="D6523" s="10" t="inlineStr">
        <is>
          <t>上り</t>
        </is>
      </c>
      <c r="E6523" t="inlineStr">
        <is>
          <t>1358</t>
        </is>
      </c>
      <c r="F6523" t="inlineStr">
        <is>
          <t>0354</t>
        </is>
      </c>
      <c r="G6523" s="10" t="inlineStr">
        <is>
          <t>御室仁和寺</t>
        </is>
      </c>
      <c r="H6523" s="10" t="inlineStr">
        <is>
          <t>発</t>
        </is>
      </c>
      <c r="J6523" s="10" t="inlineStr">
        <is>
          <t>営業</t>
        </is>
      </c>
      <c r="L6523" t="inlineStr">
        <is>
          <t>13:43:15</t>
        </is>
      </c>
      <c r="M6523" t="inlineStr">
        <is>
          <t>13:43:35</t>
        </is>
      </c>
    </row>
    <row r="6524" ht="16.5" customHeight="1" s="37">
      <c r="A6524" t="n">
        <v>17</v>
      </c>
      <c r="B6524" s="10" t="inlineStr">
        <is>
          <t>平日</t>
        </is>
      </c>
      <c r="C6524" s="10" t="inlineStr">
        <is>
          <t>北野線</t>
        </is>
      </c>
      <c r="D6524" s="10" t="inlineStr">
        <is>
          <t>上り</t>
        </is>
      </c>
      <c r="E6524" t="inlineStr">
        <is>
          <t>1358</t>
        </is>
      </c>
      <c r="F6524" t="inlineStr">
        <is>
          <t>0354</t>
        </is>
      </c>
      <c r="G6524" s="10" t="inlineStr">
        <is>
          <t>妙心寺</t>
        </is>
      </c>
      <c r="H6524" s="10" t="inlineStr">
        <is>
          <t>発</t>
        </is>
      </c>
      <c r="J6524" s="10" t="inlineStr">
        <is>
          <t>営業</t>
        </is>
      </c>
      <c r="L6524" t="inlineStr">
        <is>
          <t>13:44:35</t>
        </is>
      </c>
      <c r="M6524" t="inlineStr">
        <is>
          <t>13:44:50</t>
        </is>
      </c>
    </row>
    <row r="6525" ht="16.5" customHeight="1" s="37">
      <c r="A6525" t="n">
        <v>17</v>
      </c>
      <c r="B6525" s="10" t="inlineStr">
        <is>
          <t>平日</t>
        </is>
      </c>
      <c r="C6525" s="10" t="inlineStr">
        <is>
          <t>北野線</t>
        </is>
      </c>
      <c r="D6525" s="10" t="inlineStr">
        <is>
          <t>上り</t>
        </is>
      </c>
      <c r="E6525" t="inlineStr">
        <is>
          <t>1358</t>
        </is>
      </c>
      <c r="F6525" t="inlineStr">
        <is>
          <t>0354</t>
        </is>
      </c>
      <c r="G6525" s="10" t="inlineStr">
        <is>
          <t>龍安寺</t>
        </is>
      </c>
      <c r="H6525" s="10" t="inlineStr">
        <is>
          <t>発</t>
        </is>
      </c>
      <c r="J6525" s="10" t="inlineStr">
        <is>
          <t>営業</t>
        </is>
      </c>
      <c r="L6525" t="inlineStr">
        <is>
          <t>13:45:45</t>
        </is>
      </c>
      <c r="M6525" t="inlineStr">
        <is>
          <t>13:45:55</t>
        </is>
      </c>
    </row>
    <row r="6526" ht="16.5" customHeight="1" s="37">
      <c r="A6526" t="n">
        <v>17</v>
      </c>
      <c r="B6526" s="10" t="inlineStr">
        <is>
          <t>平日</t>
        </is>
      </c>
      <c r="C6526" s="10" t="inlineStr">
        <is>
          <t>北野線</t>
        </is>
      </c>
      <c r="D6526" s="10" t="inlineStr">
        <is>
          <t>上り</t>
        </is>
      </c>
      <c r="E6526" t="inlineStr">
        <is>
          <t>1358</t>
        </is>
      </c>
      <c r="F6526" t="inlineStr">
        <is>
          <t>0354</t>
        </is>
      </c>
      <c r="G6526" s="10" t="inlineStr">
        <is>
          <t>等持院</t>
        </is>
      </c>
      <c r="H6526" s="10" t="inlineStr">
        <is>
          <t>発</t>
        </is>
      </c>
      <c r="J6526" s="10" t="inlineStr">
        <is>
          <t>営業</t>
        </is>
      </c>
      <c r="L6526" t="inlineStr">
        <is>
          <t>13:46:35</t>
        </is>
      </c>
      <c r="M6526" t="inlineStr">
        <is>
          <t>13:46:55</t>
        </is>
      </c>
    </row>
    <row r="6527" ht="16.5" customHeight="1" s="37">
      <c r="A6527" t="n">
        <v>17</v>
      </c>
      <c r="B6527" s="10" t="inlineStr">
        <is>
          <t>平日</t>
        </is>
      </c>
      <c r="C6527" s="10" t="inlineStr">
        <is>
          <t>北野線</t>
        </is>
      </c>
      <c r="D6527" s="10" t="inlineStr">
        <is>
          <t>上り</t>
        </is>
      </c>
      <c r="E6527" t="inlineStr">
        <is>
          <t>1358</t>
        </is>
      </c>
      <c r="F6527" t="inlineStr">
        <is>
          <t>0354</t>
        </is>
      </c>
      <c r="G6527" s="10" t="inlineStr">
        <is>
          <t>北野白梅町</t>
        </is>
      </c>
      <c r="H6527" s="10" t="inlineStr">
        <is>
          <t>着</t>
        </is>
      </c>
      <c r="J6527" s="10" t="inlineStr">
        <is>
          <t>営業</t>
        </is>
      </c>
      <c r="L6527" t="inlineStr">
        <is>
          <t>13:48:15</t>
        </is>
      </c>
      <c r="Q6527" t="inlineStr">
        <is>
          <t>1</t>
        </is>
      </c>
    </row>
    <row r="6528" ht="16.5" customHeight="1" s="37">
      <c r="A6528" t="n">
        <v>17</v>
      </c>
      <c r="B6528" s="10" t="inlineStr">
        <is>
          <t>平日</t>
        </is>
      </c>
      <c r="C6528" s="10" t="inlineStr">
        <is>
          <t>北野線</t>
        </is>
      </c>
      <c r="D6528" s="10" t="inlineStr">
        <is>
          <t>下り</t>
        </is>
      </c>
      <c r="E6528" t="inlineStr">
        <is>
          <t>1361</t>
        </is>
      </c>
      <c r="F6528" t="inlineStr">
        <is>
          <t>0453</t>
        </is>
      </c>
      <c r="G6528" s="10" t="inlineStr">
        <is>
          <t>北野白梅町</t>
        </is>
      </c>
      <c r="H6528" s="10" t="inlineStr">
        <is>
          <t>発</t>
        </is>
      </c>
      <c r="J6528" s="10" t="inlineStr">
        <is>
          <t>営業</t>
        </is>
      </c>
      <c r="M6528" t="inlineStr">
        <is>
          <t>13:53:00</t>
        </is>
      </c>
      <c r="Q6528" t="inlineStr">
        <is>
          <t>1</t>
        </is>
      </c>
    </row>
    <row r="6529" ht="16.5" customHeight="1" s="37">
      <c r="A6529" t="n">
        <v>17</v>
      </c>
      <c r="B6529" s="10" t="inlineStr">
        <is>
          <t>平日</t>
        </is>
      </c>
      <c r="C6529" s="10" t="inlineStr">
        <is>
          <t>北野線</t>
        </is>
      </c>
      <c r="D6529" s="10" t="inlineStr">
        <is>
          <t>下り</t>
        </is>
      </c>
      <c r="E6529" t="inlineStr">
        <is>
          <t>1361</t>
        </is>
      </c>
      <c r="F6529" t="inlineStr">
        <is>
          <t>0453</t>
        </is>
      </c>
      <c r="G6529" s="10" t="inlineStr">
        <is>
          <t>等持院</t>
        </is>
      </c>
      <c r="H6529" s="10" t="inlineStr">
        <is>
          <t>発</t>
        </is>
      </c>
      <c r="J6529" s="10" t="inlineStr">
        <is>
          <t>営業</t>
        </is>
      </c>
      <c r="L6529" t="inlineStr">
        <is>
          <t>13:54:25</t>
        </is>
      </c>
      <c r="M6529" t="inlineStr">
        <is>
          <t>13:54:35</t>
        </is>
      </c>
    </row>
    <row r="6530" ht="16.5" customHeight="1" s="37">
      <c r="A6530" t="n">
        <v>17</v>
      </c>
      <c r="B6530" s="10" t="inlineStr">
        <is>
          <t>平日</t>
        </is>
      </c>
      <c r="C6530" s="10" t="inlineStr">
        <is>
          <t>北野線</t>
        </is>
      </c>
      <c r="D6530" s="10" t="inlineStr">
        <is>
          <t>下り</t>
        </is>
      </c>
      <c r="E6530" t="inlineStr">
        <is>
          <t>1361</t>
        </is>
      </c>
      <c r="F6530" t="inlineStr">
        <is>
          <t>0453</t>
        </is>
      </c>
      <c r="G6530" s="10" t="inlineStr">
        <is>
          <t>龍安寺</t>
        </is>
      </c>
      <c r="H6530" s="10" t="inlineStr">
        <is>
          <t>発</t>
        </is>
      </c>
      <c r="J6530" s="10" t="inlineStr">
        <is>
          <t>営業</t>
        </is>
      </c>
      <c r="L6530" t="inlineStr">
        <is>
          <t>13:55:25</t>
        </is>
      </c>
      <c r="M6530" t="inlineStr">
        <is>
          <t>13:55:50</t>
        </is>
      </c>
    </row>
    <row r="6531" ht="16.5" customHeight="1" s="37">
      <c r="A6531" t="n">
        <v>17</v>
      </c>
      <c r="B6531" s="10" t="inlineStr">
        <is>
          <t>平日</t>
        </is>
      </c>
      <c r="C6531" s="10" t="inlineStr">
        <is>
          <t>北野線</t>
        </is>
      </c>
      <c r="D6531" s="10" t="inlineStr">
        <is>
          <t>下り</t>
        </is>
      </c>
      <c r="E6531" t="inlineStr">
        <is>
          <t>1361</t>
        </is>
      </c>
      <c r="F6531" t="inlineStr">
        <is>
          <t>0453</t>
        </is>
      </c>
      <c r="G6531" s="10" t="inlineStr">
        <is>
          <t>妙心寺</t>
        </is>
      </c>
      <c r="H6531" s="10" t="inlineStr">
        <is>
          <t>発</t>
        </is>
      </c>
      <c r="J6531" s="10" t="inlineStr">
        <is>
          <t>営業</t>
        </is>
      </c>
      <c r="L6531" t="inlineStr">
        <is>
          <t>13:56:40</t>
        </is>
      </c>
      <c r="M6531" t="inlineStr">
        <is>
          <t>13:56:50</t>
        </is>
      </c>
    </row>
    <row r="6532" ht="16.5" customHeight="1" s="37">
      <c r="A6532" t="n">
        <v>17</v>
      </c>
      <c r="B6532" s="10" t="inlineStr">
        <is>
          <t>平日</t>
        </is>
      </c>
      <c r="C6532" s="10" t="inlineStr">
        <is>
          <t>北野線</t>
        </is>
      </c>
      <c r="D6532" s="10" t="inlineStr">
        <is>
          <t>下り</t>
        </is>
      </c>
      <c r="E6532" t="inlineStr">
        <is>
          <t>1361</t>
        </is>
      </c>
      <c r="F6532" t="inlineStr">
        <is>
          <t>0453</t>
        </is>
      </c>
      <c r="G6532" s="10" t="inlineStr">
        <is>
          <t>御室仁和寺</t>
        </is>
      </c>
      <c r="H6532" s="10" t="inlineStr">
        <is>
          <t>発</t>
        </is>
      </c>
      <c r="J6532" s="10" t="inlineStr">
        <is>
          <t>営業</t>
        </is>
      </c>
      <c r="L6532" t="inlineStr">
        <is>
          <t>13:57:50</t>
        </is>
      </c>
      <c r="M6532" t="inlineStr">
        <is>
          <t>13:58:05</t>
        </is>
      </c>
    </row>
    <row r="6533" ht="16.5" customHeight="1" s="37">
      <c r="A6533" t="n">
        <v>17</v>
      </c>
      <c r="B6533" s="10" t="inlineStr">
        <is>
          <t>平日</t>
        </is>
      </c>
      <c r="C6533" s="10" t="inlineStr">
        <is>
          <t>北野線</t>
        </is>
      </c>
      <c r="D6533" s="10" t="inlineStr">
        <is>
          <t>下り</t>
        </is>
      </c>
      <c r="E6533" t="inlineStr">
        <is>
          <t>1361</t>
        </is>
      </c>
      <c r="F6533" t="inlineStr">
        <is>
          <t>0453</t>
        </is>
      </c>
      <c r="G6533" s="10" t="inlineStr">
        <is>
          <t>宇多野</t>
        </is>
      </c>
      <c r="H6533" s="10" t="inlineStr">
        <is>
          <t>発</t>
        </is>
      </c>
      <c r="J6533" s="10" t="inlineStr">
        <is>
          <t>営業</t>
        </is>
      </c>
      <c r="L6533" t="inlineStr">
        <is>
          <t>13:59:05</t>
        </is>
      </c>
      <c r="M6533" t="inlineStr">
        <is>
          <t>13:59:15</t>
        </is>
      </c>
    </row>
    <row r="6534" ht="16.5" customHeight="1" s="37">
      <c r="A6534" t="n">
        <v>17</v>
      </c>
      <c r="B6534" s="10" t="inlineStr">
        <is>
          <t>平日</t>
        </is>
      </c>
      <c r="C6534" s="10" t="inlineStr">
        <is>
          <t>北野線</t>
        </is>
      </c>
      <c r="D6534" s="10" t="inlineStr">
        <is>
          <t>下り</t>
        </is>
      </c>
      <c r="E6534" t="inlineStr">
        <is>
          <t>1361</t>
        </is>
      </c>
      <c r="F6534" t="inlineStr">
        <is>
          <t>0453</t>
        </is>
      </c>
      <c r="G6534" s="10" t="inlineStr">
        <is>
          <t>鳴滝</t>
        </is>
      </c>
      <c r="H6534" s="10" t="inlineStr">
        <is>
          <t>発</t>
        </is>
      </c>
      <c r="J6534" s="10" t="inlineStr">
        <is>
          <t>営業</t>
        </is>
      </c>
      <c r="L6534" t="inlineStr">
        <is>
          <t>14:00:35</t>
        </is>
      </c>
      <c r="M6534" t="inlineStr">
        <is>
          <t>14:00:45</t>
        </is>
      </c>
    </row>
    <row r="6535" ht="16.5" customHeight="1" s="37">
      <c r="A6535" t="n">
        <v>17</v>
      </c>
      <c r="B6535" s="10" t="inlineStr">
        <is>
          <t>平日</t>
        </is>
      </c>
      <c r="C6535" s="10" t="inlineStr">
        <is>
          <t>北野線</t>
        </is>
      </c>
      <c r="D6535" s="10" t="inlineStr">
        <is>
          <t>下り</t>
        </is>
      </c>
      <c r="E6535" t="inlineStr">
        <is>
          <t>1361</t>
        </is>
      </c>
      <c r="F6535" t="inlineStr">
        <is>
          <t>0453</t>
        </is>
      </c>
      <c r="G6535" s="10" t="inlineStr">
        <is>
          <t>常盤</t>
        </is>
      </c>
      <c r="H6535" s="10" t="inlineStr">
        <is>
          <t>発</t>
        </is>
      </c>
      <c r="J6535" s="10" t="inlineStr">
        <is>
          <t>営業</t>
        </is>
      </c>
      <c r="L6535" t="inlineStr">
        <is>
          <t>14:01:35</t>
        </is>
      </c>
      <c r="M6535" t="inlineStr">
        <is>
          <t>14:01:55</t>
        </is>
      </c>
    </row>
    <row r="6536" ht="16.5" customHeight="1" s="37">
      <c r="A6536" t="n">
        <v>17</v>
      </c>
      <c r="B6536" s="10" t="inlineStr">
        <is>
          <t>平日</t>
        </is>
      </c>
      <c r="C6536" s="10" t="inlineStr">
        <is>
          <t>北野線</t>
        </is>
      </c>
      <c r="D6536" s="10" t="inlineStr">
        <is>
          <t>下り</t>
        </is>
      </c>
      <c r="E6536" t="inlineStr">
        <is>
          <t>1361</t>
        </is>
      </c>
      <c r="F6536" t="inlineStr">
        <is>
          <t>0453</t>
        </is>
      </c>
      <c r="G6536" s="10" t="inlineStr">
        <is>
          <t>撮影所前</t>
        </is>
      </c>
      <c r="H6536" s="10" t="inlineStr">
        <is>
          <t>発</t>
        </is>
      </c>
      <c r="J6536" s="10" t="inlineStr">
        <is>
          <t>営業</t>
        </is>
      </c>
      <c r="L6536" t="inlineStr">
        <is>
          <t>14:03:15</t>
        </is>
      </c>
      <c r="M6536" t="inlineStr">
        <is>
          <t>14:03:30</t>
        </is>
      </c>
    </row>
    <row r="6537" ht="16.5" customHeight="1" s="37">
      <c r="A6537" t="n">
        <v>17</v>
      </c>
      <c r="B6537" s="10" t="inlineStr">
        <is>
          <t>平日</t>
        </is>
      </c>
      <c r="C6537" s="10" t="inlineStr">
        <is>
          <t>北野線</t>
        </is>
      </c>
      <c r="D6537" s="10" t="inlineStr">
        <is>
          <t>下り</t>
        </is>
      </c>
      <c r="E6537" t="inlineStr">
        <is>
          <t>1361</t>
        </is>
      </c>
      <c r="F6537" t="inlineStr">
        <is>
          <t>0453</t>
        </is>
      </c>
      <c r="G6537" s="10" t="inlineStr">
        <is>
          <t>帷子ノ辻</t>
        </is>
      </c>
      <c r="H6537" s="10" t="inlineStr">
        <is>
          <t>着</t>
        </is>
      </c>
      <c r="J6537" s="10" t="inlineStr">
        <is>
          <t>営業</t>
        </is>
      </c>
      <c r="L6537" t="inlineStr">
        <is>
          <t>14:04:25</t>
        </is>
      </c>
      <c r="Q6537" t="inlineStr">
        <is>
          <t>3</t>
        </is>
      </c>
      <c r="T6537" t="inlineStr">
        <is>
          <t>○</t>
        </is>
      </c>
    </row>
    <row r="6538" ht="16.5" customHeight="1" s="37">
      <c r="A6538" t="n">
        <v>17</v>
      </c>
      <c r="B6538" s="10" t="inlineStr">
        <is>
          <t>平日</t>
        </is>
      </c>
      <c r="C6538" s="10" t="inlineStr">
        <is>
          <t>本線</t>
        </is>
      </c>
      <c r="D6538" s="10" t="inlineStr">
        <is>
          <t>上り</t>
        </is>
      </c>
      <c r="E6538" t="inlineStr">
        <is>
          <t>17系統③便乗</t>
        </is>
      </c>
      <c r="F6538" s="10" t="inlineStr">
        <is>
          <t>便乗</t>
        </is>
      </c>
      <c r="G6538" s="10" t="inlineStr">
        <is>
          <t>帷子ノ辻</t>
        </is>
      </c>
      <c r="H6538" s="10" t="inlineStr">
        <is>
          <t>発</t>
        </is>
      </c>
      <c r="J6538" s="10" t="inlineStr">
        <is>
          <t>便乗</t>
        </is>
      </c>
      <c r="L6538" t="inlineStr">
        <is>
          <t>14:10:10</t>
        </is>
      </c>
      <c r="M6538" t="inlineStr">
        <is>
          <t>14:11:15</t>
        </is>
      </c>
      <c r="S6538" t="inlineStr">
        <is>
          <t>1402</t>
        </is>
      </c>
    </row>
    <row r="6539" ht="16.5" customHeight="1" s="37">
      <c r="A6539" t="n">
        <v>17</v>
      </c>
      <c r="B6539" s="10" t="inlineStr">
        <is>
          <t>平日</t>
        </is>
      </c>
      <c r="C6539" s="10" t="inlineStr">
        <is>
          <t>本線</t>
        </is>
      </c>
      <c r="D6539" s="10" t="inlineStr">
        <is>
          <t>上り</t>
        </is>
      </c>
      <c r="E6539" t="inlineStr">
        <is>
          <t>17系統③便乗</t>
        </is>
      </c>
      <c r="F6539" s="10" t="inlineStr">
        <is>
          <t>便乗</t>
        </is>
      </c>
      <c r="G6539" s="10" t="inlineStr">
        <is>
          <t>太秦広隆寺</t>
        </is>
      </c>
      <c r="H6539" s="10" t="inlineStr">
        <is>
          <t>発</t>
        </is>
      </c>
      <c r="J6539" s="10" t="inlineStr">
        <is>
          <t>便乗</t>
        </is>
      </c>
      <c r="L6539" t="inlineStr">
        <is>
          <t>14:13:25</t>
        </is>
      </c>
      <c r="M6539" t="inlineStr">
        <is>
          <t>14:13:45</t>
        </is>
      </c>
      <c r="S6539" t="inlineStr">
        <is>
          <t>1402</t>
        </is>
      </c>
    </row>
    <row r="6540" ht="16.5" customHeight="1" s="37">
      <c r="A6540" t="n">
        <v>17</v>
      </c>
      <c r="B6540" s="10" t="inlineStr">
        <is>
          <t>平日</t>
        </is>
      </c>
      <c r="C6540" s="10" t="inlineStr">
        <is>
          <t>本線</t>
        </is>
      </c>
      <c r="D6540" s="10" t="inlineStr">
        <is>
          <t>上り</t>
        </is>
      </c>
      <c r="E6540" t="inlineStr">
        <is>
          <t>17系統③便乗</t>
        </is>
      </c>
      <c r="F6540" s="10" t="inlineStr">
        <is>
          <t>便乗</t>
        </is>
      </c>
      <c r="G6540" s="10" t="inlineStr">
        <is>
          <t>蚕ノ社</t>
        </is>
      </c>
      <c r="H6540" s="10" t="inlineStr">
        <is>
          <t>発</t>
        </is>
      </c>
      <c r="J6540" s="10" t="inlineStr">
        <is>
          <t>便乗</t>
        </is>
      </c>
      <c r="L6540" t="inlineStr">
        <is>
          <t>14:15:00</t>
        </is>
      </c>
      <c r="M6540" t="inlineStr">
        <is>
          <t>14:15:20</t>
        </is>
      </c>
      <c r="S6540" t="inlineStr">
        <is>
          <t>1402</t>
        </is>
      </c>
    </row>
    <row r="6541" ht="16.5" customHeight="1" s="37">
      <c r="A6541" t="n">
        <v>17</v>
      </c>
      <c r="B6541" s="10" t="inlineStr">
        <is>
          <t>平日</t>
        </is>
      </c>
      <c r="C6541" s="10" t="inlineStr">
        <is>
          <t>本線</t>
        </is>
      </c>
      <c r="D6541" s="10" t="inlineStr">
        <is>
          <t>上り</t>
        </is>
      </c>
      <c r="E6541" t="inlineStr">
        <is>
          <t>17系統③便乗</t>
        </is>
      </c>
      <c r="F6541" s="10" t="inlineStr">
        <is>
          <t>便乗</t>
        </is>
      </c>
      <c r="G6541" s="10" t="inlineStr">
        <is>
          <t>天神川</t>
        </is>
      </c>
      <c r="H6541" s="10" t="inlineStr">
        <is>
          <t>発</t>
        </is>
      </c>
      <c r="J6541" s="10" t="inlineStr">
        <is>
          <t>便乗</t>
        </is>
      </c>
      <c r="L6541" t="inlineStr">
        <is>
          <t>14:16:05</t>
        </is>
      </c>
      <c r="M6541" t="inlineStr">
        <is>
          <t>14:16:50</t>
        </is>
      </c>
      <c r="S6541" t="inlineStr">
        <is>
          <t>1402</t>
        </is>
      </c>
    </row>
    <row r="6542" ht="16.5" customHeight="1" s="37">
      <c r="A6542" t="n">
        <v>17</v>
      </c>
      <c r="B6542" s="10" t="inlineStr">
        <is>
          <t>平日</t>
        </is>
      </c>
      <c r="C6542" s="10" t="inlineStr">
        <is>
          <t>本線</t>
        </is>
      </c>
      <c r="D6542" s="10" t="inlineStr">
        <is>
          <t>上り</t>
        </is>
      </c>
      <c r="E6542" t="inlineStr">
        <is>
          <t>17系統③便乗</t>
        </is>
      </c>
      <c r="F6542" s="10" t="inlineStr">
        <is>
          <t>便乗</t>
        </is>
      </c>
      <c r="G6542" s="10" t="inlineStr">
        <is>
          <t>山ノ内</t>
        </is>
      </c>
      <c r="H6542" s="10" t="inlineStr">
        <is>
          <t>発</t>
        </is>
      </c>
      <c r="J6542" s="10" t="inlineStr">
        <is>
          <t>便乗</t>
        </is>
      </c>
      <c r="L6542" t="inlineStr">
        <is>
          <t>14:18:40</t>
        </is>
      </c>
      <c r="M6542" t="inlineStr">
        <is>
          <t>14:19:05</t>
        </is>
      </c>
      <c r="S6542" t="inlineStr">
        <is>
          <t>1402</t>
        </is>
      </c>
    </row>
    <row r="6543" ht="16.5" customHeight="1" s="37">
      <c r="A6543" t="n">
        <v>17</v>
      </c>
      <c r="B6543" s="10" t="inlineStr">
        <is>
          <t>平日</t>
        </is>
      </c>
      <c r="C6543" s="10" t="inlineStr">
        <is>
          <t>本線</t>
        </is>
      </c>
      <c r="D6543" s="10" t="inlineStr">
        <is>
          <t>上り</t>
        </is>
      </c>
      <c r="E6543" t="inlineStr">
        <is>
          <t>17系統③便乗</t>
        </is>
      </c>
      <c r="F6543" s="10" t="inlineStr">
        <is>
          <t>便乗</t>
        </is>
      </c>
      <c r="G6543" s="10" t="inlineStr">
        <is>
          <t>西大路三条</t>
        </is>
      </c>
      <c r="H6543" s="10" t="inlineStr">
        <is>
          <t>発</t>
        </is>
      </c>
      <c r="J6543" s="10" t="inlineStr">
        <is>
          <t>便乗</t>
        </is>
      </c>
      <c r="L6543" t="inlineStr">
        <is>
          <t>14:20:55</t>
        </is>
      </c>
      <c r="M6543" t="inlineStr">
        <is>
          <t>14:21:15</t>
        </is>
      </c>
      <c r="S6543" t="inlineStr">
        <is>
          <t>1402</t>
        </is>
      </c>
    </row>
    <row r="6544" ht="16.5" customHeight="1" s="37">
      <c r="A6544" t="n">
        <v>17</v>
      </c>
      <c r="B6544" s="10" t="inlineStr">
        <is>
          <t>平日</t>
        </is>
      </c>
      <c r="C6544" s="10" t="inlineStr">
        <is>
          <t>本線</t>
        </is>
      </c>
      <c r="D6544" s="10" t="inlineStr">
        <is>
          <t>上り</t>
        </is>
      </c>
      <c r="E6544" t="inlineStr">
        <is>
          <t>17系統③便乗</t>
        </is>
      </c>
      <c r="F6544" s="10" t="inlineStr">
        <is>
          <t>便乗</t>
        </is>
      </c>
      <c r="G6544" s="10" t="inlineStr">
        <is>
          <t>西院</t>
        </is>
      </c>
      <c r="H6544" s="10" t="inlineStr">
        <is>
          <t>着</t>
        </is>
      </c>
      <c r="J6544" s="10" t="inlineStr">
        <is>
          <t>便乗</t>
        </is>
      </c>
      <c r="L6544" t="inlineStr">
        <is>
          <t>14:23:10</t>
        </is>
      </c>
      <c r="M6544" t="inlineStr">
        <is>
          <t>14:24:05</t>
        </is>
      </c>
      <c r="S6544" t="inlineStr">
        <is>
          <t>1402</t>
        </is>
      </c>
    </row>
    <row r="6545" ht="16.5" customHeight="1" s="37">
      <c r="A6545" t="n">
        <v>18</v>
      </c>
      <c r="B6545" s="10" t="inlineStr">
        <is>
          <t>平日</t>
        </is>
      </c>
      <c r="C6545" s="10" t="inlineStr">
        <is>
          <t>北野線</t>
        </is>
      </c>
      <c r="D6545" s="10" t="inlineStr">
        <is>
          <t>上り</t>
        </is>
      </c>
      <c r="E6545" t="inlineStr">
        <is>
          <t>0660</t>
        </is>
      </c>
      <c r="F6545" t="inlineStr">
        <is>
          <t>0304</t>
        </is>
      </c>
      <c r="G6545" s="10" t="inlineStr">
        <is>
          <t>帷子ノ辻</t>
        </is>
      </c>
      <c r="H6545" s="10" t="inlineStr">
        <is>
          <t>発</t>
        </is>
      </c>
      <c r="J6545" s="10" t="inlineStr">
        <is>
          <t>営業</t>
        </is>
      </c>
      <c r="K6545" s="10" t="inlineStr">
        <is>
          <t>←回0691</t>
        </is>
      </c>
      <c r="M6545" t="inlineStr">
        <is>
          <t>6:58:00</t>
        </is>
      </c>
      <c r="O6545" t="inlineStr">
        <is>
          <t>積込:北白金庫(金庫2・納金袋1)+帷子留置車(金庫2) 18系統Ⅱ側 北白7:09着 19系統便乗</t>
        </is>
      </c>
      <c r="Q6545" t="inlineStr">
        <is>
          <t>4出</t>
        </is>
      </c>
    </row>
    <row r="6546" ht="16.5" customHeight="1" s="37">
      <c r="A6546" t="n">
        <v>18</v>
      </c>
      <c r="B6546" s="10" t="inlineStr">
        <is>
          <t>平日</t>
        </is>
      </c>
      <c r="C6546" s="10" t="inlineStr">
        <is>
          <t>北野線</t>
        </is>
      </c>
      <c r="D6546" s="10" t="inlineStr">
        <is>
          <t>上り</t>
        </is>
      </c>
      <c r="E6546" t="inlineStr">
        <is>
          <t>0660</t>
        </is>
      </c>
      <c r="F6546" t="inlineStr">
        <is>
          <t>0304</t>
        </is>
      </c>
      <c r="G6546" s="10" t="inlineStr">
        <is>
          <t>撮影所前</t>
        </is>
      </c>
      <c r="H6546" s="10" t="inlineStr">
        <is>
          <t>発</t>
        </is>
      </c>
      <c r="J6546" s="10" t="inlineStr">
        <is>
          <t>営業</t>
        </is>
      </c>
      <c r="K6546" s="10" t="inlineStr">
        <is>
          <t>←回0691</t>
        </is>
      </c>
      <c r="L6546" t="inlineStr">
        <is>
          <t>6:59:00</t>
        </is>
      </c>
      <c r="M6546" t="inlineStr">
        <is>
          <t>6:59:10</t>
        </is>
      </c>
      <c r="O6546" t="inlineStr">
        <is>
          <t>積込:北白金庫(金庫2・納金袋1)+帷子留置車(金庫2) 18系統Ⅱ側 北白7:09着 19系統便乗</t>
        </is>
      </c>
    </row>
    <row r="6547" ht="16.5" customHeight="1" s="37">
      <c r="A6547" t="n">
        <v>18</v>
      </c>
      <c r="B6547" s="10" t="inlineStr">
        <is>
          <t>平日</t>
        </is>
      </c>
      <c r="C6547" s="10" t="inlineStr">
        <is>
          <t>北野線</t>
        </is>
      </c>
      <c r="D6547" s="10" t="inlineStr">
        <is>
          <t>上り</t>
        </is>
      </c>
      <c r="E6547" t="inlineStr">
        <is>
          <t>0660</t>
        </is>
      </c>
      <c r="F6547" t="inlineStr">
        <is>
          <t>0304</t>
        </is>
      </c>
      <c r="G6547" s="10" t="inlineStr">
        <is>
          <t>常盤</t>
        </is>
      </c>
      <c r="H6547" s="10" t="inlineStr">
        <is>
          <t>発</t>
        </is>
      </c>
      <c r="J6547" s="10" t="inlineStr">
        <is>
          <t>営業</t>
        </is>
      </c>
      <c r="K6547" s="10" t="inlineStr">
        <is>
          <t>←回0691</t>
        </is>
      </c>
      <c r="L6547" t="inlineStr">
        <is>
          <t>7:00:30</t>
        </is>
      </c>
      <c r="M6547" t="inlineStr">
        <is>
          <t>7:00:50</t>
        </is>
      </c>
      <c r="O6547" t="inlineStr">
        <is>
          <t>積込:北白金庫(金庫2・納金袋1)+帷子留置車(金庫2) 18系統Ⅱ側 北白7:09着 19系統便乗</t>
        </is>
      </c>
    </row>
    <row r="6548" ht="16.5" customHeight="1" s="37">
      <c r="A6548" t="n">
        <v>18</v>
      </c>
      <c r="B6548" s="10" t="inlineStr">
        <is>
          <t>平日</t>
        </is>
      </c>
      <c r="C6548" s="10" t="inlineStr">
        <is>
          <t>北野線</t>
        </is>
      </c>
      <c r="D6548" s="10" t="inlineStr">
        <is>
          <t>上り</t>
        </is>
      </c>
      <c r="E6548" t="inlineStr">
        <is>
          <t>0660</t>
        </is>
      </c>
      <c r="F6548" t="inlineStr">
        <is>
          <t>0304</t>
        </is>
      </c>
      <c r="G6548" s="10" t="inlineStr">
        <is>
          <t>鳴滝</t>
        </is>
      </c>
      <c r="H6548" s="10" t="inlineStr">
        <is>
          <t>発</t>
        </is>
      </c>
      <c r="J6548" s="10" t="inlineStr">
        <is>
          <t>営業</t>
        </is>
      </c>
      <c r="K6548" s="10" t="inlineStr">
        <is>
          <t>←回0691</t>
        </is>
      </c>
      <c r="L6548" t="inlineStr">
        <is>
          <t>7:01:50</t>
        </is>
      </c>
      <c r="M6548" t="inlineStr">
        <is>
          <t>7:02:10</t>
        </is>
      </c>
      <c r="O6548" t="inlineStr">
        <is>
          <t>積込:北白金庫(金庫2・納金袋1)+帷子留置車(金庫2) 18系統Ⅱ側 北白7:09着 19系統便乗</t>
        </is>
      </c>
    </row>
    <row r="6549" ht="16.5" customHeight="1" s="37">
      <c r="A6549" t="n">
        <v>18</v>
      </c>
      <c r="B6549" s="10" t="inlineStr">
        <is>
          <t>平日</t>
        </is>
      </c>
      <c r="C6549" s="10" t="inlineStr">
        <is>
          <t>北野線</t>
        </is>
      </c>
      <c r="D6549" s="10" t="inlineStr">
        <is>
          <t>上り</t>
        </is>
      </c>
      <c r="E6549" t="inlineStr">
        <is>
          <t>0660</t>
        </is>
      </c>
      <c r="F6549" t="inlineStr">
        <is>
          <t>0304</t>
        </is>
      </c>
      <c r="G6549" s="10" t="inlineStr">
        <is>
          <t>宇多野</t>
        </is>
      </c>
      <c r="H6549" s="10" t="inlineStr">
        <is>
          <t>発</t>
        </is>
      </c>
      <c r="J6549" s="10" t="inlineStr">
        <is>
          <t>営業</t>
        </is>
      </c>
      <c r="K6549" s="10" t="inlineStr">
        <is>
          <t>←回0691</t>
        </is>
      </c>
      <c r="L6549" t="inlineStr">
        <is>
          <t>7:03:30</t>
        </is>
      </c>
      <c r="M6549" t="inlineStr">
        <is>
          <t>7:03:45</t>
        </is>
      </c>
      <c r="O6549" t="inlineStr">
        <is>
          <t>積込:北白金庫(金庫2・納金袋1)+帷子留置車(金庫2) 18系統Ⅱ側 北白7:09着 19系統便乗</t>
        </is>
      </c>
    </row>
    <row r="6550" ht="16.5" customHeight="1" s="37">
      <c r="A6550" t="n">
        <v>18</v>
      </c>
      <c r="B6550" s="10" t="inlineStr">
        <is>
          <t>平日</t>
        </is>
      </c>
      <c r="C6550" s="10" t="inlineStr">
        <is>
          <t>北野線</t>
        </is>
      </c>
      <c r="D6550" s="10" t="inlineStr">
        <is>
          <t>上り</t>
        </is>
      </c>
      <c r="E6550" t="inlineStr">
        <is>
          <t>0660</t>
        </is>
      </c>
      <c r="F6550" t="inlineStr">
        <is>
          <t>0304</t>
        </is>
      </c>
      <c r="G6550" s="10" t="inlineStr">
        <is>
          <t>御室仁和寺</t>
        </is>
      </c>
      <c r="H6550" s="10" t="inlineStr">
        <is>
          <t>発</t>
        </is>
      </c>
      <c r="J6550" s="10" t="inlineStr">
        <is>
          <t>営業</t>
        </is>
      </c>
      <c r="K6550" s="10" t="inlineStr">
        <is>
          <t>←回0691</t>
        </is>
      </c>
      <c r="L6550" t="inlineStr">
        <is>
          <t>7:04:45</t>
        </is>
      </c>
      <c r="M6550" t="inlineStr">
        <is>
          <t>7:04:55</t>
        </is>
      </c>
      <c r="O6550" t="inlineStr">
        <is>
          <t>積込:北白金庫(金庫2・納金袋1)+帷子留置車(金庫2) 18系統Ⅱ側 北白7:09着 19系統便乗</t>
        </is>
      </c>
    </row>
    <row r="6551" ht="16.5" customHeight="1" s="37">
      <c r="A6551" t="n">
        <v>18</v>
      </c>
      <c r="B6551" s="10" t="inlineStr">
        <is>
          <t>平日</t>
        </is>
      </c>
      <c r="C6551" s="10" t="inlineStr">
        <is>
          <t>北野線</t>
        </is>
      </c>
      <c r="D6551" s="10" t="inlineStr">
        <is>
          <t>上り</t>
        </is>
      </c>
      <c r="E6551" t="inlineStr">
        <is>
          <t>0660</t>
        </is>
      </c>
      <c r="F6551" t="inlineStr">
        <is>
          <t>0304</t>
        </is>
      </c>
      <c r="G6551" s="10" t="inlineStr">
        <is>
          <t>妙心寺</t>
        </is>
      </c>
      <c r="H6551" s="10" t="inlineStr">
        <is>
          <t>発</t>
        </is>
      </c>
      <c r="J6551" s="10" t="inlineStr">
        <is>
          <t>営業</t>
        </is>
      </c>
      <c r="K6551" s="10" t="inlineStr">
        <is>
          <t>←回0691</t>
        </is>
      </c>
      <c r="L6551" t="inlineStr">
        <is>
          <t>7:05:55</t>
        </is>
      </c>
      <c r="M6551" t="inlineStr">
        <is>
          <t>7:06:10</t>
        </is>
      </c>
      <c r="O6551" t="inlineStr">
        <is>
          <t>積込:北白金庫(金庫2・納金袋1)+帷子留置車(金庫2) 18系統Ⅱ側 北白7:09着 19系統便乗</t>
        </is>
      </c>
    </row>
    <row r="6552" ht="16.5" customHeight="1" s="37">
      <c r="A6552" t="n">
        <v>18</v>
      </c>
      <c r="B6552" s="10" t="inlineStr">
        <is>
          <t>平日</t>
        </is>
      </c>
      <c r="C6552" s="10" t="inlineStr">
        <is>
          <t>北野線</t>
        </is>
      </c>
      <c r="D6552" s="10" t="inlineStr">
        <is>
          <t>上り</t>
        </is>
      </c>
      <c r="E6552" t="inlineStr">
        <is>
          <t>0660</t>
        </is>
      </c>
      <c r="F6552" t="inlineStr">
        <is>
          <t>0304</t>
        </is>
      </c>
      <c r="G6552" s="10" t="inlineStr">
        <is>
          <t>龍安寺</t>
        </is>
      </c>
      <c r="H6552" s="10" t="inlineStr">
        <is>
          <t>発</t>
        </is>
      </c>
      <c r="J6552" s="10" t="inlineStr">
        <is>
          <t>営業</t>
        </is>
      </c>
      <c r="K6552" s="10" t="inlineStr">
        <is>
          <t>←回0691</t>
        </is>
      </c>
      <c r="L6552" t="inlineStr">
        <is>
          <t>7:07:05</t>
        </is>
      </c>
      <c r="M6552" t="inlineStr">
        <is>
          <t>7:07:20</t>
        </is>
      </c>
      <c r="O6552" t="inlineStr">
        <is>
          <t>積込:北白金庫(金庫2・納金袋1)+帷子留置車(金庫2) 18系統Ⅱ側 北白7:09着 19系統便乗</t>
        </is>
      </c>
    </row>
    <row r="6553" ht="16.5" customHeight="1" s="37">
      <c r="A6553" t="n">
        <v>18</v>
      </c>
      <c r="B6553" s="10" t="inlineStr">
        <is>
          <t>平日</t>
        </is>
      </c>
      <c r="C6553" s="10" t="inlineStr">
        <is>
          <t>北野線</t>
        </is>
      </c>
      <c r="D6553" s="10" t="inlineStr">
        <is>
          <t>上り</t>
        </is>
      </c>
      <c r="E6553" t="inlineStr">
        <is>
          <t>0660</t>
        </is>
      </c>
      <c r="F6553" t="inlineStr">
        <is>
          <t>0304</t>
        </is>
      </c>
      <c r="G6553" s="10" t="inlineStr">
        <is>
          <t>等持院</t>
        </is>
      </c>
      <c r="H6553" s="10" t="inlineStr">
        <is>
          <t>発</t>
        </is>
      </c>
      <c r="J6553" s="10" t="inlineStr">
        <is>
          <t>営業</t>
        </is>
      </c>
      <c r="K6553" s="10" t="inlineStr">
        <is>
          <t>←回0691</t>
        </is>
      </c>
      <c r="L6553" t="inlineStr">
        <is>
          <t>7:08:00</t>
        </is>
      </c>
      <c r="M6553" t="inlineStr">
        <is>
          <t>7:08:20</t>
        </is>
      </c>
      <c r="O6553" t="inlineStr">
        <is>
          <t>積込:北白金庫(金庫2・納金袋1)+帷子留置車(金庫2) 18系統Ⅱ側 北白7:09着 19系統便乗</t>
        </is>
      </c>
    </row>
    <row r="6554" ht="16.5" customHeight="1" s="37">
      <c r="A6554" t="n">
        <v>18</v>
      </c>
      <c r="B6554" s="10" t="inlineStr">
        <is>
          <t>平日</t>
        </is>
      </c>
      <c r="C6554" s="10" t="inlineStr">
        <is>
          <t>北野線</t>
        </is>
      </c>
      <c r="D6554" s="10" t="inlineStr">
        <is>
          <t>上り</t>
        </is>
      </c>
      <c r="E6554" t="inlineStr">
        <is>
          <t>0660</t>
        </is>
      </c>
      <c r="F6554" t="inlineStr">
        <is>
          <t>0304</t>
        </is>
      </c>
      <c r="G6554" s="10" t="inlineStr">
        <is>
          <t>北野白梅町</t>
        </is>
      </c>
      <c r="H6554" s="10" t="inlineStr">
        <is>
          <t>着</t>
        </is>
      </c>
      <c r="J6554" s="10" t="inlineStr">
        <is>
          <t>営業</t>
        </is>
      </c>
      <c r="K6554" s="10" t="inlineStr">
        <is>
          <t>←回0691</t>
        </is>
      </c>
      <c r="L6554" t="inlineStr">
        <is>
          <t>7:09:40</t>
        </is>
      </c>
      <c r="N6554" t="inlineStr">
        <is>
          <t>○</t>
        </is>
      </c>
      <c r="O6554" t="inlineStr">
        <is>
          <t>積込:北白金庫(金庫2・納金袋1)+帷子留置車(金庫2) 18系統Ⅱ側 北白7:09着 19系統便乗</t>
        </is>
      </c>
      <c r="Q6554" t="inlineStr">
        <is>
          <t>1</t>
        </is>
      </c>
    </row>
    <row r="6555" ht="16.5" customHeight="1" s="37">
      <c r="A6555" t="n">
        <v>18</v>
      </c>
      <c r="B6555" s="10" t="inlineStr">
        <is>
          <t>平日</t>
        </is>
      </c>
      <c r="C6555" s="10" t="inlineStr">
        <is>
          <t>北野線</t>
        </is>
      </c>
      <c r="D6555" s="10" t="inlineStr">
        <is>
          <t>下り</t>
        </is>
      </c>
      <c r="E6555" t="inlineStr">
        <is>
          <t>0753</t>
        </is>
      </c>
      <c r="F6555" t="inlineStr">
        <is>
          <t>0453</t>
        </is>
      </c>
      <c r="G6555" s="10" t="inlineStr">
        <is>
          <t>北野白梅町</t>
        </is>
      </c>
      <c r="H6555" s="10" t="inlineStr">
        <is>
          <t>発</t>
        </is>
      </c>
      <c r="J6555" s="10" t="inlineStr">
        <is>
          <t>営業</t>
        </is>
      </c>
      <c r="M6555" t="inlineStr">
        <is>
          <t>7:14:50</t>
        </is>
      </c>
      <c r="Q6555" t="inlineStr">
        <is>
          <t>1</t>
        </is>
      </c>
    </row>
    <row r="6556" ht="16.5" customHeight="1" s="37">
      <c r="A6556" t="n">
        <v>18</v>
      </c>
      <c r="B6556" s="10" t="inlineStr">
        <is>
          <t>平日</t>
        </is>
      </c>
      <c r="C6556" s="10" t="inlineStr">
        <is>
          <t>北野線</t>
        </is>
      </c>
      <c r="D6556" s="10" t="inlineStr">
        <is>
          <t>下り</t>
        </is>
      </c>
      <c r="E6556" t="inlineStr">
        <is>
          <t>0753</t>
        </is>
      </c>
      <c r="F6556" t="inlineStr">
        <is>
          <t>0453</t>
        </is>
      </c>
      <c r="G6556" s="10" t="inlineStr">
        <is>
          <t>等持院</t>
        </is>
      </c>
      <c r="H6556" s="10" t="inlineStr">
        <is>
          <t>発</t>
        </is>
      </c>
      <c r="J6556" s="10" t="inlineStr">
        <is>
          <t>営業</t>
        </is>
      </c>
      <c r="L6556" t="inlineStr">
        <is>
          <t>7:16:15</t>
        </is>
      </c>
      <c r="M6556" t="inlineStr">
        <is>
          <t>7:16:25</t>
        </is>
      </c>
    </row>
    <row r="6557" ht="16.5" customHeight="1" s="37">
      <c r="A6557" t="n">
        <v>18</v>
      </c>
      <c r="B6557" s="10" t="inlineStr">
        <is>
          <t>平日</t>
        </is>
      </c>
      <c r="C6557" s="10" t="inlineStr">
        <is>
          <t>北野線</t>
        </is>
      </c>
      <c r="D6557" s="10" t="inlineStr">
        <is>
          <t>下り</t>
        </is>
      </c>
      <c r="E6557" t="inlineStr">
        <is>
          <t>0753</t>
        </is>
      </c>
      <c r="F6557" t="inlineStr">
        <is>
          <t>0453</t>
        </is>
      </c>
      <c r="G6557" s="10" t="inlineStr">
        <is>
          <t>龍安寺</t>
        </is>
      </c>
      <c r="H6557" s="10" t="inlineStr">
        <is>
          <t>発</t>
        </is>
      </c>
      <c r="J6557" s="10" t="inlineStr">
        <is>
          <t>営業</t>
        </is>
      </c>
      <c r="L6557" t="inlineStr">
        <is>
          <t>7:17:15</t>
        </is>
      </c>
      <c r="M6557" t="inlineStr">
        <is>
          <t>7:17:35</t>
        </is>
      </c>
    </row>
    <row r="6558" ht="16.5" customHeight="1" s="37">
      <c r="A6558" t="n">
        <v>18</v>
      </c>
      <c r="B6558" s="10" t="inlineStr">
        <is>
          <t>平日</t>
        </is>
      </c>
      <c r="C6558" s="10" t="inlineStr">
        <is>
          <t>北野線</t>
        </is>
      </c>
      <c r="D6558" s="10" t="inlineStr">
        <is>
          <t>下り</t>
        </is>
      </c>
      <c r="E6558" t="inlineStr">
        <is>
          <t>0753</t>
        </is>
      </c>
      <c r="F6558" t="inlineStr">
        <is>
          <t>0453</t>
        </is>
      </c>
      <c r="G6558" s="10" t="inlineStr">
        <is>
          <t>妙心寺</t>
        </is>
      </c>
      <c r="H6558" s="10" t="inlineStr">
        <is>
          <t>発</t>
        </is>
      </c>
      <c r="J6558" s="10" t="inlineStr">
        <is>
          <t>営業</t>
        </is>
      </c>
      <c r="L6558" t="inlineStr">
        <is>
          <t>7:18:30</t>
        </is>
      </c>
      <c r="M6558" t="inlineStr">
        <is>
          <t>7:18:40</t>
        </is>
      </c>
    </row>
    <row r="6559" ht="16.5" customHeight="1" s="37">
      <c r="A6559" t="n">
        <v>18</v>
      </c>
      <c r="B6559" s="10" t="inlineStr">
        <is>
          <t>平日</t>
        </is>
      </c>
      <c r="C6559" s="10" t="inlineStr">
        <is>
          <t>北野線</t>
        </is>
      </c>
      <c r="D6559" s="10" t="inlineStr">
        <is>
          <t>下り</t>
        </is>
      </c>
      <c r="E6559" t="inlineStr">
        <is>
          <t>0753</t>
        </is>
      </c>
      <c r="F6559" t="inlineStr">
        <is>
          <t>0453</t>
        </is>
      </c>
      <c r="G6559" s="10" t="inlineStr">
        <is>
          <t>御室仁和寺</t>
        </is>
      </c>
      <c r="H6559" s="10" t="inlineStr">
        <is>
          <t>発</t>
        </is>
      </c>
      <c r="J6559" s="10" t="inlineStr">
        <is>
          <t>営業</t>
        </is>
      </c>
      <c r="L6559" t="inlineStr">
        <is>
          <t>7:19:40</t>
        </is>
      </c>
      <c r="M6559" t="inlineStr">
        <is>
          <t>7:20:45</t>
        </is>
      </c>
    </row>
    <row r="6560" ht="16.5" customHeight="1" s="37">
      <c r="A6560" t="n">
        <v>18</v>
      </c>
      <c r="B6560" s="10" t="inlineStr">
        <is>
          <t>平日</t>
        </is>
      </c>
      <c r="C6560" s="10" t="inlineStr">
        <is>
          <t>北野線</t>
        </is>
      </c>
      <c r="D6560" s="10" t="inlineStr">
        <is>
          <t>下り</t>
        </is>
      </c>
      <c r="E6560" t="inlineStr">
        <is>
          <t>0753</t>
        </is>
      </c>
      <c r="F6560" t="inlineStr">
        <is>
          <t>0453</t>
        </is>
      </c>
      <c r="G6560" s="10" t="inlineStr">
        <is>
          <t>宇多野</t>
        </is>
      </c>
      <c r="H6560" s="10" t="inlineStr">
        <is>
          <t>発</t>
        </is>
      </c>
      <c r="J6560" s="10" t="inlineStr">
        <is>
          <t>営業</t>
        </is>
      </c>
      <c r="L6560" t="inlineStr">
        <is>
          <t>7:21:45</t>
        </is>
      </c>
      <c r="M6560" t="inlineStr">
        <is>
          <t>7:21:55</t>
        </is>
      </c>
    </row>
    <row r="6561" ht="16.5" customHeight="1" s="37">
      <c r="A6561" t="n">
        <v>18</v>
      </c>
      <c r="B6561" s="10" t="inlineStr">
        <is>
          <t>平日</t>
        </is>
      </c>
      <c r="C6561" s="10" t="inlineStr">
        <is>
          <t>北野線</t>
        </is>
      </c>
      <c r="D6561" s="10" t="inlineStr">
        <is>
          <t>下り</t>
        </is>
      </c>
      <c r="E6561" t="inlineStr">
        <is>
          <t>0753</t>
        </is>
      </c>
      <c r="F6561" t="inlineStr">
        <is>
          <t>0453</t>
        </is>
      </c>
      <c r="G6561" s="10" t="inlineStr">
        <is>
          <t>鳴滝</t>
        </is>
      </c>
      <c r="H6561" s="10" t="inlineStr">
        <is>
          <t>発</t>
        </is>
      </c>
      <c r="J6561" s="10" t="inlineStr">
        <is>
          <t>営業</t>
        </is>
      </c>
      <c r="L6561" t="inlineStr">
        <is>
          <t>7:23:15</t>
        </is>
      </c>
      <c r="M6561" t="inlineStr">
        <is>
          <t>7:23:25</t>
        </is>
      </c>
    </row>
    <row r="6562" ht="16.5" customHeight="1" s="37">
      <c r="A6562" t="n">
        <v>18</v>
      </c>
      <c r="B6562" s="10" t="inlineStr">
        <is>
          <t>平日</t>
        </is>
      </c>
      <c r="C6562" s="10" t="inlineStr">
        <is>
          <t>北野線</t>
        </is>
      </c>
      <c r="D6562" s="10" t="inlineStr">
        <is>
          <t>下り</t>
        </is>
      </c>
      <c r="E6562" t="inlineStr">
        <is>
          <t>0753</t>
        </is>
      </c>
      <c r="F6562" t="inlineStr">
        <is>
          <t>0453</t>
        </is>
      </c>
      <c r="G6562" s="10" t="inlineStr">
        <is>
          <t>常盤</t>
        </is>
      </c>
      <c r="H6562" s="10" t="inlineStr">
        <is>
          <t>発</t>
        </is>
      </c>
      <c r="J6562" s="10" t="inlineStr">
        <is>
          <t>営業</t>
        </is>
      </c>
      <c r="L6562" t="inlineStr">
        <is>
          <t>7:24:15</t>
        </is>
      </c>
      <c r="M6562" t="inlineStr">
        <is>
          <t>7:24:35</t>
        </is>
      </c>
    </row>
    <row r="6563" ht="16.5" customHeight="1" s="37">
      <c r="A6563" t="n">
        <v>18</v>
      </c>
      <c r="B6563" s="10" t="inlineStr">
        <is>
          <t>平日</t>
        </is>
      </c>
      <c r="C6563" s="10" t="inlineStr">
        <is>
          <t>北野線</t>
        </is>
      </c>
      <c r="D6563" s="10" t="inlineStr">
        <is>
          <t>下り</t>
        </is>
      </c>
      <c r="E6563" t="inlineStr">
        <is>
          <t>0753</t>
        </is>
      </c>
      <c r="F6563" t="inlineStr">
        <is>
          <t>0453</t>
        </is>
      </c>
      <c r="G6563" s="10" t="inlineStr">
        <is>
          <t>撮影所前</t>
        </is>
      </c>
      <c r="H6563" s="10" t="inlineStr">
        <is>
          <t>発</t>
        </is>
      </c>
      <c r="J6563" s="10" t="inlineStr">
        <is>
          <t>営業</t>
        </is>
      </c>
      <c r="L6563" t="inlineStr">
        <is>
          <t>7:25:55</t>
        </is>
      </c>
      <c r="M6563" t="inlineStr">
        <is>
          <t>7:26:05</t>
        </is>
      </c>
    </row>
    <row r="6564" ht="16.5" customHeight="1" s="37">
      <c r="A6564" t="n">
        <v>18</v>
      </c>
      <c r="B6564" s="10" t="inlineStr">
        <is>
          <t>平日</t>
        </is>
      </c>
      <c r="C6564" s="10" t="inlineStr">
        <is>
          <t>北野線</t>
        </is>
      </c>
      <c r="D6564" s="10" t="inlineStr">
        <is>
          <t>下り</t>
        </is>
      </c>
      <c r="E6564" t="inlineStr">
        <is>
          <t>0753</t>
        </is>
      </c>
      <c r="F6564" t="inlineStr">
        <is>
          <t>0453</t>
        </is>
      </c>
      <c r="G6564" s="10" t="inlineStr">
        <is>
          <t>帷子ノ辻</t>
        </is>
      </c>
      <c r="H6564" s="10" t="inlineStr">
        <is>
          <t>着</t>
        </is>
      </c>
      <c r="J6564" s="10" t="inlineStr">
        <is>
          <t>営業</t>
        </is>
      </c>
      <c r="L6564" t="inlineStr">
        <is>
          <t>7:27:00</t>
        </is>
      </c>
      <c r="Q6564" t="inlineStr">
        <is>
          <t>4</t>
        </is>
      </c>
    </row>
    <row r="6565" ht="16.5" customHeight="1" s="37">
      <c r="A6565" t="n">
        <v>18</v>
      </c>
      <c r="B6565" s="10" t="inlineStr">
        <is>
          <t>平日</t>
        </is>
      </c>
      <c r="C6565" s="10" t="inlineStr">
        <is>
          <t>北野線</t>
        </is>
      </c>
      <c r="D6565" s="10" t="inlineStr">
        <is>
          <t>上り</t>
        </is>
      </c>
      <c r="E6565" t="inlineStr">
        <is>
          <t>0760</t>
        </is>
      </c>
      <c r="F6565" t="inlineStr">
        <is>
          <t>0354</t>
        </is>
      </c>
      <c r="G6565" s="10" t="inlineStr">
        <is>
          <t>帷子ノ辻</t>
        </is>
      </c>
      <c r="H6565" s="10" t="inlineStr">
        <is>
          <t>発</t>
        </is>
      </c>
      <c r="J6565" s="10" t="inlineStr">
        <is>
          <t>営業</t>
        </is>
      </c>
      <c r="M6565" t="inlineStr">
        <is>
          <t>7:38:00</t>
        </is>
      </c>
      <c r="Q6565" t="inlineStr">
        <is>
          <t>4</t>
        </is>
      </c>
    </row>
    <row r="6566" ht="16.5" customHeight="1" s="37">
      <c r="A6566" t="n">
        <v>18</v>
      </c>
      <c r="B6566" s="10" t="inlineStr">
        <is>
          <t>平日</t>
        </is>
      </c>
      <c r="C6566" s="10" t="inlineStr">
        <is>
          <t>北野線</t>
        </is>
      </c>
      <c r="D6566" s="10" t="inlineStr">
        <is>
          <t>上り</t>
        </is>
      </c>
      <c r="E6566" t="inlineStr">
        <is>
          <t>0760</t>
        </is>
      </c>
      <c r="F6566" t="inlineStr">
        <is>
          <t>0354</t>
        </is>
      </c>
      <c r="G6566" s="10" t="inlineStr">
        <is>
          <t>撮影所前</t>
        </is>
      </c>
      <c r="H6566" s="10" t="inlineStr">
        <is>
          <t>発</t>
        </is>
      </c>
      <c r="J6566" s="10" t="inlineStr">
        <is>
          <t>営業</t>
        </is>
      </c>
      <c r="L6566" t="inlineStr">
        <is>
          <t>7:39:00</t>
        </is>
      </c>
      <c r="M6566" t="inlineStr">
        <is>
          <t>7:39:10</t>
        </is>
      </c>
    </row>
    <row r="6567" ht="16.5" customHeight="1" s="37">
      <c r="A6567" t="n">
        <v>18</v>
      </c>
      <c r="B6567" s="10" t="inlineStr">
        <is>
          <t>平日</t>
        </is>
      </c>
      <c r="C6567" s="10" t="inlineStr">
        <is>
          <t>北野線</t>
        </is>
      </c>
      <c r="D6567" s="10" t="inlineStr">
        <is>
          <t>上り</t>
        </is>
      </c>
      <c r="E6567" t="inlineStr">
        <is>
          <t>0760</t>
        </is>
      </c>
      <c r="F6567" t="inlineStr">
        <is>
          <t>0354</t>
        </is>
      </c>
      <c r="G6567" s="10" t="inlineStr">
        <is>
          <t>常盤</t>
        </is>
      </c>
      <c r="H6567" s="10" t="inlineStr">
        <is>
          <t>発</t>
        </is>
      </c>
      <c r="J6567" s="10" t="inlineStr">
        <is>
          <t>営業</t>
        </is>
      </c>
      <c r="L6567" t="inlineStr">
        <is>
          <t>7:40:30</t>
        </is>
      </c>
      <c r="M6567" t="inlineStr">
        <is>
          <t>7:40:50</t>
        </is>
      </c>
    </row>
    <row r="6568" ht="16.5" customHeight="1" s="37">
      <c r="A6568" t="n">
        <v>18</v>
      </c>
      <c r="B6568" s="10" t="inlineStr">
        <is>
          <t>平日</t>
        </is>
      </c>
      <c r="C6568" s="10" t="inlineStr">
        <is>
          <t>北野線</t>
        </is>
      </c>
      <c r="D6568" s="10" t="inlineStr">
        <is>
          <t>上り</t>
        </is>
      </c>
      <c r="E6568" t="inlineStr">
        <is>
          <t>0760</t>
        </is>
      </c>
      <c r="F6568" t="inlineStr">
        <is>
          <t>0354</t>
        </is>
      </c>
      <c r="G6568" s="10" t="inlineStr">
        <is>
          <t>鳴滝</t>
        </is>
      </c>
      <c r="H6568" s="10" t="inlineStr">
        <is>
          <t>発</t>
        </is>
      </c>
      <c r="J6568" s="10" t="inlineStr">
        <is>
          <t>営業</t>
        </is>
      </c>
      <c r="L6568" t="inlineStr">
        <is>
          <t>7:41:50</t>
        </is>
      </c>
      <c r="M6568" t="inlineStr">
        <is>
          <t>7:42:10</t>
        </is>
      </c>
    </row>
    <row r="6569" ht="16.5" customHeight="1" s="37">
      <c r="A6569" t="n">
        <v>18</v>
      </c>
      <c r="B6569" s="10" t="inlineStr">
        <is>
          <t>平日</t>
        </is>
      </c>
      <c r="C6569" s="10" t="inlineStr">
        <is>
          <t>北野線</t>
        </is>
      </c>
      <c r="D6569" s="10" t="inlineStr">
        <is>
          <t>上り</t>
        </is>
      </c>
      <c r="E6569" t="inlineStr">
        <is>
          <t>0760</t>
        </is>
      </c>
      <c r="F6569" t="inlineStr">
        <is>
          <t>0354</t>
        </is>
      </c>
      <c r="G6569" s="10" t="inlineStr">
        <is>
          <t>宇多野</t>
        </is>
      </c>
      <c r="H6569" s="10" t="inlineStr">
        <is>
          <t>発</t>
        </is>
      </c>
      <c r="J6569" s="10" t="inlineStr">
        <is>
          <t>営業</t>
        </is>
      </c>
      <c r="L6569" t="inlineStr">
        <is>
          <t>7:43:30</t>
        </is>
      </c>
      <c r="M6569" t="inlineStr">
        <is>
          <t>7:43:45</t>
        </is>
      </c>
    </row>
    <row r="6570" ht="16.5" customHeight="1" s="37">
      <c r="A6570" t="n">
        <v>18</v>
      </c>
      <c r="B6570" s="10" t="inlineStr">
        <is>
          <t>平日</t>
        </is>
      </c>
      <c r="C6570" s="10" t="inlineStr">
        <is>
          <t>北野線</t>
        </is>
      </c>
      <c r="D6570" s="10" t="inlineStr">
        <is>
          <t>上り</t>
        </is>
      </c>
      <c r="E6570" t="inlineStr">
        <is>
          <t>0760</t>
        </is>
      </c>
      <c r="F6570" t="inlineStr">
        <is>
          <t>0354</t>
        </is>
      </c>
      <c r="G6570" s="10" t="inlineStr">
        <is>
          <t>御室仁和寺</t>
        </is>
      </c>
      <c r="H6570" s="10" t="inlineStr">
        <is>
          <t>発</t>
        </is>
      </c>
      <c r="J6570" s="10" t="inlineStr">
        <is>
          <t>営業</t>
        </is>
      </c>
      <c r="L6570" t="inlineStr">
        <is>
          <t>7:44:45</t>
        </is>
      </c>
      <c r="M6570" t="inlineStr">
        <is>
          <t>7:44:55</t>
        </is>
      </c>
    </row>
    <row r="6571" ht="16.5" customHeight="1" s="37">
      <c r="A6571" t="n">
        <v>18</v>
      </c>
      <c r="B6571" s="10" t="inlineStr">
        <is>
          <t>平日</t>
        </is>
      </c>
      <c r="C6571" s="10" t="inlineStr">
        <is>
          <t>北野線</t>
        </is>
      </c>
      <c r="D6571" s="10" t="inlineStr">
        <is>
          <t>上り</t>
        </is>
      </c>
      <c r="E6571" t="inlineStr">
        <is>
          <t>0760</t>
        </is>
      </c>
      <c r="F6571" t="inlineStr">
        <is>
          <t>0354</t>
        </is>
      </c>
      <c r="G6571" s="10" t="inlineStr">
        <is>
          <t>妙心寺</t>
        </is>
      </c>
      <c r="H6571" s="10" t="inlineStr">
        <is>
          <t>発</t>
        </is>
      </c>
      <c r="J6571" s="10" t="inlineStr">
        <is>
          <t>営業</t>
        </is>
      </c>
      <c r="L6571" t="inlineStr">
        <is>
          <t>7:45:55</t>
        </is>
      </c>
      <c r="M6571" t="inlineStr">
        <is>
          <t>7:46:10</t>
        </is>
      </c>
    </row>
    <row r="6572" ht="16.5" customHeight="1" s="37">
      <c r="A6572" t="n">
        <v>18</v>
      </c>
      <c r="B6572" s="10" t="inlineStr">
        <is>
          <t>平日</t>
        </is>
      </c>
      <c r="C6572" s="10" t="inlineStr">
        <is>
          <t>北野線</t>
        </is>
      </c>
      <c r="D6572" s="10" t="inlineStr">
        <is>
          <t>上り</t>
        </is>
      </c>
      <c r="E6572" t="inlineStr">
        <is>
          <t>0760</t>
        </is>
      </c>
      <c r="F6572" t="inlineStr">
        <is>
          <t>0354</t>
        </is>
      </c>
      <c r="G6572" s="10" t="inlineStr">
        <is>
          <t>龍安寺</t>
        </is>
      </c>
      <c r="H6572" s="10" t="inlineStr">
        <is>
          <t>発</t>
        </is>
      </c>
      <c r="J6572" s="10" t="inlineStr">
        <is>
          <t>営業</t>
        </is>
      </c>
      <c r="L6572" t="inlineStr">
        <is>
          <t>7:47:05</t>
        </is>
      </c>
      <c r="M6572" t="inlineStr">
        <is>
          <t>7:47:20</t>
        </is>
      </c>
    </row>
    <row r="6573" ht="16.5" customHeight="1" s="37">
      <c r="A6573" t="n">
        <v>18</v>
      </c>
      <c r="B6573" s="10" t="inlineStr">
        <is>
          <t>平日</t>
        </is>
      </c>
      <c r="C6573" s="10" t="inlineStr">
        <is>
          <t>北野線</t>
        </is>
      </c>
      <c r="D6573" s="10" t="inlineStr">
        <is>
          <t>上り</t>
        </is>
      </c>
      <c r="E6573" t="inlineStr">
        <is>
          <t>0760</t>
        </is>
      </c>
      <c r="F6573" t="inlineStr">
        <is>
          <t>0354</t>
        </is>
      </c>
      <c r="G6573" s="10" t="inlineStr">
        <is>
          <t>等持院</t>
        </is>
      </c>
      <c r="H6573" s="10" t="inlineStr">
        <is>
          <t>発</t>
        </is>
      </c>
      <c r="J6573" s="10" t="inlineStr">
        <is>
          <t>営業</t>
        </is>
      </c>
      <c r="L6573" t="inlineStr">
        <is>
          <t>7:48:00</t>
        </is>
      </c>
      <c r="M6573" t="inlineStr">
        <is>
          <t>7:48:20</t>
        </is>
      </c>
    </row>
    <row r="6574" ht="16.5" customHeight="1" s="37">
      <c r="A6574" t="n">
        <v>18</v>
      </c>
      <c r="B6574" s="10" t="inlineStr">
        <is>
          <t>平日</t>
        </is>
      </c>
      <c r="C6574" s="10" t="inlineStr">
        <is>
          <t>北野線</t>
        </is>
      </c>
      <c r="D6574" s="10" t="inlineStr">
        <is>
          <t>上り</t>
        </is>
      </c>
      <c r="E6574" t="inlineStr">
        <is>
          <t>0760</t>
        </is>
      </c>
      <c r="F6574" t="inlineStr">
        <is>
          <t>0354</t>
        </is>
      </c>
      <c r="G6574" s="10" t="inlineStr">
        <is>
          <t>北野白梅町</t>
        </is>
      </c>
      <c r="H6574" s="10" t="inlineStr">
        <is>
          <t>着</t>
        </is>
      </c>
      <c r="J6574" s="10" t="inlineStr">
        <is>
          <t>営業</t>
        </is>
      </c>
      <c r="L6574" t="inlineStr">
        <is>
          <t>7:49:40</t>
        </is>
      </c>
      <c r="Q6574" t="inlineStr">
        <is>
          <t>1</t>
        </is>
      </c>
    </row>
    <row r="6575" ht="16.5" customHeight="1" s="37">
      <c r="A6575" t="n">
        <v>18</v>
      </c>
      <c r="B6575" s="10" t="inlineStr">
        <is>
          <t>平日</t>
        </is>
      </c>
      <c r="C6575" s="10" t="inlineStr">
        <is>
          <t>北野線</t>
        </is>
      </c>
      <c r="D6575" s="10" t="inlineStr">
        <is>
          <t>下り</t>
        </is>
      </c>
      <c r="E6575" t="inlineStr">
        <is>
          <t>0763</t>
        </is>
      </c>
      <c r="F6575" t="inlineStr">
        <is>
          <t>0453</t>
        </is>
      </c>
      <c r="G6575" s="10" t="inlineStr">
        <is>
          <t>北野白梅町</t>
        </is>
      </c>
      <c r="H6575" s="10" t="inlineStr">
        <is>
          <t>発</t>
        </is>
      </c>
      <c r="J6575" s="10" t="inlineStr">
        <is>
          <t>営業</t>
        </is>
      </c>
      <c r="M6575" t="inlineStr">
        <is>
          <t>7:54:50</t>
        </is>
      </c>
      <c r="Q6575" t="inlineStr">
        <is>
          <t>1</t>
        </is>
      </c>
    </row>
    <row r="6576" ht="16.5" customHeight="1" s="37">
      <c r="A6576" t="n">
        <v>18</v>
      </c>
      <c r="B6576" s="10" t="inlineStr">
        <is>
          <t>平日</t>
        </is>
      </c>
      <c r="C6576" s="10" t="inlineStr">
        <is>
          <t>北野線</t>
        </is>
      </c>
      <c r="D6576" s="10" t="inlineStr">
        <is>
          <t>下り</t>
        </is>
      </c>
      <c r="E6576" t="inlineStr">
        <is>
          <t>0763</t>
        </is>
      </c>
      <c r="F6576" t="inlineStr">
        <is>
          <t>0453</t>
        </is>
      </c>
      <c r="G6576" s="10" t="inlineStr">
        <is>
          <t>等持院</t>
        </is>
      </c>
      <c r="H6576" s="10" t="inlineStr">
        <is>
          <t>発</t>
        </is>
      </c>
      <c r="J6576" s="10" t="inlineStr">
        <is>
          <t>営業</t>
        </is>
      </c>
      <c r="L6576" t="inlineStr">
        <is>
          <t>7:56:15</t>
        </is>
      </c>
      <c r="M6576" t="inlineStr">
        <is>
          <t>7:56:25</t>
        </is>
      </c>
    </row>
    <row r="6577" ht="16.5" customHeight="1" s="37">
      <c r="A6577" t="n">
        <v>18</v>
      </c>
      <c r="B6577" s="10" t="inlineStr">
        <is>
          <t>平日</t>
        </is>
      </c>
      <c r="C6577" s="10" t="inlineStr">
        <is>
          <t>北野線</t>
        </is>
      </c>
      <c r="D6577" s="10" t="inlineStr">
        <is>
          <t>下り</t>
        </is>
      </c>
      <c r="E6577" t="inlineStr">
        <is>
          <t>0763</t>
        </is>
      </c>
      <c r="F6577" t="inlineStr">
        <is>
          <t>0453</t>
        </is>
      </c>
      <c r="G6577" s="10" t="inlineStr">
        <is>
          <t>龍安寺</t>
        </is>
      </c>
      <c r="H6577" s="10" t="inlineStr">
        <is>
          <t>発</t>
        </is>
      </c>
      <c r="J6577" s="10" t="inlineStr">
        <is>
          <t>営業</t>
        </is>
      </c>
      <c r="L6577" t="inlineStr">
        <is>
          <t>7:57:15</t>
        </is>
      </c>
      <c r="M6577" t="inlineStr">
        <is>
          <t>7:57:35</t>
        </is>
      </c>
    </row>
    <row r="6578" ht="16.5" customHeight="1" s="37">
      <c r="A6578" t="n">
        <v>18</v>
      </c>
      <c r="B6578" s="10" t="inlineStr">
        <is>
          <t>平日</t>
        </is>
      </c>
      <c r="C6578" s="10" t="inlineStr">
        <is>
          <t>北野線</t>
        </is>
      </c>
      <c r="D6578" s="10" t="inlineStr">
        <is>
          <t>下り</t>
        </is>
      </c>
      <c r="E6578" t="inlineStr">
        <is>
          <t>0763</t>
        </is>
      </c>
      <c r="F6578" t="inlineStr">
        <is>
          <t>0453</t>
        </is>
      </c>
      <c r="G6578" s="10" t="inlineStr">
        <is>
          <t>妙心寺</t>
        </is>
      </c>
      <c r="H6578" s="10" t="inlineStr">
        <is>
          <t>発</t>
        </is>
      </c>
      <c r="J6578" s="10" t="inlineStr">
        <is>
          <t>営業</t>
        </is>
      </c>
      <c r="L6578" t="inlineStr">
        <is>
          <t>7:58:30</t>
        </is>
      </c>
      <c r="M6578" t="inlineStr">
        <is>
          <t>7:58:40</t>
        </is>
      </c>
    </row>
    <row r="6579" ht="16.5" customHeight="1" s="37">
      <c r="A6579" t="n">
        <v>18</v>
      </c>
      <c r="B6579" s="10" t="inlineStr">
        <is>
          <t>平日</t>
        </is>
      </c>
      <c r="C6579" s="10" t="inlineStr">
        <is>
          <t>北野線</t>
        </is>
      </c>
      <c r="D6579" s="10" t="inlineStr">
        <is>
          <t>下り</t>
        </is>
      </c>
      <c r="E6579" t="inlineStr">
        <is>
          <t>0763</t>
        </is>
      </c>
      <c r="F6579" t="inlineStr">
        <is>
          <t>0453</t>
        </is>
      </c>
      <c r="G6579" s="10" t="inlineStr">
        <is>
          <t>御室仁和寺</t>
        </is>
      </c>
      <c r="H6579" s="10" t="inlineStr">
        <is>
          <t>発</t>
        </is>
      </c>
      <c r="J6579" s="10" t="inlineStr">
        <is>
          <t>営業</t>
        </is>
      </c>
      <c r="L6579" t="inlineStr">
        <is>
          <t>7:59:40</t>
        </is>
      </c>
      <c r="M6579" t="inlineStr">
        <is>
          <t>8:00:45</t>
        </is>
      </c>
    </row>
    <row r="6580" ht="16.5" customHeight="1" s="37">
      <c r="A6580" t="n">
        <v>18</v>
      </c>
      <c r="B6580" s="10" t="inlineStr">
        <is>
          <t>平日</t>
        </is>
      </c>
      <c r="C6580" s="10" t="inlineStr">
        <is>
          <t>北野線</t>
        </is>
      </c>
      <c r="D6580" s="10" t="inlineStr">
        <is>
          <t>下り</t>
        </is>
      </c>
      <c r="E6580" t="inlineStr">
        <is>
          <t>0763</t>
        </is>
      </c>
      <c r="F6580" t="inlineStr">
        <is>
          <t>0453</t>
        </is>
      </c>
      <c r="G6580" s="10" t="inlineStr">
        <is>
          <t>宇多野</t>
        </is>
      </c>
      <c r="H6580" s="10" t="inlineStr">
        <is>
          <t>発</t>
        </is>
      </c>
      <c r="J6580" s="10" t="inlineStr">
        <is>
          <t>営業</t>
        </is>
      </c>
      <c r="L6580" t="inlineStr">
        <is>
          <t>8:01:45</t>
        </is>
      </c>
      <c r="M6580" t="inlineStr">
        <is>
          <t>8:01:55</t>
        </is>
      </c>
    </row>
    <row r="6581" ht="16.5" customHeight="1" s="37">
      <c r="A6581" t="n">
        <v>18</v>
      </c>
      <c r="B6581" s="10" t="inlineStr">
        <is>
          <t>平日</t>
        </is>
      </c>
      <c r="C6581" s="10" t="inlineStr">
        <is>
          <t>北野線</t>
        </is>
      </c>
      <c r="D6581" s="10" t="inlineStr">
        <is>
          <t>下り</t>
        </is>
      </c>
      <c r="E6581" t="inlineStr">
        <is>
          <t>0763</t>
        </is>
      </c>
      <c r="F6581" t="inlineStr">
        <is>
          <t>0453</t>
        </is>
      </c>
      <c r="G6581" s="10" t="inlineStr">
        <is>
          <t>鳴滝</t>
        </is>
      </c>
      <c r="H6581" s="10" t="inlineStr">
        <is>
          <t>発</t>
        </is>
      </c>
      <c r="J6581" s="10" t="inlineStr">
        <is>
          <t>営業</t>
        </is>
      </c>
      <c r="L6581" t="inlineStr">
        <is>
          <t>8:03:15</t>
        </is>
      </c>
      <c r="M6581" t="inlineStr">
        <is>
          <t>8:03:25</t>
        </is>
      </c>
    </row>
    <row r="6582" ht="16.5" customHeight="1" s="37">
      <c r="A6582" t="n">
        <v>18</v>
      </c>
      <c r="B6582" s="10" t="inlineStr">
        <is>
          <t>平日</t>
        </is>
      </c>
      <c r="C6582" s="10" t="inlineStr">
        <is>
          <t>北野線</t>
        </is>
      </c>
      <c r="D6582" s="10" t="inlineStr">
        <is>
          <t>下り</t>
        </is>
      </c>
      <c r="E6582" t="inlineStr">
        <is>
          <t>0763</t>
        </is>
      </c>
      <c r="F6582" t="inlineStr">
        <is>
          <t>0453</t>
        </is>
      </c>
      <c r="G6582" s="10" t="inlineStr">
        <is>
          <t>常盤</t>
        </is>
      </c>
      <c r="H6582" s="10" t="inlineStr">
        <is>
          <t>発</t>
        </is>
      </c>
      <c r="J6582" s="10" t="inlineStr">
        <is>
          <t>営業</t>
        </is>
      </c>
      <c r="L6582" t="inlineStr">
        <is>
          <t>8:04:15</t>
        </is>
      </c>
      <c r="M6582" t="inlineStr">
        <is>
          <t>8:04:35</t>
        </is>
      </c>
    </row>
    <row r="6583" ht="16.5" customHeight="1" s="37">
      <c r="A6583" t="n">
        <v>18</v>
      </c>
      <c r="B6583" s="10" t="inlineStr">
        <is>
          <t>平日</t>
        </is>
      </c>
      <c r="C6583" s="10" t="inlineStr">
        <is>
          <t>北野線</t>
        </is>
      </c>
      <c r="D6583" s="10" t="inlineStr">
        <is>
          <t>下り</t>
        </is>
      </c>
      <c r="E6583" t="inlineStr">
        <is>
          <t>0763</t>
        </is>
      </c>
      <c r="F6583" t="inlineStr">
        <is>
          <t>0453</t>
        </is>
      </c>
      <c r="G6583" s="10" t="inlineStr">
        <is>
          <t>撮影所前</t>
        </is>
      </c>
      <c r="H6583" s="10" t="inlineStr">
        <is>
          <t>発</t>
        </is>
      </c>
      <c r="J6583" s="10" t="inlineStr">
        <is>
          <t>営業</t>
        </is>
      </c>
      <c r="L6583" t="inlineStr">
        <is>
          <t>8:05:55</t>
        </is>
      </c>
      <c r="M6583" t="inlineStr">
        <is>
          <t>8:06:05</t>
        </is>
      </c>
    </row>
    <row r="6584" ht="16.5" customHeight="1" s="37">
      <c r="A6584" t="n">
        <v>18</v>
      </c>
      <c r="B6584" s="10" t="inlineStr">
        <is>
          <t>平日</t>
        </is>
      </c>
      <c r="C6584" s="10" t="inlineStr">
        <is>
          <t>北野線</t>
        </is>
      </c>
      <c r="D6584" s="10" t="inlineStr">
        <is>
          <t>下り</t>
        </is>
      </c>
      <c r="E6584" t="inlineStr">
        <is>
          <t>0763</t>
        </is>
      </c>
      <c r="F6584" t="inlineStr">
        <is>
          <t>0453</t>
        </is>
      </c>
      <c r="G6584" s="10" t="inlineStr">
        <is>
          <t>帷子ノ辻</t>
        </is>
      </c>
      <c r="H6584" s="10" t="inlineStr">
        <is>
          <t>着</t>
        </is>
      </c>
      <c r="J6584" s="10" t="inlineStr">
        <is>
          <t>営業</t>
        </is>
      </c>
      <c r="L6584" t="inlineStr">
        <is>
          <t>8:07:00</t>
        </is>
      </c>
      <c r="Q6584" t="inlineStr">
        <is>
          <t>4</t>
        </is>
      </c>
    </row>
    <row r="6585" ht="16.5" customHeight="1" s="37">
      <c r="A6585" t="n">
        <v>18</v>
      </c>
      <c r="B6585" s="10" t="inlineStr">
        <is>
          <t>平日</t>
        </is>
      </c>
      <c r="C6585" s="10" t="inlineStr">
        <is>
          <t>北野線</t>
        </is>
      </c>
      <c r="D6585" s="10" t="inlineStr">
        <is>
          <t>上り</t>
        </is>
      </c>
      <c r="E6585" t="inlineStr">
        <is>
          <t>0856</t>
        </is>
      </c>
      <c r="F6585" t="inlineStr">
        <is>
          <t>0354</t>
        </is>
      </c>
      <c r="G6585" s="10" t="inlineStr">
        <is>
          <t>帷子ノ辻</t>
        </is>
      </c>
      <c r="H6585" s="10" t="inlineStr">
        <is>
          <t>発</t>
        </is>
      </c>
      <c r="J6585" s="10" t="inlineStr">
        <is>
          <t>営業</t>
        </is>
      </c>
      <c r="M6585" t="inlineStr">
        <is>
          <t>8:18:00</t>
        </is>
      </c>
      <c r="Q6585" t="inlineStr">
        <is>
          <t>4</t>
        </is>
      </c>
    </row>
    <row r="6586" ht="16.5" customHeight="1" s="37">
      <c r="A6586" t="n">
        <v>18</v>
      </c>
      <c r="B6586" s="10" t="inlineStr">
        <is>
          <t>平日</t>
        </is>
      </c>
      <c r="C6586" s="10" t="inlineStr">
        <is>
          <t>北野線</t>
        </is>
      </c>
      <c r="D6586" s="10" t="inlineStr">
        <is>
          <t>上り</t>
        </is>
      </c>
      <c r="E6586" t="inlineStr">
        <is>
          <t>0856</t>
        </is>
      </c>
      <c r="F6586" t="inlineStr">
        <is>
          <t>0354</t>
        </is>
      </c>
      <c r="G6586" s="10" t="inlineStr">
        <is>
          <t>撮影所前</t>
        </is>
      </c>
      <c r="H6586" s="10" t="inlineStr">
        <is>
          <t>発</t>
        </is>
      </c>
      <c r="J6586" s="10" t="inlineStr">
        <is>
          <t>営業</t>
        </is>
      </c>
      <c r="L6586" t="inlineStr">
        <is>
          <t>8:19:00</t>
        </is>
      </c>
      <c r="M6586" t="inlineStr">
        <is>
          <t>8:19:10</t>
        </is>
      </c>
    </row>
    <row r="6587" ht="16.5" customHeight="1" s="37">
      <c r="A6587" t="n">
        <v>18</v>
      </c>
      <c r="B6587" s="10" t="inlineStr">
        <is>
          <t>平日</t>
        </is>
      </c>
      <c r="C6587" s="10" t="inlineStr">
        <is>
          <t>北野線</t>
        </is>
      </c>
      <c r="D6587" s="10" t="inlineStr">
        <is>
          <t>上り</t>
        </is>
      </c>
      <c r="E6587" t="inlineStr">
        <is>
          <t>0856</t>
        </is>
      </c>
      <c r="F6587" t="inlineStr">
        <is>
          <t>0354</t>
        </is>
      </c>
      <c r="G6587" s="10" t="inlineStr">
        <is>
          <t>常盤</t>
        </is>
      </c>
      <c r="H6587" s="10" t="inlineStr">
        <is>
          <t>発</t>
        </is>
      </c>
      <c r="J6587" s="10" t="inlineStr">
        <is>
          <t>営業</t>
        </is>
      </c>
      <c r="L6587" t="inlineStr">
        <is>
          <t>8:20:30</t>
        </is>
      </c>
      <c r="M6587" t="inlineStr">
        <is>
          <t>8:20:50</t>
        </is>
      </c>
    </row>
    <row r="6588" ht="16.5" customHeight="1" s="37">
      <c r="A6588" t="n">
        <v>18</v>
      </c>
      <c r="B6588" s="10" t="inlineStr">
        <is>
          <t>平日</t>
        </is>
      </c>
      <c r="C6588" s="10" t="inlineStr">
        <is>
          <t>北野線</t>
        </is>
      </c>
      <c r="D6588" s="10" t="inlineStr">
        <is>
          <t>上り</t>
        </is>
      </c>
      <c r="E6588" t="inlineStr">
        <is>
          <t>0856</t>
        </is>
      </c>
      <c r="F6588" t="inlineStr">
        <is>
          <t>0354</t>
        </is>
      </c>
      <c r="G6588" s="10" t="inlineStr">
        <is>
          <t>鳴滝</t>
        </is>
      </c>
      <c r="H6588" s="10" t="inlineStr">
        <is>
          <t>発</t>
        </is>
      </c>
      <c r="J6588" s="10" t="inlineStr">
        <is>
          <t>営業</t>
        </is>
      </c>
      <c r="L6588" t="inlineStr">
        <is>
          <t>8:21:50</t>
        </is>
      </c>
      <c r="M6588" t="inlineStr">
        <is>
          <t>8:22:10</t>
        </is>
      </c>
    </row>
    <row r="6589" ht="16.5" customHeight="1" s="37">
      <c r="A6589" t="n">
        <v>18</v>
      </c>
      <c r="B6589" s="10" t="inlineStr">
        <is>
          <t>平日</t>
        </is>
      </c>
      <c r="C6589" s="10" t="inlineStr">
        <is>
          <t>北野線</t>
        </is>
      </c>
      <c r="D6589" s="10" t="inlineStr">
        <is>
          <t>上り</t>
        </is>
      </c>
      <c r="E6589" t="inlineStr">
        <is>
          <t>0856</t>
        </is>
      </c>
      <c r="F6589" t="inlineStr">
        <is>
          <t>0354</t>
        </is>
      </c>
      <c r="G6589" s="10" t="inlineStr">
        <is>
          <t>宇多野</t>
        </is>
      </c>
      <c r="H6589" s="10" t="inlineStr">
        <is>
          <t>発</t>
        </is>
      </c>
      <c r="J6589" s="10" t="inlineStr">
        <is>
          <t>営業</t>
        </is>
      </c>
      <c r="L6589" t="inlineStr">
        <is>
          <t>8:23:30</t>
        </is>
      </c>
      <c r="M6589" t="inlineStr">
        <is>
          <t>8:23:45</t>
        </is>
      </c>
    </row>
    <row r="6590" ht="16.5" customHeight="1" s="37">
      <c r="A6590" t="n">
        <v>18</v>
      </c>
      <c r="B6590" s="10" t="inlineStr">
        <is>
          <t>平日</t>
        </is>
      </c>
      <c r="C6590" s="10" t="inlineStr">
        <is>
          <t>北野線</t>
        </is>
      </c>
      <c r="D6590" s="10" t="inlineStr">
        <is>
          <t>上り</t>
        </is>
      </c>
      <c r="E6590" t="inlineStr">
        <is>
          <t>0856</t>
        </is>
      </c>
      <c r="F6590" t="inlineStr">
        <is>
          <t>0354</t>
        </is>
      </c>
      <c r="G6590" s="10" t="inlineStr">
        <is>
          <t>御室仁和寺</t>
        </is>
      </c>
      <c r="H6590" s="10" t="inlineStr">
        <is>
          <t>発</t>
        </is>
      </c>
      <c r="J6590" s="10" t="inlineStr">
        <is>
          <t>営業</t>
        </is>
      </c>
      <c r="L6590" t="inlineStr">
        <is>
          <t>8:24:45</t>
        </is>
      </c>
      <c r="M6590" t="inlineStr">
        <is>
          <t>8:24:55</t>
        </is>
      </c>
    </row>
    <row r="6591" ht="16.5" customHeight="1" s="37">
      <c r="A6591" t="n">
        <v>18</v>
      </c>
      <c r="B6591" s="10" t="inlineStr">
        <is>
          <t>平日</t>
        </is>
      </c>
      <c r="C6591" s="10" t="inlineStr">
        <is>
          <t>北野線</t>
        </is>
      </c>
      <c r="D6591" s="10" t="inlineStr">
        <is>
          <t>上り</t>
        </is>
      </c>
      <c r="E6591" t="inlineStr">
        <is>
          <t>0856</t>
        </is>
      </c>
      <c r="F6591" t="inlineStr">
        <is>
          <t>0354</t>
        </is>
      </c>
      <c r="G6591" s="10" t="inlineStr">
        <is>
          <t>妙心寺</t>
        </is>
      </c>
      <c r="H6591" s="10" t="inlineStr">
        <is>
          <t>発</t>
        </is>
      </c>
      <c r="J6591" s="10" t="inlineStr">
        <is>
          <t>営業</t>
        </is>
      </c>
      <c r="L6591" t="inlineStr">
        <is>
          <t>8:25:55</t>
        </is>
      </c>
      <c r="M6591" t="inlineStr">
        <is>
          <t>8:26:10</t>
        </is>
      </c>
    </row>
    <row r="6592" ht="16.5" customHeight="1" s="37">
      <c r="A6592" t="n">
        <v>18</v>
      </c>
      <c r="B6592" s="10" t="inlineStr">
        <is>
          <t>平日</t>
        </is>
      </c>
      <c r="C6592" s="10" t="inlineStr">
        <is>
          <t>北野線</t>
        </is>
      </c>
      <c r="D6592" s="10" t="inlineStr">
        <is>
          <t>上り</t>
        </is>
      </c>
      <c r="E6592" t="inlineStr">
        <is>
          <t>0856</t>
        </is>
      </c>
      <c r="F6592" t="inlineStr">
        <is>
          <t>0354</t>
        </is>
      </c>
      <c r="G6592" s="10" t="inlineStr">
        <is>
          <t>龍安寺</t>
        </is>
      </c>
      <c r="H6592" s="10" t="inlineStr">
        <is>
          <t>発</t>
        </is>
      </c>
      <c r="J6592" s="10" t="inlineStr">
        <is>
          <t>営業</t>
        </is>
      </c>
      <c r="L6592" t="inlineStr">
        <is>
          <t>8:27:05</t>
        </is>
      </c>
      <c r="M6592" t="inlineStr">
        <is>
          <t>8:27:20</t>
        </is>
      </c>
    </row>
    <row r="6593" ht="16.5" customHeight="1" s="37">
      <c r="A6593" t="n">
        <v>18</v>
      </c>
      <c r="B6593" s="10" t="inlineStr">
        <is>
          <t>平日</t>
        </is>
      </c>
      <c r="C6593" s="10" t="inlineStr">
        <is>
          <t>北野線</t>
        </is>
      </c>
      <c r="D6593" s="10" t="inlineStr">
        <is>
          <t>上り</t>
        </is>
      </c>
      <c r="E6593" t="inlineStr">
        <is>
          <t>0856</t>
        </is>
      </c>
      <c r="F6593" t="inlineStr">
        <is>
          <t>0354</t>
        </is>
      </c>
      <c r="G6593" s="10" t="inlineStr">
        <is>
          <t>等持院</t>
        </is>
      </c>
      <c r="H6593" s="10" t="inlineStr">
        <is>
          <t>発</t>
        </is>
      </c>
      <c r="J6593" s="10" t="inlineStr">
        <is>
          <t>営業</t>
        </is>
      </c>
      <c r="L6593" t="inlineStr">
        <is>
          <t>8:28:00</t>
        </is>
      </c>
      <c r="M6593" t="inlineStr">
        <is>
          <t>8:28:20</t>
        </is>
      </c>
    </row>
    <row r="6594" ht="16.5" customHeight="1" s="37">
      <c r="A6594" t="n">
        <v>18</v>
      </c>
      <c r="B6594" s="10" t="inlineStr">
        <is>
          <t>平日</t>
        </is>
      </c>
      <c r="C6594" s="10" t="inlineStr">
        <is>
          <t>北野線</t>
        </is>
      </c>
      <c r="D6594" s="10" t="inlineStr">
        <is>
          <t>上り</t>
        </is>
      </c>
      <c r="E6594" t="inlineStr">
        <is>
          <t>0856</t>
        </is>
      </c>
      <c r="F6594" t="inlineStr">
        <is>
          <t>0354</t>
        </is>
      </c>
      <c r="G6594" s="10" t="inlineStr">
        <is>
          <t>北野白梅町</t>
        </is>
      </c>
      <c r="H6594" s="10" t="inlineStr">
        <is>
          <t>着</t>
        </is>
      </c>
      <c r="J6594" s="10" t="inlineStr">
        <is>
          <t>営業</t>
        </is>
      </c>
      <c r="L6594" t="inlineStr">
        <is>
          <t>8:29:40</t>
        </is>
      </c>
      <c r="Q6594" t="inlineStr">
        <is>
          <t>1</t>
        </is>
      </c>
    </row>
    <row r="6595" ht="16.5" customHeight="1" s="37">
      <c r="A6595" t="n">
        <v>18</v>
      </c>
      <c r="B6595" s="10" t="inlineStr">
        <is>
          <t>平日</t>
        </is>
      </c>
      <c r="C6595" s="10" t="inlineStr">
        <is>
          <t>北野線</t>
        </is>
      </c>
      <c r="D6595" s="10" t="inlineStr">
        <is>
          <t>下り</t>
        </is>
      </c>
      <c r="E6595" t="inlineStr">
        <is>
          <t>0859</t>
        </is>
      </c>
      <c r="F6595" t="inlineStr">
        <is>
          <t>0453</t>
        </is>
      </c>
      <c r="G6595" s="10" t="inlineStr">
        <is>
          <t>北野白梅町</t>
        </is>
      </c>
      <c r="H6595" s="10" t="inlineStr">
        <is>
          <t>発</t>
        </is>
      </c>
      <c r="J6595" s="10" t="inlineStr">
        <is>
          <t>営業</t>
        </is>
      </c>
      <c r="M6595" t="inlineStr">
        <is>
          <t>8:34:50</t>
        </is>
      </c>
      <c r="Q6595" t="inlineStr">
        <is>
          <t>1</t>
        </is>
      </c>
    </row>
    <row r="6596" ht="16.5" customHeight="1" s="37">
      <c r="A6596" t="n">
        <v>18</v>
      </c>
      <c r="B6596" s="10" t="inlineStr">
        <is>
          <t>平日</t>
        </is>
      </c>
      <c r="C6596" s="10" t="inlineStr">
        <is>
          <t>北野線</t>
        </is>
      </c>
      <c r="D6596" s="10" t="inlineStr">
        <is>
          <t>下り</t>
        </is>
      </c>
      <c r="E6596" t="inlineStr">
        <is>
          <t>0859</t>
        </is>
      </c>
      <c r="F6596" t="inlineStr">
        <is>
          <t>0453</t>
        </is>
      </c>
      <c r="G6596" s="10" t="inlineStr">
        <is>
          <t>等持院</t>
        </is>
      </c>
      <c r="H6596" s="10" t="inlineStr">
        <is>
          <t>発</t>
        </is>
      </c>
      <c r="J6596" s="10" t="inlineStr">
        <is>
          <t>営業</t>
        </is>
      </c>
      <c r="L6596" t="inlineStr">
        <is>
          <t>8:36:15</t>
        </is>
      </c>
      <c r="M6596" t="inlineStr">
        <is>
          <t>8:36:25</t>
        </is>
      </c>
    </row>
    <row r="6597" ht="16.5" customHeight="1" s="37">
      <c r="A6597" t="n">
        <v>18</v>
      </c>
      <c r="B6597" s="10" t="inlineStr">
        <is>
          <t>平日</t>
        </is>
      </c>
      <c r="C6597" s="10" t="inlineStr">
        <is>
          <t>北野線</t>
        </is>
      </c>
      <c r="D6597" s="10" t="inlineStr">
        <is>
          <t>下り</t>
        </is>
      </c>
      <c r="E6597" t="inlineStr">
        <is>
          <t>0859</t>
        </is>
      </c>
      <c r="F6597" t="inlineStr">
        <is>
          <t>0453</t>
        </is>
      </c>
      <c r="G6597" s="10" t="inlineStr">
        <is>
          <t>龍安寺</t>
        </is>
      </c>
      <c r="H6597" s="10" t="inlineStr">
        <is>
          <t>発</t>
        </is>
      </c>
      <c r="J6597" s="10" t="inlineStr">
        <is>
          <t>営業</t>
        </is>
      </c>
      <c r="L6597" t="inlineStr">
        <is>
          <t>8:37:15</t>
        </is>
      </c>
      <c r="M6597" t="inlineStr">
        <is>
          <t>8:37:35</t>
        </is>
      </c>
    </row>
    <row r="6598" ht="16.5" customHeight="1" s="37">
      <c r="A6598" t="n">
        <v>18</v>
      </c>
      <c r="B6598" s="10" t="inlineStr">
        <is>
          <t>平日</t>
        </is>
      </c>
      <c r="C6598" s="10" t="inlineStr">
        <is>
          <t>北野線</t>
        </is>
      </c>
      <c r="D6598" s="10" t="inlineStr">
        <is>
          <t>下り</t>
        </is>
      </c>
      <c r="E6598" t="inlineStr">
        <is>
          <t>0859</t>
        </is>
      </c>
      <c r="F6598" t="inlineStr">
        <is>
          <t>0453</t>
        </is>
      </c>
      <c r="G6598" s="10" t="inlineStr">
        <is>
          <t>妙心寺</t>
        </is>
      </c>
      <c r="H6598" s="10" t="inlineStr">
        <is>
          <t>発</t>
        </is>
      </c>
      <c r="J6598" s="10" t="inlineStr">
        <is>
          <t>営業</t>
        </is>
      </c>
      <c r="L6598" t="inlineStr">
        <is>
          <t>8:38:30</t>
        </is>
      </c>
      <c r="M6598" t="inlineStr">
        <is>
          <t>8:38:40</t>
        </is>
      </c>
    </row>
    <row r="6599" ht="15" customHeight="1" s="37">
      <c r="A6599" t="n">
        <v>18</v>
      </c>
      <c r="B6599" s="10" t="inlineStr">
        <is>
          <t>平日</t>
        </is>
      </c>
      <c r="C6599" s="10" t="inlineStr">
        <is>
          <t>北野線</t>
        </is>
      </c>
      <c r="D6599" s="10" t="inlineStr">
        <is>
          <t>下り</t>
        </is>
      </c>
      <c r="E6599" t="inlineStr">
        <is>
          <t>0859</t>
        </is>
      </c>
      <c r="F6599" t="inlineStr">
        <is>
          <t>0453</t>
        </is>
      </c>
      <c r="G6599" s="10" t="inlineStr">
        <is>
          <t>御室仁和寺</t>
        </is>
      </c>
      <c r="H6599" s="10" t="inlineStr">
        <is>
          <t>発</t>
        </is>
      </c>
      <c r="J6599" s="10" t="inlineStr">
        <is>
          <t>営業</t>
        </is>
      </c>
      <c r="L6599" t="inlineStr">
        <is>
          <t>8:39:40</t>
        </is>
      </c>
      <c r="M6599" t="inlineStr">
        <is>
          <t>8:40:45</t>
        </is>
      </c>
    </row>
    <row r="6600" ht="15" customHeight="1" s="37">
      <c r="A6600" t="n">
        <v>18</v>
      </c>
      <c r="B6600" s="10" t="inlineStr">
        <is>
          <t>平日</t>
        </is>
      </c>
      <c r="C6600" s="10" t="inlineStr">
        <is>
          <t>北野線</t>
        </is>
      </c>
      <c r="D6600" s="10" t="inlineStr">
        <is>
          <t>下り</t>
        </is>
      </c>
      <c r="E6600" t="inlineStr">
        <is>
          <t>0859</t>
        </is>
      </c>
      <c r="F6600" t="inlineStr">
        <is>
          <t>0453</t>
        </is>
      </c>
      <c r="G6600" s="10" t="inlineStr">
        <is>
          <t>宇多野</t>
        </is>
      </c>
      <c r="H6600" s="10" t="inlineStr">
        <is>
          <t>発</t>
        </is>
      </c>
      <c r="J6600" s="10" t="inlineStr">
        <is>
          <t>営業</t>
        </is>
      </c>
      <c r="L6600" t="inlineStr">
        <is>
          <t>8:41:45</t>
        </is>
      </c>
      <c r="M6600" t="inlineStr">
        <is>
          <t>8:41:55</t>
        </is>
      </c>
    </row>
    <row r="6601" ht="15" customHeight="1" s="37">
      <c r="A6601" t="n">
        <v>18</v>
      </c>
      <c r="B6601" s="10" t="inlineStr">
        <is>
          <t>平日</t>
        </is>
      </c>
      <c r="C6601" s="10" t="inlineStr">
        <is>
          <t>北野線</t>
        </is>
      </c>
      <c r="D6601" s="10" t="inlineStr">
        <is>
          <t>下り</t>
        </is>
      </c>
      <c r="E6601" t="inlineStr">
        <is>
          <t>0859</t>
        </is>
      </c>
      <c r="F6601" t="inlineStr">
        <is>
          <t>0453</t>
        </is>
      </c>
      <c r="G6601" s="10" t="inlineStr">
        <is>
          <t>鳴滝</t>
        </is>
      </c>
      <c r="H6601" s="10" t="inlineStr">
        <is>
          <t>発</t>
        </is>
      </c>
      <c r="J6601" s="10" t="inlineStr">
        <is>
          <t>営業</t>
        </is>
      </c>
      <c r="L6601" t="inlineStr">
        <is>
          <t>8:43:15</t>
        </is>
      </c>
      <c r="M6601" t="inlineStr">
        <is>
          <t>8:43:25</t>
        </is>
      </c>
    </row>
    <row r="6602" ht="15" customHeight="1" s="37">
      <c r="A6602" t="n">
        <v>18</v>
      </c>
      <c r="B6602" s="10" t="inlineStr">
        <is>
          <t>平日</t>
        </is>
      </c>
      <c r="C6602" s="10" t="inlineStr">
        <is>
          <t>北野線</t>
        </is>
      </c>
      <c r="D6602" s="10" t="inlineStr">
        <is>
          <t>下り</t>
        </is>
      </c>
      <c r="E6602" t="inlineStr">
        <is>
          <t>0859</t>
        </is>
      </c>
      <c r="F6602" t="inlineStr">
        <is>
          <t>0453</t>
        </is>
      </c>
      <c r="G6602" s="10" t="inlineStr">
        <is>
          <t>常盤</t>
        </is>
      </c>
      <c r="H6602" s="10" t="inlineStr">
        <is>
          <t>発</t>
        </is>
      </c>
      <c r="J6602" s="10" t="inlineStr">
        <is>
          <t>営業</t>
        </is>
      </c>
      <c r="L6602" t="inlineStr">
        <is>
          <t>8:44:15</t>
        </is>
      </c>
      <c r="M6602" t="inlineStr">
        <is>
          <t>8:44:35</t>
        </is>
      </c>
    </row>
    <row r="6603" ht="15" customHeight="1" s="37">
      <c r="A6603" t="n">
        <v>18</v>
      </c>
      <c r="B6603" s="10" t="inlineStr">
        <is>
          <t>平日</t>
        </is>
      </c>
      <c r="C6603" s="10" t="inlineStr">
        <is>
          <t>北野線</t>
        </is>
      </c>
      <c r="D6603" s="10" t="inlineStr">
        <is>
          <t>下り</t>
        </is>
      </c>
      <c r="E6603" t="inlineStr">
        <is>
          <t>0859</t>
        </is>
      </c>
      <c r="F6603" t="inlineStr">
        <is>
          <t>0453</t>
        </is>
      </c>
      <c r="G6603" s="10" t="inlineStr">
        <is>
          <t>撮影所前</t>
        </is>
      </c>
      <c r="H6603" s="10" t="inlineStr">
        <is>
          <t>発</t>
        </is>
      </c>
      <c r="J6603" s="10" t="inlineStr">
        <is>
          <t>営業</t>
        </is>
      </c>
      <c r="L6603" t="inlineStr">
        <is>
          <t>8:45:55</t>
        </is>
      </c>
      <c r="M6603" t="inlineStr">
        <is>
          <t>8:46:05</t>
        </is>
      </c>
    </row>
    <row r="6604" ht="15" customHeight="1" s="37">
      <c r="A6604" t="n">
        <v>18</v>
      </c>
      <c r="B6604" s="10" t="inlineStr">
        <is>
          <t>平日</t>
        </is>
      </c>
      <c r="C6604" s="10" t="inlineStr">
        <is>
          <t>北野線</t>
        </is>
      </c>
      <c r="D6604" s="10" t="inlineStr">
        <is>
          <t>下り</t>
        </is>
      </c>
      <c r="E6604" t="inlineStr">
        <is>
          <t>0859</t>
        </is>
      </c>
      <c r="F6604" t="inlineStr">
        <is>
          <t>0453</t>
        </is>
      </c>
      <c r="G6604" s="10" t="inlineStr">
        <is>
          <t>帷子ノ辻</t>
        </is>
      </c>
      <c r="H6604" s="10" t="inlineStr">
        <is>
          <t>着</t>
        </is>
      </c>
      <c r="J6604" s="10" t="inlineStr">
        <is>
          <t>営業</t>
        </is>
      </c>
      <c r="L6604" t="inlineStr">
        <is>
          <t>8:47:00</t>
        </is>
      </c>
      <c r="Q6604" t="inlineStr">
        <is>
          <t>3</t>
        </is>
      </c>
    </row>
    <row r="6605" ht="15" customHeight="1" s="37">
      <c r="A6605" t="n">
        <v>18</v>
      </c>
      <c r="B6605" s="10" t="inlineStr">
        <is>
          <t>平日</t>
        </is>
      </c>
      <c r="C6605" s="10" t="inlineStr">
        <is>
          <t>北野線</t>
        </is>
      </c>
      <c r="D6605" s="10" t="inlineStr">
        <is>
          <t>上り</t>
        </is>
      </c>
      <c r="E6605" t="inlineStr">
        <is>
          <t>0864</t>
        </is>
      </c>
      <c r="F6605" t="inlineStr">
        <is>
          <t>0354</t>
        </is>
      </c>
      <c r="G6605" s="10" t="inlineStr">
        <is>
          <t>帷子ノ辻</t>
        </is>
      </c>
      <c r="H6605" s="10" t="inlineStr">
        <is>
          <t>発</t>
        </is>
      </c>
      <c r="J6605" s="10" t="inlineStr">
        <is>
          <t>営業</t>
        </is>
      </c>
      <c r="M6605" t="inlineStr">
        <is>
          <t>8:56:25</t>
        </is>
      </c>
      <c r="Q6605" t="inlineStr">
        <is>
          <t>3</t>
        </is>
      </c>
      <c r="U6605" t="inlineStr">
        <is>
          <t>→帷子ノ辻 休憩(9:24〜10:36)</t>
        </is>
      </c>
    </row>
    <row r="6606" ht="15" customHeight="1" s="37">
      <c r="A6606" t="n">
        <v>18</v>
      </c>
      <c r="B6606" s="10" t="inlineStr">
        <is>
          <t>平日</t>
        </is>
      </c>
      <c r="C6606" s="10" t="inlineStr">
        <is>
          <t>北野線</t>
        </is>
      </c>
      <c r="D6606" s="10" t="inlineStr">
        <is>
          <t>上り</t>
        </is>
      </c>
      <c r="E6606" t="inlineStr">
        <is>
          <t>0864</t>
        </is>
      </c>
      <c r="F6606" t="inlineStr">
        <is>
          <t>0354</t>
        </is>
      </c>
      <c r="G6606" s="10" t="inlineStr">
        <is>
          <t>撮影所前</t>
        </is>
      </c>
      <c r="H6606" s="10" t="inlineStr">
        <is>
          <t>発</t>
        </is>
      </c>
      <c r="J6606" s="10" t="inlineStr">
        <is>
          <t>営業</t>
        </is>
      </c>
      <c r="L6606" t="inlineStr">
        <is>
          <t>8:57:25</t>
        </is>
      </c>
      <c r="M6606" t="inlineStr">
        <is>
          <t>8:57:40</t>
        </is>
      </c>
      <c r="U6606" t="inlineStr">
        <is>
          <t>→帷子ノ辻 休憩(9:24〜10:36)</t>
        </is>
      </c>
    </row>
    <row r="6607" ht="15" customHeight="1" s="37">
      <c r="A6607" t="n">
        <v>18</v>
      </c>
      <c r="B6607" s="10" t="inlineStr">
        <is>
          <t>平日</t>
        </is>
      </c>
      <c r="C6607" s="10" t="inlineStr">
        <is>
          <t>北野線</t>
        </is>
      </c>
      <c r="D6607" s="10" t="inlineStr">
        <is>
          <t>上り</t>
        </is>
      </c>
      <c r="E6607" t="inlineStr">
        <is>
          <t>0864</t>
        </is>
      </c>
      <c r="F6607" t="inlineStr">
        <is>
          <t>0354</t>
        </is>
      </c>
      <c r="G6607" s="10" t="inlineStr">
        <is>
          <t>常盤</t>
        </is>
      </c>
      <c r="H6607" s="10" t="inlineStr">
        <is>
          <t>発</t>
        </is>
      </c>
      <c r="J6607" s="10" t="inlineStr">
        <is>
          <t>営業</t>
        </is>
      </c>
      <c r="L6607" t="inlineStr">
        <is>
          <t>8:59:00</t>
        </is>
      </c>
      <c r="M6607" t="inlineStr">
        <is>
          <t>8:59:20</t>
        </is>
      </c>
      <c r="U6607" t="inlineStr">
        <is>
          <t>→帷子ノ辻 休憩(9:24〜10:36)</t>
        </is>
      </c>
    </row>
    <row r="6608" ht="15" customHeight="1" s="37">
      <c r="A6608" t="n">
        <v>18</v>
      </c>
      <c r="B6608" s="10" t="inlineStr">
        <is>
          <t>平日</t>
        </is>
      </c>
      <c r="C6608" s="10" t="inlineStr">
        <is>
          <t>北野線</t>
        </is>
      </c>
      <c r="D6608" s="10" t="inlineStr">
        <is>
          <t>上り</t>
        </is>
      </c>
      <c r="E6608" t="inlineStr">
        <is>
          <t>0864</t>
        </is>
      </c>
      <c r="F6608" t="inlineStr">
        <is>
          <t>0354</t>
        </is>
      </c>
      <c r="G6608" s="10" t="inlineStr">
        <is>
          <t>鳴滝</t>
        </is>
      </c>
      <c r="H6608" s="10" t="inlineStr">
        <is>
          <t>発</t>
        </is>
      </c>
      <c r="J6608" s="10" t="inlineStr">
        <is>
          <t>営業</t>
        </is>
      </c>
      <c r="L6608" t="inlineStr">
        <is>
          <t>9:00:20</t>
        </is>
      </c>
      <c r="M6608" t="inlineStr">
        <is>
          <t>9:00:40</t>
        </is>
      </c>
      <c r="U6608" t="inlineStr">
        <is>
          <t>→帷子ノ辻 休憩(9:24〜10:36)</t>
        </is>
      </c>
    </row>
    <row r="6609" ht="15" customHeight="1" s="37">
      <c r="A6609" t="n">
        <v>18</v>
      </c>
      <c r="B6609" s="10" t="inlineStr">
        <is>
          <t>平日</t>
        </is>
      </c>
      <c r="C6609" s="10" t="inlineStr">
        <is>
          <t>北野線</t>
        </is>
      </c>
      <c r="D6609" s="10" t="inlineStr">
        <is>
          <t>上り</t>
        </is>
      </c>
      <c r="E6609" t="inlineStr">
        <is>
          <t>0864</t>
        </is>
      </c>
      <c r="F6609" t="inlineStr">
        <is>
          <t>0354</t>
        </is>
      </c>
      <c r="G6609" s="10" t="inlineStr">
        <is>
          <t>宇多野</t>
        </is>
      </c>
      <c r="H6609" s="10" t="inlineStr">
        <is>
          <t>発</t>
        </is>
      </c>
      <c r="J6609" s="10" t="inlineStr">
        <is>
          <t>営業</t>
        </is>
      </c>
      <c r="L6609" t="inlineStr">
        <is>
          <t>9:02:00</t>
        </is>
      </c>
      <c r="M6609" t="inlineStr">
        <is>
          <t>9:02:15</t>
        </is>
      </c>
      <c r="U6609" t="inlineStr">
        <is>
          <t>→帷子ノ辻 休憩(9:24〜10:36)</t>
        </is>
      </c>
    </row>
    <row r="6610" ht="15" customHeight="1" s="37">
      <c r="A6610" t="n">
        <v>18</v>
      </c>
      <c r="B6610" s="10" t="inlineStr">
        <is>
          <t>平日</t>
        </is>
      </c>
      <c r="C6610" s="10" t="inlineStr">
        <is>
          <t>北野線</t>
        </is>
      </c>
      <c r="D6610" s="10" t="inlineStr">
        <is>
          <t>上り</t>
        </is>
      </c>
      <c r="E6610" t="inlineStr">
        <is>
          <t>0864</t>
        </is>
      </c>
      <c r="F6610" t="inlineStr">
        <is>
          <t>0354</t>
        </is>
      </c>
      <c r="G6610" s="10" t="inlineStr">
        <is>
          <t>御室仁和寺</t>
        </is>
      </c>
      <c r="H6610" s="10" t="inlineStr">
        <is>
          <t>発</t>
        </is>
      </c>
      <c r="J6610" s="10" t="inlineStr">
        <is>
          <t>営業</t>
        </is>
      </c>
      <c r="L6610" t="inlineStr">
        <is>
          <t>9:03:15</t>
        </is>
      </c>
      <c r="M6610" t="inlineStr">
        <is>
          <t>9:03:35</t>
        </is>
      </c>
      <c r="U6610" t="inlineStr">
        <is>
          <t>→帷子ノ辻 休憩(9:24〜10:36)</t>
        </is>
      </c>
    </row>
    <row r="6611" ht="15" customHeight="1" s="37">
      <c r="A6611" t="n">
        <v>18</v>
      </c>
      <c r="B6611" s="10" t="inlineStr">
        <is>
          <t>平日</t>
        </is>
      </c>
      <c r="C6611" s="10" t="inlineStr">
        <is>
          <t>北野線</t>
        </is>
      </c>
      <c r="D6611" s="10" t="inlineStr">
        <is>
          <t>上り</t>
        </is>
      </c>
      <c r="E6611" t="inlineStr">
        <is>
          <t>0864</t>
        </is>
      </c>
      <c r="F6611" t="inlineStr">
        <is>
          <t>0354</t>
        </is>
      </c>
      <c r="G6611" s="10" t="inlineStr">
        <is>
          <t>妙心寺</t>
        </is>
      </c>
      <c r="H6611" s="10" t="inlineStr">
        <is>
          <t>発</t>
        </is>
      </c>
      <c r="J6611" s="10" t="inlineStr">
        <is>
          <t>営業</t>
        </is>
      </c>
      <c r="L6611" t="inlineStr">
        <is>
          <t>9:04:35</t>
        </is>
      </c>
      <c r="M6611" t="inlineStr">
        <is>
          <t>9:04:50</t>
        </is>
      </c>
      <c r="U6611" t="inlineStr">
        <is>
          <t>→帷子ノ辻 休憩(9:24〜10:36)</t>
        </is>
      </c>
    </row>
    <row r="6612" ht="15" customHeight="1" s="37">
      <c r="A6612" t="n">
        <v>18</v>
      </c>
      <c r="B6612" s="10" t="inlineStr">
        <is>
          <t>平日</t>
        </is>
      </c>
      <c r="C6612" s="10" t="inlineStr">
        <is>
          <t>北野線</t>
        </is>
      </c>
      <c r="D6612" s="10" t="inlineStr">
        <is>
          <t>上り</t>
        </is>
      </c>
      <c r="E6612" t="inlineStr">
        <is>
          <t>0864</t>
        </is>
      </c>
      <c r="F6612" t="inlineStr">
        <is>
          <t>0354</t>
        </is>
      </c>
      <c r="G6612" s="10" t="inlineStr">
        <is>
          <t>龍安寺</t>
        </is>
      </c>
      <c r="H6612" s="10" t="inlineStr">
        <is>
          <t>発</t>
        </is>
      </c>
      <c r="J6612" s="10" t="inlineStr">
        <is>
          <t>営業</t>
        </is>
      </c>
      <c r="L6612" t="inlineStr">
        <is>
          <t>9:05:45</t>
        </is>
      </c>
      <c r="M6612" t="inlineStr">
        <is>
          <t>9:05:55</t>
        </is>
      </c>
      <c r="U6612" t="inlineStr">
        <is>
          <t>→帷子ノ辻 休憩(9:24〜10:36)</t>
        </is>
      </c>
    </row>
    <row r="6613" ht="15" customHeight="1" s="37">
      <c r="A6613" t="n">
        <v>18</v>
      </c>
      <c r="B6613" s="10" t="inlineStr">
        <is>
          <t>平日</t>
        </is>
      </c>
      <c r="C6613" s="10" t="inlineStr">
        <is>
          <t>北野線</t>
        </is>
      </c>
      <c r="D6613" s="10" t="inlineStr">
        <is>
          <t>上り</t>
        </is>
      </c>
      <c r="E6613" t="inlineStr">
        <is>
          <t>0864</t>
        </is>
      </c>
      <c r="F6613" t="inlineStr">
        <is>
          <t>0354</t>
        </is>
      </c>
      <c r="G6613" s="10" t="inlineStr">
        <is>
          <t>等持院</t>
        </is>
      </c>
      <c r="H6613" s="10" t="inlineStr">
        <is>
          <t>発</t>
        </is>
      </c>
      <c r="J6613" s="10" t="inlineStr">
        <is>
          <t>営業</t>
        </is>
      </c>
      <c r="L6613" t="inlineStr">
        <is>
          <t>9:06:35</t>
        </is>
      </c>
      <c r="M6613" t="inlineStr">
        <is>
          <t>9:06:55</t>
        </is>
      </c>
      <c r="U6613" t="inlineStr">
        <is>
          <t>→帷子ノ辻 休憩(9:24〜10:36)</t>
        </is>
      </c>
    </row>
    <row r="6614" ht="15" customHeight="1" s="37">
      <c r="A6614" t="n">
        <v>18</v>
      </c>
      <c r="B6614" s="10" t="inlineStr">
        <is>
          <t>平日</t>
        </is>
      </c>
      <c r="C6614" s="10" t="inlineStr">
        <is>
          <t>北野線</t>
        </is>
      </c>
      <c r="D6614" s="10" t="inlineStr">
        <is>
          <t>上り</t>
        </is>
      </c>
      <c r="E6614" t="inlineStr">
        <is>
          <t>0864</t>
        </is>
      </c>
      <c r="F6614" t="inlineStr">
        <is>
          <t>0354</t>
        </is>
      </c>
      <c r="G6614" s="10" t="inlineStr">
        <is>
          <t>北野白梅町</t>
        </is>
      </c>
      <c r="H6614" s="10" t="inlineStr">
        <is>
          <t>着</t>
        </is>
      </c>
      <c r="J6614" s="10" t="inlineStr">
        <is>
          <t>営業</t>
        </is>
      </c>
      <c r="L6614" t="inlineStr">
        <is>
          <t>9:08:15</t>
        </is>
      </c>
      <c r="Q6614" t="inlineStr">
        <is>
          <t>1</t>
        </is>
      </c>
      <c r="U6614" t="inlineStr">
        <is>
          <t>→帷子ノ辻 休憩(9:24〜10:36)</t>
        </is>
      </c>
    </row>
    <row r="6615" ht="15" customHeight="1" s="37">
      <c r="A6615" t="n">
        <v>18</v>
      </c>
      <c r="B6615" s="10" t="inlineStr">
        <is>
          <t>平日</t>
        </is>
      </c>
      <c r="C6615" s="10" t="inlineStr">
        <is>
          <t>北野線</t>
        </is>
      </c>
      <c r="D6615" s="10" t="inlineStr">
        <is>
          <t>下り</t>
        </is>
      </c>
      <c r="E6615" t="inlineStr">
        <is>
          <t>0953</t>
        </is>
      </c>
      <c r="F6615" t="inlineStr">
        <is>
          <t>0453</t>
        </is>
      </c>
      <c r="G6615" s="10" t="inlineStr">
        <is>
          <t>北野白梅町</t>
        </is>
      </c>
      <c r="H6615" s="10" t="inlineStr">
        <is>
          <t>発</t>
        </is>
      </c>
      <c r="J6615" s="10" t="inlineStr">
        <is>
          <t>営業</t>
        </is>
      </c>
      <c r="M6615" t="inlineStr">
        <is>
          <t>9:13:00</t>
        </is>
      </c>
      <c r="Q6615" t="inlineStr">
        <is>
          <t>1</t>
        </is>
      </c>
      <c r="U6615" t="inlineStr">
        <is>
          <t>→帷子ノ辻 休憩(9:24〜10:36)</t>
        </is>
      </c>
    </row>
    <row r="6616" ht="15" customHeight="1" s="37">
      <c r="A6616" t="n">
        <v>18</v>
      </c>
      <c r="B6616" s="10" t="inlineStr">
        <is>
          <t>平日</t>
        </is>
      </c>
      <c r="C6616" s="10" t="inlineStr">
        <is>
          <t>北野線</t>
        </is>
      </c>
      <c r="D6616" s="10" t="inlineStr">
        <is>
          <t>下り</t>
        </is>
      </c>
      <c r="E6616" t="inlineStr">
        <is>
          <t>0953</t>
        </is>
      </c>
      <c r="F6616" t="inlineStr">
        <is>
          <t>0453</t>
        </is>
      </c>
      <c r="G6616" s="10" t="inlineStr">
        <is>
          <t>等持院</t>
        </is>
      </c>
      <c r="H6616" s="10" t="inlineStr">
        <is>
          <t>発</t>
        </is>
      </c>
      <c r="J6616" s="10" t="inlineStr">
        <is>
          <t>営業</t>
        </is>
      </c>
      <c r="L6616" t="inlineStr">
        <is>
          <t>9:14:25</t>
        </is>
      </c>
      <c r="M6616" t="inlineStr">
        <is>
          <t>9:14:35</t>
        </is>
      </c>
      <c r="U6616" t="inlineStr">
        <is>
          <t>→帷子ノ辻 休憩(9:24〜10:36)</t>
        </is>
      </c>
    </row>
    <row r="6617" ht="15" customHeight="1" s="37">
      <c r="A6617" t="n">
        <v>18</v>
      </c>
      <c r="B6617" s="10" t="inlineStr">
        <is>
          <t>平日</t>
        </is>
      </c>
      <c r="C6617" s="10" t="inlineStr">
        <is>
          <t>北野線</t>
        </is>
      </c>
      <c r="D6617" s="10" t="inlineStr">
        <is>
          <t>下り</t>
        </is>
      </c>
      <c r="E6617" t="inlineStr">
        <is>
          <t>0953</t>
        </is>
      </c>
      <c r="F6617" t="inlineStr">
        <is>
          <t>0453</t>
        </is>
      </c>
      <c r="G6617" s="10" t="inlineStr">
        <is>
          <t>龍安寺</t>
        </is>
      </c>
      <c r="H6617" s="10" t="inlineStr">
        <is>
          <t>発</t>
        </is>
      </c>
      <c r="J6617" s="10" t="inlineStr">
        <is>
          <t>営業</t>
        </is>
      </c>
      <c r="L6617" t="inlineStr">
        <is>
          <t>9:15:25</t>
        </is>
      </c>
      <c r="M6617" t="inlineStr">
        <is>
          <t>9:15:50</t>
        </is>
      </c>
      <c r="U6617" t="inlineStr">
        <is>
          <t>→帷子ノ辻 休憩(9:24〜10:36)</t>
        </is>
      </c>
    </row>
    <row r="6618" ht="15" customHeight="1" s="37">
      <c r="A6618" t="n">
        <v>18</v>
      </c>
      <c r="B6618" s="10" t="inlineStr">
        <is>
          <t>平日</t>
        </is>
      </c>
      <c r="C6618" s="10" t="inlineStr">
        <is>
          <t>北野線</t>
        </is>
      </c>
      <c r="D6618" s="10" t="inlineStr">
        <is>
          <t>下り</t>
        </is>
      </c>
      <c r="E6618" t="inlineStr">
        <is>
          <t>0953</t>
        </is>
      </c>
      <c r="F6618" t="inlineStr">
        <is>
          <t>0453</t>
        </is>
      </c>
      <c r="G6618" s="10" t="inlineStr">
        <is>
          <t>妙心寺</t>
        </is>
      </c>
      <c r="H6618" s="10" t="inlineStr">
        <is>
          <t>発</t>
        </is>
      </c>
      <c r="J6618" s="10" t="inlineStr">
        <is>
          <t>営業</t>
        </is>
      </c>
      <c r="L6618" t="inlineStr">
        <is>
          <t>9:16:40</t>
        </is>
      </c>
      <c r="M6618" t="inlineStr">
        <is>
          <t>9:16:50</t>
        </is>
      </c>
      <c r="U6618" t="inlineStr">
        <is>
          <t>→帷子ノ辻 休憩(9:24〜10:36)</t>
        </is>
      </c>
    </row>
    <row r="6619" ht="15" customHeight="1" s="37">
      <c r="A6619" t="n">
        <v>18</v>
      </c>
      <c r="B6619" s="10" t="inlineStr">
        <is>
          <t>平日</t>
        </is>
      </c>
      <c r="C6619" s="10" t="inlineStr">
        <is>
          <t>北野線</t>
        </is>
      </c>
      <c r="D6619" s="10" t="inlineStr">
        <is>
          <t>下り</t>
        </is>
      </c>
      <c r="E6619" t="inlineStr">
        <is>
          <t>0953</t>
        </is>
      </c>
      <c r="F6619" t="inlineStr">
        <is>
          <t>0453</t>
        </is>
      </c>
      <c r="G6619" s="10" t="inlineStr">
        <is>
          <t>御室仁和寺</t>
        </is>
      </c>
      <c r="H6619" s="10" t="inlineStr">
        <is>
          <t>発</t>
        </is>
      </c>
      <c r="J6619" s="10" t="inlineStr">
        <is>
          <t>営業</t>
        </is>
      </c>
      <c r="L6619" t="inlineStr">
        <is>
          <t>9:17:50</t>
        </is>
      </c>
      <c r="M6619" t="inlineStr">
        <is>
          <t>9:18:05</t>
        </is>
      </c>
      <c r="U6619" t="inlineStr">
        <is>
          <t>→帷子ノ辻 休憩(9:24〜10:36)</t>
        </is>
      </c>
    </row>
    <row r="6620" ht="15" customHeight="1" s="37">
      <c r="A6620" t="n">
        <v>18</v>
      </c>
      <c r="B6620" s="10" t="inlineStr">
        <is>
          <t>平日</t>
        </is>
      </c>
      <c r="C6620" s="10" t="inlineStr">
        <is>
          <t>北野線</t>
        </is>
      </c>
      <c r="D6620" s="10" t="inlineStr">
        <is>
          <t>下り</t>
        </is>
      </c>
      <c r="E6620" t="inlineStr">
        <is>
          <t>0953</t>
        </is>
      </c>
      <c r="F6620" t="inlineStr">
        <is>
          <t>0453</t>
        </is>
      </c>
      <c r="G6620" s="10" t="inlineStr">
        <is>
          <t>宇多野</t>
        </is>
      </c>
      <c r="H6620" s="10" t="inlineStr">
        <is>
          <t>発</t>
        </is>
      </c>
      <c r="J6620" s="10" t="inlineStr">
        <is>
          <t>営業</t>
        </is>
      </c>
      <c r="L6620" t="inlineStr">
        <is>
          <t>9:19:05</t>
        </is>
      </c>
      <c r="M6620" t="inlineStr">
        <is>
          <t>9:19:15</t>
        </is>
      </c>
      <c r="U6620" t="inlineStr">
        <is>
          <t>→帷子ノ辻 休憩(9:24〜10:36)</t>
        </is>
      </c>
    </row>
    <row r="6621" ht="15" customHeight="1" s="37">
      <c r="A6621" t="n">
        <v>18</v>
      </c>
      <c r="B6621" s="10" t="inlineStr">
        <is>
          <t>平日</t>
        </is>
      </c>
      <c r="C6621" s="10" t="inlineStr">
        <is>
          <t>北野線</t>
        </is>
      </c>
      <c r="D6621" s="10" t="inlineStr">
        <is>
          <t>下り</t>
        </is>
      </c>
      <c r="E6621" t="inlineStr">
        <is>
          <t>0953</t>
        </is>
      </c>
      <c r="F6621" t="inlineStr">
        <is>
          <t>0453</t>
        </is>
      </c>
      <c r="G6621" s="10" t="inlineStr">
        <is>
          <t>鳴滝</t>
        </is>
      </c>
      <c r="H6621" s="10" t="inlineStr">
        <is>
          <t>発</t>
        </is>
      </c>
      <c r="J6621" s="10" t="inlineStr">
        <is>
          <t>営業</t>
        </is>
      </c>
      <c r="L6621" t="inlineStr">
        <is>
          <t>9:20:35</t>
        </is>
      </c>
      <c r="M6621" t="inlineStr">
        <is>
          <t>9:20:45</t>
        </is>
      </c>
      <c r="U6621" t="inlineStr">
        <is>
          <t>→帷子ノ辻 休憩(9:24〜10:36)</t>
        </is>
      </c>
    </row>
    <row r="6622" ht="15" customHeight="1" s="37">
      <c r="A6622" t="n">
        <v>18</v>
      </c>
      <c r="B6622" s="10" t="inlineStr">
        <is>
          <t>平日</t>
        </is>
      </c>
      <c r="C6622" s="10" t="inlineStr">
        <is>
          <t>北野線</t>
        </is>
      </c>
      <c r="D6622" s="10" t="inlineStr">
        <is>
          <t>下り</t>
        </is>
      </c>
      <c r="E6622" t="inlineStr">
        <is>
          <t>0953</t>
        </is>
      </c>
      <c r="F6622" t="inlineStr">
        <is>
          <t>0453</t>
        </is>
      </c>
      <c r="G6622" s="10" t="inlineStr">
        <is>
          <t>常盤</t>
        </is>
      </c>
      <c r="H6622" s="10" t="inlineStr">
        <is>
          <t>発</t>
        </is>
      </c>
      <c r="J6622" s="10" t="inlineStr">
        <is>
          <t>営業</t>
        </is>
      </c>
      <c r="L6622" t="inlineStr">
        <is>
          <t>9:21:35</t>
        </is>
      </c>
      <c r="M6622" t="inlineStr">
        <is>
          <t>9:21:55</t>
        </is>
      </c>
      <c r="U6622" t="inlineStr">
        <is>
          <t>→帷子ノ辻 休憩(9:24〜10:36)</t>
        </is>
      </c>
    </row>
    <row r="6623" ht="15" customHeight="1" s="37">
      <c r="A6623" t="n">
        <v>18</v>
      </c>
      <c r="B6623" s="10" t="inlineStr">
        <is>
          <t>平日</t>
        </is>
      </c>
      <c r="C6623" s="10" t="inlineStr">
        <is>
          <t>北野線</t>
        </is>
      </c>
      <c r="D6623" s="10" t="inlineStr">
        <is>
          <t>下り</t>
        </is>
      </c>
      <c r="E6623" t="inlineStr">
        <is>
          <t>0953</t>
        </is>
      </c>
      <c r="F6623" t="inlineStr">
        <is>
          <t>0453</t>
        </is>
      </c>
      <c r="G6623" s="10" t="inlineStr">
        <is>
          <t>撮影所前</t>
        </is>
      </c>
      <c r="H6623" s="10" t="inlineStr">
        <is>
          <t>発</t>
        </is>
      </c>
      <c r="J6623" s="10" t="inlineStr">
        <is>
          <t>営業</t>
        </is>
      </c>
      <c r="L6623" t="inlineStr">
        <is>
          <t>9:23:15</t>
        </is>
      </c>
      <c r="M6623" t="inlineStr">
        <is>
          <t>9:23:30</t>
        </is>
      </c>
      <c r="U6623" t="inlineStr">
        <is>
          <t>→帷子ノ辻 休憩(9:24〜10:36)</t>
        </is>
      </c>
    </row>
    <row r="6624" ht="15" customHeight="1" s="37">
      <c r="A6624" t="n">
        <v>18</v>
      </c>
      <c r="B6624" s="10" t="inlineStr">
        <is>
          <t>平日</t>
        </is>
      </c>
      <c r="C6624" s="10" t="inlineStr">
        <is>
          <t>北野線</t>
        </is>
      </c>
      <c r="D6624" s="10" t="inlineStr">
        <is>
          <t>下り</t>
        </is>
      </c>
      <c r="E6624" t="inlineStr">
        <is>
          <t>0953</t>
        </is>
      </c>
      <c r="F6624" t="inlineStr">
        <is>
          <t>0453</t>
        </is>
      </c>
      <c r="G6624" s="10" t="inlineStr">
        <is>
          <t>帷子ノ辻</t>
        </is>
      </c>
      <c r="H6624" s="10" t="inlineStr">
        <is>
          <t>着</t>
        </is>
      </c>
      <c r="J6624" s="10" t="inlineStr">
        <is>
          <t>営業</t>
        </is>
      </c>
      <c r="L6624" t="inlineStr">
        <is>
          <t>9:24:25</t>
        </is>
      </c>
      <c r="Q6624" t="inlineStr">
        <is>
          <t>3</t>
        </is>
      </c>
      <c r="U6624" t="inlineStr">
        <is>
          <t>→帷子ノ辻 休憩(9:24〜10:36)</t>
        </is>
      </c>
    </row>
    <row r="6625" ht="15" customHeight="1" s="37">
      <c r="A6625" t="n">
        <v>18</v>
      </c>
      <c r="B6625" s="10" t="inlineStr">
        <is>
          <t>平日</t>
        </is>
      </c>
      <c r="C6625" s="10" t="inlineStr">
        <is>
          <t>北野線</t>
        </is>
      </c>
      <c r="D6625" s="10" t="inlineStr">
        <is>
          <t>上り</t>
        </is>
      </c>
      <c r="E6625" t="inlineStr">
        <is>
          <t>1058</t>
        </is>
      </c>
      <c r="F6625" t="inlineStr">
        <is>
          <t>0354</t>
        </is>
      </c>
      <c r="G6625" s="10" t="inlineStr">
        <is>
          <t>帷子ノ辻</t>
        </is>
      </c>
      <c r="H6625" s="10" t="inlineStr">
        <is>
          <t>発</t>
        </is>
      </c>
      <c r="J6625" s="10" t="inlineStr">
        <is>
          <t>営業</t>
        </is>
      </c>
      <c r="M6625" t="inlineStr">
        <is>
          <t>10:36:25</t>
        </is>
      </c>
      <c r="Q6625" t="inlineStr">
        <is>
          <t>3</t>
        </is>
      </c>
    </row>
    <row r="6626" ht="15" customHeight="1" s="37">
      <c r="A6626" t="n">
        <v>18</v>
      </c>
      <c r="B6626" s="10" t="inlineStr">
        <is>
          <t>平日</t>
        </is>
      </c>
      <c r="C6626" s="10" t="inlineStr">
        <is>
          <t>北野線</t>
        </is>
      </c>
      <c r="D6626" s="10" t="inlineStr">
        <is>
          <t>上り</t>
        </is>
      </c>
      <c r="E6626" t="inlineStr">
        <is>
          <t>1058</t>
        </is>
      </c>
      <c r="F6626" t="inlineStr">
        <is>
          <t>0354</t>
        </is>
      </c>
      <c r="G6626" s="10" t="inlineStr">
        <is>
          <t>撮影所前</t>
        </is>
      </c>
      <c r="H6626" s="10" t="inlineStr">
        <is>
          <t>発</t>
        </is>
      </c>
      <c r="J6626" s="10" t="inlineStr">
        <is>
          <t>営業</t>
        </is>
      </c>
      <c r="L6626" t="inlineStr">
        <is>
          <t>10:37:25</t>
        </is>
      </c>
      <c r="M6626" t="inlineStr">
        <is>
          <t>10:37:40</t>
        </is>
      </c>
    </row>
    <row r="6627" ht="15" customHeight="1" s="37">
      <c r="A6627" t="n">
        <v>18</v>
      </c>
      <c r="B6627" s="10" t="inlineStr">
        <is>
          <t>平日</t>
        </is>
      </c>
      <c r="C6627" s="10" t="inlineStr">
        <is>
          <t>北野線</t>
        </is>
      </c>
      <c r="D6627" s="10" t="inlineStr">
        <is>
          <t>上り</t>
        </is>
      </c>
      <c r="E6627" t="inlineStr">
        <is>
          <t>1058</t>
        </is>
      </c>
      <c r="F6627" t="inlineStr">
        <is>
          <t>0354</t>
        </is>
      </c>
      <c r="G6627" s="10" t="inlineStr">
        <is>
          <t>常盤</t>
        </is>
      </c>
      <c r="H6627" s="10" t="inlineStr">
        <is>
          <t>発</t>
        </is>
      </c>
      <c r="J6627" s="10" t="inlineStr">
        <is>
          <t>営業</t>
        </is>
      </c>
      <c r="L6627" t="inlineStr">
        <is>
          <t>10:39:00</t>
        </is>
      </c>
      <c r="M6627" t="inlineStr">
        <is>
          <t>10:39:20</t>
        </is>
      </c>
    </row>
    <row r="6628" ht="15" customHeight="1" s="37">
      <c r="A6628" t="n">
        <v>18</v>
      </c>
      <c r="B6628" s="10" t="inlineStr">
        <is>
          <t>平日</t>
        </is>
      </c>
      <c r="C6628" s="10" t="inlineStr">
        <is>
          <t>北野線</t>
        </is>
      </c>
      <c r="D6628" s="10" t="inlineStr">
        <is>
          <t>上り</t>
        </is>
      </c>
      <c r="E6628" t="inlineStr">
        <is>
          <t>1058</t>
        </is>
      </c>
      <c r="F6628" t="inlineStr">
        <is>
          <t>0354</t>
        </is>
      </c>
      <c r="G6628" s="10" t="inlineStr">
        <is>
          <t>鳴滝</t>
        </is>
      </c>
      <c r="H6628" s="10" t="inlineStr">
        <is>
          <t>発</t>
        </is>
      </c>
      <c r="J6628" s="10" t="inlineStr">
        <is>
          <t>営業</t>
        </is>
      </c>
      <c r="L6628" t="inlineStr">
        <is>
          <t>10:40:20</t>
        </is>
      </c>
      <c r="M6628" t="inlineStr">
        <is>
          <t>10:40:40</t>
        </is>
      </c>
    </row>
    <row r="6629" ht="15" customHeight="1" s="37">
      <c r="A6629" t="n">
        <v>18</v>
      </c>
      <c r="B6629" s="10" t="inlineStr">
        <is>
          <t>平日</t>
        </is>
      </c>
      <c r="C6629" s="10" t="inlineStr">
        <is>
          <t>北野線</t>
        </is>
      </c>
      <c r="D6629" s="10" t="inlineStr">
        <is>
          <t>上り</t>
        </is>
      </c>
      <c r="E6629" t="inlineStr">
        <is>
          <t>1058</t>
        </is>
      </c>
      <c r="F6629" t="inlineStr">
        <is>
          <t>0354</t>
        </is>
      </c>
      <c r="G6629" s="10" t="inlineStr">
        <is>
          <t>宇多野</t>
        </is>
      </c>
      <c r="H6629" s="10" t="inlineStr">
        <is>
          <t>発</t>
        </is>
      </c>
      <c r="J6629" s="10" t="inlineStr">
        <is>
          <t>営業</t>
        </is>
      </c>
      <c r="L6629" t="inlineStr">
        <is>
          <t>10:42:00</t>
        </is>
      </c>
      <c r="M6629" t="inlineStr">
        <is>
          <t>10:42:15</t>
        </is>
      </c>
    </row>
    <row r="6630" ht="15" customHeight="1" s="37">
      <c r="A6630" t="n">
        <v>18</v>
      </c>
      <c r="B6630" s="10" t="inlineStr">
        <is>
          <t>平日</t>
        </is>
      </c>
      <c r="C6630" s="10" t="inlineStr">
        <is>
          <t>北野線</t>
        </is>
      </c>
      <c r="D6630" s="10" t="inlineStr">
        <is>
          <t>上り</t>
        </is>
      </c>
      <c r="E6630" t="inlineStr">
        <is>
          <t>1058</t>
        </is>
      </c>
      <c r="F6630" t="inlineStr">
        <is>
          <t>0354</t>
        </is>
      </c>
      <c r="G6630" s="10" t="inlineStr">
        <is>
          <t>御室仁和寺</t>
        </is>
      </c>
      <c r="H6630" s="10" t="inlineStr">
        <is>
          <t>発</t>
        </is>
      </c>
      <c r="J6630" s="10" t="inlineStr">
        <is>
          <t>営業</t>
        </is>
      </c>
      <c r="L6630" t="inlineStr">
        <is>
          <t>10:43:15</t>
        </is>
      </c>
      <c r="M6630" t="inlineStr">
        <is>
          <t>10:43:35</t>
        </is>
      </c>
    </row>
    <row r="6631" ht="15" customHeight="1" s="37">
      <c r="A6631" t="n">
        <v>18</v>
      </c>
      <c r="B6631" s="10" t="inlineStr">
        <is>
          <t>平日</t>
        </is>
      </c>
      <c r="C6631" s="10" t="inlineStr">
        <is>
          <t>北野線</t>
        </is>
      </c>
      <c r="D6631" s="10" t="inlineStr">
        <is>
          <t>上り</t>
        </is>
      </c>
      <c r="E6631" t="inlineStr">
        <is>
          <t>1058</t>
        </is>
      </c>
      <c r="F6631" t="inlineStr">
        <is>
          <t>0354</t>
        </is>
      </c>
      <c r="G6631" s="10" t="inlineStr">
        <is>
          <t>妙心寺</t>
        </is>
      </c>
      <c r="H6631" s="10" t="inlineStr">
        <is>
          <t>発</t>
        </is>
      </c>
      <c r="J6631" s="10" t="inlineStr">
        <is>
          <t>営業</t>
        </is>
      </c>
      <c r="L6631" t="inlineStr">
        <is>
          <t>10:44:35</t>
        </is>
      </c>
      <c r="M6631" t="inlineStr">
        <is>
          <t>10:44:50</t>
        </is>
      </c>
    </row>
    <row r="6632" ht="15" customHeight="1" s="37">
      <c r="A6632" t="n">
        <v>18</v>
      </c>
      <c r="B6632" s="10" t="inlineStr">
        <is>
          <t>平日</t>
        </is>
      </c>
      <c r="C6632" s="10" t="inlineStr">
        <is>
          <t>北野線</t>
        </is>
      </c>
      <c r="D6632" s="10" t="inlineStr">
        <is>
          <t>上り</t>
        </is>
      </c>
      <c r="E6632" t="inlineStr">
        <is>
          <t>1058</t>
        </is>
      </c>
      <c r="F6632" t="inlineStr">
        <is>
          <t>0354</t>
        </is>
      </c>
      <c r="G6632" s="10" t="inlineStr">
        <is>
          <t>龍安寺</t>
        </is>
      </c>
      <c r="H6632" s="10" t="inlineStr">
        <is>
          <t>発</t>
        </is>
      </c>
      <c r="J6632" s="10" t="inlineStr">
        <is>
          <t>営業</t>
        </is>
      </c>
      <c r="L6632" t="inlineStr">
        <is>
          <t>10:45:45</t>
        </is>
      </c>
      <c r="M6632" t="inlineStr">
        <is>
          <t>10:45:55</t>
        </is>
      </c>
    </row>
    <row r="6633" ht="15" customHeight="1" s="37">
      <c r="A6633" t="n">
        <v>18</v>
      </c>
      <c r="B6633" s="10" t="inlineStr">
        <is>
          <t>平日</t>
        </is>
      </c>
      <c r="C6633" s="10" t="inlineStr">
        <is>
          <t>北野線</t>
        </is>
      </c>
      <c r="D6633" s="10" t="inlineStr">
        <is>
          <t>上り</t>
        </is>
      </c>
      <c r="E6633" t="inlineStr">
        <is>
          <t>1058</t>
        </is>
      </c>
      <c r="F6633" t="inlineStr">
        <is>
          <t>0354</t>
        </is>
      </c>
      <c r="G6633" s="10" t="inlineStr">
        <is>
          <t>等持院</t>
        </is>
      </c>
      <c r="H6633" s="10" t="inlineStr">
        <is>
          <t>発</t>
        </is>
      </c>
      <c r="J6633" s="10" t="inlineStr">
        <is>
          <t>営業</t>
        </is>
      </c>
      <c r="L6633" t="inlineStr">
        <is>
          <t>10:46:35</t>
        </is>
      </c>
      <c r="M6633" t="inlineStr">
        <is>
          <t>10:46:55</t>
        </is>
      </c>
    </row>
    <row r="6634" ht="15" customHeight="1" s="37">
      <c r="A6634" t="n">
        <v>18</v>
      </c>
      <c r="B6634" s="10" t="inlineStr">
        <is>
          <t>平日</t>
        </is>
      </c>
      <c r="C6634" s="10" t="inlineStr">
        <is>
          <t>北野線</t>
        </is>
      </c>
      <c r="D6634" s="10" t="inlineStr">
        <is>
          <t>上り</t>
        </is>
      </c>
      <c r="E6634" t="inlineStr">
        <is>
          <t>1058</t>
        </is>
      </c>
      <c r="F6634" t="inlineStr">
        <is>
          <t>0354</t>
        </is>
      </c>
      <c r="G6634" s="10" t="inlineStr">
        <is>
          <t>北野白梅町</t>
        </is>
      </c>
      <c r="H6634" s="10" t="inlineStr">
        <is>
          <t>着</t>
        </is>
      </c>
      <c r="J6634" s="10" t="inlineStr">
        <is>
          <t>営業</t>
        </is>
      </c>
      <c r="L6634" t="inlineStr">
        <is>
          <t>10:48:15</t>
        </is>
      </c>
      <c r="Q6634" t="inlineStr">
        <is>
          <t>1</t>
        </is>
      </c>
    </row>
    <row r="6635" ht="15" customHeight="1" s="37">
      <c r="A6635" t="n">
        <v>18</v>
      </c>
      <c r="B6635" s="10" t="inlineStr">
        <is>
          <t>平日</t>
        </is>
      </c>
      <c r="C6635" s="10" t="inlineStr">
        <is>
          <t>北野線</t>
        </is>
      </c>
      <c r="D6635" s="10" t="inlineStr">
        <is>
          <t>下り</t>
        </is>
      </c>
      <c r="E6635" t="inlineStr">
        <is>
          <t>1061</t>
        </is>
      </c>
      <c r="F6635" t="inlineStr">
        <is>
          <t>0453</t>
        </is>
      </c>
      <c r="G6635" s="10" t="inlineStr">
        <is>
          <t>北野白梅町</t>
        </is>
      </c>
      <c r="H6635" s="10" t="inlineStr">
        <is>
          <t>発</t>
        </is>
      </c>
      <c r="J6635" s="10" t="inlineStr">
        <is>
          <t>営業</t>
        </is>
      </c>
      <c r="M6635" t="inlineStr">
        <is>
          <t>10:53:00</t>
        </is>
      </c>
      <c r="Q6635" t="inlineStr">
        <is>
          <t>1</t>
        </is>
      </c>
    </row>
    <row r="6636" ht="15" customHeight="1" s="37">
      <c r="A6636" t="n">
        <v>18</v>
      </c>
      <c r="B6636" s="10" t="inlineStr">
        <is>
          <t>平日</t>
        </is>
      </c>
      <c r="C6636" s="10" t="inlineStr">
        <is>
          <t>北野線</t>
        </is>
      </c>
      <c r="D6636" s="10" t="inlineStr">
        <is>
          <t>下り</t>
        </is>
      </c>
      <c r="E6636" t="inlineStr">
        <is>
          <t>1061</t>
        </is>
      </c>
      <c r="F6636" t="inlineStr">
        <is>
          <t>0453</t>
        </is>
      </c>
      <c r="G6636" s="10" t="inlineStr">
        <is>
          <t>等持院</t>
        </is>
      </c>
      <c r="H6636" s="10" t="inlineStr">
        <is>
          <t>発</t>
        </is>
      </c>
      <c r="J6636" s="10" t="inlineStr">
        <is>
          <t>営業</t>
        </is>
      </c>
      <c r="L6636" t="inlineStr">
        <is>
          <t>10:54:25</t>
        </is>
      </c>
      <c r="M6636" t="inlineStr">
        <is>
          <t>10:54:35</t>
        </is>
      </c>
    </row>
    <row r="6637" ht="15" customHeight="1" s="37">
      <c r="A6637" t="n">
        <v>18</v>
      </c>
      <c r="B6637" s="10" t="inlineStr">
        <is>
          <t>平日</t>
        </is>
      </c>
      <c r="C6637" s="10" t="inlineStr">
        <is>
          <t>北野線</t>
        </is>
      </c>
      <c r="D6637" s="10" t="inlineStr">
        <is>
          <t>下り</t>
        </is>
      </c>
      <c r="E6637" t="inlineStr">
        <is>
          <t>1061</t>
        </is>
      </c>
      <c r="F6637" t="inlineStr">
        <is>
          <t>0453</t>
        </is>
      </c>
      <c r="G6637" s="10" t="inlineStr">
        <is>
          <t>龍安寺</t>
        </is>
      </c>
      <c r="H6637" s="10" t="inlineStr">
        <is>
          <t>発</t>
        </is>
      </c>
      <c r="J6637" s="10" t="inlineStr">
        <is>
          <t>営業</t>
        </is>
      </c>
      <c r="L6637" t="inlineStr">
        <is>
          <t>10:55:25</t>
        </is>
      </c>
      <c r="M6637" t="inlineStr">
        <is>
          <t>10:55:50</t>
        </is>
      </c>
    </row>
    <row r="6638" ht="15" customHeight="1" s="37">
      <c r="A6638" t="n">
        <v>18</v>
      </c>
      <c r="B6638" s="10" t="inlineStr">
        <is>
          <t>平日</t>
        </is>
      </c>
      <c r="C6638" s="10" t="inlineStr">
        <is>
          <t>北野線</t>
        </is>
      </c>
      <c r="D6638" s="10" t="inlineStr">
        <is>
          <t>下り</t>
        </is>
      </c>
      <c r="E6638" t="inlineStr">
        <is>
          <t>1061</t>
        </is>
      </c>
      <c r="F6638" t="inlineStr">
        <is>
          <t>0453</t>
        </is>
      </c>
      <c r="G6638" s="10" t="inlineStr">
        <is>
          <t>妙心寺</t>
        </is>
      </c>
      <c r="H6638" s="10" t="inlineStr">
        <is>
          <t>発</t>
        </is>
      </c>
      <c r="J6638" s="10" t="inlineStr">
        <is>
          <t>営業</t>
        </is>
      </c>
      <c r="L6638" t="inlineStr">
        <is>
          <t>10:56:40</t>
        </is>
      </c>
      <c r="M6638" t="inlineStr">
        <is>
          <t>10:56:50</t>
        </is>
      </c>
    </row>
    <row r="6639" ht="15" customHeight="1" s="37">
      <c r="A6639" t="n">
        <v>18</v>
      </c>
      <c r="B6639" s="10" t="inlineStr">
        <is>
          <t>平日</t>
        </is>
      </c>
      <c r="C6639" s="10" t="inlineStr">
        <is>
          <t>北野線</t>
        </is>
      </c>
      <c r="D6639" s="10" t="inlineStr">
        <is>
          <t>下り</t>
        </is>
      </c>
      <c r="E6639" t="inlineStr">
        <is>
          <t>1061</t>
        </is>
      </c>
      <c r="F6639" t="inlineStr">
        <is>
          <t>0453</t>
        </is>
      </c>
      <c r="G6639" s="10" t="inlineStr">
        <is>
          <t>御室仁和寺</t>
        </is>
      </c>
      <c r="H6639" s="10" t="inlineStr">
        <is>
          <t>発</t>
        </is>
      </c>
      <c r="J6639" s="10" t="inlineStr">
        <is>
          <t>営業</t>
        </is>
      </c>
      <c r="L6639" t="inlineStr">
        <is>
          <t>10:57:50</t>
        </is>
      </c>
      <c r="M6639" t="inlineStr">
        <is>
          <t>10:58:05</t>
        </is>
      </c>
    </row>
    <row r="6640" ht="15" customHeight="1" s="37">
      <c r="A6640" t="n">
        <v>18</v>
      </c>
      <c r="B6640" s="10" t="inlineStr">
        <is>
          <t>平日</t>
        </is>
      </c>
      <c r="C6640" s="10" t="inlineStr">
        <is>
          <t>北野線</t>
        </is>
      </c>
      <c r="D6640" s="10" t="inlineStr">
        <is>
          <t>下り</t>
        </is>
      </c>
      <c r="E6640" t="inlineStr">
        <is>
          <t>1061</t>
        </is>
      </c>
      <c r="F6640" t="inlineStr">
        <is>
          <t>0453</t>
        </is>
      </c>
      <c r="G6640" s="10" t="inlineStr">
        <is>
          <t>宇多野</t>
        </is>
      </c>
      <c r="H6640" s="10" t="inlineStr">
        <is>
          <t>発</t>
        </is>
      </c>
      <c r="J6640" s="10" t="inlineStr">
        <is>
          <t>営業</t>
        </is>
      </c>
      <c r="L6640" t="inlineStr">
        <is>
          <t>10:59:05</t>
        </is>
      </c>
      <c r="M6640" t="inlineStr">
        <is>
          <t>10:59:15</t>
        </is>
      </c>
    </row>
    <row r="6641" ht="15" customHeight="1" s="37">
      <c r="A6641" t="n">
        <v>18</v>
      </c>
      <c r="B6641" s="10" t="inlineStr">
        <is>
          <t>平日</t>
        </is>
      </c>
      <c r="C6641" s="10" t="inlineStr">
        <is>
          <t>北野線</t>
        </is>
      </c>
      <c r="D6641" s="10" t="inlineStr">
        <is>
          <t>下り</t>
        </is>
      </c>
      <c r="E6641" t="inlineStr">
        <is>
          <t>1061</t>
        </is>
      </c>
      <c r="F6641" t="inlineStr">
        <is>
          <t>0453</t>
        </is>
      </c>
      <c r="G6641" s="10" t="inlineStr">
        <is>
          <t>鳴滝</t>
        </is>
      </c>
      <c r="H6641" s="10" t="inlineStr">
        <is>
          <t>発</t>
        </is>
      </c>
      <c r="J6641" s="10" t="inlineStr">
        <is>
          <t>営業</t>
        </is>
      </c>
      <c r="L6641" t="inlineStr">
        <is>
          <t>11:00:35</t>
        </is>
      </c>
      <c r="M6641" t="inlineStr">
        <is>
          <t>11:00:45</t>
        </is>
      </c>
    </row>
    <row r="6642" ht="15" customHeight="1" s="37">
      <c r="A6642" t="n">
        <v>18</v>
      </c>
      <c r="B6642" s="10" t="inlineStr">
        <is>
          <t>平日</t>
        </is>
      </c>
      <c r="C6642" s="10" t="inlineStr">
        <is>
          <t>北野線</t>
        </is>
      </c>
      <c r="D6642" s="10" t="inlineStr">
        <is>
          <t>下り</t>
        </is>
      </c>
      <c r="E6642" t="inlineStr">
        <is>
          <t>1061</t>
        </is>
      </c>
      <c r="F6642" t="inlineStr">
        <is>
          <t>0453</t>
        </is>
      </c>
      <c r="G6642" s="10" t="inlineStr">
        <is>
          <t>常盤</t>
        </is>
      </c>
      <c r="H6642" s="10" t="inlineStr">
        <is>
          <t>発</t>
        </is>
      </c>
      <c r="J6642" s="10" t="inlineStr">
        <is>
          <t>営業</t>
        </is>
      </c>
      <c r="L6642" t="inlineStr">
        <is>
          <t>11:01:35</t>
        </is>
      </c>
      <c r="M6642" t="inlineStr">
        <is>
          <t>11:01:55</t>
        </is>
      </c>
    </row>
    <row r="6643" ht="15" customHeight="1" s="37">
      <c r="A6643" t="n">
        <v>18</v>
      </c>
      <c r="B6643" s="10" t="inlineStr">
        <is>
          <t>平日</t>
        </is>
      </c>
      <c r="C6643" s="10" t="inlineStr">
        <is>
          <t>北野線</t>
        </is>
      </c>
      <c r="D6643" s="10" t="inlineStr">
        <is>
          <t>下り</t>
        </is>
      </c>
      <c r="E6643" t="inlineStr">
        <is>
          <t>1061</t>
        </is>
      </c>
      <c r="F6643" t="inlineStr">
        <is>
          <t>0453</t>
        </is>
      </c>
      <c r="G6643" s="10" t="inlineStr">
        <is>
          <t>撮影所前</t>
        </is>
      </c>
      <c r="H6643" s="10" t="inlineStr">
        <is>
          <t>発</t>
        </is>
      </c>
      <c r="J6643" s="10" t="inlineStr">
        <is>
          <t>営業</t>
        </is>
      </c>
      <c r="L6643" t="inlineStr">
        <is>
          <t>11:03:15</t>
        </is>
      </c>
      <c r="M6643" t="inlineStr">
        <is>
          <t>11:03:30</t>
        </is>
      </c>
    </row>
    <row r="6644" ht="15" customHeight="1" s="37">
      <c r="A6644" t="n">
        <v>18</v>
      </c>
      <c r="B6644" s="10" t="inlineStr">
        <is>
          <t>平日</t>
        </is>
      </c>
      <c r="C6644" s="10" t="inlineStr">
        <is>
          <t>北野線</t>
        </is>
      </c>
      <c r="D6644" s="10" t="inlineStr">
        <is>
          <t>下り</t>
        </is>
      </c>
      <c r="E6644" t="inlineStr">
        <is>
          <t>1061</t>
        </is>
      </c>
      <c r="F6644" t="inlineStr">
        <is>
          <t>0453</t>
        </is>
      </c>
      <c r="G6644" s="10" t="inlineStr">
        <is>
          <t>帷子ノ辻</t>
        </is>
      </c>
      <c r="H6644" s="10" t="inlineStr">
        <is>
          <t>着</t>
        </is>
      </c>
      <c r="J6644" s="10" t="inlineStr">
        <is>
          <t>営業</t>
        </is>
      </c>
      <c r="L6644" t="inlineStr">
        <is>
          <t>11:04:25</t>
        </is>
      </c>
      <c r="Q6644" t="inlineStr">
        <is>
          <t>3</t>
        </is>
      </c>
    </row>
    <row r="6645" ht="15" customHeight="1" s="37">
      <c r="A6645" t="n">
        <v>18</v>
      </c>
      <c r="B6645" s="10" t="inlineStr">
        <is>
          <t>平日</t>
        </is>
      </c>
      <c r="C6645" s="10" t="inlineStr">
        <is>
          <t>北野線</t>
        </is>
      </c>
      <c r="D6645" s="10" t="inlineStr">
        <is>
          <t>上り</t>
        </is>
      </c>
      <c r="E6645" t="inlineStr">
        <is>
          <t>1154</t>
        </is>
      </c>
      <c r="F6645" t="inlineStr">
        <is>
          <t>0354</t>
        </is>
      </c>
      <c r="G6645" s="10" t="inlineStr">
        <is>
          <t>帷子ノ辻</t>
        </is>
      </c>
      <c r="H6645" s="10" t="inlineStr">
        <is>
          <t>発</t>
        </is>
      </c>
      <c r="J6645" s="10" t="inlineStr">
        <is>
          <t>営業</t>
        </is>
      </c>
      <c r="M6645" t="inlineStr">
        <is>
          <t>11:16:25</t>
        </is>
      </c>
      <c r="Q6645" t="inlineStr">
        <is>
          <t>3</t>
        </is>
      </c>
    </row>
    <row r="6646" ht="15" customHeight="1" s="37">
      <c r="A6646" t="n">
        <v>18</v>
      </c>
      <c r="B6646" s="10" t="inlineStr">
        <is>
          <t>平日</t>
        </is>
      </c>
      <c r="C6646" s="10" t="inlineStr">
        <is>
          <t>北野線</t>
        </is>
      </c>
      <c r="D6646" s="10" t="inlineStr">
        <is>
          <t>上り</t>
        </is>
      </c>
      <c r="E6646" t="inlineStr">
        <is>
          <t>1154</t>
        </is>
      </c>
      <c r="F6646" t="inlineStr">
        <is>
          <t>0354</t>
        </is>
      </c>
      <c r="G6646" s="10" t="inlineStr">
        <is>
          <t>撮影所前</t>
        </is>
      </c>
      <c r="H6646" s="10" t="inlineStr">
        <is>
          <t>発</t>
        </is>
      </c>
      <c r="J6646" s="10" t="inlineStr">
        <is>
          <t>営業</t>
        </is>
      </c>
      <c r="L6646" t="inlineStr">
        <is>
          <t>11:17:25</t>
        </is>
      </c>
      <c r="M6646" t="inlineStr">
        <is>
          <t>11:17:40</t>
        </is>
      </c>
    </row>
    <row r="6647" ht="15" customHeight="1" s="37">
      <c r="A6647" t="n">
        <v>18</v>
      </c>
      <c r="B6647" s="10" t="inlineStr">
        <is>
          <t>平日</t>
        </is>
      </c>
      <c r="C6647" s="10" t="inlineStr">
        <is>
          <t>北野線</t>
        </is>
      </c>
      <c r="D6647" s="10" t="inlineStr">
        <is>
          <t>上り</t>
        </is>
      </c>
      <c r="E6647" t="inlineStr">
        <is>
          <t>1154</t>
        </is>
      </c>
      <c r="F6647" t="inlineStr">
        <is>
          <t>0354</t>
        </is>
      </c>
      <c r="G6647" s="10" t="inlineStr">
        <is>
          <t>常盤</t>
        </is>
      </c>
      <c r="H6647" s="10" t="inlineStr">
        <is>
          <t>発</t>
        </is>
      </c>
      <c r="J6647" s="10" t="inlineStr">
        <is>
          <t>営業</t>
        </is>
      </c>
      <c r="L6647" t="inlineStr">
        <is>
          <t>11:19:00</t>
        </is>
      </c>
      <c r="M6647" t="inlineStr">
        <is>
          <t>11:19:20</t>
        </is>
      </c>
    </row>
    <row r="6648" ht="15" customHeight="1" s="37">
      <c r="A6648" t="n">
        <v>18</v>
      </c>
      <c r="B6648" s="10" t="inlineStr">
        <is>
          <t>平日</t>
        </is>
      </c>
      <c r="C6648" s="10" t="inlineStr">
        <is>
          <t>北野線</t>
        </is>
      </c>
      <c r="D6648" s="10" t="inlineStr">
        <is>
          <t>上り</t>
        </is>
      </c>
      <c r="E6648" t="inlineStr">
        <is>
          <t>1154</t>
        </is>
      </c>
      <c r="F6648" t="inlineStr">
        <is>
          <t>0354</t>
        </is>
      </c>
      <c r="G6648" s="10" t="inlineStr">
        <is>
          <t>鳴滝</t>
        </is>
      </c>
      <c r="H6648" s="10" t="inlineStr">
        <is>
          <t>発</t>
        </is>
      </c>
      <c r="J6648" s="10" t="inlineStr">
        <is>
          <t>営業</t>
        </is>
      </c>
      <c r="L6648" t="inlineStr">
        <is>
          <t>11:20:20</t>
        </is>
      </c>
      <c r="M6648" t="inlineStr">
        <is>
          <t>11:20:40</t>
        </is>
      </c>
    </row>
    <row r="6649" ht="15" customHeight="1" s="37">
      <c r="A6649" t="n">
        <v>18</v>
      </c>
      <c r="B6649" s="10" t="inlineStr">
        <is>
          <t>平日</t>
        </is>
      </c>
      <c r="C6649" s="10" t="inlineStr">
        <is>
          <t>北野線</t>
        </is>
      </c>
      <c r="D6649" s="10" t="inlineStr">
        <is>
          <t>上り</t>
        </is>
      </c>
      <c r="E6649" t="inlineStr">
        <is>
          <t>1154</t>
        </is>
      </c>
      <c r="F6649" t="inlineStr">
        <is>
          <t>0354</t>
        </is>
      </c>
      <c r="G6649" s="10" t="inlineStr">
        <is>
          <t>宇多野</t>
        </is>
      </c>
      <c r="H6649" s="10" t="inlineStr">
        <is>
          <t>発</t>
        </is>
      </c>
      <c r="J6649" s="10" t="inlineStr">
        <is>
          <t>営業</t>
        </is>
      </c>
      <c r="L6649" t="inlineStr">
        <is>
          <t>11:22:00</t>
        </is>
      </c>
      <c r="M6649" t="inlineStr">
        <is>
          <t>11:22:15</t>
        </is>
      </c>
    </row>
    <row r="6650" ht="15" customHeight="1" s="37">
      <c r="A6650" t="n">
        <v>18</v>
      </c>
      <c r="B6650" s="10" t="inlineStr">
        <is>
          <t>平日</t>
        </is>
      </c>
      <c r="C6650" s="10" t="inlineStr">
        <is>
          <t>北野線</t>
        </is>
      </c>
      <c r="D6650" s="10" t="inlineStr">
        <is>
          <t>上り</t>
        </is>
      </c>
      <c r="E6650" t="inlineStr">
        <is>
          <t>1154</t>
        </is>
      </c>
      <c r="F6650" t="inlineStr">
        <is>
          <t>0354</t>
        </is>
      </c>
      <c r="G6650" s="10" t="inlineStr">
        <is>
          <t>御室仁和寺</t>
        </is>
      </c>
      <c r="H6650" s="10" t="inlineStr">
        <is>
          <t>発</t>
        </is>
      </c>
      <c r="J6650" s="10" t="inlineStr">
        <is>
          <t>営業</t>
        </is>
      </c>
      <c r="L6650" t="inlineStr">
        <is>
          <t>11:23:15</t>
        </is>
      </c>
      <c r="M6650" t="inlineStr">
        <is>
          <t>11:23:35</t>
        </is>
      </c>
    </row>
    <row r="6651" ht="15" customHeight="1" s="37">
      <c r="A6651" t="n">
        <v>18</v>
      </c>
      <c r="B6651" s="10" t="inlineStr">
        <is>
          <t>平日</t>
        </is>
      </c>
      <c r="C6651" s="10" t="inlineStr">
        <is>
          <t>北野線</t>
        </is>
      </c>
      <c r="D6651" s="10" t="inlineStr">
        <is>
          <t>上り</t>
        </is>
      </c>
      <c r="E6651" t="inlineStr">
        <is>
          <t>1154</t>
        </is>
      </c>
      <c r="F6651" t="inlineStr">
        <is>
          <t>0354</t>
        </is>
      </c>
      <c r="G6651" s="10" t="inlineStr">
        <is>
          <t>妙心寺</t>
        </is>
      </c>
      <c r="H6651" s="10" t="inlineStr">
        <is>
          <t>発</t>
        </is>
      </c>
      <c r="J6651" s="10" t="inlineStr">
        <is>
          <t>営業</t>
        </is>
      </c>
      <c r="L6651" t="inlineStr">
        <is>
          <t>11:24:35</t>
        </is>
      </c>
      <c r="M6651" t="inlineStr">
        <is>
          <t>11:24:50</t>
        </is>
      </c>
    </row>
    <row r="6652" ht="15" customHeight="1" s="37">
      <c r="A6652" t="n">
        <v>18</v>
      </c>
      <c r="B6652" s="10" t="inlineStr">
        <is>
          <t>平日</t>
        </is>
      </c>
      <c r="C6652" s="10" t="inlineStr">
        <is>
          <t>北野線</t>
        </is>
      </c>
      <c r="D6652" s="10" t="inlineStr">
        <is>
          <t>上り</t>
        </is>
      </c>
      <c r="E6652" t="inlineStr">
        <is>
          <t>1154</t>
        </is>
      </c>
      <c r="F6652" t="inlineStr">
        <is>
          <t>0354</t>
        </is>
      </c>
      <c r="G6652" s="10" t="inlineStr">
        <is>
          <t>龍安寺</t>
        </is>
      </c>
      <c r="H6652" s="10" t="inlineStr">
        <is>
          <t>発</t>
        </is>
      </c>
      <c r="J6652" s="10" t="inlineStr">
        <is>
          <t>営業</t>
        </is>
      </c>
      <c r="L6652" t="inlineStr">
        <is>
          <t>11:25:45</t>
        </is>
      </c>
      <c r="M6652" t="inlineStr">
        <is>
          <t>11:25:55</t>
        </is>
      </c>
    </row>
    <row r="6653" ht="15" customHeight="1" s="37">
      <c r="A6653" t="n">
        <v>18</v>
      </c>
      <c r="B6653" s="10" t="inlineStr">
        <is>
          <t>平日</t>
        </is>
      </c>
      <c r="C6653" s="10" t="inlineStr">
        <is>
          <t>北野線</t>
        </is>
      </c>
      <c r="D6653" s="10" t="inlineStr">
        <is>
          <t>上り</t>
        </is>
      </c>
      <c r="E6653" t="inlineStr">
        <is>
          <t>1154</t>
        </is>
      </c>
      <c r="F6653" t="inlineStr">
        <is>
          <t>0354</t>
        </is>
      </c>
      <c r="G6653" s="10" t="inlineStr">
        <is>
          <t>等持院</t>
        </is>
      </c>
      <c r="H6653" s="10" t="inlineStr">
        <is>
          <t>発</t>
        </is>
      </c>
      <c r="J6653" s="10" t="inlineStr">
        <is>
          <t>営業</t>
        </is>
      </c>
      <c r="L6653" t="inlineStr">
        <is>
          <t>11:26:35</t>
        </is>
      </c>
      <c r="M6653" t="inlineStr">
        <is>
          <t>11:26:55</t>
        </is>
      </c>
    </row>
    <row r="6654" ht="15" customHeight="1" s="37">
      <c r="A6654" t="n">
        <v>18</v>
      </c>
      <c r="B6654" s="10" t="inlineStr">
        <is>
          <t>平日</t>
        </is>
      </c>
      <c r="C6654" s="10" t="inlineStr">
        <is>
          <t>北野線</t>
        </is>
      </c>
      <c r="D6654" s="10" t="inlineStr">
        <is>
          <t>上り</t>
        </is>
      </c>
      <c r="E6654" t="inlineStr">
        <is>
          <t>1154</t>
        </is>
      </c>
      <c r="F6654" t="inlineStr">
        <is>
          <t>0354</t>
        </is>
      </c>
      <c r="G6654" s="10" t="inlineStr">
        <is>
          <t>北野白梅町</t>
        </is>
      </c>
      <c r="H6654" s="10" t="inlineStr">
        <is>
          <t>着</t>
        </is>
      </c>
      <c r="J6654" s="10" t="inlineStr">
        <is>
          <t>営業</t>
        </is>
      </c>
      <c r="L6654" t="inlineStr">
        <is>
          <t>11:28:15</t>
        </is>
      </c>
      <c r="Q6654" t="inlineStr">
        <is>
          <t>1</t>
        </is>
      </c>
    </row>
    <row r="6655" ht="15" customHeight="1" s="37">
      <c r="A6655" t="n">
        <v>18</v>
      </c>
      <c r="B6655" s="10" t="inlineStr">
        <is>
          <t>平日</t>
        </is>
      </c>
      <c r="C6655" s="10" t="inlineStr">
        <is>
          <t>北野線</t>
        </is>
      </c>
      <c r="D6655" s="10" t="inlineStr">
        <is>
          <t>下り</t>
        </is>
      </c>
      <c r="E6655" t="inlineStr">
        <is>
          <t>1157</t>
        </is>
      </c>
      <c r="F6655" t="inlineStr">
        <is>
          <t>0453</t>
        </is>
      </c>
      <c r="G6655" s="10" t="inlineStr">
        <is>
          <t>北野白梅町</t>
        </is>
      </c>
      <c r="H6655" s="10" t="inlineStr">
        <is>
          <t>発</t>
        </is>
      </c>
      <c r="J6655" s="10" t="inlineStr">
        <is>
          <t>営業</t>
        </is>
      </c>
      <c r="M6655" t="inlineStr">
        <is>
          <t>11:33:00</t>
        </is>
      </c>
      <c r="Q6655" t="inlineStr">
        <is>
          <t>1</t>
        </is>
      </c>
    </row>
    <row r="6656" ht="15" customHeight="1" s="37">
      <c r="A6656" t="n">
        <v>18</v>
      </c>
      <c r="B6656" s="10" t="inlineStr">
        <is>
          <t>平日</t>
        </is>
      </c>
      <c r="C6656" s="10" t="inlineStr">
        <is>
          <t>北野線</t>
        </is>
      </c>
      <c r="D6656" s="10" t="inlineStr">
        <is>
          <t>下り</t>
        </is>
      </c>
      <c r="E6656" t="inlineStr">
        <is>
          <t>1157</t>
        </is>
      </c>
      <c r="F6656" t="inlineStr">
        <is>
          <t>0453</t>
        </is>
      </c>
      <c r="G6656" s="10" t="inlineStr">
        <is>
          <t>等持院</t>
        </is>
      </c>
      <c r="H6656" s="10" t="inlineStr">
        <is>
          <t>発</t>
        </is>
      </c>
      <c r="J6656" s="10" t="inlineStr">
        <is>
          <t>営業</t>
        </is>
      </c>
      <c r="L6656" t="inlineStr">
        <is>
          <t>11:34:25</t>
        </is>
      </c>
      <c r="M6656" t="inlineStr">
        <is>
          <t>11:34:35</t>
        </is>
      </c>
    </row>
    <row r="6657" ht="15" customHeight="1" s="37">
      <c r="A6657" t="n">
        <v>18</v>
      </c>
      <c r="B6657" s="10" t="inlineStr">
        <is>
          <t>平日</t>
        </is>
      </c>
      <c r="C6657" s="10" t="inlineStr">
        <is>
          <t>北野線</t>
        </is>
      </c>
      <c r="D6657" s="10" t="inlineStr">
        <is>
          <t>下り</t>
        </is>
      </c>
      <c r="E6657" t="inlineStr">
        <is>
          <t>1157</t>
        </is>
      </c>
      <c r="F6657" t="inlineStr">
        <is>
          <t>0453</t>
        </is>
      </c>
      <c r="G6657" s="10" t="inlineStr">
        <is>
          <t>龍安寺</t>
        </is>
      </c>
      <c r="H6657" s="10" t="inlineStr">
        <is>
          <t>発</t>
        </is>
      </c>
      <c r="J6657" s="10" t="inlineStr">
        <is>
          <t>営業</t>
        </is>
      </c>
      <c r="L6657" t="inlineStr">
        <is>
          <t>11:35:25</t>
        </is>
      </c>
      <c r="M6657" t="inlineStr">
        <is>
          <t>11:35:50</t>
        </is>
      </c>
    </row>
    <row r="6658" ht="15" customHeight="1" s="37">
      <c r="A6658" t="n">
        <v>18</v>
      </c>
      <c r="B6658" s="10" t="inlineStr">
        <is>
          <t>平日</t>
        </is>
      </c>
      <c r="C6658" s="10" t="inlineStr">
        <is>
          <t>北野線</t>
        </is>
      </c>
      <c r="D6658" s="10" t="inlineStr">
        <is>
          <t>下り</t>
        </is>
      </c>
      <c r="E6658" t="inlineStr">
        <is>
          <t>1157</t>
        </is>
      </c>
      <c r="F6658" t="inlineStr">
        <is>
          <t>0453</t>
        </is>
      </c>
      <c r="G6658" s="10" t="inlineStr">
        <is>
          <t>妙心寺</t>
        </is>
      </c>
      <c r="H6658" s="10" t="inlineStr">
        <is>
          <t>発</t>
        </is>
      </c>
      <c r="J6658" s="10" t="inlineStr">
        <is>
          <t>営業</t>
        </is>
      </c>
      <c r="L6658" t="inlineStr">
        <is>
          <t>11:36:40</t>
        </is>
      </c>
      <c r="M6658" t="inlineStr">
        <is>
          <t>11:36:50</t>
        </is>
      </c>
    </row>
    <row r="6659" ht="15" customHeight="1" s="37">
      <c r="A6659" t="n">
        <v>18</v>
      </c>
      <c r="B6659" s="10" t="inlineStr">
        <is>
          <t>平日</t>
        </is>
      </c>
      <c r="C6659" s="10" t="inlineStr">
        <is>
          <t>北野線</t>
        </is>
      </c>
      <c r="D6659" s="10" t="inlineStr">
        <is>
          <t>下り</t>
        </is>
      </c>
      <c r="E6659" t="inlineStr">
        <is>
          <t>1157</t>
        </is>
      </c>
      <c r="F6659" t="inlineStr">
        <is>
          <t>0453</t>
        </is>
      </c>
      <c r="G6659" s="10" t="inlineStr">
        <is>
          <t>御室仁和寺</t>
        </is>
      </c>
      <c r="H6659" s="10" t="inlineStr">
        <is>
          <t>発</t>
        </is>
      </c>
      <c r="J6659" s="10" t="inlineStr">
        <is>
          <t>営業</t>
        </is>
      </c>
      <c r="L6659" t="inlineStr">
        <is>
          <t>11:37:50</t>
        </is>
      </c>
      <c r="M6659" t="inlineStr">
        <is>
          <t>11:38:05</t>
        </is>
      </c>
    </row>
    <row r="6660" ht="15" customHeight="1" s="37">
      <c r="A6660" t="n">
        <v>18</v>
      </c>
      <c r="B6660" s="10" t="inlineStr">
        <is>
          <t>平日</t>
        </is>
      </c>
      <c r="C6660" s="10" t="inlineStr">
        <is>
          <t>北野線</t>
        </is>
      </c>
      <c r="D6660" s="10" t="inlineStr">
        <is>
          <t>下り</t>
        </is>
      </c>
      <c r="E6660" t="inlineStr">
        <is>
          <t>1157</t>
        </is>
      </c>
      <c r="F6660" t="inlineStr">
        <is>
          <t>0453</t>
        </is>
      </c>
      <c r="G6660" s="10" t="inlineStr">
        <is>
          <t>宇多野</t>
        </is>
      </c>
      <c r="H6660" s="10" t="inlineStr">
        <is>
          <t>発</t>
        </is>
      </c>
      <c r="J6660" s="10" t="inlineStr">
        <is>
          <t>営業</t>
        </is>
      </c>
      <c r="L6660" t="inlineStr">
        <is>
          <t>11:39:05</t>
        </is>
      </c>
      <c r="M6660" t="inlineStr">
        <is>
          <t>11:39:15</t>
        </is>
      </c>
    </row>
    <row r="6661" ht="15" customHeight="1" s="37">
      <c r="A6661" t="n">
        <v>18</v>
      </c>
      <c r="B6661" s="10" t="inlineStr">
        <is>
          <t>平日</t>
        </is>
      </c>
      <c r="C6661" s="10" t="inlineStr">
        <is>
          <t>北野線</t>
        </is>
      </c>
      <c r="D6661" s="10" t="inlineStr">
        <is>
          <t>下り</t>
        </is>
      </c>
      <c r="E6661" t="inlineStr">
        <is>
          <t>1157</t>
        </is>
      </c>
      <c r="F6661" t="inlineStr">
        <is>
          <t>0453</t>
        </is>
      </c>
      <c r="G6661" s="10" t="inlineStr">
        <is>
          <t>鳴滝</t>
        </is>
      </c>
      <c r="H6661" s="10" t="inlineStr">
        <is>
          <t>発</t>
        </is>
      </c>
      <c r="J6661" s="10" t="inlineStr">
        <is>
          <t>営業</t>
        </is>
      </c>
      <c r="L6661" t="inlineStr">
        <is>
          <t>11:40:35</t>
        </is>
      </c>
      <c r="M6661" t="inlineStr">
        <is>
          <t>11:40:45</t>
        </is>
      </c>
    </row>
    <row r="6662" ht="15" customHeight="1" s="37">
      <c r="A6662" t="n">
        <v>18</v>
      </c>
      <c r="B6662" s="10" t="inlineStr">
        <is>
          <t>平日</t>
        </is>
      </c>
      <c r="C6662" s="10" t="inlineStr">
        <is>
          <t>北野線</t>
        </is>
      </c>
      <c r="D6662" s="10" t="inlineStr">
        <is>
          <t>下り</t>
        </is>
      </c>
      <c r="E6662" t="inlineStr">
        <is>
          <t>1157</t>
        </is>
      </c>
      <c r="F6662" t="inlineStr">
        <is>
          <t>0453</t>
        </is>
      </c>
      <c r="G6662" s="10" t="inlineStr">
        <is>
          <t>常盤</t>
        </is>
      </c>
      <c r="H6662" s="10" t="inlineStr">
        <is>
          <t>発</t>
        </is>
      </c>
      <c r="J6662" s="10" t="inlineStr">
        <is>
          <t>営業</t>
        </is>
      </c>
      <c r="L6662" t="inlineStr">
        <is>
          <t>11:41:35</t>
        </is>
      </c>
      <c r="M6662" t="inlineStr">
        <is>
          <t>11:41:55</t>
        </is>
      </c>
    </row>
    <row r="6663" ht="15" customHeight="1" s="37">
      <c r="A6663" t="n">
        <v>18</v>
      </c>
      <c r="B6663" s="10" t="inlineStr">
        <is>
          <t>平日</t>
        </is>
      </c>
      <c r="C6663" s="10" t="inlineStr">
        <is>
          <t>北野線</t>
        </is>
      </c>
      <c r="D6663" s="10" t="inlineStr">
        <is>
          <t>下り</t>
        </is>
      </c>
      <c r="E6663" t="inlineStr">
        <is>
          <t>1157</t>
        </is>
      </c>
      <c r="F6663" t="inlineStr">
        <is>
          <t>0453</t>
        </is>
      </c>
      <c r="G6663" s="10" t="inlineStr">
        <is>
          <t>撮影所前</t>
        </is>
      </c>
      <c r="H6663" s="10" t="inlineStr">
        <is>
          <t>発</t>
        </is>
      </c>
      <c r="J6663" s="10" t="inlineStr">
        <is>
          <t>営業</t>
        </is>
      </c>
      <c r="L6663" t="inlineStr">
        <is>
          <t>11:43:15</t>
        </is>
      </c>
      <c r="M6663" t="inlineStr">
        <is>
          <t>11:43:30</t>
        </is>
      </c>
    </row>
    <row r="6664" ht="15" customHeight="1" s="37">
      <c r="A6664" t="n">
        <v>18</v>
      </c>
      <c r="B6664" s="10" t="inlineStr">
        <is>
          <t>平日</t>
        </is>
      </c>
      <c r="C6664" s="10" t="inlineStr">
        <is>
          <t>北野線</t>
        </is>
      </c>
      <c r="D6664" s="10" t="inlineStr">
        <is>
          <t>下り</t>
        </is>
      </c>
      <c r="E6664" t="inlineStr">
        <is>
          <t>1157</t>
        </is>
      </c>
      <c r="F6664" t="inlineStr">
        <is>
          <t>0453</t>
        </is>
      </c>
      <c r="G6664" s="10" t="inlineStr">
        <is>
          <t>帷子ノ辻</t>
        </is>
      </c>
      <c r="H6664" s="10" t="inlineStr">
        <is>
          <t>着</t>
        </is>
      </c>
      <c r="J6664" s="10" t="inlineStr">
        <is>
          <t>営業</t>
        </is>
      </c>
      <c r="L6664" t="inlineStr">
        <is>
          <t>11:44:25</t>
        </is>
      </c>
      <c r="Q6664" t="inlineStr">
        <is>
          <t>3</t>
        </is>
      </c>
    </row>
    <row r="6665" ht="15" customHeight="1" s="37">
      <c r="A6665" t="n">
        <v>18</v>
      </c>
      <c r="B6665" s="10" t="inlineStr">
        <is>
          <t>平日</t>
        </is>
      </c>
      <c r="C6665" s="10" t="inlineStr">
        <is>
          <t>北野線</t>
        </is>
      </c>
      <c r="D6665" s="10" t="inlineStr">
        <is>
          <t>上り</t>
        </is>
      </c>
      <c r="E6665" t="inlineStr">
        <is>
          <t>1162</t>
        </is>
      </c>
      <c r="F6665" t="inlineStr">
        <is>
          <t>0354</t>
        </is>
      </c>
      <c r="G6665" s="10" t="inlineStr">
        <is>
          <t>帷子ノ辻</t>
        </is>
      </c>
      <c r="H6665" s="10" t="inlineStr">
        <is>
          <t>発</t>
        </is>
      </c>
      <c r="J6665" s="10" t="inlineStr">
        <is>
          <t>営業</t>
        </is>
      </c>
      <c r="M6665" t="inlineStr">
        <is>
          <t>11:56:25</t>
        </is>
      </c>
      <c r="Q6665" t="inlineStr">
        <is>
          <t>3</t>
        </is>
      </c>
    </row>
    <row r="6666" ht="15" customHeight="1" s="37">
      <c r="A6666" t="n">
        <v>18</v>
      </c>
      <c r="B6666" s="10" t="inlineStr">
        <is>
          <t>平日</t>
        </is>
      </c>
      <c r="C6666" s="10" t="inlineStr">
        <is>
          <t>北野線</t>
        </is>
      </c>
      <c r="D6666" s="10" t="inlineStr">
        <is>
          <t>上り</t>
        </is>
      </c>
      <c r="E6666" t="inlineStr">
        <is>
          <t>1162</t>
        </is>
      </c>
      <c r="F6666" t="inlineStr">
        <is>
          <t>0354</t>
        </is>
      </c>
      <c r="G6666" s="10" t="inlineStr">
        <is>
          <t>撮影所前</t>
        </is>
      </c>
      <c r="H6666" s="10" t="inlineStr">
        <is>
          <t>発</t>
        </is>
      </c>
      <c r="J6666" s="10" t="inlineStr">
        <is>
          <t>営業</t>
        </is>
      </c>
      <c r="L6666" t="inlineStr">
        <is>
          <t>11:57:25</t>
        </is>
      </c>
      <c r="M6666" t="inlineStr">
        <is>
          <t>11:57:40</t>
        </is>
      </c>
    </row>
    <row r="6667" ht="15" customHeight="1" s="37">
      <c r="A6667" t="n">
        <v>18</v>
      </c>
      <c r="B6667" s="10" t="inlineStr">
        <is>
          <t>平日</t>
        </is>
      </c>
      <c r="C6667" s="10" t="inlineStr">
        <is>
          <t>北野線</t>
        </is>
      </c>
      <c r="D6667" s="10" t="inlineStr">
        <is>
          <t>上り</t>
        </is>
      </c>
      <c r="E6667" t="inlineStr">
        <is>
          <t>1162</t>
        </is>
      </c>
      <c r="F6667" t="inlineStr">
        <is>
          <t>0354</t>
        </is>
      </c>
      <c r="G6667" s="10" t="inlineStr">
        <is>
          <t>常盤</t>
        </is>
      </c>
      <c r="H6667" s="10" t="inlineStr">
        <is>
          <t>発</t>
        </is>
      </c>
      <c r="J6667" s="10" t="inlineStr">
        <is>
          <t>営業</t>
        </is>
      </c>
      <c r="L6667" t="inlineStr">
        <is>
          <t>11:59:00</t>
        </is>
      </c>
      <c r="M6667" t="inlineStr">
        <is>
          <t>11:59:20</t>
        </is>
      </c>
    </row>
    <row r="6668" ht="15" customHeight="1" s="37">
      <c r="A6668" t="n">
        <v>18</v>
      </c>
      <c r="B6668" s="10" t="inlineStr">
        <is>
          <t>平日</t>
        </is>
      </c>
      <c r="C6668" s="10" t="inlineStr">
        <is>
          <t>北野線</t>
        </is>
      </c>
      <c r="D6668" s="10" t="inlineStr">
        <is>
          <t>上り</t>
        </is>
      </c>
      <c r="E6668" t="inlineStr">
        <is>
          <t>1162</t>
        </is>
      </c>
      <c r="F6668" t="inlineStr">
        <is>
          <t>0354</t>
        </is>
      </c>
      <c r="G6668" s="10" t="inlineStr">
        <is>
          <t>鳴滝</t>
        </is>
      </c>
      <c r="H6668" s="10" t="inlineStr">
        <is>
          <t>発</t>
        </is>
      </c>
      <c r="J6668" s="10" t="inlineStr">
        <is>
          <t>営業</t>
        </is>
      </c>
      <c r="L6668" t="inlineStr">
        <is>
          <t>12:00:20</t>
        </is>
      </c>
      <c r="M6668" t="inlineStr">
        <is>
          <t>12:00:40</t>
        </is>
      </c>
    </row>
    <row r="6669" ht="15" customHeight="1" s="37">
      <c r="A6669" t="n">
        <v>18</v>
      </c>
      <c r="B6669" s="10" t="inlineStr">
        <is>
          <t>平日</t>
        </is>
      </c>
      <c r="C6669" s="10" t="inlineStr">
        <is>
          <t>北野線</t>
        </is>
      </c>
      <c r="D6669" s="10" t="inlineStr">
        <is>
          <t>上り</t>
        </is>
      </c>
      <c r="E6669" t="inlineStr">
        <is>
          <t>1162</t>
        </is>
      </c>
      <c r="F6669" t="inlineStr">
        <is>
          <t>0354</t>
        </is>
      </c>
      <c r="G6669" s="10" t="inlineStr">
        <is>
          <t>宇多野</t>
        </is>
      </c>
      <c r="H6669" s="10" t="inlineStr">
        <is>
          <t>発</t>
        </is>
      </c>
      <c r="J6669" s="10" t="inlineStr">
        <is>
          <t>営業</t>
        </is>
      </c>
      <c r="L6669" t="inlineStr">
        <is>
          <t>12:02:00</t>
        </is>
      </c>
      <c r="M6669" t="inlineStr">
        <is>
          <t>12:02:15</t>
        </is>
      </c>
    </row>
    <row r="6670" ht="15" customHeight="1" s="37">
      <c r="A6670" t="n">
        <v>18</v>
      </c>
      <c r="B6670" s="10" t="inlineStr">
        <is>
          <t>平日</t>
        </is>
      </c>
      <c r="C6670" s="10" t="inlineStr">
        <is>
          <t>北野線</t>
        </is>
      </c>
      <c r="D6670" s="10" t="inlineStr">
        <is>
          <t>上り</t>
        </is>
      </c>
      <c r="E6670" t="inlineStr">
        <is>
          <t>1162</t>
        </is>
      </c>
      <c r="F6670" t="inlineStr">
        <is>
          <t>0354</t>
        </is>
      </c>
      <c r="G6670" s="10" t="inlineStr">
        <is>
          <t>御室仁和寺</t>
        </is>
      </c>
      <c r="H6670" s="10" t="inlineStr">
        <is>
          <t>発</t>
        </is>
      </c>
      <c r="J6670" s="10" t="inlineStr">
        <is>
          <t>営業</t>
        </is>
      </c>
      <c r="L6670" t="inlineStr">
        <is>
          <t>12:03:15</t>
        </is>
      </c>
      <c r="M6670" t="inlineStr">
        <is>
          <t>12:03:35</t>
        </is>
      </c>
    </row>
    <row r="6671" ht="15" customHeight="1" s="37">
      <c r="A6671" t="n">
        <v>18</v>
      </c>
      <c r="B6671" s="10" t="inlineStr">
        <is>
          <t>平日</t>
        </is>
      </c>
      <c r="C6671" s="10" t="inlineStr">
        <is>
          <t>北野線</t>
        </is>
      </c>
      <c r="D6671" s="10" t="inlineStr">
        <is>
          <t>上り</t>
        </is>
      </c>
      <c r="E6671" t="inlineStr">
        <is>
          <t>1162</t>
        </is>
      </c>
      <c r="F6671" t="inlineStr">
        <is>
          <t>0354</t>
        </is>
      </c>
      <c r="G6671" s="10" t="inlineStr">
        <is>
          <t>妙心寺</t>
        </is>
      </c>
      <c r="H6671" s="10" t="inlineStr">
        <is>
          <t>発</t>
        </is>
      </c>
      <c r="J6671" s="10" t="inlineStr">
        <is>
          <t>営業</t>
        </is>
      </c>
      <c r="L6671" t="inlineStr">
        <is>
          <t>12:04:35</t>
        </is>
      </c>
      <c r="M6671" t="inlineStr">
        <is>
          <t>12:04:50</t>
        </is>
      </c>
    </row>
    <row r="6672" ht="15" customHeight="1" s="37">
      <c r="A6672" t="n">
        <v>18</v>
      </c>
      <c r="B6672" s="10" t="inlineStr">
        <is>
          <t>平日</t>
        </is>
      </c>
      <c r="C6672" s="10" t="inlineStr">
        <is>
          <t>北野線</t>
        </is>
      </c>
      <c r="D6672" s="10" t="inlineStr">
        <is>
          <t>上り</t>
        </is>
      </c>
      <c r="E6672" t="inlineStr">
        <is>
          <t>1162</t>
        </is>
      </c>
      <c r="F6672" t="inlineStr">
        <is>
          <t>0354</t>
        </is>
      </c>
      <c r="G6672" s="10" t="inlineStr">
        <is>
          <t>龍安寺</t>
        </is>
      </c>
      <c r="H6672" s="10" t="inlineStr">
        <is>
          <t>発</t>
        </is>
      </c>
      <c r="J6672" s="10" t="inlineStr">
        <is>
          <t>営業</t>
        </is>
      </c>
      <c r="L6672" t="inlineStr">
        <is>
          <t>12:05:45</t>
        </is>
      </c>
      <c r="M6672" t="inlineStr">
        <is>
          <t>12:05:55</t>
        </is>
      </c>
    </row>
    <row r="6673" ht="15" customHeight="1" s="37">
      <c r="A6673" t="n">
        <v>18</v>
      </c>
      <c r="B6673" s="10" t="inlineStr">
        <is>
          <t>平日</t>
        </is>
      </c>
      <c r="C6673" s="10" t="inlineStr">
        <is>
          <t>北野線</t>
        </is>
      </c>
      <c r="D6673" s="10" t="inlineStr">
        <is>
          <t>上り</t>
        </is>
      </c>
      <c r="E6673" t="inlineStr">
        <is>
          <t>1162</t>
        </is>
      </c>
      <c r="F6673" t="inlineStr">
        <is>
          <t>0354</t>
        </is>
      </c>
      <c r="G6673" s="10" t="inlineStr">
        <is>
          <t>等持院</t>
        </is>
      </c>
      <c r="H6673" s="10" t="inlineStr">
        <is>
          <t>発</t>
        </is>
      </c>
      <c r="J6673" s="10" t="inlineStr">
        <is>
          <t>営業</t>
        </is>
      </c>
      <c r="L6673" t="inlineStr">
        <is>
          <t>12:06:35</t>
        </is>
      </c>
      <c r="M6673" t="inlineStr">
        <is>
          <t>12:06:55</t>
        </is>
      </c>
    </row>
    <row r="6674" ht="15" customHeight="1" s="37">
      <c r="A6674" t="n">
        <v>18</v>
      </c>
      <c r="B6674" s="10" t="inlineStr">
        <is>
          <t>平日</t>
        </is>
      </c>
      <c r="C6674" s="10" t="inlineStr">
        <is>
          <t>北野線</t>
        </is>
      </c>
      <c r="D6674" s="10" t="inlineStr">
        <is>
          <t>上り</t>
        </is>
      </c>
      <c r="E6674" t="inlineStr">
        <is>
          <t>1162</t>
        </is>
      </c>
      <c r="F6674" t="inlineStr">
        <is>
          <t>0354</t>
        </is>
      </c>
      <c r="G6674" s="10" t="inlineStr">
        <is>
          <t>北野白梅町</t>
        </is>
      </c>
      <c r="H6674" s="10" t="inlineStr">
        <is>
          <t>着</t>
        </is>
      </c>
      <c r="J6674" s="10" t="inlineStr">
        <is>
          <t>営業</t>
        </is>
      </c>
      <c r="L6674" t="inlineStr">
        <is>
          <t>12:08:15</t>
        </is>
      </c>
      <c r="Q6674" t="inlineStr">
        <is>
          <t>1</t>
        </is>
      </c>
    </row>
    <row r="6675" ht="15" customHeight="1" s="37">
      <c r="A6675" t="n">
        <v>18</v>
      </c>
      <c r="B6675" s="10" t="inlineStr">
        <is>
          <t>平日</t>
        </is>
      </c>
      <c r="C6675" s="10" t="inlineStr">
        <is>
          <t>北野線</t>
        </is>
      </c>
      <c r="D6675" s="10" t="inlineStr">
        <is>
          <t>下り</t>
        </is>
      </c>
      <c r="E6675" t="inlineStr">
        <is>
          <t>1253</t>
        </is>
      </c>
      <c r="F6675" t="inlineStr">
        <is>
          <t>0453</t>
        </is>
      </c>
      <c r="G6675" s="10" t="inlineStr">
        <is>
          <t>北野白梅町</t>
        </is>
      </c>
      <c r="H6675" s="10" t="inlineStr">
        <is>
          <t>発</t>
        </is>
      </c>
      <c r="J6675" s="10" t="inlineStr">
        <is>
          <t>営業</t>
        </is>
      </c>
      <c r="M6675" t="inlineStr">
        <is>
          <t>12:13:00</t>
        </is>
      </c>
      <c r="Q6675" t="inlineStr">
        <is>
          <t>1</t>
        </is>
      </c>
    </row>
    <row r="6676" ht="15" customHeight="1" s="37">
      <c r="A6676" t="n">
        <v>18</v>
      </c>
      <c r="B6676" s="10" t="inlineStr">
        <is>
          <t>平日</t>
        </is>
      </c>
      <c r="C6676" s="10" t="inlineStr">
        <is>
          <t>北野線</t>
        </is>
      </c>
      <c r="D6676" s="10" t="inlineStr">
        <is>
          <t>下り</t>
        </is>
      </c>
      <c r="E6676" t="inlineStr">
        <is>
          <t>1253</t>
        </is>
      </c>
      <c r="F6676" t="inlineStr">
        <is>
          <t>0453</t>
        </is>
      </c>
      <c r="G6676" s="10" t="inlineStr">
        <is>
          <t>等持院</t>
        </is>
      </c>
      <c r="H6676" s="10" t="inlineStr">
        <is>
          <t>発</t>
        </is>
      </c>
      <c r="J6676" s="10" t="inlineStr">
        <is>
          <t>営業</t>
        </is>
      </c>
      <c r="L6676" t="inlineStr">
        <is>
          <t>12:14:25</t>
        </is>
      </c>
      <c r="M6676" t="inlineStr">
        <is>
          <t>12:14:35</t>
        </is>
      </c>
    </row>
    <row r="6677" ht="15" customHeight="1" s="37">
      <c r="A6677" t="n">
        <v>18</v>
      </c>
      <c r="B6677" s="10" t="inlineStr">
        <is>
          <t>平日</t>
        </is>
      </c>
      <c r="C6677" s="10" t="inlineStr">
        <is>
          <t>北野線</t>
        </is>
      </c>
      <c r="D6677" s="10" t="inlineStr">
        <is>
          <t>下り</t>
        </is>
      </c>
      <c r="E6677" t="inlineStr">
        <is>
          <t>1253</t>
        </is>
      </c>
      <c r="F6677" t="inlineStr">
        <is>
          <t>0453</t>
        </is>
      </c>
      <c r="G6677" s="10" t="inlineStr">
        <is>
          <t>龍安寺</t>
        </is>
      </c>
      <c r="H6677" s="10" t="inlineStr">
        <is>
          <t>発</t>
        </is>
      </c>
      <c r="J6677" s="10" t="inlineStr">
        <is>
          <t>営業</t>
        </is>
      </c>
      <c r="L6677" t="inlineStr">
        <is>
          <t>12:15:25</t>
        </is>
      </c>
      <c r="M6677" t="inlineStr">
        <is>
          <t>12:15:50</t>
        </is>
      </c>
    </row>
    <row r="6678" ht="15" customHeight="1" s="37">
      <c r="A6678" t="n">
        <v>18</v>
      </c>
      <c r="B6678" s="10" t="inlineStr">
        <is>
          <t>平日</t>
        </is>
      </c>
      <c r="C6678" s="10" t="inlineStr">
        <is>
          <t>北野線</t>
        </is>
      </c>
      <c r="D6678" s="10" t="inlineStr">
        <is>
          <t>下り</t>
        </is>
      </c>
      <c r="E6678" t="inlineStr">
        <is>
          <t>1253</t>
        </is>
      </c>
      <c r="F6678" t="inlineStr">
        <is>
          <t>0453</t>
        </is>
      </c>
      <c r="G6678" s="10" t="inlineStr">
        <is>
          <t>妙心寺</t>
        </is>
      </c>
      <c r="H6678" s="10" t="inlineStr">
        <is>
          <t>発</t>
        </is>
      </c>
      <c r="J6678" s="10" t="inlineStr">
        <is>
          <t>営業</t>
        </is>
      </c>
      <c r="L6678" t="inlineStr">
        <is>
          <t>12:16:40</t>
        </is>
      </c>
      <c r="M6678" t="inlineStr">
        <is>
          <t>12:16:50</t>
        </is>
      </c>
    </row>
    <row r="6679" ht="15" customHeight="1" s="37">
      <c r="A6679" t="n">
        <v>18</v>
      </c>
      <c r="B6679" s="10" t="inlineStr">
        <is>
          <t>平日</t>
        </is>
      </c>
      <c r="C6679" s="10" t="inlineStr">
        <is>
          <t>北野線</t>
        </is>
      </c>
      <c r="D6679" s="10" t="inlineStr">
        <is>
          <t>下り</t>
        </is>
      </c>
      <c r="E6679" t="inlineStr">
        <is>
          <t>1253</t>
        </is>
      </c>
      <c r="F6679" t="inlineStr">
        <is>
          <t>0453</t>
        </is>
      </c>
      <c r="G6679" s="10" t="inlineStr">
        <is>
          <t>御室仁和寺</t>
        </is>
      </c>
      <c r="H6679" s="10" t="inlineStr">
        <is>
          <t>発</t>
        </is>
      </c>
      <c r="J6679" s="10" t="inlineStr">
        <is>
          <t>営業</t>
        </is>
      </c>
      <c r="L6679" t="inlineStr">
        <is>
          <t>12:17:50</t>
        </is>
      </c>
      <c r="M6679" t="inlineStr">
        <is>
          <t>12:18:05</t>
        </is>
      </c>
    </row>
    <row r="6680" ht="15" customHeight="1" s="37">
      <c r="A6680" t="n">
        <v>18</v>
      </c>
      <c r="B6680" s="10" t="inlineStr">
        <is>
          <t>平日</t>
        </is>
      </c>
      <c r="C6680" s="10" t="inlineStr">
        <is>
          <t>北野線</t>
        </is>
      </c>
      <c r="D6680" s="10" t="inlineStr">
        <is>
          <t>下り</t>
        </is>
      </c>
      <c r="E6680" t="inlineStr">
        <is>
          <t>1253</t>
        </is>
      </c>
      <c r="F6680" t="inlineStr">
        <is>
          <t>0453</t>
        </is>
      </c>
      <c r="G6680" s="10" t="inlineStr">
        <is>
          <t>宇多野</t>
        </is>
      </c>
      <c r="H6680" s="10" t="inlineStr">
        <is>
          <t>発</t>
        </is>
      </c>
      <c r="J6680" s="10" t="inlineStr">
        <is>
          <t>営業</t>
        </is>
      </c>
      <c r="L6680" t="inlineStr">
        <is>
          <t>12:19:05</t>
        </is>
      </c>
      <c r="M6680" t="inlineStr">
        <is>
          <t>12:19:15</t>
        </is>
      </c>
    </row>
    <row r="6681" ht="15" customHeight="1" s="37">
      <c r="A6681" t="n">
        <v>18</v>
      </c>
      <c r="B6681" s="10" t="inlineStr">
        <is>
          <t>平日</t>
        </is>
      </c>
      <c r="C6681" s="10" t="inlineStr">
        <is>
          <t>北野線</t>
        </is>
      </c>
      <c r="D6681" s="10" t="inlineStr">
        <is>
          <t>下り</t>
        </is>
      </c>
      <c r="E6681" t="inlineStr">
        <is>
          <t>1253</t>
        </is>
      </c>
      <c r="F6681" t="inlineStr">
        <is>
          <t>0453</t>
        </is>
      </c>
      <c r="G6681" s="10" t="inlineStr">
        <is>
          <t>鳴滝</t>
        </is>
      </c>
      <c r="H6681" s="10" t="inlineStr">
        <is>
          <t>発</t>
        </is>
      </c>
      <c r="J6681" s="10" t="inlineStr">
        <is>
          <t>営業</t>
        </is>
      </c>
      <c r="L6681" t="inlineStr">
        <is>
          <t>12:20:35</t>
        </is>
      </c>
      <c r="M6681" t="inlineStr">
        <is>
          <t>12:20:45</t>
        </is>
      </c>
    </row>
    <row r="6682" ht="15" customHeight="1" s="37">
      <c r="A6682" t="n">
        <v>18</v>
      </c>
      <c r="B6682" s="10" t="inlineStr">
        <is>
          <t>平日</t>
        </is>
      </c>
      <c r="C6682" s="10" t="inlineStr">
        <is>
          <t>北野線</t>
        </is>
      </c>
      <c r="D6682" s="10" t="inlineStr">
        <is>
          <t>下り</t>
        </is>
      </c>
      <c r="E6682" t="inlineStr">
        <is>
          <t>1253</t>
        </is>
      </c>
      <c r="F6682" t="inlineStr">
        <is>
          <t>0453</t>
        </is>
      </c>
      <c r="G6682" s="10" t="inlineStr">
        <is>
          <t>常盤</t>
        </is>
      </c>
      <c r="H6682" s="10" t="inlineStr">
        <is>
          <t>発</t>
        </is>
      </c>
      <c r="J6682" s="10" t="inlineStr">
        <is>
          <t>営業</t>
        </is>
      </c>
      <c r="L6682" t="inlineStr">
        <is>
          <t>12:21:35</t>
        </is>
      </c>
      <c r="M6682" t="inlineStr">
        <is>
          <t>12:21:55</t>
        </is>
      </c>
    </row>
    <row r="6683" ht="15" customHeight="1" s="37">
      <c r="A6683" t="n">
        <v>18</v>
      </c>
      <c r="B6683" s="10" t="inlineStr">
        <is>
          <t>平日</t>
        </is>
      </c>
      <c r="C6683" s="10" t="inlineStr">
        <is>
          <t>北野線</t>
        </is>
      </c>
      <c r="D6683" s="10" t="inlineStr">
        <is>
          <t>下り</t>
        </is>
      </c>
      <c r="E6683" t="inlineStr">
        <is>
          <t>1253</t>
        </is>
      </c>
      <c r="F6683" t="inlineStr">
        <is>
          <t>0453</t>
        </is>
      </c>
      <c r="G6683" s="10" t="inlineStr">
        <is>
          <t>撮影所前</t>
        </is>
      </c>
      <c r="H6683" s="10" t="inlineStr">
        <is>
          <t>発</t>
        </is>
      </c>
      <c r="J6683" s="10" t="inlineStr">
        <is>
          <t>営業</t>
        </is>
      </c>
      <c r="L6683" t="inlineStr">
        <is>
          <t>12:23:15</t>
        </is>
      </c>
      <c r="M6683" t="inlineStr">
        <is>
          <t>12:23:30</t>
        </is>
      </c>
    </row>
    <row r="6684" ht="15" customHeight="1" s="37">
      <c r="A6684" t="n">
        <v>18</v>
      </c>
      <c r="B6684" s="10" t="inlineStr">
        <is>
          <t>平日</t>
        </is>
      </c>
      <c r="C6684" s="10" t="inlineStr">
        <is>
          <t>北野線</t>
        </is>
      </c>
      <c r="D6684" s="10" t="inlineStr">
        <is>
          <t>下り</t>
        </is>
      </c>
      <c r="E6684" t="inlineStr">
        <is>
          <t>1253</t>
        </is>
      </c>
      <c r="F6684" t="inlineStr">
        <is>
          <t>0453</t>
        </is>
      </c>
      <c r="G6684" s="10" t="inlineStr">
        <is>
          <t>帷子ノ辻</t>
        </is>
      </c>
      <c r="H6684" s="10" t="inlineStr">
        <is>
          <t>着</t>
        </is>
      </c>
      <c r="J6684" s="10" t="inlineStr">
        <is>
          <t>営業</t>
        </is>
      </c>
      <c r="L6684" t="inlineStr">
        <is>
          <t>12:24:25</t>
        </is>
      </c>
      <c r="Q6684" t="inlineStr">
        <is>
          <t>3</t>
        </is>
      </c>
    </row>
    <row r="6685" ht="15" customHeight="1" s="37">
      <c r="A6685" t="n">
        <v>18</v>
      </c>
      <c r="B6685" s="10" t="inlineStr">
        <is>
          <t>平日</t>
        </is>
      </c>
      <c r="C6685" s="10" t="inlineStr">
        <is>
          <t>北野線</t>
        </is>
      </c>
      <c r="D6685" s="10" t="inlineStr">
        <is>
          <t>上り</t>
        </is>
      </c>
      <c r="E6685" t="inlineStr">
        <is>
          <t>1260</t>
        </is>
      </c>
      <c r="F6685" t="inlineStr">
        <is>
          <t>0354</t>
        </is>
      </c>
      <c r="G6685" s="10" t="inlineStr">
        <is>
          <t>帷子ノ辻</t>
        </is>
      </c>
      <c r="H6685" s="10" t="inlineStr">
        <is>
          <t>発</t>
        </is>
      </c>
      <c r="J6685" s="10" t="inlineStr">
        <is>
          <t>営業</t>
        </is>
      </c>
      <c r="M6685" t="inlineStr">
        <is>
          <t>12:46:25</t>
        </is>
      </c>
      <c r="Q6685" t="inlineStr">
        <is>
          <t>4</t>
        </is>
      </c>
    </row>
    <row r="6686" ht="15" customHeight="1" s="37">
      <c r="A6686" t="n">
        <v>18</v>
      </c>
      <c r="B6686" s="10" t="inlineStr">
        <is>
          <t>平日</t>
        </is>
      </c>
      <c r="C6686" s="10" t="inlineStr">
        <is>
          <t>北野線</t>
        </is>
      </c>
      <c r="D6686" s="10" t="inlineStr">
        <is>
          <t>上り</t>
        </is>
      </c>
      <c r="E6686" t="inlineStr">
        <is>
          <t>1260</t>
        </is>
      </c>
      <c r="F6686" t="inlineStr">
        <is>
          <t>0354</t>
        </is>
      </c>
      <c r="G6686" s="10" t="inlineStr">
        <is>
          <t>撮影所前</t>
        </is>
      </c>
      <c r="H6686" s="10" t="inlineStr">
        <is>
          <t>発</t>
        </is>
      </c>
      <c r="J6686" s="10" t="inlineStr">
        <is>
          <t>営業</t>
        </is>
      </c>
      <c r="L6686" t="inlineStr">
        <is>
          <t>12:47:25</t>
        </is>
      </c>
      <c r="M6686" t="inlineStr">
        <is>
          <t>12:47:40</t>
        </is>
      </c>
    </row>
    <row r="6687" ht="15" customHeight="1" s="37">
      <c r="A6687" t="n">
        <v>18</v>
      </c>
      <c r="B6687" s="10" t="inlineStr">
        <is>
          <t>平日</t>
        </is>
      </c>
      <c r="C6687" s="10" t="inlineStr">
        <is>
          <t>北野線</t>
        </is>
      </c>
      <c r="D6687" s="10" t="inlineStr">
        <is>
          <t>上り</t>
        </is>
      </c>
      <c r="E6687" t="inlineStr">
        <is>
          <t>1260</t>
        </is>
      </c>
      <c r="F6687" t="inlineStr">
        <is>
          <t>0354</t>
        </is>
      </c>
      <c r="G6687" s="10" t="inlineStr">
        <is>
          <t>常盤</t>
        </is>
      </c>
      <c r="H6687" s="10" t="inlineStr">
        <is>
          <t>発</t>
        </is>
      </c>
      <c r="J6687" s="10" t="inlineStr">
        <is>
          <t>営業</t>
        </is>
      </c>
      <c r="L6687" t="inlineStr">
        <is>
          <t>12:49:00</t>
        </is>
      </c>
      <c r="M6687" t="inlineStr">
        <is>
          <t>12:49:20</t>
        </is>
      </c>
    </row>
    <row r="6688" ht="15" customHeight="1" s="37">
      <c r="A6688" t="n">
        <v>18</v>
      </c>
      <c r="B6688" s="10" t="inlineStr">
        <is>
          <t>平日</t>
        </is>
      </c>
      <c r="C6688" s="10" t="inlineStr">
        <is>
          <t>北野線</t>
        </is>
      </c>
      <c r="D6688" s="10" t="inlineStr">
        <is>
          <t>上り</t>
        </is>
      </c>
      <c r="E6688" t="inlineStr">
        <is>
          <t>1260</t>
        </is>
      </c>
      <c r="F6688" t="inlineStr">
        <is>
          <t>0354</t>
        </is>
      </c>
      <c r="G6688" s="10" t="inlineStr">
        <is>
          <t>鳴滝</t>
        </is>
      </c>
      <c r="H6688" s="10" t="inlineStr">
        <is>
          <t>発</t>
        </is>
      </c>
      <c r="J6688" s="10" t="inlineStr">
        <is>
          <t>営業</t>
        </is>
      </c>
      <c r="L6688" t="inlineStr">
        <is>
          <t>12:50:20</t>
        </is>
      </c>
      <c r="M6688" t="inlineStr">
        <is>
          <t>12:50:40</t>
        </is>
      </c>
    </row>
    <row r="6689" ht="15" customHeight="1" s="37">
      <c r="A6689" t="n">
        <v>18</v>
      </c>
      <c r="B6689" s="10" t="inlineStr">
        <is>
          <t>平日</t>
        </is>
      </c>
      <c r="C6689" s="10" t="inlineStr">
        <is>
          <t>北野線</t>
        </is>
      </c>
      <c r="D6689" s="10" t="inlineStr">
        <is>
          <t>上り</t>
        </is>
      </c>
      <c r="E6689" t="inlineStr">
        <is>
          <t>1260</t>
        </is>
      </c>
      <c r="F6689" t="inlineStr">
        <is>
          <t>0354</t>
        </is>
      </c>
      <c r="G6689" s="10" t="inlineStr">
        <is>
          <t>宇多野</t>
        </is>
      </c>
      <c r="H6689" s="10" t="inlineStr">
        <is>
          <t>発</t>
        </is>
      </c>
      <c r="J6689" s="10" t="inlineStr">
        <is>
          <t>営業</t>
        </is>
      </c>
      <c r="L6689" t="inlineStr">
        <is>
          <t>12:52:00</t>
        </is>
      </c>
      <c r="M6689" t="inlineStr">
        <is>
          <t>12:52:15</t>
        </is>
      </c>
    </row>
    <row r="6690" ht="15" customHeight="1" s="37">
      <c r="A6690" t="n">
        <v>18</v>
      </c>
      <c r="B6690" s="10" t="inlineStr">
        <is>
          <t>平日</t>
        </is>
      </c>
      <c r="C6690" s="10" t="inlineStr">
        <is>
          <t>北野線</t>
        </is>
      </c>
      <c r="D6690" s="10" t="inlineStr">
        <is>
          <t>上り</t>
        </is>
      </c>
      <c r="E6690" t="inlineStr">
        <is>
          <t>1260</t>
        </is>
      </c>
      <c r="F6690" t="inlineStr">
        <is>
          <t>0354</t>
        </is>
      </c>
      <c r="G6690" s="10" t="inlineStr">
        <is>
          <t>御室仁和寺</t>
        </is>
      </c>
      <c r="H6690" s="10" t="inlineStr">
        <is>
          <t>発</t>
        </is>
      </c>
      <c r="J6690" s="10" t="inlineStr">
        <is>
          <t>営業</t>
        </is>
      </c>
      <c r="L6690" t="inlineStr">
        <is>
          <t>12:53:15</t>
        </is>
      </c>
      <c r="M6690" t="inlineStr">
        <is>
          <t>12:53:35</t>
        </is>
      </c>
    </row>
    <row r="6691" ht="15" customHeight="1" s="37">
      <c r="A6691" t="n">
        <v>18</v>
      </c>
      <c r="B6691" s="10" t="inlineStr">
        <is>
          <t>平日</t>
        </is>
      </c>
      <c r="C6691" s="10" t="inlineStr">
        <is>
          <t>北野線</t>
        </is>
      </c>
      <c r="D6691" s="10" t="inlineStr">
        <is>
          <t>上り</t>
        </is>
      </c>
      <c r="E6691" t="inlineStr">
        <is>
          <t>1260</t>
        </is>
      </c>
      <c r="F6691" t="inlineStr">
        <is>
          <t>0354</t>
        </is>
      </c>
      <c r="G6691" s="10" t="inlineStr">
        <is>
          <t>妙心寺</t>
        </is>
      </c>
      <c r="H6691" s="10" t="inlineStr">
        <is>
          <t>発</t>
        </is>
      </c>
      <c r="J6691" s="10" t="inlineStr">
        <is>
          <t>営業</t>
        </is>
      </c>
      <c r="L6691" t="inlineStr">
        <is>
          <t>12:54:35</t>
        </is>
      </c>
      <c r="M6691" t="inlineStr">
        <is>
          <t>12:54:50</t>
        </is>
      </c>
    </row>
    <row r="6692" ht="15" customHeight="1" s="37">
      <c r="A6692" t="n">
        <v>18</v>
      </c>
      <c r="B6692" s="10" t="inlineStr">
        <is>
          <t>平日</t>
        </is>
      </c>
      <c r="C6692" s="10" t="inlineStr">
        <is>
          <t>北野線</t>
        </is>
      </c>
      <c r="D6692" s="10" t="inlineStr">
        <is>
          <t>上り</t>
        </is>
      </c>
      <c r="E6692" t="inlineStr">
        <is>
          <t>1260</t>
        </is>
      </c>
      <c r="F6692" t="inlineStr">
        <is>
          <t>0354</t>
        </is>
      </c>
      <c r="G6692" s="10" t="inlineStr">
        <is>
          <t>龍安寺</t>
        </is>
      </c>
      <c r="H6692" s="10" t="inlineStr">
        <is>
          <t>発</t>
        </is>
      </c>
      <c r="J6692" s="10" t="inlineStr">
        <is>
          <t>営業</t>
        </is>
      </c>
      <c r="L6692" t="inlineStr">
        <is>
          <t>12:55:45</t>
        </is>
      </c>
      <c r="M6692" t="inlineStr">
        <is>
          <t>12:55:55</t>
        </is>
      </c>
    </row>
    <row r="6693" ht="15" customHeight="1" s="37">
      <c r="A6693" t="n">
        <v>18</v>
      </c>
      <c r="B6693" s="10" t="inlineStr">
        <is>
          <t>平日</t>
        </is>
      </c>
      <c r="C6693" s="10" t="inlineStr">
        <is>
          <t>北野線</t>
        </is>
      </c>
      <c r="D6693" s="10" t="inlineStr">
        <is>
          <t>上り</t>
        </is>
      </c>
      <c r="E6693" t="inlineStr">
        <is>
          <t>1260</t>
        </is>
      </c>
      <c r="F6693" t="inlineStr">
        <is>
          <t>0354</t>
        </is>
      </c>
      <c r="G6693" s="10" t="inlineStr">
        <is>
          <t>等持院</t>
        </is>
      </c>
      <c r="H6693" s="10" t="inlineStr">
        <is>
          <t>発</t>
        </is>
      </c>
      <c r="J6693" s="10" t="inlineStr">
        <is>
          <t>営業</t>
        </is>
      </c>
      <c r="L6693" t="inlineStr">
        <is>
          <t>12:56:35</t>
        </is>
      </c>
      <c r="M6693" t="inlineStr">
        <is>
          <t>12:56:55</t>
        </is>
      </c>
    </row>
    <row r="6694" ht="15" customHeight="1" s="37">
      <c r="A6694" t="n">
        <v>18</v>
      </c>
      <c r="B6694" s="10" t="inlineStr">
        <is>
          <t>平日</t>
        </is>
      </c>
      <c r="C6694" s="10" t="inlineStr">
        <is>
          <t>北野線</t>
        </is>
      </c>
      <c r="D6694" s="10" t="inlineStr">
        <is>
          <t>上り</t>
        </is>
      </c>
      <c r="E6694" t="inlineStr">
        <is>
          <t>1260</t>
        </is>
      </c>
      <c r="F6694" t="inlineStr">
        <is>
          <t>0354</t>
        </is>
      </c>
      <c r="G6694" s="10" t="inlineStr">
        <is>
          <t>北野白梅町</t>
        </is>
      </c>
      <c r="H6694" s="10" t="inlineStr">
        <is>
          <t>着</t>
        </is>
      </c>
      <c r="J6694" s="10" t="inlineStr">
        <is>
          <t>営業</t>
        </is>
      </c>
      <c r="L6694" t="inlineStr">
        <is>
          <t>12:58:15</t>
        </is>
      </c>
      <c r="Q6694" t="inlineStr">
        <is>
          <t>1</t>
        </is>
      </c>
    </row>
    <row r="6695" ht="15" customHeight="1" s="37">
      <c r="A6695" t="n">
        <v>18</v>
      </c>
      <c r="B6695" s="10" t="inlineStr">
        <is>
          <t>平日</t>
        </is>
      </c>
      <c r="C6695" s="10" t="inlineStr">
        <is>
          <t>北野線</t>
        </is>
      </c>
      <c r="D6695" s="10" t="inlineStr">
        <is>
          <t>下り</t>
        </is>
      </c>
      <c r="E6695" t="inlineStr">
        <is>
          <t>1351</t>
        </is>
      </c>
      <c r="F6695" t="inlineStr">
        <is>
          <t>0453</t>
        </is>
      </c>
      <c r="G6695" s="10" t="inlineStr">
        <is>
          <t>北野白梅町</t>
        </is>
      </c>
      <c r="H6695" s="10" t="inlineStr">
        <is>
          <t>発</t>
        </is>
      </c>
      <c r="J6695" s="10" t="inlineStr">
        <is>
          <t>営業</t>
        </is>
      </c>
      <c r="M6695" t="inlineStr">
        <is>
          <t>13:03:00</t>
        </is>
      </c>
      <c r="Q6695" t="inlineStr">
        <is>
          <t>1</t>
        </is>
      </c>
    </row>
    <row r="6696" ht="15" customHeight="1" s="37">
      <c r="A6696" t="n">
        <v>18</v>
      </c>
      <c r="B6696" s="10" t="inlineStr">
        <is>
          <t>平日</t>
        </is>
      </c>
      <c r="C6696" s="10" t="inlineStr">
        <is>
          <t>北野線</t>
        </is>
      </c>
      <c r="D6696" s="10" t="inlineStr">
        <is>
          <t>下り</t>
        </is>
      </c>
      <c r="E6696" t="inlineStr">
        <is>
          <t>1351</t>
        </is>
      </c>
      <c r="F6696" t="inlineStr">
        <is>
          <t>0453</t>
        </is>
      </c>
      <c r="G6696" s="10" t="inlineStr">
        <is>
          <t>等持院</t>
        </is>
      </c>
      <c r="H6696" s="10" t="inlineStr">
        <is>
          <t>発</t>
        </is>
      </c>
      <c r="J6696" s="10" t="inlineStr">
        <is>
          <t>営業</t>
        </is>
      </c>
      <c r="L6696" t="inlineStr">
        <is>
          <t>13:04:25</t>
        </is>
      </c>
      <c r="M6696" t="inlineStr">
        <is>
          <t>13:04:35</t>
        </is>
      </c>
    </row>
    <row r="6697" ht="15" customHeight="1" s="37">
      <c r="A6697" t="n">
        <v>18</v>
      </c>
      <c r="B6697" s="10" t="inlineStr">
        <is>
          <t>平日</t>
        </is>
      </c>
      <c r="C6697" s="10" t="inlineStr">
        <is>
          <t>北野線</t>
        </is>
      </c>
      <c r="D6697" s="10" t="inlineStr">
        <is>
          <t>下り</t>
        </is>
      </c>
      <c r="E6697" t="inlineStr">
        <is>
          <t>1351</t>
        </is>
      </c>
      <c r="F6697" t="inlineStr">
        <is>
          <t>0453</t>
        </is>
      </c>
      <c r="G6697" s="10" t="inlineStr">
        <is>
          <t>龍安寺</t>
        </is>
      </c>
      <c r="H6697" s="10" t="inlineStr">
        <is>
          <t>発</t>
        </is>
      </c>
      <c r="J6697" s="10" t="inlineStr">
        <is>
          <t>営業</t>
        </is>
      </c>
      <c r="L6697" t="inlineStr">
        <is>
          <t>13:05:25</t>
        </is>
      </c>
      <c r="M6697" t="inlineStr">
        <is>
          <t>13:05:50</t>
        </is>
      </c>
    </row>
    <row r="6698" ht="15" customHeight="1" s="37">
      <c r="A6698" t="n">
        <v>18</v>
      </c>
      <c r="B6698" s="10" t="inlineStr">
        <is>
          <t>平日</t>
        </is>
      </c>
      <c r="C6698" s="10" t="inlineStr">
        <is>
          <t>北野線</t>
        </is>
      </c>
      <c r="D6698" s="10" t="inlineStr">
        <is>
          <t>下り</t>
        </is>
      </c>
      <c r="E6698" t="inlineStr">
        <is>
          <t>1351</t>
        </is>
      </c>
      <c r="F6698" t="inlineStr">
        <is>
          <t>0453</t>
        </is>
      </c>
      <c r="G6698" s="10" t="inlineStr">
        <is>
          <t>妙心寺</t>
        </is>
      </c>
      <c r="H6698" s="10" t="inlineStr">
        <is>
          <t>発</t>
        </is>
      </c>
      <c r="J6698" s="10" t="inlineStr">
        <is>
          <t>営業</t>
        </is>
      </c>
      <c r="L6698" t="inlineStr">
        <is>
          <t>13:06:40</t>
        </is>
      </c>
      <c r="M6698" t="inlineStr">
        <is>
          <t>13:06:50</t>
        </is>
      </c>
    </row>
    <row r="6699" ht="15" customHeight="1" s="37">
      <c r="A6699" t="n">
        <v>18</v>
      </c>
      <c r="B6699" s="10" t="inlineStr">
        <is>
          <t>平日</t>
        </is>
      </c>
      <c r="C6699" s="10" t="inlineStr">
        <is>
          <t>北野線</t>
        </is>
      </c>
      <c r="D6699" s="10" t="inlineStr">
        <is>
          <t>下り</t>
        </is>
      </c>
      <c r="E6699" t="inlineStr">
        <is>
          <t>1351</t>
        </is>
      </c>
      <c r="F6699" t="inlineStr">
        <is>
          <t>0453</t>
        </is>
      </c>
      <c r="G6699" s="10" t="inlineStr">
        <is>
          <t>御室仁和寺</t>
        </is>
      </c>
      <c r="H6699" s="10" t="inlineStr">
        <is>
          <t>発</t>
        </is>
      </c>
      <c r="J6699" s="10" t="inlineStr">
        <is>
          <t>営業</t>
        </is>
      </c>
      <c r="L6699" t="inlineStr">
        <is>
          <t>13:07:50</t>
        </is>
      </c>
      <c r="M6699" t="inlineStr">
        <is>
          <t>13:08:05</t>
        </is>
      </c>
    </row>
    <row r="6700" ht="15" customHeight="1" s="37">
      <c r="A6700" t="n">
        <v>18</v>
      </c>
      <c r="B6700" s="10" t="inlineStr">
        <is>
          <t>平日</t>
        </is>
      </c>
      <c r="C6700" s="10" t="inlineStr">
        <is>
          <t>北野線</t>
        </is>
      </c>
      <c r="D6700" s="10" t="inlineStr">
        <is>
          <t>下り</t>
        </is>
      </c>
      <c r="E6700" t="inlineStr">
        <is>
          <t>1351</t>
        </is>
      </c>
      <c r="F6700" t="inlineStr">
        <is>
          <t>0453</t>
        </is>
      </c>
      <c r="G6700" s="10" t="inlineStr">
        <is>
          <t>宇多野</t>
        </is>
      </c>
      <c r="H6700" s="10" t="inlineStr">
        <is>
          <t>発</t>
        </is>
      </c>
      <c r="J6700" s="10" t="inlineStr">
        <is>
          <t>営業</t>
        </is>
      </c>
      <c r="L6700" t="inlineStr">
        <is>
          <t>13:09:05</t>
        </is>
      </c>
      <c r="M6700" t="inlineStr">
        <is>
          <t>13:09:15</t>
        </is>
      </c>
    </row>
    <row r="6701" ht="15" customHeight="1" s="37">
      <c r="A6701" t="n">
        <v>18</v>
      </c>
      <c r="B6701" s="10" t="inlineStr">
        <is>
          <t>平日</t>
        </is>
      </c>
      <c r="C6701" s="10" t="inlineStr">
        <is>
          <t>北野線</t>
        </is>
      </c>
      <c r="D6701" s="10" t="inlineStr">
        <is>
          <t>下り</t>
        </is>
      </c>
      <c r="E6701" t="inlineStr">
        <is>
          <t>1351</t>
        </is>
      </c>
      <c r="F6701" t="inlineStr">
        <is>
          <t>0453</t>
        </is>
      </c>
      <c r="G6701" s="10" t="inlineStr">
        <is>
          <t>鳴滝</t>
        </is>
      </c>
      <c r="H6701" s="10" t="inlineStr">
        <is>
          <t>発</t>
        </is>
      </c>
      <c r="J6701" s="10" t="inlineStr">
        <is>
          <t>営業</t>
        </is>
      </c>
      <c r="L6701" t="inlineStr">
        <is>
          <t>13:10:35</t>
        </is>
      </c>
      <c r="M6701" t="inlineStr">
        <is>
          <t>13:10:45</t>
        </is>
      </c>
    </row>
    <row r="6702" ht="15" customHeight="1" s="37">
      <c r="A6702" t="n">
        <v>18</v>
      </c>
      <c r="B6702" s="10" t="inlineStr">
        <is>
          <t>平日</t>
        </is>
      </c>
      <c r="C6702" s="10" t="inlineStr">
        <is>
          <t>北野線</t>
        </is>
      </c>
      <c r="D6702" s="10" t="inlineStr">
        <is>
          <t>下り</t>
        </is>
      </c>
      <c r="E6702" t="inlineStr">
        <is>
          <t>1351</t>
        </is>
      </c>
      <c r="F6702" t="inlineStr">
        <is>
          <t>0453</t>
        </is>
      </c>
      <c r="G6702" s="10" t="inlineStr">
        <is>
          <t>常盤</t>
        </is>
      </c>
      <c r="H6702" s="10" t="inlineStr">
        <is>
          <t>発</t>
        </is>
      </c>
      <c r="J6702" s="10" t="inlineStr">
        <is>
          <t>営業</t>
        </is>
      </c>
      <c r="L6702" t="inlineStr">
        <is>
          <t>13:11:35</t>
        </is>
      </c>
      <c r="M6702" t="inlineStr">
        <is>
          <t>13:11:55</t>
        </is>
      </c>
    </row>
    <row r="6703" ht="15" customHeight="1" s="37">
      <c r="A6703" t="n">
        <v>18</v>
      </c>
      <c r="B6703" s="10" t="inlineStr">
        <is>
          <t>平日</t>
        </is>
      </c>
      <c r="C6703" s="10" t="inlineStr">
        <is>
          <t>北野線</t>
        </is>
      </c>
      <c r="D6703" s="10" t="inlineStr">
        <is>
          <t>下り</t>
        </is>
      </c>
      <c r="E6703" t="inlineStr">
        <is>
          <t>1351</t>
        </is>
      </c>
      <c r="F6703" t="inlineStr">
        <is>
          <t>0453</t>
        </is>
      </c>
      <c r="G6703" s="10" t="inlineStr">
        <is>
          <t>撮影所前</t>
        </is>
      </c>
      <c r="H6703" s="10" t="inlineStr">
        <is>
          <t>発</t>
        </is>
      </c>
      <c r="J6703" s="10" t="inlineStr">
        <is>
          <t>営業</t>
        </is>
      </c>
      <c r="L6703" t="inlineStr">
        <is>
          <t>13:13:15</t>
        </is>
      </c>
      <c r="M6703" t="inlineStr">
        <is>
          <t>13:13:30</t>
        </is>
      </c>
    </row>
    <row r="6704" ht="16.5" customHeight="1" s="37">
      <c r="A6704" t="n">
        <v>18</v>
      </c>
      <c r="B6704" s="10" t="inlineStr">
        <is>
          <t>平日</t>
        </is>
      </c>
      <c r="C6704" s="10" t="inlineStr">
        <is>
          <t>北野線</t>
        </is>
      </c>
      <c r="D6704" s="10" t="inlineStr">
        <is>
          <t>下り</t>
        </is>
      </c>
      <c r="E6704" t="inlineStr">
        <is>
          <t>1351</t>
        </is>
      </c>
      <c r="F6704" t="inlineStr">
        <is>
          <t>0453</t>
        </is>
      </c>
      <c r="G6704" s="10" t="inlineStr">
        <is>
          <t>帷子ノ辻</t>
        </is>
      </c>
      <c r="H6704" s="10" t="inlineStr">
        <is>
          <t>着</t>
        </is>
      </c>
      <c r="J6704" s="10" t="inlineStr">
        <is>
          <t>営業</t>
        </is>
      </c>
      <c r="L6704" t="inlineStr">
        <is>
          <t>13:14:25</t>
        </is>
      </c>
      <c r="Q6704" t="inlineStr">
        <is>
          <t>4</t>
        </is>
      </c>
    </row>
    <row r="6705" ht="16.5" customHeight="1" s="37">
      <c r="A6705" t="n">
        <v>18</v>
      </c>
      <c r="B6705" s="10" t="inlineStr">
        <is>
          <t>平日</t>
        </is>
      </c>
      <c r="C6705" s="10" t="inlineStr">
        <is>
          <t>北野線</t>
        </is>
      </c>
      <c r="D6705" s="10" t="inlineStr">
        <is>
          <t>上り</t>
        </is>
      </c>
      <c r="E6705" t="inlineStr">
        <is>
          <t>1356</t>
        </is>
      </c>
      <c r="F6705" t="inlineStr">
        <is>
          <t>0354</t>
        </is>
      </c>
      <c r="G6705" s="10" t="inlineStr">
        <is>
          <t>帷子ノ辻</t>
        </is>
      </c>
      <c r="H6705" s="10" t="inlineStr">
        <is>
          <t>発</t>
        </is>
      </c>
      <c r="J6705" s="10" t="inlineStr">
        <is>
          <t>営業</t>
        </is>
      </c>
      <c r="M6705" t="inlineStr">
        <is>
          <t>13:26:25</t>
        </is>
      </c>
      <c r="Q6705" t="inlineStr">
        <is>
          <t>4</t>
        </is>
      </c>
    </row>
    <row r="6706" ht="16.5" customHeight="1" s="37">
      <c r="A6706" t="n">
        <v>18</v>
      </c>
      <c r="B6706" s="10" t="inlineStr">
        <is>
          <t>平日</t>
        </is>
      </c>
      <c r="C6706" s="10" t="inlineStr">
        <is>
          <t>北野線</t>
        </is>
      </c>
      <c r="D6706" s="10" t="inlineStr">
        <is>
          <t>上り</t>
        </is>
      </c>
      <c r="E6706" t="inlineStr">
        <is>
          <t>1356</t>
        </is>
      </c>
      <c r="F6706" t="inlineStr">
        <is>
          <t>0354</t>
        </is>
      </c>
      <c r="G6706" s="10" t="inlineStr">
        <is>
          <t>撮影所前</t>
        </is>
      </c>
      <c r="H6706" s="10" t="inlineStr">
        <is>
          <t>発</t>
        </is>
      </c>
      <c r="J6706" s="10" t="inlineStr">
        <is>
          <t>営業</t>
        </is>
      </c>
      <c r="L6706" t="inlineStr">
        <is>
          <t>13:27:25</t>
        </is>
      </c>
      <c r="M6706" t="inlineStr">
        <is>
          <t>13:27:40</t>
        </is>
      </c>
    </row>
    <row r="6707" ht="16.5" customHeight="1" s="37">
      <c r="A6707" t="n">
        <v>18</v>
      </c>
      <c r="B6707" s="10" t="inlineStr">
        <is>
          <t>平日</t>
        </is>
      </c>
      <c r="C6707" s="10" t="inlineStr">
        <is>
          <t>北野線</t>
        </is>
      </c>
      <c r="D6707" s="10" t="inlineStr">
        <is>
          <t>上り</t>
        </is>
      </c>
      <c r="E6707" t="inlineStr">
        <is>
          <t>1356</t>
        </is>
      </c>
      <c r="F6707" t="inlineStr">
        <is>
          <t>0354</t>
        </is>
      </c>
      <c r="G6707" s="10" t="inlineStr">
        <is>
          <t>常盤</t>
        </is>
      </c>
      <c r="H6707" s="10" t="inlineStr">
        <is>
          <t>発</t>
        </is>
      </c>
      <c r="J6707" s="10" t="inlineStr">
        <is>
          <t>営業</t>
        </is>
      </c>
      <c r="L6707" t="inlineStr">
        <is>
          <t>13:29:00</t>
        </is>
      </c>
      <c r="M6707" t="inlineStr">
        <is>
          <t>13:29:20</t>
        </is>
      </c>
    </row>
    <row r="6708" ht="16.5" customHeight="1" s="37">
      <c r="A6708" t="n">
        <v>18</v>
      </c>
      <c r="B6708" s="10" t="inlineStr">
        <is>
          <t>平日</t>
        </is>
      </c>
      <c r="C6708" s="10" t="inlineStr">
        <is>
          <t>北野線</t>
        </is>
      </c>
      <c r="D6708" s="10" t="inlineStr">
        <is>
          <t>上り</t>
        </is>
      </c>
      <c r="E6708" t="inlineStr">
        <is>
          <t>1356</t>
        </is>
      </c>
      <c r="F6708" t="inlineStr">
        <is>
          <t>0354</t>
        </is>
      </c>
      <c r="G6708" s="10" t="inlineStr">
        <is>
          <t>鳴滝</t>
        </is>
      </c>
      <c r="H6708" s="10" t="inlineStr">
        <is>
          <t>発</t>
        </is>
      </c>
      <c r="J6708" s="10" t="inlineStr">
        <is>
          <t>営業</t>
        </is>
      </c>
      <c r="L6708" t="inlineStr">
        <is>
          <t>13:30:20</t>
        </is>
      </c>
      <c r="M6708" t="inlineStr">
        <is>
          <t>13:30:40</t>
        </is>
      </c>
    </row>
    <row r="6709" ht="16.5" customHeight="1" s="37">
      <c r="A6709" t="n">
        <v>18</v>
      </c>
      <c r="B6709" s="10" t="inlineStr">
        <is>
          <t>平日</t>
        </is>
      </c>
      <c r="C6709" s="10" t="inlineStr">
        <is>
          <t>北野線</t>
        </is>
      </c>
      <c r="D6709" s="10" t="inlineStr">
        <is>
          <t>上り</t>
        </is>
      </c>
      <c r="E6709" t="inlineStr">
        <is>
          <t>1356</t>
        </is>
      </c>
      <c r="F6709" t="inlineStr">
        <is>
          <t>0354</t>
        </is>
      </c>
      <c r="G6709" s="10" t="inlineStr">
        <is>
          <t>宇多野</t>
        </is>
      </c>
      <c r="H6709" s="10" t="inlineStr">
        <is>
          <t>発</t>
        </is>
      </c>
      <c r="J6709" s="10" t="inlineStr">
        <is>
          <t>営業</t>
        </is>
      </c>
      <c r="L6709" t="inlineStr">
        <is>
          <t>13:32:00</t>
        </is>
      </c>
      <c r="M6709" t="inlineStr">
        <is>
          <t>13:32:15</t>
        </is>
      </c>
    </row>
    <row r="6710" ht="16.5" customHeight="1" s="37">
      <c r="A6710" t="n">
        <v>18</v>
      </c>
      <c r="B6710" s="10" t="inlineStr">
        <is>
          <t>平日</t>
        </is>
      </c>
      <c r="C6710" s="10" t="inlineStr">
        <is>
          <t>北野線</t>
        </is>
      </c>
      <c r="D6710" s="10" t="inlineStr">
        <is>
          <t>上り</t>
        </is>
      </c>
      <c r="E6710" t="inlineStr">
        <is>
          <t>1356</t>
        </is>
      </c>
      <c r="F6710" t="inlineStr">
        <is>
          <t>0354</t>
        </is>
      </c>
      <c r="G6710" s="10" t="inlineStr">
        <is>
          <t>御室仁和寺</t>
        </is>
      </c>
      <c r="H6710" s="10" t="inlineStr">
        <is>
          <t>発</t>
        </is>
      </c>
      <c r="J6710" s="10" t="inlineStr">
        <is>
          <t>営業</t>
        </is>
      </c>
      <c r="L6710" t="inlineStr">
        <is>
          <t>13:33:15</t>
        </is>
      </c>
      <c r="M6710" t="inlineStr">
        <is>
          <t>13:33:35</t>
        </is>
      </c>
    </row>
    <row r="6711" ht="16.5" customHeight="1" s="37">
      <c r="A6711" t="n">
        <v>18</v>
      </c>
      <c r="B6711" s="10" t="inlineStr">
        <is>
          <t>平日</t>
        </is>
      </c>
      <c r="C6711" s="10" t="inlineStr">
        <is>
          <t>北野線</t>
        </is>
      </c>
      <c r="D6711" s="10" t="inlineStr">
        <is>
          <t>上り</t>
        </is>
      </c>
      <c r="E6711" t="inlineStr">
        <is>
          <t>1356</t>
        </is>
      </c>
      <c r="F6711" t="inlineStr">
        <is>
          <t>0354</t>
        </is>
      </c>
      <c r="G6711" s="10" t="inlineStr">
        <is>
          <t>妙心寺</t>
        </is>
      </c>
      <c r="H6711" s="10" t="inlineStr">
        <is>
          <t>発</t>
        </is>
      </c>
      <c r="J6711" s="10" t="inlineStr">
        <is>
          <t>営業</t>
        </is>
      </c>
      <c r="L6711" t="inlineStr">
        <is>
          <t>13:34:35</t>
        </is>
      </c>
      <c r="M6711" t="inlineStr">
        <is>
          <t>13:34:50</t>
        </is>
      </c>
    </row>
    <row r="6712" ht="16.5" customHeight="1" s="37">
      <c r="A6712" t="n">
        <v>18</v>
      </c>
      <c r="B6712" s="10" t="inlineStr">
        <is>
          <t>平日</t>
        </is>
      </c>
      <c r="C6712" s="10" t="inlineStr">
        <is>
          <t>北野線</t>
        </is>
      </c>
      <c r="D6712" s="10" t="inlineStr">
        <is>
          <t>上り</t>
        </is>
      </c>
      <c r="E6712" t="inlineStr">
        <is>
          <t>1356</t>
        </is>
      </c>
      <c r="F6712" t="inlineStr">
        <is>
          <t>0354</t>
        </is>
      </c>
      <c r="G6712" s="10" t="inlineStr">
        <is>
          <t>龍安寺</t>
        </is>
      </c>
      <c r="H6712" s="10" t="inlineStr">
        <is>
          <t>発</t>
        </is>
      </c>
      <c r="J6712" s="10" t="inlineStr">
        <is>
          <t>営業</t>
        </is>
      </c>
      <c r="L6712" t="inlineStr">
        <is>
          <t>13:35:45</t>
        </is>
      </c>
      <c r="M6712" t="inlineStr">
        <is>
          <t>13:35:55</t>
        </is>
      </c>
    </row>
    <row r="6713" ht="16.5" customHeight="1" s="37">
      <c r="A6713" t="n">
        <v>18</v>
      </c>
      <c r="B6713" s="10" t="inlineStr">
        <is>
          <t>平日</t>
        </is>
      </c>
      <c r="C6713" s="10" t="inlineStr">
        <is>
          <t>北野線</t>
        </is>
      </c>
      <c r="D6713" s="10" t="inlineStr">
        <is>
          <t>上り</t>
        </is>
      </c>
      <c r="E6713" t="inlineStr">
        <is>
          <t>1356</t>
        </is>
      </c>
      <c r="F6713" t="inlineStr">
        <is>
          <t>0354</t>
        </is>
      </c>
      <c r="G6713" s="10" t="inlineStr">
        <is>
          <t>等持院</t>
        </is>
      </c>
      <c r="H6713" s="10" t="inlineStr">
        <is>
          <t>発</t>
        </is>
      </c>
      <c r="J6713" s="10" t="inlineStr">
        <is>
          <t>営業</t>
        </is>
      </c>
      <c r="L6713" t="inlineStr">
        <is>
          <t>13:36:35</t>
        </is>
      </c>
      <c r="M6713" t="inlineStr">
        <is>
          <t>13:36:55</t>
        </is>
      </c>
    </row>
    <row r="6714" ht="16.5" customHeight="1" s="37">
      <c r="A6714" t="n">
        <v>18</v>
      </c>
      <c r="B6714" s="10" t="inlineStr">
        <is>
          <t>平日</t>
        </is>
      </c>
      <c r="C6714" s="10" t="inlineStr">
        <is>
          <t>北野線</t>
        </is>
      </c>
      <c r="D6714" s="10" t="inlineStr">
        <is>
          <t>上り</t>
        </is>
      </c>
      <c r="E6714" t="inlineStr">
        <is>
          <t>1356</t>
        </is>
      </c>
      <c r="F6714" t="inlineStr">
        <is>
          <t>0354</t>
        </is>
      </c>
      <c r="G6714" s="10" t="inlineStr">
        <is>
          <t>北野白梅町</t>
        </is>
      </c>
      <c r="H6714" s="10" t="inlineStr">
        <is>
          <t>着</t>
        </is>
      </c>
      <c r="J6714" s="10" t="inlineStr">
        <is>
          <t>営業</t>
        </is>
      </c>
      <c r="L6714" t="inlineStr">
        <is>
          <t>13:38:15</t>
        </is>
      </c>
      <c r="Q6714" t="inlineStr">
        <is>
          <t>1</t>
        </is>
      </c>
    </row>
    <row r="6715" ht="16.5" customHeight="1" s="37">
      <c r="A6715" t="n">
        <v>18</v>
      </c>
      <c r="B6715" s="10" t="inlineStr">
        <is>
          <t>平日</t>
        </is>
      </c>
      <c r="C6715" s="10" t="inlineStr">
        <is>
          <t>北野線</t>
        </is>
      </c>
      <c r="D6715" s="10" t="inlineStr">
        <is>
          <t>下り</t>
        </is>
      </c>
      <c r="E6715" t="inlineStr">
        <is>
          <t>1359</t>
        </is>
      </c>
      <c r="F6715" t="inlineStr">
        <is>
          <t>0453</t>
        </is>
      </c>
      <c r="G6715" s="10" t="inlineStr">
        <is>
          <t>北野白梅町</t>
        </is>
      </c>
      <c r="H6715" s="10" t="inlineStr">
        <is>
          <t>発</t>
        </is>
      </c>
      <c r="J6715" s="10" t="inlineStr">
        <is>
          <t>営業</t>
        </is>
      </c>
      <c r="M6715" t="inlineStr">
        <is>
          <t>13:43:00</t>
        </is>
      </c>
      <c r="Q6715" t="inlineStr">
        <is>
          <t>1</t>
        </is>
      </c>
    </row>
    <row r="6716" ht="16.5" customHeight="1" s="37">
      <c r="A6716" t="n">
        <v>18</v>
      </c>
      <c r="B6716" s="10" t="inlineStr">
        <is>
          <t>平日</t>
        </is>
      </c>
      <c r="C6716" s="10" t="inlineStr">
        <is>
          <t>北野線</t>
        </is>
      </c>
      <c r="D6716" s="10" t="inlineStr">
        <is>
          <t>下り</t>
        </is>
      </c>
      <c r="E6716" t="inlineStr">
        <is>
          <t>1359</t>
        </is>
      </c>
      <c r="F6716" t="inlineStr">
        <is>
          <t>0453</t>
        </is>
      </c>
      <c r="G6716" s="10" t="inlineStr">
        <is>
          <t>等持院</t>
        </is>
      </c>
      <c r="H6716" s="10" t="inlineStr">
        <is>
          <t>発</t>
        </is>
      </c>
      <c r="J6716" s="10" t="inlineStr">
        <is>
          <t>営業</t>
        </is>
      </c>
      <c r="L6716" t="inlineStr">
        <is>
          <t>13:44:25</t>
        </is>
      </c>
      <c r="M6716" t="inlineStr">
        <is>
          <t>13:44:35</t>
        </is>
      </c>
    </row>
    <row r="6717" ht="16.5" customHeight="1" s="37">
      <c r="A6717" t="n">
        <v>18</v>
      </c>
      <c r="B6717" s="10" t="inlineStr">
        <is>
          <t>平日</t>
        </is>
      </c>
      <c r="C6717" s="10" t="inlineStr">
        <is>
          <t>北野線</t>
        </is>
      </c>
      <c r="D6717" s="10" t="inlineStr">
        <is>
          <t>下り</t>
        </is>
      </c>
      <c r="E6717" t="inlineStr">
        <is>
          <t>1359</t>
        </is>
      </c>
      <c r="F6717" t="inlineStr">
        <is>
          <t>0453</t>
        </is>
      </c>
      <c r="G6717" s="10" t="inlineStr">
        <is>
          <t>龍安寺</t>
        </is>
      </c>
      <c r="H6717" s="10" t="inlineStr">
        <is>
          <t>発</t>
        </is>
      </c>
      <c r="J6717" s="10" t="inlineStr">
        <is>
          <t>営業</t>
        </is>
      </c>
      <c r="L6717" t="inlineStr">
        <is>
          <t>13:45:25</t>
        </is>
      </c>
      <c r="M6717" t="inlineStr">
        <is>
          <t>13:45:50</t>
        </is>
      </c>
    </row>
    <row r="6718" ht="16.5" customHeight="1" s="37">
      <c r="A6718" t="n">
        <v>18</v>
      </c>
      <c r="B6718" s="10" t="inlineStr">
        <is>
          <t>平日</t>
        </is>
      </c>
      <c r="C6718" s="10" t="inlineStr">
        <is>
          <t>北野線</t>
        </is>
      </c>
      <c r="D6718" s="10" t="inlineStr">
        <is>
          <t>下り</t>
        </is>
      </c>
      <c r="E6718" t="inlineStr">
        <is>
          <t>1359</t>
        </is>
      </c>
      <c r="F6718" t="inlineStr">
        <is>
          <t>0453</t>
        </is>
      </c>
      <c r="G6718" s="10" t="inlineStr">
        <is>
          <t>妙心寺</t>
        </is>
      </c>
      <c r="H6718" s="10" t="inlineStr">
        <is>
          <t>発</t>
        </is>
      </c>
      <c r="J6718" s="10" t="inlineStr">
        <is>
          <t>営業</t>
        </is>
      </c>
      <c r="L6718" t="inlineStr">
        <is>
          <t>13:46:40</t>
        </is>
      </c>
      <c r="M6718" t="inlineStr">
        <is>
          <t>13:46:50</t>
        </is>
      </c>
    </row>
    <row r="6719" ht="16.5" customHeight="1" s="37">
      <c r="A6719" t="n">
        <v>18</v>
      </c>
      <c r="B6719" s="10" t="inlineStr">
        <is>
          <t>平日</t>
        </is>
      </c>
      <c r="C6719" s="10" t="inlineStr">
        <is>
          <t>北野線</t>
        </is>
      </c>
      <c r="D6719" s="10" t="inlineStr">
        <is>
          <t>下り</t>
        </is>
      </c>
      <c r="E6719" t="inlineStr">
        <is>
          <t>1359</t>
        </is>
      </c>
      <c r="F6719" t="inlineStr">
        <is>
          <t>0453</t>
        </is>
      </c>
      <c r="G6719" s="10" t="inlineStr">
        <is>
          <t>御室仁和寺</t>
        </is>
      </c>
      <c r="H6719" s="10" t="inlineStr">
        <is>
          <t>発</t>
        </is>
      </c>
      <c r="J6719" s="10" t="inlineStr">
        <is>
          <t>営業</t>
        </is>
      </c>
      <c r="L6719" t="inlineStr">
        <is>
          <t>13:47:50</t>
        </is>
      </c>
      <c r="M6719" t="inlineStr">
        <is>
          <t>13:48:05</t>
        </is>
      </c>
    </row>
    <row r="6720" ht="16.5" customHeight="1" s="37">
      <c r="A6720" t="n">
        <v>18</v>
      </c>
      <c r="B6720" s="10" t="inlineStr">
        <is>
          <t>平日</t>
        </is>
      </c>
      <c r="C6720" s="10" t="inlineStr">
        <is>
          <t>北野線</t>
        </is>
      </c>
      <c r="D6720" s="10" t="inlineStr">
        <is>
          <t>下り</t>
        </is>
      </c>
      <c r="E6720" t="inlineStr">
        <is>
          <t>1359</t>
        </is>
      </c>
      <c r="F6720" t="inlineStr">
        <is>
          <t>0453</t>
        </is>
      </c>
      <c r="G6720" s="10" t="inlineStr">
        <is>
          <t>宇多野</t>
        </is>
      </c>
      <c r="H6720" s="10" t="inlineStr">
        <is>
          <t>発</t>
        </is>
      </c>
      <c r="J6720" s="10" t="inlineStr">
        <is>
          <t>営業</t>
        </is>
      </c>
      <c r="L6720" t="inlineStr">
        <is>
          <t>13:49:05</t>
        </is>
      </c>
      <c r="M6720" t="inlineStr">
        <is>
          <t>13:49:15</t>
        </is>
      </c>
    </row>
    <row r="6721" ht="16.5" customHeight="1" s="37">
      <c r="A6721" t="n">
        <v>18</v>
      </c>
      <c r="B6721" s="10" t="inlineStr">
        <is>
          <t>平日</t>
        </is>
      </c>
      <c r="C6721" s="10" t="inlineStr">
        <is>
          <t>北野線</t>
        </is>
      </c>
      <c r="D6721" s="10" t="inlineStr">
        <is>
          <t>下り</t>
        </is>
      </c>
      <c r="E6721" t="inlineStr">
        <is>
          <t>1359</t>
        </is>
      </c>
      <c r="F6721" t="inlineStr">
        <is>
          <t>0453</t>
        </is>
      </c>
      <c r="G6721" s="10" t="inlineStr">
        <is>
          <t>鳴滝</t>
        </is>
      </c>
      <c r="H6721" s="10" t="inlineStr">
        <is>
          <t>発</t>
        </is>
      </c>
      <c r="J6721" s="10" t="inlineStr">
        <is>
          <t>営業</t>
        </is>
      </c>
      <c r="L6721" t="inlineStr">
        <is>
          <t>13:50:35</t>
        </is>
      </c>
      <c r="M6721" t="inlineStr">
        <is>
          <t>13:50:45</t>
        </is>
      </c>
    </row>
    <row r="6722" ht="16.5" customHeight="1" s="37">
      <c r="A6722" t="n">
        <v>18</v>
      </c>
      <c r="B6722" s="10" t="inlineStr">
        <is>
          <t>平日</t>
        </is>
      </c>
      <c r="C6722" s="10" t="inlineStr">
        <is>
          <t>北野線</t>
        </is>
      </c>
      <c r="D6722" s="10" t="inlineStr">
        <is>
          <t>下り</t>
        </is>
      </c>
      <c r="E6722" t="inlineStr">
        <is>
          <t>1359</t>
        </is>
      </c>
      <c r="F6722" t="inlineStr">
        <is>
          <t>0453</t>
        </is>
      </c>
      <c r="G6722" s="10" t="inlineStr">
        <is>
          <t>常盤</t>
        </is>
      </c>
      <c r="H6722" s="10" t="inlineStr">
        <is>
          <t>発</t>
        </is>
      </c>
      <c r="J6722" s="10" t="inlineStr">
        <is>
          <t>営業</t>
        </is>
      </c>
      <c r="L6722" t="inlineStr">
        <is>
          <t>13:51:35</t>
        </is>
      </c>
      <c r="M6722" t="inlineStr">
        <is>
          <t>13:51:55</t>
        </is>
      </c>
    </row>
    <row r="6723" ht="16.5" customHeight="1" s="37">
      <c r="A6723" t="n">
        <v>18</v>
      </c>
      <c r="B6723" s="10" t="inlineStr">
        <is>
          <t>平日</t>
        </is>
      </c>
      <c r="C6723" s="10" t="inlineStr">
        <is>
          <t>北野線</t>
        </is>
      </c>
      <c r="D6723" s="10" t="inlineStr">
        <is>
          <t>下り</t>
        </is>
      </c>
      <c r="E6723" t="inlineStr">
        <is>
          <t>1359</t>
        </is>
      </c>
      <c r="F6723" t="inlineStr">
        <is>
          <t>0453</t>
        </is>
      </c>
      <c r="G6723" s="10" t="inlineStr">
        <is>
          <t>撮影所前</t>
        </is>
      </c>
      <c r="H6723" s="10" t="inlineStr">
        <is>
          <t>発</t>
        </is>
      </c>
      <c r="J6723" s="10" t="inlineStr">
        <is>
          <t>営業</t>
        </is>
      </c>
      <c r="L6723" t="inlineStr">
        <is>
          <t>13:53:15</t>
        </is>
      </c>
      <c r="M6723" t="inlineStr">
        <is>
          <t>13:53:30</t>
        </is>
      </c>
    </row>
    <row r="6724" ht="16.5" customHeight="1" s="37">
      <c r="A6724" t="n">
        <v>18</v>
      </c>
      <c r="B6724" s="10" t="inlineStr">
        <is>
          <t>平日</t>
        </is>
      </c>
      <c r="C6724" s="10" t="inlineStr">
        <is>
          <t>北野線</t>
        </is>
      </c>
      <c r="D6724" s="10" t="inlineStr">
        <is>
          <t>下り</t>
        </is>
      </c>
      <c r="E6724" t="inlineStr">
        <is>
          <t>1359</t>
        </is>
      </c>
      <c r="F6724" t="inlineStr">
        <is>
          <t>0453</t>
        </is>
      </c>
      <c r="G6724" s="10" t="inlineStr">
        <is>
          <t>帷子ノ辻</t>
        </is>
      </c>
      <c r="H6724" s="10" t="inlineStr">
        <is>
          <t>着</t>
        </is>
      </c>
      <c r="J6724" s="10" t="inlineStr">
        <is>
          <t>営業</t>
        </is>
      </c>
      <c r="L6724" t="inlineStr">
        <is>
          <t>13:54:25</t>
        </is>
      </c>
      <c r="Q6724" t="inlineStr">
        <is>
          <t>4</t>
        </is>
      </c>
    </row>
    <row r="6725" ht="16.5" customHeight="1" s="37">
      <c r="A6725" t="n">
        <v>18</v>
      </c>
      <c r="B6725" s="10" t="inlineStr">
        <is>
          <t>平日</t>
        </is>
      </c>
      <c r="C6725" s="10" t="inlineStr">
        <is>
          <t>北野線</t>
        </is>
      </c>
      <c r="D6725" s="10" t="inlineStr">
        <is>
          <t>上り</t>
        </is>
      </c>
      <c r="E6725" t="inlineStr">
        <is>
          <t>1452</t>
        </is>
      </c>
      <c r="F6725" t="inlineStr">
        <is>
          <t>0354</t>
        </is>
      </c>
      <c r="G6725" s="10" t="inlineStr">
        <is>
          <t>帷子ノ辻</t>
        </is>
      </c>
      <c r="H6725" s="10" t="inlineStr">
        <is>
          <t>発</t>
        </is>
      </c>
      <c r="J6725" s="10" t="inlineStr">
        <is>
          <t>営業</t>
        </is>
      </c>
      <c r="M6725" t="inlineStr">
        <is>
          <t>14:06:25</t>
        </is>
      </c>
      <c r="Q6725" t="inlineStr">
        <is>
          <t>4</t>
        </is>
      </c>
    </row>
    <row r="6726" ht="16.5" customHeight="1" s="37">
      <c r="A6726" t="n">
        <v>18</v>
      </c>
      <c r="B6726" s="10" t="inlineStr">
        <is>
          <t>平日</t>
        </is>
      </c>
      <c r="C6726" s="10" t="inlineStr">
        <is>
          <t>北野線</t>
        </is>
      </c>
      <c r="D6726" s="10" t="inlineStr">
        <is>
          <t>上り</t>
        </is>
      </c>
      <c r="E6726" t="inlineStr">
        <is>
          <t>1452</t>
        </is>
      </c>
      <c r="F6726" t="inlineStr">
        <is>
          <t>0354</t>
        </is>
      </c>
      <c r="G6726" s="10" t="inlineStr">
        <is>
          <t>撮影所前</t>
        </is>
      </c>
      <c r="H6726" s="10" t="inlineStr">
        <is>
          <t>発</t>
        </is>
      </c>
      <c r="J6726" s="10" t="inlineStr">
        <is>
          <t>営業</t>
        </is>
      </c>
      <c r="L6726" t="inlineStr">
        <is>
          <t>14:07:25</t>
        </is>
      </c>
      <c r="M6726" t="inlineStr">
        <is>
          <t>14:07:40</t>
        </is>
      </c>
    </row>
    <row r="6727" ht="16.5" customHeight="1" s="37">
      <c r="A6727" t="n">
        <v>18</v>
      </c>
      <c r="B6727" s="10" t="inlineStr">
        <is>
          <t>平日</t>
        </is>
      </c>
      <c r="C6727" s="10" t="inlineStr">
        <is>
          <t>北野線</t>
        </is>
      </c>
      <c r="D6727" s="10" t="inlineStr">
        <is>
          <t>上り</t>
        </is>
      </c>
      <c r="E6727" t="inlineStr">
        <is>
          <t>1452</t>
        </is>
      </c>
      <c r="F6727" t="inlineStr">
        <is>
          <t>0354</t>
        </is>
      </c>
      <c r="G6727" s="10" t="inlineStr">
        <is>
          <t>常盤</t>
        </is>
      </c>
      <c r="H6727" s="10" t="inlineStr">
        <is>
          <t>発</t>
        </is>
      </c>
      <c r="J6727" s="10" t="inlineStr">
        <is>
          <t>営業</t>
        </is>
      </c>
      <c r="L6727" t="inlineStr">
        <is>
          <t>14:09:00</t>
        </is>
      </c>
      <c r="M6727" t="inlineStr">
        <is>
          <t>14:09:20</t>
        </is>
      </c>
    </row>
    <row r="6728" ht="16.5" customHeight="1" s="37">
      <c r="A6728" t="n">
        <v>18</v>
      </c>
      <c r="B6728" s="10" t="inlineStr">
        <is>
          <t>平日</t>
        </is>
      </c>
      <c r="C6728" s="10" t="inlineStr">
        <is>
          <t>北野線</t>
        </is>
      </c>
      <c r="D6728" s="10" t="inlineStr">
        <is>
          <t>上り</t>
        </is>
      </c>
      <c r="E6728" t="inlineStr">
        <is>
          <t>1452</t>
        </is>
      </c>
      <c r="F6728" t="inlineStr">
        <is>
          <t>0354</t>
        </is>
      </c>
      <c r="G6728" s="10" t="inlineStr">
        <is>
          <t>鳴滝</t>
        </is>
      </c>
      <c r="H6728" s="10" t="inlineStr">
        <is>
          <t>発</t>
        </is>
      </c>
      <c r="J6728" s="10" t="inlineStr">
        <is>
          <t>営業</t>
        </is>
      </c>
      <c r="L6728" t="inlineStr">
        <is>
          <t>14:10:20</t>
        </is>
      </c>
      <c r="M6728" t="inlineStr">
        <is>
          <t>14:10:40</t>
        </is>
      </c>
    </row>
    <row r="6729" ht="16.5" customHeight="1" s="37">
      <c r="A6729" t="n">
        <v>18</v>
      </c>
      <c r="B6729" s="10" t="inlineStr">
        <is>
          <t>平日</t>
        </is>
      </c>
      <c r="C6729" s="10" t="inlineStr">
        <is>
          <t>北野線</t>
        </is>
      </c>
      <c r="D6729" s="10" t="inlineStr">
        <is>
          <t>上り</t>
        </is>
      </c>
      <c r="E6729" t="inlineStr">
        <is>
          <t>1452</t>
        </is>
      </c>
      <c r="F6729" t="inlineStr">
        <is>
          <t>0354</t>
        </is>
      </c>
      <c r="G6729" s="10" t="inlineStr">
        <is>
          <t>宇多野</t>
        </is>
      </c>
      <c r="H6729" s="10" t="inlineStr">
        <is>
          <t>発</t>
        </is>
      </c>
      <c r="J6729" s="10" t="inlineStr">
        <is>
          <t>営業</t>
        </is>
      </c>
      <c r="L6729" t="inlineStr">
        <is>
          <t>14:12:00</t>
        </is>
      </c>
      <c r="M6729" t="inlineStr">
        <is>
          <t>14:12:15</t>
        </is>
      </c>
    </row>
    <row r="6730" ht="16.5" customHeight="1" s="37">
      <c r="A6730" t="n">
        <v>18</v>
      </c>
      <c r="B6730" s="10" t="inlineStr">
        <is>
          <t>平日</t>
        </is>
      </c>
      <c r="C6730" s="10" t="inlineStr">
        <is>
          <t>北野線</t>
        </is>
      </c>
      <c r="D6730" s="10" t="inlineStr">
        <is>
          <t>上り</t>
        </is>
      </c>
      <c r="E6730" t="inlineStr">
        <is>
          <t>1452</t>
        </is>
      </c>
      <c r="F6730" t="inlineStr">
        <is>
          <t>0354</t>
        </is>
      </c>
      <c r="G6730" s="10" t="inlineStr">
        <is>
          <t>御室仁和寺</t>
        </is>
      </c>
      <c r="H6730" s="10" t="inlineStr">
        <is>
          <t>発</t>
        </is>
      </c>
      <c r="J6730" s="10" t="inlineStr">
        <is>
          <t>営業</t>
        </is>
      </c>
      <c r="L6730" t="inlineStr">
        <is>
          <t>14:13:15</t>
        </is>
      </c>
      <c r="M6730" t="inlineStr">
        <is>
          <t>14:13:35</t>
        </is>
      </c>
    </row>
    <row r="6731" ht="16.5" customHeight="1" s="37">
      <c r="A6731" t="n">
        <v>18</v>
      </c>
      <c r="B6731" s="10" t="inlineStr">
        <is>
          <t>平日</t>
        </is>
      </c>
      <c r="C6731" s="10" t="inlineStr">
        <is>
          <t>北野線</t>
        </is>
      </c>
      <c r="D6731" s="10" t="inlineStr">
        <is>
          <t>上り</t>
        </is>
      </c>
      <c r="E6731" t="inlineStr">
        <is>
          <t>1452</t>
        </is>
      </c>
      <c r="F6731" t="inlineStr">
        <is>
          <t>0354</t>
        </is>
      </c>
      <c r="G6731" s="10" t="inlineStr">
        <is>
          <t>妙心寺</t>
        </is>
      </c>
      <c r="H6731" s="10" t="inlineStr">
        <is>
          <t>発</t>
        </is>
      </c>
      <c r="J6731" s="10" t="inlineStr">
        <is>
          <t>営業</t>
        </is>
      </c>
      <c r="L6731" t="inlineStr">
        <is>
          <t>14:14:35</t>
        </is>
      </c>
      <c r="M6731" t="inlineStr">
        <is>
          <t>14:14:50</t>
        </is>
      </c>
    </row>
    <row r="6732" ht="16.5" customHeight="1" s="37">
      <c r="A6732" t="n">
        <v>18</v>
      </c>
      <c r="B6732" s="10" t="inlineStr">
        <is>
          <t>平日</t>
        </is>
      </c>
      <c r="C6732" s="10" t="inlineStr">
        <is>
          <t>北野線</t>
        </is>
      </c>
      <c r="D6732" s="10" t="inlineStr">
        <is>
          <t>上り</t>
        </is>
      </c>
      <c r="E6732" t="inlineStr">
        <is>
          <t>1452</t>
        </is>
      </c>
      <c r="F6732" t="inlineStr">
        <is>
          <t>0354</t>
        </is>
      </c>
      <c r="G6732" s="10" t="inlineStr">
        <is>
          <t>龍安寺</t>
        </is>
      </c>
      <c r="H6732" s="10" t="inlineStr">
        <is>
          <t>発</t>
        </is>
      </c>
      <c r="J6732" s="10" t="inlineStr">
        <is>
          <t>営業</t>
        </is>
      </c>
      <c r="L6732" t="inlineStr">
        <is>
          <t>14:15:45</t>
        </is>
      </c>
      <c r="M6732" t="inlineStr">
        <is>
          <t>14:15:55</t>
        </is>
      </c>
    </row>
    <row r="6733" ht="16.5" customHeight="1" s="37">
      <c r="A6733" t="n">
        <v>18</v>
      </c>
      <c r="B6733" s="10" t="inlineStr">
        <is>
          <t>平日</t>
        </is>
      </c>
      <c r="C6733" s="10" t="inlineStr">
        <is>
          <t>北野線</t>
        </is>
      </c>
      <c r="D6733" s="10" t="inlineStr">
        <is>
          <t>上り</t>
        </is>
      </c>
      <c r="E6733" t="inlineStr">
        <is>
          <t>1452</t>
        </is>
      </c>
      <c r="F6733" t="inlineStr">
        <is>
          <t>0354</t>
        </is>
      </c>
      <c r="G6733" s="10" t="inlineStr">
        <is>
          <t>等持院</t>
        </is>
      </c>
      <c r="H6733" s="10" t="inlineStr">
        <is>
          <t>発</t>
        </is>
      </c>
      <c r="J6733" s="10" t="inlineStr">
        <is>
          <t>営業</t>
        </is>
      </c>
      <c r="L6733" t="inlineStr">
        <is>
          <t>14:16:35</t>
        </is>
      </c>
      <c r="M6733" t="inlineStr">
        <is>
          <t>14:16:55</t>
        </is>
      </c>
    </row>
    <row r="6734" ht="16.5" customHeight="1" s="37">
      <c r="A6734" t="n">
        <v>18</v>
      </c>
      <c r="B6734" s="10" t="inlineStr">
        <is>
          <t>平日</t>
        </is>
      </c>
      <c r="C6734" s="10" t="inlineStr">
        <is>
          <t>北野線</t>
        </is>
      </c>
      <c r="D6734" s="10" t="inlineStr">
        <is>
          <t>上り</t>
        </is>
      </c>
      <c r="E6734" t="inlineStr">
        <is>
          <t>1452</t>
        </is>
      </c>
      <c r="F6734" t="inlineStr">
        <is>
          <t>0354</t>
        </is>
      </c>
      <c r="G6734" s="10" t="inlineStr">
        <is>
          <t>北野白梅町</t>
        </is>
      </c>
      <c r="H6734" s="10" t="inlineStr">
        <is>
          <t>着</t>
        </is>
      </c>
      <c r="J6734" s="10" t="inlineStr">
        <is>
          <t>営業</t>
        </is>
      </c>
      <c r="L6734" t="inlineStr">
        <is>
          <t>14:18:15</t>
        </is>
      </c>
      <c r="Q6734" t="inlineStr">
        <is>
          <t>1</t>
        </is>
      </c>
    </row>
    <row r="6735" ht="16.5" customHeight="1" s="37">
      <c r="A6735" t="n">
        <v>18</v>
      </c>
      <c r="B6735" s="10" t="inlineStr">
        <is>
          <t>平日</t>
        </is>
      </c>
      <c r="C6735" s="10" t="inlineStr">
        <is>
          <t>北野線</t>
        </is>
      </c>
      <c r="D6735" s="10" t="inlineStr">
        <is>
          <t>下り</t>
        </is>
      </c>
      <c r="E6735" t="inlineStr">
        <is>
          <t>1455</t>
        </is>
      </c>
      <c r="F6735" t="inlineStr">
        <is>
          <t>0453</t>
        </is>
      </c>
      <c r="G6735" s="10" t="inlineStr">
        <is>
          <t>北野白梅町</t>
        </is>
      </c>
      <c r="H6735" s="10" t="inlineStr">
        <is>
          <t>発</t>
        </is>
      </c>
      <c r="J6735" s="10" t="inlineStr">
        <is>
          <t>営業</t>
        </is>
      </c>
      <c r="M6735" t="inlineStr">
        <is>
          <t>14:23:00</t>
        </is>
      </c>
      <c r="Q6735" t="inlineStr">
        <is>
          <t>1</t>
        </is>
      </c>
    </row>
    <row r="6736" ht="16.5" customHeight="1" s="37">
      <c r="A6736" t="n">
        <v>18</v>
      </c>
      <c r="B6736" s="10" t="inlineStr">
        <is>
          <t>平日</t>
        </is>
      </c>
      <c r="C6736" s="10" t="inlineStr">
        <is>
          <t>北野線</t>
        </is>
      </c>
      <c r="D6736" s="10" t="inlineStr">
        <is>
          <t>下り</t>
        </is>
      </c>
      <c r="E6736" t="inlineStr">
        <is>
          <t>1455</t>
        </is>
      </c>
      <c r="F6736" t="inlineStr">
        <is>
          <t>0453</t>
        </is>
      </c>
      <c r="G6736" s="10" t="inlineStr">
        <is>
          <t>等持院</t>
        </is>
      </c>
      <c r="H6736" s="10" t="inlineStr">
        <is>
          <t>発</t>
        </is>
      </c>
      <c r="J6736" s="10" t="inlineStr">
        <is>
          <t>営業</t>
        </is>
      </c>
      <c r="L6736" t="inlineStr">
        <is>
          <t>14:24:25</t>
        </is>
      </c>
      <c r="M6736" t="inlineStr">
        <is>
          <t>14:24:35</t>
        </is>
      </c>
    </row>
    <row r="6737" ht="16.5" customHeight="1" s="37">
      <c r="A6737" t="n">
        <v>18</v>
      </c>
      <c r="B6737" s="10" t="inlineStr">
        <is>
          <t>平日</t>
        </is>
      </c>
      <c r="C6737" s="10" t="inlineStr">
        <is>
          <t>北野線</t>
        </is>
      </c>
      <c r="D6737" s="10" t="inlineStr">
        <is>
          <t>下り</t>
        </is>
      </c>
      <c r="E6737" t="inlineStr">
        <is>
          <t>1455</t>
        </is>
      </c>
      <c r="F6737" t="inlineStr">
        <is>
          <t>0453</t>
        </is>
      </c>
      <c r="G6737" s="10" t="inlineStr">
        <is>
          <t>龍安寺</t>
        </is>
      </c>
      <c r="H6737" s="10" t="inlineStr">
        <is>
          <t>発</t>
        </is>
      </c>
      <c r="J6737" s="10" t="inlineStr">
        <is>
          <t>営業</t>
        </is>
      </c>
      <c r="L6737" t="inlineStr">
        <is>
          <t>14:25:25</t>
        </is>
      </c>
      <c r="M6737" t="inlineStr">
        <is>
          <t>14:25:50</t>
        </is>
      </c>
    </row>
    <row r="6738" ht="16.5" customHeight="1" s="37">
      <c r="A6738" t="n">
        <v>18</v>
      </c>
      <c r="B6738" s="10" t="inlineStr">
        <is>
          <t>平日</t>
        </is>
      </c>
      <c r="C6738" s="10" t="inlineStr">
        <is>
          <t>北野線</t>
        </is>
      </c>
      <c r="D6738" s="10" t="inlineStr">
        <is>
          <t>下り</t>
        </is>
      </c>
      <c r="E6738" t="inlineStr">
        <is>
          <t>1455</t>
        </is>
      </c>
      <c r="F6738" t="inlineStr">
        <is>
          <t>0453</t>
        </is>
      </c>
      <c r="G6738" s="10" t="inlineStr">
        <is>
          <t>妙心寺</t>
        </is>
      </c>
      <c r="H6738" s="10" t="inlineStr">
        <is>
          <t>発</t>
        </is>
      </c>
      <c r="J6738" s="10" t="inlineStr">
        <is>
          <t>営業</t>
        </is>
      </c>
      <c r="L6738" t="inlineStr">
        <is>
          <t>14:26:40</t>
        </is>
      </c>
      <c r="M6738" t="inlineStr">
        <is>
          <t>14:26:50</t>
        </is>
      </c>
    </row>
    <row r="6739" ht="16.5" customHeight="1" s="37">
      <c r="A6739" t="n">
        <v>18</v>
      </c>
      <c r="B6739" s="10" t="inlineStr">
        <is>
          <t>平日</t>
        </is>
      </c>
      <c r="C6739" s="10" t="inlineStr">
        <is>
          <t>北野線</t>
        </is>
      </c>
      <c r="D6739" s="10" t="inlineStr">
        <is>
          <t>下り</t>
        </is>
      </c>
      <c r="E6739" t="inlineStr">
        <is>
          <t>1455</t>
        </is>
      </c>
      <c r="F6739" t="inlineStr">
        <is>
          <t>0453</t>
        </is>
      </c>
      <c r="G6739" s="10" t="inlineStr">
        <is>
          <t>御室仁和寺</t>
        </is>
      </c>
      <c r="H6739" s="10" t="inlineStr">
        <is>
          <t>発</t>
        </is>
      </c>
      <c r="J6739" s="10" t="inlineStr">
        <is>
          <t>営業</t>
        </is>
      </c>
      <c r="L6739" t="inlineStr">
        <is>
          <t>14:27:50</t>
        </is>
      </c>
      <c r="M6739" t="inlineStr">
        <is>
          <t>14:28:05</t>
        </is>
      </c>
    </row>
    <row r="6740" ht="16.5" customHeight="1" s="37">
      <c r="A6740" t="n">
        <v>18</v>
      </c>
      <c r="B6740" s="10" t="inlineStr">
        <is>
          <t>平日</t>
        </is>
      </c>
      <c r="C6740" s="10" t="inlineStr">
        <is>
          <t>北野線</t>
        </is>
      </c>
      <c r="D6740" s="10" t="inlineStr">
        <is>
          <t>下り</t>
        </is>
      </c>
      <c r="E6740" t="inlineStr">
        <is>
          <t>1455</t>
        </is>
      </c>
      <c r="F6740" t="inlineStr">
        <is>
          <t>0453</t>
        </is>
      </c>
      <c r="G6740" s="10" t="inlineStr">
        <is>
          <t>宇多野</t>
        </is>
      </c>
      <c r="H6740" s="10" t="inlineStr">
        <is>
          <t>発</t>
        </is>
      </c>
      <c r="J6740" s="10" t="inlineStr">
        <is>
          <t>営業</t>
        </is>
      </c>
      <c r="L6740" t="inlineStr">
        <is>
          <t>14:29:05</t>
        </is>
      </c>
      <c r="M6740" t="inlineStr">
        <is>
          <t>14:29:15</t>
        </is>
      </c>
    </row>
    <row r="6741" ht="16.5" customHeight="1" s="37">
      <c r="A6741" t="n">
        <v>18</v>
      </c>
      <c r="B6741" s="10" t="inlineStr">
        <is>
          <t>平日</t>
        </is>
      </c>
      <c r="C6741" s="10" t="inlineStr">
        <is>
          <t>北野線</t>
        </is>
      </c>
      <c r="D6741" s="10" t="inlineStr">
        <is>
          <t>下り</t>
        </is>
      </c>
      <c r="E6741" t="inlineStr">
        <is>
          <t>1455</t>
        </is>
      </c>
      <c r="F6741" t="inlineStr">
        <is>
          <t>0453</t>
        </is>
      </c>
      <c r="G6741" s="10" t="inlineStr">
        <is>
          <t>鳴滝</t>
        </is>
      </c>
      <c r="H6741" s="10" t="inlineStr">
        <is>
          <t>発</t>
        </is>
      </c>
      <c r="J6741" s="10" t="inlineStr">
        <is>
          <t>営業</t>
        </is>
      </c>
      <c r="L6741" t="inlineStr">
        <is>
          <t>14:30:35</t>
        </is>
      </c>
      <c r="M6741" t="inlineStr">
        <is>
          <t>14:30:45</t>
        </is>
      </c>
    </row>
    <row r="6742" ht="16.5" customHeight="1" s="37">
      <c r="A6742" t="n">
        <v>18</v>
      </c>
      <c r="B6742" s="10" t="inlineStr">
        <is>
          <t>平日</t>
        </is>
      </c>
      <c r="C6742" s="10" t="inlineStr">
        <is>
          <t>北野線</t>
        </is>
      </c>
      <c r="D6742" s="10" t="inlineStr">
        <is>
          <t>下り</t>
        </is>
      </c>
      <c r="E6742" t="inlineStr">
        <is>
          <t>1455</t>
        </is>
      </c>
      <c r="F6742" t="inlineStr">
        <is>
          <t>0453</t>
        </is>
      </c>
      <c r="G6742" s="10" t="inlineStr">
        <is>
          <t>常盤</t>
        </is>
      </c>
      <c r="H6742" s="10" t="inlineStr">
        <is>
          <t>発</t>
        </is>
      </c>
      <c r="J6742" s="10" t="inlineStr">
        <is>
          <t>営業</t>
        </is>
      </c>
      <c r="L6742" t="inlineStr">
        <is>
          <t>14:31:35</t>
        </is>
      </c>
      <c r="M6742" t="inlineStr">
        <is>
          <t>14:31:55</t>
        </is>
      </c>
    </row>
    <row r="6743" ht="16.5" customHeight="1" s="37">
      <c r="A6743" t="n">
        <v>18</v>
      </c>
      <c r="B6743" s="10" t="inlineStr">
        <is>
          <t>平日</t>
        </is>
      </c>
      <c r="C6743" s="10" t="inlineStr">
        <is>
          <t>北野線</t>
        </is>
      </c>
      <c r="D6743" s="10" t="inlineStr">
        <is>
          <t>下り</t>
        </is>
      </c>
      <c r="E6743" t="inlineStr">
        <is>
          <t>1455</t>
        </is>
      </c>
      <c r="F6743" t="inlineStr">
        <is>
          <t>0453</t>
        </is>
      </c>
      <c r="G6743" s="10" t="inlineStr">
        <is>
          <t>撮影所前</t>
        </is>
      </c>
      <c r="H6743" s="10" t="inlineStr">
        <is>
          <t>発</t>
        </is>
      </c>
      <c r="J6743" s="10" t="inlineStr">
        <is>
          <t>営業</t>
        </is>
      </c>
      <c r="L6743" t="inlineStr">
        <is>
          <t>14:33:15</t>
        </is>
      </c>
      <c r="M6743" t="inlineStr">
        <is>
          <t>14:33:30</t>
        </is>
      </c>
    </row>
    <row r="6744" ht="16.5" customHeight="1" s="37">
      <c r="A6744" t="n">
        <v>18</v>
      </c>
      <c r="B6744" s="10" t="inlineStr">
        <is>
          <t>平日</t>
        </is>
      </c>
      <c r="C6744" s="10" t="inlineStr">
        <is>
          <t>北野線</t>
        </is>
      </c>
      <c r="D6744" s="10" t="inlineStr">
        <is>
          <t>下り</t>
        </is>
      </c>
      <c r="E6744" t="inlineStr">
        <is>
          <t>1455</t>
        </is>
      </c>
      <c r="F6744" t="inlineStr">
        <is>
          <t>0453</t>
        </is>
      </c>
      <c r="G6744" s="10" t="inlineStr">
        <is>
          <t>帷子ノ辻</t>
        </is>
      </c>
      <c r="H6744" s="10" t="inlineStr">
        <is>
          <t>着</t>
        </is>
      </c>
      <c r="J6744" s="10" t="inlineStr">
        <is>
          <t>営業</t>
        </is>
      </c>
      <c r="L6744" t="inlineStr">
        <is>
          <t>14:34:25</t>
        </is>
      </c>
      <c r="Q6744" t="inlineStr">
        <is>
          <t>4</t>
        </is>
      </c>
    </row>
    <row r="6745" ht="16.5" customHeight="1" s="37">
      <c r="A6745" t="n">
        <v>18</v>
      </c>
      <c r="B6745" s="10" t="inlineStr">
        <is>
          <t>平日</t>
        </is>
      </c>
      <c r="C6745" s="10" t="inlineStr">
        <is>
          <t>北野線</t>
        </is>
      </c>
      <c r="D6745" s="10" t="inlineStr">
        <is>
          <t>上り</t>
        </is>
      </c>
      <c r="E6745" t="inlineStr">
        <is>
          <t>1460</t>
        </is>
      </c>
      <c r="F6745" t="inlineStr">
        <is>
          <t>0354</t>
        </is>
      </c>
      <c r="G6745" s="10" t="inlineStr">
        <is>
          <t>帷子ノ辻</t>
        </is>
      </c>
      <c r="H6745" s="10" t="inlineStr">
        <is>
          <t>発</t>
        </is>
      </c>
      <c r="J6745" s="10" t="inlineStr">
        <is>
          <t>営業</t>
        </is>
      </c>
      <c r="M6745" t="inlineStr">
        <is>
          <t>14:46:25</t>
        </is>
      </c>
      <c r="Q6745" t="inlineStr">
        <is>
          <t>4</t>
        </is>
      </c>
    </row>
    <row r="6746" ht="16.5" customHeight="1" s="37">
      <c r="A6746" t="n">
        <v>18</v>
      </c>
      <c r="B6746" s="10" t="inlineStr">
        <is>
          <t>平日</t>
        </is>
      </c>
      <c r="C6746" s="10" t="inlineStr">
        <is>
          <t>北野線</t>
        </is>
      </c>
      <c r="D6746" s="10" t="inlineStr">
        <is>
          <t>上り</t>
        </is>
      </c>
      <c r="E6746" t="inlineStr">
        <is>
          <t>1460</t>
        </is>
      </c>
      <c r="F6746" t="inlineStr">
        <is>
          <t>0354</t>
        </is>
      </c>
      <c r="G6746" s="10" t="inlineStr">
        <is>
          <t>撮影所前</t>
        </is>
      </c>
      <c r="H6746" s="10" t="inlineStr">
        <is>
          <t>発</t>
        </is>
      </c>
      <c r="J6746" s="10" t="inlineStr">
        <is>
          <t>営業</t>
        </is>
      </c>
      <c r="L6746" t="inlineStr">
        <is>
          <t>14:47:25</t>
        </is>
      </c>
      <c r="M6746" t="inlineStr">
        <is>
          <t>14:47:40</t>
        </is>
      </c>
    </row>
    <row r="6747" ht="16.5" customHeight="1" s="37">
      <c r="A6747" t="n">
        <v>18</v>
      </c>
      <c r="B6747" s="10" t="inlineStr">
        <is>
          <t>平日</t>
        </is>
      </c>
      <c r="C6747" s="10" t="inlineStr">
        <is>
          <t>北野線</t>
        </is>
      </c>
      <c r="D6747" s="10" t="inlineStr">
        <is>
          <t>上り</t>
        </is>
      </c>
      <c r="E6747" t="inlineStr">
        <is>
          <t>1460</t>
        </is>
      </c>
      <c r="F6747" t="inlineStr">
        <is>
          <t>0354</t>
        </is>
      </c>
      <c r="G6747" s="10" t="inlineStr">
        <is>
          <t>常盤</t>
        </is>
      </c>
      <c r="H6747" s="10" t="inlineStr">
        <is>
          <t>発</t>
        </is>
      </c>
      <c r="J6747" s="10" t="inlineStr">
        <is>
          <t>営業</t>
        </is>
      </c>
      <c r="L6747" t="inlineStr">
        <is>
          <t>14:49:00</t>
        </is>
      </c>
      <c r="M6747" t="inlineStr">
        <is>
          <t>14:49:20</t>
        </is>
      </c>
    </row>
    <row r="6748" ht="16.5" customHeight="1" s="37">
      <c r="A6748" t="n">
        <v>18</v>
      </c>
      <c r="B6748" s="10" t="inlineStr">
        <is>
          <t>平日</t>
        </is>
      </c>
      <c r="C6748" s="10" t="inlineStr">
        <is>
          <t>北野線</t>
        </is>
      </c>
      <c r="D6748" s="10" t="inlineStr">
        <is>
          <t>上り</t>
        </is>
      </c>
      <c r="E6748" t="inlineStr">
        <is>
          <t>1460</t>
        </is>
      </c>
      <c r="F6748" t="inlineStr">
        <is>
          <t>0354</t>
        </is>
      </c>
      <c r="G6748" s="10" t="inlineStr">
        <is>
          <t>鳴滝</t>
        </is>
      </c>
      <c r="H6748" s="10" t="inlineStr">
        <is>
          <t>発</t>
        </is>
      </c>
      <c r="J6748" s="10" t="inlineStr">
        <is>
          <t>営業</t>
        </is>
      </c>
      <c r="L6748" t="inlineStr">
        <is>
          <t>14:50:20</t>
        </is>
      </c>
      <c r="M6748" t="inlineStr">
        <is>
          <t>14:50:40</t>
        </is>
      </c>
    </row>
    <row r="6749" ht="16.5" customHeight="1" s="37">
      <c r="A6749" t="n">
        <v>18</v>
      </c>
      <c r="B6749" s="10" t="inlineStr">
        <is>
          <t>平日</t>
        </is>
      </c>
      <c r="C6749" s="10" t="inlineStr">
        <is>
          <t>北野線</t>
        </is>
      </c>
      <c r="D6749" s="10" t="inlineStr">
        <is>
          <t>上り</t>
        </is>
      </c>
      <c r="E6749" t="inlineStr">
        <is>
          <t>1460</t>
        </is>
      </c>
      <c r="F6749" t="inlineStr">
        <is>
          <t>0354</t>
        </is>
      </c>
      <c r="G6749" s="10" t="inlineStr">
        <is>
          <t>宇多野</t>
        </is>
      </c>
      <c r="H6749" s="10" t="inlineStr">
        <is>
          <t>発</t>
        </is>
      </c>
      <c r="J6749" s="10" t="inlineStr">
        <is>
          <t>営業</t>
        </is>
      </c>
      <c r="L6749" t="inlineStr">
        <is>
          <t>14:52:00</t>
        </is>
      </c>
      <c r="M6749" t="inlineStr">
        <is>
          <t>14:52:15</t>
        </is>
      </c>
    </row>
    <row r="6750" ht="16.5" customHeight="1" s="37">
      <c r="A6750" t="n">
        <v>18</v>
      </c>
      <c r="B6750" s="10" t="inlineStr">
        <is>
          <t>平日</t>
        </is>
      </c>
      <c r="C6750" s="10" t="inlineStr">
        <is>
          <t>北野線</t>
        </is>
      </c>
      <c r="D6750" s="10" t="inlineStr">
        <is>
          <t>上り</t>
        </is>
      </c>
      <c r="E6750" t="inlineStr">
        <is>
          <t>1460</t>
        </is>
      </c>
      <c r="F6750" t="inlineStr">
        <is>
          <t>0354</t>
        </is>
      </c>
      <c r="G6750" s="10" t="inlineStr">
        <is>
          <t>御室仁和寺</t>
        </is>
      </c>
      <c r="H6750" s="10" t="inlineStr">
        <is>
          <t>発</t>
        </is>
      </c>
      <c r="J6750" s="10" t="inlineStr">
        <is>
          <t>営業</t>
        </is>
      </c>
      <c r="L6750" t="inlineStr">
        <is>
          <t>14:53:15</t>
        </is>
      </c>
      <c r="M6750" t="inlineStr">
        <is>
          <t>14:53:35</t>
        </is>
      </c>
    </row>
    <row r="6751" ht="16.5" customHeight="1" s="37">
      <c r="A6751" t="n">
        <v>18</v>
      </c>
      <c r="B6751" s="10" t="inlineStr">
        <is>
          <t>平日</t>
        </is>
      </c>
      <c r="C6751" s="10" t="inlineStr">
        <is>
          <t>北野線</t>
        </is>
      </c>
      <c r="D6751" s="10" t="inlineStr">
        <is>
          <t>上り</t>
        </is>
      </c>
      <c r="E6751" t="inlineStr">
        <is>
          <t>1460</t>
        </is>
      </c>
      <c r="F6751" t="inlineStr">
        <is>
          <t>0354</t>
        </is>
      </c>
      <c r="G6751" s="10" t="inlineStr">
        <is>
          <t>妙心寺</t>
        </is>
      </c>
      <c r="H6751" s="10" t="inlineStr">
        <is>
          <t>発</t>
        </is>
      </c>
      <c r="J6751" s="10" t="inlineStr">
        <is>
          <t>営業</t>
        </is>
      </c>
      <c r="L6751" t="inlineStr">
        <is>
          <t>14:54:35</t>
        </is>
      </c>
      <c r="M6751" t="inlineStr">
        <is>
          <t>14:54:50</t>
        </is>
      </c>
    </row>
    <row r="6752" ht="16.5" customHeight="1" s="37">
      <c r="A6752" t="n">
        <v>18</v>
      </c>
      <c r="B6752" s="10" t="inlineStr">
        <is>
          <t>平日</t>
        </is>
      </c>
      <c r="C6752" s="10" t="inlineStr">
        <is>
          <t>北野線</t>
        </is>
      </c>
      <c r="D6752" s="10" t="inlineStr">
        <is>
          <t>上り</t>
        </is>
      </c>
      <c r="E6752" t="inlineStr">
        <is>
          <t>1460</t>
        </is>
      </c>
      <c r="F6752" t="inlineStr">
        <is>
          <t>0354</t>
        </is>
      </c>
      <c r="G6752" s="10" t="inlineStr">
        <is>
          <t>龍安寺</t>
        </is>
      </c>
      <c r="H6752" s="10" t="inlineStr">
        <is>
          <t>発</t>
        </is>
      </c>
      <c r="J6752" s="10" t="inlineStr">
        <is>
          <t>営業</t>
        </is>
      </c>
      <c r="L6752" t="inlineStr">
        <is>
          <t>14:55:45</t>
        </is>
      </c>
      <c r="M6752" t="inlineStr">
        <is>
          <t>14:55:55</t>
        </is>
      </c>
    </row>
    <row r="6753" ht="16.5" customHeight="1" s="37">
      <c r="A6753" t="n">
        <v>18</v>
      </c>
      <c r="B6753" s="10" t="inlineStr">
        <is>
          <t>平日</t>
        </is>
      </c>
      <c r="C6753" s="10" t="inlineStr">
        <is>
          <t>北野線</t>
        </is>
      </c>
      <c r="D6753" s="10" t="inlineStr">
        <is>
          <t>上り</t>
        </is>
      </c>
      <c r="E6753" t="inlineStr">
        <is>
          <t>1460</t>
        </is>
      </c>
      <c r="F6753" t="inlineStr">
        <is>
          <t>0354</t>
        </is>
      </c>
      <c r="G6753" s="10" t="inlineStr">
        <is>
          <t>等持院</t>
        </is>
      </c>
      <c r="H6753" s="10" t="inlineStr">
        <is>
          <t>発</t>
        </is>
      </c>
      <c r="J6753" s="10" t="inlineStr">
        <is>
          <t>営業</t>
        </is>
      </c>
      <c r="L6753" t="inlineStr">
        <is>
          <t>14:56:35</t>
        </is>
      </c>
      <c r="M6753" t="inlineStr">
        <is>
          <t>14:56:55</t>
        </is>
      </c>
    </row>
    <row r="6754" ht="16.5" customHeight="1" s="37">
      <c r="A6754" t="n">
        <v>18</v>
      </c>
      <c r="B6754" s="10" t="inlineStr">
        <is>
          <t>平日</t>
        </is>
      </c>
      <c r="C6754" s="10" t="inlineStr">
        <is>
          <t>北野線</t>
        </is>
      </c>
      <c r="D6754" s="10" t="inlineStr">
        <is>
          <t>上り</t>
        </is>
      </c>
      <c r="E6754" t="inlineStr">
        <is>
          <t>1460</t>
        </is>
      </c>
      <c r="F6754" t="inlineStr">
        <is>
          <t>0354</t>
        </is>
      </c>
      <c r="G6754" s="10" t="inlineStr">
        <is>
          <t>北野白梅町</t>
        </is>
      </c>
      <c r="H6754" s="10" t="inlineStr">
        <is>
          <t>着</t>
        </is>
      </c>
      <c r="J6754" s="10" t="inlineStr">
        <is>
          <t>営業</t>
        </is>
      </c>
      <c r="L6754" t="inlineStr">
        <is>
          <t>14:58:15</t>
        </is>
      </c>
      <c r="Q6754" t="inlineStr">
        <is>
          <t>1</t>
        </is>
      </c>
    </row>
    <row r="6755" ht="16.5" customHeight="1" s="37">
      <c r="A6755" t="n">
        <v>18</v>
      </c>
      <c r="B6755" s="10" t="inlineStr">
        <is>
          <t>平日</t>
        </is>
      </c>
      <c r="C6755" s="10" t="inlineStr">
        <is>
          <t>北野線</t>
        </is>
      </c>
      <c r="D6755" s="10" t="inlineStr">
        <is>
          <t>下り</t>
        </is>
      </c>
      <c r="E6755" t="inlineStr">
        <is>
          <t>1551</t>
        </is>
      </c>
      <c r="F6755" t="inlineStr">
        <is>
          <t>0453</t>
        </is>
      </c>
      <c r="G6755" s="10" t="inlineStr">
        <is>
          <t>北野白梅町</t>
        </is>
      </c>
      <c r="H6755" s="10" t="inlineStr">
        <is>
          <t>発</t>
        </is>
      </c>
      <c r="J6755" s="10" t="inlineStr">
        <is>
          <t>営業</t>
        </is>
      </c>
      <c r="M6755" t="inlineStr">
        <is>
          <t>15:03:00</t>
        </is>
      </c>
      <c r="Q6755" t="inlineStr">
        <is>
          <t>1</t>
        </is>
      </c>
    </row>
    <row r="6756" ht="16.5" customHeight="1" s="37">
      <c r="A6756" t="n">
        <v>18</v>
      </c>
      <c r="B6756" s="10" t="inlineStr">
        <is>
          <t>平日</t>
        </is>
      </c>
      <c r="C6756" s="10" t="inlineStr">
        <is>
          <t>北野線</t>
        </is>
      </c>
      <c r="D6756" s="10" t="inlineStr">
        <is>
          <t>下り</t>
        </is>
      </c>
      <c r="E6756" t="inlineStr">
        <is>
          <t>1551</t>
        </is>
      </c>
      <c r="F6756" t="inlineStr">
        <is>
          <t>0453</t>
        </is>
      </c>
      <c r="G6756" s="10" t="inlineStr">
        <is>
          <t>等持院</t>
        </is>
      </c>
      <c r="H6756" s="10" t="inlineStr">
        <is>
          <t>発</t>
        </is>
      </c>
      <c r="J6756" s="10" t="inlineStr">
        <is>
          <t>営業</t>
        </is>
      </c>
      <c r="L6756" t="inlineStr">
        <is>
          <t>15:04:25</t>
        </is>
      </c>
      <c r="M6756" t="inlineStr">
        <is>
          <t>15:04:35</t>
        </is>
      </c>
    </row>
    <row r="6757" ht="16.5" customHeight="1" s="37">
      <c r="A6757" t="n">
        <v>18</v>
      </c>
      <c r="B6757" s="10" t="inlineStr">
        <is>
          <t>平日</t>
        </is>
      </c>
      <c r="C6757" s="10" t="inlineStr">
        <is>
          <t>北野線</t>
        </is>
      </c>
      <c r="D6757" s="10" t="inlineStr">
        <is>
          <t>下り</t>
        </is>
      </c>
      <c r="E6757" t="inlineStr">
        <is>
          <t>1551</t>
        </is>
      </c>
      <c r="F6757" t="inlineStr">
        <is>
          <t>0453</t>
        </is>
      </c>
      <c r="G6757" s="10" t="inlineStr">
        <is>
          <t>龍安寺</t>
        </is>
      </c>
      <c r="H6757" s="10" t="inlineStr">
        <is>
          <t>発</t>
        </is>
      </c>
      <c r="J6757" s="10" t="inlineStr">
        <is>
          <t>営業</t>
        </is>
      </c>
      <c r="L6757" t="inlineStr">
        <is>
          <t>15:05:25</t>
        </is>
      </c>
      <c r="M6757" t="inlineStr">
        <is>
          <t>15:05:50</t>
        </is>
      </c>
    </row>
    <row r="6758" ht="16.5" customHeight="1" s="37">
      <c r="A6758" t="n">
        <v>18</v>
      </c>
      <c r="B6758" s="10" t="inlineStr">
        <is>
          <t>平日</t>
        </is>
      </c>
      <c r="C6758" s="10" t="inlineStr">
        <is>
          <t>北野線</t>
        </is>
      </c>
      <c r="D6758" s="10" t="inlineStr">
        <is>
          <t>下り</t>
        </is>
      </c>
      <c r="E6758" t="inlineStr">
        <is>
          <t>1551</t>
        </is>
      </c>
      <c r="F6758" t="inlineStr">
        <is>
          <t>0453</t>
        </is>
      </c>
      <c r="G6758" s="10" t="inlineStr">
        <is>
          <t>妙心寺</t>
        </is>
      </c>
      <c r="H6758" s="10" t="inlineStr">
        <is>
          <t>発</t>
        </is>
      </c>
      <c r="J6758" s="10" t="inlineStr">
        <is>
          <t>営業</t>
        </is>
      </c>
      <c r="L6758" t="inlineStr">
        <is>
          <t>15:06:40</t>
        </is>
      </c>
      <c r="M6758" t="inlineStr">
        <is>
          <t>15:06:50</t>
        </is>
      </c>
    </row>
    <row r="6759" ht="16.5" customHeight="1" s="37">
      <c r="A6759" t="n">
        <v>18</v>
      </c>
      <c r="B6759" s="10" t="inlineStr">
        <is>
          <t>平日</t>
        </is>
      </c>
      <c r="C6759" s="10" t="inlineStr">
        <is>
          <t>北野線</t>
        </is>
      </c>
      <c r="D6759" s="10" t="inlineStr">
        <is>
          <t>下り</t>
        </is>
      </c>
      <c r="E6759" t="inlineStr">
        <is>
          <t>1551</t>
        </is>
      </c>
      <c r="F6759" t="inlineStr">
        <is>
          <t>0453</t>
        </is>
      </c>
      <c r="G6759" s="10" t="inlineStr">
        <is>
          <t>御室仁和寺</t>
        </is>
      </c>
      <c r="H6759" s="10" t="inlineStr">
        <is>
          <t>発</t>
        </is>
      </c>
      <c r="J6759" s="10" t="inlineStr">
        <is>
          <t>営業</t>
        </is>
      </c>
      <c r="L6759" t="inlineStr">
        <is>
          <t>15:07:50</t>
        </is>
      </c>
      <c r="M6759" t="inlineStr">
        <is>
          <t>15:08:05</t>
        </is>
      </c>
    </row>
    <row r="6760" ht="16.5" customHeight="1" s="37">
      <c r="A6760" t="n">
        <v>18</v>
      </c>
      <c r="B6760" s="10" t="inlineStr">
        <is>
          <t>平日</t>
        </is>
      </c>
      <c r="C6760" s="10" t="inlineStr">
        <is>
          <t>北野線</t>
        </is>
      </c>
      <c r="D6760" s="10" t="inlineStr">
        <is>
          <t>下り</t>
        </is>
      </c>
      <c r="E6760" t="inlineStr">
        <is>
          <t>1551</t>
        </is>
      </c>
      <c r="F6760" t="inlineStr">
        <is>
          <t>0453</t>
        </is>
      </c>
      <c r="G6760" s="10" t="inlineStr">
        <is>
          <t>宇多野</t>
        </is>
      </c>
      <c r="H6760" s="10" t="inlineStr">
        <is>
          <t>発</t>
        </is>
      </c>
      <c r="J6760" s="10" t="inlineStr">
        <is>
          <t>営業</t>
        </is>
      </c>
      <c r="L6760" t="inlineStr">
        <is>
          <t>15:09:05</t>
        </is>
      </c>
      <c r="M6760" t="inlineStr">
        <is>
          <t>15:09:15</t>
        </is>
      </c>
    </row>
    <row r="6761" ht="16.5" customHeight="1" s="37">
      <c r="A6761" t="n">
        <v>18</v>
      </c>
      <c r="B6761" s="10" t="inlineStr">
        <is>
          <t>平日</t>
        </is>
      </c>
      <c r="C6761" s="10" t="inlineStr">
        <is>
          <t>北野線</t>
        </is>
      </c>
      <c r="D6761" s="10" t="inlineStr">
        <is>
          <t>下り</t>
        </is>
      </c>
      <c r="E6761" t="inlineStr">
        <is>
          <t>1551</t>
        </is>
      </c>
      <c r="F6761" t="inlineStr">
        <is>
          <t>0453</t>
        </is>
      </c>
      <c r="G6761" s="10" t="inlineStr">
        <is>
          <t>鳴滝</t>
        </is>
      </c>
      <c r="H6761" s="10" t="inlineStr">
        <is>
          <t>発</t>
        </is>
      </c>
      <c r="J6761" s="10" t="inlineStr">
        <is>
          <t>営業</t>
        </is>
      </c>
      <c r="L6761" t="inlineStr">
        <is>
          <t>15:10:35</t>
        </is>
      </c>
      <c r="M6761" t="inlineStr">
        <is>
          <t>15:10:45</t>
        </is>
      </c>
    </row>
    <row r="6762" ht="16.5" customHeight="1" s="37">
      <c r="A6762" t="n">
        <v>18</v>
      </c>
      <c r="B6762" s="10" t="inlineStr">
        <is>
          <t>平日</t>
        </is>
      </c>
      <c r="C6762" s="10" t="inlineStr">
        <is>
          <t>北野線</t>
        </is>
      </c>
      <c r="D6762" s="10" t="inlineStr">
        <is>
          <t>下り</t>
        </is>
      </c>
      <c r="E6762" t="inlineStr">
        <is>
          <t>1551</t>
        </is>
      </c>
      <c r="F6762" t="inlineStr">
        <is>
          <t>0453</t>
        </is>
      </c>
      <c r="G6762" s="10" t="inlineStr">
        <is>
          <t>常盤</t>
        </is>
      </c>
      <c r="H6762" s="10" t="inlineStr">
        <is>
          <t>発</t>
        </is>
      </c>
      <c r="J6762" s="10" t="inlineStr">
        <is>
          <t>営業</t>
        </is>
      </c>
      <c r="L6762" t="inlineStr">
        <is>
          <t>15:11:35</t>
        </is>
      </c>
      <c r="M6762" t="inlineStr">
        <is>
          <t>15:11:55</t>
        </is>
      </c>
    </row>
    <row r="6763" ht="16.5" customHeight="1" s="37">
      <c r="A6763" t="n">
        <v>18</v>
      </c>
      <c r="B6763" s="10" t="inlineStr">
        <is>
          <t>平日</t>
        </is>
      </c>
      <c r="C6763" s="10" t="inlineStr">
        <is>
          <t>北野線</t>
        </is>
      </c>
      <c r="D6763" s="10" t="inlineStr">
        <is>
          <t>下り</t>
        </is>
      </c>
      <c r="E6763" t="inlineStr">
        <is>
          <t>1551</t>
        </is>
      </c>
      <c r="F6763" t="inlineStr">
        <is>
          <t>0453</t>
        </is>
      </c>
      <c r="G6763" s="10" t="inlineStr">
        <is>
          <t>撮影所前</t>
        </is>
      </c>
      <c r="H6763" s="10" t="inlineStr">
        <is>
          <t>発</t>
        </is>
      </c>
      <c r="J6763" s="10" t="inlineStr">
        <is>
          <t>営業</t>
        </is>
      </c>
      <c r="L6763" t="inlineStr">
        <is>
          <t>15:13:15</t>
        </is>
      </c>
      <c r="M6763" t="inlineStr">
        <is>
          <t>15:13:30</t>
        </is>
      </c>
    </row>
    <row r="6764" ht="16.5" customHeight="1" s="37">
      <c r="A6764" t="n">
        <v>18</v>
      </c>
      <c r="B6764" s="10" t="inlineStr">
        <is>
          <t>平日</t>
        </is>
      </c>
      <c r="C6764" s="10" t="inlineStr">
        <is>
          <t>北野線</t>
        </is>
      </c>
      <c r="D6764" s="10" t="inlineStr">
        <is>
          <t>下り</t>
        </is>
      </c>
      <c r="E6764" t="inlineStr">
        <is>
          <t>1551</t>
        </is>
      </c>
      <c r="F6764" t="inlineStr">
        <is>
          <t>0453</t>
        </is>
      </c>
      <c r="G6764" s="10" t="inlineStr">
        <is>
          <t>帷子ノ辻</t>
        </is>
      </c>
      <c r="H6764" s="10" t="inlineStr">
        <is>
          <t>着</t>
        </is>
      </c>
      <c r="J6764" s="10" t="inlineStr">
        <is>
          <t>営業</t>
        </is>
      </c>
      <c r="L6764" t="inlineStr">
        <is>
          <t>15:14:25</t>
        </is>
      </c>
      <c r="Q6764" t="inlineStr">
        <is>
          <t>4</t>
        </is>
      </c>
      <c r="T6764" t="inlineStr">
        <is>
          <t>○</t>
        </is>
      </c>
    </row>
    <row r="6765" ht="16.5" customHeight="1" s="37">
      <c r="A6765" t="n">
        <v>18</v>
      </c>
      <c r="B6765" s="10" t="inlineStr">
        <is>
          <t>平日</t>
        </is>
      </c>
      <c r="C6765" s="10" t="inlineStr">
        <is>
          <t>本線</t>
        </is>
      </c>
      <c r="D6765" s="10" t="inlineStr">
        <is>
          <t>上り</t>
        </is>
      </c>
      <c r="E6765" t="inlineStr">
        <is>
          <t>18系統⑥便乗</t>
        </is>
      </c>
      <c r="F6765" s="10" t="inlineStr">
        <is>
          <t>便乗</t>
        </is>
      </c>
      <c r="G6765" s="10" t="inlineStr">
        <is>
          <t>帷子ノ辻</t>
        </is>
      </c>
      <c r="H6765" s="10" t="inlineStr">
        <is>
          <t>発</t>
        </is>
      </c>
      <c r="J6765" s="10" t="inlineStr">
        <is>
          <t>便乗</t>
        </is>
      </c>
      <c r="L6765" t="inlineStr">
        <is>
          <t>15:20:10</t>
        </is>
      </c>
      <c r="M6765" t="inlineStr">
        <is>
          <t>15:21:15</t>
        </is>
      </c>
      <c r="S6765" t="inlineStr">
        <is>
          <t>1504</t>
        </is>
      </c>
    </row>
    <row r="6766" ht="16.5" customHeight="1" s="37">
      <c r="A6766" t="n">
        <v>18</v>
      </c>
      <c r="B6766" s="10" t="inlineStr">
        <is>
          <t>平日</t>
        </is>
      </c>
      <c r="C6766" s="10" t="inlineStr">
        <is>
          <t>本線</t>
        </is>
      </c>
      <c r="D6766" s="10" t="inlineStr">
        <is>
          <t>上り</t>
        </is>
      </c>
      <c r="E6766" t="inlineStr">
        <is>
          <t>18系統⑥便乗</t>
        </is>
      </c>
      <c r="F6766" s="10" t="inlineStr">
        <is>
          <t>便乗</t>
        </is>
      </c>
      <c r="G6766" s="10" t="inlineStr">
        <is>
          <t>太秦広隆寺</t>
        </is>
      </c>
      <c r="H6766" s="10" t="inlineStr">
        <is>
          <t>発</t>
        </is>
      </c>
      <c r="J6766" s="10" t="inlineStr">
        <is>
          <t>便乗</t>
        </is>
      </c>
      <c r="L6766" t="inlineStr">
        <is>
          <t>15:23:25</t>
        </is>
      </c>
      <c r="M6766" t="inlineStr">
        <is>
          <t>15:23:45</t>
        </is>
      </c>
      <c r="S6766" t="inlineStr">
        <is>
          <t>1504</t>
        </is>
      </c>
    </row>
    <row r="6767" ht="16.5" customHeight="1" s="37">
      <c r="A6767" t="n">
        <v>18</v>
      </c>
      <c r="B6767" s="10" t="inlineStr">
        <is>
          <t>平日</t>
        </is>
      </c>
      <c r="C6767" s="10" t="inlineStr">
        <is>
          <t>本線</t>
        </is>
      </c>
      <c r="D6767" s="10" t="inlineStr">
        <is>
          <t>上り</t>
        </is>
      </c>
      <c r="E6767" t="inlineStr">
        <is>
          <t>18系統⑥便乗</t>
        </is>
      </c>
      <c r="F6767" s="10" t="inlineStr">
        <is>
          <t>便乗</t>
        </is>
      </c>
      <c r="G6767" s="10" t="inlineStr">
        <is>
          <t>蚕ノ社</t>
        </is>
      </c>
      <c r="H6767" s="10" t="inlineStr">
        <is>
          <t>発</t>
        </is>
      </c>
      <c r="J6767" s="10" t="inlineStr">
        <is>
          <t>便乗</t>
        </is>
      </c>
      <c r="L6767" t="inlineStr">
        <is>
          <t>15:25:00</t>
        </is>
      </c>
      <c r="M6767" t="inlineStr">
        <is>
          <t>15:25:20</t>
        </is>
      </c>
      <c r="S6767" t="inlineStr">
        <is>
          <t>1504</t>
        </is>
      </c>
    </row>
    <row r="6768" ht="16.5" customHeight="1" s="37">
      <c r="A6768" t="n">
        <v>18</v>
      </c>
      <c r="B6768" s="10" t="inlineStr">
        <is>
          <t>平日</t>
        </is>
      </c>
      <c r="C6768" s="10" t="inlineStr">
        <is>
          <t>本線</t>
        </is>
      </c>
      <c r="D6768" s="10" t="inlineStr">
        <is>
          <t>上り</t>
        </is>
      </c>
      <c r="E6768" t="inlineStr">
        <is>
          <t>18系統⑥便乗</t>
        </is>
      </c>
      <c r="F6768" s="10" t="inlineStr">
        <is>
          <t>便乗</t>
        </is>
      </c>
      <c r="G6768" s="10" t="inlineStr">
        <is>
          <t>天神川</t>
        </is>
      </c>
      <c r="H6768" s="10" t="inlineStr">
        <is>
          <t>発</t>
        </is>
      </c>
      <c r="J6768" s="10" t="inlineStr">
        <is>
          <t>便乗</t>
        </is>
      </c>
      <c r="L6768" t="inlineStr">
        <is>
          <t>15:26:05</t>
        </is>
      </c>
      <c r="M6768" t="inlineStr">
        <is>
          <t>15:26:50</t>
        </is>
      </c>
      <c r="S6768" t="inlineStr">
        <is>
          <t>1504</t>
        </is>
      </c>
    </row>
    <row r="6769" ht="16.5" customHeight="1" s="37">
      <c r="A6769" t="n">
        <v>18</v>
      </c>
      <c r="B6769" s="10" t="inlineStr">
        <is>
          <t>平日</t>
        </is>
      </c>
      <c r="C6769" s="10" t="inlineStr">
        <is>
          <t>本線</t>
        </is>
      </c>
      <c r="D6769" s="10" t="inlineStr">
        <is>
          <t>上り</t>
        </is>
      </c>
      <c r="E6769" t="inlineStr">
        <is>
          <t>18系統⑥便乗</t>
        </is>
      </c>
      <c r="F6769" s="10" t="inlineStr">
        <is>
          <t>便乗</t>
        </is>
      </c>
      <c r="G6769" s="10" t="inlineStr">
        <is>
          <t>山ノ内</t>
        </is>
      </c>
      <c r="H6769" s="10" t="inlineStr">
        <is>
          <t>発</t>
        </is>
      </c>
      <c r="J6769" s="10" t="inlineStr">
        <is>
          <t>便乗</t>
        </is>
      </c>
      <c r="L6769" t="inlineStr">
        <is>
          <t>15:28:40</t>
        </is>
      </c>
      <c r="M6769" t="inlineStr">
        <is>
          <t>15:29:05</t>
        </is>
      </c>
      <c r="S6769" t="inlineStr">
        <is>
          <t>1504</t>
        </is>
      </c>
    </row>
    <row r="6770" ht="16.5" customHeight="1" s="37">
      <c r="A6770" t="n">
        <v>18</v>
      </c>
      <c r="B6770" s="10" t="inlineStr">
        <is>
          <t>平日</t>
        </is>
      </c>
      <c r="C6770" s="10" t="inlineStr">
        <is>
          <t>本線</t>
        </is>
      </c>
      <c r="D6770" s="10" t="inlineStr">
        <is>
          <t>上り</t>
        </is>
      </c>
      <c r="E6770" t="inlineStr">
        <is>
          <t>18系統⑥便乗</t>
        </is>
      </c>
      <c r="F6770" s="10" t="inlineStr">
        <is>
          <t>便乗</t>
        </is>
      </c>
      <c r="G6770" s="10" t="inlineStr">
        <is>
          <t>西大路三条</t>
        </is>
      </c>
      <c r="H6770" s="10" t="inlineStr">
        <is>
          <t>発</t>
        </is>
      </c>
      <c r="J6770" s="10" t="inlineStr">
        <is>
          <t>便乗</t>
        </is>
      </c>
      <c r="L6770" t="inlineStr">
        <is>
          <t>15:30:55</t>
        </is>
      </c>
      <c r="M6770" t="inlineStr">
        <is>
          <t>15:31:15</t>
        </is>
      </c>
      <c r="S6770" t="inlineStr">
        <is>
          <t>1504</t>
        </is>
      </c>
    </row>
    <row r="6771" ht="16.5" customHeight="1" s="37">
      <c r="A6771" t="n">
        <v>18</v>
      </c>
      <c r="B6771" s="10" t="inlineStr">
        <is>
          <t>平日</t>
        </is>
      </c>
      <c r="C6771" s="10" t="inlineStr">
        <is>
          <t>本線</t>
        </is>
      </c>
      <c r="D6771" s="10" t="inlineStr">
        <is>
          <t>上り</t>
        </is>
      </c>
      <c r="E6771" t="inlineStr">
        <is>
          <t>18系統⑥便乗</t>
        </is>
      </c>
      <c r="F6771" s="10" t="inlineStr">
        <is>
          <t>便乗</t>
        </is>
      </c>
      <c r="G6771" s="10" t="inlineStr">
        <is>
          <t>西院</t>
        </is>
      </c>
      <c r="H6771" s="10" t="inlineStr">
        <is>
          <t>着</t>
        </is>
      </c>
      <c r="J6771" s="10" t="inlineStr">
        <is>
          <t>便乗</t>
        </is>
      </c>
      <c r="L6771" t="inlineStr">
        <is>
          <t>15:33:10</t>
        </is>
      </c>
      <c r="M6771" t="inlineStr">
        <is>
          <t>15:34:05</t>
        </is>
      </c>
      <c r="S6771" t="inlineStr">
        <is>
          <t>1504</t>
        </is>
      </c>
    </row>
    <row r="6772" ht="16.5" customHeight="1" s="37">
      <c r="A6772" t="n">
        <v>18</v>
      </c>
      <c r="B6772" s="10" t="inlineStr">
        <is>
          <t>平日</t>
        </is>
      </c>
      <c r="C6772" s="10" t="inlineStr">
        <is>
          <t>本線</t>
        </is>
      </c>
      <c r="D6772" s="10" t="inlineStr">
        <is>
          <t>下り</t>
        </is>
      </c>
      <c r="E6772" s="10" t="inlineStr">
        <is>
          <t>回0691</t>
        </is>
      </c>
      <c r="G6772" s="10" t="inlineStr">
        <is>
          <t>西院</t>
        </is>
      </c>
      <c r="H6772" s="10" t="inlineStr">
        <is>
          <t>発</t>
        </is>
      </c>
      <c r="J6772" s="10" t="inlineStr">
        <is>
          <t>回送</t>
        </is>
      </c>
      <c r="K6772" t="inlineStr">
        <is>
          <t>→0660</t>
        </is>
      </c>
      <c r="M6772" t="inlineStr">
        <is>
          <t>6:40:20</t>
        </is>
      </c>
    </row>
    <row r="6773" ht="16.5" customHeight="1" s="37">
      <c r="A6773" t="n">
        <v>18</v>
      </c>
      <c r="B6773" s="10" t="inlineStr">
        <is>
          <t>平日</t>
        </is>
      </c>
      <c r="C6773" s="10" t="inlineStr">
        <is>
          <t>本線</t>
        </is>
      </c>
      <c r="D6773" s="10" t="inlineStr">
        <is>
          <t>下り</t>
        </is>
      </c>
      <c r="E6773" s="10" t="inlineStr">
        <is>
          <t>回0691</t>
        </is>
      </c>
      <c r="G6773" s="10" t="inlineStr">
        <is>
          <t>西大路三条</t>
        </is>
      </c>
      <c r="H6773" s="10" t="inlineStr">
        <is>
          <t>発</t>
        </is>
      </c>
      <c r="J6773" s="10" t="inlineStr">
        <is>
          <t>回送</t>
        </is>
      </c>
      <c r="K6773" t="inlineStr">
        <is>
          <t>→0660</t>
        </is>
      </c>
      <c r="L6773" t="inlineStr">
        <is>
          <t>6:42:10</t>
        </is>
      </c>
      <c r="M6773" t="inlineStr">
        <is>
          <t>6:42:25</t>
        </is>
      </c>
    </row>
    <row r="6774" ht="16.5" customHeight="1" s="37">
      <c r="A6774" t="n">
        <v>18</v>
      </c>
      <c r="B6774" s="10" t="inlineStr">
        <is>
          <t>平日</t>
        </is>
      </c>
      <c r="C6774" s="10" t="inlineStr">
        <is>
          <t>本線</t>
        </is>
      </c>
      <c r="D6774" s="10" t="inlineStr">
        <is>
          <t>下り</t>
        </is>
      </c>
      <c r="E6774" s="10" t="inlineStr">
        <is>
          <t>回0691</t>
        </is>
      </c>
      <c r="G6774" s="10" t="inlineStr">
        <is>
          <t>山ノ内</t>
        </is>
      </c>
      <c r="H6774" s="10" t="inlineStr">
        <is>
          <t>発</t>
        </is>
      </c>
      <c r="J6774" s="10" t="inlineStr">
        <is>
          <t>回送</t>
        </is>
      </c>
      <c r="K6774" t="inlineStr">
        <is>
          <t>→0660</t>
        </is>
      </c>
      <c r="L6774" t="inlineStr">
        <is>
          <t>6:44:20</t>
        </is>
      </c>
      <c r="M6774" t="inlineStr">
        <is>
          <t>6:44:45</t>
        </is>
      </c>
    </row>
    <row r="6775" ht="16.5" customHeight="1" s="37">
      <c r="A6775" t="n">
        <v>18</v>
      </c>
      <c r="B6775" s="10" t="inlineStr">
        <is>
          <t>平日</t>
        </is>
      </c>
      <c r="C6775" s="10" t="inlineStr">
        <is>
          <t>本線</t>
        </is>
      </c>
      <c r="D6775" s="10" t="inlineStr">
        <is>
          <t>下り</t>
        </is>
      </c>
      <c r="E6775" s="10" t="inlineStr">
        <is>
          <t>回0691</t>
        </is>
      </c>
      <c r="G6775" s="10" t="inlineStr">
        <is>
          <t>天神川</t>
        </is>
      </c>
      <c r="H6775" s="10" t="inlineStr">
        <is>
          <t>発</t>
        </is>
      </c>
      <c r="J6775" s="10" t="inlineStr">
        <is>
          <t>回送</t>
        </is>
      </c>
      <c r="K6775" t="inlineStr">
        <is>
          <t>→0660</t>
        </is>
      </c>
      <c r="L6775" t="inlineStr">
        <is>
          <t>6:46:45</t>
        </is>
      </c>
      <c r="M6775" t="inlineStr">
        <is>
          <t>6:47:10</t>
        </is>
      </c>
    </row>
    <row r="6776" ht="16.5" customHeight="1" s="37">
      <c r="A6776" t="n">
        <v>18</v>
      </c>
      <c r="B6776" s="10" t="inlineStr">
        <is>
          <t>平日</t>
        </is>
      </c>
      <c r="C6776" s="10" t="inlineStr">
        <is>
          <t>本線</t>
        </is>
      </c>
      <c r="D6776" s="10" t="inlineStr">
        <is>
          <t>下り</t>
        </is>
      </c>
      <c r="E6776" s="10" t="inlineStr">
        <is>
          <t>回0691</t>
        </is>
      </c>
      <c r="G6776" s="10" t="inlineStr">
        <is>
          <t>蚕ノ社</t>
        </is>
      </c>
      <c r="H6776" s="10" t="inlineStr">
        <is>
          <t>発</t>
        </is>
      </c>
      <c r="J6776" s="10" t="inlineStr">
        <is>
          <t>回送</t>
        </is>
      </c>
      <c r="K6776" t="inlineStr">
        <is>
          <t>→0660</t>
        </is>
      </c>
      <c r="L6776" t="inlineStr">
        <is>
          <t>6:48:00</t>
        </is>
      </c>
      <c r="M6776" t="inlineStr">
        <is>
          <t>6:48:15</t>
        </is>
      </c>
    </row>
    <row r="6777" ht="16.5" customHeight="1" s="37">
      <c r="A6777" t="n">
        <v>18</v>
      </c>
      <c r="B6777" s="10" t="inlineStr">
        <is>
          <t>平日</t>
        </is>
      </c>
      <c r="C6777" s="10" t="inlineStr">
        <is>
          <t>本線</t>
        </is>
      </c>
      <c r="D6777" s="10" t="inlineStr">
        <is>
          <t>下り</t>
        </is>
      </c>
      <c r="E6777" s="10" t="inlineStr">
        <is>
          <t>回0691</t>
        </is>
      </c>
      <c r="G6777" s="10" t="inlineStr">
        <is>
          <t>太秦広隆寺</t>
        </is>
      </c>
      <c r="H6777" s="10" t="inlineStr">
        <is>
          <t>発</t>
        </is>
      </c>
      <c r="J6777" s="10" t="inlineStr">
        <is>
          <t>回送</t>
        </is>
      </c>
      <c r="K6777" t="inlineStr">
        <is>
          <t>→0660</t>
        </is>
      </c>
      <c r="L6777" t="inlineStr">
        <is>
          <t>6:49:35</t>
        </is>
      </c>
      <c r="M6777" t="inlineStr">
        <is>
          <t>6:49:50</t>
        </is>
      </c>
    </row>
    <row r="6778" ht="16.5" customHeight="1" s="37">
      <c r="A6778" t="n">
        <v>18</v>
      </c>
      <c r="B6778" s="10" t="inlineStr">
        <is>
          <t>平日</t>
        </is>
      </c>
      <c r="C6778" s="10" t="inlineStr">
        <is>
          <t>本線</t>
        </is>
      </c>
      <c r="D6778" s="10" t="inlineStr">
        <is>
          <t>下り</t>
        </is>
      </c>
      <c r="E6778" s="10" t="inlineStr">
        <is>
          <t>回0691</t>
        </is>
      </c>
      <c r="G6778" s="10" t="inlineStr">
        <is>
          <t>帷子ノ辻</t>
        </is>
      </c>
      <c r="H6778" s="10" t="inlineStr">
        <is>
          <t>着</t>
        </is>
      </c>
      <c r="J6778" s="10" t="inlineStr">
        <is>
          <t>回送</t>
        </is>
      </c>
      <c r="K6778" t="inlineStr">
        <is>
          <t>→0660</t>
        </is>
      </c>
      <c r="L6778" t="inlineStr">
        <is>
          <t>6:51:50</t>
        </is>
      </c>
    </row>
    <row r="6779" ht="16.5" customHeight="1" s="37">
      <c r="A6779" t="n">
        <v>19</v>
      </c>
      <c r="B6779" s="10" t="inlineStr">
        <is>
          <t>平日</t>
        </is>
      </c>
      <c r="C6779" s="10" t="inlineStr">
        <is>
          <t>北野線</t>
        </is>
      </c>
      <c r="D6779" s="10" t="inlineStr">
        <is>
          <t>上り</t>
        </is>
      </c>
      <c r="E6779" t="inlineStr">
        <is>
          <t>0754</t>
        </is>
      </c>
      <c r="F6779" t="inlineStr">
        <is>
          <t>0354</t>
        </is>
      </c>
      <c r="G6779" s="10" t="inlineStr">
        <is>
          <t>帷子ノ辻</t>
        </is>
      </c>
      <c r="H6779" s="10" t="inlineStr">
        <is>
          <t>発</t>
        </is>
      </c>
      <c r="J6779" s="10" t="inlineStr">
        <is>
          <t>営業</t>
        </is>
      </c>
      <c r="M6779" t="inlineStr">
        <is>
          <t>7:14:00</t>
        </is>
      </c>
      <c r="Q6779" t="inlineStr">
        <is>
          <t>3留</t>
        </is>
      </c>
    </row>
    <row r="6780" ht="16.5" customHeight="1" s="37">
      <c r="A6780" t="n">
        <v>19</v>
      </c>
      <c r="B6780" s="10" t="inlineStr">
        <is>
          <t>平日</t>
        </is>
      </c>
      <c r="C6780" s="10" t="inlineStr">
        <is>
          <t>北野線</t>
        </is>
      </c>
      <c r="D6780" s="10" t="inlineStr">
        <is>
          <t>上り</t>
        </is>
      </c>
      <c r="E6780" t="inlineStr">
        <is>
          <t>0754</t>
        </is>
      </c>
      <c r="F6780" t="inlineStr">
        <is>
          <t>0354</t>
        </is>
      </c>
      <c r="G6780" s="10" t="inlineStr">
        <is>
          <t>撮影所前</t>
        </is>
      </c>
      <c r="H6780" s="10" t="inlineStr">
        <is>
          <t>発</t>
        </is>
      </c>
      <c r="J6780" s="10" t="inlineStr">
        <is>
          <t>営業</t>
        </is>
      </c>
      <c r="L6780" t="inlineStr">
        <is>
          <t>7:15:00</t>
        </is>
      </c>
      <c r="M6780" t="inlineStr">
        <is>
          <t>7:15:10</t>
        </is>
      </c>
    </row>
    <row r="6781" ht="16.5" customHeight="1" s="37">
      <c r="A6781" t="n">
        <v>19</v>
      </c>
      <c r="B6781" s="10" t="inlineStr">
        <is>
          <t>平日</t>
        </is>
      </c>
      <c r="C6781" s="10" t="inlineStr">
        <is>
          <t>北野線</t>
        </is>
      </c>
      <c r="D6781" s="10" t="inlineStr">
        <is>
          <t>上り</t>
        </is>
      </c>
      <c r="E6781" t="inlineStr">
        <is>
          <t>0754</t>
        </is>
      </c>
      <c r="F6781" t="inlineStr">
        <is>
          <t>0354</t>
        </is>
      </c>
      <c r="G6781" s="10" t="inlineStr">
        <is>
          <t>常盤</t>
        </is>
      </c>
      <c r="H6781" s="10" t="inlineStr">
        <is>
          <t>発</t>
        </is>
      </c>
      <c r="J6781" s="10" t="inlineStr">
        <is>
          <t>営業</t>
        </is>
      </c>
      <c r="L6781" t="inlineStr">
        <is>
          <t>7:16:30</t>
        </is>
      </c>
      <c r="M6781" t="inlineStr">
        <is>
          <t>7:16:50</t>
        </is>
      </c>
    </row>
    <row r="6782" ht="16.5" customHeight="1" s="37">
      <c r="A6782" t="n">
        <v>19</v>
      </c>
      <c r="B6782" s="10" t="inlineStr">
        <is>
          <t>平日</t>
        </is>
      </c>
      <c r="C6782" s="10" t="inlineStr">
        <is>
          <t>北野線</t>
        </is>
      </c>
      <c r="D6782" s="10" t="inlineStr">
        <is>
          <t>上り</t>
        </is>
      </c>
      <c r="E6782" t="inlineStr">
        <is>
          <t>0754</t>
        </is>
      </c>
      <c r="F6782" t="inlineStr">
        <is>
          <t>0354</t>
        </is>
      </c>
      <c r="G6782" s="10" t="inlineStr">
        <is>
          <t>鳴滝</t>
        </is>
      </c>
      <c r="H6782" s="10" t="inlineStr">
        <is>
          <t>発</t>
        </is>
      </c>
      <c r="J6782" s="10" t="inlineStr">
        <is>
          <t>営業</t>
        </is>
      </c>
      <c r="L6782" t="inlineStr">
        <is>
          <t>7:17:50</t>
        </is>
      </c>
      <c r="M6782" t="inlineStr">
        <is>
          <t>7:18:10</t>
        </is>
      </c>
    </row>
    <row r="6783" ht="16.5" customHeight="1" s="37">
      <c r="A6783" t="n">
        <v>19</v>
      </c>
      <c r="B6783" s="10" t="inlineStr">
        <is>
          <t>平日</t>
        </is>
      </c>
      <c r="C6783" s="10" t="inlineStr">
        <is>
          <t>北野線</t>
        </is>
      </c>
      <c r="D6783" s="10" t="inlineStr">
        <is>
          <t>上り</t>
        </is>
      </c>
      <c r="E6783" t="inlineStr">
        <is>
          <t>0754</t>
        </is>
      </c>
      <c r="F6783" t="inlineStr">
        <is>
          <t>0354</t>
        </is>
      </c>
      <c r="G6783" s="10" t="inlineStr">
        <is>
          <t>宇多野</t>
        </is>
      </c>
      <c r="H6783" s="10" t="inlineStr">
        <is>
          <t>発</t>
        </is>
      </c>
      <c r="J6783" s="10" t="inlineStr">
        <is>
          <t>営業</t>
        </is>
      </c>
      <c r="L6783" t="inlineStr">
        <is>
          <t>7:19:30</t>
        </is>
      </c>
      <c r="M6783" t="inlineStr">
        <is>
          <t>7:19:45</t>
        </is>
      </c>
    </row>
    <row r="6784" ht="16.5" customHeight="1" s="37">
      <c r="A6784" t="n">
        <v>19</v>
      </c>
      <c r="B6784" s="10" t="inlineStr">
        <is>
          <t>平日</t>
        </is>
      </c>
      <c r="C6784" s="10" t="inlineStr">
        <is>
          <t>北野線</t>
        </is>
      </c>
      <c r="D6784" s="10" t="inlineStr">
        <is>
          <t>上り</t>
        </is>
      </c>
      <c r="E6784" t="inlineStr">
        <is>
          <t>0754</t>
        </is>
      </c>
      <c r="F6784" t="inlineStr">
        <is>
          <t>0354</t>
        </is>
      </c>
      <c r="G6784" s="10" t="inlineStr">
        <is>
          <t>御室仁和寺</t>
        </is>
      </c>
      <c r="H6784" s="10" t="inlineStr">
        <is>
          <t>発</t>
        </is>
      </c>
      <c r="J6784" s="10" t="inlineStr">
        <is>
          <t>営業</t>
        </is>
      </c>
      <c r="L6784" t="inlineStr">
        <is>
          <t>7:20:45</t>
        </is>
      </c>
      <c r="M6784" t="inlineStr">
        <is>
          <t>7:20:55</t>
        </is>
      </c>
    </row>
    <row r="6785" ht="15" customHeight="1" s="37">
      <c r="A6785" t="n">
        <v>19</v>
      </c>
      <c r="B6785" s="10" t="inlineStr">
        <is>
          <t>平日</t>
        </is>
      </c>
      <c r="C6785" s="10" t="inlineStr">
        <is>
          <t>北野線</t>
        </is>
      </c>
      <c r="D6785" s="10" t="inlineStr">
        <is>
          <t>上り</t>
        </is>
      </c>
      <c r="E6785" t="inlineStr">
        <is>
          <t>0754</t>
        </is>
      </c>
      <c r="F6785" t="inlineStr">
        <is>
          <t>0354</t>
        </is>
      </c>
      <c r="G6785" s="10" t="inlineStr">
        <is>
          <t>妙心寺</t>
        </is>
      </c>
      <c r="H6785" s="10" t="inlineStr">
        <is>
          <t>発</t>
        </is>
      </c>
      <c r="J6785" s="10" t="inlineStr">
        <is>
          <t>営業</t>
        </is>
      </c>
      <c r="L6785" t="inlineStr">
        <is>
          <t>7:21:55</t>
        </is>
      </c>
      <c r="M6785" t="inlineStr">
        <is>
          <t>7:22:10</t>
        </is>
      </c>
    </row>
    <row r="6786" ht="15" customHeight="1" s="37">
      <c r="A6786" t="n">
        <v>19</v>
      </c>
      <c r="B6786" s="10" t="inlineStr">
        <is>
          <t>平日</t>
        </is>
      </c>
      <c r="C6786" s="10" t="inlineStr">
        <is>
          <t>北野線</t>
        </is>
      </c>
      <c r="D6786" s="10" t="inlineStr">
        <is>
          <t>上り</t>
        </is>
      </c>
      <c r="E6786" t="inlineStr">
        <is>
          <t>0754</t>
        </is>
      </c>
      <c r="F6786" t="inlineStr">
        <is>
          <t>0354</t>
        </is>
      </c>
      <c r="G6786" s="10" t="inlineStr">
        <is>
          <t>龍安寺</t>
        </is>
      </c>
      <c r="H6786" s="10" t="inlineStr">
        <is>
          <t>発</t>
        </is>
      </c>
      <c r="J6786" s="10" t="inlineStr">
        <is>
          <t>営業</t>
        </is>
      </c>
      <c r="L6786" t="inlineStr">
        <is>
          <t>7:23:05</t>
        </is>
      </c>
      <c r="M6786" t="inlineStr">
        <is>
          <t>7:23:20</t>
        </is>
      </c>
    </row>
    <row r="6787" ht="15" customHeight="1" s="37">
      <c r="A6787" t="n">
        <v>19</v>
      </c>
      <c r="B6787" s="10" t="inlineStr">
        <is>
          <t>平日</t>
        </is>
      </c>
      <c r="C6787" s="10" t="inlineStr">
        <is>
          <t>北野線</t>
        </is>
      </c>
      <c r="D6787" s="10" t="inlineStr">
        <is>
          <t>上り</t>
        </is>
      </c>
      <c r="E6787" t="inlineStr">
        <is>
          <t>0754</t>
        </is>
      </c>
      <c r="F6787" t="inlineStr">
        <is>
          <t>0354</t>
        </is>
      </c>
      <c r="G6787" s="10" t="inlineStr">
        <is>
          <t>等持院</t>
        </is>
      </c>
      <c r="H6787" s="10" t="inlineStr">
        <is>
          <t>発</t>
        </is>
      </c>
      <c r="J6787" s="10" t="inlineStr">
        <is>
          <t>営業</t>
        </is>
      </c>
      <c r="L6787" t="inlineStr">
        <is>
          <t>7:24:00</t>
        </is>
      </c>
      <c r="M6787" t="inlineStr">
        <is>
          <t>7:24:20</t>
        </is>
      </c>
    </row>
    <row r="6788" ht="15" customHeight="1" s="37">
      <c r="A6788" t="n">
        <v>19</v>
      </c>
      <c r="B6788" s="10" t="inlineStr">
        <is>
          <t>平日</t>
        </is>
      </c>
      <c r="C6788" s="10" t="inlineStr">
        <is>
          <t>北野線</t>
        </is>
      </c>
      <c r="D6788" s="10" t="inlineStr">
        <is>
          <t>上り</t>
        </is>
      </c>
      <c r="E6788" t="inlineStr">
        <is>
          <t>0754</t>
        </is>
      </c>
      <c r="F6788" t="inlineStr">
        <is>
          <t>0354</t>
        </is>
      </c>
      <c r="G6788" s="10" t="inlineStr">
        <is>
          <t>北野白梅町</t>
        </is>
      </c>
      <c r="H6788" s="10" t="inlineStr">
        <is>
          <t>着</t>
        </is>
      </c>
      <c r="J6788" s="10" t="inlineStr">
        <is>
          <t>営業</t>
        </is>
      </c>
      <c r="L6788" t="inlineStr">
        <is>
          <t>7:25:40</t>
        </is>
      </c>
      <c r="Q6788" t="inlineStr">
        <is>
          <t>1</t>
        </is>
      </c>
    </row>
    <row r="6789" ht="15" customHeight="1" s="37">
      <c r="A6789" t="n">
        <v>19</v>
      </c>
      <c r="B6789" s="10" t="inlineStr">
        <is>
          <t>平日</t>
        </is>
      </c>
      <c r="C6789" s="10" t="inlineStr">
        <is>
          <t>北野線</t>
        </is>
      </c>
      <c r="D6789" s="10" t="inlineStr">
        <is>
          <t>下り</t>
        </is>
      </c>
      <c r="E6789" t="inlineStr">
        <is>
          <t>0757</t>
        </is>
      </c>
      <c r="F6789" t="inlineStr">
        <is>
          <t>0453</t>
        </is>
      </c>
      <c r="G6789" s="10" t="inlineStr">
        <is>
          <t>北野白梅町</t>
        </is>
      </c>
      <c r="H6789" s="10" t="inlineStr">
        <is>
          <t>発</t>
        </is>
      </c>
      <c r="J6789" s="10" t="inlineStr">
        <is>
          <t>営業</t>
        </is>
      </c>
      <c r="M6789" t="inlineStr">
        <is>
          <t>7:30:50</t>
        </is>
      </c>
      <c r="Q6789" t="inlineStr">
        <is>
          <t>1</t>
        </is>
      </c>
    </row>
    <row r="6790" ht="15" customHeight="1" s="37">
      <c r="A6790" t="n">
        <v>19</v>
      </c>
      <c r="B6790" s="10" t="inlineStr">
        <is>
          <t>平日</t>
        </is>
      </c>
      <c r="C6790" s="10" t="inlineStr">
        <is>
          <t>北野線</t>
        </is>
      </c>
      <c r="D6790" s="10" t="inlineStr">
        <is>
          <t>下り</t>
        </is>
      </c>
      <c r="E6790" t="inlineStr">
        <is>
          <t>0757</t>
        </is>
      </c>
      <c r="F6790" t="inlineStr">
        <is>
          <t>0453</t>
        </is>
      </c>
      <c r="G6790" s="10" t="inlineStr">
        <is>
          <t>等持院</t>
        </is>
      </c>
      <c r="H6790" s="10" t="inlineStr">
        <is>
          <t>発</t>
        </is>
      </c>
      <c r="J6790" s="10" t="inlineStr">
        <is>
          <t>営業</t>
        </is>
      </c>
      <c r="L6790" t="inlineStr">
        <is>
          <t>7:32:15</t>
        </is>
      </c>
      <c r="M6790" t="inlineStr">
        <is>
          <t>7:32:25</t>
        </is>
      </c>
    </row>
    <row r="6791" ht="15" customHeight="1" s="37">
      <c r="A6791" t="n">
        <v>19</v>
      </c>
      <c r="B6791" s="10" t="inlineStr">
        <is>
          <t>平日</t>
        </is>
      </c>
      <c r="C6791" s="10" t="inlineStr">
        <is>
          <t>北野線</t>
        </is>
      </c>
      <c r="D6791" s="10" t="inlineStr">
        <is>
          <t>下り</t>
        </is>
      </c>
      <c r="E6791" t="inlineStr">
        <is>
          <t>0757</t>
        </is>
      </c>
      <c r="F6791" t="inlineStr">
        <is>
          <t>0453</t>
        </is>
      </c>
      <c r="G6791" s="10" t="inlineStr">
        <is>
          <t>龍安寺</t>
        </is>
      </c>
      <c r="H6791" s="10" t="inlineStr">
        <is>
          <t>発</t>
        </is>
      </c>
      <c r="J6791" s="10" t="inlineStr">
        <is>
          <t>営業</t>
        </is>
      </c>
      <c r="L6791" t="inlineStr">
        <is>
          <t>7:33:15</t>
        </is>
      </c>
      <c r="M6791" t="inlineStr">
        <is>
          <t>7:33:35</t>
        </is>
      </c>
    </row>
    <row r="6792" ht="15" customHeight="1" s="37">
      <c r="A6792" t="n">
        <v>19</v>
      </c>
      <c r="B6792" s="10" t="inlineStr">
        <is>
          <t>平日</t>
        </is>
      </c>
      <c r="C6792" s="10" t="inlineStr">
        <is>
          <t>北野線</t>
        </is>
      </c>
      <c r="D6792" s="10" t="inlineStr">
        <is>
          <t>下り</t>
        </is>
      </c>
      <c r="E6792" t="inlineStr">
        <is>
          <t>0757</t>
        </is>
      </c>
      <c r="F6792" t="inlineStr">
        <is>
          <t>0453</t>
        </is>
      </c>
      <c r="G6792" s="10" t="inlineStr">
        <is>
          <t>妙心寺</t>
        </is>
      </c>
      <c r="H6792" s="10" t="inlineStr">
        <is>
          <t>発</t>
        </is>
      </c>
      <c r="J6792" s="10" t="inlineStr">
        <is>
          <t>営業</t>
        </is>
      </c>
      <c r="L6792" t="inlineStr">
        <is>
          <t>7:34:30</t>
        </is>
      </c>
      <c r="M6792" t="inlineStr">
        <is>
          <t>7:34:40</t>
        </is>
      </c>
    </row>
    <row r="6793" ht="15" customHeight="1" s="37">
      <c r="A6793" t="n">
        <v>19</v>
      </c>
      <c r="B6793" s="10" t="inlineStr">
        <is>
          <t>平日</t>
        </is>
      </c>
      <c r="C6793" s="10" t="inlineStr">
        <is>
          <t>北野線</t>
        </is>
      </c>
      <c r="D6793" s="10" t="inlineStr">
        <is>
          <t>下り</t>
        </is>
      </c>
      <c r="E6793" t="inlineStr">
        <is>
          <t>0757</t>
        </is>
      </c>
      <c r="F6793" t="inlineStr">
        <is>
          <t>0453</t>
        </is>
      </c>
      <c r="G6793" s="10" t="inlineStr">
        <is>
          <t>御室仁和寺</t>
        </is>
      </c>
      <c r="H6793" s="10" t="inlineStr">
        <is>
          <t>発</t>
        </is>
      </c>
      <c r="J6793" s="10" t="inlineStr">
        <is>
          <t>営業</t>
        </is>
      </c>
      <c r="L6793" t="inlineStr">
        <is>
          <t>7:35:40</t>
        </is>
      </c>
      <c r="M6793" t="inlineStr">
        <is>
          <t>7:36:45</t>
        </is>
      </c>
    </row>
    <row r="6794" ht="15" customHeight="1" s="37">
      <c r="A6794" t="n">
        <v>19</v>
      </c>
      <c r="B6794" s="10" t="inlineStr">
        <is>
          <t>平日</t>
        </is>
      </c>
      <c r="C6794" s="10" t="inlineStr">
        <is>
          <t>北野線</t>
        </is>
      </c>
      <c r="D6794" s="10" t="inlineStr">
        <is>
          <t>下り</t>
        </is>
      </c>
      <c r="E6794" t="inlineStr">
        <is>
          <t>0757</t>
        </is>
      </c>
      <c r="F6794" t="inlineStr">
        <is>
          <t>0453</t>
        </is>
      </c>
      <c r="G6794" s="10" t="inlineStr">
        <is>
          <t>宇多野</t>
        </is>
      </c>
      <c r="H6794" s="10" t="inlineStr">
        <is>
          <t>発</t>
        </is>
      </c>
      <c r="J6794" s="10" t="inlineStr">
        <is>
          <t>営業</t>
        </is>
      </c>
      <c r="L6794" t="inlineStr">
        <is>
          <t>7:37:45</t>
        </is>
      </c>
      <c r="M6794" t="inlineStr">
        <is>
          <t>7:37:55</t>
        </is>
      </c>
    </row>
    <row r="6795" ht="15" customHeight="1" s="37">
      <c r="A6795" t="n">
        <v>19</v>
      </c>
      <c r="B6795" s="10" t="inlineStr">
        <is>
          <t>平日</t>
        </is>
      </c>
      <c r="C6795" s="10" t="inlineStr">
        <is>
          <t>北野線</t>
        </is>
      </c>
      <c r="D6795" s="10" t="inlineStr">
        <is>
          <t>下り</t>
        </is>
      </c>
      <c r="E6795" t="inlineStr">
        <is>
          <t>0757</t>
        </is>
      </c>
      <c r="F6795" t="inlineStr">
        <is>
          <t>0453</t>
        </is>
      </c>
      <c r="G6795" s="10" t="inlineStr">
        <is>
          <t>鳴滝</t>
        </is>
      </c>
      <c r="H6795" s="10" t="inlineStr">
        <is>
          <t>発</t>
        </is>
      </c>
      <c r="J6795" s="10" t="inlineStr">
        <is>
          <t>営業</t>
        </is>
      </c>
      <c r="L6795" t="inlineStr">
        <is>
          <t>7:39:15</t>
        </is>
      </c>
      <c r="M6795" t="inlineStr">
        <is>
          <t>7:39:25</t>
        </is>
      </c>
    </row>
    <row r="6796" ht="15" customHeight="1" s="37">
      <c r="A6796" t="n">
        <v>19</v>
      </c>
      <c r="B6796" s="10" t="inlineStr">
        <is>
          <t>平日</t>
        </is>
      </c>
      <c r="C6796" s="10" t="inlineStr">
        <is>
          <t>北野線</t>
        </is>
      </c>
      <c r="D6796" s="10" t="inlineStr">
        <is>
          <t>下り</t>
        </is>
      </c>
      <c r="E6796" t="inlineStr">
        <is>
          <t>0757</t>
        </is>
      </c>
      <c r="F6796" t="inlineStr">
        <is>
          <t>0453</t>
        </is>
      </c>
      <c r="G6796" s="10" t="inlineStr">
        <is>
          <t>常盤</t>
        </is>
      </c>
      <c r="H6796" s="10" t="inlineStr">
        <is>
          <t>発</t>
        </is>
      </c>
      <c r="J6796" s="10" t="inlineStr">
        <is>
          <t>営業</t>
        </is>
      </c>
      <c r="L6796" t="inlineStr">
        <is>
          <t>7:40:15</t>
        </is>
      </c>
      <c r="M6796" t="inlineStr">
        <is>
          <t>7:40:35</t>
        </is>
      </c>
    </row>
    <row r="6797" ht="15" customHeight="1" s="37">
      <c r="A6797" t="n">
        <v>19</v>
      </c>
      <c r="B6797" s="10" t="inlineStr">
        <is>
          <t>平日</t>
        </is>
      </c>
      <c r="C6797" s="10" t="inlineStr">
        <is>
          <t>北野線</t>
        </is>
      </c>
      <c r="D6797" s="10" t="inlineStr">
        <is>
          <t>下り</t>
        </is>
      </c>
      <c r="E6797" t="inlineStr">
        <is>
          <t>0757</t>
        </is>
      </c>
      <c r="F6797" t="inlineStr">
        <is>
          <t>0453</t>
        </is>
      </c>
      <c r="G6797" s="10" t="inlineStr">
        <is>
          <t>撮影所前</t>
        </is>
      </c>
      <c r="H6797" s="10" t="inlineStr">
        <is>
          <t>発</t>
        </is>
      </c>
      <c r="J6797" s="10" t="inlineStr">
        <is>
          <t>営業</t>
        </is>
      </c>
      <c r="L6797" t="inlineStr">
        <is>
          <t>7:41:55</t>
        </is>
      </c>
      <c r="M6797" t="inlineStr">
        <is>
          <t>7:42:05</t>
        </is>
      </c>
    </row>
    <row r="6798" ht="15" customHeight="1" s="37">
      <c r="A6798" t="n">
        <v>19</v>
      </c>
      <c r="B6798" s="10" t="inlineStr">
        <is>
          <t>平日</t>
        </is>
      </c>
      <c r="C6798" s="10" t="inlineStr">
        <is>
          <t>北野線</t>
        </is>
      </c>
      <c r="D6798" s="10" t="inlineStr">
        <is>
          <t>下り</t>
        </is>
      </c>
      <c r="E6798" t="inlineStr">
        <is>
          <t>0757</t>
        </is>
      </c>
      <c r="F6798" t="inlineStr">
        <is>
          <t>0453</t>
        </is>
      </c>
      <c r="G6798" s="10" t="inlineStr">
        <is>
          <t>帷子ノ辻</t>
        </is>
      </c>
      <c r="H6798" s="10" t="inlineStr">
        <is>
          <t>着</t>
        </is>
      </c>
      <c r="J6798" s="10" t="inlineStr">
        <is>
          <t>営業</t>
        </is>
      </c>
      <c r="L6798" t="inlineStr">
        <is>
          <t>7:43:00</t>
        </is>
      </c>
      <c r="Q6798" t="inlineStr">
        <is>
          <t>4</t>
        </is>
      </c>
    </row>
    <row r="6799" ht="15" customHeight="1" s="37">
      <c r="A6799" t="n">
        <v>19</v>
      </c>
      <c r="B6799" s="10" t="inlineStr">
        <is>
          <t>平日</t>
        </is>
      </c>
      <c r="C6799" s="10" t="inlineStr">
        <is>
          <t>北野線</t>
        </is>
      </c>
      <c r="D6799" s="10" t="inlineStr">
        <is>
          <t>上り</t>
        </is>
      </c>
      <c r="E6799" t="inlineStr">
        <is>
          <t>0852</t>
        </is>
      </c>
      <c r="F6799" t="inlineStr">
        <is>
          <t>0354</t>
        </is>
      </c>
      <c r="G6799" s="10" t="inlineStr">
        <is>
          <t>帷子ノ辻</t>
        </is>
      </c>
      <c r="H6799" s="10" t="inlineStr">
        <is>
          <t>発</t>
        </is>
      </c>
      <c r="J6799" s="10" t="inlineStr">
        <is>
          <t>営業</t>
        </is>
      </c>
      <c r="M6799" t="inlineStr">
        <is>
          <t>8:02:00</t>
        </is>
      </c>
      <c r="Q6799" t="inlineStr">
        <is>
          <t>4</t>
        </is>
      </c>
    </row>
    <row r="6800" ht="15" customHeight="1" s="37">
      <c r="A6800" t="n">
        <v>19</v>
      </c>
      <c r="B6800" s="10" t="inlineStr">
        <is>
          <t>平日</t>
        </is>
      </c>
      <c r="C6800" s="10" t="inlineStr">
        <is>
          <t>北野線</t>
        </is>
      </c>
      <c r="D6800" s="10" t="inlineStr">
        <is>
          <t>上り</t>
        </is>
      </c>
      <c r="E6800" t="inlineStr">
        <is>
          <t>0852</t>
        </is>
      </c>
      <c r="F6800" t="inlineStr">
        <is>
          <t>0354</t>
        </is>
      </c>
      <c r="G6800" s="10" t="inlineStr">
        <is>
          <t>撮影所前</t>
        </is>
      </c>
      <c r="H6800" s="10" t="inlineStr">
        <is>
          <t>発</t>
        </is>
      </c>
      <c r="J6800" s="10" t="inlineStr">
        <is>
          <t>営業</t>
        </is>
      </c>
      <c r="L6800" t="inlineStr">
        <is>
          <t>8:03:00</t>
        </is>
      </c>
      <c r="M6800" t="inlineStr">
        <is>
          <t>8:03:10</t>
        </is>
      </c>
    </row>
    <row r="6801" ht="15" customHeight="1" s="37">
      <c r="A6801" t="n">
        <v>19</v>
      </c>
      <c r="B6801" s="10" t="inlineStr">
        <is>
          <t>平日</t>
        </is>
      </c>
      <c r="C6801" s="10" t="inlineStr">
        <is>
          <t>北野線</t>
        </is>
      </c>
      <c r="D6801" s="10" t="inlineStr">
        <is>
          <t>上り</t>
        </is>
      </c>
      <c r="E6801" t="inlineStr">
        <is>
          <t>0852</t>
        </is>
      </c>
      <c r="F6801" t="inlineStr">
        <is>
          <t>0354</t>
        </is>
      </c>
      <c r="G6801" s="10" t="inlineStr">
        <is>
          <t>常盤</t>
        </is>
      </c>
      <c r="H6801" s="10" t="inlineStr">
        <is>
          <t>発</t>
        </is>
      </c>
      <c r="J6801" s="10" t="inlineStr">
        <is>
          <t>営業</t>
        </is>
      </c>
      <c r="L6801" t="inlineStr">
        <is>
          <t>8:04:30</t>
        </is>
      </c>
      <c r="M6801" t="inlineStr">
        <is>
          <t>8:04:50</t>
        </is>
      </c>
    </row>
    <row r="6802" ht="15" customHeight="1" s="37">
      <c r="A6802" t="n">
        <v>19</v>
      </c>
      <c r="B6802" s="10" t="inlineStr">
        <is>
          <t>平日</t>
        </is>
      </c>
      <c r="C6802" s="10" t="inlineStr">
        <is>
          <t>北野線</t>
        </is>
      </c>
      <c r="D6802" s="10" t="inlineStr">
        <is>
          <t>上り</t>
        </is>
      </c>
      <c r="E6802" t="inlineStr">
        <is>
          <t>0852</t>
        </is>
      </c>
      <c r="F6802" t="inlineStr">
        <is>
          <t>0354</t>
        </is>
      </c>
      <c r="G6802" s="10" t="inlineStr">
        <is>
          <t>鳴滝</t>
        </is>
      </c>
      <c r="H6802" s="10" t="inlineStr">
        <is>
          <t>発</t>
        </is>
      </c>
      <c r="J6802" s="10" t="inlineStr">
        <is>
          <t>営業</t>
        </is>
      </c>
      <c r="L6802" t="inlineStr">
        <is>
          <t>8:05:50</t>
        </is>
      </c>
      <c r="M6802" t="inlineStr">
        <is>
          <t>8:06:10</t>
        </is>
      </c>
    </row>
    <row r="6803" ht="15" customHeight="1" s="37">
      <c r="A6803" t="n">
        <v>19</v>
      </c>
      <c r="B6803" s="10" t="inlineStr">
        <is>
          <t>平日</t>
        </is>
      </c>
      <c r="C6803" s="10" t="inlineStr">
        <is>
          <t>北野線</t>
        </is>
      </c>
      <c r="D6803" s="10" t="inlineStr">
        <is>
          <t>上り</t>
        </is>
      </c>
      <c r="E6803" t="inlineStr">
        <is>
          <t>0852</t>
        </is>
      </c>
      <c r="F6803" t="inlineStr">
        <is>
          <t>0354</t>
        </is>
      </c>
      <c r="G6803" s="10" t="inlineStr">
        <is>
          <t>宇多野</t>
        </is>
      </c>
      <c r="H6803" s="10" t="inlineStr">
        <is>
          <t>発</t>
        </is>
      </c>
      <c r="J6803" s="10" t="inlineStr">
        <is>
          <t>営業</t>
        </is>
      </c>
      <c r="L6803" t="inlineStr">
        <is>
          <t>8:07:30</t>
        </is>
      </c>
      <c r="M6803" t="inlineStr">
        <is>
          <t>8:07:45</t>
        </is>
      </c>
    </row>
    <row r="6804" ht="15" customHeight="1" s="37">
      <c r="A6804" t="n">
        <v>19</v>
      </c>
      <c r="B6804" s="10" t="inlineStr">
        <is>
          <t>平日</t>
        </is>
      </c>
      <c r="C6804" s="10" t="inlineStr">
        <is>
          <t>北野線</t>
        </is>
      </c>
      <c r="D6804" s="10" t="inlineStr">
        <is>
          <t>上り</t>
        </is>
      </c>
      <c r="E6804" t="inlineStr">
        <is>
          <t>0852</t>
        </is>
      </c>
      <c r="F6804" t="inlineStr">
        <is>
          <t>0354</t>
        </is>
      </c>
      <c r="G6804" s="10" t="inlineStr">
        <is>
          <t>御室仁和寺</t>
        </is>
      </c>
      <c r="H6804" s="10" t="inlineStr">
        <is>
          <t>発</t>
        </is>
      </c>
      <c r="J6804" s="10" t="inlineStr">
        <is>
          <t>営業</t>
        </is>
      </c>
      <c r="L6804" t="inlineStr">
        <is>
          <t>8:08:45</t>
        </is>
      </c>
      <c r="M6804" t="inlineStr">
        <is>
          <t>8:08:55</t>
        </is>
      </c>
    </row>
    <row r="6805" ht="15" customHeight="1" s="37">
      <c r="A6805" t="n">
        <v>19</v>
      </c>
      <c r="B6805" s="10" t="inlineStr">
        <is>
          <t>平日</t>
        </is>
      </c>
      <c r="C6805" s="10" t="inlineStr">
        <is>
          <t>北野線</t>
        </is>
      </c>
      <c r="D6805" s="10" t="inlineStr">
        <is>
          <t>上り</t>
        </is>
      </c>
      <c r="E6805" t="inlineStr">
        <is>
          <t>0852</t>
        </is>
      </c>
      <c r="F6805" t="inlineStr">
        <is>
          <t>0354</t>
        </is>
      </c>
      <c r="G6805" s="10" t="inlineStr">
        <is>
          <t>妙心寺</t>
        </is>
      </c>
      <c r="H6805" s="10" t="inlineStr">
        <is>
          <t>発</t>
        </is>
      </c>
      <c r="J6805" s="10" t="inlineStr">
        <is>
          <t>営業</t>
        </is>
      </c>
      <c r="L6805" t="inlineStr">
        <is>
          <t>8:09:55</t>
        </is>
      </c>
      <c r="M6805" t="inlineStr">
        <is>
          <t>8:10:10</t>
        </is>
      </c>
    </row>
    <row r="6806" ht="15" customHeight="1" s="37">
      <c r="A6806" t="n">
        <v>19</v>
      </c>
      <c r="B6806" s="10" t="inlineStr">
        <is>
          <t>平日</t>
        </is>
      </c>
      <c r="C6806" s="10" t="inlineStr">
        <is>
          <t>北野線</t>
        </is>
      </c>
      <c r="D6806" s="10" t="inlineStr">
        <is>
          <t>上り</t>
        </is>
      </c>
      <c r="E6806" t="inlineStr">
        <is>
          <t>0852</t>
        </is>
      </c>
      <c r="F6806" t="inlineStr">
        <is>
          <t>0354</t>
        </is>
      </c>
      <c r="G6806" s="10" t="inlineStr">
        <is>
          <t>龍安寺</t>
        </is>
      </c>
      <c r="H6806" s="10" t="inlineStr">
        <is>
          <t>発</t>
        </is>
      </c>
      <c r="J6806" s="10" t="inlineStr">
        <is>
          <t>営業</t>
        </is>
      </c>
      <c r="L6806" t="inlineStr">
        <is>
          <t>8:11:05</t>
        </is>
      </c>
      <c r="M6806" t="inlineStr">
        <is>
          <t>8:11:20</t>
        </is>
      </c>
    </row>
    <row r="6807" ht="15" customHeight="1" s="37">
      <c r="A6807" t="n">
        <v>19</v>
      </c>
      <c r="B6807" s="10" t="inlineStr">
        <is>
          <t>平日</t>
        </is>
      </c>
      <c r="C6807" s="10" t="inlineStr">
        <is>
          <t>北野線</t>
        </is>
      </c>
      <c r="D6807" s="10" t="inlineStr">
        <is>
          <t>上り</t>
        </is>
      </c>
      <c r="E6807" t="inlineStr">
        <is>
          <t>0852</t>
        </is>
      </c>
      <c r="F6807" t="inlineStr">
        <is>
          <t>0354</t>
        </is>
      </c>
      <c r="G6807" s="10" t="inlineStr">
        <is>
          <t>等持院</t>
        </is>
      </c>
      <c r="H6807" s="10" t="inlineStr">
        <is>
          <t>発</t>
        </is>
      </c>
      <c r="J6807" s="10" t="inlineStr">
        <is>
          <t>営業</t>
        </is>
      </c>
      <c r="L6807" t="inlineStr">
        <is>
          <t>8:12:00</t>
        </is>
      </c>
      <c r="M6807" t="inlineStr">
        <is>
          <t>8:12:20</t>
        </is>
      </c>
    </row>
    <row r="6808" ht="15" customHeight="1" s="37">
      <c r="A6808" t="n">
        <v>19</v>
      </c>
      <c r="B6808" s="10" t="inlineStr">
        <is>
          <t>平日</t>
        </is>
      </c>
      <c r="C6808" s="10" t="inlineStr">
        <is>
          <t>北野線</t>
        </is>
      </c>
      <c r="D6808" s="10" t="inlineStr">
        <is>
          <t>上り</t>
        </is>
      </c>
      <c r="E6808" t="inlineStr">
        <is>
          <t>0852</t>
        </is>
      </c>
      <c r="F6808" t="inlineStr">
        <is>
          <t>0354</t>
        </is>
      </c>
      <c r="G6808" s="10" t="inlineStr">
        <is>
          <t>北野白梅町</t>
        </is>
      </c>
      <c r="H6808" s="10" t="inlineStr">
        <is>
          <t>着</t>
        </is>
      </c>
      <c r="J6808" s="10" t="inlineStr">
        <is>
          <t>営業</t>
        </is>
      </c>
      <c r="L6808" t="inlineStr">
        <is>
          <t>8:13:40</t>
        </is>
      </c>
      <c r="Q6808" t="inlineStr">
        <is>
          <t>1</t>
        </is>
      </c>
    </row>
    <row r="6809" ht="15" customHeight="1" s="37">
      <c r="A6809" t="n">
        <v>19</v>
      </c>
      <c r="B6809" s="10" t="inlineStr">
        <is>
          <t>平日</t>
        </is>
      </c>
      <c r="C6809" s="10" t="inlineStr">
        <is>
          <t>北野線</t>
        </is>
      </c>
      <c r="D6809" s="10" t="inlineStr">
        <is>
          <t>下り</t>
        </is>
      </c>
      <c r="E6809" t="inlineStr">
        <is>
          <t>0855</t>
        </is>
      </c>
      <c r="F6809" t="inlineStr">
        <is>
          <t>0453</t>
        </is>
      </c>
      <c r="G6809" s="10" t="inlineStr">
        <is>
          <t>北野白梅町</t>
        </is>
      </c>
      <c r="H6809" s="10" t="inlineStr">
        <is>
          <t>発</t>
        </is>
      </c>
      <c r="J6809" s="10" t="inlineStr">
        <is>
          <t>営業</t>
        </is>
      </c>
      <c r="M6809" t="inlineStr">
        <is>
          <t>8:18:50</t>
        </is>
      </c>
      <c r="Q6809" t="inlineStr">
        <is>
          <t>1</t>
        </is>
      </c>
    </row>
    <row r="6810" ht="15" customHeight="1" s="37">
      <c r="A6810" t="n">
        <v>19</v>
      </c>
      <c r="B6810" s="10" t="inlineStr">
        <is>
          <t>平日</t>
        </is>
      </c>
      <c r="C6810" s="10" t="inlineStr">
        <is>
          <t>北野線</t>
        </is>
      </c>
      <c r="D6810" s="10" t="inlineStr">
        <is>
          <t>下り</t>
        </is>
      </c>
      <c r="E6810" t="inlineStr">
        <is>
          <t>0855</t>
        </is>
      </c>
      <c r="F6810" t="inlineStr">
        <is>
          <t>0453</t>
        </is>
      </c>
      <c r="G6810" s="10" t="inlineStr">
        <is>
          <t>等持院</t>
        </is>
      </c>
      <c r="H6810" s="10" t="inlineStr">
        <is>
          <t>発</t>
        </is>
      </c>
      <c r="J6810" s="10" t="inlineStr">
        <is>
          <t>営業</t>
        </is>
      </c>
      <c r="L6810" t="inlineStr">
        <is>
          <t>8:20:15</t>
        </is>
      </c>
      <c r="M6810" t="inlineStr">
        <is>
          <t>8:20:25</t>
        </is>
      </c>
    </row>
    <row r="6811" ht="15" customHeight="1" s="37">
      <c r="A6811" t="n">
        <v>19</v>
      </c>
      <c r="B6811" s="10" t="inlineStr">
        <is>
          <t>平日</t>
        </is>
      </c>
      <c r="C6811" s="10" t="inlineStr">
        <is>
          <t>北野線</t>
        </is>
      </c>
      <c r="D6811" s="10" t="inlineStr">
        <is>
          <t>下り</t>
        </is>
      </c>
      <c r="E6811" t="inlineStr">
        <is>
          <t>0855</t>
        </is>
      </c>
      <c r="F6811" t="inlineStr">
        <is>
          <t>0453</t>
        </is>
      </c>
      <c r="G6811" s="10" t="inlineStr">
        <is>
          <t>龍安寺</t>
        </is>
      </c>
      <c r="H6811" s="10" t="inlineStr">
        <is>
          <t>発</t>
        </is>
      </c>
      <c r="J6811" s="10" t="inlineStr">
        <is>
          <t>営業</t>
        </is>
      </c>
      <c r="L6811" t="inlineStr">
        <is>
          <t>8:21:15</t>
        </is>
      </c>
      <c r="M6811" t="inlineStr">
        <is>
          <t>8:21:35</t>
        </is>
      </c>
    </row>
    <row r="6812" ht="15" customHeight="1" s="37">
      <c r="A6812" t="n">
        <v>19</v>
      </c>
      <c r="B6812" s="10" t="inlineStr">
        <is>
          <t>平日</t>
        </is>
      </c>
      <c r="C6812" s="10" t="inlineStr">
        <is>
          <t>北野線</t>
        </is>
      </c>
      <c r="D6812" s="10" t="inlineStr">
        <is>
          <t>下り</t>
        </is>
      </c>
      <c r="E6812" t="inlineStr">
        <is>
          <t>0855</t>
        </is>
      </c>
      <c r="F6812" t="inlineStr">
        <is>
          <t>0453</t>
        </is>
      </c>
      <c r="G6812" s="10" t="inlineStr">
        <is>
          <t>妙心寺</t>
        </is>
      </c>
      <c r="H6812" s="10" t="inlineStr">
        <is>
          <t>発</t>
        </is>
      </c>
      <c r="J6812" s="10" t="inlineStr">
        <is>
          <t>営業</t>
        </is>
      </c>
      <c r="L6812" t="inlineStr">
        <is>
          <t>8:22:30</t>
        </is>
      </c>
      <c r="M6812" t="inlineStr">
        <is>
          <t>8:22:40</t>
        </is>
      </c>
    </row>
    <row r="6813" ht="15" customHeight="1" s="37">
      <c r="A6813" t="n">
        <v>19</v>
      </c>
      <c r="B6813" s="10" t="inlineStr">
        <is>
          <t>平日</t>
        </is>
      </c>
      <c r="C6813" s="10" t="inlineStr">
        <is>
          <t>北野線</t>
        </is>
      </c>
      <c r="D6813" s="10" t="inlineStr">
        <is>
          <t>下り</t>
        </is>
      </c>
      <c r="E6813" t="inlineStr">
        <is>
          <t>0855</t>
        </is>
      </c>
      <c r="F6813" t="inlineStr">
        <is>
          <t>0453</t>
        </is>
      </c>
      <c r="G6813" s="10" t="inlineStr">
        <is>
          <t>御室仁和寺</t>
        </is>
      </c>
      <c r="H6813" s="10" t="inlineStr">
        <is>
          <t>発</t>
        </is>
      </c>
      <c r="J6813" s="10" t="inlineStr">
        <is>
          <t>営業</t>
        </is>
      </c>
      <c r="L6813" t="inlineStr">
        <is>
          <t>8:23:40</t>
        </is>
      </c>
      <c r="M6813" t="inlineStr">
        <is>
          <t>8:24:45</t>
        </is>
      </c>
    </row>
    <row r="6814" ht="15" customHeight="1" s="37">
      <c r="A6814" t="n">
        <v>19</v>
      </c>
      <c r="B6814" s="10" t="inlineStr">
        <is>
          <t>平日</t>
        </is>
      </c>
      <c r="C6814" s="10" t="inlineStr">
        <is>
          <t>北野線</t>
        </is>
      </c>
      <c r="D6814" s="10" t="inlineStr">
        <is>
          <t>下り</t>
        </is>
      </c>
      <c r="E6814" t="inlineStr">
        <is>
          <t>0855</t>
        </is>
      </c>
      <c r="F6814" t="inlineStr">
        <is>
          <t>0453</t>
        </is>
      </c>
      <c r="G6814" s="10" t="inlineStr">
        <is>
          <t>宇多野</t>
        </is>
      </c>
      <c r="H6814" s="10" t="inlineStr">
        <is>
          <t>発</t>
        </is>
      </c>
      <c r="J6814" s="10" t="inlineStr">
        <is>
          <t>営業</t>
        </is>
      </c>
      <c r="L6814" t="inlineStr">
        <is>
          <t>8:25:45</t>
        </is>
      </c>
      <c r="M6814" t="inlineStr">
        <is>
          <t>8:25:55</t>
        </is>
      </c>
    </row>
    <row r="6815" ht="15" customHeight="1" s="37">
      <c r="A6815" t="n">
        <v>19</v>
      </c>
      <c r="B6815" s="10" t="inlineStr">
        <is>
          <t>平日</t>
        </is>
      </c>
      <c r="C6815" s="10" t="inlineStr">
        <is>
          <t>北野線</t>
        </is>
      </c>
      <c r="D6815" s="10" t="inlineStr">
        <is>
          <t>下り</t>
        </is>
      </c>
      <c r="E6815" t="inlineStr">
        <is>
          <t>0855</t>
        </is>
      </c>
      <c r="F6815" t="inlineStr">
        <is>
          <t>0453</t>
        </is>
      </c>
      <c r="G6815" s="10" t="inlineStr">
        <is>
          <t>鳴滝</t>
        </is>
      </c>
      <c r="H6815" s="10" t="inlineStr">
        <is>
          <t>発</t>
        </is>
      </c>
      <c r="J6815" s="10" t="inlineStr">
        <is>
          <t>営業</t>
        </is>
      </c>
      <c r="L6815" t="inlineStr">
        <is>
          <t>8:27:15</t>
        </is>
      </c>
      <c r="M6815" t="inlineStr">
        <is>
          <t>8:27:25</t>
        </is>
      </c>
    </row>
    <row r="6816" ht="15" customHeight="1" s="37">
      <c r="A6816" t="n">
        <v>19</v>
      </c>
      <c r="B6816" s="10" t="inlineStr">
        <is>
          <t>平日</t>
        </is>
      </c>
      <c r="C6816" s="10" t="inlineStr">
        <is>
          <t>北野線</t>
        </is>
      </c>
      <c r="D6816" s="10" t="inlineStr">
        <is>
          <t>下り</t>
        </is>
      </c>
      <c r="E6816" t="inlineStr">
        <is>
          <t>0855</t>
        </is>
      </c>
      <c r="F6816" t="inlineStr">
        <is>
          <t>0453</t>
        </is>
      </c>
      <c r="G6816" s="10" t="inlineStr">
        <is>
          <t>常盤</t>
        </is>
      </c>
      <c r="H6816" s="10" t="inlineStr">
        <is>
          <t>発</t>
        </is>
      </c>
      <c r="J6816" s="10" t="inlineStr">
        <is>
          <t>営業</t>
        </is>
      </c>
      <c r="L6816" t="inlineStr">
        <is>
          <t>8:28:15</t>
        </is>
      </c>
      <c r="M6816" t="inlineStr">
        <is>
          <t>8:28:35</t>
        </is>
      </c>
    </row>
    <row r="6817" ht="15" customHeight="1" s="37">
      <c r="A6817" t="n">
        <v>19</v>
      </c>
      <c r="B6817" s="10" t="inlineStr">
        <is>
          <t>平日</t>
        </is>
      </c>
      <c r="C6817" s="10" t="inlineStr">
        <is>
          <t>北野線</t>
        </is>
      </c>
      <c r="D6817" s="10" t="inlineStr">
        <is>
          <t>下り</t>
        </is>
      </c>
      <c r="E6817" t="inlineStr">
        <is>
          <t>0855</t>
        </is>
      </c>
      <c r="F6817" t="inlineStr">
        <is>
          <t>0453</t>
        </is>
      </c>
      <c r="G6817" s="10" t="inlineStr">
        <is>
          <t>撮影所前</t>
        </is>
      </c>
      <c r="H6817" s="10" t="inlineStr">
        <is>
          <t>発</t>
        </is>
      </c>
      <c r="J6817" s="10" t="inlineStr">
        <is>
          <t>営業</t>
        </is>
      </c>
      <c r="L6817" t="inlineStr">
        <is>
          <t>8:29:55</t>
        </is>
      </c>
      <c r="M6817" t="inlineStr">
        <is>
          <t>8:30:05</t>
        </is>
      </c>
    </row>
    <row r="6818" ht="15" customHeight="1" s="37">
      <c r="A6818" t="n">
        <v>19</v>
      </c>
      <c r="B6818" s="10" t="inlineStr">
        <is>
          <t>平日</t>
        </is>
      </c>
      <c r="C6818" s="10" t="inlineStr">
        <is>
          <t>北野線</t>
        </is>
      </c>
      <c r="D6818" s="10" t="inlineStr">
        <is>
          <t>下り</t>
        </is>
      </c>
      <c r="E6818" t="inlineStr">
        <is>
          <t>0855</t>
        </is>
      </c>
      <c r="F6818" t="inlineStr">
        <is>
          <t>0453</t>
        </is>
      </c>
      <c r="G6818" s="10" t="inlineStr">
        <is>
          <t>帷子ノ辻</t>
        </is>
      </c>
      <c r="H6818" s="10" t="inlineStr">
        <is>
          <t>着</t>
        </is>
      </c>
      <c r="J6818" s="10" t="inlineStr">
        <is>
          <t>営業</t>
        </is>
      </c>
      <c r="L6818" t="inlineStr">
        <is>
          <t>8:31:00</t>
        </is>
      </c>
      <c r="Q6818" t="inlineStr">
        <is>
          <t>4</t>
        </is>
      </c>
    </row>
    <row r="6819" ht="15" customHeight="1" s="37">
      <c r="A6819" t="n">
        <v>19</v>
      </c>
      <c r="B6819" s="10" t="inlineStr">
        <is>
          <t>平日</t>
        </is>
      </c>
      <c r="C6819" s="10" t="inlineStr">
        <is>
          <t>北野線</t>
        </is>
      </c>
      <c r="D6819" s="10" t="inlineStr">
        <is>
          <t>上り</t>
        </is>
      </c>
      <c r="E6819" t="inlineStr">
        <is>
          <t>0862</t>
        </is>
      </c>
      <c r="F6819" t="inlineStr">
        <is>
          <t>0354</t>
        </is>
      </c>
      <c r="G6819" s="10" t="inlineStr">
        <is>
          <t>帷子ノ辻</t>
        </is>
      </c>
      <c r="H6819" s="10" t="inlineStr">
        <is>
          <t>発</t>
        </is>
      </c>
      <c r="J6819" s="10" t="inlineStr">
        <is>
          <t>営業</t>
        </is>
      </c>
      <c r="M6819" t="inlineStr">
        <is>
          <t>8:42:00</t>
        </is>
      </c>
      <c r="Q6819" t="inlineStr">
        <is>
          <t>4</t>
        </is>
      </c>
    </row>
    <row r="6820" ht="15" customHeight="1" s="37">
      <c r="A6820" t="n">
        <v>19</v>
      </c>
      <c r="B6820" s="10" t="inlineStr">
        <is>
          <t>平日</t>
        </is>
      </c>
      <c r="C6820" s="10" t="inlineStr">
        <is>
          <t>北野線</t>
        </is>
      </c>
      <c r="D6820" s="10" t="inlineStr">
        <is>
          <t>上り</t>
        </is>
      </c>
      <c r="E6820" t="inlineStr">
        <is>
          <t>0862</t>
        </is>
      </c>
      <c r="F6820" t="inlineStr">
        <is>
          <t>0354</t>
        </is>
      </c>
      <c r="G6820" s="10" t="inlineStr">
        <is>
          <t>撮影所前</t>
        </is>
      </c>
      <c r="H6820" s="10" t="inlineStr">
        <is>
          <t>発</t>
        </is>
      </c>
      <c r="J6820" s="10" t="inlineStr">
        <is>
          <t>営業</t>
        </is>
      </c>
      <c r="L6820" t="inlineStr">
        <is>
          <t>8:43:00</t>
        </is>
      </c>
      <c r="M6820" t="inlineStr">
        <is>
          <t>8:43:10</t>
        </is>
      </c>
    </row>
    <row r="6821" ht="15" customHeight="1" s="37">
      <c r="A6821" t="n">
        <v>19</v>
      </c>
      <c r="B6821" s="10" t="inlineStr">
        <is>
          <t>平日</t>
        </is>
      </c>
      <c r="C6821" s="10" t="inlineStr">
        <is>
          <t>北野線</t>
        </is>
      </c>
      <c r="D6821" s="10" t="inlineStr">
        <is>
          <t>上り</t>
        </is>
      </c>
      <c r="E6821" t="inlineStr">
        <is>
          <t>0862</t>
        </is>
      </c>
      <c r="F6821" t="inlineStr">
        <is>
          <t>0354</t>
        </is>
      </c>
      <c r="G6821" s="10" t="inlineStr">
        <is>
          <t>常盤</t>
        </is>
      </c>
      <c r="H6821" s="10" t="inlineStr">
        <is>
          <t>発</t>
        </is>
      </c>
      <c r="J6821" s="10" t="inlineStr">
        <is>
          <t>営業</t>
        </is>
      </c>
      <c r="L6821" t="inlineStr">
        <is>
          <t>8:44:30</t>
        </is>
      </c>
      <c r="M6821" t="inlineStr">
        <is>
          <t>8:44:50</t>
        </is>
      </c>
    </row>
    <row r="6822" ht="15" customHeight="1" s="37">
      <c r="A6822" t="n">
        <v>19</v>
      </c>
      <c r="B6822" s="10" t="inlineStr">
        <is>
          <t>平日</t>
        </is>
      </c>
      <c r="C6822" s="10" t="inlineStr">
        <is>
          <t>北野線</t>
        </is>
      </c>
      <c r="D6822" s="10" t="inlineStr">
        <is>
          <t>上り</t>
        </is>
      </c>
      <c r="E6822" t="inlineStr">
        <is>
          <t>0862</t>
        </is>
      </c>
      <c r="F6822" t="inlineStr">
        <is>
          <t>0354</t>
        </is>
      </c>
      <c r="G6822" s="10" t="inlineStr">
        <is>
          <t>鳴滝</t>
        </is>
      </c>
      <c r="H6822" s="10" t="inlineStr">
        <is>
          <t>発</t>
        </is>
      </c>
      <c r="J6822" s="10" t="inlineStr">
        <is>
          <t>営業</t>
        </is>
      </c>
      <c r="L6822" t="inlineStr">
        <is>
          <t>8:45:50</t>
        </is>
      </c>
      <c r="M6822" t="inlineStr">
        <is>
          <t>8:46:10</t>
        </is>
      </c>
    </row>
    <row r="6823" ht="15" customHeight="1" s="37">
      <c r="A6823" t="n">
        <v>19</v>
      </c>
      <c r="B6823" s="10" t="inlineStr">
        <is>
          <t>平日</t>
        </is>
      </c>
      <c r="C6823" s="10" t="inlineStr">
        <is>
          <t>北野線</t>
        </is>
      </c>
      <c r="D6823" s="10" t="inlineStr">
        <is>
          <t>上り</t>
        </is>
      </c>
      <c r="E6823" t="inlineStr">
        <is>
          <t>0862</t>
        </is>
      </c>
      <c r="F6823" t="inlineStr">
        <is>
          <t>0354</t>
        </is>
      </c>
      <c r="G6823" s="10" t="inlineStr">
        <is>
          <t>宇多野</t>
        </is>
      </c>
      <c r="H6823" s="10" t="inlineStr">
        <is>
          <t>発</t>
        </is>
      </c>
      <c r="J6823" s="10" t="inlineStr">
        <is>
          <t>営業</t>
        </is>
      </c>
      <c r="L6823" t="inlineStr">
        <is>
          <t>8:47:30</t>
        </is>
      </c>
      <c r="M6823" t="inlineStr">
        <is>
          <t>8:47:45</t>
        </is>
      </c>
    </row>
    <row r="6824" ht="15" customHeight="1" s="37">
      <c r="A6824" t="n">
        <v>19</v>
      </c>
      <c r="B6824" s="10" t="inlineStr">
        <is>
          <t>平日</t>
        </is>
      </c>
      <c r="C6824" s="10" t="inlineStr">
        <is>
          <t>北野線</t>
        </is>
      </c>
      <c r="D6824" s="10" t="inlineStr">
        <is>
          <t>上り</t>
        </is>
      </c>
      <c r="E6824" t="inlineStr">
        <is>
          <t>0862</t>
        </is>
      </c>
      <c r="F6824" t="inlineStr">
        <is>
          <t>0354</t>
        </is>
      </c>
      <c r="G6824" s="10" t="inlineStr">
        <is>
          <t>御室仁和寺</t>
        </is>
      </c>
      <c r="H6824" s="10" t="inlineStr">
        <is>
          <t>発</t>
        </is>
      </c>
      <c r="J6824" s="10" t="inlineStr">
        <is>
          <t>営業</t>
        </is>
      </c>
      <c r="L6824" t="inlineStr">
        <is>
          <t>8:48:45</t>
        </is>
      </c>
      <c r="M6824" t="inlineStr">
        <is>
          <t>8:48:55</t>
        </is>
      </c>
    </row>
    <row r="6825" ht="15" customHeight="1" s="37">
      <c r="A6825" t="n">
        <v>19</v>
      </c>
      <c r="B6825" s="10" t="inlineStr">
        <is>
          <t>平日</t>
        </is>
      </c>
      <c r="C6825" s="10" t="inlineStr">
        <is>
          <t>北野線</t>
        </is>
      </c>
      <c r="D6825" s="10" t="inlineStr">
        <is>
          <t>上り</t>
        </is>
      </c>
      <c r="E6825" t="inlineStr">
        <is>
          <t>0862</t>
        </is>
      </c>
      <c r="F6825" t="inlineStr">
        <is>
          <t>0354</t>
        </is>
      </c>
      <c r="G6825" s="10" t="inlineStr">
        <is>
          <t>妙心寺</t>
        </is>
      </c>
      <c r="H6825" s="10" t="inlineStr">
        <is>
          <t>発</t>
        </is>
      </c>
      <c r="J6825" s="10" t="inlineStr">
        <is>
          <t>営業</t>
        </is>
      </c>
      <c r="L6825" t="inlineStr">
        <is>
          <t>8:49:55</t>
        </is>
      </c>
      <c r="M6825" t="inlineStr">
        <is>
          <t>8:50:10</t>
        </is>
      </c>
    </row>
    <row r="6826" ht="15" customHeight="1" s="37">
      <c r="A6826" t="n">
        <v>19</v>
      </c>
      <c r="B6826" s="10" t="inlineStr">
        <is>
          <t>平日</t>
        </is>
      </c>
      <c r="C6826" s="10" t="inlineStr">
        <is>
          <t>北野線</t>
        </is>
      </c>
      <c r="D6826" s="10" t="inlineStr">
        <is>
          <t>上り</t>
        </is>
      </c>
      <c r="E6826" t="inlineStr">
        <is>
          <t>0862</t>
        </is>
      </c>
      <c r="F6826" t="inlineStr">
        <is>
          <t>0354</t>
        </is>
      </c>
      <c r="G6826" s="10" t="inlineStr">
        <is>
          <t>龍安寺</t>
        </is>
      </c>
      <c r="H6826" s="10" t="inlineStr">
        <is>
          <t>発</t>
        </is>
      </c>
      <c r="J6826" s="10" t="inlineStr">
        <is>
          <t>営業</t>
        </is>
      </c>
      <c r="L6826" t="inlineStr">
        <is>
          <t>8:51:05</t>
        </is>
      </c>
      <c r="M6826" t="inlineStr">
        <is>
          <t>8:51:20</t>
        </is>
      </c>
    </row>
    <row r="6827" ht="15" customHeight="1" s="37">
      <c r="A6827" t="n">
        <v>19</v>
      </c>
      <c r="B6827" s="10" t="inlineStr">
        <is>
          <t>平日</t>
        </is>
      </c>
      <c r="C6827" s="10" t="inlineStr">
        <is>
          <t>北野線</t>
        </is>
      </c>
      <c r="D6827" s="10" t="inlineStr">
        <is>
          <t>上り</t>
        </is>
      </c>
      <c r="E6827" t="inlineStr">
        <is>
          <t>0862</t>
        </is>
      </c>
      <c r="F6827" t="inlineStr">
        <is>
          <t>0354</t>
        </is>
      </c>
      <c r="G6827" s="10" t="inlineStr">
        <is>
          <t>等持院</t>
        </is>
      </c>
      <c r="H6827" s="10" t="inlineStr">
        <is>
          <t>発</t>
        </is>
      </c>
      <c r="J6827" s="10" t="inlineStr">
        <is>
          <t>営業</t>
        </is>
      </c>
      <c r="L6827" t="inlineStr">
        <is>
          <t>8:52:00</t>
        </is>
      </c>
      <c r="M6827" t="inlineStr">
        <is>
          <t>8:52:20</t>
        </is>
      </c>
    </row>
    <row r="6828" ht="15" customHeight="1" s="37">
      <c r="A6828" t="n">
        <v>19</v>
      </c>
      <c r="B6828" s="10" t="inlineStr">
        <is>
          <t>平日</t>
        </is>
      </c>
      <c r="C6828" s="10" t="inlineStr">
        <is>
          <t>北野線</t>
        </is>
      </c>
      <c r="D6828" s="10" t="inlineStr">
        <is>
          <t>上り</t>
        </is>
      </c>
      <c r="E6828" t="inlineStr">
        <is>
          <t>0862</t>
        </is>
      </c>
      <c r="F6828" t="inlineStr">
        <is>
          <t>0354</t>
        </is>
      </c>
      <c r="G6828" s="10" t="inlineStr">
        <is>
          <t>北野白梅町</t>
        </is>
      </c>
      <c r="H6828" s="10" t="inlineStr">
        <is>
          <t>着</t>
        </is>
      </c>
      <c r="J6828" s="10" t="inlineStr">
        <is>
          <t>営業</t>
        </is>
      </c>
      <c r="L6828" t="inlineStr">
        <is>
          <t>8:53:40</t>
        </is>
      </c>
      <c r="Q6828" t="inlineStr">
        <is>
          <t>1</t>
        </is>
      </c>
    </row>
    <row r="6829" ht="15" customHeight="1" s="37">
      <c r="A6829" t="n">
        <v>19</v>
      </c>
      <c r="B6829" s="10" t="inlineStr">
        <is>
          <t>平日</t>
        </is>
      </c>
      <c r="C6829" s="10" t="inlineStr">
        <is>
          <t>北野線</t>
        </is>
      </c>
      <c r="D6829" s="10" t="inlineStr">
        <is>
          <t>下り</t>
        </is>
      </c>
      <c r="E6829" t="inlineStr">
        <is>
          <t>0951</t>
        </is>
      </c>
      <c r="F6829" t="inlineStr">
        <is>
          <t>0453</t>
        </is>
      </c>
      <c r="G6829" s="10" t="inlineStr">
        <is>
          <t>北野白梅町</t>
        </is>
      </c>
      <c r="H6829" s="10" t="inlineStr">
        <is>
          <t>発</t>
        </is>
      </c>
      <c r="J6829" s="10" t="inlineStr">
        <is>
          <t>営業</t>
        </is>
      </c>
      <c r="M6829" t="inlineStr">
        <is>
          <t>9:03:00</t>
        </is>
      </c>
      <c r="Q6829" t="inlineStr">
        <is>
          <t>1</t>
        </is>
      </c>
    </row>
    <row r="6830" ht="15" customHeight="1" s="37">
      <c r="A6830" t="n">
        <v>19</v>
      </c>
      <c r="B6830" s="10" t="inlineStr">
        <is>
          <t>平日</t>
        </is>
      </c>
      <c r="C6830" s="10" t="inlineStr">
        <is>
          <t>北野線</t>
        </is>
      </c>
      <c r="D6830" s="10" t="inlineStr">
        <is>
          <t>下り</t>
        </is>
      </c>
      <c r="E6830" t="inlineStr">
        <is>
          <t>0951</t>
        </is>
      </c>
      <c r="F6830" t="inlineStr">
        <is>
          <t>0453</t>
        </is>
      </c>
      <c r="G6830" s="10" t="inlineStr">
        <is>
          <t>等持院</t>
        </is>
      </c>
      <c r="H6830" s="10" t="inlineStr">
        <is>
          <t>発</t>
        </is>
      </c>
      <c r="J6830" s="10" t="inlineStr">
        <is>
          <t>営業</t>
        </is>
      </c>
      <c r="L6830" t="inlineStr">
        <is>
          <t>9:04:25</t>
        </is>
      </c>
      <c r="M6830" t="inlineStr">
        <is>
          <t>9:04:35</t>
        </is>
      </c>
    </row>
    <row r="6831" ht="15" customHeight="1" s="37">
      <c r="A6831" t="n">
        <v>19</v>
      </c>
      <c r="B6831" s="10" t="inlineStr">
        <is>
          <t>平日</t>
        </is>
      </c>
      <c r="C6831" s="10" t="inlineStr">
        <is>
          <t>北野線</t>
        </is>
      </c>
      <c r="D6831" s="10" t="inlineStr">
        <is>
          <t>下り</t>
        </is>
      </c>
      <c r="E6831" t="inlineStr">
        <is>
          <t>0951</t>
        </is>
      </c>
      <c r="F6831" t="inlineStr">
        <is>
          <t>0453</t>
        </is>
      </c>
      <c r="G6831" s="10" t="inlineStr">
        <is>
          <t>龍安寺</t>
        </is>
      </c>
      <c r="H6831" s="10" t="inlineStr">
        <is>
          <t>発</t>
        </is>
      </c>
      <c r="J6831" s="10" t="inlineStr">
        <is>
          <t>営業</t>
        </is>
      </c>
      <c r="L6831" t="inlineStr">
        <is>
          <t>9:05:25</t>
        </is>
      </c>
      <c r="M6831" t="inlineStr">
        <is>
          <t>9:05:50</t>
        </is>
      </c>
    </row>
    <row r="6832" ht="15" customHeight="1" s="37">
      <c r="A6832" t="n">
        <v>19</v>
      </c>
      <c r="B6832" s="10" t="inlineStr">
        <is>
          <t>平日</t>
        </is>
      </c>
      <c r="C6832" s="10" t="inlineStr">
        <is>
          <t>北野線</t>
        </is>
      </c>
      <c r="D6832" s="10" t="inlineStr">
        <is>
          <t>下り</t>
        </is>
      </c>
      <c r="E6832" t="inlineStr">
        <is>
          <t>0951</t>
        </is>
      </c>
      <c r="F6832" t="inlineStr">
        <is>
          <t>0453</t>
        </is>
      </c>
      <c r="G6832" s="10" t="inlineStr">
        <is>
          <t>妙心寺</t>
        </is>
      </c>
      <c r="H6832" s="10" t="inlineStr">
        <is>
          <t>発</t>
        </is>
      </c>
      <c r="J6832" s="10" t="inlineStr">
        <is>
          <t>営業</t>
        </is>
      </c>
      <c r="L6832" t="inlineStr">
        <is>
          <t>9:06:40</t>
        </is>
      </c>
      <c r="M6832" t="inlineStr">
        <is>
          <t>9:06:50</t>
        </is>
      </c>
    </row>
    <row r="6833" ht="15" customHeight="1" s="37">
      <c r="A6833" t="n">
        <v>19</v>
      </c>
      <c r="B6833" s="10" t="inlineStr">
        <is>
          <t>平日</t>
        </is>
      </c>
      <c r="C6833" s="10" t="inlineStr">
        <is>
          <t>北野線</t>
        </is>
      </c>
      <c r="D6833" s="10" t="inlineStr">
        <is>
          <t>下り</t>
        </is>
      </c>
      <c r="E6833" t="inlineStr">
        <is>
          <t>0951</t>
        </is>
      </c>
      <c r="F6833" t="inlineStr">
        <is>
          <t>0453</t>
        </is>
      </c>
      <c r="G6833" s="10" t="inlineStr">
        <is>
          <t>御室仁和寺</t>
        </is>
      </c>
      <c r="H6833" s="10" t="inlineStr">
        <is>
          <t>発</t>
        </is>
      </c>
      <c r="J6833" s="10" t="inlineStr">
        <is>
          <t>営業</t>
        </is>
      </c>
      <c r="L6833" t="inlineStr">
        <is>
          <t>9:07:50</t>
        </is>
      </c>
      <c r="M6833" t="inlineStr">
        <is>
          <t>9:08:05</t>
        </is>
      </c>
    </row>
    <row r="6834" ht="15" customHeight="1" s="37">
      <c r="A6834" t="n">
        <v>19</v>
      </c>
      <c r="B6834" s="10" t="inlineStr">
        <is>
          <t>平日</t>
        </is>
      </c>
      <c r="C6834" s="10" t="inlineStr">
        <is>
          <t>北野線</t>
        </is>
      </c>
      <c r="D6834" s="10" t="inlineStr">
        <is>
          <t>下り</t>
        </is>
      </c>
      <c r="E6834" t="inlineStr">
        <is>
          <t>0951</t>
        </is>
      </c>
      <c r="F6834" t="inlineStr">
        <is>
          <t>0453</t>
        </is>
      </c>
      <c r="G6834" s="10" t="inlineStr">
        <is>
          <t>宇多野</t>
        </is>
      </c>
      <c r="H6834" s="10" t="inlineStr">
        <is>
          <t>発</t>
        </is>
      </c>
      <c r="J6834" s="10" t="inlineStr">
        <is>
          <t>営業</t>
        </is>
      </c>
      <c r="L6834" t="inlineStr">
        <is>
          <t>9:09:05</t>
        </is>
      </c>
      <c r="M6834" t="inlineStr">
        <is>
          <t>9:09:15</t>
        </is>
      </c>
    </row>
    <row r="6835" ht="15" customHeight="1" s="37">
      <c r="A6835" t="n">
        <v>19</v>
      </c>
      <c r="B6835" s="10" t="inlineStr">
        <is>
          <t>平日</t>
        </is>
      </c>
      <c r="C6835" s="10" t="inlineStr">
        <is>
          <t>北野線</t>
        </is>
      </c>
      <c r="D6835" s="10" t="inlineStr">
        <is>
          <t>下り</t>
        </is>
      </c>
      <c r="E6835" t="inlineStr">
        <is>
          <t>0951</t>
        </is>
      </c>
      <c r="F6835" t="inlineStr">
        <is>
          <t>0453</t>
        </is>
      </c>
      <c r="G6835" s="10" t="inlineStr">
        <is>
          <t>鳴滝</t>
        </is>
      </c>
      <c r="H6835" s="10" t="inlineStr">
        <is>
          <t>発</t>
        </is>
      </c>
      <c r="J6835" s="10" t="inlineStr">
        <is>
          <t>営業</t>
        </is>
      </c>
      <c r="L6835" t="inlineStr">
        <is>
          <t>9:10:35</t>
        </is>
      </c>
      <c r="M6835" t="inlineStr">
        <is>
          <t>9:10:45</t>
        </is>
      </c>
    </row>
    <row r="6836" ht="15" customHeight="1" s="37">
      <c r="A6836" t="n">
        <v>19</v>
      </c>
      <c r="B6836" s="10" t="inlineStr">
        <is>
          <t>平日</t>
        </is>
      </c>
      <c r="C6836" s="10" t="inlineStr">
        <is>
          <t>北野線</t>
        </is>
      </c>
      <c r="D6836" s="10" t="inlineStr">
        <is>
          <t>下り</t>
        </is>
      </c>
      <c r="E6836" t="inlineStr">
        <is>
          <t>0951</t>
        </is>
      </c>
      <c r="F6836" t="inlineStr">
        <is>
          <t>0453</t>
        </is>
      </c>
      <c r="G6836" s="10" t="inlineStr">
        <is>
          <t>常盤</t>
        </is>
      </c>
      <c r="H6836" s="10" t="inlineStr">
        <is>
          <t>発</t>
        </is>
      </c>
      <c r="J6836" s="10" t="inlineStr">
        <is>
          <t>営業</t>
        </is>
      </c>
      <c r="L6836" t="inlineStr">
        <is>
          <t>9:11:35</t>
        </is>
      </c>
      <c r="M6836" t="inlineStr">
        <is>
          <t>9:11:55</t>
        </is>
      </c>
    </row>
    <row r="6837" ht="15" customHeight="1" s="37">
      <c r="A6837" t="n">
        <v>19</v>
      </c>
      <c r="B6837" s="10" t="inlineStr">
        <is>
          <t>平日</t>
        </is>
      </c>
      <c r="C6837" s="10" t="inlineStr">
        <is>
          <t>北野線</t>
        </is>
      </c>
      <c r="D6837" s="10" t="inlineStr">
        <is>
          <t>下り</t>
        </is>
      </c>
      <c r="E6837" t="inlineStr">
        <is>
          <t>0951</t>
        </is>
      </c>
      <c r="F6837" t="inlineStr">
        <is>
          <t>0453</t>
        </is>
      </c>
      <c r="G6837" s="10" t="inlineStr">
        <is>
          <t>撮影所前</t>
        </is>
      </c>
      <c r="H6837" s="10" t="inlineStr">
        <is>
          <t>発</t>
        </is>
      </c>
      <c r="J6837" s="10" t="inlineStr">
        <is>
          <t>営業</t>
        </is>
      </c>
      <c r="L6837" t="inlineStr">
        <is>
          <t>9:13:15</t>
        </is>
      </c>
      <c r="M6837" t="inlineStr">
        <is>
          <t>9:13:30</t>
        </is>
      </c>
    </row>
    <row r="6838" ht="15" customHeight="1" s="37">
      <c r="A6838" t="n">
        <v>19</v>
      </c>
      <c r="B6838" s="10" t="inlineStr">
        <is>
          <t>平日</t>
        </is>
      </c>
      <c r="C6838" s="10" t="inlineStr">
        <is>
          <t>北野線</t>
        </is>
      </c>
      <c r="D6838" s="10" t="inlineStr">
        <is>
          <t>下り</t>
        </is>
      </c>
      <c r="E6838" t="inlineStr">
        <is>
          <t>0951</t>
        </is>
      </c>
      <c r="F6838" t="inlineStr">
        <is>
          <t>0453</t>
        </is>
      </c>
      <c r="G6838" s="10" t="inlineStr">
        <is>
          <t>帷子ノ辻</t>
        </is>
      </c>
      <c r="H6838" s="10" t="inlineStr">
        <is>
          <t>着</t>
        </is>
      </c>
      <c r="J6838" s="10" t="inlineStr">
        <is>
          <t>営業</t>
        </is>
      </c>
      <c r="L6838" t="inlineStr">
        <is>
          <t>9:14:25</t>
        </is>
      </c>
      <c r="Q6838" t="inlineStr">
        <is>
          <t>4</t>
        </is>
      </c>
    </row>
    <row r="6839" ht="15" customHeight="1" s="37">
      <c r="A6839" t="n">
        <v>19</v>
      </c>
      <c r="B6839" s="10" t="inlineStr">
        <is>
          <t>平日</t>
        </is>
      </c>
      <c r="C6839" s="10" t="inlineStr">
        <is>
          <t>北野線</t>
        </is>
      </c>
      <c r="D6839" s="10" t="inlineStr">
        <is>
          <t>上り</t>
        </is>
      </c>
      <c r="E6839" t="inlineStr">
        <is>
          <t>0956</t>
        </is>
      </c>
      <c r="F6839" t="inlineStr">
        <is>
          <t>0354</t>
        </is>
      </c>
      <c r="G6839" s="10" t="inlineStr">
        <is>
          <t>帷子ノ辻</t>
        </is>
      </c>
      <c r="H6839" s="10" t="inlineStr">
        <is>
          <t>発</t>
        </is>
      </c>
      <c r="J6839" s="10" t="inlineStr">
        <is>
          <t>営業</t>
        </is>
      </c>
      <c r="M6839" t="inlineStr">
        <is>
          <t>9:26:25</t>
        </is>
      </c>
      <c r="Q6839" t="inlineStr">
        <is>
          <t>4</t>
        </is>
      </c>
    </row>
    <row r="6840" ht="15" customHeight="1" s="37">
      <c r="A6840" t="n">
        <v>19</v>
      </c>
      <c r="B6840" s="10" t="inlineStr">
        <is>
          <t>平日</t>
        </is>
      </c>
      <c r="C6840" s="10" t="inlineStr">
        <is>
          <t>北野線</t>
        </is>
      </c>
      <c r="D6840" s="10" t="inlineStr">
        <is>
          <t>上り</t>
        </is>
      </c>
      <c r="E6840" t="inlineStr">
        <is>
          <t>0956</t>
        </is>
      </c>
      <c r="F6840" t="inlineStr">
        <is>
          <t>0354</t>
        </is>
      </c>
      <c r="G6840" s="10" t="inlineStr">
        <is>
          <t>撮影所前</t>
        </is>
      </c>
      <c r="H6840" s="10" t="inlineStr">
        <is>
          <t>発</t>
        </is>
      </c>
      <c r="J6840" s="10" t="inlineStr">
        <is>
          <t>営業</t>
        </is>
      </c>
      <c r="L6840" t="inlineStr">
        <is>
          <t>9:27:25</t>
        </is>
      </c>
      <c r="M6840" t="inlineStr">
        <is>
          <t>9:27:40</t>
        </is>
      </c>
    </row>
    <row r="6841" ht="15" customHeight="1" s="37">
      <c r="A6841" t="n">
        <v>19</v>
      </c>
      <c r="B6841" s="10" t="inlineStr">
        <is>
          <t>平日</t>
        </is>
      </c>
      <c r="C6841" s="10" t="inlineStr">
        <is>
          <t>北野線</t>
        </is>
      </c>
      <c r="D6841" s="10" t="inlineStr">
        <is>
          <t>上り</t>
        </is>
      </c>
      <c r="E6841" t="inlineStr">
        <is>
          <t>0956</t>
        </is>
      </c>
      <c r="F6841" t="inlineStr">
        <is>
          <t>0354</t>
        </is>
      </c>
      <c r="G6841" s="10" t="inlineStr">
        <is>
          <t>常盤</t>
        </is>
      </c>
      <c r="H6841" s="10" t="inlineStr">
        <is>
          <t>発</t>
        </is>
      </c>
      <c r="J6841" s="10" t="inlineStr">
        <is>
          <t>営業</t>
        </is>
      </c>
      <c r="L6841" t="inlineStr">
        <is>
          <t>9:29:00</t>
        </is>
      </c>
      <c r="M6841" t="inlineStr">
        <is>
          <t>9:29:20</t>
        </is>
      </c>
    </row>
    <row r="6842" ht="15" customHeight="1" s="37">
      <c r="A6842" t="n">
        <v>19</v>
      </c>
      <c r="B6842" s="10" t="inlineStr">
        <is>
          <t>平日</t>
        </is>
      </c>
      <c r="C6842" s="10" t="inlineStr">
        <is>
          <t>北野線</t>
        </is>
      </c>
      <c r="D6842" s="10" t="inlineStr">
        <is>
          <t>上り</t>
        </is>
      </c>
      <c r="E6842" t="inlineStr">
        <is>
          <t>0956</t>
        </is>
      </c>
      <c r="F6842" t="inlineStr">
        <is>
          <t>0354</t>
        </is>
      </c>
      <c r="G6842" s="10" t="inlineStr">
        <is>
          <t>鳴滝</t>
        </is>
      </c>
      <c r="H6842" s="10" t="inlineStr">
        <is>
          <t>発</t>
        </is>
      </c>
      <c r="J6842" s="10" t="inlineStr">
        <is>
          <t>営業</t>
        </is>
      </c>
      <c r="L6842" t="inlineStr">
        <is>
          <t>9:30:20</t>
        </is>
      </c>
      <c r="M6842" t="inlineStr">
        <is>
          <t>9:30:40</t>
        </is>
      </c>
    </row>
    <row r="6843" ht="15" customHeight="1" s="37">
      <c r="A6843" t="n">
        <v>19</v>
      </c>
      <c r="B6843" s="10" t="inlineStr">
        <is>
          <t>平日</t>
        </is>
      </c>
      <c r="C6843" s="10" t="inlineStr">
        <is>
          <t>北野線</t>
        </is>
      </c>
      <c r="D6843" s="10" t="inlineStr">
        <is>
          <t>上り</t>
        </is>
      </c>
      <c r="E6843" t="inlineStr">
        <is>
          <t>0956</t>
        </is>
      </c>
      <c r="F6843" t="inlineStr">
        <is>
          <t>0354</t>
        </is>
      </c>
      <c r="G6843" s="10" t="inlineStr">
        <is>
          <t>宇多野</t>
        </is>
      </c>
      <c r="H6843" s="10" t="inlineStr">
        <is>
          <t>発</t>
        </is>
      </c>
      <c r="J6843" s="10" t="inlineStr">
        <is>
          <t>営業</t>
        </is>
      </c>
      <c r="L6843" t="inlineStr">
        <is>
          <t>9:32:00</t>
        </is>
      </c>
      <c r="M6843" t="inlineStr">
        <is>
          <t>9:32:15</t>
        </is>
      </c>
    </row>
    <row r="6844" ht="15" customHeight="1" s="37">
      <c r="A6844" t="n">
        <v>19</v>
      </c>
      <c r="B6844" s="10" t="inlineStr">
        <is>
          <t>平日</t>
        </is>
      </c>
      <c r="C6844" s="10" t="inlineStr">
        <is>
          <t>北野線</t>
        </is>
      </c>
      <c r="D6844" s="10" t="inlineStr">
        <is>
          <t>上り</t>
        </is>
      </c>
      <c r="E6844" t="inlineStr">
        <is>
          <t>0956</t>
        </is>
      </c>
      <c r="F6844" t="inlineStr">
        <is>
          <t>0354</t>
        </is>
      </c>
      <c r="G6844" s="10" t="inlineStr">
        <is>
          <t>御室仁和寺</t>
        </is>
      </c>
      <c r="H6844" s="10" t="inlineStr">
        <is>
          <t>発</t>
        </is>
      </c>
      <c r="J6844" s="10" t="inlineStr">
        <is>
          <t>営業</t>
        </is>
      </c>
      <c r="L6844" t="inlineStr">
        <is>
          <t>9:33:15</t>
        </is>
      </c>
      <c r="M6844" t="inlineStr">
        <is>
          <t>9:33:35</t>
        </is>
      </c>
    </row>
    <row r="6845" ht="15" customHeight="1" s="37">
      <c r="A6845" t="n">
        <v>19</v>
      </c>
      <c r="B6845" s="10" t="inlineStr">
        <is>
          <t>平日</t>
        </is>
      </c>
      <c r="C6845" s="10" t="inlineStr">
        <is>
          <t>北野線</t>
        </is>
      </c>
      <c r="D6845" s="10" t="inlineStr">
        <is>
          <t>上り</t>
        </is>
      </c>
      <c r="E6845" t="inlineStr">
        <is>
          <t>0956</t>
        </is>
      </c>
      <c r="F6845" t="inlineStr">
        <is>
          <t>0354</t>
        </is>
      </c>
      <c r="G6845" s="10" t="inlineStr">
        <is>
          <t>妙心寺</t>
        </is>
      </c>
      <c r="H6845" s="10" t="inlineStr">
        <is>
          <t>発</t>
        </is>
      </c>
      <c r="J6845" s="10" t="inlineStr">
        <is>
          <t>営業</t>
        </is>
      </c>
      <c r="L6845" t="inlineStr">
        <is>
          <t>9:34:35</t>
        </is>
      </c>
      <c r="M6845" t="inlineStr">
        <is>
          <t>9:34:50</t>
        </is>
      </c>
    </row>
    <row r="6846" ht="15" customHeight="1" s="37">
      <c r="A6846" t="n">
        <v>19</v>
      </c>
      <c r="B6846" s="10" t="inlineStr">
        <is>
          <t>平日</t>
        </is>
      </c>
      <c r="C6846" s="10" t="inlineStr">
        <is>
          <t>北野線</t>
        </is>
      </c>
      <c r="D6846" s="10" t="inlineStr">
        <is>
          <t>上り</t>
        </is>
      </c>
      <c r="E6846" t="inlineStr">
        <is>
          <t>0956</t>
        </is>
      </c>
      <c r="F6846" t="inlineStr">
        <is>
          <t>0354</t>
        </is>
      </c>
      <c r="G6846" s="10" t="inlineStr">
        <is>
          <t>龍安寺</t>
        </is>
      </c>
      <c r="H6846" s="10" t="inlineStr">
        <is>
          <t>発</t>
        </is>
      </c>
      <c r="J6846" s="10" t="inlineStr">
        <is>
          <t>営業</t>
        </is>
      </c>
      <c r="L6846" t="inlineStr">
        <is>
          <t>9:35:45</t>
        </is>
      </c>
      <c r="M6846" t="inlineStr">
        <is>
          <t>9:35:55</t>
        </is>
      </c>
    </row>
    <row r="6847" ht="15" customHeight="1" s="37">
      <c r="A6847" t="n">
        <v>19</v>
      </c>
      <c r="B6847" s="10" t="inlineStr">
        <is>
          <t>平日</t>
        </is>
      </c>
      <c r="C6847" s="10" t="inlineStr">
        <is>
          <t>北野線</t>
        </is>
      </c>
      <c r="D6847" s="10" t="inlineStr">
        <is>
          <t>上り</t>
        </is>
      </c>
      <c r="E6847" t="inlineStr">
        <is>
          <t>0956</t>
        </is>
      </c>
      <c r="F6847" t="inlineStr">
        <is>
          <t>0354</t>
        </is>
      </c>
      <c r="G6847" s="10" t="inlineStr">
        <is>
          <t>等持院</t>
        </is>
      </c>
      <c r="H6847" s="10" t="inlineStr">
        <is>
          <t>発</t>
        </is>
      </c>
      <c r="J6847" s="10" t="inlineStr">
        <is>
          <t>営業</t>
        </is>
      </c>
      <c r="L6847" t="inlineStr">
        <is>
          <t>9:36:35</t>
        </is>
      </c>
      <c r="M6847" t="inlineStr">
        <is>
          <t>9:36:55</t>
        </is>
      </c>
    </row>
    <row r="6848" ht="15" customHeight="1" s="37">
      <c r="A6848" t="n">
        <v>19</v>
      </c>
      <c r="B6848" s="10" t="inlineStr">
        <is>
          <t>平日</t>
        </is>
      </c>
      <c r="C6848" s="10" t="inlineStr">
        <is>
          <t>北野線</t>
        </is>
      </c>
      <c r="D6848" s="10" t="inlineStr">
        <is>
          <t>上り</t>
        </is>
      </c>
      <c r="E6848" t="inlineStr">
        <is>
          <t>0956</t>
        </is>
      </c>
      <c r="F6848" t="inlineStr">
        <is>
          <t>0354</t>
        </is>
      </c>
      <c r="G6848" s="10" t="inlineStr">
        <is>
          <t>北野白梅町</t>
        </is>
      </c>
      <c r="H6848" s="10" t="inlineStr">
        <is>
          <t>着</t>
        </is>
      </c>
      <c r="J6848" s="10" t="inlineStr">
        <is>
          <t>営業</t>
        </is>
      </c>
      <c r="L6848" t="inlineStr">
        <is>
          <t>9:38:15</t>
        </is>
      </c>
      <c r="Q6848" t="inlineStr">
        <is>
          <t>1</t>
        </is>
      </c>
    </row>
    <row r="6849" ht="15" customHeight="1" s="37">
      <c r="A6849" t="n">
        <v>19</v>
      </c>
      <c r="B6849" s="10" t="inlineStr">
        <is>
          <t>平日</t>
        </is>
      </c>
      <c r="C6849" s="10" t="inlineStr">
        <is>
          <t>北野線</t>
        </is>
      </c>
      <c r="D6849" s="10" t="inlineStr">
        <is>
          <t>下り</t>
        </is>
      </c>
      <c r="E6849" t="inlineStr">
        <is>
          <t>0959</t>
        </is>
      </c>
      <c r="F6849" t="inlineStr">
        <is>
          <t>0453</t>
        </is>
      </c>
      <c r="G6849" s="10" t="inlineStr">
        <is>
          <t>北野白梅町</t>
        </is>
      </c>
      <c r="H6849" s="10" t="inlineStr">
        <is>
          <t>発</t>
        </is>
      </c>
      <c r="J6849" s="10" t="inlineStr">
        <is>
          <t>営業</t>
        </is>
      </c>
      <c r="M6849" t="inlineStr">
        <is>
          <t>9:43:00</t>
        </is>
      </c>
      <c r="Q6849" t="inlineStr">
        <is>
          <t>1</t>
        </is>
      </c>
    </row>
    <row r="6850" ht="15" customHeight="1" s="37">
      <c r="A6850" t="n">
        <v>19</v>
      </c>
      <c r="B6850" s="10" t="inlineStr">
        <is>
          <t>平日</t>
        </is>
      </c>
      <c r="C6850" s="10" t="inlineStr">
        <is>
          <t>北野線</t>
        </is>
      </c>
      <c r="D6850" s="10" t="inlineStr">
        <is>
          <t>下り</t>
        </is>
      </c>
      <c r="E6850" t="inlineStr">
        <is>
          <t>0959</t>
        </is>
      </c>
      <c r="F6850" t="inlineStr">
        <is>
          <t>0453</t>
        </is>
      </c>
      <c r="G6850" s="10" t="inlineStr">
        <is>
          <t>等持院</t>
        </is>
      </c>
      <c r="H6850" s="10" t="inlineStr">
        <is>
          <t>発</t>
        </is>
      </c>
      <c r="J6850" s="10" t="inlineStr">
        <is>
          <t>営業</t>
        </is>
      </c>
      <c r="L6850" t="inlineStr">
        <is>
          <t>9:44:25</t>
        </is>
      </c>
      <c r="M6850" t="inlineStr">
        <is>
          <t>9:44:35</t>
        </is>
      </c>
    </row>
    <row r="6851" ht="15" customHeight="1" s="37">
      <c r="A6851" t="n">
        <v>19</v>
      </c>
      <c r="B6851" s="10" t="inlineStr">
        <is>
          <t>平日</t>
        </is>
      </c>
      <c r="C6851" s="10" t="inlineStr">
        <is>
          <t>北野線</t>
        </is>
      </c>
      <c r="D6851" s="10" t="inlineStr">
        <is>
          <t>下り</t>
        </is>
      </c>
      <c r="E6851" t="inlineStr">
        <is>
          <t>0959</t>
        </is>
      </c>
      <c r="F6851" t="inlineStr">
        <is>
          <t>0453</t>
        </is>
      </c>
      <c r="G6851" s="10" t="inlineStr">
        <is>
          <t>龍安寺</t>
        </is>
      </c>
      <c r="H6851" s="10" t="inlineStr">
        <is>
          <t>発</t>
        </is>
      </c>
      <c r="J6851" s="10" t="inlineStr">
        <is>
          <t>営業</t>
        </is>
      </c>
      <c r="L6851" t="inlineStr">
        <is>
          <t>9:45:25</t>
        </is>
      </c>
      <c r="M6851" t="inlineStr">
        <is>
          <t>9:45:50</t>
        </is>
      </c>
    </row>
    <row r="6852" ht="15" customHeight="1" s="37">
      <c r="A6852" t="n">
        <v>19</v>
      </c>
      <c r="B6852" s="10" t="inlineStr">
        <is>
          <t>平日</t>
        </is>
      </c>
      <c r="C6852" s="10" t="inlineStr">
        <is>
          <t>北野線</t>
        </is>
      </c>
      <c r="D6852" s="10" t="inlineStr">
        <is>
          <t>下り</t>
        </is>
      </c>
      <c r="E6852" t="inlineStr">
        <is>
          <t>0959</t>
        </is>
      </c>
      <c r="F6852" t="inlineStr">
        <is>
          <t>0453</t>
        </is>
      </c>
      <c r="G6852" s="10" t="inlineStr">
        <is>
          <t>妙心寺</t>
        </is>
      </c>
      <c r="H6852" s="10" t="inlineStr">
        <is>
          <t>発</t>
        </is>
      </c>
      <c r="J6852" s="10" t="inlineStr">
        <is>
          <t>営業</t>
        </is>
      </c>
      <c r="L6852" t="inlineStr">
        <is>
          <t>9:46:40</t>
        </is>
      </c>
      <c r="M6852" t="inlineStr">
        <is>
          <t>9:46:50</t>
        </is>
      </c>
    </row>
    <row r="6853" ht="15" customHeight="1" s="37">
      <c r="A6853" t="n">
        <v>19</v>
      </c>
      <c r="B6853" s="10" t="inlineStr">
        <is>
          <t>平日</t>
        </is>
      </c>
      <c r="C6853" s="10" t="inlineStr">
        <is>
          <t>北野線</t>
        </is>
      </c>
      <c r="D6853" s="10" t="inlineStr">
        <is>
          <t>下り</t>
        </is>
      </c>
      <c r="E6853" t="inlineStr">
        <is>
          <t>0959</t>
        </is>
      </c>
      <c r="F6853" t="inlineStr">
        <is>
          <t>0453</t>
        </is>
      </c>
      <c r="G6853" s="10" t="inlineStr">
        <is>
          <t>御室仁和寺</t>
        </is>
      </c>
      <c r="H6853" s="10" t="inlineStr">
        <is>
          <t>発</t>
        </is>
      </c>
      <c r="J6853" s="10" t="inlineStr">
        <is>
          <t>営業</t>
        </is>
      </c>
      <c r="L6853" t="inlineStr">
        <is>
          <t>9:47:50</t>
        </is>
      </c>
      <c r="M6853" t="inlineStr">
        <is>
          <t>9:48:05</t>
        </is>
      </c>
    </row>
    <row r="6854" ht="15" customHeight="1" s="37">
      <c r="A6854" t="n">
        <v>19</v>
      </c>
      <c r="B6854" s="10" t="inlineStr">
        <is>
          <t>平日</t>
        </is>
      </c>
      <c r="C6854" s="10" t="inlineStr">
        <is>
          <t>北野線</t>
        </is>
      </c>
      <c r="D6854" s="10" t="inlineStr">
        <is>
          <t>下り</t>
        </is>
      </c>
      <c r="E6854" t="inlineStr">
        <is>
          <t>0959</t>
        </is>
      </c>
      <c r="F6854" t="inlineStr">
        <is>
          <t>0453</t>
        </is>
      </c>
      <c r="G6854" s="10" t="inlineStr">
        <is>
          <t>宇多野</t>
        </is>
      </c>
      <c r="H6854" s="10" t="inlineStr">
        <is>
          <t>発</t>
        </is>
      </c>
      <c r="J6854" s="10" t="inlineStr">
        <is>
          <t>営業</t>
        </is>
      </c>
      <c r="L6854" t="inlineStr">
        <is>
          <t>9:49:05</t>
        </is>
      </c>
      <c r="M6854" t="inlineStr">
        <is>
          <t>9:49:15</t>
        </is>
      </c>
    </row>
    <row r="6855" ht="15" customHeight="1" s="37">
      <c r="A6855" t="n">
        <v>19</v>
      </c>
      <c r="B6855" s="10" t="inlineStr">
        <is>
          <t>平日</t>
        </is>
      </c>
      <c r="C6855" s="10" t="inlineStr">
        <is>
          <t>北野線</t>
        </is>
      </c>
      <c r="D6855" s="10" t="inlineStr">
        <is>
          <t>下り</t>
        </is>
      </c>
      <c r="E6855" t="inlineStr">
        <is>
          <t>0959</t>
        </is>
      </c>
      <c r="F6855" t="inlineStr">
        <is>
          <t>0453</t>
        </is>
      </c>
      <c r="G6855" s="10" t="inlineStr">
        <is>
          <t>鳴滝</t>
        </is>
      </c>
      <c r="H6855" s="10" t="inlineStr">
        <is>
          <t>発</t>
        </is>
      </c>
      <c r="J6855" s="10" t="inlineStr">
        <is>
          <t>営業</t>
        </is>
      </c>
      <c r="L6855" t="inlineStr">
        <is>
          <t>9:50:35</t>
        </is>
      </c>
      <c r="M6855" t="inlineStr">
        <is>
          <t>9:50:45</t>
        </is>
      </c>
    </row>
    <row r="6856" ht="15" customHeight="1" s="37">
      <c r="A6856" t="n">
        <v>19</v>
      </c>
      <c r="B6856" s="10" t="inlineStr">
        <is>
          <t>平日</t>
        </is>
      </c>
      <c r="C6856" s="10" t="inlineStr">
        <is>
          <t>北野線</t>
        </is>
      </c>
      <c r="D6856" s="10" t="inlineStr">
        <is>
          <t>下り</t>
        </is>
      </c>
      <c r="E6856" t="inlineStr">
        <is>
          <t>0959</t>
        </is>
      </c>
      <c r="F6856" t="inlineStr">
        <is>
          <t>0453</t>
        </is>
      </c>
      <c r="G6856" s="10" t="inlineStr">
        <is>
          <t>常盤</t>
        </is>
      </c>
      <c r="H6856" s="10" t="inlineStr">
        <is>
          <t>発</t>
        </is>
      </c>
      <c r="J6856" s="10" t="inlineStr">
        <is>
          <t>営業</t>
        </is>
      </c>
      <c r="L6856" t="inlineStr">
        <is>
          <t>9:51:35</t>
        </is>
      </c>
      <c r="M6856" t="inlineStr">
        <is>
          <t>9:51:55</t>
        </is>
      </c>
    </row>
    <row r="6857" ht="15" customHeight="1" s="37">
      <c r="A6857" t="n">
        <v>19</v>
      </c>
      <c r="B6857" s="10" t="inlineStr">
        <is>
          <t>平日</t>
        </is>
      </c>
      <c r="C6857" s="10" t="inlineStr">
        <is>
          <t>北野線</t>
        </is>
      </c>
      <c r="D6857" s="10" t="inlineStr">
        <is>
          <t>下り</t>
        </is>
      </c>
      <c r="E6857" t="inlineStr">
        <is>
          <t>0959</t>
        </is>
      </c>
      <c r="F6857" t="inlineStr">
        <is>
          <t>0453</t>
        </is>
      </c>
      <c r="G6857" s="10" t="inlineStr">
        <is>
          <t>撮影所前</t>
        </is>
      </c>
      <c r="H6857" s="10" t="inlineStr">
        <is>
          <t>発</t>
        </is>
      </c>
      <c r="J6857" s="10" t="inlineStr">
        <is>
          <t>営業</t>
        </is>
      </c>
      <c r="L6857" t="inlineStr">
        <is>
          <t>9:53:15</t>
        </is>
      </c>
      <c r="M6857" t="inlineStr">
        <is>
          <t>9:53:30</t>
        </is>
      </c>
    </row>
    <row r="6858" ht="15" customHeight="1" s="37">
      <c r="A6858" t="n">
        <v>19</v>
      </c>
      <c r="B6858" s="10" t="inlineStr">
        <is>
          <t>平日</t>
        </is>
      </c>
      <c r="C6858" s="10" t="inlineStr">
        <is>
          <t>北野線</t>
        </is>
      </c>
      <c r="D6858" s="10" t="inlineStr">
        <is>
          <t>下り</t>
        </is>
      </c>
      <c r="E6858" t="inlineStr">
        <is>
          <t>0959</t>
        </is>
      </c>
      <c r="F6858" t="inlineStr">
        <is>
          <t>0453</t>
        </is>
      </c>
      <c r="G6858" s="10" t="inlineStr">
        <is>
          <t>帷子ノ辻</t>
        </is>
      </c>
      <c r="H6858" s="10" t="inlineStr">
        <is>
          <t>着</t>
        </is>
      </c>
      <c r="J6858" s="10" t="inlineStr">
        <is>
          <t>営業</t>
        </is>
      </c>
      <c r="L6858" t="inlineStr">
        <is>
          <t>9:54:25</t>
        </is>
      </c>
      <c r="Q6858" t="inlineStr">
        <is>
          <t>4</t>
        </is>
      </c>
    </row>
    <row r="6859" ht="15" customHeight="1" s="37">
      <c r="A6859" t="n">
        <v>19</v>
      </c>
      <c r="B6859" s="10" t="inlineStr">
        <is>
          <t>平日</t>
        </is>
      </c>
      <c r="C6859" s="10" t="inlineStr">
        <is>
          <t>北野線</t>
        </is>
      </c>
      <c r="D6859" s="10" t="inlineStr">
        <is>
          <t>上り</t>
        </is>
      </c>
      <c r="E6859" t="inlineStr">
        <is>
          <t>1052</t>
        </is>
      </c>
      <c r="F6859" t="inlineStr">
        <is>
          <t>0354</t>
        </is>
      </c>
      <c r="G6859" s="10" t="inlineStr">
        <is>
          <t>帷子ノ辻</t>
        </is>
      </c>
      <c r="H6859" s="10" t="inlineStr">
        <is>
          <t>発</t>
        </is>
      </c>
      <c r="J6859" s="10" t="inlineStr">
        <is>
          <t>営業</t>
        </is>
      </c>
      <c r="M6859" t="inlineStr">
        <is>
          <t>10:06:25</t>
        </is>
      </c>
      <c r="Q6859" t="inlineStr">
        <is>
          <t>4</t>
        </is>
      </c>
    </row>
    <row r="6860" ht="15" customHeight="1" s="37">
      <c r="A6860" t="n">
        <v>19</v>
      </c>
      <c r="B6860" s="10" t="inlineStr">
        <is>
          <t>平日</t>
        </is>
      </c>
      <c r="C6860" s="10" t="inlineStr">
        <is>
          <t>北野線</t>
        </is>
      </c>
      <c r="D6860" s="10" t="inlineStr">
        <is>
          <t>上り</t>
        </is>
      </c>
      <c r="E6860" t="inlineStr">
        <is>
          <t>1052</t>
        </is>
      </c>
      <c r="F6860" t="inlineStr">
        <is>
          <t>0354</t>
        </is>
      </c>
      <c r="G6860" s="10" t="inlineStr">
        <is>
          <t>撮影所前</t>
        </is>
      </c>
      <c r="H6860" s="10" t="inlineStr">
        <is>
          <t>発</t>
        </is>
      </c>
      <c r="J6860" s="10" t="inlineStr">
        <is>
          <t>営業</t>
        </is>
      </c>
      <c r="L6860" t="inlineStr">
        <is>
          <t>10:07:25</t>
        </is>
      </c>
      <c r="M6860" t="inlineStr">
        <is>
          <t>10:07:40</t>
        </is>
      </c>
    </row>
    <row r="6861" ht="15" customHeight="1" s="37">
      <c r="A6861" t="n">
        <v>19</v>
      </c>
      <c r="B6861" s="10" t="inlineStr">
        <is>
          <t>平日</t>
        </is>
      </c>
      <c r="C6861" s="10" t="inlineStr">
        <is>
          <t>北野線</t>
        </is>
      </c>
      <c r="D6861" s="10" t="inlineStr">
        <is>
          <t>上り</t>
        </is>
      </c>
      <c r="E6861" t="inlineStr">
        <is>
          <t>1052</t>
        </is>
      </c>
      <c r="F6861" t="inlineStr">
        <is>
          <t>0354</t>
        </is>
      </c>
      <c r="G6861" s="10" t="inlineStr">
        <is>
          <t>常盤</t>
        </is>
      </c>
      <c r="H6861" s="10" t="inlineStr">
        <is>
          <t>発</t>
        </is>
      </c>
      <c r="J6861" s="10" t="inlineStr">
        <is>
          <t>営業</t>
        </is>
      </c>
      <c r="L6861" t="inlineStr">
        <is>
          <t>10:09:00</t>
        </is>
      </c>
      <c r="M6861" t="inlineStr">
        <is>
          <t>10:09:20</t>
        </is>
      </c>
    </row>
    <row r="6862" ht="15" customHeight="1" s="37">
      <c r="A6862" t="n">
        <v>19</v>
      </c>
      <c r="B6862" s="10" t="inlineStr">
        <is>
          <t>平日</t>
        </is>
      </c>
      <c r="C6862" s="10" t="inlineStr">
        <is>
          <t>北野線</t>
        </is>
      </c>
      <c r="D6862" s="10" t="inlineStr">
        <is>
          <t>上り</t>
        </is>
      </c>
      <c r="E6862" t="inlineStr">
        <is>
          <t>1052</t>
        </is>
      </c>
      <c r="F6862" t="inlineStr">
        <is>
          <t>0354</t>
        </is>
      </c>
      <c r="G6862" s="10" t="inlineStr">
        <is>
          <t>鳴滝</t>
        </is>
      </c>
      <c r="H6862" s="10" t="inlineStr">
        <is>
          <t>発</t>
        </is>
      </c>
      <c r="J6862" s="10" t="inlineStr">
        <is>
          <t>営業</t>
        </is>
      </c>
      <c r="L6862" t="inlineStr">
        <is>
          <t>10:10:20</t>
        </is>
      </c>
      <c r="M6862" t="inlineStr">
        <is>
          <t>10:10:40</t>
        </is>
      </c>
    </row>
    <row r="6863" ht="15" customHeight="1" s="37">
      <c r="A6863" t="n">
        <v>19</v>
      </c>
      <c r="B6863" s="10" t="inlineStr">
        <is>
          <t>平日</t>
        </is>
      </c>
      <c r="C6863" s="10" t="inlineStr">
        <is>
          <t>北野線</t>
        </is>
      </c>
      <c r="D6863" s="10" t="inlineStr">
        <is>
          <t>上り</t>
        </is>
      </c>
      <c r="E6863" t="inlineStr">
        <is>
          <t>1052</t>
        </is>
      </c>
      <c r="F6863" t="inlineStr">
        <is>
          <t>0354</t>
        </is>
      </c>
      <c r="G6863" s="10" t="inlineStr">
        <is>
          <t>宇多野</t>
        </is>
      </c>
      <c r="H6863" s="10" t="inlineStr">
        <is>
          <t>発</t>
        </is>
      </c>
      <c r="J6863" s="10" t="inlineStr">
        <is>
          <t>営業</t>
        </is>
      </c>
      <c r="L6863" t="inlineStr">
        <is>
          <t>10:12:00</t>
        </is>
      </c>
      <c r="M6863" t="inlineStr">
        <is>
          <t>10:12:15</t>
        </is>
      </c>
    </row>
    <row r="6864" ht="15" customHeight="1" s="37">
      <c r="A6864" t="n">
        <v>19</v>
      </c>
      <c r="B6864" s="10" t="inlineStr">
        <is>
          <t>平日</t>
        </is>
      </c>
      <c r="C6864" s="10" t="inlineStr">
        <is>
          <t>北野線</t>
        </is>
      </c>
      <c r="D6864" s="10" t="inlineStr">
        <is>
          <t>上り</t>
        </is>
      </c>
      <c r="E6864" t="inlineStr">
        <is>
          <t>1052</t>
        </is>
      </c>
      <c r="F6864" t="inlineStr">
        <is>
          <t>0354</t>
        </is>
      </c>
      <c r="G6864" s="10" t="inlineStr">
        <is>
          <t>御室仁和寺</t>
        </is>
      </c>
      <c r="H6864" s="10" t="inlineStr">
        <is>
          <t>発</t>
        </is>
      </c>
      <c r="J6864" s="10" t="inlineStr">
        <is>
          <t>営業</t>
        </is>
      </c>
      <c r="L6864" t="inlineStr">
        <is>
          <t>10:13:15</t>
        </is>
      </c>
      <c r="M6864" t="inlineStr">
        <is>
          <t>10:13:35</t>
        </is>
      </c>
    </row>
    <row r="6865" ht="15" customHeight="1" s="37">
      <c r="A6865" t="n">
        <v>19</v>
      </c>
      <c r="B6865" s="10" t="inlineStr">
        <is>
          <t>平日</t>
        </is>
      </c>
      <c r="C6865" s="10" t="inlineStr">
        <is>
          <t>北野線</t>
        </is>
      </c>
      <c r="D6865" s="10" t="inlineStr">
        <is>
          <t>上り</t>
        </is>
      </c>
      <c r="E6865" t="inlineStr">
        <is>
          <t>1052</t>
        </is>
      </c>
      <c r="F6865" t="inlineStr">
        <is>
          <t>0354</t>
        </is>
      </c>
      <c r="G6865" s="10" t="inlineStr">
        <is>
          <t>妙心寺</t>
        </is>
      </c>
      <c r="H6865" s="10" t="inlineStr">
        <is>
          <t>発</t>
        </is>
      </c>
      <c r="J6865" s="10" t="inlineStr">
        <is>
          <t>営業</t>
        </is>
      </c>
      <c r="L6865" t="inlineStr">
        <is>
          <t>10:14:35</t>
        </is>
      </c>
      <c r="M6865" t="inlineStr">
        <is>
          <t>10:14:50</t>
        </is>
      </c>
    </row>
    <row r="6866" ht="15" customHeight="1" s="37">
      <c r="A6866" t="n">
        <v>19</v>
      </c>
      <c r="B6866" s="10" t="inlineStr">
        <is>
          <t>平日</t>
        </is>
      </c>
      <c r="C6866" s="10" t="inlineStr">
        <is>
          <t>北野線</t>
        </is>
      </c>
      <c r="D6866" s="10" t="inlineStr">
        <is>
          <t>上り</t>
        </is>
      </c>
      <c r="E6866" t="inlineStr">
        <is>
          <t>1052</t>
        </is>
      </c>
      <c r="F6866" t="inlineStr">
        <is>
          <t>0354</t>
        </is>
      </c>
      <c r="G6866" s="10" t="inlineStr">
        <is>
          <t>龍安寺</t>
        </is>
      </c>
      <c r="H6866" s="10" t="inlineStr">
        <is>
          <t>発</t>
        </is>
      </c>
      <c r="J6866" s="10" t="inlineStr">
        <is>
          <t>営業</t>
        </is>
      </c>
      <c r="L6866" t="inlineStr">
        <is>
          <t>10:15:45</t>
        </is>
      </c>
      <c r="M6866" t="inlineStr">
        <is>
          <t>10:15:55</t>
        </is>
      </c>
    </row>
    <row r="6867" ht="15" customHeight="1" s="37">
      <c r="A6867" t="n">
        <v>19</v>
      </c>
      <c r="B6867" s="10" t="inlineStr">
        <is>
          <t>平日</t>
        </is>
      </c>
      <c r="C6867" s="10" t="inlineStr">
        <is>
          <t>北野線</t>
        </is>
      </c>
      <c r="D6867" s="10" t="inlineStr">
        <is>
          <t>上り</t>
        </is>
      </c>
      <c r="E6867" t="inlineStr">
        <is>
          <t>1052</t>
        </is>
      </c>
      <c r="F6867" t="inlineStr">
        <is>
          <t>0354</t>
        </is>
      </c>
      <c r="G6867" s="10" t="inlineStr">
        <is>
          <t>等持院</t>
        </is>
      </c>
      <c r="H6867" s="10" t="inlineStr">
        <is>
          <t>発</t>
        </is>
      </c>
      <c r="J6867" s="10" t="inlineStr">
        <is>
          <t>営業</t>
        </is>
      </c>
      <c r="L6867" t="inlineStr">
        <is>
          <t>10:16:35</t>
        </is>
      </c>
      <c r="M6867" t="inlineStr">
        <is>
          <t>10:16:55</t>
        </is>
      </c>
    </row>
    <row r="6868" ht="15" customHeight="1" s="37">
      <c r="A6868" t="n">
        <v>19</v>
      </c>
      <c r="B6868" s="10" t="inlineStr">
        <is>
          <t>平日</t>
        </is>
      </c>
      <c r="C6868" s="10" t="inlineStr">
        <is>
          <t>北野線</t>
        </is>
      </c>
      <c r="D6868" s="10" t="inlineStr">
        <is>
          <t>上り</t>
        </is>
      </c>
      <c r="E6868" t="inlineStr">
        <is>
          <t>1052</t>
        </is>
      </c>
      <c r="F6868" t="inlineStr">
        <is>
          <t>0354</t>
        </is>
      </c>
      <c r="G6868" s="10" t="inlineStr">
        <is>
          <t>北野白梅町</t>
        </is>
      </c>
      <c r="H6868" s="10" t="inlineStr">
        <is>
          <t>着</t>
        </is>
      </c>
      <c r="J6868" s="10" t="inlineStr">
        <is>
          <t>営業</t>
        </is>
      </c>
      <c r="L6868" t="inlineStr">
        <is>
          <t>10:18:15</t>
        </is>
      </c>
      <c r="Q6868" t="inlineStr">
        <is>
          <t>1</t>
        </is>
      </c>
    </row>
    <row r="6869" ht="15" customHeight="1" s="37">
      <c r="A6869" t="n">
        <v>19</v>
      </c>
      <c r="B6869" s="10" t="inlineStr">
        <is>
          <t>平日</t>
        </is>
      </c>
      <c r="C6869" s="10" t="inlineStr">
        <is>
          <t>北野線</t>
        </is>
      </c>
      <c r="D6869" s="10" t="inlineStr">
        <is>
          <t>下り</t>
        </is>
      </c>
      <c r="E6869" t="inlineStr">
        <is>
          <t>1055</t>
        </is>
      </c>
      <c r="F6869" t="inlineStr">
        <is>
          <t>0453</t>
        </is>
      </c>
      <c r="G6869" s="10" t="inlineStr">
        <is>
          <t>北野白梅町</t>
        </is>
      </c>
      <c r="H6869" s="10" t="inlineStr">
        <is>
          <t>発</t>
        </is>
      </c>
      <c r="J6869" s="10" t="inlineStr">
        <is>
          <t>営業</t>
        </is>
      </c>
      <c r="M6869" t="inlineStr">
        <is>
          <t>10:23:00</t>
        </is>
      </c>
      <c r="Q6869" t="inlineStr">
        <is>
          <t>1</t>
        </is>
      </c>
    </row>
    <row r="6870" ht="15" customHeight="1" s="37">
      <c r="A6870" t="n">
        <v>19</v>
      </c>
      <c r="B6870" s="10" t="inlineStr">
        <is>
          <t>平日</t>
        </is>
      </c>
      <c r="C6870" s="10" t="inlineStr">
        <is>
          <t>北野線</t>
        </is>
      </c>
      <c r="D6870" s="10" t="inlineStr">
        <is>
          <t>下り</t>
        </is>
      </c>
      <c r="E6870" t="inlineStr">
        <is>
          <t>1055</t>
        </is>
      </c>
      <c r="F6870" t="inlineStr">
        <is>
          <t>0453</t>
        </is>
      </c>
      <c r="G6870" s="10" t="inlineStr">
        <is>
          <t>等持院</t>
        </is>
      </c>
      <c r="H6870" s="10" t="inlineStr">
        <is>
          <t>発</t>
        </is>
      </c>
      <c r="J6870" s="10" t="inlineStr">
        <is>
          <t>営業</t>
        </is>
      </c>
      <c r="L6870" t="inlineStr">
        <is>
          <t>10:24:25</t>
        </is>
      </c>
      <c r="M6870" t="inlineStr">
        <is>
          <t>10:24:35</t>
        </is>
      </c>
    </row>
    <row r="6871" ht="15" customHeight="1" s="37">
      <c r="A6871" t="n">
        <v>19</v>
      </c>
      <c r="B6871" s="10" t="inlineStr">
        <is>
          <t>平日</t>
        </is>
      </c>
      <c r="C6871" s="10" t="inlineStr">
        <is>
          <t>北野線</t>
        </is>
      </c>
      <c r="D6871" s="10" t="inlineStr">
        <is>
          <t>下り</t>
        </is>
      </c>
      <c r="E6871" t="inlineStr">
        <is>
          <t>1055</t>
        </is>
      </c>
      <c r="F6871" t="inlineStr">
        <is>
          <t>0453</t>
        </is>
      </c>
      <c r="G6871" s="10" t="inlineStr">
        <is>
          <t>龍安寺</t>
        </is>
      </c>
      <c r="H6871" s="10" t="inlineStr">
        <is>
          <t>発</t>
        </is>
      </c>
      <c r="J6871" s="10" t="inlineStr">
        <is>
          <t>営業</t>
        </is>
      </c>
      <c r="L6871" t="inlineStr">
        <is>
          <t>10:25:25</t>
        </is>
      </c>
      <c r="M6871" t="inlineStr">
        <is>
          <t>10:25:50</t>
        </is>
      </c>
    </row>
    <row r="6872" ht="15" customHeight="1" s="37">
      <c r="A6872" t="n">
        <v>19</v>
      </c>
      <c r="B6872" s="10" t="inlineStr">
        <is>
          <t>平日</t>
        </is>
      </c>
      <c r="C6872" s="10" t="inlineStr">
        <is>
          <t>北野線</t>
        </is>
      </c>
      <c r="D6872" s="10" t="inlineStr">
        <is>
          <t>下り</t>
        </is>
      </c>
      <c r="E6872" t="inlineStr">
        <is>
          <t>1055</t>
        </is>
      </c>
      <c r="F6872" t="inlineStr">
        <is>
          <t>0453</t>
        </is>
      </c>
      <c r="G6872" s="10" t="inlineStr">
        <is>
          <t>妙心寺</t>
        </is>
      </c>
      <c r="H6872" s="10" t="inlineStr">
        <is>
          <t>発</t>
        </is>
      </c>
      <c r="J6872" s="10" t="inlineStr">
        <is>
          <t>営業</t>
        </is>
      </c>
      <c r="L6872" t="inlineStr">
        <is>
          <t>10:26:40</t>
        </is>
      </c>
      <c r="M6872" t="inlineStr">
        <is>
          <t>10:26:50</t>
        </is>
      </c>
    </row>
    <row r="6873" ht="15" customHeight="1" s="37">
      <c r="A6873" t="n">
        <v>19</v>
      </c>
      <c r="B6873" s="10" t="inlineStr">
        <is>
          <t>平日</t>
        </is>
      </c>
      <c r="C6873" s="10" t="inlineStr">
        <is>
          <t>北野線</t>
        </is>
      </c>
      <c r="D6873" s="10" t="inlineStr">
        <is>
          <t>下り</t>
        </is>
      </c>
      <c r="E6873" t="inlineStr">
        <is>
          <t>1055</t>
        </is>
      </c>
      <c r="F6873" t="inlineStr">
        <is>
          <t>0453</t>
        </is>
      </c>
      <c r="G6873" s="10" t="inlineStr">
        <is>
          <t>御室仁和寺</t>
        </is>
      </c>
      <c r="H6873" s="10" t="inlineStr">
        <is>
          <t>発</t>
        </is>
      </c>
      <c r="J6873" s="10" t="inlineStr">
        <is>
          <t>営業</t>
        </is>
      </c>
      <c r="L6873" t="inlineStr">
        <is>
          <t>10:27:50</t>
        </is>
      </c>
      <c r="M6873" t="inlineStr">
        <is>
          <t>10:28:05</t>
        </is>
      </c>
    </row>
    <row r="6874" ht="15" customHeight="1" s="37">
      <c r="A6874" t="n">
        <v>19</v>
      </c>
      <c r="B6874" s="10" t="inlineStr">
        <is>
          <t>平日</t>
        </is>
      </c>
      <c r="C6874" s="10" t="inlineStr">
        <is>
          <t>北野線</t>
        </is>
      </c>
      <c r="D6874" s="10" t="inlineStr">
        <is>
          <t>下り</t>
        </is>
      </c>
      <c r="E6874" t="inlineStr">
        <is>
          <t>1055</t>
        </is>
      </c>
      <c r="F6874" t="inlineStr">
        <is>
          <t>0453</t>
        </is>
      </c>
      <c r="G6874" s="10" t="inlineStr">
        <is>
          <t>宇多野</t>
        </is>
      </c>
      <c r="H6874" s="10" t="inlineStr">
        <is>
          <t>発</t>
        </is>
      </c>
      <c r="J6874" s="10" t="inlineStr">
        <is>
          <t>営業</t>
        </is>
      </c>
      <c r="L6874" t="inlineStr">
        <is>
          <t>10:29:05</t>
        </is>
      </c>
      <c r="M6874" t="inlineStr">
        <is>
          <t>10:29:15</t>
        </is>
      </c>
    </row>
    <row r="6875" ht="15" customHeight="1" s="37">
      <c r="A6875" t="n">
        <v>19</v>
      </c>
      <c r="B6875" s="10" t="inlineStr">
        <is>
          <t>平日</t>
        </is>
      </c>
      <c r="C6875" s="10" t="inlineStr">
        <is>
          <t>北野線</t>
        </is>
      </c>
      <c r="D6875" s="10" t="inlineStr">
        <is>
          <t>下り</t>
        </is>
      </c>
      <c r="E6875" t="inlineStr">
        <is>
          <t>1055</t>
        </is>
      </c>
      <c r="F6875" t="inlineStr">
        <is>
          <t>0453</t>
        </is>
      </c>
      <c r="G6875" s="10" t="inlineStr">
        <is>
          <t>鳴滝</t>
        </is>
      </c>
      <c r="H6875" s="10" t="inlineStr">
        <is>
          <t>発</t>
        </is>
      </c>
      <c r="J6875" s="10" t="inlineStr">
        <is>
          <t>営業</t>
        </is>
      </c>
      <c r="L6875" t="inlineStr">
        <is>
          <t>10:30:35</t>
        </is>
      </c>
      <c r="M6875" t="inlineStr">
        <is>
          <t>10:30:45</t>
        </is>
      </c>
    </row>
    <row r="6876" ht="15" customHeight="1" s="37">
      <c r="A6876" t="n">
        <v>19</v>
      </c>
      <c r="B6876" s="10" t="inlineStr">
        <is>
          <t>平日</t>
        </is>
      </c>
      <c r="C6876" s="10" t="inlineStr">
        <is>
          <t>北野線</t>
        </is>
      </c>
      <c r="D6876" s="10" t="inlineStr">
        <is>
          <t>下り</t>
        </is>
      </c>
      <c r="E6876" t="inlineStr">
        <is>
          <t>1055</t>
        </is>
      </c>
      <c r="F6876" t="inlineStr">
        <is>
          <t>0453</t>
        </is>
      </c>
      <c r="G6876" s="10" t="inlineStr">
        <is>
          <t>常盤</t>
        </is>
      </c>
      <c r="H6876" s="10" t="inlineStr">
        <is>
          <t>発</t>
        </is>
      </c>
      <c r="J6876" s="10" t="inlineStr">
        <is>
          <t>営業</t>
        </is>
      </c>
      <c r="L6876" t="inlineStr">
        <is>
          <t>10:31:35</t>
        </is>
      </c>
      <c r="M6876" t="inlineStr">
        <is>
          <t>10:31:55</t>
        </is>
      </c>
    </row>
    <row r="6877" ht="15" customHeight="1" s="37">
      <c r="A6877" t="n">
        <v>19</v>
      </c>
      <c r="B6877" s="10" t="inlineStr">
        <is>
          <t>平日</t>
        </is>
      </c>
      <c r="C6877" s="10" t="inlineStr">
        <is>
          <t>北野線</t>
        </is>
      </c>
      <c r="D6877" s="10" t="inlineStr">
        <is>
          <t>下り</t>
        </is>
      </c>
      <c r="E6877" t="inlineStr">
        <is>
          <t>1055</t>
        </is>
      </c>
      <c r="F6877" t="inlineStr">
        <is>
          <t>0453</t>
        </is>
      </c>
      <c r="G6877" s="10" t="inlineStr">
        <is>
          <t>撮影所前</t>
        </is>
      </c>
      <c r="H6877" s="10" t="inlineStr">
        <is>
          <t>発</t>
        </is>
      </c>
      <c r="J6877" s="10" t="inlineStr">
        <is>
          <t>営業</t>
        </is>
      </c>
      <c r="L6877" t="inlineStr">
        <is>
          <t>10:33:15</t>
        </is>
      </c>
      <c r="M6877" t="inlineStr">
        <is>
          <t>10:33:30</t>
        </is>
      </c>
    </row>
    <row r="6878" ht="15" customHeight="1" s="37">
      <c r="A6878" t="n">
        <v>19</v>
      </c>
      <c r="B6878" s="10" t="inlineStr">
        <is>
          <t>平日</t>
        </is>
      </c>
      <c r="C6878" s="10" t="inlineStr">
        <is>
          <t>北野線</t>
        </is>
      </c>
      <c r="D6878" s="10" t="inlineStr">
        <is>
          <t>下り</t>
        </is>
      </c>
      <c r="E6878" t="inlineStr">
        <is>
          <t>1055</t>
        </is>
      </c>
      <c r="F6878" t="inlineStr">
        <is>
          <t>0453</t>
        </is>
      </c>
      <c r="G6878" s="10" t="inlineStr">
        <is>
          <t>帷子ノ辻</t>
        </is>
      </c>
      <c r="H6878" s="10" t="inlineStr">
        <is>
          <t>着</t>
        </is>
      </c>
      <c r="J6878" s="10" t="inlineStr">
        <is>
          <t>営業</t>
        </is>
      </c>
      <c r="L6878" t="inlineStr">
        <is>
          <t>10:34:25</t>
        </is>
      </c>
      <c r="Q6878" t="inlineStr">
        <is>
          <t>4</t>
        </is>
      </c>
    </row>
    <row r="6879" ht="15" customHeight="1" s="37">
      <c r="A6879" t="n">
        <v>19</v>
      </c>
      <c r="B6879" s="10" t="inlineStr">
        <is>
          <t>平日</t>
        </is>
      </c>
      <c r="C6879" s="10" t="inlineStr">
        <is>
          <t>北野線</t>
        </is>
      </c>
      <c r="D6879" s="10" t="inlineStr">
        <is>
          <t>上り</t>
        </is>
      </c>
      <c r="E6879" t="inlineStr">
        <is>
          <t>1060</t>
        </is>
      </c>
      <c r="F6879" t="inlineStr">
        <is>
          <t>0354</t>
        </is>
      </c>
      <c r="G6879" s="10" t="inlineStr">
        <is>
          <t>帷子ノ辻</t>
        </is>
      </c>
      <c r="H6879" s="10" t="inlineStr">
        <is>
          <t>発</t>
        </is>
      </c>
      <c r="J6879" s="10" t="inlineStr">
        <is>
          <t>営業</t>
        </is>
      </c>
      <c r="M6879" t="inlineStr">
        <is>
          <t>10:46:25</t>
        </is>
      </c>
      <c r="Q6879" t="inlineStr">
        <is>
          <t>4</t>
        </is>
      </c>
      <c r="U6879" t="inlineStr">
        <is>
          <t>→帷子ノ辻 休憩(11:14〜12:16)</t>
        </is>
      </c>
    </row>
    <row r="6880" ht="15" customHeight="1" s="37">
      <c r="A6880" t="n">
        <v>19</v>
      </c>
      <c r="B6880" s="10" t="inlineStr">
        <is>
          <t>平日</t>
        </is>
      </c>
      <c r="C6880" s="10" t="inlineStr">
        <is>
          <t>北野線</t>
        </is>
      </c>
      <c r="D6880" s="10" t="inlineStr">
        <is>
          <t>上り</t>
        </is>
      </c>
      <c r="E6880" t="inlineStr">
        <is>
          <t>1060</t>
        </is>
      </c>
      <c r="F6880" t="inlineStr">
        <is>
          <t>0354</t>
        </is>
      </c>
      <c r="G6880" s="10" t="inlineStr">
        <is>
          <t>撮影所前</t>
        </is>
      </c>
      <c r="H6880" s="10" t="inlineStr">
        <is>
          <t>発</t>
        </is>
      </c>
      <c r="J6880" s="10" t="inlineStr">
        <is>
          <t>営業</t>
        </is>
      </c>
      <c r="L6880" t="inlineStr">
        <is>
          <t>10:47:25</t>
        </is>
      </c>
      <c r="M6880" t="inlineStr">
        <is>
          <t>10:47:40</t>
        </is>
      </c>
      <c r="U6880" t="inlineStr">
        <is>
          <t>→帷子ノ辻 休憩(11:14〜12:16)</t>
        </is>
      </c>
    </row>
    <row r="6881" ht="15" customHeight="1" s="37">
      <c r="A6881" t="n">
        <v>19</v>
      </c>
      <c r="B6881" s="10" t="inlineStr">
        <is>
          <t>平日</t>
        </is>
      </c>
      <c r="C6881" s="10" t="inlineStr">
        <is>
          <t>北野線</t>
        </is>
      </c>
      <c r="D6881" s="10" t="inlineStr">
        <is>
          <t>上り</t>
        </is>
      </c>
      <c r="E6881" t="inlineStr">
        <is>
          <t>1060</t>
        </is>
      </c>
      <c r="F6881" t="inlineStr">
        <is>
          <t>0354</t>
        </is>
      </c>
      <c r="G6881" s="10" t="inlineStr">
        <is>
          <t>常盤</t>
        </is>
      </c>
      <c r="H6881" s="10" t="inlineStr">
        <is>
          <t>発</t>
        </is>
      </c>
      <c r="J6881" s="10" t="inlineStr">
        <is>
          <t>営業</t>
        </is>
      </c>
      <c r="L6881" t="inlineStr">
        <is>
          <t>10:49:00</t>
        </is>
      </c>
      <c r="M6881" t="inlineStr">
        <is>
          <t>10:49:20</t>
        </is>
      </c>
      <c r="U6881" t="inlineStr">
        <is>
          <t>→帷子ノ辻 休憩(11:14〜12:16)</t>
        </is>
      </c>
    </row>
    <row r="6882" ht="15" customHeight="1" s="37">
      <c r="A6882" t="n">
        <v>19</v>
      </c>
      <c r="B6882" s="10" t="inlineStr">
        <is>
          <t>平日</t>
        </is>
      </c>
      <c r="C6882" s="10" t="inlineStr">
        <is>
          <t>北野線</t>
        </is>
      </c>
      <c r="D6882" s="10" t="inlineStr">
        <is>
          <t>上り</t>
        </is>
      </c>
      <c r="E6882" t="inlineStr">
        <is>
          <t>1060</t>
        </is>
      </c>
      <c r="F6882" t="inlineStr">
        <is>
          <t>0354</t>
        </is>
      </c>
      <c r="G6882" s="10" t="inlineStr">
        <is>
          <t>鳴滝</t>
        </is>
      </c>
      <c r="H6882" s="10" t="inlineStr">
        <is>
          <t>発</t>
        </is>
      </c>
      <c r="J6882" s="10" t="inlineStr">
        <is>
          <t>営業</t>
        </is>
      </c>
      <c r="L6882" t="inlineStr">
        <is>
          <t>10:50:20</t>
        </is>
      </c>
      <c r="M6882" t="inlineStr">
        <is>
          <t>10:50:40</t>
        </is>
      </c>
      <c r="U6882" t="inlineStr">
        <is>
          <t>→帷子ノ辻 休憩(11:14〜12:16)</t>
        </is>
      </c>
    </row>
    <row r="6883" ht="15" customHeight="1" s="37">
      <c r="A6883" t="n">
        <v>19</v>
      </c>
      <c r="B6883" s="10" t="inlineStr">
        <is>
          <t>平日</t>
        </is>
      </c>
      <c r="C6883" s="10" t="inlineStr">
        <is>
          <t>北野線</t>
        </is>
      </c>
      <c r="D6883" s="10" t="inlineStr">
        <is>
          <t>上り</t>
        </is>
      </c>
      <c r="E6883" t="inlineStr">
        <is>
          <t>1060</t>
        </is>
      </c>
      <c r="F6883" t="inlineStr">
        <is>
          <t>0354</t>
        </is>
      </c>
      <c r="G6883" s="10" t="inlineStr">
        <is>
          <t>宇多野</t>
        </is>
      </c>
      <c r="H6883" s="10" t="inlineStr">
        <is>
          <t>発</t>
        </is>
      </c>
      <c r="J6883" s="10" t="inlineStr">
        <is>
          <t>営業</t>
        </is>
      </c>
      <c r="L6883" t="inlineStr">
        <is>
          <t>10:52:00</t>
        </is>
      </c>
      <c r="M6883" t="inlineStr">
        <is>
          <t>10:52:15</t>
        </is>
      </c>
      <c r="U6883" t="inlineStr">
        <is>
          <t>→帷子ノ辻 休憩(11:14〜12:16)</t>
        </is>
      </c>
    </row>
    <row r="6884" ht="15" customHeight="1" s="37">
      <c r="A6884" t="n">
        <v>19</v>
      </c>
      <c r="B6884" s="10" t="inlineStr">
        <is>
          <t>平日</t>
        </is>
      </c>
      <c r="C6884" s="10" t="inlineStr">
        <is>
          <t>北野線</t>
        </is>
      </c>
      <c r="D6884" s="10" t="inlineStr">
        <is>
          <t>上り</t>
        </is>
      </c>
      <c r="E6884" t="inlineStr">
        <is>
          <t>1060</t>
        </is>
      </c>
      <c r="F6884" t="inlineStr">
        <is>
          <t>0354</t>
        </is>
      </c>
      <c r="G6884" s="10" t="inlineStr">
        <is>
          <t>御室仁和寺</t>
        </is>
      </c>
      <c r="H6884" s="10" t="inlineStr">
        <is>
          <t>発</t>
        </is>
      </c>
      <c r="J6884" s="10" t="inlineStr">
        <is>
          <t>営業</t>
        </is>
      </c>
      <c r="L6884" t="inlineStr">
        <is>
          <t>10:53:15</t>
        </is>
      </c>
      <c r="M6884" t="inlineStr">
        <is>
          <t>10:53:35</t>
        </is>
      </c>
      <c r="U6884" t="inlineStr">
        <is>
          <t>→帷子ノ辻 休憩(11:14〜12:16)</t>
        </is>
      </c>
    </row>
    <row r="6885" ht="15" customHeight="1" s="37">
      <c r="A6885" t="n">
        <v>19</v>
      </c>
      <c r="B6885" s="10" t="inlineStr">
        <is>
          <t>平日</t>
        </is>
      </c>
      <c r="C6885" s="10" t="inlineStr">
        <is>
          <t>北野線</t>
        </is>
      </c>
      <c r="D6885" s="10" t="inlineStr">
        <is>
          <t>上り</t>
        </is>
      </c>
      <c r="E6885" t="inlineStr">
        <is>
          <t>1060</t>
        </is>
      </c>
      <c r="F6885" t="inlineStr">
        <is>
          <t>0354</t>
        </is>
      </c>
      <c r="G6885" s="10" t="inlineStr">
        <is>
          <t>妙心寺</t>
        </is>
      </c>
      <c r="H6885" s="10" t="inlineStr">
        <is>
          <t>発</t>
        </is>
      </c>
      <c r="J6885" s="10" t="inlineStr">
        <is>
          <t>営業</t>
        </is>
      </c>
      <c r="L6885" t="inlineStr">
        <is>
          <t>10:54:35</t>
        </is>
      </c>
      <c r="M6885" t="inlineStr">
        <is>
          <t>10:54:50</t>
        </is>
      </c>
      <c r="U6885" t="inlineStr">
        <is>
          <t>→帷子ノ辻 休憩(11:14〜12:16)</t>
        </is>
      </c>
    </row>
    <row r="6886" ht="15" customHeight="1" s="37">
      <c r="A6886" t="n">
        <v>19</v>
      </c>
      <c r="B6886" s="10" t="inlineStr">
        <is>
          <t>平日</t>
        </is>
      </c>
      <c r="C6886" s="10" t="inlineStr">
        <is>
          <t>北野線</t>
        </is>
      </c>
      <c r="D6886" s="10" t="inlineStr">
        <is>
          <t>上り</t>
        </is>
      </c>
      <c r="E6886" t="inlineStr">
        <is>
          <t>1060</t>
        </is>
      </c>
      <c r="F6886" t="inlineStr">
        <is>
          <t>0354</t>
        </is>
      </c>
      <c r="G6886" s="10" t="inlineStr">
        <is>
          <t>龍安寺</t>
        </is>
      </c>
      <c r="H6886" s="10" t="inlineStr">
        <is>
          <t>発</t>
        </is>
      </c>
      <c r="J6886" s="10" t="inlineStr">
        <is>
          <t>営業</t>
        </is>
      </c>
      <c r="L6886" t="inlineStr">
        <is>
          <t>10:55:45</t>
        </is>
      </c>
      <c r="M6886" t="inlineStr">
        <is>
          <t>10:55:55</t>
        </is>
      </c>
      <c r="U6886" t="inlineStr">
        <is>
          <t>→帷子ノ辻 休憩(11:14〜12:16)</t>
        </is>
      </c>
    </row>
    <row r="6887" ht="15" customHeight="1" s="37">
      <c r="A6887" t="n">
        <v>19</v>
      </c>
      <c r="B6887" s="10" t="inlineStr">
        <is>
          <t>平日</t>
        </is>
      </c>
      <c r="C6887" s="10" t="inlineStr">
        <is>
          <t>北野線</t>
        </is>
      </c>
      <c r="D6887" s="10" t="inlineStr">
        <is>
          <t>上り</t>
        </is>
      </c>
      <c r="E6887" t="inlineStr">
        <is>
          <t>1060</t>
        </is>
      </c>
      <c r="F6887" t="inlineStr">
        <is>
          <t>0354</t>
        </is>
      </c>
      <c r="G6887" s="10" t="inlineStr">
        <is>
          <t>等持院</t>
        </is>
      </c>
      <c r="H6887" s="10" t="inlineStr">
        <is>
          <t>発</t>
        </is>
      </c>
      <c r="J6887" s="10" t="inlineStr">
        <is>
          <t>営業</t>
        </is>
      </c>
      <c r="L6887" t="inlineStr">
        <is>
          <t>10:56:35</t>
        </is>
      </c>
      <c r="M6887" t="inlineStr">
        <is>
          <t>10:56:55</t>
        </is>
      </c>
      <c r="U6887" t="inlineStr">
        <is>
          <t>→帷子ノ辻 休憩(11:14〜12:16)</t>
        </is>
      </c>
    </row>
    <row r="6888" ht="15" customHeight="1" s="37">
      <c r="A6888" t="n">
        <v>19</v>
      </c>
      <c r="B6888" s="10" t="inlineStr">
        <is>
          <t>平日</t>
        </is>
      </c>
      <c r="C6888" s="10" t="inlineStr">
        <is>
          <t>北野線</t>
        </is>
      </c>
      <c r="D6888" s="10" t="inlineStr">
        <is>
          <t>上り</t>
        </is>
      </c>
      <c r="E6888" t="inlineStr">
        <is>
          <t>1060</t>
        </is>
      </c>
      <c r="F6888" t="inlineStr">
        <is>
          <t>0354</t>
        </is>
      </c>
      <c r="G6888" s="10" t="inlineStr">
        <is>
          <t>北野白梅町</t>
        </is>
      </c>
      <c r="H6888" s="10" t="inlineStr">
        <is>
          <t>着</t>
        </is>
      </c>
      <c r="J6888" s="10" t="inlineStr">
        <is>
          <t>営業</t>
        </is>
      </c>
      <c r="L6888" t="inlineStr">
        <is>
          <t>10:58:15</t>
        </is>
      </c>
      <c r="Q6888" t="inlineStr">
        <is>
          <t>1</t>
        </is>
      </c>
      <c r="U6888" t="inlineStr">
        <is>
          <t>→帷子ノ辻 休憩(11:14〜12:16)</t>
        </is>
      </c>
    </row>
    <row r="6889" ht="15" customHeight="1" s="37">
      <c r="A6889" t="n">
        <v>19</v>
      </c>
      <c r="B6889" s="10" t="inlineStr">
        <is>
          <t>平日</t>
        </is>
      </c>
      <c r="C6889" s="10" t="inlineStr">
        <is>
          <t>北野線</t>
        </is>
      </c>
      <c r="D6889" s="10" t="inlineStr">
        <is>
          <t>下り</t>
        </is>
      </c>
      <c r="E6889" t="inlineStr">
        <is>
          <t>1151</t>
        </is>
      </c>
      <c r="F6889" t="inlineStr">
        <is>
          <t>0453</t>
        </is>
      </c>
      <c r="G6889" s="10" t="inlineStr">
        <is>
          <t>北野白梅町</t>
        </is>
      </c>
      <c r="H6889" s="10" t="inlineStr">
        <is>
          <t>発</t>
        </is>
      </c>
      <c r="J6889" s="10" t="inlineStr">
        <is>
          <t>営業</t>
        </is>
      </c>
      <c r="M6889" t="inlineStr">
        <is>
          <t>11:03:00</t>
        </is>
      </c>
      <c r="Q6889" t="inlineStr">
        <is>
          <t>1</t>
        </is>
      </c>
      <c r="U6889" t="inlineStr">
        <is>
          <t>→帷子ノ辻 休憩(11:14〜12:16)</t>
        </is>
      </c>
    </row>
    <row r="6890" ht="16.5" customHeight="1" s="37">
      <c r="A6890" t="n">
        <v>19</v>
      </c>
      <c r="B6890" s="10" t="inlineStr">
        <is>
          <t>平日</t>
        </is>
      </c>
      <c r="C6890" s="10" t="inlineStr">
        <is>
          <t>北野線</t>
        </is>
      </c>
      <c r="D6890" s="10" t="inlineStr">
        <is>
          <t>下り</t>
        </is>
      </c>
      <c r="E6890" t="inlineStr">
        <is>
          <t>1151</t>
        </is>
      </c>
      <c r="F6890" t="inlineStr">
        <is>
          <t>0453</t>
        </is>
      </c>
      <c r="G6890" s="10" t="inlineStr">
        <is>
          <t>等持院</t>
        </is>
      </c>
      <c r="H6890" s="10" t="inlineStr">
        <is>
          <t>発</t>
        </is>
      </c>
      <c r="J6890" s="10" t="inlineStr">
        <is>
          <t>営業</t>
        </is>
      </c>
      <c r="L6890" t="inlineStr">
        <is>
          <t>11:04:25</t>
        </is>
      </c>
      <c r="M6890" t="inlineStr">
        <is>
          <t>11:04:35</t>
        </is>
      </c>
      <c r="U6890" t="inlineStr">
        <is>
          <t>→帷子ノ辻 休憩(11:14〜12:16)</t>
        </is>
      </c>
    </row>
    <row r="6891" ht="16.5" customHeight="1" s="37">
      <c r="A6891" t="n">
        <v>19</v>
      </c>
      <c r="B6891" s="10" t="inlineStr">
        <is>
          <t>平日</t>
        </is>
      </c>
      <c r="C6891" s="10" t="inlineStr">
        <is>
          <t>北野線</t>
        </is>
      </c>
      <c r="D6891" s="10" t="inlineStr">
        <is>
          <t>下り</t>
        </is>
      </c>
      <c r="E6891" t="inlineStr">
        <is>
          <t>1151</t>
        </is>
      </c>
      <c r="F6891" t="inlineStr">
        <is>
          <t>0453</t>
        </is>
      </c>
      <c r="G6891" s="10" t="inlineStr">
        <is>
          <t>龍安寺</t>
        </is>
      </c>
      <c r="H6891" s="10" t="inlineStr">
        <is>
          <t>発</t>
        </is>
      </c>
      <c r="J6891" s="10" t="inlineStr">
        <is>
          <t>営業</t>
        </is>
      </c>
      <c r="L6891" t="inlineStr">
        <is>
          <t>11:05:25</t>
        </is>
      </c>
      <c r="M6891" t="inlineStr">
        <is>
          <t>11:05:50</t>
        </is>
      </c>
      <c r="U6891" t="inlineStr">
        <is>
          <t>→帷子ノ辻 休憩(11:14〜12:16)</t>
        </is>
      </c>
    </row>
    <row r="6892" ht="16.5" customHeight="1" s="37">
      <c r="A6892" t="n">
        <v>19</v>
      </c>
      <c r="B6892" s="10" t="inlineStr">
        <is>
          <t>平日</t>
        </is>
      </c>
      <c r="C6892" s="10" t="inlineStr">
        <is>
          <t>北野線</t>
        </is>
      </c>
      <c r="D6892" s="10" t="inlineStr">
        <is>
          <t>下り</t>
        </is>
      </c>
      <c r="E6892" t="inlineStr">
        <is>
          <t>1151</t>
        </is>
      </c>
      <c r="F6892" t="inlineStr">
        <is>
          <t>0453</t>
        </is>
      </c>
      <c r="G6892" s="10" t="inlineStr">
        <is>
          <t>妙心寺</t>
        </is>
      </c>
      <c r="H6892" s="10" t="inlineStr">
        <is>
          <t>発</t>
        </is>
      </c>
      <c r="J6892" s="10" t="inlineStr">
        <is>
          <t>営業</t>
        </is>
      </c>
      <c r="L6892" t="inlineStr">
        <is>
          <t>11:06:40</t>
        </is>
      </c>
      <c r="M6892" t="inlineStr">
        <is>
          <t>11:06:50</t>
        </is>
      </c>
      <c r="U6892" t="inlineStr">
        <is>
          <t>→帷子ノ辻 休憩(11:14〜12:16)</t>
        </is>
      </c>
    </row>
    <row r="6893" ht="16.5" customHeight="1" s="37">
      <c r="A6893" t="n">
        <v>19</v>
      </c>
      <c r="B6893" s="10" t="inlineStr">
        <is>
          <t>平日</t>
        </is>
      </c>
      <c r="C6893" s="10" t="inlineStr">
        <is>
          <t>北野線</t>
        </is>
      </c>
      <c r="D6893" s="10" t="inlineStr">
        <is>
          <t>下り</t>
        </is>
      </c>
      <c r="E6893" t="inlineStr">
        <is>
          <t>1151</t>
        </is>
      </c>
      <c r="F6893" t="inlineStr">
        <is>
          <t>0453</t>
        </is>
      </c>
      <c r="G6893" s="10" t="inlineStr">
        <is>
          <t>御室仁和寺</t>
        </is>
      </c>
      <c r="H6893" s="10" t="inlineStr">
        <is>
          <t>発</t>
        </is>
      </c>
      <c r="J6893" s="10" t="inlineStr">
        <is>
          <t>営業</t>
        </is>
      </c>
      <c r="L6893" t="inlineStr">
        <is>
          <t>11:07:50</t>
        </is>
      </c>
      <c r="M6893" t="inlineStr">
        <is>
          <t>11:08:05</t>
        </is>
      </c>
      <c r="U6893" t="inlineStr">
        <is>
          <t>→帷子ノ辻 休憩(11:14〜12:16)</t>
        </is>
      </c>
    </row>
    <row r="6894" ht="16.5" customHeight="1" s="37">
      <c r="A6894" t="n">
        <v>19</v>
      </c>
      <c r="B6894" s="10" t="inlineStr">
        <is>
          <t>平日</t>
        </is>
      </c>
      <c r="C6894" s="10" t="inlineStr">
        <is>
          <t>北野線</t>
        </is>
      </c>
      <c r="D6894" s="10" t="inlineStr">
        <is>
          <t>下り</t>
        </is>
      </c>
      <c r="E6894" t="inlineStr">
        <is>
          <t>1151</t>
        </is>
      </c>
      <c r="F6894" t="inlineStr">
        <is>
          <t>0453</t>
        </is>
      </c>
      <c r="G6894" s="10" t="inlineStr">
        <is>
          <t>宇多野</t>
        </is>
      </c>
      <c r="H6894" s="10" t="inlineStr">
        <is>
          <t>発</t>
        </is>
      </c>
      <c r="J6894" s="10" t="inlineStr">
        <is>
          <t>営業</t>
        </is>
      </c>
      <c r="L6894" t="inlineStr">
        <is>
          <t>11:09:05</t>
        </is>
      </c>
      <c r="M6894" t="inlineStr">
        <is>
          <t>11:09:15</t>
        </is>
      </c>
      <c r="U6894" t="inlineStr">
        <is>
          <t>→帷子ノ辻 休憩(11:14〜12:16)</t>
        </is>
      </c>
    </row>
    <row r="6895" ht="16.5" customHeight="1" s="37">
      <c r="A6895" t="n">
        <v>19</v>
      </c>
      <c r="B6895" s="10" t="inlineStr">
        <is>
          <t>平日</t>
        </is>
      </c>
      <c r="C6895" s="10" t="inlineStr">
        <is>
          <t>北野線</t>
        </is>
      </c>
      <c r="D6895" s="10" t="inlineStr">
        <is>
          <t>下り</t>
        </is>
      </c>
      <c r="E6895" t="inlineStr">
        <is>
          <t>1151</t>
        </is>
      </c>
      <c r="F6895" t="inlineStr">
        <is>
          <t>0453</t>
        </is>
      </c>
      <c r="G6895" s="10" t="inlineStr">
        <is>
          <t>鳴滝</t>
        </is>
      </c>
      <c r="H6895" s="10" t="inlineStr">
        <is>
          <t>発</t>
        </is>
      </c>
      <c r="J6895" s="10" t="inlineStr">
        <is>
          <t>営業</t>
        </is>
      </c>
      <c r="L6895" t="inlineStr">
        <is>
          <t>11:10:35</t>
        </is>
      </c>
      <c r="M6895" t="inlineStr">
        <is>
          <t>11:10:45</t>
        </is>
      </c>
      <c r="U6895" t="inlineStr">
        <is>
          <t>→帷子ノ辻 休憩(11:14〜12:16)</t>
        </is>
      </c>
    </row>
    <row r="6896" ht="16.5" customHeight="1" s="37">
      <c r="A6896" t="n">
        <v>19</v>
      </c>
      <c r="B6896" s="10" t="inlineStr">
        <is>
          <t>平日</t>
        </is>
      </c>
      <c r="C6896" s="10" t="inlineStr">
        <is>
          <t>北野線</t>
        </is>
      </c>
      <c r="D6896" s="10" t="inlineStr">
        <is>
          <t>下り</t>
        </is>
      </c>
      <c r="E6896" t="inlineStr">
        <is>
          <t>1151</t>
        </is>
      </c>
      <c r="F6896" t="inlineStr">
        <is>
          <t>0453</t>
        </is>
      </c>
      <c r="G6896" s="10" t="inlineStr">
        <is>
          <t>常盤</t>
        </is>
      </c>
      <c r="H6896" s="10" t="inlineStr">
        <is>
          <t>発</t>
        </is>
      </c>
      <c r="J6896" s="10" t="inlineStr">
        <is>
          <t>営業</t>
        </is>
      </c>
      <c r="L6896" t="inlineStr">
        <is>
          <t>11:11:35</t>
        </is>
      </c>
      <c r="M6896" t="inlineStr">
        <is>
          <t>11:11:55</t>
        </is>
      </c>
      <c r="U6896" t="inlineStr">
        <is>
          <t>→帷子ノ辻 休憩(11:14〜12:16)</t>
        </is>
      </c>
    </row>
    <row r="6897" ht="16.5" customHeight="1" s="37">
      <c r="A6897" t="n">
        <v>19</v>
      </c>
      <c r="B6897" s="10" t="inlineStr">
        <is>
          <t>平日</t>
        </is>
      </c>
      <c r="C6897" s="10" t="inlineStr">
        <is>
          <t>北野線</t>
        </is>
      </c>
      <c r="D6897" s="10" t="inlineStr">
        <is>
          <t>下り</t>
        </is>
      </c>
      <c r="E6897" t="inlineStr">
        <is>
          <t>1151</t>
        </is>
      </c>
      <c r="F6897" t="inlineStr">
        <is>
          <t>0453</t>
        </is>
      </c>
      <c r="G6897" s="10" t="inlineStr">
        <is>
          <t>撮影所前</t>
        </is>
      </c>
      <c r="H6897" s="10" t="inlineStr">
        <is>
          <t>発</t>
        </is>
      </c>
      <c r="J6897" s="10" t="inlineStr">
        <is>
          <t>営業</t>
        </is>
      </c>
      <c r="L6897" t="inlineStr">
        <is>
          <t>11:13:15</t>
        </is>
      </c>
      <c r="M6897" t="inlineStr">
        <is>
          <t>11:13:30</t>
        </is>
      </c>
      <c r="U6897" t="inlineStr">
        <is>
          <t>→帷子ノ辻 休憩(11:14〜12:16)</t>
        </is>
      </c>
    </row>
    <row r="6898" ht="16.5" customHeight="1" s="37">
      <c r="A6898" t="n">
        <v>19</v>
      </c>
      <c r="B6898" s="10" t="inlineStr">
        <is>
          <t>平日</t>
        </is>
      </c>
      <c r="C6898" s="10" t="inlineStr">
        <is>
          <t>北野線</t>
        </is>
      </c>
      <c r="D6898" s="10" t="inlineStr">
        <is>
          <t>下り</t>
        </is>
      </c>
      <c r="E6898" t="inlineStr">
        <is>
          <t>1151</t>
        </is>
      </c>
      <c r="F6898" t="inlineStr">
        <is>
          <t>0453</t>
        </is>
      </c>
      <c r="G6898" s="10" t="inlineStr">
        <is>
          <t>帷子ノ辻</t>
        </is>
      </c>
      <c r="H6898" s="10" t="inlineStr">
        <is>
          <t>着</t>
        </is>
      </c>
      <c r="J6898" s="10" t="inlineStr">
        <is>
          <t>営業</t>
        </is>
      </c>
      <c r="L6898" t="inlineStr">
        <is>
          <t>11:14:25</t>
        </is>
      </c>
      <c r="Q6898" t="inlineStr">
        <is>
          <t>4</t>
        </is>
      </c>
      <c r="U6898" t="inlineStr">
        <is>
          <t>→帷子ノ辻 休憩(11:14〜12:16)</t>
        </is>
      </c>
    </row>
    <row r="6899" ht="16.5" customHeight="1" s="37">
      <c r="A6899" t="n">
        <v>19</v>
      </c>
      <c r="B6899" s="10" t="inlineStr">
        <is>
          <t>平日</t>
        </is>
      </c>
      <c r="C6899" s="10" t="inlineStr">
        <is>
          <t>北野線</t>
        </is>
      </c>
      <c r="D6899" s="10" t="inlineStr">
        <is>
          <t>上り</t>
        </is>
      </c>
      <c r="E6899" t="inlineStr">
        <is>
          <t>1254</t>
        </is>
      </c>
      <c r="F6899" t="inlineStr">
        <is>
          <t>0354</t>
        </is>
      </c>
      <c r="G6899" s="10" t="inlineStr">
        <is>
          <t>帷子ノ辻</t>
        </is>
      </c>
      <c r="H6899" s="10" t="inlineStr">
        <is>
          <t>発</t>
        </is>
      </c>
      <c r="J6899" s="10" t="inlineStr">
        <is>
          <t>営業</t>
        </is>
      </c>
      <c r="M6899" t="inlineStr">
        <is>
          <t>12:16:25</t>
        </is>
      </c>
      <c r="Q6899" t="inlineStr">
        <is>
          <t>3</t>
        </is>
      </c>
    </row>
    <row r="6900" ht="16.5" customHeight="1" s="37">
      <c r="A6900" t="n">
        <v>19</v>
      </c>
      <c r="B6900" s="10" t="inlineStr">
        <is>
          <t>平日</t>
        </is>
      </c>
      <c r="C6900" s="10" t="inlineStr">
        <is>
          <t>北野線</t>
        </is>
      </c>
      <c r="D6900" s="10" t="inlineStr">
        <is>
          <t>上り</t>
        </is>
      </c>
      <c r="E6900" t="inlineStr">
        <is>
          <t>1254</t>
        </is>
      </c>
      <c r="F6900" t="inlineStr">
        <is>
          <t>0354</t>
        </is>
      </c>
      <c r="G6900" s="10" t="inlineStr">
        <is>
          <t>撮影所前</t>
        </is>
      </c>
      <c r="H6900" s="10" t="inlineStr">
        <is>
          <t>発</t>
        </is>
      </c>
      <c r="J6900" s="10" t="inlineStr">
        <is>
          <t>営業</t>
        </is>
      </c>
      <c r="L6900" t="inlineStr">
        <is>
          <t>12:17:25</t>
        </is>
      </c>
      <c r="M6900" t="inlineStr">
        <is>
          <t>12:17:40</t>
        </is>
      </c>
    </row>
    <row r="6901" ht="16.5" customHeight="1" s="37">
      <c r="A6901" t="n">
        <v>19</v>
      </c>
      <c r="B6901" s="10" t="inlineStr">
        <is>
          <t>平日</t>
        </is>
      </c>
      <c r="C6901" s="10" t="inlineStr">
        <is>
          <t>北野線</t>
        </is>
      </c>
      <c r="D6901" s="10" t="inlineStr">
        <is>
          <t>上り</t>
        </is>
      </c>
      <c r="E6901" t="inlineStr">
        <is>
          <t>1254</t>
        </is>
      </c>
      <c r="F6901" t="inlineStr">
        <is>
          <t>0354</t>
        </is>
      </c>
      <c r="G6901" s="10" t="inlineStr">
        <is>
          <t>常盤</t>
        </is>
      </c>
      <c r="H6901" s="10" t="inlineStr">
        <is>
          <t>発</t>
        </is>
      </c>
      <c r="J6901" s="10" t="inlineStr">
        <is>
          <t>営業</t>
        </is>
      </c>
      <c r="L6901" t="inlineStr">
        <is>
          <t>12:19:00</t>
        </is>
      </c>
      <c r="M6901" t="inlineStr">
        <is>
          <t>12:19:20</t>
        </is>
      </c>
    </row>
    <row r="6902" ht="16.5" customHeight="1" s="37">
      <c r="A6902" t="n">
        <v>19</v>
      </c>
      <c r="B6902" s="10" t="inlineStr">
        <is>
          <t>平日</t>
        </is>
      </c>
      <c r="C6902" s="10" t="inlineStr">
        <is>
          <t>北野線</t>
        </is>
      </c>
      <c r="D6902" s="10" t="inlineStr">
        <is>
          <t>上り</t>
        </is>
      </c>
      <c r="E6902" t="inlineStr">
        <is>
          <t>1254</t>
        </is>
      </c>
      <c r="F6902" t="inlineStr">
        <is>
          <t>0354</t>
        </is>
      </c>
      <c r="G6902" s="10" t="inlineStr">
        <is>
          <t>鳴滝</t>
        </is>
      </c>
      <c r="H6902" s="10" t="inlineStr">
        <is>
          <t>発</t>
        </is>
      </c>
      <c r="J6902" s="10" t="inlineStr">
        <is>
          <t>営業</t>
        </is>
      </c>
      <c r="L6902" t="inlineStr">
        <is>
          <t>12:20:20</t>
        </is>
      </c>
      <c r="M6902" t="inlineStr">
        <is>
          <t>12:20:40</t>
        </is>
      </c>
    </row>
    <row r="6903" ht="16.5" customHeight="1" s="37">
      <c r="A6903" t="n">
        <v>19</v>
      </c>
      <c r="B6903" s="10" t="inlineStr">
        <is>
          <t>平日</t>
        </is>
      </c>
      <c r="C6903" s="10" t="inlineStr">
        <is>
          <t>北野線</t>
        </is>
      </c>
      <c r="D6903" s="10" t="inlineStr">
        <is>
          <t>上り</t>
        </is>
      </c>
      <c r="E6903" t="inlineStr">
        <is>
          <t>1254</t>
        </is>
      </c>
      <c r="F6903" t="inlineStr">
        <is>
          <t>0354</t>
        </is>
      </c>
      <c r="G6903" s="10" t="inlineStr">
        <is>
          <t>宇多野</t>
        </is>
      </c>
      <c r="H6903" s="10" t="inlineStr">
        <is>
          <t>発</t>
        </is>
      </c>
      <c r="J6903" s="10" t="inlineStr">
        <is>
          <t>営業</t>
        </is>
      </c>
      <c r="L6903" t="inlineStr">
        <is>
          <t>12:22:00</t>
        </is>
      </c>
      <c r="M6903" t="inlineStr">
        <is>
          <t>12:22:15</t>
        </is>
      </c>
    </row>
    <row r="6904" ht="16.5" customHeight="1" s="37">
      <c r="A6904" t="n">
        <v>19</v>
      </c>
      <c r="B6904" s="10" t="inlineStr">
        <is>
          <t>平日</t>
        </is>
      </c>
      <c r="C6904" s="10" t="inlineStr">
        <is>
          <t>北野線</t>
        </is>
      </c>
      <c r="D6904" s="10" t="inlineStr">
        <is>
          <t>上り</t>
        </is>
      </c>
      <c r="E6904" t="inlineStr">
        <is>
          <t>1254</t>
        </is>
      </c>
      <c r="F6904" t="inlineStr">
        <is>
          <t>0354</t>
        </is>
      </c>
      <c r="G6904" s="10" t="inlineStr">
        <is>
          <t>御室仁和寺</t>
        </is>
      </c>
      <c r="H6904" s="10" t="inlineStr">
        <is>
          <t>発</t>
        </is>
      </c>
      <c r="J6904" s="10" t="inlineStr">
        <is>
          <t>営業</t>
        </is>
      </c>
      <c r="L6904" t="inlineStr">
        <is>
          <t>12:23:15</t>
        </is>
      </c>
      <c r="M6904" t="inlineStr">
        <is>
          <t>12:23:35</t>
        </is>
      </c>
    </row>
    <row r="6905" ht="16.5" customHeight="1" s="37">
      <c r="A6905" t="n">
        <v>19</v>
      </c>
      <c r="B6905" s="10" t="inlineStr">
        <is>
          <t>平日</t>
        </is>
      </c>
      <c r="C6905" s="10" t="inlineStr">
        <is>
          <t>北野線</t>
        </is>
      </c>
      <c r="D6905" s="10" t="inlineStr">
        <is>
          <t>上り</t>
        </is>
      </c>
      <c r="E6905" t="inlineStr">
        <is>
          <t>1254</t>
        </is>
      </c>
      <c r="F6905" t="inlineStr">
        <is>
          <t>0354</t>
        </is>
      </c>
      <c r="G6905" s="10" t="inlineStr">
        <is>
          <t>妙心寺</t>
        </is>
      </c>
      <c r="H6905" s="10" t="inlineStr">
        <is>
          <t>発</t>
        </is>
      </c>
      <c r="J6905" s="10" t="inlineStr">
        <is>
          <t>営業</t>
        </is>
      </c>
      <c r="L6905" t="inlineStr">
        <is>
          <t>12:24:35</t>
        </is>
      </c>
      <c r="M6905" t="inlineStr">
        <is>
          <t>12:24:50</t>
        </is>
      </c>
    </row>
    <row r="6906" ht="16.5" customHeight="1" s="37">
      <c r="A6906" t="n">
        <v>19</v>
      </c>
      <c r="B6906" s="10" t="inlineStr">
        <is>
          <t>平日</t>
        </is>
      </c>
      <c r="C6906" s="10" t="inlineStr">
        <is>
          <t>北野線</t>
        </is>
      </c>
      <c r="D6906" s="10" t="inlineStr">
        <is>
          <t>上り</t>
        </is>
      </c>
      <c r="E6906" t="inlineStr">
        <is>
          <t>1254</t>
        </is>
      </c>
      <c r="F6906" t="inlineStr">
        <is>
          <t>0354</t>
        </is>
      </c>
      <c r="G6906" s="10" t="inlineStr">
        <is>
          <t>龍安寺</t>
        </is>
      </c>
      <c r="H6906" s="10" t="inlineStr">
        <is>
          <t>発</t>
        </is>
      </c>
      <c r="J6906" s="10" t="inlineStr">
        <is>
          <t>営業</t>
        </is>
      </c>
      <c r="L6906" t="inlineStr">
        <is>
          <t>12:25:45</t>
        </is>
      </c>
      <c r="M6906" t="inlineStr">
        <is>
          <t>12:25:55</t>
        </is>
      </c>
    </row>
    <row r="6907" ht="16.5" customHeight="1" s="37">
      <c r="A6907" t="n">
        <v>19</v>
      </c>
      <c r="B6907" s="10" t="inlineStr">
        <is>
          <t>平日</t>
        </is>
      </c>
      <c r="C6907" s="10" t="inlineStr">
        <is>
          <t>北野線</t>
        </is>
      </c>
      <c r="D6907" s="10" t="inlineStr">
        <is>
          <t>上り</t>
        </is>
      </c>
      <c r="E6907" t="inlineStr">
        <is>
          <t>1254</t>
        </is>
      </c>
      <c r="F6907" t="inlineStr">
        <is>
          <t>0354</t>
        </is>
      </c>
      <c r="G6907" s="10" t="inlineStr">
        <is>
          <t>等持院</t>
        </is>
      </c>
      <c r="H6907" s="10" t="inlineStr">
        <is>
          <t>発</t>
        </is>
      </c>
      <c r="J6907" s="10" t="inlineStr">
        <is>
          <t>営業</t>
        </is>
      </c>
      <c r="L6907" t="inlineStr">
        <is>
          <t>12:26:35</t>
        </is>
      </c>
      <c r="M6907" t="inlineStr">
        <is>
          <t>12:26:55</t>
        </is>
      </c>
    </row>
    <row r="6908" ht="16.5" customHeight="1" s="37">
      <c r="A6908" t="n">
        <v>19</v>
      </c>
      <c r="B6908" s="10" t="inlineStr">
        <is>
          <t>平日</t>
        </is>
      </c>
      <c r="C6908" s="10" t="inlineStr">
        <is>
          <t>北野線</t>
        </is>
      </c>
      <c r="D6908" s="10" t="inlineStr">
        <is>
          <t>上り</t>
        </is>
      </c>
      <c r="E6908" t="inlineStr">
        <is>
          <t>1254</t>
        </is>
      </c>
      <c r="F6908" t="inlineStr">
        <is>
          <t>0354</t>
        </is>
      </c>
      <c r="G6908" s="10" t="inlineStr">
        <is>
          <t>北野白梅町</t>
        </is>
      </c>
      <c r="H6908" s="10" t="inlineStr">
        <is>
          <t>着</t>
        </is>
      </c>
      <c r="J6908" s="10" t="inlineStr">
        <is>
          <t>営業</t>
        </is>
      </c>
      <c r="L6908" t="inlineStr">
        <is>
          <t>12:28:15</t>
        </is>
      </c>
      <c r="Q6908" t="inlineStr">
        <is>
          <t>1</t>
        </is>
      </c>
    </row>
    <row r="6909" ht="16.5" customHeight="1" s="37">
      <c r="A6909" t="n">
        <v>19</v>
      </c>
      <c r="B6909" s="10" t="inlineStr">
        <is>
          <t>平日</t>
        </is>
      </c>
      <c r="C6909" s="10" t="inlineStr">
        <is>
          <t>北野線</t>
        </is>
      </c>
      <c r="D6909" s="10" t="inlineStr">
        <is>
          <t>下り</t>
        </is>
      </c>
      <c r="E6909" t="inlineStr">
        <is>
          <t>1257</t>
        </is>
      </c>
      <c r="F6909" t="inlineStr">
        <is>
          <t>0453</t>
        </is>
      </c>
      <c r="G6909" s="10" t="inlineStr">
        <is>
          <t>北野白梅町</t>
        </is>
      </c>
      <c r="H6909" s="10" t="inlineStr">
        <is>
          <t>発</t>
        </is>
      </c>
      <c r="J6909" s="10" t="inlineStr">
        <is>
          <t>営業</t>
        </is>
      </c>
      <c r="M6909" t="inlineStr">
        <is>
          <t>12:33:00</t>
        </is>
      </c>
      <c r="Q6909" t="inlineStr">
        <is>
          <t>1</t>
        </is>
      </c>
    </row>
    <row r="6910" ht="16.5" customHeight="1" s="37">
      <c r="A6910" t="n">
        <v>19</v>
      </c>
      <c r="B6910" s="10" t="inlineStr">
        <is>
          <t>平日</t>
        </is>
      </c>
      <c r="C6910" s="10" t="inlineStr">
        <is>
          <t>北野線</t>
        </is>
      </c>
      <c r="D6910" s="10" t="inlineStr">
        <is>
          <t>下り</t>
        </is>
      </c>
      <c r="E6910" t="inlineStr">
        <is>
          <t>1257</t>
        </is>
      </c>
      <c r="F6910" t="inlineStr">
        <is>
          <t>0453</t>
        </is>
      </c>
      <c r="G6910" s="10" t="inlineStr">
        <is>
          <t>等持院</t>
        </is>
      </c>
      <c r="H6910" s="10" t="inlineStr">
        <is>
          <t>発</t>
        </is>
      </c>
      <c r="J6910" s="10" t="inlineStr">
        <is>
          <t>営業</t>
        </is>
      </c>
      <c r="L6910" t="inlineStr">
        <is>
          <t>12:34:25</t>
        </is>
      </c>
      <c r="M6910" t="inlineStr">
        <is>
          <t>12:34:35</t>
        </is>
      </c>
    </row>
    <row r="6911" ht="16.5" customHeight="1" s="37">
      <c r="A6911" t="n">
        <v>19</v>
      </c>
      <c r="B6911" s="10" t="inlineStr">
        <is>
          <t>平日</t>
        </is>
      </c>
      <c r="C6911" s="10" t="inlineStr">
        <is>
          <t>北野線</t>
        </is>
      </c>
      <c r="D6911" s="10" t="inlineStr">
        <is>
          <t>下り</t>
        </is>
      </c>
      <c r="E6911" t="inlineStr">
        <is>
          <t>1257</t>
        </is>
      </c>
      <c r="F6911" t="inlineStr">
        <is>
          <t>0453</t>
        </is>
      </c>
      <c r="G6911" s="10" t="inlineStr">
        <is>
          <t>龍安寺</t>
        </is>
      </c>
      <c r="H6911" s="10" t="inlineStr">
        <is>
          <t>発</t>
        </is>
      </c>
      <c r="J6911" s="10" t="inlineStr">
        <is>
          <t>営業</t>
        </is>
      </c>
      <c r="L6911" t="inlineStr">
        <is>
          <t>12:35:25</t>
        </is>
      </c>
      <c r="M6911" t="inlineStr">
        <is>
          <t>12:35:50</t>
        </is>
      </c>
    </row>
    <row r="6912" ht="16.5" customHeight="1" s="37">
      <c r="A6912" t="n">
        <v>19</v>
      </c>
      <c r="B6912" s="10" t="inlineStr">
        <is>
          <t>平日</t>
        </is>
      </c>
      <c r="C6912" s="10" t="inlineStr">
        <is>
          <t>北野線</t>
        </is>
      </c>
      <c r="D6912" s="10" t="inlineStr">
        <is>
          <t>下り</t>
        </is>
      </c>
      <c r="E6912" t="inlineStr">
        <is>
          <t>1257</t>
        </is>
      </c>
      <c r="F6912" t="inlineStr">
        <is>
          <t>0453</t>
        </is>
      </c>
      <c r="G6912" s="10" t="inlineStr">
        <is>
          <t>妙心寺</t>
        </is>
      </c>
      <c r="H6912" s="10" t="inlineStr">
        <is>
          <t>発</t>
        </is>
      </c>
      <c r="J6912" s="10" t="inlineStr">
        <is>
          <t>営業</t>
        </is>
      </c>
      <c r="L6912" t="inlineStr">
        <is>
          <t>12:36:40</t>
        </is>
      </c>
      <c r="M6912" t="inlineStr">
        <is>
          <t>12:36:50</t>
        </is>
      </c>
    </row>
    <row r="6913" ht="16.5" customHeight="1" s="37">
      <c r="A6913" t="n">
        <v>19</v>
      </c>
      <c r="B6913" s="10" t="inlineStr">
        <is>
          <t>平日</t>
        </is>
      </c>
      <c r="C6913" s="10" t="inlineStr">
        <is>
          <t>北野線</t>
        </is>
      </c>
      <c r="D6913" s="10" t="inlineStr">
        <is>
          <t>下り</t>
        </is>
      </c>
      <c r="E6913" t="inlineStr">
        <is>
          <t>1257</t>
        </is>
      </c>
      <c r="F6913" t="inlineStr">
        <is>
          <t>0453</t>
        </is>
      </c>
      <c r="G6913" s="10" t="inlineStr">
        <is>
          <t>御室仁和寺</t>
        </is>
      </c>
      <c r="H6913" s="10" t="inlineStr">
        <is>
          <t>発</t>
        </is>
      </c>
      <c r="J6913" s="10" t="inlineStr">
        <is>
          <t>営業</t>
        </is>
      </c>
      <c r="L6913" t="inlineStr">
        <is>
          <t>12:37:50</t>
        </is>
      </c>
      <c r="M6913" t="inlineStr">
        <is>
          <t>12:38:05</t>
        </is>
      </c>
    </row>
    <row r="6914" ht="16.5" customHeight="1" s="37">
      <c r="A6914" t="n">
        <v>19</v>
      </c>
      <c r="B6914" s="10" t="inlineStr">
        <is>
          <t>平日</t>
        </is>
      </c>
      <c r="C6914" s="10" t="inlineStr">
        <is>
          <t>北野線</t>
        </is>
      </c>
      <c r="D6914" s="10" t="inlineStr">
        <is>
          <t>下り</t>
        </is>
      </c>
      <c r="E6914" t="inlineStr">
        <is>
          <t>1257</t>
        </is>
      </c>
      <c r="F6914" t="inlineStr">
        <is>
          <t>0453</t>
        </is>
      </c>
      <c r="G6914" s="10" t="inlineStr">
        <is>
          <t>宇多野</t>
        </is>
      </c>
      <c r="H6914" s="10" t="inlineStr">
        <is>
          <t>発</t>
        </is>
      </c>
      <c r="J6914" s="10" t="inlineStr">
        <is>
          <t>営業</t>
        </is>
      </c>
      <c r="L6914" t="inlineStr">
        <is>
          <t>12:39:05</t>
        </is>
      </c>
      <c r="M6914" t="inlineStr">
        <is>
          <t>12:39:15</t>
        </is>
      </c>
    </row>
    <row r="6915" ht="16.5" customHeight="1" s="37">
      <c r="A6915" t="n">
        <v>19</v>
      </c>
      <c r="B6915" s="10" t="inlineStr">
        <is>
          <t>平日</t>
        </is>
      </c>
      <c r="C6915" s="10" t="inlineStr">
        <is>
          <t>北野線</t>
        </is>
      </c>
      <c r="D6915" s="10" t="inlineStr">
        <is>
          <t>下り</t>
        </is>
      </c>
      <c r="E6915" t="inlineStr">
        <is>
          <t>1257</t>
        </is>
      </c>
      <c r="F6915" t="inlineStr">
        <is>
          <t>0453</t>
        </is>
      </c>
      <c r="G6915" s="10" t="inlineStr">
        <is>
          <t>鳴滝</t>
        </is>
      </c>
      <c r="H6915" s="10" t="inlineStr">
        <is>
          <t>発</t>
        </is>
      </c>
      <c r="J6915" s="10" t="inlineStr">
        <is>
          <t>営業</t>
        </is>
      </c>
      <c r="L6915" t="inlineStr">
        <is>
          <t>12:40:35</t>
        </is>
      </c>
      <c r="M6915" t="inlineStr">
        <is>
          <t>12:40:45</t>
        </is>
      </c>
    </row>
    <row r="6916" ht="16.5" customHeight="1" s="37">
      <c r="A6916" t="n">
        <v>19</v>
      </c>
      <c r="B6916" s="10" t="inlineStr">
        <is>
          <t>平日</t>
        </is>
      </c>
      <c r="C6916" s="10" t="inlineStr">
        <is>
          <t>北野線</t>
        </is>
      </c>
      <c r="D6916" s="10" t="inlineStr">
        <is>
          <t>下り</t>
        </is>
      </c>
      <c r="E6916" t="inlineStr">
        <is>
          <t>1257</t>
        </is>
      </c>
      <c r="F6916" t="inlineStr">
        <is>
          <t>0453</t>
        </is>
      </c>
      <c r="G6916" s="10" t="inlineStr">
        <is>
          <t>常盤</t>
        </is>
      </c>
      <c r="H6916" s="10" t="inlineStr">
        <is>
          <t>発</t>
        </is>
      </c>
      <c r="J6916" s="10" t="inlineStr">
        <is>
          <t>営業</t>
        </is>
      </c>
      <c r="L6916" t="inlineStr">
        <is>
          <t>12:41:35</t>
        </is>
      </c>
      <c r="M6916" t="inlineStr">
        <is>
          <t>12:41:55</t>
        </is>
      </c>
    </row>
    <row r="6917" ht="16.5" customHeight="1" s="37">
      <c r="A6917" t="n">
        <v>19</v>
      </c>
      <c r="B6917" s="10" t="inlineStr">
        <is>
          <t>平日</t>
        </is>
      </c>
      <c r="C6917" s="10" t="inlineStr">
        <is>
          <t>北野線</t>
        </is>
      </c>
      <c r="D6917" s="10" t="inlineStr">
        <is>
          <t>下り</t>
        </is>
      </c>
      <c r="E6917" t="inlineStr">
        <is>
          <t>1257</t>
        </is>
      </c>
      <c r="F6917" t="inlineStr">
        <is>
          <t>0453</t>
        </is>
      </c>
      <c r="G6917" s="10" t="inlineStr">
        <is>
          <t>撮影所前</t>
        </is>
      </c>
      <c r="H6917" s="10" t="inlineStr">
        <is>
          <t>発</t>
        </is>
      </c>
      <c r="J6917" s="10" t="inlineStr">
        <is>
          <t>営業</t>
        </is>
      </c>
      <c r="L6917" t="inlineStr">
        <is>
          <t>12:43:15</t>
        </is>
      </c>
      <c r="M6917" t="inlineStr">
        <is>
          <t>12:43:30</t>
        </is>
      </c>
    </row>
    <row r="6918" ht="16.5" customHeight="1" s="37">
      <c r="A6918" t="n">
        <v>19</v>
      </c>
      <c r="B6918" s="10" t="inlineStr">
        <is>
          <t>平日</t>
        </is>
      </c>
      <c r="C6918" s="10" t="inlineStr">
        <is>
          <t>北野線</t>
        </is>
      </c>
      <c r="D6918" s="10" t="inlineStr">
        <is>
          <t>下り</t>
        </is>
      </c>
      <c r="E6918" t="inlineStr">
        <is>
          <t>1257</t>
        </is>
      </c>
      <c r="F6918" t="inlineStr">
        <is>
          <t>0453</t>
        </is>
      </c>
      <c r="G6918" s="10" t="inlineStr">
        <is>
          <t>帷子ノ辻</t>
        </is>
      </c>
      <c r="H6918" s="10" t="inlineStr">
        <is>
          <t>着</t>
        </is>
      </c>
      <c r="J6918" s="10" t="inlineStr">
        <is>
          <t>営業</t>
        </is>
      </c>
      <c r="L6918" t="inlineStr">
        <is>
          <t>12:44:25</t>
        </is>
      </c>
      <c r="Q6918" t="inlineStr">
        <is>
          <t>3</t>
        </is>
      </c>
    </row>
    <row r="6919" ht="16.5" customHeight="1" s="37">
      <c r="A6919" t="n">
        <v>19</v>
      </c>
      <c r="B6919" s="10" t="inlineStr">
        <is>
          <t>平日</t>
        </is>
      </c>
      <c r="C6919" s="10" t="inlineStr">
        <is>
          <t>北野線</t>
        </is>
      </c>
      <c r="D6919" s="10" t="inlineStr">
        <is>
          <t>上り</t>
        </is>
      </c>
      <c r="E6919" t="inlineStr">
        <is>
          <t>1352</t>
        </is>
      </c>
      <c r="F6919" t="inlineStr">
        <is>
          <t>0354</t>
        </is>
      </c>
      <c r="G6919" s="10" t="inlineStr">
        <is>
          <t>帷子ノ辻</t>
        </is>
      </c>
      <c r="H6919" s="10" t="inlineStr">
        <is>
          <t>発</t>
        </is>
      </c>
      <c r="J6919" s="10" t="inlineStr">
        <is>
          <t>営業</t>
        </is>
      </c>
      <c r="M6919" t="inlineStr">
        <is>
          <t>13:06:25</t>
        </is>
      </c>
      <c r="Q6919" t="inlineStr">
        <is>
          <t>4</t>
        </is>
      </c>
    </row>
    <row r="6920" ht="16.5" customHeight="1" s="37">
      <c r="A6920" t="n">
        <v>19</v>
      </c>
      <c r="B6920" s="10" t="inlineStr">
        <is>
          <t>平日</t>
        </is>
      </c>
      <c r="C6920" s="10" t="inlineStr">
        <is>
          <t>北野線</t>
        </is>
      </c>
      <c r="D6920" s="10" t="inlineStr">
        <is>
          <t>上り</t>
        </is>
      </c>
      <c r="E6920" t="inlineStr">
        <is>
          <t>1352</t>
        </is>
      </c>
      <c r="F6920" t="inlineStr">
        <is>
          <t>0354</t>
        </is>
      </c>
      <c r="G6920" s="10" t="inlineStr">
        <is>
          <t>撮影所前</t>
        </is>
      </c>
      <c r="H6920" s="10" t="inlineStr">
        <is>
          <t>発</t>
        </is>
      </c>
      <c r="J6920" s="10" t="inlineStr">
        <is>
          <t>営業</t>
        </is>
      </c>
      <c r="L6920" t="inlineStr">
        <is>
          <t>13:07:25</t>
        </is>
      </c>
      <c r="M6920" t="inlineStr">
        <is>
          <t>13:07:40</t>
        </is>
      </c>
    </row>
    <row r="6921" ht="16.5" customHeight="1" s="37">
      <c r="A6921" t="n">
        <v>19</v>
      </c>
      <c r="B6921" s="10" t="inlineStr">
        <is>
          <t>平日</t>
        </is>
      </c>
      <c r="C6921" s="10" t="inlineStr">
        <is>
          <t>北野線</t>
        </is>
      </c>
      <c r="D6921" s="10" t="inlineStr">
        <is>
          <t>上り</t>
        </is>
      </c>
      <c r="E6921" t="inlineStr">
        <is>
          <t>1352</t>
        </is>
      </c>
      <c r="F6921" t="inlineStr">
        <is>
          <t>0354</t>
        </is>
      </c>
      <c r="G6921" s="10" t="inlineStr">
        <is>
          <t>常盤</t>
        </is>
      </c>
      <c r="H6921" s="10" t="inlineStr">
        <is>
          <t>発</t>
        </is>
      </c>
      <c r="J6921" s="10" t="inlineStr">
        <is>
          <t>営業</t>
        </is>
      </c>
      <c r="L6921" t="inlineStr">
        <is>
          <t>13:09:00</t>
        </is>
      </c>
      <c r="M6921" t="inlineStr">
        <is>
          <t>13:09:20</t>
        </is>
      </c>
    </row>
    <row r="6922" ht="16.5" customHeight="1" s="37">
      <c r="A6922" t="n">
        <v>19</v>
      </c>
      <c r="B6922" s="10" t="inlineStr">
        <is>
          <t>平日</t>
        </is>
      </c>
      <c r="C6922" s="10" t="inlineStr">
        <is>
          <t>北野線</t>
        </is>
      </c>
      <c r="D6922" s="10" t="inlineStr">
        <is>
          <t>上り</t>
        </is>
      </c>
      <c r="E6922" t="inlineStr">
        <is>
          <t>1352</t>
        </is>
      </c>
      <c r="F6922" t="inlineStr">
        <is>
          <t>0354</t>
        </is>
      </c>
      <c r="G6922" s="10" t="inlineStr">
        <is>
          <t>鳴滝</t>
        </is>
      </c>
      <c r="H6922" s="10" t="inlineStr">
        <is>
          <t>発</t>
        </is>
      </c>
      <c r="J6922" s="10" t="inlineStr">
        <is>
          <t>営業</t>
        </is>
      </c>
      <c r="L6922" t="inlineStr">
        <is>
          <t>13:10:20</t>
        </is>
      </c>
      <c r="M6922" t="inlineStr">
        <is>
          <t>13:10:40</t>
        </is>
      </c>
    </row>
    <row r="6923" ht="16.5" customHeight="1" s="37">
      <c r="A6923" t="n">
        <v>19</v>
      </c>
      <c r="B6923" s="10" t="inlineStr">
        <is>
          <t>平日</t>
        </is>
      </c>
      <c r="C6923" s="10" t="inlineStr">
        <is>
          <t>北野線</t>
        </is>
      </c>
      <c r="D6923" s="10" t="inlineStr">
        <is>
          <t>上り</t>
        </is>
      </c>
      <c r="E6923" t="inlineStr">
        <is>
          <t>1352</t>
        </is>
      </c>
      <c r="F6923" t="inlineStr">
        <is>
          <t>0354</t>
        </is>
      </c>
      <c r="G6923" s="10" t="inlineStr">
        <is>
          <t>宇多野</t>
        </is>
      </c>
      <c r="H6923" s="10" t="inlineStr">
        <is>
          <t>発</t>
        </is>
      </c>
      <c r="J6923" s="10" t="inlineStr">
        <is>
          <t>営業</t>
        </is>
      </c>
      <c r="L6923" t="inlineStr">
        <is>
          <t>13:12:00</t>
        </is>
      </c>
      <c r="M6923" t="inlineStr">
        <is>
          <t>13:12:15</t>
        </is>
      </c>
    </row>
    <row r="6924" ht="16.5" customHeight="1" s="37">
      <c r="A6924" t="n">
        <v>19</v>
      </c>
      <c r="B6924" s="10" t="inlineStr">
        <is>
          <t>平日</t>
        </is>
      </c>
      <c r="C6924" s="10" t="inlineStr">
        <is>
          <t>北野線</t>
        </is>
      </c>
      <c r="D6924" s="10" t="inlineStr">
        <is>
          <t>上り</t>
        </is>
      </c>
      <c r="E6924" t="inlineStr">
        <is>
          <t>1352</t>
        </is>
      </c>
      <c r="F6924" t="inlineStr">
        <is>
          <t>0354</t>
        </is>
      </c>
      <c r="G6924" s="10" t="inlineStr">
        <is>
          <t>御室仁和寺</t>
        </is>
      </c>
      <c r="H6924" s="10" t="inlineStr">
        <is>
          <t>発</t>
        </is>
      </c>
      <c r="J6924" s="10" t="inlineStr">
        <is>
          <t>営業</t>
        </is>
      </c>
      <c r="L6924" t="inlineStr">
        <is>
          <t>13:13:15</t>
        </is>
      </c>
      <c r="M6924" t="inlineStr">
        <is>
          <t>13:13:35</t>
        </is>
      </c>
    </row>
    <row r="6925" ht="16.5" customHeight="1" s="37">
      <c r="A6925" t="n">
        <v>19</v>
      </c>
      <c r="B6925" s="10" t="inlineStr">
        <is>
          <t>平日</t>
        </is>
      </c>
      <c r="C6925" s="10" t="inlineStr">
        <is>
          <t>北野線</t>
        </is>
      </c>
      <c r="D6925" s="10" t="inlineStr">
        <is>
          <t>上り</t>
        </is>
      </c>
      <c r="E6925" t="inlineStr">
        <is>
          <t>1352</t>
        </is>
      </c>
      <c r="F6925" t="inlineStr">
        <is>
          <t>0354</t>
        </is>
      </c>
      <c r="G6925" s="10" t="inlineStr">
        <is>
          <t>妙心寺</t>
        </is>
      </c>
      <c r="H6925" s="10" t="inlineStr">
        <is>
          <t>発</t>
        </is>
      </c>
      <c r="J6925" s="10" t="inlineStr">
        <is>
          <t>営業</t>
        </is>
      </c>
      <c r="L6925" t="inlineStr">
        <is>
          <t>13:14:35</t>
        </is>
      </c>
      <c r="M6925" t="inlineStr">
        <is>
          <t>13:14:50</t>
        </is>
      </c>
    </row>
    <row r="6926" ht="16.5" customHeight="1" s="37">
      <c r="A6926" t="n">
        <v>19</v>
      </c>
      <c r="B6926" s="10" t="inlineStr">
        <is>
          <t>平日</t>
        </is>
      </c>
      <c r="C6926" s="10" t="inlineStr">
        <is>
          <t>北野線</t>
        </is>
      </c>
      <c r="D6926" s="10" t="inlineStr">
        <is>
          <t>上り</t>
        </is>
      </c>
      <c r="E6926" t="inlineStr">
        <is>
          <t>1352</t>
        </is>
      </c>
      <c r="F6926" t="inlineStr">
        <is>
          <t>0354</t>
        </is>
      </c>
      <c r="G6926" s="10" t="inlineStr">
        <is>
          <t>龍安寺</t>
        </is>
      </c>
      <c r="H6926" s="10" t="inlineStr">
        <is>
          <t>発</t>
        </is>
      </c>
      <c r="J6926" s="10" t="inlineStr">
        <is>
          <t>営業</t>
        </is>
      </c>
      <c r="L6926" t="inlineStr">
        <is>
          <t>13:15:45</t>
        </is>
      </c>
      <c r="M6926" t="inlineStr">
        <is>
          <t>13:15:55</t>
        </is>
      </c>
    </row>
    <row r="6927" ht="16.5" customHeight="1" s="37">
      <c r="A6927" t="n">
        <v>19</v>
      </c>
      <c r="B6927" s="10" t="inlineStr">
        <is>
          <t>平日</t>
        </is>
      </c>
      <c r="C6927" s="10" t="inlineStr">
        <is>
          <t>北野線</t>
        </is>
      </c>
      <c r="D6927" s="10" t="inlineStr">
        <is>
          <t>上り</t>
        </is>
      </c>
      <c r="E6927" t="inlineStr">
        <is>
          <t>1352</t>
        </is>
      </c>
      <c r="F6927" t="inlineStr">
        <is>
          <t>0354</t>
        </is>
      </c>
      <c r="G6927" s="10" t="inlineStr">
        <is>
          <t>等持院</t>
        </is>
      </c>
      <c r="H6927" s="10" t="inlineStr">
        <is>
          <t>発</t>
        </is>
      </c>
      <c r="J6927" s="10" t="inlineStr">
        <is>
          <t>営業</t>
        </is>
      </c>
      <c r="L6927" t="inlineStr">
        <is>
          <t>13:16:35</t>
        </is>
      </c>
      <c r="M6927" t="inlineStr">
        <is>
          <t>13:16:55</t>
        </is>
      </c>
    </row>
    <row r="6928" ht="16.5" customHeight="1" s="37">
      <c r="A6928" t="n">
        <v>19</v>
      </c>
      <c r="B6928" s="10" t="inlineStr">
        <is>
          <t>平日</t>
        </is>
      </c>
      <c r="C6928" s="10" t="inlineStr">
        <is>
          <t>北野線</t>
        </is>
      </c>
      <c r="D6928" s="10" t="inlineStr">
        <is>
          <t>上り</t>
        </is>
      </c>
      <c r="E6928" t="inlineStr">
        <is>
          <t>1352</t>
        </is>
      </c>
      <c r="F6928" t="inlineStr">
        <is>
          <t>0354</t>
        </is>
      </c>
      <c r="G6928" s="10" t="inlineStr">
        <is>
          <t>北野白梅町</t>
        </is>
      </c>
      <c r="H6928" s="10" t="inlineStr">
        <is>
          <t>着</t>
        </is>
      </c>
      <c r="J6928" s="10" t="inlineStr">
        <is>
          <t>営業</t>
        </is>
      </c>
      <c r="L6928" t="inlineStr">
        <is>
          <t>13:18:15</t>
        </is>
      </c>
      <c r="Q6928" t="inlineStr">
        <is>
          <t>1</t>
        </is>
      </c>
    </row>
    <row r="6929" ht="16.5" customHeight="1" s="37">
      <c r="A6929" t="n">
        <v>19</v>
      </c>
      <c r="B6929" s="10" t="inlineStr">
        <is>
          <t>平日</t>
        </is>
      </c>
      <c r="C6929" s="10" t="inlineStr">
        <is>
          <t>北野線</t>
        </is>
      </c>
      <c r="D6929" s="10" t="inlineStr">
        <is>
          <t>下り</t>
        </is>
      </c>
      <c r="E6929" t="inlineStr">
        <is>
          <t>1355</t>
        </is>
      </c>
      <c r="F6929" t="inlineStr">
        <is>
          <t>0453</t>
        </is>
      </c>
      <c r="G6929" s="10" t="inlineStr">
        <is>
          <t>北野白梅町</t>
        </is>
      </c>
      <c r="H6929" s="10" t="inlineStr">
        <is>
          <t>発</t>
        </is>
      </c>
      <c r="J6929" s="10" t="inlineStr">
        <is>
          <t>営業</t>
        </is>
      </c>
      <c r="M6929" t="inlineStr">
        <is>
          <t>13:23:00</t>
        </is>
      </c>
      <c r="Q6929" t="inlineStr">
        <is>
          <t>1</t>
        </is>
      </c>
    </row>
    <row r="6930" ht="16.5" customHeight="1" s="37">
      <c r="A6930" t="n">
        <v>19</v>
      </c>
      <c r="B6930" s="10" t="inlineStr">
        <is>
          <t>平日</t>
        </is>
      </c>
      <c r="C6930" s="10" t="inlineStr">
        <is>
          <t>北野線</t>
        </is>
      </c>
      <c r="D6930" s="10" t="inlineStr">
        <is>
          <t>下り</t>
        </is>
      </c>
      <c r="E6930" t="inlineStr">
        <is>
          <t>1355</t>
        </is>
      </c>
      <c r="F6930" t="inlineStr">
        <is>
          <t>0453</t>
        </is>
      </c>
      <c r="G6930" s="10" t="inlineStr">
        <is>
          <t>等持院</t>
        </is>
      </c>
      <c r="H6930" s="10" t="inlineStr">
        <is>
          <t>発</t>
        </is>
      </c>
      <c r="J6930" s="10" t="inlineStr">
        <is>
          <t>営業</t>
        </is>
      </c>
      <c r="L6930" t="inlineStr">
        <is>
          <t>13:24:25</t>
        </is>
      </c>
      <c r="M6930" t="inlineStr">
        <is>
          <t>13:24:35</t>
        </is>
      </c>
    </row>
    <row r="6931" ht="16.5" customHeight="1" s="37">
      <c r="A6931" t="n">
        <v>19</v>
      </c>
      <c r="B6931" s="10" t="inlineStr">
        <is>
          <t>平日</t>
        </is>
      </c>
      <c r="C6931" s="10" t="inlineStr">
        <is>
          <t>北野線</t>
        </is>
      </c>
      <c r="D6931" s="10" t="inlineStr">
        <is>
          <t>下り</t>
        </is>
      </c>
      <c r="E6931" t="inlineStr">
        <is>
          <t>1355</t>
        </is>
      </c>
      <c r="F6931" t="inlineStr">
        <is>
          <t>0453</t>
        </is>
      </c>
      <c r="G6931" s="10" t="inlineStr">
        <is>
          <t>龍安寺</t>
        </is>
      </c>
      <c r="H6931" s="10" t="inlineStr">
        <is>
          <t>発</t>
        </is>
      </c>
      <c r="J6931" s="10" t="inlineStr">
        <is>
          <t>営業</t>
        </is>
      </c>
      <c r="L6931" t="inlineStr">
        <is>
          <t>13:25:25</t>
        </is>
      </c>
      <c r="M6931" t="inlineStr">
        <is>
          <t>13:25:50</t>
        </is>
      </c>
    </row>
    <row r="6932" ht="16.5" customHeight="1" s="37">
      <c r="A6932" t="n">
        <v>19</v>
      </c>
      <c r="B6932" s="10" t="inlineStr">
        <is>
          <t>平日</t>
        </is>
      </c>
      <c r="C6932" s="10" t="inlineStr">
        <is>
          <t>北野線</t>
        </is>
      </c>
      <c r="D6932" s="10" t="inlineStr">
        <is>
          <t>下り</t>
        </is>
      </c>
      <c r="E6932" t="inlineStr">
        <is>
          <t>1355</t>
        </is>
      </c>
      <c r="F6932" t="inlineStr">
        <is>
          <t>0453</t>
        </is>
      </c>
      <c r="G6932" s="10" t="inlineStr">
        <is>
          <t>妙心寺</t>
        </is>
      </c>
      <c r="H6932" s="10" t="inlineStr">
        <is>
          <t>発</t>
        </is>
      </c>
      <c r="J6932" s="10" t="inlineStr">
        <is>
          <t>営業</t>
        </is>
      </c>
      <c r="L6932" t="inlineStr">
        <is>
          <t>13:26:40</t>
        </is>
      </c>
      <c r="M6932" t="inlineStr">
        <is>
          <t>13:26:50</t>
        </is>
      </c>
    </row>
    <row r="6933" ht="16.5" customHeight="1" s="37">
      <c r="A6933" t="n">
        <v>19</v>
      </c>
      <c r="B6933" s="10" t="inlineStr">
        <is>
          <t>平日</t>
        </is>
      </c>
      <c r="C6933" s="10" t="inlineStr">
        <is>
          <t>北野線</t>
        </is>
      </c>
      <c r="D6933" s="10" t="inlineStr">
        <is>
          <t>下り</t>
        </is>
      </c>
      <c r="E6933" t="inlineStr">
        <is>
          <t>1355</t>
        </is>
      </c>
      <c r="F6933" t="inlineStr">
        <is>
          <t>0453</t>
        </is>
      </c>
      <c r="G6933" s="10" t="inlineStr">
        <is>
          <t>御室仁和寺</t>
        </is>
      </c>
      <c r="H6933" s="10" t="inlineStr">
        <is>
          <t>発</t>
        </is>
      </c>
      <c r="J6933" s="10" t="inlineStr">
        <is>
          <t>営業</t>
        </is>
      </c>
      <c r="L6933" t="inlineStr">
        <is>
          <t>13:27:50</t>
        </is>
      </c>
      <c r="M6933" t="inlineStr">
        <is>
          <t>13:28:05</t>
        </is>
      </c>
    </row>
    <row r="6934" ht="16.5" customHeight="1" s="37">
      <c r="A6934" t="n">
        <v>19</v>
      </c>
      <c r="B6934" s="10" t="inlineStr">
        <is>
          <t>平日</t>
        </is>
      </c>
      <c r="C6934" s="10" t="inlineStr">
        <is>
          <t>北野線</t>
        </is>
      </c>
      <c r="D6934" s="10" t="inlineStr">
        <is>
          <t>下り</t>
        </is>
      </c>
      <c r="E6934" t="inlineStr">
        <is>
          <t>1355</t>
        </is>
      </c>
      <c r="F6934" t="inlineStr">
        <is>
          <t>0453</t>
        </is>
      </c>
      <c r="G6934" s="10" t="inlineStr">
        <is>
          <t>宇多野</t>
        </is>
      </c>
      <c r="H6934" s="10" t="inlineStr">
        <is>
          <t>発</t>
        </is>
      </c>
      <c r="J6934" s="10" t="inlineStr">
        <is>
          <t>営業</t>
        </is>
      </c>
      <c r="L6934" t="inlineStr">
        <is>
          <t>13:29:05</t>
        </is>
      </c>
      <c r="M6934" t="inlineStr">
        <is>
          <t>13:29:15</t>
        </is>
      </c>
    </row>
    <row r="6935" ht="16.5" customHeight="1" s="37">
      <c r="A6935" t="n">
        <v>19</v>
      </c>
      <c r="B6935" s="10" t="inlineStr">
        <is>
          <t>平日</t>
        </is>
      </c>
      <c r="C6935" s="10" t="inlineStr">
        <is>
          <t>北野線</t>
        </is>
      </c>
      <c r="D6935" s="10" t="inlineStr">
        <is>
          <t>下り</t>
        </is>
      </c>
      <c r="E6935" t="inlineStr">
        <is>
          <t>1355</t>
        </is>
      </c>
      <c r="F6935" t="inlineStr">
        <is>
          <t>0453</t>
        </is>
      </c>
      <c r="G6935" s="10" t="inlineStr">
        <is>
          <t>鳴滝</t>
        </is>
      </c>
      <c r="H6935" s="10" t="inlineStr">
        <is>
          <t>発</t>
        </is>
      </c>
      <c r="J6935" s="10" t="inlineStr">
        <is>
          <t>営業</t>
        </is>
      </c>
      <c r="L6935" t="inlineStr">
        <is>
          <t>13:30:35</t>
        </is>
      </c>
      <c r="M6935" t="inlineStr">
        <is>
          <t>13:30:45</t>
        </is>
      </c>
    </row>
    <row r="6936" ht="16.5" customHeight="1" s="37">
      <c r="A6936" t="n">
        <v>19</v>
      </c>
      <c r="B6936" s="10" t="inlineStr">
        <is>
          <t>平日</t>
        </is>
      </c>
      <c r="C6936" s="10" t="inlineStr">
        <is>
          <t>北野線</t>
        </is>
      </c>
      <c r="D6936" s="10" t="inlineStr">
        <is>
          <t>下り</t>
        </is>
      </c>
      <c r="E6936" t="inlineStr">
        <is>
          <t>1355</t>
        </is>
      </c>
      <c r="F6936" t="inlineStr">
        <is>
          <t>0453</t>
        </is>
      </c>
      <c r="G6936" s="10" t="inlineStr">
        <is>
          <t>常盤</t>
        </is>
      </c>
      <c r="H6936" s="10" t="inlineStr">
        <is>
          <t>発</t>
        </is>
      </c>
      <c r="J6936" s="10" t="inlineStr">
        <is>
          <t>営業</t>
        </is>
      </c>
      <c r="L6936" t="inlineStr">
        <is>
          <t>13:31:35</t>
        </is>
      </c>
      <c r="M6936" t="inlineStr">
        <is>
          <t>13:31:55</t>
        </is>
      </c>
    </row>
    <row r="6937" ht="16.5" customHeight="1" s="37">
      <c r="A6937" t="n">
        <v>19</v>
      </c>
      <c r="B6937" s="10" t="inlineStr">
        <is>
          <t>平日</t>
        </is>
      </c>
      <c r="C6937" s="10" t="inlineStr">
        <is>
          <t>北野線</t>
        </is>
      </c>
      <c r="D6937" s="10" t="inlineStr">
        <is>
          <t>下り</t>
        </is>
      </c>
      <c r="E6937" t="inlineStr">
        <is>
          <t>1355</t>
        </is>
      </c>
      <c r="F6937" t="inlineStr">
        <is>
          <t>0453</t>
        </is>
      </c>
      <c r="G6937" s="10" t="inlineStr">
        <is>
          <t>撮影所前</t>
        </is>
      </c>
      <c r="H6937" s="10" t="inlineStr">
        <is>
          <t>発</t>
        </is>
      </c>
      <c r="J6937" s="10" t="inlineStr">
        <is>
          <t>営業</t>
        </is>
      </c>
      <c r="L6937" t="inlineStr">
        <is>
          <t>13:33:15</t>
        </is>
      </c>
      <c r="M6937" t="inlineStr">
        <is>
          <t>13:33:30</t>
        </is>
      </c>
    </row>
    <row r="6938" ht="16.5" customHeight="1" s="37">
      <c r="A6938" t="n">
        <v>19</v>
      </c>
      <c r="B6938" s="10" t="inlineStr">
        <is>
          <t>平日</t>
        </is>
      </c>
      <c r="C6938" s="10" t="inlineStr">
        <is>
          <t>北野線</t>
        </is>
      </c>
      <c r="D6938" s="10" t="inlineStr">
        <is>
          <t>下り</t>
        </is>
      </c>
      <c r="E6938" t="inlineStr">
        <is>
          <t>1355</t>
        </is>
      </c>
      <c r="F6938" t="inlineStr">
        <is>
          <t>0453</t>
        </is>
      </c>
      <c r="G6938" s="10" t="inlineStr">
        <is>
          <t>帷子ノ辻</t>
        </is>
      </c>
      <c r="H6938" s="10" t="inlineStr">
        <is>
          <t>着</t>
        </is>
      </c>
      <c r="J6938" s="10" t="inlineStr">
        <is>
          <t>営業</t>
        </is>
      </c>
      <c r="L6938" t="inlineStr">
        <is>
          <t>13:34:25</t>
        </is>
      </c>
      <c r="Q6938" t="inlineStr">
        <is>
          <t>4</t>
        </is>
      </c>
    </row>
    <row r="6939" ht="16.5" customHeight="1" s="37">
      <c r="A6939" t="n">
        <v>19</v>
      </c>
      <c r="B6939" s="10" t="inlineStr">
        <is>
          <t>平日</t>
        </is>
      </c>
      <c r="C6939" s="10" t="inlineStr">
        <is>
          <t>北野線</t>
        </is>
      </c>
      <c r="D6939" s="10" t="inlineStr">
        <is>
          <t>上り</t>
        </is>
      </c>
      <c r="E6939" t="inlineStr">
        <is>
          <t>1360</t>
        </is>
      </c>
      <c r="F6939" t="inlineStr">
        <is>
          <t>0354</t>
        </is>
      </c>
      <c r="G6939" s="10" t="inlineStr">
        <is>
          <t>帷子ノ辻</t>
        </is>
      </c>
      <c r="H6939" s="10" t="inlineStr">
        <is>
          <t>発</t>
        </is>
      </c>
      <c r="J6939" s="10" t="inlineStr">
        <is>
          <t>営業</t>
        </is>
      </c>
      <c r="M6939" t="inlineStr">
        <is>
          <t>13:46:25</t>
        </is>
      </c>
      <c r="Q6939" t="inlineStr">
        <is>
          <t>4</t>
        </is>
      </c>
    </row>
    <row r="6940" ht="16.5" customHeight="1" s="37">
      <c r="A6940" t="n">
        <v>19</v>
      </c>
      <c r="B6940" s="10" t="inlineStr">
        <is>
          <t>平日</t>
        </is>
      </c>
      <c r="C6940" s="10" t="inlineStr">
        <is>
          <t>北野線</t>
        </is>
      </c>
      <c r="D6940" s="10" t="inlineStr">
        <is>
          <t>上り</t>
        </is>
      </c>
      <c r="E6940" t="inlineStr">
        <is>
          <t>1360</t>
        </is>
      </c>
      <c r="F6940" t="inlineStr">
        <is>
          <t>0354</t>
        </is>
      </c>
      <c r="G6940" s="10" t="inlineStr">
        <is>
          <t>撮影所前</t>
        </is>
      </c>
      <c r="H6940" s="10" t="inlineStr">
        <is>
          <t>発</t>
        </is>
      </c>
      <c r="J6940" s="10" t="inlineStr">
        <is>
          <t>営業</t>
        </is>
      </c>
      <c r="L6940" t="inlineStr">
        <is>
          <t>13:47:25</t>
        </is>
      </c>
      <c r="M6940" t="inlineStr">
        <is>
          <t>13:47:40</t>
        </is>
      </c>
    </row>
    <row r="6941" ht="16.5" customHeight="1" s="37">
      <c r="A6941" t="n">
        <v>19</v>
      </c>
      <c r="B6941" s="10" t="inlineStr">
        <is>
          <t>平日</t>
        </is>
      </c>
      <c r="C6941" s="10" t="inlineStr">
        <is>
          <t>北野線</t>
        </is>
      </c>
      <c r="D6941" s="10" t="inlineStr">
        <is>
          <t>上り</t>
        </is>
      </c>
      <c r="E6941" t="inlineStr">
        <is>
          <t>1360</t>
        </is>
      </c>
      <c r="F6941" t="inlineStr">
        <is>
          <t>0354</t>
        </is>
      </c>
      <c r="G6941" s="10" t="inlineStr">
        <is>
          <t>常盤</t>
        </is>
      </c>
      <c r="H6941" s="10" t="inlineStr">
        <is>
          <t>発</t>
        </is>
      </c>
      <c r="J6941" s="10" t="inlineStr">
        <is>
          <t>営業</t>
        </is>
      </c>
      <c r="L6941" t="inlineStr">
        <is>
          <t>13:49:00</t>
        </is>
      </c>
      <c r="M6941" t="inlineStr">
        <is>
          <t>13:49:20</t>
        </is>
      </c>
    </row>
    <row r="6942" ht="16.5" customHeight="1" s="37">
      <c r="A6942" t="n">
        <v>19</v>
      </c>
      <c r="B6942" s="10" t="inlineStr">
        <is>
          <t>平日</t>
        </is>
      </c>
      <c r="C6942" s="10" t="inlineStr">
        <is>
          <t>北野線</t>
        </is>
      </c>
      <c r="D6942" s="10" t="inlineStr">
        <is>
          <t>上り</t>
        </is>
      </c>
      <c r="E6942" t="inlineStr">
        <is>
          <t>1360</t>
        </is>
      </c>
      <c r="F6942" t="inlineStr">
        <is>
          <t>0354</t>
        </is>
      </c>
      <c r="G6942" s="10" t="inlineStr">
        <is>
          <t>鳴滝</t>
        </is>
      </c>
      <c r="H6942" s="10" t="inlineStr">
        <is>
          <t>発</t>
        </is>
      </c>
      <c r="J6942" s="10" t="inlineStr">
        <is>
          <t>営業</t>
        </is>
      </c>
      <c r="L6942" t="inlineStr">
        <is>
          <t>13:50:20</t>
        </is>
      </c>
      <c r="M6942" t="inlineStr">
        <is>
          <t>13:50:40</t>
        </is>
      </c>
    </row>
    <row r="6943" ht="16.5" customHeight="1" s="37">
      <c r="A6943" t="n">
        <v>19</v>
      </c>
      <c r="B6943" s="10" t="inlineStr">
        <is>
          <t>平日</t>
        </is>
      </c>
      <c r="C6943" s="10" t="inlineStr">
        <is>
          <t>北野線</t>
        </is>
      </c>
      <c r="D6943" s="10" t="inlineStr">
        <is>
          <t>上り</t>
        </is>
      </c>
      <c r="E6943" t="inlineStr">
        <is>
          <t>1360</t>
        </is>
      </c>
      <c r="F6943" t="inlineStr">
        <is>
          <t>0354</t>
        </is>
      </c>
      <c r="G6943" s="10" t="inlineStr">
        <is>
          <t>宇多野</t>
        </is>
      </c>
      <c r="H6943" s="10" t="inlineStr">
        <is>
          <t>発</t>
        </is>
      </c>
      <c r="J6943" s="10" t="inlineStr">
        <is>
          <t>営業</t>
        </is>
      </c>
      <c r="L6943" t="inlineStr">
        <is>
          <t>13:52:00</t>
        </is>
      </c>
      <c r="M6943" t="inlineStr">
        <is>
          <t>13:52:15</t>
        </is>
      </c>
    </row>
    <row r="6944" ht="16.5" customHeight="1" s="37">
      <c r="A6944" t="n">
        <v>19</v>
      </c>
      <c r="B6944" s="10" t="inlineStr">
        <is>
          <t>平日</t>
        </is>
      </c>
      <c r="C6944" s="10" t="inlineStr">
        <is>
          <t>北野線</t>
        </is>
      </c>
      <c r="D6944" s="10" t="inlineStr">
        <is>
          <t>上り</t>
        </is>
      </c>
      <c r="E6944" t="inlineStr">
        <is>
          <t>1360</t>
        </is>
      </c>
      <c r="F6944" t="inlineStr">
        <is>
          <t>0354</t>
        </is>
      </c>
      <c r="G6944" s="10" t="inlineStr">
        <is>
          <t>御室仁和寺</t>
        </is>
      </c>
      <c r="H6944" s="10" t="inlineStr">
        <is>
          <t>発</t>
        </is>
      </c>
      <c r="J6944" s="10" t="inlineStr">
        <is>
          <t>営業</t>
        </is>
      </c>
      <c r="L6944" t="inlineStr">
        <is>
          <t>13:53:15</t>
        </is>
      </c>
      <c r="M6944" t="inlineStr">
        <is>
          <t>13:53:35</t>
        </is>
      </c>
    </row>
    <row r="6945" ht="16.5" customHeight="1" s="37">
      <c r="A6945" t="n">
        <v>19</v>
      </c>
      <c r="B6945" s="10" t="inlineStr">
        <is>
          <t>平日</t>
        </is>
      </c>
      <c r="C6945" s="10" t="inlineStr">
        <is>
          <t>北野線</t>
        </is>
      </c>
      <c r="D6945" s="10" t="inlineStr">
        <is>
          <t>上り</t>
        </is>
      </c>
      <c r="E6945" t="inlineStr">
        <is>
          <t>1360</t>
        </is>
      </c>
      <c r="F6945" t="inlineStr">
        <is>
          <t>0354</t>
        </is>
      </c>
      <c r="G6945" s="10" t="inlineStr">
        <is>
          <t>妙心寺</t>
        </is>
      </c>
      <c r="H6945" s="10" t="inlineStr">
        <is>
          <t>発</t>
        </is>
      </c>
      <c r="J6945" s="10" t="inlineStr">
        <is>
          <t>営業</t>
        </is>
      </c>
      <c r="L6945" t="inlineStr">
        <is>
          <t>13:54:35</t>
        </is>
      </c>
      <c r="M6945" t="inlineStr">
        <is>
          <t>13:54:50</t>
        </is>
      </c>
    </row>
    <row r="6946" ht="16.5" customHeight="1" s="37">
      <c r="A6946" t="n">
        <v>19</v>
      </c>
      <c r="B6946" s="10" t="inlineStr">
        <is>
          <t>平日</t>
        </is>
      </c>
      <c r="C6946" s="10" t="inlineStr">
        <is>
          <t>北野線</t>
        </is>
      </c>
      <c r="D6946" s="10" t="inlineStr">
        <is>
          <t>上り</t>
        </is>
      </c>
      <c r="E6946" t="inlineStr">
        <is>
          <t>1360</t>
        </is>
      </c>
      <c r="F6946" t="inlineStr">
        <is>
          <t>0354</t>
        </is>
      </c>
      <c r="G6946" s="10" t="inlineStr">
        <is>
          <t>龍安寺</t>
        </is>
      </c>
      <c r="H6946" s="10" t="inlineStr">
        <is>
          <t>発</t>
        </is>
      </c>
      <c r="J6946" s="10" t="inlineStr">
        <is>
          <t>営業</t>
        </is>
      </c>
      <c r="L6946" t="inlineStr">
        <is>
          <t>13:55:45</t>
        </is>
      </c>
      <c r="M6946" t="inlineStr">
        <is>
          <t>13:55:55</t>
        </is>
      </c>
    </row>
    <row r="6947" ht="16.5" customHeight="1" s="37">
      <c r="A6947" t="n">
        <v>19</v>
      </c>
      <c r="B6947" s="10" t="inlineStr">
        <is>
          <t>平日</t>
        </is>
      </c>
      <c r="C6947" s="10" t="inlineStr">
        <is>
          <t>北野線</t>
        </is>
      </c>
      <c r="D6947" s="10" t="inlineStr">
        <is>
          <t>上り</t>
        </is>
      </c>
      <c r="E6947" t="inlineStr">
        <is>
          <t>1360</t>
        </is>
      </c>
      <c r="F6947" t="inlineStr">
        <is>
          <t>0354</t>
        </is>
      </c>
      <c r="G6947" s="10" t="inlineStr">
        <is>
          <t>等持院</t>
        </is>
      </c>
      <c r="H6947" s="10" t="inlineStr">
        <is>
          <t>発</t>
        </is>
      </c>
      <c r="J6947" s="10" t="inlineStr">
        <is>
          <t>営業</t>
        </is>
      </c>
      <c r="L6947" t="inlineStr">
        <is>
          <t>13:56:35</t>
        </is>
      </c>
      <c r="M6947" t="inlineStr">
        <is>
          <t>13:56:55</t>
        </is>
      </c>
    </row>
    <row r="6948" ht="16.5" customHeight="1" s="37">
      <c r="A6948" t="n">
        <v>19</v>
      </c>
      <c r="B6948" s="10" t="inlineStr">
        <is>
          <t>平日</t>
        </is>
      </c>
      <c r="C6948" s="10" t="inlineStr">
        <is>
          <t>北野線</t>
        </is>
      </c>
      <c r="D6948" s="10" t="inlineStr">
        <is>
          <t>上り</t>
        </is>
      </c>
      <c r="E6948" t="inlineStr">
        <is>
          <t>1360</t>
        </is>
      </c>
      <c r="F6948" t="inlineStr">
        <is>
          <t>0354</t>
        </is>
      </c>
      <c r="G6948" s="10" t="inlineStr">
        <is>
          <t>北野白梅町</t>
        </is>
      </c>
      <c r="H6948" s="10" t="inlineStr">
        <is>
          <t>着</t>
        </is>
      </c>
      <c r="J6948" s="10" t="inlineStr">
        <is>
          <t>営業</t>
        </is>
      </c>
      <c r="L6948" t="inlineStr">
        <is>
          <t>13:58:15</t>
        </is>
      </c>
      <c r="Q6948" t="inlineStr">
        <is>
          <t>1</t>
        </is>
      </c>
    </row>
    <row r="6949" ht="16.5" customHeight="1" s="37">
      <c r="A6949" t="n">
        <v>19</v>
      </c>
      <c r="B6949" s="10" t="inlineStr">
        <is>
          <t>平日</t>
        </is>
      </c>
      <c r="C6949" s="10" t="inlineStr">
        <is>
          <t>北野線</t>
        </is>
      </c>
      <c r="D6949" s="10" t="inlineStr">
        <is>
          <t>下り</t>
        </is>
      </c>
      <c r="E6949" t="inlineStr">
        <is>
          <t>1451</t>
        </is>
      </c>
      <c r="F6949" t="inlineStr">
        <is>
          <t>0453</t>
        </is>
      </c>
      <c r="G6949" s="10" t="inlineStr">
        <is>
          <t>北野白梅町</t>
        </is>
      </c>
      <c r="H6949" s="10" t="inlineStr">
        <is>
          <t>発</t>
        </is>
      </c>
      <c r="J6949" s="10" t="inlineStr">
        <is>
          <t>営業</t>
        </is>
      </c>
      <c r="M6949" t="inlineStr">
        <is>
          <t>14:03:00</t>
        </is>
      </c>
      <c r="Q6949" t="inlineStr">
        <is>
          <t>1</t>
        </is>
      </c>
    </row>
    <row r="6950" ht="16.5" customHeight="1" s="37">
      <c r="A6950" t="n">
        <v>19</v>
      </c>
      <c r="B6950" s="10" t="inlineStr">
        <is>
          <t>平日</t>
        </is>
      </c>
      <c r="C6950" s="10" t="inlineStr">
        <is>
          <t>北野線</t>
        </is>
      </c>
      <c r="D6950" s="10" t="inlineStr">
        <is>
          <t>下り</t>
        </is>
      </c>
      <c r="E6950" t="inlineStr">
        <is>
          <t>1451</t>
        </is>
      </c>
      <c r="F6950" t="inlineStr">
        <is>
          <t>0453</t>
        </is>
      </c>
      <c r="G6950" s="10" t="inlineStr">
        <is>
          <t>等持院</t>
        </is>
      </c>
      <c r="H6950" s="10" t="inlineStr">
        <is>
          <t>発</t>
        </is>
      </c>
      <c r="J6950" s="10" t="inlineStr">
        <is>
          <t>営業</t>
        </is>
      </c>
      <c r="L6950" t="inlineStr">
        <is>
          <t>14:04:25</t>
        </is>
      </c>
      <c r="M6950" t="inlineStr">
        <is>
          <t>14:04:35</t>
        </is>
      </c>
    </row>
    <row r="6951" ht="16.5" customHeight="1" s="37">
      <c r="A6951" t="n">
        <v>19</v>
      </c>
      <c r="B6951" s="10" t="inlineStr">
        <is>
          <t>平日</t>
        </is>
      </c>
      <c r="C6951" s="10" t="inlineStr">
        <is>
          <t>北野線</t>
        </is>
      </c>
      <c r="D6951" s="10" t="inlineStr">
        <is>
          <t>下り</t>
        </is>
      </c>
      <c r="E6951" t="inlineStr">
        <is>
          <t>1451</t>
        </is>
      </c>
      <c r="F6951" t="inlineStr">
        <is>
          <t>0453</t>
        </is>
      </c>
      <c r="G6951" s="10" t="inlineStr">
        <is>
          <t>龍安寺</t>
        </is>
      </c>
      <c r="H6951" s="10" t="inlineStr">
        <is>
          <t>発</t>
        </is>
      </c>
      <c r="J6951" s="10" t="inlineStr">
        <is>
          <t>営業</t>
        </is>
      </c>
      <c r="L6951" t="inlineStr">
        <is>
          <t>14:05:25</t>
        </is>
      </c>
      <c r="M6951" t="inlineStr">
        <is>
          <t>14:05:50</t>
        </is>
      </c>
    </row>
    <row r="6952" ht="16.5" customHeight="1" s="37">
      <c r="A6952" t="n">
        <v>19</v>
      </c>
      <c r="B6952" s="10" t="inlineStr">
        <is>
          <t>平日</t>
        </is>
      </c>
      <c r="C6952" s="10" t="inlineStr">
        <is>
          <t>北野線</t>
        </is>
      </c>
      <c r="D6952" s="10" t="inlineStr">
        <is>
          <t>下り</t>
        </is>
      </c>
      <c r="E6952" t="inlineStr">
        <is>
          <t>1451</t>
        </is>
      </c>
      <c r="F6952" t="inlineStr">
        <is>
          <t>0453</t>
        </is>
      </c>
      <c r="G6952" s="10" t="inlineStr">
        <is>
          <t>妙心寺</t>
        </is>
      </c>
      <c r="H6952" s="10" t="inlineStr">
        <is>
          <t>発</t>
        </is>
      </c>
      <c r="J6952" s="10" t="inlineStr">
        <is>
          <t>営業</t>
        </is>
      </c>
      <c r="L6952" t="inlineStr">
        <is>
          <t>14:06:40</t>
        </is>
      </c>
      <c r="M6952" t="inlineStr">
        <is>
          <t>14:06:50</t>
        </is>
      </c>
    </row>
    <row r="6953" ht="16.5" customHeight="1" s="37">
      <c r="A6953" t="n">
        <v>19</v>
      </c>
      <c r="B6953" s="10" t="inlineStr">
        <is>
          <t>平日</t>
        </is>
      </c>
      <c r="C6953" s="10" t="inlineStr">
        <is>
          <t>北野線</t>
        </is>
      </c>
      <c r="D6953" s="10" t="inlineStr">
        <is>
          <t>下り</t>
        </is>
      </c>
      <c r="E6953" t="inlineStr">
        <is>
          <t>1451</t>
        </is>
      </c>
      <c r="F6953" t="inlineStr">
        <is>
          <t>0453</t>
        </is>
      </c>
      <c r="G6953" s="10" t="inlineStr">
        <is>
          <t>御室仁和寺</t>
        </is>
      </c>
      <c r="H6953" s="10" t="inlineStr">
        <is>
          <t>発</t>
        </is>
      </c>
      <c r="J6953" s="10" t="inlineStr">
        <is>
          <t>営業</t>
        </is>
      </c>
      <c r="L6953" t="inlineStr">
        <is>
          <t>14:07:50</t>
        </is>
      </c>
      <c r="M6953" t="inlineStr">
        <is>
          <t>14:08:05</t>
        </is>
      </c>
    </row>
    <row r="6954" ht="16.5" customHeight="1" s="37">
      <c r="A6954" t="n">
        <v>19</v>
      </c>
      <c r="B6954" s="10" t="inlineStr">
        <is>
          <t>平日</t>
        </is>
      </c>
      <c r="C6954" s="10" t="inlineStr">
        <is>
          <t>北野線</t>
        </is>
      </c>
      <c r="D6954" s="10" t="inlineStr">
        <is>
          <t>下り</t>
        </is>
      </c>
      <c r="E6954" t="inlineStr">
        <is>
          <t>1451</t>
        </is>
      </c>
      <c r="F6954" t="inlineStr">
        <is>
          <t>0453</t>
        </is>
      </c>
      <c r="G6954" s="10" t="inlineStr">
        <is>
          <t>宇多野</t>
        </is>
      </c>
      <c r="H6954" s="10" t="inlineStr">
        <is>
          <t>発</t>
        </is>
      </c>
      <c r="J6954" s="10" t="inlineStr">
        <is>
          <t>営業</t>
        </is>
      </c>
      <c r="L6954" t="inlineStr">
        <is>
          <t>14:09:05</t>
        </is>
      </c>
      <c r="M6954" t="inlineStr">
        <is>
          <t>14:09:15</t>
        </is>
      </c>
    </row>
    <row r="6955" ht="16.5" customHeight="1" s="37">
      <c r="A6955" t="n">
        <v>19</v>
      </c>
      <c r="B6955" s="10" t="inlineStr">
        <is>
          <t>平日</t>
        </is>
      </c>
      <c r="C6955" s="10" t="inlineStr">
        <is>
          <t>北野線</t>
        </is>
      </c>
      <c r="D6955" s="10" t="inlineStr">
        <is>
          <t>下り</t>
        </is>
      </c>
      <c r="E6955" t="inlineStr">
        <is>
          <t>1451</t>
        </is>
      </c>
      <c r="F6955" t="inlineStr">
        <is>
          <t>0453</t>
        </is>
      </c>
      <c r="G6955" s="10" t="inlineStr">
        <is>
          <t>鳴滝</t>
        </is>
      </c>
      <c r="H6955" s="10" t="inlineStr">
        <is>
          <t>発</t>
        </is>
      </c>
      <c r="J6955" s="10" t="inlineStr">
        <is>
          <t>営業</t>
        </is>
      </c>
      <c r="L6955" t="inlineStr">
        <is>
          <t>14:10:35</t>
        </is>
      </c>
      <c r="M6955" t="inlineStr">
        <is>
          <t>14:10:45</t>
        </is>
      </c>
    </row>
    <row r="6956" ht="16.5" customHeight="1" s="37">
      <c r="A6956" t="n">
        <v>19</v>
      </c>
      <c r="B6956" s="10" t="inlineStr">
        <is>
          <t>平日</t>
        </is>
      </c>
      <c r="C6956" s="10" t="inlineStr">
        <is>
          <t>北野線</t>
        </is>
      </c>
      <c r="D6956" s="10" t="inlineStr">
        <is>
          <t>下り</t>
        </is>
      </c>
      <c r="E6956" t="inlineStr">
        <is>
          <t>1451</t>
        </is>
      </c>
      <c r="F6956" t="inlineStr">
        <is>
          <t>0453</t>
        </is>
      </c>
      <c r="G6956" s="10" t="inlineStr">
        <is>
          <t>常盤</t>
        </is>
      </c>
      <c r="H6956" s="10" t="inlineStr">
        <is>
          <t>発</t>
        </is>
      </c>
      <c r="J6956" s="10" t="inlineStr">
        <is>
          <t>営業</t>
        </is>
      </c>
      <c r="L6956" t="inlineStr">
        <is>
          <t>14:11:35</t>
        </is>
      </c>
      <c r="M6956" t="inlineStr">
        <is>
          <t>14:11:55</t>
        </is>
      </c>
    </row>
    <row r="6957" ht="16.5" customHeight="1" s="37">
      <c r="A6957" t="n">
        <v>19</v>
      </c>
      <c r="B6957" s="10" t="inlineStr">
        <is>
          <t>平日</t>
        </is>
      </c>
      <c r="C6957" s="10" t="inlineStr">
        <is>
          <t>北野線</t>
        </is>
      </c>
      <c r="D6957" s="10" t="inlineStr">
        <is>
          <t>下り</t>
        </is>
      </c>
      <c r="E6957" t="inlineStr">
        <is>
          <t>1451</t>
        </is>
      </c>
      <c r="F6957" t="inlineStr">
        <is>
          <t>0453</t>
        </is>
      </c>
      <c r="G6957" s="10" t="inlineStr">
        <is>
          <t>撮影所前</t>
        </is>
      </c>
      <c r="H6957" s="10" t="inlineStr">
        <is>
          <t>発</t>
        </is>
      </c>
      <c r="J6957" s="10" t="inlineStr">
        <is>
          <t>営業</t>
        </is>
      </c>
      <c r="L6957" t="inlineStr">
        <is>
          <t>14:13:15</t>
        </is>
      </c>
      <c r="M6957" t="inlineStr">
        <is>
          <t>14:13:30</t>
        </is>
      </c>
    </row>
    <row r="6958" ht="16.5" customHeight="1" s="37">
      <c r="A6958" t="n">
        <v>19</v>
      </c>
      <c r="B6958" s="10" t="inlineStr">
        <is>
          <t>平日</t>
        </is>
      </c>
      <c r="C6958" s="10" t="inlineStr">
        <is>
          <t>北野線</t>
        </is>
      </c>
      <c r="D6958" s="10" t="inlineStr">
        <is>
          <t>下り</t>
        </is>
      </c>
      <c r="E6958" t="inlineStr">
        <is>
          <t>1451</t>
        </is>
      </c>
      <c r="F6958" t="inlineStr">
        <is>
          <t>0453</t>
        </is>
      </c>
      <c r="G6958" s="10" t="inlineStr">
        <is>
          <t>帷子ノ辻</t>
        </is>
      </c>
      <c r="H6958" s="10" t="inlineStr">
        <is>
          <t>着</t>
        </is>
      </c>
      <c r="J6958" s="10" t="inlineStr">
        <is>
          <t>営業</t>
        </is>
      </c>
      <c r="L6958" t="inlineStr">
        <is>
          <t>14:14:25</t>
        </is>
      </c>
      <c r="Q6958" t="inlineStr">
        <is>
          <t>4</t>
        </is>
      </c>
    </row>
    <row r="6959" ht="16.5" customHeight="1" s="37">
      <c r="A6959" t="n">
        <v>19</v>
      </c>
      <c r="B6959" s="10" t="inlineStr">
        <is>
          <t>平日</t>
        </is>
      </c>
      <c r="C6959" s="10" t="inlineStr">
        <is>
          <t>北野線</t>
        </is>
      </c>
      <c r="D6959" s="10" t="inlineStr">
        <is>
          <t>上り</t>
        </is>
      </c>
      <c r="E6959" t="inlineStr">
        <is>
          <t>1456</t>
        </is>
      </c>
      <c r="F6959" t="inlineStr">
        <is>
          <t>0354</t>
        </is>
      </c>
      <c r="G6959" s="10" t="inlineStr">
        <is>
          <t>帷子ノ辻</t>
        </is>
      </c>
      <c r="H6959" s="10" t="inlineStr">
        <is>
          <t>発</t>
        </is>
      </c>
      <c r="J6959" s="10" t="inlineStr">
        <is>
          <t>営業</t>
        </is>
      </c>
      <c r="M6959" t="inlineStr">
        <is>
          <t>14:26:25</t>
        </is>
      </c>
      <c r="Q6959" t="inlineStr">
        <is>
          <t>4</t>
        </is>
      </c>
    </row>
    <row r="6960" ht="16.5" customHeight="1" s="37">
      <c r="A6960" t="n">
        <v>19</v>
      </c>
      <c r="B6960" s="10" t="inlineStr">
        <is>
          <t>平日</t>
        </is>
      </c>
      <c r="C6960" s="10" t="inlineStr">
        <is>
          <t>北野線</t>
        </is>
      </c>
      <c r="D6960" s="10" t="inlineStr">
        <is>
          <t>上り</t>
        </is>
      </c>
      <c r="E6960" t="inlineStr">
        <is>
          <t>1456</t>
        </is>
      </c>
      <c r="F6960" t="inlineStr">
        <is>
          <t>0354</t>
        </is>
      </c>
      <c r="G6960" s="10" t="inlineStr">
        <is>
          <t>撮影所前</t>
        </is>
      </c>
      <c r="H6960" s="10" t="inlineStr">
        <is>
          <t>発</t>
        </is>
      </c>
      <c r="J6960" s="10" t="inlineStr">
        <is>
          <t>営業</t>
        </is>
      </c>
      <c r="L6960" t="inlineStr">
        <is>
          <t>14:27:25</t>
        </is>
      </c>
      <c r="M6960" t="inlineStr">
        <is>
          <t>14:27:40</t>
        </is>
      </c>
    </row>
    <row r="6961" ht="16.5" customHeight="1" s="37">
      <c r="A6961" t="n">
        <v>19</v>
      </c>
      <c r="B6961" s="10" t="inlineStr">
        <is>
          <t>平日</t>
        </is>
      </c>
      <c r="C6961" s="10" t="inlineStr">
        <is>
          <t>北野線</t>
        </is>
      </c>
      <c r="D6961" s="10" t="inlineStr">
        <is>
          <t>上り</t>
        </is>
      </c>
      <c r="E6961" t="inlineStr">
        <is>
          <t>1456</t>
        </is>
      </c>
      <c r="F6961" t="inlineStr">
        <is>
          <t>0354</t>
        </is>
      </c>
      <c r="G6961" s="10" t="inlineStr">
        <is>
          <t>常盤</t>
        </is>
      </c>
      <c r="H6961" s="10" t="inlineStr">
        <is>
          <t>発</t>
        </is>
      </c>
      <c r="J6961" s="10" t="inlineStr">
        <is>
          <t>営業</t>
        </is>
      </c>
      <c r="L6961" t="inlineStr">
        <is>
          <t>14:29:00</t>
        </is>
      </c>
      <c r="M6961" t="inlineStr">
        <is>
          <t>14:29:20</t>
        </is>
      </c>
    </row>
    <row r="6962" ht="16.5" customHeight="1" s="37">
      <c r="A6962" t="n">
        <v>19</v>
      </c>
      <c r="B6962" s="10" t="inlineStr">
        <is>
          <t>平日</t>
        </is>
      </c>
      <c r="C6962" s="10" t="inlineStr">
        <is>
          <t>北野線</t>
        </is>
      </c>
      <c r="D6962" s="10" t="inlineStr">
        <is>
          <t>上り</t>
        </is>
      </c>
      <c r="E6962" t="inlineStr">
        <is>
          <t>1456</t>
        </is>
      </c>
      <c r="F6962" t="inlineStr">
        <is>
          <t>0354</t>
        </is>
      </c>
      <c r="G6962" s="10" t="inlineStr">
        <is>
          <t>鳴滝</t>
        </is>
      </c>
      <c r="H6962" s="10" t="inlineStr">
        <is>
          <t>発</t>
        </is>
      </c>
      <c r="J6962" s="10" t="inlineStr">
        <is>
          <t>営業</t>
        </is>
      </c>
      <c r="L6962" t="inlineStr">
        <is>
          <t>14:30:20</t>
        </is>
      </c>
      <c r="M6962" t="inlineStr">
        <is>
          <t>14:30:40</t>
        </is>
      </c>
    </row>
    <row r="6963" ht="16.5" customHeight="1" s="37">
      <c r="A6963" t="n">
        <v>19</v>
      </c>
      <c r="B6963" s="10" t="inlineStr">
        <is>
          <t>平日</t>
        </is>
      </c>
      <c r="C6963" s="10" t="inlineStr">
        <is>
          <t>北野線</t>
        </is>
      </c>
      <c r="D6963" s="10" t="inlineStr">
        <is>
          <t>上り</t>
        </is>
      </c>
      <c r="E6963" t="inlineStr">
        <is>
          <t>1456</t>
        </is>
      </c>
      <c r="F6963" t="inlineStr">
        <is>
          <t>0354</t>
        </is>
      </c>
      <c r="G6963" s="10" t="inlineStr">
        <is>
          <t>宇多野</t>
        </is>
      </c>
      <c r="H6963" s="10" t="inlineStr">
        <is>
          <t>発</t>
        </is>
      </c>
      <c r="J6963" s="10" t="inlineStr">
        <is>
          <t>営業</t>
        </is>
      </c>
      <c r="L6963" t="inlineStr">
        <is>
          <t>14:32:00</t>
        </is>
      </c>
      <c r="M6963" t="inlineStr">
        <is>
          <t>14:32:15</t>
        </is>
      </c>
    </row>
    <row r="6964" ht="16.5" customHeight="1" s="37">
      <c r="A6964" t="n">
        <v>19</v>
      </c>
      <c r="B6964" s="10" t="inlineStr">
        <is>
          <t>平日</t>
        </is>
      </c>
      <c r="C6964" s="10" t="inlineStr">
        <is>
          <t>北野線</t>
        </is>
      </c>
      <c r="D6964" s="10" t="inlineStr">
        <is>
          <t>上り</t>
        </is>
      </c>
      <c r="E6964" t="inlineStr">
        <is>
          <t>1456</t>
        </is>
      </c>
      <c r="F6964" t="inlineStr">
        <is>
          <t>0354</t>
        </is>
      </c>
      <c r="G6964" s="10" t="inlineStr">
        <is>
          <t>御室仁和寺</t>
        </is>
      </c>
      <c r="H6964" s="10" t="inlineStr">
        <is>
          <t>発</t>
        </is>
      </c>
      <c r="J6964" s="10" t="inlineStr">
        <is>
          <t>営業</t>
        </is>
      </c>
      <c r="L6964" t="inlineStr">
        <is>
          <t>14:33:15</t>
        </is>
      </c>
      <c r="M6964" t="inlineStr">
        <is>
          <t>14:33:35</t>
        </is>
      </c>
    </row>
    <row r="6965" ht="16.5" customHeight="1" s="37">
      <c r="A6965" t="n">
        <v>19</v>
      </c>
      <c r="B6965" s="10" t="inlineStr">
        <is>
          <t>平日</t>
        </is>
      </c>
      <c r="C6965" s="10" t="inlineStr">
        <is>
          <t>北野線</t>
        </is>
      </c>
      <c r="D6965" s="10" t="inlineStr">
        <is>
          <t>上り</t>
        </is>
      </c>
      <c r="E6965" t="inlineStr">
        <is>
          <t>1456</t>
        </is>
      </c>
      <c r="F6965" t="inlineStr">
        <is>
          <t>0354</t>
        </is>
      </c>
      <c r="G6965" s="10" t="inlineStr">
        <is>
          <t>妙心寺</t>
        </is>
      </c>
      <c r="H6965" s="10" t="inlineStr">
        <is>
          <t>発</t>
        </is>
      </c>
      <c r="J6965" s="10" t="inlineStr">
        <is>
          <t>営業</t>
        </is>
      </c>
      <c r="L6965" t="inlineStr">
        <is>
          <t>14:34:35</t>
        </is>
      </c>
      <c r="M6965" t="inlineStr">
        <is>
          <t>14:34:50</t>
        </is>
      </c>
    </row>
    <row r="6966" ht="16.5" customHeight="1" s="37">
      <c r="A6966" t="n">
        <v>19</v>
      </c>
      <c r="B6966" s="10" t="inlineStr">
        <is>
          <t>平日</t>
        </is>
      </c>
      <c r="C6966" s="10" t="inlineStr">
        <is>
          <t>北野線</t>
        </is>
      </c>
      <c r="D6966" s="10" t="inlineStr">
        <is>
          <t>上り</t>
        </is>
      </c>
      <c r="E6966" t="inlineStr">
        <is>
          <t>1456</t>
        </is>
      </c>
      <c r="F6966" t="inlineStr">
        <is>
          <t>0354</t>
        </is>
      </c>
      <c r="G6966" s="10" t="inlineStr">
        <is>
          <t>龍安寺</t>
        </is>
      </c>
      <c r="H6966" s="10" t="inlineStr">
        <is>
          <t>発</t>
        </is>
      </c>
      <c r="J6966" s="10" t="inlineStr">
        <is>
          <t>営業</t>
        </is>
      </c>
      <c r="L6966" t="inlineStr">
        <is>
          <t>14:35:45</t>
        </is>
      </c>
      <c r="M6966" t="inlineStr">
        <is>
          <t>14:35:55</t>
        </is>
      </c>
    </row>
    <row r="6967" ht="16.5" customHeight="1" s="37">
      <c r="A6967" t="n">
        <v>19</v>
      </c>
      <c r="B6967" s="10" t="inlineStr">
        <is>
          <t>平日</t>
        </is>
      </c>
      <c r="C6967" s="10" t="inlineStr">
        <is>
          <t>北野線</t>
        </is>
      </c>
      <c r="D6967" s="10" t="inlineStr">
        <is>
          <t>上り</t>
        </is>
      </c>
      <c r="E6967" t="inlineStr">
        <is>
          <t>1456</t>
        </is>
      </c>
      <c r="F6967" t="inlineStr">
        <is>
          <t>0354</t>
        </is>
      </c>
      <c r="G6967" s="10" t="inlineStr">
        <is>
          <t>等持院</t>
        </is>
      </c>
      <c r="H6967" s="10" t="inlineStr">
        <is>
          <t>発</t>
        </is>
      </c>
      <c r="J6967" s="10" t="inlineStr">
        <is>
          <t>営業</t>
        </is>
      </c>
      <c r="L6967" t="inlineStr">
        <is>
          <t>14:36:35</t>
        </is>
      </c>
      <c r="M6967" t="inlineStr">
        <is>
          <t>14:36:55</t>
        </is>
      </c>
    </row>
    <row r="6968" ht="15" customHeight="1" s="37">
      <c r="A6968" t="n">
        <v>19</v>
      </c>
      <c r="B6968" s="10" t="inlineStr">
        <is>
          <t>平日</t>
        </is>
      </c>
      <c r="C6968" s="10" t="inlineStr">
        <is>
          <t>北野線</t>
        </is>
      </c>
      <c r="D6968" s="10" t="inlineStr">
        <is>
          <t>上り</t>
        </is>
      </c>
      <c r="E6968" t="inlineStr">
        <is>
          <t>1456</t>
        </is>
      </c>
      <c r="F6968" t="inlineStr">
        <is>
          <t>0354</t>
        </is>
      </c>
      <c r="G6968" s="10" t="inlineStr">
        <is>
          <t>北野白梅町</t>
        </is>
      </c>
      <c r="H6968" s="10" t="inlineStr">
        <is>
          <t>着</t>
        </is>
      </c>
      <c r="J6968" s="10" t="inlineStr">
        <is>
          <t>営業</t>
        </is>
      </c>
      <c r="L6968" t="inlineStr">
        <is>
          <t>14:38:15</t>
        </is>
      </c>
      <c r="Q6968" t="inlineStr">
        <is>
          <t>1</t>
        </is>
      </c>
    </row>
    <row r="6969" ht="15" customHeight="1" s="37">
      <c r="A6969" t="n">
        <v>19</v>
      </c>
      <c r="B6969" s="10" t="inlineStr">
        <is>
          <t>平日</t>
        </is>
      </c>
      <c r="C6969" s="10" t="inlineStr">
        <is>
          <t>北野線</t>
        </is>
      </c>
      <c r="D6969" s="10" t="inlineStr">
        <is>
          <t>下り</t>
        </is>
      </c>
      <c r="E6969" t="inlineStr">
        <is>
          <t>1459</t>
        </is>
      </c>
      <c r="F6969" t="inlineStr">
        <is>
          <t>0453</t>
        </is>
      </c>
      <c r="G6969" s="10" t="inlineStr">
        <is>
          <t>北野白梅町</t>
        </is>
      </c>
      <c r="H6969" s="10" t="inlineStr">
        <is>
          <t>発</t>
        </is>
      </c>
      <c r="J6969" s="10" t="inlineStr">
        <is>
          <t>営業</t>
        </is>
      </c>
      <c r="M6969" t="inlineStr">
        <is>
          <t>14:43:00</t>
        </is>
      </c>
      <c r="Q6969" t="inlineStr">
        <is>
          <t>1</t>
        </is>
      </c>
    </row>
    <row r="6970" ht="15" customHeight="1" s="37">
      <c r="A6970" t="n">
        <v>19</v>
      </c>
      <c r="B6970" s="10" t="inlineStr">
        <is>
          <t>平日</t>
        </is>
      </c>
      <c r="C6970" s="10" t="inlineStr">
        <is>
          <t>北野線</t>
        </is>
      </c>
      <c r="D6970" s="10" t="inlineStr">
        <is>
          <t>下り</t>
        </is>
      </c>
      <c r="E6970" t="inlineStr">
        <is>
          <t>1459</t>
        </is>
      </c>
      <c r="F6970" t="inlineStr">
        <is>
          <t>0453</t>
        </is>
      </c>
      <c r="G6970" s="10" t="inlineStr">
        <is>
          <t>等持院</t>
        </is>
      </c>
      <c r="H6970" s="10" t="inlineStr">
        <is>
          <t>発</t>
        </is>
      </c>
      <c r="J6970" s="10" t="inlineStr">
        <is>
          <t>営業</t>
        </is>
      </c>
      <c r="L6970" t="inlineStr">
        <is>
          <t>14:44:25</t>
        </is>
      </c>
      <c r="M6970" t="inlineStr">
        <is>
          <t>14:44:35</t>
        </is>
      </c>
    </row>
    <row r="6971" ht="15" customHeight="1" s="37">
      <c r="A6971" t="n">
        <v>19</v>
      </c>
      <c r="B6971" s="10" t="inlineStr">
        <is>
          <t>平日</t>
        </is>
      </c>
      <c r="C6971" s="10" t="inlineStr">
        <is>
          <t>北野線</t>
        </is>
      </c>
      <c r="D6971" s="10" t="inlineStr">
        <is>
          <t>下り</t>
        </is>
      </c>
      <c r="E6971" t="inlineStr">
        <is>
          <t>1459</t>
        </is>
      </c>
      <c r="F6971" t="inlineStr">
        <is>
          <t>0453</t>
        </is>
      </c>
      <c r="G6971" s="10" t="inlineStr">
        <is>
          <t>龍安寺</t>
        </is>
      </c>
      <c r="H6971" s="10" t="inlineStr">
        <is>
          <t>発</t>
        </is>
      </c>
      <c r="J6971" s="10" t="inlineStr">
        <is>
          <t>営業</t>
        </is>
      </c>
      <c r="L6971" t="inlineStr">
        <is>
          <t>14:45:25</t>
        </is>
      </c>
      <c r="M6971" t="inlineStr">
        <is>
          <t>14:45:50</t>
        </is>
      </c>
    </row>
    <row r="6972" ht="15" customHeight="1" s="37">
      <c r="A6972" t="n">
        <v>19</v>
      </c>
      <c r="B6972" s="10" t="inlineStr">
        <is>
          <t>平日</t>
        </is>
      </c>
      <c r="C6972" s="10" t="inlineStr">
        <is>
          <t>北野線</t>
        </is>
      </c>
      <c r="D6972" s="10" t="inlineStr">
        <is>
          <t>下り</t>
        </is>
      </c>
      <c r="E6972" t="inlineStr">
        <is>
          <t>1459</t>
        </is>
      </c>
      <c r="F6972" t="inlineStr">
        <is>
          <t>0453</t>
        </is>
      </c>
      <c r="G6972" s="10" t="inlineStr">
        <is>
          <t>妙心寺</t>
        </is>
      </c>
      <c r="H6972" s="10" t="inlineStr">
        <is>
          <t>発</t>
        </is>
      </c>
      <c r="J6972" s="10" t="inlineStr">
        <is>
          <t>営業</t>
        </is>
      </c>
      <c r="L6972" t="inlineStr">
        <is>
          <t>14:46:40</t>
        </is>
      </c>
      <c r="M6972" t="inlineStr">
        <is>
          <t>14:46:50</t>
        </is>
      </c>
    </row>
    <row r="6973" ht="15" customHeight="1" s="37">
      <c r="A6973" t="n">
        <v>19</v>
      </c>
      <c r="B6973" s="10" t="inlineStr">
        <is>
          <t>平日</t>
        </is>
      </c>
      <c r="C6973" s="10" t="inlineStr">
        <is>
          <t>北野線</t>
        </is>
      </c>
      <c r="D6973" s="10" t="inlineStr">
        <is>
          <t>下り</t>
        </is>
      </c>
      <c r="E6973" t="inlineStr">
        <is>
          <t>1459</t>
        </is>
      </c>
      <c r="F6973" t="inlineStr">
        <is>
          <t>0453</t>
        </is>
      </c>
      <c r="G6973" s="10" t="inlineStr">
        <is>
          <t>御室仁和寺</t>
        </is>
      </c>
      <c r="H6973" s="10" t="inlineStr">
        <is>
          <t>発</t>
        </is>
      </c>
      <c r="J6973" s="10" t="inlineStr">
        <is>
          <t>営業</t>
        </is>
      </c>
      <c r="L6973" t="inlineStr">
        <is>
          <t>14:47:50</t>
        </is>
      </c>
      <c r="M6973" t="inlineStr">
        <is>
          <t>14:48:05</t>
        </is>
      </c>
    </row>
    <row r="6974" ht="15" customHeight="1" s="37">
      <c r="A6974" t="n">
        <v>19</v>
      </c>
      <c r="B6974" s="10" t="inlineStr">
        <is>
          <t>平日</t>
        </is>
      </c>
      <c r="C6974" s="10" t="inlineStr">
        <is>
          <t>北野線</t>
        </is>
      </c>
      <c r="D6974" s="10" t="inlineStr">
        <is>
          <t>下り</t>
        </is>
      </c>
      <c r="E6974" t="inlineStr">
        <is>
          <t>1459</t>
        </is>
      </c>
      <c r="F6974" t="inlineStr">
        <is>
          <t>0453</t>
        </is>
      </c>
      <c r="G6974" s="10" t="inlineStr">
        <is>
          <t>宇多野</t>
        </is>
      </c>
      <c r="H6974" s="10" t="inlineStr">
        <is>
          <t>発</t>
        </is>
      </c>
      <c r="J6974" s="10" t="inlineStr">
        <is>
          <t>営業</t>
        </is>
      </c>
      <c r="L6974" t="inlineStr">
        <is>
          <t>14:49:05</t>
        </is>
      </c>
      <c r="M6974" t="inlineStr">
        <is>
          <t>14:49:15</t>
        </is>
      </c>
    </row>
    <row r="6975" ht="15" customHeight="1" s="37">
      <c r="A6975" t="n">
        <v>19</v>
      </c>
      <c r="B6975" s="10" t="inlineStr">
        <is>
          <t>平日</t>
        </is>
      </c>
      <c r="C6975" s="10" t="inlineStr">
        <is>
          <t>北野線</t>
        </is>
      </c>
      <c r="D6975" s="10" t="inlineStr">
        <is>
          <t>下り</t>
        </is>
      </c>
      <c r="E6975" t="inlineStr">
        <is>
          <t>1459</t>
        </is>
      </c>
      <c r="F6975" t="inlineStr">
        <is>
          <t>0453</t>
        </is>
      </c>
      <c r="G6975" s="10" t="inlineStr">
        <is>
          <t>鳴滝</t>
        </is>
      </c>
      <c r="H6975" s="10" t="inlineStr">
        <is>
          <t>発</t>
        </is>
      </c>
      <c r="J6975" s="10" t="inlineStr">
        <is>
          <t>営業</t>
        </is>
      </c>
      <c r="L6975" t="inlineStr">
        <is>
          <t>14:50:35</t>
        </is>
      </c>
      <c r="M6975" t="inlineStr">
        <is>
          <t>14:50:45</t>
        </is>
      </c>
    </row>
    <row r="6976" ht="15" customHeight="1" s="37">
      <c r="A6976" t="n">
        <v>19</v>
      </c>
      <c r="B6976" s="10" t="inlineStr">
        <is>
          <t>平日</t>
        </is>
      </c>
      <c r="C6976" s="10" t="inlineStr">
        <is>
          <t>北野線</t>
        </is>
      </c>
      <c r="D6976" s="10" t="inlineStr">
        <is>
          <t>下り</t>
        </is>
      </c>
      <c r="E6976" t="inlineStr">
        <is>
          <t>1459</t>
        </is>
      </c>
      <c r="F6976" t="inlineStr">
        <is>
          <t>0453</t>
        </is>
      </c>
      <c r="G6976" s="10" t="inlineStr">
        <is>
          <t>常盤</t>
        </is>
      </c>
      <c r="H6976" s="10" t="inlineStr">
        <is>
          <t>発</t>
        </is>
      </c>
      <c r="J6976" s="10" t="inlineStr">
        <is>
          <t>営業</t>
        </is>
      </c>
      <c r="L6976" t="inlineStr">
        <is>
          <t>14:51:35</t>
        </is>
      </c>
      <c r="M6976" t="inlineStr">
        <is>
          <t>14:51:55</t>
        </is>
      </c>
    </row>
    <row r="6977" ht="15" customHeight="1" s="37">
      <c r="A6977" t="n">
        <v>19</v>
      </c>
      <c r="B6977" s="10" t="inlineStr">
        <is>
          <t>平日</t>
        </is>
      </c>
      <c r="C6977" s="10" t="inlineStr">
        <is>
          <t>北野線</t>
        </is>
      </c>
      <c r="D6977" s="10" t="inlineStr">
        <is>
          <t>下り</t>
        </is>
      </c>
      <c r="E6977" t="inlineStr">
        <is>
          <t>1459</t>
        </is>
      </c>
      <c r="F6977" t="inlineStr">
        <is>
          <t>0453</t>
        </is>
      </c>
      <c r="G6977" s="10" t="inlineStr">
        <is>
          <t>撮影所前</t>
        </is>
      </c>
      <c r="H6977" s="10" t="inlineStr">
        <is>
          <t>発</t>
        </is>
      </c>
      <c r="J6977" s="10" t="inlineStr">
        <is>
          <t>営業</t>
        </is>
      </c>
      <c r="L6977" t="inlineStr">
        <is>
          <t>14:53:15</t>
        </is>
      </c>
      <c r="M6977" t="inlineStr">
        <is>
          <t>14:53:30</t>
        </is>
      </c>
    </row>
    <row r="6978" ht="15" customHeight="1" s="37">
      <c r="A6978" t="n">
        <v>19</v>
      </c>
      <c r="B6978" s="10" t="inlineStr">
        <is>
          <t>平日</t>
        </is>
      </c>
      <c r="C6978" s="10" t="inlineStr">
        <is>
          <t>北野線</t>
        </is>
      </c>
      <c r="D6978" s="10" t="inlineStr">
        <is>
          <t>下り</t>
        </is>
      </c>
      <c r="E6978" t="inlineStr">
        <is>
          <t>1459</t>
        </is>
      </c>
      <c r="F6978" t="inlineStr">
        <is>
          <t>0453</t>
        </is>
      </c>
      <c r="G6978" s="10" t="inlineStr">
        <is>
          <t>帷子ノ辻</t>
        </is>
      </c>
      <c r="H6978" s="10" t="inlineStr">
        <is>
          <t>着</t>
        </is>
      </c>
      <c r="J6978" s="10" t="inlineStr">
        <is>
          <t>営業</t>
        </is>
      </c>
      <c r="L6978" t="inlineStr">
        <is>
          <t>14:54:25</t>
        </is>
      </c>
      <c r="Q6978" t="inlineStr">
        <is>
          <t>4</t>
        </is>
      </c>
    </row>
    <row r="6979" ht="15" customHeight="1" s="37">
      <c r="A6979" t="n">
        <v>19</v>
      </c>
      <c r="B6979" s="10" t="inlineStr">
        <is>
          <t>平日</t>
        </is>
      </c>
      <c r="C6979" s="10" t="inlineStr">
        <is>
          <t>北野線</t>
        </is>
      </c>
      <c r="D6979" s="10" t="inlineStr">
        <is>
          <t>上り</t>
        </is>
      </c>
      <c r="E6979" t="inlineStr">
        <is>
          <t>1552</t>
        </is>
      </c>
      <c r="F6979" t="inlineStr">
        <is>
          <t>0354</t>
        </is>
      </c>
      <c r="G6979" s="10" t="inlineStr">
        <is>
          <t>帷子ノ辻</t>
        </is>
      </c>
      <c r="H6979" s="10" t="inlineStr">
        <is>
          <t>発</t>
        </is>
      </c>
      <c r="J6979" s="10" t="inlineStr">
        <is>
          <t>営業</t>
        </is>
      </c>
      <c r="M6979" t="inlineStr">
        <is>
          <t>15:06:25</t>
        </is>
      </c>
      <c r="Q6979" t="inlineStr">
        <is>
          <t>4</t>
        </is>
      </c>
    </row>
    <row r="6980" ht="15" customHeight="1" s="37">
      <c r="A6980" t="n">
        <v>19</v>
      </c>
      <c r="B6980" s="10" t="inlineStr">
        <is>
          <t>平日</t>
        </is>
      </c>
      <c r="C6980" s="10" t="inlineStr">
        <is>
          <t>北野線</t>
        </is>
      </c>
      <c r="D6980" s="10" t="inlineStr">
        <is>
          <t>上り</t>
        </is>
      </c>
      <c r="E6980" t="inlineStr">
        <is>
          <t>1552</t>
        </is>
      </c>
      <c r="F6980" t="inlineStr">
        <is>
          <t>0354</t>
        </is>
      </c>
      <c r="G6980" s="10" t="inlineStr">
        <is>
          <t>撮影所前</t>
        </is>
      </c>
      <c r="H6980" s="10" t="inlineStr">
        <is>
          <t>発</t>
        </is>
      </c>
      <c r="J6980" s="10" t="inlineStr">
        <is>
          <t>営業</t>
        </is>
      </c>
      <c r="L6980" t="inlineStr">
        <is>
          <t>15:07:25</t>
        </is>
      </c>
      <c r="M6980" t="inlineStr">
        <is>
          <t>15:07:40</t>
        </is>
      </c>
    </row>
    <row r="6981" ht="15" customHeight="1" s="37">
      <c r="A6981" t="n">
        <v>19</v>
      </c>
      <c r="B6981" s="10" t="inlineStr">
        <is>
          <t>平日</t>
        </is>
      </c>
      <c r="C6981" s="10" t="inlineStr">
        <is>
          <t>北野線</t>
        </is>
      </c>
      <c r="D6981" s="10" t="inlineStr">
        <is>
          <t>上り</t>
        </is>
      </c>
      <c r="E6981" t="inlineStr">
        <is>
          <t>1552</t>
        </is>
      </c>
      <c r="F6981" t="inlineStr">
        <is>
          <t>0354</t>
        </is>
      </c>
      <c r="G6981" s="10" t="inlineStr">
        <is>
          <t>常盤</t>
        </is>
      </c>
      <c r="H6981" s="10" t="inlineStr">
        <is>
          <t>発</t>
        </is>
      </c>
      <c r="J6981" s="10" t="inlineStr">
        <is>
          <t>営業</t>
        </is>
      </c>
      <c r="L6981" t="inlineStr">
        <is>
          <t>15:09:00</t>
        </is>
      </c>
      <c r="M6981" t="inlineStr">
        <is>
          <t>15:09:20</t>
        </is>
      </c>
    </row>
    <row r="6982" ht="15" customHeight="1" s="37">
      <c r="A6982" t="n">
        <v>19</v>
      </c>
      <c r="B6982" s="10" t="inlineStr">
        <is>
          <t>平日</t>
        </is>
      </c>
      <c r="C6982" s="10" t="inlineStr">
        <is>
          <t>北野線</t>
        </is>
      </c>
      <c r="D6982" s="10" t="inlineStr">
        <is>
          <t>上り</t>
        </is>
      </c>
      <c r="E6982" t="inlineStr">
        <is>
          <t>1552</t>
        </is>
      </c>
      <c r="F6982" t="inlineStr">
        <is>
          <t>0354</t>
        </is>
      </c>
      <c r="G6982" s="10" t="inlineStr">
        <is>
          <t>鳴滝</t>
        </is>
      </c>
      <c r="H6982" s="10" t="inlineStr">
        <is>
          <t>発</t>
        </is>
      </c>
      <c r="J6982" s="10" t="inlineStr">
        <is>
          <t>営業</t>
        </is>
      </c>
      <c r="L6982" t="inlineStr">
        <is>
          <t>15:10:20</t>
        </is>
      </c>
      <c r="M6982" t="inlineStr">
        <is>
          <t>15:10:40</t>
        </is>
      </c>
    </row>
    <row r="6983" ht="15" customHeight="1" s="37">
      <c r="A6983" t="n">
        <v>19</v>
      </c>
      <c r="B6983" s="10" t="inlineStr">
        <is>
          <t>平日</t>
        </is>
      </c>
      <c r="C6983" s="10" t="inlineStr">
        <is>
          <t>北野線</t>
        </is>
      </c>
      <c r="D6983" s="10" t="inlineStr">
        <is>
          <t>上り</t>
        </is>
      </c>
      <c r="E6983" t="inlineStr">
        <is>
          <t>1552</t>
        </is>
      </c>
      <c r="F6983" t="inlineStr">
        <is>
          <t>0354</t>
        </is>
      </c>
      <c r="G6983" s="10" t="inlineStr">
        <is>
          <t>宇多野</t>
        </is>
      </c>
      <c r="H6983" s="10" t="inlineStr">
        <is>
          <t>発</t>
        </is>
      </c>
      <c r="J6983" s="10" t="inlineStr">
        <is>
          <t>営業</t>
        </is>
      </c>
      <c r="L6983" t="inlineStr">
        <is>
          <t>15:12:00</t>
        </is>
      </c>
      <c r="M6983" t="inlineStr">
        <is>
          <t>15:12:15</t>
        </is>
      </c>
    </row>
    <row r="6984" ht="15" customHeight="1" s="37">
      <c r="A6984" t="n">
        <v>19</v>
      </c>
      <c r="B6984" s="10" t="inlineStr">
        <is>
          <t>平日</t>
        </is>
      </c>
      <c r="C6984" s="10" t="inlineStr">
        <is>
          <t>北野線</t>
        </is>
      </c>
      <c r="D6984" s="10" t="inlineStr">
        <is>
          <t>上り</t>
        </is>
      </c>
      <c r="E6984" t="inlineStr">
        <is>
          <t>1552</t>
        </is>
      </c>
      <c r="F6984" t="inlineStr">
        <is>
          <t>0354</t>
        </is>
      </c>
      <c r="G6984" s="10" t="inlineStr">
        <is>
          <t>御室仁和寺</t>
        </is>
      </c>
      <c r="H6984" s="10" t="inlineStr">
        <is>
          <t>発</t>
        </is>
      </c>
      <c r="J6984" s="10" t="inlineStr">
        <is>
          <t>営業</t>
        </is>
      </c>
      <c r="L6984" t="inlineStr">
        <is>
          <t>15:13:15</t>
        </is>
      </c>
      <c r="M6984" t="inlineStr">
        <is>
          <t>15:13:35</t>
        </is>
      </c>
    </row>
    <row r="6985" ht="15" customHeight="1" s="37">
      <c r="A6985" t="n">
        <v>19</v>
      </c>
      <c r="B6985" s="10" t="inlineStr">
        <is>
          <t>平日</t>
        </is>
      </c>
      <c r="C6985" s="10" t="inlineStr">
        <is>
          <t>北野線</t>
        </is>
      </c>
      <c r="D6985" s="10" t="inlineStr">
        <is>
          <t>上り</t>
        </is>
      </c>
      <c r="E6985" t="inlineStr">
        <is>
          <t>1552</t>
        </is>
      </c>
      <c r="F6985" t="inlineStr">
        <is>
          <t>0354</t>
        </is>
      </c>
      <c r="G6985" s="10" t="inlineStr">
        <is>
          <t>妙心寺</t>
        </is>
      </c>
      <c r="H6985" s="10" t="inlineStr">
        <is>
          <t>発</t>
        </is>
      </c>
      <c r="J6985" s="10" t="inlineStr">
        <is>
          <t>営業</t>
        </is>
      </c>
      <c r="L6985" t="inlineStr">
        <is>
          <t>15:14:35</t>
        </is>
      </c>
      <c r="M6985" t="inlineStr">
        <is>
          <t>15:14:50</t>
        </is>
      </c>
    </row>
    <row r="6986" ht="15" customHeight="1" s="37">
      <c r="A6986" t="n">
        <v>19</v>
      </c>
      <c r="B6986" s="10" t="inlineStr">
        <is>
          <t>平日</t>
        </is>
      </c>
      <c r="C6986" s="10" t="inlineStr">
        <is>
          <t>北野線</t>
        </is>
      </c>
      <c r="D6986" s="10" t="inlineStr">
        <is>
          <t>上り</t>
        </is>
      </c>
      <c r="E6986" t="inlineStr">
        <is>
          <t>1552</t>
        </is>
      </c>
      <c r="F6986" t="inlineStr">
        <is>
          <t>0354</t>
        </is>
      </c>
      <c r="G6986" s="10" t="inlineStr">
        <is>
          <t>龍安寺</t>
        </is>
      </c>
      <c r="H6986" s="10" t="inlineStr">
        <is>
          <t>発</t>
        </is>
      </c>
      <c r="J6986" s="10" t="inlineStr">
        <is>
          <t>営業</t>
        </is>
      </c>
      <c r="L6986" t="inlineStr">
        <is>
          <t>15:15:45</t>
        </is>
      </c>
      <c r="M6986" t="inlineStr">
        <is>
          <t>15:15:55</t>
        </is>
      </c>
    </row>
    <row r="6987" ht="15" customHeight="1" s="37">
      <c r="A6987" t="n">
        <v>19</v>
      </c>
      <c r="B6987" s="10" t="inlineStr">
        <is>
          <t>平日</t>
        </is>
      </c>
      <c r="C6987" s="10" t="inlineStr">
        <is>
          <t>北野線</t>
        </is>
      </c>
      <c r="D6987" s="10" t="inlineStr">
        <is>
          <t>上り</t>
        </is>
      </c>
      <c r="E6987" t="inlineStr">
        <is>
          <t>1552</t>
        </is>
      </c>
      <c r="F6987" t="inlineStr">
        <is>
          <t>0354</t>
        </is>
      </c>
      <c r="G6987" s="10" t="inlineStr">
        <is>
          <t>等持院</t>
        </is>
      </c>
      <c r="H6987" s="10" t="inlineStr">
        <is>
          <t>発</t>
        </is>
      </c>
      <c r="J6987" s="10" t="inlineStr">
        <is>
          <t>営業</t>
        </is>
      </c>
      <c r="L6987" t="inlineStr">
        <is>
          <t>15:16:35</t>
        </is>
      </c>
      <c r="M6987" t="inlineStr">
        <is>
          <t>15:16:55</t>
        </is>
      </c>
    </row>
    <row r="6988" ht="15" customHeight="1" s="37">
      <c r="A6988" t="n">
        <v>19</v>
      </c>
      <c r="B6988" s="10" t="inlineStr">
        <is>
          <t>平日</t>
        </is>
      </c>
      <c r="C6988" s="10" t="inlineStr">
        <is>
          <t>北野線</t>
        </is>
      </c>
      <c r="D6988" s="10" t="inlineStr">
        <is>
          <t>上り</t>
        </is>
      </c>
      <c r="E6988" t="inlineStr">
        <is>
          <t>1552</t>
        </is>
      </c>
      <c r="F6988" t="inlineStr">
        <is>
          <t>0354</t>
        </is>
      </c>
      <c r="G6988" s="10" t="inlineStr">
        <is>
          <t>北野白梅町</t>
        </is>
      </c>
      <c r="H6988" s="10" t="inlineStr">
        <is>
          <t>着</t>
        </is>
      </c>
      <c r="J6988" s="10" t="inlineStr">
        <is>
          <t>営業</t>
        </is>
      </c>
      <c r="L6988" t="inlineStr">
        <is>
          <t>15:18:15</t>
        </is>
      </c>
      <c r="Q6988" t="inlineStr">
        <is>
          <t>1</t>
        </is>
      </c>
    </row>
    <row r="6989" ht="15" customHeight="1" s="37">
      <c r="A6989" t="n">
        <v>19</v>
      </c>
      <c r="B6989" s="10" t="inlineStr">
        <is>
          <t>平日</t>
        </is>
      </c>
      <c r="C6989" s="10" t="inlineStr">
        <is>
          <t>北野線</t>
        </is>
      </c>
      <c r="D6989" s="10" t="inlineStr">
        <is>
          <t>下り</t>
        </is>
      </c>
      <c r="E6989" t="inlineStr">
        <is>
          <t>1555</t>
        </is>
      </c>
      <c r="F6989" t="inlineStr">
        <is>
          <t>0453</t>
        </is>
      </c>
      <c r="G6989" s="10" t="inlineStr">
        <is>
          <t>北野白梅町</t>
        </is>
      </c>
      <c r="H6989" s="10" t="inlineStr">
        <is>
          <t>発</t>
        </is>
      </c>
      <c r="J6989" s="10" t="inlineStr">
        <is>
          <t>営業</t>
        </is>
      </c>
      <c r="M6989" t="inlineStr">
        <is>
          <t>15:23:00</t>
        </is>
      </c>
      <c r="Q6989" t="inlineStr">
        <is>
          <t>1</t>
        </is>
      </c>
    </row>
    <row r="6990" ht="15" customHeight="1" s="37">
      <c r="A6990" t="n">
        <v>19</v>
      </c>
      <c r="B6990" s="10" t="inlineStr">
        <is>
          <t>平日</t>
        </is>
      </c>
      <c r="C6990" s="10" t="inlineStr">
        <is>
          <t>北野線</t>
        </is>
      </c>
      <c r="D6990" s="10" t="inlineStr">
        <is>
          <t>下り</t>
        </is>
      </c>
      <c r="E6990" t="inlineStr">
        <is>
          <t>1555</t>
        </is>
      </c>
      <c r="F6990" t="inlineStr">
        <is>
          <t>0453</t>
        </is>
      </c>
      <c r="G6990" s="10" t="inlineStr">
        <is>
          <t>等持院</t>
        </is>
      </c>
      <c r="H6990" s="10" t="inlineStr">
        <is>
          <t>発</t>
        </is>
      </c>
      <c r="J6990" s="10" t="inlineStr">
        <is>
          <t>営業</t>
        </is>
      </c>
      <c r="L6990" t="inlineStr">
        <is>
          <t>15:24:25</t>
        </is>
      </c>
      <c r="M6990" t="inlineStr">
        <is>
          <t>15:24:35</t>
        </is>
      </c>
    </row>
    <row r="6991" ht="15" customHeight="1" s="37">
      <c r="A6991" t="n">
        <v>19</v>
      </c>
      <c r="B6991" s="10" t="inlineStr">
        <is>
          <t>平日</t>
        </is>
      </c>
      <c r="C6991" s="10" t="inlineStr">
        <is>
          <t>北野線</t>
        </is>
      </c>
      <c r="D6991" s="10" t="inlineStr">
        <is>
          <t>下り</t>
        </is>
      </c>
      <c r="E6991" t="inlineStr">
        <is>
          <t>1555</t>
        </is>
      </c>
      <c r="F6991" t="inlineStr">
        <is>
          <t>0453</t>
        </is>
      </c>
      <c r="G6991" s="10" t="inlineStr">
        <is>
          <t>龍安寺</t>
        </is>
      </c>
      <c r="H6991" s="10" t="inlineStr">
        <is>
          <t>発</t>
        </is>
      </c>
      <c r="J6991" s="10" t="inlineStr">
        <is>
          <t>営業</t>
        </is>
      </c>
      <c r="L6991" t="inlineStr">
        <is>
          <t>15:25:25</t>
        </is>
      </c>
      <c r="M6991" t="inlineStr">
        <is>
          <t>15:25:50</t>
        </is>
      </c>
    </row>
    <row r="6992" ht="15" customHeight="1" s="37">
      <c r="A6992" t="n">
        <v>19</v>
      </c>
      <c r="B6992" s="10" t="inlineStr">
        <is>
          <t>平日</t>
        </is>
      </c>
      <c r="C6992" s="10" t="inlineStr">
        <is>
          <t>北野線</t>
        </is>
      </c>
      <c r="D6992" s="10" t="inlineStr">
        <is>
          <t>下り</t>
        </is>
      </c>
      <c r="E6992" t="inlineStr">
        <is>
          <t>1555</t>
        </is>
      </c>
      <c r="F6992" t="inlineStr">
        <is>
          <t>0453</t>
        </is>
      </c>
      <c r="G6992" s="10" t="inlineStr">
        <is>
          <t>妙心寺</t>
        </is>
      </c>
      <c r="H6992" s="10" t="inlineStr">
        <is>
          <t>発</t>
        </is>
      </c>
      <c r="J6992" s="10" t="inlineStr">
        <is>
          <t>営業</t>
        </is>
      </c>
      <c r="L6992" t="inlineStr">
        <is>
          <t>15:26:40</t>
        </is>
      </c>
      <c r="M6992" t="inlineStr">
        <is>
          <t>15:26:50</t>
        </is>
      </c>
    </row>
    <row r="6993" ht="15" customHeight="1" s="37">
      <c r="A6993" t="n">
        <v>19</v>
      </c>
      <c r="B6993" s="10" t="inlineStr">
        <is>
          <t>平日</t>
        </is>
      </c>
      <c r="C6993" s="10" t="inlineStr">
        <is>
          <t>北野線</t>
        </is>
      </c>
      <c r="D6993" s="10" t="inlineStr">
        <is>
          <t>下り</t>
        </is>
      </c>
      <c r="E6993" t="inlineStr">
        <is>
          <t>1555</t>
        </is>
      </c>
      <c r="F6993" t="inlineStr">
        <is>
          <t>0453</t>
        </is>
      </c>
      <c r="G6993" s="10" t="inlineStr">
        <is>
          <t>御室仁和寺</t>
        </is>
      </c>
      <c r="H6993" s="10" t="inlineStr">
        <is>
          <t>発</t>
        </is>
      </c>
      <c r="J6993" s="10" t="inlineStr">
        <is>
          <t>営業</t>
        </is>
      </c>
      <c r="L6993" t="inlineStr">
        <is>
          <t>15:27:50</t>
        </is>
      </c>
      <c r="M6993" t="inlineStr">
        <is>
          <t>15:28:05</t>
        </is>
      </c>
    </row>
    <row r="6994" ht="15" customHeight="1" s="37">
      <c r="A6994" t="n">
        <v>19</v>
      </c>
      <c r="B6994" s="10" t="inlineStr">
        <is>
          <t>平日</t>
        </is>
      </c>
      <c r="C6994" s="10" t="inlineStr">
        <is>
          <t>北野線</t>
        </is>
      </c>
      <c r="D6994" s="10" t="inlineStr">
        <is>
          <t>下り</t>
        </is>
      </c>
      <c r="E6994" t="inlineStr">
        <is>
          <t>1555</t>
        </is>
      </c>
      <c r="F6994" t="inlineStr">
        <is>
          <t>0453</t>
        </is>
      </c>
      <c r="G6994" s="10" t="inlineStr">
        <is>
          <t>宇多野</t>
        </is>
      </c>
      <c r="H6994" s="10" t="inlineStr">
        <is>
          <t>発</t>
        </is>
      </c>
      <c r="J6994" s="10" t="inlineStr">
        <is>
          <t>営業</t>
        </is>
      </c>
      <c r="L6994" t="inlineStr">
        <is>
          <t>15:29:05</t>
        </is>
      </c>
      <c r="M6994" t="inlineStr">
        <is>
          <t>15:29:15</t>
        </is>
      </c>
    </row>
    <row r="6995" ht="15" customHeight="1" s="37">
      <c r="A6995" t="n">
        <v>19</v>
      </c>
      <c r="B6995" s="10" t="inlineStr">
        <is>
          <t>平日</t>
        </is>
      </c>
      <c r="C6995" s="10" t="inlineStr">
        <is>
          <t>北野線</t>
        </is>
      </c>
      <c r="D6995" s="10" t="inlineStr">
        <is>
          <t>下り</t>
        </is>
      </c>
      <c r="E6995" t="inlineStr">
        <is>
          <t>1555</t>
        </is>
      </c>
      <c r="F6995" t="inlineStr">
        <is>
          <t>0453</t>
        </is>
      </c>
      <c r="G6995" s="10" t="inlineStr">
        <is>
          <t>鳴滝</t>
        </is>
      </c>
      <c r="H6995" s="10" t="inlineStr">
        <is>
          <t>発</t>
        </is>
      </c>
      <c r="J6995" s="10" t="inlineStr">
        <is>
          <t>営業</t>
        </is>
      </c>
      <c r="L6995" t="inlineStr">
        <is>
          <t>15:30:35</t>
        </is>
      </c>
      <c r="M6995" t="inlineStr">
        <is>
          <t>15:30:45</t>
        </is>
      </c>
    </row>
    <row r="6996" ht="15" customHeight="1" s="37">
      <c r="A6996" t="n">
        <v>19</v>
      </c>
      <c r="B6996" s="10" t="inlineStr">
        <is>
          <t>平日</t>
        </is>
      </c>
      <c r="C6996" s="10" t="inlineStr">
        <is>
          <t>北野線</t>
        </is>
      </c>
      <c r="D6996" s="10" t="inlineStr">
        <is>
          <t>下り</t>
        </is>
      </c>
      <c r="E6996" t="inlineStr">
        <is>
          <t>1555</t>
        </is>
      </c>
      <c r="F6996" t="inlineStr">
        <is>
          <t>0453</t>
        </is>
      </c>
      <c r="G6996" s="10" t="inlineStr">
        <is>
          <t>常盤</t>
        </is>
      </c>
      <c r="H6996" s="10" t="inlineStr">
        <is>
          <t>発</t>
        </is>
      </c>
      <c r="J6996" s="10" t="inlineStr">
        <is>
          <t>営業</t>
        </is>
      </c>
      <c r="L6996" t="inlineStr">
        <is>
          <t>15:31:35</t>
        </is>
      </c>
      <c r="M6996" t="inlineStr">
        <is>
          <t>15:31:55</t>
        </is>
      </c>
    </row>
    <row r="6997" ht="15" customHeight="1" s="37">
      <c r="A6997" t="n">
        <v>19</v>
      </c>
      <c r="B6997" s="10" t="inlineStr">
        <is>
          <t>平日</t>
        </is>
      </c>
      <c r="C6997" s="10" t="inlineStr">
        <is>
          <t>北野線</t>
        </is>
      </c>
      <c r="D6997" s="10" t="inlineStr">
        <is>
          <t>下り</t>
        </is>
      </c>
      <c r="E6997" t="inlineStr">
        <is>
          <t>1555</t>
        </is>
      </c>
      <c r="F6997" t="inlineStr">
        <is>
          <t>0453</t>
        </is>
      </c>
      <c r="G6997" s="10" t="inlineStr">
        <is>
          <t>撮影所前</t>
        </is>
      </c>
      <c r="H6997" s="10" t="inlineStr">
        <is>
          <t>発</t>
        </is>
      </c>
      <c r="J6997" s="10" t="inlineStr">
        <is>
          <t>営業</t>
        </is>
      </c>
      <c r="L6997" t="inlineStr">
        <is>
          <t>15:33:15</t>
        </is>
      </c>
      <c r="M6997" t="inlineStr">
        <is>
          <t>15:33:30</t>
        </is>
      </c>
    </row>
    <row r="6998" ht="15" customHeight="1" s="37">
      <c r="A6998" t="n">
        <v>19</v>
      </c>
      <c r="B6998" s="10" t="inlineStr">
        <is>
          <t>平日</t>
        </is>
      </c>
      <c r="C6998" s="10" t="inlineStr">
        <is>
          <t>北野線</t>
        </is>
      </c>
      <c r="D6998" s="10" t="inlineStr">
        <is>
          <t>下り</t>
        </is>
      </c>
      <c r="E6998" t="inlineStr">
        <is>
          <t>1555</t>
        </is>
      </c>
      <c r="F6998" t="inlineStr">
        <is>
          <t>0453</t>
        </is>
      </c>
      <c r="G6998" s="10" t="inlineStr">
        <is>
          <t>帷子ノ辻</t>
        </is>
      </c>
      <c r="H6998" s="10" t="inlineStr">
        <is>
          <t>着</t>
        </is>
      </c>
      <c r="J6998" s="10" t="inlineStr">
        <is>
          <t>営業</t>
        </is>
      </c>
      <c r="L6998" t="inlineStr">
        <is>
          <t>15:34:25</t>
        </is>
      </c>
      <c r="Q6998" t="inlineStr">
        <is>
          <t>4</t>
        </is>
      </c>
      <c r="T6998" t="inlineStr">
        <is>
          <t>○</t>
        </is>
      </c>
    </row>
    <row r="6999" ht="15" customHeight="1" s="37">
      <c r="A6999" t="n">
        <v>19</v>
      </c>
      <c r="B6999" s="10" t="inlineStr">
        <is>
          <t>平日</t>
        </is>
      </c>
      <c r="C6999" s="10" t="inlineStr">
        <is>
          <t>本線</t>
        </is>
      </c>
      <c r="D6999" s="10" t="inlineStr">
        <is>
          <t>上り</t>
        </is>
      </c>
      <c r="E6999" t="inlineStr">
        <is>
          <t>19系統⑬便乗</t>
        </is>
      </c>
      <c r="F6999" s="10" t="inlineStr">
        <is>
          <t>便乗</t>
        </is>
      </c>
      <c r="G6999" s="10" t="inlineStr">
        <is>
          <t>帷子ノ辻</t>
        </is>
      </c>
      <c r="H6999" s="10" t="inlineStr">
        <is>
          <t>発</t>
        </is>
      </c>
      <c r="J6999" s="10" t="inlineStr">
        <is>
          <t>便乗</t>
        </is>
      </c>
      <c r="L6999" t="inlineStr">
        <is>
          <t>15:50:10</t>
        </is>
      </c>
      <c r="M6999" t="inlineStr">
        <is>
          <t>15:51:15</t>
        </is>
      </c>
      <c r="S6999" t="inlineStr">
        <is>
          <t>連1510</t>
        </is>
      </c>
    </row>
    <row r="7000" ht="15" customHeight="1" s="37">
      <c r="A7000" t="n">
        <v>19</v>
      </c>
      <c r="B7000" s="10" t="inlineStr">
        <is>
          <t>平日</t>
        </is>
      </c>
      <c r="C7000" s="10" t="inlineStr">
        <is>
          <t>本線</t>
        </is>
      </c>
      <c r="D7000" s="10" t="inlineStr">
        <is>
          <t>上り</t>
        </is>
      </c>
      <c r="E7000" t="inlineStr">
        <is>
          <t>19系統⑬便乗</t>
        </is>
      </c>
      <c r="F7000" s="10" t="inlineStr">
        <is>
          <t>便乗</t>
        </is>
      </c>
      <c r="G7000" s="10" t="inlineStr">
        <is>
          <t>太秦広隆寺</t>
        </is>
      </c>
      <c r="H7000" s="10" t="inlineStr">
        <is>
          <t>発</t>
        </is>
      </c>
      <c r="J7000" s="10" t="inlineStr">
        <is>
          <t>便乗</t>
        </is>
      </c>
      <c r="L7000" t="inlineStr">
        <is>
          <t>15:53:25</t>
        </is>
      </c>
      <c r="M7000" t="inlineStr">
        <is>
          <t>15:53:45</t>
        </is>
      </c>
      <c r="S7000" t="inlineStr">
        <is>
          <t>連1510</t>
        </is>
      </c>
    </row>
    <row r="7001" ht="15" customHeight="1" s="37">
      <c r="A7001" t="n">
        <v>19</v>
      </c>
      <c r="B7001" s="10" t="inlineStr">
        <is>
          <t>平日</t>
        </is>
      </c>
      <c r="C7001" s="10" t="inlineStr">
        <is>
          <t>本線</t>
        </is>
      </c>
      <c r="D7001" s="10" t="inlineStr">
        <is>
          <t>上り</t>
        </is>
      </c>
      <c r="E7001" t="inlineStr">
        <is>
          <t>19系統⑬便乗</t>
        </is>
      </c>
      <c r="F7001" s="10" t="inlineStr">
        <is>
          <t>便乗</t>
        </is>
      </c>
      <c r="G7001" s="10" t="inlineStr">
        <is>
          <t>蚕ノ社</t>
        </is>
      </c>
      <c r="H7001" s="10" t="inlineStr">
        <is>
          <t>発</t>
        </is>
      </c>
      <c r="J7001" s="10" t="inlineStr">
        <is>
          <t>便乗</t>
        </is>
      </c>
      <c r="L7001" t="inlineStr">
        <is>
          <t>15:55:00</t>
        </is>
      </c>
      <c r="M7001" t="inlineStr">
        <is>
          <t>15:55:20</t>
        </is>
      </c>
      <c r="S7001" t="inlineStr">
        <is>
          <t>連1510</t>
        </is>
      </c>
    </row>
    <row r="7002" ht="15" customHeight="1" s="37">
      <c r="A7002" t="n">
        <v>19</v>
      </c>
      <c r="B7002" s="10" t="inlineStr">
        <is>
          <t>平日</t>
        </is>
      </c>
      <c r="C7002" s="10" t="inlineStr">
        <is>
          <t>本線</t>
        </is>
      </c>
      <c r="D7002" s="10" t="inlineStr">
        <is>
          <t>上り</t>
        </is>
      </c>
      <c r="E7002" t="inlineStr">
        <is>
          <t>19系統⑬便乗</t>
        </is>
      </c>
      <c r="F7002" s="10" t="inlineStr">
        <is>
          <t>便乗</t>
        </is>
      </c>
      <c r="G7002" s="10" t="inlineStr">
        <is>
          <t>天神川</t>
        </is>
      </c>
      <c r="H7002" s="10" t="inlineStr">
        <is>
          <t>発</t>
        </is>
      </c>
      <c r="J7002" s="10" t="inlineStr">
        <is>
          <t>便乗</t>
        </is>
      </c>
      <c r="L7002" t="inlineStr">
        <is>
          <t>15:56:05</t>
        </is>
      </c>
      <c r="M7002" t="inlineStr">
        <is>
          <t>15:56:50</t>
        </is>
      </c>
      <c r="S7002" t="inlineStr">
        <is>
          <t>連1510</t>
        </is>
      </c>
    </row>
    <row r="7003" ht="15" customHeight="1" s="37">
      <c r="A7003" t="n">
        <v>19</v>
      </c>
      <c r="B7003" s="10" t="inlineStr">
        <is>
          <t>平日</t>
        </is>
      </c>
      <c r="C7003" s="10" t="inlineStr">
        <is>
          <t>本線</t>
        </is>
      </c>
      <c r="D7003" s="10" t="inlineStr">
        <is>
          <t>上り</t>
        </is>
      </c>
      <c r="E7003" t="inlineStr">
        <is>
          <t>19系統⑬便乗</t>
        </is>
      </c>
      <c r="F7003" s="10" t="inlineStr">
        <is>
          <t>便乗</t>
        </is>
      </c>
      <c r="G7003" s="10" t="inlineStr">
        <is>
          <t>山ノ内</t>
        </is>
      </c>
      <c r="H7003" s="10" t="inlineStr">
        <is>
          <t>発</t>
        </is>
      </c>
      <c r="J7003" s="10" t="inlineStr">
        <is>
          <t>便乗</t>
        </is>
      </c>
      <c r="L7003" t="inlineStr">
        <is>
          <t>15:58:40</t>
        </is>
      </c>
      <c r="M7003" t="inlineStr">
        <is>
          <t>15:59:05</t>
        </is>
      </c>
      <c r="S7003" t="inlineStr">
        <is>
          <t>連1510</t>
        </is>
      </c>
    </row>
    <row r="7004" ht="15" customHeight="1" s="37">
      <c r="A7004" t="n">
        <v>19</v>
      </c>
      <c r="B7004" s="10" t="inlineStr">
        <is>
          <t>平日</t>
        </is>
      </c>
      <c r="C7004" s="10" t="inlineStr">
        <is>
          <t>本線</t>
        </is>
      </c>
      <c r="D7004" s="10" t="inlineStr">
        <is>
          <t>上り</t>
        </is>
      </c>
      <c r="E7004" t="inlineStr">
        <is>
          <t>19系統⑬便乗</t>
        </is>
      </c>
      <c r="F7004" s="10" t="inlineStr">
        <is>
          <t>便乗</t>
        </is>
      </c>
      <c r="G7004" s="10" t="inlineStr">
        <is>
          <t>西大路三条</t>
        </is>
      </c>
      <c r="H7004" s="10" t="inlineStr">
        <is>
          <t>発</t>
        </is>
      </c>
      <c r="J7004" s="10" t="inlineStr">
        <is>
          <t>便乗</t>
        </is>
      </c>
      <c r="L7004" t="inlineStr">
        <is>
          <t>16:00:55</t>
        </is>
      </c>
      <c r="M7004" t="inlineStr">
        <is>
          <t>16:01:15</t>
        </is>
      </c>
      <c r="S7004" t="inlineStr">
        <is>
          <t>連1510</t>
        </is>
      </c>
    </row>
    <row r="7005" ht="15" customHeight="1" s="37">
      <c r="A7005" t="n">
        <v>19</v>
      </c>
      <c r="B7005" s="10" t="inlineStr">
        <is>
          <t>平日</t>
        </is>
      </c>
      <c r="C7005" s="10" t="inlineStr">
        <is>
          <t>本線</t>
        </is>
      </c>
      <c r="D7005" s="10" t="inlineStr">
        <is>
          <t>上り</t>
        </is>
      </c>
      <c r="E7005" t="inlineStr">
        <is>
          <t>19系統⑬便乗</t>
        </is>
      </c>
      <c r="F7005" s="10" t="inlineStr">
        <is>
          <t>便乗</t>
        </is>
      </c>
      <c r="G7005" s="10" t="inlineStr">
        <is>
          <t>西院</t>
        </is>
      </c>
      <c r="H7005" s="10" t="inlineStr">
        <is>
          <t>着</t>
        </is>
      </c>
      <c r="J7005" s="10" t="inlineStr">
        <is>
          <t>便乗</t>
        </is>
      </c>
      <c r="L7005" t="inlineStr">
        <is>
          <t>16:03:10</t>
        </is>
      </c>
      <c r="M7005" t="inlineStr">
        <is>
          <t>16:04:05</t>
        </is>
      </c>
      <c r="S7005" t="inlineStr">
        <is>
          <t>連1510</t>
        </is>
      </c>
    </row>
    <row r="7006" ht="15" customHeight="1" s="37">
      <c r="A7006" t="n">
        <v>19</v>
      </c>
      <c r="B7006" s="10" t="inlineStr">
        <is>
          <t>平日</t>
        </is>
      </c>
      <c r="C7006" s="10" t="inlineStr">
        <is>
          <t>本線</t>
        </is>
      </c>
      <c r="D7006" s="10" t="inlineStr">
        <is>
          <t>下り</t>
        </is>
      </c>
      <c r="E7006" t="inlineStr">
        <is>
          <t>19系統⑱便乗</t>
        </is>
      </c>
      <c r="F7006" s="10" t="inlineStr">
        <is>
          <t>便乗</t>
        </is>
      </c>
      <c r="G7006" s="10" t="inlineStr">
        <is>
          <t>西院</t>
        </is>
      </c>
      <c r="H7006" s="10" t="inlineStr">
        <is>
          <t>発</t>
        </is>
      </c>
      <c r="J7006" s="10" t="inlineStr">
        <is>
          <t>便乗</t>
        </is>
      </c>
      <c r="M7006" t="inlineStr">
        <is>
          <t>6:40:20</t>
        </is>
      </c>
      <c r="S7006" t="inlineStr">
        <is>
          <t>回0691</t>
        </is>
      </c>
    </row>
    <row r="7007" ht="15" customHeight="1" s="37">
      <c r="A7007" t="n">
        <v>19</v>
      </c>
      <c r="B7007" s="10" t="inlineStr">
        <is>
          <t>平日</t>
        </is>
      </c>
      <c r="C7007" s="10" t="inlineStr">
        <is>
          <t>本線</t>
        </is>
      </c>
      <c r="D7007" s="10" t="inlineStr">
        <is>
          <t>下り</t>
        </is>
      </c>
      <c r="E7007" t="inlineStr">
        <is>
          <t>19系統⑱便乗</t>
        </is>
      </c>
      <c r="F7007" s="10" t="inlineStr">
        <is>
          <t>便乗</t>
        </is>
      </c>
      <c r="G7007" s="10" t="inlineStr">
        <is>
          <t>西大路三条</t>
        </is>
      </c>
      <c r="H7007" s="10" t="inlineStr">
        <is>
          <t>発</t>
        </is>
      </c>
      <c r="J7007" s="10" t="inlineStr">
        <is>
          <t>便乗</t>
        </is>
      </c>
      <c r="L7007" t="inlineStr">
        <is>
          <t>6:42:10</t>
        </is>
      </c>
      <c r="M7007" t="inlineStr">
        <is>
          <t>6:42:25</t>
        </is>
      </c>
      <c r="S7007" t="inlineStr">
        <is>
          <t>回0691</t>
        </is>
      </c>
    </row>
    <row r="7008" ht="15" customHeight="1" s="37">
      <c r="A7008" t="n">
        <v>19</v>
      </c>
      <c r="B7008" s="10" t="inlineStr">
        <is>
          <t>平日</t>
        </is>
      </c>
      <c r="C7008" s="10" t="inlineStr">
        <is>
          <t>本線</t>
        </is>
      </c>
      <c r="D7008" s="10" t="inlineStr">
        <is>
          <t>下り</t>
        </is>
      </c>
      <c r="E7008" t="inlineStr">
        <is>
          <t>19系統⑱便乗</t>
        </is>
      </c>
      <c r="F7008" s="10" t="inlineStr">
        <is>
          <t>便乗</t>
        </is>
      </c>
      <c r="G7008" s="10" t="inlineStr">
        <is>
          <t>山ノ内</t>
        </is>
      </c>
      <c r="H7008" s="10" t="inlineStr">
        <is>
          <t>発</t>
        </is>
      </c>
      <c r="J7008" s="10" t="inlineStr">
        <is>
          <t>便乗</t>
        </is>
      </c>
      <c r="L7008" t="inlineStr">
        <is>
          <t>6:44:20</t>
        </is>
      </c>
      <c r="M7008" t="inlineStr">
        <is>
          <t>6:44:45</t>
        </is>
      </c>
      <c r="S7008" t="inlineStr">
        <is>
          <t>回0691</t>
        </is>
      </c>
    </row>
    <row r="7009" ht="15" customHeight="1" s="37">
      <c r="A7009" t="n">
        <v>19</v>
      </c>
      <c r="B7009" s="10" t="inlineStr">
        <is>
          <t>平日</t>
        </is>
      </c>
      <c r="C7009" s="10" t="inlineStr">
        <is>
          <t>本線</t>
        </is>
      </c>
      <c r="D7009" s="10" t="inlineStr">
        <is>
          <t>下り</t>
        </is>
      </c>
      <c r="E7009" t="inlineStr">
        <is>
          <t>19系統⑱便乗</t>
        </is>
      </c>
      <c r="F7009" s="10" t="inlineStr">
        <is>
          <t>便乗</t>
        </is>
      </c>
      <c r="G7009" s="10" t="inlineStr">
        <is>
          <t>天神川</t>
        </is>
      </c>
      <c r="H7009" s="10" t="inlineStr">
        <is>
          <t>発</t>
        </is>
      </c>
      <c r="J7009" s="10" t="inlineStr">
        <is>
          <t>便乗</t>
        </is>
      </c>
      <c r="L7009" t="inlineStr">
        <is>
          <t>6:46:45</t>
        </is>
      </c>
      <c r="M7009" t="inlineStr">
        <is>
          <t>6:47:10</t>
        </is>
      </c>
      <c r="S7009" t="inlineStr">
        <is>
          <t>回0691</t>
        </is>
      </c>
    </row>
    <row r="7010" ht="15" customHeight="1" s="37">
      <c r="A7010" t="n">
        <v>19</v>
      </c>
      <c r="B7010" s="10" t="inlineStr">
        <is>
          <t>平日</t>
        </is>
      </c>
      <c r="C7010" s="10" t="inlineStr">
        <is>
          <t>本線</t>
        </is>
      </c>
      <c r="D7010" s="10" t="inlineStr">
        <is>
          <t>下り</t>
        </is>
      </c>
      <c r="E7010" t="inlineStr">
        <is>
          <t>19系統⑱便乗</t>
        </is>
      </c>
      <c r="F7010" s="10" t="inlineStr">
        <is>
          <t>便乗</t>
        </is>
      </c>
      <c r="G7010" s="10" t="inlineStr">
        <is>
          <t>蚕ノ社</t>
        </is>
      </c>
      <c r="H7010" s="10" t="inlineStr">
        <is>
          <t>発</t>
        </is>
      </c>
      <c r="J7010" s="10" t="inlineStr">
        <is>
          <t>便乗</t>
        </is>
      </c>
      <c r="L7010" t="inlineStr">
        <is>
          <t>6:48:00</t>
        </is>
      </c>
      <c r="M7010" t="inlineStr">
        <is>
          <t>6:48:15</t>
        </is>
      </c>
      <c r="S7010" t="inlineStr">
        <is>
          <t>回0691</t>
        </is>
      </c>
    </row>
    <row r="7011" ht="15" customHeight="1" s="37">
      <c r="A7011" t="n">
        <v>19</v>
      </c>
      <c r="B7011" s="10" t="inlineStr">
        <is>
          <t>平日</t>
        </is>
      </c>
      <c r="C7011" s="10" t="inlineStr">
        <is>
          <t>本線</t>
        </is>
      </c>
      <c r="D7011" s="10" t="inlineStr">
        <is>
          <t>下り</t>
        </is>
      </c>
      <c r="E7011" t="inlineStr">
        <is>
          <t>19系統⑱便乗</t>
        </is>
      </c>
      <c r="F7011" s="10" t="inlineStr">
        <is>
          <t>便乗</t>
        </is>
      </c>
      <c r="G7011" s="10" t="inlineStr">
        <is>
          <t>太秦広隆寺</t>
        </is>
      </c>
      <c r="H7011" s="10" t="inlineStr">
        <is>
          <t>発</t>
        </is>
      </c>
      <c r="J7011" s="10" t="inlineStr">
        <is>
          <t>便乗</t>
        </is>
      </c>
      <c r="L7011" t="inlineStr">
        <is>
          <t>6:49:35</t>
        </is>
      </c>
      <c r="M7011" t="inlineStr">
        <is>
          <t>6:49:50</t>
        </is>
      </c>
      <c r="S7011" t="inlineStr">
        <is>
          <t>回0691</t>
        </is>
      </c>
    </row>
    <row r="7012" ht="15" customHeight="1" s="37">
      <c r="A7012" t="n">
        <v>19</v>
      </c>
      <c r="B7012" s="10" t="inlineStr">
        <is>
          <t>平日</t>
        </is>
      </c>
      <c r="C7012" s="10" t="inlineStr">
        <is>
          <t>本線</t>
        </is>
      </c>
      <c r="D7012" s="10" t="inlineStr">
        <is>
          <t>下り</t>
        </is>
      </c>
      <c r="E7012" t="inlineStr">
        <is>
          <t>19系統⑱便乗</t>
        </is>
      </c>
      <c r="F7012" s="10" t="inlineStr">
        <is>
          <t>便乗</t>
        </is>
      </c>
      <c r="G7012" s="10" t="inlineStr">
        <is>
          <t>帷子ノ辻</t>
        </is>
      </c>
      <c r="H7012" s="10" t="inlineStr">
        <is>
          <t>着</t>
        </is>
      </c>
      <c r="J7012" s="10" t="inlineStr">
        <is>
          <t>便乗</t>
        </is>
      </c>
      <c r="L7012" t="inlineStr">
        <is>
          <t>6:51:50</t>
        </is>
      </c>
      <c r="S7012" t="inlineStr">
        <is>
          <t>回0691</t>
        </is>
      </c>
    </row>
    <row r="7013" ht="15" customHeight="1" s="37">
      <c r="A7013" t="n">
        <v>2</v>
      </c>
      <c r="B7013" s="10" t="inlineStr">
        <is>
          <t>平日</t>
        </is>
      </c>
      <c r="C7013" s="10" t="inlineStr">
        <is>
          <t>本線</t>
        </is>
      </c>
      <c r="D7013" s="10" t="inlineStr">
        <is>
          <t>下り</t>
        </is>
      </c>
      <c r="E7013" t="inlineStr">
        <is>
          <t>1005</t>
        </is>
      </c>
      <c r="F7013" t="inlineStr">
        <is>
          <t>0112</t>
        </is>
      </c>
      <c r="G7013" s="10" t="inlineStr">
        <is>
          <t>西院</t>
        </is>
      </c>
      <c r="H7013" s="10" t="inlineStr">
        <is>
          <t>発</t>
        </is>
      </c>
      <c r="J7013" s="10" t="inlineStr">
        <is>
          <t>営業</t>
        </is>
      </c>
      <c r="L7013" t="inlineStr">
        <is>
          <t>10:25:50</t>
        </is>
      </c>
      <c r="M7013" t="inlineStr">
        <is>
          <t>10:26:20</t>
        </is>
      </c>
    </row>
    <row r="7014" ht="15" customHeight="1" s="37">
      <c r="A7014" t="n">
        <v>2</v>
      </c>
      <c r="B7014" s="10" t="inlineStr">
        <is>
          <t>平日</t>
        </is>
      </c>
      <c r="C7014" s="10" t="inlineStr">
        <is>
          <t>本線</t>
        </is>
      </c>
      <c r="D7014" s="10" t="inlineStr">
        <is>
          <t>下り</t>
        </is>
      </c>
      <c r="E7014" t="inlineStr">
        <is>
          <t>1005</t>
        </is>
      </c>
      <c r="F7014" t="inlineStr">
        <is>
          <t>0112</t>
        </is>
      </c>
      <c r="G7014" s="10" t="inlineStr">
        <is>
          <t>西大路三条</t>
        </is>
      </c>
      <c r="H7014" s="10" t="inlineStr">
        <is>
          <t>発</t>
        </is>
      </c>
      <c r="J7014" s="10" t="inlineStr">
        <is>
          <t>営業</t>
        </is>
      </c>
      <c r="L7014" t="inlineStr">
        <is>
          <t>10:28:10</t>
        </is>
      </c>
      <c r="M7014" t="inlineStr">
        <is>
          <t>10:28:30</t>
        </is>
      </c>
    </row>
    <row r="7015" ht="15" customHeight="1" s="37">
      <c r="A7015" t="n">
        <v>2</v>
      </c>
      <c r="B7015" s="10" t="inlineStr">
        <is>
          <t>平日</t>
        </is>
      </c>
      <c r="C7015" s="10" t="inlineStr">
        <is>
          <t>本線</t>
        </is>
      </c>
      <c r="D7015" s="10" t="inlineStr">
        <is>
          <t>下り</t>
        </is>
      </c>
      <c r="E7015" t="inlineStr">
        <is>
          <t>1005</t>
        </is>
      </c>
      <c r="F7015" t="inlineStr">
        <is>
          <t>0112</t>
        </is>
      </c>
      <c r="G7015" s="10" t="inlineStr">
        <is>
          <t>山ノ内</t>
        </is>
      </c>
      <c r="H7015" s="10" t="inlineStr">
        <is>
          <t>発</t>
        </is>
      </c>
      <c r="J7015" s="10" t="inlineStr">
        <is>
          <t>営業</t>
        </is>
      </c>
      <c r="L7015" t="inlineStr">
        <is>
          <t>10:30:25</t>
        </is>
      </c>
      <c r="M7015" t="inlineStr">
        <is>
          <t>10:30:50</t>
        </is>
      </c>
    </row>
    <row r="7016" ht="15" customHeight="1" s="37">
      <c r="A7016" t="n">
        <v>2</v>
      </c>
      <c r="B7016" s="10" t="inlineStr">
        <is>
          <t>平日</t>
        </is>
      </c>
      <c r="C7016" s="10" t="inlineStr">
        <is>
          <t>本線</t>
        </is>
      </c>
      <c r="D7016" s="10" t="inlineStr">
        <is>
          <t>下り</t>
        </is>
      </c>
      <c r="E7016" t="inlineStr">
        <is>
          <t>1005</t>
        </is>
      </c>
      <c r="F7016" t="inlineStr">
        <is>
          <t>0112</t>
        </is>
      </c>
      <c r="G7016" s="10" t="inlineStr">
        <is>
          <t>天神川</t>
        </is>
      </c>
      <c r="H7016" s="10" t="inlineStr">
        <is>
          <t>発</t>
        </is>
      </c>
      <c r="J7016" s="10" t="inlineStr">
        <is>
          <t>営業</t>
        </is>
      </c>
      <c r="L7016" t="inlineStr">
        <is>
          <t>10:32:50</t>
        </is>
      </c>
      <c r="M7016" t="inlineStr">
        <is>
          <t>10:33:30</t>
        </is>
      </c>
    </row>
    <row r="7017" ht="15" customHeight="1" s="37">
      <c r="A7017" t="n">
        <v>2</v>
      </c>
      <c r="B7017" s="10" t="inlineStr">
        <is>
          <t>平日</t>
        </is>
      </c>
      <c r="C7017" s="10" t="inlineStr">
        <is>
          <t>本線</t>
        </is>
      </c>
      <c r="D7017" s="10" t="inlineStr">
        <is>
          <t>下り</t>
        </is>
      </c>
      <c r="E7017" t="inlineStr">
        <is>
          <t>1005</t>
        </is>
      </c>
      <c r="F7017" t="inlineStr">
        <is>
          <t>0112</t>
        </is>
      </c>
      <c r="G7017" s="10" t="inlineStr">
        <is>
          <t>蚕ノ社</t>
        </is>
      </c>
      <c r="H7017" s="10" t="inlineStr">
        <is>
          <t>発</t>
        </is>
      </c>
      <c r="J7017" s="10" t="inlineStr">
        <is>
          <t>営業</t>
        </is>
      </c>
      <c r="L7017" t="inlineStr">
        <is>
          <t>10:34:20</t>
        </is>
      </c>
      <c r="M7017" t="inlineStr">
        <is>
          <t>10:34:40</t>
        </is>
      </c>
    </row>
    <row r="7018" ht="15" customHeight="1" s="37">
      <c r="A7018" t="n">
        <v>2</v>
      </c>
      <c r="B7018" s="10" t="inlineStr">
        <is>
          <t>平日</t>
        </is>
      </c>
      <c r="C7018" s="10" t="inlineStr">
        <is>
          <t>本線</t>
        </is>
      </c>
      <c r="D7018" s="10" t="inlineStr">
        <is>
          <t>下り</t>
        </is>
      </c>
      <c r="E7018" t="inlineStr">
        <is>
          <t>1005</t>
        </is>
      </c>
      <c r="F7018" t="inlineStr">
        <is>
          <t>0112</t>
        </is>
      </c>
      <c r="G7018" s="10" t="inlineStr">
        <is>
          <t>太秦広隆寺</t>
        </is>
      </c>
      <c r="H7018" s="10" t="inlineStr">
        <is>
          <t>発</t>
        </is>
      </c>
      <c r="J7018" s="10" t="inlineStr">
        <is>
          <t>営業</t>
        </is>
      </c>
      <c r="L7018" t="inlineStr">
        <is>
          <t>10:36:00</t>
        </is>
      </c>
      <c r="M7018" t="inlineStr">
        <is>
          <t>10:36:20</t>
        </is>
      </c>
    </row>
    <row r="7019" ht="15" customHeight="1" s="37">
      <c r="A7019" t="n">
        <v>2</v>
      </c>
      <c r="B7019" s="10" t="inlineStr">
        <is>
          <t>平日</t>
        </is>
      </c>
      <c r="C7019" s="10" t="inlineStr">
        <is>
          <t>本線</t>
        </is>
      </c>
      <c r="D7019" s="10" t="inlineStr">
        <is>
          <t>下り</t>
        </is>
      </c>
      <c r="E7019" t="inlineStr">
        <is>
          <t>1005</t>
        </is>
      </c>
      <c r="F7019" t="inlineStr">
        <is>
          <t>0112</t>
        </is>
      </c>
      <c r="G7019" s="10" t="inlineStr">
        <is>
          <t>帷子ノ辻</t>
        </is>
      </c>
      <c r="H7019" s="10" t="inlineStr">
        <is>
          <t>発</t>
        </is>
      </c>
      <c r="J7019" s="10" t="inlineStr">
        <is>
          <t>営業</t>
        </is>
      </c>
      <c r="L7019" t="inlineStr">
        <is>
          <t>10:38:20</t>
        </is>
      </c>
      <c r="M7019" t="inlineStr">
        <is>
          <t>10:39:40</t>
        </is>
      </c>
    </row>
    <row r="7020" ht="15" customHeight="1" s="37">
      <c r="A7020" t="n">
        <v>2</v>
      </c>
      <c r="B7020" s="10" t="inlineStr">
        <is>
          <t>平日</t>
        </is>
      </c>
      <c r="C7020" s="10" t="inlineStr">
        <is>
          <t>本線</t>
        </is>
      </c>
      <c r="D7020" s="10" t="inlineStr">
        <is>
          <t>下り</t>
        </is>
      </c>
      <c r="E7020" t="inlineStr">
        <is>
          <t>1005</t>
        </is>
      </c>
      <c r="F7020" t="inlineStr">
        <is>
          <t>0112</t>
        </is>
      </c>
      <c r="G7020" s="10" t="inlineStr">
        <is>
          <t>有栖川</t>
        </is>
      </c>
      <c r="H7020" s="10" t="inlineStr">
        <is>
          <t>発</t>
        </is>
      </c>
      <c r="J7020" s="10" t="inlineStr">
        <is>
          <t>営業</t>
        </is>
      </c>
      <c r="L7020" t="inlineStr">
        <is>
          <t>10:40:50</t>
        </is>
      </c>
      <c r="M7020" t="inlineStr">
        <is>
          <t>10:41:15</t>
        </is>
      </c>
    </row>
    <row r="7021" ht="15" customHeight="1" s="37">
      <c r="A7021" t="n">
        <v>2</v>
      </c>
      <c r="B7021" s="10" t="inlineStr">
        <is>
          <t>平日</t>
        </is>
      </c>
      <c r="C7021" s="10" t="inlineStr">
        <is>
          <t>本線</t>
        </is>
      </c>
      <c r="D7021" s="10" t="inlineStr">
        <is>
          <t>下り</t>
        </is>
      </c>
      <c r="E7021" t="inlineStr">
        <is>
          <t>1005</t>
        </is>
      </c>
      <c r="F7021" t="inlineStr">
        <is>
          <t>0112</t>
        </is>
      </c>
      <c r="G7021" s="10" t="inlineStr">
        <is>
          <t>車折</t>
        </is>
      </c>
      <c r="H7021" s="10" t="inlineStr">
        <is>
          <t>発</t>
        </is>
      </c>
      <c r="J7021" s="10" t="inlineStr">
        <is>
          <t>営業</t>
        </is>
      </c>
      <c r="L7021" t="inlineStr">
        <is>
          <t>10:42:40</t>
        </is>
      </c>
      <c r="M7021" t="inlineStr">
        <is>
          <t>10:43:05</t>
        </is>
      </c>
    </row>
    <row r="7022" ht="15" customHeight="1" s="37">
      <c r="A7022" t="n">
        <v>2</v>
      </c>
      <c r="B7022" s="10" t="inlineStr">
        <is>
          <t>平日</t>
        </is>
      </c>
      <c r="C7022" s="10" t="inlineStr">
        <is>
          <t>本線</t>
        </is>
      </c>
      <c r="D7022" s="10" t="inlineStr">
        <is>
          <t>下り</t>
        </is>
      </c>
      <c r="E7022" t="inlineStr">
        <is>
          <t>1005</t>
        </is>
      </c>
      <c r="F7022" t="inlineStr">
        <is>
          <t>0112</t>
        </is>
      </c>
      <c r="G7022" s="10" t="inlineStr">
        <is>
          <t>鹿王院</t>
        </is>
      </c>
      <c r="H7022" s="10" t="inlineStr">
        <is>
          <t>発</t>
        </is>
      </c>
      <c r="J7022" s="10" t="inlineStr">
        <is>
          <t>営業</t>
        </is>
      </c>
      <c r="L7022" t="inlineStr">
        <is>
          <t>10:44:00</t>
        </is>
      </c>
      <c r="M7022" t="inlineStr">
        <is>
          <t>10:44:25</t>
        </is>
      </c>
    </row>
    <row r="7023" ht="15" customHeight="1" s="37">
      <c r="A7023" t="n">
        <v>2</v>
      </c>
      <c r="B7023" s="10" t="inlineStr">
        <is>
          <t>平日</t>
        </is>
      </c>
      <c r="C7023" s="10" t="inlineStr">
        <is>
          <t>本線</t>
        </is>
      </c>
      <c r="D7023" s="10" t="inlineStr">
        <is>
          <t>下り</t>
        </is>
      </c>
      <c r="E7023" t="inlineStr">
        <is>
          <t>1005</t>
        </is>
      </c>
      <c r="F7023" t="inlineStr">
        <is>
          <t>0112</t>
        </is>
      </c>
      <c r="G7023" s="10" t="inlineStr">
        <is>
          <t>嵯峨</t>
        </is>
      </c>
      <c r="H7023" s="10" t="inlineStr">
        <is>
          <t>発</t>
        </is>
      </c>
      <c r="J7023" s="10" t="inlineStr">
        <is>
          <t>営業</t>
        </is>
      </c>
      <c r="L7023" t="inlineStr">
        <is>
          <t>10:45:30</t>
        </is>
      </c>
      <c r="M7023" t="inlineStr">
        <is>
          <t>10:45:55</t>
        </is>
      </c>
    </row>
    <row r="7024" ht="15" customHeight="1" s="37">
      <c r="A7024" t="n">
        <v>2</v>
      </c>
      <c r="B7024" s="10" t="inlineStr">
        <is>
          <t>平日</t>
        </is>
      </c>
      <c r="C7024" s="10" t="inlineStr">
        <is>
          <t>本線</t>
        </is>
      </c>
      <c r="D7024" s="10" t="inlineStr">
        <is>
          <t>下り</t>
        </is>
      </c>
      <c r="E7024" t="inlineStr">
        <is>
          <t>1005</t>
        </is>
      </c>
      <c r="F7024" t="inlineStr">
        <is>
          <t>0112</t>
        </is>
      </c>
      <c r="G7024" s="10" t="inlineStr">
        <is>
          <t>嵐山</t>
        </is>
      </c>
      <c r="H7024" s="10" t="inlineStr">
        <is>
          <t>着</t>
        </is>
      </c>
      <c r="J7024" s="10" t="inlineStr">
        <is>
          <t>営業</t>
        </is>
      </c>
      <c r="L7024" t="inlineStr">
        <is>
          <t>10:47:00</t>
        </is>
      </c>
      <c r="Q7024" t="inlineStr">
        <is>
          <t>1</t>
        </is>
      </c>
    </row>
    <row r="7025" ht="15" customHeight="1" s="37">
      <c r="A7025" t="n">
        <v>2</v>
      </c>
      <c r="B7025" s="10" t="inlineStr">
        <is>
          <t>平日</t>
        </is>
      </c>
      <c r="C7025" s="10" t="inlineStr">
        <is>
          <t>本線</t>
        </is>
      </c>
      <c r="D7025" s="10" t="inlineStr">
        <is>
          <t>上り</t>
        </is>
      </c>
      <c r="E7025" t="inlineStr">
        <is>
          <t>1012</t>
        </is>
      </c>
      <c r="F7025" t="inlineStr">
        <is>
          <t>0211</t>
        </is>
      </c>
      <c r="G7025" s="10" t="inlineStr">
        <is>
          <t>嵐山</t>
        </is>
      </c>
      <c r="H7025" s="10" t="inlineStr">
        <is>
          <t>発</t>
        </is>
      </c>
      <c r="J7025" s="10" t="inlineStr">
        <is>
          <t>営業</t>
        </is>
      </c>
      <c r="M7025" t="inlineStr">
        <is>
          <t>10:53:00</t>
        </is>
      </c>
      <c r="Q7025" t="inlineStr">
        <is>
          <t>1</t>
        </is>
      </c>
    </row>
    <row r="7026" ht="15" customHeight="1" s="37">
      <c r="A7026" t="n">
        <v>2</v>
      </c>
      <c r="B7026" s="10" t="inlineStr">
        <is>
          <t>平日</t>
        </is>
      </c>
      <c r="C7026" s="10" t="inlineStr">
        <is>
          <t>本線</t>
        </is>
      </c>
      <c r="D7026" s="10" t="inlineStr">
        <is>
          <t>上り</t>
        </is>
      </c>
      <c r="E7026" t="inlineStr">
        <is>
          <t>1012</t>
        </is>
      </c>
      <c r="F7026" t="inlineStr">
        <is>
          <t>0211</t>
        </is>
      </c>
      <c r="G7026" s="10" t="inlineStr">
        <is>
          <t>嵯峨</t>
        </is>
      </c>
      <c r="H7026" s="10" t="inlineStr">
        <is>
          <t>発</t>
        </is>
      </c>
      <c r="J7026" s="10" t="inlineStr">
        <is>
          <t>営業</t>
        </is>
      </c>
      <c r="L7026" t="inlineStr">
        <is>
          <t>10:53:55</t>
        </is>
      </c>
      <c r="M7026" t="inlineStr">
        <is>
          <t>10:54:20</t>
        </is>
      </c>
    </row>
    <row r="7027" ht="15" customHeight="1" s="37">
      <c r="A7027" t="n">
        <v>2</v>
      </c>
      <c r="B7027" s="10" t="inlineStr">
        <is>
          <t>平日</t>
        </is>
      </c>
      <c r="C7027" s="10" t="inlineStr">
        <is>
          <t>本線</t>
        </is>
      </c>
      <c r="D7027" s="10" t="inlineStr">
        <is>
          <t>上り</t>
        </is>
      </c>
      <c r="E7027" t="inlineStr">
        <is>
          <t>1012</t>
        </is>
      </c>
      <c r="F7027" t="inlineStr">
        <is>
          <t>0211</t>
        </is>
      </c>
      <c r="G7027" s="10" t="inlineStr">
        <is>
          <t>鹿王院</t>
        </is>
      </c>
      <c r="H7027" s="10" t="inlineStr">
        <is>
          <t>発</t>
        </is>
      </c>
      <c r="J7027" s="10" t="inlineStr">
        <is>
          <t>営業</t>
        </is>
      </c>
      <c r="L7027" t="inlineStr">
        <is>
          <t>10:55:25</t>
        </is>
      </c>
      <c r="M7027" t="inlineStr">
        <is>
          <t>10:55:45</t>
        </is>
      </c>
    </row>
    <row r="7028" ht="15" customHeight="1" s="37">
      <c r="A7028" t="n">
        <v>2</v>
      </c>
      <c r="B7028" s="10" t="inlineStr">
        <is>
          <t>平日</t>
        </is>
      </c>
      <c r="C7028" s="10" t="inlineStr">
        <is>
          <t>本線</t>
        </is>
      </c>
      <c r="D7028" s="10" t="inlineStr">
        <is>
          <t>上り</t>
        </is>
      </c>
      <c r="E7028" t="inlineStr">
        <is>
          <t>1012</t>
        </is>
      </c>
      <c r="F7028" t="inlineStr">
        <is>
          <t>0211</t>
        </is>
      </c>
      <c r="G7028" s="10" t="inlineStr">
        <is>
          <t>車折</t>
        </is>
      </c>
      <c r="H7028" s="10" t="inlineStr">
        <is>
          <t>発</t>
        </is>
      </c>
      <c r="J7028" s="10" t="inlineStr">
        <is>
          <t>営業</t>
        </is>
      </c>
      <c r="L7028" t="inlineStr">
        <is>
          <t>10:56:40</t>
        </is>
      </c>
      <c r="M7028" t="inlineStr">
        <is>
          <t>10:57:10</t>
        </is>
      </c>
    </row>
    <row r="7029" ht="15" customHeight="1" s="37">
      <c r="A7029" t="n">
        <v>2</v>
      </c>
      <c r="B7029" s="10" t="inlineStr">
        <is>
          <t>平日</t>
        </is>
      </c>
      <c r="C7029" s="10" t="inlineStr">
        <is>
          <t>本線</t>
        </is>
      </c>
      <c r="D7029" s="10" t="inlineStr">
        <is>
          <t>上り</t>
        </is>
      </c>
      <c r="E7029" t="inlineStr">
        <is>
          <t>1012</t>
        </is>
      </c>
      <c r="F7029" t="inlineStr">
        <is>
          <t>0211</t>
        </is>
      </c>
      <c r="G7029" s="10" t="inlineStr">
        <is>
          <t>有栖川</t>
        </is>
      </c>
      <c r="H7029" s="10" t="inlineStr">
        <is>
          <t>発</t>
        </is>
      </c>
      <c r="J7029" s="10" t="inlineStr">
        <is>
          <t>営業</t>
        </is>
      </c>
      <c r="L7029" t="inlineStr">
        <is>
          <t>10:58:35</t>
        </is>
      </c>
      <c r="M7029" t="inlineStr">
        <is>
          <t>10:58:55</t>
        </is>
      </c>
    </row>
    <row r="7030" ht="15" customHeight="1" s="37">
      <c r="A7030" t="n">
        <v>2</v>
      </c>
      <c r="B7030" s="10" t="inlineStr">
        <is>
          <t>平日</t>
        </is>
      </c>
      <c r="C7030" s="10" t="inlineStr">
        <is>
          <t>本線</t>
        </is>
      </c>
      <c r="D7030" s="10" t="inlineStr">
        <is>
          <t>上り</t>
        </is>
      </c>
      <c r="E7030" t="inlineStr">
        <is>
          <t>1012</t>
        </is>
      </c>
      <c r="F7030" t="inlineStr">
        <is>
          <t>0211</t>
        </is>
      </c>
      <c r="G7030" s="10" t="inlineStr">
        <is>
          <t>帷子ノ辻</t>
        </is>
      </c>
      <c r="H7030" s="10" t="inlineStr">
        <is>
          <t>発</t>
        </is>
      </c>
      <c r="J7030" s="10" t="inlineStr">
        <is>
          <t>営業</t>
        </is>
      </c>
      <c r="L7030" t="inlineStr">
        <is>
          <t>11:00:10</t>
        </is>
      </c>
      <c r="M7030" t="inlineStr">
        <is>
          <t>11:01:15</t>
        </is>
      </c>
    </row>
    <row r="7031" ht="15" customHeight="1" s="37">
      <c r="A7031" t="n">
        <v>2</v>
      </c>
      <c r="B7031" s="10" t="inlineStr">
        <is>
          <t>平日</t>
        </is>
      </c>
      <c r="C7031" s="10" t="inlineStr">
        <is>
          <t>本線</t>
        </is>
      </c>
      <c r="D7031" s="10" t="inlineStr">
        <is>
          <t>上り</t>
        </is>
      </c>
      <c r="E7031" t="inlineStr">
        <is>
          <t>1012</t>
        </is>
      </c>
      <c r="F7031" t="inlineStr">
        <is>
          <t>0211</t>
        </is>
      </c>
      <c r="G7031" s="10" t="inlineStr">
        <is>
          <t>太秦広隆寺</t>
        </is>
      </c>
      <c r="H7031" s="10" t="inlineStr">
        <is>
          <t>発</t>
        </is>
      </c>
      <c r="J7031" s="10" t="inlineStr">
        <is>
          <t>営業</t>
        </is>
      </c>
      <c r="L7031" t="inlineStr">
        <is>
          <t>11:03:25</t>
        </is>
      </c>
      <c r="M7031" t="inlineStr">
        <is>
          <t>11:03:45</t>
        </is>
      </c>
    </row>
    <row r="7032" ht="15" customHeight="1" s="37">
      <c r="A7032" t="n">
        <v>2</v>
      </c>
      <c r="B7032" s="10" t="inlineStr">
        <is>
          <t>平日</t>
        </is>
      </c>
      <c r="C7032" s="10" t="inlineStr">
        <is>
          <t>本線</t>
        </is>
      </c>
      <c r="D7032" s="10" t="inlineStr">
        <is>
          <t>上り</t>
        </is>
      </c>
      <c r="E7032" t="inlineStr">
        <is>
          <t>1012</t>
        </is>
      </c>
      <c r="F7032" t="inlineStr">
        <is>
          <t>0211</t>
        </is>
      </c>
      <c r="G7032" s="10" t="inlineStr">
        <is>
          <t>蚕ノ社</t>
        </is>
      </c>
      <c r="H7032" s="10" t="inlineStr">
        <is>
          <t>発</t>
        </is>
      </c>
      <c r="J7032" s="10" t="inlineStr">
        <is>
          <t>営業</t>
        </is>
      </c>
      <c r="L7032" t="inlineStr">
        <is>
          <t>11:05:00</t>
        </is>
      </c>
      <c r="M7032" t="inlineStr">
        <is>
          <t>11:05:20</t>
        </is>
      </c>
    </row>
    <row r="7033" ht="15" customHeight="1" s="37">
      <c r="A7033" t="n">
        <v>2</v>
      </c>
      <c r="B7033" s="10" t="inlineStr">
        <is>
          <t>平日</t>
        </is>
      </c>
      <c r="C7033" s="10" t="inlineStr">
        <is>
          <t>本線</t>
        </is>
      </c>
      <c r="D7033" s="10" t="inlineStr">
        <is>
          <t>上り</t>
        </is>
      </c>
      <c r="E7033" t="inlineStr">
        <is>
          <t>1012</t>
        </is>
      </c>
      <c r="F7033" t="inlineStr">
        <is>
          <t>0211</t>
        </is>
      </c>
      <c r="G7033" s="10" t="inlineStr">
        <is>
          <t>天神川</t>
        </is>
      </c>
      <c r="H7033" s="10" t="inlineStr">
        <is>
          <t>発</t>
        </is>
      </c>
      <c r="J7033" s="10" t="inlineStr">
        <is>
          <t>営業</t>
        </is>
      </c>
      <c r="L7033" t="inlineStr">
        <is>
          <t>11:06:05</t>
        </is>
      </c>
      <c r="M7033" t="inlineStr">
        <is>
          <t>11:06:50</t>
        </is>
      </c>
    </row>
    <row r="7034" ht="15" customHeight="1" s="37">
      <c r="A7034" t="n">
        <v>2</v>
      </c>
      <c r="B7034" s="10" t="inlineStr">
        <is>
          <t>平日</t>
        </is>
      </c>
      <c r="C7034" s="10" t="inlineStr">
        <is>
          <t>本線</t>
        </is>
      </c>
      <c r="D7034" s="10" t="inlineStr">
        <is>
          <t>上り</t>
        </is>
      </c>
      <c r="E7034" t="inlineStr">
        <is>
          <t>1012</t>
        </is>
      </c>
      <c r="F7034" t="inlineStr">
        <is>
          <t>0211</t>
        </is>
      </c>
      <c r="G7034" s="10" t="inlineStr">
        <is>
          <t>山ノ内</t>
        </is>
      </c>
      <c r="H7034" s="10" t="inlineStr">
        <is>
          <t>発</t>
        </is>
      </c>
      <c r="J7034" s="10" t="inlineStr">
        <is>
          <t>営業</t>
        </is>
      </c>
      <c r="L7034" t="inlineStr">
        <is>
          <t>11:08:40</t>
        </is>
      </c>
      <c r="M7034" t="inlineStr">
        <is>
          <t>11:09:05</t>
        </is>
      </c>
    </row>
    <row r="7035" ht="15" customHeight="1" s="37">
      <c r="A7035" t="n">
        <v>2</v>
      </c>
      <c r="B7035" s="10" t="inlineStr">
        <is>
          <t>平日</t>
        </is>
      </c>
      <c r="C7035" s="10" t="inlineStr">
        <is>
          <t>本線</t>
        </is>
      </c>
      <c r="D7035" s="10" t="inlineStr">
        <is>
          <t>上り</t>
        </is>
      </c>
      <c r="E7035" t="inlineStr">
        <is>
          <t>1012</t>
        </is>
      </c>
      <c r="F7035" t="inlineStr">
        <is>
          <t>0211</t>
        </is>
      </c>
      <c r="G7035" s="10" t="inlineStr">
        <is>
          <t>西大路三条</t>
        </is>
      </c>
      <c r="H7035" s="10" t="inlineStr">
        <is>
          <t>発</t>
        </is>
      </c>
      <c r="J7035" s="10" t="inlineStr">
        <is>
          <t>営業</t>
        </is>
      </c>
      <c r="L7035" t="inlineStr">
        <is>
          <t>11:10:55</t>
        </is>
      </c>
      <c r="M7035" t="inlineStr">
        <is>
          <t>11:11:15</t>
        </is>
      </c>
    </row>
    <row r="7036" ht="15" customHeight="1" s="37">
      <c r="A7036" t="n">
        <v>2</v>
      </c>
      <c r="B7036" s="10" t="inlineStr">
        <is>
          <t>平日</t>
        </is>
      </c>
      <c r="C7036" s="10" t="inlineStr">
        <is>
          <t>本線</t>
        </is>
      </c>
      <c r="D7036" s="10" t="inlineStr">
        <is>
          <t>上り</t>
        </is>
      </c>
      <c r="E7036" t="inlineStr">
        <is>
          <t>1012</t>
        </is>
      </c>
      <c r="F7036" t="inlineStr">
        <is>
          <t>0211</t>
        </is>
      </c>
      <c r="G7036" s="10" t="inlineStr">
        <is>
          <t>西院</t>
        </is>
      </c>
      <c r="H7036" s="10" t="inlineStr">
        <is>
          <t>発</t>
        </is>
      </c>
      <c r="J7036" s="10" t="inlineStr">
        <is>
          <t>営業</t>
        </is>
      </c>
      <c r="L7036" t="inlineStr">
        <is>
          <t>11:13:10</t>
        </is>
      </c>
      <c r="M7036" t="inlineStr">
        <is>
          <t>11:14:05</t>
        </is>
      </c>
    </row>
    <row r="7037" ht="15" customHeight="1" s="37">
      <c r="A7037" t="n">
        <v>2</v>
      </c>
      <c r="B7037" s="10" t="inlineStr">
        <is>
          <t>平日</t>
        </is>
      </c>
      <c r="C7037" s="10" t="inlineStr">
        <is>
          <t>本線</t>
        </is>
      </c>
      <c r="D7037" s="10" t="inlineStr">
        <is>
          <t>上り</t>
        </is>
      </c>
      <c r="E7037" t="inlineStr">
        <is>
          <t>1012</t>
        </is>
      </c>
      <c r="F7037" t="inlineStr">
        <is>
          <t>0211</t>
        </is>
      </c>
      <c r="G7037" s="10" t="inlineStr">
        <is>
          <t>四条大宮</t>
        </is>
      </c>
      <c r="H7037" s="10" t="inlineStr">
        <is>
          <t>着</t>
        </is>
      </c>
      <c r="J7037" s="10" t="inlineStr">
        <is>
          <t>営業</t>
        </is>
      </c>
      <c r="L7037" t="inlineStr">
        <is>
          <t>11:17:00</t>
        </is>
      </c>
      <c r="Q7037" t="inlineStr">
        <is>
          <t>1</t>
        </is>
      </c>
    </row>
    <row r="7038" ht="15" customHeight="1" s="37">
      <c r="A7038" t="n">
        <v>2</v>
      </c>
      <c r="B7038" s="10" t="inlineStr">
        <is>
          <t>平日</t>
        </is>
      </c>
      <c r="C7038" s="10" t="inlineStr">
        <is>
          <t>本線</t>
        </is>
      </c>
      <c r="D7038" s="10" t="inlineStr">
        <is>
          <t>下り</t>
        </is>
      </c>
      <c r="E7038" t="inlineStr">
        <is>
          <t>1105</t>
        </is>
      </c>
      <c r="F7038" t="inlineStr">
        <is>
          <t>0112</t>
        </is>
      </c>
      <c r="G7038" s="10" t="inlineStr">
        <is>
          <t>四条大宮</t>
        </is>
      </c>
      <c r="H7038" s="10" t="inlineStr">
        <is>
          <t>発</t>
        </is>
      </c>
      <c r="J7038" s="10" t="inlineStr">
        <is>
          <t>営業</t>
        </is>
      </c>
      <c r="M7038" t="inlineStr">
        <is>
          <t>11:23:00</t>
        </is>
      </c>
      <c r="Q7038" t="inlineStr">
        <is>
          <t>1</t>
        </is>
      </c>
    </row>
    <row r="7039" ht="15" customHeight="1" s="37">
      <c r="A7039" t="n">
        <v>2</v>
      </c>
      <c r="B7039" s="10" t="inlineStr">
        <is>
          <t>平日</t>
        </is>
      </c>
      <c r="C7039" s="10" t="inlineStr">
        <is>
          <t>本線</t>
        </is>
      </c>
      <c r="D7039" s="10" t="inlineStr">
        <is>
          <t>下り</t>
        </is>
      </c>
      <c r="E7039" t="inlineStr">
        <is>
          <t>1105</t>
        </is>
      </c>
      <c r="F7039" t="inlineStr">
        <is>
          <t>0112</t>
        </is>
      </c>
      <c r="G7039" s="10" t="inlineStr">
        <is>
          <t>西院</t>
        </is>
      </c>
      <c r="H7039" s="10" t="inlineStr">
        <is>
          <t>発</t>
        </is>
      </c>
      <c r="J7039" s="10" t="inlineStr">
        <is>
          <t>営業</t>
        </is>
      </c>
      <c r="L7039" t="inlineStr">
        <is>
          <t>11:25:50</t>
        </is>
      </c>
      <c r="M7039" t="inlineStr">
        <is>
          <t>11:26:20</t>
        </is>
      </c>
    </row>
    <row r="7040" ht="15" customHeight="1" s="37">
      <c r="A7040" t="n">
        <v>2</v>
      </c>
      <c r="B7040" s="10" t="inlineStr">
        <is>
          <t>平日</t>
        </is>
      </c>
      <c r="C7040" s="10" t="inlineStr">
        <is>
          <t>本線</t>
        </is>
      </c>
      <c r="D7040" s="10" t="inlineStr">
        <is>
          <t>下り</t>
        </is>
      </c>
      <c r="E7040" t="inlineStr">
        <is>
          <t>1105</t>
        </is>
      </c>
      <c r="F7040" t="inlineStr">
        <is>
          <t>0112</t>
        </is>
      </c>
      <c r="G7040" s="10" t="inlineStr">
        <is>
          <t>西大路三条</t>
        </is>
      </c>
      <c r="H7040" s="10" t="inlineStr">
        <is>
          <t>発</t>
        </is>
      </c>
      <c r="J7040" s="10" t="inlineStr">
        <is>
          <t>営業</t>
        </is>
      </c>
      <c r="L7040" t="inlineStr">
        <is>
          <t>11:28:10</t>
        </is>
      </c>
      <c r="M7040" t="inlineStr">
        <is>
          <t>11:28:30</t>
        </is>
      </c>
    </row>
    <row r="7041" ht="15" customHeight="1" s="37">
      <c r="A7041" t="n">
        <v>2</v>
      </c>
      <c r="B7041" s="10" t="inlineStr">
        <is>
          <t>平日</t>
        </is>
      </c>
      <c r="C7041" s="10" t="inlineStr">
        <is>
          <t>本線</t>
        </is>
      </c>
      <c r="D7041" s="10" t="inlineStr">
        <is>
          <t>下り</t>
        </is>
      </c>
      <c r="E7041" t="inlineStr">
        <is>
          <t>1105</t>
        </is>
      </c>
      <c r="F7041" t="inlineStr">
        <is>
          <t>0112</t>
        </is>
      </c>
      <c r="G7041" s="10" t="inlineStr">
        <is>
          <t>山ノ内</t>
        </is>
      </c>
      <c r="H7041" s="10" t="inlineStr">
        <is>
          <t>発</t>
        </is>
      </c>
      <c r="J7041" s="10" t="inlineStr">
        <is>
          <t>営業</t>
        </is>
      </c>
      <c r="L7041" t="inlineStr">
        <is>
          <t>11:30:25</t>
        </is>
      </c>
      <c r="M7041" t="inlineStr">
        <is>
          <t>11:30:50</t>
        </is>
      </c>
    </row>
    <row r="7042" ht="15" customHeight="1" s="37">
      <c r="A7042" t="n">
        <v>2</v>
      </c>
      <c r="B7042" s="10" t="inlineStr">
        <is>
          <t>平日</t>
        </is>
      </c>
      <c r="C7042" s="10" t="inlineStr">
        <is>
          <t>本線</t>
        </is>
      </c>
      <c r="D7042" s="10" t="inlineStr">
        <is>
          <t>下り</t>
        </is>
      </c>
      <c r="E7042" t="inlineStr">
        <is>
          <t>1105</t>
        </is>
      </c>
      <c r="F7042" t="inlineStr">
        <is>
          <t>0112</t>
        </is>
      </c>
      <c r="G7042" s="10" t="inlineStr">
        <is>
          <t>天神川</t>
        </is>
      </c>
      <c r="H7042" s="10" t="inlineStr">
        <is>
          <t>発</t>
        </is>
      </c>
      <c r="J7042" s="10" t="inlineStr">
        <is>
          <t>営業</t>
        </is>
      </c>
      <c r="L7042" t="inlineStr">
        <is>
          <t>11:32:50</t>
        </is>
      </c>
      <c r="M7042" t="inlineStr">
        <is>
          <t>11:33:30</t>
        </is>
      </c>
    </row>
    <row r="7043" ht="15" customHeight="1" s="37">
      <c r="A7043" t="n">
        <v>2</v>
      </c>
      <c r="B7043" s="10" t="inlineStr">
        <is>
          <t>平日</t>
        </is>
      </c>
      <c r="C7043" s="10" t="inlineStr">
        <is>
          <t>本線</t>
        </is>
      </c>
      <c r="D7043" s="10" t="inlineStr">
        <is>
          <t>下り</t>
        </is>
      </c>
      <c r="E7043" t="inlineStr">
        <is>
          <t>1105</t>
        </is>
      </c>
      <c r="F7043" t="inlineStr">
        <is>
          <t>0112</t>
        </is>
      </c>
      <c r="G7043" s="10" t="inlineStr">
        <is>
          <t>蚕ノ社</t>
        </is>
      </c>
      <c r="H7043" s="10" t="inlineStr">
        <is>
          <t>発</t>
        </is>
      </c>
      <c r="J7043" s="10" t="inlineStr">
        <is>
          <t>営業</t>
        </is>
      </c>
      <c r="L7043" t="inlineStr">
        <is>
          <t>11:34:20</t>
        </is>
      </c>
      <c r="M7043" t="inlineStr">
        <is>
          <t>11:34:40</t>
        </is>
      </c>
    </row>
    <row r="7044" ht="15" customHeight="1" s="37">
      <c r="A7044" t="n">
        <v>2</v>
      </c>
      <c r="B7044" s="10" t="inlineStr">
        <is>
          <t>平日</t>
        </is>
      </c>
      <c r="C7044" s="10" t="inlineStr">
        <is>
          <t>本線</t>
        </is>
      </c>
      <c r="D7044" s="10" t="inlineStr">
        <is>
          <t>下り</t>
        </is>
      </c>
      <c r="E7044" t="inlineStr">
        <is>
          <t>1105</t>
        </is>
      </c>
      <c r="F7044" t="inlineStr">
        <is>
          <t>0112</t>
        </is>
      </c>
      <c r="G7044" s="10" t="inlineStr">
        <is>
          <t>太秦広隆寺</t>
        </is>
      </c>
      <c r="H7044" s="10" t="inlineStr">
        <is>
          <t>発</t>
        </is>
      </c>
      <c r="J7044" s="10" t="inlineStr">
        <is>
          <t>営業</t>
        </is>
      </c>
      <c r="L7044" t="inlineStr">
        <is>
          <t>11:36:00</t>
        </is>
      </c>
      <c r="M7044" t="inlineStr">
        <is>
          <t>11:36:20</t>
        </is>
      </c>
    </row>
    <row r="7045" ht="15" customHeight="1" s="37">
      <c r="A7045" t="n">
        <v>2</v>
      </c>
      <c r="B7045" s="10" t="inlineStr">
        <is>
          <t>平日</t>
        </is>
      </c>
      <c r="C7045" s="10" t="inlineStr">
        <is>
          <t>本線</t>
        </is>
      </c>
      <c r="D7045" s="10" t="inlineStr">
        <is>
          <t>下り</t>
        </is>
      </c>
      <c r="E7045" t="inlineStr">
        <is>
          <t>1105</t>
        </is>
      </c>
      <c r="F7045" t="inlineStr">
        <is>
          <t>0112</t>
        </is>
      </c>
      <c r="G7045" s="10" t="inlineStr">
        <is>
          <t>帷子ノ辻</t>
        </is>
      </c>
      <c r="H7045" s="10" t="inlineStr">
        <is>
          <t>発</t>
        </is>
      </c>
      <c r="J7045" s="10" t="inlineStr">
        <is>
          <t>営業</t>
        </is>
      </c>
      <c r="L7045" t="inlineStr">
        <is>
          <t>11:38:20</t>
        </is>
      </c>
      <c r="M7045" t="inlineStr">
        <is>
          <t>11:39:40</t>
        </is>
      </c>
    </row>
    <row r="7046" ht="15" customHeight="1" s="37">
      <c r="A7046" t="n">
        <v>2</v>
      </c>
      <c r="B7046" s="10" t="inlineStr">
        <is>
          <t>平日</t>
        </is>
      </c>
      <c r="C7046" s="10" t="inlineStr">
        <is>
          <t>本線</t>
        </is>
      </c>
      <c r="D7046" s="10" t="inlineStr">
        <is>
          <t>下り</t>
        </is>
      </c>
      <c r="E7046" t="inlineStr">
        <is>
          <t>1105</t>
        </is>
      </c>
      <c r="F7046" t="inlineStr">
        <is>
          <t>0112</t>
        </is>
      </c>
      <c r="G7046" s="10" t="inlineStr">
        <is>
          <t>有栖川</t>
        </is>
      </c>
      <c r="H7046" s="10" t="inlineStr">
        <is>
          <t>発</t>
        </is>
      </c>
      <c r="J7046" s="10" t="inlineStr">
        <is>
          <t>営業</t>
        </is>
      </c>
      <c r="L7046" t="inlineStr">
        <is>
          <t>11:40:50</t>
        </is>
      </c>
      <c r="M7046" t="inlineStr">
        <is>
          <t>11:41:15</t>
        </is>
      </c>
    </row>
    <row r="7047" ht="15" customHeight="1" s="37">
      <c r="A7047" t="n">
        <v>2</v>
      </c>
      <c r="B7047" s="10" t="inlineStr">
        <is>
          <t>平日</t>
        </is>
      </c>
      <c r="C7047" s="10" t="inlineStr">
        <is>
          <t>本線</t>
        </is>
      </c>
      <c r="D7047" s="10" t="inlineStr">
        <is>
          <t>下り</t>
        </is>
      </c>
      <c r="E7047" t="inlineStr">
        <is>
          <t>1105</t>
        </is>
      </c>
      <c r="F7047" t="inlineStr">
        <is>
          <t>0112</t>
        </is>
      </c>
      <c r="G7047" s="10" t="inlineStr">
        <is>
          <t>車折</t>
        </is>
      </c>
      <c r="H7047" s="10" t="inlineStr">
        <is>
          <t>発</t>
        </is>
      </c>
      <c r="J7047" s="10" t="inlineStr">
        <is>
          <t>営業</t>
        </is>
      </c>
      <c r="L7047" t="inlineStr">
        <is>
          <t>11:42:40</t>
        </is>
      </c>
      <c r="M7047" t="inlineStr">
        <is>
          <t>11:43:05</t>
        </is>
      </c>
    </row>
    <row r="7048" ht="15" customHeight="1" s="37">
      <c r="A7048" t="n">
        <v>2</v>
      </c>
      <c r="B7048" s="10" t="inlineStr">
        <is>
          <t>平日</t>
        </is>
      </c>
      <c r="C7048" s="10" t="inlineStr">
        <is>
          <t>本線</t>
        </is>
      </c>
      <c r="D7048" s="10" t="inlineStr">
        <is>
          <t>下り</t>
        </is>
      </c>
      <c r="E7048" t="inlineStr">
        <is>
          <t>1105</t>
        </is>
      </c>
      <c r="F7048" t="inlineStr">
        <is>
          <t>0112</t>
        </is>
      </c>
      <c r="G7048" s="10" t="inlineStr">
        <is>
          <t>鹿王院</t>
        </is>
      </c>
      <c r="H7048" s="10" t="inlineStr">
        <is>
          <t>発</t>
        </is>
      </c>
      <c r="J7048" s="10" t="inlineStr">
        <is>
          <t>営業</t>
        </is>
      </c>
      <c r="L7048" t="inlineStr">
        <is>
          <t>11:44:00</t>
        </is>
      </c>
      <c r="M7048" t="inlineStr">
        <is>
          <t>11:44:25</t>
        </is>
      </c>
    </row>
    <row r="7049" ht="15" customHeight="1" s="37">
      <c r="A7049" t="n">
        <v>2</v>
      </c>
      <c r="B7049" s="10" t="inlineStr">
        <is>
          <t>平日</t>
        </is>
      </c>
      <c r="C7049" s="10" t="inlineStr">
        <is>
          <t>本線</t>
        </is>
      </c>
      <c r="D7049" s="10" t="inlineStr">
        <is>
          <t>下り</t>
        </is>
      </c>
      <c r="E7049" t="inlineStr">
        <is>
          <t>1105</t>
        </is>
      </c>
      <c r="F7049" t="inlineStr">
        <is>
          <t>0112</t>
        </is>
      </c>
      <c r="G7049" s="10" t="inlineStr">
        <is>
          <t>嵯峨</t>
        </is>
      </c>
      <c r="H7049" s="10" t="inlineStr">
        <is>
          <t>発</t>
        </is>
      </c>
      <c r="J7049" s="10" t="inlineStr">
        <is>
          <t>営業</t>
        </is>
      </c>
      <c r="L7049" t="inlineStr">
        <is>
          <t>11:45:30</t>
        </is>
      </c>
      <c r="M7049" t="inlineStr">
        <is>
          <t>11:45:55</t>
        </is>
      </c>
    </row>
    <row r="7050" ht="15" customHeight="1" s="37">
      <c r="A7050" t="n">
        <v>2</v>
      </c>
      <c r="B7050" s="10" t="inlineStr">
        <is>
          <t>平日</t>
        </is>
      </c>
      <c r="C7050" s="10" t="inlineStr">
        <is>
          <t>本線</t>
        </is>
      </c>
      <c r="D7050" s="10" t="inlineStr">
        <is>
          <t>下り</t>
        </is>
      </c>
      <c r="E7050" t="inlineStr">
        <is>
          <t>1105</t>
        </is>
      </c>
      <c r="F7050" t="inlineStr">
        <is>
          <t>0112</t>
        </is>
      </c>
      <c r="G7050" s="10" t="inlineStr">
        <is>
          <t>嵐山</t>
        </is>
      </c>
      <c r="H7050" s="10" t="inlineStr">
        <is>
          <t>着</t>
        </is>
      </c>
      <c r="J7050" s="10" t="inlineStr">
        <is>
          <t>営業</t>
        </is>
      </c>
      <c r="L7050" t="inlineStr">
        <is>
          <t>11:47:00</t>
        </is>
      </c>
      <c r="Q7050" t="inlineStr">
        <is>
          <t>1</t>
        </is>
      </c>
    </row>
    <row r="7051" ht="15" customHeight="1" s="37">
      <c r="A7051" t="n">
        <v>2</v>
      </c>
      <c r="B7051" s="10" t="inlineStr">
        <is>
          <t>平日</t>
        </is>
      </c>
      <c r="C7051" s="10" t="inlineStr">
        <is>
          <t>本線</t>
        </is>
      </c>
      <c r="D7051" s="10" t="inlineStr">
        <is>
          <t>上り</t>
        </is>
      </c>
      <c r="E7051" t="inlineStr">
        <is>
          <t>1112</t>
        </is>
      </c>
      <c r="F7051" t="inlineStr">
        <is>
          <t>0211</t>
        </is>
      </c>
      <c r="G7051" s="10" t="inlineStr">
        <is>
          <t>嵐山</t>
        </is>
      </c>
      <c r="H7051" s="10" t="inlineStr">
        <is>
          <t>発</t>
        </is>
      </c>
      <c r="J7051" s="10" t="inlineStr">
        <is>
          <t>営業</t>
        </is>
      </c>
      <c r="M7051" t="inlineStr">
        <is>
          <t>11:53:00</t>
        </is>
      </c>
      <c r="Q7051" t="inlineStr">
        <is>
          <t>1</t>
        </is>
      </c>
    </row>
    <row r="7052" ht="15" customHeight="1" s="37">
      <c r="A7052" t="n">
        <v>2</v>
      </c>
      <c r="B7052" s="10" t="inlineStr">
        <is>
          <t>平日</t>
        </is>
      </c>
      <c r="C7052" s="10" t="inlineStr">
        <is>
          <t>本線</t>
        </is>
      </c>
      <c r="D7052" s="10" t="inlineStr">
        <is>
          <t>上り</t>
        </is>
      </c>
      <c r="E7052" t="inlineStr">
        <is>
          <t>1112</t>
        </is>
      </c>
      <c r="F7052" t="inlineStr">
        <is>
          <t>0211</t>
        </is>
      </c>
      <c r="G7052" s="10" t="inlineStr">
        <is>
          <t>嵯峨</t>
        </is>
      </c>
      <c r="H7052" s="10" t="inlineStr">
        <is>
          <t>発</t>
        </is>
      </c>
      <c r="J7052" s="10" t="inlineStr">
        <is>
          <t>営業</t>
        </is>
      </c>
      <c r="L7052" t="inlineStr">
        <is>
          <t>11:53:55</t>
        </is>
      </c>
      <c r="M7052" t="inlineStr">
        <is>
          <t>11:54:20</t>
        </is>
      </c>
    </row>
    <row r="7053" ht="15" customHeight="1" s="37">
      <c r="A7053" t="n">
        <v>2</v>
      </c>
      <c r="B7053" s="10" t="inlineStr">
        <is>
          <t>平日</t>
        </is>
      </c>
      <c r="C7053" s="10" t="inlineStr">
        <is>
          <t>本線</t>
        </is>
      </c>
      <c r="D7053" s="10" t="inlineStr">
        <is>
          <t>上り</t>
        </is>
      </c>
      <c r="E7053" t="inlineStr">
        <is>
          <t>1112</t>
        </is>
      </c>
      <c r="F7053" t="inlineStr">
        <is>
          <t>0211</t>
        </is>
      </c>
      <c r="G7053" s="10" t="inlineStr">
        <is>
          <t>鹿王院</t>
        </is>
      </c>
      <c r="H7053" s="10" t="inlineStr">
        <is>
          <t>発</t>
        </is>
      </c>
      <c r="J7053" s="10" t="inlineStr">
        <is>
          <t>営業</t>
        </is>
      </c>
      <c r="L7053" t="inlineStr">
        <is>
          <t>11:55:25</t>
        </is>
      </c>
      <c r="M7053" t="inlineStr">
        <is>
          <t>11:55:45</t>
        </is>
      </c>
    </row>
    <row r="7054" ht="15" customHeight="1" s="37">
      <c r="A7054" t="n">
        <v>2</v>
      </c>
      <c r="B7054" s="10" t="inlineStr">
        <is>
          <t>平日</t>
        </is>
      </c>
      <c r="C7054" s="10" t="inlineStr">
        <is>
          <t>本線</t>
        </is>
      </c>
      <c r="D7054" s="10" t="inlineStr">
        <is>
          <t>上り</t>
        </is>
      </c>
      <c r="E7054" t="inlineStr">
        <is>
          <t>1112</t>
        </is>
      </c>
      <c r="F7054" t="inlineStr">
        <is>
          <t>0211</t>
        </is>
      </c>
      <c r="G7054" s="10" t="inlineStr">
        <is>
          <t>車折</t>
        </is>
      </c>
      <c r="H7054" s="10" t="inlineStr">
        <is>
          <t>発</t>
        </is>
      </c>
      <c r="J7054" s="10" t="inlineStr">
        <is>
          <t>営業</t>
        </is>
      </c>
      <c r="L7054" t="inlineStr">
        <is>
          <t>11:56:40</t>
        </is>
      </c>
      <c r="M7054" t="inlineStr">
        <is>
          <t>11:57:10</t>
        </is>
      </c>
    </row>
    <row r="7055" ht="15" customHeight="1" s="37">
      <c r="A7055" t="n">
        <v>2</v>
      </c>
      <c r="B7055" s="10" t="inlineStr">
        <is>
          <t>平日</t>
        </is>
      </c>
      <c r="C7055" s="10" t="inlineStr">
        <is>
          <t>本線</t>
        </is>
      </c>
      <c r="D7055" s="10" t="inlineStr">
        <is>
          <t>上り</t>
        </is>
      </c>
      <c r="E7055" t="inlineStr">
        <is>
          <t>1112</t>
        </is>
      </c>
      <c r="F7055" t="inlineStr">
        <is>
          <t>0211</t>
        </is>
      </c>
      <c r="G7055" s="10" t="inlineStr">
        <is>
          <t>有栖川</t>
        </is>
      </c>
      <c r="H7055" s="10" t="inlineStr">
        <is>
          <t>発</t>
        </is>
      </c>
      <c r="J7055" s="10" t="inlineStr">
        <is>
          <t>営業</t>
        </is>
      </c>
      <c r="L7055" t="inlineStr">
        <is>
          <t>11:58:35</t>
        </is>
      </c>
      <c r="M7055" t="inlineStr">
        <is>
          <t>11:58:55</t>
        </is>
      </c>
    </row>
    <row r="7056" ht="15" customHeight="1" s="37">
      <c r="A7056" t="n">
        <v>2</v>
      </c>
      <c r="B7056" s="10" t="inlineStr">
        <is>
          <t>平日</t>
        </is>
      </c>
      <c r="C7056" s="10" t="inlineStr">
        <is>
          <t>本線</t>
        </is>
      </c>
      <c r="D7056" s="10" t="inlineStr">
        <is>
          <t>上り</t>
        </is>
      </c>
      <c r="E7056" t="inlineStr">
        <is>
          <t>1112</t>
        </is>
      </c>
      <c r="F7056" t="inlineStr">
        <is>
          <t>0211</t>
        </is>
      </c>
      <c r="G7056" s="10" t="inlineStr">
        <is>
          <t>帷子ノ辻</t>
        </is>
      </c>
      <c r="H7056" s="10" t="inlineStr">
        <is>
          <t>発</t>
        </is>
      </c>
      <c r="J7056" s="10" t="inlineStr">
        <is>
          <t>営業</t>
        </is>
      </c>
      <c r="L7056" t="inlineStr">
        <is>
          <t>12:00:10</t>
        </is>
      </c>
      <c r="M7056" t="inlineStr">
        <is>
          <t>12:01:15</t>
        </is>
      </c>
    </row>
    <row r="7057" ht="15" customHeight="1" s="37">
      <c r="A7057" t="n">
        <v>2</v>
      </c>
      <c r="B7057" s="10" t="inlineStr">
        <is>
          <t>平日</t>
        </is>
      </c>
      <c r="C7057" s="10" t="inlineStr">
        <is>
          <t>本線</t>
        </is>
      </c>
      <c r="D7057" s="10" t="inlineStr">
        <is>
          <t>上り</t>
        </is>
      </c>
      <c r="E7057" t="inlineStr">
        <is>
          <t>1112</t>
        </is>
      </c>
      <c r="F7057" t="inlineStr">
        <is>
          <t>0211</t>
        </is>
      </c>
      <c r="G7057" s="10" t="inlineStr">
        <is>
          <t>太秦広隆寺</t>
        </is>
      </c>
      <c r="H7057" s="10" t="inlineStr">
        <is>
          <t>発</t>
        </is>
      </c>
      <c r="J7057" s="10" t="inlineStr">
        <is>
          <t>営業</t>
        </is>
      </c>
      <c r="L7057" t="inlineStr">
        <is>
          <t>12:03:25</t>
        </is>
      </c>
      <c r="M7057" t="inlineStr">
        <is>
          <t>12:03:45</t>
        </is>
      </c>
    </row>
    <row r="7058" ht="15" customHeight="1" s="37">
      <c r="A7058" t="n">
        <v>2</v>
      </c>
      <c r="B7058" s="10" t="inlineStr">
        <is>
          <t>平日</t>
        </is>
      </c>
      <c r="C7058" s="10" t="inlineStr">
        <is>
          <t>本線</t>
        </is>
      </c>
      <c r="D7058" s="10" t="inlineStr">
        <is>
          <t>上り</t>
        </is>
      </c>
      <c r="E7058" t="inlineStr">
        <is>
          <t>1112</t>
        </is>
      </c>
      <c r="F7058" t="inlineStr">
        <is>
          <t>0211</t>
        </is>
      </c>
      <c r="G7058" s="10" t="inlineStr">
        <is>
          <t>蚕ノ社</t>
        </is>
      </c>
      <c r="H7058" s="10" t="inlineStr">
        <is>
          <t>発</t>
        </is>
      </c>
      <c r="J7058" s="10" t="inlineStr">
        <is>
          <t>営業</t>
        </is>
      </c>
      <c r="L7058" t="inlineStr">
        <is>
          <t>12:05:00</t>
        </is>
      </c>
      <c r="M7058" t="inlineStr">
        <is>
          <t>12:05:20</t>
        </is>
      </c>
    </row>
    <row r="7059" ht="15" customHeight="1" s="37">
      <c r="A7059" t="n">
        <v>2</v>
      </c>
      <c r="B7059" s="10" t="inlineStr">
        <is>
          <t>平日</t>
        </is>
      </c>
      <c r="C7059" s="10" t="inlineStr">
        <is>
          <t>本線</t>
        </is>
      </c>
      <c r="D7059" s="10" t="inlineStr">
        <is>
          <t>上り</t>
        </is>
      </c>
      <c r="E7059" t="inlineStr">
        <is>
          <t>1112</t>
        </is>
      </c>
      <c r="F7059" t="inlineStr">
        <is>
          <t>0211</t>
        </is>
      </c>
      <c r="G7059" s="10" t="inlineStr">
        <is>
          <t>天神川</t>
        </is>
      </c>
      <c r="H7059" s="10" t="inlineStr">
        <is>
          <t>発</t>
        </is>
      </c>
      <c r="J7059" s="10" t="inlineStr">
        <is>
          <t>営業</t>
        </is>
      </c>
      <c r="L7059" t="inlineStr">
        <is>
          <t>12:06:05</t>
        </is>
      </c>
      <c r="M7059" t="inlineStr">
        <is>
          <t>12:06:50</t>
        </is>
      </c>
    </row>
    <row r="7060" ht="15" customHeight="1" s="37">
      <c r="A7060" t="n">
        <v>2</v>
      </c>
      <c r="B7060" s="10" t="inlineStr">
        <is>
          <t>平日</t>
        </is>
      </c>
      <c r="C7060" s="10" t="inlineStr">
        <is>
          <t>本線</t>
        </is>
      </c>
      <c r="D7060" s="10" t="inlineStr">
        <is>
          <t>上り</t>
        </is>
      </c>
      <c r="E7060" t="inlineStr">
        <is>
          <t>1112</t>
        </is>
      </c>
      <c r="F7060" t="inlineStr">
        <is>
          <t>0211</t>
        </is>
      </c>
      <c r="G7060" s="10" t="inlineStr">
        <is>
          <t>山ノ内</t>
        </is>
      </c>
      <c r="H7060" s="10" t="inlineStr">
        <is>
          <t>発</t>
        </is>
      </c>
      <c r="J7060" s="10" t="inlineStr">
        <is>
          <t>営業</t>
        </is>
      </c>
      <c r="L7060" t="inlineStr">
        <is>
          <t>12:08:40</t>
        </is>
      </c>
      <c r="M7060" t="inlineStr">
        <is>
          <t>12:09:05</t>
        </is>
      </c>
    </row>
    <row r="7061" ht="15" customHeight="1" s="37">
      <c r="A7061" t="n">
        <v>2</v>
      </c>
      <c r="B7061" s="10" t="inlineStr">
        <is>
          <t>平日</t>
        </is>
      </c>
      <c r="C7061" s="10" t="inlineStr">
        <is>
          <t>本線</t>
        </is>
      </c>
      <c r="D7061" s="10" t="inlineStr">
        <is>
          <t>上り</t>
        </is>
      </c>
      <c r="E7061" t="inlineStr">
        <is>
          <t>1112</t>
        </is>
      </c>
      <c r="F7061" t="inlineStr">
        <is>
          <t>0211</t>
        </is>
      </c>
      <c r="G7061" s="10" t="inlineStr">
        <is>
          <t>西大路三条</t>
        </is>
      </c>
      <c r="H7061" s="10" t="inlineStr">
        <is>
          <t>発</t>
        </is>
      </c>
      <c r="J7061" s="10" t="inlineStr">
        <is>
          <t>営業</t>
        </is>
      </c>
      <c r="L7061" t="inlineStr">
        <is>
          <t>12:10:55</t>
        </is>
      </c>
      <c r="M7061" t="inlineStr">
        <is>
          <t>12:11:15</t>
        </is>
      </c>
    </row>
    <row r="7062" ht="15" customHeight="1" s="37">
      <c r="A7062" t="n">
        <v>2</v>
      </c>
      <c r="B7062" s="10" t="inlineStr">
        <is>
          <t>平日</t>
        </is>
      </c>
      <c r="C7062" s="10" t="inlineStr">
        <is>
          <t>本線</t>
        </is>
      </c>
      <c r="D7062" s="10" t="inlineStr">
        <is>
          <t>上り</t>
        </is>
      </c>
      <c r="E7062" t="inlineStr">
        <is>
          <t>1112</t>
        </is>
      </c>
      <c r="F7062" t="inlineStr">
        <is>
          <t>0211</t>
        </is>
      </c>
      <c r="G7062" s="10" t="inlineStr">
        <is>
          <t>西院</t>
        </is>
      </c>
      <c r="H7062" s="10" t="inlineStr">
        <is>
          <t>発</t>
        </is>
      </c>
      <c r="J7062" s="10" t="inlineStr">
        <is>
          <t>営業</t>
        </is>
      </c>
      <c r="L7062" t="inlineStr">
        <is>
          <t>12:13:10</t>
        </is>
      </c>
      <c r="M7062" t="inlineStr">
        <is>
          <t>12:14:05</t>
        </is>
      </c>
    </row>
    <row r="7063" ht="15" customHeight="1" s="37">
      <c r="A7063" t="n">
        <v>2</v>
      </c>
      <c r="B7063" s="10" t="inlineStr">
        <is>
          <t>平日</t>
        </is>
      </c>
      <c r="C7063" s="10" t="inlineStr">
        <is>
          <t>本線</t>
        </is>
      </c>
      <c r="D7063" s="10" t="inlineStr">
        <is>
          <t>上り</t>
        </is>
      </c>
      <c r="E7063" t="inlineStr">
        <is>
          <t>1112</t>
        </is>
      </c>
      <c r="F7063" t="inlineStr">
        <is>
          <t>0211</t>
        </is>
      </c>
      <c r="G7063" s="10" t="inlineStr">
        <is>
          <t>四条大宮</t>
        </is>
      </c>
      <c r="H7063" s="10" t="inlineStr">
        <is>
          <t>着</t>
        </is>
      </c>
      <c r="J7063" s="10" t="inlineStr">
        <is>
          <t>営業</t>
        </is>
      </c>
      <c r="L7063" t="inlineStr">
        <is>
          <t>12:17:00</t>
        </is>
      </c>
      <c r="Q7063" t="inlineStr">
        <is>
          <t>1</t>
        </is>
      </c>
    </row>
    <row r="7064" ht="15" customHeight="1" s="37">
      <c r="A7064" t="n">
        <v>2</v>
      </c>
      <c r="B7064" s="10" t="inlineStr">
        <is>
          <t>平日</t>
        </is>
      </c>
      <c r="C7064" s="10" t="inlineStr">
        <is>
          <t>本線</t>
        </is>
      </c>
      <c r="D7064" s="10" t="inlineStr">
        <is>
          <t>下り</t>
        </is>
      </c>
      <c r="E7064" t="inlineStr">
        <is>
          <t>1205</t>
        </is>
      </c>
      <c r="F7064" t="inlineStr">
        <is>
          <t>0112</t>
        </is>
      </c>
      <c r="G7064" s="10" t="inlineStr">
        <is>
          <t>四条大宮</t>
        </is>
      </c>
      <c r="H7064" s="10" t="inlineStr">
        <is>
          <t>発</t>
        </is>
      </c>
      <c r="J7064" s="10" t="inlineStr">
        <is>
          <t>営業</t>
        </is>
      </c>
      <c r="M7064" t="inlineStr">
        <is>
          <t>12:23:00</t>
        </is>
      </c>
      <c r="Q7064" t="inlineStr">
        <is>
          <t>1</t>
        </is>
      </c>
    </row>
    <row r="7065" ht="15" customHeight="1" s="37">
      <c r="A7065" t="n">
        <v>2</v>
      </c>
      <c r="B7065" s="10" t="inlineStr">
        <is>
          <t>平日</t>
        </is>
      </c>
      <c r="C7065" s="10" t="inlineStr">
        <is>
          <t>本線</t>
        </is>
      </c>
      <c r="D7065" s="10" t="inlineStr">
        <is>
          <t>下り</t>
        </is>
      </c>
      <c r="E7065" t="inlineStr">
        <is>
          <t>1205</t>
        </is>
      </c>
      <c r="F7065" t="inlineStr">
        <is>
          <t>0112</t>
        </is>
      </c>
      <c r="G7065" s="10" t="inlineStr">
        <is>
          <t>西院</t>
        </is>
      </c>
      <c r="H7065" s="10" t="inlineStr">
        <is>
          <t>発</t>
        </is>
      </c>
      <c r="J7065" s="10" t="inlineStr">
        <is>
          <t>営業</t>
        </is>
      </c>
      <c r="L7065" t="inlineStr">
        <is>
          <t>12:25:50</t>
        </is>
      </c>
      <c r="M7065" t="inlineStr">
        <is>
          <t>12:26:20</t>
        </is>
      </c>
    </row>
    <row r="7066" ht="15" customHeight="1" s="37">
      <c r="A7066" t="n">
        <v>2</v>
      </c>
      <c r="B7066" s="10" t="inlineStr">
        <is>
          <t>平日</t>
        </is>
      </c>
      <c r="C7066" s="10" t="inlineStr">
        <is>
          <t>本線</t>
        </is>
      </c>
      <c r="D7066" s="10" t="inlineStr">
        <is>
          <t>下り</t>
        </is>
      </c>
      <c r="E7066" t="inlineStr">
        <is>
          <t>1205</t>
        </is>
      </c>
      <c r="F7066" t="inlineStr">
        <is>
          <t>0112</t>
        </is>
      </c>
      <c r="G7066" s="10" t="inlineStr">
        <is>
          <t>西大路三条</t>
        </is>
      </c>
      <c r="H7066" s="10" t="inlineStr">
        <is>
          <t>発</t>
        </is>
      </c>
      <c r="J7066" s="10" t="inlineStr">
        <is>
          <t>営業</t>
        </is>
      </c>
      <c r="L7066" t="inlineStr">
        <is>
          <t>12:28:10</t>
        </is>
      </c>
      <c r="M7066" t="inlineStr">
        <is>
          <t>12:28:30</t>
        </is>
      </c>
    </row>
    <row r="7067" ht="15" customHeight="1" s="37">
      <c r="A7067" t="n">
        <v>2</v>
      </c>
      <c r="B7067" s="10" t="inlineStr">
        <is>
          <t>平日</t>
        </is>
      </c>
      <c r="C7067" s="10" t="inlineStr">
        <is>
          <t>本線</t>
        </is>
      </c>
      <c r="D7067" s="10" t="inlineStr">
        <is>
          <t>下り</t>
        </is>
      </c>
      <c r="E7067" t="inlineStr">
        <is>
          <t>1205</t>
        </is>
      </c>
      <c r="F7067" t="inlineStr">
        <is>
          <t>0112</t>
        </is>
      </c>
      <c r="G7067" s="10" t="inlineStr">
        <is>
          <t>山ノ内</t>
        </is>
      </c>
      <c r="H7067" s="10" t="inlineStr">
        <is>
          <t>発</t>
        </is>
      </c>
      <c r="J7067" s="10" t="inlineStr">
        <is>
          <t>営業</t>
        </is>
      </c>
      <c r="L7067" t="inlineStr">
        <is>
          <t>12:30:25</t>
        </is>
      </c>
      <c r="M7067" t="inlineStr">
        <is>
          <t>12:30:50</t>
        </is>
      </c>
    </row>
    <row r="7068" ht="15" customHeight="1" s="37">
      <c r="A7068" t="n">
        <v>2</v>
      </c>
      <c r="B7068" s="10" t="inlineStr">
        <is>
          <t>平日</t>
        </is>
      </c>
      <c r="C7068" s="10" t="inlineStr">
        <is>
          <t>本線</t>
        </is>
      </c>
      <c r="D7068" s="10" t="inlineStr">
        <is>
          <t>下り</t>
        </is>
      </c>
      <c r="E7068" t="inlineStr">
        <is>
          <t>1205</t>
        </is>
      </c>
      <c r="F7068" t="inlineStr">
        <is>
          <t>0112</t>
        </is>
      </c>
      <c r="G7068" s="10" t="inlineStr">
        <is>
          <t>天神川</t>
        </is>
      </c>
      <c r="H7068" s="10" t="inlineStr">
        <is>
          <t>発</t>
        </is>
      </c>
      <c r="J7068" s="10" t="inlineStr">
        <is>
          <t>営業</t>
        </is>
      </c>
      <c r="L7068" t="inlineStr">
        <is>
          <t>12:32:50</t>
        </is>
      </c>
      <c r="M7068" t="inlineStr">
        <is>
          <t>12:33:30</t>
        </is>
      </c>
    </row>
    <row r="7069" ht="15" customHeight="1" s="37">
      <c r="A7069" t="n">
        <v>2</v>
      </c>
      <c r="B7069" s="10" t="inlineStr">
        <is>
          <t>平日</t>
        </is>
      </c>
      <c r="C7069" s="10" t="inlineStr">
        <is>
          <t>本線</t>
        </is>
      </c>
      <c r="D7069" s="10" t="inlineStr">
        <is>
          <t>下り</t>
        </is>
      </c>
      <c r="E7069" t="inlineStr">
        <is>
          <t>1205</t>
        </is>
      </c>
      <c r="F7069" t="inlineStr">
        <is>
          <t>0112</t>
        </is>
      </c>
      <c r="G7069" s="10" t="inlineStr">
        <is>
          <t>蚕ノ社</t>
        </is>
      </c>
      <c r="H7069" s="10" t="inlineStr">
        <is>
          <t>発</t>
        </is>
      </c>
      <c r="J7069" s="10" t="inlineStr">
        <is>
          <t>営業</t>
        </is>
      </c>
      <c r="L7069" t="inlineStr">
        <is>
          <t>12:34:20</t>
        </is>
      </c>
      <c r="M7069" t="inlineStr">
        <is>
          <t>12:34:40</t>
        </is>
      </c>
    </row>
    <row r="7070" ht="15" customHeight="1" s="37">
      <c r="A7070" t="n">
        <v>2</v>
      </c>
      <c r="B7070" s="10" t="inlineStr">
        <is>
          <t>平日</t>
        </is>
      </c>
      <c r="C7070" s="10" t="inlineStr">
        <is>
          <t>本線</t>
        </is>
      </c>
      <c r="D7070" s="10" t="inlineStr">
        <is>
          <t>下り</t>
        </is>
      </c>
      <c r="E7070" t="inlineStr">
        <is>
          <t>1205</t>
        </is>
      </c>
      <c r="F7070" t="inlineStr">
        <is>
          <t>0112</t>
        </is>
      </c>
      <c r="G7070" s="10" t="inlineStr">
        <is>
          <t>太秦広隆寺</t>
        </is>
      </c>
      <c r="H7070" s="10" t="inlineStr">
        <is>
          <t>発</t>
        </is>
      </c>
      <c r="J7070" s="10" t="inlineStr">
        <is>
          <t>営業</t>
        </is>
      </c>
      <c r="L7070" t="inlineStr">
        <is>
          <t>12:36:00</t>
        </is>
      </c>
      <c r="M7070" t="inlineStr">
        <is>
          <t>12:36:20</t>
        </is>
      </c>
    </row>
    <row r="7071" ht="15" customHeight="1" s="37">
      <c r="A7071" t="n">
        <v>2</v>
      </c>
      <c r="B7071" s="10" t="inlineStr">
        <is>
          <t>平日</t>
        </is>
      </c>
      <c r="C7071" s="10" t="inlineStr">
        <is>
          <t>本線</t>
        </is>
      </c>
      <c r="D7071" s="10" t="inlineStr">
        <is>
          <t>下り</t>
        </is>
      </c>
      <c r="E7071" t="inlineStr">
        <is>
          <t>1205</t>
        </is>
      </c>
      <c r="F7071" t="inlineStr">
        <is>
          <t>0112</t>
        </is>
      </c>
      <c r="G7071" s="10" t="inlineStr">
        <is>
          <t>帷子ノ辻</t>
        </is>
      </c>
      <c r="H7071" s="10" t="inlineStr">
        <is>
          <t>発</t>
        </is>
      </c>
      <c r="J7071" s="10" t="inlineStr">
        <is>
          <t>営業</t>
        </is>
      </c>
      <c r="L7071" t="inlineStr">
        <is>
          <t>12:38:20</t>
        </is>
      </c>
      <c r="M7071" t="inlineStr">
        <is>
          <t>12:39:40</t>
        </is>
      </c>
    </row>
    <row r="7072" ht="15" customHeight="1" s="37">
      <c r="A7072" t="n">
        <v>2</v>
      </c>
      <c r="B7072" s="10" t="inlineStr">
        <is>
          <t>平日</t>
        </is>
      </c>
      <c r="C7072" s="10" t="inlineStr">
        <is>
          <t>本線</t>
        </is>
      </c>
      <c r="D7072" s="10" t="inlineStr">
        <is>
          <t>下り</t>
        </is>
      </c>
      <c r="E7072" t="inlineStr">
        <is>
          <t>1205</t>
        </is>
      </c>
      <c r="F7072" t="inlineStr">
        <is>
          <t>0112</t>
        </is>
      </c>
      <c r="G7072" s="10" t="inlineStr">
        <is>
          <t>有栖川</t>
        </is>
      </c>
      <c r="H7072" s="10" t="inlineStr">
        <is>
          <t>発</t>
        </is>
      </c>
      <c r="J7072" s="10" t="inlineStr">
        <is>
          <t>営業</t>
        </is>
      </c>
      <c r="L7072" t="inlineStr">
        <is>
          <t>12:40:50</t>
        </is>
      </c>
      <c r="M7072" t="inlineStr">
        <is>
          <t>12:41:15</t>
        </is>
      </c>
    </row>
    <row r="7073" ht="16.5" customHeight="1" s="37">
      <c r="A7073" t="n">
        <v>2</v>
      </c>
      <c r="B7073" s="10" t="inlineStr">
        <is>
          <t>平日</t>
        </is>
      </c>
      <c r="C7073" s="10" t="inlineStr">
        <is>
          <t>本線</t>
        </is>
      </c>
      <c r="D7073" s="10" t="inlineStr">
        <is>
          <t>下り</t>
        </is>
      </c>
      <c r="E7073" t="inlineStr">
        <is>
          <t>1205</t>
        </is>
      </c>
      <c r="F7073" t="inlineStr">
        <is>
          <t>0112</t>
        </is>
      </c>
      <c r="G7073" s="10" t="inlineStr">
        <is>
          <t>車折</t>
        </is>
      </c>
      <c r="H7073" s="10" t="inlineStr">
        <is>
          <t>発</t>
        </is>
      </c>
      <c r="J7073" s="10" t="inlineStr">
        <is>
          <t>営業</t>
        </is>
      </c>
      <c r="L7073" t="inlineStr">
        <is>
          <t>12:42:40</t>
        </is>
      </c>
      <c r="M7073" t="inlineStr">
        <is>
          <t>12:43:05</t>
        </is>
      </c>
    </row>
    <row r="7074" ht="16.5" customHeight="1" s="37">
      <c r="A7074" t="n">
        <v>2</v>
      </c>
      <c r="B7074" s="10" t="inlineStr">
        <is>
          <t>平日</t>
        </is>
      </c>
      <c r="C7074" s="10" t="inlineStr">
        <is>
          <t>本線</t>
        </is>
      </c>
      <c r="D7074" s="10" t="inlineStr">
        <is>
          <t>下り</t>
        </is>
      </c>
      <c r="E7074" t="inlineStr">
        <is>
          <t>1205</t>
        </is>
      </c>
      <c r="F7074" t="inlineStr">
        <is>
          <t>0112</t>
        </is>
      </c>
      <c r="G7074" s="10" t="inlineStr">
        <is>
          <t>鹿王院</t>
        </is>
      </c>
      <c r="H7074" s="10" t="inlineStr">
        <is>
          <t>発</t>
        </is>
      </c>
      <c r="J7074" s="10" t="inlineStr">
        <is>
          <t>営業</t>
        </is>
      </c>
      <c r="L7074" t="inlineStr">
        <is>
          <t>12:44:00</t>
        </is>
      </c>
      <c r="M7074" t="inlineStr">
        <is>
          <t>12:44:25</t>
        </is>
      </c>
    </row>
    <row r="7075" ht="16.5" customHeight="1" s="37">
      <c r="A7075" t="n">
        <v>2</v>
      </c>
      <c r="B7075" s="10" t="inlineStr">
        <is>
          <t>平日</t>
        </is>
      </c>
      <c r="C7075" s="10" t="inlineStr">
        <is>
          <t>本線</t>
        </is>
      </c>
      <c r="D7075" s="10" t="inlineStr">
        <is>
          <t>下り</t>
        </is>
      </c>
      <c r="E7075" t="inlineStr">
        <is>
          <t>1205</t>
        </is>
      </c>
      <c r="F7075" t="inlineStr">
        <is>
          <t>0112</t>
        </is>
      </c>
      <c r="G7075" s="10" t="inlineStr">
        <is>
          <t>嵯峨</t>
        </is>
      </c>
      <c r="H7075" s="10" t="inlineStr">
        <is>
          <t>発</t>
        </is>
      </c>
      <c r="J7075" s="10" t="inlineStr">
        <is>
          <t>営業</t>
        </is>
      </c>
      <c r="L7075" t="inlineStr">
        <is>
          <t>12:45:30</t>
        </is>
      </c>
      <c r="M7075" t="inlineStr">
        <is>
          <t>12:45:55</t>
        </is>
      </c>
    </row>
    <row r="7076" ht="16.5" customHeight="1" s="37">
      <c r="A7076" t="n">
        <v>2</v>
      </c>
      <c r="B7076" s="10" t="inlineStr">
        <is>
          <t>平日</t>
        </is>
      </c>
      <c r="C7076" s="10" t="inlineStr">
        <is>
          <t>本線</t>
        </is>
      </c>
      <c r="D7076" s="10" t="inlineStr">
        <is>
          <t>下り</t>
        </is>
      </c>
      <c r="E7076" t="inlineStr">
        <is>
          <t>1205</t>
        </is>
      </c>
      <c r="F7076" t="inlineStr">
        <is>
          <t>0112</t>
        </is>
      </c>
      <c r="G7076" s="10" t="inlineStr">
        <is>
          <t>嵐山</t>
        </is>
      </c>
      <c r="H7076" s="10" t="inlineStr">
        <is>
          <t>着</t>
        </is>
      </c>
      <c r="J7076" s="10" t="inlineStr">
        <is>
          <t>営業</t>
        </is>
      </c>
      <c r="L7076" t="inlineStr">
        <is>
          <t>12:47:00</t>
        </is>
      </c>
      <c r="Q7076" t="inlineStr">
        <is>
          <t>1</t>
        </is>
      </c>
    </row>
    <row r="7077" ht="16.5" customHeight="1" s="37">
      <c r="A7077" t="n">
        <v>2</v>
      </c>
      <c r="B7077" s="10" t="inlineStr">
        <is>
          <t>平日</t>
        </is>
      </c>
      <c r="C7077" s="10" t="inlineStr">
        <is>
          <t>本線</t>
        </is>
      </c>
      <c r="D7077" s="10" t="inlineStr">
        <is>
          <t>上り</t>
        </is>
      </c>
      <c r="E7077" t="inlineStr">
        <is>
          <t>1212</t>
        </is>
      </c>
      <c r="F7077" t="inlineStr">
        <is>
          <t>0211</t>
        </is>
      </c>
      <c r="G7077" s="10" t="inlineStr">
        <is>
          <t>嵐山</t>
        </is>
      </c>
      <c r="H7077" s="10" t="inlineStr">
        <is>
          <t>発</t>
        </is>
      </c>
      <c r="J7077" s="10" t="inlineStr">
        <is>
          <t>営業</t>
        </is>
      </c>
      <c r="M7077" t="inlineStr">
        <is>
          <t>12:53:00</t>
        </is>
      </c>
      <c r="Q7077" t="inlineStr">
        <is>
          <t>1</t>
        </is>
      </c>
    </row>
    <row r="7078" ht="16.5" customHeight="1" s="37">
      <c r="A7078" t="n">
        <v>2</v>
      </c>
      <c r="B7078" s="10" t="inlineStr">
        <is>
          <t>平日</t>
        </is>
      </c>
      <c r="C7078" s="10" t="inlineStr">
        <is>
          <t>本線</t>
        </is>
      </c>
      <c r="D7078" s="10" t="inlineStr">
        <is>
          <t>上り</t>
        </is>
      </c>
      <c r="E7078" t="inlineStr">
        <is>
          <t>1212</t>
        </is>
      </c>
      <c r="F7078" t="inlineStr">
        <is>
          <t>0211</t>
        </is>
      </c>
      <c r="G7078" s="10" t="inlineStr">
        <is>
          <t>嵯峨</t>
        </is>
      </c>
      <c r="H7078" s="10" t="inlineStr">
        <is>
          <t>発</t>
        </is>
      </c>
      <c r="J7078" s="10" t="inlineStr">
        <is>
          <t>営業</t>
        </is>
      </c>
      <c r="L7078" t="inlineStr">
        <is>
          <t>12:53:55</t>
        </is>
      </c>
      <c r="M7078" t="inlineStr">
        <is>
          <t>12:54:20</t>
        </is>
      </c>
    </row>
    <row r="7079" ht="16.5" customHeight="1" s="37">
      <c r="A7079" t="n">
        <v>2</v>
      </c>
      <c r="B7079" s="10" t="inlineStr">
        <is>
          <t>平日</t>
        </is>
      </c>
      <c r="C7079" s="10" t="inlineStr">
        <is>
          <t>本線</t>
        </is>
      </c>
      <c r="D7079" s="10" t="inlineStr">
        <is>
          <t>上り</t>
        </is>
      </c>
      <c r="E7079" t="inlineStr">
        <is>
          <t>1212</t>
        </is>
      </c>
      <c r="F7079" t="inlineStr">
        <is>
          <t>0211</t>
        </is>
      </c>
      <c r="G7079" s="10" t="inlineStr">
        <is>
          <t>鹿王院</t>
        </is>
      </c>
      <c r="H7079" s="10" t="inlineStr">
        <is>
          <t>発</t>
        </is>
      </c>
      <c r="J7079" s="10" t="inlineStr">
        <is>
          <t>営業</t>
        </is>
      </c>
      <c r="L7079" t="inlineStr">
        <is>
          <t>12:55:25</t>
        </is>
      </c>
      <c r="M7079" t="inlineStr">
        <is>
          <t>12:55:45</t>
        </is>
      </c>
    </row>
    <row r="7080" ht="16.5" customHeight="1" s="37">
      <c r="A7080" t="n">
        <v>2</v>
      </c>
      <c r="B7080" s="10" t="inlineStr">
        <is>
          <t>平日</t>
        </is>
      </c>
      <c r="C7080" s="10" t="inlineStr">
        <is>
          <t>本線</t>
        </is>
      </c>
      <c r="D7080" s="10" t="inlineStr">
        <is>
          <t>上り</t>
        </is>
      </c>
      <c r="E7080" t="inlineStr">
        <is>
          <t>1212</t>
        </is>
      </c>
      <c r="F7080" t="inlineStr">
        <is>
          <t>0211</t>
        </is>
      </c>
      <c r="G7080" s="10" t="inlineStr">
        <is>
          <t>車折</t>
        </is>
      </c>
      <c r="H7080" s="10" t="inlineStr">
        <is>
          <t>発</t>
        </is>
      </c>
      <c r="J7080" s="10" t="inlineStr">
        <is>
          <t>営業</t>
        </is>
      </c>
      <c r="L7080" t="inlineStr">
        <is>
          <t>12:56:40</t>
        </is>
      </c>
      <c r="M7080" t="inlineStr">
        <is>
          <t>12:57:10</t>
        </is>
      </c>
    </row>
    <row r="7081" ht="16.5" customHeight="1" s="37">
      <c r="A7081" t="n">
        <v>2</v>
      </c>
      <c r="B7081" s="10" t="inlineStr">
        <is>
          <t>平日</t>
        </is>
      </c>
      <c r="C7081" s="10" t="inlineStr">
        <is>
          <t>本線</t>
        </is>
      </c>
      <c r="D7081" s="10" t="inlineStr">
        <is>
          <t>上り</t>
        </is>
      </c>
      <c r="E7081" t="inlineStr">
        <is>
          <t>1212</t>
        </is>
      </c>
      <c r="F7081" t="inlineStr">
        <is>
          <t>0211</t>
        </is>
      </c>
      <c r="G7081" s="10" t="inlineStr">
        <is>
          <t>有栖川</t>
        </is>
      </c>
      <c r="H7081" s="10" t="inlineStr">
        <is>
          <t>発</t>
        </is>
      </c>
      <c r="J7081" s="10" t="inlineStr">
        <is>
          <t>営業</t>
        </is>
      </c>
      <c r="L7081" t="inlineStr">
        <is>
          <t>12:58:35</t>
        </is>
      </c>
      <c r="M7081" t="inlineStr">
        <is>
          <t>12:58:55</t>
        </is>
      </c>
    </row>
    <row r="7082" ht="16.5" customHeight="1" s="37">
      <c r="A7082" t="n">
        <v>2</v>
      </c>
      <c r="B7082" s="10" t="inlineStr">
        <is>
          <t>平日</t>
        </is>
      </c>
      <c r="C7082" s="10" t="inlineStr">
        <is>
          <t>本線</t>
        </is>
      </c>
      <c r="D7082" s="10" t="inlineStr">
        <is>
          <t>上り</t>
        </is>
      </c>
      <c r="E7082" t="inlineStr">
        <is>
          <t>1212</t>
        </is>
      </c>
      <c r="F7082" t="inlineStr">
        <is>
          <t>0211</t>
        </is>
      </c>
      <c r="G7082" s="10" t="inlineStr">
        <is>
          <t>帷子ノ辻</t>
        </is>
      </c>
      <c r="H7082" s="10" t="inlineStr">
        <is>
          <t>発</t>
        </is>
      </c>
      <c r="J7082" s="10" t="inlineStr">
        <is>
          <t>営業</t>
        </is>
      </c>
      <c r="L7082" t="inlineStr">
        <is>
          <t>13:00:10</t>
        </is>
      </c>
      <c r="M7082" t="inlineStr">
        <is>
          <t>13:01:15</t>
        </is>
      </c>
    </row>
    <row r="7083" ht="16.5" customHeight="1" s="37">
      <c r="A7083" t="n">
        <v>2</v>
      </c>
      <c r="B7083" s="10" t="inlineStr">
        <is>
          <t>平日</t>
        </is>
      </c>
      <c r="C7083" s="10" t="inlineStr">
        <is>
          <t>本線</t>
        </is>
      </c>
      <c r="D7083" s="10" t="inlineStr">
        <is>
          <t>上り</t>
        </is>
      </c>
      <c r="E7083" t="inlineStr">
        <is>
          <t>1212</t>
        </is>
      </c>
      <c r="F7083" t="inlineStr">
        <is>
          <t>0211</t>
        </is>
      </c>
      <c r="G7083" s="10" t="inlineStr">
        <is>
          <t>太秦広隆寺</t>
        </is>
      </c>
      <c r="H7083" s="10" t="inlineStr">
        <is>
          <t>発</t>
        </is>
      </c>
      <c r="J7083" s="10" t="inlineStr">
        <is>
          <t>営業</t>
        </is>
      </c>
      <c r="L7083" t="inlineStr">
        <is>
          <t>13:03:25</t>
        </is>
      </c>
      <c r="M7083" t="inlineStr">
        <is>
          <t>13:03:45</t>
        </is>
      </c>
    </row>
    <row r="7084" ht="16.5" customHeight="1" s="37">
      <c r="A7084" t="n">
        <v>2</v>
      </c>
      <c r="B7084" s="10" t="inlineStr">
        <is>
          <t>平日</t>
        </is>
      </c>
      <c r="C7084" s="10" t="inlineStr">
        <is>
          <t>本線</t>
        </is>
      </c>
      <c r="D7084" s="10" t="inlineStr">
        <is>
          <t>上り</t>
        </is>
      </c>
      <c r="E7084" t="inlineStr">
        <is>
          <t>1212</t>
        </is>
      </c>
      <c r="F7084" t="inlineStr">
        <is>
          <t>0211</t>
        </is>
      </c>
      <c r="G7084" s="10" t="inlineStr">
        <is>
          <t>蚕ノ社</t>
        </is>
      </c>
      <c r="H7084" s="10" t="inlineStr">
        <is>
          <t>発</t>
        </is>
      </c>
      <c r="J7084" s="10" t="inlineStr">
        <is>
          <t>営業</t>
        </is>
      </c>
      <c r="L7084" t="inlineStr">
        <is>
          <t>13:05:00</t>
        </is>
      </c>
      <c r="M7084" t="inlineStr">
        <is>
          <t>13:05:20</t>
        </is>
      </c>
    </row>
    <row r="7085" ht="16.5" customHeight="1" s="37">
      <c r="A7085" t="n">
        <v>2</v>
      </c>
      <c r="B7085" s="10" t="inlineStr">
        <is>
          <t>平日</t>
        </is>
      </c>
      <c r="C7085" s="10" t="inlineStr">
        <is>
          <t>本線</t>
        </is>
      </c>
      <c r="D7085" s="10" t="inlineStr">
        <is>
          <t>上り</t>
        </is>
      </c>
      <c r="E7085" t="inlineStr">
        <is>
          <t>1212</t>
        </is>
      </c>
      <c r="F7085" t="inlineStr">
        <is>
          <t>0211</t>
        </is>
      </c>
      <c r="G7085" s="10" t="inlineStr">
        <is>
          <t>天神川</t>
        </is>
      </c>
      <c r="H7085" s="10" t="inlineStr">
        <is>
          <t>発</t>
        </is>
      </c>
      <c r="J7085" s="10" t="inlineStr">
        <is>
          <t>営業</t>
        </is>
      </c>
      <c r="L7085" t="inlineStr">
        <is>
          <t>13:06:05</t>
        </is>
      </c>
      <c r="M7085" t="inlineStr">
        <is>
          <t>13:06:50</t>
        </is>
      </c>
    </row>
    <row r="7086" ht="16.5" customHeight="1" s="37">
      <c r="A7086" t="n">
        <v>2</v>
      </c>
      <c r="B7086" s="10" t="inlineStr">
        <is>
          <t>平日</t>
        </is>
      </c>
      <c r="C7086" s="10" t="inlineStr">
        <is>
          <t>本線</t>
        </is>
      </c>
      <c r="D7086" s="10" t="inlineStr">
        <is>
          <t>上り</t>
        </is>
      </c>
      <c r="E7086" t="inlineStr">
        <is>
          <t>1212</t>
        </is>
      </c>
      <c r="F7086" t="inlineStr">
        <is>
          <t>0211</t>
        </is>
      </c>
      <c r="G7086" s="10" t="inlineStr">
        <is>
          <t>山ノ内</t>
        </is>
      </c>
      <c r="H7086" s="10" t="inlineStr">
        <is>
          <t>発</t>
        </is>
      </c>
      <c r="J7086" s="10" t="inlineStr">
        <is>
          <t>営業</t>
        </is>
      </c>
      <c r="L7086" t="inlineStr">
        <is>
          <t>13:08:40</t>
        </is>
      </c>
      <c r="M7086" t="inlineStr">
        <is>
          <t>13:09:05</t>
        </is>
      </c>
    </row>
    <row r="7087" ht="16.5" customHeight="1" s="37">
      <c r="A7087" t="n">
        <v>2</v>
      </c>
      <c r="B7087" s="10" t="inlineStr">
        <is>
          <t>平日</t>
        </is>
      </c>
      <c r="C7087" s="10" t="inlineStr">
        <is>
          <t>本線</t>
        </is>
      </c>
      <c r="D7087" s="10" t="inlineStr">
        <is>
          <t>上り</t>
        </is>
      </c>
      <c r="E7087" t="inlineStr">
        <is>
          <t>1212</t>
        </is>
      </c>
      <c r="F7087" t="inlineStr">
        <is>
          <t>0211</t>
        </is>
      </c>
      <c r="G7087" s="10" t="inlineStr">
        <is>
          <t>西大路三条</t>
        </is>
      </c>
      <c r="H7087" s="10" t="inlineStr">
        <is>
          <t>発</t>
        </is>
      </c>
      <c r="J7087" s="10" t="inlineStr">
        <is>
          <t>営業</t>
        </is>
      </c>
      <c r="L7087" t="inlineStr">
        <is>
          <t>13:10:55</t>
        </is>
      </c>
      <c r="M7087" t="inlineStr">
        <is>
          <t>13:11:15</t>
        </is>
      </c>
    </row>
    <row r="7088" ht="16.5" customHeight="1" s="37">
      <c r="A7088" t="n">
        <v>2</v>
      </c>
      <c r="B7088" s="10" t="inlineStr">
        <is>
          <t>平日</t>
        </is>
      </c>
      <c r="C7088" s="10" t="inlineStr">
        <is>
          <t>本線</t>
        </is>
      </c>
      <c r="D7088" s="10" t="inlineStr">
        <is>
          <t>上り</t>
        </is>
      </c>
      <c r="E7088" t="inlineStr">
        <is>
          <t>1212</t>
        </is>
      </c>
      <c r="F7088" t="inlineStr">
        <is>
          <t>0211</t>
        </is>
      </c>
      <c r="G7088" s="10" t="inlineStr">
        <is>
          <t>西院</t>
        </is>
      </c>
      <c r="H7088" s="10" t="inlineStr">
        <is>
          <t>発</t>
        </is>
      </c>
      <c r="J7088" s="10" t="inlineStr">
        <is>
          <t>営業</t>
        </is>
      </c>
      <c r="L7088" t="inlineStr">
        <is>
          <t>13:13:10</t>
        </is>
      </c>
      <c r="M7088" t="inlineStr">
        <is>
          <t>13:14:05</t>
        </is>
      </c>
    </row>
    <row r="7089" ht="16.5" customHeight="1" s="37">
      <c r="A7089" t="n">
        <v>2</v>
      </c>
      <c r="B7089" s="10" t="inlineStr">
        <is>
          <t>平日</t>
        </is>
      </c>
      <c r="C7089" s="10" t="inlineStr">
        <is>
          <t>本線</t>
        </is>
      </c>
      <c r="D7089" s="10" t="inlineStr">
        <is>
          <t>上り</t>
        </is>
      </c>
      <c r="E7089" t="inlineStr">
        <is>
          <t>1212</t>
        </is>
      </c>
      <c r="F7089" t="inlineStr">
        <is>
          <t>0211</t>
        </is>
      </c>
      <c r="G7089" s="10" t="inlineStr">
        <is>
          <t>四条大宮</t>
        </is>
      </c>
      <c r="H7089" s="10" t="inlineStr">
        <is>
          <t>着</t>
        </is>
      </c>
      <c r="J7089" s="10" t="inlineStr">
        <is>
          <t>営業</t>
        </is>
      </c>
      <c r="L7089" t="inlineStr">
        <is>
          <t>13:17:00</t>
        </is>
      </c>
      <c r="Q7089" t="inlineStr">
        <is>
          <t>1</t>
        </is>
      </c>
    </row>
    <row r="7090" ht="16.5" customHeight="1" s="37">
      <c r="A7090" t="n">
        <v>2</v>
      </c>
      <c r="B7090" s="10" t="inlineStr">
        <is>
          <t>平日</t>
        </is>
      </c>
      <c r="C7090" s="10" t="inlineStr">
        <is>
          <t>本線</t>
        </is>
      </c>
      <c r="D7090" s="10" t="inlineStr">
        <is>
          <t>下り</t>
        </is>
      </c>
      <c r="E7090" t="inlineStr">
        <is>
          <t>1305</t>
        </is>
      </c>
      <c r="F7090" t="inlineStr">
        <is>
          <t>0112</t>
        </is>
      </c>
      <c r="G7090" s="10" t="inlineStr">
        <is>
          <t>四条大宮</t>
        </is>
      </c>
      <c r="H7090" s="10" t="inlineStr">
        <is>
          <t>発</t>
        </is>
      </c>
      <c r="J7090" s="10" t="inlineStr">
        <is>
          <t>営業</t>
        </is>
      </c>
      <c r="M7090" t="inlineStr">
        <is>
          <t>13:23:00</t>
        </is>
      </c>
      <c r="Q7090" t="inlineStr">
        <is>
          <t>1</t>
        </is>
      </c>
    </row>
    <row r="7091" ht="16.5" customHeight="1" s="37">
      <c r="A7091" t="n">
        <v>2</v>
      </c>
      <c r="B7091" s="10" t="inlineStr">
        <is>
          <t>平日</t>
        </is>
      </c>
      <c r="C7091" s="10" t="inlineStr">
        <is>
          <t>本線</t>
        </is>
      </c>
      <c r="D7091" s="10" t="inlineStr">
        <is>
          <t>下り</t>
        </is>
      </c>
      <c r="E7091" t="inlineStr">
        <is>
          <t>1305</t>
        </is>
      </c>
      <c r="F7091" t="inlineStr">
        <is>
          <t>0112</t>
        </is>
      </c>
      <c r="G7091" s="10" t="inlineStr">
        <is>
          <t>西院</t>
        </is>
      </c>
      <c r="H7091" s="10" t="inlineStr">
        <is>
          <t>発</t>
        </is>
      </c>
      <c r="J7091" s="10" t="inlineStr">
        <is>
          <t>営業</t>
        </is>
      </c>
      <c r="L7091" t="inlineStr">
        <is>
          <t>13:25:50</t>
        </is>
      </c>
      <c r="M7091" t="inlineStr">
        <is>
          <t>13:26:20</t>
        </is>
      </c>
    </row>
    <row r="7092" ht="16.5" customHeight="1" s="37">
      <c r="A7092" t="n">
        <v>2</v>
      </c>
      <c r="B7092" s="10" t="inlineStr">
        <is>
          <t>平日</t>
        </is>
      </c>
      <c r="C7092" s="10" t="inlineStr">
        <is>
          <t>本線</t>
        </is>
      </c>
      <c r="D7092" s="10" t="inlineStr">
        <is>
          <t>下り</t>
        </is>
      </c>
      <c r="E7092" t="inlineStr">
        <is>
          <t>1305</t>
        </is>
      </c>
      <c r="F7092" t="inlineStr">
        <is>
          <t>0112</t>
        </is>
      </c>
      <c r="G7092" s="10" t="inlineStr">
        <is>
          <t>西大路三条</t>
        </is>
      </c>
      <c r="H7092" s="10" t="inlineStr">
        <is>
          <t>発</t>
        </is>
      </c>
      <c r="J7092" s="10" t="inlineStr">
        <is>
          <t>営業</t>
        </is>
      </c>
      <c r="L7092" t="inlineStr">
        <is>
          <t>13:28:10</t>
        </is>
      </c>
      <c r="M7092" t="inlineStr">
        <is>
          <t>13:28:30</t>
        </is>
      </c>
    </row>
    <row r="7093" ht="16.5" customHeight="1" s="37">
      <c r="A7093" t="n">
        <v>2</v>
      </c>
      <c r="B7093" s="10" t="inlineStr">
        <is>
          <t>平日</t>
        </is>
      </c>
      <c r="C7093" s="10" t="inlineStr">
        <is>
          <t>本線</t>
        </is>
      </c>
      <c r="D7093" s="10" t="inlineStr">
        <is>
          <t>下り</t>
        </is>
      </c>
      <c r="E7093" t="inlineStr">
        <is>
          <t>1305</t>
        </is>
      </c>
      <c r="F7093" t="inlineStr">
        <is>
          <t>0112</t>
        </is>
      </c>
      <c r="G7093" s="10" t="inlineStr">
        <is>
          <t>山ノ内</t>
        </is>
      </c>
      <c r="H7093" s="10" t="inlineStr">
        <is>
          <t>発</t>
        </is>
      </c>
      <c r="J7093" s="10" t="inlineStr">
        <is>
          <t>営業</t>
        </is>
      </c>
      <c r="L7093" t="inlineStr">
        <is>
          <t>13:30:25</t>
        </is>
      </c>
      <c r="M7093" t="inlineStr">
        <is>
          <t>13:30:50</t>
        </is>
      </c>
    </row>
    <row r="7094" ht="16.5" customHeight="1" s="37">
      <c r="A7094" t="n">
        <v>2</v>
      </c>
      <c r="B7094" s="10" t="inlineStr">
        <is>
          <t>平日</t>
        </is>
      </c>
      <c r="C7094" s="10" t="inlineStr">
        <is>
          <t>本線</t>
        </is>
      </c>
      <c r="D7094" s="10" t="inlineStr">
        <is>
          <t>下り</t>
        </is>
      </c>
      <c r="E7094" t="inlineStr">
        <is>
          <t>1305</t>
        </is>
      </c>
      <c r="F7094" t="inlineStr">
        <is>
          <t>0112</t>
        </is>
      </c>
      <c r="G7094" s="10" t="inlineStr">
        <is>
          <t>天神川</t>
        </is>
      </c>
      <c r="H7094" s="10" t="inlineStr">
        <is>
          <t>発</t>
        </is>
      </c>
      <c r="J7094" s="10" t="inlineStr">
        <is>
          <t>営業</t>
        </is>
      </c>
      <c r="L7094" t="inlineStr">
        <is>
          <t>13:32:50</t>
        </is>
      </c>
      <c r="M7094" t="inlineStr">
        <is>
          <t>13:33:30</t>
        </is>
      </c>
    </row>
    <row r="7095" ht="16.5" customHeight="1" s="37">
      <c r="A7095" t="n">
        <v>2</v>
      </c>
      <c r="B7095" s="10" t="inlineStr">
        <is>
          <t>平日</t>
        </is>
      </c>
      <c r="C7095" s="10" t="inlineStr">
        <is>
          <t>本線</t>
        </is>
      </c>
      <c r="D7095" s="10" t="inlineStr">
        <is>
          <t>下り</t>
        </is>
      </c>
      <c r="E7095" t="inlineStr">
        <is>
          <t>1305</t>
        </is>
      </c>
      <c r="F7095" t="inlineStr">
        <is>
          <t>0112</t>
        </is>
      </c>
      <c r="G7095" s="10" t="inlineStr">
        <is>
          <t>蚕ノ社</t>
        </is>
      </c>
      <c r="H7095" s="10" t="inlineStr">
        <is>
          <t>発</t>
        </is>
      </c>
      <c r="J7095" s="10" t="inlineStr">
        <is>
          <t>営業</t>
        </is>
      </c>
      <c r="L7095" t="inlineStr">
        <is>
          <t>13:34:20</t>
        </is>
      </c>
      <c r="M7095" t="inlineStr">
        <is>
          <t>13:34:40</t>
        </is>
      </c>
    </row>
    <row r="7096" ht="16.5" customHeight="1" s="37">
      <c r="A7096" t="n">
        <v>2</v>
      </c>
      <c r="B7096" s="10" t="inlineStr">
        <is>
          <t>平日</t>
        </is>
      </c>
      <c r="C7096" s="10" t="inlineStr">
        <is>
          <t>本線</t>
        </is>
      </c>
      <c r="D7096" s="10" t="inlineStr">
        <is>
          <t>下り</t>
        </is>
      </c>
      <c r="E7096" t="inlineStr">
        <is>
          <t>1305</t>
        </is>
      </c>
      <c r="F7096" t="inlineStr">
        <is>
          <t>0112</t>
        </is>
      </c>
      <c r="G7096" s="10" t="inlineStr">
        <is>
          <t>太秦広隆寺</t>
        </is>
      </c>
      <c r="H7096" s="10" t="inlineStr">
        <is>
          <t>発</t>
        </is>
      </c>
      <c r="J7096" s="10" t="inlineStr">
        <is>
          <t>営業</t>
        </is>
      </c>
      <c r="L7096" t="inlineStr">
        <is>
          <t>13:36:00</t>
        </is>
      </c>
      <c r="M7096" t="inlineStr">
        <is>
          <t>13:36:20</t>
        </is>
      </c>
    </row>
    <row r="7097" ht="16.5" customHeight="1" s="37">
      <c r="A7097" t="n">
        <v>2</v>
      </c>
      <c r="B7097" s="10" t="inlineStr">
        <is>
          <t>平日</t>
        </is>
      </c>
      <c r="C7097" s="10" t="inlineStr">
        <is>
          <t>本線</t>
        </is>
      </c>
      <c r="D7097" s="10" t="inlineStr">
        <is>
          <t>下り</t>
        </is>
      </c>
      <c r="E7097" t="inlineStr">
        <is>
          <t>1305</t>
        </is>
      </c>
      <c r="F7097" t="inlineStr">
        <is>
          <t>0112</t>
        </is>
      </c>
      <c r="G7097" s="10" t="inlineStr">
        <is>
          <t>帷子ノ辻</t>
        </is>
      </c>
      <c r="H7097" s="10" t="inlineStr">
        <is>
          <t>発</t>
        </is>
      </c>
      <c r="J7097" s="10" t="inlineStr">
        <is>
          <t>営業</t>
        </is>
      </c>
      <c r="L7097" t="inlineStr">
        <is>
          <t>13:38:20</t>
        </is>
      </c>
      <c r="M7097" t="inlineStr">
        <is>
          <t>13:39:40</t>
        </is>
      </c>
    </row>
    <row r="7098" ht="16.5" customHeight="1" s="37">
      <c r="A7098" t="n">
        <v>2</v>
      </c>
      <c r="B7098" s="10" t="inlineStr">
        <is>
          <t>平日</t>
        </is>
      </c>
      <c r="C7098" s="10" t="inlineStr">
        <is>
          <t>本線</t>
        </is>
      </c>
      <c r="D7098" s="10" t="inlineStr">
        <is>
          <t>下り</t>
        </is>
      </c>
      <c r="E7098" t="inlineStr">
        <is>
          <t>1305</t>
        </is>
      </c>
      <c r="F7098" t="inlineStr">
        <is>
          <t>0112</t>
        </is>
      </c>
      <c r="G7098" s="10" t="inlineStr">
        <is>
          <t>有栖川</t>
        </is>
      </c>
      <c r="H7098" s="10" t="inlineStr">
        <is>
          <t>発</t>
        </is>
      </c>
      <c r="J7098" s="10" t="inlineStr">
        <is>
          <t>営業</t>
        </is>
      </c>
      <c r="L7098" t="inlineStr">
        <is>
          <t>13:40:50</t>
        </is>
      </c>
      <c r="M7098" t="inlineStr">
        <is>
          <t>13:41:15</t>
        </is>
      </c>
    </row>
    <row r="7099" ht="16.5" customHeight="1" s="37">
      <c r="A7099" t="n">
        <v>2</v>
      </c>
      <c r="B7099" s="10" t="inlineStr">
        <is>
          <t>平日</t>
        </is>
      </c>
      <c r="C7099" s="10" t="inlineStr">
        <is>
          <t>本線</t>
        </is>
      </c>
      <c r="D7099" s="10" t="inlineStr">
        <is>
          <t>下り</t>
        </is>
      </c>
      <c r="E7099" t="inlineStr">
        <is>
          <t>1305</t>
        </is>
      </c>
      <c r="F7099" t="inlineStr">
        <is>
          <t>0112</t>
        </is>
      </c>
      <c r="G7099" s="10" t="inlineStr">
        <is>
          <t>車折</t>
        </is>
      </c>
      <c r="H7099" s="10" t="inlineStr">
        <is>
          <t>発</t>
        </is>
      </c>
      <c r="J7099" s="10" t="inlineStr">
        <is>
          <t>営業</t>
        </is>
      </c>
      <c r="L7099" t="inlineStr">
        <is>
          <t>13:42:40</t>
        </is>
      </c>
      <c r="M7099" t="inlineStr">
        <is>
          <t>13:43:05</t>
        </is>
      </c>
    </row>
    <row r="7100" ht="16.5" customHeight="1" s="37">
      <c r="A7100" t="n">
        <v>2</v>
      </c>
      <c r="B7100" s="10" t="inlineStr">
        <is>
          <t>平日</t>
        </is>
      </c>
      <c r="C7100" s="10" t="inlineStr">
        <is>
          <t>本線</t>
        </is>
      </c>
      <c r="D7100" s="10" t="inlineStr">
        <is>
          <t>下り</t>
        </is>
      </c>
      <c r="E7100" t="inlineStr">
        <is>
          <t>1305</t>
        </is>
      </c>
      <c r="F7100" t="inlineStr">
        <is>
          <t>0112</t>
        </is>
      </c>
      <c r="G7100" s="10" t="inlineStr">
        <is>
          <t>鹿王院</t>
        </is>
      </c>
      <c r="H7100" s="10" t="inlineStr">
        <is>
          <t>発</t>
        </is>
      </c>
      <c r="J7100" s="10" t="inlineStr">
        <is>
          <t>営業</t>
        </is>
      </c>
      <c r="L7100" t="inlineStr">
        <is>
          <t>13:44:00</t>
        </is>
      </c>
      <c r="M7100" t="inlineStr">
        <is>
          <t>13:44:25</t>
        </is>
      </c>
    </row>
    <row r="7101" ht="16.5" customHeight="1" s="37">
      <c r="A7101" t="n">
        <v>2</v>
      </c>
      <c r="B7101" s="10" t="inlineStr">
        <is>
          <t>平日</t>
        </is>
      </c>
      <c r="C7101" s="10" t="inlineStr">
        <is>
          <t>本線</t>
        </is>
      </c>
      <c r="D7101" s="10" t="inlineStr">
        <is>
          <t>下り</t>
        </is>
      </c>
      <c r="E7101" t="inlineStr">
        <is>
          <t>1305</t>
        </is>
      </c>
      <c r="F7101" t="inlineStr">
        <is>
          <t>0112</t>
        </is>
      </c>
      <c r="G7101" s="10" t="inlineStr">
        <is>
          <t>嵯峨</t>
        </is>
      </c>
      <c r="H7101" s="10" t="inlineStr">
        <is>
          <t>発</t>
        </is>
      </c>
      <c r="J7101" s="10" t="inlineStr">
        <is>
          <t>営業</t>
        </is>
      </c>
      <c r="L7101" t="inlineStr">
        <is>
          <t>13:45:30</t>
        </is>
      </c>
      <c r="M7101" t="inlineStr">
        <is>
          <t>13:45:55</t>
        </is>
      </c>
    </row>
    <row r="7102" ht="16.5" customHeight="1" s="37">
      <c r="A7102" t="n">
        <v>2</v>
      </c>
      <c r="B7102" s="10" t="inlineStr">
        <is>
          <t>平日</t>
        </is>
      </c>
      <c r="C7102" s="10" t="inlineStr">
        <is>
          <t>本線</t>
        </is>
      </c>
      <c r="D7102" s="10" t="inlineStr">
        <is>
          <t>下り</t>
        </is>
      </c>
      <c r="E7102" t="inlineStr">
        <is>
          <t>1305</t>
        </is>
      </c>
      <c r="F7102" t="inlineStr">
        <is>
          <t>0112</t>
        </is>
      </c>
      <c r="G7102" s="10" t="inlineStr">
        <is>
          <t>嵐山</t>
        </is>
      </c>
      <c r="H7102" s="10" t="inlineStr">
        <is>
          <t>着</t>
        </is>
      </c>
      <c r="J7102" s="10" t="inlineStr">
        <is>
          <t>営業</t>
        </is>
      </c>
      <c r="L7102" t="inlineStr">
        <is>
          <t>13:47:00</t>
        </is>
      </c>
      <c r="Q7102" t="inlineStr">
        <is>
          <t>1</t>
        </is>
      </c>
    </row>
    <row r="7103" ht="16.5" customHeight="1" s="37">
      <c r="A7103" t="n">
        <v>2</v>
      </c>
      <c r="B7103" s="10" t="inlineStr">
        <is>
          <t>平日</t>
        </is>
      </c>
      <c r="C7103" s="10" t="inlineStr">
        <is>
          <t>本線</t>
        </is>
      </c>
      <c r="D7103" s="10" t="inlineStr">
        <is>
          <t>上り</t>
        </is>
      </c>
      <c r="E7103" t="inlineStr">
        <is>
          <t>1312</t>
        </is>
      </c>
      <c r="F7103" t="inlineStr">
        <is>
          <t>0211</t>
        </is>
      </c>
      <c r="G7103" s="10" t="inlineStr">
        <is>
          <t>嵐山</t>
        </is>
      </c>
      <c r="H7103" s="10" t="inlineStr">
        <is>
          <t>発</t>
        </is>
      </c>
      <c r="J7103" s="10" t="inlineStr">
        <is>
          <t>営業</t>
        </is>
      </c>
      <c r="M7103" t="inlineStr">
        <is>
          <t>13:53:00</t>
        </is>
      </c>
      <c r="Q7103" t="inlineStr">
        <is>
          <t>1</t>
        </is>
      </c>
    </row>
    <row r="7104" ht="16.5" customHeight="1" s="37">
      <c r="A7104" t="n">
        <v>2</v>
      </c>
      <c r="B7104" s="10" t="inlineStr">
        <is>
          <t>平日</t>
        </is>
      </c>
      <c r="C7104" s="10" t="inlineStr">
        <is>
          <t>本線</t>
        </is>
      </c>
      <c r="D7104" s="10" t="inlineStr">
        <is>
          <t>上り</t>
        </is>
      </c>
      <c r="E7104" t="inlineStr">
        <is>
          <t>1312</t>
        </is>
      </c>
      <c r="F7104" t="inlineStr">
        <is>
          <t>0211</t>
        </is>
      </c>
      <c r="G7104" s="10" t="inlineStr">
        <is>
          <t>嵯峨</t>
        </is>
      </c>
      <c r="H7104" s="10" t="inlineStr">
        <is>
          <t>発</t>
        </is>
      </c>
      <c r="J7104" s="10" t="inlineStr">
        <is>
          <t>営業</t>
        </is>
      </c>
      <c r="L7104" t="inlineStr">
        <is>
          <t>13:53:55</t>
        </is>
      </c>
      <c r="M7104" t="inlineStr">
        <is>
          <t>13:54:20</t>
        </is>
      </c>
    </row>
    <row r="7105" ht="16.5" customHeight="1" s="37">
      <c r="A7105" t="n">
        <v>2</v>
      </c>
      <c r="B7105" s="10" t="inlineStr">
        <is>
          <t>平日</t>
        </is>
      </c>
      <c r="C7105" s="10" t="inlineStr">
        <is>
          <t>本線</t>
        </is>
      </c>
      <c r="D7105" s="10" t="inlineStr">
        <is>
          <t>上り</t>
        </is>
      </c>
      <c r="E7105" t="inlineStr">
        <is>
          <t>1312</t>
        </is>
      </c>
      <c r="F7105" t="inlineStr">
        <is>
          <t>0211</t>
        </is>
      </c>
      <c r="G7105" s="10" t="inlineStr">
        <is>
          <t>鹿王院</t>
        </is>
      </c>
      <c r="H7105" s="10" t="inlineStr">
        <is>
          <t>発</t>
        </is>
      </c>
      <c r="J7105" s="10" t="inlineStr">
        <is>
          <t>営業</t>
        </is>
      </c>
      <c r="L7105" t="inlineStr">
        <is>
          <t>13:55:25</t>
        </is>
      </c>
      <c r="M7105" t="inlineStr">
        <is>
          <t>13:55:45</t>
        </is>
      </c>
    </row>
    <row r="7106" ht="16.5" customHeight="1" s="37">
      <c r="A7106" t="n">
        <v>2</v>
      </c>
      <c r="B7106" s="10" t="inlineStr">
        <is>
          <t>平日</t>
        </is>
      </c>
      <c r="C7106" s="10" t="inlineStr">
        <is>
          <t>本線</t>
        </is>
      </c>
      <c r="D7106" s="10" t="inlineStr">
        <is>
          <t>上り</t>
        </is>
      </c>
      <c r="E7106" t="inlineStr">
        <is>
          <t>1312</t>
        </is>
      </c>
      <c r="F7106" t="inlineStr">
        <is>
          <t>0211</t>
        </is>
      </c>
      <c r="G7106" s="10" t="inlineStr">
        <is>
          <t>車折</t>
        </is>
      </c>
      <c r="H7106" s="10" t="inlineStr">
        <is>
          <t>発</t>
        </is>
      </c>
      <c r="J7106" s="10" t="inlineStr">
        <is>
          <t>営業</t>
        </is>
      </c>
      <c r="L7106" t="inlineStr">
        <is>
          <t>13:56:40</t>
        </is>
      </c>
      <c r="M7106" t="inlineStr">
        <is>
          <t>13:57:10</t>
        </is>
      </c>
    </row>
    <row r="7107" ht="16.5" customHeight="1" s="37">
      <c r="A7107" t="n">
        <v>2</v>
      </c>
      <c r="B7107" s="10" t="inlineStr">
        <is>
          <t>平日</t>
        </is>
      </c>
      <c r="C7107" s="10" t="inlineStr">
        <is>
          <t>本線</t>
        </is>
      </c>
      <c r="D7107" s="10" t="inlineStr">
        <is>
          <t>上り</t>
        </is>
      </c>
      <c r="E7107" t="inlineStr">
        <is>
          <t>1312</t>
        </is>
      </c>
      <c r="F7107" t="inlineStr">
        <is>
          <t>0211</t>
        </is>
      </c>
      <c r="G7107" s="10" t="inlineStr">
        <is>
          <t>有栖川</t>
        </is>
      </c>
      <c r="H7107" s="10" t="inlineStr">
        <is>
          <t>発</t>
        </is>
      </c>
      <c r="J7107" s="10" t="inlineStr">
        <is>
          <t>営業</t>
        </is>
      </c>
      <c r="L7107" t="inlineStr">
        <is>
          <t>13:58:35</t>
        </is>
      </c>
      <c r="M7107" t="inlineStr">
        <is>
          <t>13:58:55</t>
        </is>
      </c>
    </row>
    <row r="7108" ht="16.5" customHeight="1" s="37">
      <c r="A7108" t="n">
        <v>2</v>
      </c>
      <c r="B7108" s="10" t="inlineStr">
        <is>
          <t>平日</t>
        </is>
      </c>
      <c r="C7108" s="10" t="inlineStr">
        <is>
          <t>本線</t>
        </is>
      </c>
      <c r="D7108" s="10" t="inlineStr">
        <is>
          <t>上り</t>
        </is>
      </c>
      <c r="E7108" t="inlineStr">
        <is>
          <t>1312</t>
        </is>
      </c>
      <c r="F7108" t="inlineStr">
        <is>
          <t>0211</t>
        </is>
      </c>
      <c r="G7108" s="10" t="inlineStr">
        <is>
          <t>帷子ノ辻</t>
        </is>
      </c>
      <c r="H7108" s="10" t="inlineStr">
        <is>
          <t>発</t>
        </is>
      </c>
      <c r="J7108" s="10" t="inlineStr">
        <is>
          <t>営業</t>
        </is>
      </c>
      <c r="L7108" t="inlineStr">
        <is>
          <t>14:00:10</t>
        </is>
      </c>
      <c r="M7108" t="inlineStr">
        <is>
          <t>14:01:15</t>
        </is>
      </c>
    </row>
    <row r="7109" ht="16.5" customHeight="1" s="37">
      <c r="A7109" t="n">
        <v>2</v>
      </c>
      <c r="B7109" s="10" t="inlineStr">
        <is>
          <t>平日</t>
        </is>
      </c>
      <c r="C7109" s="10" t="inlineStr">
        <is>
          <t>本線</t>
        </is>
      </c>
      <c r="D7109" s="10" t="inlineStr">
        <is>
          <t>上り</t>
        </is>
      </c>
      <c r="E7109" t="inlineStr">
        <is>
          <t>1312</t>
        </is>
      </c>
      <c r="F7109" t="inlineStr">
        <is>
          <t>0211</t>
        </is>
      </c>
      <c r="G7109" s="10" t="inlineStr">
        <is>
          <t>太秦広隆寺</t>
        </is>
      </c>
      <c r="H7109" s="10" t="inlineStr">
        <is>
          <t>発</t>
        </is>
      </c>
      <c r="J7109" s="10" t="inlineStr">
        <is>
          <t>営業</t>
        </is>
      </c>
      <c r="L7109" t="inlineStr">
        <is>
          <t>14:03:25</t>
        </is>
      </c>
      <c r="M7109" t="inlineStr">
        <is>
          <t>14:03:45</t>
        </is>
      </c>
    </row>
    <row r="7110" ht="16.5" customHeight="1" s="37">
      <c r="A7110" t="n">
        <v>2</v>
      </c>
      <c r="B7110" s="10" t="inlineStr">
        <is>
          <t>平日</t>
        </is>
      </c>
      <c r="C7110" s="10" t="inlineStr">
        <is>
          <t>本線</t>
        </is>
      </c>
      <c r="D7110" s="10" t="inlineStr">
        <is>
          <t>上り</t>
        </is>
      </c>
      <c r="E7110" t="inlineStr">
        <is>
          <t>1312</t>
        </is>
      </c>
      <c r="F7110" t="inlineStr">
        <is>
          <t>0211</t>
        </is>
      </c>
      <c r="G7110" s="10" t="inlineStr">
        <is>
          <t>蚕ノ社</t>
        </is>
      </c>
      <c r="H7110" s="10" t="inlineStr">
        <is>
          <t>発</t>
        </is>
      </c>
      <c r="J7110" s="10" t="inlineStr">
        <is>
          <t>営業</t>
        </is>
      </c>
      <c r="L7110" t="inlineStr">
        <is>
          <t>14:05:00</t>
        </is>
      </c>
      <c r="M7110" t="inlineStr">
        <is>
          <t>14:05:20</t>
        </is>
      </c>
    </row>
    <row r="7111" ht="16.5" customHeight="1" s="37">
      <c r="A7111" t="n">
        <v>2</v>
      </c>
      <c r="B7111" s="10" t="inlineStr">
        <is>
          <t>平日</t>
        </is>
      </c>
      <c r="C7111" s="10" t="inlineStr">
        <is>
          <t>本線</t>
        </is>
      </c>
      <c r="D7111" s="10" t="inlineStr">
        <is>
          <t>上り</t>
        </is>
      </c>
      <c r="E7111" t="inlineStr">
        <is>
          <t>1312</t>
        </is>
      </c>
      <c r="F7111" t="inlineStr">
        <is>
          <t>0211</t>
        </is>
      </c>
      <c r="G7111" s="10" t="inlineStr">
        <is>
          <t>天神川</t>
        </is>
      </c>
      <c r="H7111" s="10" t="inlineStr">
        <is>
          <t>発</t>
        </is>
      </c>
      <c r="J7111" s="10" t="inlineStr">
        <is>
          <t>営業</t>
        </is>
      </c>
      <c r="L7111" t="inlineStr">
        <is>
          <t>14:06:05</t>
        </is>
      </c>
      <c r="M7111" t="inlineStr">
        <is>
          <t>14:06:50</t>
        </is>
      </c>
    </row>
    <row r="7112" ht="16.5" customHeight="1" s="37">
      <c r="A7112" t="n">
        <v>2</v>
      </c>
      <c r="B7112" s="10" t="inlineStr">
        <is>
          <t>平日</t>
        </is>
      </c>
      <c r="C7112" s="10" t="inlineStr">
        <is>
          <t>本線</t>
        </is>
      </c>
      <c r="D7112" s="10" t="inlineStr">
        <is>
          <t>上り</t>
        </is>
      </c>
      <c r="E7112" t="inlineStr">
        <is>
          <t>1312</t>
        </is>
      </c>
      <c r="F7112" t="inlineStr">
        <is>
          <t>0211</t>
        </is>
      </c>
      <c r="G7112" s="10" t="inlineStr">
        <is>
          <t>山ノ内</t>
        </is>
      </c>
      <c r="H7112" s="10" t="inlineStr">
        <is>
          <t>発</t>
        </is>
      </c>
      <c r="J7112" s="10" t="inlineStr">
        <is>
          <t>営業</t>
        </is>
      </c>
      <c r="L7112" t="inlineStr">
        <is>
          <t>14:08:40</t>
        </is>
      </c>
      <c r="M7112" t="inlineStr">
        <is>
          <t>14:09:05</t>
        </is>
      </c>
    </row>
    <row r="7113" ht="16.5" customHeight="1" s="37">
      <c r="A7113" t="n">
        <v>2</v>
      </c>
      <c r="B7113" s="10" t="inlineStr">
        <is>
          <t>平日</t>
        </is>
      </c>
      <c r="C7113" s="10" t="inlineStr">
        <is>
          <t>本線</t>
        </is>
      </c>
      <c r="D7113" s="10" t="inlineStr">
        <is>
          <t>上り</t>
        </is>
      </c>
      <c r="E7113" t="inlineStr">
        <is>
          <t>1312</t>
        </is>
      </c>
      <c r="F7113" t="inlineStr">
        <is>
          <t>0211</t>
        </is>
      </c>
      <c r="G7113" s="10" t="inlineStr">
        <is>
          <t>西大路三条</t>
        </is>
      </c>
      <c r="H7113" s="10" t="inlineStr">
        <is>
          <t>発</t>
        </is>
      </c>
      <c r="J7113" s="10" t="inlineStr">
        <is>
          <t>営業</t>
        </is>
      </c>
      <c r="L7113" t="inlineStr">
        <is>
          <t>14:10:55</t>
        </is>
      </c>
      <c r="M7113" t="inlineStr">
        <is>
          <t>14:11:15</t>
        </is>
      </c>
    </row>
    <row r="7114" ht="16.5" customHeight="1" s="37">
      <c r="A7114" t="n">
        <v>2</v>
      </c>
      <c r="B7114" s="10" t="inlineStr">
        <is>
          <t>平日</t>
        </is>
      </c>
      <c r="C7114" s="10" t="inlineStr">
        <is>
          <t>本線</t>
        </is>
      </c>
      <c r="D7114" s="10" t="inlineStr">
        <is>
          <t>上り</t>
        </is>
      </c>
      <c r="E7114" t="inlineStr">
        <is>
          <t>1312</t>
        </is>
      </c>
      <c r="F7114" t="inlineStr">
        <is>
          <t>0211</t>
        </is>
      </c>
      <c r="G7114" s="10" t="inlineStr">
        <is>
          <t>西院</t>
        </is>
      </c>
      <c r="H7114" s="10" t="inlineStr">
        <is>
          <t>発</t>
        </is>
      </c>
      <c r="J7114" s="10" t="inlineStr">
        <is>
          <t>営業</t>
        </is>
      </c>
      <c r="L7114" t="inlineStr">
        <is>
          <t>14:13:10</t>
        </is>
      </c>
      <c r="M7114" t="inlineStr">
        <is>
          <t>14:14:05</t>
        </is>
      </c>
    </row>
    <row r="7115" ht="16.5" customHeight="1" s="37">
      <c r="A7115" t="n">
        <v>2</v>
      </c>
      <c r="B7115" s="10" t="inlineStr">
        <is>
          <t>平日</t>
        </is>
      </c>
      <c r="C7115" s="10" t="inlineStr">
        <is>
          <t>本線</t>
        </is>
      </c>
      <c r="D7115" s="10" t="inlineStr">
        <is>
          <t>上り</t>
        </is>
      </c>
      <c r="E7115" t="inlineStr">
        <is>
          <t>1312</t>
        </is>
      </c>
      <c r="F7115" t="inlineStr">
        <is>
          <t>0211</t>
        </is>
      </c>
      <c r="G7115" s="10" t="inlineStr">
        <is>
          <t>四条大宮</t>
        </is>
      </c>
      <c r="H7115" s="10" t="inlineStr">
        <is>
          <t>着</t>
        </is>
      </c>
      <c r="J7115" s="10" t="inlineStr">
        <is>
          <t>営業</t>
        </is>
      </c>
      <c r="L7115" t="inlineStr">
        <is>
          <t>14:17:00</t>
        </is>
      </c>
      <c r="Q7115" t="inlineStr">
        <is>
          <t>1</t>
        </is>
      </c>
    </row>
    <row r="7116" ht="16.5" customHeight="1" s="37">
      <c r="A7116" t="n">
        <v>2</v>
      </c>
      <c r="B7116" s="10" t="inlineStr">
        <is>
          <t>平日</t>
        </is>
      </c>
      <c r="C7116" s="10" t="inlineStr">
        <is>
          <t>本線</t>
        </is>
      </c>
      <c r="D7116" s="10" t="inlineStr">
        <is>
          <t>下り</t>
        </is>
      </c>
      <c r="E7116" t="inlineStr">
        <is>
          <t>1405</t>
        </is>
      </c>
      <c r="F7116" t="inlineStr">
        <is>
          <t>0112</t>
        </is>
      </c>
      <c r="G7116" s="10" t="inlineStr">
        <is>
          <t>四条大宮</t>
        </is>
      </c>
      <c r="H7116" s="10" t="inlineStr">
        <is>
          <t>発</t>
        </is>
      </c>
      <c r="J7116" s="10" t="inlineStr">
        <is>
          <t>営業</t>
        </is>
      </c>
      <c r="M7116" t="inlineStr">
        <is>
          <t>14:23:00</t>
        </is>
      </c>
      <c r="Q7116" t="inlineStr">
        <is>
          <t>1</t>
        </is>
      </c>
    </row>
    <row r="7117" ht="16.5" customHeight="1" s="37">
      <c r="A7117" t="n">
        <v>2</v>
      </c>
      <c r="B7117" s="10" t="inlineStr">
        <is>
          <t>平日</t>
        </is>
      </c>
      <c r="C7117" s="10" t="inlineStr">
        <is>
          <t>本線</t>
        </is>
      </c>
      <c r="D7117" s="10" t="inlineStr">
        <is>
          <t>下り</t>
        </is>
      </c>
      <c r="E7117" t="inlineStr">
        <is>
          <t>1405</t>
        </is>
      </c>
      <c r="F7117" t="inlineStr">
        <is>
          <t>0112</t>
        </is>
      </c>
      <c r="G7117" s="10" t="inlineStr">
        <is>
          <t>西院</t>
        </is>
      </c>
      <c r="H7117" s="10" t="inlineStr">
        <is>
          <t>着</t>
        </is>
      </c>
      <c r="J7117" s="10" t="inlineStr">
        <is>
          <t>営業</t>
        </is>
      </c>
      <c r="L7117" t="inlineStr">
        <is>
          <t>14:25:50</t>
        </is>
      </c>
      <c r="M7117" t="inlineStr">
        <is>
          <t>14:26:20</t>
        </is>
      </c>
      <c r="T7117" t="inlineStr">
        <is>
          <t>○</t>
        </is>
      </c>
    </row>
    <row r="7118" ht="16.5" customHeight="1" s="37">
      <c r="A7118" t="n">
        <v>2</v>
      </c>
      <c r="B7118" s="10" t="inlineStr">
        <is>
          <t>平日</t>
        </is>
      </c>
      <c r="C7118" s="10" t="inlineStr">
        <is>
          <t>本線</t>
        </is>
      </c>
      <c r="D7118" s="10" t="inlineStr">
        <is>
          <t>下り</t>
        </is>
      </c>
      <c r="E7118" s="10" t="inlineStr">
        <is>
          <t>連0601</t>
        </is>
      </c>
      <c r="F7118" t="inlineStr">
        <is>
          <t>0502</t>
        </is>
      </c>
      <c r="G7118" s="10" t="inlineStr">
        <is>
          <t>西院</t>
        </is>
      </c>
      <c r="H7118" s="10" t="inlineStr">
        <is>
          <t>発</t>
        </is>
      </c>
      <c r="J7118" s="10" t="inlineStr">
        <is>
          <t>営業</t>
        </is>
      </c>
      <c r="M7118" t="inlineStr">
        <is>
          <t>6:00:20</t>
        </is>
      </c>
      <c r="P7118" t="inlineStr">
        <is>
          <t>C系統(朝)</t>
        </is>
      </c>
    </row>
    <row r="7119" ht="16.5" customHeight="1" s="37">
      <c r="A7119" t="n">
        <v>2</v>
      </c>
      <c r="B7119" s="10" t="inlineStr">
        <is>
          <t>平日</t>
        </is>
      </c>
      <c r="C7119" s="10" t="inlineStr">
        <is>
          <t>本線</t>
        </is>
      </c>
      <c r="D7119" s="10" t="inlineStr">
        <is>
          <t>下り</t>
        </is>
      </c>
      <c r="E7119" s="10" t="inlineStr">
        <is>
          <t>連0601</t>
        </is>
      </c>
      <c r="F7119" t="inlineStr">
        <is>
          <t>0502</t>
        </is>
      </c>
      <c r="G7119" s="10" t="inlineStr">
        <is>
          <t>西大路三条</t>
        </is>
      </c>
      <c r="H7119" s="10" t="inlineStr">
        <is>
          <t>発</t>
        </is>
      </c>
      <c r="J7119" s="10" t="inlineStr">
        <is>
          <t>営業</t>
        </is>
      </c>
      <c r="L7119" t="inlineStr">
        <is>
          <t>6:02:10</t>
        </is>
      </c>
      <c r="M7119" t="inlineStr">
        <is>
          <t>6:02:25</t>
        </is>
      </c>
      <c r="P7119" t="inlineStr">
        <is>
          <t>C系統(朝)</t>
        </is>
      </c>
    </row>
    <row r="7120" ht="16.5" customHeight="1" s="37">
      <c r="A7120" t="n">
        <v>2</v>
      </c>
      <c r="B7120" s="10" t="inlineStr">
        <is>
          <t>平日</t>
        </is>
      </c>
      <c r="C7120" s="10" t="inlineStr">
        <is>
          <t>本線</t>
        </is>
      </c>
      <c r="D7120" s="10" t="inlineStr">
        <is>
          <t>下り</t>
        </is>
      </c>
      <c r="E7120" s="10" t="inlineStr">
        <is>
          <t>連0601</t>
        </is>
      </c>
      <c r="F7120" t="inlineStr">
        <is>
          <t>0502</t>
        </is>
      </c>
      <c r="G7120" s="10" t="inlineStr">
        <is>
          <t>山ノ内</t>
        </is>
      </c>
      <c r="H7120" s="10" t="inlineStr">
        <is>
          <t>発</t>
        </is>
      </c>
      <c r="J7120" s="10" t="inlineStr">
        <is>
          <t>営業</t>
        </is>
      </c>
      <c r="L7120" t="inlineStr">
        <is>
          <t>6:04:20</t>
        </is>
      </c>
      <c r="M7120" t="inlineStr">
        <is>
          <t>6:04:45</t>
        </is>
      </c>
      <c r="P7120" t="inlineStr">
        <is>
          <t>C系統(朝)</t>
        </is>
      </c>
    </row>
    <row r="7121" ht="16.5" customHeight="1" s="37">
      <c r="A7121" t="n">
        <v>2</v>
      </c>
      <c r="B7121" s="10" t="inlineStr">
        <is>
          <t>平日</t>
        </is>
      </c>
      <c r="C7121" s="10" t="inlineStr">
        <is>
          <t>本線</t>
        </is>
      </c>
      <c r="D7121" s="10" t="inlineStr">
        <is>
          <t>下り</t>
        </is>
      </c>
      <c r="E7121" s="10" t="inlineStr">
        <is>
          <t>連0601</t>
        </is>
      </c>
      <c r="F7121" t="inlineStr">
        <is>
          <t>0502</t>
        </is>
      </c>
      <c r="G7121" s="10" t="inlineStr">
        <is>
          <t>天神川</t>
        </is>
      </c>
      <c r="H7121" s="10" t="inlineStr">
        <is>
          <t>発</t>
        </is>
      </c>
      <c r="J7121" s="10" t="inlineStr">
        <is>
          <t>営業</t>
        </is>
      </c>
      <c r="L7121" t="inlineStr">
        <is>
          <t>6:06:45</t>
        </is>
      </c>
      <c r="M7121" t="inlineStr">
        <is>
          <t>6:07:10</t>
        </is>
      </c>
      <c r="P7121" t="inlineStr">
        <is>
          <t>C系統(朝)</t>
        </is>
      </c>
    </row>
    <row r="7122" ht="16.5" customHeight="1" s="37">
      <c r="A7122" t="n">
        <v>2</v>
      </c>
      <c r="B7122" s="10" t="inlineStr">
        <is>
          <t>平日</t>
        </is>
      </c>
      <c r="C7122" s="10" t="inlineStr">
        <is>
          <t>本線</t>
        </is>
      </c>
      <c r="D7122" s="10" t="inlineStr">
        <is>
          <t>下り</t>
        </is>
      </c>
      <c r="E7122" s="10" t="inlineStr">
        <is>
          <t>連0601</t>
        </is>
      </c>
      <c r="F7122" t="inlineStr">
        <is>
          <t>0502</t>
        </is>
      </c>
      <c r="G7122" s="10" t="inlineStr">
        <is>
          <t>蚕ノ社</t>
        </is>
      </c>
      <c r="H7122" s="10" t="inlineStr">
        <is>
          <t>発</t>
        </is>
      </c>
      <c r="J7122" s="10" t="inlineStr">
        <is>
          <t>営業</t>
        </is>
      </c>
      <c r="L7122" t="inlineStr">
        <is>
          <t>6:08:00</t>
        </is>
      </c>
      <c r="M7122" t="inlineStr">
        <is>
          <t>6:08:15</t>
        </is>
      </c>
      <c r="P7122" t="inlineStr">
        <is>
          <t>C系統(朝)</t>
        </is>
      </c>
    </row>
    <row r="7123" ht="16.5" customHeight="1" s="37">
      <c r="A7123" t="n">
        <v>2</v>
      </c>
      <c r="B7123" s="10" t="inlineStr">
        <is>
          <t>平日</t>
        </is>
      </c>
      <c r="C7123" s="10" t="inlineStr">
        <is>
          <t>本線</t>
        </is>
      </c>
      <c r="D7123" s="10" t="inlineStr">
        <is>
          <t>下り</t>
        </is>
      </c>
      <c r="E7123" s="10" t="inlineStr">
        <is>
          <t>連0601</t>
        </is>
      </c>
      <c r="F7123" t="inlineStr">
        <is>
          <t>0502</t>
        </is>
      </c>
      <c r="G7123" s="10" t="inlineStr">
        <is>
          <t>太秦広隆寺</t>
        </is>
      </c>
      <c r="H7123" s="10" t="inlineStr">
        <is>
          <t>発</t>
        </is>
      </c>
      <c r="J7123" s="10" t="inlineStr">
        <is>
          <t>営業</t>
        </is>
      </c>
      <c r="L7123" t="inlineStr">
        <is>
          <t>6:09:35</t>
        </is>
      </c>
      <c r="M7123" t="inlineStr">
        <is>
          <t>6:09:50</t>
        </is>
      </c>
      <c r="P7123" t="inlineStr">
        <is>
          <t>C系統(朝)</t>
        </is>
      </c>
    </row>
    <row r="7124" ht="16.5" customHeight="1" s="37">
      <c r="A7124" t="n">
        <v>2</v>
      </c>
      <c r="B7124" s="10" t="inlineStr">
        <is>
          <t>平日</t>
        </is>
      </c>
      <c r="C7124" s="10" t="inlineStr">
        <is>
          <t>本線</t>
        </is>
      </c>
      <c r="D7124" s="10" t="inlineStr">
        <is>
          <t>下り</t>
        </is>
      </c>
      <c r="E7124" s="10" t="inlineStr">
        <is>
          <t>連0601</t>
        </is>
      </c>
      <c r="F7124" t="inlineStr">
        <is>
          <t>0502</t>
        </is>
      </c>
      <c r="G7124" s="10" t="inlineStr">
        <is>
          <t>帷子ノ辻</t>
        </is>
      </c>
      <c r="H7124" s="10" t="inlineStr">
        <is>
          <t>発</t>
        </is>
      </c>
      <c r="J7124" s="10" t="inlineStr">
        <is>
          <t>営業</t>
        </is>
      </c>
      <c r="L7124" t="inlineStr">
        <is>
          <t>6:11:50</t>
        </is>
      </c>
      <c r="M7124" t="inlineStr">
        <is>
          <t>6:12:20</t>
        </is>
      </c>
      <c r="N7124" t="inlineStr">
        <is>
          <t>○</t>
        </is>
      </c>
      <c r="P7124" t="inlineStr">
        <is>
          <t>C系統(朝)</t>
        </is>
      </c>
    </row>
    <row r="7125" ht="16.5" customHeight="1" s="37">
      <c r="A7125" t="n">
        <v>2</v>
      </c>
      <c r="B7125" s="10" t="inlineStr">
        <is>
          <t>平日</t>
        </is>
      </c>
      <c r="C7125" s="10" t="inlineStr">
        <is>
          <t>本線</t>
        </is>
      </c>
      <c r="D7125" s="10" t="inlineStr">
        <is>
          <t>下り</t>
        </is>
      </c>
      <c r="E7125" s="10" t="inlineStr">
        <is>
          <t>連0601</t>
        </is>
      </c>
      <c r="F7125" t="inlineStr">
        <is>
          <t>0502</t>
        </is>
      </c>
      <c r="G7125" s="10" t="inlineStr">
        <is>
          <t>有栖川</t>
        </is>
      </c>
      <c r="H7125" s="10" t="inlineStr">
        <is>
          <t>発</t>
        </is>
      </c>
      <c r="J7125" s="10" t="inlineStr">
        <is>
          <t>営業</t>
        </is>
      </c>
      <c r="L7125" t="inlineStr">
        <is>
          <t>6:13:30</t>
        </is>
      </c>
      <c r="M7125" t="inlineStr">
        <is>
          <t>6:13:45</t>
        </is>
      </c>
      <c r="P7125" t="inlineStr">
        <is>
          <t>C系統(朝)</t>
        </is>
      </c>
    </row>
    <row r="7126" ht="16.5" customHeight="1" s="37">
      <c r="A7126" t="n">
        <v>2</v>
      </c>
      <c r="B7126" s="10" t="inlineStr">
        <is>
          <t>平日</t>
        </is>
      </c>
      <c r="C7126" s="10" t="inlineStr">
        <is>
          <t>本線</t>
        </is>
      </c>
      <c r="D7126" s="10" t="inlineStr">
        <is>
          <t>下り</t>
        </is>
      </c>
      <c r="E7126" s="10" t="inlineStr">
        <is>
          <t>連0601</t>
        </is>
      </c>
      <c r="F7126" t="inlineStr">
        <is>
          <t>0502</t>
        </is>
      </c>
      <c r="G7126" s="10" t="inlineStr">
        <is>
          <t>車折</t>
        </is>
      </c>
      <c r="H7126" s="10" t="inlineStr">
        <is>
          <t>発</t>
        </is>
      </c>
      <c r="J7126" s="10" t="inlineStr">
        <is>
          <t>営業</t>
        </is>
      </c>
      <c r="L7126" t="inlineStr">
        <is>
          <t>6:15:10</t>
        </is>
      </c>
      <c r="M7126" t="inlineStr">
        <is>
          <t>6:15:25</t>
        </is>
      </c>
      <c r="P7126" t="inlineStr">
        <is>
          <t>C系統(朝)</t>
        </is>
      </c>
    </row>
    <row r="7127" ht="16.5" customHeight="1" s="37">
      <c r="A7127" t="n">
        <v>2</v>
      </c>
      <c r="B7127" s="10" t="inlineStr">
        <is>
          <t>平日</t>
        </is>
      </c>
      <c r="C7127" s="10" t="inlineStr">
        <is>
          <t>本線</t>
        </is>
      </c>
      <c r="D7127" s="10" t="inlineStr">
        <is>
          <t>下り</t>
        </is>
      </c>
      <c r="E7127" s="10" t="inlineStr">
        <is>
          <t>連0601</t>
        </is>
      </c>
      <c r="F7127" t="inlineStr">
        <is>
          <t>0502</t>
        </is>
      </c>
      <c r="G7127" s="10" t="inlineStr">
        <is>
          <t>鹿王院</t>
        </is>
      </c>
      <c r="H7127" s="10" t="inlineStr">
        <is>
          <t>発</t>
        </is>
      </c>
      <c r="J7127" s="10" t="inlineStr">
        <is>
          <t>営業</t>
        </is>
      </c>
      <c r="L7127" t="inlineStr">
        <is>
          <t>6:16:20</t>
        </is>
      </c>
      <c r="M7127" t="inlineStr">
        <is>
          <t>6:16:35</t>
        </is>
      </c>
      <c r="P7127" t="inlineStr">
        <is>
          <t>C系統(朝)</t>
        </is>
      </c>
    </row>
    <row r="7128" ht="16.5" customHeight="1" s="37">
      <c r="A7128" t="n">
        <v>2</v>
      </c>
      <c r="B7128" s="10" t="inlineStr">
        <is>
          <t>平日</t>
        </is>
      </c>
      <c r="C7128" s="10" t="inlineStr">
        <is>
          <t>本線</t>
        </is>
      </c>
      <c r="D7128" s="10" t="inlineStr">
        <is>
          <t>下り</t>
        </is>
      </c>
      <c r="E7128" s="10" t="inlineStr">
        <is>
          <t>連0601</t>
        </is>
      </c>
      <c r="F7128" t="inlineStr">
        <is>
          <t>0502</t>
        </is>
      </c>
      <c r="G7128" s="10" t="inlineStr">
        <is>
          <t>嵯峨</t>
        </is>
      </c>
      <c r="H7128" s="10" t="inlineStr">
        <is>
          <t>発</t>
        </is>
      </c>
      <c r="J7128" s="10" t="inlineStr">
        <is>
          <t>営業</t>
        </is>
      </c>
      <c r="L7128" t="inlineStr">
        <is>
          <t>6:17:40</t>
        </is>
      </c>
      <c r="M7128" t="inlineStr">
        <is>
          <t>6:17:55</t>
        </is>
      </c>
      <c r="P7128" t="inlineStr">
        <is>
          <t>C系統(朝)</t>
        </is>
      </c>
    </row>
    <row r="7129" ht="16.5" customHeight="1" s="37">
      <c r="A7129" t="n">
        <v>2</v>
      </c>
      <c r="B7129" s="10" t="inlineStr">
        <is>
          <t>平日</t>
        </is>
      </c>
      <c r="C7129" s="10" t="inlineStr">
        <is>
          <t>本線</t>
        </is>
      </c>
      <c r="D7129" s="10" t="inlineStr">
        <is>
          <t>下り</t>
        </is>
      </c>
      <c r="E7129" s="10" t="inlineStr">
        <is>
          <t>連0601</t>
        </is>
      </c>
      <c r="F7129" t="inlineStr">
        <is>
          <t>0502</t>
        </is>
      </c>
      <c r="G7129" s="10" t="inlineStr">
        <is>
          <t>嵐山</t>
        </is>
      </c>
      <c r="H7129" s="10" t="inlineStr">
        <is>
          <t>着</t>
        </is>
      </c>
      <c r="J7129" s="10" t="inlineStr">
        <is>
          <t>営業</t>
        </is>
      </c>
      <c r="L7129" t="inlineStr">
        <is>
          <t>6:19:00</t>
        </is>
      </c>
      <c r="N7129" t="inlineStr">
        <is>
          <t>○</t>
        </is>
      </c>
      <c r="P7129" t="inlineStr">
        <is>
          <t>C系統(朝)</t>
        </is>
      </c>
      <c r="Q7129" t="inlineStr">
        <is>
          <t>1</t>
        </is>
      </c>
    </row>
    <row r="7130" ht="16.5" customHeight="1" s="37">
      <c r="A7130" t="n">
        <v>2</v>
      </c>
      <c r="B7130" s="10" t="inlineStr">
        <is>
          <t>平日</t>
        </is>
      </c>
      <c r="C7130" s="10" t="inlineStr">
        <is>
          <t>本線</t>
        </is>
      </c>
      <c r="D7130" s="10" t="inlineStr">
        <is>
          <t>上り</t>
        </is>
      </c>
      <c r="E7130" s="10" t="inlineStr">
        <is>
          <t>連0604</t>
        </is>
      </c>
      <c r="F7130" t="inlineStr">
        <is>
          <t>0251</t>
        </is>
      </c>
      <c r="G7130" s="10" t="inlineStr">
        <is>
          <t>嵐山</t>
        </is>
      </c>
      <c r="H7130" s="10" t="inlineStr">
        <is>
          <t>発</t>
        </is>
      </c>
      <c r="J7130" s="10" t="inlineStr">
        <is>
          <t>営業</t>
        </is>
      </c>
      <c r="M7130" t="inlineStr">
        <is>
          <t>6:25:00</t>
        </is>
      </c>
      <c r="P7130" t="inlineStr">
        <is>
          <t>C系統(朝)</t>
        </is>
      </c>
      <c r="Q7130" t="inlineStr">
        <is>
          <t>1</t>
        </is>
      </c>
    </row>
    <row r="7131" ht="16.5" customHeight="1" s="37">
      <c r="A7131" t="n">
        <v>2</v>
      </c>
      <c r="B7131" s="10" t="inlineStr">
        <is>
          <t>平日</t>
        </is>
      </c>
      <c r="C7131" s="10" t="inlineStr">
        <is>
          <t>本線</t>
        </is>
      </c>
      <c r="D7131" s="10" t="inlineStr">
        <is>
          <t>上り</t>
        </is>
      </c>
      <c r="E7131" s="10" t="inlineStr">
        <is>
          <t>連0604</t>
        </is>
      </c>
      <c r="F7131" t="inlineStr">
        <is>
          <t>0251</t>
        </is>
      </c>
      <c r="G7131" s="10" t="inlineStr">
        <is>
          <t>嵯峨</t>
        </is>
      </c>
      <c r="H7131" s="10" t="inlineStr">
        <is>
          <t>発</t>
        </is>
      </c>
      <c r="J7131" s="10" t="inlineStr">
        <is>
          <t>営業</t>
        </is>
      </c>
      <c r="L7131" t="inlineStr">
        <is>
          <t>6:25:55</t>
        </is>
      </c>
      <c r="M7131" t="inlineStr">
        <is>
          <t>6:26:20</t>
        </is>
      </c>
      <c r="P7131" t="inlineStr">
        <is>
          <t>C系統(朝)</t>
        </is>
      </c>
    </row>
    <row r="7132" ht="16.5" customHeight="1" s="37">
      <c r="A7132" t="n">
        <v>2</v>
      </c>
      <c r="B7132" s="10" t="inlineStr">
        <is>
          <t>平日</t>
        </is>
      </c>
      <c r="C7132" s="10" t="inlineStr">
        <is>
          <t>本線</t>
        </is>
      </c>
      <c r="D7132" s="10" t="inlineStr">
        <is>
          <t>上り</t>
        </is>
      </c>
      <c r="E7132" s="10" t="inlineStr">
        <is>
          <t>連0604</t>
        </is>
      </c>
      <c r="F7132" t="inlineStr">
        <is>
          <t>0251</t>
        </is>
      </c>
      <c r="G7132" s="10" t="inlineStr">
        <is>
          <t>鹿王院</t>
        </is>
      </c>
      <c r="H7132" s="10" t="inlineStr">
        <is>
          <t>発</t>
        </is>
      </c>
      <c r="J7132" s="10" t="inlineStr">
        <is>
          <t>営業</t>
        </is>
      </c>
      <c r="L7132" t="inlineStr">
        <is>
          <t>6:27:25</t>
        </is>
      </c>
      <c r="M7132" t="inlineStr">
        <is>
          <t>6:27:45</t>
        </is>
      </c>
      <c r="P7132" t="inlineStr">
        <is>
          <t>C系統(朝)</t>
        </is>
      </c>
    </row>
    <row r="7133" ht="16.5" customHeight="1" s="37">
      <c r="A7133" t="n">
        <v>2</v>
      </c>
      <c r="B7133" s="10" t="inlineStr">
        <is>
          <t>平日</t>
        </is>
      </c>
      <c r="C7133" s="10" t="inlineStr">
        <is>
          <t>本線</t>
        </is>
      </c>
      <c r="D7133" s="10" t="inlineStr">
        <is>
          <t>上り</t>
        </is>
      </c>
      <c r="E7133" s="10" t="inlineStr">
        <is>
          <t>連0604</t>
        </is>
      </c>
      <c r="F7133" t="inlineStr">
        <is>
          <t>0251</t>
        </is>
      </c>
      <c r="G7133" s="10" t="inlineStr">
        <is>
          <t>車折</t>
        </is>
      </c>
      <c r="H7133" s="10" t="inlineStr">
        <is>
          <t>発</t>
        </is>
      </c>
      <c r="J7133" s="10" t="inlineStr">
        <is>
          <t>営業</t>
        </is>
      </c>
      <c r="L7133" t="inlineStr">
        <is>
          <t>6:28:40</t>
        </is>
      </c>
      <c r="M7133" t="inlineStr">
        <is>
          <t>6:29:10</t>
        </is>
      </c>
      <c r="P7133" t="inlineStr">
        <is>
          <t>C系統(朝)</t>
        </is>
      </c>
    </row>
    <row r="7134" ht="16.5" customHeight="1" s="37">
      <c r="A7134" t="n">
        <v>2</v>
      </c>
      <c r="B7134" s="10" t="inlineStr">
        <is>
          <t>平日</t>
        </is>
      </c>
      <c r="C7134" s="10" t="inlineStr">
        <is>
          <t>本線</t>
        </is>
      </c>
      <c r="D7134" s="10" t="inlineStr">
        <is>
          <t>上り</t>
        </is>
      </c>
      <c r="E7134" s="10" t="inlineStr">
        <is>
          <t>連0604</t>
        </is>
      </c>
      <c r="F7134" t="inlineStr">
        <is>
          <t>0251</t>
        </is>
      </c>
      <c r="G7134" s="10" t="inlineStr">
        <is>
          <t>有栖川</t>
        </is>
      </c>
      <c r="H7134" s="10" t="inlineStr">
        <is>
          <t>発</t>
        </is>
      </c>
      <c r="J7134" s="10" t="inlineStr">
        <is>
          <t>営業</t>
        </is>
      </c>
      <c r="L7134" t="inlineStr">
        <is>
          <t>6:30:35</t>
        </is>
      </c>
      <c r="M7134" t="inlineStr">
        <is>
          <t>6:30:55</t>
        </is>
      </c>
      <c r="P7134" t="inlineStr">
        <is>
          <t>C系統(朝)</t>
        </is>
      </c>
    </row>
    <row r="7135" ht="16.5" customHeight="1" s="37">
      <c r="A7135" t="n">
        <v>2</v>
      </c>
      <c r="B7135" s="10" t="inlineStr">
        <is>
          <t>平日</t>
        </is>
      </c>
      <c r="C7135" s="10" t="inlineStr">
        <is>
          <t>本線</t>
        </is>
      </c>
      <c r="D7135" s="10" t="inlineStr">
        <is>
          <t>上り</t>
        </is>
      </c>
      <c r="E7135" s="10" t="inlineStr">
        <is>
          <t>連0604</t>
        </is>
      </c>
      <c r="F7135" t="inlineStr">
        <is>
          <t>0251</t>
        </is>
      </c>
      <c r="G7135" s="10" t="inlineStr">
        <is>
          <t>帷子ノ辻</t>
        </is>
      </c>
      <c r="H7135" s="10" t="inlineStr">
        <is>
          <t>発</t>
        </is>
      </c>
      <c r="J7135" s="10" t="inlineStr">
        <is>
          <t>営業</t>
        </is>
      </c>
      <c r="L7135" t="inlineStr">
        <is>
          <t>6:32:10</t>
        </is>
      </c>
      <c r="M7135" t="inlineStr">
        <is>
          <t>6:33:15</t>
        </is>
      </c>
      <c r="N7135" t="inlineStr">
        <is>
          <t>○</t>
        </is>
      </c>
      <c r="P7135" t="inlineStr">
        <is>
          <t>C系統(朝)</t>
        </is>
      </c>
    </row>
    <row r="7136" ht="16.5" customHeight="1" s="37">
      <c r="A7136" t="n">
        <v>2</v>
      </c>
      <c r="B7136" s="10" t="inlineStr">
        <is>
          <t>平日</t>
        </is>
      </c>
      <c r="C7136" s="10" t="inlineStr">
        <is>
          <t>本線</t>
        </is>
      </c>
      <c r="D7136" s="10" t="inlineStr">
        <is>
          <t>上り</t>
        </is>
      </c>
      <c r="E7136" s="10" t="inlineStr">
        <is>
          <t>連0604</t>
        </is>
      </c>
      <c r="F7136" t="inlineStr">
        <is>
          <t>0251</t>
        </is>
      </c>
      <c r="G7136" s="10" t="inlineStr">
        <is>
          <t>太秦広隆寺</t>
        </is>
      </c>
      <c r="H7136" s="10" t="inlineStr">
        <is>
          <t>発</t>
        </is>
      </c>
      <c r="J7136" s="10" t="inlineStr">
        <is>
          <t>営業</t>
        </is>
      </c>
      <c r="L7136" t="inlineStr">
        <is>
          <t>6:35:25</t>
        </is>
      </c>
      <c r="M7136" t="inlineStr">
        <is>
          <t>6:35:45</t>
        </is>
      </c>
      <c r="P7136" t="inlineStr">
        <is>
          <t>C系統(朝)</t>
        </is>
      </c>
    </row>
    <row r="7137" ht="16.5" customHeight="1" s="37">
      <c r="A7137" t="n">
        <v>2</v>
      </c>
      <c r="B7137" s="10" t="inlineStr">
        <is>
          <t>平日</t>
        </is>
      </c>
      <c r="C7137" s="10" t="inlineStr">
        <is>
          <t>本線</t>
        </is>
      </c>
      <c r="D7137" s="10" t="inlineStr">
        <is>
          <t>上り</t>
        </is>
      </c>
      <c r="E7137" s="10" t="inlineStr">
        <is>
          <t>連0604</t>
        </is>
      </c>
      <c r="F7137" t="inlineStr">
        <is>
          <t>0251</t>
        </is>
      </c>
      <c r="G7137" s="10" t="inlineStr">
        <is>
          <t>蚕ノ社</t>
        </is>
      </c>
      <c r="H7137" s="10" t="inlineStr">
        <is>
          <t>発</t>
        </is>
      </c>
      <c r="J7137" s="10" t="inlineStr">
        <is>
          <t>営業</t>
        </is>
      </c>
      <c r="L7137" t="inlineStr">
        <is>
          <t>6:37:00</t>
        </is>
      </c>
      <c r="M7137" t="inlineStr">
        <is>
          <t>6:37:20</t>
        </is>
      </c>
      <c r="P7137" t="inlineStr">
        <is>
          <t>C系統(朝)</t>
        </is>
      </c>
    </row>
    <row r="7138" ht="16.5" customHeight="1" s="37">
      <c r="A7138" t="n">
        <v>2</v>
      </c>
      <c r="B7138" s="10" t="inlineStr">
        <is>
          <t>平日</t>
        </is>
      </c>
      <c r="C7138" s="10" t="inlineStr">
        <is>
          <t>本線</t>
        </is>
      </c>
      <c r="D7138" s="10" t="inlineStr">
        <is>
          <t>上り</t>
        </is>
      </c>
      <c r="E7138" s="10" t="inlineStr">
        <is>
          <t>連0604</t>
        </is>
      </c>
      <c r="F7138" t="inlineStr">
        <is>
          <t>0251</t>
        </is>
      </c>
      <c r="G7138" s="10" t="inlineStr">
        <is>
          <t>天神川</t>
        </is>
      </c>
      <c r="H7138" s="10" t="inlineStr">
        <is>
          <t>発</t>
        </is>
      </c>
      <c r="J7138" s="10" t="inlineStr">
        <is>
          <t>営業</t>
        </is>
      </c>
      <c r="L7138" t="inlineStr">
        <is>
          <t>6:38:05</t>
        </is>
      </c>
      <c r="M7138" t="inlineStr">
        <is>
          <t>6:38:50</t>
        </is>
      </c>
      <c r="P7138" t="inlineStr">
        <is>
          <t>C系統(朝)</t>
        </is>
      </c>
    </row>
    <row r="7139" ht="16.5" customHeight="1" s="37">
      <c r="A7139" t="n">
        <v>2</v>
      </c>
      <c r="B7139" s="10" t="inlineStr">
        <is>
          <t>平日</t>
        </is>
      </c>
      <c r="C7139" s="10" t="inlineStr">
        <is>
          <t>本線</t>
        </is>
      </c>
      <c r="D7139" s="10" t="inlineStr">
        <is>
          <t>上り</t>
        </is>
      </c>
      <c r="E7139" s="10" t="inlineStr">
        <is>
          <t>連0604</t>
        </is>
      </c>
      <c r="F7139" t="inlineStr">
        <is>
          <t>0251</t>
        </is>
      </c>
      <c r="G7139" s="10" t="inlineStr">
        <is>
          <t>山ノ内</t>
        </is>
      </c>
      <c r="H7139" s="10" t="inlineStr">
        <is>
          <t>発</t>
        </is>
      </c>
      <c r="J7139" s="10" t="inlineStr">
        <is>
          <t>営業</t>
        </is>
      </c>
      <c r="L7139" t="inlineStr">
        <is>
          <t>6:40:40</t>
        </is>
      </c>
      <c r="M7139" t="inlineStr">
        <is>
          <t>6:41:05</t>
        </is>
      </c>
      <c r="P7139" t="inlineStr">
        <is>
          <t>C系統(朝)</t>
        </is>
      </c>
    </row>
    <row r="7140" ht="16.5" customHeight="1" s="37">
      <c r="A7140" t="n">
        <v>2</v>
      </c>
      <c r="B7140" s="10" t="inlineStr">
        <is>
          <t>平日</t>
        </is>
      </c>
      <c r="C7140" s="10" t="inlineStr">
        <is>
          <t>本線</t>
        </is>
      </c>
      <c r="D7140" s="10" t="inlineStr">
        <is>
          <t>上り</t>
        </is>
      </c>
      <c r="E7140" s="10" t="inlineStr">
        <is>
          <t>連0604</t>
        </is>
      </c>
      <c r="F7140" t="inlineStr">
        <is>
          <t>0251</t>
        </is>
      </c>
      <c r="G7140" s="10" t="inlineStr">
        <is>
          <t>西大路三条</t>
        </is>
      </c>
      <c r="H7140" s="10" t="inlineStr">
        <is>
          <t>発</t>
        </is>
      </c>
      <c r="J7140" s="10" t="inlineStr">
        <is>
          <t>営業</t>
        </is>
      </c>
      <c r="L7140" t="inlineStr">
        <is>
          <t>6:42:55</t>
        </is>
      </c>
      <c r="M7140" t="inlineStr">
        <is>
          <t>6:43:15</t>
        </is>
      </c>
      <c r="P7140" t="inlineStr">
        <is>
          <t>C系統(朝)</t>
        </is>
      </c>
    </row>
    <row r="7141" ht="16.5" customHeight="1" s="37">
      <c r="A7141" t="n">
        <v>2</v>
      </c>
      <c r="B7141" s="10" t="inlineStr">
        <is>
          <t>平日</t>
        </is>
      </c>
      <c r="C7141" s="10" t="inlineStr">
        <is>
          <t>本線</t>
        </is>
      </c>
      <c r="D7141" s="10" t="inlineStr">
        <is>
          <t>上り</t>
        </is>
      </c>
      <c r="E7141" s="10" t="inlineStr">
        <is>
          <t>連0604</t>
        </is>
      </c>
      <c r="F7141" t="inlineStr">
        <is>
          <t>0251</t>
        </is>
      </c>
      <c r="G7141" s="10" t="inlineStr">
        <is>
          <t>西院</t>
        </is>
      </c>
      <c r="H7141" s="10" t="inlineStr">
        <is>
          <t>発</t>
        </is>
      </c>
      <c r="J7141" s="10" t="inlineStr">
        <is>
          <t>営業</t>
        </is>
      </c>
      <c r="L7141" t="inlineStr">
        <is>
          <t>6:45:10</t>
        </is>
      </c>
      <c r="M7141" t="inlineStr">
        <is>
          <t>6:46:05</t>
        </is>
      </c>
      <c r="P7141" t="inlineStr">
        <is>
          <t>C系統(朝)</t>
        </is>
      </c>
    </row>
    <row r="7142" ht="16.5" customHeight="1" s="37">
      <c r="A7142" t="n">
        <v>2</v>
      </c>
      <c r="B7142" s="10" t="inlineStr">
        <is>
          <t>平日</t>
        </is>
      </c>
      <c r="C7142" s="10" t="inlineStr">
        <is>
          <t>本線</t>
        </is>
      </c>
      <c r="D7142" s="10" t="inlineStr">
        <is>
          <t>上り</t>
        </is>
      </c>
      <c r="E7142" s="10" t="inlineStr">
        <is>
          <t>連0604</t>
        </is>
      </c>
      <c r="F7142" t="inlineStr">
        <is>
          <t>0251</t>
        </is>
      </c>
      <c r="G7142" s="10" t="inlineStr">
        <is>
          <t>四条大宮</t>
        </is>
      </c>
      <c r="H7142" s="10" t="inlineStr">
        <is>
          <t>着</t>
        </is>
      </c>
      <c r="J7142" s="10" t="inlineStr">
        <is>
          <t>営業</t>
        </is>
      </c>
      <c r="L7142" t="inlineStr">
        <is>
          <t>6:49:00</t>
        </is>
      </c>
      <c r="P7142" t="inlineStr">
        <is>
          <t>C系統(朝)</t>
        </is>
      </c>
      <c r="Q7142" t="inlineStr">
        <is>
          <t>1</t>
        </is>
      </c>
    </row>
    <row r="7143" ht="16.5" customHeight="1" s="37">
      <c r="A7143" t="n">
        <v>2</v>
      </c>
      <c r="B7143" s="10" t="inlineStr">
        <is>
          <t>平日</t>
        </is>
      </c>
      <c r="C7143" s="10" t="inlineStr">
        <is>
          <t>本線</t>
        </is>
      </c>
      <c r="D7143" s="10" t="inlineStr">
        <is>
          <t>下り</t>
        </is>
      </c>
      <c r="E7143" s="10" t="inlineStr">
        <is>
          <t>連0701</t>
        </is>
      </c>
      <c r="F7143" t="inlineStr">
        <is>
          <t>0122</t>
        </is>
      </c>
      <c r="G7143" s="10" t="inlineStr">
        <is>
          <t>四条大宮</t>
        </is>
      </c>
      <c r="H7143" s="10" t="inlineStr">
        <is>
          <t>発</t>
        </is>
      </c>
      <c r="J7143" s="10" t="inlineStr">
        <is>
          <t>営業</t>
        </is>
      </c>
      <c r="M7143" t="inlineStr">
        <is>
          <t>7:00:00</t>
        </is>
      </c>
      <c r="P7143" t="inlineStr">
        <is>
          <t>C系統(朝)</t>
        </is>
      </c>
      <c r="Q7143" t="inlineStr">
        <is>
          <t>1</t>
        </is>
      </c>
    </row>
    <row r="7144" ht="16.5" customHeight="1" s="37">
      <c r="A7144" t="n">
        <v>2</v>
      </c>
      <c r="B7144" s="10" t="inlineStr">
        <is>
          <t>平日</t>
        </is>
      </c>
      <c r="C7144" s="10" t="inlineStr">
        <is>
          <t>本線</t>
        </is>
      </c>
      <c r="D7144" s="10" t="inlineStr">
        <is>
          <t>下り</t>
        </is>
      </c>
      <c r="E7144" s="10" t="inlineStr">
        <is>
          <t>連0701</t>
        </is>
      </c>
      <c r="F7144" t="inlineStr">
        <is>
          <t>0122</t>
        </is>
      </c>
      <c r="G7144" s="10" t="inlineStr">
        <is>
          <t>西院</t>
        </is>
      </c>
      <c r="H7144" s="10" t="inlineStr">
        <is>
          <t>発</t>
        </is>
      </c>
      <c r="J7144" s="10" t="inlineStr">
        <is>
          <t>営業</t>
        </is>
      </c>
      <c r="L7144" t="inlineStr">
        <is>
          <t>7:02:50</t>
        </is>
      </c>
      <c r="M7144" t="inlineStr">
        <is>
          <t>7:03:20</t>
        </is>
      </c>
      <c r="P7144" t="inlineStr">
        <is>
          <t>C系統(朝)</t>
        </is>
      </c>
    </row>
    <row r="7145" ht="16.5" customHeight="1" s="37">
      <c r="A7145" t="n">
        <v>2</v>
      </c>
      <c r="B7145" s="10" t="inlineStr">
        <is>
          <t>平日</t>
        </is>
      </c>
      <c r="C7145" s="10" t="inlineStr">
        <is>
          <t>本線</t>
        </is>
      </c>
      <c r="D7145" s="10" t="inlineStr">
        <is>
          <t>下り</t>
        </is>
      </c>
      <c r="E7145" s="10" t="inlineStr">
        <is>
          <t>連0701</t>
        </is>
      </c>
      <c r="F7145" t="inlineStr">
        <is>
          <t>0122</t>
        </is>
      </c>
      <c r="G7145" s="10" t="inlineStr">
        <is>
          <t>西大路三条</t>
        </is>
      </c>
      <c r="H7145" s="10" t="inlineStr">
        <is>
          <t>発</t>
        </is>
      </c>
      <c r="J7145" s="10" t="inlineStr">
        <is>
          <t>営業</t>
        </is>
      </c>
      <c r="L7145" t="inlineStr">
        <is>
          <t>7:05:10</t>
        </is>
      </c>
      <c r="M7145" t="inlineStr">
        <is>
          <t>7:05:30</t>
        </is>
      </c>
      <c r="P7145" t="inlineStr">
        <is>
          <t>C系統(朝)</t>
        </is>
      </c>
    </row>
    <row r="7146" ht="16.5" customHeight="1" s="37">
      <c r="A7146" t="n">
        <v>2</v>
      </c>
      <c r="B7146" s="10" t="inlineStr">
        <is>
          <t>平日</t>
        </is>
      </c>
      <c r="C7146" s="10" t="inlineStr">
        <is>
          <t>本線</t>
        </is>
      </c>
      <c r="D7146" s="10" t="inlineStr">
        <is>
          <t>下り</t>
        </is>
      </c>
      <c r="E7146" s="10" t="inlineStr">
        <is>
          <t>連0701</t>
        </is>
      </c>
      <c r="F7146" t="inlineStr">
        <is>
          <t>0122</t>
        </is>
      </c>
      <c r="G7146" s="10" t="inlineStr">
        <is>
          <t>山ノ内</t>
        </is>
      </c>
      <c r="H7146" s="10" t="inlineStr">
        <is>
          <t>発</t>
        </is>
      </c>
      <c r="J7146" s="10" t="inlineStr">
        <is>
          <t>営業</t>
        </is>
      </c>
      <c r="L7146" t="inlineStr">
        <is>
          <t>7:07:25</t>
        </is>
      </c>
      <c r="M7146" t="inlineStr">
        <is>
          <t>7:07:50</t>
        </is>
      </c>
      <c r="P7146" t="inlineStr">
        <is>
          <t>C系統(朝)</t>
        </is>
      </c>
    </row>
    <row r="7147" ht="16.5" customHeight="1" s="37">
      <c r="A7147" t="n">
        <v>2</v>
      </c>
      <c r="B7147" s="10" t="inlineStr">
        <is>
          <t>平日</t>
        </is>
      </c>
      <c r="C7147" s="10" t="inlineStr">
        <is>
          <t>本線</t>
        </is>
      </c>
      <c r="D7147" s="10" t="inlineStr">
        <is>
          <t>下り</t>
        </is>
      </c>
      <c r="E7147" s="10" t="inlineStr">
        <is>
          <t>連0701</t>
        </is>
      </c>
      <c r="F7147" t="inlineStr">
        <is>
          <t>0122</t>
        </is>
      </c>
      <c r="G7147" s="10" t="inlineStr">
        <is>
          <t>天神川</t>
        </is>
      </c>
      <c r="H7147" s="10" t="inlineStr">
        <is>
          <t>発</t>
        </is>
      </c>
      <c r="J7147" s="10" t="inlineStr">
        <is>
          <t>営業</t>
        </is>
      </c>
      <c r="L7147" t="inlineStr">
        <is>
          <t>7:09:50</t>
        </is>
      </c>
      <c r="M7147" t="inlineStr">
        <is>
          <t>7:10:30</t>
        </is>
      </c>
      <c r="P7147" t="inlineStr">
        <is>
          <t>C系統(朝)</t>
        </is>
      </c>
    </row>
    <row r="7148" ht="16.5" customHeight="1" s="37">
      <c r="A7148" t="n">
        <v>2</v>
      </c>
      <c r="B7148" s="10" t="inlineStr">
        <is>
          <t>平日</t>
        </is>
      </c>
      <c r="C7148" s="10" t="inlineStr">
        <is>
          <t>本線</t>
        </is>
      </c>
      <c r="D7148" s="10" t="inlineStr">
        <is>
          <t>下り</t>
        </is>
      </c>
      <c r="E7148" s="10" t="inlineStr">
        <is>
          <t>連0701</t>
        </is>
      </c>
      <c r="F7148" t="inlineStr">
        <is>
          <t>0122</t>
        </is>
      </c>
      <c r="G7148" s="10" t="inlineStr">
        <is>
          <t>蚕ノ社</t>
        </is>
      </c>
      <c r="H7148" s="10" t="inlineStr">
        <is>
          <t>発</t>
        </is>
      </c>
      <c r="J7148" s="10" t="inlineStr">
        <is>
          <t>営業</t>
        </is>
      </c>
      <c r="L7148" t="inlineStr">
        <is>
          <t>7:11:20</t>
        </is>
      </c>
      <c r="M7148" t="inlineStr">
        <is>
          <t>7:11:40</t>
        </is>
      </c>
      <c r="P7148" t="inlineStr">
        <is>
          <t>C系統(朝)</t>
        </is>
      </c>
    </row>
    <row r="7149" ht="16.5" customHeight="1" s="37">
      <c r="A7149" t="n">
        <v>2</v>
      </c>
      <c r="B7149" s="10" t="inlineStr">
        <is>
          <t>平日</t>
        </is>
      </c>
      <c r="C7149" s="10" t="inlineStr">
        <is>
          <t>本線</t>
        </is>
      </c>
      <c r="D7149" s="10" t="inlineStr">
        <is>
          <t>下り</t>
        </is>
      </c>
      <c r="E7149" s="10" t="inlineStr">
        <is>
          <t>連0701</t>
        </is>
      </c>
      <c r="F7149" t="inlineStr">
        <is>
          <t>0122</t>
        </is>
      </c>
      <c r="G7149" s="10" t="inlineStr">
        <is>
          <t>太秦広隆寺</t>
        </is>
      </c>
      <c r="H7149" s="10" t="inlineStr">
        <is>
          <t>発</t>
        </is>
      </c>
      <c r="J7149" s="10" t="inlineStr">
        <is>
          <t>営業</t>
        </is>
      </c>
      <c r="L7149" t="inlineStr">
        <is>
          <t>7:13:00</t>
        </is>
      </c>
      <c r="M7149" t="inlineStr">
        <is>
          <t>7:13:20</t>
        </is>
      </c>
      <c r="P7149" t="inlineStr">
        <is>
          <t>C系統(朝)</t>
        </is>
      </c>
    </row>
    <row r="7150" ht="16.5" customHeight="1" s="37">
      <c r="A7150" t="n">
        <v>2</v>
      </c>
      <c r="B7150" s="10" t="inlineStr">
        <is>
          <t>平日</t>
        </is>
      </c>
      <c r="C7150" s="10" t="inlineStr">
        <is>
          <t>本線</t>
        </is>
      </c>
      <c r="D7150" s="10" t="inlineStr">
        <is>
          <t>下り</t>
        </is>
      </c>
      <c r="E7150" s="10" t="inlineStr">
        <is>
          <t>連0701</t>
        </is>
      </c>
      <c r="F7150" t="inlineStr">
        <is>
          <t>0122</t>
        </is>
      </c>
      <c r="G7150" s="10" t="inlineStr">
        <is>
          <t>帷子ノ辻</t>
        </is>
      </c>
      <c r="H7150" s="10" t="inlineStr">
        <is>
          <t>発</t>
        </is>
      </c>
      <c r="J7150" s="10" t="inlineStr">
        <is>
          <t>営業</t>
        </is>
      </c>
      <c r="L7150" t="inlineStr">
        <is>
          <t>7:15:20</t>
        </is>
      </c>
      <c r="M7150" t="inlineStr">
        <is>
          <t>7:16:40</t>
        </is>
      </c>
      <c r="P7150" t="inlineStr">
        <is>
          <t>C系統(朝)</t>
        </is>
      </c>
    </row>
    <row r="7151" ht="15" customHeight="1" s="37">
      <c r="A7151" t="n">
        <v>2</v>
      </c>
      <c r="B7151" s="10" t="inlineStr">
        <is>
          <t>平日</t>
        </is>
      </c>
      <c r="C7151" s="10" t="inlineStr">
        <is>
          <t>本線</t>
        </is>
      </c>
      <c r="D7151" s="10" t="inlineStr">
        <is>
          <t>下り</t>
        </is>
      </c>
      <c r="E7151" s="10" t="inlineStr">
        <is>
          <t>連0701</t>
        </is>
      </c>
      <c r="F7151" t="inlineStr">
        <is>
          <t>0122</t>
        </is>
      </c>
      <c r="G7151" s="10" t="inlineStr">
        <is>
          <t>有栖川</t>
        </is>
      </c>
      <c r="H7151" s="10" t="inlineStr">
        <is>
          <t>発</t>
        </is>
      </c>
      <c r="J7151" s="10" t="inlineStr">
        <is>
          <t>営業</t>
        </is>
      </c>
      <c r="L7151" t="inlineStr">
        <is>
          <t>7:17:50</t>
        </is>
      </c>
      <c r="M7151" t="inlineStr">
        <is>
          <t>7:18:15</t>
        </is>
      </c>
      <c r="P7151" t="inlineStr">
        <is>
          <t>C系統(朝)</t>
        </is>
      </c>
    </row>
    <row r="7152" ht="15" customHeight="1" s="37">
      <c r="A7152" t="n">
        <v>2</v>
      </c>
      <c r="B7152" s="10" t="inlineStr">
        <is>
          <t>平日</t>
        </is>
      </c>
      <c r="C7152" s="10" t="inlineStr">
        <is>
          <t>本線</t>
        </is>
      </c>
      <c r="D7152" s="10" t="inlineStr">
        <is>
          <t>下り</t>
        </is>
      </c>
      <c r="E7152" s="10" t="inlineStr">
        <is>
          <t>連0701</t>
        </is>
      </c>
      <c r="F7152" t="inlineStr">
        <is>
          <t>0122</t>
        </is>
      </c>
      <c r="G7152" s="10" t="inlineStr">
        <is>
          <t>車折</t>
        </is>
      </c>
      <c r="H7152" s="10" t="inlineStr">
        <is>
          <t>発</t>
        </is>
      </c>
      <c r="J7152" s="10" t="inlineStr">
        <is>
          <t>営業</t>
        </is>
      </c>
      <c r="L7152" t="inlineStr">
        <is>
          <t>7:19:40</t>
        </is>
      </c>
      <c r="M7152" t="inlineStr">
        <is>
          <t>7:20:05</t>
        </is>
      </c>
      <c r="P7152" t="inlineStr">
        <is>
          <t>C系統(朝)</t>
        </is>
      </c>
    </row>
    <row r="7153" ht="15" customHeight="1" s="37">
      <c r="A7153" t="n">
        <v>2</v>
      </c>
      <c r="B7153" s="10" t="inlineStr">
        <is>
          <t>平日</t>
        </is>
      </c>
      <c r="C7153" s="10" t="inlineStr">
        <is>
          <t>本線</t>
        </is>
      </c>
      <c r="D7153" s="10" t="inlineStr">
        <is>
          <t>下り</t>
        </is>
      </c>
      <c r="E7153" s="10" t="inlineStr">
        <is>
          <t>連0701</t>
        </is>
      </c>
      <c r="F7153" t="inlineStr">
        <is>
          <t>0122</t>
        </is>
      </c>
      <c r="G7153" s="10" t="inlineStr">
        <is>
          <t>鹿王院</t>
        </is>
      </c>
      <c r="H7153" s="10" t="inlineStr">
        <is>
          <t>発</t>
        </is>
      </c>
      <c r="J7153" s="10" t="inlineStr">
        <is>
          <t>営業</t>
        </is>
      </c>
      <c r="L7153" t="inlineStr">
        <is>
          <t>7:21:00</t>
        </is>
      </c>
      <c r="M7153" t="inlineStr">
        <is>
          <t>7:21:25</t>
        </is>
      </c>
      <c r="P7153" t="inlineStr">
        <is>
          <t>C系統(朝)</t>
        </is>
      </c>
    </row>
    <row r="7154" ht="15" customHeight="1" s="37">
      <c r="A7154" t="n">
        <v>2</v>
      </c>
      <c r="B7154" s="10" t="inlineStr">
        <is>
          <t>平日</t>
        </is>
      </c>
      <c r="C7154" s="10" t="inlineStr">
        <is>
          <t>本線</t>
        </is>
      </c>
      <c r="D7154" s="10" t="inlineStr">
        <is>
          <t>下り</t>
        </is>
      </c>
      <c r="E7154" s="10" t="inlineStr">
        <is>
          <t>連0701</t>
        </is>
      </c>
      <c r="F7154" t="inlineStr">
        <is>
          <t>0122</t>
        </is>
      </c>
      <c r="G7154" s="10" t="inlineStr">
        <is>
          <t>嵯峨</t>
        </is>
      </c>
      <c r="H7154" s="10" t="inlineStr">
        <is>
          <t>発</t>
        </is>
      </c>
      <c r="J7154" s="10" t="inlineStr">
        <is>
          <t>営業</t>
        </is>
      </c>
      <c r="L7154" t="inlineStr">
        <is>
          <t>7:22:30</t>
        </is>
      </c>
      <c r="M7154" t="inlineStr">
        <is>
          <t>7:22:55</t>
        </is>
      </c>
      <c r="P7154" t="inlineStr">
        <is>
          <t>C系統(朝)</t>
        </is>
      </c>
    </row>
    <row r="7155" ht="15" customHeight="1" s="37">
      <c r="A7155" t="n">
        <v>2</v>
      </c>
      <c r="B7155" s="10" t="inlineStr">
        <is>
          <t>平日</t>
        </is>
      </c>
      <c r="C7155" s="10" t="inlineStr">
        <is>
          <t>本線</t>
        </is>
      </c>
      <c r="D7155" s="10" t="inlineStr">
        <is>
          <t>下り</t>
        </is>
      </c>
      <c r="E7155" s="10" t="inlineStr">
        <is>
          <t>連0701</t>
        </is>
      </c>
      <c r="F7155" t="inlineStr">
        <is>
          <t>0122</t>
        </is>
      </c>
      <c r="G7155" s="10" t="inlineStr">
        <is>
          <t>嵐山</t>
        </is>
      </c>
      <c r="H7155" s="10" t="inlineStr">
        <is>
          <t>着</t>
        </is>
      </c>
      <c r="J7155" s="10" t="inlineStr">
        <is>
          <t>営業</t>
        </is>
      </c>
      <c r="L7155" t="inlineStr">
        <is>
          <t>7:24:00</t>
        </is>
      </c>
      <c r="N7155" t="inlineStr">
        <is>
          <t>○</t>
        </is>
      </c>
      <c r="P7155" t="inlineStr">
        <is>
          <t>C系統(朝)</t>
        </is>
      </c>
      <c r="Q7155" t="inlineStr">
        <is>
          <t>1</t>
        </is>
      </c>
    </row>
    <row r="7156" ht="15" customHeight="1" s="37">
      <c r="A7156" t="n">
        <v>2</v>
      </c>
      <c r="B7156" s="10" t="inlineStr">
        <is>
          <t>平日</t>
        </is>
      </c>
      <c r="C7156" s="10" t="inlineStr">
        <is>
          <t>本線</t>
        </is>
      </c>
      <c r="D7156" s="10" t="inlineStr">
        <is>
          <t>上り</t>
        </is>
      </c>
      <c r="E7156" s="10" t="inlineStr">
        <is>
          <t>連0710</t>
        </is>
      </c>
      <c r="F7156" t="inlineStr">
        <is>
          <t>2221</t>
        </is>
      </c>
      <c r="G7156" s="10" t="inlineStr">
        <is>
          <t>嵐山</t>
        </is>
      </c>
      <c r="H7156" s="10" t="inlineStr">
        <is>
          <t>発</t>
        </is>
      </c>
      <c r="J7156" s="10" t="inlineStr">
        <is>
          <t>営業</t>
        </is>
      </c>
      <c r="M7156" t="inlineStr">
        <is>
          <t>7:33:00</t>
        </is>
      </c>
      <c r="P7156" t="inlineStr">
        <is>
          <t>C系統(朝)</t>
        </is>
      </c>
      <c r="Q7156" t="inlineStr">
        <is>
          <t>1</t>
        </is>
      </c>
    </row>
    <row r="7157" ht="15" customHeight="1" s="37">
      <c r="A7157" t="n">
        <v>2</v>
      </c>
      <c r="B7157" s="10" t="inlineStr">
        <is>
          <t>平日</t>
        </is>
      </c>
      <c r="C7157" s="10" t="inlineStr">
        <is>
          <t>本線</t>
        </is>
      </c>
      <c r="D7157" s="10" t="inlineStr">
        <is>
          <t>上り</t>
        </is>
      </c>
      <c r="E7157" s="10" t="inlineStr">
        <is>
          <t>連0710</t>
        </is>
      </c>
      <c r="F7157" t="inlineStr">
        <is>
          <t>2221</t>
        </is>
      </c>
      <c r="G7157" s="10" t="inlineStr">
        <is>
          <t>嵯峨</t>
        </is>
      </c>
      <c r="H7157" s="10" t="inlineStr">
        <is>
          <t>発</t>
        </is>
      </c>
      <c r="J7157" s="10" t="inlineStr">
        <is>
          <t>営業</t>
        </is>
      </c>
      <c r="L7157" t="inlineStr">
        <is>
          <t>7:33:55</t>
        </is>
      </c>
      <c r="M7157" t="inlineStr">
        <is>
          <t>7:34:20</t>
        </is>
      </c>
      <c r="P7157" t="inlineStr">
        <is>
          <t>C系統(朝)</t>
        </is>
      </c>
    </row>
    <row r="7158" ht="15" customHeight="1" s="37">
      <c r="A7158" t="n">
        <v>2</v>
      </c>
      <c r="B7158" s="10" t="inlineStr">
        <is>
          <t>平日</t>
        </is>
      </c>
      <c r="C7158" s="10" t="inlineStr">
        <is>
          <t>本線</t>
        </is>
      </c>
      <c r="D7158" s="10" t="inlineStr">
        <is>
          <t>上り</t>
        </is>
      </c>
      <c r="E7158" s="10" t="inlineStr">
        <is>
          <t>連0710</t>
        </is>
      </c>
      <c r="F7158" t="inlineStr">
        <is>
          <t>2221</t>
        </is>
      </c>
      <c r="G7158" s="10" t="inlineStr">
        <is>
          <t>鹿王院</t>
        </is>
      </c>
      <c r="H7158" s="10" t="inlineStr">
        <is>
          <t>発</t>
        </is>
      </c>
      <c r="J7158" s="10" t="inlineStr">
        <is>
          <t>営業</t>
        </is>
      </c>
      <c r="L7158" t="inlineStr">
        <is>
          <t>7:35:25</t>
        </is>
      </c>
      <c r="M7158" t="inlineStr">
        <is>
          <t>7:35:45</t>
        </is>
      </c>
      <c r="P7158" t="inlineStr">
        <is>
          <t>C系統(朝)</t>
        </is>
      </c>
    </row>
    <row r="7159" ht="15" customHeight="1" s="37">
      <c r="A7159" t="n">
        <v>2</v>
      </c>
      <c r="B7159" s="10" t="inlineStr">
        <is>
          <t>平日</t>
        </is>
      </c>
      <c r="C7159" s="10" t="inlineStr">
        <is>
          <t>本線</t>
        </is>
      </c>
      <c r="D7159" s="10" t="inlineStr">
        <is>
          <t>上り</t>
        </is>
      </c>
      <c r="E7159" s="10" t="inlineStr">
        <is>
          <t>連0710</t>
        </is>
      </c>
      <c r="F7159" t="inlineStr">
        <is>
          <t>2221</t>
        </is>
      </c>
      <c r="G7159" s="10" t="inlineStr">
        <is>
          <t>車折</t>
        </is>
      </c>
      <c r="H7159" s="10" t="inlineStr">
        <is>
          <t>発</t>
        </is>
      </c>
      <c r="J7159" s="10" t="inlineStr">
        <is>
          <t>営業</t>
        </is>
      </c>
      <c r="L7159" t="inlineStr">
        <is>
          <t>7:36:40</t>
        </is>
      </c>
      <c r="M7159" t="inlineStr">
        <is>
          <t>7:37:10</t>
        </is>
      </c>
      <c r="P7159" t="inlineStr">
        <is>
          <t>C系統(朝)</t>
        </is>
      </c>
    </row>
    <row r="7160" ht="15" customHeight="1" s="37">
      <c r="A7160" t="n">
        <v>2</v>
      </c>
      <c r="B7160" s="10" t="inlineStr">
        <is>
          <t>平日</t>
        </is>
      </c>
      <c r="C7160" s="10" t="inlineStr">
        <is>
          <t>本線</t>
        </is>
      </c>
      <c r="D7160" s="10" t="inlineStr">
        <is>
          <t>上り</t>
        </is>
      </c>
      <c r="E7160" s="10" t="inlineStr">
        <is>
          <t>連0710</t>
        </is>
      </c>
      <c r="F7160" t="inlineStr">
        <is>
          <t>2221</t>
        </is>
      </c>
      <c r="G7160" s="10" t="inlineStr">
        <is>
          <t>有栖川</t>
        </is>
      </c>
      <c r="H7160" s="10" t="inlineStr">
        <is>
          <t>発</t>
        </is>
      </c>
      <c r="J7160" s="10" t="inlineStr">
        <is>
          <t>営業</t>
        </is>
      </c>
      <c r="L7160" t="inlineStr">
        <is>
          <t>7:38:35</t>
        </is>
      </c>
      <c r="M7160" t="inlineStr">
        <is>
          <t>7:38:55</t>
        </is>
      </c>
      <c r="P7160" t="inlineStr">
        <is>
          <t>C系統(朝)</t>
        </is>
      </c>
    </row>
    <row r="7161" ht="15" customHeight="1" s="37">
      <c r="A7161" t="n">
        <v>2</v>
      </c>
      <c r="B7161" s="10" t="inlineStr">
        <is>
          <t>平日</t>
        </is>
      </c>
      <c r="C7161" s="10" t="inlineStr">
        <is>
          <t>本線</t>
        </is>
      </c>
      <c r="D7161" s="10" t="inlineStr">
        <is>
          <t>上り</t>
        </is>
      </c>
      <c r="E7161" s="10" t="inlineStr">
        <is>
          <t>連0710</t>
        </is>
      </c>
      <c r="F7161" t="inlineStr">
        <is>
          <t>2221</t>
        </is>
      </c>
      <c r="G7161" s="10" t="inlineStr">
        <is>
          <t>帷子ノ辻</t>
        </is>
      </c>
      <c r="H7161" s="10" t="inlineStr">
        <is>
          <t>発</t>
        </is>
      </c>
      <c r="J7161" s="10" t="inlineStr">
        <is>
          <t>営業</t>
        </is>
      </c>
      <c r="L7161" t="inlineStr">
        <is>
          <t>7:40:10</t>
        </is>
      </c>
      <c r="M7161" t="inlineStr">
        <is>
          <t>7:41:15</t>
        </is>
      </c>
      <c r="P7161" t="inlineStr">
        <is>
          <t>C系統(朝)</t>
        </is>
      </c>
    </row>
    <row r="7162" ht="15" customHeight="1" s="37">
      <c r="A7162" t="n">
        <v>2</v>
      </c>
      <c r="B7162" s="10" t="inlineStr">
        <is>
          <t>平日</t>
        </is>
      </c>
      <c r="C7162" s="10" t="inlineStr">
        <is>
          <t>本線</t>
        </is>
      </c>
      <c r="D7162" s="10" t="inlineStr">
        <is>
          <t>上り</t>
        </is>
      </c>
      <c r="E7162" s="10" t="inlineStr">
        <is>
          <t>連0710</t>
        </is>
      </c>
      <c r="F7162" t="inlineStr">
        <is>
          <t>2221</t>
        </is>
      </c>
      <c r="G7162" s="10" t="inlineStr">
        <is>
          <t>太秦広隆寺</t>
        </is>
      </c>
      <c r="H7162" s="10" t="inlineStr">
        <is>
          <t>発</t>
        </is>
      </c>
      <c r="J7162" s="10" t="inlineStr">
        <is>
          <t>営業</t>
        </is>
      </c>
      <c r="L7162" t="inlineStr">
        <is>
          <t>7:43:25</t>
        </is>
      </c>
      <c r="M7162" t="inlineStr">
        <is>
          <t>7:43:45</t>
        </is>
      </c>
      <c r="P7162" t="inlineStr">
        <is>
          <t>C系統(朝)</t>
        </is>
      </c>
    </row>
    <row r="7163" ht="15" customHeight="1" s="37">
      <c r="A7163" t="n">
        <v>2</v>
      </c>
      <c r="B7163" s="10" t="inlineStr">
        <is>
          <t>平日</t>
        </is>
      </c>
      <c r="C7163" s="10" t="inlineStr">
        <is>
          <t>本線</t>
        </is>
      </c>
      <c r="D7163" s="10" t="inlineStr">
        <is>
          <t>上り</t>
        </is>
      </c>
      <c r="E7163" s="10" t="inlineStr">
        <is>
          <t>連0710</t>
        </is>
      </c>
      <c r="F7163" t="inlineStr">
        <is>
          <t>2221</t>
        </is>
      </c>
      <c r="G7163" s="10" t="inlineStr">
        <is>
          <t>蚕ノ社</t>
        </is>
      </c>
      <c r="H7163" s="10" t="inlineStr">
        <is>
          <t>発</t>
        </is>
      </c>
      <c r="J7163" s="10" t="inlineStr">
        <is>
          <t>営業</t>
        </is>
      </c>
      <c r="L7163" t="inlineStr">
        <is>
          <t>7:45:00</t>
        </is>
      </c>
      <c r="M7163" t="inlineStr">
        <is>
          <t>7:45:20</t>
        </is>
      </c>
      <c r="P7163" t="inlineStr">
        <is>
          <t>C系統(朝)</t>
        </is>
      </c>
    </row>
    <row r="7164" ht="15" customHeight="1" s="37">
      <c r="A7164" t="n">
        <v>2</v>
      </c>
      <c r="B7164" s="10" t="inlineStr">
        <is>
          <t>平日</t>
        </is>
      </c>
      <c r="C7164" s="10" t="inlineStr">
        <is>
          <t>本線</t>
        </is>
      </c>
      <c r="D7164" s="10" t="inlineStr">
        <is>
          <t>上り</t>
        </is>
      </c>
      <c r="E7164" s="10" t="inlineStr">
        <is>
          <t>連0710</t>
        </is>
      </c>
      <c r="F7164" t="inlineStr">
        <is>
          <t>2221</t>
        </is>
      </c>
      <c r="G7164" s="10" t="inlineStr">
        <is>
          <t>天神川</t>
        </is>
      </c>
      <c r="H7164" s="10" t="inlineStr">
        <is>
          <t>発</t>
        </is>
      </c>
      <c r="J7164" s="10" t="inlineStr">
        <is>
          <t>営業</t>
        </is>
      </c>
      <c r="L7164" t="inlineStr">
        <is>
          <t>7:46:05</t>
        </is>
      </c>
      <c r="M7164" t="inlineStr">
        <is>
          <t>7:46:50</t>
        </is>
      </c>
      <c r="P7164" t="inlineStr">
        <is>
          <t>C系統(朝)</t>
        </is>
      </c>
    </row>
    <row r="7165" ht="15" customHeight="1" s="37">
      <c r="A7165" t="n">
        <v>2</v>
      </c>
      <c r="B7165" s="10" t="inlineStr">
        <is>
          <t>平日</t>
        </is>
      </c>
      <c r="C7165" s="10" t="inlineStr">
        <is>
          <t>本線</t>
        </is>
      </c>
      <c r="D7165" s="10" t="inlineStr">
        <is>
          <t>上り</t>
        </is>
      </c>
      <c r="E7165" s="10" t="inlineStr">
        <is>
          <t>連0710</t>
        </is>
      </c>
      <c r="F7165" t="inlineStr">
        <is>
          <t>2221</t>
        </is>
      </c>
      <c r="G7165" s="10" t="inlineStr">
        <is>
          <t>山ノ内</t>
        </is>
      </c>
      <c r="H7165" s="10" t="inlineStr">
        <is>
          <t>発</t>
        </is>
      </c>
      <c r="J7165" s="10" t="inlineStr">
        <is>
          <t>営業</t>
        </is>
      </c>
      <c r="L7165" t="inlineStr">
        <is>
          <t>7:48:40</t>
        </is>
      </c>
      <c r="M7165" t="inlineStr">
        <is>
          <t>7:49:05</t>
        </is>
      </c>
      <c r="P7165" t="inlineStr">
        <is>
          <t>C系統(朝)</t>
        </is>
      </c>
    </row>
    <row r="7166" ht="15" customHeight="1" s="37">
      <c r="A7166" t="n">
        <v>2</v>
      </c>
      <c r="B7166" s="10" t="inlineStr">
        <is>
          <t>平日</t>
        </is>
      </c>
      <c r="C7166" s="10" t="inlineStr">
        <is>
          <t>本線</t>
        </is>
      </c>
      <c r="D7166" s="10" t="inlineStr">
        <is>
          <t>上り</t>
        </is>
      </c>
      <c r="E7166" s="10" t="inlineStr">
        <is>
          <t>連0710</t>
        </is>
      </c>
      <c r="F7166" t="inlineStr">
        <is>
          <t>2221</t>
        </is>
      </c>
      <c r="G7166" s="10" t="inlineStr">
        <is>
          <t>西大路三条</t>
        </is>
      </c>
      <c r="H7166" s="10" t="inlineStr">
        <is>
          <t>発</t>
        </is>
      </c>
      <c r="J7166" s="10" t="inlineStr">
        <is>
          <t>営業</t>
        </is>
      </c>
      <c r="L7166" t="inlineStr">
        <is>
          <t>7:50:55</t>
        </is>
      </c>
      <c r="M7166" t="inlineStr">
        <is>
          <t>7:51:15</t>
        </is>
      </c>
      <c r="P7166" t="inlineStr">
        <is>
          <t>C系統(朝)</t>
        </is>
      </c>
    </row>
    <row r="7167" ht="15" customHeight="1" s="37">
      <c r="A7167" t="n">
        <v>2</v>
      </c>
      <c r="B7167" s="10" t="inlineStr">
        <is>
          <t>平日</t>
        </is>
      </c>
      <c r="C7167" s="10" t="inlineStr">
        <is>
          <t>本線</t>
        </is>
      </c>
      <c r="D7167" s="10" t="inlineStr">
        <is>
          <t>上り</t>
        </is>
      </c>
      <c r="E7167" s="10" t="inlineStr">
        <is>
          <t>連0710</t>
        </is>
      </c>
      <c r="F7167" t="inlineStr">
        <is>
          <t>2221</t>
        </is>
      </c>
      <c r="G7167" s="10" t="inlineStr">
        <is>
          <t>西院</t>
        </is>
      </c>
      <c r="H7167" s="10" t="inlineStr">
        <is>
          <t>発</t>
        </is>
      </c>
      <c r="J7167" s="10" t="inlineStr">
        <is>
          <t>営業</t>
        </is>
      </c>
      <c r="L7167" t="inlineStr">
        <is>
          <t>7:53:10</t>
        </is>
      </c>
      <c r="M7167" t="inlineStr">
        <is>
          <t>7:54:05</t>
        </is>
      </c>
      <c r="P7167" t="inlineStr">
        <is>
          <t>C系統(朝)</t>
        </is>
      </c>
    </row>
    <row r="7168" ht="15" customHeight="1" s="37">
      <c r="A7168" t="n">
        <v>2</v>
      </c>
      <c r="B7168" s="10" t="inlineStr">
        <is>
          <t>平日</t>
        </is>
      </c>
      <c r="C7168" s="10" t="inlineStr">
        <is>
          <t>本線</t>
        </is>
      </c>
      <c r="D7168" s="10" t="inlineStr">
        <is>
          <t>上り</t>
        </is>
      </c>
      <c r="E7168" s="10" t="inlineStr">
        <is>
          <t>連0710</t>
        </is>
      </c>
      <c r="F7168" t="inlineStr">
        <is>
          <t>2221</t>
        </is>
      </c>
      <c r="G7168" s="10" t="inlineStr">
        <is>
          <t>四条大宮</t>
        </is>
      </c>
      <c r="H7168" s="10" t="inlineStr">
        <is>
          <t>着</t>
        </is>
      </c>
      <c r="J7168" s="10" t="inlineStr">
        <is>
          <t>営業</t>
        </is>
      </c>
      <c r="L7168" t="inlineStr">
        <is>
          <t>7:57:00</t>
        </is>
      </c>
      <c r="P7168" t="inlineStr">
        <is>
          <t>C系統(朝)</t>
        </is>
      </c>
      <c r="Q7168" t="inlineStr">
        <is>
          <t>1</t>
        </is>
      </c>
    </row>
    <row r="7169" ht="15" customHeight="1" s="37">
      <c r="A7169" t="n">
        <v>2</v>
      </c>
      <c r="B7169" s="10" t="inlineStr">
        <is>
          <t>平日</t>
        </is>
      </c>
      <c r="C7169" s="10" t="inlineStr">
        <is>
          <t>本線</t>
        </is>
      </c>
      <c r="D7169" s="10" t="inlineStr">
        <is>
          <t>下り</t>
        </is>
      </c>
      <c r="E7169" s="10" t="inlineStr">
        <is>
          <t>連0801</t>
        </is>
      </c>
      <c r="F7169" t="inlineStr">
        <is>
          <t>0122</t>
        </is>
      </c>
      <c r="G7169" s="10" t="inlineStr">
        <is>
          <t>四条大宮</t>
        </is>
      </c>
      <c r="H7169" s="10" t="inlineStr">
        <is>
          <t>発</t>
        </is>
      </c>
      <c r="J7169" s="10" t="inlineStr">
        <is>
          <t>営業</t>
        </is>
      </c>
      <c r="M7169" t="inlineStr">
        <is>
          <t>8:04:00</t>
        </is>
      </c>
      <c r="P7169" t="inlineStr">
        <is>
          <t>C系統(朝)</t>
        </is>
      </c>
      <c r="Q7169" t="inlineStr">
        <is>
          <t>1</t>
        </is>
      </c>
    </row>
    <row r="7170" ht="15" customHeight="1" s="37">
      <c r="A7170" t="n">
        <v>2</v>
      </c>
      <c r="B7170" s="10" t="inlineStr">
        <is>
          <t>平日</t>
        </is>
      </c>
      <c r="C7170" s="10" t="inlineStr">
        <is>
          <t>本線</t>
        </is>
      </c>
      <c r="D7170" s="10" t="inlineStr">
        <is>
          <t>下り</t>
        </is>
      </c>
      <c r="E7170" s="10" t="inlineStr">
        <is>
          <t>連0801</t>
        </is>
      </c>
      <c r="F7170" t="inlineStr">
        <is>
          <t>0122</t>
        </is>
      </c>
      <c r="G7170" s="10" t="inlineStr">
        <is>
          <t>西院</t>
        </is>
      </c>
      <c r="H7170" s="10" t="inlineStr">
        <is>
          <t>発</t>
        </is>
      </c>
      <c r="J7170" s="10" t="inlineStr">
        <is>
          <t>営業</t>
        </is>
      </c>
      <c r="L7170" t="inlineStr">
        <is>
          <t>8:06:50</t>
        </is>
      </c>
      <c r="M7170" t="inlineStr">
        <is>
          <t>8:07:20</t>
        </is>
      </c>
      <c r="P7170" t="inlineStr">
        <is>
          <t>C系統(朝)</t>
        </is>
      </c>
    </row>
    <row r="7171" ht="15" customHeight="1" s="37">
      <c r="A7171" t="n">
        <v>2</v>
      </c>
      <c r="B7171" s="10" t="inlineStr">
        <is>
          <t>平日</t>
        </is>
      </c>
      <c r="C7171" s="10" t="inlineStr">
        <is>
          <t>本線</t>
        </is>
      </c>
      <c r="D7171" s="10" t="inlineStr">
        <is>
          <t>下り</t>
        </is>
      </c>
      <c r="E7171" s="10" t="inlineStr">
        <is>
          <t>連0801</t>
        </is>
      </c>
      <c r="F7171" t="inlineStr">
        <is>
          <t>0122</t>
        </is>
      </c>
      <c r="G7171" s="10" t="inlineStr">
        <is>
          <t>西大路三条</t>
        </is>
      </c>
      <c r="H7171" s="10" t="inlineStr">
        <is>
          <t>発</t>
        </is>
      </c>
      <c r="J7171" s="10" t="inlineStr">
        <is>
          <t>営業</t>
        </is>
      </c>
      <c r="L7171" t="inlineStr">
        <is>
          <t>8:09:10</t>
        </is>
      </c>
      <c r="M7171" t="inlineStr">
        <is>
          <t>8:09:30</t>
        </is>
      </c>
      <c r="P7171" t="inlineStr">
        <is>
          <t>C系統(朝)</t>
        </is>
      </c>
    </row>
    <row r="7172" ht="15" customHeight="1" s="37">
      <c r="A7172" t="n">
        <v>2</v>
      </c>
      <c r="B7172" s="10" t="inlineStr">
        <is>
          <t>平日</t>
        </is>
      </c>
      <c r="C7172" s="10" t="inlineStr">
        <is>
          <t>本線</t>
        </is>
      </c>
      <c r="D7172" s="10" t="inlineStr">
        <is>
          <t>下り</t>
        </is>
      </c>
      <c r="E7172" s="10" t="inlineStr">
        <is>
          <t>連0801</t>
        </is>
      </c>
      <c r="F7172" t="inlineStr">
        <is>
          <t>0122</t>
        </is>
      </c>
      <c r="G7172" s="10" t="inlineStr">
        <is>
          <t>山ノ内</t>
        </is>
      </c>
      <c r="H7172" s="10" t="inlineStr">
        <is>
          <t>発</t>
        </is>
      </c>
      <c r="J7172" s="10" t="inlineStr">
        <is>
          <t>営業</t>
        </is>
      </c>
      <c r="L7172" t="inlineStr">
        <is>
          <t>8:11:25</t>
        </is>
      </c>
      <c r="M7172" t="inlineStr">
        <is>
          <t>8:11:50</t>
        </is>
      </c>
      <c r="P7172" t="inlineStr">
        <is>
          <t>C系統(朝)</t>
        </is>
      </c>
    </row>
    <row r="7173" ht="15" customHeight="1" s="37">
      <c r="A7173" t="n">
        <v>2</v>
      </c>
      <c r="B7173" s="10" t="inlineStr">
        <is>
          <t>平日</t>
        </is>
      </c>
      <c r="C7173" s="10" t="inlineStr">
        <is>
          <t>本線</t>
        </is>
      </c>
      <c r="D7173" s="10" t="inlineStr">
        <is>
          <t>下り</t>
        </is>
      </c>
      <c r="E7173" s="10" t="inlineStr">
        <is>
          <t>連0801</t>
        </is>
      </c>
      <c r="F7173" t="inlineStr">
        <is>
          <t>0122</t>
        </is>
      </c>
      <c r="G7173" s="10" t="inlineStr">
        <is>
          <t>天神川</t>
        </is>
      </c>
      <c r="H7173" s="10" t="inlineStr">
        <is>
          <t>発</t>
        </is>
      </c>
      <c r="J7173" s="10" t="inlineStr">
        <is>
          <t>営業</t>
        </is>
      </c>
      <c r="L7173" t="inlineStr">
        <is>
          <t>8:13:50</t>
        </is>
      </c>
      <c r="M7173" t="inlineStr">
        <is>
          <t>8:14:30</t>
        </is>
      </c>
      <c r="P7173" t="inlineStr">
        <is>
          <t>C系統(朝)</t>
        </is>
      </c>
    </row>
    <row r="7174" ht="15" customHeight="1" s="37">
      <c r="A7174" t="n">
        <v>2</v>
      </c>
      <c r="B7174" s="10" t="inlineStr">
        <is>
          <t>平日</t>
        </is>
      </c>
      <c r="C7174" s="10" t="inlineStr">
        <is>
          <t>本線</t>
        </is>
      </c>
      <c r="D7174" s="10" t="inlineStr">
        <is>
          <t>下り</t>
        </is>
      </c>
      <c r="E7174" s="10" t="inlineStr">
        <is>
          <t>連0801</t>
        </is>
      </c>
      <c r="F7174" t="inlineStr">
        <is>
          <t>0122</t>
        </is>
      </c>
      <c r="G7174" s="10" t="inlineStr">
        <is>
          <t>蚕ノ社</t>
        </is>
      </c>
      <c r="H7174" s="10" t="inlineStr">
        <is>
          <t>発</t>
        </is>
      </c>
      <c r="J7174" s="10" t="inlineStr">
        <is>
          <t>営業</t>
        </is>
      </c>
      <c r="L7174" t="inlineStr">
        <is>
          <t>8:15:20</t>
        </is>
      </c>
      <c r="M7174" t="inlineStr">
        <is>
          <t>8:15:40</t>
        </is>
      </c>
      <c r="P7174" t="inlineStr">
        <is>
          <t>C系統(朝)</t>
        </is>
      </c>
    </row>
    <row r="7175" ht="15" customHeight="1" s="37">
      <c r="A7175" t="n">
        <v>2</v>
      </c>
      <c r="B7175" s="10" t="inlineStr">
        <is>
          <t>平日</t>
        </is>
      </c>
      <c r="C7175" s="10" t="inlineStr">
        <is>
          <t>本線</t>
        </is>
      </c>
      <c r="D7175" s="10" t="inlineStr">
        <is>
          <t>下り</t>
        </is>
      </c>
      <c r="E7175" s="10" t="inlineStr">
        <is>
          <t>連0801</t>
        </is>
      </c>
      <c r="F7175" t="inlineStr">
        <is>
          <t>0122</t>
        </is>
      </c>
      <c r="G7175" s="10" t="inlineStr">
        <is>
          <t>太秦広隆寺</t>
        </is>
      </c>
      <c r="H7175" s="10" t="inlineStr">
        <is>
          <t>発</t>
        </is>
      </c>
      <c r="J7175" s="10" t="inlineStr">
        <is>
          <t>営業</t>
        </is>
      </c>
      <c r="L7175" t="inlineStr">
        <is>
          <t>8:17:00</t>
        </is>
      </c>
      <c r="M7175" t="inlineStr">
        <is>
          <t>8:17:20</t>
        </is>
      </c>
      <c r="P7175" t="inlineStr">
        <is>
          <t>C系統(朝)</t>
        </is>
      </c>
    </row>
    <row r="7176" ht="15" customHeight="1" s="37">
      <c r="A7176" t="n">
        <v>2</v>
      </c>
      <c r="B7176" s="10" t="inlineStr">
        <is>
          <t>平日</t>
        </is>
      </c>
      <c r="C7176" s="10" t="inlineStr">
        <is>
          <t>本線</t>
        </is>
      </c>
      <c r="D7176" s="10" t="inlineStr">
        <is>
          <t>下り</t>
        </is>
      </c>
      <c r="E7176" s="10" t="inlineStr">
        <is>
          <t>連0801</t>
        </is>
      </c>
      <c r="F7176" t="inlineStr">
        <is>
          <t>0122</t>
        </is>
      </c>
      <c r="G7176" s="10" t="inlineStr">
        <is>
          <t>帷子ノ辻</t>
        </is>
      </c>
      <c r="H7176" s="10" t="inlineStr">
        <is>
          <t>発</t>
        </is>
      </c>
      <c r="J7176" s="10" t="inlineStr">
        <is>
          <t>営業</t>
        </is>
      </c>
      <c r="L7176" t="inlineStr">
        <is>
          <t>8:19:20</t>
        </is>
      </c>
      <c r="M7176" t="inlineStr">
        <is>
          <t>8:20:40</t>
        </is>
      </c>
      <c r="P7176" t="inlineStr">
        <is>
          <t>C系統(朝)</t>
        </is>
      </c>
    </row>
    <row r="7177" ht="15" customHeight="1" s="37">
      <c r="A7177" t="n">
        <v>2</v>
      </c>
      <c r="B7177" s="10" t="inlineStr">
        <is>
          <t>平日</t>
        </is>
      </c>
      <c r="C7177" s="10" t="inlineStr">
        <is>
          <t>本線</t>
        </is>
      </c>
      <c r="D7177" s="10" t="inlineStr">
        <is>
          <t>下り</t>
        </is>
      </c>
      <c r="E7177" s="10" t="inlineStr">
        <is>
          <t>連0801</t>
        </is>
      </c>
      <c r="F7177" t="inlineStr">
        <is>
          <t>0122</t>
        </is>
      </c>
      <c r="G7177" s="10" t="inlineStr">
        <is>
          <t>有栖川</t>
        </is>
      </c>
      <c r="H7177" s="10" t="inlineStr">
        <is>
          <t>発</t>
        </is>
      </c>
      <c r="J7177" s="10" t="inlineStr">
        <is>
          <t>営業</t>
        </is>
      </c>
      <c r="L7177" t="inlineStr">
        <is>
          <t>8:21:50</t>
        </is>
      </c>
      <c r="M7177" t="inlineStr">
        <is>
          <t>8:22:15</t>
        </is>
      </c>
      <c r="P7177" t="inlineStr">
        <is>
          <t>C系統(朝)</t>
        </is>
      </c>
    </row>
    <row r="7178" ht="15" customHeight="1" s="37">
      <c r="A7178" t="n">
        <v>2</v>
      </c>
      <c r="B7178" s="10" t="inlineStr">
        <is>
          <t>平日</t>
        </is>
      </c>
      <c r="C7178" s="10" t="inlineStr">
        <is>
          <t>本線</t>
        </is>
      </c>
      <c r="D7178" s="10" t="inlineStr">
        <is>
          <t>下り</t>
        </is>
      </c>
      <c r="E7178" s="10" t="inlineStr">
        <is>
          <t>連0801</t>
        </is>
      </c>
      <c r="F7178" t="inlineStr">
        <is>
          <t>0122</t>
        </is>
      </c>
      <c r="G7178" s="10" t="inlineStr">
        <is>
          <t>車折</t>
        </is>
      </c>
      <c r="H7178" s="10" t="inlineStr">
        <is>
          <t>発</t>
        </is>
      </c>
      <c r="J7178" s="10" t="inlineStr">
        <is>
          <t>営業</t>
        </is>
      </c>
      <c r="L7178" t="inlineStr">
        <is>
          <t>8:23:40</t>
        </is>
      </c>
      <c r="M7178" t="inlineStr">
        <is>
          <t>8:24:05</t>
        </is>
      </c>
      <c r="P7178" t="inlineStr">
        <is>
          <t>C系統(朝)</t>
        </is>
      </c>
    </row>
    <row r="7179" ht="15" customHeight="1" s="37">
      <c r="A7179" t="n">
        <v>2</v>
      </c>
      <c r="B7179" s="10" t="inlineStr">
        <is>
          <t>平日</t>
        </is>
      </c>
      <c r="C7179" s="10" t="inlineStr">
        <is>
          <t>本線</t>
        </is>
      </c>
      <c r="D7179" s="10" t="inlineStr">
        <is>
          <t>下り</t>
        </is>
      </c>
      <c r="E7179" s="10" t="inlineStr">
        <is>
          <t>連0801</t>
        </is>
      </c>
      <c r="F7179" t="inlineStr">
        <is>
          <t>0122</t>
        </is>
      </c>
      <c r="G7179" s="10" t="inlineStr">
        <is>
          <t>鹿王院</t>
        </is>
      </c>
      <c r="H7179" s="10" t="inlineStr">
        <is>
          <t>発</t>
        </is>
      </c>
      <c r="J7179" s="10" t="inlineStr">
        <is>
          <t>営業</t>
        </is>
      </c>
      <c r="L7179" t="inlineStr">
        <is>
          <t>8:25:00</t>
        </is>
      </c>
      <c r="M7179" t="inlineStr">
        <is>
          <t>8:25:25</t>
        </is>
      </c>
      <c r="P7179" t="inlineStr">
        <is>
          <t>C系統(朝)</t>
        </is>
      </c>
    </row>
    <row r="7180" ht="15" customHeight="1" s="37">
      <c r="A7180" t="n">
        <v>2</v>
      </c>
      <c r="B7180" s="10" t="inlineStr">
        <is>
          <t>平日</t>
        </is>
      </c>
      <c r="C7180" s="10" t="inlineStr">
        <is>
          <t>本線</t>
        </is>
      </c>
      <c r="D7180" s="10" t="inlineStr">
        <is>
          <t>下り</t>
        </is>
      </c>
      <c r="E7180" s="10" t="inlineStr">
        <is>
          <t>連0801</t>
        </is>
      </c>
      <c r="F7180" t="inlineStr">
        <is>
          <t>0122</t>
        </is>
      </c>
      <c r="G7180" s="10" t="inlineStr">
        <is>
          <t>嵯峨</t>
        </is>
      </c>
      <c r="H7180" s="10" t="inlineStr">
        <is>
          <t>発</t>
        </is>
      </c>
      <c r="J7180" s="10" t="inlineStr">
        <is>
          <t>営業</t>
        </is>
      </c>
      <c r="L7180" t="inlineStr">
        <is>
          <t>8:26:30</t>
        </is>
      </c>
      <c r="M7180" t="inlineStr">
        <is>
          <t>8:26:55</t>
        </is>
      </c>
      <c r="P7180" t="inlineStr">
        <is>
          <t>C系統(朝)</t>
        </is>
      </c>
    </row>
    <row r="7181" ht="15" customHeight="1" s="37">
      <c r="A7181" t="n">
        <v>2</v>
      </c>
      <c r="B7181" s="10" t="inlineStr">
        <is>
          <t>平日</t>
        </is>
      </c>
      <c r="C7181" s="10" t="inlineStr">
        <is>
          <t>本線</t>
        </is>
      </c>
      <c r="D7181" s="10" t="inlineStr">
        <is>
          <t>下り</t>
        </is>
      </c>
      <c r="E7181" s="10" t="inlineStr">
        <is>
          <t>連0801</t>
        </is>
      </c>
      <c r="F7181" t="inlineStr">
        <is>
          <t>0122</t>
        </is>
      </c>
      <c r="G7181" s="10" t="inlineStr">
        <is>
          <t>嵐山</t>
        </is>
      </c>
      <c r="H7181" s="10" t="inlineStr">
        <is>
          <t>着</t>
        </is>
      </c>
      <c r="J7181" s="10" t="inlineStr">
        <is>
          <t>営業</t>
        </is>
      </c>
      <c r="L7181" t="inlineStr">
        <is>
          <t>8:28:00</t>
        </is>
      </c>
      <c r="N7181" t="inlineStr">
        <is>
          <t>○</t>
        </is>
      </c>
      <c r="P7181" t="inlineStr">
        <is>
          <t>C系統(朝)</t>
        </is>
      </c>
      <c r="Q7181" t="inlineStr">
        <is>
          <t>1</t>
        </is>
      </c>
    </row>
    <row r="7182" ht="15" customHeight="1" s="37">
      <c r="A7182" t="n">
        <v>2</v>
      </c>
      <c r="B7182" s="10" t="inlineStr">
        <is>
          <t>平日</t>
        </is>
      </c>
      <c r="C7182" s="10" t="inlineStr">
        <is>
          <t>本線</t>
        </is>
      </c>
      <c r="D7182" s="10" t="inlineStr">
        <is>
          <t>上り</t>
        </is>
      </c>
      <c r="E7182" s="10" t="inlineStr">
        <is>
          <t>連0810</t>
        </is>
      </c>
      <c r="F7182" t="inlineStr">
        <is>
          <t>2221</t>
        </is>
      </c>
      <c r="G7182" s="10" t="inlineStr">
        <is>
          <t>嵐山</t>
        </is>
      </c>
      <c r="H7182" s="10" t="inlineStr">
        <is>
          <t>発</t>
        </is>
      </c>
      <c r="J7182" s="10" t="inlineStr">
        <is>
          <t>営業</t>
        </is>
      </c>
      <c r="M7182" t="inlineStr">
        <is>
          <t>8:37:00</t>
        </is>
      </c>
      <c r="P7182" t="inlineStr">
        <is>
          <t>C系統(朝)</t>
        </is>
      </c>
      <c r="Q7182" t="inlineStr">
        <is>
          <t>1</t>
        </is>
      </c>
      <c r="U7182" t="inlineStr">
        <is>
          <t>→西院 休憩(9:14〜10:26)</t>
        </is>
      </c>
    </row>
    <row r="7183" ht="15" customHeight="1" s="37">
      <c r="A7183" t="n">
        <v>2</v>
      </c>
      <c r="B7183" s="10" t="inlineStr">
        <is>
          <t>平日</t>
        </is>
      </c>
      <c r="C7183" s="10" t="inlineStr">
        <is>
          <t>本線</t>
        </is>
      </c>
      <c r="D7183" s="10" t="inlineStr">
        <is>
          <t>上り</t>
        </is>
      </c>
      <c r="E7183" s="10" t="inlineStr">
        <is>
          <t>連0810</t>
        </is>
      </c>
      <c r="F7183" t="inlineStr">
        <is>
          <t>2221</t>
        </is>
      </c>
      <c r="G7183" s="10" t="inlineStr">
        <is>
          <t>嵯峨</t>
        </is>
      </c>
      <c r="H7183" s="10" t="inlineStr">
        <is>
          <t>発</t>
        </is>
      </c>
      <c r="J7183" s="10" t="inlineStr">
        <is>
          <t>営業</t>
        </is>
      </c>
      <c r="L7183" t="inlineStr">
        <is>
          <t>8:37:55</t>
        </is>
      </c>
      <c r="M7183" t="inlineStr">
        <is>
          <t>8:38:20</t>
        </is>
      </c>
      <c r="P7183" t="inlineStr">
        <is>
          <t>C系統(朝)</t>
        </is>
      </c>
      <c r="U7183" t="inlineStr">
        <is>
          <t>→西院 休憩(9:14〜10:26)</t>
        </is>
      </c>
    </row>
    <row r="7184" ht="15" customHeight="1" s="37">
      <c r="A7184" t="n">
        <v>2</v>
      </c>
      <c r="B7184" s="10" t="inlineStr">
        <is>
          <t>平日</t>
        </is>
      </c>
      <c r="C7184" s="10" t="inlineStr">
        <is>
          <t>本線</t>
        </is>
      </c>
      <c r="D7184" s="10" t="inlineStr">
        <is>
          <t>上り</t>
        </is>
      </c>
      <c r="E7184" s="10" t="inlineStr">
        <is>
          <t>連0810</t>
        </is>
      </c>
      <c r="F7184" t="inlineStr">
        <is>
          <t>2221</t>
        </is>
      </c>
      <c r="G7184" s="10" t="inlineStr">
        <is>
          <t>鹿王院</t>
        </is>
      </c>
      <c r="H7184" s="10" t="inlineStr">
        <is>
          <t>発</t>
        </is>
      </c>
      <c r="J7184" s="10" t="inlineStr">
        <is>
          <t>営業</t>
        </is>
      </c>
      <c r="L7184" t="inlineStr">
        <is>
          <t>8:39:25</t>
        </is>
      </c>
      <c r="M7184" t="inlineStr">
        <is>
          <t>8:39:45</t>
        </is>
      </c>
      <c r="P7184" t="inlineStr">
        <is>
          <t>C系統(朝)</t>
        </is>
      </c>
      <c r="U7184" t="inlineStr">
        <is>
          <t>→西院 休憩(9:14〜10:26)</t>
        </is>
      </c>
    </row>
    <row r="7185" ht="15" customHeight="1" s="37">
      <c r="A7185" t="n">
        <v>2</v>
      </c>
      <c r="B7185" s="10" t="inlineStr">
        <is>
          <t>平日</t>
        </is>
      </c>
      <c r="C7185" s="10" t="inlineStr">
        <is>
          <t>本線</t>
        </is>
      </c>
      <c r="D7185" s="10" t="inlineStr">
        <is>
          <t>上り</t>
        </is>
      </c>
      <c r="E7185" s="10" t="inlineStr">
        <is>
          <t>連0810</t>
        </is>
      </c>
      <c r="F7185" t="inlineStr">
        <is>
          <t>2221</t>
        </is>
      </c>
      <c r="G7185" s="10" t="inlineStr">
        <is>
          <t>車折</t>
        </is>
      </c>
      <c r="H7185" s="10" t="inlineStr">
        <is>
          <t>発</t>
        </is>
      </c>
      <c r="J7185" s="10" t="inlineStr">
        <is>
          <t>営業</t>
        </is>
      </c>
      <c r="L7185" t="inlineStr">
        <is>
          <t>8:40:40</t>
        </is>
      </c>
      <c r="M7185" t="inlineStr">
        <is>
          <t>8:41:10</t>
        </is>
      </c>
      <c r="P7185" t="inlineStr">
        <is>
          <t>C系統(朝)</t>
        </is>
      </c>
      <c r="U7185" t="inlineStr">
        <is>
          <t>→西院 休憩(9:14〜10:26)</t>
        </is>
      </c>
    </row>
    <row r="7186" ht="15" customHeight="1" s="37">
      <c r="A7186" t="n">
        <v>2</v>
      </c>
      <c r="B7186" s="10" t="inlineStr">
        <is>
          <t>平日</t>
        </is>
      </c>
      <c r="C7186" s="10" t="inlineStr">
        <is>
          <t>本線</t>
        </is>
      </c>
      <c r="D7186" s="10" t="inlineStr">
        <is>
          <t>上り</t>
        </is>
      </c>
      <c r="E7186" s="10" t="inlineStr">
        <is>
          <t>連0810</t>
        </is>
      </c>
      <c r="F7186" t="inlineStr">
        <is>
          <t>2221</t>
        </is>
      </c>
      <c r="G7186" s="10" t="inlineStr">
        <is>
          <t>有栖川</t>
        </is>
      </c>
      <c r="H7186" s="10" t="inlineStr">
        <is>
          <t>発</t>
        </is>
      </c>
      <c r="J7186" s="10" t="inlineStr">
        <is>
          <t>営業</t>
        </is>
      </c>
      <c r="L7186" t="inlineStr">
        <is>
          <t>8:42:35</t>
        </is>
      </c>
      <c r="M7186" t="inlineStr">
        <is>
          <t>8:42:55</t>
        </is>
      </c>
      <c r="P7186" t="inlineStr">
        <is>
          <t>C系統(朝)</t>
        </is>
      </c>
      <c r="U7186" t="inlineStr">
        <is>
          <t>→西院 休憩(9:14〜10:26)</t>
        </is>
      </c>
    </row>
    <row r="7187" ht="15" customHeight="1" s="37">
      <c r="A7187" t="n">
        <v>2</v>
      </c>
      <c r="B7187" s="10" t="inlineStr">
        <is>
          <t>平日</t>
        </is>
      </c>
      <c r="C7187" s="10" t="inlineStr">
        <is>
          <t>本線</t>
        </is>
      </c>
      <c r="D7187" s="10" t="inlineStr">
        <is>
          <t>上り</t>
        </is>
      </c>
      <c r="E7187" s="10" t="inlineStr">
        <is>
          <t>連0810</t>
        </is>
      </c>
      <c r="F7187" t="inlineStr">
        <is>
          <t>2221</t>
        </is>
      </c>
      <c r="G7187" s="10" t="inlineStr">
        <is>
          <t>帷子ノ辻</t>
        </is>
      </c>
      <c r="H7187" s="10" t="inlineStr">
        <is>
          <t>発</t>
        </is>
      </c>
      <c r="J7187" s="10" t="inlineStr">
        <is>
          <t>営業</t>
        </is>
      </c>
      <c r="L7187" t="inlineStr">
        <is>
          <t>8:44:10</t>
        </is>
      </c>
      <c r="M7187" t="inlineStr">
        <is>
          <t>8:45:15</t>
        </is>
      </c>
      <c r="P7187" t="inlineStr">
        <is>
          <t>C系統(朝)</t>
        </is>
      </c>
      <c r="U7187" t="inlineStr">
        <is>
          <t>→西院 休憩(9:14〜10:26)</t>
        </is>
      </c>
    </row>
    <row r="7188" ht="15" customHeight="1" s="37">
      <c r="A7188" t="n">
        <v>2</v>
      </c>
      <c r="B7188" s="10" t="inlineStr">
        <is>
          <t>平日</t>
        </is>
      </c>
      <c r="C7188" s="10" t="inlineStr">
        <is>
          <t>本線</t>
        </is>
      </c>
      <c r="D7188" s="10" t="inlineStr">
        <is>
          <t>上り</t>
        </is>
      </c>
      <c r="E7188" s="10" t="inlineStr">
        <is>
          <t>連0810</t>
        </is>
      </c>
      <c r="F7188" t="inlineStr">
        <is>
          <t>2221</t>
        </is>
      </c>
      <c r="G7188" s="10" t="inlineStr">
        <is>
          <t>太秦広隆寺</t>
        </is>
      </c>
      <c r="H7188" s="10" t="inlineStr">
        <is>
          <t>発</t>
        </is>
      </c>
      <c r="J7188" s="10" t="inlineStr">
        <is>
          <t>営業</t>
        </is>
      </c>
      <c r="L7188" t="inlineStr">
        <is>
          <t>8:47:25</t>
        </is>
      </c>
      <c r="M7188" t="inlineStr">
        <is>
          <t>8:47:45</t>
        </is>
      </c>
      <c r="P7188" t="inlineStr">
        <is>
          <t>C系統(朝)</t>
        </is>
      </c>
      <c r="U7188" t="inlineStr">
        <is>
          <t>→西院 休憩(9:14〜10:26)</t>
        </is>
      </c>
    </row>
    <row r="7189" ht="15" customHeight="1" s="37">
      <c r="A7189" t="n">
        <v>2</v>
      </c>
      <c r="B7189" s="10" t="inlineStr">
        <is>
          <t>平日</t>
        </is>
      </c>
      <c r="C7189" s="10" t="inlineStr">
        <is>
          <t>本線</t>
        </is>
      </c>
      <c r="D7189" s="10" t="inlineStr">
        <is>
          <t>上り</t>
        </is>
      </c>
      <c r="E7189" s="10" t="inlineStr">
        <is>
          <t>連0810</t>
        </is>
      </c>
      <c r="F7189" t="inlineStr">
        <is>
          <t>2221</t>
        </is>
      </c>
      <c r="G7189" s="10" t="inlineStr">
        <is>
          <t>蚕ノ社</t>
        </is>
      </c>
      <c r="H7189" s="10" t="inlineStr">
        <is>
          <t>発</t>
        </is>
      </c>
      <c r="J7189" s="10" t="inlineStr">
        <is>
          <t>営業</t>
        </is>
      </c>
      <c r="L7189" t="inlineStr">
        <is>
          <t>8:49:00</t>
        </is>
      </c>
      <c r="M7189" t="inlineStr">
        <is>
          <t>8:49:20</t>
        </is>
      </c>
      <c r="P7189" t="inlineStr">
        <is>
          <t>C系統(朝)</t>
        </is>
      </c>
      <c r="U7189" t="inlineStr">
        <is>
          <t>→西院 休憩(9:14〜10:26)</t>
        </is>
      </c>
    </row>
    <row r="7190" ht="15" customHeight="1" s="37">
      <c r="A7190" t="n">
        <v>2</v>
      </c>
      <c r="B7190" s="10" t="inlineStr">
        <is>
          <t>平日</t>
        </is>
      </c>
      <c r="C7190" s="10" t="inlineStr">
        <is>
          <t>本線</t>
        </is>
      </c>
      <c r="D7190" s="10" t="inlineStr">
        <is>
          <t>上り</t>
        </is>
      </c>
      <c r="E7190" s="10" t="inlineStr">
        <is>
          <t>連0810</t>
        </is>
      </c>
      <c r="F7190" t="inlineStr">
        <is>
          <t>2221</t>
        </is>
      </c>
      <c r="G7190" s="10" t="inlineStr">
        <is>
          <t>天神川</t>
        </is>
      </c>
      <c r="H7190" s="10" t="inlineStr">
        <is>
          <t>発</t>
        </is>
      </c>
      <c r="J7190" s="10" t="inlineStr">
        <is>
          <t>営業</t>
        </is>
      </c>
      <c r="L7190" t="inlineStr">
        <is>
          <t>8:50:05</t>
        </is>
      </c>
      <c r="M7190" t="inlineStr">
        <is>
          <t>8:50:50</t>
        </is>
      </c>
      <c r="P7190" t="inlineStr">
        <is>
          <t>C系統(朝)</t>
        </is>
      </c>
      <c r="U7190" t="inlineStr">
        <is>
          <t>→西院 休憩(9:14〜10:26)</t>
        </is>
      </c>
    </row>
    <row r="7191" ht="15" customHeight="1" s="37">
      <c r="A7191" t="n">
        <v>2</v>
      </c>
      <c r="B7191" s="10" t="inlineStr">
        <is>
          <t>平日</t>
        </is>
      </c>
      <c r="C7191" s="10" t="inlineStr">
        <is>
          <t>本線</t>
        </is>
      </c>
      <c r="D7191" s="10" t="inlineStr">
        <is>
          <t>上り</t>
        </is>
      </c>
      <c r="E7191" s="10" t="inlineStr">
        <is>
          <t>連0810</t>
        </is>
      </c>
      <c r="F7191" t="inlineStr">
        <is>
          <t>2221</t>
        </is>
      </c>
      <c r="G7191" s="10" t="inlineStr">
        <is>
          <t>山ノ内</t>
        </is>
      </c>
      <c r="H7191" s="10" t="inlineStr">
        <is>
          <t>発</t>
        </is>
      </c>
      <c r="J7191" s="10" t="inlineStr">
        <is>
          <t>営業</t>
        </is>
      </c>
      <c r="L7191" t="inlineStr">
        <is>
          <t>8:52:40</t>
        </is>
      </c>
      <c r="M7191" t="inlineStr">
        <is>
          <t>8:53:05</t>
        </is>
      </c>
      <c r="P7191" t="inlineStr">
        <is>
          <t>C系統(朝)</t>
        </is>
      </c>
      <c r="U7191" t="inlineStr">
        <is>
          <t>→西院 休憩(9:14〜10:26)</t>
        </is>
      </c>
    </row>
    <row r="7192" ht="15" customHeight="1" s="37">
      <c r="A7192" t="n">
        <v>2</v>
      </c>
      <c r="B7192" s="10" t="inlineStr">
        <is>
          <t>平日</t>
        </is>
      </c>
      <c r="C7192" s="10" t="inlineStr">
        <is>
          <t>本線</t>
        </is>
      </c>
      <c r="D7192" s="10" t="inlineStr">
        <is>
          <t>上り</t>
        </is>
      </c>
      <c r="E7192" s="10" t="inlineStr">
        <is>
          <t>連0810</t>
        </is>
      </c>
      <c r="F7192" t="inlineStr">
        <is>
          <t>2221</t>
        </is>
      </c>
      <c r="G7192" s="10" t="inlineStr">
        <is>
          <t>西大路三条</t>
        </is>
      </c>
      <c r="H7192" s="10" t="inlineStr">
        <is>
          <t>発</t>
        </is>
      </c>
      <c r="J7192" s="10" t="inlineStr">
        <is>
          <t>営業</t>
        </is>
      </c>
      <c r="L7192" t="inlineStr">
        <is>
          <t>8:54:55</t>
        </is>
      </c>
      <c r="M7192" t="inlineStr">
        <is>
          <t>8:55:15</t>
        </is>
      </c>
      <c r="P7192" t="inlineStr">
        <is>
          <t>C系統(朝)</t>
        </is>
      </c>
      <c r="U7192" t="inlineStr">
        <is>
          <t>→西院 休憩(9:14〜10:26)</t>
        </is>
      </c>
    </row>
    <row r="7193" ht="15" customHeight="1" s="37">
      <c r="A7193" t="n">
        <v>2</v>
      </c>
      <c r="B7193" s="10" t="inlineStr">
        <is>
          <t>平日</t>
        </is>
      </c>
      <c r="C7193" s="10" t="inlineStr">
        <is>
          <t>本線</t>
        </is>
      </c>
      <c r="D7193" s="10" t="inlineStr">
        <is>
          <t>上り</t>
        </is>
      </c>
      <c r="E7193" s="10" t="inlineStr">
        <is>
          <t>連0810</t>
        </is>
      </c>
      <c r="F7193" t="inlineStr">
        <is>
          <t>2221</t>
        </is>
      </c>
      <c r="G7193" s="10" t="inlineStr">
        <is>
          <t>西院</t>
        </is>
      </c>
      <c r="H7193" s="10" t="inlineStr">
        <is>
          <t>発</t>
        </is>
      </c>
      <c r="J7193" s="10" t="inlineStr">
        <is>
          <t>営業</t>
        </is>
      </c>
      <c r="L7193" t="inlineStr">
        <is>
          <t>8:57:10</t>
        </is>
      </c>
      <c r="M7193" t="inlineStr">
        <is>
          <t>8:58:05</t>
        </is>
      </c>
      <c r="P7193" t="inlineStr">
        <is>
          <t>C系統(朝)</t>
        </is>
      </c>
      <c r="U7193" t="inlineStr">
        <is>
          <t>→西院 休憩(9:14〜10:26)</t>
        </is>
      </c>
    </row>
    <row r="7194" ht="15" customHeight="1" s="37">
      <c r="A7194" t="n">
        <v>2</v>
      </c>
      <c r="B7194" s="10" t="inlineStr">
        <is>
          <t>平日</t>
        </is>
      </c>
      <c r="C7194" s="10" t="inlineStr">
        <is>
          <t>本線</t>
        </is>
      </c>
      <c r="D7194" s="10" t="inlineStr">
        <is>
          <t>上り</t>
        </is>
      </c>
      <c r="E7194" s="10" t="inlineStr">
        <is>
          <t>連0810</t>
        </is>
      </c>
      <c r="F7194" t="inlineStr">
        <is>
          <t>2221</t>
        </is>
      </c>
      <c r="G7194" s="10" t="inlineStr">
        <is>
          <t>四条大宮</t>
        </is>
      </c>
      <c r="H7194" s="10" t="inlineStr">
        <is>
          <t>着</t>
        </is>
      </c>
      <c r="J7194" s="10" t="inlineStr">
        <is>
          <t>営業</t>
        </is>
      </c>
      <c r="L7194" t="inlineStr">
        <is>
          <t>9:01:00</t>
        </is>
      </c>
      <c r="P7194" t="inlineStr">
        <is>
          <t>C系統(朝)</t>
        </is>
      </c>
      <c r="Q7194" t="inlineStr">
        <is>
          <t>2</t>
        </is>
      </c>
      <c r="U7194" t="inlineStr">
        <is>
          <t>→西院 休憩(9:14〜10:26)</t>
        </is>
      </c>
    </row>
    <row r="7195" ht="15" customHeight="1" s="37">
      <c r="A7195" t="n">
        <v>2</v>
      </c>
      <c r="B7195" s="10" t="inlineStr">
        <is>
          <t>平日</t>
        </is>
      </c>
      <c r="C7195" s="10" t="inlineStr">
        <is>
          <t>本線</t>
        </is>
      </c>
      <c r="D7195" s="10" t="inlineStr">
        <is>
          <t>下り</t>
        </is>
      </c>
      <c r="E7195" s="10" t="inlineStr">
        <is>
          <t>連0903</t>
        </is>
      </c>
      <c r="F7195" t="inlineStr">
        <is>
          <t>0112</t>
        </is>
      </c>
      <c r="G7195" s="10" t="inlineStr">
        <is>
          <t>四条大宮</t>
        </is>
      </c>
      <c r="H7195" s="10" t="inlineStr">
        <is>
          <t>発</t>
        </is>
      </c>
      <c r="J7195" s="10" t="inlineStr">
        <is>
          <t>営業</t>
        </is>
      </c>
      <c r="M7195" t="inlineStr">
        <is>
          <t>9:12:00</t>
        </is>
      </c>
      <c r="P7195" t="inlineStr">
        <is>
          <t>C系統(朝)</t>
        </is>
      </c>
      <c r="Q7195" t="inlineStr">
        <is>
          <t>2</t>
        </is>
      </c>
      <c r="U7195" t="inlineStr">
        <is>
          <t>→西院 休憩(9:14〜10:26)</t>
        </is>
      </c>
    </row>
    <row r="7196" ht="15" customHeight="1" s="37">
      <c r="A7196" t="n">
        <v>2</v>
      </c>
      <c r="B7196" s="10" t="inlineStr">
        <is>
          <t>平日</t>
        </is>
      </c>
      <c r="C7196" s="10" t="inlineStr">
        <is>
          <t>本線</t>
        </is>
      </c>
      <c r="D7196" s="10" t="inlineStr">
        <is>
          <t>下り</t>
        </is>
      </c>
      <c r="E7196" s="10" t="inlineStr">
        <is>
          <t>連0903</t>
        </is>
      </c>
      <c r="F7196" t="inlineStr">
        <is>
          <t>0112</t>
        </is>
      </c>
      <c r="G7196" s="10" t="inlineStr">
        <is>
          <t>西院</t>
        </is>
      </c>
      <c r="H7196" s="10" t="inlineStr">
        <is>
          <t>着</t>
        </is>
      </c>
      <c r="J7196" s="10" t="inlineStr">
        <is>
          <t>営業</t>
        </is>
      </c>
      <c r="L7196" t="inlineStr">
        <is>
          <t>9:14:50</t>
        </is>
      </c>
      <c r="M7196" t="inlineStr">
        <is>
          <t>9:16:20</t>
        </is>
      </c>
      <c r="P7196" t="inlineStr">
        <is>
          <t>C系統(朝)</t>
        </is>
      </c>
      <c r="U7196" t="inlineStr">
        <is>
          <t>→西院 休憩(9:14〜10:26)</t>
        </is>
      </c>
    </row>
    <row r="7197" ht="15" customHeight="1" s="37">
      <c r="A7197" t="n">
        <v>20</v>
      </c>
      <c r="B7197" s="10" t="inlineStr">
        <is>
          <t>平日</t>
        </is>
      </c>
      <c r="C7197" s="10" t="inlineStr">
        <is>
          <t>北野線</t>
        </is>
      </c>
      <c r="D7197" s="10" t="inlineStr">
        <is>
          <t>上り</t>
        </is>
      </c>
      <c r="E7197" t="inlineStr">
        <is>
          <t>0756</t>
        </is>
      </c>
      <c r="F7197" t="inlineStr">
        <is>
          <t>0354</t>
        </is>
      </c>
      <c r="G7197" s="10" t="inlineStr">
        <is>
          <t>帷子ノ辻</t>
        </is>
      </c>
      <c r="H7197" s="10" t="inlineStr">
        <is>
          <t>発</t>
        </is>
      </c>
      <c r="J7197" s="10" t="inlineStr">
        <is>
          <t>営業</t>
        </is>
      </c>
      <c r="M7197" t="inlineStr">
        <is>
          <t>7:22:00</t>
        </is>
      </c>
      <c r="Q7197" t="inlineStr">
        <is>
          <t>4</t>
        </is>
      </c>
    </row>
    <row r="7198" ht="15" customHeight="1" s="37">
      <c r="A7198" t="n">
        <v>20</v>
      </c>
      <c r="B7198" s="10" t="inlineStr">
        <is>
          <t>平日</t>
        </is>
      </c>
      <c r="C7198" s="10" t="inlineStr">
        <is>
          <t>北野線</t>
        </is>
      </c>
      <c r="D7198" s="10" t="inlineStr">
        <is>
          <t>上り</t>
        </is>
      </c>
      <c r="E7198" t="inlineStr">
        <is>
          <t>0756</t>
        </is>
      </c>
      <c r="F7198" t="inlineStr">
        <is>
          <t>0354</t>
        </is>
      </c>
      <c r="G7198" s="10" t="inlineStr">
        <is>
          <t>撮影所前</t>
        </is>
      </c>
      <c r="H7198" s="10" t="inlineStr">
        <is>
          <t>発</t>
        </is>
      </c>
      <c r="J7198" s="10" t="inlineStr">
        <is>
          <t>営業</t>
        </is>
      </c>
      <c r="L7198" t="inlineStr">
        <is>
          <t>7:23:00</t>
        </is>
      </c>
      <c r="M7198" t="inlineStr">
        <is>
          <t>7:23:10</t>
        </is>
      </c>
    </row>
    <row r="7199" ht="15" customHeight="1" s="37">
      <c r="A7199" t="n">
        <v>20</v>
      </c>
      <c r="B7199" s="10" t="inlineStr">
        <is>
          <t>平日</t>
        </is>
      </c>
      <c r="C7199" s="10" t="inlineStr">
        <is>
          <t>北野線</t>
        </is>
      </c>
      <c r="D7199" s="10" t="inlineStr">
        <is>
          <t>上り</t>
        </is>
      </c>
      <c r="E7199" t="inlineStr">
        <is>
          <t>0756</t>
        </is>
      </c>
      <c r="F7199" t="inlineStr">
        <is>
          <t>0354</t>
        </is>
      </c>
      <c r="G7199" s="10" t="inlineStr">
        <is>
          <t>常盤</t>
        </is>
      </c>
      <c r="H7199" s="10" t="inlineStr">
        <is>
          <t>発</t>
        </is>
      </c>
      <c r="J7199" s="10" t="inlineStr">
        <is>
          <t>営業</t>
        </is>
      </c>
      <c r="L7199" t="inlineStr">
        <is>
          <t>7:24:30</t>
        </is>
      </c>
      <c r="M7199" t="inlineStr">
        <is>
          <t>7:24:50</t>
        </is>
      </c>
    </row>
    <row r="7200" ht="15" customHeight="1" s="37">
      <c r="A7200" t="n">
        <v>20</v>
      </c>
      <c r="B7200" s="10" t="inlineStr">
        <is>
          <t>平日</t>
        </is>
      </c>
      <c r="C7200" s="10" t="inlineStr">
        <is>
          <t>北野線</t>
        </is>
      </c>
      <c r="D7200" s="10" t="inlineStr">
        <is>
          <t>上り</t>
        </is>
      </c>
      <c r="E7200" t="inlineStr">
        <is>
          <t>0756</t>
        </is>
      </c>
      <c r="F7200" t="inlineStr">
        <is>
          <t>0354</t>
        </is>
      </c>
      <c r="G7200" s="10" t="inlineStr">
        <is>
          <t>鳴滝</t>
        </is>
      </c>
      <c r="H7200" s="10" t="inlineStr">
        <is>
          <t>発</t>
        </is>
      </c>
      <c r="J7200" s="10" t="inlineStr">
        <is>
          <t>営業</t>
        </is>
      </c>
      <c r="L7200" t="inlineStr">
        <is>
          <t>7:25:50</t>
        </is>
      </c>
      <c r="M7200" t="inlineStr">
        <is>
          <t>7:26:10</t>
        </is>
      </c>
    </row>
    <row r="7201" ht="15" customHeight="1" s="37">
      <c r="A7201" t="n">
        <v>20</v>
      </c>
      <c r="B7201" s="10" t="inlineStr">
        <is>
          <t>平日</t>
        </is>
      </c>
      <c r="C7201" s="10" t="inlineStr">
        <is>
          <t>北野線</t>
        </is>
      </c>
      <c r="D7201" s="10" t="inlineStr">
        <is>
          <t>上り</t>
        </is>
      </c>
      <c r="E7201" t="inlineStr">
        <is>
          <t>0756</t>
        </is>
      </c>
      <c r="F7201" t="inlineStr">
        <is>
          <t>0354</t>
        </is>
      </c>
      <c r="G7201" s="10" t="inlineStr">
        <is>
          <t>宇多野</t>
        </is>
      </c>
      <c r="H7201" s="10" t="inlineStr">
        <is>
          <t>発</t>
        </is>
      </c>
      <c r="J7201" s="10" t="inlineStr">
        <is>
          <t>営業</t>
        </is>
      </c>
      <c r="L7201" t="inlineStr">
        <is>
          <t>7:27:30</t>
        </is>
      </c>
      <c r="M7201" t="inlineStr">
        <is>
          <t>7:27:45</t>
        </is>
      </c>
    </row>
    <row r="7202" ht="15" customHeight="1" s="37">
      <c r="A7202" t="n">
        <v>20</v>
      </c>
      <c r="B7202" s="10" t="inlineStr">
        <is>
          <t>平日</t>
        </is>
      </c>
      <c r="C7202" s="10" t="inlineStr">
        <is>
          <t>北野線</t>
        </is>
      </c>
      <c r="D7202" s="10" t="inlineStr">
        <is>
          <t>上り</t>
        </is>
      </c>
      <c r="E7202" t="inlineStr">
        <is>
          <t>0756</t>
        </is>
      </c>
      <c r="F7202" t="inlineStr">
        <is>
          <t>0354</t>
        </is>
      </c>
      <c r="G7202" s="10" t="inlineStr">
        <is>
          <t>御室仁和寺</t>
        </is>
      </c>
      <c r="H7202" s="10" t="inlineStr">
        <is>
          <t>発</t>
        </is>
      </c>
      <c r="J7202" s="10" t="inlineStr">
        <is>
          <t>営業</t>
        </is>
      </c>
      <c r="L7202" t="inlineStr">
        <is>
          <t>7:28:45</t>
        </is>
      </c>
      <c r="M7202" t="inlineStr">
        <is>
          <t>7:28:55</t>
        </is>
      </c>
    </row>
    <row r="7203" ht="15" customHeight="1" s="37">
      <c r="A7203" t="n">
        <v>20</v>
      </c>
      <c r="B7203" s="10" t="inlineStr">
        <is>
          <t>平日</t>
        </is>
      </c>
      <c r="C7203" s="10" t="inlineStr">
        <is>
          <t>北野線</t>
        </is>
      </c>
      <c r="D7203" s="10" t="inlineStr">
        <is>
          <t>上り</t>
        </is>
      </c>
      <c r="E7203" t="inlineStr">
        <is>
          <t>0756</t>
        </is>
      </c>
      <c r="F7203" t="inlineStr">
        <is>
          <t>0354</t>
        </is>
      </c>
      <c r="G7203" s="10" t="inlineStr">
        <is>
          <t>妙心寺</t>
        </is>
      </c>
      <c r="H7203" s="10" t="inlineStr">
        <is>
          <t>発</t>
        </is>
      </c>
      <c r="J7203" s="10" t="inlineStr">
        <is>
          <t>営業</t>
        </is>
      </c>
      <c r="L7203" t="inlineStr">
        <is>
          <t>7:29:55</t>
        </is>
      </c>
      <c r="M7203" t="inlineStr">
        <is>
          <t>7:30:10</t>
        </is>
      </c>
    </row>
    <row r="7204" ht="15" customHeight="1" s="37">
      <c r="A7204" t="n">
        <v>20</v>
      </c>
      <c r="B7204" s="10" t="inlineStr">
        <is>
          <t>平日</t>
        </is>
      </c>
      <c r="C7204" s="10" t="inlineStr">
        <is>
          <t>北野線</t>
        </is>
      </c>
      <c r="D7204" s="10" t="inlineStr">
        <is>
          <t>上り</t>
        </is>
      </c>
      <c r="E7204" t="inlineStr">
        <is>
          <t>0756</t>
        </is>
      </c>
      <c r="F7204" t="inlineStr">
        <is>
          <t>0354</t>
        </is>
      </c>
      <c r="G7204" s="10" t="inlineStr">
        <is>
          <t>龍安寺</t>
        </is>
      </c>
      <c r="H7204" s="10" t="inlineStr">
        <is>
          <t>発</t>
        </is>
      </c>
      <c r="J7204" s="10" t="inlineStr">
        <is>
          <t>営業</t>
        </is>
      </c>
      <c r="L7204" t="inlineStr">
        <is>
          <t>7:31:05</t>
        </is>
      </c>
      <c r="M7204" t="inlineStr">
        <is>
          <t>7:31:20</t>
        </is>
      </c>
    </row>
    <row r="7205" ht="15" customHeight="1" s="37">
      <c r="A7205" t="n">
        <v>20</v>
      </c>
      <c r="B7205" s="10" t="inlineStr">
        <is>
          <t>平日</t>
        </is>
      </c>
      <c r="C7205" s="10" t="inlineStr">
        <is>
          <t>北野線</t>
        </is>
      </c>
      <c r="D7205" s="10" t="inlineStr">
        <is>
          <t>上り</t>
        </is>
      </c>
      <c r="E7205" t="inlineStr">
        <is>
          <t>0756</t>
        </is>
      </c>
      <c r="F7205" t="inlineStr">
        <is>
          <t>0354</t>
        </is>
      </c>
      <c r="G7205" s="10" t="inlineStr">
        <is>
          <t>等持院</t>
        </is>
      </c>
      <c r="H7205" s="10" t="inlineStr">
        <is>
          <t>発</t>
        </is>
      </c>
      <c r="J7205" s="10" t="inlineStr">
        <is>
          <t>営業</t>
        </is>
      </c>
      <c r="L7205" t="inlineStr">
        <is>
          <t>7:32:00</t>
        </is>
      </c>
      <c r="M7205" t="inlineStr">
        <is>
          <t>7:32:20</t>
        </is>
      </c>
    </row>
    <row r="7206" ht="15" customHeight="1" s="37">
      <c r="A7206" t="n">
        <v>20</v>
      </c>
      <c r="B7206" s="10" t="inlineStr">
        <is>
          <t>平日</t>
        </is>
      </c>
      <c r="C7206" s="10" t="inlineStr">
        <is>
          <t>北野線</t>
        </is>
      </c>
      <c r="D7206" s="10" t="inlineStr">
        <is>
          <t>上り</t>
        </is>
      </c>
      <c r="E7206" t="inlineStr">
        <is>
          <t>0756</t>
        </is>
      </c>
      <c r="F7206" t="inlineStr">
        <is>
          <t>0354</t>
        </is>
      </c>
      <c r="G7206" s="10" t="inlineStr">
        <is>
          <t>北野白梅町</t>
        </is>
      </c>
      <c r="H7206" s="10" t="inlineStr">
        <is>
          <t>着</t>
        </is>
      </c>
      <c r="J7206" s="10" t="inlineStr">
        <is>
          <t>営業</t>
        </is>
      </c>
      <c r="L7206" t="inlineStr">
        <is>
          <t>7:33:40</t>
        </is>
      </c>
      <c r="Q7206" t="inlineStr">
        <is>
          <t>1</t>
        </is>
      </c>
    </row>
    <row r="7207" ht="15" customHeight="1" s="37">
      <c r="A7207" t="n">
        <v>20</v>
      </c>
      <c r="B7207" s="10" t="inlineStr">
        <is>
          <t>平日</t>
        </is>
      </c>
      <c r="C7207" s="10" t="inlineStr">
        <is>
          <t>北野線</t>
        </is>
      </c>
      <c r="D7207" s="10" t="inlineStr">
        <is>
          <t>下り</t>
        </is>
      </c>
      <c r="E7207" t="inlineStr">
        <is>
          <t>0759</t>
        </is>
      </c>
      <c r="F7207" t="inlineStr">
        <is>
          <t>0453</t>
        </is>
      </c>
      <c r="G7207" s="10" t="inlineStr">
        <is>
          <t>北野白梅町</t>
        </is>
      </c>
      <c r="H7207" s="10" t="inlineStr">
        <is>
          <t>発</t>
        </is>
      </c>
      <c r="J7207" s="10" t="inlineStr">
        <is>
          <t>営業</t>
        </is>
      </c>
      <c r="M7207" t="inlineStr">
        <is>
          <t>7:38:50</t>
        </is>
      </c>
      <c r="Q7207" t="inlineStr">
        <is>
          <t>1</t>
        </is>
      </c>
    </row>
    <row r="7208" ht="15" customHeight="1" s="37">
      <c r="A7208" t="n">
        <v>20</v>
      </c>
      <c r="B7208" s="10" t="inlineStr">
        <is>
          <t>平日</t>
        </is>
      </c>
      <c r="C7208" s="10" t="inlineStr">
        <is>
          <t>北野線</t>
        </is>
      </c>
      <c r="D7208" s="10" t="inlineStr">
        <is>
          <t>下り</t>
        </is>
      </c>
      <c r="E7208" t="inlineStr">
        <is>
          <t>0759</t>
        </is>
      </c>
      <c r="F7208" t="inlineStr">
        <is>
          <t>0453</t>
        </is>
      </c>
      <c r="G7208" s="10" t="inlineStr">
        <is>
          <t>等持院</t>
        </is>
      </c>
      <c r="H7208" s="10" t="inlineStr">
        <is>
          <t>発</t>
        </is>
      </c>
      <c r="J7208" s="10" t="inlineStr">
        <is>
          <t>営業</t>
        </is>
      </c>
      <c r="L7208" t="inlineStr">
        <is>
          <t>7:40:15</t>
        </is>
      </c>
      <c r="M7208" t="inlineStr">
        <is>
          <t>7:40:25</t>
        </is>
      </c>
    </row>
    <row r="7209" ht="15" customHeight="1" s="37">
      <c r="A7209" t="n">
        <v>20</v>
      </c>
      <c r="B7209" s="10" t="inlineStr">
        <is>
          <t>平日</t>
        </is>
      </c>
      <c r="C7209" s="10" t="inlineStr">
        <is>
          <t>北野線</t>
        </is>
      </c>
      <c r="D7209" s="10" t="inlineStr">
        <is>
          <t>下り</t>
        </is>
      </c>
      <c r="E7209" t="inlineStr">
        <is>
          <t>0759</t>
        </is>
      </c>
      <c r="F7209" t="inlineStr">
        <is>
          <t>0453</t>
        </is>
      </c>
      <c r="G7209" s="10" t="inlineStr">
        <is>
          <t>龍安寺</t>
        </is>
      </c>
      <c r="H7209" s="10" t="inlineStr">
        <is>
          <t>発</t>
        </is>
      </c>
      <c r="J7209" s="10" t="inlineStr">
        <is>
          <t>営業</t>
        </is>
      </c>
      <c r="L7209" t="inlineStr">
        <is>
          <t>7:41:15</t>
        </is>
      </c>
      <c r="M7209" t="inlineStr">
        <is>
          <t>7:41:35</t>
        </is>
      </c>
    </row>
    <row r="7210" ht="15" customHeight="1" s="37">
      <c r="A7210" t="n">
        <v>20</v>
      </c>
      <c r="B7210" s="10" t="inlineStr">
        <is>
          <t>平日</t>
        </is>
      </c>
      <c r="C7210" s="10" t="inlineStr">
        <is>
          <t>北野線</t>
        </is>
      </c>
      <c r="D7210" s="10" t="inlineStr">
        <is>
          <t>下り</t>
        </is>
      </c>
      <c r="E7210" t="inlineStr">
        <is>
          <t>0759</t>
        </is>
      </c>
      <c r="F7210" t="inlineStr">
        <is>
          <t>0453</t>
        </is>
      </c>
      <c r="G7210" s="10" t="inlineStr">
        <is>
          <t>妙心寺</t>
        </is>
      </c>
      <c r="H7210" s="10" t="inlineStr">
        <is>
          <t>発</t>
        </is>
      </c>
      <c r="J7210" s="10" t="inlineStr">
        <is>
          <t>営業</t>
        </is>
      </c>
      <c r="L7210" t="inlineStr">
        <is>
          <t>7:42:30</t>
        </is>
      </c>
      <c r="M7210" t="inlineStr">
        <is>
          <t>7:42:40</t>
        </is>
      </c>
    </row>
    <row r="7211" ht="15" customHeight="1" s="37">
      <c r="A7211" t="n">
        <v>20</v>
      </c>
      <c r="B7211" s="10" t="inlineStr">
        <is>
          <t>平日</t>
        </is>
      </c>
      <c r="C7211" s="10" t="inlineStr">
        <is>
          <t>北野線</t>
        </is>
      </c>
      <c r="D7211" s="10" t="inlineStr">
        <is>
          <t>下り</t>
        </is>
      </c>
      <c r="E7211" t="inlineStr">
        <is>
          <t>0759</t>
        </is>
      </c>
      <c r="F7211" t="inlineStr">
        <is>
          <t>0453</t>
        </is>
      </c>
      <c r="G7211" s="10" t="inlineStr">
        <is>
          <t>御室仁和寺</t>
        </is>
      </c>
      <c r="H7211" s="10" t="inlineStr">
        <is>
          <t>発</t>
        </is>
      </c>
      <c r="J7211" s="10" t="inlineStr">
        <is>
          <t>営業</t>
        </is>
      </c>
      <c r="L7211" t="inlineStr">
        <is>
          <t>7:43:40</t>
        </is>
      </c>
      <c r="M7211" t="inlineStr">
        <is>
          <t>7:44:45</t>
        </is>
      </c>
    </row>
    <row r="7212" ht="15" customHeight="1" s="37">
      <c r="A7212" t="n">
        <v>20</v>
      </c>
      <c r="B7212" s="10" t="inlineStr">
        <is>
          <t>平日</t>
        </is>
      </c>
      <c r="C7212" s="10" t="inlineStr">
        <is>
          <t>北野線</t>
        </is>
      </c>
      <c r="D7212" s="10" t="inlineStr">
        <is>
          <t>下り</t>
        </is>
      </c>
      <c r="E7212" t="inlineStr">
        <is>
          <t>0759</t>
        </is>
      </c>
      <c r="F7212" t="inlineStr">
        <is>
          <t>0453</t>
        </is>
      </c>
      <c r="G7212" s="10" t="inlineStr">
        <is>
          <t>宇多野</t>
        </is>
      </c>
      <c r="H7212" s="10" t="inlineStr">
        <is>
          <t>発</t>
        </is>
      </c>
      <c r="J7212" s="10" t="inlineStr">
        <is>
          <t>営業</t>
        </is>
      </c>
      <c r="L7212" t="inlineStr">
        <is>
          <t>7:45:45</t>
        </is>
      </c>
      <c r="M7212" t="inlineStr">
        <is>
          <t>7:45:55</t>
        </is>
      </c>
    </row>
    <row r="7213" ht="15" customHeight="1" s="37">
      <c r="A7213" t="n">
        <v>20</v>
      </c>
      <c r="B7213" s="10" t="inlineStr">
        <is>
          <t>平日</t>
        </is>
      </c>
      <c r="C7213" s="10" t="inlineStr">
        <is>
          <t>北野線</t>
        </is>
      </c>
      <c r="D7213" s="10" t="inlineStr">
        <is>
          <t>下り</t>
        </is>
      </c>
      <c r="E7213" t="inlineStr">
        <is>
          <t>0759</t>
        </is>
      </c>
      <c r="F7213" t="inlineStr">
        <is>
          <t>0453</t>
        </is>
      </c>
      <c r="G7213" s="10" t="inlineStr">
        <is>
          <t>鳴滝</t>
        </is>
      </c>
      <c r="H7213" s="10" t="inlineStr">
        <is>
          <t>発</t>
        </is>
      </c>
      <c r="J7213" s="10" t="inlineStr">
        <is>
          <t>営業</t>
        </is>
      </c>
      <c r="L7213" t="inlineStr">
        <is>
          <t>7:47:15</t>
        </is>
      </c>
      <c r="M7213" t="inlineStr">
        <is>
          <t>7:47:25</t>
        </is>
      </c>
    </row>
    <row r="7214" ht="15" customHeight="1" s="37">
      <c r="A7214" t="n">
        <v>20</v>
      </c>
      <c r="B7214" s="10" t="inlineStr">
        <is>
          <t>平日</t>
        </is>
      </c>
      <c r="C7214" s="10" t="inlineStr">
        <is>
          <t>北野線</t>
        </is>
      </c>
      <c r="D7214" s="10" t="inlineStr">
        <is>
          <t>下り</t>
        </is>
      </c>
      <c r="E7214" t="inlineStr">
        <is>
          <t>0759</t>
        </is>
      </c>
      <c r="F7214" t="inlineStr">
        <is>
          <t>0453</t>
        </is>
      </c>
      <c r="G7214" s="10" t="inlineStr">
        <is>
          <t>常盤</t>
        </is>
      </c>
      <c r="H7214" s="10" t="inlineStr">
        <is>
          <t>発</t>
        </is>
      </c>
      <c r="J7214" s="10" t="inlineStr">
        <is>
          <t>営業</t>
        </is>
      </c>
      <c r="L7214" t="inlineStr">
        <is>
          <t>7:48:15</t>
        </is>
      </c>
      <c r="M7214" t="inlineStr">
        <is>
          <t>7:48:35</t>
        </is>
      </c>
    </row>
    <row r="7215" ht="15" customHeight="1" s="37">
      <c r="A7215" t="n">
        <v>20</v>
      </c>
      <c r="B7215" s="10" t="inlineStr">
        <is>
          <t>平日</t>
        </is>
      </c>
      <c r="C7215" s="10" t="inlineStr">
        <is>
          <t>北野線</t>
        </is>
      </c>
      <c r="D7215" s="10" t="inlineStr">
        <is>
          <t>下り</t>
        </is>
      </c>
      <c r="E7215" t="inlineStr">
        <is>
          <t>0759</t>
        </is>
      </c>
      <c r="F7215" t="inlineStr">
        <is>
          <t>0453</t>
        </is>
      </c>
      <c r="G7215" s="10" t="inlineStr">
        <is>
          <t>撮影所前</t>
        </is>
      </c>
      <c r="H7215" s="10" t="inlineStr">
        <is>
          <t>発</t>
        </is>
      </c>
      <c r="J7215" s="10" t="inlineStr">
        <is>
          <t>営業</t>
        </is>
      </c>
      <c r="L7215" t="inlineStr">
        <is>
          <t>7:49:55</t>
        </is>
      </c>
      <c r="M7215" t="inlineStr">
        <is>
          <t>7:50:05</t>
        </is>
      </c>
    </row>
    <row r="7216" ht="15" customHeight="1" s="37">
      <c r="A7216" t="n">
        <v>20</v>
      </c>
      <c r="B7216" s="10" t="inlineStr">
        <is>
          <t>平日</t>
        </is>
      </c>
      <c r="C7216" s="10" t="inlineStr">
        <is>
          <t>北野線</t>
        </is>
      </c>
      <c r="D7216" s="10" t="inlineStr">
        <is>
          <t>下り</t>
        </is>
      </c>
      <c r="E7216" t="inlineStr">
        <is>
          <t>0759</t>
        </is>
      </c>
      <c r="F7216" t="inlineStr">
        <is>
          <t>0453</t>
        </is>
      </c>
      <c r="G7216" s="10" t="inlineStr">
        <is>
          <t>帷子ノ辻</t>
        </is>
      </c>
      <c r="H7216" s="10" t="inlineStr">
        <is>
          <t>着</t>
        </is>
      </c>
      <c r="J7216" s="10" t="inlineStr">
        <is>
          <t>営業</t>
        </is>
      </c>
      <c r="L7216" t="inlineStr">
        <is>
          <t>7:51:00</t>
        </is>
      </c>
      <c r="Q7216" t="inlineStr">
        <is>
          <t>4</t>
        </is>
      </c>
    </row>
    <row r="7217" ht="15" customHeight="1" s="37">
      <c r="A7217" t="n">
        <v>20</v>
      </c>
      <c r="B7217" s="10" t="inlineStr">
        <is>
          <t>平日</t>
        </is>
      </c>
      <c r="C7217" s="10" t="inlineStr">
        <is>
          <t>北野線</t>
        </is>
      </c>
      <c r="D7217" s="10" t="inlineStr">
        <is>
          <t>上り</t>
        </is>
      </c>
      <c r="E7217" t="inlineStr">
        <is>
          <t>0764</t>
        </is>
      </c>
      <c r="F7217" t="inlineStr">
        <is>
          <t>0354</t>
        </is>
      </c>
      <c r="G7217" s="10" t="inlineStr">
        <is>
          <t>帷子ノ辻</t>
        </is>
      </c>
      <c r="H7217" s="10" t="inlineStr">
        <is>
          <t>発</t>
        </is>
      </c>
      <c r="J7217" s="10" t="inlineStr">
        <is>
          <t>営業</t>
        </is>
      </c>
      <c r="M7217" t="inlineStr">
        <is>
          <t>7:54:00</t>
        </is>
      </c>
      <c r="Q7217" t="inlineStr">
        <is>
          <t>4</t>
        </is>
      </c>
    </row>
    <row r="7218" ht="15" customHeight="1" s="37">
      <c r="A7218" t="n">
        <v>20</v>
      </c>
      <c r="B7218" s="10" t="inlineStr">
        <is>
          <t>平日</t>
        </is>
      </c>
      <c r="C7218" s="10" t="inlineStr">
        <is>
          <t>北野線</t>
        </is>
      </c>
      <c r="D7218" s="10" t="inlineStr">
        <is>
          <t>上り</t>
        </is>
      </c>
      <c r="E7218" t="inlineStr">
        <is>
          <t>0764</t>
        </is>
      </c>
      <c r="F7218" t="inlineStr">
        <is>
          <t>0354</t>
        </is>
      </c>
      <c r="G7218" s="10" t="inlineStr">
        <is>
          <t>撮影所前</t>
        </is>
      </c>
      <c r="H7218" s="10" t="inlineStr">
        <is>
          <t>発</t>
        </is>
      </c>
      <c r="J7218" s="10" t="inlineStr">
        <is>
          <t>営業</t>
        </is>
      </c>
      <c r="L7218" t="inlineStr">
        <is>
          <t>7:55:00</t>
        </is>
      </c>
      <c r="M7218" t="inlineStr">
        <is>
          <t>7:55:10</t>
        </is>
      </c>
    </row>
    <row r="7219" ht="15" customHeight="1" s="37">
      <c r="A7219" t="n">
        <v>20</v>
      </c>
      <c r="B7219" s="10" t="inlineStr">
        <is>
          <t>平日</t>
        </is>
      </c>
      <c r="C7219" s="10" t="inlineStr">
        <is>
          <t>北野線</t>
        </is>
      </c>
      <c r="D7219" s="10" t="inlineStr">
        <is>
          <t>上り</t>
        </is>
      </c>
      <c r="E7219" t="inlineStr">
        <is>
          <t>0764</t>
        </is>
      </c>
      <c r="F7219" t="inlineStr">
        <is>
          <t>0354</t>
        </is>
      </c>
      <c r="G7219" s="10" t="inlineStr">
        <is>
          <t>常盤</t>
        </is>
      </c>
      <c r="H7219" s="10" t="inlineStr">
        <is>
          <t>発</t>
        </is>
      </c>
      <c r="J7219" s="10" t="inlineStr">
        <is>
          <t>営業</t>
        </is>
      </c>
      <c r="L7219" t="inlineStr">
        <is>
          <t>7:56:30</t>
        </is>
      </c>
      <c r="M7219" t="inlineStr">
        <is>
          <t>7:56:50</t>
        </is>
      </c>
    </row>
    <row r="7220" ht="15" customHeight="1" s="37">
      <c r="A7220" t="n">
        <v>20</v>
      </c>
      <c r="B7220" s="10" t="inlineStr">
        <is>
          <t>平日</t>
        </is>
      </c>
      <c r="C7220" s="10" t="inlineStr">
        <is>
          <t>北野線</t>
        </is>
      </c>
      <c r="D7220" s="10" t="inlineStr">
        <is>
          <t>上り</t>
        </is>
      </c>
      <c r="E7220" t="inlineStr">
        <is>
          <t>0764</t>
        </is>
      </c>
      <c r="F7220" t="inlineStr">
        <is>
          <t>0354</t>
        </is>
      </c>
      <c r="G7220" s="10" t="inlineStr">
        <is>
          <t>鳴滝</t>
        </is>
      </c>
      <c r="H7220" s="10" t="inlineStr">
        <is>
          <t>発</t>
        </is>
      </c>
      <c r="J7220" s="10" t="inlineStr">
        <is>
          <t>営業</t>
        </is>
      </c>
      <c r="L7220" t="inlineStr">
        <is>
          <t>7:57:50</t>
        </is>
      </c>
      <c r="M7220" t="inlineStr">
        <is>
          <t>7:58:10</t>
        </is>
      </c>
    </row>
    <row r="7221" ht="15" customHeight="1" s="37">
      <c r="A7221" t="n">
        <v>20</v>
      </c>
      <c r="B7221" s="10" t="inlineStr">
        <is>
          <t>平日</t>
        </is>
      </c>
      <c r="C7221" s="10" t="inlineStr">
        <is>
          <t>北野線</t>
        </is>
      </c>
      <c r="D7221" s="10" t="inlineStr">
        <is>
          <t>上り</t>
        </is>
      </c>
      <c r="E7221" t="inlineStr">
        <is>
          <t>0764</t>
        </is>
      </c>
      <c r="F7221" t="inlineStr">
        <is>
          <t>0354</t>
        </is>
      </c>
      <c r="G7221" s="10" t="inlineStr">
        <is>
          <t>宇多野</t>
        </is>
      </c>
      <c r="H7221" s="10" t="inlineStr">
        <is>
          <t>発</t>
        </is>
      </c>
      <c r="J7221" s="10" t="inlineStr">
        <is>
          <t>営業</t>
        </is>
      </c>
      <c r="L7221" t="inlineStr">
        <is>
          <t>7:59:30</t>
        </is>
      </c>
      <c r="M7221" t="inlineStr">
        <is>
          <t>7:59:45</t>
        </is>
      </c>
    </row>
    <row r="7222" ht="15" customHeight="1" s="37">
      <c r="A7222" t="n">
        <v>20</v>
      </c>
      <c r="B7222" s="10" t="inlineStr">
        <is>
          <t>平日</t>
        </is>
      </c>
      <c r="C7222" s="10" t="inlineStr">
        <is>
          <t>北野線</t>
        </is>
      </c>
      <c r="D7222" s="10" t="inlineStr">
        <is>
          <t>上り</t>
        </is>
      </c>
      <c r="E7222" t="inlineStr">
        <is>
          <t>0764</t>
        </is>
      </c>
      <c r="F7222" t="inlineStr">
        <is>
          <t>0354</t>
        </is>
      </c>
      <c r="G7222" s="10" t="inlineStr">
        <is>
          <t>御室仁和寺</t>
        </is>
      </c>
      <c r="H7222" s="10" t="inlineStr">
        <is>
          <t>発</t>
        </is>
      </c>
      <c r="J7222" s="10" t="inlineStr">
        <is>
          <t>営業</t>
        </is>
      </c>
      <c r="L7222" t="inlineStr">
        <is>
          <t>8:00:45</t>
        </is>
      </c>
      <c r="M7222" t="inlineStr">
        <is>
          <t>8:00:55</t>
        </is>
      </c>
    </row>
    <row r="7223" ht="15" customHeight="1" s="37">
      <c r="A7223" t="n">
        <v>20</v>
      </c>
      <c r="B7223" s="10" t="inlineStr">
        <is>
          <t>平日</t>
        </is>
      </c>
      <c r="C7223" s="10" t="inlineStr">
        <is>
          <t>北野線</t>
        </is>
      </c>
      <c r="D7223" s="10" t="inlineStr">
        <is>
          <t>上り</t>
        </is>
      </c>
      <c r="E7223" t="inlineStr">
        <is>
          <t>0764</t>
        </is>
      </c>
      <c r="F7223" t="inlineStr">
        <is>
          <t>0354</t>
        </is>
      </c>
      <c r="G7223" s="10" t="inlineStr">
        <is>
          <t>妙心寺</t>
        </is>
      </c>
      <c r="H7223" s="10" t="inlineStr">
        <is>
          <t>発</t>
        </is>
      </c>
      <c r="J7223" s="10" t="inlineStr">
        <is>
          <t>営業</t>
        </is>
      </c>
      <c r="L7223" t="inlineStr">
        <is>
          <t>8:01:55</t>
        </is>
      </c>
      <c r="M7223" t="inlineStr">
        <is>
          <t>8:02:10</t>
        </is>
      </c>
    </row>
    <row r="7224" ht="15" customHeight="1" s="37">
      <c r="A7224" t="n">
        <v>20</v>
      </c>
      <c r="B7224" s="10" t="inlineStr">
        <is>
          <t>平日</t>
        </is>
      </c>
      <c r="C7224" s="10" t="inlineStr">
        <is>
          <t>北野線</t>
        </is>
      </c>
      <c r="D7224" s="10" t="inlineStr">
        <is>
          <t>上り</t>
        </is>
      </c>
      <c r="E7224" t="inlineStr">
        <is>
          <t>0764</t>
        </is>
      </c>
      <c r="F7224" t="inlineStr">
        <is>
          <t>0354</t>
        </is>
      </c>
      <c r="G7224" s="10" t="inlineStr">
        <is>
          <t>龍安寺</t>
        </is>
      </c>
      <c r="H7224" s="10" t="inlineStr">
        <is>
          <t>発</t>
        </is>
      </c>
      <c r="J7224" s="10" t="inlineStr">
        <is>
          <t>営業</t>
        </is>
      </c>
      <c r="L7224" t="inlineStr">
        <is>
          <t>8:03:05</t>
        </is>
      </c>
      <c r="M7224" t="inlineStr">
        <is>
          <t>8:03:20</t>
        </is>
      </c>
    </row>
    <row r="7225" ht="15" customHeight="1" s="37">
      <c r="A7225" t="n">
        <v>20</v>
      </c>
      <c r="B7225" s="10" t="inlineStr">
        <is>
          <t>平日</t>
        </is>
      </c>
      <c r="C7225" s="10" t="inlineStr">
        <is>
          <t>北野線</t>
        </is>
      </c>
      <c r="D7225" s="10" t="inlineStr">
        <is>
          <t>上り</t>
        </is>
      </c>
      <c r="E7225" t="inlineStr">
        <is>
          <t>0764</t>
        </is>
      </c>
      <c r="F7225" t="inlineStr">
        <is>
          <t>0354</t>
        </is>
      </c>
      <c r="G7225" s="10" t="inlineStr">
        <is>
          <t>等持院</t>
        </is>
      </c>
      <c r="H7225" s="10" t="inlineStr">
        <is>
          <t>発</t>
        </is>
      </c>
      <c r="J7225" s="10" t="inlineStr">
        <is>
          <t>営業</t>
        </is>
      </c>
      <c r="L7225" t="inlineStr">
        <is>
          <t>8:04:00</t>
        </is>
      </c>
      <c r="M7225" t="inlineStr">
        <is>
          <t>8:04:20</t>
        </is>
      </c>
    </row>
    <row r="7226" ht="15" customHeight="1" s="37">
      <c r="A7226" t="n">
        <v>20</v>
      </c>
      <c r="B7226" s="10" t="inlineStr">
        <is>
          <t>平日</t>
        </is>
      </c>
      <c r="C7226" s="10" t="inlineStr">
        <is>
          <t>北野線</t>
        </is>
      </c>
      <c r="D7226" s="10" t="inlineStr">
        <is>
          <t>上り</t>
        </is>
      </c>
      <c r="E7226" t="inlineStr">
        <is>
          <t>0764</t>
        </is>
      </c>
      <c r="F7226" t="inlineStr">
        <is>
          <t>0354</t>
        </is>
      </c>
      <c r="G7226" s="10" t="inlineStr">
        <is>
          <t>北野白梅町</t>
        </is>
      </c>
      <c r="H7226" s="10" t="inlineStr">
        <is>
          <t>着</t>
        </is>
      </c>
      <c r="J7226" s="10" t="inlineStr">
        <is>
          <t>営業</t>
        </is>
      </c>
      <c r="L7226" t="inlineStr">
        <is>
          <t>8:05:40</t>
        </is>
      </c>
      <c r="Q7226" t="inlineStr">
        <is>
          <t>1</t>
        </is>
      </c>
    </row>
    <row r="7227" ht="15" customHeight="1" s="37">
      <c r="A7227" t="n">
        <v>20</v>
      </c>
      <c r="B7227" s="10" t="inlineStr">
        <is>
          <t>平日</t>
        </is>
      </c>
      <c r="C7227" s="10" t="inlineStr">
        <is>
          <t>北野線</t>
        </is>
      </c>
      <c r="D7227" s="10" t="inlineStr">
        <is>
          <t>下り</t>
        </is>
      </c>
      <c r="E7227" t="inlineStr">
        <is>
          <t>0853</t>
        </is>
      </c>
      <c r="F7227" t="inlineStr">
        <is>
          <t>0453</t>
        </is>
      </c>
      <c r="G7227" s="10" t="inlineStr">
        <is>
          <t>北野白梅町</t>
        </is>
      </c>
      <c r="H7227" s="10" t="inlineStr">
        <is>
          <t>発</t>
        </is>
      </c>
      <c r="J7227" s="10" t="inlineStr">
        <is>
          <t>営業</t>
        </is>
      </c>
      <c r="M7227" t="inlineStr">
        <is>
          <t>8:10:50</t>
        </is>
      </c>
      <c r="Q7227" t="inlineStr">
        <is>
          <t>1</t>
        </is>
      </c>
    </row>
    <row r="7228" ht="15" customHeight="1" s="37">
      <c r="A7228" t="n">
        <v>20</v>
      </c>
      <c r="B7228" s="10" t="inlineStr">
        <is>
          <t>平日</t>
        </is>
      </c>
      <c r="C7228" s="10" t="inlineStr">
        <is>
          <t>北野線</t>
        </is>
      </c>
      <c r="D7228" s="10" t="inlineStr">
        <is>
          <t>下り</t>
        </is>
      </c>
      <c r="E7228" t="inlineStr">
        <is>
          <t>0853</t>
        </is>
      </c>
      <c r="F7228" t="inlineStr">
        <is>
          <t>0453</t>
        </is>
      </c>
      <c r="G7228" s="10" t="inlineStr">
        <is>
          <t>等持院</t>
        </is>
      </c>
      <c r="H7228" s="10" t="inlineStr">
        <is>
          <t>発</t>
        </is>
      </c>
      <c r="J7228" s="10" t="inlineStr">
        <is>
          <t>営業</t>
        </is>
      </c>
      <c r="L7228" t="inlineStr">
        <is>
          <t>8:12:15</t>
        </is>
      </c>
      <c r="M7228" t="inlineStr">
        <is>
          <t>8:12:25</t>
        </is>
      </c>
    </row>
    <row r="7229" ht="15" customHeight="1" s="37">
      <c r="A7229" t="n">
        <v>20</v>
      </c>
      <c r="B7229" s="10" t="inlineStr">
        <is>
          <t>平日</t>
        </is>
      </c>
      <c r="C7229" s="10" t="inlineStr">
        <is>
          <t>北野線</t>
        </is>
      </c>
      <c r="D7229" s="10" t="inlineStr">
        <is>
          <t>下り</t>
        </is>
      </c>
      <c r="E7229" t="inlineStr">
        <is>
          <t>0853</t>
        </is>
      </c>
      <c r="F7229" t="inlineStr">
        <is>
          <t>0453</t>
        </is>
      </c>
      <c r="G7229" s="10" t="inlineStr">
        <is>
          <t>龍安寺</t>
        </is>
      </c>
      <c r="H7229" s="10" t="inlineStr">
        <is>
          <t>発</t>
        </is>
      </c>
      <c r="J7229" s="10" t="inlineStr">
        <is>
          <t>営業</t>
        </is>
      </c>
      <c r="L7229" t="inlineStr">
        <is>
          <t>8:13:15</t>
        </is>
      </c>
      <c r="M7229" t="inlineStr">
        <is>
          <t>8:13:35</t>
        </is>
      </c>
    </row>
    <row r="7230" ht="15" customHeight="1" s="37">
      <c r="A7230" t="n">
        <v>20</v>
      </c>
      <c r="B7230" s="10" t="inlineStr">
        <is>
          <t>平日</t>
        </is>
      </c>
      <c r="C7230" s="10" t="inlineStr">
        <is>
          <t>北野線</t>
        </is>
      </c>
      <c r="D7230" s="10" t="inlineStr">
        <is>
          <t>下り</t>
        </is>
      </c>
      <c r="E7230" t="inlineStr">
        <is>
          <t>0853</t>
        </is>
      </c>
      <c r="F7230" t="inlineStr">
        <is>
          <t>0453</t>
        </is>
      </c>
      <c r="G7230" s="10" t="inlineStr">
        <is>
          <t>妙心寺</t>
        </is>
      </c>
      <c r="H7230" s="10" t="inlineStr">
        <is>
          <t>発</t>
        </is>
      </c>
      <c r="J7230" s="10" t="inlineStr">
        <is>
          <t>営業</t>
        </is>
      </c>
      <c r="L7230" t="inlineStr">
        <is>
          <t>8:14:30</t>
        </is>
      </c>
      <c r="M7230" t="inlineStr">
        <is>
          <t>8:14:40</t>
        </is>
      </c>
    </row>
    <row r="7231" ht="15" customHeight="1" s="37">
      <c r="A7231" t="n">
        <v>20</v>
      </c>
      <c r="B7231" s="10" t="inlineStr">
        <is>
          <t>平日</t>
        </is>
      </c>
      <c r="C7231" s="10" t="inlineStr">
        <is>
          <t>北野線</t>
        </is>
      </c>
      <c r="D7231" s="10" t="inlineStr">
        <is>
          <t>下り</t>
        </is>
      </c>
      <c r="E7231" t="inlineStr">
        <is>
          <t>0853</t>
        </is>
      </c>
      <c r="F7231" t="inlineStr">
        <is>
          <t>0453</t>
        </is>
      </c>
      <c r="G7231" s="10" t="inlineStr">
        <is>
          <t>御室仁和寺</t>
        </is>
      </c>
      <c r="H7231" s="10" t="inlineStr">
        <is>
          <t>発</t>
        </is>
      </c>
      <c r="J7231" s="10" t="inlineStr">
        <is>
          <t>営業</t>
        </is>
      </c>
      <c r="L7231" t="inlineStr">
        <is>
          <t>8:15:40</t>
        </is>
      </c>
      <c r="M7231" t="inlineStr">
        <is>
          <t>8:16:45</t>
        </is>
      </c>
    </row>
    <row r="7232" ht="15" customHeight="1" s="37">
      <c r="A7232" t="n">
        <v>20</v>
      </c>
      <c r="B7232" s="10" t="inlineStr">
        <is>
          <t>平日</t>
        </is>
      </c>
      <c r="C7232" s="10" t="inlineStr">
        <is>
          <t>北野線</t>
        </is>
      </c>
      <c r="D7232" s="10" t="inlineStr">
        <is>
          <t>下り</t>
        </is>
      </c>
      <c r="E7232" t="inlineStr">
        <is>
          <t>0853</t>
        </is>
      </c>
      <c r="F7232" t="inlineStr">
        <is>
          <t>0453</t>
        </is>
      </c>
      <c r="G7232" s="10" t="inlineStr">
        <is>
          <t>宇多野</t>
        </is>
      </c>
      <c r="H7232" s="10" t="inlineStr">
        <is>
          <t>発</t>
        </is>
      </c>
      <c r="J7232" s="10" t="inlineStr">
        <is>
          <t>営業</t>
        </is>
      </c>
      <c r="L7232" t="inlineStr">
        <is>
          <t>8:17:45</t>
        </is>
      </c>
      <c r="M7232" t="inlineStr">
        <is>
          <t>8:17:55</t>
        </is>
      </c>
    </row>
    <row r="7233" ht="15" customHeight="1" s="37">
      <c r="A7233" t="n">
        <v>20</v>
      </c>
      <c r="B7233" s="10" t="inlineStr">
        <is>
          <t>平日</t>
        </is>
      </c>
      <c r="C7233" s="10" t="inlineStr">
        <is>
          <t>北野線</t>
        </is>
      </c>
      <c r="D7233" s="10" t="inlineStr">
        <is>
          <t>下り</t>
        </is>
      </c>
      <c r="E7233" t="inlineStr">
        <is>
          <t>0853</t>
        </is>
      </c>
      <c r="F7233" t="inlineStr">
        <is>
          <t>0453</t>
        </is>
      </c>
      <c r="G7233" s="10" t="inlineStr">
        <is>
          <t>鳴滝</t>
        </is>
      </c>
      <c r="H7233" s="10" t="inlineStr">
        <is>
          <t>発</t>
        </is>
      </c>
      <c r="J7233" s="10" t="inlineStr">
        <is>
          <t>営業</t>
        </is>
      </c>
      <c r="L7233" t="inlineStr">
        <is>
          <t>8:19:15</t>
        </is>
      </c>
      <c r="M7233" t="inlineStr">
        <is>
          <t>8:19:25</t>
        </is>
      </c>
    </row>
    <row r="7234" ht="15" customHeight="1" s="37">
      <c r="A7234" t="n">
        <v>20</v>
      </c>
      <c r="B7234" s="10" t="inlineStr">
        <is>
          <t>平日</t>
        </is>
      </c>
      <c r="C7234" s="10" t="inlineStr">
        <is>
          <t>北野線</t>
        </is>
      </c>
      <c r="D7234" s="10" t="inlineStr">
        <is>
          <t>下り</t>
        </is>
      </c>
      <c r="E7234" t="inlineStr">
        <is>
          <t>0853</t>
        </is>
      </c>
      <c r="F7234" t="inlineStr">
        <is>
          <t>0453</t>
        </is>
      </c>
      <c r="G7234" s="10" t="inlineStr">
        <is>
          <t>常盤</t>
        </is>
      </c>
      <c r="H7234" s="10" t="inlineStr">
        <is>
          <t>発</t>
        </is>
      </c>
      <c r="J7234" s="10" t="inlineStr">
        <is>
          <t>営業</t>
        </is>
      </c>
      <c r="L7234" t="inlineStr">
        <is>
          <t>8:20:15</t>
        </is>
      </c>
      <c r="M7234" t="inlineStr">
        <is>
          <t>8:20:35</t>
        </is>
      </c>
    </row>
    <row r="7235" ht="15" customHeight="1" s="37">
      <c r="A7235" t="n">
        <v>20</v>
      </c>
      <c r="B7235" s="10" t="inlineStr">
        <is>
          <t>平日</t>
        </is>
      </c>
      <c r="C7235" s="10" t="inlineStr">
        <is>
          <t>北野線</t>
        </is>
      </c>
      <c r="D7235" s="10" t="inlineStr">
        <is>
          <t>下り</t>
        </is>
      </c>
      <c r="E7235" t="inlineStr">
        <is>
          <t>0853</t>
        </is>
      </c>
      <c r="F7235" t="inlineStr">
        <is>
          <t>0453</t>
        </is>
      </c>
      <c r="G7235" s="10" t="inlineStr">
        <is>
          <t>撮影所前</t>
        </is>
      </c>
      <c r="H7235" s="10" t="inlineStr">
        <is>
          <t>発</t>
        </is>
      </c>
      <c r="J7235" s="10" t="inlineStr">
        <is>
          <t>営業</t>
        </is>
      </c>
      <c r="L7235" t="inlineStr">
        <is>
          <t>8:21:55</t>
        </is>
      </c>
      <c r="M7235" t="inlineStr">
        <is>
          <t>8:22:05</t>
        </is>
      </c>
    </row>
    <row r="7236" ht="15" customHeight="1" s="37">
      <c r="A7236" t="n">
        <v>20</v>
      </c>
      <c r="B7236" s="10" t="inlineStr">
        <is>
          <t>平日</t>
        </is>
      </c>
      <c r="C7236" s="10" t="inlineStr">
        <is>
          <t>北野線</t>
        </is>
      </c>
      <c r="D7236" s="10" t="inlineStr">
        <is>
          <t>下り</t>
        </is>
      </c>
      <c r="E7236" t="inlineStr">
        <is>
          <t>0853</t>
        </is>
      </c>
      <c r="F7236" t="inlineStr">
        <is>
          <t>0453</t>
        </is>
      </c>
      <c r="G7236" s="10" t="inlineStr">
        <is>
          <t>帷子ノ辻</t>
        </is>
      </c>
      <c r="H7236" s="10" t="inlineStr">
        <is>
          <t>着</t>
        </is>
      </c>
      <c r="J7236" s="10" t="inlineStr">
        <is>
          <t>営業</t>
        </is>
      </c>
      <c r="L7236" t="inlineStr">
        <is>
          <t>8:23:00</t>
        </is>
      </c>
      <c r="Q7236" t="inlineStr">
        <is>
          <t>4</t>
        </is>
      </c>
    </row>
    <row r="7237" ht="15" customHeight="1" s="37">
      <c r="A7237" t="n">
        <v>20</v>
      </c>
      <c r="B7237" s="10" t="inlineStr">
        <is>
          <t>平日</t>
        </is>
      </c>
      <c r="C7237" s="10" t="inlineStr">
        <is>
          <t>北野線</t>
        </is>
      </c>
      <c r="D7237" s="10" t="inlineStr">
        <is>
          <t>上り</t>
        </is>
      </c>
      <c r="E7237" t="inlineStr">
        <is>
          <t>0858</t>
        </is>
      </c>
      <c r="F7237" t="inlineStr">
        <is>
          <t>0354</t>
        </is>
      </c>
      <c r="G7237" s="10" t="inlineStr">
        <is>
          <t>帷子ノ辻</t>
        </is>
      </c>
      <c r="H7237" s="10" t="inlineStr">
        <is>
          <t>発</t>
        </is>
      </c>
      <c r="J7237" s="10" t="inlineStr">
        <is>
          <t>営業</t>
        </is>
      </c>
      <c r="M7237" t="inlineStr">
        <is>
          <t>8:26:00</t>
        </is>
      </c>
      <c r="Q7237" t="inlineStr">
        <is>
          <t>4</t>
        </is>
      </c>
    </row>
    <row r="7238" ht="15" customHeight="1" s="37">
      <c r="A7238" t="n">
        <v>20</v>
      </c>
      <c r="B7238" s="10" t="inlineStr">
        <is>
          <t>平日</t>
        </is>
      </c>
      <c r="C7238" s="10" t="inlineStr">
        <is>
          <t>北野線</t>
        </is>
      </c>
      <c r="D7238" s="10" t="inlineStr">
        <is>
          <t>上り</t>
        </is>
      </c>
      <c r="E7238" t="inlineStr">
        <is>
          <t>0858</t>
        </is>
      </c>
      <c r="F7238" t="inlineStr">
        <is>
          <t>0354</t>
        </is>
      </c>
      <c r="G7238" s="10" t="inlineStr">
        <is>
          <t>撮影所前</t>
        </is>
      </c>
      <c r="H7238" s="10" t="inlineStr">
        <is>
          <t>発</t>
        </is>
      </c>
      <c r="J7238" s="10" t="inlineStr">
        <is>
          <t>営業</t>
        </is>
      </c>
      <c r="L7238" t="inlineStr">
        <is>
          <t>8:27:00</t>
        </is>
      </c>
      <c r="M7238" t="inlineStr">
        <is>
          <t>8:27:10</t>
        </is>
      </c>
    </row>
    <row r="7239" ht="15" customHeight="1" s="37">
      <c r="A7239" t="n">
        <v>20</v>
      </c>
      <c r="B7239" s="10" t="inlineStr">
        <is>
          <t>平日</t>
        </is>
      </c>
      <c r="C7239" s="10" t="inlineStr">
        <is>
          <t>北野線</t>
        </is>
      </c>
      <c r="D7239" s="10" t="inlineStr">
        <is>
          <t>上り</t>
        </is>
      </c>
      <c r="E7239" t="inlineStr">
        <is>
          <t>0858</t>
        </is>
      </c>
      <c r="F7239" t="inlineStr">
        <is>
          <t>0354</t>
        </is>
      </c>
      <c r="G7239" s="10" t="inlineStr">
        <is>
          <t>常盤</t>
        </is>
      </c>
      <c r="H7239" s="10" t="inlineStr">
        <is>
          <t>発</t>
        </is>
      </c>
      <c r="J7239" s="10" t="inlineStr">
        <is>
          <t>営業</t>
        </is>
      </c>
      <c r="L7239" t="inlineStr">
        <is>
          <t>8:28:30</t>
        </is>
      </c>
      <c r="M7239" t="inlineStr">
        <is>
          <t>8:28:50</t>
        </is>
      </c>
    </row>
    <row r="7240" ht="15" customHeight="1" s="37">
      <c r="A7240" t="n">
        <v>20</v>
      </c>
      <c r="B7240" s="10" t="inlineStr">
        <is>
          <t>平日</t>
        </is>
      </c>
      <c r="C7240" s="10" t="inlineStr">
        <is>
          <t>北野線</t>
        </is>
      </c>
      <c r="D7240" s="10" t="inlineStr">
        <is>
          <t>上り</t>
        </is>
      </c>
      <c r="E7240" t="inlineStr">
        <is>
          <t>0858</t>
        </is>
      </c>
      <c r="F7240" t="inlineStr">
        <is>
          <t>0354</t>
        </is>
      </c>
      <c r="G7240" s="10" t="inlineStr">
        <is>
          <t>鳴滝</t>
        </is>
      </c>
      <c r="H7240" s="10" t="inlineStr">
        <is>
          <t>発</t>
        </is>
      </c>
      <c r="J7240" s="10" t="inlineStr">
        <is>
          <t>営業</t>
        </is>
      </c>
      <c r="L7240" t="inlineStr">
        <is>
          <t>8:29:50</t>
        </is>
      </c>
      <c r="M7240" t="inlineStr">
        <is>
          <t>8:30:10</t>
        </is>
      </c>
    </row>
    <row r="7241" ht="15" customHeight="1" s="37">
      <c r="A7241" t="n">
        <v>20</v>
      </c>
      <c r="B7241" s="10" t="inlineStr">
        <is>
          <t>平日</t>
        </is>
      </c>
      <c r="C7241" s="10" t="inlineStr">
        <is>
          <t>北野線</t>
        </is>
      </c>
      <c r="D7241" s="10" t="inlineStr">
        <is>
          <t>上り</t>
        </is>
      </c>
      <c r="E7241" t="inlineStr">
        <is>
          <t>0858</t>
        </is>
      </c>
      <c r="F7241" t="inlineStr">
        <is>
          <t>0354</t>
        </is>
      </c>
      <c r="G7241" s="10" t="inlineStr">
        <is>
          <t>宇多野</t>
        </is>
      </c>
      <c r="H7241" s="10" t="inlineStr">
        <is>
          <t>発</t>
        </is>
      </c>
      <c r="J7241" s="10" t="inlineStr">
        <is>
          <t>営業</t>
        </is>
      </c>
      <c r="L7241" t="inlineStr">
        <is>
          <t>8:31:30</t>
        </is>
      </c>
      <c r="M7241" t="inlineStr">
        <is>
          <t>8:31:45</t>
        </is>
      </c>
    </row>
    <row r="7242" ht="15" customHeight="1" s="37">
      <c r="A7242" t="n">
        <v>20</v>
      </c>
      <c r="B7242" s="10" t="inlineStr">
        <is>
          <t>平日</t>
        </is>
      </c>
      <c r="C7242" s="10" t="inlineStr">
        <is>
          <t>北野線</t>
        </is>
      </c>
      <c r="D7242" s="10" t="inlineStr">
        <is>
          <t>上り</t>
        </is>
      </c>
      <c r="E7242" t="inlineStr">
        <is>
          <t>0858</t>
        </is>
      </c>
      <c r="F7242" t="inlineStr">
        <is>
          <t>0354</t>
        </is>
      </c>
      <c r="G7242" s="10" t="inlineStr">
        <is>
          <t>御室仁和寺</t>
        </is>
      </c>
      <c r="H7242" s="10" t="inlineStr">
        <is>
          <t>発</t>
        </is>
      </c>
      <c r="J7242" s="10" t="inlineStr">
        <is>
          <t>営業</t>
        </is>
      </c>
      <c r="L7242" t="inlineStr">
        <is>
          <t>8:32:45</t>
        </is>
      </c>
      <c r="M7242" t="inlineStr">
        <is>
          <t>8:32:55</t>
        </is>
      </c>
    </row>
    <row r="7243" ht="15" customHeight="1" s="37">
      <c r="A7243" t="n">
        <v>20</v>
      </c>
      <c r="B7243" s="10" t="inlineStr">
        <is>
          <t>平日</t>
        </is>
      </c>
      <c r="C7243" s="10" t="inlineStr">
        <is>
          <t>北野線</t>
        </is>
      </c>
      <c r="D7243" s="10" t="inlineStr">
        <is>
          <t>上り</t>
        </is>
      </c>
      <c r="E7243" t="inlineStr">
        <is>
          <t>0858</t>
        </is>
      </c>
      <c r="F7243" t="inlineStr">
        <is>
          <t>0354</t>
        </is>
      </c>
      <c r="G7243" s="10" t="inlineStr">
        <is>
          <t>妙心寺</t>
        </is>
      </c>
      <c r="H7243" s="10" t="inlineStr">
        <is>
          <t>発</t>
        </is>
      </c>
      <c r="J7243" s="10" t="inlineStr">
        <is>
          <t>営業</t>
        </is>
      </c>
      <c r="L7243" t="inlineStr">
        <is>
          <t>8:33:55</t>
        </is>
      </c>
      <c r="M7243" t="inlineStr">
        <is>
          <t>8:34:10</t>
        </is>
      </c>
    </row>
    <row r="7244" ht="15" customHeight="1" s="37">
      <c r="A7244" t="n">
        <v>20</v>
      </c>
      <c r="B7244" s="10" t="inlineStr">
        <is>
          <t>平日</t>
        </is>
      </c>
      <c r="C7244" s="10" t="inlineStr">
        <is>
          <t>北野線</t>
        </is>
      </c>
      <c r="D7244" s="10" t="inlineStr">
        <is>
          <t>上り</t>
        </is>
      </c>
      <c r="E7244" t="inlineStr">
        <is>
          <t>0858</t>
        </is>
      </c>
      <c r="F7244" t="inlineStr">
        <is>
          <t>0354</t>
        </is>
      </c>
      <c r="G7244" s="10" t="inlineStr">
        <is>
          <t>龍安寺</t>
        </is>
      </c>
      <c r="H7244" s="10" t="inlineStr">
        <is>
          <t>発</t>
        </is>
      </c>
      <c r="J7244" s="10" t="inlineStr">
        <is>
          <t>営業</t>
        </is>
      </c>
      <c r="L7244" t="inlineStr">
        <is>
          <t>8:35:05</t>
        </is>
      </c>
      <c r="M7244" t="inlineStr">
        <is>
          <t>8:35:20</t>
        </is>
      </c>
    </row>
    <row r="7245" ht="15" customHeight="1" s="37">
      <c r="A7245" t="n">
        <v>20</v>
      </c>
      <c r="B7245" s="10" t="inlineStr">
        <is>
          <t>平日</t>
        </is>
      </c>
      <c r="C7245" s="10" t="inlineStr">
        <is>
          <t>北野線</t>
        </is>
      </c>
      <c r="D7245" s="10" t="inlineStr">
        <is>
          <t>上り</t>
        </is>
      </c>
      <c r="E7245" t="inlineStr">
        <is>
          <t>0858</t>
        </is>
      </c>
      <c r="F7245" t="inlineStr">
        <is>
          <t>0354</t>
        </is>
      </c>
      <c r="G7245" s="10" t="inlineStr">
        <is>
          <t>等持院</t>
        </is>
      </c>
      <c r="H7245" s="10" t="inlineStr">
        <is>
          <t>発</t>
        </is>
      </c>
      <c r="J7245" s="10" t="inlineStr">
        <is>
          <t>営業</t>
        </is>
      </c>
      <c r="L7245" t="inlineStr">
        <is>
          <t>8:36:00</t>
        </is>
      </c>
      <c r="M7245" t="inlineStr">
        <is>
          <t>8:36:20</t>
        </is>
      </c>
    </row>
    <row r="7246" ht="15" customHeight="1" s="37">
      <c r="A7246" t="n">
        <v>20</v>
      </c>
      <c r="B7246" s="10" t="inlineStr">
        <is>
          <t>平日</t>
        </is>
      </c>
      <c r="C7246" s="10" t="inlineStr">
        <is>
          <t>北野線</t>
        </is>
      </c>
      <c r="D7246" s="10" t="inlineStr">
        <is>
          <t>上り</t>
        </is>
      </c>
      <c r="E7246" t="inlineStr">
        <is>
          <t>0858</t>
        </is>
      </c>
      <c r="F7246" t="inlineStr">
        <is>
          <t>0354</t>
        </is>
      </c>
      <c r="G7246" s="10" t="inlineStr">
        <is>
          <t>北野白梅町</t>
        </is>
      </c>
      <c r="H7246" s="10" t="inlineStr">
        <is>
          <t>着</t>
        </is>
      </c>
      <c r="J7246" s="10" t="inlineStr">
        <is>
          <t>営業</t>
        </is>
      </c>
      <c r="L7246" t="inlineStr">
        <is>
          <t>8:37:40</t>
        </is>
      </c>
      <c r="Q7246" t="inlineStr">
        <is>
          <t>1</t>
        </is>
      </c>
    </row>
    <row r="7247" ht="15" customHeight="1" s="37">
      <c r="A7247" t="n">
        <v>20</v>
      </c>
      <c r="B7247" s="10" t="inlineStr">
        <is>
          <t>平日</t>
        </is>
      </c>
      <c r="C7247" s="10" t="inlineStr">
        <is>
          <t>北野線</t>
        </is>
      </c>
      <c r="D7247" s="10" t="inlineStr">
        <is>
          <t>下り</t>
        </is>
      </c>
      <c r="E7247" t="inlineStr">
        <is>
          <t>0861</t>
        </is>
      </c>
      <c r="F7247" t="inlineStr">
        <is>
          <t>0453</t>
        </is>
      </c>
      <c r="G7247" s="10" t="inlineStr">
        <is>
          <t>北野白梅町</t>
        </is>
      </c>
      <c r="H7247" s="10" t="inlineStr">
        <is>
          <t>発</t>
        </is>
      </c>
      <c r="J7247" s="10" t="inlineStr">
        <is>
          <t>営業</t>
        </is>
      </c>
      <c r="M7247" t="inlineStr">
        <is>
          <t>8:42:50</t>
        </is>
      </c>
      <c r="Q7247" t="inlineStr">
        <is>
          <t>1</t>
        </is>
      </c>
    </row>
    <row r="7248" ht="15" customHeight="1" s="37">
      <c r="A7248" t="n">
        <v>20</v>
      </c>
      <c r="B7248" s="10" t="inlineStr">
        <is>
          <t>平日</t>
        </is>
      </c>
      <c r="C7248" s="10" t="inlineStr">
        <is>
          <t>北野線</t>
        </is>
      </c>
      <c r="D7248" s="10" t="inlineStr">
        <is>
          <t>下り</t>
        </is>
      </c>
      <c r="E7248" t="inlineStr">
        <is>
          <t>0861</t>
        </is>
      </c>
      <c r="F7248" t="inlineStr">
        <is>
          <t>0453</t>
        </is>
      </c>
      <c r="G7248" s="10" t="inlineStr">
        <is>
          <t>等持院</t>
        </is>
      </c>
      <c r="H7248" s="10" t="inlineStr">
        <is>
          <t>発</t>
        </is>
      </c>
      <c r="J7248" s="10" t="inlineStr">
        <is>
          <t>営業</t>
        </is>
      </c>
      <c r="L7248" t="inlineStr">
        <is>
          <t>8:44:15</t>
        </is>
      </c>
      <c r="M7248" t="inlineStr">
        <is>
          <t>8:44:25</t>
        </is>
      </c>
    </row>
    <row r="7249" ht="15" customHeight="1" s="37">
      <c r="A7249" t="n">
        <v>20</v>
      </c>
      <c r="B7249" s="10" t="inlineStr">
        <is>
          <t>平日</t>
        </is>
      </c>
      <c r="C7249" s="10" t="inlineStr">
        <is>
          <t>北野線</t>
        </is>
      </c>
      <c r="D7249" s="10" t="inlineStr">
        <is>
          <t>下り</t>
        </is>
      </c>
      <c r="E7249" t="inlineStr">
        <is>
          <t>0861</t>
        </is>
      </c>
      <c r="F7249" t="inlineStr">
        <is>
          <t>0453</t>
        </is>
      </c>
      <c r="G7249" s="10" t="inlineStr">
        <is>
          <t>龍安寺</t>
        </is>
      </c>
      <c r="H7249" s="10" t="inlineStr">
        <is>
          <t>発</t>
        </is>
      </c>
      <c r="J7249" s="10" t="inlineStr">
        <is>
          <t>営業</t>
        </is>
      </c>
      <c r="L7249" t="inlineStr">
        <is>
          <t>8:45:15</t>
        </is>
      </c>
      <c r="M7249" t="inlineStr">
        <is>
          <t>8:45:35</t>
        </is>
      </c>
    </row>
    <row r="7250" ht="15" customHeight="1" s="37">
      <c r="A7250" t="n">
        <v>20</v>
      </c>
      <c r="B7250" s="10" t="inlineStr">
        <is>
          <t>平日</t>
        </is>
      </c>
      <c r="C7250" s="10" t="inlineStr">
        <is>
          <t>北野線</t>
        </is>
      </c>
      <c r="D7250" s="10" t="inlineStr">
        <is>
          <t>下り</t>
        </is>
      </c>
      <c r="E7250" t="inlineStr">
        <is>
          <t>0861</t>
        </is>
      </c>
      <c r="F7250" t="inlineStr">
        <is>
          <t>0453</t>
        </is>
      </c>
      <c r="G7250" s="10" t="inlineStr">
        <is>
          <t>妙心寺</t>
        </is>
      </c>
      <c r="H7250" s="10" t="inlineStr">
        <is>
          <t>発</t>
        </is>
      </c>
      <c r="J7250" s="10" t="inlineStr">
        <is>
          <t>営業</t>
        </is>
      </c>
      <c r="L7250" t="inlineStr">
        <is>
          <t>8:46:30</t>
        </is>
      </c>
      <c r="M7250" t="inlineStr">
        <is>
          <t>8:46:40</t>
        </is>
      </c>
    </row>
    <row r="7251" ht="15" customHeight="1" s="37">
      <c r="A7251" t="n">
        <v>20</v>
      </c>
      <c r="B7251" s="10" t="inlineStr">
        <is>
          <t>平日</t>
        </is>
      </c>
      <c r="C7251" s="10" t="inlineStr">
        <is>
          <t>北野線</t>
        </is>
      </c>
      <c r="D7251" s="10" t="inlineStr">
        <is>
          <t>下り</t>
        </is>
      </c>
      <c r="E7251" t="inlineStr">
        <is>
          <t>0861</t>
        </is>
      </c>
      <c r="F7251" t="inlineStr">
        <is>
          <t>0453</t>
        </is>
      </c>
      <c r="G7251" s="10" t="inlineStr">
        <is>
          <t>御室仁和寺</t>
        </is>
      </c>
      <c r="H7251" s="10" t="inlineStr">
        <is>
          <t>発</t>
        </is>
      </c>
      <c r="J7251" s="10" t="inlineStr">
        <is>
          <t>営業</t>
        </is>
      </c>
      <c r="L7251" t="inlineStr">
        <is>
          <t>8:47:40</t>
        </is>
      </c>
      <c r="M7251" t="inlineStr">
        <is>
          <t>8:48:45</t>
        </is>
      </c>
    </row>
    <row r="7252" ht="15" customHeight="1" s="37">
      <c r="A7252" t="n">
        <v>20</v>
      </c>
      <c r="B7252" s="10" t="inlineStr">
        <is>
          <t>平日</t>
        </is>
      </c>
      <c r="C7252" s="10" t="inlineStr">
        <is>
          <t>北野線</t>
        </is>
      </c>
      <c r="D7252" s="10" t="inlineStr">
        <is>
          <t>下り</t>
        </is>
      </c>
      <c r="E7252" t="inlineStr">
        <is>
          <t>0861</t>
        </is>
      </c>
      <c r="F7252" t="inlineStr">
        <is>
          <t>0453</t>
        </is>
      </c>
      <c r="G7252" s="10" t="inlineStr">
        <is>
          <t>宇多野</t>
        </is>
      </c>
      <c r="H7252" s="10" t="inlineStr">
        <is>
          <t>発</t>
        </is>
      </c>
      <c r="J7252" s="10" t="inlineStr">
        <is>
          <t>営業</t>
        </is>
      </c>
      <c r="L7252" t="inlineStr">
        <is>
          <t>8:49:45</t>
        </is>
      </c>
      <c r="M7252" t="inlineStr">
        <is>
          <t>8:49:55</t>
        </is>
      </c>
    </row>
    <row r="7253" ht="15" customHeight="1" s="37">
      <c r="A7253" t="n">
        <v>20</v>
      </c>
      <c r="B7253" s="10" t="inlineStr">
        <is>
          <t>平日</t>
        </is>
      </c>
      <c r="C7253" s="10" t="inlineStr">
        <is>
          <t>北野線</t>
        </is>
      </c>
      <c r="D7253" s="10" t="inlineStr">
        <is>
          <t>下り</t>
        </is>
      </c>
      <c r="E7253" t="inlineStr">
        <is>
          <t>0861</t>
        </is>
      </c>
      <c r="F7253" t="inlineStr">
        <is>
          <t>0453</t>
        </is>
      </c>
      <c r="G7253" s="10" t="inlineStr">
        <is>
          <t>鳴滝</t>
        </is>
      </c>
      <c r="H7253" s="10" t="inlineStr">
        <is>
          <t>発</t>
        </is>
      </c>
      <c r="J7253" s="10" t="inlineStr">
        <is>
          <t>営業</t>
        </is>
      </c>
      <c r="L7253" t="inlineStr">
        <is>
          <t>8:51:15</t>
        </is>
      </c>
      <c r="M7253" t="inlineStr">
        <is>
          <t>8:51:25</t>
        </is>
      </c>
    </row>
    <row r="7254" ht="16.5" customHeight="1" s="37">
      <c r="A7254" t="n">
        <v>20</v>
      </c>
      <c r="B7254" s="10" t="inlineStr">
        <is>
          <t>平日</t>
        </is>
      </c>
      <c r="C7254" s="10" t="inlineStr">
        <is>
          <t>北野線</t>
        </is>
      </c>
      <c r="D7254" s="10" t="inlineStr">
        <is>
          <t>下り</t>
        </is>
      </c>
      <c r="E7254" t="inlineStr">
        <is>
          <t>0861</t>
        </is>
      </c>
      <c r="F7254" t="inlineStr">
        <is>
          <t>0453</t>
        </is>
      </c>
      <c r="G7254" s="10" t="inlineStr">
        <is>
          <t>常盤</t>
        </is>
      </c>
      <c r="H7254" s="10" t="inlineStr">
        <is>
          <t>発</t>
        </is>
      </c>
      <c r="J7254" s="10" t="inlineStr">
        <is>
          <t>営業</t>
        </is>
      </c>
      <c r="L7254" t="inlineStr">
        <is>
          <t>8:52:15</t>
        </is>
      </c>
      <c r="M7254" t="inlineStr">
        <is>
          <t>8:52:35</t>
        </is>
      </c>
    </row>
    <row r="7255" ht="16.5" customHeight="1" s="37">
      <c r="A7255" t="n">
        <v>20</v>
      </c>
      <c r="B7255" s="10" t="inlineStr">
        <is>
          <t>平日</t>
        </is>
      </c>
      <c r="C7255" s="10" t="inlineStr">
        <is>
          <t>北野線</t>
        </is>
      </c>
      <c r="D7255" s="10" t="inlineStr">
        <is>
          <t>下り</t>
        </is>
      </c>
      <c r="E7255" t="inlineStr">
        <is>
          <t>0861</t>
        </is>
      </c>
      <c r="F7255" t="inlineStr">
        <is>
          <t>0453</t>
        </is>
      </c>
      <c r="G7255" s="10" t="inlineStr">
        <is>
          <t>撮影所前</t>
        </is>
      </c>
      <c r="H7255" s="10" t="inlineStr">
        <is>
          <t>発</t>
        </is>
      </c>
      <c r="J7255" s="10" t="inlineStr">
        <is>
          <t>営業</t>
        </is>
      </c>
      <c r="L7255" t="inlineStr">
        <is>
          <t>8:53:55</t>
        </is>
      </c>
      <c r="M7255" t="inlineStr">
        <is>
          <t>8:54:05</t>
        </is>
      </c>
    </row>
    <row r="7256" ht="16.5" customHeight="1" s="37">
      <c r="A7256" t="n">
        <v>20</v>
      </c>
      <c r="B7256" s="10" t="inlineStr">
        <is>
          <t>平日</t>
        </is>
      </c>
      <c r="C7256" s="10" t="inlineStr">
        <is>
          <t>北野線</t>
        </is>
      </c>
      <c r="D7256" s="10" t="inlineStr">
        <is>
          <t>下り</t>
        </is>
      </c>
      <c r="E7256" t="inlineStr">
        <is>
          <t>0861</t>
        </is>
      </c>
      <c r="F7256" t="inlineStr">
        <is>
          <t>0453</t>
        </is>
      </c>
      <c r="G7256" s="10" t="inlineStr">
        <is>
          <t>帷子ノ辻</t>
        </is>
      </c>
      <c r="H7256" s="10" t="inlineStr">
        <is>
          <t>着</t>
        </is>
      </c>
      <c r="J7256" s="10" t="inlineStr">
        <is>
          <t>営業</t>
        </is>
      </c>
      <c r="L7256" t="inlineStr">
        <is>
          <t>8:55:00</t>
        </is>
      </c>
      <c r="Q7256" t="inlineStr">
        <is>
          <t>4</t>
        </is>
      </c>
    </row>
    <row r="7257" ht="16.5" customHeight="1" s="37">
      <c r="A7257" t="n">
        <v>20</v>
      </c>
      <c r="B7257" s="10" t="inlineStr">
        <is>
          <t>平日</t>
        </is>
      </c>
      <c r="C7257" s="10" t="inlineStr">
        <is>
          <t>北野線</t>
        </is>
      </c>
      <c r="D7257" s="10" t="inlineStr">
        <is>
          <t>上り</t>
        </is>
      </c>
      <c r="E7257" t="inlineStr">
        <is>
          <t>0952</t>
        </is>
      </c>
      <c r="F7257" t="inlineStr">
        <is>
          <t>0354</t>
        </is>
      </c>
      <c r="G7257" s="10" t="inlineStr">
        <is>
          <t>帷子ノ辻</t>
        </is>
      </c>
      <c r="H7257" s="10" t="inlineStr">
        <is>
          <t>発</t>
        </is>
      </c>
      <c r="J7257" s="10" t="inlineStr">
        <is>
          <t>営業</t>
        </is>
      </c>
      <c r="M7257" t="inlineStr">
        <is>
          <t>9:06:25</t>
        </is>
      </c>
      <c r="Q7257" t="inlineStr">
        <is>
          <t>4</t>
        </is>
      </c>
    </row>
    <row r="7258" ht="16.5" customHeight="1" s="37">
      <c r="A7258" t="n">
        <v>20</v>
      </c>
      <c r="B7258" s="10" t="inlineStr">
        <is>
          <t>平日</t>
        </is>
      </c>
      <c r="C7258" s="10" t="inlineStr">
        <is>
          <t>北野線</t>
        </is>
      </c>
      <c r="D7258" s="10" t="inlineStr">
        <is>
          <t>上り</t>
        </is>
      </c>
      <c r="E7258" t="inlineStr">
        <is>
          <t>0952</t>
        </is>
      </c>
      <c r="F7258" t="inlineStr">
        <is>
          <t>0354</t>
        </is>
      </c>
      <c r="G7258" s="10" t="inlineStr">
        <is>
          <t>撮影所前</t>
        </is>
      </c>
      <c r="H7258" s="10" t="inlineStr">
        <is>
          <t>発</t>
        </is>
      </c>
      <c r="J7258" s="10" t="inlineStr">
        <is>
          <t>営業</t>
        </is>
      </c>
      <c r="L7258" t="inlineStr">
        <is>
          <t>9:07:25</t>
        </is>
      </c>
      <c r="M7258" t="inlineStr">
        <is>
          <t>9:07:40</t>
        </is>
      </c>
    </row>
    <row r="7259" ht="16.5" customHeight="1" s="37">
      <c r="A7259" t="n">
        <v>20</v>
      </c>
      <c r="B7259" s="10" t="inlineStr">
        <is>
          <t>平日</t>
        </is>
      </c>
      <c r="C7259" s="10" t="inlineStr">
        <is>
          <t>北野線</t>
        </is>
      </c>
      <c r="D7259" s="10" t="inlineStr">
        <is>
          <t>上り</t>
        </is>
      </c>
      <c r="E7259" t="inlineStr">
        <is>
          <t>0952</t>
        </is>
      </c>
      <c r="F7259" t="inlineStr">
        <is>
          <t>0354</t>
        </is>
      </c>
      <c r="G7259" s="10" t="inlineStr">
        <is>
          <t>常盤</t>
        </is>
      </c>
      <c r="H7259" s="10" t="inlineStr">
        <is>
          <t>発</t>
        </is>
      </c>
      <c r="J7259" s="10" t="inlineStr">
        <is>
          <t>営業</t>
        </is>
      </c>
      <c r="L7259" t="inlineStr">
        <is>
          <t>9:09:00</t>
        </is>
      </c>
      <c r="M7259" t="inlineStr">
        <is>
          <t>9:09:20</t>
        </is>
      </c>
    </row>
    <row r="7260" ht="16.5" customHeight="1" s="37">
      <c r="A7260" t="n">
        <v>20</v>
      </c>
      <c r="B7260" s="10" t="inlineStr">
        <is>
          <t>平日</t>
        </is>
      </c>
      <c r="C7260" s="10" t="inlineStr">
        <is>
          <t>北野線</t>
        </is>
      </c>
      <c r="D7260" s="10" t="inlineStr">
        <is>
          <t>上り</t>
        </is>
      </c>
      <c r="E7260" t="inlineStr">
        <is>
          <t>0952</t>
        </is>
      </c>
      <c r="F7260" t="inlineStr">
        <is>
          <t>0354</t>
        </is>
      </c>
      <c r="G7260" s="10" t="inlineStr">
        <is>
          <t>鳴滝</t>
        </is>
      </c>
      <c r="H7260" s="10" t="inlineStr">
        <is>
          <t>発</t>
        </is>
      </c>
      <c r="J7260" s="10" t="inlineStr">
        <is>
          <t>営業</t>
        </is>
      </c>
      <c r="L7260" t="inlineStr">
        <is>
          <t>9:10:20</t>
        </is>
      </c>
      <c r="M7260" t="inlineStr">
        <is>
          <t>9:10:40</t>
        </is>
      </c>
    </row>
    <row r="7261" ht="16.5" customHeight="1" s="37">
      <c r="A7261" t="n">
        <v>20</v>
      </c>
      <c r="B7261" s="10" t="inlineStr">
        <is>
          <t>平日</t>
        </is>
      </c>
      <c r="C7261" s="10" t="inlineStr">
        <is>
          <t>北野線</t>
        </is>
      </c>
      <c r="D7261" s="10" t="inlineStr">
        <is>
          <t>上り</t>
        </is>
      </c>
      <c r="E7261" t="inlineStr">
        <is>
          <t>0952</t>
        </is>
      </c>
      <c r="F7261" t="inlineStr">
        <is>
          <t>0354</t>
        </is>
      </c>
      <c r="G7261" s="10" t="inlineStr">
        <is>
          <t>宇多野</t>
        </is>
      </c>
      <c r="H7261" s="10" t="inlineStr">
        <is>
          <t>発</t>
        </is>
      </c>
      <c r="J7261" s="10" t="inlineStr">
        <is>
          <t>営業</t>
        </is>
      </c>
      <c r="L7261" t="inlineStr">
        <is>
          <t>9:12:00</t>
        </is>
      </c>
      <c r="M7261" t="inlineStr">
        <is>
          <t>9:12:15</t>
        </is>
      </c>
    </row>
    <row r="7262" ht="16.5" customHeight="1" s="37">
      <c r="A7262" t="n">
        <v>20</v>
      </c>
      <c r="B7262" s="10" t="inlineStr">
        <is>
          <t>平日</t>
        </is>
      </c>
      <c r="C7262" s="10" t="inlineStr">
        <is>
          <t>北野線</t>
        </is>
      </c>
      <c r="D7262" s="10" t="inlineStr">
        <is>
          <t>上り</t>
        </is>
      </c>
      <c r="E7262" t="inlineStr">
        <is>
          <t>0952</t>
        </is>
      </c>
      <c r="F7262" t="inlineStr">
        <is>
          <t>0354</t>
        </is>
      </c>
      <c r="G7262" s="10" t="inlineStr">
        <is>
          <t>御室仁和寺</t>
        </is>
      </c>
      <c r="H7262" s="10" t="inlineStr">
        <is>
          <t>発</t>
        </is>
      </c>
      <c r="J7262" s="10" t="inlineStr">
        <is>
          <t>営業</t>
        </is>
      </c>
      <c r="L7262" t="inlineStr">
        <is>
          <t>9:13:15</t>
        </is>
      </c>
      <c r="M7262" t="inlineStr">
        <is>
          <t>9:13:35</t>
        </is>
      </c>
    </row>
    <row r="7263" ht="16.5" customHeight="1" s="37">
      <c r="A7263" t="n">
        <v>20</v>
      </c>
      <c r="B7263" s="10" t="inlineStr">
        <is>
          <t>平日</t>
        </is>
      </c>
      <c r="C7263" s="10" t="inlineStr">
        <is>
          <t>北野線</t>
        </is>
      </c>
      <c r="D7263" s="10" t="inlineStr">
        <is>
          <t>上り</t>
        </is>
      </c>
      <c r="E7263" t="inlineStr">
        <is>
          <t>0952</t>
        </is>
      </c>
      <c r="F7263" t="inlineStr">
        <is>
          <t>0354</t>
        </is>
      </c>
      <c r="G7263" s="10" t="inlineStr">
        <is>
          <t>妙心寺</t>
        </is>
      </c>
      <c r="H7263" s="10" t="inlineStr">
        <is>
          <t>発</t>
        </is>
      </c>
      <c r="J7263" s="10" t="inlineStr">
        <is>
          <t>営業</t>
        </is>
      </c>
      <c r="L7263" t="inlineStr">
        <is>
          <t>9:14:35</t>
        </is>
      </c>
      <c r="M7263" t="inlineStr">
        <is>
          <t>9:14:50</t>
        </is>
      </c>
    </row>
    <row r="7264" ht="16.5" customHeight="1" s="37">
      <c r="A7264" t="n">
        <v>20</v>
      </c>
      <c r="B7264" s="10" t="inlineStr">
        <is>
          <t>平日</t>
        </is>
      </c>
      <c r="C7264" s="10" t="inlineStr">
        <is>
          <t>北野線</t>
        </is>
      </c>
      <c r="D7264" s="10" t="inlineStr">
        <is>
          <t>上り</t>
        </is>
      </c>
      <c r="E7264" t="inlineStr">
        <is>
          <t>0952</t>
        </is>
      </c>
      <c r="F7264" t="inlineStr">
        <is>
          <t>0354</t>
        </is>
      </c>
      <c r="G7264" s="10" t="inlineStr">
        <is>
          <t>龍安寺</t>
        </is>
      </c>
      <c r="H7264" s="10" t="inlineStr">
        <is>
          <t>発</t>
        </is>
      </c>
      <c r="J7264" s="10" t="inlineStr">
        <is>
          <t>営業</t>
        </is>
      </c>
      <c r="L7264" t="inlineStr">
        <is>
          <t>9:15:45</t>
        </is>
      </c>
      <c r="M7264" t="inlineStr">
        <is>
          <t>9:15:55</t>
        </is>
      </c>
    </row>
    <row r="7265" ht="16.5" customHeight="1" s="37">
      <c r="A7265" t="n">
        <v>20</v>
      </c>
      <c r="B7265" s="10" t="inlineStr">
        <is>
          <t>平日</t>
        </is>
      </c>
      <c r="C7265" s="10" t="inlineStr">
        <is>
          <t>北野線</t>
        </is>
      </c>
      <c r="D7265" s="10" t="inlineStr">
        <is>
          <t>上り</t>
        </is>
      </c>
      <c r="E7265" t="inlineStr">
        <is>
          <t>0952</t>
        </is>
      </c>
      <c r="F7265" t="inlineStr">
        <is>
          <t>0354</t>
        </is>
      </c>
      <c r="G7265" s="10" t="inlineStr">
        <is>
          <t>等持院</t>
        </is>
      </c>
      <c r="H7265" s="10" t="inlineStr">
        <is>
          <t>発</t>
        </is>
      </c>
      <c r="J7265" s="10" t="inlineStr">
        <is>
          <t>営業</t>
        </is>
      </c>
      <c r="L7265" t="inlineStr">
        <is>
          <t>9:16:35</t>
        </is>
      </c>
      <c r="M7265" t="inlineStr">
        <is>
          <t>9:16:55</t>
        </is>
      </c>
    </row>
    <row r="7266" ht="16.5" customHeight="1" s="37">
      <c r="A7266" t="n">
        <v>20</v>
      </c>
      <c r="B7266" s="10" t="inlineStr">
        <is>
          <t>平日</t>
        </is>
      </c>
      <c r="C7266" s="10" t="inlineStr">
        <is>
          <t>北野線</t>
        </is>
      </c>
      <c r="D7266" s="10" t="inlineStr">
        <is>
          <t>上り</t>
        </is>
      </c>
      <c r="E7266" t="inlineStr">
        <is>
          <t>0952</t>
        </is>
      </c>
      <c r="F7266" t="inlineStr">
        <is>
          <t>0354</t>
        </is>
      </c>
      <c r="G7266" s="10" t="inlineStr">
        <is>
          <t>北野白梅町</t>
        </is>
      </c>
      <c r="H7266" s="10" t="inlineStr">
        <is>
          <t>着</t>
        </is>
      </c>
      <c r="J7266" s="10" t="inlineStr">
        <is>
          <t>営業</t>
        </is>
      </c>
      <c r="L7266" t="inlineStr">
        <is>
          <t>9:18:15</t>
        </is>
      </c>
      <c r="Q7266" t="inlineStr">
        <is>
          <t>1</t>
        </is>
      </c>
    </row>
    <row r="7267" ht="16.5" customHeight="1" s="37">
      <c r="A7267" t="n">
        <v>20</v>
      </c>
      <c r="B7267" s="10" t="inlineStr">
        <is>
          <t>平日</t>
        </is>
      </c>
      <c r="C7267" s="10" t="inlineStr">
        <is>
          <t>北野線</t>
        </is>
      </c>
      <c r="D7267" s="10" t="inlineStr">
        <is>
          <t>下り</t>
        </is>
      </c>
      <c r="E7267" t="inlineStr">
        <is>
          <t>0955</t>
        </is>
      </c>
      <c r="F7267" t="inlineStr">
        <is>
          <t>0453</t>
        </is>
      </c>
      <c r="G7267" s="10" t="inlineStr">
        <is>
          <t>北野白梅町</t>
        </is>
      </c>
      <c r="H7267" s="10" t="inlineStr">
        <is>
          <t>発</t>
        </is>
      </c>
      <c r="J7267" s="10" t="inlineStr">
        <is>
          <t>営業</t>
        </is>
      </c>
      <c r="M7267" t="inlineStr">
        <is>
          <t>9:23:00</t>
        </is>
      </c>
      <c r="Q7267" t="inlineStr">
        <is>
          <t>1</t>
        </is>
      </c>
    </row>
    <row r="7268" ht="16.5" customHeight="1" s="37">
      <c r="A7268" t="n">
        <v>20</v>
      </c>
      <c r="B7268" s="10" t="inlineStr">
        <is>
          <t>平日</t>
        </is>
      </c>
      <c r="C7268" s="10" t="inlineStr">
        <is>
          <t>北野線</t>
        </is>
      </c>
      <c r="D7268" s="10" t="inlineStr">
        <is>
          <t>下り</t>
        </is>
      </c>
      <c r="E7268" t="inlineStr">
        <is>
          <t>0955</t>
        </is>
      </c>
      <c r="F7268" t="inlineStr">
        <is>
          <t>0453</t>
        </is>
      </c>
      <c r="G7268" s="10" t="inlineStr">
        <is>
          <t>等持院</t>
        </is>
      </c>
      <c r="H7268" s="10" t="inlineStr">
        <is>
          <t>発</t>
        </is>
      </c>
      <c r="J7268" s="10" t="inlineStr">
        <is>
          <t>営業</t>
        </is>
      </c>
      <c r="L7268" t="inlineStr">
        <is>
          <t>9:24:25</t>
        </is>
      </c>
      <c r="M7268" t="inlineStr">
        <is>
          <t>9:24:35</t>
        </is>
      </c>
    </row>
    <row r="7269" ht="16.5" customHeight="1" s="37">
      <c r="A7269" t="n">
        <v>20</v>
      </c>
      <c r="B7269" s="10" t="inlineStr">
        <is>
          <t>平日</t>
        </is>
      </c>
      <c r="C7269" s="10" t="inlineStr">
        <is>
          <t>北野線</t>
        </is>
      </c>
      <c r="D7269" s="10" t="inlineStr">
        <is>
          <t>下り</t>
        </is>
      </c>
      <c r="E7269" t="inlineStr">
        <is>
          <t>0955</t>
        </is>
      </c>
      <c r="F7269" t="inlineStr">
        <is>
          <t>0453</t>
        </is>
      </c>
      <c r="G7269" s="10" t="inlineStr">
        <is>
          <t>龍安寺</t>
        </is>
      </c>
      <c r="H7269" s="10" t="inlineStr">
        <is>
          <t>発</t>
        </is>
      </c>
      <c r="J7269" s="10" t="inlineStr">
        <is>
          <t>営業</t>
        </is>
      </c>
      <c r="L7269" t="inlineStr">
        <is>
          <t>9:25:25</t>
        </is>
      </c>
      <c r="M7269" t="inlineStr">
        <is>
          <t>9:25:50</t>
        </is>
      </c>
    </row>
    <row r="7270" ht="16.5" customHeight="1" s="37">
      <c r="A7270" t="n">
        <v>20</v>
      </c>
      <c r="B7270" s="10" t="inlineStr">
        <is>
          <t>平日</t>
        </is>
      </c>
      <c r="C7270" s="10" t="inlineStr">
        <is>
          <t>北野線</t>
        </is>
      </c>
      <c r="D7270" s="10" t="inlineStr">
        <is>
          <t>下り</t>
        </is>
      </c>
      <c r="E7270" t="inlineStr">
        <is>
          <t>0955</t>
        </is>
      </c>
      <c r="F7270" t="inlineStr">
        <is>
          <t>0453</t>
        </is>
      </c>
      <c r="G7270" s="10" t="inlineStr">
        <is>
          <t>妙心寺</t>
        </is>
      </c>
      <c r="H7270" s="10" t="inlineStr">
        <is>
          <t>発</t>
        </is>
      </c>
      <c r="J7270" s="10" t="inlineStr">
        <is>
          <t>営業</t>
        </is>
      </c>
      <c r="L7270" t="inlineStr">
        <is>
          <t>9:26:40</t>
        </is>
      </c>
      <c r="M7270" t="inlineStr">
        <is>
          <t>9:26:50</t>
        </is>
      </c>
    </row>
    <row r="7271" ht="16.5" customHeight="1" s="37">
      <c r="A7271" t="n">
        <v>20</v>
      </c>
      <c r="B7271" s="10" t="inlineStr">
        <is>
          <t>平日</t>
        </is>
      </c>
      <c r="C7271" s="10" t="inlineStr">
        <is>
          <t>北野線</t>
        </is>
      </c>
      <c r="D7271" s="10" t="inlineStr">
        <is>
          <t>下り</t>
        </is>
      </c>
      <c r="E7271" t="inlineStr">
        <is>
          <t>0955</t>
        </is>
      </c>
      <c r="F7271" t="inlineStr">
        <is>
          <t>0453</t>
        </is>
      </c>
      <c r="G7271" s="10" t="inlineStr">
        <is>
          <t>御室仁和寺</t>
        </is>
      </c>
      <c r="H7271" s="10" t="inlineStr">
        <is>
          <t>発</t>
        </is>
      </c>
      <c r="J7271" s="10" t="inlineStr">
        <is>
          <t>営業</t>
        </is>
      </c>
      <c r="L7271" t="inlineStr">
        <is>
          <t>9:27:50</t>
        </is>
      </c>
      <c r="M7271" t="inlineStr">
        <is>
          <t>9:28:05</t>
        </is>
      </c>
    </row>
    <row r="7272" ht="16.5" customHeight="1" s="37">
      <c r="A7272" t="n">
        <v>20</v>
      </c>
      <c r="B7272" s="10" t="inlineStr">
        <is>
          <t>平日</t>
        </is>
      </c>
      <c r="C7272" s="10" t="inlineStr">
        <is>
          <t>北野線</t>
        </is>
      </c>
      <c r="D7272" s="10" t="inlineStr">
        <is>
          <t>下り</t>
        </is>
      </c>
      <c r="E7272" t="inlineStr">
        <is>
          <t>0955</t>
        </is>
      </c>
      <c r="F7272" t="inlineStr">
        <is>
          <t>0453</t>
        </is>
      </c>
      <c r="G7272" s="10" t="inlineStr">
        <is>
          <t>宇多野</t>
        </is>
      </c>
      <c r="H7272" s="10" t="inlineStr">
        <is>
          <t>発</t>
        </is>
      </c>
      <c r="J7272" s="10" t="inlineStr">
        <is>
          <t>営業</t>
        </is>
      </c>
      <c r="L7272" t="inlineStr">
        <is>
          <t>9:29:05</t>
        </is>
      </c>
      <c r="M7272" t="inlineStr">
        <is>
          <t>9:29:15</t>
        </is>
      </c>
    </row>
    <row r="7273" ht="16.5" customHeight="1" s="37">
      <c r="A7273" t="n">
        <v>20</v>
      </c>
      <c r="B7273" s="10" t="inlineStr">
        <is>
          <t>平日</t>
        </is>
      </c>
      <c r="C7273" s="10" t="inlineStr">
        <is>
          <t>北野線</t>
        </is>
      </c>
      <c r="D7273" s="10" t="inlineStr">
        <is>
          <t>下り</t>
        </is>
      </c>
      <c r="E7273" t="inlineStr">
        <is>
          <t>0955</t>
        </is>
      </c>
      <c r="F7273" t="inlineStr">
        <is>
          <t>0453</t>
        </is>
      </c>
      <c r="G7273" s="10" t="inlineStr">
        <is>
          <t>鳴滝</t>
        </is>
      </c>
      <c r="H7273" s="10" t="inlineStr">
        <is>
          <t>発</t>
        </is>
      </c>
      <c r="J7273" s="10" t="inlineStr">
        <is>
          <t>営業</t>
        </is>
      </c>
      <c r="L7273" t="inlineStr">
        <is>
          <t>9:30:35</t>
        </is>
      </c>
      <c r="M7273" t="inlineStr">
        <is>
          <t>9:30:45</t>
        </is>
      </c>
    </row>
    <row r="7274" ht="16.5" customHeight="1" s="37">
      <c r="A7274" t="n">
        <v>20</v>
      </c>
      <c r="B7274" s="10" t="inlineStr">
        <is>
          <t>平日</t>
        </is>
      </c>
      <c r="C7274" s="10" t="inlineStr">
        <is>
          <t>北野線</t>
        </is>
      </c>
      <c r="D7274" s="10" t="inlineStr">
        <is>
          <t>下り</t>
        </is>
      </c>
      <c r="E7274" t="inlineStr">
        <is>
          <t>0955</t>
        </is>
      </c>
      <c r="F7274" t="inlineStr">
        <is>
          <t>0453</t>
        </is>
      </c>
      <c r="G7274" s="10" t="inlineStr">
        <is>
          <t>常盤</t>
        </is>
      </c>
      <c r="H7274" s="10" t="inlineStr">
        <is>
          <t>発</t>
        </is>
      </c>
      <c r="J7274" s="10" t="inlineStr">
        <is>
          <t>営業</t>
        </is>
      </c>
      <c r="L7274" t="inlineStr">
        <is>
          <t>9:31:35</t>
        </is>
      </c>
      <c r="M7274" t="inlineStr">
        <is>
          <t>9:31:55</t>
        </is>
      </c>
    </row>
    <row r="7275" ht="16.5" customHeight="1" s="37">
      <c r="A7275" t="n">
        <v>20</v>
      </c>
      <c r="B7275" s="10" t="inlineStr">
        <is>
          <t>平日</t>
        </is>
      </c>
      <c r="C7275" s="10" t="inlineStr">
        <is>
          <t>北野線</t>
        </is>
      </c>
      <c r="D7275" s="10" t="inlineStr">
        <is>
          <t>下り</t>
        </is>
      </c>
      <c r="E7275" t="inlineStr">
        <is>
          <t>0955</t>
        </is>
      </c>
      <c r="F7275" t="inlineStr">
        <is>
          <t>0453</t>
        </is>
      </c>
      <c r="G7275" s="10" t="inlineStr">
        <is>
          <t>撮影所前</t>
        </is>
      </c>
      <c r="H7275" s="10" t="inlineStr">
        <is>
          <t>発</t>
        </is>
      </c>
      <c r="J7275" s="10" t="inlineStr">
        <is>
          <t>営業</t>
        </is>
      </c>
      <c r="L7275" t="inlineStr">
        <is>
          <t>9:33:15</t>
        </is>
      </c>
      <c r="M7275" t="inlineStr">
        <is>
          <t>9:33:30</t>
        </is>
      </c>
    </row>
    <row r="7276" ht="16.5" customHeight="1" s="37">
      <c r="A7276" t="n">
        <v>20</v>
      </c>
      <c r="B7276" s="10" t="inlineStr">
        <is>
          <t>平日</t>
        </is>
      </c>
      <c r="C7276" s="10" t="inlineStr">
        <is>
          <t>北野線</t>
        </is>
      </c>
      <c r="D7276" s="10" t="inlineStr">
        <is>
          <t>下り</t>
        </is>
      </c>
      <c r="E7276" t="inlineStr">
        <is>
          <t>0955</t>
        </is>
      </c>
      <c r="F7276" t="inlineStr">
        <is>
          <t>0453</t>
        </is>
      </c>
      <c r="G7276" s="10" t="inlineStr">
        <is>
          <t>帷子ノ辻</t>
        </is>
      </c>
      <c r="H7276" s="10" t="inlineStr">
        <is>
          <t>着</t>
        </is>
      </c>
      <c r="J7276" s="10" t="inlineStr">
        <is>
          <t>営業</t>
        </is>
      </c>
      <c r="L7276" t="inlineStr">
        <is>
          <t>9:34:25</t>
        </is>
      </c>
      <c r="Q7276" t="inlineStr">
        <is>
          <t>4</t>
        </is>
      </c>
    </row>
    <row r="7277" ht="16.5" customHeight="1" s="37">
      <c r="A7277" t="n">
        <v>20</v>
      </c>
      <c r="B7277" s="10" t="inlineStr">
        <is>
          <t>平日</t>
        </is>
      </c>
      <c r="C7277" s="10" t="inlineStr">
        <is>
          <t>北野線</t>
        </is>
      </c>
      <c r="D7277" s="10" t="inlineStr">
        <is>
          <t>上り</t>
        </is>
      </c>
      <c r="E7277" t="inlineStr">
        <is>
          <t>0960</t>
        </is>
      </c>
      <c r="F7277" t="inlineStr">
        <is>
          <t>0354</t>
        </is>
      </c>
      <c r="G7277" s="10" t="inlineStr">
        <is>
          <t>帷子ノ辻</t>
        </is>
      </c>
      <c r="H7277" s="10" t="inlineStr">
        <is>
          <t>発</t>
        </is>
      </c>
      <c r="J7277" s="10" t="inlineStr">
        <is>
          <t>営業</t>
        </is>
      </c>
      <c r="M7277" t="inlineStr">
        <is>
          <t>9:46:25</t>
        </is>
      </c>
      <c r="Q7277" t="inlineStr">
        <is>
          <t>4</t>
        </is>
      </c>
      <c r="U7277" t="inlineStr">
        <is>
          <t>→帷子ノ辻 退勤(中休332分)</t>
        </is>
      </c>
    </row>
    <row r="7278" ht="16.5" customHeight="1" s="37">
      <c r="A7278" t="n">
        <v>20</v>
      </c>
      <c r="B7278" s="10" t="inlineStr">
        <is>
          <t>平日</t>
        </is>
      </c>
      <c r="C7278" s="10" t="inlineStr">
        <is>
          <t>北野線</t>
        </is>
      </c>
      <c r="D7278" s="10" t="inlineStr">
        <is>
          <t>上り</t>
        </is>
      </c>
      <c r="E7278" t="inlineStr">
        <is>
          <t>0960</t>
        </is>
      </c>
      <c r="F7278" t="inlineStr">
        <is>
          <t>0354</t>
        </is>
      </c>
      <c r="G7278" s="10" t="inlineStr">
        <is>
          <t>撮影所前</t>
        </is>
      </c>
      <c r="H7278" s="10" t="inlineStr">
        <is>
          <t>発</t>
        </is>
      </c>
      <c r="J7278" s="10" t="inlineStr">
        <is>
          <t>営業</t>
        </is>
      </c>
      <c r="L7278" t="inlineStr">
        <is>
          <t>9:47:25</t>
        </is>
      </c>
      <c r="M7278" t="inlineStr">
        <is>
          <t>9:47:40</t>
        </is>
      </c>
      <c r="U7278" t="inlineStr">
        <is>
          <t>→帷子ノ辻 退勤(中休332分)</t>
        </is>
      </c>
    </row>
    <row r="7279" ht="16.5" customHeight="1" s="37">
      <c r="A7279" t="n">
        <v>20</v>
      </c>
      <c r="B7279" s="10" t="inlineStr">
        <is>
          <t>平日</t>
        </is>
      </c>
      <c r="C7279" s="10" t="inlineStr">
        <is>
          <t>北野線</t>
        </is>
      </c>
      <c r="D7279" s="10" t="inlineStr">
        <is>
          <t>上り</t>
        </is>
      </c>
      <c r="E7279" t="inlineStr">
        <is>
          <t>0960</t>
        </is>
      </c>
      <c r="F7279" t="inlineStr">
        <is>
          <t>0354</t>
        </is>
      </c>
      <c r="G7279" s="10" t="inlineStr">
        <is>
          <t>常盤</t>
        </is>
      </c>
      <c r="H7279" s="10" t="inlineStr">
        <is>
          <t>発</t>
        </is>
      </c>
      <c r="J7279" s="10" t="inlineStr">
        <is>
          <t>営業</t>
        </is>
      </c>
      <c r="L7279" t="inlineStr">
        <is>
          <t>9:49:00</t>
        </is>
      </c>
      <c r="M7279" t="inlineStr">
        <is>
          <t>9:49:20</t>
        </is>
      </c>
      <c r="U7279" t="inlineStr">
        <is>
          <t>→帷子ノ辻 退勤(中休332分)</t>
        </is>
      </c>
    </row>
    <row r="7280" ht="16.5" customHeight="1" s="37">
      <c r="A7280" t="n">
        <v>20</v>
      </c>
      <c r="B7280" s="10" t="inlineStr">
        <is>
          <t>平日</t>
        </is>
      </c>
      <c r="C7280" s="10" t="inlineStr">
        <is>
          <t>北野線</t>
        </is>
      </c>
      <c r="D7280" s="10" t="inlineStr">
        <is>
          <t>上り</t>
        </is>
      </c>
      <c r="E7280" t="inlineStr">
        <is>
          <t>0960</t>
        </is>
      </c>
      <c r="F7280" t="inlineStr">
        <is>
          <t>0354</t>
        </is>
      </c>
      <c r="G7280" s="10" t="inlineStr">
        <is>
          <t>鳴滝</t>
        </is>
      </c>
      <c r="H7280" s="10" t="inlineStr">
        <is>
          <t>発</t>
        </is>
      </c>
      <c r="J7280" s="10" t="inlineStr">
        <is>
          <t>営業</t>
        </is>
      </c>
      <c r="L7280" t="inlineStr">
        <is>
          <t>9:50:20</t>
        </is>
      </c>
      <c r="M7280" t="inlineStr">
        <is>
          <t>9:50:40</t>
        </is>
      </c>
      <c r="U7280" t="inlineStr">
        <is>
          <t>→帷子ノ辻 退勤(中休332分)</t>
        </is>
      </c>
    </row>
    <row r="7281" ht="16.5" customHeight="1" s="37">
      <c r="A7281" t="n">
        <v>20</v>
      </c>
      <c r="B7281" s="10" t="inlineStr">
        <is>
          <t>平日</t>
        </is>
      </c>
      <c r="C7281" s="10" t="inlineStr">
        <is>
          <t>北野線</t>
        </is>
      </c>
      <c r="D7281" s="10" t="inlineStr">
        <is>
          <t>上り</t>
        </is>
      </c>
      <c r="E7281" t="inlineStr">
        <is>
          <t>0960</t>
        </is>
      </c>
      <c r="F7281" t="inlineStr">
        <is>
          <t>0354</t>
        </is>
      </c>
      <c r="G7281" s="10" t="inlineStr">
        <is>
          <t>宇多野</t>
        </is>
      </c>
      <c r="H7281" s="10" t="inlineStr">
        <is>
          <t>発</t>
        </is>
      </c>
      <c r="J7281" s="10" t="inlineStr">
        <is>
          <t>営業</t>
        </is>
      </c>
      <c r="L7281" t="inlineStr">
        <is>
          <t>9:52:00</t>
        </is>
      </c>
      <c r="M7281" t="inlineStr">
        <is>
          <t>9:52:15</t>
        </is>
      </c>
      <c r="U7281" t="inlineStr">
        <is>
          <t>→帷子ノ辻 退勤(中休332分)</t>
        </is>
      </c>
    </row>
    <row r="7282" ht="16.5" customHeight="1" s="37">
      <c r="A7282" t="n">
        <v>20</v>
      </c>
      <c r="B7282" s="10" t="inlineStr">
        <is>
          <t>平日</t>
        </is>
      </c>
      <c r="C7282" s="10" t="inlineStr">
        <is>
          <t>北野線</t>
        </is>
      </c>
      <c r="D7282" s="10" t="inlineStr">
        <is>
          <t>上り</t>
        </is>
      </c>
      <c r="E7282" t="inlineStr">
        <is>
          <t>0960</t>
        </is>
      </c>
      <c r="F7282" t="inlineStr">
        <is>
          <t>0354</t>
        </is>
      </c>
      <c r="G7282" s="10" t="inlineStr">
        <is>
          <t>御室仁和寺</t>
        </is>
      </c>
      <c r="H7282" s="10" t="inlineStr">
        <is>
          <t>発</t>
        </is>
      </c>
      <c r="J7282" s="10" t="inlineStr">
        <is>
          <t>営業</t>
        </is>
      </c>
      <c r="L7282" t="inlineStr">
        <is>
          <t>9:53:15</t>
        </is>
      </c>
      <c r="M7282" t="inlineStr">
        <is>
          <t>9:53:35</t>
        </is>
      </c>
      <c r="U7282" t="inlineStr">
        <is>
          <t>→帷子ノ辻 退勤(中休332分)</t>
        </is>
      </c>
    </row>
    <row r="7283" ht="16.5" customHeight="1" s="37">
      <c r="A7283" t="n">
        <v>20</v>
      </c>
      <c r="B7283" s="10" t="inlineStr">
        <is>
          <t>平日</t>
        </is>
      </c>
      <c r="C7283" s="10" t="inlineStr">
        <is>
          <t>北野線</t>
        </is>
      </c>
      <c r="D7283" s="10" t="inlineStr">
        <is>
          <t>上り</t>
        </is>
      </c>
      <c r="E7283" t="inlineStr">
        <is>
          <t>0960</t>
        </is>
      </c>
      <c r="F7283" t="inlineStr">
        <is>
          <t>0354</t>
        </is>
      </c>
      <c r="G7283" s="10" t="inlineStr">
        <is>
          <t>妙心寺</t>
        </is>
      </c>
      <c r="H7283" s="10" t="inlineStr">
        <is>
          <t>発</t>
        </is>
      </c>
      <c r="J7283" s="10" t="inlineStr">
        <is>
          <t>営業</t>
        </is>
      </c>
      <c r="L7283" t="inlineStr">
        <is>
          <t>9:54:35</t>
        </is>
      </c>
      <c r="M7283" t="inlineStr">
        <is>
          <t>9:54:50</t>
        </is>
      </c>
      <c r="U7283" t="inlineStr">
        <is>
          <t>→帷子ノ辻 退勤(中休332分)</t>
        </is>
      </c>
    </row>
    <row r="7284" ht="16.5" customHeight="1" s="37">
      <c r="A7284" t="n">
        <v>20</v>
      </c>
      <c r="B7284" s="10" t="inlineStr">
        <is>
          <t>平日</t>
        </is>
      </c>
      <c r="C7284" s="10" t="inlineStr">
        <is>
          <t>北野線</t>
        </is>
      </c>
      <c r="D7284" s="10" t="inlineStr">
        <is>
          <t>上り</t>
        </is>
      </c>
      <c r="E7284" t="inlineStr">
        <is>
          <t>0960</t>
        </is>
      </c>
      <c r="F7284" t="inlineStr">
        <is>
          <t>0354</t>
        </is>
      </c>
      <c r="G7284" s="10" t="inlineStr">
        <is>
          <t>龍安寺</t>
        </is>
      </c>
      <c r="H7284" s="10" t="inlineStr">
        <is>
          <t>発</t>
        </is>
      </c>
      <c r="J7284" s="10" t="inlineStr">
        <is>
          <t>営業</t>
        </is>
      </c>
      <c r="L7284" t="inlineStr">
        <is>
          <t>9:55:45</t>
        </is>
      </c>
      <c r="M7284" t="inlineStr">
        <is>
          <t>9:55:55</t>
        </is>
      </c>
      <c r="U7284" t="inlineStr">
        <is>
          <t>→帷子ノ辻 退勤(中休332分)</t>
        </is>
      </c>
    </row>
    <row r="7285" ht="16.5" customHeight="1" s="37">
      <c r="A7285" t="n">
        <v>20</v>
      </c>
      <c r="B7285" s="10" t="inlineStr">
        <is>
          <t>平日</t>
        </is>
      </c>
      <c r="C7285" s="10" t="inlineStr">
        <is>
          <t>北野線</t>
        </is>
      </c>
      <c r="D7285" s="10" t="inlineStr">
        <is>
          <t>上り</t>
        </is>
      </c>
      <c r="E7285" t="inlineStr">
        <is>
          <t>0960</t>
        </is>
      </c>
      <c r="F7285" t="inlineStr">
        <is>
          <t>0354</t>
        </is>
      </c>
      <c r="G7285" s="10" t="inlineStr">
        <is>
          <t>等持院</t>
        </is>
      </c>
      <c r="H7285" s="10" t="inlineStr">
        <is>
          <t>発</t>
        </is>
      </c>
      <c r="J7285" s="10" t="inlineStr">
        <is>
          <t>営業</t>
        </is>
      </c>
      <c r="L7285" t="inlineStr">
        <is>
          <t>9:56:35</t>
        </is>
      </c>
      <c r="M7285" t="inlineStr">
        <is>
          <t>9:56:55</t>
        </is>
      </c>
      <c r="U7285" t="inlineStr">
        <is>
          <t>→帷子ノ辻 退勤(中休332分)</t>
        </is>
      </c>
    </row>
    <row r="7286" ht="16.5" customHeight="1" s="37">
      <c r="A7286" t="n">
        <v>20</v>
      </c>
      <c r="B7286" s="10" t="inlineStr">
        <is>
          <t>平日</t>
        </is>
      </c>
      <c r="C7286" s="10" t="inlineStr">
        <is>
          <t>北野線</t>
        </is>
      </c>
      <c r="D7286" s="10" t="inlineStr">
        <is>
          <t>上り</t>
        </is>
      </c>
      <c r="E7286" t="inlineStr">
        <is>
          <t>0960</t>
        </is>
      </c>
      <c r="F7286" t="inlineStr">
        <is>
          <t>0354</t>
        </is>
      </c>
      <c r="G7286" s="10" t="inlineStr">
        <is>
          <t>北野白梅町</t>
        </is>
      </c>
      <c r="H7286" s="10" t="inlineStr">
        <is>
          <t>着</t>
        </is>
      </c>
      <c r="J7286" s="10" t="inlineStr">
        <is>
          <t>営業</t>
        </is>
      </c>
      <c r="L7286" t="inlineStr">
        <is>
          <t>9:58:15</t>
        </is>
      </c>
      <c r="Q7286" t="inlineStr">
        <is>
          <t>1</t>
        </is>
      </c>
      <c r="U7286" t="inlineStr">
        <is>
          <t>→帷子ノ辻 退勤(中休332分)</t>
        </is>
      </c>
    </row>
    <row r="7287" ht="16.5" customHeight="1" s="37">
      <c r="A7287" t="n">
        <v>20</v>
      </c>
      <c r="B7287" s="10" t="inlineStr">
        <is>
          <t>平日</t>
        </is>
      </c>
      <c r="C7287" s="10" t="inlineStr">
        <is>
          <t>北野線</t>
        </is>
      </c>
      <c r="D7287" s="10" t="inlineStr">
        <is>
          <t>下り</t>
        </is>
      </c>
      <c r="E7287" t="inlineStr">
        <is>
          <t>1051</t>
        </is>
      </c>
      <c r="F7287" t="inlineStr">
        <is>
          <t>0453</t>
        </is>
      </c>
      <c r="G7287" s="10" t="inlineStr">
        <is>
          <t>北野白梅町</t>
        </is>
      </c>
      <c r="H7287" s="10" t="inlineStr">
        <is>
          <t>発</t>
        </is>
      </c>
      <c r="J7287" s="10" t="inlineStr">
        <is>
          <t>営業</t>
        </is>
      </c>
      <c r="M7287" t="inlineStr">
        <is>
          <t>10:03:00</t>
        </is>
      </c>
      <c r="Q7287" t="inlineStr">
        <is>
          <t>1</t>
        </is>
      </c>
      <c r="U7287" t="inlineStr">
        <is>
          <t>→帷子ノ辻 退勤(中休332分)</t>
        </is>
      </c>
    </row>
    <row r="7288" ht="16.5" customHeight="1" s="37">
      <c r="A7288" t="n">
        <v>20</v>
      </c>
      <c r="B7288" s="10" t="inlineStr">
        <is>
          <t>平日</t>
        </is>
      </c>
      <c r="C7288" s="10" t="inlineStr">
        <is>
          <t>北野線</t>
        </is>
      </c>
      <c r="D7288" s="10" t="inlineStr">
        <is>
          <t>下り</t>
        </is>
      </c>
      <c r="E7288" t="inlineStr">
        <is>
          <t>1051</t>
        </is>
      </c>
      <c r="F7288" t="inlineStr">
        <is>
          <t>0453</t>
        </is>
      </c>
      <c r="G7288" s="10" t="inlineStr">
        <is>
          <t>等持院</t>
        </is>
      </c>
      <c r="H7288" s="10" t="inlineStr">
        <is>
          <t>発</t>
        </is>
      </c>
      <c r="J7288" s="10" t="inlineStr">
        <is>
          <t>営業</t>
        </is>
      </c>
      <c r="L7288" t="inlineStr">
        <is>
          <t>10:04:25</t>
        </is>
      </c>
      <c r="M7288" t="inlineStr">
        <is>
          <t>10:04:35</t>
        </is>
      </c>
      <c r="U7288" t="inlineStr">
        <is>
          <t>→帷子ノ辻 退勤(中休332分)</t>
        </is>
      </c>
    </row>
    <row r="7289" ht="16.5" customHeight="1" s="37">
      <c r="A7289" t="n">
        <v>20</v>
      </c>
      <c r="B7289" s="10" t="inlineStr">
        <is>
          <t>平日</t>
        </is>
      </c>
      <c r="C7289" s="10" t="inlineStr">
        <is>
          <t>北野線</t>
        </is>
      </c>
      <c r="D7289" s="10" t="inlineStr">
        <is>
          <t>下り</t>
        </is>
      </c>
      <c r="E7289" t="inlineStr">
        <is>
          <t>1051</t>
        </is>
      </c>
      <c r="F7289" t="inlineStr">
        <is>
          <t>0453</t>
        </is>
      </c>
      <c r="G7289" s="10" t="inlineStr">
        <is>
          <t>龍安寺</t>
        </is>
      </c>
      <c r="H7289" s="10" t="inlineStr">
        <is>
          <t>発</t>
        </is>
      </c>
      <c r="J7289" s="10" t="inlineStr">
        <is>
          <t>営業</t>
        </is>
      </c>
      <c r="L7289" t="inlineStr">
        <is>
          <t>10:05:25</t>
        </is>
      </c>
      <c r="M7289" t="inlineStr">
        <is>
          <t>10:05:50</t>
        </is>
      </c>
      <c r="U7289" t="inlineStr">
        <is>
          <t>→帷子ノ辻 退勤(中休332分)</t>
        </is>
      </c>
    </row>
    <row r="7290" ht="16.5" customHeight="1" s="37">
      <c r="A7290" t="n">
        <v>20</v>
      </c>
      <c r="B7290" s="10" t="inlineStr">
        <is>
          <t>平日</t>
        </is>
      </c>
      <c r="C7290" s="10" t="inlineStr">
        <is>
          <t>北野線</t>
        </is>
      </c>
      <c r="D7290" s="10" t="inlineStr">
        <is>
          <t>下り</t>
        </is>
      </c>
      <c r="E7290" t="inlineStr">
        <is>
          <t>1051</t>
        </is>
      </c>
      <c r="F7290" t="inlineStr">
        <is>
          <t>0453</t>
        </is>
      </c>
      <c r="G7290" s="10" t="inlineStr">
        <is>
          <t>妙心寺</t>
        </is>
      </c>
      <c r="H7290" s="10" t="inlineStr">
        <is>
          <t>発</t>
        </is>
      </c>
      <c r="J7290" s="10" t="inlineStr">
        <is>
          <t>営業</t>
        </is>
      </c>
      <c r="L7290" t="inlineStr">
        <is>
          <t>10:06:40</t>
        </is>
      </c>
      <c r="M7290" t="inlineStr">
        <is>
          <t>10:06:50</t>
        </is>
      </c>
      <c r="U7290" t="inlineStr">
        <is>
          <t>→帷子ノ辻 退勤(中休332分)</t>
        </is>
      </c>
    </row>
    <row r="7291" ht="16.5" customHeight="1" s="37">
      <c r="A7291" t="n">
        <v>20</v>
      </c>
      <c r="B7291" s="10" t="inlineStr">
        <is>
          <t>平日</t>
        </is>
      </c>
      <c r="C7291" s="10" t="inlineStr">
        <is>
          <t>北野線</t>
        </is>
      </c>
      <c r="D7291" s="10" t="inlineStr">
        <is>
          <t>下り</t>
        </is>
      </c>
      <c r="E7291" t="inlineStr">
        <is>
          <t>1051</t>
        </is>
      </c>
      <c r="F7291" t="inlineStr">
        <is>
          <t>0453</t>
        </is>
      </c>
      <c r="G7291" s="10" t="inlineStr">
        <is>
          <t>御室仁和寺</t>
        </is>
      </c>
      <c r="H7291" s="10" t="inlineStr">
        <is>
          <t>発</t>
        </is>
      </c>
      <c r="J7291" s="10" t="inlineStr">
        <is>
          <t>営業</t>
        </is>
      </c>
      <c r="L7291" t="inlineStr">
        <is>
          <t>10:07:50</t>
        </is>
      </c>
      <c r="M7291" t="inlineStr">
        <is>
          <t>10:08:05</t>
        </is>
      </c>
      <c r="U7291" t="inlineStr">
        <is>
          <t>→帷子ノ辻 退勤(中休332分)</t>
        </is>
      </c>
    </row>
    <row r="7292" ht="16.5" customHeight="1" s="37">
      <c r="A7292" t="n">
        <v>20</v>
      </c>
      <c r="B7292" s="10" t="inlineStr">
        <is>
          <t>平日</t>
        </is>
      </c>
      <c r="C7292" s="10" t="inlineStr">
        <is>
          <t>北野線</t>
        </is>
      </c>
      <c r="D7292" s="10" t="inlineStr">
        <is>
          <t>下り</t>
        </is>
      </c>
      <c r="E7292" t="inlineStr">
        <is>
          <t>1051</t>
        </is>
      </c>
      <c r="F7292" t="inlineStr">
        <is>
          <t>0453</t>
        </is>
      </c>
      <c r="G7292" s="10" t="inlineStr">
        <is>
          <t>宇多野</t>
        </is>
      </c>
      <c r="H7292" s="10" t="inlineStr">
        <is>
          <t>発</t>
        </is>
      </c>
      <c r="J7292" s="10" t="inlineStr">
        <is>
          <t>営業</t>
        </is>
      </c>
      <c r="L7292" t="inlineStr">
        <is>
          <t>10:09:05</t>
        </is>
      </c>
      <c r="M7292" t="inlineStr">
        <is>
          <t>10:09:15</t>
        </is>
      </c>
      <c r="U7292" t="inlineStr">
        <is>
          <t>→帷子ノ辻 退勤(中休332分)</t>
        </is>
      </c>
    </row>
    <row r="7293" ht="16.5" customHeight="1" s="37">
      <c r="A7293" t="n">
        <v>20</v>
      </c>
      <c r="B7293" s="10" t="inlineStr">
        <is>
          <t>平日</t>
        </is>
      </c>
      <c r="C7293" s="10" t="inlineStr">
        <is>
          <t>北野線</t>
        </is>
      </c>
      <c r="D7293" s="10" t="inlineStr">
        <is>
          <t>下り</t>
        </is>
      </c>
      <c r="E7293" t="inlineStr">
        <is>
          <t>1051</t>
        </is>
      </c>
      <c r="F7293" t="inlineStr">
        <is>
          <t>0453</t>
        </is>
      </c>
      <c r="G7293" s="10" t="inlineStr">
        <is>
          <t>鳴滝</t>
        </is>
      </c>
      <c r="H7293" s="10" t="inlineStr">
        <is>
          <t>発</t>
        </is>
      </c>
      <c r="J7293" s="10" t="inlineStr">
        <is>
          <t>営業</t>
        </is>
      </c>
      <c r="L7293" t="inlineStr">
        <is>
          <t>10:10:35</t>
        </is>
      </c>
      <c r="M7293" t="inlineStr">
        <is>
          <t>10:10:45</t>
        </is>
      </c>
      <c r="U7293" t="inlineStr">
        <is>
          <t>→帷子ノ辻 退勤(中休332分)</t>
        </is>
      </c>
    </row>
    <row r="7294" ht="16.5" customHeight="1" s="37">
      <c r="A7294" t="n">
        <v>20</v>
      </c>
      <c r="B7294" s="10" t="inlineStr">
        <is>
          <t>平日</t>
        </is>
      </c>
      <c r="C7294" s="10" t="inlineStr">
        <is>
          <t>北野線</t>
        </is>
      </c>
      <c r="D7294" s="10" t="inlineStr">
        <is>
          <t>下り</t>
        </is>
      </c>
      <c r="E7294" t="inlineStr">
        <is>
          <t>1051</t>
        </is>
      </c>
      <c r="F7294" t="inlineStr">
        <is>
          <t>0453</t>
        </is>
      </c>
      <c r="G7294" s="10" t="inlineStr">
        <is>
          <t>常盤</t>
        </is>
      </c>
      <c r="H7294" s="10" t="inlineStr">
        <is>
          <t>発</t>
        </is>
      </c>
      <c r="J7294" s="10" t="inlineStr">
        <is>
          <t>営業</t>
        </is>
      </c>
      <c r="L7294" t="inlineStr">
        <is>
          <t>10:11:35</t>
        </is>
      </c>
      <c r="M7294" t="inlineStr">
        <is>
          <t>10:11:55</t>
        </is>
      </c>
      <c r="U7294" t="inlineStr">
        <is>
          <t>→帷子ノ辻 退勤(中休332分)</t>
        </is>
      </c>
    </row>
    <row r="7295" ht="16.5" customHeight="1" s="37">
      <c r="A7295" t="n">
        <v>20</v>
      </c>
      <c r="B7295" s="10" t="inlineStr">
        <is>
          <t>平日</t>
        </is>
      </c>
      <c r="C7295" s="10" t="inlineStr">
        <is>
          <t>北野線</t>
        </is>
      </c>
      <c r="D7295" s="10" t="inlineStr">
        <is>
          <t>下り</t>
        </is>
      </c>
      <c r="E7295" t="inlineStr">
        <is>
          <t>1051</t>
        </is>
      </c>
      <c r="F7295" t="inlineStr">
        <is>
          <t>0453</t>
        </is>
      </c>
      <c r="G7295" s="10" t="inlineStr">
        <is>
          <t>撮影所前</t>
        </is>
      </c>
      <c r="H7295" s="10" t="inlineStr">
        <is>
          <t>発</t>
        </is>
      </c>
      <c r="J7295" s="10" t="inlineStr">
        <is>
          <t>営業</t>
        </is>
      </c>
      <c r="L7295" t="inlineStr">
        <is>
          <t>10:13:15</t>
        </is>
      </c>
      <c r="M7295" t="inlineStr">
        <is>
          <t>10:13:30</t>
        </is>
      </c>
      <c r="U7295" t="inlineStr">
        <is>
          <t>→帷子ノ辻 退勤(中休332分)</t>
        </is>
      </c>
    </row>
    <row r="7296" ht="16.5" customHeight="1" s="37">
      <c r="A7296" t="n">
        <v>20</v>
      </c>
      <c r="B7296" s="10" t="inlineStr">
        <is>
          <t>平日</t>
        </is>
      </c>
      <c r="C7296" s="10" t="inlineStr">
        <is>
          <t>北野線</t>
        </is>
      </c>
      <c r="D7296" s="10" t="inlineStr">
        <is>
          <t>下り</t>
        </is>
      </c>
      <c r="E7296" t="inlineStr">
        <is>
          <t>1051</t>
        </is>
      </c>
      <c r="F7296" t="inlineStr">
        <is>
          <t>0453</t>
        </is>
      </c>
      <c r="G7296" s="10" t="inlineStr">
        <is>
          <t>帷子ノ辻</t>
        </is>
      </c>
      <c r="H7296" s="10" t="inlineStr">
        <is>
          <t>着</t>
        </is>
      </c>
      <c r="J7296" s="10" t="inlineStr">
        <is>
          <t>営業</t>
        </is>
      </c>
      <c r="L7296" t="inlineStr">
        <is>
          <t>10:14:25</t>
        </is>
      </c>
      <c r="Q7296" t="inlineStr">
        <is>
          <t>4</t>
        </is>
      </c>
      <c r="U7296" t="inlineStr">
        <is>
          <t>→帷子ノ辻 退勤(中休332分)</t>
        </is>
      </c>
    </row>
    <row r="7297" ht="16.5" customHeight="1" s="37">
      <c r="A7297" t="n">
        <v>20</v>
      </c>
      <c r="B7297" s="10" t="inlineStr">
        <is>
          <t>平日</t>
        </is>
      </c>
      <c r="C7297" s="10" t="inlineStr">
        <is>
          <t>北野線</t>
        </is>
      </c>
      <c r="D7297" s="10" t="inlineStr">
        <is>
          <t>上り</t>
        </is>
      </c>
      <c r="E7297" t="inlineStr">
        <is>
          <t>1560</t>
        </is>
      </c>
      <c r="F7297" t="inlineStr">
        <is>
          <t>0354</t>
        </is>
      </c>
      <c r="G7297" s="10" t="inlineStr">
        <is>
          <t>帷子ノ辻</t>
        </is>
      </c>
      <c r="H7297" s="10" t="inlineStr">
        <is>
          <t>発</t>
        </is>
      </c>
      <c r="J7297" s="10" t="inlineStr">
        <is>
          <t>営業</t>
        </is>
      </c>
      <c r="M7297" t="inlineStr">
        <is>
          <t>15:46:25</t>
        </is>
      </c>
      <c r="Q7297" t="inlineStr">
        <is>
          <t>4</t>
        </is>
      </c>
    </row>
    <row r="7298" ht="16.5" customHeight="1" s="37">
      <c r="A7298" t="n">
        <v>20</v>
      </c>
      <c r="B7298" s="10" t="inlineStr">
        <is>
          <t>平日</t>
        </is>
      </c>
      <c r="C7298" s="10" t="inlineStr">
        <is>
          <t>北野線</t>
        </is>
      </c>
      <c r="D7298" s="10" t="inlineStr">
        <is>
          <t>上り</t>
        </is>
      </c>
      <c r="E7298" t="inlineStr">
        <is>
          <t>1560</t>
        </is>
      </c>
      <c r="F7298" t="inlineStr">
        <is>
          <t>0354</t>
        </is>
      </c>
      <c r="G7298" s="10" t="inlineStr">
        <is>
          <t>撮影所前</t>
        </is>
      </c>
      <c r="H7298" s="10" t="inlineStr">
        <is>
          <t>発</t>
        </is>
      </c>
      <c r="J7298" s="10" t="inlineStr">
        <is>
          <t>営業</t>
        </is>
      </c>
      <c r="L7298" t="inlineStr">
        <is>
          <t>15:47:25</t>
        </is>
      </c>
      <c r="M7298" t="inlineStr">
        <is>
          <t>15:47:40</t>
        </is>
      </c>
    </row>
    <row r="7299" ht="16.5" customHeight="1" s="37">
      <c r="A7299" t="n">
        <v>20</v>
      </c>
      <c r="B7299" s="10" t="inlineStr">
        <is>
          <t>平日</t>
        </is>
      </c>
      <c r="C7299" s="10" t="inlineStr">
        <is>
          <t>北野線</t>
        </is>
      </c>
      <c r="D7299" s="10" t="inlineStr">
        <is>
          <t>上り</t>
        </is>
      </c>
      <c r="E7299" t="inlineStr">
        <is>
          <t>1560</t>
        </is>
      </c>
      <c r="F7299" t="inlineStr">
        <is>
          <t>0354</t>
        </is>
      </c>
      <c r="G7299" s="10" t="inlineStr">
        <is>
          <t>常盤</t>
        </is>
      </c>
      <c r="H7299" s="10" t="inlineStr">
        <is>
          <t>発</t>
        </is>
      </c>
      <c r="J7299" s="10" t="inlineStr">
        <is>
          <t>営業</t>
        </is>
      </c>
      <c r="L7299" t="inlineStr">
        <is>
          <t>15:49:00</t>
        </is>
      </c>
      <c r="M7299" t="inlineStr">
        <is>
          <t>15:49:20</t>
        </is>
      </c>
    </row>
    <row r="7300" ht="16.5" customHeight="1" s="37">
      <c r="A7300" t="n">
        <v>20</v>
      </c>
      <c r="B7300" s="10" t="inlineStr">
        <is>
          <t>平日</t>
        </is>
      </c>
      <c r="C7300" s="10" t="inlineStr">
        <is>
          <t>北野線</t>
        </is>
      </c>
      <c r="D7300" s="10" t="inlineStr">
        <is>
          <t>上り</t>
        </is>
      </c>
      <c r="E7300" t="inlineStr">
        <is>
          <t>1560</t>
        </is>
      </c>
      <c r="F7300" t="inlineStr">
        <is>
          <t>0354</t>
        </is>
      </c>
      <c r="G7300" s="10" t="inlineStr">
        <is>
          <t>鳴滝</t>
        </is>
      </c>
      <c r="H7300" s="10" t="inlineStr">
        <is>
          <t>発</t>
        </is>
      </c>
      <c r="J7300" s="10" t="inlineStr">
        <is>
          <t>営業</t>
        </is>
      </c>
      <c r="L7300" t="inlineStr">
        <is>
          <t>15:50:20</t>
        </is>
      </c>
      <c r="M7300" t="inlineStr">
        <is>
          <t>15:50:40</t>
        </is>
      </c>
    </row>
    <row r="7301" ht="16.5" customHeight="1" s="37">
      <c r="A7301" t="n">
        <v>20</v>
      </c>
      <c r="B7301" s="10" t="inlineStr">
        <is>
          <t>平日</t>
        </is>
      </c>
      <c r="C7301" s="10" t="inlineStr">
        <is>
          <t>北野線</t>
        </is>
      </c>
      <c r="D7301" s="10" t="inlineStr">
        <is>
          <t>上り</t>
        </is>
      </c>
      <c r="E7301" t="inlineStr">
        <is>
          <t>1560</t>
        </is>
      </c>
      <c r="F7301" t="inlineStr">
        <is>
          <t>0354</t>
        </is>
      </c>
      <c r="G7301" s="10" t="inlineStr">
        <is>
          <t>宇多野</t>
        </is>
      </c>
      <c r="H7301" s="10" t="inlineStr">
        <is>
          <t>発</t>
        </is>
      </c>
      <c r="J7301" s="10" t="inlineStr">
        <is>
          <t>営業</t>
        </is>
      </c>
      <c r="L7301" t="inlineStr">
        <is>
          <t>15:52:00</t>
        </is>
      </c>
      <c r="M7301" t="inlineStr">
        <is>
          <t>15:52:15</t>
        </is>
      </c>
    </row>
    <row r="7302" ht="16.5" customHeight="1" s="37">
      <c r="A7302" t="n">
        <v>20</v>
      </c>
      <c r="B7302" s="10" t="inlineStr">
        <is>
          <t>平日</t>
        </is>
      </c>
      <c r="C7302" s="10" t="inlineStr">
        <is>
          <t>北野線</t>
        </is>
      </c>
      <c r="D7302" s="10" t="inlineStr">
        <is>
          <t>上り</t>
        </is>
      </c>
      <c r="E7302" t="inlineStr">
        <is>
          <t>1560</t>
        </is>
      </c>
      <c r="F7302" t="inlineStr">
        <is>
          <t>0354</t>
        </is>
      </c>
      <c r="G7302" s="10" t="inlineStr">
        <is>
          <t>御室仁和寺</t>
        </is>
      </c>
      <c r="H7302" s="10" t="inlineStr">
        <is>
          <t>発</t>
        </is>
      </c>
      <c r="J7302" s="10" t="inlineStr">
        <is>
          <t>営業</t>
        </is>
      </c>
      <c r="L7302" t="inlineStr">
        <is>
          <t>15:53:15</t>
        </is>
      </c>
      <c r="M7302" t="inlineStr">
        <is>
          <t>15:53:35</t>
        </is>
      </c>
    </row>
    <row r="7303" ht="16.5" customHeight="1" s="37">
      <c r="A7303" t="n">
        <v>20</v>
      </c>
      <c r="B7303" s="10" t="inlineStr">
        <is>
          <t>平日</t>
        </is>
      </c>
      <c r="C7303" s="10" t="inlineStr">
        <is>
          <t>北野線</t>
        </is>
      </c>
      <c r="D7303" s="10" t="inlineStr">
        <is>
          <t>上り</t>
        </is>
      </c>
      <c r="E7303" t="inlineStr">
        <is>
          <t>1560</t>
        </is>
      </c>
      <c r="F7303" t="inlineStr">
        <is>
          <t>0354</t>
        </is>
      </c>
      <c r="G7303" s="10" t="inlineStr">
        <is>
          <t>妙心寺</t>
        </is>
      </c>
      <c r="H7303" s="10" t="inlineStr">
        <is>
          <t>発</t>
        </is>
      </c>
      <c r="J7303" s="10" t="inlineStr">
        <is>
          <t>営業</t>
        </is>
      </c>
      <c r="L7303" t="inlineStr">
        <is>
          <t>15:54:35</t>
        </is>
      </c>
      <c r="M7303" t="inlineStr">
        <is>
          <t>15:54:50</t>
        </is>
      </c>
    </row>
    <row r="7304" ht="16.5" customHeight="1" s="37">
      <c r="A7304" t="n">
        <v>20</v>
      </c>
      <c r="B7304" s="10" t="inlineStr">
        <is>
          <t>平日</t>
        </is>
      </c>
      <c r="C7304" s="10" t="inlineStr">
        <is>
          <t>北野線</t>
        </is>
      </c>
      <c r="D7304" s="10" t="inlineStr">
        <is>
          <t>上り</t>
        </is>
      </c>
      <c r="E7304" t="inlineStr">
        <is>
          <t>1560</t>
        </is>
      </c>
      <c r="F7304" t="inlineStr">
        <is>
          <t>0354</t>
        </is>
      </c>
      <c r="G7304" s="10" t="inlineStr">
        <is>
          <t>龍安寺</t>
        </is>
      </c>
      <c r="H7304" s="10" t="inlineStr">
        <is>
          <t>発</t>
        </is>
      </c>
      <c r="J7304" s="10" t="inlineStr">
        <is>
          <t>営業</t>
        </is>
      </c>
      <c r="L7304" t="inlineStr">
        <is>
          <t>15:55:45</t>
        </is>
      </c>
      <c r="M7304" t="inlineStr">
        <is>
          <t>15:55:55</t>
        </is>
      </c>
    </row>
    <row r="7305" ht="16.5" customHeight="1" s="37">
      <c r="A7305" t="n">
        <v>20</v>
      </c>
      <c r="B7305" s="10" t="inlineStr">
        <is>
          <t>平日</t>
        </is>
      </c>
      <c r="C7305" s="10" t="inlineStr">
        <is>
          <t>北野線</t>
        </is>
      </c>
      <c r="D7305" s="10" t="inlineStr">
        <is>
          <t>上り</t>
        </is>
      </c>
      <c r="E7305" t="inlineStr">
        <is>
          <t>1560</t>
        </is>
      </c>
      <c r="F7305" t="inlineStr">
        <is>
          <t>0354</t>
        </is>
      </c>
      <c r="G7305" s="10" t="inlineStr">
        <is>
          <t>等持院</t>
        </is>
      </c>
      <c r="H7305" s="10" t="inlineStr">
        <is>
          <t>発</t>
        </is>
      </c>
      <c r="J7305" s="10" t="inlineStr">
        <is>
          <t>営業</t>
        </is>
      </c>
      <c r="L7305" t="inlineStr">
        <is>
          <t>15:56:35</t>
        </is>
      </c>
      <c r="M7305" t="inlineStr">
        <is>
          <t>15:56:55</t>
        </is>
      </c>
    </row>
    <row r="7306" ht="16.5" customHeight="1" s="37">
      <c r="A7306" t="n">
        <v>20</v>
      </c>
      <c r="B7306" s="10" t="inlineStr">
        <is>
          <t>平日</t>
        </is>
      </c>
      <c r="C7306" s="10" t="inlineStr">
        <is>
          <t>北野線</t>
        </is>
      </c>
      <c r="D7306" s="10" t="inlineStr">
        <is>
          <t>上り</t>
        </is>
      </c>
      <c r="E7306" t="inlineStr">
        <is>
          <t>1560</t>
        </is>
      </c>
      <c r="F7306" t="inlineStr">
        <is>
          <t>0354</t>
        </is>
      </c>
      <c r="G7306" s="10" t="inlineStr">
        <is>
          <t>北野白梅町</t>
        </is>
      </c>
      <c r="H7306" s="10" t="inlineStr">
        <is>
          <t>着</t>
        </is>
      </c>
      <c r="J7306" s="10" t="inlineStr">
        <is>
          <t>営業</t>
        </is>
      </c>
      <c r="L7306" t="inlineStr">
        <is>
          <t>15:58:15</t>
        </is>
      </c>
      <c r="Q7306" t="inlineStr">
        <is>
          <t>1</t>
        </is>
      </c>
    </row>
    <row r="7307" ht="16.5" customHeight="1" s="37">
      <c r="A7307" t="n">
        <v>20</v>
      </c>
      <c r="B7307" s="10" t="inlineStr">
        <is>
          <t>平日</t>
        </is>
      </c>
      <c r="C7307" s="10" t="inlineStr">
        <is>
          <t>北野線</t>
        </is>
      </c>
      <c r="D7307" s="10" t="inlineStr">
        <is>
          <t>下り</t>
        </is>
      </c>
      <c r="E7307" t="inlineStr">
        <is>
          <t>1651</t>
        </is>
      </c>
      <c r="F7307" t="inlineStr">
        <is>
          <t>0453</t>
        </is>
      </c>
      <c r="G7307" s="10" t="inlineStr">
        <is>
          <t>北野白梅町</t>
        </is>
      </c>
      <c r="H7307" s="10" t="inlineStr">
        <is>
          <t>発</t>
        </is>
      </c>
      <c r="J7307" s="10" t="inlineStr">
        <is>
          <t>営業</t>
        </is>
      </c>
      <c r="M7307" t="inlineStr">
        <is>
          <t>16:03:00</t>
        </is>
      </c>
      <c r="Q7307" t="inlineStr">
        <is>
          <t>1</t>
        </is>
      </c>
    </row>
    <row r="7308" ht="15" customHeight="1" s="37">
      <c r="A7308" t="n">
        <v>20</v>
      </c>
      <c r="B7308" s="10" t="inlineStr">
        <is>
          <t>平日</t>
        </is>
      </c>
      <c r="C7308" s="10" t="inlineStr">
        <is>
          <t>北野線</t>
        </is>
      </c>
      <c r="D7308" s="10" t="inlineStr">
        <is>
          <t>下り</t>
        </is>
      </c>
      <c r="E7308" t="inlineStr">
        <is>
          <t>1651</t>
        </is>
      </c>
      <c r="F7308" t="inlineStr">
        <is>
          <t>0453</t>
        </is>
      </c>
      <c r="G7308" s="10" t="inlineStr">
        <is>
          <t>等持院</t>
        </is>
      </c>
      <c r="H7308" s="10" t="inlineStr">
        <is>
          <t>発</t>
        </is>
      </c>
      <c r="J7308" s="10" t="inlineStr">
        <is>
          <t>営業</t>
        </is>
      </c>
      <c r="L7308" t="inlineStr">
        <is>
          <t>16:04:25</t>
        </is>
      </c>
      <c r="M7308" t="inlineStr">
        <is>
          <t>16:04:35</t>
        </is>
      </c>
    </row>
    <row r="7309" ht="15" customHeight="1" s="37">
      <c r="A7309" t="n">
        <v>20</v>
      </c>
      <c r="B7309" s="10" t="inlineStr">
        <is>
          <t>平日</t>
        </is>
      </c>
      <c r="C7309" s="10" t="inlineStr">
        <is>
          <t>北野線</t>
        </is>
      </c>
      <c r="D7309" s="10" t="inlineStr">
        <is>
          <t>下り</t>
        </is>
      </c>
      <c r="E7309" t="inlineStr">
        <is>
          <t>1651</t>
        </is>
      </c>
      <c r="F7309" t="inlineStr">
        <is>
          <t>0453</t>
        </is>
      </c>
      <c r="G7309" s="10" t="inlineStr">
        <is>
          <t>龍安寺</t>
        </is>
      </c>
      <c r="H7309" s="10" t="inlineStr">
        <is>
          <t>発</t>
        </is>
      </c>
      <c r="J7309" s="10" t="inlineStr">
        <is>
          <t>営業</t>
        </is>
      </c>
      <c r="L7309" t="inlineStr">
        <is>
          <t>16:05:25</t>
        </is>
      </c>
      <c r="M7309" t="inlineStr">
        <is>
          <t>16:05:50</t>
        </is>
      </c>
    </row>
    <row r="7310" ht="15" customHeight="1" s="37">
      <c r="A7310" t="n">
        <v>20</v>
      </c>
      <c r="B7310" s="10" t="inlineStr">
        <is>
          <t>平日</t>
        </is>
      </c>
      <c r="C7310" s="10" t="inlineStr">
        <is>
          <t>北野線</t>
        </is>
      </c>
      <c r="D7310" s="10" t="inlineStr">
        <is>
          <t>下り</t>
        </is>
      </c>
      <c r="E7310" t="inlineStr">
        <is>
          <t>1651</t>
        </is>
      </c>
      <c r="F7310" t="inlineStr">
        <is>
          <t>0453</t>
        </is>
      </c>
      <c r="G7310" s="10" t="inlineStr">
        <is>
          <t>妙心寺</t>
        </is>
      </c>
      <c r="H7310" s="10" t="inlineStr">
        <is>
          <t>発</t>
        </is>
      </c>
      <c r="J7310" s="10" t="inlineStr">
        <is>
          <t>営業</t>
        </is>
      </c>
      <c r="L7310" t="inlineStr">
        <is>
          <t>16:06:40</t>
        </is>
      </c>
      <c r="M7310" t="inlineStr">
        <is>
          <t>16:06:50</t>
        </is>
      </c>
    </row>
    <row r="7311" ht="15" customHeight="1" s="37">
      <c r="A7311" t="n">
        <v>20</v>
      </c>
      <c r="B7311" s="10" t="inlineStr">
        <is>
          <t>平日</t>
        </is>
      </c>
      <c r="C7311" s="10" t="inlineStr">
        <is>
          <t>北野線</t>
        </is>
      </c>
      <c r="D7311" s="10" t="inlineStr">
        <is>
          <t>下り</t>
        </is>
      </c>
      <c r="E7311" t="inlineStr">
        <is>
          <t>1651</t>
        </is>
      </c>
      <c r="F7311" t="inlineStr">
        <is>
          <t>0453</t>
        </is>
      </c>
      <c r="G7311" s="10" t="inlineStr">
        <is>
          <t>御室仁和寺</t>
        </is>
      </c>
      <c r="H7311" s="10" t="inlineStr">
        <is>
          <t>発</t>
        </is>
      </c>
      <c r="J7311" s="10" t="inlineStr">
        <is>
          <t>営業</t>
        </is>
      </c>
      <c r="L7311" t="inlineStr">
        <is>
          <t>16:07:50</t>
        </is>
      </c>
      <c r="M7311" t="inlineStr">
        <is>
          <t>16:08:05</t>
        </is>
      </c>
    </row>
    <row r="7312" ht="15" customHeight="1" s="37">
      <c r="A7312" t="n">
        <v>20</v>
      </c>
      <c r="B7312" s="10" t="inlineStr">
        <is>
          <t>平日</t>
        </is>
      </c>
      <c r="C7312" s="10" t="inlineStr">
        <is>
          <t>北野線</t>
        </is>
      </c>
      <c r="D7312" s="10" t="inlineStr">
        <is>
          <t>下り</t>
        </is>
      </c>
      <c r="E7312" t="inlineStr">
        <is>
          <t>1651</t>
        </is>
      </c>
      <c r="F7312" t="inlineStr">
        <is>
          <t>0453</t>
        </is>
      </c>
      <c r="G7312" s="10" t="inlineStr">
        <is>
          <t>宇多野</t>
        </is>
      </c>
      <c r="H7312" s="10" t="inlineStr">
        <is>
          <t>発</t>
        </is>
      </c>
      <c r="J7312" s="10" t="inlineStr">
        <is>
          <t>営業</t>
        </is>
      </c>
      <c r="L7312" t="inlineStr">
        <is>
          <t>16:09:05</t>
        </is>
      </c>
      <c r="M7312" t="inlineStr">
        <is>
          <t>16:09:15</t>
        </is>
      </c>
    </row>
    <row r="7313" ht="15" customHeight="1" s="37">
      <c r="A7313" t="n">
        <v>20</v>
      </c>
      <c r="B7313" s="10" t="inlineStr">
        <is>
          <t>平日</t>
        </is>
      </c>
      <c r="C7313" s="10" t="inlineStr">
        <is>
          <t>北野線</t>
        </is>
      </c>
      <c r="D7313" s="10" t="inlineStr">
        <is>
          <t>下り</t>
        </is>
      </c>
      <c r="E7313" t="inlineStr">
        <is>
          <t>1651</t>
        </is>
      </c>
      <c r="F7313" t="inlineStr">
        <is>
          <t>0453</t>
        </is>
      </c>
      <c r="G7313" s="10" t="inlineStr">
        <is>
          <t>鳴滝</t>
        </is>
      </c>
      <c r="H7313" s="10" t="inlineStr">
        <is>
          <t>発</t>
        </is>
      </c>
      <c r="J7313" s="10" t="inlineStr">
        <is>
          <t>営業</t>
        </is>
      </c>
      <c r="L7313" t="inlineStr">
        <is>
          <t>16:10:35</t>
        </is>
      </c>
      <c r="M7313" t="inlineStr">
        <is>
          <t>16:10:45</t>
        </is>
      </c>
    </row>
    <row r="7314" ht="15" customHeight="1" s="37">
      <c r="A7314" t="n">
        <v>20</v>
      </c>
      <c r="B7314" s="10" t="inlineStr">
        <is>
          <t>平日</t>
        </is>
      </c>
      <c r="C7314" s="10" t="inlineStr">
        <is>
          <t>北野線</t>
        </is>
      </c>
      <c r="D7314" s="10" t="inlineStr">
        <is>
          <t>下り</t>
        </is>
      </c>
      <c r="E7314" t="inlineStr">
        <is>
          <t>1651</t>
        </is>
      </c>
      <c r="F7314" t="inlineStr">
        <is>
          <t>0453</t>
        </is>
      </c>
      <c r="G7314" s="10" t="inlineStr">
        <is>
          <t>常盤</t>
        </is>
      </c>
      <c r="H7314" s="10" t="inlineStr">
        <is>
          <t>発</t>
        </is>
      </c>
      <c r="J7314" s="10" t="inlineStr">
        <is>
          <t>営業</t>
        </is>
      </c>
      <c r="L7314" t="inlineStr">
        <is>
          <t>16:11:35</t>
        </is>
      </c>
      <c r="M7314" t="inlineStr">
        <is>
          <t>16:11:55</t>
        </is>
      </c>
    </row>
    <row r="7315" ht="15" customHeight="1" s="37">
      <c r="A7315" t="n">
        <v>20</v>
      </c>
      <c r="B7315" s="10" t="inlineStr">
        <is>
          <t>平日</t>
        </is>
      </c>
      <c r="C7315" s="10" t="inlineStr">
        <is>
          <t>北野線</t>
        </is>
      </c>
      <c r="D7315" s="10" t="inlineStr">
        <is>
          <t>下り</t>
        </is>
      </c>
      <c r="E7315" t="inlineStr">
        <is>
          <t>1651</t>
        </is>
      </c>
      <c r="F7315" t="inlineStr">
        <is>
          <t>0453</t>
        </is>
      </c>
      <c r="G7315" s="10" t="inlineStr">
        <is>
          <t>撮影所前</t>
        </is>
      </c>
      <c r="H7315" s="10" t="inlineStr">
        <is>
          <t>発</t>
        </is>
      </c>
      <c r="J7315" s="10" t="inlineStr">
        <is>
          <t>営業</t>
        </is>
      </c>
      <c r="L7315" t="inlineStr">
        <is>
          <t>16:13:15</t>
        </is>
      </c>
      <c r="M7315" t="inlineStr">
        <is>
          <t>16:13:30</t>
        </is>
      </c>
    </row>
    <row r="7316" ht="15" customHeight="1" s="37">
      <c r="A7316" t="n">
        <v>20</v>
      </c>
      <c r="B7316" s="10" t="inlineStr">
        <is>
          <t>平日</t>
        </is>
      </c>
      <c r="C7316" s="10" t="inlineStr">
        <is>
          <t>北野線</t>
        </is>
      </c>
      <c r="D7316" s="10" t="inlineStr">
        <is>
          <t>下り</t>
        </is>
      </c>
      <c r="E7316" t="inlineStr">
        <is>
          <t>1651</t>
        </is>
      </c>
      <c r="F7316" t="inlineStr">
        <is>
          <t>0453</t>
        </is>
      </c>
      <c r="G7316" s="10" t="inlineStr">
        <is>
          <t>帷子ノ辻</t>
        </is>
      </c>
      <c r="H7316" s="10" t="inlineStr">
        <is>
          <t>着</t>
        </is>
      </c>
      <c r="J7316" s="10" t="inlineStr">
        <is>
          <t>営業</t>
        </is>
      </c>
      <c r="L7316" t="inlineStr">
        <is>
          <t>16:14:25</t>
        </is>
      </c>
      <c r="Q7316" t="inlineStr">
        <is>
          <t>4</t>
        </is>
      </c>
    </row>
    <row r="7317" ht="15" customHeight="1" s="37">
      <c r="A7317" t="n">
        <v>20</v>
      </c>
      <c r="B7317" s="10" t="inlineStr">
        <is>
          <t>平日</t>
        </is>
      </c>
      <c r="C7317" s="10" t="inlineStr">
        <is>
          <t>北野線</t>
        </is>
      </c>
      <c r="D7317" s="10" t="inlineStr">
        <is>
          <t>上り</t>
        </is>
      </c>
      <c r="E7317" t="inlineStr">
        <is>
          <t>1656</t>
        </is>
      </c>
      <c r="F7317" t="inlineStr">
        <is>
          <t>0354</t>
        </is>
      </c>
      <c r="G7317" s="10" t="inlineStr">
        <is>
          <t>帷子ノ辻</t>
        </is>
      </c>
      <c r="H7317" s="10" t="inlineStr">
        <is>
          <t>発</t>
        </is>
      </c>
      <c r="J7317" s="10" t="inlineStr">
        <is>
          <t>営業</t>
        </is>
      </c>
      <c r="M7317" t="inlineStr">
        <is>
          <t>16:26:25</t>
        </is>
      </c>
      <c r="Q7317" t="inlineStr">
        <is>
          <t>4</t>
        </is>
      </c>
    </row>
    <row r="7318" ht="15" customHeight="1" s="37">
      <c r="A7318" t="n">
        <v>20</v>
      </c>
      <c r="B7318" s="10" t="inlineStr">
        <is>
          <t>平日</t>
        </is>
      </c>
      <c r="C7318" s="10" t="inlineStr">
        <is>
          <t>北野線</t>
        </is>
      </c>
      <c r="D7318" s="10" t="inlineStr">
        <is>
          <t>上り</t>
        </is>
      </c>
      <c r="E7318" t="inlineStr">
        <is>
          <t>1656</t>
        </is>
      </c>
      <c r="F7318" t="inlineStr">
        <is>
          <t>0354</t>
        </is>
      </c>
      <c r="G7318" s="10" t="inlineStr">
        <is>
          <t>撮影所前</t>
        </is>
      </c>
      <c r="H7318" s="10" t="inlineStr">
        <is>
          <t>発</t>
        </is>
      </c>
      <c r="J7318" s="10" t="inlineStr">
        <is>
          <t>営業</t>
        </is>
      </c>
      <c r="L7318" t="inlineStr">
        <is>
          <t>16:27:25</t>
        </is>
      </c>
      <c r="M7318" t="inlineStr">
        <is>
          <t>16:27:40</t>
        </is>
      </c>
    </row>
    <row r="7319" ht="15" customHeight="1" s="37">
      <c r="A7319" t="n">
        <v>20</v>
      </c>
      <c r="B7319" s="10" t="inlineStr">
        <is>
          <t>平日</t>
        </is>
      </c>
      <c r="C7319" s="10" t="inlineStr">
        <is>
          <t>北野線</t>
        </is>
      </c>
      <c r="D7319" s="10" t="inlineStr">
        <is>
          <t>上り</t>
        </is>
      </c>
      <c r="E7319" t="inlineStr">
        <is>
          <t>1656</t>
        </is>
      </c>
      <c r="F7319" t="inlineStr">
        <is>
          <t>0354</t>
        </is>
      </c>
      <c r="G7319" s="10" t="inlineStr">
        <is>
          <t>常盤</t>
        </is>
      </c>
      <c r="H7319" s="10" t="inlineStr">
        <is>
          <t>発</t>
        </is>
      </c>
      <c r="J7319" s="10" t="inlineStr">
        <is>
          <t>営業</t>
        </is>
      </c>
      <c r="L7319" t="inlineStr">
        <is>
          <t>16:29:00</t>
        </is>
      </c>
      <c r="M7319" t="inlineStr">
        <is>
          <t>16:29:20</t>
        </is>
      </c>
    </row>
    <row r="7320" ht="15" customHeight="1" s="37">
      <c r="A7320" t="n">
        <v>20</v>
      </c>
      <c r="B7320" s="10" t="inlineStr">
        <is>
          <t>平日</t>
        </is>
      </c>
      <c r="C7320" s="10" t="inlineStr">
        <is>
          <t>北野線</t>
        </is>
      </c>
      <c r="D7320" s="10" t="inlineStr">
        <is>
          <t>上り</t>
        </is>
      </c>
      <c r="E7320" t="inlineStr">
        <is>
          <t>1656</t>
        </is>
      </c>
      <c r="F7320" t="inlineStr">
        <is>
          <t>0354</t>
        </is>
      </c>
      <c r="G7320" s="10" t="inlineStr">
        <is>
          <t>鳴滝</t>
        </is>
      </c>
      <c r="H7320" s="10" t="inlineStr">
        <is>
          <t>発</t>
        </is>
      </c>
      <c r="J7320" s="10" t="inlineStr">
        <is>
          <t>営業</t>
        </is>
      </c>
      <c r="L7320" t="inlineStr">
        <is>
          <t>16:30:20</t>
        </is>
      </c>
      <c r="M7320" t="inlineStr">
        <is>
          <t>16:30:40</t>
        </is>
      </c>
    </row>
    <row r="7321" ht="15" customHeight="1" s="37">
      <c r="A7321" t="n">
        <v>20</v>
      </c>
      <c r="B7321" s="10" t="inlineStr">
        <is>
          <t>平日</t>
        </is>
      </c>
      <c r="C7321" s="10" t="inlineStr">
        <is>
          <t>北野線</t>
        </is>
      </c>
      <c r="D7321" s="10" t="inlineStr">
        <is>
          <t>上り</t>
        </is>
      </c>
      <c r="E7321" t="inlineStr">
        <is>
          <t>1656</t>
        </is>
      </c>
      <c r="F7321" t="inlineStr">
        <is>
          <t>0354</t>
        </is>
      </c>
      <c r="G7321" s="10" t="inlineStr">
        <is>
          <t>宇多野</t>
        </is>
      </c>
      <c r="H7321" s="10" t="inlineStr">
        <is>
          <t>発</t>
        </is>
      </c>
      <c r="J7321" s="10" t="inlineStr">
        <is>
          <t>営業</t>
        </is>
      </c>
      <c r="L7321" t="inlineStr">
        <is>
          <t>16:32:00</t>
        </is>
      </c>
      <c r="M7321" t="inlineStr">
        <is>
          <t>16:32:15</t>
        </is>
      </c>
    </row>
    <row r="7322" ht="15" customHeight="1" s="37">
      <c r="A7322" t="n">
        <v>20</v>
      </c>
      <c r="B7322" s="10" t="inlineStr">
        <is>
          <t>平日</t>
        </is>
      </c>
      <c r="C7322" s="10" t="inlineStr">
        <is>
          <t>北野線</t>
        </is>
      </c>
      <c r="D7322" s="10" t="inlineStr">
        <is>
          <t>上り</t>
        </is>
      </c>
      <c r="E7322" t="inlineStr">
        <is>
          <t>1656</t>
        </is>
      </c>
      <c r="F7322" t="inlineStr">
        <is>
          <t>0354</t>
        </is>
      </c>
      <c r="G7322" s="10" t="inlineStr">
        <is>
          <t>御室仁和寺</t>
        </is>
      </c>
      <c r="H7322" s="10" t="inlineStr">
        <is>
          <t>発</t>
        </is>
      </c>
      <c r="J7322" s="10" t="inlineStr">
        <is>
          <t>営業</t>
        </is>
      </c>
      <c r="L7322" t="inlineStr">
        <is>
          <t>16:33:15</t>
        </is>
      </c>
      <c r="M7322" t="inlineStr">
        <is>
          <t>16:33:35</t>
        </is>
      </c>
    </row>
    <row r="7323" ht="15" customHeight="1" s="37">
      <c r="A7323" t="n">
        <v>20</v>
      </c>
      <c r="B7323" s="10" t="inlineStr">
        <is>
          <t>平日</t>
        </is>
      </c>
      <c r="C7323" s="10" t="inlineStr">
        <is>
          <t>北野線</t>
        </is>
      </c>
      <c r="D7323" s="10" t="inlineStr">
        <is>
          <t>上り</t>
        </is>
      </c>
      <c r="E7323" t="inlineStr">
        <is>
          <t>1656</t>
        </is>
      </c>
      <c r="F7323" t="inlineStr">
        <is>
          <t>0354</t>
        </is>
      </c>
      <c r="G7323" s="10" t="inlineStr">
        <is>
          <t>妙心寺</t>
        </is>
      </c>
      <c r="H7323" s="10" t="inlineStr">
        <is>
          <t>発</t>
        </is>
      </c>
      <c r="J7323" s="10" t="inlineStr">
        <is>
          <t>営業</t>
        </is>
      </c>
      <c r="L7323" t="inlineStr">
        <is>
          <t>16:34:35</t>
        </is>
      </c>
      <c r="M7323" t="inlineStr">
        <is>
          <t>16:34:50</t>
        </is>
      </c>
    </row>
    <row r="7324" ht="15" customHeight="1" s="37">
      <c r="A7324" t="n">
        <v>20</v>
      </c>
      <c r="B7324" s="10" t="inlineStr">
        <is>
          <t>平日</t>
        </is>
      </c>
      <c r="C7324" s="10" t="inlineStr">
        <is>
          <t>北野線</t>
        </is>
      </c>
      <c r="D7324" s="10" t="inlineStr">
        <is>
          <t>上り</t>
        </is>
      </c>
      <c r="E7324" t="inlineStr">
        <is>
          <t>1656</t>
        </is>
      </c>
      <c r="F7324" t="inlineStr">
        <is>
          <t>0354</t>
        </is>
      </c>
      <c r="G7324" s="10" t="inlineStr">
        <is>
          <t>龍安寺</t>
        </is>
      </c>
      <c r="H7324" s="10" t="inlineStr">
        <is>
          <t>発</t>
        </is>
      </c>
      <c r="J7324" s="10" t="inlineStr">
        <is>
          <t>営業</t>
        </is>
      </c>
      <c r="L7324" t="inlineStr">
        <is>
          <t>16:35:45</t>
        </is>
      </c>
      <c r="M7324" t="inlineStr">
        <is>
          <t>16:35:55</t>
        </is>
      </c>
    </row>
    <row r="7325" ht="15" customHeight="1" s="37">
      <c r="A7325" t="n">
        <v>20</v>
      </c>
      <c r="B7325" s="10" t="inlineStr">
        <is>
          <t>平日</t>
        </is>
      </c>
      <c r="C7325" s="10" t="inlineStr">
        <is>
          <t>北野線</t>
        </is>
      </c>
      <c r="D7325" s="10" t="inlineStr">
        <is>
          <t>上り</t>
        </is>
      </c>
      <c r="E7325" t="inlineStr">
        <is>
          <t>1656</t>
        </is>
      </c>
      <c r="F7325" t="inlineStr">
        <is>
          <t>0354</t>
        </is>
      </c>
      <c r="G7325" s="10" t="inlineStr">
        <is>
          <t>等持院</t>
        </is>
      </c>
      <c r="H7325" s="10" t="inlineStr">
        <is>
          <t>発</t>
        </is>
      </c>
      <c r="J7325" s="10" t="inlineStr">
        <is>
          <t>営業</t>
        </is>
      </c>
      <c r="L7325" t="inlineStr">
        <is>
          <t>16:36:35</t>
        </is>
      </c>
      <c r="M7325" t="inlineStr">
        <is>
          <t>16:36:55</t>
        </is>
      </c>
    </row>
    <row r="7326" ht="15" customHeight="1" s="37">
      <c r="A7326" t="n">
        <v>20</v>
      </c>
      <c r="B7326" s="10" t="inlineStr">
        <is>
          <t>平日</t>
        </is>
      </c>
      <c r="C7326" s="10" t="inlineStr">
        <is>
          <t>北野線</t>
        </is>
      </c>
      <c r="D7326" s="10" t="inlineStr">
        <is>
          <t>上り</t>
        </is>
      </c>
      <c r="E7326" t="inlineStr">
        <is>
          <t>1656</t>
        </is>
      </c>
      <c r="F7326" t="inlineStr">
        <is>
          <t>0354</t>
        </is>
      </c>
      <c r="G7326" s="10" t="inlineStr">
        <is>
          <t>北野白梅町</t>
        </is>
      </c>
      <c r="H7326" s="10" t="inlineStr">
        <is>
          <t>着</t>
        </is>
      </c>
      <c r="J7326" s="10" t="inlineStr">
        <is>
          <t>営業</t>
        </is>
      </c>
      <c r="L7326" t="inlineStr">
        <is>
          <t>16:38:15</t>
        </is>
      </c>
      <c r="Q7326" t="inlineStr">
        <is>
          <t>1</t>
        </is>
      </c>
    </row>
    <row r="7327" ht="15" customHeight="1" s="37">
      <c r="A7327" t="n">
        <v>20</v>
      </c>
      <c r="B7327" s="10" t="inlineStr">
        <is>
          <t>平日</t>
        </is>
      </c>
      <c r="C7327" s="10" t="inlineStr">
        <is>
          <t>北野線</t>
        </is>
      </c>
      <c r="D7327" s="10" t="inlineStr">
        <is>
          <t>下り</t>
        </is>
      </c>
      <c r="E7327" t="inlineStr">
        <is>
          <t>1659</t>
        </is>
      </c>
      <c r="F7327" t="inlineStr">
        <is>
          <t>0453</t>
        </is>
      </c>
      <c r="G7327" s="10" t="inlineStr">
        <is>
          <t>北野白梅町</t>
        </is>
      </c>
      <c r="H7327" s="10" t="inlineStr">
        <is>
          <t>発</t>
        </is>
      </c>
      <c r="J7327" s="10" t="inlineStr">
        <is>
          <t>営業</t>
        </is>
      </c>
      <c r="M7327" t="inlineStr">
        <is>
          <t>16:43:00</t>
        </is>
      </c>
      <c r="Q7327" t="inlineStr">
        <is>
          <t>1</t>
        </is>
      </c>
    </row>
    <row r="7328" ht="15" customHeight="1" s="37">
      <c r="A7328" t="n">
        <v>20</v>
      </c>
      <c r="B7328" s="10" t="inlineStr">
        <is>
          <t>平日</t>
        </is>
      </c>
      <c r="C7328" s="10" t="inlineStr">
        <is>
          <t>北野線</t>
        </is>
      </c>
      <c r="D7328" s="10" t="inlineStr">
        <is>
          <t>下り</t>
        </is>
      </c>
      <c r="E7328" t="inlineStr">
        <is>
          <t>1659</t>
        </is>
      </c>
      <c r="F7328" t="inlineStr">
        <is>
          <t>0453</t>
        </is>
      </c>
      <c r="G7328" s="10" t="inlineStr">
        <is>
          <t>等持院</t>
        </is>
      </c>
      <c r="H7328" s="10" t="inlineStr">
        <is>
          <t>発</t>
        </is>
      </c>
      <c r="J7328" s="10" t="inlineStr">
        <is>
          <t>営業</t>
        </is>
      </c>
      <c r="L7328" t="inlineStr">
        <is>
          <t>16:44:25</t>
        </is>
      </c>
      <c r="M7328" t="inlineStr">
        <is>
          <t>16:44:35</t>
        </is>
      </c>
    </row>
    <row r="7329" ht="15" customHeight="1" s="37">
      <c r="A7329" t="n">
        <v>20</v>
      </c>
      <c r="B7329" s="10" t="inlineStr">
        <is>
          <t>平日</t>
        </is>
      </c>
      <c r="C7329" s="10" t="inlineStr">
        <is>
          <t>北野線</t>
        </is>
      </c>
      <c r="D7329" s="10" t="inlineStr">
        <is>
          <t>下り</t>
        </is>
      </c>
      <c r="E7329" t="inlineStr">
        <is>
          <t>1659</t>
        </is>
      </c>
      <c r="F7329" t="inlineStr">
        <is>
          <t>0453</t>
        </is>
      </c>
      <c r="G7329" s="10" t="inlineStr">
        <is>
          <t>龍安寺</t>
        </is>
      </c>
      <c r="H7329" s="10" t="inlineStr">
        <is>
          <t>発</t>
        </is>
      </c>
      <c r="J7329" s="10" t="inlineStr">
        <is>
          <t>営業</t>
        </is>
      </c>
      <c r="L7329" t="inlineStr">
        <is>
          <t>16:45:25</t>
        </is>
      </c>
      <c r="M7329" t="inlineStr">
        <is>
          <t>16:45:50</t>
        </is>
      </c>
    </row>
    <row r="7330" ht="15" customHeight="1" s="37">
      <c r="A7330" t="n">
        <v>20</v>
      </c>
      <c r="B7330" s="10" t="inlineStr">
        <is>
          <t>平日</t>
        </is>
      </c>
      <c r="C7330" s="10" t="inlineStr">
        <is>
          <t>北野線</t>
        </is>
      </c>
      <c r="D7330" s="10" t="inlineStr">
        <is>
          <t>下り</t>
        </is>
      </c>
      <c r="E7330" t="inlineStr">
        <is>
          <t>1659</t>
        </is>
      </c>
      <c r="F7330" t="inlineStr">
        <is>
          <t>0453</t>
        </is>
      </c>
      <c r="G7330" s="10" t="inlineStr">
        <is>
          <t>妙心寺</t>
        </is>
      </c>
      <c r="H7330" s="10" t="inlineStr">
        <is>
          <t>発</t>
        </is>
      </c>
      <c r="J7330" s="10" t="inlineStr">
        <is>
          <t>営業</t>
        </is>
      </c>
      <c r="L7330" t="inlineStr">
        <is>
          <t>16:46:40</t>
        </is>
      </c>
      <c r="M7330" t="inlineStr">
        <is>
          <t>16:46:50</t>
        </is>
      </c>
    </row>
    <row r="7331" ht="15" customHeight="1" s="37">
      <c r="A7331" t="n">
        <v>20</v>
      </c>
      <c r="B7331" s="10" t="inlineStr">
        <is>
          <t>平日</t>
        </is>
      </c>
      <c r="C7331" s="10" t="inlineStr">
        <is>
          <t>北野線</t>
        </is>
      </c>
      <c r="D7331" s="10" t="inlineStr">
        <is>
          <t>下り</t>
        </is>
      </c>
      <c r="E7331" t="inlineStr">
        <is>
          <t>1659</t>
        </is>
      </c>
      <c r="F7331" t="inlineStr">
        <is>
          <t>0453</t>
        </is>
      </c>
      <c r="G7331" s="10" t="inlineStr">
        <is>
          <t>御室仁和寺</t>
        </is>
      </c>
      <c r="H7331" s="10" t="inlineStr">
        <is>
          <t>発</t>
        </is>
      </c>
      <c r="J7331" s="10" t="inlineStr">
        <is>
          <t>営業</t>
        </is>
      </c>
      <c r="L7331" t="inlineStr">
        <is>
          <t>16:47:50</t>
        </is>
      </c>
      <c r="M7331" t="inlineStr">
        <is>
          <t>16:48:05</t>
        </is>
      </c>
    </row>
    <row r="7332" ht="15" customHeight="1" s="37">
      <c r="A7332" t="n">
        <v>20</v>
      </c>
      <c r="B7332" s="10" t="inlineStr">
        <is>
          <t>平日</t>
        </is>
      </c>
      <c r="C7332" s="10" t="inlineStr">
        <is>
          <t>北野線</t>
        </is>
      </c>
      <c r="D7332" s="10" t="inlineStr">
        <is>
          <t>下り</t>
        </is>
      </c>
      <c r="E7332" t="inlineStr">
        <is>
          <t>1659</t>
        </is>
      </c>
      <c r="F7332" t="inlineStr">
        <is>
          <t>0453</t>
        </is>
      </c>
      <c r="G7332" s="10" t="inlineStr">
        <is>
          <t>宇多野</t>
        </is>
      </c>
      <c r="H7332" s="10" t="inlineStr">
        <is>
          <t>発</t>
        </is>
      </c>
      <c r="J7332" s="10" t="inlineStr">
        <is>
          <t>営業</t>
        </is>
      </c>
      <c r="L7332" t="inlineStr">
        <is>
          <t>16:49:05</t>
        </is>
      </c>
      <c r="M7332" t="inlineStr">
        <is>
          <t>16:49:15</t>
        </is>
      </c>
    </row>
    <row r="7333" ht="15" customHeight="1" s="37">
      <c r="A7333" t="n">
        <v>20</v>
      </c>
      <c r="B7333" s="10" t="inlineStr">
        <is>
          <t>平日</t>
        </is>
      </c>
      <c r="C7333" s="10" t="inlineStr">
        <is>
          <t>北野線</t>
        </is>
      </c>
      <c r="D7333" s="10" t="inlineStr">
        <is>
          <t>下り</t>
        </is>
      </c>
      <c r="E7333" t="inlineStr">
        <is>
          <t>1659</t>
        </is>
      </c>
      <c r="F7333" t="inlineStr">
        <is>
          <t>0453</t>
        </is>
      </c>
      <c r="G7333" s="10" t="inlineStr">
        <is>
          <t>鳴滝</t>
        </is>
      </c>
      <c r="H7333" s="10" t="inlineStr">
        <is>
          <t>発</t>
        </is>
      </c>
      <c r="J7333" s="10" t="inlineStr">
        <is>
          <t>営業</t>
        </is>
      </c>
      <c r="L7333" t="inlineStr">
        <is>
          <t>16:50:35</t>
        </is>
      </c>
      <c r="M7333" t="inlineStr">
        <is>
          <t>16:50:45</t>
        </is>
      </c>
    </row>
    <row r="7334" ht="15" customHeight="1" s="37">
      <c r="A7334" t="n">
        <v>20</v>
      </c>
      <c r="B7334" s="10" t="inlineStr">
        <is>
          <t>平日</t>
        </is>
      </c>
      <c r="C7334" s="10" t="inlineStr">
        <is>
          <t>北野線</t>
        </is>
      </c>
      <c r="D7334" s="10" t="inlineStr">
        <is>
          <t>下り</t>
        </is>
      </c>
      <c r="E7334" t="inlineStr">
        <is>
          <t>1659</t>
        </is>
      </c>
      <c r="F7334" t="inlineStr">
        <is>
          <t>0453</t>
        </is>
      </c>
      <c r="G7334" s="10" t="inlineStr">
        <is>
          <t>常盤</t>
        </is>
      </c>
      <c r="H7334" s="10" t="inlineStr">
        <is>
          <t>発</t>
        </is>
      </c>
      <c r="J7334" s="10" t="inlineStr">
        <is>
          <t>営業</t>
        </is>
      </c>
      <c r="L7334" t="inlineStr">
        <is>
          <t>16:51:35</t>
        </is>
      </c>
      <c r="M7334" t="inlineStr">
        <is>
          <t>16:51:55</t>
        </is>
      </c>
    </row>
    <row r="7335" ht="15" customHeight="1" s="37">
      <c r="A7335" t="n">
        <v>20</v>
      </c>
      <c r="B7335" s="10" t="inlineStr">
        <is>
          <t>平日</t>
        </is>
      </c>
      <c r="C7335" s="10" t="inlineStr">
        <is>
          <t>北野線</t>
        </is>
      </c>
      <c r="D7335" s="10" t="inlineStr">
        <is>
          <t>下り</t>
        </is>
      </c>
      <c r="E7335" t="inlineStr">
        <is>
          <t>1659</t>
        </is>
      </c>
      <c r="F7335" t="inlineStr">
        <is>
          <t>0453</t>
        </is>
      </c>
      <c r="G7335" s="10" t="inlineStr">
        <is>
          <t>撮影所前</t>
        </is>
      </c>
      <c r="H7335" s="10" t="inlineStr">
        <is>
          <t>発</t>
        </is>
      </c>
      <c r="J7335" s="10" t="inlineStr">
        <is>
          <t>営業</t>
        </is>
      </c>
      <c r="L7335" t="inlineStr">
        <is>
          <t>16:53:15</t>
        </is>
      </c>
      <c r="M7335" t="inlineStr">
        <is>
          <t>16:53:30</t>
        </is>
      </c>
    </row>
    <row r="7336" ht="15" customHeight="1" s="37">
      <c r="A7336" t="n">
        <v>20</v>
      </c>
      <c r="B7336" s="10" t="inlineStr">
        <is>
          <t>平日</t>
        </is>
      </c>
      <c r="C7336" s="10" t="inlineStr">
        <is>
          <t>北野線</t>
        </is>
      </c>
      <c r="D7336" s="10" t="inlineStr">
        <is>
          <t>下り</t>
        </is>
      </c>
      <c r="E7336" t="inlineStr">
        <is>
          <t>1659</t>
        </is>
      </c>
      <c r="F7336" t="inlineStr">
        <is>
          <t>0453</t>
        </is>
      </c>
      <c r="G7336" s="10" t="inlineStr">
        <is>
          <t>帷子ノ辻</t>
        </is>
      </c>
      <c r="H7336" s="10" t="inlineStr">
        <is>
          <t>着</t>
        </is>
      </c>
      <c r="J7336" s="10" t="inlineStr">
        <is>
          <t>営業</t>
        </is>
      </c>
      <c r="L7336" t="inlineStr">
        <is>
          <t>16:54:25</t>
        </is>
      </c>
      <c r="Q7336" t="inlineStr">
        <is>
          <t>4</t>
        </is>
      </c>
    </row>
    <row r="7337" ht="15" customHeight="1" s="37">
      <c r="A7337" t="n">
        <v>20</v>
      </c>
      <c r="B7337" s="10" t="inlineStr">
        <is>
          <t>平日</t>
        </is>
      </c>
      <c r="C7337" s="10" t="inlineStr">
        <is>
          <t>北野線</t>
        </is>
      </c>
      <c r="D7337" s="10" t="inlineStr">
        <is>
          <t>上り</t>
        </is>
      </c>
      <c r="E7337" t="inlineStr">
        <is>
          <t>1752</t>
        </is>
      </c>
      <c r="F7337" t="inlineStr">
        <is>
          <t>0354</t>
        </is>
      </c>
      <c r="G7337" s="10" t="inlineStr">
        <is>
          <t>帷子ノ辻</t>
        </is>
      </c>
      <c r="H7337" s="10" t="inlineStr">
        <is>
          <t>発</t>
        </is>
      </c>
      <c r="J7337" s="10" t="inlineStr">
        <is>
          <t>営業</t>
        </is>
      </c>
      <c r="M7337" t="inlineStr">
        <is>
          <t>17:06:25</t>
        </is>
      </c>
      <c r="Q7337" t="inlineStr">
        <is>
          <t>4</t>
        </is>
      </c>
    </row>
    <row r="7338" ht="15" customHeight="1" s="37">
      <c r="A7338" t="n">
        <v>20</v>
      </c>
      <c r="B7338" s="10" t="inlineStr">
        <is>
          <t>平日</t>
        </is>
      </c>
      <c r="C7338" s="10" t="inlineStr">
        <is>
          <t>北野線</t>
        </is>
      </c>
      <c r="D7338" s="10" t="inlineStr">
        <is>
          <t>上り</t>
        </is>
      </c>
      <c r="E7338" t="inlineStr">
        <is>
          <t>1752</t>
        </is>
      </c>
      <c r="F7338" t="inlineStr">
        <is>
          <t>0354</t>
        </is>
      </c>
      <c r="G7338" s="10" t="inlineStr">
        <is>
          <t>撮影所前</t>
        </is>
      </c>
      <c r="H7338" s="10" t="inlineStr">
        <is>
          <t>発</t>
        </is>
      </c>
      <c r="J7338" s="10" t="inlineStr">
        <is>
          <t>営業</t>
        </is>
      </c>
      <c r="L7338" t="inlineStr">
        <is>
          <t>17:07:25</t>
        </is>
      </c>
      <c r="M7338" t="inlineStr">
        <is>
          <t>17:07:40</t>
        </is>
      </c>
    </row>
    <row r="7339" ht="15" customHeight="1" s="37">
      <c r="A7339" t="n">
        <v>20</v>
      </c>
      <c r="B7339" s="10" t="inlineStr">
        <is>
          <t>平日</t>
        </is>
      </c>
      <c r="C7339" s="10" t="inlineStr">
        <is>
          <t>北野線</t>
        </is>
      </c>
      <c r="D7339" s="10" t="inlineStr">
        <is>
          <t>上り</t>
        </is>
      </c>
      <c r="E7339" t="inlineStr">
        <is>
          <t>1752</t>
        </is>
      </c>
      <c r="F7339" t="inlineStr">
        <is>
          <t>0354</t>
        </is>
      </c>
      <c r="G7339" s="10" t="inlineStr">
        <is>
          <t>常盤</t>
        </is>
      </c>
      <c r="H7339" s="10" t="inlineStr">
        <is>
          <t>発</t>
        </is>
      </c>
      <c r="J7339" s="10" t="inlineStr">
        <is>
          <t>営業</t>
        </is>
      </c>
      <c r="L7339" t="inlineStr">
        <is>
          <t>17:09:00</t>
        </is>
      </c>
      <c r="M7339" t="inlineStr">
        <is>
          <t>17:09:20</t>
        </is>
      </c>
    </row>
    <row r="7340" ht="15" customHeight="1" s="37">
      <c r="A7340" t="n">
        <v>20</v>
      </c>
      <c r="B7340" s="10" t="inlineStr">
        <is>
          <t>平日</t>
        </is>
      </c>
      <c r="C7340" s="10" t="inlineStr">
        <is>
          <t>北野線</t>
        </is>
      </c>
      <c r="D7340" s="10" t="inlineStr">
        <is>
          <t>上り</t>
        </is>
      </c>
      <c r="E7340" t="inlineStr">
        <is>
          <t>1752</t>
        </is>
      </c>
      <c r="F7340" t="inlineStr">
        <is>
          <t>0354</t>
        </is>
      </c>
      <c r="G7340" s="10" t="inlineStr">
        <is>
          <t>鳴滝</t>
        </is>
      </c>
      <c r="H7340" s="10" t="inlineStr">
        <is>
          <t>発</t>
        </is>
      </c>
      <c r="J7340" s="10" t="inlineStr">
        <is>
          <t>営業</t>
        </is>
      </c>
      <c r="L7340" t="inlineStr">
        <is>
          <t>17:10:20</t>
        </is>
      </c>
      <c r="M7340" t="inlineStr">
        <is>
          <t>17:10:40</t>
        </is>
      </c>
    </row>
    <row r="7341" ht="15" customHeight="1" s="37">
      <c r="A7341" t="n">
        <v>20</v>
      </c>
      <c r="B7341" s="10" t="inlineStr">
        <is>
          <t>平日</t>
        </is>
      </c>
      <c r="C7341" s="10" t="inlineStr">
        <is>
          <t>北野線</t>
        </is>
      </c>
      <c r="D7341" s="10" t="inlineStr">
        <is>
          <t>上り</t>
        </is>
      </c>
      <c r="E7341" t="inlineStr">
        <is>
          <t>1752</t>
        </is>
      </c>
      <c r="F7341" t="inlineStr">
        <is>
          <t>0354</t>
        </is>
      </c>
      <c r="G7341" s="10" t="inlineStr">
        <is>
          <t>宇多野</t>
        </is>
      </c>
      <c r="H7341" s="10" t="inlineStr">
        <is>
          <t>発</t>
        </is>
      </c>
      <c r="J7341" s="10" t="inlineStr">
        <is>
          <t>営業</t>
        </is>
      </c>
      <c r="L7341" t="inlineStr">
        <is>
          <t>17:12:00</t>
        </is>
      </c>
      <c r="M7341" t="inlineStr">
        <is>
          <t>17:12:15</t>
        </is>
      </c>
    </row>
    <row r="7342" ht="15" customHeight="1" s="37">
      <c r="A7342" t="n">
        <v>20</v>
      </c>
      <c r="B7342" s="10" t="inlineStr">
        <is>
          <t>平日</t>
        </is>
      </c>
      <c r="C7342" s="10" t="inlineStr">
        <is>
          <t>北野線</t>
        </is>
      </c>
      <c r="D7342" s="10" t="inlineStr">
        <is>
          <t>上り</t>
        </is>
      </c>
      <c r="E7342" t="inlineStr">
        <is>
          <t>1752</t>
        </is>
      </c>
      <c r="F7342" t="inlineStr">
        <is>
          <t>0354</t>
        </is>
      </c>
      <c r="G7342" s="10" t="inlineStr">
        <is>
          <t>御室仁和寺</t>
        </is>
      </c>
      <c r="H7342" s="10" t="inlineStr">
        <is>
          <t>発</t>
        </is>
      </c>
      <c r="J7342" s="10" t="inlineStr">
        <is>
          <t>営業</t>
        </is>
      </c>
      <c r="L7342" t="inlineStr">
        <is>
          <t>17:13:15</t>
        </is>
      </c>
      <c r="M7342" t="inlineStr">
        <is>
          <t>17:13:35</t>
        </is>
      </c>
    </row>
    <row r="7343" ht="15" customHeight="1" s="37">
      <c r="A7343" t="n">
        <v>20</v>
      </c>
      <c r="B7343" s="10" t="inlineStr">
        <is>
          <t>平日</t>
        </is>
      </c>
      <c r="C7343" s="10" t="inlineStr">
        <is>
          <t>北野線</t>
        </is>
      </c>
      <c r="D7343" s="10" t="inlineStr">
        <is>
          <t>上り</t>
        </is>
      </c>
      <c r="E7343" t="inlineStr">
        <is>
          <t>1752</t>
        </is>
      </c>
      <c r="F7343" t="inlineStr">
        <is>
          <t>0354</t>
        </is>
      </c>
      <c r="G7343" s="10" t="inlineStr">
        <is>
          <t>妙心寺</t>
        </is>
      </c>
      <c r="H7343" s="10" t="inlineStr">
        <is>
          <t>発</t>
        </is>
      </c>
      <c r="J7343" s="10" t="inlineStr">
        <is>
          <t>営業</t>
        </is>
      </c>
      <c r="L7343" t="inlineStr">
        <is>
          <t>17:14:35</t>
        </is>
      </c>
      <c r="M7343" t="inlineStr">
        <is>
          <t>17:14:50</t>
        </is>
      </c>
    </row>
    <row r="7344" ht="15" customHeight="1" s="37">
      <c r="A7344" t="n">
        <v>20</v>
      </c>
      <c r="B7344" s="10" t="inlineStr">
        <is>
          <t>平日</t>
        </is>
      </c>
      <c r="C7344" s="10" t="inlineStr">
        <is>
          <t>北野線</t>
        </is>
      </c>
      <c r="D7344" s="10" t="inlineStr">
        <is>
          <t>上り</t>
        </is>
      </c>
      <c r="E7344" t="inlineStr">
        <is>
          <t>1752</t>
        </is>
      </c>
      <c r="F7344" t="inlineStr">
        <is>
          <t>0354</t>
        </is>
      </c>
      <c r="G7344" s="10" t="inlineStr">
        <is>
          <t>龍安寺</t>
        </is>
      </c>
      <c r="H7344" s="10" t="inlineStr">
        <is>
          <t>発</t>
        </is>
      </c>
      <c r="J7344" s="10" t="inlineStr">
        <is>
          <t>営業</t>
        </is>
      </c>
      <c r="L7344" t="inlineStr">
        <is>
          <t>17:15:45</t>
        </is>
      </c>
      <c r="M7344" t="inlineStr">
        <is>
          <t>17:15:55</t>
        </is>
      </c>
    </row>
    <row r="7345" ht="15" customHeight="1" s="37">
      <c r="A7345" t="n">
        <v>20</v>
      </c>
      <c r="B7345" s="10" t="inlineStr">
        <is>
          <t>平日</t>
        </is>
      </c>
      <c r="C7345" s="10" t="inlineStr">
        <is>
          <t>北野線</t>
        </is>
      </c>
      <c r="D7345" s="10" t="inlineStr">
        <is>
          <t>上り</t>
        </is>
      </c>
      <c r="E7345" t="inlineStr">
        <is>
          <t>1752</t>
        </is>
      </c>
      <c r="F7345" t="inlineStr">
        <is>
          <t>0354</t>
        </is>
      </c>
      <c r="G7345" s="10" t="inlineStr">
        <is>
          <t>等持院</t>
        </is>
      </c>
      <c r="H7345" s="10" t="inlineStr">
        <is>
          <t>発</t>
        </is>
      </c>
      <c r="J7345" s="10" t="inlineStr">
        <is>
          <t>営業</t>
        </is>
      </c>
      <c r="L7345" t="inlineStr">
        <is>
          <t>17:16:35</t>
        </is>
      </c>
      <c r="M7345" t="inlineStr">
        <is>
          <t>17:16:55</t>
        </is>
      </c>
    </row>
    <row r="7346" ht="15" customHeight="1" s="37">
      <c r="A7346" t="n">
        <v>20</v>
      </c>
      <c r="B7346" s="10" t="inlineStr">
        <is>
          <t>平日</t>
        </is>
      </c>
      <c r="C7346" s="10" t="inlineStr">
        <is>
          <t>北野線</t>
        </is>
      </c>
      <c r="D7346" s="10" t="inlineStr">
        <is>
          <t>上り</t>
        </is>
      </c>
      <c r="E7346" t="inlineStr">
        <is>
          <t>1752</t>
        </is>
      </c>
      <c r="F7346" t="inlineStr">
        <is>
          <t>0354</t>
        </is>
      </c>
      <c r="G7346" s="10" t="inlineStr">
        <is>
          <t>北野白梅町</t>
        </is>
      </c>
      <c r="H7346" s="10" t="inlineStr">
        <is>
          <t>着</t>
        </is>
      </c>
      <c r="J7346" s="10" t="inlineStr">
        <is>
          <t>営業</t>
        </is>
      </c>
      <c r="L7346" t="inlineStr">
        <is>
          <t>17:18:15</t>
        </is>
      </c>
      <c r="Q7346" t="inlineStr">
        <is>
          <t>1</t>
        </is>
      </c>
    </row>
    <row r="7347" ht="15" customHeight="1" s="37">
      <c r="A7347" t="n">
        <v>20</v>
      </c>
      <c r="B7347" s="10" t="inlineStr">
        <is>
          <t>平日</t>
        </is>
      </c>
      <c r="C7347" s="10" t="inlineStr">
        <is>
          <t>北野線</t>
        </is>
      </c>
      <c r="D7347" s="10" t="inlineStr">
        <is>
          <t>下り</t>
        </is>
      </c>
      <c r="E7347" t="inlineStr">
        <is>
          <t>1755</t>
        </is>
      </c>
      <c r="F7347" t="inlineStr">
        <is>
          <t>0453</t>
        </is>
      </c>
      <c r="G7347" s="10" t="inlineStr">
        <is>
          <t>北野白梅町</t>
        </is>
      </c>
      <c r="H7347" s="10" t="inlineStr">
        <is>
          <t>発</t>
        </is>
      </c>
      <c r="J7347" s="10" t="inlineStr">
        <is>
          <t>営業</t>
        </is>
      </c>
      <c r="M7347" t="inlineStr">
        <is>
          <t>17:23:00</t>
        </is>
      </c>
      <c r="Q7347" t="inlineStr">
        <is>
          <t>1</t>
        </is>
      </c>
    </row>
    <row r="7348" ht="15" customHeight="1" s="37">
      <c r="A7348" t="n">
        <v>20</v>
      </c>
      <c r="B7348" s="10" t="inlineStr">
        <is>
          <t>平日</t>
        </is>
      </c>
      <c r="C7348" s="10" t="inlineStr">
        <is>
          <t>北野線</t>
        </is>
      </c>
      <c r="D7348" s="10" t="inlineStr">
        <is>
          <t>下り</t>
        </is>
      </c>
      <c r="E7348" t="inlineStr">
        <is>
          <t>1755</t>
        </is>
      </c>
      <c r="F7348" t="inlineStr">
        <is>
          <t>0453</t>
        </is>
      </c>
      <c r="G7348" s="10" t="inlineStr">
        <is>
          <t>等持院</t>
        </is>
      </c>
      <c r="H7348" s="10" t="inlineStr">
        <is>
          <t>発</t>
        </is>
      </c>
      <c r="J7348" s="10" t="inlineStr">
        <is>
          <t>営業</t>
        </is>
      </c>
      <c r="L7348" t="inlineStr">
        <is>
          <t>17:24:25</t>
        </is>
      </c>
      <c r="M7348" t="inlineStr">
        <is>
          <t>17:24:35</t>
        </is>
      </c>
    </row>
    <row r="7349" ht="15" customHeight="1" s="37">
      <c r="A7349" t="n">
        <v>20</v>
      </c>
      <c r="B7349" s="10" t="inlineStr">
        <is>
          <t>平日</t>
        </is>
      </c>
      <c r="C7349" s="10" t="inlineStr">
        <is>
          <t>北野線</t>
        </is>
      </c>
      <c r="D7349" s="10" t="inlineStr">
        <is>
          <t>下り</t>
        </is>
      </c>
      <c r="E7349" t="inlineStr">
        <is>
          <t>1755</t>
        </is>
      </c>
      <c r="F7349" t="inlineStr">
        <is>
          <t>0453</t>
        </is>
      </c>
      <c r="G7349" s="10" t="inlineStr">
        <is>
          <t>龍安寺</t>
        </is>
      </c>
      <c r="H7349" s="10" t="inlineStr">
        <is>
          <t>発</t>
        </is>
      </c>
      <c r="J7349" s="10" t="inlineStr">
        <is>
          <t>営業</t>
        </is>
      </c>
      <c r="L7349" t="inlineStr">
        <is>
          <t>17:25:25</t>
        </is>
      </c>
      <c r="M7349" t="inlineStr">
        <is>
          <t>17:25:50</t>
        </is>
      </c>
    </row>
    <row r="7350" ht="15" customHeight="1" s="37">
      <c r="A7350" t="n">
        <v>20</v>
      </c>
      <c r="B7350" s="10" t="inlineStr">
        <is>
          <t>平日</t>
        </is>
      </c>
      <c r="C7350" s="10" t="inlineStr">
        <is>
          <t>北野線</t>
        </is>
      </c>
      <c r="D7350" s="10" t="inlineStr">
        <is>
          <t>下り</t>
        </is>
      </c>
      <c r="E7350" t="inlineStr">
        <is>
          <t>1755</t>
        </is>
      </c>
      <c r="F7350" t="inlineStr">
        <is>
          <t>0453</t>
        </is>
      </c>
      <c r="G7350" s="10" t="inlineStr">
        <is>
          <t>妙心寺</t>
        </is>
      </c>
      <c r="H7350" s="10" t="inlineStr">
        <is>
          <t>発</t>
        </is>
      </c>
      <c r="J7350" s="10" t="inlineStr">
        <is>
          <t>営業</t>
        </is>
      </c>
      <c r="L7350" t="inlineStr">
        <is>
          <t>17:26:40</t>
        </is>
      </c>
      <c r="M7350" t="inlineStr">
        <is>
          <t>17:26:50</t>
        </is>
      </c>
    </row>
    <row r="7351" ht="15" customHeight="1" s="37">
      <c r="A7351" t="n">
        <v>20</v>
      </c>
      <c r="B7351" s="10" t="inlineStr">
        <is>
          <t>平日</t>
        </is>
      </c>
      <c r="C7351" s="10" t="inlineStr">
        <is>
          <t>北野線</t>
        </is>
      </c>
      <c r="D7351" s="10" t="inlineStr">
        <is>
          <t>下り</t>
        </is>
      </c>
      <c r="E7351" t="inlineStr">
        <is>
          <t>1755</t>
        </is>
      </c>
      <c r="F7351" t="inlineStr">
        <is>
          <t>0453</t>
        </is>
      </c>
      <c r="G7351" s="10" t="inlineStr">
        <is>
          <t>御室仁和寺</t>
        </is>
      </c>
      <c r="H7351" s="10" t="inlineStr">
        <is>
          <t>発</t>
        </is>
      </c>
      <c r="J7351" s="10" t="inlineStr">
        <is>
          <t>営業</t>
        </is>
      </c>
      <c r="L7351" t="inlineStr">
        <is>
          <t>17:27:50</t>
        </is>
      </c>
      <c r="M7351" t="inlineStr">
        <is>
          <t>17:28:05</t>
        </is>
      </c>
    </row>
    <row r="7352" ht="15" customHeight="1" s="37">
      <c r="A7352" t="n">
        <v>20</v>
      </c>
      <c r="B7352" s="10" t="inlineStr">
        <is>
          <t>平日</t>
        </is>
      </c>
      <c r="C7352" s="10" t="inlineStr">
        <is>
          <t>北野線</t>
        </is>
      </c>
      <c r="D7352" s="10" t="inlineStr">
        <is>
          <t>下り</t>
        </is>
      </c>
      <c r="E7352" t="inlineStr">
        <is>
          <t>1755</t>
        </is>
      </c>
      <c r="F7352" t="inlineStr">
        <is>
          <t>0453</t>
        </is>
      </c>
      <c r="G7352" s="10" t="inlineStr">
        <is>
          <t>宇多野</t>
        </is>
      </c>
      <c r="H7352" s="10" t="inlineStr">
        <is>
          <t>発</t>
        </is>
      </c>
      <c r="J7352" s="10" t="inlineStr">
        <is>
          <t>営業</t>
        </is>
      </c>
      <c r="L7352" t="inlineStr">
        <is>
          <t>17:29:05</t>
        </is>
      </c>
      <c r="M7352" t="inlineStr">
        <is>
          <t>17:29:15</t>
        </is>
      </c>
    </row>
    <row r="7353" ht="15" customHeight="1" s="37">
      <c r="A7353" t="n">
        <v>20</v>
      </c>
      <c r="B7353" s="10" t="inlineStr">
        <is>
          <t>平日</t>
        </is>
      </c>
      <c r="C7353" s="10" t="inlineStr">
        <is>
          <t>北野線</t>
        </is>
      </c>
      <c r="D7353" s="10" t="inlineStr">
        <is>
          <t>下り</t>
        </is>
      </c>
      <c r="E7353" t="inlineStr">
        <is>
          <t>1755</t>
        </is>
      </c>
      <c r="F7353" t="inlineStr">
        <is>
          <t>0453</t>
        </is>
      </c>
      <c r="G7353" s="10" t="inlineStr">
        <is>
          <t>鳴滝</t>
        </is>
      </c>
      <c r="H7353" s="10" t="inlineStr">
        <is>
          <t>発</t>
        </is>
      </c>
      <c r="J7353" s="10" t="inlineStr">
        <is>
          <t>営業</t>
        </is>
      </c>
      <c r="L7353" t="inlineStr">
        <is>
          <t>17:30:35</t>
        </is>
      </c>
      <c r="M7353" t="inlineStr">
        <is>
          <t>17:30:45</t>
        </is>
      </c>
    </row>
    <row r="7354" ht="15" customHeight="1" s="37">
      <c r="A7354" t="n">
        <v>20</v>
      </c>
      <c r="B7354" s="10" t="inlineStr">
        <is>
          <t>平日</t>
        </is>
      </c>
      <c r="C7354" s="10" t="inlineStr">
        <is>
          <t>北野線</t>
        </is>
      </c>
      <c r="D7354" s="10" t="inlineStr">
        <is>
          <t>下り</t>
        </is>
      </c>
      <c r="E7354" t="inlineStr">
        <is>
          <t>1755</t>
        </is>
      </c>
      <c r="F7354" t="inlineStr">
        <is>
          <t>0453</t>
        </is>
      </c>
      <c r="G7354" s="10" t="inlineStr">
        <is>
          <t>常盤</t>
        </is>
      </c>
      <c r="H7354" s="10" t="inlineStr">
        <is>
          <t>発</t>
        </is>
      </c>
      <c r="J7354" s="10" t="inlineStr">
        <is>
          <t>営業</t>
        </is>
      </c>
      <c r="L7354" t="inlineStr">
        <is>
          <t>17:31:35</t>
        </is>
      </c>
      <c r="M7354" t="inlineStr">
        <is>
          <t>17:31:55</t>
        </is>
      </c>
    </row>
    <row r="7355" ht="15" customHeight="1" s="37">
      <c r="A7355" t="n">
        <v>20</v>
      </c>
      <c r="B7355" s="10" t="inlineStr">
        <is>
          <t>平日</t>
        </is>
      </c>
      <c r="C7355" s="10" t="inlineStr">
        <is>
          <t>北野線</t>
        </is>
      </c>
      <c r="D7355" s="10" t="inlineStr">
        <is>
          <t>下り</t>
        </is>
      </c>
      <c r="E7355" t="inlineStr">
        <is>
          <t>1755</t>
        </is>
      </c>
      <c r="F7355" t="inlineStr">
        <is>
          <t>0453</t>
        </is>
      </c>
      <c r="G7355" s="10" t="inlineStr">
        <is>
          <t>撮影所前</t>
        </is>
      </c>
      <c r="H7355" s="10" t="inlineStr">
        <is>
          <t>発</t>
        </is>
      </c>
      <c r="J7355" s="10" t="inlineStr">
        <is>
          <t>営業</t>
        </is>
      </c>
      <c r="L7355" t="inlineStr">
        <is>
          <t>17:33:15</t>
        </is>
      </c>
      <c r="M7355" t="inlineStr">
        <is>
          <t>17:33:30</t>
        </is>
      </c>
    </row>
    <row r="7356" ht="15" customHeight="1" s="37">
      <c r="A7356" t="n">
        <v>20</v>
      </c>
      <c r="B7356" s="10" t="inlineStr">
        <is>
          <t>平日</t>
        </is>
      </c>
      <c r="C7356" s="10" t="inlineStr">
        <is>
          <t>北野線</t>
        </is>
      </c>
      <c r="D7356" s="10" t="inlineStr">
        <is>
          <t>下り</t>
        </is>
      </c>
      <c r="E7356" t="inlineStr">
        <is>
          <t>1755</t>
        </is>
      </c>
      <c r="F7356" t="inlineStr">
        <is>
          <t>0453</t>
        </is>
      </c>
      <c r="G7356" s="10" t="inlineStr">
        <is>
          <t>帷子ノ辻</t>
        </is>
      </c>
      <c r="H7356" s="10" t="inlineStr">
        <is>
          <t>着</t>
        </is>
      </c>
      <c r="J7356" s="10" t="inlineStr">
        <is>
          <t>営業</t>
        </is>
      </c>
      <c r="L7356" t="inlineStr">
        <is>
          <t>17:34:25</t>
        </is>
      </c>
      <c r="Q7356" t="inlineStr">
        <is>
          <t>4</t>
        </is>
      </c>
    </row>
    <row r="7357" ht="15" customHeight="1" s="37">
      <c r="A7357" t="n">
        <v>20</v>
      </c>
      <c r="B7357" s="10" t="inlineStr">
        <is>
          <t>平日</t>
        </is>
      </c>
      <c r="C7357" s="10" t="inlineStr">
        <is>
          <t>北野線</t>
        </is>
      </c>
      <c r="D7357" s="10" t="inlineStr">
        <is>
          <t>上り</t>
        </is>
      </c>
      <c r="E7357" t="inlineStr">
        <is>
          <t>1760</t>
        </is>
      </c>
      <c r="F7357" t="inlineStr">
        <is>
          <t>0354</t>
        </is>
      </c>
      <c r="G7357" s="10" t="inlineStr">
        <is>
          <t>帷子ノ辻</t>
        </is>
      </c>
      <c r="H7357" s="10" t="inlineStr">
        <is>
          <t>発</t>
        </is>
      </c>
      <c r="J7357" s="10" t="inlineStr">
        <is>
          <t>営業</t>
        </is>
      </c>
      <c r="M7357" t="inlineStr">
        <is>
          <t>17:46:25</t>
        </is>
      </c>
      <c r="Q7357" t="inlineStr">
        <is>
          <t>4</t>
        </is>
      </c>
    </row>
    <row r="7358" ht="15" customHeight="1" s="37">
      <c r="A7358" t="n">
        <v>20</v>
      </c>
      <c r="B7358" s="10" t="inlineStr">
        <is>
          <t>平日</t>
        </is>
      </c>
      <c r="C7358" s="10" t="inlineStr">
        <is>
          <t>北野線</t>
        </is>
      </c>
      <c r="D7358" s="10" t="inlineStr">
        <is>
          <t>上り</t>
        </is>
      </c>
      <c r="E7358" t="inlineStr">
        <is>
          <t>1760</t>
        </is>
      </c>
      <c r="F7358" t="inlineStr">
        <is>
          <t>0354</t>
        </is>
      </c>
      <c r="G7358" s="10" t="inlineStr">
        <is>
          <t>撮影所前</t>
        </is>
      </c>
      <c r="H7358" s="10" t="inlineStr">
        <is>
          <t>発</t>
        </is>
      </c>
      <c r="J7358" s="10" t="inlineStr">
        <is>
          <t>営業</t>
        </is>
      </c>
      <c r="L7358" t="inlineStr">
        <is>
          <t>17:47:25</t>
        </is>
      </c>
      <c r="M7358" t="inlineStr">
        <is>
          <t>17:47:40</t>
        </is>
      </c>
    </row>
    <row r="7359" ht="15" customHeight="1" s="37">
      <c r="A7359" t="n">
        <v>20</v>
      </c>
      <c r="B7359" s="10" t="inlineStr">
        <is>
          <t>平日</t>
        </is>
      </c>
      <c r="C7359" s="10" t="inlineStr">
        <is>
          <t>北野線</t>
        </is>
      </c>
      <c r="D7359" s="10" t="inlineStr">
        <is>
          <t>上り</t>
        </is>
      </c>
      <c r="E7359" t="inlineStr">
        <is>
          <t>1760</t>
        </is>
      </c>
      <c r="F7359" t="inlineStr">
        <is>
          <t>0354</t>
        </is>
      </c>
      <c r="G7359" s="10" t="inlineStr">
        <is>
          <t>常盤</t>
        </is>
      </c>
      <c r="H7359" s="10" t="inlineStr">
        <is>
          <t>発</t>
        </is>
      </c>
      <c r="J7359" s="10" t="inlineStr">
        <is>
          <t>営業</t>
        </is>
      </c>
      <c r="L7359" t="inlineStr">
        <is>
          <t>17:49:00</t>
        </is>
      </c>
      <c r="M7359" t="inlineStr">
        <is>
          <t>17:49:20</t>
        </is>
      </c>
    </row>
    <row r="7360" ht="15" customHeight="1" s="37">
      <c r="A7360" t="n">
        <v>20</v>
      </c>
      <c r="B7360" s="10" t="inlineStr">
        <is>
          <t>平日</t>
        </is>
      </c>
      <c r="C7360" s="10" t="inlineStr">
        <is>
          <t>北野線</t>
        </is>
      </c>
      <c r="D7360" s="10" t="inlineStr">
        <is>
          <t>上り</t>
        </is>
      </c>
      <c r="E7360" t="inlineStr">
        <is>
          <t>1760</t>
        </is>
      </c>
      <c r="F7360" t="inlineStr">
        <is>
          <t>0354</t>
        </is>
      </c>
      <c r="G7360" s="10" t="inlineStr">
        <is>
          <t>鳴滝</t>
        </is>
      </c>
      <c r="H7360" s="10" t="inlineStr">
        <is>
          <t>発</t>
        </is>
      </c>
      <c r="J7360" s="10" t="inlineStr">
        <is>
          <t>営業</t>
        </is>
      </c>
      <c r="L7360" t="inlineStr">
        <is>
          <t>17:50:20</t>
        </is>
      </c>
      <c r="M7360" t="inlineStr">
        <is>
          <t>17:50:40</t>
        </is>
      </c>
    </row>
    <row r="7361" ht="15" customHeight="1" s="37">
      <c r="A7361" t="n">
        <v>20</v>
      </c>
      <c r="B7361" s="10" t="inlineStr">
        <is>
          <t>平日</t>
        </is>
      </c>
      <c r="C7361" s="10" t="inlineStr">
        <is>
          <t>北野線</t>
        </is>
      </c>
      <c r="D7361" s="10" t="inlineStr">
        <is>
          <t>上り</t>
        </is>
      </c>
      <c r="E7361" t="inlineStr">
        <is>
          <t>1760</t>
        </is>
      </c>
      <c r="F7361" t="inlineStr">
        <is>
          <t>0354</t>
        </is>
      </c>
      <c r="G7361" s="10" t="inlineStr">
        <is>
          <t>宇多野</t>
        </is>
      </c>
      <c r="H7361" s="10" t="inlineStr">
        <is>
          <t>発</t>
        </is>
      </c>
      <c r="J7361" s="10" t="inlineStr">
        <is>
          <t>営業</t>
        </is>
      </c>
      <c r="L7361" t="inlineStr">
        <is>
          <t>17:52:00</t>
        </is>
      </c>
      <c r="M7361" t="inlineStr">
        <is>
          <t>17:52:15</t>
        </is>
      </c>
    </row>
    <row r="7362" ht="15" customHeight="1" s="37">
      <c r="A7362" t="n">
        <v>20</v>
      </c>
      <c r="B7362" s="10" t="inlineStr">
        <is>
          <t>平日</t>
        </is>
      </c>
      <c r="C7362" s="10" t="inlineStr">
        <is>
          <t>北野線</t>
        </is>
      </c>
      <c r="D7362" s="10" t="inlineStr">
        <is>
          <t>上り</t>
        </is>
      </c>
      <c r="E7362" t="inlineStr">
        <is>
          <t>1760</t>
        </is>
      </c>
      <c r="F7362" t="inlineStr">
        <is>
          <t>0354</t>
        </is>
      </c>
      <c r="G7362" s="10" t="inlineStr">
        <is>
          <t>御室仁和寺</t>
        </is>
      </c>
      <c r="H7362" s="10" t="inlineStr">
        <is>
          <t>発</t>
        </is>
      </c>
      <c r="J7362" s="10" t="inlineStr">
        <is>
          <t>営業</t>
        </is>
      </c>
      <c r="L7362" t="inlineStr">
        <is>
          <t>17:53:15</t>
        </is>
      </c>
      <c r="M7362" t="inlineStr">
        <is>
          <t>17:53:35</t>
        </is>
      </c>
    </row>
    <row r="7363" ht="15" customHeight="1" s="37">
      <c r="A7363" t="n">
        <v>20</v>
      </c>
      <c r="B7363" s="10" t="inlineStr">
        <is>
          <t>平日</t>
        </is>
      </c>
      <c r="C7363" s="10" t="inlineStr">
        <is>
          <t>北野線</t>
        </is>
      </c>
      <c r="D7363" s="10" t="inlineStr">
        <is>
          <t>上り</t>
        </is>
      </c>
      <c r="E7363" t="inlineStr">
        <is>
          <t>1760</t>
        </is>
      </c>
      <c r="F7363" t="inlineStr">
        <is>
          <t>0354</t>
        </is>
      </c>
      <c r="G7363" s="10" t="inlineStr">
        <is>
          <t>妙心寺</t>
        </is>
      </c>
      <c r="H7363" s="10" t="inlineStr">
        <is>
          <t>発</t>
        </is>
      </c>
      <c r="J7363" s="10" t="inlineStr">
        <is>
          <t>営業</t>
        </is>
      </c>
      <c r="L7363" t="inlineStr">
        <is>
          <t>17:54:35</t>
        </is>
      </c>
      <c r="M7363" t="inlineStr">
        <is>
          <t>17:54:50</t>
        </is>
      </c>
    </row>
    <row r="7364" ht="15" customHeight="1" s="37">
      <c r="A7364" t="n">
        <v>20</v>
      </c>
      <c r="B7364" s="10" t="inlineStr">
        <is>
          <t>平日</t>
        </is>
      </c>
      <c r="C7364" s="10" t="inlineStr">
        <is>
          <t>北野線</t>
        </is>
      </c>
      <c r="D7364" s="10" t="inlineStr">
        <is>
          <t>上り</t>
        </is>
      </c>
      <c r="E7364" t="inlineStr">
        <is>
          <t>1760</t>
        </is>
      </c>
      <c r="F7364" t="inlineStr">
        <is>
          <t>0354</t>
        </is>
      </c>
      <c r="G7364" s="10" t="inlineStr">
        <is>
          <t>龍安寺</t>
        </is>
      </c>
      <c r="H7364" s="10" t="inlineStr">
        <is>
          <t>発</t>
        </is>
      </c>
      <c r="J7364" s="10" t="inlineStr">
        <is>
          <t>営業</t>
        </is>
      </c>
      <c r="L7364" t="inlineStr">
        <is>
          <t>17:55:45</t>
        </is>
      </c>
      <c r="M7364" t="inlineStr">
        <is>
          <t>17:55:55</t>
        </is>
      </c>
    </row>
    <row r="7365" ht="15" customHeight="1" s="37">
      <c r="A7365" t="n">
        <v>20</v>
      </c>
      <c r="B7365" s="10" t="inlineStr">
        <is>
          <t>平日</t>
        </is>
      </c>
      <c r="C7365" s="10" t="inlineStr">
        <is>
          <t>北野線</t>
        </is>
      </c>
      <c r="D7365" s="10" t="inlineStr">
        <is>
          <t>上り</t>
        </is>
      </c>
      <c r="E7365" t="inlineStr">
        <is>
          <t>1760</t>
        </is>
      </c>
      <c r="F7365" t="inlineStr">
        <is>
          <t>0354</t>
        </is>
      </c>
      <c r="G7365" s="10" t="inlineStr">
        <is>
          <t>等持院</t>
        </is>
      </c>
      <c r="H7365" s="10" t="inlineStr">
        <is>
          <t>発</t>
        </is>
      </c>
      <c r="J7365" s="10" t="inlineStr">
        <is>
          <t>営業</t>
        </is>
      </c>
      <c r="L7365" t="inlineStr">
        <is>
          <t>17:56:35</t>
        </is>
      </c>
      <c r="M7365" t="inlineStr">
        <is>
          <t>17:56:55</t>
        </is>
      </c>
    </row>
    <row r="7366" ht="15" customHeight="1" s="37">
      <c r="A7366" t="n">
        <v>20</v>
      </c>
      <c r="B7366" s="10" t="inlineStr">
        <is>
          <t>平日</t>
        </is>
      </c>
      <c r="C7366" s="10" t="inlineStr">
        <is>
          <t>北野線</t>
        </is>
      </c>
      <c r="D7366" s="10" t="inlineStr">
        <is>
          <t>上り</t>
        </is>
      </c>
      <c r="E7366" t="inlineStr">
        <is>
          <t>1760</t>
        </is>
      </c>
      <c r="F7366" t="inlineStr">
        <is>
          <t>0354</t>
        </is>
      </c>
      <c r="G7366" s="10" t="inlineStr">
        <is>
          <t>北野白梅町</t>
        </is>
      </c>
      <c r="H7366" s="10" t="inlineStr">
        <is>
          <t>着</t>
        </is>
      </c>
      <c r="J7366" s="10" t="inlineStr">
        <is>
          <t>営業</t>
        </is>
      </c>
      <c r="L7366" t="inlineStr">
        <is>
          <t>17:58:15</t>
        </is>
      </c>
      <c r="Q7366" t="inlineStr">
        <is>
          <t>1</t>
        </is>
      </c>
    </row>
    <row r="7367" ht="15" customHeight="1" s="37">
      <c r="A7367" t="n">
        <v>20</v>
      </c>
      <c r="B7367" s="10" t="inlineStr">
        <is>
          <t>平日</t>
        </is>
      </c>
      <c r="C7367" s="10" t="inlineStr">
        <is>
          <t>北野線</t>
        </is>
      </c>
      <c r="D7367" s="10" t="inlineStr">
        <is>
          <t>下り</t>
        </is>
      </c>
      <c r="E7367" t="inlineStr">
        <is>
          <t>1851</t>
        </is>
      </c>
      <c r="F7367" t="inlineStr">
        <is>
          <t>0453</t>
        </is>
      </c>
      <c r="G7367" s="10" t="inlineStr">
        <is>
          <t>北野白梅町</t>
        </is>
      </c>
      <c r="H7367" s="10" t="inlineStr">
        <is>
          <t>発</t>
        </is>
      </c>
      <c r="J7367" s="10" t="inlineStr">
        <is>
          <t>営業</t>
        </is>
      </c>
      <c r="M7367" t="inlineStr">
        <is>
          <t>18:03:00</t>
        </is>
      </c>
      <c r="Q7367" t="inlineStr">
        <is>
          <t>1</t>
        </is>
      </c>
    </row>
    <row r="7368" ht="15" customHeight="1" s="37">
      <c r="A7368" t="n">
        <v>20</v>
      </c>
      <c r="B7368" s="10" t="inlineStr">
        <is>
          <t>平日</t>
        </is>
      </c>
      <c r="C7368" s="10" t="inlineStr">
        <is>
          <t>北野線</t>
        </is>
      </c>
      <c r="D7368" s="10" t="inlineStr">
        <is>
          <t>下り</t>
        </is>
      </c>
      <c r="E7368" t="inlineStr">
        <is>
          <t>1851</t>
        </is>
      </c>
      <c r="F7368" t="inlineStr">
        <is>
          <t>0453</t>
        </is>
      </c>
      <c r="G7368" s="10" t="inlineStr">
        <is>
          <t>等持院</t>
        </is>
      </c>
      <c r="H7368" s="10" t="inlineStr">
        <is>
          <t>発</t>
        </is>
      </c>
      <c r="J7368" s="10" t="inlineStr">
        <is>
          <t>営業</t>
        </is>
      </c>
      <c r="L7368" t="inlineStr">
        <is>
          <t>18:04:25</t>
        </is>
      </c>
      <c r="M7368" t="inlineStr">
        <is>
          <t>18:04:35</t>
        </is>
      </c>
    </row>
    <row r="7369" ht="15" customHeight="1" s="37">
      <c r="A7369" t="n">
        <v>20</v>
      </c>
      <c r="B7369" s="10" t="inlineStr">
        <is>
          <t>平日</t>
        </is>
      </c>
      <c r="C7369" s="10" t="inlineStr">
        <is>
          <t>北野線</t>
        </is>
      </c>
      <c r="D7369" s="10" t="inlineStr">
        <is>
          <t>下り</t>
        </is>
      </c>
      <c r="E7369" t="inlineStr">
        <is>
          <t>1851</t>
        </is>
      </c>
      <c r="F7369" t="inlineStr">
        <is>
          <t>0453</t>
        </is>
      </c>
      <c r="G7369" s="10" t="inlineStr">
        <is>
          <t>龍安寺</t>
        </is>
      </c>
      <c r="H7369" s="10" t="inlineStr">
        <is>
          <t>発</t>
        </is>
      </c>
      <c r="J7369" s="10" t="inlineStr">
        <is>
          <t>営業</t>
        </is>
      </c>
      <c r="L7369" t="inlineStr">
        <is>
          <t>18:05:25</t>
        </is>
      </c>
      <c r="M7369" t="inlineStr">
        <is>
          <t>18:05:50</t>
        </is>
      </c>
    </row>
    <row r="7370" ht="15" customHeight="1" s="37">
      <c r="A7370" t="n">
        <v>20</v>
      </c>
      <c r="B7370" s="10" t="inlineStr">
        <is>
          <t>平日</t>
        </is>
      </c>
      <c r="C7370" s="10" t="inlineStr">
        <is>
          <t>北野線</t>
        </is>
      </c>
      <c r="D7370" s="10" t="inlineStr">
        <is>
          <t>下り</t>
        </is>
      </c>
      <c r="E7370" t="inlineStr">
        <is>
          <t>1851</t>
        </is>
      </c>
      <c r="F7370" t="inlineStr">
        <is>
          <t>0453</t>
        </is>
      </c>
      <c r="G7370" s="10" t="inlineStr">
        <is>
          <t>妙心寺</t>
        </is>
      </c>
      <c r="H7370" s="10" t="inlineStr">
        <is>
          <t>発</t>
        </is>
      </c>
      <c r="J7370" s="10" t="inlineStr">
        <is>
          <t>営業</t>
        </is>
      </c>
      <c r="L7370" t="inlineStr">
        <is>
          <t>18:06:40</t>
        </is>
      </c>
      <c r="M7370" t="inlineStr">
        <is>
          <t>18:06:50</t>
        </is>
      </c>
    </row>
    <row r="7371" ht="15" customHeight="1" s="37">
      <c r="A7371" t="n">
        <v>20</v>
      </c>
      <c r="B7371" s="10" t="inlineStr">
        <is>
          <t>平日</t>
        </is>
      </c>
      <c r="C7371" s="10" t="inlineStr">
        <is>
          <t>北野線</t>
        </is>
      </c>
      <c r="D7371" s="10" t="inlineStr">
        <is>
          <t>下り</t>
        </is>
      </c>
      <c r="E7371" t="inlineStr">
        <is>
          <t>1851</t>
        </is>
      </c>
      <c r="F7371" t="inlineStr">
        <is>
          <t>0453</t>
        </is>
      </c>
      <c r="G7371" s="10" t="inlineStr">
        <is>
          <t>御室仁和寺</t>
        </is>
      </c>
      <c r="H7371" s="10" t="inlineStr">
        <is>
          <t>発</t>
        </is>
      </c>
      <c r="J7371" s="10" t="inlineStr">
        <is>
          <t>営業</t>
        </is>
      </c>
      <c r="L7371" t="inlineStr">
        <is>
          <t>18:07:50</t>
        </is>
      </c>
      <c r="M7371" t="inlineStr">
        <is>
          <t>18:08:05</t>
        </is>
      </c>
    </row>
    <row r="7372" ht="15" customHeight="1" s="37">
      <c r="A7372" t="n">
        <v>20</v>
      </c>
      <c r="B7372" s="10" t="inlineStr">
        <is>
          <t>平日</t>
        </is>
      </c>
      <c r="C7372" s="10" t="inlineStr">
        <is>
          <t>北野線</t>
        </is>
      </c>
      <c r="D7372" s="10" t="inlineStr">
        <is>
          <t>下り</t>
        </is>
      </c>
      <c r="E7372" t="inlineStr">
        <is>
          <t>1851</t>
        </is>
      </c>
      <c r="F7372" t="inlineStr">
        <is>
          <t>0453</t>
        </is>
      </c>
      <c r="G7372" s="10" t="inlineStr">
        <is>
          <t>宇多野</t>
        </is>
      </c>
      <c r="H7372" s="10" t="inlineStr">
        <is>
          <t>発</t>
        </is>
      </c>
      <c r="J7372" s="10" t="inlineStr">
        <is>
          <t>営業</t>
        </is>
      </c>
      <c r="L7372" t="inlineStr">
        <is>
          <t>18:09:05</t>
        </is>
      </c>
      <c r="M7372" t="inlineStr">
        <is>
          <t>18:09:15</t>
        </is>
      </c>
    </row>
    <row r="7373" ht="15" customHeight="1" s="37">
      <c r="A7373" t="n">
        <v>20</v>
      </c>
      <c r="B7373" s="10" t="inlineStr">
        <is>
          <t>平日</t>
        </is>
      </c>
      <c r="C7373" s="10" t="inlineStr">
        <is>
          <t>北野線</t>
        </is>
      </c>
      <c r="D7373" s="10" t="inlineStr">
        <is>
          <t>下り</t>
        </is>
      </c>
      <c r="E7373" t="inlineStr">
        <is>
          <t>1851</t>
        </is>
      </c>
      <c r="F7373" t="inlineStr">
        <is>
          <t>0453</t>
        </is>
      </c>
      <c r="G7373" s="10" t="inlineStr">
        <is>
          <t>鳴滝</t>
        </is>
      </c>
      <c r="H7373" s="10" t="inlineStr">
        <is>
          <t>発</t>
        </is>
      </c>
      <c r="J7373" s="10" t="inlineStr">
        <is>
          <t>営業</t>
        </is>
      </c>
      <c r="L7373" t="inlineStr">
        <is>
          <t>18:10:35</t>
        </is>
      </c>
      <c r="M7373" t="inlineStr">
        <is>
          <t>18:10:45</t>
        </is>
      </c>
    </row>
    <row r="7374" ht="15" customHeight="1" s="37">
      <c r="A7374" t="n">
        <v>20</v>
      </c>
      <c r="B7374" s="10" t="inlineStr">
        <is>
          <t>平日</t>
        </is>
      </c>
      <c r="C7374" s="10" t="inlineStr">
        <is>
          <t>北野線</t>
        </is>
      </c>
      <c r="D7374" s="10" t="inlineStr">
        <is>
          <t>下り</t>
        </is>
      </c>
      <c r="E7374" t="inlineStr">
        <is>
          <t>1851</t>
        </is>
      </c>
      <c r="F7374" t="inlineStr">
        <is>
          <t>0453</t>
        </is>
      </c>
      <c r="G7374" s="10" t="inlineStr">
        <is>
          <t>常盤</t>
        </is>
      </c>
      <c r="H7374" s="10" t="inlineStr">
        <is>
          <t>発</t>
        </is>
      </c>
      <c r="J7374" s="10" t="inlineStr">
        <is>
          <t>営業</t>
        </is>
      </c>
      <c r="L7374" t="inlineStr">
        <is>
          <t>18:11:35</t>
        </is>
      </c>
      <c r="M7374" t="inlineStr">
        <is>
          <t>18:11:55</t>
        </is>
      </c>
    </row>
    <row r="7375" ht="15" customHeight="1" s="37">
      <c r="A7375" t="n">
        <v>20</v>
      </c>
      <c r="B7375" s="10" t="inlineStr">
        <is>
          <t>平日</t>
        </is>
      </c>
      <c r="C7375" s="10" t="inlineStr">
        <is>
          <t>北野線</t>
        </is>
      </c>
      <c r="D7375" s="10" t="inlineStr">
        <is>
          <t>下り</t>
        </is>
      </c>
      <c r="E7375" t="inlineStr">
        <is>
          <t>1851</t>
        </is>
      </c>
      <c r="F7375" t="inlineStr">
        <is>
          <t>0453</t>
        </is>
      </c>
      <c r="G7375" s="10" t="inlineStr">
        <is>
          <t>撮影所前</t>
        </is>
      </c>
      <c r="H7375" s="10" t="inlineStr">
        <is>
          <t>発</t>
        </is>
      </c>
      <c r="J7375" s="10" t="inlineStr">
        <is>
          <t>営業</t>
        </is>
      </c>
      <c r="L7375" t="inlineStr">
        <is>
          <t>18:13:15</t>
        </is>
      </c>
      <c r="M7375" t="inlineStr">
        <is>
          <t>18:13:30</t>
        </is>
      </c>
    </row>
    <row r="7376" ht="15" customHeight="1" s="37">
      <c r="A7376" t="n">
        <v>20</v>
      </c>
      <c r="B7376" s="10" t="inlineStr">
        <is>
          <t>平日</t>
        </is>
      </c>
      <c r="C7376" s="10" t="inlineStr">
        <is>
          <t>北野線</t>
        </is>
      </c>
      <c r="D7376" s="10" t="inlineStr">
        <is>
          <t>下り</t>
        </is>
      </c>
      <c r="E7376" t="inlineStr">
        <is>
          <t>1851</t>
        </is>
      </c>
      <c r="F7376" t="inlineStr">
        <is>
          <t>0453</t>
        </is>
      </c>
      <c r="G7376" s="10" t="inlineStr">
        <is>
          <t>帷子ノ辻</t>
        </is>
      </c>
      <c r="H7376" s="10" t="inlineStr">
        <is>
          <t>着</t>
        </is>
      </c>
      <c r="J7376" s="10" t="inlineStr">
        <is>
          <t>営業</t>
        </is>
      </c>
      <c r="L7376" t="inlineStr">
        <is>
          <t>18:14:25</t>
        </is>
      </c>
      <c r="Q7376" t="inlineStr">
        <is>
          <t>4</t>
        </is>
      </c>
    </row>
    <row r="7377" ht="15" customHeight="1" s="37">
      <c r="A7377" t="n">
        <v>20</v>
      </c>
      <c r="B7377" s="10" t="inlineStr">
        <is>
          <t>平日</t>
        </is>
      </c>
      <c r="C7377" s="10" t="inlineStr">
        <is>
          <t>北野線</t>
        </is>
      </c>
      <c r="D7377" s="10" t="inlineStr">
        <is>
          <t>上り</t>
        </is>
      </c>
      <c r="E7377" t="inlineStr">
        <is>
          <t>1858</t>
        </is>
      </c>
      <c r="F7377" t="inlineStr">
        <is>
          <t>0304</t>
        </is>
      </c>
      <c r="G7377" s="10" t="inlineStr">
        <is>
          <t>帷子ノ辻</t>
        </is>
      </c>
      <c r="H7377" s="10" t="inlineStr">
        <is>
          <t>発</t>
        </is>
      </c>
      <c r="J7377" s="10" t="inlineStr">
        <is>
          <t>営業</t>
        </is>
      </c>
      <c r="M7377" t="inlineStr">
        <is>
          <t>18:36:25</t>
        </is>
      </c>
      <c r="Q7377" t="inlineStr">
        <is>
          <t>3</t>
        </is>
      </c>
    </row>
    <row r="7378" ht="15" customHeight="1" s="37">
      <c r="A7378" t="n">
        <v>20</v>
      </c>
      <c r="B7378" s="10" t="inlineStr">
        <is>
          <t>平日</t>
        </is>
      </c>
      <c r="C7378" s="10" t="inlineStr">
        <is>
          <t>北野線</t>
        </is>
      </c>
      <c r="D7378" s="10" t="inlineStr">
        <is>
          <t>上り</t>
        </is>
      </c>
      <c r="E7378" t="inlineStr">
        <is>
          <t>1858</t>
        </is>
      </c>
      <c r="F7378" t="inlineStr">
        <is>
          <t>0304</t>
        </is>
      </c>
      <c r="G7378" s="10" t="inlineStr">
        <is>
          <t>撮影所前</t>
        </is>
      </c>
      <c r="H7378" s="10" t="inlineStr">
        <is>
          <t>発</t>
        </is>
      </c>
      <c r="J7378" s="10" t="inlineStr">
        <is>
          <t>営業</t>
        </is>
      </c>
      <c r="L7378" t="inlineStr">
        <is>
          <t>18:37:25</t>
        </is>
      </c>
      <c r="M7378" t="inlineStr">
        <is>
          <t>18:37:40</t>
        </is>
      </c>
    </row>
    <row r="7379" ht="15" customHeight="1" s="37">
      <c r="A7379" t="n">
        <v>20</v>
      </c>
      <c r="B7379" s="10" t="inlineStr">
        <is>
          <t>平日</t>
        </is>
      </c>
      <c r="C7379" s="10" t="inlineStr">
        <is>
          <t>北野線</t>
        </is>
      </c>
      <c r="D7379" s="10" t="inlineStr">
        <is>
          <t>上り</t>
        </is>
      </c>
      <c r="E7379" t="inlineStr">
        <is>
          <t>1858</t>
        </is>
      </c>
      <c r="F7379" t="inlineStr">
        <is>
          <t>0304</t>
        </is>
      </c>
      <c r="G7379" s="10" t="inlineStr">
        <is>
          <t>常盤</t>
        </is>
      </c>
      <c r="H7379" s="10" t="inlineStr">
        <is>
          <t>発</t>
        </is>
      </c>
      <c r="J7379" s="10" t="inlineStr">
        <is>
          <t>営業</t>
        </is>
      </c>
      <c r="L7379" t="inlineStr">
        <is>
          <t>18:39:00</t>
        </is>
      </c>
      <c r="M7379" t="inlineStr">
        <is>
          <t>18:39:20</t>
        </is>
      </c>
    </row>
    <row r="7380" ht="15" customHeight="1" s="37">
      <c r="A7380" t="n">
        <v>20</v>
      </c>
      <c r="B7380" s="10" t="inlineStr">
        <is>
          <t>平日</t>
        </is>
      </c>
      <c r="C7380" s="10" t="inlineStr">
        <is>
          <t>北野線</t>
        </is>
      </c>
      <c r="D7380" s="10" t="inlineStr">
        <is>
          <t>上り</t>
        </is>
      </c>
      <c r="E7380" t="inlineStr">
        <is>
          <t>1858</t>
        </is>
      </c>
      <c r="F7380" t="inlineStr">
        <is>
          <t>0304</t>
        </is>
      </c>
      <c r="G7380" s="10" t="inlineStr">
        <is>
          <t>鳴滝</t>
        </is>
      </c>
      <c r="H7380" s="10" t="inlineStr">
        <is>
          <t>発</t>
        </is>
      </c>
      <c r="J7380" s="10" t="inlineStr">
        <is>
          <t>営業</t>
        </is>
      </c>
      <c r="L7380" t="inlineStr">
        <is>
          <t>18:40:20</t>
        </is>
      </c>
      <c r="M7380" t="inlineStr">
        <is>
          <t>18:40:40</t>
        </is>
      </c>
    </row>
    <row r="7381" ht="15" customHeight="1" s="37">
      <c r="A7381" t="n">
        <v>20</v>
      </c>
      <c r="B7381" s="10" t="inlineStr">
        <is>
          <t>平日</t>
        </is>
      </c>
      <c r="C7381" s="10" t="inlineStr">
        <is>
          <t>北野線</t>
        </is>
      </c>
      <c r="D7381" s="10" t="inlineStr">
        <is>
          <t>上り</t>
        </is>
      </c>
      <c r="E7381" t="inlineStr">
        <is>
          <t>1858</t>
        </is>
      </c>
      <c r="F7381" t="inlineStr">
        <is>
          <t>0304</t>
        </is>
      </c>
      <c r="G7381" s="10" t="inlineStr">
        <is>
          <t>宇多野</t>
        </is>
      </c>
      <c r="H7381" s="10" t="inlineStr">
        <is>
          <t>発</t>
        </is>
      </c>
      <c r="J7381" s="10" t="inlineStr">
        <is>
          <t>営業</t>
        </is>
      </c>
      <c r="L7381" t="inlineStr">
        <is>
          <t>18:42:00</t>
        </is>
      </c>
      <c r="M7381" t="inlineStr">
        <is>
          <t>18:42:15</t>
        </is>
      </c>
    </row>
    <row r="7382" ht="15" customHeight="1" s="37">
      <c r="A7382" t="n">
        <v>20</v>
      </c>
      <c r="B7382" s="10" t="inlineStr">
        <is>
          <t>平日</t>
        </is>
      </c>
      <c r="C7382" s="10" t="inlineStr">
        <is>
          <t>北野線</t>
        </is>
      </c>
      <c r="D7382" s="10" t="inlineStr">
        <is>
          <t>上り</t>
        </is>
      </c>
      <c r="E7382" t="inlineStr">
        <is>
          <t>1858</t>
        </is>
      </c>
      <c r="F7382" t="inlineStr">
        <is>
          <t>0304</t>
        </is>
      </c>
      <c r="G7382" s="10" t="inlineStr">
        <is>
          <t>御室仁和寺</t>
        </is>
      </c>
      <c r="H7382" s="10" t="inlineStr">
        <is>
          <t>発</t>
        </is>
      </c>
      <c r="J7382" s="10" t="inlineStr">
        <is>
          <t>営業</t>
        </is>
      </c>
      <c r="L7382" t="inlineStr">
        <is>
          <t>18:43:15</t>
        </is>
      </c>
      <c r="M7382" t="inlineStr">
        <is>
          <t>18:43:35</t>
        </is>
      </c>
    </row>
    <row r="7383" ht="15" customHeight="1" s="37">
      <c r="A7383" t="n">
        <v>20</v>
      </c>
      <c r="B7383" s="10" t="inlineStr">
        <is>
          <t>平日</t>
        </is>
      </c>
      <c r="C7383" s="10" t="inlineStr">
        <is>
          <t>北野線</t>
        </is>
      </c>
      <c r="D7383" s="10" t="inlineStr">
        <is>
          <t>上り</t>
        </is>
      </c>
      <c r="E7383" t="inlineStr">
        <is>
          <t>1858</t>
        </is>
      </c>
      <c r="F7383" t="inlineStr">
        <is>
          <t>0304</t>
        </is>
      </c>
      <c r="G7383" s="10" t="inlineStr">
        <is>
          <t>妙心寺</t>
        </is>
      </c>
      <c r="H7383" s="10" t="inlineStr">
        <is>
          <t>発</t>
        </is>
      </c>
      <c r="J7383" s="10" t="inlineStr">
        <is>
          <t>営業</t>
        </is>
      </c>
      <c r="L7383" t="inlineStr">
        <is>
          <t>18:44:35</t>
        </is>
      </c>
      <c r="M7383" t="inlineStr">
        <is>
          <t>18:44:50</t>
        </is>
      </c>
    </row>
    <row r="7384" ht="15" customHeight="1" s="37">
      <c r="A7384" t="n">
        <v>20</v>
      </c>
      <c r="B7384" s="10" t="inlineStr">
        <is>
          <t>平日</t>
        </is>
      </c>
      <c r="C7384" s="10" t="inlineStr">
        <is>
          <t>北野線</t>
        </is>
      </c>
      <c r="D7384" s="10" t="inlineStr">
        <is>
          <t>上り</t>
        </is>
      </c>
      <c r="E7384" t="inlineStr">
        <is>
          <t>1858</t>
        </is>
      </c>
      <c r="F7384" t="inlineStr">
        <is>
          <t>0304</t>
        </is>
      </c>
      <c r="G7384" s="10" t="inlineStr">
        <is>
          <t>龍安寺</t>
        </is>
      </c>
      <c r="H7384" s="10" t="inlineStr">
        <is>
          <t>発</t>
        </is>
      </c>
      <c r="J7384" s="10" t="inlineStr">
        <is>
          <t>営業</t>
        </is>
      </c>
      <c r="L7384" t="inlineStr">
        <is>
          <t>18:45:45</t>
        </is>
      </c>
      <c r="M7384" t="inlineStr">
        <is>
          <t>18:45:55</t>
        </is>
      </c>
    </row>
    <row r="7385" ht="15" customHeight="1" s="37">
      <c r="A7385" t="n">
        <v>20</v>
      </c>
      <c r="B7385" s="10" t="inlineStr">
        <is>
          <t>平日</t>
        </is>
      </c>
      <c r="C7385" s="10" t="inlineStr">
        <is>
          <t>北野線</t>
        </is>
      </c>
      <c r="D7385" s="10" t="inlineStr">
        <is>
          <t>上り</t>
        </is>
      </c>
      <c r="E7385" t="inlineStr">
        <is>
          <t>1858</t>
        </is>
      </c>
      <c r="F7385" t="inlineStr">
        <is>
          <t>0304</t>
        </is>
      </c>
      <c r="G7385" s="10" t="inlineStr">
        <is>
          <t>等持院</t>
        </is>
      </c>
      <c r="H7385" s="10" t="inlineStr">
        <is>
          <t>発</t>
        </is>
      </c>
      <c r="J7385" s="10" t="inlineStr">
        <is>
          <t>営業</t>
        </is>
      </c>
      <c r="L7385" t="inlineStr">
        <is>
          <t>18:46:35</t>
        </is>
      </c>
      <c r="M7385" t="inlineStr">
        <is>
          <t>18:46:55</t>
        </is>
      </c>
    </row>
    <row r="7386" ht="15" customHeight="1" s="37">
      <c r="A7386" t="n">
        <v>20</v>
      </c>
      <c r="B7386" s="10" t="inlineStr">
        <is>
          <t>平日</t>
        </is>
      </c>
      <c r="C7386" s="10" t="inlineStr">
        <is>
          <t>北野線</t>
        </is>
      </c>
      <c r="D7386" s="10" t="inlineStr">
        <is>
          <t>上り</t>
        </is>
      </c>
      <c r="E7386" t="inlineStr">
        <is>
          <t>1858</t>
        </is>
      </c>
      <c r="F7386" t="inlineStr">
        <is>
          <t>0304</t>
        </is>
      </c>
      <c r="G7386" s="10" t="inlineStr">
        <is>
          <t>北野白梅町</t>
        </is>
      </c>
      <c r="H7386" s="10" t="inlineStr">
        <is>
          <t>着</t>
        </is>
      </c>
      <c r="J7386" s="10" t="inlineStr">
        <is>
          <t>営業</t>
        </is>
      </c>
      <c r="L7386" t="inlineStr">
        <is>
          <t>18:48:15</t>
        </is>
      </c>
      <c r="N7386" t="inlineStr">
        <is>
          <t>○</t>
        </is>
      </c>
      <c r="Q7386" t="inlineStr">
        <is>
          <t>1</t>
        </is>
      </c>
    </row>
    <row r="7387" ht="15" customHeight="1" s="37">
      <c r="A7387" t="n">
        <v>20</v>
      </c>
      <c r="B7387" s="10" t="inlineStr">
        <is>
          <t>平日</t>
        </is>
      </c>
      <c r="C7387" s="10" t="inlineStr">
        <is>
          <t>北野線</t>
        </is>
      </c>
      <c r="D7387" s="10" t="inlineStr">
        <is>
          <t>下り</t>
        </is>
      </c>
      <c r="E7387" t="inlineStr">
        <is>
          <t>1861</t>
        </is>
      </c>
      <c r="F7387" t="inlineStr">
        <is>
          <t>0453</t>
        </is>
      </c>
      <c r="G7387" s="10" t="inlineStr">
        <is>
          <t>北野白梅町</t>
        </is>
      </c>
      <c r="H7387" s="10" t="inlineStr">
        <is>
          <t>発</t>
        </is>
      </c>
      <c r="J7387" s="10" t="inlineStr">
        <is>
          <t>営業</t>
        </is>
      </c>
      <c r="M7387" t="inlineStr">
        <is>
          <t>18:53:00</t>
        </is>
      </c>
      <c r="Q7387" t="inlineStr">
        <is>
          <t>1</t>
        </is>
      </c>
    </row>
    <row r="7388" ht="15" customHeight="1" s="37">
      <c r="A7388" t="n">
        <v>20</v>
      </c>
      <c r="B7388" s="10" t="inlineStr">
        <is>
          <t>平日</t>
        </is>
      </c>
      <c r="C7388" s="10" t="inlineStr">
        <is>
          <t>北野線</t>
        </is>
      </c>
      <c r="D7388" s="10" t="inlineStr">
        <is>
          <t>下り</t>
        </is>
      </c>
      <c r="E7388" t="inlineStr">
        <is>
          <t>1861</t>
        </is>
      </c>
      <c r="F7388" t="inlineStr">
        <is>
          <t>0453</t>
        </is>
      </c>
      <c r="G7388" s="10" t="inlineStr">
        <is>
          <t>等持院</t>
        </is>
      </c>
      <c r="H7388" s="10" t="inlineStr">
        <is>
          <t>発</t>
        </is>
      </c>
      <c r="J7388" s="10" t="inlineStr">
        <is>
          <t>営業</t>
        </is>
      </c>
      <c r="L7388" t="inlineStr">
        <is>
          <t>18:54:25</t>
        </is>
      </c>
      <c r="M7388" t="inlineStr">
        <is>
          <t>18:54:35</t>
        </is>
      </c>
    </row>
    <row r="7389" ht="15" customHeight="1" s="37">
      <c r="A7389" t="n">
        <v>20</v>
      </c>
      <c r="B7389" s="10" t="inlineStr">
        <is>
          <t>平日</t>
        </is>
      </c>
      <c r="C7389" s="10" t="inlineStr">
        <is>
          <t>北野線</t>
        </is>
      </c>
      <c r="D7389" s="10" t="inlineStr">
        <is>
          <t>下り</t>
        </is>
      </c>
      <c r="E7389" t="inlineStr">
        <is>
          <t>1861</t>
        </is>
      </c>
      <c r="F7389" t="inlineStr">
        <is>
          <t>0453</t>
        </is>
      </c>
      <c r="G7389" s="10" t="inlineStr">
        <is>
          <t>龍安寺</t>
        </is>
      </c>
      <c r="H7389" s="10" t="inlineStr">
        <is>
          <t>発</t>
        </is>
      </c>
      <c r="J7389" s="10" t="inlineStr">
        <is>
          <t>営業</t>
        </is>
      </c>
      <c r="L7389" t="inlineStr">
        <is>
          <t>18:55:25</t>
        </is>
      </c>
      <c r="M7389" t="inlineStr">
        <is>
          <t>18:55:50</t>
        </is>
      </c>
    </row>
    <row r="7390" ht="15" customHeight="1" s="37">
      <c r="A7390" t="n">
        <v>20</v>
      </c>
      <c r="B7390" s="10" t="inlineStr">
        <is>
          <t>平日</t>
        </is>
      </c>
      <c r="C7390" s="10" t="inlineStr">
        <is>
          <t>北野線</t>
        </is>
      </c>
      <c r="D7390" s="10" t="inlineStr">
        <is>
          <t>下り</t>
        </is>
      </c>
      <c r="E7390" t="inlineStr">
        <is>
          <t>1861</t>
        </is>
      </c>
      <c r="F7390" t="inlineStr">
        <is>
          <t>0453</t>
        </is>
      </c>
      <c r="G7390" s="10" t="inlineStr">
        <is>
          <t>妙心寺</t>
        </is>
      </c>
      <c r="H7390" s="10" t="inlineStr">
        <is>
          <t>発</t>
        </is>
      </c>
      <c r="J7390" s="10" t="inlineStr">
        <is>
          <t>営業</t>
        </is>
      </c>
      <c r="L7390" t="inlineStr">
        <is>
          <t>18:56:40</t>
        </is>
      </c>
      <c r="M7390" t="inlineStr">
        <is>
          <t>18:56:50</t>
        </is>
      </c>
    </row>
    <row r="7391" ht="15" customHeight="1" s="37">
      <c r="A7391" t="n">
        <v>20</v>
      </c>
      <c r="B7391" s="10" t="inlineStr">
        <is>
          <t>平日</t>
        </is>
      </c>
      <c r="C7391" s="10" t="inlineStr">
        <is>
          <t>北野線</t>
        </is>
      </c>
      <c r="D7391" s="10" t="inlineStr">
        <is>
          <t>下り</t>
        </is>
      </c>
      <c r="E7391" t="inlineStr">
        <is>
          <t>1861</t>
        </is>
      </c>
      <c r="F7391" t="inlineStr">
        <is>
          <t>0453</t>
        </is>
      </c>
      <c r="G7391" s="10" t="inlineStr">
        <is>
          <t>御室仁和寺</t>
        </is>
      </c>
      <c r="H7391" s="10" t="inlineStr">
        <is>
          <t>発</t>
        </is>
      </c>
      <c r="J7391" s="10" t="inlineStr">
        <is>
          <t>営業</t>
        </is>
      </c>
      <c r="L7391" t="inlineStr">
        <is>
          <t>18:57:50</t>
        </is>
      </c>
      <c r="M7391" t="inlineStr">
        <is>
          <t>18:58:05</t>
        </is>
      </c>
    </row>
    <row r="7392" ht="15" customHeight="1" s="37">
      <c r="A7392" t="n">
        <v>20</v>
      </c>
      <c r="B7392" s="10" t="inlineStr">
        <is>
          <t>平日</t>
        </is>
      </c>
      <c r="C7392" s="10" t="inlineStr">
        <is>
          <t>北野線</t>
        </is>
      </c>
      <c r="D7392" s="10" t="inlineStr">
        <is>
          <t>下り</t>
        </is>
      </c>
      <c r="E7392" t="inlineStr">
        <is>
          <t>1861</t>
        </is>
      </c>
      <c r="F7392" t="inlineStr">
        <is>
          <t>0453</t>
        </is>
      </c>
      <c r="G7392" s="10" t="inlineStr">
        <is>
          <t>宇多野</t>
        </is>
      </c>
      <c r="H7392" s="10" t="inlineStr">
        <is>
          <t>発</t>
        </is>
      </c>
      <c r="J7392" s="10" t="inlineStr">
        <is>
          <t>営業</t>
        </is>
      </c>
      <c r="L7392" t="inlineStr">
        <is>
          <t>18:59:05</t>
        </is>
      </c>
      <c r="M7392" t="inlineStr">
        <is>
          <t>18:59:15</t>
        </is>
      </c>
    </row>
    <row r="7393" ht="15" customHeight="1" s="37">
      <c r="A7393" t="n">
        <v>20</v>
      </c>
      <c r="B7393" s="10" t="inlineStr">
        <is>
          <t>平日</t>
        </is>
      </c>
      <c r="C7393" s="10" t="inlineStr">
        <is>
          <t>北野線</t>
        </is>
      </c>
      <c r="D7393" s="10" t="inlineStr">
        <is>
          <t>下り</t>
        </is>
      </c>
      <c r="E7393" t="inlineStr">
        <is>
          <t>1861</t>
        </is>
      </c>
      <c r="F7393" t="inlineStr">
        <is>
          <t>0453</t>
        </is>
      </c>
      <c r="G7393" s="10" t="inlineStr">
        <is>
          <t>鳴滝</t>
        </is>
      </c>
      <c r="H7393" s="10" t="inlineStr">
        <is>
          <t>発</t>
        </is>
      </c>
      <c r="J7393" s="10" t="inlineStr">
        <is>
          <t>営業</t>
        </is>
      </c>
      <c r="L7393" t="inlineStr">
        <is>
          <t>19:00:35</t>
        </is>
      </c>
      <c r="M7393" t="inlineStr">
        <is>
          <t>19:00:45</t>
        </is>
      </c>
    </row>
    <row r="7394" ht="15" customHeight="1" s="37">
      <c r="A7394" t="n">
        <v>20</v>
      </c>
      <c r="B7394" s="10" t="inlineStr">
        <is>
          <t>平日</t>
        </is>
      </c>
      <c r="C7394" s="10" t="inlineStr">
        <is>
          <t>北野線</t>
        </is>
      </c>
      <c r="D7394" s="10" t="inlineStr">
        <is>
          <t>下り</t>
        </is>
      </c>
      <c r="E7394" t="inlineStr">
        <is>
          <t>1861</t>
        </is>
      </c>
      <c r="F7394" t="inlineStr">
        <is>
          <t>0453</t>
        </is>
      </c>
      <c r="G7394" s="10" t="inlineStr">
        <is>
          <t>常盤</t>
        </is>
      </c>
      <c r="H7394" s="10" t="inlineStr">
        <is>
          <t>発</t>
        </is>
      </c>
      <c r="J7394" s="10" t="inlineStr">
        <is>
          <t>営業</t>
        </is>
      </c>
      <c r="L7394" t="inlineStr">
        <is>
          <t>19:01:35</t>
        </is>
      </c>
      <c r="M7394" t="inlineStr">
        <is>
          <t>19:01:55</t>
        </is>
      </c>
    </row>
    <row r="7395" ht="15" customHeight="1" s="37">
      <c r="A7395" t="n">
        <v>20</v>
      </c>
      <c r="B7395" s="10" t="inlineStr">
        <is>
          <t>平日</t>
        </is>
      </c>
      <c r="C7395" s="10" t="inlineStr">
        <is>
          <t>北野線</t>
        </is>
      </c>
      <c r="D7395" s="10" t="inlineStr">
        <is>
          <t>下り</t>
        </is>
      </c>
      <c r="E7395" t="inlineStr">
        <is>
          <t>1861</t>
        </is>
      </c>
      <c r="F7395" t="inlineStr">
        <is>
          <t>0453</t>
        </is>
      </c>
      <c r="G7395" s="10" t="inlineStr">
        <is>
          <t>撮影所前</t>
        </is>
      </c>
      <c r="H7395" s="10" t="inlineStr">
        <is>
          <t>発</t>
        </is>
      </c>
      <c r="J7395" s="10" t="inlineStr">
        <is>
          <t>営業</t>
        </is>
      </c>
      <c r="L7395" t="inlineStr">
        <is>
          <t>19:03:15</t>
        </is>
      </c>
      <c r="M7395" t="inlineStr">
        <is>
          <t>19:03:30</t>
        </is>
      </c>
    </row>
    <row r="7396" ht="15" customHeight="1" s="37">
      <c r="A7396" t="n">
        <v>20</v>
      </c>
      <c r="B7396" s="10" t="inlineStr">
        <is>
          <t>平日</t>
        </is>
      </c>
      <c r="C7396" s="10" t="inlineStr">
        <is>
          <t>北野線</t>
        </is>
      </c>
      <c r="D7396" s="10" t="inlineStr">
        <is>
          <t>下り</t>
        </is>
      </c>
      <c r="E7396" t="inlineStr">
        <is>
          <t>1861</t>
        </is>
      </c>
      <c r="F7396" t="inlineStr">
        <is>
          <t>0453</t>
        </is>
      </c>
      <c r="G7396" s="10" t="inlineStr">
        <is>
          <t>帷子ノ辻</t>
        </is>
      </c>
      <c r="H7396" s="10" t="inlineStr">
        <is>
          <t>着</t>
        </is>
      </c>
      <c r="J7396" s="10" t="inlineStr">
        <is>
          <t>営業</t>
        </is>
      </c>
      <c r="L7396" t="inlineStr">
        <is>
          <t>19:04:25</t>
        </is>
      </c>
      <c r="Q7396" t="inlineStr">
        <is>
          <t>3</t>
        </is>
      </c>
    </row>
    <row r="7397" ht="15" customHeight="1" s="37">
      <c r="A7397" t="n">
        <v>20</v>
      </c>
      <c r="B7397" s="10" t="inlineStr">
        <is>
          <t>平日</t>
        </is>
      </c>
      <c r="C7397" s="10" t="inlineStr">
        <is>
          <t>北野線</t>
        </is>
      </c>
      <c r="D7397" s="10" t="inlineStr">
        <is>
          <t>上り</t>
        </is>
      </c>
      <c r="E7397" t="inlineStr">
        <is>
          <t>1954</t>
        </is>
      </c>
      <c r="F7397" t="inlineStr">
        <is>
          <t>0304</t>
        </is>
      </c>
      <c r="G7397" s="10" t="inlineStr">
        <is>
          <t>帷子ノ辻</t>
        </is>
      </c>
      <c r="H7397" s="10" t="inlineStr">
        <is>
          <t>発</t>
        </is>
      </c>
      <c r="J7397" s="10" t="inlineStr">
        <is>
          <t>営業</t>
        </is>
      </c>
      <c r="M7397" t="inlineStr">
        <is>
          <t>19:16:25</t>
        </is>
      </c>
      <c r="Q7397" t="inlineStr">
        <is>
          <t>3</t>
        </is>
      </c>
    </row>
    <row r="7398" ht="15" customHeight="1" s="37">
      <c r="A7398" t="n">
        <v>20</v>
      </c>
      <c r="B7398" s="10" t="inlineStr">
        <is>
          <t>平日</t>
        </is>
      </c>
      <c r="C7398" s="10" t="inlineStr">
        <is>
          <t>北野線</t>
        </is>
      </c>
      <c r="D7398" s="10" t="inlineStr">
        <is>
          <t>上り</t>
        </is>
      </c>
      <c r="E7398" t="inlineStr">
        <is>
          <t>1954</t>
        </is>
      </c>
      <c r="F7398" t="inlineStr">
        <is>
          <t>0304</t>
        </is>
      </c>
      <c r="G7398" s="10" t="inlineStr">
        <is>
          <t>撮影所前</t>
        </is>
      </c>
      <c r="H7398" s="10" t="inlineStr">
        <is>
          <t>発</t>
        </is>
      </c>
      <c r="J7398" s="10" t="inlineStr">
        <is>
          <t>営業</t>
        </is>
      </c>
      <c r="L7398" t="inlineStr">
        <is>
          <t>19:17:25</t>
        </is>
      </c>
      <c r="M7398" t="inlineStr">
        <is>
          <t>19:17:40</t>
        </is>
      </c>
    </row>
    <row r="7399" ht="15" customHeight="1" s="37">
      <c r="A7399" t="n">
        <v>20</v>
      </c>
      <c r="B7399" s="10" t="inlineStr">
        <is>
          <t>平日</t>
        </is>
      </c>
      <c r="C7399" s="10" t="inlineStr">
        <is>
          <t>北野線</t>
        </is>
      </c>
      <c r="D7399" s="10" t="inlineStr">
        <is>
          <t>上り</t>
        </is>
      </c>
      <c r="E7399" t="inlineStr">
        <is>
          <t>1954</t>
        </is>
      </c>
      <c r="F7399" t="inlineStr">
        <is>
          <t>0304</t>
        </is>
      </c>
      <c r="G7399" s="10" t="inlineStr">
        <is>
          <t>常盤</t>
        </is>
      </c>
      <c r="H7399" s="10" t="inlineStr">
        <is>
          <t>発</t>
        </is>
      </c>
      <c r="J7399" s="10" t="inlineStr">
        <is>
          <t>営業</t>
        </is>
      </c>
      <c r="L7399" t="inlineStr">
        <is>
          <t>19:19:00</t>
        </is>
      </c>
      <c r="M7399" t="inlineStr">
        <is>
          <t>19:19:20</t>
        </is>
      </c>
    </row>
    <row r="7400" ht="15" customHeight="1" s="37">
      <c r="A7400" t="n">
        <v>20</v>
      </c>
      <c r="B7400" s="10" t="inlineStr">
        <is>
          <t>平日</t>
        </is>
      </c>
      <c r="C7400" s="10" t="inlineStr">
        <is>
          <t>北野線</t>
        </is>
      </c>
      <c r="D7400" s="10" t="inlineStr">
        <is>
          <t>上り</t>
        </is>
      </c>
      <c r="E7400" t="inlineStr">
        <is>
          <t>1954</t>
        </is>
      </c>
      <c r="F7400" t="inlineStr">
        <is>
          <t>0304</t>
        </is>
      </c>
      <c r="G7400" s="10" t="inlineStr">
        <is>
          <t>鳴滝</t>
        </is>
      </c>
      <c r="H7400" s="10" t="inlineStr">
        <is>
          <t>発</t>
        </is>
      </c>
      <c r="J7400" s="10" t="inlineStr">
        <is>
          <t>営業</t>
        </is>
      </c>
      <c r="L7400" t="inlineStr">
        <is>
          <t>19:20:20</t>
        </is>
      </c>
      <c r="M7400" t="inlineStr">
        <is>
          <t>19:20:40</t>
        </is>
      </c>
    </row>
    <row r="7401" ht="15" customHeight="1" s="37">
      <c r="A7401" t="n">
        <v>20</v>
      </c>
      <c r="B7401" s="10" t="inlineStr">
        <is>
          <t>平日</t>
        </is>
      </c>
      <c r="C7401" s="10" t="inlineStr">
        <is>
          <t>北野線</t>
        </is>
      </c>
      <c r="D7401" s="10" t="inlineStr">
        <is>
          <t>上り</t>
        </is>
      </c>
      <c r="E7401" t="inlineStr">
        <is>
          <t>1954</t>
        </is>
      </c>
      <c r="F7401" t="inlineStr">
        <is>
          <t>0304</t>
        </is>
      </c>
      <c r="G7401" s="10" t="inlineStr">
        <is>
          <t>宇多野</t>
        </is>
      </c>
      <c r="H7401" s="10" t="inlineStr">
        <is>
          <t>発</t>
        </is>
      </c>
      <c r="J7401" s="10" t="inlineStr">
        <is>
          <t>営業</t>
        </is>
      </c>
      <c r="L7401" t="inlineStr">
        <is>
          <t>19:22:00</t>
        </is>
      </c>
      <c r="M7401" t="inlineStr">
        <is>
          <t>19:22:15</t>
        </is>
      </c>
    </row>
    <row r="7402" ht="15" customHeight="1" s="37">
      <c r="A7402" t="n">
        <v>20</v>
      </c>
      <c r="B7402" s="10" t="inlineStr">
        <is>
          <t>平日</t>
        </is>
      </c>
      <c r="C7402" s="10" t="inlineStr">
        <is>
          <t>北野線</t>
        </is>
      </c>
      <c r="D7402" s="10" t="inlineStr">
        <is>
          <t>上り</t>
        </is>
      </c>
      <c r="E7402" t="inlineStr">
        <is>
          <t>1954</t>
        </is>
      </c>
      <c r="F7402" t="inlineStr">
        <is>
          <t>0304</t>
        </is>
      </c>
      <c r="G7402" s="10" t="inlineStr">
        <is>
          <t>御室仁和寺</t>
        </is>
      </c>
      <c r="H7402" s="10" t="inlineStr">
        <is>
          <t>発</t>
        </is>
      </c>
      <c r="J7402" s="10" t="inlineStr">
        <is>
          <t>営業</t>
        </is>
      </c>
      <c r="L7402" t="inlineStr">
        <is>
          <t>19:23:15</t>
        </is>
      </c>
      <c r="M7402" t="inlineStr">
        <is>
          <t>19:23:35</t>
        </is>
      </c>
    </row>
    <row r="7403" ht="15" customHeight="1" s="37">
      <c r="A7403" t="n">
        <v>20</v>
      </c>
      <c r="B7403" s="10" t="inlineStr">
        <is>
          <t>平日</t>
        </is>
      </c>
      <c r="C7403" s="10" t="inlineStr">
        <is>
          <t>北野線</t>
        </is>
      </c>
      <c r="D7403" s="10" t="inlineStr">
        <is>
          <t>上り</t>
        </is>
      </c>
      <c r="E7403" t="inlineStr">
        <is>
          <t>1954</t>
        </is>
      </c>
      <c r="F7403" t="inlineStr">
        <is>
          <t>0304</t>
        </is>
      </c>
      <c r="G7403" s="10" t="inlineStr">
        <is>
          <t>妙心寺</t>
        </is>
      </c>
      <c r="H7403" s="10" t="inlineStr">
        <is>
          <t>発</t>
        </is>
      </c>
      <c r="J7403" s="10" t="inlineStr">
        <is>
          <t>営業</t>
        </is>
      </c>
      <c r="L7403" t="inlineStr">
        <is>
          <t>19:24:35</t>
        </is>
      </c>
      <c r="M7403" t="inlineStr">
        <is>
          <t>19:24:50</t>
        </is>
      </c>
    </row>
    <row r="7404" ht="15" customHeight="1" s="37">
      <c r="A7404" t="n">
        <v>20</v>
      </c>
      <c r="B7404" s="10" t="inlineStr">
        <is>
          <t>平日</t>
        </is>
      </c>
      <c r="C7404" s="10" t="inlineStr">
        <is>
          <t>北野線</t>
        </is>
      </c>
      <c r="D7404" s="10" t="inlineStr">
        <is>
          <t>上り</t>
        </is>
      </c>
      <c r="E7404" t="inlineStr">
        <is>
          <t>1954</t>
        </is>
      </c>
      <c r="F7404" t="inlineStr">
        <is>
          <t>0304</t>
        </is>
      </c>
      <c r="G7404" s="10" t="inlineStr">
        <is>
          <t>龍安寺</t>
        </is>
      </c>
      <c r="H7404" s="10" t="inlineStr">
        <is>
          <t>発</t>
        </is>
      </c>
      <c r="J7404" s="10" t="inlineStr">
        <is>
          <t>営業</t>
        </is>
      </c>
      <c r="L7404" t="inlineStr">
        <is>
          <t>19:25:45</t>
        </is>
      </c>
      <c r="M7404" t="inlineStr">
        <is>
          <t>19:25:55</t>
        </is>
      </c>
    </row>
    <row r="7405" ht="15" customHeight="1" s="37">
      <c r="A7405" t="n">
        <v>20</v>
      </c>
      <c r="B7405" s="10" t="inlineStr">
        <is>
          <t>平日</t>
        </is>
      </c>
      <c r="C7405" s="10" t="inlineStr">
        <is>
          <t>北野線</t>
        </is>
      </c>
      <c r="D7405" s="10" t="inlineStr">
        <is>
          <t>上り</t>
        </is>
      </c>
      <c r="E7405" t="inlineStr">
        <is>
          <t>1954</t>
        </is>
      </c>
      <c r="F7405" t="inlineStr">
        <is>
          <t>0304</t>
        </is>
      </c>
      <c r="G7405" s="10" t="inlineStr">
        <is>
          <t>等持院</t>
        </is>
      </c>
      <c r="H7405" s="10" t="inlineStr">
        <is>
          <t>発</t>
        </is>
      </c>
      <c r="J7405" s="10" t="inlineStr">
        <is>
          <t>営業</t>
        </is>
      </c>
      <c r="L7405" t="inlineStr">
        <is>
          <t>19:26:35</t>
        </is>
      </c>
      <c r="M7405" t="inlineStr">
        <is>
          <t>19:26:55</t>
        </is>
      </c>
    </row>
    <row r="7406" ht="15" customHeight="1" s="37">
      <c r="A7406" t="n">
        <v>20</v>
      </c>
      <c r="B7406" s="10" t="inlineStr">
        <is>
          <t>平日</t>
        </is>
      </c>
      <c r="C7406" s="10" t="inlineStr">
        <is>
          <t>北野線</t>
        </is>
      </c>
      <c r="D7406" s="10" t="inlineStr">
        <is>
          <t>上り</t>
        </is>
      </c>
      <c r="E7406" t="inlineStr">
        <is>
          <t>1954</t>
        </is>
      </c>
      <c r="F7406" t="inlineStr">
        <is>
          <t>0304</t>
        </is>
      </c>
      <c r="G7406" s="10" t="inlineStr">
        <is>
          <t>北野白梅町</t>
        </is>
      </c>
      <c r="H7406" s="10" t="inlineStr">
        <is>
          <t>着</t>
        </is>
      </c>
      <c r="J7406" s="10" t="inlineStr">
        <is>
          <t>営業</t>
        </is>
      </c>
      <c r="L7406" t="inlineStr">
        <is>
          <t>19:28:15</t>
        </is>
      </c>
      <c r="N7406" t="inlineStr">
        <is>
          <t>○</t>
        </is>
      </c>
      <c r="Q7406" t="inlineStr">
        <is>
          <t>1</t>
        </is>
      </c>
    </row>
    <row r="7407" ht="15" customHeight="1" s="37">
      <c r="A7407" t="n">
        <v>20</v>
      </c>
      <c r="B7407" s="10" t="inlineStr">
        <is>
          <t>平日</t>
        </is>
      </c>
      <c r="C7407" s="10" t="inlineStr">
        <is>
          <t>北野線</t>
        </is>
      </c>
      <c r="D7407" s="10" t="inlineStr">
        <is>
          <t>下り</t>
        </is>
      </c>
      <c r="E7407" t="inlineStr">
        <is>
          <t>1957</t>
        </is>
      </c>
      <c r="F7407" t="inlineStr">
        <is>
          <t>0453</t>
        </is>
      </c>
      <c r="G7407" s="10" t="inlineStr">
        <is>
          <t>北野白梅町</t>
        </is>
      </c>
      <c r="H7407" s="10" t="inlineStr">
        <is>
          <t>発</t>
        </is>
      </c>
      <c r="J7407" s="10" t="inlineStr">
        <is>
          <t>営業</t>
        </is>
      </c>
      <c r="M7407" t="inlineStr">
        <is>
          <t>19:33:00</t>
        </is>
      </c>
      <c r="Q7407" t="inlineStr">
        <is>
          <t>1</t>
        </is>
      </c>
    </row>
    <row r="7408" ht="15" customHeight="1" s="37">
      <c r="A7408" t="n">
        <v>20</v>
      </c>
      <c r="B7408" s="10" t="inlineStr">
        <is>
          <t>平日</t>
        </is>
      </c>
      <c r="C7408" s="10" t="inlineStr">
        <is>
          <t>北野線</t>
        </is>
      </c>
      <c r="D7408" s="10" t="inlineStr">
        <is>
          <t>下り</t>
        </is>
      </c>
      <c r="E7408" t="inlineStr">
        <is>
          <t>1957</t>
        </is>
      </c>
      <c r="F7408" t="inlineStr">
        <is>
          <t>0453</t>
        </is>
      </c>
      <c r="G7408" s="10" t="inlineStr">
        <is>
          <t>等持院</t>
        </is>
      </c>
      <c r="H7408" s="10" t="inlineStr">
        <is>
          <t>発</t>
        </is>
      </c>
      <c r="J7408" s="10" t="inlineStr">
        <is>
          <t>営業</t>
        </is>
      </c>
      <c r="L7408" t="inlineStr">
        <is>
          <t>19:34:25</t>
        </is>
      </c>
      <c r="M7408" t="inlineStr">
        <is>
          <t>19:34:35</t>
        </is>
      </c>
    </row>
    <row r="7409" ht="15" customHeight="1" s="37">
      <c r="A7409" t="n">
        <v>20</v>
      </c>
      <c r="B7409" s="10" t="inlineStr">
        <is>
          <t>平日</t>
        </is>
      </c>
      <c r="C7409" s="10" t="inlineStr">
        <is>
          <t>北野線</t>
        </is>
      </c>
      <c r="D7409" s="10" t="inlineStr">
        <is>
          <t>下り</t>
        </is>
      </c>
      <c r="E7409" t="inlineStr">
        <is>
          <t>1957</t>
        </is>
      </c>
      <c r="F7409" t="inlineStr">
        <is>
          <t>0453</t>
        </is>
      </c>
      <c r="G7409" s="10" t="inlineStr">
        <is>
          <t>龍安寺</t>
        </is>
      </c>
      <c r="H7409" s="10" t="inlineStr">
        <is>
          <t>発</t>
        </is>
      </c>
      <c r="J7409" s="10" t="inlineStr">
        <is>
          <t>営業</t>
        </is>
      </c>
      <c r="L7409" t="inlineStr">
        <is>
          <t>19:35:25</t>
        </is>
      </c>
      <c r="M7409" t="inlineStr">
        <is>
          <t>19:35:50</t>
        </is>
      </c>
    </row>
    <row r="7410" ht="15" customHeight="1" s="37">
      <c r="A7410" t="n">
        <v>20</v>
      </c>
      <c r="B7410" s="10" t="inlineStr">
        <is>
          <t>平日</t>
        </is>
      </c>
      <c r="C7410" s="10" t="inlineStr">
        <is>
          <t>北野線</t>
        </is>
      </c>
      <c r="D7410" s="10" t="inlineStr">
        <is>
          <t>下り</t>
        </is>
      </c>
      <c r="E7410" t="inlineStr">
        <is>
          <t>1957</t>
        </is>
      </c>
      <c r="F7410" t="inlineStr">
        <is>
          <t>0453</t>
        </is>
      </c>
      <c r="G7410" s="10" t="inlineStr">
        <is>
          <t>妙心寺</t>
        </is>
      </c>
      <c r="H7410" s="10" t="inlineStr">
        <is>
          <t>発</t>
        </is>
      </c>
      <c r="J7410" s="10" t="inlineStr">
        <is>
          <t>営業</t>
        </is>
      </c>
      <c r="L7410" t="inlineStr">
        <is>
          <t>19:36:40</t>
        </is>
      </c>
      <c r="M7410" t="inlineStr">
        <is>
          <t>19:36:50</t>
        </is>
      </c>
    </row>
    <row r="7411" ht="15" customHeight="1" s="37">
      <c r="A7411" t="n">
        <v>20</v>
      </c>
      <c r="B7411" s="10" t="inlineStr">
        <is>
          <t>平日</t>
        </is>
      </c>
      <c r="C7411" s="10" t="inlineStr">
        <is>
          <t>北野線</t>
        </is>
      </c>
      <c r="D7411" s="10" t="inlineStr">
        <is>
          <t>下り</t>
        </is>
      </c>
      <c r="E7411" t="inlineStr">
        <is>
          <t>1957</t>
        </is>
      </c>
      <c r="F7411" t="inlineStr">
        <is>
          <t>0453</t>
        </is>
      </c>
      <c r="G7411" s="10" t="inlineStr">
        <is>
          <t>御室仁和寺</t>
        </is>
      </c>
      <c r="H7411" s="10" t="inlineStr">
        <is>
          <t>発</t>
        </is>
      </c>
      <c r="J7411" s="10" t="inlineStr">
        <is>
          <t>営業</t>
        </is>
      </c>
      <c r="L7411" t="inlineStr">
        <is>
          <t>19:37:50</t>
        </is>
      </c>
      <c r="M7411" t="inlineStr">
        <is>
          <t>19:38:05</t>
        </is>
      </c>
    </row>
    <row r="7412" ht="15" customHeight="1" s="37">
      <c r="A7412" t="n">
        <v>20</v>
      </c>
      <c r="B7412" s="10" t="inlineStr">
        <is>
          <t>平日</t>
        </is>
      </c>
      <c r="C7412" s="10" t="inlineStr">
        <is>
          <t>北野線</t>
        </is>
      </c>
      <c r="D7412" s="10" t="inlineStr">
        <is>
          <t>下り</t>
        </is>
      </c>
      <c r="E7412" t="inlineStr">
        <is>
          <t>1957</t>
        </is>
      </c>
      <c r="F7412" t="inlineStr">
        <is>
          <t>0453</t>
        </is>
      </c>
      <c r="G7412" s="10" t="inlineStr">
        <is>
          <t>宇多野</t>
        </is>
      </c>
      <c r="H7412" s="10" t="inlineStr">
        <is>
          <t>発</t>
        </is>
      </c>
      <c r="J7412" s="10" t="inlineStr">
        <is>
          <t>営業</t>
        </is>
      </c>
      <c r="L7412" t="inlineStr">
        <is>
          <t>19:39:05</t>
        </is>
      </c>
      <c r="M7412" t="inlineStr">
        <is>
          <t>19:39:15</t>
        </is>
      </c>
    </row>
    <row r="7413" ht="15" customHeight="1" s="37">
      <c r="A7413" t="n">
        <v>20</v>
      </c>
      <c r="B7413" s="10" t="inlineStr">
        <is>
          <t>平日</t>
        </is>
      </c>
      <c r="C7413" s="10" t="inlineStr">
        <is>
          <t>北野線</t>
        </is>
      </c>
      <c r="D7413" s="10" t="inlineStr">
        <is>
          <t>下り</t>
        </is>
      </c>
      <c r="E7413" t="inlineStr">
        <is>
          <t>1957</t>
        </is>
      </c>
      <c r="F7413" t="inlineStr">
        <is>
          <t>0453</t>
        </is>
      </c>
      <c r="G7413" s="10" t="inlineStr">
        <is>
          <t>鳴滝</t>
        </is>
      </c>
      <c r="H7413" s="10" t="inlineStr">
        <is>
          <t>発</t>
        </is>
      </c>
      <c r="J7413" s="10" t="inlineStr">
        <is>
          <t>営業</t>
        </is>
      </c>
      <c r="L7413" t="inlineStr">
        <is>
          <t>19:40:35</t>
        </is>
      </c>
      <c r="M7413" t="inlineStr">
        <is>
          <t>19:40:45</t>
        </is>
      </c>
    </row>
    <row r="7414" ht="15" customHeight="1" s="37">
      <c r="A7414" t="n">
        <v>20</v>
      </c>
      <c r="B7414" s="10" t="inlineStr">
        <is>
          <t>平日</t>
        </is>
      </c>
      <c r="C7414" s="10" t="inlineStr">
        <is>
          <t>北野線</t>
        </is>
      </c>
      <c r="D7414" s="10" t="inlineStr">
        <is>
          <t>下り</t>
        </is>
      </c>
      <c r="E7414" t="inlineStr">
        <is>
          <t>1957</t>
        </is>
      </c>
      <c r="F7414" t="inlineStr">
        <is>
          <t>0453</t>
        </is>
      </c>
      <c r="G7414" s="10" t="inlineStr">
        <is>
          <t>常盤</t>
        </is>
      </c>
      <c r="H7414" s="10" t="inlineStr">
        <is>
          <t>発</t>
        </is>
      </c>
      <c r="J7414" s="10" t="inlineStr">
        <is>
          <t>営業</t>
        </is>
      </c>
      <c r="L7414" t="inlineStr">
        <is>
          <t>19:41:35</t>
        </is>
      </c>
      <c r="M7414" t="inlineStr">
        <is>
          <t>19:41:55</t>
        </is>
      </c>
    </row>
    <row r="7415" ht="15" customHeight="1" s="37">
      <c r="A7415" t="n">
        <v>20</v>
      </c>
      <c r="B7415" s="10" t="inlineStr">
        <is>
          <t>平日</t>
        </is>
      </c>
      <c r="C7415" s="10" t="inlineStr">
        <is>
          <t>北野線</t>
        </is>
      </c>
      <c r="D7415" s="10" t="inlineStr">
        <is>
          <t>下り</t>
        </is>
      </c>
      <c r="E7415" t="inlineStr">
        <is>
          <t>1957</t>
        </is>
      </c>
      <c r="F7415" t="inlineStr">
        <is>
          <t>0453</t>
        </is>
      </c>
      <c r="G7415" s="10" t="inlineStr">
        <is>
          <t>撮影所前</t>
        </is>
      </c>
      <c r="H7415" s="10" t="inlineStr">
        <is>
          <t>発</t>
        </is>
      </c>
      <c r="J7415" s="10" t="inlineStr">
        <is>
          <t>営業</t>
        </is>
      </c>
      <c r="L7415" t="inlineStr">
        <is>
          <t>19:43:15</t>
        </is>
      </c>
      <c r="M7415" t="inlineStr">
        <is>
          <t>19:43:30</t>
        </is>
      </c>
    </row>
    <row r="7416" ht="15" customHeight="1" s="37">
      <c r="A7416" t="n">
        <v>20</v>
      </c>
      <c r="B7416" s="10" t="inlineStr">
        <is>
          <t>平日</t>
        </is>
      </c>
      <c r="C7416" s="10" t="inlineStr">
        <is>
          <t>北野線</t>
        </is>
      </c>
      <c r="D7416" s="10" t="inlineStr">
        <is>
          <t>下り</t>
        </is>
      </c>
      <c r="E7416" t="inlineStr">
        <is>
          <t>1957</t>
        </is>
      </c>
      <c r="F7416" t="inlineStr">
        <is>
          <t>0453</t>
        </is>
      </c>
      <c r="G7416" s="10" t="inlineStr">
        <is>
          <t>帷子ノ辻</t>
        </is>
      </c>
      <c r="H7416" s="10" t="inlineStr">
        <is>
          <t>着</t>
        </is>
      </c>
      <c r="J7416" s="10" t="inlineStr">
        <is>
          <t>営業</t>
        </is>
      </c>
      <c r="L7416" t="inlineStr">
        <is>
          <t>19:44:25</t>
        </is>
      </c>
      <c r="Q7416" t="inlineStr">
        <is>
          <t>3</t>
        </is>
      </c>
      <c r="T7416" t="inlineStr">
        <is>
          <t>○</t>
        </is>
      </c>
    </row>
    <row r="7417" ht="15" customHeight="1" s="37">
      <c r="A7417" t="n">
        <v>20</v>
      </c>
      <c r="B7417" s="10" t="inlineStr">
        <is>
          <t>平日</t>
        </is>
      </c>
      <c r="C7417" s="10" t="inlineStr">
        <is>
          <t>本線</t>
        </is>
      </c>
      <c r="D7417" s="10" t="inlineStr">
        <is>
          <t>下り</t>
        </is>
      </c>
      <c r="E7417" t="inlineStr">
        <is>
          <t>20系統②便乗</t>
        </is>
      </c>
      <c r="F7417" s="10" t="inlineStr">
        <is>
          <t>便乗</t>
        </is>
      </c>
      <c r="G7417" s="10" t="inlineStr">
        <is>
          <t>西院</t>
        </is>
      </c>
      <c r="H7417" s="10" t="inlineStr">
        <is>
          <t>発</t>
        </is>
      </c>
      <c r="J7417" s="10" t="inlineStr">
        <is>
          <t>便乗</t>
        </is>
      </c>
      <c r="L7417" t="inlineStr">
        <is>
          <t>7:02:50</t>
        </is>
      </c>
      <c r="M7417" t="inlineStr">
        <is>
          <t>7:03:20</t>
        </is>
      </c>
      <c r="S7417" t="inlineStr">
        <is>
          <t>連0701</t>
        </is>
      </c>
    </row>
    <row r="7418" ht="15" customHeight="1" s="37">
      <c r="A7418" t="n">
        <v>20</v>
      </c>
      <c r="B7418" s="10" t="inlineStr">
        <is>
          <t>平日</t>
        </is>
      </c>
      <c r="C7418" s="10" t="inlineStr">
        <is>
          <t>本線</t>
        </is>
      </c>
      <c r="D7418" s="10" t="inlineStr">
        <is>
          <t>下り</t>
        </is>
      </c>
      <c r="E7418" t="inlineStr">
        <is>
          <t>20系統②便乗</t>
        </is>
      </c>
      <c r="F7418" s="10" t="inlineStr">
        <is>
          <t>便乗</t>
        </is>
      </c>
      <c r="G7418" s="10" t="inlineStr">
        <is>
          <t>西大路三条</t>
        </is>
      </c>
      <c r="H7418" s="10" t="inlineStr">
        <is>
          <t>発</t>
        </is>
      </c>
      <c r="J7418" s="10" t="inlineStr">
        <is>
          <t>便乗</t>
        </is>
      </c>
      <c r="L7418" t="inlineStr">
        <is>
          <t>7:05:10</t>
        </is>
      </c>
      <c r="M7418" t="inlineStr">
        <is>
          <t>7:05:30</t>
        </is>
      </c>
      <c r="S7418" t="inlineStr">
        <is>
          <t>連0701</t>
        </is>
      </c>
    </row>
    <row r="7419" ht="15" customHeight="1" s="37">
      <c r="A7419" t="n">
        <v>20</v>
      </c>
      <c r="B7419" s="10" t="inlineStr">
        <is>
          <t>平日</t>
        </is>
      </c>
      <c r="C7419" s="10" t="inlineStr">
        <is>
          <t>本線</t>
        </is>
      </c>
      <c r="D7419" s="10" t="inlineStr">
        <is>
          <t>下り</t>
        </is>
      </c>
      <c r="E7419" t="inlineStr">
        <is>
          <t>20系統②便乗</t>
        </is>
      </c>
      <c r="F7419" s="10" t="inlineStr">
        <is>
          <t>便乗</t>
        </is>
      </c>
      <c r="G7419" s="10" t="inlineStr">
        <is>
          <t>山ノ内</t>
        </is>
      </c>
      <c r="H7419" s="10" t="inlineStr">
        <is>
          <t>発</t>
        </is>
      </c>
      <c r="J7419" s="10" t="inlineStr">
        <is>
          <t>便乗</t>
        </is>
      </c>
      <c r="L7419" t="inlineStr">
        <is>
          <t>7:07:25</t>
        </is>
      </c>
      <c r="M7419" t="inlineStr">
        <is>
          <t>7:07:50</t>
        </is>
      </c>
      <c r="S7419" t="inlineStr">
        <is>
          <t>連0701</t>
        </is>
      </c>
    </row>
    <row r="7420" ht="15" customHeight="1" s="37">
      <c r="A7420" t="n">
        <v>20</v>
      </c>
      <c r="B7420" s="10" t="inlineStr">
        <is>
          <t>平日</t>
        </is>
      </c>
      <c r="C7420" s="10" t="inlineStr">
        <is>
          <t>本線</t>
        </is>
      </c>
      <c r="D7420" s="10" t="inlineStr">
        <is>
          <t>下り</t>
        </is>
      </c>
      <c r="E7420" t="inlineStr">
        <is>
          <t>20系統②便乗</t>
        </is>
      </c>
      <c r="F7420" s="10" t="inlineStr">
        <is>
          <t>便乗</t>
        </is>
      </c>
      <c r="G7420" s="10" t="inlineStr">
        <is>
          <t>天神川</t>
        </is>
      </c>
      <c r="H7420" s="10" t="inlineStr">
        <is>
          <t>発</t>
        </is>
      </c>
      <c r="J7420" s="10" t="inlineStr">
        <is>
          <t>便乗</t>
        </is>
      </c>
      <c r="L7420" t="inlineStr">
        <is>
          <t>7:09:50</t>
        </is>
      </c>
      <c r="M7420" t="inlineStr">
        <is>
          <t>7:10:30</t>
        </is>
      </c>
      <c r="S7420" t="inlineStr">
        <is>
          <t>連0701</t>
        </is>
      </c>
    </row>
    <row r="7421" ht="15" customHeight="1" s="37">
      <c r="A7421" t="n">
        <v>20</v>
      </c>
      <c r="B7421" s="10" t="inlineStr">
        <is>
          <t>平日</t>
        </is>
      </c>
      <c r="C7421" s="10" t="inlineStr">
        <is>
          <t>本線</t>
        </is>
      </c>
      <c r="D7421" s="10" t="inlineStr">
        <is>
          <t>下り</t>
        </is>
      </c>
      <c r="E7421" t="inlineStr">
        <is>
          <t>20系統②便乗</t>
        </is>
      </c>
      <c r="F7421" s="10" t="inlineStr">
        <is>
          <t>便乗</t>
        </is>
      </c>
      <c r="G7421" s="10" t="inlineStr">
        <is>
          <t>蚕ノ社</t>
        </is>
      </c>
      <c r="H7421" s="10" t="inlineStr">
        <is>
          <t>発</t>
        </is>
      </c>
      <c r="J7421" s="10" t="inlineStr">
        <is>
          <t>便乗</t>
        </is>
      </c>
      <c r="L7421" t="inlineStr">
        <is>
          <t>7:11:20</t>
        </is>
      </c>
      <c r="M7421" t="inlineStr">
        <is>
          <t>7:11:40</t>
        </is>
      </c>
      <c r="S7421" t="inlineStr">
        <is>
          <t>連0701</t>
        </is>
      </c>
    </row>
    <row r="7422" ht="15" customHeight="1" s="37">
      <c r="A7422" t="n">
        <v>20</v>
      </c>
      <c r="B7422" s="10" t="inlineStr">
        <is>
          <t>平日</t>
        </is>
      </c>
      <c r="C7422" s="10" t="inlineStr">
        <is>
          <t>本線</t>
        </is>
      </c>
      <c r="D7422" s="10" t="inlineStr">
        <is>
          <t>下り</t>
        </is>
      </c>
      <c r="E7422" t="inlineStr">
        <is>
          <t>20系統②便乗</t>
        </is>
      </c>
      <c r="F7422" s="10" t="inlineStr">
        <is>
          <t>便乗</t>
        </is>
      </c>
      <c r="G7422" s="10" t="inlineStr">
        <is>
          <t>太秦広隆寺</t>
        </is>
      </c>
      <c r="H7422" s="10" t="inlineStr">
        <is>
          <t>発</t>
        </is>
      </c>
      <c r="J7422" s="10" t="inlineStr">
        <is>
          <t>便乗</t>
        </is>
      </c>
      <c r="L7422" t="inlineStr">
        <is>
          <t>7:13:00</t>
        </is>
      </c>
      <c r="M7422" t="inlineStr">
        <is>
          <t>7:13:20</t>
        </is>
      </c>
      <c r="S7422" t="inlineStr">
        <is>
          <t>連0701</t>
        </is>
      </c>
    </row>
    <row r="7423" ht="15" customHeight="1" s="37">
      <c r="A7423" t="n">
        <v>20</v>
      </c>
      <c r="B7423" s="10" t="inlineStr">
        <is>
          <t>平日</t>
        </is>
      </c>
      <c r="C7423" s="10" t="inlineStr">
        <is>
          <t>本線</t>
        </is>
      </c>
      <c r="D7423" s="10" t="inlineStr">
        <is>
          <t>下り</t>
        </is>
      </c>
      <c r="E7423" t="inlineStr">
        <is>
          <t>20系統②便乗</t>
        </is>
      </c>
      <c r="F7423" s="10" t="inlineStr">
        <is>
          <t>便乗</t>
        </is>
      </c>
      <c r="G7423" s="10" t="inlineStr">
        <is>
          <t>帷子ノ辻</t>
        </is>
      </c>
      <c r="H7423" s="10" t="inlineStr">
        <is>
          <t>着</t>
        </is>
      </c>
      <c r="J7423" s="10" t="inlineStr">
        <is>
          <t>便乗</t>
        </is>
      </c>
      <c r="L7423" t="inlineStr">
        <is>
          <t>7:15:20</t>
        </is>
      </c>
      <c r="M7423" t="inlineStr">
        <is>
          <t>7:16:40</t>
        </is>
      </c>
      <c r="S7423" t="inlineStr">
        <is>
          <t>連0701</t>
        </is>
      </c>
    </row>
    <row r="7424" ht="15" customHeight="1" s="37">
      <c r="A7424" t="n">
        <v>20</v>
      </c>
      <c r="B7424" s="10" t="inlineStr">
        <is>
          <t>平日</t>
        </is>
      </c>
      <c r="C7424" s="10" t="inlineStr">
        <is>
          <t>本線</t>
        </is>
      </c>
      <c r="D7424" s="10" t="inlineStr">
        <is>
          <t>上り</t>
        </is>
      </c>
      <c r="E7424" t="inlineStr">
        <is>
          <t>20系統⑤便乗</t>
        </is>
      </c>
      <c r="F7424" s="10" t="inlineStr">
        <is>
          <t>便乗</t>
        </is>
      </c>
      <c r="G7424" s="10" t="inlineStr">
        <is>
          <t>帷子ノ辻</t>
        </is>
      </c>
      <c r="H7424" s="10" t="inlineStr">
        <is>
          <t>発</t>
        </is>
      </c>
      <c r="J7424" s="10" t="inlineStr">
        <is>
          <t>便乗</t>
        </is>
      </c>
      <c r="L7424" t="inlineStr">
        <is>
          <t>10:20:10</t>
        </is>
      </c>
      <c r="M7424" t="inlineStr">
        <is>
          <t>10:21:15</t>
        </is>
      </c>
      <c r="S7424" t="inlineStr">
        <is>
          <t>1004</t>
        </is>
      </c>
    </row>
    <row r="7425" ht="15" customHeight="1" s="37">
      <c r="A7425" t="n">
        <v>20</v>
      </c>
      <c r="B7425" s="10" t="inlineStr">
        <is>
          <t>平日</t>
        </is>
      </c>
      <c r="C7425" s="10" t="inlineStr">
        <is>
          <t>本線</t>
        </is>
      </c>
      <c r="D7425" s="10" t="inlineStr">
        <is>
          <t>上り</t>
        </is>
      </c>
      <c r="E7425" t="inlineStr">
        <is>
          <t>20系統⑤便乗</t>
        </is>
      </c>
      <c r="F7425" s="10" t="inlineStr">
        <is>
          <t>便乗</t>
        </is>
      </c>
      <c r="G7425" s="10" t="inlineStr">
        <is>
          <t>太秦広隆寺</t>
        </is>
      </c>
      <c r="H7425" s="10" t="inlineStr">
        <is>
          <t>発</t>
        </is>
      </c>
      <c r="J7425" s="10" t="inlineStr">
        <is>
          <t>便乗</t>
        </is>
      </c>
      <c r="L7425" t="inlineStr">
        <is>
          <t>10:23:25</t>
        </is>
      </c>
      <c r="M7425" t="inlineStr">
        <is>
          <t>10:23:45</t>
        </is>
      </c>
      <c r="S7425" t="inlineStr">
        <is>
          <t>1004</t>
        </is>
      </c>
    </row>
    <row r="7426" ht="15" customHeight="1" s="37">
      <c r="A7426" t="n">
        <v>20</v>
      </c>
      <c r="B7426" s="10" t="inlineStr">
        <is>
          <t>平日</t>
        </is>
      </c>
      <c r="C7426" s="10" t="inlineStr">
        <is>
          <t>本線</t>
        </is>
      </c>
      <c r="D7426" s="10" t="inlineStr">
        <is>
          <t>上り</t>
        </is>
      </c>
      <c r="E7426" t="inlineStr">
        <is>
          <t>20系統⑤便乗</t>
        </is>
      </c>
      <c r="F7426" s="10" t="inlineStr">
        <is>
          <t>便乗</t>
        </is>
      </c>
      <c r="G7426" s="10" t="inlineStr">
        <is>
          <t>蚕ノ社</t>
        </is>
      </c>
      <c r="H7426" s="10" t="inlineStr">
        <is>
          <t>発</t>
        </is>
      </c>
      <c r="J7426" s="10" t="inlineStr">
        <is>
          <t>便乗</t>
        </is>
      </c>
      <c r="L7426" t="inlineStr">
        <is>
          <t>10:25:00</t>
        </is>
      </c>
      <c r="M7426" t="inlineStr">
        <is>
          <t>10:25:20</t>
        </is>
      </c>
      <c r="S7426" t="inlineStr">
        <is>
          <t>1004</t>
        </is>
      </c>
    </row>
    <row r="7427" ht="15" customHeight="1" s="37">
      <c r="A7427" t="n">
        <v>20</v>
      </c>
      <c r="B7427" s="10" t="inlineStr">
        <is>
          <t>平日</t>
        </is>
      </c>
      <c r="C7427" s="10" t="inlineStr">
        <is>
          <t>本線</t>
        </is>
      </c>
      <c r="D7427" s="10" t="inlineStr">
        <is>
          <t>上り</t>
        </is>
      </c>
      <c r="E7427" t="inlineStr">
        <is>
          <t>20系統⑤便乗</t>
        </is>
      </c>
      <c r="F7427" s="10" t="inlineStr">
        <is>
          <t>便乗</t>
        </is>
      </c>
      <c r="G7427" s="10" t="inlineStr">
        <is>
          <t>天神川</t>
        </is>
      </c>
      <c r="H7427" s="10" t="inlineStr">
        <is>
          <t>発</t>
        </is>
      </c>
      <c r="J7427" s="10" t="inlineStr">
        <is>
          <t>便乗</t>
        </is>
      </c>
      <c r="L7427" t="inlineStr">
        <is>
          <t>10:26:05</t>
        </is>
      </c>
      <c r="M7427" t="inlineStr">
        <is>
          <t>10:26:50</t>
        </is>
      </c>
      <c r="S7427" t="inlineStr">
        <is>
          <t>1004</t>
        </is>
      </c>
    </row>
    <row r="7428" ht="15" customHeight="1" s="37">
      <c r="A7428" t="n">
        <v>20</v>
      </c>
      <c r="B7428" s="10" t="inlineStr">
        <is>
          <t>平日</t>
        </is>
      </c>
      <c r="C7428" s="10" t="inlineStr">
        <is>
          <t>本線</t>
        </is>
      </c>
      <c r="D7428" s="10" t="inlineStr">
        <is>
          <t>上り</t>
        </is>
      </c>
      <c r="E7428" t="inlineStr">
        <is>
          <t>20系統⑤便乗</t>
        </is>
      </c>
      <c r="F7428" s="10" t="inlineStr">
        <is>
          <t>便乗</t>
        </is>
      </c>
      <c r="G7428" s="10" t="inlineStr">
        <is>
          <t>山ノ内</t>
        </is>
      </c>
      <c r="H7428" s="10" t="inlineStr">
        <is>
          <t>発</t>
        </is>
      </c>
      <c r="J7428" s="10" t="inlineStr">
        <is>
          <t>便乗</t>
        </is>
      </c>
      <c r="L7428" t="inlineStr">
        <is>
          <t>10:28:40</t>
        </is>
      </c>
      <c r="M7428" t="inlineStr">
        <is>
          <t>10:29:05</t>
        </is>
      </c>
      <c r="S7428" t="inlineStr">
        <is>
          <t>1004</t>
        </is>
      </c>
    </row>
    <row r="7429" ht="15" customHeight="1" s="37">
      <c r="A7429" t="n">
        <v>20</v>
      </c>
      <c r="B7429" s="10" t="inlineStr">
        <is>
          <t>平日</t>
        </is>
      </c>
      <c r="C7429" s="10" t="inlineStr">
        <is>
          <t>本線</t>
        </is>
      </c>
      <c r="D7429" s="10" t="inlineStr">
        <is>
          <t>上り</t>
        </is>
      </c>
      <c r="E7429" t="inlineStr">
        <is>
          <t>20系統⑤便乗</t>
        </is>
      </c>
      <c r="F7429" s="10" t="inlineStr">
        <is>
          <t>便乗</t>
        </is>
      </c>
      <c r="G7429" s="10" t="inlineStr">
        <is>
          <t>西大路三条</t>
        </is>
      </c>
      <c r="H7429" s="10" t="inlineStr">
        <is>
          <t>発</t>
        </is>
      </c>
      <c r="J7429" s="10" t="inlineStr">
        <is>
          <t>便乗</t>
        </is>
      </c>
      <c r="L7429" t="inlineStr">
        <is>
          <t>10:30:55</t>
        </is>
      </c>
      <c r="M7429" t="inlineStr">
        <is>
          <t>10:31:15</t>
        </is>
      </c>
      <c r="S7429" t="inlineStr">
        <is>
          <t>1004</t>
        </is>
      </c>
    </row>
    <row r="7430" ht="15" customHeight="1" s="37">
      <c r="A7430" t="n">
        <v>20</v>
      </c>
      <c r="B7430" s="10" t="inlineStr">
        <is>
          <t>平日</t>
        </is>
      </c>
      <c r="C7430" s="10" t="inlineStr">
        <is>
          <t>本線</t>
        </is>
      </c>
      <c r="D7430" s="10" t="inlineStr">
        <is>
          <t>上り</t>
        </is>
      </c>
      <c r="E7430" t="inlineStr">
        <is>
          <t>20系統⑤便乗</t>
        </is>
      </c>
      <c r="F7430" s="10" t="inlineStr">
        <is>
          <t>便乗</t>
        </is>
      </c>
      <c r="G7430" s="10" t="inlineStr">
        <is>
          <t>西院</t>
        </is>
      </c>
      <c r="H7430" s="10" t="inlineStr">
        <is>
          <t>着</t>
        </is>
      </c>
      <c r="J7430" s="10" t="inlineStr">
        <is>
          <t>便乗</t>
        </is>
      </c>
      <c r="L7430" t="inlineStr">
        <is>
          <t>10:33:10</t>
        </is>
      </c>
      <c r="M7430" t="inlineStr">
        <is>
          <t>10:34:05</t>
        </is>
      </c>
      <c r="S7430" t="inlineStr">
        <is>
          <t>1004</t>
        </is>
      </c>
    </row>
    <row r="7431" ht="15" customHeight="1" s="37">
      <c r="A7431" t="n">
        <v>20</v>
      </c>
      <c r="B7431" s="10" t="inlineStr">
        <is>
          <t>平日</t>
        </is>
      </c>
      <c r="C7431" s="10" t="inlineStr">
        <is>
          <t>本線</t>
        </is>
      </c>
      <c r="D7431" s="10" t="inlineStr">
        <is>
          <t>下り</t>
        </is>
      </c>
      <c r="E7431" t="inlineStr">
        <is>
          <t>20系統⑦便乗</t>
        </is>
      </c>
      <c r="F7431" s="10" t="inlineStr">
        <is>
          <t>便乗</t>
        </is>
      </c>
      <c r="G7431" s="10" t="inlineStr">
        <is>
          <t>西院</t>
        </is>
      </c>
      <c r="H7431" s="10" t="inlineStr">
        <is>
          <t>発</t>
        </is>
      </c>
      <c r="J7431" s="10" t="inlineStr">
        <is>
          <t>便乗</t>
        </is>
      </c>
      <c r="L7431" t="inlineStr">
        <is>
          <t>15:25:50</t>
        </is>
      </c>
      <c r="M7431" t="inlineStr">
        <is>
          <t>15:26:20</t>
        </is>
      </c>
      <c r="S7431" t="inlineStr">
        <is>
          <t>連1505</t>
        </is>
      </c>
    </row>
    <row r="7432" ht="15" customHeight="1" s="37">
      <c r="A7432" t="n">
        <v>20</v>
      </c>
      <c r="B7432" s="10" t="inlineStr">
        <is>
          <t>平日</t>
        </is>
      </c>
      <c r="C7432" s="10" t="inlineStr">
        <is>
          <t>本線</t>
        </is>
      </c>
      <c r="D7432" s="10" t="inlineStr">
        <is>
          <t>下り</t>
        </is>
      </c>
      <c r="E7432" t="inlineStr">
        <is>
          <t>20系統⑦便乗</t>
        </is>
      </c>
      <c r="F7432" s="10" t="inlineStr">
        <is>
          <t>便乗</t>
        </is>
      </c>
      <c r="G7432" s="10" t="inlineStr">
        <is>
          <t>西大路三条</t>
        </is>
      </c>
      <c r="H7432" s="10" t="inlineStr">
        <is>
          <t>発</t>
        </is>
      </c>
      <c r="J7432" s="10" t="inlineStr">
        <is>
          <t>便乗</t>
        </is>
      </c>
      <c r="L7432" t="inlineStr">
        <is>
          <t>15:28:10</t>
        </is>
      </c>
      <c r="M7432" t="inlineStr">
        <is>
          <t>15:28:30</t>
        </is>
      </c>
      <c r="S7432" t="inlineStr">
        <is>
          <t>連1505</t>
        </is>
      </c>
    </row>
    <row r="7433" ht="15" customHeight="1" s="37">
      <c r="A7433" t="n">
        <v>20</v>
      </c>
      <c r="B7433" s="10" t="inlineStr">
        <is>
          <t>平日</t>
        </is>
      </c>
      <c r="C7433" s="10" t="inlineStr">
        <is>
          <t>本線</t>
        </is>
      </c>
      <c r="D7433" s="10" t="inlineStr">
        <is>
          <t>下り</t>
        </is>
      </c>
      <c r="E7433" t="inlineStr">
        <is>
          <t>20系統⑦便乗</t>
        </is>
      </c>
      <c r="F7433" s="10" t="inlineStr">
        <is>
          <t>便乗</t>
        </is>
      </c>
      <c r="G7433" s="10" t="inlineStr">
        <is>
          <t>山ノ内</t>
        </is>
      </c>
      <c r="H7433" s="10" t="inlineStr">
        <is>
          <t>発</t>
        </is>
      </c>
      <c r="J7433" s="10" t="inlineStr">
        <is>
          <t>便乗</t>
        </is>
      </c>
      <c r="L7433" t="inlineStr">
        <is>
          <t>15:30:25</t>
        </is>
      </c>
      <c r="M7433" t="inlineStr">
        <is>
          <t>15:30:50</t>
        </is>
      </c>
      <c r="S7433" t="inlineStr">
        <is>
          <t>連1505</t>
        </is>
      </c>
    </row>
    <row r="7434" ht="15" customHeight="1" s="37">
      <c r="A7434" t="n">
        <v>20</v>
      </c>
      <c r="B7434" s="10" t="inlineStr">
        <is>
          <t>平日</t>
        </is>
      </c>
      <c r="C7434" s="10" t="inlineStr">
        <is>
          <t>本線</t>
        </is>
      </c>
      <c r="D7434" s="10" t="inlineStr">
        <is>
          <t>下り</t>
        </is>
      </c>
      <c r="E7434" t="inlineStr">
        <is>
          <t>20系統⑦便乗</t>
        </is>
      </c>
      <c r="F7434" s="10" t="inlineStr">
        <is>
          <t>便乗</t>
        </is>
      </c>
      <c r="G7434" s="10" t="inlineStr">
        <is>
          <t>天神川</t>
        </is>
      </c>
      <c r="H7434" s="10" t="inlineStr">
        <is>
          <t>発</t>
        </is>
      </c>
      <c r="J7434" s="10" t="inlineStr">
        <is>
          <t>便乗</t>
        </is>
      </c>
      <c r="L7434" t="inlineStr">
        <is>
          <t>15:32:50</t>
        </is>
      </c>
      <c r="M7434" t="inlineStr">
        <is>
          <t>15:33:30</t>
        </is>
      </c>
      <c r="S7434" t="inlineStr">
        <is>
          <t>連1505</t>
        </is>
      </c>
    </row>
    <row r="7435" ht="15" customHeight="1" s="37">
      <c r="A7435" t="n">
        <v>20</v>
      </c>
      <c r="B7435" s="10" t="inlineStr">
        <is>
          <t>平日</t>
        </is>
      </c>
      <c r="C7435" s="10" t="inlineStr">
        <is>
          <t>本線</t>
        </is>
      </c>
      <c r="D7435" s="10" t="inlineStr">
        <is>
          <t>下り</t>
        </is>
      </c>
      <c r="E7435" t="inlineStr">
        <is>
          <t>20系統⑦便乗</t>
        </is>
      </c>
      <c r="F7435" s="10" t="inlineStr">
        <is>
          <t>便乗</t>
        </is>
      </c>
      <c r="G7435" s="10" t="inlineStr">
        <is>
          <t>蚕ノ社</t>
        </is>
      </c>
      <c r="H7435" s="10" t="inlineStr">
        <is>
          <t>発</t>
        </is>
      </c>
      <c r="J7435" s="10" t="inlineStr">
        <is>
          <t>便乗</t>
        </is>
      </c>
      <c r="L7435" t="inlineStr">
        <is>
          <t>15:34:20</t>
        </is>
      </c>
      <c r="M7435" t="inlineStr">
        <is>
          <t>15:34:40</t>
        </is>
      </c>
      <c r="S7435" t="inlineStr">
        <is>
          <t>連1505</t>
        </is>
      </c>
    </row>
    <row r="7436" ht="15" customHeight="1" s="37">
      <c r="A7436" t="n">
        <v>20</v>
      </c>
      <c r="B7436" s="10" t="inlineStr">
        <is>
          <t>平日</t>
        </is>
      </c>
      <c r="C7436" s="10" t="inlineStr">
        <is>
          <t>本線</t>
        </is>
      </c>
      <c r="D7436" s="10" t="inlineStr">
        <is>
          <t>下り</t>
        </is>
      </c>
      <c r="E7436" t="inlineStr">
        <is>
          <t>20系統⑦便乗</t>
        </is>
      </c>
      <c r="F7436" s="10" t="inlineStr">
        <is>
          <t>便乗</t>
        </is>
      </c>
      <c r="G7436" s="10" t="inlineStr">
        <is>
          <t>太秦広隆寺</t>
        </is>
      </c>
      <c r="H7436" s="10" t="inlineStr">
        <is>
          <t>発</t>
        </is>
      </c>
      <c r="J7436" s="10" t="inlineStr">
        <is>
          <t>便乗</t>
        </is>
      </c>
      <c r="L7436" t="inlineStr">
        <is>
          <t>15:36:00</t>
        </is>
      </c>
      <c r="M7436" t="inlineStr">
        <is>
          <t>15:36:20</t>
        </is>
      </c>
      <c r="S7436" t="inlineStr">
        <is>
          <t>連1505</t>
        </is>
      </c>
    </row>
    <row r="7437" ht="16.5" customHeight="1" s="37">
      <c r="A7437" t="n">
        <v>20</v>
      </c>
      <c r="B7437" s="10" t="inlineStr">
        <is>
          <t>平日</t>
        </is>
      </c>
      <c r="C7437" s="10" t="inlineStr">
        <is>
          <t>本線</t>
        </is>
      </c>
      <c r="D7437" s="10" t="inlineStr">
        <is>
          <t>下り</t>
        </is>
      </c>
      <c r="E7437" t="inlineStr">
        <is>
          <t>20系統⑦便乗</t>
        </is>
      </c>
      <c r="F7437" s="10" t="inlineStr">
        <is>
          <t>便乗</t>
        </is>
      </c>
      <c r="G7437" s="10" t="inlineStr">
        <is>
          <t>帷子ノ辻</t>
        </is>
      </c>
      <c r="H7437" s="10" t="inlineStr">
        <is>
          <t>着</t>
        </is>
      </c>
      <c r="J7437" s="10" t="inlineStr">
        <is>
          <t>便乗</t>
        </is>
      </c>
      <c r="L7437" t="inlineStr">
        <is>
          <t>15:38:20</t>
        </is>
      </c>
      <c r="M7437" t="inlineStr">
        <is>
          <t>15:39:40</t>
        </is>
      </c>
      <c r="S7437" t="inlineStr">
        <is>
          <t>連1505</t>
        </is>
      </c>
    </row>
    <row r="7438" ht="16.5" customHeight="1" s="37">
      <c r="A7438" t="n">
        <v>20</v>
      </c>
      <c r="B7438" s="10" t="inlineStr">
        <is>
          <t>平日</t>
        </is>
      </c>
      <c r="C7438" s="10" t="inlineStr">
        <is>
          <t>本線</t>
        </is>
      </c>
      <c r="D7438" s="10" t="inlineStr">
        <is>
          <t>上り</t>
        </is>
      </c>
      <c r="E7438" t="inlineStr">
        <is>
          <t>20系統⑫便乗</t>
        </is>
      </c>
      <c r="F7438" s="10" t="inlineStr">
        <is>
          <t>便乗</t>
        </is>
      </c>
      <c r="G7438" s="10" t="inlineStr">
        <is>
          <t>帷子ノ辻</t>
        </is>
      </c>
      <c r="H7438" s="10" t="inlineStr">
        <is>
          <t>発</t>
        </is>
      </c>
      <c r="J7438" s="10" t="inlineStr">
        <is>
          <t>便乗</t>
        </is>
      </c>
      <c r="L7438" t="inlineStr">
        <is>
          <t>19:50:10</t>
        </is>
      </c>
      <c r="M7438" t="inlineStr">
        <is>
          <t>19:51:15</t>
        </is>
      </c>
      <c r="S7438" t="inlineStr">
        <is>
          <t>1910</t>
        </is>
      </c>
    </row>
    <row r="7439" ht="16.5" customHeight="1" s="37">
      <c r="A7439" t="n">
        <v>20</v>
      </c>
      <c r="B7439" s="10" t="inlineStr">
        <is>
          <t>平日</t>
        </is>
      </c>
      <c r="C7439" s="10" t="inlineStr">
        <is>
          <t>本線</t>
        </is>
      </c>
      <c r="D7439" s="10" t="inlineStr">
        <is>
          <t>上り</t>
        </is>
      </c>
      <c r="E7439" t="inlineStr">
        <is>
          <t>20系統⑫便乗</t>
        </is>
      </c>
      <c r="F7439" s="10" t="inlineStr">
        <is>
          <t>便乗</t>
        </is>
      </c>
      <c r="G7439" s="10" t="inlineStr">
        <is>
          <t>太秦広隆寺</t>
        </is>
      </c>
      <c r="H7439" s="10" t="inlineStr">
        <is>
          <t>発</t>
        </is>
      </c>
      <c r="J7439" s="10" t="inlineStr">
        <is>
          <t>便乗</t>
        </is>
      </c>
      <c r="L7439" t="inlineStr">
        <is>
          <t>19:53:25</t>
        </is>
      </c>
      <c r="M7439" t="inlineStr">
        <is>
          <t>19:53:45</t>
        </is>
      </c>
      <c r="S7439" t="inlineStr">
        <is>
          <t>1910</t>
        </is>
      </c>
    </row>
    <row r="7440" ht="16.5" customHeight="1" s="37">
      <c r="A7440" t="n">
        <v>20</v>
      </c>
      <c r="B7440" s="10" t="inlineStr">
        <is>
          <t>平日</t>
        </is>
      </c>
      <c r="C7440" s="10" t="inlineStr">
        <is>
          <t>本線</t>
        </is>
      </c>
      <c r="D7440" s="10" t="inlineStr">
        <is>
          <t>上り</t>
        </is>
      </c>
      <c r="E7440" t="inlineStr">
        <is>
          <t>20系統⑫便乗</t>
        </is>
      </c>
      <c r="F7440" s="10" t="inlineStr">
        <is>
          <t>便乗</t>
        </is>
      </c>
      <c r="G7440" s="10" t="inlineStr">
        <is>
          <t>蚕ノ社</t>
        </is>
      </c>
      <c r="H7440" s="10" t="inlineStr">
        <is>
          <t>発</t>
        </is>
      </c>
      <c r="J7440" s="10" t="inlineStr">
        <is>
          <t>便乗</t>
        </is>
      </c>
      <c r="L7440" t="inlineStr">
        <is>
          <t>19:55:00</t>
        </is>
      </c>
      <c r="M7440" t="inlineStr">
        <is>
          <t>19:55:20</t>
        </is>
      </c>
      <c r="S7440" t="inlineStr">
        <is>
          <t>1910</t>
        </is>
      </c>
    </row>
    <row r="7441" ht="16.5" customHeight="1" s="37">
      <c r="A7441" t="n">
        <v>20</v>
      </c>
      <c r="B7441" s="10" t="inlineStr">
        <is>
          <t>平日</t>
        </is>
      </c>
      <c r="C7441" s="10" t="inlineStr">
        <is>
          <t>本線</t>
        </is>
      </c>
      <c r="D7441" s="10" t="inlineStr">
        <is>
          <t>上り</t>
        </is>
      </c>
      <c r="E7441" t="inlineStr">
        <is>
          <t>20系統⑫便乗</t>
        </is>
      </c>
      <c r="F7441" s="10" t="inlineStr">
        <is>
          <t>便乗</t>
        </is>
      </c>
      <c r="G7441" s="10" t="inlineStr">
        <is>
          <t>天神川</t>
        </is>
      </c>
      <c r="H7441" s="10" t="inlineStr">
        <is>
          <t>発</t>
        </is>
      </c>
      <c r="J7441" s="10" t="inlineStr">
        <is>
          <t>便乗</t>
        </is>
      </c>
      <c r="L7441" t="inlineStr">
        <is>
          <t>19:56:05</t>
        </is>
      </c>
      <c r="M7441" t="inlineStr">
        <is>
          <t>19:56:50</t>
        </is>
      </c>
      <c r="S7441" t="inlineStr">
        <is>
          <t>1910</t>
        </is>
      </c>
    </row>
    <row r="7442" ht="16.5" customHeight="1" s="37">
      <c r="A7442" t="n">
        <v>20</v>
      </c>
      <c r="B7442" s="10" t="inlineStr">
        <is>
          <t>平日</t>
        </is>
      </c>
      <c r="C7442" s="10" t="inlineStr">
        <is>
          <t>本線</t>
        </is>
      </c>
      <c r="D7442" s="10" t="inlineStr">
        <is>
          <t>上り</t>
        </is>
      </c>
      <c r="E7442" t="inlineStr">
        <is>
          <t>20系統⑫便乗</t>
        </is>
      </c>
      <c r="F7442" s="10" t="inlineStr">
        <is>
          <t>便乗</t>
        </is>
      </c>
      <c r="G7442" s="10" t="inlineStr">
        <is>
          <t>山ノ内</t>
        </is>
      </c>
      <c r="H7442" s="10" t="inlineStr">
        <is>
          <t>発</t>
        </is>
      </c>
      <c r="J7442" s="10" t="inlineStr">
        <is>
          <t>便乗</t>
        </is>
      </c>
      <c r="L7442" t="inlineStr">
        <is>
          <t>19:58:40</t>
        </is>
      </c>
      <c r="M7442" t="inlineStr">
        <is>
          <t>19:59:05</t>
        </is>
      </c>
      <c r="S7442" t="inlineStr">
        <is>
          <t>1910</t>
        </is>
      </c>
    </row>
    <row r="7443" ht="16.5" customHeight="1" s="37">
      <c r="A7443" t="n">
        <v>20</v>
      </c>
      <c r="B7443" s="10" t="inlineStr">
        <is>
          <t>平日</t>
        </is>
      </c>
      <c r="C7443" s="10" t="inlineStr">
        <is>
          <t>本線</t>
        </is>
      </c>
      <c r="D7443" s="10" t="inlineStr">
        <is>
          <t>上り</t>
        </is>
      </c>
      <c r="E7443" t="inlineStr">
        <is>
          <t>20系統⑫便乗</t>
        </is>
      </c>
      <c r="F7443" s="10" t="inlineStr">
        <is>
          <t>便乗</t>
        </is>
      </c>
      <c r="G7443" s="10" t="inlineStr">
        <is>
          <t>西大路三条</t>
        </is>
      </c>
      <c r="H7443" s="10" t="inlineStr">
        <is>
          <t>発</t>
        </is>
      </c>
      <c r="J7443" s="10" t="inlineStr">
        <is>
          <t>便乗</t>
        </is>
      </c>
      <c r="L7443" t="inlineStr">
        <is>
          <t>20:00:55</t>
        </is>
      </c>
      <c r="M7443" t="inlineStr">
        <is>
          <t>20:01:15</t>
        </is>
      </c>
      <c r="S7443" t="inlineStr">
        <is>
          <t>1910</t>
        </is>
      </c>
    </row>
    <row r="7444" ht="16.5" customHeight="1" s="37">
      <c r="A7444" t="n">
        <v>20</v>
      </c>
      <c r="B7444" s="10" t="inlineStr">
        <is>
          <t>平日</t>
        </is>
      </c>
      <c r="C7444" s="10" t="inlineStr">
        <is>
          <t>本線</t>
        </is>
      </c>
      <c r="D7444" s="10" t="inlineStr">
        <is>
          <t>上り</t>
        </is>
      </c>
      <c r="E7444" t="inlineStr">
        <is>
          <t>20系統⑫便乗</t>
        </is>
      </c>
      <c r="F7444" s="10" t="inlineStr">
        <is>
          <t>便乗</t>
        </is>
      </c>
      <c r="G7444" s="10" t="inlineStr">
        <is>
          <t>西院</t>
        </is>
      </c>
      <c r="H7444" s="10" t="inlineStr">
        <is>
          <t>着</t>
        </is>
      </c>
      <c r="J7444" s="10" t="inlineStr">
        <is>
          <t>便乗</t>
        </is>
      </c>
      <c r="L7444" t="inlineStr">
        <is>
          <t>20:03:10</t>
        </is>
      </c>
      <c r="M7444" t="inlineStr">
        <is>
          <t>20:04:05</t>
        </is>
      </c>
      <c r="S7444" t="inlineStr">
        <is>
          <t>1910</t>
        </is>
      </c>
    </row>
    <row r="7445" ht="16.5" customHeight="1" s="37">
      <c r="A7445" t="n">
        <v>21</v>
      </c>
      <c r="B7445" s="10" t="inlineStr">
        <is>
          <t>平日</t>
        </is>
      </c>
      <c r="C7445" s="10" t="inlineStr">
        <is>
          <t>北野線</t>
        </is>
      </c>
      <c r="D7445" s="10" t="inlineStr">
        <is>
          <t>上り</t>
        </is>
      </c>
      <c r="E7445" t="inlineStr">
        <is>
          <t>1056</t>
        </is>
      </c>
      <c r="F7445" t="inlineStr">
        <is>
          <t>0354</t>
        </is>
      </c>
      <c r="G7445" s="10" t="inlineStr">
        <is>
          <t>帷子ノ辻</t>
        </is>
      </c>
      <c r="H7445" s="10" t="inlineStr">
        <is>
          <t>発</t>
        </is>
      </c>
      <c r="J7445" s="10" t="inlineStr">
        <is>
          <t>営業</t>
        </is>
      </c>
      <c r="M7445" t="inlineStr">
        <is>
          <t>10:26:25</t>
        </is>
      </c>
      <c r="Q7445" t="inlineStr">
        <is>
          <t>4</t>
        </is>
      </c>
    </row>
    <row r="7446" ht="16.5" customHeight="1" s="37">
      <c r="A7446" t="n">
        <v>21</v>
      </c>
      <c r="B7446" s="10" t="inlineStr">
        <is>
          <t>平日</t>
        </is>
      </c>
      <c r="C7446" s="10" t="inlineStr">
        <is>
          <t>北野線</t>
        </is>
      </c>
      <c r="D7446" s="10" t="inlineStr">
        <is>
          <t>上り</t>
        </is>
      </c>
      <c r="E7446" t="inlineStr">
        <is>
          <t>1056</t>
        </is>
      </c>
      <c r="F7446" t="inlineStr">
        <is>
          <t>0354</t>
        </is>
      </c>
      <c r="G7446" s="10" t="inlineStr">
        <is>
          <t>撮影所前</t>
        </is>
      </c>
      <c r="H7446" s="10" t="inlineStr">
        <is>
          <t>発</t>
        </is>
      </c>
      <c r="J7446" s="10" t="inlineStr">
        <is>
          <t>営業</t>
        </is>
      </c>
      <c r="L7446" t="inlineStr">
        <is>
          <t>10:27:25</t>
        </is>
      </c>
      <c r="M7446" t="inlineStr">
        <is>
          <t>10:27:40</t>
        </is>
      </c>
    </row>
    <row r="7447" ht="16.5" customHeight="1" s="37">
      <c r="A7447" t="n">
        <v>21</v>
      </c>
      <c r="B7447" s="10" t="inlineStr">
        <is>
          <t>平日</t>
        </is>
      </c>
      <c r="C7447" s="10" t="inlineStr">
        <is>
          <t>北野線</t>
        </is>
      </c>
      <c r="D7447" s="10" t="inlineStr">
        <is>
          <t>上り</t>
        </is>
      </c>
      <c r="E7447" t="inlineStr">
        <is>
          <t>1056</t>
        </is>
      </c>
      <c r="F7447" t="inlineStr">
        <is>
          <t>0354</t>
        </is>
      </c>
      <c r="G7447" s="10" t="inlineStr">
        <is>
          <t>常盤</t>
        </is>
      </c>
      <c r="H7447" s="10" t="inlineStr">
        <is>
          <t>発</t>
        </is>
      </c>
      <c r="J7447" s="10" t="inlineStr">
        <is>
          <t>営業</t>
        </is>
      </c>
      <c r="L7447" t="inlineStr">
        <is>
          <t>10:29:00</t>
        </is>
      </c>
      <c r="M7447" t="inlineStr">
        <is>
          <t>10:29:20</t>
        </is>
      </c>
    </row>
    <row r="7448" ht="16.5" customHeight="1" s="37">
      <c r="A7448" t="n">
        <v>21</v>
      </c>
      <c r="B7448" s="10" t="inlineStr">
        <is>
          <t>平日</t>
        </is>
      </c>
      <c r="C7448" s="10" t="inlineStr">
        <is>
          <t>北野線</t>
        </is>
      </c>
      <c r="D7448" s="10" t="inlineStr">
        <is>
          <t>上り</t>
        </is>
      </c>
      <c r="E7448" t="inlineStr">
        <is>
          <t>1056</t>
        </is>
      </c>
      <c r="F7448" t="inlineStr">
        <is>
          <t>0354</t>
        </is>
      </c>
      <c r="G7448" s="10" t="inlineStr">
        <is>
          <t>鳴滝</t>
        </is>
      </c>
      <c r="H7448" s="10" t="inlineStr">
        <is>
          <t>発</t>
        </is>
      </c>
      <c r="J7448" s="10" t="inlineStr">
        <is>
          <t>営業</t>
        </is>
      </c>
      <c r="L7448" t="inlineStr">
        <is>
          <t>10:30:20</t>
        </is>
      </c>
      <c r="M7448" t="inlineStr">
        <is>
          <t>10:30:40</t>
        </is>
      </c>
    </row>
    <row r="7449" ht="16.5" customHeight="1" s="37">
      <c r="A7449" t="n">
        <v>21</v>
      </c>
      <c r="B7449" s="10" t="inlineStr">
        <is>
          <t>平日</t>
        </is>
      </c>
      <c r="C7449" s="10" t="inlineStr">
        <is>
          <t>北野線</t>
        </is>
      </c>
      <c r="D7449" s="10" t="inlineStr">
        <is>
          <t>上り</t>
        </is>
      </c>
      <c r="E7449" t="inlineStr">
        <is>
          <t>1056</t>
        </is>
      </c>
      <c r="F7449" t="inlineStr">
        <is>
          <t>0354</t>
        </is>
      </c>
      <c r="G7449" s="10" t="inlineStr">
        <is>
          <t>宇多野</t>
        </is>
      </c>
      <c r="H7449" s="10" t="inlineStr">
        <is>
          <t>発</t>
        </is>
      </c>
      <c r="J7449" s="10" t="inlineStr">
        <is>
          <t>営業</t>
        </is>
      </c>
      <c r="L7449" t="inlineStr">
        <is>
          <t>10:32:00</t>
        </is>
      </c>
      <c r="M7449" t="inlineStr">
        <is>
          <t>10:32:15</t>
        </is>
      </c>
    </row>
    <row r="7450" ht="16.5" customHeight="1" s="37">
      <c r="A7450" t="n">
        <v>21</v>
      </c>
      <c r="B7450" s="10" t="inlineStr">
        <is>
          <t>平日</t>
        </is>
      </c>
      <c r="C7450" s="10" t="inlineStr">
        <is>
          <t>北野線</t>
        </is>
      </c>
      <c r="D7450" s="10" t="inlineStr">
        <is>
          <t>上り</t>
        </is>
      </c>
      <c r="E7450" t="inlineStr">
        <is>
          <t>1056</t>
        </is>
      </c>
      <c r="F7450" t="inlineStr">
        <is>
          <t>0354</t>
        </is>
      </c>
      <c r="G7450" s="10" t="inlineStr">
        <is>
          <t>御室仁和寺</t>
        </is>
      </c>
      <c r="H7450" s="10" t="inlineStr">
        <is>
          <t>発</t>
        </is>
      </c>
      <c r="J7450" s="10" t="inlineStr">
        <is>
          <t>営業</t>
        </is>
      </c>
      <c r="L7450" t="inlineStr">
        <is>
          <t>10:33:15</t>
        </is>
      </c>
      <c r="M7450" t="inlineStr">
        <is>
          <t>10:33:35</t>
        </is>
      </c>
    </row>
    <row r="7451" ht="16.5" customHeight="1" s="37">
      <c r="A7451" t="n">
        <v>21</v>
      </c>
      <c r="B7451" s="10" t="inlineStr">
        <is>
          <t>平日</t>
        </is>
      </c>
      <c r="C7451" s="10" t="inlineStr">
        <is>
          <t>北野線</t>
        </is>
      </c>
      <c r="D7451" s="10" t="inlineStr">
        <is>
          <t>上り</t>
        </is>
      </c>
      <c r="E7451" t="inlineStr">
        <is>
          <t>1056</t>
        </is>
      </c>
      <c r="F7451" t="inlineStr">
        <is>
          <t>0354</t>
        </is>
      </c>
      <c r="G7451" s="10" t="inlineStr">
        <is>
          <t>妙心寺</t>
        </is>
      </c>
      <c r="H7451" s="10" t="inlineStr">
        <is>
          <t>発</t>
        </is>
      </c>
      <c r="J7451" s="10" t="inlineStr">
        <is>
          <t>営業</t>
        </is>
      </c>
      <c r="L7451" t="inlineStr">
        <is>
          <t>10:34:35</t>
        </is>
      </c>
      <c r="M7451" t="inlineStr">
        <is>
          <t>10:34:50</t>
        </is>
      </c>
    </row>
    <row r="7452" ht="16.5" customHeight="1" s="37">
      <c r="A7452" t="n">
        <v>21</v>
      </c>
      <c r="B7452" s="10" t="inlineStr">
        <is>
          <t>平日</t>
        </is>
      </c>
      <c r="C7452" s="10" t="inlineStr">
        <is>
          <t>北野線</t>
        </is>
      </c>
      <c r="D7452" s="10" t="inlineStr">
        <is>
          <t>上り</t>
        </is>
      </c>
      <c r="E7452" t="inlineStr">
        <is>
          <t>1056</t>
        </is>
      </c>
      <c r="F7452" t="inlineStr">
        <is>
          <t>0354</t>
        </is>
      </c>
      <c r="G7452" s="10" t="inlineStr">
        <is>
          <t>龍安寺</t>
        </is>
      </c>
      <c r="H7452" s="10" t="inlineStr">
        <is>
          <t>発</t>
        </is>
      </c>
      <c r="J7452" s="10" t="inlineStr">
        <is>
          <t>営業</t>
        </is>
      </c>
      <c r="L7452" t="inlineStr">
        <is>
          <t>10:35:45</t>
        </is>
      </c>
      <c r="M7452" t="inlineStr">
        <is>
          <t>10:35:55</t>
        </is>
      </c>
    </row>
    <row r="7453" ht="16.5" customHeight="1" s="37">
      <c r="A7453" t="n">
        <v>21</v>
      </c>
      <c r="B7453" s="10" t="inlineStr">
        <is>
          <t>平日</t>
        </is>
      </c>
      <c r="C7453" s="10" t="inlineStr">
        <is>
          <t>北野線</t>
        </is>
      </c>
      <c r="D7453" s="10" t="inlineStr">
        <is>
          <t>上り</t>
        </is>
      </c>
      <c r="E7453" t="inlineStr">
        <is>
          <t>1056</t>
        </is>
      </c>
      <c r="F7453" t="inlineStr">
        <is>
          <t>0354</t>
        </is>
      </c>
      <c r="G7453" s="10" t="inlineStr">
        <is>
          <t>等持院</t>
        </is>
      </c>
      <c r="H7453" s="10" t="inlineStr">
        <is>
          <t>発</t>
        </is>
      </c>
      <c r="J7453" s="10" t="inlineStr">
        <is>
          <t>営業</t>
        </is>
      </c>
      <c r="L7453" t="inlineStr">
        <is>
          <t>10:36:35</t>
        </is>
      </c>
      <c r="M7453" t="inlineStr">
        <is>
          <t>10:36:55</t>
        </is>
      </c>
    </row>
    <row r="7454" ht="16.5" customHeight="1" s="37">
      <c r="A7454" t="n">
        <v>21</v>
      </c>
      <c r="B7454" s="10" t="inlineStr">
        <is>
          <t>平日</t>
        </is>
      </c>
      <c r="C7454" s="10" t="inlineStr">
        <is>
          <t>北野線</t>
        </is>
      </c>
      <c r="D7454" s="10" t="inlineStr">
        <is>
          <t>上り</t>
        </is>
      </c>
      <c r="E7454" t="inlineStr">
        <is>
          <t>1056</t>
        </is>
      </c>
      <c r="F7454" t="inlineStr">
        <is>
          <t>0354</t>
        </is>
      </c>
      <c r="G7454" s="10" t="inlineStr">
        <is>
          <t>北野白梅町</t>
        </is>
      </c>
      <c r="H7454" s="10" t="inlineStr">
        <is>
          <t>着</t>
        </is>
      </c>
      <c r="J7454" s="10" t="inlineStr">
        <is>
          <t>営業</t>
        </is>
      </c>
      <c r="L7454" t="inlineStr">
        <is>
          <t>10:38:15</t>
        </is>
      </c>
      <c r="Q7454" t="inlineStr">
        <is>
          <t>1</t>
        </is>
      </c>
    </row>
    <row r="7455" ht="16.5" customHeight="1" s="37">
      <c r="A7455" t="n">
        <v>21</v>
      </c>
      <c r="B7455" s="10" t="inlineStr">
        <is>
          <t>平日</t>
        </is>
      </c>
      <c r="C7455" s="10" t="inlineStr">
        <is>
          <t>北野線</t>
        </is>
      </c>
      <c r="D7455" s="10" t="inlineStr">
        <is>
          <t>下り</t>
        </is>
      </c>
      <c r="E7455" t="inlineStr">
        <is>
          <t>1059</t>
        </is>
      </c>
      <c r="F7455" t="inlineStr">
        <is>
          <t>0453</t>
        </is>
      </c>
      <c r="G7455" s="10" t="inlineStr">
        <is>
          <t>北野白梅町</t>
        </is>
      </c>
      <c r="H7455" s="10" t="inlineStr">
        <is>
          <t>発</t>
        </is>
      </c>
      <c r="J7455" s="10" t="inlineStr">
        <is>
          <t>営業</t>
        </is>
      </c>
      <c r="M7455" t="inlineStr">
        <is>
          <t>10:43:00</t>
        </is>
      </c>
      <c r="Q7455" t="inlineStr">
        <is>
          <t>1</t>
        </is>
      </c>
    </row>
    <row r="7456" ht="16.5" customHeight="1" s="37">
      <c r="A7456" t="n">
        <v>21</v>
      </c>
      <c r="B7456" s="10" t="inlineStr">
        <is>
          <t>平日</t>
        </is>
      </c>
      <c r="C7456" s="10" t="inlineStr">
        <is>
          <t>北野線</t>
        </is>
      </c>
      <c r="D7456" s="10" t="inlineStr">
        <is>
          <t>下り</t>
        </is>
      </c>
      <c r="E7456" t="inlineStr">
        <is>
          <t>1059</t>
        </is>
      </c>
      <c r="F7456" t="inlineStr">
        <is>
          <t>0453</t>
        </is>
      </c>
      <c r="G7456" s="10" t="inlineStr">
        <is>
          <t>等持院</t>
        </is>
      </c>
      <c r="H7456" s="10" t="inlineStr">
        <is>
          <t>発</t>
        </is>
      </c>
      <c r="J7456" s="10" t="inlineStr">
        <is>
          <t>営業</t>
        </is>
      </c>
      <c r="L7456" t="inlineStr">
        <is>
          <t>10:44:25</t>
        </is>
      </c>
      <c r="M7456" t="inlineStr">
        <is>
          <t>10:44:35</t>
        </is>
      </c>
    </row>
    <row r="7457" ht="16.5" customHeight="1" s="37">
      <c r="A7457" t="n">
        <v>21</v>
      </c>
      <c r="B7457" s="10" t="inlineStr">
        <is>
          <t>平日</t>
        </is>
      </c>
      <c r="C7457" s="10" t="inlineStr">
        <is>
          <t>北野線</t>
        </is>
      </c>
      <c r="D7457" s="10" t="inlineStr">
        <is>
          <t>下り</t>
        </is>
      </c>
      <c r="E7457" t="inlineStr">
        <is>
          <t>1059</t>
        </is>
      </c>
      <c r="F7457" t="inlineStr">
        <is>
          <t>0453</t>
        </is>
      </c>
      <c r="G7457" s="10" t="inlineStr">
        <is>
          <t>龍安寺</t>
        </is>
      </c>
      <c r="H7457" s="10" t="inlineStr">
        <is>
          <t>発</t>
        </is>
      </c>
      <c r="J7457" s="10" t="inlineStr">
        <is>
          <t>営業</t>
        </is>
      </c>
      <c r="L7457" t="inlineStr">
        <is>
          <t>10:45:25</t>
        </is>
      </c>
      <c r="M7457" t="inlineStr">
        <is>
          <t>10:45:50</t>
        </is>
      </c>
    </row>
    <row r="7458" ht="16.5" customHeight="1" s="37">
      <c r="A7458" t="n">
        <v>21</v>
      </c>
      <c r="B7458" s="10" t="inlineStr">
        <is>
          <t>平日</t>
        </is>
      </c>
      <c r="C7458" s="10" t="inlineStr">
        <is>
          <t>北野線</t>
        </is>
      </c>
      <c r="D7458" s="10" t="inlineStr">
        <is>
          <t>下り</t>
        </is>
      </c>
      <c r="E7458" t="inlineStr">
        <is>
          <t>1059</t>
        </is>
      </c>
      <c r="F7458" t="inlineStr">
        <is>
          <t>0453</t>
        </is>
      </c>
      <c r="G7458" s="10" t="inlineStr">
        <is>
          <t>妙心寺</t>
        </is>
      </c>
      <c r="H7458" s="10" t="inlineStr">
        <is>
          <t>発</t>
        </is>
      </c>
      <c r="J7458" s="10" t="inlineStr">
        <is>
          <t>営業</t>
        </is>
      </c>
      <c r="L7458" t="inlineStr">
        <is>
          <t>10:46:40</t>
        </is>
      </c>
      <c r="M7458" t="inlineStr">
        <is>
          <t>10:46:50</t>
        </is>
      </c>
    </row>
    <row r="7459" ht="16.5" customHeight="1" s="37">
      <c r="A7459" t="n">
        <v>21</v>
      </c>
      <c r="B7459" s="10" t="inlineStr">
        <is>
          <t>平日</t>
        </is>
      </c>
      <c r="C7459" s="10" t="inlineStr">
        <is>
          <t>北野線</t>
        </is>
      </c>
      <c r="D7459" s="10" t="inlineStr">
        <is>
          <t>下り</t>
        </is>
      </c>
      <c r="E7459" t="inlineStr">
        <is>
          <t>1059</t>
        </is>
      </c>
      <c r="F7459" t="inlineStr">
        <is>
          <t>0453</t>
        </is>
      </c>
      <c r="G7459" s="10" t="inlineStr">
        <is>
          <t>御室仁和寺</t>
        </is>
      </c>
      <c r="H7459" s="10" t="inlineStr">
        <is>
          <t>発</t>
        </is>
      </c>
      <c r="J7459" s="10" t="inlineStr">
        <is>
          <t>営業</t>
        </is>
      </c>
      <c r="L7459" t="inlineStr">
        <is>
          <t>10:47:50</t>
        </is>
      </c>
      <c r="M7459" t="inlineStr">
        <is>
          <t>10:48:05</t>
        </is>
      </c>
    </row>
    <row r="7460" ht="16.5" customHeight="1" s="37">
      <c r="A7460" t="n">
        <v>21</v>
      </c>
      <c r="B7460" s="10" t="inlineStr">
        <is>
          <t>平日</t>
        </is>
      </c>
      <c r="C7460" s="10" t="inlineStr">
        <is>
          <t>北野線</t>
        </is>
      </c>
      <c r="D7460" s="10" t="inlineStr">
        <is>
          <t>下り</t>
        </is>
      </c>
      <c r="E7460" t="inlineStr">
        <is>
          <t>1059</t>
        </is>
      </c>
      <c r="F7460" t="inlineStr">
        <is>
          <t>0453</t>
        </is>
      </c>
      <c r="G7460" s="10" t="inlineStr">
        <is>
          <t>宇多野</t>
        </is>
      </c>
      <c r="H7460" s="10" t="inlineStr">
        <is>
          <t>発</t>
        </is>
      </c>
      <c r="J7460" s="10" t="inlineStr">
        <is>
          <t>営業</t>
        </is>
      </c>
      <c r="L7460" t="inlineStr">
        <is>
          <t>10:49:05</t>
        </is>
      </c>
      <c r="M7460" t="inlineStr">
        <is>
          <t>10:49:15</t>
        </is>
      </c>
    </row>
    <row r="7461" ht="16.5" customHeight="1" s="37">
      <c r="A7461" t="n">
        <v>21</v>
      </c>
      <c r="B7461" s="10" t="inlineStr">
        <is>
          <t>平日</t>
        </is>
      </c>
      <c r="C7461" s="10" t="inlineStr">
        <is>
          <t>北野線</t>
        </is>
      </c>
      <c r="D7461" s="10" t="inlineStr">
        <is>
          <t>下り</t>
        </is>
      </c>
      <c r="E7461" t="inlineStr">
        <is>
          <t>1059</t>
        </is>
      </c>
      <c r="F7461" t="inlineStr">
        <is>
          <t>0453</t>
        </is>
      </c>
      <c r="G7461" s="10" t="inlineStr">
        <is>
          <t>鳴滝</t>
        </is>
      </c>
      <c r="H7461" s="10" t="inlineStr">
        <is>
          <t>発</t>
        </is>
      </c>
      <c r="J7461" s="10" t="inlineStr">
        <is>
          <t>営業</t>
        </is>
      </c>
      <c r="L7461" t="inlineStr">
        <is>
          <t>10:50:35</t>
        </is>
      </c>
      <c r="M7461" t="inlineStr">
        <is>
          <t>10:50:45</t>
        </is>
      </c>
    </row>
    <row r="7462" ht="16.5" customHeight="1" s="37">
      <c r="A7462" t="n">
        <v>21</v>
      </c>
      <c r="B7462" s="10" t="inlineStr">
        <is>
          <t>平日</t>
        </is>
      </c>
      <c r="C7462" s="10" t="inlineStr">
        <is>
          <t>北野線</t>
        </is>
      </c>
      <c r="D7462" s="10" t="inlineStr">
        <is>
          <t>下り</t>
        </is>
      </c>
      <c r="E7462" t="inlineStr">
        <is>
          <t>1059</t>
        </is>
      </c>
      <c r="F7462" t="inlineStr">
        <is>
          <t>0453</t>
        </is>
      </c>
      <c r="G7462" s="10" t="inlineStr">
        <is>
          <t>常盤</t>
        </is>
      </c>
      <c r="H7462" s="10" t="inlineStr">
        <is>
          <t>発</t>
        </is>
      </c>
      <c r="J7462" s="10" t="inlineStr">
        <is>
          <t>営業</t>
        </is>
      </c>
      <c r="L7462" t="inlineStr">
        <is>
          <t>10:51:35</t>
        </is>
      </c>
      <c r="M7462" t="inlineStr">
        <is>
          <t>10:51:55</t>
        </is>
      </c>
    </row>
    <row r="7463" ht="16.5" customHeight="1" s="37">
      <c r="A7463" t="n">
        <v>21</v>
      </c>
      <c r="B7463" s="10" t="inlineStr">
        <is>
          <t>平日</t>
        </is>
      </c>
      <c r="C7463" s="10" t="inlineStr">
        <is>
          <t>北野線</t>
        </is>
      </c>
      <c r="D7463" s="10" t="inlineStr">
        <is>
          <t>下り</t>
        </is>
      </c>
      <c r="E7463" t="inlineStr">
        <is>
          <t>1059</t>
        </is>
      </c>
      <c r="F7463" t="inlineStr">
        <is>
          <t>0453</t>
        </is>
      </c>
      <c r="G7463" s="10" t="inlineStr">
        <is>
          <t>撮影所前</t>
        </is>
      </c>
      <c r="H7463" s="10" t="inlineStr">
        <is>
          <t>発</t>
        </is>
      </c>
      <c r="J7463" s="10" t="inlineStr">
        <is>
          <t>営業</t>
        </is>
      </c>
      <c r="L7463" t="inlineStr">
        <is>
          <t>10:53:15</t>
        </is>
      </c>
      <c r="M7463" t="inlineStr">
        <is>
          <t>10:53:30</t>
        </is>
      </c>
    </row>
    <row r="7464" ht="16.5" customHeight="1" s="37">
      <c r="A7464" t="n">
        <v>21</v>
      </c>
      <c r="B7464" s="10" t="inlineStr">
        <is>
          <t>平日</t>
        </is>
      </c>
      <c r="C7464" s="10" t="inlineStr">
        <is>
          <t>北野線</t>
        </is>
      </c>
      <c r="D7464" s="10" t="inlineStr">
        <is>
          <t>下り</t>
        </is>
      </c>
      <c r="E7464" t="inlineStr">
        <is>
          <t>1059</t>
        </is>
      </c>
      <c r="F7464" t="inlineStr">
        <is>
          <t>0453</t>
        </is>
      </c>
      <c r="G7464" s="10" t="inlineStr">
        <is>
          <t>帷子ノ辻</t>
        </is>
      </c>
      <c r="H7464" s="10" t="inlineStr">
        <is>
          <t>着</t>
        </is>
      </c>
      <c r="J7464" s="10" t="inlineStr">
        <is>
          <t>営業</t>
        </is>
      </c>
      <c r="L7464" t="inlineStr">
        <is>
          <t>10:54:25</t>
        </is>
      </c>
      <c r="Q7464" t="inlineStr">
        <is>
          <t>4</t>
        </is>
      </c>
    </row>
    <row r="7465" ht="16.5" customHeight="1" s="37">
      <c r="A7465" t="n">
        <v>21</v>
      </c>
      <c r="B7465" s="10" t="inlineStr">
        <is>
          <t>平日</t>
        </is>
      </c>
      <c r="C7465" s="10" t="inlineStr">
        <is>
          <t>北野線</t>
        </is>
      </c>
      <c r="D7465" s="10" t="inlineStr">
        <is>
          <t>上り</t>
        </is>
      </c>
      <c r="E7465" t="inlineStr">
        <is>
          <t>1152</t>
        </is>
      </c>
      <c r="F7465" t="inlineStr">
        <is>
          <t>0354</t>
        </is>
      </c>
      <c r="G7465" s="10" t="inlineStr">
        <is>
          <t>帷子ノ辻</t>
        </is>
      </c>
      <c r="H7465" s="10" t="inlineStr">
        <is>
          <t>発</t>
        </is>
      </c>
      <c r="J7465" s="10" t="inlineStr">
        <is>
          <t>営業</t>
        </is>
      </c>
      <c r="M7465" t="inlineStr">
        <is>
          <t>11:06:25</t>
        </is>
      </c>
      <c r="Q7465" t="inlineStr">
        <is>
          <t>4</t>
        </is>
      </c>
    </row>
    <row r="7466" ht="15" customHeight="1" s="37">
      <c r="A7466" t="n">
        <v>21</v>
      </c>
      <c r="B7466" s="10" t="inlineStr">
        <is>
          <t>平日</t>
        </is>
      </c>
      <c r="C7466" s="10" t="inlineStr">
        <is>
          <t>北野線</t>
        </is>
      </c>
      <c r="D7466" s="10" t="inlineStr">
        <is>
          <t>上り</t>
        </is>
      </c>
      <c r="E7466" t="inlineStr">
        <is>
          <t>1152</t>
        </is>
      </c>
      <c r="F7466" t="inlineStr">
        <is>
          <t>0354</t>
        </is>
      </c>
      <c r="G7466" s="10" t="inlineStr">
        <is>
          <t>撮影所前</t>
        </is>
      </c>
      <c r="H7466" s="10" t="inlineStr">
        <is>
          <t>発</t>
        </is>
      </c>
      <c r="J7466" s="10" t="inlineStr">
        <is>
          <t>営業</t>
        </is>
      </c>
      <c r="L7466" t="inlineStr">
        <is>
          <t>11:07:25</t>
        </is>
      </c>
      <c r="M7466" t="inlineStr">
        <is>
          <t>11:07:40</t>
        </is>
      </c>
    </row>
    <row r="7467" ht="15" customHeight="1" s="37">
      <c r="A7467" t="n">
        <v>21</v>
      </c>
      <c r="B7467" s="10" t="inlineStr">
        <is>
          <t>平日</t>
        </is>
      </c>
      <c r="C7467" s="10" t="inlineStr">
        <is>
          <t>北野線</t>
        </is>
      </c>
      <c r="D7467" s="10" t="inlineStr">
        <is>
          <t>上り</t>
        </is>
      </c>
      <c r="E7467" t="inlineStr">
        <is>
          <t>1152</t>
        </is>
      </c>
      <c r="F7467" t="inlineStr">
        <is>
          <t>0354</t>
        </is>
      </c>
      <c r="G7467" s="10" t="inlineStr">
        <is>
          <t>常盤</t>
        </is>
      </c>
      <c r="H7467" s="10" t="inlineStr">
        <is>
          <t>発</t>
        </is>
      </c>
      <c r="J7467" s="10" t="inlineStr">
        <is>
          <t>営業</t>
        </is>
      </c>
      <c r="L7467" t="inlineStr">
        <is>
          <t>11:09:00</t>
        </is>
      </c>
      <c r="M7467" t="inlineStr">
        <is>
          <t>11:09:20</t>
        </is>
      </c>
    </row>
    <row r="7468" ht="15" customHeight="1" s="37">
      <c r="A7468" t="n">
        <v>21</v>
      </c>
      <c r="B7468" s="10" t="inlineStr">
        <is>
          <t>平日</t>
        </is>
      </c>
      <c r="C7468" s="10" t="inlineStr">
        <is>
          <t>北野線</t>
        </is>
      </c>
      <c r="D7468" s="10" t="inlineStr">
        <is>
          <t>上り</t>
        </is>
      </c>
      <c r="E7468" t="inlineStr">
        <is>
          <t>1152</t>
        </is>
      </c>
      <c r="F7468" t="inlineStr">
        <is>
          <t>0354</t>
        </is>
      </c>
      <c r="G7468" s="10" t="inlineStr">
        <is>
          <t>鳴滝</t>
        </is>
      </c>
      <c r="H7468" s="10" t="inlineStr">
        <is>
          <t>発</t>
        </is>
      </c>
      <c r="J7468" s="10" t="inlineStr">
        <is>
          <t>営業</t>
        </is>
      </c>
      <c r="L7468" t="inlineStr">
        <is>
          <t>11:10:20</t>
        </is>
      </c>
      <c r="M7468" t="inlineStr">
        <is>
          <t>11:10:40</t>
        </is>
      </c>
    </row>
    <row r="7469" ht="15" customHeight="1" s="37">
      <c r="A7469" t="n">
        <v>21</v>
      </c>
      <c r="B7469" s="10" t="inlineStr">
        <is>
          <t>平日</t>
        </is>
      </c>
      <c r="C7469" s="10" t="inlineStr">
        <is>
          <t>北野線</t>
        </is>
      </c>
      <c r="D7469" s="10" t="inlineStr">
        <is>
          <t>上り</t>
        </is>
      </c>
      <c r="E7469" t="inlineStr">
        <is>
          <t>1152</t>
        </is>
      </c>
      <c r="F7469" t="inlineStr">
        <is>
          <t>0354</t>
        </is>
      </c>
      <c r="G7469" s="10" t="inlineStr">
        <is>
          <t>宇多野</t>
        </is>
      </c>
      <c r="H7469" s="10" t="inlineStr">
        <is>
          <t>発</t>
        </is>
      </c>
      <c r="J7469" s="10" t="inlineStr">
        <is>
          <t>営業</t>
        </is>
      </c>
      <c r="L7469" t="inlineStr">
        <is>
          <t>11:12:00</t>
        </is>
      </c>
      <c r="M7469" t="inlineStr">
        <is>
          <t>11:12:15</t>
        </is>
      </c>
    </row>
    <row r="7470" ht="15" customHeight="1" s="37">
      <c r="A7470" t="n">
        <v>21</v>
      </c>
      <c r="B7470" s="10" t="inlineStr">
        <is>
          <t>平日</t>
        </is>
      </c>
      <c r="C7470" s="10" t="inlineStr">
        <is>
          <t>北野線</t>
        </is>
      </c>
      <c r="D7470" s="10" t="inlineStr">
        <is>
          <t>上り</t>
        </is>
      </c>
      <c r="E7470" t="inlineStr">
        <is>
          <t>1152</t>
        </is>
      </c>
      <c r="F7470" t="inlineStr">
        <is>
          <t>0354</t>
        </is>
      </c>
      <c r="G7470" s="10" t="inlineStr">
        <is>
          <t>御室仁和寺</t>
        </is>
      </c>
      <c r="H7470" s="10" t="inlineStr">
        <is>
          <t>発</t>
        </is>
      </c>
      <c r="J7470" s="10" t="inlineStr">
        <is>
          <t>営業</t>
        </is>
      </c>
      <c r="L7470" t="inlineStr">
        <is>
          <t>11:13:15</t>
        </is>
      </c>
      <c r="M7470" t="inlineStr">
        <is>
          <t>11:13:35</t>
        </is>
      </c>
    </row>
    <row r="7471" ht="15" customHeight="1" s="37">
      <c r="A7471" t="n">
        <v>21</v>
      </c>
      <c r="B7471" s="10" t="inlineStr">
        <is>
          <t>平日</t>
        </is>
      </c>
      <c r="C7471" s="10" t="inlineStr">
        <is>
          <t>北野線</t>
        </is>
      </c>
      <c r="D7471" s="10" t="inlineStr">
        <is>
          <t>上り</t>
        </is>
      </c>
      <c r="E7471" t="inlineStr">
        <is>
          <t>1152</t>
        </is>
      </c>
      <c r="F7471" t="inlineStr">
        <is>
          <t>0354</t>
        </is>
      </c>
      <c r="G7471" s="10" t="inlineStr">
        <is>
          <t>妙心寺</t>
        </is>
      </c>
      <c r="H7471" s="10" t="inlineStr">
        <is>
          <t>発</t>
        </is>
      </c>
      <c r="J7471" s="10" t="inlineStr">
        <is>
          <t>営業</t>
        </is>
      </c>
      <c r="L7471" t="inlineStr">
        <is>
          <t>11:14:35</t>
        </is>
      </c>
      <c r="M7471" t="inlineStr">
        <is>
          <t>11:14:50</t>
        </is>
      </c>
    </row>
    <row r="7472" ht="15" customHeight="1" s="37">
      <c r="A7472" t="n">
        <v>21</v>
      </c>
      <c r="B7472" s="10" t="inlineStr">
        <is>
          <t>平日</t>
        </is>
      </c>
      <c r="C7472" s="10" t="inlineStr">
        <is>
          <t>北野線</t>
        </is>
      </c>
      <c r="D7472" s="10" t="inlineStr">
        <is>
          <t>上り</t>
        </is>
      </c>
      <c r="E7472" t="inlineStr">
        <is>
          <t>1152</t>
        </is>
      </c>
      <c r="F7472" t="inlineStr">
        <is>
          <t>0354</t>
        </is>
      </c>
      <c r="G7472" s="10" t="inlineStr">
        <is>
          <t>龍安寺</t>
        </is>
      </c>
      <c r="H7472" s="10" t="inlineStr">
        <is>
          <t>発</t>
        </is>
      </c>
      <c r="J7472" s="10" t="inlineStr">
        <is>
          <t>営業</t>
        </is>
      </c>
      <c r="L7472" t="inlineStr">
        <is>
          <t>11:15:45</t>
        </is>
      </c>
      <c r="M7472" t="inlineStr">
        <is>
          <t>11:15:55</t>
        </is>
      </c>
    </row>
    <row r="7473" ht="15" customHeight="1" s="37">
      <c r="A7473" t="n">
        <v>21</v>
      </c>
      <c r="B7473" s="10" t="inlineStr">
        <is>
          <t>平日</t>
        </is>
      </c>
      <c r="C7473" s="10" t="inlineStr">
        <is>
          <t>北野線</t>
        </is>
      </c>
      <c r="D7473" s="10" t="inlineStr">
        <is>
          <t>上り</t>
        </is>
      </c>
      <c r="E7473" t="inlineStr">
        <is>
          <t>1152</t>
        </is>
      </c>
      <c r="F7473" t="inlineStr">
        <is>
          <t>0354</t>
        </is>
      </c>
      <c r="G7473" s="10" t="inlineStr">
        <is>
          <t>等持院</t>
        </is>
      </c>
      <c r="H7473" s="10" t="inlineStr">
        <is>
          <t>発</t>
        </is>
      </c>
      <c r="J7473" s="10" t="inlineStr">
        <is>
          <t>営業</t>
        </is>
      </c>
      <c r="L7473" t="inlineStr">
        <is>
          <t>11:16:35</t>
        </is>
      </c>
      <c r="M7473" t="inlineStr">
        <is>
          <t>11:16:55</t>
        </is>
      </c>
    </row>
    <row r="7474" ht="15" customHeight="1" s="37">
      <c r="A7474" t="n">
        <v>21</v>
      </c>
      <c r="B7474" s="10" t="inlineStr">
        <is>
          <t>平日</t>
        </is>
      </c>
      <c r="C7474" s="10" t="inlineStr">
        <is>
          <t>北野線</t>
        </is>
      </c>
      <c r="D7474" s="10" t="inlineStr">
        <is>
          <t>上り</t>
        </is>
      </c>
      <c r="E7474" t="inlineStr">
        <is>
          <t>1152</t>
        </is>
      </c>
      <c r="F7474" t="inlineStr">
        <is>
          <t>0354</t>
        </is>
      </c>
      <c r="G7474" s="10" t="inlineStr">
        <is>
          <t>北野白梅町</t>
        </is>
      </c>
      <c r="H7474" s="10" t="inlineStr">
        <is>
          <t>着</t>
        </is>
      </c>
      <c r="J7474" s="10" t="inlineStr">
        <is>
          <t>営業</t>
        </is>
      </c>
      <c r="L7474" t="inlineStr">
        <is>
          <t>11:18:15</t>
        </is>
      </c>
      <c r="Q7474" t="inlineStr">
        <is>
          <t>1</t>
        </is>
      </c>
    </row>
    <row r="7475" ht="15" customHeight="1" s="37">
      <c r="A7475" t="n">
        <v>21</v>
      </c>
      <c r="B7475" s="10" t="inlineStr">
        <is>
          <t>平日</t>
        </is>
      </c>
      <c r="C7475" s="10" t="inlineStr">
        <is>
          <t>北野線</t>
        </is>
      </c>
      <c r="D7475" s="10" t="inlineStr">
        <is>
          <t>下り</t>
        </is>
      </c>
      <c r="E7475" t="inlineStr">
        <is>
          <t>1155</t>
        </is>
      </c>
      <c r="F7475" t="inlineStr">
        <is>
          <t>0453</t>
        </is>
      </c>
      <c r="G7475" s="10" t="inlineStr">
        <is>
          <t>北野白梅町</t>
        </is>
      </c>
      <c r="H7475" s="10" t="inlineStr">
        <is>
          <t>発</t>
        </is>
      </c>
      <c r="J7475" s="10" t="inlineStr">
        <is>
          <t>営業</t>
        </is>
      </c>
      <c r="M7475" t="inlineStr">
        <is>
          <t>11:23:00</t>
        </is>
      </c>
      <c r="Q7475" t="inlineStr">
        <is>
          <t>1</t>
        </is>
      </c>
    </row>
    <row r="7476" ht="15" customHeight="1" s="37">
      <c r="A7476" t="n">
        <v>21</v>
      </c>
      <c r="B7476" s="10" t="inlineStr">
        <is>
          <t>平日</t>
        </is>
      </c>
      <c r="C7476" s="10" t="inlineStr">
        <is>
          <t>北野線</t>
        </is>
      </c>
      <c r="D7476" s="10" t="inlineStr">
        <is>
          <t>下り</t>
        </is>
      </c>
      <c r="E7476" t="inlineStr">
        <is>
          <t>1155</t>
        </is>
      </c>
      <c r="F7476" t="inlineStr">
        <is>
          <t>0453</t>
        </is>
      </c>
      <c r="G7476" s="10" t="inlineStr">
        <is>
          <t>等持院</t>
        </is>
      </c>
      <c r="H7476" s="10" t="inlineStr">
        <is>
          <t>発</t>
        </is>
      </c>
      <c r="J7476" s="10" t="inlineStr">
        <is>
          <t>営業</t>
        </is>
      </c>
      <c r="L7476" t="inlineStr">
        <is>
          <t>11:24:25</t>
        </is>
      </c>
      <c r="M7476" t="inlineStr">
        <is>
          <t>11:24:35</t>
        </is>
      </c>
    </row>
    <row r="7477" ht="15" customHeight="1" s="37">
      <c r="A7477" t="n">
        <v>21</v>
      </c>
      <c r="B7477" s="10" t="inlineStr">
        <is>
          <t>平日</t>
        </is>
      </c>
      <c r="C7477" s="10" t="inlineStr">
        <is>
          <t>北野線</t>
        </is>
      </c>
      <c r="D7477" s="10" t="inlineStr">
        <is>
          <t>下り</t>
        </is>
      </c>
      <c r="E7477" t="inlineStr">
        <is>
          <t>1155</t>
        </is>
      </c>
      <c r="F7477" t="inlineStr">
        <is>
          <t>0453</t>
        </is>
      </c>
      <c r="G7477" s="10" t="inlineStr">
        <is>
          <t>龍安寺</t>
        </is>
      </c>
      <c r="H7477" s="10" t="inlineStr">
        <is>
          <t>発</t>
        </is>
      </c>
      <c r="J7477" s="10" t="inlineStr">
        <is>
          <t>営業</t>
        </is>
      </c>
      <c r="L7477" t="inlineStr">
        <is>
          <t>11:25:25</t>
        </is>
      </c>
      <c r="M7477" t="inlineStr">
        <is>
          <t>11:25:50</t>
        </is>
      </c>
    </row>
    <row r="7478" ht="15" customHeight="1" s="37">
      <c r="A7478" t="n">
        <v>21</v>
      </c>
      <c r="B7478" s="10" t="inlineStr">
        <is>
          <t>平日</t>
        </is>
      </c>
      <c r="C7478" s="10" t="inlineStr">
        <is>
          <t>北野線</t>
        </is>
      </c>
      <c r="D7478" s="10" t="inlineStr">
        <is>
          <t>下り</t>
        </is>
      </c>
      <c r="E7478" t="inlineStr">
        <is>
          <t>1155</t>
        </is>
      </c>
      <c r="F7478" t="inlineStr">
        <is>
          <t>0453</t>
        </is>
      </c>
      <c r="G7478" s="10" t="inlineStr">
        <is>
          <t>妙心寺</t>
        </is>
      </c>
      <c r="H7478" s="10" t="inlineStr">
        <is>
          <t>発</t>
        </is>
      </c>
      <c r="J7478" s="10" t="inlineStr">
        <is>
          <t>営業</t>
        </is>
      </c>
      <c r="L7478" t="inlineStr">
        <is>
          <t>11:26:40</t>
        </is>
      </c>
      <c r="M7478" t="inlineStr">
        <is>
          <t>11:26:50</t>
        </is>
      </c>
    </row>
    <row r="7479" ht="15" customHeight="1" s="37">
      <c r="A7479" t="n">
        <v>21</v>
      </c>
      <c r="B7479" s="10" t="inlineStr">
        <is>
          <t>平日</t>
        </is>
      </c>
      <c r="C7479" s="10" t="inlineStr">
        <is>
          <t>北野線</t>
        </is>
      </c>
      <c r="D7479" s="10" t="inlineStr">
        <is>
          <t>下り</t>
        </is>
      </c>
      <c r="E7479" t="inlineStr">
        <is>
          <t>1155</t>
        </is>
      </c>
      <c r="F7479" t="inlineStr">
        <is>
          <t>0453</t>
        </is>
      </c>
      <c r="G7479" s="10" t="inlineStr">
        <is>
          <t>御室仁和寺</t>
        </is>
      </c>
      <c r="H7479" s="10" t="inlineStr">
        <is>
          <t>発</t>
        </is>
      </c>
      <c r="J7479" s="10" t="inlineStr">
        <is>
          <t>営業</t>
        </is>
      </c>
      <c r="L7479" t="inlineStr">
        <is>
          <t>11:27:50</t>
        </is>
      </c>
      <c r="M7479" t="inlineStr">
        <is>
          <t>11:28:05</t>
        </is>
      </c>
    </row>
    <row r="7480" ht="15" customHeight="1" s="37">
      <c r="A7480" t="n">
        <v>21</v>
      </c>
      <c r="B7480" s="10" t="inlineStr">
        <is>
          <t>平日</t>
        </is>
      </c>
      <c r="C7480" s="10" t="inlineStr">
        <is>
          <t>北野線</t>
        </is>
      </c>
      <c r="D7480" s="10" t="inlineStr">
        <is>
          <t>下り</t>
        </is>
      </c>
      <c r="E7480" t="inlineStr">
        <is>
          <t>1155</t>
        </is>
      </c>
      <c r="F7480" t="inlineStr">
        <is>
          <t>0453</t>
        </is>
      </c>
      <c r="G7480" s="10" t="inlineStr">
        <is>
          <t>宇多野</t>
        </is>
      </c>
      <c r="H7480" s="10" t="inlineStr">
        <is>
          <t>発</t>
        </is>
      </c>
      <c r="J7480" s="10" t="inlineStr">
        <is>
          <t>営業</t>
        </is>
      </c>
      <c r="L7480" t="inlineStr">
        <is>
          <t>11:29:05</t>
        </is>
      </c>
      <c r="M7480" t="inlineStr">
        <is>
          <t>11:29:15</t>
        </is>
      </c>
    </row>
    <row r="7481" ht="15" customHeight="1" s="37">
      <c r="A7481" t="n">
        <v>21</v>
      </c>
      <c r="B7481" s="10" t="inlineStr">
        <is>
          <t>平日</t>
        </is>
      </c>
      <c r="C7481" s="10" t="inlineStr">
        <is>
          <t>北野線</t>
        </is>
      </c>
      <c r="D7481" s="10" t="inlineStr">
        <is>
          <t>下り</t>
        </is>
      </c>
      <c r="E7481" t="inlineStr">
        <is>
          <t>1155</t>
        </is>
      </c>
      <c r="F7481" t="inlineStr">
        <is>
          <t>0453</t>
        </is>
      </c>
      <c r="G7481" s="10" t="inlineStr">
        <is>
          <t>鳴滝</t>
        </is>
      </c>
      <c r="H7481" s="10" t="inlineStr">
        <is>
          <t>発</t>
        </is>
      </c>
      <c r="J7481" s="10" t="inlineStr">
        <is>
          <t>営業</t>
        </is>
      </c>
      <c r="L7481" t="inlineStr">
        <is>
          <t>11:30:35</t>
        </is>
      </c>
      <c r="M7481" t="inlineStr">
        <is>
          <t>11:30:45</t>
        </is>
      </c>
    </row>
    <row r="7482" ht="15" customHeight="1" s="37">
      <c r="A7482" t="n">
        <v>21</v>
      </c>
      <c r="B7482" s="10" t="inlineStr">
        <is>
          <t>平日</t>
        </is>
      </c>
      <c r="C7482" s="10" t="inlineStr">
        <is>
          <t>北野線</t>
        </is>
      </c>
      <c r="D7482" s="10" t="inlineStr">
        <is>
          <t>下り</t>
        </is>
      </c>
      <c r="E7482" t="inlineStr">
        <is>
          <t>1155</t>
        </is>
      </c>
      <c r="F7482" t="inlineStr">
        <is>
          <t>0453</t>
        </is>
      </c>
      <c r="G7482" s="10" t="inlineStr">
        <is>
          <t>常盤</t>
        </is>
      </c>
      <c r="H7482" s="10" t="inlineStr">
        <is>
          <t>発</t>
        </is>
      </c>
      <c r="J7482" s="10" t="inlineStr">
        <is>
          <t>営業</t>
        </is>
      </c>
      <c r="L7482" t="inlineStr">
        <is>
          <t>11:31:35</t>
        </is>
      </c>
      <c r="M7482" t="inlineStr">
        <is>
          <t>11:31:55</t>
        </is>
      </c>
    </row>
    <row r="7483" ht="15" customHeight="1" s="37">
      <c r="A7483" t="n">
        <v>21</v>
      </c>
      <c r="B7483" s="10" t="inlineStr">
        <is>
          <t>平日</t>
        </is>
      </c>
      <c r="C7483" s="10" t="inlineStr">
        <is>
          <t>北野線</t>
        </is>
      </c>
      <c r="D7483" s="10" t="inlineStr">
        <is>
          <t>下り</t>
        </is>
      </c>
      <c r="E7483" t="inlineStr">
        <is>
          <t>1155</t>
        </is>
      </c>
      <c r="F7483" t="inlineStr">
        <is>
          <t>0453</t>
        </is>
      </c>
      <c r="G7483" s="10" t="inlineStr">
        <is>
          <t>撮影所前</t>
        </is>
      </c>
      <c r="H7483" s="10" t="inlineStr">
        <is>
          <t>発</t>
        </is>
      </c>
      <c r="J7483" s="10" t="inlineStr">
        <is>
          <t>営業</t>
        </is>
      </c>
      <c r="L7483" t="inlineStr">
        <is>
          <t>11:33:15</t>
        </is>
      </c>
      <c r="M7483" t="inlineStr">
        <is>
          <t>11:33:30</t>
        </is>
      </c>
    </row>
    <row r="7484" ht="15" customHeight="1" s="37">
      <c r="A7484" t="n">
        <v>21</v>
      </c>
      <c r="B7484" s="10" t="inlineStr">
        <is>
          <t>平日</t>
        </is>
      </c>
      <c r="C7484" s="10" t="inlineStr">
        <is>
          <t>北野線</t>
        </is>
      </c>
      <c r="D7484" s="10" t="inlineStr">
        <is>
          <t>下り</t>
        </is>
      </c>
      <c r="E7484" t="inlineStr">
        <is>
          <t>1155</t>
        </is>
      </c>
      <c r="F7484" t="inlineStr">
        <is>
          <t>0453</t>
        </is>
      </c>
      <c r="G7484" s="10" t="inlineStr">
        <is>
          <t>帷子ノ辻</t>
        </is>
      </c>
      <c r="H7484" s="10" t="inlineStr">
        <is>
          <t>着</t>
        </is>
      </c>
      <c r="J7484" s="10" t="inlineStr">
        <is>
          <t>営業</t>
        </is>
      </c>
      <c r="L7484" t="inlineStr">
        <is>
          <t>11:34:25</t>
        </is>
      </c>
      <c r="Q7484" t="inlineStr">
        <is>
          <t>4</t>
        </is>
      </c>
    </row>
    <row r="7485" ht="15" customHeight="1" s="37">
      <c r="A7485" t="n">
        <v>21</v>
      </c>
      <c r="B7485" s="10" t="inlineStr">
        <is>
          <t>平日</t>
        </is>
      </c>
      <c r="C7485" s="10" t="inlineStr">
        <is>
          <t>北野線</t>
        </is>
      </c>
      <c r="D7485" s="10" t="inlineStr">
        <is>
          <t>上り</t>
        </is>
      </c>
      <c r="E7485" t="inlineStr">
        <is>
          <t>1160</t>
        </is>
      </c>
      <c r="F7485" t="inlineStr">
        <is>
          <t>0354</t>
        </is>
      </c>
      <c r="G7485" s="10" t="inlineStr">
        <is>
          <t>帷子ノ辻</t>
        </is>
      </c>
      <c r="H7485" s="10" t="inlineStr">
        <is>
          <t>発</t>
        </is>
      </c>
      <c r="J7485" s="10" t="inlineStr">
        <is>
          <t>営業</t>
        </is>
      </c>
      <c r="M7485" t="inlineStr">
        <is>
          <t>11:46:25</t>
        </is>
      </c>
      <c r="Q7485" t="inlineStr">
        <is>
          <t>4</t>
        </is>
      </c>
    </row>
    <row r="7486" ht="15" customHeight="1" s="37">
      <c r="A7486" t="n">
        <v>21</v>
      </c>
      <c r="B7486" s="10" t="inlineStr">
        <is>
          <t>平日</t>
        </is>
      </c>
      <c r="C7486" s="10" t="inlineStr">
        <is>
          <t>北野線</t>
        </is>
      </c>
      <c r="D7486" s="10" t="inlineStr">
        <is>
          <t>上り</t>
        </is>
      </c>
      <c r="E7486" t="inlineStr">
        <is>
          <t>1160</t>
        </is>
      </c>
      <c r="F7486" t="inlineStr">
        <is>
          <t>0354</t>
        </is>
      </c>
      <c r="G7486" s="10" t="inlineStr">
        <is>
          <t>撮影所前</t>
        </is>
      </c>
      <c r="H7486" s="10" t="inlineStr">
        <is>
          <t>発</t>
        </is>
      </c>
      <c r="J7486" s="10" t="inlineStr">
        <is>
          <t>営業</t>
        </is>
      </c>
      <c r="L7486" t="inlineStr">
        <is>
          <t>11:47:25</t>
        </is>
      </c>
      <c r="M7486" t="inlineStr">
        <is>
          <t>11:47:40</t>
        </is>
      </c>
    </row>
    <row r="7487" ht="15" customHeight="1" s="37">
      <c r="A7487" t="n">
        <v>21</v>
      </c>
      <c r="B7487" s="10" t="inlineStr">
        <is>
          <t>平日</t>
        </is>
      </c>
      <c r="C7487" s="10" t="inlineStr">
        <is>
          <t>北野線</t>
        </is>
      </c>
      <c r="D7487" s="10" t="inlineStr">
        <is>
          <t>上り</t>
        </is>
      </c>
      <c r="E7487" t="inlineStr">
        <is>
          <t>1160</t>
        </is>
      </c>
      <c r="F7487" t="inlineStr">
        <is>
          <t>0354</t>
        </is>
      </c>
      <c r="G7487" s="10" t="inlineStr">
        <is>
          <t>常盤</t>
        </is>
      </c>
      <c r="H7487" s="10" t="inlineStr">
        <is>
          <t>発</t>
        </is>
      </c>
      <c r="J7487" s="10" t="inlineStr">
        <is>
          <t>営業</t>
        </is>
      </c>
      <c r="L7487" t="inlineStr">
        <is>
          <t>11:49:00</t>
        </is>
      </c>
      <c r="M7487" t="inlineStr">
        <is>
          <t>11:49:20</t>
        </is>
      </c>
    </row>
    <row r="7488" ht="15" customHeight="1" s="37">
      <c r="A7488" t="n">
        <v>21</v>
      </c>
      <c r="B7488" s="10" t="inlineStr">
        <is>
          <t>平日</t>
        </is>
      </c>
      <c r="C7488" s="10" t="inlineStr">
        <is>
          <t>北野線</t>
        </is>
      </c>
      <c r="D7488" s="10" t="inlineStr">
        <is>
          <t>上り</t>
        </is>
      </c>
      <c r="E7488" t="inlineStr">
        <is>
          <t>1160</t>
        </is>
      </c>
      <c r="F7488" t="inlineStr">
        <is>
          <t>0354</t>
        </is>
      </c>
      <c r="G7488" s="10" t="inlineStr">
        <is>
          <t>鳴滝</t>
        </is>
      </c>
      <c r="H7488" s="10" t="inlineStr">
        <is>
          <t>発</t>
        </is>
      </c>
      <c r="J7488" s="10" t="inlineStr">
        <is>
          <t>営業</t>
        </is>
      </c>
      <c r="L7488" t="inlineStr">
        <is>
          <t>11:50:20</t>
        </is>
      </c>
      <c r="M7488" t="inlineStr">
        <is>
          <t>11:50:40</t>
        </is>
      </c>
    </row>
    <row r="7489" ht="15" customHeight="1" s="37">
      <c r="A7489" t="n">
        <v>21</v>
      </c>
      <c r="B7489" s="10" t="inlineStr">
        <is>
          <t>平日</t>
        </is>
      </c>
      <c r="C7489" s="10" t="inlineStr">
        <is>
          <t>北野線</t>
        </is>
      </c>
      <c r="D7489" s="10" t="inlineStr">
        <is>
          <t>上り</t>
        </is>
      </c>
      <c r="E7489" t="inlineStr">
        <is>
          <t>1160</t>
        </is>
      </c>
      <c r="F7489" t="inlineStr">
        <is>
          <t>0354</t>
        </is>
      </c>
      <c r="G7489" s="10" t="inlineStr">
        <is>
          <t>宇多野</t>
        </is>
      </c>
      <c r="H7489" s="10" t="inlineStr">
        <is>
          <t>発</t>
        </is>
      </c>
      <c r="J7489" s="10" t="inlineStr">
        <is>
          <t>営業</t>
        </is>
      </c>
      <c r="L7489" t="inlineStr">
        <is>
          <t>11:52:00</t>
        </is>
      </c>
      <c r="M7489" t="inlineStr">
        <is>
          <t>11:52:15</t>
        </is>
      </c>
    </row>
    <row r="7490" ht="15" customHeight="1" s="37">
      <c r="A7490" t="n">
        <v>21</v>
      </c>
      <c r="B7490" s="10" t="inlineStr">
        <is>
          <t>平日</t>
        </is>
      </c>
      <c r="C7490" s="10" t="inlineStr">
        <is>
          <t>北野線</t>
        </is>
      </c>
      <c r="D7490" s="10" t="inlineStr">
        <is>
          <t>上り</t>
        </is>
      </c>
      <c r="E7490" t="inlineStr">
        <is>
          <t>1160</t>
        </is>
      </c>
      <c r="F7490" t="inlineStr">
        <is>
          <t>0354</t>
        </is>
      </c>
      <c r="G7490" s="10" t="inlineStr">
        <is>
          <t>御室仁和寺</t>
        </is>
      </c>
      <c r="H7490" s="10" t="inlineStr">
        <is>
          <t>発</t>
        </is>
      </c>
      <c r="J7490" s="10" t="inlineStr">
        <is>
          <t>営業</t>
        </is>
      </c>
      <c r="L7490" t="inlineStr">
        <is>
          <t>11:53:15</t>
        </is>
      </c>
      <c r="M7490" t="inlineStr">
        <is>
          <t>11:53:35</t>
        </is>
      </c>
    </row>
    <row r="7491" ht="15" customHeight="1" s="37">
      <c r="A7491" t="n">
        <v>21</v>
      </c>
      <c r="B7491" s="10" t="inlineStr">
        <is>
          <t>平日</t>
        </is>
      </c>
      <c r="C7491" s="10" t="inlineStr">
        <is>
          <t>北野線</t>
        </is>
      </c>
      <c r="D7491" s="10" t="inlineStr">
        <is>
          <t>上り</t>
        </is>
      </c>
      <c r="E7491" t="inlineStr">
        <is>
          <t>1160</t>
        </is>
      </c>
      <c r="F7491" t="inlineStr">
        <is>
          <t>0354</t>
        </is>
      </c>
      <c r="G7491" s="10" t="inlineStr">
        <is>
          <t>妙心寺</t>
        </is>
      </c>
      <c r="H7491" s="10" t="inlineStr">
        <is>
          <t>発</t>
        </is>
      </c>
      <c r="J7491" s="10" t="inlineStr">
        <is>
          <t>営業</t>
        </is>
      </c>
      <c r="L7491" t="inlineStr">
        <is>
          <t>11:54:35</t>
        </is>
      </c>
      <c r="M7491" t="inlineStr">
        <is>
          <t>11:54:50</t>
        </is>
      </c>
    </row>
    <row r="7492" ht="15" customHeight="1" s="37">
      <c r="A7492" t="n">
        <v>21</v>
      </c>
      <c r="B7492" s="10" t="inlineStr">
        <is>
          <t>平日</t>
        </is>
      </c>
      <c r="C7492" s="10" t="inlineStr">
        <is>
          <t>北野線</t>
        </is>
      </c>
      <c r="D7492" s="10" t="inlineStr">
        <is>
          <t>上り</t>
        </is>
      </c>
      <c r="E7492" t="inlineStr">
        <is>
          <t>1160</t>
        </is>
      </c>
      <c r="F7492" t="inlineStr">
        <is>
          <t>0354</t>
        </is>
      </c>
      <c r="G7492" s="10" t="inlineStr">
        <is>
          <t>龍安寺</t>
        </is>
      </c>
      <c r="H7492" s="10" t="inlineStr">
        <is>
          <t>発</t>
        </is>
      </c>
      <c r="J7492" s="10" t="inlineStr">
        <is>
          <t>営業</t>
        </is>
      </c>
      <c r="L7492" t="inlineStr">
        <is>
          <t>11:55:45</t>
        </is>
      </c>
      <c r="M7492" t="inlineStr">
        <is>
          <t>11:55:55</t>
        </is>
      </c>
    </row>
    <row r="7493" ht="15" customHeight="1" s="37">
      <c r="A7493" t="n">
        <v>21</v>
      </c>
      <c r="B7493" s="10" t="inlineStr">
        <is>
          <t>平日</t>
        </is>
      </c>
      <c r="C7493" s="10" t="inlineStr">
        <is>
          <t>北野線</t>
        </is>
      </c>
      <c r="D7493" s="10" t="inlineStr">
        <is>
          <t>上り</t>
        </is>
      </c>
      <c r="E7493" t="inlineStr">
        <is>
          <t>1160</t>
        </is>
      </c>
      <c r="F7493" t="inlineStr">
        <is>
          <t>0354</t>
        </is>
      </c>
      <c r="G7493" s="10" t="inlineStr">
        <is>
          <t>等持院</t>
        </is>
      </c>
      <c r="H7493" s="10" t="inlineStr">
        <is>
          <t>発</t>
        </is>
      </c>
      <c r="J7493" s="10" t="inlineStr">
        <is>
          <t>営業</t>
        </is>
      </c>
      <c r="L7493" t="inlineStr">
        <is>
          <t>11:56:35</t>
        </is>
      </c>
      <c r="M7493" t="inlineStr">
        <is>
          <t>11:56:55</t>
        </is>
      </c>
    </row>
    <row r="7494" ht="15" customHeight="1" s="37">
      <c r="A7494" t="n">
        <v>21</v>
      </c>
      <c r="B7494" s="10" t="inlineStr">
        <is>
          <t>平日</t>
        </is>
      </c>
      <c r="C7494" s="10" t="inlineStr">
        <is>
          <t>北野線</t>
        </is>
      </c>
      <c r="D7494" s="10" t="inlineStr">
        <is>
          <t>上り</t>
        </is>
      </c>
      <c r="E7494" t="inlineStr">
        <is>
          <t>1160</t>
        </is>
      </c>
      <c r="F7494" t="inlineStr">
        <is>
          <t>0354</t>
        </is>
      </c>
      <c r="G7494" s="10" t="inlineStr">
        <is>
          <t>北野白梅町</t>
        </is>
      </c>
      <c r="H7494" s="10" t="inlineStr">
        <is>
          <t>着</t>
        </is>
      </c>
      <c r="J7494" s="10" t="inlineStr">
        <is>
          <t>営業</t>
        </is>
      </c>
      <c r="L7494" t="inlineStr">
        <is>
          <t>11:58:15</t>
        </is>
      </c>
      <c r="Q7494" t="inlineStr">
        <is>
          <t>1</t>
        </is>
      </c>
    </row>
    <row r="7495" ht="15" customHeight="1" s="37">
      <c r="A7495" t="n">
        <v>21</v>
      </c>
      <c r="B7495" s="10" t="inlineStr">
        <is>
          <t>平日</t>
        </is>
      </c>
      <c r="C7495" s="10" t="inlineStr">
        <is>
          <t>北野線</t>
        </is>
      </c>
      <c r="D7495" s="10" t="inlineStr">
        <is>
          <t>下り</t>
        </is>
      </c>
      <c r="E7495" t="inlineStr">
        <is>
          <t>1251</t>
        </is>
      </c>
      <c r="F7495" t="inlineStr">
        <is>
          <t>0453</t>
        </is>
      </c>
      <c r="G7495" s="10" t="inlineStr">
        <is>
          <t>北野白梅町</t>
        </is>
      </c>
      <c r="H7495" s="10" t="inlineStr">
        <is>
          <t>発</t>
        </is>
      </c>
      <c r="J7495" s="10" t="inlineStr">
        <is>
          <t>営業</t>
        </is>
      </c>
      <c r="M7495" t="inlineStr">
        <is>
          <t>12:03:00</t>
        </is>
      </c>
      <c r="Q7495" t="inlineStr">
        <is>
          <t>1</t>
        </is>
      </c>
    </row>
    <row r="7496" ht="15" customHeight="1" s="37">
      <c r="A7496" t="n">
        <v>21</v>
      </c>
      <c r="B7496" s="10" t="inlineStr">
        <is>
          <t>平日</t>
        </is>
      </c>
      <c r="C7496" s="10" t="inlineStr">
        <is>
          <t>北野線</t>
        </is>
      </c>
      <c r="D7496" s="10" t="inlineStr">
        <is>
          <t>下り</t>
        </is>
      </c>
      <c r="E7496" t="inlineStr">
        <is>
          <t>1251</t>
        </is>
      </c>
      <c r="F7496" t="inlineStr">
        <is>
          <t>0453</t>
        </is>
      </c>
      <c r="G7496" s="10" t="inlineStr">
        <is>
          <t>等持院</t>
        </is>
      </c>
      <c r="H7496" s="10" t="inlineStr">
        <is>
          <t>発</t>
        </is>
      </c>
      <c r="J7496" s="10" t="inlineStr">
        <is>
          <t>営業</t>
        </is>
      </c>
      <c r="L7496" t="inlineStr">
        <is>
          <t>12:04:25</t>
        </is>
      </c>
      <c r="M7496" t="inlineStr">
        <is>
          <t>12:04:35</t>
        </is>
      </c>
    </row>
    <row r="7497" ht="15" customHeight="1" s="37">
      <c r="A7497" t="n">
        <v>21</v>
      </c>
      <c r="B7497" s="10" t="inlineStr">
        <is>
          <t>平日</t>
        </is>
      </c>
      <c r="C7497" s="10" t="inlineStr">
        <is>
          <t>北野線</t>
        </is>
      </c>
      <c r="D7497" s="10" t="inlineStr">
        <is>
          <t>下り</t>
        </is>
      </c>
      <c r="E7497" t="inlineStr">
        <is>
          <t>1251</t>
        </is>
      </c>
      <c r="F7497" t="inlineStr">
        <is>
          <t>0453</t>
        </is>
      </c>
      <c r="G7497" s="10" t="inlineStr">
        <is>
          <t>龍安寺</t>
        </is>
      </c>
      <c r="H7497" s="10" t="inlineStr">
        <is>
          <t>発</t>
        </is>
      </c>
      <c r="J7497" s="10" t="inlineStr">
        <is>
          <t>営業</t>
        </is>
      </c>
      <c r="L7497" t="inlineStr">
        <is>
          <t>12:05:25</t>
        </is>
      </c>
      <c r="M7497" t="inlineStr">
        <is>
          <t>12:05:50</t>
        </is>
      </c>
    </row>
    <row r="7498" ht="15" customHeight="1" s="37">
      <c r="A7498" t="n">
        <v>21</v>
      </c>
      <c r="B7498" s="10" t="inlineStr">
        <is>
          <t>平日</t>
        </is>
      </c>
      <c r="C7498" s="10" t="inlineStr">
        <is>
          <t>北野線</t>
        </is>
      </c>
      <c r="D7498" s="10" t="inlineStr">
        <is>
          <t>下り</t>
        </is>
      </c>
      <c r="E7498" t="inlineStr">
        <is>
          <t>1251</t>
        </is>
      </c>
      <c r="F7498" t="inlineStr">
        <is>
          <t>0453</t>
        </is>
      </c>
      <c r="G7498" s="10" t="inlineStr">
        <is>
          <t>妙心寺</t>
        </is>
      </c>
      <c r="H7498" s="10" t="inlineStr">
        <is>
          <t>発</t>
        </is>
      </c>
      <c r="J7498" s="10" t="inlineStr">
        <is>
          <t>営業</t>
        </is>
      </c>
      <c r="L7498" t="inlineStr">
        <is>
          <t>12:06:40</t>
        </is>
      </c>
      <c r="M7498" t="inlineStr">
        <is>
          <t>12:06:50</t>
        </is>
      </c>
    </row>
    <row r="7499" ht="15" customHeight="1" s="37">
      <c r="A7499" t="n">
        <v>21</v>
      </c>
      <c r="B7499" s="10" t="inlineStr">
        <is>
          <t>平日</t>
        </is>
      </c>
      <c r="C7499" s="10" t="inlineStr">
        <is>
          <t>北野線</t>
        </is>
      </c>
      <c r="D7499" s="10" t="inlineStr">
        <is>
          <t>下り</t>
        </is>
      </c>
      <c r="E7499" t="inlineStr">
        <is>
          <t>1251</t>
        </is>
      </c>
      <c r="F7499" t="inlineStr">
        <is>
          <t>0453</t>
        </is>
      </c>
      <c r="G7499" s="10" t="inlineStr">
        <is>
          <t>御室仁和寺</t>
        </is>
      </c>
      <c r="H7499" s="10" t="inlineStr">
        <is>
          <t>発</t>
        </is>
      </c>
      <c r="J7499" s="10" t="inlineStr">
        <is>
          <t>営業</t>
        </is>
      </c>
      <c r="L7499" t="inlineStr">
        <is>
          <t>12:07:50</t>
        </is>
      </c>
      <c r="M7499" t="inlineStr">
        <is>
          <t>12:08:05</t>
        </is>
      </c>
    </row>
    <row r="7500" ht="15" customHeight="1" s="37">
      <c r="A7500" t="n">
        <v>21</v>
      </c>
      <c r="B7500" s="10" t="inlineStr">
        <is>
          <t>平日</t>
        </is>
      </c>
      <c r="C7500" s="10" t="inlineStr">
        <is>
          <t>北野線</t>
        </is>
      </c>
      <c r="D7500" s="10" t="inlineStr">
        <is>
          <t>下り</t>
        </is>
      </c>
      <c r="E7500" t="inlineStr">
        <is>
          <t>1251</t>
        </is>
      </c>
      <c r="F7500" t="inlineStr">
        <is>
          <t>0453</t>
        </is>
      </c>
      <c r="G7500" s="10" t="inlineStr">
        <is>
          <t>宇多野</t>
        </is>
      </c>
      <c r="H7500" s="10" t="inlineStr">
        <is>
          <t>発</t>
        </is>
      </c>
      <c r="J7500" s="10" t="inlineStr">
        <is>
          <t>営業</t>
        </is>
      </c>
      <c r="L7500" t="inlineStr">
        <is>
          <t>12:09:05</t>
        </is>
      </c>
      <c r="M7500" t="inlineStr">
        <is>
          <t>12:09:15</t>
        </is>
      </c>
    </row>
    <row r="7501" ht="15" customHeight="1" s="37">
      <c r="A7501" t="n">
        <v>21</v>
      </c>
      <c r="B7501" s="10" t="inlineStr">
        <is>
          <t>平日</t>
        </is>
      </c>
      <c r="C7501" s="10" t="inlineStr">
        <is>
          <t>北野線</t>
        </is>
      </c>
      <c r="D7501" s="10" t="inlineStr">
        <is>
          <t>下り</t>
        </is>
      </c>
      <c r="E7501" t="inlineStr">
        <is>
          <t>1251</t>
        </is>
      </c>
      <c r="F7501" t="inlineStr">
        <is>
          <t>0453</t>
        </is>
      </c>
      <c r="G7501" s="10" t="inlineStr">
        <is>
          <t>鳴滝</t>
        </is>
      </c>
      <c r="H7501" s="10" t="inlineStr">
        <is>
          <t>発</t>
        </is>
      </c>
      <c r="J7501" s="10" t="inlineStr">
        <is>
          <t>営業</t>
        </is>
      </c>
      <c r="L7501" t="inlineStr">
        <is>
          <t>12:10:35</t>
        </is>
      </c>
      <c r="M7501" t="inlineStr">
        <is>
          <t>12:10:45</t>
        </is>
      </c>
    </row>
    <row r="7502" ht="15" customHeight="1" s="37">
      <c r="A7502" t="n">
        <v>21</v>
      </c>
      <c r="B7502" s="10" t="inlineStr">
        <is>
          <t>平日</t>
        </is>
      </c>
      <c r="C7502" s="10" t="inlineStr">
        <is>
          <t>北野線</t>
        </is>
      </c>
      <c r="D7502" s="10" t="inlineStr">
        <is>
          <t>下り</t>
        </is>
      </c>
      <c r="E7502" t="inlineStr">
        <is>
          <t>1251</t>
        </is>
      </c>
      <c r="F7502" t="inlineStr">
        <is>
          <t>0453</t>
        </is>
      </c>
      <c r="G7502" s="10" t="inlineStr">
        <is>
          <t>常盤</t>
        </is>
      </c>
      <c r="H7502" s="10" t="inlineStr">
        <is>
          <t>発</t>
        </is>
      </c>
      <c r="J7502" s="10" t="inlineStr">
        <is>
          <t>営業</t>
        </is>
      </c>
      <c r="L7502" t="inlineStr">
        <is>
          <t>12:11:35</t>
        </is>
      </c>
      <c r="M7502" t="inlineStr">
        <is>
          <t>12:11:55</t>
        </is>
      </c>
    </row>
    <row r="7503" ht="15" customHeight="1" s="37">
      <c r="A7503" t="n">
        <v>21</v>
      </c>
      <c r="B7503" s="10" t="inlineStr">
        <is>
          <t>平日</t>
        </is>
      </c>
      <c r="C7503" s="10" t="inlineStr">
        <is>
          <t>北野線</t>
        </is>
      </c>
      <c r="D7503" s="10" t="inlineStr">
        <is>
          <t>下り</t>
        </is>
      </c>
      <c r="E7503" t="inlineStr">
        <is>
          <t>1251</t>
        </is>
      </c>
      <c r="F7503" t="inlineStr">
        <is>
          <t>0453</t>
        </is>
      </c>
      <c r="G7503" s="10" t="inlineStr">
        <is>
          <t>撮影所前</t>
        </is>
      </c>
      <c r="H7503" s="10" t="inlineStr">
        <is>
          <t>発</t>
        </is>
      </c>
      <c r="J7503" s="10" t="inlineStr">
        <is>
          <t>営業</t>
        </is>
      </c>
      <c r="L7503" t="inlineStr">
        <is>
          <t>12:13:15</t>
        </is>
      </c>
      <c r="M7503" t="inlineStr">
        <is>
          <t>12:13:30</t>
        </is>
      </c>
    </row>
    <row r="7504" ht="15" customHeight="1" s="37">
      <c r="A7504" t="n">
        <v>21</v>
      </c>
      <c r="B7504" s="10" t="inlineStr">
        <is>
          <t>平日</t>
        </is>
      </c>
      <c r="C7504" s="10" t="inlineStr">
        <is>
          <t>北野線</t>
        </is>
      </c>
      <c r="D7504" s="10" t="inlineStr">
        <is>
          <t>下り</t>
        </is>
      </c>
      <c r="E7504" t="inlineStr">
        <is>
          <t>1251</t>
        </is>
      </c>
      <c r="F7504" t="inlineStr">
        <is>
          <t>0453</t>
        </is>
      </c>
      <c r="G7504" s="10" t="inlineStr">
        <is>
          <t>帷子ノ辻</t>
        </is>
      </c>
      <c r="H7504" s="10" t="inlineStr">
        <is>
          <t>着</t>
        </is>
      </c>
      <c r="J7504" s="10" t="inlineStr">
        <is>
          <t>営業</t>
        </is>
      </c>
      <c r="L7504" t="inlineStr">
        <is>
          <t>12:14:25</t>
        </is>
      </c>
      <c r="Q7504" t="inlineStr">
        <is>
          <t>4</t>
        </is>
      </c>
    </row>
    <row r="7505" ht="15" customHeight="1" s="37">
      <c r="A7505" t="n">
        <v>21</v>
      </c>
      <c r="B7505" s="10" t="inlineStr">
        <is>
          <t>平日</t>
        </is>
      </c>
      <c r="C7505" s="10" t="inlineStr">
        <is>
          <t>北野線</t>
        </is>
      </c>
      <c r="D7505" s="10" t="inlineStr">
        <is>
          <t>上り</t>
        </is>
      </c>
      <c r="E7505" t="inlineStr">
        <is>
          <t>1258</t>
        </is>
      </c>
      <c r="F7505" t="inlineStr">
        <is>
          <t>0354</t>
        </is>
      </c>
      <c r="G7505" s="10" t="inlineStr">
        <is>
          <t>帷子ノ辻</t>
        </is>
      </c>
      <c r="H7505" s="10" t="inlineStr">
        <is>
          <t>発</t>
        </is>
      </c>
      <c r="J7505" s="10" t="inlineStr">
        <is>
          <t>営業</t>
        </is>
      </c>
      <c r="M7505" t="inlineStr">
        <is>
          <t>12:36:25</t>
        </is>
      </c>
      <c r="Q7505" t="inlineStr">
        <is>
          <t>3</t>
        </is>
      </c>
      <c r="U7505" t="inlineStr">
        <is>
          <t>→帷子ノ辻 退勤(中休212分)</t>
        </is>
      </c>
    </row>
    <row r="7506" ht="15" customHeight="1" s="37">
      <c r="A7506" t="n">
        <v>21</v>
      </c>
      <c r="B7506" s="10" t="inlineStr">
        <is>
          <t>平日</t>
        </is>
      </c>
      <c r="C7506" s="10" t="inlineStr">
        <is>
          <t>北野線</t>
        </is>
      </c>
      <c r="D7506" s="10" t="inlineStr">
        <is>
          <t>上り</t>
        </is>
      </c>
      <c r="E7506" t="inlineStr">
        <is>
          <t>1258</t>
        </is>
      </c>
      <c r="F7506" t="inlineStr">
        <is>
          <t>0354</t>
        </is>
      </c>
      <c r="G7506" s="10" t="inlineStr">
        <is>
          <t>撮影所前</t>
        </is>
      </c>
      <c r="H7506" s="10" t="inlineStr">
        <is>
          <t>発</t>
        </is>
      </c>
      <c r="J7506" s="10" t="inlineStr">
        <is>
          <t>営業</t>
        </is>
      </c>
      <c r="L7506" t="inlineStr">
        <is>
          <t>12:37:25</t>
        </is>
      </c>
      <c r="M7506" t="inlineStr">
        <is>
          <t>12:37:40</t>
        </is>
      </c>
      <c r="U7506" t="inlineStr">
        <is>
          <t>→帷子ノ辻 退勤(中休212分)</t>
        </is>
      </c>
    </row>
    <row r="7507" ht="15" customHeight="1" s="37">
      <c r="A7507" t="n">
        <v>21</v>
      </c>
      <c r="B7507" s="10" t="inlineStr">
        <is>
          <t>平日</t>
        </is>
      </c>
      <c r="C7507" s="10" t="inlineStr">
        <is>
          <t>北野線</t>
        </is>
      </c>
      <c r="D7507" s="10" t="inlineStr">
        <is>
          <t>上り</t>
        </is>
      </c>
      <c r="E7507" t="inlineStr">
        <is>
          <t>1258</t>
        </is>
      </c>
      <c r="F7507" t="inlineStr">
        <is>
          <t>0354</t>
        </is>
      </c>
      <c r="G7507" s="10" t="inlineStr">
        <is>
          <t>常盤</t>
        </is>
      </c>
      <c r="H7507" s="10" t="inlineStr">
        <is>
          <t>発</t>
        </is>
      </c>
      <c r="J7507" s="10" t="inlineStr">
        <is>
          <t>営業</t>
        </is>
      </c>
      <c r="L7507" t="inlineStr">
        <is>
          <t>12:39:00</t>
        </is>
      </c>
      <c r="M7507" t="inlineStr">
        <is>
          <t>12:39:20</t>
        </is>
      </c>
      <c r="U7507" t="inlineStr">
        <is>
          <t>→帷子ノ辻 退勤(中休212分)</t>
        </is>
      </c>
    </row>
    <row r="7508" ht="15" customHeight="1" s="37">
      <c r="A7508" t="n">
        <v>21</v>
      </c>
      <c r="B7508" s="10" t="inlineStr">
        <is>
          <t>平日</t>
        </is>
      </c>
      <c r="C7508" s="10" t="inlineStr">
        <is>
          <t>北野線</t>
        </is>
      </c>
      <c r="D7508" s="10" t="inlineStr">
        <is>
          <t>上り</t>
        </is>
      </c>
      <c r="E7508" t="inlineStr">
        <is>
          <t>1258</t>
        </is>
      </c>
      <c r="F7508" t="inlineStr">
        <is>
          <t>0354</t>
        </is>
      </c>
      <c r="G7508" s="10" t="inlineStr">
        <is>
          <t>鳴滝</t>
        </is>
      </c>
      <c r="H7508" s="10" t="inlineStr">
        <is>
          <t>発</t>
        </is>
      </c>
      <c r="J7508" s="10" t="inlineStr">
        <is>
          <t>営業</t>
        </is>
      </c>
      <c r="L7508" t="inlineStr">
        <is>
          <t>12:40:20</t>
        </is>
      </c>
      <c r="M7508" t="inlineStr">
        <is>
          <t>12:40:40</t>
        </is>
      </c>
      <c r="U7508" t="inlineStr">
        <is>
          <t>→帷子ノ辻 退勤(中休212分)</t>
        </is>
      </c>
    </row>
    <row r="7509" ht="15" customHeight="1" s="37">
      <c r="A7509" t="n">
        <v>21</v>
      </c>
      <c r="B7509" s="10" t="inlineStr">
        <is>
          <t>平日</t>
        </is>
      </c>
      <c r="C7509" s="10" t="inlineStr">
        <is>
          <t>北野線</t>
        </is>
      </c>
      <c r="D7509" s="10" t="inlineStr">
        <is>
          <t>上り</t>
        </is>
      </c>
      <c r="E7509" t="inlineStr">
        <is>
          <t>1258</t>
        </is>
      </c>
      <c r="F7509" t="inlineStr">
        <is>
          <t>0354</t>
        </is>
      </c>
      <c r="G7509" s="10" t="inlineStr">
        <is>
          <t>宇多野</t>
        </is>
      </c>
      <c r="H7509" s="10" t="inlineStr">
        <is>
          <t>発</t>
        </is>
      </c>
      <c r="J7509" s="10" t="inlineStr">
        <is>
          <t>営業</t>
        </is>
      </c>
      <c r="L7509" t="inlineStr">
        <is>
          <t>12:42:00</t>
        </is>
      </c>
      <c r="M7509" t="inlineStr">
        <is>
          <t>12:42:15</t>
        </is>
      </c>
      <c r="U7509" t="inlineStr">
        <is>
          <t>→帷子ノ辻 退勤(中休212分)</t>
        </is>
      </c>
    </row>
    <row r="7510" ht="15" customHeight="1" s="37">
      <c r="A7510" t="n">
        <v>21</v>
      </c>
      <c r="B7510" s="10" t="inlineStr">
        <is>
          <t>平日</t>
        </is>
      </c>
      <c r="C7510" s="10" t="inlineStr">
        <is>
          <t>北野線</t>
        </is>
      </c>
      <c r="D7510" s="10" t="inlineStr">
        <is>
          <t>上り</t>
        </is>
      </c>
      <c r="E7510" t="inlineStr">
        <is>
          <t>1258</t>
        </is>
      </c>
      <c r="F7510" t="inlineStr">
        <is>
          <t>0354</t>
        </is>
      </c>
      <c r="G7510" s="10" t="inlineStr">
        <is>
          <t>御室仁和寺</t>
        </is>
      </c>
      <c r="H7510" s="10" t="inlineStr">
        <is>
          <t>発</t>
        </is>
      </c>
      <c r="J7510" s="10" t="inlineStr">
        <is>
          <t>営業</t>
        </is>
      </c>
      <c r="L7510" t="inlineStr">
        <is>
          <t>12:43:15</t>
        </is>
      </c>
      <c r="M7510" t="inlineStr">
        <is>
          <t>12:43:35</t>
        </is>
      </c>
      <c r="U7510" t="inlineStr">
        <is>
          <t>→帷子ノ辻 退勤(中休212分)</t>
        </is>
      </c>
    </row>
    <row r="7511" ht="15" customHeight="1" s="37">
      <c r="A7511" t="n">
        <v>21</v>
      </c>
      <c r="B7511" s="10" t="inlineStr">
        <is>
          <t>平日</t>
        </is>
      </c>
      <c r="C7511" s="10" t="inlineStr">
        <is>
          <t>北野線</t>
        </is>
      </c>
      <c r="D7511" s="10" t="inlineStr">
        <is>
          <t>上り</t>
        </is>
      </c>
      <c r="E7511" t="inlineStr">
        <is>
          <t>1258</t>
        </is>
      </c>
      <c r="F7511" t="inlineStr">
        <is>
          <t>0354</t>
        </is>
      </c>
      <c r="G7511" s="10" t="inlineStr">
        <is>
          <t>妙心寺</t>
        </is>
      </c>
      <c r="H7511" s="10" t="inlineStr">
        <is>
          <t>発</t>
        </is>
      </c>
      <c r="J7511" s="10" t="inlineStr">
        <is>
          <t>営業</t>
        </is>
      </c>
      <c r="L7511" t="inlineStr">
        <is>
          <t>12:44:35</t>
        </is>
      </c>
      <c r="M7511" t="inlineStr">
        <is>
          <t>12:44:50</t>
        </is>
      </c>
      <c r="U7511" t="inlineStr">
        <is>
          <t>→帷子ノ辻 退勤(中休212分)</t>
        </is>
      </c>
    </row>
    <row r="7512" ht="15" customHeight="1" s="37">
      <c r="A7512" t="n">
        <v>21</v>
      </c>
      <c r="B7512" s="10" t="inlineStr">
        <is>
          <t>平日</t>
        </is>
      </c>
      <c r="C7512" s="10" t="inlineStr">
        <is>
          <t>北野線</t>
        </is>
      </c>
      <c r="D7512" s="10" t="inlineStr">
        <is>
          <t>上り</t>
        </is>
      </c>
      <c r="E7512" t="inlineStr">
        <is>
          <t>1258</t>
        </is>
      </c>
      <c r="F7512" t="inlineStr">
        <is>
          <t>0354</t>
        </is>
      </c>
      <c r="G7512" s="10" t="inlineStr">
        <is>
          <t>龍安寺</t>
        </is>
      </c>
      <c r="H7512" s="10" t="inlineStr">
        <is>
          <t>発</t>
        </is>
      </c>
      <c r="J7512" s="10" t="inlineStr">
        <is>
          <t>営業</t>
        </is>
      </c>
      <c r="L7512" t="inlineStr">
        <is>
          <t>12:45:45</t>
        </is>
      </c>
      <c r="M7512" t="inlineStr">
        <is>
          <t>12:45:55</t>
        </is>
      </c>
      <c r="U7512" t="inlineStr">
        <is>
          <t>→帷子ノ辻 退勤(中休212分)</t>
        </is>
      </c>
    </row>
    <row r="7513" ht="15" customHeight="1" s="37">
      <c r="A7513" t="n">
        <v>21</v>
      </c>
      <c r="B7513" s="10" t="inlineStr">
        <is>
          <t>平日</t>
        </is>
      </c>
      <c r="C7513" s="10" t="inlineStr">
        <is>
          <t>北野線</t>
        </is>
      </c>
      <c r="D7513" s="10" t="inlineStr">
        <is>
          <t>上り</t>
        </is>
      </c>
      <c r="E7513" t="inlineStr">
        <is>
          <t>1258</t>
        </is>
      </c>
      <c r="F7513" t="inlineStr">
        <is>
          <t>0354</t>
        </is>
      </c>
      <c r="G7513" s="10" t="inlineStr">
        <is>
          <t>等持院</t>
        </is>
      </c>
      <c r="H7513" s="10" t="inlineStr">
        <is>
          <t>発</t>
        </is>
      </c>
      <c r="J7513" s="10" t="inlineStr">
        <is>
          <t>営業</t>
        </is>
      </c>
      <c r="L7513" t="inlineStr">
        <is>
          <t>12:46:35</t>
        </is>
      </c>
      <c r="M7513" t="inlineStr">
        <is>
          <t>12:46:55</t>
        </is>
      </c>
      <c r="U7513" t="inlineStr">
        <is>
          <t>→帷子ノ辻 退勤(中休212分)</t>
        </is>
      </c>
    </row>
    <row r="7514" ht="15" customHeight="1" s="37">
      <c r="A7514" t="n">
        <v>21</v>
      </c>
      <c r="B7514" s="10" t="inlineStr">
        <is>
          <t>平日</t>
        </is>
      </c>
      <c r="C7514" s="10" t="inlineStr">
        <is>
          <t>北野線</t>
        </is>
      </c>
      <c r="D7514" s="10" t="inlineStr">
        <is>
          <t>上り</t>
        </is>
      </c>
      <c r="E7514" t="inlineStr">
        <is>
          <t>1258</t>
        </is>
      </c>
      <c r="F7514" t="inlineStr">
        <is>
          <t>0354</t>
        </is>
      </c>
      <c r="G7514" s="10" t="inlineStr">
        <is>
          <t>北野白梅町</t>
        </is>
      </c>
      <c r="H7514" s="10" t="inlineStr">
        <is>
          <t>着</t>
        </is>
      </c>
      <c r="J7514" s="10" t="inlineStr">
        <is>
          <t>営業</t>
        </is>
      </c>
      <c r="L7514" t="inlineStr">
        <is>
          <t>12:48:15</t>
        </is>
      </c>
      <c r="Q7514" t="inlineStr">
        <is>
          <t>1</t>
        </is>
      </c>
      <c r="U7514" t="inlineStr">
        <is>
          <t>→帷子ノ辻 退勤(中休212分)</t>
        </is>
      </c>
    </row>
    <row r="7515" ht="15" customHeight="1" s="37">
      <c r="A7515" t="n">
        <v>21</v>
      </c>
      <c r="B7515" s="10" t="inlineStr">
        <is>
          <t>平日</t>
        </is>
      </c>
      <c r="C7515" s="10" t="inlineStr">
        <is>
          <t>北野線</t>
        </is>
      </c>
      <c r="D7515" s="10" t="inlineStr">
        <is>
          <t>下り</t>
        </is>
      </c>
      <c r="E7515" t="inlineStr">
        <is>
          <t>1261</t>
        </is>
      </c>
      <c r="F7515" t="inlineStr">
        <is>
          <t>0453</t>
        </is>
      </c>
      <c r="G7515" s="10" t="inlineStr">
        <is>
          <t>北野白梅町</t>
        </is>
      </c>
      <c r="H7515" s="10" t="inlineStr">
        <is>
          <t>発</t>
        </is>
      </c>
      <c r="J7515" s="10" t="inlineStr">
        <is>
          <t>営業</t>
        </is>
      </c>
      <c r="M7515" t="inlineStr">
        <is>
          <t>12:53:00</t>
        </is>
      </c>
      <c r="Q7515" t="inlineStr">
        <is>
          <t>1</t>
        </is>
      </c>
      <c r="U7515" t="inlineStr">
        <is>
          <t>→帷子ノ辻 退勤(中休212分)</t>
        </is>
      </c>
    </row>
    <row r="7516" ht="15" customHeight="1" s="37">
      <c r="A7516" t="n">
        <v>21</v>
      </c>
      <c r="B7516" s="10" t="inlineStr">
        <is>
          <t>平日</t>
        </is>
      </c>
      <c r="C7516" s="10" t="inlineStr">
        <is>
          <t>北野線</t>
        </is>
      </c>
      <c r="D7516" s="10" t="inlineStr">
        <is>
          <t>下り</t>
        </is>
      </c>
      <c r="E7516" t="inlineStr">
        <is>
          <t>1261</t>
        </is>
      </c>
      <c r="F7516" t="inlineStr">
        <is>
          <t>0453</t>
        </is>
      </c>
      <c r="G7516" s="10" t="inlineStr">
        <is>
          <t>等持院</t>
        </is>
      </c>
      <c r="H7516" s="10" t="inlineStr">
        <is>
          <t>発</t>
        </is>
      </c>
      <c r="J7516" s="10" t="inlineStr">
        <is>
          <t>営業</t>
        </is>
      </c>
      <c r="L7516" t="inlineStr">
        <is>
          <t>12:54:25</t>
        </is>
      </c>
      <c r="M7516" t="inlineStr">
        <is>
          <t>12:54:35</t>
        </is>
      </c>
      <c r="U7516" t="inlineStr">
        <is>
          <t>→帷子ノ辻 退勤(中休212分)</t>
        </is>
      </c>
    </row>
    <row r="7517" ht="15" customHeight="1" s="37">
      <c r="A7517" t="n">
        <v>21</v>
      </c>
      <c r="B7517" s="10" t="inlineStr">
        <is>
          <t>平日</t>
        </is>
      </c>
      <c r="C7517" s="10" t="inlineStr">
        <is>
          <t>北野線</t>
        </is>
      </c>
      <c r="D7517" s="10" t="inlineStr">
        <is>
          <t>下り</t>
        </is>
      </c>
      <c r="E7517" t="inlineStr">
        <is>
          <t>1261</t>
        </is>
      </c>
      <c r="F7517" t="inlineStr">
        <is>
          <t>0453</t>
        </is>
      </c>
      <c r="G7517" s="10" t="inlineStr">
        <is>
          <t>龍安寺</t>
        </is>
      </c>
      <c r="H7517" s="10" t="inlineStr">
        <is>
          <t>発</t>
        </is>
      </c>
      <c r="J7517" s="10" t="inlineStr">
        <is>
          <t>営業</t>
        </is>
      </c>
      <c r="L7517" t="inlineStr">
        <is>
          <t>12:55:25</t>
        </is>
      </c>
      <c r="M7517" t="inlineStr">
        <is>
          <t>12:55:50</t>
        </is>
      </c>
      <c r="U7517" t="inlineStr">
        <is>
          <t>→帷子ノ辻 退勤(中休212分)</t>
        </is>
      </c>
    </row>
    <row r="7518" ht="15" customHeight="1" s="37">
      <c r="A7518" t="n">
        <v>21</v>
      </c>
      <c r="B7518" s="10" t="inlineStr">
        <is>
          <t>平日</t>
        </is>
      </c>
      <c r="C7518" s="10" t="inlineStr">
        <is>
          <t>北野線</t>
        </is>
      </c>
      <c r="D7518" s="10" t="inlineStr">
        <is>
          <t>下り</t>
        </is>
      </c>
      <c r="E7518" t="inlineStr">
        <is>
          <t>1261</t>
        </is>
      </c>
      <c r="F7518" t="inlineStr">
        <is>
          <t>0453</t>
        </is>
      </c>
      <c r="G7518" s="10" t="inlineStr">
        <is>
          <t>妙心寺</t>
        </is>
      </c>
      <c r="H7518" s="10" t="inlineStr">
        <is>
          <t>発</t>
        </is>
      </c>
      <c r="J7518" s="10" t="inlineStr">
        <is>
          <t>営業</t>
        </is>
      </c>
      <c r="L7518" t="inlineStr">
        <is>
          <t>12:56:40</t>
        </is>
      </c>
      <c r="M7518" t="inlineStr">
        <is>
          <t>12:56:50</t>
        </is>
      </c>
      <c r="U7518" t="inlineStr">
        <is>
          <t>→帷子ノ辻 退勤(中休212分)</t>
        </is>
      </c>
    </row>
    <row r="7519" ht="15" customHeight="1" s="37">
      <c r="A7519" t="n">
        <v>21</v>
      </c>
      <c r="B7519" s="10" t="inlineStr">
        <is>
          <t>平日</t>
        </is>
      </c>
      <c r="C7519" s="10" t="inlineStr">
        <is>
          <t>北野線</t>
        </is>
      </c>
      <c r="D7519" s="10" t="inlineStr">
        <is>
          <t>下り</t>
        </is>
      </c>
      <c r="E7519" t="inlineStr">
        <is>
          <t>1261</t>
        </is>
      </c>
      <c r="F7519" t="inlineStr">
        <is>
          <t>0453</t>
        </is>
      </c>
      <c r="G7519" s="10" t="inlineStr">
        <is>
          <t>御室仁和寺</t>
        </is>
      </c>
      <c r="H7519" s="10" t="inlineStr">
        <is>
          <t>発</t>
        </is>
      </c>
      <c r="J7519" s="10" t="inlineStr">
        <is>
          <t>営業</t>
        </is>
      </c>
      <c r="L7519" t="inlineStr">
        <is>
          <t>12:57:50</t>
        </is>
      </c>
      <c r="M7519" t="inlineStr">
        <is>
          <t>12:58:05</t>
        </is>
      </c>
      <c r="U7519" t="inlineStr">
        <is>
          <t>→帷子ノ辻 退勤(中休212分)</t>
        </is>
      </c>
    </row>
    <row r="7520" ht="15" customHeight="1" s="37">
      <c r="A7520" t="n">
        <v>21</v>
      </c>
      <c r="B7520" s="10" t="inlineStr">
        <is>
          <t>平日</t>
        </is>
      </c>
      <c r="C7520" s="10" t="inlineStr">
        <is>
          <t>北野線</t>
        </is>
      </c>
      <c r="D7520" s="10" t="inlineStr">
        <is>
          <t>下り</t>
        </is>
      </c>
      <c r="E7520" t="inlineStr">
        <is>
          <t>1261</t>
        </is>
      </c>
      <c r="F7520" t="inlineStr">
        <is>
          <t>0453</t>
        </is>
      </c>
      <c r="G7520" s="10" t="inlineStr">
        <is>
          <t>宇多野</t>
        </is>
      </c>
      <c r="H7520" s="10" t="inlineStr">
        <is>
          <t>発</t>
        </is>
      </c>
      <c r="J7520" s="10" t="inlineStr">
        <is>
          <t>営業</t>
        </is>
      </c>
      <c r="L7520" t="inlineStr">
        <is>
          <t>12:59:05</t>
        </is>
      </c>
      <c r="M7520" t="inlineStr">
        <is>
          <t>12:59:15</t>
        </is>
      </c>
      <c r="U7520" t="inlineStr">
        <is>
          <t>→帷子ノ辻 退勤(中休212分)</t>
        </is>
      </c>
    </row>
    <row r="7521" ht="15" customHeight="1" s="37">
      <c r="A7521" t="n">
        <v>21</v>
      </c>
      <c r="B7521" s="10" t="inlineStr">
        <is>
          <t>平日</t>
        </is>
      </c>
      <c r="C7521" s="10" t="inlineStr">
        <is>
          <t>北野線</t>
        </is>
      </c>
      <c r="D7521" s="10" t="inlineStr">
        <is>
          <t>下り</t>
        </is>
      </c>
      <c r="E7521" t="inlineStr">
        <is>
          <t>1261</t>
        </is>
      </c>
      <c r="F7521" t="inlineStr">
        <is>
          <t>0453</t>
        </is>
      </c>
      <c r="G7521" s="10" t="inlineStr">
        <is>
          <t>鳴滝</t>
        </is>
      </c>
      <c r="H7521" s="10" t="inlineStr">
        <is>
          <t>発</t>
        </is>
      </c>
      <c r="J7521" s="10" t="inlineStr">
        <is>
          <t>営業</t>
        </is>
      </c>
      <c r="L7521" t="inlineStr">
        <is>
          <t>13:00:35</t>
        </is>
      </c>
      <c r="M7521" t="inlineStr">
        <is>
          <t>13:00:45</t>
        </is>
      </c>
      <c r="U7521" t="inlineStr">
        <is>
          <t>→帷子ノ辻 退勤(中休212分)</t>
        </is>
      </c>
    </row>
    <row r="7522" ht="15" customHeight="1" s="37">
      <c r="A7522" t="n">
        <v>21</v>
      </c>
      <c r="B7522" s="10" t="inlineStr">
        <is>
          <t>平日</t>
        </is>
      </c>
      <c r="C7522" s="10" t="inlineStr">
        <is>
          <t>北野線</t>
        </is>
      </c>
      <c r="D7522" s="10" t="inlineStr">
        <is>
          <t>下り</t>
        </is>
      </c>
      <c r="E7522" t="inlineStr">
        <is>
          <t>1261</t>
        </is>
      </c>
      <c r="F7522" t="inlineStr">
        <is>
          <t>0453</t>
        </is>
      </c>
      <c r="G7522" s="10" t="inlineStr">
        <is>
          <t>常盤</t>
        </is>
      </c>
      <c r="H7522" s="10" t="inlineStr">
        <is>
          <t>発</t>
        </is>
      </c>
      <c r="J7522" s="10" t="inlineStr">
        <is>
          <t>営業</t>
        </is>
      </c>
      <c r="L7522" t="inlineStr">
        <is>
          <t>13:01:35</t>
        </is>
      </c>
      <c r="M7522" t="inlineStr">
        <is>
          <t>13:01:55</t>
        </is>
      </c>
      <c r="U7522" t="inlineStr">
        <is>
          <t>→帷子ノ辻 退勤(中休212分)</t>
        </is>
      </c>
    </row>
    <row r="7523" ht="15" customHeight="1" s="37">
      <c r="A7523" t="n">
        <v>21</v>
      </c>
      <c r="B7523" s="10" t="inlineStr">
        <is>
          <t>平日</t>
        </is>
      </c>
      <c r="C7523" s="10" t="inlineStr">
        <is>
          <t>北野線</t>
        </is>
      </c>
      <c r="D7523" s="10" t="inlineStr">
        <is>
          <t>下り</t>
        </is>
      </c>
      <c r="E7523" t="inlineStr">
        <is>
          <t>1261</t>
        </is>
      </c>
      <c r="F7523" t="inlineStr">
        <is>
          <t>0453</t>
        </is>
      </c>
      <c r="G7523" s="10" t="inlineStr">
        <is>
          <t>撮影所前</t>
        </is>
      </c>
      <c r="H7523" s="10" t="inlineStr">
        <is>
          <t>発</t>
        </is>
      </c>
      <c r="J7523" s="10" t="inlineStr">
        <is>
          <t>営業</t>
        </is>
      </c>
      <c r="L7523" t="inlineStr">
        <is>
          <t>13:03:15</t>
        </is>
      </c>
      <c r="M7523" t="inlineStr">
        <is>
          <t>13:03:30</t>
        </is>
      </c>
      <c r="U7523" t="inlineStr">
        <is>
          <t>→帷子ノ辻 退勤(中休212分)</t>
        </is>
      </c>
    </row>
    <row r="7524" ht="15" customHeight="1" s="37">
      <c r="A7524" t="n">
        <v>21</v>
      </c>
      <c r="B7524" s="10" t="inlineStr">
        <is>
          <t>平日</t>
        </is>
      </c>
      <c r="C7524" s="10" t="inlineStr">
        <is>
          <t>北野線</t>
        </is>
      </c>
      <c r="D7524" s="10" t="inlineStr">
        <is>
          <t>下り</t>
        </is>
      </c>
      <c r="E7524" t="inlineStr">
        <is>
          <t>1261</t>
        </is>
      </c>
      <c r="F7524" t="inlineStr">
        <is>
          <t>0453</t>
        </is>
      </c>
      <c r="G7524" s="10" t="inlineStr">
        <is>
          <t>帷子ノ辻</t>
        </is>
      </c>
      <c r="H7524" s="10" t="inlineStr">
        <is>
          <t>着</t>
        </is>
      </c>
      <c r="J7524" s="10" t="inlineStr">
        <is>
          <t>営業</t>
        </is>
      </c>
      <c r="L7524" t="inlineStr">
        <is>
          <t>13:04:25</t>
        </is>
      </c>
      <c r="Q7524" t="inlineStr">
        <is>
          <t>3</t>
        </is>
      </c>
      <c r="U7524" t="inlineStr">
        <is>
          <t>→帷子ノ辻 退勤(中休212分)</t>
        </is>
      </c>
    </row>
    <row r="7525" ht="15" customHeight="1" s="37">
      <c r="A7525" t="n">
        <v>21</v>
      </c>
      <c r="B7525" s="10" t="inlineStr">
        <is>
          <t>平日</t>
        </is>
      </c>
      <c r="C7525" s="10" t="inlineStr">
        <is>
          <t>北野線</t>
        </is>
      </c>
      <c r="D7525" s="10" t="inlineStr">
        <is>
          <t>上り</t>
        </is>
      </c>
      <c r="E7525" t="inlineStr">
        <is>
          <t>1658</t>
        </is>
      </c>
      <c r="F7525" t="inlineStr">
        <is>
          <t>0354</t>
        </is>
      </c>
      <c r="G7525" s="10" t="inlineStr">
        <is>
          <t>帷子ノ辻</t>
        </is>
      </c>
      <c r="H7525" s="10" t="inlineStr">
        <is>
          <t>発</t>
        </is>
      </c>
      <c r="J7525" s="10" t="inlineStr">
        <is>
          <t>営業</t>
        </is>
      </c>
      <c r="M7525" t="inlineStr">
        <is>
          <t>16:36:25</t>
        </is>
      </c>
      <c r="Q7525" t="inlineStr">
        <is>
          <t>3</t>
        </is>
      </c>
    </row>
    <row r="7526" ht="15" customHeight="1" s="37">
      <c r="A7526" t="n">
        <v>21</v>
      </c>
      <c r="B7526" s="10" t="inlineStr">
        <is>
          <t>平日</t>
        </is>
      </c>
      <c r="C7526" s="10" t="inlineStr">
        <is>
          <t>北野線</t>
        </is>
      </c>
      <c r="D7526" s="10" t="inlineStr">
        <is>
          <t>上り</t>
        </is>
      </c>
      <c r="E7526" t="inlineStr">
        <is>
          <t>1658</t>
        </is>
      </c>
      <c r="F7526" t="inlineStr">
        <is>
          <t>0354</t>
        </is>
      </c>
      <c r="G7526" s="10" t="inlineStr">
        <is>
          <t>撮影所前</t>
        </is>
      </c>
      <c r="H7526" s="10" t="inlineStr">
        <is>
          <t>発</t>
        </is>
      </c>
      <c r="J7526" s="10" t="inlineStr">
        <is>
          <t>営業</t>
        </is>
      </c>
      <c r="L7526" t="inlineStr">
        <is>
          <t>16:37:25</t>
        </is>
      </c>
      <c r="M7526" t="inlineStr">
        <is>
          <t>16:37:40</t>
        </is>
      </c>
    </row>
    <row r="7527" ht="15" customHeight="1" s="37">
      <c r="A7527" t="n">
        <v>21</v>
      </c>
      <c r="B7527" s="10" t="inlineStr">
        <is>
          <t>平日</t>
        </is>
      </c>
      <c r="C7527" s="10" t="inlineStr">
        <is>
          <t>北野線</t>
        </is>
      </c>
      <c r="D7527" s="10" t="inlineStr">
        <is>
          <t>上り</t>
        </is>
      </c>
      <c r="E7527" t="inlineStr">
        <is>
          <t>1658</t>
        </is>
      </c>
      <c r="F7527" t="inlineStr">
        <is>
          <t>0354</t>
        </is>
      </c>
      <c r="G7527" s="10" t="inlineStr">
        <is>
          <t>常盤</t>
        </is>
      </c>
      <c r="H7527" s="10" t="inlineStr">
        <is>
          <t>発</t>
        </is>
      </c>
      <c r="J7527" s="10" t="inlineStr">
        <is>
          <t>営業</t>
        </is>
      </c>
      <c r="L7527" t="inlineStr">
        <is>
          <t>16:39:00</t>
        </is>
      </c>
      <c r="M7527" t="inlineStr">
        <is>
          <t>16:39:20</t>
        </is>
      </c>
    </row>
    <row r="7528" ht="15" customHeight="1" s="37">
      <c r="A7528" t="n">
        <v>21</v>
      </c>
      <c r="B7528" s="10" t="inlineStr">
        <is>
          <t>平日</t>
        </is>
      </c>
      <c r="C7528" s="10" t="inlineStr">
        <is>
          <t>北野線</t>
        </is>
      </c>
      <c r="D7528" s="10" t="inlineStr">
        <is>
          <t>上り</t>
        </is>
      </c>
      <c r="E7528" t="inlineStr">
        <is>
          <t>1658</t>
        </is>
      </c>
      <c r="F7528" t="inlineStr">
        <is>
          <t>0354</t>
        </is>
      </c>
      <c r="G7528" s="10" t="inlineStr">
        <is>
          <t>鳴滝</t>
        </is>
      </c>
      <c r="H7528" s="10" t="inlineStr">
        <is>
          <t>発</t>
        </is>
      </c>
      <c r="J7528" s="10" t="inlineStr">
        <is>
          <t>営業</t>
        </is>
      </c>
      <c r="L7528" t="inlineStr">
        <is>
          <t>16:40:20</t>
        </is>
      </c>
      <c r="M7528" t="inlineStr">
        <is>
          <t>16:40:40</t>
        </is>
      </c>
    </row>
    <row r="7529" ht="15" customHeight="1" s="37">
      <c r="A7529" t="n">
        <v>21</v>
      </c>
      <c r="B7529" s="10" t="inlineStr">
        <is>
          <t>平日</t>
        </is>
      </c>
      <c r="C7529" s="10" t="inlineStr">
        <is>
          <t>北野線</t>
        </is>
      </c>
      <c r="D7529" s="10" t="inlineStr">
        <is>
          <t>上り</t>
        </is>
      </c>
      <c r="E7529" t="inlineStr">
        <is>
          <t>1658</t>
        </is>
      </c>
      <c r="F7529" t="inlineStr">
        <is>
          <t>0354</t>
        </is>
      </c>
      <c r="G7529" s="10" t="inlineStr">
        <is>
          <t>宇多野</t>
        </is>
      </c>
      <c r="H7529" s="10" t="inlineStr">
        <is>
          <t>発</t>
        </is>
      </c>
      <c r="J7529" s="10" t="inlineStr">
        <is>
          <t>営業</t>
        </is>
      </c>
      <c r="L7529" t="inlineStr">
        <is>
          <t>16:42:00</t>
        </is>
      </c>
      <c r="M7529" t="inlineStr">
        <is>
          <t>16:42:15</t>
        </is>
      </c>
    </row>
    <row r="7530" ht="15" customHeight="1" s="37">
      <c r="A7530" t="n">
        <v>21</v>
      </c>
      <c r="B7530" s="10" t="inlineStr">
        <is>
          <t>平日</t>
        </is>
      </c>
      <c r="C7530" s="10" t="inlineStr">
        <is>
          <t>北野線</t>
        </is>
      </c>
      <c r="D7530" s="10" t="inlineStr">
        <is>
          <t>上り</t>
        </is>
      </c>
      <c r="E7530" t="inlineStr">
        <is>
          <t>1658</t>
        </is>
      </c>
      <c r="F7530" t="inlineStr">
        <is>
          <t>0354</t>
        </is>
      </c>
      <c r="G7530" s="10" t="inlineStr">
        <is>
          <t>御室仁和寺</t>
        </is>
      </c>
      <c r="H7530" s="10" t="inlineStr">
        <is>
          <t>発</t>
        </is>
      </c>
      <c r="J7530" s="10" t="inlineStr">
        <is>
          <t>営業</t>
        </is>
      </c>
      <c r="L7530" t="inlineStr">
        <is>
          <t>16:43:15</t>
        </is>
      </c>
      <c r="M7530" t="inlineStr">
        <is>
          <t>16:43:35</t>
        </is>
      </c>
    </row>
    <row r="7531" ht="15" customHeight="1" s="37">
      <c r="A7531" t="n">
        <v>21</v>
      </c>
      <c r="B7531" s="10" t="inlineStr">
        <is>
          <t>平日</t>
        </is>
      </c>
      <c r="C7531" s="10" t="inlineStr">
        <is>
          <t>北野線</t>
        </is>
      </c>
      <c r="D7531" s="10" t="inlineStr">
        <is>
          <t>上り</t>
        </is>
      </c>
      <c r="E7531" t="inlineStr">
        <is>
          <t>1658</t>
        </is>
      </c>
      <c r="F7531" t="inlineStr">
        <is>
          <t>0354</t>
        </is>
      </c>
      <c r="G7531" s="10" t="inlineStr">
        <is>
          <t>妙心寺</t>
        </is>
      </c>
      <c r="H7531" s="10" t="inlineStr">
        <is>
          <t>発</t>
        </is>
      </c>
      <c r="J7531" s="10" t="inlineStr">
        <is>
          <t>営業</t>
        </is>
      </c>
      <c r="L7531" t="inlineStr">
        <is>
          <t>16:44:35</t>
        </is>
      </c>
      <c r="M7531" t="inlineStr">
        <is>
          <t>16:44:50</t>
        </is>
      </c>
    </row>
    <row r="7532" ht="15" customHeight="1" s="37">
      <c r="A7532" t="n">
        <v>21</v>
      </c>
      <c r="B7532" s="10" t="inlineStr">
        <is>
          <t>平日</t>
        </is>
      </c>
      <c r="C7532" s="10" t="inlineStr">
        <is>
          <t>北野線</t>
        </is>
      </c>
      <c r="D7532" s="10" t="inlineStr">
        <is>
          <t>上り</t>
        </is>
      </c>
      <c r="E7532" t="inlineStr">
        <is>
          <t>1658</t>
        </is>
      </c>
      <c r="F7532" t="inlineStr">
        <is>
          <t>0354</t>
        </is>
      </c>
      <c r="G7532" s="10" t="inlineStr">
        <is>
          <t>龍安寺</t>
        </is>
      </c>
      <c r="H7532" s="10" t="inlineStr">
        <is>
          <t>発</t>
        </is>
      </c>
      <c r="J7532" s="10" t="inlineStr">
        <is>
          <t>営業</t>
        </is>
      </c>
      <c r="L7532" t="inlineStr">
        <is>
          <t>16:45:45</t>
        </is>
      </c>
      <c r="M7532" t="inlineStr">
        <is>
          <t>16:45:55</t>
        </is>
      </c>
    </row>
    <row r="7533" ht="15" customHeight="1" s="37">
      <c r="A7533" t="n">
        <v>21</v>
      </c>
      <c r="B7533" s="10" t="inlineStr">
        <is>
          <t>平日</t>
        </is>
      </c>
      <c r="C7533" s="10" t="inlineStr">
        <is>
          <t>北野線</t>
        </is>
      </c>
      <c r="D7533" s="10" t="inlineStr">
        <is>
          <t>上り</t>
        </is>
      </c>
      <c r="E7533" t="inlineStr">
        <is>
          <t>1658</t>
        </is>
      </c>
      <c r="F7533" t="inlineStr">
        <is>
          <t>0354</t>
        </is>
      </c>
      <c r="G7533" s="10" t="inlineStr">
        <is>
          <t>等持院</t>
        </is>
      </c>
      <c r="H7533" s="10" t="inlineStr">
        <is>
          <t>発</t>
        </is>
      </c>
      <c r="J7533" s="10" t="inlineStr">
        <is>
          <t>営業</t>
        </is>
      </c>
      <c r="L7533" t="inlineStr">
        <is>
          <t>16:46:35</t>
        </is>
      </c>
      <c r="M7533" t="inlineStr">
        <is>
          <t>16:46:55</t>
        </is>
      </c>
    </row>
    <row r="7534" ht="15" customHeight="1" s="37">
      <c r="A7534" t="n">
        <v>21</v>
      </c>
      <c r="B7534" s="10" t="inlineStr">
        <is>
          <t>平日</t>
        </is>
      </c>
      <c r="C7534" s="10" t="inlineStr">
        <is>
          <t>北野線</t>
        </is>
      </c>
      <c r="D7534" s="10" t="inlineStr">
        <is>
          <t>上り</t>
        </is>
      </c>
      <c r="E7534" t="inlineStr">
        <is>
          <t>1658</t>
        </is>
      </c>
      <c r="F7534" t="inlineStr">
        <is>
          <t>0354</t>
        </is>
      </c>
      <c r="G7534" s="10" t="inlineStr">
        <is>
          <t>北野白梅町</t>
        </is>
      </c>
      <c r="H7534" s="10" t="inlineStr">
        <is>
          <t>着</t>
        </is>
      </c>
      <c r="J7534" s="10" t="inlineStr">
        <is>
          <t>営業</t>
        </is>
      </c>
      <c r="L7534" t="inlineStr">
        <is>
          <t>16:48:15</t>
        </is>
      </c>
      <c r="Q7534" t="inlineStr">
        <is>
          <t>1</t>
        </is>
      </c>
    </row>
    <row r="7535" ht="15" customHeight="1" s="37">
      <c r="A7535" t="n">
        <v>21</v>
      </c>
      <c r="B7535" s="10" t="inlineStr">
        <is>
          <t>平日</t>
        </is>
      </c>
      <c r="C7535" s="10" t="inlineStr">
        <is>
          <t>北野線</t>
        </is>
      </c>
      <c r="D7535" s="10" t="inlineStr">
        <is>
          <t>下り</t>
        </is>
      </c>
      <c r="E7535" t="inlineStr">
        <is>
          <t>1661</t>
        </is>
      </c>
      <c r="F7535" t="inlineStr">
        <is>
          <t>0453</t>
        </is>
      </c>
      <c r="G7535" s="10" t="inlineStr">
        <is>
          <t>北野白梅町</t>
        </is>
      </c>
      <c r="H7535" s="10" t="inlineStr">
        <is>
          <t>発</t>
        </is>
      </c>
      <c r="J7535" s="10" t="inlineStr">
        <is>
          <t>営業</t>
        </is>
      </c>
      <c r="M7535" t="inlineStr">
        <is>
          <t>16:53:00</t>
        </is>
      </c>
      <c r="Q7535" t="inlineStr">
        <is>
          <t>1</t>
        </is>
      </c>
    </row>
    <row r="7536" ht="15" customHeight="1" s="37">
      <c r="A7536" t="n">
        <v>21</v>
      </c>
      <c r="B7536" s="10" t="inlineStr">
        <is>
          <t>平日</t>
        </is>
      </c>
      <c r="C7536" s="10" t="inlineStr">
        <is>
          <t>北野線</t>
        </is>
      </c>
      <c r="D7536" s="10" t="inlineStr">
        <is>
          <t>下り</t>
        </is>
      </c>
      <c r="E7536" t="inlineStr">
        <is>
          <t>1661</t>
        </is>
      </c>
      <c r="F7536" t="inlineStr">
        <is>
          <t>0453</t>
        </is>
      </c>
      <c r="G7536" s="10" t="inlineStr">
        <is>
          <t>等持院</t>
        </is>
      </c>
      <c r="H7536" s="10" t="inlineStr">
        <is>
          <t>発</t>
        </is>
      </c>
      <c r="J7536" s="10" t="inlineStr">
        <is>
          <t>営業</t>
        </is>
      </c>
      <c r="L7536" t="inlineStr">
        <is>
          <t>16:54:25</t>
        </is>
      </c>
      <c r="M7536" t="inlineStr">
        <is>
          <t>16:54:35</t>
        </is>
      </c>
    </row>
    <row r="7537" ht="15" customHeight="1" s="37">
      <c r="A7537" t="n">
        <v>21</v>
      </c>
      <c r="B7537" s="10" t="inlineStr">
        <is>
          <t>平日</t>
        </is>
      </c>
      <c r="C7537" s="10" t="inlineStr">
        <is>
          <t>北野線</t>
        </is>
      </c>
      <c r="D7537" s="10" t="inlineStr">
        <is>
          <t>下り</t>
        </is>
      </c>
      <c r="E7537" t="inlineStr">
        <is>
          <t>1661</t>
        </is>
      </c>
      <c r="F7537" t="inlineStr">
        <is>
          <t>0453</t>
        </is>
      </c>
      <c r="G7537" s="10" t="inlineStr">
        <is>
          <t>龍安寺</t>
        </is>
      </c>
      <c r="H7537" s="10" t="inlineStr">
        <is>
          <t>発</t>
        </is>
      </c>
      <c r="J7537" s="10" t="inlineStr">
        <is>
          <t>営業</t>
        </is>
      </c>
      <c r="L7537" t="inlineStr">
        <is>
          <t>16:55:25</t>
        </is>
      </c>
      <c r="M7537" t="inlineStr">
        <is>
          <t>16:55:50</t>
        </is>
      </c>
    </row>
    <row r="7538" ht="15" customHeight="1" s="37">
      <c r="A7538" t="n">
        <v>21</v>
      </c>
      <c r="B7538" s="10" t="inlineStr">
        <is>
          <t>平日</t>
        </is>
      </c>
      <c r="C7538" s="10" t="inlineStr">
        <is>
          <t>北野線</t>
        </is>
      </c>
      <c r="D7538" s="10" t="inlineStr">
        <is>
          <t>下り</t>
        </is>
      </c>
      <c r="E7538" t="inlineStr">
        <is>
          <t>1661</t>
        </is>
      </c>
      <c r="F7538" t="inlineStr">
        <is>
          <t>0453</t>
        </is>
      </c>
      <c r="G7538" s="10" t="inlineStr">
        <is>
          <t>妙心寺</t>
        </is>
      </c>
      <c r="H7538" s="10" t="inlineStr">
        <is>
          <t>発</t>
        </is>
      </c>
      <c r="J7538" s="10" t="inlineStr">
        <is>
          <t>営業</t>
        </is>
      </c>
      <c r="L7538" t="inlineStr">
        <is>
          <t>16:56:40</t>
        </is>
      </c>
      <c r="M7538" t="inlineStr">
        <is>
          <t>16:56:50</t>
        </is>
      </c>
    </row>
    <row r="7539" ht="15" customHeight="1" s="37">
      <c r="A7539" t="n">
        <v>21</v>
      </c>
      <c r="B7539" s="10" t="inlineStr">
        <is>
          <t>平日</t>
        </is>
      </c>
      <c r="C7539" s="10" t="inlineStr">
        <is>
          <t>北野線</t>
        </is>
      </c>
      <c r="D7539" s="10" t="inlineStr">
        <is>
          <t>下り</t>
        </is>
      </c>
      <c r="E7539" t="inlineStr">
        <is>
          <t>1661</t>
        </is>
      </c>
      <c r="F7539" t="inlineStr">
        <is>
          <t>0453</t>
        </is>
      </c>
      <c r="G7539" s="10" t="inlineStr">
        <is>
          <t>御室仁和寺</t>
        </is>
      </c>
      <c r="H7539" s="10" t="inlineStr">
        <is>
          <t>発</t>
        </is>
      </c>
      <c r="J7539" s="10" t="inlineStr">
        <is>
          <t>営業</t>
        </is>
      </c>
      <c r="L7539" t="inlineStr">
        <is>
          <t>16:57:50</t>
        </is>
      </c>
      <c r="M7539" t="inlineStr">
        <is>
          <t>16:58:05</t>
        </is>
      </c>
    </row>
    <row r="7540" ht="15" customHeight="1" s="37">
      <c r="A7540" t="n">
        <v>21</v>
      </c>
      <c r="B7540" s="10" t="inlineStr">
        <is>
          <t>平日</t>
        </is>
      </c>
      <c r="C7540" s="10" t="inlineStr">
        <is>
          <t>北野線</t>
        </is>
      </c>
      <c r="D7540" s="10" t="inlineStr">
        <is>
          <t>下り</t>
        </is>
      </c>
      <c r="E7540" t="inlineStr">
        <is>
          <t>1661</t>
        </is>
      </c>
      <c r="F7540" t="inlineStr">
        <is>
          <t>0453</t>
        </is>
      </c>
      <c r="G7540" s="10" t="inlineStr">
        <is>
          <t>宇多野</t>
        </is>
      </c>
      <c r="H7540" s="10" t="inlineStr">
        <is>
          <t>発</t>
        </is>
      </c>
      <c r="J7540" s="10" t="inlineStr">
        <is>
          <t>営業</t>
        </is>
      </c>
      <c r="L7540" t="inlineStr">
        <is>
          <t>16:59:05</t>
        </is>
      </c>
      <c r="M7540" t="inlineStr">
        <is>
          <t>16:59:15</t>
        </is>
      </c>
    </row>
    <row r="7541" ht="15" customHeight="1" s="37">
      <c r="A7541" t="n">
        <v>21</v>
      </c>
      <c r="B7541" s="10" t="inlineStr">
        <is>
          <t>平日</t>
        </is>
      </c>
      <c r="C7541" s="10" t="inlineStr">
        <is>
          <t>北野線</t>
        </is>
      </c>
      <c r="D7541" s="10" t="inlineStr">
        <is>
          <t>下り</t>
        </is>
      </c>
      <c r="E7541" t="inlineStr">
        <is>
          <t>1661</t>
        </is>
      </c>
      <c r="F7541" t="inlineStr">
        <is>
          <t>0453</t>
        </is>
      </c>
      <c r="G7541" s="10" t="inlineStr">
        <is>
          <t>鳴滝</t>
        </is>
      </c>
      <c r="H7541" s="10" t="inlineStr">
        <is>
          <t>発</t>
        </is>
      </c>
      <c r="J7541" s="10" t="inlineStr">
        <is>
          <t>営業</t>
        </is>
      </c>
      <c r="L7541" t="inlineStr">
        <is>
          <t>17:00:35</t>
        </is>
      </c>
      <c r="M7541" t="inlineStr">
        <is>
          <t>17:00:45</t>
        </is>
      </c>
    </row>
    <row r="7542" ht="15" customHeight="1" s="37">
      <c r="A7542" t="n">
        <v>21</v>
      </c>
      <c r="B7542" s="10" t="inlineStr">
        <is>
          <t>平日</t>
        </is>
      </c>
      <c r="C7542" s="10" t="inlineStr">
        <is>
          <t>北野線</t>
        </is>
      </c>
      <c r="D7542" s="10" t="inlineStr">
        <is>
          <t>下り</t>
        </is>
      </c>
      <c r="E7542" t="inlineStr">
        <is>
          <t>1661</t>
        </is>
      </c>
      <c r="F7542" t="inlineStr">
        <is>
          <t>0453</t>
        </is>
      </c>
      <c r="G7542" s="10" t="inlineStr">
        <is>
          <t>常盤</t>
        </is>
      </c>
      <c r="H7542" s="10" t="inlineStr">
        <is>
          <t>発</t>
        </is>
      </c>
      <c r="J7542" s="10" t="inlineStr">
        <is>
          <t>営業</t>
        </is>
      </c>
      <c r="L7542" t="inlineStr">
        <is>
          <t>17:01:35</t>
        </is>
      </c>
      <c r="M7542" t="inlineStr">
        <is>
          <t>17:01:55</t>
        </is>
      </c>
    </row>
    <row r="7543" ht="15" customHeight="1" s="37">
      <c r="A7543" t="n">
        <v>21</v>
      </c>
      <c r="B7543" s="10" t="inlineStr">
        <is>
          <t>平日</t>
        </is>
      </c>
      <c r="C7543" s="10" t="inlineStr">
        <is>
          <t>北野線</t>
        </is>
      </c>
      <c r="D7543" s="10" t="inlineStr">
        <is>
          <t>下り</t>
        </is>
      </c>
      <c r="E7543" t="inlineStr">
        <is>
          <t>1661</t>
        </is>
      </c>
      <c r="F7543" t="inlineStr">
        <is>
          <t>0453</t>
        </is>
      </c>
      <c r="G7543" s="10" t="inlineStr">
        <is>
          <t>撮影所前</t>
        </is>
      </c>
      <c r="H7543" s="10" t="inlineStr">
        <is>
          <t>発</t>
        </is>
      </c>
      <c r="J7543" s="10" t="inlineStr">
        <is>
          <t>営業</t>
        </is>
      </c>
      <c r="L7543" t="inlineStr">
        <is>
          <t>17:03:15</t>
        </is>
      </c>
      <c r="M7543" t="inlineStr">
        <is>
          <t>17:03:30</t>
        </is>
      </c>
    </row>
    <row r="7544" ht="15" customHeight="1" s="37">
      <c r="A7544" t="n">
        <v>21</v>
      </c>
      <c r="B7544" s="10" t="inlineStr">
        <is>
          <t>平日</t>
        </is>
      </c>
      <c r="C7544" s="10" t="inlineStr">
        <is>
          <t>北野線</t>
        </is>
      </c>
      <c r="D7544" s="10" t="inlineStr">
        <is>
          <t>下り</t>
        </is>
      </c>
      <c r="E7544" t="inlineStr">
        <is>
          <t>1661</t>
        </is>
      </c>
      <c r="F7544" t="inlineStr">
        <is>
          <t>0453</t>
        </is>
      </c>
      <c r="G7544" s="10" t="inlineStr">
        <is>
          <t>帷子ノ辻</t>
        </is>
      </c>
      <c r="H7544" s="10" t="inlineStr">
        <is>
          <t>着</t>
        </is>
      </c>
      <c r="J7544" s="10" t="inlineStr">
        <is>
          <t>営業</t>
        </is>
      </c>
      <c r="L7544" t="inlineStr">
        <is>
          <t>17:04:25</t>
        </is>
      </c>
      <c r="Q7544" t="inlineStr">
        <is>
          <t>3</t>
        </is>
      </c>
    </row>
    <row r="7545" ht="15" customHeight="1" s="37">
      <c r="A7545" t="n">
        <v>21</v>
      </c>
      <c r="B7545" s="10" t="inlineStr">
        <is>
          <t>平日</t>
        </is>
      </c>
      <c r="C7545" s="10" t="inlineStr">
        <is>
          <t>北野線</t>
        </is>
      </c>
      <c r="D7545" s="10" t="inlineStr">
        <is>
          <t>上り</t>
        </is>
      </c>
      <c r="E7545" t="inlineStr">
        <is>
          <t>1754</t>
        </is>
      </c>
      <c r="F7545" t="inlineStr">
        <is>
          <t>0354</t>
        </is>
      </c>
      <c r="G7545" s="10" t="inlineStr">
        <is>
          <t>帷子ノ辻</t>
        </is>
      </c>
      <c r="H7545" s="10" t="inlineStr">
        <is>
          <t>発</t>
        </is>
      </c>
      <c r="J7545" s="10" t="inlineStr">
        <is>
          <t>営業</t>
        </is>
      </c>
      <c r="M7545" t="inlineStr">
        <is>
          <t>17:16:25</t>
        </is>
      </c>
      <c r="Q7545" t="inlineStr">
        <is>
          <t>3</t>
        </is>
      </c>
    </row>
    <row r="7546" ht="15" customHeight="1" s="37">
      <c r="A7546" t="n">
        <v>21</v>
      </c>
      <c r="B7546" s="10" t="inlineStr">
        <is>
          <t>平日</t>
        </is>
      </c>
      <c r="C7546" s="10" t="inlineStr">
        <is>
          <t>北野線</t>
        </is>
      </c>
      <c r="D7546" s="10" t="inlineStr">
        <is>
          <t>上り</t>
        </is>
      </c>
      <c r="E7546" t="inlineStr">
        <is>
          <t>1754</t>
        </is>
      </c>
      <c r="F7546" t="inlineStr">
        <is>
          <t>0354</t>
        </is>
      </c>
      <c r="G7546" s="10" t="inlineStr">
        <is>
          <t>撮影所前</t>
        </is>
      </c>
      <c r="H7546" s="10" t="inlineStr">
        <is>
          <t>発</t>
        </is>
      </c>
      <c r="J7546" s="10" t="inlineStr">
        <is>
          <t>営業</t>
        </is>
      </c>
      <c r="L7546" t="inlineStr">
        <is>
          <t>17:17:25</t>
        </is>
      </c>
      <c r="M7546" t="inlineStr">
        <is>
          <t>17:17:40</t>
        </is>
      </c>
    </row>
    <row r="7547" ht="15" customHeight="1" s="37">
      <c r="A7547" t="n">
        <v>21</v>
      </c>
      <c r="B7547" s="10" t="inlineStr">
        <is>
          <t>平日</t>
        </is>
      </c>
      <c r="C7547" s="10" t="inlineStr">
        <is>
          <t>北野線</t>
        </is>
      </c>
      <c r="D7547" s="10" t="inlineStr">
        <is>
          <t>上り</t>
        </is>
      </c>
      <c r="E7547" t="inlineStr">
        <is>
          <t>1754</t>
        </is>
      </c>
      <c r="F7547" t="inlineStr">
        <is>
          <t>0354</t>
        </is>
      </c>
      <c r="G7547" s="10" t="inlineStr">
        <is>
          <t>常盤</t>
        </is>
      </c>
      <c r="H7547" s="10" t="inlineStr">
        <is>
          <t>発</t>
        </is>
      </c>
      <c r="J7547" s="10" t="inlineStr">
        <is>
          <t>営業</t>
        </is>
      </c>
      <c r="L7547" t="inlineStr">
        <is>
          <t>17:19:00</t>
        </is>
      </c>
      <c r="M7547" t="inlineStr">
        <is>
          <t>17:19:20</t>
        </is>
      </c>
    </row>
    <row r="7548" ht="15" customHeight="1" s="37">
      <c r="A7548" t="n">
        <v>21</v>
      </c>
      <c r="B7548" s="10" t="inlineStr">
        <is>
          <t>平日</t>
        </is>
      </c>
      <c r="C7548" s="10" t="inlineStr">
        <is>
          <t>北野線</t>
        </is>
      </c>
      <c r="D7548" s="10" t="inlineStr">
        <is>
          <t>上り</t>
        </is>
      </c>
      <c r="E7548" t="inlineStr">
        <is>
          <t>1754</t>
        </is>
      </c>
      <c r="F7548" t="inlineStr">
        <is>
          <t>0354</t>
        </is>
      </c>
      <c r="G7548" s="10" t="inlineStr">
        <is>
          <t>鳴滝</t>
        </is>
      </c>
      <c r="H7548" s="10" t="inlineStr">
        <is>
          <t>発</t>
        </is>
      </c>
      <c r="J7548" s="10" t="inlineStr">
        <is>
          <t>営業</t>
        </is>
      </c>
      <c r="L7548" t="inlineStr">
        <is>
          <t>17:20:20</t>
        </is>
      </c>
      <c r="M7548" t="inlineStr">
        <is>
          <t>17:20:40</t>
        </is>
      </c>
    </row>
    <row r="7549" ht="15" customHeight="1" s="37">
      <c r="A7549" t="n">
        <v>21</v>
      </c>
      <c r="B7549" s="10" t="inlineStr">
        <is>
          <t>平日</t>
        </is>
      </c>
      <c r="C7549" s="10" t="inlineStr">
        <is>
          <t>北野線</t>
        </is>
      </c>
      <c r="D7549" s="10" t="inlineStr">
        <is>
          <t>上り</t>
        </is>
      </c>
      <c r="E7549" t="inlineStr">
        <is>
          <t>1754</t>
        </is>
      </c>
      <c r="F7549" t="inlineStr">
        <is>
          <t>0354</t>
        </is>
      </c>
      <c r="G7549" s="10" t="inlineStr">
        <is>
          <t>宇多野</t>
        </is>
      </c>
      <c r="H7549" s="10" t="inlineStr">
        <is>
          <t>発</t>
        </is>
      </c>
      <c r="J7549" s="10" t="inlineStr">
        <is>
          <t>営業</t>
        </is>
      </c>
      <c r="L7549" t="inlineStr">
        <is>
          <t>17:22:00</t>
        </is>
      </c>
      <c r="M7549" t="inlineStr">
        <is>
          <t>17:22:15</t>
        </is>
      </c>
    </row>
    <row r="7550" ht="15" customHeight="1" s="37">
      <c r="A7550" t="n">
        <v>21</v>
      </c>
      <c r="B7550" s="10" t="inlineStr">
        <is>
          <t>平日</t>
        </is>
      </c>
      <c r="C7550" s="10" t="inlineStr">
        <is>
          <t>北野線</t>
        </is>
      </c>
      <c r="D7550" s="10" t="inlineStr">
        <is>
          <t>上り</t>
        </is>
      </c>
      <c r="E7550" t="inlineStr">
        <is>
          <t>1754</t>
        </is>
      </c>
      <c r="F7550" t="inlineStr">
        <is>
          <t>0354</t>
        </is>
      </c>
      <c r="G7550" s="10" t="inlineStr">
        <is>
          <t>御室仁和寺</t>
        </is>
      </c>
      <c r="H7550" s="10" t="inlineStr">
        <is>
          <t>発</t>
        </is>
      </c>
      <c r="J7550" s="10" t="inlineStr">
        <is>
          <t>営業</t>
        </is>
      </c>
      <c r="L7550" t="inlineStr">
        <is>
          <t>17:23:15</t>
        </is>
      </c>
      <c r="M7550" t="inlineStr">
        <is>
          <t>17:23:35</t>
        </is>
      </c>
    </row>
    <row r="7551" ht="15" customHeight="1" s="37">
      <c r="A7551" t="n">
        <v>21</v>
      </c>
      <c r="B7551" s="10" t="inlineStr">
        <is>
          <t>平日</t>
        </is>
      </c>
      <c r="C7551" s="10" t="inlineStr">
        <is>
          <t>北野線</t>
        </is>
      </c>
      <c r="D7551" s="10" t="inlineStr">
        <is>
          <t>上り</t>
        </is>
      </c>
      <c r="E7551" t="inlineStr">
        <is>
          <t>1754</t>
        </is>
      </c>
      <c r="F7551" t="inlineStr">
        <is>
          <t>0354</t>
        </is>
      </c>
      <c r="G7551" s="10" t="inlineStr">
        <is>
          <t>妙心寺</t>
        </is>
      </c>
      <c r="H7551" s="10" t="inlineStr">
        <is>
          <t>発</t>
        </is>
      </c>
      <c r="J7551" s="10" t="inlineStr">
        <is>
          <t>営業</t>
        </is>
      </c>
      <c r="L7551" t="inlineStr">
        <is>
          <t>17:24:35</t>
        </is>
      </c>
      <c r="M7551" t="inlineStr">
        <is>
          <t>17:24:50</t>
        </is>
      </c>
    </row>
    <row r="7552" ht="15" customHeight="1" s="37">
      <c r="A7552" t="n">
        <v>21</v>
      </c>
      <c r="B7552" s="10" t="inlineStr">
        <is>
          <t>平日</t>
        </is>
      </c>
      <c r="C7552" s="10" t="inlineStr">
        <is>
          <t>北野線</t>
        </is>
      </c>
      <c r="D7552" s="10" t="inlineStr">
        <is>
          <t>上り</t>
        </is>
      </c>
      <c r="E7552" t="inlineStr">
        <is>
          <t>1754</t>
        </is>
      </c>
      <c r="F7552" t="inlineStr">
        <is>
          <t>0354</t>
        </is>
      </c>
      <c r="G7552" s="10" t="inlineStr">
        <is>
          <t>龍安寺</t>
        </is>
      </c>
      <c r="H7552" s="10" t="inlineStr">
        <is>
          <t>発</t>
        </is>
      </c>
      <c r="J7552" s="10" t="inlineStr">
        <is>
          <t>営業</t>
        </is>
      </c>
      <c r="L7552" t="inlineStr">
        <is>
          <t>17:25:45</t>
        </is>
      </c>
      <c r="M7552" t="inlineStr">
        <is>
          <t>17:25:55</t>
        </is>
      </c>
    </row>
    <row r="7553" ht="15" customHeight="1" s="37">
      <c r="A7553" t="n">
        <v>21</v>
      </c>
      <c r="B7553" s="10" t="inlineStr">
        <is>
          <t>平日</t>
        </is>
      </c>
      <c r="C7553" s="10" t="inlineStr">
        <is>
          <t>北野線</t>
        </is>
      </c>
      <c r="D7553" s="10" t="inlineStr">
        <is>
          <t>上り</t>
        </is>
      </c>
      <c r="E7553" t="inlineStr">
        <is>
          <t>1754</t>
        </is>
      </c>
      <c r="F7553" t="inlineStr">
        <is>
          <t>0354</t>
        </is>
      </c>
      <c r="G7553" s="10" t="inlineStr">
        <is>
          <t>等持院</t>
        </is>
      </c>
      <c r="H7553" s="10" t="inlineStr">
        <is>
          <t>発</t>
        </is>
      </c>
      <c r="J7553" s="10" t="inlineStr">
        <is>
          <t>営業</t>
        </is>
      </c>
      <c r="L7553" t="inlineStr">
        <is>
          <t>17:26:35</t>
        </is>
      </c>
      <c r="M7553" t="inlineStr">
        <is>
          <t>17:26:55</t>
        </is>
      </c>
    </row>
    <row r="7554" ht="15" customHeight="1" s="37">
      <c r="A7554" t="n">
        <v>21</v>
      </c>
      <c r="B7554" s="10" t="inlineStr">
        <is>
          <t>平日</t>
        </is>
      </c>
      <c r="C7554" s="10" t="inlineStr">
        <is>
          <t>北野線</t>
        </is>
      </c>
      <c r="D7554" s="10" t="inlineStr">
        <is>
          <t>上り</t>
        </is>
      </c>
      <c r="E7554" t="inlineStr">
        <is>
          <t>1754</t>
        </is>
      </c>
      <c r="F7554" t="inlineStr">
        <is>
          <t>0354</t>
        </is>
      </c>
      <c r="G7554" s="10" t="inlineStr">
        <is>
          <t>北野白梅町</t>
        </is>
      </c>
      <c r="H7554" s="10" t="inlineStr">
        <is>
          <t>着</t>
        </is>
      </c>
      <c r="J7554" s="10" t="inlineStr">
        <is>
          <t>営業</t>
        </is>
      </c>
      <c r="L7554" t="inlineStr">
        <is>
          <t>17:28:15</t>
        </is>
      </c>
      <c r="Q7554" t="inlineStr">
        <is>
          <t>1</t>
        </is>
      </c>
    </row>
    <row r="7555" ht="15" customHeight="1" s="37">
      <c r="A7555" t="n">
        <v>21</v>
      </c>
      <c r="B7555" s="10" t="inlineStr">
        <is>
          <t>平日</t>
        </is>
      </c>
      <c r="C7555" s="10" t="inlineStr">
        <is>
          <t>北野線</t>
        </is>
      </c>
      <c r="D7555" s="10" t="inlineStr">
        <is>
          <t>下り</t>
        </is>
      </c>
      <c r="E7555" t="inlineStr">
        <is>
          <t>1757</t>
        </is>
      </c>
      <c r="F7555" t="inlineStr">
        <is>
          <t>0453</t>
        </is>
      </c>
      <c r="G7555" s="10" t="inlineStr">
        <is>
          <t>北野白梅町</t>
        </is>
      </c>
      <c r="H7555" s="10" t="inlineStr">
        <is>
          <t>発</t>
        </is>
      </c>
      <c r="J7555" s="10" t="inlineStr">
        <is>
          <t>営業</t>
        </is>
      </c>
      <c r="M7555" t="inlineStr">
        <is>
          <t>17:33:00</t>
        </is>
      </c>
      <c r="Q7555" t="inlineStr">
        <is>
          <t>1</t>
        </is>
      </c>
    </row>
    <row r="7556" ht="15" customHeight="1" s="37">
      <c r="A7556" t="n">
        <v>21</v>
      </c>
      <c r="B7556" s="10" t="inlineStr">
        <is>
          <t>平日</t>
        </is>
      </c>
      <c r="C7556" s="10" t="inlineStr">
        <is>
          <t>北野線</t>
        </is>
      </c>
      <c r="D7556" s="10" t="inlineStr">
        <is>
          <t>下り</t>
        </is>
      </c>
      <c r="E7556" t="inlineStr">
        <is>
          <t>1757</t>
        </is>
      </c>
      <c r="F7556" t="inlineStr">
        <is>
          <t>0453</t>
        </is>
      </c>
      <c r="G7556" s="10" t="inlineStr">
        <is>
          <t>等持院</t>
        </is>
      </c>
      <c r="H7556" s="10" t="inlineStr">
        <is>
          <t>発</t>
        </is>
      </c>
      <c r="J7556" s="10" t="inlineStr">
        <is>
          <t>営業</t>
        </is>
      </c>
      <c r="L7556" t="inlineStr">
        <is>
          <t>17:34:25</t>
        </is>
      </c>
      <c r="M7556" t="inlineStr">
        <is>
          <t>17:34:35</t>
        </is>
      </c>
    </row>
    <row r="7557" ht="15" customHeight="1" s="37">
      <c r="A7557" t="n">
        <v>21</v>
      </c>
      <c r="B7557" s="10" t="inlineStr">
        <is>
          <t>平日</t>
        </is>
      </c>
      <c r="C7557" s="10" t="inlineStr">
        <is>
          <t>北野線</t>
        </is>
      </c>
      <c r="D7557" s="10" t="inlineStr">
        <is>
          <t>下り</t>
        </is>
      </c>
      <c r="E7557" t="inlineStr">
        <is>
          <t>1757</t>
        </is>
      </c>
      <c r="F7557" t="inlineStr">
        <is>
          <t>0453</t>
        </is>
      </c>
      <c r="G7557" s="10" t="inlineStr">
        <is>
          <t>龍安寺</t>
        </is>
      </c>
      <c r="H7557" s="10" t="inlineStr">
        <is>
          <t>発</t>
        </is>
      </c>
      <c r="J7557" s="10" t="inlineStr">
        <is>
          <t>営業</t>
        </is>
      </c>
      <c r="L7557" t="inlineStr">
        <is>
          <t>17:35:25</t>
        </is>
      </c>
      <c r="M7557" t="inlineStr">
        <is>
          <t>17:35:50</t>
        </is>
      </c>
    </row>
    <row r="7558" ht="15" customHeight="1" s="37">
      <c r="A7558" t="n">
        <v>21</v>
      </c>
      <c r="B7558" s="10" t="inlineStr">
        <is>
          <t>平日</t>
        </is>
      </c>
      <c r="C7558" s="10" t="inlineStr">
        <is>
          <t>北野線</t>
        </is>
      </c>
      <c r="D7558" s="10" t="inlineStr">
        <is>
          <t>下り</t>
        </is>
      </c>
      <c r="E7558" t="inlineStr">
        <is>
          <t>1757</t>
        </is>
      </c>
      <c r="F7558" t="inlineStr">
        <is>
          <t>0453</t>
        </is>
      </c>
      <c r="G7558" s="10" t="inlineStr">
        <is>
          <t>妙心寺</t>
        </is>
      </c>
      <c r="H7558" s="10" t="inlineStr">
        <is>
          <t>発</t>
        </is>
      </c>
      <c r="J7558" s="10" t="inlineStr">
        <is>
          <t>営業</t>
        </is>
      </c>
      <c r="L7558" t="inlineStr">
        <is>
          <t>17:36:40</t>
        </is>
      </c>
      <c r="M7558" t="inlineStr">
        <is>
          <t>17:36:50</t>
        </is>
      </c>
    </row>
    <row r="7559" ht="15" customHeight="1" s="37">
      <c r="A7559" t="n">
        <v>21</v>
      </c>
      <c r="B7559" s="10" t="inlineStr">
        <is>
          <t>平日</t>
        </is>
      </c>
      <c r="C7559" s="10" t="inlineStr">
        <is>
          <t>北野線</t>
        </is>
      </c>
      <c r="D7559" s="10" t="inlineStr">
        <is>
          <t>下り</t>
        </is>
      </c>
      <c r="E7559" t="inlineStr">
        <is>
          <t>1757</t>
        </is>
      </c>
      <c r="F7559" t="inlineStr">
        <is>
          <t>0453</t>
        </is>
      </c>
      <c r="G7559" s="10" t="inlineStr">
        <is>
          <t>御室仁和寺</t>
        </is>
      </c>
      <c r="H7559" s="10" t="inlineStr">
        <is>
          <t>発</t>
        </is>
      </c>
      <c r="J7559" s="10" t="inlineStr">
        <is>
          <t>営業</t>
        </is>
      </c>
      <c r="L7559" t="inlineStr">
        <is>
          <t>17:37:50</t>
        </is>
      </c>
      <c r="M7559" t="inlineStr">
        <is>
          <t>17:38:05</t>
        </is>
      </c>
    </row>
    <row r="7560" ht="15" customHeight="1" s="37">
      <c r="A7560" t="n">
        <v>21</v>
      </c>
      <c r="B7560" s="10" t="inlineStr">
        <is>
          <t>平日</t>
        </is>
      </c>
      <c r="C7560" s="10" t="inlineStr">
        <is>
          <t>北野線</t>
        </is>
      </c>
      <c r="D7560" s="10" t="inlineStr">
        <is>
          <t>下り</t>
        </is>
      </c>
      <c r="E7560" t="inlineStr">
        <is>
          <t>1757</t>
        </is>
      </c>
      <c r="F7560" t="inlineStr">
        <is>
          <t>0453</t>
        </is>
      </c>
      <c r="G7560" s="10" t="inlineStr">
        <is>
          <t>宇多野</t>
        </is>
      </c>
      <c r="H7560" s="10" t="inlineStr">
        <is>
          <t>発</t>
        </is>
      </c>
      <c r="J7560" s="10" t="inlineStr">
        <is>
          <t>営業</t>
        </is>
      </c>
      <c r="L7560" t="inlineStr">
        <is>
          <t>17:39:05</t>
        </is>
      </c>
      <c r="M7560" t="inlineStr">
        <is>
          <t>17:39:15</t>
        </is>
      </c>
    </row>
    <row r="7561" ht="15" customHeight="1" s="37">
      <c r="A7561" t="n">
        <v>21</v>
      </c>
      <c r="B7561" s="10" t="inlineStr">
        <is>
          <t>平日</t>
        </is>
      </c>
      <c r="C7561" s="10" t="inlineStr">
        <is>
          <t>北野線</t>
        </is>
      </c>
      <c r="D7561" s="10" t="inlineStr">
        <is>
          <t>下り</t>
        </is>
      </c>
      <c r="E7561" t="inlineStr">
        <is>
          <t>1757</t>
        </is>
      </c>
      <c r="F7561" t="inlineStr">
        <is>
          <t>0453</t>
        </is>
      </c>
      <c r="G7561" s="10" t="inlineStr">
        <is>
          <t>鳴滝</t>
        </is>
      </c>
      <c r="H7561" s="10" t="inlineStr">
        <is>
          <t>発</t>
        </is>
      </c>
      <c r="J7561" s="10" t="inlineStr">
        <is>
          <t>営業</t>
        </is>
      </c>
      <c r="L7561" t="inlineStr">
        <is>
          <t>17:40:35</t>
        </is>
      </c>
      <c r="M7561" t="inlineStr">
        <is>
          <t>17:40:45</t>
        </is>
      </c>
    </row>
    <row r="7562" ht="15" customHeight="1" s="37">
      <c r="A7562" t="n">
        <v>21</v>
      </c>
      <c r="B7562" s="10" t="inlineStr">
        <is>
          <t>平日</t>
        </is>
      </c>
      <c r="C7562" s="10" t="inlineStr">
        <is>
          <t>北野線</t>
        </is>
      </c>
      <c r="D7562" s="10" t="inlineStr">
        <is>
          <t>下り</t>
        </is>
      </c>
      <c r="E7562" t="inlineStr">
        <is>
          <t>1757</t>
        </is>
      </c>
      <c r="F7562" t="inlineStr">
        <is>
          <t>0453</t>
        </is>
      </c>
      <c r="G7562" s="10" t="inlineStr">
        <is>
          <t>常盤</t>
        </is>
      </c>
      <c r="H7562" s="10" t="inlineStr">
        <is>
          <t>発</t>
        </is>
      </c>
      <c r="J7562" s="10" t="inlineStr">
        <is>
          <t>営業</t>
        </is>
      </c>
      <c r="L7562" t="inlineStr">
        <is>
          <t>17:41:35</t>
        </is>
      </c>
      <c r="M7562" t="inlineStr">
        <is>
          <t>17:41:55</t>
        </is>
      </c>
    </row>
    <row r="7563" ht="15" customHeight="1" s="37">
      <c r="A7563" t="n">
        <v>21</v>
      </c>
      <c r="B7563" s="10" t="inlineStr">
        <is>
          <t>平日</t>
        </is>
      </c>
      <c r="C7563" s="10" t="inlineStr">
        <is>
          <t>北野線</t>
        </is>
      </c>
      <c r="D7563" s="10" t="inlineStr">
        <is>
          <t>下り</t>
        </is>
      </c>
      <c r="E7563" t="inlineStr">
        <is>
          <t>1757</t>
        </is>
      </c>
      <c r="F7563" t="inlineStr">
        <is>
          <t>0453</t>
        </is>
      </c>
      <c r="G7563" s="10" t="inlineStr">
        <is>
          <t>撮影所前</t>
        </is>
      </c>
      <c r="H7563" s="10" t="inlineStr">
        <is>
          <t>発</t>
        </is>
      </c>
      <c r="J7563" s="10" t="inlineStr">
        <is>
          <t>営業</t>
        </is>
      </c>
      <c r="L7563" t="inlineStr">
        <is>
          <t>17:43:15</t>
        </is>
      </c>
      <c r="M7563" t="inlineStr">
        <is>
          <t>17:43:30</t>
        </is>
      </c>
    </row>
    <row r="7564" ht="15" customHeight="1" s="37">
      <c r="A7564" t="n">
        <v>21</v>
      </c>
      <c r="B7564" s="10" t="inlineStr">
        <is>
          <t>平日</t>
        </is>
      </c>
      <c r="C7564" s="10" t="inlineStr">
        <is>
          <t>北野線</t>
        </is>
      </c>
      <c r="D7564" s="10" t="inlineStr">
        <is>
          <t>下り</t>
        </is>
      </c>
      <c r="E7564" t="inlineStr">
        <is>
          <t>1757</t>
        </is>
      </c>
      <c r="F7564" t="inlineStr">
        <is>
          <t>0453</t>
        </is>
      </c>
      <c r="G7564" s="10" t="inlineStr">
        <is>
          <t>帷子ノ辻</t>
        </is>
      </c>
      <c r="H7564" s="10" t="inlineStr">
        <is>
          <t>着</t>
        </is>
      </c>
      <c r="J7564" s="10" t="inlineStr">
        <is>
          <t>営業</t>
        </is>
      </c>
      <c r="L7564" t="inlineStr">
        <is>
          <t>17:44:25</t>
        </is>
      </c>
      <c r="Q7564" t="inlineStr">
        <is>
          <t>3</t>
        </is>
      </c>
    </row>
    <row r="7565" ht="15" customHeight="1" s="37">
      <c r="A7565" t="n">
        <v>21</v>
      </c>
      <c r="B7565" s="10" t="inlineStr">
        <is>
          <t>平日</t>
        </is>
      </c>
      <c r="C7565" s="10" t="inlineStr">
        <is>
          <t>北野線</t>
        </is>
      </c>
      <c r="D7565" s="10" t="inlineStr">
        <is>
          <t>上り</t>
        </is>
      </c>
      <c r="E7565" t="inlineStr">
        <is>
          <t>1762</t>
        </is>
      </c>
      <c r="F7565" t="inlineStr">
        <is>
          <t>0304</t>
        </is>
      </c>
      <c r="G7565" s="10" t="inlineStr">
        <is>
          <t>帷子ノ辻</t>
        </is>
      </c>
      <c r="H7565" s="10" t="inlineStr">
        <is>
          <t>発</t>
        </is>
      </c>
      <c r="J7565" s="10" t="inlineStr">
        <is>
          <t>営業</t>
        </is>
      </c>
      <c r="M7565" t="inlineStr">
        <is>
          <t>17:56:25</t>
        </is>
      </c>
      <c r="Q7565" t="inlineStr">
        <is>
          <t>3</t>
        </is>
      </c>
    </row>
    <row r="7566" ht="15" customHeight="1" s="37">
      <c r="A7566" t="n">
        <v>21</v>
      </c>
      <c r="B7566" s="10" t="inlineStr">
        <is>
          <t>平日</t>
        </is>
      </c>
      <c r="C7566" s="10" t="inlineStr">
        <is>
          <t>北野線</t>
        </is>
      </c>
      <c r="D7566" s="10" t="inlineStr">
        <is>
          <t>上り</t>
        </is>
      </c>
      <c r="E7566" t="inlineStr">
        <is>
          <t>1762</t>
        </is>
      </c>
      <c r="F7566" t="inlineStr">
        <is>
          <t>0304</t>
        </is>
      </c>
      <c r="G7566" s="10" t="inlineStr">
        <is>
          <t>撮影所前</t>
        </is>
      </c>
      <c r="H7566" s="10" t="inlineStr">
        <is>
          <t>発</t>
        </is>
      </c>
      <c r="J7566" s="10" t="inlineStr">
        <is>
          <t>営業</t>
        </is>
      </c>
      <c r="L7566" t="inlineStr">
        <is>
          <t>17:57:25</t>
        </is>
      </c>
      <c r="M7566" t="inlineStr">
        <is>
          <t>17:57:40</t>
        </is>
      </c>
    </row>
    <row r="7567" ht="15" customHeight="1" s="37">
      <c r="A7567" t="n">
        <v>21</v>
      </c>
      <c r="B7567" s="10" t="inlineStr">
        <is>
          <t>平日</t>
        </is>
      </c>
      <c r="C7567" s="10" t="inlineStr">
        <is>
          <t>北野線</t>
        </is>
      </c>
      <c r="D7567" s="10" t="inlineStr">
        <is>
          <t>上り</t>
        </is>
      </c>
      <c r="E7567" t="inlineStr">
        <is>
          <t>1762</t>
        </is>
      </c>
      <c r="F7567" t="inlineStr">
        <is>
          <t>0304</t>
        </is>
      </c>
      <c r="G7567" s="10" t="inlineStr">
        <is>
          <t>常盤</t>
        </is>
      </c>
      <c r="H7567" s="10" t="inlineStr">
        <is>
          <t>発</t>
        </is>
      </c>
      <c r="J7567" s="10" t="inlineStr">
        <is>
          <t>営業</t>
        </is>
      </c>
      <c r="L7567" t="inlineStr">
        <is>
          <t>17:59:00</t>
        </is>
      </c>
      <c r="M7567" t="inlineStr">
        <is>
          <t>17:59:20</t>
        </is>
      </c>
    </row>
    <row r="7568" ht="15" customHeight="1" s="37">
      <c r="A7568" t="n">
        <v>21</v>
      </c>
      <c r="B7568" s="10" t="inlineStr">
        <is>
          <t>平日</t>
        </is>
      </c>
      <c r="C7568" s="10" t="inlineStr">
        <is>
          <t>北野線</t>
        </is>
      </c>
      <c r="D7568" s="10" t="inlineStr">
        <is>
          <t>上り</t>
        </is>
      </c>
      <c r="E7568" t="inlineStr">
        <is>
          <t>1762</t>
        </is>
      </c>
      <c r="F7568" t="inlineStr">
        <is>
          <t>0304</t>
        </is>
      </c>
      <c r="G7568" s="10" t="inlineStr">
        <is>
          <t>鳴滝</t>
        </is>
      </c>
      <c r="H7568" s="10" t="inlineStr">
        <is>
          <t>発</t>
        </is>
      </c>
      <c r="J7568" s="10" t="inlineStr">
        <is>
          <t>営業</t>
        </is>
      </c>
      <c r="L7568" t="inlineStr">
        <is>
          <t>18:00:20</t>
        </is>
      </c>
      <c r="M7568" t="inlineStr">
        <is>
          <t>18:00:40</t>
        </is>
      </c>
    </row>
    <row r="7569" ht="16.5" customHeight="1" s="37">
      <c r="A7569" t="n">
        <v>21</v>
      </c>
      <c r="B7569" s="10" t="inlineStr">
        <is>
          <t>平日</t>
        </is>
      </c>
      <c r="C7569" s="10" t="inlineStr">
        <is>
          <t>北野線</t>
        </is>
      </c>
      <c r="D7569" s="10" t="inlineStr">
        <is>
          <t>上り</t>
        </is>
      </c>
      <c r="E7569" t="inlineStr">
        <is>
          <t>1762</t>
        </is>
      </c>
      <c r="F7569" t="inlineStr">
        <is>
          <t>0304</t>
        </is>
      </c>
      <c r="G7569" s="10" t="inlineStr">
        <is>
          <t>宇多野</t>
        </is>
      </c>
      <c r="H7569" s="10" t="inlineStr">
        <is>
          <t>発</t>
        </is>
      </c>
      <c r="J7569" s="10" t="inlineStr">
        <is>
          <t>営業</t>
        </is>
      </c>
      <c r="L7569" t="inlineStr">
        <is>
          <t>18:02:00</t>
        </is>
      </c>
      <c r="M7569" t="inlineStr">
        <is>
          <t>18:02:15</t>
        </is>
      </c>
    </row>
    <row r="7570" ht="16.5" customHeight="1" s="37">
      <c r="A7570" t="n">
        <v>21</v>
      </c>
      <c r="B7570" s="10" t="inlineStr">
        <is>
          <t>平日</t>
        </is>
      </c>
      <c r="C7570" s="10" t="inlineStr">
        <is>
          <t>北野線</t>
        </is>
      </c>
      <c r="D7570" s="10" t="inlineStr">
        <is>
          <t>上り</t>
        </is>
      </c>
      <c r="E7570" t="inlineStr">
        <is>
          <t>1762</t>
        </is>
      </c>
      <c r="F7570" t="inlineStr">
        <is>
          <t>0304</t>
        </is>
      </c>
      <c r="G7570" s="10" t="inlineStr">
        <is>
          <t>御室仁和寺</t>
        </is>
      </c>
      <c r="H7570" s="10" t="inlineStr">
        <is>
          <t>発</t>
        </is>
      </c>
      <c r="J7570" s="10" t="inlineStr">
        <is>
          <t>営業</t>
        </is>
      </c>
      <c r="L7570" t="inlineStr">
        <is>
          <t>18:03:15</t>
        </is>
      </c>
      <c r="M7570" t="inlineStr">
        <is>
          <t>18:03:35</t>
        </is>
      </c>
    </row>
    <row r="7571" ht="16.5" customHeight="1" s="37">
      <c r="A7571" t="n">
        <v>21</v>
      </c>
      <c r="B7571" s="10" t="inlineStr">
        <is>
          <t>平日</t>
        </is>
      </c>
      <c r="C7571" s="10" t="inlineStr">
        <is>
          <t>北野線</t>
        </is>
      </c>
      <c r="D7571" s="10" t="inlineStr">
        <is>
          <t>上り</t>
        </is>
      </c>
      <c r="E7571" t="inlineStr">
        <is>
          <t>1762</t>
        </is>
      </c>
      <c r="F7571" t="inlineStr">
        <is>
          <t>0304</t>
        </is>
      </c>
      <c r="G7571" s="10" t="inlineStr">
        <is>
          <t>妙心寺</t>
        </is>
      </c>
      <c r="H7571" s="10" t="inlineStr">
        <is>
          <t>発</t>
        </is>
      </c>
      <c r="J7571" s="10" t="inlineStr">
        <is>
          <t>営業</t>
        </is>
      </c>
      <c r="L7571" t="inlineStr">
        <is>
          <t>18:04:35</t>
        </is>
      </c>
      <c r="M7571" t="inlineStr">
        <is>
          <t>18:04:50</t>
        </is>
      </c>
    </row>
    <row r="7572" ht="16.5" customHeight="1" s="37">
      <c r="A7572" t="n">
        <v>21</v>
      </c>
      <c r="B7572" s="10" t="inlineStr">
        <is>
          <t>平日</t>
        </is>
      </c>
      <c r="C7572" s="10" t="inlineStr">
        <is>
          <t>北野線</t>
        </is>
      </c>
      <c r="D7572" s="10" t="inlineStr">
        <is>
          <t>上り</t>
        </is>
      </c>
      <c r="E7572" t="inlineStr">
        <is>
          <t>1762</t>
        </is>
      </c>
      <c r="F7572" t="inlineStr">
        <is>
          <t>0304</t>
        </is>
      </c>
      <c r="G7572" s="10" t="inlineStr">
        <is>
          <t>龍安寺</t>
        </is>
      </c>
      <c r="H7572" s="10" t="inlineStr">
        <is>
          <t>発</t>
        </is>
      </c>
      <c r="J7572" s="10" t="inlineStr">
        <is>
          <t>営業</t>
        </is>
      </c>
      <c r="L7572" t="inlineStr">
        <is>
          <t>18:05:45</t>
        </is>
      </c>
      <c r="M7572" t="inlineStr">
        <is>
          <t>18:05:55</t>
        </is>
      </c>
    </row>
    <row r="7573" ht="16.5" customHeight="1" s="37">
      <c r="A7573" t="n">
        <v>21</v>
      </c>
      <c r="B7573" s="10" t="inlineStr">
        <is>
          <t>平日</t>
        </is>
      </c>
      <c r="C7573" s="10" t="inlineStr">
        <is>
          <t>北野線</t>
        </is>
      </c>
      <c r="D7573" s="10" t="inlineStr">
        <is>
          <t>上り</t>
        </is>
      </c>
      <c r="E7573" t="inlineStr">
        <is>
          <t>1762</t>
        </is>
      </c>
      <c r="F7573" t="inlineStr">
        <is>
          <t>0304</t>
        </is>
      </c>
      <c r="G7573" s="10" t="inlineStr">
        <is>
          <t>等持院</t>
        </is>
      </c>
      <c r="H7573" s="10" t="inlineStr">
        <is>
          <t>発</t>
        </is>
      </c>
      <c r="J7573" s="10" t="inlineStr">
        <is>
          <t>営業</t>
        </is>
      </c>
      <c r="L7573" t="inlineStr">
        <is>
          <t>18:06:35</t>
        </is>
      </c>
      <c r="M7573" t="inlineStr">
        <is>
          <t>18:06:55</t>
        </is>
      </c>
    </row>
    <row r="7574" ht="16.5" customHeight="1" s="37">
      <c r="A7574" t="n">
        <v>21</v>
      </c>
      <c r="B7574" s="10" t="inlineStr">
        <is>
          <t>平日</t>
        </is>
      </c>
      <c r="C7574" s="10" t="inlineStr">
        <is>
          <t>北野線</t>
        </is>
      </c>
      <c r="D7574" s="10" t="inlineStr">
        <is>
          <t>上り</t>
        </is>
      </c>
      <c r="E7574" t="inlineStr">
        <is>
          <t>1762</t>
        </is>
      </c>
      <c r="F7574" t="inlineStr">
        <is>
          <t>0304</t>
        </is>
      </c>
      <c r="G7574" s="10" t="inlineStr">
        <is>
          <t>北野白梅町</t>
        </is>
      </c>
      <c r="H7574" s="10" t="inlineStr">
        <is>
          <t>着</t>
        </is>
      </c>
      <c r="J7574" s="10" t="inlineStr">
        <is>
          <t>営業</t>
        </is>
      </c>
      <c r="L7574" t="inlineStr">
        <is>
          <t>18:08:15</t>
        </is>
      </c>
      <c r="N7574" t="inlineStr">
        <is>
          <t>○</t>
        </is>
      </c>
      <c r="Q7574" t="inlineStr">
        <is>
          <t>1</t>
        </is>
      </c>
    </row>
    <row r="7575" ht="16.5" customHeight="1" s="37">
      <c r="A7575" t="n">
        <v>21</v>
      </c>
      <c r="B7575" s="10" t="inlineStr">
        <is>
          <t>平日</t>
        </is>
      </c>
      <c r="C7575" s="10" t="inlineStr">
        <is>
          <t>北野線</t>
        </is>
      </c>
      <c r="D7575" s="10" t="inlineStr">
        <is>
          <t>下り</t>
        </is>
      </c>
      <c r="E7575" t="inlineStr">
        <is>
          <t>1853</t>
        </is>
      </c>
      <c r="F7575" t="inlineStr">
        <is>
          <t>0453</t>
        </is>
      </c>
      <c r="G7575" s="10" t="inlineStr">
        <is>
          <t>北野白梅町</t>
        </is>
      </c>
      <c r="H7575" s="10" t="inlineStr">
        <is>
          <t>発</t>
        </is>
      </c>
      <c r="J7575" s="10" t="inlineStr">
        <is>
          <t>営業</t>
        </is>
      </c>
      <c r="M7575" t="inlineStr">
        <is>
          <t>18:13:00</t>
        </is>
      </c>
      <c r="Q7575" t="inlineStr">
        <is>
          <t>1</t>
        </is>
      </c>
    </row>
    <row r="7576" ht="16.5" customHeight="1" s="37">
      <c r="A7576" t="n">
        <v>21</v>
      </c>
      <c r="B7576" s="10" t="inlineStr">
        <is>
          <t>平日</t>
        </is>
      </c>
      <c r="C7576" s="10" t="inlineStr">
        <is>
          <t>北野線</t>
        </is>
      </c>
      <c r="D7576" s="10" t="inlineStr">
        <is>
          <t>下り</t>
        </is>
      </c>
      <c r="E7576" t="inlineStr">
        <is>
          <t>1853</t>
        </is>
      </c>
      <c r="F7576" t="inlineStr">
        <is>
          <t>0453</t>
        </is>
      </c>
      <c r="G7576" s="10" t="inlineStr">
        <is>
          <t>等持院</t>
        </is>
      </c>
      <c r="H7576" s="10" t="inlineStr">
        <is>
          <t>発</t>
        </is>
      </c>
      <c r="J7576" s="10" t="inlineStr">
        <is>
          <t>営業</t>
        </is>
      </c>
      <c r="L7576" t="inlineStr">
        <is>
          <t>18:14:25</t>
        </is>
      </c>
      <c r="M7576" t="inlineStr">
        <is>
          <t>18:14:35</t>
        </is>
      </c>
    </row>
    <row r="7577" ht="16.5" customHeight="1" s="37">
      <c r="A7577" t="n">
        <v>21</v>
      </c>
      <c r="B7577" s="10" t="inlineStr">
        <is>
          <t>平日</t>
        </is>
      </c>
      <c r="C7577" s="10" t="inlineStr">
        <is>
          <t>北野線</t>
        </is>
      </c>
      <c r="D7577" s="10" t="inlineStr">
        <is>
          <t>下り</t>
        </is>
      </c>
      <c r="E7577" t="inlineStr">
        <is>
          <t>1853</t>
        </is>
      </c>
      <c r="F7577" t="inlineStr">
        <is>
          <t>0453</t>
        </is>
      </c>
      <c r="G7577" s="10" t="inlineStr">
        <is>
          <t>龍安寺</t>
        </is>
      </c>
      <c r="H7577" s="10" t="inlineStr">
        <is>
          <t>発</t>
        </is>
      </c>
      <c r="J7577" s="10" t="inlineStr">
        <is>
          <t>営業</t>
        </is>
      </c>
      <c r="L7577" t="inlineStr">
        <is>
          <t>18:15:25</t>
        </is>
      </c>
      <c r="M7577" t="inlineStr">
        <is>
          <t>18:15:50</t>
        </is>
      </c>
    </row>
    <row r="7578" ht="16.5" customHeight="1" s="37">
      <c r="A7578" t="n">
        <v>21</v>
      </c>
      <c r="B7578" s="10" t="inlineStr">
        <is>
          <t>平日</t>
        </is>
      </c>
      <c r="C7578" s="10" t="inlineStr">
        <is>
          <t>北野線</t>
        </is>
      </c>
      <c r="D7578" s="10" t="inlineStr">
        <is>
          <t>下り</t>
        </is>
      </c>
      <c r="E7578" t="inlineStr">
        <is>
          <t>1853</t>
        </is>
      </c>
      <c r="F7578" t="inlineStr">
        <is>
          <t>0453</t>
        </is>
      </c>
      <c r="G7578" s="10" t="inlineStr">
        <is>
          <t>妙心寺</t>
        </is>
      </c>
      <c r="H7578" s="10" t="inlineStr">
        <is>
          <t>発</t>
        </is>
      </c>
      <c r="J7578" s="10" t="inlineStr">
        <is>
          <t>営業</t>
        </is>
      </c>
      <c r="L7578" t="inlineStr">
        <is>
          <t>18:16:40</t>
        </is>
      </c>
      <c r="M7578" t="inlineStr">
        <is>
          <t>18:16:50</t>
        </is>
      </c>
    </row>
    <row r="7579" ht="16.5" customHeight="1" s="37">
      <c r="A7579" t="n">
        <v>21</v>
      </c>
      <c r="B7579" s="10" t="inlineStr">
        <is>
          <t>平日</t>
        </is>
      </c>
      <c r="C7579" s="10" t="inlineStr">
        <is>
          <t>北野線</t>
        </is>
      </c>
      <c r="D7579" s="10" t="inlineStr">
        <is>
          <t>下り</t>
        </is>
      </c>
      <c r="E7579" t="inlineStr">
        <is>
          <t>1853</t>
        </is>
      </c>
      <c r="F7579" t="inlineStr">
        <is>
          <t>0453</t>
        </is>
      </c>
      <c r="G7579" s="10" t="inlineStr">
        <is>
          <t>御室仁和寺</t>
        </is>
      </c>
      <c r="H7579" s="10" t="inlineStr">
        <is>
          <t>発</t>
        </is>
      </c>
      <c r="J7579" s="10" t="inlineStr">
        <is>
          <t>営業</t>
        </is>
      </c>
      <c r="L7579" t="inlineStr">
        <is>
          <t>18:17:50</t>
        </is>
      </c>
      <c r="M7579" t="inlineStr">
        <is>
          <t>18:18:05</t>
        </is>
      </c>
    </row>
    <row r="7580" ht="16.5" customHeight="1" s="37">
      <c r="A7580" t="n">
        <v>21</v>
      </c>
      <c r="B7580" s="10" t="inlineStr">
        <is>
          <t>平日</t>
        </is>
      </c>
      <c r="C7580" s="10" t="inlineStr">
        <is>
          <t>北野線</t>
        </is>
      </c>
      <c r="D7580" s="10" t="inlineStr">
        <is>
          <t>下り</t>
        </is>
      </c>
      <c r="E7580" t="inlineStr">
        <is>
          <t>1853</t>
        </is>
      </c>
      <c r="F7580" t="inlineStr">
        <is>
          <t>0453</t>
        </is>
      </c>
      <c r="G7580" s="10" t="inlineStr">
        <is>
          <t>宇多野</t>
        </is>
      </c>
      <c r="H7580" s="10" t="inlineStr">
        <is>
          <t>発</t>
        </is>
      </c>
      <c r="J7580" s="10" t="inlineStr">
        <is>
          <t>営業</t>
        </is>
      </c>
      <c r="L7580" t="inlineStr">
        <is>
          <t>18:19:05</t>
        </is>
      </c>
      <c r="M7580" t="inlineStr">
        <is>
          <t>18:19:15</t>
        </is>
      </c>
    </row>
    <row r="7581" ht="16.5" customHeight="1" s="37">
      <c r="A7581" t="n">
        <v>21</v>
      </c>
      <c r="B7581" s="10" t="inlineStr">
        <is>
          <t>平日</t>
        </is>
      </c>
      <c r="C7581" s="10" t="inlineStr">
        <is>
          <t>北野線</t>
        </is>
      </c>
      <c r="D7581" s="10" t="inlineStr">
        <is>
          <t>下り</t>
        </is>
      </c>
      <c r="E7581" t="inlineStr">
        <is>
          <t>1853</t>
        </is>
      </c>
      <c r="F7581" t="inlineStr">
        <is>
          <t>0453</t>
        </is>
      </c>
      <c r="G7581" s="10" t="inlineStr">
        <is>
          <t>鳴滝</t>
        </is>
      </c>
      <c r="H7581" s="10" t="inlineStr">
        <is>
          <t>発</t>
        </is>
      </c>
      <c r="J7581" s="10" t="inlineStr">
        <is>
          <t>営業</t>
        </is>
      </c>
      <c r="L7581" t="inlineStr">
        <is>
          <t>18:20:35</t>
        </is>
      </c>
      <c r="M7581" t="inlineStr">
        <is>
          <t>18:20:45</t>
        </is>
      </c>
    </row>
    <row r="7582" ht="16.5" customHeight="1" s="37">
      <c r="A7582" t="n">
        <v>21</v>
      </c>
      <c r="B7582" s="10" t="inlineStr">
        <is>
          <t>平日</t>
        </is>
      </c>
      <c r="C7582" s="10" t="inlineStr">
        <is>
          <t>北野線</t>
        </is>
      </c>
      <c r="D7582" s="10" t="inlineStr">
        <is>
          <t>下り</t>
        </is>
      </c>
      <c r="E7582" t="inlineStr">
        <is>
          <t>1853</t>
        </is>
      </c>
      <c r="F7582" t="inlineStr">
        <is>
          <t>0453</t>
        </is>
      </c>
      <c r="G7582" s="10" t="inlineStr">
        <is>
          <t>常盤</t>
        </is>
      </c>
      <c r="H7582" s="10" t="inlineStr">
        <is>
          <t>発</t>
        </is>
      </c>
      <c r="J7582" s="10" t="inlineStr">
        <is>
          <t>営業</t>
        </is>
      </c>
      <c r="L7582" t="inlineStr">
        <is>
          <t>18:21:35</t>
        </is>
      </c>
      <c r="M7582" t="inlineStr">
        <is>
          <t>18:21:55</t>
        </is>
      </c>
    </row>
    <row r="7583" ht="16.5" customHeight="1" s="37">
      <c r="A7583" t="n">
        <v>21</v>
      </c>
      <c r="B7583" s="10" t="inlineStr">
        <is>
          <t>平日</t>
        </is>
      </c>
      <c r="C7583" s="10" t="inlineStr">
        <is>
          <t>北野線</t>
        </is>
      </c>
      <c r="D7583" s="10" t="inlineStr">
        <is>
          <t>下り</t>
        </is>
      </c>
      <c r="E7583" t="inlineStr">
        <is>
          <t>1853</t>
        </is>
      </c>
      <c r="F7583" t="inlineStr">
        <is>
          <t>0453</t>
        </is>
      </c>
      <c r="G7583" s="10" t="inlineStr">
        <is>
          <t>撮影所前</t>
        </is>
      </c>
      <c r="H7583" s="10" t="inlineStr">
        <is>
          <t>発</t>
        </is>
      </c>
      <c r="J7583" s="10" t="inlineStr">
        <is>
          <t>営業</t>
        </is>
      </c>
      <c r="L7583" t="inlineStr">
        <is>
          <t>18:23:15</t>
        </is>
      </c>
      <c r="M7583" t="inlineStr">
        <is>
          <t>18:23:30</t>
        </is>
      </c>
    </row>
    <row r="7584" ht="16.5" customHeight="1" s="37">
      <c r="A7584" t="n">
        <v>21</v>
      </c>
      <c r="B7584" s="10" t="inlineStr">
        <is>
          <t>平日</t>
        </is>
      </c>
      <c r="C7584" s="10" t="inlineStr">
        <is>
          <t>北野線</t>
        </is>
      </c>
      <c r="D7584" s="10" t="inlineStr">
        <is>
          <t>下り</t>
        </is>
      </c>
      <c r="E7584" t="inlineStr">
        <is>
          <t>1853</t>
        </is>
      </c>
      <c r="F7584" t="inlineStr">
        <is>
          <t>0453</t>
        </is>
      </c>
      <c r="G7584" s="10" t="inlineStr">
        <is>
          <t>帷子ノ辻</t>
        </is>
      </c>
      <c r="H7584" s="10" t="inlineStr">
        <is>
          <t>着</t>
        </is>
      </c>
      <c r="J7584" s="10" t="inlineStr">
        <is>
          <t>営業</t>
        </is>
      </c>
      <c r="L7584" t="inlineStr">
        <is>
          <t>18:24:25</t>
        </is>
      </c>
      <c r="Q7584" t="inlineStr">
        <is>
          <t>3</t>
        </is>
      </c>
    </row>
    <row r="7585" ht="16.5" customHeight="1" s="37">
      <c r="A7585" t="n">
        <v>21</v>
      </c>
      <c r="B7585" s="10" t="inlineStr">
        <is>
          <t>平日</t>
        </is>
      </c>
      <c r="C7585" s="10" t="inlineStr">
        <is>
          <t>北野線</t>
        </is>
      </c>
      <c r="D7585" s="10" t="inlineStr">
        <is>
          <t>上り</t>
        </is>
      </c>
      <c r="E7585" t="inlineStr">
        <is>
          <t>1860</t>
        </is>
      </c>
      <c r="F7585" t="inlineStr">
        <is>
          <t>0304</t>
        </is>
      </c>
      <c r="G7585" s="10" t="inlineStr">
        <is>
          <t>帷子ノ辻</t>
        </is>
      </c>
      <c r="H7585" s="10" t="inlineStr">
        <is>
          <t>発</t>
        </is>
      </c>
      <c r="J7585" s="10" t="inlineStr">
        <is>
          <t>営業</t>
        </is>
      </c>
      <c r="M7585" t="inlineStr">
        <is>
          <t>18:46:25</t>
        </is>
      </c>
      <c r="Q7585" t="inlineStr">
        <is>
          <t>4</t>
        </is>
      </c>
    </row>
    <row r="7586" ht="16.5" customHeight="1" s="37">
      <c r="A7586" t="n">
        <v>21</v>
      </c>
      <c r="B7586" s="10" t="inlineStr">
        <is>
          <t>平日</t>
        </is>
      </c>
      <c r="C7586" s="10" t="inlineStr">
        <is>
          <t>北野線</t>
        </is>
      </c>
      <c r="D7586" s="10" t="inlineStr">
        <is>
          <t>上り</t>
        </is>
      </c>
      <c r="E7586" t="inlineStr">
        <is>
          <t>1860</t>
        </is>
      </c>
      <c r="F7586" t="inlineStr">
        <is>
          <t>0304</t>
        </is>
      </c>
      <c r="G7586" s="10" t="inlineStr">
        <is>
          <t>撮影所前</t>
        </is>
      </c>
      <c r="H7586" s="10" t="inlineStr">
        <is>
          <t>発</t>
        </is>
      </c>
      <c r="J7586" s="10" t="inlineStr">
        <is>
          <t>営業</t>
        </is>
      </c>
      <c r="L7586" t="inlineStr">
        <is>
          <t>18:47:25</t>
        </is>
      </c>
      <c r="M7586" t="inlineStr">
        <is>
          <t>18:47:40</t>
        </is>
      </c>
    </row>
    <row r="7587" ht="16.5" customHeight="1" s="37">
      <c r="A7587" t="n">
        <v>21</v>
      </c>
      <c r="B7587" s="10" t="inlineStr">
        <is>
          <t>平日</t>
        </is>
      </c>
      <c r="C7587" s="10" t="inlineStr">
        <is>
          <t>北野線</t>
        </is>
      </c>
      <c r="D7587" s="10" t="inlineStr">
        <is>
          <t>上り</t>
        </is>
      </c>
      <c r="E7587" t="inlineStr">
        <is>
          <t>1860</t>
        </is>
      </c>
      <c r="F7587" t="inlineStr">
        <is>
          <t>0304</t>
        </is>
      </c>
      <c r="G7587" s="10" t="inlineStr">
        <is>
          <t>常盤</t>
        </is>
      </c>
      <c r="H7587" s="10" t="inlineStr">
        <is>
          <t>発</t>
        </is>
      </c>
      <c r="J7587" s="10" t="inlineStr">
        <is>
          <t>営業</t>
        </is>
      </c>
      <c r="L7587" t="inlineStr">
        <is>
          <t>18:49:00</t>
        </is>
      </c>
      <c r="M7587" t="inlineStr">
        <is>
          <t>18:49:20</t>
        </is>
      </c>
    </row>
    <row r="7588" ht="16.5" customHeight="1" s="37">
      <c r="A7588" t="n">
        <v>21</v>
      </c>
      <c r="B7588" s="10" t="inlineStr">
        <is>
          <t>平日</t>
        </is>
      </c>
      <c r="C7588" s="10" t="inlineStr">
        <is>
          <t>北野線</t>
        </is>
      </c>
      <c r="D7588" s="10" t="inlineStr">
        <is>
          <t>上り</t>
        </is>
      </c>
      <c r="E7588" t="inlineStr">
        <is>
          <t>1860</t>
        </is>
      </c>
      <c r="F7588" t="inlineStr">
        <is>
          <t>0304</t>
        </is>
      </c>
      <c r="G7588" s="10" t="inlineStr">
        <is>
          <t>鳴滝</t>
        </is>
      </c>
      <c r="H7588" s="10" t="inlineStr">
        <is>
          <t>発</t>
        </is>
      </c>
      <c r="J7588" s="10" t="inlineStr">
        <is>
          <t>営業</t>
        </is>
      </c>
      <c r="L7588" t="inlineStr">
        <is>
          <t>18:50:20</t>
        </is>
      </c>
      <c r="M7588" t="inlineStr">
        <is>
          <t>18:50:40</t>
        </is>
      </c>
    </row>
    <row r="7589" ht="16.5" customHeight="1" s="37">
      <c r="A7589" t="n">
        <v>21</v>
      </c>
      <c r="B7589" s="10" t="inlineStr">
        <is>
          <t>平日</t>
        </is>
      </c>
      <c r="C7589" s="10" t="inlineStr">
        <is>
          <t>北野線</t>
        </is>
      </c>
      <c r="D7589" s="10" t="inlineStr">
        <is>
          <t>上り</t>
        </is>
      </c>
      <c r="E7589" t="inlineStr">
        <is>
          <t>1860</t>
        </is>
      </c>
      <c r="F7589" t="inlineStr">
        <is>
          <t>0304</t>
        </is>
      </c>
      <c r="G7589" s="10" t="inlineStr">
        <is>
          <t>宇多野</t>
        </is>
      </c>
      <c r="H7589" s="10" t="inlineStr">
        <is>
          <t>発</t>
        </is>
      </c>
      <c r="J7589" s="10" t="inlineStr">
        <is>
          <t>営業</t>
        </is>
      </c>
      <c r="L7589" t="inlineStr">
        <is>
          <t>18:52:00</t>
        </is>
      </c>
      <c r="M7589" t="inlineStr">
        <is>
          <t>18:52:15</t>
        </is>
      </c>
    </row>
    <row r="7590" ht="16.5" customHeight="1" s="37">
      <c r="A7590" t="n">
        <v>21</v>
      </c>
      <c r="B7590" s="10" t="inlineStr">
        <is>
          <t>平日</t>
        </is>
      </c>
      <c r="C7590" s="10" t="inlineStr">
        <is>
          <t>北野線</t>
        </is>
      </c>
      <c r="D7590" s="10" t="inlineStr">
        <is>
          <t>上り</t>
        </is>
      </c>
      <c r="E7590" t="inlineStr">
        <is>
          <t>1860</t>
        </is>
      </c>
      <c r="F7590" t="inlineStr">
        <is>
          <t>0304</t>
        </is>
      </c>
      <c r="G7590" s="10" t="inlineStr">
        <is>
          <t>御室仁和寺</t>
        </is>
      </c>
      <c r="H7590" s="10" t="inlineStr">
        <is>
          <t>発</t>
        </is>
      </c>
      <c r="J7590" s="10" t="inlineStr">
        <is>
          <t>営業</t>
        </is>
      </c>
      <c r="L7590" t="inlineStr">
        <is>
          <t>18:53:15</t>
        </is>
      </c>
      <c r="M7590" t="inlineStr">
        <is>
          <t>18:53:35</t>
        </is>
      </c>
    </row>
    <row r="7591" ht="16.5" customHeight="1" s="37">
      <c r="A7591" t="n">
        <v>21</v>
      </c>
      <c r="B7591" s="10" t="inlineStr">
        <is>
          <t>平日</t>
        </is>
      </c>
      <c r="C7591" s="10" t="inlineStr">
        <is>
          <t>北野線</t>
        </is>
      </c>
      <c r="D7591" s="10" t="inlineStr">
        <is>
          <t>上り</t>
        </is>
      </c>
      <c r="E7591" t="inlineStr">
        <is>
          <t>1860</t>
        </is>
      </c>
      <c r="F7591" t="inlineStr">
        <is>
          <t>0304</t>
        </is>
      </c>
      <c r="G7591" s="10" t="inlineStr">
        <is>
          <t>妙心寺</t>
        </is>
      </c>
      <c r="H7591" s="10" t="inlineStr">
        <is>
          <t>発</t>
        </is>
      </c>
      <c r="J7591" s="10" t="inlineStr">
        <is>
          <t>営業</t>
        </is>
      </c>
      <c r="L7591" t="inlineStr">
        <is>
          <t>18:54:35</t>
        </is>
      </c>
      <c r="M7591" t="inlineStr">
        <is>
          <t>18:54:50</t>
        </is>
      </c>
    </row>
    <row r="7592" ht="16.5" customHeight="1" s="37">
      <c r="A7592" t="n">
        <v>21</v>
      </c>
      <c r="B7592" s="10" t="inlineStr">
        <is>
          <t>平日</t>
        </is>
      </c>
      <c r="C7592" s="10" t="inlineStr">
        <is>
          <t>北野線</t>
        </is>
      </c>
      <c r="D7592" s="10" t="inlineStr">
        <is>
          <t>上り</t>
        </is>
      </c>
      <c r="E7592" t="inlineStr">
        <is>
          <t>1860</t>
        </is>
      </c>
      <c r="F7592" t="inlineStr">
        <is>
          <t>0304</t>
        </is>
      </c>
      <c r="G7592" s="10" t="inlineStr">
        <is>
          <t>龍安寺</t>
        </is>
      </c>
      <c r="H7592" s="10" t="inlineStr">
        <is>
          <t>発</t>
        </is>
      </c>
      <c r="J7592" s="10" t="inlineStr">
        <is>
          <t>営業</t>
        </is>
      </c>
      <c r="L7592" t="inlineStr">
        <is>
          <t>18:55:45</t>
        </is>
      </c>
      <c r="M7592" t="inlineStr">
        <is>
          <t>18:55:55</t>
        </is>
      </c>
    </row>
    <row r="7593" ht="16.5" customHeight="1" s="37">
      <c r="A7593" t="n">
        <v>21</v>
      </c>
      <c r="B7593" s="10" t="inlineStr">
        <is>
          <t>平日</t>
        </is>
      </c>
      <c r="C7593" s="10" t="inlineStr">
        <is>
          <t>北野線</t>
        </is>
      </c>
      <c r="D7593" s="10" t="inlineStr">
        <is>
          <t>上り</t>
        </is>
      </c>
      <c r="E7593" t="inlineStr">
        <is>
          <t>1860</t>
        </is>
      </c>
      <c r="F7593" t="inlineStr">
        <is>
          <t>0304</t>
        </is>
      </c>
      <c r="G7593" s="10" t="inlineStr">
        <is>
          <t>等持院</t>
        </is>
      </c>
      <c r="H7593" s="10" t="inlineStr">
        <is>
          <t>発</t>
        </is>
      </c>
      <c r="J7593" s="10" t="inlineStr">
        <is>
          <t>営業</t>
        </is>
      </c>
      <c r="L7593" t="inlineStr">
        <is>
          <t>18:56:35</t>
        </is>
      </c>
      <c r="M7593" t="inlineStr">
        <is>
          <t>18:56:55</t>
        </is>
      </c>
    </row>
    <row r="7594" ht="16.5" customHeight="1" s="37">
      <c r="A7594" t="n">
        <v>21</v>
      </c>
      <c r="B7594" s="10" t="inlineStr">
        <is>
          <t>平日</t>
        </is>
      </c>
      <c r="C7594" s="10" t="inlineStr">
        <is>
          <t>北野線</t>
        </is>
      </c>
      <c r="D7594" s="10" t="inlineStr">
        <is>
          <t>上り</t>
        </is>
      </c>
      <c r="E7594" t="inlineStr">
        <is>
          <t>1860</t>
        </is>
      </c>
      <c r="F7594" t="inlineStr">
        <is>
          <t>0304</t>
        </is>
      </c>
      <c r="G7594" s="10" t="inlineStr">
        <is>
          <t>北野白梅町</t>
        </is>
      </c>
      <c r="H7594" s="10" t="inlineStr">
        <is>
          <t>着</t>
        </is>
      </c>
      <c r="J7594" s="10" t="inlineStr">
        <is>
          <t>営業</t>
        </is>
      </c>
      <c r="L7594" t="inlineStr">
        <is>
          <t>18:58:15</t>
        </is>
      </c>
      <c r="N7594" t="inlineStr">
        <is>
          <t>○</t>
        </is>
      </c>
      <c r="Q7594" t="inlineStr">
        <is>
          <t>1</t>
        </is>
      </c>
    </row>
    <row r="7595" ht="16.5" customHeight="1" s="37">
      <c r="A7595" t="n">
        <v>21</v>
      </c>
      <c r="B7595" s="10" t="inlineStr">
        <is>
          <t>平日</t>
        </is>
      </c>
      <c r="C7595" s="10" t="inlineStr">
        <is>
          <t>北野線</t>
        </is>
      </c>
      <c r="D7595" s="10" t="inlineStr">
        <is>
          <t>下り</t>
        </is>
      </c>
      <c r="E7595" t="inlineStr">
        <is>
          <t>1951</t>
        </is>
      </c>
      <c r="F7595" t="inlineStr">
        <is>
          <t>0453</t>
        </is>
      </c>
      <c r="G7595" s="10" t="inlineStr">
        <is>
          <t>北野白梅町</t>
        </is>
      </c>
      <c r="H7595" s="10" t="inlineStr">
        <is>
          <t>発</t>
        </is>
      </c>
      <c r="J7595" s="10" t="inlineStr">
        <is>
          <t>営業</t>
        </is>
      </c>
      <c r="M7595" t="inlineStr">
        <is>
          <t>19:03:00</t>
        </is>
      </c>
      <c r="Q7595" t="inlineStr">
        <is>
          <t>1</t>
        </is>
      </c>
    </row>
    <row r="7596" ht="16.5" customHeight="1" s="37">
      <c r="A7596" t="n">
        <v>21</v>
      </c>
      <c r="B7596" s="10" t="inlineStr">
        <is>
          <t>平日</t>
        </is>
      </c>
      <c r="C7596" s="10" t="inlineStr">
        <is>
          <t>北野線</t>
        </is>
      </c>
      <c r="D7596" s="10" t="inlineStr">
        <is>
          <t>下り</t>
        </is>
      </c>
      <c r="E7596" t="inlineStr">
        <is>
          <t>1951</t>
        </is>
      </c>
      <c r="F7596" t="inlineStr">
        <is>
          <t>0453</t>
        </is>
      </c>
      <c r="G7596" s="10" t="inlineStr">
        <is>
          <t>等持院</t>
        </is>
      </c>
      <c r="H7596" s="10" t="inlineStr">
        <is>
          <t>発</t>
        </is>
      </c>
      <c r="J7596" s="10" t="inlineStr">
        <is>
          <t>営業</t>
        </is>
      </c>
      <c r="L7596" t="inlineStr">
        <is>
          <t>19:04:25</t>
        </is>
      </c>
      <c r="M7596" t="inlineStr">
        <is>
          <t>19:04:35</t>
        </is>
      </c>
    </row>
    <row r="7597" ht="16.5" customHeight="1" s="37">
      <c r="A7597" t="n">
        <v>21</v>
      </c>
      <c r="B7597" s="10" t="inlineStr">
        <is>
          <t>平日</t>
        </is>
      </c>
      <c r="C7597" s="10" t="inlineStr">
        <is>
          <t>北野線</t>
        </is>
      </c>
      <c r="D7597" s="10" t="inlineStr">
        <is>
          <t>下り</t>
        </is>
      </c>
      <c r="E7597" t="inlineStr">
        <is>
          <t>1951</t>
        </is>
      </c>
      <c r="F7597" t="inlineStr">
        <is>
          <t>0453</t>
        </is>
      </c>
      <c r="G7597" s="10" t="inlineStr">
        <is>
          <t>龍安寺</t>
        </is>
      </c>
      <c r="H7597" s="10" t="inlineStr">
        <is>
          <t>発</t>
        </is>
      </c>
      <c r="J7597" s="10" t="inlineStr">
        <is>
          <t>営業</t>
        </is>
      </c>
      <c r="L7597" t="inlineStr">
        <is>
          <t>19:05:25</t>
        </is>
      </c>
      <c r="M7597" t="inlineStr">
        <is>
          <t>19:05:50</t>
        </is>
      </c>
    </row>
    <row r="7598" ht="16.5" customHeight="1" s="37">
      <c r="A7598" t="n">
        <v>21</v>
      </c>
      <c r="B7598" s="10" t="inlineStr">
        <is>
          <t>平日</t>
        </is>
      </c>
      <c r="C7598" s="10" t="inlineStr">
        <is>
          <t>北野線</t>
        </is>
      </c>
      <c r="D7598" s="10" t="inlineStr">
        <is>
          <t>下り</t>
        </is>
      </c>
      <c r="E7598" t="inlineStr">
        <is>
          <t>1951</t>
        </is>
      </c>
      <c r="F7598" t="inlineStr">
        <is>
          <t>0453</t>
        </is>
      </c>
      <c r="G7598" s="10" t="inlineStr">
        <is>
          <t>妙心寺</t>
        </is>
      </c>
      <c r="H7598" s="10" t="inlineStr">
        <is>
          <t>発</t>
        </is>
      </c>
      <c r="J7598" s="10" t="inlineStr">
        <is>
          <t>営業</t>
        </is>
      </c>
      <c r="L7598" t="inlineStr">
        <is>
          <t>19:06:40</t>
        </is>
      </c>
      <c r="M7598" t="inlineStr">
        <is>
          <t>19:06:50</t>
        </is>
      </c>
    </row>
    <row r="7599" ht="16.5" customHeight="1" s="37">
      <c r="A7599" t="n">
        <v>21</v>
      </c>
      <c r="B7599" s="10" t="inlineStr">
        <is>
          <t>平日</t>
        </is>
      </c>
      <c r="C7599" s="10" t="inlineStr">
        <is>
          <t>北野線</t>
        </is>
      </c>
      <c r="D7599" s="10" t="inlineStr">
        <is>
          <t>下り</t>
        </is>
      </c>
      <c r="E7599" t="inlineStr">
        <is>
          <t>1951</t>
        </is>
      </c>
      <c r="F7599" t="inlineStr">
        <is>
          <t>0453</t>
        </is>
      </c>
      <c r="G7599" s="10" t="inlineStr">
        <is>
          <t>御室仁和寺</t>
        </is>
      </c>
      <c r="H7599" s="10" t="inlineStr">
        <is>
          <t>発</t>
        </is>
      </c>
      <c r="J7599" s="10" t="inlineStr">
        <is>
          <t>営業</t>
        </is>
      </c>
      <c r="L7599" t="inlineStr">
        <is>
          <t>19:07:50</t>
        </is>
      </c>
      <c r="M7599" t="inlineStr">
        <is>
          <t>19:08:05</t>
        </is>
      </c>
    </row>
    <row r="7600" ht="16.5" customHeight="1" s="37">
      <c r="A7600" t="n">
        <v>21</v>
      </c>
      <c r="B7600" s="10" t="inlineStr">
        <is>
          <t>平日</t>
        </is>
      </c>
      <c r="C7600" s="10" t="inlineStr">
        <is>
          <t>北野線</t>
        </is>
      </c>
      <c r="D7600" s="10" t="inlineStr">
        <is>
          <t>下り</t>
        </is>
      </c>
      <c r="E7600" t="inlineStr">
        <is>
          <t>1951</t>
        </is>
      </c>
      <c r="F7600" t="inlineStr">
        <is>
          <t>0453</t>
        </is>
      </c>
      <c r="G7600" s="10" t="inlineStr">
        <is>
          <t>宇多野</t>
        </is>
      </c>
      <c r="H7600" s="10" t="inlineStr">
        <is>
          <t>発</t>
        </is>
      </c>
      <c r="J7600" s="10" t="inlineStr">
        <is>
          <t>営業</t>
        </is>
      </c>
      <c r="L7600" t="inlineStr">
        <is>
          <t>19:09:05</t>
        </is>
      </c>
      <c r="M7600" t="inlineStr">
        <is>
          <t>19:09:15</t>
        </is>
      </c>
    </row>
    <row r="7601" ht="16.5" customHeight="1" s="37">
      <c r="A7601" t="n">
        <v>21</v>
      </c>
      <c r="B7601" s="10" t="inlineStr">
        <is>
          <t>平日</t>
        </is>
      </c>
      <c r="C7601" s="10" t="inlineStr">
        <is>
          <t>北野線</t>
        </is>
      </c>
      <c r="D7601" s="10" t="inlineStr">
        <is>
          <t>下り</t>
        </is>
      </c>
      <c r="E7601" t="inlineStr">
        <is>
          <t>1951</t>
        </is>
      </c>
      <c r="F7601" t="inlineStr">
        <is>
          <t>0453</t>
        </is>
      </c>
      <c r="G7601" s="10" t="inlineStr">
        <is>
          <t>鳴滝</t>
        </is>
      </c>
      <c r="H7601" s="10" t="inlineStr">
        <is>
          <t>発</t>
        </is>
      </c>
      <c r="J7601" s="10" t="inlineStr">
        <is>
          <t>営業</t>
        </is>
      </c>
      <c r="L7601" t="inlineStr">
        <is>
          <t>19:10:35</t>
        </is>
      </c>
      <c r="M7601" t="inlineStr">
        <is>
          <t>19:10:45</t>
        </is>
      </c>
    </row>
    <row r="7602" ht="16.5" customHeight="1" s="37">
      <c r="A7602" t="n">
        <v>21</v>
      </c>
      <c r="B7602" s="10" t="inlineStr">
        <is>
          <t>平日</t>
        </is>
      </c>
      <c r="C7602" s="10" t="inlineStr">
        <is>
          <t>北野線</t>
        </is>
      </c>
      <c r="D7602" s="10" t="inlineStr">
        <is>
          <t>下り</t>
        </is>
      </c>
      <c r="E7602" t="inlineStr">
        <is>
          <t>1951</t>
        </is>
      </c>
      <c r="F7602" t="inlineStr">
        <is>
          <t>0453</t>
        </is>
      </c>
      <c r="G7602" s="10" t="inlineStr">
        <is>
          <t>常盤</t>
        </is>
      </c>
      <c r="H7602" s="10" t="inlineStr">
        <is>
          <t>発</t>
        </is>
      </c>
      <c r="J7602" s="10" t="inlineStr">
        <is>
          <t>営業</t>
        </is>
      </c>
      <c r="L7602" t="inlineStr">
        <is>
          <t>19:11:35</t>
        </is>
      </c>
      <c r="M7602" t="inlineStr">
        <is>
          <t>19:11:55</t>
        </is>
      </c>
    </row>
    <row r="7603" ht="16.5" customHeight="1" s="37">
      <c r="A7603" t="n">
        <v>21</v>
      </c>
      <c r="B7603" s="10" t="inlineStr">
        <is>
          <t>平日</t>
        </is>
      </c>
      <c r="C7603" s="10" t="inlineStr">
        <is>
          <t>北野線</t>
        </is>
      </c>
      <c r="D7603" s="10" t="inlineStr">
        <is>
          <t>下り</t>
        </is>
      </c>
      <c r="E7603" t="inlineStr">
        <is>
          <t>1951</t>
        </is>
      </c>
      <c r="F7603" t="inlineStr">
        <is>
          <t>0453</t>
        </is>
      </c>
      <c r="G7603" s="10" t="inlineStr">
        <is>
          <t>撮影所前</t>
        </is>
      </c>
      <c r="H7603" s="10" t="inlineStr">
        <is>
          <t>発</t>
        </is>
      </c>
      <c r="J7603" s="10" t="inlineStr">
        <is>
          <t>営業</t>
        </is>
      </c>
      <c r="L7603" t="inlineStr">
        <is>
          <t>19:13:15</t>
        </is>
      </c>
      <c r="M7603" t="inlineStr">
        <is>
          <t>19:13:30</t>
        </is>
      </c>
    </row>
    <row r="7604" ht="16.5" customHeight="1" s="37">
      <c r="A7604" t="n">
        <v>21</v>
      </c>
      <c r="B7604" s="10" t="inlineStr">
        <is>
          <t>平日</t>
        </is>
      </c>
      <c r="C7604" s="10" t="inlineStr">
        <is>
          <t>北野線</t>
        </is>
      </c>
      <c r="D7604" s="10" t="inlineStr">
        <is>
          <t>下り</t>
        </is>
      </c>
      <c r="E7604" t="inlineStr">
        <is>
          <t>1951</t>
        </is>
      </c>
      <c r="F7604" t="inlineStr">
        <is>
          <t>0453</t>
        </is>
      </c>
      <c r="G7604" s="10" t="inlineStr">
        <is>
          <t>帷子ノ辻</t>
        </is>
      </c>
      <c r="H7604" s="10" t="inlineStr">
        <is>
          <t>着</t>
        </is>
      </c>
      <c r="J7604" s="10" t="inlineStr">
        <is>
          <t>営業</t>
        </is>
      </c>
      <c r="L7604" t="inlineStr">
        <is>
          <t>19:14:25</t>
        </is>
      </c>
      <c r="Q7604" t="inlineStr">
        <is>
          <t>4</t>
        </is>
      </c>
    </row>
    <row r="7605" ht="16.5" customHeight="1" s="37">
      <c r="A7605" t="n">
        <v>21</v>
      </c>
      <c r="B7605" s="10" t="inlineStr">
        <is>
          <t>平日</t>
        </is>
      </c>
      <c r="C7605" s="10" t="inlineStr">
        <is>
          <t>北野線</t>
        </is>
      </c>
      <c r="D7605" s="10" t="inlineStr">
        <is>
          <t>上り</t>
        </is>
      </c>
      <c r="E7605" t="inlineStr">
        <is>
          <t>1956</t>
        </is>
      </c>
      <c r="F7605" t="inlineStr">
        <is>
          <t>0304</t>
        </is>
      </c>
      <c r="G7605" s="10" t="inlineStr">
        <is>
          <t>帷子ノ辻</t>
        </is>
      </c>
      <c r="H7605" s="10" t="inlineStr">
        <is>
          <t>発</t>
        </is>
      </c>
      <c r="J7605" s="10" t="inlineStr">
        <is>
          <t>営業</t>
        </is>
      </c>
      <c r="M7605" t="inlineStr">
        <is>
          <t>19:26:25</t>
        </is>
      </c>
      <c r="Q7605" t="inlineStr">
        <is>
          <t>4</t>
        </is>
      </c>
    </row>
    <row r="7606" ht="16.5" customHeight="1" s="37">
      <c r="A7606" t="n">
        <v>21</v>
      </c>
      <c r="B7606" s="10" t="inlineStr">
        <is>
          <t>平日</t>
        </is>
      </c>
      <c r="C7606" s="10" t="inlineStr">
        <is>
          <t>北野線</t>
        </is>
      </c>
      <c r="D7606" s="10" t="inlineStr">
        <is>
          <t>上り</t>
        </is>
      </c>
      <c r="E7606" t="inlineStr">
        <is>
          <t>1956</t>
        </is>
      </c>
      <c r="F7606" t="inlineStr">
        <is>
          <t>0304</t>
        </is>
      </c>
      <c r="G7606" s="10" t="inlineStr">
        <is>
          <t>撮影所前</t>
        </is>
      </c>
      <c r="H7606" s="10" t="inlineStr">
        <is>
          <t>発</t>
        </is>
      </c>
      <c r="J7606" s="10" t="inlineStr">
        <is>
          <t>営業</t>
        </is>
      </c>
      <c r="L7606" t="inlineStr">
        <is>
          <t>19:27:25</t>
        </is>
      </c>
      <c r="M7606" t="inlineStr">
        <is>
          <t>19:27:40</t>
        </is>
      </c>
    </row>
    <row r="7607" ht="16.5" customHeight="1" s="37">
      <c r="A7607" t="n">
        <v>21</v>
      </c>
      <c r="B7607" s="10" t="inlineStr">
        <is>
          <t>平日</t>
        </is>
      </c>
      <c r="C7607" s="10" t="inlineStr">
        <is>
          <t>北野線</t>
        </is>
      </c>
      <c r="D7607" s="10" t="inlineStr">
        <is>
          <t>上り</t>
        </is>
      </c>
      <c r="E7607" t="inlineStr">
        <is>
          <t>1956</t>
        </is>
      </c>
      <c r="F7607" t="inlineStr">
        <is>
          <t>0304</t>
        </is>
      </c>
      <c r="G7607" s="10" t="inlineStr">
        <is>
          <t>常盤</t>
        </is>
      </c>
      <c r="H7607" s="10" t="inlineStr">
        <is>
          <t>発</t>
        </is>
      </c>
      <c r="J7607" s="10" t="inlineStr">
        <is>
          <t>営業</t>
        </is>
      </c>
      <c r="L7607" t="inlineStr">
        <is>
          <t>19:29:00</t>
        </is>
      </c>
      <c r="M7607" t="inlineStr">
        <is>
          <t>19:29:20</t>
        </is>
      </c>
    </row>
    <row r="7608" ht="16.5" customHeight="1" s="37">
      <c r="A7608" t="n">
        <v>21</v>
      </c>
      <c r="B7608" s="10" t="inlineStr">
        <is>
          <t>平日</t>
        </is>
      </c>
      <c r="C7608" s="10" t="inlineStr">
        <is>
          <t>北野線</t>
        </is>
      </c>
      <c r="D7608" s="10" t="inlineStr">
        <is>
          <t>上り</t>
        </is>
      </c>
      <c r="E7608" t="inlineStr">
        <is>
          <t>1956</t>
        </is>
      </c>
      <c r="F7608" t="inlineStr">
        <is>
          <t>0304</t>
        </is>
      </c>
      <c r="G7608" s="10" t="inlineStr">
        <is>
          <t>鳴滝</t>
        </is>
      </c>
      <c r="H7608" s="10" t="inlineStr">
        <is>
          <t>発</t>
        </is>
      </c>
      <c r="J7608" s="10" t="inlineStr">
        <is>
          <t>営業</t>
        </is>
      </c>
      <c r="L7608" t="inlineStr">
        <is>
          <t>19:30:20</t>
        </is>
      </c>
      <c r="M7608" t="inlineStr">
        <is>
          <t>19:30:40</t>
        </is>
      </c>
    </row>
    <row r="7609" ht="16.5" customHeight="1" s="37">
      <c r="A7609" t="n">
        <v>21</v>
      </c>
      <c r="B7609" s="10" t="inlineStr">
        <is>
          <t>平日</t>
        </is>
      </c>
      <c r="C7609" s="10" t="inlineStr">
        <is>
          <t>北野線</t>
        </is>
      </c>
      <c r="D7609" s="10" t="inlineStr">
        <is>
          <t>上り</t>
        </is>
      </c>
      <c r="E7609" t="inlineStr">
        <is>
          <t>1956</t>
        </is>
      </c>
      <c r="F7609" t="inlineStr">
        <is>
          <t>0304</t>
        </is>
      </c>
      <c r="G7609" s="10" t="inlineStr">
        <is>
          <t>宇多野</t>
        </is>
      </c>
      <c r="H7609" s="10" t="inlineStr">
        <is>
          <t>発</t>
        </is>
      </c>
      <c r="J7609" s="10" t="inlineStr">
        <is>
          <t>営業</t>
        </is>
      </c>
      <c r="L7609" t="inlineStr">
        <is>
          <t>19:32:00</t>
        </is>
      </c>
      <c r="M7609" t="inlineStr">
        <is>
          <t>19:32:15</t>
        </is>
      </c>
    </row>
    <row r="7610" ht="16.5" customHeight="1" s="37">
      <c r="A7610" t="n">
        <v>21</v>
      </c>
      <c r="B7610" s="10" t="inlineStr">
        <is>
          <t>平日</t>
        </is>
      </c>
      <c r="C7610" s="10" t="inlineStr">
        <is>
          <t>北野線</t>
        </is>
      </c>
      <c r="D7610" s="10" t="inlineStr">
        <is>
          <t>上り</t>
        </is>
      </c>
      <c r="E7610" t="inlineStr">
        <is>
          <t>1956</t>
        </is>
      </c>
      <c r="F7610" t="inlineStr">
        <is>
          <t>0304</t>
        </is>
      </c>
      <c r="G7610" s="10" t="inlineStr">
        <is>
          <t>御室仁和寺</t>
        </is>
      </c>
      <c r="H7610" s="10" t="inlineStr">
        <is>
          <t>発</t>
        </is>
      </c>
      <c r="J7610" s="10" t="inlineStr">
        <is>
          <t>営業</t>
        </is>
      </c>
      <c r="L7610" t="inlineStr">
        <is>
          <t>19:33:15</t>
        </is>
      </c>
      <c r="M7610" t="inlineStr">
        <is>
          <t>19:33:35</t>
        </is>
      </c>
    </row>
    <row r="7611" ht="16.5" customHeight="1" s="37">
      <c r="A7611" t="n">
        <v>21</v>
      </c>
      <c r="B7611" s="10" t="inlineStr">
        <is>
          <t>平日</t>
        </is>
      </c>
      <c r="C7611" s="10" t="inlineStr">
        <is>
          <t>北野線</t>
        </is>
      </c>
      <c r="D7611" s="10" t="inlineStr">
        <is>
          <t>上り</t>
        </is>
      </c>
      <c r="E7611" t="inlineStr">
        <is>
          <t>1956</t>
        </is>
      </c>
      <c r="F7611" t="inlineStr">
        <is>
          <t>0304</t>
        </is>
      </c>
      <c r="G7611" s="10" t="inlineStr">
        <is>
          <t>妙心寺</t>
        </is>
      </c>
      <c r="H7611" s="10" t="inlineStr">
        <is>
          <t>発</t>
        </is>
      </c>
      <c r="J7611" s="10" t="inlineStr">
        <is>
          <t>営業</t>
        </is>
      </c>
      <c r="L7611" t="inlineStr">
        <is>
          <t>19:34:35</t>
        </is>
      </c>
      <c r="M7611" t="inlineStr">
        <is>
          <t>19:34:50</t>
        </is>
      </c>
    </row>
    <row r="7612" ht="16.5" customHeight="1" s="37">
      <c r="A7612" t="n">
        <v>21</v>
      </c>
      <c r="B7612" s="10" t="inlineStr">
        <is>
          <t>平日</t>
        </is>
      </c>
      <c r="C7612" s="10" t="inlineStr">
        <is>
          <t>北野線</t>
        </is>
      </c>
      <c r="D7612" s="10" t="inlineStr">
        <is>
          <t>上り</t>
        </is>
      </c>
      <c r="E7612" t="inlineStr">
        <is>
          <t>1956</t>
        </is>
      </c>
      <c r="F7612" t="inlineStr">
        <is>
          <t>0304</t>
        </is>
      </c>
      <c r="G7612" s="10" t="inlineStr">
        <is>
          <t>龍安寺</t>
        </is>
      </c>
      <c r="H7612" s="10" t="inlineStr">
        <is>
          <t>発</t>
        </is>
      </c>
      <c r="J7612" s="10" t="inlineStr">
        <is>
          <t>営業</t>
        </is>
      </c>
      <c r="L7612" t="inlineStr">
        <is>
          <t>19:35:45</t>
        </is>
      </c>
      <c r="M7612" t="inlineStr">
        <is>
          <t>19:35:55</t>
        </is>
      </c>
    </row>
    <row r="7613" ht="16.5" customHeight="1" s="37">
      <c r="A7613" t="n">
        <v>21</v>
      </c>
      <c r="B7613" s="10" t="inlineStr">
        <is>
          <t>平日</t>
        </is>
      </c>
      <c r="C7613" s="10" t="inlineStr">
        <is>
          <t>北野線</t>
        </is>
      </c>
      <c r="D7613" s="10" t="inlineStr">
        <is>
          <t>上り</t>
        </is>
      </c>
      <c r="E7613" t="inlineStr">
        <is>
          <t>1956</t>
        </is>
      </c>
      <c r="F7613" t="inlineStr">
        <is>
          <t>0304</t>
        </is>
      </c>
      <c r="G7613" s="10" t="inlineStr">
        <is>
          <t>等持院</t>
        </is>
      </c>
      <c r="H7613" s="10" t="inlineStr">
        <is>
          <t>発</t>
        </is>
      </c>
      <c r="J7613" s="10" t="inlineStr">
        <is>
          <t>営業</t>
        </is>
      </c>
      <c r="L7613" t="inlineStr">
        <is>
          <t>19:36:35</t>
        </is>
      </c>
      <c r="M7613" t="inlineStr">
        <is>
          <t>19:36:55</t>
        </is>
      </c>
    </row>
    <row r="7614" ht="16.5" customHeight="1" s="37">
      <c r="A7614" t="n">
        <v>21</v>
      </c>
      <c r="B7614" s="10" t="inlineStr">
        <is>
          <t>平日</t>
        </is>
      </c>
      <c r="C7614" s="10" t="inlineStr">
        <is>
          <t>北野線</t>
        </is>
      </c>
      <c r="D7614" s="10" t="inlineStr">
        <is>
          <t>上り</t>
        </is>
      </c>
      <c r="E7614" t="inlineStr">
        <is>
          <t>1956</t>
        </is>
      </c>
      <c r="F7614" t="inlineStr">
        <is>
          <t>0304</t>
        </is>
      </c>
      <c r="G7614" s="10" t="inlineStr">
        <is>
          <t>北野白梅町</t>
        </is>
      </c>
      <c r="H7614" s="10" t="inlineStr">
        <is>
          <t>着</t>
        </is>
      </c>
      <c r="J7614" s="10" t="inlineStr">
        <is>
          <t>営業</t>
        </is>
      </c>
      <c r="L7614" t="inlineStr">
        <is>
          <t>19:38:15</t>
        </is>
      </c>
      <c r="N7614" t="inlineStr">
        <is>
          <t>○</t>
        </is>
      </c>
      <c r="Q7614" t="inlineStr">
        <is>
          <t>1</t>
        </is>
      </c>
    </row>
    <row r="7615" ht="16.5" customHeight="1" s="37">
      <c r="A7615" t="n">
        <v>21</v>
      </c>
      <c r="B7615" s="10" t="inlineStr">
        <is>
          <t>平日</t>
        </is>
      </c>
      <c r="C7615" s="10" t="inlineStr">
        <is>
          <t>北野線</t>
        </is>
      </c>
      <c r="D7615" s="10" t="inlineStr">
        <is>
          <t>下り</t>
        </is>
      </c>
      <c r="E7615" t="inlineStr">
        <is>
          <t>1959</t>
        </is>
      </c>
      <c r="F7615" t="inlineStr">
        <is>
          <t>0453</t>
        </is>
      </c>
      <c r="G7615" s="10" t="inlineStr">
        <is>
          <t>北野白梅町</t>
        </is>
      </c>
      <c r="H7615" s="10" t="inlineStr">
        <is>
          <t>発</t>
        </is>
      </c>
      <c r="J7615" s="10" t="inlineStr">
        <is>
          <t>営業</t>
        </is>
      </c>
      <c r="M7615" t="inlineStr">
        <is>
          <t>19:43:00</t>
        </is>
      </c>
      <c r="Q7615" t="inlineStr">
        <is>
          <t>1</t>
        </is>
      </c>
    </row>
    <row r="7616" ht="16.5" customHeight="1" s="37">
      <c r="A7616" t="n">
        <v>21</v>
      </c>
      <c r="B7616" s="10" t="inlineStr">
        <is>
          <t>平日</t>
        </is>
      </c>
      <c r="C7616" s="10" t="inlineStr">
        <is>
          <t>北野線</t>
        </is>
      </c>
      <c r="D7616" s="10" t="inlineStr">
        <is>
          <t>下り</t>
        </is>
      </c>
      <c r="E7616" t="inlineStr">
        <is>
          <t>1959</t>
        </is>
      </c>
      <c r="F7616" t="inlineStr">
        <is>
          <t>0453</t>
        </is>
      </c>
      <c r="G7616" s="10" t="inlineStr">
        <is>
          <t>等持院</t>
        </is>
      </c>
      <c r="H7616" s="10" t="inlineStr">
        <is>
          <t>発</t>
        </is>
      </c>
      <c r="J7616" s="10" t="inlineStr">
        <is>
          <t>営業</t>
        </is>
      </c>
      <c r="L7616" t="inlineStr">
        <is>
          <t>19:44:25</t>
        </is>
      </c>
      <c r="M7616" t="inlineStr">
        <is>
          <t>19:44:35</t>
        </is>
      </c>
    </row>
    <row r="7617" ht="16.5" customHeight="1" s="37">
      <c r="A7617" t="n">
        <v>21</v>
      </c>
      <c r="B7617" s="10" t="inlineStr">
        <is>
          <t>平日</t>
        </is>
      </c>
      <c r="C7617" s="10" t="inlineStr">
        <is>
          <t>北野線</t>
        </is>
      </c>
      <c r="D7617" s="10" t="inlineStr">
        <is>
          <t>下り</t>
        </is>
      </c>
      <c r="E7617" t="inlineStr">
        <is>
          <t>1959</t>
        </is>
      </c>
      <c r="F7617" t="inlineStr">
        <is>
          <t>0453</t>
        </is>
      </c>
      <c r="G7617" s="10" t="inlineStr">
        <is>
          <t>龍安寺</t>
        </is>
      </c>
      <c r="H7617" s="10" t="inlineStr">
        <is>
          <t>発</t>
        </is>
      </c>
      <c r="J7617" s="10" t="inlineStr">
        <is>
          <t>営業</t>
        </is>
      </c>
      <c r="L7617" t="inlineStr">
        <is>
          <t>19:45:25</t>
        </is>
      </c>
      <c r="M7617" t="inlineStr">
        <is>
          <t>19:45:50</t>
        </is>
      </c>
    </row>
    <row r="7618" ht="16.5" customHeight="1" s="37">
      <c r="A7618" t="n">
        <v>21</v>
      </c>
      <c r="B7618" s="10" t="inlineStr">
        <is>
          <t>平日</t>
        </is>
      </c>
      <c r="C7618" s="10" t="inlineStr">
        <is>
          <t>北野線</t>
        </is>
      </c>
      <c r="D7618" s="10" t="inlineStr">
        <is>
          <t>下り</t>
        </is>
      </c>
      <c r="E7618" t="inlineStr">
        <is>
          <t>1959</t>
        </is>
      </c>
      <c r="F7618" t="inlineStr">
        <is>
          <t>0453</t>
        </is>
      </c>
      <c r="G7618" s="10" t="inlineStr">
        <is>
          <t>妙心寺</t>
        </is>
      </c>
      <c r="H7618" s="10" t="inlineStr">
        <is>
          <t>発</t>
        </is>
      </c>
      <c r="J7618" s="10" t="inlineStr">
        <is>
          <t>営業</t>
        </is>
      </c>
      <c r="L7618" t="inlineStr">
        <is>
          <t>19:46:40</t>
        </is>
      </c>
      <c r="M7618" t="inlineStr">
        <is>
          <t>19:46:50</t>
        </is>
      </c>
    </row>
    <row r="7619" ht="16.5" customHeight="1" s="37">
      <c r="A7619" t="n">
        <v>21</v>
      </c>
      <c r="B7619" s="10" t="inlineStr">
        <is>
          <t>平日</t>
        </is>
      </c>
      <c r="C7619" s="10" t="inlineStr">
        <is>
          <t>北野線</t>
        </is>
      </c>
      <c r="D7619" s="10" t="inlineStr">
        <is>
          <t>下り</t>
        </is>
      </c>
      <c r="E7619" t="inlineStr">
        <is>
          <t>1959</t>
        </is>
      </c>
      <c r="F7619" t="inlineStr">
        <is>
          <t>0453</t>
        </is>
      </c>
      <c r="G7619" s="10" t="inlineStr">
        <is>
          <t>御室仁和寺</t>
        </is>
      </c>
      <c r="H7619" s="10" t="inlineStr">
        <is>
          <t>発</t>
        </is>
      </c>
      <c r="J7619" s="10" t="inlineStr">
        <is>
          <t>営業</t>
        </is>
      </c>
      <c r="L7619" t="inlineStr">
        <is>
          <t>19:47:50</t>
        </is>
      </c>
      <c r="M7619" t="inlineStr">
        <is>
          <t>19:48:05</t>
        </is>
      </c>
    </row>
    <row r="7620" ht="16.5" customHeight="1" s="37">
      <c r="A7620" t="n">
        <v>21</v>
      </c>
      <c r="B7620" s="10" t="inlineStr">
        <is>
          <t>平日</t>
        </is>
      </c>
      <c r="C7620" s="10" t="inlineStr">
        <is>
          <t>北野線</t>
        </is>
      </c>
      <c r="D7620" s="10" t="inlineStr">
        <is>
          <t>下り</t>
        </is>
      </c>
      <c r="E7620" t="inlineStr">
        <is>
          <t>1959</t>
        </is>
      </c>
      <c r="F7620" t="inlineStr">
        <is>
          <t>0453</t>
        </is>
      </c>
      <c r="G7620" s="10" t="inlineStr">
        <is>
          <t>宇多野</t>
        </is>
      </c>
      <c r="H7620" s="10" t="inlineStr">
        <is>
          <t>発</t>
        </is>
      </c>
      <c r="J7620" s="10" t="inlineStr">
        <is>
          <t>営業</t>
        </is>
      </c>
      <c r="L7620" t="inlineStr">
        <is>
          <t>19:49:05</t>
        </is>
      </c>
      <c r="M7620" t="inlineStr">
        <is>
          <t>19:49:15</t>
        </is>
      </c>
    </row>
    <row r="7621" ht="16.5" customHeight="1" s="37">
      <c r="A7621" t="n">
        <v>21</v>
      </c>
      <c r="B7621" s="10" t="inlineStr">
        <is>
          <t>平日</t>
        </is>
      </c>
      <c r="C7621" s="10" t="inlineStr">
        <is>
          <t>北野線</t>
        </is>
      </c>
      <c r="D7621" s="10" t="inlineStr">
        <is>
          <t>下り</t>
        </is>
      </c>
      <c r="E7621" t="inlineStr">
        <is>
          <t>1959</t>
        </is>
      </c>
      <c r="F7621" t="inlineStr">
        <is>
          <t>0453</t>
        </is>
      </c>
      <c r="G7621" s="10" t="inlineStr">
        <is>
          <t>鳴滝</t>
        </is>
      </c>
      <c r="H7621" s="10" t="inlineStr">
        <is>
          <t>発</t>
        </is>
      </c>
      <c r="J7621" s="10" t="inlineStr">
        <is>
          <t>営業</t>
        </is>
      </c>
      <c r="L7621" t="inlineStr">
        <is>
          <t>19:50:35</t>
        </is>
      </c>
      <c r="M7621" t="inlineStr">
        <is>
          <t>19:50:45</t>
        </is>
      </c>
    </row>
    <row r="7622" ht="16.5" customHeight="1" s="37">
      <c r="A7622" t="n">
        <v>21</v>
      </c>
      <c r="B7622" s="10" t="inlineStr">
        <is>
          <t>平日</t>
        </is>
      </c>
      <c r="C7622" s="10" t="inlineStr">
        <is>
          <t>北野線</t>
        </is>
      </c>
      <c r="D7622" s="10" t="inlineStr">
        <is>
          <t>下り</t>
        </is>
      </c>
      <c r="E7622" t="inlineStr">
        <is>
          <t>1959</t>
        </is>
      </c>
      <c r="F7622" t="inlineStr">
        <is>
          <t>0453</t>
        </is>
      </c>
      <c r="G7622" s="10" t="inlineStr">
        <is>
          <t>常盤</t>
        </is>
      </c>
      <c r="H7622" s="10" t="inlineStr">
        <is>
          <t>発</t>
        </is>
      </c>
      <c r="J7622" s="10" t="inlineStr">
        <is>
          <t>営業</t>
        </is>
      </c>
      <c r="L7622" t="inlineStr">
        <is>
          <t>19:51:35</t>
        </is>
      </c>
      <c r="M7622" t="inlineStr">
        <is>
          <t>19:51:55</t>
        </is>
      </c>
    </row>
    <row r="7623" ht="16.5" customHeight="1" s="37">
      <c r="A7623" t="n">
        <v>21</v>
      </c>
      <c r="B7623" s="10" t="inlineStr">
        <is>
          <t>平日</t>
        </is>
      </c>
      <c r="C7623" s="10" t="inlineStr">
        <is>
          <t>北野線</t>
        </is>
      </c>
      <c r="D7623" s="10" t="inlineStr">
        <is>
          <t>下り</t>
        </is>
      </c>
      <c r="E7623" t="inlineStr">
        <is>
          <t>1959</t>
        </is>
      </c>
      <c r="F7623" t="inlineStr">
        <is>
          <t>0453</t>
        </is>
      </c>
      <c r="G7623" s="10" t="inlineStr">
        <is>
          <t>撮影所前</t>
        </is>
      </c>
      <c r="H7623" s="10" t="inlineStr">
        <is>
          <t>発</t>
        </is>
      </c>
      <c r="J7623" s="10" t="inlineStr">
        <is>
          <t>営業</t>
        </is>
      </c>
      <c r="L7623" t="inlineStr">
        <is>
          <t>19:53:15</t>
        </is>
      </c>
      <c r="M7623" t="inlineStr">
        <is>
          <t>19:53:30</t>
        </is>
      </c>
    </row>
    <row r="7624" ht="16.5" customHeight="1" s="37">
      <c r="A7624" t="n">
        <v>21</v>
      </c>
      <c r="B7624" s="10" t="inlineStr">
        <is>
          <t>平日</t>
        </is>
      </c>
      <c r="C7624" s="10" t="inlineStr">
        <is>
          <t>北野線</t>
        </is>
      </c>
      <c r="D7624" s="10" t="inlineStr">
        <is>
          <t>下り</t>
        </is>
      </c>
      <c r="E7624" t="inlineStr">
        <is>
          <t>1959</t>
        </is>
      </c>
      <c r="F7624" t="inlineStr">
        <is>
          <t>0453</t>
        </is>
      </c>
      <c r="G7624" s="10" t="inlineStr">
        <is>
          <t>帷子ノ辻</t>
        </is>
      </c>
      <c r="H7624" s="10" t="inlineStr">
        <is>
          <t>着</t>
        </is>
      </c>
      <c r="J7624" s="10" t="inlineStr">
        <is>
          <t>営業</t>
        </is>
      </c>
      <c r="L7624" t="inlineStr">
        <is>
          <t>19:54:25</t>
        </is>
      </c>
      <c r="Q7624" t="inlineStr">
        <is>
          <t>4</t>
        </is>
      </c>
    </row>
    <row r="7625" ht="16.5" customHeight="1" s="37">
      <c r="A7625" t="n">
        <v>21</v>
      </c>
      <c r="B7625" s="10" t="inlineStr">
        <is>
          <t>平日</t>
        </is>
      </c>
      <c r="C7625" s="10" t="inlineStr">
        <is>
          <t>北野線</t>
        </is>
      </c>
      <c r="D7625" s="10" t="inlineStr">
        <is>
          <t>上り</t>
        </is>
      </c>
      <c r="E7625" t="inlineStr">
        <is>
          <t>2052</t>
        </is>
      </c>
      <c r="F7625" t="inlineStr">
        <is>
          <t>0304</t>
        </is>
      </c>
      <c r="G7625" s="10" t="inlineStr">
        <is>
          <t>帷子ノ辻</t>
        </is>
      </c>
      <c r="H7625" s="10" t="inlineStr">
        <is>
          <t>発</t>
        </is>
      </c>
      <c r="J7625" s="10" t="inlineStr">
        <is>
          <t>営業</t>
        </is>
      </c>
      <c r="M7625" t="inlineStr">
        <is>
          <t>20:06:25</t>
        </is>
      </c>
      <c r="Q7625" t="inlineStr">
        <is>
          <t>4</t>
        </is>
      </c>
    </row>
    <row r="7626" ht="16.5" customHeight="1" s="37">
      <c r="A7626" t="n">
        <v>21</v>
      </c>
      <c r="B7626" s="10" t="inlineStr">
        <is>
          <t>平日</t>
        </is>
      </c>
      <c r="C7626" s="10" t="inlineStr">
        <is>
          <t>北野線</t>
        </is>
      </c>
      <c r="D7626" s="10" t="inlineStr">
        <is>
          <t>上り</t>
        </is>
      </c>
      <c r="E7626" t="inlineStr">
        <is>
          <t>2052</t>
        </is>
      </c>
      <c r="F7626" t="inlineStr">
        <is>
          <t>0304</t>
        </is>
      </c>
      <c r="G7626" s="10" t="inlineStr">
        <is>
          <t>撮影所前</t>
        </is>
      </c>
      <c r="H7626" s="10" t="inlineStr">
        <is>
          <t>発</t>
        </is>
      </c>
      <c r="J7626" s="10" t="inlineStr">
        <is>
          <t>営業</t>
        </is>
      </c>
      <c r="L7626" t="inlineStr">
        <is>
          <t>20:07:25</t>
        </is>
      </c>
      <c r="M7626" t="inlineStr">
        <is>
          <t>20:07:40</t>
        </is>
      </c>
    </row>
    <row r="7627" ht="16.5" customHeight="1" s="37">
      <c r="A7627" t="n">
        <v>21</v>
      </c>
      <c r="B7627" s="10" t="inlineStr">
        <is>
          <t>平日</t>
        </is>
      </c>
      <c r="C7627" s="10" t="inlineStr">
        <is>
          <t>北野線</t>
        </is>
      </c>
      <c r="D7627" s="10" t="inlineStr">
        <is>
          <t>上り</t>
        </is>
      </c>
      <c r="E7627" t="inlineStr">
        <is>
          <t>2052</t>
        </is>
      </c>
      <c r="F7627" t="inlineStr">
        <is>
          <t>0304</t>
        </is>
      </c>
      <c r="G7627" s="10" t="inlineStr">
        <is>
          <t>常盤</t>
        </is>
      </c>
      <c r="H7627" s="10" t="inlineStr">
        <is>
          <t>発</t>
        </is>
      </c>
      <c r="J7627" s="10" t="inlineStr">
        <is>
          <t>営業</t>
        </is>
      </c>
      <c r="L7627" t="inlineStr">
        <is>
          <t>20:09:00</t>
        </is>
      </c>
      <c r="M7627" t="inlineStr">
        <is>
          <t>20:09:20</t>
        </is>
      </c>
    </row>
    <row r="7628" ht="16.5" customHeight="1" s="37">
      <c r="A7628" t="n">
        <v>21</v>
      </c>
      <c r="B7628" s="10" t="inlineStr">
        <is>
          <t>平日</t>
        </is>
      </c>
      <c r="C7628" s="10" t="inlineStr">
        <is>
          <t>北野線</t>
        </is>
      </c>
      <c r="D7628" s="10" t="inlineStr">
        <is>
          <t>上り</t>
        </is>
      </c>
      <c r="E7628" t="inlineStr">
        <is>
          <t>2052</t>
        </is>
      </c>
      <c r="F7628" t="inlineStr">
        <is>
          <t>0304</t>
        </is>
      </c>
      <c r="G7628" s="10" t="inlineStr">
        <is>
          <t>鳴滝</t>
        </is>
      </c>
      <c r="H7628" s="10" t="inlineStr">
        <is>
          <t>発</t>
        </is>
      </c>
      <c r="J7628" s="10" t="inlineStr">
        <is>
          <t>営業</t>
        </is>
      </c>
      <c r="L7628" t="inlineStr">
        <is>
          <t>20:10:20</t>
        </is>
      </c>
      <c r="M7628" t="inlineStr">
        <is>
          <t>20:10:40</t>
        </is>
      </c>
    </row>
    <row r="7629" ht="16.5" customHeight="1" s="37">
      <c r="A7629" t="n">
        <v>21</v>
      </c>
      <c r="B7629" s="10" t="inlineStr">
        <is>
          <t>平日</t>
        </is>
      </c>
      <c r="C7629" s="10" t="inlineStr">
        <is>
          <t>北野線</t>
        </is>
      </c>
      <c r="D7629" s="10" t="inlineStr">
        <is>
          <t>上り</t>
        </is>
      </c>
      <c r="E7629" t="inlineStr">
        <is>
          <t>2052</t>
        </is>
      </c>
      <c r="F7629" t="inlineStr">
        <is>
          <t>0304</t>
        </is>
      </c>
      <c r="G7629" s="10" t="inlineStr">
        <is>
          <t>宇多野</t>
        </is>
      </c>
      <c r="H7629" s="10" t="inlineStr">
        <is>
          <t>発</t>
        </is>
      </c>
      <c r="J7629" s="10" t="inlineStr">
        <is>
          <t>営業</t>
        </is>
      </c>
      <c r="L7629" t="inlineStr">
        <is>
          <t>20:12:00</t>
        </is>
      </c>
      <c r="M7629" t="inlineStr">
        <is>
          <t>20:12:15</t>
        </is>
      </c>
    </row>
    <row r="7630" ht="16.5" customHeight="1" s="37">
      <c r="A7630" t="n">
        <v>21</v>
      </c>
      <c r="B7630" s="10" t="inlineStr">
        <is>
          <t>平日</t>
        </is>
      </c>
      <c r="C7630" s="10" t="inlineStr">
        <is>
          <t>北野線</t>
        </is>
      </c>
      <c r="D7630" s="10" t="inlineStr">
        <is>
          <t>上り</t>
        </is>
      </c>
      <c r="E7630" t="inlineStr">
        <is>
          <t>2052</t>
        </is>
      </c>
      <c r="F7630" t="inlineStr">
        <is>
          <t>0304</t>
        </is>
      </c>
      <c r="G7630" s="10" t="inlineStr">
        <is>
          <t>御室仁和寺</t>
        </is>
      </c>
      <c r="H7630" s="10" t="inlineStr">
        <is>
          <t>発</t>
        </is>
      </c>
      <c r="J7630" s="10" t="inlineStr">
        <is>
          <t>営業</t>
        </is>
      </c>
      <c r="L7630" t="inlineStr">
        <is>
          <t>20:13:15</t>
        </is>
      </c>
      <c r="M7630" t="inlineStr">
        <is>
          <t>20:13:35</t>
        </is>
      </c>
    </row>
    <row r="7631" ht="16.5" customHeight="1" s="37">
      <c r="A7631" t="n">
        <v>21</v>
      </c>
      <c r="B7631" s="10" t="inlineStr">
        <is>
          <t>平日</t>
        </is>
      </c>
      <c r="C7631" s="10" t="inlineStr">
        <is>
          <t>北野線</t>
        </is>
      </c>
      <c r="D7631" s="10" t="inlineStr">
        <is>
          <t>上り</t>
        </is>
      </c>
      <c r="E7631" t="inlineStr">
        <is>
          <t>2052</t>
        </is>
      </c>
      <c r="F7631" t="inlineStr">
        <is>
          <t>0304</t>
        </is>
      </c>
      <c r="G7631" s="10" t="inlineStr">
        <is>
          <t>妙心寺</t>
        </is>
      </c>
      <c r="H7631" s="10" t="inlineStr">
        <is>
          <t>発</t>
        </is>
      </c>
      <c r="J7631" s="10" t="inlineStr">
        <is>
          <t>営業</t>
        </is>
      </c>
      <c r="L7631" t="inlineStr">
        <is>
          <t>20:14:35</t>
        </is>
      </c>
      <c r="M7631" t="inlineStr">
        <is>
          <t>20:14:50</t>
        </is>
      </c>
    </row>
    <row r="7632" ht="16.5" customHeight="1" s="37">
      <c r="A7632" t="n">
        <v>21</v>
      </c>
      <c r="B7632" s="10" t="inlineStr">
        <is>
          <t>平日</t>
        </is>
      </c>
      <c r="C7632" s="10" t="inlineStr">
        <is>
          <t>北野線</t>
        </is>
      </c>
      <c r="D7632" s="10" t="inlineStr">
        <is>
          <t>上り</t>
        </is>
      </c>
      <c r="E7632" t="inlineStr">
        <is>
          <t>2052</t>
        </is>
      </c>
      <c r="F7632" t="inlineStr">
        <is>
          <t>0304</t>
        </is>
      </c>
      <c r="G7632" s="10" t="inlineStr">
        <is>
          <t>龍安寺</t>
        </is>
      </c>
      <c r="H7632" s="10" t="inlineStr">
        <is>
          <t>発</t>
        </is>
      </c>
      <c r="J7632" s="10" t="inlineStr">
        <is>
          <t>営業</t>
        </is>
      </c>
      <c r="L7632" t="inlineStr">
        <is>
          <t>20:15:45</t>
        </is>
      </c>
      <c r="M7632" t="inlineStr">
        <is>
          <t>20:15:55</t>
        </is>
      </c>
    </row>
    <row r="7633" ht="16.5" customHeight="1" s="37">
      <c r="A7633" t="n">
        <v>21</v>
      </c>
      <c r="B7633" s="10" t="inlineStr">
        <is>
          <t>平日</t>
        </is>
      </c>
      <c r="C7633" s="10" t="inlineStr">
        <is>
          <t>北野線</t>
        </is>
      </c>
      <c r="D7633" s="10" t="inlineStr">
        <is>
          <t>上り</t>
        </is>
      </c>
      <c r="E7633" t="inlineStr">
        <is>
          <t>2052</t>
        </is>
      </c>
      <c r="F7633" t="inlineStr">
        <is>
          <t>0304</t>
        </is>
      </c>
      <c r="G7633" s="10" t="inlineStr">
        <is>
          <t>等持院</t>
        </is>
      </c>
      <c r="H7633" s="10" t="inlineStr">
        <is>
          <t>発</t>
        </is>
      </c>
      <c r="J7633" s="10" t="inlineStr">
        <is>
          <t>営業</t>
        </is>
      </c>
      <c r="L7633" t="inlineStr">
        <is>
          <t>20:16:35</t>
        </is>
      </c>
      <c r="M7633" t="inlineStr">
        <is>
          <t>20:16:55</t>
        </is>
      </c>
    </row>
    <row r="7634" ht="16.5" customHeight="1" s="37">
      <c r="A7634" t="n">
        <v>21</v>
      </c>
      <c r="B7634" s="10" t="inlineStr">
        <is>
          <t>平日</t>
        </is>
      </c>
      <c r="C7634" s="10" t="inlineStr">
        <is>
          <t>北野線</t>
        </is>
      </c>
      <c r="D7634" s="10" t="inlineStr">
        <is>
          <t>上り</t>
        </is>
      </c>
      <c r="E7634" t="inlineStr">
        <is>
          <t>2052</t>
        </is>
      </c>
      <c r="F7634" t="inlineStr">
        <is>
          <t>0304</t>
        </is>
      </c>
      <c r="G7634" s="10" t="inlineStr">
        <is>
          <t>北野白梅町</t>
        </is>
      </c>
      <c r="H7634" s="10" t="inlineStr">
        <is>
          <t>着</t>
        </is>
      </c>
      <c r="J7634" s="10" t="inlineStr">
        <is>
          <t>営業</t>
        </is>
      </c>
      <c r="L7634" t="inlineStr">
        <is>
          <t>20:18:15</t>
        </is>
      </c>
      <c r="N7634" t="inlineStr">
        <is>
          <t>○</t>
        </is>
      </c>
      <c r="Q7634" t="inlineStr">
        <is>
          <t>1</t>
        </is>
      </c>
    </row>
    <row r="7635" ht="16.5" customHeight="1" s="37">
      <c r="A7635" t="n">
        <v>21</v>
      </c>
      <c r="B7635" s="10" t="inlineStr">
        <is>
          <t>平日</t>
        </is>
      </c>
      <c r="C7635" s="10" t="inlineStr">
        <is>
          <t>北野線</t>
        </is>
      </c>
      <c r="D7635" s="10" t="inlineStr">
        <is>
          <t>下り</t>
        </is>
      </c>
      <c r="E7635" t="inlineStr">
        <is>
          <t>2055</t>
        </is>
      </c>
      <c r="F7635" t="inlineStr">
        <is>
          <t>0453</t>
        </is>
      </c>
      <c r="G7635" s="10" t="inlineStr">
        <is>
          <t>北野白梅町</t>
        </is>
      </c>
      <c r="H7635" s="10" t="inlineStr">
        <is>
          <t>発</t>
        </is>
      </c>
      <c r="J7635" s="10" t="inlineStr">
        <is>
          <t>営業</t>
        </is>
      </c>
      <c r="M7635" t="inlineStr">
        <is>
          <t>20:23:00</t>
        </is>
      </c>
      <c r="Q7635" t="inlineStr">
        <is>
          <t>1</t>
        </is>
      </c>
    </row>
    <row r="7636" ht="16.5" customHeight="1" s="37">
      <c r="A7636" t="n">
        <v>21</v>
      </c>
      <c r="B7636" s="10" t="inlineStr">
        <is>
          <t>平日</t>
        </is>
      </c>
      <c r="C7636" s="10" t="inlineStr">
        <is>
          <t>北野線</t>
        </is>
      </c>
      <c r="D7636" s="10" t="inlineStr">
        <is>
          <t>下り</t>
        </is>
      </c>
      <c r="E7636" t="inlineStr">
        <is>
          <t>2055</t>
        </is>
      </c>
      <c r="F7636" t="inlineStr">
        <is>
          <t>0453</t>
        </is>
      </c>
      <c r="G7636" s="10" t="inlineStr">
        <is>
          <t>等持院</t>
        </is>
      </c>
      <c r="H7636" s="10" t="inlineStr">
        <is>
          <t>発</t>
        </is>
      </c>
      <c r="J7636" s="10" t="inlineStr">
        <is>
          <t>営業</t>
        </is>
      </c>
      <c r="L7636" t="inlineStr">
        <is>
          <t>20:24:25</t>
        </is>
      </c>
      <c r="M7636" t="inlineStr">
        <is>
          <t>20:24:35</t>
        </is>
      </c>
    </row>
    <row r="7637" ht="16.5" customHeight="1" s="37">
      <c r="A7637" t="n">
        <v>21</v>
      </c>
      <c r="B7637" s="10" t="inlineStr">
        <is>
          <t>平日</t>
        </is>
      </c>
      <c r="C7637" s="10" t="inlineStr">
        <is>
          <t>北野線</t>
        </is>
      </c>
      <c r="D7637" s="10" t="inlineStr">
        <is>
          <t>下り</t>
        </is>
      </c>
      <c r="E7637" t="inlineStr">
        <is>
          <t>2055</t>
        </is>
      </c>
      <c r="F7637" t="inlineStr">
        <is>
          <t>0453</t>
        </is>
      </c>
      <c r="G7637" s="10" t="inlineStr">
        <is>
          <t>龍安寺</t>
        </is>
      </c>
      <c r="H7637" s="10" t="inlineStr">
        <is>
          <t>発</t>
        </is>
      </c>
      <c r="J7637" s="10" t="inlineStr">
        <is>
          <t>営業</t>
        </is>
      </c>
      <c r="L7637" t="inlineStr">
        <is>
          <t>20:25:25</t>
        </is>
      </c>
      <c r="M7637" t="inlineStr">
        <is>
          <t>20:25:50</t>
        </is>
      </c>
    </row>
    <row r="7638" ht="16.5" customHeight="1" s="37">
      <c r="A7638" t="n">
        <v>21</v>
      </c>
      <c r="B7638" s="10" t="inlineStr">
        <is>
          <t>平日</t>
        </is>
      </c>
      <c r="C7638" s="10" t="inlineStr">
        <is>
          <t>北野線</t>
        </is>
      </c>
      <c r="D7638" s="10" t="inlineStr">
        <is>
          <t>下り</t>
        </is>
      </c>
      <c r="E7638" t="inlineStr">
        <is>
          <t>2055</t>
        </is>
      </c>
      <c r="F7638" t="inlineStr">
        <is>
          <t>0453</t>
        </is>
      </c>
      <c r="G7638" s="10" t="inlineStr">
        <is>
          <t>妙心寺</t>
        </is>
      </c>
      <c r="H7638" s="10" t="inlineStr">
        <is>
          <t>発</t>
        </is>
      </c>
      <c r="J7638" s="10" t="inlineStr">
        <is>
          <t>営業</t>
        </is>
      </c>
      <c r="L7638" t="inlineStr">
        <is>
          <t>20:26:40</t>
        </is>
      </c>
      <c r="M7638" t="inlineStr">
        <is>
          <t>20:26:50</t>
        </is>
      </c>
    </row>
    <row r="7639" ht="16.5" customHeight="1" s="37">
      <c r="A7639" t="n">
        <v>21</v>
      </c>
      <c r="B7639" s="10" t="inlineStr">
        <is>
          <t>平日</t>
        </is>
      </c>
      <c r="C7639" s="10" t="inlineStr">
        <is>
          <t>北野線</t>
        </is>
      </c>
      <c r="D7639" s="10" t="inlineStr">
        <is>
          <t>下り</t>
        </is>
      </c>
      <c r="E7639" t="inlineStr">
        <is>
          <t>2055</t>
        </is>
      </c>
      <c r="F7639" t="inlineStr">
        <is>
          <t>0453</t>
        </is>
      </c>
      <c r="G7639" s="10" t="inlineStr">
        <is>
          <t>御室仁和寺</t>
        </is>
      </c>
      <c r="H7639" s="10" t="inlineStr">
        <is>
          <t>発</t>
        </is>
      </c>
      <c r="J7639" s="10" t="inlineStr">
        <is>
          <t>営業</t>
        </is>
      </c>
      <c r="L7639" t="inlineStr">
        <is>
          <t>20:27:50</t>
        </is>
      </c>
      <c r="M7639" t="inlineStr">
        <is>
          <t>20:28:05</t>
        </is>
      </c>
    </row>
    <row r="7640" ht="16.5" customHeight="1" s="37">
      <c r="A7640" t="n">
        <v>21</v>
      </c>
      <c r="B7640" s="10" t="inlineStr">
        <is>
          <t>平日</t>
        </is>
      </c>
      <c r="C7640" s="10" t="inlineStr">
        <is>
          <t>北野線</t>
        </is>
      </c>
      <c r="D7640" s="10" t="inlineStr">
        <is>
          <t>下り</t>
        </is>
      </c>
      <c r="E7640" t="inlineStr">
        <is>
          <t>2055</t>
        </is>
      </c>
      <c r="F7640" t="inlineStr">
        <is>
          <t>0453</t>
        </is>
      </c>
      <c r="G7640" s="10" t="inlineStr">
        <is>
          <t>宇多野</t>
        </is>
      </c>
      <c r="H7640" s="10" t="inlineStr">
        <is>
          <t>発</t>
        </is>
      </c>
      <c r="J7640" s="10" t="inlineStr">
        <is>
          <t>営業</t>
        </is>
      </c>
      <c r="L7640" t="inlineStr">
        <is>
          <t>20:29:05</t>
        </is>
      </c>
      <c r="M7640" t="inlineStr">
        <is>
          <t>20:29:15</t>
        </is>
      </c>
    </row>
    <row r="7641" ht="16.5" customHeight="1" s="37">
      <c r="A7641" t="n">
        <v>21</v>
      </c>
      <c r="B7641" s="10" t="inlineStr">
        <is>
          <t>平日</t>
        </is>
      </c>
      <c r="C7641" s="10" t="inlineStr">
        <is>
          <t>北野線</t>
        </is>
      </c>
      <c r="D7641" s="10" t="inlineStr">
        <is>
          <t>下り</t>
        </is>
      </c>
      <c r="E7641" t="inlineStr">
        <is>
          <t>2055</t>
        </is>
      </c>
      <c r="F7641" t="inlineStr">
        <is>
          <t>0453</t>
        </is>
      </c>
      <c r="G7641" s="10" t="inlineStr">
        <is>
          <t>鳴滝</t>
        </is>
      </c>
      <c r="H7641" s="10" t="inlineStr">
        <is>
          <t>発</t>
        </is>
      </c>
      <c r="J7641" s="10" t="inlineStr">
        <is>
          <t>営業</t>
        </is>
      </c>
      <c r="L7641" t="inlineStr">
        <is>
          <t>20:30:35</t>
        </is>
      </c>
      <c r="M7641" t="inlineStr">
        <is>
          <t>20:30:45</t>
        </is>
      </c>
    </row>
    <row r="7642" ht="16.5" customHeight="1" s="37">
      <c r="A7642" t="n">
        <v>21</v>
      </c>
      <c r="B7642" s="10" t="inlineStr">
        <is>
          <t>平日</t>
        </is>
      </c>
      <c r="C7642" s="10" t="inlineStr">
        <is>
          <t>北野線</t>
        </is>
      </c>
      <c r="D7642" s="10" t="inlineStr">
        <is>
          <t>下り</t>
        </is>
      </c>
      <c r="E7642" t="inlineStr">
        <is>
          <t>2055</t>
        </is>
      </c>
      <c r="F7642" t="inlineStr">
        <is>
          <t>0453</t>
        </is>
      </c>
      <c r="G7642" s="10" t="inlineStr">
        <is>
          <t>常盤</t>
        </is>
      </c>
      <c r="H7642" s="10" t="inlineStr">
        <is>
          <t>発</t>
        </is>
      </c>
      <c r="J7642" s="10" t="inlineStr">
        <is>
          <t>営業</t>
        </is>
      </c>
      <c r="L7642" t="inlineStr">
        <is>
          <t>20:31:35</t>
        </is>
      </c>
      <c r="M7642" t="inlineStr">
        <is>
          <t>20:31:55</t>
        </is>
      </c>
    </row>
    <row r="7643" ht="16.5" customHeight="1" s="37">
      <c r="A7643" t="n">
        <v>21</v>
      </c>
      <c r="B7643" s="10" t="inlineStr">
        <is>
          <t>平日</t>
        </is>
      </c>
      <c r="C7643" s="10" t="inlineStr">
        <is>
          <t>北野線</t>
        </is>
      </c>
      <c r="D7643" s="10" t="inlineStr">
        <is>
          <t>下り</t>
        </is>
      </c>
      <c r="E7643" t="inlineStr">
        <is>
          <t>2055</t>
        </is>
      </c>
      <c r="F7643" t="inlineStr">
        <is>
          <t>0453</t>
        </is>
      </c>
      <c r="G7643" s="10" t="inlineStr">
        <is>
          <t>撮影所前</t>
        </is>
      </c>
      <c r="H7643" s="10" t="inlineStr">
        <is>
          <t>発</t>
        </is>
      </c>
      <c r="J7643" s="10" t="inlineStr">
        <is>
          <t>営業</t>
        </is>
      </c>
      <c r="L7643" t="inlineStr">
        <is>
          <t>20:33:15</t>
        </is>
      </c>
      <c r="M7643" t="inlineStr">
        <is>
          <t>20:33:30</t>
        </is>
      </c>
    </row>
    <row r="7644" ht="16.5" customHeight="1" s="37">
      <c r="A7644" t="n">
        <v>21</v>
      </c>
      <c r="B7644" s="10" t="inlineStr">
        <is>
          <t>平日</t>
        </is>
      </c>
      <c r="C7644" s="10" t="inlineStr">
        <is>
          <t>北野線</t>
        </is>
      </c>
      <c r="D7644" s="10" t="inlineStr">
        <is>
          <t>下り</t>
        </is>
      </c>
      <c r="E7644" t="inlineStr">
        <is>
          <t>2055</t>
        </is>
      </c>
      <c r="F7644" t="inlineStr">
        <is>
          <t>0453</t>
        </is>
      </c>
      <c r="G7644" s="10" t="inlineStr">
        <is>
          <t>帷子ノ辻</t>
        </is>
      </c>
      <c r="H7644" s="10" t="inlineStr">
        <is>
          <t>着</t>
        </is>
      </c>
      <c r="J7644" s="10" t="inlineStr">
        <is>
          <t>営業</t>
        </is>
      </c>
      <c r="L7644" t="inlineStr">
        <is>
          <t>20:34:25</t>
        </is>
      </c>
      <c r="Q7644" t="inlineStr">
        <is>
          <t>4</t>
        </is>
      </c>
    </row>
    <row r="7645" ht="16.5" customHeight="1" s="37">
      <c r="A7645" t="n">
        <v>21</v>
      </c>
      <c r="B7645" s="10" t="inlineStr">
        <is>
          <t>平日</t>
        </is>
      </c>
      <c r="C7645" s="10" t="inlineStr">
        <is>
          <t>北野線</t>
        </is>
      </c>
      <c r="D7645" s="10" t="inlineStr">
        <is>
          <t>上り</t>
        </is>
      </c>
      <c r="E7645" t="inlineStr">
        <is>
          <t>2060</t>
        </is>
      </c>
      <c r="F7645" t="inlineStr">
        <is>
          <t>0304</t>
        </is>
      </c>
      <c r="G7645" s="10" t="inlineStr">
        <is>
          <t>帷子ノ辻</t>
        </is>
      </c>
      <c r="H7645" s="10" t="inlineStr">
        <is>
          <t>発</t>
        </is>
      </c>
      <c r="J7645" s="10" t="inlineStr">
        <is>
          <t>営業</t>
        </is>
      </c>
      <c r="M7645" t="inlineStr">
        <is>
          <t>20:46:25</t>
        </is>
      </c>
      <c r="Q7645" t="inlineStr">
        <is>
          <t>4</t>
        </is>
      </c>
    </row>
    <row r="7646" ht="16.5" customHeight="1" s="37">
      <c r="A7646" t="n">
        <v>21</v>
      </c>
      <c r="B7646" s="10" t="inlineStr">
        <is>
          <t>平日</t>
        </is>
      </c>
      <c r="C7646" s="10" t="inlineStr">
        <is>
          <t>北野線</t>
        </is>
      </c>
      <c r="D7646" s="10" t="inlineStr">
        <is>
          <t>上り</t>
        </is>
      </c>
      <c r="E7646" t="inlineStr">
        <is>
          <t>2060</t>
        </is>
      </c>
      <c r="F7646" t="inlineStr">
        <is>
          <t>0304</t>
        </is>
      </c>
      <c r="G7646" s="10" t="inlineStr">
        <is>
          <t>撮影所前</t>
        </is>
      </c>
      <c r="H7646" s="10" t="inlineStr">
        <is>
          <t>発</t>
        </is>
      </c>
      <c r="J7646" s="10" t="inlineStr">
        <is>
          <t>営業</t>
        </is>
      </c>
      <c r="L7646" t="inlineStr">
        <is>
          <t>20:47:25</t>
        </is>
      </c>
      <c r="M7646" t="inlineStr">
        <is>
          <t>20:47:40</t>
        </is>
      </c>
    </row>
    <row r="7647" ht="16.5" customHeight="1" s="37">
      <c r="A7647" t="n">
        <v>21</v>
      </c>
      <c r="B7647" s="10" t="inlineStr">
        <is>
          <t>平日</t>
        </is>
      </c>
      <c r="C7647" s="10" t="inlineStr">
        <is>
          <t>北野線</t>
        </is>
      </c>
      <c r="D7647" s="10" t="inlineStr">
        <is>
          <t>上り</t>
        </is>
      </c>
      <c r="E7647" t="inlineStr">
        <is>
          <t>2060</t>
        </is>
      </c>
      <c r="F7647" t="inlineStr">
        <is>
          <t>0304</t>
        </is>
      </c>
      <c r="G7647" s="10" t="inlineStr">
        <is>
          <t>常盤</t>
        </is>
      </c>
      <c r="H7647" s="10" t="inlineStr">
        <is>
          <t>発</t>
        </is>
      </c>
      <c r="J7647" s="10" t="inlineStr">
        <is>
          <t>営業</t>
        </is>
      </c>
      <c r="L7647" t="inlineStr">
        <is>
          <t>20:49:00</t>
        </is>
      </c>
      <c r="M7647" t="inlineStr">
        <is>
          <t>20:49:20</t>
        </is>
      </c>
    </row>
    <row r="7648" ht="16.5" customHeight="1" s="37">
      <c r="A7648" t="n">
        <v>21</v>
      </c>
      <c r="B7648" s="10" t="inlineStr">
        <is>
          <t>平日</t>
        </is>
      </c>
      <c r="C7648" s="10" t="inlineStr">
        <is>
          <t>北野線</t>
        </is>
      </c>
      <c r="D7648" s="10" t="inlineStr">
        <is>
          <t>上り</t>
        </is>
      </c>
      <c r="E7648" t="inlineStr">
        <is>
          <t>2060</t>
        </is>
      </c>
      <c r="F7648" t="inlineStr">
        <is>
          <t>0304</t>
        </is>
      </c>
      <c r="G7648" s="10" t="inlineStr">
        <is>
          <t>鳴滝</t>
        </is>
      </c>
      <c r="H7648" s="10" t="inlineStr">
        <is>
          <t>発</t>
        </is>
      </c>
      <c r="J7648" s="10" t="inlineStr">
        <is>
          <t>営業</t>
        </is>
      </c>
      <c r="L7648" t="inlineStr">
        <is>
          <t>20:50:20</t>
        </is>
      </c>
      <c r="M7648" t="inlineStr">
        <is>
          <t>20:50:40</t>
        </is>
      </c>
    </row>
    <row r="7649" ht="16.5" customHeight="1" s="37">
      <c r="A7649" t="n">
        <v>21</v>
      </c>
      <c r="B7649" s="10" t="inlineStr">
        <is>
          <t>平日</t>
        </is>
      </c>
      <c r="C7649" s="10" t="inlineStr">
        <is>
          <t>北野線</t>
        </is>
      </c>
      <c r="D7649" s="10" t="inlineStr">
        <is>
          <t>上り</t>
        </is>
      </c>
      <c r="E7649" t="inlineStr">
        <is>
          <t>2060</t>
        </is>
      </c>
      <c r="F7649" t="inlineStr">
        <is>
          <t>0304</t>
        </is>
      </c>
      <c r="G7649" s="10" t="inlineStr">
        <is>
          <t>宇多野</t>
        </is>
      </c>
      <c r="H7649" s="10" t="inlineStr">
        <is>
          <t>発</t>
        </is>
      </c>
      <c r="J7649" s="10" t="inlineStr">
        <is>
          <t>営業</t>
        </is>
      </c>
      <c r="L7649" t="inlineStr">
        <is>
          <t>20:52:00</t>
        </is>
      </c>
      <c r="M7649" t="inlineStr">
        <is>
          <t>20:52:15</t>
        </is>
      </c>
    </row>
    <row r="7650" ht="16.5" customHeight="1" s="37">
      <c r="A7650" t="n">
        <v>21</v>
      </c>
      <c r="B7650" s="10" t="inlineStr">
        <is>
          <t>平日</t>
        </is>
      </c>
      <c r="C7650" s="10" t="inlineStr">
        <is>
          <t>北野線</t>
        </is>
      </c>
      <c r="D7650" s="10" t="inlineStr">
        <is>
          <t>上り</t>
        </is>
      </c>
      <c r="E7650" t="inlineStr">
        <is>
          <t>2060</t>
        </is>
      </c>
      <c r="F7650" t="inlineStr">
        <is>
          <t>0304</t>
        </is>
      </c>
      <c r="G7650" s="10" t="inlineStr">
        <is>
          <t>御室仁和寺</t>
        </is>
      </c>
      <c r="H7650" s="10" t="inlineStr">
        <is>
          <t>発</t>
        </is>
      </c>
      <c r="J7650" s="10" t="inlineStr">
        <is>
          <t>営業</t>
        </is>
      </c>
      <c r="L7650" t="inlineStr">
        <is>
          <t>20:53:15</t>
        </is>
      </c>
      <c r="M7650" t="inlineStr">
        <is>
          <t>20:53:35</t>
        </is>
      </c>
    </row>
    <row r="7651" ht="16.5" customHeight="1" s="37">
      <c r="A7651" t="n">
        <v>21</v>
      </c>
      <c r="B7651" s="10" t="inlineStr">
        <is>
          <t>平日</t>
        </is>
      </c>
      <c r="C7651" s="10" t="inlineStr">
        <is>
          <t>北野線</t>
        </is>
      </c>
      <c r="D7651" s="10" t="inlineStr">
        <is>
          <t>上り</t>
        </is>
      </c>
      <c r="E7651" t="inlineStr">
        <is>
          <t>2060</t>
        </is>
      </c>
      <c r="F7651" t="inlineStr">
        <is>
          <t>0304</t>
        </is>
      </c>
      <c r="G7651" s="10" t="inlineStr">
        <is>
          <t>妙心寺</t>
        </is>
      </c>
      <c r="H7651" s="10" t="inlineStr">
        <is>
          <t>発</t>
        </is>
      </c>
      <c r="J7651" s="10" t="inlineStr">
        <is>
          <t>営業</t>
        </is>
      </c>
      <c r="L7651" t="inlineStr">
        <is>
          <t>20:54:35</t>
        </is>
      </c>
      <c r="M7651" t="inlineStr">
        <is>
          <t>20:54:50</t>
        </is>
      </c>
    </row>
    <row r="7652" ht="16.5" customHeight="1" s="37">
      <c r="A7652" t="n">
        <v>21</v>
      </c>
      <c r="B7652" s="10" t="inlineStr">
        <is>
          <t>平日</t>
        </is>
      </c>
      <c r="C7652" s="10" t="inlineStr">
        <is>
          <t>北野線</t>
        </is>
      </c>
      <c r="D7652" s="10" t="inlineStr">
        <is>
          <t>上り</t>
        </is>
      </c>
      <c r="E7652" t="inlineStr">
        <is>
          <t>2060</t>
        </is>
      </c>
      <c r="F7652" t="inlineStr">
        <is>
          <t>0304</t>
        </is>
      </c>
      <c r="G7652" s="10" t="inlineStr">
        <is>
          <t>龍安寺</t>
        </is>
      </c>
      <c r="H7652" s="10" t="inlineStr">
        <is>
          <t>発</t>
        </is>
      </c>
      <c r="J7652" s="10" t="inlineStr">
        <is>
          <t>営業</t>
        </is>
      </c>
      <c r="L7652" t="inlineStr">
        <is>
          <t>20:55:45</t>
        </is>
      </c>
      <c r="M7652" t="inlineStr">
        <is>
          <t>20:55:55</t>
        </is>
      </c>
    </row>
    <row r="7653" ht="16.5" customHeight="1" s="37">
      <c r="A7653" t="n">
        <v>21</v>
      </c>
      <c r="B7653" s="10" t="inlineStr">
        <is>
          <t>平日</t>
        </is>
      </c>
      <c r="C7653" s="10" t="inlineStr">
        <is>
          <t>北野線</t>
        </is>
      </c>
      <c r="D7653" s="10" t="inlineStr">
        <is>
          <t>上り</t>
        </is>
      </c>
      <c r="E7653" t="inlineStr">
        <is>
          <t>2060</t>
        </is>
      </c>
      <c r="F7653" t="inlineStr">
        <is>
          <t>0304</t>
        </is>
      </c>
      <c r="G7653" s="10" t="inlineStr">
        <is>
          <t>等持院</t>
        </is>
      </c>
      <c r="H7653" s="10" t="inlineStr">
        <is>
          <t>発</t>
        </is>
      </c>
      <c r="J7653" s="10" t="inlineStr">
        <is>
          <t>営業</t>
        </is>
      </c>
      <c r="L7653" t="inlineStr">
        <is>
          <t>20:56:35</t>
        </is>
      </c>
      <c r="M7653" t="inlineStr">
        <is>
          <t>20:56:55</t>
        </is>
      </c>
    </row>
    <row r="7654" ht="16.5" customHeight="1" s="37">
      <c r="A7654" t="n">
        <v>21</v>
      </c>
      <c r="B7654" s="10" t="inlineStr">
        <is>
          <t>平日</t>
        </is>
      </c>
      <c r="C7654" s="10" t="inlineStr">
        <is>
          <t>北野線</t>
        </is>
      </c>
      <c r="D7654" s="10" t="inlineStr">
        <is>
          <t>上り</t>
        </is>
      </c>
      <c r="E7654" t="inlineStr">
        <is>
          <t>2060</t>
        </is>
      </c>
      <c r="F7654" t="inlineStr">
        <is>
          <t>0304</t>
        </is>
      </c>
      <c r="G7654" s="10" t="inlineStr">
        <is>
          <t>北野白梅町</t>
        </is>
      </c>
      <c r="H7654" s="10" t="inlineStr">
        <is>
          <t>着</t>
        </is>
      </c>
      <c r="J7654" s="10" t="inlineStr">
        <is>
          <t>営業</t>
        </is>
      </c>
      <c r="L7654" t="inlineStr">
        <is>
          <t>20:58:15</t>
        </is>
      </c>
      <c r="N7654" t="inlineStr">
        <is>
          <t>○</t>
        </is>
      </c>
      <c r="Q7654" t="inlineStr">
        <is>
          <t>1</t>
        </is>
      </c>
    </row>
    <row r="7655" ht="16.5" customHeight="1" s="37">
      <c r="A7655" t="n">
        <v>21</v>
      </c>
      <c r="B7655" s="10" t="inlineStr">
        <is>
          <t>平日</t>
        </is>
      </c>
      <c r="C7655" s="10" t="inlineStr">
        <is>
          <t>北野線</t>
        </is>
      </c>
      <c r="D7655" s="10" t="inlineStr">
        <is>
          <t>下り</t>
        </is>
      </c>
      <c r="E7655" t="inlineStr">
        <is>
          <t>2151</t>
        </is>
      </c>
      <c r="F7655" t="inlineStr">
        <is>
          <t>0453</t>
        </is>
      </c>
      <c r="G7655" s="10" t="inlineStr">
        <is>
          <t>北野白梅町</t>
        </is>
      </c>
      <c r="H7655" s="10" t="inlineStr">
        <is>
          <t>発</t>
        </is>
      </c>
      <c r="J7655" s="10" t="inlineStr">
        <is>
          <t>営業</t>
        </is>
      </c>
      <c r="M7655" t="inlineStr">
        <is>
          <t>21:03:00</t>
        </is>
      </c>
      <c r="Q7655" t="inlineStr">
        <is>
          <t>1</t>
        </is>
      </c>
    </row>
    <row r="7656" ht="16.5" customHeight="1" s="37">
      <c r="A7656" t="n">
        <v>21</v>
      </c>
      <c r="B7656" s="10" t="inlineStr">
        <is>
          <t>平日</t>
        </is>
      </c>
      <c r="C7656" s="10" t="inlineStr">
        <is>
          <t>北野線</t>
        </is>
      </c>
      <c r="D7656" s="10" t="inlineStr">
        <is>
          <t>下り</t>
        </is>
      </c>
      <c r="E7656" t="inlineStr">
        <is>
          <t>2151</t>
        </is>
      </c>
      <c r="F7656" t="inlineStr">
        <is>
          <t>0453</t>
        </is>
      </c>
      <c r="G7656" s="10" t="inlineStr">
        <is>
          <t>等持院</t>
        </is>
      </c>
      <c r="H7656" s="10" t="inlineStr">
        <is>
          <t>発</t>
        </is>
      </c>
      <c r="J7656" s="10" t="inlineStr">
        <is>
          <t>営業</t>
        </is>
      </c>
      <c r="L7656" t="inlineStr">
        <is>
          <t>21:04:25</t>
        </is>
      </c>
      <c r="M7656" t="inlineStr">
        <is>
          <t>21:04:35</t>
        </is>
      </c>
    </row>
    <row r="7657" ht="16.5" customHeight="1" s="37">
      <c r="A7657" t="n">
        <v>21</v>
      </c>
      <c r="B7657" s="10" t="inlineStr">
        <is>
          <t>平日</t>
        </is>
      </c>
      <c r="C7657" s="10" t="inlineStr">
        <is>
          <t>北野線</t>
        </is>
      </c>
      <c r="D7657" s="10" t="inlineStr">
        <is>
          <t>下り</t>
        </is>
      </c>
      <c r="E7657" t="inlineStr">
        <is>
          <t>2151</t>
        </is>
      </c>
      <c r="F7657" t="inlineStr">
        <is>
          <t>0453</t>
        </is>
      </c>
      <c r="G7657" s="10" t="inlineStr">
        <is>
          <t>龍安寺</t>
        </is>
      </c>
      <c r="H7657" s="10" t="inlineStr">
        <is>
          <t>発</t>
        </is>
      </c>
      <c r="J7657" s="10" t="inlineStr">
        <is>
          <t>営業</t>
        </is>
      </c>
      <c r="L7657" t="inlineStr">
        <is>
          <t>21:05:25</t>
        </is>
      </c>
      <c r="M7657" t="inlineStr">
        <is>
          <t>21:05:50</t>
        </is>
      </c>
    </row>
    <row r="7658" ht="16.5" customHeight="1" s="37">
      <c r="A7658" t="n">
        <v>21</v>
      </c>
      <c r="B7658" s="10" t="inlineStr">
        <is>
          <t>平日</t>
        </is>
      </c>
      <c r="C7658" s="10" t="inlineStr">
        <is>
          <t>北野線</t>
        </is>
      </c>
      <c r="D7658" s="10" t="inlineStr">
        <is>
          <t>下り</t>
        </is>
      </c>
      <c r="E7658" t="inlineStr">
        <is>
          <t>2151</t>
        </is>
      </c>
      <c r="F7658" t="inlineStr">
        <is>
          <t>0453</t>
        </is>
      </c>
      <c r="G7658" s="10" t="inlineStr">
        <is>
          <t>妙心寺</t>
        </is>
      </c>
      <c r="H7658" s="10" t="inlineStr">
        <is>
          <t>発</t>
        </is>
      </c>
      <c r="J7658" s="10" t="inlineStr">
        <is>
          <t>営業</t>
        </is>
      </c>
      <c r="L7658" t="inlineStr">
        <is>
          <t>21:06:40</t>
        </is>
      </c>
      <c r="M7658" t="inlineStr">
        <is>
          <t>21:06:50</t>
        </is>
      </c>
    </row>
    <row r="7659" ht="16.5" customHeight="1" s="37">
      <c r="A7659" t="n">
        <v>21</v>
      </c>
      <c r="B7659" s="10" t="inlineStr">
        <is>
          <t>平日</t>
        </is>
      </c>
      <c r="C7659" s="10" t="inlineStr">
        <is>
          <t>北野線</t>
        </is>
      </c>
      <c r="D7659" s="10" t="inlineStr">
        <is>
          <t>下り</t>
        </is>
      </c>
      <c r="E7659" t="inlineStr">
        <is>
          <t>2151</t>
        </is>
      </c>
      <c r="F7659" t="inlineStr">
        <is>
          <t>0453</t>
        </is>
      </c>
      <c r="G7659" s="10" t="inlineStr">
        <is>
          <t>御室仁和寺</t>
        </is>
      </c>
      <c r="H7659" s="10" t="inlineStr">
        <is>
          <t>発</t>
        </is>
      </c>
      <c r="J7659" s="10" t="inlineStr">
        <is>
          <t>営業</t>
        </is>
      </c>
      <c r="L7659" t="inlineStr">
        <is>
          <t>21:07:50</t>
        </is>
      </c>
      <c r="M7659" t="inlineStr">
        <is>
          <t>21:08:05</t>
        </is>
      </c>
    </row>
    <row r="7660" ht="16.5" customHeight="1" s="37">
      <c r="A7660" t="n">
        <v>21</v>
      </c>
      <c r="B7660" s="10" t="inlineStr">
        <is>
          <t>平日</t>
        </is>
      </c>
      <c r="C7660" s="10" t="inlineStr">
        <is>
          <t>北野線</t>
        </is>
      </c>
      <c r="D7660" s="10" t="inlineStr">
        <is>
          <t>下り</t>
        </is>
      </c>
      <c r="E7660" t="inlineStr">
        <is>
          <t>2151</t>
        </is>
      </c>
      <c r="F7660" t="inlineStr">
        <is>
          <t>0453</t>
        </is>
      </c>
      <c r="G7660" s="10" t="inlineStr">
        <is>
          <t>宇多野</t>
        </is>
      </c>
      <c r="H7660" s="10" t="inlineStr">
        <is>
          <t>発</t>
        </is>
      </c>
      <c r="J7660" s="10" t="inlineStr">
        <is>
          <t>営業</t>
        </is>
      </c>
      <c r="L7660" t="inlineStr">
        <is>
          <t>21:09:05</t>
        </is>
      </c>
      <c r="M7660" t="inlineStr">
        <is>
          <t>21:09:15</t>
        </is>
      </c>
    </row>
    <row r="7661" ht="16.5" customHeight="1" s="37">
      <c r="A7661" t="n">
        <v>21</v>
      </c>
      <c r="B7661" s="10" t="inlineStr">
        <is>
          <t>平日</t>
        </is>
      </c>
      <c r="C7661" s="10" t="inlineStr">
        <is>
          <t>北野線</t>
        </is>
      </c>
      <c r="D7661" s="10" t="inlineStr">
        <is>
          <t>下り</t>
        </is>
      </c>
      <c r="E7661" t="inlineStr">
        <is>
          <t>2151</t>
        </is>
      </c>
      <c r="F7661" t="inlineStr">
        <is>
          <t>0453</t>
        </is>
      </c>
      <c r="G7661" s="10" t="inlineStr">
        <is>
          <t>鳴滝</t>
        </is>
      </c>
      <c r="H7661" s="10" t="inlineStr">
        <is>
          <t>発</t>
        </is>
      </c>
      <c r="J7661" s="10" t="inlineStr">
        <is>
          <t>営業</t>
        </is>
      </c>
      <c r="L7661" t="inlineStr">
        <is>
          <t>21:10:35</t>
        </is>
      </c>
      <c r="M7661" t="inlineStr">
        <is>
          <t>21:10:45</t>
        </is>
      </c>
    </row>
    <row r="7662" ht="16.5" customHeight="1" s="37">
      <c r="A7662" t="n">
        <v>21</v>
      </c>
      <c r="B7662" s="10" t="inlineStr">
        <is>
          <t>平日</t>
        </is>
      </c>
      <c r="C7662" s="10" t="inlineStr">
        <is>
          <t>北野線</t>
        </is>
      </c>
      <c r="D7662" s="10" t="inlineStr">
        <is>
          <t>下り</t>
        </is>
      </c>
      <c r="E7662" t="inlineStr">
        <is>
          <t>2151</t>
        </is>
      </c>
      <c r="F7662" t="inlineStr">
        <is>
          <t>0453</t>
        </is>
      </c>
      <c r="G7662" s="10" t="inlineStr">
        <is>
          <t>常盤</t>
        </is>
      </c>
      <c r="H7662" s="10" t="inlineStr">
        <is>
          <t>発</t>
        </is>
      </c>
      <c r="J7662" s="10" t="inlineStr">
        <is>
          <t>営業</t>
        </is>
      </c>
      <c r="L7662" t="inlineStr">
        <is>
          <t>21:11:35</t>
        </is>
      </c>
      <c r="M7662" t="inlineStr">
        <is>
          <t>21:11:55</t>
        </is>
      </c>
    </row>
    <row r="7663" ht="16.5" customHeight="1" s="37">
      <c r="A7663" t="n">
        <v>21</v>
      </c>
      <c r="B7663" s="10" t="inlineStr">
        <is>
          <t>平日</t>
        </is>
      </c>
      <c r="C7663" s="10" t="inlineStr">
        <is>
          <t>北野線</t>
        </is>
      </c>
      <c r="D7663" s="10" t="inlineStr">
        <is>
          <t>下り</t>
        </is>
      </c>
      <c r="E7663" t="inlineStr">
        <is>
          <t>2151</t>
        </is>
      </c>
      <c r="F7663" t="inlineStr">
        <is>
          <t>0453</t>
        </is>
      </c>
      <c r="G7663" s="10" t="inlineStr">
        <is>
          <t>撮影所前</t>
        </is>
      </c>
      <c r="H7663" s="10" t="inlineStr">
        <is>
          <t>発</t>
        </is>
      </c>
      <c r="J7663" s="10" t="inlineStr">
        <is>
          <t>営業</t>
        </is>
      </c>
      <c r="L7663" t="inlineStr">
        <is>
          <t>21:13:15</t>
        </is>
      </c>
      <c r="M7663" t="inlineStr">
        <is>
          <t>21:13:30</t>
        </is>
      </c>
    </row>
    <row r="7664" ht="16.5" customHeight="1" s="37">
      <c r="A7664" t="n">
        <v>21</v>
      </c>
      <c r="B7664" s="10" t="inlineStr">
        <is>
          <t>平日</t>
        </is>
      </c>
      <c r="C7664" s="10" t="inlineStr">
        <is>
          <t>北野線</t>
        </is>
      </c>
      <c r="D7664" s="10" t="inlineStr">
        <is>
          <t>下り</t>
        </is>
      </c>
      <c r="E7664" t="inlineStr">
        <is>
          <t>2151</t>
        </is>
      </c>
      <c r="F7664" t="inlineStr">
        <is>
          <t>0453</t>
        </is>
      </c>
      <c r="G7664" s="10" t="inlineStr">
        <is>
          <t>帷子ノ辻</t>
        </is>
      </c>
      <c r="H7664" s="10" t="inlineStr">
        <is>
          <t>着</t>
        </is>
      </c>
      <c r="J7664" s="10" t="inlineStr">
        <is>
          <t>営業</t>
        </is>
      </c>
      <c r="L7664" t="inlineStr">
        <is>
          <t>21:14:25</t>
        </is>
      </c>
      <c r="Q7664" t="inlineStr">
        <is>
          <t>4入</t>
        </is>
      </c>
      <c r="T7664" t="inlineStr">
        <is>
          <t>○</t>
        </is>
      </c>
    </row>
    <row r="7665" ht="16.5" customHeight="1" s="37">
      <c r="A7665" t="n">
        <v>21</v>
      </c>
      <c r="B7665" s="10" t="inlineStr">
        <is>
          <t>平日</t>
        </is>
      </c>
      <c r="C7665" s="10" t="inlineStr">
        <is>
          <t>本線</t>
        </is>
      </c>
      <c r="D7665" s="10" t="inlineStr">
        <is>
          <t>下り</t>
        </is>
      </c>
      <c r="E7665" t="inlineStr">
        <is>
          <t>21系統①便乗</t>
        </is>
      </c>
      <c r="F7665" s="10" t="inlineStr">
        <is>
          <t>便乗</t>
        </is>
      </c>
      <c r="G7665" s="10" t="inlineStr">
        <is>
          <t>西院</t>
        </is>
      </c>
      <c r="H7665" s="10" t="inlineStr">
        <is>
          <t>発</t>
        </is>
      </c>
      <c r="J7665" s="10" t="inlineStr">
        <is>
          <t>便乗</t>
        </is>
      </c>
      <c r="L7665" t="inlineStr">
        <is>
          <t>10:05:50</t>
        </is>
      </c>
      <c r="M7665" t="inlineStr">
        <is>
          <t>10:06:20</t>
        </is>
      </c>
      <c r="S7665" t="inlineStr">
        <is>
          <t>1001</t>
        </is>
      </c>
    </row>
    <row r="7666" ht="16.5" customHeight="1" s="37">
      <c r="A7666" t="n">
        <v>21</v>
      </c>
      <c r="B7666" s="10" t="inlineStr">
        <is>
          <t>平日</t>
        </is>
      </c>
      <c r="C7666" s="10" t="inlineStr">
        <is>
          <t>本線</t>
        </is>
      </c>
      <c r="D7666" s="10" t="inlineStr">
        <is>
          <t>下り</t>
        </is>
      </c>
      <c r="E7666" t="inlineStr">
        <is>
          <t>21系統①便乗</t>
        </is>
      </c>
      <c r="F7666" s="10" t="inlineStr">
        <is>
          <t>便乗</t>
        </is>
      </c>
      <c r="G7666" s="10" t="inlineStr">
        <is>
          <t>西大路三条</t>
        </is>
      </c>
      <c r="H7666" s="10" t="inlineStr">
        <is>
          <t>発</t>
        </is>
      </c>
      <c r="J7666" s="10" t="inlineStr">
        <is>
          <t>便乗</t>
        </is>
      </c>
      <c r="L7666" t="inlineStr">
        <is>
          <t>10:08:10</t>
        </is>
      </c>
      <c r="M7666" t="inlineStr">
        <is>
          <t>10:08:30</t>
        </is>
      </c>
      <c r="S7666" t="inlineStr">
        <is>
          <t>1001</t>
        </is>
      </c>
    </row>
    <row r="7667" ht="16.5" customHeight="1" s="37">
      <c r="A7667" t="n">
        <v>21</v>
      </c>
      <c r="B7667" s="10" t="inlineStr">
        <is>
          <t>平日</t>
        </is>
      </c>
      <c r="C7667" s="10" t="inlineStr">
        <is>
          <t>本線</t>
        </is>
      </c>
      <c r="D7667" s="10" t="inlineStr">
        <is>
          <t>下り</t>
        </is>
      </c>
      <c r="E7667" t="inlineStr">
        <is>
          <t>21系統①便乗</t>
        </is>
      </c>
      <c r="F7667" s="10" t="inlineStr">
        <is>
          <t>便乗</t>
        </is>
      </c>
      <c r="G7667" s="10" t="inlineStr">
        <is>
          <t>山ノ内</t>
        </is>
      </c>
      <c r="H7667" s="10" t="inlineStr">
        <is>
          <t>発</t>
        </is>
      </c>
      <c r="J7667" s="10" t="inlineStr">
        <is>
          <t>便乗</t>
        </is>
      </c>
      <c r="L7667" t="inlineStr">
        <is>
          <t>10:10:25</t>
        </is>
      </c>
      <c r="M7667" t="inlineStr">
        <is>
          <t>10:10:50</t>
        </is>
      </c>
      <c r="S7667" t="inlineStr">
        <is>
          <t>1001</t>
        </is>
      </c>
    </row>
    <row r="7668" ht="16.5" customHeight="1" s="37">
      <c r="A7668" t="n">
        <v>21</v>
      </c>
      <c r="B7668" s="10" t="inlineStr">
        <is>
          <t>平日</t>
        </is>
      </c>
      <c r="C7668" s="10" t="inlineStr">
        <is>
          <t>本線</t>
        </is>
      </c>
      <c r="D7668" s="10" t="inlineStr">
        <is>
          <t>下り</t>
        </is>
      </c>
      <c r="E7668" t="inlineStr">
        <is>
          <t>21系統①便乗</t>
        </is>
      </c>
      <c r="F7668" s="10" t="inlineStr">
        <is>
          <t>便乗</t>
        </is>
      </c>
      <c r="G7668" s="10" t="inlineStr">
        <is>
          <t>天神川</t>
        </is>
      </c>
      <c r="H7668" s="10" t="inlineStr">
        <is>
          <t>発</t>
        </is>
      </c>
      <c r="J7668" s="10" t="inlineStr">
        <is>
          <t>便乗</t>
        </is>
      </c>
      <c r="L7668" t="inlineStr">
        <is>
          <t>10:12:50</t>
        </is>
      </c>
      <c r="M7668" t="inlineStr">
        <is>
          <t>10:13:30</t>
        </is>
      </c>
      <c r="S7668" t="inlineStr">
        <is>
          <t>1001</t>
        </is>
      </c>
    </row>
    <row r="7669" ht="16.5" customHeight="1" s="37">
      <c r="A7669" t="n">
        <v>21</v>
      </c>
      <c r="B7669" s="10" t="inlineStr">
        <is>
          <t>平日</t>
        </is>
      </c>
      <c r="C7669" s="10" t="inlineStr">
        <is>
          <t>本線</t>
        </is>
      </c>
      <c r="D7669" s="10" t="inlineStr">
        <is>
          <t>下り</t>
        </is>
      </c>
      <c r="E7669" t="inlineStr">
        <is>
          <t>21系統①便乗</t>
        </is>
      </c>
      <c r="F7669" s="10" t="inlineStr">
        <is>
          <t>便乗</t>
        </is>
      </c>
      <c r="G7669" s="10" t="inlineStr">
        <is>
          <t>蚕ノ社</t>
        </is>
      </c>
      <c r="H7669" s="10" t="inlineStr">
        <is>
          <t>発</t>
        </is>
      </c>
      <c r="J7669" s="10" t="inlineStr">
        <is>
          <t>便乗</t>
        </is>
      </c>
      <c r="L7669" t="inlineStr">
        <is>
          <t>10:14:20</t>
        </is>
      </c>
      <c r="M7669" t="inlineStr">
        <is>
          <t>10:14:40</t>
        </is>
      </c>
      <c r="S7669" t="inlineStr">
        <is>
          <t>1001</t>
        </is>
      </c>
    </row>
    <row r="7670" ht="16.5" customHeight="1" s="37">
      <c r="A7670" t="n">
        <v>21</v>
      </c>
      <c r="B7670" s="10" t="inlineStr">
        <is>
          <t>平日</t>
        </is>
      </c>
      <c r="C7670" s="10" t="inlineStr">
        <is>
          <t>本線</t>
        </is>
      </c>
      <c r="D7670" s="10" t="inlineStr">
        <is>
          <t>下り</t>
        </is>
      </c>
      <c r="E7670" t="inlineStr">
        <is>
          <t>21系統①便乗</t>
        </is>
      </c>
      <c r="F7670" s="10" t="inlineStr">
        <is>
          <t>便乗</t>
        </is>
      </c>
      <c r="G7670" s="10" t="inlineStr">
        <is>
          <t>太秦広隆寺</t>
        </is>
      </c>
      <c r="H7670" s="10" t="inlineStr">
        <is>
          <t>発</t>
        </is>
      </c>
      <c r="J7670" s="10" t="inlineStr">
        <is>
          <t>便乗</t>
        </is>
      </c>
      <c r="L7670" t="inlineStr">
        <is>
          <t>10:16:00</t>
        </is>
      </c>
      <c r="M7670" t="inlineStr">
        <is>
          <t>10:16:20</t>
        </is>
      </c>
      <c r="S7670" t="inlineStr">
        <is>
          <t>1001</t>
        </is>
      </c>
    </row>
    <row r="7671" ht="16.5" customHeight="1" s="37">
      <c r="A7671" t="n">
        <v>21</v>
      </c>
      <c r="B7671" s="10" t="inlineStr">
        <is>
          <t>平日</t>
        </is>
      </c>
      <c r="C7671" s="10" t="inlineStr">
        <is>
          <t>本線</t>
        </is>
      </c>
      <c r="D7671" s="10" t="inlineStr">
        <is>
          <t>下り</t>
        </is>
      </c>
      <c r="E7671" t="inlineStr">
        <is>
          <t>21系統①便乗</t>
        </is>
      </c>
      <c r="F7671" s="10" t="inlineStr">
        <is>
          <t>便乗</t>
        </is>
      </c>
      <c r="G7671" s="10" t="inlineStr">
        <is>
          <t>帷子ノ辻</t>
        </is>
      </c>
      <c r="H7671" s="10" t="inlineStr">
        <is>
          <t>着</t>
        </is>
      </c>
      <c r="J7671" s="10" t="inlineStr">
        <is>
          <t>便乗</t>
        </is>
      </c>
      <c r="L7671" t="inlineStr">
        <is>
          <t>10:18:20</t>
        </is>
      </c>
      <c r="M7671" t="inlineStr">
        <is>
          <t>10:19:40</t>
        </is>
      </c>
      <c r="S7671" t="inlineStr">
        <is>
          <t>1001</t>
        </is>
      </c>
    </row>
    <row r="7672" ht="16.5" customHeight="1" s="37">
      <c r="A7672" t="n">
        <v>21</v>
      </c>
      <c r="B7672" s="10" t="inlineStr">
        <is>
          <t>平日</t>
        </is>
      </c>
      <c r="C7672" s="10" t="inlineStr">
        <is>
          <t>本線</t>
        </is>
      </c>
      <c r="D7672" s="10" t="inlineStr">
        <is>
          <t>上り</t>
        </is>
      </c>
      <c r="E7672" t="inlineStr">
        <is>
          <t>21系統③便乗</t>
        </is>
      </c>
      <c r="F7672" s="10" t="inlineStr">
        <is>
          <t>便乗</t>
        </is>
      </c>
      <c r="G7672" s="10" t="inlineStr">
        <is>
          <t>帷子ノ辻</t>
        </is>
      </c>
      <c r="H7672" s="10" t="inlineStr">
        <is>
          <t>発</t>
        </is>
      </c>
      <c r="J7672" s="10" t="inlineStr">
        <is>
          <t>便乗</t>
        </is>
      </c>
      <c r="L7672" t="inlineStr">
        <is>
          <t>13:10:10</t>
        </is>
      </c>
      <c r="M7672" t="inlineStr">
        <is>
          <t>13:11:15</t>
        </is>
      </c>
      <c r="S7672" t="inlineStr">
        <is>
          <t>1302</t>
        </is>
      </c>
    </row>
    <row r="7673" ht="16.5" customHeight="1" s="37">
      <c r="A7673" t="n">
        <v>21</v>
      </c>
      <c r="B7673" s="10" t="inlineStr">
        <is>
          <t>平日</t>
        </is>
      </c>
      <c r="C7673" s="10" t="inlineStr">
        <is>
          <t>本線</t>
        </is>
      </c>
      <c r="D7673" s="10" t="inlineStr">
        <is>
          <t>上り</t>
        </is>
      </c>
      <c r="E7673" t="inlineStr">
        <is>
          <t>21系統③便乗</t>
        </is>
      </c>
      <c r="F7673" s="10" t="inlineStr">
        <is>
          <t>便乗</t>
        </is>
      </c>
      <c r="G7673" s="10" t="inlineStr">
        <is>
          <t>太秦広隆寺</t>
        </is>
      </c>
      <c r="H7673" s="10" t="inlineStr">
        <is>
          <t>発</t>
        </is>
      </c>
      <c r="J7673" s="10" t="inlineStr">
        <is>
          <t>便乗</t>
        </is>
      </c>
      <c r="L7673" t="inlineStr">
        <is>
          <t>13:13:25</t>
        </is>
      </c>
      <c r="M7673" t="inlineStr">
        <is>
          <t>13:13:45</t>
        </is>
      </c>
      <c r="S7673" t="inlineStr">
        <is>
          <t>1302</t>
        </is>
      </c>
    </row>
    <row r="7674" ht="16.5" customHeight="1" s="37">
      <c r="A7674" t="n">
        <v>21</v>
      </c>
      <c r="B7674" s="10" t="inlineStr">
        <is>
          <t>平日</t>
        </is>
      </c>
      <c r="C7674" s="10" t="inlineStr">
        <is>
          <t>本線</t>
        </is>
      </c>
      <c r="D7674" s="10" t="inlineStr">
        <is>
          <t>上り</t>
        </is>
      </c>
      <c r="E7674" t="inlineStr">
        <is>
          <t>21系統③便乗</t>
        </is>
      </c>
      <c r="F7674" s="10" t="inlineStr">
        <is>
          <t>便乗</t>
        </is>
      </c>
      <c r="G7674" s="10" t="inlineStr">
        <is>
          <t>蚕ノ社</t>
        </is>
      </c>
      <c r="H7674" s="10" t="inlineStr">
        <is>
          <t>発</t>
        </is>
      </c>
      <c r="J7674" s="10" t="inlineStr">
        <is>
          <t>便乗</t>
        </is>
      </c>
      <c r="L7674" t="inlineStr">
        <is>
          <t>13:15:00</t>
        </is>
      </c>
      <c r="M7674" t="inlineStr">
        <is>
          <t>13:15:20</t>
        </is>
      </c>
      <c r="S7674" t="inlineStr">
        <is>
          <t>1302</t>
        </is>
      </c>
    </row>
    <row r="7675" ht="16.5" customHeight="1" s="37">
      <c r="A7675" t="n">
        <v>21</v>
      </c>
      <c r="B7675" s="10" t="inlineStr">
        <is>
          <t>平日</t>
        </is>
      </c>
      <c r="C7675" s="10" t="inlineStr">
        <is>
          <t>本線</t>
        </is>
      </c>
      <c r="D7675" s="10" t="inlineStr">
        <is>
          <t>上り</t>
        </is>
      </c>
      <c r="E7675" t="inlineStr">
        <is>
          <t>21系統③便乗</t>
        </is>
      </c>
      <c r="F7675" s="10" t="inlineStr">
        <is>
          <t>便乗</t>
        </is>
      </c>
      <c r="G7675" s="10" t="inlineStr">
        <is>
          <t>天神川</t>
        </is>
      </c>
      <c r="H7675" s="10" t="inlineStr">
        <is>
          <t>発</t>
        </is>
      </c>
      <c r="J7675" s="10" t="inlineStr">
        <is>
          <t>便乗</t>
        </is>
      </c>
      <c r="L7675" t="inlineStr">
        <is>
          <t>13:16:05</t>
        </is>
      </c>
      <c r="M7675" t="inlineStr">
        <is>
          <t>13:16:50</t>
        </is>
      </c>
      <c r="S7675" t="inlineStr">
        <is>
          <t>1302</t>
        </is>
      </c>
    </row>
    <row r="7676" ht="16.5" customHeight="1" s="37">
      <c r="A7676" t="n">
        <v>21</v>
      </c>
      <c r="B7676" s="10" t="inlineStr">
        <is>
          <t>平日</t>
        </is>
      </c>
      <c r="C7676" s="10" t="inlineStr">
        <is>
          <t>本線</t>
        </is>
      </c>
      <c r="D7676" s="10" t="inlineStr">
        <is>
          <t>上り</t>
        </is>
      </c>
      <c r="E7676" t="inlineStr">
        <is>
          <t>21系統③便乗</t>
        </is>
      </c>
      <c r="F7676" s="10" t="inlineStr">
        <is>
          <t>便乗</t>
        </is>
      </c>
      <c r="G7676" s="10" t="inlineStr">
        <is>
          <t>山ノ内</t>
        </is>
      </c>
      <c r="H7676" s="10" t="inlineStr">
        <is>
          <t>発</t>
        </is>
      </c>
      <c r="J7676" s="10" t="inlineStr">
        <is>
          <t>便乗</t>
        </is>
      </c>
      <c r="L7676" t="inlineStr">
        <is>
          <t>13:18:40</t>
        </is>
      </c>
      <c r="M7676" t="inlineStr">
        <is>
          <t>13:19:05</t>
        </is>
      </c>
      <c r="S7676" t="inlineStr">
        <is>
          <t>1302</t>
        </is>
      </c>
    </row>
    <row r="7677" ht="16.5" customHeight="1" s="37">
      <c r="A7677" t="n">
        <v>21</v>
      </c>
      <c r="B7677" s="10" t="inlineStr">
        <is>
          <t>平日</t>
        </is>
      </c>
      <c r="C7677" s="10" t="inlineStr">
        <is>
          <t>本線</t>
        </is>
      </c>
      <c r="D7677" s="10" t="inlineStr">
        <is>
          <t>上り</t>
        </is>
      </c>
      <c r="E7677" t="inlineStr">
        <is>
          <t>21系統③便乗</t>
        </is>
      </c>
      <c r="F7677" s="10" t="inlineStr">
        <is>
          <t>便乗</t>
        </is>
      </c>
      <c r="G7677" s="10" t="inlineStr">
        <is>
          <t>西大路三条</t>
        </is>
      </c>
      <c r="H7677" s="10" t="inlineStr">
        <is>
          <t>発</t>
        </is>
      </c>
      <c r="J7677" s="10" t="inlineStr">
        <is>
          <t>便乗</t>
        </is>
      </c>
      <c r="L7677" t="inlineStr">
        <is>
          <t>13:20:55</t>
        </is>
      </c>
      <c r="M7677" t="inlineStr">
        <is>
          <t>13:21:15</t>
        </is>
      </c>
      <c r="S7677" t="inlineStr">
        <is>
          <t>1302</t>
        </is>
      </c>
    </row>
    <row r="7678" ht="16.5" customHeight="1" s="37">
      <c r="A7678" t="n">
        <v>21</v>
      </c>
      <c r="B7678" s="10" t="inlineStr">
        <is>
          <t>平日</t>
        </is>
      </c>
      <c r="C7678" s="10" t="inlineStr">
        <is>
          <t>本線</t>
        </is>
      </c>
      <c r="D7678" s="10" t="inlineStr">
        <is>
          <t>上り</t>
        </is>
      </c>
      <c r="E7678" t="inlineStr">
        <is>
          <t>21系統③便乗</t>
        </is>
      </c>
      <c r="F7678" s="10" t="inlineStr">
        <is>
          <t>便乗</t>
        </is>
      </c>
      <c r="G7678" s="10" t="inlineStr">
        <is>
          <t>西院</t>
        </is>
      </c>
      <c r="H7678" s="10" t="inlineStr">
        <is>
          <t>着</t>
        </is>
      </c>
      <c r="J7678" s="10" t="inlineStr">
        <is>
          <t>便乗</t>
        </is>
      </c>
      <c r="L7678" t="inlineStr">
        <is>
          <t>13:23:10</t>
        </is>
      </c>
      <c r="M7678" t="inlineStr">
        <is>
          <t>13:24:05</t>
        </is>
      </c>
      <c r="S7678" t="inlineStr">
        <is>
          <t>1302</t>
        </is>
      </c>
    </row>
    <row r="7679" ht="16.5" customHeight="1" s="37">
      <c r="A7679" t="n">
        <v>21</v>
      </c>
      <c r="B7679" s="10" t="inlineStr">
        <is>
          <t>平日</t>
        </is>
      </c>
      <c r="C7679" s="10" t="inlineStr">
        <is>
          <t>本線</t>
        </is>
      </c>
      <c r="D7679" s="10" t="inlineStr">
        <is>
          <t>下り</t>
        </is>
      </c>
      <c r="E7679" t="inlineStr">
        <is>
          <t>21系統⑬便乗</t>
        </is>
      </c>
      <c r="F7679" s="10" t="inlineStr">
        <is>
          <t>便乗</t>
        </is>
      </c>
      <c r="G7679" s="10" t="inlineStr">
        <is>
          <t>西院</t>
        </is>
      </c>
      <c r="H7679" s="10" t="inlineStr">
        <is>
          <t>発</t>
        </is>
      </c>
      <c r="J7679" s="10" t="inlineStr">
        <is>
          <t>便乗</t>
        </is>
      </c>
      <c r="L7679" t="inlineStr">
        <is>
          <t>16:15:50</t>
        </is>
      </c>
      <c r="M7679" t="inlineStr">
        <is>
          <t>16:16:20</t>
        </is>
      </c>
      <c r="S7679" t="inlineStr">
        <is>
          <t>連1603</t>
        </is>
      </c>
    </row>
    <row r="7680" ht="16.5" customHeight="1" s="37">
      <c r="A7680" t="n">
        <v>21</v>
      </c>
      <c r="B7680" s="10" t="inlineStr">
        <is>
          <t>平日</t>
        </is>
      </c>
      <c r="C7680" s="10" t="inlineStr">
        <is>
          <t>本線</t>
        </is>
      </c>
      <c r="D7680" s="10" t="inlineStr">
        <is>
          <t>下り</t>
        </is>
      </c>
      <c r="E7680" t="inlineStr">
        <is>
          <t>21系統⑬便乗</t>
        </is>
      </c>
      <c r="F7680" s="10" t="inlineStr">
        <is>
          <t>便乗</t>
        </is>
      </c>
      <c r="G7680" s="10" t="inlineStr">
        <is>
          <t>西大路三条</t>
        </is>
      </c>
      <c r="H7680" s="10" t="inlineStr">
        <is>
          <t>発</t>
        </is>
      </c>
      <c r="J7680" s="10" t="inlineStr">
        <is>
          <t>便乗</t>
        </is>
      </c>
      <c r="L7680" t="inlineStr">
        <is>
          <t>16:18:10</t>
        </is>
      </c>
      <c r="M7680" t="inlineStr">
        <is>
          <t>16:18:30</t>
        </is>
      </c>
      <c r="S7680" t="inlineStr">
        <is>
          <t>連1603</t>
        </is>
      </c>
    </row>
    <row r="7681" ht="16.5" customHeight="1" s="37">
      <c r="A7681" t="n">
        <v>21</v>
      </c>
      <c r="B7681" s="10" t="inlineStr">
        <is>
          <t>平日</t>
        </is>
      </c>
      <c r="C7681" s="10" t="inlineStr">
        <is>
          <t>本線</t>
        </is>
      </c>
      <c r="D7681" s="10" t="inlineStr">
        <is>
          <t>下り</t>
        </is>
      </c>
      <c r="E7681" t="inlineStr">
        <is>
          <t>21系統⑬便乗</t>
        </is>
      </c>
      <c r="F7681" s="10" t="inlineStr">
        <is>
          <t>便乗</t>
        </is>
      </c>
      <c r="G7681" s="10" t="inlineStr">
        <is>
          <t>山ノ内</t>
        </is>
      </c>
      <c r="H7681" s="10" t="inlineStr">
        <is>
          <t>発</t>
        </is>
      </c>
      <c r="J7681" s="10" t="inlineStr">
        <is>
          <t>便乗</t>
        </is>
      </c>
      <c r="L7681" t="inlineStr">
        <is>
          <t>16:20:25</t>
        </is>
      </c>
      <c r="M7681" t="inlineStr">
        <is>
          <t>16:20:50</t>
        </is>
      </c>
      <c r="S7681" t="inlineStr">
        <is>
          <t>連1603</t>
        </is>
      </c>
    </row>
    <row r="7682" ht="16.5" customHeight="1" s="37">
      <c r="A7682" t="n">
        <v>21</v>
      </c>
      <c r="B7682" s="10" t="inlineStr">
        <is>
          <t>平日</t>
        </is>
      </c>
      <c r="C7682" s="10" t="inlineStr">
        <is>
          <t>本線</t>
        </is>
      </c>
      <c r="D7682" s="10" t="inlineStr">
        <is>
          <t>下り</t>
        </is>
      </c>
      <c r="E7682" t="inlineStr">
        <is>
          <t>21系統⑬便乗</t>
        </is>
      </c>
      <c r="F7682" s="10" t="inlineStr">
        <is>
          <t>便乗</t>
        </is>
      </c>
      <c r="G7682" s="10" t="inlineStr">
        <is>
          <t>天神川</t>
        </is>
      </c>
      <c r="H7682" s="10" t="inlineStr">
        <is>
          <t>発</t>
        </is>
      </c>
      <c r="J7682" s="10" t="inlineStr">
        <is>
          <t>便乗</t>
        </is>
      </c>
      <c r="L7682" t="inlineStr">
        <is>
          <t>16:22:50</t>
        </is>
      </c>
      <c r="M7682" t="inlineStr">
        <is>
          <t>16:23:30</t>
        </is>
      </c>
      <c r="S7682" t="inlineStr">
        <is>
          <t>連1603</t>
        </is>
      </c>
    </row>
    <row r="7683" ht="16.5" customHeight="1" s="37">
      <c r="A7683" t="n">
        <v>21</v>
      </c>
      <c r="B7683" s="10" t="inlineStr">
        <is>
          <t>平日</t>
        </is>
      </c>
      <c r="C7683" s="10" t="inlineStr">
        <is>
          <t>本線</t>
        </is>
      </c>
      <c r="D7683" s="10" t="inlineStr">
        <is>
          <t>下り</t>
        </is>
      </c>
      <c r="E7683" t="inlineStr">
        <is>
          <t>21系統⑬便乗</t>
        </is>
      </c>
      <c r="F7683" s="10" t="inlineStr">
        <is>
          <t>便乗</t>
        </is>
      </c>
      <c r="G7683" s="10" t="inlineStr">
        <is>
          <t>蚕ノ社</t>
        </is>
      </c>
      <c r="H7683" s="10" t="inlineStr">
        <is>
          <t>発</t>
        </is>
      </c>
      <c r="J7683" s="10" t="inlineStr">
        <is>
          <t>便乗</t>
        </is>
      </c>
      <c r="L7683" t="inlineStr">
        <is>
          <t>16:24:20</t>
        </is>
      </c>
      <c r="M7683" t="inlineStr">
        <is>
          <t>16:24:40</t>
        </is>
      </c>
      <c r="S7683" t="inlineStr">
        <is>
          <t>連1603</t>
        </is>
      </c>
    </row>
    <row r="7684" ht="16.5" customHeight="1" s="37">
      <c r="A7684" t="n">
        <v>21</v>
      </c>
      <c r="B7684" s="10" t="inlineStr">
        <is>
          <t>平日</t>
        </is>
      </c>
      <c r="C7684" s="10" t="inlineStr">
        <is>
          <t>本線</t>
        </is>
      </c>
      <c r="D7684" s="10" t="inlineStr">
        <is>
          <t>下り</t>
        </is>
      </c>
      <c r="E7684" t="inlineStr">
        <is>
          <t>21系統⑬便乗</t>
        </is>
      </c>
      <c r="F7684" s="10" t="inlineStr">
        <is>
          <t>便乗</t>
        </is>
      </c>
      <c r="G7684" s="10" t="inlineStr">
        <is>
          <t>太秦広隆寺</t>
        </is>
      </c>
      <c r="H7684" s="10" t="inlineStr">
        <is>
          <t>発</t>
        </is>
      </c>
      <c r="J7684" s="10" t="inlineStr">
        <is>
          <t>便乗</t>
        </is>
      </c>
      <c r="L7684" t="inlineStr">
        <is>
          <t>16:26:00</t>
        </is>
      </c>
      <c r="M7684" t="inlineStr">
        <is>
          <t>16:26:20</t>
        </is>
      </c>
      <c r="S7684" t="inlineStr">
        <is>
          <t>連1603</t>
        </is>
      </c>
    </row>
    <row r="7685" ht="16.5" customHeight="1" s="37">
      <c r="A7685" t="n">
        <v>21</v>
      </c>
      <c r="B7685" s="10" t="inlineStr">
        <is>
          <t>平日</t>
        </is>
      </c>
      <c r="C7685" s="10" t="inlineStr">
        <is>
          <t>本線</t>
        </is>
      </c>
      <c r="D7685" s="10" t="inlineStr">
        <is>
          <t>下り</t>
        </is>
      </c>
      <c r="E7685" t="inlineStr">
        <is>
          <t>21系統⑬便乗</t>
        </is>
      </c>
      <c r="F7685" s="10" t="inlineStr">
        <is>
          <t>便乗</t>
        </is>
      </c>
      <c r="G7685" s="10" t="inlineStr">
        <is>
          <t>帷子ノ辻</t>
        </is>
      </c>
      <c r="H7685" s="10" t="inlineStr">
        <is>
          <t>着</t>
        </is>
      </c>
      <c r="J7685" s="10" t="inlineStr">
        <is>
          <t>便乗</t>
        </is>
      </c>
      <c r="L7685" t="inlineStr">
        <is>
          <t>16:28:20</t>
        </is>
      </c>
      <c r="M7685" t="inlineStr">
        <is>
          <t>16:29:40</t>
        </is>
      </c>
      <c r="S7685" t="inlineStr">
        <is>
          <t>連1603</t>
        </is>
      </c>
    </row>
    <row r="7686" ht="16.5" customHeight="1" s="37">
      <c r="A7686" t="n">
        <v>21</v>
      </c>
      <c r="B7686" s="10" t="inlineStr">
        <is>
          <t>平日</t>
        </is>
      </c>
      <c r="C7686" s="10" t="inlineStr">
        <is>
          <t>本線</t>
        </is>
      </c>
      <c r="D7686" s="10" t="inlineStr">
        <is>
          <t>上り</t>
        </is>
      </c>
      <c r="E7686" s="10" t="inlineStr">
        <is>
          <t>回2190</t>
        </is>
      </c>
      <c r="G7686" s="10" t="inlineStr">
        <is>
          <t>帷子ノ辻</t>
        </is>
      </c>
      <c r="H7686" s="10" t="inlineStr">
        <is>
          <t>発</t>
        </is>
      </c>
      <c r="J7686" s="10" t="inlineStr">
        <is>
          <t>回送</t>
        </is>
      </c>
      <c r="M7686" t="inlineStr">
        <is>
          <t>21:24:05</t>
        </is>
      </c>
    </row>
    <row r="7687" ht="16.5" customHeight="1" s="37">
      <c r="A7687" t="n">
        <v>21</v>
      </c>
      <c r="B7687" s="10" t="inlineStr">
        <is>
          <t>平日</t>
        </is>
      </c>
      <c r="C7687" s="10" t="inlineStr">
        <is>
          <t>本線</t>
        </is>
      </c>
      <c r="D7687" s="10" t="inlineStr">
        <is>
          <t>上り</t>
        </is>
      </c>
      <c r="E7687" s="10" t="inlineStr">
        <is>
          <t>回2190</t>
        </is>
      </c>
      <c r="G7687" s="10" t="inlineStr">
        <is>
          <t>太秦広隆寺</t>
        </is>
      </c>
      <c r="H7687" s="10" t="inlineStr">
        <is>
          <t>発</t>
        </is>
      </c>
      <c r="J7687" s="10" t="inlineStr">
        <is>
          <t>回送</t>
        </is>
      </c>
      <c r="L7687" t="inlineStr">
        <is>
          <t>21:26:15</t>
        </is>
      </c>
      <c r="M7687" t="inlineStr">
        <is>
          <t>21:26:15</t>
        </is>
      </c>
    </row>
    <row r="7688" ht="16.5" customHeight="1" s="37">
      <c r="A7688" t="n">
        <v>21</v>
      </c>
      <c r="B7688" s="10" t="inlineStr">
        <is>
          <t>平日</t>
        </is>
      </c>
      <c r="C7688" s="10" t="inlineStr">
        <is>
          <t>本線</t>
        </is>
      </c>
      <c r="D7688" s="10" t="inlineStr">
        <is>
          <t>上り</t>
        </is>
      </c>
      <c r="E7688" s="10" t="inlineStr">
        <is>
          <t>回2190</t>
        </is>
      </c>
      <c r="G7688" s="10" t="inlineStr">
        <is>
          <t>蚕ノ社</t>
        </is>
      </c>
      <c r="H7688" s="10" t="inlineStr">
        <is>
          <t>発</t>
        </is>
      </c>
      <c r="J7688" s="10" t="inlineStr">
        <is>
          <t>回送</t>
        </is>
      </c>
      <c r="L7688" t="inlineStr">
        <is>
          <t>21:27:30</t>
        </is>
      </c>
      <c r="M7688" t="inlineStr">
        <is>
          <t>21:27:30</t>
        </is>
      </c>
    </row>
    <row r="7689" ht="16.5" customHeight="1" s="37">
      <c r="A7689" t="n">
        <v>21</v>
      </c>
      <c r="B7689" s="10" t="inlineStr">
        <is>
          <t>平日</t>
        </is>
      </c>
      <c r="C7689" s="10" t="inlineStr">
        <is>
          <t>本線</t>
        </is>
      </c>
      <c r="D7689" s="10" t="inlineStr">
        <is>
          <t>上り</t>
        </is>
      </c>
      <c r="E7689" s="10" t="inlineStr">
        <is>
          <t>回2190</t>
        </is>
      </c>
      <c r="G7689" s="10" t="inlineStr">
        <is>
          <t>天神川</t>
        </is>
      </c>
      <c r="H7689" s="10" t="inlineStr">
        <is>
          <t>発</t>
        </is>
      </c>
      <c r="J7689" s="10" t="inlineStr">
        <is>
          <t>回送</t>
        </is>
      </c>
      <c r="L7689" t="inlineStr">
        <is>
          <t>21:28:15</t>
        </is>
      </c>
      <c r="M7689" t="inlineStr">
        <is>
          <t>21:28:40</t>
        </is>
      </c>
    </row>
    <row r="7690" ht="16.5" customHeight="1" s="37">
      <c r="A7690" t="n">
        <v>21</v>
      </c>
      <c r="B7690" s="10" t="inlineStr">
        <is>
          <t>平日</t>
        </is>
      </c>
      <c r="C7690" s="10" t="inlineStr">
        <is>
          <t>本線</t>
        </is>
      </c>
      <c r="D7690" s="10" t="inlineStr">
        <is>
          <t>上り</t>
        </is>
      </c>
      <c r="E7690" s="10" t="inlineStr">
        <is>
          <t>回2190</t>
        </is>
      </c>
      <c r="G7690" s="10" t="inlineStr">
        <is>
          <t>山ノ内</t>
        </is>
      </c>
      <c r="H7690" s="10" t="inlineStr">
        <is>
          <t>発</t>
        </is>
      </c>
      <c r="J7690" s="10" t="inlineStr">
        <is>
          <t>回送</t>
        </is>
      </c>
      <c r="L7690" t="inlineStr">
        <is>
          <t>21:30:30</t>
        </is>
      </c>
      <c r="M7690" t="inlineStr">
        <is>
          <t>21:30:55</t>
        </is>
      </c>
    </row>
    <row r="7691" ht="16.5" customHeight="1" s="37">
      <c r="A7691" t="n">
        <v>21</v>
      </c>
      <c r="B7691" s="10" t="inlineStr">
        <is>
          <t>平日</t>
        </is>
      </c>
      <c r="C7691" s="10" t="inlineStr">
        <is>
          <t>本線</t>
        </is>
      </c>
      <c r="D7691" s="10" t="inlineStr">
        <is>
          <t>上り</t>
        </is>
      </c>
      <c r="E7691" s="10" t="inlineStr">
        <is>
          <t>回2190</t>
        </is>
      </c>
      <c r="G7691" s="10" t="inlineStr">
        <is>
          <t>西大路三条</t>
        </is>
      </c>
      <c r="H7691" s="10" t="inlineStr">
        <is>
          <t>発</t>
        </is>
      </c>
      <c r="J7691" s="10" t="inlineStr">
        <is>
          <t>回送</t>
        </is>
      </c>
      <c r="L7691" t="inlineStr">
        <is>
          <t>21:32:45</t>
        </is>
      </c>
      <c r="M7691" t="inlineStr">
        <is>
          <t>21:32:45</t>
        </is>
      </c>
    </row>
    <row r="7692" ht="16.5" customHeight="1" s="37">
      <c r="A7692" t="n">
        <v>21</v>
      </c>
      <c r="B7692" s="10" t="inlineStr">
        <is>
          <t>平日</t>
        </is>
      </c>
      <c r="C7692" s="10" t="inlineStr">
        <is>
          <t>本線</t>
        </is>
      </c>
      <c r="D7692" s="10" t="inlineStr">
        <is>
          <t>上り</t>
        </is>
      </c>
      <c r="E7692" s="10" t="inlineStr">
        <is>
          <t>回2190</t>
        </is>
      </c>
      <c r="G7692" s="10" t="inlineStr">
        <is>
          <t>西院</t>
        </is>
      </c>
      <c r="H7692" s="10" t="inlineStr">
        <is>
          <t>着</t>
        </is>
      </c>
      <c r="J7692" s="10" t="inlineStr">
        <is>
          <t>回送</t>
        </is>
      </c>
      <c r="L7692" t="inlineStr">
        <is>
          <t>21:34:40</t>
        </is>
      </c>
    </row>
    <row r="7693" ht="16.5" customHeight="1" s="37">
      <c r="A7693" t="n">
        <v>22</v>
      </c>
      <c r="B7693" s="10" t="inlineStr">
        <is>
          <t>平日</t>
        </is>
      </c>
      <c r="C7693" s="10" t="inlineStr">
        <is>
          <t>北野線</t>
        </is>
      </c>
      <c r="D7693" s="10" t="inlineStr">
        <is>
          <t>上り</t>
        </is>
      </c>
      <c r="E7693" t="inlineStr">
        <is>
          <t>1362</t>
        </is>
      </c>
      <c r="F7693" t="inlineStr">
        <is>
          <t>0354</t>
        </is>
      </c>
      <c r="G7693" s="10" t="inlineStr">
        <is>
          <t>帷子ノ辻</t>
        </is>
      </c>
      <c r="H7693" s="10" t="inlineStr">
        <is>
          <t>発</t>
        </is>
      </c>
      <c r="J7693" s="10" t="inlineStr">
        <is>
          <t>営業</t>
        </is>
      </c>
      <c r="M7693" t="inlineStr">
        <is>
          <t>13:56:25</t>
        </is>
      </c>
      <c r="Q7693" t="inlineStr">
        <is>
          <t>3</t>
        </is>
      </c>
    </row>
    <row r="7694" ht="16.5" customHeight="1" s="37">
      <c r="A7694" t="n">
        <v>22</v>
      </c>
      <c r="B7694" s="10" t="inlineStr">
        <is>
          <t>平日</t>
        </is>
      </c>
      <c r="C7694" s="10" t="inlineStr">
        <is>
          <t>北野線</t>
        </is>
      </c>
      <c r="D7694" s="10" t="inlineStr">
        <is>
          <t>上り</t>
        </is>
      </c>
      <c r="E7694" t="inlineStr">
        <is>
          <t>1362</t>
        </is>
      </c>
      <c r="F7694" t="inlineStr">
        <is>
          <t>0354</t>
        </is>
      </c>
      <c r="G7694" s="10" t="inlineStr">
        <is>
          <t>撮影所前</t>
        </is>
      </c>
      <c r="H7694" s="10" t="inlineStr">
        <is>
          <t>発</t>
        </is>
      </c>
      <c r="J7694" s="10" t="inlineStr">
        <is>
          <t>営業</t>
        </is>
      </c>
      <c r="L7694" t="inlineStr">
        <is>
          <t>13:57:25</t>
        </is>
      </c>
      <c r="M7694" t="inlineStr">
        <is>
          <t>13:57:40</t>
        </is>
      </c>
    </row>
    <row r="7695" ht="16.5" customHeight="1" s="37">
      <c r="A7695" t="n">
        <v>22</v>
      </c>
      <c r="B7695" s="10" t="inlineStr">
        <is>
          <t>平日</t>
        </is>
      </c>
      <c r="C7695" s="10" t="inlineStr">
        <is>
          <t>北野線</t>
        </is>
      </c>
      <c r="D7695" s="10" t="inlineStr">
        <is>
          <t>上り</t>
        </is>
      </c>
      <c r="E7695" t="inlineStr">
        <is>
          <t>1362</t>
        </is>
      </c>
      <c r="F7695" t="inlineStr">
        <is>
          <t>0354</t>
        </is>
      </c>
      <c r="G7695" s="10" t="inlineStr">
        <is>
          <t>常盤</t>
        </is>
      </c>
      <c r="H7695" s="10" t="inlineStr">
        <is>
          <t>発</t>
        </is>
      </c>
      <c r="J7695" s="10" t="inlineStr">
        <is>
          <t>営業</t>
        </is>
      </c>
      <c r="L7695" t="inlineStr">
        <is>
          <t>13:59:00</t>
        </is>
      </c>
      <c r="M7695" t="inlineStr">
        <is>
          <t>13:59:20</t>
        </is>
      </c>
    </row>
    <row r="7696" ht="16.5" customHeight="1" s="37">
      <c r="A7696" t="n">
        <v>22</v>
      </c>
      <c r="B7696" s="10" t="inlineStr">
        <is>
          <t>平日</t>
        </is>
      </c>
      <c r="C7696" s="10" t="inlineStr">
        <is>
          <t>北野線</t>
        </is>
      </c>
      <c r="D7696" s="10" t="inlineStr">
        <is>
          <t>上り</t>
        </is>
      </c>
      <c r="E7696" t="inlineStr">
        <is>
          <t>1362</t>
        </is>
      </c>
      <c r="F7696" t="inlineStr">
        <is>
          <t>0354</t>
        </is>
      </c>
      <c r="G7696" s="10" t="inlineStr">
        <is>
          <t>鳴滝</t>
        </is>
      </c>
      <c r="H7696" s="10" t="inlineStr">
        <is>
          <t>発</t>
        </is>
      </c>
      <c r="J7696" s="10" t="inlineStr">
        <is>
          <t>営業</t>
        </is>
      </c>
      <c r="L7696" t="inlineStr">
        <is>
          <t>14:00:20</t>
        </is>
      </c>
      <c r="M7696" t="inlineStr">
        <is>
          <t>14:00:40</t>
        </is>
      </c>
    </row>
    <row r="7697" ht="16.5" customHeight="1" s="37">
      <c r="A7697" t="n">
        <v>22</v>
      </c>
      <c r="B7697" s="10" t="inlineStr">
        <is>
          <t>平日</t>
        </is>
      </c>
      <c r="C7697" s="10" t="inlineStr">
        <is>
          <t>北野線</t>
        </is>
      </c>
      <c r="D7697" s="10" t="inlineStr">
        <is>
          <t>上り</t>
        </is>
      </c>
      <c r="E7697" t="inlineStr">
        <is>
          <t>1362</t>
        </is>
      </c>
      <c r="F7697" t="inlineStr">
        <is>
          <t>0354</t>
        </is>
      </c>
      <c r="G7697" s="10" t="inlineStr">
        <is>
          <t>宇多野</t>
        </is>
      </c>
      <c r="H7697" s="10" t="inlineStr">
        <is>
          <t>発</t>
        </is>
      </c>
      <c r="J7697" s="10" t="inlineStr">
        <is>
          <t>営業</t>
        </is>
      </c>
      <c r="L7697" t="inlineStr">
        <is>
          <t>14:02:00</t>
        </is>
      </c>
      <c r="M7697" t="inlineStr">
        <is>
          <t>14:02:15</t>
        </is>
      </c>
    </row>
    <row r="7698" ht="16.5" customHeight="1" s="37">
      <c r="A7698" t="n">
        <v>22</v>
      </c>
      <c r="B7698" s="10" t="inlineStr">
        <is>
          <t>平日</t>
        </is>
      </c>
      <c r="C7698" s="10" t="inlineStr">
        <is>
          <t>北野線</t>
        </is>
      </c>
      <c r="D7698" s="10" t="inlineStr">
        <is>
          <t>上り</t>
        </is>
      </c>
      <c r="E7698" t="inlineStr">
        <is>
          <t>1362</t>
        </is>
      </c>
      <c r="F7698" t="inlineStr">
        <is>
          <t>0354</t>
        </is>
      </c>
      <c r="G7698" s="10" t="inlineStr">
        <is>
          <t>御室仁和寺</t>
        </is>
      </c>
      <c r="H7698" s="10" t="inlineStr">
        <is>
          <t>発</t>
        </is>
      </c>
      <c r="J7698" s="10" t="inlineStr">
        <is>
          <t>営業</t>
        </is>
      </c>
      <c r="L7698" t="inlineStr">
        <is>
          <t>14:03:15</t>
        </is>
      </c>
      <c r="M7698" t="inlineStr">
        <is>
          <t>14:03:35</t>
        </is>
      </c>
    </row>
    <row r="7699" ht="16.5" customHeight="1" s="37">
      <c r="A7699" t="n">
        <v>22</v>
      </c>
      <c r="B7699" s="10" t="inlineStr">
        <is>
          <t>平日</t>
        </is>
      </c>
      <c r="C7699" s="10" t="inlineStr">
        <is>
          <t>北野線</t>
        </is>
      </c>
      <c r="D7699" s="10" t="inlineStr">
        <is>
          <t>上り</t>
        </is>
      </c>
      <c r="E7699" t="inlineStr">
        <is>
          <t>1362</t>
        </is>
      </c>
      <c r="F7699" t="inlineStr">
        <is>
          <t>0354</t>
        </is>
      </c>
      <c r="G7699" s="10" t="inlineStr">
        <is>
          <t>妙心寺</t>
        </is>
      </c>
      <c r="H7699" s="10" t="inlineStr">
        <is>
          <t>発</t>
        </is>
      </c>
      <c r="J7699" s="10" t="inlineStr">
        <is>
          <t>営業</t>
        </is>
      </c>
      <c r="L7699" t="inlineStr">
        <is>
          <t>14:04:35</t>
        </is>
      </c>
      <c r="M7699" t="inlineStr">
        <is>
          <t>14:04:50</t>
        </is>
      </c>
    </row>
    <row r="7700" ht="16.5" customHeight="1" s="37">
      <c r="A7700" t="n">
        <v>22</v>
      </c>
      <c r="B7700" s="10" t="inlineStr">
        <is>
          <t>平日</t>
        </is>
      </c>
      <c r="C7700" s="10" t="inlineStr">
        <is>
          <t>北野線</t>
        </is>
      </c>
      <c r="D7700" s="10" t="inlineStr">
        <is>
          <t>上り</t>
        </is>
      </c>
      <c r="E7700" t="inlineStr">
        <is>
          <t>1362</t>
        </is>
      </c>
      <c r="F7700" t="inlineStr">
        <is>
          <t>0354</t>
        </is>
      </c>
      <c r="G7700" s="10" t="inlineStr">
        <is>
          <t>龍安寺</t>
        </is>
      </c>
      <c r="H7700" s="10" t="inlineStr">
        <is>
          <t>発</t>
        </is>
      </c>
      <c r="J7700" s="10" t="inlineStr">
        <is>
          <t>営業</t>
        </is>
      </c>
      <c r="L7700" t="inlineStr">
        <is>
          <t>14:05:45</t>
        </is>
      </c>
      <c r="M7700" t="inlineStr">
        <is>
          <t>14:05:55</t>
        </is>
      </c>
    </row>
    <row r="7701" ht="16.5" customHeight="1" s="37">
      <c r="A7701" t="n">
        <v>22</v>
      </c>
      <c r="B7701" s="10" t="inlineStr">
        <is>
          <t>平日</t>
        </is>
      </c>
      <c r="C7701" s="10" t="inlineStr">
        <is>
          <t>北野線</t>
        </is>
      </c>
      <c r="D7701" s="10" t="inlineStr">
        <is>
          <t>上り</t>
        </is>
      </c>
      <c r="E7701" t="inlineStr">
        <is>
          <t>1362</t>
        </is>
      </c>
      <c r="F7701" t="inlineStr">
        <is>
          <t>0354</t>
        </is>
      </c>
      <c r="G7701" s="10" t="inlineStr">
        <is>
          <t>等持院</t>
        </is>
      </c>
      <c r="H7701" s="10" t="inlineStr">
        <is>
          <t>発</t>
        </is>
      </c>
      <c r="J7701" s="10" t="inlineStr">
        <is>
          <t>営業</t>
        </is>
      </c>
      <c r="L7701" t="inlineStr">
        <is>
          <t>14:06:35</t>
        </is>
      </c>
      <c r="M7701" t="inlineStr">
        <is>
          <t>14:06:55</t>
        </is>
      </c>
    </row>
    <row r="7702" ht="16.5" customHeight="1" s="37">
      <c r="A7702" t="n">
        <v>22</v>
      </c>
      <c r="B7702" s="10" t="inlineStr">
        <is>
          <t>平日</t>
        </is>
      </c>
      <c r="C7702" s="10" t="inlineStr">
        <is>
          <t>北野線</t>
        </is>
      </c>
      <c r="D7702" s="10" t="inlineStr">
        <is>
          <t>上り</t>
        </is>
      </c>
      <c r="E7702" t="inlineStr">
        <is>
          <t>1362</t>
        </is>
      </c>
      <c r="F7702" t="inlineStr">
        <is>
          <t>0354</t>
        </is>
      </c>
      <c r="G7702" s="10" t="inlineStr">
        <is>
          <t>北野白梅町</t>
        </is>
      </c>
      <c r="H7702" s="10" t="inlineStr">
        <is>
          <t>着</t>
        </is>
      </c>
      <c r="J7702" s="10" t="inlineStr">
        <is>
          <t>営業</t>
        </is>
      </c>
      <c r="L7702" t="inlineStr">
        <is>
          <t>14:08:15</t>
        </is>
      </c>
      <c r="Q7702" t="inlineStr">
        <is>
          <t>1</t>
        </is>
      </c>
    </row>
    <row r="7703" ht="16.5" customHeight="1" s="37">
      <c r="A7703" t="n">
        <v>22</v>
      </c>
      <c r="B7703" s="10" t="inlineStr">
        <is>
          <t>平日</t>
        </is>
      </c>
      <c r="C7703" s="10" t="inlineStr">
        <is>
          <t>北野線</t>
        </is>
      </c>
      <c r="D7703" s="10" t="inlineStr">
        <is>
          <t>下り</t>
        </is>
      </c>
      <c r="E7703" t="inlineStr">
        <is>
          <t>1453</t>
        </is>
      </c>
      <c r="F7703" t="inlineStr">
        <is>
          <t>0453</t>
        </is>
      </c>
      <c r="G7703" s="10" t="inlineStr">
        <is>
          <t>北野白梅町</t>
        </is>
      </c>
      <c r="H7703" s="10" t="inlineStr">
        <is>
          <t>発</t>
        </is>
      </c>
      <c r="J7703" s="10" t="inlineStr">
        <is>
          <t>営業</t>
        </is>
      </c>
      <c r="M7703" t="inlineStr">
        <is>
          <t>14:13:00</t>
        </is>
      </c>
      <c r="Q7703" t="inlineStr">
        <is>
          <t>1</t>
        </is>
      </c>
    </row>
    <row r="7704" ht="16.5" customHeight="1" s="37">
      <c r="A7704" t="n">
        <v>22</v>
      </c>
      <c r="B7704" s="10" t="inlineStr">
        <is>
          <t>平日</t>
        </is>
      </c>
      <c r="C7704" s="10" t="inlineStr">
        <is>
          <t>北野線</t>
        </is>
      </c>
      <c r="D7704" s="10" t="inlineStr">
        <is>
          <t>下り</t>
        </is>
      </c>
      <c r="E7704" t="inlineStr">
        <is>
          <t>1453</t>
        </is>
      </c>
      <c r="F7704" t="inlineStr">
        <is>
          <t>0453</t>
        </is>
      </c>
      <c r="G7704" s="10" t="inlineStr">
        <is>
          <t>等持院</t>
        </is>
      </c>
      <c r="H7704" s="10" t="inlineStr">
        <is>
          <t>発</t>
        </is>
      </c>
      <c r="J7704" s="10" t="inlineStr">
        <is>
          <t>営業</t>
        </is>
      </c>
      <c r="L7704" t="inlineStr">
        <is>
          <t>14:14:25</t>
        </is>
      </c>
      <c r="M7704" t="inlineStr">
        <is>
          <t>14:14:35</t>
        </is>
      </c>
    </row>
    <row r="7705" ht="16.5" customHeight="1" s="37">
      <c r="A7705" t="n">
        <v>22</v>
      </c>
      <c r="B7705" s="10" t="inlineStr">
        <is>
          <t>平日</t>
        </is>
      </c>
      <c r="C7705" s="10" t="inlineStr">
        <is>
          <t>北野線</t>
        </is>
      </c>
      <c r="D7705" s="10" t="inlineStr">
        <is>
          <t>下り</t>
        </is>
      </c>
      <c r="E7705" t="inlineStr">
        <is>
          <t>1453</t>
        </is>
      </c>
      <c r="F7705" t="inlineStr">
        <is>
          <t>0453</t>
        </is>
      </c>
      <c r="G7705" s="10" t="inlineStr">
        <is>
          <t>龍安寺</t>
        </is>
      </c>
      <c r="H7705" s="10" t="inlineStr">
        <is>
          <t>発</t>
        </is>
      </c>
      <c r="J7705" s="10" t="inlineStr">
        <is>
          <t>営業</t>
        </is>
      </c>
      <c r="L7705" t="inlineStr">
        <is>
          <t>14:15:25</t>
        </is>
      </c>
      <c r="M7705" t="inlineStr">
        <is>
          <t>14:15:50</t>
        </is>
      </c>
    </row>
    <row r="7706" ht="16.5" customHeight="1" s="37">
      <c r="A7706" t="n">
        <v>22</v>
      </c>
      <c r="B7706" s="10" t="inlineStr">
        <is>
          <t>平日</t>
        </is>
      </c>
      <c r="C7706" s="10" t="inlineStr">
        <is>
          <t>北野線</t>
        </is>
      </c>
      <c r="D7706" s="10" t="inlineStr">
        <is>
          <t>下り</t>
        </is>
      </c>
      <c r="E7706" t="inlineStr">
        <is>
          <t>1453</t>
        </is>
      </c>
      <c r="F7706" t="inlineStr">
        <is>
          <t>0453</t>
        </is>
      </c>
      <c r="G7706" s="10" t="inlineStr">
        <is>
          <t>妙心寺</t>
        </is>
      </c>
      <c r="H7706" s="10" t="inlineStr">
        <is>
          <t>発</t>
        </is>
      </c>
      <c r="J7706" s="10" t="inlineStr">
        <is>
          <t>営業</t>
        </is>
      </c>
      <c r="L7706" t="inlineStr">
        <is>
          <t>14:16:40</t>
        </is>
      </c>
      <c r="M7706" t="inlineStr">
        <is>
          <t>14:16:50</t>
        </is>
      </c>
    </row>
    <row r="7707" ht="16.5" customHeight="1" s="37">
      <c r="A7707" t="n">
        <v>22</v>
      </c>
      <c r="B7707" s="10" t="inlineStr">
        <is>
          <t>平日</t>
        </is>
      </c>
      <c r="C7707" s="10" t="inlineStr">
        <is>
          <t>北野線</t>
        </is>
      </c>
      <c r="D7707" s="10" t="inlineStr">
        <is>
          <t>下り</t>
        </is>
      </c>
      <c r="E7707" t="inlineStr">
        <is>
          <t>1453</t>
        </is>
      </c>
      <c r="F7707" t="inlineStr">
        <is>
          <t>0453</t>
        </is>
      </c>
      <c r="G7707" s="10" t="inlineStr">
        <is>
          <t>御室仁和寺</t>
        </is>
      </c>
      <c r="H7707" s="10" t="inlineStr">
        <is>
          <t>発</t>
        </is>
      </c>
      <c r="J7707" s="10" t="inlineStr">
        <is>
          <t>営業</t>
        </is>
      </c>
      <c r="L7707" t="inlineStr">
        <is>
          <t>14:17:50</t>
        </is>
      </c>
      <c r="M7707" t="inlineStr">
        <is>
          <t>14:18:05</t>
        </is>
      </c>
    </row>
    <row r="7708" ht="16.5" customHeight="1" s="37">
      <c r="A7708" t="n">
        <v>22</v>
      </c>
      <c r="B7708" s="10" t="inlineStr">
        <is>
          <t>平日</t>
        </is>
      </c>
      <c r="C7708" s="10" t="inlineStr">
        <is>
          <t>北野線</t>
        </is>
      </c>
      <c r="D7708" s="10" t="inlineStr">
        <is>
          <t>下り</t>
        </is>
      </c>
      <c r="E7708" t="inlineStr">
        <is>
          <t>1453</t>
        </is>
      </c>
      <c r="F7708" t="inlineStr">
        <is>
          <t>0453</t>
        </is>
      </c>
      <c r="G7708" s="10" t="inlineStr">
        <is>
          <t>宇多野</t>
        </is>
      </c>
      <c r="H7708" s="10" t="inlineStr">
        <is>
          <t>発</t>
        </is>
      </c>
      <c r="J7708" s="10" t="inlineStr">
        <is>
          <t>営業</t>
        </is>
      </c>
      <c r="L7708" t="inlineStr">
        <is>
          <t>14:19:05</t>
        </is>
      </c>
      <c r="M7708" t="inlineStr">
        <is>
          <t>14:19:15</t>
        </is>
      </c>
    </row>
    <row r="7709" ht="16.5" customHeight="1" s="37">
      <c r="A7709" t="n">
        <v>22</v>
      </c>
      <c r="B7709" s="10" t="inlineStr">
        <is>
          <t>平日</t>
        </is>
      </c>
      <c r="C7709" s="10" t="inlineStr">
        <is>
          <t>北野線</t>
        </is>
      </c>
      <c r="D7709" s="10" t="inlineStr">
        <is>
          <t>下り</t>
        </is>
      </c>
      <c r="E7709" t="inlineStr">
        <is>
          <t>1453</t>
        </is>
      </c>
      <c r="F7709" t="inlineStr">
        <is>
          <t>0453</t>
        </is>
      </c>
      <c r="G7709" s="10" t="inlineStr">
        <is>
          <t>鳴滝</t>
        </is>
      </c>
      <c r="H7709" s="10" t="inlineStr">
        <is>
          <t>発</t>
        </is>
      </c>
      <c r="J7709" s="10" t="inlineStr">
        <is>
          <t>営業</t>
        </is>
      </c>
      <c r="L7709" t="inlineStr">
        <is>
          <t>14:20:35</t>
        </is>
      </c>
      <c r="M7709" t="inlineStr">
        <is>
          <t>14:20:45</t>
        </is>
      </c>
    </row>
    <row r="7710" ht="16.5" customHeight="1" s="37">
      <c r="A7710" t="n">
        <v>22</v>
      </c>
      <c r="B7710" s="10" t="inlineStr">
        <is>
          <t>平日</t>
        </is>
      </c>
      <c r="C7710" s="10" t="inlineStr">
        <is>
          <t>北野線</t>
        </is>
      </c>
      <c r="D7710" s="10" t="inlineStr">
        <is>
          <t>下り</t>
        </is>
      </c>
      <c r="E7710" t="inlineStr">
        <is>
          <t>1453</t>
        </is>
      </c>
      <c r="F7710" t="inlineStr">
        <is>
          <t>0453</t>
        </is>
      </c>
      <c r="G7710" s="10" t="inlineStr">
        <is>
          <t>常盤</t>
        </is>
      </c>
      <c r="H7710" s="10" t="inlineStr">
        <is>
          <t>発</t>
        </is>
      </c>
      <c r="J7710" s="10" t="inlineStr">
        <is>
          <t>営業</t>
        </is>
      </c>
      <c r="L7710" t="inlineStr">
        <is>
          <t>14:21:35</t>
        </is>
      </c>
      <c r="M7710" t="inlineStr">
        <is>
          <t>14:21:55</t>
        </is>
      </c>
    </row>
    <row r="7711" ht="16.5" customHeight="1" s="37">
      <c r="A7711" t="n">
        <v>22</v>
      </c>
      <c r="B7711" s="10" t="inlineStr">
        <is>
          <t>平日</t>
        </is>
      </c>
      <c r="C7711" s="10" t="inlineStr">
        <is>
          <t>北野線</t>
        </is>
      </c>
      <c r="D7711" s="10" t="inlineStr">
        <is>
          <t>下り</t>
        </is>
      </c>
      <c r="E7711" t="inlineStr">
        <is>
          <t>1453</t>
        </is>
      </c>
      <c r="F7711" t="inlineStr">
        <is>
          <t>0453</t>
        </is>
      </c>
      <c r="G7711" s="10" t="inlineStr">
        <is>
          <t>撮影所前</t>
        </is>
      </c>
      <c r="H7711" s="10" t="inlineStr">
        <is>
          <t>発</t>
        </is>
      </c>
      <c r="J7711" s="10" t="inlineStr">
        <is>
          <t>営業</t>
        </is>
      </c>
      <c r="L7711" t="inlineStr">
        <is>
          <t>14:23:15</t>
        </is>
      </c>
      <c r="M7711" t="inlineStr">
        <is>
          <t>14:23:30</t>
        </is>
      </c>
    </row>
    <row r="7712" ht="16.5" customHeight="1" s="37">
      <c r="A7712" t="n">
        <v>22</v>
      </c>
      <c r="B7712" s="10" t="inlineStr">
        <is>
          <t>平日</t>
        </is>
      </c>
      <c r="C7712" s="10" t="inlineStr">
        <is>
          <t>北野線</t>
        </is>
      </c>
      <c r="D7712" s="10" t="inlineStr">
        <is>
          <t>下り</t>
        </is>
      </c>
      <c r="E7712" t="inlineStr">
        <is>
          <t>1453</t>
        </is>
      </c>
      <c r="F7712" t="inlineStr">
        <is>
          <t>0453</t>
        </is>
      </c>
      <c r="G7712" s="10" t="inlineStr">
        <is>
          <t>帷子ノ辻</t>
        </is>
      </c>
      <c r="H7712" s="10" t="inlineStr">
        <is>
          <t>着</t>
        </is>
      </c>
      <c r="J7712" s="10" t="inlineStr">
        <is>
          <t>営業</t>
        </is>
      </c>
      <c r="L7712" t="inlineStr">
        <is>
          <t>14:24:25</t>
        </is>
      </c>
      <c r="Q7712" t="inlineStr">
        <is>
          <t>3</t>
        </is>
      </c>
    </row>
    <row r="7713" ht="16.5" customHeight="1" s="37">
      <c r="A7713" t="n">
        <v>22</v>
      </c>
      <c r="B7713" s="10" t="inlineStr">
        <is>
          <t>平日</t>
        </is>
      </c>
      <c r="C7713" s="10" t="inlineStr">
        <is>
          <t>北野線</t>
        </is>
      </c>
      <c r="D7713" s="10" t="inlineStr">
        <is>
          <t>上り</t>
        </is>
      </c>
      <c r="E7713" t="inlineStr">
        <is>
          <t>1458</t>
        </is>
      </c>
      <c r="F7713" t="inlineStr">
        <is>
          <t>0354</t>
        </is>
      </c>
      <c r="G7713" s="10" t="inlineStr">
        <is>
          <t>帷子ノ辻</t>
        </is>
      </c>
      <c r="H7713" s="10" t="inlineStr">
        <is>
          <t>発</t>
        </is>
      </c>
      <c r="J7713" s="10" t="inlineStr">
        <is>
          <t>営業</t>
        </is>
      </c>
      <c r="M7713" t="inlineStr">
        <is>
          <t>14:36:25</t>
        </is>
      </c>
      <c r="Q7713" t="inlineStr">
        <is>
          <t>3</t>
        </is>
      </c>
    </row>
    <row r="7714" ht="16.5" customHeight="1" s="37">
      <c r="A7714" t="n">
        <v>22</v>
      </c>
      <c r="B7714" s="10" t="inlineStr">
        <is>
          <t>平日</t>
        </is>
      </c>
      <c r="C7714" s="10" t="inlineStr">
        <is>
          <t>北野線</t>
        </is>
      </c>
      <c r="D7714" s="10" t="inlineStr">
        <is>
          <t>上り</t>
        </is>
      </c>
      <c r="E7714" t="inlineStr">
        <is>
          <t>1458</t>
        </is>
      </c>
      <c r="F7714" t="inlineStr">
        <is>
          <t>0354</t>
        </is>
      </c>
      <c r="G7714" s="10" t="inlineStr">
        <is>
          <t>撮影所前</t>
        </is>
      </c>
      <c r="H7714" s="10" t="inlineStr">
        <is>
          <t>発</t>
        </is>
      </c>
      <c r="J7714" s="10" t="inlineStr">
        <is>
          <t>営業</t>
        </is>
      </c>
      <c r="L7714" t="inlineStr">
        <is>
          <t>14:37:25</t>
        </is>
      </c>
      <c r="M7714" t="inlineStr">
        <is>
          <t>14:37:40</t>
        </is>
      </c>
    </row>
    <row r="7715" ht="16.5" customHeight="1" s="37">
      <c r="A7715" t="n">
        <v>22</v>
      </c>
      <c r="B7715" s="10" t="inlineStr">
        <is>
          <t>平日</t>
        </is>
      </c>
      <c r="C7715" s="10" t="inlineStr">
        <is>
          <t>北野線</t>
        </is>
      </c>
      <c r="D7715" s="10" t="inlineStr">
        <is>
          <t>上り</t>
        </is>
      </c>
      <c r="E7715" t="inlineStr">
        <is>
          <t>1458</t>
        </is>
      </c>
      <c r="F7715" t="inlineStr">
        <is>
          <t>0354</t>
        </is>
      </c>
      <c r="G7715" s="10" t="inlineStr">
        <is>
          <t>常盤</t>
        </is>
      </c>
      <c r="H7715" s="10" t="inlineStr">
        <is>
          <t>発</t>
        </is>
      </c>
      <c r="J7715" s="10" t="inlineStr">
        <is>
          <t>営業</t>
        </is>
      </c>
      <c r="L7715" t="inlineStr">
        <is>
          <t>14:39:00</t>
        </is>
      </c>
      <c r="M7715" t="inlineStr">
        <is>
          <t>14:39:20</t>
        </is>
      </c>
    </row>
    <row r="7716" ht="16.5" customHeight="1" s="37">
      <c r="A7716" t="n">
        <v>22</v>
      </c>
      <c r="B7716" s="10" t="inlineStr">
        <is>
          <t>平日</t>
        </is>
      </c>
      <c r="C7716" s="10" t="inlineStr">
        <is>
          <t>北野線</t>
        </is>
      </c>
      <c r="D7716" s="10" t="inlineStr">
        <is>
          <t>上り</t>
        </is>
      </c>
      <c r="E7716" t="inlineStr">
        <is>
          <t>1458</t>
        </is>
      </c>
      <c r="F7716" t="inlineStr">
        <is>
          <t>0354</t>
        </is>
      </c>
      <c r="G7716" s="10" t="inlineStr">
        <is>
          <t>鳴滝</t>
        </is>
      </c>
      <c r="H7716" s="10" t="inlineStr">
        <is>
          <t>発</t>
        </is>
      </c>
      <c r="J7716" s="10" t="inlineStr">
        <is>
          <t>営業</t>
        </is>
      </c>
      <c r="L7716" t="inlineStr">
        <is>
          <t>14:40:20</t>
        </is>
      </c>
      <c r="M7716" t="inlineStr">
        <is>
          <t>14:40:40</t>
        </is>
      </c>
    </row>
    <row r="7717" ht="16.5" customHeight="1" s="37">
      <c r="A7717" t="n">
        <v>22</v>
      </c>
      <c r="B7717" s="10" t="inlineStr">
        <is>
          <t>平日</t>
        </is>
      </c>
      <c r="C7717" s="10" t="inlineStr">
        <is>
          <t>北野線</t>
        </is>
      </c>
      <c r="D7717" s="10" t="inlineStr">
        <is>
          <t>上り</t>
        </is>
      </c>
      <c r="E7717" t="inlineStr">
        <is>
          <t>1458</t>
        </is>
      </c>
      <c r="F7717" t="inlineStr">
        <is>
          <t>0354</t>
        </is>
      </c>
      <c r="G7717" s="10" t="inlineStr">
        <is>
          <t>宇多野</t>
        </is>
      </c>
      <c r="H7717" s="10" t="inlineStr">
        <is>
          <t>発</t>
        </is>
      </c>
      <c r="J7717" s="10" t="inlineStr">
        <is>
          <t>営業</t>
        </is>
      </c>
      <c r="L7717" t="inlineStr">
        <is>
          <t>14:42:00</t>
        </is>
      </c>
      <c r="M7717" t="inlineStr">
        <is>
          <t>14:42:15</t>
        </is>
      </c>
    </row>
    <row r="7718" ht="16.5" customHeight="1" s="37">
      <c r="A7718" t="n">
        <v>22</v>
      </c>
      <c r="B7718" s="10" t="inlineStr">
        <is>
          <t>平日</t>
        </is>
      </c>
      <c r="C7718" s="10" t="inlineStr">
        <is>
          <t>北野線</t>
        </is>
      </c>
      <c r="D7718" s="10" t="inlineStr">
        <is>
          <t>上り</t>
        </is>
      </c>
      <c r="E7718" t="inlineStr">
        <is>
          <t>1458</t>
        </is>
      </c>
      <c r="F7718" t="inlineStr">
        <is>
          <t>0354</t>
        </is>
      </c>
      <c r="G7718" s="10" t="inlineStr">
        <is>
          <t>御室仁和寺</t>
        </is>
      </c>
      <c r="H7718" s="10" t="inlineStr">
        <is>
          <t>発</t>
        </is>
      </c>
      <c r="J7718" s="10" t="inlineStr">
        <is>
          <t>営業</t>
        </is>
      </c>
      <c r="L7718" t="inlineStr">
        <is>
          <t>14:43:15</t>
        </is>
      </c>
      <c r="M7718" t="inlineStr">
        <is>
          <t>14:43:35</t>
        </is>
      </c>
    </row>
    <row r="7719" ht="16.5" customHeight="1" s="37">
      <c r="A7719" t="n">
        <v>22</v>
      </c>
      <c r="B7719" s="10" t="inlineStr">
        <is>
          <t>平日</t>
        </is>
      </c>
      <c r="C7719" s="10" t="inlineStr">
        <is>
          <t>北野線</t>
        </is>
      </c>
      <c r="D7719" s="10" t="inlineStr">
        <is>
          <t>上り</t>
        </is>
      </c>
      <c r="E7719" t="inlineStr">
        <is>
          <t>1458</t>
        </is>
      </c>
      <c r="F7719" t="inlineStr">
        <is>
          <t>0354</t>
        </is>
      </c>
      <c r="G7719" s="10" t="inlineStr">
        <is>
          <t>妙心寺</t>
        </is>
      </c>
      <c r="H7719" s="10" t="inlineStr">
        <is>
          <t>発</t>
        </is>
      </c>
      <c r="J7719" s="10" t="inlineStr">
        <is>
          <t>営業</t>
        </is>
      </c>
      <c r="L7719" t="inlineStr">
        <is>
          <t>14:44:35</t>
        </is>
      </c>
      <c r="M7719" t="inlineStr">
        <is>
          <t>14:44:50</t>
        </is>
      </c>
    </row>
    <row r="7720" ht="16.5" customHeight="1" s="37">
      <c r="A7720" t="n">
        <v>22</v>
      </c>
      <c r="B7720" s="10" t="inlineStr">
        <is>
          <t>平日</t>
        </is>
      </c>
      <c r="C7720" s="10" t="inlineStr">
        <is>
          <t>北野線</t>
        </is>
      </c>
      <c r="D7720" s="10" t="inlineStr">
        <is>
          <t>上り</t>
        </is>
      </c>
      <c r="E7720" t="inlineStr">
        <is>
          <t>1458</t>
        </is>
      </c>
      <c r="F7720" t="inlineStr">
        <is>
          <t>0354</t>
        </is>
      </c>
      <c r="G7720" s="10" t="inlineStr">
        <is>
          <t>龍安寺</t>
        </is>
      </c>
      <c r="H7720" s="10" t="inlineStr">
        <is>
          <t>発</t>
        </is>
      </c>
      <c r="J7720" s="10" t="inlineStr">
        <is>
          <t>営業</t>
        </is>
      </c>
      <c r="L7720" t="inlineStr">
        <is>
          <t>14:45:45</t>
        </is>
      </c>
      <c r="M7720" t="inlineStr">
        <is>
          <t>14:45:55</t>
        </is>
      </c>
    </row>
    <row r="7721" ht="16.5" customHeight="1" s="37">
      <c r="A7721" t="n">
        <v>22</v>
      </c>
      <c r="B7721" s="10" t="inlineStr">
        <is>
          <t>平日</t>
        </is>
      </c>
      <c r="C7721" s="10" t="inlineStr">
        <is>
          <t>北野線</t>
        </is>
      </c>
      <c r="D7721" s="10" t="inlineStr">
        <is>
          <t>上り</t>
        </is>
      </c>
      <c r="E7721" t="inlineStr">
        <is>
          <t>1458</t>
        </is>
      </c>
      <c r="F7721" t="inlineStr">
        <is>
          <t>0354</t>
        </is>
      </c>
      <c r="G7721" s="10" t="inlineStr">
        <is>
          <t>等持院</t>
        </is>
      </c>
      <c r="H7721" s="10" t="inlineStr">
        <is>
          <t>発</t>
        </is>
      </c>
      <c r="J7721" s="10" t="inlineStr">
        <is>
          <t>営業</t>
        </is>
      </c>
      <c r="L7721" t="inlineStr">
        <is>
          <t>14:46:35</t>
        </is>
      </c>
      <c r="M7721" t="inlineStr">
        <is>
          <t>14:46:55</t>
        </is>
      </c>
    </row>
    <row r="7722" ht="16.5" customHeight="1" s="37">
      <c r="A7722" t="n">
        <v>22</v>
      </c>
      <c r="B7722" s="10" t="inlineStr">
        <is>
          <t>平日</t>
        </is>
      </c>
      <c r="C7722" s="10" t="inlineStr">
        <is>
          <t>北野線</t>
        </is>
      </c>
      <c r="D7722" s="10" t="inlineStr">
        <is>
          <t>上り</t>
        </is>
      </c>
      <c r="E7722" t="inlineStr">
        <is>
          <t>1458</t>
        </is>
      </c>
      <c r="F7722" t="inlineStr">
        <is>
          <t>0354</t>
        </is>
      </c>
      <c r="G7722" s="10" t="inlineStr">
        <is>
          <t>北野白梅町</t>
        </is>
      </c>
      <c r="H7722" s="10" t="inlineStr">
        <is>
          <t>着</t>
        </is>
      </c>
      <c r="J7722" s="10" t="inlineStr">
        <is>
          <t>営業</t>
        </is>
      </c>
      <c r="L7722" t="inlineStr">
        <is>
          <t>14:48:15</t>
        </is>
      </c>
      <c r="Q7722" t="inlineStr">
        <is>
          <t>1</t>
        </is>
      </c>
    </row>
    <row r="7723" ht="16.5" customHeight="1" s="37">
      <c r="A7723" t="n">
        <v>22</v>
      </c>
      <c r="B7723" s="10" t="inlineStr">
        <is>
          <t>平日</t>
        </is>
      </c>
      <c r="C7723" s="10" t="inlineStr">
        <is>
          <t>北野線</t>
        </is>
      </c>
      <c r="D7723" s="10" t="inlineStr">
        <is>
          <t>下り</t>
        </is>
      </c>
      <c r="E7723" t="inlineStr">
        <is>
          <t>1461</t>
        </is>
      </c>
      <c r="F7723" t="inlineStr">
        <is>
          <t>0453</t>
        </is>
      </c>
      <c r="G7723" s="10" t="inlineStr">
        <is>
          <t>北野白梅町</t>
        </is>
      </c>
      <c r="H7723" s="10" t="inlineStr">
        <is>
          <t>発</t>
        </is>
      </c>
      <c r="J7723" s="10" t="inlineStr">
        <is>
          <t>営業</t>
        </is>
      </c>
      <c r="M7723" t="inlineStr">
        <is>
          <t>14:53:00</t>
        </is>
      </c>
      <c r="Q7723" t="inlineStr">
        <is>
          <t>1</t>
        </is>
      </c>
    </row>
    <row r="7724" ht="16.5" customHeight="1" s="37">
      <c r="A7724" t="n">
        <v>22</v>
      </c>
      <c r="B7724" s="10" t="inlineStr">
        <is>
          <t>平日</t>
        </is>
      </c>
      <c r="C7724" s="10" t="inlineStr">
        <is>
          <t>北野線</t>
        </is>
      </c>
      <c r="D7724" s="10" t="inlineStr">
        <is>
          <t>下り</t>
        </is>
      </c>
      <c r="E7724" t="inlineStr">
        <is>
          <t>1461</t>
        </is>
      </c>
      <c r="F7724" t="inlineStr">
        <is>
          <t>0453</t>
        </is>
      </c>
      <c r="G7724" s="10" t="inlineStr">
        <is>
          <t>等持院</t>
        </is>
      </c>
      <c r="H7724" s="10" t="inlineStr">
        <is>
          <t>発</t>
        </is>
      </c>
      <c r="J7724" s="10" t="inlineStr">
        <is>
          <t>営業</t>
        </is>
      </c>
      <c r="L7724" t="inlineStr">
        <is>
          <t>14:54:25</t>
        </is>
      </c>
      <c r="M7724" t="inlineStr">
        <is>
          <t>14:54:35</t>
        </is>
      </c>
    </row>
    <row r="7725" ht="16.5" customHeight="1" s="37">
      <c r="A7725" t="n">
        <v>22</v>
      </c>
      <c r="B7725" s="10" t="inlineStr">
        <is>
          <t>平日</t>
        </is>
      </c>
      <c r="C7725" s="10" t="inlineStr">
        <is>
          <t>北野線</t>
        </is>
      </c>
      <c r="D7725" s="10" t="inlineStr">
        <is>
          <t>下り</t>
        </is>
      </c>
      <c r="E7725" t="inlineStr">
        <is>
          <t>1461</t>
        </is>
      </c>
      <c r="F7725" t="inlineStr">
        <is>
          <t>0453</t>
        </is>
      </c>
      <c r="G7725" s="10" t="inlineStr">
        <is>
          <t>龍安寺</t>
        </is>
      </c>
      <c r="H7725" s="10" t="inlineStr">
        <is>
          <t>発</t>
        </is>
      </c>
      <c r="J7725" s="10" t="inlineStr">
        <is>
          <t>営業</t>
        </is>
      </c>
      <c r="L7725" t="inlineStr">
        <is>
          <t>14:55:25</t>
        </is>
      </c>
      <c r="M7725" t="inlineStr">
        <is>
          <t>14:55:50</t>
        </is>
      </c>
    </row>
    <row r="7726" ht="16.5" customHeight="1" s="37">
      <c r="A7726" t="n">
        <v>22</v>
      </c>
      <c r="B7726" s="10" t="inlineStr">
        <is>
          <t>平日</t>
        </is>
      </c>
      <c r="C7726" s="10" t="inlineStr">
        <is>
          <t>北野線</t>
        </is>
      </c>
      <c r="D7726" s="10" t="inlineStr">
        <is>
          <t>下り</t>
        </is>
      </c>
      <c r="E7726" t="inlineStr">
        <is>
          <t>1461</t>
        </is>
      </c>
      <c r="F7726" t="inlineStr">
        <is>
          <t>0453</t>
        </is>
      </c>
      <c r="G7726" s="10" t="inlineStr">
        <is>
          <t>妙心寺</t>
        </is>
      </c>
      <c r="H7726" s="10" t="inlineStr">
        <is>
          <t>発</t>
        </is>
      </c>
      <c r="J7726" s="10" t="inlineStr">
        <is>
          <t>営業</t>
        </is>
      </c>
      <c r="L7726" t="inlineStr">
        <is>
          <t>14:56:40</t>
        </is>
      </c>
      <c r="M7726" t="inlineStr">
        <is>
          <t>14:56:50</t>
        </is>
      </c>
    </row>
    <row r="7727" ht="16.5" customHeight="1" s="37">
      <c r="A7727" t="n">
        <v>22</v>
      </c>
      <c r="B7727" s="10" t="inlineStr">
        <is>
          <t>平日</t>
        </is>
      </c>
      <c r="C7727" s="10" t="inlineStr">
        <is>
          <t>北野線</t>
        </is>
      </c>
      <c r="D7727" s="10" t="inlineStr">
        <is>
          <t>下り</t>
        </is>
      </c>
      <c r="E7727" t="inlineStr">
        <is>
          <t>1461</t>
        </is>
      </c>
      <c r="F7727" t="inlineStr">
        <is>
          <t>0453</t>
        </is>
      </c>
      <c r="G7727" s="10" t="inlineStr">
        <is>
          <t>御室仁和寺</t>
        </is>
      </c>
      <c r="H7727" s="10" t="inlineStr">
        <is>
          <t>発</t>
        </is>
      </c>
      <c r="J7727" s="10" t="inlineStr">
        <is>
          <t>営業</t>
        </is>
      </c>
      <c r="L7727" t="inlineStr">
        <is>
          <t>14:57:50</t>
        </is>
      </c>
      <c r="M7727" t="inlineStr">
        <is>
          <t>14:58:05</t>
        </is>
      </c>
    </row>
    <row r="7728" ht="16.5" customHeight="1" s="37">
      <c r="A7728" t="n">
        <v>22</v>
      </c>
      <c r="B7728" s="10" t="inlineStr">
        <is>
          <t>平日</t>
        </is>
      </c>
      <c r="C7728" s="10" t="inlineStr">
        <is>
          <t>北野線</t>
        </is>
      </c>
      <c r="D7728" s="10" t="inlineStr">
        <is>
          <t>下り</t>
        </is>
      </c>
      <c r="E7728" t="inlineStr">
        <is>
          <t>1461</t>
        </is>
      </c>
      <c r="F7728" t="inlineStr">
        <is>
          <t>0453</t>
        </is>
      </c>
      <c r="G7728" s="10" t="inlineStr">
        <is>
          <t>宇多野</t>
        </is>
      </c>
      <c r="H7728" s="10" t="inlineStr">
        <is>
          <t>発</t>
        </is>
      </c>
      <c r="J7728" s="10" t="inlineStr">
        <is>
          <t>営業</t>
        </is>
      </c>
      <c r="L7728" t="inlineStr">
        <is>
          <t>14:59:05</t>
        </is>
      </c>
      <c r="M7728" t="inlineStr">
        <is>
          <t>14:59:15</t>
        </is>
      </c>
    </row>
    <row r="7729" ht="16.5" customHeight="1" s="37">
      <c r="A7729" t="n">
        <v>22</v>
      </c>
      <c r="B7729" s="10" t="inlineStr">
        <is>
          <t>平日</t>
        </is>
      </c>
      <c r="C7729" s="10" t="inlineStr">
        <is>
          <t>北野線</t>
        </is>
      </c>
      <c r="D7729" s="10" t="inlineStr">
        <is>
          <t>下り</t>
        </is>
      </c>
      <c r="E7729" t="inlineStr">
        <is>
          <t>1461</t>
        </is>
      </c>
      <c r="F7729" t="inlineStr">
        <is>
          <t>0453</t>
        </is>
      </c>
      <c r="G7729" s="10" t="inlineStr">
        <is>
          <t>鳴滝</t>
        </is>
      </c>
      <c r="H7729" s="10" t="inlineStr">
        <is>
          <t>発</t>
        </is>
      </c>
      <c r="J7729" s="10" t="inlineStr">
        <is>
          <t>営業</t>
        </is>
      </c>
      <c r="L7729" t="inlineStr">
        <is>
          <t>15:00:35</t>
        </is>
      </c>
      <c r="M7729" t="inlineStr">
        <is>
          <t>15:00:45</t>
        </is>
      </c>
    </row>
    <row r="7730" ht="16.5" customHeight="1" s="37">
      <c r="A7730" t="n">
        <v>22</v>
      </c>
      <c r="B7730" s="10" t="inlineStr">
        <is>
          <t>平日</t>
        </is>
      </c>
      <c r="C7730" s="10" t="inlineStr">
        <is>
          <t>北野線</t>
        </is>
      </c>
      <c r="D7730" s="10" t="inlineStr">
        <is>
          <t>下り</t>
        </is>
      </c>
      <c r="E7730" t="inlineStr">
        <is>
          <t>1461</t>
        </is>
      </c>
      <c r="F7730" t="inlineStr">
        <is>
          <t>0453</t>
        </is>
      </c>
      <c r="G7730" s="10" t="inlineStr">
        <is>
          <t>常盤</t>
        </is>
      </c>
      <c r="H7730" s="10" t="inlineStr">
        <is>
          <t>発</t>
        </is>
      </c>
      <c r="J7730" s="10" t="inlineStr">
        <is>
          <t>営業</t>
        </is>
      </c>
      <c r="L7730" t="inlineStr">
        <is>
          <t>15:01:35</t>
        </is>
      </c>
      <c r="M7730" t="inlineStr">
        <is>
          <t>15:01:55</t>
        </is>
      </c>
    </row>
    <row r="7731" ht="16.5" customHeight="1" s="37">
      <c r="A7731" t="n">
        <v>22</v>
      </c>
      <c r="B7731" s="10" t="inlineStr">
        <is>
          <t>平日</t>
        </is>
      </c>
      <c r="C7731" s="10" t="inlineStr">
        <is>
          <t>北野線</t>
        </is>
      </c>
      <c r="D7731" s="10" t="inlineStr">
        <is>
          <t>下り</t>
        </is>
      </c>
      <c r="E7731" t="inlineStr">
        <is>
          <t>1461</t>
        </is>
      </c>
      <c r="F7731" t="inlineStr">
        <is>
          <t>0453</t>
        </is>
      </c>
      <c r="G7731" s="10" t="inlineStr">
        <is>
          <t>撮影所前</t>
        </is>
      </c>
      <c r="H7731" s="10" t="inlineStr">
        <is>
          <t>発</t>
        </is>
      </c>
      <c r="J7731" s="10" t="inlineStr">
        <is>
          <t>営業</t>
        </is>
      </c>
      <c r="L7731" t="inlineStr">
        <is>
          <t>15:03:15</t>
        </is>
      </c>
      <c r="M7731" t="inlineStr">
        <is>
          <t>15:03:30</t>
        </is>
      </c>
    </row>
    <row r="7732" ht="16.5" customHeight="1" s="37">
      <c r="A7732" t="n">
        <v>22</v>
      </c>
      <c r="B7732" s="10" t="inlineStr">
        <is>
          <t>平日</t>
        </is>
      </c>
      <c r="C7732" s="10" t="inlineStr">
        <is>
          <t>北野線</t>
        </is>
      </c>
      <c r="D7732" s="10" t="inlineStr">
        <is>
          <t>下り</t>
        </is>
      </c>
      <c r="E7732" t="inlineStr">
        <is>
          <t>1461</t>
        </is>
      </c>
      <c r="F7732" t="inlineStr">
        <is>
          <t>0453</t>
        </is>
      </c>
      <c r="G7732" s="10" t="inlineStr">
        <is>
          <t>帷子ノ辻</t>
        </is>
      </c>
      <c r="H7732" s="10" t="inlineStr">
        <is>
          <t>着</t>
        </is>
      </c>
      <c r="J7732" s="10" t="inlineStr">
        <is>
          <t>営業</t>
        </is>
      </c>
      <c r="L7732" t="inlineStr">
        <is>
          <t>15:04:25</t>
        </is>
      </c>
      <c r="Q7732" t="inlineStr">
        <is>
          <t>3</t>
        </is>
      </c>
    </row>
    <row r="7733" ht="16.5" customHeight="1" s="37">
      <c r="A7733" t="n">
        <v>22</v>
      </c>
      <c r="B7733" s="10" t="inlineStr">
        <is>
          <t>平日</t>
        </is>
      </c>
      <c r="C7733" s="10" t="inlineStr">
        <is>
          <t>北野線</t>
        </is>
      </c>
      <c r="D7733" s="10" t="inlineStr">
        <is>
          <t>上り</t>
        </is>
      </c>
      <c r="E7733" t="inlineStr">
        <is>
          <t>1554</t>
        </is>
      </c>
      <c r="F7733" t="inlineStr">
        <is>
          <t>0354</t>
        </is>
      </c>
      <c r="G7733" s="10" t="inlineStr">
        <is>
          <t>帷子ノ辻</t>
        </is>
      </c>
      <c r="H7733" s="10" t="inlineStr">
        <is>
          <t>発</t>
        </is>
      </c>
      <c r="J7733" s="10" t="inlineStr">
        <is>
          <t>営業</t>
        </is>
      </c>
      <c r="M7733" t="inlineStr">
        <is>
          <t>15:16:25</t>
        </is>
      </c>
      <c r="Q7733" t="inlineStr">
        <is>
          <t>3</t>
        </is>
      </c>
    </row>
    <row r="7734" ht="16.5" customHeight="1" s="37">
      <c r="A7734" t="n">
        <v>22</v>
      </c>
      <c r="B7734" s="10" t="inlineStr">
        <is>
          <t>平日</t>
        </is>
      </c>
      <c r="C7734" s="10" t="inlineStr">
        <is>
          <t>北野線</t>
        </is>
      </c>
      <c r="D7734" s="10" t="inlineStr">
        <is>
          <t>上り</t>
        </is>
      </c>
      <c r="E7734" t="inlineStr">
        <is>
          <t>1554</t>
        </is>
      </c>
      <c r="F7734" t="inlineStr">
        <is>
          <t>0354</t>
        </is>
      </c>
      <c r="G7734" s="10" t="inlineStr">
        <is>
          <t>撮影所前</t>
        </is>
      </c>
      <c r="H7734" s="10" t="inlineStr">
        <is>
          <t>発</t>
        </is>
      </c>
      <c r="J7734" s="10" t="inlineStr">
        <is>
          <t>営業</t>
        </is>
      </c>
      <c r="L7734" t="inlineStr">
        <is>
          <t>15:17:25</t>
        </is>
      </c>
      <c r="M7734" t="inlineStr">
        <is>
          <t>15:17:40</t>
        </is>
      </c>
    </row>
    <row r="7735" ht="16.5" customHeight="1" s="37">
      <c r="A7735" t="n">
        <v>22</v>
      </c>
      <c r="B7735" s="10" t="inlineStr">
        <is>
          <t>平日</t>
        </is>
      </c>
      <c r="C7735" s="10" t="inlineStr">
        <is>
          <t>北野線</t>
        </is>
      </c>
      <c r="D7735" s="10" t="inlineStr">
        <is>
          <t>上り</t>
        </is>
      </c>
      <c r="E7735" t="inlineStr">
        <is>
          <t>1554</t>
        </is>
      </c>
      <c r="F7735" t="inlineStr">
        <is>
          <t>0354</t>
        </is>
      </c>
      <c r="G7735" s="10" t="inlineStr">
        <is>
          <t>常盤</t>
        </is>
      </c>
      <c r="H7735" s="10" t="inlineStr">
        <is>
          <t>発</t>
        </is>
      </c>
      <c r="J7735" s="10" t="inlineStr">
        <is>
          <t>営業</t>
        </is>
      </c>
      <c r="L7735" t="inlineStr">
        <is>
          <t>15:19:00</t>
        </is>
      </c>
      <c r="M7735" t="inlineStr">
        <is>
          <t>15:19:20</t>
        </is>
      </c>
    </row>
    <row r="7736" ht="16.5" customHeight="1" s="37">
      <c r="A7736" t="n">
        <v>22</v>
      </c>
      <c r="B7736" s="10" t="inlineStr">
        <is>
          <t>平日</t>
        </is>
      </c>
      <c r="C7736" s="10" t="inlineStr">
        <is>
          <t>北野線</t>
        </is>
      </c>
      <c r="D7736" s="10" t="inlineStr">
        <is>
          <t>上り</t>
        </is>
      </c>
      <c r="E7736" t="inlineStr">
        <is>
          <t>1554</t>
        </is>
      </c>
      <c r="F7736" t="inlineStr">
        <is>
          <t>0354</t>
        </is>
      </c>
      <c r="G7736" s="10" t="inlineStr">
        <is>
          <t>鳴滝</t>
        </is>
      </c>
      <c r="H7736" s="10" t="inlineStr">
        <is>
          <t>発</t>
        </is>
      </c>
      <c r="J7736" s="10" t="inlineStr">
        <is>
          <t>営業</t>
        </is>
      </c>
      <c r="L7736" t="inlineStr">
        <is>
          <t>15:20:20</t>
        </is>
      </c>
      <c r="M7736" t="inlineStr">
        <is>
          <t>15:20:40</t>
        </is>
      </c>
    </row>
    <row r="7737" ht="16.5" customHeight="1" s="37">
      <c r="A7737" t="n">
        <v>22</v>
      </c>
      <c r="B7737" s="10" t="inlineStr">
        <is>
          <t>平日</t>
        </is>
      </c>
      <c r="C7737" s="10" t="inlineStr">
        <is>
          <t>北野線</t>
        </is>
      </c>
      <c r="D7737" s="10" t="inlineStr">
        <is>
          <t>上り</t>
        </is>
      </c>
      <c r="E7737" t="inlineStr">
        <is>
          <t>1554</t>
        </is>
      </c>
      <c r="F7737" t="inlineStr">
        <is>
          <t>0354</t>
        </is>
      </c>
      <c r="G7737" s="10" t="inlineStr">
        <is>
          <t>宇多野</t>
        </is>
      </c>
      <c r="H7737" s="10" t="inlineStr">
        <is>
          <t>発</t>
        </is>
      </c>
      <c r="J7737" s="10" t="inlineStr">
        <is>
          <t>営業</t>
        </is>
      </c>
      <c r="L7737" t="inlineStr">
        <is>
          <t>15:22:00</t>
        </is>
      </c>
      <c r="M7737" t="inlineStr">
        <is>
          <t>15:22:15</t>
        </is>
      </c>
    </row>
    <row r="7738" ht="16.5" customHeight="1" s="37">
      <c r="A7738" t="n">
        <v>22</v>
      </c>
      <c r="B7738" s="10" t="inlineStr">
        <is>
          <t>平日</t>
        </is>
      </c>
      <c r="C7738" s="10" t="inlineStr">
        <is>
          <t>北野線</t>
        </is>
      </c>
      <c r="D7738" s="10" t="inlineStr">
        <is>
          <t>上り</t>
        </is>
      </c>
      <c r="E7738" t="inlineStr">
        <is>
          <t>1554</t>
        </is>
      </c>
      <c r="F7738" t="inlineStr">
        <is>
          <t>0354</t>
        </is>
      </c>
      <c r="G7738" s="10" t="inlineStr">
        <is>
          <t>御室仁和寺</t>
        </is>
      </c>
      <c r="H7738" s="10" t="inlineStr">
        <is>
          <t>発</t>
        </is>
      </c>
      <c r="J7738" s="10" t="inlineStr">
        <is>
          <t>営業</t>
        </is>
      </c>
      <c r="L7738" t="inlineStr">
        <is>
          <t>15:23:15</t>
        </is>
      </c>
      <c r="M7738" t="inlineStr">
        <is>
          <t>15:23:35</t>
        </is>
      </c>
    </row>
    <row r="7739" ht="16.5" customHeight="1" s="37">
      <c r="A7739" t="n">
        <v>22</v>
      </c>
      <c r="B7739" s="10" t="inlineStr">
        <is>
          <t>平日</t>
        </is>
      </c>
      <c r="C7739" s="10" t="inlineStr">
        <is>
          <t>北野線</t>
        </is>
      </c>
      <c r="D7739" s="10" t="inlineStr">
        <is>
          <t>上り</t>
        </is>
      </c>
      <c r="E7739" t="inlineStr">
        <is>
          <t>1554</t>
        </is>
      </c>
      <c r="F7739" t="inlineStr">
        <is>
          <t>0354</t>
        </is>
      </c>
      <c r="G7739" s="10" t="inlineStr">
        <is>
          <t>妙心寺</t>
        </is>
      </c>
      <c r="H7739" s="10" t="inlineStr">
        <is>
          <t>発</t>
        </is>
      </c>
      <c r="J7739" s="10" t="inlineStr">
        <is>
          <t>営業</t>
        </is>
      </c>
      <c r="L7739" t="inlineStr">
        <is>
          <t>15:24:35</t>
        </is>
      </c>
      <c r="M7739" t="inlineStr">
        <is>
          <t>15:24:50</t>
        </is>
      </c>
    </row>
    <row r="7740" ht="16.5" customHeight="1" s="37">
      <c r="A7740" t="n">
        <v>22</v>
      </c>
      <c r="B7740" s="10" t="inlineStr">
        <is>
          <t>平日</t>
        </is>
      </c>
      <c r="C7740" s="10" t="inlineStr">
        <is>
          <t>北野線</t>
        </is>
      </c>
      <c r="D7740" s="10" t="inlineStr">
        <is>
          <t>上り</t>
        </is>
      </c>
      <c r="E7740" t="inlineStr">
        <is>
          <t>1554</t>
        </is>
      </c>
      <c r="F7740" t="inlineStr">
        <is>
          <t>0354</t>
        </is>
      </c>
      <c r="G7740" s="10" t="inlineStr">
        <is>
          <t>龍安寺</t>
        </is>
      </c>
      <c r="H7740" s="10" t="inlineStr">
        <is>
          <t>発</t>
        </is>
      </c>
      <c r="J7740" s="10" t="inlineStr">
        <is>
          <t>営業</t>
        </is>
      </c>
      <c r="L7740" t="inlineStr">
        <is>
          <t>15:25:45</t>
        </is>
      </c>
      <c r="M7740" t="inlineStr">
        <is>
          <t>15:25:55</t>
        </is>
      </c>
    </row>
    <row r="7741" ht="16.5" customHeight="1" s="37">
      <c r="A7741" t="n">
        <v>22</v>
      </c>
      <c r="B7741" s="10" t="inlineStr">
        <is>
          <t>平日</t>
        </is>
      </c>
      <c r="C7741" s="10" t="inlineStr">
        <is>
          <t>北野線</t>
        </is>
      </c>
      <c r="D7741" s="10" t="inlineStr">
        <is>
          <t>上り</t>
        </is>
      </c>
      <c r="E7741" t="inlineStr">
        <is>
          <t>1554</t>
        </is>
      </c>
      <c r="F7741" t="inlineStr">
        <is>
          <t>0354</t>
        </is>
      </c>
      <c r="G7741" s="10" t="inlineStr">
        <is>
          <t>等持院</t>
        </is>
      </c>
      <c r="H7741" s="10" t="inlineStr">
        <is>
          <t>発</t>
        </is>
      </c>
      <c r="J7741" s="10" t="inlineStr">
        <is>
          <t>営業</t>
        </is>
      </c>
      <c r="L7741" t="inlineStr">
        <is>
          <t>15:26:35</t>
        </is>
      </c>
      <c r="M7741" t="inlineStr">
        <is>
          <t>15:26:55</t>
        </is>
      </c>
    </row>
    <row r="7742" ht="16.5" customHeight="1" s="37">
      <c r="A7742" t="n">
        <v>22</v>
      </c>
      <c r="B7742" s="10" t="inlineStr">
        <is>
          <t>平日</t>
        </is>
      </c>
      <c r="C7742" s="10" t="inlineStr">
        <is>
          <t>北野線</t>
        </is>
      </c>
      <c r="D7742" s="10" t="inlineStr">
        <is>
          <t>上り</t>
        </is>
      </c>
      <c r="E7742" t="inlineStr">
        <is>
          <t>1554</t>
        </is>
      </c>
      <c r="F7742" t="inlineStr">
        <is>
          <t>0354</t>
        </is>
      </c>
      <c r="G7742" s="10" t="inlineStr">
        <is>
          <t>北野白梅町</t>
        </is>
      </c>
      <c r="H7742" s="10" t="inlineStr">
        <is>
          <t>着</t>
        </is>
      </c>
      <c r="J7742" s="10" t="inlineStr">
        <is>
          <t>営業</t>
        </is>
      </c>
      <c r="L7742" t="inlineStr">
        <is>
          <t>15:28:15</t>
        </is>
      </c>
      <c r="Q7742" t="inlineStr">
        <is>
          <t>1</t>
        </is>
      </c>
    </row>
    <row r="7743" ht="16.5" customHeight="1" s="37">
      <c r="A7743" t="n">
        <v>22</v>
      </c>
      <c r="B7743" s="10" t="inlineStr">
        <is>
          <t>平日</t>
        </is>
      </c>
      <c r="C7743" s="10" t="inlineStr">
        <is>
          <t>北野線</t>
        </is>
      </c>
      <c r="D7743" s="10" t="inlineStr">
        <is>
          <t>下り</t>
        </is>
      </c>
      <c r="E7743" t="inlineStr">
        <is>
          <t>1557</t>
        </is>
      </c>
      <c r="F7743" t="inlineStr">
        <is>
          <t>0453</t>
        </is>
      </c>
      <c r="G7743" s="10" t="inlineStr">
        <is>
          <t>北野白梅町</t>
        </is>
      </c>
      <c r="H7743" s="10" t="inlineStr">
        <is>
          <t>発</t>
        </is>
      </c>
      <c r="J7743" s="10" t="inlineStr">
        <is>
          <t>営業</t>
        </is>
      </c>
      <c r="M7743" t="inlineStr">
        <is>
          <t>15:33:00</t>
        </is>
      </c>
      <c r="Q7743" t="inlineStr">
        <is>
          <t>1</t>
        </is>
      </c>
    </row>
    <row r="7744" ht="16.5" customHeight="1" s="37">
      <c r="A7744" t="n">
        <v>22</v>
      </c>
      <c r="B7744" s="10" t="inlineStr">
        <is>
          <t>平日</t>
        </is>
      </c>
      <c r="C7744" s="10" t="inlineStr">
        <is>
          <t>北野線</t>
        </is>
      </c>
      <c r="D7744" s="10" t="inlineStr">
        <is>
          <t>下り</t>
        </is>
      </c>
      <c r="E7744" t="inlineStr">
        <is>
          <t>1557</t>
        </is>
      </c>
      <c r="F7744" t="inlineStr">
        <is>
          <t>0453</t>
        </is>
      </c>
      <c r="G7744" s="10" t="inlineStr">
        <is>
          <t>等持院</t>
        </is>
      </c>
      <c r="H7744" s="10" t="inlineStr">
        <is>
          <t>発</t>
        </is>
      </c>
      <c r="J7744" s="10" t="inlineStr">
        <is>
          <t>営業</t>
        </is>
      </c>
      <c r="L7744" t="inlineStr">
        <is>
          <t>15:34:25</t>
        </is>
      </c>
      <c r="M7744" t="inlineStr">
        <is>
          <t>15:34:35</t>
        </is>
      </c>
    </row>
    <row r="7745" ht="16.5" customHeight="1" s="37">
      <c r="A7745" t="n">
        <v>22</v>
      </c>
      <c r="B7745" s="10" t="inlineStr">
        <is>
          <t>平日</t>
        </is>
      </c>
      <c r="C7745" s="10" t="inlineStr">
        <is>
          <t>北野線</t>
        </is>
      </c>
      <c r="D7745" s="10" t="inlineStr">
        <is>
          <t>下り</t>
        </is>
      </c>
      <c r="E7745" t="inlineStr">
        <is>
          <t>1557</t>
        </is>
      </c>
      <c r="F7745" t="inlineStr">
        <is>
          <t>0453</t>
        </is>
      </c>
      <c r="G7745" s="10" t="inlineStr">
        <is>
          <t>龍安寺</t>
        </is>
      </c>
      <c r="H7745" s="10" t="inlineStr">
        <is>
          <t>発</t>
        </is>
      </c>
      <c r="J7745" s="10" t="inlineStr">
        <is>
          <t>営業</t>
        </is>
      </c>
      <c r="L7745" t="inlineStr">
        <is>
          <t>15:35:25</t>
        </is>
      </c>
      <c r="M7745" t="inlineStr">
        <is>
          <t>15:35:50</t>
        </is>
      </c>
    </row>
    <row r="7746" ht="16.5" customHeight="1" s="37">
      <c r="A7746" t="n">
        <v>22</v>
      </c>
      <c r="B7746" s="10" t="inlineStr">
        <is>
          <t>平日</t>
        </is>
      </c>
      <c r="C7746" s="10" t="inlineStr">
        <is>
          <t>北野線</t>
        </is>
      </c>
      <c r="D7746" s="10" t="inlineStr">
        <is>
          <t>下り</t>
        </is>
      </c>
      <c r="E7746" t="inlineStr">
        <is>
          <t>1557</t>
        </is>
      </c>
      <c r="F7746" t="inlineStr">
        <is>
          <t>0453</t>
        </is>
      </c>
      <c r="G7746" s="10" t="inlineStr">
        <is>
          <t>妙心寺</t>
        </is>
      </c>
      <c r="H7746" s="10" t="inlineStr">
        <is>
          <t>発</t>
        </is>
      </c>
      <c r="J7746" s="10" t="inlineStr">
        <is>
          <t>営業</t>
        </is>
      </c>
      <c r="L7746" t="inlineStr">
        <is>
          <t>15:36:40</t>
        </is>
      </c>
      <c r="M7746" t="inlineStr">
        <is>
          <t>15:36:50</t>
        </is>
      </c>
    </row>
    <row r="7747" ht="16.5" customHeight="1" s="37">
      <c r="A7747" t="n">
        <v>22</v>
      </c>
      <c r="B7747" s="10" t="inlineStr">
        <is>
          <t>平日</t>
        </is>
      </c>
      <c r="C7747" s="10" t="inlineStr">
        <is>
          <t>北野線</t>
        </is>
      </c>
      <c r="D7747" s="10" t="inlineStr">
        <is>
          <t>下り</t>
        </is>
      </c>
      <c r="E7747" t="inlineStr">
        <is>
          <t>1557</t>
        </is>
      </c>
      <c r="F7747" t="inlineStr">
        <is>
          <t>0453</t>
        </is>
      </c>
      <c r="G7747" s="10" t="inlineStr">
        <is>
          <t>御室仁和寺</t>
        </is>
      </c>
      <c r="H7747" s="10" t="inlineStr">
        <is>
          <t>発</t>
        </is>
      </c>
      <c r="J7747" s="10" t="inlineStr">
        <is>
          <t>営業</t>
        </is>
      </c>
      <c r="L7747" t="inlineStr">
        <is>
          <t>15:37:50</t>
        </is>
      </c>
      <c r="M7747" t="inlineStr">
        <is>
          <t>15:38:05</t>
        </is>
      </c>
    </row>
    <row r="7748" ht="16.5" customHeight="1" s="37">
      <c r="A7748" t="n">
        <v>22</v>
      </c>
      <c r="B7748" s="10" t="inlineStr">
        <is>
          <t>平日</t>
        </is>
      </c>
      <c r="C7748" s="10" t="inlineStr">
        <is>
          <t>北野線</t>
        </is>
      </c>
      <c r="D7748" s="10" t="inlineStr">
        <is>
          <t>下り</t>
        </is>
      </c>
      <c r="E7748" t="inlineStr">
        <is>
          <t>1557</t>
        </is>
      </c>
      <c r="F7748" t="inlineStr">
        <is>
          <t>0453</t>
        </is>
      </c>
      <c r="G7748" s="10" t="inlineStr">
        <is>
          <t>宇多野</t>
        </is>
      </c>
      <c r="H7748" s="10" t="inlineStr">
        <is>
          <t>発</t>
        </is>
      </c>
      <c r="J7748" s="10" t="inlineStr">
        <is>
          <t>営業</t>
        </is>
      </c>
      <c r="L7748" t="inlineStr">
        <is>
          <t>15:39:05</t>
        </is>
      </c>
      <c r="M7748" t="inlineStr">
        <is>
          <t>15:39:15</t>
        </is>
      </c>
    </row>
    <row r="7749" ht="16.5" customHeight="1" s="37">
      <c r="A7749" t="n">
        <v>22</v>
      </c>
      <c r="B7749" s="10" t="inlineStr">
        <is>
          <t>平日</t>
        </is>
      </c>
      <c r="C7749" s="10" t="inlineStr">
        <is>
          <t>北野線</t>
        </is>
      </c>
      <c r="D7749" s="10" t="inlineStr">
        <is>
          <t>下り</t>
        </is>
      </c>
      <c r="E7749" t="inlineStr">
        <is>
          <t>1557</t>
        </is>
      </c>
      <c r="F7749" t="inlineStr">
        <is>
          <t>0453</t>
        </is>
      </c>
      <c r="G7749" s="10" t="inlineStr">
        <is>
          <t>鳴滝</t>
        </is>
      </c>
      <c r="H7749" s="10" t="inlineStr">
        <is>
          <t>発</t>
        </is>
      </c>
      <c r="J7749" s="10" t="inlineStr">
        <is>
          <t>営業</t>
        </is>
      </c>
      <c r="L7749" t="inlineStr">
        <is>
          <t>15:40:35</t>
        </is>
      </c>
      <c r="M7749" t="inlineStr">
        <is>
          <t>15:40:45</t>
        </is>
      </c>
    </row>
    <row r="7750" ht="16.5" customHeight="1" s="37">
      <c r="A7750" t="n">
        <v>22</v>
      </c>
      <c r="B7750" s="10" t="inlineStr">
        <is>
          <t>平日</t>
        </is>
      </c>
      <c r="C7750" s="10" t="inlineStr">
        <is>
          <t>北野線</t>
        </is>
      </c>
      <c r="D7750" s="10" t="inlineStr">
        <is>
          <t>下り</t>
        </is>
      </c>
      <c r="E7750" t="inlineStr">
        <is>
          <t>1557</t>
        </is>
      </c>
      <c r="F7750" t="inlineStr">
        <is>
          <t>0453</t>
        </is>
      </c>
      <c r="G7750" s="10" t="inlineStr">
        <is>
          <t>常盤</t>
        </is>
      </c>
      <c r="H7750" s="10" t="inlineStr">
        <is>
          <t>発</t>
        </is>
      </c>
      <c r="J7750" s="10" t="inlineStr">
        <is>
          <t>営業</t>
        </is>
      </c>
      <c r="L7750" t="inlineStr">
        <is>
          <t>15:41:35</t>
        </is>
      </c>
      <c r="M7750" t="inlineStr">
        <is>
          <t>15:41:55</t>
        </is>
      </c>
    </row>
    <row r="7751" ht="16.5" customHeight="1" s="37">
      <c r="A7751" t="n">
        <v>22</v>
      </c>
      <c r="B7751" s="10" t="inlineStr">
        <is>
          <t>平日</t>
        </is>
      </c>
      <c r="C7751" s="10" t="inlineStr">
        <is>
          <t>北野線</t>
        </is>
      </c>
      <c r="D7751" s="10" t="inlineStr">
        <is>
          <t>下り</t>
        </is>
      </c>
      <c r="E7751" t="inlineStr">
        <is>
          <t>1557</t>
        </is>
      </c>
      <c r="F7751" t="inlineStr">
        <is>
          <t>0453</t>
        </is>
      </c>
      <c r="G7751" s="10" t="inlineStr">
        <is>
          <t>撮影所前</t>
        </is>
      </c>
      <c r="H7751" s="10" t="inlineStr">
        <is>
          <t>発</t>
        </is>
      </c>
      <c r="J7751" s="10" t="inlineStr">
        <is>
          <t>営業</t>
        </is>
      </c>
      <c r="L7751" t="inlineStr">
        <is>
          <t>15:43:15</t>
        </is>
      </c>
      <c r="M7751" t="inlineStr">
        <is>
          <t>15:43:30</t>
        </is>
      </c>
    </row>
    <row r="7752" ht="16.5" customHeight="1" s="37">
      <c r="A7752" t="n">
        <v>22</v>
      </c>
      <c r="B7752" s="10" t="inlineStr">
        <is>
          <t>平日</t>
        </is>
      </c>
      <c r="C7752" s="10" t="inlineStr">
        <is>
          <t>北野線</t>
        </is>
      </c>
      <c r="D7752" s="10" t="inlineStr">
        <is>
          <t>下り</t>
        </is>
      </c>
      <c r="E7752" t="inlineStr">
        <is>
          <t>1557</t>
        </is>
      </c>
      <c r="F7752" t="inlineStr">
        <is>
          <t>0453</t>
        </is>
      </c>
      <c r="G7752" s="10" t="inlineStr">
        <is>
          <t>帷子ノ辻</t>
        </is>
      </c>
      <c r="H7752" s="10" t="inlineStr">
        <is>
          <t>着</t>
        </is>
      </c>
      <c r="J7752" s="10" t="inlineStr">
        <is>
          <t>営業</t>
        </is>
      </c>
      <c r="L7752" t="inlineStr">
        <is>
          <t>15:44:25</t>
        </is>
      </c>
      <c r="Q7752" t="inlineStr">
        <is>
          <t>3</t>
        </is>
      </c>
    </row>
    <row r="7753" ht="16.5" customHeight="1" s="37">
      <c r="A7753" t="n">
        <v>22</v>
      </c>
      <c r="B7753" s="10" t="inlineStr">
        <is>
          <t>平日</t>
        </is>
      </c>
      <c r="C7753" s="10" t="inlineStr">
        <is>
          <t>北野線</t>
        </is>
      </c>
      <c r="D7753" s="10" t="inlineStr">
        <is>
          <t>上り</t>
        </is>
      </c>
      <c r="E7753" t="inlineStr">
        <is>
          <t>1562</t>
        </is>
      </c>
      <c r="F7753" t="inlineStr">
        <is>
          <t>0354</t>
        </is>
      </c>
      <c r="G7753" s="10" t="inlineStr">
        <is>
          <t>帷子ノ辻</t>
        </is>
      </c>
      <c r="H7753" s="10" t="inlineStr">
        <is>
          <t>発</t>
        </is>
      </c>
      <c r="J7753" s="10" t="inlineStr">
        <is>
          <t>営業</t>
        </is>
      </c>
      <c r="M7753" t="inlineStr">
        <is>
          <t>15:56:25</t>
        </is>
      </c>
      <c r="Q7753" t="inlineStr">
        <is>
          <t>3</t>
        </is>
      </c>
      <c r="U7753" t="inlineStr">
        <is>
          <t>→帷子ノ辻 休憩(16:24〜17:36)</t>
        </is>
      </c>
    </row>
    <row r="7754" ht="15" customHeight="1" s="37">
      <c r="A7754" t="n">
        <v>22</v>
      </c>
      <c r="B7754" s="10" t="inlineStr">
        <is>
          <t>平日</t>
        </is>
      </c>
      <c r="C7754" s="10" t="inlineStr">
        <is>
          <t>北野線</t>
        </is>
      </c>
      <c r="D7754" s="10" t="inlineStr">
        <is>
          <t>上り</t>
        </is>
      </c>
      <c r="E7754" t="inlineStr">
        <is>
          <t>1562</t>
        </is>
      </c>
      <c r="F7754" t="inlineStr">
        <is>
          <t>0354</t>
        </is>
      </c>
      <c r="G7754" s="10" t="inlineStr">
        <is>
          <t>撮影所前</t>
        </is>
      </c>
      <c r="H7754" s="10" t="inlineStr">
        <is>
          <t>発</t>
        </is>
      </c>
      <c r="J7754" s="10" t="inlineStr">
        <is>
          <t>営業</t>
        </is>
      </c>
      <c r="L7754" t="inlineStr">
        <is>
          <t>15:57:25</t>
        </is>
      </c>
      <c r="M7754" t="inlineStr">
        <is>
          <t>15:57:40</t>
        </is>
      </c>
      <c r="U7754" t="inlineStr">
        <is>
          <t>→帷子ノ辻 休憩(16:24〜17:36)</t>
        </is>
      </c>
    </row>
    <row r="7755" ht="15" customHeight="1" s="37">
      <c r="A7755" t="n">
        <v>22</v>
      </c>
      <c r="B7755" s="10" t="inlineStr">
        <is>
          <t>平日</t>
        </is>
      </c>
      <c r="C7755" s="10" t="inlineStr">
        <is>
          <t>北野線</t>
        </is>
      </c>
      <c r="D7755" s="10" t="inlineStr">
        <is>
          <t>上り</t>
        </is>
      </c>
      <c r="E7755" t="inlineStr">
        <is>
          <t>1562</t>
        </is>
      </c>
      <c r="F7755" t="inlineStr">
        <is>
          <t>0354</t>
        </is>
      </c>
      <c r="G7755" s="10" t="inlineStr">
        <is>
          <t>常盤</t>
        </is>
      </c>
      <c r="H7755" s="10" t="inlineStr">
        <is>
          <t>発</t>
        </is>
      </c>
      <c r="J7755" s="10" t="inlineStr">
        <is>
          <t>営業</t>
        </is>
      </c>
      <c r="L7755" t="inlineStr">
        <is>
          <t>15:59:00</t>
        </is>
      </c>
      <c r="M7755" t="inlineStr">
        <is>
          <t>15:59:20</t>
        </is>
      </c>
      <c r="U7755" t="inlineStr">
        <is>
          <t>→帷子ノ辻 休憩(16:24〜17:36)</t>
        </is>
      </c>
    </row>
    <row r="7756" ht="15" customHeight="1" s="37">
      <c r="A7756" t="n">
        <v>22</v>
      </c>
      <c r="B7756" s="10" t="inlineStr">
        <is>
          <t>平日</t>
        </is>
      </c>
      <c r="C7756" s="10" t="inlineStr">
        <is>
          <t>北野線</t>
        </is>
      </c>
      <c r="D7756" s="10" t="inlineStr">
        <is>
          <t>上り</t>
        </is>
      </c>
      <c r="E7756" t="inlineStr">
        <is>
          <t>1562</t>
        </is>
      </c>
      <c r="F7756" t="inlineStr">
        <is>
          <t>0354</t>
        </is>
      </c>
      <c r="G7756" s="10" t="inlineStr">
        <is>
          <t>鳴滝</t>
        </is>
      </c>
      <c r="H7756" s="10" t="inlineStr">
        <is>
          <t>発</t>
        </is>
      </c>
      <c r="J7756" s="10" t="inlineStr">
        <is>
          <t>営業</t>
        </is>
      </c>
      <c r="L7756" t="inlineStr">
        <is>
          <t>16:00:20</t>
        </is>
      </c>
      <c r="M7756" t="inlineStr">
        <is>
          <t>16:00:40</t>
        </is>
      </c>
      <c r="U7756" t="inlineStr">
        <is>
          <t>→帷子ノ辻 休憩(16:24〜17:36)</t>
        </is>
      </c>
    </row>
    <row r="7757" ht="15" customHeight="1" s="37">
      <c r="A7757" t="n">
        <v>22</v>
      </c>
      <c r="B7757" s="10" t="inlineStr">
        <is>
          <t>平日</t>
        </is>
      </c>
      <c r="C7757" s="10" t="inlineStr">
        <is>
          <t>北野線</t>
        </is>
      </c>
      <c r="D7757" s="10" t="inlineStr">
        <is>
          <t>上り</t>
        </is>
      </c>
      <c r="E7757" t="inlineStr">
        <is>
          <t>1562</t>
        </is>
      </c>
      <c r="F7757" t="inlineStr">
        <is>
          <t>0354</t>
        </is>
      </c>
      <c r="G7757" s="10" t="inlineStr">
        <is>
          <t>宇多野</t>
        </is>
      </c>
      <c r="H7757" s="10" t="inlineStr">
        <is>
          <t>発</t>
        </is>
      </c>
      <c r="J7757" s="10" t="inlineStr">
        <is>
          <t>営業</t>
        </is>
      </c>
      <c r="L7757" t="inlineStr">
        <is>
          <t>16:02:00</t>
        </is>
      </c>
      <c r="M7757" t="inlineStr">
        <is>
          <t>16:02:15</t>
        </is>
      </c>
      <c r="U7757" t="inlineStr">
        <is>
          <t>→帷子ノ辻 休憩(16:24〜17:36)</t>
        </is>
      </c>
    </row>
    <row r="7758" ht="15" customHeight="1" s="37">
      <c r="A7758" t="n">
        <v>22</v>
      </c>
      <c r="B7758" s="10" t="inlineStr">
        <is>
          <t>平日</t>
        </is>
      </c>
      <c r="C7758" s="10" t="inlineStr">
        <is>
          <t>北野線</t>
        </is>
      </c>
      <c r="D7758" s="10" t="inlineStr">
        <is>
          <t>上り</t>
        </is>
      </c>
      <c r="E7758" t="inlineStr">
        <is>
          <t>1562</t>
        </is>
      </c>
      <c r="F7758" t="inlineStr">
        <is>
          <t>0354</t>
        </is>
      </c>
      <c r="G7758" s="10" t="inlineStr">
        <is>
          <t>御室仁和寺</t>
        </is>
      </c>
      <c r="H7758" s="10" t="inlineStr">
        <is>
          <t>発</t>
        </is>
      </c>
      <c r="J7758" s="10" t="inlineStr">
        <is>
          <t>営業</t>
        </is>
      </c>
      <c r="L7758" t="inlineStr">
        <is>
          <t>16:03:15</t>
        </is>
      </c>
      <c r="M7758" t="inlineStr">
        <is>
          <t>16:03:35</t>
        </is>
      </c>
      <c r="U7758" t="inlineStr">
        <is>
          <t>→帷子ノ辻 休憩(16:24〜17:36)</t>
        </is>
      </c>
    </row>
    <row r="7759" ht="15" customHeight="1" s="37">
      <c r="A7759" t="n">
        <v>22</v>
      </c>
      <c r="B7759" s="10" t="inlineStr">
        <is>
          <t>平日</t>
        </is>
      </c>
      <c r="C7759" s="10" t="inlineStr">
        <is>
          <t>北野線</t>
        </is>
      </c>
      <c r="D7759" s="10" t="inlineStr">
        <is>
          <t>上り</t>
        </is>
      </c>
      <c r="E7759" t="inlineStr">
        <is>
          <t>1562</t>
        </is>
      </c>
      <c r="F7759" t="inlineStr">
        <is>
          <t>0354</t>
        </is>
      </c>
      <c r="G7759" s="10" t="inlineStr">
        <is>
          <t>妙心寺</t>
        </is>
      </c>
      <c r="H7759" s="10" t="inlineStr">
        <is>
          <t>発</t>
        </is>
      </c>
      <c r="J7759" s="10" t="inlineStr">
        <is>
          <t>営業</t>
        </is>
      </c>
      <c r="L7759" t="inlineStr">
        <is>
          <t>16:04:35</t>
        </is>
      </c>
      <c r="M7759" t="inlineStr">
        <is>
          <t>16:04:50</t>
        </is>
      </c>
      <c r="U7759" t="inlineStr">
        <is>
          <t>→帷子ノ辻 休憩(16:24〜17:36)</t>
        </is>
      </c>
    </row>
    <row r="7760" ht="15" customHeight="1" s="37">
      <c r="A7760" t="n">
        <v>22</v>
      </c>
      <c r="B7760" s="10" t="inlineStr">
        <is>
          <t>平日</t>
        </is>
      </c>
      <c r="C7760" s="10" t="inlineStr">
        <is>
          <t>北野線</t>
        </is>
      </c>
      <c r="D7760" s="10" t="inlineStr">
        <is>
          <t>上り</t>
        </is>
      </c>
      <c r="E7760" t="inlineStr">
        <is>
          <t>1562</t>
        </is>
      </c>
      <c r="F7760" t="inlineStr">
        <is>
          <t>0354</t>
        </is>
      </c>
      <c r="G7760" s="10" t="inlineStr">
        <is>
          <t>龍安寺</t>
        </is>
      </c>
      <c r="H7760" s="10" t="inlineStr">
        <is>
          <t>発</t>
        </is>
      </c>
      <c r="J7760" s="10" t="inlineStr">
        <is>
          <t>営業</t>
        </is>
      </c>
      <c r="L7760" t="inlineStr">
        <is>
          <t>16:05:45</t>
        </is>
      </c>
      <c r="M7760" t="inlineStr">
        <is>
          <t>16:05:55</t>
        </is>
      </c>
      <c r="U7760" t="inlineStr">
        <is>
          <t>→帷子ノ辻 休憩(16:24〜17:36)</t>
        </is>
      </c>
    </row>
    <row r="7761" ht="15" customHeight="1" s="37">
      <c r="A7761" t="n">
        <v>22</v>
      </c>
      <c r="B7761" s="10" t="inlineStr">
        <is>
          <t>平日</t>
        </is>
      </c>
      <c r="C7761" s="10" t="inlineStr">
        <is>
          <t>北野線</t>
        </is>
      </c>
      <c r="D7761" s="10" t="inlineStr">
        <is>
          <t>上り</t>
        </is>
      </c>
      <c r="E7761" t="inlineStr">
        <is>
          <t>1562</t>
        </is>
      </c>
      <c r="F7761" t="inlineStr">
        <is>
          <t>0354</t>
        </is>
      </c>
      <c r="G7761" s="10" t="inlineStr">
        <is>
          <t>等持院</t>
        </is>
      </c>
      <c r="H7761" s="10" t="inlineStr">
        <is>
          <t>発</t>
        </is>
      </c>
      <c r="J7761" s="10" t="inlineStr">
        <is>
          <t>営業</t>
        </is>
      </c>
      <c r="L7761" t="inlineStr">
        <is>
          <t>16:06:35</t>
        </is>
      </c>
      <c r="M7761" t="inlineStr">
        <is>
          <t>16:06:55</t>
        </is>
      </c>
      <c r="U7761" t="inlineStr">
        <is>
          <t>→帷子ノ辻 休憩(16:24〜17:36)</t>
        </is>
      </c>
    </row>
    <row r="7762" ht="15" customHeight="1" s="37">
      <c r="A7762" t="n">
        <v>22</v>
      </c>
      <c r="B7762" s="10" t="inlineStr">
        <is>
          <t>平日</t>
        </is>
      </c>
      <c r="C7762" s="10" t="inlineStr">
        <is>
          <t>北野線</t>
        </is>
      </c>
      <c r="D7762" s="10" t="inlineStr">
        <is>
          <t>上り</t>
        </is>
      </c>
      <c r="E7762" t="inlineStr">
        <is>
          <t>1562</t>
        </is>
      </c>
      <c r="F7762" t="inlineStr">
        <is>
          <t>0354</t>
        </is>
      </c>
      <c r="G7762" s="10" t="inlineStr">
        <is>
          <t>北野白梅町</t>
        </is>
      </c>
      <c r="H7762" s="10" t="inlineStr">
        <is>
          <t>着</t>
        </is>
      </c>
      <c r="J7762" s="10" t="inlineStr">
        <is>
          <t>営業</t>
        </is>
      </c>
      <c r="L7762" t="inlineStr">
        <is>
          <t>16:08:15</t>
        </is>
      </c>
      <c r="Q7762" t="inlineStr">
        <is>
          <t>1</t>
        </is>
      </c>
      <c r="U7762" t="inlineStr">
        <is>
          <t>→帷子ノ辻 休憩(16:24〜17:36)</t>
        </is>
      </c>
    </row>
    <row r="7763" ht="15" customHeight="1" s="37">
      <c r="A7763" t="n">
        <v>22</v>
      </c>
      <c r="B7763" s="10" t="inlineStr">
        <is>
          <t>平日</t>
        </is>
      </c>
      <c r="C7763" s="10" t="inlineStr">
        <is>
          <t>北野線</t>
        </is>
      </c>
      <c r="D7763" s="10" t="inlineStr">
        <is>
          <t>下り</t>
        </is>
      </c>
      <c r="E7763" t="inlineStr">
        <is>
          <t>1653</t>
        </is>
      </c>
      <c r="F7763" t="inlineStr">
        <is>
          <t>0453</t>
        </is>
      </c>
      <c r="G7763" s="10" t="inlineStr">
        <is>
          <t>北野白梅町</t>
        </is>
      </c>
      <c r="H7763" s="10" t="inlineStr">
        <is>
          <t>発</t>
        </is>
      </c>
      <c r="J7763" s="10" t="inlineStr">
        <is>
          <t>営業</t>
        </is>
      </c>
      <c r="M7763" t="inlineStr">
        <is>
          <t>16:13:00</t>
        </is>
      </c>
      <c r="Q7763" t="inlineStr">
        <is>
          <t>1</t>
        </is>
      </c>
      <c r="U7763" t="inlineStr">
        <is>
          <t>→帷子ノ辻 休憩(16:24〜17:36)</t>
        </is>
      </c>
    </row>
    <row r="7764" ht="15" customHeight="1" s="37">
      <c r="A7764" t="n">
        <v>22</v>
      </c>
      <c r="B7764" s="10" t="inlineStr">
        <is>
          <t>平日</t>
        </is>
      </c>
      <c r="C7764" s="10" t="inlineStr">
        <is>
          <t>北野線</t>
        </is>
      </c>
      <c r="D7764" s="10" t="inlineStr">
        <is>
          <t>下り</t>
        </is>
      </c>
      <c r="E7764" t="inlineStr">
        <is>
          <t>1653</t>
        </is>
      </c>
      <c r="F7764" t="inlineStr">
        <is>
          <t>0453</t>
        </is>
      </c>
      <c r="G7764" s="10" t="inlineStr">
        <is>
          <t>等持院</t>
        </is>
      </c>
      <c r="H7764" s="10" t="inlineStr">
        <is>
          <t>発</t>
        </is>
      </c>
      <c r="J7764" s="10" t="inlineStr">
        <is>
          <t>営業</t>
        </is>
      </c>
      <c r="L7764" t="inlineStr">
        <is>
          <t>16:14:25</t>
        </is>
      </c>
      <c r="M7764" t="inlineStr">
        <is>
          <t>16:14:35</t>
        </is>
      </c>
      <c r="U7764" t="inlineStr">
        <is>
          <t>→帷子ノ辻 休憩(16:24〜17:36)</t>
        </is>
      </c>
    </row>
    <row r="7765" ht="15" customHeight="1" s="37">
      <c r="A7765" t="n">
        <v>22</v>
      </c>
      <c r="B7765" s="10" t="inlineStr">
        <is>
          <t>平日</t>
        </is>
      </c>
      <c r="C7765" s="10" t="inlineStr">
        <is>
          <t>北野線</t>
        </is>
      </c>
      <c r="D7765" s="10" t="inlineStr">
        <is>
          <t>下り</t>
        </is>
      </c>
      <c r="E7765" t="inlineStr">
        <is>
          <t>1653</t>
        </is>
      </c>
      <c r="F7765" t="inlineStr">
        <is>
          <t>0453</t>
        </is>
      </c>
      <c r="G7765" s="10" t="inlineStr">
        <is>
          <t>龍安寺</t>
        </is>
      </c>
      <c r="H7765" s="10" t="inlineStr">
        <is>
          <t>発</t>
        </is>
      </c>
      <c r="J7765" s="10" t="inlineStr">
        <is>
          <t>営業</t>
        </is>
      </c>
      <c r="L7765" t="inlineStr">
        <is>
          <t>16:15:25</t>
        </is>
      </c>
      <c r="M7765" t="inlineStr">
        <is>
          <t>16:15:50</t>
        </is>
      </c>
      <c r="U7765" t="inlineStr">
        <is>
          <t>→帷子ノ辻 休憩(16:24〜17:36)</t>
        </is>
      </c>
    </row>
    <row r="7766" ht="15" customHeight="1" s="37">
      <c r="A7766" t="n">
        <v>22</v>
      </c>
      <c r="B7766" s="10" t="inlineStr">
        <is>
          <t>平日</t>
        </is>
      </c>
      <c r="C7766" s="10" t="inlineStr">
        <is>
          <t>北野線</t>
        </is>
      </c>
      <c r="D7766" s="10" t="inlineStr">
        <is>
          <t>下り</t>
        </is>
      </c>
      <c r="E7766" t="inlineStr">
        <is>
          <t>1653</t>
        </is>
      </c>
      <c r="F7766" t="inlineStr">
        <is>
          <t>0453</t>
        </is>
      </c>
      <c r="G7766" s="10" t="inlineStr">
        <is>
          <t>妙心寺</t>
        </is>
      </c>
      <c r="H7766" s="10" t="inlineStr">
        <is>
          <t>発</t>
        </is>
      </c>
      <c r="J7766" s="10" t="inlineStr">
        <is>
          <t>営業</t>
        </is>
      </c>
      <c r="L7766" t="inlineStr">
        <is>
          <t>16:16:40</t>
        </is>
      </c>
      <c r="M7766" t="inlineStr">
        <is>
          <t>16:16:50</t>
        </is>
      </c>
      <c r="U7766" t="inlineStr">
        <is>
          <t>→帷子ノ辻 休憩(16:24〜17:36)</t>
        </is>
      </c>
    </row>
    <row r="7767" ht="15" customHeight="1" s="37">
      <c r="A7767" t="n">
        <v>22</v>
      </c>
      <c r="B7767" s="10" t="inlineStr">
        <is>
          <t>平日</t>
        </is>
      </c>
      <c r="C7767" s="10" t="inlineStr">
        <is>
          <t>北野線</t>
        </is>
      </c>
      <c r="D7767" s="10" t="inlineStr">
        <is>
          <t>下り</t>
        </is>
      </c>
      <c r="E7767" t="inlineStr">
        <is>
          <t>1653</t>
        </is>
      </c>
      <c r="F7767" t="inlineStr">
        <is>
          <t>0453</t>
        </is>
      </c>
      <c r="G7767" s="10" t="inlineStr">
        <is>
          <t>御室仁和寺</t>
        </is>
      </c>
      <c r="H7767" s="10" t="inlineStr">
        <is>
          <t>発</t>
        </is>
      </c>
      <c r="J7767" s="10" t="inlineStr">
        <is>
          <t>営業</t>
        </is>
      </c>
      <c r="L7767" t="inlineStr">
        <is>
          <t>16:17:50</t>
        </is>
      </c>
      <c r="M7767" t="inlineStr">
        <is>
          <t>16:18:05</t>
        </is>
      </c>
      <c r="U7767" t="inlineStr">
        <is>
          <t>→帷子ノ辻 休憩(16:24〜17:36)</t>
        </is>
      </c>
    </row>
    <row r="7768" ht="15" customHeight="1" s="37">
      <c r="A7768" t="n">
        <v>22</v>
      </c>
      <c r="B7768" s="10" t="inlineStr">
        <is>
          <t>平日</t>
        </is>
      </c>
      <c r="C7768" s="10" t="inlineStr">
        <is>
          <t>北野線</t>
        </is>
      </c>
      <c r="D7768" s="10" t="inlineStr">
        <is>
          <t>下り</t>
        </is>
      </c>
      <c r="E7768" t="inlineStr">
        <is>
          <t>1653</t>
        </is>
      </c>
      <c r="F7768" t="inlineStr">
        <is>
          <t>0453</t>
        </is>
      </c>
      <c r="G7768" s="10" t="inlineStr">
        <is>
          <t>宇多野</t>
        </is>
      </c>
      <c r="H7768" s="10" t="inlineStr">
        <is>
          <t>発</t>
        </is>
      </c>
      <c r="J7768" s="10" t="inlineStr">
        <is>
          <t>営業</t>
        </is>
      </c>
      <c r="L7768" t="inlineStr">
        <is>
          <t>16:19:05</t>
        </is>
      </c>
      <c r="M7768" t="inlineStr">
        <is>
          <t>16:19:15</t>
        </is>
      </c>
      <c r="U7768" t="inlineStr">
        <is>
          <t>→帷子ノ辻 休憩(16:24〜17:36)</t>
        </is>
      </c>
    </row>
    <row r="7769" ht="15" customHeight="1" s="37">
      <c r="A7769" t="n">
        <v>22</v>
      </c>
      <c r="B7769" s="10" t="inlineStr">
        <is>
          <t>平日</t>
        </is>
      </c>
      <c r="C7769" s="10" t="inlineStr">
        <is>
          <t>北野線</t>
        </is>
      </c>
      <c r="D7769" s="10" t="inlineStr">
        <is>
          <t>下り</t>
        </is>
      </c>
      <c r="E7769" t="inlineStr">
        <is>
          <t>1653</t>
        </is>
      </c>
      <c r="F7769" t="inlineStr">
        <is>
          <t>0453</t>
        </is>
      </c>
      <c r="G7769" s="10" t="inlineStr">
        <is>
          <t>鳴滝</t>
        </is>
      </c>
      <c r="H7769" s="10" t="inlineStr">
        <is>
          <t>発</t>
        </is>
      </c>
      <c r="J7769" s="10" t="inlineStr">
        <is>
          <t>営業</t>
        </is>
      </c>
      <c r="L7769" t="inlineStr">
        <is>
          <t>16:20:35</t>
        </is>
      </c>
      <c r="M7769" t="inlineStr">
        <is>
          <t>16:20:45</t>
        </is>
      </c>
      <c r="U7769" t="inlineStr">
        <is>
          <t>→帷子ノ辻 休憩(16:24〜17:36)</t>
        </is>
      </c>
    </row>
    <row r="7770" ht="15" customHeight="1" s="37">
      <c r="A7770" t="n">
        <v>22</v>
      </c>
      <c r="B7770" s="10" t="inlineStr">
        <is>
          <t>平日</t>
        </is>
      </c>
      <c r="C7770" s="10" t="inlineStr">
        <is>
          <t>北野線</t>
        </is>
      </c>
      <c r="D7770" s="10" t="inlineStr">
        <is>
          <t>下り</t>
        </is>
      </c>
      <c r="E7770" t="inlineStr">
        <is>
          <t>1653</t>
        </is>
      </c>
      <c r="F7770" t="inlineStr">
        <is>
          <t>0453</t>
        </is>
      </c>
      <c r="G7770" s="10" t="inlineStr">
        <is>
          <t>常盤</t>
        </is>
      </c>
      <c r="H7770" s="10" t="inlineStr">
        <is>
          <t>発</t>
        </is>
      </c>
      <c r="J7770" s="10" t="inlineStr">
        <is>
          <t>営業</t>
        </is>
      </c>
      <c r="L7770" t="inlineStr">
        <is>
          <t>16:21:35</t>
        </is>
      </c>
      <c r="M7770" t="inlineStr">
        <is>
          <t>16:21:55</t>
        </is>
      </c>
      <c r="U7770" t="inlineStr">
        <is>
          <t>→帷子ノ辻 休憩(16:24〜17:36)</t>
        </is>
      </c>
    </row>
    <row r="7771" ht="15" customHeight="1" s="37">
      <c r="A7771" t="n">
        <v>22</v>
      </c>
      <c r="B7771" s="10" t="inlineStr">
        <is>
          <t>平日</t>
        </is>
      </c>
      <c r="C7771" s="10" t="inlineStr">
        <is>
          <t>北野線</t>
        </is>
      </c>
      <c r="D7771" s="10" t="inlineStr">
        <is>
          <t>下り</t>
        </is>
      </c>
      <c r="E7771" t="inlineStr">
        <is>
          <t>1653</t>
        </is>
      </c>
      <c r="F7771" t="inlineStr">
        <is>
          <t>0453</t>
        </is>
      </c>
      <c r="G7771" s="10" t="inlineStr">
        <is>
          <t>撮影所前</t>
        </is>
      </c>
      <c r="H7771" s="10" t="inlineStr">
        <is>
          <t>発</t>
        </is>
      </c>
      <c r="J7771" s="10" t="inlineStr">
        <is>
          <t>営業</t>
        </is>
      </c>
      <c r="L7771" t="inlineStr">
        <is>
          <t>16:23:15</t>
        </is>
      </c>
      <c r="M7771" t="inlineStr">
        <is>
          <t>16:23:30</t>
        </is>
      </c>
      <c r="U7771" t="inlineStr">
        <is>
          <t>→帷子ノ辻 休憩(16:24〜17:36)</t>
        </is>
      </c>
    </row>
    <row r="7772" ht="15" customHeight="1" s="37">
      <c r="A7772" t="n">
        <v>22</v>
      </c>
      <c r="B7772" s="10" t="inlineStr">
        <is>
          <t>平日</t>
        </is>
      </c>
      <c r="C7772" s="10" t="inlineStr">
        <is>
          <t>北野線</t>
        </is>
      </c>
      <c r="D7772" s="10" t="inlineStr">
        <is>
          <t>下り</t>
        </is>
      </c>
      <c r="E7772" t="inlineStr">
        <is>
          <t>1653</t>
        </is>
      </c>
      <c r="F7772" t="inlineStr">
        <is>
          <t>0453</t>
        </is>
      </c>
      <c r="G7772" s="10" t="inlineStr">
        <is>
          <t>帷子ノ辻</t>
        </is>
      </c>
      <c r="H7772" s="10" t="inlineStr">
        <is>
          <t>着</t>
        </is>
      </c>
      <c r="J7772" s="10" t="inlineStr">
        <is>
          <t>営業</t>
        </is>
      </c>
      <c r="L7772" t="inlineStr">
        <is>
          <t>16:24:25</t>
        </is>
      </c>
      <c r="Q7772" t="inlineStr">
        <is>
          <t>3</t>
        </is>
      </c>
      <c r="U7772" t="inlineStr">
        <is>
          <t>→帷子ノ辻 休憩(16:24〜17:36)</t>
        </is>
      </c>
    </row>
    <row r="7773" ht="15" customHeight="1" s="37">
      <c r="A7773" t="n">
        <v>22</v>
      </c>
      <c r="B7773" s="10" t="inlineStr">
        <is>
          <t>平日</t>
        </is>
      </c>
      <c r="C7773" s="10" t="inlineStr">
        <is>
          <t>北野線</t>
        </is>
      </c>
      <c r="D7773" s="10" t="inlineStr">
        <is>
          <t>上り</t>
        </is>
      </c>
      <c r="E7773" t="inlineStr">
        <is>
          <t>1758</t>
        </is>
      </c>
      <c r="F7773" t="inlineStr">
        <is>
          <t>0354</t>
        </is>
      </c>
      <c r="G7773" s="10" t="inlineStr">
        <is>
          <t>帷子ノ辻</t>
        </is>
      </c>
      <c r="H7773" s="10" t="inlineStr">
        <is>
          <t>発</t>
        </is>
      </c>
      <c r="J7773" s="10" t="inlineStr">
        <is>
          <t>営業</t>
        </is>
      </c>
      <c r="M7773" t="inlineStr">
        <is>
          <t>17:36:25</t>
        </is>
      </c>
      <c r="Q7773" t="inlineStr">
        <is>
          <t>3</t>
        </is>
      </c>
    </row>
    <row r="7774" ht="15" customHeight="1" s="37">
      <c r="A7774" t="n">
        <v>22</v>
      </c>
      <c r="B7774" s="10" t="inlineStr">
        <is>
          <t>平日</t>
        </is>
      </c>
      <c r="C7774" s="10" t="inlineStr">
        <is>
          <t>北野線</t>
        </is>
      </c>
      <c r="D7774" s="10" t="inlineStr">
        <is>
          <t>上り</t>
        </is>
      </c>
      <c r="E7774" t="inlineStr">
        <is>
          <t>1758</t>
        </is>
      </c>
      <c r="F7774" t="inlineStr">
        <is>
          <t>0354</t>
        </is>
      </c>
      <c r="G7774" s="10" t="inlineStr">
        <is>
          <t>撮影所前</t>
        </is>
      </c>
      <c r="H7774" s="10" t="inlineStr">
        <is>
          <t>発</t>
        </is>
      </c>
      <c r="J7774" s="10" t="inlineStr">
        <is>
          <t>営業</t>
        </is>
      </c>
      <c r="L7774" t="inlineStr">
        <is>
          <t>17:37:25</t>
        </is>
      </c>
      <c r="M7774" t="inlineStr">
        <is>
          <t>17:37:40</t>
        </is>
      </c>
    </row>
    <row r="7775" ht="15" customHeight="1" s="37">
      <c r="A7775" t="n">
        <v>22</v>
      </c>
      <c r="B7775" s="10" t="inlineStr">
        <is>
          <t>平日</t>
        </is>
      </c>
      <c r="C7775" s="10" t="inlineStr">
        <is>
          <t>北野線</t>
        </is>
      </c>
      <c r="D7775" s="10" t="inlineStr">
        <is>
          <t>上り</t>
        </is>
      </c>
      <c r="E7775" t="inlineStr">
        <is>
          <t>1758</t>
        </is>
      </c>
      <c r="F7775" t="inlineStr">
        <is>
          <t>0354</t>
        </is>
      </c>
      <c r="G7775" s="10" t="inlineStr">
        <is>
          <t>常盤</t>
        </is>
      </c>
      <c r="H7775" s="10" t="inlineStr">
        <is>
          <t>発</t>
        </is>
      </c>
      <c r="J7775" s="10" t="inlineStr">
        <is>
          <t>営業</t>
        </is>
      </c>
      <c r="L7775" t="inlineStr">
        <is>
          <t>17:39:00</t>
        </is>
      </c>
      <c r="M7775" t="inlineStr">
        <is>
          <t>17:39:20</t>
        </is>
      </c>
    </row>
    <row r="7776" ht="15" customHeight="1" s="37">
      <c r="A7776" t="n">
        <v>22</v>
      </c>
      <c r="B7776" s="10" t="inlineStr">
        <is>
          <t>平日</t>
        </is>
      </c>
      <c r="C7776" s="10" t="inlineStr">
        <is>
          <t>北野線</t>
        </is>
      </c>
      <c r="D7776" s="10" t="inlineStr">
        <is>
          <t>上り</t>
        </is>
      </c>
      <c r="E7776" t="inlineStr">
        <is>
          <t>1758</t>
        </is>
      </c>
      <c r="F7776" t="inlineStr">
        <is>
          <t>0354</t>
        </is>
      </c>
      <c r="G7776" s="10" t="inlineStr">
        <is>
          <t>鳴滝</t>
        </is>
      </c>
      <c r="H7776" s="10" t="inlineStr">
        <is>
          <t>発</t>
        </is>
      </c>
      <c r="J7776" s="10" t="inlineStr">
        <is>
          <t>営業</t>
        </is>
      </c>
      <c r="L7776" t="inlineStr">
        <is>
          <t>17:40:20</t>
        </is>
      </c>
      <c r="M7776" t="inlineStr">
        <is>
          <t>17:40:40</t>
        </is>
      </c>
    </row>
    <row r="7777" ht="15" customHeight="1" s="37">
      <c r="A7777" t="n">
        <v>22</v>
      </c>
      <c r="B7777" s="10" t="inlineStr">
        <is>
          <t>平日</t>
        </is>
      </c>
      <c r="C7777" s="10" t="inlineStr">
        <is>
          <t>北野線</t>
        </is>
      </c>
      <c r="D7777" s="10" t="inlineStr">
        <is>
          <t>上り</t>
        </is>
      </c>
      <c r="E7777" t="inlineStr">
        <is>
          <t>1758</t>
        </is>
      </c>
      <c r="F7777" t="inlineStr">
        <is>
          <t>0354</t>
        </is>
      </c>
      <c r="G7777" s="10" t="inlineStr">
        <is>
          <t>宇多野</t>
        </is>
      </c>
      <c r="H7777" s="10" t="inlineStr">
        <is>
          <t>発</t>
        </is>
      </c>
      <c r="J7777" s="10" t="inlineStr">
        <is>
          <t>営業</t>
        </is>
      </c>
      <c r="L7777" t="inlineStr">
        <is>
          <t>17:42:00</t>
        </is>
      </c>
      <c r="M7777" t="inlineStr">
        <is>
          <t>17:42:15</t>
        </is>
      </c>
    </row>
    <row r="7778" ht="15" customHeight="1" s="37">
      <c r="A7778" t="n">
        <v>22</v>
      </c>
      <c r="B7778" s="10" t="inlineStr">
        <is>
          <t>平日</t>
        </is>
      </c>
      <c r="C7778" s="10" t="inlineStr">
        <is>
          <t>北野線</t>
        </is>
      </c>
      <c r="D7778" s="10" t="inlineStr">
        <is>
          <t>上り</t>
        </is>
      </c>
      <c r="E7778" t="inlineStr">
        <is>
          <t>1758</t>
        </is>
      </c>
      <c r="F7778" t="inlineStr">
        <is>
          <t>0354</t>
        </is>
      </c>
      <c r="G7778" s="10" t="inlineStr">
        <is>
          <t>御室仁和寺</t>
        </is>
      </c>
      <c r="H7778" s="10" t="inlineStr">
        <is>
          <t>発</t>
        </is>
      </c>
      <c r="J7778" s="10" t="inlineStr">
        <is>
          <t>営業</t>
        </is>
      </c>
      <c r="L7778" t="inlineStr">
        <is>
          <t>17:43:15</t>
        </is>
      </c>
      <c r="M7778" t="inlineStr">
        <is>
          <t>17:43:35</t>
        </is>
      </c>
    </row>
    <row r="7779" ht="15" customHeight="1" s="37">
      <c r="A7779" t="n">
        <v>22</v>
      </c>
      <c r="B7779" s="10" t="inlineStr">
        <is>
          <t>平日</t>
        </is>
      </c>
      <c r="C7779" s="10" t="inlineStr">
        <is>
          <t>北野線</t>
        </is>
      </c>
      <c r="D7779" s="10" t="inlineStr">
        <is>
          <t>上り</t>
        </is>
      </c>
      <c r="E7779" t="inlineStr">
        <is>
          <t>1758</t>
        </is>
      </c>
      <c r="F7779" t="inlineStr">
        <is>
          <t>0354</t>
        </is>
      </c>
      <c r="G7779" s="10" t="inlineStr">
        <is>
          <t>妙心寺</t>
        </is>
      </c>
      <c r="H7779" s="10" t="inlineStr">
        <is>
          <t>発</t>
        </is>
      </c>
      <c r="J7779" s="10" t="inlineStr">
        <is>
          <t>営業</t>
        </is>
      </c>
      <c r="L7779" t="inlineStr">
        <is>
          <t>17:44:35</t>
        </is>
      </c>
      <c r="M7779" t="inlineStr">
        <is>
          <t>17:44:50</t>
        </is>
      </c>
    </row>
    <row r="7780" ht="15" customHeight="1" s="37">
      <c r="A7780" t="n">
        <v>22</v>
      </c>
      <c r="B7780" s="10" t="inlineStr">
        <is>
          <t>平日</t>
        </is>
      </c>
      <c r="C7780" s="10" t="inlineStr">
        <is>
          <t>北野線</t>
        </is>
      </c>
      <c r="D7780" s="10" t="inlineStr">
        <is>
          <t>上り</t>
        </is>
      </c>
      <c r="E7780" t="inlineStr">
        <is>
          <t>1758</t>
        </is>
      </c>
      <c r="F7780" t="inlineStr">
        <is>
          <t>0354</t>
        </is>
      </c>
      <c r="G7780" s="10" t="inlineStr">
        <is>
          <t>龍安寺</t>
        </is>
      </c>
      <c r="H7780" s="10" t="inlineStr">
        <is>
          <t>発</t>
        </is>
      </c>
      <c r="J7780" s="10" t="inlineStr">
        <is>
          <t>営業</t>
        </is>
      </c>
      <c r="L7780" t="inlineStr">
        <is>
          <t>17:45:45</t>
        </is>
      </c>
      <c r="M7780" t="inlineStr">
        <is>
          <t>17:45:55</t>
        </is>
      </c>
    </row>
    <row r="7781" ht="15" customHeight="1" s="37">
      <c r="A7781" t="n">
        <v>22</v>
      </c>
      <c r="B7781" s="10" t="inlineStr">
        <is>
          <t>平日</t>
        </is>
      </c>
      <c r="C7781" s="10" t="inlineStr">
        <is>
          <t>北野線</t>
        </is>
      </c>
      <c r="D7781" s="10" t="inlineStr">
        <is>
          <t>上り</t>
        </is>
      </c>
      <c r="E7781" t="inlineStr">
        <is>
          <t>1758</t>
        </is>
      </c>
      <c r="F7781" t="inlineStr">
        <is>
          <t>0354</t>
        </is>
      </c>
      <c r="G7781" s="10" t="inlineStr">
        <is>
          <t>等持院</t>
        </is>
      </c>
      <c r="H7781" s="10" t="inlineStr">
        <is>
          <t>発</t>
        </is>
      </c>
      <c r="J7781" s="10" t="inlineStr">
        <is>
          <t>営業</t>
        </is>
      </c>
      <c r="L7781" t="inlineStr">
        <is>
          <t>17:46:35</t>
        </is>
      </c>
      <c r="M7781" t="inlineStr">
        <is>
          <t>17:46:55</t>
        </is>
      </c>
    </row>
    <row r="7782" ht="15" customHeight="1" s="37">
      <c r="A7782" t="n">
        <v>22</v>
      </c>
      <c r="B7782" s="10" t="inlineStr">
        <is>
          <t>平日</t>
        </is>
      </c>
      <c r="C7782" s="10" t="inlineStr">
        <is>
          <t>北野線</t>
        </is>
      </c>
      <c r="D7782" s="10" t="inlineStr">
        <is>
          <t>上り</t>
        </is>
      </c>
      <c r="E7782" t="inlineStr">
        <is>
          <t>1758</t>
        </is>
      </c>
      <c r="F7782" t="inlineStr">
        <is>
          <t>0354</t>
        </is>
      </c>
      <c r="G7782" s="10" t="inlineStr">
        <is>
          <t>北野白梅町</t>
        </is>
      </c>
      <c r="H7782" s="10" t="inlineStr">
        <is>
          <t>着</t>
        </is>
      </c>
      <c r="J7782" s="10" t="inlineStr">
        <is>
          <t>営業</t>
        </is>
      </c>
      <c r="L7782" t="inlineStr">
        <is>
          <t>17:48:15</t>
        </is>
      </c>
      <c r="Q7782" t="inlineStr">
        <is>
          <t>1</t>
        </is>
      </c>
    </row>
    <row r="7783" ht="15" customHeight="1" s="37">
      <c r="A7783" t="n">
        <v>22</v>
      </c>
      <c r="B7783" s="10" t="inlineStr">
        <is>
          <t>平日</t>
        </is>
      </c>
      <c r="C7783" s="10" t="inlineStr">
        <is>
          <t>北野線</t>
        </is>
      </c>
      <c r="D7783" s="10" t="inlineStr">
        <is>
          <t>下り</t>
        </is>
      </c>
      <c r="E7783" t="inlineStr">
        <is>
          <t>1761</t>
        </is>
      </c>
      <c r="F7783" t="inlineStr">
        <is>
          <t>0453</t>
        </is>
      </c>
      <c r="G7783" s="10" t="inlineStr">
        <is>
          <t>北野白梅町</t>
        </is>
      </c>
      <c r="H7783" s="10" t="inlineStr">
        <is>
          <t>発</t>
        </is>
      </c>
      <c r="J7783" s="10" t="inlineStr">
        <is>
          <t>営業</t>
        </is>
      </c>
      <c r="M7783" t="inlineStr">
        <is>
          <t>17:53:00</t>
        </is>
      </c>
      <c r="Q7783" t="inlineStr">
        <is>
          <t>1</t>
        </is>
      </c>
    </row>
    <row r="7784" ht="15" customHeight="1" s="37">
      <c r="A7784" t="n">
        <v>22</v>
      </c>
      <c r="B7784" s="10" t="inlineStr">
        <is>
          <t>平日</t>
        </is>
      </c>
      <c r="C7784" s="10" t="inlineStr">
        <is>
          <t>北野線</t>
        </is>
      </c>
      <c r="D7784" s="10" t="inlineStr">
        <is>
          <t>下り</t>
        </is>
      </c>
      <c r="E7784" t="inlineStr">
        <is>
          <t>1761</t>
        </is>
      </c>
      <c r="F7784" t="inlineStr">
        <is>
          <t>0453</t>
        </is>
      </c>
      <c r="G7784" s="10" t="inlineStr">
        <is>
          <t>等持院</t>
        </is>
      </c>
      <c r="H7784" s="10" t="inlineStr">
        <is>
          <t>発</t>
        </is>
      </c>
      <c r="J7784" s="10" t="inlineStr">
        <is>
          <t>営業</t>
        </is>
      </c>
      <c r="L7784" t="inlineStr">
        <is>
          <t>17:54:25</t>
        </is>
      </c>
      <c r="M7784" t="inlineStr">
        <is>
          <t>17:54:35</t>
        </is>
      </c>
    </row>
    <row r="7785" ht="15" customHeight="1" s="37">
      <c r="A7785" t="n">
        <v>22</v>
      </c>
      <c r="B7785" s="10" t="inlineStr">
        <is>
          <t>平日</t>
        </is>
      </c>
      <c r="C7785" s="10" t="inlineStr">
        <is>
          <t>北野線</t>
        </is>
      </c>
      <c r="D7785" s="10" t="inlineStr">
        <is>
          <t>下り</t>
        </is>
      </c>
      <c r="E7785" t="inlineStr">
        <is>
          <t>1761</t>
        </is>
      </c>
      <c r="F7785" t="inlineStr">
        <is>
          <t>0453</t>
        </is>
      </c>
      <c r="G7785" s="10" t="inlineStr">
        <is>
          <t>龍安寺</t>
        </is>
      </c>
      <c r="H7785" s="10" t="inlineStr">
        <is>
          <t>発</t>
        </is>
      </c>
      <c r="J7785" s="10" t="inlineStr">
        <is>
          <t>営業</t>
        </is>
      </c>
      <c r="L7785" t="inlineStr">
        <is>
          <t>17:55:25</t>
        </is>
      </c>
      <c r="M7785" t="inlineStr">
        <is>
          <t>17:55:50</t>
        </is>
      </c>
    </row>
    <row r="7786" ht="15" customHeight="1" s="37">
      <c r="A7786" t="n">
        <v>22</v>
      </c>
      <c r="B7786" s="10" t="inlineStr">
        <is>
          <t>平日</t>
        </is>
      </c>
      <c r="C7786" s="10" t="inlineStr">
        <is>
          <t>北野線</t>
        </is>
      </c>
      <c r="D7786" s="10" t="inlineStr">
        <is>
          <t>下り</t>
        </is>
      </c>
      <c r="E7786" t="inlineStr">
        <is>
          <t>1761</t>
        </is>
      </c>
      <c r="F7786" t="inlineStr">
        <is>
          <t>0453</t>
        </is>
      </c>
      <c r="G7786" s="10" t="inlineStr">
        <is>
          <t>妙心寺</t>
        </is>
      </c>
      <c r="H7786" s="10" t="inlineStr">
        <is>
          <t>発</t>
        </is>
      </c>
      <c r="J7786" s="10" t="inlineStr">
        <is>
          <t>営業</t>
        </is>
      </c>
      <c r="L7786" t="inlineStr">
        <is>
          <t>17:56:40</t>
        </is>
      </c>
      <c r="M7786" t="inlineStr">
        <is>
          <t>17:56:50</t>
        </is>
      </c>
    </row>
    <row r="7787" ht="15" customHeight="1" s="37">
      <c r="A7787" t="n">
        <v>22</v>
      </c>
      <c r="B7787" s="10" t="inlineStr">
        <is>
          <t>平日</t>
        </is>
      </c>
      <c r="C7787" s="10" t="inlineStr">
        <is>
          <t>北野線</t>
        </is>
      </c>
      <c r="D7787" s="10" t="inlineStr">
        <is>
          <t>下り</t>
        </is>
      </c>
      <c r="E7787" t="inlineStr">
        <is>
          <t>1761</t>
        </is>
      </c>
      <c r="F7787" t="inlineStr">
        <is>
          <t>0453</t>
        </is>
      </c>
      <c r="G7787" s="10" t="inlineStr">
        <is>
          <t>御室仁和寺</t>
        </is>
      </c>
      <c r="H7787" s="10" t="inlineStr">
        <is>
          <t>発</t>
        </is>
      </c>
      <c r="J7787" s="10" t="inlineStr">
        <is>
          <t>営業</t>
        </is>
      </c>
      <c r="L7787" t="inlineStr">
        <is>
          <t>17:57:50</t>
        </is>
      </c>
      <c r="M7787" t="inlineStr">
        <is>
          <t>17:58:05</t>
        </is>
      </c>
    </row>
    <row r="7788" ht="15" customHeight="1" s="37">
      <c r="A7788" t="n">
        <v>22</v>
      </c>
      <c r="B7788" s="10" t="inlineStr">
        <is>
          <t>平日</t>
        </is>
      </c>
      <c r="C7788" s="10" t="inlineStr">
        <is>
          <t>北野線</t>
        </is>
      </c>
      <c r="D7788" s="10" t="inlineStr">
        <is>
          <t>下り</t>
        </is>
      </c>
      <c r="E7788" t="inlineStr">
        <is>
          <t>1761</t>
        </is>
      </c>
      <c r="F7788" t="inlineStr">
        <is>
          <t>0453</t>
        </is>
      </c>
      <c r="G7788" s="10" t="inlineStr">
        <is>
          <t>宇多野</t>
        </is>
      </c>
      <c r="H7788" s="10" t="inlineStr">
        <is>
          <t>発</t>
        </is>
      </c>
      <c r="J7788" s="10" t="inlineStr">
        <is>
          <t>営業</t>
        </is>
      </c>
      <c r="L7788" t="inlineStr">
        <is>
          <t>17:59:05</t>
        </is>
      </c>
      <c r="M7788" t="inlineStr">
        <is>
          <t>17:59:15</t>
        </is>
      </c>
    </row>
    <row r="7789" ht="15" customHeight="1" s="37">
      <c r="A7789" t="n">
        <v>22</v>
      </c>
      <c r="B7789" s="10" t="inlineStr">
        <is>
          <t>平日</t>
        </is>
      </c>
      <c r="C7789" s="10" t="inlineStr">
        <is>
          <t>北野線</t>
        </is>
      </c>
      <c r="D7789" s="10" t="inlineStr">
        <is>
          <t>下り</t>
        </is>
      </c>
      <c r="E7789" t="inlineStr">
        <is>
          <t>1761</t>
        </is>
      </c>
      <c r="F7789" t="inlineStr">
        <is>
          <t>0453</t>
        </is>
      </c>
      <c r="G7789" s="10" t="inlineStr">
        <is>
          <t>鳴滝</t>
        </is>
      </c>
      <c r="H7789" s="10" t="inlineStr">
        <is>
          <t>発</t>
        </is>
      </c>
      <c r="J7789" s="10" t="inlineStr">
        <is>
          <t>営業</t>
        </is>
      </c>
      <c r="L7789" t="inlineStr">
        <is>
          <t>18:00:35</t>
        </is>
      </c>
      <c r="M7789" t="inlineStr">
        <is>
          <t>18:00:45</t>
        </is>
      </c>
    </row>
    <row r="7790" ht="15" customHeight="1" s="37">
      <c r="A7790" t="n">
        <v>22</v>
      </c>
      <c r="B7790" s="10" t="inlineStr">
        <is>
          <t>平日</t>
        </is>
      </c>
      <c r="C7790" s="10" t="inlineStr">
        <is>
          <t>北野線</t>
        </is>
      </c>
      <c r="D7790" s="10" t="inlineStr">
        <is>
          <t>下り</t>
        </is>
      </c>
      <c r="E7790" t="inlineStr">
        <is>
          <t>1761</t>
        </is>
      </c>
      <c r="F7790" t="inlineStr">
        <is>
          <t>0453</t>
        </is>
      </c>
      <c r="G7790" s="10" t="inlineStr">
        <is>
          <t>常盤</t>
        </is>
      </c>
      <c r="H7790" s="10" t="inlineStr">
        <is>
          <t>発</t>
        </is>
      </c>
      <c r="J7790" s="10" t="inlineStr">
        <is>
          <t>営業</t>
        </is>
      </c>
      <c r="L7790" t="inlineStr">
        <is>
          <t>18:01:35</t>
        </is>
      </c>
      <c r="M7790" t="inlineStr">
        <is>
          <t>18:01:55</t>
        </is>
      </c>
    </row>
    <row r="7791" ht="15" customHeight="1" s="37">
      <c r="A7791" t="n">
        <v>22</v>
      </c>
      <c r="B7791" s="10" t="inlineStr">
        <is>
          <t>平日</t>
        </is>
      </c>
      <c r="C7791" s="10" t="inlineStr">
        <is>
          <t>北野線</t>
        </is>
      </c>
      <c r="D7791" s="10" t="inlineStr">
        <is>
          <t>下り</t>
        </is>
      </c>
      <c r="E7791" t="inlineStr">
        <is>
          <t>1761</t>
        </is>
      </c>
      <c r="F7791" t="inlineStr">
        <is>
          <t>0453</t>
        </is>
      </c>
      <c r="G7791" s="10" t="inlineStr">
        <is>
          <t>撮影所前</t>
        </is>
      </c>
      <c r="H7791" s="10" t="inlineStr">
        <is>
          <t>発</t>
        </is>
      </c>
      <c r="J7791" s="10" t="inlineStr">
        <is>
          <t>営業</t>
        </is>
      </c>
      <c r="L7791" t="inlineStr">
        <is>
          <t>18:03:15</t>
        </is>
      </c>
      <c r="M7791" t="inlineStr">
        <is>
          <t>18:03:30</t>
        </is>
      </c>
    </row>
    <row r="7792" ht="15" customHeight="1" s="37">
      <c r="A7792" t="n">
        <v>22</v>
      </c>
      <c r="B7792" s="10" t="inlineStr">
        <is>
          <t>平日</t>
        </is>
      </c>
      <c r="C7792" s="10" t="inlineStr">
        <is>
          <t>北野線</t>
        </is>
      </c>
      <c r="D7792" s="10" t="inlineStr">
        <is>
          <t>下り</t>
        </is>
      </c>
      <c r="E7792" t="inlineStr">
        <is>
          <t>1761</t>
        </is>
      </c>
      <c r="F7792" t="inlineStr">
        <is>
          <t>0453</t>
        </is>
      </c>
      <c r="G7792" s="10" t="inlineStr">
        <is>
          <t>帷子ノ辻</t>
        </is>
      </c>
      <c r="H7792" s="10" t="inlineStr">
        <is>
          <t>着</t>
        </is>
      </c>
      <c r="J7792" s="10" t="inlineStr">
        <is>
          <t>営業</t>
        </is>
      </c>
      <c r="L7792" t="inlineStr">
        <is>
          <t>18:04:25</t>
        </is>
      </c>
      <c r="Q7792" t="inlineStr">
        <is>
          <t>3</t>
        </is>
      </c>
    </row>
    <row r="7793" ht="15" customHeight="1" s="37">
      <c r="A7793" t="n">
        <v>22</v>
      </c>
      <c r="B7793" s="10" t="inlineStr">
        <is>
          <t>平日</t>
        </is>
      </c>
      <c r="C7793" s="10" t="inlineStr">
        <is>
          <t>北野線</t>
        </is>
      </c>
      <c r="D7793" s="10" t="inlineStr">
        <is>
          <t>上り</t>
        </is>
      </c>
      <c r="E7793" t="inlineStr">
        <is>
          <t>1854</t>
        </is>
      </c>
      <c r="F7793" t="inlineStr">
        <is>
          <t>0304</t>
        </is>
      </c>
      <c r="G7793" s="10" t="inlineStr">
        <is>
          <t>帷子ノ辻</t>
        </is>
      </c>
      <c r="H7793" s="10" t="inlineStr">
        <is>
          <t>発</t>
        </is>
      </c>
      <c r="J7793" s="10" t="inlineStr">
        <is>
          <t>営業</t>
        </is>
      </c>
      <c r="M7793" t="inlineStr">
        <is>
          <t>18:16:25</t>
        </is>
      </c>
      <c r="Q7793" t="inlineStr">
        <is>
          <t>3</t>
        </is>
      </c>
    </row>
    <row r="7794" ht="15" customHeight="1" s="37">
      <c r="A7794" t="n">
        <v>22</v>
      </c>
      <c r="B7794" s="10" t="inlineStr">
        <is>
          <t>平日</t>
        </is>
      </c>
      <c r="C7794" s="10" t="inlineStr">
        <is>
          <t>北野線</t>
        </is>
      </c>
      <c r="D7794" s="10" t="inlineStr">
        <is>
          <t>上り</t>
        </is>
      </c>
      <c r="E7794" t="inlineStr">
        <is>
          <t>1854</t>
        </is>
      </c>
      <c r="F7794" t="inlineStr">
        <is>
          <t>0304</t>
        </is>
      </c>
      <c r="G7794" s="10" t="inlineStr">
        <is>
          <t>撮影所前</t>
        </is>
      </c>
      <c r="H7794" s="10" t="inlineStr">
        <is>
          <t>発</t>
        </is>
      </c>
      <c r="J7794" s="10" t="inlineStr">
        <is>
          <t>営業</t>
        </is>
      </c>
      <c r="L7794" t="inlineStr">
        <is>
          <t>18:17:25</t>
        </is>
      </c>
      <c r="M7794" t="inlineStr">
        <is>
          <t>18:17:40</t>
        </is>
      </c>
    </row>
    <row r="7795" ht="15" customHeight="1" s="37">
      <c r="A7795" t="n">
        <v>22</v>
      </c>
      <c r="B7795" s="10" t="inlineStr">
        <is>
          <t>平日</t>
        </is>
      </c>
      <c r="C7795" s="10" t="inlineStr">
        <is>
          <t>北野線</t>
        </is>
      </c>
      <c r="D7795" s="10" t="inlineStr">
        <is>
          <t>上り</t>
        </is>
      </c>
      <c r="E7795" t="inlineStr">
        <is>
          <t>1854</t>
        </is>
      </c>
      <c r="F7795" t="inlineStr">
        <is>
          <t>0304</t>
        </is>
      </c>
      <c r="G7795" s="10" t="inlineStr">
        <is>
          <t>常盤</t>
        </is>
      </c>
      <c r="H7795" s="10" t="inlineStr">
        <is>
          <t>発</t>
        </is>
      </c>
      <c r="J7795" s="10" t="inlineStr">
        <is>
          <t>営業</t>
        </is>
      </c>
      <c r="L7795" t="inlineStr">
        <is>
          <t>18:19:00</t>
        </is>
      </c>
      <c r="M7795" t="inlineStr">
        <is>
          <t>18:19:20</t>
        </is>
      </c>
    </row>
    <row r="7796" ht="15" customHeight="1" s="37">
      <c r="A7796" t="n">
        <v>22</v>
      </c>
      <c r="B7796" s="10" t="inlineStr">
        <is>
          <t>平日</t>
        </is>
      </c>
      <c r="C7796" s="10" t="inlineStr">
        <is>
          <t>北野線</t>
        </is>
      </c>
      <c r="D7796" s="10" t="inlineStr">
        <is>
          <t>上り</t>
        </is>
      </c>
      <c r="E7796" t="inlineStr">
        <is>
          <t>1854</t>
        </is>
      </c>
      <c r="F7796" t="inlineStr">
        <is>
          <t>0304</t>
        </is>
      </c>
      <c r="G7796" s="10" t="inlineStr">
        <is>
          <t>鳴滝</t>
        </is>
      </c>
      <c r="H7796" s="10" t="inlineStr">
        <is>
          <t>発</t>
        </is>
      </c>
      <c r="J7796" s="10" t="inlineStr">
        <is>
          <t>営業</t>
        </is>
      </c>
      <c r="L7796" t="inlineStr">
        <is>
          <t>18:20:20</t>
        </is>
      </c>
      <c r="M7796" t="inlineStr">
        <is>
          <t>18:20:40</t>
        </is>
      </c>
    </row>
    <row r="7797" ht="15" customHeight="1" s="37">
      <c r="A7797" t="n">
        <v>22</v>
      </c>
      <c r="B7797" s="10" t="inlineStr">
        <is>
          <t>平日</t>
        </is>
      </c>
      <c r="C7797" s="10" t="inlineStr">
        <is>
          <t>北野線</t>
        </is>
      </c>
      <c r="D7797" s="10" t="inlineStr">
        <is>
          <t>上り</t>
        </is>
      </c>
      <c r="E7797" t="inlineStr">
        <is>
          <t>1854</t>
        </is>
      </c>
      <c r="F7797" t="inlineStr">
        <is>
          <t>0304</t>
        </is>
      </c>
      <c r="G7797" s="10" t="inlineStr">
        <is>
          <t>宇多野</t>
        </is>
      </c>
      <c r="H7797" s="10" t="inlineStr">
        <is>
          <t>発</t>
        </is>
      </c>
      <c r="J7797" s="10" t="inlineStr">
        <is>
          <t>営業</t>
        </is>
      </c>
      <c r="L7797" t="inlineStr">
        <is>
          <t>18:22:00</t>
        </is>
      </c>
      <c r="M7797" t="inlineStr">
        <is>
          <t>18:22:15</t>
        </is>
      </c>
    </row>
    <row r="7798" ht="15" customHeight="1" s="37">
      <c r="A7798" t="n">
        <v>22</v>
      </c>
      <c r="B7798" s="10" t="inlineStr">
        <is>
          <t>平日</t>
        </is>
      </c>
      <c r="C7798" s="10" t="inlineStr">
        <is>
          <t>北野線</t>
        </is>
      </c>
      <c r="D7798" s="10" t="inlineStr">
        <is>
          <t>上り</t>
        </is>
      </c>
      <c r="E7798" t="inlineStr">
        <is>
          <t>1854</t>
        </is>
      </c>
      <c r="F7798" t="inlineStr">
        <is>
          <t>0304</t>
        </is>
      </c>
      <c r="G7798" s="10" t="inlineStr">
        <is>
          <t>御室仁和寺</t>
        </is>
      </c>
      <c r="H7798" s="10" t="inlineStr">
        <is>
          <t>発</t>
        </is>
      </c>
      <c r="J7798" s="10" t="inlineStr">
        <is>
          <t>営業</t>
        </is>
      </c>
      <c r="L7798" t="inlineStr">
        <is>
          <t>18:23:15</t>
        </is>
      </c>
      <c r="M7798" t="inlineStr">
        <is>
          <t>18:23:35</t>
        </is>
      </c>
    </row>
    <row r="7799" ht="15" customHeight="1" s="37">
      <c r="A7799" t="n">
        <v>22</v>
      </c>
      <c r="B7799" s="10" t="inlineStr">
        <is>
          <t>平日</t>
        </is>
      </c>
      <c r="C7799" s="10" t="inlineStr">
        <is>
          <t>北野線</t>
        </is>
      </c>
      <c r="D7799" s="10" t="inlineStr">
        <is>
          <t>上り</t>
        </is>
      </c>
      <c r="E7799" t="inlineStr">
        <is>
          <t>1854</t>
        </is>
      </c>
      <c r="F7799" t="inlineStr">
        <is>
          <t>0304</t>
        </is>
      </c>
      <c r="G7799" s="10" t="inlineStr">
        <is>
          <t>妙心寺</t>
        </is>
      </c>
      <c r="H7799" s="10" t="inlineStr">
        <is>
          <t>発</t>
        </is>
      </c>
      <c r="J7799" s="10" t="inlineStr">
        <is>
          <t>営業</t>
        </is>
      </c>
      <c r="L7799" t="inlineStr">
        <is>
          <t>18:24:35</t>
        </is>
      </c>
      <c r="M7799" t="inlineStr">
        <is>
          <t>18:24:50</t>
        </is>
      </c>
    </row>
    <row r="7800" ht="15" customHeight="1" s="37">
      <c r="A7800" t="n">
        <v>22</v>
      </c>
      <c r="B7800" s="10" t="inlineStr">
        <is>
          <t>平日</t>
        </is>
      </c>
      <c r="C7800" s="10" t="inlineStr">
        <is>
          <t>北野線</t>
        </is>
      </c>
      <c r="D7800" s="10" t="inlineStr">
        <is>
          <t>上り</t>
        </is>
      </c>
      <c r="E7800" t="inlineStr">
        <is>
          <t>1854</t>
        </is>
      </c>
      <c r="F7800" t="inlineStr">
        <is>
          <t>0304</t>
        </is>
      </c>
      <c r="G7800" s="10" t="inlineStr">
        <is>
          <t>龍安寺</t>
        </is>
      </c>
      <c r="H7800" s="10" t="inlineStr">
        <is>
          <t>発</t>
        </is>
      </c>
      <c r="J7800" s="10" t="inlineStr">
        <is>
          <t>営業</t>
        </is>
      </c>
      <c r="L7800" t="inlineStr">
        <is>
          <t>18:25:45</t>
        </is>
      </c>
      <c r="M7800" t="inlineStr">
        <is>
          <t>18:25:55</t>
        </is>
      </c>
    </row>
    <row r="7801" ht="15" customHeight="1" s="37">
      <c r="A7801" t="n">
        <v>22</v>
      </c>
      <c r="B7801" s="10" t="inlineStr">
        <is>
          <t>平日</t>
        </is>
      </c>
      <c r="C7801" s="10" t="inlineStr">
        <is>
          <t>北野線</t>
        </is>
      </c>
      <c r="D7801" s="10" t="inlineStr">
        <is>
          <t>上り</t>
        </is>
      </c>
      <c r="E7801" t="inlineStr">
        <is>
          <t>1854</t>
        </is>
      </c>
      <c r="F7801" t="inlineStr">
        <is>
          <t>0304</t>
        </is>
      </c>
      <c r="G7801" s="10" t="inlineStr">
        <is>
          <t>等持院</t>
        </is>
      </c>
      <c r="H7801" s="10" t="inlineStr">
        <is>
          <t>発</t>
        </is>
      </c>
      <c r="J7801" s="10" t="inlineStr">
        <is>
          <t>営業</t>
        </is>
      </c>
      <c r="L7801" t="inlineStr">
        <is>
          <t>18:26:35</t>
        </is>
      </c>
      <c r="M7801" t="inlineStr">
        <is>
          <t>18:26:55</t>
        </is>
      </c>
    </row>
    <row r="7802" ht="15" customHeight="1" s="37">
      <c r="A7802" t="n">
        <v>22</v>
      </c>
      <c r="B7802" s="10" t="inlineStr">
        <is>
          <t>平日</t>
        </is>
      </c>
      <c r="C7802" s="10" t="inlineStr">
        <is>
          <t>北野線</t>
        </is>
      </c>
      <c r="D7802" s="10" t="inlineStr">
        <is>
          <t>上り</t>
        </is>
      </c>
      <c r="E7802" t="inlineStr">
        <is>
          <t>1854</t>
        </is>
      </c>
      <c r="F7802" t="inlineStr">
        <is>
          <t>0304</t>
        </is>
      </c>
      <c r="G7802" s="10" t="inlineStr">
        <is>
          <t>北野白梅町</t>
        </is>
      </c>
      <c r="H7802" s="10" t="inlineStr">
        <is>
          <t>着</t>
        </is>
      </c>
      <c r="J7802" s="10" t="inlineStr">
        <is>
          <t>営業</t>
        </is>
      </c>
      <c r="L7802" t="inlineStr">
        <is>
          <t>18:28:15</t>
        </is>
      </c>
      <c r="N7802" t="inlineStr">
        <is>
          <t>○</t>
        </is>
      </c>
      <c r="Q7802" t="inlineStr">
        <is>
          <t>1</t>
        </is>
      </c>
    </row>
    <row r="7803" ht="15" customHeight="1" s="37">
      <c r="A7803" t="n">
        <v>22</v>
      </c>
      <c r="B7803" s="10" t="inlineStr">
        <is>
          <t>平日</t>
        </is>
      </c>
      <c r="C7803" s="10" t="inlineStr">
        <is>
          <t>北野線</t>
        </is>
      </c>
      <c r="D7803" s="10" t="inlineStr">
        <is>
          <t>下り</t>
        </is>
      </c>
      <c r="E7803" t="inlineStr">
        <is>
          <t>1857</t>
        </is>
      </c>
      <c r="F7803" t="inlineStr">
        <is>
          <t>0453</t>
        </is>
      </c>
      <c r="G7803" s="10" t="inlineStr">
        <is>
          <t>北野白梅町</t>
        </is>
      </c>
      <c r="H7803" s="10" t="inlineStr">
        <is>
          <t>発</t>
        </is>
      </c>
      <c r="J7803" s="10" t="inlineStr">
        <is>
          <t>営業</t>
        </is>
      </c>
      <c r="M7803" t="inlineStr">
        <is>
          <t>18:33:00</t>
        </is>
      </c>
      <c r="Q7803" t="inlineStr">
        <is>
          <t>1</t>
        </is>
      </c>
    </row>
    <row r="7804" ht="16.5" customHeight="1" s="37">
      <c r="A7804" t="n">
        <v>22</v>
      </c>
      <c r="B7804" s="10" t="inlineStr">
        <is>
          <t>平日</t>
        </is>
      </c>
      <c r="C7804" s="10" t="inlineStr">
        <is>
          <t>北野線</t>
        </is>
      </c>
      <c r="D7804" s="10" t="inlineStr">
        <is>
          <t>下り</t>
        </is>
      </c>
      <c r="E7804" t="inlineStr">
        <is>
          <t>1857</t>
        </is>
      </c>
      <c r="F7804" t="inlineStr">
        <is>
          <t>0453</t>
        </is>
      </c>
      <c r="G7804" s="10" t="inlineStr">
        <is>
          <t>等持院</t>
        </is>
      </c>
      <c r="H7804" s="10" t="inlineStr">
        <is>
          <t>発</t>
        </is>
      </c>
      <c r="J7804" s="10" t="inlineStr">
        <is>
          <t>営業</t>
        </is>
      </c>
      <c r="L7804" t="inlineStr">
        <is>
          <t>18:34:25</t>
        </is>
      </c>
      <c r="M7804" t="inlineStr">
        <is>
          <t>18:34:35</t>
        </is>
      </c>
    </row>
    <row r="7805" ht="16.5" customHeight="1" s="37">
      <c r="A7805" t="n">
        <v>22</v>
      </c>
      <c r="B7805" s="10" t="inlineStr">
        <is>
          <t>平日</t>
        </is>
      </c>
      <c r="C7805" s="10" t="inlineStr">
        <is>
          <t>北野線</t>
        </is>
      </c>
      <c r="D7805" s="10" t="inlineStr">
        <is>
          <t>下り</t>
        </is>
      </c>
      <c r="E7805" t="inlineStr">
        <is>
          <t>1857</t>
        </is>
      </c>
      <c r="F7805" t="inlineStr">
        <is>
          <t>0453</t>
        </is>
      </c>
      <c r="G7805" s="10" t="inlineStr">
        <is>
          <t>龍安寺</t>
        </is>
      </c>
      <c r="H7805" s="10" t="inlineStr">
        <is>
          <t>発</t>
        </is>
      </c>
      <c r="J7805" s="10" t="inlineStr">
        <is>
          <t>営業</t>
        </is>
      </c>
      <c r="L7805" t="inlineStr">
        <is>
          <t>18:35:25</t>
        </is>
      </c>
      <c r="M7805" t="inlineStr">
        <is>
          <t>18:35:50</t>
        </is>
      </c>
    </row>
    <row r="7806" ht="15" customHeight="1" s="37">
      <c r="A7806" t="n">
        <v>22</v>
      </c>
      <c r="B7806" s="10" t="inlineStr">
        <is>
          <t>平日</t>
        </is>
      </c>
      <c r="C7806" s="10" t="inlineStr">
        <is>
          <t>北野線</t>
        </is>
      </c>
      <c r="D7806" s="10" t="inlineStr">
        <is>
          <t>下り</t>
        </is>
      </c>
      <c r="E7806" t="inlineStr">
        <is>
          <t>1857</t>
        </is>
      </c>
      <c r="F7806" t="inlineStr">
        <is>
          <t>0453</t>
        </is>
      </c>
      <c r="G7806" s="10" t="inlineStr">
        <is>
          <t>妙心寺</t>
        </is>
      </c>
      <c r="H7806" s="10" t="inlineStr">
        <is>
          <t>発</t>
        </is>
      </c>
      <c r="J7806" s="10" t="inlineStr">
        <is>
          <t>営業</t>
        </is>
      </c>
      <c r="L7806" t="inlineStr">
        <is>
          <t>18:36:40</t>
        </is>
      </c>
      <c r="M7806" t="inlineStr">
        <is>
          <t>18:36:50</t>
        </is>
      </c>
    </row>
    <row r="7807" ht="15" customHeight="1" s="37">
      <c r="A7807" t="n">
        <v>22</v>
      </c>
      <c r="B7807" s="10" t="inlineStr">
        <is>
          <t>平日</t>
        </is>
      </c>
      <c r="C7807" s="10" t="inlineStr">
        <is>
          <t>北野線</t>
        </is>
      </c>
      <c r="D7807" s="10" t="inlineStr">
        <is>
          <t>下り</t>
        </is>
      </c>
      <c r="E7807" t="inlineStr">
        <is>
          <t>1857</t>
        </is>
      </c>
      <c r="F7807" t="inlineStr">
        <is>
          <t>0453</t>
        </is>
      </c>
      <c r="G7807" s="10" t="inlineStr">
        <is>
          <t>御室仁和寺</t>
        </is>
      </c>
      <c r="H7807" s="10" t="inlineStr">
        <is>
          <t>発</t>
        </is>
      </c>
      <c r="J7807" s="10" t="inlineStr">
        <is>
          <t>営業</t>
        </is>
      </c>
      <c r="L7807" t="inlineStr">
        <is>
          <t>18:37:50</t>
        </is>
      </c>
      <c r="M7807" t="inlineStr">
        <is>
          <t>18:38:05</t>
        </is>
      </c>
    </row>
    <row r="7808" ht="15" customHeight="1" s="37">
      <c r="A7808" t="n">
        <v>22</v>
      </c>
      <c r="B7808" s="10" t="inlineStr">
        <is>
          <t>平日</t>
        </is>
      </c>
      <c r="C7808" s="10" t="inlineStr">
        <is>
          <t>北野線</t>
        </is>
      </c>
      <c r="D7808" s="10" t="inlineStr">
        <is>
          <t>下り</t>
        </is>
      </c>
      <c r="E7808" t="inlineStr">
        <is>
          <t>1857</t>
        </is>
      </c>
      <c r="F7808" t="inlineStr">
        <is>
          <t>0453</t>
        </is>
      </c>
      <c r="G7808" s="10" t="inlineStr">
        <is>
          <t>宇多野</t>
        </is>
      </c>
      <c r="H7808" s="10" t="inlineStr">
        <is>
          <t>発</t>
        </is>
      </c>
      <c r="J7808" s="10" t="inlineStr">
        <is>
          <t>営業</t>
        </is>
      </c>
      <c r="L7808" t="inlineStr">
        <is>
          <t>18:39:05</t>
        </is>
      </c>
      <c r="M7808" t="inlineStr">
        <is>
          <t>18:39:15</t>
        </is>
      </c>
    </row>
    <row r="7809" ht="15" customHeight="1" s="37">
      <c r="A7809" t="n">
        <v>22</v>
      </c>
      <c r="B7809" s="10" t="inlineStr">
        <is>
          <t>平日</t>
        </is>
      </c>
      <c r="C7809" s="10" t="inlineStr">
        <is>
          <t>北野線</t>
        </is>
      </c>
      <c r="D7809" s="10" t="inlineStr">
        <is>
          <t>下り</t>
        </is>
      </c>
      <c r="E7809" t="inlineStr">
        <is>
          <t>1857</t>
        </is>
      </c>
      <c r="F7809" t="inlineStr">
        <is>
          <t>0453</t>
        </is>
      </c>
      <c r="G7809" s="10" t="inlineStr">
        <is>
          <t>鳴滝</t>
        </is>
      </c>
      <c r="H7809" s="10" t="inlineStr">
        <is>
          <t>発</t>
        </is>
      </c>
      <c r="J7809" s="10" t="inlineStr">
        <is>
          <t>営業</t>
        </is>
      </c>
      <c r="L7809" t="inlineStr">
        <is>
          <t>18:40:35</t>
        </is>
      </c>
      <c r="M7809" t="inlineStr">
        <is>
          <t>18:40:45</t>
        </is>
      </c>
    </row>
    <row r="7810" ht="15" customHeight="1" s="37">
      <c r="A7810" t="n">
        <v>22</v>
      </c>
      <c r="B7810" s="10" t="inlineStr">
        <is>
          <t>平日</t>
        </is>
      </c>
      <c r="C7810" s="10" t="inlineStr">
        <is>
          <t>北野線</t>
        </is>
      </c>
      <c r="D7810" s="10" t="inlineStr">
        <is>
          <t>下り</t>
        </is>
      </c>
      <c r="E7810" t="inlineStr">
        <is>
          <t>1857</t>
        </is>
      </c>
      <c r="F7810" t="inlineStr">
        <is>
          <t>0453</t>
        </is>
      </c>
      <c r="G7810" s="10" t="inlineStr">
        <is>
          <t>常盤</t>
        </is>
      </c>
      <c r="H7810" s="10" t="inlineStr">
        <is>
          <t>発</t>
        </is>
      </c>
      <c r="J7810" s="10" t="inlineStr">
        <is>
          <t>営業</t>
        </is>
      </c>
      <c r="L7810" t="inlineStr">
        <is>
          <t>18:41:35</t>
        </is>
      </c>
      <c r="M7810" t="inlineStr">
        <is>
          <t>18:41:55</t>
        </is>
      </c>
    </row>
    <row r="7811" ht="15" customHeight="1" s="37">
      <c r="A7811" t="n">
        <v>22</v>
      </c>
      <c r="B7811" s="10" t="inlineStr">
        <is>
          <t>平日</t>
        </is>
      </c>
      <c r="C7811" s="10" t="inlineStr">
        <is>
          <t>北野線</t>
        </is>
      </c>
      <c r="D7811" s="10" t="inlineStr">
        <is>
          <t>下り</t>
        </is>
      </c>
      <c r="E7811" t="inlineStr">
        <is>
          <t>1857</t>
        </is>
      </c>
      <c r="F7811" t="inlineStr">
        <is>
          <t>0453</t>
        </is>
      </c>
      <c r="G7811" s="10" t="inlineStr">
        <is>
          <t>撮影所前</t>
        </is>
      </c>
      <c r="H7811" s="10" t="inlineStr">
        <is>
          <t>発</t>
        </is>
      </c>
      <c r="J7811" s="10" t="inlineStr">
        <is>
          <t>営業</t>
        </is>
      </c>
      <c r="L7811" t="inlineStr">
        <is>
          <t>18:43:15</t>
        </is>
      </c>
      <c r="M7811" t="inlineStr">
        <is>
          <t>18:43:30</t>
        </is>
      </c>
    </row>
    <row r="7812" ht="15" customHeight="1" s="37">
      <c r="A7812" t="n">
        <v>22</v>
      </c>
      <c r="B7812" s="10" t="inlineStr">
        <is>
          <t>平日</t>
        </is>
      </c>
      <c r="C7812" s="10" t="inlineStr">
        <is>
          <t>北野線</t>
        </is>
      </c>
      <c r="D7812" s="10" t="inlineStr">
        <is>
          <t>下り</t>
        </is>
      </c>
      <c r="E7812" t="inlineStr">
        <is>
          <t>1857</t>
        </is>
      </c>
      <c r="F7812" t="inlineStr">
        <is>
          <t>0453</t>
        </is>
      </c>
      <c r="G7812" s="10" t="inlineStr">
        <is>
          <t>帷子ノ辻</t>
        </is>
      </c>
      <c r="H7812" s="10" t="inlineStr">
        <is>
          <t>着</t>
        </is>
      </c>
      <c r="J7812" s="10" t="inlineStr">
        <is>
          <t>営業</t>
        </is>
      </c>
      <c r="L7812" t="inlineStr">
        <is>
          <t>18:44:25</t>
        </is>
      </c>
      <c r="Q7812" t="inlineStr">
        <is>
          <t>3</t>
        </is>
      </c>
    </row>
    <row r="7813" ht="15" customHeight="1" s="37">
      <c r="A7813" t="n">
        <v>22</v>
      </c>
      <c r="B7813" s="10" t="inlineStr">
        <is>
          <t>平日</t>
        </is>
      </c>
      <c r="C7813" s="10" t="inlineStr">
        <is>
          <t>北野線</t>
        </is>
      </c>
      <c r="D7813" s="10" t="inlineStr">
        <is>
          <t>上り</t>
        </is>
      </c>
      <c r="E7813" t="inlineStr">
        <is>
          <t>1862</t>
        </is>
      </c>
      <c r="F7813" t="inlineStr">
        <is>
          <t>0304</t>
        </is>
      </c>
      <c r="G7813" s="10" t="inlineStr">
        <is>
          <t>帷子ノ辻</t>
        </is>
      </c>
      <c r="H7813" s="10" t="inlineStr">
        <is>
          <t>発</t>
        </is>
      </c>
      <c r="J7813" s="10" t="inlineStr">
        <is>
          <t>営業</t>
        </is>
      </c>
      <c r="M7813" t="inlineStr">
        <is>
          <t>18:56:25</t>
        </is>
      </c>
      <c r="Q7813" t="inlineStr">
        <is>
          <t>3</t>
        </is>
      </c>
    </row>
    <row r="7814" ht="15" customHeight="1" s="37">
      <c r="A7814" t="n">
        <v>22</v>
      </c>
      <c r="B7814" s="10" t="inlineStr">
        <is>
          <t>平日</t>
        </is>
      </c>
      <c r="C7814" s="10" t="inlineStr">
        <is>
          <t>北野線</t>
        </is>
      </c>
      <c r="D7814" s="10" t="inlineStr">
        <is>
          <t>上り</t>
        </is>
      </c>
      <c r="E7814" t="inlineStr">
        <is>
          <t>1862</t>
        </is>
      </c>
      <c r="F7814" t="inlineStr">
        <is>
          <t>0304</t>
        </is>
      </c>
      <c r="G7814" s="10" t="inlineStr">
        <is>
          <t>撮影所前</t>
        </is>
      </c>
      <c r="H7814" s="10" t="inlineStr">
        <is>
          <t>発</t>
        </is>
      </c>
      <c r="J7814" s="10" t="inlineStr">
        <is>
          <t>営業</t>
        </is>
      </c>
      <c r="L7814" t="inlineStr">
        <is>
          <t>18:57:25</t>
        </is>
      </c>
      <c r="M7814" t="inlineStr">
        <is>
          <t>18:57:40</t>
        </is>
      </c>
    </row>
    <row r="7815" ht="15" customHeight="1" s="37">
      <c r="A7815" t="n">
        <v>22</v>
      </c>
      <c r="B7815" s="10" t="inlineStr">
        <is>
          <t>平日</t>
        </is>
      </c>
      <c r="C7815" s="10" t="inlineStr">
        <is>
          <t>北野線</t>
        </is>
      </c>
      <c r="D7815" s="10" t="inlineStr">
        <is>
          <t>上り</t>
        </is>
      </c>
      <c r="E7815" t="inlineStr">
        <is>
          <t>1862</t>
        </is>
      </c>
      <c r="F7815" t="inlineStr">
        <is>
          <t>0304</t>
        </is>
      </c>
      <c r="G7815" s="10" t="inlineStr">
        <is>
          <t>常盤</t>
        </is>
      </c>
      <c r="H7815" s="10" t="inlineStr">
        <is>
          <t>発</t>
        </is>
      </c>
      <c r="J7815" s="10" t="inlineStr">
        <is>
          <t>営業</t>
        </is>
      </c>
      <c r="L7815" t="inlineStr">
        <is>
          <t>18:59:00</t>
        </is>
      </c>
      <c r="M7815" t="inlineStr">
        <is>
          <t>18:59:20</t>
        </is>
      </c>
    </row>
    <row r="7816" ht="15" customHeight="1" s="37">
      <c r="A7816" t="n">
        <v>22</v>
      </c>
      <c r="B7816" s="10" t="inlineStr">
        <is>
          <t>平日</t>
        </is>
      </c>
      <c r="C7816" s="10" t="inlineStr">
        <is>
          <t>北野線</t>
        </is>
      </c>
      <c r="D7816" s="10" t="inlineStr">
        <is>
          <t>上り</t>
        </is>
      </c>
      <c r="E7816" t="inlineStr">
        <is>
          <t>1862</t>
        </is>
      </c>
      <c r="F7816" t="inlineStr">
        <is>
          <t>0304</t>
        </is>
      </c>
      <c r="G7816" s="10" t="inlineStr">
        <is>
          <t>鳴滝</t>
        </is>
      </c>
      <c r="H7816" s="10" t="inlineStr">
        <is>
          <t>発</t>
        </is>
      </c>
      <c r="J7816" s="10" t="inlineStr">
        <is>
          <t>営業</t>
        </is>
      </c>
      <c r="L7816" t="inlineStr">
        <is>
          <t>19:00:20</t>
        </is>
      </c>
      <c r="M7816" t="inlineStr">
        <is>
          <t>19:00:40</t>
        </is>
      </c>
    </row>
    <row r="7817" ht="15" customHeight="1" s="37">
      <c r="A7817" t="n">
        <v>22</v>
      </c>
      <c r="B7817" s="10" t="inlineStr">
        <is>
          <t>平日</t>
        </is>
      </c>
      <c r="C7817" s="10" t="inlineStr">
        <is>
          <t>北野線</t>
        </is>
      </c>
      <c r="D7817" s="10" t="inlineStr">
        <is>
          <t>上り</t>
        </is>
      </c>
      <c r="E7817" t="inlineStr">
        <is>
          <t>1862</t>
        </is>
      </c>
      <c r="F7817" t="inlineStr">
        <is>
          <t>0304</t>
        </is>
      </c>
      <c r="G7817" s="10" t="inlineStr">
        <is>
          <t>宇多野</t>
        </is>
      </c>
      <c r="H7817" s="10" t="inlineStr">
        <is>
          <t>発</t>
        </is>
      </c>
      <c r="J7817" s="10" t="inlineStr">
        <is>
          <t>営業</t>
        </is>
      </c>
      <c r="L7817" t="inlineStr">
        <is>
          <t>19:02:00</t>
        </is>
      </c>
      <c r="M7817" t="inlineStr">
        <is>
          <t>19:02:15</t>
        </is>
      </c>
    </row>
    <row r="7818" ht="15" customHeight="1" s="37">
      <c r="A7818" t="n">
        <v>22</v>
      </c>
      <c r="B7818" s="10" t="inlineStr">
        <is>
          <t>平日</t>
        </is>
      </c>
      <c r="C7818" s="10" t="inlineStr">
        <is>
          <t>北野線</t>
        </is>
      </c>
      <c r="D7818" s="10" t="inlineStr">
        <is>
          <t>上り</t>
        </is>
      </c>
      <c r="E7818" t="inlineStr">
        <is>
          <t>1862</t>
        </is>
      </c>
      <c r="F7818" t="inlineStr">
        <is>
          <t>0304</t>
        </is>
      </c>
      <c r="G7818" s="10" t="inlineStr">
        <is>
          <t>御室仁和寺</t>
        </is>
      </c>
      <c r="H7818" s="10" t="inlineStr">
        <is>
          <t>発</t>
        </is>
      </c>
      <c r="J7818" s="10" t="inlineStr">
        <is>
          <t>営業</t>
        </is>
      </c>
      <c r="L7818" t="inlineStr">
        <is>
          <t>19:03:15</t>
        </is>
      </c>
      <c r="M7818" t="inlineStr">
        <is>
          <t>19:03:35</t>
        </is>
      </c>
    </row>
    <row r="7819" ht="15" customHeight="1" s="37">
      <c r="A7819" t="n">
        <v>22</v>
      </c>
      <c r="B7819" s="10" t="inlineStr">
        <is>
          <t>平日</t>
        </is>
      </c>
      <c r="C7819" s="10" t="inlineStr">
        <is>
          <t>北野線</t>
        </is>
      </c>
      <c r="D7819" s="10" t="inlineStr">
        <is>
          <t>上り</t>
        </is>
      </c>
      <c r="E7819" t="inlineStr">
        <is>
          <t>1862</t>
        </is>
      </c>
      <c r="F7819" t="inlineStr">
        <is>
          <t>0304</t>
        </is>
      </c>
      <c r="G7819" s="10" t="inlineStr">
        <is>
          <t>妙心寺</t>
        </is>
      </c>
      <c r="H7819" s="10" t="inlineStr">
        <is>
          <t>発</t>
        </is>
      </c>
      <c r="J7819" s="10" t="inlineStr">
        <is>
          <t>営業</t>
        </is>
      </c>
      <c r="L7819" t="inlineStr">
        <is>
          <t>19:04:35</t>
        </is>
      </c>
      <c r="M7819" t="inlineStr">
        <is>
          <t>19:04:50</t>
        </is>
      </c>
    </row>
    <row r="7820" ht="15" customHeight="1" s="37">
      <c r="A7820" t="n">
        <v>22</v>
      </c>
      <c r="B7820" s="10" t="inlineStr">
        <is>
          <t>平日</t>
        </is>
      </c>
      <c r="C7820" s="10" t="inlineStr">
        <is>
          <t>北野線</t>
        </is>
      </c>
      <c r="D7820" s="10" t="inlineStr">
        <is>
          <t>上り</t>
        </is>
      </c>
      <c r="E7820" t="inlineStr">
        <is>
          <t>1862</t>
        </is>
      </c>
      <c r="F7820" t="inlineStr">
        <is>
          <t>0304</t>
        </is>
      </c>
      <c r="G7820" s="10" t="inlineStr">
        <is>
          <t>龍安寺</t>
        </is>
      </c>
      <c r="H7820" s="10" t="inlineStr">
        <is>
          <t>発</t>
        </is>
      </c>
      <c r="J7820" s="10" t="inlineStr">
        <is>
          <t>営業</t>
        </is>
      </c>
      <c r="L7820" t="inlineStr">
        <is>
          <t>19:05:45</t>
        </is>
      </c>
      <c r="M7820" t="inlineStr">
        <is>
          <t>19:05:55</t>
        </is>
      </c>
    </row>
    <row r="7821" ht="15" customHeight="1" s="37">
      <c r="A7821" t="n">
        <v>22</v>
      </c>
      <c r="B7821" s="10" t="inlineStr">
        <is>
          <t>平日</t>
        </is>
      </c>
      <c r="C7821" s="10" t="inlineStr">
        <is>
          <t>北野線</t>
        </is>
      </c>
      <c r="D7821" s="10" t="inlineStr">
        <is>
          <t>上り</t>
        </is>
      </c>
      <c r="E7821" t="inlineStr">
        <is>
          <t>1862</t>
        </is>
      </c>
      <c r="F7821" t="inlineStr">
        <is>
          <t>0304</t>
        </is>
      </c>
      <c r="G7821" s="10" t="inlineStr">
        <is>
          <t>等持院</t>
        </is>
      </c>
      <c r="H7821" s="10" t="inlineStr">
        <is>
          <t>発</t>
        </is>
      </c>
      <c r="J7821" s="10" t="inlineStr">
        <is>
          <t>営業</t>
        </is>
      </c>
      <c r="L7821" t="inlineStr">
        <is>
          <t>19:06:35</t>
        </is>
      </c>
      <c r="M7821" t="inlineStr">
        <is>
          <t>19:06:55</t>
        </is>
      </c>
    </row>
    <row r="7822" ht="15" customHeight="1" s="37">
      <c r="A7822" t="n">
        <v>22</v>
      </c>
      <c r="B7822" s="10" t="inlineStr">
        <is>
          <t>平日</t>
        </is>
      </c>
      <c r="C7822" s="10" t="inlineStr">
        <is>
          <t>北野線</t>
        </is>
      </c>
      <c r="D7822" s="10" t="inlineStr">
        <is>
          <t>上り</t>
        </is>
      </c>
      <c r="E7822" t="inlineStr">
        <is>
          <t>1862</t>
        </is>
      </c>
      <c r="F7822" t="inlineStr">
        <is>
          <t>0304</t>
        </is>
      </c>
      <c r="G7822" s="10" t="inlineStr">
        <is>
          <t>北野白梅町</t>
        </is>
      </c>
      <c r="H7822" s="10" t="inlineStr">
        <is>
          <t>着</t>
        </is>
      </c>
      <c r="J7822" s="10" t="inlineStr">
        <is>
          <t>営業</t>
        </is>
      </c>
      <c r="L7822" t="inlineStr">
        <is>
          <t>19:08:15</t>
        </is>
      </c>
      <c r="N7822" t="inlineStr">
        <is>
          <t>○</t>
        </is>
      </c>
      <c r="Q7822" t="inlineStr">
        <is>
          <t>1</t>
        </is>
      </c>
    </row>
    <row r="7823" ht="15" customHeight="1" s="37">
      <c r="A7823" t="n">
        <v>22</v>
      </c>
      <c r="B7823" s="10" t="inlineStr">
        <is>
          <t>平日</t>
        </is>
      </c>
      <c r="C7823" s="10" t="inlineStr">
        <is>
          <t>北野線</t>
        </is>
      </c>
      <c r="D7823" s="10" t="inlineStr">
        <is>
          <t>下り</t>
        </is>
      </c>
      <c r="E7823" t="inlineStr">
        <is>
          <t>1953</t>
        </is>
      </c>
      <c r="F7823" t="inlineStr">
        <is>
          <t>0453</t>
        </is>
      </c>
      <c r="G7823" s="10" t="inlineStr">
        <is>
          <t>北野白梅町</t>
        </is>
      </c>
      <c r="H7823" s="10" t="inlineStr">
        <is>
          <t>発</t>
        </is>
      </c>
      <c r="J7823" s="10" t="inlineStr">
        <is>
          <t>営業</t>
        </is>
      </c>
      <c r="M7823" t="inlineStr">
        <is>
          <t>19:13:00</t>
        </is>
      </c>
      <c r="Q7823" t="inlineStr">
        <is>
          <t>1</t>
        </is>
      </c>
    </row>
    <row r="7824" ht="15" customHeight="1" s="37">
      <c r="A7824" t="n">
        <v>22</v>
      </c>
      <c r="B7824" s="10" t="inlineStr">
        <is>
          <t>平日</t>
        </is>
      </c>
      <c r="C7824" s="10" t="inlineStr">
        <is>
          <t>北野線</t>
        </is>
      </c>
      <c r="D7824" s="10" t="inlineStr">
        <is>
          <t>下り</t>
        </is>
      </c>
      <c r="E7824" t="inlineStr">
        <is>
          <t>1953</t>
        </is>
      </c>
      <c r="F7824" t="inlineStr">
        <is>
          <t>0453</t>
        </is>
      </c>
      <c r="G7824" s="10" t="inlineStr">
        <is>
          <t>等持院</t>
        </is>
      </c>
      <c r="H7824" s="10" t="inlineStr">
        <is>
          <t>発</t>
        </is>
      </c>
      <c r="J7824" s="10" t="inlineStr">
        <is>
          <t>営業</t>
        </is>
      </c>
      <c r="L7824" t="inlineStr">
        <is>
          <t>19:14:25</t>
        </is>
      </c>
      <c r="M7824" t="inlineStr">
        <is>
          <t>19:14:35</t>
        </is>
      </c>
    </row>
    <row r="7825" ht="15" customHeight="1" s="37">
      <c r="A7825" t="n">
        <v>22</v>
      </c>
      <c r="B7825" s="10" t="inlineStr">
        <is>
          <t>平日</t>
        </is>
      </c>
      <c r="C7825" s="10" t="inlineStr">
        <is>
          <t>北野線</t>
        </is>
      </c>
      <c r="D7825" s="10" t="inlineStr">
        <is>
          <t>下り</t>
        </is>
      </c>
      <c r="E7825" t="inlineStr">
        <is>
          <t>1953</t>
        </is>
      </c>
      <c r="F7825" t="inlineStr">
        <is>
          <t>0453</t>
        </is>
      </c>
      <c r="G7825" s="10" t="inlineStr">
        <is>
          <t>龍安寺</t>
        </is>
      </c>
      <c r="H7825" s="10" t="inlineStr">
        <is>
          <t>発</t>
        </is>
      </c>
      <c r="J7825" s="10" t="inlineStr">
        <is>
          <t>営業</t>
        </is>
      </c>
      <c r="L7825" t="inlineStr">
        <is>
          <t>19:15:25</t>
        </is>
      </c>
      <c r="M7825" t="inlineStr">
        <is>
          <t>19:15:50</t>
        </is>
      </c>
    </row>
    <row r="7826" ht="15" customHeight="1" s="37">
      <c r="A7826" t="n">
        <v>22</v>
      </c>
      <c r="B7826" s="10" t="inlineStr">
        <is>
          <t>平日</t>
        </is>
      </c>
      <c r="C7826" s="10" t="inlineStr">
        <is>
          <t>北野線</t>
        </is>
      </c>
      <c r="D7826" s="10" t="inlineStr">
        <is>
          <t>下り</t>
        </is>
      </c>
      <c r="E7826" t="inlineStr">
        <is>
          <t>1953</t>
        </is>
      </c>
      <c r="F7826" t="inlineStr">
        <is>
          <t>0453</t>
        </is>
      </c>
      <c r="G7826" s="10" t="inlineStr">
        <is>
          <t>妙心寺</t>
        </is>
      </c>
      <c r="H7826" s="10" t="inlineStr">
        <is>
          <t>発</t>
        </is>
      </c>
      <c r="J7826" s="10" t="inlineStr">
        <is>
          <t>営業</t>
        </is>
      </c>
      <c r="L7826" t="inlineStr">
        <is>
          <t>19:16:40</t>
        </is>
      </c>
      <c r="M7826" t="inlineStr">
        <is>
          <t>19:16:50</t>
        </is>
      </c>
    </row>
    <row r="7827" ht="15" customHeight="1" s="37">
      <c r="A7827" t="n">
        <v>22</v>
      </c>
      <c r="B7827" s="10" t="inlineStr">
        <is>
          <t>平日</t>
        </is>
      </c>
      <c r="C7827" s="10" t="inlineStr">
        <is>
          <t>北野線</t>
        </is>
      </c>
      <c r="D7827" s="10" t="inlineStr">
        <is>
          <t>下り</t>
        </is>
      </c>
      <c r="E7827" t="inlineStr">
        <is>
          <t>1953</t>
        </is>
      </c>
      <c r="F7827" t="inlineStr">
        <is>
          <t>0453</t>
        </is>
      </c>
      <c r="G7827" s="10" t="inlineStr">
        <is>
          <t>御室仁和寺</t>
        </is>
      </c>
      <c r="H7827" s="10" t="inlineStr">
        <is>
          <t>発</t>
        </is>
      </c>
      <c r="J7827" s="10" t="inlineStr">
        <is>
          <t>営業</t>
        </is>
      </c>
      <c r="L7827" t="inlineStr">
        <is>
          <t>19:17:50</t>
        </is>
      </c>
      <c r="M7827" t="inlineStr">
        <is>
          <t>19:18:05</t>
        </is>
      </c>
    </row>
    <row r="7828" ht="15" customHeight="1" s="37">
      <c r="A7828" t="n">
        <v>22</v>
      </c>
      <c r="B7828" s="10" t="inlineStr">
        <is>
          <t>平日</t>
        </is>
      </c>
      <c r="C7828" s="10" t="inlineStr">
        <is>
          <t>北野線</t>
        </is>
      </c>
      <c r="D7828" s="10" t="inlineStr">
        <is>
          <t>下り</t>
        </is>
      </c>
      <c r="E7828" t="inlineStr">
        <is>
          <t>1953</t>
        </is>
      </c>
      <c r="F7828" t="inlineStr">
        <is>
          <t>0453</t>
        </is>
      </c>
      <c r="G7828" s="10" t="inlineStr">
        <is>
          <t>宇多野</t>
        </is>
      </c>
      <c r="H7828" s="10" t="inlineStr">
        <is>
          <t>発</t>
        </is>
      </c>
      <c r="J7828" s="10" t="inlineStr">
        <is>
          <t>営業</t>
        </is>
      </c>
      <c r="L7828" t="inlineStr">
        <is>
          <t>19:19:05</t>
        </is>
      </c>
      <c r="M7828" t="inlineStr">
        <is>
          <t>19:19:15</t>
        </is>
      </c>
    </row>
    <row r="7829" ht="15" customHeight="1" s="37">
      <c r="A7829" t="n">
        <v>22</v>
      </c>
      <c r="B7829" s="10" t="inlineStr">
        <is>
          <t>平日</t>
        </is>
      </c>
      <c r="C7829" s="10" t="inlineStr">
        <is>
          <t>北野線</t>
        </is>
      </c>
      <c r="D7829" s="10" t="inlineStr">
        <is>
          <t>下り</t>
        </is>
      </c>
      <c r="E7829" t="inlineStr">
        <is>
          <t>1953</t>
        </is>
      </c>
      <c r="F7829" t="inlineStr">
        <is>
          <t>0453</t>
        </is>
      </c>
      <c r="G7829" s="10" t="inlineStr">
        <is>
          <t>鳴滝</t>
        </is>
      </c>
      <c r="H7829" s="10" t="inlineStr">
        <is>
          <t>発</t>
        </is>
      </c>
      <c r="J7829" s="10" t="inlineStr">
        <is>
          <t>営業</t>
        </is>
      </c>
      <c r="L7829" t="inlineStr">
        <is>
          <t>19:20:35</t>
        </is>
      </c>
      <c r="M7829" t="inlineStr">
        <is>
          <t>19:20:45</t>
        </is>
      </c>
    </row>
    <row r="7830" ht="15" customHeight="1" s="37">
      <c r="A7830" t="n">
        <v>22</v>
      </c>
      <c r="B7830" s="10" t="inlineStr">
        <is>
          <t>平日</t>
        </is>
      </c>
      <c r="C7830" s="10" t="inlineStr">
        <is>
          <t>北野線</t>
        </is>
      </c>
      <c r="D7830" s="10" t="inlineStr">
        <is>
          <t>下り</t>
        </is>
      </c>
      <c r="E7830" t="inlineStr">
        <is>
          <t>1953</t>
        </is>
      </c>
      <c r="F7830" t="inlineStr">
        <is>
          <t>0453</t>
        </is>
      </c>
      <c r="G7830" s="10" t="inlineStr">
        <is>
          <t>常盤</t>
        </is>
      </c>
      <c r="H7830" s="10" t="inlineStr">
        <is>
          <t>発</t>
        </is>
      </c>
      <c r="J7830" s="10" t="inlineStr">
        <is>
          <t>営業</t>
        </is>
      </c>
      <c r="L7830" t="inlineStr">
        <is>
          <t>19:21:35</t>
        </is>
      </c>
      <c r="M7830" t="inlineStr">
        <is>
          <t>19:21:55</t>
        </is>
      </c>
    </row>
    <row r="7831" ht="15" customHeight="1" s="37">
      <c r="A7831" t="n">
        <v>22</v>
      </c>
      <c r="B7831" s="10" t="inlineStr">
        <is>
          <t>平日</t>
        </is>
      </c>
      <c r="C7831" s="10" t="inlineStr">
        <is>
          <t>北野線</t>
        </is>
      </c>
      <c r="D7831" s="10" t="inlineStr">
        <is>
          <t>下り</t>
        </is>
      </c>
      <c r="E7831" t="inlineStr">
        <is>
          <t>1953</t>
        </is>
      </c>
      <c r="F7831" t="inlineStr">
        <is>
          <t>0453</t>
        </is>
      </c>
      <c r="G7831" s="10" t="inlineStr">
        <is>
          <t>撮影所前</t>
        </is>
      </c>
      <c r="H7831" s="10" t="inlineStr">
        <is>
          <t>発</t>
        </is>
      </c>
      <c r="J7831" s="10" t="inlineStr">
        <is>
          <t>営業</t>
        </is>
      </c>
      <c r="L7831" t="inlineStr">
        <is>
          <t>19:23:15</t>
        </is>
      </c>
      <c r="M7831" t="inlineStr">
        <is>
          <t>19:23:30</t>
        </is>
      </c>
    </row>
    <row r="7832" ht="15" customHeight="1" s="37">
      <c r="A7832" t="n">
        <v>22</v>
      </c>
      <c r="B7832" s="10" t="inlineStr">
        <is>
          <t>平日</t>
        </is>
      </c>
      <c r="C7832" s="10" t="inlineStr">
        <is>
          <t>北野線</t>
        </is>
      </c>
      <c r="D7832" s="10" t="inlineStr">
        <is>
          <t>下り</t>
        </is>
      </c>
      <c r="E7832" t="inlineStr">
        <is>
          <t>1953</t>
        </is>
      </c>
      <c r="F7832" t="inlineStr">
        <is>
          <t>0453</t>
        </is>
      </c>
      <c r="G7832" s="10" t="inlineStr">
        <is>
          <t>帷子ノ辻</t>
        </is>
      </c>
      <c r="H7832" s="10" t="inlineStr">
        <is>
          <t>着</t>
        </is>
      </c>
      <c r="J7832" s="10" t="inlineStr">
        <is>
          <t>営業</t>
        </is>
      </c>
      <c r="L7832" t="inlineStr">
        <is>
          <t>19:24:25</t>
        </is>
      </c>
      <c r="Q7832" t="inlineStr">
        <is>
          <t>3</t>
        </is>
      </c>
    </row>
    <row r="7833" ht="15" customHeight="1" s="37">
      <c r="A7833" t="n">
        <v>22</v>
      </c>
      <c r="B7833" s="10" t="inlineStr">
        <is>
          <t>平日</t>
        </is>
      </c>
      <c r="C7833" s="10" t="inlineStr">
        <is>
          <t>北野線</t>
        </is>
      </c>
      <c r="D7833" s="10" t="inlineStr">
        <is>
          <t>上り</t>
        </is>
      </c>
      <c r="E7833" t="inlineStr">
        <is>
          <t>1958</t>
        </is>
      </c>
      <c r="F7833" t="inlineStr">
        <is>
          <t>0304</t>
        </is>
      </c>
      <c r="G7833" s="10" t="inlineStr">
        <is>
          <t>帷子ノ辻</t>
        </is>
      </c>
      <c r="H7833" s="10" t="inlineStr">
        <is>
          <t>発</t>
        </is>
      </c>
      <c r="J7833" s="10" t="inlineStr">
        <is>
          <t>営業</t>
        </is>
      </c>
      <c r="M7833" t="inlineStr">
        <is>
          <t>19:36:25</t>
        </is>
      </c>
      <c r="Q7833" t="inlineStr">
        <is>
          <t>3</t>
        </is>
      </c>
    </row>
    <row r="7834" ht="15" customHeight="1" s="37">
      <c r="A7834" t="n">
        <v>22</v>
      </c>
      <c r="B7834" s="10" t="inlineStr">
        <is>
          <t>平日</t>
        </is>
      </c>
      <c r="C7834" s="10" t="inlineStr">
        <is>
          <t>北野線</t>
        </is>
      </c>
      <c r="D7834" s="10" t="inlineStr">
        <is>
          <t>上り</t>
        </is>
      </c>
      <c r="E7834" t="inlineStr">
        <is>
          <t>1958</t>
        </is>
      </c>
      <c r="F7834" t="inlineStr">
        <is>
          <t>0304</t>
        </is>
      </c>
      <c r="G7834" s="10" t="inlineStr">
        <is>
          <t>撮影所前</t>
        </is>
      </c>
      <c r="H7834" s="10" t="inlineStr">
        <is>
          <t>発</t>
        </is>
      </c>
      <c r="J7834" s="10" t="inlineStr">
        <is>
          <t>営業</t>
        </is>
      </c>
      <c r="L7834" t="inlineStr">
        <is>
          <t>19:37:25</t>
        </is>
      </c>
      <c r="M7834" t="inlineStr">
        <is>
          <t>19:37:40</t>
        </is>
      </c>
    </row>
    <row r="7835" ht="15" customHeight="1" s="37">
      <c r="A7835" t="n">
        <v>22</v>
      </c>
      <c r="B7835" s="10" t="inlineStr">
        <is>
          <t>平日</t>
        </is>
      </c>
      <c r="C7835" s="10" t="inlineStr">
        <is>
          <t>北野線</t>
        </is>
      </c>
      <c r="D7835" s="10" t="inlineStr">
        <is>
          <t>上り</t>
        </is>
      </c>
      <c r="E7835" t="inlineStr">
        <is>
          <t>1958</t>
        </is>
      </c>
      <c r="F7835" t="inlineStr">
        <is>
          <t>0304</t>
        </is>
      </c>
      <c r="G7835" s="10" t="inlineStr">
        <is>
          <t>常盤</t>
        </is>
      </c>
      <c r="H7835" s="10" t="inlineStr">
        <is>
          <t>発</t>
        </is>
      </c>
      <c r="J7835" s="10" t="inlineStr">
        <is>
          <t>営業</t>
        </is>
      </c>
      <c r="L7835" t="inlineStr">
        <is>
          <t>19:39:00</t>
        </is>
      </c>
      <c r="M7835" t="inlineStr">
        <is>
          <t>19:39:20</t>
        </is>
      </c>
    </row>
    <row r="7836" ht="15" customHeight="1" s="37">
      <c r="A7836" t="n">
        <v>22</v>
      </c>
      <c r="B7836" s="10" t="inlineStr">
        <is>
          <t>平日</t>
        </is>
      </c>
      <c r="C7836" s="10" t="inlineStr">
        <is>
          <t>北野線</t>
        </is>
      </c>
      <c r="D7836" s="10" t="inlineStr">
        <is>
          <t>上り</t>
        </is>
      </c>
      <c r="E7836" t="inlineStr">
        <is>
          <t>1958</t>
        </is>
      </c>
      <c r="F7836" t="inlineStr">
        <is>
          <t>0304</t>
        </is>
      </c>
      <c r="G7836" s="10" t="inlineStr">
        <is>
          <t>鳴滝</t>
        </is>
      </c>
      <c r="H7836" s="10" t="inlineStr">
        <is>
          <t>発</t>
        </is>
      </c>
      <c r="J7836" s="10" t="inlineStr">
        <is>
          <t>営業</t>
        </is>
      </c>
      <c r="L7836" t="inlineStr">
        <is>
          <t>19:40:20</t>
        </is>
      </c>
      <c r="M7836" t="inlineStr">
        <is>
          <t>19:40:40</t>
        </is>
      </c>
    </row>
    <row r="7837" ht="15" customHeight="1" s="37">
      <c r="A7837" t="n">
        <v>22</v>
      </c>
      <c r="B7837" s="10" t="inlineStr">
        <is>
          <t>平日</t>
        </is>
      </c>
      <c r="C7837" s="10" t="inlineStr">
        <is>
          <t>北野線</t>
        </is>
      </c>
      <c r="D7837" s="10" t="inlineStr">
        <is>
          <t>上り</t>
        </is>
      </c>
      <c r="E7837" t="inlineStr">
        <is>
          <t>1958</t>
        </is>
      </c>
      <c r="F7837" t="inlineStr">
        <is>
          <t>0304</t>
        </is>
      </c>
      <c r="G7837" s="10" t="inlineStr">
        <is>
          <t>宇多野</t>
        </is>
      </c>
      <c r="H7837" s="10" t="inlineStr">
        <is>
          <t>発</t>
        </is>
      </c>
      <c r="J7837" s="10" t="inlineStr">
        <is>
          <t>営業</t>
        </is>
      </c>
      <c r="L7837" t="inlineStr">
        <is>
          <t>19:42:00</t>
        </is>
      </c>
      <c r="M7837" t="inlineStr">
        <is>
          <t>19:42:15</t>
        </is>
      </c>
    </row>
    <row r="7838" ht="15" customHeight="1" s="37">
      <c r="A7838" t="n">
        <v>22</v>
      </c>
      <c r="B7838" s="10" t="inlineStr">
        <is>
          <t>平日</t>
        </is>
      </c>
      <c r="C7838" s="10" t="inlineStr">
        <is>
          <t>北野線</t>
        </is>
      </c>
      <c r="D7838" s="10" t="inlineStr">
        <is>
          <t>上り</t>
        </is>
      </c>
      <c r="E7838" t="inlineStr">
        <is>
          <t>1958</t>
        </is>
      </c>
      <c r="F7838" t="inlineStr">
        <is>
          <t>0304</t>
        </is>
      </c>
      <c r="G7838" s="10" t="inlineStr">
        <is>
          <t>御室仁和寺</t>
        </is>
      </c>
      <c r="H7838" s="10" t="inlineStr">
        <is>
          <t>発</t>
        </is>
      </c>
      <c r="J7838" s="10" t="inlineStr">
        <is>
          <t>営業</t>
        </is>
      </c>
      <c r="L7838" t="inlineStr">
        <is>
          <t>19:43:15</t>
        </is>
      </c>
      <c r="M7838" t="inlineStr">
        <is>
          <t>19:43:35</t>
        </is>
      </c>
    </row>
    <row r="7839" ht="15" customHeight="1" s="37">
      <c r="A7839" t="n">
        <v>22</v>
      </c>
      <c r="B7839" s="10" t="inlineStr">
        <is>
          <t>平日</t>
        </is>
      </c>
      <c r="C7839" s="10" t="inlineStr">
        <is>
          <t>北野線</t>
        </is>
      </c>
      <c r="D7839" s="10" t="inlineStr">
        <is>
          <t>上り</t>
        </is>
      </c>
      <c r="E7839" t="inlineStr">
        <is>
          <t>1958</t>
        </is>
      </c>
      <c r="F7839" t="inlineStr">
        <is>
          <t>0304</t>
        </is>
      </c>
      <c r="G7839" s="10" t="inlineStr">
        <is>
          <t>妙心寺</t>
        </is>
      </c>
      <c r="H7839" s="10" t="inlineStr">
        <is>
          <t>発</t>
        </is>
      </c>
      <c r="J7839" s="10" t="inlineStr">
        <is>
          <t>営業</t>
        </is>
      </c>
      <c r="L7839" t="inlineStr">
        <is>
          <t>19:44:35</t>
        </is>
      </c>
      <c r="M7839" t="inlineStr">
        <is>
          <t>19:44:50</t>
        </is>
      </c>
    </row>
    <row r="7840" ht="15" customHeight="1" s="37">
      <c r="A7840" t="n">
        <v>22</v>
      </c>
      <c r="B7840" s="10" t="inlineStr">
        <is>
          <t>平日</t>
        </is>
      </c>
      <c r="C7840" s="10" t="inlineStr">
        <is>
          <t>北野線</t>
        </is>
      </c>
      <c r="D7840" s="10" t="inlineStr">
        <is>
          <t>上り</t>
        </is>
      </c>
      <c r="E7840" t="inlineStr">
        <is>
          <t>1958</t>
        </is>
      </c>
      <c r="F7840" t="inlineStr">
        <is>
          <t>0304</t>
        </is>
      </c>
      <c r="G7840" s="10" t="inlineStr">
        <is>
          <t>龍安寺</t>
        </is>
      </c>
      <c r="H7840" s="10" t="inlineStr">
        <is>
          <t>発</t>
        </is>
      </c>
      <c r="J7840" s="10" t="inlineStr">
        <is>
          <t>営業</t>
        </is>
      </c>
      <c r="L7840" t="inlineStr">
        <is>
          <t>19:45:45</t>
        </is>
      </c>
      <c r="M7840" t="inlineStr">
        <is>
          <t>19:45:55</t>
        </is>
      </c>
    </row>
    <row r="7841" ht="15" customHeight="1" s="37">
      <c r="A7841" t="n">
        <v>22</v>
      </c>
      <c r="B7841" s="10" t="inlineStr">
        <is>
          <t>平日</t>
        </is>
      </c>
      <c r="C7841" s="10" t="inlineStr">
        <is>
          <t>北野線</t>
        </is>
      </c>
      <c r="D7841" s="10" t="inlineStr">
        <is>
          <t>上り</t>
        </is>
      </c>
      <c r="E7841" t="inlineStr">
        <is>
          <t>1958</t>
        </is>
      </c>
      <c r="F7841" t="inlineStr">
        <is>
          <t>0304</t>
        </is>
      </c>
      <c r="G7841" s="10" t="inlineStr">
        <is>
          <t>等持院</t>
        </is>
      </c>
      <c r="H7841" s="10" t="inlineStr">
        <is>
          <t>発</t>
        </is>
      </c>
      <c r="J7841" s="10" t="inlineStr">
        <is>
          <t>営業</t>
        </is>
      </c>
      <c r="L7841" t="inlineStr">
        <is>
          <t>19:46:35</t>
        </is>
      </c>
      <c r="M7841" t="inlineStr">
        <is>
          <t>19:46:55</t>
        </is>
      </c>
    </row>
    <row r="7842" ht="15" customHeight="1" s="37">
      <c r="A7842" t="n">
        <v>22</v>
      </c>
      <c r="B7842" s="10" t="inlineStr">
        <is>
          <t>平日</t>
        </is>
      </c>
      <c r="C7842" s="10" t="inlineStr">
        <is>
          <t>北野線</t>
        </is>
      </c>
      <c r="D7842" s="10" t="inlineStr">
        <is>
          <t>上り</t>
        </is>
      </c>
      <c r="E7842" t="inlineStr">
        <is>
          <t>1958</t>
        </is>
      </c>
      <c r="F7842" t="inlineStr">
        <is>
          <t>0304</t>
        </is>
      </c>
      <c r="G7842" s="10" t="inlineStr">
        <is>
          <t>北野白梅町</t>
        </is>
      </c>
      <c r="H7842" s="10" t="inlineStr">
        <is>
          <t>着</t>
        </is>
      </c>
      <c r="J7842" s="10" t="inlineStr">
        <is>
          <t>営業</t>
        </is>
      </c>
      <c r="L7842" t="inlineStr">
        <is>
          <t>19:48:15</t>
        </is>
      </c>
      <c r="N7842" t="inlineStr">
        <is>
          <t>○</t>
        </is>
      </c>
      <c r="Q7842" t="inlineStr">
        <is>
          <t>1</t>
        </is>
      </c>
    </row>
    <row r="7843" ht="15" customHeight="1" s="37">
      <c r="A7843" t="n">
        <v>22</v>
      </c>
      <c r="B7843" s="10" t="inlineStr">
        <is>
          <t>平日</t>
        </is>
      </c>
      <c r="C7843" s="10" t="inlineStr">
        <is>
          <t>北野線</t>
        </is>
      </c>
      <c r="D7843" s="10" t="inlineStr">
        <is>
          <t>下り</t>
        </is>
      </c>
      <c r="E7843" t="inlineStr">
        <is>
          <t>1961</t>
        </is>
      </c>
      <c r="F7843" t="inlineStr">
        <is>
          <t>0453</t>
        </is>
      </c>
      <c r="G7843" s="10" t="inlineStr">
        <is>
          <t>北野白梅町</t>
        </is>
      </c>
      <c r="H7843" s="10" t="inlineStr">
        <is>
          <t>発</t>
        </is>
      </c>
      <c r="J7843" s="10" t="inlineStr">
        <is>
          <t>営業</t>
        </is>
      </c>
      <c r="M7843" t="inlineStr">
        <is>
          <t>19:53:00</t>
        </is>
      </c>
      <c r="Q7843" t="inlineStr">
        <is>
          <t>1</t>
        </is>
      </c>
    </row>
    <row r="7844" ht="15" customHeight="1" s="37">
      <c r="A7844" t="n">
        <v>22</v>
      </c>
      <c r="B7844" s="10" t="inlineStr">
        <is>
          <t>平日</t>
        </is>
      </c>
      <c r="C7844" s="10" t="inlineStr">
        <is>
          <t>北野線</t>
        </is>
      </c>
      <c r="D7844" s="10" t="inlineStr">
        <is>
          <t>下り</t>
        </is>
      </c>
      <c r="E7844" t="inlineStr">
        <is>
          <t>1961</t>
        </is>
      </c>
      <c r="F7844" t="inlineStr">
        <is>
          <t>0453</t>
        </is>
      </c>
      <c r="G7844" s="10" t="inlineStr">
        <is>
          <t>等持院</t>
        </is>
      </c>
      <c r="H7844" s="10" t="inlineStr">
        <is>
          <t>発</t>
        </is>
      </c>
      <c r="J7844" s="10" t="inlineStr">
        <is>
          <t>営業</t>
        </is>
      </c>
      <c r="L7844" t="inlineStr">
        <is>
          <t>19:54:25</t>
        </is>
      </c>
      <c r="M7844" t="inlineStr">
        <is>
          <t>19:54:35</t>
        </is>
      </c>
    </row>
    <row r="7845" ht="15" customHeight="1" s="37">
      <c r="A7845" t="n">
        <v>22</v>
      </c>
      <c r="B7845" s="10" t="inlineStr">
        <is>
          <t>平日</t>
        </is>
      </c>
      <c r="C7845" s="10" t="inlineStr">
        <is>
          <t>北野線</t>
        </is>
      </c>
      <c r="D7845" s="10" t="inlineStr">
        <is>
          <t>下り</t>
        </is>
      </c>
      <c r="E7845" t="inlineStr">
        <is>
          <t>1961</t>
        </is>
      </c>
      <c r="F7845" t="inlineStr">
        <is>
          <t>0453</t>
        </is>
      </c>
      <c r="G7845" s="10" t="inlineStr">
        <is>
          <t>龍安寺</t>
        </is>
      </c>
      <c r="H7845" s="10" t="inlineStr">
        <is>
          <t>発</t>
        </is>
      </c>
      <c r="J7845" s="10" t="inlineStr">
        <is>
          <t>営業</t>
        </is>
      </c>
      <c r="L7845" t="inlineStr">
        <is>
          <t>19:55:25</t>
        </is>
      </c>
      <c r="M7845" t="inlineStr">
        <is>
          <t>19:55:50</t>
        </is>
      </c>
    </row>
    <row r="7846" ht="15" customHeight="1" s="37">
      <c r="A7846" t="n">
        <v>22</v>
      </c>
      <c r="B7846" s="10" t="inlineStr">
        <is>
          <t>平日</t>
        </is>
      </c>
      <c r="C7846" s="10" t="inlineStr">
        <is>
          <t>北野線</t>
        </is>
      </c>
      <c r="D7846" s="10" t="inlineStr">
        <is>
          <t>下り</t>
        </is>
      </c>
      <c r="E7846" t="inlineStr">
        <is>
          <t>1961</t>
        </is>
      </c>
      <c r="F7846" t="inlineStr">
        <is>
          <t>0453</t>
        </is>
      </c>
      <c r="G7846" s="10" t="inlineStr">
        <is>
          <t>妙心寺</t>
        </is>
      </c>
      <c r="H7846" s="10" t="inlineStr">
        <is>
          <t>発</t>
        </is>
      </c>
      <c r="J7846" s="10" t="inlineStr">
        <is>
          <t>営業</t>
        </is>
      </c>
      <c r="L7846" t="inlineStr">
        <is>
          <t>19:56:40</t>
        </is>
      </c>
      <c r="M7846" t="inlineStr">
        <is>
          <t>19:56:50</t>
        </is>
      </c>
    </row>
    <row r="7847" ht="15" customHeight="1" s="37">
      <c r="A7847" t="n">
        <v>22</v>
      </c>
      <c r="B7847" s="10" t="inlineStr">
        <is>
          <t>平日</t>
        </is>
      </c>
      <c r="C7847" s="10" t="inlineStr">
        <is>
          <t>北野線</t>
        </is>
      </c>
      <c r="D7847" s="10" t="inlineStr">
        <is>
          <t>下り</t>
        </is>
      </c>
      <c r="E7847" t="inlineStr">
        <is>
          <t>1961</t>
        </is>
      </c>
      <c r="F7847" t="inlineStr">
        <is>
          <t>0453</t>
        </is>
      </c>
      <c r="G7847" s="10" t="inlineStr">
        <is>
          <t>御室仁和寺</t>
        </is>
      </c>
      <c r="H7847" s="10" t="inlineStr">
        <is>
          <t>発</t>
        </is>
      </c>
      <c r="J7847" s="10" t="inlineStr">
        <is>
          <t>営業</t>
        </is>
      </c>
      <c r="L7847" t="inlineStr">
        <is>
          <t>19:57:50</t>
        </is>
      </c>
      <c r="M7847" t="inlineStr">
        <is>
          <t>19:58:05</t>
        </is>
      </c>
    </row>
    <row r="7848" ht="15" customHeight="1" s="37">
      <c r="A7848" t="n">
        <v>22</v>
      </c>
      <c r="B7848" s="10" t="inlineStr">
        <is>
          <t>平日</t>
        </is>
      </c>
      <c r="C7848" s="10" t="inlineStr">
        <is>
          <t>北野線</t>
        </is>
      </c>
      <c r="D7848" s="10" t="inlineStr">
        <is>
          <t>下り</t>
        </is>
      </c>
      <c r="E7848" t="inlineStr">
        <is>
          <t>1961</t>
        </is>
      </c>
      <c r="F7848" t="inlineStr">
        <is>
          <t>0453</t>
        </is>
      </c>
      <c r="G7848" s="10" t="inlineStr">
        <is>
          <t>宇多野</t>
        </is>
      </c>
      <c r="H7848" s="10" t="inlineStr">
        <is>
          <t>発</t>
        </is>
      </c>
      <c r="J7848" s="10" t="inlineStr">
        <is>
          <t>営業</t>
        </is>
      </c>
      <c r="L7848" t="inlineStr">
        <is>
          <t>19:59:05</t>
        </is>
      </c>
      <c r="M7848" t="inlineStr">
        <is>
          <t>19:59:15</t>
        </is>
      </c>
    </row>
    <row r="7849" ht="15" customHeight="1" s="37">
      <c r="A7849" t="n">
        <v>22</v>
      </c>
      <c r="B7849" s="10" t="inlineStr">
        <is>
          <t>平日</t>
        </is>
      </c>
      <c r="C7849" s="10" t="inlineStr">
        <is>
          <t>北野線</t>
        </is>
      </c>
      <c r="D7849" s="10" t="inlineStr">
        <is>
          <t>下り</t>
        </is>
      </c>
      <c r="E7849" t="inlineStr">
        <is>
          <t>1961</t>
        </is>
      </c>
      <c r="F7849" t="inlineStr">
        <is>
          <t>0453</t>
        </is>
      </c>
      <c r="G7849" s="10" t="inlineStr">
        <is>
          <t>鳴滝</t>
        </is>
      </c>
      <c r="H7849" s="10" t="inlineStr">
        <is>
          <t>発</t>
        </is>
      </c>
      <c r="J7849" s="10" t="inlineStr">
        <is>
          <t>営業</t>
        </is>
      </c>
      <c r="L7849" t="inlineStr">
        <is>
          <t>20:00:35</t>
        </is>
      </c>
      <c r="M7849" t="inlineStr">
        <is>
          <t>20:00:45</t>
        </is>
      </c>
    </row>
    <row r="7850" ht="15" customHeight="1" s="37">
      <c r="A7850" t="n">
        <v>22</v>
      </c>
      <c r="B7850" s="10" t="inlineStr">
        <is>
          <t>平日</t>
        </is>
      </c>
      <c r="C7850" s="10" t="inlineStr">
        <is>
          <t>北野線</t>
        </is>
      </c>
      <c r="D7850" s="10" t="inlineStr">
        <is>
          <t>下り</t>
        </is>
      </c>
      <c r="E7850" t="inlineStr">
        <is>
          <t>1961</t>
        </is>
      </c>
      <c r="F7850" t="inlineStr">
        <is>
          <t>0453</t>
        </is>
      </c>
      <c r="G7850" s="10" t="inlineStr">
        <is>
          <t>常盤</t>
        </is>
      </c>
      <c r="H7850" s="10" t="inlineStr">
        <is>
          <t>発</t>
        </is>
      </c>
      <c r="J7850" s="10" t="inlineStr">
        <is>
          <t>営業</t>
        </is>
      </c>
      <c r="L7850" t="inlineStr">
        <is>
          <t>20:01:35</t>
        </is>
      </c>
      <c r="M7850" t="inlineStr">
        <is>
          <t>20:01:55</t>
        </is>
      </c>
    </row>
    <row r="7851" ht="15" customHeight="1" s="37">
      <c r="A7851" t="n">
        <v>22</v>
      </c>
      <c r="B7851" s="10" t="inlineStr">
        <is>
          <t>平日</t>
        </is>
      </c>
      <c r="C7851" s="10" t="inlineStr">
        <is>
          <t>北野線</t>
        </is>
      </c>
      <c r="D7851" s="10" t="inlineStr">
        <is>
          <t>下り</t>
        </is>
      </c>
      <c r="E7851" t="inlineStr">
        <is>
          <t>1961</t>
        </is>
      </c>
      <c r="F7851" t="inlineStr">
        <is>
          <t>0453</t>
        </is>
      </c>
      <c r="G7851" s="10" t="inlineStr">
        <is>
          <t>撮影所前</t>
        </is>
      </c>
      <c r="H7851" s="10" t="inlineStr">
        <is>
          <t>発</t>
        </is>
      </c>
      <c r="J7851" s="10" t="inlineStr">
        <is>
          <t>営業</t>
        </is>
      </c>
      <c r="L7851" t="inlineStr">
        <is>
          <t>20:03:15</t>
        </is>
      </c>
      <c r="M7851" t="inlineStr">
        <is>
          <t>20:03:30</t>
        </is>
      </c>
    </row>
    <row r="7852" ht="15" customHeight="1" s="37">
      <c r="A7852" t="n">
        <v>22</v>
      </c>
      <c r="B7852" s="10" t="inlineStr">
        <is>
          <t>平日</t>
        </is>
      </c>
      <c r="C7852" s="10" t="inlineStr">
        <is>
          <t>北野線</t>
        </is>
      </c>
      <c r="D7852" s="10" t="inlineStr">
        <is>
          <t>下り</t>
        </is>
      </c>
      <c r="E7852" t="inlineStr">
        <is>
          <t>1961</t>
        </is>
      </c>
      <c r="F7852" t="inlineStr">
        <is>
          <t>0453</t>
        </is>
      </c>
      <c r="G7852" s="10" t="inlineStr">
        <is>
          <t>帷子ノ辻</t>
        </is>
      </c>
      <c r="H7852" s="10" t="inlineStr">
        <is>
          <t>着</t>
        </is>
      </c>
      <c r="J7852" s="10" t="inlineStr">
        <is>
          <t>営業</t>
        </is>
      </c>
      <c r="L7852" t="inlineStr">
        <is>
          <t>20:04:25</t>
        </is>
      </c>
      <c r="Q7852" t="inlineStr">
        <is>
          <t>3</t>
        </is>
      </c>
    </row>
    <row r="7853" ht="15" customHeight="1" s="37">
      <c r="A7853" t="n">
        <v>22</v>
      </c>
      <c r="B7853" s="10" t="inlineStr">
        <is>
          <t>平日</t>
        </is>
      </c>
      <c r="C7853" s="10" t="inlineStr">
        <is>
          <t>北野線</t>
        </is>
      </c>
      <c r="D7853" s="10" t="inlineStr">
        <is>
          <t>上り</t>
        </is>
      </c>
      <c r="E7853" t="inlineStr">
        <is>
          <t>2054</t>
        </is>
      </c>
      <c r="F7853" t="inlineStr">
        <is>
          <t>0304</t>
        </is>
      </c>
      <c r="G7853" s="10" t="inlineStr">
        <is>
          <t>帷子ノ辻</t>
        </is>
      </c>
      <c r="H7853" s="10" t="inlineStr">
        <is>
          <t>発</t>
        </is>
      </c>
      <c r="J7853" s="10" t="inlineStr">
        <is>
          <t>営業</t>
        </is>
      </c>
      <c r="M7853" t="inlineStr">
        <is>
          <t>20:16:25</t>
        </is>
      </c>
      <c r="Q7853" t="inlineStr">
        <is>
          <t>3</t>
        </is>
      </c>
    </row>
    <row r="7854" ht="15" customHeight="1" s="37">
      <c r="A7854" t="n">
        <v>22</v>
      </c>
      <c r="B7854" s="10" t="inlineStr">
        <is>
          <t>平日</t>
        </is>
      </c>
      <c r="C7854" s="10" t="inlineStr">
        <is>
          <t>北野線</t>
        </is>
      </c>
      <c r="D7854" s="10" t="inlineStr">
        <is>
          <t>上り</t>
        </is>
      </c>
      <c r="E7854" t="inlineStr">
        <is>
          <t>2054</t>
        </is>
      </c>
      <c r="F7854" t="inlineStr">
        <is>
          <t>0304</t>
        </is>
      </c>
      <c r="G7854" s="10" t="inlineStr">
        <is>
          <t>撮影所前</t>
        </is>
      </c>
      <c r="H7854" s="10" t="inlineStr">
        <is>
          <t>発</t>
        </is>
      </c>
      <c r="J7854" s="10" t="inlineStr">
        <is>
          <t>営業</t>
        </is>
      </c>
      <c r="L7854" t="inlineStr">
        <is>
          <t>20:17:25</t>
        </is>
      </c>
      <c r="M7854" t="inlineStr">
        <is>
          <t>20:17:40</t>
        </is>
      </c>
    </row>
    <row r="7855" ht="15" customHeight="1" s="37">
      <c r="A7855" t="n">
        <v>22</v>
      </c>
      <c r="B7855" s="10" t="inlineStr">
        <is>
          <t>平日</t>
        </is>
      </c>
      <c r="C7855" s="10" t="inlineStr">
        <is>
          <t>北野線</t>
        </is>
      </c>
      <c r="D7855" s="10" t="inlineStr">
        <is>
          <t>上り</t>
        </is>
      </c>
      <c r="E7855" t="inlineStr">
        <is>
          <t>2054</t>
        </is>
      </c>
      <c r="F7855" t="inlineStr">
        <is>
          <t>0304</t>
        </is>
      </c>
      <c r="G7855" s="10" t="inlineStr">
        <is>
          <t>常盤</t>
        </is>
      </c>
      <c r="H7855" s="10" t="inlineStr">
        <is>
          <t>発</t>
        </is>
      </c>
      <c r="J7855" s="10" t="inlineStr">
        <is>
          <t>営業</t>
        </is>
      </c>
      <c r="L7855" t="inlineStr">
        <is>
          <t>20:19:00</t>
        </is>
      </c>
      <c r="M7855" t="inlineStr">
        <is>
          <t>20:19:20</t>
        </is>
      </c>
    </row>
    <row r="7856" ht="15" customHeight="1" s="37">
      <c r="A7856" t="n">
        <v>22</v>
      </c>
      <c r="B7856" s="10" t="inlineStr">
        <is>
          <t>平日</t>
        </is>
      </c>
      <c r="C7856" s="10" t="inlineStr">
        <is>
          <t>北野線</t>
        </is>
      </c>
      <c r="D7856" s="10" t="inlineStr">
        <is>
          <t>上り</t>
        </is>
      </c>
      <c r="E7856" t="inlineStr">
        <is>
          <t>2054</t>
        </is>
      </c>
      <c r="F7856" t="inlineStr">
        <is>
          <t>0304</t>
        </is>
      </c>
      <c r="G7856" s="10" t="inlineStr">
        <is>
          <t>鳴滝</t>
        </is>
      </c>
      <c r="H7856" s="10" t="inlineStr">
        <is>
          <t>発</t>
        </is>
      </c>
      <c r="J7856" s="10" t="inlineStr">
        <is>
          <t>営業</t>
        </is>
      </c>
      <c r="L7856" t="inlineStr">
        <is>
          <t>20:20:20</t>
        </is>
      </c>
      <c r="M7856" t="inlineStr">
        <is>
          <t>20:20:40</t>
        </is>
      </c>
    </row>
    <row r="7857" ht="15" customHeight="1" s="37">
      <c r="A7857" t="n">
        <v>22</v>
      </c>
      <c r="B7857" s="10" t="inlineStr">
        <is>
          <t>平日</t>
        </is>
      </c>
      <c r="C7857" s="10" t="inlineStr">
        <is>
          <t>北野線</t>
        </is>
      </c>
      <c r="D7857" s="10" t="inlineStr">
        <is>
          <t>上り</t>
        </is>
      </c>
      <c r="E7857" t="inlineStr">
        <is>
          <t>2054</t>
        </is>
      </c>
      <c r="F7857" t="inlineStr">
        <is>
          <t>0304</t>
        </is>
      </c>
      <c r="G7857" s="10" t="inlineStr">
        <is>
          <t>宇多野</t>
        </is>
      </c>
      <c r="H7857" s="10" t="inlineStr">
        <is>
          <t>発</t>
        </is>
      </c>
      <c r="J7857" s="10" t="inlineStr">
        <is>
          <t>営業</t>
        </is>
      </c>
      <c r="L7857" t="inlineStr">
        <is>
          <t>20:22:00</t>
        </is>
      </c>
      <c r="M7857" t="inlineStr">
        <is>
          <t>20:22:15</t>
        </is>
      </c>
    </row>
    <row r="7858" ht="15" customHeight="1" s="37">
      <c r="A7858" t="n">
        <v>22</v>
      </c>
      <c r="B7858" s="10" t="inlineStr">
        <is>
          <t>平日</t>
        </is>
      </c>
      <c r="C7858" s="10" t="inlineStr">
        <is>
          <t>北野線</t>
        </is>
      </c>
      <c r="D7858" s="10" t="inlineStr">
        <is>
          <t>上り</t>
        </is>
      </c>
      <c r="E7858" t="inlineStr">
        <is>
          <t>2054</t>
        </is>
      </c>
      <c r="F7858" t="inlineStr">
        <is>
          <t>0304</t>
        </is>
      </c>
      <c r="G7858" s="10" t="inlineStr">
        <is>
          <t>御室仁和寺</t>
        </is>
      </c>
      <c r="H7858" s="10" t="inlineStr">
        <is>
          <t>発</t>
        </is>
      </c>
      <c r="J7858" s="10" t="inlineStr">
        <is>
          <t>営業</t>
        </is>
      </c>
      <c r="L7858" t="inlineStr">
        <is>
          <t>20:23:15</t>
        </is>
      </c>
      <c r="M7858" t="inlineStr">
        <is>
          <t>20:23:35</t>
        </is>
      </c>
    </row>
    <row r="7859" ht="15" customHeight="1" s="37">
      <c r="A7859" t="n">
        <v>22</v>
      </c>
      <c r="B7859" s="10" t="inlineStr">
        <is>
          <t>平日</t>
        </is>
      </c>
      <c r="C7859" s="10" t="inlineStr">
        <is>
          <t>北野線</t>
        </is>
      </c>
      <c r="D7859" s="10" t="inlineStr">
        <is>
          <t>上り</t>
        </is>
      </c>
      <c r="E7859" t="inlineStr">
        <is>
          <t>2054</t>
        </is>
      </c>
      <c r="F7859" t="inlineStr">
        <is>
          <t>0304</t>
        </is>
      </c>
      <c r="G7859" s="10" t="inlineStr">
        <is>
          <t>妙心寺</t>
        </is>
      </c>
      <c r="H7859" s="10" t="inlineStr">
        <is>
          <t>発</t>
        </is>
      </c>
      <c r="J7859" s="10" t="inlineStr">
        <is>
          <t>営業</t>
        </is>
      </c>
      <c r="L7859" t="inlineStr">
        <is>
          <t>20:24:35</t>
        </is>
      </c>
      <c r="M7859" t="inlineStr">
        <is>
          <t>20:24:50</t>
        </is>
      </c>
    </row>
    <row r="7860" ht="15" customHeight="1" s="37">
      <c r="A7860" t="n">
        <v>22</v>
      </c>
      <c r="B7860" s="10" t="inlineStr">
        <is>
          <t>平日</t>
        </is>
      </c>
      <c r="C7860" s="10" t="inlineStr">
        <is>
          <t>北野線</t>
        </is>
      </c>
      <c r="D7860" s="10" t="inlineStr">
        <is>
          <t>上り</t>
        </is>
      </c>
      <c r="E7860" t="inlineStr">
        <is>
          <t>2054</t>
        </is>
      </c>
      <c r="F7860" t="inlineStr">
        <is>
          <t>0304</t>
        </is>
      </c>
      <c r="G7860" s="10" t="inlineStr">
        <is>
          <t>龍安寺</t>
        </is>
      </c>
      <c r="H7860" s="10" t="inlineStr">
        <is>
          <t>発</t>
        </is>
      </c>
      <c r="J7860" s="10" t="inlineStr">
        <is>
          <t>営業</t>
        </is>
      </c>
      <c r="L7860" t="inlineStr">
        <is>
          <t>20:25:45</t>
        </is>
      </c>
      <c r="M7860" t="inlineStr">
        <is>
          <t>20:25:55</t>
        </is>
      </c>
    </row>
    <row r="7861" ht="15" customHeight="1" s="37">
      <c r="A7861" t="n">
        <v>22</v>
      </c>
      <c r="B7861" s="10" t="inlineStr">
        <is>
          <t>平日</t>
        </is>
      </c>
      <c r="C7861" s="10" t="inlineStr">
        <is>
          <t>北野線</t>
        </is>
      </c>
      <c r="D7861" s="10" t="inlineStr">
        <is>
          <t>上り</t>
        </is>
      </c>
      <c r="E7861" t="inlineStr">
        <is>
          <t>2054</t>
        </is>
      </c>
      <c r="F7861" t="inlineStr">
        <is>
          <t>0304</t>
        </is>
      </c>
      <c r="G7861" s="10" t="inlineStr">
        <is>
          <t>等持院</t>
        </is>
      </c>
      <c r="H7861" s="10" t="inlineStr">
        <is>
          <t>発</t>
        </is>
      </c>
      <c r="J7861" s="10" t="inlineStr">
        <is>
          <t>営業</t>
        </is>
      </c>
      <c r="L7861" t="inlineStr">
        <is>
          <t>20:26:35</t>
        </is>
      </c>
      <c r="M7861" t="inlineStr">
        <is>
          <t>20:26:55</t>
        </is>
      </c>
    </row>
    <row r="7862" ht="15" customHeight="1" s="37">
      <c r="A7862" t="n">
        <v>22</v>
      </c>
      <c r="B7862" s="10" t="inlineStr">
        <is>
          <t>平日</t>
        </is>
      </c>
      <c r="C7862" s="10" t="inlineStr">
        <is>
          <t>北野線</t>
        </is>
      </c>
      <c r="D7862" s="10" t="inlineStr">
        <is>
          <t>上り</t>
        </is>
      </c>
      <c r="E7862" t="inlineStr">
        <is>
          <t>2054</t>
        </is>
      </c>
      <c r="F7862" t="inlineStr">
        <is>
          <t>0304</t>
        </is>
      </c>
      <c r="G7862" s="10" t="inlineStr">
        <is>
          <t>北野白梅町</t>
        </is>
      </c>
      <c r="H7862" s="10" t="inlineStr">
        <is>
          <t>着</t>
        </is>
      </c>
      <c r="J7862" s="10" t="inlineStr">
        <is>
          <t>営業</t>
        </is>
      </c>
      <c r="L7862" t="inlineStr">
        <is>
          <t>20:28:15</t>
        </is>
      </c>
      <c r="N7862" t="inlineStr">
        <is>
          <t>○</t>
        </is>
      </c>
      <c r="Q7862" t="inlineStr">
        <is>
          <t>1</t>
        </is>
      </c>
    </row>
    <row r="7863" ht="15" customHeight="1" s="37">
      <c r="A7863" t="n">
        <v>22</v>
      </c>
      <c r="B7863" s="10" t="inlineStr">
        <is>
          <t>平日</t>
        </is>
      </c>
      <c r="C7863" s="10" t="inlineStr">
        <is>
          <t>北野線</t>
        </is>
      </c>
      <c r="D7863" s="10" t="inlineStr">
        <is>
          <t>下り</t>
        </is>
      </c>
      <c r="E7863" t="inlineStr">
        <is>
          <t>2057</t>
        </is>
      </c>
      <c r="F7863" t="inlineStr">
        <is>
          <t>0453</t>
        </is>
      </c>
      <c r="G7863" s="10" t="inlineStr">
        <is>
          <t>北野白梅町</t>
        </is>
      </c>
      <c r="H7863" s="10" t="inlineStr">
        <is>
          <t>発</t>
        </is>
      </c>
      <c r="J7863" s="10" t="inlineStr">
        <is>
          <t>営業</t>
        </is>
      </c>
      <c r="M7863" t="inlineStr">
        <is>
          <t>20:33:00</t>
        </is>
      </c>
      <c r="Q7863" t="inlineStr">
        <is>
          <t>1</t>
        </is>
      </c>
    </row>
    <row r="7864" ht="15" customHeight="1" s="37">
      <c r="A7864" t="n">
        <v>22</v>
      </c>
      <c r="B7864" s="10" t="inlineStr">
        <is>
          <t>平日</t>
        </is>
      </c>
      <c r="C7864" s="10" t="inlineStr">
        <is>
          <t>北野線</t>
        </is>
      </c>
      <c r="D7864" s="10" t="inlineStr">
        <is>
          <t>下り</t>
        </is>
      </c>
      <c r="E7864" t="inlineStr">
        <is>
          <t>2057</t>
        </is>
      </c>
      <c r="F7864" t="inlineStr">
        <is>
          <t>0453</t>
        </is>
      </c>
      <c r="G7864" s="10" t="inlineStr">
        <is>
          <t>等持院</t>
        </is>
      </c>
      <c r="H7864" s="10" t="inlineStr">
        <is>
          <t>発</t>
        </is>
      </c>
      <c r="J7864" s="10" t="inlineStr">
        <is>
          <t>営業</t>
        </is>
      </c>
      <c r="L7864" t="inlineStr">
        <is>
          <t>20:34:25</t>
        </is>
      </c>
      <c r="M7864" t="inlineStr">
        <is>
          <t>20:34:35</t>
        </is>
      </c>
    </row>
    <row r="7865" ht="15" customHeight="1" s="37">
      <c r="A7865" t="n">
        <v>22</v>
      </c>
      <c r="B7865" s="10" t="inlineStr">
        <is>
          <t>平日</t>
        </is>
      </c>
      <c r="C7865" s="10" t="inlineStr">
        <is>
          <t>北野線</t>
        </is>
      </c>
      <c r="D7865" s="10" t="inlineStr">
        <is>
          <t>下り</t>
        </is>
      </c>
      <c r="E7865" t="inlineStr">
        <is>
          <t>2057</t>
        </is>
      </c>
      <c r="F7865" t="inlineStr">
        <is>
          <t>0453</t>
        </is>
      </c>
      <c r="G7865" s="10" t="inlineStr">
        <is>
          <t>龍安寺</t>
        </is>
      </c>
      <c r="H7865" s="10" t="inlineStr">
        <is>
          <t>発</t>
        </is>
      </c>
      <c r="J7865" s="10" t="inlineStr">
        <is>
          <t>営業</t>
        </is>
      </c>
      <c r="L7865" t="inlineStr">
        <is>
          <t>20:35:25</t>
        </is>
      </c>
      <c r="M7865" t="inlineStr">
        <is>
          <t>20:35:50</t>
        </is>
      </c>
    </row>
    <row r="7866" ht="15" customHeight="1" s="37">
      <c r="A7866" t="n">
        <v>22</v>
      </c>
      <c r="B7866" s="10" t="inlineStr">
        <is>
          <t>平日</t>
        </is>
      </c>
      <c r="C7866" s="10" t="inlineStr">
        <is>
          <t>北野線</t>
        </is>
      </c>
      <c r="D7866" s="10" t="inlineStr">
        <is>
          <t>下り</t>
        </is>
      </c>
      <c r="E7866" t="inlineStr">
        <is>
          <t>2057</t>
        </is>
      </c>
      <c r="F7866" t="inlineStr">
        <is>
          <t>0453</t>
        </is>
      </c>
      <c r="G7866" s="10" t="inlineStr">
        <is>
          <t>妙心寺</t>
        </is>
      </c>
      <c r="H7866" s="10" t="inlineStr">
        <is>
          <t>発</t>
        </is>
      </c>
      <c r="J7866" s="10" t="inlineStr">
        <is>
          <t>営業</t>
        </is>
      </c>
      <c r="L7866" t="inlineStr">
        <is>
          <t>20:36:40</t>
        </is>
      </c>
      <c r="M7866" t="inlineStr">
        <is>
          <t>20:36:50</t>
        </is>
      </c>
    </row>
    <row r="7867" ht="15" customHeight="1" s="37">
      <c r="A7867" t="n">
        <v>22</v>
      </c>
      <c r="B7867" s="10" t="inlineStr">
        <is>
          <t>平日</t>
        </is>
      </c>
      <c r="C7867" s="10" t="inlineStr">
        <is>
          <t>北野線</t>
        </is>
      </c>
      <c r="D7867" s="10" t="inlineStr">
        <is>
          <t>下り</t>
        </is>
      </c>
      <c r="E7867" t="inlineStr">
        <is>
          <t>2057</t>
        </is>
      </c>
      <c r="F7867" t="inlineStr">
        <is>
          <t>0453</t>
        </is>
      </c>
      <c r="G7867" s="10" t="inlineStr">
        <is>
          <t>御室仁和寺</t>
        </is>
      </c>
      <c r="H7867" s="10" t="inlineStr">
        <is>
          <t>発</t>
        </is>
      </c>
      <c r="J7867" s="10" t="inlineStr">
        <is>
          <t>営業</t>
        </is>
      </c>
      <c r="L7867" t="inlineStr">
        <is>
          <t>20:37:50</t>
        </is>
      </c>
      <c r="M7867" t="inlineStr">
        <is>
          <t>20:38:05</t>
        </is>
      </c>
    </row>
    <row r="7868" ht="15" customHeight="1" s="37">
      <c r="A7868" t="n">
        <v>22</v>
      </c>
      <c r="B7868" s="10" t="inlineStr">
        <is>
          <t>平日</t>
        </is>
      </c>
      <c r="C7868" s="10" t="inlineStr">
        <is>
          <t>北野線</t>
        </is>
      </c>
      <c r="D7868" s="10" t="inlineStr">
        <is>
          <t>下り</t>
        </is>
      </c>
      <c r="E7868" t="inlineStr">
        <is>
          <t>2057</t>
        </is>
      </c>
      <c r="F7868" t="inlineStr">
        <is>
          <t>0453</t>
        </is>
      </c>
      <c r="G7868" s="10" t="inlineStr">
        <is>
          <t>宇多野</t>
        </is>
      </c>
      <c r="H7868" s="10" t="inlineStr">
        <is>
          <t>発</t>
        </is>
      </c>
      <c r="J7868" s="10" t="inlineStr">
        <is>
          <t>営業</t>
        </is>
      </c>
      <c r="L7868" t="inlineStr">
        <is>
          <t>20:39:05</t>
        </is>
      </c>
      <c r="M7868" t="inlineStr">
        <is>
          <t>20:39:15</t>
        </is>
      </c>
    </row>
    <row r="7869" ht="15" customHeight="1" s="37">
      <c r="A7869" t="n">
        <v>22</v>
      </c>
      <c r="B7869" s="10" t="inlineStr">
        <is>
          <t>平日</t>
        </is>
      </c>
      <c r="C7869" s="10" t="inlineStr">
        <is>
          <t>北野線</t>
        </is>
      </c>
      <c r="D7869" s="10" t="inlineStr">
        <is>
          <t>下り</t>
        </is>
      </c>
      <c r="E7869" t="inlineStr">
        <is>
          <t>2057</t>
        </is>
      </c>
      <c r="F7869" t="inlineStr">
        <is>
          <t>0453</t>
        </is>
      </c>
      <c r="G7869" s="10" t="inlineStr">
        <is>
          <t>鳴滝</t>
        </is>
      </c>
      <c r="H7869" s="10" t="inlineStr">
        <is>
          <t>発</t>
        </is>
      </c>
      <c r="J7869" s="10" t="inlineStr">
        <is>
          <t>営業</t>
        </is>
      </c>
      <c r="L7869" t="inlineStr">
        <is>
          <t>20:40:35</t>
        </is>
      </c>
      <c r="M7869" t="inlineStr">
        <is>
          <t>20:40:45</t>
        </is>
      </c>
    </row>
    <row r="7870" ht="15" customHeight="1" s="37">
      <c r="A7870" t="n">
        <v>22</v>
      </c>
      <c r="B7870" s="10" t="inlineStr">
        <is>
          <t>平日</t>
        </is>
      </c>
      <c r="C7870" s="10" t="inlineStr">
        <is>
          <t>北野線</t>
        </is>
      </c>
      <c r="D7870" s="10" t="inlineStr">
        <is>
          <t>下り</t>
        </is>
      </c>
      <c r="E7870" t="inlineStr">
        <is>
          <t>2057</t>
        </is>
      </c>
      <c r="F7870" t="inlineStr">
        <is>
          <t>0453</t>
        </is>
      </c>
      <c r="G7870" s="10" t="inlineStr">
        <is>
          <t>常盤</t>
        </is>
      </c>
      <c r="H7870" s="10" t="inlineStr">
        <is>
          <t>発</t>
        </is>
      </c>
      <c r="J7870" s="10" t="inlineStr">
        <is>
          <t>営業</t>
        </is>
      </c>
      <c r="L7870" t="inlineStr">
        <is>
          <t>20:41:35</t>
        </is>
      </c>
      <c r="M7870" t="inlineStr">
        <is>
          <t>20:41:55</t>
        </is>
      </c>
    </row>
    <row r="7871" ht="15" customHeight="1" s="37">
      <c r="A7871" t="n">
        <v>22</v>
      </c>
      <c r="B7871" s="10" t="inlineStr">
        <is>
          <t>平日</t>
        </is>
      </c>
      <c r="C7871" s="10" t="inlineStr">
        <is>
          <t>北野線</t>
        </is>
      </c>
      <c r="D7871" s="10" t="inlineStr">
        <is>
          <t>下り</t>
        </is>
      </c>
      <c r="E7871" t="inlineStr">
        <is>
          <t>2057</t>
        </is>
      </c>
      <c r="F7871" t="inlineStr">
        <is>
          <t>0453</t>
        </is>
      </c>
      <c r="G7871" s="10" t="inlineStr">
        <is>
          <t>撮影所前</t>
        </is>
      </c>
      <c r="H7871" s="10" t="inlineStr">
        <is>
          <t>発</t>
        </is>
      </c>
      <c r="J7871" s="10" t="inlineStr">
        <is>
          <t>営業</t>
        </is>
      </c>
      <c r="L7871" t="inlineStr">
        <is>
          <t>20:43:15</t>
        </is>
      </c>
      <c r="M7871" t="inlineStr">
        <is>
          <t>20:43:30</t>
        </is>
      </c>
    </row>
    <row r="7872" ht="15" customHeight="1" s="37">
      <c r="A7872" t="n">
        <v>22</v>
      </c>
      <c r="B7872" s="10" t="inlineStr">
        <is>
          <t>平日</t>
        </is>
      </c>
      <c r="C7872" s="10" t="inlineStr">
        <is>
          <t>北野線</t>
        </is>
      </c>
      <c r="D7872" s="10" t="inlineStr">
        <is>
          <t>下り</t>
        </is>
      </c>
      <c r="E7872" t="inlineStr">
        <is>
          <t>2057</t>
        </is>
      </c>
      <c r="F7872" t="inlineStr">
        <is>
          <t>0453</t>
        </is>
      </c>
      <c r="G7872" s="10" t="inlineStr">
        <is>
          <t>帷子ノ辻</t>
        </is>
      </c>
      <c r="H7872" s="10" t="inlineStr">
        <is>
          <t>着</t>
        </is>
      </c>
      <c r="J7872" s="10" t="inlineStr">
        <is>
          <t>営業</t>
        </is>
      </c>
      <c r="L7872" t="inlineStr">
        <is>
          <t>20:44:25</t>
        </is>
      </c>
      <c r="Q7872" t="inlineStr">
        <is>
          <t>3</t>
        </is>
      </c>
    </row>
    <row r="7873" ht="15" customHeight="1" s="37">
      <c r="A7873" t="n">
        <v>22</v>
      </c>
      <c r="B7873" s="10" t="inlineStr">
        <is>
          <t>平日</t>
        </is>
      </c>
      <c r="C7873" s="10" t="inlineStr">
        <is>
          <t>北野線</t>
        </is>
      </c>
      <c r="D7873" s="10" t="inlineStr">
        <is>
          <t>上り</t>
        </is>
      </c>
      <c r="E7873" t="inlineStr">
        <is>
          <t>2062</t>
        </is>
      </c>
      <c r="F7873" t="inlineStr">
        <is>
          <t>0304</t>
        </is>
      </c>
      <c r="G7873" s="10" t="inlineStr">
        <is>
          <t>帷子ノ辻</t>
        </is>
      </c>
      <c r="H7873" s="10" t="inlineStr">
        <is>
          <t>発</t>
        </is>
      </c>
      <c r="J7873" s="10" t="inlineStr">
        <is>
          <t>営業</t>
        </is>
      </c>
      <c r="M7873" t="inlineStr">
        <is>
          <t>20:56:25</t>
        </is>
      </c>
      <c r="Q7873" t="inlineStr">
        <is>
          <t>3</t>
        </is>
      </c>
    </row>
    <row r="7874" ht="15" customHeight="1" s="37">
      <c r="A7874" t="n">
        <v>22</v>
      </c>
      <c r="B7874" s="10" t="inlineStr">
        <is>
          <t>平日</t>
        </is>
      </c>
      <c r="C7874" s="10" t="inlineStr">
        <is>
          <t>北野線</t>
        </is>
      </c>
      <c r="D7874" s="10" t="inlineStr">
        <is>
          <t>上り</t>
        </is>
      </c>
      <c r="E7874" t="inlineStr">
        <is>
          <t>2062</t>
        </is>
      </c>
      <c r="F7874" t="inlineStr">
        <is>
          <t>0304</t>
        </is>
      </c>
      <c r="G7874" s="10" t="inlineStr">
        <is>
          <t>撮影所前</t>
        </is>
      </c>
      <c r="H7874" s="10" t="inlineStr">
        <is>
          <t>発</t>
        </is>
      </c>
      <c r="J7874" s="10" t="inlineStr">
        <is>
          <t>営業</t>
        </is>
      </c>
      <c r="L7874" t="inlineStr">
        <is>
          <t>20:57:25</t>
        </is>
      </c>
      <c r="M7874" t="inlineStr">
        <is>
          <t>20:57:40</t>
        </is>
      </c>
    </row>
    <row r="7875" ht="15" customHeight="1" s="37">
      <c r="A7875" t="n">
        <v>22</v>
      </c>
      <c r="B7875" s="10" t="inlineStr">
        <is>
          <t>平日</t>
        </is>
      </c>
      <c r="C7875" s="10" t="inlineStr">
        <is>
          <t>北野線</t>
        </is>
      </c>
      <c r="D7875" s="10" t="inlineStr">
        <is>
          <t>上り</t>
        </is>
      </c>
      <c r="E7875" t="inlineStr">
        <is>
          <t>2062</t>
        </is>
      </c>
      <c r="F7875" t="inlineStr">
        <is>
          <t>0304</t>
        </is>
      </c>
      <c r="G7875" s="10" t="inlineStr">
        <is>
          <t>常盤</t>
        </is>
      </c>
      <c r="H7875" s="10" t="inlineStr">
        <is>
          <t>発</t>
        </is>
      </c>
      <c r="J7875" s="10" t="inlineStr">
        <is>
          <t>営業</t>
        </is>
      </c>
      <c r="L7875" t="inlineStr">
        <is>
          <t>20:59:00</t>
        </is>
      </c>
      <c r="M7875" t="inlineStr">
        <is>
          <t>20:59:20</t>
        </is>
      </c>
    </row>
    <row r="7876" ht="15" customHeight="1" s="37">
      <c r="A7876" t="n">
        <v>22</v>
      </c>
      <c r="B7876" s="10" t="inlineStr">
        <is>
          <t>平日</t>
        </is>
      </c>
      <c r="C7876" s="10" t="inlineStr">
        <is>
          <t>北野線</t>
        </is>
      </c>
      <c r="D7876" s="10" t="inlineStr">
        <is>
          <t>上り</t>
        </is>
      </c>
      <c r="E7876" t="inlineStr">
        <is>
          <t>2062</t>
        </is>
      </c>
      <c r="F7876" t="inlineStr">
        <is>
          <t>0304</t>
        </is>
      </c>
      <c r="G7876" s="10" t="inlineStr">
        <is>
          <t>鳴滝</t>
        </is>
      </c>
      <c r="H7876" s="10" t="inlineStr">
        <is>
          <t>発</t>
        </is>
      </c>
      <c r="J7876" s="10" t="inlineStr">
        <is>
          <t>営業</t>
        </is>
      </c>
      <c r="L7876" t="inlineStr">
        <is>
          <t>21:00:20</t>
        </is>
      </c>
      <c r="M7876" t="inlineStr">
        <is>
          <t>21:00:40</t>
        </is>
      </c>
    </row>
    <row r="7877" ht="15" customHeight="1" s="37">
      <c r="A7877" t="n">
        <v>22</v>
      </c>
      <c r="B7877" s="10" t="inlineStr">
        <is>
          <t>平日</t>
        </is>
      </c>
      <c r="C7877" s="10" t="inlineStr">
        <is>
          <t>北野線</t>
        </is>
      </c>
      <c r="D7877" s="10" t="inlineStr">
        <is>
          <t>上り</t>
        </is>
      </c>
      <c r="E7877" t="inlineStr">
        <is>
          <t>2062</t>
        </is>
      </c>
      <c r="F7877" t="inlineStr">
        <is>
          <t>0304</t>
        </is>
      </c>
      <c r="G7877" s="10" t="inlineStr">
        <is>
          <t>宇多野</t>
        </is>
      </c>
      <c r="H7877" s="10" t="inlineStr">
        <is>
          <t>発</t>
        </is>
      </c>
      <c r="J7877" s="10" t="inlineStr">
        <is>
          <t>営業</t>
        </is>
      </c>
      <c r="L7877" t="inlineStr">
        <is>
          <t>21:02:00</t>
        </is>
      </c>
      <c r="M7877" t="inlineStr">
        <is>
          <t>21:02:15</t>
        </is>
      </c>
    </row>
    <row r="7878" ht="15" customHeight="1" s="37">
      <c r="A7878" t="n">
        <v>22</v>
      </c>
      <c r="B7878" s="10" t="inlineStr">
        <is>
          <t>平日</t>
        </is>
      </c>
      <c r="C7878" s="10" t="inlineStr">
        <is>
          <t>北野線</t>
        </is>
      </c>
      <c r="D7878" s="10" t="inlineStr">
        <is>
          <t>上り</t>
        </is>
      </c>
      <c r="E7878" t="inlineStr">
        <is>
          <t>2062</t>
        </is>
      </c>
      <c r="F7878" t="inlineStr">
        <is>
          <t>0304</t>
        </is>
      </c>
      <c r="G7878" s="10" t="inlineStr">
        <is>
          <t>御室仁和寺</t>
        </is>
      </c>
      <c r="H7878" s="10" t="inlineStr">
        <is>
          <t>発</t>
        </is>
      </c>
      <c r="J7878" s="10" t="inlineStr">
        <is>
          <t>営業</t>
        </is>
      </c>
      <c r="L7878" t="inlineStr">
        <is>
          <t>21:03:15</t>
        </is>
      </c>
      <c r="M7878" t="inlineStr">
        <is>
          <t>21:03:35</t>
        </is>
      </c>
    </row>
    <row r="7879" ht="15" customHeight="1" s="37">
      <c r="A7879" t="n">
        <v>22</v>
      </c>
      <c r="B7879" s="10" t="inlineStr">
        <is>
          <t>平日</t>
        </is>
      </c>
      <c r="C7879" s="10" t="inlineStr">
        <is>
          <t>北野線</t>
        </is>
      </c>
      <c r="D7879" s="10" t="inlineStr">
        <is>
          <t>上り</t>
        </is>
      </c>
      <c r="E7879" t="inlineStr">
        <is>
          <t>2062</t>
        </is>
      </c>
      <c r="F7879" t="inlineStr">
        <is>
          <t>0304</t>
        </is>
      </c>
      <c r="G7879" s="10" t="inlineStr">
        <is>
          <t>妙心寺</t>
        </is>
      </c>
      <c r="H7879" s="10" t="inlineStr">
        <is>
          <t>発</t>
        </is>
      </c>
      <c r="J7879" s="10" t="inlineStr">
        <is>
          <t>営業</t>
        </is>
      </c>
      <c r="L7879" t="inlineStr">
        <is>
          <t>21:04:35</t>
        </is>
      </c>
      <c r="M7879" t="inlineStr">
        <is>
          <t>21:04:50</t>
        </is>
      </c>
    </row>
    <row r="7880" ht="15" customHeight="1" s="37">
      <c r="A7880" t="n">
        <v>22</v>
      </c>
      <c r="B7880" s="10" t="inlineStr">
        <is>
          <t>平日</t>
        </is>
      </c>
      <c r="C7880" s="10" t="inlineStr">
        <is>
          <t>北野線</t>
        </is>
      </c>
      <c r="D7880" s="10" t="inlineStr">
        <is>
          <t>上り</t>
        </is>
      </c>
      <c r="E7880" t="inlineStr">
        <is>
          <t>2062</t>
        </is>
      </c>
      <c r="F7880" t="inlineStr">
        <is>
          <t>0304</t>
        </is>
      </c>
      <c r="G7880" s="10" t="inlineStr">
        <is>
          <t>龍安寺</t>
        </is>
      </c>
      <c r="H7880" s="10" t="inlineStr">
        <is>
          <t>発</t>
        </is>
      </c>
      <c r="J7880" s="10" t="inlineStr">
        <is>
          <t>営業</t>
        </is>
      </c>
      <c r="L7880" t="inlineStr">
        <is>
          <t>21:05:45</t>
        </is>
      </c>
      <c r="M7880" t="inlineStr">
        <is>
          <t>21:05:55</t>
        </is>
      </c>
    </row>
    <row r="7881" ht="15" customHeight="1" s="37">
      <c r="A7881" t="n">
        <v>22</v>
      </c>
      <c r="B7881" s="10" t="inlineStr">
        <is>
          <t>平日</t>
        </is>
      </c>
      <c r="C7881" s="10" t="inlineStr">
        <is>
          <t>北野線</t>
        </is>
      </c>
      <c r="D7881" s="10" t="inlineStr">
        <is>
          <t>上り</t>
        </is>
      </c>
      <c r="E7881" t="inlineStr">
        <is>
          <t>2062</t>
        </is>
      </c>
      <c r="F7881" t="inlineStr">
        <is>
          <t>0304</t>
        </is>
      </c>
      <c r="G7881" s="10" t="inlineStr">
        <is>
          <t>等持院</t>
        </is>
      </c>
      <c r="H7881" s="10" t="inlineStr">
        <is>
          <t>発</t>
        </is>
      </c>
      <c r="J7881" s="10" t="inlineStr">
        <is>
          <t>営業</t>
        </is>
      </c>
      <c r="L7881" t="inlineStr">
        <is>
          <t>21:06:35</t>
        </is>
      </c>
      <c r="M7881" t="inlineStr">
        <is>
          <t>21:06:55</t>
        </is>
      </c>
    </row>
    <row r="7882" ht="15" customHeight="1" s="37">
      <c r="A7882" t="n">
        <v>22</v>
      </c>
      <c r="B7882" s="10" t="inlineStr">
        <is>
          <t>平日</t>
        </is>
      </c>
      <c r="C7882" s="10" t="inlineStr">
        <is>
          <t>北野線</t>
        </is>
      </c>
      <c r="D7882" s="10" t="inlineStr">
        <is>
          <t>上り</t>
        </is>
      </c>
      <c r="E7882" t="inlineStr">
        <is>
          <t>2062</t>
        </is>
      </c>
      <c r="F7882" t="inlineStr">
        <is>
          <t>0304</t>
        </is>
      </c>
      <c r="G7882" s="10" t="inlineStr">
        <is>
          <t>北野白梅町</t>
        </is>
      </c>
      <c r="H7882" s="10" t="inlineStr">
        <is>
          <t>着</t>
        </is>
      </c>
      <c r="J7882" s="10" t="inlineStr">
        <is>
          <t>営業</t>
        </is>
      </c>
      <c r="L7882" t="inlineStr">
        <is>
          <t>21:08:15</t>
        </is>
      </c>
      <c r="N7882" t="inlineStr">
        <is>
          <t>○</t>
        </is>
      </c>
      <c r="Q7882" t="inlineStr">
        <is>
          <t>1</t>
        </is>
      </c>
    </row>
    <row r="7883" ht="15" customHeight="1" s="37">
      <c r="A7883" t="n">
        <v>22</v>
      </c>
      <c r="B7883" s="10" t="inlineStr">
        <is>
          <t>平日</t>
        </is>
      </c>
      <c r="C7883" s="10" t="inlineStr">
        <is>
          <t>北野線</t>
        </is>
      </c>
      <c r="D7883" s="10" t="inlineStr">
        <is>
          <t>下り</t>
        </is>
      </c>
      <c r="E7883" t="inlineStr">
        <is>
          <t>2153</t>
        </is>
      </c>
      <c r="F7883" t="inlineStr">
        <is>
          <t>0453</t>
        </is>
      </c>
      <c r="G7883" s="10" t="inlineStr">
        <is>
          <t>北野白梅町</t>
        </is>
      </c>
      <c r="H7883" s="10" t="inlineStr">
        <is>
          <t>発</t>
        </is>
      </c>
      <c r="J7883" s="10" t="inlineStr">
        <is>
          <t>営業</t>
        </is>
      </c>
      <c r="M7883" t="inlineStr">
        <is>
          <t>21:13:00</t>
        </is>
      </c>
      <c r="Q7883" t="inlineStr">
        <is>
          <t>1</t>
        </is>
      </c>
    </row>
    <row r="7884" ht="15" customHeight="1" s="37">
      <c r="A7884" t="n">
        <v>22</v>
      </c>
      <c r="B7884" s="10" t="inlineStr">
        <is>
          <t>平日</t>
        </is>
      </c>
      <c r="C7884" s="10" t="inlineStr">
        <is>
          <t>北野線</t>
        </is>
      </c>
      <c r="D7884" s="10" t="inlineStr">
        <is>
          <t>下り</t>
        </is>
      </c>
      <c r="E7884" t="inlineStr">
        <is>
          <t>2153</t>
        </is>
      </c>
      <c r="F7884" t="inlineStr">
        <is>
          <t>0453</t>
        </is>
      </c>
      <c r="G7884" s="10" t="inlineStr">
        <is>
          <t>等持院</t>
        </is>
      </c>
      <c r="H7884" s="10" t="inlineStr">
        <is>
          <t>発</t>
        </is>
      </c>
      <c r="J7884" s="10" t="inlineStr">
        <is>
          <t>営業</t>
        </is>
      </c>
      <c r="L7884" t="inlineStr">
        <is>
          <t>21:14:25</t>
        </is>
      </c>
      <c r="M7884" t="inlineStr">
        <is>
          <t>21:14:35</t>
        </is>
      </c>
    </row>
    <row r="7885" ht="15" customHeight="1" s="37">
      <c r="A7885" t="n">
        <v>22</v>
      </c>
      <c r="B7885" s="10" t="inlineStr">
        <is>
          <t>平日</t>
        </is>
      </c>
      <c r="C7885" s="10" t="inlineStr">
        <is>
          <t>北野線</t>
        </is>
      </c>
      <c r="D7885" s="10" t="inlineStr">
        <is>
          <t>下り</t>
        </is>
      </c>
      <c r="E7885" t="inlineStr">
        <is>
          <t>2153</t>
        </is>
      </c>
      <c r="F7885" t="inlineStr">
        <is>
          <t>0453</t>
        </is>
      </c>
      <c r="G7885" s="10" t="inlineStr">
        <is>
          <t>龍安寺</t>
        </is>
      </c>
      <c r="H7885" s="10" t="inlineStr">
        <is>
          <t>発</t>
        </is>
      </c>
      <c r="J7885" s="10" t="inlineStr">
        <is>
          <t>営業</t>
        </is>
      </c>
      <c r="L7885" t="inlineStr">
        <is>
          <t>21:15:25</t>
        </is>
      </c>
      <c r="M7885" t="inlineStr">
        <is>
          <t>21:15:50</t>
        </is>
      </c>
    </row>
    <row r="7886" ht="15" customHeight="1" s="37">
      <c r="A7886" t="n">
        <v>22</v>
      </c>
      <c r="B7886" s="10" t="inlineStr">
        <is>
          <t>平日</t>
        </is>
      </c>
      <c r="C7886" s="10" t="inlineStr">
        <is>
          <t>北野線</t>
        </is>
      </c>
      <c r="D7886" s="10" t="inlineStr">
        <is>
          <t>下り</t>
        </is>
      </c>
      <c r="E7886" t="inlineStr">
        <is>
          <t>2153</t>
        </is>
      </c>
      <c r="F7886" t="inlineStr">
        <is>
          <t>0453</t>
        </is>
      </c>
      <c r="G7886" s="10" t="inlineStr">
        <is>
          <t>妙心寺</t>
        </is>
      </c>
      <c r="H7886" s="10" t="inlineStr">
        <is>
          <t>発</t>
        </is>
      </c>
      <c r="J7886" s="10" t="inlineStr">
        <is>
          <t>営業</t>
        </is>
      </c>
      <c r="L7886" t="inlineStr">
        <is>
          <t>21:16:40</t>
        </is>
      </c>
      <c r="M7886" t="inlineStr">
        <is>
          <t>21:16:50</t>
        </is>
      </c>
    </row>
    <row r="7887" ht="15" customHeight="1" s="37">
      <c r="A7887" t="n">
        <v>22</v>
      </c>
      <c r="B7887" s="10" t="inlineStr">
        <is>
          <t>平日</t>
        </is>
      </c>
      <c r="C7887" s="10" t="inlineStr">
        <is>
          <t>北野線</t>
        </is>
      </c>
      <c r="D7887" s="10" t="inlineStr">
        <is>
          <t>下り</t>
        </is>
      </c>
      <c r="E7887" t="inlineStr">
        <is>
          <t>2153</t>
        </is>
      </c>
      <c r="F7887" t="inlineStr">
        <is>
          <t>0453</t>
        </is>
      </c>
      <c r="G7887" s="10" t="inlineStr">
        <is>
          <t>御室仁和寺</t>
        </is>
      </c>
      <c r="H7887" s="10" t="inlineStr">
        <is>
          <t>発</t>
        </is>
      </c>
      <c r="J7887" s="10" t="inlineStr">
        <is>
          <t>営業</t>
        </is>
      </c>
      <c r="L7887" t="inlineStr">
        <is>
          <t>21:17:50</t>
        </is>
      </c>
      <c r="M7887" t="inlineStr">
        <is>
          <t>21:18:05</t>
        </is>
      </c>
    </row>
    <row r="7888" ht="15" customHeight="1" s="37">
      <c r="A7888" t="n">
        <v>22</v>
      </c>
      <c r="B7888" s="10" t="inlineStr">
        <is>
          <t>平日</t>
        </is>
      </c>
      <c r="C7888" s="10" t="inlineStr">
        <is>
          <t>北野線</t>
        </is>
      </c>
      <c r="D7888" s="10" t="inlineStr">
        <is>
          <t>下り</t>
        </is>
      </c>
      <c r="E7888" t="inlineStr">
        <is>
          <t>2153</t>
        </is>
      </c>
      <c r="F7888" t="inlineStr">
        <is>
          <t>0453</t>
        </is>
      </c>
      <c r="G7888" s="10" t="inlineStr">
        <is>
          <t>宇多野</t>
        </is>
      </c>
      <c r="H7888" s="10" t="inlineStr">
        <is>
          <t>発</t>
        </is>
      </c>
      <c r="J7888" s="10" t="inlineStr">
        <is>
          <t>営業</t>
        </is>
      </c>
      <c r="L7888" t="inlineStr">
        <is>
          <t>21:19:05</t>
        </is>
      </c>
      <c r="M7888" t="inlineStr">
        <is>
          <t>21:19:15</t>
        </is>
      </c>
    </row>
    <row r="7889" ht="15" customHeight="1" s="37">
      <c r="A7889" t="n">
        <v>22</v>
      </c>
      <c r="B7889" s="10" t="inlineStr">
        <is>
          <t>平日</t>
        </is>
      </c>
      <c r="C7889" s="10" t="inlineStr">
        <is>
          <t>北野線</t>
        </is>
      </c>
      <c r="D7889" s="10" t="inlineStr">
        <is>
          <t>下り</t>
        </is>
      </c>
      <c r="E7889" t="inlineStr">
        <is>
          <t>2153</t>
        </is>
      </c>
      <c r="F7889" t="inlineStr">
        <is>
          <t>0453</t>
        </is>
      </c>
      <c r="G7889" s="10" t="inlineStr">
        <is>
          <t>鳴滝</t>
        </is>
      </c>
      <c r="H7889" s="10" t="inlineStr">
        <is>
          <t>発</t>
        </is>
      </c>
      <c r="J7889" s="10" t="inlineStr">
        <is>
          <t>営業</t>
        </is>
      </c>
      <c r="L7889" t="inlineStr">
        <is>
          <t>21:20:35</t>
        </is>
      </c>
      <c r="M7889" t="inlineStr">
        <is>
          <t>21:20:45</t>
        </is>
      </c>
    </row>
    <row r="7890" ht="15" customHeight="1" s="37">
      <c r="A7890" t="n">
        <v>22</v>
      </c>
      <c r="B7890" s="10" t="inlineStr">
        <is>
          <t>平日</t>
        </is>
      </c>
      <c r="C7890" s="10" t="inlineStr">
        <is>
          <t>北野線</t>
        </is>
      </c>
      <c r="D7890" s="10" t="inlineStr">
        <is>
          <t>下り</t>
        </is>
      </c>
      <c r="E7890" t="inlineStr">
        <is>
          <t>2153</t>
        </is>
      </c>
      <c r="F7890" t="inlineStr">
        <is>
          <t>0453</t>
        </is>
      </c>
      <c r="G7890" s="10" t="inlineStr">
        <is>
          <t>常盤</t>
        </is>
      </c>
      <c r="H7890" s="10" t="inlineStr">
        <is>
          <t>発</t>
        </is>
      </c>
      <c r="J7890" s="10" t="inlineStr">
        <is>
          <t>営業</t>
        </is>
      </c>
      <c r="L7890" t="inlineStr">
        <is>
          <t>21:21:35</t>
        </is>
      </c>
      <c r="M7890" t="inlineStr">
        <is>
          <t>21:21:55</t>
        </is>
      </c>
    </row>
    <row r="7891" ht="15" customHeight="1" s="37">
      <c r="A7891" t="n">
        <v>22</v>
      </c>
      <c r="B7891" s="10" t="inlineStr">
        <is>
          <t>平日</t>
        </is>
      </c>
      <c r="C7891" s="10" t="inlineStr">
        <is>
          <t>北野線</t>
        </is>
      </c>
      <c r="D7891" s="10" t="inlineStr">
        <is>
          <t>下り</t>
        </is>
      </c>
      <c r="E7891" t="inlineStr">
        <is>
          <t>2153</t>
        </is>
      </c>
      <c r="F7891" t="inlineStr">
        <is>
          <t>0453</t>
        </is>
      </c>
      <c r="G7891" s="10" t="inlineStr">
        <is>
          <t>撮影所前</t>
        </is>
      </c>
      <c r="H7891" s="10" t="inlineStr">
        <is>
          <t>発</t>
        </is>
      </c>
      <c r="J7891" s="10" t="inlineStr">
        <is>
          <t>営業</t>
        </is>
      </c>
      <c r="L7891" t="inlineStr">
        <is>
          <t>21:23:15</t>
        </is>
      </c>
      <c r="M7891" t="inlineStr">
        <is>
          <t>21:23:30</t>
        </is>
      </c>
    </row>
    <row r="7892" ht="15" customHeight="1" s="37">
      <c r="A7892" t="n">
        <v>22</v>
      </c>
      <c r="B7892" s="10" t="inlineStr">
        <is>
          <t>平日</t>
        </is>
      </c>
      <c r="C7892" s="10" t="inlineStr">
        <is>
          <t>北野線</t>
        </is>
      </c>
      <c r="D7892" s="10" t="inlineStr">
        <is>
          <t>下り</t>
        </is>
      </c>
      <c r="E7892" t="inlineStr">
        <is>
          <t>2153</t>
        </is>
      </c>
      <c r="F7892" t="inlineStr">
        <is>
          <t>0453</t>
        </is>
      </c>
      <c r="G7892" s="10" t="inlineStr">
        <is>
          <t>帷子ノ辻</t>
        </is>
      </c>
      <c r="H7892" s="10" t="inlineStr">
        <is>
          <t>着</t>
        </is>
      </c>
      <c r="J7892" s="10" t="inlineStr">
        <is>
          <t>営業</t>
        </is>
      </c>
      <c r="L7892" t="inlineStr">
        <is>
          <t>21:24:25</t>
        </is>
      </c>
      <c r="Q7892" t="inlineStr">
        <is>
          <t>4</t>
        </is>
      </c>
    </row>
    <row r="7893" ht="15" customHeight="1" s="37">
      <c r="A7893" t="n">
        <v>22</v>
      </c>
      <c r="B7893" s="10" t="inlineStr">
        <is>
          <t>平日</t>
        </is>
      </c>
      <c r="C7893" s="10" t="inlineStr">
        <is>
          <t>北野線</t>
        </is>
      </c>
      <c r="D7893" s="10" t="inlineStr">
        <is>
          <t>上り</t>
        </is>
      </c>
      <c r="E7893" t="inlineStr">
        <is>
          <t>2156</t>
        </is>
      </c>
      <c r="F7893" t="inlineStr">
        <is>
          <t>0304</t>
        </is>
      </c>
      <c r="G7893" s="10" t="inlineStr">
        <is>
          <t>帷子ノ辻</t>
        </is>
      </c>
      <c r="H7893" s="10" t="inlineStr">
        <is>
          <t>発</t>
        </is>
      </c>
      <c r="J7893" s="10" t="inlineStr">
        <is>
          <t>営業</t>
        </is>
      </c>
      <c r="M7893" t="inlineStr">
        <is>
          <t>21:36:25</t>
        </is>
      </c>
      <c r="Q7893" t="inlineStr">
        <is>
          <t>4</t>
        </is>
      </c>
    </row>
    <row r="7894" ht="15" customHeight="1" s="37">
      <c r="A7894" t="n">
        <v>22</v>
      </c>
      <c r="B7894" s="10" t="inlineStr">
        <is>
          <t>平日</t>
        </is>
      </c>
      <c r="C7894" s="10" t="inlineStr">
        <is>
          <t>北野線</t>
        </is>
      </c>
      <c r="D7894" s="10" t="inlineStr">
        <is>
          <t>上り</t>
        </is>
      </c>
      <c r="E7894" t="inlineStr">
        <is>
          <t>2156</t>
        </is>
      </c>
      <c r="F7894" t="inlineStr">
        <is>
          <t>0304</t>
        </is>
      </c>
      <c r="G7894" s="10" t="inlineStr">
        <is>
          <t>撮影所前</t>
        </is>
      </c>
      <c r="H7894" s="10" t="inlineStr">
        <is>
          <t>発</t>
        </is>
      </c>
      <c r="J7894" s="10" t="inlineStr">
        <is>
          <t>営業</t>
        </is>
      </c>
      <c r="L7894" t="inlineStr">
        <is>
          <t>21:37:25</t>
        </is>
      </c>
      <c r="M7894" t="inlineStr">
        <is>
          <t>21:37:40</t>
        </is>
      </c>
    </row>
    <row r="7895" ht="15" customHeight="1" s="37">
      <c r="A7895" t="n">
        <v>22</v>
      </c>
      <c r="B7895" s="10" t="inlineStr">
        <is>
          <t>平日</t>
        </is>
      </c>
      <c r="C7895" s="10" t="inlineStr">
        <is>
          <t>北野線</t>
        </is>
      </c>
      <c r="D7895" s="10" t="inlineStr">
        <is>
          <t>上り</t>
        </is>
      </c>
      <c r="E7895" t="inlineStr">
        <is>
          <t>2156</t>
        </is>
      </c>
      <c r="F7895" t="inlineStr">
        <is>
          <t>0304</t>
        </is>
      </c>
      <c r="G7895" s="10" t="inlineStr">
        <is>
          <t>常盤</t>
        </is>
      </c>
      <c r="H7895" s="10" t="inlineStr">
        <is>
          <t>発</t>
        </is>
      </c>
      <c r="J7895" s="10" t="inlineStr">
        <is>
          <t>営業</t>
        </is>
      </c>
      <c r="L7895" t="inlineStr">
        <is>
          <t>21:39:00</t>
        </is>
      </c>
      <c r="M7895" t="inlineStr">
        <is>
          <t>21:39:20</t>
        </is>
      </c>
    </row>
    <row r="7896" ht="15" customHeight="1" s="37">
      <c r="A7896" t="n">
        <v>22</v>
      </c>
      <c r="B7896" s="10" t="inlineStr">
        <is>
          <t>平日</t>
        </is>
      </c>
      <c r="C7896" s="10" t="inlineStr">
        <is>
          <t>北野線</t>
        </is>
      </c>
      <c r="D7896" s="10" t="inlineStr">
        <is>
          <t>上り</t>
        </is>
      </c>
      <c r="E7896" t="inlineStr">
        <is>
          <t>2156</t>
        </is>
      </c>
      <c r="F7896" t="inlineStr">
        <is>
          <t>0304</t>
        </is>
      </c>
      <c r="G7896" s="10" t="inlineStr">
        <is>
          <t>鳴滝</t>
        </is>
      </c>
      <c r="H7896" s="10" t="inlineStr">
        <is>
          <t>発</t>
        </is>
      </c>
      <c r="J7896" s="10" t="inlineStr">
        <is>
          <t>営業</t>
        </is>
      </c>
      <c r="L7896" t="inlineStr">
        <is>
          <t>21:40:20</t>
        </is>
      </c>
      <c r="M7896" t="inlineStr">
        <is>
          <t>21:40:40</t>
        </is>
      </c>
    </row>
    <row r="7897" ht="15" customHeight="1" s="37">
      <c r="A7897" t="n">
        <v>22</v>
      </c>
      <c r="B7897" s="10" t="inlineStr">
        <is>
          <t>平日</t>
        </is>
      </c>
      <c r="C7897" s="10" t="inlineStr">
        <is>
          <t>北野線</t>
        </is>
      </c>
      <c r="D7897" s="10" t="inlineStr">
        <is>
          <t>上り</t>
        </is>
      </c>
      <c r="E7897" t="inlineStr">
        <is>
          <t>2156</t>
        </is>
      </c>
      <c r="F7897" t="inlineStr">
        <is>
          <t>0304</t>
        </is>
      </c>
      <c r="G7897" s="10" t="inlineStr">
        <is>
          <t>宇多野</t>
        </is>
      </c>
      <c r="H7897" s="10" t="inlineStr">
        <is>
          <t>発</t>
        </is>
      </c>
      <c r="J7897" s="10" t="inlineStr">
        <is>
          <t>営業</t>
        </is>
      </c>
      <c r="L7897" t="inlineStr">
        <is>
          <t>21:42:00</t>
        </is>
      </c>
      <c r="M7897" t="inlineStr">
        <is>
          <t>21:42:15</t>
        </is>
      </c>
    </row>
    <row r="7898" ht="15" customHeight="1" s="37">
      <c r="A7898" t="n">
        <v>22</v>
      </c>
      <c r="B7898" s="10" t="inlineStr">
        <is>
          <t>平日</t>
        </is>
      </c>
      <c r="C7898" s="10" t="inlineStr">
        <is>
          <t>北野線</t>
        </is>
      </c>
      <c r="D7898" s="10" t="inlineStr">
        <is>
          <t>上り</t>
        </is>
      </c>
      <c r="E7898" t="inlineStr">
        <is>
          <t>2156</t>
        </is>
      </c>
      <c r="F7898" t="inlineStr">
        <is>
          <t>0304</t>
        </is>
      </c>
      <c r="G7898" s="10" t="inlineStr">
        <is>
          <t>御室仁和寺</t>
        </is>
      </c>
      <c r="H7898" s="10" t="inlineStr">
        <is>
          <t>発</t>
        </is>
      </c>
      <c r="J7898" s="10" t="inlineStr">
        <is>
          <t>営業</t>
        </is>
      </c>
      <c r="L7898" t="inlineStr">
        <is>
          <t>21:43:15</t>
        </is>
      </c>
      <c r="M7898" t="inlineStr">
        <is>
          <t>21:43:35</t>
        </is>
      </c>
    </row>
    <row r="7899" ht="15" customHeight="1" s="37">
      <c r="A7899" t="n">
        <v>22</v>
      </c>
      <c r="B7899" s="10" t="inlineStr">
        <is>
          <t>平日</t>
        </is>
      </c>
      <c r="C7899" s="10" t="inlineStr">
        <is>
          <t>北野線</t>
        </is>
      </c>
      <c r="D7899" s="10" t="inlineStr">
        <is>
          <t>上り</t>
        </is>
      </c>
      <c r="E7899" t="inlineStr">
        <is>
          <t>2156</t>
        </is>
      </c>
      <c r="F7899" t="inlineStr">
        <is>
          <t>0304</t>
        </is>
      </c>
      <c r="G7899" s="10" t="inlineStr">
        <is>
          <t>妙心寺</t>
        </is>
      </c>
      <c r="H7899" s="10" t="inlineStr">
        <is>
          <t>発</t>
        </is>
      </c>
      <c r="J7899" s="10" t="inlineStr">
        <is>
          <t>営業</t>
        </is>
      </c>
      <c r="L7899" t="inlineStr">
        <is>
          <t>21:44:35</t>
        </is>
      </c>
      <c r="M7899" t="inlineStr">
        <is>
          <t>21:44:50</t>
        </is>
      </c>
    </row>
    <row r="7900" ht="15" customHeight="1" s="37">
      <c r="A7900" t="n">
        <v>22</v>
      </c>
      <c r="B7900" s="10" t="inlineStr">
        <is>
          <t>平日</t>
        </is>
      </c>
      <c r="C7900" s="10" t="inlineStr">
        <is>
          <t>北野線</t>
        </is>
      </c>
      <c r="D7900" s="10" t="inlineStr">
        <is>
          <t>上り</t>
        </is>
      </c>
      <c r="E7900" t="inlineStr">
        <is>
          <t>2156</t>
        </is>
      </c>
      <c r="F7900" t="inlineStr">
        <is>
          <t>0304</t>
        </is>
      </c>
      <c r="G7900" s="10" t="inlineStr">
        <is>
          <t>龍安寺</t>
        </is>
      </c>
      <c r="H7900" s="10" t="inlineStr">
        <is>
          <t>発</t>
        </is>
      </c>
      <c r="J7900" s="10" t="inlineStr">
        <is>
          <t>営業</t>
        </is>
      </c>
      <c r="L7900" t="inlineStr">
        <is>
          <t>21:45:45</t>
        </is>
      </c>
      <c r="M7900" t="inlineStr">
        <is>
          <t>21:45:55</t>
        </is>
      </c>
    </row>
    <row r="7901" ht="15" customHeight="1" s="37">
      <c r="A7901" t="n">
        <v>22</v>
      </c>
      <c r="B7901" s="10" t="inlineStr">
        <is>
          <t>平日</t>
        </is>
      </c>
      <c r="C7901" s="10" t="inlineStr">
        <is>
          <t>北野線</t>
        </is>
      </c>
      <c r="D7901" s="10" t="inlineStr">
        <is>
          <t>上り</t>
        </is>
      </c>
      <c r="E7901" t="inlineStr">
        <is>
          <t>2156</t>
        </is>
      </c>
      <c r="F7901" t="inlineStr">
        <is>
          <t>0304</t>
        </is>
      </c>
      <c r="G7901" s="10" t="inlineStr">
        <is>
          <t>等持院</t>
        </is>
      </c>
      <c r="H7901" s="10" t="inlineStr">
        <is>
          <t>発</t>
        </is>
      </c>
      <c r="J7901" s="10" t="inlineStr">
        <is>
          <t>営業</t>
        </is>
      </c>
      <c r="L7901" t="inlineStr">
        <is>
          <t>21:46:35</t>
        </is>
      </c>
      <c r="M7901" t="inlineStr">
        <is>
          <t>21:46:55</t>
        </is>
      </c>
    </row>
    <row r="7902" ht="15" customHeight="1" s="37">
      <c r="A7902" t="n">
        <v>22</v>
      </c>
      <c r="B7902" s="10" t="inlineStr">
        <is>
          <t>平日</t>
        </is>
      </c>
      <c r="C7902" s="10" t="inlineStr">
        <is>
          <t>北野線</t>
        </is>
      </c>
      <c r="D7902" s="10" t="inlineStr">
        <is>
          <t>上り</t>
        </is>
      </c>
      <c r="E7902" t="inlineStr">
        <is>
          <t>2156</t>
        </is>
      </c>
      <c r="F7902" t="inlineStr">
        <is>
          <t>0304</t>
        </is>
      </c>
      <c r="G7902" s="10" t="inlineStr">
        <is>
          <t>北野白梅町</t>
        </is>
      </c>
      <c r="H7902" s="10" t="inlineStr">
        <is>
          <t>着</t>
        </is>
      </c>
      <c r="J7902" s="10" t="inlineStr">
        <is>
          <t>営業</t>
        </is>
      </c>
      <c r="L7902" t="inlineStr">
        <is>
          <t>21:48:15</t>
        </is>
      </c>
      <c r="N7902" t="inlineStr">
        <is>
          <t>○</t>
        </is>
      </c>
      <c r="Q7902" t="inlineStr">
        <is>
          <t>1</t>
        </is>
      </c>
    </row>
    <row r="7903" ht="15" customHeight="1" s="37">
      <c r="A7903" t="n">
        <v>22</v>
      </c>
      <c r="B7903" s="10" t="inlineStr">
        <is>
          <t>平日</t>
        </is>
      </c>
      <c r="C7903" s="10" t="inlineStr">
        <is>
          <t>北野線</t>
        </is>
      </c>
      <c r="D7903" s="10" t="inlineStr">
        <is>
          <t>下り</t>
        </is>
      </c>
      <c r="E7903" t="inlineStr">
        <is>
          <t>2159</t>
        </is>
      </c>
      <c r="F7903" t="inlineStr">
        <is>
          <t>0453</t>
        </is>
      </c>
      <c r="G7903" s="10" t="inlineStr">
        <is>
          <t>北野白梅町</t>
        </is>
      </c>
      <c r="H7903" s="10" t="inlineStr">
        <is>
          <t>発</t>
        </is>
      </c>
      <c r="J7903" s="10" t="inlineStr">
        <is>
          <t>営業</t>
        </is>
      </c>
      <c r="M7903" t="inlineStr">
        <is>
          <t>21:57:00</t>
        </is>
      </c>
      <c r="Q7903" t="inlineStr">
        <is>
          <t>1</t>
        </is>
      </c>
    </row>
    <row r="7904" ht="15" customHeight="1" s="37">
      <c r="A7904" t="n">
        <v>22</v>
      </c>
      <c r="B7904" s="10" t="inlineStr">
        <is>
          <t>平日</t>
        </is>
      </c>
      <c r="C7904" s="10" t="inlineStr">
        <is>
          <t>北野線</t>
        </is>
      </c>
      <c r="D7904" s="10" t="inlineStr">
        <is>
          <t>下り</t>
        </is>
      </c>
      <c r="E7904" t="inlineStr">
        <is>
          <t>2159</t>
        </is>
      </c>
      <c r="F7904" t="inlineStr">
        <is>
          <t>0453</t>
        </is>
      </c>
      <c r="G7904" s="10" t="inlineStr">
        <is>
          <t>等持院</t>
        </is>
      </c>
      <c r="H7904" s="10" t="inlineStr">
        <is>
          <t>発</t>
        </is>
      </c>
      <c r="J7904" s="10" t="inlineStr">
        <is>
          <t>営業</t>
        </is>
      </c>
      <c r="L7904" t="inlineStr">
        <is>
          <t>21:58:25</t>
        </is>
      </c>
      <c r="M7904" t="inlineStr">
        <is>
          <t>21:58:35</t>
        </is>
      </c>
    </row>
    <row r="7905" ht="15" customHeight="1" s="37">
      <c r="A7905" t="n">
        <v>22</v>
      </c>
      <c r="B7905" s="10" t="inlineStr">
        <is>
          <t>平日</t>
        </is>
      </c>
      <c r="C7905" s="10" t="inlineStr">
        <is>
          <t>北野線</t>
        </is>
      </c>
      <c r="D7905" s="10" t="inlineStr">
        <is>
          <t>下り</t>
        </is>
      </c>
      <c r="E7905" t="inlineStr">
        <is>
          <t>2159</t>
        </is>
      </c>
      <c r="F7905" t="inlineStr">
        <is>
          <t>0453</t>
        </is>
      </c>
      <c r="G7905" s="10" t="inlineStr">
        <is>
          <t>龍安寺</t>
        </is>
      </c>
      <c r="H7905" s="10" t="inlineStr">
        <is>
          <t>発</t>
        </is>
      </c>
      <c r="J7905" s="10" t="inlineStr">
        <is>
          <t>営業</t>
        </is>
      </c>
      <c r="L7905" t="inlineStr">
        <is>
          <t>21:59:25</t>
        </is>
      </c>
      <c r="M7905" t="inlineStr">
        <is>
          <t>21:59:50</t>
        </is>
      </c>
    </row>
    <row r="7906" ht="15" customHeight="1" s="37">
      <c r="A7906" t="n">
        <v>22</v>
      </c>
      <c r="B7906" s="10" t="inlineStr">
        <is>
          <t>平日</t>
        </is>
      </c>
      <c r="C7906" s="10" t="inlineStr">
        <is>
          <t>北野線</t>
        </is>
      </c>
      <c r="D7906" s="10" t="inlineStr">
        <is>
          <t>下り</t>
        </is>
      </c>
      <c r="E7906" t="inlineStr">
        <is>
          <t>2159</t>
        </is>
      </c>
      <c r="F7906" t="inlineStr">
        <is>
          <t>0453</t>
        </is>
      </c>
      <c r="G7906" s="10" t="inlineStr">
        <is>
          <t>妙心寺</t>
        </is>
      </c>
      <c r="H7906" s="10" t="inlineStr">
        <is>
          <t>発</t>
        </is>
      </c>
      <c r="J7906" s="10" t="inlineStr">
        <is>
          <t>営業</t>
        </is>
      </c>
      <c r="L7906" t="inlineStr">
        <is>
          <t>22:00:40</t>
        </is>
      </c>
      <c r="M7906" t="inlineStr">
        <is>
          <t>22:00:50</t>
        </is>
      </c>
    </row>
    <row r="7907" ht="15" customHeight="1" s="37">
      <c r="A7907" t="n">
        <v>22</v>
      </c>
      <c r="B7907" s="10" t="inlineStr">
        <is>
          <t>平日</t>
        </is>
      </c>
      <c r="C7907" s="10" t="inlineStr">
        <is>
          <t>北野線</t>
        </is>
      </c>
      <c r="D7907" s="10" t="inlineStr">
        <is>
          <t>下り</t>
        </is>
      </c>
      <c r="E7907" t="inlineStr">
        <is>
          <t>2159</t>
        </is>
      </c>
      <c r="F7907" t="inlineStr">
        <is>
          <t>0453</t>
        </is>
      </c>
      <c r="G7907" s="10" t="inlineStr">
        <is>
          <t>御室仁和寺</t>
        </is>
      </c>
      <c r="H7907" s="10" t="inlineStr">
        <is>
          <t>発</t>
        </is>
      </c>
      <c r="J7907" s="10" t="inlineStr">
        <is>
          <t>営業</t>
        </is>
      </c>
      <c r="L7907" t="inlineStr">
        <is>
          <t>22:01:50</t>
        </is>
      </c>
      <c r="M7907" t="inlineStr">
        <is>
          <t>22:02:05</t>
        </is>
      </c>
    </row>
    <row r="7908" ht="15" customHeight="1" s="37">
      <c r="A7908" t="n">
        <v>22</v>
      </c>
      <c r="B7908" s="10" t="inlineStr">
        <is>
          <t>平日</t>
        </is>
      </c>
      <c r="C7908" s="10" t="inlineStr">
        <is>
          <t>北野線</t>
        </is>
      </c>
      <c r="D7908" s="10" t="inlineStr">
        <is>
          <t>下り</t>
        </is>
      </c>
      <c r="E7908" t="inlineStr">
        <is>
          <t>2159</t>
        </is>
      </c>
      <c r="F7908" t="inlineStr">
        <is>
          <t>0453</t>
        </is>
      </c>
      <c r="G7908" s="10" t="inlineStr">
        <is>
          <t>宇多野</t>
        </is>
      </c>
      <c r="H7908" s="10" t="inlineStr">
        <is>
          <t>発</t>
        </is>
      </c>
      <c r="J7908" s="10" t="inlineStr">
        <is>
          <t>営業</t>
        </is>
      </c>
      <c r="L7908" t="inlineStr">
        <is>
          <t>22:03:05</t>
        </is>
      </c>
      <c r="M7908" t="inlineStr">
        <is>
          <t>22:03:15</t>
        </is>
      </c>
    </row>
    <row r="7909" ht="15" customHeight="1" s="37">
      <c r="A7909" t="n">
        <v>22</v>
      </c>
      <c r="B7909" s="10" t="inlineStr">
        <is>
          <t>平日</t>
        </is>
      </c>
      <c r="C7909" s="10" t="inlineStr">
        <is>
          <t>北野線</t>
        </is>
      </c>
      <c r="D7909" s="10" t="inlineStr">
        <is>
          <t>下り</t>
        </is>
      </c>
      <c r="E7909" t="inlineStr">
        <is>
          <t>2159</t>
        </is>
      </c>
      <c r="F7909" t="inlineStr">
        <is>
          <t>0453</t>
        </is>
      </c>
      <c r="G7909" s="10" t="inlineStr">
        <is>
          <t>鳴滝</t>
        </is>
      </c>
      <c r="H7909" s="10" t="inlineStr">
        <is>
          <t>発</t>
        </is>
      </c>
      <c r="J7909" s="10" t="inlineStr">
        <is>
          <t>営業</t>
        </is>
      </c>
      <c r="L7909" t="inlineStr">
        <is>
          <t>22:04:35</t>
        </is>
      </c>
      <c r="M7909" t="inlineStr">
        <is>
          <t>22:04:45</t>
        </is>
      </c>
    </row>
    <row r="7910" ht="15" customHeight="1" s="37">
      <c r="A7910" t="n">
        <v>22</v>
      </c>
      <c r="B7910" s="10" t="inlineStr">
        <is>
          <t>平日</t>
        </is>
      </c>
      <c r="C7910" s="10" t="inlineStr">
        <is>
          <t>北野線</t>
        </is>
      </c>
      <c r="D7910" s="10" t="inlineStr">
        <is>
          <t>下り</t>
        </is>
      </c>
      <c r="E7910" t="inlineStr">
        <is>
          <t>2159</t>
        </is>
      </c>
      <c r="F7910" t="inlineStr">
        <is>
          <t>0453</t>
        </is>
      </c>
      <c r="G7910" s="10" t="inlineStr">
        <is>
          <t>常盤</t>
        </is>
      </c>
      <c r="H7910" s="10" t="inlineStr">
        <is>
          <t>発</t>
        </is>
      </c>
      <c r="J7910" s="10" t="inlineStr">
        <is>
          <t>営業</t>
        </is>
      </c>
      <c r="L7910" t="inlineStr">
        <is>
          <t>22:05:35</t>
        </is>
      </c>
      <c r="M7910" t="inlineStr">
        <is>
          <t>22:05:55</t>
        </is>
      </c>
    </row>
    <row r="7911" ht="16.5" customHeight="1" s="37">
      <c r="A7911" t="n">
        <v>22</v>
      </c>
      <c r="B7911" s="10" t="inlineStr">
        <is>
          <t>平日</t>
        </is>
      </c>
      <c r="C7911" s="10" t="inlineStr">
        <is>
          <t>北野線</t>
        </is>
      </c>
      <c r="D7911" s="10" t="inlineStr">
        <is>
          <t>下り</t>
        </is>
      </c>
      <c r="E7911" t="inlineStr">
        <is>
          <t>2159</t>
        </is>
      </c>
      <c r="F7911" t="inlineStr">
        <is>
          <t>0453</t>
        </is>
      </c>
      <c r="G7911" s="10" t="inlineStr">
        <is>
          <t>撮影所前</t>
        </is>
      </c>
      <c r="H7911" s="10" t="inlineStr">
        <is>
          <t>発</t>
        </is>
      </c>
      <c r="J7911" s="10" t="inlineStr">
        <is>
          <t>営業</t>
        </is>
      </c>
      <c r="L7911" t="inlineStr">
        <is>
          <t>22:07:15</t>
        </is>
      </c>
      <c r="M7911" t="inlineStr">
        <is>
          <t>22:07:30</t>
        </is>
      </c>
    </row>
    <row r="7912" ht="16.5" customHeight="1" s="37">
      <c r="A7912" t="n">
        <v>22</v>
      </c>
      <c r="B7912" s="10" t="inlineStr">
        <is>
          <t>平日</t>
        </is>
      </c>
      <c r="C7912" s="10" t="inlineStr">
        <is>
          <t>北野線</t>
        </is>
      </c>
      <c r="D7912" s="10" t="inlineStr">
        <is>
          <t>下り</t>
        </is>
      </c>
      <c r="E7912" t="inlineStr">
        <is>
          <t>2159</t>
        </is>
      </c>
      <c r="F7912" t="inlineStr">
        <is>
          <t>0453</t>
        </is>
      </c>
      <c r="G7912" s="10" t="inlineStr">
        <is>
          <t>帷子ノ辻</t>
        </is>
      </c>
      <c r="H7912" s="10" t="inlineStr">
        <is>
          <t>着</t>
        </is>
      </c>
      <c r="J7912" s="10" t="inlineStr">
        <is>
          <t>営業</t>
        </is>
      </c>
      <c r="L7912" t="inlineStr">
        <is>
          <t>22:08:25</t>
        </is>
      </c>
      <c r="Q7912" t="inlineStr">
        <is>
          <t>4</t>
        </is>
      </c>
      <c r="T7912" t="inlineStr">
        <is>
          <t>○</t>
        </is>
      </c>
    </row>
    <row r="7913" ht="16.5" customHeight="1" s="37">
      <c r="A7913" t="n">
        <v>22</v>
      </c>
      <c r="B7913" s="10" t="inlineStr">
        <is>
          <t>平日</t>
        </is>
      </c>
      <c r="C7913" s="10" t="inlineStr">
        <is>
          <t>本線</t>
        </is>
      </c>
      <c r="D7913" s="10" t="inlineStr">
        <is>
          <t>下り</t>
        </is>
      </c>
      <c r="E7913" t="inlineStr">
        <is>
          <t>22系統③便乗</t>
        </is>
      </c>
      <c r="F7913" s="10" t="inlineStr">
        <is>
          <t>便乗</t>
        </is>
      </c>
      <c r="G7913" s="10" t="inlineStr">
        <is>
          <t>西院</t>
        </is>
      </c>
      <c r="H7913" s="10" t="inlineStr">
        <is>
          <t>発</t>
        </is>
      </c>
      <c r="J7913" s="10" t="inlineStr">
        <is>
          <t>便乗</t>
        </is>
      </c>
      <c r="L7913" t="inlineStr">
        <is>
          <t>13:35:50</t>
        </is>
      </c>
      <c r="M7913" t="inlineStr">
        <is>
          <t>13:36:20</t>
        </is>
      </c>
      <c r="S7913" t="inlineStr">
        <is>
          <t>1307</t>
        </is>
      </c>
    </row>
    <row r="7914" ht="16.5" customHeight="1" s="37">
      <c r="A7914" t="n">
        <v>22</v>
      </c>
      <c r="B7914" s="10" t="inlineStr">
        <is>
          <t>平日</t>
        </is>
      </c>
      <c r="C7914" s="10" t="inlineStr">
        <is>
          <t>本線</t>
        </is>
      </c>
      <c r="D7914" s="10" t="inlineStr">
        <is>
          <t>下り</t>
        </is>
      </c>
      <c r="E7914" t="inlineStr">
        <is>
          <t>22系統③便乗</t>
        </is>
      </c>
      <c r="F7914" s="10" t="inlineStr">
        <is>
          <t>便乗</t>
        </is>
      </c>
      <c r="G7914" s="10" t="inlineStr">
        <is>
          <t>西大路三条</t>
        </is>
      </c>
      <c r="H7914" s="10" t="inlineStr">
        <is>
          <t>発</t>
        </is>
      </c>
      <c r="J7914" s="10" t="inlineStr">
        <is>
          <t>便乗</t>
        </is>
      </c>
      <c r="L7914" t="inlineStr">
        <is>
          <t>13:38:10</t>
        </is>
      </c>
      <c r="M7914" t="inlineStr">
        <is>
          <t>13:38:30</t>
        </is>
      </c>
      <c r="S7914" t="inlineStr">
        <is>
          <t>1307</t>
        </is>
      </c>
    </row>
    <row r="7915" ht="16.5" customHeight="1" s="37">
      <c r="A7915" t="n">
        <v>22</v>
      </c>
      <c r="B7915" s="10" t="inlineStr">
        <is>
          <t>平日</t>
        </is>
      </c>
      <c r="C7915" s="10" t="inlineStr">
        <is>
          <t>本線</t>
        </is>
      </c>
      <c r="D7915" s="10" t="inlineStr">
        <is>
          <t>下り</t>
        </is>
      </c>
      <c r="E7915" t="inlineStr">
        <is>
          <t>22系統③便乗</t>
        </is>
      </c>
      <c r="F7915" s="10" t="inlineStr">
        <is>
          <t>便乗</t>
        </is>
      </c>
      <c r="G7915" s="10" t="inlineStr">
        <is>
          <t>山ノ内</t>
        </is>
      </c>
      <c r="H7915" s="10" t="inlineStr">
        <is>
          <t>発</t>
        </is>
      </c>
      <c r="J7915" s="10" t="inlineStr">
        <is>
          <t>便乗</t>
        </is>
      </c>
      <c r="L7915" t="inlineStr">
        <is>
          <t>13:40:25</t>
        </is>
      </c>
      <c r="M7915" t="inlineStr">
        <is>
          <t>13:40:50</t>
        </is>
      </c>
      <c r="S7915" t="inlineStr">
        <is>
          <t>1307</t>
        </is>
      </c>
    </row>
    <row r="7916" ht="16.5" customHeight="1" s="37">
      <c r="A7916" t="n">
        <v>22</v>
      </c>
      <c r="B7916" s="10" t="inlineStr">
        <is>
          <t>平日</t>
        </is>
      </c>
      <c r="C7916" s="10" t="inlineStr">
        <is>
          <t>本線</t>
        </is>
      </c>
      <c r="D7916" s="10" t="inlineStr">
        <is>
          <t>下り</t>
        </is>
      </c>
      <c r="E7916" t="inlineStr">
        <is>
          <t>22系統③便乗</t>
        </is>
      </c>
      <c r="F7916" s="10" t="inlineStr">
        <is>
          <t>便乗</t>
        </is>
      </c>
      <c r="G7916" s="10" t="inlineStr">
        <is>
          <t>天神川</t>
        </is>
      </c>
      <c r="H7916" s="10" t="inlineStr">
        <is>
          <t>発</t>
        </is>
      </c>
      <c r="J7916" s="10" t="inlineStr">
        <is>
          <t>便乗</t>
        </is>
      </c>
      <c r="L7916" t="inlineStr">
        <is>
          <t>13:42:50</t>
        </is>
      </c>
      <c r="M7916" t="inlineStr">
        <is>
          <t>13:43:30</t>
        </is>
      </c>
      <c r="S7916" t="inlineStr">
        <is>
          <t>1307</t>
        </is>
      </c>
    </row>
    <row r="7917" ht="16.5" customHeight="1" s="37">
      <c r="A7917" t="n">
        <v>22</v>
      </c>
      <c r="B7917" s="10" t="inlineStr">
        <is>
          <t>平日</t>
        </is>
      </c>
      <c r="C7917" s="10" t="inlineStr">
        <is>
          <t>本線</t>
        </is>
      </c>
      <c r="D7917" s="10" t="inlineStr">
        <is>
          <t>下り</t>
        </is>
      </c>
      <c r="E7917" t="inlineStr">
        <is>
          <t>22系統③便乗</t>
        </is>
      </c>
      <c r="F7917" s="10" t="inlineStr">
        <is>
          <t>便乗</t>
        </is>
      </c>
      <c r="G7917" s="10" t="inlineStr">
        <is>
          <t>蚕ノ社</t>
        </is>
      </c>
      <c r="H7917" s="10" t="inlineStr">
        <is>
          <t>発</t>
        </is>
      </c>
      <c r="J7917" s="10" t="inlineStr">
        <is>
          <t>便乗</t>
        </is>
      </c>
      <c r="L7917" t="inlineStr">
        <is>
          <t>13:44:20</t>
        </is>
      </c>
      <c r="M7917" t="inlineStr">
        <is>
          <t>13:44:40</t>
        </is>
      </c>
      <c r="S7917" t="inlineStr">
        <is>
          <t>1307</t>
        </is>
      </c>
    </row>
    <row r="7918" ht="16.5" customHeight="1" s="37">
      <c r="A7918" t="n">
        <v>22</v>
      </c>
      <c r="B7918" s="10" t="inlineStr">
        <is>
          <t>平日</t>
        </is>
      </c>
      <c r="C7918" s="10" t="inlineStr">
        <is>
          <t>本線</t>
        </is>
      </c>
      <c r="D7918" s="10" t="inlineStr">
        <is>
          <t>下り</t>
        </is>
      </c>
      <c r="E7918" t="inlineStr">
        <is>
          <t>22系統③便乗</t>
        </is>
      </c>
      <c r="F7918" s="10" t="inlineStr">
        <is>
          <t>便乗</t>
        </is>
      </c>
      <c r="G7918" s="10" t="inlineStr">
        <is>
          <t>太秦広隆寺</t>
        </is>
      </c>
      <c r="H7918" s="10" t="inlineStr">
        <is>
          <t>発</t>
        </is>
      </c>
      <c r="J7918" s="10" t="inlineStr">
        <is>
          <t>便乗</t>
        </is>
      </c>
      <c r="L7918" t="inlineStr">
        <is>
          <t>13:46:00</t>
        </is>
      </c>
      <c r="M7918" t="inlineStr">
        <is>
          <t>13:46:20</t>
        </is>
      </c>
      <c r="S7918" t="inlineStr">
        <is>
          <t>1307</t>
        </is>
      </c>
    </row>
    <row r="7919" ht="16.5" customHeight="1" s="37">
      <c r="A7919" t="n">
        <v>22</v>
      </c>
      <c r="B7919" s="10" t="inlineStr">
        <is>
          <t>平日</t>
        </is>
      </c>
      <c r="C7919" s="10" t="inlineStr">
        <is>
          <t>本線</t>
        </is>
      </c>
      <c r="D7919" s="10" t="inlineStr">
        <is>
          <t>下り</t>
        </is>
      </c>
      <c r="E7919" t="inlineStr">
        <is>
          <t>22系統③便乗</t>
        </is>
      </c>
      <c r="F7919" s="10" t="inlineStr">
        <is>
          <t>便乗</t>
        </is>
      </c>
      <c r="G7919" s="10" t="inlineStr">
        <is>
          <t>帷子ノ辻</t>
        </is>
      </c>
      <c r="H7919" s="10" t="inlineStr">
        <is>
          <t>着</t>
        </is>
      </c>
      <c r="J7919" s="10" t="inlineStr">
        <is>
          <t>便乗</t>
        </is>
      </c>
      <c r="L7919" t="inlineStr">
        <is>
          <t>13:48:20</t>
        </is>
      </c>
      <c r="M7919" t="inlineStr">
        <is>
          <t>13:49:40</t>
        </is>
      </c>
      <c r="S7919" t="inlineStr">
        <is>
          <t>1307</t>
        </is>
      </c>
    </row>
    <row r="7920" ht="16.5" customHeight="1" s="37">
      <c r="A7920" t="n">
        <v>22</v>
      </c>
      <c r="B7920" s="10" t="inlineStr">
        <is>
          <t>平日</t>
        </is>
      </c>
      <c r="C7920" s="10" t="inlineStr">
        <is>
          <t>本線</t>
        </is>
      </c>
      <c r="D7920" s="10" t="inlineStr">
        <is>
          <t>上り</t>
        </is>
      </c>
      <c r="E7920" t="inlineStr">
        <is>
          <t>22系統⑫便乗</t>
        </is>
      </c>
      <c r="F7920" s="10" t="inlineStr">
        <is>
          <t>便乗</t>
        </is>
      </c>
      <c r="G7920" s="10" t="inlineStr">
        <is>
          <t>帷子ノ辻</t>
        </is>
      </c>
      <c r="H7920" s="10" t="inlineStr">
        <is>
          <t>発</t>
        </is>
      </c>
      <c r="J7920" s="10" t="inlineStr">
        <is>
          <t>便乗</t>
        </is>
      </c>
      <c r="L7920" t="inlineStr">
        <is>
          <t>22:14:35</t>
        </is>
      </c>
      <c r="M7920" t="inlineStr">
        <is>
          <t>22:15:05</t>
        </is>
      </c>
      <c r="S7920" t="inlineStr">
        <is>
          <t>2202</t>
        </is>
      </c>
    </row>
    <row r="7921" ht="16.5" customHeight="1" s="37">
      <c r="A7921" t="n">
        <v>22</v>
      </c>
      <c r="B7921" s="10" t="inlineStr">
        <is>
          <t>平日</t>
        </is>
      </c>
      <c r="C7921" s="10" t="inlineStr">
        <is>
          <t>本線</t>
        </is>
      </c>
      <c r="D7921" s="10" t="inlineStr">
        <is>
          <t>上り</t>
        </is>
      </c>
      <c r="E7921" t="inlineStr">
        <is>
          <t>22系統⑫便乗</t>
        </is>
      </c>
      <c r="F7921" s="10" t="inlineStr">
        <is>
          <t>便乗</t>
        </is>
      </c>
      <c r="G7921" s="10" t="inlineStr">
        <is>
          <t>太秦広隆寺</t>
        </is>
      </c>
      <c r="H7921" s="10" t="inlineStr">
        <is>
          <t>発</t>
        </is>
      </c>
      <c r="J7921" s="10" t="inlineStr">
        <is>
          <t>便乗</t>
        </is>
      </c>
      <c r="L7921" t="inlineStr">
        <is>
          <t>22:17:15</t>
        </is>
      </c>
      <c r="M7921" t="inlineStr">
        <is>
          <t>22:17:35</t>
        </is>
      </c>
      <c r="S7921" t="inlineStr">
        <is>
          <t>2202</t>
        </is>
      </c>
    </row>
    <row r="7922" ht="16.5" customHeight="1" s="37">
      <c r="A7922" t="n">
        <v>22</v>
      </c>
      <c r="B7922" s="10" t="inlineStr">
        <is>
          <t>平日</t>
        </is>
      </c>
      <c r="C7922" s="10" t="inlineStr">
        <is>
          <t>本線</t>
        </is>
      </c>
      <c r="D7922" s="10" t="inlineStr">
        <is>
          <t>上り</t>
        </is>
      </c>
      <c r="E7922" t="inlineStr">
        <is>
          <t>22系統⑫便乗</t>
        </is>
      </c>
      <c r="F7922" s="10" t="inlineStr">
        <is>
          <t>便乗</t>
        </is>
      </c>
      <c r="G7922" s="10" t="inlineStr">
        <is>
          <t>蚕ノ社</t>
        </is>
      </c>
      <c r="H7922" s="10" t="inlineStr">
        <is>
          <t>発</t>
        </is>
      </c>
      <c r="J7922" s="10" t="inlineStr">
        <is>
          <t>便乗</t>
        </is>
      </c>
      <c r="L7922" t="inlineStr">
        <is>
          <t>22:18:50</t>
        </is>
      </c>
      <c r="M7922" t="inlineStr">
        <is>
          <t>22:19:10</t>
        </is>
      </c>
      <c r="S7922" t="inlineStr">
        <is>
          <t>2202</t>
        </is>
      </c>
    </row>
    <row r="7923" ht="16.5" customHeight="1" s="37">
      <c r="A7923" t="n">
        <v>22</v>
      </c>
      <c r="B7923" s="10" t="inlineStr">
        <is>
          <t>平日</t>
        </is>
      </c>
      <c r="C7923" s="10" t="inlineStr">
        <is>
          <t>本線</t>
        </is>
      </c>
      <c r="D7923" s="10" t="inlineStr">
        <is>
          <t>上り</t>
        </is>
      </c>
      <c r="E7923" t="inlineStr">
        <is>
          <t>22系統⑫便乗</t>
        </is>
      </c>
      <c r="F7923" s="10" t="inlineStr">
        <is>
          <t>便乗</t>
        </is>
      </c>
      <c r="G7923" s="10" t="inlineStr">
        <is>
          <t>天神川</t>
        </is>
      </c>
      <c r="H7923" s="10" t="inlineStr">
        <is>
          <t>発</t>
        </is>
      </c>
      <c r="J7923" s="10" t="inlineStr">
        <is>
          <t>便乗</t>
        </is>
      </c>
      <c r="L7923" t="inlineStr">
        <is>
          <t>22:19:55</t>
        </is>
      </c>
      <c r="M7923" t="inlineStr">
        <is>
          <t>22:20:20</t>
        </is>
      </c>
      <c r="S7923" t="inlineStr">
        <is>
          <t>2202</t>
        </is>
      </c>
    </row>
    <row r="7924" ht="16.5" customHeight="1" s="37">
      <c r="A7924" t="n">
        <v>22</v>
      </c>
      <c r="B7924" s="10" t="inlineStr">
        <is>
          <t>平日</t>
        </is>
      </c>
      <c r="C7924" s="10" t="inlineStr">
        <is>
          <t>本線</t>
        </is>
      </c>
      <c r="D7924" s="10" t="inlineStr">
        <is>
          <t>上り</t>
        </is>
      </c>
      <c r="E7924" t="inlineStr">
        <is>
          <t>22系統⑫便乗</t>
        </is>
      </c>
      <c r="F7924" s="10" t="inlineStr">
        <is>
          <t>便乗</t>
        </is>
      </c>
      <c r="G7924" s="10" t="inlineStr">
        <is>
          <t>山ノ内</t>
        </is>
      </c>
      <c r="H7924" s="10" t="inlineStr">
        <is>
          <t>発</t>
        </is>
      </c>
      <c r="J7924" s="10" t="inlineStr">
        <is>
          <t>便乗</t>
        </is>
      </c>
      <c r="L7924" t="inlineStr">
        <is>
          <t>22:22:10</t>
        </is>
      </c>
      <c r="M7924" t="inlineStr">
        <is>
          <t>22:22:35</t>
        </is>
      </c>
      <c r="S7924" t="inlineStr">
        <is>
          <t>2202</t>
        </is>
      </c>
    </row>
    <row r="7925" ht="16.5" customHeight="1" s="37">
      <c r="A7925" t="n">
        <v>22</v>
      </c>
      <c r="B7925" s="10" t="inlineStr">
        <is>
          <t>平日</t>
        </is>
      </c>
      <c r="C7925" s="10" t="inlineStr">
        <is>
          <t>本線</t>
        </is>
      </c>
      <c r="D7925" s="10" t="inlineStr">
        <is>
          <t>上り</t>
        </is>
      </c>
      <c r="E7925" t="inlineStr">
        <is>
          <t>22系統⑫便乗</t>
        </is>
      </c>
      <c r="F7925" s="10" t="inlineStr">
        <is>
          <t>便乗</t>
        </is>
      </c>
      <c r="G7925" s="10" t="inlineStr">
        <is>
          <t>西大路三条</t>
        </is>
      </c>
      <c r="H7925" s="10" t="inlineStr">
        <is>
          <t>発</t>
        </is>
      </c>
      <c r="J7925" s="10" t="inlineStr">
        <is>
          <t>便乗</t>
        </is>
      </c>
      <c r="L7925" t="inlineStr">
        <is>
          <t>22:24:25</t>
        </is>
      </c>
      <c r="M7925" t="inlineStr">
        <is>
          <t>22:24:40</t>
        </is>
      </c>
      <c r="S7925" t="inlineStr">
        <is>
          <t>2202</t>
        </is>
      </c>
    </row>
    <row r="7926" ht="16.5" customHeight="1" s="37">
      <c r="A7926" t="n">
        <v>22</v>
      </c>
      <c r="B7926" s="10" t="inlineStr">
        <is>
          <t>平日</t>
        </is>
      </c>
      <c r="C7926" s="10" t="inlineStr">
        <is>
          <t>本線</t>
        </is>
      </c>
      <c r="D7926" s="10" t="inlineStr">
        <is>
          <t>上り</t>
        </is>
      </c>
      <c r="E7926" t="inlineStr">
        <is>
          <t>22系統⑫便乗</t>
        </is>
      </c>
      <c r="F7926" s="10" t="inlineStr">
        <is>
          <t>便乗</t>
        </is>
      </c>
      <c r="G7926" s="10" t="inlineStr">
        <is>
          <t>西院</t>
        </is>
      </c>
      <c r="H7926" s="10" t="inlineStr">
        <is>
          <t>着</t>
        </is>
      </c>
      <c r="J7926" s="10" t="inlineStr">
        <is>
          <t>便乗</t>
        </is>
      </c>
      <c r="L7926" t="inlineStr">
        <is>
          <t>22:26:35</t>
        </is>
      </c>
      <c r="M7926" t="inlineStr">
        <is>
          <t>22:27:05</t>
        </is>
      </c>
      <c r="S7926" t="inlineStr">
        <is>
          <t>2202</t>
        </is>
      </c>
    </row>
    <row r="7927" ht="16.5" customHeight="1" s="37">
      <c r="A7927" t="n">
        <v>23</v>
      </c>
      <c r="B7927" s="10" t="inlineStr">
        <is>
          <t>平日</t>
        </is>
      </c>
      <c r="C7927" s="10" t="inlineStr">
        <is>
          <t>北野線</t>
        </is>
      </c>
      <c r="D7927" s="10" t="inlineStr">
        <is>
          <t>上り</t>
        </is>
      </c>
      <c r="E7927" t="inlineStr">
        <is>
          <t>1454</t>
        </is>
      </c>
      <c r="F7927" t="inlineStr">
        <is>
          <t>0354</t>
        </is>
      </c>
      <c r="G7927" s="10" t="inlineStr">
        <is>
          <t>帷子ノ辻</t>
        </is>
      </c>
      <c r="H7927" s="10" t="inlineStr">
        <is>
          <t>発</t>
        </is>
      </c>
      <c r="J7927" s="10" t="inlineStr">
        <is>
          <t>営業</t>
        </is>
      </c>
      <c r="M7927" t="inlineStr">
        <is>
          <t>14:16:25</t>
        </is>
      </c>
      <c r="Q7927" t="inlineStr">
        <is>
          <t>3</t>
        </is>
      </c>
    </row>
    <row r="7928" ht="16.5" customHeight="1" s="37">
      <c r="A7928" t="n">
        <v>23</v>
      </c>
      <c r="B7928" s="10" t="inlineStr">
        <is>
          <t>平日</t>
        </is>
      </c>
      <c r="C7928" s="10" t="inlineStr">
        <is>
          <t>北野線</t>
        </is>
      </c>
      <c r="D7928" s="10" t="inlineStr">
        <is>
          <t>上り</t>
        </is>
      </c>
      <c r="E7928" t="inlineStr">
        <is>
          <t>1454</t>
        </is>
      </c>
      <c r="F7928" t="inlineStr">
        <is>
          <t>0354</t>
        </is>
      </c>
      <c r="G7928" s="10" t="inlineStr">
        <is>
          <t>撮影所前</t>
        </is>
      </c>
      <c r="H7928" s="10" t="inlineStr">
        <is>
          <t>発</t>
        </is>
      </c>
      <c r="J7928" s="10" t="inlineStr">
        <is>
          <t>営業</t>
        </is>
      </c>
      <c r="L7928" t="inlineStr">
        <is>
          <t>14:17:25</t>
        </is>
      </c>
      <c r="M7928" t="inlineStr">
        <is>
          <t>14:17:40</t>
        </is>
      </c>
    </row>
    <row r="7929" ht="16.5" customHeight="1" s="37">
      <c r="A7929" t="n">
        <v>23</v>
      </c>
      <c r="B7929" s="10" t="inlineStr">
        <is>
          <t>平日</t>
        </is>
      </c>
      <c r="C7929" s="10" t="inlineStr">
        <is>
          <t>北野線</t>
        </is>
      </c>
      <c r="D7929" s="10" t="inlineStr">
        <is>
          <t>上り</t>
        </is>
      </c>
      <c r="E7929" t="inlineStr">
        <is>
          <t>1454</t>
        </is>
      </c>
      <c r="F7929" t="inlineStr">
        <is>
          <t>0354</t>
        </is>
      </c>
      <c r="G7929" s="10" t="inlineStr">
        <is>
          <t>常盤</t>
        </is>
      </c>
      <c r="H7929" s="10" t="inlineStr">
        <is>
          <t>発</t>
        </is>
      </c>
      <c r="J7929" s="10" t="inlineStr">
        <is>
          <t>営業</t>
        </is>
      </c>
      <c r="L7929" t="inlineStr">
        <is>
          <t>14:19:00</t>
        </is>
      </c>
      <c r="M7929" t="inlineStr">
        <is>
          <t>14:19:20</t>
        </is>
      </c>
    </row>
    <row r="7930" ht="16.5" customHeight="1" s="37">
      <c r="A7930" t="n">
        <v>23</v>
      </c>
      <c r="B7930" s="10" t="inlineStr">
        <is>
          <t>平日</t>
        </is>
      </c>
      <c r="C7930" s="10" t="inlineStr">
        <is>
          <t>北野線</t>
        </is>
      </c>
      <c r="D7930" s="10" t="inlineStr">
        <is>
          <t>上り</t>
        </is>
      </c>
      <c r="E7930" t="inlineStr">
        <is>
          <t>1454</t>
        </is>
      </c>
      <c r="F7930" t="inlineStr">
        <is>
          <t>0354</t>
        </is>
      </c>
      <c r="G7930" s="10" t="inlineStr">
        <is>
          <t>鳴滝</t>
        </is>
      </c>
      <c r="H7930" s="10" t="inlineStr">
        <is>
          <t>発</t>
        </is>
      </c>
      <c r="J7930" s="10" t="inlineStr">
        <is>
          <t>営業</t>
        </is>
      </c>
      <c r="L7930" t="inlineStr">
        <is>
          <t>14:20:20</t>
        </is>
      </c>
      <c r="M7930" t="inlineStr">
        <is>
          <t>14:20:40</t>
        </is>
      </c>
    </row>
    <row r="7931" ht="16.5" customHeight="1" s="37">
      <c r="A7931" t="n">
        <v>23</v>
      </c>
      <c r="B7931" s="10" t="inlineStr">
        <is>
          <t>平日</t>
        </is>
      </c>
      <c r="C7931" s="10" t="inlineStr">
        <is>
          <t>北野線</t>
        </is>
      </c>
      <c r="D7931" s="10" t="inlineStr">
        <is>
          <t>上り</t>
        </is>
      </c>
      <c r="E7931" t="inlineStr">
        <is>
          <t>1454</t>
        </is>
      </c>
      <c r="F7931" t="inlineStr">
        <is>
          <t>0354</t>
        </is>
      </c>
      <c r="G7931" s="10" t="inlineStr">
        <is>
          <t>宇多野</t>
        </is>
      </c>
      <c r="H7931" s="10" t="inlineStr">
        <is>
          <t>発</t>
        </is>
      </c>
      <c r="J7931" s="10" t="inlineStr">
        <is>
          <t>営業</t>
        </is>
      </c>
      <c r="L7931" t="inlineStr">
        <is>
          <t>14:22:00</t>
        </is>
      </c>
      <c r="M7931" t="inlineStr">
        <is>
          <t>14:22:15</t>
        </is>
      </c>
    </row>
    <row r="7932" ht="16.5" customHeight="1" s="37">
      <c r="A7932" t="n">
        <v>23</v>
      </c>
      <c r="B7932" s="10" t="inlineStr">
        <is>
          <t>平日</t>
        </is>
      </c>
      <c r="C7932" s="10" t="inlineStr">
        <is>
          <t>北野線</t>
        </is>
      </c>
      <c r="D7932" s="10" t="inlineStr">
        <is>
          <t>上り</t>
        </is>
      </c>
      <c r="E7932" t="inlineStr">
        <is>
          <t>1454</t>
        </is>
      </c>
      <c r="F7932" t="inlineStr">
        <is>
          <t>0354</t>
        </is>
      </c>
      <c r="G7932" s="10" t="inlineStr">
        <is>
          <t>御室仁和寺</t>
        </is>
      </c>
      <c r="H7932" s="10" t="inlineStr">
        <is>
          <t>発</t>
        </is>
      </c>
      <c r="J7932" s="10" t="inlineStr">
        <is>
          <t>営業</t>
        </is>
      </c>
      <c r="L7932" t="inlineStr">
        <is>
          <t>14:23:15</t>
        </is>
      </c>
      <c r="M7932" t="inlineStr">
        <is>
          <t>14:23:35</t>
        </is>
      </c>
    </row>
    <row r="7933" ht="16.5" customHeight="1" s="37">
      <c r="A7933" t="n">
        <v>23</v>
      </c>
      <c r="B7933" s="10" t="inlineStr">
        <is>
          <t>平日</t>
        </is>
      </c>
      <c r="C7933" s="10" t="inlineStr">
        <is>
          <t>北野線</t>
        </is>
      </c>
      <c r="D7933" s="10" t="inlineStr">
        <is>
          <t>上り</t>
        </is>
      </c>
      <c r="E7933" t="inlineStr">
        <is>
          <t>1454</t>
        </is>
      </c>
      <c r="F7933" t="inlineStr">
        <is>
          <t>0354</t>
        </is>
      </c>
      <c r="G7933" s="10" t="inlineStr">
        <is>
          <t>妙心寺</t>
        </is>
      </c>
      <c r="H7933" s="10" t="inlineStr">
        <is>
          <t>発</t>
        </is>
      </c>
      <c r="J7933" s="10" t="inlineStr">
        <is>
          <t>営業</t>
        </is>
      </c>
      <c r="L7933" t="inlineStr">
        <is>
          <t>14:24:35</t>
        </is>
      </c>
      <c r="M7933" t="inlineStr">
        <is>
          <t>14:24:50</t>
        </is>
      </c>
    </row>
    <row r="7934" ht="16.5" customHeight="1" s="37">
      <c r="A7934" t="n">
        <v>23</v>
      </c>
      <c r="B7934" s="10" t="inlineStr">
        <is>
          <t>平日</t>
        </is>
      </c>
      <c r="C7934" s="10" t="inlineStr">
        <is>
          <t>北野線</t>
        </is>
      </c>
      <c r="D7934" s="10" t="inlineStr">
        <is>
          <t>上り</t>
        </is>
      </c>
      <c r="E7934" t="inlineStr">
        <is>
          <t>1454</t>
        </is>
      </c>
      <c r="F7934" t="inlineStr">
        <is>
          <t>0354</t>
        </is>
      </c>
      <c r="G7934" s="10" t="inlineStr">
        <is>
          <t>龍安寺</t>
        </is>
      </c>
      <c r="H7934" s="10" t="inlineStr">
        <is>
          <t>発</t>
        </is>
      </c>
      <c r="J7934" s="10" t="inlineStr">
        <is>
          <t>営業</t>
        </is>
      </c>
      <c r="L7934" t="inlineStr">
        <is>
          <t>14:25:45</t>
        </is>
      </c>
      <c r="M7934" t="inlineStr">
        <is>
          <t>14:25:55</t>
        </is>
      </c>
    </row>
    <row r="7935" ht="16.5" customHeight="1" s="37">
      <c r="A7935" t="n">
        <v>23</v>
      </c>
      <c r="B7935" s="10" t="inlineStr">
        <is>
          <t>平日</t>
        </is>
      </c>
      <c r="C7935" s="10" t="inlineStr">
        <is>
          <t>北野線</t>
        </is>
      </c>
      <c r="D7935" s="10" t="inlineStr">
        <is>
          <t>上り</t>
        </is>
      </c>
      <c r="E7935" t="inlineStr">
        <is>
          <t>1454</t>
        </is>
      </c>
      <c r="F7935" t="inlineStr">
        <is>
          <t>0354</t>
        </is>
      </c>
      <c r="G7935" s="10" t="inlineStr">
        <is>
          <t>等持院</t>
        </is>
      </c>
      <c r="H7935" s="10" t="inlineStr">
        <is>
          <t>発</t>
        </is>
      </c>
      <c r="J7935" s="10" t="inlineStr">
        <is>
          <t>営業</t>
        </is>
      </c>
      <c r="L7935" t="inlineStr">
        <is>
          <t>14:26:35</t>
        </is>
      </c>
      <c r="M7935" t="inlineStr">
        <is>
          <t>14:26:55</t>
        </is>
      </c>
    </row>
    <row r="7936" ht="16.5" customHeight="1" s="37">
      <c r="A7936" t="n">
        <v>23</v>
      </c>
      <c r="B7936" s="10" t="inlineStr">
        <is>
          <t>平日</t>
        </is>
      </c>
      <c r="C7936" s="10" t="inlineStr">
        <is>
          <t>北野線</t>
        </is>
      </c>
      <c r="D7936" s="10" t="inlineStr">
        <is>
          <t>上り</t>
        </is>
      </c>
      <c r="E7936" t="inlineStr">
        <is>
          <t>1454</t>
        </is>
      </c>
      <c r="F7936" t="inlineStr">
        <is>
          <t>0354</t>
        </is>
      </c>
      <c r="G7936" s="10" t="inlineStr">
        <is>
          <t>北野白梅町</t>
        </is>
      </c>
      <c r="H7936" s="10" t="inlineStr">
        <is>
          <t>着</t>
        </is>
      </c>
      <c r="J7936" s="10" t="inlineStr">
        <is>
          <t>営業</t>
        </is>
      </c>
      <c r="L7936" t="inlineStr">
        <is>
          <t>14:28:15</t>
        </is>
      </c>
      <c r="Q7936" t="inlineStr">
        <is>
          <t>1</t>
        </is>
      </c>
    </row>
    <row r="7937" ht="16.5" customHeight="1" s="37">
      <c r="A7937" t="n">
        <v>23</v>
      </c>
      <c r="B7937" s="10" t="inlineStr">
        <is>
          <t>平日</t>
        </is>
      </c>
      <c r="C7937" s="10" t="inlineStr">
        <is>
          <t>北野線</t>
        </is>
      </c>
      <c r="D7937" s="10" t="inlineStr">
        <is>
          <t>下り</t>
        </is>
      </c>
      <c r="E7937" t="inlineStr">
        <is>
          <t>1457</t>
        </is>
      </c>
      <c r="F7937" t="inlineStr">
        <is>
          <t>0453</t>
        </is>
      </c>
      <c r="G7937" s="10" t="inlineStr">
        <is>
          <t>北野白梅町</t>
        </is>
      </c>
      <c r="H7937" s="10" t="inlineStr">
        <is>
          <t>発</t>
        </is>
      </c>
      <c r="J7937" s="10" t="inlineStr">
        <is>
          <t>営業</t>
        </is>
      </c>
      <c r="M7937" t="inlineStr">
        <is>
          <t>14:33:00</t>
        </is>
      </c>
      <c r="Q7937" t="inlineStr">
        <is>
          <t>1</t>
        </is>
      </c>
    </row>
    <row r="7938" ht="16.5" customHeight="1" s="37">
      <c r="A7938" t="n">
        <v>23</v>
      </c>
      <c r="B7938" s="10" t="inlineStr">
        <is>
          <t>平日</t>
        </is>
      </c>
      <c r="C7938" s="10" t="inlineStr">
        <is>
          <t>北野線</t>
        </is>
      </c>
      <c r="D7938" s="10" t="inlineStr">
        <is>
          <t>下り</t>
        </is>
      </c>
      <c r="E7938" t="inlineStr">
        <is>
          <t>1457</t>
        </is>
      </c>
      <c r="F7938" t="inlineStr">
        <is>
          <t>0453</t>
        </is>
      </c>
      <c r="G7938" s="10" t="inlineStr">
        <is>
          <t>等持院</t>
        </is>
      </c>
      <c r="H7938" s="10" t="inlineStr">
        <is>
          <t>発</t>
        </is>
      </c>
      <c r="J7938" s="10" t="inlineStr">
        <is>
          <t>営業</t>
        </is>
      </c>
      <c r="L7938" t="inlineStr">
        <is>
          <t>14:34:25</t>
        </is>
      </c>
      <c r="M7938" t="inlineStr">
        <is>
          <t>14:34:35</t>
        </is>
      </c>
    </row>
    <row r="7939" ht="16.5" customHeight="1" s="37">
      <c r="A7939" t="n">
        <v>23</v>
      </c>
      <c r="B7939" s="10" t="inlineStr">
        <is>
          <t>平日</t>
        </is>
      </c>
      <c r="C7939" s="10" t="inlineStr">
        <is>
          <t>北野線</t>
        </is>
      </c>
      <c r="D7939" s="10" t="inlineStr">
        <is>
          <t>下り</t>
        </is>
      </c>
      <c r="E7939" t="inlineStr">
        <is>
          <t>1457</t>
        </is>
      </c>
      <c r="F7939" t="inlineStr">
        <is>
          <t>0453</t>
        </is>
      </c>
      <c r="G7939" s="10" t="inlineStr">
        <is>
          <t>龍安寺</t>
        </is>
      </c>
      <c r="H7939" s="10" t="inlineStr">
        <is>
          <t>発</t>
        </is>
      </c>
      <c r="J7939" s="10" t="inlineStr">
        <is>
          <t>営業</t>
        </is>
      </c>
      <c r="L7939" t="inlineStr">
        <is>
          <t>14:35:25</t>
        </is>
      </c>
      <c r="M7939" t="inlineStr">
        <is>
          <t>14:35:50</t>
        </is>
      </c>
    </row>
    <row r="7940" ht="16.5" customHeight="1" s="37">
      <c r="A7940" t="n">
        <v>23</v>
      </c>
      <c r="B7940" s="10" t="inlineStr">
        <is>
          <t>平日</t>
        </is>
      </c>
      <c r="C7940" s="10" t="inlineStr">
        <is>
          <t>北野線</t>
        </is>
      </c>
      <c r="D7940" s="10" t="inlineStr">
        <is>
          <t>下り</t>
        </is>
      </c>
      <c r="E7940" t="inlineStr">
        <is>
          <t>1457</t>
        </is>
      </c>
      <c r="F7940" t="inlineStr">
        <is>
          <t>0453</t>
        </is>
      </c>
      <c r="G7940" s="10" t="inlineStr">
        <is>
          <t>妙心寺</t>
        </is>
      </c>
      <c r="H7940" s="10" t="inlineStr">
        <is>
          <t>発</t>
        </is>
      </c>
      <c r="J7940" s="10" t="inlineStr">
        <is>
          <t>営業</t>
        </is>
      </c>
      <c r="L7940" t="inlineStr">
        <is>
          <t>14:36:40</t>
        </is>
      </c>
      <c r="M7940" t="inlineStr">
        <is>
          <t>14:36:50</t>
        </is>
      </c>
    </row>
    <row r="7941" ht="16.5" customHeight="1" s="37">
      <c r="A7941" t="n">
        <v>23</v>
      </c>
      <c r="B7941" s="10" t="inlineStr">
        <is>
          <t>平日</t>
        </is>
      </c>
      <c r="C7941" s="10" t="inlineStr">
        <is>
          <t>北野線</t>
        </is>
      </c>
      <c r="D7941" s="10" t="inlineStr">
        <is>
          <t>下り</t>
        </is>
      </c>
      <c r="E7941" t="inlineStr">
        <is>
          <t>1457</t>
        </is>
      </c>
      <c r="F7941" t="inlineStr">
        <is>
          <t>0453</t>
        </is>
      </c>
      <c r="G7941" s="10" t="inlineStr">
        <is>
          <t>御室仁和寺</t>
        </is>
      </c>
      <c r="H7941" s="10" t="inlineStr">
        <is>
          <t>発</t>
        </is>
      </c>
      <c r="J7941" s="10" t="inlineStr">
        <is>
          <t>営業</t>
        </is>
      </c>
      <c r="L7941" t="inlineStr">
        <is>
          <t>14:37:50</t>
        </is>
      </c>
      <c r="M7941" t="inlineStr">
        <is>
          <t>14:38:05</t>
        </is>
      </c>
    </row>
    <row r="7942" ht="16.5" customHeight="1" s="37">
      <c r="A7942" t="n">
        <v>23</v>
      </c>
      <c r="B7942" s="10" t="inlineStr">
        <is>
          <t>平日</t>
        </is>
      </c>
      <c r="C7942" s="10" t="inlineStr">
        <is>
          <t>北野線</t>
        </is>
      </c>
      <c r="D7942" s="10" t="inlineStr">
        <is>
          <t>下り</t>
        </is>
      </c>
      <c r="E7942" t="inlineStr">
        <is>
          <t>1457</t>
        </is>
      </c>
      <c r="F7942" t="inlineStr">
        <is>
          <t>0453</t>
        </is>
      </c>
      <c r="G7942" s="10" t="inlineStr">
        <is>
          <t>宇多野</t>
        </is>
      </c>
      <c r="H7942" s="10" t="inlineStr">
        <is>
          <t>発</t>
        </is>
      </c>
      <c r="J7942" s="10" t="inlineStr">
        <is>
          <t>営業</t>
        </is>
      </c>
      <c r="L7942" t="inlineStr">
        <is>
          <t>14:39:05</t>
        </is>
      </c>
      <c r="M7942" t="inlineStr">
        <is>
          <t>14:39:15</t>
        </is>
      </c>
    </row>
    <row r="7943" ht="16.5" customHeight="1" s="37">
      <c r="A7943" t="n">
        <v>23</v>
      </c>
      <c r="B7943" s="10" t="inlineStr">
        <is>
          <t>平日</t>
        </is>
      </c>
      <c r="C7943" s="10" t="inlineStr">
        <is>
          <t>北野線</t>
        </is>
      </c>
      <c r="D7943" s="10" t="inlineStr">
        <is>
          <t>下り</t>
        </is>
      </c>
      <c r="E7943" t="inlineStr">
        <is>
          <t>1457</t>
        </is>
      </c>
      <c r="F7943" t="inlineStr">
        <is>
          <t>0453</t>
        </is>
      </c>
      <c r="G7943" s="10" t="inlineStr">
        <is>
          <t>鳴滝</t>
        </is>
      </c>
      <c r="H7943" s="10" t="inlineStr">
        <is>
          <t>発</t>
        </is>
      </c>
      <c r="J7943" s="10" t="inlineStr">
        <is>
          <t>営業</t>
        </is>
      </c>
      <c r="L7943" t="inlineStr">
        <is>
          <t>14:40:35</t>
        </is>
      </c>
      <c r="M7943" t="inlineStr">
        <is>
          <t>14:40:45</t>
        </is>
      </c>
    </row>
    <row r="7944" ht="16.5" customHeight="1" s="37">
      <c r="A7944" t="n">
        <v>23</v>
      </c>
      <c r="B7944" s="10" t="inlineStr">
        <is>
          <t>平日</t>
        </is>
      </c>
      <c r="C7944" s="10" t="inlineStr">
        <is>
          <t>北野線</t>
        </is>
      </c>
      <c r="D7944" s="10" t="inlineStr">
        <is>
          <t>下り</t>
        </is>
      </c>
      <c r="E7944" t="inlineStr">
        <is>
          <t>1457</t>
        </is>
      </c>
      <c r="F7944" t="inlineStr">
        <is>
          <t>0453</t>
        </is>
      </c>
      <c r="G7944" s="10" t="inlineStr">
        <is>
          <t>常盤</t>
        </is>
      </c>
      <c r="H7944" s="10" t="inlineStr">
        <is>
          <t>発</t>
        </is>
      </c>
      <c r="J7944" s="10" t="inlineStr">
        <is>
          <t>営業</t>
        </is>
      </c>
      <c r="L7944" t="inlineStr">
        <is>
          <t>14:41:35</t>
        </is>
      </c>
      <c r="M7944" t="inlineStr">
        <is>
          <t>14:41:55</t>
        </is>
      </c>
    </row>
    <row r="7945" ht="16.5" customHeight="1" s="37">
      <c r="A7945" t="n">
        <v>23</v>
      </c>
      <c r="B7945" s="10" t="inlineStr">
        <is>
          <t>平日</t>
        </is>
      </c>
      <c r="C7945" s="10" t="inlineStr">
        <is>
          <t>北野線</t>
        </is>
      </c>
      <c r="D7945" s="10" t="inlineStr">
        <is>
          <t>下り</t>
        </is>
      </c>
      <c r="E7945" t="inlineStr">
        <is>
          <t>1457</t>
        </is>
      </c>
      <c r="F7945" t="inlineStr">
        <is>
          <t>0453</t>
        </is>
      </c>
      <c r="G7945" s="10" t="inlineStr">
        <is>
          <t>撮影所前</t>
        </is>
      </c>
      <c r="H7945" s="10" t="inlineStr">
        <is>
          <t>発</t>
        </is>
      </c>
      <c r="J7945" s="10" t="inlineStr">
        <is>
          <t>営業</t>
        </is>
      </c>
      <c r="L7945" t="inlineStr">
        <is>
          <t>14:43:15</t>
        </is>
      </c>
      <c r="M7945" t="inlineStr">
        <is>
          <t>14:43:30</t>
        </is>
      </c>
    </row>
    <row r="7946" ht="16.5" customHeight="1" s="37">
      <c r="A7946" t="n">
        <v>23</v>
      </c>
      <c r="B7946" s="10" t="inlineStr">
        <is>
          <t>平日</t>
        </is>
      </c>
      <c r="C7946" s="10" t="inlineStr">
        <is>
          <t>北野線</t>
        </is>
      </c>
      <c r="D7946" s="10" t="inlineStr">
        <is>
          <t>下り</t>
        </is>
      </c>
      <c r="E7946" t="inlineStr">
        <is>
          <t>1457</t>
        </is>
      </c>
      <c r="F7946" t="inlineStr">
        <is>
          <t>0453</t>
        </is>
      </c>
      <c r="G7946" s="10" t="inlineStr">
        <is>
          <t>帷子ノ辻</t>
        </is>
      </c>
      <c r="H7946" s="10" t="inlineStr">
        <is>
          <t>着</t>
        </is>
      </c>
      <c r="J7946" s="10" t="inlineStr">
        <is>
          <t>営業</t>
        </is>
      </c>
      <c r="L7946" t="inlineStr">
        <is>
          <t>14:44:25</t>
        </is>
      </c>
      <c r="Q7946" t="inlineStr">
        <is>
          <t>3</t>
        </is>
      </c>
    </row>
    <row r="7947" ht="16.5" customHeight="1" s="37">
      <c r="A7947" t="n">
        <v>23</v>
      </c>
      <c r="B7947" s="10" t="inlineStr">
        <is>
          <t>平日</t>
        </is>
      </c>
      <c r="C7947" s="10" t="inlineStr">
        <is>
          <t>北野線</t>
        </is>
      </c>
      <c r="D7947" s="10" t="inlineStr">
        <is>
          <t>上り</t>
        </is>
      </c>
      <c r="E7947" t="inlineStr">
        <is>
          <t>1462</t>
        </is>
      </c>
      <c r="F7947" t="inlineStr">
        <is>
          <t>0354</t>
        </is>
      </c>
      <c r="G7947" s="10" t="inlineStr">
        <is>
          <t>帷子ノ辻</t>
        </is>
      </c>
      <c r="H7947" s="10" t="inlineStr">
        <is>
          <t>発</t>
        </is>
      </c>
      <c r="J7947" s="10" t="inlineStr">
        <is>
          <t>営業</t>
        </is>
      </c>
      <c r="M7947" t="inlineStr">
        <is>
          <t>14:56:25</t>
        </is>
      </c>
      <c r="Q7947" t="inlineStr">
        <is>
          <t>3</t>
        </is>
      </c>
    </row>
    <row r="7948" ht="16.5" customHeight="1" s="37">
      <c r="A7948" t="n">
        <v>23</v>
      </c>
      <c r="B7948" s="10" t="inlineStr">
        <is>
          <t>平日</t>
        </is>
      </c>
      <c r="C7948" s="10" t="inlineStr">
        <is>
          <t>北野線</t>
        </is>
      </c>
      <c r="D7948" s="10" t="inlineStr">
        <is>
          <t>上り</t>
        </is>
      </c>
      <c r="E7948" t="inlineStr">
        <is>
          <t>1462</t>
        </is>
      </c>
      <c r="F7948" t="inlineStr">
        <is>
          <t>0354</t>
        </is>
      </c>
      <c r="G7948" s="10" t="inlineStr">
        <is>
          <t>撮影所前</t>
        </is>
      </c>
      <c r="H7948" s="10" t="inlineStr">
        <is>
          <t>発</t>
        </is>
      </c>
      <c r="J7948" s="10" t="inlineStr">
        <is>
          <t>営業</t>
        </is>
      </c>
      <c r="L7948" t="inlineStr">
        <is>
          <t>14:57:25</t>
        </is>
      </c>
      <c r="M7948" t="inlineStr">
        <is>
          <t>14:57:40</t>
        </is>
      </c>
    </row>
    <row r="7949" ht="16.5" customHeight="1" s="37">
      <c r="A7949" t="n">
        <v>23</v>
      </c>
      <c r="B7949" s="10" t="inlineStr">
        <is>
          <t>平日</t>
        </is>
      </c>
      <c r="C7949" s="10" t="inlineStr">
        <is>
          <t>北野線</t>
        </is>
      </c>
      <c r="D7949" s="10" t="inlineStr">
        <is>
          <t>上り</t>
        </is>
      </c>
      <c r="E7949" t="inlineStr">
        <is>
          <t>1462</t>
        </is>
      </c>
      <c r="F7949" t="inlineStr">
        <is>
          <t>0354</t>
        </is>
      </c>
      <c r="G7949" s="10" t="inlineStr">
        <is>
          <t>常盤</t>
        </is>
      </c>
      <c r="H7949" s="10" t="inlineStr">
        <is>
          <t>発</t>
        </is>
      </c>
      <c r="J7949" s="10" t="inlineStr">
        <is>
          <t>営業</t>
        </is>
      </c>
      <c r="L7949" t="inlineStr">
        <is>
          <t>14:59:00</t>
        </is>
      </c>
      <c r="M7949" t="inlineStr">
        <is>
          <t>14:59:20</t>
        </is>
      </c>
    </row>
    <row r="7950" ht="16.5" customHeight="1" s="37">
      <c r="A7950" t="n">
        <v>23</v>
      </c>
      <c r="B7950" s="10" t="inlineStr">
        <is>
          <t>平日</t>
        </is>
      </c>
      <c r="C7950" s="10" t="inlineStr">
        <is>
          <t>北野線</t>
        </is>
      </c>
      <c r="D7950" s="10" t="inlineStr">
        <is>
          <t>上り</t>
        </is>
      </c>
      <c r="E7950" t="inlineStr">
        <is>
          <t>1462</t>
        </is>
      </c>
      <c r="F7950" t="inlineStr">
        <is>
          <t>0354</t>
        </is>
      </c>
      <c r="G7950" s="10" t="inlineStr">
        <is>
          <t>鳴滝</t>
        </is>
      </c>
      <c r="H7950" s="10" t="inlineStr">
        <is>
          <t>発</t>
        </is>
      </c>
      <c r="J7950" s="10" t="inlineStr">
        <is>
          <t>営業</t>
        </is>
      </c>
      <c r="L7950" t="inlineStr">
        <is>
          <t>15:00:20</t>
        </is>
      </c>
      <c r="M7950" t="inlineStr">
        <is>
          <t>15:00:40</t>
        </is>
      </c>
    </row>
    <row r="7951" ht="16.5" customHeight="1" s="37">
      <c r="A7951" t="n">
        <v>23</v>
      </c>
      <c r="B7951" s="10" t="inlineStr">
        <is>
          <t>平日</t>
        </is>
      </c>
      <c r="C7951" s="10" t="inlineStr">
        <is>
          <t>北野線</t>
        </is>
      </c>
      <c r="D7951" s="10" t="inlineStr">
        <is>
          <t>上り</t>
        </is>
      </c>
      <c r="E7951" t="inlineStr">
        <is>
          <t>1462</t>
        </is>
      </c>
      <c r="F7951" t="inlineStr">
        <is>
          <t>0354</t>
        </is>
      </c>
      <c r="G7951" s="10" t="inlineStr">
        <is>
          <t>宇多野</t>
        </is>
      </c>
      <c r="H7951" s="10" t="inlineStr">
        <is>
          <t>発</t>
        </is>
      </c>
      <c r="J7951" s="10" t="inlineStr">
        <is>
          <t>営業</t>
        </is>
      </c>
      <c r="L7951" t="inlineStr">
        <is>
          <t>15:02:00</t>
        </is>
      </c>
      <c r="M7951" t="inlineStr">
        <is>
          <t>15:02:15</t>
        </is>
      </c>
    </row>
    <row r="7952" ht="16.5" customHeight="1" s="37">
      <c r="A7952" t="n">
        <v>23</v>
      </c>
      <c r="B7952" s="10" t="inlineStr">
        <is>
          <t>平日</t>
        </is>
      </c>
      <c r="C7952" s="10" t="inlineStr">
        <is>
          <t>北野線</t>
        </is>
      </c>
      <c r="D7952" s="10" t="inlineStr">
        <is>
          <t>上り</t>
        </is>
      </c>
      <c r="E7952" t="inlineStr">
        <is>
          <t>1462</t>
        </is>
      </c>
      <c r="F7952" t="inlineStr">
        <is>
          <t>0354</t>
        </is>
      </c>
      <c r="G7952" s="10" t="inlineStr">
        <is>
          <t>御室仁和寺</t>
        </is>
      </c>
      <c r="H7952" s="10" t="inlineStr">
        <is>
          <t>発</t>
        </is>
      </c>
      <c r="J7952" s="10" t="inlineStr">
        <is>
          <t>営業</t>
        </is>
      </c>
      <c r="L7952" t="inlineStr">
        <is>
          <t>15:03:15</t>
        </is>
      </c>
      <c r="M7952" t="inlineStr">
        <is>
          <t>15:03:35</t>
        </is>
      </c>
    </row>
    <row r="7953" ht="16.5" customHeight="1" s="37">
      <c r="A7953" t="n">
        <v>23</v>
      </c>
      <c r="B7953" s="10" t="inlineStr">
        <is>
          <t>平日</t>
        </is>
      </c>
      <c r="C7953" s="10" t="inlineStr">
        <is>
          <t>北野線</t>
        </is>
      </c>
      <c r="D7953" s="10" t="inlineStr">
        <is>
          <t>上り</t>
        </is>
      </c>
      <c r="E7953" t="inlineStr">
        <is>
          <t>1462</t>
        </is>
      </c>
      <c r="F7953" t="inlineStr">
        <is>
          <t>0354</t>
        </is>
      </c>
      <c r="G7953" s="10" t="inlineStr">
        <is>
          <t>妙心寺</t>
        </is>
      </c>
      <c r="H7953" s="10" t="inlineStr">
        <is>
          <t>発</t>
        </is>
      </c>
      <c r="J7953" s="10" t="inlineStr">
        <is>
          <t>営業</t>
        </is>
      </c>
      <c r="L7953" t="inlineStr">
        <is>
          <t>15:04:35</t>
        </is>
      </c>
      <c r="M7953" t="inlineStr">
        <is>
          <t>15:04:50</t>
        </is>
      </c>
    </row>
    <row r="7954" ht="16.5" customHeight="1" s="37">
      <c r="A7954" t="n">
        <v>23</v>
      </c>
      <c r="B7954" s="10" t="inlineStr">
        <is>
          <t>平日</t>
        </is>
      </c>
      <c r="C7954" s="10" t="inlineStr">
        <is>
          <t>北野線</t>
        </is>
      </c>
      <c r="D7954" s="10" t="inlineStr">
        <is>
          <t>上り</t>
        </is>
      </c>
      <c r="E7954" t="inlineStr">
        <is>
          <t>1462</t>
        </is>
      </c>
      <c r="F7954" t="inlineStr">
        <is>
          <t>0354</t>
        </is>
      </c>
      <c r="G7954" s="10" t="inlineStr">
        <is>
          <t>龍安寺</t>
        </is>
      </c>
      <c r="H7954" s="10" t="inlineStr">
        <is>
          <t>発</t>
        </is>
      </c>
      <c r="J7954" s="10" t="inlineStr">
        <is>
          <t>営業</t>
        </is>
      </c>
      <c r="L7954" t="inlineStr">
        <is>
          <t>15:05:45</t>
        </is>
      </c>
      <c r="M7954" t="inlineStr">
        <is>
          <t>15:05:55</t>
        </is>
      </c>
    </row>
    <row r="7955" ht="16.5" customHeight="1" s="37">
      <c r="A7955" t="n">
        <v>23</v>
      </c>
      <c r="B7955" s="10" t="inlineStr">
        <is>
          <t>平日</t>
        </is>
      </c>
      <c r="C7955" s="10" t="inlineStr">
        <is>
          <t>北野線</t>
        </is>
      </c>
      <c r="D7955" s="10" t="inlineStr">
        <is>
          <t>上り</t>
        </is>
      </c>
      <c r="E7955" t="inlineStr">
        <is>
          <t>1462</t>
        </is>
      </c>
      <c r="F7955" t="inlineStr">
        <is>
          <t>0354</t>
        </is>
      </c>
      <c r="G7955" s="10" t="inlineStr">
        <is>
          <t>等持院</t>
        </is>
      </c>
      <c r="H7955" s="10" t="inlineStr">
        <is>
          <t>発</t>
        </is>
      </c>
      <c r="J7955" s="10" t="inlineStr">
        <is>
          <t>営業</t>
        </is>
      </c>
      <c r="L7955" t="inlineStr">
        <is>
          <t>15:06:35</t>
        </is>
      </c>
      <c r="M7955" t="inlineStr">
        <is>
          <t>15:06:55</t>
        </is>
      </c>
    </row>
    <row r="7956" ht="16.5" customHeight="1" s="37">
      <c r="A7956" t="n">
        <v>23</v>
      </c>
      <c r="B7956" s="10" t="inlineStr">
        <is>
          <t>平日</t>
        </is>
      </c>
      <c r="C7956" s="10" t="inlineStr">
        <is>
          <t>北野線</t>
        </is>
      </c>
      <c r="D7956" s="10" t="inlineStr">
        <is>
          <t>上り</t>
        </is>
      </c>
      <c r="E7956" t="inlineStr">
        <is>
          <t>1462</t>
        </is>
      </c>
      <c r="F7956" t="inlineStr">
        <is>
          <t>0354</t>
        </is>
      </c>
      <c r="G7956" s="10" t="inlineStr">
        <is>
          <t>北野白梅町</t>
        </is>
      </c>
      <c r="H7956" s="10" t="inlineStr">
        <is>
          <t>着</t>
        </is>
      </c>
      <c r="J7956" s="10" t="inlineStr">
        <is>
          <t>営業</t>
        </is>
      </c>
      <c r="L7956" t="inlineStr">
        <is>
          <t>15:08:15</t>
        </is>
      </c>
      <c r="Q7956" t="inlineStr">
        <is>
          <t>1</t>
        </is>
      </c>
    </row>
    <row r="7957" ht="16.5" customHeight="1" s="37">
      <c r="A7957" t="n">
        <v>23</v>
      </c>
      <c r="B7957" s="10" t="inlineStr">
        <is>
          <t>平日</t>
        </is>
      </c>
      <c r="C7957" s="10" t="inlineStr">
        <is>
          <t>北野線</t>
        </is>
      </c>
      <c r="D7957" s="10" t="inlineStr">
        <is>
          <t>下り</t>
        </is>
      </c>
      <c r="E7957" t="inlineStr">
        <is>
          <t>1553</t>
        </is>
      </c>
      <c r="F7957" t="inlineStr">
        <is>
          <t>0453</t>
        </is>
      </c>
      <c r="G7957" s="10" t="inlineStr">
        <is>
          <t>北野白梅町</t>
        </is>
      </c>
      <c r="H7957" s="10" t="inlineStr">
        <is>
          <t>発</t>
        </is>
      </c>
      <c r="J7957" s="10" t="inlineStr">
        <is>
          <t>営業</t>
        </is>
      </c>
      <c r="M7957" t="inlineStr">
        <is>
          <t>15:13:00</t>
        </is>
      </c>
      <c r="Q7957" t="inlineStr">
        <is>
          <t>1</t>
        </is>
      </c>
    </row>
    <row r="7958" ht="16.5" customHeight="1" s="37">
      <c r="A7958" t="n">
        <v>23</v>
      </c>
      <c r="B7958" s="10" t="inlineStr">
        <is>
          <t>平日</t>
        </is>
      </c>
      <c r="C7958" s="10" t="inlineStr">
        <is>
          <t>北野線</t>
        </is>
      </c>
      <c r="D7958" s="10" t="inlineStr">
        <is>
          <t>下り</t>
        </is>
      </c>
      <c r="E7958" t="inlineStr">
        <is>
          <t>1553</t>
        </is>
      </c>
      <c r="F7958" t="inlineStr">
        <is>
          <t>0453</t>
        </is>
      </c>
      <c r="G7958" s="10" t="inlineStr">
        <is>
          <t>等持院</t>
        </is>
      </c>
      <c r="H7958" s="10" t="inlineStr">
        <is>
          <t>発</t>
        </is>
      </c>
      <c r="J7958" s="10" t="inlineStr">
        <is>
          <t>営業</t>
        </is>
      </c>
      <c r="L7958" t="inlineStr">
        <is>
          <t>15:14:25</t>
        </is>
      </c>
      <c r="M7958" t="inlineStr">
        <is>
          <t>15:14:35</t>
        </is>
      </c>
    </row>
    <row r="7959" ht="16.5" customHeight="1" s="37">
      <c r="A7959" t="n">
        <v>23</v>
      </c>
      <c r="B7959" s="10" t="inlineStr">
        <is>
          <t>平日</t>
        </is>
      </c>
      <c r="C7959" s="10" t="inlineStr">
        <is>
          <t>北野線</t>
        </is>
      </c>
      <c r="D7959" s="10" t="inlineStr">
        <is>
          <t>下り</t>
        </is>
      </c>
      <c r="E7959" t="inlineStr">
        <is>
          <t>1553</t>
        </is>
      </c>
      <c r="F7959" t="inlineStr">
        <is>
          <t>0453</t>
        </is>
      </c>
      <c r="G7959" s="10" t="inlineStr">
        <is>
          <t>龍安寺</t>
        </is>
      </c>
      <c r="H7959" s="10" t="inlineStr">
        <is>
          <t>発</t>
        </is>
      </c>
      <c r="J7959" s="10" t="inlineStr">
        <is>
          <t>営業</t>
        </is>
      </c>
      <c r="L7959" t="inlineStr">
        <is>
          <t>15:15:25</t>
        </is>
      </c>
      <c r="M7959" t="inlineStr">
        <is>
          <t>15:15:50</t>
        </is>
      </c>
    </row>
    <row r="7960" ht="16.5" customHeight="1" s="37">
      <c r="A7960" t="n">
        <v>23</v>
      </c>
      <c r="B7960" s="10" t="inlineStr">
        <is>
          <t>平日</t>
        </is>
      </c>
      <c r="C7960" s="10" t="inlineStr">
        <is>
          <t>北野線</t>
        </is>
      </c>
      <c r="D7960" s="10" t="inlineStr">
        <is>
          <t>下り</t>
        </is>
      </c>
      <c r="E7960" t="inlineStr">
        <is>
          <t>1553</t>
        </is>
      </c>
      <c r="F7960" t="inlineStr">
        <is>
          <t>0453</t>
        </is>
      </c>
      <c r="G7960" s="10" t="inlineStr">
        <is>
          <t>妙心寺</t>
        </is>
      </c>
      <c r="H7960" s="10" t="inlineStr">
        <is>
          <t>発</t>
        </is>
      </c>
      <c r="J7960" s="10" t="inlineStr">
        <is>
          <t>営業</t>
        </is>
      </c>
      <c r="L7960" t="inlineStr">
        <is>
          <t>15:16:40</t>
        </is>
      </c>
      <c r="M7960" t="inlineStr">
        <is>
          <t>15:16:50</t>
        </is>
      </c>
    </row>
    <row r="7961" ht="16.5" customHeight="1" s="37">
      <c r="A7961" t="n">
        <v>23</v>
      </c>
      <c r="B7961" s="10" t="inlineStr">
        <is>
          <t>平日</t>
        </is>
      </c>
      <c r="C7961" s="10" t="inlineStr">
        <is>
          <t>北野線</t>
        </is>
      </c>
      <c r="D7961" s="10" t="inlineStr">
        <is>
          <t>下り</t>
        </is>
      </c>
      <c r="E7961" t="inlineStr">
        <is>
          <t>1553</t>
        </is>
      </c>
      <c r="F7961" t="inlineStr">
        <is>
          <t>0453</t>
        </is>
      </c>
      <c r="G7961" s="10" t="inlineStr">
        <is>
          <t>御室仁和寺</t>
        </is>
      </c>
      <c r="H7961" s="10" t="inlineStr">
        <is>
          <t>発</t>
        </is>
      </c>
      <c r="J7961" s="10" t="inlineStr">
        <is>
          <t>営業</t>
        </is>
      </c>
      <c r="L7961" t="inlineStr">
        <is>
          <t>15:17:50</t>
        </is>
      </c>
      <c r="M7961" t="inlineStr">
        <is>
          <t>15:18:05</t>
        </is>
      </c>
    </row>
    <row r="7962" ht="16.5" customHeight="1" s="37">
      <c r="A7962" t="n">
        <v>23</v>
      </c>
      <c r="B7962" s="10" t="inlineStr">
        <is>
          <t>平日</t>
        </is>
      </c>
      <c r="C7962" s="10" t="inlineStr">
        <is>
          <t>北野線</t>
        </is>
      </c>
      <c r="D7962" s="10" t="inlineStr">
        <is>
          <t>下り</t>
        </is>
      </c>
      <c r="E7962" t="inlineStr">
        <is>
          <t>1553</t>
        </is>
      </c>
      <c r="F7962" t="inlineStr">
        <is>
          <t>0453</t>
        </is>
      </c>
      <c r="G7962" s="10" t="inlineStr">
        <is>
          <t>宇多野</t>
        </is>
      </c>
      <c r="H7962" s="10" t="inlineStr">
        <is>
          <t>発</t>
        </is>
      </c>
      <c r="J7962" s="10" t="inlineStr">
        <is>
          <t>営業</t>
        </is>
      </c>
      <c r="L7962" t="inlineStr">
        <is>
          <t>15:19:05</t>
        </is>
      </c>
      <c r="M7962" t="inlineStr">
        <is>
          <t>15:19:15</t>
        </is>
      </c>
    </row>
    <row r="7963" ht="16.5" customHeight="1" s="37">
      <c r="A7963" t="n">
        <v>23</v>
      </c>
      <c r="B7963" s="10" t="inlineStr">
        <is>
          <t>平日</t>
        </is>
      </c>
      <c r="C7963" s="10" t="inlineStr">
        <is>
          <t>北野線</t>
        </is>
      </c>
      <c r="D7963" s="10" t="inlineStr">
        <is>
          <t>下り</t>
        </is>
      </c>
      <c r="E7963" t="inlineStr">
        <is>
          <t>1553</t>
        </is>
      </c>
      <c r="F7963" t="inlineStr">
        <is>
          <t>0453</t>
        </is>
      </c>
      <c r="G7963" s="10" t="inlineStr">
        <is>
          <t>鳴滝</t>
        </is>
      </c>
      <c r="H7963" s="10" t="inlineStr">
        <is>
          <t>発</t>
        </is>
      </c>
      <c r="J7963" s="10" t="inlineStr">
        <is>
          <t>営業</t>
        </is>
      </c>
      <c r="L7963" t="inlineStr">
        <is>
          <t>15:20:35</t>
        </is>
      </c>
      <c r="M7963" t="inlineStr">
        <is>
          <t>15:20:45</t>
        </is>
      </c>
    </row>
    <row r="7964" ht="15" customHeight="1" s="37">
      <c r="A7964" t="n">
        <v>23</v>
      </c>
      <c r="B7964" s="10" t="inlineStr">
        <is>
          <t>平日</t>
        </is>
      </c>
      <c r="C7964" s="10" t="inlineStr">
        <is>
          <t>北野線</t>
        </is>
      </c>
      <c r="D7964" s="10" t="inlineStr">
        <is>
          <t>下り</t>
        </is>
      </c>
      <c r="E7964" t="inlineStr">
        <is>
          <t>1553</t>
        </is>
      </c>
      <c r="F7964" t="inlineStr">
        <is>
          <t>0453</t>
        </is>
      </c>
      <c r="G7964" s="10" t="inlineStr">
        <is>
          <t>常盤</t>
        </is>
      </c>
      <c r="H7964" s="10" t="inlineStr">
        <is>
          <t>発</t>
        </is>
      </c>
      <c r="J7964" s="10" t="inlineStr">
        <is>
          <t>営業</t>
        </is>
      </c>
      <c r="L7964" t="inlineStr">
        <is>
          <t>15:21:35</t>
        </is>
      </c>
      <c r="M7964" t="inlineStr">
        <is>
          <t>15:21:55</t>
        </is>
      </c>
    </row>
    <row r="7965" ht="15" customHeight="1" s="37">
      <c r="A7965" t="n">
        <v>23</v>
      </c>
      <c r="B7965" s="10" t="inlineStr">
        <is>
          <t>平日</t>
        </is>
      </c>
      <c r="C7965" s="10" t="inlineStr">
        <is>
          <t>北野線</t>
        </is>
      </c>
      <c r="D7965" s="10" t="inlineStr">
        <is>
          <t>下り</t>
        </is>
      </c>
      <c r="E7965" t="inlineStr">
        <is>
          <t>1553</t>
        </is>
      </c>
      <c r="F7965" t="inlineStr">
        <is>
          <t>0453</t>
        </is>
      </c>
      <c r="G7965" s="10" t="inlineStr">
        <is>
          <t>撮影所前</t>
        </is>
      </c>
      <c r="H7965" s="10" t="inlineStr">
        <is>
          <t>発</t>
        </is>
      </c>
      <c r="J7965" s="10" t="inlineStr">
        <is>
          <t>営業</t>
        </is>
      </c>
      <c r="L7965" t="inlineStr">
        <is>
          <t>15:23:15</t>
        </is>
      </c>
      <c r="M7965" t="inlineStr">
        <is>
          <t>15:23:30</t>
        </is>
      </c>
    </row>
    <row r="7966" ht="15" customHeight="1" s="37">
      <c r="A7966" t="n">
        <v>23</v>
      </c>
      <c r="B7966" s="10" t="inlineStr">
        <is>
          <t>平日</t>
        </is>
      </c>
      <c r="C7966" s="10" t="inlineStr">
        <is>
          <t>北野線</t>
        </is>
      </c>
      <c r="D7966" s="10" t="inlineStr">
        <is>
          <t>下り</t>
        </is>
      </c>
      <c r="E7966" t="inlineStr">
        <is>
          <t>1553</t>
        </is>
      </c>
      <c r="F7966" t="inlineStr">
        <is>
          <t>0453</t>
        </is>
      </c>
      <c r="G7966" s="10" t="inlineStr">
        <is>
          <t>帷子ノ辻</t>
        </is>
      </c>
      <c r="H7966" s="10" t="inlineStr">
        <is>
          <t>着</t>
        </is>
      </c>
      <c r="J7966" s="10" t="inlineStr">
        <is>
          <t>営業</t>
        </is>
      </c>
      <c r="L7966" t="inlineStr">
        <is>
          <t>15:24:25</t>
        </is>
      </c>
      <c r="Q7966" t="inlineStr">
        <is>
          <t>3</t>
        </is>
      </c>
    </row>
    <row r="7967" ht="15" customHeight="1" s="37">
      <c r="A7967" t="n">
        <v>23</v>
      </c>
      <c r="B7967" s="10" t="inlineStr">
        <is>
          <t>平日</t>
        </is>
      </c>
      <c r="C7967" s="10" t="inlineStr">
        <is>
          <t>北野線</t>
        </is>
      </c>
      <c r="D7967" s="10" t="inlineStr">
        <is>
          <t>上り</t>
        </is>
      </c>
      <c r="E7967" t="inlineStr">
        <is>
          <t>1558</t>
        </is>
      </c>
      <c r="F7967" t="inlineStr">
        <is>
          <t>0354</t>
        </is>
      </c>
      <c r="G7967" s="10" t="inlineStr">
        <is>
          <t>帷子ノ辻</t>
        </is>
      </c>
      <c r="H7967" s="10" t="inlineStr">
        <is>
          <t>発</t>
        </is>
      </c>
      <c r="J7967" s="10" t="inlineStr">
        <is>
          <t>営業</t>
        </is>
      </c>
      <c r="M7967" t="inlineStr">
        <is>
          <t>15:36:25</t>
        </is>
      </c>
      <c r="Q7967" t="inlineStr">
        <is>
          <t>3</t>
        </is>
      </c>
    </row>
    <row r="7968" ht="15" customHeight="1" s="37">
      <c r="A7968" t="n">
        <v>23</v>
      </c>
      <c r="B7968" s="10" t="inlineStr">
        <is>
          <t>平日</t>
        </is>
      </c>
      <c r="C7968" s="10" t="inlineStr">
        <is>
          <t>北野線</t>
        </is>
      </c>
      <c r="D7968" s="10" t="inlineStr">
        <is>
          <t>上り</t>
        </is>
      </c>
      <c r="E7968" t="inlineStr">
        <is>
          <t>1558</t>
        </is>
      </c>
      <c r="F7968" t="inlineStr">
        <is>
          <t>0354</t>
        </is>
      </c>
      <c r="G7968" s="10" t="inlineStr">
        <is>
          <t>撮影所前</t>
        </is>
      </c>
      <c r="H7968" s="10" t="inlineStr">
        <is>
          <t>発</t>
        </is>
      </c>
      <c r="J7968" s="10" t="inlineStr">
        <is>
          <t>営業</t>
        </is>
      </c>
      <c r="L7968" t="inlineStr">
        <is>
          <t>15:37:25</t>
        </is>
      </c>
      <c r="M7968" t="inlineStr">
        <is>
          <t>15:37:40</t>
        </is>
      </c>
    </row>
    <row r="7969" ht="15" customHeight="1" s="37">
      <c r="A7969" t="n">
        <v>23</v>
      </c>
      <c r="B7969" s="10" t="inlineStr">
        <is>
          <t>平日</t>
        </is>
      </c>
      <c r="C7969" s="10" t="inlineStr">
        <is>
          <t>北野線</t>
        </is>
      </c>
      <c r="D7969" s="10" t="inlineStr">
        <is>
          <t>上り</t>
        </is>
      </c>
      <c r="E7969" t="inlineStr">
        <is>
          <t>1558</t>
        </is>
      </c>
      <c r="F7969" t="inlineStr">
        <is>
          <t>0354</t>
        </is>
      </c>
      <c r="G7969" s="10" t="inlineStr">
        <is>
          <t>常盤</t>
        </is>
      </c>
      <c r="H7969" s="10" t="inlineStr">
        <is>
          <t>発</t>
        </is>
      </c>
      <c r="J7969" s="10" t="inlineStr">
        <is>
          <t>営業</t>
        </is>
      </c>
      <c r="L7969" t="inlineStr">
        <is>
          <t>15:39:00</t>
        </is>
      </c>
      <c r="M7969" t="inlineStr">
        <is>
          <t>15:39:20</t>
        </is>
      </c>
    </row>
    <row r="7970" ht="15" customHeight="1" s="37">
      <c r="A7970" t="n">
        <v>23</v>
      </c>
      <c r="B7970" s="10" t="inlineStr">
        <is>
          <t>平日</t>
        </is>
      </c>
      <c r="C7970" s="10" t="inlineStr">
        <is>
          <t>北野線</t>
        </is>
      </c>
      <c r="D7970" s="10" t="inlineStr">
        <is>
          <t>上り</t>
        </is>
      </c>
      <c r="E7970" t="inlineStr">
        <is>
          <t>1558</t>
        </is>
      </c>
      <c r="F7970" t="inlineStr">
        <is>
          <t>0354</t>
        </is>
      </c>
      <c r="G7970" s="10" t="inlineStr">
        <is>
          <t>鳴滝</t>
        </is>
      </c>
      <c r="H7970" s="10" t="inlineStr">
        <is>
          <t>発</t>
        </is>
      </c>
      <c r="J7970" s="10" t="inlineStr">
        <is>
          <t>営業</t>
        </is>
      </c>
      <c r="L7970" t="inlineStr">
        <is>
          <t>15:40:20</t>
        </is>
      </c>
      <c r="M7970" t="inlineStr">
        <is>
          <t>15:40:40</t>
        </is>
      </c>
    </row>
    <row r="7971" ht="15" customHeight="1" s="37">
      <c r="A7971" t="n">
        <v>23</v>
      </c>
      <c r="B7971" s="10" t="inlineStr">
        <is>
          <t>平日</t>
        </is>
      </c>
      <c r="C7971" s="10" t="inlineStr">
        <is>
          <t>北野線</t>
        </is>
      </c>
      <c r="D7971" s="10" t="inlineStr">
        <is>
          <t>上り</t>
        </is>
      </c>
      <c r="E7971" t="inlineStr">
        <is>
          <t>1558</t>
        </is>
      </c>
      <c r="F7971" t="inlineStr">
        <is>
          <t>0354</t>
        </is>
      </c>
      <c r="G7971" s="10" t="inlineStr">
        <is>
          <t>宇多野</t>
        </is>
      </c>
      <c r="H7971" s="10" t="inlineStr">
        <is>
          <t>発</t>
        </is>
      </c>
      <c r="J7971" s="10" t="inlineStr">
        <is>
          <t>営業</t>
        </is>
      </c>
      <c r="L7971" t="inlineStr">
        <is>
          <t>15:42:00</t>
        </is>
      </c>
      <c r="M7971" t="inlineStr">
        <is>
          <t>15:42:15</t>
        </is>
      </c>
    </row>
    <row r="7972" ht="15" customHeight="1" s="37">
      <c r="A7972" t="n">
        <v>23</v>
      </c>
      <c r="B7972" s="10" t="inlineStr">
        <is>
          <t>平日</t>
        </is>
      </c>
      <c r="C7972" s="10" t="inlineStr">
        <is>
          <t>北野線</t>
        </is>
      </c>
      <c r="D7972" s="10" t="inlineStr">
        <is>
          <t>上り</t>
        </is>
      </c>
      <c r="E7972" t="inlineStr">
        <is>
          <t>1558</t>
        </is>
      </c>
      <c r="F7972" t="inlineStr">
        <is>
          <t>0354</t>
        </is>
      </c>
      <c r="G7972" s="10" t="inlineStr">
        <is>
          <t>御室仁和寺</t>
        </is>
      </c>
      <c r="H7972" s="10" t="inlineStr">
        <is>
          <t>発</t>
        </is>
      </c>
      <c r="J7972" s="10" t="inlineStr">
        <is>
          <t>営業</t>
        </is>
      </c>
      <c r="L7972" t="inlineStr">
        <is>
          <t>15:43:15</t>
        </is>
      </c>
      <c r="M7972" t="inlineStr">
        <is>
          <t>15:43:35</t>
        </is>
      </c>
    </row>
    <row r="7973" ht="15" customHeight="1" s="37">
      <c r="A7973" t="n">
        <v>23</v>
      </c>
      <c r="B7973" s="10" t="inlineStr">
        <is>
          <t>平日</t>
        </is>
      </c>
      <c r="C7973" s="10" t="inlineStr">
        <is>
          <t>北野線</t>
        </is>
      </c>
      <c r="D7973" s="10" t="inlineStr">
        <is>
          <t>上り</t>
        </is>
      </c>
      <c r="E7973" t="inlineStr">
        <is>
          <t>1558</t>
        </is>
      </c>
      <c r="F7973" t="inlineStr">
        <is>
          <t>0354</t>
        </is>
      </c>
      <c r="G7973" s="10" t="inlineStr">
        <is>
          <t>妙心寺</t>
        </is>
      </c>
      <c r="H7973" s="10" t="inlineStr">
        <is>
          <t>発</t>
        </is>
      </c>
      <c r="J7973" s="10" t="inlineStr">
        <is>
          <t>営業</t>
        </is>
      </c>
      <c r="L7973" t="inlineStr">
        <is>
          <t>15:44:35</t>
        </is>
      </c>
      <c r="M7973" t="inlineStr">
        <is>
          <t>15:44:50</t>
        </is>
      </c>
    </row>
    <row r="7974" ht="15" customHeight="1" s="37">
      <c r="A7974" t="n">
        <v>23</v>
      </c>
      <c r="B7974" s="10" t="inlineStr">
        <is>
          <t>平日</t>
        </is>
      </c>
      <c r="C7974" s="10" t="inlineStr">
        <is>
          <t>北野線</t>
        </is>
      </c>
      <c r="D7974" s="10" t="inlineStr">
        <is>
          <t>上り</t>
        </is>
      </c>
      <c r="E7974" t="inlineStr">
        <is>
          <t>1558</t>
        </is>
      </c>
      <c r="F7974" t="inlineStr">
        <is>
          <t>0354</t>
        </is>
      </c>
      <c r="G7974" s="10" t="inlineStr">
        <is>
          <t>龍安寺</t>
        </is>
      </c>
      <c r="H7974" s="10" t="inlineStr">
        <is>
          <t>発</t>
        </is>
      </c>
      <c r="J7974" s="10" t="inlineStr">
        <is>
          <t>営業</t>
        </is>
      </c>
      <c r="L7974" t="inlineStr">
        <is>
          <t>15:45:45</t>
        </is>
      </c>
      <c r="M7974" t="inlineStr">
        <is>
          <t>15:45:55</t>
        </is>
      </c>
    </row>
    <row r="7975" ht="15" customHeight="1" s="37">
      <c r="A7975" t="n">
        <v>23</v>
      </c>
      <c r="B7975" s="10" t="inlineStr">
        <is>
          <t>平日</t>
        </is>
      </c>
      <c r="C7975" s="10" t="inlineStr">
        <is>
          <t>北野線</t>
        </is>
      </c>
      <c r="D7975" s="10" t="inlineStr">
        <is>
          <t>上り</t>
        </is>
      </c>
      <c r="E7975" t="inlineStr">
        <is>
          <t>1558</t>
        </is>
      </c>
      <c r="F7975" t="inlineStr">
        <is>
          <t>0354</t>
        </is>
      </c>
      <c r="G7975" s="10" t="inlineStr">
        <is>
          <t>等持院</t>
        </is>
      </c>
      <c r="H7975" s="10" t="inlineStr">
        <is>
          <t>発</t>
        </is>
      </c>
      <c r="J7975" s="10" t="inlineStr">
        <is>
          <t>営業</t>
        </is>
      </c>
      <c r="L7975" t="inlineStr">
        <is>
          <t>15:46:35</t>
        </is>
      </c>
      <c r="M7975" t="inlineStr">
        <is>
          <t>15:46:55</t>
        </is>
      </c>
    </row>
    <row r="7976" ht="15" customHeight="1" s="37">
      <c r="A7976" t="n">
        <v>23</v>
      </c>
      <c r="B7976" s="10" t="inlineStr">
        <is>
          <t>平日</t>
        </is>
      </c>
      <c r="C7976" s="10" t="inlineStr">
        <is>
          <t>北野線</t>
        </is>
      </c>
      <c r="D7976" s="10" t="inlineStr">
        <is>
          <t>上り</t>
        </is>
      </c>
      <c r="E7976" t="inlineStr">
        <is>
          <t>1558</t>
        </is>
      </c>
      <c r="F7976" t="inlineStr">
        <is>
          <t>0354</t>
        </is>
      </c>
      <c r="G7976" s="10" t="inlineStr">
        <is>
          <t>北野白梅町</t>
        </is>
      </c>
      <c r="H7976" s="10" t="inlineStr">
        <is>
          <t>着</t>
        </is>
      </c>
      <c r="J7976" s="10" t="inlineStr">
        <is>
          <t>営業</t>
        </is>
      </c>
      <c r="L7976" t="inlineStr">
        <is>
          <t>15:48:15</t>
        </is>
      </c>
      <c r="Q7976" t="inlineStr">
        <is>
          <t>1</t>
        </is>
      </c>
    </row>
    <row r="7977" ht="15" customHeight="1" s="37">
      <c r="A7977" t="n">
        <v>23</v>
      </c>
      <c r="B7977" s="10" t="inlineStr">
        <is>
          <t>平日</t>
        </is>
      </c>
      <c r="C7977" s="10" t="inlineStr">
        <is>
          <t>北野線</t>
        </is>
      </c>
      <c r="D7977" s="10" t="inlineStr">
        <is>
          <t>下り</t>
        </is>
      </c>
      <c r="E7977" t="inlineStr">
        <is>
          <t>1561</t>
        </is>
      </c>
      <c r="F7977" t="inlineStr">
        <is>
          <t>0453</t>
        </is>
      </c>
      <c r="G7977" s="10" t="inlineStr">
        <is>
          <t>北野白梅町</t>
        </is>
      </c>
      <c r="H7977" s="10" t="inlineStr">
        <is>
          <t>発</t>
        </is>
      </c>
      <c r="J7977" s="10" t="inlineStr">
        <is>
          <t>営業</t>
        </is>
      </c>
      <c r="M7977" t="inlineStr">
        <is>
          <t>15:53:00</t>
        </is>
      </c>
      <c r="Q7977" t="inlineStr">
        <is>
          <t>1</t>
        </is>
      </c>
    </row>
    <row r="7978" ht="15" customHeight="1" s="37">
      <c r="A7978" t="n">
        <v>23</v>
      </c>
      <c r="B7978" s="10" t="inlineStr">
        <is>
          <t>平日</t>
        </is>
      </c>
      <c r="C7978" s="10" t="inlineStr">
        <is>
          <t>北野線</t>
        </is>
      </c>
      <c r="D7978" s="10" t="inlineStr">
        <is>
          <t>下り</t>
        </is>
      </c>
      <c r="E7978" t="inlineStr">
        <is>
          <t>1561</t>
        </is>
      </c>
      <c r="F7978" t="inlineStr">
        <is>
          <t>0453</t>
        </is>
      </c>
      <c r="G7978" s="10" t="inlineStr">
        <is>
          <t>等持院</t>
        </is>
      </c>
      <c r="H7978" s="10" t="inlineStr">
        <is>
          <t>発</t>
        </is>
      </c>
      <c r="J7978" s="10" t="inlineStr">
        <is>
          <t>営業</t>
        </is>
      </c>
      <c r="L7978" t="inlineStr">
        <is>
          <t>15:54:25</t>
        </is>
      </c>
      <c r="M7978" t="inlineStr">
        <is>
          <t>15:54:35</t>
        </is>
      </c>
    </row>
    <row r="7979" ht="15" customHeight="1" s="37">
      <c r="A7979" t="n">
        <v>23</v>
      </c>
      <c r="B7979" s="10" t="inlineStr">
        <is>
          <t>平日</t>
        </is>
      </c>
      <c r="C7979" s="10" t="inlineStr">
        <is>
          <t>北野線</t>
        </is>
      </c>
      <c r="D7979" s="10" t="inlineStr">
        <is>
          <t>下り</t>
        </is>
      </c>
      <c r="E7979" t="inlineStr">
        <is>
          <t>1561</t>
        </is>
      </c>
      <c r="F7979" t="inlineStr">
        <is>
          <t>0453</t>
        </is>
      </c>
      <c r="G7979" s="10" t="inlineStr">
        <is>
          <t>龍安寺</t>
        </is>
      </c>
      <c r="H7979" s="10" t="inlineStr">
        <is>
          <t>発</t>
        </is>
      </c>
      <c r="J7979" s="10" t="inlineStr">
        <is>
          <t>営業</t>
        </is>
      </c>
      <c r="L7979" t="inlineStr">
        <is>
          <t>15:55:25</t>
        </is>
      </c>
      <c r="M7979" t="inlineStr">
        <is>
          <t>15:55:50</t>
        </is>
      </c>
    </row>
    <row r="7980" ht="15" customHeight="1" s="37">
      <c r="A7980" t="n">
        <v>23</v>
      </c>
      <c r="B7980" s="10" t="inlineStr">
        <is>
          <t>平日</t>
        </is>
      </c>
      <c r="C7980" s="10" t="inlineStr">
        <is>
          <t>北野線</t>
        </is>
      </c>
      <c r="D7980" s="10" t="inlineStr">
        <is>
          <t>下り</t>
        </is>
      </c>
      <c r="E7980" t="inlineStr">
        <is>
          <t>1561</t>
        </is>
      </c>
      <c r="F7980" t="inlineStr">
        <is>
          <t>0453</t>
        </is>
      </c>
      <c r="G7980" s="10" t="inlineStr">
        <is>
          <t>妙心寺</t>
        </is>
      </c>
      <c r="H7980" s="10" t="inlineStr">
        <is>
          <t>発</t>
        </is>
      </c>
      <c r="J7980" s="10" t="inlineStr">
        <is>
          <t>営業</t>
        </is>
      </c>
      <c r="L7980" t="inlineStr">
        <is>
          <t>15:56:40</t>
        </is>
      </c>
      <c r="M7980" t="inlineStr">
        <is>
          <t>15:56:50</t>
        </is>
      </c>
    </row>
    <row r="7981" ht="15" customHeight="1" s="37">
      <c r="A7981" t="n">
        <v>23</v>
      </c>
      <c r="B7981" s="10" t="inlineStr">
        <is>
          <t>平日</t>
        </is>
      </c>
      <c r="C7981" s="10" t="inlineStr">
        <is>
          <t>北野線</t>
        </is>
      </c>
      <c r="D7981" s="10" t="inlineStr">
        <is>
          <t>下り</t>
        </is>
      </c>
      <c r="E7981" t="inlineStr">
        <is>
          <t>1561</t>
        </is>
      </c>
      <c r="F7981" t="inlineStr">
        <is>
          <t>0453</t>
        </is>
      </c>
      <c r="G7981" s="10" t="inlineStr">
        <is>
          <t>御室仁和寺</t>
        </is>
      </c>
      <c r="H7981" s="10" t="inlineStr">
        <is>
          <t>発</t>
        </is>
      </c>
      <c r="J7981" s="10" t="inlineStr">
        <is>
          <t>営業</t>
        </is>
      </c>
      <c r="L7981" t="inlineStr">
        <is>
          <t>15:57:50</t>
        </is>
      </c>
      <c r="M7981" t="inlineStr">
        <is>
          <t>15:58:05</t>
        </is>
      </c>
    </row>
    <row r="7982" ht="15" customHeight="1" s="37">
      <c r="A7982" t="n">
        <v>23</v>
      </c>
      <c r="B7982" s="10" t="inlineStr">
        <is>
          <t>平日</t>
        </is>
      </c>
      <c r="C7982" s="10" t="inlineStr">
        <is>
          <t>北野線</t>
        </is>
      </c>
      <c r="D7982" s="10" t="inlineStr">
        <is>
          <t>下り</t>
        </is>
      </c>
      <c r="E7982" t="inlineStr">
        <is>
          <t>1561</t>
        </is>
      </c>
      <c r="F7982" t="inlineStr">
        <is>
          <t>0453</t>
        </is>
      </c>
      <c r="G7982" s="10" t="inlineStr">
        <is>
          <t>宇多野</t>
        </is>
      </c>
      <c r="H7982" s="10" t="inlineStr">
        <is>
          <t>発</t>
        </is>
      </c>
      <c r="J7982" s="10" t="inlineStr">
        <is>
          <t>営業</t>
        </is>
      </c>
      <c r="L7982" t="inlineStr">
        <is>
          <t>15:59:05</t>
        </is>
      </c>
      <c r="M7982" t="inlineStr">
        <is>
          <t>15:59:15</t>
        </is>
      </c>
    </row>
    <row r="7983" ht="15" customHeight="1" s="37">
      <c r="A7983" t="n">
        <v>23</v>
      </c>
      <c r="B7983" s="10" t="inlineStr">
        <is>
          <t>平日</t>
        </is>
      </c>
      <c r="C7983" s="10" t="inlineStr">
        <is>
          <t>北野線</t>
        </is>
      </c>
      <c r="D7983" s="10" t="inlineStr">
        <is>
          <t>下り</t>
        </is>
      </c>
      <c r="E7983" t="inlineStr">
        <is>
          <t>1561</t>
        </is>
      </c>
      <c r="F7983" t="inlineStr">
        <is>
          <t>0453</t>
        </is>
      </c>
      <c r="G7983" s="10" t="inlineStr">
        <is>
          <t>鳴滝</t>
        </is>
      </c>
      <c r="H7983" s="10" t="inlineStr">
        <is>
          <t>発</t>
        </is>
      </c>
      <c r="J7983" s="10" t="inlineStr">
        <is>
          <t>営業</t>
        </is>
      </c>
      <c r="L7983" t="inlineStr">
        <is>
          <t>16:00:35</t>
        </is>
      </c>
      <c r="M7983" t="inlineStr">
        <is>
          <t>16:00:45</t>
        </is>
      </c>
    </row>
    <row r="7984" ht="15" customHeight="1" s="37">
      <c r="A7984" t="n">
        <v>23</v>
      </c>
      <c r="B7984" s="10" t="inlineStr">
        <is>
          <t>平日</t>
        </is>
      </c>
      <c r="C7984" s="10" t="inlineStr">
        <is>
          <t>北野線</t>
        </is>
      </c>
      <c r="D7984" s="10" t="inlineStr">
        <is>
          <t>下り</t>
        </is>
      </c>
      <c r="E7984" t="inlineStr">
        <is>
          <t>1561</t>
        </is>
      </c>
      <c r="F7984" t="inlineStr">
        <is>
          <t>0453</t>
        </is>
      </c>
      <c r="G7984" s="10" t="inlineStr">
        <is>
          <t>常盤</t>
        </is>
      </c>
      <c r="H7984" s="10" t="inlineStr">
        <is>
          <t>発</t>
        </is>
      </c>
      <c r="J7984" s="10" t="inlineStr">
        <is>
          <t>営業</t>
        </is>
      </c>
      <c r="L7984" t="inlineStr">
        <is>
          <t>16:01:35</t>
        </is>
      </c>
      <c r="M7984" t="inlineStr">
        <is>
          <t>16:01:55</t>
        </is>
      </c>
    </row>
    <row r="7985" ht="15" customHeight="1" s="37">
      <c r="A7985" t="n">
        <v>23</v>
      </c>
      <c r="B7985" s="10" t="inlineStr">
        <is>
          <t>平日</t>
        </is>
      </c>
      <c r="C7985" s="10" t="inlineStr">
        <is>
          <t>北野線</t>
        </is>
      </c>
      <c r="D7985" s="10" t="inlineStr">
        <is>
          <t>下り</t>
        </is>
      </c>
      <c r="E7985" t="inlineStr">
        <is>
          <t>1561</t>
        </is>
      </c>
      <c r="F7985" t="inlineStr">
        <is>
          <t>0453</t>
        </is>
      </c>
      <c r="G7985" s="10" t="inlineStr">
        <is>
          <t>撮影所前</t>
        </is>
      </c>
      <c r="H7985" s="10" t="inlineStr">
        <is>
          <t>発</t>
        </is>
      </c>
      <c r="J7985" s="10" t="inlineStr">
        <is>
          <t>営業</t>
        </is>
      </c>
      <c r="L7985" t="inlineStr">
        <is>
          <t>16:03:15</t>
        </is>
      </c>
      <c r="M7985" t="inlineStr">
        <is>
          <t>16:03:30</t>
        </is>
      </c>
    </row>
    <row r="7986" ht="15" customHeight="1" s="37">
      <c r="A7986" t="n">
        <v>23</v>
      </c>
      <c r="B7986" s="10" t="inlineStr">
        <is>
          <t>平日</t>
        </is>
      </c>
      <c r="C7986" s="10" t="inlineStr">
        <is>
          <t>北野線</t>
        </is>
      </c>
      <c r="D7986" s="10" t="inlineStr">
        <is>
          <t>下り</t>
        </is>
      </c>
      <c r="E7986" t="inlineStr">
        <is>
          <t>1561</t>
        </is>
      </c>
      <c r="F7986" t="inlineStr">
        <is>
          <t>0453</t>
        </is>
      </c>
      <c r="G7986" s="10" t="inlineStr">
        <is>
          <t>帷子ノ辻</t>
        </is>
      </c>
      <c r="H7986" s="10" t="inlineStr">
        <is>
          <t>着</t>
        </is>
      </c>
      <c r="J7986" s="10" t="inlineStr">
        <is>
          <t>営業</t>
        </is>
      </c>
      <c r="L7986" t="inlineStr">
        <is>
          <t>16:04:25</t>
        </is>
      </c>
      <c r="Q7986" t="inlineStr">
        <is>
          <t>3</t>
        </is>
      </c>
    </row>
    <row r="7987" ht="15" customHeight="1" s="37">
      <c r="A7987" t="n">
        <v>23</v>
      </c>
      <c r="B7987" s="10" t="inlineStr">
        <is>
          <t>平日</t>
        </is>
      </c>
      <c r="C7987" s="10" t="inlineStr">
        <is>
          <t>北野線</t>
        </is>
      </c>
      <c r="D7987" s="10" t="inlineStr">
        <is>
          <t>上り</t>
        </is>
      </c>
      <c r="E7987" t="inlineStr">
        <is>
          <t>1654</t>
        </is>
      </c>
      <c r="F7987" t="inlineStr">
        <is>
          <t>0354</t>
        </is>
      </c>
      <c r="G7987" s="10" t="inlineStr">
        <is>
          <t>帷子ノ辻</t>
        </is>
      </c>
      <c r="H7987" s="10" t="inlineStr">
        <is>
          <t>発</t>
        </is>
      </c>
      <c r="J7987" s="10" t="inlineStr">
        <is>
          <t>営業</t>
        </is>
      </c>
      <c r="M7987" t="inlineStr">
        <is>
          <t>16:16:25</t>
        </is>
      </c>
      <c r="Q7987" t="inlineStr">
        <is>
          <t>3</t>
        </is>
      </c>
    </row>
    <row r="7988" ht="15" customHeight="1" s="37">
      <c r="A7988" t="n">
        <v>23</v>
      </c>
      <c r="B7988" s="10" t="inlineStr">
        <is>
          <t>平日</t>
        </is>
      </c>
      <c r="C7988" s="10" t="inlineStr">
        <is>
          <t>北野線</t>
        </is>
      </c>
      <c r="D7988" s="10" t="inlineStr">
        <is>
          <t>上り</t>
        </is>
      </c>
      <c r="E7988" t="inlineStr">
        <is>
          <t>1654</t>
        </is>
      </c>
      <c r="F7988" t="inlineStr">
        <is>
          <t>0354</t>
        </is>
      </c>
      <c r="G7988" s="10" t="inlineStr">
        <is>
          <t>撮影所前</t>
        </is>
      </c>
      <c r="H7988" s="10" t="inlineStr">
        <is>
          <t>発</t>
        </is>
      </c>
      <c r="J7988" s="10" t="inlineStr">
        <is>
          <t>営業</t>
        </is>
      </c>
      <c r="L7988" t="inlineStr">
        <is>
          <t>16:17:25</t>
        </is>
      </c>
      <c r="M7988" t="inlineStr">
        <is>
          <t>16:17:40</t>
        </is>
      </c>
    </row>
    <row r="7989" ht="15" customHeight="1" s="37">
      <c r="A7989" t="n">
        <v>23</v>
      </c>
      <c r="B7989" s="10" t="inlineStr">
        <is>
          <t>平日</t>
        </is>
      </c>
      <c r="C7989" s="10" t="inlineStr">
        <is>
          <t>北野線</t>
        </is>
      </c>
      <c r="D7989" s="10" t="inlineStr">
        <is>
          <t>上り</t>
        </is>
      </c>
      <c r="E7989" t="inlineStr">
        <is>
          <t>1654</t>
        </is>
      </c>
      <c r="F7989" t="inlineStr">
        <is>
          <t>0354</t>
        </is>
      </c>
      <c r="G7989" s="10" t="inlineStr">
        <is>
          <t>常盤</t>
        </is>
      </c>
      <c r="H7989" s="10" t="inlineStr">
        <is>
          <t>発</t>
        </is>
      </c>
      <c r="J7989" s="10" t="inlineStr">
        <is>
          <t>営業</t>
        </is>
      </c>
      <c r="L7989" t="inlineStr">
        <is>
          <t>16:19:00</t>
        </is>
      </c>
      <c r="M7989" t="inlineStr">
        <is>
          <t>16:19:20</t>
        </is>
      </c>
    </row>
    <row r="7990" ht="15" customHeight="1" s="37">
      <c r="A7990" t="n">
        <v>23</v>
      </c>
      <c r="B7990" s="10" t="inlineStr">
        <is>
          <t>平日</t>
        </is>
      </c>
      <c r="C7990" s="10" t="inlineStr">
        <is>
          <t>北野線</t>
        </is>
      </c>
      <c r="D7990" s="10" t="inlineStr">
        <is>
          <t>上り</t>
        </is>
      </c>
      <c r="E7990" t="inlineStr">
        <is>
          <t>1654</t>
        </is>
      </c>
      <c r="F7990" t="inlineStr">
        <is>
          <t>0354</t>
        </is>
      </c>
      <c r="G7990" s="10" t="inlineStr">
        <is>
          <t>鳴滝</t>
        </is>
      </c>
      <c r="H7990" s="10" t="inlineStr">
        <is>
          <t>発</t>
        </is>
      </c>
      <c r="J7990" s="10" t="inlineStr">
        <is>
          <t>営業</t>
        </is>
      </c>
      <c r="L7990" t="inlineStr">
        <is>
          <t>16:20:20</t>
        </is>
      </c>
      <c r="M7990" t="inlineStr">
        <is>
          <t>16:20:40</t>
        </is>
      </c>
    </row>
    <row r="7991" ht="15" customHeight="1" s="37">
      <c r="A7991" t="n">
        <v>23</v>
      </c>
      <c r="B7991" s="10" t="inlineStr">
        <is>
          <t>平日</t>
        </is>
      </c>
      <c r="C7991" s="10" t="inlineStr">
        <is>
          <t>北野線</t>
        </is>
      </c>
      <c r="D7991" s="10" t="inlineStr">
        <is>
          <t>上り</t>
        </is>
      </c>
      <c r="E7991" t="inlineStr">
        <is>
          <t>1654</t>
        </is>
      </c>
      <c r="F7991" t="inlineStr">
        <is>
          <t>0354</t>
        </is>
      </c>
      <c r="G7991" s="10" t="inlineStr">
        <is>
          <t>宇多野</t>
        </is>
      </c>
      <c r="H7991" s="10" t="inlineStr">
        <is>
          <t>発</t>
        </is>
      </c>
      <c r="J7991" s="10" t="inlineStr">
        <is>
          <t>営業</t>
        </is>
      </c>
      <c r="L7991" t="inlineStr">
        <is>
          <t>16:22:00</t>
        </is>
      </c>
      <c r="M7991" t="inlineStr">
        <is>
          <t>16:22:15</t>
        </is>
      </c>
    </row>
    <row r="7992" ht="15" customHeight="1" s="37">
      <c r="A7992" t="n">
        <v>23</v>
      </c>
      <c r="B7992" s="10" t="inlineStr">
        <is>
          <t>平日</t>
        </is>
      </c>
      <c r="C7992" s="10" t="inlineStr">
        <is>
          <t>北野線</t>
        </is>
      </c>
      <c r="D7992" s="10" t="inlineStr">
        <is>
          <t>上り</t>
        </is>
      </c>
      <c r="E7992" t="inlineStr">
        <is>
          <t>1654</t>
        </is>
      </c>
      <c r="F7992" t="inlineStr">
        <is>
          <t>0354</t>
        </is>
      </c>
      <c r="G7992" s="10" t="inlineStr">
        <is>
          <t>御室仁和寺</t>
        </is>
      </c>
      <c r="H7992" s="10" t="inlineStr">
        <is>
          <t>発</t>
        </is>
      </c>
      <c r="J7992" s="10" t="inlineStr">
        <is>
          <t>営業</t>
        </is>
      </c>
      <c r="L7992" t="inlineStr">
        <is>
          <t>16:23:15</t>
        </is>
      </c>
      <c r="M7992" t="inlineStr">
        <is>
          <t>16:23:35</t>
        </is>
      </c>
    </row>
    <row r="7993" ht="15" customHeight="1" s="37">
      <c r="A7993" t="n">
        <v>23</v>
      </c>
      <c r="B7993" s="10" t="inlineStr">
        <is>
          <t>平日</t>
        </is>
      </c>
      <c r="C7993" s="10" t="inlineStr">
        <is>
          <t>北野線</t>
        </is>
      </c>
      <c r="D7993" s="10" t="inlineStr">
        <is>
          <t>上り</t>
        </is>
      </c>
      <c r="E7993" t="inlineStr">
        <is>
          <t>1654</t>
        </is>
      </c>
      <c r="F7993" t="inlineStr">
        <is>
          <t>0354</t>
        </is>
      </c>
      <c r="G7993" s="10" t="inlineStr">
        <is>
          <t>妙心寺</t>
        </is>
      </c>
      <c r="H7993" s="10" t="inlineStr">
        <is>
          <t>発</t>
        </is>
      </c>
      <c r="J7993" s="10" t="inlineStr">
        <is>
          <t>営業</t>
        </is>
      </c>
      <c r="L7993" t="inlineStr">
        <is>
          <t>16:24:35</t>
        </is>
      </c>
      <c r="M7993" t="inlineStr">
        <is>
          <t>16:24:50</t>
        </is>
      </c>
    </row>
    <row r="7994" ht="15" customHeight="1" s="37">
      <c r="A7994" t="n">
        <v>23</v>
      </c>
      <c r="B7994" s="10" t="inlineStr">
        <is>
          <t>平日</t>
        </is>
      </c>
      <c r="C7994" s="10" t="inlineStr">
        <is>
          <t>北野線</t>
        </is>
      </c>
      <c r="D7994" s="10" t="inlineStr">
        <is>
          <t>上り</t>
        </is>
      </c>
      <c r="E7994" t="inlineStr">
        <is>
          <t>1654</t>
        </is>
      </c>
      <c r="F7994" t="inlineStr">
        <is>
          <t>0354</t>
        </is>
      </c>
      <c r="G7994" s="10" t="inlineStr">
        <is>
          <t>龍安寺</t>
        </is>
      </c>
      <c r="H7994" s="10" t="inlineStr">
        <is>
          <t>発</t>
        </is>
      </c>
      <c r="J7994" s="10" t="inlineStr">
        <is>
          <t>営業</t>
        </is>
      </c>
      <c r="L7994" t="inlineStr">
        <is>
          <t>16:25:45</t>
        </is>
      </c>
      <c r="M7994" t="inlineStr">
        <is>
          <t>16:25:55</t>
        </is>
      </c>
    </row>
    <row r="7995" ht="15" customHeight="1" s="37">
      <c r="A7995" t="n">
        <v>23</v>
      </c>
      <c r="B7995" s="10" t="inlineStr">
        <is>
          <t>平日</t>
        </is>
      </c>
      <c r="C7995" s="10" t="inlineStr">
        <is>
          <t>北野線</t>
        </is>
      </c>
      <c r="D7995" s="10" t="inlineStr">
        <is>
          <t>上り</t>
        </is>
      </c>
      <c r="E7995" t="inlineStr">
        <is>
          <t>1654</t>
        </is>
      </c>
      <c r="F7995" t="inlineStr">
        <is>
          <t>0354</t>
        </is>
      </c>
      <c r="G7995" s="10" t="inlineStr">
        <is>
          <t>等持院</t>
        </is>
      </c>
      <c r="H7995" s="10" t="inlineStr">
        <is>
          <t>発</t>
        </is>
      </c>
      <c r="J7995" s="10" t="inlineStr">
        <is>
          <t>営業</t>
        </is>
      </c>
      <c r="L7995" t="inlineStr">
        <is>
          <t>16:26:35</t>
        </is>
      </c>
      <c r="M7995" t="inlineStr">
        <is>
          <t>16:26:55</t>
        </is>
      </c>
    </row>
    <row r="7996" ht="15" customHeight="1" s="37">
      <c r="A7996" t="n">
        <v>23</v>
      </c>
      <c r="B7996" s="10" t="inlineStr">
        <is>
          <t>平日</t>
        </is>
      </c>
      <c r="C7996" s="10" t="inlineStr">
        <is>
          <t>北野線</t>
        </is>
      </c>
      <c r="D7996" s="10" t="inlineStr">
        <is>
          <t>上り</t>
        </is>
      </c>
      <c r="E7996" t="inlineStr">
        <is>
          <t>1654</t>
        </is>
      </c>
      <c r="F7996" t="inlineStr">
        <is>
          <t>0354</t>
        </is>
      </c>
      <c r="G7996" s="10" t="inlineStr">
        <is>
          <t>北野白梅町</t>
        </is>
      </c>
      <c r="H7996" s="10" t="inlineStr">
        <is>
          <t>着</t>
        </is>
      </c>
      <c r="J7996" s="10" t="inlineStr">
        <is>
          <t>営業</t>
        </is>
      </c>
      <c r="L7996" t="inlineStr">
        <is>
          <t>16:28:15</t>
        </is>
      </c>
      <c r="Q7996" t="inlineStr">
        <is>
          <t>1</t>
        </is>
      </c>
    </row>
    <row r="7997" ht="15" customHeight="1" s="37">
      <c r="A7997" t="n">
        <v>23</v>
      </c>
      <c r="B7997" s="10" t="inlineStr">
        <is>
          <t>平日</t>
        </is>
      </c>
      <c r="C7997" s="10" t="inlineStr">
        <is>
          <t>北野線</t>
        </is>
      </c>
      <c r="D7997" s="10" t="inlineStr">
        <is>
          <t>下り</t>
        </is>
      </c>
      <c r="E7997" t="inlineStr">
        <is>
          <t>1657</t>
        </is>
      </c>
      <c r="F7997" t="inlineStr">
        <is>
          <t>0453</t>
        </is>
      </c>
      <c r="G7997" s="10" t="inlineStr">
        <is>
          <t>北野白梅町</t>
        </is>
      </c>
      <c r="H7997" s="10" t="inlineStr">
        <is>
          <t>発</t>
        </is>
      </c>
      <c r="J7997" s="10" t="inlineStr">
        <is>
          <t>営業</t>
        </is>
      </c>
      <c r="M7997" t="inlineStr">
        <is>
          <t>16:33:00</t>
        </is>
      </c>
      <c r="Q7997" t="inlineStr">
        <is>
          <t>1</t>
        </is>
      </c>
    </row>
    <row r="7998" ht="15" customHeight="1" s="37">
      <c r="A7998" t="n">
        <v>23</v>
      </c>
      <c r="B7998" s="10" t="inlineStr">
        <is>
          <t>平日</t>
        </is>
      </c>
      <c r="C7998" s="10" t="inlineStr">
        <is>
          <t>北野線</t>
        </is>
      </c>
      <c r="D7998" s="10" t="inlineStr">
        <is>
          <t>下り</t>
        </is>
      </c>
      <c r="E7998" t="inlineStr">
        <is>
          <t>1657</t>
        </is>
      </c>
      <c r="F7998" t="inlineStr">
        <is>
          <t>0453</t>
        </is>
      </c>
      <c r="G7998" s="10" t="inlineStr">
        <is>
          <t>等持院</t>
        </is>
      </c>
      <c r="H7998" s="10" t="inlineStr">
        <is>
          <t>発</t>
        </is>
      </c>
      <c r="J7998" s="10" t="inlineStr">
        <is>
          <t>営業</t>
        </is>
      </c>
      <c r="L7998" t="inlineStr">
        <is>
          <t>16:34:25</t>
        </is>
      </c>
      <c r="M7998" t="inlineStr">
        <is>
          <t>16:34:35</t>
        </is>
      </c>
    </row>
    <row r="7999" ht="15" customHeight="1" s="37">
      <c r="A7999" t="n">
        <v>23</v>
      </c>
      <c r="B7999" s="10" t="inlineStr">
        <is>
          <t>平日</t>
        </is>
      </c>
      <c r="C7999" s="10" t="inlineStr">
        <is>
          <t>北野線</t>
        </is>
      </c>
      <c r="D7999" s="10" t="inlineStr">
        <is>
          <t>下り</t>
        </is>
      </c>
      <c r="E7999" t="inlineStr">
        <is>
          <t>1657</t>
        </is>
      </c>
      <c r="F7999" t="inlineStr">
        <is>
          <t>0453</t>
        </is>
      </c>
      <c r="G7999" s="10" t="inlineStr">
        <is>
          <t>龍安寺</t>
        </is>
      </c>
      <c r="H7999" s="10" t="inlineStr">
        <is>
          <t>発</t>
        </is>
      </c>
      <c r="J7999" s="10" t="inlineStr">
        <is>
          <t>営業</t>
        </is>
      </c>
      <c r="L7999" t="inlineStr">
        <is>
          <t>16:35:25</t>
        </is>
      </c>
      <c r="M7999" t="inlineStr">
        <is>
          <t>16:35:50</t>
        </is>
      </c>
    </row>
    <row r="8000" ht="15" customHeight="1" s="37">
      <c r="A8000" t="n">
        <v>23</v>
      </c>
      <c r="B8000" s="10" t="inlineStr">
        <is>
          <t>平日</t>
        </is>
      </c>
      <c r="C8000" s="10" t="inlineStr">
        <is>
          <t>北野線</t>
        </is>
      </c>
      <c r="D8000" s="10" t="inlineStr">
        <is>
          <t>下り</t>
        </is>
      </c>
      <c r="E8000" t="inlineStr">
        <is>
          <t>1657</t>
        </is>
      </c>
      <c r="F8000" t="inlineStr">
        <is>
          <t>0453</t>
        </is>
      </c>
      <c r="G8000" s="10" t="inlineStr">
        <is>
          <t>妙心寺</t>
        </is>
      </c>
      <c r="H8000" s="10" t="inlineStr">
        <is>
          <t>発</t>
        </is>
      </c>
      <c r="J8000" s="10" t="inlineStr">
        <is>
          <t>営業</t>
        </is>
      </c>
      <c r="L8000" t="inlineStr">
        <is>
          <t>16:36:40</t>
        </is>
      </c>
      <c r="M8000" t="inlineStr">
        <is>
          <t>16:36:50</t>
        </is>
      </c>
    </row>
    <row r="8001" ht="15" customHeight="1" s="37">
      <c r="A8001" t="n">
        <v>23</v>
      </c>
      <c r="B8001" s="10" t="inlineStr">
        <is>
          <t>平日</t>
        </is>
      </c>
      <c r="C8001" s="10" t="inlineStr">
        <is>
          <t>北野線</t>
        </is>
      </c>
      <c r="D8001" s="10" t="inlineStr">
        <is>
          <t>下り</t>
        </is>
      </c>
      <c r="E8001" t="inlineStr">
        <is>
          <t>1657</t>
        </is>
      </c>
      <c r="F8001" t="inlineStr">
        <is>
          <t>0453</t>
        </is>
      </c>
      <c r="G8001" s="10" t="inlineStr">
        <is>
          <t>御室仁和寺</t>
        </is>
      </c>
      <c r="H8001" s="10" t="inlineStr">
        <is>
          <t>発</t>
        </is>
      </c>
      <c r="J8001" s="10" t="inlineStr">
        <is>
          <t>営業</t>
        </is>
      </c>
      <c r="L8001" t="inlineStr">
        <is>
          <t>16:37:50</t>
        </is>
      </c>
      <c r="M8001" t="inlineStr">
        <is>
          <t>16:38:05</t>
        </is>
      </c>
    </row>
    <row r="8002" ht="15" customHeight="1" s="37">
      <c r="A8002" t="n">
        <v>23</v>
      </c>
      <c r="B8002" s="10" t="inlineStr">
        <is>
          <t>平日</t>
        </is>
      </c>
      <c r="C8002" s="10" t="inlineStr">
        <is>
          <t>北野線</t>
        </is>
      </c>
      <c r="D8002" s="10" t="inlineStr">
        <is>
          <t>下り</t>
        </is>
      </c>
      <c r="E8002" t="inlineStr">
        <is>
          <t>1657</t>
        </is>
      </c>
      <c r="F8002" t="inlineStr">
        <is>
          <t>0453</t>
        </is>
      </c>
      <c r="G8002" s="10" t="inlineStr">
        <is>
          <t>宇多野</t>
        </is>
      </c>
      <c r="H8002" s="10" t="inlineStr">
        <is>
          <t>発</t>
        </is>
      </c>
      <c r="J8002" s="10" t="inlineStr">
        <is>
          <t>営業</t>
        </is>
      </c>
      <c r="L8002" t="inlineStr">
        <is>
          <t>16:39:05</t>
        </is>
      </c>
      <c r="M8002" t="inlineStr">
        <is>
          <t>16:39:15</t>
        </is>
      </c>
    </row>
    <row r="8003" ht="15" customHeight="1" s="37">
      <c r="A8003" t="n">
        <v>23</v>
      </c>
      <c r="B8003" s="10" t="inlineStr">
        <is>
          <t>平日</t>
        </is>
      </c>
      <c r="C8003" s="10" t="inlineStr">
        <is>
          <t>北野線</t>
        </is>
      </c>
      <c r="D8003" s="10" t="inlineStr">
        <is>
          <t>下り</t>
        </is>
      </c>
      <c r="E8003" t="inlineStr">
        <is>
          <t>1657</t>
        </is>
      </c>
      <c r="F8003" t="inlineStr">
        <is>
          <t>0453</t>
        </is>
      </c>
      <c r="G8003" s="10" t="inlineStr">
        <is>
          <t>鳴滝</t>
        </is>
      </c>
      <c r="H8003" s="10" t="inlineStr">
        <is>
          <t>発</t>
        </is>
      </c>
      <c r="J8003" s="10" t="inlineStr">
        <is>
          <t>営業</t>
        </is>
      </c>
      <c r="L8003" t="inlineStr">
        <is>
          <t>16:40:35</t>
        </is>
      </c>
      <c r="M8003" t="inlineStr">
        <is>
          <t>16:40:45</t>
        </is>
      </c>
    </row>
    <row r="8004" ht="15" customHeight="1" s="37">
      <c r="A8004" t="n">
        <v>23</v>
      </c>
      <c r="B8004" s="10" t="inlineStr">
        <is>
          <t>平日</t>
        </is>
      </c>
      <c r="C8004" s="10" t="inlineStr">
        <is>
          <t>北野線</t>
        </is>
      </c>
      <c r="D8004" s="10" t="inlineStr">
        <is>
          <t>下り</t>
        </is>
      </c>
      <c r="E8004" t="inlineStr">
        <is>
          <t>1657</t>
        </is>
      </c>
      <c r="F8004" t="inlineStr">
        <is>
          <t>0453</t>
        </is>
      </c>
      <c r="G8004" s="10" t="inlineStr">
        <is>
          <t>常盤</t>
        </is>
      </c>
      <c r="H8004" s="10" t="inlineStr">
        <is>
          <t>発</t>
        </is>
      </c>
      <c r="J8004" s="10" t="inlineStr">
        <is>
          <t>営業</t>
        </is>
      </c>
      <c r="L8004" t="inlineStr">
        <is>
          <t>16:41:35</t>
        </is>
      </c>
      <c r="M8004" t="inlineStr">
        <is>
          <t>16:41:55</t>
        </is>
      </c>
    </row>
    <row r="8005" ht="15" customHeight="1" s="37">
      <c r="A8005" t="n">
        <v>23</v>
      </c>
      <c r="B8005" s="10" t="inlineStr">
        <is>
          <t>平日</t>
        </is>
      </c>
      <c r="C8005" s="10" t="inlineStr">
        <is>
          <t>北野線</t>
        </is>
      </c>
      <c r="D8005" s="10" t="inlineStr">
        <is>
          <t>下り</t>
        </is>
      </c>
      <c r="E8005" t="inlineStr">
        <is>
          <t>1657</t>
        </is>
      </c>
      <c r="F8005" t="inlineStr">
        <is>
          <t>0453</t>
        </is>
      </c>
      <c r="G8005" s="10" t="inlineStr">
        <is>
          <t>撮影所前</t>
        </is>
      </c>
      <c r="H8005" s="10" t="inlineStr">
        <is>
          <t>発</t>
        </is>
      </c>
      <c r="J8005" s="10" t="inlineStr">
        <is>
          <t>営業</t>
        </is>
      </c>
      <c r="L8005" t="inlineStr">
        <is>
          <t>16:43:15</t>
        </is>
      </c>
      <c r="M8005" t="inlineStr">
        <is>
          <t>16:43:30</t>
        </is>
      </c>
    </row>
    <row r="8006" ht="15" customHeight="1" s="37">
      <c r="A8006" t="n">
        <v>23</v>
      </c>
      <c r="B8006" s="10" t="inlineStr">
        <is>
          <t>平日</t>
        </is>
      </c>
      <c r="C8006" s="10" t="inlineStr">
        <is>
          <t>北野線</t>
        </is>
      </c>
      <c r="D8006" s="10" t="inlineStr">
        <is>
          <t>下り</t>
        </is>
      </c>
      <c r="E8006" t="inlineStr">
        <is>
          <t>1657</t>
        </is>
      </c>
      <c r="F8006" t="inlineStr">
        <is>
          <t>0453</t>
        </is>
      </c>
      <c r="G8006" s="10" t="inlineStr">
        <is>
          <t>帷子ノ辻</t>
        </is>
      </c>
      <c r="H8006" s="10" t="inlineStr">
        <is>
          <t>着</t>
        </is>
      </c>
      <c r="J8006" s="10" t="inlineStr">
        <is>
          <t>営業</t>
        </is>
      </c>
      <c r="L8006" t="inlineStr">
        <is>
          <t>16:44:25</t>
        </is>
      </c>
      <c r="Q8006" t="inlineStr">
        <is>
          <t>3</t>
        </is>
      </c>
    </row>
    <row r="8007" ht="15" customHeight="1" s="37">
      <c r="A8007" t="n">
        <v>23</v>
      </c>
      <c r="B8007" s="10" t="inlineStr">
        <is>
          <t>平日</t>
        </is>
      </c>
      <c r="C8007" s="10" t="inlineStr">
        <is>
          <t>北野線</t>
        </is>
      </c>
      <c r="D8007" s="10" t="inlineStr">
        <is>
          <t>上り</t>
        </is>
      </c>
      <c r="E8007" t="inlineStr">
        <is>
          <t>1662</t>
        </is>
      </c>
      <c r="F8007" t="inlineStr">
        <is>
          <t>0354</t>
        </is>
      </c>
      <c r="G8007" s="10" t="inlineStr">
        <is>
          <t>帷子ノ辻</t>
        </is>
      </c>
      <c r="H8007" s="10" t="inlineStr">
        <is>
          <t>発</t>
        </is>
      </c>
      <c r="J8007" s="10" t="inlineStr">
        <is>
          <t>営業</t>
        </is>
      </c>
      <c r="M8007" t="inlineStr">
        <is>
          <t>16:56:25</t>
        </is>
      </c>
      <c r="Q8007" t="inlineStr">
        <is>
          <t>3</t>
        </is>
      </c>
      <c r="U8007" t="inlineStr">
        <is>
          <t>→帷子ノ辻 休憩(17:24〜18:26)</t>
        </is>
      </c>
    </row>
    <row r="8008" ht="15" customHeight="1" s="37">
      <c r="A8008" t="n">
        <v>23</v>
      </c>
      <c r="B8008" s="10" t="inlineStr">
        <is>
          <t>平日</t>
        </is>
      </c>
      <c r="C8008" s="10" t="inlineStr">
        <is>
          <t>北野線</t>
        </is>
      </c>
      <c r="D8008" s="10" t="inlineStr">
        <is>
          <t>上り</t>
        </is>
      </c>
      <c r="E8008" t="inlineStr">
        <is>
          <t>1662</t>
        </is>
      </c>
      <c r="F8008" t="inlineStr">
        <is>
          <t>0354</t>
        </is>
      </c>
      <c r="G8008" s="10" t="inlineStr">
        <is>
          <t>撮影所前</t>
        </is>
      </c>
      <c r="H8008" s="10" t="inlineStr">
        <is>
          <t>発</t>
        </is>
      </c>
      <c r="J8008" s="10" t="inlineStr">
        <is>
          <t>営業</t>
        </is>
      </c>
      <c r="L8008" t="inlineStr">
        <is>
          <t>16:57:25</t>
        </is>
      </c>
      <c r="M8008" t="inlineStr">
        <is>
          <t>16:57:40</t>
        </is>
      </c>
      <c r="U8008" t="inlineStr">
        <is>
          <t>→帷子ノ辻 休憩(17:24〜18:26)</t>
        </is>
      </c>
    </row>
    <row r="8009" ht="15" customHeight="1" s="37">
      <c r="A8009" t="n">
        <v>23</v>
      </c>
      <c r="B8009" s="10" t="inlineStr">
        <is>
          <t>平日</t>
        </is>
      </c>
      <c r="C8009" s="10" t="inlineStr">
        <is>
          <t>北野線</t>
        </is>
      </c>
      <c r="D8009" s="10" t="inlineStr">
        <is>
          <t>上り</t>
        </is>
      </c>
      <c r="E8009" t="inlineStr">
        <is>
          <t>1662</t>
        </is>
      </c>
      <c r="F8009" t="inlineStr">
        <is>
          <t>0354</t>
        </is>
      </c>
      <c r="G8009" s="10" t="inlineStr">
        <is>
          <t>常盤</t>
        </is>
      </c>
      <c r="H8009" s="10" t="inlineStr">
        <is>
          <t>発</t>
        </is>
      </c>
      <c r="J8009" s="10" t="inlineStr">
        <is>
          <t>営業</t>
        </is>
      </c>
      <c r="L8009" t="inlineStr">
        <is>
          <t>16:59:00</t>
        </is>
      </c>
      <c r="M8009" t="inlineStr">
        <is>
          <t>16:59:20</t>
        </is>
      </c>
      <c r="U8009" t="inlineStr">
        <is>
          <t>→帷子ノ辻 休憩(17:24〜18:26)</t>
        </is>
      </c>
    </row>
    <row r="8010" ht="15" customHeight="1" s="37">
      <c r="A8010" t="n">
        <v>23</v>
      </c>
      <c r="B8010" s="10" t="inlineStr">
        <is>
          <t>平日</t>
        </is>
      </c>
      <c r="C8010" s="10" t="inlineStr">
        <is>
          <t>北野線</t>
        </is>
      </c>
      <c r="D8010" s="10" t="inlineStr">
        <is>
          <t>上り</t>
        </is>
      </c>
      <c r="E8010" t="inlineStr">
        <is>
          <t>1662</t>
        </is>
      </c>
      <c r="F8010" t="inlineStr">
        <is>
          <t>0354</t>
        </is>
      </c>
      <c r="G8010" s="10" t="inlineStr">
        <is>
          <t>鳴滝</t>
        </is>
      </c>
      <c r="H8010" s="10" t="inlineStr">
        <is>
          <t>発</t>
        </is>
      </c>
      <c r="J8010" s="10" t="inlineStr">
        <is>
          <t>営業</t>
        </is>
      </c>
      <c r="L8010" t="inlineStr">
        <is>
          <t>17:00:20</t>
        </is>
      </c>
      <c r="M8010" t="inlineStr">
        <is>
          <t>17:00:40</t>
        </is>
      </c>
      <c r="U8010" t="inlineStr">
        <is>
          <t>→帷子ノ辻 休憩(17:24〜18:26)</t>
        </is>
      </c>
    </row>
    <row r="8011" ht="15" customHeight="1" s="37">
      <c r="A8011" t="n">
        <v>23</v>
      </c>
      <c r="B8011" s="10" t="inlineStr">
        <is>
          <t>平日</t>
        </is>
      </c>
      <c r="C8011" s="10" t="inlineStr">
        <is>
          <t>北野線</t>
        </is>
      </c>
      <c r="D8011" s="10" t="inlineStr">
        <is>
          <t>上り</t>
        </is>
      </c>
      <c r="E8011" t="inlineStr">
        <is>
          <t>1662</t>
        </is>
      </c>
      <c r="F8011" t="inlineStr">
        <is>
          <t>0354</t>
        </is>
      </c>
      <c r="G8011" s="10" t="inlineStr">
        <is>
          <t>宇多野</t>
        </is>
      </c>
      <c r="H8011" s="10" t="inlineStr">
        <is>
          <t>発</t>
        </is>
      </c>
      <c r="J8011" s="10" t="inlineStr">
        <is>
          <t>営業</t>
        </is>
      </c>
      <c r="L8011" t="inlineStr">
        <is>
          <t>17:02:00</t>
        </is>
      </c>
      <c r="M8011" t="inlineStr">
        <is>
          <t>17:02:15</t>
        </is>
      </c>
      <c r="U8011" t="inlineStr">
        <is>
          <t>→帷子ノ辻 休憩(17:24〜18:26)</t>
        </is>
      </c>
    </row>
    <row r="8012" ht="15" customHeight="1" s="37">
      <c r="A8012" t="n">
        <v>23</v>
      </c>
      <c r="B8012" s="10" t="inlineStr">
        <is>
          <t>平日</t>
        </is>
      </c>
      <c r="C8012" s="10" t="inlineStr">
        <is>
          <t>北野線</t>
        </is>
      </c>
      <c r="D8012" s="10" t="inlineStr">
        <is>
          <t>上り</t>
        </is>
      </c>
      <c r="E8012" t="inlineStr">
        <is>
          <t>1662</t>
        </is>
      </c>
      <c r="F8012" t="inlineStr">
        <is>
          <t>0354</t>
        </is>
      </c>
      <c r="G8012" s="10" t="inlineStr">
        <is>
          <t>御室仁和寺</t>
        </is>
      </c>
      <c r="H8012" s="10" t="inlineStr">
        <is>
          <t>発</t>
        </is>
      </c>
      <c r="J8012" s="10" t="inlineStr">
        <is>
          <t>営業</t>
        </is>
      </c>
      <c r="L8012" t="inlineStr">
        <is>
          <t>17:03:15</t>
        </is>
      </c>
      <c r="M8012" t="inlineStr">
        <is>
          <t>17:03:35</t>
        </is>
      </c>
      <c r="U8012" t="inlineStr">
        <is>
          <t>→帷子ノ辻 休憩(17:24〜18:26)</t>
        </is>
      </c>
    </row>
    <row r="8013" ht="15" customHeight="1" s="37">
      <c r="A8013" t="n">
        <v>23</v>
      </c>
      <c r="B8013" s="10" t="inlineStr">
        <is>
          <t>平日</t>
        </is>
      </c>
      <c r="C8013" s="10" t="inlineStr">
        <is>
          <t>北野線</t>
        </is>
      </c>
      <c r="D8013" s="10" t="inlineStr">
        <is>
          <t>上り</t>
        </is>
      </c>
      <c r="E8013" t="inlineStr">
        <is>
          <t>1662</t>
        </is>
      </c>
      <c r="F8013" t="inlineStr">
        <is>
          <t>0354</t>
        </is>
      </c>
      <c r="G8013" s="10" t="inlineStr">
        <is>
          <t>妙心寺</t>
        </is>
      </c>
      <c r="H8013" s="10" t="inlineStr">
        <is>
          <t>発</t>
        </is>
      </c>
      <c r="J8013" s="10" t="inlineStr">
        <is>
          <t>営業</t>
        </is>
      </c>
      <c r="L8013" t="inlineStr">
        <is>
          <t>17:04:35</t>
        </is>
      </c>
      <c r="M8013" t="inlineStr">
        <is>
          <t>17:04:50</t>
        </is>
      </c>
      <c r="U8013" t="inlineStr">
        <is>
          <t>→帷子ノ辻 休憩(17:24〜18:26)</t>
        </is>
      </c>
    </row>
    <row r="8014" ht="15" customHeight="1" s="37">
      <c r="A8014" t="n">
        <v>23</v>
      </c>
      <c r="B8014" s="10" t="inlineStr">
        <is>
          <t>平日</t>
        </is>
      </c>
      <c r="C8014" s="10" t="inlineStr">
        <is>
          <t>北野線</t>
        </is>
      </c>
      <c r="D8014" s="10" t="inlineStr">
        <is>
          <t>上り</t>
        </is>
      </c>
      <c r="E8014" t="inlineStr">
        <is>
          <t>1662</t>
        </is>
      </c>
      <c r="F8014" t="inlineStr">
        <is>
          <t>0354</t>
        </is>
      </c>
      <c r="G8014" s="10" t="inlineStr">
        <is>
          <t>龍安寺</t>
        </is>
      </c>
      <c r="H8014" s="10" t="inlineStr">
        <is>
          <t>発</t>
        </is>
      </c>
      <c r="J8014" s="10" t="inlineStr">
        <is>
          <t>営業</t>
        </is>
      </c>
      <c r="L8014" t="inlineStr">
        <is>
          <t>17:05:45</t>
        </is>
      </c>
      <c r="M8014" t="inlineStr">
        <is>
          <t>17:05:55</t>
        </is>
      </c>
      <c r="U8014" t="inlineStr">
        <is>
          <t>→帷子ノ辻 休憩(17:24〜18:26)</t>
        </is>
      </c>
    </row>
    <row r="8015" ht="16.5" customHeight="1" s="37">
      <c r="A8015" t="n">
        <v>23</v>
      </c>
      <c r="B8015" s="10" t="inlineStr">
        <is>
          <t>平日</t>
        </is>
      </c>
      <c r="C8015" s="10" t="inlineStr">
        <is>
          <t>北野線</t>
        </is>
      </c>
      <c r="D8015" s="10" t="inlineStr">
        <is>
          <t>上り</t>
        </is>
      </c>
      <c r="E8015" t="inlineStr">
        <is>
          <t>1662</t>
        </is>
      </c>
      <c r="F8015" t="inlineStr">
        <is>
          <t>0354</t>
        </is>
      </c>
      <c r="G8015" s="10" t="inlineStr">
        <is>
          <t>等持院</t>
        </is>
      </c>
      <c r="H8015" s="10" t="inlineStr">
        <is>
          <t>発</t>
        </is>
      </c>
      <c r="J8015" s="10" t="inlineStr">
        <is>
          <t>営業</t>
        </is>
      </c>
      <c r="L8015" t="inlineStr">
        <is>
          <t>17:06:35</t>
        </is>
      </c>
      <c r="M8015" t="inlineStr">
        <is>
          <t>17:06:55</t>
        </is>
      </c>
      <c r="U8015" t="inlineStr">
        <is>
          <t>→帷子ノ辻 休憩(17:24〜18:26)</t>
        </is>
      </c>
    </row>
    <row r="8016" ht="16.5" customHeight="1" s="37">
      <c r="A8016" t="n">
        <v>23</v>
      </c>
      <c r="B8016" s="10" t="inlineStr">
        <is>
          <t>平日</t>
        </is>
      </c>
      <c r="C8016" s="10" t="inlineStr">
        <is>
          <t>北野線</t>
        </is>
      </c>
      <c r="D8016" s="10" t="inlineStr">
        <is>
          <t>上り</t>
        </is>
      </c>
      <c r="E8016" t="inlineStr">
        <is>
          <t>1662</t>
        </is>
      </c>
      <c r="F8016" t="inlineStr">
        <is>
          <t>0354</t>
        </is>
      </c>
      <c r="G8016" s="10" t="inlineStr">
        <is>
          <t>北野白梅町</t>
        </is>
      </c>
      <c r="H8016" s="10" t="inlineStr">
        <is>
          <t>着</t>
        </is>
      </c>
      <c r="J8016" s="10" t="inlineStr">
        <is>
          <t>営業</t>
        </is>
      </c>
      <c r="L8016" t="inlineStr">
        <is>
          <t>17:08:15</t>
        </is>
      </c>
      <c r="Q8016" t="inlineStr">
        <is>
          <t>1</t>
        </is>
      </c>
      <c r="U8016" t="inlineStr">
        <is>
          <t>→帷子ノ辻 休憩(17:24〜18:26)</t>
        </is>
      </c>
    </row>
    <row r="8017" ht="16.5" customHeight="1" s="37">
      <c r="A8017" t="n">
        <v>23</v>
      </c>
      <c r="B8017" s="10" t="inlineStr">
        <is>
          <t>平日</t>
        </is>
      </c>
      <c r="C8017" s="10" t="inlineStr">
        <is>
          <t>北野線</t>
        </is>
      </c>
      <c r="D8017" s="10" t="inlineStr">
        <is>
          <t>下り</t>
        </is>
      </c>
      <c r="E8017" t="inlineStr">
        <is>
          <t>1753</t>
        </is>
      </c>
      <c r="F8017" t="inlineStr">
        <is>
          <t>0453</t>
        </is>
      </c>
      <c r="G8017" s="10" t="inlineStr">
        <is>
          <t>北野白梅町</t>
        </is>
      </c>
      <c r="H8017" s="10" t="inlineStr">
        <is>
          <t>発</t>
        </is>
      </c>
      <c r="J8017" s="10" t="inlineStr">
        <is>
          <t>営業</t>
        </is>
      </c>
      <c r="M8017" t="inlineStr">
        <is>
          <t>17:13:00</t>
        </is>
      </c>
      <c r="Q8017" t="inlineStr">
        <is>
          <t>1</t>
        </is>
      </c>
      <c r="U8017" t="inlineStr">
        <is>
          <t>→帷子ノ辻 休憩(17:24〜18:26)</t>
        </is>
      </c>
    </row>
    <row r="8018" ht="16.5" customHeight="1" s="37">
      <c r="A8018" t="n">
        <v>23</v>
      </c>
      <c r="B8018" s="10" t="inlineStr">
        <is>
          <t>平日</t>
        </is>
      </c>
      <c r="C8018" s="10" t="inlineStr">
        <is>
          <t>北野線</t>
        </is>
      </c>
      <c r="D8018" s="10" t="inlineStr">
        <is>
          <t>下り</t>
        </is>
      </c>
      <c r="E8018" t="inlineStr">
        <is>
          <t>1753</t>
        </is>
      </c>
      <c r="F8018" t="inlineStr">
        <is>
          <t>0453</t>
        </is>
      </c>
      <c r="G8018" s="10" t="inlineStr">
        <is>
          <t>等持院</t>
        </is>
      </c>
      <c r="H8018" s="10" t="inlineStr">
        <is>
          <t>発</t>
        </is>
      </c>
      <c r="J8018" s="10" t="inlineStr">
        <is>
          <t>営業</t>
        </is>
      </c>
      <c r="L8018" t="inlineStr">
        <is>
          <t>17:14:25</t>
        </is>
      </c>
      <c r="M8018" t="inlineStr">
        <is>
          <t>17:14:35</t>
        </is>
      </c>
      <c r="U8018" t="inlineStr">
        <is>
          <t>→帷子ノ辻 休憩(17:24〜18:26)</t>
        </is>
      </c>
    </row>
    <row r="8019" ht="16.5" customHeight="1" s="37">
      <c r="A8019" t="n">
        <v>23</v>
      </c>
      <c r="B8019" s="10" t="inlineStr">
        <is>
          <t>平日</t>
        </is>
      </c>
      <c r="C8019" s="10" t="inlineStr">
        <is>
          <t>北野線</t>
        </is>
      </c>
      <c r="D8019" s="10" t="inlineStr">
        <is>
          <t>下り</t>
        </is>
      </c>
      <c r="E8019" t="inlineStr">
        <is>
          <t>1753</t>
        </is>
      </c>
      <c r="F8019" t="inlineStr">
        <is>
          <t>0453</t>
        </is>
      </c>
      <c r="G8019" s="10" t="inlineStr">
        <is>
          <t>龍安寺</t>
        </is>
      </c>
      <c r="H8019" s="10" t="inlineStr">
        <is>
          <t>発</t>
        </is>
      </c>
      <c r="J8019" s="10" t="inlineStr">
        <is>
          <t>営業</t>
        </is>
      </c>
      <c r="L8019" t="inlineStr">
        <is>
          <t>17:15:25</t>
        </is>
      </c>
      <c r="M8019" t="inlineStr">
        <is>
          <t>17:15:50</t>
        </is>
      </c>
      <c r="U8019" t="inlineStr">
        <is>
          <t>→帷子ノ辻 休憩(17:24〜18:26)</t>
        </is>
      </c>
    </row>
    <row r="8020" ht="16.5" customHeight="1" s="37">
      <c r="A8020" t="n">
        <v>23</v>
      </c>
      <c r="B8020" s="10" t="inlineStr">
        <is>
          <t>平日</t>
        </is>
      </c>
      <c r="C8020" s="10" t="inlineStr">
        <is>
          <t>北野線</t>
        </is>
      </c>
      <c r="D8020" s="10" t="inlineStr">
        <is>
          <t>下り</t>
        </is>
      </c>
      <c r="E8020" t="inlineStr">
        <is>
          <t>1753</t>
        </is>
      </c>
      <c r="F8020" t="inlineStr">
        <is>
          <t>0453</t>
        </is>
      </c>
      <c r="G8020" s="10" t="inlineStr">
        <is>
          <t>妙心寺</t>
        </is>
      </c>
      <c r="H8020" s="10" t="inlineStr">
        <is>
          <t>発</t>
        </is>
      </c>
      <c r="J8020" s="10" t="inlineStr">
        <is>
          <t>営業</t>
        </is>
      </c>
      <c r="L8020" t="inlineStr">
        <is>
          <t>17:16:40</t>
        </is>
      </c>
      <c r="M8020" t="inlineStr">
        <is>
          <t>17:16:50</t>
        </is>
      </c>
      <c r="U8020" t="inlineStr">
        <is>
          <t>→帷子ノ辻 休憩(17:24〜18:26)</t>
        </is>
      </c>
    </row>
    <row r="8021" ht="16.5" customHeight="1" s="37">
      <c r="A8021" t="n">
        <v>23</v>
      </c>
      <c r="B8021" s="10" t="inlineStr">
        <is>
          <t>平日</t>
        </is>
      </c>
      <c r="C8021" s="10" t="inlineStr">
        <is>
          <t>北野線</t>
        </is>
      </c>
      <c r="D8021" s="10" t="inlineStr">
        <is>
          <t>下り</t>
        </is>
      </c>
      <c r="E8021" t="inlineStr">
        <is>
          <t>1753</t>
        </is>
      </c>
      <c r="F8021" t="inlineStr">
        <is>
          <t>0453</t>
        </is>
      </c>
      <c r="G8021" s="10" t="inlineStr">
        <is>
          <t>御室仁和寺</t>
        </is>
      </c>
      <c r="H8021" s="10" t="inlineStr">
        <is>
          <t>発</t>
        </is>
      </c>
      <c r="J8021" s="10" t="inlineStr">
        <is>
          <t>営業</t>
        </is>
      </c>
      <c r="L8021" t="inlineStr">
        <is>
          <t>17:17:50</t>
        </is>
      </c>
      <c r="M8021" t="inlineStr">
        <is>
          <t>17:18:05</t>
        </is>
      </c>
      <c r="U8021" t="inlineStr">
        <is>
          <t>→帷子ノ辻 休憩(17:24〜18:26)</t>
        </is>
      </c>
    </row>
    <row r="8022" ht="16.5" customHeight="1" s="37">
      <c r="A8022" t="n">
        <v>23</v>
      </c>
      <c r="B8022" s="10" t="inlineStr">
        <is>
          <t>平日</t>
        </is>
      </c>
      <c r="C8022" s="10" t="inlineStr">
        <is>
          <t>北野線</t>
        </is>
      </c>
      <c r="D8022" s="10" t="inlineStr">
        <is>
          <t>下り</t>
        </is>
      </c>
      <c r="E8022" t="inlineStr">
        <is>
          <t>1753</t>
        </is>
      </c>
      <c r="F8022" t="inlineStr">
        <is>
          <t>0453</t>
        </is>
      </c>
      <c r="G8022" s="10" t="inlineStr">
        <is>
          <t>宇多野</t>
        </is>
      </c>
      <c r="H8022" s="10" t="inlineStr">
        <is>
          <t>発</t>
        </is>
      </c>
      <c r="J8022" s="10" t="inlineStr">
        <is>
          <t>営業</t>
        </is>
      </c>
      <c r="L8022" t="inlineStr">
        <is>
          <t>17:19:05</t>
        </is>
      </c>
      <c r="M8022" t="inlineStr">
        <is>
          <t>17:19:15</t>
        </is>
      </c>
      <c r="U8022" t="inlineStr">
        <is>
          <t>→帷子ノ辻 休憩(17:24〜18:26)</t>
        </is>
      </c>
    </row>
    <row r="8023" ht="16.5" customHeight="1" s="37">
      <c r="A8023" t="n">
        <v>23</v>
      </c>
      <c r="B8023" s="10" t="inlineStr">
        <is>
          <t>平日</t>
        </is>
      </c>
      <c r="C8023" s="10" t="inlineStr">
        <is>
          <t>北野線</t>
        </is>
      </c>
      <c r="D8023" s="10" t="inlineStr">
        <is>
          <t>下り</t>
        </is>
      </c>
      <c r="E8023" t="inlineStr">
        <is>
          <t>1753</t>
        </is>
      </c>
      <c r="F8023" t="inlineStr">
        <is>
          <t>0453</t>
        </is>
      </c>
      <c r="G8023" s="10" t="inlineStr">
        <is>
          <t>鳴滝</t>
        </is>
      </c>
      <c r="H8023" s="10" t="inlineStr">
        <is>
          <t>発</t>
        </is>
      </c>
      <c r="J8023" s="10" t="inlineStr">
        <is>
          <t>営業</t>
        </is>
      </c>
      <c r="L8023" t="inlineStr">
        <is>
          <t>17:20:35</t>
        </is>
      </c>
      <c r="M8023" t="inlineStr">
        <is>
          <t>17:20:45</t>
        </is>
      </c>
      <c r="U8023" t="inlineStr">
        <is>
          <t>→帷子ノ辻 休憩(17:24〜18:26)</t>
        </is>
      </c>
    </row>
    <row r="8024" ht="16.5" customHeight="1" s="37">
      <c r="A8024" t="n">
        <v>23</v>
      </c>
      <c r="B8024" s="10" t="inlineStr">
        <is>
          <t>平日</t>
        </is>
      </c>
      <c r="C8024" s="10" t="inlineStr">
        <is>
          <t>北野線</t>
        </is>
      </c>
      <c r="D8024" s="10" t="inlineStr">
        <is>
          <t>下り</t>
        </is>
      </c>
      <c r="E8024" t="inlineStr">
        <is>
          <t>1753</t>
        </is>
      </c>
      <c r="F8024" t="inlineStr">
        <is>
          <t>0453</t>
        </is>
      </c>
      <c r="G8024" s="10" t="inlineStr">
        <is>
          <t>常盤</t>
        </is>
      </c>
      <c r="H8024" s="10" t="inlineStr">
        <is>
          <t>発</t>
        </is>
      </c>
      <c r="J8024" s="10" t="inlineStr">
        <is>
          <t>営業</t>
        </is>
      </c>
      <c r="L8024" t="inlineStr">
        <is>
          <t>17:21:35</t>
        </is>
      </c>
      <c r="M8024" t="inlineStr">
        <is>
          <t>17:21:55</t>
        </is>
      </c>
      <c r="U8024" t="inlineStr">
        <is>
          <t>→帷子ノ辻 休憩(17:24〜18:26)</t>
        </is>
      </c>
    </row>
    <row r="8025" ht="16.5" customHeight="1" s="37">
      <c r="A8025" t="n">
        <v>23</v>
      </c>
      <c r="B8025" s="10" t="inlineStr">
        <is>
          <t>平日</t>
        </is>
      </c>
      <c r="C8025" s="10" t="inlineStr">
        <is>
          <t>北野線</t>
        </is>
      </c>
      <c r="D8025" s="10" t="inlineStr">
        <is>
          <t>下り</t>
        </is>
      </c>
      <c r="E8025" t="inlineStr">
        <is>
          <t>1753</t>
        </is>
      </c>
      <c r="F8025" t="inlineStr">
        <is>
          <t>0453</t>
        </is>
      </c>
      <c r="G8025" s="10" t="inlineStr">
        <is>
          <t>撮影所前</t>
        </is>
      </c>
      <c r="H8025" s="10" t="inlineStr">
        <is>
          <t>発</t>
        </is>
      </c>
      <c r="J8025" s="10" t="inlineStr">
        <is>
          <t>営業</t>
        </is>
      </c>
      <c r="L8025" t="inlineStr">
        <is>
          <t>17:23:15</t>
        </is>
      </c>
      <c r="M8025" t="inlineStr">
        <is>
          <t>17:23:30</t>
        </is>
      </c>
      <c r="U8025" t="inlineStr">
        <is>
          <t>→帷子ノ辻 休憩(17:24〜18:26)</t>
        </is>
      </c>
    </row>
    <row r="8026" ht="16.5" customHeight="1" s="37">
      <c r="A8026" t="n">
        <v>23</v>
      </c>
      <c r="B8026" s="10" t="inlineStr">
        <is>
          <t>平日</t>
        </is>
      </c>
      <c r="C8026" s="10" t="inlineStr">
        <is>
          <t>北野線</t>
        </is>
      </c>
      <c r="D8026" s="10" t="inlineStr">
        <is>
          <t>下り</t>
        </is>
      </c>
      <c r="E8026" t="inlineStr">
        <is>
          <t>1753</t>
        </is>
      </c>
      <c r="F8026" t="inlineStr">
        <is>
          <t>0453</t>
        </is>
      </c>
      <c r="G8026" s="10" t="inlineStr">
        <is>
          <t>帷子ノ辻</t>
        </is>
      </c>
      <c r="H8026" s="10" t="inlineStr">
        <is>
          <t>着</t>
        </is>
      </c>
      <c r="J8026" s="10" t="inlineStr">
        <is>
          <t>営業</t>
        </is>
      </c>
      <c r="L8026" t="inlineStr">
        <is>
          <t>17:24:25</t>
        </is>
      </c>
      <c r="Q8026" t="inlineStr">
        <is>
          <t>3</t>
        </is>
      </c>
      <c r="U8026" t="inlineStr">
        <is>
          <t>→帷子ノ辻 休憩(17:24〜18:26)</t>
        </is>
      </c>
    </row>
    <row r="8027" ht="16.5" customHeight="1" s="37">
      <c r="A8027" t="n">
        <v>23</v>
      </c>
      <c r="B8027" s="10" t="inlineStr">
        <is>
          <t>平日</t>
        </is>
      </c>
      <c r="C8027" s="10" t="inlineStr">
        <is>
          <t>北野線</t>
        </is>
      </c>
      <c r="D8027" s="10" t="inlineStr">
        <is>
          <t>上り</t>
        </is>
      </c>
      <c r="E8027" t="inlineStr">
        <is>
          <t>1856</t>
        </is>
      </c>
      <c r="F8027" t="inlineStr">
        <is>
          <t>0304</t>
        </is>
      </c>
      <c r="G8027" s="10" t="inlineStr">
        <is>
          <t>帷子ノ辻</t>
        </is>
      </c>
      <c r="H8027" s="10" t="inlineStr">
        <is>
          <t>発</t>
        </is>
      </c>
      <c r="J8027" s="10" t="inlineStr">
        <is>
          <t>営業</t>
        </is>
      </c>
      <c r="M8027" t="inlineStr">
        <is>
          <t>18:26:25</t>
        </is>
      </c>
      <c r="Q8027" t="inlineStr">
        <is>
          <t>4</t>
        </is>
      </c>
    </row>
    <row r="8028" ht="16.5" customHeight="1" s="37">
      <c r="A8028" t="n">
        <v>23</v>
      </c>
      <c r="B8028" s="10" t="inlineStr">
        <is>
          <t>平日</t>
        </is>
      </c>
      <c r="C8028" s="10" t="inlineStr">
        <is>
          <t>北野線</t>
        </is>
      </c>
      <c r="D8028" s="10" t="inlineStr">
        <is>
          <t>上り</t>
        </is>
      </c>
      <c r="E8028" t="inlineStr">
        <is>
          <t>1856</t>
        </is>
      </c>
      <c r="F8028" t="inlineStr">
        <is>
          <t>0304</t>
        </is>
      </c>
      <c r="G8028" s="10" t="inlineStr">
        <is>
          <t>撮影所前</t>
        </is>
      </c>
      <c r="H8028" s="10" t="inlineStr">
        <is>
          <t>発</t>
        </is>
      </c>
      <c r="J8028" s="10" t="inlineStr">
        <is>
          <t>営業</t>
        </is>
      </c>
      <c r="L8028" t="inlineStr">
        <is>
          <t>18:27:25</t>
        </is>
      </c>
      <c r="M8028" t="inlineStr">
        <is>
          <t>18:27:40</t>
        </is>
      </c>
    </row>
    <row r="8029" ht="16.5" customHeight="1" s="37">
      <c r="A8029" t="n">
        <v>23</v>
      </c>
      <c r="B8029" s="10" t="inlineStr">
        <is>
          <t>平日</t>
        </is>
      </c>
      <c r="C8029" s="10" t="inlineStr">
        <is>
          <t>北野線</t>
        </is>
      </c>
      <c r="D8029" s="10" t="inlineStr">
        <is>
          <t>上り</t>
        </is>
      </c>
      <c r="E8029" t="inlineStr">
        <is>
          <t>1856</t>
        </is>
      </c>
      <c r="F8029" t="inlineStr">
        <is>
          <t>0304</t>
        </is>
      </c>
      <c r="G8029" s="10" t="inlineStr">
        <is>
          <t>常盤</t>
        </is>
      </c>
      <c r="H8029" s="10" t="inlineStr">
        <is>
          <t>発</t>
        </is>
      </c>
      <c r="J8029" s="10" t="inlineStr">
        <is>
          <t>営業</t>
        </is>
      </c>
      <c r="L8029" t="inlineStr">
        <is>
          <t>18:29:00</t>
        </is>
      </c>
      <c r="M8029" t="inlineStr">
        <is>
          <t>18:29:20</t>
        </is>
      </c>
    </row>
    <row r="8030" ht="16.5" customHeight="1" s="37">
      <c r="A8030" t="n">
        <v>23</v>
      </c>
      <c r="B8030" s="10" t="inlineStr">
        <is>
          <t>平日</t>
        </is>
      </c>
      <c r="C8030" s="10" t="inlineStr">
        <is>
          <t>北野線</t>
        </is>
      </c>
      <c r="D8030" s="10" t="inlineStr">
        <is>
          <t>上り</t>
        </is>
      </c>
      <c r="E8030" t="inlineStr">
        <is>
          <t>1856</t>
        </is>
      </c>
      <c r="F8030" t="inlineStr">
        <is>
          <t>0304</t>
        </is>
      </c>
      <c r="G8030" s="10" t="inlineStr">
        <is>
          <t>鳴滝</t>
        </is>
      </c>
      <c r="H8030" s="10" t="inlineStr">
        <is>
          <t>発</t>
        </is>
      </c>
      <c r="J8030" s="10" t="inlineStr">
        <is>
          <t>営業</t>
        </is>
      </c>
      <c r="L8030" t="inlineStr">
        <is>
          <t>18:30:20</t>
        </is>
      </c>
      <c r="M8030" t="inlineStr">
        <is>
          <t>18:30:40</t>
        </is>
      </c>
    </row>
    <row r="8031" ht="16.5" customHeight="1" s="37">
      <c r="A8031" t="n">
        <v>23</v>
      </c>
      <c r="B8031" s="10" t="inlineStr">
        <is>
          <t>平日</t>
        </is>
      </c>
      <c r="C8031" s="10" t="inlineStr">
        <is>
          <t>北野線</t>
        </is>
      </c>
      <c r="D8031" s="10" t="inlineStr">
        <is>
          <t>上り</t>
        </is>
      </c>
      <c r="E8031" t="inlineStr">
        <is>
          <t>1856</t>
        </is>
      </c>
      <c r="F8031" t="inlineStr">
        <is>
          <t>0304</t>
        </is>
      </c>
      <c r="G8031" s="10" t="inlineStr">
        <is>
          <t>宇多野</t>
        </is>
      </c>
      <c r="H8031" s="10" t="inlineStr">
        <is>
          <t>発</t>
        </is>
      </c>
      <c r="J8031" s="10" t="inlineStr">
        <is>
          <t>営業</t>
        </is>
      </c>
      <c r="L8031" t="inlineStr">
        <is>
          <t>18:32:00</t>
        </is>
      </c>
      <c r="M8031" t="inlineStr">
        <is>
          <t>18:32:15</t>
        </is>
      </c>
    </row>
    <row r="8032" ht="16.5" customHeight="1" s="37">
      <c r="A8032" t="n">
        <v>23</v>
      </c>
      <c r="B8032" s="10" t="inlineStr">
        <is>
          <t>平日</t>
        </is>
      </c>
      <c r="C8032" s="10" t="inlineStr">
        <is>
          <t>北野線</t>
        </is>
      </c>
      <c r="D8032" s="10" t="inlineStr">
        <is>
          <t>上り</t>
        </is>
      </c>
      <c r="E8032" t="inlineStr">
        <is>
          <t>1856</t>
        </is>
      </c>
      <c r="F8032" t="inlineStr">
        <is>
          <t>0304</t>
        </is>
      </c>
      <c r="G8032" s="10" t="inlineStr">
        <is>
          <t>御室仁和寺</t>
        </is>
      </c>
      <c r="H8032" s="10" t="inlineStr">
        <is>
          <t>発</t>
        </is>
      </c>
      <c r="J8032" s="10" t="inlineStr">
        <is>
          <t>営業</t>
        </is>
      </c>
      <c r="L8032" t="inlineStr">
        <is>
          <t>18:33:15</t>
        </is>
      </c>
      <c r="M8032" t="inlineStr">
        <is>
          <t>18:33:35</t>
        </is>
      </c>
    </row>
    <row r="8033" ht="16.5" customHeight="1" s="37">
      <c r="A8033" t="n">
        <v>23</v>
      </c>
      <c r="B8033" s="10" t="inlineStr">
        <is>
          <t>平日</t>
        </is>
      </c>
      <c r="C8033" s="10" t="inlineStr">
        <is>
          <t>北野線</t>
        </is>
      </c>
      <c r="D8033" s="10" t="inlineStr">
        <is>
          <t>上り</t>
        </is>
      </c>
      <c r="E8033" t="inlineStr">
        <is>
          <t>1856</t>
        </is>
      </c>
      <c r="F8033" t="inlineStr">
        <is>
          <t>0304</t>
        </is>
      </c>
      <c r="G8033" s="10" t="inlineStr">
        <is>
          <t>妙心寺</t>
        </is>
      </c>
      <c r="H8033" s="10" t="inlineStr">
        <is>
          <t>発</t>
        </is>
      </c>
      <c r="J8033" s="10" t="inlineStr">
        <is>
          <t>営業</t>
        </is>
      </c>
      <c r="L8033" t="inlineStr">
        <is>
          <t>18:34:35</t>
        </is>
      </c>
      <c r="M8033" t="inlineStr">
        <is>
          <t>18:34:50</t>
        </is>
      </c>
    </row>
    <row r="8034" ht="16.5" customHeight="1" s="37">
      <c r="A8034" t="n">
        <v>23</v>
      </c>
      <c r="B8034" s="10" t="inlineStr">
        <is>
          <t>平日</t>
        </is>
      </c>
      <c r="C8034" s="10" t="inlineStr">
        <is>
          <t>北野線</t>
        </is>
      </c>
      <c r="D8034" s="10" t="inlineStr">
        <is>
          <t>上り</t>
        </is>
      </c>
      <c r="E8034" t="inlineStr">
        <is>
          <t>1856</t>
        </is>
      </c>
      <c r="F8034" t="inlineStr">
        <is>
          <t>0304</t>
        </is>
      </c>
      <c r="G8034" s="10" t="inlineStr">
        <is>
          <t>龍安寺</t>
        </is>
      </c>
      <c r="H8034" s="10" t="inlineStr">
        <is>
          <t>発</t>
        </is>
      </c>
      <c r="J8034" s="10" t="inlineStr">
        <is>
          <t>営業</t>
        </is>
      </c>
      <c r="L8034" t="inlineStr">
        <is>
          <t>18:35:45</t>
        </is>
      </c>
      <c r="M8034" t="inlineStr">
        <is>
          <t>18:35:55</t>
        </is>
      </c>
    </row>
    <row r="8035" ht="16.5" customHeight="1" s="37">
      <c r="A8035" t="n">
        <v>23</v>
      </c>
      <c r="B8035" s="10" t="inlineStr">
        <is>
          <t>平日</t>
        </is>
      </c>
      <c r="C8035" s="10" t="inlineStr">
        <is>
          <t>北野線</t>
        </is>
      </c>
      <c r="D8035" s="10" t="inlineStr">
        <is>
          <t>上り</t>
        </is>
      </c>
      <c r="E8035" t="inlineStr">
        <is>
          <t>1856</t>
        </is>
      </c>
      <c r="F8035" t="inlineStr">
        <is>
          <t>0304</t>
        </is>
      </c>
      <c r="G8035" s="10" t="inlineStr">
        <is>
          <t>等持院</t>
        </is>
      </c>
      <c r="H8035" s="10" t="inlineStr">
        <is>
          <t>発</t>
        </is>
      </c>
      <c r="J8035" s="10" t="inlineStr">
        <is>
          <t>営業</t>
        </is>
      </c>
      <c r="L8035" t="inlineStr">
        <is>
          <t>18:36:35</t>
        </is>
      </c>
      <c r="M8035" t="inlineStr">
        <is>
          <t>18:36:55</t>
        </is>
      </c>
    </row>
    <row r="8036" ht="16.5" customHeight="1" s="37">
      <c r="A8036" t="n">
        <v>23</v>
      </c>
      <c r="B8036" s="10" t="inlineStr">
        <is>
          <t>平日</t>
        </is>
      </c>
      <c r="C8036" s="10" t="inlineStr">
        <is>
          <t>北野線</t>
        </is>
      </c>
      <c r="D8036" s="10" t="inlineStr">
        <is>
          <t>上り</t>
        </is>
      </c>
      <c r="E8036" t="inlineStr">
        <is>
          <t>1856</t>
        </is>
      </c>
      <c r="F8036" t="inlineStr">
        <is>
          <t>0304</t>
        </is>
      </c>
      <c r="G8036" s="10" t="inlineStr">
        <is>
          <t>北野白梅町</t>
        </is>
      </c>
      <c r="H8036" s="10" t="inlineStr">
        <is>
          <t>着</t>
        </is>
      </c>
      <c r="J8036" s="10" t="inlineStr">
        <is>
          <t>営業</t>
        </is>
      </c>
      <c r="L8036" t="inlineStr">
        <is>
          <t>18:38:15</t>
        </is>
      </c>
      <c r="N8036" t="inlineStr">
        <is>
          <t>○</t>
        </is>
      </c>
      <c r="Q8036" t="inlineStr">
        <is>
          <t>1</t>
        </is>
      </c>
    </row>
    <row r="8037" ht="16.5" customHeight="1" s="37">
      <c r="A8037" t="n">
        <v>23</v>
      </c>
      <c r="B8037" s="10" t="inlineStr">
        <is>
          <t>平日</t>
        </is>
      </c>
      <c r="C8037" s="10" t="inlineStr">
        <is>
          <t>北野線</t>
        </is>
      </c>
      <c r="D8037" s="10" t="inlineStr">
        <is>
          <t>下り</t>
        </is>
      </c>
      <c r="E8037" t="inlineStr">
        <is>
          <t>1859</t>
        </is>
      </c>
      <c r="F8037" t="inlineStr">
        <is>
          <t>0453</t>
        </is>
      </c>
      <c r="G8037" s="10" t="inlineStr">
        <is>
          <t>北野白梅町</t>
        </is>
      </c>
      <c r="H8037" s="10" t="inlineStr">
        <is>
          <t>発</t>
        </is>
      </c>
      <c r="J8037" s="10" t="inlineStr">
        <is>
          <t>営業</t>
        </is>
      </c>
      <c r="M8037" t="inlineStr">
        <is>
          <t>18:43:00</t>
        </is>
      </c>
      <c r="Q8037" t="inlineStr">
        <is>
          <t>1</t>
        </is>
      </c>
    </row>
    <row r="8038" ht="16.5" customHeight="1" s="37">
      <c r="A8038" t="n">
        <v>23</v>
      </c>
      <c r="B8038" s="10" t="inlineStr">
        <is>
          <t>平日</t>
        </is>
      </c>
      <c r="C8038" s="10" t="inlineStr">
        <is>
          <t>北野線</t>
        </is>
      </c>
      <c r="D8038" s="10" t="inlineStr">
        <is>
          <t>下り</t>
        </is>
      </c>
      <c r="E8038" t="inlineStr">
        <is>
          <t>1859</t>
        </is>
      </c>
      <c r="F8038" t="inlineStr">
        <is>
          <t>0453</t>
        </is>
      </c>
      <c r="G8038" s="10" t="inlineStr">
        <is>
          <t>等持院</t>
        </is>
      </c>
      <c r="H8038" s="10" t="inlineStr">
        <is>
          <t>発</t>
        </is>
      </c>
      <c r="J8038" s="10" t="inlineStr">
        <is>
          <t>営業</t>
        </is>
      </c>
      <c r="L8038" t="inlineStr">
        <is>
          <t>18:44:25</t>
        </is>
      </c>
      <c r="M8038" t="inlineStr">
        <is>
          <t>18:44:35</t>
        </is>
      </c>
    </row>
    <row r="8039" ht="16.5" customHeight="1" s="37">
      <c r="A8039" t="n">
        <v>23</v>
      </c>
      <c r="B8039" s="10" t="inlineStr">
        <is>
          <t>平日</t>
        </is>
      </c>
      <c r="C8039" s="10" t="inlineStr">
        <is>
          <t>北野線</t>
        </is>
      </c>
      <c r="D8039" s="10" t="inlineStr">
        <is>
          <t>下り</t>
        </is>
      </c>
      <c r="E8039" t="inlineStr">
        <is>
          <t>1859</t>
        </is>
      </c>
      <c r="F8039" t="inlineStr">
        <is>
          <t>0453</t>
        </is>
      </c>
      <c r="G8039" s="10" t="inlineStr">
        <is>
          <t>龍安寺</t>
        </is>
      </c>
      <c r="H8039" s="10" t="inlineStr">
        <is>
          <t>発</t>
        </is>
      </c>
      <c r="J8039" s="10" t="inlineStr">
        <is>
          <t>営業</t>
        </is>
      </c>
      <c r="L8039" t="inlineStr">
        <is>
          <t>18:45:25</t>
        </is>
      </c>
      <c r="M8039" t="inlineStr">
        <is>
          <t>18:45:50</t>
        </is>
      </c>
    </row>
    <row r="8040" ht="16.5" customHeight="1" s="37">
      <c r="A8040" t="n">
        <v>23</v>
      </c>
      <c r="B8040" s="10" t="inlineStr">
        <is>
          <t>平日</t>
        </is>
      </c>
      <c r="C8040" s="10" t="inlineStr">
        <is>
          <t>北野線</t>
        </is>
      </c>
      <c r="D8040" s="10" t="inlineStr">
        <is>
          <t>下り</t>
        </is>
      </c>
      <c r="E8040" t="inlineStr">
        <is>
          <t>1859</t>
        </is>
      </c>
      <c r="F8040" t="inlineStr">
        <is>
          <t>0453</t>
        </is>
      </c>
      <c r="G8040" s="10" t="inlineStr">
        <is>
          <t>妙心寺</t>
        </is>
      </c>
      <c r="H8040" s="10" t="inlineStr">
        <is>
          <t>発</t>
        </is>
      </c>
      <c r="J8040" s="10" t="inlineStr">
        <is>
          <t>営業</t>
        </is>
      </c>
      <c r="L8040" t="inlineStr">
        <is>
          <t>18:46:40</t>
        </is>
      </c>
      <c r="M8040" t="inlineStr">
        <is>
          <t>18:46:50</t>
        </is>
      </c>
    </row>
    <row r="8041" ht="16.5" customHeight="1" s="37">
      <c r="A8041" t="n">
        <v>23</v>
      </c>
      <c r="B8041" s="10" t="inlineStr">
        <is>
          <t>平日</t>
        </is>
      </c>
      <c r="C8041" s="10" t="inlineStr">
        <is>
          <t>北野線</t>
        </is>
      </c>
      <c r="D8041" s="10" t="inlineStr">
        <is>
          <t>下り</t>
        </is>
      </c>
      <c r="E8041" t="inlineStr">
        <is>
          <t>1859</t>
        </is>
      </c>
      <c r="F8041" t="inlineStr">
        <is>
          <t>0453</t>
        </is>
      </c>
      <c r="G8041" s="10" t="inlineStr">
        <is>
          <t>御室仁和寺</t>
        </is>
      </c>
      <c r="H8041" s="10" t="inlineStr">
        <is>
          <t>発</t>
        </is>
      </c>
      <c r="J8041" s="10" t="inlineStr">
        <is>
          <t>営業</t>
        </is>
      </c>
      <c r="L8041" t="inlineStr">
        <is>
          <t>18:47:50</t>
        </is>
      </c>
      <c r="M8041" t="inlineStr">
        <is>
          <t>18:48:05</t>
        </is>
      </c>
    </row>
    <row r="8042" ht="16.5" customHeight="1" s="37">
      <c r="A8042" t="n">
        <v>23</v>
      </c>
      <c r="B8042" s="10" t="inlineStr">
        <is>
          <t>平日</t>
        </is>
      </c>
      <c r="C8042" s="10" t="inlineStr">
        <is>
          <t>北野線</t>
        </is>
      </c>
      <c r="D8042" s="10" t="inlineStr">
        <is>
          <t>下り</t>
        </is>
      </c>
      <c r="E8042" t="inlineStr">
        <is>
          <t>1859</t>
        </is>
      </c>
      <c r="F8042" t="inlineStr">
        <is>
          <t>0453</t>
        </is>
      </c>
      <c r="G8042" s="10" t="inlineStr">
        <is>
          <t>宇多野</t>
        </is>
      </c>
      <c r="H8042" s="10" t="inlineStr">
        <is>
          <t>発</t>
        </is>
      </c>
      <c r="J8042" s="10" t="inlineStr">
        <is>
          <t>営業</t>
        </is>
      </c>
      <c r="L8042" t="inlineStr">
        <is>
          <t>18:49:05</t>
        </is>
      </c>
      <c r="M8042" t="inlineStr">
        <is>
          <t>18:49:15</t>
        </is>
      </c>
    </row>
    <row r="8043" ht="16.5" customHeight="1" s="37">
      <c r="A8043" t="n">
        <v>23</v>
      </c>
      <c r="B8043" s="10" t="inlineStr">
        <is>
          <t>平日</t>
        </is>
      </c>
      <c r="C8043" s="10" t="inlineStr">
        <is>
          <t>北野線</t>
        </is>
      </c>
      <c r="D8043" s="10" t="inlineStr">
        <is>
          <t>下り</t>
        </is>
      </c>
      <c r="E8043" t="inlineStr">
        <is>
          <t>1859</t>
        </is>
      </c>
      <c r="F8043" t="inlineStr">
        <is>
          <t>0453</t>
        </is>
      </c>
      <c r="G8043" s="10" t="inlineStr">
        <is>
          <t>鳴滝</t>
        </is>
      </c>
      <c r="H8043" s="10" t="inlineStr">
        <is>
          <t>発</t>
        </is>
      </c>
      <c r="J8043" s="10" t="inlineStr">
        <is>
          <t>営業</t>
        </is>
      </c>
      <c r="L8043" t="inlineStr">
        <is>
          <t>18:50:35</t>
        </is>
      </c>
      <c r="M8043" t="inlineStr">
        <is>
          <t>18:50:45</t>
        </is>
      </c>
    </row>
    <row r="8044" ht="16.5" customHeight="1" s="37">
      <c r="A8044" t="n">
        <v>23</v>
      </c>
      <c r="B8044" s="10" t="inlineStr">
        <is>
          <t>平日</t>
        </is>
      </c>
      <c r="C8044" s="10" t="inlineStr">
        <is>
          <t>北野線</t>
        </is>
      </c>
      <c r="D8044" s="10" t="inlineStr">
        <is>
          <t>下り</t>
        </is>
      </c>
      <c r="E8044" t="inlineStr">
        <is>
          <t>1859</t>
        </is>
      </c>
      <c r="F8044" t="inlineStr">
        <is>
          <t>0453</t>
        </is>
      </c>
      <c r="G8044" s="10" t="inlineStr">
        <is>
          <t>常盤</t>
        </is>
      </c>
      <c r="H8044" s="10" t="inlineStr">
        <is>
          <t>発</t>
        </is>
      </c>
      <c r="J8044" s="10" t="inlineStr">
        <is>
          <t>営業</t>
        </is>
      </c>
      <c r="L8044" t="inlineStr">
        <is>
          <t>18:51:35</t>
        </is>
      </c>
      <c r="M8044" t="inlineStr">
        <is>
          <t>18:51:55</t>
        </is>
      </c>
    </row>
    <row r="8045" ht="16.5" customHeight="1" s="37">
      <c r="A8045" t="n">
        <v>23</v>
      </c>
      <c r="B8045" s="10" t="inlineStr">
        <is>
          <t>平日</t>
        </is>
      </c>
      <c r="C8045" s="10" t="inlineStr">
        <is>
          <t>北野線</t>
        </is>
      </c>
      <c r="D8045" s="10" t="inlineStr">
        <is>
          <t>下り</t>
        </is>
      </c>
      <c r="E8045" t="inlineStr">
        <is>
          <t>1859</t>
        </is>
      </c>
      <c r="F8045" t="inlineStr">
        <is>
          <t>0453</t>
        </is>
      </c>
      <c r="G8045" s="10" t="inlineStr">
        <is>
          <t>撮影所前</t>
        </is>
      </c>
      <c r="H8045" s="10" t="inlineStr">
        <is>
          <t>発</t>
        </is>
      </c>
      <c r="J8045" s="10" t="inlineStr">
        <is>
          <t>営業</t>
        </is>
      </c>
      <c r="L8045" t="inlineStr">
        <is>
          <t>18:53:15</t>
        </is>
      </c>
      <c r="M8045" t="inlineStr">
        <is>
          <t>18:53:30</t>
        </is>
      </c>
    </row>
    <row r="8046" ht="16.5" customHeight="1" s="37">
      <c r="A8046" t="n">
        <v>23</v>
      </c>
      <c r="B8046" s="10" t="inlineStr">
        <is>
          <t>平日</t>
        </is>
      </c>
      <c r="C8046" s="10" t="inlineStr">
        <is>
          <t>北野線</t>
        </is>
      </c>
      <c r="D8046" s="10" t="inlineStr">
        <is>
          <t>下り</t>
        </is>
      </c>
      <c r="E8046" t="inlineStr">
        <is>
          <t>1859</t>
        </is>
      </c>
      <c r="F8046" t="inlineStr">
        <is>
          <t>0453</t>
        </is>
      </c>
      <c r="G8046" s="10" t="inlineStr">
        <is>
          <t>帷子ノ辻</t>
        </is>
      </c>
      <c r="H8046" s="10" t="inlineStr">
        <is>
          <t>着</t>
        </is>
      </c>
      <c r="J8046" s="10" t="inlineStr">
        <is>
          <t>営業</t>
        </is>
      </c>
      <c r="L8046" t="inlineStr">
        <is>
          <t>18:54:25</t>
        </is>
      </c>
      <c r="Q8046" t="inlineStr">
        <is>
          <t>4</t>
        </is>
      </c>
    </row>
    <row r="8047" ht="16.5" customHeight="1" s="37">
      <c r="A8047" t="n">
        <v>23</v>
      </c>
      <c r="B8047" s="10" t="inlineStr">
        <is>
          <t>平日</t>
        </is>
      </c>
      <c r="C8047" s="10" t="inlineStr">
        <is>
          <t>北野線</t>
        </is>
      </c>
      <c r="D8047" s="10" t="inlineStr">
        <is>
          <t>上り</t>
        </is>
      </c>
      <c r="E8047" t="inlineStr">
        <is>
          <t>1952</t>
        </is>
      </c>
      <c r="F8047" t="inlineStr">
        <is>
          <t>0304</t>
        </is>
      </c>
      <c r="G8047" s="10" t="inlineStr">
        <is>
          <t>帷子ノ辻</t>
        </is>
      </c>
      <c r="H8047" s="10" t="inlineStr">
        <is>
          <t>発</t>
        </is>
      </c>
      <c r="J8047" s="10" t="inlineStr">
        <is>
          <t>営業</t>
        </is>
      </c>
      <c r="M8047" t="inlineStr">
        <is>
          <t>19:06:25</t>
        </is>
      </c>
      <c r="Q8047" t="inlineStr">
        <is>
          <t>4</t>
        </is>
      </c>
    </row>
    <row r="8048" ht="16.5" customHeight="1" s="37">
      <c r="A8048" t="n">
        <v>23</v>
      </c>
      <c r="B8048" s="10" t="inlineStr">
        <is>
          <t>平日</t>
        </is>
      </c>
      <c r="C8048" s="10" t="inlineStr">
        <is>
          <t>北野線</t>
        </is>
      </c>
      <c r="D8048" s="10" t="inlineStr">
        <is>
          <t>上り</t>
        </is>
      </c>
      <c r="E8048" t="inlineStr">
        <is>
          <t>1952</t>
        </is>
      </c>
      <c r="F8048" t="inlineStr">
        <is>
          <t>0304</t>
        </is>
      </c>
      <c r="G8048" s="10" t="inlineStr">
        <is>
          <t>撮影所前</t>
        </is>
      </c>
      <c r="H8048" s="10" t="inlineStr">
        <is>
          <t>発</t>
        </is>
      </c>
      <c r="J8048" s="10" t="inlineStr">
        <is>
          <t>営業</t>
        </is>
      </c>
      <c r="L8048" t="inlineStr">
        <is>
          <t>19:07:25</t>
        </is>
      </c>
      <c r="M8048" t="inlineStr">
        <is>
          <t>19:07:40</t>
        </is>
      </c>
    </row>
    <row r="8049" ht="16.5" customHeight="1" s="37">
      <c r="A8049" t="n">
        <v>23</v>
      </c>
      <c r="B8049" s="10" t="inlineStr">
        <is>
          <t>平日</t>
        </is>
      </c>
      <c r="C8049" s="10" t="inlineStr">
        <is>
          <t>北野線</t>
        </is>
      </c>
      <c r="D8049" s="10" t="inlineStr">
        <is>
          <t>上り</t>
        </is>
      </c>
      <c r="E8049" t="inlineStr">
        <is>
          <t>1952</t>
        </is>
      </c>
      <c r="F8049" t="inlineStr">
        <is>
          <t>0304</t>
        </is>
      </c>
      <c r="G8049" s="10" t="inlineStr">
        <is>
          <t>常盤</t>
        </is>
      </c>
      <c r="H8049" s="10" t="inlineStr">
        <is>
          <t>発</t>
        </is>
      </c>
      <c r="J8049" s="10" t="inlineStr">
        <is>
          <t>営業</t>
        </is>
      </c>
      <c r="L8049" t="inlineStr">
        <is>
          <t>19:09:00</t>
        </is>
      </c>
      <c r="M8049" t="inlineStr">
        <is>
          <t>19:09:20</t>
        </is>
      </c>
    </row>
    <row r="8050" ht="16.5" customHeight="1" s="37">
      <c r="A8050" t="n">
        <v>23</v>
      </c>
      <c r="B8050" s="10" t="inlineStr">
        <is>
          <t>平日</t>
        </is>
      </c>
      <c r="C8050" s="10" t="inlineStr">
        <is>
          <t>北野線</t>
        </is>
      </c>
      <c r="D8050" s="10" t="inlineStr">
        <is>
          <t>上り</t>
        </is>
      </c>
      <c r="E8050" t="inlineStr">
        <is>
          <t>1952</t>
        </is>
      </c>
      <c r="F8050" t="inlineStr">
        <is>
          <t>0304</t>
        </is>
      </c>
      <c r="G8050" s="10" t="inlineStr">
        <is>
          <t>鳴滝</t>
        </is>
      </c>
      <c r="H8050" s="10" t="inlineStr">
        <is>
          <t>発</t>
        </is>
      </c>
      <c r="J8050" s="10" t="inlineStr">
        <is>
          <t>営業</t>
        </is>
      </c>
      <c r="L8050" t="inlineStr">
        <is>
          <t>19:10:20</t>
        </is>
      </c>
      <c r="M8050" t="inlineStr">
        <is>
          <t>19:10:40</t>
        </is>
      </c>
    </row>
    <row r="8051" ht="16.5" customHeight="1" s="37">
      <c r="A8051" t="n">
        <v>23</v>
      </c>
      <c r="B8051" s="10" t="inlineStr">
        <is>
          <t>平日</t>
        </is>
      </c>
      <c r="C8051" s="10" t="inlineStr">
        <is>
          <t>北野線</t>
        </is>
      </c>
      <c r="D8051" s="10" t="inlineStr">
        <is>
          <t>上り</t>
        </is>
      </c>
      <c r="E8051" t="inlineStr">
        <is>
          <t>1952</t>
        </is>
      </c>
      <c r="F8051" t="inlineStr">
        <is>
          <t>0304</t>
        </is>
      </c>
      <c r="G8051" s="10" t="inlineStr">
        <is>
          <t>宇多野</t>
        </is>
      </c>
      <c r="H8051" s="10" t="inlineStr">
        <is>
          <t>発</t>
        </is>
      </c>
      <c r="J8051" s="10" t="inlineStr">
        <is>
          <t>営業</t>
        </is>
      </c>
      <c r="L8051" t="inlineStr">
        <is>
          <t>19:12:00</t>
        </is>
      </c>
      <c r="M8051" t="inlineStr">
        <is>
          <t>19:12:15</t>
        </is>
      </c>
    </row>
    <row r="8052" ht="16.5" customHeight="1" s="37">
      <c r="A8052" t="n">
        <v>23</v>
      </c>
      <c r="B8052" s="10" t="inlineStr">
        <is>
          <t>平日</t>
        </is>
      </c>
      <c r="C8052" s="10" t="inlineStr">
        <is>
          <t>北野線</t>
        </is>
      </c>
      <c r="D8052" s="10" t="inlineStr">
        <is>
          <t>上り</t>
        </is>
      </c>
      <c r="E8052" t="inlineStr">
        <is>
          <t>1952</t>
        </is>
      </c>
      <c r="F8052" t="inlineStr">
        <is>
          <t>0304</t>
        </is>
      </c>
      <c r="G8052" s="10" t="inlineStr">
        <is>
          <t>御室仁和寺</t>
        </is>
      </c>
      <c r="H8052" s="10" t="inlineStr">
        <is>
          <t>発</t>
        </is>
      </c>
      <c r="J8052" s="10" t="inlineStr">
        <is>
          <t>営業</t>
        </is>
      </c>
      <c r="L8052" t="inlineStr">
        <is>
          <t>19:13:15</t>
        </is>
      </c>
      <c r="M8052" t="inlineStr">
        <is>
          <t>19:13:35</t>
        </is>
      </c>
    </row>
    <row r="8053" ht="16.5" customHeight="1" s="37">
      <c r="A8053" t="n">
        <v>23</v>
      </c>
      <c r="B8053" s="10" t="inlineStr">
        <is>
          <t>平日</t>
        </is>
      </c>
      <c r="C8053" s="10" t="inlineStr">
        <is>
          <t>北野線</t>
        </is>
      </c>
      <c r="D8053" s="10" t="inlineStr">
        <is>
          <t>上り</t>
        </is>
      </c>
      <c r="E8053" t="inlineStr">
        <is>
          <t>1952</t>
        </is>
      </c>
      <c r="F8053" t="inlineStr">
        <is>
          <t>0304</t>
        </is>
      </c>
      <c r="G8053" s="10" t="inlineStr">
        <is>
          <t>妙心寺</t>
        </is>
      </c>
      <c r="H8053" s="10" t="inlineStr">
        <is>
          <t>発</t>
        </is>
      </c>
      <c r="J8053" s="10" t="inlineStr">
        <is>
          <t>営業</t>
        </is>
      </c>
      <c r="L8053" t="inlineStr">
        <is>
          <t>19:14:35</t>
        </is>
      </c>
      <c r="M8053" t="inlineStr">
        <is>
          <t>19:14:50</t>
        </is>
      </c>
    </row>
    <row r="8054" ht="16.5" customHeight="1" s="37">
      <c r="A8054" t="n">
        <v>23</v>
      </c>
      <c r="B8054" s="10" t="inlineStr">
        <is>
          <t>平日</t>
        </is>
      </c>
      <c r="C8054" s="10" t="inlineStr">
        <is>
          <t>北野線</t>
        </is>
      </c>
      <c r="D8054" s="10" t="inlineStr">
        <is>
          <t>上り</t>
        </is>
      </c>
      <c r="E8054" t="inlineStr">
        <is>
          <t>1952</t>
        </is>
      </c>
      <c r="F8054" t="inlineStr">
        <is>
          <t>0304</t>
        </is>
      </c>
      <c r="G8054" s="10" t="inlineStr">
        <is>
          <t>龍安寺</t>
        </is>
      </c>
      <c r="H8054" s="10" t="inlineStr">
        <is>
          <t>発</t>
        </is>
      </c>
      <c r="J8054" s="10" t="inlineStr">
        <is>
          <t>営業</t>
        </is>
      </c>
      <c r="L8054" t="inlineStr">
        <is>
          <t>19:15:45</t>
        </is>
      </c>
      <c r="M8054" t="inlineStr">
        <is>
          <t>19:15:55</t>
        </is>
      </c>
    </row>
    <row r="8055" ht="16.5" customHeight="1" s="37">
      <c r="A8055" t="n">
        <v>23</v>
      </c>
      <c r="B8055" s="10" t="inlineStr">
        <is>
          <t>平日</t>
        </is>
      </c>
      <c r="C8055" s="10" t="inlineStr">
        <is>
          <t>北野線</t>
        </is>
      </c>
      <c r="D8055" s="10" t="inlineStr">
        <is>
          <t>上り</t>
        </is>
      </c>
      <c r="E8055" t="inlineStr">
        <is>
          <t>1952</t>
        </is>
      </c>
      <c r="F8055" t="inlineStr">
        <is>
          <t>0304</t>
        </is>
      </c>
      <c r="G8055" s="10" t="inlineStr">
        <is>
          <t>等持院</t>
        </is>
      </c>
      <c r="H8055" s="10" t="inlineStr">
        <is>
          <t>発</t>
        </is>
      </c>
      <c r="J8055" s="10" t="inlineStr">
        <is>
          <t>営業</t>
        </is>
      </c>
      <c r="L8055" t="inlineStr">
        <is>
          <t>19:16:35</t>
        </is>
      </c>
      <c r="M8055" t="inlineStr">
        <is>
          <t>19:16:55</t>
        </is>
      </c>
    </row>
    <row r="8056" ht="16.5" customHeight="1" s="37">
      <c r="A8056" t="n">
        <v>23</v>
      </c>
      <c r="B8056" s="10" t="inlineStr">
        <is>
          <t>平日</t>
        </is>
      </c>
      <c r="C8056" s="10" t="inlineStr">
        <is>
          <t>北野線</t>
        </is>
      </c>
      <c r="D8056" s="10" t="inlineStr">
        <is>
          <t>上り</t>
        </is>
      </c>
      <c r="E8056" t="inlineStr">
        <is>
          <t>1952</t>
        </is>
      </c>
      <c r="F8056" t="inlineStr">
        <is>
          <t>0304</t>
        </is>
      </c>
      <c r="G8056" s="10" t="inlineStr">
        <is>
          <t>北野白梅町</t>
        </is>
      </c>
      <c r="H8056" s="10" t="inlineStr">
        <is>
          <t>着</t>
        </is>
      </c>
      <c r="J8056" s="10" t="inlineStr">
        <is>
          <t>営業</t>
        </is>
      </c>
      <c r="L8056" t="inlineStr">
        <is>
          <t>19:18:15</t>
        </is>
      </c>
      <c r="N8056" t="inlineStr">
        <is>
          <t>○</t>
        </is>
      </c>
      <c r="Q8056" t="inlineStr">
        <is>
          <t>1</t>
        </is>
      </c>
    </row>
    <row r="8057" ht="16.5" customHeight="1" s="37">
      <c r="A8057" t="n">
        <v>23</v>
      </c>
      <c r="B8057" s="10" t="inlineStr">
        <is>
          <t>平日</t>
        </is>
      </c>
      <c r="C8057" s="10" t="inlineStr">
        <is>
          <t>北野線</t>
        </is>
      </c>
      <c r="D8057" s="10" t="inlineStr">
        <is>
          <t>下り</t>
        </is>
      </c>
      <c r="E8057" t="inlineStr">
        <is>
          <t>1955</t>
        </is>
      </c>
      <c r="F8057" t="inlineStr">
        <is>
          <t>0453</t>
        </is>
      </c>
      <c r="G8057" s="10" t="inlineStr">
        <is>
          <t>北野白梅町</t>
        </is>
      </c>
      <c r="H8057" s="10" t="inlineStr">
        <is>
          <t>発</t>
        </is>
      </c>
      <c r="J8057" s="10" t="inlineStr">
        <is>
          <t>営業</t>
        </is>
      </c>
      <c r="M8057" t="inlineStr">
        <is>
          <t>19:23:00</t>
        </is>
      </c>
      <c r="Q8057" t="inlineStr">
        <is>
          <t>1</t>
        </is>
      </c>
    </row>
    <row r="8058" ht="16.5" customHeight="1" s="37">
      <c r="A8058" t="n">
        <v>23</v>
      </c>
      <c r="B8058" s="10" t="inlineStr">
        <is>
          <t>平日</t>
        </is>
      </c>
      <c r="C8058" s="10" t="inlineStr">
        <is>
          <t>北野線</t>
        </is>
      </c>
      <c r="D8058" s="10" t="inlineStr">
        <is>
          <t>下り</t>
        </is>
      </c>
      <c r="E8058" t="inlineStr">
        <is>
          <t>1955</t>
        </is>
      </c>
      <c r="F8058" t="inlineStr">
        <is>
          <t>0453</t>
        </is>
      </c>
      <c r="G8058" s="10" t="inlineStr">
        <is>
          <t>等持院</t>
        </is>
      </c>
      <c r="H8058" s="10" t="inlineStr">
        <is>
          <t>発</t>
        </is>
      </c>
      <c r="J8058" s="10" t="inlineStr">
        <is>
          <t>営業</t>
        </is>
      </c>
      <c r="L8058" t="inlineStr">
        <is>
          <t>19:24:25</t>
        </is>
      </c>
      <c r="M8058" t="inlineStr">
        <is>
          <t>19:24:35</t>
        </is>
      </c>
    </row>
    <row r="8059" ht="16.5" customHeight="1" s="37">
      <c r="A8059" t="n">
        <v>23</v>
      </c>
      <c r="B8059" s="10" t="inlineStr">
        <is>
          <t>平日</t>
        </is>
      </c>
      <c r="C8059" s="10" t="inlineStr">
        <is>
          <t>北野線</t>
        </is>
      </c>
      <c r="D8059" s="10" t="inlineStr">
        <is>
          <t>下り</t>
        </is>
      </c>
      <c r="E8059" t="inlineStr">
        <is>
          <t>1955</t>
        </is>
      </c>
      <c r="F8059" t="inlineStr">
        <is>
          <t>0453</t>
        </is>
      </c>
      <c r="G8059" s="10" t="inlineStr">
        <is>
          <t>龍安寺</t>
        </is>
      </c>
      <c r="H8059" s="10" t="inlineStr">
        <is>
          <t>発</t>
        </is>
      </c>
      <c r="J8059" s="10" t="inlineStr">
        <is>
          <t>営業</t>
        </is>
      </c>
      <c r="L8059" t="inlineStr">
        <is>
          <t>19:25:25</t>
        </is>
      </c>
      <c r="M8059" t="inlineStr">
        <is>
          <t>19:25:50</t>
        </is>
      </c>
    </row>
    <row r="8060" ht="16.5" customHeight="1" s="37">
      <c r="A8060" t="n">
        <v>23</v>
      </c>
      <c r="B8060" s="10" t="inlineStr">
        <is>
          <t>平日</t>
        </is>
      </c>
      <c r="C8060" s="10" t="inlineStr">
        <is>
          <t>北野線</t>
        </is>
      </c>
      <c r="D8060" s="10" t="inlineStr">
        <is>
          <t>下り</t>
        </is>
      </c>
      <c r="E8060" t="inlineStr">
        <is>
          <t>1955</t>
        </is>
      </c>
      <c r="F8060" t="inlineStr">
        <is>
          <t>0453</t>
        </is>
      </c>
      <c r="G8060" s="10" t="inlineStr">
        <is>
          <t>妙心寺</t>
        </is>
      </c>
      <c r="H8060" s="10" t="inlineStr">
        <is>
          <t>発</t>
        </is>
      </c>
      <c r="J8060" s="10" t="inlineStr">
        <is>
          <t>営業</t>
        </is>
      </c>
      <c r="L8060" t="inlineStr">
        <is>
          <t>19:26:40</t>
        </is>
      </c>
      <c r="M8060" t="inlineStr">
        <is>
          <t>19:26:50</t>
        </is>
      </c>
    </row>
    <row r="8061" ht="16.5" customHeight="1" s="37">
      <c r="A8061" t="n">
        <v>23</v>
      </c>
      <c r="B8061" s="10" t="inlineStr">
        <is>
          <t>平日</t>
        </is>
      </c>
      <c r="C8061" s="10" t="inlineStr">
        <is>
          <t>北野線</t>
        </is>
      </c>
      <c r="D8061" s="10" t="inlineStr">
        <is>
          <t>下り</t>
        </is>
      </c>
      <c r="E8061" t="inlineStr">
        <is>
          <t>1955</t>
        </is>
      </c>
      <c r="F8061" t="inlineStr">
        <is>
          <t>0453</t>
        </is>
      </c>
      <c r="G8061" s="10" t="inlineStr">
        <is>
          <t>御室仁和寺</t>
        </is>
      </c>
      <c r="H8061" s="10" t="inlineStr">
        <is>
          <t>発</t>
        </is>
      </c>
      <c r="J8061" s="10" t="inlineStr">
        <is>
          <t>営業</t>
        </is>
      </c>
      <c r="L8061" t="inlineStr">
        <is>
          <t>19:27:50</t>
        </is>
      </c>
      <c r="M8061" t="inlineStr">
        <is>
          <t>19:28:05</t>
        </is>
      </c>
    </row>
    <row r="8062" ht="16.5" customHeight="1" s="37">
      <c r="A8062" t="n">
        <v>23</v>
      </c>
      <c r="B8062" s="10" t="inlineStr">
        <is>
          <t>平日</t>
        </is>
      </c>
      <c r="C8062" s="10" t="inlineStr">
        <is>
          <t>北野線</t>
        </is>
      </c>
      <c r="D8062" s="10" t="inlineStr">
        <is>
          <t>下り</t>
        </is>
      </c>
      <c r="E8062" t="inlineStr">
        <is>
          <t>1955</t>
        </is>
      </c>
      <c r="F8062" t="inlineStr">
        <is>
          <t>0453</t>
        </is>
      </c>
      <c r="G8062" s="10" t="inlineStr">
        <is>
          <t>宇多野</t>
        </is>
      </c>
      <c r="H8062" s="10" t="inlineStr">
        <is>
          <t>発</t>
        </is>
      </c>
      <c r="J8062" s="10" t="inlineStr">
        <is>
          <t>営業</t>
        </is>
      </c>
      <c r="L8062" t="inlineStr">
        <is>
          <t>19:29:05</t>
        </is>
      </c>
      <c r="M8062" t="inlineStr">
        <is>
          <t>19:29:15</t>
        </is>
      </c>
    </row>
    <row r="8063" ht="16.5" customHeight="1" s="37">
      <c r="A8063" t="n">
        <v>23</v>
      </c>
      <c r="B8063" s="10" t="inlineStr">
        <is>
          <t>平日</t>
        </is>
      </c>
      <c r="C8063" s="10" t="inlineStr">
        <is>
          <t>北野線</t>
        </is>
      </c>
      <c r="D8063" s="10" t="inlineStr">
        <is>
          <t>下り</t>
        </is>
      </c>
      <c r="E8063" t="inlineStr">
        <is>
          <t>1955</t>
        </is>
      </c>
      <c r="F8063" t="inlineStr">
        <is>
          <t>0453</t>
        </is>
      </c>
      <c r="G8063" s="10" t="inlineStr">
        <is>
          <t>鳴滝</t>
        </is>
      </c>
      <c r="H8063" s="10" t="inlineStr">
        <is>
          <t>発</t>
        </is>
      </c>
      <c r="J8063" s="10" t="inlineStr">
        <is>
          <t>営業</t>
        </is>
      </c>
      <c r="L8063" t="inlineStr">
        <is>
          <t>19:30:35</t>
        </is>
      </c>
      <c r="M8063" t="inlineStr">
        <is>
          <t>19:30:45</t>
        </is>
      </c>
    </row>
    <row r="8064" ht="16.5" customHeight="1" s="37">
      <c r="A8064" t="n">
        <v>23</v>
      </c>
      <c r="B8064" s="10" t="inlineStr">
        <is>
          <t>平日</t>
        </is>
      </c>
      <c r="C8064" s="10" t="inlineStr">
        <is>
          <t>北野線</t>
        </is>
      </c>
      <c r="D8064" s="10" t="inlineStr">
        <is>
          <t>下り</t>
        </is>
      </c>
      <c r="E8064" t="inlineStr">
        <is>
          <t>1955</t>
        </is>
      </c>
      <c r="F8064" t="inlineStr">
        <is>
          <t>0453</t>
        </is>
      </c>
      <c r="G8064" s="10" t="inlineStr">
        <is>
          <t>常盤</t>
        </is>
      </c>
      <c r="H8064" s="10" t="inlineStr">
        <is>
          <t>発</t>
        </is>
      </c>
      <c r="J8064" s="10" t="inlineStr">
        <is>
          <t>営業</t>
        </is>
      </c>
      <c r="L8064" t="inlineStr">
        <is>
          <t>19:31:35</t>
        </is>
      </c>
      <c r="M8064" t="inlineStr">
        <is>
          <t>19:31:55</t>
        </is>
      </c>
    </row>
    <row r="8065" ht="16.5" customHeight="1" s="37">
      <c r="A8065" t="n">
        <v>23</v>
      </c>
      <c r="B8065" s="10" t="inlineStr">
        <is>
          <t>平日</t>
        </is>
      </c>
      <c r="C8065" s="10" t="inlineStr">
        <is>
          <t>北野線</t>
        </is>
      </c>
      <c r="D8065" s="10" t="inlineStr">
        <is>
          <t>下り</t>
        </is>
      </c>
      <c r="E8065" t="inlineStr">
        <is>
          <t>1955</t>
        </is>
      </c>
      <c r="F8065" t="inlineStr">
        <is>
          <t>0453</t>
        </is>
      </c>
      <c r="G8065" s="10" t="inlineStr">
        <is>
          <t>撮影所前</t>
        </is>
      </c>
      <c r="H8065" s="10" t="inlineStr">
        <is>
          <t>発</t>
        </is>
      </c>
      <c r="J8065" s="10" t="inlineStr">
        <is>
          <t>営業</t>
        </is>
      </c>
      <c r="L8065" t="inlineStr">
        <is>
          <t>19:33:15</t>
        </is>
      </c>
      <c r="M8065" t="inlineStr">
        <is>
          <t>19:33:30</t>
        </is>
      </c>
    </row>
    <row r="8066" ht="16.5" customHeight="1" s="37">
      <c r="A8066" t="n">
        <v>23</v>
      </c>
      <c r="B8066" s="10" t="inlineStr">
        <is>
          <t>平日</t>
        </is>
      </c>
      <c r="C8066" s="10" t="inlineStr">
        <is>
          <t>北野線</t>
        </is>
      </c>
      <c r="D8066" s="10" t="inlineStr">
        <is>
          <t>下り</t>
        </is>
      </c>
      <c r="E8066" t="inlineStr">
        <is>
          <t>1955</t>
        </is>
      </c>
      <c r="F8066" t="inlineStr">
        <is>
          <t>0453</t>
        </is>
      </c>
      <c r="G8066" s="10" t="inlineStr">
        <is>
          <t>帷子ノ辻</t>
        </is>
      </c>
      <c r="H8066" s="10" t="inlineStr">
        <is>
          <t>着</t>
        </is>
      </c>
      <c r="J8066" s="10" t="inlineStr">
        <is>
          <t>営業</t>
        </is>
      </c>
      <c r="L8066" t="inlineStr">
        <is>
          <t>19:34:25</t>
        </is>
      </c>
      <c r="Q8066" t="inlineStr">
        <is>
          <t>4</t>
        </is>
      </c>
    </row>
    <row r="8067" ht="16.5" customHeight="1" s="37">
      <c r="A8067" t="n">
        <v>23</v>
      </c>
      <c r="B8067" s="10" t="inlineStr">
        <is>
          <t>平日</t>
        </is>
      </c>
      <c r="C8067" s="10" t="inlineStr">
        <is>
          <t>北野線</t>
        </is>
      </c>
      <c r="D8067" s="10" t="inlineStr">
        <is>
          <t>上り</t>
        </is>
      </c>
      <c r="E8067" t="inlineStr">
        <is>
          <t>1960</t>
        </is>
      </c>
      <c r="F8067" t="inlineStr">
        <is>
          <t>0304</t>
        </is>
      </c>
      <c r="G8067" s="10" t="inlineStr">
        <is>
          <t>帷子ノ辻</t>
        </is>
      </c>
      <c r="H8067" s="10" t="inlineStr">
        <is>
          <t>発</t>
        </is>
      </c>
      <c r="J8067" s="10" t="inlineStr">
        <is>
          <t>営業</t>
        </is>
      </c>
      <c r="M8067" t="inlineStr">
        <is>
          <t>19:46:25</t>
        </is>
      </c>
      <c r="Q8067" t="inlineStr">
        <is>
          <t>4</t>
        </is>
      </c>
    </row>
    <row r="8068" ht="16.5" customHeight="1" s="37">
      <c r="A8068" t="n">
        <v>23</v>
      </c>
      <c r="B8068" s="10" t="inlineStr">
        <is>
          <t>平日</t>
        </is>
      </c>
      <c r="C8068" s="10" t="inlineStr">
        <is>
          <t>北野線</t>
        </is>
      </c>
      <c r="D8068" s="10" t="inlineStr">
        <is>
          <t>上り</t>
        </is>
      </c>
      <c r="E8068" t="inlineStr">
        <is>
          <t>1960</t>
        </is>
      </c>
      <c r="F8068" t="inlineStr">
        <is>
          <t>0304</t>
        </is>
      </c>
      <c r="G8068" s="10" t="inlineStr">
        <is>
          <t>撮影所前</t>
        </is>
      </c>
      <c r="H8068" s="10" t="inlineStr">
        <is>
          <t>発</t>
        </is>
      </c>
      <c r="J8068" s="10" t="inlineStr">
        <is>
          <t>営業</t>
        </is>
      </c>
      <c r="L8068" t="inlineStr">
        <is>
          <t>19:47:25</t>
        </is>
      </c>
      <c r="M8068" t="inlineStr">
        <is>
          <t>19:47:40</t>
        </is>
      </c>
    </row>
    <row r="8069" ht="16.5" customHeight="1" s="37">
      <c r="A8069" t="n">
        <v>23</v>
      </c>
      <c r="B8069" s="10" t="inlineStr">
        <is>
          <t>平日</t>
        </is>
      </c>
      <c r="C8069" s="10" t="inlineStr">
        <is>
          <t>北野線</t>
        </is>
      </c>
      <c r="D8069" s="10" t="inlineStr">
        <is>
          <t>上り</t>
        </is>
      </c>
      <c r="E8069" t="inlineStr">
        <is>
          <t>1960</t>
        </is>
      </c>
      <c r="F8069" t="inlineStr">
        <is>
          <t>0304</t>
        </is>
      </c>
      <c r="G8069" s="10" t="inlineStr">
        <is>
          <t>常盤</t>
        </is>
      </c>
      <c r="H8069" s="10" t="inlineStr">
        <is>
          <t>発</t>
        </is>
      </c>
      <c r="J8069" s="10" t="inlineStr">
        <is>
          <t>営業</t>
        </is>
      </c>
      <c r="L8069" t="inlineStr">
        <is>
          <t>19:49:00</t>
        </is>
      </c>
      <c r="M8069" t="inlineStr">
        <is>
          <t>19:49:20</t>
        </is>
      </c>
    </row>
    <row r="8070" ht="16.5" customHeight="1" s="37">
      <c r="A8070" t="n">
        <v>23</v>
      </c>
      <c r="B8070" s="10" t="inlineStr">
        <is>
          <t>平日</t>
        </is>
      </c>
      <c r="C8070" s="10" t="inlineStr">
        <is>
          <t>北野線</t>
        </is>
      </c>
      <c r="D8070" s="10" t="inlineStr">
        <is>
          <t>上り</t>
        </is>
      </c>
      <c r="E8070" t="inlineStr">
        <is>
          <t>1960</t>
        </is>
      </c>
      <c r="F8070" t="inlineStr">
        <is>
          <t>0304</t>
        </is>
      </c>
      <c r="G8070" s="10" t="inlineStr">
        <is>
          <t>鳴滝</t>
        </is>
      </c>
      <c r="H8070" s="10" t="inlineStr">
        <is>
          <t>発</t>
        </is>
      </c>
      <c r="J8070" s="10" t="inlineStr">
        <is>
          <t>営業</t>
        </is>
      </c>
      <c r="L8070" t="inlineStr">
        <is>
          <t>19:50:20</t>
        </is>
      </c>
      <c r="M8070" t="inlineStr">
        <is>
          <t>19:50:40</t>
        </is>
      </c>
    </row>
    <row r="8071" ht="16.5" customHeight="1" s="37">
      <c r="A8071" t="n">
        <v>23</v>
      </c>
      <c r="B8071" s="10" t="inlineStr">
        <is>
          <t>平日</t>
        </is>
      </c>
      <c r="C8071" s="10" t="inlineStr">
        <is>
          <t>北野線</t>
        </is>
      </c>
      <c r="D8071" s="10" t="inlineStr">
        <is>
          <t>上り</t>
        </is>
      </c>
      <c r="E8071" t="inlineStr">
        <is>
          <t>1960</t>
        </is>
      </c>
      <c r="F8071" t="inlineStr">
        <is>
          <t>0304</t>
        </is>
      </c>
      <c r="G8071" s="10" t="inlineStr">
        <is>
          <t>宇多野</t>
        </is>
      </c>
      <c r="H8071" s="10" t="inlineStr">
        <is>
          <t>発</t>
        </is>
      </c>
      <c r="J8071" s="10" t="inlineStr">
        <is>
          <t>営業</t>
        </is>
      </c>
      <c r="L8071" t="inlineStr">
        <is>
          <t>19:52:00</t>
        </is>
      </c>
      <c r="M8071" t="inlineStr">
        <is>
          <t>19:52:15</t>
        </is>
      </c>
    </row>
    <row r="8072" ht="16.5" customHeight="1" s="37">
      <c r="A8072" t="n">
        <v>23</v>
      </c>
      <c r="B8072" s="10" t="inlineStr">
        <is>
          <t>平日</t>
        </is>
      </c>
      <c r="C8072" s="10" t="inlineStr">
        <is>
          <t>北野線</t>
        </is>
      </c>
      <c r="D8072" s="10" t="inlineStr">
        <is>
          <t>上り</t>
        </is>
      </c>
      <c r="E8072" t="inlineStr">
        <is>
          <t>1960</t>
        </is>
      </c>
      <c r="F8072" t="inlineStr">
        <is>
          <t>0304</t>
        </is>
      </c>
      <c r="G8072" s="10" t="inlineStr">
        <is>
          <t>御室仁和寺</t>
        </is>
      </c>
      <c r="H8072" s="10" t="inlineStr">
        <is>
          <t>発</t>
        </is>
      </c>
      <c r="J8072" s="10" t="inlineStr">
        <is>
          <t>営業</t>
        </is>
      </c>
      <c r="L8072" t="inlineStr">
        <is>
          <t>19:53:15</t>
        </is>
      </c>
      <c r="M8072" t="inlineStr">
        <is>
          <t>19:53:35</t>
        </is>
      </c>
    </row>
    <row r="8073" ht="16.5" customHeight="1" s="37">
      <c r="A8073" t="n">
        <v>23</v>
      </c>
      <c r="B8073" s="10" t="inlineStr">
        <is>
          <t>平日</t>
        </is>
      </c>
      <c r="C8073" s="10" t="inlineStr">
        <is>
          <t>北野線</t>
        </is>
      </c>
      <c r="D8073" s="10" t="inlineStr">
        <is>
          <t>上り</t>
        </is>
      </c>
      <c r="E8073" t="inlineStr">
        <is>
          <t>1960</t>
        </is>
      </c>
      <c r="F8073" t="inlineStr">
        <is>
          <t>0304</t>
        </is>
      </c>
      <c r="G8073" s="10" t="inlineStr">
        <is>
          <t>妙心寺</t>
        </is>
      </c>
      <c r="H8073" s="10" t="inlineStr">
        <is>
          <t>発</t>
        </is>
      </c>
      <c r="J8073" s="10" t="inlineStr">
        <is>
          <t>営業</t>
        </is>
      </c>
      <c r="L8073" t="inlineStr">
        <is>
          <t>19:54:35</t>
        </is>
      </c>
      <c r="M8073" t="inlineStr">
        <is>
          <t>19:54:50</t>
        </is>
      </c>
    </row>
    <row r="8074" ht="16.5" customHeight="1" s="37">
      <c r="A8074" t="n">
        <v>23</v>
      </c>
      <c r="B8074" s="10" t="inlineStr">
        <is>
          <t>平日</t>
        </is>
      </c>
      <c r="C8074" s="10" t="inlineStr">
        <is>
          <t>北野線</t>
        </is>
      </c>
      <c r="D8074" s="10" t="inlineStr">
        <is>
          <t>上り</t>
        </is>
      </c>
      <c r="E8074" t="inlineStr">
        <is>
          <t>1960</t>
        </is>
      </c>
      <c r="F8074" t="inlineStr">
        <is>
          <t>0304</t>
        </is>
      </c>
      <c r="G8074" s="10" t="inlineStr">
        <is>
          <t>龍安寺</t>
        </is>
      </c>
      <c r="H8074" s="10" t="inlineStr">
        <is>
          <t>発</t>
        </is>
      </c>
      <c r="J8074" s="10" t="inlineStr">
        <is>
          <t>営業</t>
        </is>
      </c>
      <c r="L8074" t="inlineStr">
        <is>
          <t>19:55:45</t>
        </is>
      </c>
      <c r="M8074" t="inlineStr">
        <is>
          <t>19:55:55</t>
        </is>
      </c>
    </row>
    <row r="8075" ht="16.5" customHeight="1" s="37">
      <c r="A8075" t="n">
        <v>23</v>
      </c>
      <c r="B8075" s="10" t="inlineStr">
        <is>
          <t>平日</t>
        </is>
      </c>
      <c r="C8075" s="10" t="inlineStr">
        <is>
          <t>北野線</t>
        </is>
      </c>
      <c r="D8075" s="10" t="inlineStr">
        <is>
          <t>上り</t>
        </is>
      </c>
      <c r="E8075" t="inlineStr">
        <is>
          <t>1960</t>
        </is>
      </c>
      <c r="F8075" t="inlineStr">
        <is>
          <t>0304</t>
        </is>
      </c>
      <c r="G8075" s="10" t="inlineStr">
        <is>
          <t>等持院</t>
        </is>
      </c>
      <c r="H8075" s="10" t="inlineStr">
        <is>
          <t>発</t>
        </is>
      </c>
      <c r="J8075" s="10" t="inlineStr">
        <is>
          <t>営業</t>
        </is>
      </c>
      <c r="L8075" t="inlineStr">
        <is>
          <t>19:56:35</t>
        </is>
      </c>
      <c r="M8075" t="inlineStr">
        <is>
          <t>19:56:55</t>
        </is>
      </c>
    </row>
    <row r="8076" ht="16.5" customHeight="1" s="37">
      <c r="A8076" t="n">
        <v>23</v>
      </c>
      <c r="B8076" s="10" t="inlineStr">
        <is>
          <t>平日</t>
        </is>
      </c>
      <c r="C8076" s="10" t="inlineStr">
        <is>
          <t>北野線</t>
        </is>
      </c>
      <c r="D8076" s="10" t="inlineStr">
        <is>
          <t>上り</t>
        </is>
      </c>
      <c r="E8076" t="inlineStr">
        <is>
          <t>1960</t>
        </is>
      </c>
      <c r="F8076" t="inlineStr">
        <is>
          <t>0304</t>
        </is>
      </c>
      <c r="G8076" s="10" t="inlineStr">
        <is>
          <t>北野白梅町</t>
        </is>
      </c>
      <c r="H8076" s="10" t="inlineStr">
        <is>
          <t>着</t>
        </is>
      </c>
      <c r="J8076" s="10" t="inlineStr">
        <is>
          <t>営業</t>
        </is>
      </c>
      <c r="L8076" t="inlineStr">
        <is>
          <t>19:58:15</t>
        </is>
      </c>
      <c r="N8076" t="inlineStr">
        <is>
          <t>○</t>
        </is>
      </c>
      <c r="Q8076" t="inlineStr">
        <is>
          <t>1</t>
        </is>
      </c>
    </row>
    <row r="8077" ht="16.5" customHeight="1" s="37">
      <c r="A8077" t="n">
        <v>23</v>
      </c>
      <c r="B8077" s="10" t="inlineStr">
        <is>
          <t>平日</t>
        </is>
      </c>
      <c r="C8077" s="10" t="inlineStr">
        <is>
          <t>北野線</t>
        </is>
      </c>
      <c r="D8077" s="10" t="inlineStr">
        <is>
          <t>下り</t>
        </is>
      </c>
      <c r="E8077" t="inlineStr">
        <is>
          <t>2051</t>
        </is>
      </c>
      <c r="F8077" t="inlineStr">
        <is>
          <t>0453</t>
        </is>
      </c>
      <c r="G8077" s="10" t="inlineStr">
        <is>
          <t>北野白梅町</t>
        </is>
      </c>
      <c r="H8077" s="10" t="inlineStr">
        <is>
          <t>発</t>
        </is>
      </c>
      <c r="J8077" s="10" t="inlineStr">
        <is>
          <t>営業</t>
        </is>
      </c>
      <c r="M8077" t="inlineStr">
        <is>
          <t>20:03:00</t>
        </is>
      </c>
      <c r="Q8077" t="inlineStr">
        <is>
          <t>1</t>
        </is>
      </c>
    </row>
    <row r="8078" ht="16.5" customHeight="1" s="37">
      <c r="A8078" t="n">
        <v>23</v>
      </c>
      <c r="B8078" s="10" t="inlineStr">
        <is>
          <t>平日</t>
        </is>
      </c>
      <c r="C8078" s="10" t="inlineStr">
        <is>
          <t>北野線</t>
        </is>
      </c>
      <c r="D8078" s="10" t="inlineStr">
        <is>
          <t>下り</t>
        </is>
      </c>
      <c r="E8078" t="inlineStr">
        <is>
          <t>2051</t>
        </is>
      </c>
      <c r="F8078" t="inlineStr">
        <is>
          <t>0453</t>
        </is>
      </c>
      <c r="G8078" s="10" t="inlineStr">
        <is>
          <t>等持院</t>
        </is>
      </c>
      <c r="H8078" s="10" t="inlineStr">
        <is>
          <t>発</t>
        </is>
      </c>
      <c r="J8078" s="10" t="inlineStr">
        <is>
          <t>営業</t>
        </is>
      </c>
      <c r="L8078" t="inlineStr">
        <is>
          <t>20:04:25</t>
        </is>
      </c>
      <c r="M8078" t="inlineStr">
        <is>
          <t>20:04:35</t>
        </is>
      </c>
    </row>
    <row r="8079" ht="16.5" customHeight="1" s="37">
      <c r="A8079" t="n">
        <v>23</v>
      </c>
      <c r="B8079" s="10" t="inlineStr">
        <is>
          <t>平日</t>
        </is>
      </c>
      <c r="C8079" s="10" t="inlineStr">
        <is>
          <t>北野線</t>
        </is>
      </c>
      <c r="D8079" s="10" t="inlineStr">
        <is>
          <t>下り</t>
        </is>
      </c>
      <c r="E8079" t="inlineStr">
        <is>
          <t>2051</t>
        </is>
      </c>
      <c r="F8079" t="inlineStr">
        <is>
          <t>0453</t>
        </is>
      </c>
      <c r="G8079" s="10" t="inlineStr">
        <is>
          <t>龍安寺</t>
        </is>
      </c>
      <c r="H8079" s="10" t="inlineStr">
        <is>
          <t>発</t>
        </is>
      </c>
      <c r="J8079" s="10" t="inlineStr">
        <is>
          <t>営業</t>
        </is>
      </c>
      <c r="L8079" t="inlineStr">
        <is>
          <t>20:05:25</t>
        </is>
      </c>
      <c r="M8079" t="inlineStr">
        <is>
          <t>20:05:50</t>
        </is>
      </c>
    </row>
    <row r="8080" ht="16.5" customHeight="1" s="37">
      <c r="A8080" t="n">
        <v>23</v>
      </c>
      <c r="B8080" s="10" t="inlineStr">
        <is>
          <t>平日</t>
        </is>
      </c>
      <c r="C8080" s="10" t="inlineStr">
        <is>
          <t>北野線</t>
        </is>
      </c>
      <c r="D8080" s="10" t="inlineStr">
        <is>
          <t>下り</t>
        </is>
      </c>
      <c r="E8080" t="inlineStr">
        <is>
          <t>2051</t>
        </is>
      </c>
      <c r="F8080" t="inlineStr">
        <is>
          <t>0453</t>
        </is>
      </c>
      <c r="G8080" s="10" t="inlineStr">
        <is>
          <t>妙心寺</t>
        </is>
      </c>
      <c r="H8080" s="10" t="inlineStr">
        <is>
          <t>発</t>
        </is>
      </c>
      <c r="J8080" s="10" t="inlineStr">
        <is>
          <t>営業</t>
        </is>
      </c>
      <c r="L8080" t="inlineStr">
        <is>
          <t>20:06:40</t>
        </is>
      </c>
      <c r="M8080" t="inlineStr">
        <is>
          <t>20:06:50</t>
        </is>
      </c>
    </row>
    <row r="8081" ht="16.5" customHeight="1" s="37">
      <c r="A8081" t="n">
        <v>23</v>
      </c>
      <c r="B8081" s="10" t="inlineStr">
        <is>
          <t>平日</t>
        </is>
      </c>
      <c r="C8081" s="10" t="inlineStr">
        <is>
          <t>北野線</t>
        </is>
      </c>
      <c r="D8081" s="10" t="inlineStr">
        <is>
          <t>下り</t>
        </is>
      </c>
      <c r="E8081" t="inlineStr">
        <is>
          <t>2051</t>
        </is>
      </c>
      <c r="F8081" t="inlineStr">
        <is>
          <t>0453</t>
        </is>
      </c>
      <c r="G8081" s="10" t="inlineStr">
        <is>
          <t>御室仁和寺</t>
        </is>
      </c>
      <c r="H8081" s="10" t="inlineStr">
        <is>
          <t>発</t>
        </is>
      </c>
      <c r="J8081" s="10" t="inlineStr">
        <is>
          <t>営業</t>
        </is>
      </c>
      <c r="L8081" t="inlineStr">
        <is>
          <t>20:07:50</t>
        </is>
      </c>
      <c r="M8081" t="inlineStr">
        <is>
          <t>20:08:05</t>
        </is>
      </c>
    </row>
    <row r="8082" ht="16.5" customHeight="1" s="37">
      <c r="A8082" t="n">
        <v>23</v>
      </c>
      <c r="B8082" s="10" t="inlineStr">
        <is>
          <t>平日</t>
        </is>
      </c>
      <c r="C8082" s="10" t="inlineStr">
        <is>
          <t>北野線</t>
        </is>
      </c>
      <c r="D8082" s="10" t="inlineStr">
        <is>
          <t>下り</t>
        </is>
      </c>
      <c r="E8082" t="inlineStr">
        <is>
          <t>2051</t>
        </is>
      </c>
      <c r="F8082" t="inlineStr">
        <is>
          <t>0453</t>
        </is>
      </c>
      <c r="G8082" s="10" t="inlineStr">
        <is>
          <t>宇多野</t>
        </is>
      </c>
      <c r="H8082" s="10" t="inlineStr">
        <is>
          <t>発</t>
        </is>
      </c>
      <c r="J8082" s="10" t="inlineStr">
        <is>
          <t>営業</t>
        </is>
      </c>
      <c r="L8082" t="inlineStr">
        <is>
          <t>20:09:05</t>
        </is>
      </c>
      <c r="M8082" t="inlineStr">
        <is>
          <t>20:09:15</t>
        </is>
      </c>
    </row>
    <row r="8083" ht="16.5" customHeight="1" s="37">
      <c r="A8083" t="n">
        <v>23</v>
      </c>
      <c r="B8083" s="10" t="inlineStr">
        <is>
          <t>平日</t>
        </is>
      </c>
      <c r="C8083" s="10" t="inlineStr">
        <is>
          <t>北野線</t>
        </is>
      </c>
      <c r="D8083" s="10" t="inlineStr">
        <is>
          <t>下り</t>
        </is>
      </c>
      <c r="E8083" t="inlineStr">
        <is>
          <t>2051</t>
        </is>
      </c>
      <c r="F8083" t="inlineStr">
        <is>
          <t>0453</t>
        </is>
      </c>
      <c r="G8083" s="10" t="inlineStr">
        <is>
          <t>鳴滝</t>
        </is>
      </c>
      <c r="H8083" s="10" t="inlineStr">
        <is>
          <t>発</t>
        </is>
      </c>
      <c r="J8083" s="10" t="inlineStr">
        <is>
          <t>営業</t>
        </is>
      </c>
      <c r="L8083" t="inlineStr">
        <is>
          <t>20:10:35</t>
        </is>
      </c>
      <c r="M8083" t="inlineStr">
        <is>
          <t>20:10:45</t>
        </is>
      </c>
    </row>
    <row r="8084" ht="16.5" customHeight="1" s="37">
      <c r="A8084" t="n">
        <v>23</v>
      </c>
      <c r="B8084" s="10" t="inlineStr">
        <is>
          <t>平日</t>
        </is>
      </c>
      <c r="C8084" s="10" t="inlineStr">
        <is>
          <t>北野線</t>
        </is>
      </c>
      <c r="D8084" s="10" t="inlineStr">
        <is>
          <t>下り</t>
        </is>
      </c>
      <c r="E8084" t="inlineStr">
        <is>
          <t>2051</t>
        </is>
      </c>
      <c r="F8084" t="inlineStr">
        <is>
          <t>0453</t>
        </is>
      </c>
      <c r="G8084" s="10" t="inlineStr">
        <is>
          <t>常盤</t>
        </is>
      </c>
      <c r="H8084" s="10" t="inlineStr">
        <is>
          <t>発</t>
        </is>
      </c>
      <c r="J8084" s="10" t="inlineStr">
        <is>
          <t>営業</t>
        </is>
      </c>
      <c r="L8084" t="inlineStr">
        <is>
          <t>20:11:35</t>
        </is>
      </c>
      <c r="M8084" t="inlineStr">
        <is>
          <t>20:11:55</t>
        </is>
      </c>
    </row>
    <row r="8085" ht="16.5" customHeight="1" s="37">
      <c r="A8085" t="n">
        <v>23</v>
      </c>
      <c r="B8085" s="10" t="inlineStr">
        <is>
          <t>平日</t>
        </is>
      </c>
      <c r="C8085" s="10" t="inlineStr">
        <is>
          <t>北野線</t>
        </is>
      </c>
      <c r="D8085" s="10" t="inlineStr">
        <is>
          <t>下り</t>
        </is>
      </c>
      <c r="E8085" t="inlineStr">
        <is>
          <t>2051</t>
        </is>
      </c>
      <c r="F8085" t="inlineStr">
        <is>
          <t>0453</t>
        </is>
      </c>
      <c r="G8085" s="10" t="inlineStr">
        <is>
          <t>撮影所前</t>
        </is>
      </c>
      <c r="H8085" s="10" t="inlineStr">
        <is>
          <t>発</t>
        </is>
      </c>
      <c r="J8085" s="10" t="inlineStr">
        <is>
          <t>営業</t>
        </is>
      </c>
      <c r="L8085" t="inlineStr">
        <is>
          <t>20:13:15</t>
        </is>
      </c>
      <c r="M8085" t="inlineStr">
        <is>
          <t>20:13:30</t>
        </is>
      </c>
    </row>
    <row r="8086" ht="16.5" customHeight="1" s="37">
      <c r="A8086" t="n">
        <v>23</v>
      </c>
      <c r="B8086" s="10" t="inlineStr">
        <is>
          <t>平日</t>
        </is>
      </c>
      <c r="C8086" s="10" t="inlineStr">
        <is>
          <t>北野線</t>
        </is>
      </c>
      <c r="D8086" s="10" t="inlineStr">
        <is>
          <t>下り</t>
        </is>
      </c>
      <c r="E8086" t="inlineStr">
        <is>
          <t>2051</t>
        </is>
      </c>
      <c r="F8086" t="inlineStr">
        <is>
          <t>0453</t>
        </is>
      </c>
      <c r="G8086" s="10" t="inlineStr">
        <is>
          <t>帷子ノ辻</t>
        </is>
      </c>
      <c r="H8086" s="10" t="inlineStr">
        <is>
          <t>着</t>
        </is>
      </c>
      <c r="J8086" s="10" t="inlineStr">
        <is>
          <t>営業</t>
        </is>
      </c>
      <c r="L8086" t="inlineStr">
        <is>
          <t>20:14:25</t>
        </is>
      </c>
      <c r="Q8086" t="inlineStr">
        <is>
          <t>4</t>
        </is>
      </c>
    </row>
    <row r="8087" ht="16.5" customHeight="1" s="37">
      <c r="A8087" t="n">
        <v>23</v>
      </c>
      <c r="B8087" s="10" t="inlineStr">
        <is>
          <t>平日</t>
        </is>
      </c>
      <c r="C8087" s="10" t="inlineStr">
        <is>
          <t>北野線</t>
        </is>
      </c>
      <c r="D8087" s="10" t="inlineStr">
        <is>
          <t>上り</t>
        </is>
      </c>
      <c r="E8087" t="inlineStr">
        <is>
          <t>2056</t>
        </is>
      </c>
      <c r="F8087" t="inlineStr">
        <is>
          <t>0304</t>
        </is>
      </c>
      <c r="G8087" s="10" t="inlineStr">
        <is>
          <t>帷子ノ辻</t>
        </is>
      </c>
      <c r="H8087" s="10" t="inlineStr">
        <is>
          <t>発</t>
        </is>
      </c>
      <c r="J8087" s="10" t="inlineStr">
        <is>
          <t>営業</t>
        </is>
      </c>
      <c r="M8087" t="inlineStr">
        <is>
          <t>20:26:25</t>
        </is>
      </c>
      <c r="Q8087" t="inlineStr">
        <is>
          <t>4</t>
        </is>
      </c>
    </row>
    <row r="8088" ht="16.5" customHeight="1" s="37">
      <c r="A8088" t="n">
        <v>23</v>
      </c>
      <c r="B8088" s="10" t="inlineStr">
        <is>
          <t>平日</t>
        </is>
      </c>
      <c r="C8088" s="10" t="inlineStr">
        <is>
          <t>北野線</t>
        </is>
      </c>
      <c r="D8088" s="10" t="inlineStr">
        <is>
          <t>上り</t>
        </is>
      </c>
      <c r="E8088" t="inlineStr">
        <is>
          <t>2056</t>
        </is>
      </c>
      <c r="F8088" t="inlineStr">
        <is>
          <t>0304</t>
        </is>
      </c>
      <c r="G8088" s="10" t="inlineStr">
        <is>
          <t>撮影所前</t>
        </is>
      </c>
      <c r="H8088" s="10" t="inlineStr">
        <is>
          <t>発</t>
        </is>
      </c>
      <c r="J8088" s="10" t="inlineStr">
        <is>
          <t>営業</t>
        </is>
      </c>
      <c r="L8088" t="inlineStr">
        <is>
          <t>20:27:25</t>
        </is>
      </c>
      <c r="M8088" t="inlineStr">
        <is>
          <t>20:27:40</t>
        </is>
      </c>
    </row>
    <row r="8089" ht="16.5" customHeight="1" s="37">
      <c r="A8089" t="n">
        <v>23</v>
      </c>
      <c r="B8089" s="10" t="inlineStr">
        <is>
          <t>平日</t>
        </is>
      </c>
      <c r="C8089" s="10" t="inlineStr">
        <is>
          <t>北野線</t>
        </is>
      </c>
      <c r="D8089" s="10" t="inlineStr">
        <is>
          <t>上り</t>
        </is>
      </c>
      <c r="E8089" t="inlineStr">
        <is>
          <t>2056</t>
        </is>
      </c>
      <c r="F8089" t="inlineStr">
        <is>
          <t>0304</t>
        </is>
      </c>
      <c r="G8089" s="10" t="inlineStr">
        <is>
          <t>常盤</t>
        </is>
      </c>
      <c r="H8089" s="10" t="inlineStr">
        <is>
          <t>発</t>
        </is>
      </c>
      <c r="J8089" s="10" t="inlineStr">
        <is>
          <t>営業</t>
        </is>
      </c>
      <c r="L8089" t="inlineStr">
        <is>
          <t>20:29:00</t>
        </is>
      </c>
      <c r="M8089" t="inlineStr">
        <is>
          <t>20:29:20</t>
        </is>
      </c>
    </row>
    <row r="8090" ht="16.5" customHeight="1" s="37">
      <c r="A8090" t="n">
        <v>23</v>
      </c>
      <c r="B8090" s="10" t="inlineStr">
        <is>
          <t>平日</t>
        </is>
      </c>
      <c r="C8090" s="10" t="inlineStr">
        <is>
          <t>北野線</t>
        </is>
      </c>
      <c r="D8090" s="10" t="inlineStr">
        <is>
          <t>上り</t>
        </is>
      </c>
      <c r="E8090" t="inlineStr">
        <is>
          <t>2056</t>
        </is>
      </c>
      <c r="F8090" t="inlineStr">
        <is>
          <t>0304</t>
        </is>
      </c>
      <c r="G8090" s="10" t="inlineStr">
        <is>
          <t>鳴滝</t>
        </is>
      </c>
      <c r="H8090" s="10" t="inlineStr">
        <is>
          <t>発</t>
        </is>
      </c>
      <c r="J8090" s="10" t="inlineStr">
        <is>
          <t>営業</t>
        </is>
      </c>
      <c r="L8090" t="inlineStr">
        <is>
          <t>20:30:20</t>
        </is>
      </c>
      <c r="M8090" t="inlineStr">
        <is>
          <t>20:30:40</t>
        </is>
      </c>
    </row>
    <row r="8091" ht="16.5" customHeight="1" s="37">
      <c r="A8091" t="n">
        <v>23</v>
      </c>
      <c r="B8091" s="10" t="inlineStr">
        <is>
          <t>平日</t>
        </is>
      </c>
      <c r="C8091" s="10" t="inlineStr">
        <is>
          <t>北野線</t>
        </is>
      </c>
      <c r="D8091" s="10" t="inlineStr">
        <is>
          <t>上り</t>
        </is>
      </c>
      <c r="E8091" t="inlineStr">
        <is>
          <t>2056</t>
        </is>
      </c>
      <c r="F8091" t="inlineStr">
        <is>
          <t>0304</t>
        </is>
      </c>
      <c r="G8091" s="10" t="inlineStr">
        <is>
          <t>宇多野</t>
        </is>
      </c>
      <c r="H8091" s="10" t="inlineStr">
        <is>
          <t>発</t>
        </is>
      </c>
      <c r="J8091" s="10" t="inlineStr">
        <is>
          <t>営業</t>
        </is>
      </c>
      <c r="L8091" t="inlineStr">
        <is>
          <t>20:32:00</t>
        </is>
      </c>
      <c r="M8091" t="inlineStr">
        <is>
          <t>20:32:15</t>
        </is>
      </c>
    </row>
    <row r="8092" ht="16.5" customHeight="1" s="37">
      <c r="A8092" t="n">
        <v>23</v>
      </c>
      <c r="B8092" s="10" t="inlineStr">
        <is>
          <t>平日</t>
        </is>
      </c>
      <c r="C8092" s="10" t="inlineStr">
        <is>
          <t>北野線</t>
        </is>
      </c>
      <c r="D8092" s="10" t="inlineStr">
        <is>
          <t>上り</t>
        </is>
      </c>
      <c r="E8092" t="inlineStr">
        <is>
          <t>2056</t>
        </is>
      </c>
      <c r="F8092" t="inlineStr">
        <is>
          <t>0304</t>
        </is>
      </c>
      <c r="G8092" s="10" t="inlineStr">
        <is>
          <t>御室仁和寺</t>
        </is>
      </c>
      <c r="H8092" s="10" t="inlineStr">
        <is>
          <t>発</t>
        </is>
      </c>
      <c r="J8092" s="10" t="inlineStr">
        <is>
          <t>営業</t>
        </is>
      </c>
      <c r="L8092" t="inlineStr">
        <is>
          <t>20:33:15</t>
        </is>
      </c>
      <c r="M8092" t="inlineStr">
        <is>
          <t>20:33:35</t>
        </is>
      </c>
    </row>
    <row r="8093" ht="16.5" customHeight="1" s="37">
      <c r="A8093" t="n">
        <v>23</v>
      </c>
      <c r="B8093" s="10" t="inlineStr">
        <is>
          <t>平日</t>
        </is>
      </c>
      <c r="C8093" s="10" t="inlineStr">
        <is>
          <t>北野線</t>
        </is>
      </c>
      <c r="D8093" s="10" t="inlineStr">
        <is>
          <t>上り</t>
        </is>
      </c>
      <c r="E8093" t="inlineStr">
        <is>
          <t>2056</t>
        </is>
      </c>
      <c r="F8093" t="inlineStr">
        <is>
          <t>0304</t>
        </is>
      </c>
      <c r="G8093" s="10" t="inlineStr">
        <is>
          <t>妙心寺</t>
        </is>
      </c>
      <c r="H8093" s="10" t="inlineStr">
        <is>
          <t>発</t>
        </is>
      </c>
      <c r="J8093" s="10" t="inlineStr">
        <is>
          <t>営業</t>
        </is>
      </c>
      <c r="L8093" t="inlineStr">
        <is>
          <t>20:34:35</t>
        </is>
      </c>
      <c r="M8093" t="inlineStr">
        <is>
          <t>20:34:50</t>
        </is>
      </c>
    </row>
    <row r="8094" ht="16.5" customHeight="1" s="37">
      <c r="A8094" t="n">
        <v>23</v>
      </c>
      <c r="B8094" s="10" t="inlineStr">
        <is>
          <t>平日</t>
        </is>
      </c>
      <c r="C8094" s="10" t="inlineStr">
        <is>
          <t>北野線</t>
        </is>
      </c>
      <c r="D8094" s="10" t="inlineStr">
        <is>
          <t>上り</t>
        </is>
      </c>
      <c r="E8094" t="inlineStr">
        <is>
          <t>2056</t>
        </is>
      </c>
      <c r="F8094" t="inlineStr">
        <is>
          <t>0304</t>
        </is>
      </c>
      <c r="G8094" s="10" t="inlineStr">
        <is>
          <t>龍安寺</t>
        </is>
      </c>
      <c r="H8094" s="10" t="inlineStr">
        <is>
          <t>発</t>
        </is>
      </c>
      <c r="J8094" s="10" t="inlineStr">
        <is>
          <t>営業</t>
        </is>
      </c>
      <c r="L8094" t="inlineStr">
        <is>
          <t>20:35:45</t>
        </is>
      </c>
      <c r="M8094" t="inlineStr">
        <is>
          <t>20:35:55</t>
        </is>
      </c>
    </row>
    <row r="8095" ht="16.5" customHeight="1" s="37">
      <c r="A8095" t="n">
        <v>23</v>
      </c>
      <c r="B8095" s="10" t="inlineStr">
        <is>
          <t>平日</t>
        </is>
      </c>
      <c r="C8095" s="10" t="inlineStr">
        <is>
          <t>北野線</t>
        </is>
      </c>
      <c r="D8095" s="10" t="inlineStr">
        <is>
          <t>上り</t>
        </is>
      </c>
      <c r="E8095" t="inlineStr">
        <is>
          <t>2056</t>
        </is>
      </c>
      <c r="F8095" t="inlineStr">
        <is>
          <t>0304</t>
        </is>
      </c>
      <c r="G8095" s="10" t="inlineStr">
        <is>
          <t>等持院</t>
        </is>
      </c>
      <c r="H8095" s="10" t="inlineStr">
        <is>
          <t>発</t>
        </is>
      </c>
      <c r="J8095" s="10" t="inlineStr">
        <is>
          <t>営業</t>
        </is>
      </c>
      <c r="L8095" t="inlineStr">
        <is>
          <t>20:36:35</t>
        </is>
      </c>
      <c r="M8095" t="inlineStr">
        <is>
          <t>20:36:55</t>
        </is>
      </c>
    </row>
    <row r="8096" ht="15" customHeight="1" s="37">
      <c r="A8096" t="n">
        <v>23</v>
      </c>
      <c r="B8096" s="10" t="inlineStr">
        <is>
          <t>平日</t>
        </is>
      </c>
      <c r="C8096" s="10" t="inlineStr">
        <is>
          <t>北野線</t>
        </is>
      </c>
      <c r="D8096" s="10" t="inlineStr">
        <is>
          <t>上り</t>
        </is>
      </c>
      <c r="E8096" t="inlineStr">
        <is>
          <t>2056</t>
        </is>
      </c>
      <c r="F8096" t="inlineStr">
        <is>
          <t>0304</t>
        </is>
      </c>
      <c r="G8096" s="10" t="inlineStr">
        <is>
          <t>北野白梅町</t>
        </is>
      </c>
      <c r="H8096" s="10" t="inlineStr">
        <is>
          <t>着</t>
        </is>
      </c>
      <c r="J8096" s="10" t="inlineStr">
        <is>
          <t>営業</t>
        </is>
      </c>
      <c r="L8096" t="inlineStr">
        <is>
          <t>20:38:15</t>
        </is>
      </c>
      <c r="N8096" t="inlineStr">
        <is>
          <t>○</t>
        </is>
      </c>
      <c r="Q8096" t="inlineStr">
        <is>
          <t>1</t>
        </is>
      </c>
    </row>
    <row r="8097" ht="15" customHeight="1" s="37">
      <c r="A8097" t="n">
        <v>23</v>
      </c>
      <c r="B8097" s="10" t="inlineStr">
        <is>
          <t>平日</t>
        </is>
      </c>
      <c r="C8097" s="10" t="inlineStr">
        <is>
          <t>北野線</t>
        </is>
      </c>
      <c r="D8097" s="10" t="inlineStr">
        <is>
          <t>下り</t>
        </is>
      </c>
      <c r="E8097" t="inlineStr">
        <is>
          <t>2059</t>
        </is>
      </c>
      <c r="F8097" t="inlineStr">
        <is>
          <t>0453</t>
        </is>
      </c>
      <c r="G8097" s="10" t="inlineStr">
        <is>
          <t>北野白梅町</t>
        </is>
      </c>
      <c r="H8097" s="10" t="inlineStr">
        <is>
          <t>発</t>
        </is>
      </c>
      <c r="J8097" s="10" t="inlineStr">
        <is>
          <t>営業</t>
        </is>
      </c>
      <c r="M8097" t="inlineStr">
        <is>
          <t>20:43:00</t>
        </is>
      </c>
      <c r="Q8097" t="inlineStr">
        <is>
          <t>1</t>
        </is>
      </c>
    </row>
    <row r="8098" ht="15" customHeight="1" s="37">
      <c r="A8098" t="n">
        <v>23</v>
      </c>
      <c r="B8098" s="10" t="inlineStr">
        <is>
          <t>平日</t>
        </is>
      </c>
      <c r="C8098" s="10" t="inlineStr">
        <is>
          <t>北野線</t>
        </is>
      </c>
      <c r="D8098" s="10" t="inlineStr">
        <is>
          <t>下り</t>
        </is>
      </c>
      <c r="E8098" t="inlineStr">
        <is>
          <t>2059</t>
        </is>
      </c>
      <c r="F8098" t="inlineStr">
        <is>
          <t>0453</t>
        </is>
      </c>
      <c r="G8098" s="10" t="inlineStr">
        <is>
          <t>等持院</t>
        </is>
      </c>
      <c r="H8098" s="10" t="inlineStr">
        <is>
          <t>発</t>
        </is>
      </c>
      <c r="J8098" s="10" t="inlineStr">
        <is>
          <t>営業</t>
        </is>
      </c>
      <c r="L8098" t="inlineStr">
        <is>
          <t>20:44:25</t>
        </is>
      </c>
      <c r="M8098" t="inlineStr">
        <is>
          <t>20:44:35</t>
        </is>
      </c>
    </row>
    <row r="8099" ht="15" customHeight="1" s="37">
      <c r="A8099" t="n">
        <v>23</v>
      </c>
      <c r="B8099" s="10" t="inlineStr">
        <is>
          <t>平日</t>
        </is>
      </c>
      <c r="C8099" s="10" t="inlineStr">
        <is>
          <t>北野線</t>
        </is>
      </c>
      <c r="D8099" s="10" t="inlineStr">
        <is>
          <t>下り</t>
        </is>
      </c>
      <c r="E8099" t="inlineStr">
        <is>
          <t>2059</t>
        </is>
      </c>
      <c r="F8099" t="inlineStr">
        <is>
          <t>0453</t>
        </is>
      </c>
      <c r="G8099" s="10" t="inlineStr">
        <is>
          <t>龍安寺</t>
        </is>
      </c>
      <c r="H8099" s="10" t="inlineStr">
        <is>
          <t>発</t>
        </is>
      </c>
      <c r="J8099" s="10" t="inlineStr">
        <is>
          <t>営業</t>
        </is>
      </c>
      <c r="L8099" t="inlineStr">
        <is>
          <t>20:45:25</t>
        </is>
      </c>
      <c r="M8099" t="inlineStr">
        <is>
          <t>20:45:50</t>
        </is>
      </c>
    </row>
    <row r="8100" ht="15" customHeight="1" s="37">
      <c r="A8100" t="n">
        <v>23</v>
      </c>
      <c r="B8100" s="10" t="inlineStr">
        <is>
          <t>平日</t>
        </is>
      </c>
      <c r="C8100" s="10" t="inlineStr">
        <is>
          <t>北野線</t>
        </is>
      </c>
      <c r="D8100" s="10" t="inlineStr">
        <is>
          <t>下り</t>
        </is>
      </c>
      <c r="E8100" t="inlineStr">
        <is>
          <t>2059</t>
        </is>
      </c>
      <c r="F8100" t="inlineStr">
        <is>
          <t>0453</t>
        </is>
      </c>
      <c r="G8100" s="10" t="inlineStr">
        <is>
          <t>妙心寺</t>
        </is>
      </c>
      <c r="H8100" s="10" t="inlineStr">
        <is>
          <t>発</t>
        </is>
      </c>
      <c r="J8100" s="10" t="inlineStr">
        <is>
          <t>営業</t>
        </is>
      </c>
      <c r="L8100" t="inlineStr">
        <is>
          <t>20:46:40</t>
        </is>
      </c>
      <c r="M8100" t="inlineStr">
        <is>
          <t>20:46:50</t>
        </is>
      </c>
    </row>
    <row r="8101" ht="15" customHeight="1" s="37">
      <c r="A8101" t="n">
        <v>23</v>
      </c>
      <c r="B8101" s="10" t="inlineStr">
        <is>
          <t>平日</t>
        </is>
      </c>
      <c r="C8101" s="10" t="inlineStr">
        <is>
          <t>北野線</t>
        </is>
      </c>
      <c r="D8101" s="10" t="inlineStr">
        <is>
          <t>下り</t>
        </is>
      </c>
      <c r="E8101" t="inlineStr">
        <is>
          <t>2059</t>
        </is>
      </c>
      <c r="F8101" t="inlineStr">
        <is>
          <t>0453</t>
        </is>
      </c>
      <c r="G8101" s="10" t="inlineStr">
        <is>
          <t>御室仁和寺</t>
        </is>
      </c>
      <c r="H8101" s="10" t="inlineStr">
        <is>
          <t>発</t>
        </is>
      </c>
      <c r="J8101" s="10" t="inlineStr">
        <is>
          <t>営業</t>
        </is>
      </c>
      <c r="L8101" t="inlineStr">
        <is>
          <t>20:47:50</t>
        </is>
      </c>
      <c r="M8101" t="inlineStr">
        <is>
          <t>20:48:05</t>
        </is>
      </c>
    </row>
    <row r="8102" ht="15" customHeight="1" s="37">
      <c r="A8102" t="n">
        <v>23</v>
      </c>
      <c r="B8102" s="10" t="inlineStr">
        <is>
          <t>平日</t>
        </is>
      </c>
      <c r="C8102" s="10" t="inlineStr">
        <is>
          <t>北野線</t>
        </is>
      </c>
      <c r="D8102" s="10" t="inlineStr">
        <is>
          <t>下り</t>
        </is>
      </c>
      <c r="E8102" t="inlineStr">
        <is>
          <t>2059</t>
        </is>
      </c>
      <c r="F8102" t="inlineStr">
        <is>
          <t>0453</t>
        </is>
      </c>
      <c r="G8102" s="10" t="inlineStr">
        <is>
          <t>宇多野</t>
        </is>
      </c>
      <c r="H8102" s="10" t="inlineStr">
        <is>
          <t>発</t>
        </is>
      </c>
      <c r="J8102" s="10" t="inlineStr">
        <is>
          <t>営業</t>
        </is>
      </c>
      <c r="L8102" t="inlineStr">
        <is>
          <t>20:49:05</t>
        </is>
      </c>
      <c r="M8102" t="inlineStr">
        <is>
          <t>20:49:15</t>
        </is>
      </c>
    </row>
    <row r="8103" ht="15" customHeight="1" s="37">
      <c r="A8103" t="n">
        <v>23</v>
      </c>
      <c r="B8103" s="10" t="inlineStr">
        <is>
          <t>平日</t>
        </is>
      </c>
      <c r="C8103" s="10" t="inlineStr">
        <is>
          <t>北野線</t>
        </is>
      </c>
      <c r="D8103" s="10" t="inlineStr">
        <is>
          <t>下り</t>
        </is>
      </c>
      <c r="E8103" t="inlineStr">
        <is>
          <t>2059</t>
        </is>
      </c>
      <c r="F8103" t="inlineStr">
        <is>
          <t>0453</t>
        </is>
      </c>
      <c r="G8103" s="10" t="inlineStr">
        <is>
          <t>鳴滝</t>
        </is>
      </c>
      <c r="H8103" s="10" t="inlineStr">
        <is>
          <t>発</t>
        </is>
      </c>
      <c r="J8103" s="10" t="inlineStr">
        <is>
          <t>営業</t>
        </is>
      </c>
      <c r="L8103" t="inlineStr">
        <is>
          <t>20:50:35</t>
        </is>
      </c>
      <c r="M8103" t="inlineStr">
        <is>
          <t>20:50:45</t>
        </is>
      </c>
    </row>
    <row r="8104" ht="15" customHeight="1" s="37">
      <c r="A8104" t="n">
        <v>23</v>
      </c>
      <c r="B8104" s="10" t="inlineStr">
        <is>
          <t>平日</t>
        </is>
      </c>
      <c r="C8104" s="10" t="inlineStr">
        <is>
          <t>北野線</t>
        </is>
      </c>
      <c r="D8104" s="10" t="inlineStr">
        <is>
          <t>下り</t>
        </is>
      </c>
      <c r="E8104" t="inlineStr">
        <is>
          <t>2059</t>
        </is>
      </c>
      <c r="F8104" t="inlineStr">
        <is>
          <t>0453</t>
        </is>
      </c>
      <c r="G8104" s="10" t="inlineStr">
        <is>
          <t>常盤</t>
        </is>
      </c>
      <c r="H8104" s="10" t="inlineStr">
        <is>
          <t>発</t>
        </is>
      </c>
      <c r="J8104" s="10" t="inlineStr">
        <is>
          <t>営業</t>
        </is>
      </c>
      <c r="L8104" t="inlineStr">
        <is>
          <t>20:51:35</t>
        </is>
      </c>
      <c r="M8104" t="inlineStr">
        <is>
          <t>20:51:55</t>
        </is>
      </c>
    </row>
    <row r="8105" ht="15" customHeight="1" s="37">
      <c r="A8105" t="n">
        <v>23</v>
      </c>
      <c r="B8105" s="10" t="inlineStr">
        <is>
          <t>平日</t>
        </is>
      </c>
      <c r="C8105" s="10" t="inlineStr">
        <is>
          <t>北野線</t>
        </is>
      </c>
      <c r="D8105" s="10" t="inlineStr">
        <is>
          <t>下り</t>
        </is>
      </c>
      <c r="E8105" t="inlineStr">
        <is>
          <t>2059</t>
        </is>
      </c>
      <c r="F8105" t="inlineStr">
        <is>
          <t>0453</t>
        </is>
      </c>
      <c r="G8105" s="10" t="inlineStr">
        <is>
          <t>撮影所前</t>
        </is>
      </c>
      <c r="H8105" s="10" t="inlineStr">
        <is>
          <t>発</t>
        </is>
      </c>
      <c r="J8105" s="10" t="inlineStr">
        <is>
          <t>営業</t>
        </is>
      </c>
      <c r="L8105" t="inlineStr">
        <is>
          <t>20:53:15</t>
        </is>
      </c>
      <c r="M8105" t="inlineStr">
        <is>
          <t>20:53:30</t>
        </is>
      </c>
    </row>
    <row r="8106" ht="15" customHeight="1" s="37">
      <c r="A8106" t="n">
        <v>23</v>
      </c>
      <c r="B8106" s="10" t="inlineStr">
        <is>
          <t>平日</t>
        </is>
      </c>
      <c r="C8106" s="10" t="inlineStr">
        <is>
          <t>北野線</t>
        </is>
      </c>
      <c r="D8106" s="10" t="inlineStr">
        <is>
          <t>下り</t>
        </is>
      </c>
      <c r="E8106" t="inlineStr">
        <is>
          <t>2059</t>
        </is>
      </c>
      <c r="F8106" t="inlineStr">
        <is>
          <t>0453</t>
        </is>
      </c>
      <c r="G8106" s="10" t="inlineStr">
        <is>
          <t>帷子ノ辻</t>
        </is>
      </c>
      <c r="H8106" s="10" t="inlineStr">
        <is>
          <t>着</t>
        </is>
      </c>
      <c r="J8106" s="10" t="inlineStr">
        <is>
          <t>営業</t>
        </is>
      </c>
      <c r="L8106" t="inlineStr">
        <is>
          <t>20:54:25</t>
        </is>
      </c>
      <c r="Q8106" t="inlineStr">
        <is>
          <t>4</t>
        </is>
      </c>
    </row>
    <row r="8107" ht="15" customHeight="1" s="37">
      <c r="A8107" t="n">
        <v>23</v>
      </c>
      <c r="B8107" s="10" t="inlineStr">
        <is>
          <t>平日</t>
        </is>
      </c>
      <c r="C8107" s="10" t="inlineStr">
        <is>
          <t>北野線</t>
        </is>
      </c>
      <c r="D8107" s="10" t="inlineStr">
        <is>
          <t>上り</t>
        </is>
      </c>
      <c r="E8107" t="inlineStr">
        <is>
          <t>2152</t>
        </is>
      </c>
      <c r="F8107" t="inlineStr">
        <is>
          <t>0304</t>
        </is>
      </c>
      <c r="G8107" s="10" t="inlineStr">
        <is>
          <t>帷子ノ辻</t>
        </is>
      </c>
      <c r="H8107" s="10" t="inlineStr">
        <is>
          <t>発</t>
        </is>
      </c>
      <c r="J8107" s="10" t="inlineStr">
        <is>
          <t>営業</t>
        </is>
      </c>
      <c r="M8107" t="inlineStr">
        <is>
          <t>21:06:25</t>
        </is>
      </c>
      <c r="Q8107" t="inlineStr">
        <is>
          <t>4</t>
        </is>
      </c>
      <c r="U8107" t="inlineStr">
        <is>
          <t>→帷子ノ辻 休憩(21:34〜22:00)</t>
        </is>
      </c>
    </row>
    <row r="8108" ht="15" customHeight="1" s="37">
      <c r="A8108" t="n">
        <v>23</v>
      </c>
      <c r="B8108" s="10" t="inlineStr">
        <is>
          <t>平日</t>
        </is>
      </c>
      <c r="C8108" s="10" t="inlineStr">
        <is>
          <t>北野線</t>
        </is>
      </c>
      <c r="D8108" s="10" t="inlineStr">
        <is>
          <t>上り</t>
        </is>
      </c>
      <c r="E8108" t="inlineStr">
        <is>
          <t>2152</t>
        </is>
      </c>
      <c r="F8108" t="inlineStr">
        <is>
          <t>0304</t>
        </is>
      </c>
      <c r="G8108" s="10" t="inlineStr">
        <is>
          <t>撮影所前</t>
        </is>
      </c>
      <c r="H8108" s="10" t="inlineStr">
        <is>
          <t>発</t>
        </is>
      </c>
      <c r="J8108" s="10" t="inlineStr">
        <is>
          <t>営業</t>
        </is>
      </c>
      <c r="L8108" t="inlineStr">
        <is>
          <t>21:07:25</t>
        </is>
      </c>
      <c r="M8108" t="inlineStr">
        <is>
          <t>21:07:40</t>
        </is>
      </c>
      <c r="U8108" t="inlineStr">
        <is>
          <t>→帷子ノ辻 休憩(21:34〜22:00)</t>
        </is>
      </c>
    </row>
    <row r="8109" ht="15" customHeight="1" s="37">
      <c r="A8109" t="n">
        <v>23</v>
      </c>
      <c r="B8109" s="10" t="inlineStr">
        <is>
          <t>平日</t>
        </is>
      </c>
      <c r="C8109" s="10" t="inlineStr">
        <is>
          <t>北野線</t>
        </is>
      </c>
      <c r="D8109" s="10" t="inlineStr">
        <is>
          <t>上り</t>
        </is>
      </c>
      <c r="E8109" t="inlineStr">
        <is>
          <t>2152</t>
        </is>
      </c>
      <c r="F8109" t="inlineStr">
        <is>
          <t>0304</t>
        </is>
      </c>
      <c r="G8109" s="10" t="inlineStr">
        <is>
          <t>常盤</t>
        </is>
      </c>
      <c r="H8109" s="10" t="inlineStr">
        <is>
          <t>発</t>
        </is>
      </c>
      <c r="J8109" s="10" t="inlineStr">
        <is>
          <t>営業</t>
        </is>
      </c>
      <c r="L8109" t="inlineStr">
        <is>
          <t>21:09:00</t>
        </is>
      </c>
      <c r="M8109" t="inlineStr">
        <is>
          <t>21:09:20</t>
        </is>
      </c>
      <c r="U8109" t="inlineStr">
        <is>
          <t>→帷子ノ辻 休憩(21:34〜22:00)</t>
        </is>
      </c>
    </row>
    <row r="8110" ht="15" customHeight="1" s="37">
      <c r="A8110" t="n">
        <v>23</v>
      </c>
      <c r="B8110" s="10" t="inlineStr">
        <is>
          <t>平日</t>
        </is>
      </c>
      <c r="C8110" s="10" t="inlineStr">
        <is>
          <t>北野線</t>
        </is>
      </c>
      <c r="D8110" s="10" t="inlineStr">
        <is>
          <t>上り</t>
        </is>
      </c>
      <c r="E8110" t="inlineStr">
        <is>
          <t>2152</t>
        </is>
      </c>
      <c r="F8110" t="inlineStr">
        <is>
          <t>0304</t>
        </is>
      </c>
      <c r="G8110" s="10" t="inlineStr">
        <is>
          <t>鳴滝</t>
        </is>
      </c>
      <c r="H8110" s="10" t="inlineStr">
        <is>
          <t>発</t>
        </is>
      </c>
      <c r="J8110" s="10" t="inlineStr">
        <is>
          <t>営業</t>
        </is>
      </c>
      <c r="L8110" t="inlineStr">
        <is>
          <t>21:10:20</t>
        </is>
      </c>
      <c r="M8110" t="inlineStr">
        <is>
          <t>21:10:40</t>
        </is>
      </c>
      <c r="U8110" t="inlineStr">
        <is>
          <t>→帷子ノ辻 休憩(21:34〜22:00)</t>
        </is>
      </c>
    </row>
    <row r="8111" ht="15" customHeight="1" s="37">
      <c r="A8111" t="n">
        <v>23</v>
      </c>
      <c r="B8111" s="10" t="inlineStr">
        <is>
          <t>平日</t>
        </is>
      </c>
      <c r="C8111" s="10" t="inlineStr">
        <is>
          <t>北野線</t>
        </is>
      </c>
      <c r="D8111" s="10" t="inlineStr">
        <is>
          <t>上り</t>
        </is>
      </c>
      <c r="E8111" t="inlineStr">
        <is>
          <t>2152</t>
        </is>
      </c>
      <c r="F8111" t="inlineStr">
        <is>
          <t>0304</t>
        </is>
      </c>
      <c r="G8111" s="10" t="inlineStr">
        <is>
          <t>宇多野</t>
        </is>
      </c>
      <c r="H8111" s="10" t="inlineStr">
        <is>
          <t>発</t>
        </is>
      </c>
      <c r="J8111" s="10" t="inlineStr">
        <is>
          <t>営業</t>
        </is>
      </c>
      <c r="L8111" t="inlineStr">
        <is>
          <t>21:12:00</t>
        </is>
      </c>
      <c r="M8111" t="inlineStr">
        <is>
          <t>21:12:15</t>
        </is>
      </c>
      <c r="U8111" t="inlineStr">
        <is>
          <t>→帷子ノ辻 休憩(21:34〜22:00)</t>
        </is>
      </c>
    </row>
    <row r="8112" ht="15" customHeight="1" s="37">
      <c r="A8112" t="n">
        <v>23</v>
      </c>
      <c r="B8112" s="10" t="inlineStr">
        <is>
          <t>平日</t>
        </is>
      </c>
      <c r="C8112" s="10" t="inlineStr">
        <is>
          <t>北野線</t>
        </is>
      </c>
      <c r="D8112" s="10" t="inlineStr">
        <is>
          <t>上り</t>
        </is>
      </c>
      <c r="E8112" t="inlineStr">
        <is>
          <t>2152</t>
        </is>
      </c>
      <c r="F8112" t="inlineStr">
        <is>
          <t>0304</t>
        </is>
      </c>
      <c r="G8112" s="10" t="inlineStr">
        <is>
          <t>御室仁和寺</t>
        </is>
      </c>
      <c r="H8112" s="10" t="inlineStr">
        <is>
          <t>発</t>
        </is>
      </c>
      <c r="J8112" s="10" t="inlineStr">
        <is>
          <t>営業</t>
        </is>
      </c>
      <c r="L8112" t="inlineStr">
        <is>
          <t>21:13:15</t>
        </is>
      </c>
      <c r="M8112" t="inlineStr">
        <is>
          <t>21:13:35</t>
        </is>
      </c>
      <c r="U8112" t="inlineStr">
        <is>
          <t>→帷子ノ辻 休憩(21:34〜22:00)</t>
        </is>
      </c>
    </row>
    <row r="8113" ht="15" customHeight="1" s="37">
      <c r="A8113" t="n">
        <v>23</v>
      </c>
      <c r="B8113" s="10" t="inlineStr">
        <is>
          <t>平日</t>
        </is>
      </c>
      <c r="C8113" s="10" t="inlineStr">
        <is>
          <t>北野線</t>
        </is>
      </c>
      <c r="D8113" s="10" t="inlineStr">
        <is>
          <t>上り</t>
        </is>
      </c>
      <c r="E8113" t="inlineStr">
        <is>
          <t>2152</t>
        </is>
      </c>
      <c r="F8113" t="inlineStr">
        <is>
          <t>0304</t>
        </is>
      </c>
      <c r="G8113" s="10" t="inlineStr">
        <is>
          <t>妙心寺</t>
        </is>
      </c>
      <c r="H8113" s="10" t="inlineStr">
        <is>
          <t>発</t>
        </is>
      </c>
      <c r="J8113" s="10" t="inlineStr">
        <is>
          <t>営業</t>
        </is>
      </c>
      <c r="L8113" t="inlineStr">
        <is>
          <t>21:14:35</t>
        </is>
      </c>
      <c r="M8113" t="inlineStr">
        <is>
          <t>21:14:50</t>
        </is>
      </c>
      <c r="U8113" t="inlineStr">
        <is>
          <t>→帷子ノ辻 休憩(21:34〜22:00)</t>
        </is>
      </c>
    </row>
    <row r="8114" ht="15" customHeight="1" s="37">
      <c r="A8114" t="n">
        <v>23</v>
      </c>
      <c r="B8114" s="10" t="inlineStr">
        <is>
          <t>平日</t>
        </is>
      </c>
      <c r="C8114" s="10" t="inlineStr">
        <is>
          <t>北野線</t>
        </is>
      </c>
      <c r="D8114" s="10" t="inlineStr">
        <is>
          <t>上り</t>
        </is>
      </c>
      <c r="E8114" t="inlineStr">
        <is>
          <t>2152</t>
        </is>
      </c>
      <c r="F8114" t="inlineStr">
        <is>
          <t>0304</t>
        </is>
      </c>
      <c r="G8114" s="10" t="inlineStr">
        <is>
          <t>龍安寺</t>
        </is>
      </c>
      <c r="H8114" s="10" t="inlineStr">
        <is>
          <t>発</t>
        </is>
      </c>
      <c r="J8114" s="10" t="inlineStr">
        <is>
          <t>営業</t>
        </is>
      </c>
      <c r="L8114" t="inlineStr">
        <is>
          <t>21:15:45</t>
        </is>
      </c>
      <c r="M8114" t="inlineStr">
        <is>
          <t>21:15:55</t>
        </is>
      </c>
      <c r="U8114" t="inlineStr">
        <is>
          <t>→帷子ノ辻 休憩(21:34〜22:00)</t>
        </is>
      </c>
    </row>
    <row r="8115" ht="15" customHeight="1" s="37">
      <c r="A8115" t="n">
        <v>23</v>
      </c>
      <c r="B8115" s="10" t="inlineStr">
        <is>
          <t>平日</t>
        </is>
      </c>
      <c r="C8115" s="10" t="inlineStr">
        <is>
          <t>北野線</t>
        </is>
      </c>
      <c r="D8115" s="10" t="inlineStr">
        <is>
          <t>上り</t>
        </is>
      </c>
      <c r="E8115" t="inlineStr">
        <is>
          <t>2152</t>
        </is>
      </c>
      <c r="F8115" t="inlineStr">
        <is>
          <t>0304</t>
        </is>
      </c>
      <c r="G8115" s="10" t="inlineStr">
        <is>
          <t>等持院</t>
        </is>
      </c>
      <c r="H8115" s="10" t="inlineStr">
        <is>
          <t>発</t>
        </is>
      </c>
      <c r="J8115" s="10" t="inlineStr">
        <is>
          <t>営業</t>
        </is>
      </c>
      <c r="L8115" t="inlineStr">
        <is>
          <t>21:16:35</t>
        </is>
      </c>
      <c r="M8115" t="inlineStr">
        <is>
          <t>21:16:55</t>
        </is>
      </c>
      <c r="U8115" t="inlineStr">
        <is>
          <t>→帷子ノ辻 休憩(21:34〜22:00)</t>
        </is>
      </c>
    </row>
    <row r="8116" ht="15" customHeight="1" s="37">
      <c r="A8116" t="n">
        <v>23</v>
      </c>
      <c r="B8116" s="10" t="inlineStr">
        <is>
          <t>平日</t>
        </is>
      </c>
      <c r="C8116" s="10" t="inlineStr">
        <is>
          <t>北野線</t>
        </is>
      </c>
      <c r="D8116" s="10" t="inlineStr">
        <is>
          <t>上り</t>
        </is>
      </c>
      <c r="E8116" t="inlineStr">
        <is>
          <t>2152</t>
        </is>
      </c>
      <c r="F8116" t="inlineStr">
        <is>
          <t>0304</t>
        </is>
      </c>
      <c r="G8116" s="10" t="inlineStr">
        <is>
          <t>北野白梅町</t>
        </is>
      </c>
      <c r="H8116" s="10" t="inlineStr">
        <is>
          <t>着</t>
        </is>
      </c>
      <c r="J8116" s="10" t="inlineStr">
        <is>
          <t>営業</t>
        </is>
      </c>
      <c r="L8116" t="inlineStr">
        <is>
          <t>21:18:15</t>
        </is>
      </c>
      <c r="N8116" t="inlineStr">
        <is>
          <t>○</t>
        </is>
      </c>
      <c r="Q8116" t="inlineStr">
        <is>
          <t>1</t>
        </is>
      </c>
      <c r="U8116" t="inlineStr">
        <is>
          <t>→帷子ノ辻 休憩(21:34〜22:00)</t>
        </is>
      </c>
    </row>
    <row r="8117" ht="15" customHeight="1" s="37">
      <c r="A8117" t="n">
        <v>23</v>
      </c>
      <c r="B8117" s="10" t="inlineStr">
        <is>
          <t>平日</t>
        </is>
      </c>
      <c r="C8117" s="10" t="inlineStr">
        <is>
          <t>北野線</t>
        </is>
      </c>
      <c r="D8117" s="10" t="inlineStr">
        <is>
          <t>下り</t>
        </is>
      </c>
      <c r="E8117" t="inlineStr">
        <is>
          <t>2155</t>
        </is>
      </c>
      <c r="F8117" t="inlineStr">
        <is>
          <t>0453</t>
        </is>
      </c>
      <c r="G8117" s="10" t="inlineStr">
        <is>
          <t>北野白梅町</t>
        </is>
      </c>
      <c r="H8117" s="10" t="inlineStr">
        <is>
          <t>発</t>
        </is>
      </c>
      <c r="J8117" s="10" t="inlineStr">
        <is>
          <t>営業</t>
        </is>
      </c>
      <c r="M8117" t="inlineStr">
        <is>
          <t>21:23:00</t>
        </is>
      </c>
      <c r="Q8117" t="inlineStr">
        <is>
          <t>1</t>
        </is>
      </c>
      <c r="U8117" t="inlineStr">
        <is>
          <t>→帷子ノ辻 休憩(21:34〜22:00)</t>
        </is>
      </c>
    </row>
    <row r="8118" ht="15" customHeight="1" s="37">
      <c r="A8118" t="n">
        <v>23</v>
      </c>
      <c r="B8118" s="10" t="inlineStr">
        <is>
          <t>平日</t>
        </is>
      </c>
      <c r="C8118" s="10" t="inlineStr">
        <is>
          <t>北野線</t>
        </is>
      </c>
      <c r="D8118" s="10" t="inlineStr">
        <is>
          <t>下り</t>
        </is>
      </c>
      <c r="E8118" t="inlineStr">
        <is>
          <t>2155</t>
        </is>
      </c>
      <c r="F8118" t="inlineStr">
        <is>
          <t>0453</t>
        </is>
      </c>
      <c r="G8118" s="10" t="inlineStr">
        <is>
          <t>等持院</t>
        </is>
      </c>
      <c r="H8118" s="10" t="inlineStr">
        <is>
          <t>発</t>
        </is>
      </c>
      <c r="J8118" s="10" t="inlineStr">
        <is>
          <t>営業</t>
        </is>
      </c>
      <c r="L8118" t="inlineStr">
        <is>
          <t>21:24:25</t>
        </is>
      </c>
      <c r="M8118" t="inlineStr">
        <is>
          <t>21:24:35</t>
        </is>
      </c>
      <c r="U8118" t="inlineStr">
        <is>
          <t>→帷子ノ辻 休憩(21:34〜22:00)</t>
        </is>
      </c>
    </row>
    <row r="8119" ht="15" customHeight="1" s="37">
      <c r="A8119" t="n">
        <v>23</v>
      </c>
      <c r="B8119" s="10" t="inlineStr">
        <is>
          <t>平日</t>
        </is>
      </c>
      <c r="C8119" s="10" t="inlineStr">
        <is>
          <t>北野線</t>
        </is>
      </c>
      <c r="D8119" s="10" t="inlineStr">
        <is>
          <t>下り</t>
        </is>
      </c>
      <c r="E8119" t="inlineStr">
        <is>
          <t>2155</t>
        </is>
      </c>
      <c r="F8119" t="inlineStr">
        <is>
          <t>0453</t>
        </is>
      </c>
      <c r="G8119" s="10" t="inlineStr">
        <is>
          <t>龍安寺</t>
        </is>
      </c>
      <c r="H8119" s="10" t="inlineStr">
        <is>
          <t>発</t>
        </is>
      </c>
      <c r="J8119" s="10" t="inlineStr">
        <is>
          <t>営業</t>
        </is>
      </c>
      <c r="L8119" t="inlineStr">
        <is>
          <t>21:25:25</t>
        </is>
      </c>
      <c r="M8119" t="inlineStr">
        <is>
          <t>21:25:50</t>
        </is>
      </c>
      <c r="U8119" t="inlineStr">
        <is>
          <t>→帷子ノ辻 休憩(21:34〜22:00)</t>
        </is>
      </c>
    </row>
    <row r="8120" ht="15" customHeight="1" s="37">
      <c r="A8120" t="n">
        <v>23</v>
      </c>
      <c r="B8120" s="10" t="inlineStr">
        <is>
          <t>平日</t>
        </is>
      </c>
      <c r="C8120" s="10" t="inlineStr">
        <is>
          <t>北野線</t>
        </is>
      </c>
      <c r="D8120" s="10" t="inlineStr">
        <is>
          <t>下り</t>
        </is>
      </c>
      <c r="E8120" t="inlineStr">
        <is>
          <t>2155</t>
        </is>
      </c>
      <c r="F8120" t="inlineStr">
        <is>
          <t>0453</t>
        </is>
      </c>
      <c r="G8120" s="10" t="inlineStr">
        <is>
          <t>妙心寺</t>
        </is>
      </c>
      <c r="H8120" s="10" t="inlineStr">
        <is>
          <t>発</t>
        </is>
      </c>
      <c r="J8120" s="10" t="inlineStr">
        <is>
          <t>営業</t>
        </is>
      </c>
      <c r="L8120" t="inlineStr">
        <is>
          <t>21:26:40</t>
        </is>
      </c>
      <c r="M8120" t="inlineStr">
        <is>
          <t>21:26:50</t>
        </is>
      </c>
      <c r="U8120" t="inlineStr">
        <is>
          <t>→帷子ノ辻 休憩(21:34〜22:00)</t>
        </is>
      </c>
    </row>
    <row r="8121" ht="15" customHeight="1" s="37">
      <c r="A8121" t="n">
        <v>23</v>
      </c>
      <c r="B8121" s="10" t="inlineStr">
        <is>
          <t>平日</t>
        </is>
      </c>
      <c r="C8121" s="10" t="inlineStr">
        <is>
          <t>北野線</t>
        </is>
      </c>
      <c r="D8121" s="10" t="inlineStr">
        <is>
          <t>下り</t>
        </is>
      </c>
      <c r="E8121" t="inlineStr">
        <is>
          <t>2155</t>
        </is>
      </c>
      <c r="F8121" t="inlineStr">
        <is>
          <t>0453</t>
        </is>
      </c>
      <c r="G8121" s="10" t="inlineStr">
        <is>
          <t>御室仁和寺</t>
        </is>
      </c>
      <c r="H8121" s="10" t="inlineStr">
        <is>
          <t>発</t>
        </is>
      </c>
      <c r="J8121" s="10" t="inlineStr">
        <is>
          <t>営業</t>
        </is>
      </c>
      <c r="L8121" t="inlineStr">
        <is>
          <t>21:27:50</t>
        </is>
      </c>
      <c r="M8121" t="inlineStr">
        <is>
          <t>21:28:05</t>
        </is>
      </c>
      <c r="U8121" t="inlineStr">
        <is>
          <t>→帷子ノ辻 休憩(21:34〜22:00)</t>
        </is>
      </c>
    </row>
    <row r="8122" ht="15" customHeight="1" s="37">
      <c r="A8122" t="n">
        <v>23</v>
      </c>
      <c r="B8122" s="10" t="inlineStr">
        <is>
          <t>平日</t>
        </is>
      </c>
      <c r="C8122" s="10" t="inlineStr">
        <is>
          <t>北野線</t>
        </is>
      </c>
      <c r="D8122" s="10" t="inlineStr">
        <is>
          <t>下り</t>
        </is>
      </c>
      <c r="E8122" t="inlineStr">
        <is>
          <t>2155</t>
        </is>
      </c>
      <c r="F8122" t="inlineStr">
        <is>
          <t>0453</t>
        </is>
      </c>
      <c r="G8122" s="10" t="inlineStr">
        <is>
          <t>宇多野</t>
        </is>
      </c>
      <c r="H8122" s="10" t="inlineStr">
        <is>
          <t>発</t>
        </is>
      </c>
      <c r="J8122" s="10" t="inlineStr">
        <is>
          <t>営業</t>
        </is>
      </c>
      <c r="L8122" t="inlineStr">
        <is>
          <t>21:29:05</t>
        </is>
      </c>
      <c r="M8122" t="inlineStr">
        <is>
          <t>21:29:15</t>
        </is>
      </c>
      <c r="U8122" t="inlineStr">
        <is>
          <t>→帷子ノ辻 休憩(21:34〜22:00)</t>
        </is>
      </c>
    </row>
    <row r="8123" ht="15" customHeight="1" s="37">
      <c r="A8123" t="n">
        <v>23</v>
      </c>
      <c r="B8123" s="10" t="inlineStr">
        <is>
          <t>平日</t>
        </is>
      </c>
      <c r="C8123" s="10" t="inlineStr">
        <is>
          <t>北野線</t>
        </is>
      </c>
      <c r="D8123" s="10" t="inlineStr">
        <is>
          <t>下り</t>
        </is>
      </c>
      <c r="E8123" t="inlineStr">
        <is>
          <t>2155</t>
        </is>
      </c>
      <c r="F8123" t="inlineStr">
        <is>
          <t>0453</t>
        </is>
      </c>
      <c r="G8123" s="10" t="inlineStr">
        <is>
          <t>鳴滝</t>
        </is>
      </c>
      <c r="H8123" s="10" t="inlineStr">
        <is>
          <t>発</t>
        </is>
      </c>
      <c r="J8123" s="10" t="inlineStr">
        <is>
          <t>営業</t>
        </is>
      </c>
      <c r="L8123" t="inlineStr">
        <is>
          <t>21:30:35</t>
        </is>
      </c>
      <c r="M8123" t="inlineStr">
        <is>
          <t>21:30:45</t>
        </is>
      </c>
      <c r="U8123" t="inlineStr">
        <is>
          <t>→帷子ノ辻 休憩(21:34〜22:00)</t>
        </is>
      </c>
    </row>
    <row r="8124" ht="15" customHeight="1" s="37">
      <c r="A8124" t="n">
        <v>23</v>
      </c>
      <c r="B8124" s="10" t="inlineStr">
        <is>
          <t>平日</t>
        </is>
      </c>
      <c r="C8124" s="10" t="inlineStr">
        <is>
          <t>北野線</t>
        </is>
      </c>
      <c r="D8124" s="10" t="inlineStr">
        <is>
          <t>下り</t>
        </is>
      </c>
      <c r="E8124" t="inlineStr">
        <is>
          <t>2155</t>
        </is>
      </c>
      <c r="F8124" t="inlineStr">
        <is>
          <t>0453</t>
        </is>
      </c>
      <c r="G8124" s="10" t="inlineStr">
        <is>
          <t>常盤</t>
        </is>
      </c>
      <c r="H8124" s="10" t="inlineStr">
        <is>
          <t>発</t>
        </is>
      </c>
      <c r="J8124" s="10" t="inlineStr">
        <is>
          <t>営業</t>
        </is>
      </c>
      <c r="L8124" t="inlineStr">
        <is>
          <t>21:31:35</t>
        </is>
      </c>
      <c r="M8124" t="inlineStr">
        <is>
          <t>21:31:55</t>
        </is>
      </c>
      <c r="U8124" t="inlineStr">
        <is>
          <t>→帷子ノ辻 休憩(21:34〜22:00)</t>
        </is>
      </c>
    </row>
    <row r="8125" ht="15" customHeight="1" s="37">
      <c r="A8125" t="n">
        <v>23</v>
      </c>
      <c r="B8125" s="10" t="inlineStr">
        <is>
          <t>平日</t>
        </is>
      </c>
      <c r="C8125" s="10" t="inlineStr">
        <is>
          <t>北野線</t>
        </is>
      </c>
      <c r="D8125" s="10" t="inlineStr">
        <is>
          <t>下り</t>
        </is>
      </c>
      <c r="E8125" t="inlineStr">
        <is>
          <t>2155</t>
        </is>
      </c>
      <c r="F8125" t="inlineStr">
        <is>
          <t>0453</t>
        </is>
      </c>
      <c r="G8125" s="10" t="inlineStr">
        <is>
          <t>撮影所前</t>
        </is>
      </c>
      <c r="H8125" s="10" t="inlineStr">
        <is>
          <t>発</t>
        </is>
      </c>
      <c r="J8125" s="10" t="inlineStr">
        <is>
          <t>営業</t>
        </is>
      </c>
      <c r="L8125" t="inlineStr">
        <is>
          <t>21:33:15</t>
        </is>
      </c>
      <c r="M8125" t="inlineStr">
        <is>
          <t>21:33:30</t>
        </is>
      </c>
      <c r="U8125" t="inlineStr">
        <is>
          <t>→帷子ノ辻 休憩(21:34〜22:00)</t>
        </is>
      </c>
    </row>
    <row r="8126" ht="15" customHeight="1" s="37">
      <c r="A8126" t="n">
        <v>23</v>
      </c>
      <c r="B8126" s="10" t="inlineStr">
        <is>
          <t>平日</t>
        </is>
      </c>
      <c r="C8126" s="10" t="inlineStr">
        <is>
          <t>北野線</t>
        </is>
      </c>
      <c r="D8126" s="10" t="inlineStr">
        <is>
          <t>下り</t>
        </is>
      </c>
      <c r="E8126" t="inlineStr">
        <is>
          <t>2155</t>
        </is>
      </c>
      <c r="F8126" t="inlineStr">
        <is>
          <t>0453</t>
        </is>
      </c>
      <c r="G8126" s="10" t="inlineStr">
        <is>
          <t>帷子ノ辻</t>
        </is>
      </c>
      <c r="H8126" s="10" t="inlineStr">
        <is>
          <t>着</t>
        </is>
      </c>
      <c r="J8126" s="10" t="inlineStr">
        <is>
          <t>営業</t>
        </is>
      </c>
      <c r="L8126" t="inlineStr">
        <is>
          <t>21:34:25</t>
        </is>
      </c>
      <c r="Q8126" t="inlineStr">
        <is>
          <t>3留</t>
        </is>
      </c>
      <c r="U8126" t="inlineStr">
        <is>
          <t>→帷子ノ辻 休憩(21:34〜22:00)</t>
        </is>
      </c>
    </row>
    <row r="8127" ht="15" customHeight="1" s="37">
      <c r="A8127" t="n">
        <v>23</v>
      </c>
      <c r="B8127" s="10" t="inlineStr">
        <is>
          <t>平日</t>
        </is>
      </c>
      <c r="C8127" s="10" t="inlineStr">
        <is>
          <t>北野線</t>
        </is>
      </c>
      <c r="D8127" s="10" t="inlineStr">
        <is>
          <t>下り</t>
        </is>
      </c>
      <c r="E8127" t="inlineStr">
        <is>
          <t>2251</t>
        </is>
      </c>
      <c r="F8127" t="inlineStr">
        <is>
          <t>0453</t>
        </is>
      </c>
      <c r="G8127" s="10" t="inlineStr">
        <is>
          <t>北野白梅町</t>
        </is>
      </c>
      <c r="H8127" s="10" t="inlineStr">
        <is>
          <t>発</t>
        </is>
      </c>
      <c r="J8127" s="10" t="inlineStr">
        <is>
          <t>営業</t>
        </is>
      </c>
      <c r="M8127" t="inlineStr">
        <is>
          <t>22:22:00</t>
        </is>
      </c>
      <c r="Q8127" t="inlineStr">
        <is>
          <t>1</t>
        </is>
      </c>
    </row>
    <row r="8128" ht="15" customHeight="1" s="37">
      <c r="A8128" t="n">
        <v>23</v>
      </c>
      <c r="B8128" s="10" t="inlineStr">
        <is>
          <t>平日</t>
        </is>
      </c>
      <c r="C8128" s="10" t="inlineStr">
        <is>
          <t>北野線</t>
        </is>
      </c>
      <c r="D8128" s="10" t="inlineStr">
        <is>
          <t>下り</t>
        </is>
      </c>
      <c r="E8128" t="inlineStr">
        <is>
          <t>2251</t>
        </is>
      </c>
      <c r="F8128" t="inlineStr">
        <is>
          <t>0453</t>
        </is>
      </c>
      <c r="G8128" s="10" t="inlineStr">
        <is>
          <t>等持院</t>
        </is>
      </c>
      <c r="H8128" s="10" t="inlineStr">
        <is>
          <t>発</t>
        </is>
      </c>
      <c r="J8128" s="10" t="inlineStr">
        <is>
          <t>営業</t>
        </is>
      </c>
      <c r="L8128" t="inlineStr">
        <is>
          <t>22:23:25</t>
        </is>
      </c>
      <c r="M8128" t="inlineStr">
        <is>
          <t>22:23:35</t>
        </is>
      </c>
    </row>
    <row r="8129" ht="15" customHeight="1" s="37">
      <c r="A8129" t="n">
        <v>23</v>
      </c>
      <c r="B8129" s="10" t="inlineStr">
        <is>
          <t>平日</t>
        </is>
      </c>
      <c r="C8129" s="10" t="inlineStr">
        <is>
          <t>北野線</t>
        </is>
      </c>
      <c r="D8129" s="10" t="inlineStr">
        <is>
          <t>下り</t>
        </is>
      </c>
      <c r="E8129" t="inlineStr">
        <is>
          <t>2251</t>
        </is>
      </c>
      <c r="F8129" t="inlineStr">
        <is>
          <t>0453</t>
        </is>
      </c>
      <c r="G8129" s="10" t="inlineStr">
        <is>
          <t>龍安寺</t>
        </is>
      </c>
      <c r="H8129" s="10" t="inlineStr">
        <is>
          <t>発</t>
        </is>
      </c>
      <c r="J8129" s="10" t="inlineStr">
        <is>
          <t>営業</t>
        </is>
      </c>
      <c r="L8129" t="inlineStr">
        <is>
          <t>22:24:25</t>
        </is>
      </c>
      <c r="M8129" t="inlineStr">
        <is>
          <t>22:24:50</t>
        </is>
      </c>
    </row>
    <row r="8130" ht="15" customHeight="1" s="37">
      <c r="A8130" t="n">
        <v>23</v>
      </c>
      <c r="B8130" s="10" t="inlineStr">
        <is>
          <t>平日</t>
        </is>
      </c>
      <c r="C8130" s="10" t="inlineStr">
        <is>
          <t>北野線</t>
        </is>
      </c>
      <c r="D8130" s="10" t="inlineStr">
        <is>
          <t>下り</t>
        </is>
      </c>
      <c r="E8130" t="inlineStr">
        <is>
          <t>2251</t>
        </is>
      </c>
      <c r="F8130" t="inlineStr">
        <is>
          <t>0453</t>
        </is>
      </c>
      <c r="G8130" s="10" t="inlineStr">
        <is>
          <t>妙心寺</t>
        </is>
      </c>
      <c r="H8130" s="10" t="inlineStr">
        <is>
          <t>発</t>
        </is>
      </c>
      <c r="J8130" s="10" t="inlineStr">
        <is>
          <t>営業</t>
        </is>
      </c>
      <c r="L8130" t="inlineStr">
        <is>
          <t>22:25:40</t>
        </is>
      </c>
      <c r="M8130" t="inlineStr">
        <is>
          <t>22:25:50</t>
        </is>
      </c>
    </row>
    <row r="8131" ht="15" customHeight="1" s="37">
      <c r="A8131" t="n">
        <v>23</v>
      </c>
      <c r="B8131" s="10" t="inlineStr">
        <is>
          <t>平日</t>
        </is>
      </c>
      <c r="C8131" s="10" t="inlineStr">
        <is>
          <t>北野線</t>
        </is>
      </c>
      <c r="D8131" s="10" t="inlineStr">
        <is>
          <t>下り</t>
        </is>
      </c>
      <c r="E8131" t="inlineStr">
        <is>
          <t>2251</t>
        </is>
      </c>
      <c r="F8131" t="inlineStr">
        <is>
          <t>0453</t>
        </is>
      </c>
      <c r="G8131" s="10" t="inlineStr">
        <is>
          <t>御室仁和寺</t>
        </is>
      </c>
      <c r="H8131" s="10" t="inlineStr">
        <is>
          <t>発</t>
        </is>
      </c>
      <c r="J8131" s="10" t="inlineStr">
        <is>
          <t>営業</t>
        </is>
      </c>
      <c r="L8131" t="inlineStr">
        <is>
          <t>22:26:50</t>
        </is>
      </c>
      <c r="M8131" t="inlineStr">
        <is>
          <t>22:27:05</t>
        </is>
      </c>
    </row>
    <row r="8132" ht="15" customHeight="1" s="37">
      <c r="A8132" t="n">
        <v>23</v>
      </c>
      <c r="B8132" s="10" t="inlineStr">
        <is>
          <t>平日</t>
        </is>
      </c>
      <c r="C8132" s="10" t="inlineStr">
        <is>
          <t>北野線</t>
        </is>
      </c>
      <c r="D8132" s="10" t="inlineStr">
        <is>
          <t>下り</t>
        </is>
      </c>
      <c r="E8132" t="inlineStr">
        <is>
          <t>2251</t>
        </is>
      </c>
      <c r="F8132" t="inlineStr">
        <is>
          <t>0453</t>
        </is>
      </c>
      <c r="G8132" s="10" t="inlineStr">
        <is>
          <t>宇多野</t>
        </is>
      </c>
      <c r="H8132" s="10" t="inlineStr">
        <is>
          <t>発</t>
        </is>
      </c>
      <c r="J8132" s="10" t="inlineStr">
        <is>
          <t>営業</t>
        </is>
      </c>
      <c r="L8132" t="inlineStr">
        <is>
          <t>22:28:05</t>
        </is>
      </c>
      <c r="M8132" t="inlineStr">
        <is>
          <t>22:28:15</t>
        </is>
      </c>
    </row>
    <row r="8133" ht="15" customHeight="1" s="37">
      <c r="A8133" t="n">
        <v>23</v>
      </c>
      <c r="B8133" s="10" t="inlineStr">
        <is>
          <t>平日</t>
        </is>
      </c>
      <c r="C8133" s="10" t="inlineStr">
        <is>
          <t>北野線</t>
        </is>
      </c>
      <c r="D8133" s="10" t="inlineStr">
        <is>
          <t>下り</t>
        </is>
      </c>
      <c r="E8133" t="inlineStr">
        <is>
          <t>2251</t>
        </is>
      </c>
      <c r="F8133" t="inlineStr">
        <is>
          <t>0453</t>
        </is>
      </c>
      <c r="G8133" s="10" t="inlineStr">
        <is>
          <t>鳴滝</t>
        </is>
      </c>
      <c r="H8133" s="10" t="inlineStr">
        <is>
          <t>発</t>
        </is>
      </c>
      <c r="J8133" s="10" t="inlineStr">
        <is>
          <t>営業</t>
        </is>
      </c>
      <c r="L8133" t="inlineStr">
        <is>
          <t>22:29:35</t>
        </is>
      </c>
      <c r="M8133" t="inlineStr">
        <is>
          <t>22:29:45</t>
        </is>
      </c>
    </row>
    <row r="8134" ht="15" customHeight="1" s="37">
      <c r="A8134" t="n">
        <v>23</v>
      </c>
      <c r="B8134" s="10" t="inlineStr">
        <is>
          <t>平日</t>
        </is>
      </c>
      <c r="C8134" s="10" t="inlineStr">
        <is>
          <t>北野線</t>
        </is>
      </c>
      <c r="D8134" s="10" t="inlineStr">
        <is>
          <t>下り</t>
        </is>
      </c>
      <c r="E8134" t="inlineStr">
        <is>
          <t>2251</t>
        </is>
      </c>
      <c r="F8134" t="inlineStr">
        <is>
          <t>0453</t>
        </is>
      </c>
      <c r="G8134" s="10" t="inlineStr">
        <is>
          <t>常盤</t>
        </is>
      </c>
      <c r="H8134" s="10" t="inlineStr">
        <is>
          <t>発</t>
        </is>
      </c>
      <c r="J8134" s="10" t="inlineStr">
        <is>
          <t>営業</t>
        </is>
      </c>
      <c r="L8134" t="inlineStr">
        <is>
          <t>22:30:35</t>
        </is>
      </c>
      <c r="M8134" t="inlineStr">
        <is>
          <t>22:30:55</t>
        </is>
      </c>
    </row>
    <row r="8135" ht="15" customHeight="1" s="37">
      <c r="A8135" t="n">
        <v>23</v>
      </c>
      <c r="B8135" s="10" t="inlineStr">
        <is>
          <t>平日</t>
        </is>
      </c>
      <c r="C8135" s="10" t="inlineStr">
        <is>
          <t>北野線</t>
        </is>
      </c>
      <c r="D8135" s="10" t="inlineStr">
        <is>
          <t>下り</t>
        </is>
      </c>
      <c r="E8135" t="inlineStr">
        <is>
          <t>2251</t>
        </is>
      </c>
      <c r="F8135" t="inlineStr">
        <is>
          <t>0453</t>
        </is>
      </c>
      <c r="G8135" s="10" t="inlineStr">
        <is>
          <t>撮影所前</t>
        </is>
      </c>
      <c r="H8135" s="10" t="inlineStr">
        <is>
          <t>発</t>
        </is>
      </c>
      <c r="J8135" s="10" t="inlineStr">
        <is>
          <t>営業</t>
        </is>
      </c>
      <c r="L8135" t="inlineStr">
        <is>
          <t>22:32:15</t>
        </is>
      </c>
      <c r="M8135" t="inlineStr">
        <is>
          <t>22:32:30</t>
        </is>
      </c>
    </row>
    <row r="8136" ht="15" customHeight="1" s="37">
      <c r="A8136" t="n">
        <v>23</v>
      </c>
      <c r="B8136" s="10" t="inlineStr">
        <is>
          <t>平日</t>
        </is>
      </c>
      <c r="C8136" s="10" t="inlineStr">
        <is>
          <t>北野線</t>
        </is>
      </c>
      <c r="D8136" s="10" t="inlineStr">
        <is>
          <t>下り</t>
        </is>
      </c>
      <c r="E8136" t="inlineStr">
        <is>
          <t>2251</t>
        </is>
      </c>
      <c r="F8136" t="inlineStr">
        <is>
          <t>0453</t>
        </is>
      </c>
      <c r="G8136" s="10" t="inlineStr">
        <is>
          <t>帷子ノ辻</t>
        </is>
      </c>
      <c r="H8136" s="10" t="inlineStr">
        <is>
          <t>着</t>
        </is>
      </c>
      <c r="J8136" s="10" t="inlineStr">
        <is>
          <t>営業</t>
        </is>
      </c>
      <c r="L8136" t="inlineStr">
        <is>
          <t>22:33:25</t>
        </is>
      </c>
      <c r="Q8136" t="inlineStr">
        <is>
          <t>4入</t>
        </is>
      </c>
      <c r="T8136" t="inlineStr">
        <is>
          <t>○</t>
        </is>
      </c>
    </row>
    <row r="8137" ht="15" customHeight="1" s="37">
      <c r="A8137" t="n">
        <v>23</v>
      </c>
      <c r="B8137" s="10" t="inlineStr">
        <is>
          <t>平日</t>
        </is>
      </c>
      <c r="C8137" s="10" t="inlineStr">
        <is>
          <t>北野線</t>
        </is>
      </c>
      <c r="D8137" s="10" t="inlineStr">
        <is>
          <t>上り</t>
        </is>
      </c>
      <c r="E8137" t="inlineStr">
        <is>
          <t>2252</t>
        </is>
      </c>
      <c r="F8137" t="inlineStr">
        <is>
          <t>0304</t>
        </is>
      </c>
      <c r="G8137" s="10" t="inlineStr">
        <is>
          <t>帷子ノ辻</t>
        </is>
      </c>
      <c r="H8137" s="10" t="inlineStr">
        <is>
          <t>発</t>
        </is>
      </c>
      <c r="J8137" s="10" t="inlineStr">
        <is>
          <t>営業</t>
        </is>
      </c>
      <c r="M8137" t="inlineStr">
        <is>
          <t>22:00:25</t>
        </is>
      </c>
      <c r="Q8137" t="inlineStr">
        <is>
          <t>4</t>
        </is>
      </c>
    </row>
    <row r="8138" ht="15" customHeight="1" s="37">
      <c r="A8138" t="n">
        <v>23</v>
      </c>
      <c r="B8138" s="10" t="inlineStr">
        <is>
          <t>平日</t>
        </is>
      </c>
      <c r="C8138" s="10" t="inlineStr">
        <is>
          <t>北野線</t>
        </is>
      </c>
      <c r="D8138" s="10" t="inlineStr">
        <is>
          <t>上り</t>
        </is>
      </c>
      <c r="E8138" t="inlineStr">
        <is>
          <t>2252</t>
        </is>
      </c>
      <c r="F8138" t="inlineStr">
        <is>
          <t>0304</t>
        </is>
      </c>
      <c r="G8138" s="10" t="inlineStr">
        <is>
          <t>撮影所前</t>
        </is>
      </c>
      <c r="H8138" s="10" t="inlineStr">
        <is>
          <t>発</t>
        </is>
      </c>
      <c r="J8138" s="10" t="inlineStr">
        <is>
          <t>営業</t>
        </is>
      </c>
      <c r="L8138" t="inlineStr">
        <is>
          <t>22:01:25</t>
        </is>
      </c>
      <c r="M8138" t="inlineStr">
        <is>
          <t>22:01:40</t>
        </is>
      </c>
    </row>
    <row r="8139" ht="15" customHeight="1" s="37">
      <c r="A8139" t="n">
        <v>23</v>
      </c>
      <c r="B8139" s="10" t="inlineStr">
        <is>
          <t>平日</t>
        </is>
      </c>
      <c r="C8139" s="10" t="inlineStr">
        <is>
          <t>北野線</t>
        </is>
      </c>
      <c r="D8139" s="10" t="inlineStr">
        <is>
          <t>上り</t>
        </is>
      </c>
      <c r="E8139" t="inlineStr">
        <is>
          <t>2252</t>
        </is>
      </c>
      <c r="F8139" t="inlineStr">
        <is>
          <t>0304</t>
        </is>
      </c>
      <c r="G8139" s="10" t="inlineStr">
        <is>
          <t>常盤</t>
        </is>
      </c>
      <c r="H8139" s="10" t="inlineStr">
        <is>
          <t>発</t>
        </is>
      </c>
      <c r="J8139" s="10" t="inlineStr">
        <is>
          <t>営業</t>
        </is>
      </c>
      <c r="L8139" t="inlineStr">
        <is>
          <t>22:03:00</t>
        </is>
      </c>
      <c r="M8139" t="inlineStr">
        <is>
          <t>22:03:20</t>
        </is>
      </c>
    </row>
    <row r="8140" ht="15" customHeight="1" s="37">
      <c r="A8140" t="n">
        <v>23</v>
      </c>
      <c r="B8140" s="10" t="inlineStr">
        <is>
          <t>平日</t>
        </is>
      </c>
      <c r="C8140" s="10" t="inlineStr">
        <is>
          <t>北野線</t>
        </is>
      </c>
      <c r="D8140" s="10" t="inlineStr">
        <is>
          <t>上り</t>
        </is>
      </c>
      <c r="E8140" t="inlineStr">
        <is>
          <t>2252</t>
        </is>
      </c>
      <c r="F8140" t="inlineStr">
        <is>
          <t>0304</t>
        </is>
      </c>
      <c r="G8140" s="10" t="inlineStr">
        <is>
          <t>鳴滝</t>
        </is>
      </c>
      <c r="H8140" s="10" t="inlineStr">
        <is>
          <t>発</t>
        </is>
      </c>
      <c r="J8140" s="10" t="inlineStr">
        <is>
          <t>営業</t>
        </is>
      </c>
      <c r="L8140" t="inlineStr">
        <is>
          <t>22:04:20</t>
        </is>
      </c>
      <c r="M8140" t="inlineStr">
        <is>
          <t>22:04:40</t>
        </is>
      </c>
    </row>
    <row r="8141" ht="15" customHeight="1" s="37">
      <c r="A8141" t="n">
        <v>23</v>
      </c>
      <c r="B8141" s="10" t="inlineStr">
        <is>
          <t>平日</t>
        </is>
      </c>
      <c r="C8141" s="10" t="inlineStr">
        <is>
          <t>北野線</t>
        </is>
      </c>
      <c r="D8141" s="10" t="inlineStr">
        <is>
          <t>上り</t>
        </is>
      </c>
      <c r="E8141" t="inlineStr">
        <is>
          <t>2252</t>
        </is>
      </c>
      <c r="F8141" t="inlineStr">
        <is>
          <t>0304</t>
        </is>
      </c>
      <c r="G8141" s="10" t="inlineStr">
        <is>
          <t>宇多野</t>
        </is>
      </c>
      <c r="H8141" s="10" t="inlineStr">
        <is>
          <t>発</t>
        </is>
      </c>
      <c r="J8141" s="10" t="inlineStr">
        <is>
          <t>営業</t>
        </is>
      </c>
      <c r="L8141" t="inlineStr">
        <is>
          <t>22:06:00</t>
        </is>
      </c>
      <c r="M8141" t="inlineStr">
        <is>
          <t>22:06:15</t>
        </is>
      </c>
    </row>
    <row r="8142" ht="15" customHeight="1" s="37">
      <c r="A8142" t="n">
        <v>23</v>
      </c>
      <c r="B8142" s="10" t="inlineStr">
        <is>
          <t>平日</t>
        </is>
      </c>
      <c r="C8142" s="10" t="inlineStr">
        <is>
          <t>北野線</t>
        </is>
      </c>
      <c r="D8142" s="10" t="inlineStr">
        <is>
          <t>上り</t>
        </is>
      </c>
      <c r="E8142" t="inlineStr">
        <is>
          <t>2252</t>
        </is>
      </c>
      <c r="F8142" t="inlineStr">
        <is>
          <t>0304</t>
        </is>
      </c>
      <c r="G8142" s="10" t="inlineStr">
        <is>
          <t>御室仁和寺</t>
        </is>
      </c>
      <c r="H8142" s="10" t="inlineStr">
        <is>
          <t>発</t>
        </is>
      </c>
      <c r="J8142" s="10" t="inlineStr">
        <is>
          <t>営業</t>
        </is>
      </c>
      <c r="L8142" t="inlineStr">
        <is>
          <t>22:07:15</t>
        </is>
      </c>
      <c r="M8142" t="inlineStr">
        <is>
          <t>22:07:35</t>
        </is>
      </c>
    </row>
    <row r="8143" ht="15" customHeight="1" s="37">
      <c r="A8143" t="n">
        <v>23</v>
      </c>
      <c r="B8143" s="10" t="inlineStr">
        <is>
          <t>平日</t>
        </is>
      </c>
      <c r="C8143" s="10" t="inlineStr">
        <is>
          <t>北野線</t>
        </is>
      </c>
      <c r="D8143" s="10" t="inlineStr">
        <is>
          <t>上り</t>
        </is>
      </c>
      <c r="E8143" t="inlineStr">
        <is>
          <t>2252</t>
        </is>
      </c>
      <c r="F8143" t="inlineStr">
        <is>
          <t>0304</t>
        </is>
      </c>
      <c r="G8143" s="10" t="inlineStr">
        <is>
          <t>妙心寺</t>
        </is>
      </c>
      <c r="H8143" s="10" t="inlineStr">
        <is>
          <t>発</t>
        </is>
      </c>
      <c r="J8143" s="10" t="inlineStr">
        <is>
          <t>営業</t>
        </is>
      </c>
      <c r="L8143" t="inlineStr">
        <is>
          <t>22:08:35</t>
        </is>
      </c>
      <c r="M8143" t="inlineStr">
        <is>
          <t>22:08:50</t>
        </is>
      </c>
    </row>
    <row r="8144" ht="15" customHeight="1" s="37">
      <c r="A8144" t="n">
        <v>23</v>
      </c>
      <c r="B8144" s="10" t="inlineStr">
        <is>
          <t>平日</t>
        </is>
      </c>
      <c r="C8144" s="10" t="inlineStr">
        <is>
          <t>北野線</t>
        </is>
      </c>
      <c r="D8144" s="10" t="inlineStr">
        <is>
          <t>上り</t>
        </is>
      </c>
      <c r="E8144" t="inlineStr">
        <is>
          <t>2252</t>
        </is>
      </c>
      <c r="F8144" t="inlineStr">
        <is>
          <t>0304</t>
        </is>
      </c>
      <c r="G8144" s="10" t="inlineStr">
        <is>
          <t>龍安寺</t>
        </is>
      </c>
      <c r="H8144" s="10" t="inlineStr">
        <is>
          <t>発</t>
        </is>
      </c>
      <c r="J8144" s="10" t="inlineStr">
        <is>
          <t>営業</t>
        </is>
      </c>
      <c r="L8144" t="inlineStr">
        <is>
          <t>22:09:45</t>
        </is>
      </c>
      <c r="M8144" t="inlineStr">
        <is>
          <t>22:09:55</t>
        </is>
      </c>
    </row>
    <row r="8145" ht="15" customHeight="1" s="37">
      <c r="A8145" t="n">
        <v>23</v>
      </c>
      <c r="B8145" s="10" t="inlineStr">
        <is>
          <t>平日</t>
        </is>
      </c>
      <c r="C8145" s="10" t="inlineStr">
        <is>
          <t>北野線</t>
        </is>
      </c>
      <c r="D8145" s="10" t="inlineStr">
        <is>
          <t>上り</t>
        </is>
      </c>
      <c r="E8145" t="inlineStr">
        <is>
          <t>2252</t>
        </is>
      </c>
      <c r="F8145" t="inlineStr">
        <is>
          <t>0304</t>
        </is>
      </c>
      <c r="G8145" s="10" t="inlineStr">
        <is>
          <t>等持院</t>
        </is>
      </c>
      <c r="H8145" s="10" t="inlineStr">
        <is>
          <t>発</t>
        </is>
      </c>
      <c r="J8145" s="10" t="inlineStr">
        <is>
          <t>営業</t>
        </is>
      </c>
      <c r="L8145" t="inlineStr">
        <is>
          <t>22:10:35</t>
        </is>
      </c>
      <c r="M8145" t="inlineStr">
        <is>
          <t>22:10:55</t>
        </is>
      </c>
    </row>
    <row r="8146" ht="15" customHeight="1" s="37">
      <c r="A8146" t="n">
        <v>23</v>
      </c>
      <c r="B8146" s="10" t="inlineStr">
        <is>
          <t>平日</t>
        </is>
      </c>
      <c r="C8146" s="10" t="inlineStr">
        <is>
          <t>北野線</t>
        </is>
      </c>
      <c r="D8146" s="10" t="inlineStr">
        <is>
          <t>上り</t>
        </is>
      </c>
      <c r="E8146" t="inlineStr">
        <is>
          <t>2252</t>
        </is>
      </c>
      <c r="F8146" t="inlineStr">
        <is>
          <t>0304</t>
        </is>
      </c>
      <c r="G8146" s="10" t="inlineStr">
        <is>
          <t>北野白梅町</t>
        </is>
      </c>
      <c r="H8146" s="10" t="inlineStr">
        <is>
          <t>着</t>
        </is>
      </c>
      <c r="J8146" s="10" t="inlineStr">
        <is>
          <t>営業</t>
        </is>
      </c>
      <c r="L8146" t="inlineStr">
        <is>
          <t>22:12:15</t>
        </is>
      </c>
      <c r="N8146" t="inlineStr">
        <is>
          <t>○</t>
        </is>
      </c>
      <c r="Q8146" t="inlineStr">
        <is>
          <t>1</t>
        </is>
      </c>
    </row>
    <row r="8147" ht="15" customHeight="1" s="37">
      <c r="A8147" t="n">
        <v>23</v>
      </c>
      <c r="B8147" s="10" t="inlineStr">
        <is>
          <t>平日</t>
        </is>
      </c>
      <c r="C8147" s="10" t="inlineStr">
        <is>
          <t>本線</t>
        </is>
      </c>
      <c r="D8147" s="10" t="inlineStr">
        <is>
          <t>下り</t>
        </is>
      </c>
      <c r="E8147" t="inlineStr">
        <is>
          <t>23系統④便乗</t>
        </is>
      </c>
      <c r="F8147" s="10" t="inlineStr">
        <is>
          <t>便乗</t>
        </is>
      </c>
      <c r="G8147" s="10" t="inlineStr">
        <is>
          <t>西院</t>
        </is>
      </c>
      <c r="H8147" s="10" t="inlineStr">
        <is>
          <t>発</t>
        </is>
      </c>
      <c r="J8147" s="10" t="inlineStr">
        <is>
          <t>便乗</t>
        </is>
      </c>
      <c r="L8147" t="inlineStr">
        <is>
          <t>13:55:50</t>
        </is>
      </c>
      <c r="M8147" t="inlineStr">
        <is>
          <t>13:56:20</t>
        </is>
      </c>
      <c r="S8147" t="inlineStr">
        <is>
          <t>1311</t>
        </is>
      </c>
    </row>
    <row r="8148" ht="15" customHeight="1" s="37">
      <c r="A8148" t="n">
        <v>23</v>
      </c>
      <c r="B8148" s="10" t="inlineStr">
        <is>
          <t>平日</t>
        </is>
      </c>
      <c r="C8148" s="10" t="inlineStr">
        <is>
          <t>本線</t>
        </is>
      </c>
      <c r="D8148" s="10" t="inlineStr">
        <is>
          <t>下り</t>
        </is>
      </c>
      <c r="E8148" t="inlineStr">
        <is>
          <t>23系統④便乗</t>
        </is>
      </c>
      <c r="F8148" s="10" t="inlineStr">
        <is>
          <t>便乗</t>
        </is>
      </c>
      <c r="G8148" s="10" t="inlineStr">
        <is>
          <t>西大路三条</t>
        </is>
      </c>
      <c r="H8148" s="10" t="inlineStr">
        <is>
          <t>発</t>
        </is>
      </c>
      <c r="J8148" s="10" t="inlineStr">
        <is>
          <t>便乗</t>
        </is>
      </c>
      <c r="L8148" t="inlineStr">
        <is>
          <t>13:58:10</t>
        </is>
      </c>
      <c r="M8148" t="inlineStr">
        <is>
          <t>13:58:30</t>
        </is>
      </c>
      <c r="S8148" t="inlineStr">
        <is>
          <t>1311</t>
        </is>
      </c>
    </row>
    <row r="8149" ht="15" customHeight="1" s="37">
      <c r="A8149" t="n">
        <v>23</v>
      </c>
      <c r="B8149" s="10" t="inlineStr">
        <is>
          <t>平日</t>
        </is>
      </c>
      <c r="C8149" s="10" t="inlineStr">
        <is>
          <t>本線</t>
        </is>
      </c>
      <c r="D8149" s="10" t="inlineStr">
        <is>
          <t>下り</t>
        </is>
      </c>
      <c r="E8149" t="inlineStr">
        <is>
          <t>23系統④便乗</t>
        </is>
      </c>
      <c r="F8149" s="10" t="inlineStr">
        <is>
          <t>便乗</t>
        </is>
      </c>
      <c r="G8149" s="10" t="inlineStr">
        <is>
          <t>山ノ内</t>
        </is>
      </c>
      <c r="H8149" s="10" t="inlineStr">
        <is>
          <t>発</t>
        </is>
      </c>
      <c r="J8149" s="10" t="inlineStr">
        <is>
          <t>便乗</t>
        </is>
      </c>
      <c r="L8149" t="inlineStr">
        <is>
          <t>14:00:25</t>
        </is>
      </c>
      <c r="M8149" t="inlineStr">
        <is>
          <t>14:00:50</t>
        </is>
      </c>
      <c r="S8149" t="inlineStr">
        <is>
          <t>1311</t>
        </is>
      </c>
    </row>
    <row r="8150" ht="15" customHeight="1" s="37">
      <c r="A8150" t="n">
        <v>23</v>
      </c>
      <c r="B8150" s="10" t="inlineStr">
        <is>
          <t>平日</t>
        </is>
      </c>
      <c r="C8150" s="10" t="inlineStr">
        <is>
          <t>本線</t>
        </is>
      </c>
      <c r="D8150" s="10" t="inlineStr">
        <is>
          <t>下り</t>
        </is>
      </c>
      <c r="E8150" t="inlineStr">
        <is>
          <t>23系統④便乗</t>
        </is>
      </c>
      <c r="F8150" s="10" t="inlineStr">
        <is>
          <t>便乗</t>
        </is>
      </c>
      <c r="G8150" s="10" t="inlineStr">
        <is>
          <t>天神川</t>
        </is>
      </c>
      <c r="H8150" s="10" t="inlineStr">
        <is>
          <t>発</t>
        </is>
      </c>
      <c r="J8150" s="10" t="inlineStr">
        <is>
          <t>便乗</t>
        </is>
      </c>
      <c r="L8150" t="inlineStr">
        <is>
          <t>14:02:50</t>
        </is>
      </c>
      <c r="M8150" t="inlineStr">
        <is>
          <t>14:03:30</t>
        </is>
      </c>
      <c r="S8150" t="inlineStr">
        <is>
          <t>1311</t>
        </is>
      </c>
    </row>
    <row r="8151" ht="15" customHeight="1" s="37">
      <c r="A8151" t="n">
        <v>23</v>
      </c>
      <c r="B8151" s="10" t="inlineStr">
        <is>
          <t>平日</t>
        </is>
      </c>
      <c r="C8151" s="10" t="inlineStr">
        <is>
          <t>本線</t>
        </is>
      </c>
      <c r="D8151" s="10" t="inlineStr">
        <is>
          <t>下り</t>
        </is>
      </c>
      <c r="E8151" t="inlineStr">
        <is>
          <t>23系統④便乗</t>
        </is>
      </c>
      <c r="F8151" s="10" t="inlineStr">
        <is>
          <t>便乗</t>
        </is>
      </c>
      <c r="G8151" s="10" t="inlineStr">
        <is>
          <t>蚕ノ社</t>
        </is>
      </c>
      <c r="H8151" s="10" t="inlineStr">
        <is>
          <t>発</t>
        </is>
      </c>
      <c r="J8151" s="10" t="inlineStr">
        <is>
          <t>便乗</t>
        </is>
      </c>
      <c r="L8151" t="inlineStr">
        <is>
          <t>14:04:20</t>
        </is>
      </c>
      <c r="M8151" t="inlineStr">
        <is>
          <t>14:04:40</t>
        </is>
      </c>
      <c r="S8151" t="inlineStr">
        <is>
          <t>1311</t>
        </is>
      </c>
    </row>
    <row r="8152" ht="15" customHeight="1" s="37">
      <c r="A8152" t="n">
        <v>23</v>
      </c>
      <c r="B8152" s="10" t="inlineStr">
        <is>
          <t>平日</t>
        </is>
      </c>
      <c r="C8152" s="10" t="inlineStr">
        <is>
          <t>本線</t>
        </is>
      </c>
      <c r="D8152" s="10" t="inlineStr">
        <is>
          <t>下り</t>
        </is>
      </c>
      <c r="E8152" t="inlineStr">
        <is>
          <t>23系統④便乗</t>
        </is>
      </c>
      <c r="F8152" s="10" t="inlineStr">
        <is>
          <t>便乗</t>
        </is>
      </c>
      <c r="G8152" s="10" t="inlineStr">
        <is>
          <t>太秦広隆寺</t>
        </is>
      </c>
      <c r="H8152" s="10" t="inlineStr">
        <is>
          <t>発</t>
        </is>
      </c>
      <c r="J8152" s="10" t="inlineStr">
        <is>
          <t>便乗</t>
        </is>
      </c>
      <c r="L8152" t="inlineStr">
        <is>
          <t>14:06:00</t>
        </is>
      </c>
      <c r="M8152" t="inlineStr">
        <is>
          <t>14:06:20</t>
        </is>
      </c>
      <c r="S8152" t="inlineStr">
        <is>
          <t>1311</t>
        </is>
      </c>
    </row>
    <row r="8153" ht="15" customHeight="1" s="37">
      <c r="A8153" t="n">
        <v>23</v>
      </c>
      <c r="B8153" s="10" t="inlineStr">
        <is>
          <t>平日</t>
        </is>
      </c>
      <c r="C8153" s="10" t="inlineStr">
        <is>
          <t>本線</t>
        </is>
      </c>
      <c r="D8153" s="10" t="inlineStr">
        <is>
          <t>下り</t>
        </is>
      </c>
      <c r="E8153" t="inlineStr">
        <is>
          <t>23系統④便乗</t>
        </is>
      </c>
      <c r="F8153" s="10" t="inlineStr">
        <is>
          <t>便乗</t>
        </is>
      </c>
      <c r="G8153" s="10" t="inlineStr">
        <is>
          <t>帷子ノ辻</t>
        </is>
      </c>
      <c r="H8153" s="10" t="inlineStr">
        <is>
          <t>着</t>
        </is>
      </c>
      <c r="J8153" s="10" t="inlineStr">
        <is>
          <t>便乗</t>
        </is>
      </c>
      <c r="L8153" t="inlineStr">
        <is>
          <t>14:08:20</t>
        </is>
      </c>
      <c r="M8153" t="inlineStr">
        <is>
          <t>14:09:40</t>
        </is>
      </c>
      <c r="S8153" t="inlineStr">
        <is>
          <t>1311</t>
        </is>
      </c>
    </row>
    <row r="8154" ht="15" customHeight="1" s="37">
      <c r="A8154" t="n">
        <v>23</v>
      </c>
      <c r="B8154" s="10" t="inlineStr">
        <is>
          <t>平日</t>
        </is>
      </c>
      <c r="C8154" s="10" t="inlineStr">
        <is>
          <t>本線</t>
        </is>
      </c>
      <c r="D8154" s="10" t="inlineStr">
        <is>
          <t>上り</t>
        </is>
      </c>
      <c r="E8154" s="10" t="inlineStr">
        <is>
          <t>回2290</t>
        </is>
      </c>
      <c r="G8154" s="10" t="inlineStr">
        <is>
          <t>帷子ノ辻</t>
        </is>
      </c>
      <c r="H8154" s="10" t="inlineStr">
        <is>
          <t>発</t>
        </is>
      </c>
      <c r="J8154" s="10" t="inlineStr">
        <is>
          <t>回送</t>
        </is>
      </c>
      <c r="M8154" t="inlineStr">
        <is>
          <t>22:44:05</t>
        </is>
      </c>
      <c r="O8154" t="inlineStr">
        <is>
          <t>返却:北白(金庫2・納金袋1)+帷子午前(金庫1)+常盤駅集(金庫1) 計金庫4・納金袋1 23系統 回2290で西院22:54入庫</t>
        </is>
      </c>
    </row>
    <row r="8155" ht="15" customHeight="1" s="37">
      <c r="A8155" t="n">
        <v>23</v>
      </c>
      <c r="B8155" s="10" t="inlineStr">
        <is>
          <t>平日</t>
        </is>
      </c>
      <c r="C8155" s="10" t="inlineStr">
        <is>
          <t>本線</t>
        </is>
      </c>
      <c r="D8155" s="10" t="inlineStr">
        <is>
          <t>上り</t>
        </is>
      </c>
      <c r="E8155" s="10" t="inlineStr">
        <is>
          <t>回2290</t>
        </is>
      </c>
      <c r="G8155" s="10" t="inlineStr">
        <is>
          <t>太秦広隆寺</t>
        </is>
      </c>
      <c r="H8155" s="10" t="inlineStr">
        <is>
          <t>発</t>
        </is>
      </c>
      <c r="J8155" s="10" t="inlineStr">
        <is>
          <t>回送</t>
        </is>
      </c>
      <c r="L8155" t="inlineStr">
        <is>
          <t>22:46:15</t>
        </is>
      </c>
      <c r="M8155" t="inlineStr">
        <is>
          <t>22:46:15</t>
        </is>
      </c>
      <c r="O8155" t="inlineStr">
        <is>
          <t>返却:北白(金庫2・納金袋1)+帷子午前(金庫1)+常盤駅集(金庫1) 計金庫4・納金袋1 23系統 回2290で西院22:54入庫</t>
        </is>
      </c>
    </row>
    <row r="8156" ht="15" customHeight="1" s="37">
      <c r="A8156" t="n">
        <v>23</v>
      </c>
      <c r="B8156" s="10" t="inlineStr">
        <is>
          <t>平日</t>
        </is>
      </c>
      <c r="C8156" s="10" t="inlineStr">
        <is>
          <t>本線</t>
        </is>
      </c>
      <c r="D8156" s="10" t="inlineStr">
        <is>
          <t>上り</t>
        </is>
      </c>
      <c r="E8156" s="10" t="inlineStr">
        <is>
          <t>回2290</t>
        </is>
      </c>
      <c r="G8156" s="10" t="inlineStr">
        <is>
          <t>蚕ノ社</t>
        </is>
      </c>
      <c r="H8156" s="10" t="inlineStr">
        <is>
          <t>発</t>
        </is>
      </c>
      <c r="J8156" s="10" t="inlineStr">
        <is>
          <t>回送</t>
        </is>
      </c>
      <c r="L8156" t="inlineStr">
        <is>
          <t>22:47:30</t>
        </is>
      </c>
      <c r="M8156" t="inlineStr">
        <is>
          <t>22:47:30</t>
        </is>
      </c>
      <c r="O8156" t="inlineStr">
        <is>
          <t>返却:北白(金庫2・納金袋1)+帷子午前(金庫1)+常盤駅集(金庫1) 計金庫4・納金袋1 23系統 回2290で西院22:54入庫</t>
        </is>
      </c>
    </row>
    <row r="8157" ht="15" customHeight="1" s="37">
      <c r="A8157" t="n">
        <v>23</v>
      </c>
      <c r="B8157" s="10" t="inlineStr">
        <is>
          <t>平日</t>
        </is>
      </c>
      <c r="C8157" s="10" t="inlineStr">
        <is>
          <t>本線</t>
        </is>
      </c>
      <c r="D8157" s="10" t="inlineStr">
        <is>
          <t>上り</t>
        </is>
      </c>
      <c r="E8157" s="10" t="inlineStr">
        <is>
          <t>回2290</t>
        </is>
      </c>
      <c r="G8157" s="10" t="inlineStr">
        <is>
          <t>天神川</t>
        </is>
      </c>
      <c r="H8157" s="10" t="inlineStr">
        <is>
          <t>発</t>
        </is>
      </c>
      <c r="J8157" s="10" t="inlineStr">
        <is>
          <t>回送</t>
        </is>
      </c>
      <c r="L8157" t="inlineStr">
        <is>
          <t>22:48:15</t>
        </is>
      </c>
      <c r="M8157" t="inlineStr">
        <is>
          <t>22:48:40</t>
        </is>
      </c>
      <c r="O8157" t="inlineStr">
        <is>
          <t>返却:北白(金庫2・納金袋1)+帷子午前(金庫1)+常盤駅集(金庫1) 計金庫4・納金袋1 23系統 回2290で西院22:54入庫</t>
        </is>
      </c>
    </row>
    <row r="8158" ht="15" customHeight="1" s="37">
      <c r="A8158" t="n">
        <v>23</v>
      </c>
      <c r="B8158" s="10" t="inlineStr">
        <is>
          <t>平日</t>
        </is>
      </c>
      <c r="C8158" s="10" t="inlineStr">
        <is>
          <t>本線</t>
        </is>
      </c>
      <c r="D8158" s="10" t="inlineStr">
        <is>
          <t>上り</t>
        </is>
      </c>
      <c r="E8158" s="10" t="inlineStr">
        <is>
          <t>回2290</t>
        </is>
      </c>
      <c r="G8158" s="10" t="inlineStr">
        <is>
          <t>山ノ内</t>
        </is>
      </c>
      <c r="H8158" s="10" t="inlineStr">
        <is>
          <t>発</t>
        </is>
      </c>
      <c r="J8158" s="10" t="inlineStr">
        <is>
          <t>回送</t>
        </is>
      </c>
      <c r="L8158" t="inlineStr">
        <is>
          <t>22:50:30</t>
        </is>
      </c>
      <c r="M8158" t="inlineStr">
        <is>
          <t>22:50:55</t>
        </is>
      </c>
      <c r="O8158" t="inlineStr">
        <is>
          <t>返却:北白(金庫2・納金袋1)+帷子午前(金庫1)+常盤駅集(金庫1) 計金庫4・納金袋1 23系統 回2290で西院22:54入庫</t>
        </is>
      </c>
    </row>
    <row r="8159" ht="15" customHeight="1" s="37">
      <c r="A8159" t="n">
        <v>23</v>
      </c>
      <c r="B8159" s="10" t="inlineStr">
        <is>
          <t>平日</t>
        </is>
      </c>
      <c r="C8159" s="10" t="inlineStr">
        <is>
          <t>本線</t>
        </is>
      </c>
      <c r="D8159" s="10" t="inlineStr">
        <is>
          <t>上り</t>
        </is>
      </c>
      <c r="E8159" s="10" t="inlineStr">
        <is>
          <t>回2290</t>
        </is>
      </c>
      <c r="G8159" s="10" t="inlineStr">
        <is>
          <t>西大路三条</t>
        </is>
      </c>
      <c r="H8159" s="10" t="inlineStr">
        <is>
          <t>発</t>
        </is>
      </c>
      <c r="J8159" s="10" t="inlineStr">
        <is>
          <t>回送</t>
        </is>
      </c>
      <c r="L8159" t="inlineStr">
        <is>
          <t>22:52:45</t>
        </is>
      </c>
      <c r="M8159" t="inlineStr">
        <is>
          <t>22:52:45</t>
        </is>
      </c>
      <c r="O8159" t="inlineStr">
        <is>
          <t>返却:北白(金庫2・納金袋1)+帷子午前(金庫1)+常盤駅集(金庫1) 計金庫4・納金袋1 23系統 回2290で西院22:54入庫</t>
        </is>
      </c>
    </row>
    <row r="8160" ht="15" customHeight="1" s="37">
      <c r="A8160" t="n">
        <v>23</v>
      </c>
      <c r="B8160" s="10" t="inlineStr">
        <is>
          <t>平日</t>
        </is>
      </c>
      <c r="C8160" s="10" t="inlineStr">
        <is>
          <t>本線</t>
        </is>
      </c>
      <c r="D8160" s="10" t="inlineStr">
        <is>
          <t>上り</t>
        </is>
      </c>
      <c r="E8160" s="10" t="inlineStr">
        <is>
          <t>回2290</t>
        </is>
      </c>
      <c r="G8160" s="10" t="inlineStr">
        <is>
          <t>西院</t>
        </is>
      </c>
      <c r="H8160" s="10" t="inlineStr">
        <is>
          <t>着</t>
        </is>
      </c>
      <c r="J8160" s="10" t="inlineStr">
        <is>
          <t>回送</t>
        </is>
      </c>
      <c r="L8160" t="inlineStr">
        <is>
          <t>22:54:40</t>
        </is>
      </c>
      <c r="O8160" t="inlineStr">
        <is>
          <t>返却:北白(金庫2・納金袋1)+帷子午前(金庫1)+常盤駅集(金庫1) 計金庫4・納金袋1 23系統 回2290で西院22:54入庫</t>
        </is>
      </c>
    </row>
    <row r="8161" ht="15" customHeight="1" s="37">
      <c r="A8161" t="n">
        <v>24</v>
      </c>
      <c r="B8161" s="10" t="inlineStr">
        <is>
          <t>平日</t>
        </is>
      </c>
      <c r="C8161" s="10" t="inlineStr">
        <is>
          <t>北野線</t>
        </is>
      </c>
      <c r="D8161" s="10" t="inlineStr">
        <is>
          <t>上り</t>
        </is>
      </c>
      <c r="E8161" t="inlineStr">
        <is>
          <t>1556</t>
        </is>
      </c>
      <c r="F8161" t="inlineStr">
        <is>
          <t>0354</t>
        </is>
      </c>
      <c r="G8161" s="10" t="inlineStr">
        <is>
          <t>帷子ノ辻</t>
        </is>
      </c>
      <c r="H8161" s="10" t="inlineStr">
        <is>
          <t>発</t>
        </is>
      </c>
      <c r="J8161" s="10" t="inlineStr">
        <is>
          <t>営業</t>
        </is>
      </c>
      <c r="M8161" t="inlineStr">
        <is>
          <t>15:26:25</t>
        </is>
      </c>
      <c r="Q8161" t="inlineStr">
        <is>
          <t>4</t>
        </is>
      </c>
    </row>
    <row r="8162" ht="15" customHeight="1" s="37">
      <c r="A8162" t="n">
        <v>24</v>
      </c>
      <c r="B8162" s="10" t="inlineStr">
        <is>
          <t>平日</t>
        </is>
      </c>
      <c r="C8162" s="10" t="inlineStr">
        <is>
          <t>北野線</t>
        </is>
      </c>
      <c r="D8162" s="10" t="inlineStr">
        <is>
          <t>上り</t>
        </is>
      </c>
      <c r="E8162" t="inlineStr">
        <is>
          <t>1556</t>
        </is>
      </c>
      <c r="F8162" t="inlineStr">
        <is>
          <t>0354</t>
        </is>
      </c>
      <c r="G8162" s="10" t="inlineStr">
        <is>
          <t>撮影所前</t>
        </is>
      </c>
      <c r="H8162" s="10" t="inlineStr">
        <is>
          <t>発</t>
        </is>
      </c>
      <c r="J8162" s="10" t="inlineStr">
        <is>
          <t>営業</t>
        </is>
      </c>
      <c r="L8162" t="inlineStr">
        <is>
          <t>15:27:25</t>
        </is>
      </c>
      <c r="M8162" t="inlineStr">
        <is>
          <t>15:27:40</t>
        </is>
      </c>
    </row>
    <row r="8163" ht="15" customHeight="1" s="37">
      <c r="A8163" t="n">
        <v>24</v>
      </c>
      <c r="B8163" s="10" t="inlineStr">
        <is>
          <t>平日</t>
        </is>
      </c>
      <c r="C8163" s="10" t="inlineStr">
        <is>
          <t>北野線</t>
        </is>
      </c>
      <c r="D8163" s="10" t="inlineStr">
        <is>
          <t>上り</t>
        </is>
      </c>
      <c r="E8163" t="inlineStr">
        <is>
          <t>1556</t>
        </is>
      </c>
      <c r="F8163" t="inlineStr">
        <is>
          <t>0354</t>
        </is>
      </c>
      <c r="G8163" s="10" t="inlineStr">
        <is>
          <t>常盤</t>
        </is>
      </c>
      <c r="H8163" s="10" t="inlineStr">
        <is>
          <t>発</t>
        </is>
      </c>
      <c r="J8163" s="10" t="inlineStr">
        <is>
          <t>営業</t>
        </is>
      </c>
      <c r="L8163" t="inlineStr">
        <is>
          <t>15:29:00</t>
        </is>
      </c>
      <c r="M8163" t="inlineStr">
        <is>
          <t>15:29:20</t>
        </is>
      </c>
    </row>
    <row r="8164" ht="15" customHeight="1" s="37">
      <c r="A8164" t="n">
        <v>24</v>
      </c>
      <c r="B8164" s="10" t="inlineStr">
        <is>
          <t>平日</t>
        </is>
      </c>
      <c r="C8164" s="10" t="inlineStr">
        <is>
          <t>北野線</t>
        </is>
      </c>
      <c r="D8164" s="10" t="inlineStr">
        <is>
          <t>上り</t>
        </is>
      </c>
      <c r="E8164" t="inlineStr">
        <is>
          <t>1556</t>
        </is>
      </c>
      <c r="F8164" t="inlineStr">
        <is>
          <t>0354</t>
        </is>
      </c>
      <c r="G8164" s="10" t="inlineStr">
        <is>
          <t>鳴滝</t>
        </is>
      </c>
      <c r="H8164" s="10" t="inlineStr">
        <is>
          <t>発</t>
        </is>
      </c>
      <c r="J8164" s="10" t="inlineStr">
        <is>
          <t>営業</t>
        </is>
      </c>
      <c r="L8164" t="inlineStr">
        <is>
          <t>15:30:20</t>
        </is>
      </c>
      <c r="M8164" t="inlineStr">
        <is>
          <t>15:30:40</t>
        </is>
      </c>
    </row>
    <row r="8165" ht="15" customHeight="1" s="37">
      <c r="A8165" t="n">
        <v>24</v>
      </c>
      <c r="B8165" s="10" t="inlineStr">
        <is>
          <t>平日</t>
        </is>
      </c>
      <c r="C8165" s="10" t="inlineStr">
        <is>
          <t>北野線</t>
        </is>
      </c>
      <c r="D8165" s="10" t="inlineStr">
        <is>
          <t>上り</t>
        </is>
      </c>
      <c r="E8165" t="inlineStr">
        <is>
          <t>1556</t>
        </is>
      </c>
      <c r="F8165" t="inlineStr">
        <is>
          <t>0354</t>
        </is>
      </c>
      <c r="G8165" s="10" t="inlineStr">
        <is>
          <t>宇多野</t>
        </is>
      </c>
      <c r="H8165" s="10" t="inlineStr">
        <is>
          <t>発</t>
        </is>
      </c>
      <c r="J8165" s="10" t="inlineStr">
        <is>
          <t>営業</t>
        </is>
      </c>
      <c r="L8165" t="inlineStr">
        <is>
          <t>15:32:00</t>
        </is>
      </c>
      <c r="M8165" t="inlineStr">
        <is>
          <t>15:32:15</t>
        </is>
      </c>
    </row>
    <row r="8166" ht="15" customHeight="1" s="37">
      <c r="A8166" t="n">
        <v>24</v>
      </c>
      <c r="B8166" s="10" t="inlineStr">
        <is>
          <t>平日</t>
        </is>
      </c>
      <c r="C8166" s="10" t="inlineStr">
        <is>
          <t>北野線</t>
        </is>
      </c>
      <c r="D8166" s="10" t="inlineStr">
        <is>
          <t>上り</t>
        </is>
      </c>
      <c r="E8166" t="inlineStr">
        <is>
          <t>1556</t>
        </is>
      </c>
      <c r="F8166" t="inlineStr">
        <is>
          <t>0354</t>
        </is>
      </c>
      <c r="G8166" s="10" t="inlineStr">
        <is>
          <t>御室仁和寺</t>
        </is>
      </c>
      <c r="H8166" s="10" t="inlineStr">
        <is>
          <t>発</t>
        </is>
      </c>
      <c r="J8166" s="10" t="inlineStr">
        <is>
          <t>営業</t>
        </is>
      </c>
      <c r="L8166" t="inlineStr">
        <is>
          <t>15:33:15</t>
        </is>
      </c>
      <c r="M8166" t="inlineStr">
        <is>
          <t>15:33:35</t>
        </is>
      </c>
    </row>
    <row r="8167" ht="15" customHeight="1" s="37">
      <c r="A8167" t="n">
        <v>24</v>
      </c>
      <c r="B8167" s="10" t="inlineStr">
        <is>
          <t>平日</t>
        </is>
      </c>
      <c r="C8167" s="10" t="inlineStr">
        <is>
          <t>北野線</t>
        </is>
      </c>
      <c r="D8167" s="10" t="inlineStr">
        <is>
          <t>上り</t>
        </is>
      </c>
      <c r="E8167" t="inlineStr">
        <is>
          <t>1556</t>
        </is>
      </c>
      <c r="F8167" t="inlineStr">
        <is>
          <t>0354</t>
        </is>
      </c>
      <c r="G8167" s="10" t="inlineStr">
        <is>
          <t>妙心寺</t>
        </is>
      </c>
      <c r="H8167" s="10" t="inlineStr">
        <is>
          <t>発</t>
        </is>
      </c>
      <c r="J8167" s="10" t="inlineStr">
        <is>
          <t>営業</t>
        </is>
      </c>
      <c r="L8167" t="inlineStr">
        <is>
          <t>15:34:35</t>
        </is>
      </c>
      <c r="M8167" t="inlineStr">
        <is>
          <t>15:34:50</t>
        </is>
      </c>
    </row>
    <row r="8168" ht="15" customHeight="1" s="37">
      <c r="A8168" t="n">
        <v>24</v>
      </c>
      <c r="B8168" s="10" t="inlineStr">
        <is>
          <t>平日</t>
        </is>
      </c>
      <c r="C8168" s="10" t="inlineStr">
        <is>
          <t>北野線</t>
        </is>
      </c>
      <c r="D8168" s="10" t="inlineStr">
        <is>
          <t>上り</t>
        </is>
      </c>
      <c r="E8168" t="inlineStr">
        <is>
          <t>1556</t>
        </is>
      </c>
      <c r="F8168" t="inlineStr">
        <is>
          <t>0354</t>
        </is>
      </c>
      <c r="G8168" s="10" t="inlineStr">
        <is>
          <t>龍安寺</t>
        </is>
      </c>
      <c r="H8168" s="10" t="inlineStr">
        <is>
          <t>発</t>
        </is>
      </c>
      <c r="J8168" s="10" t="inlineStr">
        <is>
          <t>営業</t>
        </is>
      </c>
      <c r="L8168" t="inlineStr">
        <is>
          <t>15:35:45</t>
        </is>
      </c>
      <c r="M8168" t="inlineStr">
        <is>
          <t>15:35:55</t>
        </is>
      </c>
    </row>
    <row r="8169" ht="15" customHeight="1" s="37">
      <c r="A8169" t="n">
        <v>24</v>
      </c>
      <c r="B8169" s="10" t="inlineStr">
        <is>
          <t>平日</t>
        </is>
      </c>
      <c r="C8169" s="10" t="inlineStr">
        <is>
          <t>北野線</t>
        </is>
      </c>
      <c r="D8169" s="10" t="inlineStr">
        <is>
          <t>上り</t>
        </is>
      </c>
      <c r="E8169" t="inlineStr">
        <is>
          <t>1556</t>
        </is>
      </c>
      <c r="F8169" t="inlineStr">
        <is>
          <t>0354</t>
        </is>
      </c>
      <c r="G8169" s="10" t="inlineStr">
        <is>
          <t>等持院</t>
        </is>
      </c>
      <c r="H8169" s="10" t="inlineStr">
        <is>
          <t>発</t>
        </is>
      </c>
      <c r="J8169" s="10" t="inlineStr">
        <is>
          <t>営業</t>
        </is>
      </c>
      <c r="L8169" t="inlineStr">
        <is>
          <t>15:36:35</t>
        </is>
      </c>
      <c r="M8169" t="inlineStr">
        <is>
          <t>15:36:55</t>
        </is>
      </c>
    </row>
    <row r="8170" ht="15" customHeight="1" s="37">
      <c r="A8170" t="n">
        <v>24</v>
      </c>
      <c r="B8170" s="10" t="inlineStr">
        <is>
          <t>平日</t>
        </is>
      </c>
      <c r="C8170" s="10" t="inlineStr">
        <is>
          <t>北野線</t>
        </is>
      </c>
      <c r="D8170" s="10" t="inlineStr">
        <is>
          <t>上り</t>
        </is>
      </c>
      <c r="E8170" t="inlineStr">
        <is>
          <t>1556</t>
        </is>
      </c>
      <c r="F8170" t="inlineStr">
        <is>
          <t>0354</t>
        </is>
      </c>
      <c r="G8170" s="10" t="inlineStr">
        <is>
          <t>北野白梅町</t>
        </is>
      </c>
      <c r="H8170" s="10" t="inlineStr">
        <is>
          <t>着</t>
        </is>
      </c>
      <c r="J8170" s="10" t="inlineStr">
        <is>
          <t>営業</t>
        </is>
      </c>
      <c r="L8170" t="inlineStr">
        <is>
          <t>15:38:15</t>
        </is>
      </c>
      <c r="Q8170" t="inlineStr">
        <is>
          <t>1</t>
        </is>
      </c>
    </row>
    <row r="8171" ht="15" customHeight="1" s="37">
      <c r="A8171" t="n">
        <v>24</v>
      </c>
      <c r="B8171" s="10" t="inlineStr">
        <is>
          <t>平日</t>
        </is>
      </c>
      <c r="C8171" s="10" t="inlineStr">
        <is>
          <t>北野線</t>
        </is>
      </c>
      <c r="D8171" s="10" t="inlineStr">
        <is>
          <t>下り</t>
        </is>
      </c>
      <c r="E8171" t="inlineStr">
        <is>
          <t>1559</t>
        </is>
      </c>
      <c r="F8171" t="inlineStr">
        <is>
          <t>0453</t>
        </is>
      </c>
      <c r="G8171" s="10" t="inlineStr">
        <is>
          <t>北野白梅町</t>
        </is>
      </c>
      <c r="H8171" s="10" t="inlineStr">
        <is>
          <t>発</t>
        </is>
      </c>
      <c r="J8171" s="10" t="inlineStr">
        <is>
          <t>営業</t>
        </is>
      </c>
      <c r="M8171" t="inlineStr">
        <is>
          <t>15:43:00</t>
        </is>
      </c>
      <c r="Q8171" t="inlineStr">
        <is>
          <t>1</t>
        </is>
      </c>
    </row>
    <row r="8172" ht="15" customHeight="1" s="37">
      <c r="A8172" t="n">
        <v>24</v>
      </c>
      <c r="B8172" s="10" t="inlineStr">
        <is>
          <t>平日</t>
        </is>
      </c>
      <c r="C8172" s="10" t="inlineStr">
        <is>
          <t>北野線</t>
        </is>
      </c>
      <c r="D8172" s="10" t="inlineStr">
        <is>
          <t>下り</t>
        </is>
      </c>
      <c r="E8172" t="inlineStr">
        <is>
          <t>1559</t>
        </is>
      </c>
      <c r="F8172" t="inlineStr">
        <is>
          <t>0453</t>
        </is>
      </c>
      <c r="G8172" s="10" t="inlineStr">
        <is>
          <t>等持院</t>
        </is>
      </c>
      <c r="H8172" s="10" t="inlineStr">
        <is>
          <t>発</t>
        </is>
      </c>
      <c r="J8172" s="10" t="inlineStr">
        <is>
          <t>営業</t>
        </is>
      </c>
      <c r="L8172" t="inlineStr">
        <is>
          <t>15:44:25</t>
        </is>
      </c>
      <c r="M8172" t="inlineStr">
        <is>
          <t>15:44:35</t>
        </is>
      </c>
    </row>
    <row r="8173" ht="15" customHeight="1" s="37">
      <c r="A8173" t="n">
        <v>24</v>
      </c>
      <c r="B8173" s="10" t="inlineStr">
        <is>
          <t>平日</t>
        </is>
      </c>
      <c r="C8173" s="10" t="inlineStr">
        <is>
          <t>北野線</t>
        </is>
      </c>
      <c r="D8173" s="10" t="inlineStr">
        <is>
          <t>下り</t>
        </is>
      </c>
      <c r="E8173" t="inlineStr">
        <is>
          <t>1559</t>
        </is>
      </c>
      <c r="F8173" t="inlineStr">
        <is>
          <t>0453</t>
        </is>
      </c>
      <c r="G8173" s="10" t="inlineStr">
        <is>
          <t>龍安寺</t>
        </is>
      </c>
      <c r="H8173" s="10" t="inlineStr">
        <is>
          <t>発</t>
        </is>
      </c>
      <c r="J8173" s="10" t="inlineStr">
        <is>
          <t>営業</t>
        </is>
      </c>
      <c r="L8173" t="inlineStr">
        <is>
          <t>15:45:25</t>
        </is>
      </c>
      <c r="M8173" t="inlineStr">
        <is>
          <t>15:45:50</t>
        </is>
      </c>
    </row>
    <row r="8174" ht="15" customHeight="1" s="37">
      <c r="A8174" t="n">
        <v>24</v>
      </c>
      <c r="B8174" s="10" t="inlineStr">
        <is>
          <t>平日</t>
        </is>
      </c>
      <c r="C8174" s="10" t="inlineStr">
        <is>
          <t>北野線</t>
        </is>
      </c>
      <c r="D8174" s="10" t="inlineStr">
        <is>
          <t>下り</t>
        </is>
      </c>
      <c r="E8174" t="inlineStr">
        <is>
          <t>1559</t>
        </is>
      </c>
      <c r="F8174" t="inlineStr">
        <is>
          <t>0453</t>
        </is>
      </c>
      <c r="G8174" s="10" t="inlineStr">
        <is>
          <t>妙心寺</t>
        </is>
      </c>
      <c r="H8174" s="10" t="inlineStr">
        <is>
          <t>発</t>
        </is>
      </c>
      <c r="J8174" s="10" t="inlineStr">
        <is>
          <t>営業</t>
        </is>
      </c>
      <c r="L8174" t="inlineStr">
        <is>
          <t>15:46:40</t>
        </is>
      </c>
      <c r="M8174" t="inlineStr">
        <is>
          <t>15:46:50</t>
        </is>
      </c>
    </row>
    <row r="8175" ht="15" customHeight="1" s="37">
      <c r="A8175" t="n">
        <v>24</v>
      </c>
      <c r="B8175" s="10" t="inlineStr">
        <is>
          <t>平日</t>
        </is>
      </c>
      <c r="C8175" s="10" t="inlineStr">
        <is>
          <t>北野線</t>
        </is>
      </c>
      <c r="D8175" s="10" t="inlineStr">
        <is>
          <t>下り</t>
        </is>
      </c>
      <c r="E8175" t="inlineStr">
        <is>
          <t>1559</t>
        </is>
      </c>
      <c r="F8175" t="inlineStr">
        <is>
          <t>0453</t>
        </is>
      </c>
      <c r="G8175" s="10" t="inlineStr">
        <is>
          <t>御室仁和寺</t>
        </is>
      </c>
      <c r="H8175" s="10" t="inlineStr">
        <is>
          <t>発</t>
        </is>
      </c>
      <c r="J8175" s="10" t="inlineStr">
        <is>
          <t>営業</t>
        </is>
      </c>
      <c r="L8175" t="inlineStr">
        <is>
          <t>15:47:50</t>
        </is>
      </c>
      <c r="M8175" t="inlineStr">
        <is>
          <t>15:48:05</t>
        </is>
      </c>
    </row>
    <row r="8176" ht="15" customHeight="1" s="37">
      <c r="A8176" t="n">
        <v>24</v>
      </c>
      <c r="B8176" s="10" t="inlineStr">
        <is>
          <t>平日</t>
        </is>
      </c>
      <c r="C8176" s="10" t="inlineStr">
        <is>
          <t>北野線</t>
        </is>
      </c>
      <c r="D8176" s="10" t="inlineStr">
        <is>
          <t>下り</t>
        </is>
      </c>
      <c r="E8176" t="inlineStr">
        <is>
          <t>1559</t>
        </is>
      </c>
      <c r="F8176" t="inlineStr">
        <is>
          <t>0453</t>
        </is>
      </c>
      <c r="G8176" s="10" t="inlineStr">
        <is>
          <t>宇多野</t>
        </is>
      </c>
      <c r="H8176" s="10" t="inlineStr">
        <is>
          <t>発</t>
        </is>
      </c>
      <c r="J8176" s="10" t="inlineStr">
        <is>
          <t>営業</t>
        </is>
      </c>
      <c r="L8176" t="inlineStr">
        <is>
          <t>15:49:05</t>
        </is>
      </c>
      <c r="M8176" t="inlineStr">
        <is>
          <t>15:49:15</t>
        </is>
      </c>
    </row>
    <row r="8177" ht="15" customHeight="1" s="37">
      <c r="A8177" t="n">
        <v>24</v>
      </c>
      <c r="B8177" s="10" t="inlineStr">
        <is>
          <t>平日</t>
        </is>
      </c>
      <c r="C8177" s="10" t="inlineStr">
        <is>
          <t>北野線</t>
        </is>
      </c>
      <c r="D8177" s="10" t="inlineStr">
        <is>
          <t>下り</t>
        </is>
      </c>
      <c r="E8177" t="inlineStr">
        <is>
          <t>1559</t>
        </is>
      </c>
      <c r="F8177" t="inlineStr">
        <is>
          <t>0453</t>
        </is>
      </c>
      <c r="G8177" s="10" t="inlineStr">
        <is>
          <t>鳴滝</t>
        </is>
      </c>
      <c r="H8177" s="10" t="inlineStr">
        <is>
          <t>発</t>
        </is>
      </c>
      <c r="J8177" s="10" t="inlineStr">
        <is>
          <t>営業</t>
        </is>
      </c>
      <c r="L8177" t="inlineStr">
        <is>
          <t>15:50:35</t>
        </is>
      </c>
      <c r="M8177" t="inlineStr">
        <is>
          <t>15:50:45</t>
        </is>
      </c>
    </row>
    <row r="8178" ht="15" customHeight="1" s="37">
      <c r="A8178" t="n">
        <v>24</v>
      </c>
      <c r="B8178" s="10" t="inlineStr">
        <is>
          <t>平日</t>
        </is>
      </c>
      <c r="C8178" s="10" t="inlineStr">
        <is>
          <t>北野線</t>
        </is>
      </c>
      <c r="D8178" s="10" t="inlineStr">
        <is>
          <t>下り</t>
        </is>
      </c>
      <c r="E8178" t="inlineStr">
        <is>
          <t>1559</t>
        </is>
      </c>
      <c r="F8178" t="inlineStr">
        <is>
          <t>0453</t>
        </is>
      </c>
      <c r="G8178" s="10" t="inlineStr">
        <is>
          <t>常盤</t>
        </is>
      </c>
      <c r="H8178" s="10" t="inlineStr">
        <is>
          <t>発</t>
        </is>
      </c>
      <c r="J8178" s="10" t="inlineStr">
        <is>
          <t>営業</t>
        </is>
      </c>
      <c r="L8178" t="inlineStr">
        <is>
          <t>15:51:35</t>
        </is>
      </c>
      <c r="M8178" t="inlineStr">
        <is>
          <t>15:51:55</t>
        </is>
      </c>
    </row>
    <row r="8179" ht="15" customHeight="1" s="37">
      <c r="A8179" t="n">
        <v>24</v>
      </c>
      <c r="B8179" s="10" t="inlineStr">
        <is>
          <t>平日</t>
        </is>
      </c>
      <c r="C8179" s="10" t="inlineStr">
        <is>
          <t>北野線</t>
        </is>
      </c>
      <c r="D8179" s="10" t="inlineStr">
        <is>
          <t>下り</t>
        </is>
      </c>
      <c r="E8179" t="inlineStr">
        <is>
          <t>1559</t>
        </is>
      </c>
      <c r="F8179" t="inlineStr">
        <is>
          <t>0453</t>
        </is>
      </c>
      <c r="G8179" s="10" t="inlineStr">
        <is>
          <t>撮影所前</t>
        </is>
      </c>
      <c r="H8179" s="10" t="inlineStr">
        <is>
          <t>発</t>
        </is>
      </c>
      <c r="J8179" s="10" t="inlineStr">
        <is>
          <t>営業</t>
        </is>
      </c>
      <c r="L8179" t="inlineStr">
        <is>
          <t>15:53:15</t>
        </is>
      </c>
      <c r="M8179" t="inlineStr">
        <is>
          <t>15:53:30</t>
        </is>
      </c>
    </row>
    <row r="8180" ht="15" customHeight="1" s="37">
      <c r="A8180" t="n">
        <v>24</v>
      </c>
      <c r="B8180" s="10" t="inlineStr">
        <is>
          <t>平日</t>
        </is>
      </c>
      <c r="C8180" s="10" t="inlineStr">
        <is>
          <t>北野線</t>
        </is>
      </c>
      <c r="D8180" s="10" t="inlineStr">
        <is>
          <t>下り</t>
        </is>
      </c>
      <c r="E8180" t="inlineStr">
        <is>
          <t>1559</t>
        </is>
      </c>
      <c r="F8180" t="inlineStr">
        <is>
          <t>0453</t>
        </is>
      </c>
      <c r="G8180" s="10" t="inlineStr">
        <is>
          <t>帷子ノ辻</t>
        </is>
      </c>
      <c r="H8180" s="10" t="inlineStr">
        <is>
          <t>着</t>
        </is>
      </c>
      <c r="J8180" s="10" t="inlineStr">
        <is>
          <t>営業</t>
        </is>
      </c>
      <c r="L8180" t="inlineStr">
        <is>
          <t>15:54:25</t>
        </is>
      </c>
      <c r="Q8180" t="inlineStr">
        <is>
          <t>4</t>
        </is>
      </c>
    </row>
    <row r="8181" ht="15" customHeight="1" s="37">
      <c r="A8181" t="n">
        <v>24</v>
      </c>
      <c r="B8181" s="10" t="inlineStr">
        <is>
          <t>平日</t>
        </is>
      </c>
      <c r="C8181" s="10" t="inlineStr">
        <is>
          <t>北野線</t>
        </is>
      </c>
      <c r="D8181" s="10" t="inlineStr">
        <is>
          <t>上り</t>
        </is>
      </c>
      <c r="E8181" t="inlineStr">
        <is>
          <t>1652</t>
        </is>
      </c>
      <c r="F8181" t="inlineStr">
        <is>
          <t>0354</t>
        </is>
      </c>
      <c r="G8181" s="10" t="inlineStr">
        <is>
          <t>帷子ノ辻</t>
        </is>
      </c>
      <c r="H8181" s="10" t="inlineStr">
        <is>
          <t>発</t>
        </is>
      </c>
      <c r="J8181" s="10" t="inlineStr">
        <is>
          <t>営業</t>
        </is>
      </c>
      <c r="M8181" t="inlineStr">
        <is>
          <t>16:06:25</t>
        </is>
      </c>
      <c r="Q8181" t="inlineStr">
        <is>
          <t>4</t>
        </is>
      </c>
    </row>
    <row r="8182" ht="15" customHeight="1" s="37">
      <c r="A8182" t="n">
        <v>24</v>
      </c>
      <c r="B8182" s="10" t="inlineStr">
        <is>
          <t>平日</t>
        </is>
      </c>
      <c r="C8182" s="10" t="inlineStr">
        <is>
          <t>北野線</t>
        </is>
      </c>
      <c r="D8182" s="10" t="inlineStr">
        <is>
          <t>上り</t>
        </is>
      </c>
      <c r="E8182" t="inlineStr">
        <is>
          <t>1652</t>
        </is>
      </c>
      <c r="F8182" t="inlineStr">
        <is>
          <t>0354</t>
        </is>
      </c>
      <c r="G8182" s="10" t="inlineStr">
        <is>
          <t>撮影所前</t>
        </is>
      </c>
      <c r="H8182" s="10" t="inlineStr">
        <is>
          <t>発</t>
        </is>
      </c>
      <c r="J8182" s="10" t="inlineStr">
        <is>
          <t>営業</t>
        </is>
      </c>
      <c r="L8182" t="inlineStr">
        <is>
          <t>16:07:25</t>
        </is>
      </c>
      <c r="M8182" t="inlineStr">
        <is>
          <t>16:07:40</t>
        </is>
      </c>
    </row>
    <row r="8183" ht="15" customHeight="1" s="37">
      <c r="A8183" t="n">
        <v>24</v>
      </c>
      <c r="B8183" s="10" t="inlineStr">
        <is>
          <t>平日</t>
        </is>
      </c>
      <c r="C8183" s="10" t="inlineStr">
        <is>
          <t>北野線</t>
        </is>
      </c>
      <c r="D8183" s="10" t="inlineStr">
        <is>
          <t>上り</t>
        </is>
      </c>
      <c r="E8183" t="inlineStr">
        <is>
          <t>1652</t>
        </is>
      </c>
      <c r="F8183" t="inlineStr">
        <is>
          <t>0354</t>
        </is>
      </c>
      <c r="G8183" s="10" t="inlineStr">
        <is>
          <t>常盤</t>
        </is>
      </c>
      <c r="H8183" s="10" t="inlineStr">
        <is>
          <t>発</t>
        </is>
      </c>
      <c r="J8183" s="10" t="inlineStr">
        <is>
          <t>営業</t>
        </is>
      </c>
      <c r="L8183" t="inlineStr">
        <is>
          <t>16:09:00</t>
        </is>
      </c>
      <c r="M8183" t="inlineStr">
        <is>
          <t>16:09:20</t>
        </is>
      </c>
    </row>
    <row r="8184" ht="15" customHeight="1" s="37">
      <c r="A8184" t="n">
        <v>24</v>
      </c>
      <c r="B8184" s="10" t="inlineStr">
        <is>
          <t>平日</t>
        </is>
      </c>
      <c r="C8184" s="10" t="inlineStr">
        <is>
          <t>北野線</t>
        </is>
      </c>
      <c r="D8184" s="10" t="inlineStr">
        <is>
          <t>上り</t>
        </is>
      </c>
      <c r="E8184" t="inlineStr">
        <is>
          <t>1652</t>
        </is>
      </c>
      <c r="F8184" t="inlineStr">
        <is>
          <t>0354</t>
        </is>
      </c>
      <c r="G8184" s="10" t="inlineStr">
        <is>
          <t>鳴滝</t>
        </is>
      </c>
      <c r="H8184" s="10" t="inlineStr">
        <is>
          <t>発</t>
        </is>
      </c>
      <c r="J8184" s="10" t="inlineStr">
        <is>
          <t>営業</t>
        </is>
      </c>
      <c r="L8184" t="inlineStr">
        <is>
          <t>16:10:20</t>
        </is>
      </c>
      <c r="M8184" t="inlineStr">
        <is>
          <t>16:10:40</t>
        </is>
      </c>
    </row>
    <row r="8185" ht="15" customHeight="1" s="37">
      <c r="A8185" t="n">
        <v>24</v>
      </c>
      <c r="B8185" s="10" t="inlineStr">
        <is>
          <t>平日</t>
        </is>
      </c>
      <c r="C8185" s="10" t="inlineStr">
        <is>
          <t>北野線</t>
        </is>
      </c>
      <c r="D8185" s="10" t="inlineStr">
        <is>
          <t>上り</t>
        </is>
      </c>
      <c r="E8185" t="inlineStr">
        <is>
          <t>1652</t>
        </is>
      </c>
      <c r="F8185" t="inlineStr">
        <is>
          <t>0354</t>
        </is>
      </c>
      <c r="G8185" s="10" t="inlineStr">
        <is>
          <t>宇多野</t>
        </is>
      </c>
      <c r="H8185" s="10" t="inlineStr">
        <is>
          <t>発</t>
        </is>
      </c>
      <c r="J8185" s="10" t="inlineStr">
        <is>
          <t>営業</t>
        </is>
      </c>
      <c r="L8185" t="inlineStr">
        <is>
          <t>16:12:00</t>
        </is>
      </c>
      <c r="M8185" t="inlineStr">
        <is>
          <t>16:12:15</t>
        </is>
      </c>
    </row>
    <row r="8186" ht="15" customHeight="1" s="37">
      <c r="A8186" t="n">
        <v>24</v>
      </c>
      <c r="B8186" s="10" t="inlineStr">
        <is>
          <t>平日</t>
        </is>
      </c>
      <c r="C8186" s="10" t="inlineStr">
        <is>
          <t>北野線</t>
        </is>
      </c>
      <c r="D8186" s="10" t="inlineStr">
        <is>
          <t>上り</t>
        </is>
      </c>
      <c r="E8186" t="inlineStr">
        <is>
          <t>1652</t>
        </is>
      </c>
      <c r="F8186" t="inlineStr">
        <is>
          <t>0354</t>
        </is>
      </c>
      <c r="G8186" s="10" t="inlineStr">
        <is>
          <t>御室仁和寺</t>
        </is>
      </c>
      <c r="H8186" s="10" t="inlineStr">
        <is>
          <t>発</t>
        </is>
      </c>
      <c r="J8186" s="10" t="inlineStr">
        <is>
          <t>営業</t>
        </is>
      </c>
      <c r="L8186" t="inlineStr">
        <is>
          <t>16:13:15</t>
        </is>
      </c>
      <c r="M8186" t="inlineStr">
        <is>
          <t>16:13:35</t>
        </is>
      </c>
    </row>
    <row r="8187" ht="15" customHeight="1" s="37">
      <c r="A8187" t="n">
        <v>24</v>
      </c>
      <c r="B8187" s="10" t="inlineStr">
        <is>
          <t>平日</t>
        </is>
      </c>
      <c r="C8187" s="10" t="inlineStr">
        <is>
          <t>北野線</t>
        </is>
      </c>
      <c r="D8187" s="10" t="inlineStr">
        <is>
          <t>上り</t>
        </is>
      </c>
      <c r="E8187" t="inlineStr">
        <is>
          <t>1652</t>
        </is>
      </c>
      <c r="F8187" t="inlineStr">
        <is>
          <t>0354</t>
        </is>
      </c>
      <c r="G8187" s="10" t="inlineStr">
        <is>
          <t>妙心寺</t>
        </is>
      </c>
      <c r="H8187" s="10" t="inlineStr">
        <is>
          <t>発</t>
        </is>
      </c>
      <c r="J8187" s="10" t="inlineStr">
        <is>
          <t>営業</t>
        </is>
      </c>
      <c r="L8187" t="inlineStr">
        <is>
          <t>16:14:35</t>
        </is>
      </c>
      <c r="M8187" t="inlineStr">
        <is>
          <t>16:14:50</t>
        </is>
      </c>
    </row>
    <row r="8188" ht="15" customHeight="1" s="37">
      <c r="A8188" t="n">
        <v>24</v>
      </c>
      <c r="B8188" s="10" t="inlineStr">
        <is>
          <t>平日</t>
        </is>
      </c>
      <c r="C8188" s="10" t="inlineStr">
        <is>
          <t>北野線</t>
        </is>
      </c>
      <c r="D8188" s="10" t="inlineStr">
        <is>
          <t>上り</t>
        </is>
      </c>
      <c r="E8188" t="inlineStr">
        <is>
          <t>1652</t>
        </is>
      </c>
      <c r="F8188" t="inlineStr">
        <is>
          <t>0354</t>
        </is>
      </c>
      <c r="G8188" s="10" t="inlineStr">
        <is>
          <t>龍安寺</t>
        </is>
      </c>
      <c r="H8188" s="10" t="inlineStr">
        <is>
          <t>発</t>
        </is>
      </c>
      <c r="J8188" s="10" t="inlineStr">
        <is>
          <t>営業</t>
        </is>
      </c>
      <c r="L8188" t="inlineStr">
        <is>
          <t>16:15:45</t>
        </is>
      </c>
      <c r="M8188" t="inlineStr">
        <is>
          <t>16:15:55</t>
        </is>
      </c>
    </row>
    <row r="8189" ht="15" customHeight="1" s="37">
      <c r="A8189" t="n">
        <v>24</v>
      </c>
      <c r="B8189" s="10" t="inlineStr">
        <is>
          <t>平日</t>
        </is>
      </c>
      <c r="C8189" s="10" t="inlineStr">
        <is>
          <t>北野線</t>
        </is>
      </c>
      <c r="D8189" s="10" t="inlineStr">
        <is>
          <t>上り</t>
        </is>
      </c>
      <c r="E8189" t="inlineStr">
        <is>
          <t>1652</t>
        </is>
      </c>
      <c r="F8189" t="inlineStr">
        <is>
          <t>0354</t>
        </is>
      </c>
      <c r="G8189" s="10" t="inlineStr">
        <is>
          <t>等持院</t>
        </is>
      </c>
      <c r="H8189" s="10" t="inlineStr">
        <is>
          <t>発</t>
        </is>
      </c>
      <c r="J8189" s="10" t="inlineStr">
        <is>
          <t>営業</t>
        </is>
      </c>
      <c r="L8189" t="inlineStr">
        <is>
          <t>16:16:35</t>
        </is>
      </c>
      <c r="M8189" t="inlineStr">
        <is>
          <t>16:16:55</t>
        </is>
      </c>
    </row>
    <row r="8190" ht="15" customHeight="1" s="37">
      <c r="A8190" t="n">
        <v>24</v>
      </c>
      <c r="B8190" s="10" t="inlineStr">
        <is>
          <t>平日</t>
        </is>
      </c>
      <c r="C8190" s="10" t="inlineStr">
        <is>
          <t>北野線</t>
        </is>
      </c>
      <c r="D8190" s="10" t="inlineStr">
        <is>
          <t>上り</t>
        </is>
      </c>
      <c r="E8190" t="inlineStr">
        <is>
          <t>1652</t>
        </is>
      </c>
      <c r="F8190" t="inlineStr">
        <is>
          <t>0354</t>
        </is>
      </c>
      <c r="G8190" s="10" t="inlineStr">
        <is>
          <t>北野白梅町</t>
        </is>
      </c>
      <c r="H8190" s="10" t="inlineStr">
        <is>
          <t>着</t>
        </is>
      </c>
      <c r="J8190" s="10" t="inlineStr">
        <is>
          <t>営業</t>
        </is>
      </c>
      <c r="L8190" t="inlineStr">
        <is>
          <t>16:18:15</t>
        </is>
      </c>
      <c r="Q8190" t="inlineStr">
        <is>
          <t>1</t>
        </is>
      </c>
    </row>
    <row r="8191" ht="15" customHeight="1" s="37">
      <c r="A8191" t="n">
        <v>24</v>
      </c>
      <c r="B8191" s="10" t="inlineStr">
        <is>
          <t>平日</t>
        </is>
      </c>
      <c r="C8191" s="10" t="inlineStr">
        <is>
          <t>北野線</t>
        </is>
      </c>
      <c r="D8191" s="10" t="inlineStr">
        <is>
          <t>下り</t>
        </is>
      </c>
      <c r="E8191" t="inlineStr">
        <is>
          <t>1655</t>
        </is>
      </c>
      <c r="F8191" t="inlineStr">
        <is>
          <t>0453</t>
        </is>
      </c>
      <c r="G8191" s="10" t="inlineStr">
        <is>
          <t>北野白梅町</t>
        </is>
      </c>
      <c r="H8191" s="10" t="inlineStr">
        <is>
          <t>発</t>
        </is>
      </c>
      <c r="J8191" s="10" t="inlineStr">
        <is>
          <t>営業</t>
        </is>
      </c>
      <c r="M8191" t="inlineStr">
        <is>
          <t>16:23:00</t>
        </is>
      </c>
      <c r="Q8191" t="inlineStr">
        <is>
          <t>1</t>
        </is>
      </c>
    </row>
    <row r="8192" ht="15" customHeight="1" s="37">
      <c r="A8192" t="n">
        <v>24</v>
      </c>
      <c r="B8192" s="10" t="inlineStr">
        <is>
          <t>平日</t>
        </is>
      </c>
      <c r="C8192" s="10" t="inlineStr">
        <is>
          <t>北野線</t>
        </is>
      </c>
      <c r="D8192" s="10" t="inlineStr">
        <is>
          <t>下り</t>
        </is>
      </c>
      <c r="E8192" t="inlineStr">
        <is>
          <t>1655</t>
        </is>
      </c>
      <c r="F8192" t="inlineStr">
        <is>
          <t>0453</t>
        </is>
      </c>
      <c r="G8192" s="10" t="inlineStr">
        <is>
          <t>等持院</t>
        </is>
      </c>
      <c r="H8192" s="10" t="inlineStr">
        <is>
          <t>発</t>
        </is>
      </c>
      <c r="J8192" s="10" t="inlineStr">
        <is>
          <t>営業</t>
        </is>
      </c>
      <c r="L8192" t="inlineStr">
        <is>
          <t>16:24:25</t>
        </is>
      </c>
      <c r="M8192" t="inlineStr">
        <is>
          <t>16:24:35</t>
        </is>
      </c>
    </row>
    <row r="8193" ht="15" customHeight="1" s="37">
      <c r="A8193" t="n">
        <v>24</v>
      </c>
      <c r="B8193" s="10" t="inlineStr">
        <is>
          <t>平日</t>
        </is>
      </c>
      <c r="C8193" s="10" t="inlineStr">
        <is>
          <t>北野線</t>
        </is>
      </c>
      <c r="D8193" s="10" t="inlineStr">
        <is>
          <t>下り</t>
        </is>
      </c>
      <c r="E8193" t="inlineStr">
        <is>
          <t>1655</t>
        </is>
      </c>
      <c r="F8193" t="inlineStr">
        <is>
          <t>0453</t>
        </is>
      </c>
      <c r="G8193" s="10" t="inlineStr">
        <is>
          <t>龍安寺</t>
        </is>
      </c>
      <c r="H8193" s="10" t="inlineStr">
        <is>
          <t>発</t>
        </is>
      </c>
      <c r="J8193" s="10" t="inlineStr">
        <is>
          <t>営業</t>
        </is>
      </c>
      <c r="L8193" t="inlineStr">
        <is>
          <t>16:25:25</t>
        </is>
      </c>
      <c r="M8193" t="inlineStr">
        <is>
          <t>16:25:50</t>
        </is>
      </c>
    </row>
    <row r="8194" ht="15" customHeight="1" s="37">
      <c r="A8194" t="n">
        <v>24</v>
      </c>
      <c r="B8194" s="10" t="inlineStr">
        <is>
          <t>平日</t>
        </is>
      </c>
      <c r="C8194" s="10" t="inlineStr">
        <is>
          <t>北野線</t>
        </is>
      </c>
      <c r="D8194" s="10" t="inlineStr">
        <is>
          <t>下り</t>
        </is>
      </c>
      <c r="E8194" t="inlineStr">
        <is>
          <t>1655</t>
        </is>
      </c>
      <c r="F8194" t="inlineStr">
        <is>
          <t>0453</t>
        </is>
      </c>
      <c r="G8194" s="10" t="inlineStr">
        <is>
          <t>妙心寺</t>
        </is>
      </c>
      <c r="H8194" s="10" t="inlineStr">
        <is>
          <t>発</t>
        </is>
      </c>
      <c r="J8194" s="10" t="inlineStr">
        <is>
          <t>営業</t>
        </is>
      </c>
      <c r="L8194" t="inlineStr">
        <is>
          <t>16:26:40</t>
        </is>
      </c>
      <c r="M8194" t="inlineStr">
        <is>
          <t>16:26:50</t>
        </is>
      </c>
    </row>
    <row r="8195" ht="15" customHeight="1" s="37">
      <c r="A8195" t="n">
        <v>24</v>
      </c>
      <c r="B8195" s="10" t="inlineStr">
        <is>
          <t>平日</t>
        </is>
      </c>
      <c r="C8195" s="10" t="inlineStr">
        <is>
          <t>北野線</t>
        </is>
      </c>
      <c r="D8195" s="10" t="inlineStr">
        <is>
          <t>下り</t>
        </is>
      </c>
      <c r="E8195" t="inlineStr">
        <is>
          <t>1655</t>
        </is>
      </c>
      <c r="F8195" t="inlineStr">
        <is>
          <t>0453</t>
        </is>
      </c>
      <c r="G8195" s="10" t="inlineStr">
        <is>
          <t>御室仁和寺</t>
        </is>
      </c>
      <c r="H8195" s="10" t="inlineStr">
        <is>
          <t>発</t>
        </is>
      </c>
      <c r="J8195" s="10" t="inlineStr">
        <is>
          <t>営業</t>
        </is>
      </c>
      <c r="L8195" t="inlineStr">
        <is>
          <t>16:27:50</t>
        </is>
      </c>
      <c r="M8195" t="inlineStr">
        <is>
          <t>16:28:05</t>
        </is>
      </c>
    </row>
    <row r="8196" ht="15" customHeight="1" s="37">
      <c r="A8196" t="n">
        <v>24</v>
      </c>
      <c r="B8196" s="10" t="inlineStr">
        <is>
          <t>平日</t>
        </is>
      </c>
      <c r="C8196" s="10" t="inlineStr">
        <is>
          <t>北野線</t>
        </is>
      </c>
      <c r="D8196" s="10" t="inlineStr">
        <is>
          <t>下り</t>
        </is>
      </c>
      <c r="E8196" t="inlineStr">
        <is>
          <t>1655</t>
        </is>
      </c>
      <c r="F8196" t="inlineStr">
        <is>
          <t>0453</t>
        </is>
      </c>
      <c r="G8196" s="10" t="inlineStr">
        <is>
          <t>宇多野</t>
        </is>
      </c>
      <c r="H8196" s="10" t="inlineStr">
        <is>
          <t>発</t>
        </is>
      </c>
      <c r="J8196" s="10" t="inlineStr">
        <is>
          <t>営業</t>
        </is>
      </c>
      <c r="L8196" t="inlineStr">
        <is>
          <t>16:29:05</t>
        </is>
      </c>
      <c r="M8196" t="inlineStr">
        <is>
          <t>16:29:15</t>
        </is>
      </c>
    </row>
    <row r="8197" ht="15" customHeight="1" s="37">
      <c r="A8197" t="n">
        <v>24</v>
      </c>
      <c r="B8197" s="10" t="inlineStr">
        <is>
          <t>平日</t>
        </is>
      </c>
      <c r="C8197" s="10" t="inlineStr">
        <is>
          <t>北野線</t>
        </is>
      </c>
      <c r="D8197" s="10" t="inlineStr">
        <is>
          <t>下り</t>
        </is>
      </c>
      <c r="E8197" t="inlineStr">
        <is>
          <t>1655</t>
        </is>
      </c>
      <c r="F8197" t="inlineStr">
        <is>
          <t>0453</t>
        </is>
      </c>
      <c r="G8197" s="10" t="inlineStr">
        <is>
          <t>鳴滝</t>
        </is>
      </c>
      <c r="H8197" s="10" t="inlineStr">
        <is>
          <t>発</t>
        </is>
      </c>
      <c r="J8197" s="10" t="inlineStr">
        <is>
          <t>営業</t>
        </is>
      </c>
      <c r="L8197" t="inlineStr">
        <is>
          <t>16:30:35</t>
        </is>
      </c>
      <c r="M8197" t="inlineStr">
        <is>
          <t>16:30:45</t>
        </is>
      </c>
    </row>
    <row r="8198" ht="15" customHeight="1" s="37">
      <c r="A8198" t="n">
        <v>24</v>
      </c>
      <c r="B8198" s="10" t="inlineStr">
        <is>
          <t>平日</t>
        </is>
      </c>
      <c r="C8198" s="10" t="inlineStr">
        <is>
          <t>北野線</t>
        </is>
      </c>
      <c r="D8198" s="10" t="inlineStr">
        <is>
          <t>下り</t>
        </is>
      </c>
      <c r="E8198" t="inlineStr">
        <is>
          <t>1655</t>
        </is>
      </c>
      <c r="F8198" t="inlineStr">
        <is>
          <t>0453</t>
        </is>
      </c>
      <c r="G8198" s="10" t="inlineStr">
        <is>
          <t>常盤</t>
        </is>
      </c>
      <c r="H8198" s="10" t="inlineStr">
        <is>
          <t>発</t>
        </is>
      </c>
      <c r="J8198" s="10" t="inlineStr">
        <is>
          <t>営業</t>
        </is>
      </c>
      <c r="L8198" t="inlineStr">
        <is>
          <t>16:31:35</t>
        </is>
      </c>
      <c r="M8198" t="inlineStr">
        <is>
          <t>16:31:55</t>
        </is>
      </c>
    </row>
    <row r="8199" ht="16.5" customHeight="1" s="37">
      <c r="A8199" t="n">
        <v>24</v>
      </c>
      <c r="B8199" s="10" t="inlineStr">
        <is>
          <t>平日</t>
        </is>
      </c>
      <c r="C8199" s="10" t="inlineStr">
        <is>
          <t>北野線</t>
        </is>
      </c>
      <c r="D8199" s="10" t="inlineStr">
        <is>
          <t>下り</t>
        </is>
      </c>
      <c r="E8199" t="inlineStr">
        <is>
          <t>1655</t>
        </is>
      </c>
      <c r="F8199" t="inlineStr">
        <is>
          <t>0453</t>
        </is>
      </c>
      <c r="G8199" s="10" t="inlineStr">
        <is>
          <t>撮影所前</t>
        </is>
      </c>
      <c r="H8199" s="10" t="inlineStr">
        <is>
          <t>発</t>
        </is>
      </c>
      <c r="J8199" s="10" t="inlineStr">
        <is>
          <t>営業</t>
        </is>
      </c>
      <c r="L8199" t="inlineStr">
        <is>
          <t>16:33:15</t>
        </is>
      </c>
      <c r="M8199" t="inlineStr">
        <is>
          <t>16:33:30</t>
        </is>
      </c>
    </row>
    <row r="8200" ht="16.5" customHeight="1" s="37">
      <c r="A8200" t="n">
        <v>24</v>
      </c>
      <c r="B8200" s="10" t="inlineStr">
        <is>
          <t>平日</t>
        </is>
      </c>
      <c r="C8200" s="10" t="inlineStr">
        <is>
          <t>北野線</t>
        </is>
      </c>
      <c r="D8200" s="10" t="inlineStr">
        <is>
          <t>下り</t>
        </is>
      </c>
      <c r="E8200" t="inlineStr">
        <is>
          <t>1655</t>
        </is>
      </c>
      <c r="F8200" t="inlineStr">
        <is>
          <t>0453</t>
        </is>
      </c>
      <c r="G8200" s="10" t="inlineStr">
        <is>
          <t>帷子ノ辻</t>
        </is>
      </c>
      <c r="H8200" s="10" t="inlineStr">
        <is>
          <t>着</t>
        </is>
      </c>
      <c r="J8200" s="10" t="inlineStr">
        <is>
          <t>営業</t>
        </is>
      </c>
      <c r="L8200" t="inlineStr">
        <is>
          <t>16:34:25</t>
        </is>
      </c>
      <c r="Q8200" t="inlineStr">
        <is>
          <t>4</t>
        </is>
      </c>
    </row>
    <row r="8201" ht="16.5" customHeight="1" s="37">
      <c r="A8201" t="n">
        <v>24</v>
      </c>
      <c r="B8201" s="10" t="inlineStr">
        <is>
          <t>平日</t>
        </is>
      </c>
      <c r="C8201" s="10" t="inlineStr">
        <is>
          <t>北野線</t>
        </is>
      </c>
      <c r="D8201" s="10" t="inlineStr">
        <is>
          <t>上り</t>
        </is>
      </c>
      <c r="E8201" t="inlineStr">
        <is>
          <t>1660</t>
        </is>
      </c>
      <c r="F8201" t="inlineStr">
        <is>
          <t>0354</t>
        </is>
      </c>
      <c r="G8201" s="10" t="inlineStr">
        <is>
          <t>帷子ノ辻</t>
        </is>
      </c>
      <c r="H8201" s="10" t="inlineStr">
        <is>
          <t>発</t>
        </is>
      </c>
      <c r="J8201" s="10" t="inlineStr">
        <is>
          <t>営業</t>
        </is>
      </c>
      <c r="M8201" t="inlineStr">
        <is>
          <t>16:46:25</t>
        </is>
      </c>
      <c r="Q8201" t="inlineStr">
        <is>
          <t>4</t>
        </is>
      </c>
    </row>
    <row r="8202" ht="16.5" customHeight="1" s="37">
      <c r="A8202" t="n">
        <v>24</v>
      </c>
      <c r="B8202" s="10" t="inlineStr">
        <is>
          <t>平日</t>
        </is>
      </c>
      <c r="C8202" s="10" t="inlineStr">
        <is>
          <t>北野線</t>
        </is>
      </c>
      <c r="D8202" s="10" t="inlineStr">
        <is>
          <t>上り</t>
        </is>
      </c>
      <c r="E8202" t="inlineStr">
        <is>
          <t>1660</t>
        </is>
      </c>
      <c r="F8202" t="inlineStr">
        <is>
          <t>0354</t>
        </is>
      </c>
      <c r="G8202" s="10" t="inlineStr">
        <is>
          <t>撮影所前</t>
        </is>
      </c>
      <c r="H8202" s="10" t="inlineStr">
        <is>
          <t>発</t>
        </is>
      </c>
      <c r="J8202" s="10" t="inlineStr">
        <is>
          <t>営業</t>
        </is>
      </c>
      <c r="L8202" t="inlineStr">
        <is>
          <t>16:47:25</t>
        </is>
      </c>
      <c r="M8202" t="inlineStr">
        <is>
          <t>16:47:40</t>
        </is>
      </c>
    </row>
    <row r="8203" ht="16.5" customHeight="1" s="37">
      <c r="A8203" t="n">
        <v>24</v>
      </c>
      <c r="B8203" s="10" t="inlineStr">
        <is>
          <t>平日</t>
        </is>
      </c>
      <c r="C8203" s="10" t="inlineStr">
        <is>
          <t>北野線</t>
        </is>
      </c>
      <c r="D8203" s="10" t="inlineStr">
        <is>
          <t>上り</t>
        </is>
      </c>
      <c r="E8203" t="inlineStr">
        <is>
          <t>1660</t>
        </is>
      </c>
      <c r="F8203" t="inlineStr">
        <is>
          <t>0354</t>
        </is>
      </c>
      <c r="G8203" s="10" t="inlineStr">
        <is>
          <t>常盤</t>
        </is>
      </c>
      <c r="H8203" s="10" t="inlineStr">
        <is>
          <t>発</t>
        </is>
      </c>
      <c r="J8203" s="10" t="inlineStr">
        <is>
          <t>営業</t>
        </is>
      </c>
      <c r="L8203" t="inlineStr">
        <is>
          <t>16:49:00</t>
        </is>
      </c>
      <c r="M8203" t="inlineStr">
        <is>
          <t>16:49:20</t>
        </is>
      </c>
    </row>
    <row r="8204" ht="16.5" customHeight="1" s="37">
      <c r="A8204" t="n">
        <v>24</v>
      </c>
      <c r="B8204" s="10" t="inlineStr">
        <is>
          <t>平日</t>
        </is>
      </c>
      <c r="C8204" s="10" t="inlineStr">
        <is>
          <t>北野線</t>
        </is>
      </c>
      <c r="D8204" s="10" t="inlineStr">
        <is>
          <t>上り</t>
        </is>
      </c>
      <c r="E8204" t="inlineStr">
        <is>
          <t>1660</t>
        </is>
      </c>
      <c r="F8204" t="inlineStr">
        <is>
          <t>0354</t>
        </is>
      </c>
      <c r="G8204" s="10" t="inlineStr">
        <is>
          <t>鳴滝</t>
        </is>
      </c>
      <c r="H8204" s="10" t="inlineStr">
        <is>
          <t>発</t>
        </is>
      </c>
      <c r="J8204" s="10" t="inlineStr">
        <is>
          <t>営業</t>
        </is>
      </c>
      <c r="L8204" t="inlineStr">
        <is>
          <t>16:50:20</t>
        </is>
      </c>
      <c r="M8204" t="inlineStr">
        <is>
          <t>16:50:40</t>
        </is>
      </c>
    </row>
    <row r="8205" ht="16.5" customHeight="1" s="37">
      <c r="A8205" t="n">
        <v>24</v>
      </c>
      <c r="B8205" s="10" t="inlineStr">
        <is>
          <t>平日</t>
        </is>
      </c>
      <c r="C8205" s="10" t="inlineStr">
        <is>
          <t>北野線</t>
        </is>
      </c>
      <c r="D8205" s="10" t="inlineStr">
        <is>
          <t>上り</t>
        </is>
      </c>
      <c r="E8205" t="inlineStr">
        <is>
          <t>1660</t>
        </is>
      </c>
      <c r="F8205" t="inlineStr">
        <is>
          <t>0354</t>
        </is>
      </c>
      <c r="G8205" s="10" t="inlineStr">
        <is>
          <t>宇多野</t>
        </is>
      </c>
      <c r="H8205" s="10" t="inlineStr">
        <is>
          <t>発</t>
        </is>
      </c>
      <c r="J8205" s="10" t="inlineStr">
        <is>
          <t>営業</t>
        </is>
      </c>
      <c r="L8205" t="inlineStr">
        <is>
          <t>16:52:00</t>
        </is>
      </c>
      <c r="M8205" t="inlineStr">
        <is>
          <t>16:52:15</t>
        </is>
      </c>
    </row>
    <row r="8206" ht="16.5" customHeight="1" s="37">
      <c r="A8206" t="n">
        <v>24</v>
      </c>
      <c r="B8206" s="10" t="inlineStr">
        <is>
          <t>平日</t>
        </is>
      </c>
      <c r="C8206" s="10" t="inlineStr">
        <is>
          <t>北野線</t>
        </is>
      </c>
      <c r="D8206" s="10" t="inlineStr">
        <is>
          <t>上り</t>
        </is>
      </c>
      <c r="E8206" t="inlineStr">
        <is>
          <t>1660</t>
        </is>
      </c>
      <c r="F8206" t="inlineStr">
        <is>
          <t>0354</t>
        </is>
      </c>
      <c r="G8206" s="10" t="inlineStr">
        <is>
          <t>御室仁和寺</t>
        </is>
      </c>
      <c r="H8206" s="10" t="inlineStr">
        <is>
          <t>発</t>
        </is>
      </c>
      <c r="J8206" s="10" t="inlineStr">
        <is>
          <t>営業</t>
        </is>
      </c>
      <c r="L8206" t="inlineStr">
        <is>
          <t>16:53:15</t>
        </is>
      </c>
      <c r="M8206" t="inlineStr">
        <is>
          <t>16:53:35</t>
        </is>
      </c>
    </row>
    <row r="8207" ht="16.5" customHeight="1" s="37">
      <c r="A8207" t="n">
        <v>24</v>
      </c>
      <c r="B8207" s="10" t="inlineStr">
        <is>
          <t>平日</t>
        </is>
      </c>
      <c r="C8207" s="10" t="inlineStr">
        <is>
          <t>北野線</t>
        </is>
      </c>
      <c r="D8207" s="10" t="inlineStr">
        <is>
          <t>上り</t>
        </is>
      </c>
      <c r="E8207" t="inlineStr">
        <is>
          <t>1660</t>
        </is>
      </c>
      <c r="F8207" t="inlineStr">
        <is>
          <t>0354</t>
        </is>
      </c>
      <c r="G8207" s="10" t="inlineStr">
        <is>
          <t>妙心寺</t>
        </is>
      </c>
      <c r="H8207" s="10" t="inlineStr">
        <is>
          <t>発</t>
        </is>
      </c>
      <c r="J8207" s="10" t="inlineStr">
        <is>
          <t>営業</t>
        </is>
      </c>
      <c r="L8207" t="inlineStr">
        <is>
          <t>16:54:35</t>
        </is>
      </c>
      <c r="M8207" t="inlineStr">
        <is>
          <t>16:54:50</t>
        </is>
      </c>
    </row>
    <row r="8208" ht="16.5" customHeight="1" s="37">
      <c r="A8208" t="n">
        <v>24</v>
      </c>
      <c r="B8208" s="10" t="inlineStr">
        <is>
          <t>平日</t>
        </is>
      </c>
      <c r="C8208" s="10" t="inlineStr">
        <is>
          <t>北野線</t>
        </is>
      </c>
      <c r="D8208" s="10" t="inlineStr">
        <is>
          <t>上り</t>
        </is>
      </c>
      <c r="E8208" t="inlineStr">
        <is>
          <t>1660</t>
        </is>
      </c>
      <c r="F8208" t="inlineStr">
        <is>
          <t>0354</t>
        </is>
      </c>
      <c r="G8208" s="10" t="inlineStr">
        <is>
          <t>龍安寺</t>
        </is>
      </c>
      <c r="H8208" s="10" t="inlineStr">
        <is>
          <t>発</t>
        </is>
      </c>
      <c r="J8208" s="10" t="inlineStr">
        <is>
          <t>営業</t>
        </is>
      </c>
      <c r="L8208" t="inlineStr">
        <is>
          <t>16:55:45</t>
        </is>
      </c>
      <c r="M8208" t="inlineStr">
        <is>
          <t>16:55:55</t>
        </is>
      </c>
    </row>
    <row r="8209" ht="16.5" customHeight="1" s="37">
      <c r="A8209" t="n">
        <v>24</v>
      </c>
      <c r="B8209" s="10" t="inlineStr">
        <is>
          <t>平日</t>
        </is>
      </c>
      <c r="C8209" s="10" t="inlineStr">
        <is>
          <t>北野線</t>
        </is>
      </c>
      <c r="D8209" s="10" t="inlineStr">
        <is>
          <t>上り</t>
        </is>
      </c>
      <c r="E8209" t="inlineStr">
        <is>
          <t>1660</t>
        </is>
      </c>
      <c r="F8209" t="inlineStr">
        <is>
          <t>0354</t>
        </is>
      </c>
      <c r="G8209" s="10" t="inlineStr">
        <is>
          <t>等持院</t>
        </is>
      </c>
      <c r="H8209" s="10" t="inlineStr">
        <is>
          <t>発</t>
        </is>
      </c>
      <c r="J8209" s="10" t="inlineStr">
        <is>
          <t>営業</t>
        </is>
      </c>
      <c r="L8209" t="inlineStr">
        <is>
          <t>16:56:35</t>
        </is>
      </c>
      <c r="M8209" t="inlineStr">
        <is>
          <t>16:56:55</t>
        </is>
      </c>
    </row>
    <row r="8210" ht="16.5" customHeight="1" s="37">
      <c r="A8210" t="n">
        <v>24</v>
      </c>
      <c r="B8210" s="10" t="inlineStr">
        <is>
          <t>平日</t>
        </is>
      </c>
      <c r="C8210" s="10" t="inlineStr">
        <is>
          <t>北野線</t>
        </is>
      </c>
      <c r="D8210" s="10" t="inlineStr">
        <is>
          <t>上り</t>
        </is>
      </c>
      <c r="E8210" t="inlineStr">
        <is>
          <t>1660</t>
        </is>
      </c>
      <c r="F8210" t="inlineStr">
        <is>
          <t>0354</t>
        </is>
      </c>
      <c r="G8210" s="10" t="inlineStr">
        <is>
          <t>北野白梅町</t>
        </is>
      </c>
      <c r="H8210" s="10" t="inlineStr">
        <is>
          <t>着</t>
        </is>
      </c>
      <c r="J8210" s="10" t="inlineStr">
        <is>
          <t>営業</t>
        </is>
      </c>
      <c r="L8210" t="inlineStr">
        <is>
          <t>16:58:15</t>
        </is>
      </c>
      <c r="Q8210" t="inlineStr">
        <is>
          <t>1</t>
        </is>
      </c>
    </row>
    <row r="8211" ht="16.5" customHeight="1" s="37">
      <c r="A8211" t="n">
        <v>24</v>
      </c>
      <c r="B8211" s="10" t="inlineStr">
        <is>
          <t>平日</t>
        </is>
      </c>
      <c r="C8211" s="10" t="inlineStr">
        <is>
          <t>北野線</t>
        </is>
      </c>
      <c r="D8211" s="10" t="inlineStr">
        <is>
          <t>下り</t>
        </is>
      </c>
      <c r="E8211" t="inlineStr">
        <is>
          <t>1751</t>
        </is>
      </c>
      <c r="F8211" t="inlineStr">
        <is>
          <t>0453</t>
        </is>
      </c>
      <c r="G8211" s="10" t="inlineStr">
        <is>
          <t>北野白梅町</t>
        </is>
      </c>
      <c r="H8211" s="10" t="inlineStr">
        <is>
          <t>発</t>
        </is>
      </c>
      <c r="J8211" s="10" t="inlineStr">
        <is>
          <t>営業</t>
        </is>
      </c>
      <c r="M8211" t="inlineStr">
        <is>
          <t>17:03:00</t>
        </is>
      </c>
      <c r="Q8211" t="inlineStr">
        <is>
          <t>1</t>
        </is>
      </c>
    </row>
    <row r="8212" ht="16.5" customHeight="1" s="37">
      <c r="A8212" t="n">
        <v>24</v>
      </c>
      <c r="B8212" s="10" t="inlineStr">
        <is>
          <t>平日</t>
        </is>
      </c>
      <c r="C8212" s="10" t="inlineStr">
        <is>
          <t>北野線</t>
        </is>
      </c>
      <c r="D8212" s="10" t="inlineStr">
        <is>
          <t>下り</t>
        </is>
      </c>
      <c r="E8212" t="inlineStr">
        <is>
          <t>1751</t>
        </is>
      </c>
      <c r="F8212" t="inlineStr">
        <is>
          <t>0453</t>
        </is>
      </c>
      <c r="G8212" s="10" t="inlineStr">
        <is>
          <t>等持院</t>
        </is>
      </c>
      <c r="H8212" s="10" t="inlineStr">
        <is>
          <t>発</t>
        </is>
      </c>
      <c r="J8212" s="10" t="inlineStr">
        <is>
          <t>営業</t>
        </is>
      </c>
      <c r="L8212" t="inlineStr">
        <is>
          <t>17:04:25</t>
        </is>
      </c>
      <c r="M8212" t="inlineStr">
        <is>
          <t>17:04:35</t>
        </is>
      </c>
    </row>
    <row r="8213" ht="16.5" customHeight="1" s="37">
      <c r="A8213" t="n">
        <v>24</v>
      </c>
      <c r="B8213" s="10" t="inlineStr">
        <is>
          <t>平日</t>
        </is>
      </c>
      <c r="C8213" s="10" t="inlineStr">
        <is>
          <t>北野線</t>
        </is>
      </c>
      <c r="D8213" s="10" t="inlineStr">
        <is>
          <t>下り</t>
        </is>
      </c>
      <c r="E8213" t="inlineStr">
        <is>
          <t>1751</t>
        </is>
      </c>
      <c r="F8213" t="inlineStr">
        <is>
          <t>0453</t>
        </is>
      </c>
      <c r="G8213" s="10" t="inlineStr">
        <is>
          <t>龍安寺</t>
        </is>
      </c>
      <c r="H8213" s="10" t="inlineStr">
        <is>
          <t>発</t>
        </is>
      </c>
      <c r="J8213" s="10" t="inlineStr">
        <is>
          <t>営業</t>
        </is>
      </c>
      <c r="L8213" t="inlineStr">
        <is>
          <t>17:05:25</t>
        </is>
      </c>
      <c r="M8213" t="inlineStr">
        <is>
          <t>17:05:50</t>
        </is>
      </c>
    </row>
    <row r="8214" ht="16.5" customHeight="1" s="37">
      <c r="A8214" t="n">
        <v>24</v>
      </c>
      <c r="B8214" s="10" t="inlineStr">
        <is>
          <t>平日</t>
        </is>
      </c>
      <c r="C8214" s="10" t="inlineStr">
        <is>
          <t>北野線</t>
        </is>
      </c>
      <c r="D8214" s="10" t="inlineStr">
        <is>
          <t>下り</t>
        </is>
      </c>
      <c r="E8214" t="inlineStr">
        <is>
          <t>1751</t>
        </is>
      </c>
      <c r="F8214" t="inlineStr">
        <is>
          <t>0453</t>
        </is>
      </c>
      <c r="G8214" s="10" t="inlineStr">
        <is>
          <t>妙心寺</t>
        </is>
      </c>
      <c r="H8214" s="10" t="inlineStr">
        <is>
          <t>発</t>
        </is>
      </c>
      <c r="J8214" s="10" t="inlineStr">
        <is>
          <t>営業</t>
        </is>
      </c>
      <c r="L8214" t="inlineStr">
        <is>
          <t>17:06:40</t>
        </is>
      </c>
      <c r="M8214" t="inlineStr">
        <is>
          <t>17:06:50</t>
        </is>
      </c>
    </row>
    <row r="8215" ht="16.5" customHeight="1" s="37">
      <c r="A8215" t="n">
        <v>24</v>
      </c>
      <c r="B8215" s="10" t="inlineStr">
        <is>
          <t>平日</t>
        </is>
      </c>
      <c r="C8215" s="10" t="inlineStr">
        <is>
          <t>北野線</t>
        </is>
      </c>
      <c r="D8215" s="10" t="inlineStr">
        <is>
          <t>下り</t>
        </is>
      </c>
      <c r="E8215" t="inlineStr">
        <is>
          <t>1751</t>
        </is>
      </c>
      <c r="F8215" t="inlineStr">
        <is>
          <t>0453</t>
        </is>
      </c>
      <c r="G8215" s="10" t="inlineStr">
        <is>
          <t>御室仁和寺</t>
        </is>
      </c>
      <c r="H8215" s="10" t="inlineStr">
        <is>
          <t>発</t>
        </is>
      </c>
      <c r="J8215" s="10" t="inlineStr">
        <is>
          <t>営業</t>
        </is>
      </c>
      <c r="L8215" t="inlineStr">
        <is>
          <t>17:07:50</t>
        </is>
      </c>
      <c r="M8215" t="inlineStr">
        <is>
          <t>17:08:05</t>
        </is>
      </c>
    </row>
    <row r="8216" ht="16.5" customHeight="1" s="37">
      <c r="A8216" t="n">
        <v>24</v>
      </c>
      <c r="B8216" s="10" t="inlineStr">
        <is>
          <t>平日</t>
        </is>
      </c>
      <c r="C8216" s="10" t="inlineStr">
        <is>
          <t>北野線</t>
        </is>
      </c>
      <c r="D8216" s="10" t="inlineStr">
        <is>
          <t>下り</t>
        </is>
      </c>
      <c r="E8216" t="inlineStr">
        <is>
          <t>1751</t>
        </is>
      </c>
      <c r="F8216" t="inlineStr">
        <is>
          <t>0453</t>
        </is>
      </c>
      <c r="G8216" s="10" t="inlineStr">
        <is>
          <t>宇多野</t>
        </is>
      </c>
      <c r="H8216" s="10" t="inlineStr">
        <is>
          <t>発</t>
        </is>
      </c>
      <c r="J8216" s="10" t="inlineStr">
        <is>
          <t>営業</t>
        </is>
      </c>
      <c r="L8216" t="inlineStr">
        <is>
          <t>17:09:05</t>
        </is>
      </c>
      <c r="M8216" t="inlineStr">
        <is>
          <t>17:09:15</t>
        </is>
      </c>
    </row>
    <row r="8217" ht="16.5" customHeight="1" s="37">
      <c r="A8217" t="n">
        <v>24</v>
      </c>
      <c r="B8217" s="10" t="inlineStr">
        <is>
          <t>平日</t>
        </is>
      </c>
      <c r="C8217" s="10" t="inlineStr">
        <is>
          <t>北野線</t>
        </is>
      </c>
      <c r="D8217" s="10" t="inlineStr">
        <is>
          <t>下り</t>
        </is>
      </c>
      <c r="E8217" t="inlineStr">
        <is>
          <t>1751</t>
        </is>
      </c>
      <c r="F8217" t="inlineStr">
        <is>
          <t>0453</t>
        </is>
      </c>
      <c r="G8217" s="10" t="inlineStr">
        <is>
          <t>鳴滝</t>
        </is>
      </c>
      <c r="H8217" s="10" t="inlineStr">
        <is>
          <t>発</t>
        </is>
      </c>
      <c r="J8217" s="10" t="inlineStr">
        <is>
          <t>営業</t>
        </is>
      </c>
      <c r="L8217" t="inlineStr">
        <is>
          <t>17:10:35</t>
        </is>
      </c>
      <c r="M8217" t="inlineStr">
        <is>
          <t>17:10:45</t>
        </is>
      </c>
    </row>
    <row r="8218" ht="16.5" customHeight="1" s="37">
      <c r="A8218" t="n">
        <v>24</v>
      </c>
      <c r="B8218" s="10" t="inlineStr">
        <is>
          <t>平日</t>
        </is>
      </c>
      <c r="C8218" s="10" t="inlineStr">
        <is>
          <t>北野線</t>
        </is>
      </c>
      <c r="D8218" s="10" t="inlineStr">
        <is>
          <t>下り</t>
        </is>
      </c>
      <c r="E8218" t="inlineStr">
        <is>
          <t>1751</t>
        </is>
      </c>
      <c r="F8218" t="inlineStr">
        <is>
          <t>0453</t>
        </is>
      </c>
      <c r="G8218" s="10" t="inlineStr">
        <is>
          <t>常盤</t>
        </is>
      </c>
      <c r="H8218" s="10" t="inlineStr">
        <is>
          <t>発</t>
        </is>
      </c>
      <c r="J8218" s="10" t="inlineStr">
        <is>
          <t>営業</t>
        </is>
      </c>
      <c r="L8218" t="inlineStr">
        <is>
          <t>17:11:35</t>
        </is>
      </c>
      <c r="M8218" t="inlineStr">
        <is>
          <t>17:11:55</t>
        </is>
      </c>
    </row>
    <row r="8219" ht="16.5" customHeight="1" s="37">
      <c r="A8219" t="n">
        <v>24</v>
      </c>
      <c r="B8219" s="10" t="inlineStr">
        <is>
          <t>平日</t>
        </is>
      </c>
      <c r="C8219" s="10" t="inlineStr">
        <is>
          <t>北野線</t>
        </is>
      </c>
      <c r="D8219" s="10" t="inlineStr">
        <is>
          <t>下り</t>
        </is>
      </c>
      <c r="E8219" t="inlineStr">
        <is>
          <t>1751</t>
        </is>
      </c>
      <c r="F8219" t="inlineStr">
        <is>
          <t>0453</t>
        </is>
      </c>
      <c r="G8219" s="10" t="inlineStr">
        <is>
          <t>撮影所前</t>
        </is>
      </c>
      <c r="H8219" s="10" t="inlineStr">
        <is>
          <t>発</t>
        </is>
      </c>
      <c r="J8219" s="10" t="inlineStr">
        <is>
          <t>営業</t>
        </is>
      </c>
      <c r="L8219" t="inlineStr">
        <is>
          <t>17:13:15</t>
        </is>
      </c>
      <c r="M8219" t="inlineStr">
        <is>
          <t>17:13:30</t>
        </is>
      </c>
    </row>
    <row r="8220" ht="16.5" customHeight="1" s="37">
      <c r="A8220" t="n">
        <v>24</v>
      </c>
      <c r="B8220" s="10" t="inlineStr">
        <is>
          <t>平日</t>
        </is>
      </c>
      <c r="C8220" s="10" t="inlineStr">
        <is>
          <t>北野線</t>
        </is>
      </c>
      <c r="D8220" s="10" t="inlineStr">
        <is>
          <t>下り</t>
        </is>
      </c>
      <c r="E8220" t="inlineStr">
        <is>
          <t>1751</t>
        </is>
      </c>
      <c r="F8220" t="inlineStr">
        <is>
          <t>0453</t>
        </is>
      </c>
      <c r="G8220" s="10" t="inlineStr">
        <is>
          <t>帷子ノ辻</t>
        </is>
      </c>
      <c r="H8220" s="10" t="inlineStr">
        <is>
          <t>着</t>
        </is>
      </c>
      <c r="J8220" s="10" t="inlineStr">
        <is>
          <t>営業</t>
        </is>
      </c>
      <c r="L8220" t="inlineStr">
        <is>
          <t>17:14:25</t>
        </is>
      </c>
      <c r="Q8220" t="inlineStr">
        <is>
          <t>4</t>
        </is>
      </c>
    </row>
    <row r="8221" ht="16.5" customHeight="1" s="37">
      <c r="A8221" t="n">
        <v>24</v>
      </c>
      <c r="B8221" s="10" t="inlineStr">
        <is>
          <t>平日</t>
        </is>
      </c>
      <c r="C8221" s="10" t="inlineStr">
        <is>
          <t>北野線</t>
        </is>
      </c>
      <c r="D8221" s="10" t="inlineStr">
        <is>
          <t>上り</t>
        </is>
      </c>
      <c r="E8221" t="inlineStr">
        <is>
          <t>1756</t>
        </is>
      </c>
      <c r="F8221" t="inlineStr">
        <is>
          <t>0354</t>
        </is>
      </c>
      <c r="G8221" s="10" t="inlineStr">
        <is>
          <t>帷子ノ辻</t>
        </is>
      </c>
      <c r="H8221" s="10" t="inlineStr">
        <is>
          <t>発</t>
        </is>
      </c>
      <c r="J8221" s="10" t="inlineStr">
        <is>
          <t>営業</t>
        </is>
      </c>
      <c r="M8221" t="inlineStr">
        <is>
          <t>17:26:25</t>
        </is>
      </c>
      <c r="Q8221" t="inlineStr">
        <is>
          <t>4</t>
        </is>
      </c>
    </row>
    <row r="8222" ht="16.5" customHeight="1" s="37">
      <c r="A8222" t="n">
        <v>24</v>
      </c>
      <c r="B8222" s="10" t="inlineStr">
        <is>
          <t>平日</t>
        </is>
      </c>
      <c r="C8222" s="10" t="inlineStr">
        <is>
          <t>北野線</t>
        </is>
      </c>
      <c r="D8222" s="10" t="inlineStr">
        <is>
          <t>上り</t>
        </is>
      </c>
      <c r="E8222" t="inlineStr">
        <is>
          <t>1756</t>
        </is>
      </c>
      <c r="F8222" t="inlineStr">
        <is>
          <t>0354</t>
        </is>
      </c>
      <c r="G8222" s="10" t="inlineStr">
        <is>
          <t>撮影所前</t>
        </is>
      </c>
      <c r="H8222" s="10" t="inlineStr">
        <is>
          <t>発</t>
        </is>
      </c>
      <c r="J8222" s="10" t="inlineStr">
        <is>
          <t>営業</t>
        </is>
      </c>
      <c r="L8222" t="inlineStr">
        <is>
          <t>17:27:25</t>
        </is>
      </c>
      <c r="M8222" t="inlineStr">
        <is>
          <t>17:27:40</t>
        </is>
      </c>
    </row>
    <row r="8223" ht="16.5" customHeight="1" s="37">
      <c r="A8223" t="n">
        <v>24</v>
      </c>
      <c r="B8223" s="10" t="inlineStr">
        <is>
          <t>平日</t>
        </is>
      </c>
      <c r="C8223" s="10" t="inlineStr">
        <is>
          <t>北野線</t>
        </is>
      </c>
      <c r="D8223" s="10" t="inlineStr">
        <is>
          <t>上り</t>
        </is>
      </c>
      <c r="E8223" t="inlineStr">
        <is>
          <t>1756</t>
        </is>
      </c>
      <c r="F8223" t="inlineStr">
        <is>
          <t>0354</t>
        </is>
      </c>
      <c r="G8223" s="10" t="inlineStr">
        <is>
          <t>常盤</t>
        </is>
      </c>
      <c r="H8223" s="10" t="inlineStr">
        <is>
          <t>発</t>
        </is>
      </c>
      <c r="J8223" s="10" t="inlineStr">
        <is>
          <t>営業</t>
        </is>
      </c>
      <c r="L8223" t="inlineStr">
        <is>
          <t>17:29:00</t>
        </is>
      </c>
      <c r="M8223" t="inlineStr">
        <is>
          <t>17:29:20</t>
        </is>
      </c>
    </row>
    <row r="8224" ht="16.5" customHeight="1" s="37">
      <c r="A8224" t="n">
        <v>24</v>
      </c>
      <c r="B8224" s="10" t="inlineStr">
        <is>
          <t>平日</t>
        </is>
      </c>
      <c r="C8224" s="10" t="inlineStr">
        <is>
          <t>北野線</t>
        </is>
      </c>
      <c r="D8224" s="10" t="inlineStr">
        <is>
          <t>上り</t>
        </is>
      </c>
      <c r="E8224" t="inlineStr">
        <is>
          <t>1756</t>
        </is>
      </c>
      <c r="F8224" t="inlineStr">
        <is>
          <t>0354</t>
        </is>
      </c>
      <c r="G8224" s="10" t="inlineStr">
        <is>
          <t>鳴滝</t>
        </is>
      </c>
      <c r="H8224" s="10" t="inlineStr">
        <is>
          <t>発</t>
        </is>
      </c>
      <c r="J8224" s="10" t="inlineStr">
        <is>
          <t>営業</t>
        </is>
      </c>
      <c r="L8224" t="inlineStr">
        <is>
          <t>17:30:20</t>
        </is>
      </c>
      <c r="M8224" t="inlineStr">
        <is>
          <t>17:30:40</t>
        </is>
      </c>
    </row>
    <row r="8225" ht="16.5" customHeight="1" s="37">
      <c r="A8225" t="n">
        <v>24</v>
      </c>
      <c r="B8225" s="10" t="inlineStr">
        <is>
          <t>平日</t>
        </is>
      </c>
      <c r="C8225" s="10" t="inlineStr">
        <is>
          <t>北野線</t>
        </is>
      </c>
      <c r="D8225" s="10" t="inlineStr">
        <is>
          <t>上り</t>
        </is>
      </c>
      <c r="E8225" t="inlineStr">
        <is>
          <t>1756</t>
        </is>
      </c>
      <c r="F8225" t="inlineStr">
        <is>
          <t>0354</t>
        </is>
      </c>
      <c r="G8225" s="10" t="inlineStr">
        <is>
          <t>宇多野</t>
        </is>
      </c>
      <c r="H8225" s="10" t="inlineStr">
        <is>
          <t>発</t>
        </is>
      </c>
      <c r="J8225" s="10" t="inlineStr">
        <is>
          <t>営業</t>
        </is>
      </c>
      <c r="L8225" t="inlineStr">
        <is>
          <t>17:32:00</t>
        </is>
      </c>
      <c r="M8225" t="inlineStr">
        <is>
          <t>17:32:15</t>
        </is>
      </c>
    </row>
    <row r="8226" ht="16.5" customHeight="1" s="37">
      <c r="A8226" t="n">
        <v>24</v>
      </c>
      <c r="B8226" s="10" t="inlineStr">
        <is>
          <t>平日</t>
        </is>
      </c>
      <c r="C8226" s="10" t="inlineStr">
        <is>
          <t>北野線</t>
        </is>
      </c>
      <c r="D8226" s="10" t="inlineStr">
        <is>
          <t>上り</t>
        </is>
      </c>
      <c r="E8226" t="inlineStr">
        <is>
          <t>1756</t>
        </is>
      </c>
      <c r="F8226" t="inlineStr">
        <is>
          <t>0354</t>
        </is>
      </c>
      <c r="G8226" s="10" t="inlineStr">
        <is>
          <t>御室仁和寺</t>
        </is>
      </c>
      <c r="H8226" s="10" t="inlineStr">
        <is>
          <t>発</t>
        </is>
      </c>
      <c r="J8226" s="10" t="inlineStr">
        <is>
          <t>営業</t>
        </is>
      </c>
      <c r="L8226" t="inlineStr">
        <is>
          <t>17:33:15</t>
        </is>
      </c>
      <c r="M8226" t="inlineStr">
        <is>
          <t>17:33:35</t>
        </is>
      </c>
    </row>
    <row r="8227" ht="16.5" customHeight="1" s="37">
      <c r="A8227" t="n">
        <v>24</v>
      </c>
      <c r="B8227" s="10" t="inlineStr">
        <is>
          <t>平日</t>
        </is>
      </c>
      <c r="C8227" s="10" t="inlineStr">
        <is>
          <t>北野線</t>
        </is>
      </c>
      <c r="D8227" s="10" t="inlineStr">
        <is>
          <t>上り</t>
        </is>
      </c>
      <c r="E8227" t="inlineStr">
        <is>
          <t>1756</t>
        </is>
      </c>
      <c r="F8227" t="inlineStr">
        <is>
          <t>0354</t>
        </is>
      </c>
      <c r="G8227" s="10" t="inlineStr">
        <is>
          <t>妙心寺</t>
        </is>
      </c>
      <c r="H8227" s="10" t="inlineStr">
        <is>
          <t>発</t>
        </is>
      </c>
      <c r="J8227" s="10" t="inlineStr">
        <is>
          <t>営業</t>
        </is>
      </c>
      <c r="L8227" t="inlineStr">
        <is>
          <t>17:34:35</t>
        </is>
      </c>
      <c r="M8227" t="inlineStr">
        <is>
          <t>17:34:50</t>
        </is>
      </c>
    </row>
    <row r="8228" ht="16.5" customHeight="1" s="37">
      <c r="A8228" t="n">
        <v>24</v>
      </c>
      <c r="B8228" s="10" t="inlineStr">
        <is>
          <t>平日</t>
        </is>
      </c>
      <c r="C8228" s="10" t="inlineStr">
        <is>
          <t>北野線</t>
        </is>
      </c>
      <c r="D8228" s="10" t="inlineStr">
        <is>
          <t>上り</t>
        </is>
      </c>
      <c r="E8228" t="inlineStr">
        <is>
          <t>1756</t>
        </is>
      </c>
      <c r="F8228" t="inlineStr">
        <is>
          <t>0354</t>
        </is>
      </c>
      <c r="G8228" s="10" t="inlineStr">
        <is>
          <t>龍安寺</t>
        </is>
      </c>
      <c r="H8228" s="10" t="inlineStr">
        <is>
          <t>発</t>
        </is>
      </c>
      <c r="J8228" s="10" t="inlineStr">
        <is>
          <t>営業</t>
        </is>
      </c>
      <c r="L8228" t="inlineStr">
        <is>
          <t>17:35:45</t>
        </is>
      </c>
      <c r="M8228" t="inlineStr">
        <is>
          <t>17:35:55</t>
        </is>
      </c>
    </row>
    <row r="8229" ht="16.5" customHeight="1" s="37">
      <c r="A8229" t="n">
        <v>24</v>
      </c>
      <c r="B8229" s="10" t="inlineStr">
        <is>
          <t>平日</t>
        </is>
      </c>
      <c r="C8229" s="10" t="inlineStr">
        <is>
          <t>北野線</t>
        </is>
      </c>
      <c r="D8229" s="10" t="inlineStr">
        <is>
          <t>上り</t>
        </is>
      </c>
      <c r="E8229" t="inlineStr">
        <is>
          <t>1756</t>
        </is>
      </c>
      <c r="F8229" t="inlineStr">
        <is>
          <t>0354</t>
        </is>
      </c>
      <c r="G8229" s="10" t="inlineStr">
        <is>
          <t>等持院</t>
        </is>
      </c>
      <c r="H8229" s="10" t="inlineStr">
        <is>
          <t>発</t>
        </is>
      </c>
      <c r="J8229" s="10" t="inlineStr">
        <is>
          <t>営業</t>
        </is>
      </c>
      <c r="L8229" t="inlineStr">
        <is>
          <t>17:36:35</t>
        </is>
      </c>
      <c r="M8229" t="inlineStr">
        <is>
          <t>17:36:55</t>
        </is>
      </c>
    </row>
    <row r="8230" ht="16.5" customHeight="1" s="37">
      <c r="A8230" t="n">
        <v>24</v>
      </c>
      <c r="B8230" s="10" t="inlineStr">
        <is>
          <t>平日</t>
        </is>
      </c>
      <c r="C8230" s="10" t="inlineStr">
        <is>
          <t>北野線</t>
        </is>
      </c>
      <c r="D8230" s="10" t="inlineStr">
        <is>
          <t>上り</t>
        </is>
      </c>
      <c r="E8230" t="inlineStr">
        <is>
          <t>1756</t>
        </is>
      </c>
      <c r="F8230" t="inlineStr">
        <is>
          <t>0354</t>
        </is>
      </c>
      <c r="G8230" s="10" t="inlineStr">
        <is>
          <t>北野白梅町</t>
        </is>
      </c>
      <c r="H8230" s="10" t="inlineStr">
        <is>
          <t>着</t>
        </is>
      </c>
      <c r="J8230" s="10" t="inlineStr">
        <is>
          <t>営業</t>
        </is>
      </c>
      <c r="L8230" t="inlineStr">
        <is>
          <t>17:38:15</t>
        </is>
      </c>
      <c r="Q8230" t="inlineStr">
        <is>
          <t>1</t>
        </is>
      </c>
    </row>
    <row r="8231" ht="16.5" customHeight="1" s="37">
      <c r="A8231" t="n">
        <v>24</v>
      </c>
      <c r="B8231" s="10" t="inlineStr">
        <is>
          <t>平日</t>
        </is>
      </c>
      <c r="C8231" s="10" t="inlineStr">
        <is>
          <t>北野線</t>
        </is>
      </c>
      <c r="D8231" s="10" t="inlineStr">
        <is>
          <t>下り</t>
        </is>
      </c>
      <c r="E8231" t="inlineStr">
        <is>
          <t>1759</t>
        </is>
      </c>
      <c r="F8231" t="inlineStr">
        <is>
          <t>0453</t>
        </is>
      </c>
      <c r="G8231" s="10" t="inlineStr">
        <is>
          <t>北野白梅町</t>
        </is>
      </c>
      <c r="H8231" s="10" t="inlineStr">
        <is>
          <t>発</t>
        </is>
      </c>
      <c r="J8231" s="10" t="inlineStr">
        <is>
          <t>営業</t>
        </is>
      </c>
      <c r="M8231" t="inlineStr">
        <is>
          <t>17:43:00</t>
        </is>
      </c>
      <c r="Q8231" t="inlineStr">
        <is>
          <t>1</t>
        </is>
      </c>
    </row>
    <row r="8232" ht="16.5" customHeight="1" s="37">
      <c r="A8232" t="n">
        <v>24</v>
      </c>
      <c r="B8232" s="10" t="inlineStr">
        <is>
          <t>平日</t>
        </is>
      </c>
      <c r="C8232" s="10" t="inlineStr">
        <is>
          <t>北野線</t>
        </is>
      </c>
      <c r="D8232" s="10" t="inlineStr">
        <is>
          <t>下り</t>
        </is>
      </c>
      <c r="E8232" t="inlineStr">
        <is>
          <t>1759</t>
        </is>
      </c>
      <c r="F8232" t="inlineStr">
        <is>
          <t>0453</t>
        </is>
      </c>
      <c r="G8232" s="10" t="inlineStr">
        <is>
          <t>等持院</t>
        </is>
      </c>
      <c r="H8232" s="10" t="inlineStr">
        <is>
          <t>発</t>
        </is>
      </c>
      <c r="J8232" s="10" t="inlineStr">
        <is>
          <t>営業</t>
        </is>
      </c>
      <c r="L8232" t="inlineStr">
        <is>
          <t>17:44:25</t>
        </is>
      </c>
      <c r="M8232" t="inlineStr">
        <is>
          <t>17:44:35</t>
        </is>
      </c>
    </row>
    <row r="8233" ht="16.5" customHeight="1" s="37">
      <c r="A8233" t="n">
        <v>24</v>
      </c>
      <c r="B8233" s="10" t="inlineStr">
        <is>
          <t>平日</t>
        </is>
      </c>
      <c r="C8233" s="10" t="inlineStr">
        <is>
          <t>北野線</t>
        </is>
      </c>
      <c r="D8233" s="10" t="inlineStr">
        <is>
          <t>下り</t>
        </is>
      </c>
      <c r="E8233" t="inlineStr">
        <is>
          <t>1759</t>
        </is>
      </c>
      <c r="F8233" t="inlineStr">
        <is>
          <t>0453</t>
        </is>
      </c>
      <c r="G8233" s="10" t="inlineStr">
        <is>
          <t>龍安寺</t>
        </is>
      </c>
      <c r="H8233" s="10" t="inlineStr">
        <is>
          <t>発</t>
        </is>
      </c>
      <c r="J8233" s="10" t="inlineStr">
        <is>
          <t>営業</t>
        </is>
      </c>
      <c r="L8233" t="inlineStr">
        <is>
          <t>17:45:25</t>
        </is>
      </c>
      <c r="M8233" t="inlineStr">
        <is>
          <t>17:45:50</t>
        </is>
      </c>
    </row>
    <row r="8234" ht="16.5" customHeight="1" s="37">
      <c r="A8234" t="n">
        <v>24</v>
      </c>
      <c r="B8234" s="10" t="inlineStr">
        <is>
          <t>平日</t>
        </is>
      </c>
      <c r="C8234" s="10" t="inlineStr">
        <is>
          <t>北野線</t>
        </is>
      </c>
      <c r="D8234" s="10" t="inlineStr">
        <is>
          <t>下り</t>
        </is>
      </c>
      <c r="E8234" t="inlineStr">
        <is>
          <t>1759</t>
        </is>
      </c>
      <c r="F8234" t="inlineStr">
        <is>
          <t>0453</t>
        </is>
      </c>
      <c r="G8234" s="10" t="inlineStr">
        <is>
          <t>妙心寺</t>
        </is>
      </c>
      <c r="H8234" s="10" t="inlineStr">
        <is>
          <t>発</t>
        </is>
      </c>
      <c r="J8234" s="10" t="inlineStr">
        <is>
          <t>営業</t>
        </is>
      </c>
      <c r="L8234" t="inlineStr">
        <is>
          <t>17:46:40</t>
        </is>
      </c>
      <c r="M8234" t="inlineStr">
        <is>
          <t>17:46:50</t>
        </is>
      </c>
    </row>
    <row r="8235" ht="16.5" customHeight="1" s="37">
      <c r="A8235" t="n">
        <v>24</v>
      </c>
      <c r="B8235" s="10" t="inlineStr">
        <is>
          <t>平日</t>
        </is>
      </c>
      <c r="C8235" s="10" t="inlineStr">
        <is>
          <t>北野線</t>
        </is>
      </c>
      <c r="D8235" s="10" t="inlineStr">
        <is>
          <t>下り</t>
        </is>
      </c>
      <c r="E8235" t="inlineStr">
        <is>
          <t>1759</t>
        </is>
      </c>
      <c r="F8235" t="inlineStr">
        <is>
          <t>0453</t>
        </is>
      </c>
      <c r="G8235" s="10" t="inlineStr">
        <is>
          <t>御室仁和寺</t>
        </is>
      </c>
      <c r="H8235" s="10" t="inlineStr">
        <is>
          <t>発</t>
        </is>
      </c>
      <c r="J8235" s="10" t="inlineStr">
        <is>
          <t>営業</t>
        </is>
      </c>
      <c r="L8235" t="inlineStr">
        <is>
          <t>17:47:50</t>
        </is>
      </c>
      <c r="M8235" t="inlineStr">
        <is>
          <t>17:48:05</t>
        </is>
      </c>
    </row>
    <row r="8236" ht="16.5" customHeight="1" s="37">
      <c r="A8236" t="n">
        <v>24</v>
      </c>
      <c r="B8236" s="10" t="inlineStr">
        <is>
          <t>平日</t>
        </is>
      </c>
      <c r="C8236" s="10" t="inlineStr">
        <is>
          <t>北野線</t>
        </is>
      </c>
      <c r="D8236" s="10" t="inlineStr">
        <is>
          <t>下り</t>
        </is>
      </c>
      <c r="E8236" t="inlineStr">
        <is>
          <t>1759</t>
        </is>
      </c>
      <c r="F8236" t="inlineStr">
        <is>
          <t>0453</t>
        </is>
      </c>
      <c r="G8236" s="10" t="inlineStr">
        <is>
          <t>宇多野</t>
        </is>
      </c>
      <c r="H8236" s="10" t="inlineStr">
        <is>
          <t>発</t>
        </is>
      </c>
      <c r="J8236" s="10" t="inlineStr">
        <is>
          <t>営業</t>
        </is>
      </c>
      <c r="L8236" t="inlineStr">
        <is>
          <t>17:49:05</t>
        </is>
      </c>
      <c r="M8236" t="inlineStr">
        <is>
          <t>17:49:15</t>
        </is>
      </c>
    </row>
    <row r="8237" ht="16.5" customHeight="1" s="37">
      <c r="A8237" t="n">
        <v>24</v>
      </c>
      <c r="B8237" s="10" t="inlineStr">
        <is>
          <t>平日</t>
        </is>
      </c>
      <c r="C8237" s="10" t="inlineStr">
        <is>
          <t>北野線</t>
        </is>
      </c>
      <c r="D8237" s="10" t="inlineStr">
        <is>
          <t>下り</t>
        </is>
      </c>
      <c r="E8237" t="inlineStr">
        <is>
          <t>1759</t>
        </is>
      </c>
      <c r="F8237" t="inlineStr">
        <is>
          <t>0453</t>
        </is>
      </c>
      <c r="G8237" s="10" t="inlineStr">
        <is>
          <t>鳴滝</t>
        </is>
      </c>
      <c r="H8237" s="10" t="inlineStr">
        <is>
          <t>発</t>
        </is>
      </c>
      <c r="J8237" s="10" t="inlineStr">
        <is>
          <t>営業</t>
        </is>
      </c>
      <c r="L8237" t="inlineStr">
        <is>
          <t>17:50:35</t>
        </is>
      </c>
      <c r="M8237" t="inlineStr">
        <is>
          <t>17:50:45</t>
        </is>
      </c>
    </row>
    <row r="8238" ht="16.5" customHeight="1" s="37">
      <c r="A8238" t="n">
        <v>24</v>
      </c>
      <c r="B8238" s="10" t="inlineStr">
        <is>
          <t>平日</t>
        </is>
      </c>
      <c r="C8238" s="10" t="inlineStr">
        <is>
          <t>北野線</t>
        </is>
      </c>
      <c r="D8238" s="10" t="inlineStr">
        <is>
          <t>下り</t>
        </is>
      </c>
      <c r="E8238" t="inlineStr">
        <is>
          <t>1759</t>
        </is>
      </c>
      <c r="F8238" t="inlineStr">
        <is>
          <t>0453</t>
        </is>
      </c>
      <c r="G8238" s="10" t="inlineStr">
        <is>
          <t>常盤</t>
        </is>
      </c>
      <c r="H8238" s="10" t="inlineStr">
        <is>
          <t>発</t>
        </is>
      </c>
      <c r="J8238" s="10" t="inlineStr">
        <is>
          <t>営業</t>
        </is>
      </c>
      <c r="L8238" t="inlineStr">
        <is>
          <t>17:51:35</t>
        </is>
      </c>
      <c r="M8238" t="inlineStr">
        <is>
          <t>17:51:55</t>
        </is>
      </c>
    </row>
    <row r="8239" ht="16.5" customHeight="1" s="37">
      <c r="A8239" t="n">
        <v>24</v>
      </c>
      <c r="B8239" s="10" t="inlineStr">
        <is>
          <t>平日</t>
        </is>
      </c>
      <c r="C8239" s="10" t="inlineStr">
        <is>
          <t>北野線</t>
        </is>
      </c>
      <c r="D8239" s="10" t="inlineStr">
        <is>
          <t>下り</t>
        </is>
      </c>
      <c r="E8239" t="inlineStr">
        <is>
          <t>1759</t>
        </is>
      </c>
      <c r="F8239" t="inlineStr">
        <is>
          <t>0453</t>
        </is>
      </c>
      <c r="G8239" s="10" t="inlineStr">
        <is>
          <t>撮影所前</t>
        </is>
      </c>
      <c r="H8239" s="10" t="inlineStr">
        <is>
          <t>発</t>
        </is>
      </c>
      <c r="J8239" s="10" t="inlineStr">
        <is>
          <t>営業</t>
        </is>
      </c>
      <c r="L8239" t="inlineStr">
        <is>
          <t>17:53:15</t>
        </is>
      </c>
      <c r="M8239" t="inlineStr">
        <is>
          <t>17:53:30</t>
        </is>
      </c>
    </row>
    <row r="8240" ht="16.5" customHeight="1" s="37">
      <c r="A8240" t="n">
        <v>24</v>
      </c>
      <c r="B8240" s="10" t="inlineStr">
        <is>
          <t>平日</t>
        </is>
      </c>
      <c r="C8240" s="10" t="inlineStr">
        <is>
          <t>北野線</t>
        </is>
      </c>
      <c r="D8240" s="10" t="inlineStr">
        <is>
          <t>下り</t>
        </is>
      </c>
      <c r="E8240" t="inlineStr">
        <is>
          <t>1759</t>
        </is>
      </c>
      <c r="F8240" t="inlineStr">
        <is>
          <t>0453</t>
        </is>
      </c>
      <c r="G8240" s="10" t="inlineStr">
        <is>
          <t>帷子ノ辻</t>
        </is>
      </c>
      <c r="H8240" s="10" t="inlineStr">
        <is>
          <t>着</t>
        </is>
      </c>
      <c r="J8240" s="10" t="inlineStr">
        <is>
          <t>営業</t>
        </is>
      </c>
      <c r="L8240" t="inlineStr">
        <is>
          <t>17:54:25</t>
        </is>
      </c>
      <c r="Q8240" t="inlineStr">
        <is>
          <t>4</t>
        </is>
      </c>
    </row>
    <row r="8241" ht="16.5" customHeight="1" s="37">
      <c r="A8241" t="n">
        <v>24</v>
      </c>
      <c r="B8241" s="10" t="inlineStr">
        <is>
          <t>平日</t>
        </is>
      </c>
      <c r="C8241" s="10" t="inlineStr">
        <is>
          <t>北野線</t>
        </is>
      </c>
      <c r="D8241" s="10" t="inlineStr">
        <is>
          <t>上り</t>
        </is>
      </c>
      <c r="E8241" t="inlineStr">
        <is>
          <t>1852</t>
        </is>
      </c>
      <c r="F8241" t="inlineStr">
        <is>
          <t>0304</t>
        </is>
      </c>
      <c r="G8241" s="10" t="inlineStr">
        <is>
          <t>帷子ノ辻</t>
        </is>
      </c>
      <c r="H8241" s="10" t="inlineStr">
        <is>
          <t>発</t>
        </is>
      </c>
      <c r="J8241" s="10" t="inlineStr">
        <is>
          <t>営業</t>
        </is>
      </c>
      <c r="M8241" t="inlineStr">
        <is>
          <t>18:06:25</t>
        </is>
      </c>
      <c r="Q8241" t="inlineStr">
        <is>
          <t>4</t>
        </is>
      </c>
      <c r="U8241" t="inlineStr">
        <is>
          <t>→帷子ノ辻 休憩(18:34〜19:56)</t>
        </is>
      </c>
    </row>
    <row r="8242" ht="16.5" customHeight="1" s="37">
      <c r="A8242" t="n">
        <v>24</v>
      </c>
      <c r="B8242" s="10" t="inlineStr">
        <is>
          <t>平日</t>
        </is>
      </c>
      <c r="C8242" s="10" t="inlineStr">
        <is>
          <t>北野線</t>
        </is>
      </c>
      <c r="D8242" s="10" t="inlineStr">
        <is>
          <t>上り</t>
        </is>
      </c>
      <c r="E8242" t="inlineStr">
        <is>
          <t>1852</t>
        </is>
      </c>
      <c r="F8242" t="inlineStr">
        <is>
          <t>0304</t>
        </is>
      </c>
      <c r="G8242" s="10" t="inlineStr">
        <is>
          <t>撮影所前</t>
        </is>
      </c>
      <c r="H8242" s="10" t="inlineStr">
        <is>
          <t>発</t>
        </is>
      </c>
      <c r="J8242" s="10" t="inlineStr">
        <is>
          <t>営業</t>
        </is>
      </c>
      <c r="L8242" t="inlineStr">
        <is>
          <t>18:07:25</t>
        </is>
      </c>
      <c r="M8242" t="inlineStr">
        <is>
          <t>18:07:40</t>
        </is>
      </c>
      <c r="U8242" t="inlineStr">
        <is>
          <t>→帷子ノ辻 休憩(18:34〜19:56)</t>
        </is>
      </c>
    </row>
    <row r="8243" ht="16.5" customHeight="1" s="37">
      <c r="A8243" t="n">
        <v>24</v>
      </c>
      <c r="B8243" s="10" t="inlineStr">
        <is>
          <t>平日</t>
        </is>
      </c>
      <c r="C8243" s="10" t="inlineStr">
        <is>
          <t>北野線</t>
        </is>
      </c>
      <c r="D8243" s="10" t="inlineStr">
        <is>
          <t>上り</t>
        </is>
      </c>
      <c r="E8243" t="inlineStr">
        <is>
          <t>1852</t>
        </is>
      </c>
      <c r="F8243" t="inlineStr">
        <is>
          <t>0304</t>
        </is>
      </c>
      <c r="G8243" s="10" t="inlineStr">
        <is>
          <t>常盤</t>
        </is>
      </c>
      <c r="H8243" s="10" t="inlineStr">
        <is>
          <t>発</t>
        </is>
      </c>
      <c r="J8243" s="10" t="inlineStr">
        <is>
          <t>営業</t>
        </is>
      </c>
      <c r="L8243" t="inlineStr">
        <is>
          <t>18:09:00</t>
        </is>
      </c>
      <c r="M8243" t="inlineStr">
        <is>
          <t>18:09:20</t>
        </is>
      </c>
      <c r="U8243" t="inlineStr">
        <is>
          <t>→帷子ノ辻 休憩(18:34〜19:56)</t>
        </is>
      </c>
    </row>
    <row r="8244" ht="16.5" customHeight="1" s="37">
      <c r="A8244" t="n">
        <v>24</v>
      </c>
      <c r="B8244" s="10" t="inlineStr">
        <is>
          <t>平日</t>
        </is>
      </c>
      <c r="C8244" s="10" t="inlineStr">
        <is>
          <t>北野線</t>
        </is>
      </c>
      <c r="D8244" s="10" t="inlineStr">
        <is>
          <t>上り</t>
        </is>
      </c>
      <c r="E8244" t="inlineStr">
        <is>
          <t>1852</t>
        </is>
      </c>
      <c r="F8244" t="inlineStr">
        <is>
          <t>0304</t>
        </is>
      </c>
      <c r="G8244" s="10" t="inlineStr">
        <is>
          <t>鳴滝</t>
        </is>
      </c>
      <c r="H8244" s="10" t="inlineStr">
        <is>
          <t>発</t>
        </is>
      </c>
      <c r="J8244" s="10" t="inlineStr">
        <is>
          <t>営業</t>
        </is>
      </c>
      <c r="L8244" t="inlineStr">
        <is>
          <t>18:10:20</t>
        </is>
      </c>
      <c r="M8244" t="inlineStr">
        <is>
          <t>18:10:40</t>
        </is>
      </c>
      <c r="U8244" t="inlineStr">
        <is>
          <t>→帷子ノ辻 休憩(18:34〜19:56)</t>
        </is>
      </c>
    </row>
    <row r="8245" ht="16.5" customHeight="1" s="37">
      <c r="A8245" t="n">
        <v>24</v>
      </c>
      <c r="B8245" s="10" t="inlineStr">
        <is>
          <t>平日</t>
        </is>
      </c>
      <c r="C8245" s="10" t="inlineStr">
        <is>
          <t>北野線</t>
        </is>
      </c>
      <c r="D8245" s="10" t="inlineStr">
        <is>
          <t>上り</t>
        </is>
      </c>
      <c r="E8245" t="inlineStr">
        <is>
          <t>1852</t>
        </is>
      </c>
      <c r="F8245" t="inlineStr">
        <is>
          <t>0304</t>
        </is>
      </c>
      <c r="G8245" s="10" t="inlineStr">
        <is>
          <t>宇多野</t>
        </is>
      </c>
      <c r="H8245" s="10" t="inlineStr">
        <is>
          <t>発</t>
        </is>
      </c>
      <c r="J8245" s="10" t="inlineStr">
        <is>
          <t>営業</t>
        </is>
      </c>
      <c r="L8245" t="inlineStr">
        <is>
          <t>18:12:00</t>
        </is>
      </c>
      <c r="M8245" t="inlineStr">
        <is>
          <t>18:12:15</t>
        </is>
      </c>
      <c r="U8245" t="inlineStr">
        <is>
          <t>→帷子ノ辻 休憩(18:34〜19:56)</t>
        </is>
      </c>
    </row>
    <row r="8246" ht="16.5" customHeight="1" s="37">
      <c r="A8246" t="n">
        <v>24</v>
      </c>
      <c r="B8246" s="10" t="inlineStr">
        <is>
          <t>平日</t>
        </is>
      </c>
      <c r="C8246" s="10" t="inlineStr">
        <is>
          <t>北野線</t>
        </is>
      </c>
      <c r="D8246" s="10" t="inlineStr">
        <is>
          <t>上り</t>
        </is>
      </c>
      <c r="E8246" t="inlineStr">
        <is>
          <t>1852</t>
        </is>
      </c>
      <c r="F8246" t="inlineStr">
        <is>
          <t>0304</t>
        </is>
      </c>
      <c r="G8246" s="10" t="inlineStr">
        <is>
          <t>御室仁和寺</t>
        </is>
      </c>
      <c r="H8246" s="10" t="inlineStr">
        <is>
          <t>発</t>
        </is>
      </c>
      <c r="J8246" s="10" t="inlineStr">
        <is>
          <t>営業</t>
        </is>
      </c>
      <c r="L8246" t="inlineStr">
        <is>
          <t>18:13:15</t>
        </is>
      </c>
      <c r="M8246" t="inlineStr">
        <is>
          <t>18:13:35</t>
        </is>
      </c>
      <c r="U8246" t="inlineStr">
        <is>
          <t>→帷子ノ辻 休憩(18:34〜19:56)</t>
        </is>
      </c>
    </row>
    <row r="8247" ht="16.5" customHeight="1" s="37">
      <c r="A8247" t="n">
        <v>24</v>
      </c>
      <c r="B8247" s="10" t="inlineStr">
        <is>
          <t>平日</t>
        </is>
      </c>
      <c r="C8247" s="10" t="inlineStr">
        <is>
          <t>北野線</t>
        </is>
      </c>
      <c r="D8247" s="10" t="inlineStr">
        <is>
          <t>上り</t>
        </is>
      </c>
      <c r="E8247" t="inlineStr">
        <is>
          <t>1852</t>
        </is>
      </c>
      <c r="F8247" t="inlineStr">
        <is>
          <t>0304</t>
        </is>
      </c>
      <c r="G8247" s="10" t="inlineStr">
        <is>
          <t>妙心寺</t>
        </is>
      </c>
      <c r="H8247" s="10" t="inlineStr">
        <is>
          <t>発</t>
        </is>
      </c>
      <c r="J8247" s="10" t="inlineStr">
        <is>
          <t>営業</t>
        </is>
      </c>
      <c r="L8247" t="inlineStr">
        <is>
          <t>18:14:35</t>
        </is>
      </c>
      <c r="M8247" t="inlineStr">
        <is>
          <t>18:14:50</t>
        </is>
      </c>
      <c r="U8247" t="inlineStr">
        <is>
          <t>→帷子ノ辻 休憩(18:34〜19:56)</t>
        </is>
      </c>
    </row>
    <row r="8248" ht="16.5" customHeight="1" s="37">
      <c r="A8248" t="n">
        <v>24</v>
      </c>
      <c r="B8248" s="10" t="inlineStr">
        <is>
          <t>平日</t>
        </is>
      </c>
      <c r="C8248" s="10" t="inlineStr">
        <is>
          <t>北野線</t>
        </is>
      </c>
      <c r="D8248" s="10" t="inlineStr">
        <is>
          <t>上り</t>
        </is>
      </c>
      <c r="E8248" t="inlineStr">
        <is>
          <t>1852</t>
        </is>
      </c>
      <c r="F8248" t="inlineStr">
        <is>
          <t>0304</t>
        </is>
      </c>
      <c r="G8248" s="10" t="inlineStr">
        <is>
          <t>龍安寺</t>
        </is>
      </c>
      <c r="H8248" s="10" t="inlineStr">
        <is>
          <t>発</t>
        </is>
      </c>
      <c r="J8248" s="10" t="inlineStr">
        <is>
          <t>営業</t>
        </is>
      </c>
      <c r="L8248" t="inlineStr">
        <is>
          <t>18:15:45</t>
        </is>
      </c>
      <c r="M8248" t="inlineStr">
        <is>
          <t>18:15:55</t>
        </is>
      </c>
      <c r="U8248" t="inlineStr">
        <is>
          <t>→帷子ノ辻 休憩(18:34〜19:56)</t>
        </is>
      </c>
    </row>
    <row r="8249" ht="16.5" customHeight="1" s="37">
      <c r="A8249" t="n">
        <v>24</v>
      </c>
      <c r="B8249" s="10" t="inlineStr">
        <is>
          <t>平日</t>
        </is>
      </c>
      <c r="C8249" s="10" t="inlineStr">
        <is>
          <t>北野線</t>
        </is>
      </c>
      <c r="D8249" s="10" t="inlineStr">
        <is>
          <t>上り</t>
        </is>
      </c>
      <c r="E8249" t="inlineStr">
        <is>
          <t>1852</t>
        </is>
      </c>
      <c r="F8249" t="inlineStr">
        <is>
          <t>0304</t>
        </is>
      </c>
      <c r="G8249" s="10" t="inlineStr">
        <is>
          <t>等持院</t>
        </is>
      </c>
      <c r="H8249" s="10" t="inlineStr">
        <is>
          <t>発</t>
        </is>
      </c>
      <c r="J8249" s="10" t="inlineStr">
        <is>
          <t>営業</t>
        </is>
      </c>
      <c r="L8249" t="inlineStr">
        <is>
          <t>18:16:35</t>
        </is>
      </c>
      <c r="M8249" t="inlineStr">
        <is>
          <t>18:16:55</t>
        </is>
      </c>
      <c r="U8249" t="inlineStr">
        <is>
          <t>→帷子ノ辻 休憩(18:34〜19:56)</t>
        </is>
      </c>
    </row>
    <row r="8250" ht="16.5" customHeight="1" s="37">
      <c r="A8250" t="n">
        <v>24</v>
      </c>
      <c r="B8250" s="10" t="inlineStr">
        <is>
          <t>平日</t>
        </is>
      </c>
      <c r="C8250" s="10" t="inlineStr">
        <is>
          <t>北野線</t>
        </is>
      </c>
      <c r="D8250" s="10" t="inlineStr">
        <is>
          <t>上り</t>
        </is>
      </c>
      <c r="E8250" t="inlineStr">
        <is>
          <t>1852</t>
        </is>
      </c>
      <c r="F8250" t="inlineStr">
        <is>
          <t>0304</t>
        </is>
      </c>
      <c r="G8250" s="10" t="inlineStr">
        <is>
          <t>北野白梅町</t>
        </is>
      </c>
      <c r="H8250" s="10" t="inlineStr">
        <is>
          <t>着</t>
        </is>
      </c>
      <c r="J8250" s="10" t="inlineStr">
        <is>
          <t>営業</t>
        </is>
      </c>
      <c r="L8250" t="inlineStr">
        <is>
          <t>18:18:15</t>
        </is>
      </c>
      <c r="N8250" t="inlineStr">
        <is>
          <t>○</t>
        </is>
      </c>
      <c r="Q8250" t="inlineStr">
        <is>
          <t>1</t>
        </is>
      </c>
      <c r="U8250" t="inlineStr">
        <is>
          <t>→帷子ノ辻 休憩(18:34〜19:56)</t>
        </is>
      </c>
    </row>
    <row r="8251" ht="16.5" customHeight="1" s="37">
      <c r="A8251" t="n">
        <v>24</v>
      </c>
      <c r="B8251" s="10" t="inlineStr">
        <is>
          <t>平日</t>
        </is>
      </c>
      <c r="C8251" s="10" t="inlineStr">
        <is>
          <t>北野線</t>
        </is>
      </c>
      <c r="D8251" s="10" t="inlineStr">
        <is>
          <t>下り</t>
        </is>
      </c>
      <c r="E8251" t="inlineStr">
        <is>
          <t>1855</t>
        </is>
      </c>
      <c r="F8251" t="inlineStr">
        <is>
          <t>0453</t>
        </is>
      </c>
      <c r="G8251" s="10" t="inlineStr">
        <is>
          <t>北野白梅町</t>
        </is>
      </c>
      <c r="H8251" s="10" t="inlineStr">
        <is>
          <t>発</t>
        </is>
      </c>
      <c r="J8251" s="10" t="inlineStr">
        <is>
          <t>営業</t>
        </is>
      </c>
      <c r="M8251" t="inlineStr">
        <is>
          <t>18:23:00</t>
        </is>
      </c>
      <c r="Q8251" t="inlineStr">
        <is>
          <t>1</t>
        </is>
      </c>
      <c r="U8251" t="inlineStr">
        <is>
          <t>→帷子ノ辻 休憩(18:34〜19:56)</t>
        </is>
      </c>
    </row>
    <row r="8252" ht="16.5" customHeight="1" s="37">
      <c r="A8252" t="n">
        <v>24</v>
      </c>
      <c r="B8252" s="10" t="inlineStr">
        <is>
          <t>平日</t>
        </is>
      </c>
      <c r="C8252" s="10" t="inlineStr">
        <is>
          <t>北野線</t>
        </is>
      </c>
      <c r="D8252" s="10" t="inlineStr">
        <is>
          <t>下り</t>
        </is>
      </c>
      <c r="E8252" t="inlineStr">
        <is>
          <t>1855</t>
        </is>
      </c>
      <c r="F8252" t="inlineStr">
        <is>
          <t>0453</t>
        </is>
      </c>
      <c r="G8252" s="10" t="inlineStr">
        <is>
          <t>等持院</t>
        </is>
      </c>
      <c r="H8252" s="10" t="inlineStr">
        <is>
          <t>発</t>
        </is>
      </c>
      <c r="J8252" s="10" t="inlineStr">
        <is>
          <t>営業</t>
        </is>
      </c>
      <c r="L8252" t="inlineStr">
        <is>
          <t>18:24:25</t>
        </is>
      </c>
      <c r="M8252" t="inlineStr">
        <is>
          <t>18:24:35</t>
        </is>
      </c>
      <c r="U8252" t="inlineStr">
        <is>
          <t>→帷子ノ辻 休憩(18:34〜19:56)</t>
        </is>
      </c>
    </row>
    <row r="8253" ht="16.5" customHeight="1" s="37">
      <c r="A8253" t="n">
        <v>24</v>
      </c>
      <c r="B8253" s="10" t="inlineStr">
        <is>
          <t>平日</t>
        </is>
      </c>
      <c r="C8253" s="10" t="inlineStr">
        <is>
          <t>北野線</t>
        </is>
      </c>
      <c r="D8253" s="10" t="inlineStr">
        <is>
          <t>下り</t>
        </is>
      </c>
      <c r="E8253" t="inlineStr">
        <is>
          <t>1855</t>
        </is>
      </c>
      <c r="F8253" t="inlineStr">
        <is>
          <t>0453</t>
        </is>
      </c>
      <c r="G8253" s="10" t="inlineStr">
        <is>
          <t>龍安寺</t>
        </is>
      </c>
      <c r="H8253" s="10" t="inlineStr">
        <is>
          <t>発</t>
        </is>
      </c>
      <c r="J8253" s="10" t="inlineStr">
        <is>
          <t>営業</t>
        </is>
      </c>
      <c r="L8253" t="inlineStr">
        <is>
          <t>18:25:25</t>
        </is>
      </c>
      <c r="M8253" t="inlineStr">
        <is>
          <t>18:25:50</t>
        </is>
      </c>
      <c r="U8253" t="inlineStr">
        <is>
          <t>→帷子ノ辻 休憩(18:34〜19:56)</t>
        </is>
      </c>
    </row>
    <row r="8254" ht="16.5" customHeight="1" s="37">
      <c r="A8254" t="n">
        <v>24</v>
      </c>
      <c r="B8254" s="10" t="inlineStr">
        <is>
          <t>平日</t>
        </is>
      </c>
      <c r="C8254" s="10" t="inlineStr">
        <is>
          <t>北野線</t>
        </is>
      </c>
      <c r="D8254" s="10" t="inlineStr">
        <is>
          <t>下り</t>
        </is>
      </c>
      <c r="E8254" t="inlineStr">
        <is>
          <t>1855</t>
        </is>
      </c>
      <c r="F8254" t="inlineStr">
        <is>
          <t>0453</t>
        </is>
      </c>
      <c r="G8254" s="10" t="inlineStr">
        <is>
          <t>妙心寺</t>
        </is>
      </c>
      <c r="H8254" s="10" t="inlineStr">
        <is>
          <t>発</t>
        </is>
      </c>
      <c r="J8254" s="10" t="inlineStr">
        <is>
          <t>営業</t>
        </is>
      </c>
      <c r="L8254" t="inlineStr">
        <is>
          <t>18:26:40</t>
        </is>
      </c>
      <c r="M8254" t="inlineStr">
        <is>
          <t>18:26:50</t>
        </is>
      </c>
      <c r="U8254" t="inlineStr">
        <is>
          <t>→帷子ノ辻 休憩(18:34〜19:56)</t>
        </is>
      </c>
    </row>
    <row r="8255" ht="16.5" customHeight="1" s="37">
      <c r="A8255" t="n">
        <v>24</v>
      </c>
      <c r="B8255" s="10" t="inlineStr">
        <is>
          <t>平日</t>
        </is>
      </c>
      <c r="C8255" s="10" t="inlineStr">
        <is>
          <t>北野線</t>
        </is>
      </c>
      <c r="D8255" s="10" t="inlineStr">
        <is>
          <t>下り</t>
        </is>
      </c>
      <c r="E8255" t="inlineStr">
        <is>
          <t>1855</t>
        </is>
      </c>
      <c r="F8255" t="inlineStr">
        <is>
          <t>0453</t>
        </is>
      </c>
      <c r="G8255" s="10" t="inlineStr">
        <is>
          <t>御室仁和寺</t>
        </is>
      </c>
      <c r="H8255" s="10" t="inlineStr">
        <is>
          <t>発</t>
        </is>
      </c>
      <c r="J8255" s="10" t="inlineStr">
        <is>
          <t>営業</t>
        </is>
      </c>
      <c r="L8255" t="inlineStr">
        <is>
          <t>18:27:50</t>
        </is>
      </c>
      <c r="M8255" t="inlineStr">
        <is>
          <t>18:28:05</t>
        </is>
      </c>
      <c r="U8255" t="inlineStr">
        <is>
          <t>→帷子ノ辻 休憩(18:34〜19:56)</t>
        </is>
      </c>
    </row>
    <row r="8256" ht="16.5" customHeight="1" s="37">
      <c r="A8256" t="n">
        <v>24</v>
      </c>
      <c r="B8256" s="10" t="inlineStr">
        <is>
          <t>平日</t>
        </is>
      </c>
      <c r="C8256" s="10" t="inlineStr">
        <is>
          <t>北野線</t>
        </is>
      </c>
      <c r="D8256" s="10" t="inlineStr">
        <is>
          <t>下り</t>
        </is>
      </c>
      <c r="E8256" t="inlineStr">
        <is>
          <t>1855</t>
        </is>
      </c>
      <c r="F8256" t="inlineStr">
        <is>
          <t>0453</t>
        </is>
      </c>
      <c r="G8256" s="10" t="inlineStr">
        <is>
          <t>宇多野</t>
        </is>
      </c>
      <c r="H8256" s="10" t="inlineStr">
        <is>
          <t>発</t>
        </is>
      </c>
      <c r="J8256" s="10" t="inlineStr">
        <is>
          <t>営業</t>
        </is>
      </c>
      <c r="L8256" t="inlineStr">
        <is>
          <t>18:29:05</t>
        </is>
      </c>
      <c r="M8256" t="inlineStr">
        <is>
          <t>18:29:15</t>
        </is>
      </c>
      <c r="U8256" t="inlineStr">
        <is>
          <t>→帷子ノ辻 休憩(18:34〜19:56)</t>
        </is>
      </c>
    </row>
    <row r="8257" ht="16.5" customHeight="1" s="37">
      <c r="A8257" t="n">
        <v>24</v>
      </c>
      <c r="B8257" s="10" t="inlineStr">
        <is>
          <t>平日</t>
        </is>
      </c>
      <c r="C8257" s="10" t="inlineStr">
        <is>
          <t>北野線</t>
        </is>
      </c>
      <c r="D8257" s="10" t="inlineStr">
        <is>
          <t>下り</t>
        </is>
      </c>
      <c r="E8257" t="inlineStr">
        <is>
          <t>1855</t>
        </is>
      </c>
      <c r="F8257" t="inlineStr">
        <is>
          <t>0453</t>
        </is>
      </c>
      <c r="G8257" s="10" t="inlineStr">
        <is>
          <t>鳴滝</t>
        </is>
      </c>
      <c r="H8257" s="10" t="inlineStr">
        <is>
          <t>発</t>
        </is>
      </c>
      <c r="J8257" s="10" t="inlineStr">
        <is>
          <t>営業</t>
        </is>
      </c>
      <c r="L8257" t="inlineStr">
        <is>
          <t>18:30:35</t>
        </is>
      </c>
      <c r="M8257" t="inlineStr">
        <is>
          <t>18:30:45</t>
        </is>
      </c>
      <c r="U8257" t="inlineStr">
        <is>
          <t>→帷子ノ辻 休憩(18:34〜19:56)</t>
        </is>
      </c>
    </row>
    <row r="8258" ht="16.5" customHeight="1" s="37">
      <c r="A8258" t="n">
        <v>24</v>
      </c>
      <c r="B8258" s="10" t="inlineStr">
        <is>
          <t>平日</t>
        </is>
      </c>
      <c r="C8258" s="10" t="inlineStr">
        <is>
          <t>北野線</t>
        </is>
      </c>
      <c r="D8258" s="10" t="inlineStr">
        <is>
          <t>下り</t>
        </is>
      </c>
      <c r="E8258" t="inlineStr">
        <is>
          <t>1855</t>
        </is>
      </c>
      <c r="F8258" t="inlineStr">
        <is>
          <t>0453</t>
        </is>
      </c>
      <c r="G8258" s="10" t="inlineStr">
        <is>
          <t>常盤</t>
        </is>
      </c>
      <c r="H8258" s="10" t="inlineStr">
        <is>
          <t>発</t>
        </is>
      </c>
      <c r="J8258" s="10" t="inlineStr">
        <is>
          <t>営業</t>
        </is>
      </c>
      <c r="L8258" t="inlineStr">
        <is>
          <t>18:31:35</t>
        </is>
      </c>
      <c r="M8258" t="inlineStr">
        <is>
          <t>18:31:55</t>
        </is>
      </c>
      <c r="U8258" t="inlineStr">
        <is>
          <t>→帷子ノ辻 休憩(18:34〜19:56)</t>
        </is>
      </c>
    </row>
    <row r="8259" ht="16.5" customHeight="1" s="37">
      <c r="A8259" t="n">
        <v>24</v>
      </c>
      <c r="B8259" s="10" t="inlineStr">
        <is>
          <t>平日</t>
        </is>
      </c>
      <c r="C8259" s="10" t="inlineStr">
        <is>
          <t>北野線</t>
        </is>
      </c>
      <c r="D8259" s="10" t="inlineStr">
        <is>
          <t>下り</t>
        </is>
      </c>
      <c r="E8259" t="inlineStr">
        <is>
          <t>1855</t>
        </is>
      </c>
      <c r="F8259" t="inlineStr">
        <is>
          <t>0453</t>
        </is>
      </c>
      <c r="G8259" s="10" t="inlineStr">
        <is>
          <t>撮影所前</t>
        </is>
      </c>
      <c r="H8259" s="10" t="inlineStr">
        <is>
          <t>発</t>
        </is>
      </c>
      <c r="J8259" s="10" t="inlineStr">
        <is>
          <t>営業</t>
        </is>
      </c>
      <c r="L8259" t="inlineStr">
        <is>
          <t>18:33:15</t>
        </is>
      </c>
      <c r="M8259" t="inlineStr">
        <is>
          <t>18:33:30</t>
        </is>
      </c>
      <c r="U8259" t="inlineStr">
        <is>
          <t>→帷子ノ辻 休憩(18:34〜19:56)</t>
        </is>
      </c>
    </row>
    <row r="8260" ht="16.5" customHeight="1" s="37">
      <c r="A8260" t="n">
        <v>24</v>
      </c>
      <c r="B8260" s="10" t="inlineStr">
        <is>
          <t>平日</t>
        </is>
      </c>
      <c r="C8260" s="10" t="inlineStr">
        <is>
          <t>北野線</t>
        </is>
      </c>
      <c r="D8260" s="10" t="inlineStr">
        <is>
          <t>下り</t>
        </is>
      </c>
      <c r="E8260" t="inlineStr">
        <is>
          <t>1855</t>
        </is>
      </c>
      <c r="F8260" t="inlineStr">
        <is>
          <t>0453</t>
        </is>
      </c>
      <c r="G8260" s="10" t="inlineStr">
        <is>
          <t>帷子ノ辻</t>
        </is>
      </c>
      <c r="H8260" s="10" t="inlineStr">
        <is>
          <t>着</t>
        </is>
      </c>
      <c r="J8260" s="10" t="inlineStr">
        <is>
          <t>営業</t>
        </is>
      </c>
      <c r="L8260" t="inlineStr">
        <is>
          <t>18:34:25</t>
        </is>
      </c>
      <c r="Q8260" t="inlineStr">
        <is>
          <t>4</t>
        </is>
      </c>
      <c r="U8260" t="inlineStr">
        <is>
          <t>→帷子ノ辻 休憩(18:34〜19:56)</t>
        </is>
      </c>
    </row>
    <row r="8261" ht="16.5" customHeight="1" s="37">
      <c r="A8261" t="n">
        <v>24</v>
      </c>
      <c r="B8261" s="10" t="inlineStr">
        <is>
          <t>平日</t>
        </is>
      </c>
      <c r="C8261" s="10" t="inlineStr">
        <is>
          <t>北野線</t>
        </is>
      </c>
      <c r="D8261" s="10" t="inlineStr">
        <is>
          <t>上り</t>
        </is>
      </c>
      <c r="E8261" t="inlineStr">
        <is>
          <t>1962</t>
        </is>
      </c>
      <c r="F8261" t="inlineStr">
        <is>
          <t>0304</t>
        </is>
      </c>
      <c r="G8261" s="10" t="inlineStr">
        <is>
          <t>帷子ノ辻</t>
        </is>
      </c>
      <c r="H8261" s="10" t="inlineStr">
        <is>
          <t>発</t>
        </is>
      </c>
      <c r="J8261" s="10" t="inlineStr">
        <is>
          <t>営業</t>
        </is>
      </c>
      <c r="M8261" t="inlineStr">
        <is>
          <t>19:56:25</t>
        </is>
      </c>
      <c r="Q8261" t="inlineStr">
        <is>
          <t>3</t>
        </is>
      </c>
    </row>
    <row r="8262" ht="16.5" customHeight="1" s="37">
      <c r="A8262" t="n">
        <v>24</v>
      </c>
      <c r="B8262" s="10" t="inlineStr">
        <is>
          <t>平日</t>
        </is>
      </c>
      <c r="C8262" s="10" t="inlineStr">
        <is>
          <t>北野線</t>
        </is>
      </c>
      <c r="D8262" s="10" t="inlineStr">
        <is>
          <t>上り</t>
        </is>
      </c>
      <c r="E8262" t="inlineStr">
        <is>
          <t>1962</t>
        </is>
      </c>
      <c r="F8262" t="inlineStr">
        <is>
          <t>0304</t>
        </is>
      </c>
      <c r="G8262" s="10" t="inlineStr">
        <is>
          <t>撮影所前</t>
        </is>
      </c>
      <c r="H8262" s="10" t="inlineStr">
        <is>
          <t>発</t>
        </is>
      </c>
      <c r="J8262" s="10" t="inlineStr">
        <is>
          <t>営業</t>
        </is>
      </c>
      <c r="L8262" t="inlineStr">
        <is>
          <t>19:57:25</t>
        </is>
      </c>
      <c r="M8262" t="inlineStr">
        <is>
          <t>19:57:40</t>
        </is>
      </c>
    </row>
    <row r="8263" ht="16.5" customHeight="1" s="37">
      <c r="A8263" t="n">
        <v>24</v>
      </c>
      <c r="B8263" s="10" t="inlineStr">
        <is>
          <t>平日</t>
        </is>
      </c>
      <c r="C8263" s="10" t="inlineStr">
        <is>
          <t>北野線</t>
        </is>
      </c>
      <c r="D8263" s="10" t="inlineStr">
        <is>
          <t>上り</t>
        </is>
      </c>
      <c r="E8263" t="inlineStr">
        <is>
          <t>1962</t>
        </is>
      </c>
      <c r="F8263" t="inlineStr">
        <is>
          <t>0304</t>
        </is>
      </c>
      <c r="G8263" s="10" t="inlineStr">
        <is>
          <t>常盤</t>
        </is>
      </c>
      <c r="H8263" s="10" t="inlineStr">
        <is>
          <t>発</t>
        </is>
      </c>
      <c r="J8263" s="10" t="inlineStr">
        <is>
          <t>営業</t>
        </is>
      </c>
      <c r="L8263" t="inlineStr">
        <is>
          <t>19:59:00</t>
        </is>
      </c>
      <c r="M8263" t="inlineStr">
        <is>
          <t>19:59:20</t>
        </is>
      </c>
    </row>
    <row r="8264" ht="16.5" customHeight="1" s="37">
      <c r="A8264" t="n">
        <v>24</v>
      </c>
      <c r="B8264" s="10" t="inlineStr">
        <is>
          <t>平日</t>
        </is>
      </c>
      <c r="C8264" s="10" t="inlineStr">
        <is>
          <t>北野線</t>
        </is>
      </c>
      <c r="D8264" s="10" t="inlineStr">
        <is>
          <t>上り</t>
        </is>
      </c>
      <c r="E8264" t="inlineStr">
        <is>
          <t>1962</t>
        </is>
      </c>
      <c r="F8264" t="inlineStr">
        <is>
          <t>0304</t>
        </is>
      </c>
      <c r="G8264" s="10" t="inlineStr">
        <is>
          <t>鳴滝</t>
        </is>
      </c>
      <c r="H8264" s="10" t="inlineStr">
        <is>
          <t>発</t>
        </is>
      </c>
      <c r="J8264" s="10" t="inlineStr">
        <is>
          <t>営業</t>
        </is>
      </c>
      <c r="L8264" t="inlineStr">
        <is>
          <t>20:00:20</t>
        </is>
      </c>
      <c r="M8264" t="inlineStr">
        <is>
          <t>20:00:40</t>
        </is>
      </c>
    </row>
    <row r="8265" ht="16.5" customHeight="1" s="37">
      <c r="A8265" t="n">
        <v>24</v>
      </c>
      <c r="B8265" s="10" t="inlineStr">
        <is>
          <t>平日</t>
        </is>
      </c>
      <c r="C8265" s="10" t="inlineStr">
        <is>
          <t>北野線</t>
        </is>
      </c>
      <c r="D8265" s="10" t="inlineStr">
        <is>
          <t>上り</t>
        </is>
      </c>
      <c r="E8265" t="inlineStr">
        <is>
          <t>1962</t>
        </is>
      </c>
      <c r="F8265" t="inlineStr">
        <is>
          <t>0304</t>
        </is>
      </c>
      <c r="G8265" s="10" t="inlineStr">
        <is>
          <t>宇多野</t>
        </is>
      </c>
      <c r="H8265" s="10" t="inlineStr">
        <is>
          <t>発</t>
        </is>
      </c>
      <c r="J8265" s="10" t="inlineStr">
        <is>
          <t>営業</t>
        </is>
      </c>
      <c r="L8265" t="inlineStr">
        <is>
          <t>20:02:00</t>
        </is>
      </c>
      <c r="M8265" t="inlineStr">
        <is>
          <t>20:02:15</t>
        </is>
      </c>
    </row>
    <row r="8266" ht="16.5" customHeight="1" s="37">
      <c r="A8266" t="n">
        <v>24</v>
      </c>
      <c r="B8266" s="10" t="inlineStr">
        <is>
          <t>平日</t>
        </is>
      </c>
      <c r="C8266" s="10" t="inlineStr">
        <is>
          <t>北野線</t>
        </is>
      </c>
      <c r="D8266" s="10" t="inlineStr">
        <is>
          <t>上り</t>
        </is>
      </c>
      <c r="E8266" t="inlineStr">
        <is>
          <t>1962</t>
        </is>
      </c>
      <c r="F8266" t="inlineStr">
        <is>
          <t>0304</t>
        </is>
      </c>
      <c r="G8266" s="10" t="inlineStr">
        <is>
          <t>御室仁和寺</t>
        </is>
      </c>
      <c r="H8266" s="10" t="inlineStr">
        <is>
          <t>発</t>
        </is>
      </c>
      <c r="J8266" s="10" t="inlineStr">
        <is>
          <t>営業</t>
        </is>
      </c>
      <c r="L8266" t="inlineStr">
        <is>
          <t>20:03:15</t>
        </is>
      </c>
      <c r="M8266" t="inlineStr">
        <is>
          <t>20:03:35</t>
        </is>
      </c>
    </row>
    <row r="8267" ht="16.5" customHeight="1" s="37">
      <c r="A8267" t="n">
        <v>24</v>
      </c>
      <c r="B8267" s="10" t="inlineStr">
        <is>
          <t>平日</t>
        </is>
      </c>
      <c r="C8267" s="10" t="inlineStr">
        <is>
          <t>北野線</t>
        </is>
      </c>
      <c r="D8267" s="10" t="inlineStr">
        <is>
          <t>上り</t>
        </is>
      </c>
      <c r="E8267" t="inlineStr">
        <is>
          <t>1962</t>
        </is>
      </c>
      <c r="F8267" t="inlineStr">
        <is>
          <t>0304</t>
        </is>
      </c>
      <c r="G8267" s="10" t="inlineStr">
        <is>
          <t>妙心寺</t>
        </is>
      </c>
      <c r="H8267" s="10" t="inlineStr">
        <is>
          <t>発</t>
        </is>
      </c>
      <c r="J8267" s="10" t="inlineStr">
        <is>
          <t>営業</t>
        </is>
      </c>
      <c r="L8267" t="inlineStr">
        <is>
          <t>20:04:35</t>
        </is>
      </c>
      <c r="M8267" t="inlineStr">
        <is>
          <t>20:04:50</t>
        </is>
      </c>
    </row>
    <row r="8268" ht="16.5" customHeight="1" s="37">
      <c r="A8268" t="n">
        <v>24</v>
      </c>
      <c r="B8268" s="10" t="inlineStr">
        <is>
          <t>平日</t>
        </is>
      </c>
      <c r="C8268" s="10" t="inlineStr">
        <is>
          <t>北野線</t>
        </is>
      </c>
      <c r="D8268" s="10" t="inlineStr">
        <is>
          <t>上り</t>
        </is>
      </c>
      <c r="E8268" t="inlineStr">
        <is>
          <t>1962</t>
        </is>
      </c>
      <c r="F8268" t="inlineStr">
        <is>
          <t>0304</t>
        </is>
      </c>
      <c r="G8268" s="10" t="inlineStr">
        <is>
          <t>龍安寺</t>
        </is>
      </c>
      <c r="H8268" s="10" t="inlineStr">
        <is>
          <t>発</t>
        </is>
      </c>
      <c r="J8268" s="10" t="inlineStr">
        <is>
          <t>営業</t>
        </is>
      </c>
      <c r="L8268" t="inlineStr">
        <is>
          <t>20:05:45</t>
        </is>
      </c>
      <c r="M8268" t="inlineStr">
        <is>
          <t>20:05:55</t>
        </is>
      </c>
    </row>
    <row r="8269" ht="16.5" customHeight="1" s="37">
      <c r="A8269" t="n">
        <v>24</v>
      </c>
      <c r="B8269" s="10" t="inlineStr">
        <is>
          <t>平日</t>
        </is>
      </c>
      <c r="C8269" s="10" t="inlineStr">
        <is>
          <t>北野線</t>
        </is>
      </c>
      <c r="D8269" s="10" t="inlineStr">
        <is>
          <t>上り</t>
        </is>
      </c>
      <c r="E8269" t="inlineStr">
        <is>
          <t>1962</t>
        </is>
      </c>
      <c r="F8269" t="inlineStr">
        <is>
          <t>0304</t>
        </is>
      </c>
      <c r="G8269" s="10" t="inlineStr">
        <is>
          <t>等持院</t>
        </is>
      </c>
      <c r="H8269" s="10" t="inlineStr">
        <is>
          <t>発</t>
        </is>
      </c>
      <c r="J8269" s="10" t="inlineStr">
        <is>
          <t>営業</t>
        </is>
      </c>
      <c r="L8269" t="inlineStr">
        <is>
          <t>20:06:35</t>
        </is>
      </c>
      <c r="M8269" t="inlineStr">
        <is>
          <t>20:06:55</t>
        </is>
      </c>
    </row>
    <row r="8270" ht="16.5" customHeight="1" s="37">
      <c r="A8270" t="n">
        <v>24</v>
      </c>
      <c r="B8270" s="10" t="inlineStr">
        <is>
          <t>平日</t>
        </is>
      </c>
      <c r="C8270" s="10" t="inlineStr">
        <is>
          <t>北野線</t>
        </is>
      </c>
      <c r="D8270" s="10" t="inlineStr">
        <is>
          <t>上り</t>
        </is>
      </c>
      <c r="E8270" t="inlineStr">
        <is>
          <t>1962</t>
        </is>
      </c>
      <c r="F8270" t="inlineStr">
        <is>
          <t>0304</t>
        </is>
      </c>
      <c r="G8270" s="10" t="inlineStr">
        <is>
          <t>北野白梅町</t>
        </is>
      </c>
      <c r="H8270" s="10" t="inlineStr">
        <is>
          <t>着</t>
        </is>
      </c>
      <c r="J8270" s="10" t="inlineStr">
        <is>
          <t>営業</t>
        </is>
      </c>
      <c r="L8270" t="inlineStr">
        <is>
          <t>20:08:15</t>
        </is>
      </c>
      <c r="N8270" t="inlineStr">
        <is>
          <t>○</t>
        </is>
      </c>
      <c r="Q8270" t="inlineStr">
        <is>
          <t>1</t>
        </is>
      </c>
    </row>
    <row r="8271" ht="16.5" customHeight="1" s="37">
      <c r="A8271" t="n">
        <v>24</v>
      </c>
      <c r="B8271" s="10" t="inlineStr">
        <is>
          <t>平日</t>
        </is>
      </c>
      <c r="C8271" s="10" t="inlineStr">
        <is>
          <t>北野線</t>
        </is>
      </c>
      <c r="D8271" s="10" t="inlineStr">
        <is>
          <t>下り</t>
        </is>
      </c>
      <c r="E8271" t="inlineStr">
        <is>
          <t>2053</t>
        </is>
      </c>
      <c r="F8271" t="inlineStr">
        <is>
          <t>0453</t>
        </is>
      </c>
      <c r="G8271" s="10" t="inlineStr">
        <is>
          <t>北野白梅町</t>
        </is>
      </c>
      <c r="H8271" s="10" t="inlineStr">
        <is>
          <t>発</t>
        </is>
      </c>
      <c r="J8271" s="10" t="inlineStr">
        <is>
          <t>営業</t>
        </is>
      </c>
      <c r="M8271" t="inlineStr">
        <is>
          <t>20:13:00</t>
        </is>
      </c>
      <c r="Q8271" t="inlineStr">
        <is>
          <t>1</t>
        </is>
      </c>
    </row>
    <row r="8272" ht="16.5" customHeight="1" s="37">
      <c r="A8272" t="n">
        <v>24</v>
      </c>
      <c r="B8272" s="10" t="inlineStr">
        <is>
          <t>平日</t>
        </is>
      </c>
      <c r="C8272" s="10" t="inlineStr">
        <is>
          <t>北野線</t>
        </is>
      </c>
      <c r="D8272" s="10" t="inlineStr">
        <is>
          <t>下り</t>
        </is>
      </c>
      <c r="E8272" t="inlineStr">
        <is>
          <t>2053</t>
        </is>
      </c>
      <c r="F8272" t="inlineStr">
        <is>
          <t>0453</t>
        </is>
      </c>
      <c r="G8272" s="10" t="inlineStr">
        <is>
          <t>等持院</t>
        </is>
      </c>
      <c r="H8272" s="10" t="inlineStr">
        <is>
          <t>発</t>
        </is>
      </c>
      <c r="J8272" s="10" t="inlineStr">
        <is>
          <t>営業</t>
        </is>
      </c>
      <c r="L8272" t="inlineStr">
        <is>
          <t>20:14:25</t>
        </is>
      </c>
      <c r="M8272" t="inlineStr">
        <is>
          <t>20:14:35</t>
        </is>
      </c>
    </row>
    <row r="8273" ht="16.5" customHeight="1" s="37">
      <c r="A8273" t="n">
        <v>24</v>
      </c>
      <c r="B8273" s="10" t="inlineStr">
        <is>
          <t>平日</t>
        </is>
      </c>
      <c r="C8273" s="10" t="inlineStr">
        <is>
          <t>北野線</t>
        </is>
      </c>
      <c r="D8273" s="10" t="inlineStr">
        <is>
          <t>下り</t>
        </is>
      </c>
      <c r="E8273" t="inlineStr">
        <is>
          <t>2053</t>
        </is>
      </c>
      <c r="F8273" t="inlineStr">
        <is>
          <t>0453</t>
        </is>
      </c>
      <c r="G8273" s="10" t="inlineStr">
        <is>
          <t>龍安寺</t>
        </is>
      </c>
      <c r="H8273" s="10" t="inlineStr">
        <is>
          <t>発</t>
        </is>
      </c>
      <c r="J8273" s="10" t="inlineStr">
        <is>
          <t>営業</t>
        </is>
      </c>
      <c r="L8273" t="inlineStr">
        <is>
          <t>20:15:25</t>
        </is>
      </c>
      <c r="M8273" t="inlineStr">
        <is>
          <t>20:15:50</t>
        </is>
      </c>
    </row>
    <row r="8274" ht="16.5" customHeight="1" s="37">
      <c r="A8274" t="n">
        <v>24</v>
      </c>
      <c r="B8274" s="10" t="inlineStr">
        <is>
          <t>平日</t>
        </is>
      </c>
      <c r="C8274" s="10" t="inlineStr">
        <is>
          <t>北野線</t>
        </is>
      </c>
      <c r="D8274" s="10" t="inlineStr">
        <is>
          <t>下り</t>
        </is>
      </c>
      <c r="E8274" t="inlineStr">
        <is>
          <t>2053</t>
        </is>
      </c>
      <c r="F8274" t="inlineStr">
        <is>
          <t>0453</t>
        </is>
      </c>
      <c r="G8274" s="10" t="inlineStr">
        <is>
          <t>妙心寺</t>
        </is>
      </c>
      <c r="H8274" s="10" t="inlineStr">
        <is>
          <t>発</t>
        </is>
      </c>
      <c r="J8274" s="10" t="inlineStr">
        <is>
          <t>営業</t>
        </is>
      </c>
      <c r="L8274" t="inlineStr">
        <is>
          <t>20:16:40</t>
        </is>
      </c>
      <c r="M8274" t="inlineStr">
        <is>
          <t>20:16:50</t>
        </is>
      </c>
    </row>
    <row r="8275" ht="16.5" customHeight="1" s="37">
      <c r="A8275" t="n">
        <v>24</v>
      </c>
      <c r="B8275" s="10" t="inlineStr">
        <is>
          <t>平日</t>
        </is>
      </c>
      <c r="C8275" s="10" t="inlineStr">
        <is>
          <t>北野線</t>
        </is>
      </c>
      <c r="D8275" s="10" t="inlineStr">
        <is>
          <t>下り</t>
        </is>
      </c>
      <c r="E8275" t="inlineStr">
        <is>
          <t>2053</t>
        </is>
      </c>
      <c r="F8275" t="inlineStr">
        <is>
          <t>0453</t>
        </is>
      </c>
      <c r="G8275" s="10" t="inlineStr">
        <is>
          <t>御室仁和寺</t>
        </is>
      </c>
      <c r="H8275" s="10" t="inlineStr">
        <is>
          <t>発</t>
        </is>
      </c>
      <c r="J8275" s="10" t="inlineStr">
        <is>
          <t>営業</t>
        </is>
      </c>
      <c r="L8275" t="inlineStr">
        <is>
          <t>20:17:50</t>
        </is>
      </c>
      <c r="M8275" t="inlineStr">
        <is>
          <t>20:18:05</t>
        </is>
      </c>
    </row>
    <row r="8276" ht="16.5" customHeight="1" s="37">
      <c r="A8276" t="n">
        <v>24</v>
      </c>
      <c r="B8276" s="10" t="inlineStr">
        <is>
          <t>平日</t>
        </is>
      </c>
      <c r="C8276" s="10" t="inlineStr">
        <is>
          <t>北野線</t>
        </is>
      </c>
      <c r="D8276" s="10" t="inlineStr">
        <is>
          <t>下り</t>
        </is>
      </c>
      <c r="E8276" t="inlineStr">
        <is>
          <t>2053</t>
        </is>
      </c>
      <c r="F8276" t="inlineStr">
        <is>
          <t>0453</t>
        </is>
      </c>
      <c r="G8276" s="10" t="inlineStr">
        <is>
          <t>宇多野</t>
        </is>
      </c>
      <c r="H8276" s="10" t="inlineStr">
        <is>
          <t>発</t>
        </is>
      </c>
      <c r="J8276" s="10" t="inlineStr">
        <is>
          <t>営業</t>
        </is>
      </c>
      <c r="L8276" t="inlineStr">
        <is>
          <t>20:19:05</t>
        </is>
      </c>
      <c r="M8276" t="inlineStr">
        <is>
          <t>20:19:15</t>
        </is>
      </c>
    </row>
    <row r="8277" ht="16.5" customHeight="1" s="37">
      <c r="A8277" t="n">
        <v>24</v>
      </c>
      <c r="B8277" s="10" t="inlineStr">
        <is>
          <t>平日</t>
        </is>
      </c>
      <c r="C8277" s="10" t="inlineStr">
        <is>
          <t>北野線</t>
        </is>
      </c>
      <c r="D8277" s="10" t="inlineStr">
        <is>
          <t>下り</t>
        </is>
      </c>
      <c r="E8277" t="inlineStr">
        <is>
          <t>2053</t>
        </is>
      </c>
      <c r="F8277" t="inlineStr">
        <is>
          <t>0453</t>
        </is>
      </c>
      <c r="G8277" s="10" t="inlineStr">
        <is>
          <t>鳴滝</t>
        </is>
      </c>
      <c r="H8277" s="10" t="inlineStr">
        <is>
          <t>発</t>
        </is>
      </c>
      <c r="J8277" s="10" t="inlineStr">
        <is>
          <t>営業</t>
        </is>
      </c>
      <c r="L8277" t="inlineStr">
        <is>
          <t>20:20:35</t>
        </is>
      </c>
      <c r="M8277" t="inlineStr">
        <is>
          <t>20:20:45</t>
        </is>
      </c>
    </row>
    <row r="8278" ht="16.5" customHeight="1" s="37">
      <c r="A8278" t="n">
        <v>24</v>
      </c>
      <c r="B8278" s="10" t="inlineStr">
        <is>
          <t>平日</t>
        </is>
      </c>
      <c r="C8278" s="10" t="inlineStr">
        <is>
          <t>北野線</t>
        </is>
      </c>
      <c r="D8278" s="10" t="inlineStr">
        <is>
          <t>下り</t>
        </is>
      </c>
      <c r="E8278" t="inlineStr">
        <is>
          <t>2053</t>
        </is>
      </c>
      <c r="F8278" t="inlineStr">
        <is>
          <t>0453</t>
        </is>
      </c>
      <c r="G8278" s="10" t="inlineStr">
        <is>
          <t>常盤</t>
        </is>
      </c>
      <c r="H8278" s="10" t="inlineStr">
        <is>
          <t>発</t>
        </is>
      </c>
      <c r="J8278" s="10" t="inlineStr">
        <is>
          <t>営業</t>
        </is>
      </c>
      <c r="L8278" t="inlineStr">
        <is>
          <t>20:21:35</t>
        </is>
      </c>
      <c r="M8278" t="inlineStr">
        <is>
          <t>20:21:55</t>
        </is>
      </c>
    </row>
    <row r="8279" ht="16.5" customHeight="1" s="37">
      <c r="A8279" t="n">
        <v>24</v>
      </c>
      <c r="B8279" s="10" t="inlineStr">
        <is>
          <t>平日</t>
        </is>
      </c>
      <c r="C8279" s="10" t="inlineStr">
        <is>
          <t>北野線</t>
        </is>
      </c>
      <c r="D8279" s="10" t="inlineStr">
        <is>
          <t>下り</t>
        </is>
      </c>
      <c r="E8279" t="inlineStr">
        <is>
          <t>2053</t>
        </is>
      </c>
      <c r="F8279" t="inlineStr">
        <is>
          <t>0453</t>
        </is>
      </c>
      <c r="G8279" s="10" t="inlineStr">
        <is>
          <t>撮影所前</t>
        </is>
      </c>
      <c r="H8279" s="10" t="inlineStr">
        <is>
          <t>発</t>
        </is>
      </c>
      <c r="J8279" s="10" t="inlineStr">
        <is>
          <t>営業</t>
        </is>
      </c>
      <c r="L8279" t="inlineStr">
        <is>
          <t>20:23:15</t>
        </is>
      </c>
      <c r="M8279" t="inlineStr">
        <is>
          <t>20:23:30</t>
        </is>
      </c>
    </row>
    <row r="8280" ht="15" customHeight="1" s="37">
      <c r="A8280" t="n">
        <v>24</v>
      </c>
      <c r="B8280" s="10" t="inlineStr">
        <is>
          <t>平日</t>
        </is>
      </c>
      <c r="C8280" s="10" t="inlineStr">
        <is>
          <t>北野線</t>
        </is>
      </c>
      <c r="D8280" s="10" t="inlineStr">
        <is>
          <t>下り</t>
        </is>
      </c>
      <c r="E8280" t="inlineStr">
        <is>
          <t>2053</t>
        </is>
      </c>
      <c r="F8280" t="inlineStr">
        <is>
          <t>0453</t>
        </is>
      </c>
      <c r="G8280" s="10" t="inlineStr">
        <is>
          <t>帷子ノ辻</t>
        </is>
      </c>
      <c r="H8280" s="10" t="inlineStr">
        <is>
          <t>着</t>
        </is>
      </c>
      <c r="J8280" s="10" t="inlineStr">
        <is>
          <t>営業</t>
        </is>
      </c>
      <c r="L8280" t="inlineStr">
        <is>
          <t>20:24:25</t>
        </is>
      </c>
      <c r="Q8280" t="inlineStr">
        <is>
          <t>3</t>
        </is>
      </c>
    </row>
    <row r="8281" ht="15" customHeight="1" s="37">
      <c r="A8281" t="n">
        <v>24</v>
      </c>
      <c r="B8281" s="10" t="inlineStr">
        <is>
          <t>平日</t>
        </is>
      </c>
      <c r="C8281" s="10" t="inlineStr">
        <is>
          <t>北野線</t>
        </is>
      </c>
      <c r="D8281" s="10" t="inlineStr">
        <is>
          <t>上り</t>
        </is>
      </c>
      <c r="E8281" t="inlineStr">
        <is>
          <t>2058</t>
        </is>
      </c>
      <c r="F8281" t="inlineStr">
        <is>
          <t>0304</t>
        </is>
      </c>
      <c r="G8281" s="10" t="inlineStr">
        <is>
          <t>帷子ノ辻</t>
        </is>
      </c>
      <c r="H8281" s="10" t="inlineStr">
        <is>
          <t>発</t>
        </is>
      </c>
      <c r="J8281" s="10" t="inlineStr">
        <is>
          <t>営業</t>
        </is>
      </c>
      <c r="M8281" t="inlineStr">
        <is>
          <t>20:36:25</t>
        </is>
      </c>
      <c r="Q8281" t="inlineStr">
        <is>
          <t>3</t>
        </is>
      </c>
    </row>
    <row r="8282" ht="15" customHeight="1" s="37">
      <c r="A8282" t="n">
        <v>24</v>
      </c>
      <c r="B8282" s="10" t="inlineStr">
        <is>
          <t>平日</t>
        </is>
      </c>
      <c r="C8282" s="10" t="inlineStr">
        <is>
          <t>北野線</t>
        </is>
      </c>
      <c r="D8282" s="10" t="inlineStr">
        <is>
          <t>上り</t>
        </is>
      </c>
      <c r="E8282" t="inlineStr">
        <is>
          <t>2058</t>
        </is>
      </c>
      <c r="F8282" t="inlineStr">
        <is>
          <t>0304</t>
        </is>
      </c>
      <c r="G8282" s="10" t="inlineStr">
        <is>
          <t>撮影所前</t>
        </is>
      </c>
      <c r="H8282" s="10" t="inlineStr">
        <is>
          <t>発</t>
        </is>
      </c>
      <c r="J8282" s="10" t="inlineStr">
        <is>
          <t>営業</t>
        </is>
      </c>
      <c r="L8282" t="inlineStr">
        <is>
          <t>20:37:25</t>
        </is>
      </c>
      <c r="M8282" t="inlineStr">
        <is>
          <t>20:37:40</t>
        </is>
      </c>
    </row>
    <row r="8283" ht="15" customHeight="1" s="37">
      <c r="A8283" t="n">
        <v>24</v>
      </c>
      <c r="B8283" s="10" t="inlineStr">
        <is>
          <t>平日</t>
        </is>
      </c>
      <c r="C8283" s="10" t="inlineStr">
        <is>
          <t>北野線</t>
        </is>
      </c>
      <c r="D8283" s="10" t="inlineStr">
        <is>
          <t>上り</t>
        </is>
      </c>
      <c r="E8283" t="inlineStr">
        <is>
          <t>2058</t>
        </is>
      </c>
      <c r="F8283" t="inlineStr">
        <is>
          <t>0304</t>
        </is>
      </c>
      <c r="G8283" s="10" t="inlineStr">
        <is>
          <t>常盤</t>
        </is>
      </c>
      <c r="H8283" s="10" t="inlineStr">
        <is>
          <t>発</t>
        </is>
      </c>
      <c r="J8283" s="10" t="inlineStr">
        <is>
          <t>営業</t>
        </is>
      </c>
      <c r="L8283" t="inlineStr">
        <is>
          <t>20:39:00</t>
        </is>
      </c>
      <c r="M8283" t="inlineStr">
        <is>
          <t>20:39:20</t>
        </is>
      </c>
    </row>
    <row r="8284" ht="15" customHeight="1" s="37">
      <c r="A8284" t="n">
        <v>24</v>
      </c>
      <c r="B8284" s="10" t="inlineStr">
        <is>
          <t>平日</t>
        </is>
      </c>
      <c r="C8284" s="10" t="inlineStr">
        <is>
          <t>北野線</t>
        </is>
      </c>
      <c r="D8284" s="10" t="inlineStr">
        <is>
          <t>上り</t>
        </is>
      </c>
      <c r="E8284" t="inlineStr">
        <is>
          <t>2058</t>
        </is>
      </c>
      <c r="F8284" t="inlineStr">
        <is>
          <t>0304</t>
        </is>
      </c>
      <c r="G8284" s="10" t="inlineStr">
        <is>
          <t>鳴滝</t>
        </is>
      </c>
      <c r="H8284" s="10" t="inlineStr">
        <is>
          <t>発</t>
        </is>
      </c>
      <c r="J8284" s="10" t="inlineStr">
        <is>
          <t>営業</t>
        </is>
      </c>
      <c r="L8284" t="inlineStr">
        <is>
          <t>20:40:20</t>
        </is>
      </c>
      <c r="M8284" t="inlineStr">
        <is>
          <t>20:40:40</t>
        </is>
      </c>
    </row>
    <row r="8285" ht="15" customHeight="1" s="37">
      <c r="A8285" t="n">
        <v>24</v>
      </c>
      <c r="B8285" s="10" t="inlineStr">
        <is>
          <t>平日</t>
        </is>
      </c>
      <c r="C8285" s="10" t="inlineStr">
        <is>
          <t>北野線</t>
        </is>
      </c>
      <c r="D8285" s="10" t="inlineStr">
        <is>
          <t>上り</t>
        </is>
      </c>
      <c r="E8285" t="inlineStr">
        <is>
          <t>2058</t>
        </is>
      </c>
      <c r="F8285" t="inlineStr">
        <is>
          <t>0304</t>
        </is>
      </c>
      <c r="G8285" s="10" t="inlineStr">
        <is>
          <t>宇多野</t>
        </is>
      </c>
      <c r="H8285" s="10" t="inlineStr">
        <is>
          <t>発</t>
        </is>
      </c>
      <c r="J8285" s="10" t="inlineStr">
        <is>
          <t>営業</t>
        </is>
      </c>
      <c r="L8285" t="inlineStr">
        <is>
          <t>20:42:00</t>
        </is>
      </c>
      <c r="M8285" t="inlineStr">
        <is>
          <t>20:42:15</t>
        </is>
      </c>
    </row>
    <row r="8286" ht="15" customHeight="1" s="37">
      <c r="A8286" t="n">
        <v>24</v>
      </c>
      <c r="B8286" s="10" t="inlineStr">
        <is>
          <t>平日</t>
        </is>
      </c>
      <c r="C8286" s="10" t="inlineStr">
        <is>
          <t>北野線</t>
        </is>
      </c>
      <c r="D8286" s="10" t="inlineStr">
        <is>
          <t>上り</t>
        </is>
      </c>
      <c r="E8286" t="inlineStr">
        <is>
          <t>2058</t>
        </is>
      </c>
      <c r="F8286" t="inlineStr">
        <is>
          <t>0304</t>
        </is>
      </c>
      <c r="G8286" s="10" t="inlineStr">
        <is>
          <t>御室仁和寺</t>
        </is>
      </c>
      <c r="H8286" s="10" t="inlineStr">
        <is>
          <t>発</t>
        </is>
      </c>
      <c r="J8286" s="10" t="inlineStr">
        <is>
          <t>営業</t>
        </is>
      </c>
      <c r="L8286" t="inlineStr">
        <is>
          <t>20:43:15</t>
        </is>
      </c>
      <c r="M8286" t="inlineStr">
        <is>
          <t>20:43:35</t>
        </is>
      </c>
    </row>
    <row r="8287" ht="15" customHeight="1" s="37">
      <c r="A8287" t="n">
        <v>24</v>
      </c>
      <c r="B8287" s="10" t="inlineStr">
        <is>
          <t>平日</t>
        </is>
      </c>
      <c r="C8287" s="10" t="inlineStr">
        <is>
          <t>北野線</t>
        </is>
      </c>
      <c r="D8287" s="10" t="inlineStr">
        <is>
          <t>上り</t>
        </is>
      </c>
      <c r="E8287" t="inlineStr">
        <is>
          <t>2058</t>
        </is>
      </c>
      <c r="F8287" t="inlineStr">
        <is>
          <t>0304</t>
        </is>
      </c>
      <c r="G8287" s="10" t="inlineStr">
        <is>
          <t>妙心寺</t>
        </is>
      </c>
      <c r="H8287" s="10" t="inlineStr">
        <is>
          <t>発</t>
        </is>
      </c>
      <c r="J8287" s="10" t="inlineStr">
        <is>
          <t>営業</t>
        </is>
      </c>
      <c r="L8287" t="inlineStr">
        <is>
          <t>20:44:35</t>
        </is>
      </c>
      <c r="M8287" t="inlineStr">
        <is>
          <t>20:44:50</t>
        </is>
      </c>
    </row>
    <row r="8288" ht="15" customHeight="1" s="37">
      <c r="A8288" t="n">
        <v>24</v>
      </c>
      <c r="B8288" s="10" t="inlineStr">
        <is>
          <t>平日</t>
        </is>
      </c>
      <c r="C8288" s="10" t="inlineStr">
        <is>
          <t>北野線</t>
        </is>
      </c>
      <c r="D8288" s="10" t="inlineStr">
        <is>
          <t>上り</t>
        </is>
      </c>
      <c r="E8288" t="inlineStr">
        <is>
          <t>2058</t>
        </is>
      </c>
      <c r="F8288" t="inlineStr">
        <is>
          <t>0304</t>
        </is>
      </c>
      <c r="G8288" s="10" t="inlineStr">
        <is>
          <t>龍安寺</t>
        </is>
      </c>
      <c r="H8288" s="10" t="inlineStr">
        <is>
          <t>発</t>
        </is>
      </c>
      <c r="J8288" s="10" t="inlineStr">
        <is>
          <t>営業</t>
        </is>
      </c>
      <c r="L8288" t="inlineStr">
        <is>
          <t>20:45:45</t>
        </is>
      </c>
      <c r="M8288" t="inlineStr">
        <is>
          <t>20:45:55</t>
        </is>
      </c>
    </row>
    <row r="8289" ht="15" customHeight="1" s="37">
      <c r="A8289" t="n">
        <v>24</v>
      </c>
      <c r="B8289" s="10" t="inlineStr">
        <is>
          <t>平日</t>
        </is>
      </c>
      <c r="C8289" s="10" t="inlineStr">
        <is>
          <t>北野線</t>
        </is>
      </c>
      <c r="D8289" s="10" t="inlineStr">
        <is>
          <t>上り</t>
        </is>
      </c>
      <c r="E8289" t="inlineStr">
        <is>
          <t>2058</t>
        </is>
      </c>
      <c r="F8289" t="inlineStr">
        <is>
          <t>0304</t>
        </is>
      </c>
      <c r="G8289" s="10" t="inlineStr">
        <is>
          <t>等持院</t>
        </is>
      </c>
      <c r="H8289" s="10" t="inlineStr">
        <is>
          <t>発</t>
        </is>
      </c>
      <c r="J8289" s="10" t="inlineStr">
        <is>
          <t>営業</t>
        </is>
      </c>
      <c r="L8289" t="inlineStr">
        <is>
          <t>20:46:35</t>
        </is>
      </c>
      <c r="M8289" t="inlineStr">
        <is>
          <t>20:46:55</t>
        </is>
      </c>
    </row>
    <row r="8290" ht="15" customHeight="1" s="37">
      <c r="A8290" t="n">
        <v>24</v>
      </c>
      <c r="B8290" s="10" t="inlineStr">
        <is>
          <t>平日</t>
        </is>
      </c>
      <c r="C8290" s="10" t="inlineStr">
        <is>
          <t>北野線</t>
        </is>
      </c>
      <c r="D8290" s="10" t="inlineStr">
        <is>
          <t>上り</t>
        </is>
      </c>
      <c r="E8290" t="inlineStr">
        <is>
          <t>2058</t>
        </is>
      </c>
      <c r="F8290" t="inlineStr">
        <is>
          <t>0304</t>
        </is>
      </c>
      <c r="G8290" s="10" t="inlineStr">
        <is>
          <t>北野白梅町</t>
        </is>
      </c>
      <c r="H8290" s="10" t="inlineStr">
        <is>
          <t>着</t>
        </is>
      </c>
      <c r="J8290" s="10" t="inlineStr">
        <is>
          <t>営業</t>
        </is>
      </c>
      <c r="L8290" t="inlineStr">
        <is>
          <t>20:48:15</t>
        </is>
      </c>
      <c r="N8290" t="inlineStr">
        <is>
          <t>○</t>
        </is>
      </c>
      <c r="Q8290" t="inlineStr">
        <is>
          <t>1</t>
        </is>
      </c>
    </row>
    <row r="8291" ht="15" customHeight="1" s="37">
      <c r="A8291" t="n">
        <v>24</v>
      </c>
      <c r="B8291" s="10" t="inlineStr">
        <is>
          <t>平日</t>
        </is>
      </c>
      <c r="C8291" s="10" t="inlineStr">
        <is>
          <t>北野線</t>
        </is>
      </c>
      <c r="D8291" s="10" t="inlineStr">
        <is>
          <t>下り</t>
        </is>
      </c>
      <c r="E8291" t="inlineStr">
        <is>
          <t>2061</t>
        </is>
      </c>
      <c r="F8291" t="inlineStr">
        <is>
          <t>0453</t>
        </is>
      </c>
      <c r="G8291" s="10" t="inlineStr">
        <is>
          <t>北野白梅町</t>
        </is>
      </c>
      <c r="H8291" s="10" t="inlineStr">
        <is>
          <t>発</t>
        </is>
      </c>
      <c r="J8291" s="10" t="inlineStr">
        <is>
          <t>営業</t>
        </is>
      </c>
      <c r="M8291" t="inlineStr">
        <is>
          <t>20:53:00</t>
        </is>
      </c>
      <c r="Q8291" t="inlineStr">
        <is>
          <t>1</t>
        </is>
      </c>
    </row>
    <row r="8292" ht="15" customHeight="1" s="37">
      <c r="A8292" t="n">
        <v>24</v>
      </c>
      <c r="B8292" s="10" t="inlineStr">
        <is>
          <t>平日</t>
        </is>
      </c>
      <c r="C8292" s="10" t="inlineStr">
        <is>
          <t>北野線</t>
        </is>
      </c>
      <c r="D8292" s="10" t="inlineStr">
        <is>
          <t>下り</t>
        </is>
      </c>
      <c r="E8292" t="inlineStr">
        <is>
          <t>2061</t>
        </is>
      </c>
      <c r="F8292" t="inlineStr">
        <is>
          <t>0453</t>
        </is>
      </c>
      <c r="G8292" s="10" t="inlineStr">
        <is>
          <t>等持院</t>
        </is>
      </c>
      <c r="H8292" s="10" t="inlineStr">
        <is>
          <t>発</t>
        </is>
      </c>
      <c r="J8292" s="10" t="inlineStr">
        <is>
          <t>営業</t>
        </is>
      </c>
      <c r="L8292" t="inlineStr">
        <is>
          <t>20:54:25</t>
        </is>
      </c>
      <c r="M8292" t="inlineStr">
        <is>
          <t>20:54:35</t>
        </is>
      </c>
    </row>
    <row r="8293" ht="15" customHeight="1" s="37">
      <c r="A8293" t="n">
        <v>24</v>
      </c>
      <c r="B8293" s="10" t="inlineStr">
        <is>
          <t>平日</t>
        </is>
      </c>
      <c r="C8293" s="10" t="inlineStr">
        <is>
          <t>北野線</t>
        </is>
      </c>
      <c r="D8293" s="10" t="inlineStr">
        <is>
          <t>下り</t>
        </is>
      </c>
      <c r="E8293" t="inlineStr">
        <is>
          <t>2061</t>
        </is>
      </c>
      <c r="F8293" t="inlineStr">
        <is>
          <t>0453</t>
        </is>
      </c>
      <c r="G8293" s="10" t="inlineStr">
        <is>
          <t>龍安寺</t>
        </is>
      </c>
      <c r="H8293" s="10" t="inlineStr">
        <is>
          <t>発</t>
        </is>
      </c>
      <c r="J8293" s="10" t="inlineStr">
        <is>
          <t>営業</t>
        </is>
      </c>
      <c r="L8293" t="inlineStr">
        <is>
          <t>20:55:25</t>
        </is>
      </c>
      <c r="M8293" t="inlineStr">
        <is>
          <t>20:55:50</t>
        </is>
      </c>
    </row>
    <row r="8294" ht="15" customHeight="1" s="37">
      <c r="A8294" t="n">
        <v>24</v>
      </c>
      <c r="B8294" s="10" t="inlineStr">
        <is>
          <t>平日</t>
        </is>
      </c>
      <c r="C8294" s="10" t="inlineStr">
        <is>
          <t>北野線</t>
        </is>
      </c>
      <c r="D8294" s="10" t="inlineStr">
        <is>
          <t>下り</t>
        </is>
      </c>
      <c r="E8294" t="inlineStr">
        <is>
          <t>2061</t>
        </is>
      </c>
      <c r="F8294" t="inlineStr">
        <is>
          <t>0453</t>
        </is>
      </c>
      <c r="G8294" s="10" t="inlineStr">
        <is>
          <t>妙心寺</t>
        </is>
      </c>
      <c r="H8294" s="10" t="inlineStr">
        <is>
          <t>発</t>
        </is>
      </c>
      <c r="J8294" s="10" t="inlineStr">
        <is>
          <t>営業</t>
        </is>
      </c>
      <c r="L8294" t="inlineStr">
        <is>
          <t>20:56:40</t>
        </is>
      </c>
      <c r="M8294" t="inlineStr">
        <is>
          <t>20:56:50</t>
        </is>
      </c>
    </row>
    <row r="8295" ht="15" customHeight="1" s="37">
      <c r="A8295" t="n">
        <v>24</v>
      </c>
      <c r="B8295" s="10" t="inlineStr">
        <is>
          <t>平日</t>
        </is>
      </c>
      <c r="C8295" s="10" t="inlineStr">
        <is>
          <t>北野線</t>
        </is>
      </c>
      <c r="D8295" s="10" t="inlineStr">
        <is>
          <t>下り</t>
        </is>
      </c>
      <c r="E8295" t="inlineStr">
        <is>
          <t>2061</t>
        </is>
      </c>
      <c r="F8295" t="inlineStr">
        <is>
          <t>0453</t>
        </is>
      </c>
      <c r="G8295" s="10" t="inlineStr">
        <is>
          <t>御室仁和寺</t>
        </is>
      </c>
      <c r="H8295" s="10" t="inlineStr">
        <is>
          <t>発</t>
        </is>
      </c>
      <c r="J8295" s="10" t="inlineStr">
        <is>
          <t>営業</t>
        </is>
      </c>
      <c r="L8295" t="inlineStr">
        <is>
          <t>20:57:50</t>
        </is>
      </c>
      <c r="M8295" t="inlineStr">
        <is>
          <t>20:58:05</t>
        </is>
      </c>
    </row>
    <row r="8296" ht="15" customHeight="1" s="37">
      <c r="A8296" t="n">
        <v>24</v>
      </c>
      <c r="B8296" s="10" t="inlineStr">
        <is>
          <t>平日</t>
        </is>
      </c>
      <c r="C8296" s="10" t="inlineStr">
        <is>
          <t>北野線</t>
        </is>
      </c>
      <c r="D8296" s="10" t="inlineStr">
        <is>
          <t>下り</t>
        </is>
      </c>
      <c r="E8296" t="inlineStr">
        <is>
          <t>2061</t>
        </is>
      </c>
      <c r="F8296" t="inlineStr">
        <is>
          <t>0453</t>
        </is>
      </c>
      <c r="G8296" s="10" t="inlineStr">
        <is>
          <t>宇多野</t>
        </is>
      </c>
      <c r="H8296" s="10" t="inlineStr">
        <is>
          <t>発</t>
        </is>
      </c>
      <c r="J8296" s="10" t="inlineStr">
        <is>
          <t>営業</t>
        </is>
      </c>
      <c r="L8296" t="inlineStr">
        <is>
          <t>20:59:05</t>
        </is>
      </c>
      <c r="M8296" t="inlineStr">
        <is>
          <t>20:59:15</t>
        </is>
      </c>
    </row>
    <row r="8297" ht="15" customHeight="1" s="37">
      <c r="A8297" t="n">
        <v>24</v>
      </c>
      <c r="B8297" s="10" t="inlineStr">
        <is>
          <t>平日</t>
        </is>
      </c>
      <c r="C8297" s="10" t="inlineStr">
        <is>
          <t>北野線</t>
        </is>
      </c>
      <c r="D8297" s="10" t="inlineStr">
        <is>
          <t>下り</t>
        </is>
      </c>
      <c r="E8297" t="inlineStr">
        <is>
          <t>2061</t>
        </is>
      </c>
      <c r="F8297" t="inlineStr">
        <is>
          <t>0453</t>
        </is>
      </c>
      <c r="G8297" s="10" t="inlineStr">
        <is>
          <t>鳴滝</t>
        </is>
      </c>
      <c r="H8297" s="10" t="inlineStr">
        <is>
          <t>発</t>
        </is>
      </c>
      <c r="J8297" s="10" t="inlineStr">
        <is>
          <t>営業</t>
        </is>
      </c>
      <c r="L8297" t="inlineStr">
        <is>
          <t>21:00:35</t>
        </is>
      </c>
      <c r="M8297" t="inlineStr">
        <is>
          <t>21:00:45</t>
        </is>
      </c>
    </row>
    <row r="8298" ht="15" customHeight="1" s="37">
      <c r="A8298" t="n">
        <v>24</v>
      </c>
      <c r="B8298" s="10" t="inlineStr">
        <is>
          <t>平日</t>
        </is>
      </c>
      <c r="C8298" s="10" t="inlineStr">
        <is>
          <t>北野線</t>
        </is>
      </c>
      <c r="D8298" s="10" t="inlineStr">
        <is>
          <t>下り</t>
        </is>
      </c>
      <c r="E8298" t="inlineStr">
        <is>
          <t>2061</t>
        </is>
      </c>
      <c r="F8298" t="inlineStr">
        <is>
          <t>0453</t>
        </is>
      </c>
      <c r="G8298" s="10" t="inlineStr">
        <is>
          <t>常盤</t>
        </is>
      </c>
      <c r="H8298" s="10" t="inlineStr">
        <is>
          <t>発</t>
        </is>
      </c>
      <c r="J8298" s="10" t="inlineStr">
        <is>
          <t>営業</t>
        </is>
      </c>
      <c r="L8298" t="inlineStr">
        <is>
          <t>21:01:35</t>
        </is>
      </c>
      <c r="M8298" t="inlineStr">
        <is>
          <t>21:01:55</t>
        </is>
      </c>
    </row>
    <row r="8299" ht="15" customHeight="1" s="37">
      <c r="A8299" t="n">
        <v>24</v>
      </c>
      <c r="B8299" s="10" t="inlineStr">
        <is>
          <t>平日</t>
        </is>
      </c>
      <c r="C8299" s="10" t="inlineStr">
        <is>
          <t>北野線</t>
        </is>
      </c>
      <c r="D8299" s="10" t="inlineStr">
        <is>
          <t>下り</t>
        </is>
      </c>
      <c r="E8299" t="inlineStr">
        <is>
          <t>2061</t>
        </is>
      </c>
      <c r="F8299" t="inlineStr">
        <is>
          <t>0453</t>
        </is>
      </c>
      <c r="G8299" s="10" t="inlineStr">
        <is>
          <t>撮影所前</t>
        </is>
      </c>
      <c r="H8299" s="10" t="inlineStr">
        <is>
          <t>発</t>
        </is>
      </c>
      <c r="J8299" s="10" t="inlineStr">
        <is>
          <t>営業</t>
        </is>
      </c>
      <c r="L8299" t="inlineStr">
        <is>
          <t>21:03:15</t>
        </is>
      </c>
      <c r="M8299" t="inlineStr">
        <is>
          <t>21:03:30</t>
        </is>
      </c>
    </row>
    <row r="8300" ht="15" customHeight="1" s="37">
      <c r="A8300" t="n">
        <v>24</v>
      </c>
      <c r="B8300" s="10" t="inlineStr">
        <is>
          <t>平日</t>
        </is>
      </c>
      <c r="C8300" s="10" t="inlineStr">
        <is>
          <t>北野線</t>
        </is>
      </c>
      <c r="D8300" s="10" t="inlineStr">
        <is>
          <t>下り</t>
        </is>
      </c>
      <c r="E8300" t="inlineStr">
        <is>
          <t>2061</t>
        </is>
      </c>
      <c r="F8300" t="inlineStr">
        <is>
          <t>0453</t>
        </is>
      </c>
      <c r="G8300" s="10" t="inlineStr">
        <is>
          <t>帷子ノ辻</t>
        </is>
      </c>
      <c r="H8300" s="10" t="inlineStr">
        <is>
          <t>着</t>
        </is>
      </c>
      <c r="J8300" s="10" t="inlineStr">
        <is>
          <t>営業</t>
        </is>
      </c>
      <c r="L8300" t="inlineStr">
        <is>
          <t>21:04:25</t>
        </is>
      </c>
      <c r="Q8300" t="inlineStr">
        <is>
          <t>3</t>
        </is>
      </c>
    </row>
    <row r="8301" ht="15" customHeight="1" s="37">
      <c r="A8301" t="n">
        <v>24</v>
      </c>
      <c r="B8301" s="10" t="inlineStr">
        <is>
          <t>平日</t>
        </is>
      </c>
      <c r="C8301" s="10" t="inlineStr">
        <is>
          <t>北野線</t>
        </is>
      </c>
      <c r="D8301" s="10" t="inlineStr">
        <is>
          <t>上り</t>
        </is>
      </c>
      <c r="E8301" t="inlineStr">
        <is>
          <t>2154</t>
        </is>
      </c>
      <c r="F8301" t="inlineStr">
        <is>
          <t>0304</t>
        </is>
      </c>
      <c r="G8301" s="10" t="inlineStr">
        <is>
          <t>帷子ノ辻</t>
        </is>
      </c>
      <c r="H8301" s="10" t="inlineStr">
        <is>
          <t>発</t>
        </is>
      </c>
      <c r="J8301" s="10" t="inlineStr">
        <is>
          <t>営業</t>
        </is>
      </c>
      <c r="M8301" t="inlineStr">
        <is>
          <t>21:16:25</t>
        </is>
      </c>
      <c r="Q8301" t="inlineStr">
        <is>
          <t>3</t>
        </is>
      </c>
      <c r="U8301" t="inlineStr">
        <is>
          <t>→帷子ノ辻 休憩(21:44〜22:25)</t>
        </is>
      </c>
    </row>
    <row r="8302" ht="15" customHeight="1" s="37">
      <c r="A8302" t="n">
        <v>24</v>
      </c>
      <c r="B8302" s="10" t="inlineStr">
        <is>
          <t>平日</t>
        </is>
      </c>
      <c r="C8302" s="10" t="inlineStr">
        <is>
          <t>北野線</t>
        </is>
      </c>
      <c r="D8302" s="10" t="inlineStr">
        <is>
          <t>上り</t>
        </is>
      </c>
      <c r="E8302" t="inlineStr">
        <is>
          <t>2154</t>
        </is>
      </c>
      <c r="F8302" t="inlineStr">
        <is>
          <t>0304</t>
        </is>
      </c>
      <c r="G8302" s="10" t="inlineStr">
        <is>
          <t>撮影所前</t>
        </is>
      </c>
      <c r="H8302" s="10" t="inlineStr">
        <is>
          <t>発</t>
        </is>
      </c>
      <c r="J8302" s="10" t="inlineStr">
        <is>
          <t>営業</t>
        </is>
      </c>
      <c r="L8302" t="inlineStr">
        <is>
          <t>21:17:25</t>
        </is>
      </c>
      <c r="M8302" t="inlineStr">
        <is>
          <t>21:17:40</t>
        </is>
      </c>
      <c r="U8302" t="inlineStr">
        <is>
          <t>→帷子ノ辻 休憩(21:44〜22:25)</t>
        </is>
      </c>
    </row>
    <row r="8303" ht="15" customHeight="1" s="37">
      <c r="A8303" t="n">
        <v>24</v>
      </c>
      <c r="B8303" s="10" t="inlineStr">
        <is>
          <t>平日</t>
        </is>
      </c>
      <c r="C8303" s="10" t="inlineStr">
        <is>
          <t>北野線</t>
        </is>
      </c>
      <c r="D8303" s="10" t="inlineStr">
        <is>
          <t>上り</t>
        </is>
      </c>
      <c r="E8303" t="inlineStr">
        <is>
          <t>2154</t>
        </is>
      </c>
      <c r="F8303" t="inlineStr">
        <is>
          <t>0304</t>
        </is>
      </c>
      <c r="G8303" s="10" t="inlineStr">
        <is>
          <t>常盤</t>
        </is>
      </c>
      <c r="H8303" s="10" t="inlineStr">
        <is>
          <t>発</t>
        </is>
      </c>
      <c r="J8303" s="10" t="inlineStr">
        <is>
          <t>営業</t>
        </is>
      </c>
      <c r="L8303" t="inlineStr">
        <is>
          <t>21:19:00</t>
        </is>
      </c>
      <c r="M8303" t="inlineStr">
        <is>
          <t>21:19:20</t>
        </is>
      </c>
      <c r="U8303" t="inlineStr">
        <is>
          <t>→帷子ノ辻 休憩(21:44〜22:25)</t>
        </is>
      </c>
    </row>
    <row r="8304" ht="15" customHeight="1" s="37">
      <c r="A8304" t="n">
        <v>24</v>
      </c>
      <c r="B8304" s="10" t="inlineStr">
        <is>
          <t>平日</t>
        </is>
      </c>
      <c r="C8304" s="10" t="inlineStr">
        <is>
          <t>北野線</t>
        </is>
      </c>
      <c r="D8304" s="10" t="inlineStr">
        <is>
          <t>上り</t>
        </is>
      </c>
      <c r="E8304" t="inlineStr">
        <is>
          <t>2154</t>
        </is>
      </c>
      <c r="F8304" t="inlineStr">
        <is>
          <t>0304</t>
        </is>
      </c>
      <c r="G8304" s="10" t="inlineStr">
        <is>
          <t>鳴滝</t>
        </is>
      </c>
      <c r="H8304" s="10" t="inlineStr">
        <is>
          <t>発</t>
        </is>
      </c>
      <c r="J8304" s="10" t="inlineStr">
        <is>
          <t>営業</t>
        </is>
      </c>
      <c r="L8304" t="inlineStr">
        <is>
          <t>21:20:20</t>
        </is>
      </c>
      <c r="M8304" t="inlineStr">
        <is>
          <t>21:20:40</t>
        </is>
      </c>
      <c r="U8304" t="inlineStr">
        <is>
          <t>→帷子ノ辻 休憩(21:44〜22:25)</t>
        </is>
      </c>
    </row>
    <row r="8305" ht="15" customHeight="1" s="37">
      <c r="A8305" t="n">
        <v>24</v>
      </c>
      <c r="B8305" s="10" t="inlineStr">
        <is>
          <t>平日</t>
        </is>
      </c>
      <c r="C8305" s="10" t="inlineStr">
        <is>
          <t>北野線</t>
        </is>
      </c>
      <c r="D8305" s="10" t="inlineStr">
        <is>
          <t>上り</t>
        </is>
      </c>
      <c r="E8305" t="inlineStr">
        <is>
          <t>2154</t>
        </is>
      </c>
      <c r="F8305" t="inlineStr">
        <is>
          <t>0304</t>
        </is>
      </c>
      <c r="G8305" s="10" t="inlineStr">
        <is>
          <t>宇多野</t>
        </is>
      </c>
      <c r="H8305" s="10" t="inlineStr">
        <is>
          <t>発</t>
        </is>
      </c>
      <c r="J8305" s="10" t="inlineStr">
        <is>
          <t>営業</t>
        </is>
      </c>
      <c r="L8305" t="inlineStr">
        <is>
          <t>21:22:00</t>
        </is>
      </c>
      <c r="M8305" t="inlineStr">
        <is>
          <t>21:22:15</t>
        </is>
      </c>
      <c r="U8305" t="inlineStr">
        <is>
          <t>→帷子ノ辻 休憩(21:44〜22:25)</t>
        </is>
      </c>
    </row>
    <row r="8306" ht="15" customHeight="1" s="37">
      <c r="A8306" t="n">
        <v>24</v>
      </c>
      <c r="B8306" s="10" t="inlineStr">
        <is>
          <t>平日</t>
        </is>
      </c>
      <c r="C8306" s="10" t="inlineStr">
        <is>
          <t>北野線</t>
        </is>
      </c>
      <c r="D8306" s="10" t="inlineStr">
        <is>
          <t>上り</t>
        </is>
      </c>
      <c r="E8306" t="inlineStr">
        <is>
          <t>2154</t>
        </is>
      </c>
      <c r="F8306" t="inlineStr">
        <is>
          <t>0304</t>
        </is>
      </c>
      <c r="G8306" s="10" t="inlineStr">
        <is>
          <t>御室仁和寺</t>
        </is>
      </c>
      <c r="H8306" s="10" t="inlineStr">
        <is>
          <t>発</t>
        </is>
      </c>
      <c r="J8306" s="10" t="inlineStr">
        <is>
          <t>営業</t>
        </is>
      </c>
      <c r="L8306" t="inlineStr">
        <is>
          <t>21:23:15</t>
        </is>
      </c>
      <c r="M8306" t="inlineStr">
        <is>
          <t>21:23:35</t>
        </is>
      </c>
      <c r="U8306" t="inlineStr">
        <is>
          <t>→帷子ノ辻 休憩(21:44〜22:25)</t>
        </is>
      </c>
    </row>
    <row r="8307" ht="15" customHeight="1" s="37">
      <c r="A8307" t="n">
        <v>24</v>
      </c>
      <c r="B8307" s="10" t="inlineStr">
        <is>
          <t>平日</t>
        </is>
      </c>
      <c r="C8307" s="10" t="inlineStr">
        <is>
          <t>北野線</t>
        </is>
      </c>
      <c r="D8307" s="10" t="inlineStr">
        <is>
          <t>上り</t>
        </is>
      </c>
      <c r="E8307" t="inlineStr">
        <is>
          <t>2154</t>
        </is>
      </c>
      <c r="F8307" t="inlineStr">
        <is>
          <t>0304</t>
        </is>
      </c>
      <c r="G8307" s="10" t="inlineStr">
        <is>
          <t>妙心寺</t>
        </is>
      </c>
      <c r="H8307" s="10" t="inlineStr">
        <is>
          <t>発</t>
        </is>
      </c>
      <c r="J8307" s="10" t="inlineStr">
        <is>
          <t>営業</t>
        </is>
      </c>
      <c r="L8307" t="inlineStr">
        <is>
          <t>21:24:35</t>
        </is>
      </c>
      <c r="M8307" t="inlineStr">
        <is>
          <t>21:24:50</t>
        </is>
      </c>
      <c r="U8307" t="inlineStr">
        <is>
          <t>→帷子ノ辻 休憩(21:44〜22:25)</t>
        </is>
      </c>
    </row>
    <row r="8308" ht="15" customHeight="1" s="37">
      <c r="A8308" t="n">
        <v>24</v>
      </c>
      <c r="B8308" s="10" t="inlineStr">
        <is>
          <t>平日</t>
        </is>
      </c>
      <c r="C8308" s="10" t="inlineStr">
        <is>
          <t>北野線</t>
        </is>
      </c>
      <c r="D8308" s="10" t="inlineStr">
        <is>
          <t>上り</t>
        </is>
      </c>
      <c r="E8308" t="inlineStr">
        <is>
          <t>2154</t>
        </is>
      </c>
      <c r="F8308" t="inlineStr">
        <is>
          <t>0304</t>
        </is>
      </c>
      <c r="G8308" s="10" t="inlineStr">
        <is>
          <t>龍安寺</t>
        </is>
      </c>
      <c r="H8308" s="10" t="inlineStr">
        <is>
          <t>発</t>
        </is>
      </c>
      <c r="J8308" s="10" t="inlineStr">
        <is>
          <t>営業</t>
        </is>
      </c>
      <c r="L8308" t="inlineStr">
        <is>
          <t>21:25:45</t>
        </is>
      </c>
      <c r="M8308" t="inlineStr">
        <is>
          <t>21:25:55</t>
        </is>
      </c>
      <c r="U8308" t="inlineStr">
        <is>
          <t>→帷子ノ辻 休憩(21:44〜22:25)</t>
        </is>
      </c>
    </row>
    <row r="8309" ht="15" customHeight="1" s="37">
      <c r="A8309" t="n">
        <v>24</v>
      </c>
      <c r="B8309" s="10" t="inlineStr">
        <is>
          <t>平日</t>
        </is>
      </c>
      <c r="C8309" s="10" t="inlineStr">
        <is>
          <t>北野線</t>
        </is>
      </c>
      <c r="D8309" s="10" t="inlineStr">
        <is>
          <t>上り</t>
        </is>
      </c>
      <c r="E8309" t="inlineStr">
        <is>
          <t>2154</t>
        </is>
      </c>
      <c r="F8309" t="inlineStr">
        <is>
          <t>0304</t>
        </is>
      </c>
      <c r="G8309" s="10" t="inlineStr">
        <is>
          <t>等持院</t>
        </is>
      </c>
      <c r="H8309" s="10" t="inlineStr">
        <is>
          <t>発</t>
        </is>
      </c>
      <c r="J8309" s="10" t="inlineStr">
        <is>
          <t>営業</t>
        </is>
      </c>
      <c r="L8309" t="inlineStr">
        <is>
          <t>21:26:35</t>
        </is>
      </c>
      <c r="M8309" t="inlineStr">
        <is>
          <t>21:26:55</t>
        </is>
      </c>
      <c r="U8309" t="inlineStr">
        <is>
          <t>→帷子ノ辻 休憩(21:44〜22:25)</t>
        </is>
      </c>
    </row>
    <row r="8310" ht="15" customHeight="1" s="37">
      <c r="A8310" t="n">
        <v>24</v>
      </c>
      <c r="B8310" s="10" t="inlineStr">
        <is>
          <t>平日</t>
        </is>
      </c>
      <c r="C8310" s="10" t="inlineStr">
        <is>
          <t>北野線</t>
        </is>
      </c>
      <c r="D8310" s="10" t="inlineStr">
        <is>
          <t>上り</t>
        </is>
      </c>
      <c r="E8310" t="inlineStr">
        <is>
          <t>2154</t>
        </is>
      </c>
      <c r="F8310" t="inlineStr">
        <is>
          <t>0304</t>
        </is>
      </c>
      <c r="G8310" s="10" t="inlineStr">
        <is>
          <t>北野白梅町</t>
        </is>
      </c>
      <c r="H8310" s="10" t="inlineStr">
        <is>
          <t>着</t>
        </is>
      </c>
      <c r="J8310" s="10" t="inlineStr">
        <is>
          <t>営業</t>
        </is>
      </c>
      <c r="L8310" t="inlineStr">
        <is>
          <t>21:28:15</t>
        </is>
      </c>
      <c r="N8310" t="inlineStr">
        <is>
          <t>○</t>
        </is>
      </c>
      <c r="Q8310" t="inlineStr">
        <is>
          <t>1</t>
        </is>
      </c>
      <c r="U8310" t="inlineStr">
        <is>
          <t>→帷子ノ辻 休憩(21:44〜22:25)</t>
        </is>
      </c>
    </row>
    <row r="8311" ht="15" customHeight="1" s="37">
      <c r="A8311" t="n">
        <v>24</v>
      </c>
      <c r="B8311" s="10" t="inlineStr">
        <is>
          <t>平日</t>
        </is>
      </c>
      <c r="C8311" s="10" t="inlineStr">
        <is>
          <t>北野線</t>
        </is>
      </c>
      <c r="D8311" s="10" t="inlineStr">
        <is>
          <t>下り</t>
        </is>
      </c>
      <c r="E8311" t="inlineStr">
        <is>
          <t>2157</t>
        </is>
      </c>
      <c r="F8311" t="inlineStr">
        <is>
          <t>0453</t>
        </is>
      </c>
      <c r="G8311" s="10" t="inlineStr">
        <is>
          <t>北野白梅町</t>
        </is>
      </c>
      <c r="H8311" s="10" t="inlineStr">
        <is>
          <t>発</t>
        </is>
      </c>
      <c r="J8311" s="10" t="inlineStr">
        <is>
          <t>営業</t>
        </is>
      </c>
      <c r="M8311" t="inlineStr">
        <is>
          <t>21:33:00</t>
        </is>
      </c>
      <c r="Q8311" t="inlineStr">
        <is>
          <t>1</t>
        </is>
      </c>
      <c r="U8311" t="inlineStr">
        <is>
          <t>→帷子ノ辻 休憩(21:44〜22:25)</t>
        </is>
      </c>
    </row>
    <row r="8312" ht="15" customHeight="1" s="37">
      <c r="A8312" t="n">
        <v>24</v>
      </c>
      <c r="B8312" s="10" t="inlineStr">
        <is>
          <t>平日</t>
        </is>
      </c>
      <c r="C8312" s="10" t="inlineStr">
        <is>
          <t>北野線</t>
        </is>
      </c>
      <c r="D8312" s="10" t="inlineStr">
        <is>
          <t>下り</t>
        </is>
      </c>
      <c r="E8312" t="inlineStr">
        <is>
          <t>2157</t>
        </is>
      </c>
      <c r="F8312" t="inlineStr">
        <is>
          <t>0453</t>
        </is>
      </c>
      <c r="G8312" s="10" t="inlineStr">
        <is>
          <t>等持院</t>
        </is>
      </c>
      <c r="H8312" s="10" t="inlineStr">
        <is>
          <t>発</t>
        </is>
      </c>
      <c r="J8312" s="10" t="inlineStr">
        <is>
          <t>営業</t>
        </is>
      </c>
      <c r="L8312" t="inlineStr">
        <is>
          <t>21:34:25</t>
        </is>
      </c>
      <c r="M8312" t="inlineStr">
        <is>
          <t>21:34:35</t>
        </is>
      </c>
      <c r="U8312" t="inlineStr">
        <is>
          <t>→帷子ノ辻 休憩(21:44〜22:25)</t>
        </is>
      </c>
    </row>
    <row r="8313" ht="15" customHeight="1" s="37">
      <c r="A8313" t="n">
        <v>24</v>
      </c>
      <c r="B8313" s="10" t="inlineStr">
        <is>
          <t>平日</t>
        </is>
      </c>
      <c r="C8313" s="10" t="inlineStr">
        <is>
          <t>北野線</t>
        </is>
      </c>
      <c r="D8313" s="10" t="inlineStr">
        <is>
          <t>下り</t>
        </is>
      </c>
      <c r="E8313" t="inlineStr">
        <is>
          <t>2157</t>
        </is>
      </c>
      <c r="F8313" t="inlineStr">
        <is>
          <t>0453</t>
        </is>
      </c>
      <c r="G8313" s="10" t="inlineStr">
        <is>
          <t>龍安寺</t>
        </is>
      </c>
      <c r="H8313" s="10" t="inlineStr">
        <is>
          <t>発</t>
        </is>
      </c>
      <c r="J8313" s="10" t="inlineStr">
        <is>
          <t>営業</t>
        </is>
      </c>
      <c r="L8313" t="inlineStr">
        <is>
          <t>21:35:25</t>
        </is>
      </c>
      <c r="M8313" t="inlineStr">
        <is>
          <t>21:35:50</t>
        </is>
      </c>
      <c r="U8313" t="inlineStr">
        <is>
          <t>→帷子ノ辻 休憩(21:44〜22:25)</t>
        </is>
      </c>
    </row>
    <row r="8314" ht="15" customHeight="1" s="37">
      <c r="A8314" t="n">
        <v>24</v>
      </c>
      <c r="B8314" s="10" t="inlineStr">
        <is>
          <t>平日</t>
        </is>
      </c>
      <c r="C8314" s="10" t="inlineStr">
        <is>
          <t>北野線</t>
        </is>
      </c>
      <c r="D8314" s="10" t="inlineStr">
        <is>
          <t>下り</t>
        </is>
      </c>
      <c r="E8314" t="inlineStr">
        <is>
          <t>2157</t>
        </is>
      </c>
      <c r="F8314" t="inlineStr">
        <is>
          <t>0453</t>
        </is>
      </c>
      <c r="G8314" s="10" t="inlineStr">
        <is>
          <t>妙心寺</t>
        </is>
      </c>
      <c r="H8314" s="10" t="inlineStr">
        <is>
          <t>発</t>
        </is>
      </c>
      <c r="J8314" s="10" t="inlineStr">
        <is>
          <t>営業</t>
        </is>
      </c>
      <c r="L8314" t="inlineStr">
        <is>
          <t>21:36:40</t>
        </is>
      </c>
      <c r="M8314" t="inlineStr">
        <is>
          <t>21:36:50</t>
        </is>
      </c>
      <c r="U8314" t="inlineStr">
        <is>
          <t>→帷子ノ辻 休憩(21:44〜22:25)</t>
        </is>
      </c>
    </row>
    <row r="8315" ht="15" customHeight="1" s="37">
      <c r="A8315" t="n">
        <v>24</v>
      </c>
      <c r="B8315" s="10" t="inlineStr">
        <is>
          <t>平日</t>
        </is>
      </c>
      <c r="C8315" s="10" t="inlineStr">
        <is>
          <t>北野線</t>
        </is>
      </c>
      <c r="D8315" s="10" t="inlineStr">
        <is>
          <t>下り</t>
        </is>
      </c>
      <c r="E8315" t="inlineStr">
        <is>
          <t>2157</t>
        </is>
      </c>
      <c r="F8315" t="inlineStr">
        <is>
          <t>0453</t>
        </is>
      </c>
      <c r="G8315" s="10" t="inlineStr">
        <is>
          <t>御室仁和寺</t>
        </is>
      </c>
      <c r="H8315" s="10" t="inlineStr">
        <is>
          <t>発</t>
        </is>
      </c>
      <c r="J8315" s="10" t="inlineStr">
        <is>
          <t>営業</t>
        </is>
      </c>
      <c r="L8315" t="inlineStr">
        <is>
          <t>21:37:50</t>
        </is>
      </c>
      <c r="M8315" t="inlineStr">
        <is>
          <t>21:38:05</t>
        </is>
      </c>
      <c r="U8315" t="inlineStr">
        <is>
          <t>→帷子ノ辻 休憩(21:44〜22:25)</t>
        </is>
      </c>
    </row>
    <row r="8316" ht="15" customHeight="1" s="37">
      <c r="A8316" t="n">
        <v>24</v>
      </c>
      <c r="B8316" s="10" t="inlineStr">
        <is>
          <t>平日</t>
        </is>
      </c>
      <c r="C8316" s="10" t="inlineStr">
        <is>
          <t>北野線</t>
        </is>
      </c>
      <c r="D8316" s="10" t="inlineStr">
        <is>
          <t>下り</t>
        </is>
      </c>
      <c r="E8316" t="inlineStr">
        <is>
          <t>2157</t>
        </is>
      </c>
      <c r="F8316" t="inlineStr">
        <is>
          <t>0453</t>
        </is>
      </c>
      <c r="G8316" s="10" t="inlineStr">
        <is>
          <t>宇多野</t>
        </is>
      </c>
      <c r="H8316" s="10" t="inlineStr">
        <is>
          <t>発</t>
        </is>
      </c>
      <c r="J8316" s="10" t="inlineStr">
        <is>
          <t>営業</t>
        </is>
      </c>
      <c r="L8316" t="inlineStr">
        <is>
          <t>21:39:05</t>
        </is>
      </c>
      <c r="M8316" t="inlineStr">
        <is>
          <t>21:39:15</t>
        </is>
      </c>
      <c r="U8316" t="inlineStr">
        <is>
          <t>→帷子ノ辻 休憩(21:44〜22:25)</t>
        </is>
      </c>
    </row>
    <row r="8317" ht="15" customHeight="1" s="37">
      <c r="A8317" t="n">
        <v>24</v>
      </c>
      <c r="B8317" s="10" t="inlineStr">
        <is>
          <t>平日</t>
        </is>
      </c>
      <c r="C8317" s="10" t="inlineStr">
        <is>
          <t>北野線</t>
        </is>
      </c>
      <c r="D8317" s="10" t="inlineStr">
        <is>
          <t>下り</t>
        </is>
      </c>
      <c r="E8317" t="inlineStr">
        <is>
          <t>2157</t>
        </is>
      </c>
      <c r="F8317" t="inlineStr">
        <is>
          <t>0453</t>
        </is>
      </c>
      <c r="G8317" s="10" t="inlineStr">
        <is>
          <t>鳴滝</t>
        </is>
      </c>
      <c r="H8317" s="10" t="inlineStr">
        <is>
          <t>発</t>
        </is>
      </c>
      <c r="J8317" s="10" t="inlineStr">
        <is>
          <t>営業</t>
        </is>
      </c>
      <c r="L8317" t="inlineStr">
        <is>
          <t>21:40:35</t>
        </is>
      </c>
      <c r="M8317" t="inlineStr">
        <is>
          <t>21:40:45</t>
        </is>
      </c>
      <c r="U8317" t="inlineStr">
        <is>
          <t>→帷子ノ辻 休憩(21:44〜22:25)</t>
        </is>
      </c>
    </row>
    <row r="8318" ht="15" customHeight="1" s="37">
      <c r="A8318" t="n">
        <v>24</v>
      </c>
      <c r="B8318" s="10" t="inlineStr">
        <is>
          <t>平日</t>
        </is>
      </c>
      <c r="C8318" s="10" t="inlineStr">
        <is>
          <t>北野線</t>
        </is>
      </c>
      <c r="D8318" s="10" t="inlineStr">
        <is>
          <t>下り</t>
        </is>
      </c>
      <c r="E8318" t="inlineStr">
        <is>
          <t>2157</t>
        </is>
      </c>
      <c r="F8318" t="inlineStr">
        <is>
          <t>0453</t>
        </is>
      </c>
      <c r="G8318" s="10" t="inlineStr">
        <is>
          <t>常盤</t>
        </is>
      </c>
      <c r="H8318" s="10" t="inlineStr">
        <is>
          <t>発</t>
        </is>
      </c>
      <c r="J8318" s="10" t="inlineStr">
        <is>
          <t>営業</t>
        </is>
      </c>
      <c r="L8318" t="inlineStr">
        <is>
          <t>21:41:35</t>
        </is>
      </c>
      <c r="M8318" t="inlineStr">
        <is>
          <t>21:41:55</t>
        </is>
      </c>
      <c r="U8318" t="inlineStr">
        <is>
          <t>→帷子ノ辻 休憩(21:44〜22:25)</t>
        </is>
      </c>
    </row>
    <row r="8319" ht="15" customHeight="1" s="37">
      <c r="A8319" t="n">
        <v>24</v>
      </c>
      <c r="B8319" s="10" t="inlineStr">
        <is>
          <t>平日</t>
        </is>
      </c>
      <c r="C8319" s="10" t="inlineStr">
        <is>
          <t>北野線</t>
        </is>
      </c>
      <c r="D8319" s="10" t="inlineStr">
        <is>
          <t>下り</t>
        </is>
      </c>
      <c r="E8319" t="inlineStr">
        <is>
          <t>2157</t>
        </is>
      </c>
      <c r="F8319" t="inlineStr">
        <is>
          <t>0453</t>
        </is>
      </c>
      <c r="G8319" s="10" t="inlineStr">
        <is>
          <t>撮影所前</t>
        </is>
      </c>
      <c r="H8319" s="10" t="inlineStr">
        <is>
          <t>発</t>
        </is>
      </c>
      <c r="J8319" s="10" t="inlineStr">
        <is>
          <t>営業</t>
        </is>
      </c>
      <c r="L8319" t="inlineStr">
        <is>
          <t>21:43:15</t>
        </is>
      </c>
      <c r="M8319" t="inlineStr">
        <is>
          <t>21:43:30</t>
        </is>
      </c>
      <c r="U8319" t="inlineStr">
        <is>
          <t>→帷子ノ辻 休憩(21:44〜22:25)</t>
        </is>
      </c>
    </row>
    <row r="8320" ht="15" customHeight="1" s="37">
      <c r="A8320" t="n">
        <v>24</v>
      </c>
      <c r="B8320" s="10" t="inlineStr">
        <is>
          <t>平日</t>
        </is>
      </c>
      <c r="C8320" s="10" t="inlineStr">
        <is>
          <t>北野線</t>
        </is>
      </c>
      <c r="D8320" s="10" t="inlineStr">
        <is>
          <t>下り</t>
        </is>
      </c>
      <c r="E8320" t="inlineStr">
        <is>
          <t>2157</t>
        </is>
      </c>
      <c r="F8320" t="inlineStr">
        <is>
          <t>0453</t>
        </is>
      </c>
      <c r="G8320" s="10" t="inlineStr">
        <is>
          <t>帷子ノ辻</t>
        </is>
      </c>
      <c r="H8320" s="10" t="inlineStr">
        <is>
          <t>着</t>
        </is>
      </c>
      <c r="J8320" s="10" t="inlineStr">
        <is>
          <t>営業</t>
        </is>
      </c>
      <c r="L8320" t="inlineStr">
        <is>
          <t>21:44:25</t>
        </is>
      </c>
      <c r="Q8320" t="inlineStr">
        <is>
          <t>4</t>
        </is>
      </c>
      <c r="U8320" t="inlineStr">
        <is>
          <t>→帷子ノ辻 休憩(21:44〜22:25)</t>
        </is>
      </c>
    </row>
    <row r="8321" ht="15" customHeight="1" s="37">
      <c r="A8321" t="n">
        <v>24</v>
      </c>
      <c r="B8321" s="10" t="inlineStr">
        <is>
          <t>平日</t>
        </is>
      </c>
      <c r="C8321" s="10" t="inlineStr">
        <is>
          <t>北野線</t>
        </is>
      </c>
      <c r="D8321" s="10" t="inlineStr">
        <is>
          <t>下り</t>
        </is>
      </c>
      <c r="E8321" t="inlineStr">
        <is>
          <t>2253</t>
        </is>
      </c>
      <c r="F8321" t="inlineStr">
        <is>
          <t>0453</t>
        </is>
      </c>
      <c r="G8321" s="10" t="inlineStr">
        <is>
          <t>北野白梅町</t>
        </is>
      </c>
      <c r="H8321" s="10" t="inlineStr">
        <is>
          <t>発</t>
        </is>
      </c>
      <c r="J8321" s="10" t="inlineStr">
        <is>
          <t>営業</t>
        </is>
      </c>
      <c r="M8321" t="inlineStr">
        <is>
          <t>22:40:00</t>
        </is>
      </c>
      <c r="Q8321" t="inlineStr">
        <is>
          <t>1</t>
        </is>
      </c>
    </row>
    <row r="8322" ht="15" customHeight="1" s="37">
      <c r="A8322" t="n">
        <v>24</v>
      </c>
      <c r="B8322" s="10" t="inlineStr">
        <is>
          <t>平日</t>
        </is>
      </c>
      <c r="C8322" s="10" t="inlineStr">
        <is>
          <t>北野線</t>
        </is>
      </c>
      <c r="D8322" s="10" t="inlineStr">
        <is>
          <t>下り</t>
        </is>
      </c>
      <c r="E8322" t="inlineStr">
        <is>
          <t>2253</t>
        </is>
      </c>
      <c r="F8322" t="inlineStr">
        <is>
          <t>0453</t>
        </is>
      </c>
      <c r="G8322" s="10" t="inlineStr">
        <is>
          <t>等持院</t>
        </is>
      </c>
      <c r="H8322" s="10" t="inlineStr">
        <is>
          <t>発</t>
        </is>
      </c>
      <c r="J8322" s="10" t="inlineStr">
        <is>
          <t>営業</t>
        </is>
      </c>
      <c r="L8322" t="inlineStr">
        <is>
          <t>22:41:25</t>
        </is>
      </c>
      <c r="M8322" t="inlineStr">
        <is>
          <t>22:41:35</t>
        </is>
      </c>
    </row>
    <row r="8323" ht="15" customHeight="1" s="37">
      <c r="A8323" t="n">
        <v>24</v>
      </c>
      <c r="B8323" s="10" t="inlineStr">
        <is>
          <t>平日</t>
        </is>
      </c>
      <c r="C8323" s="10" t="inlineStr">
        <is>
          <t>北野線</t>
        </is>
      </c>
      <c r="D8323" s="10" t="inlineStr">
        <is>
          <t>下り</t>
        </is>
      </c>
      <c r="E8323" t="inlineStr">
        <is>
          <t>2253</t>
        </is>
      </c>
      <c r="F8323" t="inlineStr">
        <is>
          <t>0453</t>
        </is>
      </c>
      <c r="G8323" s="10" t="inlineStr">
        <is>
          <t>龍安寺</t>
        </is>
      </c>
      <c r="H8323" s="10" t="inlineStr">
        <is>
          <t>発</t>
        </is>
      </c>
      <c r="J8323" s="10" t="inlineStr">
        <is>
          <t>営業</t>
        </is>
      </c>
      <c r="L8323" t="inlineStr">
        <is>
          <t>22:42:25</t>
        </is>
      </c>
      <c r="M8323" t="inlineStr">
        <is>
          <t>22:42:50</t>
        </is>
      </c>
    </row>
    <row r="8324" ht="15" customHeight="1" s="37">
      <c r="A8324" t="n">
        <v>24</v>
      </c>
      <c r="B8324" s="10" t="inlineStr">
        <is>
          <t>平日</t>
        </is>
      </c>
      <c r="C8324" s="10" t="inlineStr">
        <is>
          <t>北野線</t>
        </is>
      </c>
      <c r="D8324" s="10" t="inlineStr">
        <is>
          <t>下り</t>
        </is>
      </c>
      <c r="E8324" t="inlineStr">
        <is>
          <t>2253</t>
        </is>
      </c>
      <c r="F8324" t="inlineStr">
        <is>
          <t>0453</t>
        </is>
      </c>
      <c r="G8324" s="10" t="inlineStr">
        <is>
          <t>妙心寺</t>
        </is>
      </c>
      <c r="H8324" s="10" t="inlineStr">
        <is>
          <t>発</t>
        </is>
      </c>
      <c r="J8324" s="10" t="inlineStr">
        <is>
          <t>営業</t>
        </is>
      </c>
      <c r="L8324" t="inlineStr">
        <is>
          <t>22:43:40</t>
        </is>
      </c>
      <c r="M8324" t="inlineStr">
        <is>
          <t>22:43:50</t>
        </is>
      </c>
    </row>
    <row r="8325" ht="15" customHeight="1" s="37">
      <c r="A8325" t="n">
        <v>24</v>
      </c>
      <c r="B8325" s="10" t="inlineStr">
        <is>
          <t>平日</t>
        </is>
      </c>
      <c r="C8325" s="10" t="inlineStr">
        <is>
          <t>北野線</t>
        </is>
      </c>
      <c r="D8325" s="10" t="inlineStr">
        <is>
          <t>下り</t>
        </is>
      </c>
      <c r="E8325" t="inlineStr">
        <is>
          <t>2253</t>
        </is>
      </c>
      <c r="F8325" t="inlineStr">
        <is>
          <t>0453</t>
        </is>
      </c>
      <c r="G8325" s="10" t="inlineStr">
        <is>
          <t>御室仁和寺</t>
        </is>
      </c>
      <c r="H8325" s="10" t="inlineStr">
        <is>
          <t>発</t>
        </is>
      </c>
      <c r="J8325" s="10" t="inlineStr">
        <is>
          <t>営業</t>
        </is>
      </c>
      <c r="L8325" t="inlineStr">
        <is>
          <t>22:44:50</t>
        </is>
      </c>
      <c r="M8325" t="inlineStr">
        <is>
          <t>22:45:05</t>
        </is>
      </c>
    </row>
    <row r="8326" ht="15" customHeight="1" s="37">
      <c r="A8326" t="n">
        <v>24</v>
      </c>
      <c r="B8326" s="10" t="inlineStr">
        <is>
          <t>平日</t>
        </is>
      </c>
      <c r="C8326" s="10" t="inlineStr">
        <is>
          <t>北野線</t>
        </is>
      </c>
      <c r="D8326" s="10" t="inlineStr">
        <is>
          <t>下り</t>
        </is>
      </c>
      <c r="E8326" t="inlineStr">
        <is>
          <t>2253</t>
        </is>
      </c>
      <c r="F8326" t="inlineStr">
        <is>
          <t>0453</t>
        </is>
      </c>
      <c r="G8326" s="10" t="inlineStr">
        <is>
          <t>宇多野</t>
        </is>
      </c>
      <c r="H8326" s="10" t="inlineStr">
        <is>
          <t>発</t>
        </is>
      </c>
      <c r="J8326" s="10" t="inlineStr">
        <is>
          <t>営業</t>
        </is>
      </c>
      <c r="L8326" t="inlineStr">
        <is>
          <t>22:46:05</t>
        </is>
      </c>
      <c r="M8326" t="inlineStr">
        <is>
          <t>22:46:15</t>
        </is>
      </c>
    </row>
    <row r="8327" ht="15" customHeight="1" s="37">
      <c r="A8327" t="n">
        <v>24</v>
      </c>
      <c r="B8327" s="10" t="inlineStr">
        <is>
          <t>平日</t>
        </is>
      </c>
      <c r="C8327" s="10" t="inlineStr">
        <is>
          <t>北野線</t>
        </is>
      </c>
      <c r="D8327" s="10" t="inlineStr">
        <is>
          <t>下り</t>
        </is>
      </c>
      <c r="E8327" t="inlineStr">
        <is>
          <t>2253</t>
        </is>
      </c>
      <c r="F8327" t="inlineStr">
        <is>
          <t>0453</t>
        </is>
      </c>
      <c r="G8327" s="10" t="inlineStr">
        <is>
          <t>鳴滝</t>
        </is>
      </c>
      <c r="H8327" s="10" t="inlineStr">
        <is>
          <t>発</t>
        </is>
      </c>
      <c r="J8327" s="10" t="inlineStr">
        <is>
          <t>営業</t>
        </is>
      </c>
      <c r="L8327" t="inlineStr">
        <is>
          <t>22:47:35</t>
        </is>
      </c>
      <c r="M8327" t="inlineStr">
        <is>
          <t>22:47:45</t>
        </is>
      </c>
    </row>
    <row r="8328" ht="15" customHeight="1" s="37">
      <c r="A8328" t="n">
        <v>24</v>
      </c>
      <c r="B8328" s="10" t="inlineStr">
        <is>
          <t>平日</t>
        </is>
      </c>
      <c r="C8328" s="10" t="inlineStr">
        <is>
          <t>北野線</t>
        </is>
      </c>
      <c r="D8328" s="10" t="inlineStr">
        <is>
          <t>下り</t>
        </is>
      </c>
      <c r="E8328" t="inlineStr">
        <is>
          <t>2253</t>
        </is>
      </c>
      <c r="F8328" t="inlineStr">
        <is>
          <t>0453</t>
        </is>
      </c>
      <c r="G8328" s="10" t="inlineStr">
        <is>
          <t>常盤</t>
        </is>
      </c>
      <c r="H8328" s="10" t="inlineStr">
        <is>
          <t>発</t>
        </is>
      </c>
      <c r="J8328" s="10" t="inlineStr">
        <is>
          <t>営業</t>
        </is>
      </c>
      <c r="L8328" t="inlineStr">
        <is>
          <t>22:48:35</t>
        </is>
      </c>
      <c r="M8328" t="inlineStr">
        <is>
          <t>22:48:55</t>
        </is>
      </c>
    </row>
    <row r="8329" ht="15" customHeight="1" s="37">
      <c r="A8329" t="n">
        <v>24</v>
      </c>
      <c r="B8329" s="10" t="inlineStr">
        <is>
          <t>平日</t>
        </is>
      </c>
      <c r="C8329" s="10" t="inlineStr">
        <is>
          <t>北野線</t>
        </is>
      </c>
      <c r="D8329" s="10" t="inlineStr">
        <is>
          <t>下り</t>
        </is>
      </c>
      <c r="E8329" t="inlineStr">
        <is>
          <t>2253</t>
        </is>
      </c>
      <c r="F8329" t="inlineStr">
        <is>
          <t>0453</t>
        </is>
      </c>
      <c r="G8329" s="10" t="inlineStr">
        <is>
          <t>撮影所前</t>
        </is>
      </c>
      <c r="H8329" s="10" t="inlineStr">
        <is>
          <t>発</t>
        </is>
      </c>
      <c r="J8329" s="10" t="inlineStr">
        <is>
          <t>営業</t>
        </is>
      </c>
      <c r="L8329" t="inlineStr">
        <is>
          <t>22:50:15</t>
        </is>
      </c>
      <c r="M8329" t="inlineStr">
        <is>
          <t>22:50:30</t>
        </is>
      </c>
    </row>
    <row r="8330" ht="15" customHeight="1" s="37">
      <c r="A8330" t="n">
        <v>24</v>
      </c>
      <c r="B8330" s="10" t="inlineStr">
        <is>
          <t>平日</t>
        </is>
      </c>
      <c r="C8330" s="10" t="inlineStr">
        <is>
          <t>北野線</t>
        </is>
      </c>
      <c r="D8330" s="10" t="inlineStr">
        <is>
          <t>下り</t>
        </is>
      </c>
      <c r="E8330" t="inlineStr">
        <is>
          <t>2253</t>
        </is>
      </c>
      <c r="F8330" t="inlineStr">
        <is>
          <t>0453</t>
        </is>
      </c>
      <c r="G8330" s="10" t="inlineStr">
        <is>
          <t>帷子ノ辻</t>
        </is>
      </c>
      <c r="H8330" s="10" t="inlineStr">
        <is>
          <t>着</t>
        </is>
      </c>
      <c r="J8330" s="10" t="inlineStr">
        <is>
          <t>営業</t>
        </is>
      </c>
      <c r="L8330" t="inlineStr">
        <is>
          <t>22:51:25</t>
        </is>
      </c>
      <c r="Q8330" t="inlineStr">
        <is>
          <t>4</t>
        </is>
      </c>
    </row>
    <row r="8331" ht="15" customHeight="1" s="37">
      <c r="A8331" t="n">
        <v>24</v>
      </c>
      <c r="B8331" s="10" t="inlineStr">
        <is>
          <t>平日</t>
        </is>
      </c>
      <c r="C8331" s="10" t="inlineStr">
        <is>
          <t>北野線</t>
        </is>
      </c>
      <c r="D8331" s="10" t="inlineStr">
        <is>
          <t>上り</t>
        </is>
      </c>
      <c r="E8331" t="inlineStr">
        <is>
          <t>2254</t>
        </is>
      </c>
      <c r="F8331" t="inlineStr">
        <is>
          <t>0304</t>
        </is>
      </c>
      <c r="G8331" s="10" t="inlineStr">
        <is>
          <t>帷子ノ辻</t>
        </is>
      </c>
      <c r="H8331" s="10" t="inlineStr">
        <is>
          <t>発</t>
        </is>
      </c>
      <c r="J8331" s="10" t="inlineStr">
        <is>
          <t>営業</t>
        </is>
      </c>
      <c r="M8331" t="inlineStr">
        <is>
          <t>22:25:25</t>
        </is>
      </c>
      <c r="Q8331" t="inlineStr">
        <is>
          <t>4</t>
        </is>
      </c>
    </row>
    <row r="8332" ht="15" customHeight="1" s="37">
      <c r="A8332" t="n">
        <v>24</v>
      </c>
      <c r="B8332" s="10" t="inlineStr">
        <is>
          <t>平日</t>
        </is>
      </c>
      <c r="C8332" s="10" t="inlineStr">
        <is>
          <t>北野線</t>
        </is>
      </c>
      <c r="D8332" s="10" t="inlineStr">
        <is>
          <t>上り</t>
        </is>
      </c>
      <c r="E8332" t="inlineStr">
        <is>
          <t>2254</t>
        </is>
      </c>
      <c r="F8332" t="inlineStr">
        <is>
          <t>0304</t>
        </is>
      </c>
      <c r="G8332" s="10" t="inlineStr">
        <is>
          <t>撮影所前</t>
        </is>
      </c>
      <c r="H8332" s="10" t="inlineStr">
        <is>
          <t>発</t>
        </is>
      </c>
      <c r="J8332" s="10" t="inlineStr">
        <is>
          <t>営業</t>
        </is>
      </c>
      <c r="L8332" t="inlineStr">
        <is>
          <t>22:26:25</t>
        </is>
      </c>
      <c r="M8332" t="inlineStr">
        <is>
          <t>22:26:40</t>
        </is>
      </c>
    </row>
    <row r="8333" ht="15" customHeight="1" s="37">
      <c r="A8333" t="n">
        <v>24</v>
      </c>
      <c r="B8333" s="10" t="inlineStr">
        <is>
          <t>平日</t>
        </is>
      </c>
      <c r="C8333" s="10" t="inlineStr">
        <is>
          <t>北野線</t>
        </is>
      </c>
      <c r="D8333" s="10" t="inlineStr">
        <is>
          <t>上り</t>
        </is>
      </c>
      <c r="E8333" t="inlineStr">
        <is>
          <t>2254</t>
        </is>
      </c>
      <c r="F8333" t="inlineStr">
        <is>
          <t>0304</t>
        </is>
      </c>
      <c r="G8333" s="10" t="inlineStr">
        <is>
          <t>常盤</t>
        </is>
      </c>
      <c r="H8333" s="10" t="inlineStr">
        <is>
          <t>発</t>
        </is>
      </c>
      <c r="J8333" s="10" t="inlineStr">
        <is>
          <t>営業</t>
        </is>
      </c>
      <c r="L8333" t="inlineStr">
        <is>
          <t>22:28:00</t>
        </is>
      </c>
      <c r="M8333" t="inlineStr">
        <is>
          <t>22:28:20</t>
        </is>
      </c>
    </row>
    <row r="8334" ht="15" customHeight="1" s="37">
      <c r="A8334" t="n">
        <v>24</v>
      </c>
      <c r="B8334" s="10" t="inlineStr">
        <is>
          <t>平日</t>
        </is>
      </c>
      <c r="C8334" s="10" t="inlineStr">
        <is>
          <t>北野線</t>
        </is>
      </c>
      <c r="D8334" s="10" t="inlineStr">
        <is>
          <t>上り</t>
        </is>
      </c>
      <c r="E8334" t="inlineStr">
        <is>
          <t>2254</t>
        </is>
      </c>
      <c r="F8334" t="inlineStr">
        <is>
          <t>0304</t>
        </is>
      </c>
      <c r="G8334" s="10" t="inlineStr">
        <is>
          <t>鳴滝</t>
        </is>
      </c>
      <c r="H8334" s="10" t="inlineStr">
        <is>
          <t>発</t>
        </is>
      </c>
      <c r="J8334" s="10" t="inlineStr">
        <is>
          <t>営業</t>
        </is>
      </c>
      <c r="L8334" t="inlineStr">
        <is>
          <t>22:29:20</t>
        </is>
      </c>
      <c r="M8334" t="inlineStr">
        <is>
          <t>22:29:40</t>
        </is>
      </c>
    </row>
    <row r="8335" ht="15" customHeight="1" s="37">
      <c r="A8335" t="n">
        <v>24</v>
      </c>
      <c r="B8335" s="10" t="inlineStr">
        <is>
          <t>平日</t>
        </is>
      </c>
      <c r="C8335" s="10" t="inlineStr">
        <is>
          <t>北野線</t>
        </is>
      </c>
      <c r="D8335" s="10" t="inlineStr">
        <is>
          <t>上り</t>
        </is>
      </c>
      <c r="E8335" t="inlineStr">
        <is>
          <t>2254</t>
        </is>
      </c>
      <c r="F8335" t="inlineStr">
        <is>
          <t>0304</t>
        </is>
      </c>
      <c r="G8335" s="10" t="inlineStr">
        <is>
          <t>宇多野</t>
        </is>
      </c>
      <c r="H8335" s="10" t="inlineStr">
        <is>
          <t>発</t>
        </is>
      </c>
      <c r="J8335" s="10" t="inlineStr">
        <is>
          <t>営業</t>
        </is>
      </c>
      <c r="L8335" t="inlineStr">
        <is>
          <t>22:31:00</t>
        </is>
      </c>
      <c r="M8335" t="inlineStr">
        <is>
          <t>22:31:15</t>
        </is>
      </c>
    </row>
    <row r="8336" ht="15" customHeight="1" s="37">
      <c r="A8336" t="n">
        <v>24</v>
      </c>
      <c r="B8336" s="10" t="inlineStr">
        <is>
          <t>平日</t>
        </is>
      </c>
      <c r="C8336" s="10" t="inlineStr">
        <is>
          <t>北野線</t>
        </is>
      </c>
      <c r="D8336" s="10" t="inlineStr">
        <is>
          <t>上り</t>
        </is>
      </c>
      <c r="E8336" t="inlineStr">
        <is>
          <t>2254</t>
        </is>
      </c>
      <c r="F8336" t="inlineStr">
        <is>
          <t>0304</t>
        </is>
      </c>
      <c r="G8336" s="10" t="inlineStr">
        <is>
          <t>御室仁和寺</t>
        </is>
      </c>
      <c r="H8336" s="10" t="inlineStr">
        <is>
          <t>発</t>
        </is>
      </c>
      <c r="J8336" s="10" t="inlineStr">
        <is>
          <t>営業</t>
        </is>
      </c>
      <c r="L8336" t="inlineStr">
        <is>
          <t>22:32:15</t>
        </is>
      </c>
      <c r="M8336" t="inlineStr">
        <is>
          <t>22:32:35</t>
        </is>
      </c>
    </row>
    <row r="8337" ht="15" customHeight="1" s="37">
      <c r="A8337" t="n">
        <v>24</v>
      </c>
      <c r="B8337" s="10" t="inlineStr">
        <is>
          <t>平日</t>
        </is>
      </c>
      <c r="C8337" s="10" t="inlineStr">
        <is>
          <t>北野線</t>
        </is>
      </c>
      <c r="D8337" s="10" t="inlineStr">
        <is>
          <t>上り</t>
        </is>
      </c>
      <c r="E8337" t="inlineStr">
        <is>
          <t>2254</t>
        </is>
      </c>
      <c r="F8337" t="inlineStr">
        <is>
          <t>0304</t>
        </is>
      </c>
      <c r="G8337" s="10" t="inlineStr">
        <is>
          <t>妙心寺</t>
        </is>
      </c>
      <c r="H8337" s="10" t="inlineStr">
        <is>
          <t>発</t>
        </is>
      </c>
      <c r="J8337" s="10" t="inlineStr">
        <is>
          <t>営業</t>
        </is>
      </c>
      <c r="L8337" t="inlineStr">
        <is>
          <t>22:33:35</t>
        </is>
      </c>
      <c r="M8337" t="inlineStr">
        <is>
          <t>22:33:50</t>
        </is>
      </c>
    </row>
    <row r="8338" ht="15" customHeight="1" s="37">
      <c r="A8338" t="n">
        <v>24</v>
      </c>
      <c r="B8338" s="10" t="inlineStr">
        <is>
          <t>平日</t>
        </is>
      </c>
      <c r="C8338" s="10" t="inlineStr">
        <is>
          <t>北野線</t>
        </is>
      </c>
      <c r="D8338" s="10" t="inlineStr">
        <is>
          <t>上り</t>
        </is>
      </c>
      <c r="E8338" t="inlineStr">
        <is>
          <t>2254</t>
        </is>
      </c>
      <c r="F8338" t="inlineStr">
        <is>
          <t>0304</t>
        </is>
      </c>
      <c r="G8338" s="10" t="inlineStr">
        <is>
          <t>龍安寺</t>
        </is>
      </c>
      <c r="H8338" s="10" t="inlineStr">
        <is>
          <t>発</t>
        </is>
      </c>
      <c r="J8338" s="10" t="inlineStr">
        <is>
          <t>営業</t>
        </is>
      </c>
      <c r="L8338" t="inlineStr">
        <is>
          <t>22:34:45</t>
        </is>
      </c>
      <c r="M8338" t="inlineStr">
        <is>
          <t>22:34:55</t>
        </is>
      </c>
    </row>
    <row r="8339" ht="15" customHeight="1" s="37">
      <c r="A8339" t="n">
        <v>24</v>
      </c>
      <c r="B8339" s="10" t="inlineStr">
        <is>
          <t>平日</t>
        </is>
      </c>
      <c r="C8339" s="10" t="inlineStr">
        <is>
          <t>北野線</t>
        </is>
      </c>
      <c r="D8339" s="10" t="inlineStr">
        <is>
          <t>上り</t>
        </is>
      </c>
      <c r="E8339" t="inlineStr">
        <is>
          <t>2254</t>
        </is>
      </c>
      <c r="F8339" t="inlineStr">
        <is>
          <t>0304</t>
        </is>
      </c>
      <c r="G8339" s="10" t="inlineStr">
        <is>
          <t>等持院</t>
        </is>
      </c>
      <c r="H8339" s="10" t="inlineStr">
        <is>
          <t>発</t>
        </is>
      </c>
      <c r="J8339" s="10" t="inlineStr">
        <is>
          <t>営業</t>
        </is>
      </c>
      <c r="L8339" t="inlineStr">
        <is>
          <t>22:35:35</t>
        </is>
      </c>
      <c r="M8339" t="inlineStr">
        <is>
          <t>22:35:55</t>
        </is>
      </c>
    </row>
    <row r="8340" ht="15" customHeight="1" s="37">
      <c r="A8340" t="n">
        <v>24</v>
      </c>
      <c r="B8340" s="10" t="inlineStr">
        <is>
          <t>平日</t>
        </is>
      </c>
      <c r="C8340" s="10" t="inlineStr">
        <is>
          <t>北野線</t>
        </is>
      </c>
      <c r="D8340" s="10" t="inlineStr">
        <is>
          <t>上り</t>
        </is>
      </c>
      <c r="E8340" t="inlineStr">
        <is>
          <t>2254</t>
        </is>
      </c>
      <c r="F8340" t="inlineStr">
        <is>
          <t>0304</t>
        </is>
      </c>
      <c r="G8340" s="10" t="inlineStr">
        <is>
          <t>北野白梅町</t>
        </is>
      </c>
      <c r="H8340" s="10" t="inlineStr">
        <is>
          <t>着</t>
        </is>
      </c>
      <c r="J8340" s="10" t="inlineStr">
        <is>
          <t>営業</t>
        </is>
      </c>
      <c r="L8340" t="inlineStr">
        <is>
          <t>22:37:15</t>
        </is>
      </c>
      <c r="N8340" t="inlineStr">
        <is>
          <t>○</t>
        </is>
      </c>
      <c r="Q8340" t="inlineStr">
        <is>
          <t>1</t>
        </is>
      </c>
    </row>
    <row r="8341" ht="15" customHeight="1" s="37">
      <c r="A8341" t="n">
        <v>24</v>
      </c>
      <c r="B8341" s="10" t="inlineStr">
        <is>
          <t>平日</t>
        </is>
      </c>
      <c r="C8341" s="10" t="inlineStr">
        <is>
          <t>北野線</t>
        </is>
      </c>
      <c r="D8341" s="10" t="inlineStr">
        <is>
          <t>上り</t>
        </is>
      </c>
      <c r="E8341" t="inlineStr">
        <is>
          <t>2256</t>
        </is>
      </c>
      <c r="F8341" t="inlineStr">
        <is>
          <t>0304</t>
        </is>
      </c>
      <c r="G8341" s="10" t="inlineStr">
        <is>
          <t>帷子ノ辻</t>
        </is>
      </c>
      <c r="H8341" s="10" t="inlineStr">
        <is>
          <t>発</t>
        </is>
      </c>
      <c r="J8341" s="10" t="inlineStr">
        <is>
          <t>営業</t>
        </is>
      </c>
      <c r="M8341" t="inlineStr">
        <is>
          <t>22:55:25</t>
        </is>
      </c>
      <c r="Q8341" t="inlineStr">
        <is>
          <t>4</t>
        </is>
      </c>
    </row>
    <row r="8342" ht="15" customHeight="1" s="37">
      <c r="A8342" t="n">
        <v>24</v>
      </c>
      <c r="B8342" s="10" t="inlineStr">
        <is>
          <t>平日</t>
        </is>
      </c>
      <c r="C8342" s="10" t="inlineStr">
        <is>
          <t>北野線</t>
        </is>
      </c>
      <c r="D8342" s="10" t="inlineStr">
        <is>
          <t>上り</t>
        </is>
      </c>
      <c r="E8342" t="inlineStr">
        <is>
          <t>2256</t>
        </is>
      </c>
      <c r="F8342" t="inlineStr">
        <is>
          <t>0304</t>
        </is>
      </c>
      <c r="G8342" s="10" t="inlineStr">
        <is>
          <t>撮影所前</t>
        </is>
      </c>
      <c r="H8342" s="10" t="inlineStr">
        <is>
          <t>発</t>
        </is>
      </c>
      <c r="J8342" s="10" t="inlineStr">
        <is>
          <t>営業</t>
        </is>
      </c>
      <c r="L8342" t="inlineStr">
        <is>
          <t>22:56:25</t>
        </is>
      </c>
      <c r="M8342" t="inlineStr">
        <is>
          <t>22:56:40</t>
        </is>
      </c>
    </row>
    <row r="8343" ht="15" customHeight="1" s="37">
      <c r="A8343" t="n">
        <v>24</v>
      </c>
      <c r="B8343" s="10" t="inlineStr">
        <is>
          <t>平日</t>
        </is>
      </c>
      <c r="C8343" s="10" t="inlineStr">
        <is>
          <t>北野線</t>
        </is>
      </c>
      <c r="D8343" s="10" t="inlineStr">
        <is>
          <t>上り</t>
        </is>
      </c>
      <c r="E8343" t="inlineStr">
        <is>
          <t>2256</t>
        </is>
      </c>
      <c r="F8343" t="inlineStr">
        <is>
          <t>0304</t>
        </is>
      </c>
      <c r="G8343" s="10" t="inlineStr">
        <is>
          <t>常盤</t>
        </is>
      </c>
      <c r="H8343" s="10" t="inlineStr">
        <is>
          <t>発</t>
        </is>
      </c>
      <c r="J8343" s="10" t="inlineStr">
        <is>
          <t>営業</t>
        </is>
      </c>
      <c r="L8343" t="inlineStr">
        <is>
          <t>22:58:00</t>
        </is>
      </c>
      <c r="M8343" t="inlineStr">
        <is>
          <t>22:58:20</t>
        </is>
      </c>
    </row>
    <row r="8344" ht="15" customHeight="1" s="37">
      <c r="A8344" t="n">
        <v>24</v>
      </c>
      <c r="B8344" s="10" t="inlineStr">
        <is>
          <t>平日</t>
        </is>
      </c>
      <c r="C8344" s="10" t="inlineStr">
        <is>
          <t>北野線</t>
        </is>
      </c>
      <c r="D8344" s="10" t="inlineStr">
        <is>
          <t>上り</t>
        </is>
      </c>
      <c r="E8344" t="inlineStr">
        <is>
          <t>2256</t>
        </is>
      </c>
      <c r="F8344" t="inlineStr">
        <is>
          <t>0304</t>
        </is>
      </c>
      <c r="G8344" s="10" t="inlineStr">
        <is>
          <t>鳴滝</t>
        </is>
      </c>
      <c r="H8344" s="10" t="inlineStr">
        <is>
          <t>発</t>
        </is>
      </c>
      <c r="J8344" s="10" t="inlineStr">
        <is>
          <t>営業</t>
        </is>
      </c>
      <c r="L8344" t="inlineStr">
        <is>
          <t>22:59:20</t>
        </is>
      </c>
      <c r="M8344" t="inlineStr">
        <is>
          <t>22:59:40</t>
        </is>
      </c>
    </row>
    <row r="8345" ht="15" customHeight="1" s="37">
      <c r="A8345" t="n">
        <v>24</v>
      </c>
      <c r="B8345" s="10" t="inlineStr">
        <is>
          <t>平日</t>
        </is>
      </c>
      <c r="C8345" s="10" t="inlineStr">
        <is>
          <t>北野線</t>
        </is>
      </c>
      <c r="D8345" s="10" t="inlineStr">
        <is>
          <t>上り</t>
        </is>
      </c>
      <c r="E8345" t="inlineStr">
        <is>
          <t>2256</t>
        </is>
      </c>
      <c r="F8345" t="inlineStr">
        <is>
          <t>0304</t>
        </is>
      </c>
      <c r="G8345" s="10" t="inlineStr">
        <is>
          <t>宇多野</t>
        </is>
      </c>
      <c r="H8345" s="10" t="inlineStr">
        <is>
          <t>発</t>
        </is>
      </c>
      <c r="J8345" s="10" t="inlineStr">
        <is>
          <t>営業</t>
        </is>
      </c>
      <c r="L8345" t="inlineStr">
        <is>
          <t>23:01:00</t>
        </is>
      </c>
      <c r="M8345" t="inlineStr">
        <is>
          <t>23:01:15</t>
        </is>
      </c>
    </row>
    <row r="8346" ht="15" customHeight="1" s="37">
      <c r="A8346" t="n">
        <v>24</v>
      </c>
      <c r="B8346" s="10" t="inlineStr">
        <is>
          <t>平日</t>
        </is>
      </c>
      <c r="C8346" s="10" t="inlineStr">
        <is>
          <t>北野線</t>
        </is>
      </c>
      <c r="D8346" s="10" t="inlineStr">
        <is>
          <t>上り</t>
        </is>
      </c>
      <c r="E8346" t="inlineStr">
        <is>
          <t>2256</t>
        </is>
      </c>
      <c r="F8346" t="inlineStr">
        <is>
          <t>0304</t>
        </is>
      </c>
      <c r="G8346" s="10" t="inlineStr">
        <is>
          <t>御室仁和寺</t>
        </is>
      </c>
      <c r="H8346" s="10" t="inlineStr">
        <is>
          <t>発</t>
        </is>
      </c>
      <c r="J8346" s="10" t="inlineStr">
        <is>
          <t>営業</t>
        </is>
      </c>
      <c r="L8346" t="inlineStr">
        <is>
          <t>23:02:15</t>
        </is>
      </c>
      <c r="M8346" t="inlineStr">
        <is>
          <t>23:02:35</t>
        </is>
      </c>
    </row>
    <row r="8347" ht="15" customHeight="1" s="37">
      <c r="A8347" t="n">
        <v>24</v>
      </c>
      <c r="B8347" s="10" t="inlineStr">
        <is>
          <t>平日</t>
        </is>
      </c>
      <c r="C8347" s="10" t="inlineStr">
        <is>
          <t>北野線</t>
        </is>
      </c>
      <c r="D8347" s="10" t="inlineStr">
        <is>
          <t>上り</t>
        </is>
      </c>
      <c r="E8347" t="inlineStr">
        <is>
          <t>2256</t>
        </is>
      </c>
      <c r="F8347" t="inlineStr">
        <is>
          <t>0304</t>
        </is>
      </c>
      <c r="G8347" s="10" t="inlineStr">
        <is>
          <t>妙心寺</t>
        </is>
      </c>
      <c r="H8347" s="10" t="inlineStr">
        <is>
          <t>発</t>
        </is>
      </c>
      <c r="J8347" s="10" t="inlineStr">
        <is>
          <t>営業</t>
        </is>
      </c>
      <c r="L8347" t="inlineStr">
        <is>
          <t>23:03:35</t>
        </is>
      </c>
      <c r="M8347" t="inlineStr">
        <is>
          <t>23:03:50</t>
        </is>
      </c>
    </row>
    <row r="8348" ht="15" customHeight="1" s="37">
      <c r="A8348" t="n">
        <v>24</v>
      </c>
      <c r="B8348" s="10" t="inlineStr">
        <is>
          <t>平日</t>
        </is>
      </c>
      <c r="C8348" s="10" t="inlineStr">
        <is>
          <t>北野線</t>
        </is>
      </c>
      <c r="D8348" s="10" t="inlineStr">
        <is>
          <t>上り</t>
        </is>
      </c>
      <c r="E8348" t="inlineStr">
        <is>
          <t>2256</t>
        </is>
      </c>
      <c r="F8348" t="inlineStr">
        <is>
          <t>0304</t>
        </is>
      </c>
      <c r="G8348" s="10" t="inlineStr">
        <is>
          <t>龍安寺</t>
        </is>
      </c>
      <c r="H8348" s="10" t="inlineStr">
        <is>
          <t>発</t>
        </is>
      </c>
      <c r="J8348" s="10" t="inlineStr">
        <is>
          <t>営業</t>
        </is>
      </c>
      <c r="L8348" t="inlineStr">
        <is>
          <t>23:04:45</t>
        </is>
      </c>
      <c r="M8348" t="inlineStr">
        <is>
          <t>23:04:55</t>
        </is>
      </c>
    </row>
    <row r="8349" ht="15" customHeight="1" s="37">
      <c r="A8349" t="n">
        <v>24</v>
      </c>
      <c r="B8349" s="10" t="inlineStr">
        <is>
          <t>平日</t>
        </is>
      </c>
      <c r="C8349" s="10" t="inlineStr">
        <is>
          <t>北野線</t>
        </is>
      </c>
      <c r="D8349" s="10" t="inlineStr">
        <is>
          <t>上り</t>
        </is>
      </c>
      <c r="E8349" t="inlineStr">
        <is>
          <t>2256</t>
        </is>
      </c>
      <c r="F8349" t="inlineStr">
        <is>
          <t>0304</t>
        </is>
      </c>
      <c r="G8349" s="10" t="inlineStr">
        <is>
          <t>等持院</t>
        </is>
      </c>
      <c r="H8349" s="10" t="inlineStr">
        <is>
          <t>発</t>
        </is>
      </c>
      <c r="J8349" s="10" t="inlineStr">
        <is>
          <t>営業</t>
        </is>
      </c>
      <c r="L8349" t="inlineStr">
        <is>
          <t>23:05:35</t>
        </is>
      </c>
      <c r="M8349" t="inlineStr">
        <is>
          <t>23:05:55</t>
        </is>
      </c>
    </row>
    <row r="8350" ht="15" customHeight="1" s="37">
      <c r="A8350" t="n">
        <v>24</v>
      </c>
      <c r="B8350" s="10" t="inlineStr">
        <is>
          <t>平日</t>
        </is>
      </c>
      <c r="C8350" s="10" t="inlineStr">
        <is>
          <t>北野線</t>
        </is>
      </c>
      <c r="D8350" s="10" t="inlineStr">
        <is>
          <t>上り</t>
        </is>
      </c>
      <c r="E8350" t="inlineStr">
        <is>
          <t>2256</t>
        </is>
      </c>
      <c r="F8350" t="inlineStr">
        <is>
          <t>0304</t>
        </is>
      </c>
      <c r="G8350" s="10" t="inlineStr">
        <is>
          <t>北野白梅町</t>
        </is>
      </c>
      <c r="H8350" s="10" t="inlineStr">
        <is>
          <t>着</t>
        </is>
      </c>
      <c r="J8350" s="10" t="inlineStr">
        <is>
          <t>営業</t>
        </is>
      </c>
      <c r="L8350" t="inlineStr">
        <is>
          <t>23:07:15</t>
        </is>
      </c>
      <c r="N8350" t="inlineStr">
        <is>
          <t>○</t>
        </is>
      </c>
      <c r="Q8350" t="inlineStr">
        <is>
          <t>1</t>
        </is>
      </c>
    </row>
    <row r="8351" ht="15" customHeight="1" s="37">
      <c r="A8351" t="n">
        <v>24</v>
      </c>
      <c r="B8351" s="10" t="inlineStr">
        <is>
          <t>平日</t>
        </is>
      </c>
      <c r="C8351" s="10" t="inlineStr">
        <is>
          <t>北野線</t>
        </is>
      </c>
      <c r="D8351" s="10" t="inlineStr">
        <is>
          <t>下り</t>
        </is>
      </c>
      <c r="E8351" t="inlineStr">
        <is>
          <t>2351</t>
        </is>
      </c>
      <c r="F8351" t="inlineStr">
        <is>
          <t>0453</t>
        </is>
      </c>
      <c r="G8351" s="10" t="inlineStr">
        <is>
          <t>北野白梅町</t>
        </is>
      </c>
      <c r="H8351" s="10" t="inlineStr">
        <is>
          <t>発</t>
        </is>
      </c>
      <c r="J8351" s="10" t="inlineStr">
        <is>
          <t>営業</t>
        </is>
      </c>
      <c r="M8351" t="inlineStr">
        <is>
          <t>23:10:00</t>
        </is>
      </c>
      <c r="Q8351" t="inlineStr">
        <is>
          <t>1</t>
        </is>
      </c>
    </row>
    <row r="8352" ht="15" customHeight="1" s="37">
      <c r="A8352" t="n">
        <v>24</v>
      </c>
      <c r="B8352" s="10" t="inlineStr">
        <is>
          <t>平日</t>
        </is>
      </c>
      <c r="C8352" s="10" t="inlineStr">
        <is>
          <t>北野線</t>
        </is>
      </c>
      <c r="D8352" s="10" t="inlineStr">
        <is>
          <t>下り</t>
        </is>
      </c>
      <c r="E8352" t="inlineStr">
        <is>
          <t>2351</t>
        </is>
      </c>
      <c r="F8352" t="inlineStr">
        <is>
          <t>0453</t>
        </is>
      </c>
      <c r="G8352" s="10" t="inlineStr">
        <is>
          <t>等持院</t>
        </is>
      </c>
      <c r="H8352" s="10" t="inlineStr">
        <is>
          <t>発</t>
        </is>
      </c>
      <c r="J8352" s="10" t="inlineStr">
        <is>
          <t>営業</t>
        </is>
      </c>
      <c r="L8352" t="inlineStr">
        <is>
          <t>23:11:25</t>
        </is>
      </c>
      <c r="M8352" t="inlineStr">
        <is>
          <t>23:11:35</t>
        </is>
      </c>
    </row>
    <row r="8353" ht="15" customHeight="1" s="37">
      <c r="A8353" t="n">
        <v>24</v>
      </c>
      <c r="B8353" s="10" t="inlineStr">
        <is>
          <t>平日</t>
        </is>
      </c>
      <c r="C8353" s="10" t="inlineStr">
        <is>
          <t>北野線</t>
        </is>
      </c>
      <c r="D8353" s="10" t="inlineStr">
        <is>
          <t>下り</t>
        </is>
      </c>
      <c r="E8353" t="inlineStr">
        <is>
          <t>2351</t>
        </is>
      </c>
      <c r="F8353" t="inlineStr">
        <is>
          <t>0453</t>
        </is>
      </c>
      <c r="G8353" s="10" t="inlineStr">
        <is>
          <t>龍安寺</t>
        </is>
      </c>
      <c r="H8353" s="10" t="inlineStr">
        <is>
          <t>発</t>
        </is>
      </c>
      <c r="J8353" s="10" t="inlineStr">
        <is>
          <t>営業</t>
        </is>
      </c>
      <c r="L8353" t="inlineStr">
        <is>
          <t>23:12:25</t>
        </is>
      </c>
      <c r="M8353" t="inlineStr">
        <is>
          <t>23:12:50</t>
        </is>
      </c>
    </row>
    <row r="8354" ht="15" customHeight="1" s="37">
      <c r="A8354" t="n">
        <v>24</v>
      </c>
      <c r="B8354" s="10" t="inlineStr">
        <is>
          <t>平日</t>
        </is>
      </c>
      <c r="C8354" s="10" t="inlineStr">
        <is>
          <t>北野線</t>
        </is>
      </c>
      <c r="D8354" s="10" t="inlineStr">
        <is>
          <t>下り</t>
        </is>
      </c>
      <c r="E8354" t="inlineStr">
        <is>
          <t>2351</t>
        </is>
      </c>
      <c r="F8354" t="inlineStr">
        <is>
          <t>0453</t>
        </is>
      </c>
      <c r="G8354" s="10" t="inlineStr">
        <is>
          <t>妙心寺</t>
        </is>
      </c>
      <c r="H8354" s="10" t="inlineStr">
        <is>
          <t>発</t>
        </is>
      </c>
      <c r="J8354" s="10" t="inlineStr">
        <is>
          <t>営業</t>
        </is>
      </c>
      <c r="L8354" t="inlineStr">
        <is>
          <t>23:13:40</t>
        </is>
      </c>
      <c r="M8354" t="inlineStr">
        <is>
          <t>23:13:50</t>
        </is>
      </c>
    </row>
    <row r="8355" ht="15" customHeight="1" s="37">
      <c r="A8355" t="n">
        <v>24</v>
      </c>
      <c r="B8355" s="10" t="inlineStr">
        <is>
          <t>平日</t>
        </is>
      </c>
      <c r="C8355" s="10" t="inlineStr">
        <is>
          <t>北野線</t>
        </is>
      </c>
      <c r="D8355" s="10" t="inlineStr">
        <is>
          <t>下り</t>
        </is>
      </c>
      <c r="E8355" t="inlineStr">
        <is>
          <t>2351</t>
        </is>
      </c>
      <c r="F8355" t="inlineStr">
        <is>
          <t>0453</t>
        </is>
      </c>
      <c r="G8355" s="10" t="inlineStr">
        <is>
          <t>御室仁和寺</t>
        </is>
      </c>
      <c r="H8355" s="10" t="inlineStr">
        <is>
          <t>発</t>
        </is>
      </c>
      <c r="J8355" s="10" t="inlineStr">
        <is>
          <t>営業</t>
        </is>
      </c>
      <c r="L8355" t="inlineStr">
        <is>
          <t>23:14:50</t>
        </is>
      </c>
      <c r="M8355" t="inlineStr">
        <is>
          <t>23:15:05</t>
        </is>
      </c>
    </row>
    <row r="8356" ht="16.5" customHeight="1" s="37">
      <c r="A8356" t="n">
        <v>24</v>
      </c>
      <c r="B8356" s="10" t="inlineStr">
        <is>
          <t>平日</t>
        </is>
      </c>
      <c r="C8356" s="10" t="inlineStr">
        <is>
          <t>北野線</t>
        </is>
      </c>
      <c r="D8356" s="10" t="inlineStr">
        <is>
          <t>下り</t>
        </is>
      </c>
      <c r="E8356" t="inlineStr">
        <is>
          <t>2351</t>
        </is>
      </c>
      <c r="F8356" t="inlineStr">
        <is>
          <t>0453</t>
        </is>
      </c>
      <c r="G8356" s="10" t="inlineStr">
        <is>
          <t>宇多野</t>
        </is>
      </c>
      <c r="H8356" s="10" t="inlineStr">
        <is>
          <t>発</t>
        </is>
      </c>
      <c r="J8356" s="10" t="inlineStr">
        <is>
          <t>営業</t>
        </is>
      </c>
      <c r="L8356" t="inlineStr">
        <is>
          <t>23:16:05</t>
        </is>
      </c>
      <c r="M8356" t="inlineStr">
        <is>
          <t>23:16:15</t>
        </is>
      </c>
    </row>
    <row r="8357" ht="16.5" customHeight="1" s="37">
      <c r="A8357" t="n">
        <v>24</v>
      </c>
      <c r="B8357" s="10" t="inlineStr">
        <is>
          <t>平日</t>
        </is>
      </c>
      <c r="C8357" s="10" t="inlineStr">
        <is>
          <t>北野線</t>
        </is>
      </c>
      <c r="D8357" s="10" t="inlineStr">
        <is>
          <t>下り</t>
        </is>
      </c>
      <c r="E8357" t="inlineStr">
        <is>
          <t>2351</t>
        </is>
      </c>
      <c r="F8357" t="inlineStr">
        <is>
          <t>0453</t>
        </is>
      </c>
      <c r="G8357" s="10" t="inlineStr">
        <is>
          <t>鳴滝</t>
        </is>
      </c>
      <c r="H8357" s="10" t="inlineStr">
        <is>
          <t>発</t>
        </is>
      </c>
      <c r="J8357" s="10" t="inlineStr">
        <is>
          <t>営業</t>
        </is>
      </c>
      <c r="L8357" t="inlineStr">
        <is>
          <t>23:17:35</t>
        </is>
      </c>
      <c r="M8357" t="inlineStr">
        <is>
          <t>23:17:45</t>
        </is>
      </c>
    </row>
    <row r="8358" ht="15" customHeight="1" s="37">
      <c r="A8358" t="n">
        <v>24</v>
      </c>
      <c r="B8358" s="10" t="inlineStr">
        <is>
          <t>平日</t>
        </is>
      </c>
      <c r="C8358" s="10" t="inlineStr">
        <is>
          <t>北野線</t>
        </is>
      </c>
      <c r="D8358" s="10" t="inlineStr">
        <is>
          <t>下り</t>
        </is>
      </c>
      <c r="E8358" t="inlineStr">
        <is>
          <t>2351</t>
        </is>
      </c>
      <c r="F8358" t="inlineStr">
        <is>
          <t>0453</t>
        </is>
      </c>
      <c r="G8358" s="10" t="inlineStr">
        <is>
          <t>常盤</t>
        </is>
      </c>
      <c r="H8358" s="10" t="inlineStr">
        <is>
          <t>発</t>
        </is>
      </c>
      <c r="J8358" s="10" t="inlineStr">
        <is>
          <t>営業</t>
        </is>
      </c>
      <c r="L8358" t="inlineStr">
        <is>
          <t>23:18:35</t>
        </is>
      </c>
      <c r="M8358" t="inlineStr">
        <is>
          <t>23:18:55</t>
        </is>
      </c>
    </row>
    <row r="8359" ht="15" customHeight="1" s="37">
      <c r="A8359" t="n">
        <v>24</v>
      </c>
      <c r="B8359" s="10" t="inlineStr">
        <is>
          <t>平日</t>
        </is>
      </c>
      <c r="C8359" s="10" t="inlineStr">
        <is>
          <t>北野線</t>
        </is>
      </c>
      <c r="D8359" s="10" t="inlineStr">
        <is>
          <t>下り</t>
        </is>
      </c>
      <c r="E8359" t="inlineStr">
        <is>
          <t>2351</t>
        </is>
      </c>
      <c r="F8359" t="inlineStr">
        <is>
          <t>0453</t>
        </is>
      </c>
      <c r="G8359" s="10" t="inlineStr">
        <is>
          <t>撮影所前</t>
        </is>
      </c>
      <c r="H8359" s="10" t="inlineStr">
        <is>
          <t>発</t>
        </is>
      </c>
      <c r="J8359" s="10" t="inlineStr">
        <is>
          <t>営業</t>
        </is>
      </c>
      <c r="L8359" t="inlineStr">
        <is>
          <t>23:20:15</t>
        </is>
      </c>
      <c r="M8359" t="inlineStr">
        <is>
          <t>23:20:30</t>
        </is>
      </c>
    </row>
    <row r="8360" ht="15" customHeight="1" s="37">
      <c r="A8360" t="n">
        <v>24</v>
      </c>
      <c r="B8360" s="10" t="inlineStr">
        <is>
          <t>平日</t>
        </is>
      </c>
      <c r="C8360" s="10" t="inlineStr">
        <is>
          <t>北野線</t>
        </is>
      </c>
      <c r="D8360" s="10" t="inlineStr">
        <is>
          <t>下り</t>
        </is>
      </c>
      <c r="E8360" t="inlineStr">
        <is>
          <t>2351</t>
        </is>
      </c>
      <c r="F8360" t="inlineStr">
        <is>
          <t>0453</t>
        </is>
      </c>
      <c r="G8360" s="10" t="inlineStr">
        <is>
          <t>帷子ノ辻</t>
        </is>
      </c>
      <c r="H8360" s="10" t="inlineStr">
        <is>
          <t>着</t>
        </is>
      </c>
      <c r="J8360" s="10" t="inlineStr">
        <is>
          <t>営業</t>
        </is>
      </c>
      <c r="L8360" t="inlineStr">
        <is>
          <t>23:21:25</t>
        </is>
      </c>
      <c r="Q8360" t="inlineStr">
        <is>
          <t>4</t>
        </is>
      </c>
    </row>
    <row r="8361" ht="15" customHeight="1" s="37">
      <c r="A8361" t="n">
        <v>24</v>
      </c>
      <c r="B8361" s="10" t="inlineStr">
        <is>
          <t>平日</t>
        </is>
      </c>
      <c r="C8361" s="10" t="inlineStr">
        <is>
          <t>北野線</t>
        </is>
      </c>
      <c r="D8361" s="10" t="inlineStr">
        <is>
          <t>上り</t>
        </is>
      </c>
      <c r="E8361" t="inlineStr">
        <is>
          <t>2352</t>
        </is>
      </c>
      <c r="F8361" t="inlineStr">
        <is>
          <t>0304</t>
        </is>
      </c>
      <c r="G8361" s="10" t="inlineStr">
        <is>
          <t>帷子ノ辻</t>
        </is>
      </c>
      <c r="H8361" s="10" t="inlineStr">
        <is>
          <t>発</t>
        </is>
      </c>
      <c r="J8361" s="10" t="inlineStr">
        <is>
          <t>営業</t>
        </is>
      </c>
      <c r="M8361" t="inlineStr">
        <is>
          <t>23:25:25</t>
        </is>
      </c>
      <c r="Q8361" t="inlineStr">
        <is>
          <t>4</t>
        </is>
      </c>
    </row>
    <row r="8362" ht="15" customHeight="1" s="37">
      <c r="A8362" t="n">
        <v>24</v>
      </c>
      <c r="B8362" s="10" t="inlineStr">
        <is>
          <t>平日</t>
        </is>
      </c>
      <c r="C8362" s="10" t="inlineStr">
        <is>
          <t>北野線</t>
        </is>
      </c>
      <c r="D8362" s="10" t="inlineStr">
        <is>
          <t>上り</t>
        </is>
      </c>
      <c r="E8362" t="inlineStr">
        <is>
          <t>2352</t>
        </is>
      </c>
      <c r="F8362" t="inlineStr">
        <is>
          <t>0304</t>
        </is>
      </c>
      <c r="G8362" s="10" t="inlineStr">
        <is>
          <t>撮影所前</t>
        </is>
      </c>
      <c r="H8362" s="10" t="inlineStr">
        <is>
          <t>発</t>
        </is>
      </c>
      <c r="J8362" s="10" t="inlineStr">
        <is>
          <t>営業</t>
        </is>
      </c>
      <c r="L8362" t="inlineStr">
        <is>
          <t>23:26:25</t>
        </is>
      </c>
      <c r="M8362" t="inlineStr">
        <is>
          <t>23:26:40</t>
        </is>
      </c>
    </row>
    <row r="8363" ht="15" customHeight="1" s="37">
      <c r="A8363" t="n">
        <v>24</v>
      </c>
      <c r="B8363" s="10" t="inlineStr">
        <is>
          <t>平日</t>
        </is>
      </c>
      <c r="C8363" s="10" t="inlineStr">
        <is>
          <t>北野線</t>
        </is>
      </c>
      <c r="D8363" s="10" t="inlineStr">
        <is>
          <t>上り</t>
        </is>
      </c>
      <c r="E8363" t="inlineStr">
        <is>
          <t>2352</t>
        </is>
      </c>
      <c r="F8363" t="inlineStr">
        <is>
          <t>0304</t>
        </is>
      </c>
      <c r="G8363" s="10" t="inlineStr">
        <is>
          <t>常盤</t>
        </is>
      </c>
      <c r="H8363" s="10" t="inlineStr">
        <is>
          <t>発</t>
        </is>
      </c>
      <c r="J8363" s="10" t="inlineStr">
        <is>
          <t>営業</t>
        </is>
      </c>
      <c r="L8363" t="inlineStr">
        <is>
          <t>23:28:00</t>
        </is>
      </c>
      <c r="M8363" t="inlineStr">
        <is>
          <t>23:28:20</t>
        </is>
      </c>
    </row>
    <row r="8364" ht="15" customHeight="1" s="37">
      <c r="A8364" t="n">
        <v>24</v>
      </c>
      <c r="B8364" s="10" t="inlineStr">
        <is>
          <t>平日</t>
        </is>
      </c>
      <c r="C8364" s="10" t="inlineStr">
        <is>
          <t>北野線</t>
        </is>
      </c>
      <c r="D8364" s="10" t="inlineStr">
        <is>
          <t>上り</t>
        </is>
      </c>
      <c r="E8364" t="inlineStr">
        <is>
          <t>2352</t>
        </is>
      </c>
      <c r="F8364" t="inlineStr">
        <is>
          <t>0304</t>
        </is>
      </c>
      <c r="G8364" s="10" t="inlineStr">
        <is>
          <t>鳴滝</t>
        </is>
      </c>
      <c r="H8364" s="10" t="inlineStr">
        <is>
          <t>発</t>
        </is>
      </c>
      <c r="J8364" s="10" t="inlineStr">
        <is>
          <t>営業</t>
        </is>
      </c>
      <c r="L8364" t="inlineStr">
        <is>
          <t>23:29:20</t>
        </is>
      </c>
      <c r="M8364" t="inlineStr">
        <is>
          <t>23:29:40</t>
        </is>
      </c>
    </row>
    <row r="8365" ht="15" customHeight="1" s="37">
      <c r="A8365" t="n">
        <v>24</v>
      </c>
      <c r="B8365" s="10" t="inlineStr">
        <is>
          <t>平日</t>
        </is>
      </c>
      <c r="C8365" s="10" t="inlineStr">
        <is>
          <t>北野線</t>
        </is>
      </c>
      <c r="D8365" s="10" t="inlineStr">
        <is>
          <t>上り</t>
        </is>
      </c>
      <c r="E8365" t="inlineStr">
        <is>
          <t>2352</t>
        </is>
      </c>
      <c r="F8365" t="inlineStr">
        <is>
          <t>0304</t>
        </is>
      </c>
      <c r="G8365" s="10" t="inlineStr">
        <is>
          <t>宇多野</t>
        </is>
      </c>
      <c r="H8365" s="10" t="inlineStr">
        <is>
          <t>発</t>
        </is>
      </c>
      <c r="J8365" s="10" t="inlineStr">
        <is>
          <t>営業</t>
        </is>
      </c>
      <c r="L8365" t="inlineStr">
        <is>
          <t>23:31:00</t>
        </is>
      </c>
      <c r="M8365" t="inlineStr">
        <is>
          <t>23:31:15</t>
        </is>
      </c>
    </row>
    <row r="8366" ht="15" customHeight="1" s="37">
      <c r="A8366" t="n">
        <v>24</v>
      </c>
      <c r="B8366" s="10" t="inlineStr">
        <is>
          <t>平日</t>
        </is>
      </c>
      <c r="C8366" s="10" t="inlineStr">
        <is>
          <t>北野線</t>
        </is>
      </c>
      <c r="D8366" s="10" t="inlineStr">
        <is>
          <t>上り</t>
        </is>
      </c>
      <c r="E8366" t="inlineStr">
        <is>
          <t>2352</t>
        </is>
      </c>
      <c r="F8366" t="inlineStr">
        <is>
          <t>0304</t>
        </is>
      </c>
      <c r="G8366" s="10" t="inlineStr">
        <is>
          <t>御室仁和寺</t>
        </is>
      </c>
      <c r="H8366" s="10" t="inlineStr">
        <is>
          <t>発</t>
        </is>
      </c>
      <c r="J8366" s="10" t="inlineStr">
        <is>
          <t>営業</t>
        </is>
      </c>
      <c r="L8366" t="inlineStr">
        <is>
          <t>23:32:15</t>
        </is>
      </c>
      <c r="M8366" t="inlineStr">
        <is>
          <t>23:32:35</t>
        </is>
      </c>
    </row>
    <row r="8367" ht="15" customHeight="1" s="37">
      <c r="A8367" t="n">
        <v>24</v>
      </c>
      <c r="B8367" s="10" t="inlineStr">
        <is>
          <t>平日</t>
        </is>
      </c>
      <c r="C8367" s="10" t="inlineStr">
        <is>
          <t>北野線</t>
        </is>
      </c>
      <c r="D8367" s="10" t="inlineStr">
        <is>
          <t>上り</t>
        </is>
      </c>
      <c r="E8367" t="inlineStr">
        <is>
          <t>2352</t>
        </is>
      </c>
      <c r="F8367" t="inlineStr">
        <is>
          <t>0304</t>
        </is>
      </c>
      <c r="G8367" s="10" t="inlineStr">
        <is>
          <t>妙心寺</t>
        </is>
      </c>
      <c r="H8367" s="10" t="inlineStr">
        <is>
          <t>発</t>
        </is>
      </c>
      <c r="J8367" s="10" t="inlineStr">
        <is>
          <t>営業</t>
        </is>
      </c>
      <c r="L8367" t="inlineStr">
        <is>
          <t>23:33:35</t>
        </is>
      </c>
      <c r="M8367" t="inlineStr">
        <is>
          <t>23:33:50</t>
        </is>
      </c>
    </row>
    <row r="8368" ht="15" customHeight="1" s="37">
      <c r="A8368" t="n">
        <v>24</v>
      </c>
      <c r="B8368" s="10" t="inlineStr">
        <is>
          <t>平日</t>
        </is>
      </c>
      <c r="C8368" s="10" t="inlineStr">
        <is>
          <t>北野線</t>
        </is>
      </c>
      <c r="D8368" s="10" t="inlineStr">
        <is>
          <t>上り</t>
        </is>
      </c>
      <c r="E8368" t="inlineStr">
        <is>
          <t>2352</t>
        </is>
      </c>
      <c r="F8368" t="inlineStr">
        <is>
          <t>0304</t>
        </is>
      </c>
      <c r="G8368" s="10" t="inlineStr">
        <is>
          <t>龍安寺</t>
        </is>
      </c>
      <c r="H8368" s="10" t="inlineStr">
        <is>
          <t>発</t>
        </is>
      </c>
      <c r="J8368" s="10" t="inlineStr">
        <is>
          <t>営業</t>
        </is>
      </c>
      <c r="L8368" t="inlineStr">
        <is>
          <t>23:34:45</t>
        </is>
      </c>
      <c r="M8368" t="inlineStr">
        <is>
          <t>23:34:55</t>
        </is>
      </c>
    </row>
    <row r="8369" ht="15" customHeight="1" s="37">
      <c r="A8369" t="n">
        <v>24</v>
      </c>
      <c r="B8369" s="10" t="inlineStr">
        <is>
          <t>平日</t>
        </is>
      </c>
      <c r="C8369" s="10" t="inlineStr">
        <is>
          <t>北野線</t>
        </is>
      </c>
      <c r="D8369" s="10" t="inlineStr">
        <is>
          <t>上り</t>
        </is>
      </c>
      <c r="E8369" t="inlineStr">
        <is>
          <t>2352</t>
        </is>
      </c>
      <c r="F8369" t="inlineStr">
        <is>
          <t>0304</t>
        </is>
      </c>
      <c r="G8369" s="10" t="inlineStr">
        <is>
          <t>等持院</t>
        </is>
      </c>
      <c r="H8369" s="10" t="inlineStr">
        <is>
          <t>発</t>
        </is>
      </c>
      <c r="J8369" s="10" t="inlineStr">
        <is>
          <t>営業</t>
        </is>
      </c>
      <c r="L8369" t="inlineStr">
        <is>
          <t>23:35:35</t>
        </is>
      </c>
      <c r="M8369" t="inlineStr">
        <is>
          <t>23:35:55</t>
        </is>
      </c>
    </row>
    <row r="8370" ht="15" customHeight="1" s="37">
      <c r="A8370" t="n">
        <v>24</v>
      </c>
      <c r="B8370" s="10" t="inlineStr">
        <is>
          <t>平日</t>
        </is>
      </c>
      <c r="C8370" s="10" t="inlineStr">
        <is>
          <t>北野線</t>
        </is>
      </c>
      <c r="D8370" s="10" t="inlineStr">
        <is>
          <t>上り</t>
        </is>
      </c>
      <c r="E8370" t="inlineStr">
        <is>
          <t>2352</t>
        </is>
      </c>
      <c r="F8370" t="inlineStr">
        <is>
          <t>0304</t>
        </is>
      </c>
      <c r="G8370" s="10" t="inlineStr">
        <is>
          <t>北野白梅町</t>
        </is>
      </c>
      <c r="H8370" s="10" t="inlineStr">
        <is>
          <t>着</t>
        </is>
      </c>
      <c r="J8370" s="10" t="inlineStr">
        <is>
          <t>営業</t>
        </is>
      </c>
      <c r="L8370" t="inlineStr">
        <is>
          <t>23:37:15</t>
        </is>
      </c>
      <c r="N8370" t="inlineStr">
        <is>
          <t>○</t>
        </is>
      </c>
      <c r="Q8370" t="inlineStr">
        <is>
          <t>1</t>
        </is>
      </c>
    </row>
    <row r="8371" ht="15" customHeight="1" s="37">
      <c r="A8371" t="n">
        <v>24</v>
      </c>
      <c r="B8371" s="10" t="inlineStr">
        <is>
          <t>平日</t>
        </is>
      </c>
      <c r="C8371" s="10" t="inlineStr">
        <is>
          <t>北野線</t>
        </is>
      </c>
      <c r="D8371" s="10" t="inlineStr">
        <is>
          <t>下り</t>
        </is>
      </c>
      <c r="E8371" t="inlineStr">
        <is>
          <t>2353</t>
        </is>
      </c>
      <c r="F8371" t="inlineStr">
        <is>
          <t>0453</t>
        </is>
      </c>
      <c r="G8371" s="10" t="inlineStr">
        <is>
          <t>北野白梅町</t>
        </is>
      </c>
      <c r="H8371" s="10" t="inlineStr">
        <is>
          <t>発</t>
        </is>
      </c>
      <c r="J8371" s="10" t="inlineStr">
        <is>
          <t>営業</t>
        </is>
      </c>
      <c r="M8371" t="inlineStr">
        <is>
          <t>23:40:00</t>
        </is>
      </c>
      <c r="Q8371" t="inlineStr">
        <is>
          <t>1</t>
        </is>
      </c>
    </row>
    <row r="8372" ht="15" customHeight="1" s="37">
      <c r="A8372" t="n">
        <v>24</v>
      </c>
      <c r="B8372" s="10" t="inlineStr">
        <is>
          <t>平日</t>
        </is>
      </c>
      <c r="C8372" s="10" t="inlineStr">
        <is>
          <t>北野線</t>
        </is>
      </c>
      <c r="D8372" s="10" t="inlineStr">
        <is>
          <t>下り</t>
        </is>
      </c>
      <c r="E8372" t="inlineStr">
        <is>
          <t>2353</t>
        </is>
      </c>
      <c r="F8372" t="inlineStr">
        <is>
          <t>0453</t>
        </is>
      </c>
      <c r="G8372" s="10" t="inlineStr">
        <is>
          <t>等持院</t>
        </is>
      </c>
      <c r="H8372" s="10" t="inlineStr">
        <is>
          <t>発</t>
        </is>
      </c>
      <c r="J8372" s="10" t="inlineStr">
        <is>
          <t>営業</t>
        </is>
      </c>
      <c r="L8372" t="inlineStr">
        <is>
          <t>23:41:25</t>
        </is>
      </c>
      <c r="M8372" t="inlineStr">
        <is>
          <t>23:41:35</t>
        </is>
      </c>
    </row>
    <row r="8373" ht="15" customHeight="1" s="37">
      <c r="A8373" t="n">
        <v>24</v>
      </c>
      <c r="B8373" s="10" t="inlineStr">
        <is>
          <t>平日</t>
        </is>
      </c>
      <c r="C8373" s="10" t="inlineStr">
        <is>
          <t>北野線</t>
        </is>
      </c>
      <c r="D8373" s="10" t="inlineStr">
        <is>
          <t>下り</t>
        </is>
      </c>
      <c r="E8373" t="inlineStr">
        <is>
          <t>2353</t>
        </is>
      </c>
      <c r="F8373" t="inlineStr">
        <is>
          <t>0453</t>
        </is>
      </c>
      <c r="G8373" s="10" t="inlineStr">
        <is>
          <t>龍安寺</t>
        </is>
      </c>
      <c r="H8373" s="10" t="inlineStr">
        <is>
          <t>発</t>
        </is>
      </c>
      <c r="J8373" s="10" t="inlineStr">
        <is>
          <t>営業</t>
        </is>
      </c>
      <c r="L8373" t="inlineStr">
        <is>
          <t>23:42:25</t>
        </is>
      </c>
      <c r="M8373" t="inlineStr">
        <is>
          <t>23:42:50</t>
        </is>
      </c>
    </row>
    <row r="8374" ht="15" customHeight="1" s="37">
      <c r="A8374" t="n">
        <v>24</v>
      </c>
      <c r="B8374" s="10" t="inlineStr">
        <is>
          <t>平日</t>
        </is>
      </c>
      <c r="C8374" s="10" t="inlineStr">
        <is>
          <t>北野線</t>
        </is>
      </c>
      <c r="D8374" s="10" t="inlineStr">
        <is>
          <t>下り</t>
        </is>
      </c>
      <c r="E8374" t="inlineStr">
        <is>
          <t>2353</t>
        </is>
      </c>
      <c r="F8374" t="inlineStr">
        <is>
          <t>0453</t>
        </is>
      </c>
      <c r="G8374" s="10" t="inlineStr">
        <is>
          <t>妙心寺</t>
        </is>
      </c>
      <c r="H8374" s="10" t="inlineStr">
        <is>
          <t>発</t>
        </is>
      </c>
      <c r="J8374" s="10" t="inlineStr">
        <is>
          <t>営業</t>
        </is>
      </c>
      <c r="L8374" t="inlineStr">
        <is>
          <t>23:43:40</t>
        </is>
      </c>
      <c r="M8374" t="inlineStr">
        <is>
          <t>23:43:50</t>
        </is>
      </c>
    </row>
    <row r="8375" ht="15" customHeight="1" s="37">
      <c r="A8375" t="n">
        <v>24</v>
      </c>
      <c r="B8375" s="10" t="inlineStr">
        <is>
          <t>平日</t>
        </is>
      </c>
      <c r="C8375" s="10" t="inlineStr">
        <is>
          <t>北野線</t>
        </is>
      </c>
      <c r="D8375" s="10" t="inlineStr">
        <is>
          <t>下り</t>
        </is>
      </c>
      <c r="E8375" t="inlineStr">
        <is>
          <t>2353</t>
        </is>
      </c>
      <c r="F8375" t="inlineStr">
        <is>
          <t>0453</t>
        </is>
      </c>
      <c r="G8375" s="10" t="inlineStr">
        <is>
          <t>御室仁和寺</t>
        </is>
      </c>
      <c r="H8375" s="10" t="inlineStr">
        <is>
          <t>発</t>
        </is>
      </c>
      <c r="J8375" s="10" t="inlineStr">
        <is>
          <t>営業</t>
        </is>
      </c>
      <c r="L8375" t="inlineStr">
        <is>
          <t>23:44:50</t>
        </is>
      </c>
      <c r="M8375" t="inlineStr">
        <is>
          <t>23:45:05</t>
        </is>
      </c>
    </row>
    <row r="8376" ht="15" customHeight="1" s="37">
      <c r="A8376" t="n">
        <v>24</v>
      </c>
      <c r="B8376" s="10" t="inlineStr">
        <is>
          <t>平日</t>
        </is>
      </c>
      <c r="C8376" s="10" t="inlineStr">
        <is>
          <t>北野線</t>
        </is>
      </c>
      <c r="D8376" s="10" t="inlineStr">
        <is>
          <t>下り</t>
        </is>
      </c>
      <c r="E8376" t="inlineStr">
        <is>
          <t>2353</t>
        </is>
      </c>
      <c r="F8376" t="inlineStr">
        <is>
          <t>0453</t>
        </is>
      </c>
      <c r="G8376" s="10" t="inlineStr">
        <is>
          <t>宇多野</t>
        </is>
      </c>
      <c r="H8376" s="10" t="inlineStr">
        <is>
          <t>発</t>
        </is>
      </c>
      <c r="J8376" s="10" t="inlineStr">
        <is>
          <t>営業</t>
        </is>
      </c>
      <c r="L8376" t="inlineStr">
        <is>
          <t>23:46:05</t>
        </is>
      </c>
      <c r="M8376" t="inlineStr">
        <is>
          <t>23:46:15</t>
        </is>
      </c>
    </row>
    <row r="8377" ht="15" customHeight="1" s="37">
      <c r="A8377" t="n">
        <v>24</v>
      </c>
      <c r="B8377" s="10" t="inlineStr">
        <is>
          <t>平日</t>
        </is>
      </c>
      <c r="C8377" s="10" t="inlineStr">
        <is>
          <t>北野線</t>
        </is>
      </c>
      <c r="D8377" s="10" t="inlineStr">
        <is>
          <t>下り</t>
        </is>
      </c>
      <c r="E8377" t="inlineStr">
        <is>
          <t>2353</t>
        </is>
      </c>
      <c r="F8377" t="inlineStr">
        <is>
          <t>0453</t>
        </is>
      </c>
      <c r="G8377" s="10" t="inlineStr">
        <is>
          <t>鳴滝</t>
        </is>
      </c>
      <c r="H8377" s="10" t="inlineStr">
        <is>
          <t>発</t>
        </is>
      </c>
      <c r="J8377" s="10" t="inlineStr">
        <is>
          <t>営業</t>
        </is>
      </c>
      <c r="L8377" t="inlineStr">
        <is>
          <t>23:47:35</t>
        </is>
      </c>
      <c r="M8377" t="inlineStr">
        <is>
          <t>23:47:45</t>
        </is>
      </c>
    </row>
    <row r="8378" ht="15" customHeight="1" s="37">
      <c r="A8378" t="n">
        <v>24</v>
      </c>
      <c r="B8378" s="10" t="inlineStr">
        <is>
          <t>平日</t>
        </is>
      </c>
      <c r="C8378" s="10" t="inlineStr">
        <is>
          <t>北野線</t>
        </is>
      </c>
      <c r="D8378" s="10" t="inlineStr">
        <is>
          <t>下り</t>
        </is>
      </c>
      <c r="E8378" t="inlineStr">
        <is>
          <t>2353</t>
        </is>
      </c>
      <c r="F8378" t="inlineStr">
        <is>
          <t>0453</t>
        </is>
      </c>
      <c r="G8378" s="10" t="inlineStr">
        <is>
          <t>常盤</t>
        </is>
      </c>
      <c r="H8378" s="10" t="inlineStr">
        <is>
          <t>発</t>
        </is>
      </c>
      <c r="J8378" s="10" t="inlineStr">
        <is>
          <t>営業</t>
        </is>
      </c>
      <c r="L8378" t="inlineStr">
        <is>
          <t>23:48:35</t>
        </is>
      </c>
      <c r="M8378" t="inlineStr">
        <is>
          <t>23:48:55</t>
        </is>
      </c>
    </row>
    <row r="8379" ht="15" customHeight="1" s="37">
      <c r="A8379" t="n">
        <v>24</v>
      </c>
      <c r="B8379" s="10" t="inlineStr">
        <is>
          <t>平日</t>
        </is>
      </c>
      <c r="C8379" s="10" t="inlineStr">
        <is>
          <t>北野線</t>
        </is>
      </c>
      <c r="D8379" s="10" t="inlineStr">
        <is>
          <t>下り</t>
        </is>
      </c>
      <c r="E8379" t="inlineStr">
        <is>
          <t>2353</t>
        </is>
      </c>
      <c r="F8379" t="inlineStr">
        <is>
          <t>0453</t>
        </is>
      </c>
      <c r="G8379" s="10" t="inlineStr">
        <is>
          <t>撮影所前</t>
        </is>
      </c>
      <c r="H8379" s="10" t="inlineStr">
        <is>
          <t>発</t>
        </is>
      </c>
      <c r="J8379" s="10" t="inlineStr">
        <is>
          <t>営業</t>
        </is>
      </c>
      <c r="L8379" t="inlineStr">
        <is>
          <t>23:50:15</t>
        </is>
      </c>
      <c r="M8379" t="inlineStr">
        <is>
          <t>23:50:30</t>
        </is>
      </c>
    </row>
    <row r="8380" ht="15" customHeight="1" s="37">
      <c r="A8380" t="n">
        <v>24</v>
      </c>
      <c r="B8380" s="10" t="inlineStr">
        <is>
          <t>平日</t>
        </is>
      </c>
      <c r="C8380" s="10" t="inlineStr">
        <is>
          <t>北野線</t>
        </is>
      </c>
      <c r="D8380" s="10" t="inlineStr">
        <is>
          <t>下り</t>
        </is>
      </c>
      <c r="E8380" t="inlineStr">
        <is>
          <t>2353</t>
        </is>
      </c>
      <c r="F8380" t="inlineStr">
        <is>
          <t>0453</t>
        </is>
      </c>
      <c r="G8380" s="10" t="inlineStr">
        <is>
          <t>帷子ノ辻</t>
        </is>
      </c>
      <c r="H8380" s="10" t="inlineStr">
        <is>
          <t>着</t>
        </is>
      </c>
      <c r="J8380" s="10" t="inlineStr">
        <is>
          <t>営業</t>
        </is>
      </c>
      <c r="L8380" t="inlineStr">
        <is>
          <t>23:51:25</t>
        </is>
      </c>
      <c r="Q8380" t="inlineStr">
        <is>
          <t>4入</t>
        </is>
      </c>
      <c r="T8380" t="inlineStr">
        <is>
          <t>○</t>
        </is>
      </c>
    </row>
    <row r="8381" ht="15" customHeight="1" s="37">
      <c r="A8381" t="n">
        <v>24</v>
      </c>
      <c r="B8381" s="10" t="inlineStr">
        <is>
          <t>平日</t>
        </is>
      </c>
      <c r="C8381" s="10" t="inlineStr">
        <is>
          <t>本線</t>
        </is>
      </c>
      <c r="D8381" s="10" t="inlineStr">
        <is>
          <t>下り</t>
        </is>
      </c>
      <c r="E8381" t="inlineStr">
        <is>
          <t>24系統⑩便乗</t>
        </is>
      </c>
      <c r="F8381" s="10" t="inlineStr">
        <is>
          <t>便乗</t>
        </is>
      </c>
      <c r="G8381" s="10" t="inlineStr">
        <is>
          <t>西院</t>
        </is>
      </c>
      <c r="H8381" s="10" t="inlineStr">
        <is>
          <t>発</t>
        </is>
      </c>
      <c r="J8381" s="10" t="inlineStr">
        <is>
          <t>便乗</t>
        </is>
      </c>
      <c r="L8381" t="inlineStr">
        <is>
          <t>15:05:50</t>
        </is>
      </c>
      <c r="M8381" t="inlineStr">
        <is>
          <t>15:06:20</t>
        </is>
      </c>
      <c r="S8381" t="inlineStr">
        <is>
          <t>連1501</t>
        </is>
      </c>
    </row>
    <row r="8382" ht="15" customHeight="1" s="37">
      <c r="A8382" t="n">
        <v>24</v>
      </c>
      <c r="B8382" s="10" t="inlineStr">
        <is>
          <t>平日</t>
        </is>
      </c>
      <c r="C8382" s="10" t="inlineStr">
        <is>
          <t>本線</t>
        </is>
      </c>
      <c r="D8382" s="10" t="inlineStr">
        <is>
          <t>下り</t>
        </is>
      </c>
      <c r="E8382" t="inlineStr">
        <is>
          <t>24系統⑩便乗</t>
        </is>
      </c>
      <c r="F8382" s="10" t="inlineStr">
        <is>
          <t>便乗</t>
        </is>
      </c>
      <c r="G8382" s="10" t="inlineStr">
        <is>
          <t>西大路三条</t>
        </is>
      </c>
      <c r="H8382" s="10" t="inlineStr">
        <is>
          <t>発</t>
        </is>
      </c>
      <c r="J8382" s="10" t="inlineStr">
        <is>
          <t>便乗</t>
        </is>
      </c>
      <c r="L8382" t="inlineStr">
        <is>
          <t>15:08:10</t>
        </is>
      </c>
      <c r="M8382" t="inlineStr">
        <is>
          <t>15:08:30</t>
        </is>
      </c>
      <c r="S8382" t="inlineStr">
        <is>
          <t>連1501</t>
        </is>
      </c>
    </row>
    <row r="8383" ht="16.5" customHeight="1" s="37">
      <c r="A8383" t="n">
        <v>24</v>
      </c>
      <c r="B8383" s="10" t="inlineStr">
        <is>
          <t>平日</t>
        </is>
      </c>
      <c r="C8383" s="10" t="inlineStr">
        <is>
          <t>本線</t>
        </is>
      </c>
      <c r="D8383" s="10" t="inlineStr">
        <is>
          <t>下り</t>
        </is>
      </c>
      <c r="E8383" t="inlineStr">
        <is>
          <t>24系統⑩便乗</t>
        </is>
      </c>
      <c r="F8383" s="10" t="inlineStr">
        <is>
          <t>便乗</t>
        </is>
      </c>
      <c r="G8383" s="10" t="inlineStr">
        <is>
          <t>山ノ内</t>
        </is>
      </c>
      <c r="H8383" s="10" t="inlineStr">
        <is>
          <t>発</t>
        </is>
      </c>
      <c r="J8383" s="10" t="inlineStr">
        <is>
          <t>便乗</t>
        </is>
      </c>
      <c r="L8383" t="inlineStr">
        <is>
          <t>15:10:25</t>
        </is>
      </c>
      <c r="M8383" t="inlineStr">
        <is>
          <t>15:10:50</t>
        </is>
      </c>
      <c r="S8383" t="inlineStr">
        <is>
          <t>連1501</t>
        </is>
      </c>
    </row>
    <row r="8384" ht="16.5" customHeight="1" s="37">
      <c r="A8384" t="n">
        <v>24</v>
      </c>
      <c r="B8384" s="10" t="inlineStr">
        <is>
          <t>平日</t>
        </is>
      </c>
      <c r="C8384" s="10" t="inlineStr">
        <is>
          <t>本線</t>
        </is>
      </c>
      <c r="D8384" s="10" t="inlineStr">
        <is>
          <t>下り</t>
        </is>
      </c>
      <c r="E8384" t="inlineStr">
        <is>
          <t>24系統⑩便乗</t>
        </is>
      </c>
      <c r="F8384" s="10" t="inlineStr">
        <is>
          <t>便乗</t>
        </is>
      </c>
      <c r="G8384" s="10" t="inlineStr">
        <is>
          <t>天神川</t>
        </is>
      </c>
      <c r="H8384" s="10" t="inlineStr">
        <is>
          <t>発</t>
        </is>
      </c>
      <c r="J8384" s="10" t="inlineStr">
        <is>
          <t>便乗</t>
        </is>
      </c>
      <c r="L8384" t="inlineStr">
        <is>
          <t>15:12:50</t>
        </is>
      </c>
      <c r="M8384" t="inlineStr">
        <is>
          <t>15:13:30</t>
        </is>
      </c>
      <c r="S8384" t="inlineStr">
        <is>
          <t>連1501</t>
        </is>
      </c>
    </row>
    <row r="8385" ht="16.5" customHeight="1" s="37">
      <c r="A8385" t="n">
        <v>24</v>
      </c>
      <c r="B8385" s="10" t="inlineStr">
        <is>
          <t>平日</t>
        </is>
      </c>
      <c r="C8385" s="10" t="inlineStr">
        <is>
          <t>本線</t>
        </is>
      </c>
      <c r="D8385" s="10" t="inlineStr">
        <is>
          <t>下り</t>
        </is>
      </c>
      <c r="E8385" t="inlineStr">
        <is>
          <t>24系統⑩便乗</t>
        </is>
      </c>
      <c r="F8385" s="10" t="inlineStr">
        <is>
          <t>便乗</t>
        </is>
      </c>
      <c r="G8385" s="10" t="inlineStr">
        <is>
          <t>蚕ノ社</t>
        </is>
      </c>
      <c r="H8385" s="10" t="inlineStr">
        <is>
          <t>発</t>
        </is>
      </c>
      <c r="J8385" s="10" t="inlineStr">
        <is>
          <t>便乗</t>
        </is>
      </c>
      <c r="L8385" t="inlineStr">
        <is>
          <t>15:14:20</t>
        </is>
      </c>
      <c r="M8385" t="inlineStr">
        <is>
          <t>15:14:40</t>
        </is>
      </c>
      <c r="S8385" t="inlineStr">
        <is>
          <t>連1501</t>
        </is>
      </c>
    </row>
    <row r="8386" ht="16.5" customHeight="1" s="37">
      <c r="A8386" t="n">
        <v>24</v>
      </c>
      <c r="B8386" s="10" t="inlineStr">
        <is>
          <t>平日</t>
        </is>
      </c>
      <c r="C8386" s="10" t="inlineStr">
        <is>
          <t>本線</t>
        </is>
      </c>
      <c r="D8386" s="10" t="inlineStr">
        <is>
          <t>下り</t>
        </is>
      </c>
      <c r="E8386" t="inlineStr">
        <is>
          <t>24系統⑩便乗</t>
        </is>
      </c>
      <c r="F8386" s="10" t="inlineStr">
        <is>
          <t>便乗</t>
        </is>
      </c>
      <c r="G8386" s="10" t="inlineStr">
        <is>
          <t>太秦広隆寺</t>
        </is>
      </c>
      <c r="H8386" s="10" t="inlineStr">
        <is>
          <t>発</t>
        </is>
      </c>
      <c r="J8386" s="10" t="inlineStr">
        <is>
          <t>便乗</t>
        </is>
      </c>
      <c r="L8386" t="inlineStr">
        <is>
          <t>15:16:00</t>
        </is>
      </c>
      <c r="M8386" t="inlineStr">
        <is>
          <t>15:16:20</t>
        </is>
      </c>
      <c r="S8386" t="inlineStr">
        <is>
          <t>連1501</t>
        </is>
      </c>
    </row>
    <row r="8387" ht="16.5" customHeight="1" s="37">
      <c r="A8387" t="n">
        <v>24</v>
      </c>
      <c r="B8387" s="10" t="inlineStr">
        <is>
          <t>平日</t>
        </is>
      </c>
      <c r="C8387" s="10" t="inlineStr">
        <is>
          <t>本線</t>
        </is>
      </c>
      <c r="D8387" s="10" t="inlineStr">
        <is>
          <t>下り</t>
        </is>
      </c>
      <c r="E8387" t="inlineStr">
        <is>
          <t>24系統⑩便乗</t>
        </is>
      </c>
      <c r="F8387" s="10" t="inlineStr">
        <is>
          <t>便乗</t>
        </is>
      </c>
      <c r="G8387" s="10" t="inlineStr">
        <is>
          <t>帷子ノ辻</t>
        </is>
      </c>
      <c r="H8387" s="10" t="inlineStr">
        <is>
          <t>着</t>
        </is>
      </c>
      <c r="J8387" s="10" t="inlineStr">
        <is>
          <t>便乗</t>
        </is>
      </c>
      <c r="L8387" t="inlineStr">
        <is>
          <t>15:18:20</t>
        </is>
      </c>
      <c r="M8387" t="inlineStr">
        <is>
          <t>15:19:40</t>
        </is>
      </c>
      <c r="S8387" t="inlineStr">
        <is>
          <t>連1501</t>
        </is>
      </c>
    </row>
    <row r="8388" ht="16.5" customHeight="1" s="37">
      <c r="A8388" t="n">
        <v>24</v>
      </c>
      <c r="B8388" s="10" t="inlineStr">
        <is>
          <t>平日</t>
        </is>
      </c>
      <c r="C8388" s="10" t="inlineStr">
        <is>
          <t>本線</t>
        </is>
      </c>
      <c r="D8388" s="10" t="inlineStr">
        <is>
          <t>上り</t>
        </is>
      </c>
      <c r="E8388" s="10" t="inlineStr">
        <is>
          <t>回2390</t>
        </is>
      </c>
      <c r="G8388" s="10" t="inlineStr">
        <is>
          <t>帷子ノ辻</t>
        </is>
      </c>
      <c r="H8388" s="10" t="inlineStr">
        <is>
          <t>発</t>
        </is>
      </c>
      <c r="I8388" t="inlineStr">
        <is>
          <t>○</t>
        </is>
      </c>
      <c r="J8388" s="10" t="inlineStr">
        <is>
          <t>回送</t>
        </is>
      </c>
      <c r="M8388" t="inlineStr">
        <is>
          <t>23:58:05</t>
        </is>
      </c>
    </row>
    <row r="8389" ht="16.5" customHeight="1" s="37">
      <c r="A8389" t="n">
        <v>24</v>
      </c>
      <c r="B8389" s="10" t="inlineStr">
        <is>
          <t>平日</t>
        </is>
      </c>
      <c r="C8389" s="10" t="inlineStr">
        <is>
          <t>本線</t>
        </is>
      </c>
      <c r="D8389" s="10" t="inlineStr">
        <is>
          <t>上り</t>
        </is>
      </c>
      <c r="E8389" s="10" t="inlineStr">
        <is>
          <t>回2390</t>
        </is>
      </c>
      <c r="G8389" s="10" t="inlineStr">
        <is>
          <t>太秦広隆寺</t>
        </is>
      </c>
      <c r="H8389" s="10" t="inlineStr">
        <is>
          <t>発</t>
        </is>
      </c>
      <c r="I8389" t="inlineStr">
        <is>
          <t>○</t>
        </is>
      </c>
      <c r="J8389" s="10" t="inlineStr">
        <is>
          <t>回送</t>
        </is>
      </c>
      <c r="L8389" t="inlineStr">
        <is>
          <t>24:00:15</t>
        </is>
      </c>
      <c r="M8389" t="inlineStr">
        <is>
          <t>24:00:15</t>
        </is>
      </c>
    </row>
    <row r="8390" ht="16.5" customHeight="1" s="37">
      <c r="A8390" t="n">
        <v>24</v>
      </c>
      <c r="B8390" s="10" t="inlineStr">
        <is>
          <t>平日</t>
        </is>
      </c>
      <c r="C8390" s="10" t="inlineStr">
        <is>
          <t>本線</t>
        </is>
      </c>
      <c r="D8390" s="10" t="inlineStr">
        <is>
          <t>上り</t>
        </is>
      </c>
      <c r="E8390" s="10" t="inlineStr">
        <is>
          <t>回2390</t>
        </is>
      </c>
      <c r="G8390" s="10" t="inlineStr">
        <is>
          <t>蚕ノ社</t>
        </is>
      </c>
      <c r="H8390" s="10" t="inlineStr">
        <is>
          <t>発</t>
        </is>
      </c>
      <c r="I8390" t="inlineStr">
        <is>
          <t>○</t>
        </is>
      </c>
      <c r="J8390" s="10" t="inlineStr">
        <is>
          <t>回送</t>
        </is>
      </c>
      <c r="L8390" t="inlineStr">
        <is>
          <t>24:01:30</t>
        </is>
      </c>
      <c r="M8390" t="inlineStr">
        <is>
          <t>24:01:30</t>
        </is>
      </c>
    </row>
    <row r="8391" ht="16.5" customHeight="1" s="37">
      <c r="A8391" t="n">
        <v>24</v>
      </c>
      <c r="B8391" s="10" t="inlineStr">
        <is>
          <t>平日</t>
        </is>
      </c>
      <c r="C8391" s="10" t="inlineStr">
        <is>
          <t>本線</t>
        </is>
      </c>
      <c r="D8391" s="10" t="inlineStr">
        <is>
          <t>上り</t>
        </is>
      </c>
      <c r="E8391" s="10" t="inlineStr">
        <is>
          <t>回2390</t>
        </is>
      </c>
      <c r="G8391" s="10" t="inlineStr">
        <is>
          <t>天神川</t>
        </is>
      </c>
      <c r="H8391" s="10" t="inlineStr">
        <is>
          <t>発</t>
        </is>
      </c>
      <c r="I8391" t="inlineStr">
        <is>
          <t>○</t>
        </is>
      </c>
      <c r="J8391" s="10" t="inlineStr">
        <is>
          <t>回送</t>
        </is>
      </c>
      <c r="L8391" t="inlineStr">
        <is>
          <t>24:02:15</t>
        </is>
      </c>
      <c r="M8391" t="inlineStr">
        <is>
          <t>24:02:40</t>
        </is>
      </c>
    </row>
    <row r="8392" ht="16.5" customHeight="1" s="37">
      <c r="A8392" t="n">
        <v>24</v>
      </c>
      <c r="B8392" s="10" t="inlineStr">
        <is>
          <t>平日</t>
        </is>
      </c>
      <c r="C8392" s="10" t="inlineStr">
        <is>
          <t>本線</t>
        </is>
      </c>
      <c r="D8392" s="10" t="inlineStr">
        <is>
          <t>上り</t>
        </is>
      </c>
      <c r="E8392" s="10" t="inlineStr">
        <is>
          <t>回2390</t>
        </is>
      </c>
      <c r="G8392" s="10" t="inlineStr">
        <is>
          <t>山ノ内</t>
        </is>
      </c>
      <c r="H8392" s="10" t="inlineStr">
        <is>
          <t>発</t>
        </is>
      </c>
      <c r="I8392" t="inlineStr">
        <is>
          <t>○</t>
        </is>
      </c>
      <c r="J8392" s="10" t="inlineStr">
        <is>
          <t>回送</t>
        </is>
      </c>
      <c r="L8392" t="inlineStr">
        <is>
          <t>24:04:30</t>
        </is>
      </c>
      <c r="M8392" t="inlineStr">
        <is>
          <t>24:04:55</t>
        </is>
      </c>
    </row>
    <row r="8393" ht="16.5" customHeight="1" s="37">
      <c r="A8393" t="n">
        <v>24</v>
      </c>
      <c r="B8393" s="10" t="inlineStr">
        <is>
          <t>平日</t>
        </is>
      </c>
      <c r="C8393" s="10" t="inlineStr">
        <is>
          <t>本線</t>
        </is>
      </c>
      <c r="D8393" s="10" t="inlineStr">
        <is>
          <t>上り</t>
        </is>
      </c>
      <c r="E8393" s="10" t="inlineStr">
        <is>
          <t>回2390</t>
        </is>
      </c>
      <c r="G8393" s="10" t="inlineStr">
        <is>
          <t>西大路三条</t>
        </is>
      </c>
      <c r="H8393" s="10" t="inlineStr">
        <is>
          <t>発</t>
        </is>
      </c>
      <c r="I8393" t="inlineStr">
        <is>
          <t>○</t>
        </is>
      </c>
      <c r="J8393" s="10" t="inlineStr">
        <is>
          <t>回送</t>
        </is>
      </c>
      <c r="L8393" t="inlineStr">
        <is>
          <t>24:06:45</t>
        </is>
      </c>
      <c r="M8393" t="inlineStr">
        <is>
          <t>24:06:45</t>
        </is>
      </c>
    </row>
    <row r="8394" ht="16.5" customHeight="1" s="37">
      <c r="A8394" t="n">
        <v>24</v>
      </c>
      <c r="B8394" s="10" t="inlineStr">
        <is>
          <t>平日</t>
        </is>
      </c>
      <c r="C8394" s="10" t="inlineStr">
        <is>
          <t>本線</t>
        </is>
      </c>
      <c r="D8394" s="10" t="inlineStr">
        <is>
          <t>上り</t>
        </is>
      </c>
      <c r="E8394" s="10" t="inlineStr">
        <is>
          <t>回2390</t>
        </is>
      </c>
      <c r="G8394" s="10" t="inlineStr">
        <is>
          <t>西院</t>
        </is>
      </c>
      <c r="H8394" s="10" t="inlineStr">
        <is>
          <t>着</t>
        </is>
      </c>
      <c r="I8394" t="inlineStr">
        <is>
          <t>○</t>
        </is>
      </c>
      <c r="J8394" s="10" t="inlineStr">
        <is>
          <t>回送</t>
        </is>
      </c>
      <c r="L8394" t="inlineStr">
        <is>
          <t>24:08:40</t>
        </is>
      </c>
    </row>
    <row r="8395" ht="16.5" customHeight="1" s="37">
      <c r="A8395" t="n">
        <v>26</v>
      </c>
      <c r="B8395" s="10" t="inlineStr">
        <is>
          <t>平日</t>
        </is>
      </c>
      <c r="C8395" s="10" t="inlineStr">
        <is>
          <t>本線</t>
        </is>
      </c>
      <c r="D8395" s="10" t="inlineStr">
        <is>
          <t>下り</t>
        </is>
      </c>
      <c r="E8395" s="10" t="inlineStr">
        <is>
          <t>連回0971</t>
        </is>
      </c>
      <c r="F8395" s="10" t="inlineStr">
        <is>
          <t>回送</t>
        </is>
      </c>
      <c r="G8395" s="10" t="inlineStr">
        <is>
          <t>四条大宮</t>
        </is>
      </c>
      <c r="H8395" s="10" t="inlineStr">
        <is>
          <t>発</t>
        </is>
      </c>
      <c r="J8395" s="10" t="inlineStr">
        <is>
          <t>回送</t>
        </is>
      </c>
      <c r="M8395" t="inlineStr">
        <is>
          <t>9:15:00</t>
        </is>
      </c>
      <c r="P8395" t="inlineStr">
        <is>
          <t>H系統</t>
        </is>
      </c>
      <c r="Q8395" t="inlineStr">
        <is>
          <t>1</t>
        </is>
      </c>
    </row>
    <row r="8396" ht="16.5" customHeight="1" s="37">
      <c r="A8396" t="n">
        <v>26</v>
      </c>
      <c r="B8396" s="10" t="inlineStr">
        <is>
          <t>平日</t>
        </is>
      </c>
      <c r="C8396" s="10" t="inlineStr">
        <is>
          <t>本線</t>
        </is>
      </c>
      <c r="D8396" s="10" t="inlineStr">
        <is>
          <t>下り</t>
        </is>
      </c>
      <c r="E8396" s="10" t="inlineStr">
        <is>
          <t>連回0971</t>
        </is>
      </c>
      <c r="F8396" s="10" t="inlineStr">
        <is>
          <t>回送</t>
        </is>
      </c>
      <c r="G8396" s="10" t="inlineStr">
        <is>
          <t>西院</t>
        </is>
      </c>
      <c r="H8396" s="10" t="inlineStr">
        <is>
          <t>着</t>
        </is>
      </c>
      <c r="J8396" s="10" t="inlineStr">
        <is>
          <t>回送</t>
        </is>
      </c>
      <c r="L8396" t="inlineStr">
        <is>
          <t>9:17:50</t>
        </is>
      </c>
      <c r="P8396" t="inlineStr">
        <is>
          <t>H系統</t>
        </is>
      </c>
    </row>
    <row r="8397" ht="16.5" customHeight="1" s="37">
      <c r="A8397" t="n">
        <v>26</v>
      </c>
      <c r="B8397" s="10" t="inlineStr">
        <is>
          <t>平日</t>
        </is>
      </c>
      <c r="C8397" s="10" t="inlineStr">
        <is>
          <t>本線</t>
        </is>
      </c>
      <c r="D8397" s="10" t="inlineStr">
        <is>
          <t>下り</t>
        </is>
      </c>
      <c r="E8397" s="10" t="inlineStr">
        <is>
          <t>連0703</t>
        </is>
      </c>
      <c r="F8397" t="inlineStr">
        <is>
          <t>0522</t>
        </is>
      </c>
      <c r="G8397" s="10" t="inlineStr">
        <is>
          <t>西院</t>
        </is>
      </c>
      <c r="H8397" s="10" t="inlineStr">
        <is>
          <t>発</t>
        </is>
      </c>
      <c r="J8397" s="10" t="inlineStr">
        <is>
          <t>営業</t>
        </is>
      </c>
      <c r="M8397" t="inlineStr">
        <is>
          <t>7:11:20</t>
        </is>
      </c>
      <c r="O8397" t="inlineStr">
        <is>
          <t>積込:嵐山金庫(金庫2・納金袋1) 26系統Ⅰ側 嵐山7:32着</t>
        </is>
      </c>
      <c r="P8397" t="inlineStr">
        <is>
          <t>H系統(朝)</t>
        </is>
      </c>
    </row>
    <row r="8398" ht="16.5" customHeight="1" s="37">
      <c r="A8398" t="n">
        <v>26</v>
      </c>
      <c r="B8398" s="10" t="inlineStr">
        <is>
          <t>平日</t>
        </is>
      </c>
      <c r="C8398" s="10" t="inlineStr">
        <is>
          <t>本線</t>
        </is>
      </c>
      <c r="D8398" s="10" t="inlineStr">
        <is>
          <t>下り</t>
        </is>
      </c>
      <c r="E8398" s="10" t="inlineStr">
        <is>
          <t>連0703</t>
        </is>
      </c>
      <c r="F8398" t="inlineStr">
        <is>
          <t>0522</t>
        </is>
      </c>
      <c r="G8398" s="10" t="inlineStr">
        <is>
          <t>西大路三条</t>
        </is>
      </c>
      <c r="H8398" s="10" t="inlineStr">
        <is>
          <t>発</t>
        </is>
      </c>
      <c r="J8398" s="10" t="inlineStr">
        <is>
          <t>営業</t>
        </is>
      </c>
      <c r="L8398" t="inlineStr">
        <is>
          <t>7:13:10</t>
        </is>
      </c>
      <c r="M8398" t="inlineStr">
        <is>
          <t>7:13:30</t>
        </is>
      </c>
      <c r="O8398" t="inlineStr">
        <is>
          <t>積込:嵐山金庫(金庫2・納金袋1) 26系統Ⅰ側 嵐山7:32着</t>
        </is>
      </c>
      <c r="P8398" t="inlineStr">
        <is>
          <t>H系統(朝)</t>
        </is>
      </c>
    </row>
    <row r="8399" ht="16.5" customHeight="1" s="37">
      <c r="A8399" t="n">
        <v>26</v>
      </c>
      <c r="B8399" s="10" t="inlineStr">
        <is>
          <t>平日</t>
        </is>
      </c>
      <c r="C8399" s="10" t="inlineStr">
        <is>
          <t>本線</t>
        </is>
      </c>
      <c r="D8399" s="10" t="inlineStr">
        <is>
          <t>下り</t>
        </is>
      </c>
      <c r="E8399" s="10" t="inlineStr">
        <is>
          <t>連0703</t>
        </is>
      </c>
      <c r="F8399" t="inlineStr">
        <is>
          <t>0522</t>
        </is>
      </c>
      <c r="G8399" s="10" t="inlineStr">
        <is>
          <t>山ノ内</t>
        </is>
      </c>
      <c r="H8399" s="10" t="inlineStr">
        <is>
          <t>発</t>
        </is>
      </c>
      <c r="J8399" s="10" t="inlineStr">
        <is>
          <t>営業</t>
        </is>
      </c>
      <c r="L8399" t="inlineStr">
        <is>
          <t>7:15:25</t>
        </is>
      </c>
      <c r="M8399" t="inlineStr">
        <is>
          <t>7:15:50</t>
        </is>
      </c>
      <c r="O8399" t="inlineStr">
        <is>
          <t>積込:嵐山金庫(金庫2・納金袋1) 26系統Ⅰ側 嵐山7:32着</t>
        </is>
      </c>
      <c r="P8399" t="inlineStr">
        <is>
          <t>H系統(朝)</t>
        </is>
      </c>
    </row>
    <row r="8400" ht="16.5" customHeight="1" s="37">
      <c r="A8400" t="n">
        <v>26</v>
      </c>
      <c r="B8400" s="10" t="inlineStr">
        <is>
          <t>平日</t>
        </is>
      </c>
      <c r="C8400" s="10" t="inlineStr">
        <is>
          <t>本線</t>
        </is>
      </c>
      <c r="D8400" s="10" t="inlineStr">
        <is>
          <t>下り</t>
        </is>
      </c>
      <c r="E8400" s="10" t="inlineStr">
        <is>
          <t>連0703</t>
        </is>
      </c>
      <c r="F8400" t="inlineStr">
        <is>
          <t>0522</t>
        </is>
      </c>
      <c r="G8400" s="10" t="inlineStr">
        <is>
          <t>天神川</t>
        </is>
      </c>
      <c r="H8400" s="10" t="inlineStr">
        <is>
          <t>発</t>
        </is>
      </c>
      <c r="J8400" s="10" t="inlineStr">
        <is>
          <t>営業</t>
        </is>
      </c>
      <c r="L8400" t="inlineStr">
        <is>
          <t>7:17:50</t>
        </is>
      </c>
      <c r="M8400" t="inlineStr">
        <is>
          <t>7:18:30</t>
        </is>
      </c>
      <c r="O8400" t="inlineStr">
        <is>
          <t>積込:嵐山金庫(金庫2・納金袋1) 26系統Ⅰ側 嵐山7:32着</t>
        </is>
      </c>
      <c r="P8400" t="inlineStr">
        <is>
          <t>H系統(朝)</t>
        </is>
      </c>
    </row>
    <row r="8401" ht="16.5" customHeight="1" s="37">
      <c r="A8401" t="n">
        <v>26</v>
      </c>
      <c r="B8401" s="10" t="inlineStr">
        <is>
          <t>平日</t>
        </is>
      </c>
      <c r="C8401" s="10" t="inlineStr">
        <is>
          <t>本線</t>
        </is>
      </c>
      <c r="D8401" s="10" t="inlineStr">
        <is>
          <t>下り</t>
        </is>
      </c>
      <c r="E8401" s="10" t="inlineStr">
        <is>
          <t>連0703</t>
        </is>
      </c>
      <c r="F8401" t="inlineStr">
        <is>
          <t>0522</t>
        </is>
      </c>
      <c r="G8401" s="10" t="inlineStr">
        <is>
          <t>蚕ノ社</t>
        </is>
      </c>
      <c r="H8401" s="10" t="inlineStr">
        <is>
          <t>発</t>
        </is>
      </c>
      <c r="J8401" s="10" t="inlineStr">
        <is>
          <t>営業</t>
        </is>
      </c>
      <c r="L8401" t="inlineStr">
        <is>
          <t>7:19:20</t>
        </is>
      </c>
      <c r="M8401" t="inlineStr">
        <is>
          <t>7:19:40</t>
        </is>
      </c>
      <c r="O8401" t="inlineStr">
        <is>
          <t>積込:嵐山金庫(金庫2・納金袋1) 26系統Ⅰ側 嵐山7:32着</t>
        </is>
      </c>
      <c r="P8401" t="inlineStr">
        <is>
          <t>H系統(朝)</t>
        </is>
      </c>
    </row>
    <row r="8402" ht="16.5" customHeight="1" s="37">
      <c r="A8402" t="n">
        <v>26</v>
      </c>
      <c r="B8402" s="10" t="inlineStr">
        <is>
          <t>平日</t>
        </is>
      </c>
      <c r="C8402" s="10" t="inlineStr">
        <is>
          <t>本線</t>
        </is>
      </c>
      <c r="D8402" s="10" t="inlineStr">
        <is>
          <t>下り</t>
        </is>
      </c>
      <c r="E8402" s="10" t="inlineStr">
        <is>
          <t>連0703</t>
        </is>
      </c>
      <c r="F8402" t="inlineStr">
        <is>
          <t>0522</t>
        </is>
      </c>
      <c r="G8402" s="10" t="inlineStr">
        <is>
          <t>太秦広隆寺</t>
        </is>
      </c>
      <c r="H8402" s="10" t="inlineStr">
        <is>
          <t>発</t>
        </is>
      </c>
      <c r="J8402" s="10" t="inlineStr">
        <is>
          <t>営業</t>
        </is>
      </c>
      <c r="L8402" t="inlineStr">
        <is>
          <t>7:21:00</t>
        </is>
      </c>
      <c r="M8402" t="inlineStr">
        <is>
          <t>7:21:20</t>
        </is>
      </c>
      <c r="O8402" t="inlineStr">
        <is>
          <t>積込:嵐山金庫(金庫2・納金袋1) 26系統Ⅰ側 嵐山7:32着</t>
        </is>
      </c>
      <c r="P8402" t="inlineStr">
        <is>
          <t>H系統(朝)</t>
        </is>
      </c>
    </row>
    <row r="8403" ht="16.5" customHeight="1" s="37">
      <c r="A8403" t="n">
        <v>26</v>
      </c>
      <c r="B8403" s="10" t="inlineStr">
        <is>
          <t>平日</t>
        </is>
      </c>
      <c r="C8403" s="10" t="inlineStr">
        <is>
          <t>本線</t>
        </is>
      </c>
      <c r="D8403" s="10" t="inlineStr">
        <is>
          <t>下り</t>
        </is>
      </c>
      <c r="E8403" s="10" t="inlineStr">
        <is>
          <t>連0703</t>
        </is>
      </c>
      <c r="F8403" t="inlineStr">
        <is>
          <t>0522</t>
        </is>
      </c>
      <c r="G8403" s="10" t="inlineStr">
        <is>
          <t>帷子ノ辻</t>
        </is>
      </c>
      <c r="H8403" s="10" t="inlineStr">
        <is>
          <t>発</t>
        </is>
      </c>
      <c r="J8403" s="10" t="inlineStr">
        <is>
          <t>営業</t>
        </is>
      </c>
      <c r="L8403" t="inlineStr">
        <is>
          <t>7:23:20</t>
        </is>
      </c>
      <c r="M8403" t="inlineStr">
        <is>
          <t>7:24:40</t>
        </is>
      </c>
      <c r="O8403" t="inlineStr">
        <is>
          <t>積込:嵐山金庫(金庫2・納金袋1) 26系統Ⅰ側 嵐山7:32着</t>
        </is>
      </c>
      <c r="P8403" t="inlineStr">
        <is>
          <t>H系統(朝)</t>
        </is>
      </c>
    </row>
    <row r="8404" ht="16.5" customHeight="1" s="37">
      <c r="A8404" t="n">
        <v>26</v>
      </c>
      <c r="B8404" s="10" t="inlineStr">
        <is>
          <t>平日</t>
        </is>
      </c>
      <c r="C8404" s="10" t="inlineStr">
        <is>
          <t>本線</t>
        </is>
      </c>
      <c r="D8404" s="10" t="inlineStr">
        <is>
          <t>下り</t>
        </is>
      </c>
      <c r="E8404" s="10" t="inlineStr">
        <is>
          <t>連0703</t>
        </is>
      </c>
      <c r="F8404" t="inlineStr">
        <is>
          <t>0522</t>
        </is>
      </c>
      <c r="G8404" s="10" t="inlineStr">
        <is>
          <t>有栖川</t>
        </is>
      </c>
      <c r="H8404" s="10" t="inlineStr">
        <is>
          <t>発</t>
        </is>
      </c>
      <c r="J8404" s="10" t="inlineStr">
        <is>
          <t>営業</t>
        </is>
      </c>
      <c r="L8404" t="inlineStr">
        <is>
          <t>7:25:50</t>
        </is>
      </c>
      <c r="M8404" t="inlineStr">
        <is>
          <t>7:26:15</t>
        </is>
      </c>
      <c r="O8404" t="inlineStr">
        <is>
          <t>積込:嵐山金庫(金庫2・納金袋1) 26系統Ⅰ側 嵐山7:32着</t>
        </is>
      </c>
      <c r="P8404" t="inlineStr">
        <is>
          <t>H系統(朝)</t>
        </is>
      </c>
    </row>
    <row r="8405" ht="16.5" customHeight="1" s="37">
      <c r="A8405" t="n">
        <v>26</v>
      </c>
      <c r="B8405" s="10" t="inlineStr">
        <is>
          <t>平日</t>
        </is>
      </c>
      <c r="C8405" s="10" t="inlineStr">
        <is>
          <t>本線</t>
        </is>
      </c>
      <c r="D8405" s="10" t="inlineStr">
        <is>
          <t>下り</t>
        </is>
      </c>
      <c r="E8405" s="10" t="inlineStr">
        <is>
          <t>連0703</t>
        </is>
      </c>
      <c r="F8405" t="inlineStr">
        <is>
          <t>0522</t>
        </is>
      </c>
      <c r="G8405" s="10" t="inlineStr">
        <is>
          <t>車折</t>
        </is>
      </c>
      <c r="H8405" s="10" t="inlineStr">
        <is>
          <t>発</t>
        </is>
      </c>
      <c r="J8405" s="10" t="inlineStr">
        <is>
          <t>営業</t>
        </is>
      </c>
      <c r="L8405" t="inlineStr">
        <is>
          <t>7:27:40</t>
        </is>
      </c>
      <c r="M8405" t="inlineStr">
        <is>
          <t>7:28:05</t>
        </is>
      </c>
      <c r="O8405" t="inlineStr">
        <is>
          <t>積込:嵐山金庫(金庫2・納金袋1) 26系統Ⅰ側 嵐山7:32着</t>
        </is>
      </c>
      <c r="P8405" t="inlineStr">
        <is>
          <t>H系統(朝)</t>
        </is>
      </c>
    </row>
    <row r="8406" ht="16.5" customHeight="1" s="37">
      <c r="A8406" t="n">
        <v>26</v>
      </c>
      <c r="B8406" s="10" t="inlineStr">
        <is>
          <t>平日</t>
        </is>
      </c>
      <c r="C8406" s="10" t="inlineStr">
        <is>
          <t>本線</t>
        </is>
      </c>
      <c r="D8406" s="10" t="inlineStr">
        <is>
          <t>下り</t>
        </is>
      </c>
      <c r="E8406" s="10" t="inlineStr">
        <is>
          <t>連0703</t>
        </is>
      </c>
      <c r="F8406" t="inlineStr">
        <is>
          <t>0522</t>
        </is>
      </c>
      <c r="G8406" s="10" t="inlineStr">
        <is>
          <t>鹿王院</t>
        </is>
      </c>
      <c r="H8406" s="10" t="inlineStr">
        <is>
          <t>発</t>
        </is>
      </c>
      <c r="J8406" s="10" t="inlineStr">
        <is>
          <t>営業</t>
        </is>
      </c>
      <c r="L8406" t="inlineStr">
        <is>
          <t>7:29:00</t>
        </is>
      </c>
      <c r="M8406" t="inlineStr">
        <is>
          <t>7:29:25</t>
        </is>
      </c>
      <c r="O8406" t="inlineStr">
        <is>
          <t>積込:嵐山金庫(金庫2・納金袋1) 26系統Ⅰ側 嵐山7:32着</t>
        </is>
      </c>
      <c r="P8406" t="inlineStr">
        <is>
          <t>H系統(朝)</t>
        </is>
      </c>
    </row>
    <row r="8407" ht="16.5" customHeight="1" s="37">
      <c r="A8407" t="n">
        <v>26</v>
      </c>
      <c r="B8407" s="10" t="inlineStr">
        <is>
          <t>平日</t>
        </is>
      </c>
      <c r="C8407" s="10" t="inlineStr">
        <is>
          <t>本線</t>
        </is>
      </c>
      <c r="D8407" s="10" t="inlineStr">
        <is>
          <t>下り</t>
        </is>
      </c>
      <c r="E8407" s="10" t="inlineStr">
        <is>
          <t>連0703</t>
        </is>
      </c>
      <c r="F8407" t="inlineStr">
        <is>
          <t>0522</t>
        </is>
      </c>
      <c r="G8407" s="10" t="inlineStr">
        <is>
          <t>嵯峨</t>
        </is>
      </c>
      <c r="H8407" s="10" t="inlineStr">
        <is>
          <t>発</t>
        </is>
      </c>
      <c r="J8407" s="10" t="inlineStr">
        <is>
          <t>営業</t>
        </is>
      </c>
      <c r="L8407" t="inlineStr">
        <is>
          <t>7:30:30</t>
        </is>
      </c>
      <c r="M8407" t="inlineStr">
        <is>
          <t>7:30:55</t>
        </is>
      </c>
      <c r="O8407" t="inlineStr">
        <is>
          <t>積込:嵐山金庫(金庫2・納金袋1) 26系統Ⅰ側 嵐山7:32着</t>
        </is>
      </c>
      <c r="P8407" t="inlineStr">
        <is>
          <t>H系統(朝)</t>
        </is>
      </c>
    </row>
    <row r="8408" ht="16.5" customHeight="1" s="37">
      <c r="A8408" t="n">
        <v>26</v>
      </c>
      <c r="B8408" s="10" t="inlineStr">
        <is>
          <t>平日</t>
        </is>
      </c>
      <c r="C8408" s="10" t="inlineStr">
        <is>
          <t>本線</t>
        </is>
      </c>
      <c r="D8408" s="10" t="inlineStr">
        <is>
          <t>下り</t>
        </is>
      </c>
      <c r="E8408" s="10" t="inlineStr">
        <is>
          <t>連0703</t>
        </is>
      </c>
      <c r="F8408" t="inlineStr">
        <is>
          <t>0522</t>
        </is>
      </c>
      <c r="G8408" s="10" t="inlineStr">
        <is>
          <t>嵐山</t>
        </is>
      </c>
      <c r="H8408" s="10" t="inlineStr">
        <is>
          <t>着</t>
        </is>
      </c>
      <c r="J8408" s="10" t="inlineStr">
        <is>
          <t>営業</t>
        </is>
      </c>
      <c r="L8408" t="inlineStr">
        <is>
          <t>7:32:00</t>
        </is>
      </c>
      <c r="N8408" t="inlineStr">
        <is>
          <t>○</t>
        </is>
      </c>
      <c r="O8408" t="inlineStr">
        <is>
          <t>積込:嵐山金庫(金庫2・納金袋1) 26系統Ⅰ側 嵐山7:32着</t>
        </is>
      </c>
      <c r="P8408" t="inlineStr">
        <is>
          <t>H系統(朝)</t>
        </is>
      </c>
      <c r="Q8408" t="inlineStr">
        <is>
          <t>2</t>
        </is>
      </c>
    </row>
    <row r="8409" ht="16.5" customHeight="1" s="37">
      <c r="A8409" t="n">
        <v>26</v>
      </c>
      <c r="B8409" s="10" t="inlineStr">
        <is>
          <t>平日</t>
        </is>
      </c>
      <c r="C8409" s="10" t="inlineStr">
        <is>
          <t>本線</t>
        </is>
      </c>
      <c r="D8409" s="10" t="inlineStr">
        <is>
          <t>上り</t>
        </is>
      </c>
      <c r="E8409" s="10" t="inlineStr">
        <is>
          <t>連0712</t>
        </is>
      </c>
      <c r="F8409" t="inlineStr">
        <is>
          <t>2221</t>
        </is>
      </c>
      <c r="G8409" s="10" t="inlineStr">
        <is>
          <t>嵐山</t>
        </is>
      </c>
      <c r="H8409" s="10" t="inlineStr">
        <is>
          <t>発</t>
        </is>
      </c>
      <c r="J8409" s="10" t="inlineStr">
        <is>
          <t>営業</t>
        </is>
      </c>
      <c r="M8409" t="inlineStr">
        <is>
          <t>7:41:00</t>
        </is>
      </c>
      <c r="P8409" t="inlineStr">
        <is>
          <t>H系統(朝)</t>
        </is>
      </c>
      <c r="Q8409" t="inlineStr">
        <is>
          <t>2</t>
        </is>
      </c>
    </row>
    <row r="8410" ht="16.5" customHeight="1" s="37">
      <c r="A8410" t="n">
        <v>26</v>
      </c>
      <c r="B8410" s="10" t="inlineStr">
        <is>
          <t>平日</t>
        </is>
      </c>
      <c r="C8410" s="10" t="inlineStr">
        <is>
          <t>本線</t>
        </is>
      </c>
      <c r="D8410" s="10" t="inlineStr">
        <is>
          <t>上り</t>
        </is>
      </c>
      <c r="E8410" s="10" t="inlineStr">
        <is>
          <t>連0712</t>
        </is>
      </c>
      <c r="F8410" t="inlineStr">
        <is>
          <t>2221</t>
        </is>
      </c>
      <c r="G8410" s="10" t="inlineStr">
        <is>
          <t>嵯峨</t>
        </is>
      </c>
      <c r="H8410" s="10" t="inlineStr">
        <is>
          <t>発</t>
        </is>
      </c>
      <c r="J8410" s="10" t="inlineStr">
        <is>
          <t>営業</t>
        </is>
      </c>
      <c r="L8410" t="inlineStr">
        <is>
          <t>7:41:55</t>
        </is>
      </c>
      <c r="M8410" t="inlineStr">
        <is>
          <t>7:42:20</t>
        </is>
      </c>
      <c r="P8410" t="inlineStr">
        <is>
          <t>H系統(朝)</t>
        </is>
      </c>
    </row>
    <row r="8411" ht="16.5" customHeight="1" s="37">
      <c r="A8411" t="n">
        <v>26</v>
      </c>
      <c r="B8411" s="10" t="inlineStr">
        <is>
          <t>平日</t>
        </is>
      </c>
      <c r="C8411" s="10" t="inlineStr">
        <is>
          <t>本線</t>
        </is>
      </c>
      <c r="D8411" s="10" t="inlineStr">
        <is>
          <t>上り</t>
        </is>
      </c>
      <c r="E8411" s="10" t="inlineStr">
        <is>
          <t>連0712</t>
        </is>
      </c>
      <c r="F8411" t="inlineStr">
        <is>
          <t>2221</t>
        </is>
      </c>
      <c r="G8411" s="10" t="inlineStr">
        <is>
          <t>鹿王院</t>
        </is>
      </c>
      <c r="H8411" s="10" t="inlineStr">
        <is>
          <t>発</t>
        </is>
      </c>
      <c r="J8411" s="10" t="inlineStr">
        <is>
          <t>営業</t>
        </is>
      </c>
      <c r="L8411" t="inlineStr">
        <is>
          <t>7:43:25</t>
        </is>
      </c>
      <c r="M8411" t="inlineStr">
        <is>
          <t>7:43:45</t>
        </is>
      </c>
      <c r="P8411" t="inlineStr">
        <is>
          <t>H系統(朝)</t>
        </is>
      </c>
    </row>
    <row r="8412" ht="16.5" customHeight="1" s="37">
      <c r="A8412" t="n">
        <v>26</v>
      </c>
      <c r="B8412" s="10" t="inlineStr">
        <is>
          <t>平日</t>
        </is>
      </c>
      <c r="C8412" s="10" t="inlineStr">
        <is>
          <t>本線</t>
        </is>
      </c>
      <c r="D8412" s="10" t="inlineStr">
        <is>
          <t>上り</t>
        </is>
      </c>
      <c r="E8412" s="10" t="inlineStr">
        <is>
          <t>連0712</t>
        </is>
      </c>
      <c r="F8412" t="inlineStr">
        <is>
          <t>2221</t>
        </is>
      </c>
      <c r="G8412" s="10" t="inlineStr">
        <is>
          <t>車折</t>
        </is>
      </c>
      <c r="H8412" s="10" t="inlineStr">
        <is>
          <t>発</t>
        </is>
      </c>
      <c r="J8412" s="10" t="inlineStr">
        <is>
          <t>営業</t>
        </is>
      </c>
      <c r="L8412" t="inlineStr">
        <is>
          <t>7:44:40</t>
        </is>
      </c>
      <c r="M8412" t="inlineStr">
        <is>
          <t>7:45:10</t>
        </is>
      </c>
      <c r="P8412" t="inlineStr">
        <is>
          <t>H系統(朝)</t>
        </is>
      </c>
    </row>
    <row r="8413" ht="16.5" customHeight="1" s="37">
      <c r="A8413" t="n">
        <v>26</v>
      </c>
      <c r="B8413" s="10" t="inlineStr">
        <is>
          <t>平日</t>
        </is>
      </c>
      <c r="C8413" s="10" t="inlineStr">
        <is>
          <t>本線</t>
        </is>
      </c>
      <c r="D8413" s="10" t="inlineStr">
        <is>
          <t>上り</t>
        </is>
      </c>
      <c r="E8413" s="10" t="inlineStr">
        <is>
          <t>連0712</t>
        </is>
      </c>
      <c r="F8413" t="inlineStr">
        <is>
          <t>2221</t>
        </is>
      </c>
      <c r="G8413" s="10" t="inlineStr">
        <is>
          <t>有栖川</t>
        </is>
      </c>
      <c r="H8413" s="10" t="inlineStr">
        <is>
          <t>発</t>
        </is>
      </c>
      <c r="J8413" s="10" t="inlineStr">
        <is>
          <t>営業</t>
        </is>
      </c>
      <c r="L8413" t="inlineStr">
        <is>
          <t>7:46:35</t>
        </is>
      </c>
      <c r="M8413" t="inlineStr">
        <is>
          <t>7:46:55</t>
        </is>
      </c>
      <c r="P8413" t="inlineStr">
        <is>
          <t>H系統(朝)</t>
        </is>
      </c>
    </row>
    <row r="8414" ht="16.5" customHeight="1" s="37">
      <c r="A8414" t="n">
        <v>26</v>
      </c>
      <c r="B8414" s="10" t="inlineStr">
        <is>
          <t>平日</t>
        </is>
      </c>
      <c r="C8414" s="10" t="inlineStr">
        <is>
          <t>本線</t>
        </is>
      </c>
      <c r="D8414" s="10" t="inlineStr">
        <is>
          <t>上り</t>
        </is>
      </c>
      <c r="E8414" s="10" t="inlineStr">
        <is>
          <t>連0712</t>
        </is>
      </c>
      <c r="F8414" t="inlineStr">
        <is>
          <t>2221</t>
        </is>
      </c>
      <c r="G8414" s="10" t="inlineStr">
        <is>
          <t>帷子ノ辻</t>
        </is>
      </c>
      <c r="H8414" s="10" t="inlineStr">
        <is>
          <t>発</t>
        </is>
      </c>
      <c r="J8414" s="10" t="inlineStr">
        <is>
          <t>営業</t>
        </is>
      </c>
      <c r="L8414" t="inlineStr">
        <is>
          <t>7:48:10</t>
        </is>
      </c>
      <c r="M8414" t="inlineStr">
        <is>
          <t>7:49:15</t>
        </is>
      </c>
      <c r="P8414" t="inlineStr">
        <is>
          <t>H系統(朝)</t>
        </is>
      </c>
    </row>
    <row r="8415" ht="16.5" customHeight="1" s="37">
      <c r="A8415" t="n">
        <v>26</v>
      </c>
      <c r="B8415" s="10" t="inlineStr">
        <is>
          <t>平日</t>
        </is>
      </c>
      <c r="C8415" s="10" t="inlineStr">
        <is>
          <t>本線</t>
        </is>
      </c>
      <c r="D8415" s="10" t="inlineStr">
        <is>
          <t>上り</t>
        </is>
      </c>
      <c r="E8415" s="10" t="inlineStr">
        <is>
          <t>連0712</t>
        </is>
      </c>
      <c r="F8415" t="inlineStr">
        <is>
          <t>2221</t>
        </is>
      </c>
      <c r="G8415" s="10" t="inlineStr">
        <is>
          <t>太秦広隆寺</t>
        </is>
      </c>
      <c r="H8415" s="10" t="inlineStr">
        <is>
          <t>発</t>
        </is>
      </c>
      <c r="J8415" s="10" t="inlineStr">
        <is>
          <t>営業</t>
        </is>
      </c>
      <c r="L8415" t="inlineStr">
        <is>
          <t>7:51:25</t>
        </is>
      </c>
      <c r="M8415" t="inlineStr">
        <is>
          <t>7:51:45</t>
        </is>
      </c>
      <c r="P8415" t="inlineStr">
        <is>
          <t>H系統(朝)</t>
        </is>
      </c>
    </row>
    <row r="8416" ht="16.5" customHeight="1" s="37">
      <c r="A8416" t="n">
        <v>26</v>
      </c>
      <c r="B8416" s="10" t="inlineStr">
        <is>
          <t>平日</t>
        </is>
      </c>
      <c r="C8416" s="10" t="inlineStr">
        <is>
          <t>本線</t>
        </is>
      </c>
      <c r="D8416" s="10" t="inlineStr">
        <is>
          <t>上り</t>
        </is>
      </c>
      <c r="E8416" s="10" t="inlineStr">
        <is>
          <t>連0712</t>
        </is>
      </c>
      <c r="F8416" t="inlineStr">
        <is>
          <t>2221</t>
        </is>
      </c>
      <c r="G8416" s="10" t="inlineStr">
        <is>
          <t>蚕ノ社</t>
        </is>
      </c>
      <c r="H8416" s="10" t="inlineStr">
        <is>
          <t>発</t>
        </is>
      </c>
      <c r="J8416" s="10" t="inlineStr">
        <is>
          <t>営業</t>
        </is>
      </c>
      <c r="L8416" t="inlineStr">
        <is>
          <t>7:53:00</t>
        </is>
      </c>
      <c r="M8416" t="inlineStr">
        <is>
          <t>7:53:20</t>
        </is>
      </c>
      <c r="P8416" t="inlineStr">
        <is>
          <t>H系統(朝)</t>
        </is>
      </c>
    </row>
    <row r="8417" ht="16.5" customHeight="1" s="37">
      <c r="A8417" t="n">
        <v>26</v>
      </c>
      <c r="B8417" s="10" t="inlineStr">
        <is>
          <t>平日</t>
        </is>
      </c>
      <c r="C8417" s="10" t="inlineStr">
        <is>
          <t>本線</t>
        </is>
      </c>
      <c r="D8417" s="10" t="inlineStr">
        <is>
          <t>上り</t>
        </is>
      </c>
      <c r="E8417" s="10" t="inlineStr">
        <is>
          <t>連0712</t>
        </is>
      </c>
      <c r="F8417" t="inlineStr">
        <is>
          <t>2221</t>
        </is>
      </c>
      <c r="G8417" s="10" t="inlineStr">
        <is>
          <t>天神川</t>
        </is>
      </c>
      <c r="H8417" s="10" t="inlineStr">
        <is>
          <t>発</t>
        </is>
      </c>
      <c r="J8417" s="10" t="inlineStr">
        <is>
          <t>営業</t>
        </is>
      </c>
      <c r="L8417" t="inlineStr">
        <is>
          <t>7:54:05</t>
        </is>
      </c>
      <c r="M8417" t="inlineStr">
        <is>
          <t>7:54:50</t>
        </is>
      </c>
      <c r="P8417" t="inlineStr">
        <is>
          <t>H系統(朝)</t>
        </is>
      </c>
    </row>
    <row r="8418" ht="16.5" customHeight="1" s="37">
      <c r="A8418" t="n">
        <v>26</v>
      </c>
      <c r="B8418" s="10" t="inlineStr">
        <is>
          <t>平日</t>
        </is>
      </c>
      <c r="C8418" s="10" t="inlineStr">
        <is>
          <t>本線</t>
        </is>
      </c>
      <c r="D8418" s="10" t="inlineStr">
        <is>
          <t>上り</t>
        </is>
      </c>
      <c r="E8418" s="10" t="inlineStr">
        <is>
          <t>連0712</t>
        </is>
      </c>
      <c r="F8418" t="inlineStr">
        <is>
          <t>2221</t>
        </is>
      </c>
      <c r="G8418" s="10" t="inlineStr">
        <is>
          <t>山ノ内</t>
        </is>
      </c>
      <c r="H8418" s="10" t="inlineStr">
        <is>
          <t>発</t>
        </is>
      </c>
      <c r="J8418" s="10" t="inlineStr">
        <is>
          <t>営業</t>
        </is>
      </c>
      <c r="L8418" t="inlineStr">
        <is>
          <t>7:56:40</t>
        </is>
      </c>
      <c r="M8418" t="inlineStr">
        <is>
          <t>7:57:05</t>
        </is>
      </c>
      <c r="P8418" t="inlineStr">
        <is>
          <t>H系統(朝)</t>
        </is>
      </c>
    </row>
    <row r="8419" ht="16.5" customHeight="1" s="37">
      <c r="A8419" t="n">
        <v>26</v>
      </c>
      <c r="B8419" s="10" t="inlineStr">
        <is>
          <t>平日</t>
        </is>
      </c>
      <c r="C8419" s="10" t="inlineStr">
        <is>
          <t>本線</t>
        </is>
      </c>
      <c r="D8419" s="10" t="inlineStr">
        <is>
          <t>上り</t>
        </is>
      </c>
      <c r="E8419" s="10" t="inlineStr">
        <is>
          <t>連0712</t>
        </is>
      </c>
      <c r="F8419" t="inlineStr">
        <is>
          <t>2221</t>
        </is>
      </c>
      <c r="G8419" s="10" t="inlineStr">
        <is>
          <t>西大路三条</t>
        </is>
      </c>
      <c r="H8419" s="10" t="inlineStr">
        <is>
          <t>発</t>
        </is>
      </c>
      <c r="J8419" s="10" t="inlineStr">
        <is>
          <t>営業</t>
        </is>
      </c>
      <c r="L8419" t="inlineStr">
        <is>
          <t>7:58:55</t>
        </is>
      </c>
      <c r="M8419" t="inlineStr">
        <is>
          <t>7:59:15</t>
        </is>
      </c>
      <c r="P8419" t="inlineStr">
        <is>
          <t>H系統(朝)</t>
        </is>
      </c>
    </row>
    <row r="8420" ht="16.5" customHeight="1" s="37">
      <c r="A8420" t="n">
        <v>26</v>
      </c>
      <c r="B8420" s="10" t="inlineStr">
        <is>
          <t>平日</t>
        </is>
      </c>
      <c r="C8420" s="10" t="inlineStr">
        <is>
          <t>本線</t>
        </is>
      </c>
      <c r="D8420" s="10" t="inlineStr">
        <is>
          <t>上り</t>
        </is>
      </c>
      <c r="E8420" s="10" t="inlineStr">
        <is>
          <t>連0712</t>
        </is>
      </c>
      <c r="F8420" t="inlineStr">
        <is>
          <t>2221</t>
        </is>
      </c>
      <c r="G8420" s="10" t="inlineStr">
        <is>
          <t>西院</t>
        </is>
      </c>
      <c r="H8420" s="10" t="inlineStr">
        <is>
          <t>発</t>
        </is>
      </c>
      <c r="J8420" s="10" t="inlineStr">
        <is>
          <t>営業</t>
        </is>
      </c>
      <c r="L8420" t="inlineStr">
        <is>
          <t>8:01:10</t>
        </is>
      </c>
      <c r="M8420" t="inlineStr">
        <is>
          <t>8:02:05</t>
        </is>
      </c>
      <c r="P8420" t="inlineStr">
        <is>
          <t>H系統(朝)</t>
        </is>
      </c>
    </row>
    <row r="8421" ht="16.5" customHeight="1" s="37">
      <c r="A8421" t="n">
        <v>26</v>
      </c>
      <c r="B8421" s="10" t="inlineStr">
        <is>
          <t>平日</t>
        </is>
      </c>
      <c r="C8421" s="10" t="inlineStr">
        <is>
          <t>本線</t>
        </is>
      </c>
      <c r="D8421" s="10" t="inlineStr">
        <is>
          <t>上り</t>
        </is>
      </c>
      <c r="E8421" s="10" t="inlineStr">
        <is>
          <t>連0712</t>
        </is>
      </c>
      <c r="F8421" t="inlineStr">
        <is>
          <t>2221</t>
        </is>
      </c>
      <c r="G8421" s="10" t="inlineStr">
        <is>
          <t>四条大宮</t>
        </is>
      </c>
      <c r="H8421" s="10" t="inlineStr">
        <is>
          <t>着</t>
        </is>
      </c>
      <c r="J8421" s="10" t="inlineStr">
        <is>
          <t>営業</t>
        </is>
      </c>
      <c r="L8421" t="inlineStr">
        <is>
          <t>8:05:00</t>
        </is>
      </c>
      <c r="P8421" t="inlineStr">
        <is>
          <t>H系統(朝)</t>
        </is>
      </c>
      <c r="Q8421" t="inlineStr">
        <is>
          <t>2</t>
        </is>
      </c>
    </row>
    <row r="8422" ht="16.5" customHeight="1" s="37">
      <c r="A8422" t="n">
        <v>26</v>
      </c>
      <c r="B8422" s="10" t="inlineStr">
        <is>
          <t>平日</t>
        </is>
      </c>
      <c r="C8422" s="10" t="inlineStr">
        <is>
          <t>本線</t>
        </is>
      </c>
      <c r="D8422" s="10" t="inlineStr">
        <is>
          <t>下り</t>
        </is>
      </c>
      <c r="E8422" s="10" t="inlineStr">
        <is>
          <t>連0803</t>
        </is>
      </c>
      <c r="F8422" t="inlineStr">
        <is>
          <t>0122</t>
        </is>
      </c>
      <c r="G8422" s="10" t="inlineStr">
        <is>
          <t>四条大宮</t>
        </is>
      </c>
      <c r="H8422" s="10" t="inlineStr">
        <is>
          <t>発</t>
        </is>
      </c>
      <c r="J8422" s="10" t="inlineStr">
        <is>
          <t>営業</t>
        </is>
      </c>
      <c r="M8422" t="inlineStr">
        <is>
          <t>8:13:00</t>
        </is>
      </c>
      <c r="P8422" t="inlineStr">
        <is>
          <t>H系統(朝)</t>
        </is>
      </c>
      <c r="Q8422" t="inlineStr">
        <is>
          <t>2</t>
        </is>
      </c>
    </row>
    <row r="8423" ht="16.5" customHeight="1" s="37">
      <c r="A8423" t="n">
        <v>26</v>
      </c>
      <c r="B8423" s="10" t="inlineStr">
        <is>
          <t>平日</t>
        </is>
      </c>
      <c r="C8423" s="10" t="inlineStr">
        <is>
          <t>本線</t>
        </is>
      </c>
      <c r="D8423" s="10" t="inlineStr">
        <is>
          <t>下り</t>
        </is>
      </c>
      <c r="E8423" s="10" t="inlineStr">
        <is>
          <t>連0803</t>
        </is>
      </c>
      <c r="F8423" t="inlineStr">
        <is>
          <t>0122</t>
        </is>
      </c>
      <c r="G8423" s="10" t="inlineStr">
        <is>
          <t>西院</t>
        </is>
      </c>
      <c r="H8423" s="10" t="inlineStr">
        <is>
          <t>発</t>
        </is>
      </c>
      <c r="J8423" s="10" t="inlineStr">
        <is>
          <t>営業</t>
        </is>
      </c>
      <c r="L8423" t="inlineStr">
        <is>
          <t>8:15:50</t>
        </is>
      </c>
      <c r="M8423" t="inlineStr">
        <is>
          <t>8:16:20</t>
        </is>
      </c>
      <c r="P8423" t="inlineStr">
        <is>
          <t>H系統(朝)</t>
        </is>
      </c>
    </row>
    <row r="8424" ht="16.5" customHeight="1" s="37">
      <c r="A8424" t="n">
        <v>26</v>
      </c>
      <c r="B8424" s="10" t="inlineStr">
        <is>
          <t>平日</t>
        </is>
      </c>
      <c r="C8424" s="10" t="inlineStr">
        <is>
          <t>本線</t>
        </is>
      </c>
      <c r="D8424" s="10" t="inlineStr">
        <is>
          <t>下り</t>
        </is>
      </c>
      <c r="E8424" s="10" t="inlineStr">
        <is>
          <t>連0803</t>
        </is>
      </c>
      <c r="F8424" t="inlineStr">
        <is>
          <t>0122</t>
        </is>
      </c>
      <c r="G8424" s="10" t="inlineStr">
        <is>
          <t>西大路三条</t>
        </is>
      </c>
      <c r="H8424" s="10" t="inlineStr">
        <is>
          <t>発</t>
        </is>
      </c>
      <c r="J8424" s="10" t="inlineStr">
        <is>
          <t>営業</t>
        </is>
      </c>
      <c r="L8424" t="inlineStr">
        <is>
          <t>8:18:10</t>
        </is>
      </c>
      <c r="M8424" t="inlineStr">
        <is>
          <t>8:18:30</t>
        </is>
      </c>
      <c r="P8424" t="inlineStr">
        <is>
          <t>H系統(朝)</t>
        </is>
      </c>
    </row>
    <row r="8425" ht="16.5" customHeight="1" s="37">
      <c r="A8425" t="n">
        <v>26</v>
      </c>
      <c r="B8425" s="10" t="inlineStr">
        <is>
          <t>平日</t>
        </is>
      </c>
      <c r="C8425" s="10" t="inlineStr">
        <is>
          <t>本線</t>
        </is>
      </c>
      <c r="D8425" s="10" t="inlineStr">
        <is>
          <t>下り</t>
        </is>
      </c>
      <c r="E8425" s="10" t="inlineStr">
        <is>
          <t>連0803</t>
        </is>
      </c>
      <c r="F8425" t="inlineStr">
        <is>
          <t>0122</t>
        </is>
      </c>
      <c r="G8425" s="10" t="inlineStr">
        <is>
          <t>山ノ内</t>
        </is>
      </c>
      <c r="H8425" s="10" t="inlineStr">
        <is>
          <t>発</t>
        </is>
      </c>
      <c r="J8425" s="10" t="inlineStr">
        <is>
          <t>営業</t>
        </is>
      </c>
      <c r="L8425" t="inlineStr">
        <is>
          <t>8:20:25</t>
        </is>
      </c>
      <c r="M8425" t="inlineStr">
        <is>
          <t>8:20:50</t>
        </is>
      </c>
      <c r="P8425" t="inlineStr">
        <is>
          <t>H系統(朝)</t>
        </is>
      </c>
    </row>
    <row r="8426" ht="16.5" customHeight="1" s="37">
      <c r="A8426" t="n">
        <v>26</v>
      </c>
      <c r="B8426" s="10" t="inlineStr">
        <is>
          <t>平日</t>
        </is>
      </c>
      <c r="C8426" s="10" t="inlineStr">
        <is>
          <t>本線</t>
        </is>
      </c>
      <c r="D8426" s="10" t="inlineStr">
        <is>
          <t>下り</t>
        </is>
      </c>
      <c r="E8426" s="10" t="inlineStr">
        <is>
          <t>連0803</t>
        </is>
      </c>
      <c r="F8426" t="inlineStr">
        <is>
          <t>0122</t>
        </is>
      </c>
      <c r="G8426" s="10" t="inlineStr">
        <is>
          <t>天神川</t>
        </is>
      </c>
      <c r="H8426" s="10" t="inlineStr">
        <is>
          <t>発</t>
        </is>
      </c>
      <c r="J8426" s="10" t="inlineStr">
        <is>
          <t>営業</t>
        </is>
      </c>
      <c r="L8426" t="inlineStr">
        <is>
          <t>8:22:50</t>
        </is>
      </c>
      <c r="M8426" t="inlineStr">
        <is>
          <t>8:23:30</t>
        </is>
      </c>
      <c r="P8426" t="inlineStr">
        <is>
          <t>H系統(朝)</t>
        </is>
      </c>
    </row>
    <row r="8427" ht="16.5" customHeight="1" s="37">
      <c r="A8427" t="n">
        <v>26</v>
      </c>
      <c r="B8427" s="10" t="inlineStr">
        <is>
          <t>平日</t>
        </is>
      </c>
      <c r="C8427" s="10" t="inlineStr">
        <is>
          <t>本線</t>
        </is>
      </c>
      <c r="D8427" s="10" t="inlineStr">
        <is>
          <t>下り</t>
        </is>
      </c>
      <c r="E8427" s="10" t="inlineStr">
        <is>
          <t>連0803</t>
        </is>
      </c>
      <c r="F8427" t="inlineStr">
        <is>
          <t>0122</t>
        </is>
      </c>
      <c r="G8427" s="10" t="inlineStr">
        <is>
          <t>蚕ノ社</t>
        </is>
      </c>
      <c r="H8427" s="10" t="inlineStr">
        <is>
          <t>発</t>
        </is>
      </c>
      <c r="J8427" s="10" t="inlineStr">
        <is>
          <t>営業</t>
        </is>
      </c>
      <c r="L8427" t="inlineStr">
        <is>
          <t>8:24:20</t>
        </is>
      </c>
      <c r="M8427" t="inlineStr">
        <is>
          <t>8:24:40</t>
        </is>
      </c>
      <c r="P8427" t="inlineStr">
        <is>
          <t>H系統(朝)</t>
        </is>
      </c>
    </row>
    <row r="8428" ht="16.5" customHeight="1" s="37">
      <c r="A8428" t="n">
        <v>26</v>
      </c>
      <c r="B8428" s="10" t="inlineStr">
        <is>
          <t>平日</t>
        </is>
      </c>
      <c r="C8428" s="10" t="inlineStr">
        <is>
          <t>本線</t>
        </is>
      </c>
      <c r="D8428" s="10" t="inlineStr">
        <is>
          <t>下り</t>
        </is>
      </c>
      <c r="E8428" s="10" t="inlineStr">
        <is>
          <t>連0803</t>
        </is>
      </c>
      <c r="F8428" t="inlineStr">
        <is>
          <t>0122</t>
        </is>
      </c>
      <c r="G8428" s="10" t="inlineStr">
        <is>
          <t>太秦広隆寺</t>
        </is>
      </c>
      <c r="H8428" s="10" t="inlineStr">
        <is>
          <t>発</t>
        </is>
      </c>
      <c r="J8428" s="10" t="inlineStr">
        <is>
          <t>営業</t>
        </is>
      </c>
      <c r="L8428" t="inlineStr">
        <is>
          <t>8:26:00</t>
        </is>
      </c>
      <c r="M8428" t="inlineStr">
        <is>
          <t>8:26:20</t>
        </is>
      </c>
      <c r="P8428" t="inlineStr">
        <is>
          <t>H系統(朝)</t>
        </is>
      </c>
    </row>
    <row r="8429" ht="16.5" customHeight="1" s="37">
      <c r="A8429" t="n">
        <v>26</v>
      </c>
      <c r="B8429" s="10" t="inlineStr">
        <is>
          <t>平日</t>
        </is>
      </c>
      <c r="C8429" s="10" t="inlineStr">
        <is>
          <t>本線</t>
        </is>
      </c>
      <c r="D8429" s="10" t="inlineStr">
        <is>
          <t>下り</t>
        </is>
      </c>
      <c r="E8429" s="10" t="inlineStr">
        <is>
          <t>連0803</t>
        </is>
      </c>
      <c r="F8429" t="inlineStr">
        <is>
          <t>0122</t>
        </is>
      </c>
      <c r="G8429" s="10" t="inlineStr">
        <is>
          <t>帷子ノ辻</t>
        </is>
      </c>
      <c r="H8429" s="10" t="inlineStr">
        <is>
          <t>発</t>
        </is>
      </c>
      <c r="J8429" s="10" t="inlineStr">
        <is>
          <t>営業</t>
        </is>
      </c>
      <c r="L8429" t="inlineStr">
        <is>
          <t>8:28:20</t>
        </is>
      </c>
      <c r="M8429" t="inlineStr">
        <is>
          <t>8:29:40</t>
        </is>
      </c>
      <c r="P8429" t="inlineStr">
        <is>
          <t>H系統(朝)</t>
        </is>
      </c>
    </row>
    <row r="8430" ht="16.5" customHeight="1" s="37">
      <c r="A8430" t="n">
        <v>26</v>
      </c>
      <c r="B8430" s="10" t="inlineStr">
        <is>
          <t>平日</t>
        </is>
      </c>
      <c r="C8430" s="10" t="inlineStr">
        <is>
          <t>本線</t>
        </is>
      </c>
      <c r="D8430" s="10" t="inlineStr">
        <is>
          <t>下り</t>
        </is>
      </c>
      <c r="E8430" s="10" t="inlineStr">
        <is>
          <t>連0803</t>
        </is>
      </c>
      <c r="F8430" t="inlineStr">
        <is>
          <t>0122</t>
        </is>
      </c>
      <c r="G8430" s="10" t="inlineStr">
        <is>
          <t>有栖川</t>
        </is>
      </c>
      <c r="H8430" s="10" t="inlineStr">
        <is>
          <t>発</t>
        </is>
      </c>
      <c r="J8430" s="10" t="inlineStr">
        <is>
          <t>営業</t>
        </is>
      </c>
      <c r="L8430" t="inlineStr">
        <is>
          <t>8:30:50</t>
        </is>
      </c>
      <c r="M8430" t="inlineStr">
        <is>
          <t>8:31:15</t>
        </is>
      </c>
      <c r="P8430" t="inlineStr">
        <is>
          <t>H系統(朝)</t>
        </is>
      </c>
    </row>
    <row r="8431" ht="16.5" customHeight="1" s="37">
      <c r="A8431" t="n">
        <v>26</v>
      </c>
      <c r="B8431" s="10" t="inlineStr">
        <is>
          <t>平日</t>
        </is>
      </c>
      <c r="C8431" s="10" t="inlineStr">
        <is>
          <t>本線</t>
        </is>
      </c>
      <c r="D8431" s="10" t="inlineStr">
        <is>
          <t>下り</t>
        </is>
      </c>
      <c r="E8431" s="10" t="inlineStr">
        <is>
          <t>連0803</t>
        </is>
      </c>
      <c r="F8431" t="inlineStr">
        <is>
          <t>0122</t>
        </is>
      </c>
      <c r="G8431" s="10" t="inlineStr">
        <is>
          <t>車折</t>
        </is>
      </c>
      <c r="H8431" s="10" t="inlineStr">
        <is>
          <t>発</t>
        </is>
      </c>
      <c r="J8431" s="10" t="inlineStr">
        <is>
          <t>営業</t>
        </is>
      </c>
      <c r="L8431" t="inlineStr">
        <is>
          <t>8:32:40</t>
        </is>
      </c>
      <c r="M8431" t="inlineStr">
        <is>
          <t>8:33:05</t>
        </is>
      </c>
      <c r="P8431" t="inlineStr">
        <is>
          <t>H系統(朝)</t>
        </is>
      </c>
    </row>
    <row r="8432" ht="16.5" customHeight="1" s="37">
      <c r="A8432" t="n">
        <v>26</v>
      </c>
      <c r="B8432" s="10" t="inlineStr">
        <is>
          <t>平日</t>
        </is>
      </c>
      <c r="C8432" s="10" t="inlineStr">
        <is>
          <t>本線</t>
        </is>
      </c>
      <c r="D8432" s="10" t="inlineStr">
        <is>
          <t>下り</t>
        </is>
      </c>
      <c r="E8432" s="10" t="inlineStr">
        <is>
          <t>連0803</t>
        </is>
      </c>
      <c r="F8432" t="inlineStr">
        <is>
          <t>0122</t>
        </is>
      </c>
      <c r="G8432" s="10" t="inlineStr">
        <is>
          <t>鹿王院</t>
        </is>
      </c>
      <c r="H8432" s="10" t="inlineStr">
        <is>
          <t>発</t>
        </is>
      </c>
      <c r="J8432" s="10" t="inlineStr">
        <is>
          <t>営業</t>
        </is>
      </c>
      <c r="L8432" t="inlineStr">
        <is>
          <t>8:34:00</t>
        </is>
      </c>
      <c r="M8432" t="inlineStr">
        <is>
          <t>8:34:25</t>
        </is>
      </c>
      <c r="P8432" t="inlineStr">
        <is>
          <t>H系統(朝)</t>
        </is>
      </c>
    </row>
    <row r="8433" ht="16.5" customHeight="1" s="37">
      <c r="A8433" t="n">
        <v>26</v>
      </c>
      <c r="B8433" s="10" t="inlineStr">
        <is>
          <t>平日</t>
        </is>
      </c>
      <c r="C8433" s="10" t="inlineStr">
        <is>
          <t>本線</t>
        </is>
      </c>
      <c r="D8433" s="10" t="inlineStr">
        <is>
          <t>下り</t>
        </is>
      </c>
      <c r="E8433" s="10" t="inlineStr">
        <is>
          <t>連0803</t>
        </is>
      </c>
      <c r="F8433" t="inlineStr">
        <is>
          <t>0122</t>
        </is>
      </c>
      <c r="G8433" s="10" t="inlineStr">
        <is>
          <t>嵯峨</t>
        </is>
      </c>
      <c r="H8433" s="10" t="inlineStr">
        <is>
          <t>発</t>
        </is>
      </c>
      <c r="J8433" s="10" t="inlineStr">
        <is>
          <t>営業</t>
        </is>
      </c>
      <c r="L8433" t="inlineStr">
        <is>
          <t>8:35:30</t>
        </is>
      </c>
      <c r="M8433" t="inlineStr">
        <is>
          <t>8:35:55</t>
        </is>
      </c>
      <c r="P8433" t="inlineStr">
        <is>
          <t>H系統(朝)</t>
        </is>
      </c>
    </row>
    <row r="8434" ht="16.5" customHeight="1" s="37">
      <c r="A8434" t="n">
        <v>26</v>
      </c>
      <c r="B8434" s="10" t="inlineStr">
        <is>
          <t>平日</t>
        </is>
      </c>
      <c r="C8434" s="10" t="inlineStr">
        <is>
          <t>本線</t>
        </is>
      </c>
      <c r="D8434" s="10" t="inlineStr">
        <is>
          <t>下り</t>
        </is>
      </c>
      <c r="E8434" s="10" t="inlineStr">
        <is>
          <t>連0803</t>
        </is>
      </c>
      <c r="F8434" t="inlineStr">
        <is>
          <t>0122</t>
        </is>
      </c>
      <c r="G8434" s="10" t="inlineStr">
        <is>
          <t>嵐山</t>
        </is>
      </c>
      <c r="H8434" s="10" t="inlineStr">
        <is>
          <t>着</t>
        </is>
      </c>
      <c r="J8434" s="10" t="inlineStr">
        <is>
          <t>営業</t>
        </is>
      </c>
      <c r="L8434" t="inlineStr">
        <is>
          <t>8:37:00</t>
        </is>
      </c>
      <c r="N8434" t="inlineStr">
        <is>
          <t>○</t>
        </is>
      </c>
      <c r="P8434" t="inlineStr">
        <is>
          <t>H系統(朝)</t>
        </is>
      </c>
      <c r="Q8434" t="inlineStr">
        <is>
          <t>2</t>
        </is>
      </c>
    </row>
    <row r="8435" ht="16.5" customHeight="1" s="37">
      <c r="A8435" t="n">
        <v>26</v>
      </c>
      <c r="B8435" s="10" t="inlineStr">
        <is>
          <t>平日</t>
        </is>
      </c>
      <c r="C8435" s="10" t="inlineStr">
        <is>
          <t>本線</t>
        </is>
      </c>
      <c r="D8435" s="10" t="inlineStr">
        <is>
          <t>上り</t>
        </is>
      </c>
      <c r="E8435" s="10" t="inlineStr">
        <is>
          <t>連0812</t>
        </is>
      </c>
      <c r="F8435" t="inlineStr">
        <is>
          <t>2221</t>
        </is>
      </c>
      <c r="G8435" s="10" t="inlineStr">
        <is>
          <t>嵐山</t>
        </is>
      </c>
      <c r="H8435" s="10" t="inlineStr">
        <is>
          <t>発</t>
        </is>
      </c>
      <c r="J8435" s="10" t="inlineStr">
        <is>
          <t>営業</t>
        </is>
      </c>
      <c r="M8435" t="inlineStr">
        <is>
          <t>8:45:00</t>
        </is>
      </c>
      <c r="P8435" t="inlineStr">
        <is>
          <t>H系統(朝)</t>
        </is>
      </c>
      <c r="Q8435" t="inlineStr">
        <is>
          <t>2</t>
        </is>
      </c>
    </row>
    <row r="8436" ht="16.5" customHeight="1" s="37">
      <c r="A8436" t="n">
        <v>26</v>
      </c>
      <c r="B8436" s="10" t="inlineStr">
        <is>
          <t>平日</t>
        </is>
      </c>
      <c r="C8436" s="10" t="inlineStr">
        <is>
          <t>本線</t>
        </is>
      </c>
      <c r="D8436" s="10" t="inlineStr">
        <is>
          <t>上り</t>
        </is>
      </c>
      <c r="E8436" s="10" t="inlineStr">
        <is>
          <t>連0812</t>
        </is>
      </c>
      <c r="F8436" t="inlineStr">
        <is>
          <t>2221</t>
        </is>
      </c>
      <c r="G8436" s="10" t="inlineStr">
        <is>
          <t>嵯峨</t>
        </is>
      </c>
      <c r="H8436" s="10" t="inlineStr">
        <is>
          <t>発</t>
        </is>
      </c>
      <c r="J8436" s="10" t="inlineStr">
        <is>
          <t>営業</t>
        </is>
      </c>
      <c r="L8436" t="inlineStr">
        <is>
          <t>8:45:55</t>
        </is>
      </c>
      <c r="M8436" t="inlineStr">
        <is>
          <t>8:46:20</t>
        </is>
      </c>
      <c r="P8436" t="inlineStr">
        <is>
          <t>H系統(朝)</t>
        </is>
      </c>
    </row>
    <row r="8437" ht="15" customHeight="1" s="37">
      <c r="A8437" t="n">
        <v>26</v>
      </c>
      <c r="B8437" s="10" t="inlineStr">
        <is>
          <t>平日</t>
        </is>
      </c>
      <c r="C8437" s="10" t="inlineStr">
        <is>
          <t>本線</t>
        </is>
      </c>
      <c r="D8437" s="10" t="inlineStr">
        <is>
          <t>上り</t>
        </is>
      </c>
      <c r="E8437" s="10" t="inlineStr">
        <is>
          <t>連0812</t>
        </is>
      </c>
      <c r="F8437" t="inlineStr">
        <is>
          <t>2221</t>
        </is>
      </c>
      <c r="G8437" s="10" t="inlineStr">
        <is>
          <t>鹿王院</t>
        </is>
      </c>
      <c r="H8437" s="10" t="inlineStr">
        <is>
          <t>発</t>
        </is>
      </c>
      <c r="J8437" s="10" t="inlineStr">
        <is>
          <t>営業</t>
        </is>
      </c>
      <c r="L8437" t="inlineStr">
        <is>
          <t>8:47:25</t>
        </is>
      </c>
      <c r="M8437" t="inlineStr">
        <is>
          <t>8:47:45</t>
        </is>
      </c>
      <c r="P8437" t="inlineStr">
        <is>
          <t>H系統(朝)</t>
        </is>
      </c>
    </row>
    <row r="8438" ht="15" customHeight="1" s="37">
      <c r="A8438" t="n">
        <v>26</v>
      </c>
      <c r="B8438" s="10" t="inlineStr">
        <is>
          <t>平日</t>
        </is>
      </c>
      <c r="C8438" s="10" t="inlineStr">
        <is>
          <t>本線</t>
        </is>
      </c>
      <c r="D8438" s="10" t="inlineStr">
        <is>
          <t>上り</t>
        </is>
      </c>
      <c r="E8438" s="10" t="inlineStr">
        <is>
          <t>連0812</t>
        </is>
      </c>
      <c r="F8438" t="inlineStr">
        <is>
          <t>2221</t>
        </is>
      </c>
      <c r="G8438" s="10" t="inlineStr">
        <is>
          <t>車折</t>
        </is>
      </c>
      <c r="H8438" s="10" t="inlineStr">
        <is>
          <t>発</t>
        </is>
      </c>
      <c r="J8438" s="10" t="inlineStr">
        <is>
          <t>営業</t>
        </is>
      </c>
      <c r="L8438" t="inlineStr">
        <is>
          <t>8:48:40</t>
        </is>
      </c>
      <c r="M8438" t="inlineStr">
        <is>
          <t>8:49:10</t>
        </is>
      </c>
      <c r="P8438" t="inlineStr">
        <is>
          <t>H系統(朝)</t>
        </is>
      </c>
    </row>
    <row r="8439" ht="15" customHeight="1" s="37">
      <c r="A8439" t="n">
        <v>26</v>
      </c>
      <c r="B8439" s="10" t="inlineStr">
        <is>
          <t>平日</t>
        </is>
      </c>
      <c r="C8439" s="10" t="inlineStr">
        <is>
          <t>本線</t>
        </is>
      </c>
      <c r="D8439" s="10" t="inlineStr">
        <is>
          <t>上り</t>
        </is>
      </c>
      <c r="E8439" s="10" t="inlineStr">
        <is>
          <t>連0812</t>
        </is>
      </c>
      <c r="F8439" t="inlineStr">
        <is>
          <t>2221</t>
        </is>
      </c>
      <c r="G8439" s="10" t="inlineStr">
        <is>
          <t>有栖川</t>
        </is>
      </c>
      <c r="H8439" s="10" t="inlineStr">
        <is>
          <t>発</t>
        </is>
      </c>
      <c r="J8439" s="10" t="inlineStr">
        <is>
          <t>営業</t>
        </is>
      </c>
      <c r="L8439" t="inlineStr">
        <is>
          <t>8:50:35</t>
        </is>
      </c>
      <c r="M8439" t="inlineStr">
        <is>
          <t>8:50:55</t>
        </is>
      </c>
      <c r="P8439" t="inlineStr">
        <is>
          <t>H系統(朝)</t>
        </is>
      </c>
    </row>
    <row r="8440" ht="15" customHeight="1" s="37">
      <c r="A8440" t="n">
        <v>26</v>
      </c>
      <c r="B8440" s="10" t="inlineStr">
        <is>
          <t>平日</t>
        </is>
      </c>
      <c r="C8440" s="10" t="inlineStr">
        <is>
          <t>本線</t>
        </is>
      </c>
      <c r="D8440" s="10" t="inlineStr">
        <is>
          <t>上り</t>
        </is>
      </c>
      <c r="E8440" s="10" t="inlineStr">
        <is>
          <t>連0812</t>
        </is>
      </c>
      <c r="F8440" t="inlineStr">
        <is>
          <t>2221</t>
        </is>
      </c>
      <c r="G8440" s="10" t="inlineStr">
        <is>
          <t>帷子ノ辻</t>
        </is>
      </c>
      <c r="H8440" s="10" t="inlineStr">
        <is>
          <t>発</t>
        </is>
      </c>
      <c r="J8440" s="10" t="inlineStr">
        <is>
          <t>営業</t>
        </is>
      </c>
      <c r="L8440" t="inlineStr">
        <is>
          <t>8:52:10</t>
        </is>
      </c>
      <c r="M8440" t="inlineStr">
        <is>
          <t>8:53:15</t>
        </is>
      </c>
      <c r="P8440" t="inlineStr">
        <is>
          <t>H系統(朝)</t>
        </is>
      </c>
    </row>
    <row r="8441" ht="15" customHeight="1" s="37">
      <c r="A8441" t="n">
        <v>26</v>
      </c>
      <c r="B8441" s="10" t="inlineStr">
        <is>
          <t>平日</t>
        </is>
      </c>
      <c r="C8441" s="10" t="inlineStr">
        <is>
          <t>本線</t>
        </is>
      </c>
      <c r="D8441" s="10" t="inlineStr">
        <is>
          <t>上り</t>
        </is>
      </c>
      <c r="E8441" s="10" t="inlineStr">
        <is>
          <t>連0812</t>
        </is>
      </c>
      <c r="F8441" t="inlineStr">
        <is>
          <t>2221</t>
        </is>
      </c>
      <c r="G8441" s="10" t="inlineStr">
        <is>
          <t>太秦広隆寺</t>
        </is>
      </c>
      <c r="H8441" s="10" t="inlineStr">
        <is>
          <t>発</t>
        </is>
      </c>
      <c r="J8441" s="10" t="inlineStr">
        <is>
          <t>営業</t>
        </is>
      </c>
      <c r="L8441" t="inlineStr">
        <is>
          <t>8:55:25</t>
        </is>
      </c>
      <c r="M8441" t="inlineStr">
        <is>
          <t>8:55:45</t>
        </is>
      </c>
      <c r="P8441" t="inlineStr">
        <is>
          <t>H系統(朝)</t>
        </is>
      </c>
    </row>
    <row r="8442" ht="15" customHeight="1" s="37">
      <c r="A8442" t="n">
        <v>26</v>
      </c>
      <c r="B8442" s="10" t="inlineStr">
        <is>
          <t>平日</t>
        </is>
      </c>
      <c r="C8442" s="10" t="inlineStr">
        <is>
          <t>本線</t>
        </is>
      </c>
      <c r="D8442" s="10" t="inlineStr">
        <is>
          <t>上り</t>
        </is>
      </c>
      <c r="E8442" s="10" t="inlineStr">
        <is>
          <t>連0812</t>
        </is>
      </c>
      <c r="F8442" t="inlineStr">
        <is>
          <t>2221</t>
        </is>
      </c>
      <c r="G8442" s="10" t="inlineStr">
        <is>
          <t>蚕ノ社</t>
        </is>
      </c>
      <c r="H8442" s="10" t="inlineStr">
        <is>
          <t>発</t>
        </is>
      </c>
      <c r="J8442" s="10" t="inlineStr">
        <is>
          <t>営業</t>
        </is>
      </c>
      <c r="L8442" t="inlineStr">
        <is>
          <t>8:57:00</t>
        </is>
      </c>
      <c r="M8442" t="inlineStr">
        <is>
          <t>8:57:20</t>
        </is>
      </c>
      <c r="P8442" t="inlineStr">
        <is>
          <t>H系統(朝)</t>
        </is>
      </c>
    </row>
    <row r="8443" ht="15" customHeight="1" s="37">
      <c r="A8443" t="n">
        <v>26</v>
      </c>
      <c r="B8443" s="10" t="inlineStr">
        <is>
          <t>平日</t>
        </is>
      </c>
      <c r="C8443" s="10" t="inlineStr">
        <is>
          <t>本線</t>
        </is>
      </c>
      <c r="D8443" s="10" t="inlineStr">
        <is>
          <t>上り</t>
        </is>
      </c>
      <c r="E8443" s="10" t="inlineStr">
        <is>
          <t>連0812</t>
        </is>
      </c>
      <c r="F8443" t="inlineStr">
        <is>
          <t>2221</t>
        </is>
      </c>
      <c r="G8443" s="10" t="inlineStr">
        <is>
          <t>天神川</t>
        </is>
      </c>
      <c r="H8443" s="10" t="inlineStr">
        <is>
          <t>発</t>
        </is>
      </c>
      <c r="J8443" s="10" t="inlineStr">
        <is>
          <t>営業</t>
        </is>
      </c>
      <c r="L8443" t="inlineStr">
        <is>
          <t>8:58:05</t>
        </is>
      </c>
      <c r="M8443" t="inlineStr">
        <is>
          <t>8:58:50</t>
        </is>
      </c>
      <c r="P8443" t="inlineStr">
        <is>
          <t>H系統(朝)</t>
        </is>
      </c>
    </row>
    <row r="8444" ht="15" customHeight="1" s="37">
      <c r="A8444" t="n">
        <v>26</v>
      </c>
      <c r="B8444" s="10" t="inlineStr">
        <is>
          <t>平日</t>
        </is>
      </c>
      <c r="C8444" s="10" t="inlineStr">
        <is>
          <t>本線</t>
        </is>
      </c>
      <c r="D8444" s="10" t="inlineStr">
        <is>
          <t>上り</t>
        </is>
      </c>
      <c r="E8444" s="10" t="inlineStr">
        <is>
          <t>連0812</t>
        </is>
      </c>
      <c r="F8444" t="inlineStr">
        <is>
          <t>2221</t>
        </is>
      </c>
      <c r="G8444" s="10" t="inlineStr">
        <is>
          <t>山ノ内</t>
        </is>
      </c>
      <c r="H8444" s="10" t="inlineStr">
        <is>
          <t>発</t>
        </is>
      </c>
      <c r="J8444" s="10" t="inlineStr">
        <is>
          <t>営業</t>
        </is>
      </c>
      <c r="L8444" t="inlineStr">
        <is>
          <t>9:00:40</t>
        </is>
      </c>
      <c r="M8444" t="inlineStr">
        <is>
          <t>9:01:05</t>
        </is>
      </c>
      <c r="P8444" t="inlineStr">
        <is>
          <t>H系統(朝)</t>
        </is>
      </c>
    </row>
    <row r="8445" ht="15" customHeight="1" s="37">
      <c r="A8445" t="n">
        <v>26</v>
      </c>
      <c r="B8445" s="10" t="inlineStr">
        <is>
          <t>平日</t>
        </is>
      </c>
      <c r="C8445" s="10" t="inlineStr">
        <is>
          <t>本線</t>
        </is>
      </c>
      <c r="D8445" s="10" t="inlineStr">
        <is>
          <t>上り</t>
        </is>
      </c>
      <c r="E8445" s="10" t="inlineStr">
        <is>
          <t>連0812</t>
        </is>
      </c>
      <c r="F8445" t="inlineStr">
        <is>
          <t>2221</t>
        </is>
      </c>
      <c r="G8445" s="10" t="inlineStr">
        <is>
          <t>西大路三条</t>
        </is>
      </c>
      <c r="H8445" s="10" t="inlineStr">
        <is>
          <t>発</t>
        </is>
      </c>
      <c r="J8445" s="10" t="inlineStr">
        <is>
          <t>営業</t>
        </is>
      </c>
      <c r="L8445" t="inlineStr">
        <is>
          <t>9:02:55</t>
        </is>
      </c>
      <c r="M8445" t="inlineStr">
        <is>
          <t>9:03:15</t>
        </is>
      </c>
      <c r="P8445" t="inlineStr">
        <is>
          <t>H系統(朝)</t>
        </is>
      </c>
    </row>
    <row r="8446" ht="15" customHeight="1" s="37">
      <c r="A8446" t="n">
        <v>26</v>
      </c>
      <c r="B8446" s="10" t="inlineStr">
        <is>
          <t>平日</t>
        </is>
      </c>
      <c r="C8446" s="10" t="inlineStr">
        <is>
          <t>本線</t>
        </is>
      </c>
      <c r="D8446" s="10" t="inlineStr">
        <is>
          <t>上り</t>
        </is>
      </c>
      <c r="E8446" s="10" t="inlineStr">
        <is>
          <t>連0812</t>
        </is>
      </c>
      <c r="F8446" t="inlineStr">
        <is>
          <t>2221</t>
        </is>
      </c>
      <c r="G8446" s="10" t="inlineStr">
        <is>
          <t>西院</t>
        </is>
      </c>
      <c r="H8446" s="10" t="inlineStr">
        <is>
          <t>発</t>
        </is>
      </c>
      <c r="J8446" s="10" t="inlineStr">
        <is>
          <t>営業</t>
        </is>
      </c>
      <c r="L8446" t="inlineStr">
        <is>
          <t>9:05:10</t>
        </is>
      </c>
      <c r="M8446" t="inlineStr">
        <is>
          <t>9:06:05</t>
        </is>
      </c>
      <c r="P8446" t="inlineStr">
        <is>
          <t>H系統(朝)</t>
        </is>
      </c>
    </row>
    <row r="8447" ht="15" customHeight="1" s="37">
      <c r="A8447" t="n">
        <v>26</v>
      </c>
      <c r="B8447" s="10" t="inlineStr">
        <is>
          <t>平日</t>
        </is>
      </c>
      <c r="C8447" s="10" t="inlineStr">
        <is>
          <t>本線</t>
        </is>
      </c>
      <c r="D8447" s="10" t="inlineStr">
        <is>
          <t>上り</t>
        </is>
      </c>
      <c r="E8447" s="10" t="inlineStr">
        <is>
          <t>連0812</t>
        </is>
      </c>
      <c r="F8447" t="inlineStr">
        <is>
          <t>2221</t>
        </is>
      </c>
      <c r="G8447" s="10" t="inlineStr">
        <is>
          <t>四条大宮</t>
        </is>
      </c>
      <c r="H8447" s="10" t="inlineStr">
        <is>
          <t>着</t>
        </is>
      </c>
      <c r="J8447" s="10" t="inlineStr">
        <is>
          <t>営業</t>
        </is>
      </c>
      <c r="L8447" t="inlineStr">
        <is>
          <t>9:09:00</t>
        </is>
      </c>
      <c r="P8447" t="inlineStr">
        <is>
          <t>H系統(朝)</t>
        </is>
      </c>
      <c r="Q8447" t="inlineStr">
        <is>
          <t>1</t>
        </is>
      </c>
      <c r="T8447" t="inlineStr">
        <is>
          <t>○</t>
        </is>
      </c>
    </row>
    <row r="8448" ht="15" customHeight="1" s="37">
      <c r="A8448" t="n">
        <v>3</v>
      </c>
      <c r="B8448" s="10" t="inlineStr">
        <is>
          <t>平日</t>
        </is>
      </c>
      <c r="C8448" s="10" t="inlineStr">
        <is>
          <t>本線</t>
        </is>
      </c>
      <c r="D8448" s="10" t="inlineStr">
        <is>
          <t>下り</t>
        </is>
      </c>
      <c r="E8448" t="inlineStr">
        <is>
          <t>0905</t>
        </is>
      </c>
      <c r="F8448" t="inlineStr">
        <is>
          <t>0112</t>
        </is>
      </c>
      <c r="G8448" s="10" t="inlineStr">
        <is>
          <t>西院</t>
        </is>
      </c>
      <c r="H8448" s="10" t="inlineStr">
        <is>
          <t>発</t>
        </is>
      </c>
      <c r="J8448" s="10" t="inlineStr">
        <is>
          <t>営業</t>
        </is>
      </c>
      <c r="L8448" t="inlineStr">
        <is>
          <t>9:24:50</t>
        </is>
      </c>
      <c r="M8448" t="inlineStr">
        <is>
          <t>9:26:20</t>
        </is>
      </c>
    </row>
    <row r="8449" ht="15" customHeight="1" s="37">
      <c r="A8449" t="n">
        <v>3</v>
      </c>
      <c r="B8449" s="10" t="inlineStr">
        <is>
          <t>平日</t>
        </is>
      </c>
      <c r="C8449" s="10" t="inlineStr">
        <is>
          <t>本線</t>
        </is>
      </c>
      <c r="D8449" s="10" t="inlineStr">
        <is>
          <t>下り</t>
        </is>
      </c>
      <c r="E8449" t="inlineStr">
        <is>
          <t>0905</t>
        </is>
      </c>
      <c r="F8449" t="inlineStr">
        <is>
          <t>0112</t>
        </is>
      </c>
      <c r="G8449" s="10" t="inlineStr">
        <is>
          <t>西大路三条</t>
        </is>
      </c>
      <c r="H8449" s="10" t="inlineStr">
        <is>
          <t>発</t>
        </is>
      </c>
      <c r="J8449" s="10" t="inlineStr">
        <is>
          <t>営業</t>
        </is>
      </c>
      <c r="L8449" t="inlineStr">
        <is>
          <t>9:28:10</t>
        </is>
      </c>
      <c r="M8449" t="inlineStr">
        <is>
          <t>9:28:30</t>
        </is>
      </c>
    </row>
    <row r="8450" ht="15" customHeight="1" s="37">
      <c r="A8450" t="n">
        <v>3</v>
      </c>
      <c r="B8450" s="10" t="inlineStr">
        <is>
          <t>平日</t>
        </is>
      </c>
      <c r="C8450" s="10" t="inlineStr">
        <is>
          <t>本線</t>
        </is>
      </c>
      <c r="D8450" s="10" t="inlineStr">
        <is>
          <t>下り</t>
        </is>
      </c>
      <c r="E8450" t="inlineStr">
        <is>
          <t>0905</t>
        </is>
      </c>
      <c r="F8450" t="inlineStr">
        <is>
          <t>0112</t>
        </is>
      </c>
      <c r="G8450" s="10" t="inlineStr">
        <is>
          <t>山ノ内</t>
        </is>
      </c>
      <c r="H8450" s="10" t="inlineStr">
        <is>
          <t>発</t>
        </is>
      </c>
      <c r="J8450" s="10" t="inlineStr">
        <is>
          <t>営業</t>
        </is>
      </c>
      <c r="L8450" t="inlineStr">
        <is>
          <t>9:30:25</t>
        </is>
      </c>
      <c r="M8450" t="inlineStr">
        <is>
          <t>9:30:50</t>
        </is>
      </c>
    </row>
    <row r="8451" ht="15" customHeight="1" s="37">
      <c r="A8451" t="n">
        <v>3</v>
      </c>
      <c r="B8451" s="10" t="inlineStr">
        <is>
          <t>平日</t>
        </is>
      </c>
      <c r="C8451" s="10" t="inlineStr">
        <is>
          <t>本線</t>
        </is>
      </c>
      <c r="D8451" s="10" t="inlineStr">
        <is>
          <t>下り</t>
        </is>
      </c>
      <c r="E8451" t="inlineStr">
        <is>
          <t>0905</t>
        </is>
      </c>
      <c r="F8451" t="inlineStr">
        <is>
          <t>0112</t>
        </is>
      </c>
      <c r="G8451" s="10" t="inlineStr">
        <is>
          <t>天神川</t>
        </is>
      </c>
      <c r="H8451" s="10" t="inlineStr">
        <is>
          <t>発</t>
        </is>
      </c>
      <c r="J8451" s="10" t="inlineStr">
        <is>
          <t>営業</t>
        </is>
      </c>
      <c r="L8451" t="inlineStr">
        <is>
          <t>9:32:50</t>
        </is>
      </c>
      <c r="M8451" t="inlineStr">
        <is>
          <t>9:33:30</t>
        </is>
      </c>
    </row>
    <row r="8452" ht="15" customHeight="1" s="37">
      <c r="A8452" t="n">
        <v>3</v>
      </c>
      <c r="B8452" s="10" t="inlineStr">
        <is>
          <t>平日</t>
        </is>
      </c>
      <c r="C8452" s="10" t="inlineStr">
        <is>
          <t>本線</t>
        </is>
      </c>
      <c r="D8452" s="10" t="inlineStr">
        <is>
          <t>下り</t>
        </is>
      </c>
      <c r="E8452" t="inlineStr">
        <is>
          <t>0905</t>
        </is>
      </c>
      <c r="F8452" t="inlineStr">
        <is>
          <t>0112</t>
        </is>
      </c>
      <c r="G8452" s="10" t="inlineStr">
        <is>
          <t>蚕ノ社</t>
        </is>
      </c>
      <c r="H8452" s="10" t="inlineStr">
        <is>
          <t>発</t>
        </is>
      </c>
      <c r="J8452" s="10" t="inlineStr">
        <is>
          <t>営業</t>
        </is>
      </c>
      <c r="L8452" t="inlineStr">
        <is>
          <t>9:34:20</t>
        </is>
      </c>
      <c r="M8452" t="inlineStr">
        <is>
          <t>9:34:40</t>
        </is>
      </c>
    </row>
    <row r="8453" ht="15" customHeight="1" s="37">
      <c r="A8453" t="n">
        <v>3</v>
      </c>
      <c r="B8453" s="10" t="inlineStr">
        <is>
          <t>平日</t>
        </is>
      </c>
      <c r="C8453" s="10" t="inlineStr">
        <is>
          <t>本線</t>
        </is>
      </c>
      <c r="D8453" s="10" t="inlineStr">
        <is>
          <t>下り</t>
        </is>
      </c>
      <c r="E8453" t="inlineStr">
        <is>
          <t>0905</t>
        </is>
      </c>
      <c r="F8453" t="inlineStr">
        <is>
          <t>0112</t>
        </is>
      </c>
      <c r="G8453" s="10" t="inlineStr">
        <is>
          <t>太秦広隆寺</t>
        </is>
      </c>
      <c r="H8453" s="10" t="inlineStr">
        <is>
          <t>発</t>
        </is>
      </c>
      <c r="J8453" s="10" t="inlineStr">
        <is>
          <t>営業</t>
        </is>
      </c>
      <c r="L8453" t="inlineStr">
        <is>
          <t>9:36:00</t>
        </is>
      </c>
      <c r="M8453" t="inlineStr">
        <is>
          <t>9:36:20</t>
        </is>
      </c>
    </row>
    <row r="8454" ht="15" customHeight="1" s="37">
      <c r="A8454" t="n">
        <v>3</v>
      </c>
      <c r="B8454" s="10" t="inlineStr">
        <is>
          <t>平日</t>
        </is>
      </c>
      <c r="C8454" s="10" t="inlineStr">
        <is>
          <t>本線</t>
        </is>
      </c>
      <c r="D8454" s="10" t="inlineStr">
        <is>
          <t>下り</t>
        </is>
      </c>
      <c r="E8454" t="inlineStr">
        <is>
          <t>0905</t>
        </is>
      </c>
      <c r="F8454" t="inlineStr">
        <is>
          <t>0112</t>
        </is>
      </c>
      <c r="G8454" s="10" t="inlineStr">
        <is>
          <t>帷子ノ辻</t>
        </is>
      </c>
      <c r="H8454" s="10" t="inlineStr">
        <is>
          <t>発</t>
        </is>
      </c>
      <c r="J8454" s="10" t="inlineStr">
        <is>
          <t>営業</t>
        </is>
      </c>
      <c r="L8454" t="inlineStr">
        <is>
          <t>9:38:20</t>
        </is>
      </c>
      <c r="M8454" t="inlineStr">
        <is>
          <t>9:39:40</t>
        </is>
      </c>
    </row>
    <row r="8455" ht="15" customHeight="1" s="37">
      <c r="A8455" t="n">
        <v>3</v>
      </c>
      <c r="B8455" s="10" t="inlineStr">
        <is>
          <t>平日</t>
        </is>
      </c>
      <c r="C8455" s="10" t="inlineStr">
        <is>
          <t>本線</t>
        </is>
      </c>
      <c r="D8455" s="10" t="inlineStr">
        <is>
          <t>下り</t>
        </is>
      </c>
      <c r="E8455" t="inlineStr">
        <is>
          <t>0905</t>
        </is>
      </c>
      <c r="F8455" t="inlineStr">
        <is>
          <t>0112</t>
        </is>
      </c>
      <c r="G8455" s="10" t="inlineStr">
        <is>
          <t>有栖川</t>
        </is>
      </c>
      <c r="H8455" s="10" t="inlineStr">
        <is>
          <t>発</t>
        </is>
      </c>
      <c r="J8455" s="10" t="inlineStr">
        <is>
          <t>営業</t>
        </is>
      </c>
      <c r="L8455" t="inlineStr">
        <is>
          <t>9:40:50</t>
        </is>
      </c>
      <c r="M8455" t="inlineStr">
        <is>
          <t>9:41:15</t>
        </is>
      </c>
    </row>
    <row r="8456" ht="15" customHeight="1" s="37">
      <c r="A8456" t="n">
        <v>3</v>
      </c>
      <c r="B8456" s="10" t="inlineStr">
        <is>
          <t>平日</t>
        </is>
      </c>
      <c r="C8456" s="10" t="inlineStr">
        <is>
          <t>本線</t>
        </is>
      </c>
      <c r="D8456" s="10" t="inlineStr">
        <is>
          <t>下り</t>
        </is>
      </c>
      <c r="E8456" t="inlineStr">
        <is>
          <t>0905</t>
        </is>
      </c>
      <c r="F8456" t="inlineStr">
        <is>
          <t>0112</t>
        </is>
      </c>
      <c r="G8456" s="10" t="inlineStr">
        <is>
          <t>車折</t>
        </is>
      </c>
      <c r="H8456" s="10" t="inlineStr">
        <is>
          <t>発</t>
        </is>
      </c>
      <c r="J8456" s="10" t="inlineStr">
        <is>
          <t>営業</t>
        </is>
      </c>
      <c r="L8456" t="inlineStr">
        <is>
          <t>9:42:40</t>
        </is>
      </c>
      <c r="M8456" t="inlineStr">
        <is>
          <t>9:43:05</t>
        </is>
      </c>
    </row>
    <row r="8457" ht="15" customHeight="1" s="37">
      <c r="A8457" t="n">
        <v>3</v>
      </c>
      <c r="B8457" s="10" t="inlineStr">
        <is>
          <t>平日</t>
        </is>
      </c>
      <c r="C8457" s="10" t="inlineStr">
        <is>
          <t>本線</t>
        </is>
      </c>
      <c r="D8457" s="10" t="inlineStr">
        <is>
          <t>下り</t>
        </is>
      </c>
      <c r="E8457" t="inlineStr">
        <is>
          <t>0905</t>
        </is>
      </c>
      <c r="F8457" t="inlineStr">
        <is>
          <t>0112</t>
        </is>
      </c>
      <c r="G8457" s="10" t="inlineStr">
        <is>
          <t>鹿王院</t>
        </is>
      </c>
      <c r="H8457" s="10" t="inlineStr">
        <is>
          <t>発</t>
        </is>
      </c>
      <c r="J8457" s="10" t="inlineStr">
        <is>
          <t>営業</t>
        </is>
      </c>
      <c r="L8457" t="inlineStr">
        <is>
          <t>9:44:00</t>
        </is>
      </c>
      <c r="M8457" t="inlineStr">
        <is>
          <t>9:44:25</t>
        </is>
      </c>
    </row>
    <row r="8458" ht="15" customHeight="1" s="37">
      <c r="A8458" t="n">
        <v>3</v>
      </c>
      <c r="B8458" s="10" t="inlineStr">
        <is>
          <t>平日</t>
        </is>
      </c>
      <c r="C8458" s="10" t="inlineStr">
        <is>
          <t>本線</t>
        </is>
      </c>
      <c r="D8458" s="10" t="inlineStr">
        <is>
          <t>下り</t>
        </is>
      </c>
      <c r="E8458" t="inlineStr">
        <is>
          <t>0905</t>
        </is>
      </c>
      <c r="F8458" t="inlineStr">
        <is>
          <t>0112</t>
        </is>
      </c>
      <c r="G8458" s="10" t="inlineStr">
        <is>
          <t>嵯峨</t>
        </is>
      </c>
      <c r="H8458" s="10" t="inlineStr">
        <is>
          <t>発</t>
        </is>
      </c>
      <c r="J8458" s="10" t="inlineStr">
        <is>
          <t>営業</t>
        </is>
      </c>
      <c r="L8458" t="inlineStr">
        <is>
          <t>9:45:30</t>
        </is>
      </c>
      <c r="M8458" t="inlineStr">
        <is>
          <t>9:45:55</t>
        </is>
      </c>
    </row>
    <row r="8459" ht="15" customHeight="1" s="37">
      <c r="A8459" t="n">
        <v>3</v>
      </c>
      <c r="B8459" s="10" t="inlineStr">
        <is>
          <t>平日</t>
        </is>
      </c>
      <c r="C8459" s="10" t="inlineStr">
        <is>
          <t>本線</t>
        </is>
      </c>
      <c r="D8459" s="10" t="inlineStr">
        <is>
          <t>下り</t>
        </is>
      </c>
      <c r="E8459" t="inlineStr">
        <is>
          <t>0905</t>
        </is>
      </c>
      <c r="F8459" t="inlineStr">
        <is>
          <t>0112</t>
        </is>
      </c>
      <c r="G8459" s="10" t="inlineStr">
        <is>
          <t>嵐山</t>
        </is>
      </c>
      <c r="H8459" s="10" t="inlineStr">
        <is>
          <t>着</t>
        </is>
      </c>
      <c r="J8459" s="10" t="inlineStr">
        <is>
          <t>営業</t>
        </is>
      </c>
      <c r="L8459" t="inlineStr">
        <is>
          <t>9:47:00</t>
        </is>
      </c>
      <c r="Q8459" t="inlineStr">
        <is>
          <t>1</t>
        </is>
      </c>
    </row>
    <row r="8460" ht="15" customHeight="1" s="37">
      <c r="A8460" t="n">
        <v>3</v>
      </c>
      <c r="B8460" s="10" t="inlineStr">
        <is>
          <t>平日</t>
        </is>
      </c>
      <c r="C8460" s="10" t="inlineStr">
        <is>
          <t>本線</t>
        </is>
      </c>
      <c r="D8460" s="10" t="inlineStr">
        <is>
          <t>上り</t>
        </is>
      </c>
      <c r="E8460" t="inlineStr">
        <is>
          <t>0912</t>
        </is>
      </c>
      <c r="F8460" t="inlineStr">
        <is>
          <t>0211</t>
        </is>
      </c>
      <c r="G8460" s="10" t="inlineStr">
        <is>
          <t>嵐山</t>
        </is>
      </c>
      <c r="H8460" s="10" t="inlineStr">
        <is>
          <t>発</t>
        </is>
      </c>
      <c r="J8460" s="10" t="inlineStr">
        <is>
          <t>営業</t>
        </is>
      </c>
      <c r="M8460" t="inlineStr">
        <is>
          <t>9:53:00</t>
        </is>
      </c>
      <c r="Q8460" t="inlineStr">
        <is>
          <t>1</t>
        </is>
      </c>
      <c r="U8460" t="inlineStr">
        <is>
          <t>→西院 休憩(10:26〜11:36)</t>
        </is>
      </c>
    </row>
    <row r="8461" ht="15" customHeight="1" s="37">
      <c r="A8461" t="n">
        <v>3</v>
      </c>
      <c r="B8461" s="10" t="inlineStr">
        <is>
          <t>平日</t>
        </is>
      </c>
      <c r="C8461" s="10" t="inlineStr">
        <is>
          <t>本線</t>
        </is>
      </c>
      <c r="D8461" s="10" t="inlineStr">
        <is>
          <t>上り</t>
        </is>
      </c>
      <c r="E8461" t="inlineStr">
        <is>
          <t>0912</t>
        </is>
      </c>
      <c r="F8461" t="inlineStr">
        <is>
          <t>0211</t>
        </is>
      </c>
      <c r="G8461" s="10" t="inlineStr">
        <is>
          <t>嵯峨</t>
        </is>
      </c>
      <c r="H8461" s="10" t="inlineStr">
        <is>
          <t>発</t>
        </is>
      </c>
      <c r="J8461" s="10" t="inlineStr">
        <is>
          <t>営業</t>
        </is>
      </c>
      <c r="L8461" t="inlineStr">
        <is>
          <t>9:53:55</t>
        </is>
      </c>
      <c r="M8461" t="inlineStr">
        <is>
          <t>9:54:20</t>
        </is>
      </c>
      <c r="U8461" t="inlineStr">
        <is>
          <t>→西院 休憩(10:26〜11:36)</t>
        </is>
      </c>
    </row>
    <row r="8462" ht="15" customHeight="1" s="37">
      <c r="A8462" t="n">
        <v>3</v>
      </c>
      <c r="B8462" s="10" t="inlineStr">
        <is>
          <t>平日</t>
        </is>
      </c>
      <c r="C8462" s="10" t="inlineStr">
        <is>
          <t>本線</t>
        </is>
      </c>
      <c r="D8462" s="10" t="inlineStr">
        <is>
          <t>上り</t>
        </is>
      </c>
      <c r="E8462" t="inlineStr">
        <is>
          <t>0912</t>
        </is>
      </c>
      <c r="F8462" t="inlineStr">
        <is>
          <t>0211</t>
        </is>
      </c>
      <c r="G8462" s="10" t="inlineStr">
        <is>
          <t>鹿王院</t>
        </is>
      </c>
      <c r="H8462" s="10" t="inlineStr">
        <is>
          <t>発</t>
        </is>
      </c>
      <c r="J8462" s="10" t="inlineStr">
        <is>
          <t>営業</t>
        </is>
      </c>
      <c r="L8462" t="inlineStr">
        <is>
          <t>9:55:25</t>
        </is>
      </c>
      <c r="M8462" t="inlineStr">
        <is>
          <t>9:55:45</t>
        </is>
      </c>
      <c r="U8462" t="inlineStr">
        <is>
          <t>→西院 休憩(10:26〜11:36)</t>
        </is>
      </c>
    </row>
    <row r="8463" ht="15" customHeight="1" s="37">
      <c r="A8463" t="n">
        <v>3</v>
      </c>
      <c r="B8463" s="10" t="inlineStr">
        <is>
          <t>平日</t>
        </is>
      </c>
      <c r="C8463" s="10" t="inlineStr">
        <is>
          <t>本線</t>
        </is>
      </c>
      <c r="D8463" s="10" t="inlineStr">
        <is>
          <t>上り</t>
        </is>
      </c>
      <c r="E8463" t="inlineStr">
        <is>
          <t>0912</t>
        </is>
      </c>
      <c r="F8463" t="inlineStr">
        <is>
          <t>0211</t>
        </is>
      </c>
      <c r="G8463" s="10" t="inlineStr">
        <is>
          <t>車折</t>
        </is>
      </c>
      <c r="H8463" s="10" t="inlineStr">
        <is>
          <t>発</t>
        </is>
      </c>
      <c r="J8463" s="10" t="inlineStr">
        <is>
          <t>営業</t>
        </is>
      </c>
      <c r="L8463" t="inlineStr">
        <is>
          <t>9:56:40</t>
        </is>
      </c>
      <c r="M8463" t="inlineStr">
        <is>
          <t>9:57:10</t>
        </is>
      </c>
      <c r="U8463" t="inlineStr">
        <is>
          <t>→西院 休憩(10:26〜11:36)</t>
        </is>
      </c>
    </row>
    <row r="8464" ht="15" customHeight="1" s="37">
      <c r="A8464" t="n">
        <v>3</v>
      </c>
      <c r="B8464" s="10" t="inlineStr">
        <is>
          <t>平日</t>
        </is>
      </c>
      <c r="C8464" s="10" t="inlineStr">
        <is>
          <t>本線</t>
        </is>
      </c>
      <c r="D8464" s="10" t="inlineStr">
        <is>
          <t>上り</t>
        </is>
      </c>
      <c r="E8464" t="inlineStr">
        <is>
          <t>0912</t>
        </is>
      </c>
      <c r="F8464" t="inlineStr">
        <is>
          <t>0211</t>
        </is>
      </c>
      <c r="G8464" s="10" t="inlineStr">
        <is>
          <t>有栖川</t>
        </is>
      </c>
      <c r="H8464" s="10" t="inlineStr">
        <is>
          <t>発</t>
        </is>
      </c>
      <c r="J8464" s="10" t="inlineStr">
        <is>
          <t>営業</t>
        </is>
      </c>
      <c r="L8464" t="inlineStr">
        <is>
          <t>9:58:35</t>
        </is>
      </c>
      <c r="M8464" t="inlineStr">
        <is>
          <t>9:58:55</t>
        </is>
      </c>
      <c r="U8464" t="inlineStr">
        <is>
          <t>→西院 休憩(10:26〜11:36)</t>
        </is>
      </c>
    </row>
    <row r="8465" ht="15" customHeight="1" s="37">
      <c r="A8465" t="n">
        <v>3</v>
      </c>
      <c r="B8465" s="10" t="inlineStr">
        <is>
          <t>平日</t>
        </is>
      </c>
      <c r="C8465" s="10" t="inlineStr">
        <is>
          <t>本線</t>
        </is>
      </c>
      <c r="D8465" s="10" t="inlineStr">
        <is>
          <t>上り</t>
        </is>
      </c>
      <c r="E8465" t="inlineStr">
        <is>
          <t>0912</t>
        </is>
      </c>
      <c r="F8465" t="inlineStr">
        <is>
          <t>0211</t>
        </is>
      </c>
      <c r="G8465" s="10" t="inlineStr">
        <is>
          <t>帷子ノ辻</t>
        </is>
      </c>
      <c r="H8465" s="10" t="inlineStr">
        <is>
          <t>発</t>
        </is>
      </c>
      <c r="J8465" s="10" t="inlineStr">
        <is>
          <t>営業</t>
        </is>
      </c>
      <c r="L8465" t="inlineStr">
        <is>
          <t>10:00:10</t>
        </is>
      </c>
      <c r="M8465" t="inlineStr">
        <is>
          <t>10:01:15</t>
        </is>
      </c>
      <c r="U8465" t="inlineStr">
        <is>
          <t>→西院 休憩(10:26〜11:36)</t>
        </is>
      </c>
    </row>
    <row r="8466" ht="15" customHeight="1" s="37">
      <c r="A8466" t="n">
        <v>3</v>
      </c>
      <c r="B8466" s="10" t="inlineStr">
        <is>
          <t>平日</t>
        </is>
      </c>
      <c r="C8466" s="10" t="inlineStr">
        <is>
          <t>本線</t>
        </is>
      </c>
      <c r="D8466" s="10" t="inlineStr">
        <is>
          <t>上り</t>
        </is>
      </c>
      <c r="E8466" t="inlineStr">
        <is>
          <t>0912</t>
        </is>
      </c>
      <c r="F8466" t="inlineStr">
        <is>
          <t>0211</t>
        </is>
      </c>
      <c r="G8466" s="10" t="inlineStr">
        <is>
          <t>太秦広隆寺</t>
        </is>
      </c>
      <c r="H8466" s="10" t="inlineStr">
        <is>
          <t>発</t>
        </is>
      </c>
      <c r="J8466" s="10" t="inlineStr">
        <is>
          <t>営業</t>
        </is>
      </c>
      <c r="L8466" t="inlineStr">
        <is>
          <t>10:03:25</t>
        </is>
      </c>
      <c r="M8466" t="inlineStr">
        <is>
          <t>10:03:45</t>
        </is>
      </c>
      <c r="U8466" t="inlineStr">
        <is>
          <t>→西院 休憩(10:26〜11:36)</t>
        </is>
      </c>
    </row>
    <row r="8467" ht="15" customHeight="1" s="37">
      <c r="A8467" t="n">
        <v>3</v>
      </c>
      <c r="B8467" s="10" t="inlineStr">
        <is>
          <t>平日</t>
        </is>
      </c>
      <c r="C8467" s="10" t="inlineStr">
        <is>
          <t>本線</t>
        </is>
      </c>
      <c r="D8467" s="10" t="inlineStr">
        <is>
          <t>上り</t>
        </is>
      </c>
      <c r="E8467" t="inlineStr">
        <is>
          <t>0912</t>
        </is>
      </c>
      <c r="F8467" t="inlineStr">
        <is>
          <t>0211</t>
        </is>
      </c>
      <c r="G8467" s="10" t="inlineStr">
        <is>
          <t>蚕ノ社</t>
        </is>
      </c>
      <c r="H8467" s="10" t="inlineStr">
        <is>
          <t>発</t>
        </is>
      </c>
      <c r="J8467" s="10" t="inlineStr">
        <is>
          <t>営業</t>
        </is>
      </c>
      <c r="L8467" t="inlineStr">
        <is>
          <t>10:05:00</t>
        </is>
      </c>
      <c r="M8467" t="inlineStr">
        <is>
          <t>10:05:20</t>
        </is>
      </c>
      <c r="U8467" t="inlineStr">
        <is>
          <t>→西院 休憩(10:26〜11:36)</t>
        </is>
      </c>
    </row>
    <row r="8468" ht="15" customHeight="1" s="37">
      <c r="A8468" t="n">
        <v>3</v>
      </c>
      <c r="B8468" s="10" t="inlineStr">
        <is>
          <t>平日</t>
        </is>
      </c>
      <c r="C8468" s="10" t="inlineStr">
        <is>
          <t>本線</t>
        </is>
      </c>
      <c r="D8468" s="10" t="inlineStr">
        <is>
          <t>上り</t>
        </is>
      </c>
      <c r="E8468" t="inlineStr">
        <is>
          <t>0912</t>
        </is>
      </c>
      <c r="F8468" t="inlineStr">
        <is>
          <t>0211</t>
        </is>
      </c>
      <c r="G8468" s="10" t="inlineStr">
        <is>
          <t>天神川</t>
        </is>
      </c>
      <c r="H8468" s="10" t="inlineStr">
        <is>
          <t>発</t>
        </is>
      </c>
      <c r="J8468" s="10" t="inlineStr">
        <is>
          <t>営業</t>
        </is>
      </c>
      <c r="L8468" t="inlineStr">
        <is>
          <t>10:06:05</t>
        </is>
      </c>
      <c r="M8468" t="inlineStr">
        <is>
          <t>10:06:50</t>
        </is>
      </c>
      <c r="U8468" t="inlineStr">
        <is>
          <t>→西院 休憩(10:26〜11:36)</t>
        </is>
      </c>
    </row>
    <row r="8469" ht="15" customHeight="1" s="37">
      <c r="A8469" t="n">
        <v>3</v>
      </c>
      <c r="B8469" s="10" t="inlineStr">
        <is>
          <t>平日</t>
        </is>
      </c>
      <c r="C8469" s="10" t="inlineStr">
        <is>
          <t>本線</t>
        </is>
      </c>
      <c r="D8469" s="10" t="inlineStr">
        <is>
          <t>上り</t>
        </is>
      </c>
      <c r="E8469" t="inlineStr">
        <is>
          <t>0912</t>
        </is>
      </c>
      <c r="F8469" t="inlineStr">
        <is>
          <t>0211</t>
        </is>
      </c>
      <c r="G8469" s="10" t="inlineStr">
        <is>
          <t>山ノ内</t>
        </is>
      </c>
      <c r="H8469" s="10" t="inlineStr">
        <is>
          <t>発</t>
        </is>
      </c>
      <c r="J8469" s="10" t="inlineStr">
        <is>
          <t>営業</t>
        </is>
      </c>
      <c r="L8469" t="inlineStr">
        <is>
          <t>10:08:40</t>
        </is>
      </c>
      <c r="M8469" t="inlineStr">
        <is>
          <t>10:09:05</t>
        </is>
      </c>
      <c r="U8469" t="inlineStr">
        <is>
          <t>→西院 休憩(10:26〜11:36)</t>
        </is>
      </c>
    </row>
    <row r="8470" ht="15" customHeight="1" s="37">
      <c r="A8470" t="n">
        <v>3</v>
      </c>
      <c r="B8470" s="10" t="inlineStr">
        <is>
          <t>平日</t>
        </is>
      </c>
      <c r="C8470" s="10" t="inlineStr">
        <is>
          <t>本線</t>
        </is>
      </c>
      <c r="D8470" s="10" t="inlineStr">
        <is>
          <t>上り</t>
        </is>
      </c>
      <c r="E8470" t="inlineStr">
        <is>
          <t>0912</t>
        </is>
      </c>
      <c r="F8470" t="inlineStr">
        <is>
          <t>0211</t>
        </is>
      </c>
      <c r="G8470" s="10" t="inlineStr">
        <is>
          <t>西大路三条</t>
        </is>
      </c>
      <c r="H8470" s="10" t="inlineStr">
        <is>
          <t>発</t>
        </is>
      </c>
      <c r="J8470" s="10" t="inlineStr">
        <is>
          <t>営業</t>
        </is>
      </c>
      <c r="L8470" t="inlineStr">
        <is>
          <t>10:10:55</t>
        </is>
      </c>
      <c r="M8470" t="inlineStr">
        <is>
          <t>10:11:15</t>
        </is>
      </c>
      <c r="U8470" t="inlineStr">
        <is>
          <t>→西院 休憩(10:26〜11:36)</t>
        </is>
      </c>
    </row>
    <row r="8471" ht="15" customHeight="1" s="37">
      <c r="A8471" t="n">
        <v>3</v>
      </c>
      <c r="B8471" s="10" t="inlineStr">
        <is>
          <t>平日</t>
        </is>
      </c>
      <c r="C8471" s="10" t="inlineStr">
        <is>
          <t>本線</t>
        </is>
      </c>
      <c r="D8471" s="10" t="inlineStr">
        <is>
          <t>上り</t>
        </is>
      </c>
      <c r="E8471" t="inlineStr">
        <is>
          <t>0912</t>
        </is>
      </c>
      <c r="F8471" t="inlineStr">
        <is>
          <t>0211</t>
        </is>
      </c>
      <c r="G8471" s="10" t="inlineStr">
        <is>
          <t>西院</t>
        </is>
      </c>
      <c r="H8471" s="10" t="inlineStr">
        <is>
          <t>発</t>
        </is>
      </c>
      <c r="J8471" s="10" t="inlineStr">
        <is>
          <t>営業</t>
        </is>
      </c>
      <c r="L8471" t="inlineStr">
        <is>
          <t>10:13:10</t>
        </is>
      </c>
      <c r="M8471" t="inlineStr">
        <is>
          <t>10:14:05</t>
        </is>
      </c>
      <c r="U8471" t="inlineStr">
        <is>
          <t>→西院 休憩(10:26〜11:36)</t>
        </is>
      </c>
    </row>
    <row r="8472" ht="15" customHeight="1" s="37">
      <c r="A8472" t="n">
        <v>3</v>
      </c>
      <c r="B8472" s="10" t="inlineStr">
        <is>
          <t>平日</t>
        </is>
      </c>
      <c r="C8472" s="10" t="inlineStr">
        <is>
          <t>本線</t>
        </is>
      </c>
      <c r="D8472" s="10" t="inlineStr">
        <is>
          <t>上り</t>
        </is>
      </c>
      <c r="E8472" t="inlineStr">
        <is>
          <t>0912</t>
        </is>
      </c>
      <c r="F8472" t="inlineStr">
        <is>
          <t>0211</t>
        </is>
      </c>
      <c r="G8472" s="10" t="inlineStr">
        <is>
          <t>四条大宮</t>
        </is>
      </c>
      <c r="H8472" s="10" t="inlineStr">
        <is>
          <t>着</t>
        </is>
      </c>
      <c r="J8472" s="10" t="inlineStr">
        <is>
          <t>営業</t>
        </is>
      </c>
      <c r="L8472" t="inlineStr">
        <is>
          <t>10:17:00</t>
        </is>
      </c>
      <c r="Q8472" t="inlineStr">
        <is>
          <t>1</t>
        </is>
      </c>
      <c r="U8472" t="inlineStr">
        <is>
          <t>→西院 休憩(10:26〜11:36)</t>
        </is>
      </c>
    </row>
    <row r="8473" ht="15" customHeight="1" s="37">
      <c r="A8473" t="n">
        <v>3</v>
      </c>
      <c r="B8473" s="10" t="inlineStr">
        <is>
          <t>平日</t>
        </is>
      </c>
      <c r="C8473" s="10" t="inlineStr">
        <is>
          <t>本線</t>
        </is>
      </c>
      <c r="D8473" s="10" t="inlineStr">
        <is>
          <t>下り</t>
        </is>
      </c>
      <c r="E8473" t="inlineStr">
        <is>
          <t>1005</t>
        </is>
      </c>
      <c r="F8473" t="inlineStr">
        <is>
          <t>0112</t>
        </is>
      </c>
      <c r="G8473" s="10" t="inlineStr">
        <is>
          <t>四条大宮</t>
        </is>
      </c>
      <c r="H8473" s="10" t="inlineStr">
        <is>
          <t>発</t>
        </is>
      </c>
      <c r="J8473" s="10" t="inlineStr">
        <is>
          <t>営業</t>
        </is>
      </c>
      <c r="M8473" t="inlineStr">
        <is>
          <t>10:23:00</t>
        </is>
      </c>
      <c r="Q8473" t="inlineStr">
        <is>
          <t>1</t>
        </is>
      </c>
      <c r="U8473" t="inlineStr">
        <is>
          <t>→西院 休憩(10:26〜11:36)</t>
        </is>
      </c>
    </row>
    <row r="8474" ht="15" customHeight="1" s="37">
      <c r="A8474" t="n">
        <v>3</v>
      </c>
      <c r="B8474" s="10" t="inlineStr">
        <is>
          <t>平日</t>
        </is>
      </c>
      <c r="C8474" s="10" t="inlineStr">
        <is>
          <t>本線</t>
        </is>
      </c>
      <c r="D8474" s="10" t="inlineStr">
        <is>
          <t>下り</t>
        </is>
      </c>
      <c r="E8474" t="inlineStr">
        <is>
          <t>1005</t>
        </is>
      </c>
      <c r="F8474" t="inlineStr">
        <is>
          <t>0112</t>
        </is>
      </c>
      <c r="G8474" s="10" t="inlineStr">
        <is>
          <t>西院</t>
        </is>
      </c>
      <c r="H8474" s="10" t="inlineStr">
        <is>
          <t>着</t>
        </is>
      </c>
      <c r="J8474" s="10" t="inlineStr">
        <is>
          <t>営業</t>
        </is>
      </c>
      <c r="L8474" t="inlineStr">
        <is>
          <t>10:25:50</t>
        </is>
      </c>
      <c r="M8474" t="inlineStr">
        <is>
          <t>10:26:20</t>
        </is>
      </c>
      <c r="U8474" t="inlineStr">
        <is>
          <t>→西院 休憩(10:26〜11:36)</t>
        </is>
      </c>
    </row>
    <row r="8475" ht="15" customHeight="1" s="37">
      <c r="A8475" t="n">
        <v>3</v>
      </c>
      <c r="B8475" s="10" t="inlineStr">
        <is>
          <t>平日</t>
        </is>
      </c>
      <c r="C8475" s="10" t="inlineStr">
        <is>
          <t>本線</t>
        </is>
      </c>
      <c r="D8475" s="10" t="inlineStr">
        <is>
          <t>下り</t>
        </is>
      </c>
      <c r="E8475" t="inlineStr">
        <is>
          <t>1107</t>
        </is>
      </c>
      <c r="F8475" t="inlineStr">
        <is>
          <t>0112</t>
        </is>
      </c>
      <c r="G8475" s="10" t="inlineStr">
        <is>
          <t>西院</t>
        </is>
      </c>
      <c r="H8475" s="10" t="inlineStr">
        <is>
          <t>発</t>
        </is>
      </c>
      <c r="J8475" s="10" t="inlineStr">
        <is>
          <t>営業</t>
        </is>
      </c>
      <c r="L8475" t="inlineStr">
        <is>
          <t>11:35:50</t>
        </is>
      </c>
      <c r="M8475" t="inlineStr">
        <is>
          <t>11:36:20</t>
        </is>
      </c>
    </row>
    <row r="8476" ht="15" customHeight="1" s="37">
      <c r="A8476" t="n">
        <v>3</v>
      </c>
      <c r="B8476" s="10" t="inlineStr">
        <is>
          <t>平日</t>
        </is>
      </c>
      <c r="C8476" s="10" t="inlineStr">
        <is>
          <t>本線</t>
        </is>
      </c>
      <c r="D8476" s="10" t="inlineStr">
        <is>
          <t>下り</t>
        </is>
      </c>
      <c r="E8476" t="inlineStr">
        <is>
          <t>1107</t>
        </is>
      </c>
      <c r="F8476" t="inlineStr">
        <is>
          <t>0112</t>
        </is>
      </c>
      <c r="G8476" s="10" t="inlineStr">
        <is>
          <t>西大路三条</t>
        </is>
      </c>
      <c r="H8476" s="10" t="inlineStr">
        <is>
          <t>発</t>
        </is>
      </c>
      <c r="J8476" s="10" t="inlineStr">
        <is>
          <t>営業</t>
        </is>
      </c>
      <c r="L8476" t="inlineStr">
        <is>
          <t>11:38:10</t>
        </is>
      </c>
      <c r="M8476" t="inlineStr">
        <is>
          <t>11:38:30</t>
        </is>
      </c>
    </row>
    <row r="8477" ht="15" customHeight="1" s="37">
      <c r="A8477" t="n">
        <v>3</v>
      </c>
      <c r="B8477" s="10" t="inlineStr">
        <is>
          <t>平日</t>
        </is>
      </c>
      <c r="C8477" s="10" t="inlineStr">
        <is>
          <t>本線</t>
        </is>
      </c>
      <c r="D8477" s="10" t="inlineStr">
        <is>
          <t>下り</t>
        </is>
      </c>
      <c r="E8477" t="inlineStr">
        <is>
          <t>1107</t>
        </is>
      </c>
      <c r="F8477" t="inlineStr">
        <is>
          <t>0112</t>
        </is>
      </c>
      <c r="G8477" s="10" t="inlineStr">
        <is>
          <t>山ノ内</t>
        </is>
      </c>
      <c r="H8477" s="10" t="inlineStr">
        <is>
          <t>発</t>
        </is>
      </c>
      <c r="J8477" s="10" t="inlineStr">
        <is>
          <t>営業</t>
        </is>
      </c>
      <c r="L8477" t="inlineStr">
        <is>
          <t>11:40:25</t>
        </is>
      </c>
      <c r="M8477" t="inlineStr">
        <is>
          <t>11:40:50</t>
        </is>
      </c>
    </row>
    <row r="8478" ht="15" customHeight="1" s="37">
      <c r="A8478" t="n">
        <v>3</v>
      </c>
      <c r="B8478" s="10" t="inlineStr">
        <is>
          <t>平日</t>
        </is>
      </c>
      <c r="C8478" s="10" t="inlineStr">
        <is>
          <t>本線</t>
        </is>
      </c>
      <c r="D8478" s="10" t="inlineStr">
        <is>
          <t>下り</t>
        </is>
      </c>
      <c r="E8478" t="inlineStr">
        <is>
          <t>1107</t>
        </is>
      </c>
      <c r="F8478" t="inlineStr">
        <is>
          <t>0112</t>
        </is>
      </c>
      <c r="G8478" s="10" t="inlineStr">
        <is>
          <t>天神川</t>
        </is>
      </c>
      <c r="H8478" s="10" t="inlineStr">
        <is>
          <t>発</t>
        </is>
      </c>
      <c r="J8478" s="10" t="inlineStr">
        <is>
          <t>営業</t>
        </is>
      </c>
      <c r="L8478" t="inlineStr">
        <is>
          <t>11:42:50</t>
        </is>
      </c>
      <c r="M8478" t="inlineStr">
        <is>
          <t>11:43:30</t>
        </is>
      </c>
    </row>
    <row r="8479" ht="15" customHeight="1" s="37">
      <c r="A8479" t="n">
        <v>3</v>
      </c>
      <c r="B8479" s="10" t="inlineStr">
        <is>
          <t>平日</t>
        </is>
      </c>
      <c r="C8479" s="10" t="inlineStr">
        <is>
          <t>本線</t>
        </is>
      </c>
      <c r="D8479" s="10" t="inlineStr">
        <is>
          <t>下り</t>
        </is>
      </c>
      <c r="E8479" t="inlineStr">
        <is>
          <t>1107</t>
        </is>
      </c>
      <c r="F8479" t="inlineStr">
        <is>
          <t>0112</t>
        </is>
      </c>
      <c r="G8479" s="10" t="inlineStr">
        <is>
          <t>蚕ノ社</t>
        </is>
      </c>
      <c r="H8479" s="10" t="inlineStr">
        <is>
          <t>発</t>
        </is>
      </c>
      <c r="J8479" s="10" t="inlineStr">
        <is>
          <t>営業</t>
        </is>
      </c>
      <c r="L8479" t="inlineStr">
        <is>
          <t>11:44:20</t>
        </is>
      </c>
      <c r="M8479" t="inlineStr">
        <is>
          <t>11:44:40</t>
        </is>
      </c>
    </row>
    <row r="8480" ht="15" customHeight="1" s="37">
      <c r="A8480" t="n">
        <v>3</v>
      </c>
      <c r="B8480" s="10" t="inlineStr">
        <is>
          <t>平日</t>
        </is>
      </c>
      <c r="C8480" s="10" t="inlineStr">
        <is>
          <t>本線</t>
        </is>
      </c>
      <c r="D8480" s="10" t="inlineStr">
        <is>
          <t>下り</t>
        </is>
      </c>
      <c r="E8480" t="inlineStr">
        <is>
          <t>1107</t>
        </is>
      </c>
      <c r="F8480" t="inlineStr">
        <is>
          <t>0112</t>
        </is>
      </c>
      <c r="G8480" s="10" t="inlineStr">
        <is>
          <t>太秦広隆寺</t>
        </is>
      </c>
      <c r="H8480" s="10" t="inlineStr">
        <is>
          <t>発</t>
        </is>
      </c>
      <c r="J8480" s="10" t="inlineStr">
        <is>
          <t>営業</t>
        </is>
      </c>
      <c r="L8480" t="inlineStr">
        <is>
          <t>11:46:00</t>
        </is>
      </c>
      <c r="M8480" t="inlineStr">
        <is>
          <t>11:46:20</t>
        </is>
      </c>
    </row>
    <row r="8481" ht="15" customHeight="1" s="37">
      <c r="A8481" t="n">
        <v>3</v>
      </c>
      <c r="B8481" s="10" t="inlineStr">
        <is>
          <t>平日</t>
        </is>
      </c>
      <c r="C8481" s="10" t="inlineStr">
        <is>
          <t>本線</t>
        </is>
      </c>
      <c r="D8481" s="10" t="inlineStr">
        <is>
          <t>下り</t>
        </is>
      </c>
      <c r="E8481" t="inlineStr">
        <is>
          <t>1107</t>
        </is>
      </c>
      <c r="F8481" t="inlineStr">
        <is>
          <t>0112</t>
        </is>
      </c>
      <c r="G8481" s="10" t="inlineStr">
        <is>
          <t>帷子ノ辻</t>
        </is>
      </c>
      <c r="H8481" s="10" t="inlineStr">
        <is>
          <t>発</t>
        </is>
      </c>
      <c r="J8481" s="10" t="inlineStr">
        <is>
          <t>営業</t>
        </is>
      </c>
      <c r="L8481" t="inlineStr">
        <is>
          <t>11:48:20</t>
        </is>
      </c>
      <c r="M8481" t="inlineStr">
        <is>
          <t>11:49:40</t>
        </is>
      </c>
    </row>
    <row r="8482" ht="15" customHeight="1" s="37">
      <c r="A8482" t="n">
        <v>3</v>
      </c>
      <c r="B8482" s="10" t="inlineStr">
        <is>
          <t>平日</t>
        </is>
      </c>
      <c r="C8482" s="10" t="inlineStr">
        <is>
          <t>本線</t>
        </is>
      </c>
      <c r="D8482" s="10" t="inlineStr">
        <is>
          <t>下り</t>
        </is>
      </c>
      <c r="E8482" t="inlineStr">
        <is>
          <t>1107</t>
        </is>
      </c>
      <c r="F8482" t="inlineStr">
        <is>
          <t>0112</t>
        </is>
      </c>
      <c r="G8482" s="10" t="inlineStr">
        <is>
          <t>有栖川</t>
        </is>
      </c>
      <c r="H8482" s="10" t="inlineStr">
        <is>
          <t>発</t>
        </is>
      </c>
      <c r="J8482" s="10" t="inlineStr">
        <is>
          <t>営業</t>
        </is>
      </c>
      <c r="L8482" t="inlineStr">
        <is>
          <t>11:50:50</t>
        </is>
      </c>
      <c r="M8482" t="inlineStr">
        <is>
          <t>11:51:15</t>
        </is>
      </c>
    </row>
    <row r="8483" ht="15" customHeight="1" s="37">
      <c r="A8483" t="n">
        <v>3</v>
      </c>
      <c r="B8483" s="10" t="inlineStr">
        <is>
          <t>平日</t>
        </is>
      </c>
      <c r="C8483" s="10" t="inlineStr">
        <is>
          <t>本線</t>
        </is>
      </c>
      <c r="D8483" s="10" t="inlineStr">
        <is>
          <t>下り</t>
        </is>
      </c>
      <c r="E8483" t="inlineStr">
        <is>
          <t>1107</t>
        </is>
      </c>
      <c r="F8483" t="inlineStr">
        <is>
          <t>0112</t>
        </is>
      </c>
      <c r="G8483" s="10" t="inlineStr">
        <is>
          <t>車折</t>
        </is>
      </c>
      <c r="H8483" s="10" t="inlineStr">
        <is>
          <t>発</t>
        </is>
      </c>
      <c r="J8483" s="10" t="inlineStr">
        <is>
          <t>営業</t>
        </is>
      </c>
      <c r="L8483" t="inlineStr">
        <is>
          <t>11:52:40</t>
        </is>
      </c>
      <c r="M8483" t="inlineStr">
        <is>
          <t>11:53:05</t>
        </is>
      </c>
    </row>
    <row r="8484" ht="15" customHeight="1" s="37">
      <c r="A8484" t="n">
        <v>3</v>
      </c>
      <c r="B8484" s="10" t="inlineStr">
        <is>
          <t>平日</t>
        </is>
      </c>
      <c r="C8484" s="10" t="inlineStr">
        <is>
          <t>本線</t>
        </is>
      </c>
      <c r="D8484" s="10" t="inlineStr">
        <is>
          <t>下り</t>
        </is>
      </c>
      <c r="E8484" t="inlineStr">
        <is>
          <t>1107</t>
        </is>
      </c>
      <c r="F8484" t="inlineStr">
        <is>
          <t>0112</t>
        </is>
      </c>
      <c r="G8484" s="10" t="inlineStr">
        <is>
          <t>鹿王院</t>
        </is>
      </c>
      <c r="H8484" s="10" t="inlineStr">
        <is>
          <t>発</t>
        </is>
      </c>
      <c r="J8484" s="10" t="inlineStr">
        <is>
          <t>営業</t>
        </is>
      </c>
      <c r="L8484" t="inlineStr">
        <is>
          <t>11:54:00</t>
        </is>
      </c>
      <c r="M8484" t="inlineStr">
        <is>
          <t>11:54:25</t>
        </is>
      </c>
    </row>
    <row r="8485" ht="15" customHeight="1" s="37">
      <c r="A8485" t="n">
        <v>3</v>
      </c>
      <c r="B8485" s="10" t="inlineStr">
        <is>
          <t>平日</t>
        </is>
      </c>
      <c r="C8485" s="10" t="inlineStr">
        <is>
          <t>本線</t>
        </is>
      </c>
      <c r="D8485" s="10" t="inlineStr">
        <is>
          <t>下り</t>
        </is>
      </c>
      <c r="E8485" t="inlineStr">
        <is>
          <t>1107</t>
        </is>
      </c>
      <c r="F8485" t="inlineStr">
        <is>
          <t>0112</t>
        </is>
      </c>
      <c r="G8485" s="10" t="inlineStr">
        <is>
          <t>嵯峨</t>
        </is>
      </c>
      <c r="H8485" s="10" t="inlineStr">
        <is>
          <t>発</t>
        </is>
      </c>
      <c r="J8485" s="10" t="inlineStr">
        <is>
          <t>営業</t>
        </is>
      </c>
      <c r="L8485" t="inlineStr">
        <is>
          <t>11:55:30</t>
        </is>
      </c>
      <c r="M8485" t="inlineStr">
        <is>
          <t>11:55:55</t>
        </is>
      </c>
    </row>
    <row r="8486" ht="15" customHeight="1" s="37">
      <c r="A8486" t="n">
        <v>3</v>
      </c>
      <c r="B8486" s="10" t="inlineStr">
        <is>
          <t>平日</t>
        </is>
      </c>
      <c r="C8486" s="10" t="inlineStr">
        <is>
          <t>本線</t>
        </is>
      </c>
      <c r="D8486" s="10" t="inlineStr">
        <is>
          <t>下り</t>
        </is>
      </c>
      <c r="E8486" t="inlineStr">
        <is>
          <t>1107</t>
        </is>
      </c>
      <c r="F8486" t="inlineStr">
        <is>
          <t>0112</t>
        </is>
      </c>
      <c r="G8486" s="10" t="inlineStr">
        <is>
          <t>嵐山</t>
        </is>
      </c>
      <c r="H8486" s="10" t="inlineStr">
        <is>
          <t>着</t>
        </is>
      </c>
      <c r="J8486" s="10" t="inlineStr">
        <is>
          <t>営業</t>
        </is>
      </c>
      <c r="L8486" t="inlineStr">
        <is>
          <t>11:57:00</t>
        </is>
      </c>
      <c r="Q8486" t="inlineStr">
        <is>
          <t>1</t>
        </is>
      </c>
    </row>
    <row r="8487" ht="15" customHeight="1" s="37">
      <c r="A8487" t="n">
        <v>3</v>
      </c>
      <c r="B8487" s="10" t="inlineStr">
        <is>
          <t>平日</t>
        </is>
      </c>
      <c r="C8487" s="10" t="inlineStr">
        <is>
          <t>本線</t>
        </is>
      </c>
      <c r="D8487" s="10" t="inlineStr">
        <is>
          <t>上り</t>
        </is>
      </c>
      <c r="E8487" t="inlineStr">
        <is>
          <t>1202</t>
        </is>
      </c>
      <c r="F8487" t="inlineStr">
        <is>
          <t>0211</t>
        </is>
      </c>
      <c r="G8487" s="10" t="inlineStr">
        <is>
          <t>嵐山</t>
        </is>
      </c>
      <c r="H8487" s="10" t="inlineStr">
        <is>
          <t>発</t>
        </is>
      </c>
      <c r="J8487" s="10" t="inlineStr">
        <is>
          <t>営業</t>
        </is>
      </c>
      <c r="M8487" t="inlineStr">
        <is>
          <t>12:03:00</t>
        </is>
      </c>
      <c r="Q8487" t="inlineStr">
        <is>
          <t>1</t>
        </is>
      </c>
    </row>
    <row r="8488" ht="15" customHeight="1" s="37">
      <c r="A8488" t="n">
        <v>3</v>
      </c>
      <c r="B8488" s="10" t="inlineStr">
        <is>
          <t>平日</t>
        </is>
      </c>
      <c r="C8488" s="10" t="inlineStr">
        <is>
          <t>本線</t>
        </is>
      </c>
      <c r="D8488" s="10" t="inlineStr">
        <is>
          <t>上り</t>
        </is>
      </c>
      <c r="E8488" t="inlineStr">
        <is>
          <t>1202</t>
        </is>
      </c>
      <c r="F8488" t="inlineStr">
        <is>
          <t>0211</t>
        </is>
      </c>
      <c r="G8488" s="10" t="inlineStr">
        <is>
          <t>嵯峨</t>
        </is>
      </c>
      <c r="H8488" s="10" t="inlineStr">
        <is>
          <t>発</t>
        </is>
      </c>
      <c r="J8488" s="10" t="inlineStr">
        <is>
          <t>営業</t>
        </is>
      </c>
      <c r="L8488" t="inlineStr">
        <is>
          <t>12:03:55</t>
        </is>
      </c>
      <c r="M8488" t="inlineStr">
        <is>
          <t>12:04:20</t>
        </is>
      </c>
    </row>
    <row r="8489" ht="15" customHeight="1" s="37">
      <c r="A8489" t="n">
        <v>3</v>
      </c>
      <c r="B8489" s="10" t="inlineStr">
        <is>
          <t>平日</t>
        </is>
      </c>
      <c r="C8489" s="10" t="inlineStr">
        <is>
          <t>本線</t>
        </is>
      </c>
      <c r="D8489" s="10" t="inlineStr">
        <is>
          <t>上り</t>
        </is>
      </c>
      <c r="E8489" t="inlineStr">
        <is>
          <t>1202</t>
        </is>
      </c>
      <c r="F8489" t="inlineStr">
        <is>
          <t>0211</t>
        </is>
      </c>
      <c r="G8489" s="10" t="inlineStr">
        <is>
          <t>鹿王院</t>
        </is>
      </c>
      <c r="H8489" s="10" t="inlineStr">
        <is>
          <t>発</t>
        </is>
      </c>
      <c r="J8489" s="10" t="inlineStr">
        <is>
          <t>営業</t>
        </is>
      </c>
      <c r="L8489" t="inlineStr">
        <is>
          <t>12:05:25</t>
        </is>
      </c>
      <c r="M8489" t="inlineStr">
        <is>
          <t>12:05:45</t>
        </is>
      </c>
    </row>
    <row r="8490" ht="15" customHeight="1" s="37">
      <c r="A8490" t="n">
        <v>3</v>
      </c>
      <c r="B8490" s="10" t="inlineStr">
        <is>
          <t>平日</t>
        </is>
      </c>
      <c r="C8490" s="10" t="inlineStr">
        <is>
          <t>本線</t>
        </is>
      </c>
      <c r="D8490" s="10" t="inlineStr">
        <is>
          <t>上り</t>
        </is>
      </c>
      <c r="E8490" t="inlineStr">
        <is>
          <t>1202</t>
        </is>
      </c>
      <c r="F8490" t="inlineStr">
        <is>
          <t>0211</t>
        </is>
      </c>
      <c r="G8490" s="10" t="inlineStr">
        <is>
          <t>車折</t>
        </is>
      </c>
      <c r="H8490" s="10" t="inlineStr">
        <is>
          <t>発</t>
        </is>
      </c>
      <c r="J8490" s="10" t="inlineStr">
        <is>
          <t>営業</t>
        </is>
      </c>
      <c r="L8490" t="inlineStr">
        <is>
          <t>12:06:40</t>
        </is>
      </c>
      <c r="M8490" t="inlineStr">
        <is>
          <t>12:07:10</t>
        </is>
      </c>
    </row>
    <row r="8491" ht="15" customHeight="1" s="37">
      <c r="A8491" t="n">
        <v>3</v>
      </c>
      <c r="B8491" s="10" t="inlineStr">
        <is>
          <t>平日</t>
        </is>
      </c>
      <c r="C8491" s="10" t="inlineStr">
        <is>
          <t>本線</t>
        </is>
      </c>
      <c r="D8491" s="10" t="inlineStr">
        <is>
          <t>上り</t>
        </is>
      </c>
      <c r="E8491" t="inlineStr">
        <is>
          <t>1202</t>
        </is>
      </c>
      <c r="F8491" t="inlineStr">
        <is>
          <t>0211</t>
        </is>
      </c>
      <c r="G8491" s="10" t="inlineStr">
        <is>
          <t>有栖川</t>
        </is>
      </c>
      <c r="H8491" s="10" t="inlineStr">
        <is>
          <t>発</t>
        </is>
      </c>
      <c r="J8491" s="10" t="inlineStr">
        <is>
          <t>営業</t>
        </is>
      </c>
      <c r="L8491" t="inlineStr">
        <is>
          <t>12:08:35</t>
        </is>
      </c>
      <c r="M8491" t="inlineStr">
        <is>
          <t>12:08:55</t>
        </is>
      </c>
    </row>
    <row r="8492" ht="15" customHeight="1" s="37">
      <c r="A8492" t="n">
        <v>3</v>
      </c>
      <c r="B8492" s="10" t="inlineStr">
        <is>
          <t>平日</t>
        </is>
      </c>
      <c r="C8492" s="10" t="inlineStr">
        <is>
          <t>本線</t>
        </is>
      </c>
      <c r="D8492" s="10" t="inlineStr">
        <is>
          <t>上り</t>
        </is>
      </c>
      <c r="E8492" t="inlineStr">
        <is>
          <t>1202</t>
        </is>
      </c>
      <c r="F8492" t="inlineStr">
        <is>
          <t>0211</t>
        </is>
      </c>
      <c r="G8492" s="10" t="inlineStr">
        <is>
          <t>帷子ノ辻</t>
        </is>
      </c>
      <c r="H8492" s="10" t="inlineStr">
        <is>
          <t>発</t>
        </is>
      </c>
      <c r="J8492" s="10" t="inlineStr">
        <is>
          <t>営業</t>
        </is>
      </c>
      <c r="L8492" t="inlineStr">
        <is>
          <t>12:10:10</t>
        </is>
      </c>
      <c r="M8492" t="inlineStr">
        <is>
          <t>12:11:15</t>
        </is>
      </c>
    </row>
    <row r="8493" ht="15" customHeight="1" s="37">
      <c r="A8493" t="n">
        <v>3</v>
      </c>
      <c r="B8493" s="10" t="inlineStr">
        <is>
          <t>平日</t>
        </is>
      </c>
      <c r="C8493" s="10" t="inlineStr">
        <is>
          <t>本線</t>
        </is>
      </c>
      <c r="D8493" s="10" t="inlineStr">
        <is>
          <t>上り</t>
        </is>
      </c>
      <c r="E8493" t="inlineStr">
        <is>
          <t>1202</t>
        </is>
      </c>
      <c r="F8493" t="inlineStr">
        <is>
          <t>0211</t>
        </is>
      </c>
      <c r="G8493" s="10" t="inlineStr">
        <is>
          <t>太秦広隆寺</t>
        </is>
      </c>
      <c r="H8493" s="10" t="inlineStr">
        <is>
          <t>発</t>
        </is>
      </c>
      <c r="J8493" s="10" t="inlineStr">
        <is>
          <t>営業</t>
        </is>
      </c>
      <c r="L8493" t="inlineStr">
        <is>
          <t>12:13:25</t>
        </is>
      </c>
      <c r="M8493" t="inlineStr">
        <is>
          <t>12:13:45</t>
        </is>
      </c>
    </row>
    <row r="8494" ht="15" customHeight="1" s="37">
      <c r="A8494" t="n">
        <v>3</v>
      </c>
      <c r="B8494" s="10" t="inlineStr">
        <is>
          <t>平日</t>
        </is>
      </c>
      <c r="C8494" s="10" t="inlineStr">
        <is>
          <t>本線</t>
        </is>
      </c>
      <c r="D8494" s="10" t="inlineStr">
        <is>
          <t>上り</t>
        </is>
      </c>
      <c r="E8494" t="inlineStr">
        <is>
          <t>1202</t>
        </is>
      </c>
      <c r="F8494" t="inlineStr">
        <is>
          <t>0211</t>
        </is>
      </c>
      <c r="G8494" s="10" t="inlineStr">
        <is>
          <t>蚕ノ社</t>
        </is>
      </c>
      <c r="H8494" s="10" t="inlineStr">
        <is>
          <t>発</t>
        </is>
      </c>
      <c r="J8494" s="10" t="inlineStr">
        <is>
          <t>営業</t>
        </is>
      </c>
      <c r="L8494" t="inlineStr">
        <is>
          <t>12:15:00</t>
        </is>
      </c>
      <c r="M8494" t="inlineStr">
        <is>
          <t>12:15:20</t>
        </is>
      </c>
    </row>
    <row r="8495" ht="15" customHeight="1" s="37">
      <c r="A8495" t="n">
        <v>3</v>
      </c>
      <c r="B8495" s="10" t="inlineStr">
        <is>
          <t>平日</t>
        </is>
      </c>
      <c r="C8495" s="10" t="inlineStr">
        <is>
          <t>本線</t>
        </is>
      </c>
      <c r="D8495" s="10" t="inlineStr">
        <is>
          <t>上り</t>
        </is>
      </c>
      <c r="E8495" t="inlineStr">
        <is>
          <t>1202</t>
        </is>
      </c>
      <c r="F8495" t="inlineStr">
        <is>
          <t>0211</t>
        </is>
      </c>
      <c r="G8495" s="10" t="inlineStr">
        <is>
          <t>天神川</t>
        </is>
      </c>
      <c r="H8495" s="10" t="inlineStr">
        <is>
          <t>発</t>
        </is>
      </c>
      <c r="J8495" s="10" t="inlineStr">
        <is>
          <t>営業</t>
        </is>
      </c>
      <c r="L8495" t="inlineStr">
        <is>
          <t>12:16:05</t>
        </is>
      </c>
      <c r="M8495" t="inlineStr">
        <is>
          <t>12:16:50</t>
        </is>
      </c>
    </row>
    <row r="8496" ht="15" customHeight="1" s="37">
      <c r="A8496" t="n">
        <v>3</v>
      </c>
      <c r="B8496" s="10" t="inlineStr">
        <is>
          <t>平日</t>
        </is>
      </c>
      <c r="C8496" s="10" t="inlineStr">
        <is>
          <t>本線</t>
        </is>
      </c>
      <c r="D8496" s="10" t="inlineStr">
        <is>
          <t>上り</t>
        </is>
      </c>
      <c r="E8496" t="inlineStr">
        <is>
          <t>1202</t>
        </is>
      </c>
      <c r="F8496" t="inlineStr">
        <is>
          <t>0211</t>
        </is>
      </c>
      <c r="G8496" s="10" t="inlineStr">
        <is>
          <t>山ノ内</t>
        </is>
      </c>
      <c r="H8496" s="10" t="inlineStr">
        <is>
          <t>発</t>
        </is>
      </c>
      <c r="J8496" s="10" t="inlineStr">
        <is>
          <t>営業</t>
        </is>
      </c>
      <c r="L8496" t="inlineStr">
        <is>
          <t>12:18:40</t>
        </is>
      </c>
      <c r="M8496" t="inlineStr">
        <is>
          <t>12:19:05</t>
        </is>
      </c>
    </row>
    <row r="8497" ht="15" customHeight="1" s="37">
      <c r="A8497" t="n">
        <v>3</v>
      </c>
      <c r="B8497" s="10" t="inlineStr">
        <is>
          <t>平日</t>
        </is>
      </c>
      <c r="C8497" s="10" t="inlineStr">
        <is>
          <t>本線</t>
        </is>
      </c>
      <c r="D8497" s="10" t="inlineStr">
        <is>
          <t>上り</t>
        </is>
      </c>
      <c r="E8497" t="inlineStr">
        <is>
          <t>1202</t>
        </is>
      </c>
      <c r="F8497" t="inlineStr">
        <is>
          <t>0211</t>
        </is>
      </c>
      <c r="G8497" s="10" t="inlineStr">
        <is>
          <t>西大路三条</t>
        </is>
      </c>
      <c r="H8497" s="10" t="inlineStr">
        <is>
          <t>発</t>
        </is>
      </c>
      <c r="J8497" s="10" t="inlineStr">
        <is>
          <t>営業</t>
        </is>
      </c>
      <c r="L8497" t="inlineStr">
        <is>
          <t>12:20:55</t>
        </is>
      </c>
      <c r="M8497" t="inlineStr">
        <is>
          <t>12:21:15</t>
        </is>
      </c>
    </row>
    <row r="8498" ht="15" customHeight="1" s="37">
      <c r="A8498" t="n">
        <v>3</v>
      </c>
      <c r="B8498" s="10" t="inlineStr">
        <is>
          <t>平日</t>
        </is>
      </c>
      <c r="C8498" s="10" t="inlineStr">
        <is>
          <t>本線</t>
        </is>
      </c>
      <c r="D8498" s="10" t="inlineStr">
        <is>
          <t>上り</t>
        </is>
      </c>
      <c r="E8498" t="inlineStr">
        <is>
          <t>1202</t>
        </is>
      </c>
      <c r="F8498" t="inlineStr">
        <is>
          <t>0211</t>
        </is>
      </c>
      <c r="G8498" s="10" t="inlineStr">
        <is>
          <t>西院</t>
        </is>
      </c>
      <c r="H8498" s="10" t="inlineStr">
        <is>
          <t>発</t>
        </is>
      </c>
      <c r="J8498" s="10" t="inlineStr">
        <is>
          <t>営業</t>
        </is>
      </c>
      <c r="L8498" t="inlineStr">
        <is>
          <t>12:23:10</t>
        </is>
      </c>
      <c r="M8498" t="inlineStr">
        <is>
          <t>12:24:05</t>
        </is>
      </c>
    </row>
    <row r="8499" ht="15" customHeight="1" s="37">
      <c r="A8499" t="n">
        <v>3</v>
      </c>
      <c r="B8499" s="10" t="inlineStr">
        <is>
          <t>平日</t>
        </is>
      </c>
      <c r="C8499" s="10" t="inlineStr">
        <is>
          <t>本線</t>
        </is>
      </c>
      <c r="D8499" s="10" t="inlineStr">
        <is>
          <t>上り</t>
        </is>
      </c>
      <c r="E8499" t="inlineStr">
        <is>
          <t>1202</t>
        </is>
      </c>
      <c r="F8499" t="inlineStr">
        <is>
          <t>0211</t>
        </is>
      </c>
      <c r="G8499" s="10" t="inlineStr">
        <is>
          <t>四条大宮</t>
        </is>
      </c>
      <c r="H8499" s="10" t="inlineStr">
        <is>
          <t>着</t>
        </is>
      </c>
      <c r="J8499" s="10" t="inlineStr">
        <is>
          <t>営業</t>
        </is>
      </c>
      <c r="L8499" t="inlineStr">
        <is>
          <t>12:27:00</t>
        </is>
      </c>
      <c r="Q8499" t="inlineStr">
        <is>
          <t>1</t>
        </is>
      </c>
    </row>
    <row r="8500" ht="15" customHeight="1" s="37">
      <c r="A8500" t="n">
        <v>3</v>
      </c>
      <c r="B8500" s="10" t="inlineStr">
        <is>
          <t>平日</t>
        </is>
      </c>
      <c r="C8500" s="10" t="inlineStr">
        <is>
          <t>本線</t>
        </is>
      </c>
      <c r="D8500" s="10" t="inlineStr">
        <is>
          <t>下り</t>
        </is>
      </c>
      <c r="E8500" t="inlineStr">
        <is>
          <t>1207</t>
        </is>
      </c>
      <c r="F8500" t="inlineStr">
        <is>
          <t>0112</t>
        </is>
      </c>
      <c r="G8500" s="10" t="inlineStr">
        <is>
          <t>四条大宮</t>
        </is>
      </c>
      <c r="H8500" s="10" t="inlineStr">
        <is>
          <t>発</t>
        </is>
      </c>
      <c r="J8500" s="10" t="inlineStr">
        <is>
          <t>営業</t>
        </is>
      </c>
      <c r="M8500" t="inlineStr">
        <is>
          <t>12:33:00</t>
        </is>
      </c>
      <c r="Q8500" t="inlineStr">
        <is>
          <t>1</t>
        </is>
      </c>
    </row>
    <row r="8501" ht="15" customHeight="1" s="37">
      <c r="A8501" t="n">
        <v>3</v>
      </c>
      <c r="B8501" s="10" t="inlineStr">
        <is>
          <t>平日</t>
        </is>
      </c>
      <c r="C8501" s="10" t="inlineStr">
        <is>
          <t>本線</t>
        </is>
      </c>
      <c r="D8501" s="10" t="inlineStr">
        <is>
          <t>下り</t>
        </is>
      </c>
      <c r="E8501" t="inlineStr">
        <is>
          <t>1207</t>
        </is>
      </c>
      <c r="F8501" t="inlineStr">
        <is>
          <t>0112</t>
        </is>
      </c>
      <c r="G8501" s="10" t="inlineStr">
        <is>
          <t>西院</t>
        </is>
      </c>
      <c r="H8501" s="10" t="inlineStr">
        <is>
          <t>発</t>
        </is>
      </c>
      <c r="J8501" s="10" t="inlineStr">
        <is>
          <t>営業</t>
        </is>
      </c>
      <c r="L8501" t="inlineStr">
        <is>
          <t>12:35:50</t>
        </is>
      </c>
      <c r="M8501" t="inlineStr">
        <is>
          <t>12:36:20</t>
        </is>
      </c>
    </row>
    <row r="8502" ht="15" customHeight="1" s="37">
      <c r="A8502" t="n">
        <v>3</v>
      </c>
      <c r="B8502" s="10" t="inlineStr">
        <is>
          <t>平日</t>
        </is>
      </c>
      <c r="C8502" s="10" t="inlineStr">
        <is>
          <t>本線</t>
        </is>
      </c>
      <c r="D8502" s="10" t="inlineStr">
        <is>
          <t>下り</t>
        </is>
      </c>
      <c r="E8502" t="inlineStr">
        <is>
          <t>1207</t>
        </is>
      </c>
      <c r="F8502" t="inlineStr">
        <is>
          <t>0112</t>
        </is>
      </c>
      <c r="G8502" s="10" t="inlineStr">
        <is>
          <t>西大路三条</t>
        </is>
      </c>
      <c r="H8502" s="10" t="inlineStr">
        <is>
          <t>発</t>
        </is>
      </c>
      <c r="J8502" s="10" t="inlineStr">
        <is>
          <t>営業</t>
        </is>
      </c>
      <c r="L8502" t="inlineStr">
        <is>
          <t>12:38:10</t>
        </is>
      </c>
      <c r="M8502" t="inlineStr">
        <is>
          <t>12:38:30</t>
        </is>
      </c>
    </row>
    <row r="8503" ht="15" customHeight="1" s="37">
      <c r="A8503" t="n">
        <v>3</v>
      </c>
      <c r="B8503" s="10" t="inlineStr">
        <is>
          <t>平日</t>
        </is>
      </c>
      <c r="C8503" s="10" t="inlineStr">
        <is>
          <t>本線</t>
        </is>
      </c>
      <c r="D8503" s="10" t="inlineStr">
        <is>
          <t>下り</t>
        </is>
      </c>
      <c r="E8503" t="inlineStr">
        <is>
          <t>1207</t>
        </is>
      </c>
      <c r="F8503" t="inlineStr">
        <is>
          <t>0112</t>
        </is>
      </c>
      <c r="G8503" s="10" t="inlineStr">
        <is>
          <t>山ノ内</t>
        </is>
      </c>
      <c r="H8503" s="10" t="inlineStr">
        <is>
          <t>発</t>
        </is>
      </c>
      <c r="J8503" s="10" t="inlineStr">
        <is>
          <t>営業</t>
        </is>
      </c>
      <c r="L8503" t="inlineStr">
        <is>
          <t>12:40:25</t>
        </is>
      </c>
      <c r="M8503" t="inlineStr">
        <is>
          <t>12:40:50</t>
        </is>
      </c>
    </row>
    <row r="8504" ht="15" customHeight="1" s="37">
      <c r="A8504" t="n">
        <v>3</v>
      </c>
      <c r="B8504" s="10" t="inlineStr">
        <is>
          <t>平日</t>
        </is>
      </c>
      <c r="C8504" s="10" t="inlineStr">
        <is>
          <t>本線</t>
        </is>
      </c>
      <c r="D8504" s="10" t="inlineStr">
        <is>
          <t>下り</t>
        </is>
      </c>
      <c r="E8504" t="inlineStr">
        <is>
          <t>1207</t>
        </is>
      </c>
      <c r="F8504" t="inlineStr">
        <is>
          <t>0112</t>
        </is>
      </c>
      <c r="G8504" s="10" t="inlineStr">
        <is>
          <t>天神川</t>
        </is>
      </c>
      <c r="H8504" s="10" t="inlineStr">
        <is>
          <t>発</t>
        </is>
      </c>
      <c r="J8504" s="10" t="inlineStr">
        <is>
          <t>営業</t>
        </is>
      </c>
      <c r="L8504" t="inlineStr">
        <is>
          <t>12:42:50</t>
        </is>
      </c>
      <c r="M8504" t="inlineStr">
        <is>
          <t>12:43:30</t>
        </is>
      </c>
    </row>
    <row r="8505" ht="15" customHeight="1" s="37">
      <c r="A8505" t="n">
        <v>3</v>
      </c>
      <c r="B8505" s="10" t="inlineStr">
        <is>
          <t>平日</t>
        </is>
      </c>
      <c r="C8505" s="10" t="inlineStr">
        <is>
          <t>本線</t>
        </is>
      </c>
      <c r="D8505" s="10" t="inlineStr">
        <is>
          <t>下り</t>
        </is>
      </c>
      <c r="E8505" t="inlineStr">
        <is>
          <t>1207</t>
        </is>
      </c>
      <c r="F8505" t="inlineStr">
        <is>
          <t>0112</t>
        </is>
      </c>
      <c r="G8505" s="10" t="inlineStr">
        <is>
          <t>蚕ノ社</t>
        </is>
      </c>
      <c r="H8505" s="10" t="inlineStr">
        <is>
          <t>発</t>
        </is>
      </c>
      <c r="J8505" s="10" t="inlineStr">
        <is>
          <t>営業</t>
        </is>
      </c>
      <c r="L8505" t="inlineStr">
        <is>
          <t>12:44:20</t>
        </is>
      </c>
      <c r="M8505" t="inlineStr">
        <is>
          <t>12:44:40</t>
        </is>
      </c>
    </row>
    <row r="8506" ht="15" customHeight="1" s="37">
      <c r="A8506" t="n">
        <v>3</v>
      </c>
      <c r="B8506" s="10" t="inlineStr">
        <is>
          <t>平日</t>
        </is>
      </c>
      <c r="C8506" s="10" t="inlineStr">
        <is>
          <t>本線</t>
        </is>
      </c>
      <c r="D8506" s="10" t="inlineStr">
        <is>
          <t>下り</t>
        </is>
      </c>
      <c r="E8506" t="inlineStr">
        <is>
          <t>1207</t>
        </is>
      </c>
      <c r="F8506" t="inlineStr">
        <is>
          <t>0112</t>
        </is>
      </c>
      <c r="G8506" s="10" t="inlineStr">
        <is>
          <t>太秦広隆寺</t>
        </is>
      </c>
      <c r="H8506" s="10" t="inlineStr">
        <is>
          <t>発</t>
        </is>
      </c>
      <c r="J8506" s="10" t="inlineStr">
        <is>
          <t>営業</t>
        </is>
      </c>
      <c r="L8506" t="inlineStr">
        <is>
          <t>12:46:00</t>
        </is>
      </c>
      <c r="M8506" t="inlineStr">
        <is>
          <t>12:46:20</t>
        </is>
      </c>
    </row>
    <row r="8507" ht="15" customHeight="1" s="37">
      <c r="A8507" t="n">
        <v>3</v>
      </c>
      <c r="B8507" s="10" t="inlineStr">
        <is>
          <t>平日</t>
        </is>
      </c>
      <c r="C8507" s="10" t="inlineStr">
        <is>
          <t>本線</t>
        </is>
      </c>
      <c r="D8507" s="10" t="inlineStr">
        <is>
          <t>下り</t>
        </is>
      </c>
      <c r="E8507" t="inlineStr">
        <is>
          <t>1207</t>
        </is>
      </c>
      <c r="F8507" t="inlineStr">
        <is>
          <t>0112</t>
        </is>
      </c>
      <c r="G8507" s="10" t="inlineStr">
        <is>
          <t>帷子ノ辻</t>
        </is>
      </c>
      <c r="H8507" s="10" t="inlineStr">
        <is>
          <t>発</t>
        </is>
      </c>
      <c r="J8507" s="10" t="inlineStr">
        <is>
          <t>営業</t>
        </is>
      </c>
      <c r="L8507" t="inlineStr">
        <is>
          <t>12:48:20</t>
        </is>
      </c>
      <c r="M8507" t="inlineStr">
        <is>
          <t>12:49:40</t>
        </is>
      </c>
    </row>
    <row r="8508" ht="15" customHeight="1" s="37">
      <c r="A8508" t="n">
        <v>3</v>
      </c>
      <c r="B8508" s="10" t="inlineStr">
        <is>
          <t>平日</t>
        </is>
      </c>
      <c r="C8508" s="10" t="inlineStr">
        <is>
          <t>本線</t>
        </is>
      </c>
      <c r="D8508" s="10" t="inlineStr">
        <is>
          <t>下り</t>
        </is>
      </c>
      <c r="E8508" t="inlineStr">
        <is>
          <t>1207</t>
        </is>
      </c>
      <c r="F8508" t="inlineStr">
        <is>
          <t>0112</t>
        </is>
      </c>
      <c r="G8508" s="10" t="inlineStr">
        <is>
          <t>有栖川</t>
        </is>
      </c>
      <c r="H8508" s="10" t="inlineStr">
        <is>
          <t>発</t>
        </is>
      </c>
      <c r="J8508" s="10" t="inlineStr">
        <is>
          <t>営業</t>
        </is>
      </c>
      <c r="L8508" t="inlineStr">
        <is>
          <t>12:50:50</t>
        </is>
      </c>
      <c r="M8508" t="inlineStr">
        <is>
          <t>12:51:15</t>
        </is>
      </c>
    </row>
    <row r="8509" ht="15" customHeight="1" s="37">
      <c r="A8509" t="n">
        <v>3</v>
      </c>
      <c r="B8509" s="10" t="inlineStr">
        <is>
          <t>平日</t>
        </is>
      </c>
      <c r="C8509" s="10" t="inlineStr">
        <is>
          <t>本線</t>
        </is>
      </c>
      <c r="D8509" s="10" t="inlineStr">
        <is>
          <t>下り</t>
        </is>
      </c>
      <c r="E8509" t="inlineStr">
        <is>
          <t>1207</t>
        </is>
      </c>
      <c r="F8509" t="inlineStr">
        <is>
          <t>0112</t>
        </is>
      </c>
      <c r="G8509" s="10" t="inlineStr">
        <is>
          <t>車折</t>
        </is>
      </c>
      <c r="H8509" s="10" t="inlineStr">
        <is>
          <t>発</t>
        </is>
      </c>
      <c r="J8509" s="10" t="inlineStr">
        <is>
          <t>営業</t>
        </is>
      </c>
      <c r="L8509" t="inlineStr">
        <is>
          <t>12:52:40</t>
        </is>
      </c>
      <c r="M8509" t="inlineStr">
        <is>
          <t>12:53:05</t>
        </is>
      </c>
    </row>
    <row r="8510" ht="15" customHeight="1" s="37">
      <c r="A8510" t="n">
        <v>3</v>
      </c>
      <c r="B8510" s="10" t="inlineStr">
        <is>
          <t>平日</t>
        </is>
      </c>
      <c r="C8510" s="10" t="inlineStr">
        <is>
          <t>本線</t>
        </is>
      </c>
      <c r="D8510" s="10" t="inlineStr">
        <is>
          <t>下り</t>
        </is>
      </c>
      <c r="E8510" t="inlineStr">
        <is>
          <t>1207</t>
        </is>
      </c>
      <c r="F8510" t="inlineStr">
        <is>
          <t>0112</t>
        </is>
      </c>
      <c r="G8510" s="10" t="inlineStr">
        <is>
          <t>鹿王院</t>
        </is>
      </c>
      <c r="H8510" s="10" t="inlineStr">
        <is>
          <t>発</t>
        </is>
      </c>
      <c r="J8510" s="10" t="inlineStr">
        <is>
          <t>営業</t>
        </is>
      </c>
      <c r="L8510" t="inlineStr">
        <is>
          <t>12:54:00</t>
        </is>
      </c>
      <c r="M8510" t="inlineStr">
        <is>
          <t>12:54:25</t>
        </is>
      </c>
    </row>
    <row r="8511" ht="15" customHeight="1" s="37">
      <c r="A8511" t="n">
        <v>3</v>
      </c>
      <c r="B8511" s="10" t="inlineStr">
        <is>
          <t>平日</t>
        </is>
      </c>
      <c r="C8511" s="10" t="inlineStr">
        <is>
          <t>本線</t>
        </is>
      </c>
      <c r="D8511" s="10" t="inlineStr">
        <is>
          <t>下り</t>
        </is>
      </c>
      <c r="E8511" t="inlineStr">
        <is>
          <t>1207</t>
        </is>
      </c>
      <c r="F8511" t="inlineStr">
        <is>
          <t>0112</t>
        </is>
      </c>
      <c r="G8511" s="10" t="inlineStr">
        <is>
          <t>嵯峨</t>
        </is>
      </c>
      <c r="H8511" s="10" t="inlineStr">
        <is>
          <t>発</t>
        </is>
      </c>
      <c r="J8511" s="10" t="inlineStr">
        <is>
          <t>営業</t>
        </is>
      </c>
      <c r="L8511" t="inlineStr">
        <is>
          <t>12:55:30</t>
        </is>
      </c>
      <c r="M8511" t="inlineStr">
        <is>
          <t>12:55:55</t>
        </is>
      </c>
    </row>
    <row r="8512" ht="15" customHeight="1" s="37">
      <c r="A8512" t="n">
        <v>3</v>
      </c>
      <c r="B8512" s="10" t="inlineStr">
        <is>
          <t>平日</t>
        </is>
      </c>
      <c r="C8512" s="10" t="inlineStr">
        <is>
          <t>本線</t>
        </is>
      </c>
      <c r="D8512" s="10" t="inlineStr">
        <is>
          <t>下り</t>
        </is>
      </c>
      <c r="E8512" t="inlineStr">
        <is>
          <t>1207</t>
        </is>
      </c>
      <c r="F8512" t="inlineStr">
        <is>
          <t>0112</t>
        </is>
      </c>
      <c r="G8512" s="10" t="inlineStr">
        <is>
          <t>嵐山</t>
        </is>
      </c>
      <c r="H8512" s="10" t="inlineStr">
        <is>
          <t>着</t>
        </is>
      </c>
      <c r="J8512" s="10" t="inlineStr">
        <is>
          <t>営業</t>
        </is>
      </c>
      <c r="L8512" t="inlineStr">
        <is>
          <t>12:57:00</t>
        </is>
      </c>
      <c r="Q8512" t="inlineStr">
        <is>
          <t>1</t>
        </is>
      </c>
    </row>
    <row r="8513" ht="15" customHeight="1" s="37">
      <c r="A8513" t="n">
        <v>3</v>
      </c>
      <c r="B8513" s="10" t="inlineStr">
        <is>
          <t>平日</t>
        </is>
      </c>
      <c r="C8513" s="10" t="inlineStr">
        <is>
          <t>本線</t>
        </is>
      </c>
      <c r="D8513" s="10" t="inlineStr">
        <is>
          <t>上り</t>
        </is>
      </c>
      <c r="E8513" t="inlineStr">
        <is>
          <t>1302</t>
        </is>
      </c>
      <c r="F8513" t="inlineStr">
        <is>
          <t>0211</t>
        </is>
      </c>
      <c r="G8513" s="10" t="inlineStr">
        <is>
          <t>嵐山</t>
        </is>
      </c>
      <c r="H8513" s="10" t="inlineStr">
        <is>
          <t>発</t>
        </is>
      </c>
      <c r="J8513" s="10" t="inlineStr">
        <is>
          <t>営業</t>
        </is>
      </c>
      <c r="M8513" t="inlineStr">
        <is>
          <t>13:03:00</t>
        </is>
      </c>
      <c r="Q8513" t="inlineStr">
        <is>
          <t>1</t>
        </is>
      </c>
    </row>
    <row r="8514" ht="15" customHeight="1" s="37">
      <c r="A8514" t="n">
        <v>3</v>
      </c>
      <c r="B8514" s="10" t="inlineStr">
        <is>
          <t>平日</t>
        </is>
      </c>
      <c r="C8514" s="10" t="inlineStr">
        <is>
          <t>本線</t>
        </is>
      </c>
      <c r="D8514" s="10" t="inlineStr">
        <is>
          <t>上り</t>
        </is>
      </c>
      <c r="E8514" t="inlineStr">
        <is>
          <t>1302</t>
        </is>
      </c>
      <c r="F8514" t="inlineStr">
        <is>
          <t>0211</t>
        </is>
      </c>
      <c r="G8514" s="10" t="inlineStr">
        <is>
          <t>嵯峨</t>
        </is>
      </c>
      <c r="H8514" s="10" t="inlineStr">
        <is>
          <t>発</t>
        </is>
      </c>
      <c r="J8514" s="10" t="inlineStr">
        <is>
          <t>営業</t>
        </is>
      </c>
      <c r="L8514" t="inlineStr">
        <is>
          <t>13:03:55</t>
        </is>
      </c>
      <c r="M8514" t="inlineStr">
        <is>
          <t>13:04:20</t>
        </is>
      </c>
    </row>
    <row r="8515" ht="15" customHeight="1" s="37">
      <c r="A8515" t="n">
        <v>3</v>
      </c>
      <c r="B8515" s="10" t="inlineStr">
        <is>
          <t>平日</t>
        </is>
      </c>
      <c r="C8515" s="10" t="inlineStr">
        <is>
          <t>本線</t>
        </is>
      </c>
      <c r="D8515" s="10" t="inlineStr">
        <is>
          <t>上り</t>
        </is>
      </c>
      <c r="E8515" t="inlineStr">
        <is>
          <t>1302</t>
        </is>
      </c>
      <c r="F8515" t="inlineStr">
        <is>
          <t>0211</t>
        </is>
      </c>
      <c r="G8515" s="10" t="inlineStr">
        <is>
          <t>鹿王院</t>
        </is>
      </c>
      <c r="H8515" s="10" t="inlineStr">
        <is>
          <t>発</t>
        </is>
      </c>
      <c r="J8515" s="10" t="inlineStr">
        <is>
          <t>営業</t>
        </is>
      </c>
      <c r="L8515" t="inlineStr">
        <is>
          <t>13:05:25</t>
        </is>
      </c>
      <c r="M8515" t="inlineStr">
        <is>
          <t>13:05:45</t>
        </is>
      </c>
    </row>
    <row r="8516" ht="15" customHeight="1" s="37">
      <c r="A8516" t="n">
        <v>3</v>
      </c>
      <c r="B8516" s="10" t="inlineStr">
        <is>
          <t>平日</t>
        </is>
      </c>
      <c r="C8516" s="10" t="inlineStr">
        <is>
          <t>本線</t>
        </is>
      </c>
      <c r="D8516" s="10" t="inlineStr">
        <is>
          <t>上り</t>
        </is>
      </c>
      <c r="E8516" t="inlineStr">
        <is>
          <t>1302</t>
        </is>
      </c>
      <c r="F8516" t="inlineStr">
        <is>
          <t>0211</t>
        </is>
      </c>
      <c r="G8516" s="10" t="inlineStr">
        <is>
          <t>車折</t>
        </is>
      </c>
      <c r="H8516" s="10" t="inlineStr">
        <is>
          <t>発</t>
        </is>
      </c>
      <c r="J8516" s="10" t="inlineStr">
        <is>
          <t>営業</t>
        </is>
      </c>
      <c r="L8516" t="inlineStr">
        <is>
          <t>13:06:40</t>
        </is>
      </c>
      <c r="M8516" t="inlineStr">
        <is>
          <t>13:07:10</t>
        </is>
      </c>
    </row>
    <row r="8517" ht="15" customHeight="1" s="37">
      <c r="A8517" t="n">
        <v>3</v>
      </c>
      <c r="B8517" s="10" t="inlineStr">
        <is>
          <t>平日</t>
        </is>
      </c>
      <c r="C8517" s="10" t="inlineStr">
        <is>
          <t>本線</t>
        </is>
      </c>
      <c r="D8517" s="10" t="inlineStr">
        <is>
          <t>上り</t>
        </is>
      </c>
      <c r="E8517" t="inlineStr">
        <is>
          <t>1302</t>
        </is>
      </c>
      <c r="F8517" t="inlineStr">
        <is>
          <t>0211</t>
        </is>
      </c>
      <c r="G8517" s="10" t="inlineStr">
        <is>
          <t>有栖川</t>
        </is>
      </c>
      <c r="H8517" s="10" t="inlineStr">
        <is>
          <t>発</t>
        </is>
      </c>
      <c r="J8517" s="10" t="inlineStr">
        <is>
          <t>営業</t>
        </is>
      </c>
      <c r="L8517" t="inlineStr">
        <is>
          <t>13:08:35</t>
        </is>
      </c>
      <c r="M8517" t="inlineStr">
        <is>
          <t>13:08:55</t>
        </is>
      </c>
    </row>
    <row r="8518" ht="15" customHeight="1" s="37">
      <c r="A8518" t="n">
        <v>3</v>
      </c>
      <c r="B8518" s="10" t="inlineStr">
        <is>
          <t>平日</t>
        </is>
      </c>
      <c r="C8518" s="10" t="inlineStr">
        <is>
          <t>本線</t>
        </is>
      </c>
      <c r="D8518" s="10" t="inlineStr">
        <is>
          <t>上り</t>
        </is>
      </c>
      <c r="E8518" t="inlineStr">
        <is>
          <t>1302</t>
        </is>
      </c>
      <c r="F8518" t="inlineStr">
        <is>
          <t>0211</t>
        </is>
      </c>
      <c r="G8518" s="10" t="inlineStr">
        <is>
          <t>帷子ノ辻</t>
        </is>
      </c>
      <c r="H8518" s="10" t="inlineStr">
        <is>
          <t>発</t>
        </is>
      </c>
      <c r="J8518" s="10" t="inlineStr">
        <is>
          <t>営業</t>
        </is>
      </c>
      <c r="L8518" t="inlineStr">
        <is>
          <t>13:10:10</t>
        </is>
      </c>
      <c r="M8518" t="inlineStr">
        <is>
          <t>13:11:15</t>
        </is>
      </c>
    </row>
    <row r="8519" ht="15" customHeight="1" s="37">
      <c r="A8519" t="n">
        <v>3</v>
      </c>
      <c r="B8519" s="10" t="inlineStr">
        <is>
          <t>平日</t>
        </is>
      </c>
      <c r="C8519" s="10" t="inlineStr">
        <is>
          <t>本線</t>
        </is>
      </c>
      <c r="D8519" s="10" t="inlineStr">
        <is>
          <t>上り</t>
        </is>
      </c>
      <c r="E8519" t="inlineStr">
        <is>
          <t>1302</t>
        </is>
      </c>
      <c r="F8519" t="inlineStr">
        <is>
          <t>0211</t>
        </is>
      </c>
      <c r="G8519" s="10" t="inlineStr">
        <is>
          <t>太秦広隆寺</t>
        </is>
      </c>
      <c r="H8519" s="10" t="inlineStr">
        <is>
          <t>発</t>
        </is>
      </c>
      <c r="J8519" s="10" t="inlineStr">
        <is>
          <t>営業</t>
        </is>
      </c>
      <c r="L8519" t="inlineStr">
        <is>
          <t>13:13:25</t>
        </is>
      </c>
      <c r="M8519" t="inlineStr">
        <is>
          <t>13:13:45</t>
        </is>
      </c>
    </row>
    <row r="8520" ht="15" customHeight="1" s="37">
      <c r="A8520" t="n">
        <v>3</v>
      </c>
      <c r="B8520" s="10" t="inlineStr">
        <is>
          <t>平日</t>
        </is>
      </c>
      <c r="C8520" s="10" t="inlineStr">
        <is>
          <t>本線</t>
        </is>
      </c>
      <c r="D8520" s="10" t="inlineStr">
        <is>
          <t>上り</t>
        </is>
      </c>
      <c r="E8520" t="inlineStr">
        <is>
          <t>1302</t>
        </is>
      </c>
      <c r="F8520" t="inlineStr">
        <is>
          <t>0211</t>
        </is>
      </c>
      <c r="G8520" s="10" t="inlineStr">
        <is>
          <t>蚕ノ社</t>
        </is>
      </c>
      <c r="H8520" s="10" t="inlineStr">
        <is>
          <t>発</t>
        </is>
      </c>
      <c r="J8520" s="10" t="inlineStr">
        <is>
          <t>営業</t>
        </is>
      </c>
      <c r="L8520" t="inlineStr">
        <is>
          <t>13:15:00</t>
        </is>
      </c>
      <c r="M8520" t="inlineStr">
        <is>
          <t>13:15:20</t>
        </is>
      </c>
    </row>
    <row r="8521" ht="15" customHeight="1" s="37">
      <c r="A8521" t="n">
        <v>3</v>
      </c>
      <c r="B8521" s="10" t="inlineStr">
        <is>
          <t>平日</t>
        </is>
      </c>
      <c r="C8521" s="10" t="inlineStr">
        <is>
          <t>本線</t>
        </is>
      </c>
      <c r="D8521" s="10" t="inlineStr">
        <is>
          <t>上り</t>
        </is>
      </c>
      <c r="E8521" t="inlineStr">
        <is>
          <t>1302</t>
        </is>
      </c>
      <c r="F8521" t="inlineStr">
        <is>
          <t>0211</t>
        </is>
      </c>
      <c r="G8521" s="10" t="inlineStr">
        <is>
          <t>天神川</t>
        </is>
      </c>
      <c r="H8521" s="10" t="inlineStr">
        <is>
          <t>発</t>
        </is>
      </c>
      <c r="J8521" s="10" t="inlineStr">
        <is>
          <t>営業</t>
        </is>
      </c>
      <c r="L8521" t="inlineStr">
        <is>
          <t>13:16:05</t>
        </is>
      </c>
      <c r="M8521" t="inlineStr">
        <is>
          <t>13:16:50</t>
        </is>
      </c>
    </row>
    <row r="8522" ht="15" customHeight="1" s="37">
      <c r="A8522" t="n">
        <v>3</v>
      </c>
      <c r="B8522" s="10" t="inlineStr">
        <is>
          <t>平日</t>
        </is>
      </c>
      <c r="C8522" s="10" t="inlineStr">
        <is>
          <t>本線</t>
        </is>
      </c>
      <c r="D8522" s="10" t="inlineStr">
        <is>
          <t>上り</t>
        </is>
      </c>
      <c r="E8522" t="inlineStr">
        <is>
          <t>1302</t>
        </is>
      </c>
      <c r="F8522" t="inlineStr">
        <is>
          <t>0211</t>
        </is>
      </c>
      <c r="G8522" s="10" t="inlineStr">
        <is>
          <t>山ノ内</t>
        </is>
      </c>
      <c r="H8522" s="10" t="inlineStr">
        <is>
          <t>発</t>
        </is>
      </c>
      <c r="J8522" s="10" t="inlineStr">
        <is>
          <t>営業</t>
        </is>
      </c>
      <c r="L8522" t="inlineStr">
        <is>
          <t>13:18:40</t>
        </is>
      </c>
      <c r="M8522" t="inlineStr">
        <is>
          <t>13:19:05</t>
        </is>
      </c>
    </row>
    <row r="8523" ht="15" customHeight="1" s="37">
      <c r="A8523" t="n">
        <v>3</v>
      </c>
      <c r="B8523" s="10" t="inlineStr">
        <is>
          <t>平日</t>
        </is>
      </c>
      <c r="C8523" s="10" t="inlineStr">
        <is>
          <t>本線</t>
        </is>
      </c>
      <c r="D8523" s="10" t="inlineStr">
        <is>
          <t>上り</t>
        </is>
      </c>
      <c r="E8523" t="inlineStr">
        <is>
          <t>1302</t>
        </is>
      </c>
      <c r="F8523" t="inlineStr">
        <is>
          <t>0211</t>
        </is>
      </c>
      <c r="G8523" s="10" t="inlineStr">
        <is>
          <t>西大路三条</t>
        </is>
      </c>
      <c r="H8523" s="10" t="inlineStr">
        <is>
          <t>発</t>
        </is>
      </c>
      <c r="J8523" s="10" t="inlineStr">
        <is>
          <t>営業</t>
        </is>
      </c>
      <c r="L8523" t="inlineStr">
        <is>
          <t>13:20:55</t>
        </is>
      </c>
      <c r="M8523" t="inlineStr">
        <is>
          <t>13:21:15</t>
        </is>
      </c>
    </row>
    <row r="8524" ht="15" customHeight="1" s="37">
      <c r="A8524" t="n">
        <v>3</v>
      </c>
      <c r="B8524" s="10" t="inlineStr">
        <is>
          <t>平日</t>
        </is>
      </c>
      <c r="C8524" s="10" t="inlineStr">
        <is>
          <t>本線</t>
        </is>
      </c>
      <c r="D8524" s="10" t="inlineStr">
        <is>
          <t>上り</t>
        </is>
      </c>
      <c r="E8524" t="inlineStr">
        <is>
          <t>1302</t>
        </is>
      </c>
      <c r="F8524" t="inlineStr">
        <is>
          <t>0211</t>
        </is>
      </c>
      <c r="G8524" s="10" t="inlineStr">
        <is>
          <t>西院</t>
        </is>
      </c>
      <c r="H8524" s="10" t="inlineStr">
        <is>
          <t>発</t>
        </is>
      </c>
      <c r="J8524" s="10" t="inlineStr">
        <is>
          <t>営業</t>
        </is>
      </c>
      <c r="L8524" t="inlineStr">
        <is>
          <t>13:23:10</t>
        </is>
      </c>
      <c r="M8524" t="inlineStr">
        <is>
          <t>13:24:05</t>
        </is>
      </c>
    </row>
    <row r="8525" ht="15" customHeight="1" s="37">
      <c r="A8525" t="n">
        <v>3</v>
      </c>
      <c r="B8525" s="10" t="inlineStr">
        <is>
          <t>平日</t>
        </is>
      </c>
      <c r="C8525" s="10" t="inlineStr">
        <is>
          <t>本線</t>
        </is>
      </c>
      <c r="D8525" s="10" t="inlineStr">
        <is>
          <t>上り</t>
        </is>
      </c>
      <c r="E8525" t="inlineStr">
        <is>
          <t>1302</t>
        </is>
      </c>
      <c r="F8525" t="inlineStr">
        <is>
          <t>0211</t>
        </is>
      </c>
      <c r="G8525" s="10" t="inlineStr">
        <is>
          <t>四条大宮</t>
        </is>
      </c>
      <c r="H8525" s="10" t="inlineStr">
        <is>
          <t>着</t>
        </is>
      </c>
      <c r="J8525" s="10" t="inlineStr">
        <is>
          <t>営業</t>
        </is>
      </c>
      <c r="L8525" t="inlineStr">
        <is>
          <t>13:27:00</t>
        </is>
      </c>
      <c r="Q8525" t="inlineStr">
        <is>
          <t>1</t>
        </is>
      </c>
    </row>
    <row r="8526" ht="15" customHeight="1" s="37">
      <c r="A8526" t="n">
        <v>3</v>
      </c>
      <c r="B8526" s="10" t="inlineStr">
        <is>
          <t>平日</t>
        </is>
      </c>
      <c r="C8526" s="10" t="inlineStr">
        <is>
          <t>本線</t>
        </is>
      </c>
      <c r="D8526" s="10" t="inlineStr">
        <is>
          <t>下り</t>
        </is>
      </c>
      <c r="E8526" t="inlineStr">
        <is>
          <t>1307</t>
        </is>
      </c>
      <c r="F8526" t="inlineStr">
        <is>
          <t>0112</t>
        </is>
      </c>
      <c r="G8526" s="10" t="inlineStr">
        <is>
          <t>四条大宮</t>
        </is>
      </c>
      <c r="H8526" s="10" t="inlineStr">
        <is>
          <t>発</t>
        </is>
      </c>
      <c r="J8526" s="10" t="inlineStr">
        <is>
          <t>営業</t>
        </is>
      </c>
      <c r="M8526" t="inlineStr">
        <is>
          <t>13:33:00</t>
        </is>
      </c>
      <c r="Q8526" t="inlineStr">
        <is>
          <t>1</t>
        </is>
      </c>
    </row>
    <row r="8527" ht="15" customHeight="1" s="37">
      <c r="A8527" t="n">
        <v>3</v>
      </c>
      <c r="B8527" s="10" t="inlineStr">
        <is>
          <t>平日</t>
        </is>
      </c>
      <c r="C8527" s="10" t="inlineStr">
        <is>
          <t>本線</t>
        </is>
      </c>
      <c r="D8527" s="10" t="inlineStr">
        <is>
          <t>下り</t>
        </is>
      </c>
      <c r="E8527" t="inlineStr">
        <is>
          <t>1307</t>
        </is>
      </c>
      <c r="F8527" t="inlineStr">
        <is>
          <t>0112</t>
        </is>
      </c>
      <c r="G8527" s="10" t="inlineStr">
        <is>
          <t>西院</t>
        </is>
      </c>
      <c r="H8527" s="10" t="inlineStr">
        <is>
          <t>発</t>
        </is>
      </c>
      <c r="J8527" s="10" t="inlineStr">
        <is>
          <t>営業</t>
        </is>
      </c>
      <c r="L8527" t="inlineStr">
        <is>
          <t>13:35:50</t>
        </is>
      </c>
      <c r="M8527" t="inlineStr">
        <is>
          <t>13:36:20</t>
        </is>
      </c>
    </row>
    <row r="8528" ht="15" customHeight="1" s="37">
      <c r="A8528" t="n">
        <v>3</v>
      </c>
      <c r="B8528" s="10" t="inlineStr">
        <is>
          <t>平日</t>
        </is>
      </c>
      <c r="C8528" s="10" t="inlineStr">
        <is>
          <t>本線</t>
        </is>
      </c>
      <c r="D8528" s="10" t="inlineStr">
        <is>
          <t>下り</t>
        </is>
      </c>
      <c r="E8528" t="inlineStr">
        <is>
          <t>1307</t>
        </is>
      </c>
      <c r="F8528" t="inlineStr">
        <is>
          <t>0112</t>
        </is>
      </c>
      <c r="G8528" s="10" t="inlineStr">
        <is>
          <t>西大路三条</t>
        </is>
      </c>
      <c r="H8528" s="10" t="inlineStr">
        <is>
          <t>発</t>
        </is>
      </c>
      <c r="J8528" s="10" t="inlineStr">
        <is>
          <t>営業</t>
        </is>
      </c>
      <c r="L8528" t="inlineStr">
        <is>
          <t>13:38:10</t>
        </is>
      </c>
      <c r="M8528" t="inlineStr">
        <is>
          <t>13:38:30</t>
        </is>
      </c>
    </row>
    <row r="8529" ht="15" customHeight="1" s="37">
      <c r="A8529" t="n">
        <v>3</v>
      </c>
      <c r="B8529" s="10" t="inlineStr">
        <is>
          <t>平日</t>
        </is>
      </c>
      <c r="C8529" s="10" t="inlineStr">
        <is>
          <t>本線</t>
        </is>
      </c>
      <c r="D8529" s="10" t="inlineStr">
        <is>
          <t>下り</t>
        </is>
      </c>
      <c r="E8529" t="inlineStr">
        <is>
          <t>1307</t>
        </is>
      </c>
      <c r="F8529" t="inlineStr">
        <is>
          <t>0112</t>
        </is>
      </c>
      <c r="G8529" s="10" t="inlineStr">
        <is>
          <t>山ノ内</t>
        </is>
      </c>
      <c r="H8529" s="10" t="inlineStr">
        <is>
          <t>発</t>
        </is>
      </c>
      <c r="J8529" s="10" t="inlineStr">
        <is>
          <t>営業</t>
        </is>
      </c>
      <c r="L8529" t="inlineStr">
        <is>
          <t>13:40:25</t>
        </is>
      </c>
      <c r="M8529" t="inlineStr">
        <is>
          <t>13:40:50</t>
        </is>
      </c>
    </row>
    <row r="8530" ht="15" customHeight="1" s="37">
      <c r="A8530" t="n">
        <v>3</v>
      </c>
      <c r="B8530" s="10" t="inlineStr">
        <is>
          <t>平日</t>
        </is>
      </c>
      <c r="C8530" s="10" t="inlineStr">
        <is>
          <t>本線</t>
        </is>
      </c>
      <c r="D8530" s="10" t="inlineStr">
        <is>
          <t>下り</t>
        </is>
      </c>
      <c r="E8530" t="inlineStr">
        <is>
          <t>1307</t>
        </is>
      </c>
      <c r="F8530" t="inlineStr">
        <is>
          <t>0112</t>
        </is>
      </c>
      <c r="G8530" s="10" t="inlineStr">
        <is>
          <t>天神川</t>
        </is>
      </c>
      <c r="H8530" s="10" t="inlineStr">
        <is>
          <t>発</t>
        </is>
      </c>
      <c r="J8530" s="10" t="inlineStr">
        <is>
          <t>営業</t>
        </is>
      </c>
      <c r="L8530" t="inlineStr">
        <is>
          <t>13:42:50</t>
        </is>
      </c>
      <c r="M8530" t="inlineStr">
        <is>
          <t>13:43:30</t>
        </is>
      </c>
    </row>
    <row r="8531" ht="15" customHeight="1" s="37">
      <c r="A8531" t="n">
        <v>3</v>
      </c>
      <c r="B8531" s="10" t="inlineStr">
        <is>
          <t>平日</t>
        </is>
      </c>
      <c r="C8531" s="10" t="inlineStr">
        <is>
          <t>本線</t>
        </is>
      </c>
      <c r="D8531" s="10" t="inlineStr">
        <is>
          <t>下り</t>
        </is>
      </c>
      <c r="E8531" t="inlineStr">
        <is>
          <t>1307</t>
        </is>
      </c>
      <c r="F8531" t="inlineStr">
        <is>
          <t>0112</t>
        </is>
      </c>
      <c r="G8531" s="10" t="inlineStr">
        <is>
          <t>蚕ノ社</t>
        </is>
      </c>
      <c r="H8531" s="10" t="inlineStr">
        <is>
          <t>発</t>
        </is>
      </c>
      <c r="J8531" s="10" t="inlineStr">
        <is>
          <t>営業</t>
        </is>
      </c>
      <c r="L8531" t="inlineStr">
        <is>
          <t>13:44:20</t>
        </is>
      </c>
      <c r="M8531" t="inlineStr">
        <is>
          <t>13:44:40</t>
        </is>
      </c>
    </row>
    <row r="8532" ht="15" customHeight="1" s="37">
      <c r="A8532" t="n">
        <v>3</v>
      </c>
      <c r="B8532" s="10" t="inlineStr">
        <is>
          <t>平日</t>
        </is>
      </c>
      <c r="C8532" s="10" t="inlineStr">
        <is>
          <t>本線</t>
        </is>
      </c>
      <c r="D8532" s="10" t="inlineStr">
        <is>
          <t>下り</t>
        </is>
      </c>
      <c r="E8532" t="inlineStr">
        <is>
          <t>1307</t>
        </is>
      </c>
      <c r="F8532" t="inlineStr">
        <is>
          <t>0112</t>
        </is>
      </c>
      <c r="G8532" s="10" t="inlineStr">
        <is>
          <t>太秦広隆寺</t>
        </is>
      </c>
      <c r="H8532" s="10" t="inlineStr">
        <is>
          <t>発</t>
        </is>
      </c>
      <c r="J8532" s="10" t="inlineStr">
        <is>
          <t>営業</t>
        </is>
      </c>
      <c r="L8532" t="inlineStr">
        <is>
          <t>13:46:00</t>
        </is>
      </c>
      <c r="M8532" t="inlineStr">
        <is>
          <t>13:46:20</t>
        </is>
      </c>
    </row>
    <row r="8533" ht="15" customHeight="1" s="37">
      <c r="A8533" t="n">
        <v>3</v>
      </c>
      <c r="B8533" s="10" t="inlineStr">
        <is>
          <t>平日</t>
        </is>
      </c>
      <c r="C8533" s="10" t="inlineStr">
        <is>
          <t>本線</t>
        </is>
      </c>
      <c r="D8533" s="10" t="inlineStr">
        <is>
          <t>下り</t>
        </is>
      </c>
      <c r="E8533" t="inlineStr">
        <is>
          <t>1307</t>
        </is>
      </c>
      <c r="F8533" t="inlineStr">
        <is>
          <t>0112</t>
        </is>
      </c>
      <c r="G8533" s="10" t="inlineStr">
        <is>
          <t>帷子ノ辻</t>
        </is>
      </c>
      <c r="H8533" s="10" t="inlineStr">
        <is>
          <t>発</t>
        </is>
      </c>
      <c r="J8533" s="10" t="inlineStr">
        <is>
          <t>営業</t>
        </is>
      </c>
      <c r="L8533" t="inlineStr">
        <is>
          <t>13:48:20</t>
        </is>
      </c>
      <c r="M8533" t="inlineStr">
        <is>
          <t>13:49:40</t>
        </is>
      </c>
    </row>
    <row r="8534" ht="15" customHeight="1" s="37">
      <c r="A8534" t="n">
        <v>3</v>
      </c>
      <c r="B8534" s="10" t="inlineStr">
        <is>
          <t>平日</t>
        </is>
      </c>
      <c r="C8534" s="10" t="inlineStr">
        <is>
          <t>本線</t>
        </is>
      </c>
      <c r="D8534" s="10" t="inlineStr">
        <is>
          <t>下り</t>
        </is>
      </c>
      <c r="E8534" t="inlineStr">
        <is>
          <t>1307</t>
        </is>
      </c>
      <c r="F8534" t="inlineStr">
        <is>
          <t>0112</t>
        </is>
      </c>
      <c r="G8534" s="10" t="inlineStr">
        <is>
          <t>有栖川</t>
        </is>
      </c>
      <c r="H8534" s="10" t="inlineStr">
        <is>
          <t>発</t>
        </is>
      </c>
      <c r="J8534" s="10" t="inlineStr">
        <is>
          <t>営業</t>
        </is>
      </c>
      <c r="L8534" t="inlineStr">
        <is>
          <t>13:50:50</t>
        </is>
      </c>
      <c r="M8534" t="inlineStr">
        <is>
          <t>13:51:15</t>
        </is>
      </c>
    </row>
    <row r="8535" ht="15" customHeight="1" s="37">
      <c r="A8535" t="n">
        <v>3</v>
      </c>
      <c r="B8535" s="10" t="inlineStr">
        <is>
          <t>平日</t>
        </is>
      </c>
      <c r="C8535" s="10" t="inlineStr">
        <is>
          <t>本線</t>
        </is>
      </c>
      <c r="D8535" s="10" t="inlineStr">
        <is>
          <t>下り</t>
        </is>
      </c>
      <c r="E8535" t="inlineStr">
        <is>
          <t>1307</t>
        </is>
      </c>
      <c r="F8535" t="inlineStr">
        <is>
          <t>0112</t>
        </is>
      </c>
      <c r="G8535" s="10" t="inlineStr">
        <is>
          <t>車折</t>
        </is>
      </c>
      <c r="H8535" s="10" t="inlineStr">
        <is>
          <t>発</t>
        </is>
      </c>
      <c r="J8535" s="10" t="inlineStr">
        <is>
          <t>営業</t>
        </is>
      </c>
      <c r="L8535" t="inlineStr">
        <is>
          <t>13:52:40</t>
        </is>
      </c>
      <c r="M8535" t="inlineStr">
        <is>
          <t>13:53:05</t>
        </is>
      </c>
    </row>
    <row r="8536" ht="15" customHeight="1" s="37">
      <c r="A8536" t="n">
        <v>3</v>
      </c>
      <c r="B8536" s="10" t="inlineStr">
        <is>
          <t>平日</t>
        </is>
      </c>
      <c r="C8536" s="10" t="inlineStr">
        <is>
          <t>本線</t>
        </is>
      </c>
      <c r="D8536" s="10" t="inlineStr">
        <is>
          <t>下り</t>
        </is>
      </c>
      <c r="E8536" t="inlineStr">
        <is>
          <t>1307</t>
        </is>
      </c>
      <c r="F8536" t="inlineStr">
        <is>
          <t>0112</t>
        </is>
      </c>
      <c r="G8536" s="10" t="inlineStr">
        <is>
          <t>鹿王院</t>
        </is>
      </c>
      <c r="H8536" s="10" t="inlineStr">
        <is>
          <t>発</t>
        </is>
      </c>
      <c r="J8536" s="10" t="inlineStr">
        <is>
          <t>営業</t>
        </is>
      </c>
      <c r="L8536" t="inlineStr">
        <is>
          <t>13:54:00</t>
        </is>
      </c>
      <c r="M8536" t="inlineStr">
        <is>
          <t>13:54:25</t>
        </is>
      </c>
    </row>
    <row r="8537" ht="15" customHeight="1" s="37">
      <c r="A8537" t="n">
        <v>3</v>
      </c>
      <c r="B8537" s="10" t="inlineStr">
        <is>
          <t>平日</t>
        </is>
      </c>
      <c r="C8537" s="10" t="inlineStr">
        <is>
          <t>本線</t>
        </is>
      </c>
      <c r="D8537" s="10" t="inlineStr">
        <is>
          <t>下り</t>
        </is>
      </c>
      <c r="E8537" t="inlineStr">
        <is>
          <t>1307</t>
        </is>
      </c>
      <c r="F8537" t="inlineStr">
        <is>
          <t>0112</t>
        </is>
      </c>
      <c r="G8537" s="10" t="inlineStr">
        <is>
          <t>嵯峨</t>
        </is>
      </c>
      <c r="H8537" s="10" t="inlineStr">
        <is>
          <t>発</t>
        </is>
      </c>
      <c r="J8537" s="10" t="inlineStr">
        <is>
          <t>営業</t>
        </is>
      </c>
      <c r="L8537" t="inlineStr">
        <is>
          <t>13:55:30</t>
        </is>
      </c>
      <c r="M8537" t="inlineStr">
        <is>
          <t>13:55:55</t>
        </is>
      </c>
    </row>
    <row r="8538" ht="15" customHeight="1" s="37">
      <c r="A8538" t="n">
        <v>3</v>
      </c>
      <c r="B8538" s="10" t="inlineStr">
        <is>
          <t>平日</t>
        </is>
      </c>
      <c r="C8538" s="10" t="inlineStr">
        <is>
          <t>本線</t>
        </is>
      </c>
      <c r="D8538" s="10" t="inlineStr">
        <is>
          <t>下り</t>
        </is>
      </c>
      <c r="E8538" t="inlineStr">
        <is>
          <t>1307</t>
        </is>
      </c>
      <c r="F8538" t="inlineStr">
        <is>
          <t>0112</t>
        </is>
      </c>
      <c r="G8538" s="10" t="inlineStr">
        <is>
          <t>嵐山</t>
        </is>
      </c>
      <c r="H8538" s="10" t="inlineStr">
        <is>
          <t>着</t>
        </is>
      </c>
      <c r="J8538" s="10" t="inlineStr">
        <is>
          <t>営業</t>
        </is>
      </c>
      <c r="L8538" t="inlineStr">
        <is>
          <t>13:57:00</t>
        </is>
      </c>
      <c r="Q8538" t="inlineStr">
        <is>
          <t>1</t>
        </is>
      </c>
    </row>
    <row r="8539" ht="15" customHeight="1" s="37">
      <c r="A8539" t="n">
        <v>3</v>
      </c>
      <c r="B8539" s="10" t="inlineStr">
        <is>
          <t>平日</t>
        </is>
      </c>
      <c r="C8539" s="10" t="inlineStr">
        <is>
          <t>本線</t>
        </is>
      </c>
      <c r="D8539" s="10" t="inlineStr">
        <is>
          <t>上り</t>
        </is>
      </c>
      <c r="E8539" t="inlineStr">
        <is>
          <t>1402</t>
        </is>
      </c>
      <c r="F8539" t="inlineStr">
        <is>
          <t>0211</t>
        </is>
      </c>
      <c r="G8539" s="10" t="inlineStr">
        <is>
          <t>嵐山</t>
        </is>
      </c>
      <c r="H8539" s="10" t="inlineStr">
        <is>
          <t>発</t>
        </is>
      </c>
      <c r="J8539" s="10" t="inlineStr">
        <is>
          <t>営業</t>
        </is>
      </c>
      <c r="M8539" t="inlineStr">
        <is>
          <t>14:03:00</t>
        </is>
      </c>
      <c r="Q8539" t="inlineStr">
        <is>
          <t>1</t>
        </is>
      </c>
    </row>
    <row r="8540" ht="16.5" customHeight="1" s="37">
      <c r="A8540" t="n">
        <v>3</v>
      </c>
      <c r="B8540" s="10" t="inlineStr">
        <is>
          <t>平日</t>
        </is>
      </c>
      <c r="C8540" s="10" t="inlineStr">
        <is>
          <t>本線</t>
        </is>
      </c>
      <c r="D8540" s="10" t="inlineStr">
        <is>
          <t>上り</t>
        </is>
      </c>
      <c r="E8540" t="inlineStr">
        <is>
          <t>1402</t>
        </is>
      </c>
      <c r="F8540" t="inlineStr">
        <is>
          <t>0211</t>
        </is>
      </c>
      <c r="G8540" s="10" t="inlineStr">
        <is>
          <t>嵯峨</t>
        </is>
      </c>
      <c r="H8540" s="10" t="inlineStr">
        <is>
          <t>発</t>
        </is>
      </c>
      <c r="J8540" s="10" t="inlineStr">
        <is>
          <t>営業</t>
        </is>
      </c>
      <c r="L8540" t="inlineStr">
        <is>
          <t>14:03:55</t>
        </is>
      </c>
      <c r="M8540" t="inlineStr">
        <is>
          <t>14:04:20</t>
        </is>
      </c>
    </row>
    <row r="8541" ht="16.5" customHeight="1" s="37">
      <c r="A8541" t="n">
        <v>3</v>
      </c>
      <c r="B8541" s="10" t="inlineStr">
        <is>
          <t>平日</t>
        </is>
      </c>
      <c r="C8541" s="10" t="inlineStr">
        <is>
          <t>本線</t>
        </is>
      </c>
      <c r="D8541" s="10" t="inlineStr">
        <is>
          <t>上り</t>
        </is>
      </c>
      <c r="E8541" t="inlineStr">
        <is>
          <t>1402</t>
        </is>
      </c>
      <c r="F8541" t="inlineStr">
        <is>
          <t>0211</t>
        </is>
      </c>
      <c r="G8541" s="10" t="inlineStr">
        <is>
          <t>鹿王院</t>
        </is>
      </c>
      <c r="H8541" s="10" t="inlineStr">
        <is>
          <t>発</t>
        </is>
      </c>
      <c r="J8541" s="10" t="inlineStr">
        <is>
          <t>営業</t>
        </is>
      </c>
      <c r="L8541" t="inlineStr">
        <is>
          <t>14:05:25</t>
        </is>
      </c>
      <c r="M8541" t="inlineStr">
        <is>
          <t>14:05:45</t>
        </is>
      </c>
    </row>
    <row r="8542" ht="16.5" customHeight="1" s="37">
      <c r="A8542" t="n">
        <v>3</v>
      </c>
      <c r="B8542" s="10" t="inlineStr">
        <is>
          <t>平日</t>
        </is>
      </c>
      <c r="C8542" s="10" t="inlineStr">
        <is>
          <t>本線</t>
        </is>
      </c>
      <c r="D8542" s="10" t="inlineStr">
        <is>
          <t>上り</t>
        </is>
      </c>
      <c r="E8542" t="inlineStr">
        <is>
          <t>1402</t>
        </is>
      </c>
      <c r="F8542" t="inlineStr">
        <is>
          <t>0211</t>
        </is>
      </c>
      <c r="G8542" s="10" t="inlineStr">
        <is>
          <t>車折</t>
        </is>
      </c>
      <c r="H8542" s="10" t="inlineStr">
        <is>
          <t>発</t>
        </is>
      </c>
      <c r="J8542" s="10" t="inlineStr">
        <is>
          <t>営業</t>
        </is>
      </c>
      <c r="L8542" t="inlineStr">
        <is>
          <t>14:06:40</t>
        </is>
      </c>
      <c r="M8542" t="inlineStr">
        <is>
          <t>14:07:10</t>
        </is>
      </c>
    </row>
    <row r="8543" ht="16.5" customHeight="1" s="37">
      <c r="A8543" t="n">
        <v>3</v>
      </c>
      <c r="B8543" s="10" t="inlineStr">
        <is>
          <t>平日</t>
        </is>
      </c>
      <c r="C8543" s="10" t="inlineStr">
        <is>
          <t>本線</t>
        </is>
      </c>
      <c r="D8543" s="10" t="inlineStr">
        <is>
          <t>上り</t>
        </is>
      </c>
      <c r="E8543" t="inlineStr">
        <is>
          <t>1402</t>
        </is>
      </c>
      <c r="F8543" t="inlineStr">
        <is>
          <t>0211</t>
        </is>
      </c>
      <c r="G8543" s="10" t="inlineStr">
        <is>
          <t>有栖川</t>
        </is>
      </c>
      <c r="H8543" s="10" t="inlineStr">
        <is>
          <t>発</t>
        </is>
      </c>
      <c r="J8543" s="10" t="inlineStr">
        <is>
          <t>営業</t>
        </is>
      </c>
      <c r="L8543" t="inlineStr">
        <is>
          <t>14:08:35</t>
        </is>
      </c>
      <c r="M8543" t="inlineStr">
        <is>
          <t>14:08:55</t>
        </is>
      </c>
    </row>
    <row r="8544" ht="16.5" customHeight="1" s="37">
      <c r="A8544" t="n">
        <v>3</v>
      </c>
      <c r="B8544" s="10" t="inlineStr">
        <is>
          <t>平日</t>
        </is>
      </c>
      <c r="C8544" s="10" t="inlineStr">
        <is>
          <t>本線</t>
        </is>
      </c>
      <c r="D8544" s="10" t="inlineStr">
        <is>
          <t>上り</t>
        </is>
      </c>
      <c r="E8544" t="inlineStr">
        <is>
          <t>1402</t>
        </is>
      </c>
      <c r="F8544" t="inlineStr">
        <is>
          <t>0211</t>
        </is>
      </c>
      <c r="G8544" s="10" t="inlineStr">
        <is>
          <t>帷子ノ辻</t>
        </is>
      </c>
      <c r="H8544" s="10" t="inlineStr">
        <is>
          <t>発</t>
        </is>
      </c>
      <c r="J8544" s="10" t="inlineStr">
        <is>
          <t>営業</t>
        </is>
      </c>
      <c r="L8544" t="inlineStr">
        <is>
          <t>14:10:10</t>
        </is>
      </c>
      <c r="M8544" t="inlineStr">
        <is>
          <t>14:11:15</t>
        </is>
      </c>
    </row>
    <row r="8545" ht="16.5" customHeight="1" s="37">
      <c r="A8545" t="n">
        <v>3</v>
      </c>
      <c r="B8545" s="10" t="inlineStr">
        <is>
          <t>平日</t>
        </is>
      </c>
      <c r="C8545" s="10" t="inlineStr">
        <is>
          <t>本線</t>
        </is>
      </c>
      <c r="D8545" s="10" t="inlineStr">
        <is>
          <t>上り</t>
        </is>
      </c>
      <c r="E8545" t="inlineStr">
        <is>
          <t>1402</t>
        </is>
      </c>
      <c r="F8545" t="inlineStr">
        <is>
          <t>0211</t>
        </is>
      </c>
      <c r="G8545" s="10" t="inlineStr">
        <is>
          <t>太秦広隆寺</t>
        </is>
      </c>
      <c r="H8545" s="10" t="inlineStr">
        <is>
          <t>発</t>
        </is>
      </c>
      <c r="J8545" s="10" t="inlineStr">
        <is>
          <t>営業</t>
        </is>
      </c>
      <c r="L8545" t="inlineStr">
        <is>
          <t>14:13:25</t>
        </is>
      </c>
      <c r="M8545" t="inlineStr">
        <is>
          <t>14:13:45</t>
        </is>
      </c>
    </row>
    <row r="8546" ht="16.5" customHeight="1" s="37">
      <c r="A8546" t="n">
        <v>3</v>
      </c>
      <c r="B8546" s="10" t="inlineStr">
        <is>
          <t>平日</t>
        </is>
      </c>
      <c r="C8546" s="10" t="inlineStr">
        <is>
          <t>本線</t>
        </is>
      </c>
      <c r="D8546" s="10" t="inlineStr">
        <is>
          <t>上り</t>
        </is>
      </c>
      <c r="E8546" t="inlineStr">
        <is>
          <t>1402</t>
        </is>
      </c>
      <c r="F8546" t="inlineStr">
        <is>
          <t>0211</t>
        </is>
      </c>
      <c r="G8546" s="10" t="inlineStr">
        <is>
          <t>蚕ノ社</t>
        </is>
      </c>
      <c r="H8546" s="10" t="inlineStr">
        <is>
          <t>発</t>
        </is>
      </c>
      <c r="J8546" s="10" t="inlineStr">
        <is>
          <t>営業</t>
        </is>
      </c>
      <c r="L8546" t="inlineStr">
        <is>
          <t>14:15:00</t>
        </is>
      </c>
      <c r="M8546" t="inlineStr">
        <is>
          <t>14:15:20</t>
        </is>
      </c>
    </row>
    <row r="8547" ht="16.5" customHeight="1" s="37">
      <c r="A8547" t="n">
        <v>3</v>
      </c>
      <c r="B8547" s="10" t="inlineStr">
        <is>
          <t>平日</t>
        </is>
      </c>
      <c r="C8547" s="10" t="inlineStr">
        <is>
          <t>本線</t>
        </is>
      </c>
      <c r="D8547" s="10" t="inlineStr">
        <is>
          <t>上り</t>
        </is>
      </c>
      <c r="E8547" t="inlineStr">
        <is>
          <t>1402</t>
        </is>
      </c>
      <c r="F8547" t="inlineStr">
        <is>
          <t>0211</t>
        </is>
      </c>
      <c r="G8547" s="10" t="inlineStr">
        <is>
          <t>天神川</t>
        </is>
      </c>
      <c r="H8547" s="10" t="inlineStr">
        <is>
          <t>発</t>
        </is>
      </c>
      <c r="J8547" s="10" t="inlineStr">
        <is>
          <t>営業</t>
        </is>
      </c>
      <c r="L8547" t="inlineStr">
        <is>
          <t>14:16:05</t>
        </is>
      </c>
      <c r="M8547" t="inlineStr">
        <is>
          <t>14:16:50</t>
        </is>
      </c>
    </row>
    <row r="8548" ht="16.5" customHeight="1" s="37">
      <c r="A8548" t="n">
        <v>3</v>
      </c>
      <c r="B8548" s="10" t="inlineStr">
        <is>
          <t>平日</t>
        </is>
      </c>
      <c r="C8548" s="10" t="inlineStr">
        <is>
          <t>本線</t>
        </is>
      </c>
      <c r="D8548" s="10" t="inlineStr">
        <is>
          <t>上り</t>
        </is>
      </c>
      <c r="E8548" t="inlineStr">
        <is>
          <t>1402</t>
        </is>
      </c>
      <c r="F8548" t="inlineStr">
        <is>
          <t>0211</t>
        </is>
      </c>
      <c r="G8548" s="10" t="inlineStr">
        <is>
          <t>山ノ内</t>
        </is>
      </c>
      <c r="H8548" s="10" t="inlineStr">
        <is>
          <t>発</t>
        </is>
      </c>
      <c r="J8548" s="10" t="inlineStr">
        <is>
          <t>営業</t>
        </is>
      </c>
      <c r="L8548" t="inlineStr">
        <is>
          <t>14:18:40</t>
        </is>
      </c>
      <c r="M8548" t="inlineStr">
        <is>
          <t>14:19:05</t>
        </is>
      </c>
    </row>
    <row r="8549" ht="16.5" customHeight="1" s="37">
      <c r="A8549" t="n">
        <v>3</v>
      </c>
      <c r="B8549" s="10" t="inlineStr">
        <is>
          <t>平日</t>
        </is>
      </c>
      <c r="C8549" s="10" t="inlineStr">
        <is>
          <t>本線</t>
        </is>
      </c>
      <c r="D8549" s="10" t="inlineStr">
        <is>
          <t>上り</t>
        </is>
      </c>
      <c r="E8549" t="inlineStr">
        <is>
          <t>1402</t>
        </is>
      </c>
      <c r="F8549" t="inlineStr">
        <is>
          <t>0211</t>
        </is>
      </c>
      <c r="G8549" s="10" t="inlineStr">
        <is>
          <t>西大路三条</t>
        </is>
      </c>
      <c r="H8549" s="10" t="inlineStr">
        <is>
          <t>発</t>
        </is>
      </c>
      <c r="J8549" s="10" t="inlineStr">
        <is>
          <t>営業</t>
        </is>
      </c>
      <c r="L8549" t="inlineStr">
        <is>
          <t>14:20:55</t>
        </is>
      </c>
      <c r="M8549" t="inlineStr">
        <is>
          <t>14:21:15</t>
        </is>
      </c>
    </row>
    <row r="8550" ht="16.5" customHeight="1" s="37">
      <c r="A8550" t="n">
        <v>3</v>
      </c>
      <c r="B8550" s="10" t="inlineStr">
        <is>
          <t>平日</t>
        </is>
      </c>
      <c r="C8550" s="10" t="inlineStr">
        <is>
          <t>本線</t>
        </is>
      </c>
      <c r="D8550" s="10" t="inlineStr">
        <is>
          <t>上り</t>
        </is>
      </c>
      <c r="E8550" t="inlineStr">
        <is>
          <t>1402</t>
        </is>
      </c>
      <c r="F8550" t="inlineStr">
        <is>
          <t>0211</t>
        </is>
      </c>
      <c r="G8550" s="10" t="inlineStr">
        <is>
          <t>西院</t>
        </is>
      </c>
      <c r="H8550" s="10" t="inlineStr">
        <is>
          <t>発</t>
        </is>
      </c>
      <c r="J8550" s="10" t="inlineStr">
        <is>
          <t>営業</t>
        </is>
      </c>
      <c r="L8550" t="inlineStr">
        <is>
          <t>14:23:10</t>
        </is>
      </c>
      <c r="M8550" t="inlineStr">
        <is>
          <t>14:24:05</t>
        </is>
      </c>
    </row>
    <row r="8551" ht="16.5" customHeight="1" s="37">
      <c r="A8551" t="n">
        <v>3</v>
      </c>
      <c r="B8551" s="10" t="inlineStr">
        <is>
          <t>平日</t>
        </is>
      </c>
      <c r="C8551" s="10" t="inlineStr">
        <is>
          <t>本線</t>
        </is>
      </c>
      <c r="D8551" s="10" t="inlineStr">
        <is>
          <t>上り</t>
        </is>
      </c>
      <c r="E8551" t="inlineStr">
        <is>
          <t>1402</t>
        </is>
      </c>
      <c r="F8551" t="inlineStr">
        <is>
          <t>0211</t>
        </is>
      </c>
      <c r="G8551" s="10" t="inlineStr">
        <is>
          <t>四条大宮</t>
        </is>
      </c>
      <c r="H8551" s="10" t="inlineStr">
        <is>
          <t>着</t>
        </is>
      </c>
      <c r="J8551" s="10" t="inlineStr">
        <is>
          <t>営業</t>
        </is>
      </c>
      <c r="L8551" t="inlineStr">
        <is>
          <t>14:27:00</t>
        </is>
      </c>
      <c r="Q8551" t="inlineStr">
        <is>
          <t>1</t>
        </is>
      </c>
    </row>
    <row r="8552" ht="16.5" customHeight="1" s="37">
      <c r="A8552" t="n">
        <v>3</v>
      </c>
      <c r="B8552" s="10" t="inlineStr">
        <is>
          <t>平日</t>
        </is>
      </c>
      <c r="C8552" s="10" t="inlineStr">
        <is>
          <t>本線</t>
        </is>
      </c>
      <c r="D8552" s="10" t="inlineStr">
        <is>
          <t>下り</t>
        </is>
      </c>
      <c r="E8552" t="inlineStr">
        <is>
          <t>1407</t>
        </is>
      </c>
      <c r="F8552" t="inlineStr">
        <is>
          <t>0112</t>
        </is>
      </c>
      <c r="G8552" s="10" t="inlineStr">
        <is>
          <t>四条大宮</t>
        </is>
      </c>
      <c r="H8552" s="10" t="inlineStr">
        <is>
          <t>発</t>
        </is>
      </c>
      <c r="J8552" s="10" t="inlineStr">
        <is>
          <t>営業</t>
        </is>
      </c>
      <c r="M8552" t="inlineStr">
        <is>
          <t>14:33:00</t>
        </is>
      </c>
      <c r="Q8552" t="inlineStr">
        <is>
          <t>1</t>
        </is>
      </c>
    </row>
    <row r="8553" ht="16.5" customHeight="1" s="37">
      <c r="A8553" t="n">
        <v>3</v>
      </c>
      <c r="B8553" s="10" t="inlineStr">
        <is>
          <t>平日</t>
        </is>
      </c>
      <c r="C8553" s="10" t="inlineStr">
        <is>
          <t>本線</t>
        </is>
      </c>
      <c r="D8553" s="10" t="inlineStr">
        <is>
          <t>下り</t>
        </is>
      </c>
      <c r="E8553" t="inlineStr">
        <is>
          <t>1407</t>
        </is>
      </c>
      <c r="F8553" t="inlineStr">
        <is>
          <t>0112</t>
        </is>
      </c>
      <c r="G8553" s="10" t="inlineStr">
        <is>
          <t>西院</t>
        </is>
      </c>
      <c r="H8553" s="10" t="inlineStr">
        <is>
          <t>着</t>
        </is>
      </c>
      <c r="J8553" s="10" t="inlineStr">
        <is>
          <t>営業</t>
        </is>
      </c>
      <c r="L8553" t="inlineStr">
        <is>
          <t>14:35:50</t>
        </is>
      </c>
      <c r="M8553" t="inlineStr">
        <is>
          <t>14:36:20</t>
        </is>
      </c>
      <c r="T8553" t="inlineStr">
        <is>
          <t>○</t>
        </is>
      </c>
    </row>
    <row r="8554" ht="16.5" customHeight="1" s="37">
      <c r="A8554" t="n">
        <v>3</v>
      </c>
      <c r="B8554" s="10" t="inlineStr">
        <is>
          <t>平日</t>
        </is>
      </c>
      <c r="C8554" s="10" t="inlineStr">
        <is>
          <t>本線</t>
        </is>
      </c>
      <c r="D8554" s="10" t="inlineStr">
        <is>
          <t>上り</t>
        </is>
      </c>
      <c r="E8554" s="10" t="inlineStr">
        <is>
          <t>回0670</t>
        </is>
      </c>
      <c r="F8554" s="10" t="inlineStr">
        <is>
          <t>回送</t>
        </is>
      </c>
      <c r="G8554" s="10" t="inlineStr">
        <is>
          <t>西院</t>
        </is>
      </c>
      <c r="H8554" s="10" t="inlineStr">
        <is>
          <t>発</t>
        </is>
      </c>
      <c r="J8554" s="10" t="inlineStr">
        <is>
          <t>回送</t>
        </is>
      </c>
      <c r="M8554" t="inlineStr">
        <is>
          <t>6:00:05</t>
        </is>
      </c>
      <c r="O8554" t="inlineStr">
        <is>
          <t>積込:四大金庫(金庫2・納金袋1) 3系統Ⅱ側 四大6:03着</t>
        </is>
      </c>
    </row>
    <row r="8555" ht="16.5" customHeight="1" s="37">
      <c r="A8555" t="n">
        <v>3</v>
      </c>
      <c r="B8555" s="10" t="inlineStr">
        <is>
          <t>平日</t>
        </is>
      </c>
      <c r="C8555" s="10" t="inlineStr">
        <is>
          <t>本線</t>
        </is>
      </c>
      <c r="D8555" s="10" t="inlineStr">
        <is>
          <t>上り</t>
        </is>
      </c>
      <c r="E8555" s="10" t="inlineStr">
        <is>
          <t>回0670</t>
        </is>
      </c>
      <c r="F8555" s="10" t="inlineStr">
        <is>
          <t>回送</t>
        </is>
      </c>
      <c r="G8555" s="10" t="inlineStr">
        <is>
          <t>四条大宮</t>
        </is>
      </c>
      <c r="H8555" s="10" t="inlineStr">
        <is>
          <t>着</t>
        </is>
      </c>
      <c r="J8555" s="10" t="inlineStr">
        <is>
          <t>回送</t>
        </is>
      </c>
      <c r="L8555" t="inlineStr">
        <is>
          <t>6:03:00</t>
        </is>
      </c>
      <c r="O8555" t="inlineStr">
        <is>
          <t>積込:四大金庫(金庫2・納金袋1) 3系統Ⅱ側 四大6:03着</t>
        </is>
      </c>
      <c r="Q8555" t="inlineStr">
        <is>
          <t>1</t>
        </is>
      </c>
    </row>
    <row r="8556" ht="16.5" customHeight="1" s="37">
      <c r="A8556" t="n">
        <v>3</v>
      </c>
      <c r="B8556" s="10" t="inlineStr">
        <is>
          <t>平日</t>
        </is>
      </c>
      <c r="C8556" s="10" t="inlineStr">
        <is>
          <t>本線</t>
        </is>
      </c>
      <c r="D8556" s="10" t="inlineStr">
        <is>
          <t>下り</t>
        </is>
      </c>
      <c r="E8556" s="10" t="inlineStr">
        <is>
          <t>連0603</t>
        </is>
      </c>
      <c r="F8556" t="inlineStr">
        <is>
          <t>0102</t>
        </is>
      </c>
      <c r="G8556" s="10" t="inlineStr">
        <is>
          <t>四条大宮</t>
        </is>
      </c>
      <c r="H8556" s="10" t="inlineStr">
        <is>
          <t>発</t>
        </is>
      </c>
      <c r="J8556" s="10" t="inlineStr">
        <is>
          <t>営業</t>
        </is>
      </c>
      <c r="M8556" t="inlineStr">
        <is>
          <t>6:10:00</t>
        </is>
      </c>
      <c r="P8556" t="inlineStr">
        <is>
          <t>D系統(朝)</t>
        </is>
      </c>
      <c r="Q8556" t="inlineStr">
        <is>
          <t>1</t>
        </is>
      </c>
    </row>
    <row r="8557" ht="16.5" customHeight="1" s="37">
      <c r="A8557" t="n">
        <v>3</v>
      </c>
      <c r="B8557" s="10" t="inlineStr">
        <is>
          <t>平日</t>
        </is>
      </c>
      <c r="C8557" s="10" t="inlineStr">
        <is>
          <t>本線</t>
        </is>
      </c>
      <c r="D8557" s="10" t="inlineStr">
        <is>
          <t>下り</t>
        </is>
      </c>
      <c r="E8557" s="10" t="inlineStr">
        <is>
          <t>連0603</t>
        </is>
      </c>
      <c r="F8557" t="inlineStr">
        <is>
          <t>0102</t>
        </is>
      </c>
      <c r="G8557" s="10" t="inlineStr">
        <is>
          <t>西院</t>
        </is>
      </c>
      <c r="H8557" s="10" t="inlineStr">
        <is>
          <t>発</t>
        </is>
      </c>
      <c r="J8557" s="10" t="inlineStr">
        <is>
          <t>営業</t>
        </is>
      </c>
      <c r="L8557" t="inlineStr">
        <is>
          <t>6:12:50</t>
        </is>
      </c>
      <c r="M8557" t="inlineStr">
        <is>
          <t>6:13:20</t>
        </is>
      </c>
      <c r="P8557" t="inlineStr">
        <is>
          <t>D系統(朝)</t>
        </is>
      </c>
    </row>
    <row r="8558" ht="16.5" customHeight="1" s="37">
      <c r="A8558" t="n">
        <v>3</v>
      </c>
      <c r="B8558" s="10" t="inlineStr">
        <is>
          <t>平日</t>
        </is>
      </c>
      <c r="C8558" s="10" t="inlineStr">
        <is>
          <t>本線</t>
        </is>
      </c>
      <c r="D8558" s="10" t="inlineStr">
        <is>
          <t>下り</t>
        </is>
      </c>
      <c r="E8558" s="10" t="inlineStr">
        <is>
          <t>連0603</t>
        </is>
      </c>
      <c r="F8558" t="inlineStr">
        <is>
          <t>0102</t>
        </is>
      </c>
      <c r="G8558" s="10" t="inlineStr">
        <is>
          <t>西大路三条</t>
        </is>
      </c>
      <c r="H8558" s="10" t="inlineStr">
        <is>
          <t>発</t>
        </is>
      </c>
      <c r="J8558" s="10" t="inlineStr">
        <is>
          <t>営業</t>
        </is>
      </c>
      <c r="L8558" t="inlineStr">
        <is>
          <t>6:15:10</t>
        </is>
      </c>
      <c r="M8558" t="inlineStr">
        <is>
          <t>6:15:25</t>
        </is>
      </c>
      <c r="P8558" t="inlineStr">
        <is>
          <t>D系統(朝)</t>
        </is>
      </c>
    </row>
    <row r="8559" ht="16.5" customHeight="1" s="37">
      <c r="A8559" t="n">
        <v>3</v>
      </c>
      <c r="B8559" s="10" t="inlineStr">
        <is>
          <t>平日</t>
        </is>
      </c>
      <c r="C8559" s="10" t="inlineStr">
        <is>
          <t>本線</t>
        </is>
      </c>
      <c r="D8559" s="10" t="inlineStr">
        <is>
          <t>下り</t>
        </is>
      </c>
      <c r="E8559" s="10" t="inlineStr">
        <is>
          <t>連0603</t>
        </is>
      </c>
      <c r="F8559" t="inlineStr">
        <is>
          <t>0102</t>
        </is>
      </c>
      <c r="G8559" s="10" t="inlineStr">
        <is>
          <t>山ノ内</t>
        </is>
      </c>
      <c r="H8559" s="10" t="inlineStr">
        <is>
          <t>発</t>
        </is>
      </c>
      <c r="J8559" s="10" t="inlineStr">
        <is>
          <t>営業</t>
        </is>
      </c>
      <c r="L8559" t="inlineStr">
        <is>
          <t>6:17:20</t>
        </is>
      </c>
      <c r="M8559" t="inlineStr">
        <is>
          <t>6:17:45</t>
        </is>
      </c>
      <c r="P8559" t="inlineStr">
        <is>
          <t>D系統(朝)</t>
        </is>
      </c>
    </row>
    <row r="8560" ht="16.5" customHeight="1" s="37">
      <c r="A8560" t="n">
        <v>3</v>
      </c>
      <c r="B8560" s="10" t="inlineStr">
        <is>
          <t>平日</t>
        </is>
      </c>
      <c r="C8560" s="10" t="inlineStr">
        <is>
          <t>本線</t>
        </is>
      </c>
      <c r="D8560" s="10" t="inlineStr">
        <is>
          <t>下り</t>
        </is>
      </c>
      <c r="E8560" s="10" t="inlineStr">
        <is>
          <t>連0603</t>
        </is>
      </c>
      <c r="F8560" t="inlineStr">
        <is>
          <t>0102</t>
        </is>
      </c>
      <c r="G8560" s="10" t="inlineStr">
        <is>
          <t>天神川</t>
        </is>
      </c>
      <c r="H8560" s="10" t="inlineStr">
        <is>
          <t>発</t>
        </is>
      </c>
      <c r="J8560" s="10" t="inlineStr">
        <is>
          <t>営業</t>
        </is>
      </c>
      <c r="L8560" t="inlineStr">
        <is>
          <t>6:19:45</t>
        </is>
      </c>
      <c r="M8560" t="inlineStr">
        <is>
          <t>6:20:10</t>
        </is>
      </c>
      <c r="P8560" t="inlineStr">
        <is>
          <t>D系統(朝)</t>
        </is>
      </c>
    </row>
    <row r="8561" ht="16.5" customHeight="1" s="37">
      <c r="A8561" t="n">
        <v>3</v>
      </c>
      <c r="B8561" s="10" t="inlineStr">
        <is>
          <t>平日</t>
        </is>
      </c>
      <c r="C8561" s="10" t="inlineStr">
        <is>
          <t>本線</t>
        </is>
      </c>
      <c r="D8561" s="10" t="inlineStr">
        <is>
          <t>下り</t>
        </is>
      </c>
      <c r="E8561" s="10" t="inlineStr">
        <is>
          <t>連0603</t>
        </is>
      </c>
      <c r="F8561" t="inlineStr">
        <is>
          <t>0102</t>
        </is>
      </c>
      <c r="G8561" s="10" t="inlineStr">
        <is>
          <t>蚕ノ社</t>
        </is>
      </c>
      <c r="H8561" s="10" t="inlineStr">
        <is>
          <t>発</t>
        </is>
      </c>
      <c r="J8561" s="10" t="inlineStr">
        <is>
          <t>営業</t>
        </is>
      </c>
      <c r="L8561" t="inlineStr">
        <is>
          <t>6:21:00</t>
        </is>
      </c>
      <c r="M8561" t="inlineStr">
        <is>
          <t>6:21:15</t>
        </is>
      </c>
      <c r="P8561" t="inlineStr">
        <is>
          <t>D系統(朝)</t>
        </is>
      </c>
    </row>
    <row r="8562" ht="16.5" customHeight="1" s="37">
      <c r="A8562" t="n">
        <v>3</v>
      </c>
      <c r="B8562" s="10" t="inlineStr">
        <is>
          <t>平日</t>
        </is>
      </c>
      <c r="C8562" s="10" t="inlineStr">
        <is>
          <t>本線</t>
        </is>
      </c>
      <c r="D8562" s="10" t="inlineStr">
        <is>
          <t>下り</t>
        </is>
      </c>
      <c r="E8562" s="10" t="inlineStr">
        <is>
          <t>連0603</t>
        </is>
      </c>
      <c r="F8562" t="inlineStr">
        <is>
          <t>0102</t>
        </is>
      </c>
      <c r="G8562" s="10" t="inlineStr">
        <is>
          <t>太秦広隆寺</t>
        </is>
      </c>
      <c r="H8562" s="10" t="inlineStr">
        <is>
          <t>発</t>
        </is>
      </c>
      <c r="J8562" s="10" t="inlineStr">
        <is>
          <t>営業</t>
        </is>
      </c>
      <c r="L8562" t="inlineStr">
        <is>
          <t>6:22:35</t>
        </is>
      </c>
      <c r="M8562" t="inlineStr">
        <is>
          <t>6:22:50</t>
        </is>
      </c>
      <c r="P8562" t="inlineStr">
        <is>
          <t>D系統(朝)</t>
        </is>
      </c>
    </row>
    <row r="8563" ht="16.5" customHeight="1" s="37">
      <c r="A8563" t="n">
        <v>3</v>
      </c>
      <c r="B8563" s="10" t="inlineStr">
        <is>
          <t>平日</t>
        </is>
      </c>
      <c r="C8563" s="10" t="inlineStr">
        <is>
          <t>本線</t>
        </is>
      </c>
      <c r="D8563" s="10" t="inlineStr">
        <is>
          <t>下り</t>
        </is>
      </c>
      <c r="E8563" s="10" t="inlineStr">
        <is>
          <t>連0603</t>
        </is>
      </c>
      <c r="F8563" t="inlineStr">
        <is>
          <t>0102</t>
        </is>
      </c>
      <c r="G8563" s="10" t="inlineStr">
        <is>
          <t>帷子ノ辻</t>
        </is>
      </c>
      <c r="H8563" s="10" t="inlineStr">
        <is>
          <t>発</t>
        </is>
      </c>
      <c r="J8563" s="10" t="inlineStr">
        <is>
          <t>営業</t>
        </is>
      </c>
      <c r="L8563" t="inlineStr">
        <is>
          <t>6:24:50</t>
        </is>
      </c>
      <c r="M8563" t="inlineStr">
        <is>
          <t>6:25:20</t>
        </is>
      </c>
      <c r="N8563" t="inlineStr">
        <is>
          <t>○</t>
        </is>
      </c>
      <c r="P8563" t="inlineStr">
        <is>
          <t>D系統(朝)</t>
        </is>
      </c>
    </row>
    <row r="8564" ht="16.5" customHeight="1" s="37">
      <c r="A8564" t="n">
        <v>3</v>
      </c>
      <c r="B8564" s="10" t="inlineStr">
        <is>
          <t>平日</t>
        </is>
      </c>
      <c r="C8564" s="10" t="inlineStr">
        <is>
          <t>本線</t>
        </is>
      </c>
      <c r="D8564" s="10" t="inlineStr">
        <is>
          <t>下り</t>
        </is>
      </c>
      <c r="E8564" s="10" t="inlineStr">
        <is>
          <t>連0603</t>
        </is>
      </c>
      <c r="F8564" t="inlineStr">
        <is>
          <t>0102</t>
        </is>
      </c>
      <c r="G8564" s="10" t="inlineStr">
        <is>
          <t>有栖川</t>
        </is>
      </c>
      <c r="H8564" s="10" t="inlineStr">
        <is>
          <t>発</t>
        </is>
      </c>
      <c r="J8564" s="10" t="inlineStr">
        <is>
          <t>営業</t>
        </is>
      </c>
      <c r="L8564" t="inlineStr">
        <is>
          <t>6:26:30</t>
        </is>
      </c>
      <c r="M8564" t="inlineStr">
        <is>
          <t>6:26:45</t>
        </is>
      </c>
      <c r="P8564" t="inlineStr">
        <is>
          <t>D系統(朝)</t>
        </is>
      </c>
    </row>
    <row r="8565" ht="16.5" customHeight="1" s="37">
      <c r="A8565" t="n">
        <v>3</v>
      </c>
      <c r="B8565" s="10" t="inlineStr">
        <is>
          <t>平日</t>
        </is>
      </c>
      <c r="C8565" s="10" t="inlineStr">
        <is>
          <t>本線</t>
        </is>
      </c>
      <c r="D8565" s="10" t="inlineStr">
        <is>
          <t>下り</t>
        </is>
      </c>
      <c r="E8565" s="10" t="inlineStr">
        <is>
          <t>連0603</t>
        </is>
      </c>
      <c r="F8565" t="inlineStr">
        <is>
          <t>0102</t>
        </is>
      </c>
      <c r="G8565" s="10" t="inlineStr">
        <is>
          <t>車折</t>
        </is>
      </c>
      <c r="H8565" s="10" t="inlineStr">
        <is>
          <t>発</t>
        </is>
      </c>
      <c r="J8565" s="10" t="inlineStr">
        <is>
          <t>営業</t>
        </is>
      </c>
      <c r="L8565" t="inlineStr">
        <is>
          <t>6:28:10</t>
        </is>
      </c>
      <c r="M8565" t="inlineStr">
        <is>
          <t>6:28:25</t>
        </is>
      </c>
      <c r="P8565" t="inlineStr">
        <is>
          <t>D系統(朝)</t>
        </is>
      </c>
    </row>
    <row r="8566" ht="16.5" customHeight="1" s="37">
      <c r="A8566" t="n">
        <v>3</v>
      </c>
      <c r="B8566" s="10" t="inlineStr">
        <is>
          <t>平日</t>
        </is>
      </c>
      <c r="C8566" s="10" t="inlineStr">
        <is>
          <t>本線</t>
        </is>
      </c>
      <c r="D8566" s="10" t="inlineStr">
        <is>
          <t>下り</t>
        </is>
      </c>
      <c r="E8566" s="10" t="inlineStr">
        <is>
          <t>連0603</t>
        </is>
      </c>
      <c r="F8566" t="inlineStr">
        <is>
          <t>0102</t>
        </is>
      </c>
      <c r="G8566" s="10" t="inlineStr">
        <is>
          <t>鹿王院</t>
        </is>
      </c>
      <c r="H8566" s="10" t="inlineStr">
        <is>
          <t>発</t>
        </is>
      </c>
      <c r="J8566" s="10" t="inlineStr">
        <is>
          <t>営業</t>
        </is>
      </c>
      <c r="L8566" t="inlineStr">
        <is>
          <t>6:29:20</t>
        </is>
      </c>
      <c r="M8566" t="inlineStr">
        <is>
          <t>6:29:35</t>
        </is>
      </c>
      <c r="P8566" t="inlineStr">
        <is>
          <t>D系統(朝)</t>
        </is>
      </c>
    </row>
    <row r="8567" ht="16.5" customHeight="1" s="37">
      <c r="A8567" t="n">
        <v>3</v>
      </c>
      <c r="B8567" s="10" t="inlineStr">
        <is>
          <t>平日</t>
        </is>
      </c>
      <c r="C8567" s="10" t="inlineStr">
        <is>
          <t>本線</t>
        </is>
      </c>
      <c r="D8567" s="10" t="inlineStr">
        <is>
          <t>下り</t>
        </is>
      </c>
      <c r="E8567" s="10" t="inlineStr">
        <is>
          <t>連0603</t>
        </is>
      </c>
      <c r="F8567" t="inlineStr">
        <is>
          <t>0102</t>
        </is>
      </c>
      <c r="G8567" s="10" t="inlineStr">
        <is>
          <t>嵯峨</t>
        </is>
      </c>
      <c r="H8567" s="10" t="inlineStr">
        <is>
          <t>発</t>
        </is>
      </c>
      <c r="J8567" s="10" t="inlineStr">
        <is>
          <t>営業</t>
        </is>
      </c>
      <c r="L8567" t="inlineStr">
        <is>
          <t>6:30:40</t>
        </is>
      </c>
      <c r="M8567" t="inlineStr">
        <is>
          <t>6:30:55</t>
        </is>
      </c>
      <c r="P8567" t="inlineStr">
        <is>
          <t>D系統(朝)</t>
        </is>
      </c>
    </row>
    <row r="8568" ht="16.5" customHeight="1" s="37">
      <c r="A8568" t="n">
        <v>3</v>
      </c>
      <c r="B8568" s="10" t="inlineStr">
        <is>
          <t>平日</t>
        </is>
      </c>
      <c r="C8568" s="10" t="inlineStr">
        <is>
          <t>本線</t>
        </is>
      </c>
      <c r="D8568" s="10" t="inlineStr">
        <is>
          <t>下り</t>
        </is>
      </c>
      <c r="E8568" s="10" t="inlineStr">
        <is>
          <t>連0603</t>
        </is>
      </c>
      <c r="F8568" t="inlineStr">
        <is>
          <t>0102</t>
        </is>
      </c>
      <c r="G8568" s="10" t="inlineStr">
        <is>
          <t>嵐山</t>
        </is>
      </c>
      <c r="H8568" s="10" t="inlineStr">
        <is>
          <t>着</t>
        </is>
      </c>
      <c r="J8568" s="10" t="inlineStr">
        <is>
          <t>営業</t>
        </is>
      </c>
      <c r="L8568" t="inlineStr">
        <is>
          <t>6:32:00</t>
        </is>
      </c>
      <c r="N8568" t="inlineStr">
        <is>
          <t>○</t>
        </is>
      </c>
      <c r="P8568" t="inlineStr">
        <is>
          <t>D系統(朝)</t>
        </is>
      </c>
      <c r="Q8568" t="inlineStr">
        <is>
          <t>1</t>
        </is>
      </c>
    </row>
    <row r="8569" ht="16.5" customHeight="1" s="37">
      <c r="A8569" t="n">
        <v>3</v>
      </c>
      <c r="B8569" s="10" t="inlineStr">
        <is>
          <t>平日</t>
        </is>
      </c>
      <c r="C8569" s="10" t="inlineStr">
        <is>
          <t>本線</t>
        </is>
      </c>
      <c r="D8569" s="10" t="inlineStr">
        <is>
          <t>上り</t>
        </is>
      </c>
      <c r="E8569" s="10" t="inlineStr">
        <is>
          <t>連0606</t>
        </is>
      </c>
      <c r="F8569" t="inlineStr">
        <is>
          <t>2221</t>
        </is>
      </c>
      <c r="G8569" s="10" t="inlineStr">
        <is>
          <t>嵐山</t>
        </is>
      </c>
      <c r="H8569" s="10" t="inlineStr">
        <is>
          <t>発</t>
        </is>
      </c>
      <c r="J8569" s="10" t="inlineStr">
        <is>
          <t>営業</t>
        </is>
      </c>
      <c r="M8569" t="inlineStr">
        <is>
          <t>6:41:00</t>
        </is>
      </c>
      <c r="P8569" t="inlineStr">
        <is>
          <t>D系統(朝)</t>
        </is>
      </c>
      <c r="Q8569" t="inlineStr">
        <is>
          <t>1</t>
        </is>
      </c>
    </row>
    <row r="8570" ht="16.5" customHeight="1" s="37">
      <c r="A8570" t="n">
        <v>3</v>
      </c>
      <c r="B8570" s="10" t="inlineStr">
        <is>
          <t>平日</t>
        </is>
      </c>
      <c r="C8570" s="10" t="inlineStr">
        <is>
          <t>本線</t>
        </is>
      </c>
      <c r="D8570" s="10" t="inlineStr">
        <is>
          <t>上り</t>
        </is>
      </c>
      <c r="E8570" s="10" t="inlineStr">
        <is>
          <t>連0606</t>
        </is>
      </c>
      <c r="F8570" t="inlineStr">
        <is>
          <t>2221</t>
        </is>
      </c>
      <c r="G8570" s="10" t="inlineStr">
        <is>
          <t>嵯峨</t>
        </is>
      </c>
      <c r="H8570" s="10" t="inlineStr">
        <is>
          <t>発</t>
        </is>
      </c>
      <c r="J8570" s="10" t="inlineStr">
        <is>
          <t>営業</t>
        </is>
      </c>
      <c r="L8570" t="inlineStr">
        <is>
          <t>6:41:55</t>
        </is>
      </c>
      <c r="M8570" t="inlineStr">
        <is>
          <t>6:42:20</t>
        </is>
      </c>
      <c r="P8570" t="inlineStr">
        <is>
          <t>D系統(朝)</t>
        </is>
      </c>
    </row>
    <row r="8571" ht="16.5" customHeight="1" s="37">
      <c r="A8571" t="n">
        <v>3</v>
      </c>
      <c r="B8571" s="10" t="inlineStr">
        <is>
          <t>平日</t>
        </is>
      </c>
      <c r="C8571" s="10" t="inlineStr">
        <is>
          <t>本線</t>
        </is>
      </c>
      <c r="D8571" s="10" t="inlineStr">
        <is>
          <t>上り</t>
        </is>
      </c>
      <c r="E8571" s="10" t="inlineStr">
        <is>
          <t>連0606</t>
        </is>
      </c>
      <c r="F8571" t="inlineStr">
        <is>
          <t>2221</t>
        </is>
      </c>
      <c r="G8571" s="10" t="inlineStr">
        <is>
          <t>鹿王院</t>
        </is>
      </c>
      <c r="H8571" s="10" t="inlineStr">
        <is>
          <t>発</t>
        </is>
      </c>
      <c r="J8571" s="10" t="inlineStr">
        <is>
          <t>営業</t>
        </is>
      </c>
      <c r="L8571" t="inlineStr">
        <is>
          <t>6:43:25</t>
        </is>
      </c>
      <c r="M8571" t="inlineStr">
        <is>
          <t>6:43:45</t>
        </is>
      </c>
      <c r="P8571" t="inlineStr">
        <is>
          <t>D系統(朝)</t>
        </is>
      </c>
    </row>
    <row r="8572" ht="16.5" customHeight="1" s="37">
      <c r="A8572" t="n">
        <v>3</v>
      </c>
      <c r="B8572" s="10" t="inlineStr">
        <is>
          <t>平日</t>
        </is>
      </c>
      <c r="C8572" s="10" t="inlineStr">
        <is>
          <t>本線</t>
        </is>
      </c>
      <c r="D8572" s="10" t="inlineStr">
        <is>
          <t>上り</t>
        </is>
      </c>
      <c r="E8572" s="10" t="inlineStr">
        <is>
          <t>連0606</t>
        </is>
      </c>
      <c r="F8572" t="inlineStr">
        <is>
          <t>2221</t>
        </is>
      </c>
      <c r="G8572" s="10" t="inlineStr">
        <is>
          <t>車折</t>
        </is>
      </c>
      <c r="H8572" s="10" t="inlineStr">
        <is>
          <t>発</t>
        </is>
      </c>
      <c r="J8572" s="10" t="inlineStr">
        <is>
          <t>営業</t>
        </is>
      </c>
      <c r="L8572" t="inlineStr">
        <is>
          <t>6:44:40</t>
        </is>
      </c>
      <c r="M8572" t="inlineStr">
        <is>
          <t>6:45:10</t>
        </is>
      </c>
      <c r="P8572" t="inlineStr">
        <is>
          <t>D系統(朝)</t>
        </is>
      </c>
    </row>
    <row r="8573" ht="16.5" customHeight="1" s="37">
      <c r="A8573" t="n">
        <v>3</v>
      </c>
      <c r="B8573" s="10" t="inlineStr">
        <is>
          <t>平日</t>
        </is>
      </c>
      <c r="C8573" s="10" t="inlineStr">
        <is>
          <t>本線</t>
        </is>
      </c>
      <c r="D8573" s="10" t="inlineStr">
        <is>
          <t>上り</t>
        </is>
      </c>
      <c r="E8573" s="10" t="inlineStr">
        <is>
          <t>連0606</t>
        </is>
      </c>
      <c r="F8573" t="inlineStr">
        <is>
          <t>2221</t>
        </is>
      </c>
      <c r="G8573" s="10" t="inlineStr">
        <is>
          <t>有栖川</t>
        </is>
      </c>
      <c r="H8573" s="10" t="inlineStr">
        <is>
          <t>発</t>
        </is>
      </c>
      <c r="J8573" s="10" t="inlineStr">
        <is>
          <t>営業</t>
        </is>
      </c>
      <c r="L8573" t="inlineStr">
        <is>
          <t>6:46:35</t>
        </is>
      </c>
      <c r="M8573" t="inlineStr">
        <is>
          <t>6:46:55</t>
        </is>
      </c>
      <c r="P8573" t="inlineStr">
        <is>
          <t>D系統(朝)</t>
        </is>
      </c>
    </row>
    <row r="8574" ht="16.5" customHeight="1" s="37">
      <c r="A8574" t="n">
        <v>3</v>
      </c>
      <c r="B8574" s="10" t="inlineStr">
        <is>
          <t>平日</t>
        </is>
      </c>
      <c r="C8574" s="10" t="inlineStr">
        <is>
          <t>本線</t>
        </is>
      </c>
      <c r="D8574" s="10" t="inlineStr">
        <is>
          <t>上り</t>
        </is>
      </c>
      <c r="E8574" s="10" t="inlineStr">
        <is>
          <t>連0606</t>
        </is>
      </c>
      <c r="F8574" t="inlineStr">
        <is>
          <t>2221</t>
        </is>
      </c>
      <c r="G8574" s="10" t="inlineStr">
        <is>
          <t>帷子ノ辻</t>
        </is>
      </c>
      <c r="H8574" s="10" t="inlineStr">
        <is>
          <t>発</t>
        </is>
      </c>
      <c r="J8574" s="10" t="inlineStr">
        <is>
          <t>営業</t>
        </is>
      </c>
      <c r="L8574" t="inlineStr">
        <is>
          <t>6:48:10</t>
        </is>
      </c>
      <c r="M8574" t="inlineStr">
        <is>
          <t>6:49:15</t>
        </is>
      </c>
      <c r="P8574" t="inlineStr">
        <is>
          <t>D系統(朝)</t>
        </is>
      </c>
    </row>
    <row r="8575" ht="16.5" customHeight="1" s="37">
      <c r="A8575" t="n">
        <v>3</v>
      </c>
      <c r="B8575" s="10" t="inlineStr">
        <is>
          <t>平日</t>
        </is>
      </c>
      <c r="C8575" s="10" t="inlineStr">
        <is>
          <t>本線</t>
        </is>
      </c>
      <c r="D8575" s="10" t="inlineStr">
        <is>
          <t>上り</t>
        </is>
      </c>
      <c r="E8575" s="10" t="inlineStr">
        <is>
          <t>連0606</t>
        </is>
      </c>
      <c r="F8575" t="inlineStr">
        <is>
          <t>2221</t>
        </is>
      </c>
      <c r="G8575" s="10" t="inlineStr">
        <is>
          <t>太秦広隆寺</t>
        </is>
      </c>
      <c r="H8575" s="10" t="inlineStr">
        <is>
          <t>発</t>
        </is>
      </c>
      <c r="J8575" s="10" t="inlineStr">
        <is>
          <t>営業</t>
        </is>
      </c>
      <c r="L8575" t="inlineStr">
        <is>
          <t>6:51:25</t>
        </is>
      </c>
      <c r="M8575" t="inlineStr">
        <is>
          <t>6:51:45</t>
        </is>
      </c>
      <c r="P8575" t="inlineStr">
        <is>
          <t>D系統(朝)</t>
        </is>
      </c>
    </row>
    <row r="8576" ht="16.5" customHeight="1" s="37">
      <c r="A8576" t="n">
        <v>3</v>
      </c>
      <c r="B8576" s="10" t="inlineStr">
        <is>
          <t>平日</t>
        </is>
      </c>
      <c r="C8576" s="10" t="inlineStr">
        <is>
          <t>本線</t>
        </is>
      </c>
      <c r="D8576" s="10" t="inlineStr">
        <is>
          <t>上り</t>
        </is>
      </c>
      <c r="E8576" s="10" t="inlineStr">
        <is>
          <t>連0606</t>
        </is>
      </c>
      <c r="F8576" t="inlineStr">
        <is>
          <t>2221</t>
        </is>
      </c>
      <c r="G8576" s="10" t="inlineStr">
        <is>
          <t>蚕ノ社</t>
        </is>
      </c>
      <c r="H8576" s="10" t="inlineStr">
        <is>
          <t>発</t>
        </is>
      </c>
      <c r="J8576" s="10" t="inlineStr">
        <is>
          <t>営業</t>
        </is>
      </c>
      <c r="L8576" t="inlineStr">
        <is>
          <t>6:53:00</t>
        </is>
      </c>
      <c r="M8576" t="inlineStr">
        <is>
          <t>6:53:20</t>
        </is>
      </c>
      <c r="P8576" t="inlineStr">
        <is>
          <t>D系統(朝)</t>
        </is>
      </c>
    </row>
    <row r="8577" ht="16.5" customHeight="1" s="37">
      <c r="A8577" t="n">
        <v>3</v>
      </c>
      <c r="B8577" s="10" t="inlineStr">
        <is>
          <t>平日</t>
        </is>
      </c>
      <c r="C8577" s="10" t="inlineStr">
        <is>
          <t>本線</t>
        </is>
      </c>
      <c r="D8577" s="10" t="inlineStr">
        <is>
          <t>上り</t>
        </is>
      </c>
      <c r="E8577" s="10" t="inlineStr">
        <is>
          <t>連0606</t>
        </is>
      </c>
      <c r="F8577" t="inlineStr">
        <is>
          <t>2221</t>
        </is>
      </c>
      <c r="G8577" s="10" t="inlineStr">
        <is>
          <t>天神川</t>
        </is>
      </c>
      <c r="H8577" s="10" t="inlineStr">
        <is>
          <t>発</t>
        </is>
      </c>
      <c r="J8577" s="10" t="inlineStr">
        <is>
          <t>営業</t>
        </is>
      </c>
      <c r="L8577" t="inlineStr">
        <is>
          <t>6:54:05</t>
        </is>
      </c>
      <c r="M8577" t="inlineStr">
        <is>
          <t>6:54:50</t>
        </is>
      </c>
      <c r="P8577" t="inlineStr">
        <is>
          <t>D系統(朝)</t>
        </is>
      </c>
    </row>
    <row r="8578" ht="16.5" customHeight="1" s="37">
      <c r="A8578" t="n">
        <v>3</v>
      </c>
      <c r="B8578" s="10" t="inlineStr">
        <is>
          <t>平日</t>
        </is>
      </c>
      <c r="C8578" s="10" t="inlineStr">
        <is>
          <t>本線</t>
        </is>
      </c>
      <c r="D8578" s="10" t="inlineStr">
        <is>
          <t>上り</t>
        </is>
      </c>
      <c r="E8578" s="10" t="inlineStr">
        <is>
          <t>連0606</t>
        </is>
      </c>
      <c r="F8578" t="inlineStr">
        <is>
          <t>2221</t>
        </is>
      </c>
      <c r="G8578" s="10" t="inlineStr">
        <is>
          <t>山ノ内</t>
        </is>
      </c>
      <c r="H8578" s="10" t="inlineStr">
        <is>
          <t>発</t>
        </is>
      </c>
      <c r="J8578" s="10" t="inlineStr">
        <is>
          <t>営業</t>
        </is>
      </c>
      <c r="L8578" t="inlineStr">
        <is>
          <t>6:56:40</t>
        </is>
      </c>
      <c r="M8578" t="inlineStr">
        <is>
          <t>6:57:05</t>
        </is>
      </c>
      <c r="P8578" t="inlineStr">
        <is>
          <t>D系統(朝)</t>
        </is>
      </c>
    </row>
    <row r="8579" ht="16.5" customHeight="1" s="37">
      <c r="A8579" t="n">
        <v>3</v>
      </c>
      <c r="B8579" s="10" t="inlineStr">
        <is>
          <t>平日</t>
        </is>
      </c>
      <c r="C8579" s="10" t="inlineStr">
        <is>
          <t>本線</t>
        </is>
      </c>
      <c r="D8579" s="10" t="inlineStr">
        <is>
          <t>上り</t>
        </is>
      </c>
      <c r="E8579" s="10" t="inlineStr">
        <is>
          <t>連0606</t>
        </is>
      </c>
      <c r="F8579" t="inlineStr">
        <is>
          <t>2221</t>
        </is>
      </c>
      <c r="G8579" s="10" t="inlineStr">
        <is>
          <t>西大路三条</t>
        </is>
      </c>
      <c r="H8579" s="10" t="inlineStr">
        <is>
          <t>発</t>
        </is>
      </c>
      <c r="J8579" s="10" t="inlineStr">
        <is>
          <t>営業</t>
        </is>
      </c>
      <c r="L8579" t="inlineStr">
        <is>
          <t>6:58:55</t>
        </is>
      </c>
      <c r="M8579" t="inlineStr">
        <is>
          <t>6:59:15</t>
        </is>
      </c>
      <c r="P8579" t="inlineStr">
        <is>
          <t>D系統(朝)</t>
        </is>
      </c>
    </row>
    <row r="8580" ht="16.5" customHeight="1" s="37">
      <c r="A8580" t="n">
        <v>3</v>
      </c>
      <c r="B8580" s="10" t="inlineStr">
        <is>
          <t>平日</t>
        </is>
      </c>
      <c r="C8580" s="10" t="inlineStr">
        <is>
          <t>本線</t>
        </is>
      </c>
      <c r="D8580" s="10" t="inlineStr">
        <is>
          <t>上り</t>
        </is>
      </c>
      <c r="E8580" s="10" t="inlineStr">
        <is>
          <t>連0606</t>
        </is>
      </c>
      <c r="F8580" t="inlineStr">
        <is>
          <t>2221</t>
        </is>
      </c>
      <c r="G8580" s="10" t="inlineStr">
        <is>
          <t>西院</t>
        </is>
      </c>
      <c r="H8580" s="10" t="inlineStr">
        <is>
          <t>発</t>
        </is>
      </c>
      <c r="J8580" s="10" t="inlineStr">
        <is>
          <t>営業</t>
        </is>
      </c>
      <c r="L8580" t="inlineStr">
        <is>
          <t>7:01:10</t>
        </is>
      </c>
      <c r="M8580" t="inlineStr">
        <is>
          <t>7:02:05</t>
        </is>
      </c>
      <c r="P8580" t="inlineStr">
        <is>
          <t>D系統(朝)</t>
        </is>
      </c>
    </row>
    <row r="8581" ht="16.5" customHeight="1" s="37">
      <c r="A8581" t="n">
        <v>3</v>
      </c>
      <c r="B8581" s="10" t="inlineStr">
        <is>
          <t>平日</t>
        </is>
      </c>
      <c r="C8581" s="10" t="inlineStr">
        <is>
          <t>本線</t>
        </is>
      </c>
      <c r="D8581" s="10" t="inlineStr">
        <is>
          <t>上り</t>
        </is>
      </c>
      <c r="E8581" s="10" t="inlineStr">
        <is>
          <t>連0606</t>
        </is>
      </c>
      <c r="F8581" t="inlineStr">
        <is>
          <t>2221</t>
        </is>
      </c>
      <c r="G8581" s="10" t="inlineStr">
        <is>
          <t>四条大宮</t>
        </is>
      </c>
      <c r="H8581" s="10" t="inlineStr">
        <is>
          <t>着</t>
        </is>
      </c>
      <c r="J8581" s="10" t="inlineStr">
        <is>
          <t>営業</t>
        </is>
      </c>
      <c r="L8581" t="inlineStr">
        <is>
          <t>7:05:00</t>
        </is>
      </c>
      <c r="P8581" t="inlineStr">
        <is>
          <t>D系統(朝)</t>
        </is>
      </c>
      <c r="Q8581" t="inlineStr">
        <is>
          <t>2</t>
        </is>
      </c>
    </row>
    <row r="8582" ht="16.5" customHeight="1" s="37">
      <c r="A8582" t="n">
        <v>3</v>
      </c>
      <c r="B8582" s="10" t="inlineStr">
        <is>
          <t>平日</t>
        </is>
      </c>
      <c r="C8582" s="10" t="inlineStr">
        <is>
          <t>本線</t>
        </is>
      </c>
      <c r="D8582" s="10" t="inlineStr">
        <is>
          <t>下り</t>
        </is>
      </c>
      <c r="E8582" s="10" t="inlineStr">
        <is>
          <t>連0705</t>
        </is>
      </c>
      <c r="F8582" t="inlineStr">
        <is>
          <t>0122</t>
        </is>
      </c>
      <c r="G8582" s="10" t="inlineStr">
        <is>
          <t>四条大宮</t>
        </is>
      </c>
      <c r="H8582" s="10" t="inlineStr">
        <is>
          <t>発</t>
        </is>
      </c>
      <c r="J8582" s="10" t="inlineStr">
        <is>
          <t>営業</t>
        </is>
      </c>
      <c r="M8582" t="inlineStr">
        <is>
          <t>7:16:00</t>
        </is>
      </c>
      <c r="P8582" t="inlineStr">
        <is>
          <t>D系統(朝)</t>
        </is>
      </c>
      <c r="Q8582" t="inlineStr">
        <is>
          <t>2</t>
        </is>
      </c>
    </row>
    <row r="8583" ht="16.5" customHeight="1" s="37">
      <c r="A8583" t="n">
        <v>3</v>
      </c>
      <c r="B8583" s="10" t="inlineStr">
        <is>
          <t>平日</t>
        </is>
      </c>
      <c r="C8583" s="10" t="inlineStr">
        <is>
          <t>本線</t>
        </is>
      </c>
      <c r="D8583" s="10" t="inlineStr">
        <is>
          <t>下り</t>
        </is>
      </c>
      <c r="E8583" s="10" t="inlineStr">
        <is>
          <t>連0705</t>
        </is>
      </c>
      <c r="F8583" t="inlineStr">
        <is>
          <t>0122</t>
        </is>
      </c>
      <c r="G8583" s="10" t="inlineStr">
        <is>
          <t>西院</t>
        </is>
      </c>
      <c r="H8583" s="10" t="inlineStr">
        <is>
          <t>発</t>
        </is>
      </c>
      <c r="J8583" s="10" t="inlineStr">
        <is>
          <t>営業</t>
        </is>
      </c>
      <c r="L8583" t="inlineStr">
        <is>
          <t>7:18:50</t>
        </is>
      </c>
      <c r="M8583" t="inlineStr">
        <is>
          <t>7:19:20</t>
        </is>
      </c>
      <c r="P8583" t="inlineStr">
        <is>
          <t>D系統(朝)</t>
        </is>
      </c>
    </row>
    <row r="8584" ht="16.5" customHeight="1" s="37">
      <c r="A8584" t="n">
        <v>3</v>
      </c>
      <c r="B8584" s="10" t="inlineStr">
        <is>
          <t>平日</t>
        </is>
      </c>
      <c r="C8584" s="10" t="inlineStr">
        <is>
          <t>本線</t>
        </is>
      </c>
      <c r="D8584" s="10" t="inlineStr">
        <is>
          <t>下り</t>
        </is>
      </c>
      <c r="E8584" s="10" t="inlineStr">
        <is>
          <t>連0705</t>
        </is>
      </c>
      <c r="F8584" t="inlineStr">
        <is>
          <t>0122</t>
        </is>
      </c>
      <c r="G8584" s="10" t="inlineStr">
        <is>
          <t>西大路三条</t>
        </is>
      </c>
      <c r="H8584" s="10" t="inlineStr">
        <is>
          <t>発</t>
        </is>
      </c>
      <c r="J8584" s="10" t="inlineStr">
        <is>
          <t>営業</t>
        </is>
      </c>
      <c r="L8584" t="inlineStr">
        <is>
          <t>7:21:10</t>
        </is>
      </c>
      <c r="M8584" t="inlineStr">
        <is>
          <t>7:21:30</t>
        </is>
      </c>
      <c r="P8584" t="inlineStr">
        <is>
          <t>D系統(朝)</t>
        </is>
      </c>
    </row>
    <row r="8585" ht="16.5" customHeight="1" s="37">
      <c r="A8585" t="n">
        <v>3</v>
      </c>
      <c r="B8585" s="10" t="inlineStr">
        <is>
          <t>平日</t>
        </is>
      </c>
      <c r="C8585" s="10" t="inlineStr">
        <is>
          <t>本線</t>
        </is>
      </c>
      <c r="D8585" s="10" t="inlineStr">
        <is>
          <t>下り</t>
        </is>
      </c>
      <c r="E8585" s="10" t="inlineStr">
        <is>
          <t>連0705</t>
        </is>
      </c>
      <c r="F8585" t="inlineStr">
        <is>
          <t>0122</t>
        </is>
      </c>
      <c r="G8585" s="10" t="inlineStr">
        <is>
          <t>山ノ内</t>
        </is>
      </c>
      <c r="H8585" s="10" t="inlineStr">
        <is>
          <t>発</t>
        </is>
      </c>
      <c r="J8585" s="10" t="inlineStr">
        <is>
          <t>営業</t>
        </is>
      </c>
      <c r="L8585" t="inlineStr">
        <is>
          <t>7:23:25</t>
        </is>
      </c>
      <c r="M8585" t="inlineStr">
        <is>
          <t>7:23:50</t>
        </is>
      </c>
      <c r="P8585" t="inlineStr">
        <is>
          <t>D系統(朝)</t>
        </is>
      </c>
    </row>
    <row r="8586" ht="16.5" customHeight="1" s="37">
      <c r="A8586" t="n">
        <v>3</v>
      </c>
      <c r="B8586" s="10" t="inlineStr">
        <is>
          <t>平日</t>
        </is>
      </c>
      <c r="C8586" s="10" t="inlineStr">
        <is>
          <t>本線</t>
        </is>
      </c>
      <c r="D8586" s="10" t="inlineStr">
        <is>
          <t>下り</t>
        </is>
      </c>
      <c r="E8586" s="10" t="inlineStr">
        <is>
          <t>連0705</t>
        </is>
      </c>
      <c r="F8586" t="inlineStr">
        <is>
          <t>0122</t>
        </is>
      </c>
      <c r="G8586" s="10" t="inlineStr">
        <is>
          <t>天神川</t>
        </is>
      </c>
      <c r="H8586" s="10" t="inlineStr">
        <is>
          <t>発</t>
        </is>
      </c>
      <c r="J8586" s="10" t="inlineStr">
        <is>
          <t>営業</t>
        </is>
      </c>
      <c r="L8586" t="inlineStr">
        <is>
          <t>7:25:50</t>
        </is>
      </c>
      <c r="M8586" t="inlineStr">
        <is>
          <t>7:26:30</t>
        </is>
      </c>
      <c r="P8586" t="inlineStr">
        <is>
          <t>D系統(朝)</t>
        </is>
      </c>
    </row>
    <row r="8587" ht="16.5" customHeight="1" s="37">
      <c r="A8587" t="n">
        <v>3</v>
      </c>
      <c r="B8587" s="10" t="inlineStr">
        <is>
          <t>平日</t>
        </is>
      </c>
      <c r="C8587" s="10" t="inlineStr">
        <is>
          <t>本線</t>
        </is>
      </c>
      <c r="D8587" s="10" t="inlineStr">
        <is>
          <t>下り</t>
        </is>
      </c>
      <c r="E8587" s="10" t="inlineStr">
        <is>
          <t>連0705</t>
        </is>
      </c>
      <c r="F8587" t="inlineStr">
        <is>
          <t>0122</t>
        </is>
      </c>
      <c r="G8587" s="10" t="inlineStr">
        <is>
          <t>蚕ノ社</t>
        </is>
      </c>
      <c r="H8587" s="10" t="inlineStr">
        <is>
          <t>発</t>
        </is>
      </c>
      <c r="J8587" s="10" t="inlineStr">
        <is>
          <t>営業</t>
        </is>
      </c>
      <c r="L8587" t="inlineStr">
        <is>
          <t>7:27:20</t>
        </is>
      </c>
      <c r="M8587" t="inlineStr">
        <is>
          <t>7:27:40</t>
        </is>
      </c>
      <c r="P8587" t="inlineStr">
        <is>
          <t>D系統(朝)</t>
        </is>
      </c>
    </row>
    <row r="8588" ht="16.5" customHeight="1" s="37">
      <c r="A8588" t="n">
        <v>3</v>
      </c>
      <c r="B8588" s="10" t="inlineStr">
        <is>
          <t>平日</t>
        </is>
      </c>
      <c r="C8588" s="10" t="inlineStr">
        <is>
          <t>本線</t>
        </is>
      </c>
      <c r="D8588" s="10" t="inlineStr">
        <is>
          <t>下り</t>
        </is>
      </c>
      <c r="E8588" s="10" t="inlineStr">
        <is>
          <t>連0705</t>
        </is>
      </c>
      <c r="F8588" t="inlineStr">
        <is>
          <t>0122</t>
        </is>
      </c>
      <c r="G8588" s="10" t="inlineStr">
        <is>
          <t>太秦広隆寺</t>
        </is>
      </c>
      <c r="H8588" s="10" t="inlineStr">
        <is>
          <t>発</t>
        </is>
      </c>
      <c r="J8588" s="10" t="inlineStr">
        <is>
          <t>営業</t>
        </is>
      </c>
      <c r="L8588" t="inlineStr">
        <is>
          <t>7:29:00</t>
        </is>
      </c>
      <c r="M8588" t="inlineStr">
        <is>
          <t>7:29:20</t>
        </is>
      </c>
      <c r="P8588" t="inlineStr">
        <is>
          <t>D系統(朝)</t>
        </is>
      </c>
    </row>
    <row r="8589" ht="16.5" customHeight="1" s="37">
      <c r="A8589" t="n">
        <v>3</v>
      </c>
      <c r="B8589" s="10" t="inlineStr">
        <is>
          <t>平日</t>
        </is>
      </c>
      <c r="C8589" s="10" t="inlineStr">
        <is>
          <t>本線</t>
        </is>
      </c>
      <c r="D8589" s="10" t="inlineStr">
        <is>
          <t>下り</t>
        </is>
      </c>
      <c r="E8589" s="10" t="inlineStr">
        <is>
          <t>連0705</t>
        </is>
      </c>
      <c r="F8589" t="inlineStr">
        <is>
          <t>0122</t>
        </is>
      </c>
      <c r="G8589" s="10" t="inlineStr">
        <is>
          <t>帷子ノ辻</t>
        </is>
      </c>
      <c r="H8589" s="10" t="inlineStr">
        <is>
          <t>発</t>
        </is>
      </c>
      <c r="J8589" s="10" t="inlineStr">
        <is>
          <t>営業</t>
        </is>
      </c>
      <c r="L8589" t="inlineStr">
        <is>
          <t>7:31:20</t>
        </is>
      </c>
      <c r="M8589" t="inlineStr">
        <is>
          <t>7:32:40</t>
        </is>
      </c>
      <c r="P8589" t="inlineStr">
        <is>
          <t>D系統(朝)</t>
        </is>
      </c>
    </row>
    <row r="8590" ht="16.5" customHeight="1" s="37">
      <c r="A8590" t="n">
        <v>3</v>
      </c>
      <c r="B8590" s="10" t="inlineStr">
        <is>
          <t>平日</t>
        </is>
      </c>
      <c r="C8590" s="10" t="inlineStr">
        <is>
          <t>本線</t>
        </is>
      </c>
      <c r="D8590" s="10" t="inlineStr">
        <is>
          <t>下り</t>
        </is>
      </c>
      <c r="E8590" s="10" t="inlineStr">
        <is>
          <t>連0705</t>
        </is>
      </c>
      <c r="F8590" t="inlineStr">
        <is>
          <t>0122</t>
        </is>
      </c>
      <c r="G8590" s="10" t="inlineStr">
        <is>
          <t>有栖川</t>
        </is>
      </c>
      <c r="H8590" s="10" t="inlineStr">
        <is>
          <t>発</t>
        </is>
      </c>
      <c r="J8590" s="10" t="inlineStr">
        <is>
          <t>営業</t>
        </is>
      </c>
      <c r="L8590" t="inlineStr">
        <is>
          <t>7:33:50</t>
        </is>
      </c>
      <c r="M8590" t="inlineStr">
        <is>
          <t>7:34:15</t>
        </is>
      </c>
      <c r="P8590" t="inlineStr">
        <is>
          <t>D系統(朝)</t>
        </is>
      </c>
    </row>
    <row r="8591" ht="16.5" customHeight="1" s="37">
      <c r="A8591" t="n">
        <v>3</v>
      </c>
      <c r="B8591" s="10" t="inlineStr">
        <is>
          <t>平日</t>
        </is>
      </c>
      <c r="C8591" s="10" t="inlineStr">
        <is>
          <t>本線</t>
        </is>
      </c>
      <c r="D8591" s="10" t="inlineStr">
        <is>
          <t>下り</t>
        </is>
      </c>
      <c r="E8591" s="10" t="inlineStr">
        <is>
          <t>連0705</t>
        </is>
      </c>
      <c r="F8591" t="inlineStr">
        <is>
          <t>0122</t>
        </is>
      </c>
      <c r="G8591" s="10" t="inlineStr">
        <is>
          <t>車折</t>
        </is>
      </c>
      <c r="H8591" s="10" t="inlineStr">
        <is>
          <t>発</t>
        </is>
      </c>
      <c r="J8591" s="10" t="inlineStr">
        <is>
          <t>営業</t>
        </is>
      </c>
      <c r="L8591" t="inlineStr">
        <is>
          <t>7:35:40</t>
        </is>
      </c>
      <c r="M8591" t="inlineStr">
        <is>
          <t>7:36:05</t>
        </is>
      </c>
      <c r="P8591" t="inlineStr">
        <is>
          <t>D系統(朝)</t>
        </is>
      </c>
    </row>
    <row r="8592" ht="16.5" customHeight="1" s="37">
      <c r="A8592" t="n">
        <v>3</v>
      </c>
      <c r="B8592" s="10" t="inlineStr">
        <is>
          <t>平日</t>
        </is>
      </c>
      <c r="C8592" s="10" t="inlineStr">
        <is>
          <t>本線</t>
        </is>
      </c>
      <c r="D8592" s="10" t="inlineStr">
        <is>
          <t>下り</t>
        </is>
      </c>
      <c r="E8592" s="10" t="inlineStr">
        <is>
          <t>連0705</t>
        </is>
      </c>
      <c r="F8592" t="inlineStr">
        <is>
          <t>0122</t>
        </is>
      </c>
      <c r="G8592" s="10" t="inlineStr">
        <is>
          <t>鹿王院</t>
        </is>
      </c>
      <c r="H8592" s="10" t="inlineStr">
        <is>
          <t>発</t>
        </is>
      </c>
      <c r="J8592" s="10" t="inlineStr">
        <is>
          <t>営業</t>
        </is>
      </c>
      <c r="L8592" t="inlineStr">
        <is>
          <t>7:37:00</t>
        </is>
      </c>
      <c r="M8592" t="inlineStr">
        <is>
          <t>7:37:25</t>
        </is>
      </c>
      <c r="P8592" t="inlineStr">
        <is>
          <t>D系統(朝)</t>
        </is>
      </c>
    </row>
    <row r="8593" ht="16.5" customHeight="1" s="37">
      <c r="A8593" t="n">
        <v>3</v>
      </c>
      <c r="B8593" s="10" t="inlineStr">
        <is>
          <t>平日</t>
        </is>
      </c>
      <c r="C8593" s="10" t="inlineStr">
        <is>
          <t>本線</t>
        </is>
      </c>
      <c r="D8593" s="10" t="inlineStr">
        <is>
          <t>下り</t>
        </is>
      </c>
      <c r="E8593" s="10" t="inlineStr">
        <is>
          <t>連0705</t>
        </is>
      </c>
      <c r="F8593" t="inlineStr">
        <is>
          <t>0122</t>
        </is>
      </c>
      <c r="G8593" s="10" t="inlineStr">
        <is>
          <t>嵯峨</t>
        </is>
      </c>
      <c r="H8593" s="10" t="inlineStr">
        <is>
          <t>発</t>
        </is>
      </c>
      <c r="J8593" s="10" t="inlineStr">
        <is>
          <t>営業</t>
        </is>
      </c>
      <c r="L8593" t="inlineStr">
        <is>
          <t>7:38:30</t>
        </is>
      </c>
      <c r="M8593" t="inlineStr">
        <is>
          <t>7:38:55</t>
        </is>
      </c>
      <c r="P8593" t="inlineStr">
        <is>
          <t>D系統(朝)</t>
        </is>
      </c>
    </row>
    <row r="8594" ht="16.5" customHeight="1" s="37">
      <c r="A8594" t="n">
        <v>3</v>
      </c>
      <c r="B8594" s="10" t="inlineStr">
        <is>
          <t>平日</t>
        </is>
      </c>
      <c r="C8594" s="10" t="inlineStr">
        <is>
          <t>本線</t>
        </is>
      </c>
      <c r="D8594" s="10" t="inlineStr">
        <is>
          <t>下り</t>
        </is>
      </c>
      <c r="E8594" s="10" t="inlineStr">
        <is>
          <t>連0705</t>
        </is>
      </c>
      <c r="F8594" t="inlineStr">
        <is>
          <t>0122</t>
        </is>
      </c>
      <c r="G8594" s="10" t="inlineStr">
        <is>
          <t>嵐山</t>
        </is>
      </c>
      <c r="H8594" s="10" t="inlineStr">
        <is>
          <t>着</t>
        </is>
      </c>
      <c r="J8594" s="10" t="inlineStr">
        <is>
          <t>営業</t>
        </is>
      </c>
      <c r="L8594" t="inlineStr">
        <is>
          <t>7:40:00</t>
        </is>
      </c>
      <c r="N8594" t="inlineStr">
        <is>
          <t>○</t>
        </is>
      </c>
      <c r="P8594" t="inlineStr">
        <is>
          <t>D系統(朝)</t>
        </is>
      </c>
      <c r="Q8594" t="inlineStr">
        <is>
          <t>1</t>
        </is>
      </c>
    </row>
    <row r="8595" ht="16.5" customHeight="1" s="37">
      <c r="A8595" t="n">
        <v>3</v>
      </c>
      <c r="B8595" s="10" t="inlineStr">
        <is>
          <t>平日</t>
        </is>
      </c>
      <c r="C8595" s="10" t="inlineStr">
        <is>
          <t>本線</t>
        </is>
      </c>
      <c r="D8595" s="10" t="inlineStr">
        <is>
          <t>上り</t>
        </is>
      </c>
      <c r="E8595" s="10" t="inlineStr">
        <is>
          <t>連0714</t>
        </is>
      </c>
      <c r="F8595" t="inlineStr">
        <is>
          <t>2221</t>
        </is>
      </c>
      <c r="G8595" s="10" t="inlineStr">
        <is>
          <t>嵐山</t>
        </is>
      </c>
      <c r="H8595" s="10" t="inlineStr">
        <is>
          <t>発</t>
        </is>
      </c>
      <c r="J8595" s="10" t="inlineStr">
        <is>
          <t>営業</t>
        </is>
      </c>
      <c r="M8595" t="inlineStr">
        <is>
          <t>7:49:00</t>
        </is>
      </c>
      <c r="P8595" t="inlineStr">
        <is>
          <t>D系統(朝)</t>
        </is>
      </c>
      <c r="Q8595" t="inlineStr">
        <is>
          <t>1</t>
        </is>
      </c>
    </row>
    <row r="8596" ht="16.5" customHeight="1" s="37">
      <c r="A8596" t="n">
        <v>3</v>
      </c>
      <c r="B8596" s="10" t="inlineStr">
        <is>
          <t>平日</t>
        </is>
      </c>
      <c r="C8596" s="10" t="inlineStr">
        <is>
          <t>本線</t>
        </is>
      </c>
      <c r="D8596" s="10" t="inlineStr">
        <is>
          <t>上り</t>
        </is>
      </c>
      <c r="E8596" s="10" t="inlineStr">
        <is>
          <t>連0714</t>
        </is>
      </c>
      <c r="F8596" t="inlineStr">
        <is>
          <t>2221</t>
        </is>
      </c>
      <c r="G8596" s="10" t="inlineStr">
        <is>
          <t>嵯峨</t>
        </is>
      </c>
      <c r="H8596" s="10" t="inlineStr">
        <is>
          <t>発</t>
        </is>
      </c>
      <c r="J8596" s="10" t="inlineStr">
        <is>
          <t>営業</t>
        </is>
      </c>
      <c r="L8596" t="inlineStr">
        <is>
          <t>7:49:55</t>
        </is>
      </c>
      <c r="M8596" t="inlineStr">
        <is>
          <t>7:50:20</t>
        </is>
      </c>
      <c r="P8596" t="inlineStr">
        <is>
          <t>D系統(朝)</t>
        </is>
      </c>
    </row>
    <row r="8597" ht="16.5" customHeight="1" s="37">
      <c r="A8597" t="n">
        <v>3</v>
      </c>
      <c r="B8597" s="10" t="inlineStr">
        <is>
          <t>平日</t>
        </is>
      </c>
      <c r="C8597" s="10" t="inlineStr">
        <is>
          <t>本線</t>
        </is>
      </c>
      <c r="D8597" s="10" t="inlineStr">
        <is>
          <t>上り</t>
        </is>
      </c>
      <c r="E8597" s="10" t="inlineStr">
        <is>
          <t>連0714</t>
        </is>
      </c>
      <c r="F8597" t="inlineStr">
        <is>
          <t>2221</t>
        </is>
      </c>
      <c r="G8597" s="10" t="inlineStr">
        <is>
          <t>鹿王院</t>
        </is>
      </c>
      <c r="H8597" s="10" t="inlineStr">
        <is>
          <t>発</t>
        </is>
      </c>
      <c r="J8597" s="10" t="inlineStr">
        <is>
          <t>営業</t>
        </is>
      </c>
      <c r="L8597" t="inlineStr">
        <is>
          <t>7:51:25</t>
        </is>
      </c>
      <c r="M8597" t="inlineStr">
        <is>
          <t>7:51:45</t>
        </is>
      </c>
      <c r="P8597" t="inlineStr">
        <is>
          <t>D系統(朝)</t>
        </is>
      </c>
    </row>
    <row r="8598" ht="16.5" customHeight="1" s="37">
      <c r="A8598" t="n">
        <v>3</v>
      </c>
      <c r="B8598" s="10" t="inlineStr">
        <is>
          <t>平日</t>
        </is>
      </c>
      <c r="C8598" s="10" t="inlineStr">
        <is>
          <t>本線</t>
        </is>
      </c>
      <c r="D8598" s="10" t="inlineStr">
        <is>
          <t>上り</t>
        </is>
      </c>
      <c r="E8598" s="10" t="inlineStr">
        <is>
          <t>連0714</t>
        </is>
      </c>
      <c r="F8598" t="inlineStr">
        <is>
          <t>2221</t>
        </is>
      </c>
      <c r="G8598" s="10" t="inlineStr">
        <is>
          <t>車折</t>
        </is>
      </c>
      <c r="H8598" s="10" t="inlineStr">
        <is>
          <t>発</t>
        </is>
      </c>
      <c r="J8598" s="10" t="inlineStr">
        <is>
          <t>営業</t>
        </is>
      </c>
      <c r="L8598" t="inlineStr">
        <is>
          <t>7:52:40</t>
        </is>
      </c>
      <c r="M8598" t="inlineStr">
        <is>
          <t>7:53:10</t>
        </is>
      </c>
      <c r="P8598" t="inlineStr">
        <is>
          <t>D系統(朝)</t>
        </is>
      </c>
    </row>
    <row r="8599" ht="16.5" customHeight="1" s="37">
      <c r="A8599" t="n">
        <v>3</v>
      </c>
      <c r="B8599" s="10" t="inlineStr">
        <is>
          <t>平日</t>
        </is>
      </c>
      <c r="C8599" s="10" t="inlineStr">
        <is>
          <t>本線</t>
        </is>
      </c>
      <c r="D8599" s="10" t="inlineStr">
        <is>
          <t>上り</t>
        </is>
      </c>
      <c r="E8599" s="10" t="inlineStr">
        <is>
          <t>連0714</t>
        </is>
      </c>
      <c r="F8599" t="inlineStr">
        <is>
          <t>2221</t>
        </is>
      </c>
      <c r="G8599" s="10" t="inlineStr">
        <is>
          <t>有栖川</t>
        </is>
      </c>
      <c r="H8599" s="10" t="inlineStr">
        <is>
          <t>発</t>
        </is>
      </c>
      <c r="J8599" s="10" t="inlineStr">
        <is>
          <t>営業</t>
        </is>
      </c>
      <c r="L8599" t="inlineStr">
        <is>
          <t>7:54:35</t>
        </is>
      </c>
      <c r="M8599" t="inlineStr">
        <is>
          <t>7:54:55</t>
        </is>
      </c>
      <c r="P8599" t="inlineStr">
        <is>
          <t>D系統(朝)</t>
        </is>
      </c>
    </row>
    <row r="8600" ht="16.5" customHeight="1" s="37">
      <c r="A8600" t="n">
        <v>3</v>
      </c>
      <c r="B8600" s="10" t="inlineStr">
        <is>
          <t>平日</t>
        </is>
      </c>
      <c r="C8600" s="10" t="inlineStr">
        <is>
          <t>本線</t>
        </is>
      </c>
      <c r="D8600" s="10" t="inlineStr">
        <is>
          <t>上り</t>
        </is>
      </c>
      <c r="E8600" s="10" t="inlineStr">
        <is>
          <t>連0714</t>
        </is>
      </c>
      <c r="F8600" t="inlineStr">
        <is>
          <t>2221</t>
        </is>
      </c>
      <c r="G8600" s="10" t="inlineStr">
        <is>
          <t>帷子ノ辻</t>
        </is>
      </c>
      <c r="H8600" s="10" t="inlineStr">
        <is>
          <t>発</t>
        </is>
      </c>
      <c r="J8600" s="10" t="inlineStr">
        <is>
          <t>営業</t>
        </is>
      </c>
      <c r="L8600" t="inlineStr">
        <is>
          <t>7:56:10</t>
        </is>
      </c>
      <c r="M8600" t="inlineStr">
        <is>
          <t>7:57:15</t>
        </is>
      </c>
      <c r="P8600" t="inlineStr">
        <is>
          <t>D系統(朝)</t>
        </is>
      </c>
    </row>
    <row r="8601" ht="16.5" customHeight="1" s="37">
      <c r="A8601" t="n">
        <v>3</v>
      </c>
      <c r="B8601" s="10" t="inlineStr">
        <is>
          <t>平日</t>
        </is>
      </c>
      <c r="C8601" s="10" t="inlineStr">
        <is>
          <t>本線</t>
        </is>
      </c>
      <c r="D8601" s="10" t="inlineStr">
        <is>
          <t>上り</t>
        </is>
      </c>
      <c r="E8601" s="10" t="inlineStr">
        <is>
          <t>連0714</t>
        </is>
      </c>
      <c r="F8601" t="inlineStr">
        <is>
          <t>2221</t>
        </is>
      </c>
      <c r="G8601" s="10" t="inlineStr">
        <is>
          <t>太秦広隆寺</t>
        </is>
      </c>
      <c r="H8601" s="10" t="inlineStr">
        <is>
          <t>発</t>
        </is>
      </c>
      <c r="J8601" s="10" t="inlineStr">
        <is>
          <t>営業</t>
        </is>
      </c>
      <c r="L8601" t="inlineStr">
        <is>
          <t>7:59:25</t>
        </is>
      </c>
      <c r="M8601" t="inlineStr">
        <is>
          <t>7:59:45</t>
        </is>
      </c>
      <c r="P8601" t="inlineStr">
        <is>
          <t>D系統(朝)</t>
        </is>
      </c>
    </row>
    <row r="8602" ht="16.5" customHeight="1" s="37">
      <c r="A8602" t="n">
        <v>3</v>
      </c>
      <c r="B8602" s="10" t="inlineStr">
        <is>
          <t>平日</t>
        </is>
      </c>
      <c r="C8602" s="10" t="inlineStr">
        <is>
          <t>本線</t>
        </is>
      </c>
      <c r="D8602" s="10" t="inlineStr">
        <is>
          <t>上り</t>
        </is>
      </c>
      <c r="E8602" s="10" t="inlineStr">
        <is>
          <t>連0714</t>
        </is>
      </c>
      <c r="F8602" t="inlineStr">
        <is>
          <t>2221</t>
        </is>
      </c>
      <c r="G8602" s="10" t="inlineStr">
        <is>
          <t>蚕ノ社</t>
        </is>
      </c>
      <c r="H8602" s="10" t="inlineStr">
        <is>
          <t>発</t>
        </is>
      </c>
      <c r="J8602" s="10" t="inlineStr">
        <is>
          <t>営業</t>
        </is>
      </c>
      <c r="L8602" t="inlineStr">
        <is>
          <t>8:01:00</t>
        </is>
      </c>
      <c r="M8602" t="inlineStr">
        <is>
          <t>8:01:20</t>
        </is>
      </c>
      <c r="P8602" t="inlineStr">
        <is>
          <t>D系統(朝)</t>
        </is>
      </c>
    </row>
    <row r="8603" ht="16.5" customHeight="1" s="37">
      <c r="A8603" t="n">
        <v>3</v>
      </c>
      <c r="B8603" s="10" t="inlineStr">
        <is>
          <t>平日</t>
        </is>
      </c>
      <c r="C8603" s="10" t="inlineStr">
        <is>
          <t>本線</t>
        </is>
      </c>
      <c r="D8603" s="10" t="inlineStr">
        <is>
          <t>上り</t>
        </is>
      </c>
      <c r="E8603" s="10" t="inlineStr">
        <is>
          <t>連0714</t>
        </is>
      </c>
      <c r="F8603" t="inlineStr">
        <is>
          <t>2221</t>
        </is>
      </c>
      <c r="G8603" s="10" t="inlineStr">
        <is>
          <t>天神川</t>
        </is>
      </c>
      <c r="H8603" s="10" t="inlineStr">
        <is>
          <t>発</t>
        </is>
      </c>
      <c r="J8603" s="10" t="inlineStr">
        <is>
          <t>営業</t>
        </is>
      </c>
      <c r="L8603" t="inlineStr">
        <is>
          <t>8:02:05</t>
        </is>
      </c>
      <c r="M8603" t="inlineStr">
        <is>
          <t>8:02:50</t>
        </is>
      </c>
      <c r="P8603" t="inlineStr">
        <is>
          <t>D系統(朝)</t>
        </is>
      </c>
    </row>
    <row r="8604" ht="16.5" customHeight="1" s="37">
      <c r="A8604" t="n">
        <v>3</v>
      </c>
      <c r="B8604" s="10" t="inlineStr">
        <is>
          <t>平日</t>
        </is>
      </c>
      <c r="C8604" s="10" t="inlineStr">
        <is>
          <t>本線</t>
        </is>
      </c>
      <c r="D8604" s="10" t="inlineStr">
        <is>
          <t>上り</t>
        </is>
      </c>
      <c r="E8604" s="10" t="inlineStr">
        <is>
          <t>連0714</t>
        </is>
      </c>
      <c r="F8604" t="inlineStr">
        <is>
          <t>2221</t>
        </is>
      </c>
      <c r="G8604" s="10" t="inlineStr">
        <is>
          <t>山ノ内</t>
        </is>
      </c>
      <c r="H8604" s="10" t="inlineStr">
        <is>
          <t>発</t>
        </is>
      </c>
      <c r="J8604" s="10" t="inlineStr">
        <is>
          <t>営業</t>
        </is>
      </c>
      <c r="L8604" t="inlineStr">
        <is>
          <t>8:04:40</t>
        </is>
      </c>
      <c r="M8604" t="inlineStr">
        <is>
          <t>8:05:05</t>
        </is>
      </c>
      <c r="P8604" t="inlineStr">
        <is>
          <t>D系統(朝)</t>
        </is>
      </c>
    </row>
    <row r="8605" ht="16.5" customHeight="1" s="37">
      <c r="A8605" t="n">
        <v>3</v>
      </c>
      <c r="B8605" s="10" t="inlineStr">
        <is>
          <t>平日</t>
        </is>
      </c>
      <c r="C8605" s="10" t="inlineStr">
        <is>
          <t>本線</t>
        </is>
      </c>
      <c r="D8605" s="10" t="inlineStr">
        <is>
          <t>上り</t>
        </is>
      </c>
      <c r="E8605" s="10" t="inlineStr">
        <is>
          <t>連0714</t>
        </is>
      </c>
      <c r="F8605" t="inlineStr">
        <is>
          <t>2221</t>
        </is>
      </c>
      <c r="G8605" s="10" t="inlineStr">
        <is>
          <t>西大路三条</t>
        </is>
      </c>
      <c r="H8605" s="10" t="inlineStr">
        <is>
          <t>発</t>
        </is>
      </c>
      <c r="J8605" s="10" t="inlineStr">
        <is>
          <t>営業</t>
        </is>
      </c>
      <c r="L8605" t="inlineStr">
        <is>
          <t>8:06:55</t>
        </is>
      </c>
      <c r="M8605" t="inlineStr">
        <is>
          <t>8:07:15</t>
        </is>
      </c>
      <c r="P8605" t="inlineStr">
        <is>
          <t>D系統(朝)</t>
        </is>
      </c>
    </row>
    <row r="8606" ht="16.5" customHeight="1" s="37">
      <c r="A8606" t="n">
        <v>3</v>
      </c>
      <c r="B8606" s="10" t="inlineStr">
        <is>
          <t>平日</t>
        </is>
      </c>
      <c r="C8606" s="10" t="inlineStr">
        <is>
          <t>本線</t>
        </is>
      </c>
      <c r="D8606" s="10" t="inlineStr">
        <is>
          <t>上り</t>
        </is>
      </c>
      <c r="E8606" s="10" t="inlineStr">
        <is>
          <t>連0714</t>
        </is>
      </c>
      <c r="F8606" t="inlineStr">
        <is>
          <t>2221</t>
        </is>
      </c>
      <c r="G8606" s="10" t="inlineStr">
        <is>
          <t>西院</t>
        </is>
      </c>
      <c r="H8606" s="10" t="inlineStr">
        <is>
          <t>発</t>
        </is>
      </c>
      <c r="J8606" s="10" t="inlineStr">
        <is>
          <t>営業</t>
        </is>
      </c>
      <c r="L8606" t="inlineStr">
        <is>
          <t>8:09:10</t>
        </is>
      </c>
      <c r="M8606" t="inlineStr">
        <is>
          <t>8:10:05</t>
        </is>
      </c>
      <c r="P8606" t="inlineStr">
        <is>
          <t>D系統(朝)</t>
        </is>
      </c>
    </row>
    <row r="8607" ht="16.5" customHeight="1" s="37">
      <c r="A8607" t="n">
        <v>3</v>
      </c>
      <c r="B8607" s="10" t="inlineStr">
        <is>
          <t>平日</t>
        </is>
      </c>
      <c r="C8607" s="10" t="inlineStr">
        <is>
          <t>本線</t>
        </is>
      </c>
      <c r="D8607" s="10" t="inlineStr">
        <is>
          <t>上り</t>
        </is>
      </c>
      <c r="E8607" s="10" t="inlineStr">
        <is>
          <t>連0714</t>
        </is>
      </c>
      <c r="F8607" t="inlineStr">
        <is>
          <t>2221</t>
        </is>
      </c>
      <c r="G8607" s="10" t="inlineStr">
        <is>
          <t>四条大宮</t>
        </is>
      </c>
      <c r="H8607" s="10" t="inlineStr">
        <is>
          <t>着</t>
        </is>
      </c>
      <c r="J8607" s="10" t="inlineStr">
        <is>
          <t>営業</t>
        </is>
      </c>
      <c r="L8607" t="inlineStr">
        <is>
          <t>8:13:00</t>
        </is>
      </c>
      <c r="P8607" t="inlineStr">
        <is>
          <t>D系統(朝)</t>
        </is>
      </c>
      <c r="Q8607" t="inlineStr">
        <is>
          <t>1</t>
        </is>
      </c>
    </row>
    <row r="8608" ht="16.5" customHeight="1" s="37">
      <c r="A8608" t="n">
        <v>3</v>
      </c>
      <c r="B8608" s="10" t="inlineStr">
        <is>
          <t>平日</t>
        </is>
      </c>
      <c r="C8608" s="10" t="inlineStr">
        <is>
          <t>本線</t>
        </is>
      </c>
      <c r="D8608" s="10" t="inlineStr">
        <is>
          <t>下り</t>
        </is>
      </c>
      <c r="E8608" s="10" t="inlineStr">
        <is>
          <t>連0805</t>
        </is>
      </c>
      <c r="F8608" t="inlineStr">
        <is>
          <t>0122</t>
        </is>
      </c>
      <c r="G8608" s="10" t="inlineStr">
        <is>
          <t>四条大宮</t>
        </is>
      </c>
      <c r="H8608" s="10" t="inlineStr">
        <is>
          <t>発</t>
        </is>
      </c>
      <c r="J8608" s="10" t="inlineStr">
        <is>
          <t>営業</t>
        </is>
      </c>
      <c r="M8608" t="inlineStr">
        <is>
          <t>8:23:00</t>
        </is>
      </c>
      <c r="P8608" t="inlineStr">
        <is>
          <t>D系統(朝)</t>
        </is>
      </c>
      <c r="Q8608" t="inlineStr">
        <is>
          <t>1</t>
        </is>
      </c>
    </row>
    <row r="8609" ht="16.5" customHeight="1" s="37">
      <c r="A8609" t="n">
        <v>3</v>
      </c>
      <c r="B8609" s="10" t="inlineStr">
        <is>
          <t>平日</t>
        </is>
      </c>
      <c r="C8609" s="10" t="inlineStr">
        <is>
          <t>本線</t>
        </is>
      </c>
      <c r="D8609" s="10" t="inlineStr">
        <is>
          <t>下り</t>
        </is>
      </c>
      <c r="E8609" s="10" t="inlineStr">
        <is>
          <t>連0805</t>
        </is>
      </c>
      <c r="F8609" t="inlineStr">
        <is>
          <t>0122</t>
        </is>
      </c>
      <c r="G8609" s="10" t="inlineStr">
        <is>
          <t>西院</t>
        </is>
      </c>
      <c r="H8609" s="10" t="inlineStr">
        <is>
          <t>発</t>
        </is>
      </c>
      <c r="J8609" s="10" t="inlineStr">
        <is>
          <t>営業</t>
        </is>
      </c>
      <c r="L8609" t="inlineStr">
        <is>
          <t>8:25:50</t>
        </is>
      </c>
      <c r="M8609" t="inlineStr">
        <is>
          <t>8:26:20</t>
        </is>
      </c>
      <c r="P8609" t="inlineStr">
        <is>
          <t>D系統(朝)</t>
        </is>
      </c>
    </row>
    <row r="8610" ht="16.5" customHeight="1" s="37">
      <c r="A8610" t="n">
        <v>3</v>
      </c>
      <c r="B8610" s="10" t="inlineStr">
        <is>
          <t>平日</t>
        </is>
      </c>
      <c r="C8610" s="10" t="inlineStr">
        <is>
          <t>本線</t>
        </is>
      </c>
      <c r="D8610" s="10" t="inlineStr">
        <is>
          <t>下り</t>
        </is>
      </c>
      <c r="E8610" s="10" t="inlineStr">
        <is>
          <t>連0805</t>
        </is>
      </c>
      <c r="F8610" t="inlineStr">
        <is>
          <t>0122</t>
        </is>
      </c>
      <c r="G8610" s="10" t="inlineStr">
        <is>
          <t>西大路三条</t>
        </is>
      </c>
      <c r="H8610" s="10" t="inlineStr">
        <is>
          <t>発</t>
        </is>
      </c>
      <c r="J8610" s="10" t="inlineStr">
        <is>
          <t>営業</t>
        </is>
      </c>
      <c r="L8610" t="inlineStr">
        <is>
          <t>8:28:10</t>
        </is>
      </c>
      <c r="M8610" t="inlineStr">
        <is>
          <t>8:28:30</t>
        </is>
      </c>
      <c r="P8610" t="inlineStr">
        <is>
          <t>D系統(朝)</t>
        </is>
      </c>
    </row>
    <row r="8611" ht="16.5" customHeight="1" s="37">
      <c r="A8611" t="n">
        <v>3</v>
      </c>
      <c r="B8611" s="10" t="inlineStr">
        <is>
          <t>平日</t>
        </is>
      </c>
      <c r="C8611" s="10" t="inlineStr">
        <is>
          <t>本線</t>
        </is>
      </c>
      <c r="D8611" s="10" t="inlineStr">
        <is>
          <t>下り</t>
        </is>
      </c>
      <c r="E8611" s="10" t="inlineStr">
        <is>
          <t>連0805</t>
        </is>
      </c>
      <c r="F8611" t="inlineStr">
        <is>
          <t>0122</t>
        </is>
      </c>
      <c r="G8611" s="10" t="inlineStr">
        <is>
          <t>山ノ内</t>
        </is>
      </c>
      <c r="H8611" s="10" t="inlineStr">
        <is>
          <t>発</t>
        </is>
      </c>
      <c r="J8611" s="10" t="inlineStr">
        <is>
          <t>営業</t>
        </is>
      </c>
      <c r="L8611" t="inlineStr">
        <is>
          <t>8:30:25</t>
        </is>
      </c>
      <c r="M8611" t="inlineStr">
        <is>
          <t>8:30:50</t>
        </is>
      </c>
      <c r="P8611" t="inlineStr">
        <is>
          <t>D系統(朝)</t>
        </is>
      </c>
    </row>
    <row r="8612" ht="16.5" customHeight="1" s="37">
      <c r="A8612" t="n">
        <v>3</v>
      </c>
      <c r="B8612" s="10" t="inlineStr">
        <is>
          <t>平日</t>
        </is>
      </c>
      <c r="C8612" s="10" t="inlineStr">
        <is>
          <t>本線</t>
        </is>
      </c>
      <c r="D8612" s="10" t="inlineStr">
        <is>
          <t>下り</t>
        </is>
      </c>
      <c r="E8612" s="10" t="inlineStr">
        <is>
          <t>連0805</t>
        </is>
      </c>
      <c r="F8612" t="inlineStr">
        <is>
          <t>0122</t>
        </is>
      </c>
      <c r="G8612" s="10" t="inlineStr">
        <is>
          <t>天神川</t>
        </is>
      </c>
      <c r="H8612" s="10" t="inlineStr">
        <is>
          <t>発</t>
        </is>
      </c>
      <c r="J8612" s="10" t="inlineStr">
        <is>
          <t>営業</t>
        </is>
      </c>
      <c r="L8612" t="inlineStr">
        <is>
          <t>8:32:50</t>
        </is>
      </c>
      <c r="M8612" t="inlineStr">
        <is>
          <t>8:33:30</t>
        </is>
      </c>
      <c r="P8612" t="inlineStr">
        <is>
          <t>D系統(朝)</t>
        </is>
      </c>
    </row>
    <row r="8613" ht="16.5" customHeight="1" s="37">
      <c r="A8613" t="n">
        <v>3</v>
      </c>
      <c r="B8613" s="10" t="inlineStr">
        <is>
          <t>平日</t>
        </is>
      </c>
      <c r="C8613" s="10" t="inlineStr">
        <is>
          <t>本線</t>
        </is>
      </c>
      <c r="D8613" s="10" t="inlineStr">
        <is>
          <t>下り</t>
        </is>
      </c>
      <c r="E8613" s="10" t="inlineStr">
        <is>
          <t>連0805</t>
        </is>
      </c>
      <c r="F8613" t="inlineStr">
        <is>
          <t>0122</t>
        </is>
      </c>
      <c r="G8613" s="10" t="inlineStr">
        <is>
          <t>蚕ノ社</t>
        </is>
      </c>
      <c r="H8613" s="10" t="inlineStr">
        <is>
          <t>発</t>
        </is>
      </c>
      <c r="J8613" s="10" t="inlineStr">
        <is>
          <t>営業</t>
        </is>
      </c>
      <c r="L8613" t="inlineStr">
        <is>
          <t>8:34:20</t>
        </is>
      </c>
      <c r="M8613" t="inlineStr">
        <is>
          <t>8:34:40</t>
        </is>
      </c>
      <c r="P8613" t="inlineStr">
        <is>
          <t>D系統(朝)</t>
        </is>
      </c>
    </row>
    <row r="8614" ht="16.5" customHeight="1" s="37">
      <c r="A8614" t="n">
        <v>3</v>
      </c>
      <c r="B8614" s="10" t="inlineStr">
        <is>
          <t>平日</t>
        </is>
      </c>
      <c r="C8614" s="10" t="inlineStr">
        <is>
          <t>本線</t>
        </is>
      </c>
      <c r="D8614" s="10" t="inlineStr">
        <is>
          <t>下り</t>
        </is>
      </c>
      <c r="E8614" s="10" t="inlineStr">
        <is>
          <t>連0805</t>
        </is>
      </c>
      <c r="F8614" t="inlineStr">
        <is>
          <t>0122</t>
        </is>
      </c>
      <c r="G8614" s="10" t="inlineStr">
        <is>
          <t>太秦広隆寺</t>
        </is>
      </c>
      <c r="H8614" s="10" t="inlineStr">
        <is>
          <t>発</t>
        </is>
      </c>
      <c r="J8614" s="10" t="inlineStr">
        <is>
          <t>営業</t>
        </is>
      </c>
      <c r="L8614" t="inlineStr">
        <is>
          <t>8:36:00</t>
        </is>
      </c>
      <c r="M8614" t="inlineStr">
        <is>
          <t>8:36:20</t>
        </is>
      </c>
      <c r="P8614" t="inlineStr">
        <is>
          <t>D系統(朝)</t>
        </is>
      </c>
    </row>
    <row r="8615" ht="16.5" customHeight="1" s="37">
      <c r="A8615" t="n">
        <v>3</v>
      </c>
      <c r="B8615" s="10" t="inlineStr">
        <is>
          <t>平日</t>
        </is>
      </c>
      <c r="C8615" s="10" t="inlineStr">
        <is>
          <t>本線</t>
        </is>
      </c>
      <c r="D8615" s="10" t="inlineStr">
        <is>
          <t>下り</t>
        </is>
      </c>
      <c r="E8615" s="10" t="inlineStr">
        <is>
          <t>連0805</t>
        </is>
      </c>
      <c r="F8615" t="inlineStr">
        <is>
          <t>0122</t>
        </is>
      </c>
      <c r="G8615" s="10" t="inlineStr">
        <is>
          <t>帷子ノ辻</t>
        </is>
      </c>
      <c r="H8615" s="10" t="inlineStr">
        <is>
          <t>発</t>
        </is>
      </c>
      <c r="J8615" s="10" t="inlineStr">
        <is>
          <t>営業</t>
        </is>
      </c>
      <c r="L8615" t="inlineStr">
        <is>
          <t>8:38:20</t>
        </is>
      </c>
      <c r="M8615" t="inlineStr">
        <is>
          <t>8:39:40</t>
        </is>
      </c>
      <c r="P8615" t="inlineStr">
        <is>
          <t>D系統(朝)</t>
        </is>
      </c>
    </row>
    <row r="8616" ht="16.5" customHeight="1" s="37">
      <c r="A8616" t="n">
        <v>3</v>
      </c>
      <c r="B8616" s="10" t="inlineStr">
        <is>
          <t>平日</t>
        </is>
      </c>
      <c r="C8616" s="10" t="inlineStr">
        <is>
          <t>本線</t>
        </is>
      </c>
      <c r="D8616" s="10" t="inlineStr">
        <is>
          <t>下り</t>
        </is>
      </c>
      <c r="E8616" s="10" t="inlineStr">
        <is>
          <t>連0805</t>
        </is>
      </c>
      <c r="F8616" t="inlineStr">
        <is>
          <t>0122</t>
        </is>
      </c>
      <c r="G8616" s="10" t="inlineStr">
        <is>
          <t>有栖川</t>
        </is>
      </c>
      <c r="H8616" s="10" t="inlineStr">
        <is>
          <t>発</t>
        </is>
      </c>
      <c r="J8616" s="10" t="inlineStr">
        <is>
          <t>営業</t>
        </is>
      </c>
      <c r="L8616" t="inlineStr">
        <is>
          <t>8:40:50</t>
        </is>
      </c>
      <c r="M8616" t="inlineStr">
        <is>
          <t>8:41:15</t>
        </is>
      </c>
      <c r="P8616" t="inlineStr">
        <is>
          <t>D系統(朝)</t>
        </is>
      </c>
    </row>
    <row r="8617" ht="16.5" customHeight="1" s="37">
      <c r="A8617" t="n">
        <v>3</v>
      </c>
      <c r="B8617" s="10" t="inlineStr">
        <is>
          <t>平日</t>
        </is>
      </c>
      <c r="C8617" s="10" t="inlineStr">
        <is>
          <t>本線</t>
        </is>
      </c>
      <c r="D8617" s="10" t="inlineStr">
        <is>
          <t>下り</t>
        </is>
      </c>
      <c r="E8617" s="10" t="inlineStr">
        <is>
          <t>連0805</t>
        </is>
      </c>
      <c r="F8617" t="inlineStr">
        <is>
          <t>0122</t>
        </is>
      </c>
      <c r="G8617" s="10" t="inlineStr">
        <is>
          <t>車折</t>
        </is>
      </c>
      <c r="H8617" s="10" t="inlineStr">
        <is>
          <t>発</t>
        </is>
      </c>
      <c r="J8617" s="10" t="inlineStr">
        <is>
          <t>営業</t>
        </is>
      </c>
      <c r="L8617" t="inlineStr">
        <is>
          <t>8:42:40</t>
        </is>
      </c>
      <c r="M8617" t="inlineStr">
        <is>
          <t>8:43:05</t>
        </is>
      </c>
      <c r="P8617" t="inlineStr">
        <is>
          <t>D系統(朝)</t>
        </is>
      </c>
    </row>
    <row r="8618" ht="16.5" customHeight="1" s="37">
      <c r="A8618" t="n">
        <v>3</v>
      </c>
      <c r="B8618" s="10" t="inlineStr">
        <is>
          <t>平日</t>
        </is>
      </c>
      <c r="C8618" s="10" t="inlineStr">
        <is>
          <t>本線</t>
        </is>
      </c>
      <c r="D8618" s="10" t="inlineStr">
        <is>
          <t>下り</t>
        </is>
      </c>
      <c r="E8618" s="10" t="inlineStr">
        <is>
          <t>連0805</t>
        </is>
      </c>
      <c r="F8618" t="inlineStr">
        <is>
          <t>0122</t>
        </is>
      </c>
      <c r="G8618" s="10" t="inlineStr">
        <is>
          <t>鹿王院</t>
        </is>
      </c>
      <c r="H8618" s="10" t="inlineStr">
        <is>
          <t>発</t>
        </is>
      </c>
      <c r="J8618" s="10" t="inlineStr">
        <is>
          <t>営業</t>
        </is>
      </c>
      <c r="L8618" t="inlineStr">
        <is>
          <t>8:44:00</t>
        </is>
      </c>
      <c r="M8618" t="inlineStr">
        <is>
          <t>8:44:25</t>
        </is>
      </c>
      <c r="P8618" t="inlineStr">
        <is>
          <t>D系統(朝)</t>
        </is>
      </c>
    </row>
    <row r="8619" ht="16.5" customHeight="1" s="37">
      <c r="A8619" t="n">
        <v>3</v>
      </c>
      <c r="B8619" s="10" t="inlineStr">
        <is>
          <t>平日</t>
        </is>
      </c>
      <c r="C8619" s="10" t="inlineStr">
        <is>
          <t>本線</t>
        </is>
      </c>
      <c r="D8619" s="10" t="inlineStr">
        <is>
          <t>下り</t>
        </is>
      </c>
      <c r="E8619" s="10" t="inlineStr">
        <is>
          <t>連0805</t>
        </is>
      </c>
      <c r="F8619" t="inlineStr">
        <is>
          <t>0122</t>
        </is>
      </c>
      <c r="G8619" s="10" t="inlineStr">
        <is>
          <t>嵯峨</t>
        </is>
      </c>
      <c r="H8619" s="10" t="inlineStr">
        <is>
          <t>発</t>
        </is>
      </c>
      <c r="J8619" s="10" t="inlineStr">
        <is>
          <t>営業</t>
        </is>
      </c>
      <c r="L8619" t="inlineStr">
        <is>
          <t>8:45:30</t>
        </is>
      </c>
      <c r="M8619" t="inlineStr">
        <is>
          <t>8:45:55</t>
        </is>
      </c>
      <c r="P8619" t="inlineStr">
        <is>
          <t>D系統(朝)</t>
        </is>
      </c>
    </row>
    <row r="8620" ht="16.5" customHeight="1" s="37">
      <c r="A8620" t="n">
        <v>3</v>
      </c>
      <c r="B8620" s="10" t="inlineStr">
        <is>
          <t>平日</t>
        </is>
      </c>
      <c r="C8620" s="10" t="inlineStr">
        <is>
          <t>本線</t>
        </is>
      </c>
      <c r="D8620" s="10" t="inlineStr">
        <is>
          <t>下り</t>
        </is>
      </c>
      <c r="E8620" s="10" t="inlineStr">
        <is>
          <t>連0805</t>
        </is>
      </c>
      <c r="F8620" t="inlineStr">
        <is>
          <t>0122</t>
        </is>
      </c>
      <c r="G8620" s="10" t="inlineStr">
        <is>
          <t>嵐山</t>
        </is>
      </c>
      <c r="H8620" s="10" t="inlineStr">
        <is>
          <t>着</t>
        </is>
      </c>
      <c r="J8620" s="10" t="inlineStr">
        <is>
          <t>営業</t>
        </is>
      </c>
      <c r="L8620" t="inlineStr">
        <is>
          <t>8:47:00</t>
        </is>
      </c>
      <c r="N8620" t="inlineStr">
        <is>
          <t>○</t>
        </is>
      </c>
      <c r="P8620" t="inlineStr">
        <is>
          <t>D系統(朝)</t>
        </is>
      </c>
      <c r="Q8620" t="inlineStr">
        <is>
          <t>1</t>
        </is>
      </c>
    </row>
    <row r="8621" ht="16.5" customHeight="1" s="37">
      <c r="A8621" t="n">
        <v>3</v>
      </c>
      <c r="B8621" s="10" t="inlineStr">
        <is>
          <t>平日</t>
        </is>
      </c>
      <c r="C8621" s="10" t="inlineStr">
        <is>
          <t>本線</t>
        </is>
      </c>
      <c r="D8621" s="10" t="inlineStr">
        <is>
          <t>上り</t>
        </is>
      </c>
      <c r="E8621" s="10" t="inlineStr">
        <is>
          <t>連0814</t>
        </is>
      </c>
      <c r="F8621" t="inlineStr">
        <is>
          <t>0211</t>
        </is>
      </c>
      <c r="G8621" s="10" t="inlineStr">
        <is>
          <t>嵐山</t>
        </is>
      </c>
      <c r="H8621" s="10" t="inlineStr">
        <is>
          <t>発</t>
        </is>
      </c>
      <c r="J8621" s="10" t="inlineStr">
        <is>
          <t>営業</t>
        </is>
      </c>
      <c r="M8621" t="inlineStr">
        <is>
          <t>8:53:00</t>
        </is>
      </c>
      <c r="P8621" t="inlineStr">
        <is>
          <t>D系統(朝)</t>
        </is>
      </c>
      <c r="Q8621" t="inlineStr">
        <is>
          <t>1</t>
        </is>
      </c>
    </row>
    <row r="8622" ht="16.5" customHeight="1" s="37">
      <c r="A8622" t="n">
        <v>3</v>
      </c>
      <c r="B8622" s="10" t="inlineStr">
        <is>
          <t>平日</t>
        </is>
      </c>
      <c r="C8622" s="10" t="inlineStr">
        <is>
          <t>本線</t>
        </is>
      </c>
      <c r="D8622" s="10" t="inlineStr">
        <is>
          <t>上り</t>
        </is>
      </c>
      <c r="E8622" s="10" t="inlineStr">
        <is>
          <t>連0814</t>
        </is>
      </c>
      <c r="F8622" t="inlineStr">
        <is>
          <t>0211</t>
        </is>
      </c>
      <c r="G8622" s="10" t="inlineStr">
        <is>
          <t>嵯峨</t>
        </is>
      </c>
      <c r="H8622" s="10" t="inlineStr">
        <is>
          <t>発</t>
        </is>
      </c>
      <c r="J8622" s="10" t="inlineStr">
        <is>
          <t>営業</t>
        </is>
      </c>
      <c r="L8622" t="inlineStr">
        <is>
          <t>8:53:55</t>
        </is>
      </c>
      <c r="M8622" t="inlineStr">
        <is>
          <t>8:54:20</t>
        </is>
      </c>
      <c r="P8622" t="inlineStr">
        <is>
          <t>D系統(朝)</t>
        </is>
      </c>
    </row>
    <row r="8623" ht="16.5" customHeight="1" s="37">
      <c r="A8623" t="n">
        <v>3</v>
      </c>
      <c r="B8623" s="10" t="inlineStr">
        <is>
          <t>平日</t>
        </is>
      </c>
      <c r="C8623" s="10" t="inlineStr">
        <is>
          <t>本線</t>
        </is>
      </c>
      <c r="D8623" s="10" t="inlineStr">
        <is>
          <t>上り</t>
        </is>
      </c>
      <c r="E8623" s="10" t="inlineStr">
        <is>
          <t>連0814</t>
        </is>
      </c>
      <c r="F8623" t="inlineStr">
        <is>
          <t>0211</t>
        </is>
      </c>
      <c r="G8623" s="10" t="inlineStr">
        <is>
          <t>鹿王院</t>
        </is>
      </c>
      <c r="H8623" s="10" t="inlineStr">
        <is>
          <t>発</t>
        </is>
      </c>
      <c r="J8623" s="10" t="inlineStr">
        <is>
          <t>営業</t>
        </is>
      </c>
      <c r="L8623" t="inlineStr">
        <is>
          <t>8:55:25</t>
        </is>
      </c>
      <c r="M8623" t="inlineStr">
        <is>
          <t>8:55:45</t>
        </is>
      </c>
      <c r="P8623" t="inlineStr">
        <is>
          <t>D系統(朝)</t>
        </is>
      </c>
    </row>
    <row r="8624" ht="16.5" customHeight="1" s="37">
      <c r="A8624" t="n">
        <v>3</v>
      </c>
      <c r="B8624" s="10" t="inlineStr">
        <is>
          <t>平日</t>
        </is>
      </c>
      <c r="C8624" s="10" t="inlineStr">
        <is>
          <t>本線</t>
        </is>
      </c>
      <c r="D8624" s="10" t="inlineStr">
        <is>
          <t>上り</t>
        </is>
      </c>
      <c r="E8624" s="10" t="inlineStr">
        <is>
          <t>連0814</t>
        </is>
      </c>
      <c r="F8624" t="inlineStr">
        <is>
          <t>0211</t>
        </is>
      </c>
      <c r="G8624" s="10" t="inlineStr">
        <is>
          <t>車折</t>
        </is>
      </c>
      <c r="H8624" s="10" t="inlineStr">
        <is>
          <t>発</t>
        </is>
      </c>
      <c r="J8624" s="10" t="inlineStr">
        <is>
          <t>営業</t>
        </is>
      </c>
      <c r="L8624" t="inlineStr">
        <is>
          <t>8:56:40</t>
        </is>
      </c>
      <c r="M8624" t="inlineStr">
        <is>
          <t>8:57:10</t>
        </is>
      </c>
      <c r="P8624" t="inlineStr">
        <is>
          <t>D系統(朝)</t>
        </is>
      </c>
    </row>
    <row r="8625" ht="16.5" customHeight="1" s="37">
      <c r="A8625" t="n">
        <v>3</v>
      </c>
      <c r="B8625" s="10" t="inlineStr">
        <is>
          <t>平日</t>
        </is>
      </c>
      <c r="C8625" s="10" t="inlineStr">
        <is>
          <t>本線</t>
        </is>
      </c>
      <c r="D8625" s="10" t="inlineStr">
        <is>
          <t>上り</t>
        </is>
      </c>
      <c r="E8625" s="10" t="inlineStr">
        <is>
          <t>連0814</t>
        </is>
      </c>
      <c r="F8625" t="inlineStr">
        <is>
          <t>0211</t>
        </is>
      </c>
      <c r="G8625" s="10" t="inlineStr">
        <is>
          <t>有栖川</t>
        </is>
      </c>
      <c r="H8625" s="10" t="inlineStr">
        <is>
          <t>発</t>
        </is>
      </c>
      <c r="J8625" s="10" t="inlineStr">
        <is>
          <t>営業</t>
        </is>
      </c>
      <c r="L8625" t="inlineStr">
        <is>
          <t>8:58:35</t>
        </is>
      </c>
      <c r="M8625" t="inlineStr">
        <is>
          <t>8:58:55</t>
        </is>
      </c>
      <c r="P8625" t="inlineStr">
        <is>
          <t>D系統(朝)</t>
        </is>
      </c>
    </row>
    <row r="8626" ht="16.5" customHeight="1" s="37">
      <c r="A8626" t="n">
        <v>3</v>
      </c>
      <c r="B8626" s="10" t="inlineStr">
        <is>
          <t>平日</t>
        </is>
      </c>
      <c r="C8626" s="10" t="inlineStr">
        <is>
          <t>本線</t>
        </is>
      </c>
      <c r="D8626" s="10" t="inlineStr">
        <is>
          <t>上り</t>
        </is>
      </c>
      <c r="E8626" s="10" t="inlineStr">
        <is>
          <t>連0814</t>
        </is>
      </c>
      <c r="F8626" t="inlineStr">
        <is>
          <t>0211</t>
        </is>
      </c>
      <c r="G8626" s="10" t="inlineStr">
        <is>
          <t>帷子ノ辻</t>
        </is>
      </c>
      <c r="H8626" s="10" t="inlineStr">
        <is>
          <t>発</t>
        </is>
      </c>
      <c r="J8626" s="10" t="inlineStr">
        <is>
          <t>営業</t>
        </is>
      </c>
      <c r="L8626" t="inlineStr">
        <is>
          <t>9:00:10</t>
        </is>
      </c>
      <c r="M8626" t="inlineStr">
        <is>
          <t>9:01:15</t>
        </is>
      </c>
      <c r="P8626" t="inlineStr">
        <is>
          <t>D系統(朝)</t>
        </is>
      </c>
    </row>
    <row r="8627" ht="16.5" customHeight="1" s="37">
      <c r="A8627" t="n">
        <v>3</v>
      </c>
      <c r="B8627" s="10" t="inlineStr">
        <is>
          <t>平日</t>
        </is>
      </c>
      <c r="C8627" s="10" t="inlineStr">
        <is>
          <t>本線</t>
        </is>
      </c>
      <c r="D8627" s="10" t="inlineStr">
        <is>
          <t>上り</t>
        </is>
      </c>
      <c r="E8627" s="10" t="inlineStr">
        <is>
          <t>連0814</t>
        </is>
      </c>
      <c r="F8627" t="inlineStr">
        <is>
          <t>0211</t>
        </is>
      </c>
      <c r="G8627" s="10" t="inlineStr">
        <is>
          <t>太秦広隆寺</t>
        </is>
      </c>
      <c r="H8627" s="10" t="inlineStr">
        <is>
          <t>発</t>
        </is>
      </c>
      <c r="J8627" s="10" t="inlineStr">
        <is>
          <t>営業</t>
        </is>
      </c>
      <c r="L8627" t="inlineStr">
        <is>
          <t>9:03:25</t>
        </is>
      </c>
      <c r="M8627" t="inlineStr">
        <is>
          <t>9:03:45</t>
        </is>
      </c>
      <c r="P8627" t="inlineStr">
        <is>
          <t>D系統(朝)</t>
        </is>
      </c>
    </row>
    <row r="8628" ht="16.5" customHeight="1" s="37">
      <c r="A8628" t="n">
        <v>3</v>
      </c>
      <c r="B8628" s="10" t="inlineStr">
        <is>
          <t>平日</t>
        </is>
      </c>
      <c r="C8628" s="10" t="inlineStr">
        <is>
          <t>本線</t>
        </is>
      </c>
      <c r="D8628" s="10" t="inlineStr">
        <is>
          <t>上り</t>
        </is>
      </c>
      <c r="E8628" s="10" t="inlineStr">
        <is>
          <t>連0814</t>
        </is>
      </c>
      <c r="F8628" t="inlineStr">
        <is>
          <t>0211</t>
        </is>
      </c>
      <c r="G8628" s="10" t="inlineStr">
        <is>
          <t>蚕ノ社</t>
        </is>
      </c>
      <c r="H8628" s="10" t="inlineStr">
        <is>
          <t>発</t>
        </is>
      </c>
      <c r="J8628" s="10" t="inlineStr">
        <is>
          <t>営業</t>
        </is>
      </c>
      <c r="L8628" t="inlineStr">
        <is>
          <t>9:05:00</t>
        </is>
      </c>
      <c r="M8628" t="inlineStr">
        <is>
          <t>9:05:20</t>
        </is>
      </c>
      <c r="P8628" t="inlineStr">
        <is>
          <t>D系統(朝)</t>
        </is>
      </c>
    </row>
    <row r="8629" ht="16.5" customHeight="1" s="37">
      <c r="A8629" t="n">
        <v>3</v>
      </c>
      <c r="B8629" s="10" t="inlineStr">
        <is>
          <t>平日</t>
        </is>
      </c>
      <c r="C8629" s="10" t="inlineStr">
        <is>
          <t>本線</t>
        </is>
      </c>
      <c r="D8629" s="10" t="inlineStr">
        <is>
          <t>上り</t>
        </is>
      </c>
      <c r="E8629" s="10" t="inlineStr">
        <is>
          <t>連0814</t>
        </is>
      </c>
      <c r="F8629" t="inlineStr">
        <is>
          <t>0211</t>
        </is>
      </c>
      <c r="G8629" s="10" t="inlineStr">
        <is>
          <t>天神川</t>
        </is>
      </c>
      <c r="H8629" s="10" t="inlineStr">
        <is>
          <t>発</t>
        </is>
      </c>
      <c r="J8629" s="10" t="inlineStr">
        <is>
          <t>営業</t>
        </is>
      </c>
      <c r="L8629" t="inlineStr">
        <is>
          <t>9:06:05</t>
        </is>
      </c>
      <c r="M8629" t="inlineStr">
        <is>
          <t>9:06:50</t>
        </is>
      </c>
      <c r="P8629" t="inlineStr">
        <is>
          <t>D系統(朝)</t>
        </is>
      </c>
    </row>
    <row r="8630" ht="16.5" customHeight="1" s="37">
      <c r="A8630" t="n">
        <v>3</v>
      </c>
      <c r="B8630" s="10" t="inlineStr">
        <is>
          <t>平日</t>
        </is>
      </c>
      <c r="C8630" s="10" t="inlineStr">
        <is>
          <t>本線</t>
        </is>
      </c>
      <c r="D8630" s="10" t="inlineStr">
        <is>
          <t>上り</t>
        </is>
      </c>
      <c r="E8630" s="10" t="inlineStr">
        <is>
          <t>連0814</t>
        </is>
      </c>
      <c r="F8630" t="inlineStr">
        <is>
          <t>0211</t>
        </is>
      </c>
      <c r="G8630" s="10" t="inlineStr">
        <is>
          <t>山ノ内</t>
        </is>
      </c>
      <c r="H8630" s="10" t="inlineStr">
        <is>
          <t>発</t>
        </is>
      </c>
      <c r="J8630" s="10" t="inlineStr">
        <is>
          <t>営業</t>
        </is>
      </c>
      <c r="L8630" t="inlineStr">
        <is>
          <t>9:08:40</t>
        </is>
      </c>
      <c r="M8630" t="inlineStr">
        <is>
          <t>9:09:05</t>
        </is>
      </c>
      <c r="P8630" t="inlineStr">
        <is>
          <t>D系統(朝)</t>
        </is>
      </c>
    </row>
    <row r="8631" ht="16.5" customHeight="1" s="37">
      <c r="A8631" t="n">
        <v>3</v>
      </c>
      <c r="B8631" s="10" t="inlineStr">
        <is>
          <t>平日</t>
        </is>
      </c>
      <c r="C8631" s="10" t="inlineStr">
        <is>
          <t>本線</t>
        </is>
      </c>
      <c r="D8631" s="10" t="inlineStr">
        <is>
          <t>上り</t>
        </is>
      </c>
      <c r="E8631" s="10" t="inlineStr">
        <is>
          <t>連0814</t>
        </is>
      </c>
      <c r="F8631" t="inlineStr">
        <is>
          <t>0211</t>
        </is>
      </c>
      <c r="G8631" s="10" t="inlineStr">
        <is>
          <t>西大路三条</t>
        </is>
      </c>
      <c r="H8631" s="10" t="inlineStr">
        <is>
          <t>発</t>
        </is>
      </c>
      <c r="J8631" s="10" t="inlineStr">
        <is>
          <t>営業</t>
        </is>
      </c>
      <c r="L8631" t="inlineStr">
        <is>
          <t>9:10:55</t>
        </is>
      </c>
      <c r="M8631" t="inlineStr">
        <is>
          <t>9:11:15</t>
        </is>
      </c>
      <c r="P8631" t="inlineStr">
        <is>
          <t>D系統(朝)</t>
        </is>
      </c>
    </row>
    <row r="8632" ht="16.5" customHeight="1" s="37">
      <c r="A8632" t="n">
        <v>3</v>
      </c>
      <c r="B8632" s="10" t="inlineStr">
        <is>
          <t>平日</t>
        </is>
      </c>
      <c r="C8632" s="10" t="inlineStr">
        <is>
          <t>本線</t>
        </is>
      </c>
      <c r="D8632" s="10" t="inlineStr">
        <is>
          <t>上り</t>
        </is>
      </c>
      <c r="E8632" s="10" t="inlineStr">
        <is>
          <t>連0814</t>
        </is>
      </c>
      <c r="F8632" t="inlineStr">
        <is>
          <t>0211</t>
        </is>
      </c>
      <c r="G8632" s="10" t="inlineStr">
        <is>
          <t>西院</t>
        </is>
      </c>
      <c r="H8632" s="10" t="inlineStr">
        <is>
          <t>発</t>
        </is>
      </c>
      <c r="J8632" s="10" t="inlineStr">
        <is>
          <t>営業</t>
        </is>
      </c>
      <c r="L8632" t="inlineStr">
        <is>
          <t>9:13:10</t>
        </is>
      </c>
      <c r="M8632" t="inlineStr">
        <is>
          <t>9:14:05</t>
        </is>
      </c>
      <c r="P8632" t="inlineStr">
        <is>
          <t>D系統(朝)</t>
        </is>
      </c>
    </row>
    <row r="8633" ht="16.5" customHeight="1" s="37">
      <c r="A8633" t="n">
        <v>3</v>
      </c>
      <c r="B8633" s="10" t="inlineStr">
        <is>
          <t>平日</t>
        </is>
      </c>
      <c r="C8633" s="10" t="inlineStr">
        <is>
          <t>本線</t>
        </is>
      </c>
      <c r="D8633" s="10" t="inlineStr">
        <is>
          <t>上り</t>
        </is>
      </c>
      <c r="E8633" s="10" t="inlineStr">
        <is>
          <t>連0814</t>
        </is>
      </c>
      <c r="F8633" t="inlineStr">
        <is>
          <t>0211</t>
        </is>
      </c>
      <c r="G8633" s="10" t="inlineStr">
        <is>
          <t>四条大宮</t>
        </is>
      </c>
      <c r="H8633" s="10" t="inlineStr">
        <is>
          <t>着</t>
        </is>
      </c>
      <c r="J8633" s="10" t="inlineStr">
        <is>
          <t>営業</t>
        </is>
      </c>
      <c r="L8633" t="inlineStr">
        <is>
          <t>9:17:00</t>
        </is>
      </c>
      <c r="P8633" t="inlineStr">
        <is>
          <t>D系統(朝)</t>
        </is>
      </c>
      <c r="Q8633" t="inlineStr">
        <is>
          <t>1</t>
        </is>
      </c>
    </row>
    <row r="8634" ht="16.5" customHeight="1" s="37">
      <c r="A8634" t="n">
        <v>3</v>
      </c>
      <c r="B8634" s="10" t="inlineStr">
        <is>
          <t>平日</t>
        </is>
      </c>
      <c r="C8634" s="10" t="inlineStr">
        <is>
          <t>本線</t>
        </is>
      </c>
      <c r="D8634" s="10" t="inlineStr">
        <is>
          <t>下り</t>
        </is>
      </c>
      <c r="E8634" s="10" t="inlineStr">
        <is>
          <t>連0905</t>
        </is>
      </c>
      <c r="F8634" t="inlineStr">
        <is>
          <t>0112</t>
        </is>
      </c>
      <c r="G8634" s="10" t="inlineStr">
        <is>
          <t>四条大宮</t>
        </is>
      </c>
      <c r="H8634" s="10" t="inlineStr">
        <is>
          <t>発</t>
        </is>
      </c>
      <c r="J8634" s="10" t="inlineStr">
        <is>
          <t>営業</t>
        </is>
      </c>
      <c r="M8634" t="inlineStr">
        <is>
          <t>9:22:00</t>
        </is>
      </c>
      <c r="P8634" t="inlineStr">
        <is>
          <t>D系統(朝)</t>
        </is>
      </c>
      <c r="Q8634" t="inlineStr">
        <is>
          <t>1</t>
        </is>
      </c>
    </row>
    <row r="8635" ht="16.5" customHeight="1" s="37">
      <c r="A8635" t="n">
        <v>3</v>
      </c>
      <c r="B8635" s="10" t="inlineStr">
        <is>
          <t>平日</t>
        </is>
      </c>
      <c r="C8635" s="10" t="inlineStr">
        <is>
          <t>本線</t>
        </is>
      </c>
      <c r="D8635" s="10" t="inlineStr">
        <is>
          <t>下り</t>
        </is>
      </c>
      <c r="E8635" s="10" t="inlineStr">
        <is>
          <t>連0905</t>
        </is>
      </c>
      <c r="F8635" t="inlineStr">
        <is>
          <t>0112</t>
        </is>
      </c>
      <c r="G8635" s="10" t="inlineStr">
        <is>
          <t>西院</t>
        </is>
      </c>
      <c r="H8635" s="10" t="inlineStr">
        <is>
          <t>着</t>
        </is>
      </c>
      <c r="J8635" s="10" t="inlineStr">
        <is>
          <t>営業</t>
        </is>
      </c>
      <c r="L8635" t="inlineStr">
        <is>
          <t>9:24:50</t>
        </is>
      </c>
      <c r="M8635" t="inlineStr">
        <is>
          <t>9:26:20</t>
        </is>
      </c>
      <c r="P8635" t="inlineStr">
        <is>
          <t>D系統(朝)</t>
        </is>
      </c>
    </row>
    <row r="8636" ht="16.5" customHeight="1" s="37">
      <c r="A8636" t="n">
        <v>4</v>
      </c>
      <c r="B8636" s="10" t="inlineStr">
        <is>
          <t>平日</t>
        </is>
      </c>
      <c r="C8636" s="10" t="inlineStr">
        <is>
          <t>本線</t>
        </is>
      </c>
      <c r="D8636" s="10" t="inlineStr">
        <is>
          <t>下り</t>
        </is>
      </c>
      <c r="E8636" t="inlineStr">
        <is>
          <t>0907</t>
        </is>
      </c>
      <c r="F8636" t="inlineStr">
        <is>
          <t>0112</t>
        </is>
      </c>
      <c r="G8636" s="10" t="inlineStr">
        <is>
          <t>西院</t>
        </is>
      </c>
      <c r="H8636" s="10" t="inlineStr">
        <is>
          <t>発</t>
        </is>
      </c>
      <c r="J8636" s="10" t="inlineStr">
        <is>
          <t>営業</t>
        </is>
      </c>
      <c r="L8636" t="inlineStr">
        <is>
          <t>9:34:50</t>
        </is>
      </c>
      <c r="M8636" t="inlineStr">
        <is>
          <t>9:36:20</t>
        </is>
      </c>
    </row>
    <row r="8637" ht="16.5" customHeight="1" s="37">
      <c r="A8637" t="n">
        <v>4</v>
      </c>
      <c r="B8637" s="10" t="inlineStr">
        <is>
          <t>平日</t>
        </is>
      </c>
      <c r="C8637" s="10" t="inlineStr">
        <is>
          <t>本線</t>
        </is>
      </c>
      <c r="D8637" s="10" t="inlineStr">
        <is>
          <t>下り</t>
        </is>
      </c>
      <c r="E8637" t="inlineStr">
        <is>
          <t>0907</t>
        </is>
      </c>
      <c r="F8637" t="inlineStr">
        <is>
          <t>0112</t>
        </is>
      </c>
      <c r="G8637" s="10" t="inlineStr">
        <is>
          <t>西大路三条</t>
        </is>
      </c>
      <c r="H8637" s="10" t="inlineStr">
        <is>
          <t>発</t>
        </is>
      </c>
      <c r="J8637" s="10" t="inlineStr">
        <is>
          <t>営業</t>
        </is>
      </c>
      <c r="L8637" t="inlineStr">
        <is>
          <t>9:38:10</t>
        </is>
      </c>
      <c r="M8637" t="inlineStr">
        <is>
          <t>9:38:30</t>
        </is>
      </c>
    </row>
    <row r="8638" ht="16.5" customHeight="1" s="37">
      <c r="A8638" t="n">
        <v>4</v>
      </c>
      <c r="B8638" s="10" t="inlineStr">
        <is>
          <t>平日</t>
        </is>
      </c>
      <c r="C8638" s="10" t="inlineStr">
        <is>
          <t>本線</t>
        </is>
      </c>
      <c r="D8638" s="10" t="inlineStr">
        <is>
          <t>下り</t>
        </is>
      </c>
      <c r="E8638" t="inlineStr">
        <is>
          <t>0907</t>
        </is>
      </c>
      <c r="F8638" t="inlineStr">
        <is>
          <t>0112</t>
        </is>
      </c>
      <c r="G8638" s="10" t="inlineStr">
        <is>
          <t>山ノ内</t>
        </is>
      </c>
      <c r="H8638" s="10" t="inlineStr">
        <is>
          <t>発</t>
        </is>
      </c>
      <c r="J8638" s="10" t="inlineStr">
        <is>
          <t>営業</t>
        </is>
      </c>
      <c r="L8638" t="inlineStr">
        <is>
          <t>9:40:25</t>
        </is>
      </c>
      <c r="M8638" t="inlineStr">
        <is>
          <t>9:40:50</t>
        </is>
      </c>
    </row>
    <row r="8639" ht="16.5" customHeight="1" s="37">
      <c r="A8639" t="n">
        <v>4</v>
      </c>
      <c r="B8639" s="10" t="inlineStr">
        <is>
          <t>平日</t>
        </is>
      </c>
      <c r="C8639" s="10" t="inlineStr">
        <is>
          <t>本線</t>
        </is>
      </c>
      <c r="D8639" s="10" t="inlineStr">
        <is>
          <t>下り</t>
        </is>
      </c>
      <c r="E8639" t="inlineStr">
        <is>
          <t>0907</t>
        </is>
      </c>
      <c r="F8639" t="inlineStr">
        <is>
          <t>0112</t>
        </is>
      </c>
      <c r="G8639" s="10" t="inlineStr">
        <is>
          <t>天神川</t>
        </is>
      </c>
      <c r="H8639" s="10" t="inlineStr">
        <is>
          <t>発</t>
        </is>
      </c>
      <c r="J8639" s="10" t="inlineStr">
        <is>
          <t>営業</t>
        </is>
      </c>
      <c r="L8639" t="inlineStr">
        <is>
          <t>9:42:50</t>
        </is>
      </c>
      <c r="M8639" t="inlineStr">
        <is>
          <t>9:43:30</t>
        </is>
      </c>
    </row>
    <row r="8640" ht="16.5" customHeight="1" s="37">
      <c r="A8640" t="n">
        <v>4</v>
      </c>
      <c r="B8640" s="10" t="inlineStr">
        <is>
          <t>平日</t>
        </is>
      </c>
      <c r="C8640" s="10" t="inlineStr">
        <is>
          <t>本線</t>
        </is>
      </c>
      <c r="D8640" s="10" t="inlineStr">
        <is>
          <t>下り</t>
        </is>
      </c>
      <c r="E8640" t="inlineStr">
        <is>
          <t>0907</t>
        </is>
      </c>
      <c r="F8640" t="inlineStr">
        <is>
          <t>0112</t>
        </is>
      </c>
      <c r="G8640" s="10" t="inlineStr">
        <is>
          <t>蚕ノ社</t>
        </is>
      </c>
      <c r="H8640" s="10" t="inlineStr">
        <is>
          <t>発</t>
        </is>
      </c>
      <c r="J8640" s="10" t="inlineStr">
        <is>
          <t>営業</t>
        </is>
      </c>
      <c r="L8640" t="inlineStr">
        <is>
          <t>9:44:20</t>
        </is>
      </c>
      <c r="M8640" t="inlineStr">
        <is>
          <t>9:44:40</t>
        </is>
      </c>
    </row>
    <row r="8641" ht="16.5" customHeight="1" s="37">
      <c r="A8641" t="n">
        <v>4</v>
      </c>
      <c r="B8641" s="10" t="inlineStr">
        <is>
          <t>平日</t>
        </is>
      </c>
      <c r="C8641" s="10" t="inlineStr">
        <is>
          <t>本線</t>
        </is>
      </c>
      <c r="D8641" s="10" t="inlineStr">
        <is>
          <t>下り</t>
        </is>
      </c>
      <c r="E8641" t="inlineStr">
        <is>
          <t>0907</t>
        </is>
      </c>
      <c r="F8641" t="inlineStr">
        <is>
          <t>0112</t>
        </is>
      </c>
      <c r="G8641" s="10" t="inlineStr">
        <is>
          <t>太秦広隆寺</t>
        </is>
      </c>
      <c r="H8641" s="10" t="inlineStr">
        <is>
          <t>発</t>
        </is>
      </c>
      <c r="J8641" s="10" t="inlineStr">
        <is>
          <t>営業</t>
        </is>
      </c>
      <c r="L8641" t="inlineStr">
        <is>
          <t>9:46:00</t>
        </is>
      </c>
      <c r="M8641" t="inlineStr">
        <is>
          <t>9:46:20</t>
        </is>
      </c>
    </row>
    <row r="8642" ht="16.5" customHeight="1" s="37">
      <c r="A8642" t="n">
        <v>4</v>
      </c>
      <c r="B8642" s="10" t="inlineStr">
        <is>
          <t>平日</t>
        </is>
      </c>
      <c r="C8642" s="10" t="inlineStr">
        <is>
          <t>本線</t>
        </is>
      </c>
      <c r="D8642" s="10" t="inlineStr">
        <is>
          <t>下り</t>
        </is>
      </c>
      <c r="E8642" t="inlineStr">
        <is>
          <t>0907</t>
        </is>
      </c>
      <c r="F8642" t="inlineStr">
        <is>
          <t>0112</t>
        </is>
      </c>
      <c r="G8642" s="10" t="inlineStr">
        <is>
          <t>帷子ノ辻</t>
        </is>
      </c>
      <c r="H8642" s="10" t="inlineStr">
        <is>
          <t>発</t>
        </is>
      </c>
      <c r="J8642" s="10" t="inlineStr">
        <is>
          <t>営業</t>
        </is>
      </c>
      <c r="L8642" t="inlineStr">
        <is>
          <t>9:48:20</t>
        </is>
      </c>
      <c r="M8642" t="inlineStr">
        <is>
          <t>9:49:40</t>
        </is>
      </c>
    </row>
    <row r="8643" ht="16.5" customHeight="1" s="37">
      <c r="A8643" t="n">
        <v>4</v>
      </c>
      <c r="B8643" s="10" t="inlineStr">
        <is>
          <t>平日</t>
        </is>
      </c>
      <c r="C8643" s="10" t="inlineStr">
        <is>
          <t>本線</t>
        </is>
      </c>
      <c r="D8643" s="10" t="inlineStr">
        <is>
          <t>下り</t>
        </is>
      </c>
      <c r="E8643" t="inlineStr">
        <is>
          <t>0907</t>
        </is>
      </c>
      <c r="F8643" t="inlineStr">
        <is>
          <t>0112</t>
        </is>
      </c>
      <c r="G8643" s="10" t="inlineStr">
        <is>
          <t>有栖川</t>
        </is>
      </c>
      <c r="H8643" s="10" t="inlineStr">
        <is>
          <t>発</t>
        </is>
      </c>
      <c r="J8643" s="10" t="inlineStr">
        <is>
          <t>営業</t>
        </is>
      </c>
      <c r="L8643" t="inlineStr">
        <is>
          <t>9:50:50</t>
        </is>
      </c>
      <c r="M8643" t="inlineStr">
        <is>
          <t>9:51:15</t>
        </is>
      </c>
    </row>
    <row r="8644" ht="16.5" customHeight="1" s="37">
      <c r="A8644" t="n">
        <v>4</v>
      </c>
      <c r="B8644" s="10" t="inlineStr">
        <is>
          <t>平日</t>
        </is>
      </c>
      <c r="C8644" s="10" t="inlineStr">
        <is>
          <t>本線</t>
        </is>
      </c>
      <c r="D8644" s="10" t="inlineStr">
        <is>
          <t>下り</t>
        </is>
      </c>
      <c r="E8644" t="inlineStr">
        <is>
          <t>0907</t>
        </is>
      </c>
      <c r="F8644" t="inlineStr">
        <is>
          <t>0112</t>
        </is>
      </c>
      <c r="G8644" s="10" t="inlineStr">
        <is>
          <t>車折</t>
        </is>
      </c>
      <c r="H8644" s="10" t="inlineStr">
        <is>
          <t>発</t>
        </is>
      </c>
      <c r="J8644" s="10" t="inlineStr">
        <is>
          <t>営業</t>
        </is>
      </c>
      <c r="L8644" t="inlineStr">
        <is>
          <t>9:52:40</t>
        </is>
      </c>
      <c r="M8644" t="inlineStr">
        <is>
          <t>9:53:05</t>
        </is>
      </c>
    </row>
    <row r="8645" ht="16.5" customHeight="1" s="37">
      <c r="A8645" t="n">
        <v>4</v>
      </c>
      <c r="B8645" s="10" t="inlineStr">
        <is>
          <t>平日</t>
        </is>
      </c>
      <c r="C8645" s="10" t="inlineStr">
        <is>
          <t>本線</t>
        </is>
      </c>
      <c r="D8645" s="10" t="inlineStr">
        <is>
          <t>下り</t>
        </is>
      </c>
      <c r="E8645" t="inlineStr">
        <is>
          <t>0907</t>
        </is>
      </c>
      <c r="F8645" t="inlineStr">
        <is>
          <t>0112</t>
        </is>
      </c>
      <c r="G8645" s="10" t="inlineStr">
        <is>
          <t>鹿王院</t>
        </is>
      </c>
      <c r="H8645" s="10" t="inlineStr">
        <is>
          <t>発</t>
        </is>
      </c>
      <c r="J8645" s="10" t="inlineStr">
        <is>
          <t>営業</t>
        </is>
      </c>
      <c r="L8645" t="inlineStr">
        <is>
          <t>9:54:00</t>
        </is>
      </c>
      <c r="M8645" t="inlineStr">
        <is>
          <t>9:54:25</t>
        </is>
      </c>
    </row>
    <row r="8646" ht="16.5" customHeight="1" s="37">
      <c r="A8646" t="n">
        <v>4</v>
      </c>
      <c r="B8646" s="10" t="inlineStr">
        <is>
          <t>平日</t>
        </is>
      </c>
      <c r="C8646" s="10" t="inlineStr">
        <is>
          <t>本線</t>
        </is>
      </c>
      <c r="D8646" s="10" t="inlineStr">
        <is>
          <t>下り</t>
        </is>
      </c>
      <c r="E8646" t="inlineStr">
        <is>
          <t>0907</t>
        </is>
      </c>
      <c r="F8646" t="inlineStr">
        <is>
          <t>0112</t>
        </is>
      </c>
      <c r="G8646" s="10" t="inlineStr">
        <is>
          <t>嵯峨</t>
        </is>
      </c>
      <c r="H8646" s="10" t="inlineStr">
        <is>
          <t>発</t>
        </is>
      </c>
      <c r="J8646" s="10" t="inlineStr">
        <is>
          <t>営業</t>
        </is>
      </c>
      <c r="L8646" t="inlineStr">
        <is>
          <t>9:55:30</t>
        </is>
      </c>
      <c r="M8646" t="inlineStr">
        <is>
          <t>9:55:55</t>
        </is>
      </c>
    </row>
    <row r="8647" ht="15" customHeight="1" s="37">
      <c r="A8647" t="n">
        <v>4</v>
      </c>
      <c r="B8647" s="10" t="inlineStr">
        <is>
          <t>平日</t>
        </is>
      </c>
      <c r="C8647" s="10" t="inlineStr">
        <is>
          <t>本線</t>
        </is>
      </c>
      <c r="D8647" s="10" t="inlineStr">
        <is>
          <t>下り</t>
        </is>
      </c>
      <c r="E8647" t="inlineStr">
        <is>
          <t>0907</t>
        </is>
      </c>
      <c r="F8647" t="inlineStr">
        <is>
          <t>0112</t>
        </is>
      </c>
      <c r="G8647" s="10" t="inlineStr">
        <is>
          <t>嵐山</t>
        </is>
      </c>
      <c r="H8647" s="10" t="inlineStr">
        <is>
          <t>着</t>
        </is>
      </c>
      <c r="J8647" s="10" t="inlineStr">
        <is>
          <t>営業</t>
        </is>
      </c>
      <c r="L8647" t="inlineStr">
        <is>
          <t>9:57:00</t>
        </is>
      </c>
      <c r="Q8647" t="inlineStr">
        <is>
          <t>1</t>
        </is>
      </c>
    </row>
    <row r="8648" ht="15" customHeight="1" s="37">
      <c r="A8648" t="n">
        <v>4</v>
      </c>
      <c r="B8648" s="10" t="inlineStr">
        <is>
          <t>平日</t>
        </is>
      </c>
      <c r="C8648" s="10" t="inlineStr">
        <is>
          <t>本線</t>
        </is>
      </c>
      <c r="D8648" s="10" t="inlineStr">
        <is>
          <t>上り</t>
        </is>
      </c>
      <c r="E8648" t="inlineStr">
        <is>
          <t>1002</t>
        </is>
      </c>
      <c r="F8648" t="inlineStr">
        <is>
          <t>0211</t>
        </is>
      </c>
      <c r="G8648" s="10" t="inlineStr">
        <is>
          <t>嵐山</t>
        </is>
      </c>
      <c r="H8648" s="10" t="inlineStr">
        <is>
          <t>発</t>
        </is>
      </c>
      <c r="J8648" s="10" t="inlineStr">
        <is>
          <t>営業</t>
        </is>
      </c>
      <c r="M8648" t="inlineStr">
        <is>
          <t>10:03:00</t>
        </is>
      </c>
      <c r="Q8648" t="inlineStr">
        <is>
          <t>1</t>
        </is>
      </c>
    </row>
    <row r="8649" ht="15" customHeight="1" s="37">
      <c r="A8649" t="n">
        <v>4</v>
      </c>
      <c r="B8649" s="10" t="inlineStr">
        <is>
          <t>平日</t>
        </is>
      </c>
      <c r="C8649" s="10" t="inlineStr">
        <is>
          <t>本線</t>
        </is>
      </c>
      <c r="D8649" s="10" t="inlineStr">
        <is>
          <t>上り</t>
        </is>
      </c>
      <c r="E8649" t="inlineStr">
        <is>
          <t>1002</t>
        </is>
      </c>
      <c r="F8649" t="inlineStr">
        <is>
          <t>0211</t>
        </is>
      </c>
      <c r="G8649" s="10" t="inlineStr">
        <is>
          <t>嵯峨</t>
        </is>
      </c>
      <c r="H8649" s="10" t="inlineStr">
        <is>
          <t>発</t>
        </is>
      </c>
      <c r="J8649" s="10" t="inlineStr">
        <is>
          <t>営業</t>
        </is>
      </c>
      <c r="L8649" t="inlineStr">
        <is>
          <t>10:03:55</t>
        </is>
      </c>
      <c r="M8649" t="inlineStr">
        <is>
          <t>10:04:20</t>
        </is>
      </c>
    </row>
    <row r="8650" ht="15" customHeight="1" s="37">
      <c r="A8650" t="n">
        <v>4</v>
      </c>
      <c r="B8650" s="10" t="inlineStr">
        <is>
          <t>平日</t>
        </is>
      </c>
      <c r="C8650" s="10" t="inlineStr">
        <is>
          <t>本線</t>
        </is>
      </c>
      <c r="D8650" s="10" t="inlineStr">
        <is>
          <t>上り</t>
        </is>
      </c>
      <c r="E8650" t="inlineStr">
        <is>
          <t>1002</t>
        </is>
      </c>
      <c r="F8650" t="inlineStr">
        <is>
          <t>0211</t>
        </is>
      </c>
      <c r="G8650" s="10" t="inlineStr">
        <is>
          <t>鹿王院</t>
        </is>
      </c>
      <c r="H8650" s="10" t="inlineStr">
        <is>
          <t>発</t>
        </is>
      </c>
      <c r="J8650" s="10" t="inlineStr">
        <is>
          <t>営業</t>
        </is>
      </c>
      <c r="L8650" t="inlineStr">
        <is>
          <t>10:05:25</t>
        </is>
      </c>
      <c r="M8650" t="inlineStr">
        <is>
          <t>10:05:45</t>
        </is>
      </c>
    </row>
    <row r="8651" ht="15" customHeight="1" s="37">
      <c r="A8651" t="n">
        <v>4</v>
      </c>
      <c r="B8651" s="10" t="inlineStr">
        <is>
          <t>平日</t>
        </is>
      </c>
      <c r="C8651" s="10" t="inlineStr">
        <is>
          <t>本線</t>
        </is>
      </c>
      <c r="D8651" s="10" t="inlineStr">
        <is>
          <t>上り</t>
        </is>
      </c>
      <c r="E8651" t="inlineStr">
        <is>
          <t>1002</t>
        </is>
      </c>
      <c r="F8651" t="inlineStr">
        <is>
          <t>0211</t>
        </is>
      </c>
      <c r="G8651" s="10" t="inlineStr">
        <is>
          <t>車折</t>
        </is>
      </c>
      <c r="H8651" s="10" t="inlineStr">
        <is>
          <t>発</t>
        </is>
      </c>
      <c r="J8651" s="10" t="inlineStr">
        <is>
          <t>営業</t>
        </is>
      </c>
      <c r="L8651" t="inlineStr">
        <is>
          <t>10:06:40</t>
        </is>
      </c>
      <c r="M8651" t="inlineStr">
        <is>
          <t>10:07:10</t>
        </is>
      </c>
    </row>
    <row r="8652" ht="15" customHeight="1" s="37">
      <c r="A8652" t="n">
        <v>4</v>
      </c>
      <c r="B8652" s="10" t="inlineStr">
        <is>
          <t>平日</t>
        </is>
      </c>
      <c r="C8652" s="10" t="inlineStr">
        <is>
          <t>本線</t>
        </is>
      </c>
      <c r="D8652" s="10" t="inlineStr">
        <is>
          <t>上り</t>
        </is>
      </c>
      <c r="E8652" t="inlineStr">
        <is>
          <t>1002</t>
        </is>
      </c>
      <c r="F8652" t="inlineStr">
        <is>
          <t>0211</t>
        </is>
      </c>
      <c r="G8652" s="10" t="inlineStr">
        <is>
          <t>有栖川</t>
        </is>
      </c>
      <c r="H8652" s="10" t="inlineStr">
        <is>
          <t>発</t>
        </is>
      </c>
      <c r="J8652" s="10" t="inlineStr">
        <is>
          <t>営業</t>
        </is>
      </c>
      <c r="L8652" t="inlineStr">
        <is>
          <t>10:08:35</t>
        </is>
      </c>
      <c r="M8652" t="inlineStr">
        <is>
          <t>10:08:55</t>
        </is>
      </c>
    </row>
    <row r="8653" ht="15" customHeight="1" s="37">
      <c r="A8653" t="n">
        <v>4</v>
      </c>
      <c r="B8653" s="10" t="inlineStr">
        <is>
          <t>平日</t>
        </is>
      </c>
      <c r="C8653" s="10" t="inlineStr">
        <is>
          <t>本線</t>
        </is>
      </c>
      <c r="D8653" s="10" t="inlineStr">
        <is>
          <t>上り</t>
        </is>
      </c>
      <c r="E8653" t="inlineStr">
        <is>
          <t>1002</t>
        </is>
      </c>
      <c r="F8653" t="inlineStr">
        <is>
          <t>0211</t>
        </is>
      </c>
      <c r="G8653" s="10" t="inlineStr">
        <is>
          <t>帷子ノ辻</t>
        </is>
      </c>
      <c r="H8653" s="10" t="inlineStr">
        <is>
          <t>発</t>
        </is>
      </c>
      <c r="J8653" s="10" t="inlineStr">
        <is>
          <t>営業</t>
        </is>
      </c>
      <c r="L8653" t="inlineStr">
        <is>
          <t>10:10:10</t>
        </is>
      </c>
      <c r="M8653" t="inlineStr">
        <is>
          <t>10:11:15</t>
        </is>
      </c>
    </row>
    <row r="8654" ht="15" customHeight="1" s="37">
      <c r="A8654" t="n">
        <v>4</v>
      </c>
      <c r="B8654" s="10" t="inlineStr">
        <is>
          <t>平日</t>
        </is>
      </c>
      <c r="C8654" s="10" t="inlineStr">
        <is>
          <t>本線</t>
        </is>
      </c>
      <c r="D8654" s="10" t="inlineStr">
        <is>
          <t>上り</t>
        </is>
      </c>
      <c r="E8654" t="inlineStr">
        <is>
          <t>1002</t>
        </is>
      </c>
      <c r="F8654" t="inlineStr">
        <is>
          <t>0211</t>
        </is>
      </c>
      <c r="G8654" s="10" t="inlineStr">
        <is>
          <t>太秦広隆寺</t>
        </is>
      </c>
      <c r="H8654" s="10" t="inlineStr">
        <is>
          <t>発</t>
        </is>
      </c>
      <c r="J8654" s="10" t="inlineStr">
        <is>
          <t>営業</t>
        </is>
      </c>
      <c r="L8654" t="inlineStr">
        <is>
          <t>10:13:25</t>
        </is>
      </c>
      <c r="M8654" t="inlineStr">
        <is>
          <t>10:13:45</t>
        </is>
      </c>
    </row>
    <row r="8655" ht="15" customHeight="1" s="37">
      <c r="A8655" t="n">
        <v>4</v>
      </c>
      <c r="B8655" s="10" t="inlineStr">
        <is>
          <t>平日</t>
        </is>
      </c>
      <c r="C8655" s="10" t="inlineStr">
        <is>
          <t>本線</t>
        </is>
      </c>
      <c r="D8655" s="10" t="inlineStr">
        <is>
          <t>上り</t>
        </is>
      </c>
      <c r="E8655" t="inlineStr">
        <is>
          <t>1002</t>
        </is>
      </c>
      <c r="F8655" t="inlineStr">
        <is>
          <t>0211</t>
        </is>
      </c>
      <c r="G8655" s="10" t="inlineStr">
        <is>
          <t>蚕ノ社</t>
        </is>
      </c>
      <c r="H8655" s="10" t="inlineStr">
        <is>
          <t>発</t>
        </is>
      </c>
      <c r="J8655" s="10" t="inlineStr">
        <is>
          <t>営業</t>
        </is>
      </c>
      <c r="L8655" t="inlineStr">
        <is>
          <t>10:15:00</t>
        </is>
      </c>
      <c r="M8655" t="inlineStr">
        <is>
          <t>10:15:20</t>
        </is>
      </c>
    </row>
    <row r="8656" ht="15" customHeight="1" s="37">
      <c r="A8656" t="n">
        <v>4</v>
      </c>
      <c r="B8656" s="10" t="inlineStr">
        <is>
          <t>平日</t>
        </is>
      </c>
      <c r="C8656" s="10" t="inlineStr">
        <is>
          <t>本線</t>
        </is>
      </c>
      <c r="D8656" s="10" t="inlineStr">
        <is>
          <t>上り</t>
        </is>
      </c>
      <c r="E8656" t="inlineStr">
        <is>
          <t>1002</t>
        </is>
      </c>
      <c r="F8656" t="inlineStr">
        <is>
          <t>0211</t>
        </is>
      </c>
      <c r="G8656" s="10" t="inlineStr">
        <is>
          <t>天神川</t>
        </is>
      </c>
      <c r="H8656" s="10" t="inlineStr">
        <is>
          <t>発</t>
        </is>
      </c>
      <c r="J8656" s="10" t="inlineStr">
        <is>
          <t>営業</t>
        </is>
      </c>
      <c r="L8656" t="inlineStr">
        <is>
          <t>10:16:05</t>
        </is>
      </c>
      <c r="M8656" t="inlineStr">
        <is>
          <t>10:16:50</t>
        </is>
      </c>
    </row>
    <row r="8657" ht="15" customHeight="1" s="37">
      <c r="A8657" t="n">
        <v>4</v>
      </c>
      <c r="B8657" s="10" t="inlineStr">
        <is>
          <t>平日</t>
        </is>
      </c>
      <c r="C8657" s="10" t="inlineStr">
        <is>
          <t>本線</t>
        </is>
      </c>
      <c r="D8657" s="10" t="inlineStr">
        <is>
          <t>上り</t>
        </is>
      </c>
      <c r="E8657" t="inlineStr">
        <is>
          <t>1002</t>
        </is>
      </c>
      <c r="F8657" t="inlineStr">
        <is>
          <t>0211</t>
        </is>
      </c>
      <c r="G8657" s="10" t="inlineStr">
        <is>
          <t>山ノ内</t>
        </is>
      </c>
      <c r="H8657" s="10" t="inlineStr">
        <is>
          <t>発</t>
        </is>
      </c>
      <c r="J8657" s="10" t="inlineStr">
        <is>
          <t>営業</t>
        </is>
      </c>
      <c r="L8657" t="inlineStr">
        <is>
          <t>10:18:40</t>
        </is>
      </c>
      <c r="M8657" t="inlineStr">
        <is>
          <t>10:19:05</t>
        </is>
      </c>
    </row>
    <row r="8658" ht="15" customHeight="1" s="37">
      <c r="A8658" t="n">
        <v>4</v>
      </c>
      <c r="B8658" s="10" t="inlineStr">
        <is>
          <t>平日</t>
        </is>
      </c>
      <c r="C8658" s="10" t="inlineStr">
        <is>
          <t>本線</t>
        </is>
      </c>
      <c r="D8658" s="10" t="inlineStr">
        <is>
          <t>上り</t>
        </is>
      </c>
      <c r="E8658" t="inlineStr">
        <is>
          <t>1002</t>
        </is>
      </c>
      <c r="F8658" t="inlineStr">
        <is>
          <t>0211</t>
        </is>
      </c>
      <c r="G8658" s="10" t="inlineStr">
        <is>
          <t>西大路三条</t>
        </is>
      </c>
      <c r="H8658" s="10" t="inlineStr">
        <is>
          <t>発</t>
        </is>
      </c>
      <c r="J8658" s="10" t="inlineStr">
        <is>
          <t>営業</t>
        </is>
      </c>
      <c r="L8658" t="inlineStr">
        <is>
          <t>10:20:55</t>
        </is>
      </c>
      <c r="M8658" t="inlineStr">
        <is>
          <t>10:21:15</t>
        </is>
      </c>
    </row>
    <row r="8659" ht="15" customHeight="1" s="37">
      <c r="A8659" t="n">
        <v>4</v>
      </c>
      <c r="B8659" s="10" t="inlineStr">
        <is>
          <t>平日</t>
        </is>
      </c>
      <c r="C8659" s="10" t="inlineStr">
        <is>
          <t>本線</t>
        </is>
      </c>
      <c r="D8659" s="10" t="inlineStr">
        <is>
          <t>上り</t>
        </is>
      </c>
      <c r="E8659" t="inlineStr">
        <is>
          <t>1002</t>
        </is>
      </c>
      <c r="F8659" t="inlineStr">
        <is>
          <t>0211</t>
        </is>
      </c>
      <c r="G8659" s="10" t="inlineStr">
        <is>
          <t>西院</t>
        </is>
      </c>
      <c r="H8659" s="10" t="inlineStr">
        <is>
          <t>発</t>
        </is>
      </c>
      <c r="J8659" s="10" t="inlineStr">
        <is>
          <t>営業</t>
        </is>
      </c>
      <c r="L8659" t="inlineStr">
        <is>
          <t>10:23:10</t>
        </is>
      </c>
      <c r="M8659" t="inlineStr">
        <is>
          <t>10:24:05</t>
        </is>
      </c>
    </row>
    <row r="8660" ht="15" customHeight="1" s="37">
      <c r="A8660" t="n">
        <v>4</v>
      </c>
      <c r="B8660" s="10" t="inlineStr">
        <is>
          <t>平日</t>
        </is>
      </c>
      <c r="C8660" s="10" t="inlineStr">
        <is>
          <t>本線</t>
        </is>
      </c>
      <c r="D8660" s="10" t="inlineStr">
        <is>
          <t>上り</t>
        </is>
      </c>
      <c r="E8660" t="inlineStr">
        <is>
          <t>1002</t>
        </is>
      </c>
      <c r="F8660" t="inlineStr">
        <is>
          <t>0211</t>
        </is>
      </c>
      <c r="G8660" s="10" t="inlineStr">
        <is>
          <t>四条大宮</t>
        </is>
      </c>
      <c r="H8660" s="10" t="inlineStr">
        <is>
          <t>着</t>
        </is>
      </c>
      <c r="J8660" s="10" t="inlineStr">
        <is>
          <t>営業</t>
        </is>
      </c>
      <c r="L8660" t="inlineStr">
        <is>
          <t>10:27:00</t>
        </is>
      </c>
      <c r="Q8660" t="inlineStr">
        <is>
          <t>1</t>
        </is>
      </c>
    </row>
    <row r="8661" ht="15" customHeight="1" s="37">
      <c r="A8661" t="n">
        <v>4</v>
      </c>
      <c r="B8661" s="10" t="inlineStr">
        <is>
          <t>平日</t>
        </is>
      </c>
      <c r="C8661" s="10" t="inlineStr">
        <is>
          <t>本線</t>
        </is>
      </c>
      <c r="D8661" s="10" t="inlineStr">
        <is>
          <t>下り</t>
        </is>
      </c>
      <c r="E8661" t="inlineStr">
        <is>
          <t>1007</t>
        </is>
      </c>
      <c r="F8661" t="inlineStr">
        <is>
          <t>0112</t>
        </is>
      </c>
      <c r="G8661" s="10" t="inlineStr">
        <is>
          <t>四条大宮</t>
        </is>
      </c>
      <c r="H8661" s="10" t="inlineStr">
        <is>
          <t>発</t>
        </is>
      </c>
      <c r="J8661" s="10" t="inlineStr">
        <is>
          <t>営業</t>
        </is>
      </c>
      <c r="M8661" t="inlineStr">
        <is>
          <t>10:33:00</t>
        </is>
      </c>
      <c r="Q8661" t="inlineStr">
        <is>
          <t>1</t>
        </is>
      </c>
    </row>
    <row r="8662" ht="15" customHeight="1" s="37">
      <c r="A8662" t="n">
        <v>4</v>
      </c>
      <c r="B8662" s="10" t="inlineStr">
        <is>
          <t>平日</t>
        </is>
      </c>
      <c r="C8662" s="10" t="inlineStr">
        <is>
          <t>本線</t>
        </is>
      </c>
      <c r="D8662" s="10" t="inlineStr">
        <is>
          <t>下り</t>
        </is>
      </c>
      <c r="E8662" t="inlineStr">
        <is>
          <t>1007</t>
        </is>
      </c>
      <c r="F8662" t="inlineStr">
        <is>
          <t>0112</t>
        </is>
      </c>
      <c r="G8662" s="10" t="inlineStr">
        <is>
          <t>西院</t>
        </is>
      </c>
      <c r="H8662" s="10" t="inlineStr">
        <is>
          <t>発</t>
        </is>
      </c>
      <c r="J8662" s="10" t="inlineStr">
        <is>
          <t>営業</t>
        </is>
      </c>
      <c r="L8662" t="inlineStr">
        <is>
          <t>10:35:50</t>
        </is>
      </c>
      <c r="M8662" t="inlineStr">
        <is>
          <t>10:36:20</t>
        </is>
      </c>
    </row>
    <row r="8663" ht="15" customHeight="1" s="37">
      <c r="A8663" t="n">
        <v>4</v>
      </c>
      <c r="B8663" s="10" t="inlineStr">
        <is>
          <t>平日</t>
        </is>
      </c>
      <c r="C8663" s="10" t="inlineStr">
        <is>
          <t>本線</t>
        </is>
      </c>
      <c r="D8663" s="10" t="inlineStr">
        <is>
          <t>下り</t>
        </is>
      </c>
      <c r="E8663" t="inlineStr">
        <is>
          <t>1007</t>
        </is>
      </c>
      <c r="F8663" t="inlineStr">
        <is>
          <t>0112</t>
        </is>
      </c>
      <c r="G8663" s="10" t="inlineStr">
        <is>
          <t>西大路三条</t>
        </is>
      </c>
      <c r="H8663" s="10" t="inlineStr">
        <is>
          <t>発</t>
        </is>
      </c>
      <c r="J8663" s="10" t="inlineStr">
        <is>
          <t>営業</t>
        </is>
      </c>
      <c r="L8663" t="inlineStr">
        <is>
          <t>10:38:10</t>
        </is>
      </c>
      <c r="M8663" t="inlineStr">
        <is>
          <t>10:38:30</t>
        </is>
      </c>
    </row>
    <row r="8664" ht="15" customHeight="1" s="37">
      <c r="A8664" t="n">
        <v>4</v>
      </c>
      <c r="B8664" s="10" t="inlineStr">
        <is>
          <t>平日</t>
        </is>
      </c>
      <c r="C8664" s="10" t="inlineStr">
        <is>
          <t>本線</t>
        </is>
      </c>
      <c r="D8664" s="10" t="inlineStr">
        <is>
          <t>下り</t>
        </is>
      </c>
      <c r="E8664" t="inlineStr">
        <is>
          <t>1007</t>
        </is>
      </c>
      <c r="F8664" t="inlineStr">
        <is>
          <t>0112</t>
        </is>
      </c>
      <c r="G8664" s="10" t="inlineStr">
        <is>
          <t>山ノ内</t>
        </is>
      </c>
      <c r="H8664" s="10" t="inlineStr">
        <is>
          <t>発</t>
        </is>
      </c>
      <c r="J8664" s="10" t="inlineStr">
        <is>
          <t>営業</t>
        </is>
      </c>
      <c r="L8664" t="inlineStr">
        <is>
          <t>10:40:25</t>
        </is>
      </c>
      <c r="M8664" t="inlineStr">
        <is>
          <t>10:40:50</t>
        </is>
      </c>
    </row>
    <row r="8665" ht="15" customHeight="1" s="37">
      <c r="A8665" t="n">
        <v>4</v>
      </c>
      <c r="B8665" s="10" t="inlineStr">
        <is>
          <t>平日</t>
        </is>
      </c>
      <c r="C8665" s="10" t="inlineStr">
        <is>
          <t>本線</t>
        </is>
      </c>
      <c r="D8665" s="10" t="inlineStr">
        <is>
          <t>下り</t>
        </is>
      </c>
      <c r="E8665" t="inlineStr">
        <is>
          <t>1007</t>
        </is>
      </c>
      <c r="F8665" t="inlineStr">
        <is>
          <t>0112</t>
        </is>
      </c>
      <c r="G8665" s="10" t="inlineStr">
        <is>
          <t>天神川</t>
        </is>
      </c>
      <c r="H8665" s="10" t="inlineStr">
        <is>
          <t>発</t>
        </is>
      </c>
      <c r="J8665" s="10" t="inlineStr">
        <is>
          <t>営業</t>
        </is>
      </c>
      <c r="L8665" t="inlineStr">
        <is>
          <t>10:42:50</t>
        </is>
      </c>
      <c r="M8665" t="inlineStr">
        <is>
          <t>10:43:30</t>
        </is>
      </c>
    </row>
    <row r="8666" ht="15" customHeight="1" s="37">
      <c r="A8666" t="n">
        <v>4</v>
      </c>
      <c r="B8666" s="10" t="inlineStr">
        <is>
          <t>平日</t>
        </is>
      </c>
      <c r="C8666" s="10" t="inlineStr">
        <is>
          <t>本線</t>
        </is>
      </c>
      <c r="D8666" s="10" t="inlineStr">
        <is>
          <t>下り</t>
        </is>
      </c>
      <c r="E8666" t="inlineStr">
        <is>
          <t>1007</t>
        </is>
      </c>
      <c r="F8666" t="inlineStr">
        <is>
          <t>0112</t>
        </is>
      </c>
      <c r="G8666" s="10" t="inlineStr">
        <is>
          <t>蚕ノ社</t>
        </is>
      </c>
      <c r="H8666" s="10" t="inlineStr">
        <is>
          <t>発</t>
        </is>
      </c>
      <c r="J8666" s="10" t="inlineStr">
        <is>
          <t>営業</t>
        </is>
      </c>
      <c r="L8666" t="inlineStr">
        <is>
          <t>10:44:20</t>
        </is>
      </c>
      <c r="M8666" t="inlineStr">
        <is>
          <t>10:44:40</t>
        </is>
      </c>
    </row>
    <row r="8667" ht="15" customHeight="1" s="37">
      <c r="A8667" t="n">
        <v>4</v>
      </c>
      <c r="B8667" s="10" t="inlineStr">
        <is>
          <t>平日</t>
        </is>
      </c>
      <c r="C8667" s="10" t="inlineStr">
        <is>
          <t>本線</t>
        </is>
      </c>
      <c r="D8667" s="10" t="inlineStr">
        <is>
          <t>下り</t>
        </is>
      </c>
      <c r="E8667" t="inlineStr">
        <is>
          <t>1007</t>
        </is>
      </c>
      <c r="F8667" t="inlineStr">
        <is>
          <t>0112</t>
        </is>
      </c>
      <c r="G8667" s="10" t="inlineStr">
        <is>
          <t>太秦広隆寺</t>
        </is>
      </c>
      <c r="H8667" s="10" t="inlineStr">
        <is>
          <t>発</t>
        </is>
      </c>
      <c r="J8667" s="10" t="inlineStr">
        <is>
          <t>営業</t>
        </is>
      </c>
      <c r="L8667" t="inlineStr">
        <is>
          <t>10:46:00</t>
        </is>
      </c>
      <c r="M8667" t="inlineStr">
        <is>
          <t>10:46:20</t>
        </is>
      </c>
    </row>
    <row r="8668" ht="15" customHeight="1" s="37">
      <c r="A8668" t="n">
        <v>4</v>
      </c>
      <c r="B8668" s="10" t="inlineStr">
        <is>
          <t>平日</t>
        </is>
      </c>
      <c r="C8668" s="10" t="inlineStr">
        <is>
          <t>本線</t>
        </is>
      </c>
      <c r="D8668" s="10" t="inlineStr">
        <is>
          <t>下り</t>
        </is>
      </c>
      <c r="E8668" t="inlineStr">
        <is>
          <t>1007</t>
        </is>
      </c>
      <c r="F8668" t="inlineStr">
        <is>
          <t>0112</t>
        </is>
      </c>
      <c r="G8668" s="10" t="inlineStr">
        <is>
          <t>帷子ノ辻</t>
        </is>
      </c>
      <c r="H8668" s="10" t="inlineStr">
        <is>
          <t>発</t>
        </is>
      </c>
      <c r="J8668" s="10" t="inlineStr">
        <is>
          <t>営業</t>
        </is>
      </c>
      <c r="L8668" t="inlineStr">
        <is>
          <t>10:48:20</t>
        </is>
      </c>
      <c r="M8668" t="inlineStr">
        <is>
          <t>10:49:40</t>
        </is>
      </c>
    </row>
    <row r="8669" ht="15" customHeight="1" s="37">
      <c r="A8669" t="n">
        <v>4</v>
      </c>
      <c r="B8669" s="10" t="inlineStr">
        <is>
          <t>平日</t>
        </is>
      </c>
      <c r="C8669" s="10" t="inlineStr">
        <is>
          <t>本線</t>
        </is>
      </c>
      <c r="D8669" s="10" t="inlineStr">
        <is>
          <t>下り</t>
        </is>
      </c>
      <c r="E8669" t="inlineStr">
        <is>
          <t>1007</t>
        </is>
      </c>
      <c r="F8669" t="inlineStr">
        <is>
          <t>0112</t>
        </is>
      </c>
      <c r="G8669" s="10" t="inlineStr">
        <is>
          <t>有栖川</t>
        </is>
      </c>
      <c r="H8669" s="10" t="inlineStr">
        <is>
          <t>発</t>
        </is>
      </c>
      <c r="J8669" s="10" t="inlineStr">
        <is>
          <t>営業</t>
        </is>
      </c>
      <c r="L8669" t="inlineStr">
        <is>
          <t>10:50:50</t>
        </is>
      </c>
      <c r="M8669" t="inlineStr">
        <is>
          <t>10:51:15</t>
        </is>
      </c>
    </row>
    <row r="8670" ht="15" customHeight="1" s="37">
      <c r="A8670" t="n">
        <v>4</v>
      </c>
      <c r="B8670" s="10" t="inlineStr">
        <is>
          <t>平日</t>
        </is>
      </c>
      <c r="C8670" s="10" t="inlineStr">
        <is>
          <t>本線</t>
        </is>
      </c>
      <c r="D8670" s="10" t="inlineStr">
        <is>
          <t>下り</t>
        </is>
      </c>
      <c r="E8670" t="inlineStr">
        <is>
          <t>1007</t>
        </is>
      </c>
      <c r="F8670" t="inlineStr">
        <is>
          <t>0112</t>
        </is>
      </c>
      <c r="G8670" s="10" t="inlineStr">
        <is>
          <t>車折</t>
        </is>
      </c>
      <c r="H8670" s="10" t="inlineStr">
        <is>
          <t>発</t>
        </is>
      </c>
      <c r="J8670" s="10" t="inlineStr">
        <is>
          <t>営業</t>
        </is>
      </c>
      <c r="L8670" t="inlineStr">
        <is>
          <t>10:52:40</t>
        </is>
      </c>
      <c r="M8670" t="inlineStr">
        <is>
          <t>10:53:05</t>
        </is>
      </c>
    </row>
    <row r="8671" ht="15" customHeight="1" s="37">
      <c r="A8671" t="n">
        <v>4</v>
      </c>
      <c r="B8671" s="10" t="inlineStr">
        <is>
          <t>平日</t>
        </is>
      </c>
      <c r="C8671" s="10" t="inlineStr">
        <is>
          <t>本線</t>
        </is>
      </c>
      <c r="D8671" s="10" t="inlineStr">
        <is>
          <t>下り</t>
        </is>
      </c>
      <c r="E8671" t="inlineStr">
        <is>
          <t>1007</t>
        </is>
      </c>
      <c r="F8671" t="inlineStr">
        <is>
          <t>0112</t>
        </is>
      </c>
      <c r="G8671" s="10" t="inlineStr">
        <is>
          <t>鹿王院</t>
        </is>
      </c>
      <c r="H8671" s="10" t="inlineStr">
        <is>
          <t>発</t>
        </is>
      </c>
      <c r="J8671" s="10" t="inlineStr">
        <is>
          <t>営業</t>
        </is>
      </c>
      <c r="L8671" t="inlineStr">
        <is>
          <t>10:54:00</t>
        </is>
      </c>
      <c r="M8671" t="inlineStr">
        <is>
          <t>10:54:25</t>
        </is>
      </c>
    </row>
    <row r="8672" ht="15" customHeight="1" s="37">
      <c r="A8672" t="n">
        <v>4</v>
      </c>
      <c r="B8672" s="10" t="inlineStr">
        <is>
          <t>平日</t>
        </is>
      </c>
      <c r="C8672" s="10" t="inlineStr">
        <is>
          <t>本線</t>
        </is>
      </c>
      <c r="D8672" s="10" t="inlineStr">
        <is>
          <t>下り</t>
        </is>
      </c>
      <c r="E8672" t="inlineStr">
        <is>
          <t>1007</t>
        </is>
      </c>
      <c r="F8672" t="inlineStr">
        <is>
          <t>0112</t>
        </is>
      </c>
      <c r="G8672" s="10" t="inlineStr">
        <is>
          <t>嵯峨</t>
        </is>
      </c>
      <c r="H8672" s="10" t="inlineStr">
        <is>
          <t>発</t>
        </is>
      </c>
      <c r="J8672" s="10" t="inlineStr">
        <is>
          <t>営業</t>
        </is>
      </c>
      <c r="L8672" t="inlineStr">
        <is>
          <t>10:55:30</t>
        </is>
      </c>
      <c r="M8672" t="inlineStr">
        <is>
          <t>10:55:55</t>
        </is>
      </c>
    </row>
    <row r="8673" ht="15" customHeight="1" s="37">
      <c r="A8673" t="n">
        <v>4</v>
      </c>
      <c r="B8673" s="10" t="inlineStr">
        <is>
          <t>平日</t>
        </is>
      </c>
      <c r="C8673" s="10" t="inlineStr">
        <is>
          <t>本線</t>
        </is>
      </c>
      <c r="D8673" s="10" t="inlineStr">
        <is>
          <t>下り</t>
        </is>
      </c>
      <c r="E8673" t="inlineStr">
        <is>
          <t>1007</t>
        </is>
      </c>
      <c r="F8673" t="inlineStr">
        <is>
          <t>0112</t>
        </is>
      </c>
      <c r="G8673" s="10" t="inlineStr">
        <is>
          <t>嵐山</t>
        </is>
      </c>
      <c r="H8673" s="10" t="inlineStr">
        <is>
          <t>着</t>
        </is>
      </c>
      <c r="J8673" s="10" t="inlineStr">
        <is>
          <t>営業</t>
        </is>
      </c>
      <c r="L8673" t="inlineStr">
        <is>
          <t>10:57:00</t>
        </is>
      </c>
      <c r="Q8673" t="inlineStr">
        <is>
          <t>1</t>
        </is>
      </c>
    </row>
    <row r="8674" ht="15" customHeight="1" s="37">
      <c r="A8674" t="n">
        <v>4</v>
      </c>
      <c r="B8674" s="10" t="inlineStr">
        <is>
          <t>平日</t>
        </is>
      </c>
      <c r="C8674" s="10" t="inlineStr">
        <is>
          <t>本線</t>
        </is>
      </c>
      <c r="D8674" s="10" t="inlineStr">
        <is>
          <t>上り</t>
        </is>
      </c>
      <c r="E8674" t="inlineStr">
        <is>
          <t>1102</t>
        </is>
      </c>
      <c r="F8674" t="inlineStr">
        <is>
          <t>0211</t>
        </is>
      </c>
      <c r="G8674" s="10" t="inlineStr">
        <is>
          <t>嵐山</t>
        </is>
      </c>
      <c r="H8674" s="10" t="inlineStr">
        <is>
          <t>発</t>
        </is>
      </c>
      <c r="J8674" s="10" t="inlineStr">
        <is>
          <t>営業</t>
        </is>
      </c>
      <c r="M8674" t="inlineStr">
        <is>
          <t>11:03:00</t>
        </is>
      </c>
      <c r="Q8674" t="inlineStr">
        <is>
          <t>1</t>
        </is>
      </c>
      <c r="U8674" t="inlineStr">
        <is>
          <t>→西院 休憩(11:36〜12:56)</t>
        </is>
      </c>
    </row>
    <row r="8675" ht="15" customHeight="1" s="37">
      <c r="A8675" t="n">
        <v>4</v>
      </c>
      <c r="B8675" s="10" t="inlineStr">
        <is>
          <t>平日</t>
        </is>
      </c>
      <c r="C8675" s="10" t="inlineStr">
        <is>
          <t>本線</t>
        </is>
      </c>
      <c r="D8675" s="10" t="inlineStr">
        <is>
          <t>上り</t>
        </is>
      </c>
      <c r="E8675" t="inlineStr">
        <is>
          <t>1102</t>
        </is>
      </c>
      <c r="F8675" t="inlineStr">
        <is>
          <t>0211</t>
        </is>
      </c>
      <c r="G8675" s="10" t="inlineStr">
        <is>
          <t>嵯峨</t>
        </is>
      </c>
      <c r="H8675" s="10" t="inlineStr">
        <is>
          <t>発</t>
        </is>
      </c>
      <c r="J8675" s="10" t="inlineStr">
        <is>
          <t>営業</t>
        </is>
      </c>
      <c r="L8675" t="inlineStr">
        <is>
          <t>11:03:55</t>
        </is>
      </c>
      <c r="M8675" t="inlineStr">
        <is>
          <t>11:04:20</t>
        </is>
      </c>
      <c r="U8675" t="inlineStr">
        <is>
          <t>→西院 休憩(11:36〜12:56)</t>
        </is>
      </c>
    </row>
    <row r="8676" ht="15" customHeight="1" s="37">
      <c r="A8676" t="n">
        <v>4</v>
      </c>
      <c r="B8676" s="10" t="inlineStr">
        <is>
          <t>平日</t>
        </is>
      </c>
      <c r="C8676" s="10" t="inlineStr">
        <is>
          <t>本線</t>
        </is>
      </c>
      <c r="D8676" s="10" t="inlineStr">
        <is>
          <t>上り</t>
        </is>
      </c>
      <c r="E8676" t="inlineStr">
        <is>
          <t>1102</t>
        </is>
      </c>
      <c r="F8676" t="inlineStr">
        <is>
          <t>0211</t>
        </is>
      </c>
      <c r="G8676" s="10" t="inlineStr">
        <is>
          <t>鹿王院</t>
        </is>
      </c>
      <c r="H8676" s="10" t="inlineStr">
        <is>
          <t>発</t>
        </is>
      </c>
      <c r="J8676" s="10" t="inlineStr">
        <is>
          <t>営業</t>
        </is>
      </c>
      <c r="L8676" t="inlineStr">
        <is>
          <t>11:05:25</t>
        </is>
      </c>
      <c r="M8676" t="inlineStr">
        <is>
          <t>11:05:45</t>
        </is>
      </c>
      <c r="U8676" t="inlineStr">
        <is>
          <t>→西院 休憩(11:36〜12:56)</t>
        </is>
      </c>
    </row>
    <row r="8677" ht="15" customHeight="1" s="37">
      <c r="A8677" t="n">
        <v>4</v>
      </c>
      <c r="B8677" s="10" t="inlineStr">
        <is>
          <t>平日</t>
        </is>
      </c>
      <c r="C8677" s="10" t="inlineStr">
        <is>
          <t>本線</t>
        </is>
      </c>
      <c r="D8677" s="10" t="inlineStr">
        <is>
          <t>上り</t>
        </is>
      </c>
      <c r="E8677" t="inlineStr">
        <is>
          <t>1102</t>
        </is>
      </c>
      <c r="F8677" t="inlineStr">
        <is>
          <t>0211</t>
        </is>
      </c>
      <c r="G8677" s="10" t="inlineStr">
        <is>
          <t>車折</t>
        </is>
      </c>
      <c r="H8677" s="10" t="inlineStr">
        <is>
          <t>発</t>
        </is>
      </c>
      <c r="J8677" s="10" t="inlineStr">
        <is>
          <t>営業</t>
        </is>
      </c>
      <c r="L8677" t="inlineStr">
        <is>
          <t>11:06:40</t>
        </is>
      </c>
      <c r="M8677" t="inlineStr">
        <is>
          <t>11:07:10</t>
        </is>
      </c>
      <c r="U8677" t="inlineStr">
        <is>
          <t>→西院 休憩(11:36〜12:56)</t>
        </is>
      </c>
    </row>
    <row r="8678" ht="15" customHeight="1" s="37">
      <c r="A8678" t="n">
        <v>4</v>
      </c>
      <c r="B8678" s="10" t="inlineStr">
        <is>
          <t>平日</t>
        </is>
      </c>
      <c r="C8678" s="10" t="inlineStr">
        <is>
          <t>本線</t>
        </is>
      </c>
      <c r="D8678" s="10" t="inlineStr">
        <is>
          <t>上り</t>
        </is>
      </c>
      <c r="E8678" t="inlineStr">
        <is>
          <t>1102</t>
        </is>
      </c>
      <c r="F8678" t="inlineStr">
        <is>
          <t>0211</t>
        </is>
      </c>
      <c r="G8678" s="10" t="inlineStr">
        <is>
          <t>有栖川</t>
        </is>
      </c>
      <c r="H8678" s="10" t="inlineStr">
        <is>
          <t>発</t>
        </is>
      </c>
      <c r="J8678" s="10" t="inlineStr">
        <is>
          <t>営業</t>
        </is>
      </c>
      <c r="L8678" t="inlineStr">
        <is>
          <t>11:08:35</t>
        </is>
      </c>
      <c r="M8678" t="inlineStr">
        <is>
          <t>11:08:55</t>
        </is>
      </c>
      <c r="U8678" t="inlineStr">
        <is>
          <t>→西院 休憩(11:36〜12:56)</t>
        </is>
      </c>
    </row>
    <row r="8679" ht="15" customHeight="1" s="37">
      <c r="A8679" t="n">
        <v>4</v>
      </c>
      <c r="B8679" s="10" t="inlineStr">
        <is>
          <t>平日</t>
        </is>
      </c>
      <c r="C8679" s="10" t="inlineStr">
        <is>
          <t>本線</t>
        </is>
      </c>
      <c r="D8679" s="10" t="inlineStr">
        <is>
          <t>上り</t>
        </is>
      </c>
      <c r="E8679" t="inlineStr">
        <is>
          <t>1102</t>
        </is>
      </c>
      <c r="F8679" t="inlineStr">
        <is>
          <t>0211</t>
        </is>
      </c>
      <c r="G8679" s="10" t="inlineStr">
        <is>
          <t>帷子ノ辻</t>
        </is>
      </c>
      <c r="H8679" s="10" t="inlineStr">
        <is>
          <t>発</t>
        </is>
      </c>
      <c r="J8679" s="10" t="inlineStr">
        <is>
          <t>営業</t>
        </is>
      </c>
      <c r="L8679" t="inlineStr">
        <is>
          <t>11:10:10</t>
        </is>
      </c>
      <c r="M8679" t="inlineStr">
        <is>
          <t>11:11:15</t>
        </is>
      </c>
      <c r="U8679" t="inlineStr">
        <is>
          <t>→西院 休憩(11:36〜12:56)</t>
        </is>
      </c>
    </row>
    <row r="8680" ht="15" customHeight="1" s="37">
      <c r="A8680" t="n">
        <v>4</v>
      </c>
      <c r="B8680" s="10" t="inlineStr">
        <is>
          <t>平日</t>
        </is>
      </c>
      <c r="C8680" s="10" t="inlineStr">
        <is>
          <t>本線</t>
        </is>
      </c>
      <c r="D8680" s="10" t="inlineStr">
        <is>
          <t>上り</t>
        </is>
      </c>
      <c r="E8680" t="inlineStr">
        <is>
          <t>1102</t>
        </is>
      </c>
      <c r="F8680" t="inlineStr">
        <is>
          <t>0211</t>
        </is>
      </c>
      <c r="G8680" s="10" t="inlineStr">
        <is>
          <t>太秦広隆寺</t>
        </is>
      </c>
      <c r="H8680" s="10" t="inlineStr">
        <is>
          <t>発</t>
        </is>
      </c>
      <c r="J8680" s="10" t="inlineStr">
        <is>
          <t>営業</t>
        </is>
      </c>
      <c r="L8680" t="inlineStr">
        <is>
          <t>11:13:25</t>
        </is>
      </c>
      <c r="M8680" t="inlineStr">
        <is>
          <t>11:13:45</t>
        </is>
      </c>
      <c r="U8680" t="inlineStr">
        <is>
          <t>→西院 休憩(11:36〜12:56)</t>
        </is>
      </c>
    </row>
    <row r="8681" ht="15" customHeight="1" s="37">
      <c r="A8681" t="n">
        <v>4</v>
      </c>
      <c r="B8681" s="10" t="inlineStr">
        <is>
          <t>平日</t>
        </is>
      </c>
      <c r="C8681" s="10" t="inlineStr">
        <is>
          <t>本線</t>
        </is>
      </c>
      <c r="D8681" s="10" t="inlineStr">
        <is>
          <t>上り</t>
        </is>
      </c>
      <c r="E8681" t="inlineStr">
        <is>
          <t>1102</t>
        </is>
      </c>
      <c r="F8681" t="inlineStr">
        <is>
          <t>0211</t>
        </is>
      </c>
      <c r="G8681" s="10" t="inlineStr">
        <is>
          <t>蚕ノ社</t>
        </is>
      </c>
      <c r="H8681" s="10" t="inlineStr">
        <is>
          <t>発</t>
        </is>
      </c>
      <c r="J8681" s="10" t="inlineStr">
        <is>
          <t>営業</t>
        </is>
      </c>
      <c r="L8681" t="inlineStr">
        <is>
          <t>11:15:00</t>
        </is>
      </c>
      <c r="M8681" t="inlineStr">
        <is>
          <t>11:15:20</t>
        </is>
      </c>
      <c r="U8681" t="inlineStr">
        <is>
          <t>→西院 休憩(11:36〜12:56)</t>
        </is>
      </c>
    </row>
    <row r="8682" ht="15" customHeight="1" s="37">
      <c r="A8682" t="n">
        <v>4</v>
      </c>
      <c r="B8682" s="10" t="inlineStr">
        <is>
          <t>平日</t>
        </is>
      </c>
      <c r="C8682" s="10" t="inlineStr">
        <is>
          <t>本線</t>
        </is>
      </c>
      <c r="D8682" s="10" t="inlineStr">
        <is>
          <t>上り</t>
        </is>
      </c>
      <c r="E8682" t="inlineStr">
        <is>
          <t>1102</t>
        </is>
      </c>
      <c r="F8682" t="inlineStr">
        <is>
          <t>0211</t>
        </is>
      </c>
      <c r="G8682" s="10" t="inlineStr">
        <is>
          <t>天神川</t>
        </is>
      </c>
      <c r="H8682" s="10" t="inlineStr">
        <is>
          <t>発</t>
        </is>
      </c>
      <c r="J8682" s="10" t="inlineStr">
        <is>
          <t>営業</t>
        </is>
      </c>
      <c r="L8682" t="inlineStr">
        <is>
          <t>11:16:05</t>
        </is>
      </c>
      <c r="M8682" t="inlineStr">
        <is>
          <t>11:16:50</t>
        </is>
      </c>
      <c r="U8682" t="inlineStr">
        <is>
          <t>→西院 休憩(11:36〜12:56)</t>
        </is>
      </c>
    </row>
    <row r="8683" ht="15" customHeight="1" s="37">
      <c r="A8683" t="n">
        <v>4</v>
      </c>
      <c r="B8683" s="10" t="inlineStr">
        <is>
          <t>平日</t>
        </is>
      </c>
      <c r="C8683" s="10" t="inlineStr">
        <is>
          <t>本線</t>
        </is>
      </c>
      <c r="D8683" s="10" t="inlineStr">
        <is>
          <t>上り</t>
        </is>
      </c>
      <c r="E8683" t="inlineStr">
        <is>
          <t>1102</t>
        </is>
      </c>
      <c r="F8683" t="inlineStr">
        <is>
          <t>0211</t>
        </is>
      </c>
      <c r="G8683" s="10" t="inlineStr">
        <is>
          <t>山ノ内</t>
        </is>
      </c>
      <c r="H8683" s="10" t="inlineStr">
        <is>
          <t>発</t>
        </is>
      </c>
      <c r="J8683" s="10" t="inlineStr">
        <is>
          <t>営業</t>
        </is>
      </c>
      <c r="L8683" t="inlineStr">
        <is>
          <t>11:18:40</t>
        </is>
      </c>
      <c r="M8683" t="inlineStr">
        <is>
          <t>11:19:05</t>
        </is>
      </c>
      <c r="U8683" t="inlineStr">
        <is>
          <t>→西院 休憩(11:36〜12:56)</t>
        </is>
      </c>
    </row>
    <row r="8684" ht="15" customHeight="1" s="37">
      <c r="A8684" t="n">
        <v>4</v>
      </c>
      <c r="B8684" s="10" t="inlineStr">
        <is>
          <t>平日</t>
        </is>
      </c>
      <c r="C8684" s="10" t="inlineStr">
        <is>
          <t>本線</t>
        </is>
      </c>
      <c r="D8684" s="10" t="inlineStr">
        <is>
          <t>上り</t>
        </is>
      </c>
      <c r="E8684" t="inlineStr">
        <is>
          <t>1102</t>
        </is>
      </c>
      <c r="F8684" t="inlineStr">
        <is>
          <t>0211</t>
        </is>
      </c>
      <c r="G8684" s="10" t="inlineStr">
        <is>
          <t>西大路三条</t>
        </is>
      </c>
      <c r="H8684" s="10" t="inlineStr">
        <is>
          <t>発</t>
        </is>
      </c>
      <c r="J8684" s="10" t="inlineStr">
        <is>
          <t>営業</t>
        </is>
      </c>
      <c r="L8684" t="inlineStr">
        <is>
          <t>11:20:55</t>
        </is>
      </c>
      <c r="M8684" t="inlineStr">
        <is>
          <t>11:21:15</t>
        </is>
      </c>
      <c r="U8684" t="inlineStr">
        <is>
          <t>→西院 休憩(11:36〜12:56)</t>
        </is>
      </c>
    </row>
    <row r="8685" ht="15" customHeight="1" s="37">
      <c r="A8685" t="n">
        <v>4</v>
      </c>
      <c r="B8685" s="10" t="inlineStr">
        <is>
          <t>平日</t>
        </is>
      </c>
      <c r="C8685" s="10" t="inlineStr">
        <is>
          <t>本線</t>
        </is>
      </c>
      <c r="D8685" s="10" t="inlineStr">
        <is>
          <t>上り</t>
        </is>
      </c>
      <c r="E8685" t="inlineStr">
        <is>
          <t>1102</t>
        </is>
      </c>
      <c r="F8685" t="inlineStr">
        <is>
          <t>0211</t>
        </is>
      </c>
      <c r="G8685" s="10" t="inlineStr">
        <is>
          <t>西院</t>
        </is>
      </c>
      <c r="H8685" s="10" t="inlineStr">
        <is>
          <t>発</t>
        </is>
      </c>
      <c r="J8685" s="10" t="inlineStr">
        <is>
          <t>営業</t>
        </is>
      </c>
      <c r="L8685" t="inlineStr">
        <is>
          <t>11:23:10</t>
        </is>
      </c>
      <c r="M8685" t="inlineStr">
        <is>
          <t>11:24:05</t>
        </is>
      </c>
      <c r="U8685" t="inlineStr">
        <is>
          <t>→西院 休憩(11:36〜12:56)</t>
        </is>
      </c>
    </row>
    <row r="8686" ht="15" customHeight="1" s="37">
      <c r="A8686" t="n">
        <v>4</v>
      </c>
      <c r="B8686" s="10" t="inlineStr">
        <is>
          <t>平日</t>
        </is>
      </c>
      <c r="C8686" s="10" t="inlineStr">
        <is>
          <t>本線</t>
        </is>
      </c>
      <c r="D8686" s="10" t="inlineStr">
        <is>
          <t>上り</t>
        </is>
      </c>
      <c r="E8686" t="inlineStr">
        <is>
          <t>1102</t>
        </is>
      </c>
      <c r="F8686" t="inlineStr">
        <is>
          <t>0211</t>
        </is>
      </c>
      <c r="G8686" s="10" t="inlineStr">
        <is>
          <t>四条大宮</t>
        </is>
      </c>
      <c r="H8686" s="10" t="inlineStr">
        <is>
          <t>着</t>
        </is>
      </c>
      <c r="J8686" s="10" t="inlineStr">
        <is>
          <t>営業</t>
        </is>
      </c>
      <c r="L8686" t="inlineStr">
        <is>
          <t>11:27:00</t>
        </is>
      </c>
      <c r="Q8686" t="inlineStr">
        <is>
          <t>1</t>
        </is>
      </c>
      <c r="U8686" t="inlineStr">
        <is>
          <t>→西院 休憩(11:36〜12:56)</t>
        </is>
      </c>
    </row>
    <row r="8687" ht="15" customHeight="1" s="37">
      <c r="A8687" t="n">
        <v>4</v>
      </c>
      <c r="B8687" s="10" t="inlineStr">
        <is>
          <t>平日</t>
        </is>
      </c>
      <c r="C8687" s="10" t="inlineStr">
        <is>
          <t>本線</t>
        </is>
      </c>
      <c r="D8687" s="10" t="inlineStr">
        <is>
          <t>下り</t>
        </is>
      </c>
      <c r="E8687" t="inlineStr">
        <is>
          <t>1107</t>
        </is>
      </c>
      <c r="F8687" t="inlineStr">
        <is>
          <t>0112</t>
        </is>
      </c>
      <c r="G8687" s="10" t="inlineStr">
        <is>
          <t>四条大宮</t>
        </is>
      </c>
      <c r="H8687" s="10" t="inlineStr">
        <is>
          <t>発</t>
        </is>
      </c>
      <c r="J8687" s="10" t="inlineStr">
        <is>
          <t>営業</t>
        </is>
      </c>
      <c r="M8687" t="inlineStr">
        <is>
          <t>11:33:00</t>
        </is>
      </c>
      <c r="Q8687" t="inlineStr">
        <is>
          <t>1</t>
        </is>
      </c>
      <c r="U8687" t="inlineStr">
        <is>
          <t>→西院 休憩(11:36〜12:56)</t>
        </is>
      </c>
    </row>
    <row r="8688" ht="15" customHeight="1" s="37">
      <c r="A8688" t="n">
        <v>4</v>
      </c>
      <c r="B8688" s="10" t="inlineStr">
        <is>
          <t>平日</t>
        </is>
      </c>
      <c r="C8688" s="10" t="inlineStr">
        <is>
          <t>本線</t>
        </is>
      </c>
      <c r="D8688" s="10" t="inlineStr">
        <is>
          <t>下り</t>
        </is>
      </c>
      <c r="E8688" t="inlineStr">
        <is>
          <t>1107</t>
        </is>
      </c>
      <c r="F8688" t="inlineStr">
        <is>
          <t>0112</t>
        </is>
      </c>
      <c r="G8688" s="10" t="inlineStr">
        <is>
          <t>西院</t>
        </is>
      </c>
      <c r="H8688" s="10" t="inlineStr">
        <is>
          <t>着</t>
        </is>
      </c>
      <c r="J8688" s="10" t="inlineStr">
        <is>
          <t>営業</t>
        </is>
      </c>
      <c r="L8688" t="inlineStr">
        <is>
          <t>11:35:50</t>
        </is>
      </c>
      <c r="M8688" t="inlineStr">
        <is>
          <t>11:36:20</t>
        </is>
      </c>
      <c r="U8688" t="inlineStr">
        <is>
          <t>→西院 休憩(11:36〜12:56)</t>
        </is>
      </c>
    </row>
    <row r="8689" ht="15" customHeight="1" s="37">
      <c r="A8689" t="n">
        <v>4</v>
      </c>
      <c r="B8689" s="10" t="inlineStr">
        <is>
          <t>平日</t>
        </is>
      </c>
      <c r="C8689" s="10" t="inlineStr">
        <is>
          <t>本線</t>
        </is>
      </c>
      <c r="D8689" s="10" t="inlineStr">
        <is>
          <t>下り</t>
        </is>
      </c>
      <c r="E8689" t="inlineStr">
        <is>
          <t>1211</t>
        </is>
      </c>
      <c r="F8689" t="inlineStr">
        <is>
          <t>0112</t>
        </is>
      </c>
      <c r="G8689" s="10" t="inlineStr">
        <is>
          <t>西院</t>
        </is>
      </c>
      <c r="H8689" s="10" t="inlineStr">
        <is>
          <t>発</t>
        </is>
      </c>
      <c r="J8689" s="10" t="inlineStr">
        <is>
          <t>営業</t>
        </is>
      </c>
      <c r="L8689" t="inlineStr">
        <is>
          <t>12:55:50</t>
        </is>
      </c>
      <c r="M8689" t="inlineStr">
        <is>
          <t>12:56:20</t>
        </is>
      </c>
    </row>
    <row r="8690" ht="15" customHeight="1" s="37">
      <c r="A8690" t="n">
        <v>4</v>
      </c>
      <c r="B8690" s="10" t="inlineStr">
        <is>
          <t>平日</t>
        </is>
      </c>
      <c r="C8690" s="10" t="inlineStr">
        <is>
          <t>本線</t>
        </is>
      </c>
      <c r="D8690" s="10" t="inlineStr">
        <is>
          <t>下り</t>
        </is>
      </c>
      <c r="E8690" t="inlineStr">
        <is>
          <t>1211</t>
        </is>
      </c>
      <c r="F8690" t="inlineStr">
        <is>
          <t>0112</t>
        </is>
      </c>
      <c r="G8690" s="10" t="inlineStr">
        <is>
          <t>西大路三条</t>
        </is>
      </c>
      <c r="H8690" s="10" t="inlineStr">
        <is>
          <t>発</t>
        </is>
      </c>
      <c r="J8690" s="10" t="inlineStr">
        <is>
          <t>営業</t>
        </is>
      </c>
      <c r="L8690" t="inlineStr">
        <is>
          <t>12:58:10</t>
        </is>
      </c>
      <c r="M8690" t="inlineStr">
        <is>
          <t>12:58:30</t>
        </is>
      </c>
    </row>
    <row r="8691" ht="15" customHeight="1" s="37">
      <c r="A8691" t="n">
        <v>4</v>
      </c>
      <c r="B8691" s="10" t="inlineStr">
        <is>
          <t>平日</t>
        </is>
      </c>
      <c r="C8691" s="10" t="inlineStr">
        <is>
          <t>本線</t>
        </is>
      </c>
      <c r="D8691" s="10" t="inlineStr">
        <is>
          <t>下り</t>
        </is>
      </c>
      <c r="E8691" t="inlineStr">
        <is>
          <t>1211</t>
        </is>
      </c>
      <c r="F8691" t="inlineStr">
        <is>
          <t>0112</t>
        </is>
      </c>
      <c r="G8691" s="10" t="inlineStr">
        <is>
          <t>山ノ内</t>
        </is>
      </c>
      <c r="H8691" s="10" t="inlineStr">
        <is>
          <t>発</t>
        </is>
      </c>
      <c r="J8691" s="10" t="inlineStr">
        <is>
          <t>営業</t>
        </is>
      </c>
      <c r="L8691" t="inlineStr">
        <is>
          <t>13:00:25</t>
        </is>
      </c>
      <c r="M8691" t="inlineStr">
        <is>
          <t>13:00:50</t>
        </is>
      </c>
    </row>
    <row r="8692" ht="15" customHeight="1" s="37">
      <c r="A8692" t="n">
        <v>4</v>
      </c>
      <c r="B8692" s="10" t="inlineStr">
        <is>
          <t>平日</t>
        </is>
      </c>
      <c r="C8692" s="10" t="inlineStr">
        <is>
          <t>本線</t>
        </is>
      </c>
      <c r="D8692" s="10" t="inlineStr">
        <is>
          <t>下り</t>
        </is>
      </c>
      <c r="E8692" t="inlineStr">
        <is>
          <t>1211</t>
        </is>
      </c>
      <c r="F8692" t="inlineStr">
        <is>
          <t>0112</t>
        </is>
      </c>
      <c r="G8692" s="10" t="inlineStr">
        <is>
          <t>天神川</t>
        </is>
      </c>
      <c r="H8692" s="10" t="inlineStr">
        <is>
          <t>発</t>
        </is>
      </c>
      <c r="J8692" s="10" t="inlineStr">
        <is>
          <t>営業</t>
        </is>
      </c>
      <c r="L8692" t="inlineStr">
        <is>
          <t>13:02:50</t>
        </is>
      </c>
      <c r="M8692" t="inlineStr">
        <is>
          <t>13:03:30</t>
        </is>
      </c>
    </row>
    <row r="8693" ht="15" customHeight="1" s="37">
      <c r="A8693" t="n">
        <v>4</v>
      </c>
      <c r="B8693" s="10" t="inlineStr">
        <is>
          <t>平日</t>
        </is>
      </c>
      <c r="C8693" s="10" t="inlineStr">
        <is>
          <t>本線</t>
        </is>
      </c>
      <c r="D8693" s="10" t="inlineStr">
        <is>
          <t>下り</t>
        </is>
      </c>
      <c r="E8693" t="inlineStr">
        <is>
          <t>1211</t>
        </is>
      </c>
      <c r="F8693" t="inlineStr">
        <is>
          <t>0112</t>
        </is>
      </c>
      <c r="G8693" s="10" t="inlineStr">
        <is>
          <t>蚕ノ社</t>
        </is>
      </c>
      <c r="H8693" s="10" t="inlineStr">
        <is>
          <t>発</t>
        </is>
      </c>
      <c r="J8693" s="10" t="inlineStr">
        <is>
          <t>営業</t>
        </is>
      </c>
      <c r="L8693" t="inlineStr">
        <is>
          <t>13:04:20</t>
        </is>
      </c>
      <c r="M8693" t="inlineStr">
        <is>
          <t>13:04:40</t>
        </is>
      </c>
    </row>
    <row r="8694" ht="15" customHeight="1" s="37">
      <c r="A8694" t="n">
        <v>4</v>
      </c>
      <c r="B8694" s="10" t="inlineStr">
        <is>
          <t>平日</t>
        </is>
      </c>
      <c r="C8694" s="10" t="inlineStr">
        <is>
          <t>本線</t>
        </is>
      </c>
      <c r="D8694" s="10" t="inlineStr">
        <is>
          <t>下り</t>
        </is>
      </c>
      <c r="E8694" t="inlineStr">
        <is>
          <t>1211</t>
        </is>
      </c>
      <c r="F8694" t="inlineStr">
        <is>
          <t>0112</t>
        </is>
      </c>
      <c r="G8694" s="10" t="inlineStr">
        <is>
          <t>太秦広隆寺</t>
        </is>
      </c>
      <c r="H8694" s="10" t="inlineStr">
        <is>
          <t>発</t>
        </is>
      </c>
      <c r="J8694" s="10" t="inlineStr">
        <is>
          <t>営業</t>
        </is>
      </c>
      <c r="L8694" t="inlineStr">
        <is>
          <t>13:06:00</t>
        </is>
      </c>
      <c r="M8694" t="inlineStr">
        <is>
          <t>13:06:20</t>
        </is>
      </c>
    </row>
    <row r="8695" ht="15" customHeight="1" s="37">
      <c r="A8695" t="n">
        <v>4</v>
      </c>
      <c r="B8695" s="10" t="inlineStr">
        <is>
          <t>平日</t>
        </is>
      </c>
      <c r="C8695" s="10" t="inlineStr">
        <is>
          <t>本線</t>
        </is>
      </c>
      <c r="D8695" s="10" t="inlineStr">
        <is>
          <t>下り</t>
        </is>
      </c>
      <c r="E8695" t="inlineStr">
        <is>
          <t>1211</t>
        </is>
      </c>
      <c r="F8695" t="inlineStr">
        <is>
          <t>0112</t>
        </is>
      </c>
      <c r="G8695" s="10" t="inlineStr">
        <is>
          <t>帷子ノ辻</t>
        </is>
      </c>
      <c r="H8695" s="10" t="inlineStr">
        <is>
          <t>発</t>
        </is>
      </c>
      <c r="J8695" s="10" t="inlineStr">
        <is>
          <t>営業</t>
        </is>
      </c>
      <c r="L8695" t="inlineStr">
        <is>
          <t>13:08:20</t>
        </is>
      </c>
      <c r="M8695" t="inlineStr">
        <is>
          <t>13:09:40</t>
        </is>
      </c>
    </row>
    <row r="8696" ht="15" customHeight="1" s="37">
      <c r="A8696" t="n">
        <v>4</v>
      </c>
      <c r="B8696" s="10" t="inlineStr">
        <is>
          <t>平日</t>
        </is>
      </c>
      <c r="C8696" s="10" t="inlineStr">
        <is>
          <t>本線</t>
        </is>
      </c>
      <c r="D8696" s="10" t="inlineStr">
        <is>
          <t>下り</t>
        </is>
      </c>
      <c r="E8696" t="inlineStr">
        <is>
          <t>1211</t>
        </is>
      </c>
      <c r="F8696" t="inlineStr">
        <is>
          <t>0112</t>
        </is>
      </c>
      <c r="G8696" s="10" t="inlineStr">
        <is>
          <t>有栖川</t>
        </is>
      </c>
      <c r="H8696" s="10" t="inlineStr">
        <is>
          <t>発</t>
        </is>
      </c>
      <c r="J8696" s="10" t="inlineStr">
        <is>
          <t>営業</t>
        </is>
      </c>
      <c r="L8696" t="inlineStr">
        <is>
          <t>13:10:50</t>
        </is>
      </c>
      <c r="M8696" t="inlineStr">
        <is>
          <t>13:11:15</t>
        </is>
      </c>
    </row>
    <row r="8697" ht="15" customHeight="1" s="37">
      <c r="A8697" t="n">
        <v>4</v>
      </c>
      <c r="B8697" s="10" t="inlineStr">
        <is>
          <t>平日</t>
        </is>
      </c>
      <c r="C8697" s="10" t="inlineStr">
        <is>
          <t>本線</t>
        </is>
      </c>
      <c r="D8697" s="10" t="inlineStr">
        <is>
          <t>下り</t>
        </is>
      </c>
      <c r="E8697" t="inlineStr">
        <is>
          <t>1211</t>
        </is>
      </c>
      <c r="F8697" t="inlineStr">
        <is>
          <t>0112</t>
        </is>
      </c>
      <c r="G8697" s="10" t="inlineStr">
        <is>
          <t>車折</t>
        </is>
      </c>
      <c r="H8697" s="10" t="inlineStr">
        <is>
          <t>発</t>
        </is>
      </c>
      <c r="J8697" s="10" t="inlineStr">
        <is>
          <t>営業</t>
        </is>
      </c>
      <c r="L8697" t="inlineStr">
        <is>
          <t>13:12:40</t>
        </is>
      </c>
      <c r="M8697" t="inlineStr">
        <is>
          <t>13:13:05</t>
        </is>
      </c>
    </row>
    <row r="8698" ht="15" customHeight="1" s="37">
      <c r="A8698" t="n">
        <v>4</v>
      </c>
      <c r="B8698" s="10" t="inlineStr">
        <is>
          <t>平日</t>
        </is>
      </c>
      <c r="C8698" s="10" t="inlineStr">
        <is>
          <t>本線</t>
        </is>
      </c>
      <c r="D8698" s="10" t="inlineStr">
        <is>
          <t>下り</t>
        </is>
      </c>
      <c r="E8698" t="inlineStr">
        <is>
          <t>1211</t>
        </is>
      </c>
      <c r="F8698" t="inlineStr">
        <is>
          <t>0112</t>
        </is>
      </c>
      <c r="G8698" s="10" t="inlineStr">
        <is>
          <t>鹿王院</t>
        </is>
      </c>
      <c r="H8698" s="10" t="inlineStr">
        <is>
          <t>発</t>
        </is>
      </c>
      <c r="J8698" s="10" t="inlineStr">
        <is>
          <t>営業</t>
        </is>
      </c>
      <c r="L8698" t="inlineStr">
        <is>
          <t>13:14:00</t>
        </is>
      </c>
      <c r="M8698" t="inlineStr">
        <is>
          <t>13:14:25</t>
        </is>
      </c>
    </row>
    <row r="8699" ht="15" customHeight="1" s="37">
      <c r="A8699" t="n">
        <v>4</v>
      </c>
      <c r="B8699" s="10" t="inlineStr">
        <is>
          <t>平日</t>
        </is>
      </c>
      <c r="C8699" s="10" t="inlineStr">
        <is>
          <t>本線</t>
        </is>
      </c>
      <c r="D8699" s="10" t="inlineStr">
        <is>
          <t>下り</t>
        </is>
      </c>
      <c r="E8699" t="inlineStr">
        <is>
          <t>1211</t>
        </is>
      </c>
      <c r="F8699" t="inlineStr">
        <is>
          <t>0112</t>
        </is>
      </c>
      <c r="G8699" s="10" t="inlineStr">
        <is>
          <t>嵯峨</t>
        </is>
      </c>
      <c r="H8699" s="10" t="inlineStr">
        <is>
          <t>発</t>
        </is>
      </c>
      <c r="J8699" s="10" t="inlineStr">
        <is>
          <t>営業</t>
        </is>
      </c>
      <c r="L8699" t="inlineStr">
        <is>
          <t>13:15:30</t>
        </is>
      </c>
      <c r="M8699" t="inlineStr">
        <is>
          <t>13:15:55</t>
        </is>
      </c>
    </row>
    <row r="8700" ht="15" customHeight="1" s="37">
      <c r="A8700" t="n">
        <v>4</v>
      </c>
      <c r="B8700" s="10" t="inlineStr">
        <is>
          <t>平日</t>
        </is>
      </c>
      <c r="C8700" s="10" t="inlineStr">
        <is>
          <t>本線</t>
        </is>
      </c>
      <c r="D8700" s="10" t="inlineStr">
        <is>
          <t>下り</t>
        </is>
      </c>
      <c r="E8700" t="inlineStr">
        <is>
          <t>1211</t>
        </is>
      </c>
      <c r="F8700" t="inlineStr">
        <is>
          <t>0112</t>
        </is>
      </c>
      <c r="G8700" s="10" t="inlineStr">
        <is>
          <t>嵐山</t>
        </is>
      </c>
      <c r="H8700" s="10" t="inlineStr">
        <is>
          <t>着</t>
        </is>
      </c>
      <c r="J8700" s="10" t="inlineStr">
        <is>
          <t>営業</t>
        </is>
      </c>
      <c r="L8700" t="inlineStr">
        <is>
          <t>13:17:00</t>
        </is>
      </c>
      <c r="Q8700" t="inlineStr">
        <is>
          <t>1</t>
        </is>
      </c>
    </row>
    <row r="8701" ht="15" customHeight="1" s="37">
      <c r="A8701" t="n">
        <v>4</v>
      </c>
      <c r="B8701" s="10" t="inlineStr">
        <is>
          <t>平日</t>
        </is>
      </c>
      <c r="C8701" s="10" t="inlineStr">
        <is>
          <t>本線</t>
        </is>
      </c>
      <c r="D8701" s="10" t="inlineStr">
        <is>
          <t>上り</t>
        </is>
      </c>
      <c r="E8701" t="inlineStr">
        <is>
          <t>1306</t>
        </is>
      </c>
      <c r="F8701" t="inlineStr">
        <is>
          <t>0211</t>
        </is>
      </c>
      <c r="G8701" s="10" t="inlineStr">
        <is>
          <t>嵐山</t>
        </is>
      </c>
      <c r="H8701" s="10" t="inlineStr">
        <is>
          <t>発</t>
        </is>
      </c>
      <c r="J8701" s="10" t="inlineStr">
        <is>
          <t>営業</t>
        </is>
      </c>
      <c r="M8701" t="inlineStr">
        <is>
          <t>13:23:00</t>
        </is>
      </c>
      <c r="Q8701" t="inlineStr">
        <is>
          <t>1</t>
        </is>
      </c>
    </row>
    <row r="8702" ht="15" customHeight="1" s="37">
      <c r="A8702" t="n">
        <v>4</v>
      </c>
      <c r="B8702" s="10" t="inlineStr">
        <is>
          <t>平日</t>
        </is>
      </c>
      <c r="C8702" s="10" t="inlineStr">
        <is>
          <t>本線</t>
        </is>
      </c>
      <c r="D8702" s="10" t="inlineStr">
        <is>
          <t>上り</t>
        </is>
      </c>
      <c r="E8702" t="inlineStr">
        <is>
          <t>1306</t>
        </is>
      </c>
      <c r="F8702" t="inlineStr">
        <is>
          <t>0211</t>
        </is>
      </c>
      <c r="G8702" s="10" t="inlineStr">
        <is>
          <t>嵯峨</t>
        </is>
      </c>
      <c r="H8702" s="10" t="inlineStr">
        <is>
          <t>発</t>
        </is>
      </c>
      <c r="J8702" s="10" t="inlineStr">
        <is>
          <t>営業</t>
        </is>
      </c>
      <c r="L8702" t="inlineStr">
        <is>
          <t>13:23:55</t>
        </is>
      </c>
      <c r="M8702" t="inlineStr">
        <is>
          <t>13:24:20</t>
        </is>
      </c>
    </row>
    <row r="8703" ht="15" customHeight="1" s="37">
      <c r="A8703" t="n">
        <v>4</v>
      </c>
      <c r="B8703" s="10" t="inlineStr">
        <is>
          <t>平日</t>
        </is>
      </c>
      <c r="C8703" s="10" t="inlineStr">
        <is>
          <t>本線</t>
        </is>
      </c>
      <c r="D8703" s="10" t="inlineStr">
        <is>
          <t>上り</t>
        </is>
      </c>
      <c r="E8703" t="inlineStr">
        <is>
          <t>1306</t>
        </is>
      </c>
      <c r="F8703" t="inlineStr">
        <is>
          <t>0211</t>
        </is>
      </c>
      <c r="G8703" s="10" t="inlineStr">
        <is>
          <t>鹿王院</t>
        </is>
      </c>
      <c r="H8703" s="10" t="inlineStr">
        <is>
          <t>発</t>
        </is>
      </c>
      <c r="J8703" s="10" t="inlineStr">
        <is>
          <t>営業</t>
        </is>
      </c>
      <c r="L8703" t="inlineStr">
        <is>
          <t>13:25:25</t>
        </is>
      </c>
      <c r="M8703" t="inlineStr">
        <is>
          <t>13:25:45</t>
        </is>
      </c>
    </row>
    <row r="8704" ht="15" customHeight="1" s="37">
      <c r="A8704" t="n">
        <v>4</v>
      </c>
      <c r="B8704" s="10" t="inlineStr">
        <is>
          <t>平日</t>
        </is>
      </c>
      <c r="C8704" s="10" t="inlineStr">
        <is>
          <t>本線</t>
        </is>
      </c>
      <c r="D8704" s="10" t="inlineStr">
        <is>
          <t>上り</t>
        </is>
      </c>
      <c r="E8704" t="inlineStr">
        <is>
          <t>1306</t>
        </is>
      </c>
      <c r="F8704" t="inlineStr">
        <is>
          <t>0211</t>
        </is>
      </c>
      <c r="G8704" s="10" t="inlineStr">
        <is>
          <t>車折</t>
        </is>
      </c>
      <c r="H8704" s="10" t="inlineStr">
        <is>
          <t>発</t>
        </is>
      </c>
      <c r="J8704" s="10" t="inlineStr">
        <is>
          <t>営業</t>
        </is>
      </c>
      <c r="L8704" t="inlineStr">
        <is>
          <t>13:26:40</t>
        </is>
      </c>
      <c r="M8704" t="inlineStr">
        <is>
          <t>13:27:10</t>
        </is>
      </c>
    </row>
    <row r="8705" ht="15" customHeight="1" s="37">
      <c r="A8705" t="n">
        <v>4</v>
      </c>
      <c r="B8705" s="10" t="inlineStr">
        <is>
          <t>平日</t>
        </is>
      </c>
      <c r="C8705" s="10" t="inlineStr">
        <is>
          <t>本線</t>
        </is>
      </c>
      <c r="D8705" s="10" t="inlineStr">
        <is>
          <t>上り</t>
        </is>
      </c>
      <c r="E8705" t="inlineStr">
        <is>
          <t>1306</t>
        </is>
      </c>
      <c r="F8705" t="inlineStr">
        <is>
          <t>0211</t>
        </is>
      </c>
      <c r="G8705" s="10" t="inlineStr">
        <is>
          <t>有栖川</t>
        </is>
      </c>
      <c r="H8705" s="10" t="inlineStr">
        <is>
          <t>発</t>
        </is>
      </c>
      <c r="J8705" s="10" t="inlineStr">
        <is>
          <t>営業</t>
        </is>
      </c>
      <c r="L8705" t="inlineStr">
        <is>
          <t>13:28:35</t>
        </is>
      </c>
      <c r="M8705" t="inlineStr">
        <is>
          <t>13:28:55</t>
        </is>
      </c>
    </row>
    <row r="8706" ht="15" customHeight="1" s="37">
      <c r="A8706" t="n">
        <v>4</v>
      </c>
      <c r="B8706" s="10" t="inlineStr">
        <is>
          <t>平日</t>
        </is>
      </c>
      <c r="C8706" s="10" t="inlineStr">
        <is>
          <t>本線</t>
        </is>
      </c>
      <c r="D8706" s="10" t="inlineStr">
        <is>
          <t>上り</t>
        </is>
      </c>
      <c r="E8706" t="inlineStr">
        <is>
          <t>1306</t>
        </is>
      </c>
      <c r="F8706" t="inlineStr">
        <is>
          <t>0211</t>
        </is>
      </c>
      <c r="G8706" s="10" t="inlineStr">
        <is>
          <t>帷子ノ辻</t>
        </is>
      </c>
      <c r="H8706" s="10" t="inlineStr">
        <is>
          <t>発</t>
        </is>
      </c>
      <c r="J8706" s="10" t="inlineStr">
        <is>
          <t>営業</t>
        </is>
      </c>
      <c r="L8706" t="inlineStr">
        <is>
          <t>13:30:10</t>
        </is>
      </c>
      <c r="M8706" t="inlineStr">
        <is>
          <t>13:31:15</t>
        </is>
      </c>
    </row>
    <row r="8707" ht="15" customHeight="1" s="37">
      <c r="A8707" t="n">
        <v>4</v>
      </c>
      <c r="B8707" s="10" t="inlineStr">
        <is>
          <t>平日</t>
        </is>
      </c>
      <c r="C8707" s="10" t="inlineStr">
        <is>
          <t>本線</t>
        </is>
      </c>
      <c r="D8707" s="10" t="inlineStr">
        <is>
          <t>上り</t>
        </is>
      </c>
      <c r="E8707" t="inlineStr">
        <is>
          <t>1306</t>
        </is>
      </c>
      <c r="F8707" t="inlineStr">
        <is>
          <t>0211</t>
        </is>
      </c>
      <c r="G8707" s="10" t="inlineStr">
        <is>
          <t>太秦広隆寺</t>
        </is>
      </c>
      <c r="H8707" s="10" t="inlineStr">
        <is>
          <t>発</t>
        </is>
      </c>
      <c r="J8707" s="10" t="inlineStr">
        <is>
          <t>営業</t>
        </is>
      </c>
      <c r="L8707" t="inlineStr">
        <is>
          <t>13:33:25</t>
        </is>
      </c>
      <c r="M8707" t="inlineStr">
        <is>
          <t>13:33:45</t>
        </is>
      </c>
    </row>
    <row r="8708" ht="15" customHeight="1" s="37">
      <c r="A8708" t="n">
        <v>4</v>
      </c>
      <c r="B8708" s="10" t="inlineStr">
        <is>
          <t>平日</t>
        </is>
      </c>
      <c r="C8708" s="10" t="inlineStr">
        <is>
          <t>本線</t>
        </is>
      </c>
      <c r="D8708" s="10" t="inlineStr">
        <is>
          <t>上り</t>
        </is>
      </c>
      <c r="E8708" t="inlineStr">
        <is>
          <t>1306</t>
        </is>
      </c>
      <c r="F8708" t="inlineStr">
        <is>
          <t>0211</t>
        </is>
      </c>
      <c r="G8708" s="10" t="inlineStr">
        <is>
          <t>蚕ノ社</t>
        </is>
      </c>
      <c r="H8708" s="10" t="inlineStr">
        <is>
          <t>発</t>
        </is>
      </c>
      <c r="J8708" s="10" t="inlineStr">
        <is>
          <t>営業</t>
        </is>
      </c>
      <c r="L8708" t="inlineStr">
        <is>
          <t>13:35:00</t>
        </is>
      </c>
      <c r="M8708" t="inlineStr">
        <is>
          <t>13:35:20</t>
        </is>
      </c>
    </row>
    <row r="8709" ht="15" customHeight="1" s="37">
      <c r="A8709" t="n">
        <v>4</v>
      </c>
      <c r="B8709" s="10" t="inlineStr">
        <is>
          <t>平日</t>
        </is>
      </c>
      <c r="C8709" s="10" t="inlineStr">
        <is>
          <t>本線</t>
        </is>
      </c>
      <c r="D8709" s="10" t="inlineStr">
        <is>
          <t>上り</t>
        </is>
      </c>
      <c r="E8709" t="inlineStr">
        <is>
          <t>1306</t>
        </is>
      </c>
      <c r="F8709" t="inlineStr">
        <is>
          <t>0211</t>
        </is>
      </c>
      <c r="G8709" s="10" t="inlineStr">
        <is>
          <t>天神川</t>
        </is>
      </c>
      <c r="H8709" s="10" t="inlineStr">
        <is>
          <t>発</t>
        </is>
      </c>
      <c r="J8709" s="10" t="inlineStr">
        <is>
          <t>営業</t>
        </is>
      </c>
      <c r="L8709" t="inlineStr">
        <is>
          <t>13:36:05</t>
        </is>
      </c>
      <c r="M8709" t="inlineStr">
        <is>
          <t>13:36:50</t>
        </is>
      </c>
    </row>
    <row r="8710" ht="15" customHeight="1" s="37">
      <c r="A8710" t="n">
        <v>4</v>
      </c>
      <c r="B8710" s="10" t="inlineStr">
        <is>
          <t>平日</t>
        </is>
      </c>
      <c r="C8710" s="10" t="inlineStr">
        <is>
          <t>本線</t>
        </is>
      </c>
      <c r="D8710" s="10" t="inlineStr">
        <is>
          <t>上り</t>
        </is>
      </c>
      <c r="E8710" t="inlineStr">
        <is>
          <t>1306</t>
        </is>
      </c>
      <c r="F8710" t="inlineStr">
        <is>
          <t>0211</t>
        </is>
      </c>
      <c r="G8710" s="10" t="inlineStr">
        <is>
          <t>山ノ内</t>
        </is>
      </c>
      <c r="H8710" s="10" t="inlineStr">
        <is>
          <t>発</t>
        </is>
      </c>
      <c r="J8710" s="10" t="inlineStr">
        <is>
          <t>営業</t>
        </is>
      </c>
      <c r="L8710" t="inlineStr">
        <is>
          <t>13:38:40</t>
        </is>
      </c>
      <c r="M8710" t="inlineStr">
        <is>
          <t>13:39:05</t>
        </is>
      </c>
    </row>
    <row r="8711" ht="15" customHeight="1" s="37">
      <c r="A8711" t="n">
        <v>4</v>
      </c>
      <c r="B8711" s="10" t="inlineStr">
        <is>
          <t>平日</t>
        </is>
      </c>
      <c r="C8711" s="10" t="inlineStr">
        <is>
          <t>本線</t>
        </is>
      </c>
      <c r="D8711" s="10" t="inlineStr">
        <is>
          <t>上り</t>
        </is>
      </c>
      <c r="E8711" t="inlineStr">
        <is>
          <t>1306</t>
        </is>
      </c>
      <c r="F8711" t="inlineStr">
        <is>
          <t>0211</t>
        </is>
      </c>
      <c r="G8711" s="10" t="inlineStr">
        <is>
          <t>西大路三条</t>
        </is>
      </c>
      <c r="H8711" s="10" t="inlineStr">
        <is>
          <t>発</t>
        </is>
      </c>
      <c r="J8711" s="10" t="inlineStr">
        <is>
          <t>営業</t>
        </is>
      </c>
      <c r="L8711" t="inlineStr">
        <is>
          <t>13:40:55</t>
        </is>
      </c>
      <c r="M8711" t="inlineStr">
        <is>
          <t>13:41:15</t>
        </is>
      </c>
    </row>
    <row r="8712" ht="15" customHeight="1" s="37">
      <c r="A8712" t="n">
        <v>4</v>
      </c>
      <c r="B8712" s="10" t="inlineStr">
        <is>
          <t>平日</t>
        </is>
      </c>
      <c r="C8712" s="10" t="inlineStr">
        <is>
          <t>本線</t>
        </is>
      </c>
      <c r="D8712" s="10" t="inlineStr">
        <is>
          <t>上り</t>
        </is>
      </c>
      <c r="E8712" t="inlineStr">
        <is>
          <t>1306</t>
        </is>
      </c>
      <c r="F8712" t="inlineStr">
        <is>
          <t>0211</t>
        </is>
      </c>
      <c r="G8712" s="10" t="inlineStr">
        <is>
          <t>西院</t>
        </is>
      </c>
      <c r="H8712" s="10" t="inlineStr">
        <is>
          <t>発</t>
        </is>
      </c>
      <c r="J8712" s="10" t="inlineStr">
        <is>
          <t>営業</t>
        </is>
      </c>
      <c r="L8712" t="inlineStr">
        <is>
          <t>13:43:10</t>
        </is>
      </c>
      <c r="M8712" t="inlineStr">
        <is>
          <t>13:44:05</t>
        </is>
      </c>
    </row>
    <row r="8713" ht="15" customHeight="1" s="37">
      <c r="A8713" t="n">
        <v>4</v>
      </c>
      <c r="B8713" s="10" t="inlineStr">
        <is>
          <t>平日</t>
        </is>
      </c>
      <c r="C8713" s="10" t="inlineStr">
        <is>
          <t>本線</t>
        </is>
      </c>
      <c r="D8713" s="10" t="inlineStr">
        <is>
          <t>上り</t>
        </is>
      </c>
      <c r="E8713" t="inlineStr">
        <is>
          <t>1306</t>
        </is>
      </c>
      <c r="F8713" t="inlineStr">
        <is>
          <t>0211</t>
        </is>
      </c>
      <c r="G8713" s="10" t="inlineStr">
        <is>
          <t>四条大宮</t>
        </is>
      </c>
      <c r="H8713" s="10" t="inlineStr">
        <is>
          <t>着</t>
        </is>
      </c>
      <c r="J8713" s="10" t="inlineStr">
        <is>
          <t>営業</t>
        </is>
      </c>
      <c r="L8713" t="inlineStr">
        <is>
          <t>13:47:00</t>
        </is>
      </c>
      <c r="Q8713" t="inlineStr">
        <is>
          <t>1</t>
        </is>
      </c>
    </row>
    <row r="8714" ht="15" customHeight="1" s="37">
      <c r="A8714" t="n">
        <v>4</v>
      </c>
      <c r="B8714" s="10" t="inlineStr">
        <is>
          <t>平日</t>
        </is>
      </c>
      <c r="C8714" s="10" t="inlineStr">
        <is>
          <t>本線</t>
        </is>
      </c>
      <c r="D8714" s="10" t="inlineStr">
        <is>
          <t>下り</t>
        </is>
      </c>
      <c r="E8714" t="inlineStr">
        <is>
          <t>1311</t>
        </is>
      </c>
      <c r="F8714" t="inlineStr">
        <is>
          <t>0112</t>
        </is>
      </c>
      <c r="G8714" s="10" t="inlineStr">
        <is>
          <t>四条大宮</t>
        </is>
      </c>
      <c r="H8714" s="10" t="inlineStr">
        <is>
          <t>発</t>
        </is>
      </c>
      <c r="J8714" s="10" t="inlineStr">
        <is>
          <t>営業</t>
        </is>
      </c>
      <c r="M8714" t="inlineStr">
        <is>
          <t>13:53:00</t>
        </is>
      </c>
      <c r="Q8714" t="inlineStr">
        <is>
          <t>1</t>
        </is>
      </c>
    </row>
    <row r="8715" ht="15" customHeight="1" s="37">
      <c r="A8715" t="n">
        <v>4</v>
      </c>
      <c r="B8715" s="10" t="inlineStr">
        <is>
          <t>平日</t>
        </is>
      </c>
      <c r="C8715" s="10" t="inlineStr">
        <is>
          <t>本線</t>
        </is>
      </c>
      <c r="D8715" s="10" t="inlineStr">
        <is>
          <t>下り</t>
        </is>
      </c>
      <c r="E8715" t="inlineStr">
        <is>
          <t>1311</t>
        </is>
      </c>
      <c r="F8715" t="inlineStr">
        <is>
          <t>0112</t>
        </is>
      </c>
      <c r="G8715" s="10" t="inlineStr">
        <is>
          <t>西院</t>
        </is>
      </c>
      <c r="H8715" s="10" t="inlineStr">
        <is>
          <t>発</t>
        </is>
      </c>
      <c r="J8715" s="10" t="inlineStr">
        <is>
          <t>営業</t>
        </is>
      </c>
      <c r="L8715" t="inlineStr">
        <is>
          <t>13:55:50</t>
        </is>
      </c>
      <c r="M8715" t="inlineStr">
        <is>
          <t>13:56:20</t>
        </is>
      </c>
    </row>
    <row r="8716" ht="15" customHeight="1" s="37">
      <c r="A8716" t="n">
        <v>4</v>
      </c>
      <c r="B8716" s="10" t="inlineStr">
        <is>
          <t>平日</t>
        </is>
      </c>
      <c r="C8716" s="10" t="inlineStr">
        <is>
          <t>本線</t>
        </is>
      </c>
      <c r="D8716" s="10" t="inlineStr">
        <is>
          <t>下り</t>
        </is>
      </c>
      <c r="E8716" t="inlineStr">
        <is>
          <t>1311</t>
        </is>
      </c>
      <c r="F8716" t="inlineStr">
        <is>
          <t>0112</t>
        </is>
      </c>
      <c r="G8716" s="10" t="inlineStr">
        <is>
          <t>西大路三条</t>
        </is>
      </c>
      <c r="H8716" s="10" t="inlineStr">
        <is>
          <t>発</t>
        </is>
      </c>
      <c r="J8716" s="10" t="inlineStr">
        <is>
          <t>営業</t>
        </is>
      </c>
      <c r="L8716" t="inlineStr">
        <is>
          <t>13:58:10</t>
        </is>
      </c>
      <c r="M8716" t="inlineStr">
        <is>
          <t>13:58:30</t>
        </is>
      </c>
    </row>
    <row r="8717" ht="15" customHeight="1" s="37">
      <c r="A8717" t="n">
        <v>4</v>
      </c>
      <c r="B8717" s="10" t="inlineStr">
        <is>
          <t>平日</t>
        </is>
      </c>
      <c r="C8717" s="10" t="inlineStr">
        <is>
          <t>本線</t>
        </is>
      </c>
      <c r="D8717" s="10" t="inlineStr">
        <is>
          <t>下り</t>
        </is>
      </c>
      <c r="E8717" t="inlineStr">
        <is>
          <t>1311</t>
        </is>
      </c>
      <c r="F8717" t="inlineStr">
        <is>
          <t>0112</t>
        </is>
      </c>
      <c r="G8717" s="10" t="inlineStr">
        <is>
          <t>山ノ内</t>
        </is>
      </c>
      <c r="H8717" s="10" t="inlineStr">
        <is>
          <t>発</t>
        </is>
      </c>
      <c r="J8717" s="10" t="inlineStr">
        <is>
          <t>営業</t>
        </is>
      </c>
      <c r="L8717" t="inlineStr">
        <is>
          <t>14:00:25</t>
        </is>
      </c>
      <c r="M8717" t="inlineStr">
        <is>
          <t>14:00:50</t>
        </is>
      </c>
    </row>
    <row r="8718" ht="15" customHeight="1" s="37">
      <c r="A8718" t="n">
        <v>4</v>
      </c>
      <c r="B8718" s="10" t="inlineStr">
        <is>
          <t>平日</t>
        </is>
      </c>
      <c r="C8718" s="10" t="inlineStr">
        <is>
          <t>本線</t>
        </is>
      </c>
      <c r="D8718" s="10" t="inlineStr">
        <is>
          <t>下り</t>
        </is>
      </c>
      <c r="E8718" t="inlineStr">
        <is>
          <t>1311</t>
        </is>
      </c>
      <c r="F8718" t="inlineStr">
        <is>
          <t>0112</t>
        </is>
      </c>
      <c r="G8718" s="10" t="inlineStr">
        <is>
          <t>天神川</t>
        </is>
      </c>
      <c r="H8718" s="10" t="inlineStr">
        <is>
          <t>発</t>
        </is>
      </c>
      <c r="J8718" s="10" t="inlineStr">
        <is>
          <t>営業</t>
        </is>
      </c>
      <c r="L8718" t="inlineStr">
        <is>
          <t>14:02:50</t>
        </is>
      </c>
      <c r="M8718" t="inlineStr">
        <is>
          <t>14:03:30</t>
        </is>
      </c>
    </row>
    <row r="8719" ht="15" customHeight="1" s="37">
      <c r="A8719" t="n">
        <v>4</v>
      </c>
      <c r="B8719" s="10" t="inlineStr">
        <is>
          <t>平日</t>
        </is>
      </c>
      <c r="C8719" s="10" t="inlineStr">
        <is>
          <t>本線</t>
        </is>
      </c>
      <c r="D8719" s="10" t="inlineStr">
        <is>
          <t>下り</t>
        </is>
      </c>
      <c r="E8719" t="inlineStr">
        <is>
          <t>1311</t>
        </is>
      </c>
      <c r="F8719" t="inlineStr">
        <is>
          <t>0112</t>
        </is>
      </c>
      <c r="G8719" s="10" t="inlineStr">
        <is>
          <t>蚕ノ社</t>
        </is>
      </c>
      <c r="H8719" s="10" t="inlineStr">
        <is>
          <t>発</t>
        </is>
      </c>
      <c r="J8719" s="10" t="inlineStr">
        <is>
          <t>営業</t>
        </is>
      </c>
      <c r="L8719" t="inlineStr">
        <is>
          <t>14:04:20</t>
        </is>
      </c>
      <c r="M8719" t="inlineStr">
        <is>
          <t>14:04:40</t>
        </is>
      </c>
    </row>
    <row r="8720" ht="15" customHeight="1" s="37">
      <c r="A8720" t="n">
        <v>4</v>
      </c>
      <c r="B8720" s="10" t="inlineStr">
        <is>
          <t>平日</t>
        </is>
      </c>
      <c r="C8720" s="10" t="inlineStr">
        <is>
          <t>本線</t>
        </is>
      </c>
      <c r="D8720" s="10" t="inlineStr">
        <is>
          <t>下り</t>
        </is>
      </c>
      <c r="E8720" t="inlineStr">
        <is>
          <t>1311</t>
        </is>
      </c>
      <c r="F8720" t="inlineStr">
        <is>
          <t>0112</t>
        </is>
      </c>
      <c r="G8720" s="10" t="inlineStr">
        <is>
          <t>太秦広隆寺</t>
        </is>
      </c>
      <c r="H8720" s="10" t="inlineStr">
        <is>
          <t>発</t>
        </is>
      </c>
      <c r="J8720" s="10" t="inlineStr">
        <is>
          <t>営業</t>
        </is>
      </c>
      <c r="L8720" t="inlineStr">
        <is>
          <t>14:06:00</t>
        </is>
      </c>
      <c r="M8720" t="inlineStr">
        <is>
          <t>14:06:20</t>
        </is>
      </c>
    </row>
    <row r="8721" ht="15" customHeight="1" s="37">
      <c r="A8721" t="n">
        <v>4</v>
      </c>
      <c r="B8721" s="10" t="inlineStr">
        <is>
          <t>平日</t>
        </is>
      </c>
      <c r="C8721" s="10" t="inlineStr">
        <is>
          <t>本線</t>
        </is>
      </c>
      <c r="D8721" s="10" t="inlineStr">
        <is>
          <t>下り</t>
        </is>
      </c>
      <c r="E8721" t="inlineStr">
        <is>
          <t>1311</t>
        </is>
      </c>
      <c r="F8721" t="inlineStr">
        <is>
          <t>0112</t>
        </is>
      </c>
      <c r="G8721" s="10" t="inlineStr">
        <is>
          <t>帷子ノ辻</t>
        </is>
      </c>
      <c r="H8721" s="10" t="inlineStr">
        <is>
          <t>発</t>
        </is>
      </c>
      <c r="J8721" s="10" t="inlineStr">
        <is>
          <t>営業</t>
        </is>
      </c>
      <c r="L8721" t="inlineStr">
        <is>
          <t>14:08:20</t>
        </is>
      </c>
      <c r="M8721" t="inlineStr">
        <is>
          <t>14:09:40</t>
        </is>
      </c>
    </row>
    <row r="8722" ht="15" customHeight="1" s="37">
      <c r="A8722" t="n">
        <v>4</v>
      </c>
      <c r="B8722" s="10" t="inlineStr">
        <is>
          <t>平日</t>
        </is>
      </c>
      <c r="C8722" s="10" t="inlineStr">
        <is>
          <t>本線</t>
        </is>
      </c>
      <c r="D8722" s="10" t="inlineStr">
        <is>
          <t>下り</t>
        </is>
      </c>
      <c r="E8722" t="inlineStr">
        <is>
          <t>1311</t>
        </is>
      </c>
      <c r="F8722" t="inlineStr">
        <is>
          <t>0112</t>
        </is>
      </c>
      <c r="G8722" s="10" t="inlineStr">
        <is>
          <t>有栖川</t>
        </is>
      </c>
      <c r="H8722" s="10" t="inlineStr">
        <is>
          <t>発</t>
        </is>
      </c>
      <c r="J8722" s="10" t="inlineStr">
        <is>
          <t>営業</t>
        </is>
      </c>
      <c r="L8722" t="inlineStr">
        <is>
          <t>14:10:50</t>
        </is>
      </c>
      <c r="M8722" t="inlineStr">
        <is>
          <t>14:11:15</t>
        </is>
      </c>
    </row>
    <row r="8723" ht="15" customHeight="1" s="37">
      <c r="A8723" t="n">
        <v>4</v>
      </c>
      <c r="B8723" s="10" t="inlineStr">
        <is>
          <t>平日</t>
        </is>
      </c>
      <c r="C8723" s="10" t="inlineStr">
        <is>
          <t>本線</t>
        </is>
      </c>
      <c r="D8723" s="10" t="inlineStr">
        <is>
          <t>下り</t>
        </is>
      </c>
      <c r="E8723" t="inlineStr">
        <is>
          <t>1311</t>
        </is>
      </c>
      <c r="F8723" t="inlineStr">
        <is>
          <t>0112</t>
        </is>
      </c>
      <c r="G8723" s="10" t="inlineStr">
        <is>
          <t>車折</t>
        </is>
      </c>
      <c r="H8723" s="10" t="inlineStr">
        <is>
          <t>発</t>
        </is>
      </c>
      <c r="J8723" s="10" t="inlineStr">
        <is>
          <t>営業</t>
        </is>
      </c>
      <c r="L8723" t="inlineStr">
        <is>
          <t>14:12:40</t>
        </is>
      </c>
      <c r="M8723" t="inlineStr">
        <is>
          <t>14:13:05</t>
        </is>
      </c>
    </row>
    <row r="8724" ht="16.5" customHeight="1" s="37">
      <c r="A8724" t="n">
        <v>4</v>
      </c>
      <c r="B8724" s="10" t="inlineStr">
        <is>
          <t>平日</t>
        </is>
      </c>
      <c r="C8724" s="10" t="inlineStr">
        <is>
          <t>本線</t>
        </is>
      </c>
      <c r="D8724" s="10" t="inlineStr">
        <is>
          <t>下り</t>
        </is>
      </c>
      <c r="E8724" t="inlineStr">
        <is>
          <t>1311</t>
        </is>
      </c>
      <c r="F8724" t="inlineStr">
        <is>
          <t>0112</t>
        </is>
      </c>
      <c r="G8724" s="10" t="inlineStr">
        <is>
          <t>鹿王院</t>
        </is>
      </c>
      <c r="H8724" s="10" t="inlineStr">
        <is>
          <t>発</t>
        </is>
      </c>
      <c r="J8724" s="10" t="inlineStr">
        <is>
          <t>営業</t>
        </is>
      </c>
      <c r="L8724" t="inlineStr">
        <is>
          <t>14:14:00</t>
        </is>
      </c>
      <c r="M8724" t="inlineStr">
        <is>
          <t>14:14:25</t>
        </is>
      </c>
    </row>
    <row r="8725" ht="16.5" customHeight="1" s="37">
      <c r="A8725" t="n">
        <v>4</v>
      </c>
      <c r="B8725" s="10" t="inlineStr">
        <is>
          <t>平日</t>
        </is>
      </c>
      <c r="C8725" s="10" t="inlineStr">
        <is>
          <t>本線</t>
        </is>
      </c>
      <c r="D8725" s="10" t="inlineStr">
        <is>
          <t>下り</t>
        </is>
      </c>
      <c r="E8725" t="inlineStr">
        <is>
          <t>1311</t>
        </is>
      </c>
      <c r="F8725" t="inlineStr">
        <is>
          <t>0112</t>
        </is>
      </c>
      <c r="G8725" s="10" t="inlineStr">
        <is>
          <t>嵯峨</t>
        </is>
      </c>
      <c r="H8725" s="10" t="inlineStr">
        <is>
          <t>発</t>
        </is>
      </c>
      <c r="J8725" s="10" t="inlineStr">
        <is>
          <t>営業</t>
        </is>
      </c>
      <c r="L8725" t="inlineStr">
        <is>
          <t>14:15:30</t>
        </is>
      </c>
      <c r="M8725" t="inlineStr">
        <is>
          <t>14:15:55</t>
        </is>
      </c>
    </row>
    <row r="8726" ht="16.5" customHeight="1" s="37">
      <c r="A8726" t="n">
        <v>4</v>
      </c>
      <c r="B8726" s="10" t="inlineStr">
        <is>
          <t>平日</t>
        </is>
      </c>
      <c r="C8726" s="10" t="inlineStr">
        <is>
          <t>本線</t>
        </is>
      </c>
      <c r="D8726" s="10" t="inlineStr">
        <is>
          <t>下り</t>
        </is>
      </c>
      <c r="E8726" t="inlineStr">
        <is>
          <t>1311</t>
        </is>
      </c>
      <c r="F8726" t="inlineStr">
        <is>
          <t>0112</t>
        </is>
      </c>
      <c r="G8726" s="10" t="inlineStr">
        <is>
          <t>嵐山</t>
        </is>
      </c>
      <c r="H8726" s="10" t="inlineStr">
        <is>
          <t>着</t>
        </is>
      </c>
      <c r="J8726" s="10" t="inlineStr">
        <is>
          <t>営業</t>
        </is>
      </c>
      <c r="L8726" t="inlineStr">
        <is>
          <t>14:17:00</t>
        </is>
      </c>
      <c r="Q8726" t="inlineStr">
        <is>
          <t>1</t>
        </is>
      </c>
    </row>
    <row r="8727" ht="16.5" customHeight="1" s="37">
      <c r="A8727" t="n">
        <v>4</v>
      </c>
      <c r="B8727" s="10" t="inlineStr">
        <is>
          <t>平日</t>
        </is>
      </c>
      <c r="C8727" s="10" t="inlineStr">
        <is>
          <t>本線</t>
        </is>
      </c>
      <c r="D8727" s="10" t="inlineStr">
        <is>
          <t>上り</t>
        </is>
      </c>
      <c r="E8727" t="inlineStr">
        <is>
          <t>1406</t>
        </is>
      </c>
      <c r="F8727" t="inlineStr">
        <is>
          <t>0211</t>
        </is>
      </c>
      <c r="G8727" s="10" t="inlineStr">
        <is>
          <t>嵐山</t>
        </is>
      </c>
      <c r="H8727" s="10" t="inlineStr">
        <is>
          <t>発</t>
        </is>
      </c>
      <c r="J8727" s="10" t="inlineStr">
        <is>
          <t>営業</t>
        </is>
      </c>
      <c r="M8727" t="inlineStr">
        <is>
          <t>14:23:00</t>
        </is>
      </c>
      <c r="Q8727" t="inlineStr">
        <is>
          <t>1</t>
        </is>
      </c>
    </row>
    <row r="8728" ht="16.5" customHeight="1" s="37">
      <c r="A8728" t="n">
        <v>4</v>
      </c>
      <c r="B8728" s="10" t="inlineStr">
        <is>
          <t>平日</t>
        </is>
      </c>
      <c r="C8728" s="10" t="inlineStr">
        <is>
          <t>本線</t>
        </is>
      </c>
      <c r="D8728" s="10" t="inlineStr">
        <is>
          <t>上り</t>
        </is>
      </c>
      <c r="E8728" t="inlineStr">
        <is>
          <t>1406</t>
        </is>
      </c>
      <c r="F8728" t="inlineStr">
        <is>
          <t>0211</t>
        </is>
      </c>
      <c r="G8728" s="10" t="inlineStr">
        <is>
          <t>嵯峨</t>
        </is>
      </c>
      <c r="H8728" s="10" t="inlineStr">
        <is>
          <t>発</t>
        </is>
      </c>
      <c r="J8728" s="10" t="inlineStr">
        <is>
          <t>営業</t>
        </is>
      </c>
      <c r="L8728" t="inlineStr">
        <is>
          <t>14:23:55</t>
        </is>
      </c>
      <c r="M8728" t="inlineStr">
        <is>
          <t>14:24:20</t>
        </is>
      </c>
    </row>
    <row r="8729" ht="16.5" customHeight="1" s="37">
      <c r="A8729" t="n">
        <v>4</v>
      </c>
      <c r="B8729" s="10" t="inlineStr">
        <is>
          <t>平日</t>
        </is>
      </c>
      <c r="C8729" s="10" t="inlineStr">
        <is>
          <t>本線</t>
        </is>
      </c>
      <c r="D8729" s="10" t="inlineStr">
        <is>
          <t>上り</t>
        </is>
      </c>
      <c r="E8729" t="inlineStr">
        <is>
          <t>1406</t>
        </is>
      </c>
      <c r="F8729" t="inlineStr">
        <is>
          <t>0211</t>
        </is>
      </c>
      <c r="G8729" s="10" t="inlineStr">
        <is>
          <t>鹿王院</t>
        </is>
      </c>
      <c r="H8729" s="10" t="inlineStr">
        <is>
          <t>発</t>
        </is>
      </c>
      <c r="J8729" s="10" t="inlineStr">
        <is>
          <t>営業</t>
        </is>
      </c>
      <c r="L8729" t="inlineStr">
        <is>
          <t>14:25:25</t>
        </is>
      </c>
      <c r="M8729" t="inlineStr">
        <is>
          <t>14:25:45</t>
        </is>
      </c>
    </row>
    <row r="8730" ht="16.5" customHeight="1" s="37">
      <c r="A8730" t="n">
        <v>4</v>
      </c>
      <c r="B8730" s="10" t="inlineStr">
        <is>
          <t>平日</t>
        </is>
      </c>
      <c r="C8730" s="10" t="inlineStr">
        <is>
          <t>本線</t>
        </is>
      </c>
      <c r="D8730" s="10" t="inlineStr">
        <is>
          <t>上り</t>
        </is>
      </c>
      <c r="E8730" t="inlineStr">
        <is>
          <t>1406</t>
        </is>
      </c>
      <c r="F8730" t="inlineStr">
        <is>
          <t>0211</t>
        </is>
      </c>
      <c r="G8730" s="10" t="inlineStr">
        <is>
          <t>車折</t>
        </is>
      </c>
      <c r="H8730" s="10" t="inlineStr">
        <is>
          <t>発</t>
        </is>
      </c>
      <c r="J8730" s="10" t="inlineStr">
        <is>
          <t>営業</t>
        </is>
      </c>
      <c r="L8730" t="inlineStr">
        <is>
          <t>14:26:40</t>
        </is>
      </c>
      <c r="M8730" t="inlineStr">
        <is>
          <t>14:27:10</t>
        </is>
      </c>
    </row>
    <row r="8731" ht="16.5" customHeight="1" s="37">
      <c r="A8731" t="n">
        <v>4</v>
      </c>
      <c r="B8731" s="10" t="inlineStr">
        <is>
          <t>平日</t>
        </is>
      </c>
      <c r="C8731" s="10" t="inlineStr">
        <is>
          <t>本線</t>
        </is>
      </c>
      <c r="D8731" s="10" t="inlineStr">
        <is>
          <t>上り</t>
        </is>
      </c>
      <c r="E8731" t="inlineStr">
        <is>
          <t>1406</t>
        </is>
      </c>
      <c r="F8731" t="inlineStr">
        <is>
          <t>0211</t>
        </is>
      </c>
      <c r="G8731" s="10" t="inlineStr">
        <is>
          <t>有栖川</t>
        </is>
      </c>
      <c r="H8731" s="10" t="inlineStr">
        <is>
          <t>発</t>
        </is>
      </c>
      <c r="J8731" s="10" t="inlineStr">
        <is>
          <t>営業</t>
        </is>
      </c>
      <c r="L8731" t="inlineStr">
        <is>
          <t>14:28:35</t>
        </is>
      </c>
      <c r="M8731" t="inlineStr">
        <is>
          <t>14:28:55</t>
        </is>
      </c>
    </row>
    <row r="8732" ht="16.5" customHeight="1" s="37">
      <c r="A8732" t="n">
        <v>4</v>
      </c>
      <c r="B8732" s="10" t="inlineStr">
        <is>
          <t>平日</t>
        </is>
      </c>
      <c r="C8732" s="10" t="inlineStr">
        <is>
          <t>本線</t>
        </is>
      </c>
      <c r="D8732" s="10" t="inlineStr">
        <is>
          <t>上り</t>
        </is>
      </c>
      <c r="E8732" t="inlineStr">
        <is>
          <t>1406</t>
        </is>
      </c>
      <c r="F8732" t="inlineStr">
        <is>
          <t>0211</t>
        </is>
      </c>
      <c r="G8732" s="10" t="inlineStr">
        <is>
          <t>帷子ノ辻</t>
        </is>
      </c>
      <c r="H8732" s="10" t="inlineStr">
        <is>
          <t>発</t>
        </is>
      </c>
      <c r="J8732" s="10" t="inlineStr">
        <is>
          <t>営業</t>
        </is>
      </c>
      <c r="L8732" t="inlineStr">
        <is>
          <t>14:30:10</t>
        </is>
      </c>
      <c r="M8732" t="inlineStr">
        <is>
          <t>14:31:15</t>
        </is>
      </c>
    </row>
    <row r="8733" ht="16.5" customHeight="1" s="37">
      <c r="A8733" t="n">
        <v>4</v>
      </c>
      <c r="B8733" s="10" t="inlineStr">
        <is>
          <t>平日</t>
        </is>
      </c>
      <c r="C8733" s="10" t="inlineStr">
        <is>
          <t>本線</t>
        </is>
      </c>
      <c r="D8733" s="10" t="inlineStr">
        <is>
          <t>上り</t>
        </is>
      </c>
      <c r="E8733" t="inlineStr">
        <is>
          <t>1406</t>
        </is>
      </c>
      <c r="F8733" t="inlineStr">
        <is>
          <t>0211</t>
        </is>
      </c>
      <c r="G8733" s="10" t="inlineStr">
        <is>
          <t>太秦広隆寺</t>
        </is>
      </c>
      <c r="H8733" s="10" t="inlineStr">
        <is>
          <t>発</t>
        </is>
      </c>
      <c r="J8733" s="10" t="inlineStr">
        <is>
          <t>営業</t>
        </is>
      </c>
      <c r="L8733" t="inlineStr">
        <is>
          <t>14:33:25</t>
        </is>
      </c>
      <c r="M8733" t="inlineStr">
        <is>
          <t>14:33:45</t>
        </is>
      </c>
    </row>
    <row r="8734" ht="16.5" customHeight="1" s="37">
      <c r="A8734" t="n">
        <v>4</v>
      </c>
      <c r="B8734" s="10" t="inlineStr">
        <is>
          <t>平日</t>
        </is>
      </c>
      <c r="C8734" s="10" t="inlineStr">
        <is>
          <t>本線</t>
        </is>
      </c>
      <c r="D8734" s="10" t="inlineStr">
        <is>
          <t>上り</t>
        </is>
      </c>
      <c r="E8734" t="inlineStr">
        <is>
          <t>1406</t>
        </is>
      </c>
      <c r="F8734" t="inlineStr">
        <is>
          <t>0211</t>
        </is>
      </c>
      <c r="G8734" s="10" t="inlineStr">
        <is>
          <t>蚕ノ社</t>
        </is>
      </c>
      <c r="H8734" s="10" t="inlineStr">
        <is>
          <t>発</t>
        </is>
      </c>
      <c r="J8734" s="10" t="inlineStr">
        <is>
          <t>営業</t>
        </is>
      </c>
      <c r="L8734" t="inlineStr">
        <is>
          <t>14:35:00</t>
        </is>
      </c>
      <c r="M8734" t="inlineStr">
        <is>
          <t>14:35:20</t>
        </is>
      </c>
    </row>
    <row r="8735" ht="16.5" customHeight="1" s="37">
      <c r="A8735" t="n">
        <v>4</v>
      </c>
      <c r="B8735" s="10" t="inlineStr">
        <is>
          <t>平日</t>
        </is>
      </c>
      <c r="C8735" s="10" t="inlineStr">
        <is>
          <t>本線</t>
        </is>
      </c>
      <c r="D8735" s="10" t="inlineStr">
        <is>
          <t>上り</t>
        </is>
      </c>
      <c r="E8735" t="inlineStr">
        <is>
          <t>1406</t>
        </is>
      </c>
      <c r="F8735" t="inlineStr">
        <is>
          <t>0211</t>
        </is>
      </c>
      <c r="G8735" s="10" t="inlineStr">
        <is>
          <t>天神川</t>
        </is>
      </c>
      <c r="H8735" s="10" t="inlineStr">
        <is>
          <t>発</t>
        </is>
      </c>
      <c r="J8735" s="10" t="inlineStr">
        <is>
          <t>営業</t>
        </is>
      </c>
      <c r="L8735" t="inlineStr">
        <is>
          <t>14:36:05</t>
        </is>
      </c>
      <c r="M8735" t="inlineStr">
        <is>
          <t>14:36:50</t>
        </is>
      </c>
    </row>
    <row r="8736" ht="16.5" customHeight="1" s="37">
      <c r="A8736" t="n">
        <v>4</v>
      </c>
      <c r="B8736" s="10" t="inlineStr">
        <is>
          <t>平日</t>
        </is>
      </c>
      <c r="C8736" s="10" t="inlineStr">
        <is>
          <t>本線</t>
        </is>
      </c>
      <c r="D8736" s="10" t="inlineStr">
        <is>
          <t>上り</t>
        </is>
      </c>
      <c r="E8736" t="inlineStr">
        <is>
          <t>1406</t>
        </is>
      </c>
      <c r="F8736" t="inlineStr">
        <is>
          <t>0211</t>
        </is>
      </c>
      <c r="G8736" s="10" t="inlineStr">
        <is>
          <t>山ノ内</t>
        </is>
      </c>
      <c r="H8736" s="10" t="inlineStr">
        <is>
          <t>発</t>
        </is>
      </c>
      <c r="J8736" s="10" t="inlineStr">
        <is>
          <t>営業</t>
        </is>
      </c>
      <c r="L8736" t="inlineStr">
        <is>
          <t>14:38:40</t>
        </is>
      </c>
      <c r="M8736" t="inlineStr">
        <is>
          <t>14:39:05</t>
        </is>
      </c>
    </row>
    <row r="8737" ht="16.5" customHeight="1" s="37">
      <c r="A8737" t="n">
        <v>4</v>
      </c>
      <c r="B8737" s="10" t="inlineStr">
        <is>
          <t>平日</t>
        </is>
      </c>
      <c r="C8737" s="10" t="inlineStr">
        <is>
          <t>本線</t>
        </is>
      </c>
      <c r="D8737" s="10" t="inlineStr">
        <is>
          <t>上り</t>
        </is>
      </c>
      <c r="E8737" t="inlineStr">
        <is>
          <t>1406</t>
        </is>
      </c>
      <c r="F8737" t="inlineStr">
        <is>
          <t>0211</t>
        </is>
      </c>
      <c r="G8737" s="10" t="inlineStr">
        <is>
          <t>西大路三条</t>
        </is>
      </c>
      <c r="H8737" s="10" t="inlineStr">
        <is>
          <t>発</t>
        </is>
      </c>
      <c r="J8737" s="10" t="inlineStr">
        <is>
          <t>営業</t>
        </is>
      </c>
      <c r="L8737" t="inlineStr">
        <is>
          <t>14:40:55</t>
        </is>
      </c>
      <c r="M8737" t="inlineStr">
        <is>
          <t>14:41:15</t>
        </is>
      </c>
    </row>
    <row r="8738" ht="16.5" customHeight="1" s="37">
      <c r="A8738" t="n">
        <v>4</v>
      </c>
      <c r="B8738" s="10" t="inlineStr">
        <is>
          <t>平日</t>
        </is>
      </c>
      <c r="C8738" s="10" t="inlineStr">
        <is>
          <t>本線</t>
        </is>
      </c>
      <c r="D8738" s="10" t="inlineStr">
        <is>
          <t>上り</t>
        </is>
      </c>
      <c r="E8738" t="inlineStr">
        <is>
          <t>1406</t>
        </is>
      </c>
      <c r="F8738" t="inlineStr">
        <is>
          <t>0211</t>
        </is>
      </c>
      <c r="G8738" s="10" t="inlineStr">
        <is>
          <t>西院</t>
        </is>
      </c>
      <c r="H8738" s="10" t="inlineStr">
        <is>
          <t>発</t>
        </is>
      </c>
      <c r="J8738" s="10" t="inlineStr">
        <is>
          <t>営業</t>
        </is>
      </c>
      <c r="L8738" t="inlineStr">
        <is>
          <t>14:43:10</t>
        </is>
      </c>
      <c r="M8738" t="inlineStr">
        <is>
          <t>14:44:05</t>
        </is>
      </c>
    </row>
    <row r="8739" ht="16.5" customHeight="1" s="37">
      <c r="A8739" t="n">
        <v>4</v>
      </c>
      <c r="B8739" s="10" t="inlineStr">
        <is>
          <t>平日</t>
        </is>
      </c>
      <c r="C8739" s="10" t="inlineStr">
        <is>
          <t>本線</t>
        </is>
      </c>
      <c r="D8739" s="10" t="inlineStr">
        <is>
          <t>上り</t>
        </is>
      </c>
      <c r="E8739" t="inlineStr">
        <is>
          <t>1406</t>
        </is>
      </c>
      <c r="F8739" t="inlineStr">
        <is>
          <t>0211</t>
        </is>
      </c>
      <c r="G8739" s="10" t="inlineStr">
        <is>
          <t>四条大宮</t>
        </is>
      </c>
      <c r="H8739" s="10" t="inlineStr">
        <is>
          <t>着</t>
        </is>
      </c>
      <c r="J8739" s="10" t="inlineStr">
        <is>
          <t>営業</t>
        </is>
      </c>
      <c r="L8739" t="inlineStr">
        <is>
          <t>14:47:00</t>
        </is>
      </c>
      <c r="Q8739" t="inlineStr">
        <is>
          <t>1</t>
        </is>
      </c>
    </row>
    <row r="8740" ht="16.5" customHeight="1" s="37">
      <c r="A8740" t="n">
        <v>4</v>
      </c>
      <c r="B8740" s="10" t="inlineStr">
        <is>
          <t>平日</t>
        </is>
      </c>
      <c r="C8740" s="10" t="inlineStr">
        <is>
          <t>本線</t>
        </is>
      </c>
      <c r="D8740" s="10" t="inlineStr">
        <is>
          <t>下り</t>
        </is>
      </c>
      <c r="E8740" t="inlineStr">
        <is>
          <t>1411</t>
        </is>
      </c>
      <c r="F8740" t="inlineStr">
        <is>
          <t>0112</t>
        </is>
      </c>
      <c r="G8740" s="10" t="inlineStr">
        <is>
          <t>四条大宮</t>
        </is>
      </c>
      <c r="H8740" s="10" t="inlineStr">
        <is>
          <t>発</t>
        </is>
      </c>
      <c r="J8740" s="10" t="inlineStr">
        <is>
          <t>営業</t>
        </is>
      </c>
      <c r="M8740" t="inlineStr">
        <is>
          <t>14:53:00</t>
        </is>
      </c>
      <c r="Q8740" t="inlineStr">
        <is>
          <t>1</t>
        </is>
      </c>
    </row>
    <row r="8741" ht="16.5" customHeight="1" s="37">
      <c r="A8741" t="n">
        <v>4</v>
      </c>
      <c r="B8741" s="10" t="inlineStr">
        <is>
          <t>平日</t>
        </is>
      </c>
      <c r="C8741" s="10" t="inlineStr">
        <is>
          <t>本線</t>
        </is>
      </c>
      <c r="D8741" s="10" t="inlineStr">
        <is>
          <t>下り</t>
        </is>
      </c>
      <c r="E8741" t="inlineStr">
        <is>
          <t>1411</t>
        </is>
      </c>
      <c r="F8741" t="inlineStr">
        <is>
          <t>0112</t>
        </is>
      </c>
      <c r="G8741" s="10" t="inlineStr">
        <is>
          <t>西院</t>
        </is>
      </c>
      <c r="H8741" s="10" t="inlineStr">
        <is>
          <t>着</t>
        </is>
      </c>
      <c r="J8741" s="10" t="inlineStr">
        <is>
          <t>営業</t>
        </is>
      </c>
      <c r="L8741" t="inlineStr">
        <is>
          <t>14:55:50</t>
        </is>
      </c>
      <c r="M8741" t="inlineStr">
        <is>
          <t>14:56:20</t>
        </is>
      </c>
      <c r="T8741" t="inlineStr">
        <is>
          <t>○</t>
        </is>
      </c>
    </row>
    <row r="8742" ht="16.5" customHeight="1" s="37">
      <c r="A8742" t="n">
        <v>4</v>
      </c>
      <c r="B8742" s="10" t="inlineStr">
        <is>
          <t>平日</t>
        </is>
      </c>
      <c r="C8742" s="10" t="inlineStr">
        <is>
          <t>本線</t>
        </is>
      </c>
      <c r="D8742" s="10" t="inlineStr">
        <is>
          <t>下り</t>
        </is>
      </c>
      <c r="E8742" s="10" t="inlineStr">
        <is>
          <t>連0605</t>
        </is>
      </c>
      <c r="F8742" t="inlineStr">
        <is>
          <t>0502</t>
        </is>
      </c>
      <c r="G8742" s="10" t="inlineStr">
        <is>
          <t>西院</t>
        </is>
      </c>
      <c r="H8742" s="10" t="inlineStr">
        <is>
          <t>発</t>
        </is>
      </c>
      <c r="J8742" s="10" t="inlineStr">
        <is>
          <t>営業</t>
        </is>
      </c>
      <c r="M8742" t="inlineStr">
        <is>
          <t>6:20:20</t>
        </is>
      </c>
      <c r="P8742" t="inlineStr">
        <is>
          <t>D系統(朝)</t>
        </is>
      </c>
    </row>
    <row r="8743" ht="16.5" customHeight="1" s="37">
      <c r="A8743" t="n">
        <v>4</v>
      </c>
      <c r="B8743" s="10" t="inlineStr">
        <is>
          <t>平日</t>
        </is>
      </c>
      <c r="C8743" s="10" t="inlineStr">
        <is>
          <t>本線</t>
        </is>
      </c>
      <c r="D8743" s="10" t="inlineStr">
        <is>
          <t>下り</t>
        </is>
      </c>
      <c r="E8743" s="10" t="inlineStr">
        <is>
          <t>連0605</t>
        </is>
      </c>
      <c r="F8743" t="inlineStr">
        <is>
          <t>0502</t>
        </is>
      </c>
      <c r="G8743" s="10" t="inlineStr">
        <is>
          <t>西大路三条</t>
        </is>
      </c>
      <c r="H8743" s="10" t="inlineStr">
        <is>
          <t>発</t>
        </is>
      </c>
      <c r="J8743" s="10" t="inlineStr">
        <is>
          <t>営業</t>
        </is>
      </c>
      <c r="L8743" t="inlineStr">
        <is>
          <t>6:22:10</t>
        </is>
      </c>
      <c r="M8743" t="inlineStr">
        <is>
          <t>6:22:25</t>
        </is>
      </c>
      <c r="P8743" t="inlineStr">
        <is>
          <t>D系統(朝)</t>
        </is>
      </c>
    </row>
    <row r="8744" ht="16.5" customHeight="1" s="37">
      <c r="A8744" t="n">
        <v>4</v>
      </c>
      <c r="B8744" s="10" t="inlineStr">
        <is>
          <t>平日</t>
        </is>
      </c>
      <c r="C8744" s="10" t="inlineStr">
        <is>
          <t>本線</t>
        </is>
      </c>
      <c r="D8744" s="10" t="inlineStr">
        <is>
          <t>下り</t>
        </is>
      </c>
      <c r="E8744" s="10" t="inlineStr">
        <is>
          <t>連0605</t>
        </is>
      </c>
      <c r="F8744" t="inlineStr">
        <is>
          <t>0502</t>
        </is>
      </c>
      <c r="G8744" s="10" t="inlineStr">
        <is>
          <t>山ノ内</t>
        </is>
      </c>
      <c r="H8744" s="10" t="inlineStr">
        <is>
          <t>発</t>
        </is>
      </c>
      <c r="J8744" s="10" t="inlineStr">
        <is>
          <t>営業</t>
        </is>
      </c>
      <c r="L8744" t="inlineStr">
        <is>
          <t>6:24:20</t>
        </is>
      </c>
      <c r="M8744" t="inlineStr">
        <is>
          <t>6:24:45</t>
        </is>
      </c>
      <c r="P8744" t="inlineStr">
        <is>
          <t>D系統(朝)</t>
        </is>
      </c>
    </row>
    <row r="8745" ht="16.5" customHeight="1" s="37">
      <c r="A8745" t="n">
        <v>4</v>
      </c>
      <c r="B8745" s="10" t="inlineStr">
        <is>
          <t>平日</t>
        </is>
      </c>
      <c r="C8745" s="10" t="inlineStr">
        <is>
          <t>本線</t>
        </is>
      </c>
      <c r="D8745" s="10" t="inlineStr">
        <is>
          <t>下り</t>
        </is>
      </c>
      <c r="E8745" s="10" t="inlineStr">
        <is>
          <t>連0605</t>
        </is>
      </c>
      <c r="F8745" t="inlineStr">
        <is>
          <t>0502</t>
        </is>
      </c>
      <c r="G8745" s="10" t="inlineStr">
        <is>
          <t>天神川</t>
        </is>
      </c>
      <c r="H8745" s="10" t="inlineStr">
        <is>
          <t>発</t>
        </is>
      </c>
      <c r="J8745" s="10" t="inlineStr">
        <is>
          <t>営業</t>
        </is>
      </c>
      <c r="L8745" t="inlineStr">
        <is>
          <t>6:26:45</t>
        </is>
      </c>
      <c r="M8745" t="inlineStr">
        <is>
          <t>6:27:10</t>
        </is>
      </c>
      <c r="P8745" t="inlineStr">
        <is>
          <t>D系統(朝)</t>
        </is>
      </c>
    </row>
    <row r="8746" ht="16.5" customHeight="1" s="37">
      <c r="A8746" t="n">
        <v>4</v>
      </c>
      <c r="B8746" s="10" t="inlineStr">
        <is>
          <t>平日</t>
        </is>
      </c>
      <c r="C8746" s="10" t="inlineStr">
        <is>
          <t>本線</t>
        </is>
      </c>
      <c r="D8746" s="10" t="inlineStr">
        <is>
          <t>下り</t>
        </is>
      </c>
      <c r="E8746" s="10" t="inlineStr">
        <is>
          <t>連0605</t>
        </is>
      </c>
      <c r="F8746" t="inlineStr">
        <is>
          <t>0502</t>
        </is>
      </c>
      <c r="G8746" s="10" t="inlineStr">
        <is>
          <t>蚕ノ社</t>
        </is>
      </c>
      <c r="H8746" s="10" t="inlineStr">
        <is>
          <t>発</t>
        </is>
      </c>
      <c r="J8746" s="10" t="inlineStr">
        <is>
          <t>営業</t>
        </is>
      </c>
      <c r="L8746" t="inlineStr">
        <is>
          <t>6:28:00</t>
        </is>
      </c>
      <c r="M8746" t="inlineStr">
        <is>
          <t>6:28:15</t>
        </is>
      </c>
      <c r="P8746" t="inlineStr">
        <is>
          <t>D系統(朝)</t>
        </is>
      </c>
    </row>
    <row r="8747" ht="16.5" customHeight="1" s="37">
      <c r="A8747" t="n">
        <v>4</v>
      </c>
      <c r="B8747" s="10" t="inlineStr">
        <is>
          <t>平日</t>
        </is>
      </c>
      <c r="C8747" s="10" t="inlineStr">
        <is>
          <t>本線</t>
        </is>
      </c>
      <c r="D8747" s="10" t="inlineStr">
        <is>
          <t>下り</t>
        </is>
      </c>
      <c r="E8747" s="10" t="inlineStr">
        <is>
          <t>連0605</t>
        </is>
      </c>
      <c r="F8747" t="inlineStr">
        <is>
          <t>0502</t>
        </is>
      </c>
      <c r="G8747" s="10" t="inlineStr">
        <is>
          <t>太秦広隆寺</t>
        </is>
      </c>
      <c r="H8747" s="10" t="inlineStr">
        <is>
          <t>発</t>
        </is>
      </c>
      <c r="J8747" s="10" t="inlineStr">
        <is>
          <t>営業</t>
        </is>
      </c>
      <c r="L8747" t="inlineStr">
        <is>
          <t>6:29:35</t>
        </is>
      </c>
      <c r="M8747" t="inlineStr">
        <is>
          <t>6:29:50</t>
        </is>
      </c>
      <c r="P8747" t="inlineStr">
        <is>
          <t>D系統(朝)</t>
        </is>
      </c>
    </row>
    <row r="8748" ht="16.5" customHeight="1" s="37">
      <c r="A8748" t="n">
        <v>4</v>
      </c>
      <c r="B8748" s="10" t="inlineStr">
        <is>
          <t>平日</t>
        </is>
      </c>
      <c r="C8748" s="10" t="inlineStr">
        <is>
          <t>本線</t>
        </is>
      </c>
      <c r="D8748" s="10" t="inlineStr">
        <is>
          <t>下り</t>
        </is>
      </c>
      <c r="E8748" s="10" t="inlineStr">
        <is>
          <t>連0605</t>
        </is>
      </c>
      <c r="F8748" t="inlineStr">
        <is>
          <t>0502</t>
        </is>
      </c>
      <c r="G8748" s="10" t="inlineStr">
        <is>
          <t>帷子ノ辻</t>
        </is>
      </c>
      <c r="H8748" s="10" t="inlineStr">
        <is>
          <t>発</t>
        </is>
      </c>
      <c r="J8748" s="10" t="inlineStr">
        <is>
          <t>営業</t>
        </is>
      </c>
      <c r="L8748" t="inlineStr">
        <is>
          <t>6:31:50</t>
        </is>
      </c>
      <c r="M8748" t="inlineStr">
        <is>
          <t>6:32:20</t>
        </is>
      </c>
      <c r="N8748" t="inlineStr">
        <is>
          <t>○</t>
        </is>
      </c>
      <c r="P8748" t="inlineStr">
        <is>
          <t>D系統(朝)</t>
        </is>
      </c>
    </row>
    <row r="8749" ht="16.5" customHeight="1" s="37">
      <c r="A8749" t="n">
        <v>4</v>
      </c>
      <c r="B8749" s="10" t="inlineStr">
        <is>
          <t>平日</t>
        </is>
      </c>
      <c r="C8749" s="10" t="inlineStr">
        <is>
          <t>本線</t>
        </is>
      </c>
      <c r="D8749" s="10" t="inlineStr">
        <is>
          <t>下り</t>
        </is>
      </c>
      <c r="E8749" s="10" t="inlineStr">
        <is>
          <t>連0605</t>
        </is>
      </c>
      <c r="F8749" t="inlineStr">
        <is>
          <t>0502</t>
        </is>
      </c>
      <c r="G8749" s="10" t="inlineStr">
        <is>
          <t>有栖川</t>
        </is>
      </c>
      <c r="H8749" s="10" t="inlineStr">
        <is>
          <t>発</t>
        </is>
      </c>
      <c r="J8749" s="10" t="inlineStr">
        <is>
          <t>営業</t>
        </is>
      </c>
      <c r="L8749" t="inlineStr">
        <is>
          <t>6:33:30</t>
        </is>
      </c>
      <c r="M8749" t="inlineStr">
        <is>
          <t>6:33:45</t>
        </is>
      </c>
      <c r="P8749" t="inlineStr">
        <is>
          <t>D系統(朝)</t>
        </is>
      </c>
    </row>
    <row r="8750" ht="16.5" customHeight="1" s="37">
      <c r="A8750" t="n">
        <v>4</v>
      </c>
      <c r="B8750" s="10" t="inlineStr">
        <is>
          <t>平日</t>
        </is>
      </c>
      <c r="C8750" s="10" t="inlineStr">
        <is>
          <t>本線</t>
        </is>
      </c>
      <c r="D8750" s="10" t="inlineStr">
        <is>
          <t>下り</t>
        </is>
      </c>
      <c r="E8750" s="10" t="inlineStr">
        <is>
          <t>連0605</t>
        </is>
      </c>
      <c r="F8750" t="inlineStr">
        <is>
          <t>0502</t>
        </is>
      </c>
      <c r="G8750" s="10" t="inlineStr">
        <is>
          <t>車折</t>
        </is>
      </c>
      <c r="H8750" s="10" t="inlineStr">
        <is>
          <t>発</t>
        </is>
      </c>
      <c r="J8750" s="10" t="inlineStr">
        <is>
          <t>営業</t>
        </is>
      </c>
      <c r="L8750" t="inlineStr">
        <is>
          <t>6:35:10</t>
        </is>
      </c>
      <c r="M8750" t="inlineStr">
        <is>
          <t>6:35:25</t>
        </is>
      </c>
      <c r="P8750" t="inlineStr">
        <is>
          <t>D系統(朝)</t>
        </is>
      </c>
    </row>
    <row r="8751" ht="16.5" customHeight="1" s="37">
      <c r="A8751" t="n">
        <v>4</v>
      </c>
      <c r="B8751" s="10" t="inlineStr">
        <is>
          <t>平日</t>
        </is>
      </c>
      <c r="C8751" s="10" t="inlineStr">
        <is>
          <t>本線</t>
        </is>
      </c>
      <c r="D8751" s="10" t="inlineStr">
        <is>
          <t>下り</t>
        </is>
      </c>
      <c r="E8751" s="10" t="inlineStr">
        <is>
          <t>連0605</t>
        </is>
      </c>
      <c r="F8751" t="inlineStr">
        <is>
          <t>0502</t>
        </is>
      </c>
      <c r="G8751" s="10" t="inlineStr">
        <is>
          <t>鹿王院</t>
        </is>
      </c>
      <c r="H8751" s="10" t="inlineStr">
        <is>
          <t>発</t>
        </is>
      </c>
      <c r="J8751" s="10" t="inlineStr">
        <is>
          <t>営業</t>
        </is>
      </c>
      <c r="L8751" t="inlineStr">
        <is>
          <t>6:36:20</t>
        </is>
      </c>
      <c r="M8751" t="inlineStr">
        <is>
          <t>6:36:35</t>
        </is>
      </c>
      <c r="P8751" t="inlineStr">
        <is>
          <t>D系統(朝)</t>
        </is>
      </c>
    </row>
    <row r="8752" ht="16.5" customHeight="1" s="37">
      <c r="A8752" t="n">
        <v>4</v>
      </c>
      <c r="B8752" s="10" t="inlineStr">
        <is>
          <t>平日</t>
        </is>
      </c>
      <c r="C8752" s="10" t="inlineStr">
        <is>
          <t>本線</t>
        </is>
      </c>
      <c r="D8752" s="10" t="inlineStr">
        <is>
          <t>下り</t>
        </is>
      </c>
      <c r="E8752" s="10" t="inlineStr">
        <is>
          <t>連0605</t>
        </is>
      </c>
      <c r="F8752" t="inlineStr">
        <is>
          <t>0502</t>
        </is>
      </c>
      <c r="G8752" s="10" t="inlineStr">
        <is>
          <t>嵯峨</t>
        </is>
      </c>
      <c r="H8752" s="10" t="inlineStr">
        <is>
          <t>発</t>
        </is>
      </c>
      <c r="J8752" s="10" t="inlineStr">
        <is>
          <t>営業</t>
        </is>
      </c>
      <c r="L8752" t="inlineStr">
        <is>
          <t>6:37:40</t>
        </is>
      </c>
      <c r="M8752" t="inlineStr">
        <is>
          <t>6:37:55</t>
        </is>
      </c>
      <c r="P8752" t="inlineStr">
        <is>
          <t>D系統(朝)</t>
        </is>
      </c>
    </row>
    <row r="8753" ht="16.5" customHeight="1" s="37">
      <c r="A8753" t="n">
        <v>4</v>
      </c>
      <c r="B8753" s="10" t="inlineStr">
        <is>
          <t>平日</t>
        </is>
      </c>
      <c r="C8753" s="10" t="inlineStr">
        <is>
          <t>本線</t>
        </is>
      </c>
      <c r="D8753" s="10" t="inlineStr">
        <is>
          <t>下り</t>
        </is>
      </c>
      <c r="E8753" s="10" t="inlineStr">
        <is>
          <t>連0605</t>
        </is>
      </c>
      <c r="F8753" t="inlineStr">
        <is>
          <t>0502</t>
        </is>
      </c>
      <c r="G8753" s="10" t="inlineStr">
        <is>
          <t>嵐山</t>
        </is>
      </c>
      <c r="H8753" s="10" t="inlineStr">
        <is>
          <t>着</t>
        </is>
      </c>
      <c r="J8753" s="10" t="inlineStr">
        <is>
          <t>営業</t>
        </is>
      </c>
      <c r="L8753" t="inlineStr">
        <is>
          <t>6:39:00</t>
        </is>
      </c>
      <c r="N8753" t="inlineStr">
        <is>
          <t>○</t>
        </is>
      </c>
      <c r="P8753" t="inlineStr">
        <is>
          <t>D系統(朝)</t>
        </is>
      </c>
      <c r="Q8753" t="inlineStr">
        <is>
          <t>2</t>
        </is>
      </c>
    </row>
    <row r="8754" ht="16.5" customHeight="1" s="37">
      <c r="A8754" t="n">
        <v>4</v>
      </c>
      <c r="B8754" s="10" t="inlineStr">
        <is>
          <t>平日</t>
        </is>
      </c>
      <c r="C8754" s="10" t="inlineStr">
        <is>
          <t>本線</t>
        </is>
      </c>
      <c r="D8754" s="10" t="inlineStr">
        <is>
          <t>上り</t>
        </is>
      </c>
      <c r="E8754" s="10" t="inlineStr">
        <is>
          <t>連0608</t>
        </is>
      </c>
      <c r="F8754" t="inlineStr">
        <is>
          <t>2221</t>
        </is>
      </c>
      <c r="G8754" s="10" t="inlineStr">
        <is>
          <t>嵐山</t>
        </is>
      </c>
      <c r="H8754" s="10" t="inlineStr">
        <is>
          <t>発</t>
        </is>
      </c>
      <c r="J8754" s="10" t="inlineStr">
        <is>
          <t>営業</t>
        </is>
      </c>
      <c r="M8754" t="inlineStr">
        <is>
          <t>6:51:00</t>
        </is>
      </c>
      <c r="P8754" t="inlineStr">
        <is>
          <t>D系統(朝)</t>
        </is>
      </c>
      <c r="Q8754" t="inlineStr">
        <is>
          <t>2</t>
        </is>
      </c>
    </row>
    <row r="8755" ht="16.5" customHeight="1" s="37">
      <c r="A8755" t="n">
        <v>4</v>
      </c>
      <c r="B8755" s="10" t="inlineStr">
        <is>
          <t>平日</t>
        </is>
      </c>
      <c r="C8755" s="10" t="inlineStr">
        <is>
          <t>本線</t>
        </is>
      </c>
      <c r="D8755" s="10" t="inlineStr">
        <is>
          <t>上り</t>
        </is>
      </c>
      <c r="E8755" s="10" t="inlineStr">
        <is>
          <t>連0608</t>
        </is>
      </c>
      <c r="F8755" t="inlineStr">
        <is>
          <t>2221</t>
        </is>
      </c>
      <c r="G8755" s="10" t="inlineStr">
        <is>
          <t>嵯峨</t>
        </is>
      </c>
      <c r="H8755" s="10" t="inlineStr">
        <is>
          <t>発</t>
        </is>
      </c>
      <c r="J8755" s="10" t="inlineStr">
        <is>
          <t>営業</t>
        </is>
      </c>
      <c r="L8755" t="inlineStr">
        <is>
          <t>6:51:55</t>
        </is>
      </c>
      <c r="M8755" t="inlineStr">
        <is>
          <t>6:52:20</t>
        </is>
      </c>
      <c r="P8755" t="inlineStr">
        <is>
          <t>D系統(朝)</t>
        </is>
      </c>
    </row>
    <row r="8756" ht="16.5" customHeight="1" s="37">
      <c r="A8756" t="n">
        <v>4</v>
      </c>
      <c r="B8756" s="10" t="inlineStr">
        <is>
          <t>平日</t>
        </is>
      </c>
      <c r="C8756" s="10" t="inlineStr">
        <is>
          <t>本線</t>
        </is>
      </c>
      <c r="D8756" s="10" t="inlineStr">
        <is>
          <t>上り</t>
        </is>
      </c>
      <c r="E8756" s="10" t="inlineStr">
        <is>
          <t>連0608</t>
        </is>
      </c>
      <c r="F8756" t="inlineStr">
        <is>
          <t>2221</t>
        </is>
      </c>
      <c r="G8756" s="10" t="inlineStr">
        <is>
          <t>鹿王院</t>
        </is>
      </c>
      <c r="H8756" s="10" t="inlineStr">
        <is>
          <t>発</t>
        </is>
      </c>
      <c r="J8756" s="10" t="inlineStr">
        <is>
          <t>営業</t>
        </is>
      </c>
      <c r="L8756" t="inlineStr">
        <is>
          <t>6:53:25</t>
        </is>
      </c>
      <c r="M8756" t="inlineStr">
        <is>
          <t>6:53:45</t>
        </is>
      </c>
      <c r="P8756" t="inlineStr">
        <is>
          <t>D系統(朝)</t>
        </is>
      </c>
    </row>
    <row r="8757" ht="16.5" customHeight="1" s="37">
      <c r="A8757" t="n">
        <v>4</v>
      </c>
      <c r="B8757" s="10" t="inlineStr">
        <is>
          <t>平日</t>
        </is>
      </c>
      <c r="C8757" s="10" t="inlineStr">
        <is>
          <t>本線</t>
        </is>
      </c>
      <c r="D8757" s="10" t="inlineStr">
        <is>
          <t>上り</t>
        </is>
      </c>
      <c r="E8757" s="10" t="inlineStr">
        <is>
          <t>連0608</t>
        </is>
      </c>
      <c r="F8757" t="inlineStr">
        <is>
          <t>2221</t>
        </is>
      </c>
      <c r="G8757" s="10" t="inlineStr">
        <is>
          <t>車折</t>
        </is>
      </c>
      <c r="H8757" s="10" t="inlineStr">
        <is>
          <t>発</t>
        </is>
      </c>
      <c r="J8757" s="10" t="inlineStr">
        <is>
          <t>営業</t>
        </is>
      </c>
      <c r="L8757" t="inlineStr">
        <is>
          <t>6:54:40</t>
        </is>
      </c>
      <c r="M8757" t="inlineStr">
        <is>
          <t>6:55:10</t>
        </is>
      </c>
      <c r="P8757" t="inlineStr">
        <is>
          <t>D系統(朝)</t>
        </is>
      </c>
    </row>
    <row r="8758" ht="16.5" customHeight="1" s="37">
      <c r="A8758" t="n">
        <v>4</v>
      </c>
      <c r="B8758" s="10" t="inlineStr">
        <is>
          <t>平日</t>
        </is>
      </c>
      <c r="C8758" s="10" t="inlineStr">
        <is>
          <t>本線</t>
        </is>
      </c>
      <c r="D8758" s="10" t="inlineStr">
        <is>
          <t>上り</t>
        </is>
      </c>
      <c r="E8758" s="10" t="inlineStr">
        <is>
          <t>連0608</t>
        </is>
      </c>
      <c r="F8758" t="inlineStr">
        <is>
          <t>2221</t>
        </is>
      </c>
      <c r="G8758" s="10" t="inlineStr">
        <is>
          <t>有栖川</t>
        </is>
      </c>
      <c r="H8758" s="10" t="inlineStr">
        <is>
          <t>発</t>
        </is>
      </c>
      <c r="J8758" s="10" t="inlineStr">
        <is>
          <t>営業</t>
        </is>
      </c>
      <c r="L8758" t="inlineStr">
        <is>
          <t>6:56:35</t>
        </is>
      </c>
      <c r="M8758" t="inlineStr">
        <is>
          <t>6:56:55</t>
        </is>
      </c>
      <c r="P8758" t="inlineStr">
        <is>
          <t>D系統(朝)</t>
        </is>
      </c>
    </row>
    <row r="8759" ht="16.5" customHeight="1" s="37">
      <c r="A8759" t="n">
        <v>4</v>
      </c>
      <c r="B8759" s="10" t="inlineStr">
        <is>
          <t>平日</t>
        </is>
      </c>
      <c r="C8759" s="10" t="inlineStr">
        <is>
          <t>本線</t>
        </is>
      </c>
      <c r="D8759" s="10" t="inlineStr">
        <is>
          <t>上り</t>
        </is>
      </c>
      <c r="E8759" s="10" t="inlineStr">
        <is>
          <t>連0608</t>
        </is>
      </c>
      <c r="F8759" t="inlineStr">
        <is>
          <t>2221</t>
        </is>
      </c>
      <c r="G8759" s="10" t="inlineStr">
        <is>
          <t>帷子ノ辻</t>
        </is>
      </c>
      <c r="H8759" s="10" t="inlineStr">
        <is>
          <t>発</t>
        </is>
      </c>
      <c r="J8759" s="10" t="inlineStr">
        <is>
          <t>営業</t>
        </is>
      </c>
      <c r="L8759" t="inlineStr">
        <is>
          <t>6:58:10</t>
        </is>
      </c>
      <c r="M8759" t="inlineStr">
        <is>
          <t>6:59:15</t>
        </is>
      </c>
      <c r="P8759" t="inlineStr">
        <is>
          <t>D系統(朝)</t>
        </is>
      </c>
    </row>
    <row r="8760" ht="16.5" customHeight="1" s="37">
      <c r="A8760" t="n">
        <v>4</v>
      </c>
      <c r="B8760" s="10" t="inlineStr">
        <is>
          <t>平日</t>
        </is>
      </c>
      <c r="C8760" s="10" t="inlineStr">
        <is>
          <t>本線</t>
        </is>
      </c>
      <c r="D8760" s="10" t="inlineStr">
        <is>
          <t>上り</t>
        </is>
      </c>
      <c r="E8760" s="10" t="inlineStr">
        <is>
          <t>連0608</t>
        </is>
      </c>
      <c r="F8760" t="inlineStr">
        <is>
          <t>2221</t>
        </is>
      </c>
      <c r="G8760" s="10" t="inlineStr">
        <is>
          <t>太秦広隆寺</t>
        </is>
      </c>
      <c r="H8760" s="10" t="inlineStr">
        <is>
          <t>発</t>
        </is>
      </c>
      <c r="J8760" s="10" t="inlineStr">
        <is>
          <t>営業</t>
        </is>
      </c>
      <c r="L8760" t="inlineStr">
        <is>
          <t>7:01:25</t>
        </is>
      </c>
      <c r="M8760" t="inlineStr">
        <is>
          <t>7:01:45</t>
        </is>
      </c>
      <c r="P8760" t="inlineStr">
        <is>
          <t>D系統(朝)</t>
        </is>
      </c>
    </row>
    <row r="8761" ht="16.5" customHeight="1" s="37">
      <c r="A8761" t="n">
        <v>4</v>
      </c>
      <c r="B8761" s="10" t="inlineStr">
        <is>
          <t>平日</t>
        </is>
      </c>
      <c r="C8761" s="10" t="inlineStr">
        <is>
          <t>本線</t>
        </is>
      </c>
      <c r="D8761" s="10" t="inlineStr">
        <is>
          <t>上り</t>
        </is>
      </c>
      <c r="E8761" s="10" t="inlineStr">
        <is>
          <t>連0608</t>
        </is>
      </c>
      <c r="F8761" t="inlineStr">
        <is>
          <t>2221</t>
        </is>
      </c>
      <c r="G8761" s="10" t="inlineStr">
        <is>
          <t>蚕ノ社</t>
        </is>
      </c>
      <c r="H8761" s="10" t="inlineStr">
        <is>
          <t>発</t>
        </is>
      </c>
      <c r="J8761" s="10" t="inlineStr">
        <is>
          <t>営業</t>
        </is>
      </c>
      <c r="L8761" t="inlineStr">
        <is>
          <t>7:03:00</t>
        </is>
      </c>
      <c r="M8761" t="inlineStr">
        <is>
          <t>7:03:20</t>
        </is>
      </c>
      <c r="P8761" t="inlineStr">
        <is>
          <t>D系統(朝)</t>
        </is>
      </c>
    </row>
    <row r="8762" ht="16.5" customHeight="1" s="37">
      <c r="A8762" t="n">
        <v>4</v>
      </c>
      <c r="B8762" s="10" t="inlineStr">
        <is>
          <t>平日</t>
        </is>
      </c>
      <c r="C8762" s="10" t="inlineStr">
        <is>
          <t>本線</t>
        </is>
      </c>
      <c r="D8762" s="10" t="inlineStr">
        <is>
          <t>上り</t>
        </is>
      </c>
      <c r="E8762" s="10" t="inlineStr">
        <is>
          <t>連0608</t>
        </is>
      </c>
      <c r="F8762" t="inlineStr">
        <is>
          <t>2221</t>
        </is>
      </c>
      <c r="G8762" s="10" t="inlineStr">
        <is>
          <t>天神川</t>
        </is>
      </c>
      <c r="H8762" s="10" t="inlineStr">
        <is>
          <t>発</t>
        </is>
      </c>
      <c r="J8762" s="10" t="inlineStr">
        <is>
          <t>営業</t>
        </is>
      </c>
      <c r="L8762" t="inlineStr">
        <is>
          <t>7:04:05</t>
        </is>
      </c>
      <c r="M8762" t="inlineStr">
        <is>
          <t>7:04:50</t>
        </is>
      </c>
      <c r="P8762" t="inlineStr">
        <is>
          <t>D系統(朝)</t>
        </is>
      </c>
    </row>
    <row r="8763" ht="16.5" customHeight="1" s="37">
      <c r="A8763" t="n">
        <v>4</v>
      </c>
      <c r="B8763" s="10" t="inlineStr">
        <is>
          <t>平日</t>
        </is>
      </c>
      <c r="C8763" s="10" t="inlineStr">
        <is>
          <t>本線</t>
        </is>
      </c>
      <c r="D8763" s="10" t="inlineStr">
        <is>
          <t>上り</t>
        </is>
      </c>
      <c r="E8763" s="10" t="inlineStr">
        <is>
          <t>連0608</t>
        </is>
      </c>
      <c r="F8763" t="inlineStr">
        <is>
          <t>2221</t>
        </is>
      </c>
      <c r="G8763" s="10" t="inlineStr">
        <is>
          <t>山ノ内</t>
        </is>
      </c>
      <c r="H8763" s="10" t="inlineStr">
        <is>
          <t>発</t>
        </is>
      </c>
      <c r="J8763" s="10" t="inlineStr">
        <is>
          <t>営業</t>
        </is>
      </c>
      <c r="L8763" t="inlineStr">
        <is>
          <t>7:06:40</t>
        </is>
      </c>
      <c r="M8763" t="inlineStr">
        <is>
          <t>7:07:05</t>
        </is>
      </c>
      <c r="P8763" t="inlineStr">
        <is>
          <t>D系統(朝)</t>
        </is>
      </c>
    </row>
    <row r="8764" ht="16.5" customHeight="1" s="37">
      <c r="A8764" t="n">
        <v>4</v>
      </c>
      <c r="B8764" s="10" t="inlineStr">
        <is>
          <t>平日</t>
        </is>
      </c>
      <c r="C8764" s="10" t="inlineStr">
        <is>
          <t>本線</t>
        </is>
      </c>
      <c r="D8764" s="10" t="inlineStr">
        <is>
          <t>上り</t>
        </is>
      </c>
      <c r="E8764" s="10" t="inlineStr">
        <is>
          <t>連0608</t>
        </is>
      </c>
      <c r="F8764" t="inlineStr">
        <is>
          <t>2221</t>
        </is>
      </c>
      <c r="G8764" s="10" t="inlineStr">
        <is>
          <t>西大路三条</t>
        </is>
      </c>
      <c r="H8764" s="10" t="inlineStr">
        <is>
          <t>発</t>
        </is>
      </c>
      <c r="J8764" s="10" t="inlineStr">
        <is>
          <t>営業</t>
        </is>
      </c>
      <c r="L8764" t="inlineStr">
        <is>
          <t>7:08:55</t>
        </is>
      </c>
      <c r="M8764" t="inlineStr">
        <is>
          <t>7:09:15</t>
        </is>
      </c>
      <c r="P8764" t="inlineStr">
        <is>
          <t>D系統(朝)</t>
        </is>
      </c>
    </row>
    <row r="8765" ht="16.5" customHeight="1" s="37">
      <c r="A8765" t="n">
        <v>4</v>
      </c>
      <c r="B8765" s="10" t="inlineStr">
        <is>
          <t>平日</t>
        </is>
      </c>
      <c r="C8765" s="10" t="inlineStr">
        <is>
          <t>本線</t>
        </is>
      </c>
      <c r="D8765" s="10" t="inlineStr">
        <is>
          <t>上り</t>
        </is>
      </c>
      <c r="E8765" s="10" t="inlineStr">
        <is>
          <t>連0608</t>
        </is>
      </c>
      <c r="F8765" t="inlineStr">
        <is>
          <t>2221</t>
        </is>
      </c>
      <c r="G8765" s="10" t="inlineStr">
        <is>
          <t>西院</t>
        </is>
      </c>
      <c r="H8765" s="10" t="inlineStr">
        <is>
          <t>発</t>
        </is>
      </c>
      <c r="J8765" s="10" t="inlineStr">
        <is>
          <t>営業</t>
        </is>
      </c>
      <c r="L8765" t="inlineStr">
        <is>
          <t>7:11:10</t>
        </is>
      </c>
      <c r="M8765" t="inlineStr">
        <is>
          <t>7:12:05</t>
        </is>
      </c>
      <c r="P8765" t="inlineStr">
        <is>
          <t>D系統(朝)</t>
        </is>
      </c>
    </row>
    <row r="8766" ht="16.5" customHeight="1" s="37">
      <c r="A8766" t="n">
        <v>4</v>
      </c>
      <c r="B8766" s="10" t="inlineStr">
        <is>
          <t>平日</t>
        </is>
      </c>
      <c r="C8766" s="10" t="inlineStr">
        <is>
          <t>本線</t>
        </is>
      </c>
      <c r="D8766" s="10" t="inlineStr">
        <is>
          <t>上り</t>
        </is>
      </c>
      <c r="E8766" s="10" t="inlineStr">
        <is>
          <t>連0608</t>
        </is>
      </c>
      <c r="F8766" t="inlineStr">
        <is>
          <t>2221</t>
        </is>
      </c>
      <c r="G8766" s="10" t="inlineStr">
        <is>
          <t>四条大宮</t>
        </is>
      </c>
      <c r="H8766" s="10" t="inlineStr">
        <is>
          <t>着</t>
        </is>
      </c>
      <c r="J8766" s="10" t="inlineStr">
        <is>
          <t>営業</t>
        </is>
      </c>
      <c r="L8766" t="inlineStr">
        <is>
          <t>7:15:00</t>
        </is>
      </c>
      <c r="P8766" t="inlineStr">
        <is>
          <t>D系統(朝)</t>
        </is>
      </c>
      <c r="Q8766" t="inlineStr">
        <is>
          <t>1</t>
        </is>
      </c>
    </row>
    <row r="8767" ht="16.5" customHeight="1" s="37">
      <c r="A8767" t="n">
        <v>4</v>
      </c>
      <c r="B8767" s="10" t="inlineStr">
        <is>
          <t>平日</t>
        </is>
      </c>
      <c r="C8767" s="10" t="inlineStr">
        <is>
          <t>本線</t>
        </is>
      </c>
      <c r="D8767" s="10" t="inlineStr">
        <is>
          <t>下り</t>
        </is>
      </c>
      <c r="E8767" s="10" t="inlineStr">
        <is>
          <t>連0707</t>
        </is>
      </c>
      <c r="F8767" t="inlineStr">
        <is>
          <t>0122</t>
        </is>
      </c>
      <c r="G8767" s="10" t="inlineStr">
        <is>
          <t>四条大宮</t>
        </is>
      </c>
      <c r="H8767" s="10" t="inlineStr">
        <is>
          <t>発</t>
        </is>
      </c>
      <c r="J8767" s="10" t="inlineStr">
        <is>
          <t>営業</t>
        </is>
      </c>
      <c r="M8767" t="inlineStr">
        <is>
          <t>7:24:00</t>
        </is>
      </c>
      <c r="P8767" t="inlineStr">
        <is>
          <t>E系統(朝)</t>
        </is>
      </c>
      <c r="Q8767" t="inlineStr">
        <is>
          <t>1</t>
        </is>
      </c>
    </row>
    <row r="8768" ht="16.5" customHeight="1" s="37">
      <c r="A8768" t="n">
        <v>4</v>
      </c>
      <c r="B8768" s="10" t="inlineStr">
        <is>
          <t>平日</t>
        </is>
      </c>
      <c r="C8768" s="10" t="inlineStr">
        <is>
          <t>本線</t>
        </is>
      </c>
      <c r="D8768" s="10" t="inlineStr">
        <is>
          <t>下り</t>
        </is>
      </c>
      <c r="E8768" s="10" t="inlineStr">
        <is>
          <t>連0707</t>
        </is>
      </c>
      <c r="F8768" t="inlineStr">
        <is>
          <t>0122</t>
        </is>
      </c>
      <c r="G8768" s="10" t="inlineStr">
        <is>
          <t>西院</t>
        </is>
      </c>
      <c r="H8768" s="10" t="inlineStr">
        <is>
          <t>発</t>
        </is>
      </c>
      <c r="J8768" s="10" t="inlineStr">
        <is>
          <t>営業</t>
        </is>
      </c>
      <c r="L8768" t="inlineStr">
        <is>
          <t>7:26:50</t>
        </is>
      </c>
      <c r="M8768" t="inlineStr">
        <is>
          <t>7:27:20</t>
        </is>
      </c>
      <c r="P8768" t="inlineStr">
        <is>
          <t>E系統(朝)</t>
        </is>
      </c>
    </row>
    <row r="8769" ht="16.5" customHeight="1" s="37">
      <c r="A8769" t="n">
        <v>4</v>
      </c>
      <c r="B8769" s="10" t="inlineStr">
        <is>
          <t>平日</t>
        </is>
      </c>
      <c r="C8769" s="10" t="inlineStr">
        <is>
          <t>本線</t>
        </is>
      </c>
      <c r="D8769" s="10" t="inlineStr">
        <is>
          <t>下り</t>
        </is>
      </c>
      <c r="E8769" s="10" t="inlineStr">
        <is>
          <t>連0707</t>
        </is>
      </c>
      <c r="F8769" t="inlineStr">
        <is>
          <t>0122</t>
        </is>
      </c>
      <c r="G8769" s="10" t="inlineStr">
        <is>
          <t>西大路三条</t>
        </is>
      </c>
      <c r="H8769" s="10" t="inlineStr">
        <is>
          <t>発</t>
        </is>
      </c>
      <c r="J8769" s="10" t="inlineStr">
        <is>
          <t>営業</t>
        </is>
      </c>
      <c r="L8769" t="inlineStr">
        <is>
          <t>7:29:10</t>
        </is>
      </c>
      <c r="M8769" t="inlineStr">
        <is>
          <t>7:29:30</t>
        </is>
      </c>
      <c r="P8769" t="inlineStr">
        <is>
          <t>E系統(朝)</t>
        </is>
      </c>
    </row>
    <row r="8770" ht="16.5" customHeight="1" s="37">
      <c r="A8770" t="n">
        <v>4</v>
      </c>
      <c r="B8770" s="10" t="inlineStr">
        <is>
          <t>平日</t>
        </is>
      </c>
      <c r="C8770" s="10" t="inlineStr">
        <is>
          <t>本線</t>
        </is>
      </c>
      <c r="D8770" s="10" t="inlineStr">
        <is>
          <t>下り</t>
        </is>
      </c>
      <c r="E8770" s="10" t="inlineStr">
        <is>
          <t>連0707</t>
        </is>
      </c>
      <c r="F8770" t="inlineStr">
        <is>
          <t>0122</t>
        </is>
      </c>
      <c r="G8770" s="10" t="inlineStr">
        <is>
          <t>山ノ内</t>
        </is>
      </c>
      <c r="H8770" s="10" t="inlineStr">
        <is>
          <t>発</t>
        </is>
      </c>
      <c r="J8770" s="10" t="inlineStr">
        <is>
          <t>営業</t>
        </is>
      </c>
      <c r="L8770" t="inlineStr">
        <is>
          <t>7:31:25</t>
        </is>
      </c>
      <c r="M8770" t="inlineStr">
        <is>
          <t>7:31:50</t>
        </is>
      </c>
      <c r="P8770" t="inlineStr">
        <is>
          <t>E系統(朝)</t>
        </is>
      </c>
    </row>
    <row r="8771" ht="16.5" customHeight="1" s="37">
      <c r="A8771" t="n">
        <v>4</v>
      </c>
      <c r="B8771" s="10" t="inlineStr">
        <is>
          <t>平日</t>
        </is>
      </c>
      <c r="C8771" s="10" t="inlineStr">
        <is>
          <t>本線</t>
        </is>
      </c>
      <c r="D8771" s="10" t="inlineStr">
        <is>
          <t>下り</t>
        </is>
      </c>
      <c r="E8771" s="10" t="inlineStr">
        <is>
          <t>連0707</t>
        </is>
      </c>
      <c r="F8771" t="inlineStr">
        <is>
          <t>0122</t>
        </is>
      </c>
      <c r="G8771" s="10" t="inlineStr">
        <is>
          <t>天神川</t>
        </is>
      </c>
      <c r="H8771" s="10" t="inlineStr">
        <is>
          <t>発</t>
        </is>
      </c>
      <c r="J8771" s="10" t="inlineStr">
        <is>
          <t>営業</t>
        </is>
      </c>
      <c r="L8771" t="inlineStr">
        <is>
          <t>7:33:50</t>
        </is>
      </c>
      <c r="M8771" t="inlineStr">
        <is>
          <t>7:34:30</t>
        </is>
      </c>
      <c r="P8771" t="inlineStr">
        <is>
          <t>E系統(朝)</t>
        </is>
      </c>
    </row>
    <row r="8772" ht="16.5" customHeight="1" s="37">
      <c r="A8772" t="n">
        <v>4</v>
      </c>
      <c r="B8772" s="10" t="inlineStr">
        <is>
          <t>平日</t>
        </is>
      </c>
      <c r="C8772" s="10" t="inlineStr">
        <is>
          <t>本線</t>
        </is>
      </c>
      <c r="D8772" s="10" t="inlineStr">
        <is>
          <t>下り</t>
        </is>
      </c>
      <c r="E8772" s="10" t="inlineStr">
        <is>
          <t>連0707</t>
        </is>
      </c>
      <c r="F8772" t="inlineStr">
        <is>
          <t>0122</t>
        </is>
      </c>
      <c r="G8772" s="10" t="inlineStr">
        <is>
          <t>蚕ノ社</t>
        </is>
      </c>
      <c r="H8772" s="10" t="inlineStr">
        <is>
          <t>発</t>
        </is>
      </c>
      <c r="J8772" s="10" t="inlineStr">
        <is>
          <t>営業</t>
        </is>
      </c>
      <c r="L8772" t="inlineStr">
        <is>
          <t>7:35:20</t>
        </is>
      </c>
      <c r="M8772" t="inlineStr">
        <is>
          <t>7:35:40</t>
        </is>
      </c>
      <c r="P8772" t="inlineStr">
        <is>
          <t>E系統(朝)</t>
        </is>
      </c>
    </row>
    <row r="8773" ht="16.5" customHeight="1" s="37">
      <c r="A8773" t="n">
        <v>4</v>
      </c>
      <c r="B8773" s="10" t="inlineStr">
        <is>
          <t>平日</t>
        </is>
      </c>
      <c r="C8773" s="10" t="inlineStr">
        <is>
          <t>本線</t>
        </is>
      </c>
      <c r="D8773" s="10" t="inlineStr">
        <is>
          <t>下り</t>
        </is>
      </c>
      <c r="E8773" s="10" t="inlineStr">
        <is>
          <t>連0707</t>
        </is>
      </c>
      <c r="F8773" t="inlineStr">
        <is>
          <t>0122</t>
        </is>
      </c>
      <c r="G8773" s="10" t="inlineStr">
        <is>
          <t>太秦広隆寺</t>
        </is>
      </c>
      <c r="H8773" s="10" t="inlineStr">
        <is>
          <t>発</t>
        </is>
      </c>
      <c r="J8773" s="10" t="inlineStr">
        <is>
          <t>営業</t>
        </is>
      </c>
      <c r="L8773" t="inlineStr">
        <is>
          <t>7:37:00</t>
        </is>
      </c>
      <c r="M8773" t="inlineStr">
        <is>
          <t>7:37:20</t>
        </is>
      </c>
      <c r="P8773" t="inlineStr">
        <is>
          <t>E系統(朝)</t>
        </is>
      </c>
    </row>
    <row r="8774" ht="16.5" customHeight="1" s="37">
      <c r="A8774" t="n">
        <v>4</v>
      </c>
      <c r="B8774" s="10" t="inlineStr">
        <is>
          <t>平日</t>
        </is>
      </c>
      <c r="C8774" s="10" t="inlineStr">
        <is>
          <t>本線</t>
        </is>
      </c>
      <c r="D8774" s="10" t="inlineStr">
        <is>
          <t>下り</t>
        </is>
      </c>
      <c r="E8774" s="10" t="inlineStr">
        <is>
          <t>連0707</t>
        </is>
      </c>
      <c r="F8774" t="inlineStr">
        <is>
          <t>0122</t>
        </is>
      </c>
      <c r="G8774" s="10" t="inlineStr">
        <is>
          <t>帷子ノ辻</t>
        </is>
      </c>
      <c r="H8774" s="10" t="inlineStr">
        <is>
          <t>発</t>
        </is>
      </c>
      <c r="J8774" s="10" t="inlineStr">
        <is>
          <t>営業</t>
        </is>
      </c>
      <c r="L8774" t="inlineStr">
        <is>
          <t>7:39:20</t>
        </is>
      </c>
      <c r="M8774" t="inlineStr">
        <is>
          <t>7:40:40</t>
        </is>
      </c>
      <c r="P8774" t="inlineStr">
        <is>
          <t>E系統(朝)</t>
        </is>
      </c>
    </row>
    <row r="8775" ht="16.5" customHeight="1" s="37">
      <c r="A8775" t="n">
        <v>4</v>
      </c>
      <c r="B8775" s="10" t="inlineStr">
        <is>
          <t>平日</t>
        </is>
      </c>
      <c r="C8775" s="10" t="inlineStr">
        <is>
          <t>本線</t>
        </is>
      </c>
      <c r="D8775" s="10" t="inlineStr">
        <is>
          <t>下り</t>
        </is>
      </c>
      <c r="E8775" s="10" t="inlineStr">
        <is>
          <t>連0707</t>
        </is>
      </c>
      <c r="F8775" t="inlineStr">
        <is>
          <t>0122</t>
        </is>
      </c>
      <c r="G8775" s="10" t="inlineStr">
        <is>
          <t>有栖川</t>
        </is>
      </c>
      <c r="H8775" s="10" t="inlineStr">
        <is>
          <t>発</t>
        </is>
      </c>
      <c r="J8775" s="10" t="inlineStr">
        <is>
          <t>営業</t>
        </is>
      </c>
      <c r="L8775" t="inlineStr">
        <is>
          <t>7:41:50</t>
        </is>
      </c>
      <c r="M8775" t="inlineStr">
        <is>
          <t>7:42:15</t>
        </is>
      </c>
      <c r="P8775" t="inlineStr">
        <is>
          <t>E系統(朝)</t>
        </is>
      </c>
    </row>
    <row r="8776" ht="16.5" customHeight="1" s="37">
      <c r="A8776" t="n">
        <v>4</v>
      </c>
      <c r="B8776" s="10" t="inlineStr">
        <is>
          <t>平日</t>
        </is>
      </c>
      <c r="C8776" s="10" t="inlineStr">
        <is>
          <t>本線</t>
        </is>
      </c>
      <c r="D8776" s="10" t="inlineStr">
        <is>
          <t>下り</t>
        </is>
      </c>
      <c r="E8776" s="10" t="inlineStr">
        <is>
          <t>連0707</t>
        </is>
      </c>
      <c r="F8776" t="inlineStr">
        <is>
          <t>0122</t>
        </is>
      </c>
      <c r="G8776" s="10" t="inlineStr">
        <is>
          <t>車折</t>
        </is>
      </c>
      <c r="H8776" s="10" t="inlineStr">
        <is>
          <t>発</t>
        </is>
      </c>
      <c r="J8776" s="10" t="inlineStr">
        <is>
          <t>営業</t>
        </is>
      </c>
      <c r="L8776" t="inlineStr">
        <is>
          <t>7:43:40</t>
        </is>
      </c>
      <c r="M8776" t="inlineStr">
        <is>
          <t>7:44:05</t>
        </is>
      </c>
      <c r="P8776" t="inlineStr">
        <is>
          <t>E系統(朝)</t>
        </is>
      </c>
    </row>
    <row r="8777" ht="16.5" customHeight="1" s="37">
      <c r="A8777" t="n">
        <v>4</v>
      </c>
      <c r="B8777" s="10" t="inlineStr">
        <is>
          <t>平日</t>
        </is>
      </c>
      <c r="C8777" s="10" t="inlineStr">
        <is>
          <t>本線</t>
        </is>
      </c>
      <c r="D8777" s="10" t="inlineStr">
        <is>
          <t>下り</t>
        </is>
      </c>
      <c r="E8777" s="10" t="inlineStr">
        <is>
          <t>連0707</t>
        </is>
      </c>
      <c r="F8777" t="inlineStr">
        <is>
          <t>0122</t>
        </is>
      </c>
      <c r="G8777" s="10" t="inlineStr">
        <is>
          <t>鹿王院</t>
        </is>
      </c>
      <c r="H8777" s="10" t="inlineStr">
        <is>
          <t>発</t>
        </is>
      </c>
      <c r="J8777" s="10" t="inlineStr">
        <is>
          <t>営業</t>
        </is>
      </c>
      <c r="L8777" t="inlineStr">
        <is>
          <t>7:45:00</t>
        </is>
      </c>
      <c r="M8777" t="inlineStr">
        <is>
          <t>7:45:25</t>
        </is>
      </c>
      <c r="P8777" t="inlineStr">
        <is>
          <t>E系統(朝)</t>
        </is>
      </c>
    </row>
    <row r="8778" ht="16.5" customHeight="1" s="37">
      <c r="A8778" t="n">
        <v>4</v>
      </c>
      <c r="B8778" s="10" t="inlineStr">
        <is>
          <t>平日</t>
        </is>
      </c>
      <c r="C8778" s="10" t="inlineStr">
        <is>
          <t>本線</t>
        </is>
      </c>
      <c r="D8778" s="10" t="inlineStr">
        <is>
          <t>下り</t>
        </is>
      </c>
      <c r="E8778" s="10" t="inlineStr">
        <is>
          <t>連0707</t>
        </is>
      </c>
      <c r="F8778" t="inlineStr">
        <is>
          <t>0122</t>
        </is>
      </c>
      <c r="G8778" s="10" t="inlineStr">
        <is>
          <t>嵯峨</t>
        </is>
      </c>
      <c r="H8778" s="10" t="inlineStr">
        <is>
          <t>発</t>
        </is>
      </c>
      <c r="J8778" s="10" t="inlineStr">
        <is>
          <t>営業</t>
        </is>
      </c>
      <c r="L8778" t="inlineStr">
        <is>
          <t>7:46:30</t>
        </is>
      </c>
      <c r="M8778" t="inlineStr">
        <is>
          <t>7:46:55</t>
        </is>
      </c>
      <c r="P8778" t="inlineStr">
        <is>
          <t>E系統(朝)</t>
        </is>
      </c>
    </row>
    <row r="8779" ht="16.5" customHeight="1" s="37">
      <c r="A8779" t="n">
        <v>4</v>
      </c>
      <c r="B8779" s="10" t="inlineStr">
        <is>
          <t>平日</t>
        </is>
      </c>
      <c r="C8779" s="10" t="inlineStr">
        <is>
          <t>本線</t>
        </is>
      </c>
      <c r="D8779" s="10" t="inlineStr">
        <is>
          <t>下り</t>
        </is>
      </c>
      <c r="E8779" s="10" t="inlineStr">
        <is>
          <t>連0707</t>
        </is>
      </c>
      <c r="F8779" t="inlineStr">
        <is>
          <t>0122</t>
        </is>
      </c>
      <c r="G8779" s="10" t="inlineStr">
        <is>
          <t>嵐山</t>
        </is>
      </c>
      <c r="H8779" s="10" t="inlineStr">
        <is>
          <t>着</t>
        </is>
      </c>
      <c r="J8779" s="10" t="inlineStr">
        <is>
          <t>営業</t>
        </is>
      </c>
      <c r="L8779" t="inlineStr">
        <is>
          <t>7:48:00</t>
        </is>
      </c>
      <c r="N8779" t="inlineStr">
        <is>
          <t>○</t>
        </is>
      </c>
      <c r="P8779" t="inlineStr">
        <is>
          <t>E系統(朝)</t>
        </is>
      </c>
      <c r="Q8779" t="inlineStr">
        <is>
          <t>2</t>
        </is>
      </c>
    </row>
    <row r="8780" ht="16.5" customHeight="1" s="37">
      <c r="A8780" t="n">
        <v>4</v>
      </c>
      <c r="B8780" s="10" t="inlineStr">
        <is>
          <t>平日</t>
        </is>
      </c>
      <c r="C8780" s="10" t="inlineStr">
        <is>
          <t>本線</t>
        </is>
      </c>
      <c r="D8780" s="10" t="inlineStr">
        <is>
          <t>上り</t>
        </is>
      </c>
      <c r="E8780" s="10" t="inlineStr">
        <is>
          <t>連0716</t>
        </is>
      </c>
      <c r="F8780" t="inlineStr">
        <is>
          <t>2221</t>
        </is>
      </c>
      <c r="G8780" s="10" t="inlineStr">
        <is>
          <t>嵐山</t>
        </is>
      </c>
      <c r="H8780" s="10" t="inlineStr">
        <is>
          <t>発</t>
        </is>
      </c>
      <c r="J8780" s="10" t="inlineStr">
        <is>
          <t>営業</t>
        </is>
      </c>
      <c r="M8780" t="inlineStr">
        <is>
          <t>7:57:00</t>
        </is>
      </c>
      <c r="P8780" t="inlineStr">
        <is>
          <t>E系統(朝)</t>
        </is>
      </c>
      <c r="Q8780" t="inlineStr">
        <is>
          <t>2</t>
        </is>
      </c>
    </row>
    <row r="8781" ht="16.5" customHeight="1" s="37">
      <c r="A8781" t="n">
        <v>4</v>
      </c>
      <c r="B8781" s="10" t="inlineStr">
        <is>
          <t>平日</t>
        </is>
      </c>
      <c r="C8781" s="10" t="inlineStr">
        <is>
          <t>本線</t>
        </is>
      </c>
      <c r="D8781" s="10" t="inlineStr">
        <is>
          <t>上り</t>
        </is>
      </c>
      <c r="E8781" s="10" t="inlineStr">
        <is>
          <t>連0716</t>
        </is>
      </c>
      <c r="F8781" t="inlineStr">
        <is>
          <t>2221</t>
        </is>
      </c>
      <c r="G8781" s="10" t="inlineStr">
        <is>
          <t>嵯峨</t>
        </is>
      </c>
      <c r="H8781" s="10" t="inlineStr">
        <is>
          <t>発</t>
        </is>
      </c>
      <c r="J8781" s="10" t="inlineStr">
        <is>
          <t>営業</t>
        </is>
      </c>
      <c r="L8781" t="inlineStr">
        <is>
          <t>7:57:55</t>
        </is>
      </c>
      <c r="M8781" t="inlineStr">
        <is>
          <t>7:58:20</t>
        </is>
      </c>
      <c r="P8781" t="inlineStr">
        <is>
          <t>E系統(朝)</t>
        </is>
      </c>
    </row>
    <row r="8782" ht="16.5" customHeight="1" s="37">
      <c r="A8782" t="n">
        <v>4</v>
      </c>
      <c r="B8782" s="10" t="inlineStr">
        <is>
          <t>平日</t>
        </is>
      </c>
      <c r="C8782" s="10" t="inlineStr">
        <is>
          <t>本線</t>
        </is>
      </c>
      <c r="D8782" s="10" t="inlineStr">
        <is>
          <t>上り</t>
        </is>
      </c>
      <c r="E8782" s="10" t="inlineStr">
        <is>
          <t>連0716</t>
        </is>
      </c>
      <c r="F8782" t="inlineStr">
        <is>
          <t>2221</t>
        </is>
      </c>
      <c r="G8782" s="10" t="inlineStr">
        <is>
          <t>鹿王院</t>
        </is>
      </c>
      <c r="H8782" s="10" t="inlineStr">
        <is>
          <t>発</t>
        </is>
      </c>
      <c r="J8782" s="10" t="inlineStr">
        <is>
          <t>営業</t>
        </is>
      </c>
      <c r="L8782" t="inlineStr">
        <is>
          <t>7:59:25</t>
        </is>
      </c>
      <c r="M8782" t="inlineStr">
        <is>
          <t>7:59:45</t>
        </is>
      </c>
      <c r="P8782" t="inlineStr">
        <is>
          <t>E系統(朝)</t>
        </is>
      </c>
    </row>
    <row r="8783" ht="16.5" customHeight="1" s="37">
      <c r="A8783" t="n">
        <v>4</v>
      </c>
      <c r="B8783" s="10" t="inlineStr">
        <is>
          <t>平日</t>
        </is>
      </c>
      <c r="C8783" s="10" t="inlineStr">
        <is>
          <t>本線</t>
        </is>
      </c>
      <c r="D8783" s="10" t="inlineStr">
        <is>
          <t>上り</t>
        </is>
      </c>
      <c r="E8783" s="10" t="inlineStr">
        <is>
          <t>連0716</t>
        </is>
      </c>
      <c r="F8783" t="inlineStr">
        <is>
          <t>2221</t>
        </is>
      </c>
      <c r="G8783" s="10" t="inlineStr">
        <is>
          <t>車折</t>
        </is>
      </c>
      <c r="H8783" s="10" t="inlineStr">
        <is>
          <t>発</t>
        </is>
      </c>
      <c r="J8783" s="10" t="inlineStr">
        <is>
          <t>営業</t>
        </is>
      </c>
      <c r="L8783" t="inlineStr">
        <is>
          <t>8:00:40</t>
        </is>
      </c>
      <c r="M8783" t="inlineStr">
        <is>
          <t>8:01:10</t>
        </is>
      </c>
      <c r="P8783" t="inlineStr">
        <is>
          <t>E系統(朝)</t>
        </is>
      </c>
    </row>
    <row r="8784" ht="16.5" customHeight="1" s="37">
      <c r="A8784" t="n">
        <v>4</v>
      </c>
      <c r="B8784" s="10" t="inlineStr">
        <is>
          <t>平日</t>
        </is>
      </c>
      <c r="C8784" s="10" t="inlineStr">
        <is>
          <t>本線</t>
        </is>
      </c>
      <c r="D8784" s="10" t="inlineStr">
        <is>
          <t>上り</t>
        </is>
      </c>
      <c r="E8784" s="10" t="inlineStr">
        <is>
          <t>連0716</t>
        </is>
      </c>
      <c r="F8784" t="inlineStr">
        <is>
          <t>2221</t>
        </is>
      </c>
      <c r="G8784" s="10" t="inlineStr">
        <is>
          <t>有栖川</t>
        </is>
      </c>
      <c r="H8784" s="10" t="inlineStr">
        <is>
          <t>発</t>
        </is>
      </c>
      <c r="J8784" s="10" t="inlineStr">
        <is>
          <t>営業</t>
        </is>
      </c>
      <c r="L8784" t="inlineStr">
        <is>
          <t>8:02:35</t>
        </is>
      </c>
      <c r="M8784" t="inlineStr">
        <is>
          <t>8:02:55</t>
        </is>
      </c>
      <c r="P8784" t="inlineStr">
        <is>
          <t>E系統(朝)</t>
        </is>
      </c>
    </row>
    <row r="8785" ht="16.5" customHeight="1" s="37">
      <c r="A8785" t="n">
        <v>4</v>
      </c>
      <c r="B8785" s="10" t="inlineStr">
        <is>
          <t>平日</t>
        </is>
      </c>
      <c r="C8785" s="10" t="inlineStr">
        <is>
          <t>本線</t>
        </is>
      </c>
      <c r="D8785" s="10" t="inlineStr">
        <is>
          <t>上り</t>
        </is>
      </c>
      <c r="E8785" s="10" t="inlineStr">
        <is>
          <t>連0716</t>
        </is>
      </c>
      <c r="F8785" t="inlineStr">
        <is>
          <t>2221</t>
        </is>
      </c>
      <c r="G8785" s="10" t="inlineStr">
        <is>
          <t>帷子ノ辻</t>
        </is>
      </c>
      <c r="H8785" s="10" t="inlineStr">
        <is>
          <t>発</t>
        </is>
      </c>
      <c r="J8785" s="10" t="inlineStr">
        <is>
          <t>営業</t>
        </is>
      </c>
      <c r="L8785" t="inlineStr">
        <is>
          <t>8:04:10</t>
        </is>
      </c>
      <c r="M8785" t="inlineStr">
        <is>
          <t>8:05:15</t>
        </is>
      </c>
      <c r="P8785" t="inlineStr">
        <is>
          <t>E系統(朝)</t>
        </is>
      </c>
    </row>
    <row r="8786" ht="16.5" customHeight="1" s="37">
      <c r="A8786" t="n">
        <v>4</v>
      </c>
      <c r="B8786" s="10" t="inlineStr">
        <is>
          <t>平日</t>
        </is>
      </c>
      <c r="C8786" s="10" t="inlineStr">
        <is>
          <t>本線</t>
        </is>
      </c>
      <c r="D8786" s="10" t="inlineStr">
        <is>
          <t>上り</t>
        </is>
      </c>
      <c r="E8786" s="10" t="inlineStr">
        <is>
          <t>連0716</t>
        </is>
      </c>
      <c r="F8786" t="inlineStr">
        <is>
          <t>2221</t>
        </is>
      </c>
      <c r="G8786" s="10" t="inlineStr">
        <is>
          <t>太秦広隆寺</t>
        </is>
      </c>
      <c r="H8786" s="10" t="inlineStr">
        <is>
          <t>発</t>
        </is>
      </c>
      <c r="J8786" s="10" t="inlineStr">
        <is>
          <t>営業</t>
        </is>
      </c>
      <c r="L8786" t="inlineStr">
        <is>
          <t>8:07:25</t>
        </is>
      </c>
      <c r="M8786" t="inlineStr">
        <is>
          <t>8:07:45</t>
        </is>
      </c>
      <c r="P8786" t="inlineStr">
        <is>
          <t>E系統(朝)</t>
        </is>
      </c>
    </row>
    <row r="8787" ht="16.5" customHeight="1" s="37">
      <c r="A8787" t="n">
        <v>4</v>
      </c>
      <c r="B8787" s="10" t="inlineStr">
        <is>
          <t>平日</t>
        </is>
      </c>
      <c r="C8787" s="10" t="inlineStr">
        <is>
          <t>本線</t>
        </is>
      </c>
      <c r="D8787" s="10" t="inlineStr">
        <is>
          <t>上り</t>
        </is>
      </c>
      <c r="E8787" s="10" t="inlineStr">
        <is>
          <t>連0716</t>
        </is>
      </c>
      <c r="F8787" t="inlineStr">
        <is>
          <t>2221</t>
        </is>
      </c>
      <c r="G8787" s="10" t="inlineStr">
        <is>
          <t>蚕ノ社</t>
        </is>
      </c>
      <c r="H8787" s="10" t="inlineStr">
        <is>
          <t>発</t>
        </is>
      </c>
      <c r="J8787" s="10" t="inlineStr">
        <is>
          <t>営業</t>
        </is>
      </c>
      <c r="L8787" t="inlineStr">
        <is>
          <t>8:09:00</t>
        </is>
      </c>
      <c r="M8787" t="inlineStr">
        <is>
          <t>8:09:20</t>
        </is>
      </c>
      <c r="P8787" t="inlineStr">
        <is>
          <t>E系統(朝)</t>
        </is>
      </c>
    </row>
    <row r="8788" ht="16.5" customHeight="1" s="37">
      <c r="A8788" t="n">
        <v>4</v>
      </c>
      <c r="B8788" s="10" t="inlineStr">
        <is>
          <t>平日</t>
        </is>
      </c>
      <c r="C8788" s="10" t="inlineStr">
        <is>
          <t>本線</t>
        </is>
      </c>
      <c r="D8788" s="10" t="inlineStr">
        <is>
          <t>上り</t>
        </is>
      </c>
      <c r="E8788" s="10" t="inlineStr">
        <is>
          <t>連0716</t>
        </is>
      </c>
      <c r="F8788" t="inlineStr">
        <is>
          <t>2221</t>
        </is>
      </c>
      <c r="G8788" s="10" t="inlineStr">
        <is>
          <t>天神川</t>
        </is>
      </c>
      <c r="H8788" s="10" t="inlineStr">
        <is>
          <t>発</t>
        </is>
      </c>
      <c r="J8788" s="10" t="inlineStr">
        <is>
          <t>営業</t>
        </is>
      </c>
      <c r="L8788" t="inlineStr">
        <is>
          <t>8:10:05</t>
        </is>
      </c>
      <c r="M8788" t="inlineStr">
        <is>
          <t>8:10:50</t>
        </is>
      </c>
      <c r="P8788" t="inlineStr">
        <is>
          <t>E系統(朝)</t>
        </is>
      </c>
    </row>
    <row r="8789" ht="16.5" customHeight="1" s="37">
      <c r="A8789" t="n">
        <v>4</v>
      </c>
      <c r="B8789" s="10" t="inlineStr">
        <is>
          <t>平日</t>
        </is>
      </c>
      <c r="C8789" s="10" t="inlineStr">
        <is>
          <t>本線</t>
        </is>
      </c>
      <c r="D8789" s="10" t="inlineStr">
        <is>
          <t>上り</t>
        </is>
      </c>
      <c r="E8789" s="10" t="inlineStr">
        <is>
          <t>連0716</t>
        </is>
      </c>
      <c r="F8789" t="inlineStr">
        <is>
          <t>2221</t>
        </is>
      </c>
      <c r="G8789" s="10" t="inlineStr">
        <is>
          <t>山ノ内</t>
        </is>
      </c>
      <c r="H8789" s="10" t="inlineStr">
        <is>
          <t>発</t>
        </is>
      </c>
      <c r="J8789" s="10" t="inlineStr">
        <is>
          <t>営業</t>
        </is>
      </c>
      <c r="L8789" t="inlineStr">
        <is>
          <t>8:12:40</t>
        </is>
      </c>
      <c r="M8789" t="inlineStr">
        <is>
          <t>8:13:05</t>
        </is>
      </c>
      <c r="P8789" t="inlineStr">
        <is>
          <t>E系統(朝)</t>
        </is>
      </c>
    </row>
    <row r="8790" ht="16.5" customHeight="1" s="37">
      <c r="A8790" t="n">
        <v>4</v>
      </c>
      <c r="B8790" s="10" t="inlineStr">
        <is>
          <t>平日</t>
        </is>
      </c>
      <c r="C8790" s="10" t="inlineStr">
        <is>
          <t>本線</t>
        </is>
      </c>
      <c r="D8790" s="10" t="inlineStr">
        <is>
          <t>上り</t>
        </is>
      </c>
      <c r="E8790" s="10" t="inlineStr">
        <is>
          <t>連0716</t>
        </is>
      </c>
      <c r="F8790" t="inlineStr">
        <is>
          <t>2221</t>
        </is>
      </c>
      <c r="G8790" s="10" t="inlineStr">
        <is>
          <t>西大路三条</t>
        </is>
      </c>
      <c r="H8790" s="10" t="inlineStr">
        <is>
          <t>発</t>
        </is>
      </c>
      <c r="J8790" s="10" t="inlineStr">
        <is>
          <t>営業</t>
        </is>
      </c>
      <c r="L8790" t="inlineStr">
        <is>
          <t>8:14:55</t>
        </is>
      </c>
      <c r="M8790" t="inlineStr">
        <is>
          <t>8:15:15</t>
        </is>
      </c>
      <c r="P8790" t="inlineStr">
        <is>
          <t>E系統(朝)</t>
        </is>
      </c>
    </row>
    <row r="8791" ht="16.5" customHeight="1" s="37">
      <c r="A8791" t="n">
        <v>4</v>
      </c>
      <c r="B8791" s="10" t="inlineStr">
        <is>
          <t>平日</t>
        </is>
      </c>
      <c r="C8791" s="10" t="inlineStr">
        <is>
          <t>本線</t>
        </is>
      </c>
      <c r="D8791" s="10" t="inlineStr">
        <is>
          <t>上り</t>
        </is>
      </c>
      <c r="E8791" s="10" t="inlineStr">
        <is>
          <t>連0716</t>
        </is>
      </c>
      <c r="F8791" t="inlineStr">
        <is>
          <t>2221</t>
        </is>
      </c>
      <c r="G8791" s="10" t="inlineStr">
        <is>
          <t>西院</t>
        </is>
      </c>
      <c r="H8791" s="10" t="inlineStr">
        <is>
          <t>発</t>
        </is>
      </c>
      <c r="J8791" s="10" t="inlineStr">
        <is>
          <t>営業</t>
        </is>
      </c>
      <c r="L8791" t="inlineStr">
        <is>
          <t>8:17:10</t>
        </is>
      </c>
      <c r="M8791" t="inlineStr">
        <is>
          <t>8:18:05</t>
        </is>
      </c>
      <c r="P8791" t="inlineStr">
        <is>
          <t>E系統(朝)</t>
        </is>
      </c>
    </row>
    <row r="8792" ht="16.5" customHeight="1" s="37">
      <c r="A8792" t="n">
        <v>4</v>
      </c>
      <c r="B8792" s="10" t="inlineStr">
        <is>
          <t>平日</t>
        </is>
      </c>
      <c r="C8792" s="10" t="inlineStr">
        <is>
          <t>本線</t>
        </is>
      </c>
      <c r="D8792" s="10" t="inlineStr">
        <is>
          <t>上り</t>
        </is>
      </c>
      <c r="E8792" s="10" t="inlineStr">
        <is>
          <t>連0716</t>
        </is>
      </c>
      <c r="F8792" t="inlineStr">
        <is>
          <t>2221</t>
        </is>
      </c>
      <c r="G8792" s="10" t="inlineStr">
        <is>
          <t>四条大宮</t>
        </is>
      </c>
      <c r="H8792" s="10" t="inlineStr">
        <is>
          <t>着</t>
        </is>
      </c>
      <c r="J8792" s="10" t="inlineStr">
        <is>
          <t>営業</t>
        </is>
      </c>
      <c r="L8792" t="inlineStr">
        <is>
          <t>8:21:00</t>
        </is>
      </c>
      <c r="P8792" t="inlineStr">
        <is>
          <t>E系統(朝)</t>
        </is>
      </c>
      <c r="Q8792" t="inlineStr">
        <is>
          <t>2</t>
        </is>
      </c>
    </row>
    <row r="8793" ht="16.5" customHeight="1" s="37">
      <c r="A8793" t="n">
        <v>4</v>
      </c>
      <c r="B8793" s="10" t="inlineStr">
        <is>
          <t>平日</t>
        </is>
      </c>
      <c r="C8793" s="10" t="inlineStr">
        <is>
          <t>本線</t>
        </is>
      </c>
      <c r="D8793" s="10" t="inlineStr">
        <is>
          <t>下り</t>
        </is>
      </c>
      <c r="E8793" s="10" t="inlineStr">
        <is>
          <t>連0807</t>
        </is>
      </c>
      <c r="F8793" t="inlineStr">
        <is>
          <t>0122</t>
        </is>
      </c>
      <c r="G8793" s="10" t="inlineStr">
        <is>
          <t>四条大宮</t>
        </is>
      </c>
      <c r="H8793" s="10" t="inlineStr">
        <is>
          <t>発</t>
        </is>
      </c>
      <c r="J8793" s="10" t="inlineStr">
        <is>
          <t>営業</t>
        </is>
      </c>
      <c r="M8793" t="inlineStr">
        <is>
          <t>8:33:00</t>
        </is>
      </c>
      <c r="P8793" t="inlineStr">
        <is>
          <t>E系統(朝)</t>
        </is>
      </c>
      <c r="Q8793" t="inlineStr">
        <is>
          <t>2</t>
        </is>
      </c>
    </row>
    <row r="8794" ht="16.5" customHeight="1" s="37">
      <c r="A8794" t="n">
        <v>4</v>
      </c>
      <c r="B8794" s="10" t="inlineStr">
        <is>
          <t>平日</t>
        </is>
      </c>
      <c r="C8794" s="10" t="inlineStr">
        <is>
          <t>本線</t>
        </is>
      </c>
      <c r="D8794" s="10" t="inlineStr">
        <is>
          <t>下り</t>
        </is>
      </c>
      <c r="E8794" s="10" t="inlineStr">
        <is>
          <t>連0807</t>
        </is>
      </c>
      <c r="F8794" t="inlineStr">
        <is>
          <t>0122</t>
        </is>
      </c>
      <c r="G8794" s="10" t="inlineStr">
        <is>
          <t>西院</t>
        </is>
      </c>
      <c r="H8794" s="10" t="inlineStr">
        <is>
          <t>発</t>
        </is>
      </c>
      <c r="J8794" s="10" t="inlineStr">
        <is>
          <t>営業</t>
        </is>
      </c>
      <c r="L8794" t="inlineStr">
        <is>
          <t>8:35:50</t>
        </is>
      </c>
      <c r="M8794" t="inlineStr">
        <is>
          <t>8:36:20</t>
        </is>
      </c>
      <c r="P8794" t="inlineStr">
        <is>
          <t>E系統(朝)</t>
        </is>
      </c>
    </row>
    <row r="8795" ht="16.5" customHeight="1" s="37">
      <c r="A8795" t="n">
        <v>4</v>
      </c>
      <c r="B8795" s="10" t="inlineStr">
        <is>
          <t>平日</t>
        </is>
      </c>
      <c r="C8795" s="10" t="inlineStr">
        <is>
          <t>本線</t>
        </is>
      </c>
      <c r="D8795" s="10" t="inlineStr">
        <is>
          <t>下り</t>
        </is>
      </c>
      <c r="E8795" s="10" t="inlineStr">
        <is>
          <t>連0807</t>
        </is>
      </c>
      <c r="F8795" t="inlineStr">
        <is>
          <t>0122</t>
        </is>
      </c>
      <c r="G8795" s="10" t="inlineStr">
        <is>
          <t>西大路三条</t>
        </is>
      </c>
      <c r="H8795" s="10" t="inlineStr">
        <is>
          <t>発</t>
        </is>
      </c>
      <c r="J8795" s="10" t="inlineStr">
        <is>
          <t>営業</t>
        </is>
      </c>
      <c r="L8795" t="inlineStr">
        <is>
          <t>8:38:10</t>
        </is>
      </c>
      <c r="M8795" t="inlineStr">
        <is>
          <t>8:38:30</t>
        </is>
      </c>
      <c r="P8795" t="inlineStr">
        <is>
          <t>E系統(朝)</t>
        </is>
      </c>
    </row>
    <row r="8796" ht="16.5" customHeight="1" s="37">
      <c r="A8796" t="n">
        <v>4</v>
      </c>
      <c r="B8796" s="10" t="inlineStr">
        <is>
          <t>平日</t>
        </is>
      </c>
      <c r="C8796" s="10" t="inlineStr">
        <is>
          <t>本線</t>
        </is>
      </c>
      <c r="D8796" s="10" t="inlineStr">
        <is>
          <t>下り</t>
        </is>
      </c>
      <c r="E8796" s="10" t="inlineStr">
        <is>
          <t>連0807</t>
        </is>
      </c>
      <c r="F8796" t="inlineStr">
        <is>
          <t>0122</t>
        </is>
      </c>
      <c r="G8796" s="10" t="inlineStr">
        <is>
          <t>山ノ内</t>
        </is>
      </c>
      <c r="H8796" s="10" t="inlineStr">
        <is>
          <t>発</t>
        </is>
      </c>
      <c r="J8796" s="10" t="inlineStr">
        <is>
          <t>営業</t>
        </is>
      </c>
      <c r="L8796" t="inlineStr">
        <is>
          <t>8:40:25</t>
        </is>
      </c>
      <c r="M8796" t="inlineStr">
        <is>
          <t>8:40:50</t>
        </is>
      </c>
      <c r="P8796" t="inlineStr">
        <is>
          <t>E系統(朝)</t>
        </is>
      </c>
    </row>
    <row r="8797" ht="16.5" customHeight="1" s="37">
      <c r="A8797" t="n">
        <v>4</v>
      </c>
      <c r="B8797" s="10" t="inlineStr">
        <is>
          <t>平日</t>
        </is>
      </c>
      <c r="C8797" s="10" t="inlineStr">
        <is>
          <t>本線</t>
        </is>
      </c>
      <c r="D8797" s="10" t="inlineStr">
        <is>
          <t>下り</t>
        </is>
      </c>
      <c r="E8797" s="10" t="inlineStr">
        <is>
          <t>連0807</t>
        </is>
      </c>
      <c r="F8797" t="inlineStr">
        <is>
          <t>0122</t>
        </is>
      </c>
      <c r="G8797" s="10" t="inlineStr">
        <is>
          <t>天神川</t>
        </is>
      </c>
      <c r="H8797" s="10" t="inlineStr">
        <is>
          <t>発</t>
        </is>
      </c>
      <c r="J8797" s="10" t="inlineStr">
        <is>
          <t>営業</t>
        </is>
      </c>
      <c r="L8797" t="inlineStr">
        <is>
          <t>8:42:50</t>
        </is>
      </c>
      <c r="M8797" t="inlineStr">
        <is>
          <t>8:43:30</t>
        </is>
      </c>
      <c r="P8797" t="inlineStr">
        <is>
          <t>E系統(朝)</t>
        </is>
      </c>
    </row>
    <row r="8798" ht="16.5" customHeight="1" s="37">
      <c r="A8798" t="n">
        <v>4</v>
      </c>
      <c r="B8798" s="10" t="inlineStr">
        <is>
          <t>平日</t>
        </is>
      </c>
      <c r="C8798" s="10" t="inlineStr">
        <is>
          <t>本線</t>
        </is>
      </c>
      <c r="D8798" s="10" t="inlineStr">
        <is>
          <t>下り</t>
        </is>
      </c>
      <c r="E8798" s="10" t="inlineStr">
        <is>
          <t>連0807</t>
        </is>
      </c>
      <c r="F8798" t="inlineStr">
        <is>
          <t>0122</t>
        </is>
      </c>
      <c r="G8798" s="10" t="inlineStr">
        <is>
          <t>蚕ノ社</t>
        </is>
      </c>
      <c r="H8798" s="10" t="inlineStr">
        <is>
          <t>発</t>
        </is>
      </c>
      <c r="J8798" s="10" t="inlineStr">
        <is>
          <t>営業</t>
        </is>
      </c>
      <c r="L8798" t="inlineStr">
        <is>
          <t>8:44:20</t>
        </is>
      </c>
      <c r="M8798" t="inlineStr">
        <is>
          <t>8:44:40</t>
        </is>
      </c>
      <c r="P8798" t="inlineStr">
        <is>
          <t>E系統(朝)</t>
        </is>
      </c>
    </row>
    <row r="8799" ht="16.5" customHeight="1" s="37">
      <c r="A8799" t="n">
        <v>4</v>
      </c>
      <c r="B8799" s="10" t="inlineStr">
        <is>
          <t>平日</t>
        </is>
      </c>
      <c r="C8799" s="10" t="inlineStr">
        <is>
          <t>本線</t>
        </is>
      </c>
      <c r="D8799" s="10" t="inlineStr">
        <is>
          <t>下り</t>
        </is>
      </c>
      <c r="E8799" s="10" t="inlineStr">
        <is>
          <t>連0807</t>
        </is>
      </c>
      <c r="F8799" t="inlineStr">
        <is>
          <t>0122</t>
        </is>
      </c>
      <c r="G8799" s="10" t="inlineStr">
        <is>
          <t>太秦広隆寺</t>
        </is>
      </c>
      <c r="H8799" s="10" t="inlineStr">
        <is>
          <t>発</t>
        </is>
      </c>
      <c r="J8799" s="10" t="inlineStr">
        <is>
          <t>営業</t>
        </is>
      </c>
      <c r="L8799" t="inlineStr">
        <is>
          <t>8:46:00</t>
        </is>
      </c>
      <c r="M8799" t="inlineStr">
        <is>
          <t>8:46:20</t>
        </is>
      </c>
      <c r="P8799" t="inlineStr">
        <is>
          <t>E系統(朝)</t>
        </is>
      </c>
    </row>
    <row r="8800" ht="16.5" customHeight="1" s="37">
      <c r="A8800" t="n">
        <v>4</v>
      </c>
      <c r="B8800" s="10" t="inlineStr">
        <is>
          <t>平日</t>
        </is>
      </c>
      <c r="C8800" s="10" t="inlineStr">
        <is>
          <t>本線</t>
        </is>
      </c>
      <c r="D8800" s="10" t="inlineStr">
        <is>
          <t>下り</t>
        </is>
      </c>
      <c r="E8800" s="10" t="inlineStr">
        <is>
          <t>連0807</t>
        </is>
      </c>
      <c r="F8800" t="inlineStr">
        <is>
          <t>0122</t>
        </is>
      </c>
      <c r="G8800" s="10" t="inlineStr">
        <is>
          <t>帷子ノ辻</t>
        </is>
      </c>
      <c r="H8800" s="10" t="inlineStr">
        <is>
          <t>発</t>
        </is>
      </c>
      <c r="J8800" s="10" t="inlineStr">
        <is>
          <t>営業</t>
        </is>
      </c>
      <c r="L8800" t="inlineStr">
        <is>
          <t>8:48:20</t>
        </is>
      </c>
      <c r="M8800" t="inlineStr">
        <is>
          <t>8:49:40</t>
        </is>
      </c>
      <c r="P8800" t="inlineStr">
        <is>
          <t>E系統(朝)</t>
        </is>
      </c>
    </row>
    <row r="8801" ht="16.5" customHeight="1" s="37">
      <c r="A8801" t="n">
        <v>4</v>
      </c>
      <c r="B8801" s="10" t="inlineStr">
        <is>
          <t>平日</t>
        </is>
      </c>
      <c r="C8801" s="10" t="inlineStr">
        <is>
          <t>本線</t>
        </is>
      </c>
      <c r="D8801" s="10" t="inlineStr">
        <is>
          <t>下り</t>
        </is>
      </c>
      <c r="E8801" s="10" t="inlineStr">
        <is>
          <t>連0807</t>
        </is>
      </c>
      <c r="F8801" t="inlineStr">
        <is>
          <t>0122</t>
        </is>
      </c>
      <c r="G8801" s="10" t="inlineStr">
        <is>
          <t>有栖川</t>
        </is>
      </c>
      <c r="H8801" s="10" t="inlineStr">
        <is>
          <t>発</t>
        </is>
      </c>
      <c r="J8801" s="10" t="inlineStr">
        <is>
          <t>営業</t>
        </is>
      </c>
      <c r="L8801" t="inlineStr">
        <is>
          <t>8:50:50</t>
        </is>
      </c>
      <c r="M8801" t="inlineStr">
        <is>
          <t>8:51:15</t>
        </is>
      </c>
      <c r="P8801" t="inlineStr">
        <is>
          <t>E系統(朝)</t>
        </is>
      </c>
    </row>
    <row r="8802" ht="16.5" customHeight="1" s="37">
      <c r="A8802" t="n">
        <v>4</v>
      </c>
      <c r="B8802" s="10" t="inlineStr">
        <is>
          <t>平日</t>
        </is>
      </c>
      <c r="C8802" s="10" t="inlineStr">
        <is>
          <t>本線</t>
        </is>
      </c>
      <c r="D8802" s="10" t="inlineStr">
        <is>
          <t>下り</t>
        </is>
      </c>
      <c r="E8802" s="10" t="inlineStr">
        <is>
          <t>連0807</t>
        </is>
      </c>
      <c r="F8802" t="inlineStr">
        <is>
          <t>0122</t>
        </is>
      </c>
      <c r="G8802" s="10" t="inlineStr">
        <is>
          <t>車折</t>
        </is>
      </c>
      <c r="H8802" s="10" t="inlineStr">
        <is>
          <t>発</t>
        </is>
      </c>
      <c r="J8802" s="10" t="inlineStr">
        <is>
          <t>営業</t>
        </is>
      </c>
      <c r="L8802" t="inlineStr">
        <is>
          <t>8:52:40</t>
        </is>
      </c>
      <c r="M8802" t="inlineStr">
        <is>
          <t>8:53:05</t>
        </is>
      </c>
      <c r="P8802" t="inlineStr">
        <is>
          <t>E系統(朝)</t>
        </is>
      </c>
    </row>
    <row r="8803" ht="15" customHeight="1" s="37">
      <c r="A8803" t="n">
        <v>4</v>
      </c>
      <c r="B8803" s="10" t="inlineStr">
        <is>
          <t>平日</t>
        </is>
      </c>
      <c r="C8803" s="10" t="inlineStr">
        <is>
          <t>本線</t>
        </is>
      </c>
      <c r="D8803" s="10" t="inlineStr">
        <is>
          <t>下り</t>
        </is>
      </c>
      <c r="E8803" s="10" t="inlineStr">
        <is>
          <t>連0807</t>
        </is>
      </c>
      <c r="F8803" t="inlineStr">
        <is>
          <t>0122</t>
        </is>
      </c>
      <c r="G8803" s="10" t="inlineStr">
        <is>
          <t>鹿王院</t>
        </is>
      </c>
      <c r="H8803" s="10" t="inlineStr">
        <is>
          <t>発</t>
        </is>
      </c>
      <c r="J8803" s="10" t="inlineStr">
        <is>
          <t>営業</t>
        </is>
      </c>
      <c r="L8803" t="inlineStr">
        <is>
          <t>8:54:00</t>
        </is>
      </c>
      <c r="M8803" t="inlineStr">
        <is>
          <t>8:54:25</t>
        </is>
      </c>
      <c r="P8803" t="inlineStr">
        <is>
          <t>E系統(朝)</t>
        </is>
      </c>
    </row>
    <row r="8804" ht="15" customHeight="1" s="37">
      <c r="A8804" t="n">
        <v>4</v>
      </c>
      <c r="B8804" s="10" t="inlineStr">
        <is>
          <t>平日</t>
        </is>
      </c>
      <c r="C8804" s="10" t="inlineStr">
        <is>
          <t>本線</t>
        </is>
      </c>
      <c r="D8804" s="10" t="inlineStr">
        <is>
          <t>下り</t>
        </is>
      </c>
      <c r="E8804" s="10" t="inlineStr">
        <is>
          <t>連0807</t>
        </is>
      </c>
      <c r="F8804" t="inlineStr">
        <is>
          <t>0122</t>
        </is>
      </c>
      <c r="G8804" s="10" t="inlineStr">
        <is>
          <t>嵯峨</t>
        </is>
      </c>
      <c r="H8804" s="10" t="inlineStr">
        <is>
          <t>発</t>
        </is>
      </c>
      <c r="J8804" s="10" t="inlineStr">
        <is>
          <t>営業</t>
        </is>
      </c>
      <c r="L8804" t="inlineStr">
        <is>
          <t>8:55:30</t>
        </is>
      </c>
      <c r="M8804" t="inlineStr">
        <is>
          <t>8:55:55</t>
        </is>
      </c>
      <c r="P8804" t="inlineStr">
        <is>
          <t>E系統(朝)</t>
        </is>
      </c>
    </row>
    <row r="8805" ht="15" customHeight="1" s="37">
      <c r="A8805" t="n">
        <v>4</v>
      </c>
      <c r="B8805" s="10" t="inlineStr">
        <is>
          <t>平日</t>
        </is>
      </c>
      <c r="C8805" s="10" t="inlineStr">
        <is>
          <t>本線</t>
        </is>
      </c>
      <c r="D8805" s="10" t="inlineStr">
        <is>
          <t>下り</t>
        </is>
      </c>
      <c r="E8805" s="10" t="inlineStr">
        <is>
          <t>連0807</t>
        </is>
      </c>
      <c r="F8805" t="inlineStr">
        <is>
          <t>0122</t>
        </is>
      </c>
      <c r="G8805" s="10" t="inlineStr">
        <is>
          <t>嵐山</t>
        </is>
      </c>
      <c r="H8805" s="10" t="inlineStr">
        <is>
          <t>着</t>
        </is>
      </c>
      <c r="J8805" s="10" t="inlineStr">
        <is>
          <t>営業</t>
        </is>
      </c>
      <c r="L8805" t="inlineStr">
        <is>
          <t>8:57:00</t>
        </is>
      </c>
      <c r="N8805" t="inlineStr">
        <is>
          <t>○</t>
        </is>
      </c>
      <c r="P8805" t="inlineStr">
        <is>
          <t>E系統(朝)</t>
        </is>
      </c>
      <c r="Q8805" t="inlineStr">
        <is>
          <t>1</t>
        </is>
      </c>
    </row>
    <row r="8806" ht="15" customHeight="1" s="37">
      <c r="A8806" t="n">
        <v>4</v>
      </c>
      <c r="B8806" s="10" t="inlineStr">
        <is>
          <t>平日</t>
        </is>
      </c>
      <c r="C8806" s="10" t="inlineStr">
        <is>
          <t>本線</t>
        </is>
      </c>
      <c r="D8806" s="10" t="inlineStr">
        <is>
          <t>上り</t>
        </is>
      </c>
      <c r="E8806" s="10" t="inlineStr">
        <is>
          <t>連0902</t>
        </is>
      </c>
      <c r="F8806" t="inlineStr">
        <is>
          <t>0211</t>
        </is>
      </c>
      <c r="G8806" s="10" t="inlineStr">
        <is>
          <t>嵐山</t>
        </is>
      </c>
      <c r="H8806" s="10" t="inlineStr">
        <is>
          <t>発</t>
        </is>
      </c>
      <c r="J8806" s="10" t="inlineStr">
        <is>
          <t>営業</t>
        </is>
      </c>
      <c r="M8806" t="inlineStr">
        <is>
          <t>9:03:00</t>
        </is>
      </c>
      <c r="P8806" t="inlineStr">
        <is>
          <t>E系統(朝)</t>
        </is>
      </c>
      <c r="Q8806" t="inlineStr">
        <is>
          <t>1</t>
        </is>
      </c>
    </row>
    <row r="8807" ht="15" customHeight="1" s="37">
      <c r="A8807" t="n">
        <v>4</v>
      </c>
      <c r="B8807" s="10" t="inlineStr">
        <is>
          <t>平日</t>
        </is>
      </c>
      <c r="C8807" s="10" t="inlineStr">
        <is>
          <t>本線</t>
        </is>
      </c>
      <c r="D8807" s="10" t="inlineStr">
        <is>
          <t>上り</t>
        </is>
      </c>
      <c r="E8807" s="10" t="inlineStr">
        <is>
          <t>連0902</t>
        </is>
      </c>
      <c r="F8807" t="inlineStr">
        <is>
          <t>0211</t>
        </is>
      </c>
      <c r="G8807" s="10" t="inlineStr">
        <is>
          <t>嵯峨</t>
        </is>
      </c>
      <c r="H8807" s="10" t="inlineStr">
        <is>
          <t>発</t>
        </is>
      </c>
      <c r="J8807" s="10" t="inlineStr">
        <is>
          <t>営業</t>
        </is>
      </c>
      <c r="L8807" t="inlineStr">
        <is>
          <t>9:03:55</t>
        </is>
      </c>
      <c r="M8807" t="inlineStr">
        <is>
          <t>9:04:20</t>
        </is>
      </c>
      <c r="P8807" t="inlineStr">
        <is>
          <t>E系統(朝)</t>
        </is>
      </c>
    </row>
    <row r="8808" ht="15" customHeight="1" s="37">
      <c r="A8808" t="n">
        <v>4</v>
      </c>
      <c r="B8808" s="10" t="inlineStr">
        <is>
          <t>平日</t>
        </is>
      </c>
      <c r="C8808" s="10" t="inlineStr">
        <is>
          <t>本線</t>
        </is>
      </c>
      <c r="D8808" s="10" t="inlineStr">
        <is>
          <t>上り</t>
        </is>
      </c>
      <c r="E8808" s="10" t="inlineStr">
        <is>
          <t>連0902</t>
        </is>
      </c>
      <c r="F8808" t="inlineStr">
        <is>
          <t>0211</t>
        </is>
      </c>
      <c r="G8808" s="10" t="inlineStr">
        <is>
          <t>鹿王院</t>
        </is>
      </c>
      <c r="H8808" s="10" t="inlineStr">
        <is>
          <t>発</t>
        </is>
      </c>
      <c r="J8808" s="10" t="inlineStr">
        <is>
          <t>営業</t>
        </is>
      </c>
      <c r="L8808" t="inlineStr">
        <is>
          <t>9:05:25</t>
        </is>
      </c>
      <c r="M8808" t="inlineStr">
        <is>
          <t>9:05:45</t>
        </is>
      </c>
      <c r="P8808" t="inlineStr">
        <is>
          <t>E系統(朝)</t>
        </is>
      </c>
    </row>
    <row r="8809" ht="15" customHeight="1" s="37">
      <c r="A8809" t="n">
        <v>4</v>
      </c>
      <c r="B8809" s="10" t="inlineStr">
        <is>
          <t>平日</t>
        </is>
      </c>
      <c r="C8809" s="10" t="inlineStr">
        <is>
          <t>本線</t>
        </is>
      </c>
      <c r="D8809" s="10" t="inlineStr">
        <is>
          <t>上り</t>
        </is>
      </c>
      <c r="E8809" s="10" t="inlineStr">
        <is>
          <t>連0902</t>
        </is>
      </c>
      <c r="F8809" t="inlineStr">
        <is>
          <t>0211</t>
        </is>
      </c>
      <c r="G8809" s="10" t="inlineStr">
        <is>
          <t>車折</t>
        </is>
      </c>
      <c r="H8809" s="10" t="inlineStr">
        <is>
          <t>発</t>
        </is>
      </c>
      <c r="J8809" s="10" t="inlineStr">
        <is>
          <t>営業</t>
        </is>
      </c>
      <c r="L8809" t="inlineStr">
        <is>
          <t>9:06:40</t>
        </is>
      </c>
      <c r="M8809" t="inlineStr">
        <is>
          <t>9:07:10</t>
        </is>
      </c>
      <c r="P8809" t="inlineStr">
        <is>
          <t>E系統(朝)</t>
        </is>
      </c>
    </row>
    <row r="8810" ht="15" customHeight="1" s="37">
      <c r="A8810" t="n">
        <v>4</v>
      </c>
      <c r="B8810" s="10" t="inlineStr">
        <is>
          <t>平日</t>
        </is>
      </c>
      <c r="C8810" s="10" t="inlineStr">
        <is>
          <t>本線</t>
        </is>
      </c>
      <c r="D8810" s="10" t="inlineStr">
        <is>
          <t>上り</t>
        </is>
      </c>
      <c r="E8810" s="10" t="inlineStr">
        <is>
          <t>連0902</t>
        </is>
      </c>
      <c r="F8810" t="inlineStr">
        <is>
          <t>0211</t>
        </is>
      </c>
      <c r="G8810" s="10" t="inlineStr">
        <is>
          <t>有栖川</t>
        </is>
      </c>
      <c r="H8810" s="10" t="inlineStr">
        <is>
          <t>発</t>
        </is>
      </c>
      <c r="J8810" s="10" t="inlineStr">
        <is>
          <t>営業</t>
        </is>
      </c>
      <c r="L8810" t="inlineStr">
        <is>
          <t>9:08:35</t>
        </is>
      </c>
      <c r="M8810" t="inlineStr">
        <is>
          <t>9:08:55</t>
        </is>
      </c>
      <c r="P8810" t="inlineStr">
        <is>
          <t>E系統(朝)</t>
        </is>
      </c>
    </row>
    <row r="8811" ht="15" customHeight="1" s="37">
      <c r="A8811" t="n">
        <v>4</v>
      </c>
      <c r="B8811" s="10" t="inlineStr">
        <is>
          <t>平日</t>
        </is>
      </c>
      <c r="C8811" s="10" t="inlineStr">
        <is>
          <t>本線</t>
        </is>
      </c>
      <c r="D8811" s="10" t="inlineStr">
        <is>
          <t>上り</t>
        </is>
      </c>
      <c r="E8811" s="10" t="inlineStr">
        <is>
          <t>連0902</t>
        </is>
      </c>
      <c r="F8811" t="inlineStr">
        <is>
          <t>0211</t>
        </is>
      </c>
      <c r="G8811" s="10" t="inlineStr">
        <is>
          <t>帷子ノ辻</t>
        </is>
      </c>
      <c r="H8811" s="10" t="inlineStr">
        <is>
          <t>発</t>
        </is>
      </c>
      <c r="J8811" s="10" t="inlineStr">
        <is>
          <t>営業</t>
        </is>
      </c>
      <c r="L8811" t="inlineStr">
        <is>
          <t>9:10:10</t>
        </is>
      </c>
      <c r="M8811" t="inlineStr">
        <is>
          <t>9:11:15</t>
        </is>
      </c>
      <c r="P8811" t="inlineStr">
        <is>
          <t>E系統(朝)</t>
        </is>
      </c>
    </row>
    <row r="8812" ht="15" customHeight="1" s="37">
      <c r="A8812" t="n">
        <v>4</v>
      </c>
      <c r="B8812" s="10" t="inlineStr">
        <is>
          <t>平日</t>
        </is>
      </c>
      <c r="C8812" s="10" t="inlineStr">
        <is>
          <t>本線</t>
        </is>
      </c>
      <c r="D8812" s="10" t="inlineStr">
        <is>
          <t>上り</t>
        </is>
      </c>
      <c r="E8812" s="10" t="inlineStr">
        <is>
          <t>連0902</t>
        </is>
      </c>
      <c r="F8812" t="inlineStr">
        <is>
          <t>0211</t>
        </is>
      </c>
      <c r="G8812" s="10" t="inlineStr">
        <is>
          <t>太秦広隆寺</t>
        </is>
      </c>
      <c r="H8812" s="10" t="inlineStr">
        <is>
          <t>発</t>
        </is>
      </c>
      <c r="J8812" s="10" t="inlineStr">
        <is>
          <t>営業</t>
        </is>
      </c>
      <c r="L8812" t="inlineStr">
        <is>
          <t>9:13:25</t>
        </is>
      </c>
      <c r="M8812" t="inlineStr">
        <is>
          <t>9:13:45</t>
        </is>
      </c>
      <c r="P8812" t="inlineStr">
        <is>
          <t>E系統(朝)</t>
        </is>
      </c>
    </row>
    <row r="8813" ht="15" customHeight="1" s="37">
      <c r="A8813" t="n">
        <v>4</v>
      </c>
      <c r="B8813" s="10" t="inlineStr">
        <is>
          <t>平日</t>
        </is>
      </c>
      <c r="C8813" s="10" t="inlineStr">
        <is>
          <t>本線</t>
        </is>
      </c>
      <c r="D8813" s="10" t="inlineStr">
        <is>
          <t>上り</t>
        </is>
      </c>
      <c r="E8813" s="10" t="inlineStr">
        <is>
          <t>連0902</t>
        </is>
      </c>
      <c r="F8813" t="inlineStr">
        <is>
          <t>0211</t>
        </is>
      </c>
      <c r="G8813" s="10" t="inlineStr">
        <is>
          <t>蚕ノ社</t>
        </is>
      </c>
      <c r="H8813" s="10" t="inlineStr">
        <is>
          <t>発</t>
        </is>
      </c>
      <c r="J8813" s="10" t="inlineStr">
        <is>
          <t>営業</t>
        </is>
      </c>
      <c r="L8813" t="inlineStr">
        <is>
          <t>9:15:00</t>
        </is>
      </c>
      <c r="M8813" t="inlineStr">
        <is>
          <t>9:15:20</t>
        </is>
      </c>
      <c r="P8813" t="inlineStr">
        <is>
          <t>E系統(朝)</t>
        </is>
      </c>
    </row>
    <row r="8814" ht="15" customHeight="1" s="37">
      <c r="A8814" t="n">
        <v>4</v>
      </c>
      <c r="B8814" s="10" t="inlineStr">
        <is>
          <t>平日</t>
        </is>
      </c>
      <c r="C8814" s="10" t="inlineStr">
        <is>
          <t>本線</t>
        </is>
      </c>
      <c r="D8814" s="10" t="inlineStr">
        <is>
          <t>上り</t>
        </is>
      </c>
      <c r="E8814" s="10" t="inlineStr">
        <is>
          <t>連0902</t>
        </is>
      </c>
      <c r="F8814" t="inlineStr">
        <is>
          <t>0211</t>
        </is>
      </c>
      <c r="G8814" s="10" t="inlineStr">
        <is>
          <t>天神川</t>
        </is>
      </c>
      <c r="H8814" s="10" t="inlineStr">
        <is>
          <t>発</t>
        </is>
      </c>
      <c r="J8814" s="10" t="inlineStr">
        <is>
          <t>営業</t>
        </is>
      </c>
      <c r="L8814" t="inlineStr">
        <is>
          <t>9:16:05</t>
        </is>
      </c>
      <c r="M8814" t="inlineStr">
        <is>
          <t>9:16:50</t>
        </is>
      </c>
      <c r="P8814" t="inlineStr">
        <is>
          <t>E系統(朝)</t>
        </is>
      </c>
    </row>
    <row r="8815" ht="15" customHeight="1" s="37">
      <c r="A8815" t="n">
        <v>4</v>
      </c>
      <c r="B8815" s="10" t="inlineStr">
        <is>
          <t>平日</t>
        </is>
      </c>
      <c r="C8815" s="10" t="inlineStr">
        <is>
          <t>本線</t>
        </is>
      </c>
      <c r="D8815" s="10" t="inlineStr">
        <is>
          <t>上り</t>
        </is>
      </c>
      <c r="E8815" s="10" t="inlineStr">
        <is>
          <t>連0902</t>
        </is>
      </c>
      <c r="F8815" t="inlineStr">
        <is>
          <t>0211</t>
        </is>
      </c>
      <c r="G8815" s="10" t="inlineStr">
        <is>
          <t>山ノ内</t>
        </is>
      </c>
      <c r="H8815" s="10" t="inlineStr">
        <is>
          <t>発</t>
        </is>
      </c>
      <c r="J8815" s="10" t="inlineStr">
        <is>
          <t>営業</t>
        </is>
      </c>
      <c r="L8815" t="inlineStr">
        <is>
          <t>9:18:40</t>
        </is>
      </c>
      <c r="M8815" t="inlineStr">
        <is>
          <t>9:19:05</t>
        </is>
      </c>
      <c r="P8815" t="inlineStr">
        <is>
          <t>E系統(朝)</t>
        </is>
      </c>
    </row>
    <row r="8816" ht="15" customHeight="1" s="37">
      <c r="A8816" t="n">
        <v>4</v>
      </c>
      <c r="B8816" s="10" t="inlineStr">
        <is>
          <t>平日</t>
        </is>
      </c>
      <c r="C8816" s="10" t="inlineStr">
        <is>
          <t>本線</t>
        </is>
      </c>
      <c r="D8816" s="10" t="inlineStr">
        <is>
          <t>上り</t>
        </is>
      </c>
      <c r="E8816" s="10" t="inlineStr">
        <is>
          <t>連0902</t>
        </is>
      </c>
      <c r="F8816" t="inlineStr">
        <is>
          <t>0211</t>
        </is>
      </c>
      <c r="G8816" s="10" t="inlineStr">
        <is>
          <t>西大路三条</t>
        </is>
      </c>
      <c r="H8816" s="10" t="inlineStr">
        <is>
          <t>発</t>
        </is>
      </c>
      <c r="J8816" s="10" t="inlineStr">
        <is>
          <t>営業</t>
        </is>
      </c>
      <c r="L8816" t="inlineStr">
        <is>
          <t>9:20:55</t>
        </is>
      </c>
      <c r="M8816" t="inlineStr">
        <is>
          <t>9:21:15</t>
        </is>
      </c>
      <c r="P8816" t="inlineStr">
        <is>
          <t>E系統(朝)</t>
        </is>
      </c>
    </row>
    <row r="8817" ht="15" customHeight="1" s="37">
      <c r="A8817" t="n">
        <v>4</v>
      </c>
      <c r="B8817" s="10" t="inlineStr">
        <is>
          <t>平日</t>
        </is>
      </c>
      <c r="C8817" s="10" t="inlineStr">
        <is>
          <t>本線</t>
        </is>
      </c>
      <c r="D8817" s="10" t="inlineStr">
        <is>
          <t>上り</t>
        </is>
      </c>
      <c r="E8817" s="10" t="inlineStr">
        <is>
          <t>連0902</t>
        </is>
      </c>
      <c r="F8817" t="inlineStr">
        <is>
          <t>0211</t>
        </is>
      </c>
      <c r="G8817" s="10" t="inlineStr">
        <is>
          <t>西院</t>
        </is>
      </c>
      <c r="H8817" s="10" t="inlineStr">
        <is>
          <t>発</t>
        </is>
      </c>
      <c r="J8817" s="10" t="inlineStr">
        <is>
          <t>営業</t>
        </is>
      </c>
      <c r="L8817" t="inlineStr">
        <is>
          <t>9:23:10</t>
        </is>
      </c>
      <c r="M8817" t="inlineStr">
        <is>
          <t>9:24:05</t>
        </is>
      </c>
      <c r="P8817" t="inlineStr">
        <is>
          <t>E系統(朝)</t>
        </is>
      </c>
    </row>
    <row r="8818" ht="15" customHeight="1" s="37">
      <c r="A8818" t="n">
        <v>4</v>
      </c>
      <c r="B8818" s="10" t="inlineStr">
        <is>
          <t>平日</t>
        </is>
      </c>
      <c r="C8818" s="10" t="inlineStr">
        <is>
          <t>本線</t>
        </is>
      </c>
      <c r="D8818" s="10" t="inlineStr">
        <is>
          <t>上り</t>
        </is>
      </c>
      <c r="E8818" s="10" t="inlineStr">
        <is>
          <t>連0902</t>
        </is>
      </c>
      <c r="F8818" t="inlineStr">
        <is>
          <t>0211</t>
        </is>
      </c>
      <c r="G8818" s="10" t="inlineStr">
        <is>
          <t>四条大宮</t>
        </is>
      </c>
      <c r="H8818" s="10" t="inlineStr">
        <is>
          <t>着</t>
        </is>
      </c>
      <c r="J8818" s="10" t="inlineStr">
        <is>
          <t>営業</t>
        </is>
      </c>
      <c r="L8818" t="inlineStr">
        <is>
          <t>9:27:00</t>
        </is>
      </c>
      <c r="P8818" t="inlineStr">
        <is>
          <t>E系統(朝)</t>
        </is>
      </c>
      <c r="Q8818" t="inlineStr">
        <is>
          <t>1</t>
        </is>
      </c>
    </row>
    <row r="8819" ht="15" customHeight="1" s="37">
      <c r="A8819" t="n">
        <v>4</v>
      </c>
      <c r="B8819" s="10" t="inlineStr">
        <is>
          <t>平日</t>
        </is>
      </c>
      <c r="C8819" s="10" t="inlineStr">
        <is>
          <t>本線</t>
        </is>
      </c>
      <c r="D8819" s="10" t="inlineStr">
        <is>
          <t>下り</t>
        </is>
      </c>
      <c r="E8819" s="10" t="inlineStr">
        <is>
          <t>連0907</t>
        </is>
      </c>
      <c r="F8819" t="inlineStr">
        <is>
          <t>0112</t>
        </is>
      </c>
      <c r="G8819" s="10" t="inlineStr">
        <is>
          <t>四条大宮</t>
        </is>
      </c>
      <c r="H8819" s="10" t="inlineStr">
        <is>
          <t>発</t>
        </is>
      </c>
      <c r="J8819" s="10" t="inlineStr">
        <is>
          <t>営業</t>
        </is>
      </c>
      <c r="M8819" t="inlineStr">
        <is>
          <t>9:32:00</t>
        </is>
      </c>
      <c r="P8819" t="inlineStr">
        <is>
          <t>E系統(朝)</t>
        </is>
      </c>
      <c r="Q8819" t="inlineStr">
        <is>
          <t>1</t>
        </is>
      </c>
    </row>
    <row r="8820" ht="15" customHeight="1" s="37">
      <c r="A8820" t="n">
        <v>4</v>
      </c>
      <c r="B8820" s="10" t="inlineStr">
        <is>
          <t>平日</t>
        </is>
      </c>
      <c r="C8820" s="10" t="inlineStr">
        <is>
          <t>本線</t>
        </is>
      </c>
      <c r="D8820" s="10" t="inlineStr">
        <is>
          <t>下り</t>
        </is>
      </c>
      <c r="E8820" s="10" t="inlineStr">
        <is>
          <t>連0907</t>
        </is>
      </c>
      <c r="F8820" t="inlineStr">
        <is>
          <t>0112</t>
        </is>
      </c>
      <c r="G8820" s="10" t="inlineStr">
        <is>
          <t>西院</t>
        </is>
      </c>
      <c r="H8820" s="10" t="inlineStr">
        <is>
          <t>着</t>
        </is>
      </c>
      <c r="J8820" s="10" t="inlineStr">
        <is>
          <t>営業</t>
        </is>
      </c>
      <c r="L8820" t="inlineStr">
        <is>
          <t>9:34:50</t>
        </is>
      </c>
      <c r="M8820" t="inlineStr">
        <is>
          <t>9:36:20</t>
        </is>
      </c>
      <c r="P8820" t="inlineStr">
        <is>
          <t>E系統(朝)</t>
        </is>
      </c>
    </row>
    <row r="8821" ht="15" customHeight="1" s="37">
      <c r="A8821" t="n">
        <v>5</v>
      </c>
      <c r="B8821" s="10" t="inlineStr">
        <is>
          <t>平日</t>
        </is>
      </c>
      <c r="C8821" s="10" t="inlineStr">
        <is>
          <t>本線</t>
        </is>
      </c>
      <c r="D8821" s="10" t="inlineStr">
        <is>
          <t>下り</t>
        </is>
      </c>
      <c r="E8821" t="inlineStr">
        <is>
          <t>0909</t>
        </is>
      </c>
      <c r="F8821" t="inlineStr">
        <is>
          <t>0112</t>
        </is>
      </c>
      <c r="G8821" s="10" t="inlineStr">
        <is>
          <t>西院</t>
        </is>
      </c>
      <c r="H8821" s="10" t="inlineStr">
        <is>
          <t>発</t>
        </is>
      </c>
      <c r="J8821" s="10" t="inlineStr">
        <is>
          <t>営業</t>
        </is>
      </c>
      <c r="L8821" t="inlineStr">
        <is>
          <t>9:44:50</t>
        </is>
      </c>
      <c r="M8821" t="inlineStr">
        <is>
          <t>9:46:20</t>
        </is>
      </c>
    </row>
    <row r="8822" ht="15" customHeight="1" s="37">
      <c r="A8822" t="n">
        <v>5</v>
      </c>
      <c r="B8822" s="10" t="inlineStr">
        <is>
          <t>平日</t>
        </is>
      </c>
      <c r="C8822" s="10" t="inlineStr">
        <is>
          <t>本線</t>
        </is>
      </c>
      <c r="D8822" s="10" t="inlineStr">
        <is>
          <t>下り</t>
        </is>
      </c>
      <c r="E8822" t="inlineStr">
        <is>
          <t>0909</t>
        </is>
      </c>
      <c r="F8822" t="inlineStr">
        <is>
          <t>0112</t>
        </is>
      </c>
      <c r="G8822" s="10" t="inlineStr">
        <is>
          <t>西大路三条</t>
        </is>
      </c>
      <c r="H8822" s="10" t="inlineStr">
        <is>
          <t>発</t>
        </is>
      </c>
      <c r="J8822" s="10" t="inlineStr">
        <is>
          <t>営業</t>
        </is>
      </c>
      <c r="L8822" t="inlineStr">
        <is>
          <t>9:48:10</t>
        </is>
      </c>
      <c r="M8822" t="inlineStr">
        <is>
          <t>9:48:30</t>
        </is>
      </c>
    </row>
    <row r="8823" ht="15" customHeight="1" s="37">
      <c r="A8823" t="n">
        <v>5</v>
      </c>
      <c r="B8823" s="10" t="inlineStr">
        <is>
          <t>平日</t>
        </is>
      </c>
      <c r="C8823" s="10" t="inlineStr">
        <is>
          <t>本線</t>
        </is>
      </c>
      <c r="D8823" s="10" t="inlineStr">
        <is>
          <t>下り</t>
        </is>
      </c>
      <c r="E8823" t="inlineStr">
        <is>
          <t>0909</t>
        </is>
      </c>
      <c r="F8823" t="inlineStr">
        <is>
          <t>0112</t>
        </is>
      </c>
      <c r="G8823" s="10" t="inlineStr">
        <is>
          <t>山ノ内</t>
        </is>
      </c>
      <c r="H8823" s="10" t="inlineStr">
        <is>
          <t>発</t>
        </is>
      </c>
      <c r="J8823" s="10" t="inlineStr">
        <is>
          <t>営業</t>
        </is>
      </c>
      <c r="L8823" t="inlineStr">
        <is>
          <t>9:50:25</t>
        </is>
      </c>
      <c r="M8823" t="inlineStr">
        <is>
          <t>9:50:50</t>
        </is>
      </c>
    </row>
    <row r="8824" ht="15" customHeight="1" s="37">
      <c r="A8824" t="n">
        <v>5</v>
      </c>
      <c r="B8824" s="10" t="inlineStr">
        <is>
          <t>平日</t>
        </is>
      </c>
      <c r="C8824" s="10" t="inlineStr">
        <is>
          <t>本線</t>
        </is>
      </c>
      <c r="D8824" s="10" t="inlineStr">
        <is>
          <t>下り</t>
        </is>
      </c>
      <c r="E8824" t="inlineStr">
        <is>
          <t>0909</t>
        </is>
      </c>
      <c r="F8824" t="inlineStr">
        <is>
          <t>0112</t>
        </is>
      </c>
      <c r="G8824" s="10" t="inlineStr">
        <is>
          <t>天神川</t>
        </is>
      </c>
      <c r="H8824" s="10" t="inlineStr">
        <is>
          <t>発</t>
        </is>
      </c>
      <c r="J8824" s="10" t="inlineStr">
        <is>
          <t>営業</t>
        </is>
      </c>
      <c r="L8824" t="inlineStr">
        <is>
          <t>9:52:50</t>
        </is>
      </c>
      <c r="M8824" t="inlineStr">
        <is>
          <t>9:53:30</t>
        </is>
      </c>
    </row>
    <row r="8825" ht="15" customHeight="1" s="37">
      <c r="A8825" t="n">
        <v>5</v>
      </c>
      <c r="B8825" s="10" t="inlineStr">
        <is>
          <t>平日</t>
        </is>
      </c>
      <c r="C8825" s="10" t="inlineStr">
        <is>
          <t>本線</t>
        </is>
      </c>
      <c r="D8825" s="10" t="inlineStr">
        <is>
          <t>下り</t>
        </is>
      </c>
      <c r="E8825" t="inlineStr">
        <is>
          <t>0909</t>
        </is>
      </c>
      <c r="F8825" t="inlineStr">
        <is>
          <t>0112</t>
        </is>
      </c>
      <c r="G8825" s="10" t="inlineStr">
        <is>
          <t>蚕ノ社</t>
        </is>
      </c>
      <c r="H8825" s="10" t="inlineStr">
        <is>
          <t>発</t>
        </is>
      </c>
      <c r="J8825" s="10" t="inlineStr">
        <is>
          <t>営業</t>
        </is>
      </c>
      <c r="L8825" t="inlineStr">
        <is>
          <t>9:54:20</t>
        </is>
      </c>
      <c r="M8825" t="inlineStr">
        <is>
          <t>9:54:40</t>
        </is>
      </c>
    </row>
    <row r="8826" ht="15" customHeight="1" s="37">
      <c r="A8826" t="n">
        <v>5</v>
      </c>
      <c r="B8826" s="10" t="inlineStr">
        <is>
          <t>平日</t>
        </is>
      </c>
      <c r="C8826" s="10" t="inlineStr">
        <is>
          <t>本線</t>
        </is>
      </c>
      <c r="D8826" s="10" t="inlineStr">
        <is>
          <t>下り</t>
        </is>
      </c>
      <c r="E8826" t="inlineStr">
        <is>
          <t>0909</t>
        </is>
      </c>
      <c r="F8826" t="inlineStr">
        <is>
          <t>0112</t>
        </is>
      </c>
      <c r="G8826" s="10" t="inlineStr">
        <is>
          <t>太秦広隆寺</t>
        </is>
      </c>
      <c r="H8826" s="10" t="inlineStr">
        <is>
          <t>発</t>
        </is>
      </c>
      <c r="J8826" s="10" t="inlineStr">
        <is>
          <t>営業</t>
        </is>
      </c>
      <c r="L8826" t="inlineStr">
        <is>
          <t>9:56:00</t>
        </is>
      </c>
      <c r="M8826" t="inlineStr">
        <is>
          <t>9:56:20</t>
        </is>
      </c>
    </row>
    <row r="8827" ht="15" customHeight="1" s="37">
      <c r="A8827" t="n">
        <v>5</v>
      </c>
      <c r="B8827" s="10" t="inlineStr">
        <is>
          <t>平日</t>
        </is>
      </c>
      <c r="C8827" s="10" t="inlineStr">
        <is>
          <t>本線</t>
        </is>
      </c>
      <c r="D8827" s="10" t="inlineStr">
        <is>
          <t>下り</t>
        </is>
      </c>
      <c r="E8827" t="inlineStr">
        <is>
          <t>0909</t>
        </is>
      </c>
      <c r="F8827" t="inlineStr">
        <is>
          <t>0112</t>
        </is>
      </c>
      <c r="G8827" s="10" t="inlineStr">
        <is>
          <t>帷子ノ辻</t>
        </is>
      </c>
      <c r="H8827" s="10" t="inlineStr">
        <is>
          <t>発</t>
        </is>
      </c>
      <c r="J8827" s="10" t="inlineStr">
        <is>
          <t>営業</t>
        </is>
      </c>
      <c r="L8827" t="inlineStr">
        <is>
          <t>9:58:20</t>
        </is>
      </c>
      <c r="M8827" t="inlineStr">
        <is>
          <t>9:59:40</t>
        </is>
      </c>
    </row>
    <row r="8828" ht="15" customHeight="1" s="37">
      <c r="A8828" t="n">
        <v>5</v>
      </c>
      <c r="B8828" s="10" t="inlineStr">
        <is>
          <t>平日</t>
        </is>
      </c>
      <c r="C8828" s="10" t="inlineStr">
        <is>
          <t>本線</t>
        </is>
      </c>
      <c r="D8828" s="10" t="inlineStr">
        <is>
          <t>下り</t>
        </is>
      </c>
      <c r="E8828" t="inlineStr">
        <is>
          <t>0909</t>
        </is>
      </c>
      <c r="F8828" t="inlineStr">
        <is>
          <t>0112</t>
        </is>
      </c>
      <c r="G8828" s="10" t="inlineStr">
        <is>
          <t>有栖川</t>
        </is>
      </c>
      <c r="H8828" s="10" t="inlineStr">
        <is>
          <t>発</t>
        </is>
      </c>
      <c r="J8828" s="10" t="inlineStr">
        <is>
          <t>営業</t>
        </is>
      </c>
      <c r="L8828" t="inlineStr">
        <is>
          <t>10:00:50</t>
        </is>
      </c>
      <c r="M8828" t="inlineStr">
        <is>
          <t>10:01:15</t>
        </is>
      </c>
    </row>
    <row r="8829" ht="15" customHeight="1" s="37">
      <c r="A8829" t="n">
        <v>5</v>
      </c>
      <c r="B8829" s="10" t="inlineStr">
        <is>
          <t>平日</t>
        </is>
      </c>
      <c r="C8829" s="10" t="inlineStr">
        <is>
          <t>本線</t>
        </is>
      </c>
      <c r="D8829" s="10" t="inlineStr">
        <is>
          <t>下り</t>
        </is>
      </c>
      <c r="E8829" t="inlineStr">
        <is>
          <t>0909</t>
        </is>
      </c>
      <c r="F8829" t="inlineStr">
        <is>
          <t>0112</t>
        </is>
      </c>
      <c r="G8829" s="10" t="inlineStr">
        <is>
          <t>車折</t>
        </is>
      </c>
      <c r="H8829" s="10" t="inlineStr">
        <is>
          <t>発</t>
        </is>
      </c>
      <c r="J8829" s="10" t="inlineStr">
        <is>
          <t>営業</t>
        </is>
      </c>
      <c r="L8829" t="inlineStr">
        <is>
          <t>10:02:40</t>
        </is>
      </c>
      <c r="M8829" t="inlineStr">
        <is>
          <t>10:03:05</t>
        </is>
      </c>
    </row>
    <row r="8830" ht="15" customHeight="1" s="37">
      <c r="A8830" t="n">
        <v>5</v>
      </c>
      <c r="B8830" s="10" t="inlineStr">
        <is>
          <t>平日</t>
        </is>
      </c>
      <c r="C8830" s="10" t="inlineStr">
        <is>
          <t>本線</t>
        </is>
      </c>
      <c r="D8830" s="10" t="inlineStr">
        <is>
          <t>下り</t>
        </is>
      </c>
      <c r="E8830" t="inlineStr">
        <is>
          <t>0909</t>
        </is>
      </c>
      <c r="F8830" t="inlineStr">
        <is>
          <t>0112</t>
        </is>
      </c>
      <c r="G8830" s="10" t="inlineStr">
        <is>
          <t>鹿王院</t>
        </is>
      </c>
      <c r="H8830" s="10" t="inlineStr">
        <is>
          <t>発</t>
        </is>
      </c>
      <c r="J8830" s="10" t="inlineStr">
        <is>
          <t>営業</t>
        </is>
      </c>
      <c r="L8830" t="inlineStr">
        <is>
          <t>10:04:00</t>
        </is>
      </c>
      <c r="M8830" t="inlineStr">
        <is>
          <t>10:04:25</t>
        </is>
      </c>
    </row>
    <row r="8831" ht="15" customHeight="1" s="37">
      <c r="A8831" t="n">
        <v>5</v>
      </c>
      <c r="B8831" s="10" t="inlineStr">
        <is>
          <t>平日</t>
        </is>
      </c>
      <c r="C8831" s="10" t="inlineStr">
        <is>
          <t>本線</t>
        </is>
      </c>
      <c r="D8831" s="10" t="inlineStr">
        <is>
          <t>下り</t>
        </is>
      </c>
      <c r="E8831" t="inlineStr">
        <is>
          <t>0909</t>
        </is>
      </c>
      <c r="F8831" t="inlineStr">
        <is>
          <t>0112</t>
        </is>
      </c>
      <c r="G8831" s="10" t="inlineStr">
        <is>
          <t>嵯峨</t>
        </is>
      </c>
      <c r="H8831" s="10" t="inlineStr">
        <is>
          <t>発</t>
        </is>
      </c>
      <c r="J8831" s="10" t="inlineStr">
        <is>
          <t>営業</t>
        </is>
      </c>
      <c r="L8831" t="inlineStr">
        <is>
          <t>10:05:30</t>
        </is>
      </c>
      <c r="M8831" t="inlineStr">
        <is>
          <t>10:05:55</t>
        </is>
      </c>
    </row>
    <row r="8832" ht="15" customHeight="1" s="37">
      <c r="A8832" t="n">
        <v>5</v>
      </c>
      <c r="B8832" s="10" t="inlineStr">
        <is>
          <t>平日</t>
        </is>
      </c>
      <c r="C8832" s="10" t="inlineStr">
        <is>
          <t>本線</t>
        </is>
      </c>
      <c r="D8832" s="10" t="inlineStr">
        <is>
          <t>下り</t>
        </is>
      </c>
      <c r="E8832" t="inlineStr">
        <is>
          <t>0909</t>
        </is>
      </c>
      <c r="F8832" t="inlineStr">
        <is>
          <t>0112</t>
        </is>
      </c>
      <c r="G8832" s="10" t="inlineStr">
        <is>
          <t>嵐山</t>
        </is>
      </c>
      <c r="H8832" s="10" t="inlineStr">
        <is>
          <t>着</t>
        </is>
      </c>
      <c r="J8832" s="10" t="inlineStr">
        <is>
          <t>営業</t>
        </is>
      </c>
      <c r="L8832" t="inlineStr">
        <is>
          <t>10:07:00</t>
        </is>
      </c>
      <c r="Q8832" t="inlineStr">
        <is>
          <t>1</t>
        </is>
      </c>
    </row>
    <row r="8833" ht="15" customHeight="1" s="37">
      <c r="A8833" t="n">
        <v>5</v>
      </c>
      <c r="B8833" s="10" t="inlineStr">
        <is>
          <t>平日</t>
        </is>
      </c>
      <c r="C8833" s="10" t="inlineStr">
        <is>
          <t>本線</t>
        </is>
      </c>
      <c r="D8833" s="10" t="inlineStr">
        <is>
          <t>上り</t>
        </is>
      </c>
      <c r="E8833" t="inlineStr">
        <is>
          <t>1004</t>
        </is>
      </c>
      <c r="F8833" t="inlineStr">
        <is>
          <t>0211</t>
        </is>
      </c>
      <c r="G8833" s="10" t="inlineStr">
        <is>
          <t>嵐山</t>
        </is>
      </c>
      <c r="H8833" s="10" t="inlineStr">
        <is>
          <t>発</t>
        </is>
      </c>
      <c r="J8833" s="10" t="inlineStr">
        <is>
          <t>営業</t>
        </is>
      </c>
      <c r="M8833" t="inlineStr">
        <is>
          <t>10:13:00</t>
        </is>
      </c>
      <c r="Q8833" t="inlineStr">
        <is>
          <t>1</t>
        </is>
      </c>
    </row>
    <row r="8834" ht="15" customHeight="1" s="37">
      <c r="A8834" t="n">
        <v>5</v>
      </c>
      <c r="B8834" s="10" t="inlineStr">
        <is>
          <t>平日</t>
        </is>
      </c>
      <c r="C8834" s="10" t="inlineStr">
        <is>
          <t>本線</t>
        </is>
      </c>
      <c r="D8834" s="10" t="inlineStr">
        <is>
          <t>上り</t>
        </is>
      </c>
      <c r="E8834" t="inlineStr">
        <is>
          <t>1004</t>
        </is>
      </c>
      <c r="F8834" t="inlineStr">
        <is>
          <t>0211</t>
        </is>
      </c>
      <c r="G8834" s="10" t="inlineStr">
        <is>
          <t>嵯峨</t>
        </is>
      </c>
      <c r="H8834" s="10" t="inlineStr">
        <is>
          <t>発</t>
        </is>
      </c>
      <c r="J8834" s="10" t="inlineStr">
        <is>
          <t>営業</t>
        </is>
      </c>
      <c r="L8834" t="inlineStr">
        <is>
          <t>10:13:55</t>
        </is>
      </c>
      <c r="M8834" t="inlineStr">
        <is>
          <t>10:14:20</t>
        </is>
      </c>
    </row>
    <row r="8835" ht="15" customHeight="1" s="37">
      <c r="A8835" t="n">
        <v>5</v>
      </c>
      <c r="B8835" s="10" t="inlineStr">
        <is>
          <t>平日</t>
        </is>
      </c>
      <c r="C8835" s="10" t="inlineStr">
        <is>
          <t>本線</t>
        </is>
      </c>
      <c r="D8835" s="10" t="inlineStr">
        <is>
          <t>上り</t>
        </is>
      </c>
      <c r="E8835" t="inlineStr">
        <is>
          <t>1004</t>
        </is>
      </c>
      <c r="F8835" t="inlineStr">
        <is>
          <t>0211</t>
        </is>
      </c>
      <c r="G8835" s="10" t="inlineStr">
        <is>
          <t>鹿王院</t>
        </is>
      </c>
      <c r="H8835" s="10" t="inlineStr">
        <is>
          <t>発</t>
        </is>
      </c>
      <c r="J8835" s="10" t="inlineStr">
        <is>
          <t>営業</t>
        </is>
      </c>
      <c r="L8835" t="inlineStr">
        <is>
          <t>10:15:25</t>
        </is>
      </c>
      <c r="M8835" t="inlineStr">
        <is>
          <t>10:15:45</t>
        </is>
      </c>
    </row>
    <row r="8836" ht="15" customHeight="1" s="37">
      <c r="A8836" t="n">
        <v>5</v>
      </c>
      <c r="B8836" s="10" t="inlineStr">
        <is>
          <t>平日</t>
        </is>
      </c>
      <c r="C8836" s="10" t="inlineStr">
        <is>
          <t>本線</t>
        </is>
      </c>
      <c r="D8836" s="10" t="inlineStr">
        <is>
          <t>上り</t>
        </is>
      </c>
      <c r="E8836" t="inlineStr">
        <is>
          <t>1004</t>
        </is>
      </c>
      <c r="F8836" t="inlineStr">
        <is>
          <t>0211</t>
        </is>
      </c>
      <c r="G8836" s="10" t="inlineStr">
        <is>
          <t>車折</t>
        </is>
      </c>
      <c r="H8836" s="10" t="inlineStr">
        <is>
          <t>発</t>
        </is>
      </c>
      <c r="J8836" s="10" t="inlineStr">
        <is>
          <t>営業</t>
        </is>
      </c>
      <c r="L8836" t="inlineStr">
        <is>
          <t>10:16:40</t>
        </is>
      </c>
      <c r="M8836" t="inlineStr">
        <is>
          <t>10:17:10</t>
        </is>
      </c>
    </row>
    <row r="8837" ht="15" customHeight="1" s="37">
      <c r="A8837" t="n">
        <v>5</v>
      </c>
      <c r="B8837" s="10" t="inlineStr">
        <is>
          <t>平日</t>
        </is>
      </c>
      <c r="C8837" s="10" t="inlineStr">
        <is>
          <t>本線</t>
        </is>
      </c>
      <c r="D8837" s="10" t="inlineStr">
        <is>
          <t>上り</t>
        </is>
      </c>
      <c r="E8837" t="inlineStr">
        <is>
          <t>1004</t>
        </is>
      </c>
      <c r="F8837" t="inlineStr">
        <is>
          <t>0211</t>
        </is>
      </c>
      <c r="G8837" s="10" t="inlineStr">
        <is>
          <t>有栖川</t>
        </is>
      </c>
      <c r="H8837" s="10" t="inlineStr">
        <is>
          <t>発</t>
        </is>
      </c>
      <c r="J8837" s="10" t="inlineStr">
        <is>
          <t>営業</t>
        </is>
      </c>
      <c r="L8837" t="inlineStr">
        <is>
          <t>10:18:35</t>
        </is>
      </c>
      <c r="M8837" t="inlineStr">
        <is>
          <t>10:18:55</t>
        </is>
      </c>
    </row>
    <row r="8838" ht="15" customHeight="1" s="37">
      <c r="A8838" t="n">
        <v>5</v>
      </c>
      <c r="B8838" s="10" t="inlineStr">
        <is>
          <t>平日</t>
        </is>
      </c>
      <c r="C8838" s="10" t="inlineStr">
        <is>
          <t>本線</t>
        </is>
      </c>
      <c r="D8838" s="10" t="inlineStr">
        <is>
          <t>上り</t>
        </is>
      </c>
      <c r="E8838" t="inlineStr">
        <is>
          <t>1004</t>
        </is>
      </c>
      <c r="F8838" t="inlineStr">
        <is>
          <t>0211</t>
        </is>
      </c>
      <c r="G8838" s="10" t="inlineStr">
        <is>
          <t>帷子ノ辻</t>
        </is>
      </c>
      <c r="H8838" s="10" t="inlineStr">
        <is>
          <t>発</t>
        </is>
      </c>
      <c r="J8838" s="10" t="inlineStr">
        <is>
          <t>営業</t>
        </is>
      </c>
      <c r="L8838" t="inlineStr">
        <is>
          <t>10:20:10</t>
        </is>
      </c>
      <c r="M8838" t="inlineStr">
        <is>
          <t>10:21:15</t>
        </is>
      </c>
    </row>
    <row r="8839" ht="15" customHeight="1" s="37">
      <c r="A8839" t="n">
        <v>5</v>
      </c>
      <c r="B8839" s="10" t="inlineStr">
        <is>
          <t>平日</t>
        </is>
      </c>
      <c r="C8839" s="10" t="inlineStr">
        <is>
          <t>本線</t>
        </is>
      </c>
      <c r="D8839" s="10" t="inlineStr">
        <is>
          <t>上り</t>
        </is>
      </c>
      <c r="E8839" t="inlineStr">
        <is>
          <t>1004</t>
        </is>
      </c>
      <c r="F8839" t="inlineStr">
        <is>
          <t>0211</t>
        </is>
      </c>
      <c r="G8839" s="10" t="inlineStr">
        <is>
          <t>太秦広隆寺</t>
        </is>
      </c>
      <c r="H8839" s="10" t="inlineStr">
        <is>
          <t>発</t>
        </is>
      </c>
      <c r="J8839" s="10" t="inlineStr">
        <is>
          <t>営業</t>
        </is>
      </c>
      <c r="L8839" t="inlineStr">
        <is>
          <t>10:23:25</t>
        </is>
      </c>
      <c r="M8839" t="inlineStr">
        <is>
          <t>10:23:45</t>
        </is>
      </c>
    </row>
    <row r="8840" ht="15" customHeight="1" s="37">
      <c r="A8840" t="n">
        <v>5</v>
      </c>
      <c r="B8840" s="10" t="inlineStr">
        <is>
          <t>平日</t>
        </is>
      </c>
      <c r="C8840" s="10" t="inlineStr">
        <is>
          <t>本線</t>
        </is>
      </c>
      <c r="D8840" s="10" t="inlineStr">
        <is>
          <t>上り</t>
        </is>
      </c>
      <c r="E8840" t="inlineStr">
        <is>
          <t>1004</t>
        </is>
      </c>
      <c r="F8840" t="inlineStr">
        <is>
          <t>0211</t>
        </is>
      </c>
      <c r="G8840" s="10" t="inlineStr">
        <is>
          <t>蚕ノ社</t>
        </is>
      </c>
      <c r="H8840" s="10" t="inlineStr">
        <is>
          <t>発</t>
        </is>
      </c>
      <c r="J8840" s="10" t="inlineStr">
        <is>
          <t>営業</t>
        </is>
      </c>
      <c r="L8840" t="inlineStr">
        <is>
          <t>10:25:00</t>
        </is>
      </c>
      <c r="M8840" t="inlineStr">
        <is>
          <t>10:25:20</t>
        </is>
      </c>
    </row>
    <row r="8841" ht="15" customHeight="1" s="37">
      <c r="A8841" t="n">
        <v>5</v>
      </c>
      <c r="B8841" s="10" t="inlineStr">
        <is>
          <t>平日</t>
        </is>
      </c>
      <c r="C8841" s="10" t="inlineStr">
        <is>
          <t>本線</t>
        </is>
      </c>
      <c r="D8841" s="10" t="inlineStr">
        <is>
          <t>上り</t>
        </is>
      </c>
      <c r="E8841" t="inlineStr">
        <is>
          <t>1004</t>
        </is>
      </c>
      <c r="F8841" t="inlineStr">
        <is>
          <t>0211</t>
        </is>
      </c>
      <c r="G8841" s="10" t="inlineStr">
        <is>
          <t>天神川</t>
        </is>
      </c>
      <c r="H8841" s="10" t="inlineStr">
        <is>
          <t>発</t>
        </is>
      </c>
      <c r="J8841" s="10" t="inlineStr">
        <is>
          <t>営業</t>
        </is>
      </c>
      <c r="L8841" t="inlineStr">
        <is>
          <t>10:26:05</t>
        </is>
      </c>
      <c r="M8841" t="inlineStr">
        <is>
          <t>10:26:50</t>
        </is>
      </c>
    </row>
    <row r="8842" ht="15" customHeight="1" s="37">
      <c r="A8842" t="n">
        <v>5</v>
      </c>
      <c r="B8842" s="10" t="inlineStr">
        <is>
          <t>平日</t>
        </is>
      </c>
      <c r="C8842" s="10" t="inlineStr">
        <is>
          <t>本線</t>
        </is>
      </c>
      <c r="D8842" s="10" t="inlineStr">
        <is>
          <t>上り</t>
        </is>
      </c>
      <c r="E8842" t="inlineStr">
        <is>
          <t>1004</t>
        </is>
      </c>
      <c r="F8842" t="inlineStr">
        <is>
          <t>0211</t>
        </is>
      </c>
      <c r="G8842" s="10" t="inlineStr">
        <is>
          <t>山ノ内</t>
        </is>
      </c>
      <c r="H8842" s="10" t="inlineStr">
        <is>
          <t>発</t>
        </is>
      </c>
      <c r="J8842" s="10" t="inlineStr">
        <is>
          <t>営業</t>
        </is>
      </c>
      <c r="L8842" t="inlineStr">
        <is>
          <t>10:28:40</t>
        </is>
      </c>
      <c r="M8842" t="inlineStr">
        <is>
          <t>10:29:05</t>
        </is>
      </c>
    </row>
    <row r="8843" ht="15" customHeight="1" s="37">
      <c r="A8843" t="n">
        <v>5</v>
      </c>
      <c r="B8843" s="10" t="inlineStr">
        <is>
          <t>平日</t>
        </is>
      </c>
      <c r="C8843" s="10" t="inlineStr">
        <is>
          <t>本線</t>
        </is>
      </c>
      <c r="D8843" s="10" t="inlineStr">
        <is>
          <t>上り</t>
        </is>
      </c>
      <c r="E8843" t="inlineStr">
        <is>
          <t>1004</t>
        </is>
      </c>
      <c r="F8843" t="inlineStr">
        <is>
          <t>0211</t>
        </is>
      </c>
      <c r="G8843" s="10" t="inlineStr">
        <is>
          <t>西大路三条</t>
        </is>
      </c>
      <c r="H8843" s="10" t="inlineStr">
        <is>
          <t>発</t>
        </is>
      </c>
      <c r="J8843" s="10" t="inlineStr">
        <is>
          <t>営業</t>
        </is>
      </c>
      <c r="L8843" t="inlineStr">
        <is>
          <t>10:30:55</t>
        </is>
      </c>
      <c r="M8843" t="inlineStr">
        <is>
          <t>10:31:15</t>
        </is>
      </c>
    </row>
    <row r="8844" ht="15" customHeight="1" s="37">
      <c r="A8844" t="n">
        <v>5</v>
      </c>
      <c r="B8844" s="10" t="inlineStr">
        <is>
          <t>平日</t>
        </is>
      </c>
      <c r="C8844" s="10" t="inlineStr">
        <is>
          <t>本線</t>
        </is>
      </c>
      <c r="D8844" s="10" t="inlineStr">
        <is>
          <t>上り</t>
        </is>
      </c>
      <c r="E8844" t="inlineStr">
        <is>
          <t>1004</t>
        </is>
      </c>
      <c r="F8844" t="inlineStr">
        <is>
          <t>0211</t>
        </is>
      </c>
      <c r="G8844" s="10" t="inlineStr">
        <is>
          <t>西院</t>
        </is>
      </c>
      <c r="H8844" s="10" t="inlineStr">
        <is>
          <t>発</t>
        </is>
      </c>
      <c r="J8844" s="10" t="inlineStr">
        <is>
          <t>営業</t>
        </is>
      </c>
      <c r="L8844" t="inlineStr">
        <is>
          <t>10:33:10</t>
        </is>
      </c>
      <c r="M8844" t="inlineStr">
        <is>
          <t>10:34:05</t>
        </is>
      </c>
    </row>
    <row r="8845" ht="15" customHeight="1" s="37">
      <c r="A8845" t="n">
        <v>5</v>
      </c>
      <c r="B8845" s="10" t="inlineStr">
        <is>
          <t>平日</t>
        </is>
      </c>
      <c r="C8845" s="10" t="inlineStr">
        <is>
          <t>本線</t>
        </is>
      </c>
      <c r="D8845" s="10" t="inlineStr">
        <is>
          <t>上り</t>
        </is>
      </c>
      <c r="E8845" t="inlineStr">
        <is>
          <t>1004</t>
        </is>
      </c>
      <c r="F8845" t="inlineStr">
        <is>
          <t>0211</t>
        </is>
      </c>
      <c r="G8845" s="10" t="inlineStr">
        <is>
          <t>四条大宮</t>
        </is>
      </c>
      <c r="H8845" s="10" t="inlineStr">
        <is>
          <t>着</t>
        </is>
      </c>
      <c r="J8845" s="10" t="inlineStr">
        <is>
          <t>営業</t>
        </is>
      </c>
      <c r="L8845" t="inlineStr">
        <is>
          <t>10:37:00</t>
        </is>
      </c>
      <c r="Q8845" t="inlineStr">
        <is>
          <t>1</t>
        </is>
      </c>
    </row>
    <row r="8846" ht="15" customHeight="1" s="37">
      <c r="A8846" t="n">
        <v>5</v>
      </c>
      <c r="B8846" s="10" t="inlineStr">
        <is>
          <t>平日</t>
        </is>
      </c>
      <c r="C8846" s="10" t="inlineStr">
        <is>
          <t>本線</t>
        </is>
      </c>
      <c r="D8846" s="10" t="inlineStr">
        <is>
          <t>下り</t>
        </is>
      </c>
      <c r="E8846" t="inlineStr">
        <is>
          <t>1009</t>
        </is>
      </c>
      <c r="F8846" t="inlineStr">
        <is>
          <t>0112</t>
        </is>
      </c>
      <c r="G8846" s="10" t="inlineStr">
        <is>
          <t>四条大宮</t>
        </is>
      </c>
      <c r="H8846" s="10" t="inlineStr">
        <is>
          <t>発</t>
        </is>
      </c>
      <c r="J8846" s="10" t="inlineStr">
        <is>
          <t>営業</t>
        </is>
      </c>
      <c r="M8846" t="inlineStr">
        <is>
          <t>10:43:00</t>
        </is>
      </c>
      <c r="Q8846" t="inlineStr">
        <is>
          <t>1</t>
        </is>
      </c>
    </row>
    <row r="8847" ht="15" customHeight="1" s="37">
      <c r="A8847" t="n">
        <v>5</v>
      </c>
      <c r="B8847" s="10" t="inlineStr">
        <is>
          <t>平日</t>
        </is>
      </c>
      <c r="C8847" s="10" t="inlineStr">
        <is>
          <t>本線</t>
        </is>
      </c>
      <c r="D8847" s="10" t="inlineStr">
        <is>
          <t>下り</t>
        </is>
      </c>
      <c r="E8847" t="inlineStr">
        <is>
          <t>1009</t>
        </is>
      </c>
      <c r="F8847" t="inlineStr">
        <is>
          <t>0112</t>
        </is>
      </c>
      <c r="G8847" s="10" t="inlineStr">
        <is>
          <t>西院</t>
        </is>
      </c>
      <c r="H8847" s="10" t="inlineStr">
        <is>
          <t>発</t>
        </is>
      </c>
      <c r="J8847" s="10" t="inlineStr">
        <is>
          <t>営業</t>
        </is>
      </c>
      <c r="L8847" t="inlineStr">
        <is>
          <t>10:45:50</t>
        </is>
      </c>
      <c r="M8847" t="inlineStr">
        <is>
          <t>10:46:20</t>
        </is>
      </c>
    </row>
    <row r="8848" ht="15" customHeight="1" s="37">
      <c r="A8848" t="n">
        <v>5</v>
      </c>
      <c r="B8848" s="10" t="inlineStr">
        <is>
          <t>平日</t>
        </is>
      </c>
      <c r="C8848" s="10" t="inlineStr">
        <is>
          <t>本線</t>
        </is>
      </c>
      <c r="D8848" s="10" t="inlineStr">
        <is>
          <t>下り</t>
        </is>
      </c>
      <c r="E8848" t="inlineStr">
        <is>
          <t>1009</t>
        </is>
      </c>
      <c r="F8848" t="inlineStr">
        <is>
          <t>0112</t>
        </is>
      </c>
      <c r="G8848" s="10" t="inlineStr">
        <is>
          <t>西大路三条</t>
        </is>
      </c>
      <c r="H8848" s="10" t="inlineStr">
        <is>
          <t>発</t>
        </is>
      </c>
      <c r="J8848" s="10" t="inlineStr">
        <is>
          <t>営業</t>
        </is>
      </c>
      <c r="L8848" t="inlineStr">
        <is>
          <t>10:48:10</t>
        </is>
      </c>
      <c r="M8848" t="inlineStr">
        <is>
          <t>10:48:30</t>
        </is>
      </c>
    </row>
    <row r="8849" ht="15" customHeight="1" s="37">
      <c r="A8849" t="n">
        <v>5</v>
      </c>
      <c r="B8849" s="10" t="inlineStr">
        <is>
          <t>平日</t>
        </is>
      </c>
      <c r="C8849" s="10" t="inlineStr">
        <is>
          <t>本線</t>
        </is>
      </c>
      <c r="D8849" s="10" t="inlineStr">
        <is>
          <t>下り</t>
        </is>
      </c>
      <c r="E8849" t="inlineStr">
        <is>
          <t>1009</t>
        </is>
      </c>
      <c r="F8849" t="inlineStr">
        <is>
          <t>0112</t>
        </is>
      </c>
      <c r="G8849" s="10" t="inlineStr">
        <is>
          <t>山ノ内</t>
        </is>
      </c>
      <c r="H8849" s="10" t="inlineStr">
        <is>
          <t>発</t>
        </is>
      </c>
      <c r="J8849" s="10" t="inlineStr">
        <is>
          <t>営業</t>
        </is>
      </c>
      <c r="L8849" t="inlineStr">
        <is>
          <t>10:50:25</t>
        </is>
      </c>
      <c r="M8849" t="inlineStr">
        <is>
          <t>10:50:50</t>
        </is>
      </c>
    </row>
    <row r="8850" ht="15" customHeight="1" s="37">
      <c r="A8850" t="n">
        <v>5</v>
      </c>
      <c r="B8850" s="10" t="inlineStr">
        <is>
          <t>平日</t>
        </is>
      </c>
      <c r="C8850" s="10" t="inlineStr">
        <is>
          <t>本線</t>
        </is>
      </c>
      <c r="D8850" s="10" t="inlineStr">
        <is>
          <t>下り</t>
        </is>
      </c>
      <c r="E8850" t="inlineStr">
        <is>
          <t>1009</t>
        </is>
      </c>
      <c r="F8850" t="inlineStr">
        <is>
          <t>0112</t>
        </is>
      </c>
      <c r="G8850" s="10" t="inlineStr">
        <is>
          <t>天神川</t>
        </is>
      </c>
      <c r="H8850" s="10" t="inlineStr">
        <is>
          <t>発</t>
        </is>
      </c>
      <c r="J8850" s="10" t="inlineStr">
        <is>
          <t>営業</t>
        </is>
      </c>
      <c r="L8850" t="inlineStr">
        <is>
          <t>10:52:50</t>
        </is>
      </c>
      <c r="M8850" t="inlineStr">
        <is>
          <t>10:53:30</t>
        </is>
      </c>
    </row>
    <row r="8851" ht="15" customHeight="1" s="37">
      <c r="A8851" t="n">
        <v>5</v>
      </c>
      <c r="B8851" s="10" t="inlineStr">
        <is>
          <t>平日</t>
        </is>
      </c>
      <c r="C8851" s="10" t="inlineStr">
        <is>
          <t>本線</t>
        </is>
      </c>
      <c r="D8851" s="10" t="inlineStr">
        <is>
          <t>下り</t>
        </is>
      </c>
      <c r="E8851" t="inlineStr">
        <is>
          <t>1009</t>
        </is>
      </c>
      <c r="F8851" t="inlineStr">
        <is>
          <t>0112</t>
        </is>
      </c>
      <c r="G8851" s="10" t="inlineStr">
        <is>
          <t>蚕ノ社</t>
        </is>
      </c>
      <c r="H8851" s="10" t="inlineStr">
        <is>
          <t>発</t>
        </is>
      </c>
      <c r="J8851" s="10" t="inlineStr">
        <is>
          <t>営業</t>
        </is>
      </c>
      <c r="L8851" t="inlineStr">
        <is>
          <t>10:54:20</t>
        </is>
      </c>
      <c r="M8851" t="inlineStr">
        <is>
          <t>10:54:40</t>
        </is>
      </c>
    </row>
    <row r="8852" ht="15" customHeight="1" s="37">
      <c r="A8852" t="n">
        <v>5</v>
      </c>
      <c r="B8852" s="10" t="inlineStr">
        <is>
          <t>平日</t>
        </is>
      </c>
      <c r="C8852" s="10" t="inlineStr">
        <is>
          <t>本線</t>
        </is>
      </c>
      <c r="D8852" s="10" t="inlineStr">
        <is>
          <t>下り</t>
        </is>
      </c>
      <c r="E8852" t="inlineStr">
        <is>
          <t>1009</t>
        </is>
      </c>
      <c r="F8852" t="inlineStr">
        <is>
          <t>0112</t>
        </is>
      </c>
      <c r="G8852" s="10" t="inlineStr">
        <is>
          <t>太秦広隆寺</t>
        </is>
      </c>
      <c r="H8852" s="10" t="inlineStr">
        <is>
          <t>発</t>
        </is>
      </c>
      <c r="J8852" s="10" t="inlineStr">
        <is>
          <t>営業</t>
        </is>
      </c>
      <c r="L8852" t="inlineStr">
        <is>
          <t>10:56:00</t>
        </is>
      </c>
      <c r="M8852" t="inlineStr">
        <is>
          <t>10:56:20</t>
        </is>
      </c>
    </row>
    <row r="8853" ht="15" customHeight="1" s="37">
      <c r="A8853" t="n">
        <v>5</v>
      </c>
      <c r="B8853" s="10" t="inlineStr">
        <is>
          <t>平日</t>
        </is>
      </c>
      <c r="C8853" s="10" t="inlineStr">
        <is>
          <t>本線</t>
        </is>
      </c>
      <c r="D8853" s="10" t="inlineStr">
        <is>
          <t>下り</t>
        </is>
      </c>
      <c r="E8853" t="inlineStr">
        <is>
          <t>1009</t>
        </is>
      </c>
      <c r="F8853" t="inlineStr">
        <is>
          <t>0112</t>
        </is>
      </c>
      <c r="G8853" s="10" t="inlineStr">
        <is>
          <t>帷子ノ辻</t>
        </is>
      </c>
      <c r="H8853" s="10" t="inlineStr">
        <is>
          <t>発</t>
        </is>
      </c>
      <c r="J8853" s="10" t="inlineStr">
        <is>
          <t>営業</t>
        </is>
      </c>
      <c r="L8853" t="inlineStr">
        <is>
          <t>10:58:20</t>
        </is>
      </c>
      <c r="M8853" t="inlineStr">
        <is>
          <t>10:59:40</t>
        </is>
      </c>
    </row>
    <row r="8854" ht="15" customHeight="1" s="37">
      <c r="A8854" t="n">
        <v>5</v>
      </c>
      <c r="B8854" s="10" t="inlineStr">
        <is>
          <t>平日</t>
        </is>
      </c>
      <c r="C8854" s="10" t="inlineStr">
        <is>
          <t>本線</t>
        </is>
      </c>
      <c r="D8854" s="10" t="inlineStr">
        <is>
          <t>下り</t>
        </is>
      </c>
      <c r="E8854" t="inlineStr">
        <is>
          <t>1009</t>
        </is>
      </c>
      <c r="F8854" t="inlineStr">
        <is>
          <t>0112</t>
        </is>
      </c>
      <c r="G8854" s="10" t="inlineStr">
        <is>
          <t>有栖川</t>
        </is>
      </c>
      <c r="H8854" s="10" t="inlineStr">
        <is>
          <t>発</t>
        </is>
      </c>
      <c r="J8854" s="10" t="inlineStr">
        <is>
          <t>営業</t>
        </is>
      </c>
      <c r="L8854" t="inlineStr">
        <is>
          <t>11:00:50</t>
        </is>
      </c>
      <c r="M8854" t="inlineStr">
        <is>
          <t>11:01:15</t>
        </is>
      </c>
    </row>
    <row r="8855" ht="15" customHeight="1" s="37">
      <c r="A8855" t="n">
        <v>5</v>
      </c>
      <c r="B8855" s="10" t="inlineStr">
        <is>
          <t>平日</t>
        </is>
      </c>
      <c r="C8855" s="10" t="inlineStr">
        <is>
          <t>本線</t>
        </is>
      </c>
      <c r="D8855" s="10" t="inlineStr">
        <is>
          <t>下り</t>
        </is>
      </c>
      <c r="E8855" t="inlineStr">
        <is>
          <t>1009</t>
        </is>
      </c>
      <c r="F8855" t="inlineStr">
        <is>
          <t>0112</t>
        </is>
      </c>
      <c r="G8855" s="10" t="inlineStr">
        <is>
          <t>車折</t>
        </is>
      </c>
      <c r="H8855" s="10" t="inlineStr">
        <is>
          <t>発</t>
        </is>
      </c>
      <c r="J8855" s="10" t="inlineStr">
        <is>
          <t>営業</t>
        </is>
      </c>
      <c r="L8855" t="inlineStr">
        <is>
          <t>11:02:40</t>
        </is>
      </c>
      <c r="M8855" t="inlineStr">
        <is>
          <t>11:03:05</t>
        </is>
      </c>
    </row>
    <row r="8856" ht="15" customHeight="1" s="37">
      <c r="A8856" t="n">
        <v>5</v>
      </c>
      <c r="B8856" s="10" t="inlineStr">
        <is>
          <t>平日</t>
        </is>
      </c>
      <c r="C8856" s="10" t="inlineStr">
        <is>
          <t>本線</t>
        </is>
      </c>
      <c r="D8856" s="10" t="inlineStr">
        <is>
          <t>下り</t>
        </is>
      </c>
      <c r="E8856" t="inlineStr">
        <is>
          <t>1009</t>
        </is>
      </c>
      <c r="F8856" t="inlineStr">
        <is>
          <t>0112</t>
        </is>
      </c>
      <c r="G8856" s="10" t="inlineStr">
        <is>
          <t>鹿王院</t>
        </is>
      </c>
      <c r="H8856" s="10" t="inlineStr">
        <is>
          <t>発</t>
        </is>
      </c>
      <c r="J8856" s="10" t="inlineStr">
        <is>
          <t>営業</t>
        </is>
      </c>
      <c r="L8856" t="inlineStr">
        <is>
          <t>11:04:00</t>
        </is>
      </c>
      <c r="M8856" t="inlineStr">
        <is>
          <t>11:04:25</t>
        </is>
      </c>
    </row>
    <row r="8857" ht="15" customHeight="1" s="37">
      <c r="A8857" t="n">
        <v>5</v>
      </c>
      <c r="B8857" s="10" t="inlineStr">
        <is>
          <t>平日</t>
        </is>
      </c>
      <c r="C8857" s="10" t="inlineStr">
        <is>
          <t>本線</t>
        </is>
      </c>
      <c r="D8857" s="10" t="inlineStr">
        <is>
          <t>下り</t>
        </is>
      </c>
      <c r="E8857" t="inlineStr">
        <is>
          <t>1009</t>
        </is>
      </c>
      <c r="F8857" t="inlineStr">
        <is>
          <t>0112</t>
        </is>
      </c>
      <c r="G8857" s="10" t="inlineStr">
        <is>
          <t>嵯峨</t>
        </is>
      </c>
      <c r="H8857" s="10" t="inlineStr">
        <is>
          <t>発</t>
        </is>
      </c>
      <c r="J8857" s="10" t="inlineStr">
        <is>
          <t>営業</t>
        </is>
      </c>
      <c r="L8857" t="inlineStr">
        <is>
          <t>11:05:30</t>
        </is>
      </c>
      <c r="M8857" t="inlineStr">
        <is>
          <t>11:05:55</t>
        </is>
      </c>
    </row>
    <row r="8858" ht="15" customHeight="1" s="37">
      <c r="A8858" t="n">
        <v>5</v>
      </c>
      <c r="B8858" s="10" t="inlineStr">
        <is>
          <t>平日</t>
        </is>
      </c>
      <c r="C8858" s="10" t="inlineStr">
        <is>
          <t>本線</t>
        </is>
      </c>
      <c r="D8858" s="10" t="inlineStr">
        <is>
          <t>下り</t>
        </is>
      </c>
      <c r="E8858" t="inlineStr">
        <is>
          <t>1009</t>
        </is>
      </c>
      <c r="F8858" t="inlineStr">
        <is>
          <t>0112</t>
        </is>
      </c>
      <c r="G8858" s="10" t="inlineStr">
        <is>
          <t>嵐山</t>
        </is>
      </c>
      <c r="H8858" s="10" t="inlineStr">
        <is>
          <t>着</t>
        </is>
      </c>
      <c r="J8858" s="10" t="inlineStr">
        <is>
          <t>営業</t>
        </is>
      </c>
      <c r="L8858" t="inlineStr">
        <is>
          <t>11:07:00</t>
        </is>
      </c>
      <c r="Q8858" t="inlineStr">
        <is>
          <t>1</t>
        </is>
      </c>
    </row>
    <row r="8859" ht="15" customHeight="1" s="37">
      <c r="A8859" t="n">
        <v>5</v>
      </c>
      <c r="B8859" s="10" t="inlineStr">
        <is>
          <t>平日</t>
        </is>
      </c>
      <c r="C8859" s="10" t="inlineStr">
        <is>
          <t>本線</t>
        </is>
      </c>
      <c r="D8859" s="10" t="inlineStr">
        <is>
          <t>上り</t>
        </is>
      </c>
      <c r="E8859" t="inlineStr">
        <is>
          <t>1104</t>
        </is>
      </c>
      <c r="F8859" t="inlineStr">
        <is>
          <t>0211</t>
        </is>
      </c>
      <c r="G8859" s="10" t="inlineStr">
        <is>
          <t>嵐山</t>
        </is>
      </c>
      <c r="H8859" s="10" t="inlineStr">
        <is>
          <t>発</t>
        </is>
      </c>
      <c r="J8859" s="10" t="inlineStr">
        <is>
          <t>営業</t>
        </is>
      </c>
      <c r="M8859" t="inlineStr">
        <is>
          <t>11:13:00</t>
        </is>
      </c>
      <c r="Q8859" t="inlineStr">
        <is>
          <t>1</t>
        </is>
      </c>
      <c r="U8859" t="inlineStr">
        <is>
          <t>→西院 休憩(11:46〜13:16)</t>
        </is>
      </c>
    </row>
    <row r="8860" ht="15" customHeight="1" s="37">
      <c r="A8860" t="n">
        <v>5</v>
      </c>
      <c r="B8860" s="10" t="inlineStr">
        <is>
          <t>平日</t>
        </is>
      </c>
      <c r="C8860" s="10" t="inlineStr">
        <is>
          <t>本線</t>
        </is>
      </c>
      <c r="D8860" s="10" t="inlineStr">
        <is>
          <t>上り</t>
        </is>
      </c>
      <c r="E8860" t="inlineStr">
        <is>
          <t>1104</t>
        </is>
      </c>
      <c r="F8860" t="inlineStr">
        <is>
          <t>0211</t>
        </is>
      </c>
      <c r="G8860" s="10" t="inlineStr">
        <is>
          <t>嵯峨</t>
        </is>
      </c>
      <c r="H8860" s="10" t="inlineStr">
        <is>
          <t>発</t>
        </is>
      </c>
      <c r="J8860" s="10" t="inlineStr">
        <is>
          <t>営業</t>
        </is>
      </c>
      <c r="L8860" t="inlineStr">
        <is>
          <t>11:13:55</t>
        </is>
      </c>
      <c r="M8860" t="inlineStr">
        <is>
          <t>11:14:20</t>
        </is>
      </c>
      <c r="U8860" t="inlineStr">
        <is>
          <t>→西院 休憩(11:46〜13:16)</t>
        </is>
      </c>
    </row>
    <row r="8861" ht="15" customHeight="1" s="37">
      <c r="A8861" t="n">
        <v>5</v>
      </c>
      <c r="B8861" s="10" t="inlineStr">
        <is>
          <t>平日</t>
        </is>
      </c>
      <c r="C8861" s="10" t="inlineStr">
        <is>
          <t>本線</t>
        </is>
      </c>
      <c r="D8861" s="10" t="inlineStr">
        <is>
          <t>上り</t>
        </is>
      </c>
      <c r="E8861" t="inlineStr">
        <is>
          <t>1104</t>
        </is>
      </c>
      <c r="F8861" t="inlineStr">
        <is>
          <t>0211</t>
        </is>
      </c>
      <c r="G8861" s="10" t="inlineStr">
        <is>
          <t>鹿王院</t>
        </is>
      </c>
      <c r="H8861" s="10" t="inlineStr">
        <is>
          <t>発</t>
        </is>
      </c>
      <c r="J8861" s="10" t="inlineStr">
        <is>
          <t>営業</t>
        </is>
      </c>
      <c r="L8861" t="inlineStr">
        <is>
          <t>11:15:25</t>
        </is>
      </c>
      <c r="M8861" t="inlineStr">
        <is>
          <t>11:15:45</t>
        </is>
      </c>
      <c r="U8861" t="inlineStr">
        <is>
          <t>→西院 休憩(11:46〜13:16)</t>
        </is>
      </c>
    </row>
    <row r="8862" ht="15" customHeight="1" s="37">
      <c r="A8862" t="n">
        <v>5</v>
      </c>
      <c r="B8862" s="10" t="inlineStr">
        <is>
          <t>平日</t>
        </is>
      </c>
      <c r="C8862" s="10" t="inlineStr">
        <is>
          <t>本線</t>
        </is>
      </c>
      <c r="D8862" s="10" t="inlineStr">
        <is>
          <t>上り</t>
        </is>
      </c>
      <c r="E8862" t="inlineStr">
        <is>
          <t>1104</t>
        </is>
      </c>
      <c r="F8862" t="inlineStr">
        <is>
          <t>0211</t>
        </is>
      </c>
      <c r="G8862" s="10" t="inlineStr">
        <is>
          <t>車折</t>
        </is>
      </c>
      <c r="H8862" s="10" t="inlineStr">
        <is>
          <t>発</t>
        </is>
      </c>
      <c r="J8862" s="10" t="inlineStr">
        <is>
          <t>営業</t>
        </is>
      </c>
      <c r="L8862" t="inlineStr">
        <is>
          <t>11:16:40</t>
        </is>
      </c>
      <c r="M8862" t="inlineStr">
        <is>
          <t>11:17:10</t>
        </is>
      </c>
      <c r="U8862" t="inlineStr">
        <is>
          <t>→西院 休憩(11:46〜13:16)</t>
        </is>
      </c>
    </row>
    <row r="8863" ht="15" customHeight="1" s="37">
      <c r="A8863" t="n">
        <v>5</v>
      </c>
      <c r="B8863" s="10" t="inlineStr">
        <is>
          <t>平日</t>
        </is>
      </c>
      <c r="C8863" s="10" t="inlineStr">
        <is>
          <t>本線</t>
        </is>
      </c>
      <c r="D8863" s="10" t="inlineStr">
        <is>
          <t>上り</t>
        </is>
      </c>
      <c r="E8863" t="inlineStr">
        <is>
          <t>1104</t>
        </is>
      </c>
      <c r="F8863" t="inlineStr">
        <is>
          <t>0211</t>
        </is>
      </c>
      <c r="G8863" s="10" t="inlineStr">
        <is>
          <t>有栖川</t>
        </is>
      </c>
      <c r="H8863" s="10" t="inlineStr">
        <is>
          <t>発</t>
        </is>
      </c>
      <c r="J8863" s="10" t="inlineStr">
        <is>
          <t>営業</t>
        </is>
      </c>
      <c r="L8863" t="inlineStr">
        <is>
          <t>11:18:35</t>
        </is>
      </c>
      <c r="M8863" t="inlineStr">
        <is>
          <t>11:18:55</t>
        </is>
      </c>
      <c r="U8863" t="inlineStr">
        <is>
          <t>→西院 休憩(11:46〜13:16)</t>
        </is>
      </c>
    </row>
    <row r="8864" ht="15" customHeight="1" s="37">
      <c r="A8864" t="n">
        <v>5</v>
      </c>
      <c r="B8864" s="10" t="inlineStr">
        <is>
          <t>平日</t>
        </is>
      </c>
      <c r="C8864" s="10" t="inlineStr">
        <is>
          <t>本線</t>
        </is>
      </c>
      <c r="D8864" s="10" t="inlineStr">
        <is>
          <t>上り</t>
        </is>
      </c>
      <c r="E8864" t="inlineStr">
        <is>
          <t>1104</t>
        </is>
      </c>
      <c r="F8864" t="inlineStr">
        <is>
          <t>0211</t>
        </is>
      </c>
      <c r="G8864" s="10" t="inlineStr">
        <is>
          <t>帷子ノ辻</t>
        </is>
      </c>
      <c r="H8864" s="10" t="inlineStr">
        <is>
          <t>発</t>
        </is>
      </c>
      <c r="J8864" s="10" t="inlineStr">
        <is>
          <t>営業</t>
        </is>
      </c>
      <c r="L8864" t="inlineStr">
        <is>
          <t>11:20:10</t>
        </is>
      </c>
      <c r="M8864" t="inlineStr">
        <is>
          <t>11:21:15</t>
        </is>
      </c>
      <c r="U8864" t="inlineStr">
        <is>
          <t>→西院 休憩(11:46〜13:16)</t>
        </is>
      </c>
    </row>
    <row r="8865" ht="15" customHeight="1" s="37">
      <c r="A8865" t="n">
        <v>5</v>
      </c>
      <c r="B8865" s="10" t="inlineStr">
        <is>
          <t>平日</t>
        </is>
      </c>
      <c r="C8865" s="10" t="inlineStr">
        <is>
          <t>本線</t>
        </is>
      </c>
      <c r="D8865" s="10" t="inlineStr">
        <is>
          <t>上り</t>
        </is>
      </c>
      <c r="E8865" t="inlineStr">
        <is>
          <t>1104</t>
        </is>
      </c>
      <c r="F8865" t="inlineStr">
        <is>
          <t>0211</t>
        </is>
      </c>
      <c r="G8865" s="10" t="inlineStr">
        <is>
          <t>太秦広隆寺</t>
        </is>
      </c>
      <c r="H8865" s="10" t="inlineStr">
        <is>
          <t>発</t>
        </is>
      </c>
      <c r="J8865" s="10" t="inlineStr">
        <is>
          <t>営業</t>
        </is>
      </c>
      <c r="L8865" t="inlineStr">
        <is>
          <t>11:23:25</t>
        </is>
      </c>
      <c r="M8865" t="inlineStr">
        <is>
          <t>11:23:45</t>
        </is>
      </c>
      <c r="U8865" t="inlineStr">
        <is>
          <t>→西院 休憩(11:46〜13:16)</t>
        </is>
      </c>
    </row>
    <row r="8866" ht="15" customHeight="1" s="37">
      <c r="A8866" t="n">
        <v>5</v>
      </c>
      <c r="B8866" s="10" t="inlineStr">
        <is>
          <t>平日</t>
        </is>
      </c>
      <c r="C8866" s="10" t="inlineStr">
        <is>
          <t>本線</t>
        </is>
      </c>
      <c r="D8866" s="10" t="inlineStr">
        <is>
          <t>上り</t>
        </is>
      </c>
      <c r="E8866" t="inlineStr">
        <is>
          <t>1104</t>
        </is>
      </c>
      <c r="F8866" t="inlineStr">
        <is>
          <t>0211</t>
        </is>
      </c>
      <c r="G8866" s="10" t="inlineStr">
        <is>
          <t>蚕ノ社</t>
        </is>
      </c>
      <c r="H8866" s="10" t="inlineStr">
        <is>
          <t>発</t>
        </is>
      </c>
      <c r="J8866" s="10" t="inlineStr">
        <is>
          <t>営業</t>
        </is>
      </c>
      <c r="L8866" t="inlineStr">
        <is>
          <t>11:25:00</t>
        </is>
      </c>
      <c r="M8866" t="inlineStr">
        <is>
          <t>11:25:20</t>
        </is>
      </c>
      <c r="U8866" t="inlineStr">
        <is>
          <t>→西院 休憩(11:46〜13:16)</t>
        </is>
      </c>
    </row>
    <row r="8867" ht="15" customHeight="1" s="37">
      <c r="A8867" t="n">
        <v>5</v>
      </c>
      <c r="B8867" s="10" t="inlineStr">
        <is>
          <t>平日</t>
        </is>
      </c>
      <c r="C8867" s="10" t="inlineStr">
        <is>
          <t>本線</t>
        </is>
      </c>
      <c r="D8867" s="10" t="inlineStr">
        <is>
          <t>上り</t>
        </is>
      </c>
      <c r="E8867" t="inlineStr">
        <is>
          <t>1104</t>
        </is>
      </c>
      <c r="F8867" t="inlineStr">
        <is>
          <t>0211</t>
        </is>
      </c>
      <c r="G8867" s="10" t="inlineStr">
        <is>
          <t>天神川</t>
        </is>
      </c>
      <c r="H8867" s="10" t="inlineStr">
        <is>
          <t>発</t>
        </is>
      </c>
      <c r="J8867" s="10" t="inlineStr">
        <is>
          <t>営業</t>
        </is>
      </c>
      <c r="L8867" t="inlineStr">
        <is>
          <t>11:26:05</t>
        </is>
      </c>
      <c r="M8867" t="inlineStr">
        <is>
          <t>11:26:50</t>
        </is>
      </c>
      <c r="U8867" t="inlineStr">
        <is>
          <t>→西院 休憩(11:46〜13:16)</t>
        </is>
      </c>
    </row>
    <row r="8868" ht="15" customHeight="1" s="37">
      <c r="A8868" t="n">
        <v>5</v>
      </c>
      <c r="B8868" s="10" t="inlineStr">
        <is>
          <t>平日</t>
        </is>
      </c>
      <c r="C8868" s="10" t="inlineStr">
        <is>
          <t>本線</t>
        </is>
      </c>
      <c r="D8868" s="10" t="inlineStr">
        <is>
          <t>上り</t>
        </is>
      </c>
      <c r="E8868" t="inlineStr">
        <is>
          <t>1104</t>
        </is>
      </c>
      <c r="F8868" t="inlineStr">
        <is>
          <t>0211</t>
        </is>
      </c>
      <c r="G8868" s="10" t="inlineStr">
        <is>
          <t>山ノ内</t>
        </is>
      </c>
      <c r="H8868" s="10" t="inlineStr">
        <is>
          <t>発</t>
        </is>
      </c>
      <c r="J8868" s="10" t="inlineStr">
        <is>
          <t>営業</t>
        </is>
      </c>
      <c r="L8868" t="inlineStr">
        <is>
          <t>11:28:40</t>
        </is>
      </c>
      <c r="M8868" t="inlineStr">
        <is>
          <t>11:29:05</t>
        </is>
      </c>
      <c r="U8868" t="inlineStr">
        <is>
          <t>→西院 休憩(11:46〜13:16)</t>
        </is>
      </c>
    </row>
    <row r="8869" ht="15" customHeight="1" s="37">
      <c r="A8869" t="n">
        <v>5</v>
      </c>
      <c r="B8869" s="10" t="inlineStr">
        <is>
          <t>平日</t>
        </is>
      </c>
      <c r="C8869" s="10" t="inlineStr">
        <is>
          <t>本線</t>
        </is>
      </c>
      <c r="D8869" s="10" t="inlineStr">
        <is>
          <t>上り</t>
        </is>
      </c>
      <c r="E8869" t="inlineStr">
        <is>
          <t>1104</t>
        </is>
      </c>
      <c r="F8869" t="inlineStr">
        <is>
          <t>0211</t>
        </is>
      </c>
      <c r="G8869" s="10" t="inlineStr">
        <is>
          <t>西大路三条</t>
        </is>
      </c>
      <c r="H8869" s="10" t="inlineStr">
        <is>
          <t>発</t>
        </is>
      </c>
      <c r="J8869" s="10" t="inlineStr">
        <is>
          <t>営業</t>
        </is>
      </c>
      <c r="L8869" t="inlineStr">
        <is>
          <t>11:30:55</t>
        </is>
      </c>
      <c r="M8869" t="inlineStr">
        <is>
          <t>11:31:15</t>
        </is>
      </c>
      <c r="U8869" t="inlineStr">
        <is>
          <t>→西院 休憩(11:46〜13:16)</t>
        </is>
      </c>
    </row>
    <row r="8870" ht="15" customHeight="1" s="37">
      <c r="A8870" t="n">
        <v>5</v>
      </c>
      <c r="B8870" s="10" t="inlineStr">
        <is>
          <t>平日</t>
        </is>
      </c>
      <c r="C8870" s="10" t="inlineStr">
        <is>
          <t>本線</t>
        </is>
      </c>
      <c r="D8870" s="10" t="inlineStr">
        <is>
          <t>上り</t>
        </is>
      </c>
      <c r="E8870" t="inlineStr">
        <is>
          <t>1104</t>
        </is>
      </c>
      <c r="F8870" t="inlineStr">
        <is>
          <t>0211</t>
        </is>
      </c>
      <c r="G8870" s="10" t="inlineStr">
        <is>
          <t>西院</t>
        </is>
      </c>
      <c r="H8870" s="10" t="inlineStr">
        <is>
          <t>発</t>
        </is>
      </c>
      <c r="J8870" s="10" t="inlineStr">
        <is>
          <t>営業</t>
        </is>
      </c>
      <c r="L8870" t="inlineStr">
        <is>
          <t>11:33:10</t>
        </is>
      </c>
      <c r="M8870" t="inlineStr">
        <is>
          <t>11:34:05</t>
        </is>
      </c>
      <c r="U8870" t="inlineStr">
        <is>
          <t>→西院 休憩(11:46〜13:16)</t>
        </is>
      </c>
    </row>
    <row r="8871" ht="15" customHeight="1" s="37">
      <c r="A8871" t="n">
        <v>5</v>
      </c>
      <c r="B8871" s="10" t="inlineStr">
        <is>
          <t>平日</t>
        </is>
      </c>
      <c r="C8871" s="10" t="inlineStr">
        <is>
          <t>本線</t>
        </is>
      </c>
      <c r="D8871" s="10" t="inlineStr">
        <is>
          <t>上り</t>
        </is>
      </c>
      <c r="E8871" t="inlineStr">
        <is>
          <t>1104</t>
        </is>
      </c>
      <c r="F8871" t="inlineStr">
        <is>
          <t>0211</t>
        </is>
      </c>
      <c r="G8871" s="10" t="inlineStr">
        <is>
          <t>四条大宮</t>
        </is>
      </c>
      <c r="H8871" s="10" t="inlineStr">
        <is>
          <t>着</t>
        </is>
      </c>
      <c r="J8871" s="10" t="inlineStr">
        <is>
          <t>営業</t>
        </is>
      </c>
      <c r="L8871" t="inlineStr">
        <is>
          <t>11:37:00</t>
        </is>
      </c>
      <c r="Q8871" t="inlineStr">
        <is>
          <t>1</t>
        </is>
      </c>
      <c r="U8871" t="inlineStr">
        <is>
          <t>→西院 休憩(11:46〜13:16)</t>
        </is>
      </c>
    </row>
    <row r="8872" ht="15" customHeight="1" s="37">
      <c r="A8872" t="n">
        <v>5</v>
      </c>
      <c r="B8872" s="10" t="inlineStr">
        <is>
          <t>平日</t>
        </is>
      </c>
      <c r="C8872" s="10" t="inlineStr">
        <is>
          <t>本線</t>
        </is>
      </c>
      <c r="D8872" s="10" t="inlineStr">
        <is>
          <t>下り</t>
        </is>
      </c>
      <c r="E8872" t="inlineStr">
        <is>
          <t>1109</t>
        </is>
      </c>
      <c r="F8872" t="inlineStr">
        <is>
          <t>0112</t>
        </is>
      </c>
      <c r="G8872" s="10" t="inlineStr">
        <is>
          <t>四条大宮</t>
        </is>
      </c>
      <c r="H8872" s="10" t="inlineStr">
        <is>
          <t>発</t>
        </is>
      </c>
      <c r="J8872" s="10" t="inlineStr">
        <is>
          <t>営業</t>
        </is>
      </c>
      <c r="M8872" t="inlineStr">
        <is>
          <t>11:43:00</t>
        </is>
      </c>
      <c r="Q8872" t="inlineStr">
        <is>
          <t>1</t>
        </is>
      </c>
      <c r="U8872" t="inlineStr">
        <is>
          <t>→西院 休憩(11:46〜13:16)</t>
        </is>
      </c>
    </row>
    <row r="8873" ht="15" customHeight="1" s="37">
      <c r="A8873" t="n">
        <v>5</v>
      </c>
      <c r="B8873" s="10" t="inlineStr">
        <is>
          <t>平日</t>
        </is>
      </c>
      <c r="C8873" s="10" t="inlineStr">
        <is>
          <t>本線</t>
        </is>
      </c>
      <c r="D8873" s="10" t="inlineStr">
        <is>
          <t>下り</t>
        </is>
      </c>
      <c r="E8873" t="inlineStr">
        <is>
          <t>1109</t>
        </is>
      </c>
      <c r="F8873" t="inlineStr">
        <is>
          <t>0112</t>
        </is>
      </c>
      <c r="G8873" s="10" t="inlineStr">
        <is>
          <t>西院</t>
        </is>
      </c>
      <c r="H8873" s="10" t="inlineStr">
        <is>
          <t>着</t>
        </is>
      </c>
      <c r="J8873" s="10" t="inlineStr">
        <is>
          <t>営業</t>
        </is>
      </c>
      <c r="L8873" t="inlineStr">
        <is>
          <t>11:45:50</t>
        </is>
      </c>
      <c r="M8873" t="inlineStr">
        <is>
          <t>11:46:20</t>
        </is>
      </c>
      <c r="U8873" t="inlineStr">
        <is>
          <t>→西院 休憩(11:46〜13:16)</t>
        </is>
      </c>
    </row>
    <row r="8874" ht="15" customHeight="1" s="37">
      <c r="A8874" t="n">
        <v>5</v>
      </c>
      <c r="B8874" s="10" t="inlineStr">
        <is>
          <t>平日</t>
        </is>
      </c>
      <c r="C8874" s="10" t="inlineStr">
        <is>
          <t>本線</t>
        </is>
      </c>
      <c r="D8874" s="10" t="inlineStr">
        <is>
          <t>下り</t>
        </is>
      </c>
      <c r="E8874" t="inlineStr">
        <is>
          <t>1303</t>
        </is>
      </c>
      <c r="F8874" t="inlineStr">
        <is>
          <t>0112</t>
        </is>
      </c>
      <c r="G8874" s="10" t="inlineStr">
        <is>
          <t>西院</t>
        </is>
      </c>
      <c r="H8874" s="10" t="inlineStr">
        <is>
          <t>発</t>
        </is>
      </c>
      <c r="J8874" s="10" t="inlineStr">
        <is>
          <t>営業</t>
        </is>
      </c>
      <c r="L8874" t="inlineStr">
        <is>
          <t>13:15:50</t>
        </is>
      </c>
      <c r="M8874" t="inlineStr">
        <is>
          <t>13:16:20</t>
        </is>
      </c>
    </row>
    <row r="8875" ht="15" customHeight="1" s="37">
      <c r="A8875" t="n">
        <v>5</v>
      </c>
      <c r="B8875" s="10" t="inlineStr">
        <is>
          <t>平日</t>
        </is>
      </c>
      <c r="C8875" s="10" t="inlineStr">
        <is>
          <t>本線</t>
        </is>
      </c>
      <c r="D8875" s="10" t="inlineStr">
        <is>
          <t>下り</t>
        </is>
      </c>
      <c r="E8875" t="inlineStr">
        <is>
          <t>1303</t>
        </is>
      </c>
      <c r="F8875" t="inlineStr">
        <is>
          <t>0112</t>
        </is>
      </c>
      <c r="G8875" s="10" t="inlineStr">
        <is>
          <t>西大路三条</t>
        </is>
      </c>
      <c r="H8875" s="10" t="inlineStr">
        <is>
          <t>発</t>
        </is>
      </c>
      <c r="J8875" s="10" t="inlineStr">
        <is>
          <t>営業</t>
        </is>
      </c>
      <c r="L8875" t="inlineStr">
        <is>
          <t>13:18:10</t>
        </is>
      </c>
      <c r="M8875" t="inlineStr">
        <is>
          <t>13:18:30</t>
        </is>
      </c>
    </row>
    <row r="8876" ht="15" customHeight="1" s="37">
      <c r="A8876" t="n">
        <v>5</v>
      </c>
      <c r="B8876" s="10" t="inlineStr">
        <is>
          <t>平日</t>
        </is>
      </c>
      <c r="C8876" s="10" t="inlineStr">
        <is>
          <t>本線</t>
        </is>
      </c>
      <c r="D8876" s="10" t="inlineStr">
        <is>
          <t>下り</t>
        </is>
      </c>
      <c r="E8876" t="inlineStr">
        <is>
          <t>1303</t>
        </is>
      </c>
      <c r="F8876" t="inlineStr">
        <is>
          <t>0112</t>
        </is>
      </c>
      <c r="G8876" s="10" t="inlineStr">
        <is>
          <t>山ノ内</t>
        </is>
      </c>
      <c r="H8876" s="10" t="inlineStr">
        <is>
          <t>発</t>
        </is>
      </c>
      <c r="J8876" s="10" t="inlineStr">
        <is>
          <t>営業</t>
        </is>
      </c>
      <c r="L8876" t="inlineStr">
        <is>
          <t>13:20:25</t>
        </is>
      </c>
      <c r="M8876" t="inlineStr">
        <is>
          <t>13:20:50</t>
        </is>
      </c>
    </row>
    <row r="8877" ht="15" customHeight="1" s="37">
      <c r="A8877" t="n">
        <v>5</v>
      </c>
      <c r="B8877" s="10" t="inlineStr">
        <is>
          <t>平日</t>
        </is>
      </c>
      <c r="C8877" s="10" t="inlineStr">
        <is>
          <t>本線</t>
        </is>
      </c>
      <c r="D8877" s="10" t="inlineStr">
        <is>
          <t>下り</t>
        </is>
      </c>
      <c r="E8877" t="inlineStr">
        <is>
          <t>1303</t>
        </is>
      </c>
      <c r="F8877" t="inlineStr">
        <is>
          <t>0112</t>
        </is>
      </c>
      <c r="G8877" s="10" t="inlineStr">
        <is>
          <t>天神川</t>
        </is>
      </c>
      <c r="H8877" s="10" t="inlineStr">
        <is>
          <t>発</t>
        </is>
      </c>
      <c r="J8877" s="10" t="inlineStr">
        <is>
          <t>営業</t>
        </is>
      </c>
      <c r="L8877" t="inlineStr">
        <is>
          <t>13:22:50</t>
        </is>
      </c>
      <c r="M8877" t="inlineStr">
        <is>
          <t>13:23:30</t>
        </is>
      </c>
    </row>
    <row r="8878" ht="15" customHeight="1" s="37">
      <c r="A8878" t="n">
        <v>5</v>
      </c>
      <c r="B8878" s="10" t="inlineStr">
        <is>
          <t>平日</t>
        </is>
      </c>
      <c r="C8878" s="10" t="inlineStr">
        <is>
          <t>本線</t>
        </is>
      </c>
      <c r="D8878" s="10" t="inlineStr">
        <is>
          <t>下り</t>
        </is>
      </c>
      <c r="E8878" t="inlineStr">
        <is>
          <t>1303</t>
        </is>
      </c>
      <c r="F8878" t="inlineStr">
        <is>
          <t>0112</t>
        </is>
      </c>
      <c r="G8878" s="10" t="inlineStr">
        <is>
          <t>蚕ノ社</t>
        </is>
      </c>
      <c r="H8878" s="10" t="inlineStr">
        <is>
          <t>発</t>
        </is>
      </c>
      <c r="J8878" s="10" t="inlineStr">
        <is>
          <t>営業</t>
        </is>
      </c>
      <c r="L8878" t="inlineStr">
        <is>
          <t>13:24:20</t>
        </is>
      </c>
      <c r="M8878" t="inlineStr">
        <is>
          <t>13:24:40</t>
        </is>
      </c>
    </row>
    <row r="8879" ht="15" customHeight="1" s="37">
      <c r="A8879" t="n">
        <v>5</v>
      </c>
      <c r="B8879" s="10" t="inlineStr">
        <is>
          <t>平日</t>
        </is>
      </c>
      <c r="C8879" s="10" t="inlineStr">
        <is>
          <t>本線</t>
        </is>
      </c>
      <c r="D8879" s="10" t="inlineStr">
        <is>
          <t>下り</t>
        </is>
      </c>
      <c r="E8879" t="inlineStr">
        <is>
          <t>1303</t>
        </is>
      </c>
      <c r="F8879" t="inlineStr">
        <is>
          <t>0112</t>
        </is>
      </c>
      <c r="G8879" s="10" t="inlineStr">
        <is>
          <t>太秦広隆寺</t>
        </is>
      </c>
      <c r="H8879" s="10" t="inlineStr">
        <is>
          <t>発</t>
        </is>
      </c>
      <c r="J8879" s="10" t="inlineStr">
        <is>
          <t>営業</t>
        </is>
      </c>
      <c r="L8879" t="inlineStr">
        <is>
          <t>13:26:00</t>
        </is>
      </c>
      <c r="M8879" t="inlineStr">
        <is>
          <t>13:26:20</t>
        </is>
      </c>
    </row>
    <row r="8880" ht="15" customHeight="1" s="37">
      <c r="A8880" t="n">
        <v>5</v>
      </c>
      <c r="B8880" s="10" t="inlineStr">
        <is>
          <t>平日</t>
        </is>
      </c>
      <c r="C8880" s="10" t="inlineStr">
        <is>
          <t>本線</t>
        </is>
      </c>
      <c r="D8880" s="10" t="inlineStr">
        <is>
          <t>下り</t>
        </is>
      </c>
      <c r="E8880" t="inlineStr">
        <is>
          <t>1303</t>
        </is>
      </c>
      <c r="F8880" t="inlineStr">
        <is>
          <t>0112</t>
        </is>
      </c>
      <c r="G8880" s="10" t="inlineStr">
        <is>
          <t>帷子ノ辻</t>
        </is>
      </c>
      <c r="H8880" s="10" t="inlineStr">
        <is>
          <t>発</t>
        </is>
      </c>
      <c r="J8880" s="10" t="inlineStr">
        <is>
          <t>営業</t>
        </is>
      </c>
      <c r="L8880" t="inlineStr">
        <is>
          <t>13:28:20</t>
        </is>
      </c>
      <c r="M8880" t="inlineStr">
        <is>
          <t>13:29:40</t>
        </is>
      </c>
    </row>
    <row r="8881" ht="15" customHeight="1" s="37">
      <c r="A8881" t="n">
        <v>5</v>
      </c>
      <c r="B8881" s="10" t="inlineStr">
        <is>
          <t>平日</t>
        </is>
      </c>
      <c r="C8881" s="10" t="inlineStr">
        <is>
          <t>本線</t>
        </is>
      </c>
      <c r="D8881" s="10" t="inlineStr">
        <is>
          <t>下り</t>
        </is>
      </c>
      <c r="E8881" t="inlineStr">
        <is>
          <t>1303</t>
        </is>
      </c>
      <c r="F8881" t="inlineStr">
        <is>
          <t>0112</t>
        </is>
      </c>
      <c r="G8881" s="10" t="inlineStr">
        <is>
          <t>有栖川</t>
        </is>
      </c>
      <c r="H8881" s="10" t="inlineStr">
        <is>
          <t>発</t>
        </is>
      </c>
      <c r="J8881" s="10" t="inlineStr">
        <is>
          <t>営業</t>
        </is>
      </c>
      <c r="L8881" t="inlineStr">
        <is>
          <t>13:30:50</t>
        </is>
      </c>
      <c r="M8881" t="inlineStr">
        <is>
          <t>13:31:15</t>
        </is>
      </c>
    </row>
    <row r="8882" ht="15" customHeight="1" s="37">
      <c r="A8882" t="n">
        <v>5</v>
      </c>
      <c r="B8882" s="10" t="inlineStr">
        <is>
          <t>平日</t>
        </is>
      </c>
      <c r="C8882" s="10" t="inlineStr">
        <is>
          <t>本線</t>
        </is>
      </c>
      <c r="D8882" s="10" t="inlineStr">
        <is>
          <t>下り</t>
        </is>
      </c>
      <c r="E8882" t="inlineStr">
        <is>
          <t>1303</t>
        </is>
      </c>
      <c r="F8882" t="inlineStr">
        <is>
          <t>0112</t>
        </is>
      </c>
      <c r="G8882" s="10" t="inlineStr">
        <is>
          <t>車折</t>
        </is>
      </c>
      <c r="H8882" s="10" t="inlineStr">
        <is>
          <t>発</t>
        </is>
      </c>
      <c r="J8882" s="10" t="inlineStr">
        <is>
          <t>営業</t>
        </is>
      </c>
      <c r="L8882" t="inlineStr">
        <is>
          <t>13:32:40</t>
        </is>
      </c>
      <c r="M8882" t="inlineStr">
        <is>
          <t>13:33:05</t>
        </is>
      </c>
    </row>
    <row r="8883" ht="15" customHeight="1" s="37">
      <c r="A8883" t="n">
        <v>5</v>
      </c>
      <c r="B8883" s="10" t="inlineStr">
        <is>
          <t>平日</t>
        </is>
      </c>
      <c r="C8883" s="10" t="inlineStr">
        <is>
          <t>本線</t>
        </is>
      </c>
      <c r="D8883" s="10" t="inlineStr">
        <is>
          <t>下り</t>
        </is>
      </c>
      <c r="E8883" t="inlineStr">
        <is>
          <t>1303</t>
        </is>
      </c>
      <c r="F8883" t="inlineStr">
        <is>
          <t>0112</t>
        </is>
      </c>
      <c r="G8883" s="10" t="inlineStr">
        <is>
          <t>鹿王院</t>
        </is>
      </c>
      <c r="H8883" s="10" t="inlineStr">
        <is>
          <t>発</t>
        </is>
      </c>
      <c r="J8883" s="10" t="inlineStr">
        <is>
          <t>営業</t>
        </is>
      </c>
      <c r="L8883" t="inlineStr">
        <is>
          <t>13:34:00</t>
        </is>
      </c>
      <c r="M8883" t="inlineStr">
        <is>
          <t>13:34:25</t>
        </is>
      </c>
    </row>
    <row r="8884" ht="15" customHeight="1" s="37">
      <c r="A8884" t="n">
        <v>5</v>
      </c>
      <c r="B8884" s="10" t="inlineStr">
        <is>
          <t>平日</t>
        </is>
      </c>
      <c r="C8884" s="10" t="inlineStr">
        <is>
          <t>本線</t>
        </is>
      </c>
      <c r="D8884" s="10" t="inlineStr">
        <is>
          <t>下り</t>
        </is>
      </c>
      <c r="E8884" t="inlineStr">
        <is>
          <t>1303</t>
        </is>
      </c>
      <c r="F8884" t="inlineStr">
        <is>
          <t>0112</t>
        </is>
      </c>
      <c r="G8884" s="10" t="inlineStr">
        <is>
          <t>嵯峨</t>
        </is>
      </c>
      <c r="H8884" s="10" t="inlineStr">
        <is>
          <t>発</t>
        </is>
      </c>
      <c r="J8884" s="10" t="inlineStr">
        <is>
          <t>営業</t>
        </is>
      </c>
      <c r="L8884" t="inlineStr">
        <is>
          <t>13:35:30</t>
        </is>
      </c>
      <c r="M8884" t="inlineStr">
        <is>
          <t>13:35:55</t>
        </is>
      </c>
    </row>
    <row r="8885" ht="15" customHeight="1" s="37">
      <c r="A8885" t="n">
        <v>5</v>
      </c>
      <c r="B8885" s="10" t="inlineStr">
        <is>
          <t>平日</t>
        </is>
      </c>
      <c r="C8885" s="10" t="inlineStr">
        <is>
          <t>本線</t>
        </is>
      </c>
      <c r="D8885" s="10" t="inlineStr">
        <is>
          <t>下り</t>
        </is>
      </c>
      <c r="E8885" t="inlineStr">
        <is>
          <t>1303</t>
        </is>
      </c>
      <c r="F8885" t="inlineStr">
        <is>
          <t>0112</t>
        </is>
      </c>
      <c r="G8885" s="10" t="inlineStr">
        <is>
          <t>嵐山</t>
        </is>
      </c>
      <c r="H8885" s="10" t="inlineStr">
        <is>
          <t>着</t>
        </is>
      </c>
      <c r="J8885" s="10" t="inlineStr">
        <is>
          <t>営業</t>
        </is>
      </c>
      <c r="L8885" t="inlineStr">
        <is>
          <t>13:37:00</t>
        </is>
      </c>
      <c r="Q8885" t="inlineStr">
        <is>
          <t>1</t>
        </is>
      </c>
    </row>
    <row r="8886" ht="15" customHeight="1" s="37">
      <c r="A8886" t="n">
        <v>5</v>
      </c>
      <c r="B8886" s="10" t="inlineStr">
        <is>
          <t>平日</t>
        </is>
      </c>
      <c r="C8886" s="10" t="inlineStr">
        <is>
          <t>本線</t>
        </is>
      </c>
      <c r="D8886" s="10" t="inlineStr">
        <is>
          <t>上り</t>
        </is>
      </c>
      <c r="E8886" t="inlineStr">
        <is>
          <t>1310</t>
        </is>
      </c>
      <c r="F8886" t="inlineStr">
        <is>
          <t>0211</t>
        </is>
      </c>
      <c r="G8886" s="10" t="inlineStr">
        <is>
          <t>嵐山</t>
        </is>
      </c>
      <c r="H8886" s="10" t="inlineStr">
        <is>
          <t>発</t>
        </is>
      </c>
      <c r="J8886" s="10" t="inlineStr">
        <is>
          <t>営業</t>
        </is>
      </c>
      <c r="M8886" t="inlineStr">
        <is>
          <t>13:43:00</t>
        </is>
      </c>
      <c r="Q8886" t="inlineStr">
        <is>
          <t>1</t>
        </is>
      </c>
    </row>
    <row r="8887" ht="15" customHeight="1" s="37">
      <c r="A8887" t="n">
        <v>5</v>
      </c>
      <c r="B8887" s="10" t="inlineStr">
        <is>
          <t>平日</t>
        </is>
      </c>
      <c r="C8887" s="10" t="inlineStr">
        <is>
          <t>本線</t>
        </is>
      </c>
      <c r="D8887" s="10" t="inlineStr">
        <is>
          <t>上り</t>
        </is>
      </c>
      <c r="E8887" t="inlineStr">
        <is>
          <t>1310</t>
        </is>
      </c>
      <c r="F8887" t="inlineStr">
        <is>
          <t>0211</t>
        </is>
      </c>
      <c r="G8887" s="10" t="inlineStr">
        <is>
          <t>嵯峨</t>
        </is>
      </c>
      <c r="H8887" s="10" t="inlineStr">
        <is>
          <t>発</t>
        </is>
      </c>
      <c r="J8887" s="10" t="inlineStr">
        <is>
          <t>営業</t>
        </is>
      </c>
      <c r="L8887" t="inlineStr">
        <is>
          <t>13:43:55</t>
        </is>
      </c>
      <c r="M8887" t="inlineStr">
        <is>
          <t>13:44:20</t>
        </is>
      </c>
    </row>
    <row r="8888" ht="15" customHeight="1" s="37">
      <c r="A8888" t="n">
        <v>5</v>
      </c>
      <c r="B8888" s="10" t="inlineStr">
        <is>
          <t>平日</t>
        </is>
      </c>
      <c r="C8888" s="10" t="inlineStr">
        <is>
          <t>本線</t>
        </is>
      </c>
      <c r="D8888" s="10" t="inlineStr">
        <is>
          <t>上り</t>
        </is>
      </c>
      <c r="E8888" t="inlineStr">
        <is>
          <t>1310</t>
        </is>
      </c>
      <c r="F8888" t="inlineStr">
        <is>
          <t>0211</t>
        </is>
      </c>
      <c r="G8888" s="10" t="inlineStr">
        <is>
          <t>鹿王院</t>
        </is>
      </c>
      <c r="H8888" s="10" t="inlineStr">
        <is>
          <t>発</t>
        </is>
      </c>
      <c r="J8888" s="10" t="inlineStr">
        <is>
          <t>営業</t>
        </is>
      </c>
      <c r="L8888" t="inlineStr">
        <is>
          <t>13:45:25</t>
        </is>
      </c>
      <c r="M8888" t="inlineStr">
        <is>
          <t>13:45:45</t>
        </is>
      </c>
    </row>
    <row r="8889" ht="15" customHeight="1" s="37">
      <c r="A8889" t="n">
        <v>5</v>
      </c>
      <c r="B8889" s="10" t="inlineStr">
        <is>
          <t>平日</t>
        </is>
      </c>
      <c r="C8889" s="10" t="inlineStr">
        <is>
          <t>本線</t>
        </is>
      </c>
      <c r="D8889" s="10" t="inlineStr">
        <is>
          <t>上り</t>
        </is>
      </c>
      <c r="E8889" t="inlineStr">
        <is>
          <t>1310</t>
        </is>
      </c>
      <c r="F8889" t="inlineStr">
        <is>
          <t>0211</t>
        </is>
      </c>
      <c r="G8889" s="10" t="inlineStr">
        <is>
          <t>車折</t>
        </is>
      </c>
      <c r="H8889" s="10" t="inlineStr">
        <is>
          <t>発</t>
        </is>
      </c>
      <c r="J8889" s="10" t="inlineStr">
        <is>
          <t>営業</t>
        </is>
      </c>
      <c r="L8889" t="inlineStr">
        <is>
          <t>13:46:40</t>
        </is>
      </c>
      <c r="M8889" t="inlineStr">
        <is>
          <t>13:47:10</t>
        </is>
      </c>
    </row>
    <row r="8890" ht="15" customHeight="1" s="37">
      <c r="A8890" t="n">
        <v>5</v>
      </c>
      <c r="B8890" s="10" t="inlineStr">
        <is>
          <t>平日</t>
        </is>
      </c>
      <c r="C8890" s="10" t="inlineStr">
        <is>
          <t>本線</t>
        </is>
      </c>
      <c r="D8890" s="10" t="inlineStr">
        <is>
          <t>上り</t>
        </is>
      </c>
      <c r="E8890" t="inlineStr">
        <is>
          <t>1310</t>
        </is>
      </c>
      <c r="F8890" t="inlineStr">
        <is>
          <t>0211</t>
        </is>
      </c>
      <c r="G8890" s="10" t="inlineStr">
        <is>
          <t>有栖川</t>
        </is>
      </c>
      <c r="H8890" s="10" t="inlineStr">
        <is>
          <t>発</t>
        </is>
      </c>
      <c r="J8890" s="10" t="inlineStr">
        <is>
          <t>営業</t>
        </is>
      </c>
      <c r="L8890" t="inlineStr">
        <is>
          <t>13:48:35</t>
        </is>
      </c>
      <c r="M8890" t="inlineStr">
        <is>
          <t>13:48:55</t>
        </is>
      </c>
    </row>
    <row r="8891" ht="15" customHeight="1" s="37">
      <c r="A8891" t="n">
        <v>5</v>
      </c>
      <c r="B8891" s="10" t="inlineStr">
        <is>
          <t>平日</t>
        </is>
      </c>
      <c r="C8891" s="10" t="inlineStr">
        <is>
          <t>本線</t>
        </is>
      </c>
      <c r="D8891" s="10" t="inlineStr">
        <is>
          <t>上り</t>
        </is>
      </c>
      <c r="E8891" t="inlineStr">
        <is>
          <t>1310</t>
        </is>
      </c>
      <c r="F8891" t="inlineStr">
        <is>
          <t>0211</t>
        </is>
      </c>
      <c r="G8891" s="10" t="inlineStr">
        <is>
          <t>帷子ノ辻</t>
        </is>
      </c>
      <c r="H8891" s="10" t="inlineStr">
        <is>
          <t>発</t>
        </is>
      </c>
      <c r="J8891" s="10" t="inlineStr">
        <is>
          <t>営業</t>
        </is>
      </c>
      <c r="L8891" t="inlineStr">
        <is>
          <t>13:50:10</t>
        </is>
      </c>
      <c r="M8891" t="inlineStr">
        <is>
          <t>13:51:15</t>
        </is>
      </c>
    </row>
    <row r="8892" ht="15" customHeight="1" s="37">
      <c r="A8892" t="n">
        <v>5</v>
      </c>
      <c r="B8892" s="10" t="inlineStr">
        <is>
          <t>平日</t>
        </is>
      </c>
      <c r="C8892" s="10" t="inlineStr">
        <is>
          <t>本線</t>
        </is>
      </c>
      <c r="D8892" s="10" t="inlineStr">
        <is>
          <t>上り</t>
        </is>
      </c>
      <c r="E8892" t="inlineStr">
        <is>
          <t>1310</t>
        </is>
      </c>
      <c r="F8892" t="inlineStr">
        <is>
          <t>0211</t>
        </is>
      </c>
      <c r="G8892" s="10" t="inlineStr">
        <is>
          <t>太秦広隆寺</t>
        </is>
      </c>
      <c r="H8892" s="10" t="inlineStr">
        <is>
          <t>発</t>
        </is>
      </c>
      <c r="J8892" s="10" t="inlineStr">
        <is>
          <t>営業</t>
        </is>
      </c>
      <c r="L8892" t="inlineStr">
        <is>
          <t>13:53:25</t>
        </is>
      </c>
      <c r="M8892" t="inlineStr">
        <is>
          <t>13:53:45</t>
        </is>
      </c>
    </row>
    <row r="8893" ht="15" customHeight="1" s="37">
      <c r="A8893" t="n">
        <v>5</v>
      </c>
      <c r="B8893" s="10" t="inlineStr">
        <is>
          <t>平日</t>
        </is>
      </c>
      <c r="C8893" s="10" t="inlineStr">
        <is>
          <t>本線</t>
        </is>
      </c>
      <c r="D8893" s="10" t="inlineStr">
        <is>
          <t>上り</t>
        </is>
      </c>
      <c r="E8893" t="inlineStr">
        <is>
          <t>1310</t>
        </is>
      </c>
      <c r="F8893" t="inlineStr">
        <is>
          <t>0211</t>
        </is>
      </c>
      <c r="G8893" s="10" t="inlineStr">
        <is>
          <t>蚕ノ社</t>
        </is>
      </c>
      <c r="H8893" s="10" t="inlineStr">
        <is>
          <t>発</t>
        </is>
      </c>
      <c r="J8893" s="10" t="inlineStr">
        <is>
          <t>営業</t>
        </is>
      </c>
      <c r="L8893" t="inlineStr">
        <is>
          <t>13:55:00</t>
        </is>
      </c>
      <c r="M8893" t="inlineStr">
        <is>
          <t>13:55:20</t>
        </is>
      </c>
    </row>
    <row r="8894" ht="15" customHeight="1" s="37">
      <c r="A8894" t="n">
        <v>5</v>
      </c>
      <c r="B8894" s="10" t="inlineStr">
        <is>
          <t>平日</t>
        </is>
      </c>
      <c r="C8894" s="10" t="inlineStr">
        <is>
          <t>本線</t>
        </is>
      </c>
      <c r="D8894" s="10" t="inlineStr">
        <is>
          <t>上り</t>
        </is>
      </c>
      <c r="E8894" t="inlineStr">
        <is>
          <t>1310</t>
        </is>
      </c>
      <c r="F8894" t="inlineStr">
        <is>
          <t>0211</t>
        </is>
      </c>
      <c r="G8894" s="10" t="inlineStr">
        <is>
          <t>天神川</t>
        </is>
      </c>
      <c r="H8894" s="10" t="inlineStr">
        <is>
          <t>発</t>
        </is>
      </c>
      <c r="J8894" s="10" t="inlineStr">
        <is>
          <t>営業</t>
        </is>
      </c>
      <c r="L8894" t="inlineStr">
        <is>
          <t>13:56:05</t>
        </is>
      </c>
      <c r="M8894" t="inlineStr">
        <is>
          <t>13:56:50</t>
        </is>
      </c>
    </row>
    <row r="8895" ht="15" customHeight="1" s="37">
      <c r="A8895" t="n">
        <v>5</v>
      </c>
      <c r="B8895" s="10" t="inlineStr">
        <is>
          <t>平日</t>
        </is>
      </c>
      <c r="C8895" s="10" t="inlineStr">
        <is>
          <t>本線</t>
        </is>
      </c>
      <c r="D8895" s="10" t="inlineStr">
        <is>
          <t>上り</t>
        </is>
      </c>
      <c r="E8895" t="inlineStr">
        <is>
          <t>1310</t>
        </is>
      </c>
      <c r="F8895" t="inlineStr">
        <is>
          <t>0211</t>
        </is>
      </c>
      <c r="G8895" s="10" t="inlineStr">
        <is>
          <t>山ノ内</t>
        </is>
      </c>
      <c r="H8895" s="10" t="inlineStr">
        <is>
          <t>発</t>
        </is>
      </c>
      <c r="J8895" s="10" t="inlineStr">
        <is>
          <t>営業</t>
        </is>
      </c>
      <c r="L8895" t="inlineStr">
        <is>
          <t>13:58:40</t>
        </is>
      </c>
      <c r="M8895" t="inlineStr">
        <is>
          <t>13:59:05</t>
        </is>
      </c>
    </row>
    <row r="8896" ht="15" customHeight="1" s="37">
      <c r="A8896" t="n">
        <v>5</v>
      </c>
      <c r="B8896" s="10" t="inlineStr">
        <is>
          <t>平日</t>
        </is>
      </c>
      <c r="C8896" s="10" t="inlineStr">
        <is>
          <t>本線</t>
        </is>
      </c>
      <c r="D8896" s="10" t="inlineStr">
        <is>
          <t>上り</t>
        </is>
      </c>
      <c r="E8896" t="inlineStr">
        <is>
          <t>1310</t>
        </is>
      </c>
      <c r="F8896" t="inlineStr">
        <is>
          <t>0211</t>
        </is>
      </c>
      <c r="G8896" s="10" t="inlineStr">
        <is>
          <t>西大路三条</t>
        </is>
      </c>
      <c r="H8896" s="10" t="inlineStr">
        <is>
          <t>発</t>
        </is>
      </c>
      <c r="J8896" s="10" t="inlineStr">
        <is>
          <t>営業</t>
        </is>
      </c>
      <c r="L8896" t="inlineStr">
        <is>
          <t>14:00:55</t>
        </is>
      </c>
      <c r="M8896" t="inlineStr">
        <is>
          <t>14:01:15</t>
        </is>
      </c>
    </row>
    <row r="8897" ht="15" customHeight="1" s="37">
      <c r="A8897" t="n">
        <v>5</v>
      </c>
      <c r="B8897" s="10" t="inlineStr">
        <is>
          <t>平日</t>
        </is>
      </c>
      <c r="C8897" s="10" t="inlineStr">
        <is>
          <t>本線</t>
        </is>
      </c>
      <c r="D8897" s="10" t="inlineStr">
        <is>
          <t>上り</t>
        </is>
      </c>
      <c r="E8897" t="inlineStr">
        <is>
          <t>1310</t>
        </is>
      </c>
      <c r="F8897" t="inlineStr">
        <is>
          <t>0211</t>
        </is>
      </c>
      <c r="G8897" s="10" t="inlineStr">
        <is>
          <t>西院</t>
        </is>
      </c>
      <c r="H8897" s="10" t="inlineStr">
        <is>
          <t>発</t>
        </is>
      </c>
      <c r="J8897" s="10" t="inlineStr">
        <is>
          <t>営業</t>
        </is>
      </c>
      <c r="L8897" t="inlineStr">
        <is>
          <t>14:03:10</t>
        </is>
      </c>
      <c r="M8897" t="inlineStr">
        <is>
          <t>14:04:05</t>
        </is>
      </c>
    </row>
    <row r="8898" ht="15" customHeight="1" s="37">
      <c r="A8898" t="n">
        <v>5</v>
      </c>
      <c r="B8898" s="10" t="inlineStr">
        <is>
          <t>平日</t>
        </is>
      </c>
      <c r="C8898" s="10" t="inlineStr">
        <is>
          <t>本線</t>
        </is>
      </c>
      <c r="D8898" s="10" t="inlineStr">
        <is>
          <t>上り</t>
        </is>
      </c>
      <c r="E8898" t="inlineStr">
        <is>
          <t>1310</t>
        </is>
      </c>
      <c r="F8898" t="inlineStr">
        <is>
          <t>0211</t>
        </is>
      </c>
      <c r="G8898" s="10" t="inlineStr">
        <is>
          <t>四条大宮</t>
        </is>
      </c>
      <c r="H8898" s="10" t="inlineStr">
        <is>
          <t>着</t>
        </is>
      </c>
      <c r="J8898" s="10" t="inlineStr">
        <is>
          <t>営業</t>
        </is>
      </c>
      <c r="L8898" t="inlineStr">
        <is>
          <t>14:07:00</t>
        </is>
      </c>
      <c r="Q8898" t="inlineStr">
        <is>
          <t>1</t>
        </is>
      </c>
    </row>
    <row r="8899" ht="15" customHeight="1" s="37">
      <c r="A8899" t="n">
        <v>5</v>
      </c>
      <c r="B8899" s="10" t="inlineStr">
        <is>
          <t>平日</t>
        </is>
      </c>
      <c r="C8899" s="10" t="inlineStr">
        <is>
          <t>本線</t>
        </is>
      </c>
      <c r="D8899" s="10" t="inlineStr">
        <is>
          <t>下り</t>
        </is>
      </c>
      <c r="E8899" t="inlineStr">
        <is>
          <t>1403</t>
        </is>
      </c>
      <c r="F8899" t="inlineStr">
        <is>
          <t>0112</t>
        </is>
      </c>
      <c r="G8899" s="10" t="inlineStr">
        <is>
          <t>四条大宮</t>
        </is>
      </c>
      <c r="H8899" s="10" t="inlineStr">
        <is>
          <t>発</t>
        </is>
      </c>
      <c r="J8899" s="10" t="inlineStr">
        <is>
          <t>営業</t>
        </is>
      </c>
      <c r="M8899" t="inlineStr">
        <is>
          <t>14:13:00</t>
        </is>
      </c>
      <c r="Q8899" t="inlineStr">
        <is>
          <t>1</t>
        </is>
      </c>
    </row>
    <row r="8900" ht="15" customHeight="1" s="37">
      <c r="A8900" t="n">
        <v>5</v>
      </c>
      <c r="B8900" s="10" t="inlineStr">
        <is>
          <t>平日</t>
        </is>
      </c>
      <c r="C8900" s="10" t="inlineStr">
        <is>
          <t>本線</t>
        </is>
      </c>
      <c r="D8900" s="10" t="inlineStr">
        <is>
          <t>下り</t>
        </is>
      </c>
      <c r="E8900" t="inlineStr">
        <is>
          <t>1403</t>
        </is>
      </c>
      <c r="F8900" t="inlineStr">
        <is>
          <t>0112</t>
        </is>
      </c>
      <c r="G8900" s="10" t="inlineStr">
        <is>
          <t>西院</t>
        </is>
      </c>
      <c r="H8900" s="10" t="inlineStr">
        <is>
          <t>発</t>
        </is>
      </c>
      <c r="J8900" s="10" t="inlineStr">
        <is>
          <t>営業</t>
        </is>
      </c>
      <c r="L8900" t="inlineStr">
        <is>
          <t>14:15:50</t>
        </is>
      </c>
      <c r="M8900" t="inlineStr">
        <is>
          <t>14:16:20</t>
        </is>
      </c>
    </row>
    <row r="8901" ht="15" customHeight="1" s="37">
      <c r="A8901" t="n">
        <v>5</v>
      </c>
      <c r="B8901" s="10" t="inlineStr">
        <is>
          <t>平日</t>
        </is>
      </c>
      <c r="C8901" s="10" t="inlineStr">
        <is>
          <t>本線</t>
        </is>
      </c>
      <c r="D8901" s="10" t="inlineStr">
        <is>
          <t>下り</t>
        </is>
      </c>
      <c r="E8901" t="inlineStr">
        <is>
          <t>1403</t>
        </is>
      </c>
      <c r="F8901" t="inlineStr">
        <is>
          <t>0112</t>
        </is>
      </c>
      <c r="G8901" s="10" t="inlineStr">
        <is>
          <t>西大路三条</t>
        </is>
      </c>
      <c r="H8901" s="10" t="inlineStr">
        <is>
          <t>発</t>
        </is>
      </c>
      <c r="J8901" s="10" t="inlineStr">
        <is>
          <t>営業</t>
        </is>
      </c>
      <c r="L8901" t="inlineStr">
        <is>
          <t>14:18:10</t>
        </is>
      </c>
      <c r="M8901" t="inlineStr">
        <is>
          <t>14:18:30</t>
        </is>
      </c>
    </row>
    <row r="8902" ht="15" customHeight="1" s="37">
      <c r="A8902" t="n">
        <v>5</v>
      </c>
      <c r="B8902" s="10" t="inlineStr">
        <is>
          <t>平日</t>
        </is>
      </c>
      <c r="C8902" s="10" t="inlineStr">
        <is>
          <t>本線</t>
        </is>
      </c>
      <c r="D8902" s="10" t="inlineStr">
        <is>
          <t>下り</t>
        </is>
      </c>
      <c r="E8902" t="inlineStr">
        <is>
          <t>1403</t>
        </is>
      </c>
      <c r="F8902" t="inlineStr">
        <is>
          <t>0112</t>
        </is>
      </c>
      <c r="G8902" s="10" t="inlineStr">
        <is>
          <t>山ノ内</t>
        </is>
      </c>
      <c r="H8902" s="10" t="inlineStr">
        <is>
          <t>発</t>
        </is>
      </c>
      <c r="J8902" s="10" t="inlineStr">
        <is>
          <t>営業</t>
        </is>
      </c>
      <c r="L8902" t="inlineStr">
        <is>
          <t>14:20:25</t>
        </is>
      </c>
      <c r="M8902" t="inlineStr">
        <is>
          <t>14:20:50</t>
        </is>
      </c>
    </row>
    <row r="8903" ht="15" customHeight="1" s="37">
      <c r="A8903" t="n">
        <v>5</v>
      </c>
      <c r="B8903" s="10" t="inlineStr">
        <is>
          <t>平日</t>
        </is>
      </c>
      <c r="C8903" s="10" t="inlineStr">
        <is>
          <t>本線</t>
        </is>
      </c>
      <c r="D8903" s="10" t="inlineStr">
        <is>
          <t>下り</t>
        </is>
      </c>
      <c r="E8903" t="inlineStr">
        <is>
          <t>1403</t>
        </is>
      </c>
      <c r="F8903" t="inlineStr">
        <is>
          <t>0112</t>
        </is>
      </c>
      <c r="G8903" s="10" t="inlineStr">
        <is>
          <t>天神川</t>
        </is>
      </c>
      <c r="H8903" s="10" t="inlineStr">
        <is>
          <t>発</t>
        </is>
      </c>
      <c r="J8903" s="10" t="inlineStr">
        <is>
          <t>営業</t>
        </is>
      </c>
      <c r="L8903" t="inlineStr">
        <is>
          <t>14:22:50</t>
        </is>
      </c>
      <c r="M8903" t="inlineStr">
        <is>
          <t>14:23:30</t>
        </is>
      </c>
    </row>
    <row r="8904" ht="15" customHeight="1" s="37">
      <c r="A8904" t="n">
        <v>5</v>
      </c>
      <c r="B8904" s="10" t="inlineStr">
        <is>
          <t>平日</t>
        </is>
      </c>
      <c r="C8904" s="10" t="inlineStr">
        <is>
          <t>本線</t>
        </is>
      </c>
      <c r="D8904" s="10" t="inlineStr">
        <is>
          <t>下り</t>
        </is>
      </c>
      <c r="E8904" t="inlineStr">
        <is>
          <t>1403</t>
        </is>
      </c>
      <c r="F8904" t="inlineStr">
        <is>
          <t>0112</t>
        </is>
      </c>
      <c r="G8904" s="10" t="inlineStr">
        <is>
          <t>蚕ノ社</t>
        </is>
      </c>
      <c r="H8904" s="10" t="inlineStr">
        <is>
          <t>発</t>
        </is>
      </c>
      <c r="J8904" s="10" t="inlineStr">
        <is>
          <t>営業</t>
        </is>
      </c>
      <c r="L8904" t="inlineStr">
        <is>
          <t>14:24:20</t>
        </is>
      </c>
      <c r="M8904" t="inlineStr">
        <is>
          <t>14:24:40</t>
        </is>
      </c>
    </row>
    <row r="8905" ht="15" customHeight="1" s="37">
      <c r="A8905" t="n">
        <v>5</v>
      </c>
      <c r="B8905" s="10" t="inlineStr">
        <is>
          <t>平日</t>
        </is>
      </c>
      <c r="C8905" s="10" t="inlineStr">
        <is>
          <t>本線</t>
        </is>
      </c>
      <c r="D8905" s="10" t="inlineStr">
        <is>
          <t>下り</t>
        </is>
      </c>
      <c r="E8905" t="inlineStr">
        <is>
          <t>1403</t>
        </is>
      </c>
      <c r="F8905" t="inlineStr">
        <is>
          <t>0112</t>
        </is>
      </c>
      <c r="G8905" s="10" t="inlineStr">
        <is>
          <t>太秦広隆寺</t>
        </is>
      </c>
      <c r="H8905" s="10" t="inlineStr">
        <is>
          <t>発</t>
        </is>
      </c>
      <c r="J8905" s="10" t="inlineStr">
        <is>
          <t>営業</t>
        </is>
      </c>
      <c r="L8905" t="inlineStr">
        <is>
          <t>14:26:00</t>
        </is>
      </c>
      <c r="M8905" t="inlineStr">
        <is>
          <t>14:26:20</t>
        </is>
      </c>
    </row>
    <row r="8906" ht="16.5" customHeight="1" s="37">
      <c r="A8906" t="n">
        <v>5</v>
      </c>
      <c r="B8906" s="10" t="inlineStr">
        <is>
          <t>平日</t>
        </is>
      </c>
      <c r="C8906" s="10" t="inlineStr">
        <is>
          <t>本線</t>
        </is>
      </c>
      <c r="D8906" s="10" t="inlineStr">
        <is>
          <t>下り</t>
        </is>
      </c>
      <c r="E8906" t="inlineStr">
        <is>
          <t>1403</t>
        </is>
      </c>
      <c r="F8906" t="inlineStr">
        <is>
          <t>0112</t>
        </is>
      </c>
      <c r="G8906" s="10" t="inlineStr">
        <is>
          <t>帷子ノ辻</t>
        </is>
      </c>
      <c r="H8906" s="10" t="inlineStr">
        <is>
          <t>発</t>
        </is>
      </c>
      <c r="J8906" s="10" t="inlineStr">
        <is>
          <t>営業</t>
        </is>
      </c>
      <c r="L8906" t="inlineStr">
        <is>
          <t>14:28:20</t>
        </is>
      </c>
      <c r="M8906" t="inlineStr">
        <is>
          <t>14:29:40</t>
        </is>
      </c>
    </row>
    <row r="8907" ht="16.5" customHeight="1" s="37">
      <c r="A8907" t="n">
        <v>5</v>
      </c>
      <c r="B8907" s="10" t="inlineStr">
        <is>
          <t>平日</t>
        </is>
      </c>
      <c r="C8907" s="10" t="inlineStr">
        <is>
          <t>本線</t>
        </is>
      </c>
      <c r="D8907" s="10" t="inlineStr">
        <is>
          <t>下り</t>
        </is>
      </c>
      <c r="E8907" t="inlineStr">
        <is>
          <t>1403</t>
        </is>
      </c>
      <c r="F8907" t="inlineStr">
        <is>
          <t>0112</t>
        </is>
      </c>
      <c r="G8907" s="10" t="inlineStr">
        <is>
          <t>有栖川</t>
        </is>
      </c>
      <c r="H8907" s="10" t="inlineStr">
        <is>
          <t>発</t>
        </is>
      </c>
      <c r="J8907" s="10" t="inlineStr">
        <is>
          <t>営業</t>
        </is>
      </c>
      <c r="L8907" t="inlineStr">
        <is>
          <t>14:30:50</t>
        </is>
      </c>
      <c r="M8907" t="inlineStr">
        <is>
          <t>14:31:15</t>
        </is>
      </c>
    </row>
    <row r="8908" ht="16.5" customHeight="1" s="37">
      <c r="A8908" t="n">
        <v>5</v>
      </c>
      <c r="B8908" s="10" t="inlineStr">
        <is>
          <t>平日</t>
        </is>
      </c>
      <c r="C8908" s="10" t="inlineStr">
        <is>
          <t>本線</t>
        </is>
      </c>
      <c r="D8908" s="10" t="inlineStr">
        <is>
          <t>下り</t>
        </is>
      </c>
      <c r="E8908" t="inlineStr">
        <is>
          <t>1403</t>
        </is>
      </c>
      <c r="F8908" t="inlineStr">
        <is>
          <t>0112</t>
        </is>
      </c>
      <c r="G8908" s="10" t="inlineStr">
        <is>
          <t>車折</t>
        </is>
      </c>
      <c r="H8908" s="10" t="inlineStr">
        <is>
          <t>発</t>
        </is>
      </c>
      <c r="J8908" s="10" t="inlineStr">
        <is>
          <t>営業</t>
        </is>
      </c>
      <c r="L8908" t="inlineStr">
        <is>
          <t>14:32:40</t>
        </is>
      </c>
      <c r="M8908" t="inlineStr">
        <is>
          <t>14:33:05</t>
        </is>
      </c>
    </row>
    <row r="8909" ht="16.5" customHeight="1" s="37">
      <c r="A8909" t="n">
        <v>5</v>
      </c>
      <c r="B8909" s="10" t="inlineStr">
        <is>
          <t>平日</t>
        </is>
      </c>
      <c r="C8909" s="10" t="inlineStr">
        <is>
          <t>本線</t>
        </is>
      </c>
      <c r="D8909" s="10" t="inlineStr">
        <is>
          <t>下り</t>
        </is>
      </c>
      <c r="E8909" t="inlineStr">
        <is>
          <t>1403</t>
        </is>
      </c>
      <c r="F8909" t="inlineStr">
        <is>
          <t>0112</t>
        </is>
      </c>
      <c r="G8909" s="10" t="inlineStr">
        <is>
          <t>鹿王院</t>
        </is>
      </c>
      <c r="H8909" s="10" t="inlineStr">
        <is>
          <t>発</t>
        </is>
      </c>
      <c r="J8909" s="10" t="inlineStr">
        <is>
          <t>営業</t>
        </is>
      </c>
      <c r="L8909" t="inlineStr">
        <is>
          <t>14:34:00</t>
        </is>
      </c>
      <c r="M8909" t="inlineStr">
        <is>
          <t>14:34:25</t>
        </is>
      </c>
    </row>
    <row r="8910" ht="16.5" customHeight="1" s="37">
      <c r="A8910" t="n">
        <v>5</v>
      </c>
      <c r="B8910" s="10" t="inlineStr">
        <is>
          <t>平日</t>
        </is>
      </c>
      <c r="C8910" s="10" t="inlineStr">
        <is>
          <t>本線</t>
        </is>
      </c>
      <c r="D8910" s="10" t="inlineStr">
        <is>
          <t>下り</t>
        </is>
      </c>
      <c r="E8910" t="inlineStr">
        <is>
          <t>1403</t>
        </is>
      </c>
      <c r="F8910" t="inlineStr">
        <is>
          <t>0112</t>
        </is>
      </c>
      <c r="G8910" s="10" t="inlineStr">
        <is>
          <t>嵯峨</t>
        </is>
      </c>
      <c r="H8910" s="10" t="inlineStr">
        <is>
          <t>発</t>
        </is>
      </c>
      <c r="J8910" s="10" t="inlineStr">
        <is>
          <t>営業</t>
        </is>
      </c>
      <c r="L8910" t="inlineStr">
        <is>
          <t>14:35:30</t>
        </is>
      </c>
      <c r="M8910" t="inlineStr">
        <is>
          <t>14:35:55</t>
        </is>
      </c>
    </row>
    <row r="8911" ht="16.5" customHeight="1" s="37">
      <c r="A8911" t="n">
        <v>5</v>
      </c>
      <c r="B8911" s="10" t="inlineStr">
        <is>
          <t>平日</t>
        </is>
      </c>
      <c r="C8911" s="10" t="inlineStr">
        <is>
          <t>本線</t>
        </is>
      </c>
      <c r="D8911" s="10" t="inlineStr">
        <is>
          <t>下り</t>
        </is>
      </c>
      <c r="E8911" t="inlineStr">
        <is>
          <t>1403</t>
        </is>
      </c>
      <c r="F8911" t="inlineStr">
        <is>
          <t>0112</t>
        </is>
      </c>
      <c r="G8911" s="10" t="inlineStr">
        <is>
          <t>嵐山</t>
        </is>
      </c>
      <c r="H8911" s="10" t="inlineStr">
        <is>
          <t>着</t>
        </is>
      </c>
      <c r="J8911" s="10" t="inlineStr">
        <is>
          <t>営業</t>
        </is>
      </c>
      <c r="L8911" t="inlineStr">
        <is>
          <t>14:37:00</t>
        </is>
      </c>
      <c r="Q8911" t="inlineStr">
        <is>
          <t>1</t>
        </is>
      </c>
    </row>
    <row r="8912" ht="16.5" customHeight="1" s="37">
      <c r="A8912" t="n">
        <v>5</v>
      </c>
      <c r="B8912" s="10" t="inlineStr">
        <is>
          <t>平日</t>
        </is>
      </c>
      <c r="C8912" s="10" t="inlineStr">
        <is>
          <t>本線</t>
        </is>
      </c>
      <c r="D8912" s="10" t="inlineStr">
        <is>
          <t>上り</t>
        </is>
      </c>
      <c r="E8912" t="inlineStr">
        <is>
          <t>1410</t>
        </is>
      </c>
      <c r="F8912" t="inlineStr">
        <is>
          <t>0211</t>
        </is>
      </c>
      <c r="G8912" s="10" t="inlineStr">
        <is>
          <t>嵐山</t>
        </is>
      </c>
      <c r="H8912" s="10" t="inlineStr">
        <is>
          <t>発</t>
        </is>
      </c>
      <c r="J8912" s="10" t="inlineStr">
        <is>
          <t>営業</t>
        </is>
      </c>
      <c r="M8912" t="inlineStr">
        <is>
          <t>14:43:00</t>
        </is>
      </c>
      <c r="Q8912" t="inlineStr">
        <is>
          <t>1</t>
        </is>
      </c>
    </row>
    <row r="8913" ht="16.5" customHeight="1" s="37">
      <c r="A8913" t="n">
        <v>5</v>
      </c>
      <c r="B8913" s="10" t="inlineStr">
        <is>
          <t>平日</t>
        </is>
      </c>
      <c r="C8913" s="10" t="inlineStr">
        <is>
          <t>本線</t>
        </is>
      </c>
      <c r="D8913" s="10" t="inlineStr">
        <is>
          <t>上り</t>
        </is>
      </c>
      <c r="E8913" t="inlineStr">
        <is>
          <t>1410</t>
        </is>
      </c>
      <c r="F8913" t="inlineStr">
        <is>
          <t>0211</t>
        </is>
      </c>
      <c r="G8913" s="10" t="inlineStr">
        <is>
          <t>嵯峨</t>
        </is>
      </c>
      <c r="H8913" s="10" t="inlineStr">
        <is>
          <t>発</t>
        </is>
      </c>
      <c r="J8913" s="10" t="inlineStr">
        <is>
          <t>営業</t>
        </is>
      </c>
      <c r="L8913" t="inlineStr">
        <is>
          <t>14:43:55</t>
        </is>
      </c>
      <c r="M8913" t="inlineStr">
        <is>
          <t>14:44:20</t>
        </is>
      </c>
    </row>
    <row r="8914" ht="16.5" customHeight="1" s="37">
      <c r="A8914" t="n">
        <v>5</v>
      </c>
      <c r="B8914" s="10" t="inlineStr">
        <is>
          <t>平日</t>
        </is>
      </c>
      <c r="C8914" s="10" t="inlineStr">
        <is>
          <t>本線</t>
        </is>
      </c>
      <c r="D8914" s="10" t="inlineStr">
        <is>
          <t>上り</t>
        </is>
      </c>
      <c r="E8914" t="inlineStr">
        <is>
          <t>1410</t>
        </is>
      </c>
      <c r="F8914" t="inlineStr">
        <is>
          <t>0211</t>
        </is>
      </c>
      <c r="G8914" s="10" t="inlineStr">
        <is>
          <t>鹿王院</t>
        </is>
      </c>
      <c r="H8914" s="10" t="inlineStr">
        <is>
          <t>発</t>
        </is>
      </c>
      <c r="J8914" s="10" t="inlineStr">
        <is>
          <t>営業</t>
        </is>
      </c>
      <c r="L8914" t="inlineStr">
        <is>
          <t>14:45:25</t>
        </is>
      </c>
      <c r="M8914" t="inlineStr">
        <is>
          <t>14:45:45</t>
        </is>
      </c>
    </row>
    <row r="8915" ht="16.5" customHeight="1" s="37">
      <c r="A8915" t="n">
        <v>5</v>
      </c>
      <c r="B8915" s="10" t="inlineStr">
        <is>
          <t>平日</t>
        </is>
      </c>
      <c r="C8915" s="10" t="inlineStr">
        <is>
          <t>本線</t>
        </is>
      </c>
      <c r="D8915" s="10" t="inlineStr">
        <is>
          <t>上り</t>
        </is>
      </c>
      <c r="E8915" t="inlineStr">
        <is>
          <t>1410</t>
        </is>
      </c>
      <c r="F8915" t="inlineStr">
        <is>
          <t>0211</t>
        </is>
      </c>
      <c r="G8915" s="10" t="inlineStr">
        <is>
          <t>車折</t>
        </is>
      </c>
      <c r="H8915" s="10" t="inlineStr">
        <is>
          <t>発</t>
        </is>
      </c>
      <c r="J8915" s="10" t="inlineStr">
        <is>
          <t>営業</t>
        </is>
      </c>
      <c r="L8915" t="inlineStr">
        <is>
          <t>14:46:40</t>
        </is>
      </c>
      <c r="M8915" t="inlineStr">
        <is>
          <t>14:47:10</t>
        </is>
      </c>
    </row>
    <row r="8916" ht="16.5" customHeight="1" s="37">
      <c r="A8916" t="n">
        <v>5</v>
      </c>
      <c r="B8916" s="10" t="inlineStr">
        <is>
          <t>平日</t>
        </is>
      </c>
      <c r="C8916" s="10" t="inlineStr">
        <is>
          <t>本線</t>
        </is>
      </c>
      <c r="D8916" s="10" t="inlineStr">
        <is>
          <t>上り</t>
        </is>
      </c>
      <c r="E8916" t="inlineStr">
        <is>
          <t>1410</t>
        </is>
      </c>
      <c r="F8916" t="inlineStr">
        <is>
          <t>0211</t>
        </is>
      </c>
      <c r="G8916" s="10" t="inlineStr">
        <is>
          <t>有栖川</t>
        </is>
      </c>
      <c r="H8916" s="10" t="inlineStr">
        <is>
          <t>発</t>
        </is>
      </c>
      <c r="J8916" s="10" t="inlineStr">
        <is>
          <t>営業</t>
        </is>
      </c>
      <c r="L8916" t="inlineStr">
        <is>
          <t>14:48:35</t>
        </is>
      </c>
      <c r="M8916" t="inlineStr">
        <is>
          <t>14:48:55</t>
        </is>
      </c>
    </row>
    <row r="8917" ht="16.5" customHeight="1" s="37">
      <c r="A8917" t="n">
        <v>5</v>
      </c>
      <c r="B8917" s="10" t="inlineStr">
        <is>
          <t>平日</t>
        </is>
      </c>
      <c r="C8917" s="10" t="inlineStr">
        <is>
          <t>本線</t>
        </is>
      </c>
      <c r="D8917" s="10" t="inlineStr">
        <is>
          <t>上り</t>
        </is>
      </c>
      <c r="E8917" t="inlineStr">
        <is>
          <t>1410</t>
        </is>
      </c>
      <c r="F8917" t="inlineStr">
        <is>
          <t>0211</t>
        </is>
      </c>
      <c r="G8917" s="10" t="inlineStr">
        <is>
          <t>帷子ノ辻</t>
        </is>
      </c>
      <c r="H8917" s="10" t="inlineStr">
        <is>
          <t>発</t>
        </is>
      </c>
      <c r="J8917" s="10" t="inlineStr">
        <is>
          <t>営業</t>
        </is>
      </c>
      <c r="L8917" t="inlineStr">
        <is>
          <t>14:50:10</t>
        </is>
      </c>
      <c r="M8917" t="inlineStr">
        <is>
          <t>14:51:15</t>
        </is>
      </c>
    </row>
    <row r="8918" ht="16.5" customHeight="1" s="37">
      <c r="A8918" t="n">
        <v>5</v>
      </c>
      <c r="B8918" s="10" t="inlineStr">
        <is>
          <t>平日</t>
        </is>
      </c>
      <c r="C8918" s="10" t="inlineStr">
        <is>
          <t>本線</t>
        </is>
      </c>
      <c r="D8918" s="10" t="inlineStr">
        <is>
          <t>上り</t>
        </is>
      </c>
      <c r="E8918" t="inlineStr">
        <is>
          <t>1410</t>
        </is>
      </c>
      <c r="F8918" t="inlineStr">
        <is>
          <t>0211</t>
        </is>
      </c>
      <c r="G8918" s="10" t="inlineStr">
        <is>
          <t>太秦広隆寺</t>
        </is>
      </c>
      <c r="H8918" s="10" t="inlineStr">
        <is>
          <t>発</t>
        </is>
      </c>
      <c r="J8918" s="10" t="inlineStr">
        <is>
          <t>営業</t>
        </is>
      </c>
      <c r="L8918" t="inlineStr">
        <is>
          <t>14:53:25</t>
        </is>
      </c>
      <c r="M8918" t="inlineStr">
        <is>
          <t>14:53:45</t>
        </is>
      </c>
    </row>
    <row r="8919" ht="16.5" customHeight="1" s="37">
      <c r="A8919" t="n">
        <v>5</v>
      </c>
      <c r="B8919" s="10" t="inlineStr">
        <is>
          <t>平日</t>
        </is>
      </c>
      <c r="C8919" s="10" t="inlineStr">
        <is>
          <t>本線</t>
        </is>
      </c>
      <c r="D8919" s="10" t="inlineStr">
        <is>
          <t>上り</t>
        </is>
      </c>
      <c r="E8919" t="inlineStr">
        <is>
          <t>1410</t>
        </is>
      </c>
      <c r="F8919" t="inlineStr">
        <is>
          <t>0211</t>
        </is>
      </c>
      <c r="G8919" s="10" t="inlineStr">
        <is>
          <t>蚕ノ社</t>
        </is>
      </c>
      <c r="H8919" s="10" t="inlineStr">
        <is>
          <t>発</t>
        </is>
      </c>
      <c r="J8919" s="10" t="inlineStr">
        <is>
          <t>営業</t>
        </is>
      </c>
      <c r="L8919" t="inlineStr">
        <is>
          <t>14:55:00</t>
        </is>
      </c>
      <c r="M8919" t="inlineStr">
        <is>
          <t>14:55:20</t>
        </is>
      </c>
    </row>
    <row r="8920" ht="16.5" customHeight="1" s="37">
      <c r="A8920" t="n">
        <v>5</v>
      </c>
      <c r="B8920" s="10" t="inlineStr">
        <is>
          <t>平日</t>
        </is>
      </c>
      <c r="C8920" s="10" t="inlineStr">
        <is>
          <t>本線</t>
        </is>
      </c>
      <c r="D8920" s="10" t="inlineStr">
        <is>
          <t>上り</t>
        </is>
      </c>
      <c r="E8920" t="inlineStr">
        <is>
          <t>1410</t>
        </is>
      </c>
      <c r="F8920" t="inlineStr">
        <is>
          <t>0211</t>
        </is>
      </c>
      <c r="G8920" s="10" t="inlineStr">
        <is>
          <t>天神川</t>
        </is>
      </c>
      <c r="H8920" s="10" t="inlineStr">
        <is>
          <t>発</t>
        </is>
      </c>
      <c r="J8920" s="10" t="inlineStr">
        <is>
          <t>営業</t>
        </is>
      </c>
      <c r="L8920" t="inlineStr">
        <is>
          <t>14:56:05</t>
        </is>
      </c>
      <c r="M8920" t="inlineStr">
        <is>
          <t>14:56:50</t>
        </is>
      </c>
    </row>
    <row r="8921" ht="16.5" customHeight="1" s="37">
      <c r="A8921" t="n">
        <v>5</v>
      </c>
      <c r="B8921" s="10" t="inlineStr">
        <is>
          <t>平日</t>
        </is>
      </c>
      <c r="C8921" s="10" t="inlineStr">
        <is>
          <t>本線</t>
        </is>
      </c>
      <c r="D8921" s="10" t="inlineStr">
        <is>
          <t>上り</t>
        </is>
      </c>
      <c r="E8921" t="inlineStr">
        <is>
          <t>1410</t>
        </is>
      </c>
      <c r="F8921" t="inlineStr">
        <is>
          <t>0211</t>
        </is>
      </c>
      <c r="G8921" s="10" t="inlineStr">
        <is>
          <t>山ノ内</t>
        </is>
      </c>
      <c r="H8921" s="10" t="inlineStr">
        <is>
          <t>発</t>
        </is>
      </c>
      <c r="J8921" s="10" t="inlineStr">
        <is>
          <t>営業</t>
        </is>
      </c>
      <c r="L8921" t="inlineStr">
        <is>
          <t>14:58:40</t>
        </is>
      </c>
      <c r="M8921" t="inlineStr">
        <is>
          <t>14:59:05</t>
        </is>
      </c>
    </row>
    <row r="8922" ht="16.5" customHeight="1" s="37">
      <c r="A8922" t="n">
        <v>5</v>
      </c>
      <c r="B8922" s="10" t="inlineStr">
        <is>
          <t>平日</t>
        </is>
      </c>
      <c r="C8922" s="10" t="inlineStr">
        <is>
          <t>本線</t>
        </is>
      </c>
      <c r="D8922" s="10" t="inlineStr">
        <is>
          <t>上り</t>
        </is>
      </c>
      <c r="E8922" t="inlineStr">
        <is>
          <t>1410</t>
        </is>
      </c>
      <c r="F8922" t="inlineStr">
        <is>
          <t>0211</t>
        </is>
      </c>
      <c r="G8922" s="10" t="inlineStr">
        <is>
          <t>西大路三条</t>
        </is>
      </c>
      <c r="H8922" s="10" t="inlineStr">
        <is>
          <t>発</t>
        </is>
      </c>
      <c r="J8922" s="10" t="inlineStr">
        <is>
          <t>営業</t>
        </is>
      </c>
      <c r="L8922" t="inlineStr">
        <is>
          <t>15:00:55</t>
        </is>
      </c>
      <c r="M8922" t="inlineStr">
        <is>
          <t>15:01:15</t>
        </is>
      </c>
    </row>
    <row r="8923" ht="16.5" customHeight="1" s="37">
      <c r="A8923" t="n">
        <v>5</v>
      </c>
      <c r="B8923" s="10" t="inlineStr">
        <is>
          <t>平日</t>
        </is>
      </c>
      <c r="C8923" s="10" t="inlineStr">
        <is>
          <t>本線</t>
        </is>
      </c>
      <c r="D8923" s="10" t="inlineStr">
        <is>
          <t>上り</t>
        </is>
      </c>
      <c r="E8923" t="inlineStr">
        <is>
          <t>1410</t>
        </is>
      </c>
      <c r="F8923" t="inlineStr">
        <is>
          <t>0211</t>
        </is>
      </c>
      <c r="G8923" s="10" t="inlineStr">
        <is>
          <t>西院</t>
        </is>
      </c>
      <c r="H8923" s="10" t="inlineStr">
        <is>
          <t>発</t>
        </is>
      </c>
      <c r="J8923" s="10" t="inlineStr">
        <is>
          <t>営業</t>
        </is>
      </c>
      <c r="L8923" t="inlineStr">
        <is>
          <t>15:03:10</t>
        </is>
      </c>
      <c r="M8923" t="inlineStr">
        <is>
          <t>15:04:05</t>
        </is>
      </c>
    </row>
    <row r="8924" ht="16.5" customHeight="1" s="37">
      <c r="A8924" t="n">
        <v>5</v>
      </c>
      <c r="B8924" s="10" t="inlineStr">
        <is>
          <t>平日</t>
        </is>
      </c>
      <c r="C8924" s="10" t="inlineStr">
        <is>
          <t>本線</t>
        </is>
      </c>
      <c r="D8924" s="10" t="inlineStr">
        <is>
          <t>上り</t>
        </is>
      </c>
      <c r="E8924" t="inlineStr">
        <is>
          <t>1410</t>
        </is>
      </c>
      <c r="F8924" t="inlineStr">
        <is>
          <t>0211</t>
        </is>
      </c>
      <c r="G8924" s="10" t="inlineStr">
        <is>
          <t>四条大宮</t>
        </is>
      </c>
      <c r="H8924" s="10" t="inlineStr">
        <is>
          <t>着</t>
        </is>
      </c>
      <c r="J8924" s="10" t="inlineStr">
        <is>
          <t>営業</t>
        </is>
      </c>
      <c r="L8924" t="inlineStr">
        <is>
          <t>15:07:00</t>
        </is>
      </c>
      <c r="Q8924" t="inlineStr">
        <is>
          <t>1誘</t>
        </is>
      </c>
    </row>
    <row r="8925" ht="16.5" customHeight="1" s="37">
      <c r="A8925" t="n">
        <v>5</v>
      </c>
      <c r="B8925" s="10" t="inlineStr">
        <is>
          <t>平日</t>
        </is>
      </c>
      <c r="C8925" s="10" t="inlineStr">
        <is>
          <t>本線</t>
        </is>
      </c>
      <c r="D8925" s="10" t="inlineStr">
        <is>
          <t>下り</t>
        </is>
      </c>
      <c r="E8925" s="10" t="inlineStr">
        <is>
          <t>連0609</t>
        </is>
      </c>
      <c r="F8925" t="inlineStr">
        <is>
          <t>0522</t>
        </is>
      </c>
      <c r="G8925" s="10" t="inlineStr">
        <is>
          <t>西院</t>
        </is>
      </c>
      <c r="H8925" s="10" t="inlineStr">
        <is>
          <t>発</t>
        </is>
      </c>
      <c r="J8925" s="10" t="inlineStr">
        <is>
          <t>営業</t>
        </is>
      </c>
      <c r="M8925" t="inlineStr">
        <is>
          <t>6:36:20</t>
        </is>
      </c>
      <c r="P8925" t="inlineStr">
        <is>
          <t>F系統(朝)</t>
        </is>
      </c>
    </row>
    <row r="8926" ht="16.5" customHeight="1" s="37">
      <c r="A8926" t="n">
        <v>5</v>
      </c>
      <c r="B8926" s="10" t="inlineStr">
        <is>
          <t>平日</t>
        </is>
      </c>
      <c r="C8926" s="10" t="inlineStr">
        <is>
          <t>本線</t>
        </is>
      </c>
      <c r="D8926" s="10" t="inlineStr">
        <is>
          <t>下り</t>
        </is>
      </c>
      <c r="E8926" s="10" t="inlineStr">
        <is>
          <t>連0609</t>
        </is>
      </c>
      <c r="F8926" t="inlineStr">
        <is>
          <t>0522</t>
        </is>
      </c>
      <c r="G8926" s="10" t="inlineStr">
        <is>
          <t>西大路三条</t>
        </is>
      </c>
      <c r="H8926" s="10" t="inlineStr">
        <is>
          <t>発</t>
        </is>
      </c>
      <c r="J8926" s="10" t="inlineStr">
        <is>
          <t>営業</t>
        </is>
      </c>
      <c r="L8926" t="inlineStr">
        <is>
          <t>6:38:10</t>
        </is>
      </c>
      <c r="M8926" t="inlineStr">
        <is>
          <t>6:38:25</t>
        </is>
      </c>
      <c r="P8926" t="inlineStr">
        <is>
          <t>F系統(朝)</t>
        </is>
      </c>
    </row>
    <row r="8927" ht="16.5" customHeight="1" s="37">
      <c r="A8927" t="n">
        <v>5</v>
      </c>
      <c r="B8927" s="10" t="inlineStr">
        <is>
          <t>平日</t>
        </is>
      </c>
      <c r="C8927" s="10" t="inlineStr">
        <is>
          <t>本線</t>
        </is>
      </c>
      <c r="D8927" s="10" t="inlineStr">
        <is>
          <t>下り</t>
        </is>
      </c>
      <c r="E8927" s="10" t="inlineStr">
        <is>
          <t>連0609</t>
        </is>
      </c>
      <c r="F8927" t="inlineStr">
        <is>
          <t>0522</t>
        </is>
      </c>
      <c r="G8927" s="10" t="inlineStr">
        <is>
          <t>山ノ内</t>
        </is>
      </c>
      <c r="H8927" s="10" t="inlineStr">
        <is>
          <t>発</t>
        </is>
      </c>
      <c r="J8927" s="10" t="inlineStr">
        <is>
          <t>営業</t>
        </is>
      </c>
      <c r="L8927" t="inlineStr">
        <is>
          <t>6:40:20</t>
        </is>
      </c>
      <c r="M8927" t="inlineStr">
        <is>
          <t>6:40:45</t>
        </is>
      </c>
      <c r="P8927" t="inlineStr">
        <is>
          <t>F系統(朝)</t>
        </is>
      </c>
    </row>
    <row r="8928" ht="16.5" customHeight="1" s="37">
      <c r="A8928" t="n">
        <v>5</v>
      </c>
      <c r="B8928" s="10" t="inlineStr">
        <is>
          <t>平日</t>
        </is>
      </c>
      <c r="C8928" s="10" t="inlineStr">
        <is>
          <t>本線</t>
        </is>
      </c>
      <c r="D8928" s="10" t="inlineStr">
        <is>
          <t>下り</t>
        </is>
      </c>
      <c r="E8928" s="10" t="inlineStr">
        <is>
          <t>連0609</t>
        </is>
      </c>
      <c r="F8928" t="inlineStr">
        <is>
          <t>0522</t>
        </is>
      </c>
      <c r="G8928" s="10" t="inlineStr">
        <is>
          <t>天神川</t>
        </is>
      </c>
      <c r="H8928" s="10" t="inlineStr">
        <is>
          <t>発</t>
        </is>
      </c>
      <c r="J8928" s="10" t="inlineStr">
        <is>
          <t>営業</t>
        </is>
      </c>
      <c r="L8928" t="inlineStr">
        <is>
          <t>6:42:45</t>
        </is>
      </c>
      <c r="M8928" t="inlineStr">
        <is>
          <t>6:43:10</t>
        </is>
      </c>
      <c r="P8928" t="inlineStr">
        <is>
          <t>F系統(朝)</t>
        </is>
      </c>
    </row>
    <row r="8929" ht="16.5" customHeight="1" s="37">
      <c r="A8929" t="n">
        <v>5</v>
      </c>
      <c r="B8929" s="10" t="inlineStr">
        <is>
          <t>平日</t>
        </is>
      </c>
      <c r="C8929" s="10" t="inlineStr">
        <is>
          <t>本線</t>
        </is>
      </c>
      <c r="D8929" s="10" t="inlineStr">
        <is>
          <t>下り</t>
        </is>
      </c>
      <c r="E8929" s="10" t="inlineStr">
        <is>
          <t>連0609</t>
        </is>
      </c>
      <c r="F8929" t="inlineStr">
        <is>
          <t>0522</t>
        </is>
      </c>
      <c r="G8929" s="10" t="inlineStr">
        <is>
          <t>蚕ノ社</t>
        </is>
      </c>
      <c r="H8929" s="10" t="inlineStr">
        <is>
          <t>発</t>
        </is>
      </c>
      <c r="J8929" s="10" t="inlineStr">
        <is>
          <t>営業</t>
        </is>
      </c>
      <c r="L8929" t="inlineStr">
        <is>
          <t>6:44:00</t>
        </is>
      </c>
      <c r="M8929" t="inlineStr">
        <is>
          <t>6:44:15</t>
        </is>
      </c>
      <c r="P8929" t="inlineStr">
        <is>
          <t>F系統(朝)</t>
        </is>
      </c>
    </row>
    <row r="8930" ht="16.5" customHeight="1" s="37">
      <c r="A8930" t="n">
        <v>5</v>
      </c>
      <c r="B8930" s="10" t="inlineStr">
        <is>
          <t>平日</t>
        </is>
      </c>
      <c r="C8930" s="10" t="inlineStr">
        <is>
          <t>本線</t>
        </is>
      </c>
      <c r="D8930" s="10" t="inlineStr">
        <is>
          <t>下り</t>
        </is>
      </c>
      <c r="E8930" s="10" t="inlineStr">
        <is>
          <t>連0609</t>
        </is>
      </c>
      <c r="F8930" t="inlineStr">
        <is>
          <t>0522</t>
        </is>
      </c>
      <c r="G8930" s="10" t="inlineStr">
        <is>
          <t>太秦広隆寺</t>
        </is>
      </c>
      <c r="H8930" s="10" t="inlineStr">
        <is>
          <t>発</t>
        </is>
      </c>
      <c r="J8930" s="10" t="inlineStr">
        <is>
          <t>営業</t>
        </is>
      </c>
      <c r="L8930" t="inlineStr">
        <is>
          <t>6:45:35</t>
        </is>
      </c>
      <c r="M8930" t="inlineStr">
        <is>
          <t>6:45:50</t>
        </is>
      </c>
      <c r="P8930" t="inlineStr">
        <is>
          <t>F系統(朝)</t>
        </is>
      </c>
    </row>
    <row r="8931" ht="16.5" customHeight="1" s="37">
      <c r="A8931" t="n">
        <v>5</v>
      </c>
      <c r="B8931" s="10" t="inlineStr">
        <is>
          <t>平日</t>
        </is>
      </c>
      <c r="C8931" s="10" t="inlineStr">
        <is>
          <t>本線</t>
        </is>
      </c>
      <c r="D8931" s="10" t="inlineStr">
        <is>
          <t>下り</t>
        </is>
      </c>
      <c r="E8931" s="10" t="inlineStr">
        <is>
          <t>連0609</t>
        </is>
      </c>
      <c r="F8931" t="inlineStr">
        <is>
          <t>0522</t>
        </is>
      </c>
      <c r="G8931" s="10" t="inlineStr">
        <is>
          <t>帷子ノ辻</t>
        </is>
      </c>
      <c r="H8931" s="10" t="inlineStr">
        <is>
          <t>発</t>
        </is>
      </c>
      <c r="J8931" s="10" t="inlineStr">
        <is>
          <t>営業</t>
        </is>
      </c>
      <c r="L8931" t="inlineStr">
        <is>
          <t>6:47:50</t>
        </is>
      </c>
      <c r="M8931" t="inlineStr">
        <is>
          <t>6:48:20</t>
        </is>
      </c>
      <c r="P8931" t="inlineStr">
        <is>
          <t>F系統(朝)</t>
        </is>
      </c>
    </row>
    <row r="8932" ht="16.5" customHeight="1" s="37">
      <c r="A8932" t="n">
        <v>5</v>
      </c>
      <c r="B8932" s="10" t="inlineStr">
        <is>
          <t>平日</t>
        </is>
      </c>
      <c r="C8932" s="10" t="inlineStr">
        <is>
          <t>本線</t>
        </is>
      </c>
      <c r="D8932" s="10" t="inlineStr">
        <is>
          <t>下り</t>
        </is>
      </c>
      <c r="E8932" s="10" t="inlineStr">
        <is>
          <t>連0609</t>
        </is>
      </c>
      <c r="F8932" t="inlineStr">
        <is>
          <t>0522</t>
        </is>
      </c>
      <c r="G8932" s="10" t="inlineStr">
        <is>
          <t>有栖川</t>
        </is>
      </c>
      <c r="H8932" s="10" t="inlineStr">
        <is>
          <t>発</t>
        </is>
      </c>
      <c r="J8932" s="10" t="inlineStr">
        <is>
          <t>営業</t>
        </is>
      </c>
      <c r="L8932" t="inlineStr">
        <is>
          <t>6:49:30</t>
        </is>
      </c>
      <c r="M8932" t="inlineStr">
        <is>
          <t>6:49:45</t>
        </is>
      </c>
      <c r="P8932" t="inlineStr">
        <is>
          <t>F系統(朝)</t>
        </is>
      </c>
    </row>
    <row r="8933" ht="16.5" customHeight="1" s="37">
      <c r="A8933" t="n">
        <v>5</v>
      </c>
      <c r="B8933" s="10" t="inlineStr">
        <is>
          <t>平日</t>
        </is>
      </c>
      <c r="C8933" s="10" t="inlineStr">
        <is>
          <t>本線</t>
        </is>
      </c>
      <c r="D8933" s="10" t="inlineStr">
        <is>
          <t>下り</t>
        </is>
      </c>
      <c r="E8933" s="10" t="inlineStr">
        <is>
          <t>連0609</t>
        </is>
      </c>
      <c r="F8933" t="inlineStr">
        <is>
          <t>0522</t>
        </is>
      </c>
      <c r="G8933" s="10" t="inlineStr">
        <is>
          <t>車折</t>
        </is>
      </c>
      <c r="H8933" s="10" t="inlineStr">
        <is>
          <t>発</t>
        </is>
      </c>
      <c r="J8933" s="10" t="inlineStr">
        <is>
          <t>営業</t>
        </is>
      </c>
      <c r="L8933" t="inlineStr">
        <is>
          <t>6:51:10</t>
        </is>
      </c>
      <c r="M8933" t="inlineStr">
        <is>
          <t>6:51:25</t>
        </is>
      </c>
      <c r="P8933" t="inlineStr">
        <is>
          <t>F系統(朝)</t>
        </is>
      </c>
    </row>
    <row r="8934" ht="16.5" customHeight="1" s="37">
      <c r="A8934" t="n">
        <v>5</v>
      </c>
      <c r="B8934" s="10" t="inlineStr">
        <is>
          <t>平日</t>
        </is>
      </c>
      <c r="C8934" s="10" t="inlineStr">
        <is>
          <t>本線</t>
        </is>
      </c>
      <c r="D8934" s="10" t="inlineStr">
        <is>
          <t>下り</t>
        </is>
      </c>
      <c r="E8934" s="10" t="inlineStr">
        <is>
          <t>連0609</t>
        </is>
      </c>
      <c r="F8934" t="inlineStr">
        <is>
          <t>0522</t>
        </is>
      </c>
      <c r="G8934" s="10" t="inlineStr">
        <is>
          <t>鹿王院</t>
        </is>
      </c>
      <c r="H8934" s="10" t="inlineStr">
        <is>
          <t>発</t>
        </is>
      </c>
      <c r="J8934" s="10" t="inlineStr">
        <is>
          <t>営業</t>
        </is>
      </c>
      <c r="L8934" t="inlineStr">
        <is>
          <t>6:52:20</t>
        </is>
      </c>
      <c r="M8934" t="inlineStr">
        <is>
          <t>6:52:35</t>
        </is>
      </c>
      <c r="P8934" t="inlineStr">
        <is>
          <t>F系統(朝)</t>
        </is>
      </c>
    </row>
    <row r="8935" ht="16.5" customHeight="1" s="37">
      <c r="A8935" t="n">
        <v>5</v>
      </c>
      <c r="B8935" s="10" t="inlineStr">
        <is>
          <t>平日</t>
        </is>
      </c>
      <c r="C8935" s="10" t="inlineStr">
        <is>
          <t>本線</t>
        </is>
      </c>
      <c r="D8935" s="10" t="inlineStr">
        <is>
          <t>下り</t>
        </is>
      </c>
      <c r="E8935" s="10" t="inlineStr">
        <is>
          <t>連0609</t>
        </is>
      </c>
      <c r="F8935" t="inlineStr">
        <is>
          <t>0522</t>
        </is>
      </c>
      <c r="G8935" s="10" t="inlineStr">
        <is>
          <t>嵯峨</t>
        </is>
      </c>
      <c r="H8935" s="10" t="inlineStr">
        <is>
          <t>発</t>
        </is>
      </c>
      <c r="J8935" s="10" t="inlineStr">
        <is>
          <t>営業</t>
        </is>
      </c>
      <c r="L8935" t="inlineStr">
        <is>
          <t>6:53:40</t>
        </is>
      </c>
      <c r="M8935" t="inlineStr">
        <is>
          <t>6:53:55</t>
        </is>
      </c>
      <c r="P8935" t="inlineStr">
        <is>
          <t>F系統(朝)</t>
        </is>
      </c>
    </row>
    <row r="8936" ht="16.5" customHeight="1" s="37">
      <c r="A8936" t="n">
        <v>5</v>
      </c>
      <c r="B8936" s="10" t="inlineStr">
        <is>
          <t>平日</t>
        </is>
      </c>
      <c r="C8936" s="10" t="inlineStr">
        <is>
          <t>本線</t>
        </is>
      </c>
      <c r="D8936" s="10" t="inlineStr">
        <is>
          <t>下り</t>
        </is>
      </c>
      <c r="E8936" s="10" t="inlineStr">
        <is>
          <t>連0609</t>
        </is>
      </c>
      <c r="F8936" t="inlineStr">
        <is>
          <t>0522</t>
        </is>
      </c>
      <c r="G8936" s="10" t="inlineStr">
        <is>
          <t>嵐山</t>
        </is>
      </c>
      <c r="H8936" s="10" t="inlineStr">
        <is>
          <t>着</t>
        </is>
      </c>
      <c r="J8936" s="10" t="inlineStr">
        <is>
          <t>営業</t>
        </is>
      </c>
      <c r="L8936" t="inlineStr">
        <is>
          <t>6:55:00</t>
        </is>
      </c>
      <c r="N8936" t="inlineStr">
        <is>
          <t>○</t>
        </is>
      </c>
      <c r="P8936" t="inlineStr">
        <is>
          <t>F系統(朝)</t>
        </is>
      </c>
      <c r="Q8936" t="inlineStr">
        <is>
          <t>2</t>
        </is>
      </c>
    </row>
    <row r="8937" ht="16.5" customHeight="1" s="37">
      <c r="A8937" t="n">
        <v>5</v>
      </c>
      <c r="B8937" s="10" t="inlineStr">
        <is>
          <t>平日</t>
        </is>
      </c>
      <c r="C8937" s="10" t="inlineStr">
        <is>
          <t>本線</t>
        </is>
      </c>
      <c r="D8937" s="10" t="inlineStr">
        <is>
          <t>上り</t>
        </is>
      </c>
      <c r="E8937" s="10" t="inlineStr">
        <is>
          <t>連0704</t>
        </is>
      </c>
      <c r="F8937" t="inlineStr">
        <is>
          <t>2221</t>
        </is>
      </c>
      <c r="G8937" s="10" t="inlineStr">
        <is>
          <t>嵐山</t>
        </is>
      </c>
      <c r="H8937" s="10" t="inlineStr">
        <is>
          <t>発</t>
        </is>
      </c>
      <c r="J8937" s="10" t="inlineStr">
        <is>
          <t>営業</t>
        </is>
      </c>
      <c r="M8937" t="inlineStr">
        <is>
          <t>7:09:00</t>
        </is>
      </c>
      <c r="P8937" t="inlineStr">
        <is>
          <t>F系統(朝)</t>
        </is>
      </c>
      <c r="Q8937" t="inlineStr">
        <is>
          <t>2</t>
        </is>
      </c>
    </row>
    <row r="8938" ht="16.5" customHeight="1" s="37">
      <c r="A8938" t="n">
        <v>5</v>
      </c>
      <c r="B8938" s="10" t="inlineStr">
        <is>
          <t>平日</t>
        </is>
      </c>
      <c r="C8938" s="10" t="inlineStr">
        <is>
          <t>本線</t>
        </is>
      </c>
      <c r="D8938" s="10" t="inlineStr">
        <is>
          <t>上り</t>
        </is>
      </c>
      <c r="E8938" s="10" t="inlineStr">
        <is>
          <t>連0704</t>
        </is>
      </c>
      <c r="F8938" t="inlineStr">
        <is>
          <t>2221</t>
        </is>
      </c>
      <c r="G8938" s="10" t="inlineStr">
        <is>
          <t>嵯峨</t>
        </is>
      </c>
      <c r="H8938" s="10" t="inlineStr">
        <is>
          <t>発</t>
        </is>
      </c>
      <c r="J8938" s="10" t="inlineStr">
        <is>
          <t>営業</t>
        </is>
      </c>
      <c r="L8938" t="inlineStr">
        <is>
          <t>7:09:55</t>
        </is>
      </c>
      <c r="M8938" t="inlineStr">
        <is>
          <t>7:10:20</t>
        </is>
      </c>
      <c r="P8938" t="inlineStr">
        <is>
          <t>F系統(朝)</t>
        </is>
      </c>
    </row>
    <row r="8939" ht="16.5" customHeight="1" s="37">
      <c r="A8939" t="n">
        <v>5</v>
      </c>
      <c r="B8939" s="10" t="inlineStr">
        <is>
          <t>平日</t>
        </is>
      </c>
      <c r="C8939" s="10" t="inlineStr">
        <is>
          <t>本線</t>
        </is>
      </c>
      <c r="D8939" s="10" t="inlineStr">
        <is>
          <t>上り</t>
        </is>
      </c>
      <c r="E8939" s="10" t="inlineStr">
        <is>
          <t>連0704</t>
        </is>
      </c>
      <c r="F8939" t="inlineStr">
        <is>
          <t>2221</t>
        </is>
      </c>
      <c r="G8939" s="10" t="inlineStr">
        <is>
          <t>鹿王院</t>
        </is>
      </c>
      <c r="H8939" s="10" t="inlineStr">
        <is>
          <t>発</t>
        </is>
      </c>
      <c r="J8939" s="10" t="inlineStr">
        <is>
          <t>営業</t>
        </is>
      </c>
      <c r="L8939" t="inlineStr">
        <is>
          <t>7:11:25</t>
        </is>
      </c>
      <c r="M8939" t="inlineStr">
        <is>
          <t>7:11:45</t>
        </is>
      </c>
      <c r="P8939" t="inlineStr">
        <is>
          <t>F系統(朝)</t>
        </is>
      </c>
    </row>
    <row r="8940" ht="16.5" customHeight="1" s="37">
      <c r="A8940" t="n">
        <v>5</v>
      </c>
      <c r="B8940" s="10" t="inlineStr">
        <is>
          <t>平日</t>
        </is>
      </c>
      <c r="C8940" s="10" t="inlineStr">
        <is>
          <t>本線</t>
        </is>
      </c>
      <c r="D8940" s="10" t="inlineStr">
        <is>
          <t>上り</t>
        </is>
      </c>
      <c r="E8940" s="10" t="inlineStr">
        <is>
          <t>連0704</t>
        </is>
      </c>
      <c r="F8940" t="inlineStr">
        <is>
          <t>2221</t>
        </is>
      </c>
      <c r="G8940" s="10" t="inlineStr">
        <is>
          <t>車折</t>
        </is>
      </c>
      <c r="H8940" s="10" t="inlineStr">
        <is>
          <t>発</t>
        </is>
      </c>
      <c r="J8940" s="10" t="inlineStr">
        <is>
          <t>営業</t>
        </is>
      </c>
      <c r="L8940" t="inlineStr">
        <is>
          <t>7:12:40</t>
        </is>
      </c>
      <c r="M8940" t="inlineStr">
        <is>
          <t>7:13:10</t>
        </is>
      </c>
      <c r="P8940" t="inlineStr">
        <is>
          <t>F系統(朝)</t>
        </is>
      </c>
    </row>
    <row r="8941" ht="16.5" customHeight="1" s="37">
      <c r="A8941" t="n">
        <v>5</v>
      </c>
      <c r="B8941" s="10" t="inlineStr">
        <is>
          <t>平日</t>
        </is>
      </c>
      <c r="C8941" s="10" t="inlineStr">
        <is>
          <t>本線</t>
        </is>
      </c>
      <c r="D8941" s="10" t="inlineStr">
        <is>
          <t>上り</t>
        </is>
      </c>
      <c r="E8941" s="10" t="inlineStr">
        <is>
          <t>連0704</t>
        </is>
      </c>
      <c r="F8941" t="inlineStr">
        <is>
          <t>2221</t>
        </is>
      </c>
      <c r="G8941" s="10" t="inlineStr">
        <is>
          <t>有栖川</t>
        </is>
      </c>
      <c r="H8941" s="10" t="inlineStr">
        <is>
          <t>発</t>
        </is>
      </c>
      <c r="J8941" s="10" t="inlineStr">
        <is>
          <t>営業</t>
        </is>
      </c>
      <c r="L8941" t="inlineStr">
        <is>
          <t>7:14:35</t>
        </is>
      </c>
      <c r="M8941" t="inlineStr">
        <is>
          <t>7:14:55</t>
        </is>
      </c>
      <c r="P8941" t="inlineStr">
        <is>
          <t>F系統(朝)</t>
        </is>
      </c>
    </row>
    <row r="8942" ht="16.5" customHeight="1" s="37">
      <c r="A8942" t="n">
        <v>5</v>
      </c>
      <c r="B8942" s="10" t="inlineStr">
        <is>
          <t>平日</t>
        </is>
      </c>
      <c r="C8942" s="10" t="inlineStr">
        <is>
          <t>本線</t>
        </is>
      </c>
      <c r="D8942" s="10" t="inlineStr">
        <is>
          <t>上り</t>
        </is>
      </c>
      <c r="E8942" s="10" t="inlineStr">
        <is>
          <t>連0704</t>
        </is>
      </c>
      <c r="F8942" t="inlineStr">
        <is>
          <t>2221</t>
        </is>
      </c>
      <c r="G8942" s="10" t="inlineStr">
        <is>
          <t>帷子ノ辻</t>
        </is>
      </c>
      <c r="H8942" s="10" t="inlineStr">
        <is>
          <t>発</t>
        </is>
      </c>
      <c r="J8942" s="10" t="inlineStr">
        <is>
          <t>営業</t>
        </is>
      </c>
      <c r="L8942" t="inlineStr">
        <is>
          <t>7:16:10</t>
        </is>
      </c>
      <c r="M8942" t="inlineStr">
        <is>
          <t>7:17:15</t>
        </is>
      </c>
      <c r="P8942" t="inlineStr">
        <is>
          <t>F系統(朝)</t>
        </is>
      </c>
    </row>
    <row r="8943" ht="16.5" customHeight="1" s="37">
      <c r="A8943" t="n">
        <v>5</v>
      </c>
      <c r="B8943" s="10" t="inlineStr">
        <is>
          <t>平日</t>
        </is>
      </c>
      <c r="C8943" s="10" t="inlineStr">
        <is>
          <t>本線</t>
        </is>
      </c>
      <c r="D8943" s="10" t="inlineStr">
        <is>
          <t>上り</t>
        </is>
      </c>
      <c r="E8943" s="10" t="inlineStr">
        <is>
          <t>連0704</t>
        </is>
      </c>
      <c r="F8943" t="inlineStr">
        <is>
          <t>2221</t>
        </is>
      </c>
      <c r="G8943" s="10" t="inlineStr">
        <is>
          <t>太秦広隆寺</t>
        </is>
      </c>
      <c r="H8943" s="10" t="inlineStr">
        <is>
          <t>発</t>
        </is>
      </c>
      <c r="J8943" s="10" t="inlineStr">
        <is>
          <t>営業</t>
        </is>
      </c>
      <c r="L8943" t="inlineStr">
        <is>
          <t>7:19:25</t>
        </is>
      </c>
      <c r="M8943" t="inlineStr">
        <is>
          <t>7:19:45</t>
        </is>
      </c>
      <c r="P8943" t="inlineStr">
        <is>
          <t>F系統(朝)</t>
        </is>
      </c>
    </row>
    <row r="8944" ht="16.5" customHeight="1" s="37">
      <c r="A8944" t="n">
        <v>5</v>
      </c>
      <c r="B8944" s="10" t="inlineStr">
        <is>
          <t>平日</t>
        </is>
      </c>
      <c r="C8944" s="10" t="inlineStr">
        <is>
          <t>本線</t>
        </is>
      </c>
      <c r="D8944" s="10" t="inlineStr">
        <is>
          <t>上り</t>
        </is>
      </c>
      <c r="E8944" s="10" t="inlineStr">
        <is>
          <t>連0704</t>
        </is>
      </c>
      <c r="F8944" t="inlineStr">
        <is>
          <t>2221</t>
        </is>
      </c>
      <c r="G8944" s="10" t="inlineStr">
        <is>
          <t>蚕ノ社</t>
        </is>
      </c>
      <c r="H8944" s="10" t="inlineStr">
        <is>
          <t>発</t>
        </is>
      </c>
      <c r="J8944" s="10" t="inlineStr">
        <is>
          <t>営業</t>
        </is>
      </c>
      <c r="L8944" t="inlineStr">
        <is>
          <t>7:21:00</t>
        </is>
      </c>
      <c r="M8944" t="inlineStr">
        <is>
          <t>7:21:20</t>
        </is>
      </c>
      <c r="P8944" t="inlineStr">
        <is>
          <t>F系統(朝)</t>
        </is>
      </c>
    </row>
    <row r="8945" ht="16.5" customHeight="1" s="37">
      <c r="A8945" t="n">
        <v>5</v>
      </c>
      <c r="B8945" s="10" t="inlineStr">
        <is>
          <t>平日</t>
        </is>
      </c>
      <c r="C8945" s="10" t="inlineStr">
        <is>
          <t>本線</t>
        </is>
      </c>
      <c r="D8945" s="10" t="inlineStr">
        <is>
          <t>上り</t>
        </is>
      </c>
      <c r="E8945" s="10" t="inlineStr">
        <is>
          <t>連0704</t>
        </is>
      </c>
      <c r="F8945" t="inlineStr">
        <is>
          <t>2221</t>
        </is>
      </c>
      <c r="G8945" s="10" t="inlineStr">
        <is>
          <t>天神川</t>
        </is>
      </c>
      <c r="H8945" s="10" t="inlineStr">
        <is>
          <t>発</t>
        </is>
      </c>
      <c r="J8945" s="10" t="inlineStr">
        <is>
          <t>営業</t>
        </is>
      </c>
      <c r="L8945" t="inlineStr">
        <is>
          <t>7:22:05</t>
        </is>
      </c>
      <c r="M8945" t="inlineStr">
        <is>
          <t>7:22:50</t>
        </is>
      </c>
      <c r="P8945" t="inlineStr">
        <is>
          <t>F系統(朝)</t>
        </is>
      </c>
    </row>
    <row r="8946" ht="16.5" customHeight="1" s="37">
      <c r="A8946" t="n">
        <v>5</v>
      </c>
      <c r="B8946" s="10" t="inlineStr">
        <is>
          <t>平日</t>
        </is>
      </c>
      <c r="C8946" s="10" t="inlineStr">
        <is>
          <t>本線</t>
        </is>
      </c>
      <c r="D8946" s="10" t="inlineStr">
        <is>
          <t>上り</t>
        </is>
      </c>
      <c r="E8946" s="10" t="inlineStr">
        <is>
          <t>連0704</t>
        </is>
      </c>
      <c r="F8946" t="inlineStr">
        <is>
          <t>2221</t>
        </is>
      </c>
      <c r="G8946" s="10" t="inlineStr">
        <is>
          <t>山ノ内</t>
        </is>
      </c>
      <c r="H8946" s="10" t="inlineStr">
        <is>
          <t>発</t>
        </is>
      </c>
      <c r="J8946" s="10" t="inlineStr">
        <is>
          <t>営業</t>
        </is>
      </c>
      <c r="L8946" t="inlineStr">
        <is>
          <t>7:24:40</t>
        </is>
      </c>
      <c r="M8946" t="inlineStr">
        <is>
          <t>7:25:05</t>
        </is>
      </c>
      <c r="P8946" t="inlineStr">
        <is>
          <t>F系統(朝)</t>
        </is>
      </c>
    </row>
    <row r="8947" ht="16.5" customHeight="1" s="37">
      <c r="A8947" t="n">
        <v>5</v>
      </c>
      <c r="B8947" s="10" t="inlineStr">
        <is>
          <t>平日</t>
        </is>
      </c>
      <c r="C8947" s="10" t="inlineStr">
        <is>
          <t>本線</t>
        </is>
      </c>
      <c r="D8947" s="10" t="inlineStr">
        <is>
          <t>上り</t>
        </is>
      </c>
      <c r="E8947" s="10" t="inlineStr">
        <is>
          <t>連0704</t>
        </is>
      </c>
      <c r="F8947" t="inlineStr">
        <is>
          <t>2221</t>
        </is>
      </c>
      <c r="G8947" s="10" t="inlineStr">
        <is>
          <t>西大路三条</t>
        </is>
      </c>
      <c r="H8947" s="10" t="inlineStr">
        <is>
          <t>発</t>
        </is>
      </c>
      <c r="J8947" s="10" t="inlineStr">
        <is>
          <t>営業</t>
        </is>
      </c>
      <c r="L8947" t="inlineStr">
        <is>
          <t>7:26:55</t>
        </is>
      </c>
      <c r="M8947" t="inlineStr">
        <is>
          <t>7:27:15</t>
        </is>
      </c>
      <c r="P8947" t="inlineStr">
        <is>
          <t>F系統(朝)</t>
        </is>
      </c>
    </row>
    <row r="8948" ht="16.5" customHeight="1" s="37">
      <c r="A8948" t="n">
        <v>5</v>
      </c>
      <c r="B8948" s="10" t="inlineStr">
        <is>
          <t>平日</t>
        </is>
      </c>
      <c r="C8948" s="10" t="inlineStr">
        <is>
          <t>本線</t>
        </is>
      </c>
      <c r="D8948" s="10" t="inlineStr">
        <is>
          <t>上り</t>
        </is>
      </c>
      <c r="E8948" s="10" t="inlineStr">
        <is>
          <t>連0704</t>
        </is>
      </c>
      <c r="F8948" t="inlineStr">
        <is>
          <t>2221</t>
        </is>
      </c>
      <c r="G8948" s="10" t="inlineStr">
        <is>
          <t>西院</t>
        </is>
      </c>
      <c r="H8948" s="10" t="inlineStr">
        <is>
          <t>発</t>
        </is>
      </c>
      <c r="J8948" s="10" t="inlineStr">
        <is>
          <t>営業</t>
        </is>
      </c>
      <c r="L8948" t="inlineStr">
        <is>
          <t>7:29:10</t>
        </is>
      </c>
      <c r="M8948" t="inlineStr">
        <is>
          <t>7:30:05</t>
        </is>
      </c>
      <c r="P8948" t="inlineStr">
        <is>
          <t>F系統(朝)</t>
        </is>
      </c>
    </row>
    <row r="8949" ht="16.5" customHeight="1" s="37">
      <c r="A8949" t="n">
        <v>5</v>
      </c>
      <c r="B8949" s="10" t="inlineStr">
        <is>
          <t>平日</t>
        </is>
      </c>
      <c r="C8949" s="10" t="inlineStr">
        <is>
          <t>本線</t>
        </is>
      </c>
      <c r="D8949" s="10" t="inlineStr">
        <is>
          <t>上り</t>
        </is>
      </c>
      <c r="E8949" s="10" t="inlineStr">
        <is>
          <t>連0704</t>
        </is>
      </c>
      <c r="F8949" t="inlineStr">
        <is>
          <t>2221</t>
        </is>
      </c>
      <c r="G8949" s="10" t="inlineStr">
        <is>
          <t>四条大宮</t>
        </is>
      </c>
      <c r="H8949" s="10" t="inlineStr">
        <is>
          <t>着</t>
        </is>
      </c>
      <c r="J8949" s="10" t="inlineStr">
        <is>
          <t>営業</t>
        </is>
      </c>
      <c r="L8949" t="inlineStr">
        <is>
          <t>7:33:00</t>
        </is>
      </c>
      <c r="P8949" t="inlineStr">
        <is>
          <t>F系統(朝)</t>
        </is>
      </c>
      <c r="Q8949" t="inlineStr">
        <is>
          <t>1</t>
        </is>
      </c>
    </row>
    <row r="8950" ht="16.5" customHeight="1" s="37">
      <c r="A8950" t="n">
        <v>5</v>
      </c>
      <c r="B8950" s="10" t="inlineStr">
        <is>
          <t>平日</t>
        </is>
      </c>
      <c r="C8950" s="10" t="inlineStr">
        <is>
          <t>本線</t>
        </is>
      </c>
      <c r="D8950" s="10" t="inlineStr">
        <is>
          <t>下り</t>
        </is>
      </c>
      <c r="E8950" s="10" t="inlineStr">
        <is>
          <t>連0711</t>
        </is>
      </c>
      <c r="F8950" t="inlineStr">
        <is>
          <t>0122</t>
        </is>
      </c>
      <c r="G8950" s="10" t="inlineStr">
        <is>
          <t>四条大宮</t>
        </is>
      </c>
      <c r="H8950" s="10" t="inlineStr">
        <is>
          <t>発</t>
        </is>
      </c>
      <c r="J8950" s="10" t="inlineStr">
        <is>
          <t>営業</t>
        </is>
      </c>
      <c r="M8950" t="inlineStr">
        <is>
          <t>7:40:00</t>
        </is>
      </c>
      <c r="P8950" t="inlineStr">
        <is>
          <t>F系統(朝)</t>
        </is>
      </c>
      <c r="Q8950" t="inlineStr">
        <is>
          <t>1</t>
        </is>
      </c>
    </row>
    <row r="8951" ht="16.5" customHeight="1" s="37">
      <c r="A8951" t="n">
        <v>5</v>
      </c>
      <c r="B8951" s="10" t="inlineStr">
        <is>
          <t>平日</t>
        </is>
      </c>
      <c r="C8951" s="10" t="inlineStr">
        <is>
          <t>本線</t>
        </is>
      </c>
      <c r="D8951" s="10" t="inlineStr">
        <is>
          <t>下り</t>
        </is>
      </c>
      <c r="E8951" s="10" t="inlineStr">
        <is>
          <t>連0711</t>
        </is>
      </c>
      <c r="F8951" t="inlineStr">
        <is>
          <t>0122</t>
        </is>
      </c>
      <c r="G8951" s="10" t="inlineStr">
        <is>
          <t>西院</t>
        </is>
      </c>
      <c r="H8951" s="10" t="inlineStr">
        <is>
          <t>発</t>
        </is>
      </c>
      <c r="J8951" s="10" t="inlineStr">
        <is>
          <t>営業</t>
        </is>
      </c>
      <c r="L8951" t="inlineStr">
        <is>
          <t>7:42:50</t>
        </is>
      </c>
      <c r="M8951" t="inlineStr">
        <is>
          <t>7:43:20</t>
        </is>
      </c>
      <c r="P8951" t="inlineStr">
        <is>
          <t>F系統(朝)</t>
        </is>
      </c>
    </row>
    <row r="8952" ht="16.5" customHeight="1" s="37">
      <c r="A8952" t="n">
        <v>5</v>
      </c>
      <c r="B8952" s="10" t="inlineStr">
        <is>
          <t>平日</t>
        </is>
      </c>
      <c r="C8952" s="10" t="inlineStr">
        <is>
          <t>本線</t>
        </is>
      </c>
      <c r="D8952" s="10" t="inlineStr">
        <is>
          <t>下り</t>
        </is>
      </c>
      <c r="E8952" s="10" t="inlineStr">
        <is>
          <t>連0711</t>
        </is>
      </c>
      <c r="F8952" t="inlineStr">
        <is>
          <t>0122</t>
        </is>
      </c>
      <c r="G8952" s="10" t="inlineStr">
        <is>
          <t>西大路三条</t>
        </is>
      </c>
      <c r="H8952" s="10" t="inlineStr">
        <is>
          <t>発</t>
        </is>
      </c>
      <c r="J8952" s="10" t="inlineStr">
        <is>
          <t>営業</t>
        </is>
      </c>
      <c r="L8952" t="inlineStr">
        <is>
          <t>7:45:10</t>
        </is>
      </c>
      <c r="M8952" t="inlineStr">
        <is>
          <t>7:45:30</t>
        </is>
      </c>
      <c r="P8952" t="inlineStr">
        <is>
          <t>F系統(朝)</t>
        </is>
      </c>
    </row>
    <row r="8953" ht="16.5" customHeight="1" s="37">
      <c r="A8953" t="n">
        <v>5</v>
      </c>
      <c r="B8953" s="10" t="inlineStr">
        <is>
          <t>平日</t>
        </is>
      </c>
      <c r="C8953" s="10" t="inlineStr">
        <is>
          <t>本線</t>
        </is>
      </c>
      <c r="D8953" s="10" t="inlineStr">
        <is>
          <t>下り</t>
        </is>
      </c>
      <c r="E8953" s="10" t="inlineStr">
        <is>
          <t>連0711</t>
        </is>
      </c>
      <c r="F8953" t="inlineStr">
        <is>
          <t>0122</t>
        </is>
      </c>
      <c r="G8953" s="10" t="inlineStr">
        <is>
          <t>山ノ内</t>
        </is>
      </c>
      <c r="H8953" s="10" t="inlineStr">
        <is>
          <t>発</t>
        </is>
      </c>
      <c r="J8953" s="10" t="inlineStr">
        <is>
          <t>営業</t>
        </is>
      </c>
      <c r="L8953" t="inlineStr">
        <is>
          <t>7:47:25</t>
        </is>
      </c>
      <c r="M8953" t="inlineStr">
        <is>
          <t>7:47:50</t>
        </is>
      </c>
      <c r="P8953" t="inlineStr">
        <is>
          <t>F系統(朝)</t>
        </is>
      </c>
    </row>
    <row r="8954" ht="16.5" customHeight="1" s="37">
      <c r="A8954" t="n">
        <v>5</v>
      </c>
      <c r="B8954" s="10" t="inlineStr">
        <is>
          <t>平日</t>
        </is>
      </c>
      <c r="C8954" s="10" t="inlineStr">
        <is>
          <t>本線</t>
        </is>
      </c>
      <c r="D8954" s="10" t="inlineStr">
        <is>
          <t>下り</t>
        </is>
      </c>
      <c r="E8954" s="10" t="inlineStr">
        <is>
          <t>連0711</t>
        </is>
      </c>
      <c r="F8954" t="inlineStr">
        <is>
          <t>0122</t>
        </is>
      </c>
      <c r="G8954" s="10" t="inlineStr">
        <is>
          <t>天神川</t>
        </is>
      </c>
      <c r="H8954" s="10" t="inlineStr">
        <is>
          <t>発</t>
        </is>
      </c>
      <c r="J8954" s="10" t="inlineStr">
        <is>
          <t>営業</t>
        </is>
      </c>
      <c r="L8954" t="inlineStr">
        <is>
          <t>7:49:50</t>
        </is>
      </c>
      <c r="M8954" t="inlineStr">
        <is>
          <t>7:50:30</t>
        </is>
      </c>
      <c r="P8954" t="inlineStr">
        <is>
          <t>F系統(朝)</t>
        </is>
      </c>
    </row>
    <row r="8955" ht="16.5" customHeight="1" s="37">
      <c r="A8955" t="n">
        <v>5</v>
      </c>
      <c r="B8955" s="10" t="inlineStr">
        <is>
          <t>平日</t>
        </is>
      </c>
      <c r="C8955" s="10" t="inlineStr">
        <is>
          <t>本線</t>
        </is>
      </c>
      <c r="D8955" s="10" t="inlineStr">
        <is>
          <t>下り</t>
        </is>
      </c>
      <c r="E8955" s="10" t="inlineStr">
        <is>
          <t>連0711</t>
        </is>
      </c>
      <c r="F8955" t="inlineStr">
        <is>
          <t>0122</t>
        </is>
      </c>
      <c r="G8955" s="10" t="inlineStr">
        <is>
          <t>蚕ノ社</t>
        </is>
      </c>
      <c r="H8955" s="10" t="inlineStr">
        <is>
          <t>発</t>
        </is>
      </c>
      <c r="J8955" s="10" t="inlineStr">
        <is>
          <t>営業</t>
        </is>
      </c>
      <c r="L8955" t="inlineStr">
        <is>
          <t>7:51:20</t>
        </is>
      </c>
      <c r="M8955" t="inlineStr">
        <is>
          <t>7:51:40</t>
        </is>
      </c>
      <c r="P8955" t="inlineStr">
        <is>
          <t>F系統(朝)</t>
        </is>
      </c>
    </row>
    <row r="8956" ht="16.5" customHeight="1" s="37">
      <c r="A8956" t="n">
        <v>5</v>
      </c>
      <c r="B8956" s="10" t="inlineStr">
        <is>
          <t>平日</t>
        </is>
      </c>
      <c r="C8956" s="10" t="inlineStr">
        <is>
          <t>本線</t>
        </is>
      </c>
      <c r="D8956" s="10" t="inlineStr">
        <is>
          <t>下り</t>
        </is>
      </c>
      <c r="E8956" s="10" t="inlineStr">
        <is>
          <t>連0711</t>
        </is>
      </c>
      <c r="F8956" t="inlineStr">
        <is>
          <t>0122</t>
        </is>
      </c>
      <c r="G8956" s="10" t="inlineStr">
        <is>
          <t>太秦広隆寺</t>
        </is>
      </c>
      <c r="H8956" s="10" t="inlineStr">
        <is>
          <t>発</t>
        </is>
      </c>
      <c r="J8956" s="10" t="inlineStr">
        <is>
          <t>営業</t>
        </is>
      </c>
      <c r="L8956" t="inlineStr">
        <is>
          <t>7:53:00</t>
        </is>
      </c>
      <c r="M8956" t="inlineStr">
        <is>
          <t>7:53:20</t>
        </is>
      </c>
      <c r="P8956" t="inlineStr">
        <is>
          <t>F系統(朝)</t>
        </is>
      </c>
    </row>
    <row r="8957" ht="16.5" customHeight="1" s="37">
      <c r="A8957" t="n">
        <v>5</v>
      </c>
      <c r="B8957" s="10" t="inlineStr">
        <is>
          <t>平日</t>
        </is>
      </c>
      <c r="C8957" s="10" t="inlineStr">
        <is>
          <t>本線</t>
        </is>
      </c>
      <c r="D8957" s="10" t="inlineStr">
        <is>
          <t>下り</t>
        </is>
      </c>
      <c r="E8957" s="10" t="inlineStr">
        <is>
          <t>連0711</t>
        </is>
      </c>
      <c r="F8957" t="inlineStr">
        <is>
          <t>0122</t>
        </is>
      </c>
      <c r="G8957" s="10" t="inlineStr">
        <is>
          <t>帷子ノ辻</t>
        </is>
      </c>
      <c r="H8957" s="10" t="inlineStr">
        <is>
          <t>発</t>
        </is>
      </c>
      <c r="J8957" s="10" t="inlineStr">
        <is>
          <t>営業</t>
        </is>
      </c>
      <c r="L8957" t="inlineStr">
        <is>
          <t>7:55:20</t>
        </is>
      </c>
      <c r="M8957" t="inlineStr">
        <is>
          <t>7:56:40</t>
        </is>
      </c>
      <c r="P8957" t="inlineStr">
        <is>
          <t>F系統(朝)</t>
        </is>
      </c>
    </row>
    <row r="8958" ht="16.5" customHeight="1" s="37">
      <c r="A8958" t="n">
        <v>5</v>
      </c>
      <c r="B8958" s="10" t="inlineStr">
        <is>
          <t>平日</t>
        </is>
      </c>
      <c r="C8958" s="10" t="inlineStr">
        <is>
          <t>本線</t>
        </is>
      </c>
      <c r="D8958" s="10" t="inlineStr">
        <is>
          <t>下り</t>
        </is>
      </c>
      <c r="E8958" s="10" t="inlineStr">
        <is>
          <t>連0711</t>
        </is>
      </c>
      <c r="F8958" t="inlineStr">
        <is>
          <t>0122</t>
        </is>
      </c>
      <c r="G8958" s="10" t="inlineStr">
        <is>
          <t>有栖川</t>
        </is>
      </c>
      <c r="H8958" s="10" t="inlineStr">
        <is>
          <t>発</t>
        </is>
      </c>
      <c r="J8958" s="10" t="inlineStr">
        <is>
          <t>営業</t>
        </is>
      </c>
      <c r="L8958" t="inlineStr">
        <is>
          <t>7:57:50</t>
        </is>
      </c>
      <c r="M8958" t="inlineStr">
        <is>
          <t>7:58:15</t>
        </is>
      </c>
      <c r="P8958" t="inlineStr">
        <is>
          <t>F系統(朝)</t>
        </is>
      </c>
    </row>
    <row r="8959" ht="16.5" customHeight="1" s="37">
      <c r="A8959" t="n">
        <v>5</v>
      </c>
      <c r="B8959" s="10" t="inlineStr">
        <is>
          <t>平日</t>
        </is>
      </c>
      <c r="C8959" s="10" t="inlineStr">
        <is>
          <t>本線</t>
        </is>
      </c>
      <c r="D8959" s="10" t="inlineStr">
        <is>
          <t>下り</t>
        </is>
      </c>
      <c r="E8959" s="10" t="inlineStr">
        <is>
          <t>連0711</t>
        </is>
      </c>
      <c r="F8959" t="inlineStr">
        <is>
          <t>0122</t>
        </is>
      </c>
      <c r="G8959" s="10" t="inlineStr">
        <is>
          <t>車折</t>
        </is>
      </c>
      <c r="H8959" s="10" t="inlineStr">
        <is>
          <t>発</t>
        </is>
      </c>
      <c r="J8959" s="10" t="inlineStr">
        <is>
          <t>営業</t>
        </is>
      </c>
      <c r="L8959" t="inlineStr">
        <is>
          <t>7:59:40</t>
        </is>
      </c>
      <c r="M8959" t="inlineStr">
        <is>
          <t>8:00:05</t>
        </is>
      </c>
      <c r="P8959" t="inlineStr">
        <is>
          <t>F系統(朝)</t>
        </is>
      </c>
    </row>
    <row r="8960" ht="16.5" customHeight="1" s="37">
      <c r="A8960" t="n">
        <v>5</v>
      </c>
      <c r="B8960" s="10" t="inlineStr">
        <is>
          <t>平日</t>
        </is>
      </c>
      <c r="C8960" s="10" t="inlineStr">
        <is>
          <t>本線</t>
        </is>
      </c>
      <c r="D8960" s="10" t="inlineStr">
        <is>
          <t>下り</t>
        </is>
      </c>
      <c r="E8960" s="10" t="inlineStr">
        <is>
          <t>連0711</t>
        </is>
      </c>
      <c r="F8960" t="inlineStr">
        <is>
          <t>0122</t>
        </is>
      </c>
      <c r="G8960" s="10" t="inlineStr">
        <is>
          <t>鹿王院</t>
        </is>
      </c>
      <c r="H8960" s="10" t="inlineStr">
        <is>
          <t>発</t>
        </is>
      </c>
      <c r="J8960" s="10" t="inlineStr">
        <is>
          <t>営業</t>
        </is>
      </c>
      <c r="L8960" t="inlineStr">
        <is>
          <t>8:01:00</t>
        </is>
      </c>
      <c r="M8960" t="inlineStr">
        <is>
          <t>8:01:25</t>
        </is>
      </c>
      <c r="P8960" t="inlineStr">
        <is>
          <t>F系統(朝)</t>
        </is>
      </c>
    </row>
    <row r="8961" ht="16.5" customHeight="1" s="37">
      <c r="A8961" t="n">
        <v>5</v>
      </c>
      <c r="B8961" s="10" t="inlineStr">
        <is>
          <t>平日</t>
        </is>
      </c>
      <c r="C8961" s="10" t="inlineStr">
        <is>
          <t>本線</t>
        </is>
      </c>
      <c r="D8961" s="10" t="inlineStr">
        <is>
          <t>下り</t>
        </is>
      </c>
      <c r="E8961" s="10" t="inlineStr">
        <is>
          <t>連0711</t>
        </is>
      </c>
      <c r="F8961" t="inlineStr">
        <is>
          <t>0122</t>
        </is>
      </c>
      <c r="G8961" s="10" t="inlineStr">
        <is>
          <t>嵯峨</t>
        </is>
      </c>
      <c r="H8961" s="10" t="inlineStr">
        <is>
          <t>発</t>
        </is>
      </c>
      <c r="J8961" s="10" t="inlineStr">
        <is>
          <t>営業</t>
        </is>
      </c>
      <c r="L8961" t="inlineStr">
        <is>
          <t>8:02:30</t>
        </is>
      </c>
      <c r="M8961" t="inlineStr">
        <is>
          <t>8:02:55</t>
        </is>
      </c>
      <c r="P8961" t="inlineStr">
        <is>
          <t>F系統(朝)</t>
        </is>
      </c>
    </row>
    <row r="8962" ht="16.5" customHeight="1" s="37">
      <c r="A8962" t="n">
        <v>5</v>
      </c>
      <c r="B8962" s="10" t="inlineStr">
        <is>
          <t>平日</t>
        </is>
      </c>
      <c r="C8962" s="10" t="inlineStr">
        <is>
          <t>本線</t>
        </is>
      </c>
      <c r="D8962" s="10" t="inlineStr">
        <is>
          <t>下り</t>
        </is>
      </c>
      <c r="E8962" s="10" t="inlineStr">
        <is>
          <t>連0711</t>
        </is>
      </c>
      <c r="F8962" t="inlineStr">
        <is>
          <t>0122</t>
        </is>
      </c>
      <c r="G8962" s="10" t="inlineStr">
        <is>
          <t>嵐山</t>
        </is>
      </c>
      <c r="H8962" s="10" t="inlineStr">
        <is>
          <t>着</t>
        </is>
      </c>
      <c r="J8962" s="10" t="inlineStr">
        <is>
          <t>営業</t>
        </is>
      </c>
      <c r="L8962" t="inlineStr">
        <is>
          <t>8:04:00</t>
        </is>
      </c>
      <c r="N8962" t="inlineStr">
        <is>
          <t>○</t>
        </is>
      </c>
      <c r="P8962" t="inlineStr">
        <is>
          <t>F系統(朝)</t>
        </is>
      </c>
      <c r="Q8962" t="inlineStr">
        <is>
          <t>2</t>
        </is>
      </c>
    </row>
    <row r="8963" ht="16.5" customHeight="1" s="37">
      <c r="A8963" t="n">
        <v>5</v>
      </c>
      <c r="B8963" s="10" t="inlineStr">
        <is>
          <t>平日</t>
        </is>
      </c>
      <c r="C8963" s="10" t="inlineStr">
        <is>
          <t>本線</t>
        </is>
      </c>
      <c r="D8963" s="10" t="inlineStr">
        <is>
          <t>上り</t>
        </is>
      </c>
      <c r="E8963" s="10" t="inlineStr">
        <is>
          <t>連0804</t>
        </is>
      </c>
      <c r="F8963" t="inlineStr">
        <is>
          <t>2221</t>
        </is>
      </c>
      <c r="G8963" s="10" t="inlineStr">
        <is>
          <t>嵐山</t>
        </is>
      </c>
      <c r="H8963" s="10" t="inlineStr">
        <is>
          <t>発</t>
        </is>
      </c>
      <c r="J8963" s="10" t="inlineStr">
        <is>
          <t>営業</t>
        </is>
      </c>
      <c r="M8963" t="inlineStr">
        <is>
          <t>8:13:00</t>
        </is>
      </c>
      <c r="P8963" t="inlineStr">
        <is>
          <t>F系統(朝)</t>
        </is>
      </c>
      <c r="Q8963" t="inlineStr">
        <is>
          <t>2</t>
        </is>
      </c>
    </row>
    <row r="8964" ht="16.5" customHeight="1" s="37">
      <c r="A8964" t="n">
        <v>5</v>
      </c>
      <c r="B8964" s="10" t="inlineStr">
        <is>
          <t>平日</t>
        </is>
      </c>
      <c r="C8964" s="10" t="inlineStr">
        <is>
          <t>本線</t>
        </is>
      </c>
      <c r="D8964" s="10" t="inlineStr">
        <is>
          <t>上り</t>
        </is>
      </c>
      <c r="E8964" s="10" t="inlineStr">
        <is>
          <t>連0804</t>
        </is>
      </c>
      <c r="F8964" t="inlineStr">
        <is>
          <t>2221</t>
        </is>
      </c>
      <c r="G8964" s="10" t="inlineStr">
        <is>
          <t>嵯峨</t>
        </is>
      </c>
      <c r="H8964" s="10" t="inlineStr">
        <is>
          <t>発</t>
        </is>
      </c>
      <c r="J8964" s="10" t="inlineStr">
        <is>
          <t>営業</t>
        </is>
      </c>
      <c r="L8964" t="inlineStr">
        <is>
          <t>8:13:55</t>
        </is>
      </c>
      <c r="M8964" t="inlineStr">
        <is>
          <t>8:14:20</t>
        </is>
      </c>
      <c r="P8964" t="inlineStr">
        <is>
          <t>F系統(朝)</t>
        </is>
      </c>
    </row>
    <row r="8965" ht="16.5" customHeight="1" s="37">
      <c r="A8965" t="n">
        <v>5</v>
      </c>
      <c r="B8965" s="10" t="inlineStr">
        <is>
          <t>平日</t>
        </is>
      </c>
      <c r="C8965" s="10" t="inlineStr">
        <is>
          <t>本線</t>
        </is>
      </c>
      <c r="D8965" s="10" t="inlineStr">
        <is>
          <t>上り</t>
        </is>
      </c>
      <c r="E8965" s="10" t="inlineStr">
        <is>
          <t>連0804</t>
        </is>
      </c>
      <c r="F8965" t="inlineStr">
        <is>
          <t>2221</t>
        </is>
      </c>
      <c r="G8965" s="10" t="inlineStr">
        <is>
          <t>鹿王院</t>
        </is>
      </c>
      <c r="H8965" s="10" t="inlineStr">
        <is>
          <t>発</t>
        </is>
      </c>
      <c r="J8965" s="10" t="inlineStr">
        <is>
          <t>営業</t>
        </is>
      </c>
      <c r="L8965" t="inlineStr">
        <is>
          <t>8:15:25</t>
        </is>
      </c>
      <c r="M8965" t="inlineStr">
        <is>
          <t>8:15:45</t>
        </is>
      </c>
      <c r="P8965" t="inlineStr">
        <is>
          <t>F系統(朝)</t>
        </is>
      </c>
    </row>
    <row r="8966" ht="16.5" customHeight="1" s="37">
      <c r="A8966" t="n">
        <v>5</v>
      </c>
      <c r="B8966" s="10" t="inlineStr">
        <is>
          <t>平日</t>
        </is>
      </c>
      <c r="C8966" s="10" t="inlineStr">
        <is>
          <t>本線</t>
        </is>
      </c>
      <c r="D8966" s="10" t="inlineStr">
        <is>
          <t>上り</t>
        </is>
      </c>
      <c r="E8966" s="10" t="inlineStr">
        <is>
          <t>連0804</t>
        </is>
      </c>
      <c r="F8966" t="inlineStr">
        <is>
          <t>2221</t>
        </is>
      </c>
      <c r="G8966" s="10" t="inlineStr">
        <is>
          <t>車折</t>
        </is>
      </c>
      <c r="H8966" s="10" t="inlineStr">
        <is>
          <t>発</t>
        </is>
      </c>
      <c r="J8966" s="10" t="inlineStr">
        <is>
          <t>営業</t>
        </is>
      </c>
      <c r="L8966" t="inlineStr">
        <is>
          <t>8:16:40</t>
        </is>
      </c>
      <c r="M8966" t="inlineStr">
        <is>
          <t>8:17:10</t>
        </is>
      </c>
      <c r="P8966" t="inlineStr">
        <is>
          <t>F系統(朝)</t>
        </is>
      </c>
    </row>
    <row r="8967" ht="16.5" customHeight="1" s="37">
      <c r="A8967" t="n">
        <v>5</v>
      </c>
      <c r="B8967" s="10" t="inlineStr">
        <is>
          <t>平日</t>
        </is>
      </c>
      <c r="C8967" s="10" t="inlineStr">
        <is>
          <t>本線</t>
        </is>
      </c>
      <c r="D8967" s="10" t="inlineStr">
        <is>
          <t>上り</t>
        </is>
      </c>
      <c r="E8967" s="10" t="inlineStr">
        <is>
          <t>連0804</t>
        </is>
      </c>
      <c r="F8967" t="inlineStr">
        <is>
          <t>2221</t>
        </is>
      </c>
      <c r="G8967" s="10" t="inlineStr">
        <is>
          <t>有栖川</t>
        </is>
      </c>
      <c r="H8967" s="10" t="inlineStr">
        <is>
          <t>発</t>
        </is>
      </c>
      <c r="J8967" s="10" t="inlineStr">
        <is>
          <t>営業</t>
        </is>
      </c>
      <c r="L8967" t="inlineStr">
        <is>
          <t>8:18:35</t>
        </is>
      </c>
      <c r="M8967" t="inlineStr">
        <is>
          <t>8:18:55</t>
        </is>
      </c>
      <c r="P8967" t="inlineStr">
        <is>
          <t>F系統(朝)</t>
        </is>
      </c>
    </row>
    <row r="8968" ht="16.5" customHeight="1" s="37">
      <c r="A8968" t="n">
        <v>5</v>
      </c>
      <c r="B8968" s="10" t="inlineStr">
        <is>
          <t>平日</t>
        </is>
      </c>
      <c r="C8968" s="10" t="inlineStr">
        <is>
          <t>本線</t>
        </is>
      </c>
      <c r="D8968" s="10" t="inlineStr">
        <is>
          <t>上り</t>
        </is>
      </c>
      <c r="E8968" s="10" t="inlineStr">
        <is>
          <t>連0804</t>
        </is>
      </c>
      <c r="F8968" t="inlineStr">
        <is>
          <t>2221</t>
        </is>
      </c>
      <c r="G8968" s="10" t="inlineStr">
        <is>
          <t>帷子ノ辻</t>
        </is>
      </c>
      <c r="H8968" s="10" t="inlineStr">
        <is>
          <t>発</t>
        </is>
      </c>
      <c r="J8968" s="10" t="inlineStr">
        <is>
          <t>営業</t>
        </is>
      </c>
      <c r="L8968" t="inlineStr">
        <is>
          <t>8:20:10</t>
        </is>
      </c>
      <c r="M8968" t="inlineStr">
        <is>
          <t>8:21:15</t>
        </is>
      </c>
      <c r="P8968" t="inlineStr">
        <is>
          <t>F系統(朝)</t>
        </is>
      </c>
    </row>
    <row r="8969" ht="16.5" customHeight="1" s="37">
      <c r="A8969" t="n">
        <v>5</v>
      </c>
      <c r="B8969" s="10" t="inlineStr">
        <is>
          <t>平日</t>
        </is>
      </c>
      <c r="C8969" s="10" t="inlineStr">
        <is>
          <t>本線</t>
        </is>
      </c>
      <c r="D8969" s="10" t="inlineStr">
        <is>
          <t>上り</t>
        </is>
      </c>
      <c r="E8969" s="10" t="inlineStr">
        <is>
          <t>連0804</t>
        </is>
      </c>
      <c r="F8969" t="inlineStr">
        <is>
          <t>2221</t>
        </is>
      </c>
      <c r="G8969" s="10" t="inlineStr">
        <is>
          <t>太秦広隆寺</t>
        </is>
      </c>
      <c r="H8969" s="10" t="inlineStr">
        <is>
          <t>発</t>
        </is>
      </c>
      <c r="J8969" s="10" t="inlineStr">
        <is>
          <t>営業</t>
        </is>
      </c>
      <c r="L8969" t="inlineStr">
        <is>
          <t>8:23:25</t>
        </is>
      </c>
      <c r="M8969" t="inlineStr">
        <is>
          <t>8:23:45</t>
        </is>
      </c>
      <c r="P8969" t="inlineStr">
        <is>
          <t>F系統(朝)</t>
        </is>
      </c>
    </row>
    <row r="8970" ht="16.5" customHeight="1" s="37">
      <c r="A8970" t="n">
        <v>5</v>
      </c>
      <c r="B8970" s="10" t="inlineStr">
        <is>
          <t>平日</t>
        </is>
      </c>
      <c r="C8970" s="10" t="inlineStr">
        <is>
          <t>本線</t>
        </is>
      </c>
      <c r="D8970" s="10" t="inlineStr">
        <is>
          <t>上り</t>
        </is>
      </c>
      <c r="E8970" s="10" t="inlineStr">
        <is>
          <t>連0804</t>
        </is>
      </c>
      <c r="F8970" t="inlineStr">
        <is>
          <t>2221</t>
        </is>
      </c>
      <c r="G8970" s="10" t="inlineStr">
        <is>
          <t>蚕ノ社</t>
        </is>
      </c>
      <c r="H8970" s="10" t="inlineStr">
        <is>
          <t>発</t>
        </is>
      </c>
      <c r="J8970" s="10" t="inlineStr">
        <is>
          <t>営業</t>
        </is>
      </c>
      <c r="L8970" t="inlineStr">
        <is>
          <t>8:25:00</t>
        </is>
      </c>
      <c r="M8970" t="inlineStr">
        <is>
          <t>8:25:20</t>
        </is>
      </c>
      <c r="P8970" t="inlineStr">
        <is>
          <t>F系統(朝)</t>
        </is>
      </c>
    </row>
    <row r="8971" ht="16.5" customHeight="1" s="37">
      <c r="A8971" t="n">
        <v>5</v>
      </c>
      <c r="B8971" s="10" t="inlineStr">
        <is>
          <t>平日</t>
        </is>
      </c>
      <c r="C8971" s="10" t="inlineStr">
        <is>
          <t>本線</t>
        </is>
      </c>
      <c r="D8971" s="10" t="inlineStr">
        <is>
          <t>上り</t>
        </is>
      </c>
      <c r="E8971" s="10" t="inlineStr">
        <is>
          <t>連0804</t>
        </is>
      </c>
      <c r="F8971" t="inlineStr">
        <is>
          <t>2221</t>
        </is>
      </c>
      <c r="G8971" s="10" t="inlineStr">
        <is>
          <t>天神川</t>
        </is>
      </c>
      <c r="H8971" s="10" t="inlineStr">
        <is>
          <t>発</t>
        </is>
      </c>
      <c r="J8971" s="10" t="inlineStr">
        <is>
          <t>営業</t>
        </is>
      </c>
      <c r="L8971" t="inlineStr">
        <is>
          <t>8:26:05</t>
        </is>
      </c>
      <c r="M8971" t="inlineStr">
        <is>
          <t>8:26:50</t>
        </is>
      </c>
      <c r="P8971" t="inlineStr">
        <is>
          <t>F系統(朝)</t>
        </is>
      </c>
    </row>
    <row r="8972" ht="16.5" customHeight="1" s="37">
      <c r="A8972" t="n">
        <v>5</v>
      </c>
      <c r="B8972" s="10" t="inlineStr">
        <is>
          <t>平日</t>
        </is>
      </c>
      <c r="C8972" s="10" t="inlineStr">
        <is>
          <t>本線</t>
        </is>
      </c>
      <c r="D8972" s="10" t="inlineStr">
        <is>
          <t>上り</t>
        </is>
      </c>
      <c r="E8972" s="10" t="inlineStr">
        <is>
          <t>連0804</t>
        </is>
      </c>
      <c r="F8972" t="inlineStr">
        <is>
          <t>2221</t>
        </is>
      </c>
      <c r="G8972" s="10" t="inlineStr">
        <is>
          <t>山ノ内</t>
        </is>
      </c>
      <c r="H8972" s="10" t="inlineStr">
        <is>
          <t>発</t>
        </is>
      </c>
      <c r="J8972" s="10" t="inlineStr">
        <is>
          <t>営業</t>
        </is>
      </c>
      <c r="L8972" t="inlineStr">
        <is>
          <t>8:28:40</t>
        </is>
      </c>
      <c r="M8972" t="inlineStr">
        <is>
          <t>8:29:05</t>
        </is>
      </c>
      <c r="P8972" t="inlineStr">
        <is>
          <t>F系統(朝)</t>
        </is>
      </c>
    </row>
    <row r="8973" ht="16.5" customHeight="1" s="37">
      <c r="A8973" t="n">
        <v>5</v>
      </c>
      <c r="B8973" s="10" t="inlineStr">
        <is>
          <t>平日</t>
        </is>
      </c>
      <c r="C8973" s="10" t="inlineStr">
        <is>
          <t>本線</t>
        </is>
      </c>
      <c r="D8973" s="10" t="inlineStr">
        <is>
          <t>上り</t>
        </is>
      </c>
      <c r="E8973" s="10" t="inlineStr">
        <is>
          <t>連0804</t>
        </is>
      </c>
      <c r="F8973" t="inlineStr">
        <is>
          <t>2221</t>
        </is>
      </c>
      <c r="G8973" s="10" t="inlineStr">
        <is>
          <t>西大路三条</t>
        </is>
      </c>
      <c r="H8973" s="10" t="inlineStr">
        <is>
          <t>発</t>
        </is>
      </c>
      <c r="J8973" s="10" t="inlineStr">
        <is>
          <t>営業</t>
        </is>
      </c>
      <c r="L8973" t="inlineStr">
        <is>
          <t>8:30:55</t>
        </is>
      </c>
      <c r="M8973" t="inlineStr">
        <is>
          <t>8:31:15</t>
        </is>
      </c>
      <c r="P8973" t="inlineStr">
        <is>
          <t>F系統(朝)</t>
        </is>
      </c>
    </row>
    <row r="8974" ht="16.5" customHeight="1" s="37">
      <c r="A8974" t="n">
        <v>5</v>
      </c>
      <c r="B8974" s="10" t="inlineStr">
        <is>
          <t>平日</t>
        </is>
      </c>
      <c r="C8974" s="10" t="inlineStr">
        <is>
          <t>本線</t>
        </is>
      </c>
      <c r="D8974" s="10" t="inlineStr">
        <is>
          <t>上り</t>
        </is>
      </c>
      <c r="E8974" s="10" t="inlineStr">
        <is>
          <t>連0804</t>
        </is>
      </c>
      <c r="F8974" t="inlineStr">
        <is>
          <t>2221</t>
        </is>
      </c>
      <c r="G8974" s="10" t="inlineStr">
        <is>
          <t>西院</t>
        </is>
      </c>
      <c r="H8974" s="10" t="inlineStr">
        <is>
          <t>発</t>
        </is>
      </c>
      <c r="J8974" s="10" t="inlineStr">
        <is>
          <t>営業</t>
        </is>
      </c>
      <c r="L8974" t="inlineStr">
        <is>
          <t>8:33:10</t>
        </is>
      </c>
      <c r="M8974" t="inlineStr">
        <is>
          <t>8:34:05</t>
        </is>
      </c>
      <c r="P8974" t="inlineStr">
        <is>
          <t>F系統(朝)</t>
        </is>
      </c>
    </row>
    <row r="8975" ht="16.5" customHeight="1" s="37">
      <c r="A8975" t="n">
        <v>5</v>
      </c>
      <c r="B8975" s="10" t="inlineStr">
        <is>
          <t>平日</t>
        </is>
      </c>
      <c r="C8975" s="10" t="inlineStr">
        <is>
          <t>本線</t>
        </is>
      </c>
      <c r="D8975" s="10" t="inlineStr">
        <is>
          <t>上り</t>
        </is>
      </c>
      <c r="E8975" s="10" t="inlineStr">
        <is>
          <t>連0804</t>
        </is>
      </c>
      <c r="F8975" t="inlineStr">
        <is>
          <t>2221</t>
        </is>
      </c>
      <c r="G8975" s="10" t="inlineStr">
        <is>
          <t>四条大宮</t>
        </is>
      </c>
      <c r="H8975" s="10" t="inlineStr">
        <is>
          <t>着</t>
        </is>
      </c>
      <c r="J8975" s="10" t="inlineStr">
        <is>
          <t>営業</t>
        </is>
      </c>
      <c r="L8975" t="inlineStr">
        <is>
          <t>8:37:00</t>
        </is>
      </c>
      <c r="P8975" t="inlineStr">
        <is>
          <t>F系統(朝)</t>
        </is>
      </c>
      <c r="Q8975" t="inlineStr">
        <is>
          <t>1</t>
        </is>
      </c>
    </row>
    <row r="8976" ht="16.5" customHeight="1" s="37">
      <c r="A8976" t="n">
        <v>5</v>
      </c>
      <c r="B8976" s="10" t="inlineStr">
        <is>
          <t>平日</t>
        </is>
      </c>
      <c r="C8976" s="10" t="inlineStr">
        <is>
          <t>本線</t>
        </is>
      </c>
      <c r="D8976" s="10" t="inlineStr">
        <is>
          <t>下り</t>
        </is>
      </c>
      <c r="E8976" s="10" t="inlineStr">
        <is>
          <t>連0809</t>
        </is>
      </c>
      <c r="F8976" t="inlineStr">
        <is>
          <t>0122</t>
        </is>
      </c>
      <c r="G8976" s="10" t="inlineStr">
        <is>
          <t>四条大宮</t>
        </is>
      </c>
      <c r="H8976" s="10" t="inlineStr">
        <is>
          <t>発</t>
        </is>
      </c>
      <c r="J8976" s="10" t="inlineStr">
        <is>
          <t>営業</t>
        </is>
      </c>
      <c r="M8976" t="inlineStr">
        <is>
          <t>8:43:00</t>
        </is>
      </c>
      <c r="P8976" t="inlineStr">
        <is>
          <t>F系統(朝)</t>
        </is>
      </c>
      <c r="Q8976" t="inlineStr">
        <is>
          <t>1</t>
        </is>
      </c>
    </row>
    <row r="8977" ht="16.5" customHeight="1" s="37">
      <c r="A8977" t="n">
        <v>5</v>
      </c>
      <c r="B8977" s="10" t="inlineStr">
        <is>
          <t>平日</t>
        </is>
      </c>
      <c r="C8977" s="10" t="inlineStr">
        <is>
          <t>本線</t>
        </is>
      </c>
      <c r="D8977" s="10" t="inlineStr">
        <is>
          <t>下り</t>
        </is>
      </c>
      <c r="E8977" s="10" t="inlineStr">
        <is>
          <t>連0809</t>
        </is>
      </c>
      <c r="F8977" t="inlineStr">
        <is>
          <t>0122</t>
        </is>
      </c>
      <c r="G8977" s="10" t="inlineStr">
        <is>
          <t>西院</t>
        </is>
      </c>
      <c r="H8977" s="10" t="inlineStr">
        <is>
          <t>発</t>
        </is>
      </c>
      <c r="J8977" s="10" t="inlineStr">
        <is>
          <t>営業</t>
        </is>
      </c>
      <c r="L8977" t="inlineStr">
        <is>
          <t>8:45:50</t>
        </is>
      </c>
      <c r="M8977" t="inlineStr">
        <is>
          <t>8:46:20</t>
        </is>
      </c>
      <c r="P8977" t="inlineStr">
        <is>
          <t>F系統(朝)</t>
        </is>
      </c>
    </row>
    <row r="8978" ht="16.5" customHeight="1" s="37">
      <c r="A8978" t="n">
        <v>5</v>
      </c>
      <c r="B8978" s="10" t="inlineStr">
        <is>
          <t>平日</t>
        </is>
      </c>
      <c r="C8978" s="10" t="inlineStr">
        <is>
          <t>本線</t>
        </is>
      </c>
      <c r="D8978" s="10" t="inlineStr">
        <is>
          <t>下り</t>
        </is>
      </c>
      <c r="E8978" s="10" t="inlineStr">
        <is>
          <t>連0809</t>
        </is>
      </c>
      <c r="F8978" t="inlineStr">
        <is>
          <t>0122</t>
        </is>
      </c>
      <c r="G8978" s="10" t="inlineStr">
        <is>
          <t>西大路三条</t>
        </is>
      </c>
      <c r="H8978" s="10" t="inlineStr">
        <is>
          <t>発</t>
        </is>
      </c>
      <c r="J8978" s="10" t="inlineStr">
        <is>
          <t>営業</t>
        </is>
      </c>
      <c r="L8978" t="inlineStr">
        <is>
          <t>8:48:10</t>
        </is>
      </c>
      <c r="M8978" t="inlineStr">
        <is>
          <t>8:48:30</t>
        </is>
      </c>
      <c r="P8978" t="inlineStr">
        <is>
          <t>F系統(朝)</t>
        </is>
      </c>
    </row>
    <row r="8979" ht="16.5" customHeight="1" s="37">
      <c r="A8979" t="n">
        <v>5</v>
      </c>
      <c r="B8979" s="10" t="inlineStr">
        <is>
          <t>平日</t>
        </is>
      </c>
      <c r="C8979" s="10" t="inlineStr">
        <is>
          <t>本線</t>
        </is>
      </c>
      <c r="D8979" s="10" t="inlineStr">
        <is>
          <t>下り</t>
        </is>
      </c>
      <c r="E8979" s="10" t="inlineStr">
        <is>
          <t>連0809</t>
        </is>
      </c>
      <c r="F8979" t="inlineStr">
        <is>
          <t>0122</t>
        </is>
      </c>
      <c r="G8979" s="10" t="inlineStr">
        <is>
          <t>山ノ内</t>
        </is>
      </c>
      <c r="H8979" s="10" t="inlineStr">
        <is>
          <t>発</t>
        </is>
      </c>
      <c r="J8979" s="10" t="inlineStr">
        <is>
          <t>営業</t>
        </is>
      </c>
      <c r="L8979" t="inlineStr">
        <is>
          <t>8:50:25</t>
        </is>
      </c>
      <c r="M8979" t="inlineStr">
        <is>
          <t>8:50:50</t>
        </is>
      </c>
      <c r="P8979" t="inlineStr">
        <is>
          <t>F系統(朝)</t>
        </is>
      </c>
    </row>
    <row r="8980" ht="16.5" customHeight="1" s="37">
      <c r="A8980" t="n">
        <v>5</v>
      </c>
      <c r="B8980" s="10" t="inlineStr">
        <is>
          <t>平日</t>
        </is>
      </c>
      <c r="C8980" s="10" t="inlineStr">
        <is>
          <t>本線</t>
        </is>
      </c>
      <c r="D8980" s="10" t="inlineStr">
        <is>
          <t>下り</t>
        </is>
      </c>
      <c r="E8980" s="10" t="inlineStr">
        <is>
          <t>連0809</t>
        </is>
      </c>
      <c r="F8980" t="inlineStr">
        <is>
          <t>0122</t>
        </is>
      </c>
      <c r="G8980" s="10" t="inlineStr">
        <is>
          <t>天神川</t>
        </is>
      </c>
      <c r="H8980" s="10" t="inlineStr">
        <is>
          <t>発</t>
        </is>
      </c>
      <c r="J8980" s="10" t="inlineStr">
        <is>
          <t>営業</t>
        </is>
      </c>
      <c r="L8980" t="inlineStr">
        <is>
          <t>8:52:50</t>
        </is>
      </c>
      <c r="M8980" t="inlineStr">
        <is>
          <t>8:53:30</t>
        </is>
      </c>
      <c r="P8980" t="inlineStr">
        <is>
          <t>F系統(朝)</t>
        </is>
      </c>
    </row>
    <row r="8981" ht="16.5" customHeight="1" s="37">
      <c r="A8981" t="n">
        <v>5</v>
      </c>
      <c r="B8981" s="10" t="inlineStr">
        <is>
          <t>平日</t>
        </is>
      </c>
      <c r="C8981" s="10" t="inlineStr">
        <is>
          <t>本線</t>
        </is>
      </c>
      <c r="D8981" s="10" t="inlineStr">
        <is>
          <t>下り</t>
        </is>
      </c>
      <c r="E8981" s="10" t="inlineStr">
        <is>
          <t>連0809</t>
        </is>
      </c>
      <c r="F8981" t="inlineStr">
        <is>
          <t>0122</t>
        </is>
      </c>
      <c r="G8981" s="10" t="inlineStr">
        <is>
          <t>蚕ノ社</t>
        </is>
      </c>
      <c r="H8981" s="10" t="inlineStr">
        <is>
          <t>発</t>
        </is>
      </c>
      <c r="J8981" s="10" t="inlineStr">
        <is>
          <t>営業</t>
        </is>
      </c>
      <c r="L8981" t="inlineStr">
        <is>
          <t>8:54:20</t>
        </is>
      </c>
      <c r="M8981" t="inlineStr">
        <is>
          <t>8:54:40</t>
        </is>
      </c>
      <c r="P8981" t="inlineStr">
        <is>
          <t>F系統(朝)</t>
        </is>
      </c>
    </row>
    <row r="8982" ht="16.5" customHeight="1" s="37">
      <c r="A8982" t="n">
        <v>5</v>
      </c>
      <c r="B8982" s="10" t="inlineStr">
        <is>
          <t>平日</t>
        </is>
      </c>
      <c r="C8982" s="10" t="inlineStr">
        <is>
          <t>本線</t>
        </is>
      </c>
      <c r="D8982" s="10" t="inlineStr">
        <is>
          <t>下り</t>
        </is>
      </c>
      <c r="E8982" s="10" t="inlineStr">
        <is>
          <t>連0809</t>
        </is>
      </c>
      <c r="F8982" t="inlineStr">
        <is>
          <t>0122</t>
        </is>
      </c>
      <c r="G8982" s="10" t="inlineStr">
        <is>
          <t>太秦広隆寺</t>
        </is>
      </c>
      <c r="H8982" s="10" t="inlineStr">
        <is>
          <t>発</t>
        </is>
      </c>
      <c r="J8982" s="10" t="inlineStr">
        <is>
          <t>営業</t>
        </is>
      </c>
      <c r="L8982" t="inlineStr">
        <is>
          <t>8:56:00</t>
        </is>
      </c>
      <c r="M8982" t="inlineStr">
        <is>
          <t>8:56:20</t>
        </is>
      </c>
      <c r="P8982" t="inlineStr">
        <is>
          <t>F系統(朝)</t>
        </is>
      </c>
    </row>
    <row r="8983" ht="16.5" customHeight="1" s="37">
      <c r="A8983" t="n">
        <v>5</v>
      </c>
      <c r="B8983" s="10" t="inlineStr">
        <is>
          <t>平日</t>
        </is>
      </c>
      <c r="C8983" s="10" t="inlineStr">
        <is>
          <t>本線</t>
        </is>
      </c>
      <c r="D8983" s="10" t="inlineStr">
        <is>
          <t>下り</t>
        </is>
      </c>
      <c r="E8983" s="10" t="inlineStr">
        <is>
          <t>連0809</t>
        </is>
      </c>
      <c r="F8983" t="inlineStr">
        <is>
          <t>0122</t>
        </is>
      </c>
      <c r="G8983" s="10" t="inlineStr">
        <is>
          <t>帷子ノ辻</t>
        </is>
      </c>
      <c r="H8983" s="10" t="inlineStr">
        <is>
          <t>発</t>
        </is>
      </c>
      <c r="J8983" s="10" t="inlineStr">
        <is>
          <t>営業</t>
        </is>
      </c>
      <c r="L8983" t="inlineStr">
        <is>
          <t>8:58:20</t>
        </is>
      </c>
      <c r="M8983" t="inlineStr">
        <is>
          <t>8:59:40</t>
        </is>
      </c>
      <c r="P8983" t="inlineStr">
        <is>
          <t>F系統(朝)</t>
        </is>
      </c>
    </row>
    <row r="8984" ht="16.5" customHeight="1" s="37">
      <c r="A8984" t="n">
        <v>5</v>
      </c>
      <c r="B8984" s="10" t="inlineStr">
        <is>
          <t>平日</t>
        </is>
      </c>
      <c r="C8984" s="10" t="inlineStr">
        <is>
          <t>本線</t>
        </is>
      </c>
      <c r="D8984" s="10" t="inlineStr">
        <is>
          <t>下り</t>
        </is>
      </c>
      <c r="E8984" s="10" t="inlineStr">
        <is>
          <t>連0809</t>
        </is>
      </c>
      <c r="F8984" t="inlineStr">
        <is>
          <t>0122</t>
        </is>
      </c>
      <c r="G8984" s="10" t="inlineStr">
        <is>
          <t>有栖川</t>
        </is>
      </c>
      <c r="H8984" s="10" t="inlineStr">
        <is>
          <t>発</t>
        </is>
      </c>
      <c r="J8984" s="10" t="inlineStr">
        <is>
          <t>営業</t>
        </is>
      </c>
      <c r="L8984" t="inlineStr">
        <is>
          <t>9:00:50</t>
        </is>
      </c>
      <c r="M8984" t="inlineStr">
        <is>
          <t>9:01:15</t>
        </is>
      </c>
      <c r="P8984" t="inlineStr">
        <is>
          <t>F系統(朝)</t>
        </is>
      </c>
    </row>
    <row r="8985" ht="15" customHeight="1" s="37">
      <c r="A8985" t="n">
        <v>5</v>
      </c>
      <c r="B8985" s="10" t="inlineStr">
        <is>
          <t>平日</t>
        </is>
      </c>
      <c r="C8985" s="10" t="inlineStr">
        <is>
          <t>本線</t>
        </is>
      </c>
      <c r="D8985" s="10" t="inlineStr">
        <is>
          <t>下り</t>
        </is>
      </c>
      <c r="E8985" s="10" t="inlineStr">
        <is>
          <t>連0809</t>
        </is>
      </c>
      <c r="F8985" t="inlineStr">
        <is>
          <t>0122</t>
        </is>
      </c>
      <c r="G8985" s="10" t="inlineStr">
        <is>
          <t>車折</t>
        </is>
      </c>
      <c r="H8985" s="10" t="inlineStr">
        <is>
          <t>発</t>
        </is>
      </c>
      <c r="J8985" s="10" t="inlineStr">
        <is>
          <t>営業</t>
        </is>
      </c>
      <c r="L8985" t="inlineStr">
        <is>
          <t>9:02:40</t>
        </is>
      </c>
      <c r="M8985" t="inlineStr">
        <is>
          <t>9:03:05</t>
        </is>
      </c>
      <c r="P8985" t="inlineStr">
        <is>
          <t>F系統(朝)</t>
        </is>
      </c>
    </row>
    <row r="8986" ht="15" customHeight="1" s="37">
      <c r="A8986" t="n">
        <v>5</v>
      </c>
      <c r="B8986" s="10" t="inlineStr">
        <is>
          <t>平日</t>
        </is>
      </c>
      <c r="C8986" s="10" t="inlineStr">
        <is>
          <t>本線</t>
        </is>
      </c>
      <c r="D8986" s="10" t="inlineStr">
        <is>
          <t>下り</t>
        </is>
      </c>
      <c r="E8986" s="10" t="inlineStr">
        <is>
          <t>連0809</t>
        </is>
      </c>
      <c r="F8986" t="inlineStr">
        <is>
          <t>0122</t>
        </is>
      </c>
      <c r="G8986" s="10" t="inlineStr">
        <is>
          <t>鹿王院</t>
        </is>
      </c>
      <c r="H8986" s="10" t="inlineStr">
        <is>
          <t>発</t>
        </is>
      </c>
      <c r="J8986" s="10" t="inlineStr">
        <is>
          <t>営業</t>
        </is>
      </c>
      <c r="L8986" t="inlineStr">
        <is>
          <t>9:04:00</t>
        </is>
      </c>
      <c r="M8986" t="inlineStr">
        <is>
          <t>9:04:25</t>
        </is>
      </c>
      <c r="P8986" t="inlineStr">
        <is>
          <t>F系統(朝)</t>
        </is>
      </c>
    </row>
    <row r="8987" ht="15" customHeight="1" s="37">
      <c r="A8987" t="n">
        <v>5</v>
      </c>
      <c r="B8987" s="10" t="inlineStr">
        <is>
          <t>平日</t>
        </is>
      </c>
      <c r="C8987" s="10" t="inlineStr">
        <is>
          <t>本線</t>
        </is>
      </c>
      <c r="D8987" s="10" t="inlineStr">
        <is>
          <t>下り</t>
        </is>
      </c>
      <c r="E8987" s="10" t="inlineStr">
        <is>
          <t>連0809</t>
        </is>
      </c>
      <c r="F8987" t="inlineStr">
        <is>
          <t>0122</t>
        </is>
      </c>
      <c r="G8987" s="10" t="inlineStr">
        <is>
          <t>嵯峨</t>
        </is>
      </c>
      <c r="H8987" s="10" t="inlineStr">
        <is>
          <t>発</t>
        </is>
      </c>
      <c r="J8987" s="10" t="inlineStr">
        <is>
          <t>営業</t>
        </is>
      </c>
      <c r="L8987" t="inlineStr">
        <is>
          <t>9:05:30</t>
        </is>
      </c>
      <c r="M8987" t="inlineStr">
        <is>
          <t>9:05:55</t>
        </is>
      </c>
      <c r="P8987" t="inlineStr">
        <is>
          <t>F系統(朝)</t>
        </is>
      </c>
    </row>
    <row r="8988" ht="15" customHeight="1" s="37">
      <c r="A8988" t="n">
        <v>5</v>
      </c>
      <c r="B8988" s="10" t="inlineStr">
        <is>
          <t>平日</t>
        </is>
      </c>
      <c r="C8988" s="10" t="inlineStr">
        <is>
          <t>本線</t>
        </is>
      </c>
      <c r="D8988" s="10" t="inlineStr">
        <is>
          <t>下り</t>
        </is>
      </c>
      <c r="E8988" s="10" t="inlineStr">
        <is>
          <t>連0809</t>
        </is>
      </c>
      <c r="F8988" t="inlineStr">
        <is>
          <t>0122</t>
        </is>
      </c>
      <c r="G8988" s="10" t="inlineStr">
        <is>
          <t>嵐山</t>
        </is>
      </c>
      <c r="H8988" s="10" t="inlineStr">
        <is>
          <t>着</t>
        </is>
      </c>
      <c r="J8988" s="10" t="inlineStr">
        <is>
          <t>営業</t>
        </is>
      </c>
      <c r="L8988" t="inlineStr">
        <is>
          <t>9:07:00</t>
        </is>
      </c>
      <c r="N8988" t="inlineStr">
        <is>
          <t>○</t>
        </is>
      </c>
      <c r="P8988" t="inlineStr">
        <is>
          <t>F系統(朝)</t>
        </is>
      </c>
      <c r="Q8988" t="inlineStr">
        <is>
          <t>1</t>
        </is>
      </c>
    </row>
    <row r="8989" ht="15" customHeight="1" s="37">
      <c r="A8989" t="n">
        <v>5</v>
      </c>
      <c r="B8989" s="10" t="inlineStr">
        <is>
          <t>平日</t>
        </is>
      </c>
      <c r="C8989" s="10" t="inlineStr">
        <is>
          <t>本線</t>
        </is>
      </c>
      <c r="D8989" s="10" t="inlineStr">
        <is>
          <t>上り</t>
        </is>
      </c>
      <c r="E8989" s="10" t="inlineStr">
        <is>
          <t>連0904</t>
        </is>
      </c>
      <c r="F8989" t="inlineStr">
        <is>
          <t>0211</t>
        </is>
      </c>
      <c r="G8989" s="10" t="inlineStr">
        <is>
          <t>嵐山</t>
        </is>
      </c>
      <c r="H8989" s="10" t="inlineStr">
        <is>
          <t>発</t>
        </is>
      </c>
      <c r="J8989" s="10" t="inlineStr">
        <is>
          <t>営業</t>
        </is>
      </c>
      <c r="M8989" t="inlineStr">
        <is>
          <t>9:13:00</t>
        </is>
      </c>
      <c r="P8989" t="inlineStr">
        <is>
          <t>F系統(朝)</t>
        </is>
      </c>
      <c r="Q8989" t="inlineStr">
        <is>
          <t>1</t>
        </is>
      </c>
    </row>
    <row r="8990" ht="15" customHeight="1" s="37">
      <c r="A8990" t="n">
        <v>5</v>
      </c>
      <c r="B8990" s="10" t="inlineStr">
        <is>
          <t>平日</t>
        </is>
      </c>
      <c r="C8990" s="10" t="inlineStr">
        <is>
          <t>本線</t>
        </is>
      </c>
      <c r="D8990" s="10" t="inlineStr">
        <is>
          <t>上り</t>
        </is>
      </c>
      <c r="E8990" s="10" t="inlineStr">
        <is>
          <t>連0904</t>
        </is>
      </c>
      <c r="F8990" t="inlineStr">
        <is>
          <t>0211</t>
        </is>
      </c>
      <c r="G8990" s="10" t="inlineStr">
        <is>
          <t>嵯峨</t>
        </is>
      </c>
      <c r="H8990" s="10" t="inlineStr">
        <is>
          <t>発</t>
        </is>
      </c>
      <c r="J8990" s="10" t="inlineStr">
        <is>
          <t>営業</t>
        </is>
      </c>
      <c r="L8990" t="inlineStr">
        <is>
          <t>9:13:55</t>
        </is>
      </c>
      <c r="M8990" t="inlineStr">
        <is>
          <t>9:14:20</t>
        </is>
      </c>
      <c r="P8990" t="inlineStr">
        <is>
          <t>F系統(朝)</t>
        </is>
      </c>
    </row>
    <row r="8991" ht="15" customHeight="1" s="37">
      <c r="A8991" t="n">
        <v>5</v>
      </c>
      <c r="B8991" s="10" t="inlineStr">
        <is>
          <t>平日</t>
        </is>
      </c>
      <c r="C8991" s="10" t="inlineStr">
        <is>
          <t>本線</t>
        </is>
      </c>
      <c r="D8991" s="10" t="inlineStr">
        <is>
          <t>上り</t>
        </is>
      </c>
      <c r="E8991" s="10" t="inlineStr">
        <is>
          <t>連0904</t>
        </is>
      </c>
      <c r="F8991" t="inlineStr">
        <is>
          <t>0211</t>
        </is>
      </c>
      <c r="G8991" s="10" t="inlineStr">
        <is>
          <t>鹿王院</t>
        </is>
      </c>
      <c r="H8991" s="10" t="inlineStr">
        <is>
          <t>発</t>
        </is>
      </c>
      <c r="J8991" s="10" t="inlineStr">
        <is>
          <t>営業</t>
        </is>
      </c>
      <c r="L8991" t="inlineStr">
        <is>
          <t>9:15:25</t>
        </is>
      </c>
      <c r="M8991" t="inlineStr">
        <is>
          <t>9:15:45</t>
        </is>
      </c>
      <c r="P8991" t="inlineStr">
        <is>
          <t>F系統(朝)</t>
        </is>
      </c>
    </row>
    <row r="8992" ht="15" customHeight="1" s="37">
      <c r="A8992" t="n">
        <v>5</v>
      </c>
      <c r="B8992" s="10" t="inlineStr">
        <is>
          <t>平日</t>
        </is>
      </c>
      <c r="C8992" s="10" t="inlineStr">
        <is>
          <t>本線</t>
        </is>
      </c>
      <c r="D8992" s="10" t="inlineStr">
        <is>
          <t>上り</t>
        </is>
      </c>
      <c r="E8992" s="10" t="inlineStr">
        <is>
          <t>連0904</t>
        </is>
      </c>
      <c r="F8992" t="inlineStr">
        <is>
          <t>0211</t>
        </is>
      </c>
      <c r="G8992" s="10" t="inlineStr">
        <is>
          <t>車折</t>
        </is>
      </c>
      <c r="H8992" s="10" t="inlineStr">
        <is>
          <t>発</t>
        </is>
      </c>
      <c r="J8992" s="10" t="inlineStr">
        <is>
          <t>営業</t>
        </is>
      </c>
      <c r="L8992" t="inlineStr">
        <is>
          <t>9:16:40</t>
        </is>
      </c>
      <c r="M8992" t="inlineStr">
        <is>
          <t>9:17:10</t>
        </is>
      </c>
      <c r="P8992" t="inlineStr">
        <is>
          <t>F系統(朝)</t>
        </is>
      </c>
    </row>
    <row r="8993" ht="15" customHeight="1" s="37">
      <c r="A8993" t="n">
        <v>5</v>
      </c>
      <c r="B8993" s="10" t="inlineStr">
        <is>
          <t>平日</t>
        </is>
      </c>
      <c r="C8993" s="10" t="inlineStr">
        <is>
          <t>本線</t>
        </is>
      </c>
      <c r="D8993" s="10" t="inlineStr">
        <is>
          <t>上り</t>
        </is>
      </c>
      <c r="E8993" s="10" t="inlineStr">
        <is>
          <t>連0904</t>
        </is>
      </c>
      <c r="F8993" t="inlineStr">
        <is>
          <t>0211</t>
        </is>
      </c>
      <c r="G8993" s="10" t="inlineStr">
        <is>
          <t>有栖川</t>
        </is>
      </c>
      <c r="H8993" s="10" t="inlineStr">
        <is>
          <t>発</t>
        </is>
      </c>
      <c r="J8993" s="10" t="inlineStr">
        <is>
          <t>営業</t>
        </is>
      </c>
      <c r="L8993" t="inlineStr">
        <is>
          <t>9:18:35</t>
        </is>
      </c>
      <c r="M8993" t="inlineStr">
        <is>
          <t>9:18:55</t>
        </is>
      </c>
      <c r="P8993" t="inlineStr">
        <is>
          <t>F系統(朝)</t>
        </is>
      </c>
    </row>
    <row r="8994" ht="15" customHeight="1" s="37">
      <c r="A8994" t="n">
        <v>5</v>
      </c>
      <c r="B8994" s="10" t="inlineStr">
        <is>
          <t>平日</t>
        </is>
      </c>
      <c r="C8994" s="10" t="inlineStr">
        <is>
          <t>本線</t>
        </is>
      </c>
      <c r="D8994" s="10" t="inlineStr">
        <is>
          <t>上り</t>
        </is>
      </c>
      <c r="E8994" s="10" t="inlineStr">
        <is>
          <t>連0904</t>
        </is>
      </c>
      <c r="F8994" t="inlineStr">
        <is>
          <t>0211</t>
        </is>
      </c>
      <c r="G8994" s="10" t="inlineStr">
        <is>
          <t>帷子ノ辻</t>
        </is>
      </c>
      <c r="H8994" s="10" t="inlineStr">
        <is>
          <t>発</t>
        </is>
      </c>
      <c r="J8994" s="10" t="inlineStr">
        <is>
          <t>営業</t>
        </is>
      </c>
      <c r="L8994" t="inlineStr">
        <is>
          <t>9:20:10</t>
        </is>
      </c>
      <c r="M8994" t="inlineStr">
        <is>
          <t>9:21:15</t>
        </is>
      </c>
      <c r="P8994" t="inlineStr">
        <is>
          <t>F系統(朝)</t>
        </is>
      </c>
    </row>
    <row r="8995" ht="15" customHeight="1" s="37">
      <c r="A8995" t="n">
        <v>5</v>
      </c>
      <c r="B8995" s="10" t="inlineStr">
        <is>
          <t>平日</t>
        </is>
      </c>
      <c r="C8995" s="10" t="inlineStr">
        <is>
          <t>本線</t>
        </is>
      </c>
      <c r="D8995" s="10" t="inlineStr">
        <is>
          <t>上り</t>
        </is>
      </c>
      <c r="E8995" s="10" t="inlineStr">
        <is>
          <t>連0904</t>
        </is>
      </c>
      <c r="F8995" t="inlineStr">
        <is>
          <t>0211</t>
        </is>
      </c>
      <c r="G8995" s="10" t="inlineStr">
        <is>
          <t>太秦広隆寺</t>
        </is>
      </c>
      <c r="H8995" s="10" t="inlineStr">
        <is>
          <t>発</t>
        </is>
      </c>
      <c r="J8995" s="10" t="inlineStr">
        <is>
          <t>営業</t>
        </is>
      </c>
      <c r="L8995" t="inlineStr">
        <is>
          <t>9:23:25</t>
        </is>
      </c>
      <c r="M8995" t="inlineStr">
        <is>
          <t>9:23:45</t>
        </is>
      </c>
      <c r="P8995" t="inlineStr">
        <is>
          <t>F系統(朝)</t>
        </is>
      </c>
    </row>
    <row r="8996" ht="15" customHeight="1" s="37">
      <c r="A8996" t="n">
        <v>5</v>
      </c>
      <c r="B8996" s="10" t="inlineStr">
        <is>
          <t>平日</t>
        </is>
      </c>
      <c r="C8996" s="10" t="inlineStr">
        <is>
          <t>本線</t>
        </is>
      </c>
      <c r="D8996" s="10" t="inlineStr">
        <is>
          <t>上り</t>
        </is>
      </c>
      <c r="E8996" s="10" t="inlineStr">
        <is>
          <t>連0904</t>
        </is>
      </c>
      <c r="F8996" t="inlineStr">
        <is>
          <t>0211</t>
        </is>
      </c>
      <c r="G8996" s="10" t="inlineStr">
        <is>
          <t>蚕ノ社</t>
        </is>
      </c>
      <c r="H8996" s="10" t="inlineStr">
        <is>
          <t>発</t>
        </is>
      </c>
      <c r="J8996" s="10" t="inlineStr">
        <is>
          <t>営業</t>
        </is>
      </c>
      <c r="L8996" t="inlineStr">
        <is>
          <t>9:25:00</t>
        </is>
      </c>
      <c r="M8996" t="inlineStr">
        <is>
          <t>9:25:20</t>
        </is>
      </c>
      <c r="P8996" t="inlineStr">
        <is>
          <t>F系統(朝)</t>
        </is>
      </c>
    </row>
    <row r="8997" ht="15" customHeight="1" s="37">
      <c r="A8997" t="n">
        <v>5</v>
      </c>
      <c r="B8997" s="10" t="inlineStr">
        <is>
          <t>平日</t>
        </is>
      </c>
      <c r="C8997" s="10" t="inlineStr">
        <is>
          <t>本線</t>
        </is>
      </c>
      <c r="D8997" s="10" t="inlineStr">
        <is>
          <t>上り</t>
        </is>
      </c>
      <c r="E8997" s="10" t="inlineStr">
        <is>
          <t>連0904</t>
        </is>
      </c>
      <c r="F8997" t="inlineStr">
        <is>
          <t>0211</t>
        </is>
      </c>
      <c r="G8997" s="10" t="inlineStr">
        <is>
          <t>天神川</t>
        </is>
      </c>
      <c r="H8997" s="10" t="inlineStr">
        <is>
          <t>発</t>
        </is>
      </c>
      <c r="J8997" s="10" t="inlineStr">
        <is>
          <t>営業</t>
        </is>
      </c>
      <c r="L8997" t="inlineStr">
        <is>
          <t>9:26:05</t>
        </is>
      </c>
      <c r="M8997" t="inlineStr">
        <is>
          <t>9:26:50</t>
        </is>
      </c>
      <c r="P8997" t="inlineStr">
        <is>
          <t>F系統(朝)</t>
        </is>
      </c>
    </row>
    <row r="8998" ht="15" customHeight="1" s="37">
      <c r="A8998" t="n">
        <v>5</v>
      </c>
      <c r="B8998" s="10" t="inlineStr">
        <is>
          <t>平日</t>
        </is>
      </c>
      <c r="C8998" s="10" t="inlineStr">
        <is>
          <t>本線</t>
        </is>
      </c>
      <c r="D8998" s="10" t="inlineStr">
        <is>
          <t>上り</t>
        </is>
      </c>
      <c r="E8998" s="10" t="inlineStr">
        <is>
          <t>連0904</t>
        </is>
      </c>
      <c r="F8998" t="inlineStr">
        <is>
          <t>0211</t>
        </is>
      </c>
      <c r="G8998" s="10" t="inlineStr">
        <is>
          <t>山ノ内</t>
        </is>
      </c>
      <c r="H8998" s="10" t="inlineStr">
        <is>
          <t>発</t>
        </is>
      </c>
      <c r="J8998" s="10" t="inlineStr">
        <is>
          <t>営業</t>
        </is>
      </c>
      <c r="L8998" t="inlineStr">
        <is>
          <t>9:28:40</t>
        </is>
      </c>
      <c r="M8998" t="inlineStr">
        <is>
          <t>9:29:05</t>
        </is>
      </c>
      <c r="P8998" t="inlineStr">
        <is>
          <t>F系統(朝)</t>
        </is>
      </c>
    </row>
    <row r="8999" ht="15" customHeight="1" s="37">
      <c r="A8999" t="n">
        <v>5</v>
      </c>
      <c r="B8999" s="10" t="inlineStr">
        <is>
          <t>平日</t>
        </is>
      </c>
      <c r="C8999" s="10" t="inlineStr">
        <is>
          <t>本線</t>
        </is>
      </c>
      <c r="D8999" s="10" t="inlineStr">
        <is>
          <t>上り</t>
        </is>
      </c>
      <c r="E8999" s="10" t="inlineStr">
        <is>
          <t>連0904</t>
        </is>
      </c>
      <c r="F8999" t="inlineStr">
        <is>
          <t>0211</t>
        </is>
      </c>
      <c r="G8999" s="10" t="inlineStr">
        <is>
          <t>西大路三条</t>
        </is>
      </c>
      <c r="H8999" s="10" t="inlineStr">
        <is>
          <t>発</t>
        </is>
      </c>
      <c r="J8999" s="10" t="inlineStr">
        <is>
          <t>営業</t>
        </is>
      </c>
      <c r="L8999" t="inlineStr">
        <is>
          <t>9:30:55</t>
        </is>
      </c>
      <c r="M8999" t="inlineStr">
        <is>
          <t>9:31:15</t>
        </is>
      </c>
      <c r="P8999" t="inlineStr">
        <is>
          <t>F系統(朝)</t>
        </is>
      </c>
    </row>
    <row r="9000" ht="15" customHeight="1" s="37">
      <c r="A9000" t="n">
        <v>5</v>
      </c>
      <c r="B9000" s="10" t="inlineStr">
        <is>
          <t>平日</t>
        </is>
      </c>
      <c r="C9000" s="10" t="inlineStr">
        <is>
          <t>本線</t>
        </is>
      </c>
      <c r="D9000" s="10" t="inlineStr">
        <is>
          <t>上り</t>
        </is>
      </c>
      <c r="E9000" s="10" t="inlineStr">
        <is>
          <t>連0904</t>
        </is>
      </c>
      <c r="F9000" t="inlineStr">
        <is>
          <t>0211</t>
        </is>
      </c>
      <c r="G9000" s="10" t="inlineStr">
        <is>
          <t>西院</t>
        </is>
      </c>
      <c r="H9000" s="10" t="inlineStr">
        <is>
          <t>発</t>
        </is>
      </c>
      <c r="J9000" s="10" t="inlineStr">
        <is>
          <t>営業</t>
        </is>
      </c>
      <c r="L9000" t="inlineStr">
        <is>
          <t>9:33:10</t>
        </is>
      </c>
      <c r="M9000" t="inlineStr">
        <is>
          <t>9:34:05</t>
        </is>
      </c>
      <c r="P9000" t="inlineStr">
        <is>
          <t>F系統(朝)</t>
        </is>
      </c>
    </row>
    <row r="9001" ht="15" customHeight="1" s="37">
      <c r="A9001" t="n">
        <v>5</v>
      </c>
      <c r="B9001" s="10" t="inlineStr">
        <is>
          <t>平日</t>
        </is>
      </c>
      <c r="C9001" s="10" t="inlineStr">
        <is>
          <t>本線</t>
        </is>
      </c>
      <c r="D9001" s="10" t="inlineStr">
        <is>
          <t>上り</t>
        </is>
      </c>
      <c r="E9001" s="10" t="inlineStr">
        <is>
          <t>連0904</t>
        </is>
      </c>
      <c r="F9001" t="inlineStr">
        <is>
          <t>0211</t>
        </is>
      </c>
      <c r="G9001" s="10" t="inlineStr">
        <is>
          <t>四条大宮</t>
        </is>
      </c>
      <c r="H9001" s="10" t="inlineStr">
        <is>
          <t>着</t>
        </is>
      </c>
      <c r="J9001" s="10" t="inlineStr">
        <is>
          <t>営業</t>
        </is>
      </c>
      <c r="L9001" t="inlineStr">
        <is>
          <t>9:37:00</t>
        </is>
      </c>
      <c r="P9001" t="inlineStr">
        <is>
          <t>F系統(朝)</t>
        </is>
      </c>
      <c r="Q9001" t="inlineStr">
        <is>
          <t>1</t>
        </is>
      </c>
    </row>
    <row r="9002" ht="15" customHeight="1" s="37">
      <c r="A9002" t="n">
        <v>5</v>
      </c>
      <c r="B9002" s="10" t="inlineStr">
        <is>
          <t>平日</t>
        </is>
      </c>
      <c r="C9002" s="10" t="inlineStr">
        <is>
          <t>本線</t>
        </is>
      </c>
      <c r="D9002" s="10" t="inlineStr">
        <is>
          <t>下り</t>
        </is>
      </c>
      <c r="E9002" s="10" t="inlineStr">
        <is>
          <t>連0909</t>
        </is>
      </c>
      <c r="F9002" t="inlineStr">
        <is>
          <t>0112</t>
        </is>
      </c>
      <c r="G9002" s="10" t="inlineStr">
        <is>
          <t>四条大宮</t>
        </is>
      </c>
      <c r="H9002" s="10" t="inlineStr">
        <is>
          <t>発</t>
        </is>
      </c>
      <c r="J9002" s="10" t="inlineStr">
        <is>
          <t>営業</t>
        </is>
      </c>
      <c r="M9002" t="inlineStr">
        <is>
          <t>9:42:00</t>
        </is>
      </c>
      <c r="P9002" t="inlineStr">
        <is>
          <t>F系統(朝)</t>
        </is>
      </c>
      <c r="Q9002" t="inlineStr">
        <is>
          <t>1</t>
        </is>
      </c>
    </row>
    <row r="9003" ht="15" customHeight="1" s="37">
      <c r="A9003" t="n">
        <v>5</v>
      </c>
      <c r="B9003" s="10" t="inlineStr">
        <is>
          <t>平日</t>
        </is>
      </c>
      <c r="C9003" s="10" t="inlineStr">
        <is>
          <t>本線</t>
        </is>
      </c>
      <c r="D9003" s="10" t="inlineStr">
        <is>
          <t>下り</t>
        </is>
      </c>
      <c r="E9003" s="10" t="inlineStr">
        <is>
          <t>連0909</t>
        </is>
      </c>
      <c r="F9003" t="inlineStr">
        <is>
          <t>0112</t>
        </is>
      </c>
      <c r="G9003" s="10" t="inlineStr">
        <is>
          <t>西院</t>
        </is>
      </c>
      <c r="H9003" s="10" t="inlineStr">
        <is>
          <t>着</t>
        </is>
      </c>
      <c r="J9003" s="10" t="inlineStr">
        <is>
          <t>営業</t>
        </is>
      </c>
      <c r="L9003" t="inlineStr">
        <is>
          <t>9:44:50</t>
        </is>
      </c>
      <c r="M9003" t="inlineStr">
        <is>
          <t>9:46:20</t>
        </is>
      </c>
      <c r="P9003" t="inlineStr">
        <is>
          <t>F系統(朝)</t>
        </is>
      </c>
    </row>
    <row r="9004" ht="15" customHeight="1" s="37">
      <c r="A9004" t="n">
        <v>5</v>
      </c>
      <c r="B9004" s="10" t="inlineStr">
        <is>
          <t>平日</t>
        </is>
      </c>
      <c r="C9004" s="10" t="inlineStr">
        <is>
          <t>本線</t>
        </is>
      </c>
      <c r="D9004" s="10" t="inlineStr">
        <is>
          <t>下り</t>
        </is>
      </c>
      <c r="E9004" s="10" t="inlineStr">
        <is>
          <t>連1503</t>
        </is>
      </c>
      <c r="F9004" t="inlineStr">
        <is>
          <t>0112</t>
        </is>
      </c>
      <c r="G9004" s="10" t="inlineStr">
        <is>
          <t>四条大宮</t>
        </is>
      </c>
      <c r="H9004" s="10" t="inlineStr">
        <is>
          <t>発</t>
        </is>
      </c>
      <c r="J9004" s="10" t="inlineStr">
        <is>
          <t>営業</t>
        </is>
      </c>
      <c r="M9004" t="inlineStr">
        <is>
          <t>15:13:00</t>
        </is>
      </c>
      <c r="P9004" t="inlineStr">
        <is>
          <t>B系統(日中)</t>
        </is>
      </c>
      <c r="Q9004" t="inlineStr">
        <is>
          <t>1</t>
        </is>
      </c>
    </row>
    <row r="9005" ht="15" customHeight="1" s="37">
      <c r="A9005" t="n">
        <v>5</v>
      </c>
      <c r="B9005" s="10" t="inlineStr">
        <is>
          <t>平日</t>
        </is>
      </c>
      <c r="C9005" s="10" t="inlineStr">
        <is>
          <t>本線</t>
        </is>
      </c>
      <c r="D9005" s="10" t="inlineStr">
        <is>
          <t>下り</t>
        </is>
      </c>
      <c r="E9005" s="10" t="inlineStr">
        <is>
          <t>連1503</t>
        </is>
      </c>
      <c r="F9005" t="inlineStr">
        <is>
          <t>0112</t>
        </is>
      </c>
      <c r="G9005" s="10" t="inlineStr">
        <is>
          <t>西院</t>
        </is>
      </c>
      <c r="H9005" s="10" t="inlineStr">
        <is>
          <t>着</t>
        </is>
      </c>
      <c r="J9005" s="10" t="inlineStr">
        <is>
          <t>営業</t>
        </is>
      </c>
      <c r="L9005" t="inlineStr">
        <is>
          <t>15:15:50</t>
        </is>
      </c>
      <c r="M9005" t="inlineStr">
        <is>
          <t>15:16:20</t>
        </is>
      </c>
      <c r="P9005" t="inlineStr">
        <is>
          <t>B系統(日中)</t>
        </is>
      </c>
      <c r="T9005" t="inlineStr">
        <is>
          <t>○</t>
        </is>
      </c>
    </row>
    <row r="9006" ht="15" customHeight="1" s="37">
      <c r="A9006" t="n">
        <v>6</v>
      </c>
      <c r="B9006" s="10" t="inlineStr">
        <is>
          <t>平日</t>
        </is>
      </c>
      <c r="C9006" s="10" t="inlineStr">
        <is>
          <t>本線</t>
        </is>
      </c>
      <c r="D9006" s="10" t="inlineStr">
        <is>
          <t>下り</t>
        </is>
      </c>
      <c r="E9006" t="inlineStr">
        <is>
          <t>0901</t>
        </is>
      </c>
      <c r="F9006" t="inlineStr">
        <is>
          <t>0112</t>
        </is>
      </c>
      <c r="G9006" s="10" t="inlineStr">
        <is>
          <t>西院</t>
        </is>
      </c>
      <c r="H9006" s="10" t="inlineStr">
        <is>
          <t>発</t>
        </is>
      </c>
      <c r="J9006" s="10" t="inlineStr">
        <is>
          <t>営業</t>
        </is>
      </c>
      <c r="L9006" t="inlineStr">
        <is>
          <t>9:04:50</t>
        </is>
      </c>
      <c r="M9006" t="inlineStr">
        <is>
          <t>9:06:20</t>
        </is>
      </c>
    </row>
    <row r="9007" ht="15" customHeight="1" s="37">
      <c r="A9007" t="n">
        <v>6</v>
      </c>
      <c r="B9007" s="10" t="inlineStr">
        <is>
          <t>平日</t>
        </is>
      </c>
      <c r="C9007" s="10" t="inlineStr">
        <is>
          <t>本線</t>
        </is>
      </c>
      <c r="D9007" s="10" t="inlineStr">
        <is>
          <t>下り</t>
        </is>
      </c>
      <c r="E9007" t="inlineStr">
        <is>
          <t>0901</t>
        </is>
      </c>
      <c r="F9007" t="inlineStr">
        <is>
          <t>0112</t>
        </is>
      </c>
      <c r="G9007" s="10" t="inlineStr">
        <is>
          <t>西大路三条</t>
        </is>
      </c>
      <c r="H9007" s="10" t="inlineStr">
        <is>
          <t>発</t>
        </is>
      </c>
      <c r="J9007" s="10" t="inlineStr">
        <is>
          <t>営業</t>
        </is>
      </c>
      <c r="L9007" t="inlineStr">
        <is>
          <t>9:08:10</t>
        </is>
      </c>
      <c r="M9007" t="inlineStr">
        <is>
          <t>9:08:30</t>
        </is>
      </c>
    </row>
    <row r="9008" ht="15" customHeight="1" s="37">
      <c r="A9008" t="n">
        <v>6</v>
      </c>
      <c r="B9008" s="10" t="inlineStr">
        <is>
          <t>平日</t>
        </is>
      </c>
      <c r="C9008" s="10" t="inlineStr">
        <is>
          <t>本線</t>
        </is>
      </c>
      <c r="D9008" s="10" t="inlineStr">
        <is>
          <t>下り</t>
        </is>
      </c>
      <c r="E9008" t="inlineStr">
        <is>
          <t>0901</t>
        </is>
      </c>
      <c r="F9008" t="inlineStr">
        <is>
          <t>0112</t>
        </is>
      </c>
      <c r="G9008" s="10" t="inlineStr">
        <is>
          <t>山ノ内</t>
        </is>
      </c>
      <c r="H9008" s="10" t="inlineStr">
        <is>
          <t>発</t>
        </is>
      </c>
      <c r="J9008" s="10" t="inlineStr">
        <is>
          <t>営業</t>
        </is>
      </c>
      <c r="L9008" t="inlineStr">
        <is>
          <t>9:10:25</t>
        </is>
      </c>
      <c r="M9008" t="inlineStr">
        <is>
          <t>9:10:50</t>
        </is>
      </c>
    </row>
    <row r="9009" ht="15" customHeight="1" s="37">
      <c r="A9009" t="n">
        <v>6</v>
      </c>
      <c r="B9009" s="10" t="inlineStr">
        <is>
          <t>平日</t>
        </is>
      </c>
      <c r="C9009" s="10" t="inlineStr">
        <is>
          <t>本線</t>
        </is>
      </c>
      <c r="D9009" s="10" t="inlineStr">
        <is>
          <t>下り</t>
        </is>
      </c>
      <c r="E9009" t="inlineStr">
        <is>
          <t>0901</t>
        </is>
      </c>
      <c r="F9009" t="inlineStr">
        <is>
          <t>0112</t>
        </is>
      </c>
      <c r="G9009" s="10" t="inlineStr">
        <is>
          <t>天神川</t>
        </is>
      </c>
      <c r="H9009" s="10" t="inlineStr">
        <is>
          <t>発</t>
        </is>
      </c>
      <c r="J9009" s="10" t="inlineStr">
        <is>
          <t>営業</t>
        </is>
      </c>
      <c r="L9009" t="inlineStr">
        <is>
          <t>9:12:50</t>
        </is>
      </c>
      <c r="M9009" t="inlineStr">
        <is>
          <t>9:13:30</t>
        </is>
      </c>
    </row>
    <row r="9010" ht="15" customHeight="1" s="37">
      <c r="A9010" t="n">
        <v>6</v>
      </c>
      <c r="B9010" s="10" t="inlineStr">
        <is>
          <t>平日</t>
        </is>
      </c>
      <c r="C9010" s="10" t="inlineStr">
        <is>
          <t>本線</t>
        </is>
      </c>
      <c r="D9010" s="10" t="inlineStr">
        <is>
          <t>下り</t>
        </is>
      </c>
      <c r="E9010" t="inlineStr">
        <is>
          <t>0901</t>
        </is>
      </c>
      <c r="F9010" t="inlineStr">
        <is>
          <t>0112</t>
        </is>
      </c>
      <c r="G9010" s="10" t="inlineStr">
        <is>
          <t>蚕ノ社</t>
        </is>
      </c>
      <c r="H9010" s="10" t="inlineStr">
        <is>
          <t>発</t>
        </is>
      </c>
      <c r="J9010" s="10" t="inlineStr">
        <is>
          <t>営業</t>
        </is>
      </c>
      <c r="L9010" t="inlineStr">
        <is>
          <t>9:14:20</t>
        </is>
      </c>
      <c r="M9010" t="inlineStr">
        <is>
          <t>9:14:40</t>
        </is>
      </c>
    </row>
    <row r="9011" ht="15" customHeight="1" s="37">
      <c r="A9011" t="n">
        <v>6</v>
      </c>
      <c r="B9011" s="10" t="inlineStr">
        <is>
          <t>平日</t>
        </is>
      </c>
      <c r="C9011" s="10" t="inlineStr">
        <is>
          <t>本線</t>
        </is>
      </c>
      <c r="D9011" s="10" t="inlineStr">
        <is>
          <t>下り</t>
        </is>
      </c>
      <c r="E9011" t="inlineStr">
        <is>
          <t>0901</t>
        </is>
      </c>
      <c r="F9011" t="inlineStr">
        <is>
          <t>0112</t>
        </is>
      </c>
      <c r="G9011" s="10" t="inlineStr">
        <is>
          <t>太秦広隆寺</t>
        </is>
      </c>
      <c r="H9011" s="10" t="inlineStr">
        <is>
          <t>発</t>
        </is>
      </c>
      <c r="J9011" s="10" t="inlineStr">
        <is>
          <t>営業</t>
        </is>
      </c>
      <c r="L9011" t="inlineStr">
        <is>
          <t>9:16:00</t>
        </is>
      </c>
      <c r="M9011" t="inlineStr">
        <is>
          <t>9:16:20</t>
        </is>
      </c>
    </row>
    <row r="9012" ht="15" customHeight="1" s="37">
      <c r="A9012" t="n">
        <v>6</v>
      </c>
      <c r="B9012" s="10" t="inlineStr">
        <is>
          <t>平日</t>
        </is>
      </c>
      <c r="C9012" s="10" t="inlineStr">
        <is>
          <t>本線</t>
        </is>
      </c>
      <c r="D9012" s="10" t="inlineStr">
        <is>
          <t>下り</t>
        </is>
      </c>
      <c r="E9012" t="inlineStr">
        <is>
          <t>0901</t>
        </is>
      </c>
      <c r="F9012" t="inlineStr">
        <is>
          <t>0112</t>
        </is>
      </c>
      <c r="G9012" s="10" t="inlineStr">
        <is>
          <t>帷子ノ辻</t>
        </is>
      </c>
      <c r="H9012" s="10" t="inlineStr">
        <is>
          <t>発</t>
        </is>
      </c>
      <c r="J9012" s="10" t="inlineStr">
        <is>
          <t>営業</t>
        </is>
      </c>
      <c r="L9012" t="inlineStr">
        <is>
          <t>9:18:20</t>
        </is>
      </c>
      <c r="M9012" t="inlineStr">
        <is>
          <t>9:19:40</t>
        </is>
      </c>
    </row>
    <row r="9013" ht="15" customHeight="1" s="37">
      <c r="A9013" t="n">
        <v>6</v>
      </c>
      <c r="B9013" s="10" t="inlineStr">
        <is>
          <t>平日</t>
        </is>
      </c>
      <c r="C9013" s="10" t="inlineStr">
        <is>
          <t>本線</t>
        </is>
      </c>
      <c r="D9013" s="10" t="inlineStr">
        <is>
          <t>下り</t>
        </is>
      </c>
      <c r="E9013" t="inlineStr">
        <is>
          <t>0901</t>
        </is>
      </c>
      <c r="F9013" t="inlineStr">
        <is>
          <t>0112</t>
        </is>
      </c>
      <c r="G9013" s="10" t="inlineStr">
        <is>
          <t>有栖川</t>
        </is>
      </c>
      <c r="H9013" s="10" t="inlineStr">
        <is>
          <t>発</t>
        </is>
      </c>
      <c r="J9013" s="10" t="inlineStr">
        <is>
          <t>営業</t>
        </is>
      </c>
      <c r="L9013" t="inlineStr">
        <is>
          <t>9:20:50</t>
        </is>
      </c>
      <c r="M9013" t="inlineStr">
        <is>
          <t>9:21:15</t>
        </is>
      </c>
    </row>
    <row r="9014" ht="15" customHeight="1" s="37">
      <c r="A9014" t="n">
        <v>6</v>
      </c>
      <c r="B9014" s="10" t="inlineStr">
        <is>
          <t>平日</t>
        </is>
      </c>
      <c r="C9014" s="10" t="inlineStr">
        <is>
          <t>本線</t>
        </is>
      </c>
      <c r="D9014" s="10" t="inlineStr">
        <is>
          <t>下り</t>
        </is>
      </c>
      <c r="E9014" t="inlineStr">
        <is>
          <t>0901</t>
        </is>
      </c>
      <c r="F9014" t="inlineStr">
        <is>
          <t>0112</t>
        </is>
      </c>
      <c r="G9014" s="10" t="inlineStr">
        <is>
          <t>車折</t>
        </is>
      </c>
      <c r="H9014" s="10" t="inlineStr">
        <is>
          <t>発</t>
        </is>
      </c>
      <c r="J9014" s="10" t="inlineStr">
        <is>
          <t>営業</t>
        </is>
      </c>
      <c r="L9014" t="inlineStr">
        <is>
          <t>9:22:40</t>
        </is>
      </c>
      <c r="M9014" t="inlineStr">
        <is>
          <t>9:23:05</t>
        </is>
      </c>
    </row>
    <row r="9015" ht="15" customHeight="1" s="37">
      <c r="A9015" t="n">
        <v>6</v>
      </c>
      <c r="B9015" s="10" t="inlineStr">
        <is>
          <t>平日</t>
        </is>
      </c>
      <c r="C9015" s="10" t="inlineStr">
        <is>
          <t>本線</t>
        </is>
      </c>
      <c r="D9015" s="10" t="inlineStr">
        <is>
          <t>下り</t>
        </is>
      </c>
      <c r="E9015" t="inlineStr">
        <is>
          <t>0901</t>
        </is>
      </c>
      <c r="F9015" t="inlineStr">
        <is>
          <t>0112</t>
        </is>
      </c>
      <c r="G9015" s="10" t="inlineStr">
        <is>
          <t>鹿王院</t>
        </is>
      </c>
      <c r="H9015" s="10" t="inlineStr">
        <is>
          <t>発</t>
        </is>
      </c>
      <c r="J9015" s="10" t="inlineStr">
        <is>
          <t>営業</t>
        </is>
      </c>
      <c r="L9015" t="inlineStr">
        <is>
          <t>9:24:00</t>
        </is>
      </c>
      <c r="M9015" t="inlineStr">
        <is>
          <t>9:24:25</t>
        </is>
      </c>
    </row>
    <row r="9016" ht="15" customHeight="1" s="37">
      <c r="A9016" t="n">
        <v>6</v>
      </c>
      <c r="B9016" s="10" t="inlineStr">
        <is>
          <t>平日</t>
        </is>
      </c>
      <c r="C9016" s="10" t="inlineStr">
        <is>
          <t>本線</t>
        </is>
      </c>
      <c r="D9016" s="10" t="inlineStr">
        <is>
          <t>下り</t>
        </is>
      </c>
      <c r="E9016" t="inlineStr">
        <is>
          <t>0901</t>
        </is>
      </c>
      <c r="F9016" t="inlineStr">
        <is>
          <t>0112</t>
        </is>
      </c>
      <c r="G9016" s="10" t="inlineStr">
        <is>
          <t>嵯峨</t>
        </is>
      </c>
      <c r="H9016" s="10" t="inlineStr">
        <is>
          <t>発</t>
        </is>
      </c>
      <c r="J9016" s="10" t="inlineStr">
        <is>
          <t>営業</t>
        </is>
      </c>
      <c r="L9016" t="inlineStr">
        <is>
          <t>9:25:30</t>
        </is>
      </c>
      <c r="M9016" t="inlineStr">
        <is>
          <t>9:25:55</t>
        </is>
      </c>
    </row>
    <row r="9017" ht="15" customHeight="1" s="37">
      <c r="A9017" t="n">
        <v>6</v>
      </c>
      <c r="B9017" s="10" t="inlineStr">
        <is>
          <t>平日</t>
        </is>
      </c>
      <c r="C9017" s="10" t="inlineStr">
        <is>
          <t>本線</t>
        </is>
      </c>
      <c r="D9017" s="10" t="inlineStr">
        <is>
          <t>下り</t>
        </is>
      </c>
      <c r="E9017" t="inlineStr">
        <is>
          <t>0901</t>
        </is>
      </c>
      <c r="F9017" t="inlineStr">
        <is>
          <t>0112</t>
        </is>
      </c>
      <c r="G9017" s="10" t="inlineStr">
        <is>
          <t>嵐山</t>
        </is>
      </c>
      <c r="H9017" s="10" t="inlineStr">
        <is>
          <t>着</t>
        </is>
      </c>
      <c r="J9017" s="10" t="inlineStr">
        <is>
          <t>営業</t>
        </is>
      </c>
      <c r="L9017" t="inlineStr">
        <is>
          <t>9:27:00</t>
        </is>
      </c>
      <c r="Q9017" t="inlineStr">
        <is>
          <t>1</t>
        </is>
      </c>
    </row>
    <row r="9018" ht="15" customHeight="1" s="37">
      <c r="A9018" t="n">
        <v>6</v>
      </c>
      <c r="B9018" s="10" t="inlineStr">
        <is>
          <t>平日</t>
        </is>
      </c>
      <c r="C9018" s="10" t="inlineStr">
        <is>
          <t>本線</t>
        </is>
      </c>
      <c r="D9018" s="10" t="inlineStr">
        <is>
          <t>上り</t>
        </is>
      </c>
      <c r="E9018" t="inlineStr">
        <is>
          <t>0908</t>
        </is>
      </c>
      <c r="F9018" t="inlineStr">
        <is>
          <t>0211</t>
        </is>
      </c>
      <c r="G9018" s="10" t="inlineStr">
        <is>
          <t>嵐山</t>
        </is>
      </c>
      <c r="H9018" s="10" t="inlineStr">
        <is>
          <t>発</t>
        </is>
      </c>
      <c r="J9018" s="10" t="inlineStr">
        <is>
          <t>営業</t>
        </is>
      </c>
      <c r="M9018" t="inlineStr">
        <is>
          <t>9:33:00</t>
        </is>
      </c>
      <c r="Q9018" t="inlineStr">
        <is>
          <t>1</t>
        </is>
      </c>
      <c r="U9018" t="inlineStr">
        <is>
          <t>→西院 休憩(10:06〜11:46)</t>
        </is>
      </c>
    </row>
    <row r="9019" ht="15" customHeight="1" s="37">
      <c r="A9019" t="n">
        <v>6</v>
      </c>
      <c r="B9019" s="10" t="inlineStr">
        <is>
          <t>平日</t>
        </is>
      </c>
      <c r="C9019" s="10" t="inlineStr">
        <is>
          <t>本線</t>
        </is>
      </c>
      <c r="D9019" s="10" t="inlineStr">
        <is>
          <t>上り</t>
        </is>
      </c>
      <c r="E9019" t="inlineStr">
        <is>
          <t>0908</t>
        </is>
      </c>
      <c r="F9019" t="inlineStr">
        <is>
          <t>0211</t>
        </is>
      </c>
      <c r="G9019" s="10" t="inlineStr">
        <is>
          <t>嵯峨</t>
        </is>
      </c>
      <c r="H9019" s="10" t="inlineStr">
        <is>
          <t>発</t>
        </is>
      </c>
      <c r="J9019" s="10" t="inlineStr">
        <is>
          <t>営業</t>
        </is>
      </c>
      <c r="L9019" t="inlineStr">
        <is>
          <t>9:33:55</t>
        </is>
      </c>
      <c r="M9019" t="inlineStr">
        <is>
          <t>9:34:20</t>
        </is>
      </c>
      <c r="U9019" t="inlineStr">
        <is>
          <t>→西院 休憩(10:06〜11:46)</t>
        </is>
      </c>
    </row>
    <row r="9020" ht="15" customHeight="1" s="37">
      <c r="A9020" t="n">
        <v>6</v>
      </c>
      <c r="B9020" s="10" t="inlineStr">
        <is>
          <t>平日</t>
        </is>
      </c>
      <c r="C9020" s="10" t="inlineStr">
        <is>
          <t>本線</t>
        </is>
      </c>
      <c r="D9020" s="10" t="inlineStr">
        <is>
          <t>上り</t>
        </is>
      </c>
      <c r="E9020" t="inlineStr">
        <is>
          <t>0908</t>
        </is>
      </c>
      <c r="F9020" t="inlineStr">
        <is>
          <t>0211</t>
        </is>
      </c>
      <c r="G9020" s="10" t="inlineStr">
        <is>
          <t>鹿王院</t>
        </is>
      </c>
      <c r="H9020" s="10" t="inlineStr">
        <is>
          <t>発</t>
        </is>
      </c>
      <c r="J9020" s="10" t="inlineStr">
        <is>
          <t>営業</t>
        </is>
      </c>
      <c r="L9020" t="inlineStr">
        <is>
          <t>9:35:25</t>
        </is>
      </c>
      <c r="M9020" t="inlineStr">
        <is>
          <t>9:35:45</t>
        </is>
      </c>
      <c r="U9020" t="inlineStr">
        <is>
          <t>→西院 休憩(10:06〜11:46)</t>
        </is>
      </c>
    </row>
    <row r="9021" ht="15" customHeight="1" s="37">
      <c r="A9021" t="n">
        <v>6</v>
      </c>
      <c r="B9021" s="10" t="inlineStr">
        <is>
          <t>平日</t>
        </is>
      </c>
      <c r="C9021" s="10" t="inlineStr">
        <is>
          <t>本線</t>
        </is>
      </c>
      <c r="D9021" s="10" t="inlineStr">
        <is>
          <t>上り</t>
        </is>
      </c>
      <c r="E9021" t="inlineStr">
        <is>
          <t>0908</t>
        </is>
      </c>
      <c r="F9021" t="inlineStr">
        <is>
          <t>0211</t>
        </is>
      </c>
      <c r="G9021" s="10" t="inlineStr">
        <is>
          <t>車折</t>
        </is>
      </c>
      <c r="H9021" s="10" t="inlineStr">
        <is>
          <t>発</t>
        </is>
      </c>
      <c r="J9021" s="10" t="inlineStr">
        <is>
          <t>営業</t>
        </is>
      </c>
      <c r="L9021" t="inlineStr">
        <is>
          <t>9:36:40</t>
        </is>
      </c>
      <c r="M9021" t="inlineStr">
        <is>
          <t>9:37:10</t>
        </is>
      </c>
      <c r="U9021" t="inlineStr">
        <is>
          <t>→西院 休憩(10:06〜11:46)</t>
        </is>
      </c>
    </row>
    <row r="9022" ht="15" customHeight="1" s="37">
      <c r="A9022" t="n">
        <v>6</v>
      </c>
      <c r="B9022" s="10" t="inlineStr">
        <is>
          <t>平日</t>
        </is>
      </c>
      <c r="C9022" s="10" t="inlineStr">
        <is>
          <t>本線</t>
        </is>
      </c>
      <c r="D9022" s="10" t="inlineStr">
        <is>
          <t>上り</t>
        </is>
      </c>
      <c r="E9022" t="inlineStr">
        <is>
          <t>0908</t>
        </is>
      </c>
      <c r="F9022" t="inlineStr">
        <is>
          <t>0211</t>
        </is>
      </c>
      <c r="G9022" s="10" t="inlineStr">
        <is>
          <t>有栖川</t>
        </is>
      </c>
      <c r="H9022" s="10" t="inlineStr">
        <is>
          <t>発</t>
        </is>
      </c>
      <c r="J9022" s="10" t="inlineStr">
        <is>
          <t>営業</t>
        </is>
      </c>
      <c r="L9022" t="inlineStr">
        <is>
          <t>9:38:35</t>
        </is>
      </c>
      <c r="M9022" t="inlineStr">
        <is>
          <t>9:38:55</t>
        </is>
      </c>
      <c r="U9022" t="inlineStr">
        <is>
          <t>→西院 休憩(10:06〜11:46)</t>
        </is>
      </c>
    </row>
    <row r="9023" ht="15" customHeight="1" s="37">
      <c r="A9023" t="n">
        <v>6</v>
      </c>
      <c r="B9023" s="10" t="inlineStr">
        <is>
          <t>平日</t>
        </is>
      </c>
      <c r="C9023" s="10" t="inlineStr">
        <is>
          <t>本線</t>
        </is>
      </c>
      <c r="D9023" s="10" t="inlineStr">
        <is>
          <t>上り</t>
        </is>
      </c>
      <c r="E9023" t="inlineStr">
        <is>
          <t>0908</t>
        </is>
      </c>
      <c r="F9023" t="inlineStr">
        <is>
          <t>0211</t>
        </is>
      </c>
      <c r="G9023" s="10" t="inlineStr">
        <is>
          <t>帷子ノ辻</t>
        </is>
      </c>
      <c r="H9023" s="10" t="inlineStr">
        <is>
          <t>発</t>
        </is>
      </c>
      <c r="J9023" s="10" t="inlineStr">
        <is>
          <t>営業</t>
        </is>
      </c>
      <c r="L9023" t="inlineStr">
        <is>
          <t>9:40:10</t>
        </is>
      </c>
      <c r="M9023" t="inlineStr">
        <is>
          <t>9:41:15</t>
        </is>
      </c>
      <c r="U9023" t="inlineStr">
        <is>
          <t>→西院 休憩(10:06〜11:46)</t>
        </is>
      </c>
    </row>
    <row r="9024" ht="15" customHeight="1" s="37">
      <c r="A9024" t="n">
        <v>6</v>
      </c>
      <c r="B9024" s="10" t="inlineStr">
        <is>
          <t>平日</t>
        </is>
      </c>
      <c r="C9024" s="10" t="inlineStr">
        <is>
          <t>本線</t>
        </is>
      </c>
      <c r="D9024" s="10" t="inlineStr">
        <is>
          <t>上り</t>
        </is>
      </c>
      <c r="E9024" t="inlineStr">
        <is>
          <t>0908</t>
        </is>
      </c>
      <c r="F9024" t="inlineStr">
        <is>
          <t>0211</t>
        </is>
      </c>
      <c r="G9024" s="10" t="inlineStr">
        <is>
          <t>太秦広隆寺</t>
        </is>
      </c>
      <c r="H9024" s="10" t="inlineStr">
        <is>
          <t>発</t>
        </is>
      </c>
      <c r="J9024" s="10" t="inlineStr">
        <is>
          <t>営業</t>
        </is>
      </c>
      <c r="L9024" t="inlineStr">
        <is>
          <t>9:43:25</t>
        </is>
      </c>
      <c r="M9024" t="inlineStr">
        <is>
          <t>9:43:45</t>
        </is>
      </c>
      <c r="U9024" t="inlineStr">
        <is>
          <t>→西院 休憩(10:06〜11:46)</t>
        </is>
      </c>
    </row>
    <row r="9025" ht="15" customHeight="1" s="37">
      <c r="A9025" t="n">
        <v>6</v>
      </c>
      <c r="B9025" s="10" t="inlineStr">
        <is>
          <t>平日</t>
        </is>
      </c>
      <c r="C9025" s="10" t="inlineStr">
        <is>
          <t>本線</t>
        </is>
      </c>
      <c r="D9025" s="10" t="inlineStr">
        <is>
          <t>上り</t>
        </is>
      </c>
      <c r="E9025" t="inlineStr">
        <is>
          <t>0908</t>
        </is>
      </c>
      <c r="F9025" t="inlineStr">
        <is>
          <t>0211</t>
        </is>
      </c>
      <c r="G9025" s="10" t="inlineStr">
        <is>
          <t>蚕ノ社</t>
        </is>
      </c>
      <c r="H9025" s="10" t="inlineStr">
        <is>
          <t>発</t>
        </is>
      </c>
      <c r="J9025" s="10" t="inlineStr">
        <is>
          <t>営業</t>
        </is>
      </c>
      <c r="L9025" t="inlineStr">
        <is>
          <t>9:45:00</t>
        </is>
      </c>
      <c r="M9025" t="inlineStr">
        <is>
          <t>9:45:20</t>
        </is>
      </c>
      <c r="U9025" t="inlineStr">
        <is>
          <t>→西院 休憩(10:06〜11:46)</t>
        </is>
      </c>
    </row>
    <row r="9026" ht="15" customHeight="1" s="37">
      <c r="A9026" t="n">
        <v>6</v>
      </c>
      <c r="B9026" s="10" t="inlineStr">
        <is>
          <t>平日</t>
        </is>
      </c>
      <c r="C9026" s="10" t="inlineStr">
        <is>
          <t>本線</t>
        </is>
      </c>
      <c r="D9026" s="10" t="inlineStr">
        <is>
          <t>上り</t>
        </is>
      </c>
      <c r="E9026" t="inlineStr">
        <is>
          <t>0908</t>
        </is>
      </c>
      <c r="F9026" t="inlineStr">
        <is>
          <t>0211</t>
        </is>
      </c>
      <c r="G9026" s="10" t="inlineStr">
        <is>
          <t>天神川</t>
        </is>
      </c>
      <c r="H9026" s="10" t="inlineStr">
        <is>
          <t>発</t>
        </is>
      </c>
      <c r="J9026" s="10" t="inlineStr">
        <is>
          <t>営業</t>
        </is>
      </c>
      <c r="L9026" t="inlineStr">
        <is>
          <t>9:46:05</t>
        </is>
      </c>
      <c r="M9026" t="inlineStr">
        <is>
          <t>9:46:50</t>
        </is>
      </c>
      <c r="U9026" t="inlineStr">
        <is>
          <t>→西院 休憩(10:06〜11:46)</t>
        </is>
      </c>
    </row>
    <row r="9027" ht="15" customHeight="1" s="37">
      <c r="A9027" t="n">
        <v>6</v>
      </c>
      <c r="B9027" s="10" t="inlineStr">
        <is>
          <t>平日</t>
        </is>
      </c>
      <c r="C9027" s="10" t="inlineStr">
        <is>
          <t>本線</t>
        </is>
      </c>
      <c r="D9027" s="10" t="inlineStr">
        <is>
          <t>上り</t>
        </is>
      </c>
      <c r="E9027" t="inlineStr">
        <is>
          <t>0908</t>
        </is>
      </c>
      <c r="F9027" t="inlineStr">
        <is>
          <t>0211</t>
        </is>
      </c>
      <c r="G9027" s="10" t="inlineStr">
        <is>
          <t>山ノ内</t>
        </is>
      </c>
      <c r="H9027" s="10" t="inlineStr">
        <is>
          <t>発</t>
        </is>
      </c>
      <c r="J9027" s="10" t="inlineStr">
        <is>
          <t>営業</t>
        </is>
      </c>
      <c r="L9027" t="inlineStr">
        <is>
          <t>9:48:40</t>
        </is>
      </c>
      <c r="M9027" t="inlineStr">
        <is>
          <t>9:49:05</t>
        </is>
      </c>
      <c r="U9027" t="inlineStr">
        <is>
          <t>→西院 休憩(10:06〜11:46)</t>
        </is>
      </c>
    </row>
    <row r="9028" ht="15" customHeight="1" s="37">
      <c r="A9028" t="n">
        <v>6</v>
      </c>
      <c r="B9028" s="10" t="inlineStr">
        <is>
          <t>平日</t>
        </is>
      </c>
      <c r="C9028" s="10" t="inlineStr">
        <is>
          <t>本線</t>
        </is>
      </c>
      <c r="D9028" s="10" t="inlineStr">
        <is>
          <t>上り</t>
        </is>
      </c>
      <c r="E9028" t="inlineStr">
        <is>
          <t>0908</t>
        </is>
      </c>
      <c r="F9028" t="inlineStr">
        <is>
          <t>0211</t>
        </is>
      </c>
      <c r="G9028" s="10" t="inlineStr">
        <is>
          <t>西大路三条</t>
        </is>
      </c>
      <c r="H9028" s="10" t="inlineStr">
        <is>
          <t>発</t>
        </is>
      </c>
      <c r="J9028" s="10" t="inlineStr">
        <is>
          <t>営業</t>
        </is>
      </c>
      <c r="L9028" t="inlineStr">
        <is>
          <t>9:50:55</t>
        </is>
      </c>
      <c r="M9028" t="inlineStr">
        <is>
          <t>9:51:15</t>
        </is>
      </c>
      <c r="U9028" t="inlineStr">
        <is>
          <t>→西院 休憩(10:06〜11:46)</t>
        </is>
      </c>
    </row>
    <row r="9029" ht="15" customHeight="1" s="37">
      <c r="A9029" t="n">
        <v>6</v>
      </c>
      <c r="B9029" s="10" t="inlineStr">
        <is>
          <t>平日</t>
        </is>
      </c>
      <c r="C9029" s="10" t="inlineStr">
        <is>
          <t>本線</t>
        </is>
      </c>
      <c r="D9029" s="10" t="inlineStr">
        <is>
          <t>上り</t>
        </is>
      </c>
      <c r="E9029" t="inlineStr">
        <is>
          <t>0908</t>
        </is>
      </c>
      <c r="F9029" t="inlineStr">
        <is>
          <t>0211</t>
        </is>
      </c>
      <c r="G9029" s="10" t="inlineStr">
        <is>
          <t>西院</t>
        </is>
      </c>
      <c r="H9029" s="10" t="inlineStr">
        <is>
          <t>発</t>
        </is>
      </c>
      <c r="J9029" s="10" t="inlineStr">
        <is>
          <t>営業</t>
        </is>
      </c>
      <c r="L9029" t="inlineStr">
        <is>
          <t>9:53:10</t>
        </is>
      </c>
      <c r="M9029" t="inlineStr">
        <is>
          <t>9:54:05</t>
        </is>
      </c>
      <c r="U9029" t="inlineStr">
        <is>
          <t>→西院 休憩(10:06〜11:46)</t>
        </is>
      </c>
    </row>
    <row r="9030" ht="15" customHeight="1" s="37">
      <c r="A9030" t="n">
        <v>6</v>
      </c>
      <c r="B9030" s="10" t="inlineStr">
        <is>
          <t>平日</t>
        </is>
      </c>
      <c r="C9030" s="10" t="inlineStr">
        <is>
          <t>本線</t>
        </is>
      </c>
      <c r="D9030" s="10" t="inlineStr">
        <is>
          <t>上り</t>
        </is>
      </c>
      <c r="E9030" t="inlineStr">
        <is>
          <t>0908</t>
        </is>
      </c>
      <c r="F9030" t="inlineStr">
        <is>
          <t>0211</t>
        </is>
      </c>
      <c r="G9030" s="10" t="inlineStr">
        <is>
          <t>四条大宮</t>
        </is>
      </c>
      <c r="H9030" s="10" t="inlineStr">
        <is>
          <t>着</t>
        </is>
      </c>
      <c r="J9030" s="10" t="inlineStr">
        <is>
          <t>営業</t>
        </is>
      </c>
      <c r="L9030" t="inlineStr">
        <is>
          <t>9:57:00</t>
        </is>
      </c>
      <c r="Q9030" t="inlineStr">
        <is>
          <t>1</t>
        </is>
      </c>
      <c r="U9030" t="inlineStr">
        <is>
          <t>→西院 休憩(10:06〜11:46)</t>
        </is>
      </c>
    </row>
    <row r="9031" ht="15" customHeight="1" s="37">
      <c r="A9031" t="n">
        <v>6</v>
      </c>
      <c r="B9031" s="10" t="inlineStr">
        <is>
          <t>平日</t>
        </is>
      </c>
      <c r="C9031" s="10" t="inlineStr">
        <is>
          <t>本線</t>
        </is>
      </c>
      <c r="D9031" s="10" t="inlineStr">
        <is>
          <t>下り</t>
        </is>
      </c>
      <c r="E9031" t="inlineStr">
        <is>
          <t>1001</t>
        </is>
      </c>
      <c r="F9031" t="inlineStr">
        <is>
          <t>0112</t>
        </is>
      </c>
      <c r="G9031" s="10" t="inlineStr">
        <is>
          <t>四条大宮</t>
        </is>
      </c>
      <c r="H9031" s="10" t="inlineStr">
        <is>
          <t>発</t>
        </is>
      </c>
      <c r="J9031" s="10" t="inlineStr">
        <is>
          <t>営業</t>
        </is>
      </c>
      <c r="M9031" t="inlineStr">
        <is>
          <t>10:03:00</t>
        </is>
      </c>
      <c r="Q9031" t="inlineStr">
        <is>
          <t>1</t>
        </is>
      </c>
      <c r="U9031" t="inlineStr">
        <is>
          <t>→西院 休憩(10:06〜11:46)</t>
        </is>
      </c>
    </row>
    <row r="9032" ht="15" customHeight="1" s="37">
      <c r="A9032" t="n">
        <v>6</v>
      </c>
      <c r="B9032" s="10" t="inlineStr">
        <is>
          <t>平日</t>
        </is>
      </c>
      <c r="C9032" s="10" t="inlineStr">
        <is>
          <t>本線</t>
        </is>
      </c>
      <c r="D9032" s="10" t="inlineStr">
        <is>
          <t>下り</t>
        </is>
      </c>
      <c r="E9032" t="inlineStr">
        <is>
          <t>1001</t>
        </is>
      </c>
      <c r="F9032" t="inlineStr">
        <is>
          <t>0112</t>
        </is>
      </c>
      <c r="G9032" s="10" t="inlineStr">
        <is>
          <t>西院</t>
        </is>
      </c>
      <c r="H9032" s="10" t="inlineStr">
        <is>
          <t>着</t>
        </is>
      </c>
      <c r="J9032" s="10" t="inlineStr">
        <is>
          <t>営業</t>
        </is>
      </c>
      <c r="L9032" t="inlineStr">
        <is>
          <t>10:05:50</t>
        </is>
      </c>
      <c r="M9032" t="inlineStr">
        <is>
          <t>10:06:20</t>
        </is>
      </c>
      <c r="U9032" t="inlineStr">
        <is>
          <t>→西院 休憩(10:06〜11:46)</t>
        </is>
      </c>
    </row>
    <row r="9033" ht="15" customHeight="1" s="37">
      <c r="A9033" t="n">
        <v>6</v>
      </c>
      <c r="B9033" s="10" t="inlineStr">
        <is>
          <t>平日</t>
        </is>
      </c>
      <c r="C9033" s="10" t="inlineStr">
        <is>
          <t>本線</t>
        </is>
      </c>
      <c r="D9033" s="10" t="inlineStr">
        <is>
          <t>下り</t>
        </is>
      </c>
      <c r="E9033" t="inlineStr">
        <is>
          <t>1109</t>
        </is>
      </c>
      <c r="F9033" t="inlineStr">
        <is>
          <t>0112</t>
        </is>
      </c>
      <c r="G9033" s="10" t="inlineStr">
        <is>
          <t>西院</t>
        </is>
      </c>
      <c r="H9033" s="10" t="inlineStr">
        <is>
          <t>発</t>
        </is>
      </c>
      <c r="J9033" s="10" t="inlineStr">
        <is>
          <t>営業</t>
        </is>
      </c>
      <c r="L9033" t="inlineStr">
        <is>
          <t>11:45:50</t>
        </is>
      </c>
      <c r="M9033" t="inlineStr">
        <is>
          <t>11:46:20</t>
        </is>
      </c>
    </row>
    <row r="9034" ht="15" customHeight="1" s="37">
      <c r="A9034" t="n">
        <v>6</v>
      </c>
      <c r="B9034" s="10" t="inlineStr">
        <is>
          <t>平日</t>
        </is>
      </c>
      <c r="C9034" s="10" t="inlineStr">
        <is>
          <t>本線</t>
        </is>
      </c>
      <c r="D9034" s="10" t="inlineStr">
        <is>
          <t>下り</t>
        </is>
      </c>
      <c r="E9034" t="inlineStr">
        <is>
          <t>1109</t>
        </is>
      </c>
      <c r="F9034" t="inlineStr">
        <is>
          <t>0112</t>
        </is>
      </c>
      <c r="G9034" s="10" t="inlineStr">
        <is>
          <t>西大路三条</t>
        </is>
      </c>
      <c r="H9034" s="10" t="inlineStr">
        <is>
          <t>発</t>
        </is>
      </c>
      <c r="J9034" s="10" t="inlineStr">
        <is>
          <t>営業</t>
        </is>
      </c>
      <c r="L9034" t="inlineStr">
        <is>
          <t>11:48:10</t>
        </is>
      </c>
      <c r="M9034" t="inlineStr">
        <is>
          <t>11:48:30</t>
        </is>
      </c>
    </row>
    <row r="9035" ht="15" customHeight="1" s="37">
      <c r="A9035" t="n">
        <v>6</v>
      </c>
      <c r="B9035" s="10" t="inlineStr">
        <is>
          <t>平日</t>
        </is>
      </c>
      <c r="C9035" s="10" t="inlineStr">
        <is>
          <t>本線</t>
        </is>
      </c>
      <c r="D9035" s="10" t="inlineStr">
        <is>
          <t>下り</t>
        </is>
      </c>
      <c r="E9035" t="inlineStr">
        <is>
          <t>1109</t>
        </is>
      </c>
      <c r="F9035" t="inlineStr">
        <is>
          <t>0112</t>
        </is>
      </c>
      <c r="G9035" s="10" t="inlineStr">
        <is>
          <t>山ノ内</t>
        </is>
      </c>
      <c r="H9035" s="10" t="inlineStr">
        <is>
          <t>発</t>
        </is>
      </c>
      <c r="J9035" s="10" t="inlineStr">
        <is>
          <t>営業</t>
        </is>
      </c>
      <c r="L9035" t="inlineStr">
        <is>
          <t>11:50:25</t>
        </is>
      </c>
      <c r="M9035" t="inlineStr">
        <is>
          <t>11:50:50</t>
        </is>
      </c>
    </row>
    <row r="9036" ht="15" customHeight="1" s="37">
      <c r="A9036" t="n">
        <v>6</v>
      </c>
      <c r="B9036" s="10" t="inlineStr">
        <is>
          <t>平日</t>
        </is>
      </c>
      <c r="C9036" s="10" t="inlineStr">
        <is>
          <t>本線</t>
        </is>
      </c>
      <c r="D9036" s="10" t="inlineStr">
        <is>
          <t>下り</t>
        </is>
      </c>
      <c r="E9036" t="inlineStr">
        <is>
          <t>1109</t>
        </is>
      </c>
      <c r="F9036" t="inlineStr">
        <is>
          <t>0112</t>
        </is>
      </c>
      <c r="G9036" s="10" t="inlineStr">
        <is>
          <t>天神川</t>
        </is>
      </c>
      <c r="H9036" s="10" t="inlineStr">
        <is>
          <t>発</t>
        </is>
      </c>
      <c r="J9036" s="10" t="inlineStr">
        <is>
          <t>営業</t>
        </is>
      </c>
      <c r="L9036" t="inlineStr">
        <is>
          <t>11:52:50</t>
        </is>
      </c>
      <c r="M9036" t="inlineStr">
        <is>
          <t>11:53:30</t>
        </is>
      </c>
    </row>
    <row r="9037" ht="15" customHeight="1" s="37">
      <c r="A9037" t="n">
        <v>6</v>
      </c>
      <c r="B9037" s="10" t="inlineStr">
        <is>
          <t>平日</t>
        </is>
      </c>
      <c r="C9037" s="10" t="inlineStr">
        <is>
          <t>本線</t>
        </is>
      </c>
      <c r="D9037" s="10" t="inlineStr">
        <is>
          <t>下り</t>
        </is>
      </c>
      <c r="E9037" t="inlineStr">
        <is>
          <t>1109</t>
        </is>
      </c>
      <c r="F9037" t="inlineStr">
        <is>
          <t>0112</t>
        </is>
      </c>
      <c r="G9037" s="10" t="inlineStr">
        <is>
          <t>蚕ノ社</t>
        </is>
      </c>
      <c r="H9037" s="10" t="inlineStr">
        <is>
          <t>発</t>
        </is>
      </c>
      <c r="J9037" s="10" t="inlineStr">
        <is>
          <t>営業</t>
        </is>
      </c>
      <c r="L9037" t="inlineStr">
        <is>
          <t>11:54:20</t>
        </is>
      </c>
      <c r="M9037" t="inlineStr">
        <is>
          <t>11:54:40</t>
        </is>
      </c>
    </row>
    <row r="9038" ht="15" customHeight="1" s="37">
      <c r="A9038" t="n">
        <v>6</v>
      </c>
      <c r="B9038" s="10" t="inlineStr">
        <is>
          <t>平日</t>
        </is>
      </c>
      <c r="C9038" s="10" t="inlineStr">
        <is>
          <t>本線</t>
        </is>
      </c>
      <c r="D9038" s="10" t="inlineStr">
        <is>
          <t>下り</t>
        </is>
      </c>
      <c r="E9038" t="inlineStr">
        <is>
          <t>1109</t>
        </is>
      </c>
      <c r="F9038" t="inlineStr">
        <is>
          <t>0112</t>
        </is>
      </c>
      <c r="G9038" s="10" t="inlineStr">
        <is>
          <t>太秦広隆寺</t>
        </is>
      </c>
      <c r="H9038" s="10" t="inlineStr">
        <is>
          <t>発</t>
        </is>
      </c>
      <c r="J9038" s="10" t="inlineStr">
        <is>
          <t>営業</t>
        </is>
      </c>
      <c r="L9038" t="inlineStr">
        <is>
          <t>11:56:00</t>
        </is>
      </c>
      <c r="M9038" t="inlineStr">
        <is>
          <t>11:56:20</t>
        </is>
      </c>
    </row>
    <row r="9039" ht="15" customHeight="1" s="37">
      <c r="A9039" t="n">
        <v>6</v>
      </c>
      <c r="B9039" s="10" t="inlineStr">
        <is>
          <t>平日</t>
        </is>
      </c>
      <c r="C9039" s="10" t="inlineStr">
        <is>
          <t>本線</t>
        </is>
      </c>
      <c r="D9039" s="10" t="inlineStr">
        <is>
          <t>下り</t>
        </is>
      </c>
      <c r="E9039" t="inlineStr">
        <is>
          <t>1109</t>
        </is>
      </c>
      <c r="F9039" t="inlineStr">
        <is>
          <t>0112</t>
        </is>
      </c>
      <c r="G9039" s="10" t="inlineStr">
        <is>
          <t>帷子ノ辻</t>
        </is>
      </c>
      <c r="H9039" s="10" t="inlineStr">
        <is>
          <t>発</t>
        </is>
      </c>
      <c r="J9039" s="10" t="inlineStr">
        <is>
          <t>営業</t>
        </is>
      </c>
      <c r="L9039" t="inlineStr">
        <is>
          <t>11:58:20</t>
        </is>
      </c>
      <c r="M9039" t="inlineStr">
        <is>
          <t>11:59:40</t>
        </is>
      </c>
    </row>
    <row r="9040" ht="15" customHeight="1" s="37">
      <c r="A9040" t="n">
        <v>6</v>
      </c>
      <c r="B9040" s="10" t="inlineStr">
        <is>
          <t>平日</t>
        </is>
      </c>
      <c r="C9040" s="10" t="inlineStr">
        <is>
          <t>本線</t>
        </is>
      </c>
      <c r="D9040" s="10" t="inlineStr">
        <is>
          <t>下り</t>
        </is>
      </c>
      <c r="E9040" t="inlineStr">
        <is>
          <t>1109</t>
        </is>
      </c>
      <c r="F9040" t="inlineStr">
        <is>
          <t>0112</t>
        </is>
      </c>
      <c r="G9040" s="10" t="inlineStr">
        <is>
          <t>有栖川</t>
        </is>
      </c>
      <c r="H9040" s="10" t="inlineStr">
        <is>
          <t>発</t>
        </is>
      </c>
      <c r="J9040" s="10" t="inlineStr">
        <is>
          <t>営業</t>
        </is>
      </c>
      <c r="L9040" t="inlineStr">
        <is>
          <t>12:00:50</t>
        </is>
      </c>
      <c r="M9040" t="inlineStr">
        <is>
          <t>12:01:15</t>
        </is>
      </c>
    </row>
    <row r="9041" ht="15" customHeight="1" s="37">
      <c r="A9041" t="n">
        <v>6</v>
      </c>
      <c r="B9041" s="10" t="inlineStr">
        <is>
          <t>平日</t>
        </is>
      </c>
      <c r="C9041" s="10" t="inlineStr">
        <is>
          <t>本線</t>
        </is>
      </c>
      <c r="D9041" s="10" t="inlineStr">
        <is>
          <t>下り</t>
        </is>
      </c>
      <c r="E9041" t="inlineStr">
        <is>
          <t>1109</t>
        </is>
      </c>
      <c r="F9041" t="inlineStr">
        <is>
          <t>0112</t>
        </is>
      </c>
      <c r="G9041" s="10" t="inlineStr">
        <is>
          <t>車折</t>
        </is>
      </c>
      <c r="H9041" s="10" t="inlineStr">
        <is>
          <t>発</t>
        </is>
      </c>
      <c r="J9041" s="10" t="inlineStr">
        <is>
          <t>営業</t>
        </is>
      </c>
      <c r="L9041" t="inlineStr">
        <is>
          <t>12:02:40</t>
        </is>
      </c>
      <c r="M9041" t="inlineStr">
        <is>
          <t>12:03:05</t>
        </is>
      </c>
    </row>
    <row r="9042" ht="15" customHeight="1" s="37">
      <c r="A9042" t="n">
        <v>6</v>
      </c>
      <c r="B9042" s="10" t="inlineStr">
        <is>
          <t>平日</t>
        </is>
      </c>
      <c r="C9042" s="10" t="inlineStr">
        <is>
          <t>本線</t>
        </is>
      </c>
      <c r="D9042" s="10" t="inlineStr">
        <is>
          <t>下り</t>
        </is>
      </c>
      <c r="E9042" t="inlineStr">
        <is>
          <t>1109</t>
        </is>
      </c>
      <c r="F9042" t="inlineStr">
        <is>
          <t>0112</t>
        </is>
      </c>
      <c r="G9042" s="10" t="inlineStr">
        <is>
          <t>鹿王院</t>
        </is>
      </c>
      <c r="H9042" s="10" t="inlineStr">
        <is>
          <t>発</t>
        </is>
      </c>
      <c r="J9042" s="10" t="inlineStr">
        <is>
          <t>営業</t>
        </is>
      </c>
      <c r="L9042" t="inlineStr">
        <is>
          <t>12:04:00</t>
        </is>
      </c>
      <c r="M9042" t="inlineStr">
        <is>
          <t>12:04:25</t>
        </is>
      </c>
    </row>
    <row r="9043" ht="15" customHeight="1" s="37">
      <c r="A9043" t="n">
        <v>6</v>
      </c>
      <c r="B9043" s="10" t="inlineStr">
        <is>
          <t>平日</t>
        </is>
      </c>
      <c r="C9043" s="10" t="inlineStr">
        <is>
          <t>本線</t>
        </is>
      </c>
      <c r="D9043" s="10" t="inlineStr">
        <is>
          <t>下り</t>
        </is>
      </c>
      <c r="E9043" t="inlineStr">
        <is>
          <t>1109</t>
        </is>
      </c>
      <c r="F9043" t="inlineStr">
        <is>
          <t>0112</t>
        </is>
      </c>
      <c r="G9043" s="10" t="inlineStr">
        <is>
          <t>嵯峨</t>
        </is>
      </c>
      <c r="H9043" s="10" t="inlineStr">
        <is>
          <t>発</t>
        </is>
      </c>
      <c r="J9043" s="10" t="inlineStr">
        <is>
          <t>営業</t>
        </is>
      </c>
      <c r="L9043" t="inlineStr">
        <is>
          <t>12:05:30</t>
        </is>
      </c>
      <c r="M9043" t="inlineStr">
        <is>
          <t>12:05:55</t>
        </is>
      </c>
    </row>
    <row r="9044" ht="15" customHeight="1" s="37">
      <c r="A9044" t="n">
        <v>6</v>
      </c>
      <c r="B9044" s="10" t="inlineStr">
        <is>
          <t>平日</t>
        </is>
      </c>
      <c r="C9044" s="10" t="inlineStr">
        <is>
          <t>本線</t>
        </is>
      </c>
      <c r="D9044" s="10" t="inlineStr">
        <is>
          <t>下り</t>
        </is>
      </c>
      <c r="E9044" t="inlineStr">
        <is>
          <t>1109</t>
        </is>
      </c>
      <c r="F9044" t="inlineStr">
        <is>
          <t>0112</t>
        </is>
      </c>
      <c r="G9044" s="10" t="inlineStr">
        <is>
          <t>嵐山</t>
        </is>
      </c>
      <c r="H9044" s="10" t="inlineStr">
        <is>
          <t>着</t>
        </is>
      </c>
      <c r="J9044" s="10" t="inlineStr">
        <is>
          <t>営業</t>
        </is>
      </c>
      <c r="L9044" t="inlineStr">
        <is>
          <t>12:07:00</t>
        </is>
      </c>
      <c r="Q9044" t="inlineStr">
        <is>
          <t>1</t>
        </is>
      </c>
    </row>
    <row r="9045" ht="15" customHeight="1" s="37">
      <c r="A9045" t="n">
        <v>6</v>
      </c>
      <c r="B9045" s="10" t="inlineStr">
        <is>
          <t>平日</t>
        </is>
      </c>
      <c r="C9045" s="10" t="inlineStr">
        <is>
          <t>本線</t>
        </is>
      </c>
      <c r="D9045" s="10" t="inlineStr">
        <is>
          <t>上り</t>
        </is>
      </c>
      <c r="E9045" t="inlineStr">
        <is>
          <t>1204</t>
        </is>
      </c>
      <c r="F9045" t="inlineStr">
        <is>
          <t>0211</t>
        </is>
      </c>
      <c r="G9045" s="10" t="inlineStr">
        <is>
          <t>嵐山</t>
        </is>
      </c>
      <c r="H9045" s="10" t="inlineStr">
        <is>
          <t>発</t>
        </is>
      </c>
      <c r="J9045" s="10" t="inlineStr">
        <is>
          <t>営業</t>
        </is>
      </c>
      <c r="M9045" t="inlineStr">
        <is>
          <t>12:13:00</t>
        </is>
      </c>
      <c r="Q9045" t="inlineStr">
        <is>
          <t>1</t>
        </is>
      </c>
    </row>
    <row r="9046" ht="15" customHeight="1" s="37">
      <c r="A9046" t="n">
        <v>6</v>
      </c>
      <c r="B9046" s="10" t="inlineStr">
        <is>
          <t>平日</t>
        </is>
      </c>
      <c r="C9046" s="10" t="inlineStr">
        <is>
          <t>本線</t>
        </is>
      </c>
      <c r="D9046" s="10" t="inlineStr">
        <is>
          <t>上り</t>
        </is>
      </c>
      <c r="E9046" t="inlineStr">
        <is>
          <t>1204</t>
        </is>
      </c>
      <c r="F9046" t="inlineStr">
        <is>
          <t>0211</t>
        </is>
      </c>
      <c r="G9046" s="10" t="inlineStr">
        <is>
          <t>嵯峨</t>
        </is>
      </c>
      <c r="H9046" s="10" t="inlineStr">
        <is>
          <t>発</t>
        </is>
      </c>
      <c r="J9046" s="10" t="inlineStr">
        <is>
          <t>営業</t>
        </is>
      </c>
      <c r="L9046" t="inlineStr">
        <is>
          <t>12:13:55</t>
        </is>
      </c>
      <c r="M9046" t="inlineStr">
        <is>
          <t>12:14:20</t>
        </is>
      </c>
    </row>
    <row r="9047" ht="15" customHeight="1" s="37">
      <c r="A9047" t="n">
        <v>6</v>
      </c>
      <c r="B9047" s="10" t="inlineStr">
        <is>
          <t>平日</t>
        </is>
      </c>
      <c r="C9047" s="10" t="inlineStr">
        <is>
          <t>本線</t>
        </is>
      </c>
      <c r="D9047" s="10" t="inlineStr">
        <is>
          <t>上り</t>
        </is>
      </c>
      <c r="E9047" t="inlineStr">
        <is>
          <t>1204</t>
        </is>
      </c>
      <c r="F9047" t="inlineStr">
        <is>
          <t>0211</t>
        </is>
      </c>
      <c r="G9047" s="10" t="inlineStr">
        <is>
          <t>鹿王院</t>
        </is>
      </c>
      <c r="H9047" s="10" t="inlineStr">
        <is>
          <t>発</t>
        </is>
      </c>
      <c r="J9047" s="10" t="inlineStr">
        <is>
          <t>営業</t>
        </is>
      </c>
      <c r="L9047" t="inlineStr">
        <is>
          <t>12:15:25</t>
        </is>
      </c>
      <c r="M9047" t="inlineStr">
        <is>
          <t>12:15:45</t>
        </is>
      </c>
    </row>
    <row r="9048" ht="15" customHeight="1" s="37">
      <c r="A9048" t="n">
        <v>6</v>
      </c>
      <c r="B9048" s="10" t="inlineStr">
        <is>
          <t>平日</t>
        </is>
      </c>
      <c r="C9048" s="10" t="inlineStr">
        <is>
          <t>本線</t>
        </is>
      </c>
      <c r="D9048" s="10" t="inlineStr">
        <is>
          <t>上り</t>
        </is>
      </c>
      <c r="E9048" t="inlineStr">
        <is>
          <t>1204</t>
        </is>
      </c>
      <c r="F9048" t="inlineStr">
        <is>
          <t>0211</t>
        </is>
      </c>
      <c r="G9048" s="10" t="inlineStr">
        <is>
          <t>車折</t>
        </is>
      </c>
      <c r="H9048" s="10" t="inlineStr">
        <is>
          <t>発</t>
        </is>
      </c>
      <c r="J9048" s="10" t="inlineStr">
        <is>
          <t>営業</t>
        </is>
      </c>
      <c r="L9048" t="inlineStr">
        <is>
          <t>12:16:40</t>
        </is>
      </c>
      <c r="M9048" t="inlineStr">
        <is>
          <t>12:17:10</t>
        </is>
      </c>
    </row>
    <row r="9049" ht="15" customHeight="1" s="37">
      <c r="A9049" t="n">
        <v>6</v>
      </c>
      <c r="B9049" s="10" t="inlineStr">
        <is>
          <t>平日</t>
        </is>
      </c>
      <c r="C9049" s="10" t="inlineStr">
        <is>
          <t>本線</t>
        </is>
      </c>
      <c r="D9049" s="10" t="inlineStr">
        <is>
          <t>上り</t>
        </is>
      </c>
      <c r="E9049" t="inlineStr">
        <is>
          <t>1204</t>
        </is>
      </c>
      <c r="F9049" t="inlineStr">
        <is>
          <t>0211</t>
        </is>
      </c>
      <c r="G9049" s="10" t="inlineStr">
        <is>
          <t>有栖川</t>
        </is>
      </c>
      <c r="H9049" s="10" t="inlineStr">
        <is>
          <t>発</t>
        </is>
      </c>
      <c r="J9049" s="10" t="inlineStr">
        <is>
          <t>営業</t>
        </is>
      </c>
      <c r="L9049" t="inlineStr">
        <is>
          <t>12:18:35</t>
        </is>
      </c>
      <c r="M9049" t="inlineStr">
        <is>
          <t>12:18:55</t>
        </is>
      </c>
    </row>
    <row r="9050" ht="15" customHeight="1" s="37">
      <c r="A9050" t="n">
        <v>6</v>
      </c>
      <c r="B9050" s="10" t="inlineStr">
        <is>
          <t>平日</t>
        </is>
      </c>
      <c r="C9050" s="10" t="inlineStr">
        <is>
          <t>本線</t>
        </is>
      </c>
      <c r="D9050" s="10" t="inlineStr">
        <is>
          <t>上り</t>
        </is>
      </c>
      <c r="E9050" t="inlineStr">
        <is>
          <t>1204</t>
        </is>
      </c>
      <c r="F9050" t="inlineStr">
        <is>
          <t>0211</t>
        </is>
      </c>
      <c r="G9050" s="10" t="inlineStr">
        <is>
          <t>帷子ノ辻</t>
        </is>
      </c>
      <c r="H9050" s="10" t="inlineStr">
        <is>
          <t>発</t>
        </is>
      </c>
      <c r="J9050" s="10" t="inlineStr">
        <is>
          <t>営業</t>
        </is>
      </c>
      <c r="L9050" t="inlineStr">
        <is>
          <t>12:20:10</t>
        </is>
      </c>
      <c r="M9050" t="inlineStr">
        <is>
          <t>12:21:15</t>
        </is>
      </c>
    </row>
    <row r="9051" ht="15" customHeight="1" s="37">
      <c r="A9051" t="n">
        <v>6</v>
      </c>
      <c r="B9051" s="10" t="inlineStr">
        <is>
          <t>平日</t>
        </is>
      </c>
      <c r="C9051" s="10" t="inlineStr">
        <is>
          <t>本線</t>
        </is>
      </c>
      <c r="D9051" s="10" t="inlineStr">
        <is>
          <t>上り</t>
        </is>
      </c>
      <c r="E9051" t="inlineStr">
        <is>
          <t>1204</t>
        </is>
      </c>
      <c r="F9051" t="inlineStr">
        <is>
          <t>0211</t>
        </is>
      </c>
      <c r="G9051" s="10" t="inlineStr">
        <is>
          <t>太秦広隆寺</t>
        </is>
      </c>
      <c r="H9051" s="10" t="inlineStr">
        <is>
          <t>発</t>
        </is>
      </c>
      <c r="J9051" s="10" t="inlineStr">
        <is>
          <t>営業</t>
        </is>
      </c>
      <c r="L9051" t="inlineStr">
        <is>
          <t>12:23:25</t>
        </is>
      </c>
      <c r="M9051" t="inlineStr">
        <is>
          <t>12:23:45</t>
        </is>
      </c>
    </row>
    <row r="9052" ht="15" customHeight="1" s="37">
      <c r="A9052" t="n">
        <v>6</v>
      </c>
      <c r="B9052" s="10" t="inlineStr">
        <is>
          <t>平日</t>
        </is>
      </c>
      <c r="C9052" s="10" t="inlineStr">
        <is>
          <t>本線</t>
        </is>
      </c>
      <c r="D9052" s="10" t="inlineStr">
        <is>
          <t>上り</t>
        </is>
      </c>
      <c r="E9052" t="inlineStr">
        <is>
          <t>1204</t>
        </is>
      </c>
      <c r="F9052" t="inlineStr">
        <is>
          <t>0211</t>
        </is>
      </c>
      <c r="G9052" s="10" t="inlineStr">
        <is>
          <t>蚕ノ社</t>
        </is>
      </c>
      <c r="H9052" s="10" t="inlineStr">
        <is>
          <t>発</t>
        </is>
      </c>
      <c r="J9052" s="10" t="inlineStr">
        <is>
          <t>営業</t>
        </is>
      </c>
      <c r="L9052" t="inlineStr">
        <is>
          <t>12:25:00</t>
        </is>
      </c>
      <c r="M9052" t="inlineStr">
        <is>
          <t>12:25:20</t>
        </is>
      </c>
    </row>
    <row r="9053" ht="15" customHeight="1" s="37">
      <c r="A9053" t="n">
        <v>6</v>
      </c>
      <c r="B9053" s="10" t="inlineStr">
        <is>
          <t>平日</t>
        </is>
      </c>
      <c r="C9053" s="10" t="inlineStr">
        <is>
          <t>本線</t>
        </is>
      </c>
      <c r="D9053" s="10" t="inlineStr">
        <is>
          <t>上り</t>
        </is>
      </c>
      <c r="E9053" t="inlineStr">
        <is>
          <t>1204</t>
        </is>
      </c>
      <c r="F9053" t="inlineStr">
        <is>
          <t>0211</t>
        </is>
      </c>
      <c r="G9053" s="10" t="inlineStr">
        <is>
          <t>天神川</t>
        </is>
      </c>
      <c r="H9053" s="10" t="inlineStr">
        <is>
          <t>発</t>
        </is>
      </c>
      <c r="J9053" s="10" t="inlineStr">
        <is>
          <t>営業</t>
        </is>
      </c>
      <c r="L9053" t="inlineStr">
        <is>
          <t>12:26:05</t>
        </is>
      </c>
      <c r="M9053" t="inlineStr">
        <is>
          <t>12:26:50</t>
        </is>
      </c>
    </row>
    <row r="9054" ht="15" customHeight="1" s="37">
      <c r="A9054" t="n">
        <v>6</v>
      </c>
      <c r="B9054" s="10" t="inlineStr">
        <is>
          <t>平日</t>
        </is>
      </c>
      <c r="C9054" s="10" t="inlineStr">
        <is>
          <t>本線</t>
        </is>
      </c>
      <c r="D9054" s="10" t="inlineStr">
        <is>
          <t>上り</t>
        </is>
      </c>
      <c r="E9054" t="inlineStr">
        <is>
          <t>1204</t>
        </is>
      </c>
      <c r="F9054" t="inlineStr">
        <is>
          <t>0211</t>
        </is>
      </c>
      <c r="G9054" s="10" t="inlineStr">
        <is>
          <t>山ノ内</t>
        </is>
      </c>
      <c r="H9054" s="10" t="inlineStr">
        <is>
          <t>発</t>
        </is>
      </c>
      <c r="J9054" s="10" t="inlineStr">
        <is>
          <t>営業</t>
        </is>
      </c>
      <c r="L9054" t="inlineStr">
        <is>
          <t>12:28:40</t>
        </is>
      </c>
      <c r="M9054" t="inlineStr">
        <is>
          <t>12:29:05</t>
        </is>
      </c>
    </row>
    <row r="9055" ht="15" customHeight="1" s="37">
      <c r="A9055" t="n">
        <v>6</v>
      </c>
      <c r="B9055" s="10" t="inlineStr">
        <is>
          <t>平日</t>
        </is>
      </c>
      <c r="C9055" s="10" t="inlineStr">
        <is>
          <t>本線</t>
        </is>
      </c>
      <c r="D9055" s="10" t="inlineStr">
        <is>
          <t>上り</t>
        </is>
      </c>
      <c r="E9055" t="inlineStr">
        <is>
          <t>1204</t>
        </is>
      </c>
      <c r="F9055" t="inlineStr">
        <is>
          <t>0211</t>
        </is>
      </c>
      <c r="G9055" s="10" t="inlineStr">
        <is>
          <t>西大路三条</t>
        </is>
      </c>
      <c r="H9055" s="10" t="inlineStr">
        <is>
          <t>発</t>
        </is>
      </c>
      <c r="J9055" s="10" t="inlineStr">
        <is>
          <t>営業</t>
        </is>
      </c>
      <c r="L9055" t="inlineStr">
        <is>
          <t>12:30:55</t>
        </is>
      </c>
      <c r="M9055" t="inlineStr">
        <is>
          <t>12:31:15</t>
        </is>
      </c>
    </row>
    <row r="9056" ht="15" customHeight="1" s="37">
      <c r="A9056" t="n">
        <v>6</v>
      </c>
      <c r="B9056" s="10" t="inlineStr">
        <is>
          <t>平日</t>
        </is>
      </c>
      <c r="C9056" s="10" t="inlineStr">
        <is>
          <t>本線</t>
        </is>
      </c>
      <c r="D9056" s="10" t="inlineStr">
        <is>
          <t>上り</t>
        </is>
      </c>
      <c r="E9056" t="inlineStr">
        <is>
          <t>1204</t>
        </is>
      </c>
      <c r="F9056" t="inlineStr">
        <is>
          <t>0211</t>
        </is>
      </c>
      <c r="G9056" s="10" t="inlineStr">
        <is>
          <t>西院</t>
        </is>
      </c>
      <c r="H9056" s="10" t="inlineStr">
        <is>
          <t>発</t>
        </is>
      </c>
      <c r="J9056" s="10" t="inlineStr">
        <is>
          <t>営業</t>
        </is>
      </c>
      <c r="L9056" t="inlineStr">
        <is>
          <t>12:33:10</t>
        </is>
      </c>
      <c r="M9056" t="inlineStr">
        <is>
          <t>12:34:05</t>
        </is>
      </c>
    </row>
    <row r="9057" ht="15" customHeight="1" s="37">
      <c r="A9057" t="n">
        <v>6</v>
      </c>
      <c r="B9057" s="10" t="inlineStr">
        <is>
          <t>平日</t>
        </is>
      </c>
      <c r="C9057" s="10" t="inlineStr">
        <is>
          <t>本線</t>
        </is>
      </c>
      <c r="D9057" s="10" t="inlineStr">
        <is>
          <t>上り</t>
        </is>
      </c>
      <c r="E9057" t="inlineStr">
        <is>
          <t>1204</t>
        </is>
      </c>
      <c r="F9057" t="inlineStr">
        <is>
          <t>0211</t>
        </is>
      </c>
      <c r="G9057" s="10" t="inlineStr">
        <is>
          <t>四条大宮</t>
        </is>
      </c>
      <c r="H9057" s="10" t="inlineStr">
        <is>
          <t>着</t>
        </is>
      </c>
      <c r="J9057" s="10" t="inlineStr">
        <is>
          <t>営業</t>
        </is>
      </c>
      <c r="L9057" t="inlineStr">
        <is>
          <t>12:37:00</t>
        </is>
      </c>
      <c r="Q9057" t="inlineStr">
        <is>
          <t>1</t>
        </is>
      </c>
    </row>
    <row r="9058" ht="15" customHeight="1" s="37">
      <c r="A9058" t="n">
        <v>6</v>
      </c>
      <c r="B9058" s="10" t="inlineStr">
        <is>
          <t>平日</t>
        </is>
      </c>
      <c r="C9058" s="10" t="inlineStr">
        <is>
          <t>本線</t>
        </is>
      </c>
      <c r="D9058" s="10" t="inlineStr">
        <is>
          <t>下り</t>
        </is>
      </c>
      <c r="E9058" t="inlineStr">
        <is>
          <t>1209</t>
        </is>
      </c>
      <c r="F9058" t="inlineStr">
        <is>
          <t>0112</t>
        </is>
      </c>
      <c r="G9058" s="10" t="inlineStr">
        <is>
          <t>四条大宮</t>
        </is>
      </c>
      <c r="H9058" s="10" t="inlineStr">
        <is>
          <t>発</t>
        </is>
      </c>
      <c r="J9058" s="10" t="inlineStr">
        <is>
          <t>営業</t>
        </is>
      </c>
      <c r="M9058" t="inlineStr">
        <is>
          <t>12:43:00</t>
        </is>
      </c>
      <c r="Q9058" t="inlineStr">
        <is>
          <t>1</t>
        </is>
      </c>
    </row>
    <row r="9059" ht="15" customHeight="1" s="37">
      <c r="A9059" t="n">
        <v>6</v>
      </c>
      <c r="B9059" s="10" t="inlineStr">
        <is>
          <t>平日</t>
        </is>
      </c>
      <c r="C9059" s="10" t="inlineStr">
        <is>
          <t>本線</t>
        </is>
      </c>
      <c r="D9059" s="10" t="inlineStr">
        <is>
          <t>下り</t>
        </is>
      </c>
      <c r="E9059" t="inlineStr">
        <is>
          <t>1209</t>
        </is>
      </c>
      <c r="F9059" t="inlineStr">
        <is>
          <t>0112</t>
        </is>
      </c>
      <c r="G9059" s="10" t="inlineStr">
        <is>
          <t>西院</t>
        </is>
      </c>
      <c r="H9059" s="10" t="inlineStr">
        <is>
          <t>発</t>
        </is>
      </c>
      <c r="J9059" s="10" t="inlineStr">
        <is>
          <t>営業</t>
        </is>
      </c>
      <c r="L9059" t="inlineStr">
        <is>
          <t>12:45:50</t>
        </is>
      </c>
      <c r="M9059" t="inlineStr">
        <is>
          <t>12:46:20</t>
        </is>
      </c>
    </row>
    <row r="9060" ht="15" customHeight="1" s="37">
      <c r="A9060" t="n">
        <v>6</v>
      </c>
      <c r="B9060" s="10" t="inlineStr">
        <is>
          <t>平日</t>
        </is>
      </c>
      <c r="C9060" s="10" t="inlineStr">
        <is>
          <t>本線</t>
        </is>
      </c>
      <c r="D9060" s="10" t="inlineStr">
        <is>
          <t>下り</t>
        </is>
      </c>
      <c r="E9060" t="inlineStr">
        <is>
          <t>1209</t>
        </is>
      </c>
      <c r="F9060" t="inlineStr">
        <is>
          <t>0112</t>
        </is>
      </c>
      <c r="G9060" s="10" t="inlineStr">
        <is>
          <t>西大路三条</t>
        </is>
      </c>
      <c r="H9060" s="10" t="inlineStr">
        <is>
          <t>発</t>
        </is>
      </c>
      <c r="J9060" s="10" t="inlineStr">
        <is>
          <t>営業</t>
        </is>
      </c>
      <c r="L9060" t="inlineStr">
        <is>
          <t>12:48:10</t>
        </is>
      </c>
      <c r="M9060" t="inlineStr">
        <is>
          <t>12:48:30</t>
        </is>
      </c>
    </row>
    <row r="9061" ht="15" customHeight="1" s="37">
      <c r="A9061" t="n">
        <v>6</v>
      </c>
      <c r="B9061" s="10" t="inlineStr">
        <is>
          <t>平日</t>
        </is>
      </c>
      <c r="C9061" s="10" t="inlineStr">
        <is>
          <t>本線</t>
        </is>
      </c>
      <c r="D9061" s="10" t="inlineStr">
        <is>
          <t>下り</t>
        </is>
      </c>
      <c r="E9061" t="inlineStr">
        <is>
          <t>1209</t>
        </is>
      </c>
      <c r="F9061" t="inlineStr">
        <is>
          <t>0112</t>
        </is>
      </c>
      <c r="G9061" s="10" t="inlineStr">
        <is>
          <t>山ノ内</t>
        </is>
      </c>
      <c r="H9061" s="10" t="inlineStr">
        <is>
          <t>発</t>
        </is>
      </c>
      <c r="J9061" s="10" t="inlineStr">
        <is>
          <t>営業</t>
        </is>
      </c>
      <c r="L9061" t="inlineStr">
        <is>
          <t>12:50:25</t>
        </is>
      </c>
      <c r="M9061" t="inlineStr">
        <is>
          <t>12:50:50</t>
        </is>
      </c>
    </row>
    <row r="9062" ht="15" customHeight="1" s="37">
      <c r="A9062" t="n">
        <v>6</v>
      </c>
      <c r="B9062" s="10" t="inlineStr">
        <is>
          <t>平日</t>
        </is>
      </c>
      <c r="C9062" s="10" t="inlineStr">
        <is>
          <t>本線</t>
        </is>
      </c>
      <c r="D9062" s="10" t="inlineStr">
        <is>
          <t>下り</t>
        </is>
      </c>
      <c r="E9062" t="inlineStr">
        <is>
          <t>1209</t>
        </is>
      </c>
      <c r="F9062" t="inlineStr">
        <is>
          <t>0112</t>
        </is>
      </c>
      <c r="G9062" s="10" t="inlineStr">
        <is>
          <t>天神川</t>
        </is>
      </c>
      <c r="H9062" s="10" t="inlineStr">
        <is>
          <t>発</t>
        </is>
      </c>
      <c r="J9062" s="10" t="inlineStr">
        <is>
          <t>営業</t>
        </is>
      </c>
      <c r="L9062" t="inlineStr">
        <is>
          <t>12:52:50</t>
        </is>
      </c>
      <c r="M9062" t="inlineStr">
        <is>
          <t>12:53:30</t>
        </is>
      </c>
    </row>
    <row r="9063" ht="15" customHeight="1" s="37">
      <c r="A9063" t="n">
        <v>6</v>
      </c>
      <c r="B9063" s="10" t="inlineStr">
        <is>
          <t>平日</t>
        </is>
      </c>
      <c r="C9063" s="10" t="inlineStr">
        <is>
          <t>本線</t>
        </is>
      </c>
      <c r="D9063" s="10" t="inlineStr">
        <is>
          <t>下り</t>
        </is>
      </c>
      <c r="E9063" t="inlineStr">
        <is>
          <t>1209</t>
        </is>
      </c>
      <c r="F9063" t="inlineStr">
        <is>
          <t>0112</t>
        </is>
      </c>
      <c r="G9063" s="10" t="inlineStr">
        <is>
          <t>蚕ノ社</t>
        </is>
      </c>
      <c r="H9063" s="10" t="inlineStr">
        <is>
          <t>発</t>
        </is>
      </c>
      <c r="J9063" s="10" t="inlineStr">
        <is>
          <t>営業</t>
        </is>
      </c>
      <c r="L9063" t="inlineStr">
        <is>
          <t>12:54:20</t>
        </is>
      </c>
      <c r="M9063" t="inlineStr">
        <is>
          <t>12:54:40</t>
        </is>
      </c>
    </row>
    <row r="9064" ht="15" customHeight="1" s="37">
      <c r="A9064" t="n">
        <v>6</v>
      </c>
      <c r="B9064" s="10" t="inlineStr">
        <is>
          <t>平日</t>
        </is>
      </c>
      <c r="C9064" s="10" t="inlineStr">
        <is>
          <t>本線</t>
        </is>
      </c>
      <c r="D9064" s="10" t="inlineStr">
        <is>
          <t>下り</t>
        </is>
      </c>
      <c r="E9064" t="inlineStr">
        <is>
          <t>1209</t>
        </is>
      </c>
      <c r="F9064" t="inlineStr">
        <is>
          <t>0112</t>
        </is>
      </c>
      <c r="G9064" s="10" t="inlineStr">
        <is>
          <t>太秦広隆寺</t>
        </is>
      </c>
      <c r="H9064" s="10" t="inlineStr">
        <is>
          <t>発</t>
        </is>
      </c>
      <c r="J9064" s="10" t="inlineStr">
        <is>
          <t>営業</t>
        </is>
      </c>
      <c r="L9064" t="inlineStr">
        <is>
          <t>12:56:00</t>
        </is>
      </c>
      <c r="M9064" t="inlineStr">
        <is>
          <t>12:56:20</t>
        </is>
      </c>
    </row>
    <row r="9065" ht="15" customHeight="1" s="37">
      <c r="A9065" t="n">
        <v>6</v>
      </c>
      <c r="B9065" s="10" t="inlineStr">
        <is>
          <t>平日</t>
        </is>
      </c>
      <c r="C9065" s="10" t="inlineStr">
        <is>
          <t>本線</t>
        </is>
      </c>
      <c r="D9065" s="10" t="inlineStr">
        <is>
          <t>下り</t>
        </is>
      </c>
      <c r="E9065" t="inlineStr">
        <is>
          <t>1209</t>
        </is>
      </c>
      <c r="F9065" t="inlineStr">
        <is>
          <t>0112</t>
        </is>
      </c>
      <c r="G9065" s="10" t="inlineStr">
        <is>
          <t>帷子ノ辻</t>
        </is>
      </c>
      <c r="H9065" s="10" t="inlineStr">
        <is>
          <t>発</t>
        </is>
      </c>
      <c r="J9065" s="10" t="inlineStr">
        <is>
          <t>営業</t>
        </is>
      </c>
      <c r="L9065" t="inlineStr">
        <is>
          <t>12:58:20</t>
        </is>
      </c>
      <c r="M9065" t="inlineStr">
        <is>
          <t>12:59:40</t>
        </is>
      </c>
    </row>
    <row r="9066" ht="15" customHeight="1" s="37">
      <c r="A9066" t="n">
        <v>6</v>
      </c>
      <c r="B9066" s="10" t="inlineStr">
        <is>
          <t>平日</t>
        </is>
      </c>
      <c r="C9066" s="10" t="inlineStr">
        <is>
          <t>本線</t>
        </is>
      </c>
      <c r="D9066" s="10" t="inlineStr">
        <is>
          <t>下り</t>
        </is>
      </c>
      <c r="E9066" t="inlineStr">
        <is>
          <t>1209</t>
        </is>
      </c>
      <c r="F9066" t="inlineStr">
        <is>
          <t>0112</t>
        </is>
      </c>
      <c r="G9066" s="10" t="inlineStr">
        <is>
          <t>有栖川</t>
        </is>
      </c>
      <c r="H9066" s="10" t="inlineStr">
        <is>
          <t>発</t>
        </is>
      </c>
      <c r="J9066" s="10" t="inlineStr">
        <is>
          <t>営業</t>
        </is>
      </c>
      <c r="L9066" t="inlineStr">
        <is>
          <t>13:00:50</t>
        </is>
      </c>
      <c r="M9066" t="inlineStr">
        <is>
          <t>13:01:15</t>
        </is>
      </c>
    </row>
    <row r="9067" ht="15" customHeight="1" s="37">
      <c r="A9067" t="n">
        <v>6</v>
      </c>
      <c r="B9067" s="10" t="inlineStr">
        <is>
          <t>平日</t>
        </is>
      </c>
      <c r="C9067" s="10" t="inlineStr">
        <is>
          <t>本線</t>
        </is>
      </c>
      <c r="D9067" s="10" t="inlineStr">
        <is>
          <t>下り</t>
        </is>
      </c>
      <c r="E9067" t="inlineStr">
        <is>
          <t>1209</t>
        </is>
      </c>
      <c r="F9067" t="inlineStr">
        <is>
          <t>0112</t>
        </is>
      </c>
      <c r="G9067" s="10" t="inlineStr">
        <is>
          <t>車折</t>
        </is>
      </c>
      <c r="H9067" s="10" t="inlineStr">
        <is>
          <t>発</t>
        </is>
      </c>
      <c r="J9067" s="10" t="inlineStr">
        <is>
          <t>営業</t>
        </is>
      </c>
      <c r="L9067" t="inlineStr">
        <is>
          <t>13:02:40</t>
        </is>
      </c>
      <c r="M9067" t="inlineStr">
        <is>
          <t>13:03:05</t>
        </is>
      </c>
    </row>
    <row r="9068" ht="15" customHeight="1" s="37">
      <c r="A9068" t="n">
        <v>6</v>
      </c>
      <c r="B9068" s="10" t="inlineStr">
        <is>
          <t>平日</t>
        </is>
      </c>
      <c r="C9068" s="10" t="inlineStr">
        <is>
          <t>本線</t>
        </is>
      </c>
      <c r="D9068" s="10" t="inlineStr">
        <is>
          <t>下り</t>
        </is>
      </c>
      <c r="E9068" t="inlineStr">
        <is>
          <t>1209</t>
        </is>
      </c>
      <c r="F9068" t="inlineStr">
        <is>
          <t>0112</t>
        </is>
      </c>
      <c r="G9068" s="10" t="inlineStr">
        <is>
          <t>鹿王院</t>
        </is>
      </c>
      <c r="H9068" s="10" t="inlineStr">
        <is>
          <t>発</t>
        </is>
      </c>
      <c r="J9068" s="10" t="inlineStr">
        <is>
          <t>営業</t>
        </is>
      </c>
      <c r="L9068" t="inlineStr">
        <is>
          <t>13:04:00</t>
        </is>
      </c>
      <c r="M9068" t="inlineStr">
        <is>
          <t>13:04:25</t>
        </is>
      </c>
    </row>
    <row r="9069" ht="15" customHeight="1" s="37">
      <c r="A9069" t="n">
        <v>6</v>
      </c>
      <c r="B9069" s="10" t="inlineStr">
        <is>
          <t>平日</t>
        </is>
      </c>
      <c r="C9069" s="10" t="inlineStr">
        <is>
          <t>本線</t>
        </is>
      </c>
      <c r="D9069" s="10" t="inlineStr">
        <is>
          <t>下り</t>
        </is>
      </c>
      <c r="E9069" t="inlineStr">
        <is>
          <t>1209</t>
        </is>
      </c>
      <c r="F9069" t="inlineStr">
        <is>
          <t>0112</t>
        </is>
      </c>
      <c r="G9069" s="10" t="inlineStr">
        <is>
          <t>嵯峨</t>
        </is>
      </c>
      <c r="H9069" s="10" t="inlineStr">
        <is>
          <t>発</t>
        </is>
      </c>
      <c r="J9069" s="10" t="inlineStr">
        <is>
          <t>営業</t>
        </is>
      </c>
      <c r="L9069" t="inlineStr">
        <is>
          <t>13:05:30</t>
        </is>
      </c>
      <c r="M9069" t="inlineStr">
        <is>
          <t>13:05:55</t>
        </is>
      </c>
    </row>
    <row r="9070" ht="15" customHeight="1" s="37">
      <c r="A9070" t="n">
        <v>6</v>
      </c>
      <c r="B9070" s="10" t="inlineStr">
        <is>
          <t>平日</t>
        </is>
      </c>
      <c r="C9070" s="10" t="inlineStr">
        <is>
          <t>本線</t>
        </is>
      </c>
      <c r="D9070" s="10" t="inlineStr">
        <is>
          <t>下り</t>
        </is>
      </c>
      <c r="E9070" t="inlineStr">
        <is>
          <t>1209</t>
        </is>
      </c>
      <c r="F9070" t="inlineStr">
        <is>
          <t>0112</t>
        </is>
      </c>
      <c r="G9070" s="10" t="inlineStr">
        <is>
          <t>嵐山</t>
        </is>
      </c>
      <c r="H9070" s="10" t="inlineStr">
        <is>
          <t>着</t>
        </is>
      </c>
      <c r="J9070" s="10" t="inlineStr">
        <is>
          <t>営業</t>
        </is>
      </c>
      <c r="L9070" t="inlineStr">
        <is>
          <t>13:07:00</t>
        </is>
      </c>
      <c r="Q9070" t="inlineStr">
        <is>
          <t>1</t>
        </is>
      </c>
    </row>
    <row r="9071" ht="15" customHeight="1" s="37">
      <c r="A9071" t="n">
        <v>6</v>
      </c>
      <c r="B9071" s="10" t="inlineStr">
        <is>
          <t>平日</t>
        </is>
      </c>
      <c r="C9071" s="10" t="inlineStr">
        <is>
          <t>本線</t>
        </is>
      </c>
      <c r="D9071" s="10" t="inlineStr">
        <is>
          <t>上り</t>
        </is>
      </c>
      <c r="E9071" t="inlineStr">
        <is>
          <t>1304</t>
        </is>
      </c>
      <c r="F9071" t="inlineStr">
        <is>
          <t>0211</t>
        </is>
      </c>
      <c r="G9071" s="10" t="inlineStr">
        <is>
          <t>嵐山</t>
        </is>
      </c>
      <c r="H9071" s="10" t="inlineStr">
        <is>
          <t>発</t>
        </is>
      </c>
      <c r="J9071" s="10" t="inlineStr">
        <is>
          <t>営業</t>
        </is>
      </c>
      <c r="M9071" t="inlineStr">
        <is>
          <t>13:13:00</t>
        </is>
      </c>
      <c r="Q9071" t="inlineStr">
        <is>
          <t>1</t>
        </is>
      </c>
    </row>
    <row r="9072" ht="15" customHeight="1" s="37">
      <c r="A9072" t="n">
        <v>6</v>
      </c>
      <c r="B9072" s="10" t="inlineStr">
        <is>
          <t>平日</t>
        </is>
      </c>
      <c r="C9072" s="10" t="inlineStr">
        <is>
          <t>本線</t>
        </is>
      </c>
      <c r="D9072" s="10" t="inlineStr">
        <is>
          <t>上り</t>
        </is>
      </c>
      <c r="E9072" t="inlineStr">
        <is>
          <t>1304</t>
        </is>
      </c>
      <c r="F9072" t="inlineStr">
        <is>
          <t>0211</t>
        </is>
      </c>
      <c r="G9072" s="10" t="inlineStr">
        <is>
          <t>嵯峨</t>
        </is>
      </c>
      <c r="H9072" s="10" t="inlineStr">
        <is>
          <t>発</t>
        </is>
      </c>
      <c r="J9072" s="10" t="inlineStr">
        <is>
          <t>営業</t>
        </is>
      </c>
      <c r="L9072" t="inlineStr">
        <is>
          <t>13:13:55</t>
        </is>
      </c>
      <c r="M9072" t="inlineStr">
        <is>
          <t>13:14:20</t>
        </is>
      </c>
    </row>
    <row r="9073" ht="15" customHeight="1" s="37">
      <c r="A9073" t="n">
        <v>6</v>
      </c>
      <c r="B9073" s="10" t="inlineStr">
        <is>
          <t>平日</t>
        </is>
      </c>
      <c r="C9073" s="10" t="inlineStr">
        <is>
          <t>本線</t>
        </is>
      </c>
      <c r="D9073" s="10" t="inlineStr">
        <is>
          <t>上り</t>
        </is>
      </c>
      <c r="E9073" t="inlineStr">
        <is>
          <t>1304</t>
        </is>
      </c>
      <c r="F9073" t="inlineStr">
        <is>
          <t>0211</t>
        </is>
      </c>
      <c r="G9073" s="10" t="inlineStr">
        <is>
          <t>鹿王院</t>
        </is>
      </c>
      <c r="H9073" s="10" t="inlineStr">
        <is>
          <t>発</t>
        </is>
      </c>
      <c r="J9073" s="10" t="inlineStr">
        <is>
          <t>営業</t>
        </is>
      </c>
      <c r="L9073" t="inlineStr">
        <is>
          <t>13:15:25</t>
        </is>
      </c>
      <c r="M9073" t="inlineStr">
        <is>
          <t>13:15:45</t>
        </is>
      </c>
    </row>
    <row r="9074" ht="15" customHeight="1" s="37">
      <c r="A9074" t="n">
        <v>6</v>
      </c>
      <c r="B9074" s="10" t="inlineStr">
        <is>
          <t>平日</t>
        </is>
      </c>
      <c r="C9074" s="10" t="inlineStr">
        <is>
          <t>本線</t>
        </is>
      </c>
      <c r="D9074" s="10" t="inlineStr">
        <is>
          <t>上り</t>
        </is>
      </c>
      <c r="E9074" t="inlineStr">
        <is>
          <t>1304</t>
        </is>
      </c>
      <c r="F9074" t="inlineStr">
        <is>
          <t>0211</t>
        </is>
      </c>
      <c r="G9074" s="10" t="inlineStr">
        <is>
          <t>車折</t>
        </is>
      </c>
      <c r="H9074" s="10" t="inlineStr">
        <is>
          <t>発</t>
        </is>
      </c>
      <c r="J9074" s="10" t="inlineStr">
        <is>
          <t>営業</t>
        </is>
      </c>
      <c r="L9074" t="inlineStr">
        <is>
          <t>13:16:40</t>
        </is>
      </c>
      <c r="M9074" t="inlineStr">
        <is>
          <t>13:17:10</t>
        </is>
      </c>
    </row>
    <row r="9075" ht="15" customHeight="1" s="37">
      <c r="A9075" t="n">
        <v>6</v>
      </c>
      <c r="B9075" s="10" t="inlineStr">
        <is>
          <t>平日</t>
        </is>
      </c>
      <c r="C9075" s="10" t="inlineStr">
        <is>
          <t>本線</t>
        </is>
      </c>
      <c r="D9075" s="10" t="inlineStr">
        <is>
          <t>上り</t>
        </is>
      </c>
      <c r="E9075" t="inlineStr">
        <is>
          <t>1304</t>
        </is>
      </c>
      <c r="F9075" t="inlineStr">
        <is>
          <t>0211</t>
        </is>
      </c>
      <c r="G9075" s="10" t="inlineStr">
        <is>
          <t>有栖川</t>
        </is>
      </c>
      <c r="H9075" s="10" t="inlineStr">
        <is>
          <t>発</t>
        </is>
      </c>
      <c r="J9075" s="10" t="inlineStr">
        <is>
          <t>営業</t>
        </is>
      </c>
      <c r="L9075" t="inlineStr">
        <is>
          <t>13:18:35</t>
        </is>
      </c>
      <c r="M9075" t="inlineStr">
        <is>
          <t>13:18:55</t>
        </is>
      </c>
    </row>
    <row r="9076" ht="15" customHeight="1" s="37">
      <c r="A9076" t="n">
        <v>6</v>
      </c>
      <c r="B9076" s="10" t="inlineStr">
        <is>
          <t>平日</t>
        </is>
      </c>
      <c r="C9076" s="10" t="inlineStr">
        <is>
          <t>本線</t>
        </is>
      </c>
      <c r="D9076" s="10" t="inlineStr">
        <is>
          <t>上り</t>
        </is>
      </c>
      <c r="E9076" t="inlineStr">
        <is>
          <t>1304</t>
        </is>
      </c>
      <c r="F9076" t="inlineStr">
        <is>
          <t>0211</t>
        </is>
      </c>
      <c r="G9076" s="10" t="inlineStr">
        <is>
          <t>帷子ノ辻</t>
        </is>
      </c>
      <c r="H9076" s="10" t="inlineStr">
        <is>
          <t>発</t>
        </is>
      </c>
      <c r="J9076" s="10" t="inlineStr">
        <is>
          <t>営業</t>
        </is>
      </c>
      <c r="L9076" t="inlineStr">
        <is>
          <t>13:20:10</t>
        </is>
      </c>
      <c r="M9076" t="inlineStr">
        <is>
          <t>13:21:15</t>
        </is>
      </c>
    </row>
    <row r="9077" ht="15" customHeight="1" s="37">
      <c r="A9077" t="n">
        <v>6</v>
      </c>
      <c r="B9077" s="10" t="inlineStr">
        <is>
          <t>平日</t>
        </is>
      </c>
      <c r="C9077" s="10" t="inlineStr">
        <is>
          <t>本線</t>
        </is>
      </c>
      <c r="D9077" s="10" t="inlineStr">
        <is>
          <t>上り</t>
        </is>
      </c>
      <c r="E9077" t="inlineStr">
        <is>
          <t>1304</t>
        </is>
      </c>
      <c r="F9077" t="inlineStr">
        <is>
          <t>0211</t>
        </is>
      </c>
      <c r="G9077" s="10" t="inlineStr">
        <is>
          <t>太秦広隆寺</t>
        </is>
      </c>
      <c r="H9077" s="10" t="inlineStr">
        <is>
          <t>発</t>
        </is>
      </c>
      <c r="J9077" s="10" t="inlineStr">
        <is>
          <t>営業</t>
        </is>
      </c>
      <c r="L9077" t="inlineStr">
        <is>
          <t>13:23:25</t>
        </is>
      </c>
      <c r="M9077" t="inlineStr">
        <is>
          <t>13:23:45</t>
        </is>
      </c>
    </row>
    <row r="9078" ht="15" customHeight="1" s="37">
      <c r="A9078" t="n">
        <v>6</v>
      </c>
      <c r="B9078" s="10" t="inlineStr">
        <is>
          <t>平日</t>
        </is>
      </c>
      <c r="C9078" s="10" t="inlineStr">
        <is>
          <t>本線</t>
        </is>
      </c>
      <c r="D9078" s="10" t="inlineStr">
        <is>
          <t>上り</t>
        </is>
      </c>
      <c r="E9078" t="inlineStr">
        <is>
          <t>1304</t>
        </is>
      </c>
      <c r="F9078" t="inlineStr">
        <is>
          <t>0211</t>
        </is>
      </c>
      <c r="G9078" s="10" t="inlineStr">
        <is>
          <t>蚕ノ社</t>
        </is>
      </c>
      <c r="H9078" s="10" t="inlineStr">
        <is>
          <t>発</t>
        </is>
      </c>
      <c r="J9078" s="10" t="inlineStr">
        <is>
          <t>営業</t>
        </is>
      </c>
      <c r="L9078" t="inlineStr">
        <is>
          <t>13:25:00</t>
        </is>
      </c>
      <c r="M9078" t="inlineStr">
        <is>
          <t>13:25:20</t>
        </is>
      </c>
    </row>
    <row r="9079" ht="15" customHeight="1" s="37">
      <c r="A9079" t="n">
        <v>6</v>
      </c>
      <c r="B9079" s="10" t="inlineStr">
        <is>
          <t>平日</t>
        </is>
      </c>
      <c r="C9079" s="10" t="inlineStr">
        <is>
          <t>本線</t>
        </is>
      </c>
      <c r="D9079" s="10" t="inlineStr">
        <is>
          <t>上り</t>
        </is>
      </c>
      <c r="E9079" t="inlineStr">
        <is>
          <t>1304</t>
        </is>
      </c>
      <c r="F9079" t="inlineStr">
        <is>
          <t>0211</t>
        </is>
      </c>
      <c r="G9079" s="10" t="inlineStr">
        <is>
          <t>天神川</t>
        </is>
      </c>
      <c r="H9079" s="10" t="inlineStr">
        <is>
          <t>発</t>
        </is>
      </c>
      <c r="J9079" s="10" t="inlineStr">
        <is>
          <t>営業</t>
        </is>
      </c>
      <c r="L9079" t="inlineStr">
        <is>
          <t>13:26:05</t>
        </is>
      </c>
      <c r="M9079" t="inlineStr">
        <is>
          <t>13:26:50</t>
        </is>
      </c>
    </row>
    <row r="9080" ht="15" customHeight="1" s="37">
      <c r="A9080" t="n">
        <v>6</v>
      </c>
      <c r="B9080" s="10" t="inlineStr">
        <is>
          <t>平日</t>
        </is>
      </c>
      <c r="C9080" s="10" t="inlineStr">
        <is>
          <t>本線</t>
        </is>
      </c>
      <c r="D9080" s="10" t="inlineStr">
        <is>
          <t>上り</t>
        </is>
      </c>
      <c r="E9080" t="inlineStr">
        <is>
          <t>1304</t>
        </is>
      </c>
      <c r="F9080" t="inlineStr">
        <is>
          <t>0211</t>
        </is>
      </c>
      <c r="G9080" s="10" t="inlineStr">
        <is>
          <t>山ノ内</t>
        </is>
      </c>
      <c r="H9080" s="10" t="inlineStr">
        <is>
          <t>発</t>
        </is>
      </c>
      <c r="J9080" s="10" t="inlineStr">
        <is>
          <t>営業</t>
        </is>
      </c>
      <c r="L9080" t="inlineStr">
        <is>
          <t>13:28:40</t>
        </is>
      </c>
      <c r="M9080" t="inlineStr">
        <is>
          <t>13:29:05</t>
        </is>
      </c>
    </row>
    <row r="9081" ht="15" customHeight="1" s="37">
      <c r="A9081" t="n">
        <v>6</v>
      </c>
      <c r="B9081" s="10" t="inlineStr">
        <is>
          <t>平日</t>
        </is>
      </c>
      <c r="C9081" s="10" t="inlineStr">
        <is>
          <t>本線</t>
        </is>
      </c>
      <c r="D9081" s="10" t="inlineStr">
        <is>
          <t>上り</t>
        </is>
      </c>
      <c r="E9081" t="inlineStr">
        <is>
          <t>1304</t>
        </is>
      </c>
      <c r="F9081" t="inlineStr">
        <is>
          <t>0211</t>
        </is>
      </c>
      <c r="G9081" s="10" t="inlineStr">
        <is>
          <t>西大路三条</t>
        </is>
      </c>
      <c r="H9081" s="10" t="inlineStr">
        <is>
          <t>発</t>
        </is>
      </c>
      <c r="J9081" s="10" t="inlineStr">
        <is>
          <t>営業</t>
        </is>
      </c>
      <c r="L9081" t="inlineStr">
        <is>
          <t>13:30:55</t>
        </is>
      </c>
      <c r="M9081" t="inlineStr">
        <is>
          <t>13:31:15</t>
        </is>
      </c>
    </row>
    <row r="9082" ht="15" customHeight="1" s="37">
      <c r="A9082" t="n">
        <v>6</v>
      </c>
      <c r="B9082" s="10" t="inlineStr">
        <is>
          <t>平日</t>
        </is>
      </c>
      <c r="C9082" s="10" t="inlineStr">
        <is>
          <t>本線</t>
        </is>
      </c>
      <c r="D9082" s="10" t="inlineStr">
        <is>
          <t>上り</t>
        </is>
      </c>
      <c r="E9082" t="inlineStr">
        <is>
          <t>1304</t>
        </is>
      </c>
      <c r="F9082" t="inlineStr">
        <is>
          <t>0211</t>
        </is>
      </c>
      <c r="G9082" s="10" t="inlineStr">
        <is>
          <t>西院</t>
        </is>
      </c>
      <c r="H9082" s="10" t="inlineStr">
        <is>
          <t>発</t>
        </is>
      </c>
      <c r="J9082" s="10" t="inlineStr">
        <is>
          <t>営業</t>
        </is>
      </c>
      <c r="L9082" t="inlineStr">
        <is>
          <t>13:33:10</t>
        </is>
      </c>
      <c r="M9082" t="inlineStr">
        <is>
          <t>13:34:05</t>
        </is>
      </c>
    </row>
    <row r="9083" ht="15" customHeight="1" s="37">
      <c r="A9083" t="n">
        <v>6</v>
      </c>
      <c r="B9083" s="10" t="inlineStr">
        <is>
          <t>平日</t>
        </is>
      </c>
      <c r="C9083" s="10" t="inlineStr">
        <is>
          <t>本線</t>
        </is>
      </c>
      <c r="D9083" s="10" t="inlineStr">
        <is>
          <t>上り</t>
        </is>
      </c>
      <c r="E9083" t="inlineStr">
        <is>
          <t>1304</t>
        </is>
      </c>
      <c r="F9083" t="inlineStr">
        <is>
          <t>0211</t>
        </is>
      </c>
      <c r="G9083" s="10" t="inlineStr">
        <is>
          <t>四条大宮</t>
        </is>
      </c>
      <c r="H9083" s="10" t="inlineStr">
        <is>
          <t>着</t>
        </is>
      </c>
      <c r="J9083" s="10" t="inlineStr">
        <is>
          <t>営業</t>
        </is>
      </c>
      <c r="L9083" t="inlineStr">
        <is>
          <t>13:37:00</t>
        </is>
      </c>
      <c r="Q9083" t="inlineStr">
        <is>
          <t>1</t>
        </is>
      </c>
    </row>
    <row r="9084" ht="15" customHeight="1" s="37">
      <c r="A9084" t="n">
        <v>6</v>
      </c>
      <c r="B9084" s="10" t="inlineStr">
        <is>
          <t>平日</t>
        </is>
      </c>
      <c r="C9084" s="10" t="inlineStr">
        <is>
          <t>本線</t>
        </is>
      </c>
      <c r="D9084" s="10" t="inlineStr">
        <is>
          <t>下り</t>
        </is>
      </c>
      <c r="E9084" t="inlineStr">
        <is>
          <t>1309</t>
        </is>
      </c>
      <c r="F9084" t="inlineStr">
        <is>
          <t>0112</t>
        </is>
      </c>
      <c r="G9084" s="10" t="inlineStr">
        <is>
          <t>四条大宮</t>
        </is>
      </c>
      <c r="H9084" s="10" t="inlineStr">
        <is>
          <t>発</t>
        </is>
      </c>
      <c r="J9084" s="10" t="inlineStr">
        <is>
          <t>営業</t>
        </is>
      </c>
      <c r="M9084" t="inlineStr">
        <is>
          <t>13:43:00</t>
        </is>
      </c>
      <c r="Q9084" t="inlineStr">
        <is>
          <t>1</t>
        </is>
      </c>
    </row>
    <row r="9085" ht="15" customHeight="1" s="37">
      <c r="A9085" t="n">
        <v>6</v>
      </c>
      <c r="B9085" s="10" t="inlineStr">
        <is>
          <t>平日</t>
        </is>
      </c>
      <c r="C9085" s="10" t="inlineStr">
        <is>
          <t>本線</t>
        </is>
      </c>
      <c r="D9085" s="10" t="inlineStr">
        <is>
          <t>下り</t>
        </is>
      </c>
      <c r="E9085" t="inlineStr">
        <is>
          <t>1309</t>
        </is>
      </c>
      <c r="F9085" t="inlineStr">
        <is>
          <t>0112</t>
        </is>
      </c>
      <c r="G9085" s="10" t="inlineStr">
        <is>
          <t>西院</t>
        </is>
      </c>
      <c r="H9085" s="10" t="inlineStr">
        <is>
          <t>発</t>
        </is>
      </c>
      <c r="J9085" s="10" t="inlineStr">
        <is>
          <t>営業</t>
        </is>
      </c>
      <c r="L9085" t="inlineStr">
        <is>
          <t>13:45:50</t>
        </is>
      </c>
      <c r="M9085" t="inlineStr">
        <is>
          <t>13:46:20</t>
        </is>
      </c>
    </row>
    <row r="9086" ht="15" customHeight="1" s="37">
      <c r="A9086" t="n">
        <v>6</v>
      </c>
      <c r="B9086" s="10" t="inlineStr">
        <is>
          <t>平日</t>
        </is>
      </c>
      <c r="C9086" s="10" t="inlineStr">
        <is>
          <t>本線</t>
        </is>
      </c>
      <c r="D9086" s="10" t="inlineStr">
        <is>
          <t>下り</t>
        </is>
      </c>
      <c r="E9086" t="inlineStr">
        <is>
          <t>1309</t>
        </is>
      </c>
      <c r="F9086" t="inlineStr">
        <is>
          <t>0112</t>
        </is>
      </c>
      <c r="G9086" s="10" t="inlineStr">
        <is>
          <t>西大路三条</t>
        </is>
      </c>
      <c r="H9086" s="10" t="inlineStr">
        <is>
          <t>発</t>
        </is>
      </c>
      <c r="J9086" s="10" t="inlineStr">
        <is>
          <t>営業</t>
        </is>
      </c>
      <c r="L9086" t="inlineStr">
        <is>
          <t>13:48:10</t>
        </is>
      </c>
      <c r="M9086" t="inlineStr">
        <is>
          <t>13:48:30</t>
        </is>
      </c>
    </row>
    <row r="9087" ht="15" customHeight="1" s="37">
      <c r="A9087" t="n">
        <v>6</v>
      </c>
      <c r="B9087" s="10" t="inlineStr">
        <is>
          <t>平日</t>
        </is>
      </c>
      <c r="C9087" s="10" t="inlineStr">
        <is>
          <t>本線</t>
        </is>
      </c>
      <c r="D9087" s="10" t="inlineStr">
        <is>
          <t>下り</t>
        </is>
      </c>
      <c r="E9087" t="inlineStr">
        <is>
          <t>1309</t>
        </is>
      </c>
      <c r="F9087" t="inlineStr">
        <is>
          <t>0112</t>
        </is>
      </c>
      <c r="G9087" s="10" t="inlineStr">
        <is>
          <t>山ノ内</t>
        </is>
      </c>
      <c r="H9087" s="10" t="inlineStr">
        <is>
          <t>発</t>
        </is>
      </c>
      <c r="J9087" s="10" t="inlineStr">
        <is>
          <t>営業</t>
        </is>
      </c>
      <c r="L9087" t="inlineStr">
        <is>
          <t>13:50:25</t>
        </is>
      </c>
      <c r="M9087" t="inlineStr">
        <is>
          <t>13:50:50</t>
        </is>
      </c>
    </row>
    <row r="9088" ht="16.5" customHeight="1" s="37">
      <c r="A9088" t="n">
        <v>6</v>
      </c>
      <c r="B9088" s="10" t="inlineStr">
        <is>
          <t>平日</t>
        </is>
      </c>
      <c r="C9088" s="10" t="inlineStr">
        <is>
          <t>本線</t>
        </is>
      </c>
      <c r="D9088" s="10" t="inlineStr">
        <is>
          <t>下り</t>
        </is>
      </c>
      <c r="E9088" t="inlineStr">
        <is>
          <t>1309</t>
        </is>
      </c>
      <c r="F9088" t="inlineStr">
        <is>
          <t>0112</t>
        </is>
      </c>
      <c r="G9088" s="10" t="inlineStr">
        <is>
          <t>天神川</t>
        </is>
      </c>
      <c r="H9088" s="10" t="inlineStr">
        <is>
          <t>発</t>
        </is>
      </c>
      <c r="J9088" s="10" t="inlineStr">
        <is>
          <t>営業</t>
        </is>
      </c>
      <c r="L9088" t="inlineStr">
        <is>
          <t>13:52:50</t>
        </is>
      </c>
      <c r="M9088" t="inlineStr">
        <is>
          <t>13:53:30</t>
        </is>
      </c>
    </row>
    <row r="9089" ht="16.5" customHeight="1" s="37">
      <c r="A9089" t="n">
        <v>6</v>
      </c>
      <c r="B9089" s="10" t="inlineStr">
        <is>
          <t>平日</t>
        </is>
      </c>
      <c r="C9089" s="10" t="inlineStr">
        <is>
          <t>本線</t>
        </is>
      </c>
      <c r="D9089" s="10" t="inlineStr">
        <is>
          <t>下り</t>
        </is>
      </c>
      <c r="E9089" t="inlineStr">
        <is>
          <t>1309</t>
        </is>
      </c>
      <c r="F9089" t="inlineStr">
        <is>
          <t>0112</t>
        </is>
      </c>
      <c r="G9089" s="10" t="inlineStr">
        <is>
          <t>蚕ノ社</t>
        </is>
      </c>
      <c r="H9089" s="10" t="inlineStr">
        <is>
          <t>発</t>
        </is>
      </c>
      <c r="J9089" s="10" t="inlineStr">
        <is>
          <t>営業</t>
        </is>
      </c>
      <c r="L9089" t="inlineStr">
        <is>
          <t>13:54:20</t>
        </is>
      </c>
      <c r="M9089" t="inlineStr">
        <is>
          <t>13:54:40</t>
        </is>
      </c>
    </row>
    <row r="9090" ht="16.5" customHeight="1" s="37">
      <c r="A9090" t="n">
        <v>6</v>
      </c>
      <c r="B9090" s="10" t="inlineStr">
        <is>
          <t>平日</t>
        </is>
      </c>
      <c r="C9090" s="10" t="inlineStr">
        <is>
          <t>本線</t>
        </is>
      </c>
      <c r="D9090" s="10" t="inlineStr">
        <is>
          <t>下り</t>
        </is>
      </c>
      <c r="E9090" t="inlineStr">
        <is>
          <t>1309</t>
        </is>
      </c>
      <c r="F9090" t="inlineStr">
        <is>
          <t>0112</t>
        </is>
      </c>
      <c r="G9090" s="10" t="inlineStr">
        <is>
          <t>太秦広隆寺</t>
        </is>
      </c>
      <c r="H9090" s="10" t="inlineStr">
        <is>
          <t>発</t>
        </is>
      </c>
      <c r="J9090" s="10" t="inlineStr">
        <is>
          <t>営業</t>
        </is>
      </c>
      <c r="L9090" t="inlineStr">
        <is>
          <t>13:56:00</t>
        </is>
      </c>
      <c r="M9090" t="inlineStr">
        <is>
          <t>13:56:20</t>
        </is>
      </c>
    </row>
    <row r="9091" ht="16.5" customHeight="1" s="37">
      <c r="A9091" t="n">
        <v>6</v>
      </c>
      <c r="B9091" s="10" t="inlineStr">
        <is>
          <t>平日</t>
        </is>
      </c>
      <c r="C9091" s="10" t="inlineStr">
        <is>
          <t>本線</t>
        </is>
      </c>
      <c r="D9091" s="10" t="inlineStr">
        <is>
          <t>下り</t>
        </is>
      </c>
      <c r="E9091" t="inlineStr">
        <is>
          <t>1309</t>
        </is>
      </c>
      <c r="F9091" t="inlineStr">
        <is>
          <t>0112</t>
        </is>
      </c>
      <c r="G9091" s="10" t="inlineStr">
        <is>
          <t>帷子ノ辻</t>
        </is>
      </c>
      <c r="H9091" s="10" t="inlineStr">
        <is>
          <t>発</t>
        </is>
      </c>
      <c r="J9091" s="10" t="inlineStr">
        <is>
          <t>営業</t>
        </is>
      </c>
      <c r="L9091" t="inlineStr">
        <is>
          <t>13:58:20</t>
        </is>
      </c>
      <c r="M9091" t="inlineStr">
        <is>
          <t>13:59:40</t>
        </is>
      </c>
    </row>
    <row r="9092" ht="16.5" customHeight="1" s="37">
      <c r="A9092" t="n">
        <v>6</v>
      </c>
      <c r="B9092" s="10" t="inlineStr">
        <is>
          <t>平日</t>
        </is>
      </c>
      <c r="C9092" s="10" t="inlineStr">
        <is>
          <t>本線</t>
        </is>
      </c>
      <c r="D9092" s="10" t="inlineStr">
        <is>
          <t>下り</t>
        </is>
      </c>
      <c r="E9092" t="inlineStr">
        <is>
          <t>1309</t>
        </is>
      </c>
      <c r="F9092" t="inlineStr">
        <is>
          <t>0112</t>
        </is>
      </c>
      <c r="G9092" s="10" t="inlineStr">
        <is>
          <t>有栖川</t>
        </is>
      </c>
      <c r="H9092" s="10" t="inlineStr">
        <is>
          <t>発</t>
        </is>
      </c>
      <c r="J9092" s="10" t="inlineStr">
        <is>
          <t>営業</t>
        </is>
      </c>
      <c r="L9092" t="inlineStr">
        <is>
          <t>14:00:50</t>
        </is>
      </c>
      <c r="M9092" t="inlineStr">
        <is>
          <t>14:01:15</t>
        </is>
      </c>
    </row>
    <row r="9093" ht="16.5" customHeight="1" s="37">
      <c r="A9093" t="n">
        <v>6</v>
      </c>
      <c r="B9093" s="10" t="inlineStr">
        <is>
          <t>平日</t>
        </is>
      </c>
      <c r="C9093" s="10" t="inlineStr">
        <is>
          <t>本線</t>
        </is>
      </c>
      <c r="D9093" s="10" t="inlineStr">
        <is>
          <t>下り</t>
        </is>
      </c>
      <c r="E9093" t="inlineStr">
        <is>
          <t>1309</t>
        </is>
      </c>
      <c r="F9093" t="inlineStr">
        <is>
          <t>0112</t>
        </is>
      </c>
      <c r="G9093" s="10" t="inlineStr">
        <is>
          <t>車折</t>
        </is>
      </c>
      <c r="H9093" s="10" t="inlineStr">
        <is>
          <t>発</t>
        </is>
      </c>
      <c r="J9093" s="10" t="inlineStr">
        <is>
          <t>営業</t>
        </is>
      </c>
      <c r="L9093" t="inlineStr">
        <is>
          <t>14:02:40</t>
        </is>
      </c>
      <c r="M9093" t="inlineStr">
        <is>
          <t>14:03:05</t>
        </is>
      </c>
    </row>
    <row r="9094" ht="16.5" customHeight="1" s="37">
      <c r="A9094" t="n">
        <v>6</v>
      </c>
      <c r="B9094" s="10" t="inlineStr">
        <is>
          <t>平日</t>
        </is>
      </c>
      <c r="C9094" s="10" t="inlineStr">
        <is>
          <t>本線</t>
        </is>
      </c>
      <c r="D9094" s="10" t="inlineStr">
        <is>
          <t>下り</t>
        </is>
      </c>
      <c r="E9094" t="inlineStr">
        <is>
          <t>1309</t>
        </is>
      </c>
      <c r="F9094" t="inlineStr">
        <is>
          <t>0112</t>
        </is>
      </c>
      <c r="G9094" s="10" t="inlineStr">
        <is>
          <t>鹿王院</t>
        </is>
      </c>
      <c r="H9094" s="10" t="inlineStr">
        <is>
          <t>発</t>
        </is>
      </c>
      <c r="J9094" s="10" t="inlineStr">
        <is>
          <t>営業</t>
        </is>
      </c>
      <c r="L9094" t="inlineStr">
        <is>
          <t>14:04:00</t>
        </is>
      </c>
      <c r="M9094" t="inlineStr">
        <is>
          <t>14:04:25</t>
        </is>
      </c>
    </row>
    <row r="9095" ht="16.5" customHeight="1" s="37">
      <c r="A9095" t="n">
        <v>6</v>
      </c>
      <c r="B9095" s="10" t="inlineStr">
        <is>
          <t>平日</t>
        </is>
      </c>
      <c r="C9095" s="10" t="inlineStr">
        <is>
          <t>本線</t>
        </is>
      </c>
      <c r="D9095" s="10" t="inlineStr">
        <is>
          <t>下り</t>
        </is>
      </c>
      <c r="E9095" t="inlineStr">
        <is>
          <t>1309</t>
        </is>
      </c>
      <c r="F9095" t="inlineStr">
        <is>
          <t>0112</t>
        </is>
      </c>
      <c r="G9095" s="10" t="inlineStr">
        <is>
          <t>嵯峨</t>
        </is>
      </c>
      <c r="H9095" s="10" t="inlineStr">
        <is>
          <t>発</t>
        </is>
      </c>
      <c r="J9095" s="10" t="inlineStr">
        <is>
          <t>営業</t>
        </is>
      </c>
      <c r="L9095" t="inlineStr">
        <is>
          <t>14:05:30</t>
        </is>
      </c>
      <c r="M9095" t="inlineStr">
        <is>
          <t>14:05:55</t>
        </is>
      </c>
    </row>
    <row r="9096" ht="16.5" customHeight="1" s="37">
      <c r="A9096" t="n">
        <v>6</v>
      </c>
      <c r="B9096" s="10" t="inlineStr">
        <is>
          <t>平日</t>
        </is>
      </c>
      <c r="C9096" s="10" t="inlineStr">
        <is>
          <t>本線</t>
        </is>
      </c>
      <c r="D9096" s="10" t="inlineStr">
        <is>
          <t>下り</t>
        </is>
      </c>
      <c r="E9096" t="inlineStr">
        <is>
          <t>1309</t>
        </is>
      </c>
      <c r="F9096" t="inlineStr">
        <is>
          <t>0112</t>
        </is>
      </c>
      <c r="G9096" s="10" t="inlineStr">
        <is>
          <t>嵐山</t>
        </is>
      </c>
      <c r="H9096" s="10" t="inlineStr">
        <is>
          <t>着</t>
        </is>
      </c>
      <c r="J9096" s="10" t="inlineStr">
        <is>
          <t>営業</t>
        </is>
      </c>
      <c r="L9096" t="inlineStr">
        <is>
          <t>14:07:00</t>
        </is>
      </c>
      <c r="Q9096" t="inlineStr">
        <is>
          <t>1</t>
        </is>
      </c>
    </row>
    <row r="9097" ht="16.5" customHeight="1" s="37">
      <c r="A9097" t="n">
        <v>6</v>
      </c>
      <c r="B9097" s="10" t="inlineStr">
        <is>
          <t>平日</t>
        </is>
      </c>
      <c r="C9097" s="10" t="inlineStr">
        <is>
          <t>本線</t>
        </is>
      </c>
      <c r="D9097" s="10" t="inlineStr">
        <is>
          <t>上り</t>
        </is>
      </c>
      <c r="E9097" t="inlineStr">
        <is>
          <t>1404</t>
        </is>
      </c>
      <c r="F9097" t="inlineStr">
        <is>
          <t>0211</t>
        </is>
      </c>
      <c r="G9097" s="10" t="inlineStr">
        <is>
          <t>嵐山</t>
        </is>
      </c>
      <c r="H9097" s="10" t="inlineStr">
        <is>
          <t>発</t>
        </is>
      </c>
      <c r="J9097" s="10" t="inlineStr">
        <is>
          <t>営業</t>
        </is>
      </c>
      <c r="M9097" t="inlineStr">
        <is>
          <t>14:13:00</t>
        </is>
      </c>
      <c r="Q9097" t="inlineStr">
        <is>
          <t>1</t>
        </is>
      </c>
    </row>
    <row r="9098" ht="16.5" customHeight="1" s="37">
      <c r="A9098" t="n">
        <v>6</v>
      </c>
      <c r="B9098" s="10" t="inlineStr">
        <is>
          <t>平日</t>
        </is>
      </c>
      <c r="C9098" s="10" t="inlineStr">
        <is>
          <t>本線</t>
        </is>
      </c>
      <c r="D9098" s="10" t="inlineStr">
        <is>
          <t>上り</t>
        </is>
      </c>
      <c r="E9098" t="inlineStr">
        <is>
          <t>1404</t>
        </is>
      </c>
      <c r="F9098" t="inlineStr">
        <is>
          <t>0211</t>
        </is>
      </c>
      <c r="G9098" s="10" t="inlineStr">
        <is>
          <t>嵯峨</t>
        </is>
      </c>
      <c r="H9098" s="10" t="inlineStr">
        <is>
          <t>発</t>
        </is>
      </c>
      <c r="J9098" s="10" t="inlineStr">
        <is>
          <t>営業</t>
        </is>
      </c>
      <c r="L9098" t="inlineStr">
        <is>
          <t>14:13:55</t>
        </is>
      </c>
      <c r="M9098" t="inlineStr">
        <is>
          <t>14:14:20</t>
        </is>
      </c>
    </row>
    <row r="9099" ht="16.5" customHeight="1" s="37">
      <c r="A9099" t="n">
        <v>6</v>
      </c>
      <c r="B9099" s="10" t="inlineStr">
        <is>
          <t>平日</t>
        </is>
      </c>
      <c r="C9099" s="10" t="inlineStr">
        <is>
          <t>本線</t>
        </is>
      </c>
      <c r="D9099" s="10" t="inlineStr">
        <is>
          <t>上り</t>
        </is>
      </c>
      <c r="E9099" t="inlineStr">
        <is>
          <t>1404</t>
        </is>
      </c>
      <c r="F9099" t="inlineStr">
        <is>
          <t>0211</t>
        </is>
      </c>
      <c r="G9099" s="10" t="inlineStr">
        <is>
          <t>鹿王院</t>
        </is>
      </c>
      <c r="H9099" s="10" t="inlineStr">
        <is>
          <t>発</t>
        </is>
      </c>
      <c r="J9099" s="10" t="inlineStr">
        <is>
          <t>営業</t>
        </is>
      </c>
      <c r="L9099" t="inlineStr">
        <is>
          <t>14:15:25</t>
        </is>
      </c>
      <c r="M9099" t="inlineStr">
        <is>
          <t>14:15:45</t>
        </is>
      </c>
    </row>
    <row r="9100" ht="16.5" customHeight="1" s="37">
      <c r="A9100" t="n">
        <v>6</v>
      </c>
      <c r="B9100" s="10" t="inlineStr">
        <is>
          <t>平日</t>
        </is>
      </c>
      <c r="C9100" s="10" t="inlineStr">
        <is>
          <t>本線</t>
        </is>
      </c>
      <c r="D9100" s="10" t="inlineStr">
        <is>
          <t>上り</t>
        </is>
      </c>
      <c r="E9100" t="inlineStr">
        <is>
          <t>1404</t>
        </is>
      </c>
      <c r="F9100" t="inlineStr">
        <is>
          <t>0211</t>
        </is>
      </c>
      <c r="G9100" s="10" t="inlineStr">
        <is>
          <t>車折</t>
        </is>
      </c>
      <c r="H9100" s="10" t="inlineStr">
        <is>
          <t>発</t>
        </is>
      </c>
      <c r="J9100" s="10" t="inlineStr">
        <is>
          <t>営業</t>
        </is>
      </c>
      <c r="L9100" t="inlineStr">
        <is>
          <t>14:16:40</t>
        </is>
      </c>
      <c r="M9100" t="inlineStr">
        <is>
          <t>14:17:10</t>
        </is>
      </c>
    </row>
    <row r="9101" ht="16.5" customHeight="1" s="37">
      <c r="A9101" t="n">
        <v>6</v>
      </c>
      <c r="B9101" s="10" t="inlineStr">
        <is>
          <t>平日</t>
        </is>
      </c>
      <c r="C9101" s="10" t="inlineStr">
        <is>
          <t>本線</t>
        </is>
      </c>
      <c r="D9101" s="10" t="inlineStr">
        <is>
          <t>上り</t>
        </is>
      </c>
      <c r="E9101" t="inlineStr">
        <is>
          <t>1404</t>
        </is>
      </c>
      <c r="F9101" t="inlineStr">
        <is>
          <t>0211</t>
        </is>
      </c>
      <c r="G9101" s="10" t="inlineStr">
        <is>
          <t>有栖川</t>
        </is>
      </c>
      <c r="H9101" s="10" t="inlineStr">
        <is>
          <t>発</t>
        </is>
      </c>
      <c r="J9101" s="10" t="inlineStr">
        <is>
          <t>営業</t>
        </is>
      </c>
      <c r="L9101" t="inlineStr">
        <is>
          <t>14:18:35</t>
        </is>
      </c>
      <c r="M9101" t="inlineStr">
        <is>
          <t>14:18:55</t>
        </is>
      </c>
    </row>
    <row r="9102" ht="16.5" customHeight="1" s="37">
      <c r="A9102" t="n">
        <v>6</v>
      </c>
      <c r="B9102" s="10" t="inlineStr">
        <is>
          <t>平日</t>
        </is>
      </c>
      <c r="C9102" s="10" t="inlineStr">
        <is>
          <t>本線</t>
        </is>
      </c>
      <c r="D9102" s="10" t="inlineStr">
        <is>
          <t>上り</t>
        </is>
      </c>
      <c r="E9102" t="inlineStr">
        <is>
          <t>1404</t>
        </is>
      </c>
      <c r="F9102" t="inlineStr">
        <is>
          <t>0211</t>
        </is>
      </c>
      <c r="G9102" s="10" t="inlineStr">
        <is>
          <t>帷子ノ辻</t>
        </is>
      </c>
      <c r="H9102" s="10" t="inlineStr">
        <is>
          <t>発</t>
        </is>
      </c>
      <c r="J9102" s="10" t="inlineStr">
        <is>
          <t>営業</t>
        </is>
      </c>
      <c r="L9102" t="inlineStr">
        <is>
          <t>14:20:10</t>
        </is>
      </c>
      <c r="M9102" t="inlineStr">
        <is>
          <t>14:21:15</t>
        </is>
      </c>
    </row>
    <row r="9103" ht="16.5" customHeight="1" s="37">
      <c r="A9103" t="n">
        <v>6</v>
      </c>
      <c r="B9103" s="10" t="inlineStr">
        <is>
          <t>平日</t>
        </is>
      </c>
      <c r="C9103" s="10" t="inlineStr">
        <is>
          <t>本線</t>
        </is>
      </c>
      <c r="D9103" s="10" t="inlineStr">
        <is>
          <t>上り</t>
        </is>
      </c>
      <c r="E9103" t="inlineStr">
        <is>
          <t>1404</t>
        </is>
      </c>
      <c r="F9103" t="inlineStr">
        <is>
          <t>0211</t>
        </is>
      </c>
      <c r="G9103" s="10" t="inlineStr">
        <is>
          <t>太秦広隆寺</t>
        </is>
      </c>
      <c r="H9103" s="10" t="inlineStr">
        <is>
          <t>発</t>
        </is>
      </c>
      <c r="J9103" s="10" t="inlineStr">
        <is>
          <t>営業</t>
        </is>
      </c>
      <c r="L9103" t="inlineStr">
        <is>
          <t>14:23:25</t>
        </is>
      </c>
      <c r="M9103" t="inlineStr">
        <is>
          <t>14:23:45</t>
        </is>
      </c>
    </row>
    <row r="9104" ht="16.5" customHeight="1" s="37">
      <c r="A9104" t="n">
        <v>6</v>
      </c>
      <c r="B9104" s="10" t="inlineStr">
        <is>
          <t>平日</t>
        </is>
      </c>
      <c r="C9104" s="10" t="inlineStr">
        <is>
          <t>本線</t>
        </is>
      </c>
      <c r="D9104" s="10" t="inlineStr">
        <is>
          <t>上り</t>
        </is>
      </c>
      <c r="E9104" t="inlineStr">
        <is>
          <t>1404</t>
        </is>
      </c>
      <c r="F9104" t="inlineStr">
        <is>
          <t>0211</t>
        </is>
      </c>
      <c r="G9104" s="10" t="inlineStr">
        <is>
          <t>蚕ノ社</t>
        </is>
      </c>
      <c r="H9104" s="10" t="inlineStr">
        <is>
          <t>発</t>
        </is>
      </c>
      <c r="J9104" s="10" t="inlineStr">
        <is>
          <t>営業</t>
        </is>
      </c>
      <c r="L9104" t="inlineStr">
        <is>
          <t>14:25:00</t>
        </is>
      </c>
      <c r="M9104" t="inlineStr">
        <is>
          <t>14:25:20</t>
        </is>
      </c>
    </row>
    <row r="9105" ht="16.5" customHeight="1" s="37">
      <c r="A9105" t="n">
        <v>6</v>
      </c>
      <c r="B9105" s="10" t="inlineStr">
        <is>
          <t>平日</t>
        </is>
      </c>
      <c r="C9105" s="10" t="inlineStr">
        <is>
          <t>本線</t>
        </is>
      </c>
      <c r="D9105" s="10" t="inlineStr">
        <is>
          <t>上り</t>
        </is>
      </c>
      <c r="E9105" t="inlineStr">
        <is>
          <t>1404</t>
        </is>
      </c>
      <c r="F9105" t="inlineStr">
        <is>
          <t>0211</t>
        </is>
      </c>
      <c r="G9105" s="10" t="inlineStr">
        <is>
          <t>天神川</t>
        </is>
      </c>
      <c r="H9105" s="10" t="inlineStr">
        <is>
          <t>発</t>
        </is>
      </c>
      <c r="J9105" s="10" t="inlineStr">
        <is>
          <t>営業</t>
        </is>
      </c>
      <c r="L9105" t="inlineStr">
        <is>
          <t>14:26:05</t>
        </is>
      </c>
      <c r="M9105" t="inlineStr">
        <is>
          <t>14:26:50</t>
        </is>
      </c>
    </row>
    <row r="9106" ht="16.5" customHeight="1" s="37">
      <c r="A9106" t="n">
        <v>6</v>
      </c>
      <c r="B9106" s="10" t="inlineStr">
        <is>
          <t>平日</t>
        </is>
      </c>
      <c r="C9106" s="10" t="inlineStr">
        <is>
          <t>本線</t>
        </is>
      </c>
      <c r="D9106" s="10" t="inlineStr">
        <is>
          <t>上り</t>
        </is>
      </c>
      <c r="E9106" t="inlineStr">
        <is>
          <t>1404</t>
        </is>
      </c>
      <c r="F9106" t="inlineStr">
        <is>
          <t>0211</t>
        </is>
      </c>
      <c r="G9106" s="10" t="inlineStr">
        <is>
          <t>山ノ内</t>
        </is>
      </c>
      <c r="H9106" s="10" t="inlineStr">
        <is>
          <t>発</t>
        </is>
      </c>
      <c r="J9106" s="10" t="inlineStr">
        <is>
          <t>営業</t>
        </is>
      </c>
      <c r="L9106" t="inlineStr">
        <is>
          <t>14:28:40</t>
        </is>
      </c>
      <c r="M9106" t="inlineStr">
        <is>
          <t>14:29:05</t>
        </is>
      </c>
    </row>
    <row r="9107" ht="16.5" customHeight="1" s="37">
      <c r="A9107" t="n">
        <v>6</v>
      </c>
      <c r="B9107" s="10" t="inlineStr">
        <is>
          <t>平日</t>
        </is>
      </c>
      <c r="C9107" s="10" t="inlineStr">
        <is>
          <t>本線</t>
        </is>
      </c>
      <c r="D9107" s="10" t="inlineStr">
        <is>
          <t>上り</t>
        </is>
      </c>
      <c r="E9107" t="inlineStr">
        <is>
          <t>1404</t>
        </is>
      </c>
      <c r="F9107" t="inlineStr">
        <is>
          <t>0211</t>
        </is>
      </c>
      <c r="G9107" s="10" t="inlineStr">
        <is>
          <t>西大路三条</t>
        </is>
      </c>
      <c r="H9107" s="10" t="inlineStr">
        <is>
          <t>発</t>
        </is>
      </c>
      <c r="J9107" s="10" t="inlineStr">
        <is>
          <t>営業</t>
        </is>
      </c>
      <c r="L9107" t="inlineStr">
        <is>
          <t>14:30:55</t>
        </is>
      </c>
      <c r="M9107" t="inlineStr">
        <is>
          <t>14:31:15</t>
        </is>
      </c>
    </row>
    <row r="9108" ht="16.5" customHeight="1" s="37">
      <c r="A9108" t="n">
        <v>6</v>
      </c>
      <c r="B9108" s="10" t="inlineStr">
        <is>
          <t>平日</t>
        </is>
      </c>
      <c r="C9108" s="10" t="inlineStr">
        <is>
          <t>本線</t>
        </is>
      </c>
      <c r="D9108" s="10" t="inlineStr">
        <is>
          <t>上り</t>
        </is>
      </c>
      <c r="E9108" t="inlineStr">
        <is>
          <t>1404</t>
        </is>
      </c>
      <c r="F9108" t="inlineStr">
        <is>
          <t>0211</t>
        </is>
      </c>
      <c r="G9108" s="10" t="inlineStr">
        <is>
          <t>西院</t>
        </is>
      </c>
      <c r="H9108" s="10" t="inlineStr">
        <is>
          <t>発</t>
        </is>
      </c>
      <c r="J9108" s="10" t="inlineStr">
        <is>
          <t>営業</t>
        </is>
      </c>
      <c r="L9108" t="inlineStr">
        <is>
          <t>14:33:10</t>
        </is>
      </c>
      <c r="M9108" t="inlineStr">
        <is>
          <t>14:34:05</t>
        </is>
      </c>
    </row>
    <row r="9109" ht="16.5" customHeight="1" s="37">
      <c r="A9109" t="n">
        <v>6</v>
      </c>
      <c r="B9109" s="10" t="inlineStr">
        <is>
          <t>平日</t>
        </is>
      </c>
      <c r="C9109" s="10" t="inlineStr">
        <is>
          <t>本線</t>
        </is>
      </c>
      <c r="D9109" s="10" t="inlineStr">
        <is>
          <t>上り</t>
        </is>
      </c>
      <c r="E9109" t="inlineStr">
        <is>
          <t>1404</t>
        </is>
      </c>
      <c r="F9109" t="inlineStr">
        <is>
          <t>0211</t>
        </is>
      </c>
      <c r="G9109" s="10" t="inlineStr">
        <is>
          <t>四条大宮</t>
        </is>
      </c>
      <c r="H9109" s="10" t="inlineStr">
        <is>
          <t>着</t>
        </is>
      </c>
      <c r="J9109" s="10" t="inlineStr">
        <is>
          <t>営業</t>
        </is>
      </c>
      <c r="L9109" t="inlineStr">
        <is>
          <t>14:37:00</t>
        </is>
      </c>
      <c r="Q9109" t="inlineStr">
        <is>
          <t>1</t>
        </is>
      </c>
    </row>
    <row r="9110" ht="16.5" customHeight="1" s="37">
      <c r="A9110" t="n">
        <v>6</v>
      </c>
      <c r="B9110" s="10" t="inlineStr">
        <is>
          <t>平日</t>
        </is>
      </c>
      <c r="C9110" s="10" t="inlineStr">
        <is>
          <t>本線</t>
        </is>
      </c>
      <c r="D9110" s="10" t="inlineStr">
        <is>
          <t>下り</t>
        </is>
      </c>
      <c r="E9110" t="inlineStr">
        <is>
          <t>1409</t>
        </is>
      </c>
      <c r="F9110" t="inlineStr">
        <is>
          <t>0112</t>
        </is>
      </c>
      <c r="G9110" s="10" t="inlineStr">
        <is>
          <t>四条大宮</t>
        </is>
      </c>
      <c r="H9110" s="10" t="inlineStr">
        <is>
          <t>発</t>
        </is>
      </c>
      <c r="J9110" s="10" t="inlineStr">
        <is>
          <t>営業</t>
        </is>
      </c>
      <c r="M9110" t="inlineStr">
        <is>
          <t>14:43:00</t>
        </is>
      </c>
      <c r="Q9110" t="inlineStr">
        <is>
          <t>1</t>
        </is>
      </c>
    </row>
    <row r="9111" ht="16.5" customHeight="1" s="37">
      <c r="A9111" t="n">
        <v>6</v>
      </c>
      <c r="B9111" s="10" t="inlineStr">
        <is>
          <t>平日</t>
        </is>
      </c>
      <c r="C9111" s="10" t="inlineStr">
        <is>
          <t>本線</t>
        </is>
      </c>
      <c r="D9111" s="10" t="inlineStr">
        <is>
          <t>下り</t>
        </is>
      </c>
      <c r="E9111" t="inlineStr">
        <is>
          <t>1409</t>
        </is>
      </c>
      <c r="F9111" t="inlineStr">
        <is>
          <t>0112</t>
        </is>
      </c>
      <c r="G9111" s="10" t="inlineStr">
        <is>
          <t>西院</t>
        </is>
      </c>
      <c r="H9111" s="10" t="inlineStr">
        <is>
          <t>発</t>
        </is>
      </c>
      <c r="J9111" s="10" t="inlineStr">
        <is>
          <t>営業</t>
        </is>
      </c>
      <c r="L9111" t="inlineStr">
        <is>
          <t>14:45:50</t>
        </is>
      </c>
      <c r="M9111" t="inlineStr">
        <is>
          <t>14:46:20</t>
        </is>
      </c>
    </row>
    <row r="9112" ht="16.5" customHeight="1" s="37">
      <c r="A9112" t="n">
        <v>6</v>
      </c>
      <c r="B9112" s="10" t="inlineStr">
        <is>
          <t>平日</t>
        </is>
      </c>
      <c r="C9112" s="10" t="inlineStr">
        <is>
          <t>本線</t>
        </is>
      </c>
      <c r="D9112" s="10" t="inlineStr">
        <is>
          <t>下り</t>
        </is>
      </c>
      <c r="E9112" t="inlineStr">
        <is>
          <t>1409</t>
        </is>
      </c>
      <c r="F9112" t="inlineStr">
        <is>
          <t>0112</t>
        </is>
      </c>
      <c r="G9112" s="10" t="inlineStr">
        <is>
          <t>西大路三条</t>
        </is>
      </c>
      <c r="H9112" s="10" t="inlineStr">
        <is>
          <t>発</t>
        </is>
      </c>
      <c r="J9112" s="10" t="inlineStr">
        <is>
          <t>営業</t>
        </is>
      </c>
      <c r="L9112" t="inlineStr">
        <is>
          <t>14:48:10</t>
        </is>
      </c>
      <c r="M9112" t="inlineStr">
        <is>
          <t>14:48:30</t>
        </is>
      </c>
    </row>
    <row r="9113" ht="16.5" customHeight="1" s="37">
      <c r="A9113" t="n">
        <v>6</v>
      </c>
      <c r="B9113" s="10" t="inlineStr">
        <is>
          <t>平日</t>
        </is>
      </c>
      <c r="C9113" s="10" t="inlineStr">
        <is>
          <t>本線</t>
        </is>
      </c>
      <c r="D9113" s="10" t="inlineStr">
        <is>
          <t>下り</t>
        </is>
      </c>
      <c r="E9113" t="inlineStr">
        <is>
          <t>1409</t>
        </is>
      </c>
      <c r="F9113" t="inlineStr">
        <is>
          <t>0112</t>
        </is>
      </c>
      <c r="G9113" s="10" t="inlineStr">
        <is>
          <t>山ノ内</t>
        </is>
      </c>
      <c r="H9113" s="10" t="inlineStr">
        <is>
          <t>発</t>
        </is>
      </c>
      <c r="J9113" s="10" t="inlineStr">
        <is>
          <t>営業</t>
        </is>
      </c>
      <c r="L9113" t="inlineStr">
        <is>
          <t>14:50:25</t>
        </is>
      </c>
      <c r="M9113" t="inlineStr">
        <is>
          <t>14:50:50</t>
        </is>
      </c>
    </row>
    <row r="9114" ht="16.5" customHeight="1" s="37">
      <c r="A9114" t="n">
        <v>6</v>
      </c>
      <c r="B9114" s="10" t="inlineStr">
        <is>
          <t>平日</t>
        </is>
      </c>
      <c r="C9114" s="10" t="inlineStr">
        <is>
          <t>本線</t>
        </is>
      </c>
      <c r="D9114" s="10" t="inlineStr">
        <is>
          <t>下り</t>
        </is>
      </c>
      <c r="E9114" t="inlineStr">
        <is>
          <t>1409</t>
        </is>
      </c>
      <c r="F9114" t="inlineStr">
        <is>
          <t>0112</t>
        </is>
      </c>
      <c r="G9114" s="10" t="inlineStr">
        <is>
          <t>天神川</t>
        </is>
      </c>
      <c r="H9114" s="10" t="inlineStr">
        <is>
          <t>発</t>
        </is>
      </c>
      <c r="J9114" s="10" t="inlineStr">
        <is>
          <t>営業</t>
        </is>
      </c>
      <c r="L9114" t="inlineStr">
        <is>
          <t>14:52:50</t>
        </is>
      </c>
      <c r="M9114" t="inlineStr">
        <is>
          <t>14:53:30</t>
        </is>
      </c>
    </row>
    <row r="9115" ht="16.5" customHeight="1" s="37">
      <c r="A9115" t="n">
        <v>6</v>
      </c>
      <c r="B9115" s="10" t="inlineStr">
        <is>
          <t>平日</t>
        </is>
      </c>
      <c r="C9115" s="10" t="inlineStr">
        <is>
          <t>本線</t>
        </is>
      </c>
      <c r="D9115" s="10" t="inlineStr">
        <is>
          <t>下り</t>
        </is>
      </c>
      <c r="E9115" t="inlineStr">
        <is>
          <t>1409</t>
        </is>
      </c>
      <c r="F9115" t="inlineStr">
        <is>
          <t>0112</t>
        </is>
      </c>
      <c r="G9115" s="10" t="inlineStr">
        <is>
          <t>蚕ノ社</t>
        </is>
      </c>
      <c r="H9115" s="10" t="inlineStr">
        <is>
          <t>発</t>
        </is>
      </c>
      <c r="J9115" s="10" t="inlineStr">
        <is>
          <t>営業</t>
        </is>
      </c>
      <c r="L9115" t="inlineStr">
        <is>
          <t>14:54:20</t>
        </is>
      </c>
      <c r="M9115" t="inlineStr">
        <is>
          <t>14:54:40</t>
        </is>
      </c>
    </row>
    <row r="9116" ht="16.5" customHeight="1" s="37">
      <c r="A9116" t="n">
        <v>6</v>
      </c>
      <c r="B9116" s="10" t="inlineStr">
        <is>
          <t>平日</t>
        </is>
      </c>
      <c r="C9116" s="10" t="inlineStr">
        <is>
          <t>本線</t>
        </is>
      </c>
      <c r="D9116" s="10" t="inlineStr">
        <is>
          <t>下り</t>
        </is>
      </c>
      <c r="E9116" t="inlineStr">
        <is>
          <t>1409</t>
        </is>
      </c>
      <c r="F9116" t="inlineStr">
        <is>
          <t>0112</t>
        </is>
      </c>
      <c r="G9116" s="10" t="inlineStr">
        <is>
          <t>太秦広隆寺</t>
        </is>
      </c>
      <c r="H9116" s="10" t="inlineStr">
        <is>
          <t>発</t>
        </is>
      </c>
      <c r="J9116" s="10" t="inlineStr">
        <is>
          <t>営業</t>
        </is>
      </c>
      <c r="L9116" t="inlineStr">
        <is>
          <t>14:56:00</t>
        </is>
      </c>
      <c r="M9116" t="inlineStr">
        <is>
          <t>14:56:20</t>
        </is>
      </c>
    </row>
    <row r="9117" ht="16.5" customHeight="1" s="37">
      <c r="A9117" t="n">
        <v>6</v>
      </c>
      <c r="B9117" s="10" t="inlineStr">
        <is>
          <t>平日</t>
        </is>
      </c>
      <c r="C9117" s="10" t="inlineStr">
        <is>
          <t>本線</t>
        </is>
      </c>
      <c r="D9117" s="10" t="inlineStr">
        <is>
          <t>下り</t>
        </is>
      </c>
      <c r="E9117" t="inlineStr">
        <is>
          <t>1409</t>
        </is>
      </c>
      <c r="F9117" t="inlineStr">
        <is>
          <t>0112</t>
        </is>
      </c>
      <c r="G9117" s="10" t="inlineStr">
        <is>
          <t>帷子ノ辻</t>
        </is>
      </c>
      <c r="H9117" s="10" t="inlineStr">
        <is>
          <t>発</t>
        </is>
      </c>
      <c r="J9117" s="10" t="inlineStr">
        <is>
          <t>営業</t>
        </is>
      </c>
      <c r="L9117" t="inlineStr">
        <is>
          <t>14:58:20</t>
        </is>
      </c>
      <c r="M9117" t="inlineStr">
        <is>
          <t>14:59:40</t>
        </is>
      </c>
    </row>
    <row r="9118" ht="16.5" customHeight="1" s="37">
      <c r="A9118" t="n">
        <v>6</v>
      </c>
      <c r="B9118" s="10" t="inlineStr">
        <is>
          <t>平日</t>
        </is>
      </c>
      <c r="C9118" s="10" t="inlineStr">
        <is>
          <t>本線</t>
        </is>
      </c>
      <c r="D9118" s="10" t="inlineStr">
        <is>
          <t>下り</t>
        </is>
      </c>
      <c r="E9118" t="inlineStr">
        <is>
          <t>1409</t>
        </is>
      </c>
      <c r="F9118" t="inlineStr">
        <is>
          <t>0112</t>
        </is>
      </c>
      <c r="G9118" s="10" t="inlineStr">
        <is>
          <t>有栖川</t>
        </is>
      </c>
      <c r="H9118" s="10" t="inlineStr">
        <is>
          <t>発</t>
        </is>
      </c>
      <c r="J9118" s="10" t="inlineStr">
        <is>
          <t>営業</t>
        </is>
      </c>
      <c r="L9118" t="inlineStr">
        <is>
          <t>15:00:50</t>
        </is>
      </c>
      <c r="M9118" t="inlineStr">
        <is>
          <t>15:01:15</t>
        </is>
      </c>
    </row>
    <row r="9119" ht="16.5" customHeight="1" s="37">
      <c r="A9119" t="n">
        <v>6</v>
      </c>
      <c r="B9119" s="10" t="inlineStr">
        <is>
          <t>平日</t>
        </is>
      </c>
      <c r="C9119" s="10" t="inlineStr">
        <is>
          <t>本線</t>
        </is>
      </c>
      <c r="D9119" s="10" t="inlineStr">
        <is>
          <t>下り</t>
        </is>
      </c>
      <c r="E9119" t="inlineStr">
        <is>
          <t>1409</t>
        </is>
      </c>
      <c r="F9119" t="inlineStr">
        <is>
          <t>0112</t>
        </is>
      </c>
      <c r="G9119" s="10" t="inlineStr">
        <is>
          <t>車折</t>
        </is>
      </c>
      <c r="H9119" s="10" t="inlineStr">
        <is>
          <t>発</t>
        </is>
      </c>
      <c r="J9119" s="10" t="inlineStr">
        <is>
          <t>営業</t>
        </is>
      </c>
      <c r="L9119" t="inlineStr">
        <is>
          <t>15:02:40</t>
        </is>
      </c>
      <c r="M9119" t="inlineStr">
        <is>
          <t>15:03:05</t>
        </is>
      </c>
    </row>
    <row r="9120" ht="16.5" customHeight="1" s="37">
      <c r="A9120" t="n">
        <v>6</v>
      </c>
      <c r="B9120" s="10" t="inlineStr">
        <is>
          <t>平日</t>
        </is>
      </c>
      <c r="C9120" s="10" t="inlineStr">
        <is>
          <t>本線</t>
        </is>
      </c>
      <c r="D9120" s="10" t="inlineStr">
        <is>
          <t>下り</t>
        </is>
      </c>
      <c r="E9120" t="inlineStr">
        <is>
          <t>1409</t>
        </is>
      </c>
      <c r="F9120" t="inlineStr">
        <is>
          <t>0112</t>
        </is>
      </c>
      <c r="G9120" s="10" t="inlineStr">
        <is>
          <t>鹿王院</t>
        </is>
      </c>
      <c r="H9120" s="10" t="inlineStr">
        <is>
          <t>発</t>
        </is>
      </c>
      <c r="J9120" s="10" t="inlineStr">
        <is>
          <t>営業</t>
        </is>
      </c>
      <c r="L9120" t="inlineStr">
        <is>
          <t>15:04:00</t>
        </is>
      </c>
      <c r="M9120" t="inlineStr">
        <is>
          <t>15:04:25</t>
        </is>
      </c>
    </row>
    <row r="9121" ht="16.5" customHeight="1" s="37">
      <c r="A9121" t="n">
        <v>6</v>
      </c>
      <c r="B9121" s="10" t="inlineStr">
        <is>
          <t>平日</t>
        </is>
      </c>
      <c r="C9121" s="10" t="inlineStr">
        <is>
          <t>本線</t>
        </is>
      </c>
      <c r="D9121" s="10" t="inlineStr">
        <is>
          <t>下り</t>
        </is>
      </c>
      <c r="E9121" t="inlineStr">
        <is>
          <t>1409</t>
        </is>
      </c>
      <c r="F9121" t="inlineStr">
        <is>
          <t>0112</t>
        </is>
      </c>
      <c r="G9121" s="10" t="inlineStr">
        <is>
          <t>嵯峨</t>
        </is>
      </c>
      <c r="H9121" s="10" t="inlineStr">
        <is>
          <t>発</t>
        </is>
      </c>
      <c r="J9121" s="10" t="inlineStr">
        <is>
          <t>営業</t>
        </is>
      </c>
      <c r="L9121" t="inlineStr">
        <is>
          <t>15:05:30</t>
        </is>
      </c>
      <c r="M9121" t="inlineStr">
        <is>
          <t>15:05:55</t>
        </is>
      </c>
    </row>
    <row r="9122" ht="16.5" customHeight="1" s="37">
      <c r="A9122" t="n">
        <v>6</v>
      </c>
      <c r="B9122" s="10" t="inlineStr">
        <is>
          <t>平日</t>
        </is>
      </c>
      <c r="C9122" s="10" t="inlineStr">
        <is>
          <t>本線</t>
        </is>
      </c>
      <c r="D9122" s="10" t="inlineStr">
        <is>
          <t>下り</t>
        </is>
      </c>
      <c r="E9122" t="inlineStr">
        <is>
          <t>1409</t>
        </is>
      </c>
      <c r="F9122" t="inlineStr">
        <is>
          <t>0112</t>
        </is>
      </c>
      <c r="G9122" s="10" t="inlineStr">
        <is>
          <t>嵐山</t>
        </is>
      </c>
      <c r="H9122" s="10" t="inlineStr">
        <is>
          <t>着</t>
        </is>
      </c>
      <c r="J9122" s="10" t="inlineStr">
        <is>
          <t>営業</t>
        </is>
      </c>
      <c r="L9122" t="inlineStr">
        <is>
          <t>15:07:00</t>
        </is>
      </c>
      <c r="Q9122" t="inlineStr">
        <is>
          <t>1</t>
        </is>
      </c>
    </row>
    <row r="9123" ht="16.5" customHeight="1" s="37">
      <c r="A9123" t="n">
        <v>6</v>
      </c>
      <c r="B9123" s="10" t="inlineStr">
        <is>
          <t>平日</t>
        </is>
      </c>
      <c r="C9123" s="10" t="inlineStr">
        <is>
          <t>本線</t>
        </is>
      </c>
      <c r="D9123" s="10" t="inlineStr">
        <is>
          <t>上り</t>
        </is>
      </c>
      <c r="E9123" t="inlineStr">
        <is>
          <t>1504</t>
        </is>
      </c>
      <c r="F9123" t="inlineStr">
        <is>
          <t>0211</t>
        </is>
      </c>
      <c r="G9123" s="10" t="inlineStr">
        <is>
          <t>嵐山</t>
        </is>
      </c>
      <c r="H9123" s="10" t="inlineStr">
        <is>
          <t>発</t>
        </is>
      </c>
      <c r="J9123" s="10" t="inlineStr">
        <is>
          <t>営業</t>
        </is>
      </c>
      <c r="M9123" t="inlineStr">
        <is>
          <t>15:13:00</t>
        </is>
      </c>
      <c r="Q9123" t="inlineStr">
        <is>
          <t>1</t>
        </is>
      </c>
    </row>
    <row r="9124" ht="16.5" customHeight="1" s="37">
      <c r="A9124" t="n">
        <v>6</v>
      </c>
      <c r="B9124" s="10" t="inlineStr">
        <is>
          <t>平日</t>
        </is>
      </c>
      <c r="C9124" s="10" t="inlineStr">
        <is>
          <t>本線</t>
        </is>
      </c>
      <c r="D9124" s="10" t="inlineStr">
        <is>
          <t>上り</t>
        </is>
      </c>
      <c r="E9124" t="inlineStr">
        <is>
          <t>1504</t>
        </is>
      </c>
      <c r="F9124" t="inlineStr">
        <is>
          <t>0211</t>
        </is>
      </c>
      <c r="G9124" s="10" t="inlineStr">
        <is>
          <t>嵯峨</t>
        </is>
      </c>
      <c r="H9124" s="10" t="inlineStr">
        <is>
          <t>発</t>
        </is>
      </c>
      <c r="J9124" s="10" t="inlineStr">
        <is>
          <t>営業</t>
        </is>
      </c>
      <c r="L9124" t="inlineStr">
        <is>
          <t>15:13:55</t>
        </is>
      </c>
      <c r="M9124" t="inlineStr">
        <is>
          <t>15:14:20</t>
        </is>
      </c>
    </row>
    <row r="9125" ht="16.5" customHeight="1" s="37">
      <c r="A9125" t="n">
        <v>6</v>
      </c>
      <c r="B9125" s="10" t="inlineStr">
        <is>
          <t>平日</t>
        </is>
      </c>
      <c r="C9125" s="10" t="inlineStr">
        <is>
          <t>本線</t>
        </is>
      </c>
      <c r="D9125" s="10" t="inlineStr">
        <is>
          <t>上り</t>
        </is>
      </c>
      <c r="E9125" t="inlineStr">
        <is>
          <t>1504</t>
        </is>
      </c>
      <c r="F9125" t="inlineStr">
        <is>
          <t>0211</t>
        </is>
      </c>
      <c r="G9125" s="10" t="inlineStr">
        <is>
          <t>鹿王院</t>
        </is>
      </c>
      <c r="H9125" s="10" t="inlineStr">
        <is>
          <t>発</t>
        </is>
      </c>
      <c r="J9125" s="10" t="inlineStr">
        <is>
          <t>営業</t>
        </is>
      </c>
      <c r="L9125" t="inlineStr">
        <is>
          <t>15:15:25</t>
        </is>
      </c>
      <c r="M9125" t="inlineStr">
        <is>
          <t>15:15:45</t>
        </is>
      </c>
    </row>
    <row r="9126" ht="16.5" customHeight="1" s="37">
      <c r="A9126" t="n">
        <v>6</v>
      </c>
      <c r="B9126" s="10" t="inlineStr">
        <is>
          <t>平日</t>
        </is>
      </c>
      <c r="C9126" s="10" t="inlineStr">
        <is>
          <t>本線</t>
        </is>
      </c>
      <c r="D9126" s="10" t="inlineStr">
        <is>
          <t>上り</t>
        </is>
      </c>
      <c r="E9126" t="inlineStr">
        <is>
          <t>1504</t>
        </is>
      </c>
      <c r="F9126" t="inlineStr">
        <is>
          <t>0211</t>
        </is>
      </c>
      <c r="G9126" s="10" t="inlineStr">
        <is>
          <t>車折</t>
        </is>
      </c>
      <c r="H9126" s="10" t="inlineStr">
        <is>
          <t>発</t>
        </is>
      </c>
      <c r="J9126" s="10" t="inlineStr">
        <is>
          <t>営業</t>
        </is>
      </c>
      <c r="L9126" t="inlineStr">
        <is>
          <t>15:16:40</t>
        </is>
      </c>
      <c r="M9126" t="inlineStr">
        <is>
          <t>15:17:10</t>
        </is>
      </c>
    </row>
    <row r="9127" ht="16.5" customHeight="1" s="37">
      <c r="A9127" t="n">
        <v>6</v>
      </c>
      <c r="B9127" s="10" t="inlineStr">
        <is>
          <t>平日</t>
        </is>
      </c>
      <c r="C9127" s="10" t="inlineStr">
        <is>
          <t>本線</t>
        </is>
      </c>
      <c r="D9127" s="10" t="inlineStr">
        <is>
          <t>上り</t>
        </is>
      </c>
      <c r="E9127" t="inlineStr">
        <is>
          <t>1504</t>
        </is>
      </c>
      <c r="F9127" t="inlineStr">
        <is>
          <t>0211</t>
        </is>
      </c>
      <c r="G9127" s="10" t="inlineStr">
        <is>
          <t>有栖川</t>
        </is>
      </c>
      <c r="H9127" s="10" t="inlineStr">
        <is>
          <t>発</t>
        </is>
      </c>
      <c r="J9127" s="10" t="inlineStr">
        <is>
          <t>営業</t>
        </is>
      </c>
      <c r="L9127" t="inlineStr">
        <is>
          <t>15:18:35</t>
        </is>
      </c>
      <c r="M9127" t="inlineStr">
        <is>
          <t>15:18:55</t>
        </is>
      </c>
    </row>
    <row r="9128" ht="16.5" customHeight="1" s="37">
      <c r="A9128" t="n">
        <v>6</v>
      </c>
      <c r="B9128" s="10" t="inlineStr">
        <is>
          <t>平日</t>
        </is>
      </c>
      <c r="C9128" s="10" t="inlineStr">
        <is>
          <t>本線</t>
        </is>
      </c>
      <c r="D9128" s="10" t="inlineStr">
        <is>
          <t>上り</t>
        </is>
      </c>
      <c r="E9128" t="inlineStr">
        <is>
          <t>1504</t>
        </is>
      </c>
      <c r="F9128" t="inlineStr">
        <is>
          <t>0211</t>
        </is>
      </c>
      <c r="G9128" s="10" t="inlineStr">
        <is>
          <t>帷子ノ辻</t>
        </is>
      </c>
      <c r="H9128" s="10" t="inlineStr">
        <is>
          <t>発</t>
        </is>
      </c>
      <c r="J9128" s="10" t="inlineStr">
        <is>
          <t>営業</t>
        </is>
      </c>
      <c r="L9128" t="inlineStr">
        <is>
          <t>15:20:10</t>
        </is>
      </c>
      <c r="M9128" t="inlineStr">
        <is>
          <t>15:21:15</t>
        </is>
      </c>
    </row>
    <row r="9129" ht="16.5" customHeight="1" s="37">
      <c r="A9129" t="n">
        <v>6</v>
      </c>
      <c r="B9129" s="10" t="inlineStr">
        <is>
          <t>平日</t>
        </is>
      </c>
      <c r="C9129" s="10" t="inlineStr">
        <is>
          <t>本線</t>
        </is>
      </c>
      <c r="D9129" s="10" t="inlineStr">
        <is>
          <t>上り</t>
        </is>
      </c>
      <c r="E9129" t="inlineStr">
        <is>
          <t>1504</t>
        </is>
      </c>
      <c r="F9129" t="inlineStr">
        <is>
          <t>0211</t>
        </is>
      </c>
      <c r="G9129" s="10" t="inlineStr">
        <is>
          <t>太秦広隆寺</t>
        </is>
      </c>
      <c r="H9129" s="10" t="inlineStr">
        <is>
          <t>発</t>
        </is>
      </c>
      <c r="J9129" s="10" t="inlineStr">
        <is>
          <t>営業</t>
        </is>
      </c>
      <c r="L9129" t="inlineStr">
        <is>
          <t>15:23:25</t>
        </is>
      </c>
      <c r="M9129" t="inlineStr">
        <is>
          <t>15:23:45</t>
        </is>
      </c>
    </row>
    <row r="9130" ht="16.5" customHeight="1" s="37">
      <c r="A9130" t="n">
        <v>6</v>
      </c>
      <c r="B9130" s="10" t="inlineStr">
        <is>
          <t>平日</t>
        </is>
      </c>
      <c r="C9130" s="10" t="inlineStr">
        <is>
          <t>本線</t>
        </is>
      </c>
      <c r="D9130" s="10" t="inlineStr">
        <is>
          <t>上り</t>
        </is>
      </c>
      <c r="E9130" t="inlineStr">
        <is>
          <t>1504</t>
        </is>
      </c>
      <c r="F9130" t="inlineStr">
        <is>
          <t>0211</t>
        </is>
      </c>
      <c r="G9130" s="10" t="inlineStr">
        <is>
          <t>蚕ノ社</t>
        </is>
      </c>
      <c r="H9130" s="10" t="inlineStr">
        <is>
          <t>発</t>
        </is>
      </c>
      <c r="J9130" s="10" t="inlineStr">
        <is>
          <t>営業</t>
        </is>
      </c>
      <c r="L9130" t="inlineStr">
        <is>
          <t>15:25:00</t>
        </is>
      </c>
      <c r="M9130" t="inlineStr">
        <is>
          <t>15:25:20</t>
        </is>
      </c>
    </row>
    <row r="9131" ht="16.5" customHeight="1" s="37">
      <c r="A9131" t="n">
        <v>6</v>
      </c>
      <c r="B9131" s="10" t="inlineStr">
        <is>
          <t>平日</t>
        </is>
      </c>
      <c r="C9131" s="10" t="inlineStr">
        <is>
          <t>本線</t>
        </is>
      </c>
      <c r="D9131" s="10" t="inlineStr">
        <is>
          <t>上り</t>
        </is>
      </c>
      <c r="E9131" t="inlineStr">
        <is>
          <t>1504</t>
        </is>
      </c>
      <c r="F9131" t="inlineStr">
        <is>
          <t>0211</t>
        </is>
      </c>
      <c r="G9131" s="10" t="inlineStr">
        <is>
          <t>天神川</t>
        </is>
      </c>
      <c r="H9131" s="10" t="inlineStr">
        <is>
          <t>発</t>
        </is>
      </c>
      <c r="J9131" s="10" t="inlineStr">
        <is>
          <t>営業</t>
        </is>
      </c>
      <c r="L9131" t="inlineStr">
        <is>
          <t>15:26:05</t>
        </is>
      </c>
      <c r="M9131" t="inlineStr">
        <is>
          <t>15:26:50</t>
        </is>
      </c>
    </row>
    <row r="9132" ht="16.5" customHeight="1" s="37">
      <c r="A9132" t="n">
        <v>6</v>
      </c>
      <c r="B9132" s="10" t="inlineStr">
        <is>
          <t>平日</t>
        </is>
      </c>
      <c r="C9132" s="10" t="inlineStr">
        <is>
          <t>本線</t>
        </is>
      </c>
      <c r="D9132" s="10" t="inlineStr">
        <is>
          <t>上り</t>
        </is>
      </c>
      <c r="E9132" t="inlineStr">
        <is>
          <t>1504</t>
        </is>
      </c>
      <c r="F9132" t="inlineStr">
        <is>
          <t>0211</t>
        </is>
      </c>
      <c r="G9132" s="10" t="inlineStr">
        <is>
          <t>山ノ内</t>
        </is>
      </c>
      <c r="H9132" s="10" t="inlineStr">
        <is>
          <t>発</t>
        </is>
      </c>
      <c r="J9132" s="10" t="inlineStr">
        <is>
          <t>営業</t>
        </is>
      </c>
      <c r="L9132" t="inlineStr">
        <is>
          <t>15:28:40</t>
        </is>
      </c>
      <c r="M9132" t="inlineStr">
        <is>
          <t>15:29:05</t>
        </is>
      </c>
    </row>
    <row r="9133" ht="16.5" customHeight="1" s="37">
      <c r="A9133" t="n">
        <v>6</v>
      </c>
      <c r="B9133" s="10" t="inlineStr">
        <is>
          <t>平日</t>
        </is>
      </c>
      <c r="C9133" s="10" t="inlineStr">
        <is>
          <t>本線</t>
        </is>
      </c>
      <c r="D9133" s="10" t="inlineStr">
        <is>
          <t>上り</t>
        </is>
      </c>
      <c r="E9133" t="inlineStr">
        <is>
          <t>1504</t>
        </is>
      </c>
      <c r="F9133" t="inlineStr">
        <is>
          <t>0211</t>
        </is>
      </c>
      <c r="G9133" s="10" t="inlineStr">
        <is>
          <t>西大路三条</t>
        </is>
      </c>
      <c r="H9133" s="10" t="inlineStr">
        <is>
          <t>発</t>
        </is>
      </c>
      <c r="J9133" s="10" t="inlineStr">
        <is>
          <t>営業</t>
        </is>
      </c>
      <c r="L9133" t="inlineStr">
        <is>
          <t>15:30:55</t>
        </is>
      </c>
      <c r="M9133" t="inlineStr">
        <is>
          <t>15:31:15</t>
        </is>
      </c>
    </row>
    <row r="9134" ht="16.5" customHeight="1" s="37">
      <c r="A9134" t="n">
        <v>6</v>
      </c>
      <c r="B9134" s="10" t="inlineStr">
        <is>
          <t>平日</t>
        </is>
      </c>
      <c r="C9134" s="10" t="inlineStr">
        <is>
          <t>本線</t>
        </is>
      </c>
      <c r="D9134" s="10" t="inlineStr">
        <is>
          <t>上り</t>
        </is>
      </c>
      <c r="E9134" t="inlineStr">
        <is>
          <t>1504</t>
        </is>
      </c>
      <c r="F9134" t="inlineStr">
        <is>
          <t>0211</t>
        </is>
      </c>
      <c r="G9134" s="10" t="inlineStr">
        <is>
          <t>西院</t>
        </is>
      </c>
      <c r="H9134" s="10" t="inlineStr">
        <is>
          <t>発</t>
        </is>
      </c>
      <c r="J9134" s="10" t="inlineStr">
        <is>
          <t>営業</t>
        </is>
      </c>
      <c r="L9134" t="inlineStr">
        <is>
          <t>15:33:10</t>
        </is>
      </c>
      <c r="M9134" t="inlineStr">
        <is>
          <t>15:34:05</t>
        </is>
      </c>
    </row>
    <row r="9135" ht="16.5" customHeight="1" s="37">
      <c r="A9135" t="n">
        <v>6</v>
      </c>
      <c r="B9135" s="10" t="inlineStr">
        <is>
          <t>平日</t>
        </is>
      </c>
      <c r="C9135" s="10" t="inlineStr">
        <is>
          <t>本線</t>
        </is>
      </c>
      <c r="D9135" s="10" t="inlineStr">
        <is>
          <t>上り</t>
        </is>
      </c>
      <c r="E9135" t="inlineStr">
        <is>
          <t>1504</t>
        </is>
      </c>
      <c r="F9135" t="inlineStr">
        <is>
          <t>0211</t>
        </is>
      </c>
      <c r="G9135" s="10" t="inlineStr">
        <is>
          <t>四条大宮</t>
        </is>
      </c>
      <c r="H9135" s="10" t="inlineStr">
        <is>
          <t>着</t>
        </is>
      </c>
      <c r="J9135" s="10" t="inlineStr">
        <is>
          <t>営業</t>
        </is>
      </c>
      <c r="L9135" t="inlineStr">
        <is>
          <t>15:37:00</t>
        </is>
      </c>
      <c r="Q9135" t="inlineStr">
        <is>
          <t>1留</t>
        </is>
      </c>
    </row>
    <row r="9136" ht="16.5" customHeight="1" s="37">
      <c r="A9136" t="n">
        <v>6</v>
      </c>
      <c r="B9136" s="10" t="inlineStr">
        <is>
          <t>平日</t>
        </is>
      </c>
      <c r="C9136" s="10" t="inlineStr">
        <is>
          <t>本線</t>
        </is>
      </c>
      <c r="D9136" s="10" t="inlineStr">
        <is>
          <t>下り</t>
        </is>
      </c>
      <c r="E9136" s="10" t="inlineStr">
        <is>
          <t>連0613</t>
        </is>
      </c>
      <c r="F9136" t="inlineStr">
        <is>
          <t>0522</t>
        </is>
      </c>
      <c r="G9136" s="10" t="inlineStr">
        <is>
          <t>西院</t>
        </is>
      </c>
      <c r="H9136" s="10" t="inlineStr">
        <is>
          <t>発</t>
        </is>
      </c>
      <c r="J9136" s="10" t="inlineStr">
        <is>
          <t>営業</t>
        </is>
      </c>
      <c r="M9136" t="inlineStr">
        <is>
          <t>6:55:20</t>
        </is>
      </c>
      <c r="P9136" t="inlineStr">
        <is>
          <t>G系統(朝)</t>
        </is>
      </c>
    </row>
    <row r="9137" ht="16.5" customHeight="1" s="37">
      <c r="A9137" t="n">
        <v>6</v>
      </c>
      <c r="B9137" s="10" t="inlineStr">
        <is>
          <t>平日</t>
        </is>
      </c>
      <c r="C9137" s="10" t="inlineStr">
        <is>
          <t>本線</t>
        </is>
      </c>
      <c r="D9137" s="10" t="inlineStr">
        <is>
          <t>下り</t>
        </is>
      </c>
      <c r="E9137" s="10" t="inlineStr">
        <is>
          <t>連0613</t>
        </is>
      </c>
      <c r="F9137" t="inlineStr">
        <is>
          <t>0522</t>
        </is>
      </c>
      <c r="G9137" s="10" t="inlineStr">
        <is>
          <t>西大路三条</t>
        </is>
      </c>
      <c r="H9137" s="10" t="inlineStr">
        <is>
          <t>発</t>
        </is>
      </c>
      <c r="J9137" s="10" t="inlineStr">
        <is>
          <t>営業</t>
        </is>
      </c>
      <c r="L9137" t="inlineStr">
        <is>
          <t>6:57:10</t>
        </is>
      </c>
      <c r="M9137" t="inlineStr">
        <is>
          <t>6:57:25</t>
        </is>
      </c>
      <c r="P9137" t="inlineStr">
        <is>
          <t>G系統(朝)</t>
        </is>
      </c>
    </row>
    <row r="9138" ht="16.5" customHeight="1" s="37">
      <c r="A9138" t="n">
        <v>6</v>
      </c>
      <c r="B9138" s="10" t="inlineStr">
        <is>
          <t>平日</t>
        </is>
      </c>
      <c r="C9138" s="10" t="inlineStr">
        <is>
          <t>本線</t>
        </is>
      </c>
      <c r="D9138" s="10" t="inlineStr">
        <is>
          <t>下り</t>
        </is>
      </c>
      <c r="E9138" s="10" t="inlineStr">
        <is>
          <t>連0613</t>
        </is>
      </c>
      <c r="F9138" t="inlineStr">
        <is>
          <t>0522</t>
        </is>
      </c>
      <c r="G9138" s="10" t="inlineStr">
        <is>
          <t>山ノ内</t>
        </is>
      </c>
      <c r="H9138" s="10" t="inlineStr">
        <is>
          <t>発</t>
        </is>
      </c>
      <c r="J9138" s="10" t="inlineStr">
        <is>
          <t>営業</t>
        </is>
      </c>
      <c r="L9138" t="inlineStr">
        <is>
          <t>6:59:20</t>
        </is>
      </c>
      <c r="M9138" t="inlineStr">
        <is>
          <t>6:59:45</t>
        </is>
      </c>
      <c r="P9138" t="inlineStr">
        <is>
          <t>G系統(朝)</t>
        </is>
      </c>
    </row>
    <row r="9139" ht="16.5" customHeight="1" s="37">
      <c r="A9139" t="n">
        <v>6</v>
      </c>
      <c r="B9139" s="10" t="inlineStr">
        <is>
          <t>平日</t>
        </is>
      </c>
      <c r="C9139" s="10" t="inlineStr">
        <is>
          <t>本線</t>
        </is>
      </c>
      <c r="D9139" s="10" t="inlineStr">
        <is>
          <t>下り</t>
        </is>
      </c>
      <c r="E9139" s="10" t="inlineStr">
        <is>
          <t>連0613</t>
        </is>
      </c>
      <c r="F9139" t="inlineStr">
        <is>
          <t>0522</t>
        </is>
      </c>
      <c r="G9139" s="10" t="inlineStr">
        <is>
          <t>天神川</t>
        </is>
      </c>
      <c r="H9139" s="10" t="inlineStr">
        <is>
          <t>発</t>
        </is>
      </c>
      <c r="J9139" s="10" t="inlineStr">
        <is>
          <t>営業</t>
        </is>
      </c>
      <c r="L9139" t="inlineStr">
        <is>
          <t>7:01:45</t>
        </is>
      </c>
      <c r="M9139" t="inlineStr">
        <is>
          <t>7:02:10</t>
        </is>
      </c>
      <c r="P9139" t="inlineStr">
        <is>
          <t>G系統(朝)</t>
        </is>
      </c>
    </row>
    <row r="9140" ht="15" customHeight="1" s="37">
      <c r="A9140" t="n">
        <v>6</v>
      </c>
      <c r="B9140" s="10" t="inlineStr">
        <is>
          <t>平日</t>
        </is>
      </c>
      <c r="C9140" s="10" t="inlineStr">
        <is>
          <t>本線</t>
        </is>
      </c>
      <c r="D9140" s="10" t="inlineStr">
        <is>
          <t>下り</t>
        </is>
      </c>
      <c r="E9140" s="10" t="inlineStr">
        <is>
          <t>連0613</t>
        </is>
      </c>
      <c r="F9140" t="inlineStr">
        <is>
          <t>0522</t>
        </is>
      </c>
      <c r="G9140" s="10" t="inlineStr">
        <is>
          <t>蚕ノ社</t>
        </is>
      </c>
      <c r="H9140" s="10" t="inlineStr">
        <is>
          <t>発</t>
        </is>
      </c>
      <c r="J9140" s="10" t="inlineStr">
        <is>
          <t>営業</t>
        </is>
      </c>
      <c r="L9140" t="inlineStr">
        <is>
          <t>7:03:00</t>
        </is>
      </c>
      <c r="M9140" t="inlineStr">
        <is>
          <t>7:03:15</t>
        </is>
      </c>
      <c r="P9140" t="inlineStr">
        <is>
          <t>G系統(朝)</t>
        </is>
      </c>
    </row>
    <row r="9141" ht="15" customHeight="1" s="37">
      <c r="A9141" t="n">
        <v>6</v>
      </c>
      <c r="B9141" s="10" t="inlineStr">
        <is>
          <t>平日</t>
        </is>
      </c>
      <c r="C9141" s="10" t="inlineStr">
        <is>
          <t>本線</t>
        </is>
      </c>
      <c r="D9141" s="10" t="inlineStr">
        <is>
          <t>下り</t>
        </is>
      </c>
      <c r="E9141" s="10" t="inlineStr">
        <is>
          <t>連0613</t>
        </is>
      </c>
      <c r="F9141" t="inlineStr">
        <is>
          <t>0522</t>
        </is>
      </c>
      <c r="G9141" s="10" t="inlineStr">
        <is>
          <t>太秦広隆寺</t>
        </is>
      </c>
      <c r="H9141" s="10" t="inlineStr">
        <is>
          <t>発</t>
        </is>
      </c>
      <c r="J9141" s="10" t="inlineStr">
        <is>
          <t>営業</t>
        </is>
      </c>
      <c r="L9141" t="inlineStr">
        <is>
          <t>7:04:35</t>
        </is>
      </c>
      <c r="M9141" t="inlineStr">
        <is>
          <t>7:04:50</t>
        </is>
      </c>
      <c r="P9141" t="inlineStr">
        <is>
          <t>G系統(朝)</t>
        </is>
      </c>
    </row>
    <row r="9142" ht="15" customHeight="1" s="37">
      <c r="A9142" t="n">
        <v>6</v>
      </c>
      <c r="B9142" s="10" t="inlineStr">
        <is>
          <t>平日</t>
        </is>
      </c>
      <c r="C9142" s="10" t="inlineStr">
        <is>
          <t>本線</t>
        </is>
      </c>
      <c r="D9142" s="10" t="inlineStr">
        <is>
          <t>下り</t>
        </is>
      </c>
      <c r="E9142" s="10" t="inlineStr">
        <is>
          <t>連0613</t>
        </is>
      </c>
      <c r="F9142" t="inlineStr">
        <is>
          <t>0522</t>
        </is>
      </c>
      <c r="G9142" s="10" t="inlineStr">
        <is>
          <t>帷子ノ辻</t>
        </is>
      </c>
      <c r="H9142" s="10" t="inlineStr">
        <is>
          <t>発</t>
        </is>
      </c>
      <c r="J9142" s="10" t="inlineStr">
        <is>
          <t>営業</t>
        </is>
      </c>
      <c r="L9142" t="inlineStr">
        <is>
          <t>7:06:50</t>
        </is>
      </c>
      <c r="M9142" t="inlineStr">
        <is>
          <t>7:07:20</t>
        </is>
      </c>
      <c r="P9142" t="inlineStr">
        <is>
          <t>G系統(朝)</t>
        </is>
      </c>
    </row>
    <row r="9143" ht="16.5" customHeight="1" s="37">
      <c r="A9143" t="n">
        <v>6</v>
      </c>
      <c r="B9143" s="10" t="inlineStr">
        <is>
          <t>平日</t>
        </is>
      </c>
      <c r="C9143" s="10" t="inlineStr">
        <is>
          <t>本線</t>
        </is>
      </c>
      <c r="D9143" s="10" t="inlineStr">
        <is>
          <t>下り</t>
        </is>
      </c>
      <c r="E9143" s="10" t="inlineStr">
        <is>
          <t>連0613</t>
        </is>
      </c>
      <c r="F9143" t="inlineStr">
        <is>
          <t>0522</t>
        </is>
      </c>
      <c r="G9143" s="10" t="inlineStr">
        <is>
          <t>有栖川</t>
        </is>
      </c>
      <c r="H9143" s="10" t="inlineStr">
        <is>
          <t>発</t>
        </is>
      </c>
      <c r="J9143" s="10" t="inlineStr">
        <is>
          <t>営業</t>
        </is>
      </c>
      <c r="L9143" t="inlineStr">
        <is>
          <t>7:08:30</t>
        </is>
      </c>
      <c r="M9143" t="inlineStr">
        <is>
          <t>7:08:45</t>
        </is>
      </c>
      <c r="P9143" t="inlineStr">
        <is>
          <t>G系統(朝)</t>
        </is>
      </c>
    </row>
    <row r="9144" ht="16.5" customHeight="1" s="37">
      <c r="A9144" t="n">
        <v>6</v>
      </c>
      <c r="B9144" s="10" t="inlineStr">
        <is>
          <t>平日</t>
        </is>
      </c>
      <c r="C9144" s="10" t="inlineStr">
        <is>
          <t>本線</t>
        </is>
      </c>
      <c r="D9144" s="10" t="inlineStr">
        <is>
          <t>下り</t>
        </is>
      </c>
      <c r="E9144" s="10" t="inlineStr">
        <is>
          <t>連0613</t>
        </is>
      </c>
      <c r="F9144" t="inlineStr">
        <is>
          <t>0522</t>
        </is>
      </c>
      <c r="G9144" s="10" t="inlineStr">
        <is>
          <t>車折</t>
        </is>
      </c>
      <c r="H9144" s="10" t="inlineStr">
        <is>
          <t>発</t>
        </is>
      </c>
      <c r="J9144" s="10" t="inlineStr">
        <is>
          <t>営業</t>
        </is>
      </c>
      <c r="L9144" t="inlineStr">
        <is>
          <t>7:10:10</t>
        </is>
      </c>
      <c r="M9144" t="inlineStr">
        <is>
          <t>7:10:25</t>
        </is>
      </c>
      <c r="P9144" t="inlineStr">
        <is>
          <t>G系統(朝)</t>
        </is>
      </c>
    </row>
    <row r="9145" ht="16.5" customHeight="1" s="37">
      <c r="A9145" t="n">
        <v>6</v>
      </c>
      <c r="B9145" s="10" t="inlineStr">
        <is>
          <t>平日</t>
        </is>
      </c>
      <c r="C9145" s="10" t="inlineStr">
        <is>
          <t>本線</t>
        </is>
      </c>
      <c r="D9145" s="10" t="inlineStr">
        <is>
          <t>下り</t>
        </is>
      </c>
      <c r="E9145" s="10" t="inlineStr">
        <is>
          <t>連0613</t>
        </is>
      </c>
      <c r="F9145" t="inlineStr">
        <is>
          <t>0522</t>
        </is>
      </c>
      <c r="G9145" s="10" t="inlineStr">
        <is>
          <t>鹿王院</t>
        </is>
      </c>
      <c r="H9145" s="10" t="inlineStr">
        <is>
          <t>発</t>
        </is>
      </c>
      <c r="J9145" s="10" t="inlineStr">
        <is>
          <t>営業</t>
        </is>
      </c>
      <c r="L9145" t="inlineStr">
        <is>
          <t>7:11:20</t>
        </is>
      </c>
      <c r="M9145" t="inlineStr">
        <is>
          <t>7:11:35</t>
        </is>
      </c>
      <c r="P9145" t="inlineStr">
        <is>
          <t>G系統(朝)</t>
        </is>
      </c>
    </row>
    <row r="9146" ht="16.5" customHeight="1" s="37">
      <c r="A9146" t="n">
        <v>6</v>
      </c>
      <c r="B9146" s="10" t="inlineStr">
        <is>
          <t>平日</t>
        </is>
      </c>
      <c r="C9146" s="10" t="inlineStr">
        <is>
          <t>本線</t>
        </is>
      </c>
      <c r="D9146" s="10" t="inlineStr">
        <is>
          <t>下り</t>
        </is>
      </c>
      <c r="E9146" s="10" t="inlineStr">
        <is>
          <t>連0613</t>
        </is>
      </c>
      <c r="F9146" t="inlineStr">
        <is>
          <t>0522</t>
        </is>
      </c>
      <c r="G9146" s="10" t="inlineStr">
        <is>
          <t>嵯峨</t>
        </is>
      </c>
      <c r="H9146" s="10" t="inlineStr">
        <is>
          <t>発</t>
        </is>
      </c>
      <c r="J9146" s="10" t="inlineStr">
        <is>
          <t>営業</t>
        </is>
      </c>
      <c r="L9146" t="inlineStr">
        <is>
          <t>7:12:40</t>
        </is>
      </c>
      <c r="M9146" t="inlineStr">
        <is>
          <t>7:12:55</t>
        </is>
      </c>
      <c r="P9146" t="inlineStr">
        <is>
          <t>G系統(朝)</t>
        </is>
      </c>
    </row>
    <row r="9147" ht="16.5" customHeight="1" s="37">
      <c r="A9147" t="n">
        <v>6</v>
      </c>
      <c r="B9147" s="10" t="inlineStr">
        <is>
          <t>平日</t>
        </is>
      </c>
      <c r="C9147" s="10" t="inlineStr">
        <is>
          <t>本線</t>
        </is>
      </c>
      <c r="D9147" s="10" t="inlineStr">
        <is>
          <t>下り</t>
        </is>
      </c>
      <c r="E9147" s="10" t="inlineStr">
        <is>
          <t>連0613</t>
        </is>
      </c>
      <c r="F9147" t="inlineStr">
        <is>
          <t>0522</t>
        </is>
      </c>
      <c r="G9147" s="10" t="inlineStr">
        <is>
          <t>嵐山</t>
        </is>
      </c>
      <c r="H9147" s="10" t="inlineStr">
        <is>
          <t>着</t>
        </is>
      </c>
      <c r="J9147" s="10" t="inlineStr">
        <is>
          <t>営業</t>
        </is>
      </c>
      <c r="L9147" t="inlineStr">
        <is>
          <t>7:14:00</t>
        </is>
      </c>
      <c r="N9147" t="inlineStr">
        <is>
          <t>○</t>
        </is>
      </c>
      <c r="P9147" t="inlineStr">
        <is>
          <t>G系統(朝)</t>
        </is>
      </c>
      <c r="Q9147" t="inlineStr">
        <is>
          <t>2</t>
        </is>
      </c>
    </row>
    <row r="9148" ht="16.5" customHeight="1" s="37">
      <c r="A9148" t="n">
        <v>6</v>
      </c>
      <c r="B9148" s="10" t="inlineStr">
        <is>
          <t>平日</t>
        </is>
      </c>
      <c r="C9148" s="10" t="inlineStr">
        <is>
          <t>本線</t>
        </is>
      </c>
      <c r="D9148" s="10" t="inlineStr">
        <is>
          <t>上り</t>
        </is>
      </c>
      <c r="E9148" s="10" t="inlineStr">
        <is>
          <t>連0708</t>
        </is>
      </c>
      <c r="F9148" t="inlineStr">
        <is>
          <t>2221</t>
        </is>
      </c>
      <c r="G9148" s="10" t="inlineStr">
        <is>
          <t>嵐山</t>
        </is>
      </c>
      <c r="H9148" s="10" t="inlineStr">
        <is>
          <t>発</t>
        </is>
      </c>
      <c r="J9148" s="10" t="inlineStr">
        <is>
          <t>営業</t>
        </is>
      </c>
      <c r="M9148" t="inlineStr">
        <is>
          <t>7:25:00</t>
        </is>
      </c>
      <c r="P9148" t="inlineStr">
        <is>
          <t>G系統(朝)</t>
        </is>
      </c>
      <c r="Q9148" t="inlineStr">
        <is>
          <t>2</t>
        </is>
      </c>
    </row>
    <row r="9149" ht="16.5" customHeight="1" s="37">
      <c r="A9149" t="n">
        <v>6</v>
      </c>
      <c r="B9149" s="10" t="inlineStr">
        <is>
          <t>平日</t>
        </is>
      </c>
      <c r="C9149" s="10" t="inlineStr">
        <is>
          <t>本線</t>
        </is>
      </c>
      <c r="D9149" s="10" t="inlineStr">
        <is>
          <t>上り</t>
        </is>
      </c>
      <c r="E9149" s="10" t="inlineStr">
        <is>
          <t>連0708</t>
        </is>
      </c>
      <c r="F9149" t="inlineStr">
        <is>
          <t>2221</t>
        </is>
      </c>
      <c r="G9149" s="10" t="inlineStr">
        <is>
          <t>嵯峨</t>
        </is>
      </c>
      <c r="H9149" s="10" t="inlineStr">
        <is>
          <t>発</t>
        </is>
      </c>
      <c r="J9149" s="10" t="inlineStr">
        <is>
          <t>営業</t>
        </is>
      </c>
      <c r="L9149" t="inlineStr">
        <is>
          <t>7:25:55</t>
        </is>
      </c>
      <c r="M9149" t="inlineStr">
        <is>
          <t>7:26:20</t>
        </is>
      </c>
      <c r="P9149" t="inlineStr">
        <is>
          <t>G系統(朝)</t>
        </is>
      </c>
    </row>
    <row r="9150" ht="16.5" customHeight="1" s="37">
      <c r="A9150" t="n">
        <v>6</v>
      </c>
      <c r="B9150" s="10" t="inlineStr">
        <is>
          <t>平日</t>
        </is>
      </c>
      <c r="C9150" s="10" t="inlineStr">
        <is>
          <t>本線</t>
        </is>
      </c>
      <c r="D9150" s="10" t="inlineStr">
        <is>
          <t>上り</t>
        </is>
      </c>
      <c r="E9150" s="10" t="inlineStr">
        <is>
          <t>連0708</t>
        </is>
      </c>
      <c r="F9150" t="inlineStr">
        <is>
          <t>2221</t>
        </is>
      </c>
      <c r="G9150" s="10" t="inlineStr">
        <is>
          <t>鹿王院</t>
        </is>
      </c>
      <c r="H9150" s="10" t="inlineStr">
        <is>
          <t>発</t>
        </is>
      </c>
      <c r="J9150" s="10" t="inlineStr">
        <is>
          <t>営業</t>
        </is>
      </c>
      <c r="L9150" t="inlineStr">
        <is>
          <t>7:27:25</t>
        </is>
      </c>
      <c r="M9150" t="inlineStr">
        <is>
          <t>7:27:45</t>
        </is>
      </c>
      <c r="P9150" t="inlineStr">
        <is>
          <t>G系統(朝)</t>
        </is>
      </c>
    </row>
    <row r="9151" ht="16.5" customHeight="1" s="37">
      <c r="A9151" t="n">
        <v>6</v>
      </c>
      <c r="B9151" s="10" t="inlineStr">
        <is>
          <t>平日</t>
        </is>
      </c>
      <c r="C9151" s="10" t="inlineStr">
        <is>
          <t>本線</t>
        </is>
      </c>
      <c r="D9151" s="10" t="inlineStr">
        <is>
          <t>上り</t>
        </is>
      </c>
      <c r="E9151" s="10" t="inlineStr">
        <is>
          <t>連0708</t>
        </is>
      </c>
      <c r="F9151" t="inlineStr">
        <is>
          <t>2221</t>
        </is>
      </c>
      <c r="G9151" s="10" t="inlineStr">
        <is>
          <t>車折</t>
        </is>
      </c>
      <c r="H9151" s="10" t="inlineStr">
        <is>
          <t>発</t>
        </is>
      </c>
      <c r="J9151" s="10" t="inlineStr">
        <is>
          <t>営業</t>
        </is>
      </c>
      <c r="L9151" t="inlineStr">
        <is>
          <t>7:28:40</t>
        </is>
      </c>
      <c r="M9151" t="inlineStr">
        <is>
          <t>7:29:10</t>
        </is>
      </c>
      <c r="P9151" t="inlineStr">
        <is>
          <t>G系統(朝)</t>
        </is>
      </c>
    </row>
    <row r="9152" ht="16.5" customHeight="1" s="37">
      <c r="A9152" t="n">
        <v>6</v>
      </c>
      <c r="B9152" s="10" t="inlineStr">
        <is>
          <t>平日</t>
        </is>
      </c>
      <c r="C9152" s="10" t="inlineStr">
        <is>
          <t>本線</t>
        </is>
      </c>
      <c r="D9152" s="10" t="inlineStr">
        <is>
          <t>上り</t>
        </is>
      </c>
      <c r="E9152" s="10" t="inlineStr">
        <is>
          <t>連0708</t>
        </is>
      </c>
      <c r="F9152" t="inlineStr">
        <is>
          <t>2221</t>
        </is>
      </c>
      <c r="G9152" s="10" t="inlineStr">
        <is>
          <t>有栖川</t>
        </is>
      </c>
      <c r="H9152" s="10" t="inlineStr">
        <is>
          <t>発</t>
        </is>
      </c>
      <c r="J9152" s="10" t="inlineStr">
        <is>
          <t>営業</t>
        </is>
      </c>
      <c r="L9152" t="inlineStr">
        <is>
          <t>7:30:35</t>
        </is>
      </c>
      <c r="M9152" t="inlineStr">
        <is>
          <t>7:30:55</t>
        </is>
      </c>
      <c r="P9152" t="inlineStr">
        <is>
          <t>G系統(朝)</t>
        </is>
      </c>
    </row>
    <row r="9153" ht="16.5" customHeight="1" s="37">
      <c r="A9153" t="n">
        <v>6</v>
      </c>
      <c r="B9153" s="10" t="inlineStr">
        <is>
          <t>平日</t>
        </is>
      </c>
      <c r="C9153" s="10" t="inlineStr">
        <is>
          <t>本線</t>
        </is>
      </c>
      <c r="D9153" s="10" t="inlineStr">
        <is>
          <t>上り</t>
        </is>
      </c>
      <c r="E9153" s="10" t="inlineStr">
        <is>
          <t>連0708</t>
        </is>
      </c>
      <c r="F9153" t="inlineStr">
        <is>
          <t>2221</t>
        </is>
      </c>
      <c r="G9153" s="10" t="inlineStr">
        <is>
          <t>帷子ノ辻</t>
        </is>
      </c>
      <c r="H9153" s="10" t="inlineStr">
        <is>
          <t>発</t>
        </is>
      </c>
      <c r="J9153" s="10" t="inlineStr">
        <is>
          <t>営業</t>
        </is>
      </c>
      <c r="L9153" t="inlineStr">
        <is>
          <t>7:32:10</t>
        </is>
      </c>
      <c r="M9153" t="inlineStr">
        <is>
          <t>7:33:15</t>
        </is>
      </c>
      <c r="P9153" t="inlineStr">
        <is>
          <t>G系統(朝)</t>
        </is>
      </c>
    </row>
    <row r="9154" ht="16.5" customHeight="1" s="37">
      <c r="A9154" t="n">
        <v>6</v>
      </c>
      <c r="B9154" s="10" t="inlineStr">
        <is>
          <t>平日</t>
        </is>
      </c>
      <c r="C9154" s="10" t="inlineStr">
        <is>
          <t>本線</t>
        </is>
      </c>
      <c r="D9154" s="10" t="inlineStr">
        <is>
          <t>上り</t>
        </is>
      </c>
      <c r="E9154" s="10" t="inlineStr">
        <is>
          <t>連0708</t>
        </is>
      </c>
      <c r="F9154" t="inlineStr">
        <is>
          <t>2221</t>
        </is>
      </c>
      <c r="G9154" s="10" t="inlineStr">
        <is>
          <t>太秦広隆寺</t>
        </is>
      </c>
      <c r="H9154" s="10" t="inlineStr">
        <is>
          <t>発</t>
        </is>
      </c>
      <c r="J9154" s="10" t="inlineStr">
        <is>
          <t>営業</t>
        </is>
      </c>
      <c r="L9154" t="inlineStr">
        <is>
          <t>7:35:25</t>
        </is>
      </c>
      <c r="M9154" t="inlineStr">
        <is>
          <t>7:35:45</t>
        </is>
      </c>
      <c r="P9154" t="inlineStr">
        <is>
          <t>G系統(朝)</t>
        </is>
      </c>
    </row>
    <row r="9155" ht="16.5" customHeight="1" s="37">
      <c r="A9155" t="n">
        <v>6</v>
      </c>
      <c r="B9155" s="10" t="inlineStr">
        <is>
          <t>平日</t>
        </is>
      </c>
      <c r="C9155" s="10" t="inlineStr">
        <is>
          <t>本線</t>
        </is>
      </c>
      <c r="D9155" s="10" t="inlineStr">
        <is>
          <t>上り</t>
        </is>
      </c>
      <c r="E9155" s="10" t="inlineStr">
        <is>
          <t>連0708</t>
        </is>
      </c>
      <c r="F9155" t="inlineStr">
        <is>
          <t>2221</t>
        </is>
      </c>
      <c r="G9155" s="10" t="inlineStr">
        <is>
          <t>蚕ノ社</t>
        </is>
      </c>
      <c r="H9155" s="10" t="inlineStr">
        <is>
          <t>発</t>
        </is>
      </c>
      <c r="J9155" s="10" t="inlineStr">
        <is>
          <t>営業</t>
        </is>
      </c>
      <c r="L9155" t="inlineStr">
        <is>
          <t>7:37:00</t>
        </is>
      </c>
      <c r="M9155" t="inlineStr">
        <is>
          <t>7:37:20</t>
        </is>
      </c>
      <c r="P9155" t="inlineStr">
        <is>
          <t>G系統(朝)</t>
        </is>
      </c>
    </row>
    <row r="9156" ht="16.5" customHeight="1" s="37">
      <c r="A9156" t="n">
        <v>6</v>
      </c>
      <c r="B9156" s="10" t="inlineStr">
        <is>
          <t>平日</t>
        </is>
      </c>
      <c r="C9156" s="10" t="inlineStr">
        <is>
          <t>本線</t>
        </is>
      </c>
      <c r="D9156" s="10" t="inlineStr">
        <is>
          <t>上り</t>
        </is>
      </c>
      <c r="E9156" s="10" t="inlineStr">
        <is>
          <t>連0708</t>
        </is>
      </c>
      <c r="F9156" t="inlineStr">
        <is>
          <t>2221</t>
        </is>
      </c>
      <c r="G9156" s="10" t="inlineStr">
        <is>
          <t>天神川</t>
        </is>
      </c>
      <c r="H9156" s="10" t="inlineStr">
        <is>
          <t>発</t>
        </is>
      </c>
      <c r="J9156" s="10" t="inlineStr">
        <is>
          <t>営業</t>
        </is>
      </c>
      <c r="L9156" t="inlineStr">
        <is>
          <t>7:38:05</t>
        </is>
      </c>
      <c r="M9156" t="inlineStr">
        <is>
          <t>7:38:50</t>
        </is>
      </c>
      <c r="P9156" t="inlineStr">
        <is>
          <t>G系統(朝)</t>
        </is>
      </c>
    </row>
    <row r="9157" ht="16.5" customHeight="1" s="37">
      <c r="A9157" t="n">
        <v>6</v>
      </c>
      <c r="B9157" s="10" t="inlineStr">
        <is>
          <t>平日</t>
        </is>
      </c>
      <c r="C9157" s="10" t="inlineStr">
        <is>
          <t>本線</t>
        </is>
      </c>
      <c r="D9157" s="10" t="inlineStr">
        <is>
          <t>上り</t>
        </is>
      </c>
      <c r="E9157" s="10" t="inlineStr">
        <is>
          <t>連0708</t>
        </is>
      </c>
      <c r="F9157" t="inlineStr">
        <is>
          <t>2221</t>
        </is>
      </c>
      <c r="G9157" s="10" t="inlineStr">
        <is>
          <t>山ノ内</t>
        </is>
      </c>
      <c r="H9157" s="10" t="inlineStr">
        <is>
          <t>発</t>
        </is>
      </c>
      <c r="J9157" s="10" t="inlineStr">
        <is>
          <t>営業</t>
        </is>
      </c>
      <c r="L9157" t="inlineStr">
        <is>
          <t>7:40:40</t>
        </is>
      </c>
      <c r="M9157" t="inlineStr">
        <is>
          <t>7:41:05</t>
        </is>
      </c>
      <c r="P9157" t="inlineStr">
        <is>
          <t>G系統(朝)</t>
        </is>
      </c>
    </row>
    <row r="9158" ht="16.5" customHeight="1" s="37">
      <c r="A9158" t="n">
        <v>6</v>
      </c>
      <c r="B9158" s="10" t="inlineStr">
        <is>
          <t>平日</t>
        </is>
      </c>
      <c r="C9158" s="10" t="inlineStr">
        <is>
          <t>本線</t>
        </is>
      </c>
      <c r="D9158" s="10" t="inlineStr">
        <is>
          <t>上り</t>
        </is>
      </c>
      <c r="E9158" s="10" t="inlineStr">
        <is>
          <t>連0708</t>
        </is>
      </c>
      <c r="F9158" t="inlineStr">
        <is>
          <t>2221</t>
        </is>
      </c>
      <c r="G9158" s="10" t="inlineStr">
        <is>
          <t>西大路三条</t>
        </is>
      </c>
      <c r="H9158" s="10" t="inlineStr">
        <is>
          <t>発</t>
        </is>
      </c>
      <c r="J9158" s="10" t="inlineStr">
        <is>
          <t>営業</t>
        </is>
      </c>
      <c r="L9158" t="inlineStr">
        <is>
          <t>7:42:55</t>
        </is>
      </c>
      <c r="M9158" t="inlineStr">
        <is>
          <t>7:43:15</t>
        </is>
      </c>
      <c r="P9158" t="inlineStr">
        <is>
          <t>G系統(朝)</t>
        </is>
      </c>
    </row>
    <row r="9159" ht="16.5" customHeight="1" s="37">
      <c r="A9159" t="n">
        <v>6</v>
      </c>
      <c r="B9159" s="10" t="inlineStr">
        <is>
          <t>平日</t>
        </is>
      </c>
      <c r="C9159" s="10" t="inlineStr">
        <is>
          <t>本線</t>
        </is>
      </c>
      <c r="D9159" s="10" t="inlineStr">
        <is>
          <t>上り</t>
        </is>
      </c>
      <c r="E9159" s="10" t="inlineStr">
        <is>
          <t>連0708</t>
        </is>
      </c>
      <c r="F9159" t="inlineStr">
        <is>
          <t>2221</t>
        </is>
      </c>
      <c r="G9159" s="10" t="inlineStr">
        <is>
          <t>西院</t>
        </is>
      </c>
      <c r="H9159" s="10" t="inlineStr">
        <is>
          <t>発</t>
        </is>
      </c>
      <c r="J9159" s="10" t="inlineStr">
        <is>
          <t>営業</t>
        </is>
      </c>
      <c r="L9159" t="inlineStr">
        <is>
          <t>7:45:10</t>
        </is>
      </c>
      <c r="M9159" t="inlineStr">
        <is>
          <t>7:46:05</t>
        </is>
      </c>
      <c r="P9159" t="inlineStr">
        <is>
          <t>G系統(朝)</t>
        </is>
      </c>
    </row>
    <row r="9160" ht="16.5" customHeight="1" s="37">
      <c r="A9160" t="n">
        <v>6</v>
      </c>
      <c r="B9160" s="10" t="inlineStr">
        <is>
          <t>平日</t>
        </is>
      </c>
      <c r="C9160" s="10" t="inlineStr">
        <is>
          <t>本線</t>
        </is>
      </c>
      <c r="D9160" s="10" t="inlineStr">
        <is>
          <t>上り</t>
        </is>
      </c>
      <c r="E9160" s="10" t="inlineStr">
        <is>
          <t>連0708</t>
        </is>
      </c>
      <c r="F9160" t="inlineStr">
        <is>
          <t>2221</t>
        </is>
      </c>
      <c r="G9160" s="10" t="inlineStr">
        <is>
          <t>四条大宮</t>
        </is>
      </c>
      <c r="H9160" s="10" t="inlineStr">
        <is>
          <t>着</t>
        </is>
      </c>
      <c r="J9160" s="10" t="inlineStr">
        <is>
          <t>営業</t>
        </is>
      </c>
      <c r="L9160" t="inlineStr">
        <is>
          <t>7:49:00</t>
        </is>
      </c>
      <c r="P9160" t="inlineStr">
        <is>
          <t>G系統(朝)</t>
        </is>
      </c>
      <c r="Q9160" t="inlineStr">
        <is>
          <t>1</t>
        </is>
      </c>
    </row>
    <row r="9161" ht="16.5" customHeight="1" s="37">
      <c r="A9161" t="n">
        <v>6</v>
      </c>
      <c r="B9161" s="10" t="inlineStr">
        <is>
          <t>平日</t>
        </is>
      </c>
      <c r="C9161" s="10" t="inlineStr">
        <is>
          <t>本線</t>
        </is>
      </c>
      <c r="D9161" s="10" t="inlineStr">
        <is>
          <t>下り</t>
        </is>
      </c>
      <c r="E9161" s="10" t="inlineStr">
        <is>
          <t>連0715</t>
        </is>
      </c>
      <c r="F9161" t="inlineStr">
        <is>
          <t>0122</t>
        </is>
      </c>
      <c r="G9161" s="10" t="inlineStr">
        <is>
          <t>四条大宮</t>
        </is>
      </c>
      <c r="H9161" s="10" t="inlineStr">
        <is>
          <t>発</t>
        </is>
      </c>
      <c r="J9161" s="10" t="inlineStr">
        <is>
          <t>営業</t>
        </is>
      </c>
      <c r="M9161" t="inlineStr">
        <is>
          <t>7:56:00</t>
        </is>
      </c>
      <c r="P9161" t="inlineStr">
        <is>
          <t>G系統(朝)</t>
        </is>
      </c>
      <c r="Q9161" t="inlineStr">
        <is>
          <t>1</t>
        </is>
      </c>
    </row>
    <row r="9162" ht="16.5" customHeight="1" s="37">
      <c r="A9162" t="n">
        <v>6</v>
      </c>
      <c r="B9162" s="10" t="inlineStr">
        <is>
          <t>平日</t>
        </is>
      </c>
      <c r="C9162" s="10" t="inlineStr">
        <is>
          <t>本線</t>
        </is>
      </c>
      <c r="D9162" s="10" t="inlineStr">
        <is>
          <t>下り</t>
        </is>
      </c>
      <c r="E9162" s="10" t="inlineStr">
        <is>
          <t>連0715</t>
        </is>
      </c>
      <c r="F9162" t="inlineStr">
        <is>
          <t>0122</t>
        </is>
      </c>
      <c r="G9162" s="10" t="inlineStr">
        <is>
          <t>西院</t>
        </is>
      </c>
      <c r="H9162" s="10" t="inlineStr">
        <is>
          <t>発</t>
        </is>
      </c>
      <c r="J9162" s="10" t="inlineStr">
        <is>
          <t>営業</t>
        </is>
      </c>
      <c r="L9162" t="inlineStr">
        <is>
          <t>7:58:50</t>
        </is>
      </c>
      <c r="M9162" t="inlineStr">
        <is>
          <t>7:59:20</t>
        </is>
      </c>
      <c r="P9162" t="inlineStr">
        <is>
          <t>G系統(朝)</t>
        </is>
      </c>
    </row>
    <row r="9163" ht="16.5" customHeight="1" s="37">
      <c r="A9163" t="n">
        <v>6</v>
      </c>
      <c r="B9163" s="10" t="inlineStr">
        <is>
          <t>平日</t>
        </is>
      </c>
      <c r="C9163" s="10" t="inlineStr">
        <is>
          <t>本線</t>
        </is>
      </c>
      <c r="D9163" s="10" t="inlineStr">
        <is>
          <t>下り</t>
        </is>
      </c>
      <c r="E9163" s="10" t="inlineStr">
        <is>
          <t>連0715</t>
        </is>
      </c>
      <c r="F9163" t="inlineStr">
        <is>
          <t>0122</t>
        </is>
      </c>
      <c r="G9163" s="10" t="inlineStr">
        <is>
          <t>西大路三条</t>
        </is>
      </c>
      <c r="H9163" s="10" t="inlineStr">
        <is>
          <t>発</t>
        </is>
      </c>
      <c r="J9163" s="10" t="inlineStr">
        <is>
          <t>営業</t>
        </is>
      </c>
      <c r="L9163" t="inlineStr">
        <is>
          <t>8:01:10</t>
        </is>
      </c>
      <c r="M9163" t="inlineStr">
        <is>
          <t>8:01:30</t>
        </is>
      </c>
      <c r="P9163" t="inlineStr">
        <is>
          <t>G系統(朝)</t>
        </is>
      </c>
    </row>
    <row r="9164" ht="16.5" customHeight="1" s="37">
      <c r="A9164" t="n">
        <v>6</v>
      </c>
      <c r="B9164" s="10" t="inlineStr">
        <is>
          <t>平日</t>
        </is>
      </c>
      <c r="C9164" s="10" t="inlineStr">
        <is>
          <t>本線</t>
        </is>
      </c>
      <c r="D9164" s="10" t="inlineStr">
        <is>
          <t>下り</t>
        </is>
      </c>
      <c r="E9164" s="10" t="inlineStr">
        <is>
          <t>連0715</t>
        </is>
      </c>
      <c r="F9164" t="inlineStr">
        <is>
          <t>0122</t>
        </is>
      </c>
      <c r="G9164" s="10" t="inlineStr">
        <is>
          <t>山ノ内</t>
        </is>
      </c>
      <c r="H9164" s="10" t="inlineStr">
        <is>
          <t>発</t>
        </is>
      </c>
      <c r="J9164" s="10" t="inlineStr">
        <is>
          <t>営業</t>
        </is>
      </c>
      <c r="L9164" t="inlineStr">
        <is>
          <t>8:03:25</t>
        </is>
      </c>
      <c r="M9164" t="inlineStr">
        <is>
          <t>8:03:50</t>
        </is>
      </c>
      <c r="P9164" t="inlineStr">
        <is>
          <t>G系統(朝)</t>
        </is>
      </c>
    </row>
    <row r="9165" ht="16.5" customHeight="1" s="37">
      <c r="A9165" t="n">
        <v>6</v>
      </c>
      <c r="B9165" s="10" t="inlineStr">
        <is>
          <t>平日</t>
        </is>
      </c>
      <c r="C9165" s="10" t="inlineStr">
        <is>
          <t>本線</t>
        </is>
      </c>
      <c r="D9165" s="10" t="inlineStr">
        <is>
          <t>下り</t>
        </is>
      </c>
      <c r="E9165" s="10" t="inlineStr">
        <is>
          <t>連0715</t>
        </is>
      </c>
      <c r="F9165" t="inlineStr">
        <is>
          <t>0122</t>
        </is>
      </c>
      <c r="G9165" s="10" t="inlineStr">
        <is>
          <t>天神川</t>
        </is>
      </c>
      <c r="H9165" s="10" t="inlineStr">
        <is>
          <t>発</t>
        </is>
      </c>
      <c r="J9165" s="10" t="inlineStr">
        <is>
          <t>営業</t>
        </is>
      </c>
      <c r="L9165" t="inlineStr">
        <is>
          <t>8:05:50</t>
        </is>
      </c>
      <c r="M9165" t="inlineStr">
        <is>
          <t>8:06:30</t>
        </is>
      </c>
      <c r="P9165" t="inlineStr">
        <is>
          <t>G系統(朝)</t>
        </is>
      </c>
    </row>
    <row r="9166" ht="16.5" customHeight="1" s="37">
      <c r="A9166" t="n">
        <v>6</v>
      </c>
      <c r="B9166" s="10" t="inlineStr">
        <is>
          <t>平日</t>
        </is>
      </c>
      <c r="C9166" s="10" t="inlineStr">
        <is>
          <t>本線</t>
        </is>
      </c>
      <c r="D9166" s="10" t="inlineStr">
        <is>
          <t>下り</t>
        </is>
      </c>
      <c r="E9166" s="10" t="inlineStr">
        <is>
          <t>連0715</t>
        </is>
      </c>
      <c r="F9166" t="inlineStr">
        <is>
          <t>0122</t>
        </is>
      </c>
      <c r="G9166" s="10" t="inlineStr">
        <is>
          <t>蚕ノ社</t>
        </is>
      </c>
      <c r="H9166" s="10" t="inlineStr">
        <is>
          <t>発</t>
        </is>
      </c>
      <c r="J9166" s="10" t="inlineStr">
        <is>
          <t>営業</t>
        </is>
      </c>
      <c r="L9166" t="inlineStr">
        <is>
          <t>8:07:20</t>
        </is>
      </c>
      <c r="M9166" t="inlineStr">
        <is>
          <t>8:07:40</t>
        </is>
      </c>
      <c r="P9166" t="inlineStr">
        <is>
          <t>G系統(朝)</t>
        </is>
      </c>
    </row>
    <row r="9167" ht="16.5" customHeight="1" s="37">
      <c r="A9167" t="n">
        <v>6</v>
      </c>
      <c r="B9167" s="10" t="inlineStr">
        <is>
          <t>平日</t>
        </is>
      </c>
      <c r="C9167" s="10" t="inlineStr">
        <is>
          <t>本線</t>
        </is>
      </c>
      <c r="D9167" s="10" t="inlineStr">
        <is>
          <t>下り</t>
        </is>
      </c>
      <c r="E9167" s="10" t="inlineStr">
        <is>
          <t>連0715</t>
        </is>
      </c>
      <c r="F9167" t="inlineStr">
        <is>
          <t>0122</t>
        </is>
      </c>
      <c r="G9167" s="10" t="inlineStr">
        <is>
          <t>太秦広隆寺</t>
        </is>
      </c>
      <c r="H9167" s="10" t="inlineStr">
        <is>
          <t>発</t>
        </is>
      </c>
      <c r="J9167" s="10" t="inlineStr">
        <is>
          <t>営業</t>
        </is>
      </c>
      <c r="L9167" t="inlineStr">
        <is>
          <t>8:09:00</t>
        </is>
      </c>
      <c r="M9167" t="inlineStr">
        <is>
          <t>8:09:20</t>
        </is>
      </c>
      <c r="P9167" t="inlineStr">
        <is>
          <t>G系統(朝)</t>
        </is>
      </c>
    </row>
    <row r="9168" ht="16.5" customHeight="1" s="37">
      <c r="A9168" t="n">
        <v>6</v>
      </c>
      <c r="B9168" s="10" t="inlineStr">
        <is>
          <t>平日</t>
        </is>
      </c>
      <c r="C9168" s="10" t="inlineStr">
        <is>
          <t>本線</t>
        </is>
      </c>
      <c r="D9168" s="10" t="inlineStr">
        <is>
          <t>下り</t>
        </is>
      </c>
      <c r="E9168" s="10" t="inlineStr">
        <is>
          <t>連0715</t>
        </is>
      </c>
      <c r="F9168" t="inlineStr">
        <is>
          <t>0122</t>
        </is>
      </c>
      <c r="G9168" s="10" t="inlineStr">
        <is>
          <t>帷子ノ辻</t>
        </is>
      </c>
      <c r="H9168" s="10" t="inlineStr">
        <is>
          <t>発</t>
        </is>
      </c>
      <c r="J9168" s="10" t="inlineStr">
        <is>
          <t>営業</t>
        </is>
      </c>
      <c r="L9168" t="inlineStr">
        <is>
          <t>8:11:20</t>
        </is>
      </c>
      <c r="M9168" t="inlineStr">
        <is>
          <t>8:12:40</t>
        </is>
      </c>
      <c r="P9168" t="inlineStr">
        <is>
          <t>G系統(朝)</t>
        </is>
      </c>
    </row>
    <row r="9169" ht="16.5" customHeight="1" s="37">
      <c r="A9169" t="n">
        <v>6</v>
      </c>
      <c r="B9169" s="10" t="inlineStr">
        <is>
          <t>平日</t>
        </is>
      </c>
      <c r="C9169" s="10" t="inlineStr">
        <is>
          <t>本線</t>
        </is>
      </c>
      <c r="D9169" s="10" t="inlineStr">
        <is>
          <t>下り</t>
        </is>
      </c>
      <c r="E9169" s="10" t="inlineStr">
        <is>
          <t>連0715</t>
        </is>
      </c>
      <c r="F9169" t="inlineStr">
        <is>
          <t>0122</t>
        </is>
      </c>
      <c r="G9169" s="10" t="inlineStr">
        <is>
          <t>有栖川</t>
        </is>
      </c>
      <c r="H9169" s="10" t="inlineStr">
        <is>
          <t>発</t>
        </is>
      </c>
      <c r="J9169" s="10" t="inlineStr">
        <is>
          <t>営業</t>
        </is>
      </c>
      <c r="L9169" t="inlineStr">
        <is>
          <t>8:13:50</t>
        </is>
      </c>
      <c r="M9169" t="inlineStr">
        <is>
          <t>8:14:15</t>
        </is>
      </c>
      <c r="P9169" t="inlineStr">
        <is>
          <t>G系統(朝)</t>
        </is>
      </c>
    </row>
    <row r="9170" ht="16.5" customHeight="1" s="37">
      <c r="A9170" t="n">
        <v>6</v>
      </c>
      <c r="B9170" s="10" t="inlineStr">
        <is>
          <t>平日</t>
        </is>
      </c>
      <c r="C9170" s="10" t="inlineStr">
        <is>
          <t>本線</t>
        </is>
      </c>
      <c r="D9170" s="10" t="inlineStr">
        <is>
          <t>下り</t>
        </is>
      </c>
      <c r="E9170" s="10" t="inlineStr">
        <is>
          <t>連0715</t>
        </is>
      </c>
      <c r="F9170" t="inlineStr">
        <is>
          <t>0122</t>
        </is>
      </c>
      <c r="G9170" s="10" t="inlineStr">
        <is>
          <t>車折</t>
        </is>
      </c>
      <c r="H9170" s="10" t="inlineStr">
        <is>
          <t>発</t>
        </is>
      </c>
      <c r="J9170" s="10" t="inlineStr">
        <is>
          <t>営業</t>
        </is>
      </c>
      <c r="L9170" t="inlineStr">
        <is>
          <t>8:15:40</t>
        </is>
      </c>
      <c r="M9170" t="inlineStr">
        <is>
          <t>8:16:05</t>
        </is>
      </c>
      <c r="P9170" t="inlineStr">
        <is>
          <t>G系統(朝)</t>
        </is>
      </c>
    </row>
    <row r="9171" ht="16.5" customHeight="1" s="37">
      <c r="A9171" t="n">
        <v>6</v>
      </c>
      <c r="B9171" s="10" t="inlineStr">
        <is>
          <t>平日</t>
        </is>
      </c>
      <c r="C9171" s="10" t="inlineStr">
        <is>
          <t>本線</t>
        </is>
      </c>
      <c r="D9171" s="10" t="inlineStr">
        <is>
          <t>下り</t>
        </is>
      </c>
      <c r="E9171" s="10" t="inlineStr">
        <is>
          <t>連0715</t>
        </is>
      </c>
      <c r="F9171" t="inlineStr">
        <is>
          <t>0122</t>
        </is>
      </c>
      <c r="G9171" s="10" t="inlineStr">
        <is>
          <t>鹿王院</t>
        </is>
      </c>
      <c r="H9171" s="10" t="inlineStr">
        <is>
          <t>発</t>
        </is>
      </c>
      <c r="J9171" s="10" t="inlineStr">
        <is>
          <t>営業</t>
        </is>
      </c>
      <c r="L9171" t="inlineStr">
        <is>
          <t>8:17:00</t>
        </is>
      </c>
      <c r="M9171" t="inlineStr">
        <is>
          <t>8:17:25</t>
        </is>
      </c>
      <c r="P9171" t="inlineStr">
        <is>
          <t>G系統(朝)</t>
        </is>
      </c>
    </row>
    <row r="9172" ht="16.5" customHeight="1" s="37">
      <c r="A9172" t="n">
        <v>6</v>
      </c>
      <c r="B9172" s="10" t="inlineStr">
        <is>
          <t>平日</t>
        </is>
      </c>
      <c r="C9172" s="10" t="inlineStr">
        <is>
          <t>本線</t>
        </is>
      </c>
      <c r="D9172" s="10" t="inlineStr">
        <is>
          <t>下り</t>
        </is>
      </c>
      <c r="E9172" s="10" t="inlineStr">
        <is>
          <t>連0715</t>
        </is>
      </c>
      <c r="F9172" t="inlineStr">
        <is>
          <t>0122</t>
        </is>
      </c>
      <c r="G9172" s="10" t="inlineStr">
        <is>
          <t>嵯峨</t>
        </is>
      </c>
      <c r="H9172" s="10" t="inlineStr">
        <is>
          <t>発</t>
        </is>
      </c>
      <c r="J9172" s="10" t="inlineStr">
        <is>
          <t>営業</t>
        </is>
      </c>
      <c r="L9172" t="inlineStr">
        <is>
          <t>8:18:30</t>
        </is>
      </c>
      <c r="M9172" t="inlineStr">
        <is>
          <t>8:18:55</t>
        </is>
      </c>
      <c r="P9172" t="inlineStr">
        <is>
          <t>G系統(朝)</t>
        </is>
      </c>
    </row>
    <row r="9173" ht="16.5" customHeight="1" s="37">
      <c r="A9173" t="n">
        <v>6</v>
      </c>
      <c r="B9173" s="10" t="inlineStr">
        <is>
          <t>平日</t>
        </is>
      </c>
      <c r="C9173" s="10" t="inlineStr">
        <is>
          <t>本線</t>
        </is>
      </c>
      <c r="D9173" s="10" t="inlineStr">
        <is>
          <t>下り</t>
        </is>
      </c>
      <c r="E9173" s="10" t="inlineStr">
        <is>
          <t>連0715</t>
        </is>
      </c>
      <c r="F9173" t="inlineStr">
        <is>
          <t>0122</t>
        </is>
      </c>
      <c r="G9173" s="10" t="inlineStr">
        <is>
          <t>嵐山</t>
        </is>
      </c>
      <c r="H9173" s="10" t="inlineStr">
        <is>
          <t>着</t>
        </is>
      </c>
      <c r="J9173" s="10" t="inlineStr">
        <is>
          <t>営業</t>
        </is>
      </c>
      <c r="L9173" t="inlineStr">
        <is>
          <t>8:20:00</t>
        </is>
      </c>
      <c r="N9173" t="inlineStr">
        <is>
          <t>○</t>
        </is>
      </c>
      <c r="P9173" t="inlineStr">
        <is>
          <t>G系統(朝)</t>
        </is>
      </c>
      <c r="Q9173" t="inlineStr">
        <is>
          <t>2</t>
        </is>
      </c>
    </row>
    <row r="9174" ht="16.5" customHeight="1" s="37">
      <c r="A9174" t="n">
        <v>6</v>
      </c>
      <c r="B9174" s="10" t="inlineStr">
        <is>
          <t>平日</t>
        </is>
      </c>
      <c r="C9174" s="10" t="inlineStr">
        <is>
          <t>本線</t>
        </is>
      </c>
      <c r="D9174" s="10" t="inlineStr">
        <is>
          <t>上り</t>
        </is>
      </c>
      <c r="E9174" s="10" t="inlineStr">
        <is>
          <t>連0808</t>
        </is>
      </c>
      <c r="F9174" t="inlineStr">
        <is>
          <t>2221</t>
        </is>
      </c>
      <c r="G9174" s="10" t="inlineStr">
        <is>
          <t>嵐山</t>
        </is>
      </c>
      <c r="H9174" s="10" t="inlineStr">
        <is>
          <t>発</t>
        </is>
      </c>
      <c r="J9174" s="10" t="inlineStr">
        <is>
          <t>営業</t>
        </is>
      </c>
      <c r="M9174" t="inlineStr">
        <is>
          <t>8:29:00</t>
        </is>
      </c>
      <c r="P9174" t="inlineStr">
        <is>
          <t>G系統(朝)</t>
        </is>
      </c>
      <c r="Q9174" t="inlineStr">
        <is>
          <t>2</t>
        </is>
      </c>
    </row>
    <row r="9175" ht="16.5" customHeight="1" s="37">
      <c r="A9175" t="n">
        <v>6</v>
      </c>
      <c r="B9175" s="10" t="inlineStr">
        <is>
          <t>平日</t>
        </is>
      </c>
      <c r="C9175" s="10" t="inlineStr">
        <is>
          <t>本線</t>
        </is>
      </c>
      <c r="D9175" s="10" t="inlineStr">
        <is>
          <t>上り</t>
        </is>
      </c>
      <c r="E9175" s="10" t="inlineStr">
        <is>
          <t>連0808</t>
        </is>
      </c>
      <c r="F9175" t="inlineStr">
        <is>
          <t>2221</t>
        </is>
      </c>
      <c r="G9175" s="10" t="inlineStr">
        <is>
          <t>嵯峨</t>
        </is>
      </c>
      <c r="H9175" s="10" t="inlineStr">
        <is>
          <t>発</t>
        </is>
      </c>
      <c r="J9175" s="10" t="inlineStr">
        <is>
          <t>営業</t>
        </is>
      </c>
      <c r="L9175" t="inlineStr">
        <is>
          <t>8:29:55</t>
        </is>
      </c>
      <c r="M9175" t="inlineStr">
        <is>
          <t>8:30:20</t>
        </is>
      </c>
      <c r="P9175" t="inlineStr">
        <is>
          <t>G系統(朝)</t>
        </is>
      </c>
    </row>
    <row r="9176" ht="16.5" customHeight="1" s="37">
      <c r="A9176" t="n">
        <v>6</v>
      </c>
      <c r="B9176" s="10" t="inlineStr">
        <is>
          <t>平日</t>
        </is>
      </c>
      <c r="C9176" s="10" t="inlineStr">
        <is>
          <t>本線</t>
        </is>
      </c>
      <c r="D9176" s="10" t="inlineStr">
        <is>
          <t>上り</t>
        </is>
      </c>
      <c r="E9176" s="10" t="inlineStr">
        <is>
          <t>連0808</t>
        </is>
      </c>
      <c r="F9176" t="inlineStr">
        <is>
          <t>2221</t>
        </is>
      </c>
      <c r="G9176" s="10" t="inlineStr">
        <is>
          <t>鹿王院</t>
        </is>
      </c>
      <c r="H9176" s="10" t="inlineStr">
        <is>
          <t>発</t>
        </is>
      </c>
      <c r="J9176" s="10" t="inlineStr">
        <is>
          <t>営業</t>
        </is>
      </c>
      <c r="L9176" t="inlineStr">
        <is>
          <t>8:31:25</t>
        </is>
      </c>
      <c r="M9176" t="inlineStr">
        <is>
          <t>8:31:45</t>
        </is>
      </c>
      <c r="P9176" t="inlineStr">
        <is>
          <t>G系統(朝)</t>
        </is>
      </c>
    </row>
    <row r="9177" ht="16.5" customHeight="1" s="37">
      <c r="A9177" t="n">
        <v>6</v>
      </c>
      <c r="B9177" s="10" t="inlineStr">
        <is>
          <t>平日</t>
        </is>
      </c>
      <c r="C9177" s="10" t="inlineStr">
        <is>
          <t>本線</t>
        </is>
      </c>
      <c r="D9177" s="10" t="inlineStr">
        <is>
          <t>上り</t>
        </is>
      </c>
      <c r="E9177" s="10" t="inlineStr">
        <is>
          <t>連0808</t>
        </is>
      </c>
      <c r="F9177" t="inlineStr">
        <is>
          <t>2221</t>
        </is>
      </c>
      <c r="G9177" s="10" t="inlineStr">
        <is>
          <t>車折</t>
        </is>
      </c>
      <c r="H9177" s="10" t="inlineStr">
        <is>
          <t>発</t>
        </is>
      </c>
      <c r="J9177" s="10" t="inlineStr">
        <is>
          <t>営業</t>
        </is>
      </c>
      <c r="L9177" t="inlineStr">
        <is>
          <t>8:32:40</t>
        </is>
      </c>
      <c r="M9177" t="inlineStr">
        <is>
          <t>8:33:10</t>
        </is>
      </c>
      <c r="P9177" t="inlineStr">
        <is>
          <t>G系統(朝)</t>
        </is>
      </c>
    </row>
    <row r="9178" ht="16.5" customHeight="1" s="37">
      <c r="A9178" t="n">
        <v>6</v>
      </c>
      <c r="B9178" s="10" t="inlineStr">
        <is>
          <t>平日</t>
        </is>
      </c>
      <c r="C9178" s="10" t="inlineStr">
        <is>
          <t>本線</t>
        </is>
      </c>
      <c r="D9178" s="10" t="inlineStr">
        <is>
          <t>上り</t>
        </is>
      </c>
      <c r="E9178" s="10" t="inlineStr">
        <is>
          <t>連0808</t>
        </is>
      </c>
      <c r="F9178" t="inlineStr">
        <is>
          <t>2221</t>
        </is>
      </c>
      <c r="G9178" s="10" t="inlineStr">
        <is>
          <t>有栖川</t>
        </is>
      </c>
      <c r="H9178" s="10" t="inlineStr">
        <is>
          <t>発</t>
        </is>
      </c>
      <c r="J9178" s="10" t="inlineStr">
        <is>
          <t>営業</t>
        </is>
      </c>
      <c r="L9178" t="inlineStr">
        <is>
          <t>8:34:35</t>
        </is>
      </c>
      <c r="M9178" t="inlineStr">
        <is>
          <t>8:34:55</t>
        </is>
      </c>
      <c r="P9178" t="inlineStr">
        <is>
          <t>G系統(朝)</t>
        </is>
      </c>
    </row>
    <row r="9179" ht="16.5" customHeight="1" s="37">
      <c r="A9179" t="n">
        <v>6</v>
      </c>
      <c r="B9179" s="10" t="inlineStr">
        <is>
          <t>平日</t>
        </is>
      </c>
      <c r="C9179" s="10" t="inlineStr">
        <is>
          <t>本線</t>
        </is>
      </c>
      <c r="D9179" s="10" t="inlineStr">
        <is>
          <t>上り</t>
        </is>
      </c>
      <c r="E9179" s="10" t="inlineStr">
        <is>
          <t>連0808</t>
        </is>
      </c>
      <c r="F9179" t="inlineStr">
        <is>
          <t>2221</t>
        </is>
      </c>
      <c r="G9179" s="10" t="inlineStr">
        <is>
          <t>帷子ノ辻</t>
        </is>
      </c>
      <c r="H9179" s="10" t="inlineStr">
        <is>
          <t>発</t>
        </is>
      </c>
      <c r="J9179" s="10" t="inlineStr">
        <is>
          <t>営業</t>
        </is>
      </c>
      <c r="L9179" t="inlineStr">
        <is>
          <t>8:36:10</t>
        </is>
      </c>
      <c r="M9179" t="inlineStr">
        <is>
          <t>8:37:15</t>
        </is>
      </c>
      <c r="P9179" t="inlineStr">
        <is>
          <t>G系統(朝)</t>
        </is>
      </c>
    </row>
    <row r="9180" ht="16.5" customHeight="1" s="37">
      <c r="A9180" t="n">
        <v>6</v>
      </c>
      <c r="B9180" s="10" t="inlineStr">
        <is>
          <t>平日</t>
        </is>
      </c>
      <c r="C9180" s="10" t="inlineStr">
        <is>
          <t>本線</t>
        </is>
      </c>
      <c r="D9180" s="10" t="inlineStr">
        <is>
          <t>上り</t>
        </is>
      </c>
      <c r="E9180" s="10" t="inlineStr">
        <is>
          <t>連0808</t>
        </is>
      </c>
      <c r="F9180" t="inlineStr">
        <is>
          <t>2221</t>
        </is>
      </c>
      <c r="G9180" s="10" t="inlineStr">
        <is>
          <t>太秦広隆寺</t>
        </is>
      </c>
      <c r="H9180" s="10" t="inlineStr">
        <is>
          <t>発</t>
        </is>
      </c>
      <c r="J9180" s="10" t="inlineStr">
        <is>
          <t>営業</t>
        </is>
      </c>
      <c r="L9180" t="inlineStr">
        <is>
          <t>8:39:25</t>
        </is>
      </c>
      <c r="M9180" t="inlineStr">
        <is>
          <t>8:39:45</t>
        </is>
      </c>
      <c r="P9180" t="inlineStr">
        <is>
          <t>G系統(朝)</t>
        </is>
      </c>
    </row>
    <row r="9181" ht="16.5" customHeight="1" s="37">
      <c r="A9181" t="n">
        <v>6</v>
      </c>
      <c r="B9181" s="10" t="inlineStr">
        <is>
          <t>平日</t>
        </is>
      </c>
      <c r="C9181" s="10" t="inlineStr">
        <is>
          <t>本線</t>
        </is>
      </c>
      <c r="D9181" s="10" t="inlineStr">
        <is>
          <t>上り</t>
        </is>
      </c>
      <c r="E9181" s="10" t="inlineStr">
        <is>
          <t>連0808</t>
        </is>
      </c>
      <c r="F9181" t="inlineStr">
        <is>
          <t>2221</t>
        </is>
      </c>
      <c r="G9181" s="10" t="inlineStr">
        <is>
          <t>蚕ノ社</t>
        </is>
      </c>
      <c r="H9181" s="10" t="inlineStr">
        <is>
          <t>発</t>
        </is>
      </c>
      <c r="J9181" s="10" t="inlineStr">
        <is>
          <t>営業</t>
        </is>
      </c>
      <c r="L9181" t="inlineStr">
        <is>
          <t>8:41:00</t>
        </is>
      </c>
      <c r="M9181" t="inlineStr">
        <is>
          <t>8:41:20</t>
        </is>
      </c>
      <c r="P9181" t="inlineStr">
        <is>
          <t>G系統(朝)</t>
        </is>
      </c>
    </row>
    <row r="9182" ht="16.5" customHeight="1" s="37">
      <c r="A9182" t="n">
        <v>6</v>
      </c>
      <c r="B9182" s="10" t="inlineStr">
        <is>
          <t>平日</t>
        </is>
      </c>
      <c r="C9182" s="10" t="inlineStr">
        <is>
          <t>本線</t>
        </is>
      </c>
      <c r="D9182" s="10" t="inlineStr">
        <is>
          <t>上り</t>
        </is>
      </c>
      <c r="E9182" s="10" t="inlineStr">
        <is>
          <t>連0808</t>
        </is>
      </c>
      <c r="F9182" t="inlineStr">
        <is>
          <t>2221</t>
        </is>
      </c>
      <c r="G9182" s="10" t="inlineStr">
        <is>
          <t>天神川</t>
        </is>
      </c>
      <c r="H9182" s="10" t="inlineStr">
        <is>
          <t>発</t>
        </is>
      </c>
      <c r="J9182" s="10" t="inlineStr">
        <is>
          <t>営業</t>
        </is>
      </c>
      <c r="L9182" t="inlineStr">
        <is>
          <t>8:42:05</t>
        </is>
      </c>
      <c r="M9182" t="inlineStr">
        <is>
          <t>8:42:50</t>
        </is>
      </c>
      <c r="P9182" t="inlineStr">
        <is>
          <t>G系統(朝)</t>
        </is>
      </c>
    </row>
    <row r="9183" ht="16.5" customHeight="1" s="37">
      <c r="A9183" t="n">
        <v>6</v>
      </c>
      <c r="B9183" s="10" t="inlineStr">
        <is>
          <t>平日</t>
        </is>
      </c>
      <c r="C9183" s="10" t="inlineStr">
        <is>
          <t>本線</t>
        </is>
      </c>
      <c r="D9183" s="10" t="inlineStr">
        <is>
          <t>上り</t>
        </is>
      </c>
      <c r="E9183" s="10" t="inlineStr">
        <is>
          <t>連0808</t>
        </is>
      </c>
      <c r="F9183" t="inlineStr">
        <is>
          <t>2221</t>
        </is>
      </c>
      <c r="G9183" s="10" t="inlineStr">
        <is>
          <t>山ノ内</t>
        </is>
      </c>
      <c r="H9183" s="10" t="inlineStr">
        <is>
          <t>発</t>
        </is>
      </c>
      <c r="J9183" s="10" t="inlineStr">
        <is>
          <t>営業</t>
        </is>
      </c>
      <c r="L9183" t="inlineStr">
        <is>
          <t>8:44:40</t>
        </is>
      </c>
      <c r="M9183" t="inlineStr">
        <is>
          <t>8:45:05</t>
        </is>
      </c>
      <c r="P9183" t="inlineStr">
        <is>
          <t>G系統(朝)</t>
        </is>
      </c>
    </row>
    <row r="9184" ht="16.5" customHeight="1" s="37">
      <c r="A9184" t="n">
        <v>6</v>
      </c>
      <c r="B9184" s="10" t="inlineStr">
        <is>
          <t>平日</t>
        </is>
      </c>
      <c r="C9184" s="10" t="inlineStr">
        <is>
          <t>本線</t>
        </is>
      </c>
      <c r="D9184" s="10" t="inlineStr">
        <is>
          <t>上り</t>
        </is>
      </c>
      <c r="E9184" s="10" t="inlineStr">
        <is>
          <t>連0808</t>
        </is>
      </c>
      <c r="F9184" t="inlineStr">
        <is>
          <t>2221</t>
        </is>
      </c>
      <c r="G9184" s="10" t="inlineStr">
        <is>
          <t>西大路三条</t>
        </is>
      </c>
      <c r="H9184" s="10" t="inlineStr">
        <is>
          <t>発</t>
        </is>
      </c>
      <c r="J9184" s="10" t="inlineStr">
        <is>
          <t>営業</t>
        </is>
      </c>
      <c r="L9184" t="inlineStr">
        <is>
          <t>8:46:55</t>
        </is>
      </c>
      <c r="M9184" t="inlineStr">
        <is>
          <t>8:47:15</t>
        </is>
      </c>
      <c r="P9184" t="inlineStr">
        <is>
          <t>G系統(朝)</t>
        </is>
      </c>
    </row>
    <row r="9185" ht="16.5" customHeight="1" s="37">
      <c r="A9185" t="n">
        <v>6</v>
      </c>
      <c r="B9185" s="10" t="inlineStr">
        <is>
          <t>平日</t>
        </is>
      </c>
      <c r="C9185" s="10" t="inlineStr">
        <is>
          <t>本線</t>
        </is>
      </c>
      <c r="D9185" s="10" t="inlineStr">
        <is>
          <t>上り</t>
        </is>
      </c>
      <c r="E9185" s="10" t="inlineStr">
        <is>
          <t>連0808</t>
        </is>
      </c>
      <c r="F9185" t="inlineStr">
        <is>
          <t>2221</t>
        </is>
      </c>
      <c r="G9185" s="10" t="inlineStr">
        <is>
          <t>西院</t>
        </is>
      </c>
      <c r="H9185" s="10" t="inlineStr">
        <is>
          <t>発</t>
        </is>
      </c>
      <c r="J9185" s="10" t="inlineStr">
        <is>
          <t>営業</t>
        </is>
      </c>
      <c r="L9185" t="inlineStr">
        <is>
          <t>8:49:10</t>
        </is>
      </c>
      <c r="M9185" t="inlineStr">
        <is>
          <t>8:50:05</t>
        </is>
      </c>
      <c r="P9185" t="inlineStr">
        <is>
          <t>G系統(朝)</t>
        </is>
      </c>
    </row>
    <row r="9186" ht="16.5" customHeight="1" s="37">
      <c r="A9186" t="n">
        <v>6</v>
      </c>
      <c r="B9186" s="10" t="inlineStr">
        <is>
          <t>平日</t>
        </is>
      </c>
      <c r="C9186" s="10" t="inlineStr">
        <is>
          <t>本線</t>
        </is>
      </c>
      <c r="D9186" s="10" t="inlineStr">
        <is>
          <t>上り</t>
        </is>
      </c>
      <c r="E9186" s="10" t="inlineStr">
        <is>
          <t>連0808</t>
        </is>
      </c>
      <c r="F9186" t="inlineStr">
        <is>
          <t>2221</t>
        </is>
      </c>
      <c r="G9186" s="10" t="inlineStr">
        <is>
          <t>四条大宮</t>
        </is>
      </c>
      <c r="H9186" s="10" t="inlineStr">
        <is>
          <t>着</t>
        </is>
      </c>
      <c r="J9186" s="10" t="inlineStr">
        <is>
          <t>営業</t>
        </is>
      </c>
      <c r="L9186" t="inlineStr">
        <is>
          <t>8:53:00</t>
        </is>
      </c>
      <c r="P9186" t="inlineStr">
        <is>
          <t>G系統(朝)</t>
        </is>
      </c>
      <c r="Q9186" t="inlineStr">
        <is>
          <t>1</t>
        </is>
      </c>
    </row>
    <row r="9187" ht="16.5" customHeight="1" s="37">
      <c r="A9187" t="n">
        <v>6</v>
      </c>
      <c r="B9187" s="10" t="inlineStr">
        <is>
          <t>平日</t>
        </is>
      </c>
      <c r="C9187" s="10" t="inlineStr">
        <is>
          <t>本線</t>
        </is>
      </c>
      <c r="D9187" s="10" t="inlineStr">
        <is>
          <t>下り</t>
        </is>
      </c>
      <c r="E9187" s="10" t="inlineStr">
        <is>
          <t>連0901</t>
        </is>
      </c>
      <c r="F9187" t="inlineStr">
        <is>
          <t>0112</t>
        </is>
      </c>
      <c r="G9187" s="10" t="inlineStr">
        <is>
          <t>四条大宮</t>
        </is>
      </c>
      <c r="H9187" s="10" t="inlineStr">
        <is>
          <t>発</t>
        </is>
      </c>
      <c r="J9187" s="10" t="inlineStr">
        <is>
          <t>営業</t>
        </is>
      </c>
      <c r="M9187" t="inlineStr">
        <is>
          <t>9:02:00</t>
        </is>
      </c>
      <c r="P9187" t="inlineStr">
        <is>
          <t>G系統(朝)</t>
        </is>
      </c>
      <c r="Q9187" t="inlineStr">
        <is>
          <t>1</t>
        </is>
      </c>
    </row>
    <row r="9188" ht="16.5" customHeight="1" s="37">
      <c r="A9188" t="n">
        <v>6</v>
      </c>
      <c r="B9188" s="10" t="inlineStr">
        <is>
          <t>平日</t>
        </is>
      </c>
      <c r="C9188" s="10" t="inlineStr">
        <is>
          <t>本線</t>
        </is>
      </c>
      <c r="D9188" s="10" t="inlineStr">
        <is>
          <t>下り</t>
        </is>
      </c>
      <c r="E9188" s="10" t="inlineStr">
        <is>
          <t>連0901</t>
        </is>
      </c>
      <c r="F9188" t="inlineStr">
        <is>
          <t>0112</t>
        </is>
      </c>
      <c r="G9188" s="10" t="inlineStr">
        <is>
          <t>西院</t>
        </is>
      </c>
      <c r="H9188" s="10" t="inlineStr">
        <is>
          <t>着</t>
        </is>
      </c>
      <c r="J9188" s="10" t="inlineStr">
        <is>
          <t>営業</t>
        </is>
      </c>
      <c r="L9188" t="inlineStr">
        <is>
          <t>9:04:50</t>
        </is>
      </c>
      <c r="M9188" t="inlineStr">
        <is>
          <t>9:06:20</t>
        </is>
      </c>
      <c r="P9188" t="inlineStr">
        <is>
          <t>G系統(朝)</t>
        </is>
      </c>
    </row>
    <row r="9189" ht="16.5" customHeight="1" s="37">
      <c r="A9189" t="n">
        <v>6</v>
      </c>
      <c r="B9189" s="10" t="inlineStr">
        <is>
          <t>平日</t>
        </is>
      </c>
      <c r="C9189" s="10" t="inlineStr">
        <is>
          <t>本線</t>
        </is>
      </c>
      <c r="D9189" s="10" t="inlineStr">
        <is>
          <t>下り</t>
        </is>
      </c>
      <c r="E9189" s="10" t="inlineStr">
        <is>
          <t>連1509</t>
        </is>
      </c>
      <c r="F9189" t="inlineStr">
        <is>
          <t>0112</t>
        </is>
      </c>
      <c r="G9189" s="10" t="inlineStr">
        <is>
          <t>四条大宮</t>
        </is>
      </c>
      <c r="H9189" s="10" t="inlineStr">
        <is>
          <t>発</t>
        </is>
      </c>
      <c r="J9189" s="10" t="inlineStr">
        <is>
          <t>営業</t>
        </is>
      </c>
      <c r="M9189" t="inlineStr">
        <is>
          <t>15:43:00</t>
        </is>
      </c>
      <c r="P9189" t="inlineStr">
        <is>
          <t>E系統(日中)</t>
        </is>
      </c>
      <c r="Q9189" t="inlineStr">
        <is>
          <t>2</t>
        </is>
      </c>
    </row>
    <row r="9190" ht="16.5" customHeight="1" s="37">
      <c r="A9190" t="n">
        <v>6</v>
      </c>
      <c r="B9190" s="10" t="inlineStr">
        <is>
          <t>平日</t>
        </is>
      </c>
      <c r="C9190" s="10" t="inlineStr">
        <is>
          <t>本線</t>
        </is>
      </c>
      <c r="D9190" s="10" t="inlineStr">
        <is>
          <t>下り</t>
        </is>
      </c>
      <c r="E9190" s="10" t="inlineStr">
        <is>
          <t>連1509</t>
        </is>
      </c>
      <c r="F9190" t="inlineStr">
        <is>
          <t>0112</t>
        </is>
      </c>
      <c r="G9190" s="10" t="inlineStr">
        <is>
          <t>西院</t>
        </is>
      </c>
      <c r="H9190" s="10" t="inlineStr">
        <is>
          <t>着</t>
        </is>
      </c>
      <c r="J9190" s="10" t="inlineStr">
        <is>
          <t>営業</t>
        </is>
      </c>
      <c r="L9190" t="inlineStr">
        <is>
          <t>15:45:50</t>
        </is>
      </c>
      <c r="M9190" t="inlineStr">
        <is>
          <t>15:46:20</t>
        </is>
      </c>
      <c r="P9190" t="inlineStr">
        <is>
          <t>E系統(日中)</t>
        </is>
      </c>
      <c r="T9190" t="inlineStr">
        <is>
          <t>○</t>
        </is>
      </c>
    </row>
    <row r="9191" ht="16.5" customHeight="1" s="37">
      <c r="A9191" t="n">
        <v>7</v>
      </c>
      <c r="B9191" s="10" t="inlineStr">
        <is>
          <t>平日</t>
        </is>
      </c>
      <c r="C9191" s="10" t="inlineStr">
        <is>
          <t>本線</t>
        </is>
      </c>
      <c r="D9191" s="10" t="inlineStr">
        <is>
          <t>下り</t>
        </is>
      </c>
      <c r="E9191" t="inlineStr">
        <is>
          <t>0911</t>
        </is>
      </c>
      <c r="F9191" t="inlineStr">
        <is>
          <t>0112</t>
        </is>
      </c>
      <c r="G9191" s="10" t="inlineStr">
        <is>
          <t>西院</t>
        </is>
      </c>
      <c r="H9191" s="10" t="inlineStr">
        <is>
          <t>発</t>
        </is>
      </c>
      <c r="J9191" s="10" t="inlineStr">
        <is>
          <t>営業</t>
        </is>
      </c>
      <c r="L9191" t="inlineStr">
        <is>
          <t>9:54:50</t>
        </is>
      </c>
      <c r="M9191" t="inlineStr">
        <is>
          <t>9:56:20</t>
        </is>
      </c>
    </row>
    <row r="9192" ht="16.5" customHeight="1" s="37">
      <c r="A9192" t="n">
        <v>7</v>
      </c>
      <c r="B9192" s="10" t="inlineStr">
        <is>
          <t>平日</t>
        </is>
      </c>
      <c r="C9192" s="10" t="inlineStr">
        <is>
          <t>本線</t>
        </is>
      </c>
      <c r="D9192" s="10" t="inlineStr">
        <is>
          <t>下り</t>
        </is>
      </c>
      <c r="E9192" t="inlineStr">
        <is>
          <t>0911</t>
        </is>
      </c>
      <c r="F9192" t="inlineStr">
        <is>
          <t>0112</t>
        </is>
      </c>
      <c r="G9192" s="10" t="inlineStr">
        <is>
          <t>西大路三条</t>
        </is>
      </c>
      <c r="H9192" s="10" t="inlineStr">
        <is>
          <t>発</t>
        </is>
      </c>
      <c r="J9192" s="10" t="inlineStr">
        <is>
          <t>営業</t>
        </is>
      </c>
      <c r="L9192" t="inlineStr">
        <is>
          <t>9:58:10</t>
        </is>
      </c>
      <c r="M9192" t="inlineStr">
        <is>
          <t>9:58:30</t>
        </is>
      </c>
    </row>
    <row r="9193" ht="16.5" customHeight="1" s="37">
      <c r="A9193" t="n">
        <v>7</v>
      </c>
      <c r="B9193" s="10" t="inlineStr">
        <is>
          <t>平日</t>
        </is>
      </c>
      <c r="C9193" s="10" t="inlineStr">
        <is>
          <t>本線</t>
        </is>
      </c>
      <c r="D9193" s="10" t="inlineStr">
        <is>
          <t>下り</t>
        </is>
      </c>
      <c r="E9193" t="inlineStr">
        <is>
          <t>0911</t>
        </is>
      </c>
      <c r="F9193" t="inlineStr">
        <is>
          <t>0112</t>
        </is>
      </c>
      <c r="G9193" s="10" t="inlineStr">
        <is>
          <t>山ノ内</t>
        </is>
      </c>
      <c r="H9193" s="10" t="inlineStr">
        <is>
          <t>発</t>
        </is>
      </c>
      <c r="J9193" s="10" t="inlineStr">
        <is>
          <t>営業</t>
        </is>
      </c>
      <c r="L9193" t="inlineStr">
        <is>
          <t>10:00:25</t>
        </is>
      </c>
      <c r="M9193" t="inlineStr">
        <is>
          <t>10:00:50</t>
        </is>
      </c>
    </row>
    <row r="9194" ht="16.5" customHeight="1" s="37">
      <c r="A9194" t="n">
        <v>7</v>
      </c>
      <c r="B9194" s="10" t="inlineStr">
        <is>
          <t>平日</t>
        </is>
      </c>
      <c r="C9194" s="10" t="inlineStr">
        <is>
          <t>本線</t>
        </is>
      </c>
      <c r="D9194" s="10" t="inlineStr">
        <is>
          <t>下り</t>
        </is>
      </c>
      <c r="E9194" t="inlineStr">
        <is>
          <t>0911</t>
        </is>
      </c>
      <c r="F9194" t="inlineStr">
        <is>
          <t>0112</t>
        </is>
      </c>
      <c r="G9194" s="10" t="inlineStr">
        <is>
          <t>天神川</t>
        </is>
      </c>
      <c r="H9194" s="10" t="inlineStr">
        <is>
          <t>発</t>
        </is>
      </c>
      <c r="J9194" s="10" t="inlineStr">
        <is>
          <t>営業</t>
        </is>
      </c>
      <c r="L9194" t="inlineStr">
        <is>
          <t>10:02:50</t>
        </is>
      </c>
      <c r="M9194" t="inlineStr">
        <is>
          <t>10:03:30</t>
        </is>
      </c>
    </row>
    <row r="9195" ht="16.5" customHeight="1" s="37">
      <c r="A9195" t="n">
        <v>7</v>
      </c>
      <c r="B9195" s="10" t="inlineStr">
        <is>
          <t>平日</t>
        </is>
      </c>
      <c r="C9195" s="10" t="inlineStr">
        <is>
          <t>本線</t>
        </is>
      </c>
      <c r="D9195" s="10" t="inlineStr">
        <is>
          <t>下り</t>
        </is>
      </c>
      <c r="E9195" t="inlineStr">
        <is>
          <t>0911</t>
        </is>
      </c>
      <c r="F9195" t="inlineStr">
        <is>
          <t>0112</t>
        </is>
      </c>
      <c r="G9195" s="10" t="inlineStr">
        <is>
          <t>蚕ノ社</t>
        </is>
      </c>
      <c r="H9195" s="10" t="inlineStr">
        <is>
          <t>発</t>
        </is>
      </c>
      <c r="J9195" s="10" t="inlineStr">
        <is>
          <t>営業</t>
        </is>
      </c>
      <c r="L9195" t="inlineStr">
        <is>
          <t>10:04:20</t>
        </is>
      </c>
      <c r="M9195" t="inlineStr">
        <is>
          <t>10:04:40</t>
        </is>
      </c>
    </row>
    <row r="9196" ht="16.5" customHeight="1" s="37">
      <c r="A9196" t="n">
        <v>7</v>
      </c>
      <c r="B9196" s="10" t="inlineStr">
        <is>
          <t>平日</t>
        </is>
      </c>
      <c r="C9196" s="10" t="inlineStr">
        <is>
          <t>本線</t>
        </is>
      </c>
      <c r="D9196" s="10" t="inlineStr">
        <is>
          <t>下り</t>
        </is>
      </c>
      <c r="E9196" t="inlineStr">
        <is>
          <t>0911</t>
        </is>
      </c>
      <c r="F9196" t="inlineStr">
        <is>
          <t>0112</t>
        </is>
      </c>
      <c r="G9196" s="10" t="inlineStr">
        <is>
          <t>太秦広隆寺</t>
        </is>
      </c>
      <c r="H9196" s="10" t="inlineStr">
        <is>
          <t>発</t>
        </is>
      </c>
      <c r="J9196" s="10" t="inlineStr">
        <is>
          <t>営業</t>
        </is>
      </c>
      <c r="L9196" t="inlineStr">
        <is>
          <t>10:06:00</t>
        </is>
      </c>
      <c r="M9196" t="inlineStr">
        <is>
          <t>10:06:20</t>
        </is>
      </c>
    </row>
    <row r="9197" ht="16.5" customHeight="1" s="37">
      <c r="A9197" t="n">
        <v>7</v>
      </c>
      <c r="B9197" s="10" t="inlineStr">
        <is>
          <t>平日</t>
        </is>
      </c>
      <c r="C9197" s="10" t="inlineStr">
        <is>
          <t>本線</t>
        </is>
      </c>
      <c r="D9197" s="10" t="inlineStr">
        <is>
          <t>下り</t>
        </is>
      </c>
      <c r="E9197" t="inlineStr">
        <is>
          <t>0911</t>
        </is>
      </c>
      <c r="F9197" t="inlineStr">
        <is>
          <t>0112</t>
        </is>
      </c>
      <c r="G9197" s="10" t="inlineStr">
        <is>
          <t>帷子ノ辻</t>
        </is>
      </c>
      <c r="H9197" s="10" t="inlineStr">
        <is>
          <t>発</t>
        </is>
      </c>
      <c r="J9197" s="10" t="inlineStr">
        <is>
          <t>営業</t>
        </is>
      </c>
      <c r="L9197" t="inlineStr">
        <is>
          <t>10:08:20</t>
        </is>
      </c>
      <c r="M9197" t="inlineStr">
        <is>
          <t>10:09:40</t>
        </is>
      </c>
    </row>
    <row r="9198" ht="16.5" customHeight="1" s="37">
      <c r="A9198" t="n">
        <v>7</v>
      </c>
      <c r="B9198" s="10" t="inlineStr">
        <is>
          <t>平日</t>
        </is>
      </c>
      <c r="C9198" s="10" t="inlineStr">
        <is>
          <t>本線</t>
        </is>
      </c>
      <c r="D9198" s="10" t="inlineStr">
        <is>
          <t>下り</t>
        </is>
      </c>
      <c r="E9198" t="inlineStr">
        <is>
          <t>0911</t>
        </is>
      </c>
      <c r="F9198" t="inlineStr">
        <is>
          <t>0112</t>
        </is>
      </c>
      <c r="G9198" s="10" t="inlineStr">
        <is>
          <t>有栖川</t>
        </is>
      </c>
      <c r="H9198" s="10" t="inlineStr">
        <is>
          <t>発</t>
        </is>
      </c>
      <c r="J9198" s="10" t="inlineStr">
        <is>
          <t>営業</t>
        </is>
      </c>
      <c r="L9198" t="inlineStr">
        <is>
          <t>10:10:50</t>
        </is>
      </c>
      <c r="M9198" t="inlineStr">
        <is>
          <t>10:11:15</t>
        </is>
      </c>
    </row>
    <row r="9199" ht="16.5" customHeight="1" s="37">
      <c r="A9199" t="n">
        <v>7</v>
      </c>
      <c r="B9199" s="10" t="inlineStr">
        <is>
          <t>平日</t>
        </is>
      </c>
      <c r="C9199" s="10" t="inlineStr">
        <is>
          <t>本線</t>
        </is>
      </c>
      <c r="D9199" s="10" t="inlineStr">
        <is>
          <t>下り</t>
        </is>
      </c>
      <c r="E9199" t="inlineStr">
        <is>
          <t>0911</t>
        </is>
      </c>
      <c r="F9199" t="inlineStr">
        <is>
          <t>0112</t>
        </is>
      </c>
      <c r="G9199" s="10" t="inlineStr">
        <is>
          <t>車折</t>
        </is>
      </c>
      <c r="H9199" s="10" t="inlineStr">
        <is>
          <t>発</t>
        </is>
      </c>
      <c r="J9199" s="10" t="inlineStr">
        <is>
          <t>営業</t>
        </is>
      </c>
      <c r="L9199" t="inlineStr">
        <is>
          <t>10:12:40</t>
        </is>
      </c>
      <c r="M9199" t="inlineStr">
        <is>
          <t>10:13:05</t>
        </is>
      </c>
    </row>
    <row r="9200" ht="16.5" customHeight="1" s="37">
      <c r="A9200" t="n">
        <v>7</v>
      </c>
      <c r="B9200" s="10" t="inlineStr">
        <is>
          <t>平日</t>
        </is>
      </c>
      <c r="C9200" s="10" t="inlineStr">
        <is>
          <t>本線</t>
        </is>
      </c>
      <c r="D9200" s="10" t="inlineStr">
        <is>
          <t>下り</t>
        </is>
      </c>
      <c r="E9200" t="inlineStr">
        <is>
          <t>0911</t>
        </is>
      </c>
      <c r="F9200" t="inlineStr">
        <is>
          <t>0112</t>
        </is>
      </c>
      <c r="G9200" s="10" t="inlineStr">
        <is>
          <t>鹿王院</t>
        </is>
      </c>
      <c r="H9200" s="10" t="inlineStr">
        <is>
          <t>発</t>
        </is>
      </c>
      <c r="J9200" s="10" t="inlineStr">
        <is>
          <t>営業</t>
        </is>
      </c>
      <c r="L9200" t="inlineStr">
        <is>
          <t>10:14:00</t>
        </is>
      </c>
      <c r="M9200" t="inlineStr">
        <is>
          <t>10:14:25</t>
        </is>
      </c>
    </row>
    <row r="9201" ht="16.5" customHeight="1" s="37">
      <c r="A9201" t="n">
        <v>7</v>
      </c>
      <c r="B9201" s="10" t="inlineStr">
        <is>
          <t>平日</t>
        </is>
      </c>
      <c r="C9201" s="10" t="inlineStr">
        <is>
          <t>本線</t>
        </is>
      </c>
      <c r="D9201" s="10" t="inlineStr">
        <is>
          <t>下り</t>
        </is>
      </c>
      <c r="E9201" t="inlineStr">
        <is>
          <t>0911</t>
        </is>
      </c>
      <c r="F9201" t="inlineStr">
        <is>
          <t>0112</t>
        </is>
      </c>
      <c r="G9201" s="10" t="inlineStr">
        <is>
          <t>嵯峨</t>
        </is>
      </c>
      <c r="H9201" s="10" t="inlineStr">
        <is>
          <t>発</t>
        </is>
      </c>
      <c r="J9201" s="10" t="inlineStr">
        <is>
          <t>営業</t>
        </is>
      </c>
      <c r="L9201" t="inlineStr">
        <is>
          <t>10:15:30</t>
        </is>
      </c>
      <c r="M9201" t="inlineStr">
        <is>
          <t>10:15:55</t>
        </is>
      </c>
    </row>
    <row r="9202" ht="16.5" customHeight="1" s="37">
      <c r="A9202" t="n">
        <v>7</v>
      </c>
      <c r="B9202" s="10" t="inlineStr">
        <is>
          <t>平日</t>
        </is>
      </c>
      <c r="C9202" s="10" t="inlineStr">
        <is>
          <t>本線</t>
        </is>
      </c>
      <c r="D9202" s="10" t="inlineStr">
        <is>
          <t>下り</t>
        </is>
      </c>
      <c r="E9202" t="inlineStr">
        <is>
          <t>0911</t>
        </is>
      </c>
      <c r="F9202" t="inlineStr">
        <is>
          <t>0112</t>
        </is>
      </c>
      <c r="G9202" s="10" t="inlineStr">
        <is>
          <t>嵐山</t>
        </is>
      </c>
      <c r="H9202" s="10" t="inlineStr">
        <is>
          <t>着</t>
        </is>
      </c>
      <c r="J9202" s="10" t="inlineStr">
        <is>
          <t>営業</t>
        </is>
      </c>
      <c r="L9202" t="inlineStr">
        <is>
          <t>10:17:00</t>
        </is>
      </c>
      <c r="Q9202" t="inlineStr">
        <is>
          <t>1</t>
        </is>
      </c>
    </row>
    <row r="9203" ht="16.5" customHeight="1" s="37">
      <c r="A9203" t="n">
        <v>7</v>
      </c>
      <c r="B9203" s="10" t="inlineStr">
        <is>
          <t>平日</t>
        </is>
      </c>
      <c r="C9203" s="10" t="inlineStr">
        <is>
          <t>本線</t>
        </is>
      </c>
      <c r="D9203" s="10" t="inlineStr">
        <is>
          <t>上り</t>
        </is>
      </c>
      <c r="E9203" t="inlineStr">
        <is>
          <t>1006</t>
        </is>
      </c>
      <c r="F9203" t="inlineStr">
        <is>
          <t>0211</t>
        </is>
      </c>
      <c r="G9203" s="10" t="inlineStr">
        <is>
          <t>嵐山</t>
        </is>
      </c>
      <c r="H9203" s="10" t="inlineStr">
        <is>
          <t>発</t>
        </is>
      </c>
      <c r="J9203" s="10" t="inlineStr">
        <is>
          <t>営業</t>
        </is>
      </c>
      <c r="M9203" t="inlineStr">
        <is>
          <t>10:23:00</t>
        </is>
      </c>
      <c r="Q9203" t="inlineStr">
        <is>
          <t>1</t>
        </is>
      </c>
    </row>
    <row r="9204" ht="16.5" customHeight="1" s="37">
      <c r="A9204" t="n">
        <v>7</v>
      </c>
      <c r="B9204" s="10" t="inlineStr">
        <is>
          <t>平日</t>
        </is>
      </c>
      <c r="C9204" s="10" t="inlineStr">
        <is>
          <t>本線</t>
        </is>
      </c>
      <c r="D9204" s="10" t="inlineStr">
        <is>
          <t>上り</t>
        </is>
      </c>
      <c r="E9204" t="inlineStr">
        <is>
          <t>1006</t>
        </is>
      </c>
      <c r="F9204" t="inlineStr">
        <is>
          <t>0211</t>
        </is>
      </c>
      <c r="G9204" s="10" t="inlineStr">
        <is>
          <t>嵯峨</t>
        </is>
      </c>
      <c r="H9204" s="10" t="inlineStr">
        <is>
          <t>発</t>
        </is>
      </c>
      <c r="J9204" s="10" t="inlineStr">
        <is>
          <t>営業</t>
        </is>
      </c>
      <c r="L9204" t="inlineStr">
        <is>
          <t>10:23:55</t>
        </is>
      </c>
      <c r="M9204" t="inlineStr">
        <is>
          <t>10:24:20</t>
        </is>
      </c>
    </row>
    <row r="9205" ht="16.5" customHeight="1" s="37">
      <c r="A9205" t="n">
        <v>7</v>
      </c>
      <c r="B9205" s="10" t="inlineStr">
        <is>
          <t>平日</t>
        </is>
      </c>
      <c r="C9205" s="10" t="inlineStr">
        <is>
          <t>本線</t>
        </is>
      </c>
      <c r="D9205" s="10" t="inlineStr">
        <is>
          <t>上り</t>
        </is>
      </c>
      <c r="E9205" t="inlineStr">
        <is>
          <t>1006</t>
        </is>
      </c>
      <c r="F9205" t="inlineStr">
        <is>
          <t>0211</t>
        </is>
      </c>
      <c r="G9205" s="10" t="inlineStr">
        <is>
          <t>鹿王院</t>
        </is>
      </c>
      <c r="H9205" s="10" t="inlineStr">
        <is>
          <t>発</t>
        </is>
      </c>
      <c r="J9205" s="10" t="inlineStr">
        <is>
          <t>営業</t>
        </is>
      </c>
      <c r="L9205" t="inlineStr">
        <is>
          <t>10:25:25</t>
        </is>
      </c>
      <c r="M9205" t="inlineStr">
        <is>
          <t>10:25:45</t>
        </is>
      </c>
    </row>
    <row r="9206" ht="16.5" customHeight="1" s="37">
      <c r="A9206" t="n">
        <v>7</v>
      </c>
      <c r="B9206" s="10" t="inlineStr">
        <is>
          <t>平日</t>
        </is>
      </c>
      <c r="C9206" s="10" t="inlineStr">
        <is>
          <t>本線</t>
        </is>
      </c>
      <c r="D9206" s="10" t="inlineStr">
        <is>
          <t>上り</t>
        </is>
      </c>
      <c r="E9206" t="inlineStr">
        <is>
          <t>1006</t>
        </is>
      </c>
      <c r="F9206" t="inlineStr">
        <is>
          <t>0211</t>
        </is>
      </c>
      <c r="G9206" s="10" t="inlineStr">
        <is>
          <t>車折</t>
        </is>
      </c>
      <c r="H9206" s="10" t="inlineStr">
        <is>
          <t>発</t>
        </is>
      </c>
      <c r="J9206" s="10" t="inlineStr">
        <is>
          <t>営業</t>
        </is>
      </c>
      <c r="L9206" t="inlineStr">
        <is>
          <t>10:26:40</t>
        </is>
      </c>
      <c r="M9206" t="inlineStr">
        <is>
          <t>10:27:10</t>
        </is>
      </c>
    </row>
    <row r="9207" ht="16.5" customHeight="1" s="37">
      <c r="A9207" t="n">
        <v>7</v>
      </c>
      <c r="B9207" s="10" t="inlineStr">
        <is>
          <t>平日</t>
        </is>
      </c>
      <c r="C9207" s="10" t="inlineStr">
        <is>
          <t>本線</t>
        </is>
      </c>
      <c r="D9207" s="10" t="inlineStr">
        <is>
          <t>上り</t>
        </is>
      </c>
      <c r="E9207" t="inlineStr">
        <is>
          <t>1006</t>
        </is>
      </c>
      <c r="F9207" t="inlineStr">
        <is>
          <t>0211</t>
        </is>
      </c>
      <c r="G9207" s="10" t="inlineStr">
        <is>
          <t>有栖川</t>
        </is>
      </c>
      <c r="H9207" s="10" t="inlineStr">
        <is>
          <t>発</t>
        </is>
      </c>
      <c r="J9207" s="10" t="inlineStr">
        <is>
          <t>営業</t>
        </is>
      </c>
      <c r="L9207" t="inlineStr">
        <is>
          <t>10:28:35</t>
        </is>
      </c>
      <c r="M9207" t="inlineStr">
        <is>
          <t>10:28:55</t>
        </is>
      </c>
    </row>
    <row r="9208" ht="16.5" customHeight="1" s="37">
      <c r="A9208" t="n">
        <v>7</v>
      </c>
      <c r="B9208" s="10" t="inlineStr">
        <is>
          <t>平日</t>
        </is>
      </c>
      <c r="C9208" s="10" t="inlineStr">
        <is>
          <t>本線</t>
        </is>
      </c>
      <c r="D9208" s="10" t="inlineStr">
        <is>
          <t>上り</t>
        </is>
      </c>
      <c r="E9208" t="inlineStr">
        <is>
          <t>1006</t>
        </is>
      </c>
      <c r="F9208" t="inlineStr">
        <is>
          <t>0211</t>
        </is>
      </c>
      <c r="G9208" s="10" t="inlineStr">
        <is>
          <t>帷子ノ辻</t>
        </is>
      </c>
      <c r="H9208" s="10" t="inlineStr">
        <is>
          <t>発</t>
        </is>
      </c>
      <c r="J9208" s="10" t="inlineStr">
        <is>
          <t>営業</t>
        </is>
      </c>
      <c r="L9208" t="inlineStr">
        <is>
          <t>10:30:10</t>
        </is>
      </c>
      <c r="M9208" t="inlineStr">
        <is>
          <t>10:31:15</t>
        </is>
      </c>
    </row>
    <row r="9209" ht="16.5" customHeight="1" s="37">
      <c r="A9209" t="n">
        <v>7</v>
      </c>
      <c r="B9209" s="10" t="inlineStr">
        <is>
          <t>平日</t>
        </is>
      </c>
      <c r="C9209" s="10" t="inlineStr">
        <is>
          <t>本線</t>
        </is>
      </c>
      <c r="D9209" s="10" t="inlineStr">
        <is>
          <t>上り</t>
        </is>
      </c>
      <c r="E9209" t="inlineStr">
        <is>
          <t>1006</t>
        </is>
      </c>
      <c r="F9209" t="inlineStr">
        <is>
          <t>0211</t>
        </is>
      </c>
      <c r="G9209" s="10" t="inlineStr">
        <is>
          <t>太秦広隆寺</t>
        </is>
      </c>
      <c r="H9209" s="10" t="inlineStr">
        <is>
          <t>発</t>
        </is>
      </c>
      <c r="J9209" s="10" t="inlineStr">
        <is>
          <t>営業</t>
        </is>
      </c>
      <c r="L9209" t="inlineStr">
        <is>
          <t>10:33:25</t>
        </is>
      </c>
      <c r="M9209" t="inlineStr">
        <is>
          <t>10:33:45</t>
        </is>
      </c>
    </row>
    <row r="9210" ht="16.5" customHeight="1" s="37">
      <c r="A9210" t="n">
        <v>7</v>
      </c>
      <c r="B9210" s="10" t="inlineStr">
        <is>
          <t>平日</t>
        </is>
      </c>
      <c r="C9210" s="10" t="inlineStr">
        <is>
          <t>本線</t>
        </is>
      </c>
      <c r="D9210" s="10" t="inlineStr">
        <is>
          <t>上り</t>
        </is>
      </c>
      <c r="E9210" t="inlineStr">
        <is>
          <t>1006</t>
        </is>
      </c>
      <c r="F9210" t="inlineStr">
        <is>
          <t>0211</t>
        </is>
      </c>
      <c r="G9210" s="10" t="inlineStr">
        <is>
          <t>蚕ノ社</t>
        </is>
      </c>
      <c r="H9210" s="10" t="inlineStr">
        <is>
          <t>発</t>
        </is>
      </c>
      <c r="J9210" s="10" t="inlineStr">
        <is>
          <t>営業</t>
        </is>
      </c>
      <c r="L9210" t="inlineStr">
        <is>
          <t>10:35:00</t>
        </is>
      </c>
      <c r="M9210" t="inlineStr">
        <is>
          <t>10:35:20</t>
        </is>
      </c>
    </row>
    <row r="9211" ht="16.5" customHeight="1" s="37">
      <c r="A9211" t="n">
        <v>7</v>
      </c>
      <c r="B9211" s="10" t="inlineStr">
        <is>
          <t>平日</t>
        </is>
      </c>
      <c r="C9211" s="10" t="inlineStr">
        <is>
          <t>本線</t>
        </is>
      </c>
      <c r="D9211" s="10" t="inlineStr">
        <is>
          <t>上り</t>
        </is>
      </c>
      <c r="E9211" t="inlineStr">
        <is>
          <t>1006</t>
        </is>
      </c>
      <c r="F9211" t="inlineStr">
        <is>
          <t>0211</t>
        </is>
      </c>
      <c r="G9211" s="10" t="inlineStr">
        <is>
          <t>天神川</t>
        </is>
      </c>
      <c r="H9211" s="10" t="inlineStr">
        <is>
          <t>発</t>
        </is>
      </c>
      <c r="J9211" s="10" t="inlineStr">
        <is>
          <t>営業</t>
        </is>
      </c>
      <c r="L9211" t="inlineStr">
        <is>
          <t>10:36:05</t>
        </is>
      </c>
      <c r="M9211" t="inlineStr">
        <is>
          <t>10:36:50</t>
        </is>
      </c>
    </row>
    <row r="9212" ht="16.5" customHeight="1" s="37">
      <c r="A9212" t="n">
        <v>7</v>
      </c>
      <c r="B9212" s="10" t="inlineStr">
        <is>
          <t>平日</t>
        </is>
      </c>
      <c r="C9212" s="10" t="inlineStr">
        <is>
          <t>本線</t>
        </is>
      </c>
      <c r="D9212" s="10" t="inlineStr">
        <is>
          <t>上り</t>
        </is>
      </c>
      <c r="E9212" t="inlineStr">
        <is>
          <t>1006</t>
        </is>
      </c>
      <c r="F9212" t="inlineStr">
        <is>
          <t>0211</t>
        </is>
      </c>
      <c r="G9212" s="10" t="inlineStr">
        <is>
          <t>山ノ内</t>
        </is>
      </c>
      <c r="H9212" s="10" t="inlineStr">
        <is>
          <t>発</t>
        </is>
      </c>
      <c r="J9212" s="10" t="inlineStr">
        <is>
          <t>営業</t>
        </is>
      </c>
      <c r="L9212" t="inlineStr">
        <is>
          <t>10:38:40</t>
        </is>
      </c>
      <c r="M9212" t="inlineStr">
        <is>
          <t>10:39:05</t>
        </is>
      </c>
    </row>
    <row r="9213" ht="16.5" customHeight="1" s="37">
      <c r="A9213" t="n">
        <v>7</v>
      </c>
      <c r="B9213" s="10" t="inlineStr">
        <is>
          <t>平日</t>
        </is>
      </c>
      <c r="C9213" s="10" t="inlineStr">
        <is>
          <t>本線</t>
        </is>
      </c>
      <c r="D9213" s="10" t="inlineStr">
        <is>
          <t>上り</t>
        </is>
      </c>
      <c r="E9213" t="inlineStr">
        <is>
          <t>1006</t>
        </is>
      </c>
      <c r="F9213" t="inlineStr">
        <is>
          <t>0211</t>
        </is>
      </c>
      <c r="G9213" s="10" t="inlineStr">
        <is>
          <t>西大路三条</t>
        </is>
      </c>
      <c r="H9213" s="10" t="inlineStr">
        <is>
          <t>発</t>
        </is>
      </c>
      <c r="J9213" s="10" t="inlineStr">
        <is>
          <t>営業</t>
        </is>
      </c>
      <c r="L9213" t="inlineStr">
        <is>
          <t>10:40:55</t>
        </is>
      </c>
      <c r="M9213" t="inlineStr">
        <is>
          <t>10:41:15</t>
        </is>
      </c>
    </row>
    <row r="9214" ht="16.5" customHeight="1" s="37">
      <c r="A9214" t="n">
        <v>7</v>
      </c>
      <c r="B9214" s="10" t="inlineStr">
        <is>
          <t>平日</t>
        </is>
      </c>
      <c r="C9214" s="10" t="inlineStr">
        <is>
          <t>本線</t>
        </is>
      </c>
      <c r="D9214" s="10" t="inlineStr">
        <is>
          <t>上り</t>
        </is>
      </c>
      <c r="E9214" t="inlineStr">
        <is>
          <t>1006</t>
        </is>
      </c>
      <c r="F9214" t="inlineStr">
        <is>
          <t>0211</t>
        </is>
      </c>
      <c r="G9214" s="10" t="inlineStr">
        <is>
          <t>西院</t>
        </is>
      </c>
      <c r="H9214" s="10" t="inlineStr">
        <is>
          <t>発</t>
        </is>
      </c>
      <c r="J9214" s="10" t="inlineStr">
        <is>
          <t>営業</t>
        </is>
      </c>
      <c r="L9214" t="inlineStr">
        <is>
          <t>10:43:10</t>
        </is>
      </c>
      <c r="M9214" t="inlineStr">
        <is>
          <t>10:44:05</t>
        </is>
      </c>
    </row>
    <row r="9215" ht="16.5" customHeight="1" s="37">
      <c r="A9215" t="n">
        <v>7</v>
      </c>
      <c r="B9215" s="10" t="inlineStr">
        <is>
          <t>平日</t>
        </is>
      </c>
      <c r="C9215" s="10" t="inlineStr">
        <is>
          <t>本線</t>
        </is>
      </c>
      <c r="D9215" s="10" t="inlineStr">
        <is>
          <t>上り</t>
        </is>
      </c>
      <c r="E9215" t="inlineStr">
        <is>
          <t>1006</t>
        </is>
      </c>
      <c r="F9215" t="inlineStr">
        <is>
          <t>0211</t>
        </is>
      </c>
      <c r="G9215" s="10" t="inlineStr">
        <is>
          <t>四条大宮</t>
        </is>
      </c>
      <c r="H9215" s="10" t="inlineStr">
        <is>
          <t>着</t>
        </is>
      </c>
      <c r="J9215" s="10" t="inlineStr">
        <is>
          <t>営業</t>
        </is>
      </c>
      <c r="L9215" t="inlineStr">
        <is>
          <t>10:47:00</t>
        </is>
      </c>
      <c r="Q9215" t="inlineStr">
        <is>
          <t>1</t>
        </is>
      </c>
    </row>
    <row r="9216" ht="16.5" customHeight="1" s="37">
      <c r="A9216" t="n">
        <v>7</v>
      </c>
      <c r="B9216" s="10" t="inlineStr">
        <is>
          <t>平日</t>
        </is>
      </c>
      <c r="C9216" s="10" t="inlineStr">
        <is>
          <t>本線</t>
        </is>
      </c>
      <c r="D9216" s="10" t="inlineStr">
        <is>
          <t>下り</t>
        </is>
      </c>
      <c r="E9216" t="inlineStr">
        <is>
          <t>1011</t>
        </is>
      </c>
      <c r="F9216" t="inlineStr">
        <is>
          <t>0112</t>
        </is>
      </c>
      <c r="G9216" s="10" t="inlineStr">
        <is>
          <t>四条大宮</t>
        </is>
      </c>
      <c r="H9216" s="10" t="inlineStr">
        <is>
          <t>発</t>
        </is>
      </c>
      <c r="J9216" s="10" t="inlineStr">
        <is>
          <t>営業</t>
        </is>
      </c>
      <c r="M9216" t="inlineStr">
        <is>
          <t>10:53:00</t>
        </is>
      </c>
      <c r="Q9216" t="inlineStr">
        <is>
          <t>1</t>
        </is>
      </c>
    </row>
    <row r="9217" ht="16.5" customHeight="1" s="37">
      <c r="A9217" t="n">
        <v>7</v>
      </c>
      <c r="B9217" s="10" t="inlineStr">
        <is>
          <t>平日</t>
        </is>
      </c>
      <c r="C9217" s="10" t="inlineStr">
        <is>
          <t>本線</t>
        </is>
      </c>
      <c r="D9217" s="10" t="inlineStr">
        <is>
          <t>下り</t>
        </is>
      </c>
      <c r="E9217" t="inlineStr">
        <is>
          <t>1011</t>
        </is>
      </c>
      <c r="F9217" t="inlineStr">
        <is>
          <t>0112</t>
        </is>
      </c>
      <c r="G9217" s="10" t="inlineStr">
        <is>
          <t>西院</t>
        </is>
      </c>
      <c r="H9217" s="10" t="inlineStr">
        <is>
          <t>発</t>
        </is>
      </c>
      <c r="J9217" s="10" t="inlineStr">
        <is>
          <t>営業</t>
        </is>
      </c>
      <c r="L9217" t="inlineStr">
        <is>
          <t>10:55:50</t>
        </is>
      </c>
      <c r="M9217" t="inlineStr">
        <is>
          <t>10:56:20</t>
        </is>
      </c>
    </row>
    <row r="9218" ht="16.5" customHeight="1" s="37">
      <c r="A9218" t="n">
        <v>7</v>
      </c>
      <c r="B9218" s="10" t="inlineStr">
        <is>
          <t>平日</t>
        </is>
      </c>
      <c r="C9218" s="10" t="inlineStr">
        <is>
          <t>本線</t>
        </is>
      </c>
      <c r="D9218" s="10" t="inlineStr">
        <is>
          <t>下り</t>
        </is>
      </c>
      <c r="E9218" t="inlineStr">
        <is>
          <t>1011</t>
        </is>
      </c>
      <c r="F9218" t="inlineStr">
        <is>
          <t>0112</t>
        </is>
      </c>
      <c r="G9218" s="10" t="inlineStr">
        <is>
          <t>西大路三条</t>
        </is>
      </c>
      <c r="H9218" s="10" t="inlineStr">
        <is>
          <t>発</t>
        </is>
      </c>
      <c r="J9218" s="10" t="inlineStr">
        <is>
          <t>営業</t>
        </is>
      </c>
      <c r="L9218" t="inlineStr">
        <is>
          <t>10:58:10</t>
        </is>
      </c>
      <c r="M9218" t="inlineStr">
        <is>
          <t>10:58:30</t>
        </is>
      </c>
    </row>
    <row r="9219" ht="16.5" customHeight="1" s="37">
      <c r="A9219" t="n">
        <v>7</v>
      </c>
      <c r="B9219" s="10" t="inlineStr">
        <is>
          <t>平日</t>
        </is>
      </c>
      <c r="C9219" s="10" t="inlineStr">
        <is>
          <t>本線</t>
        </is>
      </c>
      <c r="D9219" s="10" t="inlineStr">
        <is>
          <t>下り</t>
        </is>
      </c>
      <c r="E9219" t="inlineStr">
        <is>
          <t>1011</t>
        </is>
      </c>
      <c r="F9219" t="inlineStr">
        <is>
          <t>0112</t>
        </is>
      </c>
      <c r="G9219" s="10" t="inlineStr">
        <is>
          <t>山ノ内</t>
        </is>
      </c>
      <c r="H9219" s="10" t="inlineStr">
        <is>
          <t>発</t>
        </is>
      </c>
      <c r="J9219" s="10" t="inlineStr">
        <is>
          <t>営業</t>
        </is>
      </c>
      <c r="L9219" t="inlineStr">
        <is>
          <t>11:00:25</t>
        </is>
      </c>
      <c r="M9219" t="inlineStr">
        <is>
          <t>11:00:50</t>
        </is>
      </c>
    </row>
    <row r="9220" ht="16.5" customHeight="1" s="37">
      <c r="A9220" t="n">
        <v>7</v>
      </c>
      <c r="B9220" s="10" t="inlineStr">
        <is>
          <t>平日</t>
        </is>
      </c>
      <c r="C9220" s="10" t="inlineStr">
        <is>
          <t>本線</t>
        </is>
      </c>
      <c r="D9220" s="10" t="inlineStr">
        <is>
          <t>下り</t>
        </is>
      </c>
      <c r="E9220" t="inlineStr">
        <is>
          <t>1011</t>
        </is>
      </c>
      <c r="F9220" t="inlineStr">
        <is>
          <t>0112</t>
        </is>
      </c>
      <c r="G9220" s="10" t="inlineStr">
        <is>
          <t>天神川</t>
        </is>
      </c>
      <c r="H9220" s="10" t="inlineStr">
        <is>
          <t>発</t>
        </is>
      </c>
      <c r="J9220" s="10" t="inlineStr">
        <is>
          <t>営業</t>
        </is>
      </c>
      <c r="L9220" t="inlineStr">
        <is>
          <t>11:02:50</t>
        </is>
      </c>
      <c r="M9220" t="inlineStr">
        <is>
          <t>11:03:30</t>
        </is>
      </c>
    </row>
    <row r="9221" ht="16.5" customHeight="1" s="37">
      <c r="A9221" t="n">
        <v>7</v>
      </c>
      <c r="B9221" s="10" t="inlineStr">
        <is>
          <t>平日</t>
        </is>
      </c>
      <c r="C9221" s="10" t="inlineStr">
        <is>
          <t>本線</t>
        </is>
      </c>
      <c r="D9221" s="10" t="inlineStr">
        <is>
          <t>下り</t>
        </is>
      </c>
      <c r="E9221" t="inlineStr">
        <is>
          <t>1011</t>
        </is>
      </c>
      <c r="F9221" t="inlineStr">
        <is>
          <t>0112</t>
        </is>
      </c>
      <c r="G9221" s="10" t="inlineStr">
        <is>
          <t>蚕ノ社</t>
        </is>
      </c>
      <c r="H9221" s="10" t="inlineStr">
        <is>
          <t>発</t>
        </is>
      </c>
      <c r="J9221" s="10" t="inlineStr">
        <is>
          <t>営業</t>
        </is>
      </c>
      <c r="L9221" t="inlineStr">
        <is>
          <t>11:04:20</t>
        </is>
      </c>
      <c r="M9221" t="inlineStr">
        <is>
          <t>11:04:40</t>
        </is>
      </c>
    </row>
    <row r="9222" ht="16.5" customHeight="1" s="37">
      <c r="A9222" t="n">
        <v>7</v>
      </c>
      <c r="B9222" s="10" t="inlineStr">
        <is>
          <t>平日</t>
        </is>
      </c>
      <c r="C9222" s="10" t="inlineStr">
        <is>
          <t>本線</t>
        </is>
      </c>
      <c r="D9222" s="10" t="inlineStr">
        <is>
          <t>下り</t>
        </is>
      </c>
      <c r="E9222" t="inlineStr">
        <is>
          <t>1011</t>
        </is>
      </c>
      <c r="F9222" t="inlineStr">
        <is>
          <t>0112</t>
        </is>
      </c>
      <c r="G9222" s="10" t="inlineStr">
        <is>
          <t>太秦広隆寺</t>
        </is>
      </c>
      <c r="H9222" s="10" t="inlineStr">
        <is>
          <t>発</t>
        </is>
      </c>
      <c r="J9222" s="10" t="inlineStr">
        <is>
          <t>営業</t>
        </is>
      </c>
      <c r="L9222" t="inlineStr">
        <is>
          <t>11:06:00</t>
        </is>
      </c>
      <c r="M9222" t="inlineStr">
        <is>
          <t>11:06:20</t>
        </is>
      </c>
    </row>
    <row r="9223" ht="16.5" customHeight="1" s="37">
      <c r="A9223" t="n">
        <v>7</v>
      </c>
      <c r="B9223" s="10" t="inlineStr">
        <is>
          <t>平日</t>
        </is>
      </c>
      <c r="C9223" s="10" t="inlineStr">
        <is>
          <t>本線</t>
        </is>
      </c>
      <c r="D9223" s="10" t="inlineStr">
        <is>
          <t>下り</t>
        </is>
      </c>
      <c r="E9223" t="inlineStr">
        <is>
          <t>1011</t>
        </is>
      </c>
      <c r="F9223" t="inlineStr">
        <is>
          <t>0112</t>
        </is>
      </c>
      <c r="G9223" s="10" t="inlineStr">
        <is>
          <t>帷子ノ辻</t>
        </is>
      </c>
      <c r="H9223" s="10" t="inlineStr">
        <is>
          <t>発</t>
        </is>
      </c>
      <c r="J9223" s="10" t="inlineStr">
        <is>
          <t>営業</t>
        </is>
      </c>
      <c r="L9223" t="inlineStr">
        <is>
          <t>11:08:20</t>
        </is>
      </c>
      <c r="M9223" t="inlineStr">
        <is>
          <t>11:09:40</t>
        </is>
      </c>
    </row>
    <row r="9224" ht="15" customHeight="1" s="37">
      <c r="A9224" t="n">
        <v>7</v>
      </c>
      <c r="B9224" s="10" t="inlineStr">
        <is>
          <t>平日</t>
        </is>
      </c>
      <c r="C9224" s="10" t="inlineStr">
        <is>
          <t>本線</t>
        </is>
      </c>
      <c r="D9224" s="10" t="inlineStr">
        <is>
          <t>下り</t>
        </is>
      </c>
      <c r="E9224" t="inlineStr">
        <is>
          <t>1011</t>
        </is>
      </c>
      <c r="F9224" t="inlineStr">
        <is>
          <t>0112</t>
        </is>
      </c>
      <c r="G9224" s="10" t="inlineStr">
        <is>
          <t>有栖川</t>
        </is>
      </c>
      <c r="H9224" s="10" t="inlineStr">
        <is>
          <t>発</t>
        </is>
      </c>
      <c r="J9224" s="10" t="inlineStr">
        <is>
          <t>営業</t>
        </is>
      </c>
      <c r="L9224" t="inlineStr">
        <is>
          <t>11:10:50</t>
        </is>
      </c>
      <c r="M9224" t="inlineStr">
        <is>
          <t>11:11:15</t>
        </is>
      </c>
    </row>
    <row r="9225" ht="15" customHeight="1" s="37">
      <c r="A9225" t="n">
        <v>7</v>
      </c>
      <c r="B9225" s="10" t="inlineStr">
        <is>
          <t>平日</t>
        </is>
      </c>
      <c r="C9225" s="10" t="inlineStr">
        <is>
          <t>本線</t>
        </is>
      </c>
      <c r="D9225" s="10" t="inlineStr">
        <is>
          <t>下り</t>
        </is>
      </c>
      <c r="E9225" t="inlineStr">
        <is>
          <t>1011</t>
        </is>
      </c>
      <c r="F9225" t="inlineStr">
        <is>
          <t>0112</t>
        </is>
      </c>
      <c r="G9225" s="10" t="inlineStr">
        <is>
          <t>車折</t>
        </is>
      </c>
      <c r="H9225" s="10" t="inlineStr">
        <is>
          <t>発</t>
        </is>
      </c>
      <c r="J9225" s="10" t="inlineStr">
        <is>
          <t>営業</t>
        </is>
      </c>
      <c r="L9225" t="inlineStr">
        <is>
          <t>11:12:40</t>
        </is>
      </c>
      <c r="M9225" t="inlineStr">
        <is>
          <t>11:13:05</t>
        </is>
      </c>
    </row>
    <row r="9226" ht="15" customHeight="1" s="37">
      <c r="A9226" t="n">
        <v>7</v>
      </c>
      <c r="B9226" s="10" t="inlineStr">
        <is>
          <t>平日</t>
        </is>
      </c>
      <c r="C9226" s="10" t="inlineStr">
        <is>
          <t>本線</t>
        </is>
      </c>
      <c r="D9226" s="10" t="inlineStr">
        <is>
          <t>下り</t>
        </is>
      </c>
      <c r="E9226" t="inlineStr">
        <is>
          <t>1011</t>
        </is>
      </c>
      <c r="F9226" t="inlineStr">
        <is>
          <t>0112</t>
        </is>
      </c>
      <c r="G9226" s="10" t="inlineStr">
        <is>
          <t>鹿王院</t>
        </is>
      </c>
      <c r="H9226" s="10" t="inlineStr">
        <is>
          <t>発</t>
        </is>
      </c>
      <c r="J9226" s="10" t="inlineStr">
        <is>
          <t>営業</t>
        </is>
      </c>
      <c r="L9226" t="inlineStr">
        <is>
          <t>11:14:00</t>
        </is>
      </c>
      <c r="M9226" t="inlineStr">
        <is>
          <t>11:14:25</t>
        </is>
      </c>
    </row>
    <row r="9227" ht="15" customHeight="1" s="37">
      <c r="A9227" t="n">
        <v>7</v>
      </c>
      <c r="B9227" s="10" t="inlineStr">
        <is>
          <t>平日</t>
        </is>
      </c>
      <c r="C9227" s="10" t="inlineStr">
        <is>
          <t>本線</t>
        </is>
      </c>
      <c r="D9227" s="10" t="inlineStr">
        <is>
          <t>下り</t>
        </is>
      </c>
      <c r="E9227" t="inlineStr">
        <is>
          <t>1011</t>
        </is>
      </c>
      <c r="F9227" t="inlineStr">
        <is>
          <t>0112</t>
        </is>
      </c>
      <c r="G9227" s="10" t="inlineStr">
        <is>
          <t>嵯峨</t>
        </is>
      </c>
      <c r="H9227" s="10" t="inlineStr">
        <is>
          <t>発</t>
        </is>
      </c>
      <c r="J9227" s="10" t="inlineStr">
        <is>
          <t>営業</t>
        </is>
      </c>
      <c r="L9227" t="inlineStr">
        <is>
          <t>11:15:30</t>
        </is>
      </c>
      <c r="M9227" t="inlineStr">
        <is>
          <t>11:15:55</t>
        </is>
      </c>
    </row>
    <row r="9228" ht="15" customHeight="1" s="37">
      <c r="A9228" t="n">
        <v>7</v>
      </c>
      <c r="B9228" s="10" t="inlineStr">
        <is>
          <t>平日</t>
        </is>
      </c>
      <c r="C9228" s="10" t="inlineStr">
        <is>
          <t>本線</t>
        </is>
      </c>
      <c r="D9228" s="10" t="inlineStr">
        <is>
          <t>下り</t>
        </is>
      </c>
      <c r="E9228" t="inlineStr">
        <is>
          <t>1011</t>
        </is>
      </c>
      <c r="F9228" t="inlineStr">
        <is>
          <t>0112</t>
        </is>
      </c>
      <c r="G9228" s="10" t="inlineStr">
        <is>
          <t>嵐山</t>
        </is>
      </c>
      <c r="H9228" s="10" t="inlineStr">
        <is>
          <t>着</t>
        </is>
      </c>
      <c r="J9228" s="10" t="inlineStr">
        <is>
          <t>営業</t>
        </is>
      </c>
      <c r="L9228" t="inlineStr">
        <is>
          <t>11:17:00</t>
        </is>
      </c>
      <c r="Q9228" t="inlineStr">
        <is>
          <t>1</t>
        </is>
      </c>
    </row>
    <row r="9229" ht="15" customHeight="1" s="37">
      <c r="A9229" t="n">
        <v>7</v>
      </c>
      <c r="B9229" s="10" t="inlineStr">
        <is>
          <t>平日</t>
        </is>
      </c>
      <c r="C9229" s="10" t="inlineStr">
        <is>
          <t>本線</t>
        </is>
      </c>
      <c r="D9229" s="10" t="inlineStr">
        <is>
          <t>上り</t>
        </is>
      </c>
      <c r="E9229" t="inlineStr">
        <is>
          <t>1106</t>
        </is>
      </c>
      <c r="F9229" t="inlineStr">
        <is>
          <t>0211</t>
        </is>
      </c>
      <c r="G9229" s="10" t="inlineStr">
        <is>
          <t>嵐山</t>
        </is>
      </c>
      <c r="H9229" s="10" t="inlineStr">
        <is>
          <t>発</t>
        </is>
      </c>
      <c r="J9229" s="10" t="inlineStr">
        <is>
          <t>営業</t>
        </is>
      </c>
      <c r="M9229" t="inlineStr">
        <is>
          <t>11:23:00</t>
        </is>
      </c>
      <c r="Q9229" t="inlineStr">
        <is>
          <t>1</t>
        </is>
      </c>
    </row>
    <row r="9230" ht="15" customHeight="1" s="37">
      <c r="A9230" t="n">
        <v>7</v>
      </c>
      <c r="B9230" s="10" t="inlineStr">
        <is>
          <t>平日</t>
        </is>
      </c>
      <c r="C9230" s="10" t="inlineStr">
        <is>
          <t>本線</t>
        </is>
      </c>
      <c r="D9230" s="10" t="inlineStr">
        <is>
          <t>上り</t>
        </is>
      </c>
      <c r="E9230" t="inlineStr">
        <is>
          <t>1106</t>
        </is>
      </c>
      <c r="F9230" t="inlineStr">
        <is>
          <t>0211</t>
        </is>
      </c>
      <c r="G9230" s="10" t="inlineStr">
        <is>
          <t>嵯峨</t>
        </is>
      </c>
      <c r="H9230" s="10" t="inlineStr">
        <is>
          <t>発</t>
        </is>
      </c>
      <c r="J9230" s="10" t="inlineStr">
        <is>
          <t>営業</t>
        </is>
      </c>
      <c r="L9230" t="inlineStr">
        <is>
          <t>11:23:55</t>
        </is>
      </c>
      <c r="M9230" t="inlineStr">
        <is>
          <t>11:24:20</t>
        </is>
      </c>
    </row>
    <row r="9231" ht="15" customHeight="1" s="37">
      <c r="A9231" t="n">
        <v>7</v>
      </c>
      <c r="B9231" s="10" t="inlineStr">
        <is>
          <t>平日</t>
        </is>
      </c>
      <c r="C9231" s="10" t="inlineStr">
        <is>
          <t>本線</t>
        </is>
      </c>
      <c r="D9231" s="10" t="inlineStr">
        <is>
          <t>上り</t>
        </is>
      </c>
      <c r="E9231" t="inlineStr">
        <is>
          <t>1106</t>
        </is>
      </c>
      <c r="F9231" t="inlineStr">
        <is>
          <t>0211</t>
        </is>
      </c>
      <c r="G9231" s="10" t="inlineStr">
        <is>
          <t>鹿王院</t>
        </is>
      </c>
      <c r="H9231" s="10" t="inlineStr">
        <is>
          <t>発</t>
        </is>
      </c>
      <c r="J9231" s="10" t="inlineStr">
        <is>
          <t>営業</t>
        </is>
      </c>
      <c r="L9231" t="inlineStr">
        <is>
          <t>11:25:25</t>
        </is>
      </c>
      <c r="M9231" t="inlineStr">
        <is>
          <t>11:25:45</t>
        </is>
      </c>
    </row>
    <row r="9232" ht="15" customHeight="1" s="37">
      <c r="A9232" t="n">
        <v>7</v>
      </c>
      <c r="B9232" s="10" t="inlineStr">
        <is>
          <t>平日</t>
        </is>
      </c>
      <c r="C9232" s="10" t="inlineStr">
        <is>
          <t>本線</t>
        </is>
      </c>
      <c r="D9232" s="10" t="inlineStr">
        <is>
          <t>上り</t>
        </is>
      </c>
      <c r="E9232" t="inlineStr">
        <is>
          <t>1106</t>
        </is>
      </c>
      <c r="F9232" t="inlineStr">
        <is>
          <t>0211</t>
        </is>
      </c>
      <c r="G9232" s="10" t="inlineStr">
        <is>
          <t>車折</t>
        </is>
      </c>
      <c r="H9232" s="10" t="inlineStr">
        <is>
          <t>発</t>
        </is>
      </c>
      <c r="J9232" s="10" t="inlineStr">
        <is>
          <t>営業</t>
        </is>
      </c>
      <c r="L9232" t="inlineStr">
        <is>
          <t>11:26:40</t>
        </is>
      </c>
      <c r="M9232" t="inlineStr">
        <is>
          <t>11:27:10</t>
        </is>
      </c>
    </row>
    <row r="9233" ht="15" customHeight="1" s="37">
      <c r="A9233" t="n">
        <v>7</v>
      </c>
      <c r="B9233" s="10" t="inlineStr">
        <is>
          <t>平日</t>
        </is>
      </c>
      <c r="C9233" s="10" t="inlineStr">
        <is>
          <t>本線</t>
        </is>
      </c>
      <c r="D9233" s="10" t="inlineStr">
        <is>
          <t>上り</t>
        </is>
      </c>
      <c r="E9233" t="inlineStr">
        <is>
          <t>1106</t>
        </is>
      </c>
      <c r="F9233" t="inlineStr">
        <is>
          <t>0211</t>
        </is>
      </c>
      <c r="G9233" s="10" t="inlineStr">
        <is>
          <t>有栖川</t>
        </is>
      </c>
      <c r="H9233" s="10" t="inlineStr">
        <is>
          <t>発</t>
        </is>
      </c>
      <c r="J9233" s="10" t="inlineStr">
        <is>
          <t>営業</t>
        </is>
      </c>
      <c r="L9233" t="inlineStr">
        <is>
          <t>11:28:35</t>
        </is>
      </c>
      <c r="M9233" t="inlineStr">
        <is>
          <t>11:28:55</t>
        </is>
      </c>
    </row>
    <row r="9234" ht="15" customHeight="1" s="37">
      <c r="A9234" t="n">
        <v>7</v>
      </c>
      <c r="B9234" s="10" t="inlineStr">
        <is>
          <t>平日</t>
        </is>
      </c>
      <c r="C9234" s="10" t="inlineStr">
        <is>
          <t>本線</t>
        </is>
      </c>
      <c r="D9234" s="10" t="inlineStr">
        <is>
          <t>上り</t>
        </is>
      </c>
      <c r="E9234" t="inlineStr">
        <is>
          <t>1106</t>
        </is>
      </c>
      <c r="F9234" t="inlineStr">
        <is>
          <t>0211</t>
        </is>
      </c>
      <c r="G9234" s="10" t="inlineStr">
        <is>
          <t>帷子ノ辻</t>
        </is>
      </c>
      <c r="H9234" s="10" t="inlineStr">
        <is>
          <t>発</t>
        </is>
      </c>
      <c r="J9234" s="10" t="inlineStr">
        <is>
          <t>営業</t>
        </is>
      </c>
      <c r="L9234" t="inlineStr">
        <is>
          <t>11:30:10</t>
        </is>
      </c>
      <c r="M9234" t="inlineStr">
        <is>
          <t>11:31:15</t>
        </is>
      </c>
    </row>
    <row r="9235" ht="15" customHeight="1" s="37">
      <c r="A9235" t="n">
        <v>7</v>
      </c>
      <c r="B9235" s="10" t="inlineStr">
        <is>
          <t>平日</t>
        </is>
      </c>
      <c r="C9235" s="10" t="inlineStr">
        <is>
          <t>本線</t>
        </is>
      </c>
      <c r="D9235" s="10" t="inlineStr">
        <is>
          <t>上り</t>
        </is>
      </c>
      <c r="E9235" t="inlineStr">
        <is>
          <t>1106</t>
        </is>
      </c>
      <c r="F9235" t="inlineStr">
        <is>
          <t>0211</t>
        </is>
      </c>
      <c r="G9235" s="10" t="inlineStr">
        <is>
          <t>太秦広隆寺</t>
        </is>
      </c>
      <c r="H9235" s="10" t="inlineStr">
        <is>
          <t>発</t>
        </is>
      </c>
      <c r="J9235" s="10" t="inlineStr">
        <is>
          <t>営業</t>
        </is>
      </c>
      <c r="L9235" t="inlineStr">
        <is>
          <t>11:33:25</t>
        </is>
      </c>
      <c r="M9235" t="inlineStr">
        <is>
          <t>11:33:45</t>
        </is>
      </c>
    </row>
    <row r="9236" ht="15" customHeight="1" s="37">
      <c r="A9236" t="n">
        <v>7</v>
      </c>
      <c r="B9236" s="10" t="inlineStr">
        <is>
          <t>平日</t>
        </is>
      </c>
      <c r="C9236" s="10" t="inlineStr">
        <is>
          <t>本線</t>
        </is>
      </c>
      <c r="D9236" s="10" t="inlineStr">
        <is>
          <t>上り</t>
        </is>
      </c>
      <c r="E9236" t="inlineStr">
        <is>
          <t>1106</t>
        </is>
      </c>
      <c r="F9236" t="inlineStr">
        <is>
          <t>0211</t>
        </is>
      </c>
      <c r="G9236" s="10" t="inlineStr">
        <is>
          <t>蚕ノ社</t>
        </is>
      </c>
      <c r="H9236" s="10" t="inlineStr">
        <is>
          <t>発</t>
        </is>
      </c>
      <c r="J9236" s="10" t="inlineStr">
        <is>
          <t>営業</t>
        </is>
      </c>
      <c r="L9236" t="inlineStr">
        <is>
          <t>11:35:00</t>
        </is>
      </c>
      <c r="M9236" t="inlineStr">
        <is>
          <t>11:35:20</t>
        </is>
      </c>
    </row>
    <row r="9237" ht="15" customHeight="1" s="37">
      <c r="A9237" t="n">
        <v>7</v>
      </c>
      <c r="B9237" s="10" t="inlineStr">
        <is>
          <t>平日</t>
        </is>
      </c>
      <c r="C9237" s="10" t="inlineStr">
        <is>
          <t>本線</t>
        </is>
      </c>
      <c r="D9237" s="10" t="inlineStr">
        <is>
          <t>上り</t>
        </is>
      </c>
      <c r="E9237" t="inlineStr">
        <is>
          <t>1106</t>
        </is>
      </c>
      <c r="F9237" t="inlineStr">
        <is>
          <t>0211</t>
        </is>
      </c>
      <c r="G9237" s="10" t="inlineStr">
        <is>
          <t>天神川</t>
        </is>
      </c>
      <c r="H9237" s="10" t="inlineStr">
        <is>
          <t>発</t>
        </is>
      </c>
      <c r="J9237" s="10" t="inlineStr">
        <is>
          <t>営業</t>
        </is>
      </c>
      <c r="L9237" t="inlineStr">
        <is>
          <t>11:36:05</t>
        </is>
      </c>
      <c r="M9237" t="inlineStr">
        <is>
          <t>11:36:50</t>
        </is>
      </c>
    </row>
    <row r="9238" ht="15" customHeight="1" s="37">
      <c r="A9238" t="n">
        <v>7</v>
      </c>
      <c r="B9238" s="10" t="inlineStr">
        <is>
          <t>平日</t>
        </is>
      </c>
      <c r="C9238" s="10" t="inlineStr">
        <is>
          <t>本線</t>
        </is>
      </c>
      <c r="D9238" s="10" t="inlineStr">
        <is>
          <t>上り</t>
        </is>
      </c>
      <c r="E9238" t="inlineStr">
        <is>
          <t>1106</t>
        </is>
      </c>
      <c r="F9238" t="inlineStr">
        <is>
          <t>0211</t>
        </is>
      </c>
      <c r="G9238" s="10" t="inlineStr">
        <is>
          <t>山ノ内</t>
        </is>
      </c>
      <c r="H9238" s="10" t="inlineStr">
        <is>
          <t>発</t>
        </is>
      </c>
      <c r="J9238" s="10" t="inlineStr">
        <is>
          <t>営業</t>
        </is>
      </c>
      <c r="L9238" t="inlineStr">
        <is>
          <t>11:38:40</t>
        </is>
      </c>
      <c r="M9238" t="inlineStr">
        <is>
          <t>11:39:05</t>
        </is>
      </c>
    </row>
    <row r="9239" ht="15" customHeight="1" s="37">
      <c r="A9239" t="n">
        <v>7</v>
      </c>
      <c r="B9239" s="10" t="inlineStr">
        <is>
          <t>平日</t>
        </is>
      </c>
      <c r="C9239" s="10" t="inlineStr">
        <is>
          <t>本線</t>
        </is>
      </c>
      <c r="D9239" s="10" t="inlineStr">
        <is>
          <t>上り</t>
        </is>
      </c>
      <c r="E9239" t="inlineStr">
        <is>
          <t>1106</t>
        </is>
      </c>
      <c r="F9239" t="inlineStr">
        <is>
          <t>0211</t>
        </is>
      </c>
      <c r="G9239" s="10" t="inlineStr">
        <is>
          <t>西大路三条</t>
        </is>
      </c>
      <c r="H9239" s="10" t="inlineStr">
        <is>
          <t>発</t>
        </is>
      </c>
      <c r="J9239" s="10" t="inlineStr">
        <is>
          <t>営業</t>
        </is>
      </c>
      <c r="L9239" t="inlineStr">
        <is>
          <t>11:40:55</t>
        </is>
      </c>
      <c r="M9239" t="inlineStr">
        <is>
          <t>11:41:15</t>
        </is>
      </c>
    </row>
    <row r="9240" ht="15" customHeight="1" s="37">
      <c r="A9240" t="n">
        <v>7</v>
      </c>
      <c r="B9240" s="10" t="inlineStr">
        <is>
          <t>平日</t>
        </is>
      </c>
      <c r="C9240" s="10" t="inlineStr">
        <is>
          <t>本線</t>
        </is>
      </c>
      <c r="D9240" s="10" t="inlineStr">
        <is>
          <t>上り</t>
        </is>
      </c>
      <c r="E9240" t="inlineStr">
        <is>
          <t>1106</t>
        </is>
      </c>
      <c r="F9240" t="inlineStr">
        <is>
          <t>0211</t>
        </is>
      </c>
      <c r="G9240" s="10" t="inlineStr">
        <is>
          <t>西院</t>
        </is>
      </c>
      <c r="H9240" s="10" t="inlineStr">
        <is>
          <t>発</t>
        </is>
      </c>
      <c r="J9240" s="10" t="inlineStr">
        <is>
          <t>営業</t>
        </is>
      </c>
      <c r="L9240" t="inlineStr">
        <is>
          <t>11:43:10</t>
        </is>
      </c>
      <c r="M9240" t="inlineStr">
        <is>
          <t>11:44:05</t>
        </is>
      </c>
    </row>
    <row r="9241" ht="15" customHeight="1" s="37">
      <c r="A9241" t="n">
        <v>7</v>
      </c>
      <c r="B9241" s="10" t="inlineStr">
        <is>
          <t>平日</t>
        </is>
      </c>
      <c r="C9241" s="10" t="inlineStr">
        <is>
          <t>本線</t>
        </is>
      </c>
      <c r="D9241" s="10" t="inlineStr">
        <is>
          <t>上り</t>
        </is>
      </c>
      <c r="E9241" t="inlineStr">
        <is>
          <t>1106</t>
        </is>
      </c>
      <c r="F9241" t="inlineStr">
        <is>
          <t>0211</t>
        </is>
      </c>
      <c r="G9241" s="10" t="inlineStr">
        <is>
          <t>四条大宮</t>
        </is>
      </c>
      <c r="H9241" s="10" t="inlineStr">
        <is>
          <t>着</t>
        </is>
      </c>
      <c r="J9241" s="10" t="inlineStr">
        <is>
          <t>営業</t>
        </is>
      </c>
      <c r="L9241" t="inlineStr">
        <is>
          <t>11:47:00</t>
        </is>
      </c>
      <c r="Q9241" t="inlineStr">
        <is>
          <t>1</t>
        </is>
      </c>
    </row>
    <row r="9242" ht="15" customHeight="1" s="37">
      <c r="A9242" t="n">
        <v>7</v>
      </c>
      <c r="B9242" s="10" t="inlineStr">
        <is>
          <t>平日</t>
        </is>
      </c>
      <c r="C9242" s="10" t="inlineStr">
        <is>
          <t>本線</t>
        </is>
      </c>
      <c r="D9242" s="10" t="inlineStr">
        <is>
          <t>下り</t>
        </is>
      </c>
      <c r="E9242" t="inlineStr">
        <is>
          <t>1111</t>
        </is>
      </c>
      <c r="F9242" t="inlineStr">
        <is>
          <t>0112</t>
        </is>
      </c>
      <c r="G9242" s="10" t="inlineStr">
        <is>
          <t>四条大宮</t>
        </is>
      </c>
      <c r="H9242" s="10" t="inlineStr">
        <is>
          <t>発</t>
        </is>
      </c>
      <c r="J9242" s="10" t="inlineStr">
        <is>
          <t>営業</t>
        </is>
      </c>
      <c r="M9242" t="inlineStr">
        <is>
          <t>11:53:00</t>
        </is>
      </c>
      <c r="Q9242" t="inlineStr">
        <is>
          <t>1</t>
        </is>
      </c>
    </row>
    <row r="9243" ht="15" customHeight="1" s="37">
      <c r="A9243" t="n">
        <v>7</v>
      </c>
      <c r="B9243" s="10" t="inlineStr">
        <is>
          <t>平日</t>
        </is>
      </c>
      <c r="C9243" s="10" t="inlineStr">
        <is>
          <t>本線</t>
        </is>
      </c>
      <c r="D9243" s="10" t="inlineStr">
        <is>
          <t>下り</t>
        </is>
      </c>
      <c r="E9243" t="inlineStr">
        <is>
          <t>1111</t>
        </is>
      </c>
      <c r="F9243" t="inlineStr">
        <is>
          <t>0112</t>
        </is>
      </c>
      <c r="G9243" s="10" t="inlineStr">
        <is>
          <t>西院</t>
        </is>
      </c>
      <c r="H9243" s="10" t="inlineStr">
        <is>
          <t>発</t>
        </is>
      </c>
      <c r="J9243" s="10" t="inlineStr">
        <is>
          <t>営業</t>
        </is>
      </c>
      <c r="L9243" t="inlineStr">
        <is>
          <t>11:55:50</t>
        </is>
      </c>
      <c r="M9243" t="inlineStr">
        <is>
          <t>11:56:20</t>
        </is>
      </c>
    </row>
    <row r="9244" ht="15" customHeight="1" s="37">
      <c r="A9244" t="n">
        <v>7</v>
      </c>
      <c r="B9244" s="10" t="inlineStr">
        <is>
          <t>平日</t>
        </is>
      </c>
      <c r="C9244" s="10" t="inlineStr">
        <is>
          <t>本線</t>
        </is>
      </c>
      <c r="D9244" s="10" t="inlineStr">
        <is>
          <t>下り</t>
        </is>
      </c>
      <c r="E9244" t="inlineStr">
        <is>
          <t>1111</t>
        </is>
      </c>
      <c r="F9244" t="inlineStr">
        <is>
          <t>0112</t>
        </is>
      </c>
      <c r="G9244" s="10" t="inlineStr">
        <is>
          <t>西大路三条</t>
        </is>
      </c>
      <c r="H9244" s="10" t="inlineStr">
        <is>
          <t>発</t>
        </is>
      </c>
      <c r="J9244" s="10" t="inlineStr">
        <is>
          <t>営業</t>
        </is>
      </c>
      <c r="L9244" t="inlineStr">
        <is>
          <t>11:58:10</t>
        </is>
      </c>
      <c r="M9244" t="inlineStr">
        <is>
          <t>11:58:30</t>
        </is>
      </c>
    </row>
    <row r="9245" ht="15" customHeight="1" s="37">
      <c r="A9245" t="n">
        <v>7</v>
      </c>
      <c r="B9245" s="10" t="inlineStr">
        <is>
          <t>平日</t>
        </is>
      </c>
      <c r="C9245" s="10" t="inlineStr">
        <is>
          <t>本線</t>
        </is>
      </c>
      <c r="D9245" s="10" t="inlineStr">
        <is>
          <t>下り</t>
        </is>
      </c>
      <c r="E9245" t="inlineStr">
        <is>
          <t>1111</t>
        </is>
      </c>
      <c r="F9245" t="inlineStr">
        <is>
          <t>0112</t>
        </is>
      </c>
      <c r="G9245" s="10" t="inlineStr">
        <is>
          <t>山ノ内</t>
        </is>
      </c>
      <c r="H9245" s="10" t="inlineStr">
        <is>
          <t>発</t>
        </is>
      </c>
      <c r="J9245" s="10" t="inlineStr">
        <is>
          <t>営業</t>
        </is>
      </c>
      <c r="L9245" t="inlineStr">
        <is>
          <t>12:00:25</t>
        </is>
      </c>
      <c r="M9245" t="inlineStr">
        <is>
          <t>12:00:50</t>
        </is>
      </c>
    </row>
    <row r="9246" ht="15" customHeight="1" s="37">
      <c r="A9246" t="n">
        <v>7</v>
      </c>
      <c r="B9246" s="10" t="inlineStr">
        <is>
          <t>平日</t>
        </is>
      </c>
      <c r="C9246" s="10" t="inlineStr">
        <is>
          <t>本線</t>
        </is>
      </c>
      <c r="D9246" s="10" t="inlineStr">
        <is>
          <t>下り</t>
        </is>
      </c>
      <c r="E9246" t="inlineStr">
        <is>
          <t>1111</t>
        </is>
      </c>
      <c r="F9246" t="inlineStr">
        <is>
          <t>0112</t>
        </is>
      </c>
      <c r="G9246" s="10" t="inlineStr">
        <is>
          <t>天神川</t>
        </is>
      </c>
      <c r="H9246" s="10" t="inlineStr">
        <is>
          <t>発</t>
        </is>
      </c>
      <c r="J9246" s="10" t="inlineStr">
        <is>
          <t>営業</t>
        </is>
      </c>
      <c r="L9246" t="inlineStr">
        <is>
          <t>12:02:50</t>
        </is>
      </c>
      <c r="M9246" t="inlineStr">
        <is>
          <t>12:03:30</t>
        </is>
      </c>
    </row>
    <row r="9247" ht="15" customHeight="1" s="37">
      <c r="A9247" t="n">
        <v>7</v>
      </c>
      <c r="B9247" s="10" t="inlineStr">
        <is>
          <t>平日</t>
        </is>
      </c>
      <c r="C9247" s="10" t="inlineStr">
        <is>
          <t>本線</t>
        </is>
      </c>
      <c r="D9247" s="10" t="inlineStr">
        <is>
          <t>下り</t>
        </is>
      </c>
      <c r="E9247" t="inlineStr">
        <is>
          <t>1111</t>
        </is>
      </c>
      <c r="F9247" t="inlineStr">
        <is>
          <t>0112</t>
        </is>
      </c>
      <c r="G9247" s="10" t="inlineStr">
        <is>
          <t>蚕ノ社</t>
        </is>
      </c>
      <c r="H9247" s="10" t="inlineStr">
        <is>
          <t>発</t>
        </is>
      </c>
      <c r="J9247" s="10" t="inlineStr">
        <is>
          <t>営業</t>
        </is>
      </c>
      <c r="L9247" t="inlineStr">
        <is>
          <t>12:04:20</t>
        </is>
      </c>
      <c r="M9247" t="inlineStr">
        <is>
          <t>12:04:40</t>
        </is>
      </c>
    </row>
    <row r="9248" ht="15" customHeight="1" s="37">
      <c r="A9248" t="n">
        <v>7</v>
      </c>
      <c r="B9248" s="10" t="inlineStr">
        <is>
          <t>平日</t>
        </is>
      </c>
      <c r="C9248" s="10" t="inlineStr">
        <is>
          <t>本線</t>
        </is>
      </c>
      <c r="D9248" s="10" t="inlineStr">
        <is>
          <t>下り</t>
        </is>
      </c>
      <c r="E9248" t="inlineStr">
        <is>
          <t>1111</t>
        </is>
      </c>
      <c r="F9248" t="inlineStr">
        <is>
          <t>0112</t>
        </is>
      </c>
      <c r="G9248" s="10" t="inlineStr">
        <is>
          <t>太秦広隆寺</t>
        </is>
      </c>
      <c r="H9248" s="10" t="inlineStr">
        <is>
          <t>発</t>
        </is>
      </c>
      <c r="J9248" s="10" t="inlineStr">
        <is>
          <t>営業</t>
        </is>
      </c>
      <c r="L9248" t="inlineStr">
        <is>
          <t>12:06:00</t>
        </is>
      </c>
      <c r="M9248" t="inlineStr">
        <is>
          <t>12:06:20</t>
        </is>
      </c>
    </row>
    <row r="9249" ht="15" customHeight="1" s="37">
      <c r="A9249" t="n">
        <v>7</v>
      </c>
      <c r="B9249" s="10" t="inlineStr">
        <is>
          <t>平日</t>
        </is>
      </c>
      <c r="C9249" s="10" t="inlineStr">
        <is>
          <t>本線</t>
        </is>
      </c>
      <c r="D9249" s="10" t="inlineStr">
        <is>
          <t>下り</t>
        </is>
      </c>
      <c r="E9249" t="inlineStr">
        <is>
          <t>1111</t>
        </is>
      </c>
      <c r="F9249" t="inlineStr">
        <is>
          <t>0112</t>
        </is>
      </c>
      <c r="G9249" s="10" t="inlineStr">
        <is>
          <t>帷子ノ辻</t>
        </is>
      </c>
      <c r="H9249" s="10" t="inlineStr">
        <is>
          <t>発</t>
        </is>
      </c>
      <c r="J9249" s="10" t="inlineStr">
        <is>
          <t>営業</t>
        </is>
      </c>
      <c r="L9249" t="inlineStr">
        <is>
          <t>12:08:20</t>
        </is>
      </c>
      <c r="M9249" t="inlineStr">
        <is>
          <t>12:09:40</t>
        </is>
      </c>
    </row>
    <row r="9250" ht="15" customHeight="1" s="37">
      <c r="A9250" t="n">
        <v>7</v>
      </c>
      <c r="B9250" s="10" t="inlineStr">
        <is>
          <t>平日</t>
        </is>
      </c>
      <c r="C9250" s="10" t="inlineStr">
        <is>
          <t>本線</t>
        </is>
      </c>
      <c r="D9250" s="10" t="inlineStr">
        <is>
          <t>下り</t>
        </is>
      </c>
      <c r="E9250" t="inlineStr">
        <is>
          <t>1111</t>
        </is>
      </c>
      <c r="F9250" t="inlineStr">
        <is>
          <t>0112</t>
        </is>
      </c>
      <c r="G9250" s="10" t="inlineStr">
        <is>
          <t>有栖川</t>
        </is>
      </c>
      <c r="H9250" s="10" t="inlineStr">
        <is>
          <t>発</t>
        </is>
      </c>
      <c r="J9250" s="10" t="inlineStr">
        <is>
          <t>営業</t>
        </is>
      </c>
      <c r="L9250" t="inlineStr">
        <is>
          <t>12:10:50</t>
        </is>
      </c>
      <c r="M9250" t="inlineStr">
        <is>
          <t>12:11:15</t>
        </is>
      </c>
    </row>
    <row r="9251" ht="15" customHeight="1" s="37">
      <c r="A9251" t="n">
        <v>7</v>
      </c>
      <c r="B9251" s="10" t="inlineStr">
        <is>
          <t>平日</t>
        </is>
      </c>
      <c r="C9251" s="10" t="inlineStr">
        <is>
          <t>本線</t>
        </is>
      </c>
      <c r="D9251" s="10" t="inlineStr">
        <is>
          <t>下り</t>
        </is>
      </c>
      <c r="E9251" t="inlineStr">
        <is>
          <t>1111</t>
        </is>
      </c>
      <c r="F9251" t="inlineStr">
        <is>
          <t>0112</t>
        </is>
      </c>
      <c r="G9251" s="10" t="inlineStr">
        <is>
          <t>車折</t>
        </is>
      </c>
      <c r="H9251" s="10" t="inlineStr">
        <is>
          <t>発</t>
        </is>
      </c>
      <c r="J9251" s="10" t="inlineStr">
        <is>
          <t>営業</t>
        </is>
      </c>
      <c r="L9251" t="inlineStr">
        <is>
          <t>12:12:40</t>
        </is>
      </c>
      <c r="M9251" t="inlineStr">
        <is>
          <t>12:13:05</t>
        </is>
      </c>
    </row>
    <row r="9252" ht="15" customHeight="1" s="37">
      <c r="A9252" t="n">
        <v>7</v>
      </c>
      <c r="B9252" s="10" t="inlineStr">
        <is>
          <t>平日</t>
        </is>
      </c>
      <c r="C9252" s="10" t="inlineStr">
        <is>
          <t>本線</t>
        </is>
      </c>
      <c r="D9252" s="10" t="inlineStr">
        <is>
          <t>下り</t>
        </is>
      </c>
      <c r="E9252" t="inlineStr">
        <is>
          <t>1111</t>
        </is>
      </c>
      <c r="F9252" t="inlineStr">
        <is>
          <t>0112</t>
        </is>
      </c>
      <c r="G9252" s="10" t="inlineStr">
        <is>
          <t>鹿王院</t>
        </is>
      </c>
      <c r="H9252" s="10" t="inlineStr">
        <is>
          <t>発</t>
        </is>
      </c>
      <c r="J9252" s="10" t="inlineStr">
        <is>
          <t>営業</t>
        </is>
      </c>
      <c r="L9252" t="inlineStr">
        <is>
          <t>12:14:00</t>
        </is>
      </c>
      <c r="M9252" t="inlineStr">
        <is>
          <t>12:14:25</t>
        </is>
      </c>
    </row>
    <row r="9253" ht="15" customHeight="1" s="37">
      <c r="A9253" t="n">
        <v>7</v>
      </c>
      <c r="B9253" s="10" t="inlineStr">
        <is>
          <t>平日</t>
        </is>
      </c>
      <c r="C9253" s="10" t="inlineStr">
        <is>
          <t>本線</t>
        </is>
      </c>
      <c r="D9253" s="10" t="inlineStr">
        <is>
          <t>下り</t>
        </is>
      </c>
      <c r="E9253" t="inlineStr">
        <is>
          <t>1111</t>
        </is>
      </c>
      <c r="F9253" t="inlineStr">
        <is>
          <t>0112</t>
        </is>
      </c>
      <c r="G9253" s="10" t="inlineStr">
        <is>
          <t>嵯峨</t>
        </is>
      </c>
      <c r="H9253" s="10" t="inlineStr">
        <is>
          <t>発</t>
        </is>
      </c>
      <c r="J9253" s="10" t="inlineStr">
        <is>
          <t>営業</t>
        </is>
      </c>
      <c r="L9253" t="inlineStr">
        <is>
          <t>12:15:30</t>
        </is>
      </c>
      <c r="M9253" t="inlineStr">
        <is>
          <t>12:15:55</t>
        </is>
      </c>
    </row>
    <row r="9254" ht="15" customHeight="1" s="37">
      <c r="A9254" t="n">
        <v>7</v>
      </c>
      <c r="B9254" s="10" t="inlineStr">
        <is>
          <t>平日</t>
        </is>
      </c>
      <c r="C9254" s="10" t="inlineStr">
        <is>
          <t>本線</t>
        </is>
      </c>
      <c r="D9254" s="10" t="inlineStr">
        <is>
          <t>下り</t>
        </is>
      </c>
      <c r="E9254" t="inlineStr">
        <is>
          <t>1111</t>
        </is>
      </c>
      <c r="F9254" t="inlineStr">
        <is>
          <t>0112</t>
        </is>
      </c>
      <c r="G9254" s="10" t="inlineStr">
        <is>
          <t>嵐山</t>
        </is>
      </c>
      <c r="H9254" s="10" t="inlineStr">
        <is>
          <t>着</t>
        </is>
      </c>
      <c r="J9254" s="10" t="inlineStr">
        <is>
          <t>営業</t>
        </is>
      </c>
      <c r="L9254" t="inlineStr">
        <is>
          <t>12:17:00</t>
        </is>
      </c>
      <c r="Q9254" t="inlineStr">
        <is>
          <t>1</t>
        </is>
      </c>
    </row>
    <row r="9255" ht="15" customHeight="1" s="37">
      <c r="A9255" t="n">
        <v>7</v>
      </c>
      <c r="B9255" s="10" t="inlineStr">
        <is>
          <t>平日</t>
        </is>
      </c>
      <c r="C9255" s="10" t="inlineStr">
        <is>
          <t>本線</t>
        </is>
      </c>
      <c r="D9255" s="10" t="inlineStr">
        <is>
          <t>上り</t>
        </is>
      </c>
      <c r="E9255" t="inlineStr">
        <is>
          <t>1206</t>
        </is>
      </c>
      <c r="F9255" t="inlineStr">
        <is>
          <t>0211</t>
        </is>
      </c>
      <c r="G9255" s="10" t="inlineStr">
        <is>
          <t>嵐山</t>
        </is>
      </c>
      <c r="H9255" s="10" t="inlineStr">
        <is>
          <t>発</t>
        </is>
      </c>
      <c r="J9255" s="10" t="inlineStr">
        <is>
          <t>営業</t>
        </is>
      </c>
      <c r="M9255" t="inlineStr">
        <is>
          <t>12:23:00</t>
        </is>
      </c>
      <c r="Q9255" t="inlineStr">
        <is>
          <t>1</t>
        </is>
      </c>
      <c r="U9255" t="inlineStr">
        <is>
          <t>→西院 休憩(12:56〜14:26)</t>
        </is>
      </c>
    </row>
    <row r="9256" ht="15" customHeight="1" s="37">
      <c r="A9256" t="n">
        <v>7</v>
      </c>
      <c r="B9256" s="10" t="inlineStr">
        <is>
          <t>平日</t>
        </is>
      </c>
      <c r="C9256" s="10" t="inlineStr">
        <is>
          <t>本線</t>
        </is>
      </c>
      <c r="D9256" s="10" t="inlineStr">
        <is>
          <t>上り</t>
        </is>
      </c>
      <c r="E9256" t="inlineStr">
        <is>
          <t>1206</t>
        </is>
      </c>
      <c r="F9256" t="inlineStr">
        <is>
          <t>0211</t>
        </is>
      </c>
      <c r="G9256" s="10" t="inlineStr">
        <is>
          <t>嵯峨</t>
        </is>
      </c>
      <c r="H9256" s="10" t="inlineStr">
        <is>
          <t>発</t>
        </is>
      </c>
      <c r="J9256" s="10" t="inlineStr">
        <is>
          <t>営業</t>
        </is>
      </c>
      <c r="L9256" t="inlineStr">
        <is>
          <t>12:23:55</t>
        </is>
      </c>
      <c r="M9256" t="inlineStr">
        <is>
          <t>12:24:20</t>
        </is>
      </c>
      <c r="U9256" t="inlineStr">
        <is>
          <t>→西院 休憩(12:56〜14:26)</t>
        </is>
      </c>
    </row>
    <row r="9257" ht="15" customHeight="1" s="37">
      <c r="A9257" t="n">
        <v>7</v>
      </c>
      <c r="B9257" s="10" t="inlineStr">
        <is>
          <t>平日</t>
        </is>
      </c>
      <c r="C9257" s="10" t="inlineStr">
        <is>
          <t>本線</t>
        </is>
      </c>
      <c r="D9257" s="10" t="inlineStr">
        <is>
          <t>上り</t>
        </is>
      </c>
      <c r="E9257" t="inlineStr">
        <is>
          <t>1206</t>
        </is>
      </c>
      <c r="F9257" t="inlineStr">
        <is>
          <t>0211</t>
        </is>
      </c>
      <c r="G9257" s="10" t="inlineStr">
        <is>
          <t>鹿王院</t>
        </is>
      </c>
      <c r="H9257" s="10" t="inlineStr">
        <is>
          <t>発</t>
        </is>
      </c>
      <c r="J9257" s="10" t="inlineStr">
        <is>
          <t>営業</t>
        </is>
      </c>
      <c r="L9257" t="inlineStr">
        <is>
          <t>12:25:25</t>
        </is>
      </c>
      <c r="M9257" t="inlineStr">
        <is>
          <t>12:25:45</t>
        </is>
      </c>
      <c r="U9257" t="inlineStr">
        <is>
          <t>→西院 休憩(12:56〜14:26)</t>
        </is>
      </c>
    </row>
    <row r="9258" ht="15" customHeight="1" s="37">
      <c r="A9258" t="n">
        <v>7</v>
      </c>
      <c r="B9258" s="10" t="inlineStr">
        <is>
          <t>平日</t>
        </is>
      </c>
      <c r="C9258" s="10" t="inlineStr">
        <is>
          <t>本線</t>
        </is>
      </c>
      <c r="D9258" s="10" t="inlineStr">
        <is>
          <t>上り</t>
        </is>
      </c>
      <c r="E9258" t="inlineStr">
        <is>
          <t>1206</t>
        </is>
      </c>
      <c r="F9258" t="inlineStr">
        <is>
          <t>0211</t>
        </is>
      </c>
      <c r="G9258" s="10" t="inlineStr">
        <is>
          <t>車折</t>
        </is>
      </c>
      <c r="H9258" s="10" t="inlineStr">
        <is>
          <t>発</t>
        </is>
      </c>
      <c r="J9258" s="10" t="inlineStr">
        <is>
          <t>営業</t>
        </is>
      </c>
      <c r="L9258" t="inlineStr">
        <is>
          <t>12:26:40</t>
        </is>
      </c>
      <c r="M9258" t="inlineStr">
        <is>
          <t>12:27:10</t>
        </is>
      </c>
      <c r="U9258" t="inlineStr">
        <is>
          <t>→西院 休憩(12:56〜14:26)</t>
        </is>
      </c>
    </row>
    <row r="9259" ht="15" customHeight="1" s="37">
      <c r="A9259" t="n">
        <v>7</v>
      </c>
      <c r="B9259" s="10" t="inlineStr">
        <is>
          <t>平日</t>
        </is>
      </c>
      <c r="C9259" s="10" t="inlineStr">
        <is>
          <t>本線</t>
        </is>
      </c>
      <c r="D9259" s="10" t="inlineStr">
        <is>
          <t>上り</t>
        </is>
      </c>
      <c r="E9259" t="inlineStr">
        <is>
          <t>1206</t>
        </is>
      </c>
      <c r="F9259" t="inlineStr">
        <is>
          <t>0211</t>
        </is>
      </c>
      <c r="G9259" s="10" t="inlineStr">
        <is>
          <t>有栖川</t>
        </is>
      </c>
      <c r="H9259" s="10" t="inlineStr">
        <is>
          <t>発</t>
        </is>
      </c>
      <c r="J9259" s="10" t="inlineStr">
        <is>
          <t>営業</t>
        </is>
      </c>
      <c r="L9259" t="inlineStr">
        <is>
          <t>12:28:35</t>
        </is>
      </c>
      <c r="M9259" t="inlineStr">
        <is>
          <t>12:28:55</t>
        </is>
      </c>
      <c r="U9259" t="inlineStr">
        <is>
          <t>→西院 休憩(12:56〜14:26)</t>
        </is>
      </c>
    </row>
    <row r="9260" ht="15" customHeight="1" s="37">
      <c r="A9260" t="n">
        <v>7</v>
      </c>
      <c r="B9260" s="10" t="inlineStr">
        <is>
          <t>平日</t>
        </is>
      </c>
      <c r="C9260" s="10" t="inlineStr">
        <is>
          <t>本線</t>
        </is>
      </c>
      <c r="D9260" s="10" t="inlineStr">
        <is>
          <t>上り</t>
        </is>
      </c>
      <c r="E9260" t="inlineStr">
        <is>
          <t>1206</t>
        </is>
      </c>
      <c r="F9260" t="inlineStr">
        <is>
          <t>0211</t>
        </is>
      </c>
      <c r="G9260" s="10" t="inlineStr">
        <is>
          <t>帷子ノ辻</t>
        </is>
      </c>
      <c r="H9260" s="10" t="inlineStr">
        <is>
          <t>発</t>
        </is>
      </c>
      <c r="J9260" s="10" t="inlineStr">
        <is>
          <t>営業</t>
        </is>
      </c>
      <c r="L9260" t="inlineStr">
        <is>
          <t>12:30:10</t>
        </is>
      </c>
      <c r="M9260" t="inlineStr">
        <is>
          <t>12:31:15</t>
        </is>
      </c>
      <c r="U9260" t="inlineStr">
        <is>
          <t>→西院 休憩(12:56〜14:26)</t>
        </is>
      </c>
    </row>
    <row r="9261" ht="15" customHeight="1" s="37">
      <c r="A9261" t="n">
        <v>7</v>
      </c>
      <c r="B9261" s="10" t="inlineStr">
        <is>
          <t>平日</t>
        </is>
      </c>
      <c r="C9261" s="10" t="inlineStr">
        <is>
          <t>本線</t>
        </is>
      </c>
      <c r="D9261" s="10" t="inlineStr">
        <is>
          <t>上り</t>
        </is>
      </c>
      <c r="E9261" t="inlineStr">
        <is>
          <t>1206</t>
        </is>
      </c>
      <c r="F9261" t="inlineStr">
        <is>
          <t>0211</t>
        </is>
      </c>
      <c r="G9261" s="10" t="inlineStr">
        <is>
          <t>太秦広隆寺</t>
        </is>
      </c>
      <c r="H9261" s="10" t="inlineStr">
        <is>
          <t>発</t>
        </is>
      </c>
      <c r="J9261" s="10" t="inlineStr">
        <is>
          <t>営業</t>
        </is>
      </c>
      <c r="L9261" t="inlineStr">
        <is>
          <t>12:33:25</t>
        </is>
      </c>
      <c r="M9261" t="inlineStr">
        <is>
          <t>12:33:45</t>
        </is>
      </c>
      <c r="U9261" t="inlineStr">
        <is>
          <t>→西院 休憩(12:56〜14:26)</t>
        </is>
      </c>
    </row>
    <row r="9262" ht="15" customHeight="1" s="37">
      <c r="A9262" t="n">
        <v>7</v>
      </c>
      <c r="B9262" s="10" t="inlineStr">
        <is>
          <t>平日</t>
        </is>
      </c>
      <c r="C9262" s="10" t="inlineStr">
        <is>
          <t>本線</t>
        </is>
      </c>
      <c r="D9262" s="10" t="inlineStr">
        <is>
          <t>上り</t>
        </is>
      </c>
      <c r="E9262" t="inlineStr">
        <is>
          <t>1206</t>
        </is>
      </c>
      <c r="F9262" t="inlineStr">
        <is>
          <t>0211</t>
        </is>
      </c>
      <c r="G9262" s="10" t="inlineStr">
        <is>
          <t>蚕ノ社</t>
        </is>
      </c>
      <c r="H9262" s="10" t="inlineStr">
        <is>
          <t>発</t>
        </is>
      </c>
      <c r="J9262" s="10" t="inlineStr">
        <is>
          <t>営業</t>
        </is>
      </c>
      <c r="L9262" t="inlineStr">
        <is>
          <t>12:35:00</t>
        </is>
      </c>
      <c r="M9262" t="inlineStr">
        <is>
          <t>12:35:20</t>
        </is>
      </c>
      <c r="U9262" t="inlineStr">
        <is>
          <t>→西院 休憩(12:56〜14:26)</t>
        </is>
      </c>
    </row>
    <row r="9263" ht="15" customHeight="1" s="37">
      <c r="A9263" t="n">
        <v>7</v>
      </c>
      <c r="B9263" s="10" t="inlineStr">
        <is>
          <t>平日</t>
        </is>
      </c>
      <c r="C9263" s="10" t="inlineStr">
        <is>
          <t>本線</t>
        </is>
      </c>
      <c r="D9263" s="10" t="inlineStr">
        <is>
          <t>上り</t>
        </is>
      </c>
      <c r="E9263" t="inlineStr">
        <is>
          <t>1206</t>
        </is>
      </c>
      <c r="F9263" t="inlineStr">
        <is>
          <t>0211</t>
        </is>
      </c>
      <c r="G9263" s="10" t="inlineStr">
        <is>
          <t>天神川</t>
        </is>
      </c>
      <c r="H9263" s="10" t="inlineStr">
        <is>
          <t>発</t>
        </is>
      </c>
      <c r="J9263" s="10" t="inlineStr">
        <is>
          <t>営業</t>
        </is>
      </c>
      <c r="L9263" t="inlineStr">
        <is>
          <t>12:36:05</t>
        </is>
      </c>
      <c r="M9263" t="inlineStr">
        <is>
          <t>12:36:50</t>
        </is>
      </c>
      <c r="U9263" t="inlineStr">
        <is>
          <t>→西院 休憩(12:56〜14:26)</t>
        </is>
      </c>
    </row>
    <row r="9264" ht="15" customHeight="1" s="37">
      <c r="A9264" t="n">
        <v>7</v>
      </c>
      <c r="B9264" s="10" t="inlineStr">
        <is>
          <t>平日</t>
        </is>
      </c>
      <c r="C9264" s="10" t="inlineStr">
        <is>
          <t>本線</t>
        </is>
      </c>
      <c r="D9264" s="10" t="inlineStr">
        <is>
          <t>上り</t>
        </is>
      </c>
      <c r="E9264" t="inlineStr">
        <is>
          <t>1206</t>
        </is>
      </c>
      <c r="F9264" t="inlineStr">
        <is>
          <t>0211</t>
        </is>
      </c>
      <c r="G9264" s="10" t="inlineStr">
        <is>
          <t>山ノ内</t>
        </is>
      </c>
      <c r="H9264" s="10" t="inlineStr">
        <is>
          <t>発</t>
        </is>
      </c>
      <c r="J9264" s="10" t="inlineStr">
        <is>
          <t>営業</t>
        </is>
      </c>
      <c r="L9264" t="inlineStr">
        <is>
          <t>12:38:40</t>
        </is>
      </c>
      <c r="M9264" t="inlineStr">
        <is>
          <t>12:39:05</t>
        </is>
      </c>
      <c r="U9264" t="inlineStr">
        <is>
          <t>→西院 休憩(12:56〜14:26)</t>
        </is>
      </c>
    </row>
    <row r="9265" ht="15" customHeight="1" s="37">
      <c r="A9265" t="n">
        <v>7</v>
      </c>
      <c r="B9265" s="10" t="inlineStr">
        <is>
          <t>平日</t>
        </is>
      </c>
      <c r="C9265" s="10" t="inlineStr">
        <is>
          <t>本線</t>
        </is>
      </c>
      <c r="D9265" s="10" t="inlineStr">
        <is>
          <t>上り</t>
        </is>
      </c>
      <c r="E9265" t="inlineStr">
        <is>
          <t>1206</t>
        </is>
      </c>
      <c r="F9265" t="inlineStr">
        <is>
          <t>0211</t>
        </is>
      </c>
      <c r="G9265" s="10" t="inlineStr">
        <is>
          <t>西大路三条</t>
        </is>
      </c>
      <c r="H9265" s="10" t="inlineStr">
        <is>
          <t>発</t>
        </is>
      </c>
      <c r="J9265" s="10" t="inlineStr">
        <is>
          <t>営業</t>
        </is>
      </c>
      <c r="L9265" t="inlineStr">
        <is>
          <t>12:40:55</t>
        </is>
      </c>
      <c r="M9265" t="inlineStr">
        <is>
          <t>12:41:15</t>
        </is>
      </c>
      <c r="U9265" t="inlineStr">
        <is>
          <t>→西院 休憩(12:56〜14:26)</t>
        </is>
      </c>
    </row>
    <row r="9266" ht="15" customHeight="1" s="37">
      <c r="A9266" t="n">
        <v>7</v>
      </c>
      <c r="B9266" s="10" t="inlineStr">
        <is>
          <t>平日</t>
        </is>
      </c>
      <c r="C9266" s="10" t="inlineStr">
        <is>
          <t>本線</t>
        </is>
      </c>
      <c r="D9266" s="10" t="inlineStr">
        <is>
          <t>上り</t>
        </is>
      </c>
      <c r="E9266" t="inlineStr">
        <is>
          <t>1206</t>
        </is>
      </c>
      <c r="F9266" t="inlineStr">
        <is>
          <t>0211</t>
        </is>
      </c>
      <c r="G9266" s="10" t="inlineStr">
        <is>
          <t>西院</t>
        </is>
      </c>
      <c r="H9266" s="10" t="inlineStr">
        <is>
          <t>発</t>
        </is>
      </c>
      <c r="J9266" s="10" t="inlineStr">
        <is>
          <t>営業</t>
        </is>
      </c>
      <c r="L9266" t="inlineStr">
        <is>
          <t>12:43:10</t>
        </is>
      </c>
      <c r="M9266" t="inlineStr">
        <is>
          <t>12:44:05</t>
        </is>
      </c>
      <c r="U9266" t="inlineStr">
        <is>
          <t>→西院 休憩(12:56〜14:26)</t>
        </is>
      </c>
    </row>
    <row r="9267" ht="15" customHeight="1" s="37">
      <c r="A9267" t="n">
        <v>7</v>
      </c>
      <c r="B9267" s="10" t="inlineStr">
        <is>
          <t>平日</t>
        </is>
      </c>
      <c r="C9267" s="10" t="inlineStr">
        <is>
          <t>本線</t>
        </is>
      </c>
      <c r="D9267" s="10" t="inlineStr">
        <is>
          <t>上り</t>
        </is>
      </c>
      <c r="E9267" t="inlineStr">
        <is>
          <t>1206</t>
        </is>
      </c>
      <c r="F9267" t="inlineStr">
        <is>
          <t>0211</t>
        </is>
      </c>
      <c r="G9267" s="10" t="inlineStr">
        <is>
          <t>四条大宮</t>
        </is>
      </c>
      <c r="H9267" s="10" t="inlineStr">
        <is>
          <t>着</t>
        </is>
      </c>
      <c r="J9267" s="10" t="inlineStr">
        <is>
          <t>営業</t>
        </is>
      </c>
      <c r="L9267" t="inlineStr">
        <is>
          <t>12:47:00</t>
        </is>
      </c>
      <c r="Q9267" t="inlineStr">
        <is>
          <t>1</t>
        </is>
      </c>
      <c r="U9267" t="inlineStr">
        <is>
          <t>→西院 休憩(12:56〜14:26)</t>
        </is>
      </c>
    </row>
    <row r="9268" ht="15" customHeight="1" s="37">
      <c r="A9268" t="n">
        <v>7</v>
      </c>
      <c r="B9268" s="10" t="inlineStr">
        <is>
          <t>平日</t>
        </is>
      </c>
      <c r="C9268" s="10" t="inlineStr">
        <is>
          <t>本線</t>
        </is>
      </c>
      <c r="D9268" s="10" t="inlineStr">
        <is>
          <t>下り</t>
        </is>
      </c>
      <c r="E9268" t="inlineStr">
        <is>
          <t>1211</t>
        </is>
      </c>
      <c r="F9268" t="inlineStr">
        <is>
          <t>0112</t>
        </is>
      </c>
      <c r="G9268" s="10" t="inlineStr">
        <is>
          <t>四条大宮</t>
        </is>
      </c>
      <c r="H9268" s="10" t="inlineStr">
        <is>
          <t>発</t>
        </is>
      </c>
      <c r="J9268" s="10" t="inlineStr">
        <is>
          <t>営業</t>
        </is>
      </c>
      <c r="M9268" t="inlineStr">
        <is>
          <t>12:53:00</t>
        </is>
      </c>
      <c r="Q9268" t="inlineStr">
        <is>
          <t>1</t>
        </is>
      </c>
      <c r="U9268" t="inlineStr">
        <is>
          <t>→西院 休憩(12:56〜14:26)</t>
        </is>
      </c>
    </row>
    <row r="9269" ht="15" customHeight="1" s="37">
      <c r="A9269" t="n">
        <v>7</v>
      </c>
      <c r="B9269" s="10" t="inlineStr">
        <is>
          <t>平日</t>
        </is>
      </c>
      <c r="C9269" s="10" t="inlineStr">
        <is>
          <t>本線</t>
        </is>
      </c>
      <c r="D9269" s="10" t="inlineStr">
        <is>
          <t>下り</t>
        </is>
      </c>
      <c r="E9269" t="inlineStr">
        <is>
          <t>1211</t>
        </is>
      </c>
      <c r="F9269" t="inlineStr">
        <is>
          <t>0112</t>
        </is>
      </c>
      <c r="G9269" s="10" t="inlineStr">
        <is>
          <t>西院</t>
        </is>
      </c>
      <c r="H9269" s="10" t="inlineStr">
        <is>
          <t>着</t>
        </is>
      </c>
      <c r="J9269" s="10" t="inlineStr">
        <is>
          <t>営業</t>
        </is>
      </c>
      <c r="L9269" t="inlineStr">
        <is>
          <t>12:55:50</t>
        </is>
      </c>
      <c r="M9269" t="inlineStr">
        <is>
          <t>12:56:20</t>
        </is>
      </c>
      <c r="U9269" t="inlineStr">
        <is>
          <t>→西院 休憩(12:56〜14:26)</t>
        </is>
      </c>
    </row>
    <row r="9270" ht="15" customHeight="1" s="37">
      <c r="A9270" t="n">
        <v>7</v>
      </c>
      <c r="B9270" s="10" t="inlineStr">
        <is>
          <t>平日</t>
        </is>
      </c>
      <c r="C9270" s="10" t="inlineStr">
        <is>
          <t>本線</t>
        </is>
      </c>
      <c r="D9270" s="10" t="inlineStr">
        <is>
          <t>下り</t>
        </is>
      </c>
      <c r="E9270" t="inlineStr">
        <is>
          <t>1405</t>
        </is>
      </c>
      <c r="F9270" t="inlineStr">
        <is>
          <t>0112</t>
        </is>
      </c>
      <c r="G9270" s="10" t="inlineStr">
        <is>
          <t>西院</t>
        </is>
      </c>
      <c r="H9270" s="10" t="inlineStr">
        <is>
          <t>発</t>
        </is>
      </c>
      <c r="J9270" s="10" t="inlineStr">
        <is>
          <t>営業</t>
        </is>
      </c>
      <c r="L9270" t="inlineStr">
        <is>
          <t>14:25:50</t>
        </is>
      </c>
      <c r="M9270" t="inlineStr">
        <is>
          <t>14:26:20</t>
        </is>
      </c>
    </row>
    <row r="9271" ht="15" customHeight="1" s="37">
      <c r="A9271" t="n">
        <v>7</v>
      </c>
      <c r="B9271" s="10" t="inlineStr">
        <is>
          <t>平日</t>
        </is>
      </c>
      <c r="C9271" s="10" t="inlineStr">
        <is>
          <t>本線</t>
        </is>
      </c>
      <c r="D9271" s="10" t="inlineStr">
        <is>
          <t>下り</t>
        </is>
      </c>
      <c r="E9271" t="inlineStr">
        <is>
          <t>1405</t>
        </is>
      </c>
      <c r="F9271" t="inlineStr">
        <is>
          <t>0112</t>
        </is>
      </c>
      <c r="G9271" s="10" t="inlineStr">
        <is>
          <t>西大路三条</t>
        </is>
      </c>
      <c r="H9271" s="10" t="inlineStr">
        <is>
          <t>発</t>
        </is>
      </c>
      <c r="J9271" s="10" t="inlineStr">
        <is>
          <t>営業</t>
        </is>
      </c>
      <c r="L9271" t="inlineStr">
        <is>
          <t>14:28:10</t>
        </is>
      </c>
      <c r="M9271" t="inlineStr">
        <is>
          <t>14:28:30</t>
        </is>
      </c>
    </row>
    <row r="9272" ht="15" customHeight="1" s="37">
      <c r="A9272" t="n">
        <v>7</v>
      </c>
      <c r="B9272" s="10" t="inlineStr">
        <is>
          <t>平日</t>
        </is>
      </c>
      <c r="C9272" s="10" t="inlineStr">
        <is>
          <t>本線</t>
        </is>
      </c>
      <c r="D9272" s="10" t="inlineStr">
        <is>
          <t>下り</t>
        </is>
      </c>
      <c r="E9272" t="inlineStr">
        <is>
          <t>1405</t>
        </is>
      </c>
      <c r="F9272" t="inlineStr">
        <is>
          <t>0112</t>
        </is>
      </c>
      <c r="G9272" s="10" t="inlineStr">
        <is>
          <t>山ノ内</t>
        </is>
      </c>
      <c r="H9272" s="10" t="inlineStr">
        <is>
          <t>発</t>
        </is>
      </c>
      <c r="J9272" s="10" t="inlineStr">
        <is>
          <t>営業</t>
        </is>
      </c>
      <c r="L9272" t="inlineStr">
        <is>
          <t>14:30:25</t>
        </is>
      </c>
      <c r="M9272" t="inlineStr">
        <is>
          <t>14:30:50</t>
        </is>
      </c>
    </row>
    <row r="9273" ht="15" customHeight="1" s="37">
      <c r="A9273" t="n">
        <v>7</v>
      </c>
      <c r="B9273" s="10" t="inlineStr">
        <is>
          <t>平日</t>
        </is>
      </c>
      <c r="C9273" s="10" t="inlineStr">
        <is>
          <t>本線</t>
        </is>
      </c>
      <c r="D9273" s="10" t="inlineStr">
        <is>
          <t>下り</t>
        </is>
      </c>
      <c r="E9273" t="inlineStr">
        <is>
          <t>1405</t>
        </is>
      </c>
      <c r="F9273" t="inlineStr">
        <is>
          <t>0112</t>
        </is>
      </c>
      <c r="G9273" s="10" t="inlineStr">
        <is>
          <t>天神川</t>
        </is>
      </c>
      <c r="H9273" s="10" t="inlineStr">
        <is>
          <t>発</t>
        </is>
      </c>
      <c r="J9273" s="10" t="inlineStr">
        <is>
          <t>営業</t>
        </is>
      </c>
      <c r="L9273" t="inlineStr">
        <is>
          <t>14:32:50</t>
        </is>
      </c>
      <c r="M9273" t="inlineStr">
        <is>
          <t>14:33:30</t>
        </is>
      </c>
    </row>
    <row r="9274" ht="15" customHeight="1" s="37">
      <c r="A9274" t="n">
        <v>7</v>
      </c>
      <c r="B9274" s="10" t="inlineStr">
        <is>
          <t>平日</t>
        </is>
      </c>
      <c r="C9274" s="10" t="inlineStr">
        <is>
          <t>本線</t>
        </is>
      </c>
      <c r="D9274" s="10" t="inlineStr">
        <is>
          <t>下り</t>
        </is>
      </c>
      <c r="E9274" t="inlineStr">
        <is>
          <t>1405</t>
        </is>
      </c>
      <c r="F9274" t="inlineStr">
        <is>
          <t>0112</t>
        </is>
      </c>
      <c r="G9274" s="10" t="inlineStr">
        <is>
          <t>蚕ノ社</t>
        </is>
      </c>
      <c r="H9274" s="10" t="inlineStr">
        <is>
          <t>発</t>
        </is>
      </c>
      <c r="J9274" s="10" t="inlineStr">
        <is>
          <t>営業</t>
        </is>
      </c>
      <c r="L9274" t="inlineStr">
        <is>
          <t>14:34:20</t>
        </is>
      </c>
      <c r="M9274" t="inlineStr">
        <is>
          <t>14:34:40</t>
        </is>
      </c>
    </row>
    <row r="9275" ht="16.5" customHeight="1" s="37">
      <c r="A9275" t="n">
        <v>7</v>
      </c>
      <c r="B9275" s="10" t="inlineStr">
        <is>
          <t>平日</t>
        </is>
      </c>
      <c r="C9275" s="10" t="inlineStr">
        <is>
          <t>本線</t>
        </is>
      </c>
      <c r="D9275" s="10" t="inlineStr">
        <is>
          <t>下り</t>
        </is>
      </c>
      <c r="E9275" t="inlineStr">
        <is>
          <t>1405</t>
        </is>
      </c>
      <c r="F9275" t="inlineStr">
        <is>
          <t>0112</t>
        </is>
      </c>
      <c r="G9275" s="10" t="inlineStr">
        <is>
          <t>太秦広隆寺</t>
        </is>
      </c>
      <c r="H9275" s="10" t="inlineStr">
        <is>
          <t>発</t>
        </is>
      </c>
      <c r="J9275" s="10" t="inlineStr">
        <is>
          <t>営業</t>
        </is>
      </c>
      <c r="L9275" t="inlineStr">
        <is>
          <t>14:36:00</t>
        </is>
      </c>
      <c r="M9275" t="inlineStr">
        <is>
          <t>14:36:20</t>
        </is>
      </c>
    </row>
    <row r="9276" ht="16.5" customHeight="1" s="37">
      <c r="A9276" t="n">
        <v>7</v>
      </c>
      <c r="B9276" s="10" t="inlineStr">
        <is>
          <t>平日</t>
        </is>
      </c>
      <c r="C9276" s="10" t="inlineStr">
        <is>
          <t>本線</t>
        </is>
      </c>
      <c r="D9276" s="10" t="inlineStr">
        <is>
          <t>下り</t>
        </is>
      </c>
      <c r="E9276" t="inlineStr">
        <is>
          <t>1405</t>
        </is>
      </c>
      <c r="F9276" t="inlineStr">
        <is>
          <t>0112</t>
        </is>
      </c>
      <c r="G9276" s="10" t="inlineStr">
        <is>
          <t>帷子ノ辻</t>
        </is>
      </c>
      <c r="H9276" s="10" t="inlineStr">
        <is>
          <t>発</t>
        </is>
      </c>
      <c r="J9276" s="10" t="inlineStr">
        <is>
          <t>営業</t>
        </is>
      </c>
      <c r="L9276" t="inlineStr">
        <is>
          <t>14:38:20</t>
        </is>
      </c>
      <c r="M9276" t="inlineStr">
        <is>
          <t>14:39:40</t>
        </is>
      </c>
    </row>
    <row r="9277" ht="16.5" customHeight="1" s="37">
      <c r="A9277" t="n">
        <v>7</v>
      </c>
      <c r="B9277" s="10" t="inlineStr">
        <is>
          <t>平日</t>
        </is>
      </c>
      <c r="C9277" s="10" t="inlineStr">
        <is>
          <t>本線</t>
        </is>
      </c>
      <c r="D9277" s="10" t="inlineStr">
        <is>
          <t>下り</t>
        </is>
      </c>
      <c r="E9277" t="inlineStr">
        <is>
          <t>1405</t>
        </is>
      </c>
      <c r="F9277" t="inlineStr">
        <is>
          <t>0112</t>
        </is>
      </c>
      <c r="G9277" s="10" t="inlineStr">
        <is>
          <t>有栖川</t>
        </is>
      </c>
      <c r="H9277" s="10" t="inlineStr">
        <is>
          <t>発</t>
        </is>
      </c>
      <c r="J9277" s="10" t="inlineStr">
        <is>
          <t>営業</t>
        </is>
      </c>
      <c r="L9277" t="inlineStr">
        <is>
          <t>14:40:50</t>
        </is>
      </c>
      <c r="M9277" t="inlineStr">
        <is>
          <t>14:41:15</t>
        </is>
      </c>
    </row>
    <row r="9278" ht="16.5" customHeight="1" s="37">
      <c r="A9278" t="n">
        <v>7</v>
      </c>
      <c r="B9278" s="10" t="inlineStr">
        <is>
          <t>平日</t>
        </is>
      </c>
      <c r="C9278" s="10" t="inlineStr">
        <is>
          <t>本線</t>
        </is>
      </c>
      <c r="D9278" s="10" t="inlineStr">
        <is>
          <t>下り</t>
        </is>
      </c>
      <c r="E9278" t="inlineStr">
        <is>
          <t>1405</t>
        </is>
      </c>
      <c r="F9278" t="inlineStr">
        <is>
          <t>0112</t>
        </is>
      </c>
      <c r="G9278" s="10" t="inlineStr">
        <is>
          <t>車折</t>
        </is>
      </c>
      <c r="H9278" s="10" t="inlineStr">
        <is>
          <t>発</t>
        </is>
      </c>
      <c r="J9278" s="10" t="inlineStr">
        <is>
          <t>営業</t>
        </is>
      </c>
      <c r="L9278" t="inlineStr">
        <is>
          <t>14:42:40</t>
        </is>
      </c>
      <c r="M9278" t="inlineStr">
        <is>
          <t>14:43:05</t>
        </is>
      </c>
    </row>
    <row r="9279" ht="16.5" customHeight="1" s="37">
      <c r="A9279" t="n">
        <v>7</v>
      </c>
      <c r="B9279" s="10" t="inlineStr">
        <is>
          <t>平日</t>
        </is>
      </c>
      <c r="C9279" s="10" t="inlineStr">
        <is>
          <t>本線</t>
        </is>
      </c>
      <c r="D9279" s="10" t="inlineStr">
        <is>
          <t>下り</t>
        </is>
      </c>
      <c r="E9279" t="inlineStr">
        <is>
          <t>1405</t>
        </is>
      </c>
      <c r="F9279" t="inlineStr">
        <is>
          <t>0112</t>
        </is>
      </c>
      <c r="G9279" s="10" t="inlineStr">
        <is>
          <t>鹿王院</t>
        </is>
      </c>
      <c r="H9279" s="10" t="inlineStr">
        <is>
          <t>発</t>
        </is>
      </c>
      <c r="J9279" s="10" t="inlineStr">
        <is>
          <t>営業</t>
        </is>
      </c>
      <c r="L9279" t="inlineStr">
        <is>
          <t>14:44:00</t>
        </is>
      </c>
      <c r="M9279" t="inlineStr">
        <is>
          <t>14:44:25</t>
        </is>
      </c>
    </row>
    <row r="9280" ht="16.5" customHeight="1" s="37">
      <c r="A9280" t="n">
        <v>7</v>
      </c>
      <c r="B9280" s="10" t="inlineStr">
        <is>
          <t>平日</t>
        </is>
      </c>
      <c r="C9280" s="10" t="inlineStr">
        <is>
          <t>本線</t>
        </is>
      </c>
      <c r="D9280" s="10" t="inlineStr">
        <is>
          <t>下り</t>
        </is>
      </c>
      <c r="E9280" t="inlineStr">
        <is>
          <t>1405</t>
        </is>
      </c>
      <c r="F9280" t="inlineStr">
        <is>
          <t>0112</t>
        </is>
      </c>
      <c r="G9280" s="10" t="inlineStr">
        <is>
          <t>嵯峨</t>
        </is>
      </c>
      <c r="H9280" s="10" t="inlineStr">
        <is>
          <t>発</t>
        </is>
      </c>
      <c r="J9280" s="10" t="inlineStr">
        <is>
          <t>営業</t>
        </is>
      </c>
      <c r="L9280" t="inlineStr">
        <is>
          <t>14:45:30</t>
        </is>
      </c>
      <c r="M9280" t="inlineStr">
        <is>
          <t>14:45:55</t>
        </is>
      </c>
    </row>
    <row r="9281" ht="16.5" customHeight="1" s="37">
      <c r="A9281" t="n">
        <v>7</v>
      </c>
      <c r="B9281" s="10" t="inlineStr">
        <is>
          <t>平日</t>
        </is>
      </c>
      <c r="C9281" s="10" t="inlineStr">
        <is>
          <t>本線</t>
        </is>
      </c>
      <c r="D9281" s="10" t="inlineStr">
        <is>
          <t>下り</t>
        </is>
      </c>
      <c r="E9281" t="inlineStr">
        <is>
          <t>1405</t>
        </is>
      </c>
      <c r="F9281" t="inlineStr">
        <is>
          <t>0112</t>
        </is>
      </c>
      <c r="G9281" s="10" t="inlineStr">
        <is>
          <t>嵐山</t>
        </is>
      </c>
      <c r="H9281" s="10" t="inlineStr">
        <is>
          <t>着</t>
        </is>
      </c>
      <c r="J9281" s="10" t="inlineStr">
        <is>
          <t>営業</t>
        </is>
      </c>
      <c r="L9281" t="inlineStr">
        <is>
          <t>14:47:00</t>
        </is>
      </c>
      <c r="Q9281" t="inlineStr">
        <is>
          <t>1</t>
        </is>
      </c>
    </row>
    <row r="9282" ht="16.5" customHeight="1" s="37">
      <c r="A9282" t="n">
        <v>7</v>
      </c>
      <c r="B9282" s="10" t="inlineStr">
        <is>
          <t>平日</t>
        </is>
      </c>
      <c r="C9282" s="10" t="inlineStr">
        <is>
          <t>本線</t>
        </is>
      </c>
      <c r="D9282" s="10" t="inlineStr">
        <is>
          <t>上り</t>
        </is>
      </c>
      <c r="E9282" t="inlineStr">
        <is>
          <t>1412</t>
        </is>
      </c>
      <c r="F9282" t="inlineStr">
        <is>
          <t>0211</t>
        </is>
      </c>
      <c r="G9282" s="10" t="inlineStr">
        <is>
          <t>嵐山</t>
        </is>
      </c>
      <c r="H9282" s="10" t="inlineStr">
        <is>
          <t>発</t>
        </is>
      </c>
      <c r="J9282" s="10" t="inlineStr">
        <is>
          <t>営業</t>
        </is>
      </c>
      <c r="M9282" t="inlineStr">
        <is>
          <t>14:53:00</t>
        </is>
      </c>
      <c r="Q9282" t="inlineStr">
        <is>
          <t>1</t>
        </is>
      </c>
    </row>
    <row r="9283" ht="16.5" customHeight="1" s="37">
      <c r="A9283" t="n">
        <v>7</v>
      </c>
      <c r="B9283" s="10" t="inlineStr">
        <is>
          <t>平日</t>
        </is>
      </c>
      <c r="C9283" s="10" t="inlineStr">
        <is>
          <t>本線</t>
        </is>
      </c>
      <c r="D9283" s="10" t="inlineStr">
        <is>
          <t>上り</t>
        </is>
      </c>
      <c r="E9283" t="inlineStr">
        <is>
          <t>1412</t>
        </is>
      </c>
      <c r="F9283" t="inlineStr">
        <is>
          <t>0211</t>
        </is>
      </c>
      <c r="G9283" s="10" t="inlineStr">
        <is>
          <t>嵯峨</t>
        </is>
      </c>
      <c r="H9283" s="10" t="inlineStr">
        <is>
          <t>発</t>
        </is>
      </c>
      <c r="J9283" s="10" t="inlineStr">
        <is>
          <t>営業</t>
        </is>
      </c>
      <c r="L9283" t="inlineStr">
        <is>
          <t>14:53:55</t>
        </is>
      </c>
      <c r="M9283" t="inlineStr">
        <is>
          <t>14:54:20</t>
        </is>
      </c>
    </row>
    <row r="9284" ht="16.5" customHeight="1" s="37">
      <c r="A9284" t="n">
        <v>7</v>
      </c>
      <c r="B9284" s="10" t="inlineStr">
        <is>
          <t>平日</t>
        </is>
      </c>
      <c r="C9284" s="10" t="inlineStr">
        <is>
          <t>本線</t>
        </is>
      </c>
      <c r="D9284" s="10" t="inlineStr">
        <is>
          <t>上り</t>
        </is>
      </c>
      <c r="E9284" t="inlineStr">
        <is>
          <t>1412</t>
        </is>
      </c>
      <c r="F9284" t="inlineStr">
        <is>
          <t>0211</t>
        </is>
      </c>
      <c r="G9284" s="10" t="inlineStr">
        <is>
          <t>鹿王院</t>
        </is>
      </c>
      <c r="H9284" s="10" t="inlineStr">
        <is>
          <t>発</t>
        </is>
      </c>
      <c r="J9284" s="10" t="inlineStr">
        <is>
          <t>営業</t>
        </is>
      </c>
      <c r="L9284" t="inlineStr">
        <is>
          <t>14:55:25</t>
        </is>
      </c>
      <c r="M9284" t="inlineStr">
        <is>
          <t>14:55:45</t>
        </is>
      </c>
    </row>
    <row r="9285" ht="16.5" customHeight="1" s="37">
      <c r="A9285" t="n">
        <v>7</v>
      </c>
      <c r="B9285" s="10" t="inlineStr">
        <is>
          <t>平日</t>
        </is>
      </c>
      <c r="C9285" s="10" t="inlineStr">
        <is>
          <t>本線</t>
        </is>
      </c>
      <c r="D9285" s="10" t="inlineStr">
        <is>
          <t>上り</t>
        </is>
      </c>
      <c r="E9285" t="inlineStr">
        <is>
          <t>1412</t>
        </is>
      </c>
      <c r="F9285" t="inlineStr">
        <is>
          <t>0211</t>
        </is>
      </c>
      <c r="G9285" s="10" t="inlineStr">
        <is>
          <t>車折</t>
        </is>
      </c>
      <c r="H9285" s="10" t="inlineStr">
        <is>
          <t>発</t>
        </is>
      </c>
      <c r="J9285" s="10" t="inlineStr">
        <is>
          <t>営業</t>
        </is>
      </c>
      <c r="L9285" t="inlineStr">
        <is>
          <t>14:56:40</t>
        </is>
      </c>
      <c r="M9285" t="inlineStr">
        <is>
          <t>14:57:10</t>
        </is>
      </c>
    </row>
    <row r="9286" ht="16.5" customHeight="1" s="37">
      <c r="A9286" t="n">
        <v>7</v>
      </c>
      <c r="B9286" s="10" t="inlineStr">
        <is>
          <t>平日</t>
        </is>
      </c>
      <c r="C9286" s="10" t="inlineStr">
        <is>
          <t>本線</t>
        </is>
      </c>
      <c r="D9286" s="10" t="inlineStr">
        <is>
          <t>上り</t>
        </is>
      </c>
      <c r="E9286" t="inlineStr">
        <is>
          <t>1412</t>
        </is>
      </c>
      <c r="F9286" t="inlineStr">
        <is>
          <t>0211</t>
        </is>
      </c>
      <c r="G9286" s="10" t="inlineStr">
        <is>
          <t>有栖川</t>
        </is>
      </c>
      <c r="H9286" s="10" t="inlineStr">
        <is>
          <t>発</t>
        </is>
      </c>
      <c r="J9286" s="10" t="inlineStr">
        <is>
          <t>営業</t>
        </is>
      </c>
      <c r="L9286" t="inlineStr">
        <is>
          <t>14:58:35</t>
        </is>
      </c>
      <c r="M9286" t="inlineStr">
        <is>
          <t>14:58:55</t>
        </is>
      </c>
    </row>
    <row r="9287" ht="16.5" customHeight="1" s="37">
      <c r="A9287" t="n">
        <v>7</v>
      </c>
      <c r="B9287" s="10" t="inlineStr">
        <is>
          <t>平日</t>
        </is>
      </c>
      <c r="C9287" s="10" t="inlineStr">
        <is>
          <t>本線</t>
        </is>
      </c>
      <c r="D9287" s="10" t="inlineStr">
        <is>
          <t>上り</t>
        </is>
      </c>
      <c r="E9287" t="inlineStr">
        <is>
          <t>1412</t>
        </is>
      </c>
      <c r="F9287" t="inlineStr">
        <is>
          <t>0211</t>
        </is>
      </c>
      <c r="G9287" s="10" t="inlineStr">
        <is>
          <t>帷子ノ辻</t>
        </is>
      </c>
      <c r="H9287" s="10" t="inlineStr">
        <is>
          <t>発</t>
        </is>
      </c>
      <c r="J9287" s="10" t="inlineStr">
        <is>
          <t>営業</t>
        </is>
      </c>
      <c r="L9287" t="inlineStr">
        <is>
          <t>15:00:10</t>
        </is>
      </c>
      <c r="M9287" t="inlineStr">
        <is>
          <t>15:01:15</t>
        </is>
      </c>
    </row>
    <row r="9288" ht="16.5" customHeight="1" s="37">
      <c r="A9288" t="n">
        <v>7</v>
      </c>
      <c r="B9288" s="10" t="inlineStr">
        <is>
          <t>平日</t>
        </is>
      </c>
      <c r="C9288" s="10" t="inlineStr">
        <is>
          <t>本線</t>
        </is>
      </c>
      <c r="D9288" s="10" t="inlineStr">
        <is>
          <t>上り</t>
        </is>
      </c>
      <c r="E9288" t="inlineStr">
        <is>
          <t>1412</t>
        </is>
      </c>
      <c r="F9288" t="inlineStr">
        <is>
          <t>0211</t>
        </is>
      </c>
      <c r="G9288" s="10" t="inlineStr">
        <is>
          <t>太秦広隆寺</t>
        </is>
      </c>
      <c r="H9288" s="10" t="inlineStr">
        <is>
          <t>発</t>
        </is>
      </c>
      <c r="J9288" s="10" t="inlineStr">
        <is>
          <t>営業</t>
        </is>
      </c>
      <c r="L9288" t="inlineStr">
        <is>
          <t>15:03:25</t>
        </is>
      </c>
      <c r="M9288" t="inlineStr">
        <is>
          <t>15:03:45</t>
        </is>
      </c>
    </row>
    <row r="9289" ht="16.5" customHeight="1" s="37">
      <c r="A9289" t="n">
        <v>7</v>
      </c>
      <c r="B9289" s="10" t="inlineStr">
        <is>
          <t>平日</t>
        </is>
      </c>
      <c r="C9289" s="10" t="inlineStr">
        <is>
          <t>本線</t>
        </is>
      </c>
      <c r="D9289" s="10" t="inlineStr">
        <is>
          <t>上り</t>
        </is>
      </c>
      <c r="E9289" t="inlineStr">
        <is>
          <t>1412</t>
        </is>
      </c>
      <c r="F9289" t="inlineStr">
        <is>
          <t>0211</t>
        </is>
      </c>
      <c r="G9289" s="10" t="inlineStr">
        <is>
          <t>蚕ノ社</t>
        </is>
      </c>
      <c r="H9289" s="10" t="inlineStr">
        <is>
          <t>発</t>
        </is>
      </c>
      <c r="J9289" s="10" t="inlineStr">
        <is>
          <t>営業</t>
        </is>
      </c>
      <c r="L9289" t="inlineStr">
        <is>
          <t>15:05:00</t>
        </is>
      </c>
      <c r="M9289" t="inlineStr">
        <is>
          <t>15:05:20</t>
        </is>
      </c>
    </row>
    <row r="9290" ht="16.5" customHeight="1" s="37">
      <c r="A9290" t="n">
        <v>7</v>
      </c>
      <c r="B9290" s="10" t="inlineStr">
        <is>
          <t>平日</t>
        </is>
      </c>
      <c r="C9290" s="10" t="inlineStr">
        <is>
          <t>本線</t>
        </is>
      </c>
      <c r="D9290" s="10" t="inlineStr">
        <is>
          <t>上り</t>
        </is>
      </c>
      <c r="E9290" t="inlineStr">
        <is>
          <t>1412</t>
        </is>
      </c>
      <c r="F9290" t="inlineStr">
        <is>
          <t>0211</t>
        </is>
      </c>
      <c r="G9290" s="10" t="inlineStr">
        <is>
          <t>天神川</t>
        </is>
      </c>
      <c r="H9290" s="10" t="inlineStr">
        <is>
          <t>発</t>
        </is>
      </c>
      <c r="J9290" s="10" t="inlineStr">
        <is>
          <t>営業</t>
        </is>
      </c>
      <c r="L9290" t="inlineStr">
        <is>
          <t>15:06:05</t>
        </is>
      </c>
      <c r="M9290" t="inlineStr">
        <is>
          <t>15:06:50</t>
        </is>
      </c>
    </row>
    <row r="9291" ht="16.5" customHeight="1" s="37">
      <c r="A9291" t="n">
        <v>7</v>
      </c>
      <c r="B9291" s="10" t="inlineStr">
        <is>
          <t>平日</t>
        </is>
      </c>
      <c r="C9291" s="10" t="inlineStr">
        <is>
          <t>本線</t>
        </is>
      </c>
      <c r="D9291" s="10" t="inlineStr">
        <is>
          <t>上り</t>
        </is>
      </c>
      <c r="E9291" t="inlineStr">
        <is>
          <t>1412</t>
        </is>
      </c>
      <c r="F9291" t="inlineStr">
        <is>
          <t>0211</t>
        </is>
      </c>
      <c r="G9291" s="10" t="inlineStr">
        <is>
          <t>山ノ内</t>
        </is>
      </c>
      <c r="H9291" s="10" t="inlineStr">
        <is>
          <t>発</t>
        </is>
      </c>
      <c r="J9291" s="10" t="inlineStr">
        <is>
          <t>営業</t>
        </is>
      </c>
      <c r="L9291" t="inlineStr">
        <is>
          <t>15:08:40</t>
        </is>
      </c>
      <c r="M9291" t="inlineStr">
        <is>
          <t>15:09:05</t>
        </is>
      </c>
    </row>
    <row r="9292" ht="16.5" customHeight="1" s="37">
      <c r="A9292" t="n">
        <v>7</v>
      </c>
      <c r="B9292" s="10" t="inlineStr">
        <is>
          <t>平日</t>
        </is>
      </c>
      <c r="C9292" s="10" t="inlineStr">
        <is>
          <t>本線</t>
        </is>
      </c>
      <c r="D9292" s="10" t="inlineStr">
        <is>
          <t>上り</t>
        </is>
      </c>
      <c r="E9292" t="inlineStr">
        <is>
          <t>1412</t>
        </is>
      </c>
      <c r="F9292" t="inlineStr">
        <is>
          <t>0211</t>
        </is>
      </c>
      <c r="G9292" s="10" t="inlineStr">
        <is>
          <t>西大路三条</t>
        </is>
      </c>
      <c r="H9292" s="10" t="inlineStr">
        <is>
          <t>発</t>
        </is>
      </c>
      <c r="J9292" s="10" t="inlineStr">
        <is>
          <t>営業</t>
        </is>
      </c>
      <c r="L9292" t="inlineStr">
        <is>
          <t>15:10:55</t>
        </is>
      </c>
      <c r="M9292" t="inlineStr">
        <is>
          <t>15:11:15</t>
        </is>
      </c>
    </row>
    <row r="9293" ht="16.5" customHeight="1" s="37">
      <c r="A9293" t="n">
        <v>7</v>
      </c>
      <c r="B9293" s="10" t="inlineStr">
        <is>
          <t>平日</t>
        </is>
      </c>
      <c r="C9293" s="10" t="inlineStr">
        <is>
          <t>本線</t>
        </is>
      </c>
      <c r="D9293" s="10" t="inlineStr">
        <is>
          <t>上り</t>
        </is>
      </c>
      <c r="E9293" t="inlineStr">
        <is>
          <t>1412</t>
        </is>
      </c>
      <c r="F9293" t="inlineStr">
        <is>
          <t>0211</t>
        </is>
      </c>
      <c r="G9293" s="10" t="inlineStr">
        <is>
          <t>西院</t>
        </is>
      </c>
      <c r="H9293" s="10" t="inlineStr">
        <is>
          <t>発</t>
        </is>
      </c>
      <c r="J9293" s="10" t="inlineStr">
        <is>
          <t>営業</t>
        </is>
      </c>
      <c r="L9293" t="inlineStr">
        <is>
          <t>15:13:10</t>
        </is>
      </c>
      <c r="M9293" t="inlineStr">
        <is>
          <t>15:14:05</t>
        </is>
      </c>
    </row>
    <row r="9294" ht="16.5" customHeight="1" s="37">
      <c r="A9294" t="n">
        <v>7</v>
      </c>
      <c r="B9294" s="10" t="inlineStr">
        <is>
          <t>平日</t>
        </is>
      </c>
      <c r="C9294" s="10" t="inlineStr">
        <is>
          <t>本線</t>
        </is>
      </c>
      <c r="D9294" s="10" t="inlineStr">
        <is>
          <t>上り</t>
        </is>
      </c>
      <c r="E9294" t="inlineStr">
        <is>
          <t>1412</t>
        </is>
      </c>
      <c r="F9294" t="inlineStr">
        <is>
          <t>0211</t>
        </is>
      </c>
      <c r="G9294" s="10" t="inlineStr">
        <is>
          <t>四条大宮</t>
        </is>
      </c>
      <c r="H9294" s="10" t="inlineStr">
        <is>
          <t>着</t>
        </is>
      </c>
      <c r="J9294" s="10" t="inlineStr">
        <is>
          <t>営業</t>
        </is>
      </c>
      <c r="L9294" t="inlineStr">
        <is>
          <t>15:17:00</t>
        </is>
      </c>
      <c r="Q9294" t="inlineStr">
        <is>
          <t>1留</t>
        </is>
      </c>
    </row>
    <row r="9295" ht="16.5" customHeight="1" s="37">
      <c r="A9295" t="n">
        <v>7</v>
      </c>
      <c r="B9295" s="10" t="inlineStr">
        <is>
          <t>平日</t>
        </is>
      </c>
      <c r="C9295" s="10" t="inlineStr">
        <is>
          <t>本線</t>
        </is>
      </c>
      <c r="D9295" s="10" t="inlineStr">
        <is>
          <t>下り</t>
        </is>
      </c>
      <c r="E9295" s="10" t="inlineStr">
        <is>
          <t>連0811</t>
        </is>
      </c>
      <c r="F9295" t="inlineStr">
        <is>
          <t>0122</t>
        </is>
      </c>
      <c r="G9295" s="10" t="inlineStr">
        <is>
          <t>西院</t>
        </is>
      </c>
      <c r="H9295" s="10" t="inlineStr">
        <is>
          <t>発</t>
        </is>
      </c>
      <c r="J9295" s="10" t="inlineStr">
        <is>
          <t>営業</t>
        </is>
      </c>
      <c r="L9295" t="inlineStr">
        <is>
          <t>8:55:50</t>
        </is>
      </c>
      <c r="M9295" t="inlineStr">
        <is>
          <t>8:56:20</t>
        </is>
      </c>
      <c r="P9295" t="inlineStr">
        <is>
          <t>B系統(朝)</t>
        </is>
      </c>
    </row>
    <row r="9296" ht="16.5" customHeight="1" s="37">
      <c r="A9296" t="n">
        <v>7</v>
      </c>
      <c r="B9296" s="10" t="inlineStr">
        <is>
          <t>平日</t>
        </is>
      </c>
      <c r="C9296" s="10" t="inlineStr">
        <is>
          <t>本線</t>
        </is>
      </c>
      <c r="D9296" s="10" t="inlineStr">
        <is>
          <t>下り</t>
        </is>
      </c>
      <c r="E9296" s="10" t="inlineStr">
        <is>
          <t>連0811</t>
        </is>
      </c>
      <c r="F9296" t="inlineStr">
        <is>
          <t>0122</t>
        </is>
      </c>
      <c r="G9296" s="10" t="inlineStr">
        <is>
          <t>西大路三条</t>
        </is>
      </c>
      <c r="H9296" s="10" t="inlineStr">
        <is>
          <t>発</t>
        </is>
      </c>
      <c r="J9296" s="10" t="inlineStr">
        <is>
          <t>営業</t>
        </is>
      </c>
      <c r="L9296" t="inlineStr">
        <is>
          <t>8:58:10</t>
        </is>
      </c>
      <c r="M9296" t="inlineStr">
        <is>
          <t>8:58:30</t>
        </is>
      </c>
      <c r="P9296" t="inlineStr">
        <is>
          <t>B系統(朝)</t>
        </is>
      </c>
    </row>
    <row r="9297" ht="16.5" customHeight="1" s="37">
      <c r="A9297" t="n">
        <v>7</v>
      </c>
      <c r="B9297" s="10" t="inlineStr">
        <is>
          <t>平日</t>
        </is>
      </c>
      <c r="C9297" s="10" t="inlineStr">
        <is>
          <t>本線</t>
        </is>
      </c>
      <c r="D9297" s="10" t="inlineStr">
        <is>
          <t>下り</t>
        </is>
      </c>
      <c r="E9297" s="10" t="inlineStr">
        <is>
          <t>連0811</t>
        </is>
      </c>
      <c r="F9297" t="inlineStr">
        <is>
          <t>0122</t>
        </is>
      </c>
      <c r="G9297" s="10" t="inlineStr">
        <is>
          <t>山ノ内</t>
        </is>
      </c>
      <c r="H9297" s="10" t="inlineStr">
        <is>
          <t>発</t>
        </is>
      </c>
      <c r="J9297" s="10" t="inlineStr">
        <is>
          <t>営業</t>
        </is>
      </c>
      <c r="L9297" t="inlineStr">
        <is>
          <t>9:00:25</t>
        </is>
      </c>
      <c r="M9297" t="inlineStr">
        <is>
          <t>9:00:50</t>
        </is>
      </c>
      <c r="P9297" t="inlineStr">
        <is>
          <t>B系統(朝)</t>
        </is>
      </c>
    </row>
    <row r="9298" ht="16.5" customHeight="1" s="37">
      <c r="A9298" t="n">
        <v>7</v>
      </c>
      <c r="B9298" s="10" t="inlineStr">
        <is>
          <t>平日</t>
        </is>
      </c>
      <c r="C9298" s="10" t="inlineStr">
        <is>
          <t>本線</t>
        </is>
      </c>
      <c r="D9298" s="10" t="inlineStr">
        <is>
          <t>下り</t>
        </is>
      </c>
      <c r="E9298" s="10" t="inlineStr">
        <is>
          <t>連0811</t>
        </is>
      </c>
      <c r="F9298" t="inlineStr">
        <is>
          <t>0122</t>
        </is>
      </c>
      <c r="G9298" s="10" t="inlineStr">
        <is>
          <t>天神川</t>
        </is>
      </c>
      <c r="H9298" s="10" t="inlineStr">
        <is>
          <t>発</t>
        </is>
      </c>
      <c r="J9298" s="10" t="inlineStr">
        <is>
          <t>営業</t>
        </is>
      </c>
      <c r="L9298" t="inlineStr">
        <is>
          <t>9:02:50</t>
        </is>
      </c>
      <c r="M9298" t="inlineStr">
        <is>
          <t>9:03:30</t>
        </is>
      </c>
      <c r="P9298" t="inlineStr">
        <is>
          <t>B系統(朝)</t>
        </is>
      </c>
    </row>
    <row r="9299" ht="16.5" customHeight="1" s="37">
      <c r="A9299" t="n">
        <v>7</v>
      </c>
      <c r="B9299" s="10" t="inlineStr">
        <is>
          <t>平日</t>
        </is>
      </c>
      <c r="C9299" s="10" t="inlineStr">
        <is>
          <t>本線</t>
        </is>
      </c>
      <c r="D9299" s="10" t="inlineStr">
        <is>
          <t>下り</t>
        </is>
      </c>
      <c r="E9299" s="10" t="inlineStr">
        <is>
          <t>連0811</t>
        </is>
      </c>
      <c r="F9299" t="inlineStr">
        <is>
          <t>0122</t>
        </is>
      </c>
      <c r="G9299" s="10" t="inlineStr">
        <is>
          <t>蚕ノ社</t>
        </is>
      </c>
      <c r="H9299" s="10" t="inlineStr">
        <is>
          <t>発</t>
        </is>
      </c>
      <c r="J9299" s="10" t="inlineStr">
        <is>
          <t>営業</t>
        </is>
      </c>
      <c r="L9299" t="inlineStr">
        <is>
          <t>9:04:20</t>
        </is>
      </c>
      <c r="M9299" t="inlineStr">
        <is>
          <t>9:04:40</t>
        </is>
      </c>
      <c r="P9299" t="inlineStr">
        <is>
          <t>B系統(朝)</t>
        </is>
      </c>
    </row>
    <row r="9300" ht="16.5" customHeight="1" s="37">
      <c r="A9300" t="n">
        <v>7</v>
      </c>
      <c r="B9300" s="10" t="inlineStr">
        <is>
          <t>平日</t>
        </is>
      </c>
      <c r="C9300" s="10" t="inlineStr">
        <is>
          <t>本線</t>
        </is>
      </c>
      <c r="D9300" s="10" t="inlineStr">
        <is>
          <t>下り</t>
        </is>
      </c>
      <c r="E9300" s="10" t="inlineStr">
        <is>
          <t>連0811</t>
        </is>
      </c>
      <c r="F9300" t="inlineStr">
        <is>
          <t>0122</t>
        </is>
      </c>
      <c r="G9300" s="10" t="inlineStr">
        <is>
          <t>太秦広隆寺</t>
        </is>
      </c>
      <c r="H9300" s="10" t="inlineStr">
        <is>
          <t>発</t>
        </is>
      </c>
      <c r="J9300" s="10" t="inlineStr">
        <is>
          <t>営業</t>
        </is>
      </c>
      <c r="L9300" t="inlineStr">
        <is>
          <t>9:06:00</t>
        </is>
      </c>
      <c r="M9300" t="inlineStr">
        <is>
          <t>9:06:20</t>
        </is>
      </c>
      <c r="P9300" t="inlineStr">
        <is>
          <t>B系統(朝)</t>
        </is>
      </c>
    </row>
    <row r="9301" ht="16.5" customHeight="1" s="37">
      <c r="A9301" t="n">
        <v>7</v>
      </c>
      <c r="B9301" s="10" t="inlineStr">
        <is>
          <t>平日</t>
        </is>
      </c>
      <c r="C9301" s="10" t="inlineStr">
        <is>
          <t>本線</t>
        </is>
      </c>
      <c r="D9301" s="10" t="inlineStr">
        <is>
          <t>下り</t>
        </is>
      </c>
      <c r="E9301" s="10" t="inlineStr">
        <is>
          <t>連0811</t>
        </is>
      </c>
      <c r="F9301" t="inlineStr">
        <is>
          <t>0122</t>
        </is>
      </c>
      <c r="G9301" s="10" t="inlineStr">
        <is>
          <t>帷子ノ辻</t>
        </is>
      </c>
      <c r="H9301" s="10" t="inlineStr">
        <is>
          <t>発</t>
        </is>
      </c>
      <c r="J9301" s="10" t="inlineStr">
        <is>
          <t>営業</t>
        </is>
      </c>
      <c r="L9301" t="inlineStr">
        <is>
          <t>9:08:20</t>
        </is>
      </c>
      <c r="M9301" t="inlineStr">
        <is>
          <t>9:09:40</t>
        </is>
      </c>
      <c r="P9301" t="inlineStr">
        <is>
          <t>B系統(朝)</t>
        </is>
      </c>
    </row>
    <row r="9302" ht="16.5" customHeight="1" s="37">
      <c r="A9302" t="n">
        <v>7</v>
      </c>
      <c r="B9302" s="10" t="inlineStr">
        <is>
          <t>平日</t>
        </is>
      </c>
      <c r="C9302" s="10" t="inlineStr">
        <is>
          <t>本線</t>
        </is>
      </c>
      <c r="D9302" s="10" t="inlineStr">
        <is>
          <t>下り</t>
        </is>
      </c>
      <c r="E9302" s="10" t="inlineStr">
        <is>
          <t>連0811</t>
        </is>
      </c>
      <c r="F9302" t="inlineStr">
        <is>
          <t>0122</t>
        </is>
      </c>
      <c r="G9302" s="10" t="inlineStr">
        <is>
          <t>有栖川</t>
        </is>
      </c>
      <c r="H9302" s="10" t="inlineStr">
        <is>
          <t>発</t>
        </is>
      </c>
      <c r="J9302" s="10" t="inlineStr">
        <is>
          <t>営業</t>
        </is>
      </c>
      <c r="L9302" t="inlineStr">
        <is>
          <t>9:10:50</t>
        </is>
      </c>
      <c r="M9302" t="inlineStr">
        <is>
          <t>9:11:15</t>
        </is>
      </c>
      <c r="P9302" t="inlineStr">
        <is>
          <t>B系統(朝)</t>
        </is>
      </c>
    </row>
    <row r="9303" ht="16.5" customHeight="1" s="37">
      <c r="A9303" t="n">
        <v>7</v>
      </c>
      <c r="B9303" s="10" t="inlineStr">
        <is>
          <t>平日</t>
        </is>
      </c>
      <c r="C9303" s="10" t="inlineStr">
        <is>
          <t>本線</t>
        </is>
      </c>
      <c r="D9303" s="10" t="inlineStr">
        <is>
          <t>下り</t>
        </is>
      </c>
      <c r="E9303" s="10" t="inlineStr">
        <is>
          <t>連0811</t>
        </is>
      </c>
      <c r="F9303" t="inlineStr">
        <is>
          <t>0122</t>
        </is>
      </c>
      <c r="G9303" s="10" t="inlineStr">
        <is>
          <t>車折</t>
        </is>
      </c>
      <c r="H9303" s="10" t="inlineStr">
        <is>
          <t>発</t>
        </is>
      </c>
      <c r="J9303" s="10" t="inlineStr">
        <is>
          <t>営業</t>
        </is>
      </c>
      <c r="L9303" t="inlineStr">
        <is>
          <t>9:12:40</t>
        </is>
      </c>
      <c r="M9303" t="inlineStr">
        <is>
          <t>9:13:05</t>
        </is>
      </c>
      <c r="P9303" t="inlineStr">
        <is>
          <t>B系統(朝)</t>
        </is>
      </c>
    </row>
    <row r="9304" ht="16.5" customHeight="1" s="37">
      <c r="A9304" t="n">
        <v>7</v>
      </c>
      <c r="B9304" s="10" t="inlineStr">
        <is>
          <t>平日</t>
        </is>
      </c>
      <c r="C9304" s="10" t="inlineStr">
        <is>
          <t>本線</t>
        </is>
      </c>
      <c r="D9304" s="10" t="inlineStr">
        <is>
          <t>下り</t>
        </is>
      </c>
      <c r="E9304" s="10" t="inlineStr">
        <is>
          <t>連0811</t>
        </is>
      </c>
      <c r="F9304" t="inlineStr">
        <is>
          <t>0122</t>
        </is>
      </c>
      <c r="G9304" s="10" t="inlineStr">
        <is>
          <t>鹿王院</t>
        </is>
      </c>
      <c r="H9304" s="10" t="inlineStr">
        <is>
          <t>発</t>
        </is>
      </c>
      <c r="J9304" s="10" t="inlineStr">
        <is>
          <t>営業</t>
        </is>
      </c>
      <c r="L9304" t="inlineStr">
        <is>
          <t>9:14:00</t>
        </is>
      </c>
      <c r="M9304" t="inlineStr">
        <is>
          <t>9:14:25</t>
        </is>
      </c>
      <c r="P9304" t="inlineStr">
        <is>
          <t>B系統(朝)</t>
        </is>
      </c>
    </row>
    <row r="9305" ht="16.5" customHeight="1" s="37">
      <c r="A9305" t="n">
        <v>7</v>
      </c>
      <c r="B9305" s="10" t="inlineStr">
        <is>
          <t>平日</t>
        </is>
      </c>
      <c r="C9305" s="10" t="inlineStr">
        <is>
          <t>本線</t>
        </is>
      </c>
      <c r="D9305" s="10" t="inlineStr">
        <is>
          <t>下り</t>
        </is>
      </c>
      <c r="E9305" s="10" t="inlineStr">
        <is>
          <t>連0811</t>
        </is>
      </c>
      <c r="F9305" t="inlineStr">
        <is>
          <t>0122</t>
        </is>
      </c>
      <c r="G9305" s="10" t="inlineStr">
        <is>
          <t>嵯峨</t>
        </is>
      </c>
      <c r="H9305" s="10" t="inlineStr">
        <is>
          <t>発</t>
        </is>
      </c>
      <c r="J9305" s="10" t="inlineStr">
        <is>
          <t>営業</t>
        </is>
      </c>
      <c r="L9305" t="inlineStr">
        <is>
          <t>9:15:30</t>
        </is>
      </c>
      <c r="M9305" t="inlineStr">
        <is>
          <t>9:15:55</t>
        </is>
      </c>
      <c r="P9305" t="inlineStr">
        <is>
          <t>B系統(朝)</t>
        </is>
      </c>
    </row>
    <row r="9306" ht="16.5" customHeight="1" s="37">
      <c r="A9306" t="n">
        <v>7</v>
      </c>
      <c r="B9306" s="10" t="inlineStr">
        <is>
          <t>平日</t>
        </is>
      </c>
      <c r="C9306" s="10" t="inlineStr">
        <is>
          <t>本線</t>
        </is>
      </c>
      <c r="D9306" s="10" t="inlineStr">
        <is>
          <t>下り</t>
        </is>
      </c>
      <c r="E9306" s="10" t="inlineStr">
        <is>
          <t>連0811</t>
        </is>
      </c>
      <c r="F9306" t="inlineStr">
        <is>
          <t>0122</t>
        </is>
      </c>
      <c r="G9306" s="10" t="inlineStr">
        <is>
          <t>嵐山</t>
        </is>
      </c>
      <c r="H9306" s="10" t="inlineStr">
        <is>
          <t>着</t>
        </is>
      </c>
      <c r="J9306" s="10" t="inlineStr">
        <is>
          <t>営業</t>
        </is>
      </c>
      <c r="L9306" t="inlineStr">
        <is>
          <t>9:17:00</t>
        </is>
      </c>
      <c r="N9306" t="inlineStr">
        <is>
          <t>○</t>
        </is>
      </c>
      <c r="P9306" t="inlineStr">
        <is>
          <t>B系統(朝)</t>
        </is>
      </c>
      <c r="Q9306" t="inlineStr">
        <is>
          <t>1</t>
        </is>
      </c>
    </row>
    <row r="9307" ht="16.5" customHeight="1" s="37">
      <c r="A9307" t="n">
        <v>7</v>
      </c>
      <c r="B9307" s="10" t="inlineStr">
        <is>
          <t>平日</t>
        </is>
      </c>
      <c r="C9307" s="10" t="inlineStr">
        <is>
          <t>本線</t>
        </is>
      </c>
      <c r="D9307" s="10" t="inlineStr">
        <is>
          <t>上り</t>
        </is>
      </c>
      <c r="E9307" s="10" t="inlineStr">
        <is>
          <t>連0906</t>
        </is>
      </c>
      <c r="F9307" t="inlineStr">
        <is>
          <t>0211</t>
        </is>
      </c>
      <c r="G9307" s="10" t="inlineStr">
        <is>
          <t>嵐山</t>
        </is>
      </c>
      <c r="H9307" s="10" t="inlineStr">
        <is>
          <t>発</t>
        </is>
      </c>
      <c r="J9307" s="10" t="inlineStr">
        <is>
          <t>営業</t>
        </is>
      </c>
      <c r="M9307" t="inlineStr">
        <is>
          <t>9:23:00</t>
        </is>
      </c>
      <c r="P9307" t="inlineStr">
        <is>
          <t>B系統(朝)</t>
        </is>
      </c>
      <c r="Q9307" t="inlineStr">
        <is>
          <t>1</t>
        </is>
      </c>
    </row>
    <row r="9308" ht="16.5" customHeight="1" s="37">
      <c r="A9308" t="n">
        <v>7</v>
      </c>
      <c r="B9308" s="10" t="inlineStr">
        <is>
          <t>平日</t>
        </is>
      </c>
      <c r="C9308" s="10" t="inlineStr">
        <is>
          <t>本線</t>
        </is>
      </c>
      <c r="D9308" s="10" t="inlineStr">
        <is>
          <t>上り</t>
        </is>
      </c>
      <c r="E9308" s="10" t="inlineStr">
        <is>
          <t>連0906</t>
        </is>
      </c>
      <c r="F9308" t="inlineStr">
        <is>
          <t>0211</t>
        </is>
      </c>
      <c r="G9308" s="10" t="inlineStr">
        <is>
          <t>嵯峨</t>
        </is>
      </c>
      <c r="H9308" s="10" t="inlineStr">
        <is>
          <t>発</t>
        </is>
      </c>
      <c r="J9308" s="10" t="inlineStr">
        <is>
          <t>営業</t>
        </is>
      </c>
      <c r="L9308" t="inlineStr">
        <is>
          <t>9:23:55</t>
        </is>
      </c>
      <c r="M9308" t="inlineStr">
        <is>
          <t>9:24:20</t>
        </is>
      </c>
      <c r="P9308" t="inlineStr">
        <is>
          <t>B系統(朝)</t>
        </is>
      </c>
    </row>
    <row r="9309" ht="16.5" customHeight="1" s="37">
      <c r="A9309" t="n">
        <v>7</v>
      </c>
      <c r="B9309" s="10" t="inlineStr">
        <is>
          <t>平日</t>
        </is>
      </c>
      <c r="C9309" s="10" t="inlineStr">
        <is>
          <t>本線</t>
        </is>
      </c>
      <c r="D9309" s="10" t="inlineStr">
        <is>
          <t>上り</t>
        </is>
      </c>
      <c r="E9309" s="10" t="inlineStr">
        <is>
          <t>連0906</t>
        </is>
      </c>
      <c r="F9309" t="inlineStr">
        <is>
          <t>0211</t>
        </is>
      </c>
      <c r="G9309" s="10" t="inlineStr">
        <is>
          <t>鹿王院</t>
        </is>
      </c>
      <c r="H9309" s="10" t="inlineStr">
        <is>
          <t>発</t>
        </is>
      </c>
      <c r="J9309" s="10" t="inlineStr">
        <is>
          <t>営業</t>
        </is>
      </c>
      <c r="L9309" t="inlineStr">
        <is>
          <t>9:25:25</t>
        </is>
      </c>
      <c r="M9309" t="inlineStr">
        <is>
          <t>9:25:45</t>
        </is>
      </c>
      <c r="P9309" t="inlineStr">
        <is>
          <t>B系統(朝)</t>
        </is>
      </c>
    </row>
    <row r="9310" ht="16.5" customHeight="1" s="37">
      <c r="A9310" t="n">
        <v>7</v>
      </c>
      <c r="B9310" s="10" t="inlineStr">
        <is>
          <t>平日</t>
        </is>
      </c>
      <c r="C9310" s="10" t="inlineStr">
        <is>
          <t>本線</t>
        </is>
      </c>
      <c r="D9310" s="10" t="inlineStr">
        <is>
          <t>上り</t>
        </is>
      </c>
      <c r="E9310" s="10" t="inlineStr">
        <is>
          <t>連0906</t>
        </is>
      </c>
      <c r="F9310" t="inlineStr">
        <is>
          <t>0211</t>
        </is>
      </c>
      <c r="G9310" s="10" t="inlineStr">
        <is>
          <t>車折</t>
        </is>
      </c>
      <c r="H9310" s="10" t="inlineStr">
        <is>
          <t>発</t>
        </is>
      </c>
      <c r="J9310" s="10" t="inlineStr">
        <is>
          <t>営業</t>
        </is>
      </c>
      <c r="L9310" t="inlineStr">
        <is>
          <t>9:26:40</t>
        </is>
      </c>
      <c r="M9310" t="inlineStr">
        <is>
          <t>9:27:10</t>
        </is>
      </c>
      <c r="P9310" t="inlineStr">
        <is>
          <t>B系統(朝)</t>
        </is>
      </c>
    </row>
    <row r="9311" ht="16.5" customHeight="1" s="37">
      <c r="A9311" t="n">
        <v>7</v>
      </c>
      <c r="B9311" s="10" t="inlineStr">
        <is>
          <t>平日</t>
        </is>
      </c>
      <c r="C9311" s="10" t="inlineStr">
        <is>
          <t>本線</t>
        </is>
      </c>
      <c r="D9311" s="10" t="inlineStr">
        <is>
          <t>上り</t>
        </is>
      </c>
      <c r="E9311" s="10" t="inlineStr">
        <is>
          <t>連0906</t>
        </is>
      </c>
      <c r="F9311" t="inlineStr">
        <is>
          <t>0211</t>
        </is>
      </c>
      <c r="G9311" s="10" t="inlineStr">
        <is>
          <t>有栖川</t>
        </is>
      </c>
      <c r="H9311" s="10" t="inlineStr">
        <is>
          <t>発</t>
        </is>
      </c>
      <c r="J9311" s="10" t="inlineStr">
        <is>
          <t>営業</t>
        </is>
      </c>
      <c r="L9311" t="inlineStr">
        <is>
          <t>9:28:35</t>
        </is>
      </c>
      <c r="M9311" t="inlineStr">
        <is>
          <t>9:28:55</t>
        </is>
      </c>
      <c r="P9311" t="inlineStr">
        <is>
          <t>B系統(朝)</t>
        </is>
      </c>
    </row>
    <row r="9312" ht="16.5" customHeight="1" s="37">
      <c r="A9312" t="n">
        <v>7</v>
      </c>
      <c r="B9312" s="10" t="inlineStr">
        <is>
          <t>平日</t>
        </is>
      </c>
      <c r="C9312" s="10" t="inlineStr">
        <is>
          <t>本線</t>
        </is>
      </c>
      <c r="D9312" s="10" t="inlineStr">
        <is>
          <t>上り</t>
        </is>
      </c>
      <c r="E9312" s="10" t="inlineStr">
        <is>
          <t>連0906</t>
        </is>
      </c>
      <c r="F9312" t="inlineStr">
        <is>
          <t>0211</t>
        </is>
      </c>
      <c r="G9312" s="10" t="inlineStr">
        <is>
          <t>帷子ノ辻</t>
        </is>
      </c>
      <c r="H9312" s="10" t="inlineStr">
        <is>
          <t>発</t>
        </is>
      </c>
      <c r="J9312" s="10" t="inlineStr">
        <is>
          <t>営業</t>
        </is>
      </c>
      <c r="L9312" t="inlineStr">
        <is>
          <t>9:30:10</t>
        </is>
      </c>
      <c r="M9312" t="inlineStr">
        <is>
          <t>9:31:15</t>
        </is>
      </c>
      <c r="P9312" t="inlineStr">
        <is>
          <t>B系統(朝)</t>
        </is>
      </c>
    </row>
    <row r="9313" ht="16.5" customHeight="1" s="37">
      <c r="A9313" t="n">
        <v>7</v>
      </c>
      <c r="B9313" s="10" t="inlineStr">
        <is>
          <t>平日</t>
        </is>
      </c>
      <c r="C9313" s="10" t="inlineStr">
        <is>
          <t>本線</t>
        </is>
      </c>
      <c r="D9313" s="10" t="inlineStr">
        <is>
          <t>上り</t>
        </is>
      </c>
      <c r="E9313" s="10" t="inlineStr">
        <is>
          <t>連0906</t>
        </is>
      </c>
      <c r="F9313" t="inlineStr">
        <is>
          <t>0211</t>
        </is>
      </c>
      <c r="G9313" s="10" t="inlineStr">
        <is>
          <t>太秦広隆寺</t>
        </is>
      </c>
      <c r="H9313" s="10" t="inlineStr">
        <is>
          <t>発</t>
        </is>
      </c>
      <c r="J9313" s="10" t="inlineStr">
        <is>
          <t>営業</t>
        </is>
      </c>
      <c r="L9313" t="inlineStr">
        <is>
          <t>9:33:25</t>
        </is>
      </c>
      <c r="M9313" t="inlineStr">
        <is>
          <t>9:33:45</t>
        </is>
      </c>
      <c r="P9313" t="inlineStr">
        <is>
          <t>B系統(朝)</t>
        </is>
      </c>
    </row>
    <row r="9314" ht="16.5" customHeight="1" s="37">
      <c r="A9314" t="n">
        <v>7</v>
      </c>
      <c r="B9314" s="10" t="inlineStr">
        <is>
          <t>平日</t>
        </is>
      </c>
      <c r="C9314" s="10" t="inlineStr">
        <is>
          <t>本線</t>
        </is>
      </c>
      <c r="D9314" s="10" t="inlineStr">
        <is>
          <t>上り</t>
        </is>
      </c>
      <c r="E9314" s="10" t="inlineStr">
        <is>
          <t>連0906</t>
        </is>
      </c>
      <c r="F9314" t="inlineStr">
        <is>
          <t>0211</t>
        </is>
      </c>
      <c r="G9314" s="10" t="inlineStr">
        <is>
          <t>蚕ノ社</t>
        </is>
      </c>
      <c r="H9314" s="10" t="inlineStr">
        <is>
          <t>発</t>
        </is>
      </c>
      <c r="J9314" s="10" t="inlineStr">
        <is>
          <t>営業</t>
        </is>
      </c>
      <c r="L9314" t="inlineStr">
        <is>
          <t>9:35:00</t>
        </is>
      </c>
      <c r="M9314" t="inlineStr">
        <is>
          <t>9:35:20</t>
        </is>
      </c>
      <c r="P9314" t="inlineStr">
        <is>
          <t>B系統(朝)</t>
        </is>
      </c>
    </row>
    <row r="9315" ht="16.5" customHeight="1" s="37">
      <c r="A9315" t="n">
        <v>7</v>
      </c>
      <c r="B9315" s="10" t="inlineStr">
        <is>
          <t>平日</t>
        </is>
      </c>
      <c r="C9315" s="10" t="inlineStr">
        <is>
          <t>本線</t>
        </is>
      </c>
      <c r="D9315" s="10" t="inlineStr">
        <is>
          <t>上り</t>
        </is>
      </c>
      <c r="E9315" s="10" t="inlineStr">
        <is>
          <t>連0906</t>
        </is>
      </c>
      <c r="F9315" t="inlineStr">
        <is>
          <t>0211</t>
        </is>
      </c>
      <c r="G9315" s="10" t="inlineStr">
        <is>
          <t>天神川</t>
        </is>
      </c>
      <c r="H9315" s="10" t="inlineStr">
        <is>
          <t>発</t>
        </is>
      </c>
      <c r="J9315" s="10" t="inlineStr">
        <is>
          <t>営業</t>
        </is>
      </c>
      <c r="L9315" t="inlineStr">
        <is>
          <t>9:36:05</t>
        </is>
      </c>
      <c r="M9315" t="inlineStr">
        <is>
          <t>9:36:50</t>
        </is>
      </c>
      <c r="P9315" t="inlineStr">
        <is>
          <t>B系統(朝)</t>
        </is>
      </c>
    </row>
    <row r="9316" ht="16.5" customHeight="1" s="37">
      <c r="A9316" t="n">
        <v>7</v>
      </c>
      <c r="B9316" s="10" t="inlineStr">
        <is>
          <t>平日</t>
        </is>
      </c>
      <c r="C9316" s="10" t="inlineStr">
        <is>
          <t>本線</t>
        </is>
      </c>
      <c r="D9316" s="10" t="inlineStr">
        <is>
          <t>上り</t>
        </is>
      </c>
      <c r="E9316" s="10" t="inlineStr">
        <is>
          <t>連0906</t>
        </is>
      </c>
      <c r="F9316" t="inlineStr">
        <is>
          <t>0211</t>
        </is>
      </c>
      <c r="G9316" s="10" t="inlineStr">
        <is>
          <t>山ノ内</t>
        </is>
      </c>
      <c r="H9316" s="10" t="inlineStr">
        <is>
          <t>発</t>
        </is>
      </c>
      <c r="J9316" s="10" t="inlineStr">
        <is>
          <t>営業</t>
        </is>
      </c>
      <c r="L9316" t="inlineStr">
        <is>
          <t>9:38:40</t>
        </is>
      </c>
      <c r="M9316" t="inlineStr">
        <is>
          <t>9:39:05</t>
        </is>
      </c>
      <c r="P9316" t="inlineStr">
        <is>
          <t>B系統(朝)</t>
        </is>
      </c>
    </row>
    <row r="9317" ht="16.5" customHeight="1" s="37">
      <c r="A9317" t="n">
        <v>7</v>
      </c>
      <c r="B9317" s="10" t="inlineStr">
        <is>
          <t>平日</t>
        </is>
      </c>
      <c r="C9317" s="10" t="inlineStr">
        <is>
          <t>本線</t>
        </is>
      </c>
      <c r="D9317" s="10" t="inlineStr">
        <is>
          <t>上り</t>
        </is>
      </c>
      <c r="E9317" s="10" t="inlineStr">
        <is>
          <t>連0906</t>
        </is>
      </c>
      <c r="F9317" t="inlineStr">
        <is>
          <t>0211</t>
        </is>
      </c>
      <c r="G9317" s="10" t="inlineStr">
        <is>
          <t>西大路三条</t>
        </is>
      </c>
      <c r="H9317" s="10" t="inlineStr">
        <is>
          <t>発</t>
        </is>
      </c>
      <c r="J9317" s="10" t="inlineStr">
        <is>
          <t>営業</t>
        </is>
      </c>
      <c r="L9317" t="inlineStr">
        <is>
          <t>9:40:55</t>
        </is>
      </c>
      <c r="M9317" t="inlineStr">
        <is>
          <t>9:41:15</t>
        </is>
      </c>
      <c r="P9317" t="inlineStr">
        <is>
          <t>B系統(朝)</t>
        </is>
      </c>
    </row>
    <row r="9318" ht="16.5" customHeight="1" s="37">
      <c r="A9318" t="n">
        <v>7</v>
      </c>
      <c r="B9318" s="10" t="inlineStr">
        <is>
          <t>平日</t>
        </is>
      </c>
      <c r="C9318" s="10" t="inlineStr">
        <is>
          <t>本線</t>
        </is>
      </c>
      <c r="D9318" s="10" t="inlineStr">
        <is>
          <t>上り</t>
        </is>
      </c>
      <c r="E9318" s="10" t="inlineStr">
        <is>
          <t>連0906</t>
        </is>
      </c>
      <c r="F9318" t="inlineStr">
        <is>
          <t>0211</t>
        </is>
      </c>
      <c r="G9318" s="10" t="inlineStr">
        <is>
          <t>西院</t>
        </is>
      </c>
      <c r="H9318" s="10" t="inlineStr">
        <is>
          <t>発</t>
        </is>
      </c>
      <c r="J9318" s="10" t="inlineStr">
        <is>
          <t>営業</t>
        </is>
      </c>
      <c r="L9318" t="inlineStr">
        <is>
          <t>9:43:10</t>
        </is>
      </c>
      <c r="M9318" t="inlineStr">
        <is>
          <t>9:44:05</t>
        </is>
      </c>
      <c r="P9318" t="inlineStr">
        <is>
          <t>B系統(朝)</t>
        </is>
      </c>
    </row>
    <row r="9319" ht="16.5" customHeight="1" s="37">
      <c r="A9319" t="n">
        <v>7</v>
      </c>
      <c r="B9319" s="10" t="inlineStr">
        <is>
          <t>平日</t>
        </is>
      </c>
      <c r="C9319" s="10" t="inlineStr">
        <is>
          <t>本線</t>
        </is>
      </c>
      <c r="D9319" s="10" t="inlineStr">
        <is>
          <t>上り</t>
        </is>
      </c>
      <c r="E9319" s="10" t="inlineStr">
        <is>
          <t>連0906</t>
        </is>
      </c>
      <c r="F9319" t="inlineStr">
        <is>
          <t>0211</t>
        </is>
      </c>
      <c r="G9319" s="10" t="inlineStr">
        <is>
          <t>四条大宮</t>
        </is>
      </c>
      <c r="H9319" s="10" t="inlineStr">
        <is>
          <t>着</t>
        </is>
      </c>
      <c r="J9319" s="10" t="inlineStr">
        <is>
          <t>営業</t>
        </is>
      </c>
      <c r="L9319" t="inlineStr">
        <is>
          <t>9:47:00</t>
        </is>
      </c>
      <c r="P9319" t="inlineStr">
        <is>
          <t>B系統(朝)</t>
        </is>
      </c>
      <c r="Q9319" t="inlineStr">
        <is>
          <t>1</t>
        </is>
      </c>
    </row>
    <row r="9320" ht="16.5" customHeight="1" s="37">
      <c r="A9320" t="n">
        <v>7</v>
      </c>
      <c r="B9320" s="10" t="inlineStr">
        <is>
          <t>平日</t>
        </is>
      </c>
      <c r="C9320" s="10" t="inlineStr">
        <is>
          <t>本線</t>
        </is>
      </c>
      <c r="D9320" s="10" t="inlineStr">
        <is>
          <t>下り</t>
        </is>
      </c>
      <c r="E9320" s="10" t="inlineStr">
        <is>
          <t>連0911</t>
        </is>
      </c>
      <c r="F9320" t="inlineStr">
        <is>
          <t>0112</t>
        </is>
      </c>
      <c r="G9320" s="10" t="inlineStr">
        <is>
          <t>四条大宮</t>
        </is>
      </c>
      <c r="H9320" s="10" t="inlineStr">
        <is>
          <t>発</t>
        </is>
      </c>
      <c r="J9320" s="10" t="inlineStr">
        <is>
          <t>営業</t>
        </is>
      </c>
      <c r="M9320" t="inlineStr">
        <is>
          <t>9:52:00</t>
        </is>
      </c>
      <c r="P9320" t="inlineStr">
        <is>
          <t>B系統(朝)</t>
        </is>
      </c>
      <c r="Q9320" t="inlineStr">
        <is>
          <t>1</t>
        </is>
      </c>
    </row>
    <row r="9321" ht="16.5" customHeight="1" s="37">
      <c r="A9321" t="n">
        <v>7</v>
      </c>
      <c r="B9321" s="10" t="inlineStr">
        <is>
          <t>平日</t>
        </is>
      </c>
      <c r="C9321" s="10" t="inlineStr">
        <is>
          <t>本線</t>
        </is>
      </c>
      <c r="D9321" s="10" t="inlineStr">
        <is>
          <t>下り</t>
        </is>
      </c>
      <c r="E9321" s="10" t="inlineStr">
        <is>
          <t>連0911</t>
        </is>
      </c>
      <c r="F9321" t="inlineStr">
        <is>
          <t>0112</t>
        </is>
      </c>
      <c r="G9321" s="10" t="inlineStr">
        <is>
          <t>西院</t>
        </is>
      </c>
      <c r="H9321" s="10" t="inlineStr">
        <is>
          <t>着</t>
        </is>
      </c>
      <c r="J9321" s="10" t="inlineStr">
        <is>
          <t>営業</t>
        </is>
      </c>
      <c r="L9321" t="inlineStr">
        <is>
          <t>9:54:50</t>
        </is>
      </c>
      <c r="M9321" t="inlineStr">
        <is>
          <t>9:56:20</t>
        </is>
      </c>
      <c r="P9321" t="inlineStr">
        <is>
          <t>B系統(朝)</t>
        </is>
      </c>
    </row>
    <row r="9322" ht="16.5" customHeight="1" s="37">
      <c r="A9322" t="n">
        <v>7</v>
      </c>
      <c r="B9322" s="10" t="inlineStr">
        <is>
          <t>平日</t>
        </is>
      </c>
      <c r="C9322" s="10" t="inlineStr">
        <is>
          <t>本線</t>
        </is>
      </c>
      <c r="D9322" s="10" t="inlineStr">
        <is>
          <t>下り</t>
        </is>
      </c>
      <c r="E9322" s="10" t="inlineStr">
        <is>
          <t>連1505</t>
        </is>
      </c>
      <c r="F9322" t="inlineStr">
        <is>
          <t>0112</t>
        </is>
      </c>
      <c r="G9322" s="10" t="inlineStr">
        <is>
          <t>四条大宮</t>
        </is>
      </c>
      <c r="H9322" s="10" t="inlineStr">
        <is>
          <t>発</t>
        </is>
      </c>
      <c r="J9322" s="10" t="inlineStr">
        <is>
          <t>営業</t>
        </is>
      </c>
      <c r="M9322" t="inlineStr">
        <is>
          <t>15:23:00</t>
        </is>
      </c>
      <c r="P9322" t="inlineStr">
        <is>
          <t>C系統(日中)</t>
        </is>
      </c>
      <c r="Q9322" t="inlineStr">
        <is>
          <t>2</t>
        </is>
      </c>
    </row>
    <row r="9323" ht="16.5" customHeight="1" s="37">
      <c r="A9323" t="n">
        <v>7</v>
      </c>
      <c r="B9323" s="10" t="inlineStr">
        <is>
          <t>平日</t>
        </is>
      </c>
      <c r="C9323" s="10" t="inlineStr">
        <is>
          <t>本線</t>
        </is>
      </c>
      <c r="D9323" s="10" t="inlineStr">
        <is>
          <t>下り</t>
        </is>
      </c>
      <c r="E9323" s="10" t="inlineStr">
        <is>
          <t>連1505</t>
        </is>
      </c>
      <c r="F9323" t="inlineStr">
        <is>
          <t>0112</t>
        </is>
      </c>
      <c r="G9323" s="10" t="inlineStr">
        <is>
          <t>西院</t>
        </is>
      </c>
      <c r="H9323" s="10" t="inlineStr">
        <is>
          <t>発</t>
        </is>
      </c>
      <c r="J9323" s="10" t="inlineStr">
        <is>
          <t>営業</t>
        </is>
      </c>
      <c r="L9323" t="inlineStr">
        <is>
          <t>15:25:50</t>
        </is>
      </c>
      <c r="M9323" t="inlineStr">
        <is>
          <t>15:26:20</t>
        </is>
      </c>
      <c r="P9323" t="inlineStr">
        <is>
          <t>C系統(日中)</t>
        </is>
      </c>
    </row>
    <row r="9324" ht="16.5" customHeight="1" s="37">
      <c r="A9324" t="n">
        <v>7</v>
      </c>
      <c r="B9324" s="10" t="inlineStr">
        <is>
          <t>平日</t>
        </is>
      </c>
      <c r="C9324" s="10" t="inlineStr">
        <is>
          <t>本線</t>
        </is>
      </c>
      <c r="D9324" s="10" t="inlineStr">
        <is>
          <t>下り</t>
        </is>
      </c>
      <c r="E9324" s="10" t="inlineStr">
        <is>
          <t>連1505</t>
        </is>
      </c>
      <c r="F9324" t="inlineStr">
        <is>
          <t>0112</t>
        </is>
      </c>
      <c r="G9324" s="10" t="inlineStr">
        <is>
          <t>西大路三条</t>
        </is>
      </c>
      <c r="H9324" s="10" t="inlineStr">
        <is>
          <t>発</t>
        </is>
      </c>
      <c r="J9324" s="10" t="inlineStr">
        <is>
          <t>営業</t>
        </is>
      </c>
      <c r="L9324" t="inlineStr">
        <is>
          <t>15:28:10</t>
        </is>
      </c>
      <c r="M9324" t="inlineStr">
        <is>
          <t>15:28:30</t>
        </is>
      </c>
      <c r="P9324" t="inlineStr">
        <is>
          <t>C系統(日中)</t>
        </is>
      </c>
    </row>
    <row r="9325" ht="16.5" customHeight="1" s="37">
      <c r="A9325" t="n">
        <v>7</v>
      </c>
      <c r="B9325" s="10" t="inlineStr">
        <is>
          <t>平日</t>
        </is>
      </c>
      <c r="C9325" s="10" t="inlineStr">
        <is>
          <t>本線</t>
        </is>
      </c>
      <c r="D9325" s="10" t="inlineStr">
        <is>
          <t>下り</t>
        </is>
      </c>
      <c r="E9325" s="10" t="inlineStr">
        <is>
          <t>連1505</t>
        </is>
      </c>
      <c r="F9325" t="inlineStr">
        <is>
          <t>0112</t>
        </is>
      </c>
      <c r="G9325" s="10" t="inlineStr">
        <is>
          <t>山ノ内</t>
        </is>
      </c>
      <c r="H9325" s="10" t="inlineStr">
        <is>
          <t>発</t>
        </is>
      </c>
      <c r="J9325" s="10" t="inlineStr">
        <is>
          <t>営業</t>
        </is>
      </c>
      <c r="L9325" t="inlineStr">
        <is>
          <t>15:30:25</t>
        </is>
      </c>
      <c r="M9325" t="inlineStr">
        <is>
          <t>15:30:50</t>
        </is>
      </c>
      <c r="P9325" t="inlineStr">
        <is>
          <t>C系統(日中)</t>
        </is>
      </c>
    </row>
    <row r="9326" ht="16.5" customHeight="1" s="37">
      <c r="A9326" t="n">
        <v>7</v>
      </c>
      <c r="B9326" s="10" t="inlineStr">
        <is>
          <t>平日</t>
        </is>
      </c>
      <c r="C9326" s="10" t="inlineStr">
        <is>
          <t>本線</t>
        </is>
      </c>
      <c r="D9326" s="10" t="inlineStr">
        <is>
          <t>下り</t>
        </is>
      </c>
      <c r="E9326" s="10" t="inlineStr">
        <is>
          <t>連1505</t>
        </is>
      </c>
      <c r="F9326" t="inlineStr">
        <is>
          <t>0112</t>
        </is>
      </c>
      <c r="G9326" s="10" t="inlineStr">
        <is>
          <t>天神川</t>
        </is>
      </c>
      <c r="H9326" s="10" t="inlineStr">
        <is>
          <t>発</t>
        </is>
      </c>
      <c r="J9326" s="10" t="inlineStr">
        <is>
          <t>営業</t>
        </is>
      </c>
      <c r="L9326" t="inlineStr">
        <is>
          <t>15:32:50</t>
        </is>
      </c>
      <c r="M9326" t="inlineStr">
        <is>
          <t>15:33:30</t>
        </is>
      </c>
      <c r="P9326" t="inlineStr">
        <is>
          <t>C系統(日中)</t>
        </is>
      </c>
    </row>
    <row r="9327" ht="16.5" customHeight="1" s="37">
      <c r="A9327" t="n">
        <v>7</v>
      </c>
      <c r="B9327" s="10" t="inlineStr">
        <is>
          <t>平日</t>
        </is>
      </c>
      <c r="C9327" s="10" t="inlineStr">
        <is>
          <t>本線</t>
        </is>
      </c>
      <c r="D9327" s="10" t="inlineStr">
        <is>
          <t>下り</t>
        </is>
      </c>
      <c r="E9327" s="10" t="inlineStr">
        <is>
          <t>連1505</t>
        </is>
      </c>
      <c r="F9327" t="inlineStr">
        <is>
          <t>0112</t>
        </is>
      </c>
      <c r="G9327" s="10" t="inlineStr">
        <is>
          <t>蚕ノ社</t>
        </is>
      </c>
      <c r="H9327" s="10" t="inlineStr">
        <is>
          <t>発</t>
        </is>
      </c>
      <c r="J9327" s="10" t="inlineStr">
        <is>
          <t>営業</t>
        </is>
      </c>
      <c r="L9327" t="inlineStr">
        <is>
          <t>15:34:20</t>
        </is>
      </c>
      <c r="M9327" t="inlineStr">
        <is>
          <t>15:34:40</t>
        </is>
      </c>
      <c r="P9327" t="inlineStr">
        <is>
          <t>C系統(日中)</t>
        </is>
      </c>
    </row>
    <row r="9328" ht="16.5" customHeight="1" s="37">
      <c r="A9328" t="n">
        <v>7</v>
      </c>
      <c r="B9328" s="10" t="inlineStr">
        <is>
          <t>平日</t>
        </is>
      </c>
      <c r="C9328" s="10" t="inlineStr">
        <is>
          <t>本線</t>
        </is>
      </c>
      <c r="D9328" s="10" t="inlineStr">
        <is>
          <t>下り</t>
        </is>
      </c>
      <c r="E9328" s="10" t="inlineStr">
        <is>
          <t>連1505</t>
        </is>
      </c>
      <c r="F9328" t="inlineStr">
        <is>
          <t>0112</t>
        </is>
      </c>
      <c r="G9328" s="10" t="inlineStr">
        <is>
          <t>太秦広隆寺</t>
        </is>
      </c>
      <c r="H9328" s="10" t="inlineStr">
        <is>
          <t>発</t>
        </is>
      </c>
      <c r="J9328" s="10" t="inlineStr">
        <is>
          <t>営業</t>
        </is>
      </c>
      <c r="L9328" t="inlineStr">
        <is>
          <t>15:36:00</t>
        </is>
      </c>
      <c r="M9328" t="inlineStr">
        <is>
          <t>15:36:20</t>
        </is>
      </c>
      <c r="P9328" t="inlineStr">
        <is>
          <t>C系統(日中)</t>
        </is>
      </c>
    </row>
    <row r="9329" ht="16.5" customHeight="1" s="37">
      <c r="A9329" t="n">
        <v>7</v>
      </c>
      <c r="B9329" s="10" t="inlineStr">
        <is>
          <t>平日</t>
        </is>
      </c>
      <c r="C9329" s="10" t="inlineStr">
        <is>
          <t>本線</t>
        </is>
      </c>
      <c r="D9329" s="10" t="inlineStr">
        <is>
          <t>下り</t>
        </is>
      </c>
      <c r="E9329" s="10" t="inlineStr">
        <is>
          <t>連1505</t>
        </is>
      </c>
      <c r="F9329" t="inlineStr">
        <is>
          <t>0112</t>
        </is>
      </c>
      <c r="G9329" s="10" t="inlineStr">
        <is>
          <t>帷子ノ辻</t>
        </is>
      </c>
      <c r="H9329" s="10" t="inlineStr">
        <is>
          <t>発</t>
        </is>
      </c>
      <c r="J9329" s="10" t="inlineStr">
        <is>
          <t>営業</t>
        </is>
      </c>
      <c r="L9329" t="inlineStr">
        <is>
          <t>15:38:20</t>
        </is>
      </c>
      <c r="M9329" t="inlineStr">
        <is>
          <t>15:39:40</t>
        </is>
      </c>
      <c r="P9329" t="inlineStr">
        <is>
          <t>C系統(日中)</t>
        </is>
      </c>
    </row>
    <row r="9330" ht="16.5" customHeight="1" s="37">
      <c r="A9330" t="n">
        <v>7</v>
      </c>
      <c r="B9330" s="10" t="inlineStr">
        <is>
          <t>平日</t>
        </is>
      </c>
      <c r="C9330" s="10" t="inlineStr">
        <is>
          <t>本線</t>
        </is>
      </c>
      <c r="D9330" s="10" t="inlineStr">
        <is>
          <t>下り</t>
        </is>
      </c>
      <c r="E9330" s="10" t="inlineStr">
        <is>
          <t>連1505</t>
        </is>
      </c>
      <c r="F9330" t="inlineStr">
        <is>
          <t>0112</t>
        </is>
      </c>
      <c r="G9330" s="10" t="inlineStr">
        <is>
          <t>有栖川</t>
        </is>
      </c>
      <c r="H9330" s="10" t="inlineStr">
        <is>
          <t>発</t>
        </is>
      </c>
      <c r="J9330" s="10" t="inlineStr">
        <is>
          <t>営業</t>
        </is>
      </c>
      <c r="L9330" t="inlineStr">
        <is>
          <t>15:40:50</t>
        </is>
      </c>
      <c r="M9330" t="inlineStr">
        <is>
          <t>15:41:15</t>
        </is>
      </c>
      <c r="P9330" t="inlineStr">
        <is>
          <t>C系統(日中)</t>
        </is>
      </c>
    </row>
    <row r="9331" ht="16.5" customHeight="1" s="37">
      <c r="A9331" t="n">
        <v>7</v>
      </c>
      <c r="B9331" s="10" t="inlineStr">
        <is>
          <t>平日</t>
        </is>
      </c>
      <c r="C9331" s="10" t="inlineStr">
        <is>
          <t>本線</t>
        </is>
      </c>
      <c r="D9331" s="10" t="inlineStr">
        <is>
          <t>下り</t>
        </is>
      </c>
      <c r="E9331" s="10" t="inlineStr">
        <is>
          <t>連1505</t>
        </is>
      </c>
      <c r="F9331" t="inlineStr">
        <is>
          <t>0112</t>
        </is>
      </c>
      <c r="G9331" s="10" t="inlineStr">
        <is>
          <t>車折</t>
        </is>
      </c>
      <c r="H9331" s="10" t="inlineStr">
        <is>
          <t>発</t>
        </is>
      </c>
      <c r="J9331" s="10" t="inlineStr">
        <is>
          <t>営業</t>
        </is>
      </c>
      <c r="L9331" t="inlineStr">
        <is>
          <t>15:42:40</t>
        </is>
      </c>
      <c r="M9331" t="inlineStr">
        <is>
          <t>15:43:05</t>
        </is>
      </c>
      <c r="P9331" t="inlineStr">
        <is>
          <t>C系統(日中)</t>
        </is>
      </c>
    </row>
    <row r="9332" ht="16.5" customHeight="1" s="37">
      <c r="A9332" t="n">
        <v>7</v>
      </c>
      <c r="B9332" s="10" t="inlineStr">
        <is>
          <t>平日</t>
        </is>
      </c>
      <c r="C9332" s="10" t="inlineStr">
        <is>
          <t>本線</t>
        </is>
      </c>
      <c r="D9332" s="10" t="inlineStr">
        <is>
          <t>下り</t>
        </is>
      </c>
      <c r="E9332" s="10" t="inlineStr">
        <is>
          <t>連1505</t>
        </is>
      </c>
      <c r="F9332" t="inlineStr">
        <is>
          <t>0112</t>
        </is>
      </c>
      <c r="G9332" s="10" t="inlineStr">
        <is>
          <t>鹿王院</t>
        </is>
      </c>
      <c r="H9332" s="10" t="inlineStr">
        <is>
          <t>発</t>
        </is>
      </c>
      <c r="J9332" s="10" t="inlineStr">
        <is>
          <t>営業</t>
        </is>
      </c>
      <c r="L9332" t="inlineStr">
        <is>
          <t>15:44:00</t>
        </is>
      </c>
      <c r="M9332" t="inlineStr">
        <is>
          <t>15:44:25</t>
        </is>
      </c>
      <c r="P9332" t="inlineStr">
        <is>
          <t>C系統(日中)</t>
        </is>
      </c>
    </row>
    <row r="9333" ht="16.5" customHeight="1" s="37">
      <c r="A9333" t="n">
        <v>7</v>
      </c>
      <c r="B9333" s="10" t="inlineStr">
        <is>
          <t>平日</t>
        </is>
      </c>
      <c r="C9333" s="10" t="inlineStr">
        <is>
          <t>本線</t>
        </is>
      </c>
      <c r="D9333" s="10" t="inlineStr">
        <is>
          <t>下り</t>
        </is>
      </c>
      <c r="E9333" s="10" t="inlineStr">
        <is>
          <t>連1505</t>
        </is>
      </c>
      <c r="F9333" t="inlineStr">
        <is>
          <t>0112</t>
        </is>
      </c>
      <c r="G9333" s="10" t="inlineStr">
        <is>
          <t>嵯峨</t>
        </is>
      </c>
      <c r="H9333" s="10" t="inlineStr">
        <is>
          <t>発</t>
        </is>
      </c>
      <c r="J9333" s="10" t="inlineStr">
        <is>
          <t>営業</t>
        </is>
      </c>
      <c r="L9333" t="inlineStr">
        <is>
          <t>15:45:30</t>
        </is>
      </c>
      <c r="M9333" t="inlineStr">
        <is>
          <t>15:45:55</t>
        </is>
      </c>
      <c r="P9333" t="inlineStr">
        <is>
          <t>C系統(日中)</t>
        </is>
      </c>
    </row>
    <row r="9334" ht="16.5" customHeight="1" s="37">
      <c r="A9334" t="n">
        <v>7</v>
      </c>
      <c r="B9334" s="10" t="inlineStr">
        <is>
          <t>平日</t>
        </is>
      </c>
      <c r="C9334" s="10" t="inlineStr">
        <is>
          <t>本線</t>
        </is>
      </c>
      <c r="D9334" s="10" t="inlineStr">
        <is>
          <t>下り</t>
        </is>
      </c>
      <c r="E9334" s="10" t="inlineStr">
        <is>
          <t>連1505</t>
        </is>
      </c>
      <c r="F9334" t="inlineStr">
        <is>
          <t>0112</t>
        </is>
      </c>
      <c r="G9334" s="10" t="inlineStr">
        <is>
          <t>嵐山</t>
        </is>
      </c>
      <c r="H9334" s="10" t="inlineStr">
        <is>
          <t>着</t>
        </is>
      </c>
      <c r="J9334" s="10" t="inlineStr">
        <is>
          <t>営業</t>
        </is>
      </c>
      <c r="L9334" t="inlineStr">
        <is>
          <t>15:47:00</t>
        </is>
      </c>
      <c r="P9334" t="inlineStr">
        <is>
          <t>C系統(日中)</t>
        </is>
      </c>
      <c r="Q9334" t="inlineStr">
        <is>
          <t>1</t>
        </is>
      </c>
    </row>
    <row r="9335" ht="16.5" customHeight="1" s="37">
      <c r="A9335" t="n">
        <v>7</v>
      </c>
      <c r="B9335" s="10" t="inlineStr">
        <is>
          <t>平日</t>
        </is>
      </c>
      <c r="C9335" s="10" t="inlineStr">
        <is>
          <t>本線</t>
        </is>
      </c>
      <c r="D9335" s="10" t="inlineStr">
        <is>
          <t>上り</t>
        </is>
      </c>
      <c r="E9335" s="10" t="inlineStr">
        <is>
          <t>連1512</t>
        </is>
      </c>
      <c r="F9335" t="inlineStr">
        <is>
          <t>0211</t>
        </is>
      </c>
      <c r="G9335" s="10" t="inlineStr">
        <is>
          <t>嵐山</t>
        </is>
      </c>
      <c r="H9335" s="10" t="inlineStr">
        <is>
          <t>発</t>
        </is>
      </c>
      <c r="J9335" s="10" t="inlineStr">
        <is>
          <t>営業</t>
        </is>
      </c>
      <c r="M9335" t="inlineStr">
        <is>
          <t>15:53:00</t>
        </is>
      </c>
      <c r="P9335" t="inlineStr">
        <is>
          <t>C系統(日中)</t>
        </is>
      </c>
      <c r="Q9335" t="inlineStr">
        <is>
          <t>1</t>
        </is>
      </c>
    </row>
    <row r="9336" ht="16.5" customHeight="1" s="37">
      <c r="A9336" t="n">
        <v>7</v>
      </c>
      <c r="B9336" s="10" t="inlineStr">
        <is>
          <t>平日</t>
        </is>
      </c>
      <c r="C9336" s="10" t="inlineStr">
        <is>
          <t>本線</t>
        </is>
      </c>
      <c r="D9336" s="10" t="inlineStr">
        <is>
          <t>上り</t>
        </is>
      </c>
      <c r="E9336" s="10" t="inlineStr">
        <is>
          <t>連1512</t>
        </is>
      </c>
      <c r="F9336" t="inlineStr">
        <is>
          <t>0211</t>
        </is>
      </c>
      <c r="G9336" s="10" t="inlineStr">
        <is>
          <t>嵯峨</t>
        </is>
      </c>
      <c r="H9336" s="10" t="inlineStr">
        <is>
          <t>発</t>
        </is>
      </c>
      <c r="J9336" s="10" t="inlineStr">
        <is>
          <t>営業</t>
        </is>
      </c>
      <c r="L9336" t="inlineStr">
        <is>
          <t>15:53:55</t>
        </is>
      </c>
      <c r="M9336" t="inlineStr">
        <is>
          <t>15:54:20</t>
        </is>
      </c>
      <c r="P9336" t="inlineStr">
        <is>
          <t>C系統(日中)</t>
        </is>
      </c>
    </row>
    <row r="9337" ht="16.5" customHeight="1" s="37">
      <c r="A9337" t="n">
        <v>7</v>
      </c>
      <c r="B9337" s="10" t="inlineStr">
        <is>
          <t>平日</t>
        </is>
      </c>
      <c r="C9337" s="10" t="inlineStr">
        <is>
          <t>本線</t>
        </is>
      </c>
      <c r="D9337" s="10" t="inlineStr">
        <is>
          <t>上り</t>
        </is>
      </c>
      <c r="E9337" s="10" t="inlineStr">
        <is>
          <t>連1512</t>
        </is>
      </c>
      <c r="F9337" t="inlineStr">
        <is>
          <t>0211</t>
        </is>
      </c>
      <c r="G9337" s="10" t="inlineStr">
        <is>
          <t>鹿王院</t>
        </is>
      </c>
      <c r="H9337" s="10" t="inlineStr">
        <is>
          <t>発</t>
        </is>
      </c>
      <c r="J9337" s="10" t="inlineStr">
        <is>
          <t>営業</t>
        </is>
      </c>
      <c r="L9337" t="inlineStr">
        <is>
          <t>15:55:25</t>
        </is>
      </c>
      <c r="M9337" t="inlineStr">
        <is>
          <t>15:55:45</t>
        </is>
      </c>
      <c r="P9337" t="inlineStr">
        <is>
          <t>C系統(日中)</t>
        </is>
      </c>
    </row>
    <row r="9338" ht="16.5" customHeight="1" s="37">
      <c r="A9338" t="n">
        <v>7</v>
      </c>
      <c r="B9338" s="10" t="inlineStr">
        <is>
          <t>平日</t>
        </is>
      </c>
      <c r="C9338" s="10" t="inlineStr">
        <is>
          <t>本線</t>
        </is>
      </c>
      <c r="D9338" s="10" t="inlineStr">
        <is>
          <t>上り</t>
        </is>
      </c>
      <c r="E9338" s="10" t="inlineStr">
        <is>
          <t>連1512</t>
        </is>
      </c>
      <c r="F9338" t="inlineStr">
        <is>
          <t>0211</t>
        </is>
      </c>
      <c r="G9338" s="10" t="inlineStr">
        <is>
          <t>車折</t>
        </is>
      </c>
      <c r="H9338" s="10" t="inlineStr">
        <is>
          <t>発</t>
        </is>
      </c>
      <c r="J9338" s="10" t="inlineStr">
        <is>
          <t>営業</t>
        </is>
      </c>
      <c r="L9338" t="inlineStr">
        <is>
          <t>15:56:40</t>
        </is>
      </c>
      <c r="M9338" t="inlineStr">
        <is>
          <t>15:57:10</t>
        </is>
      </c>
      <c r="P9338" t="inlineStr">
        <is>
          <t>C系統(日中)</t>
        </is>
      </c>
    </row>
    <row r="9339" ht="16.5" customHeight="1" s="37">
      <c r="A9339" t="n">
        <v>7</v>
      </c>
      <c r="B9339" s="10" t="inlineStr">
        <is>
          <t>平日</t>
        </is>
      </c>
      <c r="C9339" s="10" t="inlineStr">
        <is>
          <t>本線</t>
        </is>
      </c>
      <c r="D9339" s="10" t="inlineStr">
        <is>
          <t>上り</t>
        </is>
      </c>
      <c r="E9339" s="10" t="inlineStr">
        <is>
          <t>連1512</t>
        </is>
      </c>
      <c r="F9339" t="inlineStr">
        <is>
          <t>0211</t>
        </is>
      </c>
      <c r="G9339" s="10" t="inlineStr">
        <is>
          <t>有栖川</t>
        </is>
      </c>
      <c r="H9339" s="10" t="inlineStr">
        <is>
          <t>発</t>
        </is>
      </c>
      <c r="J9339" s="10" t="inlineStr">
        <is>
          <t>営業</t>
        </is>
      </c>
      <c r="L9339" t="inlineStr">
        <is>
          <t>15:58:35</t>
        </is>
      </c>
      <c r="M9339" t="inlineStr">
        <is>
          <t>15:58:55</t>
        </is>
      </c>
      <c r="P9339" t="inlineStr">
        <is>
          <t>C系統(日中)</t>
        </is>
      </c>
    </row>
    <row r="9340" ht="16.5" customHeight="1" s="37">
      <c r="A9340" t="n">
        <v>7</v>
      </c>
      <c r="B9340" s="10" t="inlineStr">
        <is>
          <t>平日</t>
        </is>
      </c>
      <c r="C9340" s="10" t="inlineStr">
        <is>
          <t>本線</t>
        </is>
      </c>
      <c r="D9340" s="10" t="inlineStr">
        <is>
          <t>上り</t>
        </is>
      </c>
      <c r="E9340" s="10" t="inlineStr">
        <is>
          <t>連1512</t>
        </is>
      </c>
      <c r="F9340" t="inlineStr">
        <is>
          <t>0211</t>
        </is>
      </c>
      <c r="G9340" s="10" t="inlineStr">
        <is>
          <t>帷子ノ辻</t>
        </is>
      </c>
      <c r="H9340" s="10" t="inlineStr">
        <is>
          <t>発</t>
        </is>
      </c>
      <c r="J9340" s="10" t="inlineStr">
        <is>
          <t>営業</t>
        </is>
      </c>
      <c r="L9340" t="inlineStr">
        <is>
          <t>16:00:10</t>
        </is>
      </c>
      <c r="M9340" t="inlineStr">
        <is>
          <t>16:01:15</t>
        </is>
      </c>
      <c r="P9340" t="inlineStr">
        <is>
          <t>C系統(日中)</t>
        </is>
      </c>
    </row>
    <row r="9341" ht="16.5" customHeight="1" s="37">
      <c r="A9341" t="n">
        <v>7</v>
      </c>
      <c r="B9341" s="10" t="inlineStr">
        <is>
          <t>平日</t>
        </is>
      </c>
      <c r="C9341" s="10" t="inlineStr">
        <is>
          <t>本線</t>
        </is>
      </c>
      <c r="D9341" s="10" t="inlineStr">
        <is>
          <t>上り</t>
        </is>
      </c>
      <c r="E9341" s="10" t="inlineStr">
        <is>
          <t>連1512</t>
        </is>
      </c>
      <c r="F9341" t="inlineStr">
        <is>
          <t>0211</t>
        </is>
      </c>
      <c r="G9341" s="10" t="inlineStr">
        <is>
          <t>太秦広隆寺</t>
        </is>
      </c>
      <c r="H9341" s="10" t="inlineStr">
        <is>
          <t>発</t>
        </is>
      </c>
      <c r="J9341" s="10" t="inlineStr">
        <is>
          <t>営業</t>
        </is>
      </c>
      <c r="L9341" t="inlineStr">
        <is>
          <t>16:03:25</t>
        </is>
      </c>
      <c r="M9341" t="inlineStr">
        <is>
          <t>16:03:45</t>
        </is>
      </c>
      <c r="P9341" t="inlineStr">
        <is>
          <t>C系統(日中)</t>
        </is>
      </c>
    </row>
    <row r="9342" ht="16.5" customHeight="1" s="37">
      <c r="A9342" t="n">
        <v>7</v>
      </c>
      <c r="B9342" s="10" t="inlineStr">
        <is>
          <t>平日</t>
        </is>
      </c>
      <c r="C9342" s="10" t="inlineStr">
        <is>
          <t>本線</t>
        </is>
      </c>
      <c r="D9342" s="10" t="inlineStr">
        <is>
          <t>上り</t>
        </is>
      </c>
      <c r="E9342" s="10" t="inlineStr">
        <is>
          <t>連1512</t>
        </is>
      </c>
      <c r="F9342" t="inlineStr">
        <is>
          <t>0211</t>
        </is>
      </c>
      <c r="G9342" s="10" t="inlineStr">
        <is>
          <t>蚕ノ社</t>
        </is>
      </c>
      <c r="H9342" s="10" t="inlineStr">
        <is>
          <t>発</t>
        </is>
      </c>
      <c r="J9342" s="10" t="inlineStr">
        <is>
          <t>営業</t>
        </is>
      </c>
      <c r="L9342" t="inlineStr">
        <is>
          <t>16:05:00</t>
        </is>
      </c>
      <c r="M9342" t="inlineStr">
        <is>
          <t>16:05:20</t>
        </is>
      </c>
      <c r="P9342" t="inlineStr">
        <is>
          <t>C系統(日中)</t>
        </is>
      </c>
    </row>
    <row r="9343" ht="16.5" customHeight="1" s="37">
      <c r="A9343" t="n">
        <v>7</v>
      </c>
      <c r="B9343" s="10" t="inlineStr">
        <is>
          <t>平日</t>
        </is>
      </c>
      <c r="C9343" s="10" t="inlineStr">
        <is>
          <t>本線</t>
        </is>
      </c>
      <c r="D9343" s="10" t="inlineStr">
        <is>
          <t>上り</t>
        </is>
      </c>
      <c r="E9343" s="10" t="inlineStr">
        <is>
          <t>連1512</t>
        </is>
      </c>
      <c r="F9343" t="inlineStr">
        <is>
          <t>0211</t>
        </is>
      </c>
      <c r="G9343" s="10" t="inlineStr">
        <is>
          <t>天神川</t>
        </is>
      </c>
      <c r="H9343" s="10" t="inlineStr">
        <is>
          <t>発</t>
        </is>
      </c>
      <c r="J9343" s="10" t="inlineStr">
        <is>
          <t>営業</t>
        </is>
      </c>
      <c r="L9343" t="inlineStr">
        <is>
          <t>16:06:05</t>
        </is>
      </c>
      <c r="M9343" t="inlineStr">
        <is>
          <t>16:06:50</t>
        </is>
      </c>
      <c r="P9343" t="inlineStr">
        <is>
          <t>C系統(日中)</t>
        </is>
      </c>
    </row>
    <row r="9344" ht="16.5" customHeight="1" s="37">
      <c r="A9344" t="n">
        <v>7</v>
      </c>
      <c r="B9344" s="10" t="inlineStr">
        <is>
          <t>平日</t>
        </is>
      </c>
      <c r="C9344" s="10" t="inlineStr">
        <is>
          <t>本線</t>
        </is>
      </c>
      <c r="D9344" s="10" t="inlineStr">
        <is>
          <t>上り</t>
        </is>
      </c>
      <c r="E9344" s="10" t="inlineStr">
        <is>
          <t>連1512</t>
        </is>
      </c>
      <c r="F9344" t="inlineStr">
        <is>
          <t>0211</t>
        </is>
      </c>
      <c r="G9344" s="10" t="inlineStr">
        <is>
          <t>山ノ内</t>
        </is>
      </c>
      <c r="H9344" s="10" t="inlineStr">
        <is>
          <t>発</t>
        </is>
      </c>
      <c r="J9344" s="10" t="inlineStr">
        <is>
          <t>営業</t>
        </is>
      </c>
      <c r="L9344" t="inlineStr">
        <is>
          <t>16:08:40</t>
        </is>
      </c>
      <c r="M9344" t="inlineStr">
        <is>
          <t>16:09:05</t>
        </is>
      </c>
      <c r="P9344" t="inlineStr">
        <is>
          <t>C系統(日中)</t>
        </is>
      </c>
    </row>
    <row r="9345" ht="16.5" customHeight="1" s="37">
      <c r="A9345" t="n">
        <v>7</v>
      </c>
      <c r="B9345" s="10" t="inlineStr">
        <is>
          <t>平日</t>
        </is>
      </c>
      <c r="C9345" s="10" t="inlineStr">
        <is>
          <t>本線</t>
        </is>
      </c>
      <c r="D9345" s="10" t="inlineStr">
        <is>
          <t>上り</t>
        </is>
      </c>
      <c r="E9345" s="10" t="inlineStr">
        <is>
          <t>連1512</t>
        </is>
      </c>
      <c r="F9345" t="inlineStr">
        <is>
          <t>0211</t>
        </is>
      </c>
      <c r="G9345" s="10" t="inlineStr">
        <is>
          <t>西大路三条</t>
        </is>
      </c>
      <c r="H9345" s="10" t="inlineStr">
        <is>
          <t>発</t>
        </is>
      </c>
      <c r="J9345" s="10" t="inlineStr">
        <is>
          <t>営業</t>
        </is>
      </c>
      <c r="L9345" t="inlineStr">
        <is>
          <t>16:10:55</t>
        </is>
      </c>
      <c r="M9345" t="inlineStr">
        <is>
          <t>16:11:15</t>
        </is>
      </c>
      <c r="P9345" t="inlineStr">
        <is>
          <t>C系統(日中)</t>
        </is>
      </c>
    </row>
    <row r="9346" ht="16.5" customHeight="1" s="37">
      <c r="A9346" t="n">
        <v>7</v>
      </c>
      <c r="B9346" s="10" t="inlineStr">
        <is>
          <t>平日</t>
        </is>
      </c>
      <c r="C9346" s="10" t="inlineStr">
        <is>
          <t>本線</t>
        </is>
      </c>
      <c r="D9346" s="10" t="inlineStr">
        <is>
          <t>上り</t>
        </is>
      </c>
      <c r="E9346" s="10" t="inlineStr">
        <is>
          <t>連1512</t>
        </is>
      </c>
      <c r="F9346" t="inlineStr">
        <is>
          <t>0211</t>
        </is>
      </c>
      <c r="G9346" s="10" t="inlineStr">
        <is>
          <t>西院</t>
        </is>
      </c>
      <c r="H9346" s="10" t="inlineStr">
        <is>
          <t>発</t>
        </is>
      </c>
      <c r="J9346" s="10" t="inlineStr">
        <is>
          <t>営業</t>
        </is>
      </c>
      <c r="L9346" t="inlineStr">
        <is>
          <t>16:13:10</t>
        </is>
      </c>
      <c r="M9346" t="inlineStr">
        <is>
          <t>16:14:05</t>
        </is>
      </c>
      <c r="P9346" t="inlineStr">
        <is>
          <t>C系統(日中)</t>
        </is>
      </c>
    </row>
    <row r="9347" ht="16.5" customHeight="1" s="37">
      <c r="A9347" t="n">
        <v>7</v>
      </c>
      <c r="B9347" s="10" t="inlineStr">
        <is>
          <t>平日</t>
        </is>
      </c>
      <c r="C9347" s="10" t="inlineStr">
        <is>
          <t>本線</t>
        </is>
      </c>
      <c r="D9347" s="10" t="inlineStr">
        <is>
          <t>上り</t>
        </is>
      </c>
      <c r="E9347" s="10" t="inlineStr">
        <is>
          <t>連1512</t>
        </is>
      </c>
      <c r="F9347" t="inlineStr">
        <is>
          <t>0211</t>
        </is>
      </c>
      <c r="G9347" s="10" t="inlineStr">
        <is>
          <t>四条大宮</t>
        </is>
      </c>
      <c r="H9347" s="10" t="inlineStr">
        <is>
          <t>着</t>
        </is>
      </c>
      <c r="J9347" s="10" t="inlineStr">
        <is>
          <t>営業</t>
        </is>
      </c>
      <c r="L9347" t="inlineStr">
        <is>
          <t>16:17:00</t>
        </is>
      </c>
      <c r="P9347" t="inlineStr">
        <is>
          <t>C系統(日中)</t>
        </is>
      </c>
      <c r="Q9347" t="inlineStr">
        <is>
          <t>1</t>
        </is>
      </c>
    </row>
    <row r="9348" ht="16.5" customHeight="1" s="37">
      <c r="A9348" t="n">
        <v>7</v>
      </c>
      <c r="B9348" s="10" t="inlineStr">
        <is>
          <t>平日</t>
        </is>
      </c>
      <c r="C9348" s="10" t="inlineStr">
        <is>
          <t>本線</t>
        </is>
      </c>
      <c r="D9348" s="10" t="inlineStr">
        <is>
          <t>下り</t>
        </is>
      </c>
      <c r="E9348" s="10" t="inlineStr">
        <is>
          <t>連1605</t>
        </is>
      </c>
      <c r="F9348" t="inlineStr">
        <is>
          <t>0122</t>
        </is>
      </c>
      <c r="G9348" s="10" t="inlineStr">
        <is>
          <t>四条大宮</t>
        </is>
      </c>
      <c r="H9348" s="10" t="inlineStr">
        <is>
          <t>発</t>
        </is>
      </c>
      <c r="J9348" s="10" t="inlineStr">
        <is>
          <t>営業</t>
        </is>
      </c>
      <c r="M9348" t="inlineStr">
        <is>
          <t>16:23:00</t>
        </is>
      </c>
      <c r="P9348" t="inlineStr">
        <is>
          <t>C系統(日中)</t>
        </is>
      </c>
      <c r="Q9348" t="inlineStr">
        <is>
          <t>1</t>
        </is>
      </c>
    </row>
    <row r="9349" ht="16.5" customHeight="1" s="37">
      <c r="A9349" t="n">
        <v>7</v>
      </c>
      <c r="B9349" s="10" t="inlineStr">
        <is>
          <t>平日</t>
        </is>
      </c>
      <c r="C9349" s="10" t="inlineStr">
        <is>
          <t>本線</t>
        </is>
      </c>
      <c r="D9349" s="10" t="inlineStr">
        <is>
          <t>下り</t>
        </is>
      </c>
      <c r="E9349" s="10" t="inlineStr">
        <is>
          <t>連1605</t>
        </is>
      </c>
      <c r="F9349" t="inlineStr">
        <is>
          <t>0122</t>
        </is>
      </c>
      <c r="G9349" s="10" t="inlineStr">
        <is>
          <t>西院</t>
        </is>
      </c>
      <c r="H9349" s="10" t="inlineStr">
        <is>
          <t>発</t>
        </is>
      </c>
      <c r="J9349" s="10" t="inlineStr">
        <is>
          <t>営業</t>
        </is>
      </c>
      <c r="L9349" t="inlineStr">
        <is>
          <t>16:25:50</t>
        </is>
      </c>
      <c r="M9349" t="inlineStr">
        <is>
          <t>16:26:20</t>
        </is>
      </c>
      <c r="P9349" t="inlineStr">
        <is>
          <t>C系統(日中)</t>
        </is>
      </c>
    </row>
    <row r="9350" ht="16.5" customHeight="1" s="37">
      <c r="A9350" t="n">
        <v>7</v>
      </c>
      <c r="B9350" s="10" t="inlineStr">
        <is>
          <t>平日</t>
        </is>
      </c>
      <c r="C9350" s="10" t="inlineStr">
        <is>
          <t>本線</t>
        </is>
      </c>
      <c r="D9350" s="10" t="inlineStr">
        <is>
          <t>下り</t>
        </is>
      </c>
      <c r="E9350" s="10" t="inlineStr">
        <is>
          <t>連1605</t>
        </is>
      </c>
      <c r="F9350" t="inlineStr">
        <is>
          <t>0122</t>
        </is>
      </c>
      <c r="G9350" s="10" t="inlineStr">
        <is>
          <t>西大路三条</t>
        </is>
      </c>
      <c r="H9350" s="10" t="inlineStr">
        <is>
          <t>発</t>
        </is>
      </c>
      <c r="J9350" s="10" t="inlineStr">
        <is>
          <t>営業</t>
        </is>
      </c>
      <c r="L9350" t="inlineStr">
        <is>
          <t>16:28:10</t>
        </is>
      </c>
      <c r="M9350" t="inlineStr">
        <is>
          <t>16:28:30</t>
        </is>
      </c>
      <c r="P9350" t="inlineStr">
        <is>
          <t>C系統(日中)</t>
        </is>
      </c>
    </row>
    <row r="9351" ht="16.5" customHeight="1" s="37">
      <c r="A9351" t="n">
        <v>7</v>
      </c>
      <c r="B9351" s="10" t="inlineStr">
        <is>
          <t>平日</t>
        </is>
      </c>
      <c r="C9351" s="10" t="inlineStr">
        <is>
          <t>本線</t>
        </is>
      </c>
      <c r="D9351" s="10" t="inlineStr">
        <is>
          <t>下り</t>
        </is>
      </c>
      <c r="E9351" s="10" t="inlineStr">
        <is>
          <t>連1605</t>
        </is>
      </c>
      <c r="F9351" t="inlineStr">
        <is>
          <t>0122</t>
        </is>
      </c>
      <c r="G9351" s="10" t="inlineStr">
        <is>
          <t>山ノ内</t>
        </is>
      </c>
      <c r="H9351" s="10" t="inlineStr">
        <is>
          <t>発</t>
        </is>
      </c>
      <c r="J9351" s="10" t="inlineStr">
        <is>
          <t>営業</t>
        </is>
      </c>
      <c r="L9351" t="inlineStr">
        <is>
          <t>16:30:25</t>
        </is>
      </c>
      <c r="M9351" t="inlineStr">
        <is>
          <t>16:30:50</t>
        </is>
      </c>
      <c r="P9351" t="inlineStr">
        <is>
          <t>C系統(日中)</t>
        </is>
      </c>
    </row>
    <row r="9352" ht="16.5" customHeight="1" s="37">
      <c r="A9352" t="n">
        <v>7</v>
      </c>
      <c r="B9352" s="10" t="inlineStr">
        <is>
          <t>平日</t>
        </is>
      </c>
      <c r="C9352" s="10" t="inlineStr">
        <is>
          <t>本線</t>
        </is>
      </c>
      <c r="D9352" s="10" t="inlineStr">
        <is>
          <t>下り</t>
        </is>
      </c>
      <c r="E9352" s="10" t="inlineStr">
        <is>
          <t>連1605</t>
        </is>
      </c>
      <c r="F9352" t="inlineStr">
        <is>
          <t>0122</t>
        </is>
      </c>
      <c r="G9352" s="10" t="inlineStr">
        <is>
          <t>天神川</t>
        </is>
      </c>
      <c r="H9352" s="10" t="inlineStr">
        <is>
          <t>発</t>
        </is>
      </c>
      <c r="J9352" s="10" t="inlineStr">
        <is>
          <t>営業</t>
        </is>
      </c>
      <c r="L9352" t="inlineStr">
        <is>
          <t>16:32:50</t>
        </is>
      </c>
      <c r="M9352" t="inlineStr">
        <is>
          <t>16:33:30</t>
        </is>
      </c>
      <c r="P9352" t="inlineStr">
        <is>
          <t>C系統(日中)</t>
        </is>
      </c>
    </row>
    <row r="9353" ht="16.5" customHeight="1" s="37">
      <c r="A9353" t="n">
        <v>7</v>
      </c>
      <c r="B9353" s="10" t="inlineStr">
        <is>
          <t>平日</t>
        </is>
      </c>
      <c r="C9353" s="10" t="inlineStr">
        <is>
          <t>本線</t>
        </is>
      </c>
      <c r="D9353" s="10" t="inlineStr">
        <is>
          <t>下り</t>
        </is>
      </c>
      <c r="E9353" s="10" t="inlineStr">
        <is>
          <t>連1605</t>
        </is>
      </c>
      <c r="F9353" t="inlineStr">
        <is>
          <t>0122</t>
        </is>
      </c>
      <c r="G9353" s="10" t="inlineStr">
        <is>
          <t>蚕ノ社</t>
        </is>
      </c>
      <c r="H9353" s="10" t="inlineStr">
        <is>
          <t>発</t>
        </is>
      </c>
      <c r="J9353" s="10" t="inlineStr">
        <is>
          <t>営業</t>
        </is>
      </c>
      <c r="L9353" t="inlineStr">
        <is>
          <t>16:34:20</t>
        </is>
      </c>
      <c r="M9353" t="inlineStr">
        <is>
          <t>16:34:40</t>
        </is>
      </c>
      <c r="P9353" t="inlineStr">
        <is>
          <t>C系統(日中)</t>
        </is>
      </c>
    </row>
    <row r="9354" ht="16.5" customHeight="1" s="37">
      <c r="A9354" t="n">
        <v>7</v>
      </c>
      <c r="B9354" s="10" t="inlineStr">
        <is>
          <t>平日</t>
        </is>
      </c>
      <c r="C9354" s="10" t="inlineStr">
        <is>
          <t>本線</t>
        </is>
      </c>
      <c r="D9354" s="10" t="inlineStr">
        <is>
          <t>下り</t>
        </is>
      </c>
      <c r="E9354" s="10" t="inlineStr">
        <is>
          <t>連1605</t>
        </is>
      </c>
      <c r="F9354" t="inlineStr">
        <is>
          <t>0122</t>
        </is>
      </c>
      <c r="G9354" s="10" t="inlineStr">
        <is>
          <t>太秦広隆寺</t>
        </is>
      </c>
      <c r="H9354" s="10" t="inlineStr">
        <is>
          <t>発</t>
        </is>
      </c>
      <c r="J9354" s="10" t="inlineStr">
        <is>
          <t>営業</t>
        </is>
      </c>
      <c r="L9354" t="inlineStr">
        <is>
          <t>16:36:00</t>
        </is>
      </c>
      <c r="M9354" t="inlineStr">
        <is>
          <t>16:36:20</t>
        </is>
      </c>
      <c r="P9354" t="inlineStr">
        <is>
          <t>C系統(日中)</t>
        </is>
      </c>
    </row>
    <row r="9355" ht="16.5" customHeight="1" s="37">
      <c r="A9355" t="n">
        <v>7</v>
      </c>
      <c r="B9355" s="10" t="inlineStr">
        <is>
          <t>平日</t>
        </is>
      </c>
      <c r="C9355" s="10" t="inlineStr">
        <is>
          <t>本線</t>
        </is>
      </c>
      <c r="D9355" s="10" t="inlineStr">
        <is>
          <t>下り</t>
        </is>
      </c>
      <c r="E9355" s="10" t="inlineStr">
        <is>
          <t>連1605</t>
        </is>
      </c>
      <c r="F9355" t="inlineStr">
        <is>
          <t>0122</t>
        </is>
      </c>
      <c r="G9355" s="10" t="inlineStr">
        <is>
          <t>帷子ノ辻</t>
        </is>
      </c>
      <c r="H9355" s="10" t="inlineStr">
        <is>
          <t>発</t>
        </is>
      </c>
      <c r="J9355" s="10" t="inlineStr">
        <is>
          <t>営業</t>
        </is>
      </c>
      <c r="L9355" t="inlineStr">
        <is>
          <t>16:38:20</t>
        </is>
      </c>
      <c r="M9355" t="inlineStr">
        <is>
          <t>16:39:40</t>
        </is>
      </c>
      <c r="P9355" t="inlineStr">
        <is>
          <t>C系統(日中)</t>
        </is>
      </c>
    </row>
    <row r="9356" ht="16.5" customHeight="1" s="37">
      <c r="A9356" t="n">
        <v>7</v>
      </c>
      <c r="B9356" s="10" t="inlineStr">
        <is>
          <t>平日</t>
        </is>
      </c>
      <c r="C9356" s="10" t="inlineStr">
        <is>
          <t>本線</t>
        </is>
      </c>
      <c r="D9356" s="10" t="inlineStr">
        <is>
          <t>下り</t>
        </is>
      </c>
      <c r="E9356" s="10" t="inlineStr">
        <is>
          <t>連1605</t>
        </is>
      </c>
      <c r="F9356" t="inlineStr">
        <is>
          <t>0122</t>
        </is>
      </c>
      <c r="G9356" s="10" t="inlineStr">
        <is>
          <t>有栖川</t>
        </is>
      </c>
      <c r="H9356" s="10" t="inlineStr">
        <is>
          <t>発</t>
        </is>
      </c>
      <c r="J9356" s="10" t="inlineStr">
        <is>
          <t>営業</t>
        </is>
      </c>
      <c r="L9356" t="inlineStr">
        <is>
          <t>16:40:50</t>
        </is>
      </c>
      <c r="M9356" t="inlineStr">
        <is>
          <t>16:41:15</t>
        </is>
      </c>
      <c r="P9356" t="inlineStr">
        <is>
          <t>C系統(日中)</t>
        </is>
      </c>
    </row>
    <row r="9357" ht="16.5" customHeight="1" s="37">
      <c r="A9357" t="n">
        <v>7</v>
      </c>
      <c r="B9357" s="10" t="inlineStr">
        <is>
          <t>平日</t>
        </is>
      </c>
      <c r="C9357" s="10" t="inlineStr">
        <is>
          <t>本線</t>
        </is>
      </c>
      <c r="D9357" s="10" t="inlineStr">
        <is>
          <t>下り</t>
        </is>
      </c>
      <c r="E9357" s="10" t="inlineStr">
        <is>
          <t>連1605</t>
        </is>
      </c>
      <c r="F9357" t="inlineStr">
        <is>
          <t>0122</t>
        </is>
      </c>
      <c r="G9357" s="10" t="inlineStr">
        <is>
          <t>車折</t>
        </is>
      </c>
      <c r="H9357" s="10" t="inlineStr">
        <is>
          <t>発</t>
        </is>
      </c>
      <c r="J9357" s="10" t="inlineStr">
        <is>
          <t>営業</t>
        </is>
      </c>
      <c r="L9357" t="inlineStr">
        <is>
          <t>16:42:40</t>
        </is>
      </c>
      <c r="M9357" t="inlineStr">
        <is>
          <t>16:43:05</t>
        </is>
      </c>
      <c r="P9357" t="inlineStr">
        <is>
          <t>C系統(日中)</t>
        </is>
      </c>
    </row>
    <row r="9358" ht="16.5" customHeight="1" s="37">
      <c r="A9358" t="n">
        <v>7</v>
      </c>
      <c r="B9358" s="10" t="inlineStr">
        <is>
          <t>平日</t>
        </is>
      </c>
      <c r="C9358" s="10" t="inlineStr">
        <is>
          <t>本線</t>
        </is>
      </c>
      <c r="D9358" s="10" t="inlineStr">
        <is>
          <t>下り</t>
        </is>
      </c>
      <c r="E9358" s="10" t="inlineStr">
        <is>
          <t>連1605</t>
        </is>
      </c>
      <c r="F9358" t="inlineStr">
        <is>
          <t>0122</t>
        </is>
      </c>
      <c r="G9358" s="10" t="inlineStr">
        <is>
          <t>鹿王院</t>
        </is>
      </c>
      <c r="H9358" s="10" t="inlineStr">
        <is>
          <t>発</t>
        </is>
      </c>
      <c r="J9358" s="10" t="inlineStr">
        <is>
          <t>営業</t>
        </is>
      </c>
      <c r="L9358" t="inlineStr">
        <is>
          <t>16:44:00</t>
        </is>
      </c>
      <c r="M9358" t="inlineStr">
        <is>
          <t>16:44:25</t>
        </is>
      </c>
      <c r="P9358" t="inlineStr">
        <is>
          <t>C系統(日中)</t>
        </is>
      </c>
    </row>
    <row r="9359" ht="16.5" customHeight="1" s="37">
      <c r="A9359" t="n">
        <v>7</v>
      </c>
      <c r="B9359" s="10" t="inlineStr">
        <is>
          <t>平日</t>
        </is>
      </c>
      <c r="C9359" s="10" t="inlineStr">
        <is>
          <t>本線</t>
        </is>
      </c>
      <c r="D9359" s="10" t="inlineStr">
        <is>
          <t>下り</t>
        </is>
      </c>
      <c r="E9359" s="10" t="inlineStr">
        <is>
          <t>連1605</t>
        </is>
      </c>
      <c r="F9359" t="inlineStr">
        <is>
          <t>0122</t>
        </is>
      </c>
      <c r="G9359" s="10" t="inlineStr">
        <is>
          <t>嵯峨</t>
        </is>
      </c>
      <c r="H9359" s="10" t="inlineStr">
        <is>
          <t>発</t>
        </is>
      </c>
      <c r="J9359" s="10" t="inlineStr">
        <is>
          <t>営業</t>
        </is>
      </c>
      <c r="L9359" t="inlineStr">
        <is>
          <t>16:45:30</t>
        </is>
      </c>
      <c r="M9359" t="inlineStr">
        <is>
          <t>16:45:55</t>
        </is>
      </c>
      <c r="P9359" t="inlineStr">
        <is>
          <t>C系統(日中)</t>
        </is>
      </c>
    </row>
    <row r="9360" ht="16.5" customHeight="1" s="37">
      <c r="A9360" t="n">
        <v>7</v>
      </c>
      <c r="B9360" s="10" t="inlineStr">
        <is>
          <t>平日</t>
        </is>
      </c>
      <c r="C9360" s="10" t="inlineStr">
        <is>
          <t>本線</t>
        </is>
      </c>
      <c r="D9360" s="10" t="inlineStr">
        <is>
          <t>下り</t>
        </is>
      </c>
      <c r="E9360" s="10" t="inlineStr">
        <is>
          <t>連1605</t>
        </is>
      </c>
      <c r="F9360" t="inlineStr">
        <is>
          <t>0122</t>
        </is>
      </c>
      <c r="G9360" s="10" t="inlineStr">
        <is>
          <t>嵐山</t>
        </is>
      </c>
      <c r="H9360" s="10" t="inlineStr">
        <is>
          <t>着</t>
        </is>
      </c>
      <c r="J9360" s="10" t="inlineStr">
        <is>
          <t>営業</t>
        </is>
      </c>
      <c r="L9360" t="inlineStr">
        <is>
          <t>16:47:00</t>
        </is>
      </c>
      <c r="P9360" t="inlineStr">
        <is>
          <t>C系統(日中)</t>
        </is>
      </c>
      <c r="Q9360" t="inlineStr">
        <is>
          <t>1</t>
        </is>
      </c>
    </row>
    <row r="9361" ht="16.5" customHeight="1" s="37">
      <c r="A9361" t="n">
        <v>7</v>
      </c>
      <c r="B9361" s="10" t="inlineStr">
        <is>
          <t>平日</t>
        </is>
      </c>
      <c r="C9361" s="10" t="inlineStr">
        <is>
          <t>本線</t>
        </is>
      </c>
      <c r="D9361" s="10" t="inlineStr">
        <is>
          <t>上り</t>
        </is>
      </c>
      <c r="E9361" s="10" t="inlineStr">
        <is>
          <t>連1612</t>
        </is>
      </c>
      <c r="F9361" t="inlineStr">
        <is>
          <t>2221</t>
        </is>
      </c>
      <c r="G9361" s="10" t="inlineStr">
        <is>
          <t>嵐山</t>
        </is>
      </c>
      <c r="H9361" s="10" t="inlineStr">
        <is>
          <t>発</t>
        </is>
      </c>
      <c r="J9361" s="10" t="inlineStr">
        <is>
          <t>営業</t>
        </is>
      </c>
      <c r="M9361" t="inlineStr">
        <is>
          <t>16:53:00</t>
        </is>
      </c>
      <c r="P9361" t="inlineStr">
        <is>
          <t>C系統(日中)</t>
        </is>
      </c>
      <c r="Q9361" t="inlineStr">
        <is>
          <t>1</t>
        </is>
      </c>
    </row>
    <row r="9362" ht="16.5" customHeight="1" s="37">
      <c r="A9362" t="n">
        <v>7</v>
      </c>
      <c r="B9362" s="10" t="inlineStr">
        <is>
          <t>平日</t>
        </is>
      </c>
      <c r="C9362" s="10" t="inlineStr">
        <is>
          <t>本線</t>
        </is>
      </c>
      <c r="D9362" s="10" t="inlineStr">
        <is>
          <t>上り</t>
        </is>
      </c>
      <c r="E9362" s="10" t="inlineStr">
        <is>
          <t>連1612</t>
        </is>
      </c>
      <c r="F9362" t="inlineStr">
        <is>
          <t>2221</t>
        </is>
      </c>
      <c r="G9362" s="10" t="inlineStr">
        <is>
          <t>嵯峨</t>
        </is>
      </c>
      <c r="H9362" s="10" t="inlineStr">
        <is>
          <t>発</t>
        </is>
      </c>
      <c r="J9362" s="10" t="inlineStr">
        <is>
          <t>営業</t>
        </is>
      </c>
      <c r="L9362" t="inlineStr">
        <is>
          <t>16:53:55</t>
        </is>
      </c>
      <c r="M9362" t="inlineStr">
        <is>
          <t>16:54:20</t>
        </is>
      </c>
      <c r="P9362" t="inlineStr">
        <is>
          <t>C系統(日中)</t>
        </is>
      </c>
    </row>
    <row r="9363" ht="16.5" customHeight="1" s="37">
      <c r="A9363" t="n">
        <v>7</v>
      </c>
      <c r="B9363" s="10" t="inlineStr">
        <is>
          <t>平日</t>
        </is>
      </c>
      <c r="C9363" s="10" t="inlineStr">
        <is>
          <t>本線</t>
        </is>
      </c>
      <c r="D9363" s="10" t="inlineStr">
        <is>
          <t>上り</t>
        </is>
      </c>
      <c r="E9363" s="10" t="inlineStr">
        <is>
          <t>連1612</t>
        </is>
      </c>
      <c r="F9363" t="inlineStr">
        <is>
          <t>2221</t>
        </is>
      </c>
      <c r="G9363" s="10" t="inlineStr">
        <is>
          <t>鹿王院</t>
        </is>
      </c>
      <c r="H9363" s="10" t="inlineStr">
        <is>
          <t>発</t>
        </is>
      </c>
      <c r="J9363" s="10" t="inlineStr">
        <is>
          <t>営業</t>
        </is>
      </c>
      <c r="L9363" t="inlineStr">
        <is>
          <t>16:55:25</t>
        </is>
      </c>
      <c r="M9363" t="inlineStr">
        <is>
          <t>16:55:45</t>
        </is>
      </c>
      <c r="P9363" t="inlineStr">
        <is>
          <t>C系統(日中)</t>
        </is>
      </c>
    </row>
    <row r="9364" ht="16.5" customHeight="1" s="37">
      <c r="A9364" t="n">
        <v>7</v>
      </c>
      <c r="B9364" s="10" t="inlineStr">
        <is>
          <t>平日</t>
        </is>
      </c>
      <c r="C9364" s="10" t="inlineStr">
        <is>
          <t>本線</t>
        </is>
      </c>
      <c r="D9364" s="10" t="inlineStr">
        <is>
          <t>上り</t>
        </is>
      </c>
      <c r="E9364" s="10" t="inlineStr">
        <is>
          <t>連1612</t>
        </is>
      </c>
      <c r="F9364" t="inlineStr">
        <is>
          <t>2221</t>
        </is>
      </c>
      <c r="G9364" s="10" t="inlineStr">
        <is>
          <t>車折</t>
        </is>
      </c>
      <c r="H9364" s="10" t="inlineStr">
        <is>
          <t>発</t>
        </is>
      </c>
      <c r="J9364" s="10" t="inlineStr">
        <is>
          <t>営業</t>
        </is>
      </c>
      <c r="L9364" t="inlineStr">
        <is>
          <t>16:56:40</t>
        </is>
      </c>
      <c r="M9364" t="inlineStr">
        <is>
          <t>16:57:10</t>
        </is>
      </c>
      <c r="P9364" t="inlineStr">
        <is>
          <t>C系統(日中)</t>
        </is>
      </c>
    </row>
    <row r="9365" ht="16.5" customHeight="1" s="37">
      <c r="A9365" t="n">
        <v>7</v>
      </c>
      <c r="B9365" s="10" t="inlineStr">
        <is>
          <t>平日</t>
        </is>
      </c>
      <c r="C9365" s="10" t="inlineStr">
        <is>
          <t>本線</t>
        </is>
      </c>
      <c r="D9365" s="10" t="inlineStr">
        <is>
          <t>上り</t>
        </is>
      </c>
      <c r="E9365" s="10" t="inlineStr">
        <is>
          <t>連1612</t>
        </is>
      </c>
      <c r="F9365" t="inlineStr">
        <is>
          <t>2221</t>
        </is>
      </c>
      <c r="G9365" s="10" t="inlineStr">
        <is>
          <t>有栖川</t>
        </is>
      </c>
      <c r="H9365" s="10" t="inlineStr">
        <is>
          <t>発</t>
        </is>
      </c>
      <c r="J9365" s="10" t="inlineStr">
        <is>
          <t>営業</t>
        </is>
      </c>
      <c r="L9365" t="inlineStr">
        <is>
          <t>16:58:35</t>
        </is>
      </c>
      <c r="M9365" t="inlineStr">
        <is>
          <t>16:58:55</t>
        </is>
      </c>
      <c r="P9365" t="inlineStr">
        <is>
          <t>C系統(日中)</t>
        </is>
      </c>
    </row>
    <row r="9366" ht="16.5" customHeight="1" s="37">
      <c r="A9366" t="n">
        <v>7</v>
      </c>
      <c r="B9366" s="10" t="inlineStr">
        <is>
          <t>平日</t>
        </is>
      </c>
      <c r="C9366" s="10" t="inlineStr">
        <is>
          <t>本線</t>
        </is>
      </c>
      <c r="D9366" s="10" t="inlineStr">
        <is>
          <t>上り</t>
        </is>
      </c>
      <c r="E9366" s="10" t="inlineStr">
        <is>
          <t>連1612</t>
        </is>
      </c>
      <c r="F9366" t="inlineStr">
        <is>
          <t>2221</t>
        </is>
      </c>
      <c r="G9366" s="10" t="inlineStr">
        <is>
          <t>帷子ノ辻</t>
        </is>
      </c>
      <c r="H9366" s="10" t="inlineStr">
        <is>
          <t>発</t>
        </is>
      </c>
      <c r="J9366" s="10" t="inlineStr">
        <is>
          <t>営業</t>
        </is>
      </c>
      <c r="L9366" t="inlineStr">
        <is>
          <t>17:00:10</t>
        </is>
      </c>
      <c r="M9366" t="inlineStr">
        <is>
          <t>17:01:15</t>
        </is>
      </c>
      <c r="P9366" t="inlineStr">
        <is>
          <t>C系統(日中)</t>
        </is>
      </c>
    </row>
    <row r="9367" ht="16.5" customHeight="1" s="37">
      <c r="A9367" t="n">
        <v>7</v>
      </c>
      <c r="B9367" s="10" t="inlineStr">
        <is>
          <t>平日</t>
        </is>
      </c>
      <c r="C9367" s="10" t="inlineStr">
        <is>
          <t>本線</t>
        </is>
      </c>
      <c r="D9367" s="10" t="inlineStr">
        <is>
          <t>上り</t>
        </is>
      </c>
      <c r="E9367" s="10" t="inlineStr">
        <is>
          <t>連1612</t>
        </is>
      </c>
      <c r="F9367" t="inlineStr">
        <is>
          <t>2221</t>
        </is>
      </c>
      <c r="G9367" s="10" t="inlineStr">
        <is>
          <t>太秦広隆寺</t>
        </is>
      </c>
      <c r="H9367" s="10" t="inlineStr">
        <is>
          <t>発</t>
        </is>
      </c>
      <c r="J9367" s="10" t="inlineStr">
        <is>
          <t>営業</t>
        </is>
      </c>
      <c r="L9367" t="inlineStr">
        <is>
          <t>17:03:25</t>
        </is>
      </c>
      <c r="M9367" t="inlineStr">
        <is>
          <t>17:03:45</t>
        </is>
      </c>
      <c r="P9367" t="inlineStr">
        <is>
          <t>C系統(日中)</t>
        </is>
      </c>
    </row>
    <row r="9368" ht="16.5" customHeight="1" s="37">
      <c r="A9368" t="n">
        <v>7</v>
      </c>
      <c r="B9368" s="10" t="inlineStr">
        <is>
          <t>平日</t>
        </is>
      </c>
      <c r="C9368" s="10" t="inlineStr">
        <is>
          <t>本線</t>
        </is>
      </c>
      <c r="D9368" s="10" t="inlineStr">
        <is>
          <t>上り</t>
        </is>
      </c>
      <c r="E9368" s="10" t="inlineStr">
        <is>
          <t>連1612</t>
        </is>
      </c>
      <c r="F9368" t="inlineStr">
        <is>
          <t>2221</t>
        </is>
      </c>
      <c r="G9368" s="10" t="inlineStr">
        <is>
          <t>蚕ノ社</t>
        </is>
      </c>
      <c r="H9368" s="10" t="inlineStr">
        <is>
          <t>発</t>
        </is>
      </c>
      <c r="J9368" s="10" t="inlineStr">
        <is>
          <t>営業</t>
        </is>
      </c>
      <c r="L9368" t="inlineStr">
        <is>
          <t>17:05:00</t>
        </is>
      </c>
      <c r="M9368" t="inlineStr">
        <is>
          <t>17:05:20</t>
        </is>
      </c>
      <c r="P9368" t="inlineStr">
        <is>
          <t>C系統(日中)</t>
        </is>
      </c>
    </row>
    <row r="9369" ht="16.5" customHeight="1" s="37">
      <c r="A9369" t="n">
        <v>7</v>
      </c>
      <c r="B9369" s="10" t="inlineStr">
        <is>
          <t>平日</t>
        </is>
      </c>
      <c r="C9369" s="10" t="inlineStr">
        <is>
          <t>本線</t>
        </is>
      </c>
      <c r="D9369" s="10" t="inlineStr">
        <is>
          <t>上り</t>
        </is>
      </c>
      <c r="E9369" s="10" t="inlineStr">
        <is>
          <t>連1612</t>
        </is>
      </c>
      <c r="F9369" t="inlineStr">
        <is>
          <t>2221</t>
        </is>
      </c>
      <c r="G9369" s="10" t="inlineStr">
        <is>
          <t>天神川</t>
        </is>
      </c>
      <c r="H9369" s="10" t="inlineStr">
        <is>
          <t>発</t>
        </is>
      </c>
      <c r="J9369" s="10" t="inlineStr">
        <is>
          <t>営業</t>
        </is>
      </c>
      <c r="L9369" t="inlineStr">
        <is>
          <t>17:06:05</t>
        </is>
      </c>
      <c r="M9369" t="inlineStr">
        <is>
          <t>17:06:50</t>
        </is>
      </c>
      <c r="P9369" t="inlineStr">
        <is>
          <t>C系統(日中)</t>
        </is>
      </c>
    </row>
    <row r="9370" ht="16.5" customHeight="1" s="37">
      <c r="A9370" t="n">
        <v>7</v>
      </c>
      <c r="B9370" s="10" t="inlineStr">
        <is>
          <t>平日</t>
        </is>
      </c>
      <c r="C9370" s="10" t="inlineStr">
        <is>
          <t>本線</t>
        </is>
      </c>
      <c r="D9370" s="10" t="inlineStr">
        <is>
          <t>上り</t>
        </is>
      </c>
      <c r="E9370" s="10" t="inlineStr">
        <is>
          <t>連1612</t>
        </is>
      </c>
      <c r="F9370" t="inlineStr">
        <is>
          <t>2221</t>
        </is>
      </c>
      <c r="G9370" s="10" t="inlineStr">
        <is>
          <t>山ノ内</t>
        </is>
      </c>
      <c r="H9370" s="10" t="inlineStr">
        <is>
          <t>発</t>
        </is>
      </c>
      <c r="J9370" s="10" t="inlineStr">
        <is>
          <t>営業</t>
        </is>
      </c>
      <c r="L9370" t="inlineStr">
        <is>
          <t>17:08:40</t>
        </is>
      </c>
      <c r="M9370" t="inlineStr">
        <is>
          <t>17:09:05</t>
        </is>
      </c>
      <c r="P9370" t="inlineStr">
        <is>
          <t>C系統(日中)</t>
        </is>
      </c>
    </row>
    <row r="9371" ht="16.5" customHeight="1" s="37">
      <c r="A9371" t="n">
        <v>7</v>
      </c>
      <c r="B9371" s="10" t="inlineStr">
        <is>
          <t>平日</t>
        </is>
      </c>
      <c r="C9371" s="10" t="inlineStr">
        <is>
          <t>本線</t>
        </is>
      </c>
      <c r="D9371" s="10" t="inlineStr">
        <is>
          <t>上り</t>
        </is>
      </c>
      <c r="E9371" s="10" t="inlineStr">
        <is>
          <t>連1612</t>
        </is>
      </c>
      <c r="F9371" t="inlineStr">
        <is>
          <t>2221</t>
        </is>
      </c>
      <c r="G9371" s="10" t="inlineStr">
        <is>
          <t>西大路三条</t>
        </is>
      </c>
      <c r="H9371" s="10" t="inlineStr">
        <is>
          <t>発</t>
        </is>
      </c>
      <c r="J9371" s="10" t="inlineStr">
        <is>
          <t>営業</t>
        </is>
      </c>
      <c r="L9371" t="inlineStr">
        <is>
          <t>17:10:55</t>
        </is>
      </c>
      <c r="M9371" t="inlineStr">
        <is>
          <t>17:11:15</t>
        </is>
      </c>
      <c r="P9371" t="inlineStr">
        <is>
          <t>C系統(日中)</t>
        </is>
      </c>
    </row>
    <row r="9372" ht="16.5" customHeight="1" s="37">
      <c r="A9372" t="n">
        <v>7</v>
      </c>
      <c r="B9372" s="10" t="inlineStr">
        <is>
          <t>平日</t>
        </is>
      </c>
      <c r="C9372" s="10" t="inlineStr">
        <is>
          <t>本線</t>
        </is>
      </c>
      <c r="D9372" s="10" t="inlineStr">
        <is>
          <t>上り</t>
        </is>
      </c>
      <c r="E9372" s="10" t="inlineStr">
        <is>
          <t>連1612</t>
        </is>
      </c>
      <c r="F9372" t="inlineStr">
        <is>
          <t>2221</t>
        </is>
      </c>
      <c r="G9372" s="10" t="inlineStr">
        <is>
          <t>西院</t>
        </is>
      </c>
      <c r="H9372" s="10" t="inlineStr">
        <is>
          <t>発</t>
        </is>
      </c>
      <c r="J9372" s="10" t="inlineStr">
        <is>
          <t>営業</t>
        </is>
      </c>
      <c r="L9372" t="inlineStr">
        <is>
          <t>17:13:10</t>
        </is>
      </c>
      <c r="M9372" t="inlineStr">
        <is>
          <t>17:14:05</t>
        </is>
      </c>
      <c r="P9372" t="inlineStr">
        <is>
          <t>C系統(日中)</t>
        </is>
      </c>
    </row>
    <row r="9373" ht="16.5" customHeight="1" s="37">
      <c r="A9373" t="n">
        <v>7</v>
      </c>
      <c r="B9373" s="10" t="inlineStr">
        <is>
          <t>平日</t>
        </is>
      </c>
      <c r="C9373" s="10" t="inlineStr">
        <is>
          <t>本線</t>
        </is>
      </c>
      <c r="D9373" s="10" t="inlineStr">
        <is>
          <t>上り</t>
        </is>
      </c>
      <c r="E9373" s="10" t="inlineStr">
        <is>
          <t>連1612</t>
        </is>
      </c>
      <c r="F9373" t="inlineStr">
        <is>
          <t>2221</t>
        </is>
      </c>
      <c r="G9373" s="10" t="inlineStr">
        <is>
          <t>四条大宮</t>
        </is>
      </c>
      <c r="H9373" s="10" t="inlineStr">
        <is>
          <t>着</t>
        </is>
      </c>
      <c r="J9373" s="10" t="inlineStr">
        <is>
          <t>営業</t>
        </is>
      </c>
      <c r="L9373" t="inlineStr">
        <is>
          <t>17:17:00</t>
        </is>
      </c>
      <c r="P9373" t="inlineStr">
        <is>
          <t>C系統(日中)</t>
        </is>
      </c>
      <c r="Q9373" t="inlineStr">
        <is>
          <t>1</t>
        </is>
      </c>
    </row>
    <row r="9374" ht="16.5" customHeight="1" s="37">
      <c r="A9374" t="n">
        <v>7</v>
      </c>
      <c r="B9374" s="10" t="inlineStr">
        <is>
          <t>平日</t>
        </is>
      </c>
      <c r="C9374" s="10" t="inlineStr">
        <is>
          <t>本線</t>
        </is>
      </c>
      <c r="D9374" s="10" t="inlineStr">
        <is>
          <t>下り</t>
        </is>
      </c>
      <c r="E9374" s="10" t="inlineStr">
        <is>
          <t>連1705</t>
        </is>
      </c>
      <c r="F9374" t="inlineStr">
        <is>
          <t>0122</t>
        </is>
      </c>
      <c r="G9374" s="10" t="inlineStr">
        <is>
          <t>四条大宮</t>
        </is>
      </c>
      <c r="H9374" s="10" t="inlineStr">
        <is>
          <t>発</t>
        </is>
      </c>
      <c r="J9374" s="10" t="inlineStr">
        <is>
          <t>営業</t>
        </is>
      </c>
      <c r="M9374" t="inlineStr">
        <is>
          <t>17:23:00</t>
        </is>
      </c>
      <c r="P9374" t="inlineStr">
        <is>
          <t>C系統(日中)</t>
        </is>
      </c>
      <c r="Q9374" t="inlineStr">
        <is>
          <t>1</t>
        </is>
      </c>
    </row>
    <row r="9375" ht="16.5" customHeight="1" s="37">
      <c r="A9375" t="n">
        <v>7</v>
      </c>
      <c r="B9375" s="10" t="inlineStr">
        <is>
          <t>平日</t>
        </is>
      </c>
      <c r="C9375" s="10" t="inlineStr">
        <is>
          <t>本線</t>
        </is>
      </c>
      <c r="D9375" s="10" t="inlineStr">
        <is>
          <t>下り</t>
        </is>
      </c>
      <c r="E9375" s="10" t="inlineStr">
        <is>
          <t>連1705</t>
        </is>
      </c>
      <c r="F9375" t="inlineStr">
        <is>
          <t>0122</t>
        </is>
      </c>
      <c r="G9375" s="10" t="inlineStr">
        <is>
          <t>西院</t>
        </is>
      </c>
      <c r="H9375" s="10" t="inlineStr">
        <is>
          <t>着</t>
        </is>
      </c>
      <c r="J9375" s="10" t="inlineStr">
        <is>
          <t>営業</t>
        </is>
      </c>
      <c r="L9375" t="inlineStr">
        <is>
          <t>17:25:50</t>
        </is>
      </c>
      <c r="M9375" t="inlineStr">
        <is>
          <t>17:26:20</t>
        </is>
      </c>
      <c r="P9375" t="inlineStr">
        <is>
          <t>C系統(日中)</t>
        </is>
      </c>
      <c r="T9375" t="inlineStr">
        <is>
          <t>○</t>
        </is>
      </c>
    </row>
    <row r="9376" ht="16.5" customHeight="1" s="37">
      <c r="A9376" t="n">
        <v>8</v>
      </c>
      <c r="B9376" s="10" t="inlineStr">
        <is>
          <t>平日</t>
        </is>
      </c>
      <c r="C9376" s="10" t="inlineStr">
        <is>
          <t>本線</t>
        </is>
      </c>
      <c r="D9376" s="10" t="inlineStr">
        <is>
          <t>下り</t>
        </is>
      </c>
      <c r="E9376" t="inlineStr">
        <is>
          <t>1907</t>
        </is>
      </c>
      <c r="F9376" t="inlineStr">
        <is>
          <t>0122</t>
        </is>
      </c>
      <c r="G9376" s="10" t="inlineStr">
        <is>
          <t>西院</t>
        </is>
      </c>
      <c r="H9376" s="10" t="inlineStr">
        <is>
          <t>発</t>
        </is>
      </c>
      <c r="J9376" s="10" t="inlineStr">
        <is>
          <t>営業</t>
        </is>
      </c>
      <c r="L9376" t="inlineStr">
        <is>
          <t>19:34:50</t>
        </is>
      </c>
      <c r="M9376" t="inlineStr">
        <is>
          <t>19:36:20</t>
        </is>
      </c>
    </row>
    <row r="9377" ht="16.5" customHeight="1" s="37">
      <c r="A9377" t="n">
        <v>8</v>
      </c>
      <c r="B9377" s="10" t="inlineStr">
        <is>
          <t>平日</t>
        </is>
      </c>
      <c r="C9377" s="10" t="inlineStr">
        <is>
          <t>本線</t>
        </is>
      </c>
      <c r="D9377" s="10" t="inlineStr">
        <is>
          <t>下り</t>
        </is>
      </c>
      <c r="E9377" t="inlineStr">
        <is>
          <t>1907</t>
        </is>
      </c>
      <c r="F9377" t="inlineStr">
        <is>
          <t>0122</t>
        </is>
      </c>
      <c r="G9377" s="10" t="inlineStr">
        <is>
          <t>西大路三条</t>
        </is>
      </c>
      <c r="H9377" s="10" t="inlineStr">
        <is>
          <t>発</t>
        </is>
      </c>
      <c r="J9377" s="10" t="inlineStr">
        <is>
          <t>営業</t>
        </is>
      </c>
      <c r="L9377" t="inlineStr">
        <is>
          <t>19:38:10</t>
        </is>
      </c>
      <c r="M9377" t="inlineStr">
        <is>
          <t>19:38:30</t>
        </is>
      </c>
    </row>
    <row r="9378" ht="16.5" customHeight="1" s="37">
      <c r="A9378" t="n">
        <v>8</v>
      </c>
      <c r="B9378" s="10" t="inlineStr">
        <is>
          <t>平日</t>
        </is>
      </c>
      <c r="C9378" s="10" t="inlineStr">
        <is>
          <t>本線</t>
        </is>
      </c>
      <c r="D9378" s="10" t="inlineStr">
        <is>
          <t>下り</t>
        </is>
      </c>
      <c r="E9378" t="inlineStr">
        <is>
          <t>1907</t>
        </is>
      </c>
      <c r="F9378" t="inlineStr">
        <is>
          <t>0122</t>
        </is>
      </c>
      <c r="G9378" s="10" t="inlineStr">
        <is>
          <t>山ノ内</t>
        </is>
      </c>
      <c r="H9378" s="10" t="inlineStr">
        <is>
          <t>発</t>
        </is>
      </c>
      <c r="J9378" s="10" t="inlineStr">
        <is>
          <t>営業</t>
        </is>
      </c>
      <c r="L9378" t="inlineStr">
        <is>
          <t>19:40:25</t>
        </is>
      </c>
      <c r="M9378" t="inlineStr">
        <is>
          <t>19:40:50</t>
        </is>
      </c>
    </row>
    <row r="9379" ht="16.5" customHeight="1" s="37">
      <c r="A9379" t="n">
        <v>8</v>
      </c>
      <c r="B9379" s="10" t="inlineStr">
        <is>
          <t>平日</t>
        </is>
      </c>
      <c r="C9379" s="10" t="inlineStr">
        <is>
          <t>本線</t>
        </is>
      </c>
      <c r="D9379" s="10" t="inlineStr">
        <is>
          <t>下り</t>
        </is>
      </c>
      <c r="E9379" t="inlineStr">
        <is>
          <t>1907</t>
        </is>
      </c>
      <c r="F9379" t="inlineStr">
        <is>
          <t>0122</t>
        </is>
      </c>
      <c r="G9379" s="10" t="inlineStr">
        <is>
          <t>天神川</t>
        </is>
      </c>
      <c r="H9379" s="10" t="inlineStr">
        <is>
          <t>発</t>
        </is>
      </c>
      <c r="J9379" s="10" t="inlineStr">
        <is>
          <t>営業</t>
        </is>
      </c>
      <c r="L9379" t="inlineStr">
        <is>
          <t>19:42:50</t>
        </is>
      </c>
      <c r="M9379" t="inlineStr">
        <is>
          <t>19:43:30</t>
        </is>
      </c>
    </row>
    <row r="9380" ht="16.5" customHeight="1" s="37">
      <c r="A9380" t="n">
        <v>8</v>
      </c>
      <c r="B9380" s="10" t="inlineStr">
        <is>
          <t>平日</t>
        </is>
      </c>
      <c r="C9380" s="10" t="inlineStr">
        <is>
          <t>本線</t>
        </is>
      </c>
      <c r="D9380" s="10" t="inlineStr">
        <is>
          <t>下り</t>
        </is>
      </c>
      <c r="E9380" t="inlineStr">
        <is>
          <t>1907</t>
        </is>
      </c>
      <c r="F9380" t="inlineStr">
        <is>
          <t>0122</t>
        </is>
      </c>
      <c r="G9380" s="10" t="inlineStr">
        <is>
          <t>蚕ノ社</t>
        </is>
      </c>
      <c r="H9380" s="10" t="inlineStr">
        <is>
          <t>発</t>
        </is>
      </c>
      <c r="J9380" s="10" t="inlineStr">
        <is>
          <t>営業</t>
        </is>
      </c>
      <c r="L9380" t="inlineStr">
        <is>
          <t>19:44:20</t>
        </is>
      </c>
      <c r="M9380" t="inlineStr">
        <is>
          <t>19:44:40</t>
        </is>
      </c>
    </row>
    <row r="9381" ht="16.5" customHeight="1" s="37">
      <c r="A9381" t="n">
        <v>8</v>
      </c>
      <c r="B9381" s="10" t="inlineStr">
        <is>
          <t>平日</t>
        </is>
      </c>
      <c r="C9381" s="10" t="inlineStr">
        <is>
          <t>本線</t>
        </is>
      </c>
      <c r="D9381" s="10" t="inlineStr">
        <is>
          <t>下り</t>
        </is>
      </c>
      <c r="E9381" t="inlineStr">
        <is>
          <t>1907</t>
        </is>
      </c>
      <c r="F9381" t="inlineStr">
        <is>
          <t>0122</t>
        </is>
      </c>
      <c r="G9381" s="10" t="inlineStr">
        <is>
          <t>太秦広隆寺</t>
        </is>
      </c>
      <c r="H9381" s="10" t="inlineStr">
        <is>
          <t>発</t>
        </is>
      </c>
      <c r="J9381" s="10" t="inlineStr">
        <is>
          <t>営業</t>
        </is>
      </c>
      <c r="L9381" t="inlineStr">
        <is>
          <t>19:46:00</t>
        </is>
      </c>
      <c r="M9381" t="inlineStr">
        <is>
          <t>19:46:20</t>
        </is>
      </c>
    </row>
    <row r="9382" ht="16.5" customHeight="1" s="37">
      <c r="A9382" t="n">
        <v>8</v>
      </c>
      <c r="B9382" s="10" t="inlineStr">
        <is>
          <t>平日</t>
        </is>
      </c>
      <c r="C9382" s="10" t="inlineStr">
        <is>
          <t>本線</t>
        </is>
      </c>
      <c r="D9382" s="10" t="inlineStr">
        <is>
          <t>下り</t>
        </is>
      </c>
      <c r="E9382" t="inlineStr">
        <is>
          <t>1907</t>
        </is>
      </c>
      <c r="F9382" t="inlineStr">
        <is>
          <t>0122</t>
        </is>
      </c>
      <c r="G9382" s="10" t="inlineStr">
        <is>
          <t>帷子ノ辻</t>
        </is>
      </c>
      <c r="H9382" s="10" t="inlineStr">
        <is>
          <t>発</t>
        </is>
      </c>
      <c r="J9382" s="10" t="inlineStr">
        <is>
          <t>営業</t>
        </is>
      </c>
      <c r="L9382" t="inlineStr">
        <is>
          <t>19:48:20</t>
        </is>
      </c>
      <c r="M9382" t="inlineStr">
        <is>
          <t>19:49:40</t>
        </is>
      </c>
    </row>
    <row r="9383" ht="16.5" customHeight="1" s="37">
      <c r="A9383" t="n">
        <v>8</v>
      </c>
      <c r="B9383" s="10" t="inlineStr">
        <is>
          <t>平日</t>
        </is>
      </c>
      <c r="C9383" s="10" t="inlineStr">
        <is>
          <t>本線</t>
        </is>
      </c>
      <c r="D9383" s="10" t="inlineStr">
        <is>
          <t>下り</t>
        </is>
      </c>
      <c r="E9383" t="inlineStr">
        <is>
          <t>1907</t>
        </is>
      </c>
      <c r="F9383" t="inlineStr">
        <is>
          <t>0122</t>
        </is>
      </c>
      <c r="G9383" s="10" t="inlineStr">
        <is>
          <t>有栖川</t>
        </is>
      </c>
      <c r="H9383" s="10" t="inlineStr">
        <is>
          <t>発</t>
        </is>
      </c>
      <c r="J9383" s="10" t="inlineStr">
        <is>
          <t>営業</t>
        </is>
      </c>
      <c r="L9383" t="inlineStr">
        <is>
          <t>19:50:50</t>
        </is>
      </c>
      <c r="M9383" t="inlineStr">
        <is>
          <t>19:51:15</t>
        </is>
      </c>
    </row>
    <row r="9384" ht="16.5" customHeight="1" s="37">
      <c r="A9384" t="n">
        <v>8</v>
      </c>
      <c r="B9384" s="10" t="inlineStr">
        <is>
          <t>平日</t>
        </is>
      </c>
      <c r="C9384" s="10" t="inlineStr">
        <is>
          <t>本線</t>
        </is>
      </c>
      <c r="D9384" s="10" t="inlineStr">
        <is>
          <t>下り</t>
        </is>
      </c>
      <c r="E9384" t="inlineStr">
        <is>
          <t>1907</t>
        </is>
      </c>
      <c r="F9384" t="inlineStr">
        <is>
          <t>0122</t>
        </is>
      </c>
      <c r="G9384" s="10" t="inlineStr">
        <is>
          <t>車折</t>
        </is>
      </c>
      <c r="H9384" s="10" t="inlineStr">
        <is>
          <t>発</t>
        </is>
      </c>
      <c r="J9384" s="10" t="inlineStr">
        <is>
          <t>営業</t>
        </is>
      </c>
      <c r="L9384" t="inlineStr">
        <is>
          <t>19:52:40</t>
        </is>
      </c>
      <c r="M9384" t="inlineStr">
        <is>
          <t>19:53:05</t>
        </is>
      </c>
    </row>
    <row r="9385" ht="16.5" customHeight="1" s="37">
      <c r="A9385" t="n">
        <v>8</v>
      </c>
      <c r="B9385" s="10" t="inlineStr">
        <is>
          <t>平日</t>
        </is>
      </c>
      <c r="C9385" s="10" t="inlineStr">
        <is>
          <t>本線</t>
        </is>
      </c>
      <c r="D9385" s="10" t="inlineStr">
        <is>
          <t>下り</t>
        </is>
      </c>
      <c r="E9385" t="inlineStr">
        <is>
          <t>1907</t>
        </is>
      </c>
      <c r="F9385" t="inlineStr">
        <is>
          <t>0122</t>
        </is>
      </c>
      <c r="G9385" s="10" t="inlineStr">
        <is>
          <t>鹿王院</t>
        </is>
      </c>
      <c r="H9385" s="10" t="inlineStr">
        <is>
          <t>発</t>
        </is>
      </c>
      <c r="J9385" s="10" t="inlineStr">
        <is>
          <t>営業</t>
        </is>
      </c>
      <c r="L9385" t="inlineStr">
        <is>
          <t>19:54:00</t>
        </is>
      </c>
      <c r="M9385" t="inlineStr">
        <is>
          <t>19:54:25</t>
        </is>
      </c>
    </row>
    <row r="9386" ht="16.5" customHeight="1" s="37">
      <c r="A9386" t="n">
        <v>8</v>
      </c>
      <c r="B9386" s="10" t="inlineStr">
        <is>
          <t>平日</t>
        </is>
      </c>
      <c r="C9386" s="10" t="inlineStr">
        <is>
          <t>本線</t>
        </is>
      </c>
      <c r="D9386" s="10" t="inlineStr">
        <is>
          <t>下り</t>
        </is>
      </c>
      <c r="E9386" t="inlineStr">
        <is>
          <t>1907</t>
        </is>
      </c>
      <c r="F9386" t="inlineStr">
        <is>
          <t>0122</t>
        </is>
      </c>
      <c r="G9386" s="10" t="inlineStr">
        <is>
          <t>嵯峨</t>
        </is>
      </c>
      <c r="H9386" s="10" t="inlineStr">
        <is>
          <t>発</t>
        </is>
      </c>
      <c r="J9386" s="10" t="inlineStr">
        <is>
          <t>営業</t>
        </is>
      </c>
      <c r="L9386" t="inlineStr">
        <is>
          <t>19:55:30</t>
        </is>
      </c>
      <c r="M9386" t="inlineStr">
        <is>
          <t>19:55:55</t>
        </is>
      </c>
    </row>
    <row r="9387" ht="16.5" customHeight="1" s="37">
      <c r="A9387" t="n">
        <v>8</v>
      </c>
      <c r="B9387" s="10" t="inlineStr">
        <is>
          <t>平日</t>
        </is>
      </c>
      <c r="C9387" s="10" t="inlineStr">
        <is>
          <t>本線</t>
        </is>
      </c>
      <c r="D9387" s="10" t="inlineStr">
        <is>
          <t>下り</t>
        </is>
      </c>
      <c r="E9387" t="inlineStr">
        <is>
          <t>1907</t>
        </is>
      </c>
      <c r="F9387" t="inlineStr">
        <is>
          <t>0122</t>
        </is>
      </c>
      <c r="G9387" s="10" t="inlineStr">
        <is>
          <t>嵐山</t>
        </is>
      </c>
      <c r="H9387" s="10" t="inlineStr">
        <is>
          <t>着</t>
        </is>
      </c>
      <c r="J9387" s="10" t="inlineStr">
        <is>
          <t>営業</t>
        </is>
      </c>
      <c r="L9387" t="inlineStr">
        <is>
          <t>19:57:00</t>
        </is>
      </c>
      <c r="N9387" t="inlineStr">
        <is>
          <t>○</t>
        </is>
      </c>
      <c r="Q9387" t="inlineStr">
        <is>
          <t>1</t>
        </is>
      </c>
    </row>
    <row r="9388" ht="16.5" customHeight="1" s="37">
      <c r="A9388" t="n">
        <v>8</v>
      </c>
      <c r="B9388" s="10" t="inlineStr">
        <is>
          <t>平日</t>
        </is>
      </c>
      <c r="C9388" s="10" t="inlineStr">
        <is>
          <t>本線</t>
        </is>
      </c>
      <c r="D9388" s="10" t="inlineStr">
        <is>
          <t>上り</t>
        </is>
      </c>
      <c r="E9388" t="inlineStr">
        <is>
          <t>2002</t>
        </is>
      </c>
      <c r="F9388" t="inlineStr">
        <is>
          <t>0221</t>
        </is>
      </c>
      <c r="G9388" s="10" t="inlineStr">
        <is>
          <t>嵐山</t>
        </is>
      </c>
      <c r="H9388" s="10" t="inlineStr">
        <is>
          <t>発</t>
        </is>
      </c>
      <c r="J9388" s="10" t="inlineStr">
        <is>
          <t>営業</t>
        </is>
      </c>
      <c r="M9388" t="inlineStr">
        <is>
          <t>20:04:00</t>
        </is>
      </c>
      <c r="Q9388" t="inlineStr">
        <is>
          <t>1</t>
        </is>
      </c>
    </row>
    <row r="9389" ht="16.5" customHeight="1" s="37">
      <c r="A9389" t="n">
        <v>8</v>
      </c>
      <c r="B9389" s="10" t="inlineStr">
        <is>
          <t>平日</t>
        </is>
      </c>
      <c r="C9389" s="10" t="inlineStr">
        <is>
          <t>本線</t>
        </is>
      </c>
      <c r="D9389" s="10" t="inlineStr">
        <is>
          <t>上り</t>
        </is>
      </c>
      <c r="E9389" t="inlineStr">
        <is>
          <t>2002</t>
        </is>
      </c>
      <c r="F9389" t="inlineStr">
        <is>
          <t>0221</t>
        </is>
      </c>
      <c r="G9389" s="10" t="inlineStr">
        <is>
          <t>嵯峨</t>
        </is>
      </c>
      <c r="H9389" s="10" t="inlineStr">
        <is>
          <t>発</t>
        </is>
      </c>
      <c r="J9389" s="10" t="inlineStr">
        <is>
          <t>営業</t>
        </is>
      </c>
      <c r="L9389" t="inlineStr">
        <is>
          <t>20:04:55</t>
        </is>
      </c>
      <c r="M9389" t="inlineStr">
        <is>
          <t>20:05:10</t>
        </is>
      </c>
    </row>
    <row r="9390" ht="16.5" customHeight="1" s="37">
      <c r="A9390" t="n">
        <v>8</v>
      </c>
      <c r="B9390" s="10" t="inlineStr">
        <is>
          <t>平日</t>
        </is>
      </c>
      <c r="C9390" s="10" t="inlineStr">
        <is>
          <t>本線</t>
        </is>
      </c>
      <c r="D9390" s="10" t="inlineStr">
        <is>
          <t>上り</t>
        </is>
      </c>
      <c r="E9390" t="inlineStr">
        <is>
          <t>2002</t>
        </is>
      </c>
      <c r="F9390" t="inlineStr">
        <is>
          <t>0221</t>
        </is>
      </c>
      <c r="G9390" s="10" t="inlineStr">
        <is>
          <t>鹿王院</t>
        </is>
      </c>
      <c r="H9390" s="10" t="inlineStr">
        <is>
          <t>発</t>
        </is>
      </c>
      <c r="J9390" s="10" t="inlineStr">
        <is>
          <t>営業</t>
        </is>
      </c>
      <c r="L9390" t="inlineStr">
        <is>
          <t>20:06:15</t>
        </is>
      </c>
      <c r="M9390" t="inlineStr">
        <is>
          <t>20:06:30</t>
        </is>
      </c>
    </row>
    <row r="9391" ht="16.5" customHeight="1" s="37">
      <c r="A9391" t="n">
        <v>8</v>
      </c>
      <c r="B9391" s="10" t="inlineStr">
        <is>
          <t>平日</t>
        </is>
      </c>
      <c r="C9391" s="10" t="inlineStr">
        <is>
          <t>本線</t>
        </is>
      </c>
      <c r="D9391" s="10" t="inlineStr">
        <is>
          <t>上り</t>
        </is>
      </c>
      <c r="E9391" t="inlineStr">
        <is>
          <t>2002</t>
        </is>
      </c>
      <c r="F9391" t="inlineStr">
        <is>
          <t>0221</t>
        </is>
      </c>
      <c r="G9391" s="10" t="inlineStr">
        <is>
          <t>車折</t>
        </is>
      </c>
      <c r="H9391" s="10" t="inlineStr">
        <is>
          <t>発</t>
        </is>
      </c>
      <c r="J9391" s="10" t="inlineStr">
        <is>
          <t>営業</t>
        </is>
      </c>
      <c r="L9391" t="inlineStr">
        <is>
          <t>20:07:25</t>
        </is>
      </c>
      <c r="M9391" t="inlineStr">
        <is>
          <t>20:07:40</t>
        </is>
      </c>
    </row>
    <row r="9392" ht="16.5" customHeight="1" s="37">
      <c r="A9392" t="n">
        <v>8</v>
      </c>
      <c r="B9392" s="10" t="inlineStr">
        <is>
          <t>平日</t>
        </is>
      </c>
      <c r="C9392" s="10" t="inlineStr">
        <is>
          <t>本線</t>
        </is>
      </c>
      <c r="D9392" s="10" t="inlineStr">
        <is>
          <t>上り</t>
        </is>
      </c>
      <c r="E9392" t="inlineStr">
        <is>
          <t>2002</t>
        </is>
      </c>
      <c r="F9392" t="inlineStr">
        <is>
          <t>0221</t>
        </is>
      </c>
      <c r="G9392" s="10" t="inlineStr">
        <is>
          <t>有栖川</t>
        </is>
      </c>
      <c r="H9392" s="10" t="inlineStr">
        <is>
          <t>発</t>
        </is>
      </c>
      <c r="J9392" s="10" t="inlineStr">
        <is>
          <t>営業</t>
        </is>
      </c>
      <c r="L9392" t="inlineStr">
        <is>
          <t>20:09:05</t>
        </is>
      </c>
      <c r="M9392" t="inlineStr">
        <is>
          <t>20:09:20</t>
        </is>
      </c>
    </row>
    <row r="9393" ht="16.5" customHeight="1" s="37">
      <c r="A9393" t="n">
        <v>8</v>
      </c>
      <c r="B9393" s="10" t="inlineStr">
        <is>
          <t>平日</t>
        </is>
      </c>
      <c r="C9393" s="10" t="inlineStr">
        <is>
          <t>本線</t>
        </is>
      </c>
      <c r="D9393" s="10" t="inlineStr">
        <is>
          <t>上り</t>
        </is>
      </c>
      <c r="E9393" t="inlineStr">
        <is>
          <t>2002</t>
        </is>
      </c>
      <c r="F9393" t="inlineStr">
        <is>
          <t>0221</t>
        </is>
      </c>
      <c r="G9393" s="10" t="inlineStr">
        <is>
          <t>帷子ノ辻</t>
        </is>
      </c>
      <c r="H9393" s="10" t="inlineStr">
        <is>
          <t>発</t>
        </is>
      </c>
      <c r="J9393" s="10" t="inlineStr">
        <is>
          <t>営業</t>
        </is>
      </c>
      <c r="L9393" t="inlineStr">
        <is>
          <t>20:10:35</t>
        </is>
      </c>
      <c r="M9393" t="inlineStr">
        <is>
          <t>20:11:05</t>
        </is>
      </c>
    </row>
    <row r="9394" ht="16.5" customHeight="1" s="37">
      <c r="A9394" t="n">
        <v>8</v>
      </c>
      <c r="B9394" s="10" t="inlineStr">
        <is>
          <t>平日</t>
        </is>
      </c>
      <c r="C9394" s="10" t="inlineStr">
        <is>
          <t>本線</t>
        </is>
      </c>
      <c r="D9394" s="10" t="inlineStr">
        <is>
          <t>上り</t>
        </is>
      </c>
      <c r="E9394" t="inlineStr">
        <is>
          <t>2002</t>
        </is>
      </c>
      <c r="F9394" t="inlineStr">
        <is>
          <t>0221</t>
        </is>
      </c>
      <c r="G9394" s="10" t="inlineStr">
        <is>
          <t>太秦広隆寺</t>
        </is>
      </c>
      <c r="H9394" s="10" t="inlineStr">
        <is>
          <t>発</t>
        </is>
      </c>
      <c r="J9394" s="10" t="inlineStr">
        <is>
          <t>営業</t>
        </is>
      </c>
      <c r="L9394" t="inlineStr">
        <is>
          <t>20:13:15</t>
        </is>
      </c>
      <c r="M9394" t="inlineStr">
        <is>
          <t>20:13:35</t>
        </is>
      </c>
    </row>
    <row r="9395" ht="16.5" customHeight="1" s="37">
      <c r="A9395" t="n">
        <v>8</v>
      </c>
      <c r="B9395" s="10" t="inlineStr">
        <is>
          <t>平日</t>
        </is>
      </c>
      <c r="C9395" s="10" t="inlineStr">
        <is>
          <t>本線</t>
        </is>
      </c>
      <c r="D9395" s="10" t="inlineStr">
        <is>
          <t>上り</t>
        </is>
      </c>
      <c r="E9395" t="inlineStr">
        <is>
          <t>2002</t>
        </is>
      </c>
      <c r="F9395" t="inlineStr">
        <is>
          <t>0221</t>
        </is>
      </c>
      <c r="G9395" s="10" t="inlineStr">
        <is>
          <t>蚕ノ社</t>
        </is>
      </c>
      <c r="H9395" s="10" t="inlineStr">
        <is>
          <t>発</t>
        </is>
      </c>
      <c r="J9395" s="10" t="inlineStr">
        <is>
          <t>営業</t>
        </is>
      </c>
      <c r="L9395" t="inlineStr">
        <is>
          <t>20:14:50</t>
        </is>
      </c>
      <c r="M9395" t="inlineStr">
        <is>
          <t>20:15:10</t>
        </is>
      </c>
    </row>
    <row r="9396" ht="16.5" customHeight="1" s="37">
      <c r="A9396" t="n">
        <v>8</v>
      </c>
      <c r="B9396" s="10" t="inlineStr">
        <is>
          <t>平日</t>
        </is>
      </c>
      <c r="C9396" s="10" t="inlineStr">
        <is>
          <t>本線</t>
        </is>
      </c>
      <c r="D9396" s="10" t="inlineStr">
        <is>
          <t>上り</t>
        </is>
      </c>
      <c r="E9396" t="inlineStr">
        <is>
          <t>2002</t>
        </is>
      </c>
      <c r="F9396" t="inlineStr">
        <is>
          <t>0221</t>
        </is>
      </c>
      <c r="G9396" s="10" t="inlineStr">
        <is>
          <t>天神川</t>
        </is>
      </c>
      <c r="H9396" s="10" t="inlineStr">
        <is>
          <t>発</t>
        </is>
      </c>
      <c r="J9396" s="10" t="inlineStr">
        <is>
          <t>営業</t>
        </is>
      </c>
      <c r="L9396" t="inlineStr">
        <is>
          <t>20:15:55</t>
        </is>
      </c>
      <c r="M9396" t="inlineStr">
        <is>
          <t>20:16:20</t>
        </is>
      </c>
    </row>
    <row r="9397" ht="16.5" customHeight="1" s="37">
      <c r="A9397" t="n">
        <v>8</v>
      </c>
      <c r="B9397" s="10" t="inlineStr">
        <is>
          <t>平日</t>
        </is>
      </c>
      <c r="C9397" s="10" t="inlineStr">
        <is>
          <t>本線</t>
        </is>
      </c>
      <c r="D9397" s="10" t="inlineStr">
        <is>
          <t>上り</t>
        </is>
      </c>
      <c r="E9397" t="inlineStr">
        <is>
          <t>2002</t>
        </is>
      </c>
      <c r="F9397" t="inlineStr">
        <is>
          <t>0221</t>
        </is>
      </c>
      <c r="G9397" s="10" t="inlineStr">
        <is>
          <t>山ノ内</t>
        </is>
      </c>
      <c r="H9397" s="10" t="inlineStr">
        <is>
          <t>発</t>
        </is>
      </c>
      <c r="J9397" s="10" t="inlineStr">
        <is>
          <t>営業</t>
        </is>
      </c>
      <c r="L9397" t="inlineStr">
        <is>
          <t>20:18:10</t>
        </is>
      </c>
      <c r="M9397" t="inlineStr">
        <is>
          <t>20:18:35</t>
        </is>
      </c>
    </row>
    <row r="9398" ht="16.5" customHeight="1" s="37">
      <c r="A9398" t="n">
        <v>8</v>
      </c>
      <c r="B9398" s="10" t="inlineStr">
        <is>
          <t>平日</t>
        </is>
      </c>
      <c r="C9398" s="10" t="inlineStr">
        <is>
          <t>本線</t>
        </is>
      </c>
      <c r="D9398" s="10" t="inlineStr">
        <is>
          <t>上り</t>
        </is>
      </c>
      <c r="E9398" t="inlineStr">
        <is>
          <t>2002</t>
        </is>
      </c>
      <c r="F9398" t="inlineStr">
        <is>
          <t>0221</t>
        </is>
      </c>
      <c r="G9398" s="10" t="inlineStr">
        <is>
          <t>西大路三条</t>
        </is>
      </c>
      <c r="H9398" s="10" t="inlineStr">
        <is>
          <t>発</t>
        </is>
      </c>
      <c r="J9398" s="10" t="inlineStr">
        <is>
          <t>営業</t>
        </is>
      </c>
      <c r="L9398" t="inlineStr">
        <is>
          <t>20:20:25</t>
        </is>
      </c>
      <c r="M9398" t="inlineStr">
        <is>
          <t>20:20:40</t>
        </is>
      </c>
    </row>
    <row r="9399" ht="16.5" customHeight="1" s="37">
      <c r="A9399" t="n">
        <v>8</v>
      </c>
      <c r="B9399" s="10" t="inlineStr">
        <is>
          <t>平日</t>
        </is>
      </c>
      <c r="C9399" s="10" t="inlineStr">
        <is>
          <t>本線</t>
        </is>
      </c>
      <c r="D9399" s="10" t="inlineStr">
        <is>
          <t>上り</t>
        </is>
      </c>
      <c r="E9399" t="inlineStr">
        <is>
          <t>2002</t>
        </is>
      </c>
      <c r="F9399" t="inlineStr">
        <is>
          <t>0221</t>
        </is>
      </c>
      <c r="G9399" s="10" t="inlineStr">
        <is>
          <t>西院</t>
        </is>
      </c>
      <c r="H9399" s="10" t="inlineStr">
        <is>
          <t>発</t>
        </is>
      </c>
      <c r="J9399" s="10" t="inlineStr">
        <is>
          <t>営業</t>
        </is>
      </c>
      <c r="L9399" t="inlineStr">
        <is>
          <t>20:22:35</t>
        </is>
      </c>
      <c r="M9399" t="inlineStr">
        <is>
          <t>20:23:05</t>
        </is>
      </c>
    </row>
    <row r="9400" ht="16.5" customHeight="1" s="37">
      <c r="A9400" t="n">
        <v>8</v>
      </c>
      <c r="B9400" s="10" t="inlineStr">
        <is>
          <t>平日</t>
        </is>
      </c>
      <c r="C9400" s="10" t="inlineStr">
        <is>
          <t>本線</t>
        </is>
      </c>
      <c r="D9400" s="10" t="inlineStr">
        <is>
          <t>上り</t>
        </is>
      </c>
      <c r="E9400" t="inlineStr">
        <is>
          <t>2002</t>
        </is>
      </c>
      <c r="F9400" t="inlineStr">
        <is>
          <t>0221</t>
        </is>
      </c>
      <c r="G9400" s="10" t="inlineStr">
        <is>
          <t>四条大宮</t>
        </is>
      </c>
      <c r="H9400" s="10" t="inlineStr">
        <is>
          <t>着</t>
        </is>
      </c>
      <c r="J9400" s="10" t="inlineStr">
        <is>
          <t>営業</t>
        </is>
      </c>
      <c r="L9400" t="inlineStr">
        <is>
          <t>20:26:00</t>
        </is>
      </c>
      <c r="N9400" t="inlineStr">
        <is>
          <t>○</t>
        </is>
      </c>
      <c r="Q9400" t="inlineStr">
        <is>
          <t>1</t>
        </is>
      </c>
    </row>
    <row r="9401" ht="16.5" customHeight="1" s="37">
      <c r="A9401" t="n">
        <v>8</v>
      </c>
      <c r="B9401" s="10" t="inlineStr">
        <is>
          <t>平日</t>
        </is>
      </c>
      <c r="C9401" s="10" t="inlineStr">
        <is>
          <t>本線</t>
        </is>
      </c>
      <c r="D9401" s="10" t="inlineStr">
        <is>
          <t>下り</t>
        </is>
      </c>
      <c r="E9401" t="inlineStr">
        <is>
          <t>2009</t>
        </is>
      </c>
      <c r="F9401" t="inlineStr">
        <is>
          <t>0122</t>
        </is>
      </c>
      <c r="G9401" s="10" t="inlineStr">
        <is>
          <t>四条大宮</t>
        </is>
      </c>
      <c r="H9401" s="10" t="inlineStr">
        <is>
          <t>発</t>
        </is>
      </c>
      <c r="J9401" s="10" t="inlineStr">
        <is>
          <t>営業</t>
        </is>
      </c>
      <c r="M9401" t="inlineStr">
        <is>
          <t>20:43:00</t>
        </is>
      </c>
      <c r="Q9401" t="inlineStr">
        <is>
          <t>1</t>
        </is>
      </c>
    </row>
    <row r="9402" ht="16.5" customHeight="1" s="37">
      <c r="A9402" t="n">
        <v>8</v>
      </c>
      <c r="B9402" s="10" t="inlineStr">
        <is>
          <t>平日</t>
        </is>
      </c>
      <c r="C9402" s="10" t="inlineStr">
        <is>
          <t>本線</t>
        </is>
      </c>
      <c r="D9402" s="10" t="inlineStr">
        <is>
          <t>下り</t>
        </is>
      </c>
      <c r="E9402" t="inlineStr">
        <is>
          <t>2009</t>
        </is>
      </c>
      <c r="F9402" t="inlineStr">
        <is>
          <t>0122</t>
        </is>
      </c>
      <c r="G9402" s="10" t="inlineStr">
        <is>
          <t>西院</t>
        </is>
      </c>
      <c r="H9402" s="10" t="inlineStr">
        <is>
          <t>発</t>
        </is>
      </c>
      <c r="J9402" s="10" t="inlineStr">
        <is>
          <t>営業</t>
        </is>
      </c>
      <c r="L9402" t="inlineStr">
        <is>
          <t>20:45:50</t>
        </is>
      </c>
      <c r="M9402" t="inlineStr">
        <is>
          <t>20:46:20</t>
        </is>
      </c>
    </row>
    <row r="9403" ht="16.5" customHeight="1" s="37">
      <c r="A9403" t="n">
        <v>8</v>
      </c>
      <c r="B9403" s="10" t="inlineStr">
        <is>
          <t>平日</t>
        </is>
      </c>
      <c r="C9403" s="10" t="inlineStr">
        <is>
          <t>本線</t>
        </is>
      </c>
      <c r="D9403" s="10" t="inlineStr">
        <is>
          <t>下り</t>
        </is>
      </c>
      <c r="E9403" t="inlineStr">
        <is>
          <t>2009</t>
        </is>
      </c>
      <c r="F9403" t="inlineStr">
        <is>
          <t>0122</t>
        </is>
      </c>
      <c r="G9403" s="10" t="inlineStr">
        <is>
          <t>西大路三条</t>
        </is>
      </c>
      <c r="H9403" s="10" t="inlineStr">
        <is>
          <t>発</t>
        </is>
      </c>
      <c r="J9403" s="10" t="inlineStr">
        <is>
          <t>営業</t>
        </is>
      </c>
      <c r="L9403" t="inlineStr">
        <is>
          <t>20:48:10</t>
        </is>
      </c>
      <c r="M9403" t="inlineStr">
        <is>
          <t>20:48:30</t>
        </is>
      </c>
    </row>
    <row r="9404" ht="16.5" customHeight="1" s="37">
      <c r="A9404" t="n">
        <v>8</v>
      </c>
      <c r="B9404" s="10" t="inlineStr">
        <is>
          <t>平日</t>
        </is>
      </c>
      <c r="C9404" s="10" t="inlineStr">
        <is>
          <t>本線</t>
        </is>
      </c>
      <c r="D9404" s="10" t="inlineStr">
        <is>
          <t>下り</t>
        </is>
      </c>
      <c r="E9404" t="inlineStr">
        <is>
          <t>2009</t>
        </is>
      </c>
      <c r="F9404" t="inlineStr">
        <is>
          <t>0122</t>
        </is>
      </c>
      <c r="G9404" s="10" t="inlineStr">
        <is>
          <t>山ノ内</t>
        </is>
      </c>
      <c r="H9404" s="10" t="inlineStr">
        <is>
          <t>発</t>
        </is>
      </c>
      <c r="J9404" s="10" t="inlineStr">
        <is>
          <t>営業</t>
        </is>
      </c>
      <c r="L9404" t="inlineStr">
        <is>
          <t>20:50:25</t>
        </is>
      </c>
      <c r="M9404" t="inlineStr">
        <is>
          <t>20:50:50</t>
        </is>
      </c>
    </row>
    <row r="9405" ht="16.5" customHeight="1" s="37">
      <c r="A9405" t="n">
        <v>8</v>
      </c>
      <c r="B9405" s="10" t="inlineStr">
        <is>
          <t>平日</t>
        </is>
      </c>
      <c r="C9405" s="10" t="inlineStr">
        <is>
          <t>本線</t>
        </is>
      </c>
      <c r="D9405" s="10" t="inlineStr">
        <is>
          <t>下り</t>
        </is>
      </c>
      <c r="E9405" t="inlineStr">
        <is>
          <t>2009</t>
        </is>
      </c>
      <c r="F9405" t="inlineStr">
        <is>
          <t>0122</t>
        </is>
      </c>
      <c r="G9405" s="10" t="inlineStr">
        <is>
          <t>天神川</t>
        </is>
      </c>
      <c r="H9405" s="10" t="inlineStr">
        <is>
          <t>発</t>
        </is>
      </c>
      <c r="J9405" s="10" t="inlineStr">
        <is>
          <t>営業</t>
        </is>
      </c>
      <c r="L9405" t="inlineStr">
        <is>
          <t>20:52:50</t>
        </is>
      </c>
      <c r="M9405" t="inlineStr">
        <is>
          <t>20:53:30</t>
        </is>
      </c>
    </row>
    <row r="9406" ht="16.5" customHeight="1" s="37">
      <c r="A9406" t="n">
        <v>8</v>
      </c>
      <c r="B9406" s="10" t="inlineStr">
        <is>
          <t>平日</t>
        </is>
      </c>
      <c r="C9406" s="10" t="inlineStr">
        <is>
          <t>本線</t>
        </is>
      </c>
      <c r="D9406" s="10" t="inlineStr">
        <is>
          <t>下り</t>
        </is>
      </c>
      <c r="E9406" t="inlineStr">
        <is>
          <t>2009</t>
        </is>
      </c>
      <c r="F9406" t="inlineStr">
        <is>
          <t>0122</t>
        </is>
      </c>
      <c r="G9406" s="10" t="inlineStr">
        <is>
          <t>蚕ノ社</t>
        </is>
      </c>
      <c r="H9406" s="10" t="inlineStr">
        <is>
          <t>発</t>
        </is>
      </c>
      <c r="J9406" s="10" t="inlineStr">
        <is>
          <t>営業</t>
        </is>
      </c>
      <c r="L9406" t="inlineStr">
        <is>
          <t>20:54:20</t>
        </is>
      </c>
      <c r="M9406" t="inlineStr">
        <is>
          <t>20:54:40</t>
        </is>
      </c>
    </row>
    <row r="9407" ht="16.5" customHeight="1" s="37">
      <c r="A9407" t="n">
        <v>8</v>
      </c>
      <c r="B9407" s="10" t="inlineStr">
        <is>
          <t>平日</t>
        </is>
      </c>
      <c r="C9407" s="10" t="inlineStr">
        <is>
          <t>本線</t>
        </is>
      </c>
      <c r="D9407" s="10" t="inlineStr">
        <is>
          <t>下り</t>
        </is>
      </c>
      <c r="E9407" t="inlineStr">
        <is>
          <t>2009</t>
        </is>
      </c>
      <c r="F9407" t="inlineStr">
        <is>
          <t>0122</t>
        </is>
      </c>
      <c r="G9407" s="10" t="inlineStr">
        <is>
          <t>太秦広隆寺</t>
        </is>
      </c>
      <c r="H9407" s="10" t="inlineStr">
        <is>
          <t>発</t>
        </is>
      </c>
      <c r="J9407" s="10" t="inlineStr">
        <is>
          <t>営業</t>
        </is>
      </c>
      <c r="L9407" t="inlineStr">
        <is>
          <t>20:56:00</t>
        </is>
      </c>
      <c r="M9407" t="inlineStr">
        <is>
          <t>20:56:20</t>
        </is>
      </c>
    </row>
    <row r="9408" ht="16.5" customHeight="1" s="37">
      <c r="A9408" t="n">
        <v>8</v>
      </c>
      <c r="B9408" s="10" t="inlineStr">
        <is>
          <t>平日</t>
        </is>
      </c>
      <c r="C9408" s="10" t="inlineStr">
        <is>
          <t>本線</t>
        </is>
      </c>
      <c r="D9408" s="10" t="inlineStr">
        <is>
          <t>下り</t>
        </is>
      </c>
      <c r="E9408" t="inlineStr">
        <is>
          <t>2009</t>
        </is>
      </c>
      <c r="F9408" t="inlineStr">
        <is>
          <t>0122</t>
        </is>
      </c>
      <c r="G9408" s="10" t="inlineStr">
        <is>
          <t>帷子ノ辻</t>
        </is>
      </c>
      <c r="H9408" s="10" t="inlineStr">
        <is>
          <t>発</t>
        </is>
      </c>
      <c r="J9408" s="10" t="inlineStr">
        <is>
          <t>営業</t>
        </is>
      </c>
      <c r="L9408" t="inlineStr">
        <is>
          <t>20:58:20</t>
        </is>
      </c>
      <c r="M9408" t="inlineStr">
        <is>
          <t>20:59:40</t>
        </is>
      </c>
    </row>
    <row r="9409" ht="15" customHeight="1" s="37">
      <c r="A9409" t="n">
        <v>8</v>
      </c>
      <c r="B9409" s="10" t="inlineStr">
        <is>
          <t>平日</t>
        </is>
      </c>
      <c r="C9409" s="10" t="inlineStr">
        <is>
          <t>本線</t>
        </is>
      </c>
      <c r="D9409" s="10" t="inlineStr">
        <is>
          <t>下り</t>
        </is>
      </c>
      <c r="E9409" t="inlineStr">
        <is>
          <t>2009</t>
        </is>
      </c>
      <c r="F9409" t="inlineStr">
        <is>
          <t>0122</t>
        </is>
      </c>
      <c r="G9409" s="10" t="inlineStr">
        <is>
          <t>有栖川</t>
        </is>
      </c>
      <c r="H9409" s="10" t="inlineStr">
        <is>
          <t>発</t>
        </is>
      </c>
      <c r="J9409" s="10" t="inlineStr">
        <is>
          <t>営業</t>
        </is>
      </c>
      <c r="L9409" t="inlineStr">
        <is>
          <t>21:00:50</t>
        </is>
      </c>
      <c r="M9409" t="inlineStr">
        <is>
          <t>21:01:15</t>
        </is>
      </c>
    </row>
    <row r="9410" ht="15" customHeight="1" s="37">
      <c r="A9410" t="n">
        <v>8</v>
      </c>
      <c r="B9410" s="10" t="inlineStr">
        <is>
          <t>平日</t>
        </is>
      </c>
      <c r="C9410" s="10" t="inlineStr">
        <is>
          <t>本線</t>
        </is>
      </c>
      <c r="D9410" s="10" t="inlineStr">
        <is>
          <t>下り</t>
        </is>
      </c>
      <c r="E9410" t="inlineStr">
        <is>
          <t>2009</t>
        </is>
      </c>
      <c r="F9410" t="inlineStr">
        <is>
          <t>0122</t>
        </is>
      </c>
      <c r="G9410" s="10" t="inlineStr">
        <is>
          <t>車折</t>
        </is>
      </c>
      <c r="H9410" s="10" t="inlineStr">
        <is>
          <t>発</t>
        </is>
      </c>
      <c r="J9410" s="10" t="inlineStr">
        <is>
          <t>営業</t>
        </is>
      </c>
      <c r="L9410" t="inlineStr">
        <is>
          <t>21:02:40</t>
        </is>
      </c>
      <c r="M9410" t="inlineStr">
        <is>
          <t>21:03:05</t>
        </is>
      </c>
    </row>
    <row r="9411" ht="15" customHeight="1" s="37">
      <c r="A9411" t="n">
        <v>8</v>
      </c>
      <c r="B9411" s="10" t="inlineStr">
        <is>
          <t>平日</t>
        </is>
      </c>
      <c r="C9411" s="10" t="inlineStr">
        <is>
          <t>本線</t>
        </is>
      </c>
      <c r="D9411" s="10" t="inlineStr">
        <is>
          <t>下り</t>
        </is>
      </c>
      <c r="E9411" t="inlineStr">
        <is>
          <t>2009</t>
        </is>
      </c>
      <c r="F9411" t="inlineStr">
        <is>
          <t>0122</t>
        </is>
      </c>
      <c r="G9411" s="10" t="inlineStr">
        <is>
          <t>鹿王院</t>
        </is>
      </c>
      <c r="H9411" s="10" t="inlineStr">
        <is>
          <t>発</t>
        </is>
      </c>
      <c r="J9411" s="10" t="inlineStr">
        <is>
          <t>営業</t>
        </is>
      </c>
      <c r="L9411" t="inlineStr">
        <is>
          <t>21:04:00</t>
        </is>
      </c>
      <c r="M9411" t="inlineStr">
        <is>
          <t>21:04:25</t>
        </is>
      </c>
    </row>
    <row r="9412" ht="15" customHeight="1" s="37">
      <c r="A9412" t="n">
        <v>8</v>
      </c>
      <c r="B9412" s="10" t="inlineStr">
        <is>
          <t>平日</t>
        </is>
      </c>
      <c r="C9412" s="10" t="inlineStr">
        <is>
          <t>本線</t>
        </is>
      </c>
      <c r="D9412" s="10" t="inlineStr">
        <is>
          <t>下り</t>
        </is>
      </c>
      <c r="E9412" t="inlineStr">
        <is>
          <t>2009</t>
        </is>
      </c>
      <c r="F9412" t="inlineStr">
        <is>
          <t>0122</t>
        </is>
      </c>
      <c r="G9412" s="10" t="inlineStr">
        <is>
          <t>嵯峨</t>
        </is>
      </c>
      <c r="H9412" s="10" t="inlineStr">
        <is>
          <t>発</t>
        </is>
      </c>
      <c r="J9412" s="10" t="inlineStr">
        <is>
          <t>営業</t>
        </is>
      </c>
      <c r="L9412" t="inlineStr">
        <is>
          <t>21:05:30</t>
        </is>
      </c>
      <c r="M9412" t="inlineStr">
        <is>
          <t>21:05:55</t>
        </is>
      </c>
    </row>
    <row r="9413" ht="15" customHeight="1" s="37">
      <c r="A9413" t="n">
        <v>8</v>
      </c>
      <c r="B9413" s="10" t="inlineStr">
        <is>
          <t>平日</t>
        </is>
      </c>
      <c r="C9413" s="10" t="inlineStr">
        <is>
          <t>本線</t>
        </is>
      </c>
      <c r="D9413" s="10" t="inlineStr">
        <is>
          <t>下り</t>
        </is>
      </c>
      <c r="E9413" t="inlineStr">
        <is>
          <t>2009</t>
        </is>
      </c>
      <c r="F9413" t="inlineStr">
        <is>
          <t>0122</t>
        </is>
      </c>
      <c r="G9413" s="10" t="inlineStr">
        <is>
          <t>嵐山</t>
        </is>
      </c>
      <c r="H9413" s="10" t="inlineStr">
        <is>
          <t>着</t>
        </is>
      </c>
      <c r="J9413" s="10" t="inlineStr">
        <is>
          <t>営業</t>
        </is>
      </c>
      <c r="L9413" t="inlineStr">
        <is>
          <t>21:07:00</t>
        </is>
      </c>
      <c r="N9413" t="inlineStr">
        <is>
          <t>○</t>
        </is>
      </c>
      <c r="Q9413" t="inlineStr">
        <is>
          <t>1</t>
        </is>
      </c>
    </row>
    <row r="9414" ht="15" customHeight="1" s="37">
      <c r="A9414" t="n">
        <v>8</v>
      </c>
      <c r="B9414" s="10" t="inlineStr">
        <is>
          <t>平日</t>
        </is>
      </c>
      <c r="C9414" s="10" t="inlineStr">
        <is>
          <t>本線</t>
        </is>
      </c>
      <c r="D9414" s="10" t="inlineStr">
        <is>
          <t>上り</t>
        </is>
      </c>
      <c r="E9414" t="inlineStr">
        <is>
          <t>2104</t>
        </is>
      </c>
      <c r="F9414" t="inlineStr">
        <is>
          <t>0221</t>
        </is>
      </c>
      <c r="G9414" s="10" t="inlineStr">
        <is>
          <t>嵐山</t>
        </is>
      </c>
      <c r="H9414" s="10" t="inlineStr">
        <is>
          <t>発</t>
        </is>
      </c>
      <c r="J9414" s="10" t="inlineStr">
        <is>
          <t>営業</t>
        </is>
      </c>
      <c r="M9414" t="inlineStr">
        <is>
          <t>21:14:00</t>
        </is>
      </c>
      <c r="Q9414" t="inlineStr">
        <is>
          <t>1</t>
        </is>
      </c>
    </row>
    <row r="9415" ht="15" customHeight="1" s="37">
      <c r="A9415" t="n">
        <v>8</v>
      </c>
      <c r="B9415" s="10" t="inlineStr">
        <is>
          <t>平日</t>
        </is>
      </c>
      <c r="C9415" s="10" t="inlineStr">
        <is>
          <t>本線</t>
        </is>
      </c>
      <c r="D9415" s="10" t="inlineStr">
        <is>
          <t>上り</t>
        </is>
      </c>
      <c r="E9415" t="inlineStr">
        <is>
          <t>2104</t>
        </is>
      </c>
      <c r="F9415" t="inlineStr">
        <is>
          <t>0221</t>
        </is>
      </c>
      <c r="G9415" s="10" t="inlineStr">
        <is>
          <t>嵯峨</t>
        </is>
      </c>
      <c r="H9415" s="10" t="inlineStr">
        <is>
          <t>発</t>
        </is>
      </c>
      <c r="J9415" s="10" t="inlineStr">
        <is>
          <t>営業</t>
        </is>
      </c>
      <c r="L9415" t="inlineStr">
        <is>
          <t>21:14:55</t>
        </is>
      </c>
      <c r="M9415" t="inlineStr">
        <is>
          <t>21:15:10</t>
        </is>
      </c>
    </row>
    <row r="9416" ht="15" customHeight="1" s="37">
      <c r="A9416" t="n">
        <v>8</v>
      </c>
      <c r="B9416" s="10" t="inlineStr">
        <is>
          <t>平日</t>
        </is>
      </c>
      <c r="C9416" s="10" t="inlineStr">
        <is>
          <t>本線</t>
        </is>
      </c>
      <c r="D9416" s="10" t="inlineStr">
        <is>
          <t>上り</t>
        </is>
      </c>
      <c r="E9416" t="inlineStr">
        <is>
          <t>2104</t>
        </is>
      </c>
      <c r="F9416" t="inlineStr">
        <is>
          <t>0221</t>
        </is>
      </c>
      <c r="G9416" s="10" t="inlineStr">
        <is>
          <t>鹿王院</t>
        </is>
      </c>
      <c r="H9416" s="10" t="inlineStr">
        <is>
          <t>発</t>
        </is>
      </c>
      <c r="J9416" s="10" t="inlineStr">
        <is>
          <t>営業</t>
        </is>
      </c>
      <c r="L9416" t="inlineStr">
        <is>
          <t>21:16:15</t>
        </is>
      </c>
      <c r="M9416" t="inlineStr">
        <is>
          <t>21:16:30</t>
        </is>
      </c>
    </row>
    <row r="9417" ht="15" customHeight="1" s="37">
      <c r="A9417" t="n">
        <v>8</v>
      </c>
      <c r="B9417" s="10" t="inlineStr">
        <is>
          <t>平日</t>
        </is>
      </c>
      <c r="C9417" s="10" t="inlineStr">
        <is>
          <t>本線</t>
        </is>
      </c>
      <c r="D9417" s="10" t="inlineStr">
        <is>
          <t>上り</t>
        </is>
      </c>
      <c r="E9417" t="inlineStr">
        <is>
          <t>2104</t>
        </is>
      </c>
      <c r="F9417" t="inlineStr">
        <is>
          <t>0221</t>
        </is>
      </c>
      <c r="G9417" s="10" t="inlineStr">
        <is>
          <t>車折</t>
        </is>
      </c>
      <c r="H9417" s="10" t="inlineStr">
        <is>
          <t>発</t>
        </is>
      </c>
      <c r="J9417" s="10" t="inlineStr">
        <is>
          <t>営業</t>
        </is>
      </c>
      <c r="L9417" t="inlineStr">
        <is>
          <t>21:17:25</t>
        </is>
      </c>
      <c r="M9417" t="inlineStr">
        <is>
          <t>21:17:40</t>
        </is>
      </c>
    </row>
    <row r="9418" ht="15" customHeight="1" s="37">
      <c r="A9418" t="n">
        <v>8</v>
      </c>
      <c r="B9418" s="10" t="inlineStr">
        <is>
          <t>平日</t>
        </is>
      </c>
      <c r="C9418" s="10" t="inlineStr">
        <is>
          <t>本線</t>
        </is>
      </c>
      <c r="D9418" s="10" t="inlineStr">
        <is>
          <t>上り</t>
        </is>
      </c>
      <c r="E9418" t="inlineStr">
        <is>
          <t>2104</t>
        </is>
      </c>
      <c r="F9418" t="inlineStr">
        <is>
          <t>0221</t>
        </is>
      </c>
      <c r="G9418" s="10" t="inlineStr">
        <is>
          <t>有栖川</t>
        </is>
      </c>
      <c r="H9418" s="10" t="inlineStr">
        <is>
          <t>発</t>
        </is>
      </c>
      <c r="J9418" s="10" t="inlineStr">
        <is>
          <t>営業</t>
        </is>
      </c>
      <c r="L9418" t="inlineStr">
        <is>
          <t>21:19:05</t>
        </is>
      </c>
      <c r="M9418" t="inlineStr">
        <is>
          <t>21:19:20</t>
        </is>
      </c>
    </row>
    <row r="9419" ht="15" customHeight="1" s="37">
      <c r="A9419" t="n">
        <v>8</v>
      </c>
      <c r="B9419" s="10" t="inlineStr">
        <is>
          <t>平日</t>
        </is>
      </c>
      <c r="C9419" s="10" t="inlineStr">
        <is>
          <t>本線</t>
        </is>
      </c>
      <c r="D9419" s="10" t="inlineStr">
        <is>
          <t>上り</t>
        </is>
      </c>
      <c r="E9419" t="inlineStr">
        <is>
          <t>2104</t>
        </is>
      </c>
      <c r="F9419" t="inlineStr">
        <is>
          <t>0221</t>
        </is>
      </c>
      <c r="G9419" s="10" t="inlineStr">
        <is>
          <t>帷子ノ辻</t>
        </is>
      </c>
      <c r="H9419" s="10" t="inlineStr">
        <is>
          <t>発</t>
        </is>
      </c>
      <c r="J9419" s="10" t="inlineStr">
        <is>
          <t>営業</t>
        </is>
      </c>
      <c r="L9419" t="inlineStr">
        <is>
          <t>21:20:35</t>
        </is>
      </c>
      <c r="M9419" t="inlineStr">
        <is>
          <t>21:21:05</t>
        </is>
      </c>
    </row>
    <row r="9420" ht="15" customHeight="1" s="37">
      <c r="A9420" t="n">
        <v>8</v>
      </c>
      <c r="B9420" s="10" t="inlineStr">
        <is>
          <t>平日</t>
        </is>
      </c>
      <c r="C9420" s="10" t="inlineStr">
        <is>
          <t>本線</t>
        </is>
      </c>
      <c r="D9420" s="10" t="inlineStr">
        <is>
          <t>上り</t>
        </is>
      </c>
      <c r="E9420" t="inlineStr">
        <is>
          <t>2104</t>
        </is>
      </c>
      <c r="F9420" t="inlineStr">
        <is>
          <t>0221</t>
        </is>
      </c>
      <c r="G9420" s="10" t="inlineStr">
        <is>
          <t>太秦広隆寺</t>
        </is>
      </c>
      <c r="H9420" s="10" t="inlineStr">
        <is>
          <t>発</t>
        </is>
      </c>
      <c r="J9420" s="10" t="inlineStr">
        <is>
          <t>営業</t>
        </is>
      </c>
      <c r="L9420" t="inlineStr">
        <is>
          <t>21:23:15</t>
        </is>
      </c>
      <c r="M9420" t="inlineStr">
        <is>
          <t>21:23:35</t>
        </is>
      </c>
    </row>
    <row r="9421" ht="15" customHeight="1" s="37">
      <c r="A9421" t="n">
        <v>8</v>
      </c>
      <c r="B9421" s="10" t="inlineStr">
        <is>
          <t>平日</t>
        </is>
      </c>
      <c r="C9421" s="10" t="inlineStr">
        <is>
          <t>本線</t>
        </is>
      </c>
      <c r="D9421" s="10" t="inlineStr">
        <is>
          <t>上り</t>
        </is>
      </c>
      <c r="E9421" t="inlineStr">
        <is>
          <t>2104</t>
        </is>
      </c>
      <c r="F9421" t="inlineStr">
        <is>
          <t>0221</t>
        </is>
      </c>
      <c r="G9421" s="10" t="inlineStr">
        <is>
          <t>蚕ノ社</t>
        </is>
      </c>
      <c r="H9421" s="10" t="inlineStr">
        <is>
          <t>発</t>
        </is>
      </c>
      <c r="J9421" s="10" t="inlineStr">
        <is>
          <t>営業</t>
        </is>
      </c>
      <c r="L9421" t="inlineStr">
        <is>
          <t>21:24:50</t>
        </is>
      </c>
      <c r="M9421" t="inlineStr">
        <is>
          <t>21:25:10</t>
        </is>
      </c>
    </row>
    <row r="9422" ht="15" customHeight="1" s="37">
      <c r="A9422" t="n">
        <v>8</v>
      </c>
      <c r="B9422" s="10" t="inlineStr">
        <is>
          <t>平日</t>
        </is>
      </c>
      <c r="C9422" s="10" t="inlineStr">
        <is>
          <t>本線</t>
        </is>
      </c>
      <c r="D9422" s="10" t="inlineStr">
        <is>
          <t>上り</t>
        </is>
      </c>
      <c r="E9422" t="inlineStr">
        <is>
          <t>2104</t>
        </is>
      </c>
      <c r="F9422" t="inlineStr">
        <is>
          <t>0221</t>
        </is>
      </c>
      <c r="G9422" s="10" t="inlineStr">
        <is>
          <t>天神川</t>
        </is>
      </c>
      <c r="H9422" s="10" t="inlineStr">
        <is>
          <t>発</t>
        </is>
      </c>
      <c r="J9422" s="10" t="inlineStr">
        <is>
          <t>営業</t>
        </is>
      </c>
      <c r="L9422" t="inlineStr">
        <is>
          <t>21:25:55</t>
        </is>
      </c>
      <c r="M9422" t="inlineStr">
        <is>
          <t>21:26:20</t>
        </is>
      </c>
    </row>
    <row r="9423" ht="15" customHeight="1" s="37">
      <c r="A9423" t="n">
        <v>8</v>
      </c>
      <c r="B9423" s="10" t="inlineStr">
        <is>
          <t>平日</t>
        </is>
      </c>
      <c r="C9423" s="10" t="inlineStr">
        <is>
          <t>本線</t>
        </is>
      </c>
      <c r="D9423" s="10" t="inlineStr">
        <is>
          <t>上り</t>
        </is>
      </c>
      <c r="E9423" t="inlineStr">
        <is>
          <t>2104</t>
        </is>
      </c>
      <c r="F9423" t="inlineStr">
        <is>
          <t>0221</t>
        </is>
      </c>
      <c r="G9423" s="10" t="inlineStr">
        <is>
          <t>山ノ内</t>
        </is>
      </c>
      <c r="H9423" s="10" t="inlineStr">
        <is>
          <t>発</t>
        </is>
      </c>
      <c r="J9423" s="10" t="inlineStr">
        <is>
          <t>営業</t>
        </is>
      </c>
      <c r="L9423" t="inlineStr">
        <is>
          <t>21:28:10</t>
        </is>
      </c>
      <c r="M9423" t="inlineStr">
        <is>
          <t>21:28:35</t>
        </is>
      </c>
    </row>
    <row r="9424" ht="15" customHeight="1" s="37">
      <c r="A9424" t="n">
        <v>8</v>
      </c>
      <c r="B9424" s="10" t="inlineStr">
        <is>
          <t>平日</t>
        </is>
      </c>
      <c r="C9424" s="10" t="inlineStr">
        <is>
          <t>本線</t>
        </is>
      </c>
      <c r="D9424" s="10" t="inlineStr">
        <is>
          <t>上り</t>
        </is>
      </c>
      <c r="E9424" t="inlineStr">
        <is>
          <t>2104</t>
        </is>
      </c>
      <c r="F9424" t="inlineStr">
        <is>
          <t>0221</t>
        </is>
      </c>
      <c r="G9424" s="10" t="inlineStr">
        <is>
          <t>西大路三条</t>
        </is>
      </c>
      <c r="H9424" s="10" t="inlineStr">
        <is>
          <t>発</t>
        </is>
      </c>
      <c r="J9424" s="10" t="inlineStr">
        <is>
          <t>営業</t>
        </is>
      </c>
      <c r="L9424" t="inlineStr">
        <is>
          <t>21:30:25</t>
        </is>
      </c>
      <c r="M9424" t="inlineStr">
        <is>
          <t>21:30:40</t>
        </is>
      </c>
    </row>
    <row r="9425" ht="15" customHeight="1" s="37">
      <c r="A9425" t="n">
        <v>8</v>
      </c>
      <c r="B9425" s="10" t="inlineStr">
        <is>
          <t>平日</t>
        </is>
      </c>
      <c r="C9425" s="10" t="inlineStr">
        <is>
          <t>本線</t>
        </is>
      </c>
      <c r="D9425" s="10" t="inlineStr">
        <is>
          <t>上り</t>
        </is>
      </c>
      <c r="E9425" t="inlineStr">
        <is>
          <t>2104</t>
        </is>
      </c>
      <c r="F9425" t="inlineStr">
        <is>
          <t>0221</t>
        </is>
      </c>
      <c r="G9425" s="10" t="inlineStr">
        <is>
          <t>西院</t>
        </is>
      </c>
      <c r="H9425" s="10" t="inlineStr">
        <is>
          <t>発</t>
        </is>
      </c>
      <c r="J9425" s="10" t="inlineStr">
        <is>
          <t>営業</t>
        </is>
      </c>
      <c r="L9425" t="inlineStr">
        <is>
          <t>21:32:35</t>
        </is>
      </c>
      <c r="M9425" t="inlineStr">
        <is>
          <t>21:33:05</t>
        </is>
      </c>
    </row>
    <row r="9426" ht="15" customHeight="1" s="37">
      <c r="A9426" t="n">
        <v>8</v>
      </c>
      <c r="B9426" s="10" t="inlineStr">
        <is>
          <t>平日</t>
        </is>
      </c>
      <c r="C9426" s="10" t="inlineStr">
        <is>
          <t>本線</t>
        </is>
      </c>
      <c r="D9426" s="10" t="inlineStr">
        <is>
          <t>上り</t>
        </is>
      </c>
      <c r="E9426" t="inlineStr">
        <is>
          <t>2104</t>
        </is>
      </c>
      <c r="F9426" t="inlineStr">
        <is>
          <t>0221</t>
        </is>
      </c>
      <c r="G9426" s="10" t="inlineStr">
        <is>
          <t>四条大宮</t>
        </is>
      </c>
      <c r="H9426" s="10" t="inlineStr">
        <is>
          <t>着</t>
        </is>
      </c>
      <c r="J9426" s="10" t="inlineStr">
        <is>
          <t>営業</t>
        </is>
      </c>
      <c r="L9426" t="inlineStr">
        <is>
          <t>21:36:00</t>
        </is>
      </c>
      <c r="N9426" t="inlineStr">
        <is>
          <t>○</t>
        </is>
      </c>
      <c r="Q9426" t="inlineStr">
        <is>
          <t>1</t>
        </is>
      </c>
      <c r="T9426" t="inlineStr">
        <is>
          <t>○</t>
        </is>
      </c>
    </row>
    <row r="9427" ht="15" customHeight="1" s="37">
      <c r="A9427" t="n">
        <v>8</v>
      </c>
      <c r="B9427" s="10" t="inlineStr">
        <is>
          <t>平日</t>
        </is>
      </c>
      <c r="C9427" s="10" t="inlineStr">
        <is>
          <t>本線</t>
        </is>
      </c>
      <c r="D9427" s="10" t="inlineStr">
        <is>
          <t>下り</t>
        </is>
      </c>
      <c r="E9427" s="10" t="inlineStr">
        <is>
          <t>連回0871</t>
        </is>
      </c>
      <c r="F9427" s="10" t="inlineStr">
        <is>
          <t>回送</t>
        </is>
      </c>
      <c r="G9427" s="10" t="inlineStr">
        <is>
          <t>四条大宮</t>
        </is>
      </c>
      <c r="H9427" s="10" t="inlineStr">
        <is>
          <t>発</t>
        </is>
      </c>
      <c r="J9427" s="10" t="inlineStr">
        <is>
          <t>回送</t>
        </is>
      </c>
      <c r="M9427" t="inlineStr">
        <is>
          <t>8:35:00</t>
        </is>
      </c>
      <c r="P9427" t="inlineStr">
        <is>
          <t>A系統</t>
        </is>
      </c>
      <c r="Q9427" t="inlineStr">
        <is>
          <t>1</t>
        </is>
      </c>
    </row>
    <row r="9428" ht="15" customHeight="1" s="37">
      <c r="A9428" t="n">
        <v>8</v>
      </c>
      <c r="B9428" s="10" t="inlineStr">
        <is>
          <t>平日</t>
        </is>
      </c>
      <c r="C9428" s="10" t="inlineStr">
        <is>
          <t>本線</t>
        </is>
      </c>
      <c r="D9428" s="10" t="inlineStr">
        <is>
          <t>下り</t>
        </is>
      </c>
      <c r="E9428" s="10" t="inlineStr">
        <is>
          <t>連回0871</t>
        </is>
      </c>
      <c r="F9428" s="10" t="inlineStr">
        <is>
          <t>回送</t>
        </is>
      </c>
      <c r="G9428" s="10" t="inlineStr">
        <is>
          <t>西院</t>
        </is>
      </c>
      <c r="H9428" s="10" t="inlineStr">
        <is>
          <t>着</t>
        </is>
      </c>
      <c r="J9428" s="10" t="inlineStr">
        <is>
          <t>回送</t>
        </is>
      </c>
      <c r="L9428" t="inlineStr">
        <is>
          <t>8:37:50</t>
        </is>
      </c>
      <c r="P9428" t="inlineStr">
        <is>
          <t>A系統</t>
        </is>
      </c>
    </row>
    <row r="9429" ht="15" customHeight="1" s="37">
      <c r="A9429" t="n">
        <v>8</v>
      </c>
      <c r="B9429" s="10" t="inlineStr">
        <is>
          <t>平日</t>
        </is>
      </c>
      <c r="C9429" s="10" t="inlineStr">
        <is>
          <t>本線</t>
        </is>
      </c>
      <c r="D9429" s="10" t="inlineStr">
        <is>
          <t>下り</t>
        </is>
      </c>
      <c r="E9429" s="10" t="inlineStr">
        <is>
          <t>回2171</t>
        </is>
      </c>
      <c r="F9429" s="10" t="inlineStr">
        <is>
          <t>回送</t>
        </is>
      </c>
      <c r="G9429" s="10" t="inlineStr">
        <is>
          <t>四条大宮</t>
        </is>
      </c>
      <c r="H9429" s="10" t="inlineStr">
        <is>
          <t>発</t>
        </is>
      </c>
      <c r="J9429" s="10" t="inlineStr">
        <is>
          <t>回送</t>
        </is>
      </c>
      <c r="M9429" t="inlineStr">
        <is>
          <t>21:41:00</t>
        </is>
      </c>
      <c r="O9429" t="inlineStr">
        <is>
          <t>返却:四大金庫(金庫2・納金袋1) 13系統担当 回2171で西院21:43入庫</t>
        </is>
      </c>
      <c r="Q9429" t="inlineStr">
        <is>
          <t>1</t>
        </is>
      </c>
    </row>
    <row r="9430" ht="15" customHeight="1" s="37">
      <c r="A9430" t="n">
        <v>8</v>
      </c>
      <c r="B9430" s="10" t="inlineStr">
        <is>
          <t>平日</t>
        </is>
      </c>
      <c r="C9430" s="10" t="inlineStr">
        <is>
          <t>本線</t>
        </is>
      </c>
      <c r="D9430" s="10" t="inlineStr">
        <is>
          <t>下り</t>
        </is>
      </c>
      <c r="E9430" s="10" t="inlineStr">
        <is>
          <t>回2171</t>
        </is>
      </c>
      <c r="F9430" s="10" t="inlineStr">
        <is>
          <t>回送</t>
        </is>
      </c>
      <c r="G9430" s="10" t="inlineStr">
        <is>
          <t>西院</t>
        </is>
      </c>
      <c r="H9430" s="10" t="inlineStr">
        <is>
          <t>着</t>
        </is>
      </c>
      <c r="J9430" s="10" t="inlineStr">
        <is>
          <t>回送</t>
        </is>
      </c>
      <c r="L9430" t="inlineStr">
        <is>
          <t>21:43:50</t>
        </is>
      </c>
      <c r="O9430" t="inlineStr">
        <is>
          <t>返却:四大金庫(金庫2・納金袋1) 13系統担当 回2171で西院21:43入庫</t>
        </is>
      </c>
    </row>
    <row r="9431" ht="15" customHeight="1" s="37">
      <c r="A9431" t="n">
        <v>8</v>
      </c>
      <c r="B9431" s="10" t="inlineStr">
        <is>
          <t>平日</t>
        </is>
      </c>
      <c r="C9431" s="10" t="inlineStr">
        <is>
          <t>本線</t>
        </is>
      </c>
      <c r="D9431" s="10" t="inlineStr">
        <is>
          <t>下り</t>
        </is>
      </c>
      <c r="E9431" s="10" t="inlineStr">
        <is>
          <t>連0501</t>
        </is>
      </c>
      <c r="F9431" t="inlineStr">
        <is>
          <t>0502</t>
        </is>
      </c>
      <c r="G9431" s="10" t="inlineStr">
        <is>
          <t>西院</t>
        </is>
      </c>
      <c r="H9431" s="10" t="inlineStr">
        <is>
          <t>発</t>
        </is>
      </c>
      <c r="J9431" s="10" t="inlineStr">
        <is>
          <t>営業</t>
        </is>
      </c>
      <c r="M9431" t="inlineStr">
        <is>
          <t>5:30:20</t>
        </is>
      </c>
      <c r="P9431" t="inlineStr">
        <is>
          <t>A系統(朝)</t>
        </is>
      </c>
    </row>
    <row r="9432" ht="15" customHeight="1" s="37">
      <c r="A9432" t="n">
        <v>8</v>
      </c>
      <c r="B9432" s="10" t="inlineStr">
        <is>
          <t>平日</t>
        </is>
      </c>
      <c r="C9432" s="10" t="inlineStr">
        <is>
          <t>本線</t>
        </is>
      </c>
      <c r="D9432" s="10" t="inlineStr">
        <is>
          <t>下り</t>
        </is>
      </c>
      <c r="E9432" s="10" t="inlineStr">
        <is>
          <t>連0501</t>
        </is>
      </c>
      <c r="F9432" t="inlineStr">
        <is>
          <t>0502</t>
        </is>
      </c>
      <c r="G9432" s="10" t="inlineStr">
        <is>
          <t>西大路三条</t>
        </is>
      </c>
      <c r="H9432" s="10" t="inlineStr">
        <is>
          <t>発</t>
        </is>
      </c>
      <c r="J9432" s="10" t="inlineStr">
        <is>
          <t>営業</t>
        </is>
      </c>
      <c r="L9432" t="inlineStr">
        <is>
          <t>5:32:10</t>
        </is>
      </c>
      <c r="M9432" t="inlineStr">
        <is>
          <t>5:32:25</t>
        </is>
      </c>
      <c r="P9432" t="inlineStr">
        <is>
          <t>A系統(朝)</t>
        </is>
      </c>
    </row>
    <row r="9433" ht="15" customHeight="1" s="37">
      <c r="A9433" t="n">
        <v>8</v>
      </c>
      <c r="B9433" s="10" t="inlineStr">
        <is>
          <t>平日</t>
        </is>
      </c>
      <c r="C9433" s="10" t="inlineStr">
        <is>
          <t>本線</t>
        </is>
      </c>
      <c r="D9433" s="10" t="inlineStr">
        <is>
          <t>下り</t>
        </is>
      </c>
      <c r="E9433" s="10" t="inlineStr">
        <is>
          <t>連0501</t>
        </is>
      </c>
      <c r="F9433" t="inlineStr">
        <is>
          <t>0502</t>
        </is>
      </c>
      <c r="G9433" s="10" t="inlineStr">
        <is>
          <t>山ノ内</t>
        </is>
      </c>
      <c r="H9433" s="10" t="inlineStr">
        <is>
          <t>発</t>
        </is>
      </c>
      <c r="J9433" s="10" t="inlineStr">
        <is>
          <t>営業</t>
        </is>
      </c>
      <c r="L9433" t="inlineStr">
        <is>
          <t>5:34:20</t>
        </is>
      </c>
      <c r="M9433" t="inlineStr">
        <is>
          <t>5:34:45</t>
        </is>
      </c>
      <c r="P9433" t="inlineStr">
        <is>
          <t>A系統(朝)</t>
        </is>
      </c>
    </row>
    <row r="9434" ht="15" customHeight="1" s="37">
      <c r="A9434" t="n">
        <v>8</v>
      </c>
      <c r="B9434" s="10" t="inlineStr">
        <is>
          <t>平日</t>
        </is>
      </c>
      <c r="C9434" s="10" t="inlineStr">
        <is>
          <t>本線</t>
        </is>
      </c>
      <c r="D9434" s="10" t="inlineStr">
        <is>
          <t>下り</t>
        </is>
      </c>
      <c r="E9434" s="10" t="inlineStr">
        <is>
          <t>連0501</t>
        </is>
      </c>
      <c r="F9434" t="inlineStr">
        <is>
          <t>0502</t>
        </is>
      </c>
      <c r="G9434" s="10" t="inlineStr">
        <is>
          <t>天神川</t>
        </is>
      </c>
      <c r="H9434" s="10" t="inlineStr">
        <is>
          <t>発</t>
        </is>
      </c>
      <c r="J9434" s="10" t="inlineStr">
        <is>
          <t>営業</t>
        </is>
      </c>
      <c r="L9434" t="inlineStr">
        <is>
          <t>5:36:45</t>
        </is>
      </c>
      <c r="M9434" t="inlineStr">
        <is>
          <t>5:37:10</t>
        </is>
      </c>
      <c r="P9434" t="inlineStr">
        <is>
          <t>A系統(朝)</t>
        </is>
      </c>
    </row>
    <row r="9435" ht="15" customHeight="1" s="37">
      <c r="A9435" t="n">
        <v>8</v>
      </c>
      <c r="B9435" s="10" t="inlineStr">
        <is>
          <t>平日</t>
        </is>
      </c>
      <c r="C9435" s="10" t="inlineStr">
        <is>
          <t>本線</t>
        </is>
      </c>
      <c r="D9435" s="10" t="inlineStr">
        <is>
          <t>下り</t>
        </is>
      </c>
      <c r="E9435" s="10" t="inlineStr">
        <is>
          <t>連0501</t>
        </is>
      </c>
      <c r="F9435" t="inlineStr">
        <is>
          <t>0502</t>
        </is>
      </c>
      <c r="G9435" s="10" t="inlineStr">
        <is>
          <t>蚕ノ社</t>
        </is>
      </c>
      <c r="H9435" s="10" t="inlineStr">
        <is>
          <t>発</t>
        </is>
      </c>
      <c r="J9435" s="10" t="inlineStr">
        <is>
          <t>営業</t>
        </is>
      </c>
      <c r="L9435" t="inlineStr">
        <is>
          <t>5:38:00</t>
        </is>
      </c>
      <c r="M9435" t="inlineStr">
        <is>
          <t>5:38:15</t>
        </is>
      </c>
      <c r="P9435" t="inlineStr">
        <is>
          <t>A系統(朝)</t>
        </is>
      </c>
    </row>
    <row r="9436" ht="15" customHeight="1" s="37">
      <c r="A9436" t="n">
        <v>8</v>
      </c>
      <c r="B9436" s="10" t="inlineStr">
        <is>
          <t>平日</t>
        </is>
      </c>
      <c r="C9436" s="10" t="inlineStr">
        <is>
          <t>本線</t>
        </is>
      </c>
      <c r="D9436" s="10" t="inlineStr">
        <is>
          <t>下り</t>
        </is>
      </c>
      <c r="E9436" s="10" t="inlineStr">
        <is>
          <t>連0501</t>
        </is>
      </c>
      <c r="F9436" t="inlineStr">
        <is>
          <t>0502</t>
        </is>
      </c>
      <c r="G9436" s="10" t="inlineStr">
        <is>
          <t>太秦広隆寺</t>
        </is>
      </c>
      <c r="H9436" s="10" t="inlineStr">
        <is>
          <t>発</t>
        </is>
      </c>
      <c r="J9436" s="10" t="inlineStr">
        <is>
          <t>営業</t>
        </is>
      </c>
      <c r="L9436" t="inlineStr">
        <is>
          <t>5:39:35</t>
        </is>
      </c>
      <c r="M9436" t="inlineStr">
        <is>
          <t>5:39:50</t>
        </is>
      </c>
      <c r="P9436" t="inlineStr">
        <is>
          <t>A系統(朝)</t>
        </is>
      </c>
    </row>
    <row r="9437" ht="15" customHeight="1" s="37">
      <c r="A9437" t="n">
        <v>8</v>
      </c>
      <c r="B9437" s="10" t="inlineStr">
        <is>
          <t>平日</t>
        </is>
      </c>
      <c r="C9437" s="10" t="inlineStr">
        <is>
          <t>本線</t>
        </is>
      </c>
      <c r="D9437" s="10" t="inlineStr">
        <is>
          <t>下り</t>
        </is>
      </c>
      <c r="E9437" s="10" t="inlineStr">
        <is>
          <t>連0501</t>
        </is>
      </c>
      <c r="F9437" t="inlineStr">
        <is>
          <t>0502</t>
        </is>
      </c>
      <c r="G9437" s="10" t="inlineStr">
        <is>
          <t>帷子ノ辻</t>
        </is>
      </c>
      <c r="H9437" s="10" t="inlineStr">
        <is>
          <t>発</t>
        </is>
      </c>
      <c r="J9437" s="10" t="inlineStr">
        <is>
          <t>営業</t>
        </is>
      </c>
      <c r="L9437" t="inlineStr">
        <is>
          <t>5:41:50</t>
        </is>
      </c>
      <c r="M9437" t="inlineStr">
        <is>
          <t>5:42:20</t>
        </is>
      </c>
      <c r="N9437" t="inlineStr">
        <is>
          <t>○</t>
        </is>
      </c>
      <c r="P9437" t="inlineStr">
        <is>
          <t>A系統(朝)</t>
        </is>
      </c>
    </row>
    <row r="9438" ht="15" customHeight="1" s="37">
      <c r="A9438" t="n">
        <v>8</v>
      </c>
      <c r="B9438" s="10" t="inlineStr">
        <is>
          <t>平日</t>
        </is>
      </c>
      <c r="C9438" s="10" t="inlineStr">
        <is>
          <t>本線</t>
        </is>
      </c>
      <c r="D9438" s="10" t="inlineStr">
        <is>
          <t>下り</t>
        </is>
      </c>
      <c r="E9438" s="10" t="inlineStr">
        <is>
          <t>連0501</t>
        </is>
      </c>
      <c r="F9438" t="inlineStr">
        <is>
          <t>0502</t>
        </is>
      </c>
      <c r="G9438" s="10" t="inlineStr">
        <is>
          <t>有栖川</t>
        </is>
      </c>
      <c r="H9438" s="10" t="inlineStr">
        <is>
          <t>発</t>
        </is>
      </c>
      <c r="J9438" s="10" t="inlineStr">
        <is>
          <t>営業</t>
        </is>
      </c>
      <c r="L9438" t="inlineStr">
        <is>
          <t>5:43:30</t>
        </is>
      </c>
      <c r="M9438" t="inlineStr">
        <is>
          <t>5:43:45</t>
        </is>
      </c>
      <c r="P9438" t="inlineStr">
        <is>
          <t>A系統(朝)</t>
        </is>
      </c>
    </row>
    <row r="9439" ht="15" customHeight="1" s="37">
      <c r="A9439" t="n">
        <v>8</v>
      </c>
      <c r="B9439" s="10" t="inlineStr">
        <is>
          <t>平日</t>
        </is>
      </c>
      <c r="C9439" s="10" t="inlineStr">
        <is>
          <t>本線</t>
        </is>
      </c>
      <c r="D9439" s="10" t="inlineStr">
        <is>
          <t>下り</t>
        </is>
      </c>
      <c r="E9439" s="10" t="inlineStr">
        <is>
          <t>連0501</t>
        </is>
      </c>
      <c r="F9439" t="inlineStr">
        <is>
          <t>0502</t>
        </is>
      </c>
      <c r="G9439" s="10" t="inlineStr">
        <is>
          <t>車折</t>
        </is>
      </c>
      <c r="H9439" s="10" t="inlineStr">
        <is>
          <t>発</t>
        </is>
      </c>
      <c r="J9439" s="10" t="inlineStr">
        <is>
          <t>営業</t>
        </is>
      </c>
      <c r="L9439" t="inlineStr">
        <is>
          <t>5:45:10</t>
        </is>
      </c>
      <c r="M9439" t="inlineStr">
        <is>
          <t>5:45:25</t>
        </is>
      </c>
      <c r="P9439" t="inlineStr">
        <is>
          <t>A系統(朝)</t>
        </is>
      </c>
    </row>
    <row r="9440" ht="15" customHeight="1" s="37">
      <c r="A9440" t="n">
        <v>8</v>
      </c>
      <c r="B9440" s="10" t="inlineStr">
        <is>
          <t>平日</t>
        </is>
      </c>
      <c r="C9440" s="10" t="inlineStr">
        <is>
          <t>本線</t>
        </is>
      </c>
      <c r="D9440" s="10" t="inlineStr">
        <is>
          <t>下り</t>
        </is>
      </c>
      <c r="E9440" s="10" t="inlineStr">
        <is>
          <t>連0501</t>
        </is>
      </c>
      <c r="F9440" t="inlineStr">
        <is>
          <t>0502</t>
        </is>
      </c>
      <c r="G9440" s="10" t="inlineStr">
        <is>
          <t>鹿王院</t>
        </is>
      </c>
      <c r="H9440" s="10" t="inlineStr">
        <is>
          <t>発</t>
        </is>
      </c>
      <c r="J9440" s="10" t="inlineStr">
        <is>
          <t>営業</t>
        </is>
      </c>
      <c r="L9440" t="inlineStr">
        <is>
          <t>5:46:20</t>
        </is>
      </c>
      <c r="M9440" t="inlineStr">
        <is>
          <t>5:46:35</t>
        </is>
      </c>
      <c r="P9440" t="inlineStr">
        <is>
          <t>A系統(朝)</t>
        </is>
      </c>
    </row>
    <row r="9441" ht="15" customHeight="1" s="37">
      <c r="A9441" t="n">
        <v>8</v>
      </c>
      <c r="B9441" s="10" t="inlineStr">
        <is>
          <t>平日</t>
        </is>
      </c>
      <c r="C9441" s="10" t="inlineStr">
        <is>
          <t>本線</t>
        </is>
      </c>
      <c r="D9441" s="10" t="inlineStr">
        <is>
          <t>下り</t>
        </is>
      </c>
      <c r="E9441" s="10" t="inlineStr">
        <is>
          <t>連0501</t>
        </is>
      </c>
      <c r="F9441" t="inlineStr">
        <is>
          <t>0502</t>
        </is>
      </c>
      <c r="G9441" s="10" t="inlineStr">
        <is>
          <t>嵯峨</t>
        </is>
      </c>
      <c r="H9441" s="10" t="inlineStr">
        <is>
          <t>発</t>
        </is>
      </c>
      <c r="J9441" s="10" t="inlineStr">
        <is>
          <t>営業</t>
        </is>
      </c>
      <c r="L9441" t="inlineStr">
        <is>
          <t>5:47:40</t>
        </is>
      </c>
      <c r="M9441" t="inlineStr">
        <is>
          <t>5:47:55</t>
        </is>
      </c>
      <c r="P9441" t="inlineStr">
        <is>
          <t>A系統(朝)</t>
        </is>
      </c>
    </row>
    <row r="9442" ht="15" customHeight="1" s="37">
      <c r="A9442" t="n">
        <v>8</v>
      </c>
      <c r="B9442" s="10" t="inlineStr">
        <is>
          <t>平日</t>
        </is>
      </c>
      <c r="C9442" s="10" t="inlineStr">
        <is>
          <t>本線</t>
        </is>
      </c>
      <c r="D9442" s="10" t="inlineStr">
        <is>
          <t>下り</t>
        </is>
      </c>
      <c r="E9442" s="10" t="inlineStr">
        <is>
          <t>連0501</t>
        </is>
      </c>
      <c r="F9442" t="inlineStr">
        <is>
          <t>0502</t>
        </is>
      </c>
      <c r="G9442" s="10" t="inlineStr">
        <is>
          <t>嵐山</t>
        </is>
      </c>
      <c r="H9442" s="10" t="inlineStr">
        <is>
          <t>着</t>
        </is>
      </c>
      <c r="J9442" s="10" t="inlineStr">
        <is>
          <t>営業</t>
        </is>
      </c>
      <c r="L9442" t="inlineStr">
        <is>
          <t>5:49:00</t>
        </is>
      </c>
      <c r="N9442" t="inlineStr">
        <is>
          <t>○</t>
        </is>
      </c>
      <c r="P9442" t="inlineStr">
        <is>
          <t>A系統(朝)</t>
        </is>
      </c>
      <c r="Q9442" t="inlineStr">
        <is>
          <t>1</t>
        </is>
      </c>
    </row>
    <row r="9443" ht="15" customHeight="1" s="37">
      <c r="A9443" t="n">
        <v>8</v>
      </c>
      <c r="B9443" s="10" t="inlineStr">
        <is>
          <t>平日</t>
        </is>
      </c>
      <c r="C9443" s="10" t="inlineStr">
        <is>
          <t>本線</t>
        </is>
      </c>
      <c r="D9443" s="10" t="inlineStr">
        <is>
          <t>上り</t>
        </is>
      </c>
      <c r="E9443" s="10" t="inlineStr">
        <is>
          <t>連0502</t>
        </is>
      </c>
      <c r="F9443" t="inlineStr">
        <is>
          <t>0201</t>
        </is>
      </c>
      <c r="G9443" s="10" t="inlineStr">
        <is>
          <t>嵐山</t>
        </is>
      </c>
      <c r="H9443" s="10" t="inlineStr">
        <is>
          <t>発</t>
        </is>
      </c>
      <c r="J9443" s="10" t="inlineStr">
        <is>
          <t>営業</t>
        </is>
      </c>
      <c r="M9443" t="inlineStr">
        <is>
          <t>5:53:00</t>
        </is>
      </c>
      <c r="P9443" t="inlineStr">
        <is>
          <t>A系統(朝)</t>
        </is>
      </c>
      <c r="Q9443" t="inlineStr">
        <is>
          <t>1</t>
        </is>
      </c>
    </row>
    <row r="9444" ht="15" customHeight="1" s="37">
      <c r="A9444" t="n">
        <v>8</v>
      </c>
      <c r="B9444" s="10" t="inlineStr">
        <is>
          <t>平日</t>
        </is>
      </c>
      <c r="C9444" s="10" t="inlineStr">
        <is>
          <t>本線</t>
        </is>
      </c>
      <c r="D9444" s="10" t="inlineStr">
        <is>
          <t>上り</t>
        </is>
      </c>
      <c r="E9444" s="10" t="inlineStr">
        <is>
          <t>連0502</t>
        </is>
      </c>
      <c r="F9444" t="inlineStr">
        <is>
          <t>0201</t>
        </is>
      </c>
      <c r="G9444" s="10" t="inlineStr">
        <is>
          <t>嵯峨</t>
        </is>
      </c>
      <c r="H9444" s="10" t="inlineStr">
        <is>
          <t>発</t>
        </is>
      </c>
      <c r="J9444" s="10" t="inlineStr">
        <is>
          <t>営業</t>
        </is>
      </c>
      <c r="L9444" t="inlineStr">
        <is>
          <t>5:53:55</t>
        </is>
      </c>
      <c r="M9444" t="inlineStr">
        <is>
          <t>5:54:20</t>
        </is>
      </c>
      <c r="P9444" t="inlineStr">
        <is>
          <t>A系統(朝)</t>
        </is>
      </c>
    </row>
    <row r="9445" ht="15" customHeight="1" s="37">
      <c r="A9445" t="n">
        <v>8</v>
      </c>
      <c r="B9445" s="10" t="inlineStr">
        <is>
          <t>平日</t>
        </is>
      </c>
      <c r="C9445" s="10" t="inlineStr">
        <is>
          <t>本線</t>
        </is>
      </c>
      <c r="D9445" s="10" t="inlineStr">
        <is>
          <t>上り</t>
        </is>
      </c>
      <c r="E9445" s="10" t="inlineStr">
        <is>
          <t>連0502</t>
        </is>
      </c>
      <c r="F9445" t="inlineStr">
        <is>
          <t>0201</t>
        </is>
      </c>
      <c r="G9445" s="10" t="inlineStr">
        <is>
          <t>鹿王院</t>
        </is>
      </c>
      <c r="H9445" s="10" t="inlineStr">
        <is>
          <t>発</t>
        </is>
      </c>
      <c r="J9445" s="10" t="inlineStr">
        <is>
          <t>営業</t>
        </is>
      </c>
      <c r="L9445" t="inlineStr">
        <is>
          <t>5:55:25</t>
        </is>
      </c>
      <c r="M9445" t="inlineStr">
        <is>
          <t>5:55:45</t>
        </is>
      </c>
      <c r="P9445" t="inlineStr">
        <is>
          <t>A系統(朝)</t>
        </is>
      </c>
    </row>
    <row r="9446" ht="15" customHeight="1" s="37">
      <c r="A9446" t="n">
        <v>8</v>
      </c>
      <c r="B9446" s="10" t="inlineStr">
        <is>
          <t>平日</t>
        </is>
      </c>
      <c r="C9446" s="10" t="inlineStr">
        <is>
          <t>本線</t>
        </is>
      </c>
      <c r="D9446" s="10" t="inlineStr">
        <is>
          <t>上り</t>
        </is>
      </c>
      <c r="E9446" s="10" t="inlineStr">
        <is>
          <t>連0502</t>
        </is>
      </c>
      <c r="F9446" t="inlineStr">
        <is>
          <t>0201</t>
        </is>
      </c>
      <c r="G9446" s="10" t="inlineStr">
        <is>
          <t>車折</t>
        </is>
      </c>
      <c r="H9446" s="10" t="inlineStr">
        <is>
          <t>発</t>
        </is>
      </c>
      <c r="J9446" s="10" t="inlineStr">
        <is>
          <t>営業</t>
        </is>
      </c>
      <c r="L9446" t="inlineStr">
        <is>
          <t>5:56:40</t>
        </is>
      </c>
      <c r="M9446" t="inlineStr">
        <is>
          <t>5:57:10</t>
        </is>
      </c>
      <c r="P9446" t="inlineStr">
        <is>
          <t>A系統(朝)</t>
        </is>
      </c>
    </row>
    <row r="9447" ht="15" customHeight="1" s="37">
      <c r="A9447" t="n">
        <v>8</v>
      </c>
      <c r="B9447" s="10" t="inlineStr">
        <is>
          <t>平日</t>
        </is>
      </c>
      <c r="C9447" s="10" t="inlineStr">
        <is>
          <t>本線</t>
        </is>
      </c>
      <c r="D9447" s="10" t="inlineStr">
        <is>
          <t>上り</t>
        </is>
      </c>
      <c r="E9447" s="10" t="inlineStr">
        <is>
          <t>連0502</t>
        </is>
      </c>
      <c r="F9447" t="inlineStr">
        <is>
          <t>0201</t>
        </is>
      </c>
      <c r="G9447" s="10" t="inlineStr">
        <is>
          <t>有栖川</t>
        </is>
      </c>
      <c r="H9447" s="10" t="inlineStr">
        <is>
          <t>発</t>
        </is>
      </c>
      <c r="J9447" s="10" t="inlineStr">
        <is>
          <t>営業</t>
        </is>
      </c>
      <c r="L9447" t="inlineStr">
        <is>
          <t>5:58:35</t>
        </is>
      </c>
      <c r="M9447" t="inlineStr">
        <is>
          <t>5:58:55</t>
        </is>
      </c>
      <c r="P9447" t="inlineStr">
        <is>
          <t>A系統(朝)</t>
        </is>
      </c>
    </row>
    <row r="9448" ht="15" customHeight="1" s="37">
      <c r="A9448" t="n">
        <v>8</v>
      </c>
      <c r="B9448" s="10" t="inlineStr">
        <is>
          <t>平日</t>
        </is>
      </c>
      <c r="C9448" s="10" t="inlineStr">
        <is>
          <t>本線</t>
        </is>
      </c>
      <c r="D9448" s="10" t="inlineStr">
        <is>
          <t>上り</t>
        </is>
      </c>
      <c r="E9448" s="10" t="inlineStr">
        <is>
          <t>連0502</t>
        </is>
      </c>
      <c r="F9448" t="inlineStr">
        <is>
          <t>0201</t>
        </is>
      </c>
      <c r="G9448" s="10" t="inlineStr">
        <is>
          <t>帷子ノ辻</t>
        </is>
      </c>
      <c r="H9448" s="10" t="inlineStr">
        <is>
          <t>発</t>
        </is>
      </c>
      <c r="J9448" s="10" t="inlineStr">
        <is>
          <t>営業</t>
        </is>
      </c>
      <c r="L9448" t="inlineStr">
        <is>
          <t>6:00:10</t>
        </is>
      </c>
      <c r="M9448" t="inlineStr">
        <is>
          <t>6:01:15</t>
        </is>
      </c>
      <c r="N9448" t="inlineStr">
        <is>
          <t>○</t>
        </is>
      </c>
      <c r="P9448" t="inlineStr">
        <is>
          <t>A系統(朝)</t>
        </is>
      </c>
    </row>
    <row r="9449" ht="15" customHeight="1" s="37">
      <c r="A9449" t="n">
        <v>8</v>
      </c>
      <c r="B9449" s="10" t="inlineStr">
        <is>
          <t>平日</t>
        </is>
      </c>
      <c r="C9449" s="10" t="inlineStr">
        <is>
          <t>本線</t>
        </is>
      </c>
      <c r="D9449" s="10" t="inlineStr">
        <is>
          <t>上り</t>
        </is>
      </c>
      <c r="E9449" s="10" t="inlineStr">
        <is>
          <t>連0502</t>
        </is>
      </c>
      <c r="F9449" t="inlineStr">
        <is>
          <t>0201</t>
        </is>
      </c>
      <c r="G9449" s="10" t="inlineStr">
        <is>
          <t>太秦広隆寺</t>
        </is>
      </c>
      <c r="H9449" s="10" t="inlineStr">
        <is>
          <t>発</t>
        </is>
      </c>
      <c r="J9449" s="10" t="inlineStr">
        <is>
          <t>営業</t>
        </is>
      </c>
      <c r="L9449" t="inlineStr">
        <is>
          <t>6:03:25</t>
        </is>
      </c>
      <c r="M9449" t="inlineStr">
        <is>
          <t>6:03:45</t>
        </is>
      </c>
      <c r="P9449" t="inlineStr">
        <is>
          <t>A系統(朝)</t>
        </is>
      </c>
    </row>
    <row r="9450" ht="15" customHeight="1" s="37">
      <c r="A9450" t="n">
        <v>8</v>
      </c>
      <c r="B9450" s="10" t="inlineStr">
        <is>
          <t>平日</t>
        </is>
      </c>
      <c r="C9450" s="10" t="inlineStr">
        <is>
          <t>本線</t>
        </is>
      </c>
      <c r="D9450" s="10" t="inlineStr">
        <is>
          <t>上り</t>
        </is>
      </c>
      <c r="E9450" s="10" t="inlineStr">
        <is>
          <t>連0502</t>
        </is>
      </c>
      <c r="F9450" t="inlineStr">
        <is>
          <t>0201</t>
        </is>
      </c>
      <c r="G9450" s="10" t="inlineStr">
        <is>
          <t>蚕ノ社</t>
        </is>
      </c>
      <c r="H9450" s="10" t="inlineStr">
        <is>
          <t>発</t>
        </is>
      </c>
      <c r="J9450" s="10" t="inlineStr">
        <is>
          <t>営業</t>
        </is>
      </c>
      <c r="L9450" t="inlineStr">
        <is>
          <t>6:05:00</t>
        </is>
      </c>
      <c r="M9450" t="inlineStr">
        <is>
          <t>6:05:20</t>
        </is>
      </c>
      <c r="P9450" t="inlineStr">
        <is>
          <t>A系統(朝)</t>
        </is>
      </c>
    </row>
    <row r="9451" ht="15" customHeight="1" s="37">
      <c r="A9451" t="n">
        <v>8</v>
      </c>
      <c r="B9451" s="10" t="inlineStr">
        <is>
          <t>平日</t>
        </is>
      </c>
      <c r="C9451" s="10" t="inlineStr">
        <is>
          <t>本線</t>
        </is>
      </c>
      <c r="D9451" s="10" t="inlineStr">
        <is>
          <t>上り</t>
        </is>
      </c>
      <c r="E9451" s="10" t="inlineStr">
        <is>
          <t>連0502</t>
        </is>
      </c>
      <c r="F9451" t="inlineStr">
        <is>
          <t>0201</t>
        </is>
      </c>
      <c r="G9451" s="10" t="inlineStr">
        <is>
          <t>天神川</t>
        </is>
      </c>
      <c r="H9451" s="10" t="inlineStr">
        <is>
          <t>発</t>
        </is>
      </c>
      <c r="J9451" s="10" t="inlineStr">
        <is>
          <t>営業</t>
        </is>
      </c>
      <c r="L9451" t="inlineStr">
        <is>
          <t>6:06:05</t>
        </is>
      </c>
      <c r="M9451" t="inlineStr">
        <is>
          <t>6:06:50</t>
        </is>
      </c>
      <c r="P9451" t="inlineStr">
        <is>
          <t>A系統(朝)</t>
        </is>
      </c>
    </row>
    <row r="9452" ht="15" customHeight="1" s="37">
      <c r="A9452" t="n">
        <v>8</v>
      </c>
      <c r="B9452" s="10" t="inlineStr">
        <is>
          <t>平日</t>
        </is>
      </c>
      <c r="C9452" s="10" t="inlineStr">
        <is>
          <t>本線</t>
        </is>
      </c>
      <c r="D9452" s="10" t="inlineStr">
        <is>
          <t>上り</t>
        </is>
      </c>
      <c r="E9452" s="10" t="inlineStr">
        <is>
          <t>連0502</t>
        </is>
      </c>
      <c r="F9452" t="inlineStr">
        <is>
          <t>0201</t>
        </is>
      </c>
      <c r="G9452" s="10" t="inlineStr">
        <is>
          <t>山ノ内</t>
        </is>
      </c>
      <c r="H9452" s="10" t="inlineStr">
        <is>
          <t>発</t>
        </is>
      </c>
      <c r="J9452" s="10" t="inlineStr">
        <is>
          <t>営業</t>
        </is>
      </c>
      <c r="L9452" t="inlineStr">
        <is>
          <t>6:08:40</t>
        </is>
      </c>
      <c r="M9452" t="inlineStr">
        <is>
          <t>6:09:05</t>
        </is>
      </c>
      <c r="P9452" t="inlineStr">
        <is>
          <t>A系統(朝)</t>
        </is>
      </c>
    </row>
    <row r="9453" ht="15" customHeight="1" s="37">
      <c r="A9453" t="n">
        <v>8</v>
      </c>
      <c r="B9453" s="10" t="inlineStr">
        <is>
          <t>平日</t>
        </is>
      </c>
      <c r="C9453" s="10" t="inlineStr">
        <is>
          <t>本線</t>
        </is>
      </c>
      <c r="D9453" s="10" t="inlineStr">
        <is>
          <t>上り</t>
        </is>
      </c>
      <c r="E9453" s="10" t="inlineStr">
        <is>
          <t>連0502</t>
        </is>
      </c>
      <c r="F9453" t="inlineStr">
        <is>
          <t>0201</t>
        </is>
      </c>
      <c r="G9453" s="10" t="inlineStr">
        <is>
          <t>西大路三条</t>
        </is>
      </c>
      <c r="H9453" s="10" t="inlineStr">
        <is>
          <t>発</t>
        </is>
      </c>
      <c r="J9453" s="10" t="inlineStr">
        <is>
          <t>営業</t>
        </is>
      </c>
      <c r="L9453" t="inlineStr">
        <is>
          <t>6:10:55</t>
        </is>
      </c>
      <c r="M9453" t="inlineStr">
        <is>
          <t>6:11:15</t>
        </is>
      </c>
      <c r="P9453" t="inlineStr">
        <is>
          <t>A系統(朝)</t>
        </is>
      </c>
    </row>
    <row r="9454" ht="15" customHeight="1" s="37">
      <c r="A9454" t="n">
        <v>8</v>
      </c>
      <c r="B9454" s="10" t="inlineStr">
        <is>
          <t>平日</t>
        </is>
      </c>
      <c r="C9454" s="10" t="inlineStr">
        <is>
          <t>本線</t>
        </is>
      </c>
      <c r="D9454" s="10" t="inlineStr">
        <is>
          <t>上り</t>
        </is>
      </c>
      <c r="E9454" s="10" t="inlineStr">
        <is>
          <t>連0502</t>
        </is>
      </c>
      <c r="F9454" t="inlineStr">
        <is>
          <t>0201</t>
        </is>
      </c>
      <c r="G9454" s="10" t="inlineStr">
        <is>
          <t>西院</t>
        </is>
      </c>
      <c r="H9454" s="10" t="inlineStr">
        <is>
          <t>発</t>
        </is>
      </c>
      <c r="J9454" s="10" t="inlineStr">
        <is>
          <t>営業</t>
        </is>
      </c>
      <c r="L9454" t="inlineStr">
        <is>
          <t>6:13:10</t>
        </is>
      </c>
      <c r="M9454" t="inlineStr">
        <is>
          <t>6:14:05</t>
        </is>
      </c>
      <c r="P9454" t="inlineStr">
        <is>
          <t>A系統(朝)</t>
        </is>
      </c>
    </row>
    <row r="9455" ht="15" customHeight="1" s="37">
      <c r="A9455" t="n">
        <v>8</v>
      </c>
      <c r="B9455" s="10" t="inlineStr">
        <is>
          <t>平日</t>
        </is>
      </c>
      <c r="C9455" s="10" t="inlineStr">
        <is>
          <t>本線</t>
        </is>
      </c>
      <c r="D9455" s="10" t="inlineStr">
        <is>
          <t>上り</t>
        </is>
      </c>
      <c r="E9455" s="10" t="inlineStr">
        <is>
          <t>連0502</t>
        </is>
      </c>
      <c r="F9455" t="inlineStr">
        <is>
          <t>0201</t>
        </is>
      </c>
      <c r="G9455" s="10" t="inlineStr">
        <is>
          <t>四条大宮</t>
        </is>
      </c>
      <c r="H9455" s="10" t="inlineStr">
        <is>
          <t>着</t>
        </is>
      </c>
      <c r="J9455" s="10" t="inlineStr">
        <is>
          <t>営業</t>
        </is>
      </c>
      <c r="L9455" t="inlineStr">
        <is>
          <t>6:17:00</t>
        </is>
      </c>
      <c r="N9455" t="inlineStr">
        <is>
          <t>○</t>
        </is>
      </c>
      <c r="P9455" t="inlineStr">
        <is>
          <t>A系統(朝)</t>
        </is>
      </c>
      <c r="Q9455" t="inlineStr">
        <is>
          <t>1</t>
        </is>
      </c>
    </row>
    <row r="9456" ht="15" customHeight="1" s="37">
      <c r="A9456" t="n">
        <v>8</v>
      </c>
      <c r="B9456" s="10" t="inlineStr">
        <is>
          <t>平日</t>
        </is>
      </c>
      <c r="C9456" s="10" t="inlineStr">
        <is>
          <t>本線</t>
        </is>
      </c>
      <c r="D9456" s="10" t="inlineStr">
        <is>
          <t>下り</t>
        </is>
      </c>
      <c r="E9456" s="10" t="inlineStr">
        <is>
          <t>連0607</t>
        </is>
      </c>
      <c r="F9456" t="inlineStr">
        <is>
          <t>0102</t>
        </is>
      </c>
      <c r="G9456" s="10" t="inlineStr">
        <is>
          <t>四条大宮</t>
        </is>
      </c>
      <c r="H9456" s="10" t="inlineStr">
        <is>
          <t>発</t>
        </is>
      </c>
      <c r="J9456" s="10" t="inlineStr">
        <is>
          <t>営業</t>
        </is>
      </c>
      <c r="M9456" t="inlineStr">
        <is>
          <t>6:25:00</t>
        </is>
      </c>
      <c r="P9456" t="inlineStr">
        <is>
          <t>A系統(朝)</t>
        </is>
      </c>
      <c r="Q9456" t="inlineStr">
        <is>
          <t>1</t>
        </is>
      </c>
    </row>
    <row r="9457" ht="15" customHeight="1" s="37">
      <c r="A9457" t="n">
        <v>8</v>
      </c>
      <c r="B9457" s="10" t="inlineStr">
        <is>
          <t>平日</t>
        </is>
      </c>
      <c r="C9457" s="10" t="inlineStr">
        <is>
          <t>本線</t>
        </is>
      </c>
      <c r="D9457" s="10" t="inlineStr">
        <is>
          <t>下り</t>
        </is>
      </c>
      <c r="E9457" s="10" t="inlineStr">
        <is>
          <t>連0607</t>
        </is>
      </c>
      <c r="F9457" t="inlineStr">
        <is>
          <t>0102</t>
        </is>
      </c>
      <c r="G9457" s="10" t="inlineStr">
        <is>
          <t>西院</t>
        </is>
      </c>
      <c r="H9457" s="10" t="inlineStr">
        <is>
          <t>発</t>
        </is>
      </c>
      <c r="J9457" s="10" t="inlineStr">
        <is>
          <t>営業</t>
        </is>
      </c>
      <c r="L9457" t="inlineStr">
        <is>
          <t>6:27:50</t>
        </is>
      </c>
      <c r="M9457" t="inlineStr">
        <is>
          <t>6:28:20</t>
        </is>
      </c>
      <c r="P9457" t="inlineStr">
        <is>
          <t>A系統(朝)</t>
        </is>
      </c>
    </row>
    <row r="9458" ht="15" customHeight="1" s="37">
      <c r="A9458" t="n">
        <v>8</v>
      </c>
      <c r="B9458" s="10" t="inlineStr">
        <is>
          <t>平日</t>
        </is>
      </c>
      <c r="C9458" s="10" t="inlineStr">
        <is>
          <t>本線</t>
        </is>
      </c>
      <c r="D9458" s="10" t="inlineStr">
        <is>
          <t>下り</t>
        </is>
      </c>
      <c r="E9458" s="10" t="inlineStr">
        <is>
          <t>連0607</t>
        </is>
      </c>
      <c r="F9458" t="inlineStr">
        <is>
          <t>0102</t>
        </is>
      </c>
      <c r="G9458" s="10" t="inlineStr">
        <is>
          <t>西大路三条</t>
        </is>
      </c>
      <c r="H9458" s="10" t="inlineStr">
        <is>
          <t>発</t>
        </is>
      </c>
      <c r="J9458" s="10" t="inlineStr">
        <is>
          <t>営業</t>
        </is>
      </c>
      <c r="L9458" t="inlineStr">
        <is>
          <t>6:30:10</t>
        </is>
      </c>
      <c r="M9458" t="inlineStr">
        <is>
          <t>6:30:25</t>
        </is>
      </c>
      <c r="P9458" t="inlineStr">
        <is>
          <t>A系統(朝)</t>
        </is>
      </c>
    </row>
    <row r="9459" ht="15" customHeight="1" s="37">
      <c r="A9459" t="n">
        <v>8</v>
      </c>
      <c r="B9459" s="10" t="inlineStr">
        <is>
          <t>平日</t>
        </is>
      </c>
      <c r="C9459" s="10" t="inlineStr">
        <is>
          <t>本線</t>
        </is>
      </c>
      <c r="D9459" s="10" t="inlineStr">
        <is>
          <t>下り</t>
        </is>
      </c>
      <c r="E9459" s="10" t="inlineStr">
        <is>
          <t>連0607</t>
        </is>
      </c>
      <c r="F9459" t="inlineStr">
        <is>
          <t>0102</t>
        </is>
      </c>
      <c r="G9459" s="10" t="inlineStr">
        <is>
          <t>山ノ内</t>
        </is>
      </c>
      <c r="H9459" s="10" t="inlineStr">
        <is>
          <t>発</t>
        </is>
      </c>
      <c r="J9459" s="10" t="inlineStr">
        <is>
          <t>営業</t>
        </is>
      </c>
      <c r="L9459" t="inlineStr">
        <is>
          <t>6:32:20</t>
        </is>
      </c>
      <c r="M9459" t="inlineStr">
        <is>
          <t>6:32:45</t>
        </is>
      </c>
      <c r="P9459" t="inlineStr">
        <is>
          <t>A系統(朝)</t>
        </is>
      </c>
    </row>
    <row r="9460" ht="15" customHeight="1" s="37">
      <c r="A9460" t="n">
        <v>8</v>
      </c>
      <c r="B9460" s="10" t="inlineStr">
        <is>
          <t>平日</t>
        </is>
      </c>
      <c r="C9460" s="10" t="inlineStr">
        <is>
          <t>本線</t>
        </is>
      </c>
      <c r="D9460" s="10" t="inlineStr">
        <is>
          <t>下り</t>
        </is>
      </c>
      <c r="E9460" s="10" t="inlineStr">
        <is>
          <t>連0607</t>
        </is>
      </c>
      <c r="F9460" t="inlineStr">
        <is>
          <t>0102</t>
        </is>
      </c>
      <c r="G9460" s="10" t="inlineStr">
        <is>
          <t>天神川</t>
        </is>
      </c>
      <c r="H9460" s="10" t="inlineStr">
        <is>
          <t>発</t>
        </is>
      </c>
      <c r="J9460" s="10" t="inlineStr">
        <is>
          <t>営業</t>
        </is>
      </c>
      <c r="L9460" t="inlineStr">
        <is>
          <t>6:34:45</t>
        </is>
      </c>
      <c r="M9460" t="inlineStr">
        <is>
          <t>6:35:10</t>
        </is>
      </c>
      <c r="P9460" t="inlineStr">
        <is>
          <t>A系統(朝)</t>
        </is>
      </c>
    </row>
    <row r="9461" ht="15" customHeight="1" s="37">
      <c r="A9461" t="n">
        <v>8</v>
      </c>
      <c r="B9461" s="10" t="inlineStr">
        <is>
          <t>平日</t>
        </is>
      </c>
      <c r="C9461" s="10" t="inlineStr">
        <is>
          <t>本線</t>
        </is>
      </c>
      <c r="D9461" s="10" t="inlineStr">
        <is>
          <t>下り</t>
        </is>
      </c>
      <c r="E9461" s="10" t="inlineStr">
        <is>
          <t>連0607</t>
        </is>
      </c>
      <c r="F9461" t="inlineStr">
        <is>
          <t>0102</t>
        </is>
      </c>
      <c r="G9461" s="10" t="inlineStr">
        <is>
          <t>蚕ノ社</t>
        </is>
      </c>
      <c r="H9461" s="10" t="inlineStr">
        <is>
          <t>発</t>
        </is>
      </c>
      <c r="J9461" s="10" t="inlineStr">
        <is>
          <t>営業</t>
        </is>
      </c>
      <c r="L9461" t="inlineStr">
        <is>
          <t>6:36:00</t>
        </is>
      </c>
      <c r="M9461" t="inlineStr">
        <is>
          <t>6:36:15</t>
        </is>
      </c>
      <c r="P9461" t="inlineStr">
        <is>
          <t>A系統(朝)</t>
        </is>
      </c>
    </row>
    <row r="9462" ht="15" customHeight="1" s="37">
      <c r="A9462" t="n">
        <v>8</v>
      </c>
      <c r="B9462" s="10" t="inlineStr">
        <is>
          <t>平日</t>
        </is>
      </c>
      <c r="C9462" s="10" t="inlineStr">
        <is>
          <t>本線</t>
        </is>
      </c>
      <c r="D9462" s="10" t="inlineStr">
        <is>
          <t>下り</t>
        </is>
      </c>
      <c r="E9462" s="10" t="inlineStr">
        <is>
          <t>連0607</t>
        </is>
      </c>
      <c r="F9462" t="inlineStr">
        <is>
          <t>0102</t>
        </is>
      </c>
      <c r="G9462" s="10" t="inlineStr">
        <is>
          <t>太秦広隆寺</t>
        </is>
      </c>
      <c r="H9462" s="10" t="inlineStr">
        <is>
          <t>発</t>
        </is>
      </c>
      <c r="J9462" s="10" t="inlineStr">
        <is>
          <t>営業</t>
        </is>
      </c>
      <c r="L9462" t="inlineStr">
        <is>
          <t>6:37:35</t>
        </is>
      </c>
      <c r="M9462" t="inlineStr">
        <is>
          <t>6:37:50</t>
        </is>
      </c>
      <c r="P9462" t="inlineStr">
        <is>
          <t>A系統(朝)</t>
        </is>
      </c>
    </row>
    <row r="9463" ht="15" customHeight="1" s="37">
      <c r="A9463" t="n">
        <v>8</v>
      </c>
      <c r="B9463" s="10" t="inlineStr">
        <is>
          <t>平日</t>
        </is>
      </c>
      <c r="C9463" s="10" t="inlineStr">
        <is>
          <t>本線</t>
        </is>
      </c>
      <c r="D9463" s="10" t="inlineStr">
        <is>
          <t>下り</t>
        </is>
      </c>
      <c r="E9463" s="10" t="inlineStr">
        <is>
          <t>連0607</t>
        </is>
      </c>
      <c r="F9463" t="inlineStr">
        <is>
          <t>0102</t>
        </is>
      </c>
      <c r="G9463" s="10" t="inlineStr">
        <is>
          <t>帷子ノ辻</t>
        </is>
      </c>
      <c r="H9463" s="10" t="inlineStr">
        <is>
          <t>発</t>
        </is>
      </c>
      <c r="J9463" s="10" t="inlineStr">
        <is>
          <t>営業</t>
        </is>
      </c>
      <c r="L9463" t="inlineStr">
        <is>
          <t>6:39:50</t>
        </is>
      </c>
      <c r="M9463" t="inlineStr">
        <is>
          <t>6:40:20</t>
        </is>
      </c>
      <c r="N9463" t="inlineStr">
        <is>
          <t>○</t>
        </is>
      </c>
      <c r="P9463" t="inlineStr">
        <is>
          <t>A系統(朝)</t>
        </is>
      </c>
    </row>
    <row r="9464" ht="15" customHeight="1" s="37">
      <c r="A9464" t="n">
        <v>8</v>
      </c>
      <c r="B9464" s="10" t="inlineStr">
        <is>
          <t>平日</t>
        </is>
      </c>
      <c r="C9464" s="10" t="inlineStr">
        <is>
          <t>本線</t>
        </is>
      </c>
      <c r="D9464" s="10" t="inlineStr">
        <is>
          <t>下り</t>
        </is>
      </c>
      <c r="E9464" s="10" t="inlineStr">
        <is>
          <t>連0607</t>
        </is>
      </c>
      <c r="F9464" t="inlineStr">
        <is>
          <t>0102</t>
        </is>
      </c>
      <c r="G9464" s="10" t="inlineStr">
        <is>
          <t>有栖川</t>
        </is>
      </c>
      <c r="H9464" s="10" t="inlineStr">
        <is>
          <t>発</t>
        </is>
      </c>
      <c r="J9464" s="10" t="inlineStr">
        <is>
          <t>営業</t>
        </is>
      </c>
      <c r="L9464" t="inlineStr">
        <is>
          <t>6:41:30</t>
        </is>
      </c>
      <c r="M9464" t="inlineStr">
        <is>
          <t>6:41:45</t>
        </is>
      </c>
      <c r="P9464" t="inlineStr">
        <is>
          <t>A系統(朝)</t>
        </is>
      </c>
    </row>
    <row r="9465" ht="15" customHeight="1" s="37">
      <c r="A9465" t="n">
        <v>8</v>
      </c>
      <c r="B9465" s="10" t="inlineStr">
        <is>
          <t>平日</t>
        </is>
      </c>
      <c r="C9465" s="10" t="inlineStr">
        <is>
          <t>本線</t>
        </is>
      </c>
      <c r="D9465" s="10" t="inlineStr">
        <is>
          <t>下り</t>
        </is>
      </c>
      <c r="E9465" s="10" t="inlineStr">
        <is>
          <t>連0607</t>
        </is>
      </c>
      <c r="F9465" t="inlineStr">
        <is>
          <t>0102</t>
        </is>
      </c>
      <c r="G9465" s="10" t="inlineStr">
        <is>
          <t>車折</t>
        </is>
      </c>
      <c r="H9465" s="10" t="inlineStr">
        <is>
          <t>発</t>
        </is>
      </c>
      <c r="J9465" s="10" t="inlineStr">
        <is>
          <t>営業</t>
        </is>
      </c>
      <c r="L9465" t="inlineStr">
        <is>
          <t>6:43:10</t>
        </is>
      </c>
      <c r="M9465" t="inlineStr">
        <is>
          <t>6:43:25</t>
        </is>
      </c>
      <c r="P9465" t="inlineStr">
        <is>
          <t>A系統(朝)</t>
        </is>
      </c>
    </row>
    <row r="9466" ht="15" customHeight="1" s="37">
      <c r="A9466" t="n">
        <v>8</v>
      </c>
      <c r="B9466" s="10" t="inlineStr">
        <is>
          <t>平日</t>
        </is>
      </c>
      <c r="C9466" s="10" t="inlineStr">
        <is>
          <t>本線</t>
        </is>
      </c>
      <c r="D9466" s="10" t="inlineStr">
        <is>
          <t>下り</t>
        </is>
      </c>
      <c r="E9466" s="10" t="inlineStr">
        <is>
          <t>連0607</t>
        </is>
      </c>
      <c r="F9466" t="inlineStr">
        <is>
          <t>0102</t>
        </is>
      </c>
      <c r="G9466" s="10" t="inlineStr">
        <is>
          <t>鹿王院</t>
        </is>
      </c>
      <c r="H9466" s="10" t="inlineStr">
        <is>
          <t>発</t>
        </is>
      </c>
      <c r="J9466" s="10" t="inlineStr">
        <is>
          <t>営業</t>
        </is>
      </c>
      <c r="L9466" t="inlineStr">
        <is>
          <t>6:44:20</t>
        </is>
      </c>
      <c r="M9466" t="inlineStr">
        <is>
          <t>6:44:35</t>
        </is>
      </c>
      <c r="P9466" t="inlineStr">
        <is>
          <t>A系統(朝)</t>
        </is>
      </c>
    </row>
    <row r="9467" ht="15" customHeight="1" s="37">
      <c r="A9467" t="n">
        <v>8</v>
      </c>
      <c r="B9467" s="10" t="inlineStr">
        <is>
          <t>平日</t>
        </is>
      </c>
      <c r="C9467" s="10" t="inlineStr">
        <is>
          <t>本線</t>
        </is>
      </c>
      <c r="D9467" s="10" t="inlineStr">
        <is>
          <t>下り</t>
        </is>
      </c>
      <c r="E9467" s="10" t="inlineStr">
        <is>
          <t>連0607</t>
        </is>
      </c>
      <c r="F9467" t="inlineStr">
        <is>
          <t>0102</t>
        </is>
      </c>
      <c r="G9467" s="10" t="inlineStr">
        <is>
          <t>嵯峨</t>
        </is>
      </c>
      <c r="H9467" s="10" t="inlineStr">
        <is>
          <t>発</t>
        </is>
      </c>
      <c r="J9467" s="10" t="inlineStr">
        <is>
          <t>営業</t>
        </is>
      </c>
      <c r="L9467" t="inlineStr">
        <is>
          <t>6:45:40</t>
        </is>
      </c>
      <c r="M9467" t="inlineStr">
        <is>
          <t>6:45:55</t>
        </is>
      </c>
      <c r="P9467" t="inlineStr">
        <is>
          <t>A系統(朝)</t>
        </is>
      </c>
    </row>
    <row r="9468" ht="15" customHeight="1" s="37">
      <c r="A9468" t="n">
        <v>8</v>
      </c>
      <c r="B9468" s="10" t="inlineStr">
        <is>
          <t>平日</t>
        </is>
      </c>
      <c r="C9468" s="10" t="inlineStr">
        <is>
          <t>本線</t>
        </is>
      </c>
      <c r="D9468" s="10" t="inlineStr">
        <is>
          <t>下り</t>
        </is>
      </c>
      <c r="E9468" s="10" t="inlineStr">
        <is>
          <t>連0607</t>
        </is>
      </c>
      <c r="F9468" t="inlineStr">
        <is>
          <t>0102</t>
        </is>
      </c>
      <c r="G9468" s="10" t="inlineStr">
        <is>
          <t>嵐山</t>
        </is>
      </c>
      <c r="H9468" s="10" t="inlineStr">
        <is>
          <t>着</t>
        </is>
      </c>
      <c r="J9468" s="10" t="inlineStr">
        <is>
          <t>営業</t>
        </is>
      </c>
      <c r="L9468" t="inlineStr">
        <is>
          <t>6:47:00</t>
        </is>
      </c>
      <c r="N9468" t="inlineStr">
        <is>
          <t>○</t>
        </is>
      </c>
      <c r="P9468" t="inlineStr">
        <is>
          <t>A系統(朝)</t>
        </is>
      </c>
      <c r="Q9468" t="inlineStr">
        <is>
          <t>1</t>
        </is>
      </c>
    </row>
    <row r="9469" ht="15" customHeight="1" s="37">
      <c r="A9469" t="n">
        <v>8</v>
      </c>
      <c r="B9469" s="10" t="inlineStr">
        <is>
          <t>平日</t>
        </is>
      </c>
      <c r="C9469" s="10" t="inlineStr">
        <is>
          <t>本線</t>
        </is>
      </c>
      <c r="D9469" s="10" t="inlineStr">
        <is>
          <t>上り</t>
        </is>
      </c>
      <c r="E9469" s="10" t="inlineStr">
        <is>
          <t>連0702</t>
        </is>
      </c>
      <c r="F9469" t="inlineStr">
        <is>
          <t>2221</t>
        </is>
      </c>
      <c r="G9469" s="10" t="inlineStr">
        <is>
          <t>嵐山</t>
        </is>
      </c>
      <c r="H9469" s="10" t="inlineStr">
        <is>
          <t>発</t>
        </is>
      </c>
      <c r="J9469" s="10" t="inlineStr">
        <is>
          <t>営業</t>
        </is>
      </c>
      <c r="M9469" t="inlineStr">
        <is>
          <t>7:01:00</t>
        </is>
      </c>
      <c r="P9469" t="inlineStr">
        <is>
          <t>A系統(朝)</t>
        </is>
      </c>
      <c r="Q9469" t="inlineStr">
        <is>
          <t>1</t>
        </is>
      </c>
    </row>
    <row r="9470" ht="15" customHeight="1" s="37">
      <c r="A9470" t="n">
        <v>8</v>
      </c>
      <c r="B9470" s="10" t="inlineStr">
        <is>
          <t>平日</t>
        </is>
      </c>
      <c r="C9470" s="10" t="inlineStr">
        <is>
          <t>本線</t>
        </is>
      </c>
      <c r="D9470" s="10" t="inlineStr">
        <is>
          <t>上り</t>
        </is>
      </c>
      <c r="E9470" s="10" t="inlineStr">
        <is>
          <t>連0702</t>
        </is>
      </c>
      <c r="F9470" t="inlineStr">
        <is>
          <t>2221</t>
        </is>
      </c>
      <c r="G9470" s="10" t="inlineStr">
        <is>
          <t>嵯峨</t>
        </is>
      </c>
      <c r="H9470" s="10" t="inlineStr">
        <is>
          <t>発</t>
        </is>
      </c>
      <c r="J9470" s="10" t="inlineStr">
        <is>
          <t>営業</t>
        </is>
      </c>
      <c r="L9470" t="inlineStr">
        <is>
          <t>7:01:55</t>
        </is>
      </c>
      <c r="M9470" t="inlineStr">
        <is>
          <t>7:02:20</t>
        </is>
      </c>
      <c r="P9470" t="inlineStr">
        <is>
          <t>A系統(朝)</t>
        </is>
      </c>
    </row>
    <row r="9471" ht="15" customHeight="1" s="37">
      <c r="A9471" t="n">
        <v>8</v>
      </c>
      <c r="B9471" s="10" t="inlineStr">
        <is>
          <t>平日</t>
        </is>
      </c>
      <c r="C9471" s="10" t="inlineStr">
        <is>
          <t>本線</t>
        </is>
      </c>
      <c r="D9471" s="10" t="inlineStr">
        <is>
          <t>上り</t>
        </is>
      </c>
      <c r="E9471" s="10" t="inlineStr">
        <is>
          <t>連0702</t>
        </is>
      </c>
      <c r="F9471" t="inlineStr">
        <is>
          <t>2221</t>
        </is>
      </c>
      <c r="G9471" s="10" t="inlineStr">
        <is>
          <t>鹿王院</t>
        </is>
      </c>
      <c r="H9471" s="10" t="inlineStr">
        <is>
          <t>発</t>
        </is>
      </c>
      <c r="J9471" s="10" t="inlineStr">
        <is>
          <t>営業</t>
        </is>
      </c>
      <c r="L9471" t="inlineStr">
        <is>
          <t>7:03:25</t>
        </is>
      </c>
      <c r="M9471" t="inlineStr">
        <is>
          <t>7:03:45</t>
        </is>
      </c>
      <c r="P9471" t="inlineStr">
        <is>
          <t>A系統(朝)</t>
        </is>
      </c>
    </row>
    <row r="9472" ht="15" customHeight="1" s="37">
      <c r="A9472" t="n">
        <v>8</v>
      </c>
      <c r="B9472" s="10" t="inlineStr">
        <is>
          <t>平日</t>
        </is>
      </c>
      <c r="C9472" s="10" t="inlineStr">
        <is>
          <t>本線</t>
        </is>
      </c>
      <c r="D9472" s="10" t="inlineStr">
        <is>
          <t>上り</t>
        </is>
      </c>
      <c r="E9472" s="10" t="inlineStr">
        <is>
          <t>連0702</t>
        </is>
      </c>
      <c r="F9472" t="inlineStr">
        <is>
          <t>2221</t>
        </is>
      </c>
      <c r="G9472" s="10" t="inlineStr">
        <is>
          <t>車折</t>
        </is>
      </c>
      <c r="H9472" s="10" t="inlineStr">
        <is>
          <t>発</t>
        </is>
      </c>
      <c r="J9472" s="10" t="inlineStr">
        <is>
          <t>営業</t>
        </is>
      </c>
      <c r="L9472" t="inlineStr">
        <is>
          <t>7:04:40</t>
        </is>
      </c>
      <c r="M9472" t="inlineStr">
        <is>
          <t>7:05:10</t>
        </is>
      </c>
      <c r="P9472" t="inlineStr">
        <is>
          <t>A系統(朝)</t>
        </is>
      </c>
    </row>
    <row r="9473" ht="15" customHeight="1" s="37">
      <c r="A9473" t="n">
        <v>8</v>
      </c>
      <c r="B9473" s="10" t="inlineStr">
        <is>
          <t>平日</t>
        </is>
      </c>
      <c r="C9473" s="10" t="inlineStr">
        <is>
          <t>本線</t>
        </is>
      </c>
      <c r="D9473" s="10" t="inlineStr">
        <is>
          <t>上り</t>
        </is>
      </c>
      <c r="E9473" s="10" t="inlineStr">
        <is>
          <t>連0702</t>
        </is>
      </c>
      <c r="F9473" t="inlineStr">
        <is>
          <t>2221</t>
        </is>
      </c>
      <c r="G9473" s="10" t="inlineStr">
        <is>
          <t>有栖川</t>
        </is>
      </c>
      <c r="H9473" s="10" t="inlineStr">
        <is>
          <t>発</t>
        </is>
      </c>
      <c r="J9473" s="10" t="inlineStr">
        <is>
          <t>営業</t>
        </is>
      </c>
      <c r="L9473" t="inlineStr">
        <is>
          <t>7:06:35</t>
        </is>
      </c>
      <c r="M9473" t="inlineStr">
        <is>
          <t>7:06:55</t>
        </is>
      </c>
      <c r="P9473" t="inlineStr">
        <is>
          <t>A系統(朝)</t>
        </is>
      </c>
    </row>
    <row r="9474" ht="15" customHeight="1" s="37">
      <c r="A9474" t="n">
        <v>8</v>
      </c>
      <c r="B9474" s="10" t="inlineStr">
        <is>
          <t>平日</t>
        </is>
      </c>
      <c r="C9474" s="10" t="inlineStr">
        <is>
          <t>本線</t>
        </is>
      </c>
      <c r="D9474" s="10" t="inlineStr">
        <is>
          <t>上り</t>
        </is>
      </c>
      <c r="E9474" s="10" t="inlineStr">
        <is>
          <t>連0702</t>
        </is>
      </c>
      <c r="F9474" t="inlineStr">
        <is>
          <t>2221</t>
        </is>
      </c>
      <c r="G9474" s="10" t="inlineStr">
        <is>
          <t>帷子ノ辻</t>
        </is>
      </c>
      <c r="H9474" s="10" t="inlineStr">
        <is>
          <t>発</t>
        </is>
      </c>
      <c r="J9474" s="10" t="inlineStr">
        <is>
          <t>営業</t>
        </is>
      </c>
      <c r="L9474" t="inlineStr">
        <is>
          <t>7:08:10</t>
        </is>
      </c>
      <c r="M9474" t="inlineStr">
        <is>
          <t>7:09:15</t>
        </is>
      </c>
      <c r="P9474" t="inlineStr">
        <is>
          <t>A系統(朝)</t>
        </is>
      </c>
    </row>
    <row r="9475" ht="15" customHeight="1" s="37">
      <c r="A9475" t="n">
        <v>8</v>
      </c>
      <c r="B9475" s="10" t="inlineStr">
        <is>
          <t>平日</t>
        </is>
      </c>
      <c r="C9475" s="10" t="inlineStr">
        <is>
          <t>本線</t>
        </is>
      </c>
      <c r="D9475" s="10" t="inlineStr">
        <is>
          <t>上り</t>
        </is>
      </c>
      <c r="E9475" s="10" t="inlineStr">
        <is>
          <t>連0702</t>
        </is>
      </c>
      <c r="F9475" t="inlineStr">
        <is>
          <t>2221</t>
        </is>
      </c>
      <c r="G9475" s="10" t="inlineStr">
        <is>
          <t>太秦広隆寺</t>
        </is>
      </c>
      <c r="H9475" s="10" t="inlineStr">
        <is>
          <t>発</t>
        </is>
      </c>
      <c r="J9475" s="10" t="inlineStr">
        <is>
          <t>営業</t>
        </is>
      </c>
      <c r="L9475" t="inlineStr">
        <is>
          <t>7:11:25</t>
        </is>
      </c>
      <c r="M9475" t="inlineStr">
        <is>
          <t>7:11:45</t>
        </is>
      </c>
      <c r="P9475" t="inlineStr">
        <is>
          <t>A系統(朝)</t>
        </is>
      </c>
    </row>
    <row r="9476" ht="15" customHeight="1" s="37">
      <c r="A9476" t="n">
        <v>8</v>
      </c>
      <c r="B9476" s="10" t="inlineStr">
        <is>
          <t>平日</t>
        </is>
      </c>
      <c r="C9476" s="10" t="inlineStr">
        <is>
          <t>本線</t>
        </is>
      </c>
      <c r="D9476" s="10" t="inlineStr">
        <is>
          <t>上り</t>
        </is>
      </c>
      <c r="E9476" s="10" t="inlineStr">
        <is>
          <t>連0702</t>
        </is>
      </c>
      <c r="F9476" t="inlineStr">
        <is>
          <t>2221</t>
        </is>
      </c>
      <c r="G9476" s="10" t="inlineStr">
        <is>
          <t>蚕ノ社</t>
        </is>
      </c>
      <c r="H9476" s="10" t="inlineStr">
        <is>
          <t>発</t>
        </is>
      </c>
      <c r="J9476" s="10" t="inlineStr">
        <is>
          <t>営業</t>
        </is>
      </c>
      <c r="L9476" t="inlineStr">
        <is>
          <t>7:13:00</t>
        </is>
      </c>
      <c r="M9476" t="inlineStr">
        <is>
          <t>7:13:20</t>
        </is>
      </c>
      <c r="P9476" t="inlineStr">
        <is>
          <t>A系統(朝)</t>
        </is>
      </c>
    </row>
    <row r="9477" ht="15" customHeight="1" s="37">
      <c r="A9477" t="n">
        <v>8</v>
      </c>
      <c r="B9477" s="10" t="inlineStr">
        <is>
          <t>平日</t>
        </is>
      </c>
      <c r="C9477" s="10" t="inlineStr">
        <is>
          <t>本線</t>
        </is>
      </c>
      <c r="D9477" s="10" t="inlineStr">
        <is>
          <t>上り</t>
        </is>
      </c>
      <c r="E9477" s="10" t="inlineStr">
        <is>
          <t>連0702</t>
        </is>
      </c>
      <c r="F9477" t="inlineStr">
        <is>
          <t>2221</t>
        </is>
      </c>
      <c r="G9477" s="10" t="inlineStr">
        <is>
          <t>天神川</t>
        </is>
      </c>
      <c r="H9477" s="10" t="inlineStr">
        <is>
          <t>発</t>
        </is>
      </c>
      <c r="J9477" s="10" t="inlineStr">
        <is>
          <t>営業</t>
        </is>
      </c>
      <c r="L9477" t="inlineStr">
        <is>
          <t>7:14:05</t>
        </is>
      </c>
      <c r="M9477" t="inlineStr">
        <is>
          <t>7:14:50</t>
        </is>
      </c>
      <c r="P9477" t="inlineStr">
        <is>
          <t>A系統(朝)</t>
        </is>
      </c>
    </row>
    <row r="9478" ht="15" customHeight="1" s="37">
      <c r="A9478" t="n">
        <v>8</v>
      </c>
      <c r="B9478" s="10" t="inlineStr">
        <is>
          <t>平日</t>
        </is>
      </c>
      <c r="C9478" s="10" t="inlineStr">
        <is>
          <t>本線</t>
        </is>
      </c>
      <c r="D9478" s="10" t="inlineStr">
        <is>
          <t>上り</t>
        </is>
      </c>
      <c r="E9478" s="10" t="inlineStr">
        <is>
          <t>連0702</t>
        </is>
      </c>
      <c r="F9478" t="inlineStr">
        <is>
          <t>2221</t>
        </is>
      </c>
      <c r="G9478" s="10" t="inlineStr">
        <is>
          <t>山ノ内</t>
        </is>
      </c>
      <c r="H9478" s="10" t="inlineStr">
        <is>
          <t>発</t>
        </is>
      </c>
      <c r="J9478" s="10" t="inlineStr">
        <is>
          <t>営業</t>
        </is>
      </c>
      <c r="L9478" t="inlineStr">
        <is>
          <t>7:16:40</t>
        </is>
      </c>
      <c r="M9478" t="inlineStr">
        <is>
          <t>7:17:05</t>
        </is>
      </c>
      <c r="P9478" t="inlineStr">
        <is>
          <t>A系統(朝)</t>
        </is>
      </c>
    </row>
    <row r="9479" ht="15" customHeight="1" s="37">
      <c r="A9479" t="n">
        <v>8</v>
      </c>
      <c r="B9479" s="10" t="inlineStr">
        <is>
          <t>平日</t>
        </is>
      </c>
      <c r="C9479" s="10" t="inlineStr">
        <is>
          <t>本線</t>
        </is>
      </c>
      <c r="D9479" s="10" t="inlineStr">
        <is>
          <t>上り</t>
        </is>
      </c>
      <c r="E9479" s="10" t="inlineStr">
        <is>
          <t>連0702</t>
        </is>
      </c>
      <c r="F9479" t="inlineStr">
        <is>
          <t>2221</t>
        </is>
      </c>
      <c r="G9479" s="10" t="inlineStr">
        <is>
          <t>西大路三条</t>
        </is>
      </c>
      <c r="H9479" s="10" t="inlineStr">
        <is>
          <t>発</t>
        </is>
      </c>
      <c r="J9479" s="10" t="inlineStr">
        <is>
          <t>営業</t>
        </is>
      </c>
      <c r="L9479" t="inlineStr">
        <is>
          <t>7:18:55</t>
        </is>
      </c>
      <c r="M9479" t="inlineStr">
        <is>
          <t>7:19:15</t>
        </is>
      </c>
      <c r="P9479" t="inlineStr">
        <is>
          <t>A系統(朝)</t>
        </is>
      </c>
    </row>
    <row r="9480" ht="15" customHeight="1" s="37">
      <c r="A9480" t="n">
        <v>8</v>
      </c>
      <c r="B9480" s="10" t="inlineStr">
        <is>
          <t>平日</t>
        </is>
      </c>
      <c r="C9480" s="10" t="inlineStr">
        <is>
          <t>本線</t>
        </is>
      </c>
      <c r="D9480" s="10" t="inlineStr">
        <is>
          <t>上り</t>
        </is>
      </c>
      <c r="E9480" s="10" t="inlineStr">
        <is>
          <t>連0702</t>
        </is>
      </c>
      <c r="F9480" t="inlineStr">
        <is>
          <t>2221</t>
        </is>
      </c>
      <c r="G9480" s="10" t="inlineStr">
        <is>
          <t>西院</t>
        </is>
      </c>
      <c r="H9480" s="10" t="inlineStr">
        <is>
          <t>発</t>
        </is>
      </c>
      <c r="J9480" s="10" t="inlineStr">
        <is>
          <t>営業</t>
        </is>
      </c>
      <c r="L9480" t="inlineStr">
        <is>
          <t>7:21:10</t>
        </is>
      </c>
      <c r="M9480" t="inlineStr">
        <is>
          <t>7:22:05</t>
        </is>
      </c>
      <c r="P9480" t="inlineStr">
        <is>
          <t>A系統(朝)</t>
        </is>
      </c>
    </row>
    <row r="9481" ht="15" customHeight="1" s="37">
      <c r="A9481" t="n">
        <v>8</v>
      </c>
      <c r="B9481" s="10" t="inlineStr">
        <is>
          <t>平日</t>
        </is>
      </c>
      <c r="C9481" s="10" t="inlineStr">
        <is>
          <t>本線</t>
        </is>
      </c>
      <c r="D9481" s="10" t="inlineStr">
        <is>
          <t>上り</t>
        </is>
      </c>
      <c r="E9481" s="10" t="inlineStr">
        <is>
          <t>連0702</t>
        </is>
      </c>
      <c r="F9481" t="inlineStr">
        <is>
          <t>2221</t>
        </is>
      </c>
      <c r="G9481" s="10" t="inlineStr">
        <is>
          <t>四条大宮</t>
        </is>
      </c>
      <c r="H9481" s="10" t="inlineStr">
        <is>
          <t>着</t>
        </is>
      </c>
      <c r="J9481" s="10" t="inlineStr">
        <is>
          <t>営業</t>
        </is>
      </c>
      <c r="L9481" t="inlineStr">
        <is>
          <t>7:25:00</t>
        </is>
      </c>
      <c r="P9481" t="inlineStr">
        <is>
          <t>A系統(朝)</t>
        </is>
      </c>
      <c r="Q9481" t="inlineStr">
        <is>
          <t>1</t>
        </is>
      </c>
    </row>
    <row r="9482" ht="15" customHeight="1" s="37">
      <c r="A9482" t="n">
        <v>8</v>
      </c>
      <c r="B9482" s="10" t="inlineStr">
        <is>
          <t>平日</t>
        </is>
      </c>
      <c r="C9482" s="10" t="inlineStr">
        <is>
          <t>本線</t>
        </is>
      </c>
      <c r="D9482" s="10" t="inlineStr">
        <is>
          <t>下り</t>
        </is>
      </c>
      <c r="E9482" s="10" t="inlineStr">
        <is>
          <t>連0709</t>
        </is>
      </c>
      <c r="F9482" t="inlineStr">
        <is>
          <t>0122</t>
        </is>
      </c>
      <c r="G9482" s="10" t="inlineStr">
        <is>
          <t>四条大宮</t>
        </is>
      </c>
      <c r="H9482" s="10" t="inlineStr">
        <is>
          <t>発</t>
        </is>
      </c>
      <c r="J9482" s="10" t="inlineStr">
        <is>
          <t>営業</t>
        </is>
      </c>
      <c r="M9482" t="inlineStr">
        <is>
          <t>7:32:00</t>
        </is>
      </c>
      <c r="P9482" t="inlineStr">
        <is>
          <t>A系統(朝)</t>
        </is>
      </c>
      <c r="Q9482" t="inlineStr">
        <is>
          <t>1</t>
        </is>
      </c>
    </row>
    <row r="9483" ht="15" customHeight="1" s="37">
      <c r="A9483" t="n">
        <v>8</v>
      </c>
      <c r="B9483" s="10" t="inlineStr">
        <is>
          <t>平日</t>
        </is>
      </c>
      <c r="C9483" s="10" t="inlineStr">
        <is>
          <t>本線</t>
        </is>
      </c>
      <c r="D9483" s="10" t="inlineStr">
        <is>
          <t>下り</t>
        </is>
      </c>
      <c r="E9483" s="10" t="inlineStr">
        <is>
          <t>連0709</t>
        </is>
      </c>
      <c r="F9483" t="inlineStr">
        <is>
          <t>0122</t>
        </is>
      </c>
      <c r="G9483" s="10" t="inlineStr">
        <is>
          <t>西院</t>
        </is>
      </c>
      <c r="H9483" s="10" t="inlineStr">
        <is>
          <t>発</t>
        </is>
      </c>
      <c r="J9483" s="10" t="inlineStr">
        <is>
          <t>営業</t>
        </is>
      </c>
      <c r="L9483" t="inlineStr">
        <is>
          <t>7:34:50</t>
        </is>
      </c>
      <c r="M9483" t="inlineStr">
        <is>
          <t>7:35:20</t>
        </is>
      </c>
      <c r="P9483" t="inlineStr">
        <is>
          <t>A系統(朝)</t>
        </is>
      </c>
    </row>
    <row r="9484" ht="15" customHeight="1" s="37">
      <c r="A9484" t="n">
        <v>8</v>
      </c>
      <c r="B9484" s="10" t="inlineStr">
        <is>
          <t>平日</t>
        </is>
      </c>
      <c r="C9484" s="10" t="inlineStr">
        <is>
          <t>本線</t>
        </is>
      </c>
      <c r="D9484" s="10" t="inlineStr">
        <is>
          <t>下り</t>
        </is>
      </c>
      <c r="E9484" s="10" t="inlineStr">
        <is>
          <t>連0709</t>
        </is>
      </c>
      <c r="F9484" t="inlineStr">
        <is>
          <t>0122</t>
        </is>
      </c>
      <c r="G9484" s="10" t="inlineStr">
        <is>
          <t>西大路三条</t>
        </is>
      </c>
      <c r="H9484" s="10" t="inlineStr">
        <is>
          <t>発</t>
        </is>
      </c>
      <c r="J9484" s="10" t="inlineStr">
        <is>
          <t>営業</t>
        </is>
      </c>
      <c r="L9484" t="inlineStr">
        <is>
          <t>7:37:10</t>
        </is>
      </c>
      <c r="M9484" t="inlineStr">
        <is>
          <t>7:37:30</t>
        </is>
      </c>
      <c r="P9484" t="inlineStr">
        <is>
          <t>A系統(朝)</t>
        </is>
      </c>
    </row>
    <row r="9485" ht="15" customHeight="1" s="37">
      <c r="A9485" t="n">
        <v>8</v>
      </c>
      <c r="B9485" s="10" t="inlineStr">
        <is>
          <t>平日</t>
        </is>
      </c>
      <c r="C9485" s="10" t="inlineStr">
        <is>
          <t>本線</t>
        </is>
      </c>
      <c r="D9485" s="10" t="inlineStr">
        <is>
          <t>下り</t>
        </is>
      </c>
      <c r="E9485" s="10" t="inlineStr">
        <is>
          <t>連0709</t>
        </is>
      </c>
      <c r="F9485" t="inlineStr">
        <is>
          <t>0122</t>
        </is>
      </c>
      <c r="G9485" s="10" t="inlineStr">
        <is>
          <t>山ノ内</t>
        </is>
      </c>
      <c r="H9485" s="10" t="inlineStr">
        <is>
          <t>発</t>
        </is>
      </c>
      <c r="J9485" s="10" t="inlineStr">
        <is>
          <t>営業</t>
        </is>
      </c>
      <c r="L9485" t="inlineStr">
        <is>
          <t>7:39:25</t>
        </is>
      </c>
      <c r="M9485" t="inlineStr">
        <is>
          <t>7:39:50</t>
        </is>
      </c>
      <c r="P9485" t="inlineStr">
        <is>
          <t>A系統(朝)</t>
        </is>
      </c>
    </row>
    <row r="9486" ht="15" customHeight="1" s="37">
      <c r="A9486" t="n">
        <v>8</v>
      </c>
      <c r="B9486" s="10" t="inlineStr">
        <is>
          <t>平日</t>
        </is>
      </c>
      <c r="C9486" s="10" t="inlineStr">
        <is>
          <t>本線</t>
        </is>
      </c>
      <c r="D9486" s="10" t="inlineStr">
        <is>
          <t>下り</t>
        </is>
      </c>
      <c r="E9486" s="10" t="inlineStr">
        <is>
          <t>連0709</t>
        </is>
      </c>
      <c r="F9486" t="inlineStr">
        <is>
          <t>0122</t>
        </is>
      </c>
      <c r="G9486" s="10" t="inlineStr">
        <is>
          <t>天神川</t>
        </is>
      </c>
      <c r="H9486" s="10" t="inlineStr">
        <is>
          <t>発</t>
        </is>
      </c>
      <c r="J9486" s="10" t="inlineStr">
        <is>
          <t>営業</t>
        </is>
      </c>
      <c r="L9486" t="inlineStr">
        <is>
          <t>7:41:50</t>
        </is>
      </c>
      <c r="M9486" t="inlineStr">
        <is>
          <t>7:42:30</t>
        </is>
      </c>
      <c r="P9486" t="inlineStr">
        <is>
          <t>A系統(朝)</t>
        </is>
      </c>
    </row>
    <row r="9487" ht="15" customHeight="1" s="37">
      <c r="A9487" t="n">
        <v>8</v>
      </c>
      <c r="B9487" s="10" t="inlineStr">
        <is>
          <t>平日</t>
        </is>
      </c>
      <c r="C9487" s="10" t="inlineStr">
        <is>
          <t>本線</t>
        </is>
      </c>
      <c r="D9487" s="10" t="inlineStr">
        <is>
          <t>下り</t>
        </is>
      </c>
      <c r="E9487" s="10" t="inlineStr">
        <is>
          <t>連0709</t>
        </is>
      </c>
      <c r="F9487" t="inlineStr">
        <is>
          <t>0122</t>
        </is>
      </c>
      <c r="G9487" s="10" t="inlineStr">
        <is>
          <t>蚕ノ社</t>
        </is>
      </c>
      <c r="H9487" s="10" t="inlineStr">
        <is>
          <t>発</t>
        </is>
      </c>
      <c r="J9487" s="10" t="inlineStr">
        <is>
          <t>営業</t>
        </is>
      </c>
      <c r="L9487" t="inlineStr">
        <is>
          <t>7:43:20</t>
        </is>
      </c>
      <c r="M9487" t="inlineStr">
        <is>
          <t>7:43:40</t>
        </is>
      </c>
      <c r="P9487" t="inlineStr">
        <is>
          <t>A系統(朝)</t>
        </is>
      </c>
    </row>
    <row r="9488" ht="15" customHeight="1" s="37">
      <c r="A9488" t="n">
        <v>8</v>
      </c>
      <c r="B9488" s="10" t="inlineStr">
        <is>
          <t>平日</t>
        </is>
      </c>
      <c r="C9488" s="10" t="inlineStr">
        <is>
          <t>本線</t>
        </is>
      </c>
      <c r="D9488" s="10" t="inlineStr">
        <is>
          <t>下り</t>
        </is>
      </c>
      <c r="E9488" s="10" t="inlineStr">
        <is>
          <t>連0709</t>
        </is>
      </c>
      <c r="F9488" t="inlineStr">
        <is>
          <t>0122</t>
        </is>
      </c>
      <c r="G9488" s="10" t="inlineStr">
        <is>
          <t>太秦広隆寺</t>
        </is>
      </c>
      <c r="H9488" s="10" t="inlineStr">
        <is>
          <t>発</t>
        </is>
      </c>
      <c r="J9488" s="10" t="inlineStr">
        <is>
          <t>営業</t>
        </is>
      </c>
      <c r="L9488" t="inlineStr">
        <is>
          <t>7:45:00</t>
        </is>
      </c>
      <c r="M9488" t="inlineStr">
        <is>
          <t>7:45:20</t>
        </is>
      </c>
      <c r="P9488" t="inlineStr">
        <is>
          <t>A系統(朝)</t>
        </is>
      </c>
    </row>
    <row r="9489" ht="15" customHeight="1" s="37">
      <c r="A9489" t="n">
        <v>8</v>
      </c>
      <c r="B9489" s="10" t="inlineStr">
        <is>
          <t>平日</t>
        </is>
      </c>
      <c r="C9489" s="10" t="inlineStr">
        <is>
          <t>本線</t>
        </is>
      </c>
      <c r="D9489" s="10" t="inlineStr">
        <is>
          <t>下り</t>
        </is>
      </c>
      <c r="E9489" s="10" t="inlineStr">
        <is>
          <t>連0709</t>
        </is>
      </c>
      <c r="F9489" t="inlineStr">
        <is>
          <t>0122</t>
        </is>
      </c>
      <c r="G9489" s="10" t="inlineStr">
        <is>
          <t>帷子ノ辻</t>
        </is>
      </c>
      <c r="H9489" s="10" t="inlineStr">
        <is>
          <t>発</t>
        </is>
      </c>
      <c r="J9489" s="10" t="inlineStr">
        <is>
          <t>営業</t>
        </is>
      </c>
      <c r="L9489" t="inlineStr">
        <is>
          <t>7:47:20</t>
        </is>
      </c>
      <c r="M9489" t="inlineStr">
        <is>
          <t>7:48:40</t>
        </is>
      </c>
      <c r="P9489" t="inlineStr">
        <is>
          <t>A系統(朝)</t>
        </is>
      </c>
    </row>
    <row r="9490" ht="15" customHeight="1" s="37">
      <c r="A9490" t="n">
        <v>8</v>
      </c>
      <c r="B9490" s="10" t="inlineStr">
        <is>
          <t>平日</t>
        </is>
      </c>
      <c r="C9490" s="10" t="inlineStr">
        <is>
          <t>本線</t>
        </is>
      </c>
      <c r="D9490" s="10" t="inlineStr">
        <is>
          <t>下り</t>
        </is>
      </c>
      <c r="E9490" s="10" t="inlineStr">
        <is>
          <t>連0709</t>
        </is>
      </c>
      <c r="F9490" t="inlineStr">
        <is>
          <t>0122</t>
        </is>
      </c>
      <c r="G9490" s="10" t="inlineStr">
        <is>
          <t>有栖川</t>
        </is>
      </c>
      <c r="H9490" s="10" t="inlineStr">
        <is>
          <t>発</t>
        </is>
      </c>
      <c r="J9490" s="10" t="inlineStr">
        <is>
          <t>営業</t>
        </is>
      </c>
      <c r="L9490" t="inlineStr">
        <is>
          <t>7:49:50</t>
        </is>
      </c>
      <c r="M9490" t="inlineStr">
        <is>
          <t>7:50:15</t>
        </is>
      </c>
      <c r="P9490" t="inlineStr">
        <is>
          <t>A系統(朝)</t>
        </is>
      </c>
    </row>
    <row r="9491" ht="15" customHeight="1" s="37">
      <c r="A9491" t="n">
        <v>8</v>
      </c>
      <c r="B9491" s="10" t="inlineStr">
        <is>
          <t>平日</t>
        </is>
      </c>
      <c r="C9491" s="10" t="inlineStr">
        <is>
          <t>本線</t>
        </is>
      </c>
      <c r="D9491" s="10" t="inlineStr">
        <is>
          <t>下り</t>
        </is>
      </c>
      <c r="E9491" s="10" t="inlineStr">
        <is>
          <t>連0709</t>
        </is>
      </c>
      <c r="F9491" t="inlineStr">
        <is>
          <t>0122</t>
        </is>
      </c>
      <c r="G9491" s="10" t="inlineStr">
        <is>
          <t>車折</t>
        </is>
      </c>
      <c r="H9491" s="10" t="inlineStr">
        <is>
          <t>発</t>
        </is>
      </c>
      <c r="J9491" s="10" t="inlineStr">
        <is>
          <t>営業</t>
        </is>
      </c>
      <c r="L9491" t="inlineStr">
        <is>
          <t>7:51:40</t>
        </is>
      </c>
      <c r="M9491" t="inlineStr">
        <is>
          <t>7:52:05</t>
        </is>
      </c>
      <c r="P9491" t="inlineStr">
        <is>
          <t>A系統(朝)</t>
        </is>
      </c>
    </row>
    <row r="9492" ht="15" customHeight="1" s="37">
      <c r="A9492" t="n">
        <v>8</v>
      </c>
      <c r="B9492" s="10" t="inlineStr">
        <is>
          <t>平日</t>
        </is>
      </c>
      <c r="C9492" s="10" t="inlineStr">
        <is>
          <t>本線</t>
        </is>
      </c>
      <c r="D9492" s="10" t="inlineStr">
        <is>
          <t>下り</t>
        </is>
      </c>
      <c r="E9492" s="10" t="inlineStr">
        <is>
          <t>連0709</t>
        </is>
      </c>
      <c r="F9492" t="inlineStr">
        <is>
          <t>0122</t>
        </is>
      </c>
      <c r="G9492" s="10" t="inlineStr">
        <is>
          <t>鹿王院</t>
        </is>
      </c>
      <c r="H9492" s="10" t="inlineStr">
        <is>
          <t>発</t>
        </is>
      </c>
      <c r="J9492" s="10" t="inlineStr">
        <is>
          <t>営業</t>
        </is>
      </c>
      <c r="L9492" t="inlineStr">
        <is>
          <t>7:53:00</t>
        </is>
      </c>
      <c r="M9492" t="inlineStr">
        <is>
          <t>7:53:25</t>
        </is>
      </c>
      <c r="P9492" t="inlineStr">
        <is>
          <t>A系統(朝)</t>
        </is>
      </c>
    </row>
    <row r="9493" ht="15" customHeight="1" s="37">
      <c r="A9493" t="n">
        <v>8</v>
      </c>
      <c r="B9493" s="10" t="inlineStr">
        <is>
          <t>平日</t>
        </is>
      </c>
      <c r="C9493" s="10" t="inlineStr">
        <is>
          <t>本線</t>
        </is>
      </c>
      <c r="D9493" s="10" t="inlineStr">
        <is>
          <t>下り</t>
        </is>
      </c>
      <c r="E9493" s="10" t="inlineStr">
        <is>
          <t>連0709</t>
        </is>
      </c>
      <c r="F9493" t="inlineStr">
        <is>
          <t>0122</t>
        </is>
      </c>
      <c r="G9493" s="10" t="inlineStr">
        <is>
          <t>嵯峨</t>
        </is>
      </c>
      <c r="H9493" s="10" t="inlineStr">
        <is>
          <t>発</t>
        </is>
      </c>
      <c r="J9493" s="10" t="inlineStr">
        <is>
          <t>営業</t>
        </is>
      </c>
      <c r="L9493" t="inlineStr">
        <is>
          <t>7:54:30</t>
        </is>
      </c>
      <c r="M9493" t="inlineStr">
        <is>
          <t>7:54:55</t>
        </is>
      </c>
      <c r="P9493" t="inlineStr">
        <is>
          <t>A系統(朝)</t>
        </is>
      </c>
    </row>
    <row r="9494" ht="15" customHeight="1" s="37">
      <c r="A9494" t="n">
        <v>8</v>
      </c>
      <c r="B9494" s="10" t="inlineStr">
        <is>
          <t>平日</t>
        </is>
      </c>
      <c r="C9494" s="10" t="inlineStr">
        <is>
          <t>本線</t>
        </is>
      </c>
      <c r="D9494" s="10" t="inlineStr">
        <is>
          <t>下り</t>
        </is>
      </c>
      <c r="E9494" s="10" t="inlineStr">
        <is>
          <t>連0709</t>
        </is>
      </c>
      <c r="F9494" t="inlineStr">
        <is>
          <t>0122</t>
        </is>
      </c>
      <c r="G9494" s="10" t="inlineStr">
        <is>
          <t>嵐山</t>
        </is>
      </c>
      <c r="H9494" s="10" t="inlineStr">
        <is>
          <t>着</t>
        </is>
      </c>
      <c r="J9494" s="10" t="inlineStr">
        <is>
          <t>営業</t>
        </is>
      </c>
      <c r="L9494" t="inlineStr">
        <is>
          <t>7:56:00</t>
        </is>
      </c>
      <c r="N9494" t="inlineStr">
        <is>
          <t>○</t>
        </is>
      </c>
      <c r="P9494" t="inlineStr">
        <is>
          <t>A系統(朝)</t>
        </is>
      </c>
      <c r="Q9494" t="inlineStr">
        <is>
          <t>1</t>
        </is>
      </c>
    </row>
    <row r="9495" ht="15" customHeight="1" s="37">
      <c r="A9495" t="n">
        <v>8</v>
      </c>
      <c r="B9495" s="10" t="inlineStr">
        <is>
          <t>平日</t>
        </is>
      </c>
      <c r="C9495" s="10" t="inlineStr">
        <is>
          <t>本線</t>
        </is>
      </c>
      <c r="D9495" s="10" t="inlineStr">
        <is>
          <t>上り</t>
        </is>
      </c>
      <c r="E9495" s="10" t="inlineStr">
        <is>
          <t>連0802</t>
        </is>
      </c>
      <c r="F9495" t="inlineStr">
        <is>
          <t>2221</t>
        </is>
      </c>
      <c r="G9495" s="10" t="inlineStr">
        <is>
          <t>嵐山</t>
        </is>
      </c>
      <c r="H9495" s="10" t="inlineStr">
        <is>
          <t>発</t>
        </is>
      </c>
      <c r="J9495" s="10" t="inlineStr">
        <is>
          <t>営業</t>
        </is>
      </c>
      <c r="M9495" t="inlineStr">
        <is>
          <t>8:05:00</t>
        </is>
      </c>
      <c r="P9495" t="inlineStr">
        <is>
          <t>A系統(朝)</t>
        </is>
      </c>
      <c r="Q9495" t="inlineStr">
        <is>
          <t>1</t>
        </is>
      </c>
      <c r="U9495" t="inlineStr">
        <is>
          <t>→西院 退勤(中休538分)</t>
        </is>
      </c>
    </row>
    <row r="9496" ht="15" customHeight="1" s="37">
      <c r="A9496" t="n">
        <v>8</v>
      </c>
      <c r="B9496" s="10" t="inlineStr">
        <is>
          <t>平日</t>
        </is>
      </c>
      <c r="C9496" s="10" t="inlineStr">
        <is>
          <t>本線</t>
        </is>
      </c>
      <c r="D9496" s="10" t="inlineStr">
        <is>
          <t>上り</t>
        </is>
      </c>
      <c r="E9496" s="10" t="inlineStr">
        <is>
          <t>連0802</t>
        </is>
      </c>
      <c r="F9496" t="inlineStr">
        <is>
          <t>2221</t>
        </is>
      </c>
      <c r="G9496" s="10" t="inlineStr">
        <is>
          <t>嵯峨</t>
        </is>
      </c>
      <c r="H9496" s="10" t="inlineStr">
        <is>
          <t>発</t>
        </is>
      </c>
      <c r="J9496" s="10" t="inlineStr">
        <is>
          <t>営業</t>
        </is>
      </c>
      <c r="L9496" t="inlineStr">
        <is>
          <t>8:05:55</t>
        </is>
      </c>
      <c r="M9496" t="inlineStr">
        <is>
          <t>8:06:20</t>
        </is>
      </c>
      <c r="P9496" t="inlineStr">
        <is>
          <t>A系統(朝)</t>
        </is>
      </c>
      <c r="U9496" t="inlineStr">
        <is>
          <t>→西院 退勤(中休538分)</t>
        </is>
      </c>
    </row>
    <row r="9497" ht="15" customHeight="1" s="37">
      <c r="A9497" t="n">
        <v>8</v>
      </c>
      <c r="B9497" s="10" t="inlineStr">
        <is>
          <t>平日</t>
        </is>
      </c>
      <c r="C9497" s="10" t="inlineStr">
        <is>
          <t>本線</t>
        </is>
      </c>
      <c r="D9497" s="10" t="inlineStr">
        <is>
          <t>上り</t>
        </is>
      </c>
      <c r="E9497" s="10" t="inlineStr">
        <is>
          <t>連0802</t>
        </is>
      </c>
      <c r="F9497" t="inlineStr">
        <is>
          <t>2221</t>
        </is>
      </c>
      <c r="G9497" s="10" t="inlineStr">
        <is>
          <t>鹿王院</t>
        </is>
      </c>
      <c r="H9497" s="10" t="inlineStr">
        <is>
          <t>発</t>
        </is>
      </c>
      <c r="J9497" s="10" t="inlineStr">
        <is>
          <t>営業</t>
        </is>
      </c>
      <c r="L9497" t="inlineStr">
        <is>
          <t>8:07:25</t>
        </is>
      </c>
      <c r="M9497" t="inlineStr">
        <is>
          <t>8:07:45</t>
        </is>
      </c>
      <c r="P9497" t="inlineStr">
        <is>
          <t>A系統(朝)</t>
        </is>
      </c>
      <c r="U9497" t="inlineStr">
        <is>
          <t>→西院 退勤(中休538分)</t>
        </is>
      </c>
    </row>
    <row r="9498" ht="15" customHeight="1" s="37">
      <c r="A9498" t="n">
        <v>8</v>
      </c>
      <c r="B9498" s="10" t="inlineStr">
        <is>
          <t>平日</t>
        </is>
      </c>
      <c r="C9498" s="10" t="inlineStr">
        <is>
          <t>本線</t>
        </is>
      </c>
      <c r="D9498" s="10" t="inlineStr">
        <is>
          <t>上り</t>
        </is>
      </c>
      <c r="E9498" s="10" t="inlineStr">
        <is>
          <t>連0802</t>
        </is>
      </c>
      <c r="F9498" t="inlineStr">
        <is>
          <t>2221</t>
        </is>
      </c>
      <c r="G9498" s="10" t="inlineStr">
        <is>
          <t>車折</t>
        </is>
      </c>
      <c r="H9498" s="10" t="inlineStr">
        <is>
          <t>発</t>
        </is>
      </c>
      <c r="J9498" s="10" t="inlineStr">
        <is>
          <t>営業</t>
        </is>
      </c>
      <c r="L9498" t="inlineStr">
        <is>
          <t>8:08:40</t>
        </is>
      </c>
      <c r="M9498" t="inlineStr">
        <is>
          <t>8:09:10</t>
        </is>
      </c>
      <c r="P9498" t="inlineStr">
        <is>
          <t>A系統(朝)</t>
        </is>
      </c>
      <c r="U9498" t="inlineStr">
        <is>
          <t>→西院 退勤(中休538分)</t>
        </is>
      </c>
    </row>
    <row r="9499" ht="15" customHeight="1" s="37">
      <c r="A9499" t="n">
        <v>8</v>
      </c>
      <c r="B9499" s="10" t="inlineStr">
        <is>
          <t>平日</t>
        </is>
      </c>
      <c r="C9499" s="10" t="inlineStr">
        <is>
          <t>本線</t>
        </is>
      </c>
      <c r="D9499" s="10" t="inlineStr">
        <is>
          <t>上り</t>
        </is>
      </c>
      <c r="E9499" s="10" t="inlineStr">
        <is>
          <t>連0802</t>
        </is>
      </c>
      <c r="F9499" t="inlineStr">
        <is>
          <t>2221</t>
        </is>
      </c>
      <c r="G9499" s="10" t="inlineStr">
        <is>
          <t>有栖川</t>
        </is>
      </c>
      <c r="H9499" s="10" t="inlineStr">
        <is>
          <t>発</t>
        </is>
      </c>
      <c r="J9499" s="10" t="inlineStr">
        <is>
          <t>営業</t>
        </is>
      </c>
      <c r="L9499" t="inlineStr">
        <is>
          <t>8:10:35</t>
        </is>
      </c>
      <c r="M9499" t="inlineStr">
        <is>
          <t>8:10:55</t>
        </is>
      </c>
      <c r="P9499" t="inlineStr">
        <is>
          <t>A系統(朝)</t>
        </is>
      </c>
      <c r="U9499" t="inlineStr">
        <is>
          <t>→西院 退勤(中休538分)</t>
        </is>
      </c>
    </row>
    <row r="9500" ht="15" customHeight="1" s="37">
      <c r="A9500" t="n">
        <v>8</v>
      </c>
      <c r="B9500" s="10" t="inlineStr">
        <is>
          <t>平日</t>
        </is>
      </c>
      <c r="C9500" s="10" t="inlineStr">
        <is>
          <t>本線</t>
        </is>
      </c>
      <c r="D9500" s="10" t="inlineStr">
        <is>
          <t>上り</t>
        </is>
      </c>
      <c r="E9500" s="10" t="inlineStr">
        <is>
          <t>連0802</t>
        </is>
      </c>
      <c r="F9500" t="inlineStr">
        <is>
          <t>2221</t>
        </is>
      </c>
      <c r="G9500" s="10" t="inlineStr">
        <is>
          <t>帷子ノ辻</t>
        </is>
      </c>
      <c r="H9500" s="10" t="inlineStr">
        <is>
          <t>発</t>
        </is>
      </c>
      <c r="J9500" s="10" t="inlineStr">
        <is>
          <t>営業</t>
        </is>
      </c>
      <c r="L9500" t="inlineStr">
        <is>
          <t>8:12:10</t>
        </is>
      </c>
      <c r="M9500" t="inlineStr">
        <is>
          <t>8:13:15</t>
        </is>
      </c>
      <c r="P9500" t="inlineStr">
        <is>
          <t>A系統(朝)</t>
        </is>
      </c>
      <c r="U9500" t="inlineStr">
        <is>
          <t>→西院 退勤(中休538分)</t>
        </is>
      </c>
    </row>
    <row r="9501" ht="15" customHeight="1" s="37">
      <c r="A9501" t="n">
        <v>8</v>
      </c>
      <c r="B9501" s="10" t="inlineStr">
        <is>
          <t>平日</t>
        </is>
      </c>
      <c r="C9501" s="10" t="inlineStr">
        <is>
          <t>本線</t>
        </is>
      </c>
      <c r="D9501" s="10" t="inlineStr">
        <is>
          <t>上り</t>
        </is>
      </c>
      <c r="E9501" s="10" t="inlineStr">
        <is>
          <t>連0802</t>
        </is>
      </c>
      <c r="F9501" t="inlineStr">
        <is>
          <t>2221</t>
        </is>
      </c>
      <c r="G9501" s="10" t="inlineStr">
        <is>
          <t>太秦広隆寺</t>
        </is>
      </c>
      <c r="H9501" s="10" t="inlineStr">
        <is>
          <t>発</t>
        </is>
      </c>
      <c r="J9501" s="10" t="inlineStr">
        <is>
          <t>営業</t>
        </is>
      </c>
      <c r="L9501" t="inlineStr">
        <is>
          <t>8:15:25</t>
        </is>
      </c>
      <c r="M9501" t="inlineStr">
        <is>
          <t>8:15:45</t>
        </is>
      </c>
      <c r="P9501" t="inlineStr">
        <is>
          <t>A系統(朝)</t>
        </is>
      </c>
      <c r="U9501" t="inlineStr">
        <is>
          <t>→西院 退勤(中休538分)</t>
        </is>
      </c>
    </row>
    <row r="9502" ht="15" customHeight="1" s="37">
      <c r="A9502" t="n">
        <v>8</v>
      </c>
      <c r="B9502" s="10" t="inlineStr">
        <is>
          <t>平日</t>
        </is>
      </c>
      <c r="C9502" s="10" t="inlineStr">
        <is>
          <t>本線</t>
        </is>
      </c>
      <c r="D9502" s="10" t="inlineStr">
        <is>
          <t>上り</t>
        </is>
      </c>
      <c r="E9502" s="10" t="inlineStr">
        <is>
          <t>連0802</t>
        </is>
      </c>
      <c r="F9502" t="inlineStr">
        <is>
          <t>2221</t>
        </is>
      </c>
      <c r="G9502" s="10" t="inlineStr">
        <is>
          <t>蚕ノ社</t>
        </is>
      </c>
      <c r="H9502" s="10" t="inlineStr">
        <is>
          <t>発</t>
        </is>
      </c>
      <c r="J9502" s="10" t="inlineStr">
        <is>
          <t>営業</t>
        </is>
      </c>
      <c r="L9502" t="inlineStr">
        <is>
          <t>8:17:00</t>
        </is>
      </c>
      <c r="M9502" t="inlineStr">
        <is>
          <t>8:17:20</t>
        </is>
      </c>
      <c r="P9502" t="inlineStr">
        <is>
          <t>A系統(朝)</t>
        </is>
      </c>
      <c r="U9502" t="inlineStr">
        <is>
          <t>→西院 退勤(中休538分)</t>
        </is>
      </c>
    </row>
    <row r="9503" ht="15" customHeight="1" s="37">
      <c r="A9503" t="n">
        <v>8</v>
      </c>
      <c r="B9503" s="10" t="inlineStr">
        <is>
          <t>平日</t>
        </is>
      </c>
      <c r="C9503" s="10" t="inlineStr">
        <is>
          <t>本線</t>
        </is>
      </c>
      <c r="D9503" s="10" t="inlineStr">
        <is>
          <t>上り</t>
        </is>
      </c>
      <c r="E9503" s="10" t="inlineStr">
        <is>
          <t>連0802</t>
        </is>
      </c>
      <c r="F9503" t="inlineStr">
        <is>
          <t>2221</t>
        </is>
      </c>
      <c r="G9503" s="10" t="inlineStr">
        <is>
          <t>天神川</t>
        </is>
      </c>
      <c r="H9503" s="10" t="inlineStr">
        <is>
          <t>発</t>
        </is>
      </c>
      <c r="J9503" s="10" t="inlineStr">
        <is>
          <t>営業</t>
        </is>
      </c>
      <c r="L9503" t="inlineStr">
        <is>
          <t>8:18:05</t>
        </is>
      </c>
      <c r="M9503" t="inlineStr">
        <is>
          <t>8:18:50</t>
        </is>
      </c>
      <c r="P9503" t="inlineStr">
        <is>
          <t>A系統(朝)</t>
        </is>
      </c>
      <c r="U9503" t="inlineStr">
        <is>
          <t>→西院 退勤(中休538分)</t>
        </is>
      </c>
    </row>
    <row r="9504" ht="15" customHeight="1" s="37">
      <c r="A9504" t="n">
        <v>8</v>
      </c>
      <c r="B9504" s="10" t="inlineStr">
        <is>
          <t>平日</t>
        </is>
      </c>
      <c r="C9504" s="10" t="inlineStr">
        <is>
          <t>本線</t>
        </is>
      </c>
      <c r="D9504" s="10" t="inlineStr">
        <is>
          <t>上り</t>
        </is>
      </c>
      <c r="E9504" s="10" t="inlineStr">
        <is>
          <t>連0802</t>
        </is>
      </c>
      <c r="F9504" t="inlineStr">
        <is>
          <t>2221</t>
        </is>
      </c>
      <c r="G9504" s="10" t="inlineStr">
        <is>
          <t>山ノ内</t>
        </is>
      </c>
      <c r="H9504" s="10" t="inlineStr">
        <is>
          <t>発</t>
        </is>
      </c>
      <c r="J9504" s="10" t="inlineStr">
        <is>
          <t>営業</t>
        </is>
      </c>
      <c r="L9504" t="inlineStr">
        <is>
          <t>8:20:40</t>
        </is>
      </c>
      <c r="M9504" t="inlineStr">
        <is>
          <t>8:21:05</t>
        </is>
      </c>
      <c r="P9504" t="inlineStr">
        <is>
          <t>A系統(朝)</t>
        </is>
      </c>
      <c r="U9504" t="inlineStr">
        <is>
          <t>→西院 退勤(中休538分)</t>
        </is>
      </c>
    </row>
    <row r="9505" ht="15" customHeight="1" s="37">
      <c r="A9505" t="n">
        <v>8</v>
      </c>
      <c r="B9505" s="10" t="inlineStr">
        <is>
          <t>平日</t>
        </is>
      </c>
      <c r="C9505" s="10" t="inlineStr">
        <is>
          <t>本線</t>
        </is>
      </c>
      <c r="D9505" s="10" t="inlineStr">
        <is>
          <t>上り</t>
        </is>
      </c>
      <c r="E9505" s="10" t="inlineStr">
        <is>
          <t>連0802</t>
        </is>
      </c>
      <c r="F9505" t="inlineStr">
        <is>
          <t>2221</t>
        </is>
      </c>
      <c r="G9505" s="10" t="inlineStr">
        <is>
          <t>西大路三条</t>
        </is>
      </c>
      <c r="H9505" s="10" t="inlineStr">
        <is>
          <t>発</t>
        </is>
      </c>
      <c r="J9505" s="10" t="inlineStr">
        <is>
          <t>営業</t>
        </is>
      </c>
      <c r="L9505" t="inlineStr">
        <is>
          <t>8:22:55</t>
        </is>
      </c>
      <c r="M9505" t="inlineStr">
        <is>
          <t>8:23:15</t>
        </is>
      </c>
      <c r="P9505" t="inlineStr">
        <is>
          <t>A系統(朝)</t>
        </is>
      </c>
      <c r="U9505" t="inlineStr">
        <is>
          <t>→西院 退勤(中休538分)</t>
        </is>
      </c>
    </row>
    <row r="9506" ht="15" customHeight="1" s="37">
      <c r="A9506" t="n">
        <v>8</v>
      </c>
      <c r="B9506" s="10" t="inlineStr">
        <is>
          <t>平日</t>
        </is>
      </c>
      <c r="C9506" s="10" t="inlineStr">
        <is>
          <t>本線</t>
        </is>
      </c>
      <c r="D9506" s="10" t="inlineStr">
        <is>
          <t>上り</t>
        </is>
      </c>
      <c r="E9506" s="10" t="inlineStr">
        <is>
          <t>連0802</t>
        </is>
      </c>
      <c r="F9506" t="inlineStr">
        <is>
          <t>2221</t>
        </is>
      </c>
      <c r="G9506" s="10" t="inlineStr">
        <is>
          <t>西院</t>
        </is>
      </c>
      <c r="H9506" s="10" t="inlineStr">
        <is>
          <t>発</t>
        </is>
      </c>
      <c r="J9506" s="10" t="inlineStr">
        <is>
          <t>営業</t>
        </is>
      </c>
      <c r="L9506" t="inlineStr">
        <is>
          <t>8:25:10</t>
        </is>
      </c>
      <c r="M9506" t="inlineStr">
        <is>
          <t>8:26:05</t>
        </is>
      </c>
      <c r="P9506" t="inlineStr">
        <is>
          <t>A系統(朝)</t>
        </is>
      </c>
      <c r="U9506" t="inlineStr">
        <is>
          <t>→西院 退勤(中休538分)</t>
        </is>
      </c>
    </row>
    <row r="9507" ht="15" customHeight="1" s="37">
      <c r="A9507" t="n">
        <v>8</v>
      </c>
      <c r="B9507" s="10" t="inlineStr">
        <is>
          <t>平日</t>
        </is>
      </c>
      <c r="C9507" s="10" t="inlineStr">
        <is>
          <t>本線</t>
        </is>
      </c>
      <c r="D9507" s="10" t="inlineStr">
        <is>
          <t>上り</t>
        </is>
      </c>
      <c r="E9507" s="10" t="inlineStr">
        <is>
          <t>連0802</t>
        </is>
      </c>
      <c r="F9507" t="inlineStr">
        <is>
          <t>2221</t>
        </is>
      </c>
      <c r="G9507" s="10" t="inlineStr">
        <is>
          <t>四条大宮</t>
        </is>
      </c>
      <c r="H9507" s="10" t="inlineStr">
        <is>
          <t>着</t>
        </is>
      </c>
      <c r="J9507" s="10" t="inlineStr">
        <is>
          <t>営業</t>
        </is>
      </c>
      <c r="L9507" t="inlineStr">
        <is>
          <t>8:29:00</t>
        </is>
      </c>
      <c r="P9507" t="inlineStr">
        <is>
          <t>A系統(朝)</t>
        </is>
      </c>
      <c r="Q9507" t="inlineStr">
        <is>
          <t>1</t>
        </is>
      </c>
      <c r="U9507" t="inlineStr">
        <is>
          <t>→西院 退勤(中休538分)</t>
        </is>
      </c>
    </row>
    <row r="9508" ht="15" customHeight="1" s="37">
      <c r="A9508" t="n">
        <v>8</v>
      </c>
      <c r="B9508" s="10" t="inlineStr">
        <is>
          <t>平日</t>
        </is>
      </c>
      <c r="C9508" s="10" t="inlineStr">
        <is>
          <t>本線</t>
        </is>
      </c>
      <c r="D9508" s="10" t="inlineStr">
        <is>
          <t>下り</t>
        </is>
      </c>
      <c r="E9508" s="10" t="inlineStr">
        <is>
          <t>連1707</t>
        </is>
      </c>
      <c r="F9508" t="inlineStr">
        <is>
          <t>0122</t>
        </is>
      </c>
      <c r="G9508" s="10" t="inlineStr">
        <is>
          <t>西院</t>
        </is>
      </c>
      <c r="H9508" s="10" t="inlineStr">
        <is>
          <t>発</t>
        </is>
      </c>
      <c r="J9508" s="10" t="inlineStr">
        <is>
          <t>営業</t>
        </is>
      </c>
      <c r="L9508" t="inlineStr">
        <is>
          <t>17:35:50</t>
        </is>
      </c>
      <c r="M9508" t="inlineStr">
        <is>
          <t>17:36:20</t>
        </is>
      </c>
      <c r="P9508" t="inlineStr">
        <is>
          <t>D系統(日中)</t>
        </is>
      </c>
    </row>
    <row r="9509" ht="15" customHeight="1" s="37">
      <c r="A9509" t="n">
        <v>8</v>
      </c>
      <c r="B9509" s="10" t="inlineStr">
        <is>
          <t>平日</t>
        </is>
      </c>
      <c r="C9509" s="10" t="inlineStr">
        <is>
          <t>本線</t>
        </is>
      </c>
      <c r="D9509" s="10" t="inlineStr">
        <is>
          <t>下り</t>
        </is>
      </c>
      <c r="E9509" s="10" t="inlineStr">
        <is>
          <t>連1707</t>
        </is>
      </c>
      <c r="F9509" t="inlineStr">
        <is>
          <t>0122</t>
        </is>
      </c>
      <c r="G9509" s="10" t="inlineStr">
        <is>
          <t>西大路三条</t>
        </is>
      </c>
      <c r="H9509" s="10" t="inlineStr">
        <is>
          <t>発</t>
        </is>
      </c>
      <c r="J9509" s="10" t="inlineStr">
        <is>
          <t>営業</t>
        </is>
      </c>
      <c r="L9509" t="inlineStr">
        <is>
          <t>17:38:10</t>
        </is>
      </c>
      <c r="M9509" t="inlineStr">
        <is>
          <t>17:38:30</t>
        </is>
      </c>
      <c r="P9509" t="inlineStr">
        <is>
          <t>D系統(日中)</t>
        </is>
      </c>
    </row>
    <row r="9510" ht="15" customHeight="1" s="37">
      <c r="A9510" t="n">
        <v>8</v>
      </c>
      <c r="B9510" s="10" t="inlineStr">
        <is>
          <t>平日</t>
        </is>
      </c>
      <c r="C9510" s="10" t="inlineStr">
        <is>
          <t>本線</t>
        </is>
      </c>
      <c r="D9510" s="10" t="inlineStr">
        <is>
          <t>下り</t>
        </is>
      </c>
      <c r="E9510" s="10" t="inlineStr">
        <is>
          <t>連1707</t>
        </is>
      </c>
      <c r="F9510" t="inlineStr">
        <is>
          <t>0122</t>
        </is>
      </c>
      <c r="G9510" s="10" t="inlineStr">
        <is>
          <t>山ノ内</t>
        </is>
      </c>
      <c r="H9510" s="10" t="inlineStr">
        <is>
          <t>発</t>
        </is>
      </c>
      <c r="J9510" s="10" t="inlineStr">
        <is>
          <t>営業</t>
        </is>
      </c>
      <c r="L9510" t="inlineStr">
        <is>
          <t>17:40:25</t>
        </is>
      </c>
      <c r="M9510" t="inlineStr">
        <is>
          <t>17:40:50</t>
        </is>
      </c>
      <c r="P9510" t="inlineStr">
        <is>
          <t>D系統(日中)</t>
        </is>
      </c>
    </row>
    <row r="9511" ht="15" customHeight="1" s="37">
      <c r="A9511" t="n">
        <v>8</v>
      </c>
      <c r="B9511" s="10" t="inlineStr">
        <is>
          <t>平日</t>
        </is>
      </c>
      <c r="C9511" s="10" t="inlineStr">
        <is>
          <t>本線</t>
        </is>
      </c>
      <c r="D9511" s="10" t="inlineStr">
        <is>
          <t>下り</t>
        </is>
      </c>
      <c r="E9511" s="10" t="inlineStr">
        <is>
          <t>連1707</t>
        </is>
      </c>
      <c r="F9511" t="inlineStr">
        <is>
          <t>0122</t>
        </is>
      </c>
      <c r="G9511" s="10" t="inlineStr">
        <is>
          <t>天神川</t>
        </is>
      </c>
      <c r="H9511" s="10" t="inlineStr">
        <is>
          <t>発</t>
        </is>
      </c>
      <c r="J9511" s="10" t="inlineStr">
        <is>
          <t>営業</t>
        </is>
      </c>
      <c r="L9511" t="inlineStr">
        <is>
          <t>17:42:50</t>
        </is>
      </c>
      <c r="M9511" t="inlineStr">
        <is>
          <t>17:43:30</t>
        </is>
      </c>
      <c r="P9511" t="inlineStr">
        <is>
          <t>D系統(日中)</t>
        </is>
      </c>
    </row>
    <row r="9512" ht="15" customHeight="1" s="37">
      <c r="A9512" t="n">
        <v>8</v>
      </c>
      <c r="B9512" s="10" t="inlineStr">
        <is>
          <t>平日</t>
        </is>
      </c>
      <c r="C9512" s="10" t="inlineStr">
        <is>
          <t>本線</t>
        </is>
      </c>
      <c r="D9512" s="10" t="inlineStr">
        <is>
          <t>下り</t>
        </is>
      </c>
      <c r="E9512" s="10" t="inlineStr">
        <is>
          <t>連1707</t>
        </is>
      </c>
      <c r="F9512" t="inlineStr">
        <is>
          <t>0122</t>
        </is>
      </c>
      <c r="G9512" s="10" t="inlineStr">
        <is>
          <t>蚕ノ社</t>
        </is>
      </c>
      <c r="H9512" s="10" t="inlineStr">
        <is>
          <t>発</t>
        </is>
      </c>
      <c r="J9512" s="10" t="inlineStr">
        <is>
          <t>営業</t>
        </is>
      </c>
      <c r="L9512" t="inlineStr">
        <is>
          <t>17:44:20</t>
        </is>
      </c>
      <c r="M9512" t="inlineStr">
        <is>
          <t>17:44:40</t>
        </is>
      </c>
      <c r="P9512" t="inlineStr">
        <is>
          <t>D系統(日中)</t>
        </is>
      </c>
    </row>
    <row r="9513" ht="15" customHeight="1" s="37">
      <c r="A9513" t="n">
        <v>8</v>
      </c>
      <c r="B9513" s="10" t="inlineStr">
        <is>
          <t>平日</t>
        </is>
      </c>
      <c r="C9513" s="10" t="inlineStr">
        <is>
          <t>本線</t>
        </is>
      </c>
      <c r="D9513" s="10" t="inlineStr">
        <is>
          <t>下り</t>
        </is>
      </c>
      <c r="E9513" s="10" t="inlineStr">
        <is>
          <t>連1707</t>
        </is>
      </c>
      <c r="F9513" t="inlineStr">
        <is>
          <t>0122</t>
        </is>
      </c>
      <c r="G9513" s="10" t="inlineStr">
        <is>
          <t>太秦広隆寺</t>
        </is>
      </c>
      <c r="H9513" s="10" t="inlineStr">
        <is>
          <t>発</t>
        </is>
      </c>
      <c r="J9513" s="10" t="inlineStr">
        <is>
          <t>営業</t>
        </is>
      </c>
      <c r="L9513" t="inlineStr">
        <is>
          <t>17:46:00</t>
        </is>
      </c>
      <c r="M9513" t="inlineStr">
        <is>
          <t>17:46:20</t>
        </is>
      </c>
      <c r="P9513" t="inlineStr">
        <is>
          <t>D系統(日中)</t>
        </is>
      </c>
    </row>
    <row r="9514" ht="15" customHeight="1" s="37">
      <c r="A9514" t="n">
        <v>8</v>
      </c>
      <c r="B9514" s="10" t="inlineStr">
        <is>
          <t>平日</t>
        </is>
      </c>
      <c r="C9514" s="10" t="inlineStr">
        <is>
          <t>本線</t>
        </is>
      </c>
      <c r="D9514" s="10" t="inlineStr">
        <is>
          <t>下り</t>
        </is>
      </c>
      <c r="E9514" s="10" t="inlineStr">
        <is>
          <t>連1707</t>
        </is>
      </c>
      <c r="F9514" t="inlineStr">
        <is>
          <t>0122</t>
        </is>
      </c>
      <c r="G9514" s="10" t="inlineStr">
        <is>
          <t>帷子ノ辻</t>
        </is>
      </c>
      <c r="H9514" s="10" t="inlineStr">
        <is>
          <t>発</t>
        </is>
      </c>
      <c r="J9514" s="10" t="inlineStr">
        <is>
          <t>営業</t>
        </is>
      </c>
      <c r="L9514" t="inlineStr">
        <is>
          <t>17:48:20</t>
        </is>
      </c>
      <c r="M9514" t="inlineStr">
        <is>
          <t>17:49:40</t>
        </is>
      </c>
      <c r="P9514" t="inlineStr">
        <is>
          <t>D系統(日中)</t>
        </is>
      </c>
    </row>
    <row r="9515" ht="15" customHeight="1" s="37">
      <c r="A9515" t="n">
        <v>8</v>
      </c>
      <c r="B9515" s="10" t="inlineStr">
        <is>
          <t>平日</t>
        </is>
      </c>
      <c r="C9515" s="10" t="inlineStr">
        <is>
          <t>本線</t>
        </is>
      </c>
      <c r="D9515" s="10" t="inlineStr">
        <is>
          <t>下り</t>
        </is>
      </c>
      <c r="E9515" s="10" t="inlineStr">
        <is>
          <t>連1707</t>
        </is>
      </c>
      <c r="F9515" t="inlineStr">
        <is>
          <t>0122</t>
        </is>
      </c>
      <c r="G9515" s="10" t="inlineStr">
        <is>
          <t>有栖川</t>
        </is>
      </c>
      <c r="H9515" s="10" t="inlineStr">
        <is>
          <t>発</t>
        </is>
      </c>
      <c r="J9515" s="10" t="inlineStr">
        <is>
          <t>営業</t>
        </is>
      </c>
      <c r="L9515" t="inlineStr">
        <is>
          <t>17:50:50</t>
        </is>
      </c>
      <c r="M9515" t="inlineStr">
        <is>
          <t>17:51:15</t>
        </is>
      </c>
      <c r="P9515" t="inlineStr">
        <is>
          <t>D系統(日中)</t>
        </is>
      </c>
    </row>
    <row r="9516" ht="15" customHeight="1" s="37">
      <c r="A9516" t="n">
        <v>8</v>
      </c>
      <c r="B9516" s="10" t="inlineStr">
        <is>
          <t>平日</t>
        </is>
      </c>
      <c r="C9516" s="10" t="inlineStr">
        <is>
          <t>本線</t>
        </is>
      </c>
      <c r="D9516" s="10" t="inlineStr">
        <is>
          <t>下り</t>
        </is>
      </c>
      <c r="E9516" s="10" t="inlineStr">
        <is>
          <t>連1707</t>
        </is>
      </c>
      <c r="F9516" t="inlineStr">
        <is>
          <t>0122</t>
        </is>
      </c>
      <c r="G9516" s="10" t="inlineStr">
        <is>
          <t>車折</t>
        </is>
      </c>
      <c r="H9516" s="10" t="inlineStr">
        <is>
          <t>発</t>
        </is>
      </c>
      <c r="J9516" s="10" t="inlineStr">
        <is>
          <t>営業</t>
        </is>
      </c>
      <c r="L9516" t="inlineStr">
        <is>
          <t>17:52:40</t>
        </is>
      </c>
      <c r="M9516" t="inlineStr">
        <is>
          <t>17:53:05</t>
        </is>
      </c>
      <c r="P9516" t="inlineStr">
        <is>
          <t>D系統(日中)</t>
        </is>
      </c>
    </row>
    <row r="9517" ht="15" customHeight="1" s="37">
      <c r="A9517" t="n">
        <v>8</v>
      </c>
      <c r="B9517" s="10" t="inlineStr">
        <is>
          <t>平日</t>
        </is>
      </c>
      <c r="C9517" s="10" t="inlineStr">
        <is>
          <t>本線</t>
        </is>
      </c>
      <c r="D9517" s="10" t="inlineStr">
        <is>
          <t>下り</t>
        </is>
      </c>
      <c r="E9517" s="10" t="inlineStr">
        <is>
          <t>連1707</t>
        </is>
      </c>
      <c r="F9517" t="inlineStr">
        <is>
          <t>0122</t>
        </is>
      </c>
      <c r="G9517" s="10" t="inlineStr">
        <is>
          <t>鹿王院</t>
        </is>
      </c>
      <c r="H9517" s="10" t="inlineStr">
        <is>
          <t>発</t>
        </is>
      </c>
      <c r="J9517" s="10" t="inlineStr">
        <is>
          <t>営業</t>
        </is>
      </c>
      <c r="L9517" t="inlineStr">
        <is>
          <t>17:54:00</t>
        </is>
      </c>
      <c r="M9517" t="inlineStr">
        <is>
          <t>17:54:25</t>
        </is>
      </c>
      <c r="P9517" t="inlineStr">
        <is>
          <t>D系統(日中)</t>
        </is>
      </c>
    </row>
    <row r="9518" ht="15" customHeight="1" s="37">
      <c r="A9518" t="n">
        <v>8</v>
      </c>
      <c r="B9518" s="10" t="inlineStr">
        <is>
          <t>平日</t>
        </is>
      </c>
      <c r="C9518" s="10" t="inlineStr">
        <is>
          <t>本線</t>
        </is>
      </c>
      <c r="D9518" s="10" t="inlineStr">
        <is>
          <t>下り</t>
        </is>
      </c>
      <c r="E9518" s="10" t="inlineStr">
        <is>
          <t>連1707</t>
        </is>
      </c>
      <c r="F9518" t="inlineStr">
        <is>
          <t>0122</t>
        </is>
      </c>
      <c r="G9518" s="10" t="inlineStr">
        <is>
          <t>嵯峨</t>
        </is>
      </c>
      <c r="H9518" s="10" t="inlineStr">
        <is>
          <t>発</t>
        </is>
      </c>
      <c r="J9518" s="10" t="inlineStr">
        <is>
          <t>営業</t>
        </is>
      </c>
      <c r="L9518" t="inlineStr">
        <is>
          <t>17:55:30</t>
        </is>
      </c>
      <c r="M9518" t="inlineStr">
        <is>
          <t>17:55:55</t>
        </is>
      </c>
      <c r="P9518" t="inlineStr">
        <is>
          <t>D系統(日中)</t>
        </is>
      </c>
    </row>
    <row r="9519" ht="15" customHeight="1" s="37">
      <c r="A9519" t="n">
        <v>8</v>
      </c>
      <c r="B9519" s="10" t="inlineStr">
        <is>
          <t>平日</t>
        </is>
      </c>
      <c r="C9519" s="10" t="inlineStr">
        <is>
          <t>本線</t>
        </is>
      </c>
      <c r="D9519" s="10" t="inlineStr">
        <is>
          <t>下り</t>
        </is>
      </c>
      <c r="E9519" s="10" t="inlineStr">
        <is>
          <t>連1707</t>
        </is>
      </c>
      <c r="F9519" t="inlineStr">
        <is>
          <t>0122</t>
        </is>
      </c>
      <c r="G9519" s="10" t="inlineStr">
        <is>
          <t>嵐山</t>
        </is>
      </c>
      <c r="H9519" s="10" t="inlineStr">
        <is>
          <t>着</t>
        </is>
      </c>
      <c r="J9519" s="10" t="inlineStr">
        <is>
          <t>営業</t>
        </is>
      </c>
      <c r="L9519" t="inlineStr">
        <is>
          <t>17:57:00</t>
        </is>
      </c>
      <c r="N9519" t="inlineStr">
        <is>
          <t>○</t>
        </is>
      </c>
      <c r="P9519" t="inlineStr">
        <is>
          <t>D系統(日中)</t>
        </is>
      </c>
      <c r="Q9519" t="inlineStr">
        <is>
          <t>1</t>
        </is>
      </c>
    </row>
    <row r="9520" ht="15" customHeight="1" s="37">
      <c r="A9520" t="n">
        <v>8</v>
      </c>
      <c r="B9520" s="10" t="inlineStr">
        <is>
          <t>平日</t>
        </is>
      </c>
      <c r="C9520" s="10" t="inlineStr">
        <is>
          <t>本線</t>
        </is>
      </c>
      <c r="D9520" s="10" t="inlineStr">
        <is>
          <t>上り</t>
        </is>
      </c>
      <c r="E9520" s="10" t="inlineStr">
        <is>
          <t>連1802</t>
        </is>
      </c>
      <c r="F9520" t="inlineStr">
        <is>
          <t>2221</t>
        </is>
      </c>
      <c r="G9520" s="10" t="inlineStr">
        <is>
          <t>嵐山</t>
        </is>
      </c>
      <c r="H9520" s="10" t="inlineStr">
        <is>
          <t>発</t>
        </is>
      </c>
      <c r="J9520" s="10" t="inlineStr">
        <is>
          <t>営業</t>
        </is>
      </c>
      <c r="M9520" t="inlineStr">
        <is>
          <t>18:03:00</t>
        </is>
      </c>
      <c r="P9520" t="inlineStr">
        <is>
          <t>D系統(日中)</t>
        </is>
      </c>
      <c r="Q9520" t="inlineStr">
        <is>
          <t>1</t>
        </is>
      </c>
    </row>
    <row r="9521" ht="15" customHeight="1" s="37">
      <c r="A9521" t="n">
        <v>8</v>
      </c>
      <c r="B9521" s="10" t="inlineStr">
        <is>
          <t>平日</t>
        </is>
      </c>
      <c r="C9521" s="10" t="inlineStr">
        <is>
          <t>本線</t>
        </is>
      </c>
      <c r="D9521" s="10" t="inlineStr">
        <is>
          <t>上り</t>
        </is>
      </c>
      <c r="E9521" s="10" t="inlineStr">
        <is>
          <t>連1802</t>
        </is>
      </c>
      <c r="F9521" t="inlineStr">
        <is>
          <t>2221</t>
        </is>
      </c>
      <c r="G9521" s="10" t="inlineStr">
        <is>
          <t>嵯峨</t>
        </is>
      </c>
      <c r="H9521" s="10" t="inlineStr">
        <is>
          <t>発</t>
        </is>
      </c>
      <c r="J9521" s="10" t="inlineStr">
        <is>
          <t>営業</t>
        </is>
      </c>
      <c r="L9521" t="inlineStr">
        <is>
          <t>18:03:55</t>
        </is>
      </c>
      <c r="M9521" t="inlineStr">
        <is>
          <t>18:04:20</t>
        </is>
      </c>
      <c r="P9521" t="inlineStr">
        <is>
          <t>D系統(日中)</t>
        </is>
      </c>
    </row>
    <row r="9522" ht="15" customHeight="1" s="37">
      <c r="A9522" t="n">
        <v>8</v>
      </c>
      <c r="B9522" s="10" t="inlineStr">
        <is>
          <t>平日</t>
        </is>
      </c>
      <c r="C9522" s="10" t="inlineStr">
        <is>
          <t>本線</t>
        </is>
      </c>
      <c r="D9522" s="10" t="inlineStr">
        <is>
          <t>上り</t>
        </is>
      </c>
      <c r="E9522" s="10" t="inlineStr">
        <is>
          <t>連1802</t>
        </is>
      </c>
      <c r="F9522" t="inlineStr">
        <is>
          <t>2221</t>
        </is>
      </c>
      <c r="G9522" s="10" t="inlineStr">
        <is>
          <t>鹿王院</t>
        </is>
      </c>
      <c r="H9522" s="10" t="inlineStr">
        <is>
          <t>発</t>
        </is>
      </c>
      <c r="J9522" s="10" t="inlineStr">
        <is>
          <t>営業</t>
        </is>
      </c>
      <c r="L9522" t="inlineStr">
        <is>
          <t>18:05:25</t>
        </is>
      </c>
      <c r="M9522" t="inlineStr">
        <is>
          <t>18:05:45</t>
        </is>
      </c>
      <c r="P9522" t="inlineStr">
        <is>
          <t>D系統(日中)</t>
        </is>
      </c>
    </row>
    <row r="9523" ht="15" customHeight="1" s="37">
      <c r="A9523" t="n">
        <v>8</v>
      </c>
      <c r="B9523" s="10" t="inlineStr">
        <is>
          <t>平日</t>
        </is>
      </c>
      <c r="C9523" s="10" t="inlineStr">
        <is>
          <t>本線</t>
        </is>
      </c>
      <c r="D9523" s="10" t="inlineStr">
        <is>
          <t>上り</t>
        </is>
      </c>
      <c r="E9523" s="10" t="inlineStr">
        <is>
          <t>連1802</t>
        </is>
      </c>
      <c r="F9523" t="inlineStr">
        <is>
          <t>2221</t>
        </is>
      </c>
      <c r="G9523" s="10" t="inlineStr">
        <is>
          <t>車折</t>
        </is>
      </c>
      <c r="H9523" s="10" t="inlineStr">
        <is>
          <t>発</t>
        </is>
      </c>
      <c r="J9523" s="10" t="inlineStr">
        <is>
          <t>営業</t>
        </is>
      </c>
      <c r="L9523" t="inlineStr">
        <is>
          <t>18:06:40</t>
        </is>
      </c>
      <c r="M9523" t="inlineStr">
        <is>
          <t>18:07:10</t>
        </is>
      </c>
      <c r="P9523" t="inlineStr">
        <is>
          <t>D系統(日中)</t>
        </is>
      </c>
    </row>
    <row r="9524" ht="15" customHeight="1" s="37">
      <c r="A9524" t="n">
        <v>8</v>
      </c>
      <c r="B9524" s="10" t="inlineStr">
        <is>
          <t>平日</t>
        </is>
      </c>
      <c r="C9524" s="10" t="inlineStr">
        <is>
          <t>本線</t>
        </is>
      </c>
      <c r="D9524" s="10" t="inlineStr">
        <is>
          <t>上り</t>
        </is>
      </c>
      <c r="E9524" s="10" t="inlineStr">
        <is>
          <t>連1802</t>
        </is>
      </c>
      <c r="F9524" t="inlineStr">
        <is>
          <t>2221</t>
        </is>
      </c>
      <c r="G9524" s="10" t="inlineStr">
        <is>
          <t>有栖川</t>
        </is>
      </c>
      <c r="H9524" s="10" t="inlineStr">
        <is>
          <t>発</t>
        </is>
      </c>
      <c r="J9524" s="10" t="inlineStr">
        <is>
          <t>営業</t>
        </is>
      </c>
      <c r="L9524" t="inlineStr">
        <is>
          <t>18:08:35</t>
        </is>
      </c>
      <c r="M9524" t="inlineStr">
        <is>
          <t>18:08:55</t>
        </is>
      </c>
      <c r="P9524" t="inlineStr">
        <is>
          <t>D系統(日中)</t>
        </is>
      </c>
    </row>
    <row r="9525" ht="15" customHeight="1" s="37">
      <c r="A9525" t="n">
        <v>8</v>
      </c>
      <c r="B9525" s="10" t="inlineStr">
        <is>
          <t>平日</t>
        </is>
      </c>
      <c r="C9525" s="10" t="inlineStr">
        <is>
          <t>本線</t>
        </is>
      </c>
      <c r="D9525" s="10" t="inlineStr">
        <is>
          <t>上り</t>
        </is>
      </c>
      <c r="E9525" s="10" t="inlineStr">
        <is>
          <t>連1802</t>
        </is>
      </c>
      <c r="F9525" t="inlineStr">
        <is>
          <t>2221</t>
        </is>
      </c>
      <c r="G9525" s="10" t="inlineStr">
        <is>
          <t>帷子ノ辻</t>
        </is>
      </c>
      <c r="H9525" s="10" t="inlineStr">
        <is>
          <t>発</t>
        </is>
      </c>
      <c r="J9525" s="10" t="inlineStr">
        <is>
          <t>営業</t>
        </is>
      </c>
      <c r="L9525" t="inlineStr">
        <is>
          <t>18:10:10</t>
        </is>
      </c>
      <c r="M9525" t="inlineStr">
        <is>
          <t>18:11:15</t>
        </is>
      </c>
      <c r="P9525" t="inlineStr">
        <is>
          <t>D系統(日中)</t>
        </is>
      </c>
    </row>
    <row r="9526" ht="15" customHeight="1" s="37">
      <c r="A9526" t="n">
        <v>8</v>
      </c>
      <c r="B9526" s="10" t="inlineStr">
        <is>
          <t>平日</t>
        </is>
      </c>
      <c r="C9526" s="10" t="inlineStr">
        <is>
          <t>本線</t>
        </is>
      </c>
      <c r="D9526" s="10" t="inlineStr">
        <is>
          <t>上り</t>
        </is>
      </c>
      <c r="E9526" s="10" t="inlineStr">
        <is>
          <t>連1802</t>
        </is>
      </c>
      <c r="F9526" t="inlineStr">
        <is>
          <t>2221</t>
        </is>
      </c>
      <c r="G9526" s="10" t="inlineStr">
        <is>
          <t>太秦広隆寺</t>
        </is>
      </c>
      <c r="H9526" s="10" t="inlineStr">
        <is>
          <t>発</t>
        </is>
      </c>
      <c r="J9526" s="10" t="inlineStr">
        <is>
          <t>営業</t>
        </is>
      </c>
      <c r="L9526" t="inlineStr">
        <is>
          <t>18:13:25</t>
        </is>
      </c>
      <c r="M9526" t="inlineStr">
        <is>
          <t>18:13:45</t>
        </is>
      </c>
      <c r="P9526" t="inlineStr">
        <is>
          <t>D系統(日中)</t>
        </is>
      </c>
    </row>
    <row r="9527" ht="15" customHeight="1" s="37">
      <c r="A9527" t="n">
        <v>8</v>
      </c>
      <c r="B9527" s="10" t="inlineStr">
        <is>
          <t>平日</t>
        </is>
      </c>
      <c r="C9527" s="10" t="inlineStr">
        <is>
          <t>本線</t>
        </is>
      </c>
      <c r="D9527" s="10" t="inlineStr">
        <is>
          <t>上り</t>
        </is>
      </c>
      <c r="E9527" s="10" t="inlineStr">
        <is>
          <t>連1802</t>
        </is>
      </c>
      <c r="F9527" t="inlineStr">
        <is>
          <t>2221</t>
        </is>
      </c>
      <c r="G9527" s="10" t="inlineStr">
        <is>
          <t>蚕ノ社</t>
        </is>
      </c>
      <c r="H9527" s="10" t="inlineStr">
        <is>
          <t>発</t>
        </is>
      </c>
      <c r="J9527" s="10" t="inlineStr">
        <is>
          <t>営業</t>
        </is>
      </c>
      <c r="L9527" t="inlineStr">
        <is>
          <t>18:15:00</t>
        </is>
      </c>
      <c r="M9527" t="inlineStr">
        <is>
          <t>18:15:20</t>
        </is>
      </c>
      <c r="P9527" t="inlineStr">
        <is>
          <t>D系統(日中)</t>
        </is>
      </c>
    </row>
    <row r="9528" ht="15" customHeight="1" s="37">
      <c r="A9528" t="n">
        <v>8</v>
      </c>
      <c r="B9528" s="10" t="inlineStr">
        <is>
          <t>平日</t>
        </is>
      </c>
      <c r="C9528" s="10" t="inlineStr">
        <is>
          <t>本線</t>
        </is>
      </c>
      <c r="D9528" s="10" t="inlineStr">
        <is>
          <t>上り</t>
        </is>
      </c>
      <c r="E9528" s="10" t="inlineStr">
        <is>
          <t>連1802</t>
        </is>
      </c>
      <c r="F9528" t="inlineStr">
        <is>
          <t>2221</t>
        </is>
      </c>
      <c r="G9528" s="10" t="inlineStr">
        <is>
          <t>天神川</t>
        </is>
      </c>
      <c r="H9528" s="10" t="inlineStr">
        <is>
          <t>発</t>
        </is>
      </c>
      <c r="J9528" s="10" t="inlineStr">
        <is>
          <t>営業</t>
        </is>
      </c>
      <c r="L9528" t="inlineStr">
        <is>
          <t>18:16:05</t>
        </is>
      </c>
      <c r="M9528" t="inlineStr">
        <is>
          <t>18:16:50</t>
        </is>
      </c>
      <c r="P9528" t="inlineStr">
        <is>
          <t>D系統(日中)</t>
        </is>
      </c>
    </row>
    <row r="9529" ht="15" customHeight="1" s="37">
      <c r="A9529" t="n">
        <v>8</v>
      </c>
      <c r="B9529" s="10" t="inlineStr">
        <is>
          <t>平日</t>
        </is>
      </c>
      <c r="C9529" s="10" t="inlineStr">
        <is>
          <t>本線</t>
        </is>
      </c>
      <c r="D9529" s="10" t="inlineStr">
        <is>
          <t>上り</t>
        </is>
      </c>
      <c r="E9529" s="10" t="inlineStr">
        <is>
          <t>連1802</t>
        </is>
      </c>
      <c r="F9529" t="inlineStr">
        <is>
          <t>2221</t>
        </is>
      </c>
      <c r="G9529" s="10" t="inlineStr">
        <is>
          <t>山ノ内</t>
        </is>
      </c>
      <c r="H9529" s="10" t="inlineStr">
        <is>
          <t>発</t>
        </is>
      </c>
      <c r="J9529" s="10" t="inlineStr">
        <is>
          <t>営業</t>
        </is>
      </c>
      <c r="L9529" t="inlineStr">
        <is>
          <t>18:18:40</t>
        </is>
      </c>
      <c r="M9529" t="inlineStr">
        <is>
          <t>18:19:05</t>
        </is>
      </c>
      <c r="P9529" t="inlineStr">
        <is>
          <t>D系統(日中)</t>
        </is>
      </c>
    </row>
    <row r="9530" ht="15" customHeight="1" s="37">
      <c r="A9530" t="n">
        <v>8</v>
      </c>
      <c r="B9530" s="10" t="inlineStr">
        <is>
          <t>平日</t>
        </is>
      </c>
      <c r="C9530" s="10" t="inlineStr">
        <is>
          <t>本線</t>
        </is>
      </c>
      <c r="D9530" s="10" t="inlineStr">
        <is>
          <t>上り</t>
        </is>
      </c>
      <c r="E9530" s="10" t="inlineStr">
        <is>
          <t>連1802</t>
        </is>
      </c>
      <c r="F9530" t="inlineStr">
        <is>
          <t>2221</t>
        </is>
      </c>
      <c r="G9530" s="10" t="inlineStr">
        <is>
          <t>西大路三条</t>
        </is>
      </c>
      <c r="H9530" s="10" t="inlineStr">
        <is>
          <t>発</t>
        </is>
      </c>
      <c r="J9530" s="10" t="inlineStr">
        <is>
          <t>営業</t>
        </is>
      </c>
      <c r="L9530" t="inlineStr">
        <is>
          <t>18:20:55</t>
        </is>
      </c>
      <c r="M9530" t="inlineStr">
        <is>
          <t>18:21:15</t>
        </is>
      </c>
      <c r="P9530" t="inlineStr">
        <is>
          <t>D系統(日中)</t>
        </is>
      </c>
    </row>
    <row r="9531" ht="15" customHeight="1" s="37">
      <c r="A9531" t="n">
        <v>8</v>
      </c>
      <c r="B9531" s="10" t="inlineStr">
        <is>
          <t>平日</t>
        </is>
      </c>
      <c r="C9531" s="10" t="inlineStr">
        <is>
          <t>本線</t>
        </is>
      </c>
      <c r="D9531" s="10" t="inlineStr">
        <is>
          <t>上り</t>
        </is>
      </c>
      <c r="E9531" s="10" t="inlineStr">
        <is>
          <t>連1802</t>
        </is>
      </c>
      <c r="F9531" t="inlineStr">
        <is>
          <t>2221</t>
        </is>
      </c>
      <c r="G9531" s="10" t="inlineStr">
        <is>
          <t>西院</t>
        </is>
      </c>
      <c r="H9531" s="10" t="inlineStr">
        <is>
          <t>発</t>
        </is>
      </c>
      <c r="J9531" s="10" t="inlineStr">
        <is>
          <t>営業</t>
        </is>
      </c>
      <c r="L9531" t="inlineStr">
        <is>
          <t>18:23:10</t>
        </is>
      </c>
      <c r="M9531" t="inlineStr">
        <is>
          <t>18:24:05</t>
        </is>
      </c>
      <c r="P9531" t="inlineStr">
        <is>
          <t>D系統(日中)</t>
        </is>
      </c>
    </row>
    <row r="9532" ht="15" customHeight="1" s="37">
      <c r="A9532" t="n">
        <v>8</v>
      </c>
      <c r="B9532" s="10" t="inlineStr">
        <is>
          <t>平日</t>
        </is>
      </c>
      <c r="C9532" s="10" t="inlineStr">
        <is>
          <t>本線</t>
        </is>
      </c>
      <c r="D9532" s="10" t="inlineStr">
        <is>
          <t>上り</t>
        </is>
      </c>
      <c r="E9532" s="10" t="inlineStr">
        <is>
          <t>連1802</t>
        </is>
      </c>
      <c r="F9532" t="inlineStr">
        <is>
          <t>2221</t>
        </is>
      </c>
      <c r="G9532" s="10" t="inlineStr">
        <is>
          <t>四条大宮</t>
        </is>
      </c>
      <c r="H9532" s="10" t="inlineStr">
        <is>
          <t>着</t>
        </is>
      </c>
      <c r="J9532" s="10" t="inlineStr">
        <is>
          <t>営業</t>
        </is>
      </c>
      <c r="L9532" t="inlineStr">
        <is>
          <t>18:27:00</t>
        </is>
      </c>
      <c r="P9532" t="inlineStr">
        <is>
          <t>D系統(日中)</t>
        </is>
      </c>
      <c r="Q9532" t="inlineStr">
        <is>
          <t>1</t>
        </is>
      </c>
    </row>
    <row r="9533" ht="15" customHeight="1" s="37">
      <c r="A9533" t="n">
        <v>8</v>
      </c>
      <c r="B9533" s="10" t="inlineStr">
        <is>
          <t>平日</t>
        </is>
      </c>
      <c r="C9533" s="10" t="inlineStr">
        <is>
          <t>本線</t>
        </is>
      </c>
      <c r="D9533" s="10" t="inlineStr">
        <is>
          <t>下り</t>
        </is>
      </c>
      <c r="E9533" s="10" t="inlineStr">
        <is>
          <t>連1807</t>
        </is>
      </c>
      <c r="F9533" t="inlineStr">
        <is>
          <t>0122</t>
        </is>
      </c>
      <c r="G9533" s="10" t="inlineStr">
        <is>
          <t>四条大宮</t>
        </is>
      </c>
      <c r="H9533" s="10" t="inlineStr">
        <is>
          <t>発</t>
        </is>
      </c>
      <c r="J9533" s="10" t="inlineStr">
        <is>
          <t>営業</t>
        </is>
      </c>
      <c r="M9533" t="inlineStr">
        <is>
          <t>18:33:00</t>
        </is>
      </c>
      <c r="P9533" t="inlineStr">
        <is>
          <t>D系統(日中)</t>
        </is>
      </c>
      <c r="Q9533" t="inlineStr">
        <is>
          <t>1</t>
        </is>
      </c>
    </row>
    <row r="9534" ht="15" customHeight="1" s="37">
      <c r="A9534" t="n">
        <v>8</v>
      </c>
      <c r="B9534" s="10" t="inlineStr">
        <is>
          <t>平日</t>
        </is>
      </c>
      <c r="C9534" s="10" t="inlineStr">
        <is>
          <t>本線</t>
        </is>
      </c>
      <c r="D9534" s="10" t="inlineStr">
        <is>
          <t>下り</t>
        </is>
      </c>
      <c r="E9534" s="10" t="inlineStr">
        <is>
          <t>連1807</t>
        </is>
      </c>
      <c r="F9534" t="inlineStr">
        <is>
          <t>0122</t>
        </is>
      </c>
      <c r="G9534" s="10" t="inlineStr">
        <is>
          <t>西院</t>
        </is>
      </c>
      <c r="H9534" s="10" t="inlineStr">
        <is>
          <t>発</t>
        </is>
      </c>
      <c r="J9534" s="10" t="inlineStr">
        <is>
          <t>営業</t>
        </is>
      </c>
      <c r="L9534" t="inlineStr">
        <is>
          <t>18:35:50</t>
        </is>
      </c>
      <c r="M9534" t="inlineStr">
        <is>
          <t>18:36:20</t>
        </is>
      </c>
      <c r="P9534" t="inlineStr">
        <is>
          <t>D系統(日中)</t>
        </is>
      </c>
    </row>
    <row r="9535" ht="15" customHeight="1" s="37">
      <c r="A9535" t="n">
        <v>8</v>
      </c>
      <c r="B9535" s="10" t="inlineStr">
        <is>
          <t>平日</t>
        </is>
      </c>
      <c r="C9535" s="10" t="inlineStr">
        <is>
          <t>本線</t>
        </is>
      </c>
      <c r="D9535" s="10" t="inlineStr">
        <is>
          <t>下り</t>
        </is>
      </c>
      <c r="E9535" s="10" t="inlineStr">
        <is>
          <t>連1807</t>
        </is>
      </c>
      <c r="F9535" t="inlineStr">
        <is>
          <t>0122</t>
        </is>
      </c>
      <c r="G9535" s="10" t="inlineStr">
        <is>
          <t>西大路三条</t>
        </is>
      </c>
      <c r="H9535" s="10" t="inlineStr">
        <is>
          <t>発</t>
        </is>
      </c>
      <c r="J9535" s="10" t="inlineStr">
        <is>
          <t>営業</t>
        </is>
      </c>
      <c r="L9535" t="inlineStr">
        <is>
          <t>18:38:10</t>
        </is>
      </c>
      <c r="M9535" t="inlineStr">
        <is>
          <t>18:38:30</t>
        </is>
      </c>
      <c r="P9535" t="inlineStr">
        <is>
          <t>D系統(日中)</t>
        </is>
      </c>
    </row>
    <row r="9536" ht="15" customHeight="1" s="37">
      <c r="A9536" t="n">
        <v>8</v>
      </c>
      <c r="B9536" s="10" t="inlineStr">
        <is>
          <t>平日</t>
        </is>
      </c>
      <c r="C9536" s="10" t="inlineStr">
        <is>
          <t>本線</t>
        </is>
      </c>
      <c r="D9536" s="10" t="inlineStr">
        <is>
          <t>下り</t>
        </is>
      </c>
      <c r="E9536" s="10" t="inlineStr">
        <is>
          <t>連1807</t>
        </is>
      </c>
      <c r="F9536" t="inlineStr">
        <is>
          <t>0122</t>
        </is>
      </c>
      <c r="G9536" s="10" t="inlineStr">
        <is>
          <t>山ノ内</t>
        </is>
      </c>
      <c r="H9536" s="10" t="inlineStr">
        <is>
          <t>発</t>
        </is>
      </c>
      <c r="J9536" s="10" t="inlineStr">
        <is>
          <t>営業</t>
        </is>
      </c>
      <c r="L9536" t="inlineStr">
        <is>
          <t>18:40:25</t>
        </is>
      </c>
      <c r="M9536" t="inlineStr">
        <is>
          <t>18:40:50</t>
        </is>
      </c>
      <c r="P9536" t="inlineStr">
        <is>
          <t>D系統(日中)</t>
        </is>
      </c>
    </row>
    <row r="9537" ht="15" customHeight="1" s="37">
      <c r="A9537" t="n">
        <v>8</v>
      </c>
      <c r="B9537" s="10" t="inlineStr">
        <is>
          <t>平日</t>
        </is>
      </c>
      <c r="C9537" s="10" t="inlineStr">
        <is>
          <t>本線</t>
        </is>
      </c>
      <c r="D9537" s="10" t="inlineStr">
        <is>
          <t>下り</t>
        </is>
      </c>
      <c r="E9537" s="10" t="inlineStr">
        <is>
          <t>連1807</t>
        </is>
      </c>
      <c r="F9537" t="inlineStr">
        <is>
          <t>0122</t>
        </is>
      </c>
      <c r="G9537" s="10" t="inlineStr">
        <is>
          <t>天神川</t>
        </is>
      </c>
      <c r="H9537" s="10" t="inlineStr">
        <is>
          <t>発</t>
        </is>
      </c>
      <c r="J9537" s="10" t="inlineStr">
        <is>
          <t>営業</t>
        </is>
      </c>
      <c r="L9537" t="inlineStr">
        <is>
          <t>18:42:50</t>
        </is>
      </c>
      <c r="M9537" t="inlineStr">
        <is>
          <t>18:43:30</t>
        </is>
      </c>
      <c r="P9537" t="inlineStr">
        <is>
          <t>D系統(日中)</t>
        </is>
      </c>
    </row>
    <row r="9538" ht="15" customHeight="1" s="37">
      <c r="A9538" t="n">
        <v>8</v>
      </c>
      <c r="B9538" s="10" t="inlineStr">
        <is>
          <t>平日</t>
        </is>
      </c>
      <c r="C9538" s="10" t="inlineStr">
        <is>
          <t>本線</t>
        </is>
      </c>
      <c r="D9538" s="10" t="inlineStr">
        <is>
          <t>下り</t>
        </is>
      </c>
      <c r="E9538" s="10" t="inlineStr">
        <is>
          <t>連1807</t>
        </is>
      </c>
      <c r="F9538" t="inlineStr">
        <is>
          <t>0122</t>
        </is>
      </c>
      <c r="G9538" s="10" t="inlineStr">
        <is>
          <t>蚕ノ社</t>
        </is>
      </c>
      <c r="H9538" s="10" t="inlineStr">
        <is>
          <t>発</t>
        </is>
      </c>
      <c r="J9538" s="10" t="inlineStr">
        <is>
          <t>営業</t>
        </is>
      </c>
      <c r="L9538" t="inlineStr">
        <is>
          <t>18:44:20</t>
        </is>
      </c>
      <c r="M9538" t="inlineStr">
        <is>
          <t>18:44:40</t>
        </is>
      </c>
      <c r="P9538" t="inlineStr">
        <is>
          <t>D系統(日中)</t>
        </is>
      </c>
    </row>
    <row r="9539" ht="15" customHeight="1" s="37">
      <c r="A9539" t="n">
        <v>8</v>
      </c>
      <c r="B9539" s="10" t="inlineStr">
        <is>
          <t>平日</t>
        </is>
      </c>
      <c r="C9539" s="10" t="inlineStr">
        <is>
          <t>本線</t>
        </is>
      </c>
      <c r="D9539" s="10" t="inlineStr">
        <is>
          <t>下り</t>
        </is>
      </c>
      <c r="E9539" s="10" t="inlineStr">
        <is>
          <t>連1807</t>
        </is>
      </c>
      <c r="F9539" t="inlineStr">
        <is>
          <t>0122</t>
        </is>
      </c>
      <c r="G9539" s="10" t="inlineStr">
        <is>
          <t>太秦広隆寺</t>
        </is>
      </c>
      <c r="H9539" s="10" t="inlineStr">
        <is>
          <t>発</t>
        </is>
      </c>
      <c r="J9539" s="10" t="inlineStr">
        <is>
          <t>営業</t>
        </is>
      </c>
      <c r="L9539" t="inlineStr">
        <is>
          <t>18:46:00</t>
        </is>
      </c>
      <c r="M9539" t="inlineStr">
        <is>
          <t>18:46:20</t>
        </is>
      </c>
      <c r="P9539" t="inlineStr">
        <is>
          <t>D系統(日中)</t>
        </is>
      </c>
    </row>
    <row r="9540" ht="15" customHeight="1" s="37">
      <c r="A9540" t="n">
        <v>8</v>
      </c>
      <c r="B9540" s="10" t="inlineStr">
        <is>
          <t>平日</t>
        </is>
      </c>
      <c r="C9540" s="10" t="inlineStr">
        <is>
          <t>本線</t>
        </is>
      </c>
      <c r="D9540" s="10" t="inlineStr">
        <is>
          <t>下り</t>
        </is>
      </c>
      <c r="E9540" s="10" t="inlineStr">
        <is>
          <t>連1807</t>
        </is>
      </c>
      <c r="F9540" t="inlineStr">
        <is>
          <t>0122</t>
        </is>
      </c>
      <c r="G9540" s="10" t="inlineStr">
        <is>
          <t>帷子ノ辻</t>
        </is>
      </c>
      <c r="H9540" s="10" t="inlineStr">
        <is>
          <t>発</t>
        </is>
      </c>
      <c r="J9540" s="10" t="inlineStr">
        <is>
          <t>営業</t>
        </is>
      </c>
      <c r="L9540" t="inlineStr">
        <is>
          <t>18:48:20</t>
        </is>
      </c>
      <c r="M9540" t="inlineStr">
        <is>
          <t>18:49:40</t>
        </is>
      </c>
      <c r="P9540" t="inlineStr">
        <is>
          <t>D系統(日中)</t>
        </is>
      </c>
    </row>
    <row r="9541" ht="16.5" customHeight="1" s="37">
      <c r="A9541" t="n">
        <v>8</v>
      </c>
      <c r="B9541" s="10" t="inlineStr">
        <is>
          <t>平日</t>
        </is>
      </c>
      <c r="C9541" s="10" t="inlineStr">
        <is>
          <t>本線</t>
        </is>
      </c>
      <c r="D9541" s="10" t="inlineStr">
        <is>
          <t>下り</t>
        </is>
      </c>
      <c r="E9541" s="10" t="inlineStr">
        <is>
          <t>連1807</t>
        </is>
      </c>
      <c r="F9541" t="inlineStr">
        <is>
          <t>0122</t>
        </is>
      </c>
      <c r="G9541" s="10" t="inlineStr">
        <is>
          <t>有栖川</t>
        </is>
      </c>
      <c r="H9541" s="10" t="inlineStr">
        <is>
          <t>発</t>
        </is>
      </c>
      <c r="J9541" s="10" t="inlineStr">
        <is>
          <t>営業</t>
        </is>
      </c>
      <c r="L9541" t="inlineStr">
        <is>
          <t>18:50:50</t>
        </is>
      </c>
      <c r="M9541" t="inlineStr">
        <is>
          <t>18:51:15</t>
        </is>
      </c>
      <c r="P9541" t="inlineStr">
        <is>
          <t>D系統(日中)</t>
        </is>
      </c>
    </row>
    <row r="9542" ht="16.5" customHeight="1" s="37">
      <c r="A9542" t="n">
        <v>8</v>
      </c>
      <c r="B9542" s="10" t="inlineStr">
        <is>
          <t>平日</t>
        </is>
      </c>
      <c r="C9542" s="10" t="inlineStr">
        <is>
          <t>本線</t>
        </is>
      </c>
      <c r="D9542" s="10" t="inlineStr">
        <is>
          <t>下り</t>
        </is>
      </c>
      <c r="E9542" s="10" t="inlineStr">
        <is>
          <t>連1807</t>
        </is>
      </c>
      <c r="F9542" t="inlineStr">
        <is>
          <t>0122</t>
        </is>
      </c>
      <c r="G9542" s="10" t="inlineStr">
        <is>
          <t>車折</t>
        </is>
      </c>
      <c r="H9542" s="10" t="inlineStr">
        <is>
          <t>発</t>
        </is>
      </c>
      <c r="J9542" s="10" t="inlineStr">
        <is>
          <t>営業</t>
        </is>
      </c>
      <c r="L9542" t="inlineStr">
        <is>
          <t>18:52:40</t>
        </is>
      </c>
      <c r="M9542" t="inlineStr">
        <is>
          <t>18:53:05</t>
        </is>
      </c>
      <c r="P9542" t="inlineStr">
        <is>
          <t>D系統(日中)</t>
        </is>
      </c>
    </row>
    <row r="9543" ht="16.5" customHeight="1" s="37">
      <c r="A9543" t="n">
        <v>8</v>
      </c>
      <c r="B9543" s="10" t="inlineStr">
        <is>
          <t>平日</t>
        </is>
      </c>
      <c r="C9543" s="10" t="inlineStr">
        <is>
          <t>本線</t>
        </is>
      </c>
      <c r="D9543" s="10" t="inlineStr">
        <is>
          <t>下り</t>
        </is>
      </c>
      <c r="E9543" s="10" t="inlineStr">
        <is>
          <t>連1807</t>
        </is>
      </c>
      <c r="F9543" t="inlineStr">
        <is>
          <t>0122</t>
        </is>
      </c>
      <c r="G9543" s="10" t="inlineStr">
        <is>
          <t>鹿王院</t>
        </is>
      </c>
      <c r="H9543" s="10" t="inlineStr">
        <is>
          <t>発</t>
        </is>
      </c>
      <c r="J9543" s="10" t="inlineStr">
        <is>
          <t>営業</t>
        </is>
      </c>
      <c r="L9543" t="inlineStr">
        <is>
          <t>18:54:00</t>
        </is>
      </c>
      <c r="M9543" t="inlineStr">
        <is>
          <t>18:54:25</t>
        </is>
      </c>
      <c r="P9543" t="inlineStr">
        <is>
          <t>D系統(日中)</t>
        </is>
      </c>
    </row>
    <row r="9544" ht="16.5" customHeight="1" s="37">
      <c r="A9544" t="n">
        <v>8</v>
      </c>
      <c r="B9544" s="10" t="inlineStr">
        <is>
          <t>平日</t>
        </is>
      </c>
      <c r="C9544" s="10" t="inlineStr">
        <is>
          <t>本線</t>
        </is>
      </c>
      <c r="D9544" s="10" t="inlineStr">
        <is>
          <t>下り</t>
        </is>
      </c>
      <c r="E9544" s="10" t="inlineStr">
        <is>
          <t>連1807</t>
        </is>
      </c>
      <c r="F9544" t="inlineStr">
        <is>
          <t>0122</t>
        </is>
      </c>
      <c r="G9544" s="10" t="inlineStr">
        <is>
          <t>嵯峨</t>
        </is>
      </c>
      <c r="H9544" s="10" t="inlineStr">
        <is>
          <t>発</t>
        </is>
      </c>
      <c r="J9544" s="10" t="inlineStr">
        <is>
          <t>営業</t>
        </is>
      </c>
      <c r="L9544" t="inlineStr">
        <is>
          <t>18:55:30</t>
        </is>
      </c>
      <c r="M9544" t="inlineStr">
        <is>
          <t>18:55:55</t>
        </is>
      </c>
      <c r="P9544" t="inlineStr">
        <is>
          <t>D系統(日中)</t>
        </is>
      </c>
    </row>
    <row r="9545" ht="16.5" customHeight="1" s="37">
      <c r="A9545" t="n">
        <v>8</v>
      </c>
      <c r="B9545" s="10" t="inlineStr">
        <is>
          <t>平日</t>
        </is>
      </c>
      <c r="C9545" s="10" t="inlineStr">
        <is>
          <t>本線</t>
        </is>
      </c>
      <c r="D9545" s="10" t="inlineStr">
        <is>
          <t>下り</t>
        </is>
      </c>
      <c r="E9545" s="10" t="inlineStr">
        <is>
          <t>連1807</t>
        </is>
      </c>
      <c r="F9545" t="inlineStr">
        <is>
          <t>0122</t>
        </is>
      </c>
      <c r="G9545" s="10" t="inlineStr">
        <is>
          <t>嵐山</t>
        </is>
      </c>
      <c r="H9545" s="10" t="inlineStr">
        <is>
          <t>着</t>
        </is>
      </c>
      <c r="J9545" s="10" t="inlineStr">
        <is>
          <t>営業</t>
        </is>
      </c>
      <c r="L9545" t="inlineStr">
        <is>
          <t>18:57:00</t>
        </is>
      </c>
      <c r="N9545" t="inlineStr">
        <is>
          <t>○</t>
        </is>
      </c>
      <c r="P9545" t="inlineStr">
        <is>
          <t>D系統(日中)</t>
        </is>
      </c>
      <c r="Q9545" t="inlineStr">
        <is>
          <t>1</t>
        </is>
      </c>
    </row>
    <row r="9546" ht="16.5" customHeight="1" s="37">
      <c r="A9546" t="n">
        <v>8</v>
      </c>
      <c r="B9546" s="10" t="inlineStr">
        <is>
          <t>平日</t>
        </is>
      </c>
      <c r="C9546" s="10" t="inlineStr">
        <is>
          <t>本線</t>
        </is>
      </c>
      <c r="D9546" s="10" t="inlineStr">
        <is>
          <t>上り</t>
        </is>
      </c>
      <c r="E9546" s="10" t="inlineStr">
        <is>
          <t>連1902</t>
        </is>
      </c>
      <c r="F9546" t="inlineStr">
        <is>
          <t>2221</t>
        </is>
      </c>
      <c r="G9546" s="10" t="inlineStr">
        <is>
          <t>嵐山</t>
        </is>
      </c>
      <c r="H9546" s="10" t="inlineStr">
        <is>
          <t>発</t>
        </is>
      </c>
      <c r="J9546" s="10" t="inlineStr">
        <is>
          <t>営業</t>
        </is>
      </c>
      <c r="M9546" t="inlineStr">
        <is>
          <t>19:03:00</t>
        </is>
      </c>
      <c r="P9546" t="inlineStr">
        <is>
          <t>D系統(日中)</t>
        </is>
      </c>
      <c r="Q9546" t="inlineStr">
        <is>
          <t>1</t>
        </is>
      </c>
    </row>
    <row r="9547" ht="16.5" customHeight="1" s="37">
      <c r="A9547" t="n">
        <v>8</v>
      </c>
      <c r="B9547" s="10" t="inlineStr">
        <is>
          <t>平日</t>
        </is>
      </c>
      <c r="C9547" s="10" t="inlineStr">
        <is>
          <t>本線</t>
        </is>
      </c>
      <c r="D9547" s="10" t="inlineStr">
        <is>
          <t>上り</t>
        </is>
      </c>
      <c r="E9547" s="10" t="inlineStr">
        <is>
          <t>連1902</t>
        </is>
      </c>
      <c r="F9547" t="inlineStr">
        <is>
          <t>2221</t>
        </is>
      </c>
      <c r="G9547" s="10" t="inlineStr">
        <is>
          <t>嵯峨</t>
        </is>
      </c>
      <c r="H9547" s="10" t="inlineStr">
        <is>
          <t>発</t>
        </is>
      </c>
      <c r="J9547" s="10" t="inlineStr">
        <is>
          <t>営業</t>
        </is>
      </c>
      <c r="L9547" t="inlineStr">
        <is>
          <t>19:03:55</t>
        </is>
      </c>
      <c r="M9547" t="inlineStr">
        <is>
          <t>19:04:20</t>
        </is>
      </c>
      <c r="P9547" t="inlineStr">
        <is>
          <t>D系統(日中)</t>
        </is>
      </c>
    </row>
    <row r="9548" ht="16.5" customHeight="1" s="37">
      <c r="A9548" t="n">
        <v>8</v>
      </c>
      <c r="B9548" s="10" t="inlineStr">
        <is>
          <t>平日</t>
        </is>
      </c>
      <c r="C9548" s="10" t="inlineStr">
        <is>
          <t>本線</t>
        </is>
      </c>
      <c r="D9548" s="10" t="inlineStr">
        <is>
          <t>上り</t>
        </is>
      </c>
      <c r="E9548" s="10" t="inlineStr">
        <is>
          <t>連1902</t>
        </is>
      </c>
      <c r="F9548" t="inlineStr">
        <is>
          <t>2221</t>
        </is>
      </c>
      <c r="G9548" s="10" t="inlineStr">
        <is>
          <t>鹿王院</t>
        </is>
      </c>
      <c r="H9548" s="10" t="inlineStr">
        <is>
          <t>発</t>
        </is>
      </c>
      <c r="J9548" s="10" t="inlineStr">
        <is>
          <t>営業</t>
        </is>
      </c>
      <c r="L9548" t="inlineStr">
        <is>
          <t>19:05:25</t>
        </is>
      </c>
      <c r="M9548" t="inlineStr">
        <is>
          <t>19:05:45</t>
        </is>
      </c>
      <c r="P9548" t="inlineStr">
        <is>
          <t>D系統(日中)</t>
        </is>
      </c>
    </row>
    <row r="9549" ht="16.5" customHeight="1" s="37">
      <c r="A9549" t="n">
        <v>8</v>
      </c>
      <c r="B9549" s="10" t="inlineStr">
        <is>
          <t>平日</t>
        </is>
      </c>
      <c r="C9549" s="10" t="inlineStr">
        <is>
          <t>本線</t>
        </is>
      </c>
      <c r="D9549" s="10" t="inlineStr">
        <is>
          <t>上り</t>
        </is>
      </c>
      <c r="E9549" s="10" t="inlineStr">
        <is>
          <t>連1902</t>
        </is>
      </c>
      <c r="F9549" t="inlineStr">
        <is>
          <t>2221</t>
        </is>
      </c>
      <c r="G9549" s="10" t="inlineStr">
        <is>
          <t>車折</t>
        </is>
      </c>
      <c r="H9549" s="10" t="inlineStr">
        <is>
          <t>発</t>
        </is>
      </c>
      <c r="J9549" s="10" t="inlineStr">
        <is>
          <t>営業</t>
        </is>
      </c>
      <c r="L9549" t="inlineStr">
        <is>
          <t>19:06:40</t>
        </is>
      </c>
      <c r="M9549" t="inlineStr">
        <is>
          <t>19:07:10</t>
        </is>
      </c>
      <c r="P9549" t="inlineStr">
        <is>
          <t>D系統(日中)</t>
        </is>
      </c>
    </row>
    <row r="9550" ht="16.5" customHeight="1" s="37">
      <c r="A9550" t="n">
        <v>8</v>
      </c>
      <c r="B9550" s="10" t="inlineStr">
        <is>
          <t>平日</t>
        </is>
      </c>
      <c r="C9550" s="10" t="inlineStr">
        <is>
          <t>本線</t>
        </is>
      </c>
      <c r="D9550" s="10" t="inlineStr">
        <is>
          <t>上り</t>
        </is>
      </c>
      <c r="E9550" s="10" t="inlineStr">
        <is>
          <t>連1902</t>
        </is>
      </c>
      <c r="F9550" t="inlineStr">
        <is>
          <t>2221</t>
        </is>
      </c>
      <c r="G9550" s="10" t="inlineStr">
        <is>
          <t>有栖川</t>
        </is>
      </c>
      <c r="H9550" s="10" t="inlineStr">
        <is>
          <t>発</t>
        </is>
      </c>
      <c r="J9550" s="10" t="inlineStr">
        <is>
          <t>営業</t>
        </is>
      </c>
      <c r="L9550" t="inlineStr">
        <is>
          <t>19:08:35</t>
        </is>
      </c>
      <c r="M9550" t="inlineStr">
        <is>
          <t>19:08:55</t>
        </is>
      </c>
      <c r="P9550" t="inlineStr">
        <is>
          <t>D系統(日中)</t>
        </is>
      </c>
    </row>
    <row r="9551" ht="16.5" customHeight="1" s="37">
      <c r="A9551" t="n">
        <v>8</v>
      </c>
      <c r="B9551" s="10" t="inlineStr">
        <is>
          <t>平日</t>
        </is>
      </c>
      <c r="C9551" s="10" t="inlineStr">
        <is>
          <t>本線</t>
        </is>
      </c>
      <c r="D9551" s="10" t="inlineStr">
        <is>
          <t>上り</t>
        </is>
      </c>
      <c r="E9551" s="10" t="inlineStr">
        <is>
          <t>連1902</t>
        </is>
      </c>
      <c r="F9551" t="inlineStr">
        <is>
          <t>2221</t>
        </is>
      </c>
      <c r="G9551" s="10" t="inlineStr">
        <is>
          <t>帷子ノ辻</t>
        </is>
      </c>
      <c r="H9551" s="10" t="inlineStr">
        <is>
          <t>発</t>
        </is>
      </c>
      <c r="J9551" s="10" t="inlineStr">
        <is>
          <t>営業</t>
        </is>
      </c>
      <c r="L9551" t="inlineStr">
        <is>
          <t>19:10:10</t>
        </is>
      </c>
      <c r="M9551" t="inlineStr">
        <is>
          <t>19:11:15</t>
        </is>
      </c>
      <c r="P9551" t="inlineStr">
        <is>
          <t>D系統(日中)</t>
        </is>
      </c>
    </row>
    <row r="9552" ht="16.5" customHeight="1" s="37">
      <c r="A9552" t="n">
        <v>8</v>
      </c>
      <c r="B9552" s="10" t="inlineStr">
        <is>
          <t>平日</t>
        </is>
      </c>
      <c r="C9552" s="10" t="inlineStr">
        <is>
          <t>本線</t>
        </is>
      </c>
      <c r="D9552" s="10" t="inlineStr">
        <is>
          <t>上り</t>
        </is>
      </c>
      <c r="E9552" s="10" t="inlineStr">
        <is>
          <t>連1902</t>
        </is>
      </c>
      <c r="F9552" t="inlineStr">
        <is>
          <t>2221</t>
        </is>
      </c>
      <c r="G9552" s="10" t="inlineStr">
        <is>
          <t>太秦広隆寺</t>
        </is>
      </c>
      <c r="H9552" s="10" t="inlineStr">
        <is>
          <t>発</t>
        </is>
      </c>
      <c r="J9552" s="10" t="inlineStr">
        <is>
          <t>営業</t>
        </is>
      </c>
      <c r="L9552" t="inlineStr">
        <is>
          <t>19:13:25</t>
        </is>
      </c>
      <c r="M9552" t="inlineStr">
        <is>
          <t>19:13:45</t>
        </is>
      </c>
      <c r="P9552" t="inlineStr">
        <is>
          <t>D系統(日中)</t>
        </is>
      </c>
    </row>
    <row r="9553" ht="16.5" customHeight="1" s="37">
      <c r="A9553" t="n">
        <v>8</v>
      </c>
      <c r="B9553" s="10" t="inlineStr">
        <is>
          <t>平日</t>
        </is>
      </c>
      <c r="C9553" s="10" t="inlineStr">
        <is>
          <t>本線</t>
        </is>
      </c>
      <c r="D9553" s="10" t="inlineStr">
        <is>
          <t>上り</t>
        </is>
      </c>
      <c r="E9553" s="10" t="inlineStr">
        <is>
          <t>連1902</t>
        </is>
      </c>
      <c r="F9553" t="inlineStr">
        <is>
          <t>2221</t>
        </is>
      </c>
      <c r="G9553" s="10" t="inlineStr">
        <is>
          <t>蚕ノ社</t>
        </is>
      </c>
      <c r="H9553" s="10" t="inlineStr">
        <is>
          <t>発</t>
        </is>
      </c>
      <c r="J9553" s="10" t="inlineStr">
        <is>
          <t>営業</t>
        </is>
      </c>
      <c r="L9553" t="inlineStr">
        <is>
          <t>19:15:00</t>
        </is>
      </c>
      <c r="M9553" t="inlineStr">
        <is>
          <t>19:15:20</t>
        </is>
      </c>
      <c r="P9553" t="inlineStr">
        <is>
          <t>D系統(日中)</t>
        </is>
      </c>
    </row>
    <row r="9554" ht="16.5" customHeight="1" s="37">
      <c r="A9554" t="n">
        <v>8</v>
      </c>
      <c r="B9554" s="10" t="inlineStr">
        <is>
          <t>平日</t>
        </is>
      </c>
      <c r="C9554" s="10" t="inlineStr">
        <is>
          <t>本線</t>
        </is>
      </c>
      <c r="D9554" s="10" t="inlineStr">
        <is>
          <t>上り</t>
        </is>
      </c>
      <c r="E9554" s="10" t="inlineStr">
        <is>
          <t>連1902</t>
        </is>
      </c>
      <c r="F9554" t="inlineStr">
        <is>
          <t>2221</t>
        </is>
      </c>
      <c r="G9554" s="10" t="inlineStr">
        <is>
          <t>天神川</t>
        </is>
      </c>
      <c r="H9554" s="10" t="inlineStr">
        <is>
          <t>発</t>
        </is>
      </c>
      <c r="J9554" s="10" t="inlineStr">
        <is>
          <t>営業</t>
        </is>
      </c>
      <c r="L9554" t="inlineStr">
        <is>
          <t>19:16:05</t>
        </is>
      </c>
      <c r="M9554" t="inlineStr">
        <is>
          <t>19:16:50</t>
        </is>
      </c>
      <c r="P9554" t="inlineStr">
        <is>
          <t>D系統(日中)</t>
        </is>
      </c>
    </row>
    <row r="9555" ht="16.5" customHeight="1" s="37">
      <c r="A9555" t="n">
        <v>8</v>
      </c>
      <c r="B9555" s="10" t="inlineStr">
        <is>
          <t>平日</t>
        </is>
      </c>
      <c r="C9555" s="10" t="inlineStr">
        <is>
          <t>本線</t>
        </is>
      </c>
      <c r="D9555" s="10" t="inlineStr">
        <is>
          <t>上り</t>
        </is>
      </c>
      <c r="E9555" s="10" t="inlineStr">
        <is>
          <t>連1902</t>
        </is>
      </c>
      <c r="F9555" t="inlineStr">
        <is>
          <t>2221</t>
        </is>
      </c>
      <c r="G9555" s="10" t="inlineStr">
        <is>
          <t>山ノ内</t>
        </is>
      </c>
      <c r="H9555" s="10" t="inlineStr">
        <is>
          <t>発</t>
        </is>
      </c>
      <c r="J9555" s="10" t="inlineStr">
        <is>
          <t>営業</t>
        </is>
      </c>
      <c r="L9555" t="inlineStr">
        <is>
          <t>19:18:40</t>
        </is>
      </c>
      <c r="M9555" t="inlineStr">
        <is>
          <t>19:19:05</t>
        </is>
      </c>
      <c r="P9555" t="inlineStr">
        <is>
          <t>D系統(日中)</t>
        </is>
      </c>
    </row>
    <row r="9556" ht="16.5" customHeight="1" s="37">
      <c r="A9556" t="n">
        <v>8</v>
      </c>
      <c r="B9556" s="10" t="inlineStr">
        <is>
          <t>平日</t>
        </is>
      </c>
      <c r="C9556" s="10" t="inlineStr">
        <is>
          <t>本線</t>
        </is>
      </c>
      <c r="D9556" s="10" t="inlineStr">
        <is>
          <t>上り</t>
        </is>
      </c>
      <c r="E9556" s="10" t="inlineStr">
        <is>
          <t>連1902</t>
        </is>
      </c>
      <c r="F9556" t="inlineStr">
        <is>
          <t>2221</t>
        </is>
      </c>
      <c r="G9556" s="10" t="inlineStr">
        <is>
          <t>西大路三条</t>
        </is>
      </c>
      <c r="H9556" s="10" t="inlineStr">
        <is>
          <t>発</t>
        </is>
      </c>
      <c r="J9556" s="10" t="inlineStr">
        <is>
          <t>営業</t>
        </is>
      </c>
      <c r="L9556" t="inlineStr">
        <is>
          <t>19:20:55</t>
        </is>
      </c>
      <c r="M9556" t="inlineStr">
        <is>
          <t>19:21:15</t>
        </is>
      </c>
      <c r="P9556" t="inlineStr">
        <is>
          <t>D系統(日中)</t>
        </is>
      </c>
    </row>
    <row r="9557" ht="16.5" customHeight="1" s="37">
      <c r="A9557" t="n">
        <v>8</v>
      </c>
      <c r="B9557" s="10" t="inlineStr">
        <is>
          <t>平日</t>
        </is>
      </c>
      <c r="C9557" s="10" t="inlineStr">
        <is>
          <t>本線</t>
        </is>
      </c>
      <c r="D9557" s="10" t="inlineStr">
        <is>
          <t>上り</t>
        </is>
      </c>
      <c r="E9557" s="10" t="inlineStr">
        <is>
          <t>連1902</t>
        </is>
      </c>
      <c r="F9557" t="inlineStr">
        <is>
          <t>2221</t>
        </is>
      </c>
      <c r="G9557" s="10" t="inlineStr">
        <is>
          <t>西院</t>
        </is>
      </c>
      <c r="H9557" s="10" t="inlineStr">
        <is>
          <t>発</t>
        </is>
      </c>
      <c r="J9557" s="10" t="inlineStr">
        <is>
          <t>営業</t>
        </is>
      </c>
      <c r="L9557" t="inlineStr">
        <is>
          <t>19:23:10</t>
        </is>
      </c>
      <c r="M9557" t="inlineStr">
        <is>
          <t>19:24:05</t>
        </is>
      </c>
      <c r="P9557" t="inlineStr">
        <is>
          <t>D系統(日中)</t>
        </is>
      </c>
    </row>
    <row r="9558" ht="16.5" customHeight="1" s="37">
      <c r="A9558" t="n">
        <v>8</v>
      </c>
      <c r="B9558" s="10" t="inlineStr">
        <is>
          <t>平日</t>
        </is>
      </c>
      <c r="C9558" s="10" t="inlineStr">
        <is>
          <t>本線</t>
        </is>
      </c>
      <c r="D9558" s="10" t="inlineStr">
        <is>
          <t>上り</t>
        </is>
      </c>
      <c r="E9558" s="10" t="inlineStr">
        <is>
          <t>連1902</t>
        </is>
      </c>
      <c r="F9558" t="inlineStr">
        <is>
          <t>2221</t>
        </is>
      </c>
      <c r="G9558" s="10" t="inlineStr">
        <is>
          <t>四条大宮</t>
        </is>
      </c>
      <c r="H9558" s="10" t="inlineStr">
        <is>
          <t>着</t>
        </is>
      </c>
      <c r="J9558" s="10" t="inlineStr">
        <is>
          <t>営業</t>
        </is>
      </c>
      <c r="L9558" t="inlineStr">
        <is>
          <t>19:27:00</t>
        </is>
      </c>
      <c r="P9558" t="inlineStr">
        <is>
          <t>D系統(日中)</t>
        </is>
      </c>
      <c r="Q9558" t="inlineStr">
        <is>
          <t>1</t>
        </is>
      </c>
    </row>
    <row r="9559" ht="16.5" customHeight="1" s="37">
      <c r="A9559" t="n">
        <v>8</v>
      </c>
      <c r="B9559" s="10" t="inlineStr">
        <is>
          <t>平日</t>
        </is>
      </c>
      <c r="C9559" s="10" t="inlineStr">
        <is>
          <t>本線</t>
        </is>
      </c>
      <c r="D9559" s="10" t="inlineStr">
        <is>
          <t>下り</t>
        </is>
      </c>
      <c r="E9559" s="10" t="inlineStr">
        <is>
          <t>連1907</t>
        </is>
      </c>
      <c r="F9559" t="inlineStr">
        <is>
          <t>0122</t>
        </is>
      </c>
      <c r="G9559" s="10" t="inlineStr">
        <is>
          <t>四条大宮</t>
        </is>
      </c>
      <c r="H9559" s="10" t="inlineStr">
        <is>
          <t>発</t>
        </is>
      </c>
      <c r="J9559" s="10" t="inlineStr">
        <is>
          <t>営業</t>
        </is>
      </c>
      <c r="M9559" t="inlineStr">
        <is>
          <t>19:32:00</t>
        </is>
      </c>
      <c r="P9559" t="inlineStr">
        <is>
          <t>D系統(日中)</t>
        </is>
      </c>
      <c r="Q9559" t="inlineStr">
        <is>
          <t>1</t>
        </is>
      </c>
    </row>
    <row r="9560" ht="16.5" customHeight="1" s="37">
      <c r="A9560" t="n">
        <v>8</v>
      </c>
      <c r="B9560" s="10" t="inlineStr">
        <is>
          <t>平日</t>
        </is>
      </c>
      <c r="C9560" s="10" t="inlineStr">
        <is>
          <t>本線</t>
        </is>
      </c>
      <c r="D9560" s="10" t="inlineStr">
        <is>
          <t>下り</t>
        </is>
      </c>
      <c r="E9560" s="10" t="inlineStr">
        <is>
          <t>連1907</t>
        </is>
      </c>
      <c r="F9560" t="inlineStr">
        <is>
          <t>0122</t>
        </is>
      </c>
      <c r="G9560" s="10" t="inlineStr">
        <is>
          <t>西院</t>
        </is>
      </c>
      <c r="H9560" s="10" t="inlineStr">
        <is>
          <t>着</t>
        </is>
      </c>
      <c r="J9560" s="10" t="inlineStr">
        <is>
          <t>営業</t>
        </is>
      </c>
      <c r="L9560" t="inlineStr">
        <is>
          <t>19:34:50</t>
        </is>
      </c>
      <c r="M9560" t="inlineStr">
        <is>
          <t>19:36:20</t>
        </is>
      </c>
      <c r="P9560" t="inlineStr">
        <is>
          <t>D系統(日中)</t>
        </is>
      </c>
    </row>
    <row r="9561" ht="16.5" customHeight="1" s="37">
      <c r="A9561" t="n">
        <v>9</v>
      </c>
      <c r="B9561" s="10" t="inlineStr">
        <is>
          <t>平日</t>
        </is>
      </c>
      <c r="C9561" s="10" t="inlineStr">
        <is>
          <t>本線</t>
        </is>
      </c>
      <c r="D9561" s="10" t="inlineStr">
        <is>
          <t>下り</t>
        </is>
      </c>
      <c r="E9561" t="inlineStr">
        <is>
          <t>0903</t>
        </is>
      </c>
      <c r="F9561" t="inlineStr">
        <is>
          <t>0112</t>
        </is>
      </c>
      <c r="G9561" s="10" t="inlineStr">
        <is>
          <t>西院</t>
        </is>
      </c>
      <c r="H9561" s="10" t="inlineStr">
        <is>
          <t>発</t>
        </is>
      </c>
      <c r="J9561" s="10" t="inlineStr">
        <is>
          <t>営業</t>
        </is>
      </c>
      <c r="L9561" t="inlineStr">
        <is>
          <t>9:14:50</t>
        </is>
      </c>
      <c r="M9561" t="inlineStr">
        <is>
          <t>9:16:20</t>
        </is>
      </c>
    </row>
    <row r="9562" ht="16.5" customHeight="1" s="37">
      <c r="A9562" t="n">
        <v>9</v>
      </c>
      <c r="B9562" s="10" t="inlineStr">
        <is>
          <t>平日</t>
        </is>
      </c>
      <c r="C9562" s="10" t="inlineStr">
        <is>
          <t>本線</t>
        </is>
      </c>
      <c r="D9562" s="10" t="inlineStr">
        <is>
          <t>下り</t>
        </is>
      </c>
      <c r="E9562" t="inlineStr">
        <is>
          <t>0903</t>
        </is>
      </c>
      <c r="F9562" t="inlineStr">
        <is>
          <t>0112</t>
        </is>
      </c>
      <c r="G9562" s="10" t="inlineStr">
        <is>
          <t>西大路三条</t>
        </is>
      </c>
      <c r="H9562" s="10" t="inlineStr">
        <is>
          <t>発</t>
        </is>
      </c>
      <c r="J9562" s="10" t="inlineStr">
        <is>
          <t>営業</t>
        </is>
      </c>
      <c r="L9562" t="inlineStr">
        <is>
          <t>9:18:10</t>
        </is>
      </c>
      <c r="M9562" t="inlineStr">
        <is>
          <t>9:18:30</t>
        </is>
      </c>
    </row>
    <row r="9563" ht="16.5" customHeight="1" s="37">
      <c r="A9563" t="n">
        <v>9</v>
      </c>
      <c r="B9563" s="10" t="inlineStr">
        <is>
          <t>平日</t>
        </is>
      </c>
      <c r="C9563" s="10" t="inlineStr">
        <is>
          <t>本線</t>
        </is>
      </c>
      <c r="D9563" s="10" t="inlineStr">
        <is>
          <t>下り</t>
        </is>
      </c>
      <c r="E9563" t="inlineStr">
        <is>
          <t>0903</t>
        </is>
      </c>
      <c r="F9563" t="inlineStr">
        <is>
          <t>0112</t>
        </is>
      </c>
      <c r="G9563" s="10" t="inlineStr">
        <is>
          <t>山ノ内</t>
        </is>
      </c>
      <c r="H9563" s="10" t="inlineStr">
        <is>
          <t>発</t>
        </is>
      </c>
      <c r="J9563" s="10" t="inlineStr">
        <is>
          <t>営業</t>
        </is>
      </c>
      <c r="L9563" t="inlineStr">
        <is>
          <t>9:20:25</t>
        </is>
      </c>
      <c r="M9563" t="inlineStr">
        <is>
          <t>9:20:50</t>
        </is>
      </c>
    </row>
    <row r="9564" ht="16.5" customHeight="1" s="37">
      <c r="A9564" t="n">
        <v>9</v>
      </c>
      <c r="B9564" s="10" t="inlineStr">
        <is>
          <t>平日</t>
        </is>
      </c>
      <c r="C9564" s="10" t="inlineStr">
        <is>
          <t>本線</t>
        </is>
      </c>
      <c r="D9564" s="10" t="inlineStr">
        <is>
          <t>下り</t>
        </is>
      </c>
      <c r="E9564" t="inlineStr">
        <is>
          <t>0903</t>
        </is>
      </c>
      <c r="F9564" t="inlineStr">
        <is>
          <t>0112</t>
        </is>
      </c>
      <c r="G9564" s="10" t="inlineStr">
        <is>
          <t>天神川</t>
        </is>
      </c>
      <c r="H9564" s="10" t="inlineStr">
        <is>
          <t>発</t>
        </is>
      </c>
      <c r="J9564" s="10" t="inlineStr">
        <is>
          <t>営業</t>
        </is>
      </c>
      <c r="L9564" t="inlineStr">
        <is>
          <t>9:22:50</t>
        </is>
      </c>
      <c r="M9564" t="inlineStr">
        <is>
          <t>9:23:30</t>
        </is>
      </c>
    </row>
    <row r="9565" ht="16.5" customHeight="1" s="37">
      <c r="A9565" t="n">
        <v>9</v>
      </c>
      <c r="B9565" s="10" t="inlineStr">
        <is>
          <t>平日</t>
        </is>
      </c>
      <c r="C9565" s="10" t="inlineStr">
        <is>
          <t>本線</t>
        </is>
      </c>
      <c r="D9565" s="10" t="inlineStr">
        <is>
          <t>下り</t>
        </is>
      </c>
      <c r="E9565" t="inlineStr">
        <is>
          <t>0903</t>
        </is>
      </c>
      <c r="F9565" t="inlineStr">
        <is>
          <t>0112</t>
        </is>
      </c>
      <c r="G9565" s="10" t="inlineStr">
        <is>
          <t>蚕ノ社</t>
        </is>
      </c>
      <c r="H9565" s="10" t="inlineStr">
        <is>
          <t>発</t>
        </is>
      </c>
      <c r="J9565" s="10" t="inlineStr">
        <is>
          <t>営業</t>
        </is>
      </c>
      <c r="L9565" t="inlineStr">
        <is>
          <t>9:24:20</t>
        </is>
      </c>
      <c r="M9565" t="inlineStr">
        <is>
          <t>9:24:40</t>
        </is>
      </c>
    </row>
    <row r="9566" ht="16.5" customHeight="1" s="37">
      <c r="A9566" t="n">
        <v>9</v>
      </c>
      <c r="B9566" s="10" t="inlineStr">
        <is>
          <t>平日</t>
        </is>
      </c>
      <c r="C9566" s="10" t="inlineStr">
        <is>
          <t>本線</t>
        </is>
      </c>
      <c r="D9566" s="10" t="inlineStr">
        <is>
          <t>下り</t>
        </is>
      </c>
      <c r="E9566" t="inlineStr">
        <is>
          <t>0903</t>
        </is>
      </c>
      <c r="F9566" t="inlineStr">
        <is>
          <t>0112</t>
        </is>
      </c>
      <c r="G9566" s="10" t="inlineStr">
        <is>
          <t>太秦広隆寺</t>
        </is>
      </c>
      <c r="H9566" s="10" t="inlineStr">
        <is>
          <t>発</t>
        </is>
      </c>
      <c r="J9566" s="10" t="inlineStr">
        <is>
          <t>営業</t>
        </is>
      </c>
      <c r="L9566" t="inlineStr">
        <is>
          <t>9:26:00</t>
        </is>
      </c>
      <c r="M9566" t="inlineStr">
        <is>
          <t>9:26:20</t>
        </is>
      </c>
    </row>
    <row r="9567" ht="16.5" customHeight="1" s="37">
      <c r="A9567" t="n">
        <v>9</v>
      </c>
      <c r="B9567" s="10" t="inlineStr">
        <is>
          <t>平日</t>
        </is>
      </c>
      <c r="C9567" s="10" t="inlineStr">
        <is>
          <t>本線</t>
        </is>
      </c>
      <c r="D9567" s="10" t="inlineStr">
        <is>
          <t>下り</t>
        </is>
      </c>
      <c r="E9567" t="inlineStr">
        <is>
          <t>0903</t>
        </is>
      </c>
      <c r="F9567" t="inlineStr">
        <is>
          <t>0112</t>
        </is>
      </c>
      <c r="G9567" s="10" t="inlineStr">
        <is>
          <t>帷子ノ辻</t>
        </is>
      </c>
      <c r="H9567" s="10" t="inlineStr">
        <is>
          <t>発</t>
        </is>
      </c>
      <c r="J9567" s="10" t="inlineStr">
        <is>
          <t>営業</t>
        </is>
      </c>
      <c r="L9567" t="inlineStr">
        <is>
          <t>9:28:20</t>
        </is>
      </c>
      <c r="M9567" t="inlineStr">
        <is>
          <t>9:29:40</t>
        </is>
      </c>
    </row>
    <row r="9568" ht="16.5" customHeight="1" s="37">
      <c r="A9568" t="n">
        <v>9</v>
      </c>
      <c r="B9568" s="10" t="inlineStr">
        <is>
          <t>平日</t>
        </is>
      </c>
      <c r="C9568" s="10" t="inlineStr">
        <is>
          <t>本線</t>
        </is>
      </c>
      <c r="D9568" s="10" t="inlineStr">
        <is>
          <t>下り</t>
        </is>
      </c>
      <c r="E9568" t="inlineStr">
        <is>
          <t>0903</t>
        </is>
      </c>
      <c r="F9568" t="inlineStr">
        <is>
          <t>0112</t>
        </is>
      </c>
      <c r="G9568" s="10" t="inlineStr">
        <is>
          <t>有栖川</t>
        </is>
      </c>
      <c r="H9568" s="10" t="inlineStr">
        <is>
          <t>発</t>
        </is>
      </c>
      <c r="J9568" s="10" t="inlineStr">
        <is>
          <t>営業</t>
        </is>
      </c>
      <c r="L9568" t="inlineStr">
        <is>
          <t>9:30:50</t>
        </is>
      </c>
      <c r="M9568" t="inlineStr">
        <is>
          <t>9:31:15</t>
        </is>
      </c>
    </row>
    <row r="9569" ht="16.5" customHeight="1" s="37">
      <c r="A9569" t="n">
        <v>9</v>
      </c>
      <c r="B9569" s="10" t="inlineStr">
        <is>
          <t>平日</t>
        </is>
      </c>
      <c r="C9569" s="10" t="inlineStr">
        <is>
          <t>本線</t>
        </is>
      </c>
      <c r="D9569" s="10" t="inlineStr">
        <is>
          <t>下り</t>
        </is>
      </c>
      <c r="E9569" t="inlineStr">
        <is>
          <t>0903</t>
        </is>
      </c>
      <c r="F9569" t="inlineStr">
        <is>
          <t>0112</t>
        </is>
      </c>
      <c r="G9569" s="10" t="inlineStr">
        <is>
          <t>車折</t>
        </is>
      </c>
      <c r="H9569" s="10" t="inlineStr">
        <is>
          <t>発</t>
        </is>
      </c>
      <c r="J9569" s="10" t="inlineStr">
        <is>
          <t>営業</t>
        </is>
      </c>
      <c r="L9569" t="inlineStr">
        <is>
          <t>9:32:40</t>
        </is>
      </c>
      <c r="M9569" t="inlineStr">
        <is>
          <t>9:33:05</t>
        </is>
      </c>
    </row>
    <row r="9570" ht="16.5" customHeight="1" s="37">
      <c r="A9570" t="n">
        <v>9</v>
      </c>
      <c r="B9570" s="10" t="inlineStr">
        <is>
          <t>平日</t>
        </is>
      </c>
      <c r="C9570" s="10" t="inlineStr">
        <is>
          <t>本線</t>
        </is>
      </c>
      <c r="D9570" s="10" t="inlineStr">
        <is>
          <t>下り</t>
        </is>
      </c>
      <c r="E9570" t="inlineStr">
        <is>
          <t>0903</t>
        </is>
      </c>
      <c r="F9570" t="inlineStr">
        <is>
          <t>0112</t>
        </is>
      </c>
      <c r="G9570" s="10" t="inlineStr">
        <is>
          <t>鹿王院</t>
        </is>
      </c>
      <c r="H9570" s="10" t="inlineStr">
        <is>
          <t>発</t>
        </is>
      </c>
      <c r="J9570" s="10" t="inlineStr">
        <is>
          <t>営業</t>
        </is>
      </c>
      <c r="L9570" t="inlineStr">
        <is>
          <t>9:34:00</t>
        </is>
      </c>
      <c r="M9570" t="inlineStr">
        <is>
          <t>9:34:25</t>
        </is>
      </c>
    </row>
    <row r="9571" ht="16.5" customHeight="1" s="37">
      <c r="A9571" t="n">
        <v>9</v>
      </c>
      <c r="B9571" s="10" t="inlineStr">
        <is>
          <t>平日</t>
        </is>
      </c>
      <c r="C9571" s="10" t="inlineStr">
        <is>
          <t>本線</t>
        </is>
      </c>
      <c r="D9571" s="10" t="inlineStr">
        <is>
          <t>下り</t>
        </is>
      </c>
      <c r="E9571" t="inlineStr">
        <is>
          <t>0903</t>
        </is>
      </c>
      <c r="F9571" t="inlineStr">
        <is>
          <t>0112</t>
        </is>
      </c>
      <c r="G9571" s="10" t="inlineStr">
        <is>
          <t>嵯峨</t>
        </is>
      </c>
      <c r="H9571" s="10" t="inlineStr">
        <is>
          <t>発</t>
        </is>
      </c>
      <c r="J9571" s="10" t="inlineStr">
        <is>
          <t>営業</t>
        </is>
      </c>
      <c r="L9571" t="inlineStr">
        <is>
          <t>9:35:30</t>
        </is>
      </c>
      <c r="M9571" t="inlineStr">
        <is>
          <t>9:35:55</t>
        </is>
      </c>
    </row>
    <row r="9572" ht="16.5" customHeight="1" s="37">
      <c r="A9572" t="n">
        <v>9</v>
      </c>
      <c r="B9572" s="10" t="inlineStr">
        <is>
          <t>平日</t>
        </is>
      </c>
      <c r="C9572" s="10" t="inlineStr">
        <is>
          <t>本線</t>
        </is>
      </c>
      <c r="D9572" s="10" t="inlineStr">
        <is>
          <t>下り</t>
        </is>
      </c>
      <c r="E9572" t="inlineStr">
        <is>
          <t>0903</t>
        </is>
      </c>
      <c r="F9572" t="inlineStr">
        <is>
          <t>0112</t>
        </is>
      </c>
      <c r="G9572" s="10" t="inlineStr">
        <is>
          <t>嵐山</t>
        </is>
      </c>
      <c r="H9572" s="10" t="inlineStr">
        <is>
          <t>着</t>
        </is>
      </c>
      <c r="J9572" s="10" t="inlineStr">
        <is>
          <t>営業</t>
        </is>
      </c>
      <c r="L9572" t="inlineStr">
        <is>
          <t>9:37:00</t>
        </is>
      </c>
      <c r="Q9572" t="inlineStr">
        <is>
          <t>1</t>
        </is>
      </c>
    </row>
    <row r="9573" ht="16.5" customHeight="1" s="37">
      <c r="A9573" t="n">
        <v>9</v>
      </c>
      <c r="B9573" s="10" t="inlineStr">
        <is>
          <t>平日</t>
        </is>
      </c>
      <c r="C9573" s="10" t="inlineStr">
        <is>
          <t>本線</t>
        </is>
      </c>
      <c r="D9573" s="10" t="inlineStr">
        <is>
          <t>上り</t>
        </is>
      </c>
      <c r="E9573" t="inlineStr">
        <is>
          <t>0910</t>
        </is>
      </c>
      <c r="F9573" t="inlineStr">
        <is>
          <t>0211</t>
        </is>
      </c>
      <c r="G9573" s="10" t="inlineStr">
        <is>
          <t>嵐山</t>
        </is>
      </c>
      <c r="H9573" s="10" t="inlineStr">
        <is>
          <t>発</t>
        </is>
      </c>
      <c r="J9573" s="10" t="inlineStr">
        <is>
          <t>営業</t>
        </is>
      </c>
      <c r="M9573" t="inlineStr">
        <is>
          <t>9:43:00</t>
        </is>
      </c>
      <c r="Q9573" t="inlineStr">
        <is>
          <t>1</t>
        </is>
      </c>
    </row>
    <row r="9574" ht="16.5" customHeight="1" s="37">
      <c r="A9574" t="n">
        <v>9</v>
      </c>
      <c r="B9574" s="10" t="inlineStr">
        <is>
          <t>平日</t>
        </is>
      </c>
      <c r="C9574" s="10" t="inlineStr">
        <is>
          <t>本線</t>
        </is>
      </c>
      <c r="D9574" s="10" t="inlineStr">
        <is>
          <t>上り</t>
        </is>
      </c>
      <c r="E9574" t="inlineStr">
        <is>
          <t>0910</t>
        </is>
      </c>
      <c r="F9574" t="inlineStr">
        <is>
          <t>0211</t>
        </is>
      </c>
      <c r="G9574" s="10" t="inlineStr">
        <is>
          <t>嵯峨</t>
        </is>
      </c>
      <c r="H9574" s="10" t="inlineStr">
        <is>
          <t>発</t>
        </is>
      </c>
      <c r="J9574" s="10" t="inlineStr">
        <is>
          <t>営業</t>
        </is>
      </c>
      <c r="L9574" t="inlineStr">
        <is>
          <t>9:43:55</t>
        </is>
      </c>
      <c r="M9574" t="inlineStr">
        <is>
          <t>9:44:20</t>
        </is>
      </c>
    </row>
    <row r="9575" ht="16.5" customHeight="1" s="37">
      <c r="A9575" t="n">
        <v>9</v>
      </c>
      <c r="B9575" s="10" t="inlineStr">
        <is>
          <t>平日</t>
        </is>
      </c>
      <c r="C9575" s="10" t="inlineStr">
        <is>
          <t>本線</t>
        </is>
      </c>
      <c r="D9575" s="10" t="inlineStr">
        <is>
          <t>上り</t>
        </is>
      </c>
      <c r="E9575" t="inlineStr">
        <is>
          <t>0910</t>
        </is>
      </c>
      <c r="F9575" t="inlineStr">
        <is>
          <t>0211</t>
        </is>
      </c>
      <c r="G9575" s="10" t="inlineStr">
        <is>
          <t>鹿王院</t>
        </is>
      </c>
      <c r="H9575" s="10" t="inlineStr">
        <is>
          <t>発</t>
        </is>
      </c>
      <c r="J9575" s="10" t="inlineStr">
        <is>
          <t>営業</t>
        </is>
      </c>
      <c r="L9575" t="inlineStr">
        <is>
          <t>9:45:25</t>
        </is>
      </c>
      <c r="M9575" t="inlineStr">
        <is>
          <t>9:45:45</t>
        </is>
      </c>
    </row>
    <row r="9576" ht="16.5" customHeight="1" s="37">
      <c r="A9576" t="n">
        <v>9</v>
      </c>
      <c r="B9576" s="10" t="inlineStr">
        <is>
          <t>平日</t>
        </is>
      </c>
      <c r="C9576" s="10" t="inlineStr">
        <is>
          <t>本線</t>
        </is>
      </c>
      <c r="D9576" s="10" t="inlineStr">
        <is>
          <t>上り</t>
        </is>
      </c>
      <c r="E9576" t="inlineStr">
        <is>
          <t>0910</t>
        </is>
      </c>
      <c r="F9576" t="inlineStr">
        <is>
          <t>0211</t>
        </is>
      </c>
      <c r="G9576" s="10" t="inlineStr">
        <is>
          <t>車折</t>
        </is>
      </c>
      <c r="H9576" s="10" t="inlineStr">
        <is>
          <t>発</t>
        </is>
      </c>
      <c r="J9576" s="10" t="inlineStr">
        <is>
          <t>営業</t>
        </is>
      </c>
      <c r="L9576" t="inlineStr">
        <is>
          <t>9:46:40</t>
        </is>
      </c>
      <c r="M9576" t="inlineStr">
        <is>
          <t>9:47:10</t>
        </is>
      </c>
    </row>
    <row r="9577" ht="16.5" customHeight="1" s="37">
      <c r="A9577" t="n">
        <v>9</v>
      </c>
      <c r="B9577" s="10" t="inlineStr">
        <is>
          <t>平日</t>
        </is>
      </c>
      <c r="C9577" s="10" t="inlineStr">
        <is>
          <t>本線</t>
        </is>
      </c>
      <c r="D9577" s="10" t="inlineStr">
        <is>
          <t>上り</t>
        </is>
      </c>
      <c r="E9577" t="inlineStr">
        <is>
          <t>0910</t>
        </is>
      </c>
      <c r="F9577" t="inlineStr">
        <is>
          <t>0211</t>
        </is>
      </c>
      <c r="G9577" s="10" t="inlineStr">
        <is>
          <t>有栖川</t>
        </is>
      </c>
      <c r="H9577" s="10" t="inlineStr">
        <is>
          <t>発</t>
        </is>
      </c>
      <c r="J9577" s="10" t="inlineStr">
        <is>
          <t>営業</t>
        </is>
      </c>
      <c r="L9577" t="inlineStr">
        <is>
          <t>9:48:35</t>
        </is>
      </c>
      <c r="M9577" t="inlineStr">
        <is>
          <t>9:48:55</t>
        </is>
      </c>
    </row>
    <row r="9578" ht="16.5" customHeight="1" s="37">
      <c r="A9578" t="n">
        <v>9</v>
      </c>
      <c r="B9578" s="10" t="inlineStr">
        <is>
          <t>平日</t>
        </is>
      </c>
      <c r="C9578" s="10" t="inlineStr">
        <is>
          <t>本線</t>
        </is>
      </c>
      <c r="D9578" s="10" t="inlineStr">
        <is>
          <t>上り</t>
        </is>
      </c>
      <c r="E9578" t="inlineStr">
        <is>
          <t>0910</t>
        </is>
      </c>
      <c r="F9578" t="inlineStr">
        <is>
          <t>0211</t>
        </is>
      </c>
      <c r="G9578" s="10" t="inlineStr">
        <is>
          <t>帷子ノ辻</t>
        </is>
      </c>
      <c r="H9578" s="10" t="inlineStr">
        <is>
          <t>発</t>
        </is>
      </c>
      <c r="J9578" s="10" t="inlineStr">
        <is>
          <t>営業</t>
        </is>
      </c>
      <c r="L9578" t="inlineStr">
        <is>
          <t>9:50:10</t>
        </is>
      </c>
      <c r="M9578" t="inlineStr">
        <is>
          <t>9:51:15</t>
        </is>
      </c>
    </row>
    <row r="9579" ht="16.5" customHeight="1" s="37">
      <c r="A9579" t="n">
        <v>9</v>
      </c>
      <c r="B9579" s="10" t="inlineStr">
        <is>
          <t>平日</t>
        </is>
      </c>
      <c r="C9579" s="10" t="inlineStr">
        <is>
          <t>本線</t>
        </is>
      </c>
      <c r="D9579" s="10" t="inlineStr">
        <is>
          <t>上り</t>
        </is>
      </c>
      <c r="E9579" t="inlineStr">
        <is>
          <t>0910</t>
        </is>
      </c>
      <c r="F9579" t="inlineStr">
        <is>
          <t>0211</t>
        </is>
      </c>
      <c r="G9579" s="10" t="inlineStr">
        <is>
          <t>太秦広隆寺</t>
        </is>
      </c>
      <c r="H9579" s="10" t="inlineStr">
        <is>
          <t>発</t>
        </is>
      </c>
      <c r="J9579" s="10" t="inlineStr">
        <is>
          <t>営業</t>
        </is>
      </c>
      <c r="L9579" t="inlineStr">
        <is>
          <t>9:53:25</t>
        </is>
      </c>
      <c r="M9579" t="inlineStr">
        <is>
          <t>9:53:45</t>
        </is>
      </c>
    </row>
    <row r="9580" ht="16.5" customHeight="1" s="37">
      <c r="A9580" t="n">
        <v>9</v>
      </c>
      <c r="B9580" s="10" t="inlineStr">
        <is>
          <t>平日</t>
        </is>
      </c>
      <c r="C9580" s="10" t="inlineStr">
        <is>
          <t>本線</t>
        </is>
      </c>
      <c r="D9580" s="10" t="inlineStr">
        <is>
          <t>上り</t>
        </is>
      </c>
      <c r="E9580" t="inlineStr">
        <is>
          <t>0910</t>
        </is>
      </c>
      <c r="F9580" t="inlineStr">
        <is>
          <t>0211</t>
        </is>
      </c>
      <c r="G9580" s="10" t="inlineStr">
        <is>
          <t>蚕ノ社</t>
        </is>
      </c>
      <c r="H9580" s="10" t="inlineStr">
        <is>
          <t>発</t>
        </is>
      </c>
      <c r="J9580" s="10" t="inlineStr">
        <is>
          <t>営業</t>
        </is>
      </c>
      <c r="L9580" t="inlineStr">
        <is>
          <t>9:55:00</t>
        </is>
      </c>
      <c r="M9580" t="inlineStr">
        <is>
          <t>9:55:20</t>
        </is>
      </c>
    </row>
    <row r="9581" ht="16.5" customHeight="1" s="37">
      <c r="A9581" t="n">
        <v>9</v>
      </c>
      <c r="B9581" s="10" t="inlineStr">
        <is>
          <t>平日</t>
        </is>
      </c>
      <c r="C9581" s="10" t="inlineStr">
        <is>
          <t>本線</t>
        </is>
      </c>
      <c r="D9581" s="10" t="inlineStr">
        <is>
          <t>上り</t>
        </is>
      </c>
      <c r="E9581" t="inlineStr">
        <is>
          <t>0910</t>
        </is>
      </c>
      <c r="F9581" t="inlineStr">
        <is>
          <t>0211</t>
        </is>
      </c>
      <c r="G9581" s="10" t="inlineStr">
        <is>
          <t>天神川</t>
        </is>
      </c>
      <c r="H9581" s="10" t="inlineStr">
        <is>
          <t>発</t>
        </is>
      </c>
      <c r="J9581" s="10" t="inlineStr">
        <is>
          <t>営業</t>
        </is>
      </c>
      <c r="L9581" t="inlineStr">
        <is>
          <t>9:56:05</t>
        </is>
      </c>
      <c r="M9581" t="inlineStr">
        <is>
          <t>9:56:50</t>
        </is>
      </c>
    </row>
    <row r="9582" ht="16.5" customHeight="1" s="37">
      <c r="A9582" t="n">
        <v>9</v>
      </c>
      <c r="B9582" s="10" t="inlineStr">
        <is>
          <t>平日</t>
        </is>
      </c>
      <c r="C9582" s="10" t="inlineStr">
        <is>
          <t>本線</t>
        </is>
      </c>
      <c r="D9582" s="10" t="inlineStr">
        <is>
          <t>上り</t>
        </is>
      </c>
      <c r="E9582" t="inlineStr">
        <is>
          <t>0910</t>
        </is>
      </c>
      <c r="F9582" t="inlineStr">
        <is>
          <t>0211</t>
        </is>
      </c>
      <c r="G9582" s="10" t="inlineStr">
        <is>
          <t>山ノ内</t>
        </is>
      </c>
      <c r="H9582" s="10" t="inlineStr">
        <is>
          <t>発</t>
        </is>
      </c>
      <c r="J9582" s="10" t="inlineStr">
        <is>
          <t>営業</t>
        </is>
      </c>
      <c r="L9582" t="inlineStr">
        <is>
          <t>9:58:40</t>
        </is>
      </c>
      <c r="M9582" t="inlineStr">
        <is>
          <t>9:59:05</t>
        </is>
      </c>
    </row>
    <row r="9583" ht="16.5" customHeight="1" s="37">
      <c r="A9583" t="n">
        <v>9</v>
      </c>
      <c r="B9583" s="10" t="inlineStr">
        <is>
          <t>平日</t>
        </is>
      </c>
      <c r="C9583" s="10" t="inlineStr">
        <is>
          <t>本線</t>
        </is>
      </c>
      <c r="D9583" s="10" t="inlineStr">
        <is>
          <t>上り</t>
        </is>
      </c>
      <c r="E9583" t="inlineStr">
        <is>
          <t>0910</t>
        </is>
      </c>
      <c r="F9583" t="inlineStr">
        <is>
          <t>0211</t>
        </is>
      </c>
      <c r="G9583" s="10" t="inlineStr">
        <is>
          <t>西大路三条</t>
        </is>
      </c>
      <c r="H9583" s="10" t="inlineStr">
        <is>
          <t>発</t>
        </is>
      </c>
      <c r="J9583" s="10" t="inlineStr">
        <is>
          <t>営業</t>
        </is>
      </c>
      <c r="L9583" t="inlineStr">
        <is>
          <t>10:00:55</t>
        </is>
      </c>
      <c r="M9583" t="inlineStr">
        <is>
          <t>10:01:15</t>
        </is>
      </c>
    </row>
    <row r="9584" ht="16.5" customHeight="1" s="37">
      <c r="A9584" t="n">
        <v>9</v>
      </c>
      <c r="B9584" s="10" t="inlineStr">
        <is>
          <t>平日</t>
        </is>
      </c>
      <c r="C9584" s="10" t="inlineStr">
        <is>
          <t>本線</t>
        </is>
      </c>
      <c r="D9584" s="10" t="inlineStr">
        <is>
          <t>上り</t>
        </is>
      </c>
      <c r="E9584" t="inlineStr">
        <is>
          <t>0910</t>
        </is>
      </c>
      <c r="F9584" t="inlineStr">
        <is>
          <t>0211</t>
        </is>
      </c>
      <c r="G9584" s="10" t="inlineStr">
        <is>
          <t>西院</t>
        </is>
      </c>
      <c r="H9584" s="10" t="inlineStr">
        <is>
          <t>発</t>
        </is>
      </c>
      <c r="J9584" s="10" t="inlineStr">
        <is>
          <t>営業</t>
        </is>
      </c>
      <c r="L9584" t="inlineStr">
        <is>
          <t>10:03:10</t>
        </is>
      </c>
      <c r="M9584" t="inlineStr">
        <is>
          <t>10:04:05</t>
        </is>
      </c>
    </row>
    <row r="9585" ht="16.5" customHeight="1" s="37">
      <c r="A9585" t="n">
        <v>9</v>
      </c>
      <c r="B9585" s="10" t="inlineStr">
        <is>
          <t>平日</t>
        </is>
      </c>
      <c r="C9585" s="10" t="inlineStr">
        <is>
          <t>本線</t>
        </is>
      </c>
      <c r="D9585" s="10" t="inlineStr">
        <is>
          <t>上り</t>
        </is>
      </c>
      <c r="E9585" t="inlineStr">
        <is>
          <t>0910</t>
        </is>
      </c>
      <c r="F9585" t="inlineStr">
        <is>
          <t>0211</t>
        </is>
      </c>
      <c r="G9585" s="10" t="inlineStr">
        <is>
          <t>四条大宮</t>
        </is>
      </c>
      <c r="H9585" s="10" t="inlineStr">
        <is>
          <t>着</t>
        </is>
      </c>
      <c r="J9585" s="10" t="inlineStr">
        <is>
          <t>営業</t>
        </is>
      </c>
      <c r="L9585" t="inlineStr">
        <is>
          <t>10:07:00</t>
        </is>
      </c>
      <c r="Q9585" t="inlineStr">
        <is>
          <t>1</t>
        </is>
      </c>
    </row>
    <row r="9586" ht="16.5" customHeight="1" s="37">
      <c r="A9586" t="n">
        <v>9</v>
      </c>
      <c r="B9586" s="10" t="inlineStr">
        <is>
          <t>平日</t>
        </is>
      </c>
      <c r="C9586" s="10" t="inlineStr">
        <is>
          <t>本線</t>
        </is>
      </c>
      <c r="D9586" s="10" t="inlineStr">
        <is>
          <t>下り</t>
        </is>
      </c>
      <c r="E9586" t="inlineStr">
        <is>
          <t>1003</t>
        </is>
      </c>
      <c r="F9586" t="inlineStr">
        <is>
          <t>0112</t>
        </is>
      </c>
      <c r="G9586" s="10" t="inlineStr">
        <is>
          <t>四条大宮</t>
        </is>
      </c>
      <c r="H9586" s="10" t="inlineStr">
        <is>
          <t>発</t>
        </is>
      </c>
      <c r="J9586" s="10" t="inlineStr">
        <is>
          <t>営業</t>
        </is>
      </c>
      <c r="M9586" t="inlineStr">
        <is>
          <t>10:13:00</t>
        </is>
      </c>
      <c r="Q9586" t="inlineStr">
        <is>
          <t>1</t>
        </is>
      </c>
    </row>
    <row r="9587" ht="16.5" customHeight="1" s="37">
      <c r="A9587" t="n">
        <v>9</v>
      </c>
      <c r="B9587" s="10" t="inlineStr">
        <is>
          <t>平日</t>
        </is>
      </c>
      <c r="C9587" s="10" t="inlineStr">
        <is>
          <t>本線</t>
        </is>
      </c>
      <c r="D9587" s="10" t="inlineStr">
        <is>
          <t>下り</t>
        </is>
      </c>
      <c r="E9587" t="inlineStr">
        <is>
          <t>1003</t>
        </is>
      </c>
      <c r="F9587" t="inlineStr">
        <is>
          <t>0112</t>
        </is>
      </c>
      <c r="G9587" s="10" t="inlineStr">
        <is>
          <t>西院</t>
        </is>
      </c>
      <c r="H9587" s="10" t="inlineStr">
        <is>
          <t>発</t>
        </is>
      </c>
      <c r="J9587" s="10" t="inlineStr">
        <is>
          <t>営業</t>
        </is>
      </c>
      <c r="L9587" t="inlineStr">
        <is>
          <t>10:15:50</t>
        </is>
      </c>
      <c r="M9587" t="inlineStr">
        <is>
          <t>10:16:20</t>
        </is>
      </c>
    </row>
    <row r="9588" ht="16.5" customHeight="1" s="37">
      <c r="A9588" t="n">
        <v>9</v>
      </c>
      <c r="B9588" s="10" t="inlineStr">
        <is>
          <t>平日</t>
        </is>
      </c>
      <c r="C9588" s="10" t="inlineStr">
        <is>
          <t>本線</t>
        </is>
      </c>
      <c r="D9588" s="10" t="inlineStr">
        <is>
          <t>下り</t>
        </is>
      </c>
      <c r="E9588" t="inlineStr">
        <is>
          <t>1003</t>
        </is>
      </c>
      <c r="F9588" t="inlineStr">
        <is>
          <t>0112</t>
        </is>
      </c>
      <c r="G9588" s="10" t="inlineStr">
        <is>
          <t>西大路三条</t>
        </is>
      </c>
      <c r="H9588" s="10" t="inlineStr">
        <is>
          <t>発</t>
        </is>
      </c>
      <c r="J9588" s="10" t="inlineStr">
        <is>
          <t>営業</t>
        </is>
      </c>
      <c r="L9588" t="inlineStr">
        <is>
          <t>10:18:10</t>
        </is>
      </c>
      <c r="M9588" t="inlineStr">
        <is>
          <t>10:18:30</t>
        </is>
      </c>
    </row>
    <row r="9589" ht="16.5" customHeight="1" s="37">
      <c r="A9589" t="n">
        <v>9</v>
      </c>
      <c r="B9589" s="10" t="inlineStr">
        <is>
          <t>平日</t>
        </is>
      </c>
      <c r="C9589" s="10" t="inlineStr">
        <is>
          <t>本線</t>
        </is>
      </c>
      <c r="D9589" s="10" t="inlineStr">
        <is>
          <t>下り</t>
        </is>
      </c>
      <c r="E9589" t="inlineStr">
        <is>
          <t>1003</t>
        </is>
      </c>
      <c r="F9589" t="inlineStr">
        <is>
          <t>0112</t>
        </is>
      </c>
      <c r="G9589" s="10" t="inlineStr">
        <is>
          <t>山ノ内</t>
        </is>
      </c>
      <c r="H9589" s="10" t="inlineStr">
        <is>
          <t>発</t>
        </is>
      </c>
      <c r="J9589" s="10" t="inlineStr">
        <is>
          <t>営業</t>
        </is>
      </c>
      <c r="L9589" t="inlineStr">
        <is>
          <t>10:20:25</t>
        </is>
      </c>
      <c r="M9589" t="inlineStr">
        <is>
          <t>10:20:50</t>
        </is>
      </c>
    </row>
    <row r="9590" ht="16.5" customHeight="1" s="37">
      <c r="A9590" t="n">
        <v>9</v>
      </c>
      <c r="B9590" s="10" t="inlineStr">
        <is>
          <t>平日</t>
        </is>
      </c>
      <c r="C9590" s="10" t="inlineStr">
        <is>
          <t>本線</t>
        </is>
      </c>
      <c r="D9590" s="10" t="inlineStr">
        <is>
          <t>下り</t>
        </is>
      </c>
      <c r="E9590" t="inlineStr">
        <is>
          <t>1003</t>
        </is>
      </c>
      <c r="F9590" t="inlineStr">
        <is>
          <t>0112</t>
        </is>
      </c>
      <c r="G9590" s="10" t="inlineStr">
        <is>
          <t>天神川</t>
        </is>
      </c>
      <c r="H9590" s="10" t="inlineStr">
        <is>
          <t>発</t>
        </is>
      </c>
      <c r="J9590" s="10" t="inlineStr">
        <is>
          <t>営業</t>
        </is>
      </c>
      <c r="L9590" t="inlineStr">
        <is>
          <t>10:22:50</t>
        </is>
      </c>
      <c r="M9590" t="inlineStr">
        <is>
          <t>10:23:30</t>
        </is>
      </c>
    </row>
    <row r="9591" ht="16.5" customHeight="1" s="37">
      <c r="A9591" t="n">
        <v>9</v>
      </c>
      <c r="B9591" s="10" t="inlineStr">
        <is>
          <t>平日</t>
        </is>
      </c>
      <c r="C9591" s="10" t="inlineStr">
        <is>
          <t>本線</t>
        </is>
      </c>
      <c r="D9591" s="10" t="inlineStr">
        <is>
          <t>下り</t>
        </is>
      </c>
      <c r="E9591" t="inlineStr">
        <is>
          <t>1003</t>
        </is>
      </c>
      <c r="F9591" t="inlineStr">
        <is>
          <t>0112</t>
        </is>
      </c>
      <c r="G9591" s="10" t="inlineStr">
        <is>
          <t>蚕ノ社</t>
        </is>
      </c>
      <c r="H9591" s="10" t="inlineStr">
        <is>
          <t>発</t>
        </is>
      </c>
      <c r="J9591" s="10" t="inlineStr">
        <is>
          <t>営業</t>
        </is>
      </c>
      <c r="L9591" t="inlineStr">
        <is>
          <t>10:24:20</t>
        </is>
      </c>
      <c r="M9591" t="inlineStr">
        <is>
          <t>10:24:40</t>
        </is>
      </c>
    </row>
    <row r="9592" ht="16.5" customHeight="1" s="37">
      <c r="A9592" t="n">
        <v>9</v>
      </c>
      <c r="B9592" s="10" t="inlineStr">
        <is>
          <t>平日</t>
        </is>
      </c>
      <c r="C9592" s="10" t="inlineStr">
        <is>
          <t>本線</t>
        </is>
      </c>
      <c r="D9592" s="10" t="inlineStr">
        <is>
          <t>下り</t>
        </is>
      </c>
      <c r="E9592" t="inlineStr">
        <is>
          <t>1003</t>
        </is>
      </c>
      <c r="F9592" t="inlineStr">
        <is>
          <t>0112</t>
        </is>
      </c>
      <c r="G9592" s="10" t="inlineStr">
        <is>
          <t>太秦広隆寺</t>
        </is>
      </c>
      <c r="H9592" s="10" t="inlineStr">
        <is>
          <t>発</t>
        </is>
      </c>
      <c r="J9592" s="10" t="inlineStr">
        <is>
          <t>営業</t>
        </is>
      </c>
      <c r="L9592" t="inlineStr">
        <is>
          <t>10:26:00</t>
        </is>
      </c>
      <c r="M9592" t="inlineStr">
        <is>
          <t>10:26:20</t>
        </is>
      </c>
    </row>
    <row r="9593" ht="16.5" customHeight="1" s="37">
      <c r="A9593" t="n">
        <v>9</v>
      </c>
      <c r="B9593" s="10" t="inlineStr">
        <is>
          <t>平日</t>
        </is>
      </c>
      <c r="C9593" s="10" t="inlineStr">
        <is>
          <t>本線</t>
        </is>
      </c>
      <c r="D9593" s="10" t="inlineStr">
        <is>
          <t>下り</t>
        </is>
      </c>
      <c r="E9593" t="inlineStr">
        <is>
          <t>1003</t>
        </is>
      </c>
      <c r="F9593" t="inlineStr">
        <is>
          <t>0112</t>
        </is>
      </c>
      <c r="G9593" s="10" t="inlineStr">
        <is>
          <t>帷子ノ辻</t>
        </is>
      </c>
      <c r="H9593" s="10" t="inlineStr">
        <is>
          <t>発</t>
        </is>
      </c>
      <c r="J9593" s="10" t="inlineStr">
        <is>
          <t>営業</t>
        </is>
      </c>
      <c r="L9593" t="inlineStr">
        <is>
          <t>10:28:20</t>
        </is>
      </c>
      <c r="M9593" t="inlineStr">
        <is>
          <t>10:29:40</t>
        </is>
      </c>
    </row>
    <row r="9594" ht="15" customHeight="1" s="37">
      <c r="A9594" t="n">
        <v>9</v>
      </c>
      <c r="B9594" s="10" t="inlineStr">
        <is>
          <t>平日</t>
        </is>
      </c>
      <c r="C9594" s="10" t="inlineStr">
        <is>
          <t>本線</t>
        </is>
      </c>
      <c r="D9594" s="10" t="inlineStr">
        <is>
          <t>下り</t>
        </is>
      </c>
      <c r="E9594" t="inlineStr">
        <is>
          <t>1003</t>
        </is>
      </c>
      <c r="F9594" t="inlineStr">
        <is>
          <t>0112</t>
        </is>
      </c>
      <c r="G9594" s="10" t="inlineStr">
        <is>
          <t>有栖川</t>
        </is>
      </c>
      <c r="H9594" s="10" t="inlineStr">
        <is>
          <t>発</t>
        </is>
      </c>
      <c r="J9594" s="10" t="inlineStr">
        <is>
          <t>営業</t>
        </is>
      </c>
      <c r="L9594" t="inlineStr">
        <is>
          <t>10:30:50</t>
        </is>
      </c>
      <c r="M9594" t="inlineStr">
        <is>
          <t>10:31:15</t>
        </is>
      </c>
    </row>
    <row r="9595" ht="15" customHeight="1" s="37">
      <c r="A9595" t="n">
        <v>9</v>
      </c>
      <c r="B9595" s="10" t="inlineStr">
        <is>
          <t>平日</t>
        </is>
      </c>
      <c r="C9595" s="10" t="inlineStr">
        <is>
          <t>本線</t>
        </is>
      </c>
      <c r="D9595" s="10" t="inlineStr">
        <is>
          <t>下り</t>
        </is>
      </c>
      <c r="E9595" t="inlineStr">
        <is>
          <t>1003</t>
        </is>
      </c>
      <c r="F9595" t="inlineStr">
        <is>
          <t>0112</t>
        </is>
      </c>
      <c r="G9595" s="10" t="inlineStr">
        <is>
          <t>車折</t>
        </is>
      </c>
      <c r="H9595" s="10" t="inlineStr">
        <is>
          <t>発</t>
        </is>
      </c>
      <c r="J9595" s="10" t="inlineStr">
        <is>
          <t>営業</t>
        </is>
      </c>
      <c r="L9595" t="inlineStr">
        <is>
          <t>10:32:40</t>
        </is>
      </c>
      <c r="M9595" t="inlineStr">
        <is>
          <t>10:33:05</t>
        </is>
      </c>
    </row>
    <row r="9596" ht="15" customHeight="1" s="37">
      <c r="A9596" t="n">
        <v>9</v>
      </c>
      <c r="B9596" s="10" t="inlineStr">
        <is>
          <t>平日</t>
        </is>
      </c>
      <c r="C9596" s="10" t="inlineStr">
        <is>
          <t>本線</t>
        </is>
      </c>
      <c r="D9596" s="10" t="inlineStr">
        <is>
          <t>下り</t>
        </is>
      </c>
      <c r="E9596" t="inlineStr">
        <is>
          <t>1003</t>
        </is>
      </c>
      <c r="F9596" t="inlineStr">
        <is>
          <t>0112</t>
        </is>
      </c>
      <c r="G9596" s="10" t="inlineStr">
        <is>
          <t>鹿王院</t>
        </is>
      </c>
      <c r="H9596" s="10" t="inlineStr">
        <is>
          <t>発</t>
        </is>
      </c>
      <c r="J9596" s="10" t="inlineStr">
        <is>
          <t>営業</t>
        </is>
      </c>
      <c r="L9596" t="inlineStr">
        <is>
          <t>10:34:00</t>
        </is>
      </c>
      <c r="M9596" t="inlineStr">
        <is>
          <t>10:34:25</t>
        </is>
      </c>
    </row>
    <row r="9597" ht="15" customHeight="1" s="37">
      <c r="A9597" t="n">
        <v>9</v>
      </c>
      <c r="B9597" s="10" t="inlineStr">
        <is>
          <t>平日</t>
        </is>
      </c>
      <c r="C9597" s="10" t="inlineStr">
        <is>
          <t>本線</t>
        </is>
      </c>
      <c r="D9597" s="10" t="inlineStr">
        <is>
          <t>下り</t>
        </is>
      </c>
      <c r="E9597" t="inlineStr">
        <is>
          <t>1003</t>
        </is>
      </c>
      <c r="F9597" t="inlineStr">
        <is>
          <t>0112</t>
        </is>
      </c>
      <c r="G9597" s="10" t="inlineStr">
        <is>
          <t>嵯峨</t>
        </is>
      </c>
      <c r="H9597" s="10" t="inlineStr">
        <is>
          <t>発</t>
        </is>
      </c>
      <c r="J9597" s="10" t="inlineStr">
        <is>
          <t>営業</t>
        </is>
      </c>
      <c r="L9597" t="inlineStr">
        <is>
          <t>10:35:30</t>
        </is>
      </c>
      <c r="M9597" t="inlineStr">
        <is>
          <t>10:35:55</t>
        </is>
      </c>
    </row>
    <row r="9598" ht="15" customHeight="1" s="37">
      <c r="A9598" t="n">
        <v>9</v>
      </c>
      <c r="B9598" s="10" t="inlineStr">
        <is>
          <t>平日</t>
        </is>
      </c>
      <c r="C9598" s="10" t="inlineStr">
        <is>
          <t>本線</t>
        </is>
      </c>
      <c r="D9598" s="10" t="inlineStr">
        <is>
          <t>下り</t>
        </is>
      </c>
      <c r="E9598" t="inlineStr">
        <is>
          <t>1003</t>
        </is>
      </c>
      <c r="F9598" t="inlineStr">
        <is>
          <t>0112</t>
        </is>
      </c>
      <c r="G9598" s="10" t="inlineStr">
        <is>
          <t>嵐山</t>
        </is>
      </c>
      <c r="H9598" s="10" t="inlineStr">
        <is>
          <t>着</t>
        </is>
      </c>
      <c r="J9598" s="10" t="inlineStr">
        <is>
          <t>営業</t>
        </is>
      </c>
      <c r="L9598" t="inlineStr">
        <is>
          <t>10:37:00</t>
        </is>
      </c>
      <c r="Q9598" t="inlineStr">
        <is>
          <t>1</t>
        </is>
      </c>
    </row>
    <row r="9599" ht="15" customHeight="1" s="37">
      <c r="A9599" t="n">
        <v>9</v>
      </c>
      <c r="B9599" s="10" t="inlineStr">
        <is>
          <t>平日</t>
        </is>
      </c>
      <c r="C9599" s="10" t="inlineStr">
        <is>
          <t>本線</t>
        </is>
      </c>
      <c r="D9599" s="10" t="inlineStr">
        <is>
          <t>上り</t>
        </is>
      </c>
      <c r="E9599" t="inlineStr">
        <is>
          <t>1010</t>
        </is>
      </c>
      <c r="F9599" t="inlineStr">
        <is>
          <t>0211</t>
        </is>
      </c>
      <c r="G9599" s="10" t="inlineStr">
        <is>
          <t>嵐山</t>
        </is>
      </c>
      <c r="H9599" s="10" t="inlineStr">
        <is>
          <t>発</t>
        </is>
      </c>
      <c r="J9599" s="10" t="inlineStr">
        <is>
          <t>営業</t>
        </is>
      </c>
      <c r="M9599" t="inlineStr">
        <is>
          <t>10:43:00</t>
        </is>
      </c>
      <c r="Q9599" t="inlineStr">
        <is>
          <t>1</t>
        </is>
      </c>
    </row>
    <row r="9600" ht="15" customHeight="1" s="37">
      <c r="A9600" t="n">
        <v>9</v>
      </c>
      <c r="B9600" s="10" t="inlineStr">
        <is>
          <t>平日</t>
        </is>
      </c>
      <c r="C9600" s="10" t="inlineStr">
        <is>
          <t>本線</t>
        </is>
      </c>
      <c r="D9600" s="10" t="inlineStr">
        <is>
          <t>上り</t>
        </is>
      </c>
      <c r="E9600" t="inlineStr">
        <is>
          <t>1010</t>
        </is>
      </c>
      <c r="F9600" t="inlineStr">
        <is>
          <t>0211</t>
        </is>
      </c>
      <c r="G9600" s="10" t="inlineStr">
        <is>
          <t>嵯峨</t>
        </is>
      </c>
      <c r="H9600" s="10" t="inlineStr">
        <is>
          <t>発</t>
        </is>
      </c>
      <c r="J9600" s="10" t="inlineStr">
        <is>
          <t>営業</t>
        </is>
      </c>
      <c r="L9600" t="inlineStr">
        <is>
          <t>10:43:55</t>
        </is>
      </c>
      <c r="M9600" t="inlineStr">
        <is>
          <t>10:44:20</t>
        </is>
      </c>
    </row>
    <row r="9601" ht="15" customHeight="1" s="37">
      <c r="A9601" t="n">
        <v>9</v>
      </c>
      <c r="B9601" s="10" t="inlineStr">
        <is>
          <t>平日</t>
        </is>
      </c>
      <c r="C9601" s="10" t="inlineStr">
        <is>
          <t>本線</t>
        </is>
      </c>
      <c r="D9601" s="10" t="inlineStr">
        <is>
          <t>上り</t>
        </is>
      </c>
      <c r="E9601" t="inlineStr">
        <is>
          <t>1010</t>
        </is>
      </c>
      <c r="F9601" t="inlineStr">
        <is>
          <t>0211</t>
        </is>
      </c>
      <c r="G9601" s="10" t="inlineStr">
        <is>
          <t>鹿王院</t>
        </is>
      </c>
      <c r="H9601" s="10" t="inlineStr">
        <is>
          <t>発</t>
        </is>
      </c>
      <c r="J9601" s="10" t="inlineStr">
        <is>
          <t>営業</t>
        </is>
      </c>
      <c r="L9601" t="inlineStr">
        <is>
          <t>10:45:25</t>
        </is>
      </c>
      <c r="M9601" t="inlineStr">
        <is>
          <t>10:45:45</t>
        </is>
      </c>
    </row>
    <row r="9602" ht="15" customHeight="1" s="37">
      <c r="A9602" t="n">
        <v>9</v>
      </c>
      <c r="B9602" s="10" t="inlineStr">
        <is>
          <t>平日</t>
        </is>
      </c>
      <c r="C9602" s="10" t="inlineStr">
        <is>
          <t>本線</t>
        </is>
      </c>
      <c r="D9602" s="10" t="inlineStr">
        <is>
          <t>上り</t>
        </is>
      </c>
      <c r="E9602" t="inlineStr">
        <is>
          <t>1010</t>
        </is>
      </c>
      <c r="F9602" t="inlineStr">
        <is>
          <t>0211</t>
        </is>
      </c>
      <c r="G9602" s="10" t="inlineStr">
        <is>
          <t>車折</t>
        </is>
      </c>
      <c r="H9602" s="10" t="inlineStr">
        <is>
          <t>発</t>
        </is>
      </c>
      <c r="J9602" s="10" t="inlineStr">
        <is>
          <t>営業</t>
        </is>
      </c>
      <c r="L9602" t="inlineStr">
        <is>
          <t>10:46:40</t>
        </is>
      </c>
      <c r="M9602" t="inlineStr">
        <is>
          <t>10:47:10</t>
        </is>
      </c>
    </row>
    <row r="9603" ht="15" customHeight="1" s="37">
      <c r="A9603" t="n">
        <v>9</v>
      </c>
      <c r="B9603" s="10" t="inlineStr">
        <is>
          <t>平日</t>
        </is>
      </c>
      <c r="C9603" s="10" t="inlineStr">
        <is>
          <t>本線</t>
        </is>
      </c>
      <c r="D9603" s="10" t="inlineStr">
        <is>
          <t>上り</t>
        </is>
      </c>
      <c r="E9603" t="inlineStr">
        <is>
          <t>1010</t>
        </is>
      </c>
      <c r="F9603" t="inlineStr">
        <is>
          <t>0211</t>
        </is>
      </c>
      <c r="G9603" s="10" t="inlineStr">
        <is>
          <t>有栖川</t>
        </is>
      </c>
      <c r="H9603" s="10" t="inlineStr">
        <is>
          <t>発</t>
        </is>
      </c>
      <c r="J9603" s="10" t="inlineStr">
        <is>
          <t>営業</t>
        </is>
      </c>
      <c r="L9603" t="inlineStr">
        <is>
          <t>10:48:35</t>
        </is>
      </c>
      <c r="M9603" t="inlineStr">
        <is>
          <t>10:48:55</t>
        </is>
      </c>
    </row>
    <row r="9604" ht="15" customHeight="1" s="37">
      <c r="A9604" t="n">
        <v>9</v>
      </c>
      <c r="B9604" s="10" t="inlineStr">
        <is>
          <t>平日</t>
        </is>
      </c>
      <c r="C9604" s="10" t="inlineStr">
        <is>
          <t>本線</t>
        </is>
      </c>
      <c r="D9604" s="10" t="inlineStr">
        <is>
          <t>上り</t>
        </is>
      </c>
      <c r="E9604" t="inlineStr">
        <is>
          <t>1010</t>
        </is>
      </c>
      <c r="F9604" t="inlineStr">
        <is>
          <t>0211</t>
        </is>
      </c>
      <c r="G9604" s="10" t="inlineStr">
        <is>
          <t>帷子ノ辻</t>
        </is>
      </c>
      <c r="H9604" s="10" t="inlineStr">
        <is>
          <t>発</t>
        </is>
      </c>
      <c r="J9604" s="10" t="inlineStr">
        <is>
          <t>営業</t>
        </is>
      </c>
      <c r="L9604" t="inlineStr">
        <is>
          <t>10:50:10</t>
        </is>
      </c>
      <c r="M9604" t="inlineStr">
        <is>
          <t>10:51:15</t>
        </is>
      </c>
    </row>
    <row r="9605" ht="15" customHeight="1" s="37">
      <c r="A9605" t="n">
        <v>9</v>
      </c>
      <c r="B9605" s="10" t="inlineStr">
        <is>
          <t>平日</t>
        </is>
      </c>
      <c r="C9605" s="10" t="inlineStr">
        <is>
          <t>本線</t>
        </is>
      </c>
      <c r="D9605" s="10" t="inlineStr">
        <is>
          <t>上り</t>
        </is>
      </c>
      <c r="E9605" t="inlineStr">
        <is>
          <t>1010</t>
        </is>
      </c>
      <c r="F9605" t="inlineStr">
        <is>
          <t>0211</t>
        </is>
      </c>
      <c r="G9605" s="10" t="inlineStr">
        <is>
          <t>太秦広隆寺</t>
        </is>
      </c>
      <c r="H9605" s="10" t="inlineStr">
        <is>
          <t>発</t>
        </is>
      </c>
      <c r="J9605" s="10" t="inlineStr">
        <is>
          <t>営業</t>
        </is>
      </c>
      <c r="L9605" t="inlineStr">
        <is>
          <t>10:53:25</t>
        </is>
      </c>
      <c r="M9605" t="inlineStr">
        <is>
          <t>10:53:45</t>
        </is>
      </c>
    </row>
    <row r="9606" ht="15" customHeight="1" s="37">
      <c r="A9606" t="n">
        <v>9</v>
      </c>
      <c r="B9606" s="10" t="inlineStr">
        <is>
          <t>平日</t>
        </is>
      </c>
      <c r="C9606" s="10" t="inlineStr">
        <is>
          <t>本線</t>
        </is>
      </c>
      <c r="D9606" s="10" t="inlineStr">
        <is>
          <t>上り</t>
        </is>
      </c>
      <c r="E9606" t="inlineStr">
        <is>
          <t>1010</t>
        </is>
      </c>
      <c r="F9606" t="inlineStr">
        <is>
          <t>0211</t>
        </is>
      </c>
      <c r="G9606" s="10" t="inlineStr">
        <is>
          <t>蚕ノ社</t>
        </is>
      </c>
      <c r="H9606" s="10" t="inlineStr">
        <is>
          <t>発</t>
        </is>
      </c>
      <c r="J9606" s="10" t="inlineStr">
        <is>
          <t>営業</t>
        </is>
      </c>
      <c r="L9606" t="inlineStr">
        <is>
          <t>10:55:00</t>
        </is>
      </c>
      <c r="M9606" t="inlineStr">
        <is>
          <t>10:55:20</t>
        </is>
      </c>
    </row>
    <row r="9607" ht="15" customHeight="1" s="37">
      <c r="A9607" t="n">
        <v>9</v>
      </c>
      <c r="B9607" s="10" t="inlineStr">
        <is>
          <t>平日</t>
        </is>
      </c>
      <c r="C9607" s="10" t="inlineStr">
        <is>
          <t>本線</t>
        </is>
      </c>
      <c r="D9607" s="10" t="inlineStr">
        <is>
          <t>上り</t>
        </is>
      </c>
      <c r="E9607" t="inlineStr">
        <is>
          <t>1010</t>
        </is>
      </c>
      <c r="F9607" t="inlineStr">
        <is>
          <t>0211</t>
        </is>
      </c>
      <c r="G9607" s="10" t="inlineStr">
        <is>
          <t>天神川</t>
        </is>
      </c>
      <c r="H9607" s="10" t="inlineStr">
        <is>
          <t>発</t>
        </is>
      </c>
      <c r="J9607" s="10" t="inlineStr">
        <is>
          <t>営業</t>
        </is>
      </c>
      <c r="L9607" t="inlineStr">
        <is>
          <t>10:56:05</t>
        </is>
      </c>
      <c r="M9607" t="inlineStr">
        <is>
          <t>10:56:50</t>
        </is>
      </c>
    </row>
    <row r="9608" ht="15" customHeight="1" s="37">
      <c r="A9608" t="n">
        <v>9</v>
      </c>
      <c r="B9608" s="10" t="inlineStr">
        <is>
          <t>平日</t>
        </is>
      </c>
      <c r="C9608" s="10" t="inlineStr">
        <is>
          <t>本線</t>
        </is>
      </c>
      <c r="D9608" s="10" t="inlineStr">
        <is>
          <t>上り</t>
        </is>
      </c>
      <c r="E9608" t="inlineStr">
        <is>
          <t>1010</t>
        </is>
      </c>
      <c r="F9608" t="inlineStr">
        <is>
          <t>0211</t>
        </is>
      </c>
      <c r="G9608" s="10" t="inlineStr">
        <is>
          <t>山ノ内</t>
        </is>
      </c>
      <c r="H9608" s="10" t="inlineStr">
        <is>
          <t>発</t>
        </is>
      </c>
      <c r="J9608" s="10" t="inlineStr">
        <is>
          <t>営業</t>
        </is>
      </c>
      <c r="L9608" t="inlineStr">
        <is>
          <t>10:58:40</t>
        </is>
      </c>
      <c r="M9608" t="inlineStr">
        <is>
          <t>10:59:05</t>
        </is>
      </c>
    </row>
    <row r="9609" ht="15" customHeight="1" s="37">
      <c r="A9609" t="n">
        <v>9</v>
      </c>
      <c r="B9609" s="10" t="inlineStr">
        <is>
          <t>平日</t>
        </is>
      </c>
      <c r="C9609" s="10" t="inlineStr">
        <is>
          <t>本線</t>
        </is>
      </c>
      <c r="D9609" s="10" t="inlineStr">
        <is>
          <t>上り</t>
        </is>
      </c>
      <c r="E9609" t="inlineStr">
        <is>
          <t>1010</t>
        </is>
      </c>
      <c r="F9609" t="inlineStr">
        <is>
          <t>0211</t>
        </is>
      </c>
      <c r="G9609" s="10" t="inlineStr">
        <is>
          <t>西大路三条</t>
        </is>
      </c>
      <c r="H9609" s="10" t="inlineStr">
        <is>
          <t>発</t>
        </is>
      </c>
      <c r="J9609" s="10" t="inlineStr">
        <is>
          <t>営業</t>
        </is>
      </c>
      <c r="L9609" t="inlineStr">
        <is>
          <t>11:00:55</t>
        </is>
      </c>
      <c r="M9609" t="inlineStr">
        <is>
          <t>11:01:15</t>
        </is>
      </c>
    </row>
    <row r="9610" ht="15" customHeight="1" s="37">
      <c r="A9610" t="n">
        <v>9</v>
      </c>
      <c r="B9610" s="10" t="inlineStr">
        <is>
          <t>平日</t>
        </is>
      </c>
      <c r="C9610" s="10" t="inlineStr">
        <is>
          <t>本線</t>
        </is>
      </c>
      <c r="D9610" s="10" t="inlineStr">
        <is>
          <t>上り</t>
        </is>
      </c>
      <c r="E9610" t="inlineStr">
        <is>
          <t>1010</t>
        </is>
      </c>
      <c r="F9610" t="inlineStr">
        <is>
          <t>0211</t>
        </is>
      </c>
      <c r="G9610" s="10" t="inlineStr">
        <is>
          <t>西院</t>
        </is>
      </c>
      <c r="H9610" s="10" t="inlineStr">
        <is>
          <t>発</t>
        </is>
      </c>
      <c r="J9610" s="10" t="inlineStr">
        <is>
          <t>営業</t>
        </is>
      </c>
      <c r="L9610" t="inlineStr">
        <is>
          <t>11:03:10</t>
        </is>
      </c>
      <c r="M9610" t="inlineStr">
        <is>
          <t>11:04:05</t>
        </is>
      </c>
    </row>
    <row r="9611" ht="15" customHeight="1" s="37">
      <c r="A9611" t="n">
        <v>9</v>
      </c>
      <c r="B9611" s="10" t="inlineStr">
        <is>
          <t>平日</t>
        </is>
      </c>
      <c r="C9611" s="10" t="inlineStr">
        <is>
          <t>本線</t>
        </is>
      </c>
      <c r="D9611" s="10" t="inlineStr">
        <is>
          <t>上り</t>
        </is>
      </c>
      <c r="E9611" t="inlineStr">
        <is>
          <t>1010</t>
        </is>
      </c>
      <c r="F9611" t="inlineStr">
        <is>
          <t>0211</t>
        </is>
      </c>
      <c r="G9611" s="10" t="inlineStr">
        <is>
          <t>四条大宮</t>
        </is>
      </c>
      <c r="H9611" s="10" t="inlineStr">
        <is>
          <t>着</t>
        </is>
      </c>
      <c r="J9611" s="10" t="inlineStr">
        <is>
          <t>営業</t>
        </is>
      </c>
      <c r="L9611" t="inlineStr">
        <is>
          <t>11:07:00</t>
        </is>
      </c>
      <c r="Q9611" t="inlineStr">
        <is>
          <t>1</t>
        </is>
      </c>
    </row>
    <row r="9612" ht="15" customHeight="1" s="37">
      <c r="A9612" t="n">
        <v>9</v>
      </c>
      <c r="B9612" s="10" t="inlineStr">
        <is>
          <t>平日</t>
        </is>
      </c>
      <c r="C9612" s="10" t="inlineStr">
        <is>
          <t>本線</t>
        </is>
      </c>
      <c r="D9612" s="10" t="inlineStr">
        <is>
          <t>下り</t>
        </is>
      </c>
      <c r="E9612" t="inlineStr">
        <is>
          <t>1103</t>
        </is>
      </c>
      <c r="F9612" t="inlineStr">
        <is>
          <t>0112</t>
        </is>
      </c>
      <c r="G9612" s="10" t="inlineStr">
        <is>
          <t>四条大宮</t>
        </is>
      </c>
      <c r="H9612" s="10" t="inlineStr">
        <is>
          <t>発</t>
        </is>
      </c>
      <c r="J9612" s="10" t="inlineStr">
        <is>
          <t>営業</t>
        </is>
      </c>
      <c r="M9612" t="inlineStr">
        <is>
          <t>11:13:00</t>
        </is>
      </c>
      <c r="Q9612" t="inlineStr">
        <is>
          <t>1</t>
        </is>
      </c>
    </row>
    <row r="9613" ht="15" customHeight="1" s="37">
      <c r="A9613" t="n">
        <v>9</v>
      </c>
      <c r="B9613" s="10" t="inlineStr">
        <is>
          <t>平日</t>
        </is>
      </c>
      <c r="C9613" s="10" t="inlineStr">
        <is>
          <t>本線</t>
        </is>
      </c>
      <c r="D9613" s="10" t="inlineStr">
        <is>
          <t>下り</t>
        </is>
      </c>
      <c r="E9613" t="inlineStr">
        <is>
          <t>1103</t>
        </is>
      </c>
      <c r="F9613" t="inlineStr">
        <is>
          <t>0112</t>
        </is>
      </c>
      <c r="G9613" s="10" t="inlineStr">
        <is>
          <t>西院</t>
        </is>
      </c>
      <c r="H9613" s="10" t="inlineStr">
        <is>
          <t>発</t>
        </is>
      </c>
      <c r="J9613" s="10" t="inlineStr">
        <is>
          <t>営業</t>
        </is>
      </c>
      <c r="L9613" t="inlineStr">
        <is>
          <t>11:15:50</t>
        </is>
      </c>
      <c r="M9613" t="inlineStr">
        <is>
          <t>11:16:20</t>
        </is>
      </c>
    </row>
    <row r="9614" ht="15" customHeight="1" s="37">
      <c r="A9614" t="n">
        <v>9</v>
      </c>
      <c r="B9614" s="10" t="inlineStr">
        <is>
          <t>平日</t>
        </is>
      </c>
      <c r="C9614" s="10" t="inlineStr">
        <is>
          <t>本線</t>
        </is>
      </c>
      <c r="D9614" s="10" t="inlineStr">
        <is>
          <t>下り</t>
        </is>
      </c>
      <c r="E9614" t="inlineStr">
        <is>
          <t>1103</t>
        </is>
      </c>
      <c r="F9614" t="inlineStr">
        <is>
          <t>0112</t>
        </is>
      </c>
      <c r="G9614" s="10" t="inlineStr">
        <is>
          <t>西大路三条</t>
        </is>
      </c>
      <c r="H9614" s="10" t="inlineStr">
        <is>
          <t>発</t>
        </is>
      </c>
      <c r="J9614" s="10" t="inlineStr">
        <is>
          <t>営業</t>
        </is>
      </c>
      <c r="L9614" t="inlineStr">
        <is>
          <t>11:18:10</t>
        </is>
      </c>
      <c r="M9614" t="inlineStr">
        <is>
          <t>11:18:30</t>
        </is>
      </c>
    </row>
    <row r="9615" ht="15" customHeight="1" s="37">
      <c r="A9615" t="n">
        <v>9</v>
      </c>
      <c r="B9615" s="10" t="inlineStr">
        <is>
          <t>平日</t>
        </is>
      </c>
      <c r="C9615" s="10" t="inlineStr">
        <is>
          <t>本線</t>
        </is>
      </c>
      <c r="D9615" s="10" t="inlineStr">
        <is>
          <t>下り</t>
        </is>
      </c>
      <c r="E9615" t="inlineStr">
        <is>
          <t>1103</t>
        </is>
      </c>
      <c r="F9615" t="inlineStr">
        <is>
          <t>0112</t>
        </is>
      </c>
      <c r="G9615" s="10" t="inlineStr">
        <is>
          <t>山ノ内</t>
        </is>
      </c>
      <c r="H9615" s="10" t="inlineStr">
        <is>
          <t>発</t>
        </is>
      </c>
      <c r="J9615" s="10" t="inlineStr">
        <is>
          <t>営業</t>
        </is>
      </c>
      <c r="L9615" t="inlineStr">
        <is>
          <t>11:20:25</t>
        </is>
      </c>
      <c r="M9615" t="inlineStr">
        <is>
          <t>11:20:50</t>
        </is>
      </c>
    </row>
    <row r="9616" ht="15" customHeight="1" s="37">
      <c r="A9616" t="n">
        <v>9</v>
      </c>
      <c r="B9616" s="10" t="inlineStr">
        <is>
          <t>平日</t>
        </is>
      </c>
      <c r="C9616" s="10" t="inlineStr">
        <is>
          <t>本線</t>
        </is>
      </c>
      <c r="D9616" s="10" t="inlineStr">
        <is>
          <t>下り</t>
        </is>
      </c>
      <c r="E9616" t="inlineStr">
        <is>
          <t>1103</t>
        </is>
      </c>
      <c r="F9616" t="inlineStr">
        <is>
          <t>0112</t>
        </is>
      </c>
      <c r="G9616" s="10" t="inlineStr">
        <is>
          <t>天神川</t>
        </is>
      </c>
      <c r="H9616" s="10" t="inlineStr">
        <is>
          <t>発</t>
        </is>
      </c>
      <c r="J9616" s="10" t="inlineStr">
        <is>
          <t>営業</t>
        </is>
      </c>
      <c r="L9616" t="inlineStr">
        <is>
          <t>11:22:50</t>
        </is>
      </c>
      <c r="M9616" t="inlineStr">
        <is>
          <t>11:23:30</t>
        </is>
      </c>
    </row>
    <row r="9617" ht="15" customHeight="1" s="37">
      <c r="A9617" t="n">
        <v>9</v>
      </c>
      <c r="B9617" s="10" t="inlineStr">
        <is>
          <t>平日</t>
        </is>
      </c>
      <c r="C9617" s="10" t="inlineStr">
        <is>
          <t>本線</t>
        </is>
      </c>
      <c r="D9617" s="10" t="inlineStr">
        <is>
          <t>下り</t>
        </is>
      </c>
      <c r="E9617" t="inlineStr">
        <is>
          <t>1103</t>
        </is>
      </c>
      <c r="F9617" t="inlineStr">
        <is>
          <t>0112</t>
        </is>
      </c>
      <c r="G9617" s="10" t="inlineStr">
        <is>
          <t>蚕ノ社</t>
        </is>
      </c>
      <c r="H9617" s="10" t="inlineStr">
        <is>
          <t>発</t>
        </is>
      </c>
      <c r="J9617" s="10" t="inlineStr">
        <is>
          <t>営業</t>
        </is>
      </c>
      <c r="L9617" t="inlineStr">
        <is>
          <t>11:24:20</t>
        </is>
      </c>
      <c r="M9617" t="inlineStr">
        <is>
          <t>11:24:40</t>
        </is>
      </c>
    </row>
    <row r="9618" ht="15" customHeight="1" s="37">
      <c r="A9618" t="n">
        <v>9</v>
      </c>
      <c r="B9618" s="10" t="inlineStr">
        <is>
          <t>平日</t>
        </is>
      </c>
      <c r="C9618" s="10" t="inlineStr">
        <is>
          <t>本線</t>
        </is>
      </c>
      <c r="D9618" s="10" t="inlineStr">
        <is>
          <t>下り</t>
        </is>
      </c>
      <c r="E9618" t="inlineStr">
        <is>
          <t>1103</t>
        </is>
      </c>
      <c r="F9618" t="inlineStr">
        <is>
          <t>0112</t>
        </is>
      </c>
      <c r="G9618" s="10" t="inlineStr">
        <is>
          <t>太秦広隆寺</t>
        </is>
      </c>
      <c r="H9618" s="10" t="inlineStr">
        <is>
          <t>発</t>
        </is>
      </c>
      <c r="J9618" s="10" t="inlineStr">
        <is>
          <t>営業</t>
        </is>
      </c>
      <c r="L9618" t="inlineStr">
        <is>
          <t>11:26:00</t>
        </is>
      </c>
      <c r="M9618" t="inlineStr">
        <is>
          <t>11:26:20</t>
        </is>
      </c>
    </row>
    <row r="9619" ht="15" customHeight="1" s="37">
      <c r="A9619" t="n">
        <v>9</v>
      </c>
      <c r="B9619" s="10" t="inlineStr">
        <is>
          <t>平日</t>
        </is>
      </c>
      <c r="C9619" s="10" t="inlineStr">
        <is>
          <t>本線</t>
        </is>
      </c>
      <c r="D9619" s="10" t="inlineStr">
        <is>
          <t>下り</t>
        </is>
      </c>
      <c r="E9619" t="inlineStr">
        <is>
          <t>1103</t>
        </is>
      </c>
      <c r="F9619" t="inlineStr">
        <is>
          <t>0112</t>
        </is>
      </c>
      <c r="G9619" s="10" t="inlineStr">
        <is>
          <t>帷子ノ辻</t>
        </is>
      </c>
      <c r="H9619" s="10" t="inlineStr">
        <is>
          <t>発</t>
        </is>
      </c>
      <c r="J9619" s="10" t="inlineStr">
        <is>
          <t>営業</t>
        </is>
      </c>
      <c r="L9619" t="inlineStr">
        <is>
          <t>11:28:20</t>
        </is>
      </c>
      <c r="M9619" t="inlineStr">
        <is>
          <t>11:29:40</t>
        </is>
      </c>
    </row>
    <row r="9620" ht="15" customHeight="1" s="37">
      <c r="A9620" t="n">
        <v>9</v>
      </c>
      <c r="B9620" s="10" t="inlineStr">
        <is>
          <t>平日</t>
        </is>
      </c>
      <c r="C9620" s="10" t="inlineStr">
        <is>
          <t>本線</t>
        </is>
      </c>
      <c r="D9620" s="10" t="inlineStr">
        <is>
          <t>下り</t>
        </is>
      </c>
      <c r="E9620" t="inlineStr">
        <is>
          <t>1103</t>
        </is>
      </c>
      <c r="F9620" t="inlineStr">
        <is>
          <t>0112</t>
        </is>
      </c>
      <c r="G9620" s="10" t="inlineStr">
        <is>
          <t>有栖川</t>
        </is>
      </c>
      <c r="H9620" s="10" t="inlineStr">
        <is>
          <t>発</t>
        </is>
      </c>
      <c r="J9620" s="10" t="inlineStr">
        <is>
          <t>営業</t>
        </is>
      </c>
      <c r="L9620" t="inlineStr">
        <is>
          <t>11:30:50</t>
        </is>
      </c>
      <c r="M9620" t="inlineStr">
        <is>
          <t>11:31:15</t>
        </is>
      </c>
    </row>
    <row r="9621" ht="15" customHeight="1" s="37">
      <c r="A9621" t="n">
        <v>9</v>
      </c>
      <c r="B9621" s="10" t="inlineStr">
        <is>
          <t>平日</t>
        </is>
      </c>
      <c r="C9621" s="10" t="inlineStr">
        <is>
          <t>本線</t>
        </is>
      </c>
      <c r="D9621" s="10" t="inlineStr">
        <is>
          <t>下り</t>
        </is>
      </c>
      <c r="E9621" t="inlineStr">
        <is>
          <t>1103</t>
        </is>
      </c>
      <c r="F9621" t="inlineStr">
        <is>
          <t>0112</t>
        </is>
      </c>
      <c r="G9621" s="10" t="inlineStr">
        <is>
          <t>車折</t>
        </is>
      </c>
      <c r="H9621" s="10" t="inlineStr">
        <is>
          <t>発</t>
        </is>
      </c>
      <c r="J9621" s="10" t="inlineStr">
        <is>
          <t>営業</t>
        </is>
      </c>
      <c r="L9621" t="inlineStr">
        <is>
          <t>11:32:40</t>
        </is>
      </c>
      <c r="M9621" t="inlineStr">
        <is>
          <t>11:33:05</t>
        </is>
      </c>
    </row>
    <row r="9622" ht="15" customHeight="1" s="37">
      <c r="A9622" t="n">
        <v>9</v>
      </c>
      <c r="B9622" s="10" t="inlineStr">
        <is>
          <t>平日</t>
        </is>
      </c>
      <c r="C9622" s="10" t="inlineStr">
        <is>
          <t>本線</t>
        </is>
      </c>
      <c r="D9622" s="10" t="inlineStr">
        <is>
          <t>下り</t>
        </is>
      </c>
      <c r="E9622" t="inlineStr">
        <is>
          <t>1103</t>
        </is>
      </c>
      <c r="F9622" t="inlineStr">
        <is>
          <t>0112</t>
        </is>
      </c>
      <c r="G9622" s="10" t="inlineStr">
        <is>
          <t>鹿王院</t>
        </is>
      </c>
      <c r="H9622" s="10" t="inlineStr">
        <is>
          <t>発</t>
        </is>
      </c>
      <c r="J9622" s="10" t="inlineStr">
        <is>
          <t>営業</t>
        </is>
      </c>
      <c r="L9622" t="inlineStr">
        <is>
          <t>11:34:00</t>
        </is>
      </c>
      <c r="M9622" t="inlineStr">
        <is>
          <t>11:34:25</t>
        </is>
      </c>
    </row>
    <row r="9623" ht="15" customHeight="1" s="37">
      <c r="A9623" t="n">
        <v>9</v>
      </c>
      <c r="B9623" s="10" t="inlineStr">
        <is>
          <t>平日</t>
        </is>
      </c>
      <c r="C9623" s="10" t="inlineStr">
        <is>
          <t>本線</t>
        </is>
      </c>
      <c r="D9623" s="10" t="inlineStr">
        <is>
          <t>下り</t>
        </is>
      </c>
      <c r="E9623" t="inlineStr">
        <is>
          <t>1103</t>
        </is>
      </c>
      <c r="F9623" t="inlineStr">
        <is>
          <t>0112</t>
        </is>
      </c>
      <c r="G9623" s="10" t="inlineStr">
        <is>
          <t>嵯峨</t>
        </is>
      </c>
      <c r="H9623" s="10" t="inlineStr">
        <is>
          <t>発</t>
        </is>
      </c>
      <c r="J9623" s="10" t="inlineStr">
        <is>
          <t>営業</t>
        </is>
      </c>
      <c r="L9623" t="inlineStr">
        <is>
          <t>11:35:30</t>
        </is>
      </c>
      <c r="M9623" t="inlineStr">
        <is>
          <t>11:35:55</t>
        </is>
      </c>
    </row>
    <row r="9624" ht="15" customHeight="1" s="37">
      <c r="A9624" t="n">
        <v>9</v>
      </c>
      <c r="B9624" s="10" t="inlineStr">
        <is>
          <t>平日</t>
        </is>
      </c>
      <c r="C9624" s="10" t="inlineStr">
        <is>
          <t>本線</t>
        </is>
      </c>
      <c r="D9624" s="10" t="inlineStr">
        <is>
          <t>下り</t>
        </is>
      </c>
      <c r="E9624" t="inlineStr">
        <is>
          <t>1103</t>
        </is>
      </c>
      <c r="F9624" t="inlineStr">
        <is>
          <t>0112</t>
        </is>
      </c>
      <c r="G9624" s="10" t="inlineStr">
        <is>
          <t>嵐山</t>
        </is>
      </c>
      <c r="H9624" s="10" t="inlineStr">
        <is>
          <t>着</t>
        </is>
      </c>
      <c r="J9624" s="10" t="inlineStr">
        <is>
          <t>営業</t>
        </is>
      </c>
      <c r="L9624" t="inlineStr">
        <is>
          <t>11:37:00</t>
        </is>
      </c>
      <c r="Q9624" t="inlineStr">
        <is>
          <t>1</t>
        </is>
      </c>
    </row>
    <row r="9625" ht="15" customHeight="1" s="37">
      <c r="A9625" t="n">
        <v>9</v>
      </c>
      <c r="B9625" s="10" t="inlineStr">
        <is>
          <t>平日</t>
        </is>
      </c>
      <c r="C9625" s="10" t="inlineStr">
        <is>
          <t>本線</t>
        </is>
      </c>
      <c r="D9625" s="10" t="inlineStr">
        <is>
          <t>上り</t>
        </is>
      </c>
      <c r="E9625" t="inlineStr">
        <is>
          <t>1110</t>
        </is>
      </c>
      <c r="F9625" t="inlineStr">
        <is>
          <t>0211</t>
        </is>
      </c>
      <c r="G9625" s="10" t="inlineStr">
        <is>
          <t>嵐山</t>
        </is>
      </c>
      <c r="H9625" s="10" t="inlineStr">
        <is>
          <t>発</t>
        </is>
      </c>
      <c r="J9625" s="10" t="inlineStr">
        <is>
          <t>営業</t>
        </is>
      </c>
      <c r="M9625" t="inlineStr">
        <is>
          <t>11:43:00</t>
        </is>
      </c>
      <c r="Q9625" t="inlineStr">
        <is>
          <t>1</t>
        </is>
      </c>
    </row>
    <row r="9626" ht="15" customHeight="1" s="37">
      <c r="A9626" t="n">
        <v>9</v>
      </c>
      <c r="B9626" s="10" t="inlineStr">
        <is>
          <t>平日</t>
        </is>
      </c>
      <c r="C9626" s="10" t="inlineStr">
        <is>
          <t>本線</t>
        </is>
      </c>
      <c r="D9626" s="10" t="inlineStr">
        <is>
          <t>上り</t>
        </is>
      </c>
      <c r="E9626" t="inlineStr">
        <is>
          <t>1110</t>
        </is>
      </c>
      <c r="F9626" t="inlineStr">
        <is>
          <t>0211</t>
        </is>
      </c>
      <c r="G9626" s="10" t="inlineStr">
        <is>
          <t>嵯峨</t>
        </is>
      </c>
      <c r="H9626" s="10" t="inlineStr">
        <is>
          <t>発</t>
        </is>
      </c>
      <c r="J9626" s="10" t="inlineStr">
        <is>
          <t>営業</t>
        </is>
      </c>
      <c r="L9626" t="inlineStr">
        <is>
          <t>11:43:55</t>
        </is>
      </c>
      <c r="M9626" t="inlineStr">
        <is>
          <t>11:44:20</t>
        </is>
      </c>
    </row>
    <row r="9627" ht="15" customHeight="1" s="37">
      <c r="A9627" t="n">
        <v>9</v>
      </c>
      <c r="B9627" s="10" t="inlineStr">
        <is>
          <t>平日</t>
        </is>
      </c>
      <c r="C9627" s="10" t="inlineStr">
        <is>
          <t>本線</t>
        </is>
      </c>
      <c r="D9627" s="10" t="inlineStr">
        <is>
          <t>上り</t>
        </is>
      </c>
      <c r="E9627" t="inlineStr">
        <is>
          <t>1110</t>
        </is>
      </c>
      <c r="F9627" t="inlineStr">
        <is>
          <t>0211</t>
        </is>
      </c>
      <c r="G9627" s="10" t="inlineStr">
        <is>
          <t>鹿王院</t>
        </is>
      </c>
      <c r="H9627" s="10" t="inlineStr">
        <is>
          <t>発</t>
        </is>
      </c>
      <c r="J9627" s="10" t="inlineStr">
        <is>
          <t>営業</t>
        </is>
      </c>
      <c r="L9627" t="inlineStr">
        <is>
          <t>11:45:25</t>
        </is>
      </c>
      <c r="M9627" t="inlineStr">
        <is>
          <t>11:45:45</t>
        </is>
      </c>
    </row>
    <row r="9628" ht="15" customHeight="1" s="37">
      <c r="A9628" t="n">
        <v>9</v>
      </c>
      <c r="B9628" s="10" t="inlineStr">
        <is>
          <t>平日</t>
        </is>
      </c>
      <c r="C9628" s="10" t="inlineStr">
        <is>
          <t>本線</t>
        </is>
      </c>
      <c r="D9628" s="10" t="inlineStr">
        <is>
          <t>上り</t>
        </is>
      </c>
      <c r="E9628" t="inlineStr">
        <is>
          <t>1110</t>
        </is>
      </c>
      <c r="F9628" t="inlineStr">
        <is>
          <t>0211</t>
        </is>
      </c>
      <c r="G9628" s="10" t="inlineStr">
        <is>
          <t>車折</t>
        </is>
      </c>
      <c r="H9628" s="10" t="inlineStr">
        <is>
          <t>発</t>
        </is>
      </c>
      <c r="J9628" s="10" t="inlineStr">
        <is>
          <t>営業</t>
        </is>
      </c>
      <c r="L9628" t="inlineStr">
        <is>
          <t>11:46:40</t>
        </is>
      </c>
      <c r="M9628" t="inlineStr">
        <is>
          <t>11:47:10</t>
        </is>
      </c>
    </row>
    <row r="9629" ht="15" customHeight="1" s="37">
      <c r="A9629" t="n">
        <v>9</v>
      </c>
      <c r="B9629" s="10" t="inlineStr">
        <is>
          <t>平日</t>
        </is>
      </c>
      <c r="C9629" s="10" t="inlineStr">
        <is>
          <t>本線</t>
        </is>
      </c>
      <c r="D9629" s="10" t="inlineStr">
        <is>
          <t>上り</t>
        </is>
      </c>
      <c r="E9629" t="inlineStr">
        <is>
          <t>1110</t>
        </is>
      </c>
      <c r="F9629" t="inlineStr">
        <is>
          <t>0211</t>
        </is>
      </c>
      <c r="G9629" s="10" t="inlineStr">
        <is>
          <t>有栖川</t>
        </is>
      </c>
      <c r="H9629" s="10" t="inlineStr">
        <is>
          <t>発</t>
        </is>
      </c>
      <c r="J9629" s="10" t="inlineStr">
        <is>
          <t>営業</t>
        </is>
      </c>
      <c r="L9629" t="inlineStr">
        <is>
          <t>11:48:35</t>
        </is>
      </c>
      <c r="M9629" t="inlineStr">
        <is>
          <t>11:48:55</t>
        </is>
      </c>
    </row>
    <row r="9630" ht="15" customHeight="1" s="37">
      <c r="A9630" t="n">
        <v>9</v>
      </c>
      <c r="B9630" s="10" t="inlineStr">
        <is>
          <t>平日</t>
        </is>
      </c>
      <c r="C9630" s="10" t="inlineStr">
        <is>
          <t>本線</t>
        </is>
      </c>
      <c r="D9630" s="10" t="inlineStr">
        <is>
          <t>上り</t>
        </is>
      </c>
      <c r="E9630" t="inlineStr">
        <is>
          <t>1110</t>
        </is>
      </c>
      <c r="F9630" t="inlineStr">
        <is>
          <t>0211</t>
        </is>
      </c>
      <c r="G9630" s="10" t="inlineStr">
        <is>
          <t>帷子ノ辻</t>
        </is>
      </c>
      <c r="H9630" s="10" t="inlineStr">
        <is>
          <t>発</t>
        </is>
      </c>
      <c r="J9630" s="10" t="inlineStr">
        <is>
          <t>営業</t>
        </is>
      </c>
      <c r="L9630" t="inlineStr">
        <is>
          <t>11:50:10</t>
        </is>
      </c>
      <c r="M9630" t="inlineStr">
        <is>
          <t>11:51:15</t>
        </is>
      </c>
    </row>
    <row r="9631" ht="15" customHeight="1" s="37">
      <c r="A9631" t="n">
        <v>9</v>
      </c>
      <c r="B9631" s="10" t="inlineStr">
        <is>
          <t>平日</t>
        </is>
      </c>
      <c r="C9631" s="10" t="inlineStr">
        <is>
          <t>本線</t>
        </is>
      </c>
      <c r="D9631" s="10" t="inlineStr">
        <is>
          <t>上り</t>
        </is>
      </c>
      <c r="E9631" t="inlineStr">
        <is>
          <t>1110</t>
        </is>
      </c>
      <c r="F9631" t="inlineStr">
        <is>
          <t>0211</t>
        </is>
      </c>
      <c r="G9631" s="10" t="inlineStr">
        <is>
          <t>太秦広隆寺</t>
        </is>
      </c>
      <c r="H9631" s="10" t="inlineStr">
        <is>
          <t>発</t>
        </is>
      </c>
      <c r="J9631" s="10" t="inlineStr">
        <is>
          <t>営業</t>
        </is>
      </c>
      <c r="L9631" t="inlineStr">
        <is>
          <t>11:53:25</t>
        </is>
      </c>
      <c r="M9631" t="inlineStr">
        <is>
          <t>11:53:45</t>
        </is>
      </c>
    </row>
    <row r="9632" ht="15" customHeight="1" s="37">
      <c r="A9632" t="n">
        <v>9</v>
      </c>
      <c r="B9632" s="10" t="inlineStr">
        <is>
          <t>平日</t>
        </is>
      </c>
      <c r="C9632" s="10" t="inlineStr">
        <is>
          <t>本線</t>
        </is>
      </c>
      <c r="D9632" s="10" t="inlineStr">
        <is>
          <t>上り</t>
        </is>
      </c>
      <c r="E9632" t="inlineStr">
        <is>
          <t>1110</t>
        </is>
      </c>
      <c r="F9632" t="inlineStr">
        <is>
          <t>0211</t>
        </is>
      </c>
      <c r="G9632" s="10" t="inlineStr">
        <is>
          <t>蚕ノ社</t>
        </is>
      </c>
      <c r="H9632" s="10" t="inlineStr">
        <is>
          <t>発</t>
        </is>
      </c>
      <c r="J9632" s="10" t="inlineStr">
        <is>
          <t>営業</t>
        </is>
      </c>
      <c r="L9632" t="inlineStr">
        <is>
          <t>11:55:00</t>
        </is>
      </c>
      <c r="M9632" t="inlineStr">
        <is>
          <t>11:55:20</t>
        </is>
      </c>
    </row>
    <row r="9633" ht="15" customHeight="1" s="37">
      <c r="A9633" t="n">
        <v>9</v>
      </c>
      <c r="B9633" s="10" t="inlineStr">
        <is>
          <t>平日</t>
        </is>
      </c>
      <c r="C9633" s="10" t="inlineStr">
        <is>
          <t>本線</t>
        </is>
      </c>
      <c r="D9633" s="10" t="inlineStr">
        <is>
          <t>上り</t>
        </is>
      </c>
      <c r="E9633" t="inlineStr">
        <is>
          <t>1110</t>
        </is>
      </c>
      <c r="F9633" t="inlineStr">
        <is>
          <t>0211</t>
        </is>
      </c>
      <c r="G9633" s="10" t="inlineStr">
        <is>
          <t>天神川</t>
        </is>
      </c>
      <c r="H9633" s="10" t="inlineStr">
        <is>
          <t>発</t>
        </is>
      </c>
      <c r="J9633" s="10" t="inlineStr">
        <is>
          <t>営業</t>
        </is>
      </c>
      <c r="L9633" t="inlineStr">
        <is>
          <t>11:56:05</t>
        </is>
      </c>
      <c r="M9633" t="inlineStr">
        <is>
          <t>11:56:50</t>
        </is>
      </c>
    </row>
    <row r="9634" ht="15" customHeight="1" s="37">
      <c r="A9634" t="n">
        <v>9</v>
      </c>
      <c r="B9634" s="10" t="inlineStr">
        <is>
          <t>平日</t>
        </is>
      </c>
      <c r="C9634" s="10" t="inlineStr">
        <is>
          <t>本線</t>
        </is>
      </c>
      <c r="D9634" s="10" t="inlineStr">
        <is>
          <t>上り</t>
        </is>
      </c>
      <c r="E9634" t="inlineStr">
        <is>
          <t>1110</t>
        </is>
      </c>
      <c r="F9634" t="inlineStr">
        <is>
          <t>0211</t>
        </is>
      </c>
      <c r="G9634" s="10" t="inlineStr">
        <is>
          <t>山ノ内</t>
        </is>
      </c>
      <c r="H9634" s="10" t="inlineStr">
        <is>
          <t>発</t>
        </is>
      </c>
      <c r="J9634" s="10" t="inlineStr">
        <is>
          <t>営業</t>
        </is>
      </c>
      <c r="L9634" t="inlineStr">
        <is>
          <t>11:58:40</t>
        </is>
      </c>
      <c r="M9634" t="inlineStr">
        <is>
          <t>11:59:05</t>
        </is>
      </c>
    </row>
    <row r="9635" ht="15" customHeight="1" s="37">
      <c r="A9635" t="n">
        <v>9</v>
      </c>
      <c r="B9635" s="10" t="inlineStr">
        <is>
          <t>平日</t>
        </is>
      </c>
      <c r="C9635" s="10" t="inlineStr">
        <is>
          <t>本線</t>
        </is>
      </c>
      <c r="D9635" s="10" t="inlineStr">
        <is>
          <t>上り</t>
        </is>
      </c>
      <c r="E9635" t="inlineStr">
        <is>
          <t>1110</t>
        </is>
      </c>
      <c r="F9635" t="inlineStr">
        <is>
          <t>0211</t>
        </is>
      </c>
      <c r="G9635" s="10" t="inlineStr">
        <is>
          <t>西大路三条</t>
        </is>
      </c>
      <c r="H9635" s="10" t="inlineStr">
        <is>
          <t>発</t>
        </is>
      </c>
      <c r="J9635" s="10" t="inlineStr">
        <is>
          <t>営業</t>
        </is>
      </c>
      <c r="L9635" t="inlineStr">
        <is>
          <t>12:00:55</t>
        </is>
      </c>
      <c r="M9635" t="inlineStr">
        <is>
          <t>12:01:15</t>
        </is>
      </c>
    </row>
    <row r="9636" ht="15" customHeight="1" s="37">
      <c r="A9636" t="n">
        <v>9</v>
      </c>
      <c r="B9636" s="10" t="inlineStr">
        <is>
          <t>平日</t>
        </is>
      </c>
      <c r="C9636" s="10" t="inlineStr">
        <is>
          <t>本線</t>
        </is>
      </c>
      <c r="D9636" s="10" t="inlineStr">
        <is>
          <t>上り</t>
        </is>
      </c>
      <c r="E9636" t="inlineStr">
        <is>
          <t>1110</t>
        </is>
      </c>
      <c r="F9636" t="inlineStr">
        <is>
          <t>0211</t>
        </is>
      </c>
      <c r="G9636" s="10" t="inlineStr">
        <is>
          <t>西院</t>
        </is>
      </c>
      <c r="H9636" s="10" t="inlineStr">
        <is>
          <t>発</t>
        </is>
      </c>
      <c r="J9636" s="10" t="inlineStr">
        <is>
          <t>営業</t>
        </is>
      </c>
      <c r="L9636" t="inlineStr">
        <is>
          <t>12:03:10</t>
        </is>
      </c>
      <c r="M9636" t="inlineStr">
        <is>
          <t>12:04:05</t>
        </is>
      </c>
    </row>
    <row r="9637" ht="15" customHeight="1" s="37">
      <c r="A9637" t="n">
        <v>9</v>
      </c>
      <c r="B9637" s="10" t="inlineStr">
        <is>
          <t>平日</t>
        </is>
      </c>
      <c r="C9637" s="10" t="inlineStr">
        <is>
          <t>本線</t>
        </is>
      </c>
      <c r="D9637" s="10" t="inlineStr">
        <is>
          <t>上り</t>
        </is>
      </c>
      <c r="E9637" t="inlineStr">
        <is>
          <t>1110</t>
        </is>
      </c>
      <c r="F9637" t="inlineStr">
        <is>
          <t>0211</t>
        </is>
      </c>
      <c r="G9637" s="10" t="inlineStr">
        <is>
          <t>四条大宮</t>
        </is>
      </c>
      <c r="H9637" s="10" t="inlineStr">
        <is>
          <t>着</t>
        </is>
      </c>
      <c r="J9637" s="10" t="inlineStr">
        <is>
          <t>営業</t>
        </is>
      </c>
      <c r="L9637" t="inlineStr">
        <is>
          <t>12:07:00</t>
        </is>
      </c>
      <c r="Q9637" t="inlineStr">
        <is>
          <t>1</t>
        </is>
      </c>
    </row>
    <row r="9638" ht="15" customHeight="1" s="37">
      <c r="A9638" t="n">
        <v>9</v>
      </c>
      <c r="B9638" s="10" t="inlineStr">
        <is>
          <t>平日</t>
        </is>
      </c>
      <c r="C9638" s="10" t="inlineStr">
        <is>
          <t>本線</t>
        </is>
      </c>
      <c r="D9638" s="10" t="inlineStr">
        <is>
          <t>下り</t>
        </is>
      </c>
      <c r="E9638" t="inlineStr">
        <is>
          <t>1203</t>
        </is>
      </c>
      <c r="F9638" t="inlineStr">
        <is>
          <t>0112</t>
        </is>
      </c>
      <c r="G9638" s="10" t="inlineStr">
        <is>
          <t>四条大宮</t>
        </is>
      </c>
      <c r="H9638" s="10" t="inlineStr">
        <is>
          <t>発</t>
        </is>
      </c>
      <c r="J9638" s="10" t="inlineStr">
        <is>
          <t>営業</t>
        </is>
      </c>
      <c r="M9638" t="inlineStr">
        <is>
          <t>12:13:00</t>
        </is>
      </c>
      <c r="Q9638" t="inlineStr">
        <is>
          <t>1</t>
        </is>
      </c>
    </row>
    <row r="9639" ht="15" customHeight="1" s="37">
      <c r="A9639" t="n">
        <v>9</v>
      </c>
      <c r="B9639" s="10" t="inlineStr">
        <is>
          <t>平日</t>
        </is>
      </c>
      <c r="C9639" s="10" t="inlineStr">
        <is>
          <t>本線</t>
        </is>
      </c>
      <c r="D9639" s="10" t="inlineStr">
        <is>
          <t>下り</t>
        </is>
      </c>
      <c r="E9639" t="inlineStr">
        <is>
          <t>1203</t>
        </is>
      </c>
      <c r="F9639" t="inlineStr">
        <is>
          <t>0112</t>
        </is>
      </c>
      <c r="G9639" s="10" t="inlineStr">
        <is>
          <t>西院</t>
        </is>
      </c>
      <c r="H9639" s="10" t="inlineStr">
        <is>
          <t>発</t>
        </is>
      </c>
      <c r="J9639" s="10" t="inlineStr">
        <is>
          <t>営業</t>
        </is>
      </c>
      <c r="L9639" t="inlineStr">
        <is>
          <t>12:15:50</t>
        </is>
      </c>
      <c r="M9639" t="inlineStr">
        <is>
          <t>12:16:20</t>
        </is>
      </c>
    </row>
    <row r="9640" ht="15" customHeight="1" s="37">
      <c r="A9640" t="n">
        <v>9</v>
      </c>
      <c r="B9640" s="10" t="inlineStr">
        <is>
          <t>平日</t>
        </is>
      </c>
      <c r="C9640" s="10" t="inlineStr">
        <is>
          <t>本線</t>
        </is>
      </c>
      <c r="D9640" s="10" t="inlineStr">
        <is>
          <t>下り</t>
        </is>
      </c>
      <c r="E9640" t="inlineStr">
        <is>
          <t>1203</t>
        </is>
      </c>
      <c r="F9640" t="inlineStr">
        <is>
          <t>0112</t>
        </is>
      </c>
      <c r="G9640" s="10" t="inlineStr">
        <is>
          <t>西大路三条</t>
        </is>
      </c>
      <c r="H9640" s="10" t="inlineStr">
        <is>
          <t>発</t>
        </is>
      </c>
      <c r="J9640" s="10" t="inlineStr">
        <is>
          <t>営業</t>
        </is>
      </c>
      <c r="L9640" t="inlineStr">
        <is>
          <t>12:18:10</t>
        </is>
      </c>
      <c r="M9640" t="inlineStr">
        <is>
          <t>12:18:30</t>
        </is>
      </c>
    </row>
    <row r="9641" ht="15" customHeight="1" s="37">
      <c r="A9641" t="n">
        <v>9</v>
      </c>
      <c r="B9641" s="10" t="inlineStr">
        <is>
          <t>平日</t>
        </is>
      </c>
      <c r="C9641" s="10" t="inlineStr">
        <is>
          <t>本線</t>
        </is>
      </c>
      <c r="D9641" s="10" t="inlineStr">
        <is>
          <t>下り</t>
        </is>
      </c>
      <c r="E9641" t="inlineStr">
        <is>
          <t>1203</t>
        </is>
      </c>
      <c r="F9641" t="inlineStr">
        <is>
          <t>0112</t>
        </is>
      </c>
      <c r="G9641" s="10" t="inlineStr">
        <is>
          <t>山ノ内</t>
        </is>
      </c>
      <c r="H9641" s="10" t="inlineStr">
        <is>
          <t>発</t>
        </is>
      </c>
      <c r="J9641" s="10" t="inlineStr">
        <is>
          <t>営業</t>
        </is>
      </c>
      <c r="L9641" t="inlineStr">
        <is>
          <t>12:20:25</t>
        </is>
      </c>
      <c r="M9641" t="inlineStr">
        <is>
          <t>12:20:50</t>
        </is>
      </c>
    </row>
    <row r="9642" ht="15" customHeight="1" s="37">
      <c r="A9642" t="n">
        <v>9</v>
      </c>
      <c r="B9642" s="10" t="inlineStr">
        <is>
          <t>平日</t>
        </is>
      </c>
      <c r="C9642" s="10" t="inlineStr">
        <is>
          <t>本線</t>
        </is>
      </c>
      <c r="D9642" s="10" t="inlineStr">
        <is>
          <t>下り</t>
        </is>
      </c>
      <c r="E9642" t="inlineStr">
        <is>
          <t>1203</t>
        </is>
      </c>
      <c r="F9642" t="inlineStr">
        <is>
          <t>0112</t>
        </is>
      </c>
      <c r="G9642" s="10" t="inlineStr">
        <is>
          <t>天神川</t>
        </is>
      </c>
      <c r="H9642" s="10" t="inlineStr">
        <is>
          <t>発</t>
        </is>
      </c>
      <c r="J9642" s="10" t="inlineStr">
        <is>
          <t>営業</t>
        </is>
      </c>
      <c r="L9642" t="inlineStr">
        <is>
          <t>12:22:50</t>
        </is>
      </c>
      <c r="M9642" t="inlineStr">
        <is>
          <t>12:23:30</t>
        </is>
      </c>
    </row>
    <row r="9643" ht="15" customHeight="1" s="37">
      <c r="A9643" t="n">
        <v>9</v>
      </c>
      <c r="B9643" s="10" t="inlineStr">
        <is>
          <t>平日</t>
        </is>
      </c>
      <c r="C9643" s="10" t="inlineStr">
        <is>
          <t>本線</t>
        </is>
      </c>
      <c r="D9643" s="10" t="inlineStr">
        <is>
          <t>下り</t>
        </is>
      </c>
      <c r="E9643" t="inlineStr">
        <is>
          <t>1203</t>
        </is>
      </c>
      <c r="F9643" t="inlineStr">
        <is>
          <t>0112</t>
        </is>
      </c>
      <c r="G9643" s="10" t="inlineStr">
        <is>
          <t>蚕ノ社</t>
        </is>
      </c>
      <c r="H9643" s="10" t="inlineStr">
        <is>
          <t>発</t>
        </is>
      </c>
      <c r="J9643" s="10" t="inlineStr">
        <is>
          <t>営業</t>
        </is>
      </c>
      <c r="L9643" t="inlineStr">
        <is>
          <t>12:24:20</t>
        </is>
      </c>
      <c r="M9643" t="inlineStr">
        <is>
          <t>12:24:40</t>
        </is>
      </c>
    </row>
    <row r="9644" ht="15" customHeight="1" s="37">
      <c r="A9644" t="n">
        <v>9</v>
      </c>
      <c r="B9644" s="10" t="inlineStr">
        <is>
          <t>平日</t>
        </is>
      </c>
      <c r="C9644" s="10" t="inlineStr">
        <is>
          <t>本線</t>
        </is>
      </c>
      <c r="D9644" s="10" t="inlineStr">
        <is>
          <t>下り</t>
        </is>
      </c>
      <c r="E9644" t="inlineStr">
        <is>
          <t>1203</t>
        </is>
      </c>
      <c r="F9644" t="inlineStr">
        <is>
          <t>0112</t>
        </is>
      </c>
      <c r="G9644" s="10" t="inlineStr">
        <is>
          <t>太秦広隆寺</t>
        </is>
      </c>
      <c r="H9644" s="10" t="inlineStr">
        <is>
          <t>発</t>
        </is>
      </c>
      <c r="J9644" s="10" t="inlineStr">
        <is>
          <t>営業</t>
        </is>
      </c>
      <c r="L9644" t="inlineStr">
        <is>
          <t>12:26:00</t>
        </is>
      </c>
      <c r="M9644" t="inlineStr">
        <is>
          <t>12:26:20</t>
        </is>
      </c>
    </row>
    <row r="9645" ht="15" customHeight="1" s="37">
      <c r="A9645" t="n">
        <v>9</v>
      </c>
      <c r="B9645" s="10" t="inlineStr">
        <is>
          <t>平日</t>
        </is>
      </c>
      <c r="C9645" s="10" t="inlineStr">
        <is>
          <t>本線</t>
        </is>
      </c>
      <c r="D9645" s="10" t="inlineStr">
        <is>
          <t>下り</t>
        </is>
      </c>
      <c r="E9645" t="inlineStr">
        <is>
          <t>1203</t>
        </is>
      </c>
      <c r="F9645" t="inlineStr">
        <is>
          <t>0112</t>
        </is>
      </c>
      <c r="G9645" s="10" t="inlineStr">
        <is>
          <t>帷子ノ辻</t>
        </is>
      </c>
      <c r="H9645" s="10" t="inlineStr">
        <is>
          <t>発</t>
        </is>
      </c>
      <c r="J9645" s="10" t="inlineStr">
        <is>
          <t>営業</t>
        </is>
      </c>
      <c r="L9645" t="inlineStr">
        <is>
          <t>12:28:20</t>
        </is>
      </c>
      <c r="M9645" t="inlineStr">
        <is>
          <t>12:29:40</t>
        </is>
      </c>
    </row>
    <row r="9646" ht="15" customHeight="1" s="37">
      <c r="A9646" t="n">
        <v>9</v>
      </c>
      <c r="B9646" s="10" t="inlineStr">
        <is>
          <t>平日</t>
        </is>
      </c>
      <c r="C9646" s="10" t="inlineStr">
        <is>
          <t>本線</t>
        </is>
      </c>
      <c r="D9646" s="10" t="inlineStr">
        <is>
          <t>下り</t>
        </is>
      </c>
      <c r="E9646" t="inlineStr">
        <is>
          <t>1203</t>
        </is>
      </c>
      <c r="F9646" t="inlineStr">
        <is>
          <t>0112</t>
        </is>
      </c>
      <c r="G9646" s="10" t="inlineStr">
        <is>
          <t>有栖川</t>
        </is>
      </c>
      <c r="H9646" s="10" t="inlineStr">
        <is>
          <t>発</t>
        </is>
      </c>
      <c r="J9646" s="10" t="inlineStr">
        <is>
          <t>営業</t>
        </is>
      </c>
      <c r="L9646" t="inlineStr">
        <is>
          <t>12:30:50</t>
        </is>
      </c>
      <c r="M9646" t="inlineStr">
        <is>
          <t>12:31:15</t>
        </is>
      </c>
    </row>
    <row r="9647" ht="15" customHeight="1" s="37">
      <c r="A9647" t="n">
        <v>9</v>
      </c>
      <c r="B9647" s="10" t="inlineStr">
        <is>
          <t>平日</t>
        </is>
      </c>
      <c r="C9647" s="10" t="inlineStr">
        <is>
          <t>本線</t>
        </is>
      </c>
      <c r="D9647" s="10" t="inlineStr">
        <is>
          <t>下り</t>
        </is>
      </c>
      <c r="E9647" t="inlineStr">
        <is>
          <t>1203</t>
        </is>
      </c>
      <c r="F9647" t="inlineStr">
        <is>
          <t>0112</t>
        </is>
      </c>
      <c r="G9647" s="10" t="inlineStr">
        <is>
          <t>車折</t>
        </is>
      </c>
      <c r="H9647" s="10" t="inlineStr">
        <is>
          <t>発</t>
        </is>
      </c>
      <c r="J9647" s="10" t="inlineStr">
        <is>
          <t>営業</t>
        </is>
      </c>
      <c r="L9647" t="inlineStr">
        <is>
          <t>12:32:40</t>
        </is>
      </c>
      <c r="M9647" t="inlineStr">
        <is>
          <t>12:33:05</t>
        </is>
      </c>
    </row>
    <row r="9648" ht="15" customHeight="1" s="37">
      <c r="A9648" t="n">
        <v>9</v>
      </c>
      <c r="B9648" s="10" t="inlineStr">
        <is>
          <t>平日</t>
        </is>
      </c>
      <c r="C9648" s="10" t="inlineStr">
        <is>
          <t>本線</t>
        </is>
      </c>
      <c r="D9648" s="10" t="inlineStr">
        <is>
          <t>下り</t>
        </is>
      </c>
      <c r="E9648" t="inlineStr">
        <is>
          <t>1203</t>
        </is>
      </c>
      <c r="F9648" t="inlineStr">
        <is>
          <t>0112</t>
        </is>
      </c>
      <c r="G9648" s="10" t="inlineStr">
        <is>
          <t>鹿王院</t>
        </is>
      </c>
      <c r="H9648" s="10" t="inlineStr">
        <is>
          <t>発</t>
        </is>
      </c>
      <c r="J9648" s="10" t="inlineStr">
        <is>
          <t>営業</t>
        </is>
      </c>
      <c r="L9648" t="inlineStr">
        <is>
          <t>12:34:00</t>
        </is>
      </c>
      <c r="M9648" t="inlineStr">
        <is>
          <t>12:34:25</t>
        </is>
      </c>
    </row>
    <row r="9649" ht="15" customHeight="1" s="37">
      <c r="A9649" t="n">
        <v>9</v>
      </c>
      <c r="B9649" s="10" t="inlineStr">
        <is>
          <t>平日</t>
        </is>
      </c>
      <c r="C9649" s="10" t="inlineStr">
        <is>
          <t>本線</t>
        </is>
      </c>
      <c r="D9649" s="10" t="inlineStr">
        <is>
          <t>下り</t>
        </is>
      </c>
      <c r="E9649" t="inlineStr">
        <is>
          <t>1203</t>
        </is>
      </c>
      <c r="F9649" t="inlineStr">
        <is>
          <t>0112</t>
        </is>
      </c>
      <c r="G9649" s="10" t="inlineStr">
        <is>
          <t>嵯峨</t>
        </is>
      </c>
      <c r="H9649" s="10" t="inlineStr">
        <is>
          <t>発</t>
        </is>
      </c>
      <c r="J9649" s="10" t="inlineStr">
        <is>
          <t>営業</t>
        </is>
      </c>
      <c r="L9649" t="inlineStr">
        <is>
          <t>12:35:30</t>
        </is>
      </c>
      <c r="M9649" t="inlineStr">
        <is>
          <t>12:35:55</t>
        </is>
      </c>
    </row>
    <row r="9650" ht="15" customHeight="1" s="37">
      <c r="A9650" t="n">
        <v>9</v>
      </c>
      <c r="B9650" s="10" t="inlineStr">
        <is>
          <t>平日</t>
        </is>
      </c>
      <c r="C9650" s="10" t="inlineStr">
        <is>
          <t>本線</t>
        </is>
      </c>
      <c r="D9650" s="10" t="inlineStr">
        <is>
          <t>下り</t>
        </is>
      </c>
      <c r="E9650" t="inlineStr">
        <is>
          <t>1203</t>
        </is>
      </c>
      <c r="F9650" t="inlineStr">
        <is>
          <t>0112</t>
        </is>
      </c>
      <c r="G9650" s="10" t="inlineStr">
        <is>
          <t>嵐山</t>
        </is>
      </c>
      <c r="H9650" s="10" t="inlineStr">
        <is>
          <t>着</t>
        </is>
      </c>
      <c r="J9650" s="10" t="inlineStr">
        <is>
          <t>営業</t>
        </is>
      </c>
      <c r="L9650" t="inlineStr">
        <is>
          <t>12:37:00</t>
        </is>
      </c>
      <c r="Q9650" t="inlineStr">
        <is>
          <t>1</t>
        </is>
      </c>
    </row>
    <row r="9651" ht="15" customHeight="1" s="37">
      <c r="A9651" t="n">
        <v>9</v>
      </c>
      <c r="B9651" s="10" t="inlineStr">
        <is>
          <t>平日</t>
        </is>
      </c>
      <c r="C9651" s="10" t="inlineStr">
        <is>
          <t>本線</t>
        </is>
      </c>
      <c r="D9651" s="10" t="inlineStr">
        <is>
          <t>上り</t>
        </is>
      </c>
      <c r="E9651" t="inlineStr">
        <is>
          <t>1210</t>
        </is>
      </c>
      <c r="F9651" t="inlineStr">
        <is>
          <t>0211</t>
        </is>
      </c>
      <c r="G9651" s="10" t="inlineStr">
        <is>
          <t>嵐山</t>
        </is>
      </c>
      <c r="H9651" s="10" t="inlineStr">
        <is>
          <t>発</t>
        </is>
      </c>
      <c r="J9651" s="10" t="inlineStr">
        <is>
          <t>営業</t>
        </is>
      </c>
      <c r="M9651" t="inlineStr">
        <is>
          <t>12:43:00</t>
        </is>
      </c>
      <c r="Q9651" t="inlineStr">
        <is>
          <t>1</t>
        </is>
      </c>
      <c r="U9651" t="inlineStr">
        <is>
          <t>→西院 退勤(中休280分)</t>
        </is>
      </c>
    </row>
    <row r="9652" ht="15" customHeight="1" s="37">
      <c r="A9652" t="n">
        <v>9</v>
      </c>
      <c r="B9652" s="10" t="inlineStr">
        <is>
          <t>平日</t>
        </is>
      </c>
      <c r="C9652" s="10" t="inlineStr">
        <is>
          <t>本線</t>
        </is>
      </c>
      <c r="D9652" s="10" t="inlineStr">
        <is>
          <t>上り</t>
        </is>
      </c>
      <c r="E9652" t="inlineStr">
        <is>
          <t>1210</t>
        </is>
      </c>
      <c r="F9652" t="inlineStr">
        <is>
          <t>0211</t>
        </is>
      </c>
      <c r="G9652" s="10" t="inlineStr">
        <is>
          <t>嵯峨</t>
        </is>
      </c>
      <c r="H9652" s="10" t="inlineStr">
        <is>
          <t>発</t>
        </is>
      </c>
      <c r="J9652" s="10" t="inlineStr">
        <is>
          <t>営業</t>
        </is>
      </c>
      <c r="L9652" t="inlineStr">
        <is>
          <t>12:43:55</t>
        </is>
      </c>
      <c r="M9652" t="inlineStr">
        <is>
          <t>12:44:20</t>
        </is>
      </c>
      <c r="U9652" t="inlineStr">
        <is>
          <t>→西院 退勤(中休280分)</t>
        </is>
      </c>
    </row>
    <row r="9653" ht="15" customHeight="1" s="37">
      <c r="A9653" t="n">
        <v>9</v>
      </c>
      <c r="B9653" s="10" t="inlineStr">
        <is>
          <t>平日</t>
        </is>
      </c>
      <c r="C9653" s="10" t="inlineStr">
        <is>
          <t>本線</t>
        </is>
      </c>
      <c r="D9653" s="10" t="inlineStr">
        <is>
          <t>上り</t>
        </is>
      </c>
      <c r="E9653" t="inlineStr">
        <is>
          <t>1210</t>
        </is>
      </c>
      <c r="F9653" t="inlineStr">
        <is>
          <t>0211</t>
        </is>
      </c>
      <c r="G9653" s="10" t="inlineStr">
        <is>
          <t>鹿王院</t>
        </is>
      </c>
      <c r="H9653" s="10" t="inlineStr">
        <is>
          <t>発</t>
        </is>
      </c>
      <c r="J9653" s="10" t="inlineStr">
        <is>
          <t>営業</t>
        </is>
      </c>
      <c r="L9653" t="inlineStr">
        <is>
          <t>12:45:25</t>
        </is>
      </c>
      <c r="M9653" t="inlineStr">
        <is>
          <t>12:45:45</t>
        </is>
      </c>
      <c r="U9653" t="inlineStr">
        <is>
          <t>→西院 退勤(中休280分)</t>
        </is>
      </c>
    </row>
    <row r="9654" ht="15" customHeight="1" s="37">
      <c r="A9654" t="n">
        <v>9</v>
      </c>
      <c r="B9654" s="10" t="inlineStr">
        <is>
          <t>平日</t>
        </is>
      </c>
      <c r="C9654" s="10" t="inlineStr">
        <is>
          <t>本線</t>
        </is>
      </c>
      <c r="D9654" s="10" t="inlineStr">
        <is>
          <t>上り</t>
        </is>
      </c>
      <c r="E9654" t="inlineStr">
        <is>
          <t>1210</t>
        </is>
      </c>
      <c r="F9654" t="inlineStr">
        <is>
          <t>0211</t>
        </is>
      </c>
      <c r="G9654" s="10" t="inlineStr">
        <is>
          <t>車折</t>
        </is>
      </c>
      <c r="H9654" s="10" t="inlineStr">
        <is>
          <t>発</t>
        </is>
      </c>
      <c r="J9654" s="10" t="inlineStr">
        <is>
          <t>営業</t>
        </is>
      </c>
      <c r="L9654" t="inlineStr">
        <is>
          <t>12:46:40</t>
        </is>
      </c>
      <c r="M9654" t="inlineStr">
        <is>
          <t>12:47:10</t>
        </is>
      </c>
      <c r="U9654" t="inlineStr">
        <is>
          <t>→西院 退勤(中休280分)</t>
        </is>
      </c>
    </row>
    <row r="9655" ht="15" customHeight="1" s="37">
      <c r="A9655" t="n">
        <v>9</v>
      </c>
      <c r="B9655" s="10" t="inlineStr">
        <is>
          <t>平日</t>
        </is>
      </c>
      <c r="C9655" s="10" t="inlineStr">
        <is>
          <t>本線</t>
        </is>
      </c>
      <c r="D9655" s="10" t="inlineStr">
        <is>
          <t>上り</t>
        </is>
      </c>
      <c r="E9655" t="inlineStr">
        <is>
          <t>1210</t>
        </is>
      </c>
      <c r="F9655" t="inlineStr">
        <is>
          <t>0211</t>
        </is>
      </c>
      <c r="G9655" s="10" t="inlineStr">
        <is>
          <t>有栖川</t>
        </is>
      </c>
      <c r="H9655" s="10" t="inlineStr">
        <is>
          <t>発</t>
        </is>
      </c>
      <c r="J9655" s="10" t="inlineStr">
        <is>
          <t>営業</t>
        </is>
      </c>
      <c r="L9655" t="inlineStr">
        <is>
          <t>12:48:35</t>
        </is>
      </c>
      <c r="M9655" t="inlineStr">
        <is>
          <t>12:48:55</t>
        </is>
      </c>
      <c r="U9655" t="inlineStr">
        <is>
          <t>→西院 退勤(中休280分)</t>
        </is>
      </c>
    </row>
    <row r="9656" ht="15" customHeight="1" s="37">
      <c r="A9656" t="n">
        <v>9</v>
      </c>
      <c r="B9656" s="10" t="inlineStr">
        <is>
          <t>平日</t>
        </is>
      </c>
      <c r="C9656" s="10" t="inlineStr">
        <is>
          <t>本線</t>
        </is>
      </c>
      <c r="D9656" s="10" t="inlineStr">
        <is>
          <t>上り</t>
        </is>
      </c>
      <c r="E9656" t="inlineStr">
        <is>
          <t>1210</t>
        </is>
      </c>
      <c r="F9656" t="inlineStr">
        <is>
          <t>0211</t>
        </is>
      </c>
      <c r="G9656" s="10" t="inlineStr">
        <is>
          <t>帷子ノ辻</t>
        </is>
      </c>
      <c r="H9656" s="10" t="inlineStr">
        <is>
          <t>発</t>
        </is>
      </c>
      <c r="J9656" s="10" t="inlineStr">
        <is>
          <t>営業</t>
        </is>
      </c>
      <c r="L9656" t="inlineStr">
        <is>
          <t>12:50:10</t>
        </is>
      </c>
      <c r="M9656" t="inlineStr">
        <is>
          <t>12:51:15</t>
        </is>
      </c>
      <c r="U9656" t="inlineStr">
        <is>
          <t>→西院 退勤(中休280分)</t>
        </is>
      </c>
    </row>
    <row r="9657" ht="15" customHeight="1" s="37">
      <c r="A9657" t="n">
        <v>9</v>
      </c>
      <c r="B9657" s="10" t="inlineStr">
        <is>
          <t>平日</t>
        </is>
      </c>
      <c r="C9657" s="10" t="inlineStr">
        <is>
          <t>本線</t>
        </is>
      </c>
      <c r="D9657" s="10" t="inlineStr">
        <is>
          <t>上り</t>
        </is>
      </c>
      <c r="E9657" t="inlineStr">
        <is>
          <t>1210</t>
        </is>
      </c>
      <c r="F9657" t="inlineStr">
        <is>
          <t>0211</t>
        </is>
      </c>
      <c r="G9657" s="10" t="inlineStr">
        <is>
          <t>太秦広隆寺</t>
        </is>
      </c>
      <c r="H9657" s="10" t="inlineStr">
        <is>
          <t>発</t>
        </is>
      </c>
      <c r="J9657" s="10" t="inlineStr">
        <is>
          <t>営業</t>
        </is>
      </c>
      <c r="L9657" t="inlineStr">
        <is>
          <t>12:53:25</t>
        </is>
      </c>
      <c r="M9657" t="inlineStr">
        <is>
          <t>12:53:45</t>
        </is>
      </c>
      <c r="U9657" t="inlineStr">
        <is>
          <t>→西院 退勤(中休280分)</t>
        </is>
      </c>
    </row>
    <row r="9658" ht="15" customHeight="1" s="37">
      <c r="A9658" t="n">
        <v>9</v>
      </c>
      <c r="B9658" s="10" t="inlineStr">
        <is>
          <t>平日</t>
        </is>
      </c>
      <c r="C9658" s="10" t="inlineStr">
        <is>
          <t>本線</t>
        </is>
      </c>
      <c r="D9658" s="10" t="inlineStr">
        <is>
          <t>上り</t>
        </is>
      </c>
      <c r="E9658" t="inlineStr">
        <is>
          <t>1210</t>
        </is>
      </c>
      <c r="F9658" t="inlineStr">
        <is>
          <t>0211</t>
        </is>
      </c>
      <c r="G9658" s="10" t="inlineStr">
        <is>
          <t>蚕ノ社</t>
        </is>
      </c>
      <c r="H9658" s="10" t="inlineStr">
        <is>
          <t>発</t>
        </is>
      </c>
      <c r="J9658" s="10" t="inlineStr">
        <is>
          <t>営業</t>
        </is>
      </c>
      <c r="L9658" t="inlineStr">
        <is>
          <t>12:55:00</t>
        </is>
      </c>
      <c r="M9658" t="inlineStr">
        <is>
          <t>12:55:20</t>
        </is>
      </c>
      <c r="U9658" t="inlineStr">
        <is>
          <t>→西院 退勤(中休280分)</t>
        </is>
      </c>
    </row>
    <row r="9659" ht="15" customHeight="1" s="37">
      <c r="A9659" t="n">
        <v>9</v>
      </c>
      <c r="B9659" s="10" t="inlineStr">
        <is>
          <t>平日</t>
        </is>
      </c>
      <c r="C9659" s="10" t="inlineStr">
        <is>
          <t>本線</t>
        </is>
      </c>
      <c r="D9659" s="10" t="inlineStr">
        <is>
          <t>上り</t>
        </is>
      </c>
      <c r="E9659" t="inlineStr">
        <is>
          <t>1210</t>
        </is>
      </c>
      <c r="F9659" t="inlineStr">
        <is>
          <t>0211</t>
        </is>
      </c>
      <c r="G9659" s="10" t="inlineStr">
        <is>
          <t>天神川</t>
        </is>
      </c>
      <c r="H9659" s="10" t="inlineStr">
        <is>
          <t>発</t>
        </is>
      </c>
      <c r="J9659" s="10" t="inlineStr">
        <is>
          <t>営業</t>
        </is>
      </c>
      <c r="L9659" t="inlineStr">
        <is>
          <t>12:56:05</t>
        </is>
      </c>
      <c r="M9659" t="inlineStr">
        <is>
          <t>12:56:50</t>
        </is>
      </c>
      <c r="U9659" t="inlineStr">
        <is>
          <t>→西院 退勤(中休280分)</t>
        </is>
      </c>
    </row>
    <row r="9660" ht="15" customHeight="1" s="37">
      <c r="A9660" t="n">
        <v>9</v>
      </c>
      <c r="B9660" s="10" t="inlineStr">
        <is>
          <t>平日</t>
        </is>
      </c>
      <c r="C9660" s="10" t="inlineStr">
        <is>
          <t>本線</t>
        </is>
      </c>
      <c r="D9660" s="10" t="inlineStr">
        <is>
          <t>上り</t>
        </is>
      </c>
      <c r="E9660" t="inlineStr">
        <is>
          <t>1210</t>
        </is>
      </c>
      <c r="F9660" t="inlineStr">
        <is>
          <t>0211</t>
        </is>
      </c>
      <c r="G9660" s="10" t="inlineStr">
        <is>
          <t>山ノ内</t>
        </is>
      </c>
      <c r="H9660" s="10" t="inlineStr">
        <is>
          <t>発</t>
        </is>
      </c>
      <c r="J9660" s="10" t="inlineStr">
        <is>
          <t>営業</t>
        </is>
      </c>
      <c r="L9660" t="inlineStr">
        <is>
          <t>12:58:40</t>
        </is>
      </c>
      <c r="M9660" t="inlineStr">
        <is>
          <t>12:59:05</t>
        </is>
      </c>
      <c r="U9660" t="inlineStr">
        <is>
          <t>→西院 退勤(中休280分)</t>
        </is>
      </c>
    </row>
    <row r="9661" ht="15" customHeight="1" s="37">
      <c r="A9661" t="n">
        <v>9</v>
      </c>
      <c r="B9661" s="10" t="inlineStr">
        <is>
          <t>平日</t>
        </is>
      </c>
      <c r="C9661" s="10" t="inlineStr">
        <is>
          <t>本線</t>
        </is>
      </c>
      <c r="D9661" s="10" t="inlineStr">
        <is>
          <t>上り</t>
        </is>
      </c>
      <c r="E9661" t="inlineStr">
        <is>
          <t>1210</t>
        </is>
      </c>
      <c r="F9661" t="inlineStr">
        <is>
          <t>0211</t>
        </is>
      </c>
      <c r="G9661" s="10" t="inlineStr">
        <is>
          <t>西大路三条</t>
        </is>
      </c>
      <c r="H9661" s="10" t="inlineStr">
        <is>
          <t>発</t>
        </is>
      </c>
      <c r="J9661" s="10" t="inlineStr">
        <is>
          <t>営業</t>
        </is>
      </c>
      <c r="L9661" t="inlineStr">
        <is>
          <t>13:00:55</t>
        </is>
      </c>
      <c r="M9661" t="inlineStr">
        <is>
          <t>13:01:15</t>
        </is>
      </c>
      <c r="U9661" t="inlineStr">
        <is>
          <t>→西院 退勤(中休280分)</t>
        </is>
      </c>
    </row>
    <row r="9662" ht="15" customHeight="1" s="37">
      <c r="A9662" t="n">
        <v>9</v>
      </c>
      <c r="B9662" s="10" t="inlineStr">
        <is>
          <t>平日</t>
        </is>
      </c>
      <c r="C9662" s="10" t="inlineStr">
        <is>
          <t>本線</t>
        </is>
      </c>
      <c r="D9662" s="10" t="inlineStr">
        <is>
          <t>上り</t>
        </is>
      </c>
      <c r="E9662" t="inlineStr">
        <is>
          <t>1210</t>
        </is>
      </c>
      <c r="F9662" t="inlineStr">
        <is>
          <t>0211</t>
        </is>
      </c>
      <c r="G9662" s="10" t="inlineStr">
        <is>
          <t>西院</t>
        </is>
      </c>
      <c r="H9662" s="10" t="inlineStr">
        <is>
          <t>発</t>
        </is>
      </c>
      <c r="J9662" s="10" t="inlineStr">
        <is>
          <t>営業</t>
        </is>
      </c>
      <c r="L9662" t="inlineStr">
        <is>
          <t>13:03:10</t>
        </is>
      </c>
      <c r="M9662" t="inlineStr">
        <is>
          <t>13:04:05</t>
        </is>
      </c>
      <c r="U9662" t="inlineStr">
        <is>
          <t>→西院 退勤(中休280分)</t>
        </is>
      </c>
    </row>
    <row r="9663" ht="15" customHeight="1" s="37">
      <c r="A9663" t="n">
        <v>9</v>
      </c>
      <c r="B9663" s="10" t="inlineStr">
        <is>
          <t>平日</t>
        </is>
      </c>
      <c r="C9663" s="10" t="inlineStr">
        <is>
          <t>本線</t>
        </is>
      </c>
      <c r="D9663" s="10" t="inlineStr">
        <is>
          <t>上り</t>
        </is>
      </c>
      <c r="E9663" t="inlineStr">
        <is>
          <t>1210</t>
        </is>
      </c>
      <c r="F9663" t="inlineStr">
        <is>
          <t>0211</t>
        </is>
      </c>
      <c r="G9663" s="10" t="inlineStr">
        <is>
          <t>四条大宮</t>
        </is>
      </c>
      <c r="H9663" s="10" t="inlineStr">
        <is>
          <t>着</t>
        </is>
      </c>
      <c r="J9663" s="10" t="inlineStr">
        <is>
          <t>営業</t>
        </is>
      </c>
      <c r="L9663" t="inlineStr">
        <is>
          <t>13:07:00</t>
        </is>
      </c>
      <c r="Q9663" t="inlineStr">
        <is>
          <t>1</t>
        </is>
      </c>
      <c r="U9663" t="inlineStr">
        <is>
          <t>→西院 退勤(中休280分)</t>
        </is>
      </c>
    </row>
    <row r="9664" ht="15" customHeight="1" s="37">
      <c r="A9664" t="n">
        <v>9</v>
      </c>
      <c r="B9664" s="10" t="inlineStr">
        <is>
          <t>平日</t>
        </is>
      </c>
      <c r="C9664" s="10" t="inlineStr">
        <is>
          <t>本線</t>
        </is>
      </c>
      <c r="D9664" s="10" t="inlineStr">
        <is>
          <t>下り</t>
        </is>
      </c>
      <c r="E9664" t="inlineStr">
        <is>
          <t>1303</t>
        </is>
      </c>
      <c r="F9664" t="inlineStr">
        <is>
          <t>0112</t>
        </is>
      </c>
      <c r="G9664" s="10" t="inlineStr">
        <is>
          <t>四条大宮</t>
        </is>
      </c>
      <c r="H9664" s="10" t="inlineStr">
        <is>
          <t>発</t>
        </is>
      </c>
      <c r="J9664" s="10" t="inlineStr">
        <is>
          <t>営業</t>
        </is>
      </c>
      <c r="M9664" t="inlineStr">
        <is>
          <t>13:13:00</t>
        </is>
      </c>
      <c r="Q9664" t="inlineStr">
        <is>
          <t>1</t>
        </is>
      </c>
      <c r="U9664" t="inlineStr">
        <is>
          <t>→西院 退勤(中休280分)</t>
        </is>
      </c>
    </row>
    <row r="9665" ht="15" customHeight="1" s="37">
      <c r="A9665" t="n">
        <v>9</v>
      </c>
      <c r="B9665" s="10" t="inlineStr">
        <is>
          <t>平日</t>
        </is>
      </c>
      <c r="C9665" s="10" t="inlineStr">
        <is>
          <t>本線</t>
        </is>
      </c>
      <c r="D9665" s="10" t="inlineStr">
        <is>
          <t>下り</t>
        </is>
      </c>
      <c r="E9665" t="inlineStr">
        <is>
          <t>1303</t>
        </is>
      </c>
      <c r="F9665" t="inlineStr">
        <is>
          <t>0112</t>
        </is>
      </c>
      <c r="G9665" s="10" t="inlineStr">
        <is>
          <t>西院</t>
        </is>
      </c>
      <c r="H9665" s="10" t="inlineStr">
        <is>
          <t>着</t>
        </is>
      </c>
      <c r="J9665" s="10" t="inlineStr">
        <is>
          <t>営業</t>
        </is>
      </c>
      <c r="L9665" t="inlineStr">
        <is>
          <t>13:15:50</t>
        </is>
      </c>
      <c r="M9665" t="inlineStr">
        <is>
          <t>13:16:20</t>
        </is>
      </c>
      <c r="U9665" t="inlineStr">
        <is>
          <t>→西院 退勤(中休280分)</t>
        </is>
      </c>
    </row>
    <row r="9666" ht="15" customHeight="1" s="37">
      <c r="A9666" t="n">
        <v>9</v>
      </c>
      <c r="B9666" s="10" t="inlineStr">
        <is>
          <t>平日</t>
        </is>
      </c>
      <c r="C9666" s="10" t="inlineStr">
        <is>
          <t>本線</t>
        </is>
      </c>
      <c r="D9666" s="10" t="inlineStr">
        <is>
          <t>下り</t>
        </is>
      </c>
      <c r="E9666" t="inlineStr">
        <is>
          <t>1911</t>
        </is>
      </c>
      <c r="F9666" t="inlineStr">
        <is>
          <t>0122</t>
        </is>
      </c>
      <c r="G9666" s="10" t="inlineStr">
        <is>
          <t>西院</t>
        </is>
      </c>
      <c r="H9666" s="10" t="inlineStr">
        <is>
          <t>発</t>
        </is>
      </c>
      <c r="J9666" s="10" t="inlineStr">
        <is>
          <t>営業</t>
        </is>
      </c>
      <c r="L9666" t="inlineStr">
        <is>
          <t>19:54:50</t>
        </is>
      </c>
      <c r="M9666" t="inlineStr">
        <is>
          <t>19:56:20</t>
        </is>
      </c>
    </row>
    <row r="9667" ht="15" customHeight="1" s="37">
      <c r="A9667" t="n">
        <v>9</v>
      </c>
      <c r="B9667" s="10" t="inlineStr">
        <is>
          <t>平日</t>
        </is>
      </c>
      <c r="C9667" s="10" t="inlineStr">
        <is>
          <t>本線</t>
        </is>
      </c>
      <c r="D9667" s="10" t="inlineStr">
        <is>
          <t>下り</t>
        </is>
      </c>
      <c r="E9667" t="inlineStr">
        <is>
          <t>1911</t>
        </is>
      </c>
      <c r="F9667" t="inlineStr">
        <is>
          <t>0122</t>
        </is>
      </c>
      <c r="G9667" s="10" t="inlineStr">
        <is>
          <t>西大路三条</t>
        </is>
      </c>
      <c r="H9667" s="10" t="inlineStr">
        <is>
          <t>発</t>
        </is>
      </c>
      <c r="J9667" s="10" t="inlineStr">
        <is>
          <t>営業</t>
        </is>
      </c>
      <c r="L9667" t="inlineStr">
        <is>
          <t>19:58:10</t>
        </is>
      </c>
      <c r="M9667" t="inlineStr">
        <is>
          <t>19:58:30</t>
        </is>
      </c>
    </row>
    <row r="9668" ht="15" customHeight="1" s="37">
      <c r="A9668" t="n">
        <v>9</v>
      </c>
      <c r="B9668" s="10" t="inlineStr">
        <is>
          <t>平日</t>
        </is>
      </c>
      <c r="C9668" s="10" t="inlineStr">
        <is>
          <t>本線</t>
        </is>
      </c>
      <c r="D9668" s="10" t="inlineStr">
        <is>
          <t>下り</t>
        </is>
      </c>
      <c r="E9668" t="inlineStr">
        <is>
          <t>1911</t>
        </is>
      </c>
      <c r="F9668" t="inlineStr">
        <is>
          <t>0122</t>
        </is>
      </c>
      <c r="G9668" s="10" t="inlineStr">
        <is>
          <t>山ノ内</t>
        </is>
      </c>
      <c r="H9668" s="10" t="inlineStr">
        <is>
          <t>発</t>
        </is>
      </c>
      <c r="J9668" s="10" t="inlineStr">
        <is>
          <t>営業</t>
        </is>
      </c>
      <c r="L9668" t="inlineStr">
        <is>
          <t>20:00:25</t>
        </is>
      </c>
      <c r="M9668" t="inlineStr">
        <is>
          <t>20:00:50</t>
        </is>
      </c>
    </row>
    <row r="9669" ht="15" customHeight="1" s="37">
      <c r="A9669" t="n">
        <v>9</v>
      </c>
      <c r="B9669" s="10" t="inlineStr">
        <is>
          <t>平日</t>
        </is>
      </c>
      <c r="C9669" s="10" t="inlineStr">
        <is>
          <t>本線</t>
        </is>
      </c>
      <c r="D9669" s="10" t="inlineStr">
        <is>
          <t>下り</t>
        </is>
      </c>
      <c r="E9669" t="inlineStr">
        <is>
          <t>1911</t>
        </is>
      </c>
      <c r="F9669" t="inlineStr">
        <is>
          <t>0122</t>
        </is>
      </c>
      <c r="G9669" s="10" t="inlineStr">
        <is>
          <t>天神川</t>
        </is>
      </c>
      <c r="H9669" s="10" t="inlineStr">
        <is>
          <t>発</t>
        </is>
      </c>
      <c r="J9669" s="10" t="inlineStr">
        <is>
          <t>営業</t>
        </is>
      </c>
      <c r="L9669" t="inlineStr">
        <is>
          <t>20:02:50</t>
        </is>
      </c>
      <c r="M9669" t="inlineStr">
        <is>
          <t>20:03:30</t>
        </is>
      </c>
    </row>
    <row r="9670" ht="15" customHeight="1" s="37">
      <c r="A9670" t="n">
        <v>9</v>
      </c>
      <c r="B9670" s="10" t="inlineStr">
        <is>
          <t>平日</t>
        </is>
      </c>
      <c r="C9670" s="10" t="inlineStr">
        <is>
          <t>本線</t>
        </is>
      </c>
      <c r="D9670" s="10" t="inlineStr">
        <is>
          <t>下り</t>
        </is>
      </c>
      <c r="E9670" t="inlineStr">
        <is>
          <t>1911</t>
        </is>
      </c>
      <c r="F9670" t="inlineStr">
        <is>
          <t>0122</t>
        </is>
      </c>
      <c r="G9670" s="10" t="inlineStr">
        <is>
          <t>蚕ノ社</t>
        </is>
      </c>
      <c r="H9670" s="10" t="inlineStr">
        <is>
          <t>発</t>
        </is>
      </c>
      <c r="J9670" s="10" t="inlineStr">
        <is>
          <t>営業</t>
        </is>
      </c>
      <c r="L9670" t="inlineStr">
        <is>
          <t>20:04:20</t>
        </is>
      </c>
      <c r="M9670" t="inlineStr">
        <is>
          <t>20:04:40</t>
        </is>
      </c>
    </row>
    <row r="9671" ht="15" customHeight="1" s="37">
      <c r="A9671" t="n">
        <v>9</v>
      </c>
      <c r="B9671" s="10" t="inlineStr">
        <is>
          <t>平日</t>
        </is>
      </c>
      <c r="C9671" s="10" t="inlineStr">
        <is>
          <t>本線</t>
        </is>
      </c>
      <c r="D9671" s="10" t="inlineStr">
        <is>
          <t>下り</t>
        </is>
      </c>
      <c r="E9671" t="inlineStr">
        <is>
          <t>1911</t>
        </is>
      </c>
      <c r="F9671" t="inlineStr">
        <is>
          <t>0122</t>
        </is>
      </c>
      <c r="G9671" s="10" t="inlineStr">
        <is>
          <t>太秦広隆寺</t>
        </is>
      </c>
      <c r="H9671" s="10" t="inlineStr">
        <is>
          <t>発</t>
        </is>
      </c>
      <c r="J9671" s="10" t="inlineStr">
        <is>
          <t>営業</t>
        </is>
      </c>
      <c r="L9671" t="inlineStr">
        <is>
          <t>20:06:00</t>
        </is>
      </c>
      <c r="M9671" t="inlineStr">
        <is>
          <t>20:06:20</t>
        </is>
      </c>
    </row>
    <row r="9672" ht="15" customHeight="1" s="37">
      <c r="A9672" t="n">
        <v>9</v>
      </c>
      <c r="B9672" s="10" t="inlineStr">
        <is>
          <t>平日</t>
        </is>
      </c>
      <c r="C9672" s="10" t="inlineStr">
        <is>
          <t>本線</t>
        </is>
      </c>
      <c r="D9672" s="10" t="inlineStr">
        <is>
          <t>下り</t>
        </is>
      </c>
      <c r="E9672" t="inlineStr">
        <is>
          <t>1911</t>
        </is>
      </c>
      <c r="F9672" t="inlineStr">
        <is>
          <t>0122</t>
        </is>
      </c>
      <c r="G9672" s="10" t="inlineStr">
        <is>
          <t>帷子ノ辻</t>
        </is>
      </c>
      <c r="H9672" s="10" t="inlineStr">
        <is>
          <t>発</t>
        </is>
      </c>
      <c r="J9672" s="10" t="inlineStr">
        <is>
          <t>営業</t>
        </is>
      </c>
      <c r="L9672" t="inlineStr">
        <is>
          <t>20:08:20</t>
        </is>
      </c>
      <c r="M9672" t="inlineStr">
        <is>
          <t>20:09:40</t>
        </is>
      </c>
    </row>
    <row r="9673" ht="15" customHeight="1" s="37">
      <c r="A9673" t="n">
        <v>9</v>
      </c>
      <c r="B9673" s="10" t="inlineStr">
        <is>
          <t>平日</t>
        </is>
      </c>
      <c r="C9673" s="10" t="inlineStr">
        <is>
          <t>本線</t>
        </is>
      </c>
      <c r="D9673" s="10" t="inlineStr">
        <is>
          <t>下り</t>
        </is>
      </c>
      <c r="E9673" t="inlineStr">
        <is>
          <t>1911</t>
        </is>
      </c>
      <c r="F9673" t="inlineStr">
        <is>
          <t>0122</t>
        </is>
      </c>
      <c r="G9673" s="10" t="inlineStr">
        <is>
          <t>有栖川</t>
        </is>
      </c>
      <c r="H9673" s="10" t="inlineStr">
        <is>
          <t>発</t>
        </is>
      </c>
      <c r="J9673" s="10" t="inlineStr">
        <is>
          <t>営業</t>
        </is>
      </c>
      <c r="L9673" t="inlineStr">
        <is>
          <t>20:10:50</t>
        </is>
      </c>
      <c r="M9673" t="inlineStr">
        <is>
          <t>20:11:15</t>
        </is>
      </c>
    </row>
    <row r="9674" ht="15" customHeight="1" s="37">
      <c r="A9674" t="n">
        <v>9</v>
      </c>
      <c r="B9674" s="10" t="inlineStr">
        <is>
          <t>平日</t>
        </is>
      </c>
      <c r="C9674" s="10" t="inlineStr">
        <is>
          <t>本線</t>
        </is>
      </c>
      <c r="D9674" s="10" t="inlineStr">
        <is>
          <t>下り</t>
        </is>
      </c>
      <c r="E9674" t="inlineStr">
        <is>
          <t>1911</t>
        </is>
      </c>
      <c r="F9674" t="inlineStr">
        <is>
          <t>0122</t>
        </is>
      </c>
      <c r="G9674" s="10" t="inlineStr">
        <is>
          <t>車折</t>
        </is>
      </c>
      <c r="H9674" s="10" t="inlineStr">
        <is>
          <t>発</t>
        </is>
      </c>
      <c r="J9674" s="10" t="inlineStr">
        <is>
          <t>営業</t>
        </is>
      </c>
      <c r="L9674" t="inlineStr">
        <is>
          <t>20:12:40</t>
        </is>
      </c>
      <c r="M9674" t="inlineStr">
        <is>
          <t>20:13:05</t>
        </is>
      </c>
    </row>
    <row r="9675" ht="15" customHeight="1" s="37">
      <c r="A9675" t="n">
        <v>9</v>
      </c>
      <c r="B9675" s="10" t="inlineStr">
        <is>
          <t>平日</t>
        </is>
      </c>
      <c r="C9675" s="10" t="inlineStr">
        <is>
          <t>本線</t>
        </is>
      </c>
      <c r="D9675" s="10" t="inlineStr">
        <is>
          <t>下り</t>
        </is>
      </c>
      <c r="E9675" t="inlineStr">
        <is>
          <t>1911</t>
        </is>
      </c>
      <c r="F9675" t="inlineStr">
        <is>
          <t>0122</t>
        </is>
      </c>
      <c r="G9675" s="10" t="inlineStr">
        <is>
          <t>鹿王院</t>
        </is>
      </c>
      <c r="H9675" s="10" t="inlineStr">
        <is>
          <t>発</t>
        </is>
      </c>
      <c r="J9675" s="10" t="inlineStr">
        <is>
          <t>営業</t>
        </is>
      </c>
      <c r="L9675" t="inlineStr">
        <is>
          <t>20:14:00</t>
        </is>
      </c>
      <c r="M9675" t="inlineStr">
        <is>
          <t>20:14:25</t>
        </is>
      </c>
    </row>
    <row r="9676" ht="15" customHeight="1" s="37">
      <c r="A9676" t="n">
        <v>9</v>
      </c>
      <c r="B9676" s="10" t="inlineStr">
        <is>
          <t>平日</t>
        </is>
      </c>
      <c r="C9676" s="10" t="inlineStr">
        <is>
          <t>本線</t>
        </is>
      </c>
      <c r="D9676" s="10" t="inlineStr">
        <is>
          <t>下り</t>
        </is>
      </c>
      <c r="E9676" t="inlineStr">
        <is>
          <t>1911</t>
        </is>
      </c>
      <c r="F9676" t="inlineStr">
        <is>
          <t>0122</t>
        </is>
      </c>
      <c r="G9676" s="10" t="inlineStr">
        <is>
          <t>嵯峨</t>
        </is>
      </c>
      <c r="H9676" s="10" t="inlineStr">
        <is>
          <t>発</t>
        </is>
      </c>
      <c r="J9676" s="10" t="inlineStr">
        <is>
          <t>営業</t>
        </is>
      </c>
      <c r="L9676" t="inlineStr">
        <is>
          <t>20:15:30</t>
        </is>
      </c>
      <c r="M9676" t="inlineStr">
        <is>
          <t>20:15:55</t>
        </is>
      </c>
    </row>
    <row r="9677" ht="15" customHeight="1" s="37">
      <c r="A9677" t="n">
        <v>9</v>
      </c>
      <c r="B9677" s="10" t="inlineStr">
        <is>
          <t>平日</t>
        </is>
      </c>
      <c r="C9677" s="10" t="inlineStr">
        <is>
          <t>本線</t>
        </is>
      </c>
      <c r="D9677" s="10" t="inlineStr">
        <is>
          <t>下り</t>
        </is>
      </c>
      <c r="E9677" t="inlineStr">
        <is>
          <t>1911</t>
        </is>
      </c>
      <c r="F9677" t="inlineStr">
        <is>
          <t>0122</t>
        </is>
      </c>
      <c r="G9677" s="10" t="inlineStr">
        <is>
          <t>嵐山</t>
        </is>
      </c>
      <c r="H9677" s="10" t="inlineStr">
        <is>
          <t>着</t>
        </is>
      </c>
      <c r="J9677" s="10" t="inlineStr">
        <is>
          <t>営業</t>
        </is>
      </c>
      <c r="L9677" t="inlineStr">
        <is>
          <t>20:17:00</t>
        </is>
      </c>
      <c r="N9677" t="inlineStr">
        <is>
          <t>○</t>
        </is>
      </c>
      <c r="Q9677" t="inlineStr">
        <is>
          <t>1</t>
        </is>
      </c>
    </row>
    <row r="9678" ht="15" customHeight="1" s="37">
      <c r="A9678" t="n">
        <v>9</v>
      </c>
      <c r="B9678" s="10" t="inlineStr">
        <is>
          <t>平日</t>
        </is>
      </c>
      <c r="C9678" s="10" t="inlineStr">
        <is>
          <t>本線</t>
        </is>
      </c>
      <c r="D9678" s="10" t="inlineStr">
        <is>
          <t>上り</t>
        </is>
      </c>
      <c r="E9678" t="inlineStr">
        <is>
          <t>2006</t>
        </is>
      </c>
      <c r="F9678" t="inlineStr">
        <is>
          <t>0221</t>
        </is>
      </c>
      <c r="G9678" s="10" t="inlineStr">
        <is>
          <t>嵐山</t>
        </is>
      </c>
      <c r="H9678" s="10" t="inlineStr">
        <is>
          <t>発</t>
        </is>
      </c>
      <c r="J9678" s="10" t="inlineStr">
        <is>
          <t>営業</t>
        </is>
      </c>
      <c r="M9678" t="inlineStr">
        <is>
          <t>20:24:00</t>
        </is>
      </c>
      <c r="Q9678" t="inlineStr">
        <is>
          <t>1</t>
        </is>
      </c>
    </row>
    <row r="9679" ht="15" customHeight="1" s="37">
      <c r="A9679" t="n">
        <v>9</v>
      </c>
      <c r="B9679" s="10" t="inlineStr">
        <is>
          <t>平日</t>
        </is>
      </c>
      <c r="C9679" s="10" t="inlineStr">
        <is>
          <t>本線</t>
        </is>
      </c>
      <c r="D9679" s="10" t="inlineStr">
        <is>
          <t>上り</t>
        </is>
      </c>
      <c r="E9679" t="inlineStr">
        <is>
          <t>2006</t>
        </is>
      </c>
      <c r="F9679" t="inlineStr">
        <is>
          <t>0221</t>
        </is>
      </c>
      <c r="G9679" s="10" t="inlineStr">
        <is>
          <t>嵯峨</t>
        </is>
      </c>
      <c r="H9679" s="10" t="inlineStr">
        <is>
          <t>発</t>
        </is>
      </c>
      <c r="J9679" s="10" t="inlineStr">
        <is>
          <t>営業</t>
        </is>
      </c>
      <c r="L9679" t="inlineStr">
        <is>
          <t>20:24:55</t>
        </is>
      </c>
      <c r="M9679" t="inlineStr">
        <is>
          <t>20:25:10</t>
        </is>
      </c>
    </row>
    <row r="9680" ht="15" customHeight="1" s="37">
      <c r="A9680" t="n">
        <v>9</v>
      </c>
      <c r="B9680" s="10" t="inlineStr">
        <is>
          <t>平日</t>
        </is>
      </c>
      <c r="C9680" s="10" t="inlineStr">
        <is>
          <t>本線</t>
        </is>
      </c>
      <c r="D9680" s="10" t="inlineStr">
        <is>
          <t>上り</t>
        </is>
      </c>
      <c r="E9680" t="inlineStr">
        <is>
          <t>2006</t>
        </is>
      </c>
      <c r="F9680" t="inlineStr">
        <is>
          <t>0221</t>
        </is>
      </c>
      <c r="G9680" s="10" t="inlineStr">
        <is>
          <t>鹿王院</t>
        </is>
      </c>
      <c r="H9680" s="10" t="inlineStr">
        <is>
          <t>発</t>
        </is>
      </c>
      <c r="J9680" s="10" t="inlineStr">
        <is>
          <t>営業</t>
        </is>
      </c>
      <c r="L9680" t="inlineStr">
        <is>
          <t>20:26:15</t>
        </is>
      </c>
      <c r="M9680" t="inlineStr">
        <is>
          <t>20:26:30</t>
        </is>
      </c>
    </row>
    <row r="9681" ht="15" customHeight="1" s="37">
      <c r="A9681" t="n">
        <v>9</v>
      </c>
      <c r="B9681" s="10" t="inlineStr">
        <is>
          <t>平日</t>
        </is>
      </c>
      <c r="C9681" s="10" t="inlineStr">
        <is>
          <t>本線</t>
        </is>
      </c>
      <c r="D9681" s="10" t="inlineStr">
        <is>
          <t>上り</t>
        </is>
      </c>
      <c r="E9681" t="inlineStr">
        <is>
          <t>2006</t>
        </is>
      </c>
      <c r="F9681" t="inlineStr">
        <is>
          <t>0221</t>
        </is>
      </c>
      <c r="G9681" s="10" t="inlineStr">
        <is>
          <t>車折</t>
        </is>
      </c>
      <c r="H9681" s="10" t="inlineStr">
        <is>
          <t>発</t>
        </is>
      </c>
      <c r="J9681" s="10" t="inlineStr">
        <is>
          <t>営業</t>
        </is>
      </c>
      <c r="L9681" t="inlineStr">
        <is>
          <t>20:27:25</t>
        </is>
      </c>
      <c r="M9681" t="inlineStr">
        <is>
          <t>20:27:40</t>
        </is>
      </c>
    </row>
    <row r="9682" ht="15" customHeight="1" s="37">
      <c r="A9682" t="n">
        <v>9</v>
      </c>
      <c r="B9682" s="10" t="inlineStr">
        <is>
          <t>平日</t>
        </is>
      </c>
      <c r="C9682" s="10" t="inlineStr">
        <is>
          <t>本線</t>
        </is>
      </c>
      <c r="D9682" s="10" t="inlineStr">
        <is>
          <t>上り</t>
        </is>
      </c>
      <c r="E9682" t="inlineStr">
        <is>
          <t>2006</t>
        </is>
      </c>
      <c r="F9682" t="inlineStr">
        <is>
          <t>0221</t>
        </is>
      </c>
      <c r="G9682" s="10" t="inlineStr">
        <is>
          <t>有栖川</t>
        </is>
      </c>
      <c r="H9682" s="10" t="inlineStr">
        <is>
          <t>発</t>
        </is>
      </c>
      <c r="J9682" s="10" t="inlineStr">
        <is>
          <t>営業</t>
        </is>
      </c>
      <c r="L9682" t="inlineStr">
        <is>
          <t>20:29:05</t>
        </is>
      </c>
      <c r="M9682" t="inlineStr">
        <is>
          <t>20:29:20</t>
        </is>
      </c>
    </row>
    <row r="9683" ht="15" customHeight="1" s="37">
      <c r="A9683" t="n">
        <v>9</v>
      </c>
      <c r="B9683" s="10" t="inlineStr">
        <is>
          <t>平日</t>
        </is>
      </c>
      <c r="C9683" s="10" t="inlineStr">
        <is>
          <t>本線</t>
        </is>
      </c>
      <c r="D9683" s="10" t="inlineStr">
        <is>
          <t>上り</t>
        </is>
      </c>
      <c r="E9683" t="inlineStr">
        <is>
          <t>2006</t>
        </is>
      </c>
      <c r="F9683" t="inlineStr">
        <is>
          <t>0221</t>
        </is>
      </c>
      <c r="G9683" s="10" t="inlineStr">
        <is>
          <t>帷子ノ辻</t>
        </is>
      </c>
      <c r="H9683" s="10" t="inlineStr">
        <is>
          <t>発</t>
        </is>
      </c>
      <c r="J9683" s="10" t="inlineStr">
        <is>
          <t>営業</t>
        </is>
      </c>
      <c r="L9683" t="inlineStr">
        <is>
          <t>20:30:35</t>
        </is>
      </c>
      <c r="M9683" t="inlineStr">
        <is>
          <t>20:31:05</t>
        </is>
      </c>
    </row>
    <row r="9684" ht="15" customHeight="1" s="37">
      <c r="A9684" t="n">
        <v>9</v>
      </c>
      <c r="B9684" s="10" t="inlineStr">
        <is>
          <t>平日</t>
        </is>
      </c>
      <c r="C9684" s="10" t="inlineStr">
        <is>
          <t>本線</t>
        </is>
      </c>
      <c r="D9684" s="10" t="inlineStr">
        <is>
          <t>上り</t>
        </is>
      </c>
      <c r="E9684" t="inlineStr">
        <is>
          <t>2006</t>
        </is>
      </c>
      <c r="F9684" t="inlineStr">
        <is>
          <t>0221</t>
        </is>
      </c>
      <c r="G9684" s="10" t="inlineStr">
        <is>
          <t>太秦広隆寺</t>
        </is>
      </c>
      <c r="H9684" s="10" t="inlineStr">
        <is>
          <t>発</t>
        </is>
      </c>
      <c r="J9684" s="10" t="inlineStr">
        <is>
          <t>営業</t>
        </is>
      </c>
      <c r="L9684" t="inlineStr">
        <is>
          <t>20:33:15</t>
        </is>
      </c>
      <c r="M9684" t="inlineStr">
        <is>
          <t>20:33:35</t>
        </is>
      </c>
    </row>
    <row r="9685" ht="15" customHeight="1" s="37">
      <c r="A9685" t="n">
        <v>9</v>
      </c>
      <c r="B9685" s="10" t="inlineStr">
        <is>
          <t>平日</t>
        </is>
      </c>
      <c r="C9685" s="10" t="inlineStr">
        <is>
          <t>本線</t>
        </is>
      </c>
      <c r="D9685" s="10" t="inlineStr">
        <is>
          <t>上り</t>
        </is>
      </c>
      <c r="E9685" t="inlineStr">
        <is>
          <t>2006</t>
        </is>
      </c>
      <c r="F9685" t="inlineStr">
        <is>
          <t>0221</t>
        </is>
      </c>
      <c r="G9685" s="10" t="inlineStr">
        <is>
          <t>蚕ノ社</t>
        </is>
      </c>
      <c r="H9685" s="10" t="inlineStr">
        <is>
          <t>発</t>
        </is>
      </c>
      <c r="J9685" s="10" t="inlineStr">
        <is>
          <t>営業</t>
        </is>
      </c>
      <c r="L9685" t="inlineStr">
        <is>
          <t>20:34:50</t>
        </is>
      </c>
      <c r="M9685" t="inlineStr">
        <is>
          <t>20:35:10</t>
        </is>
      </c>
    </row>
    <row r="9686" ht="15" customHeight="1" s="37">
      <c r="A9686" t="n">
        <v>9</v>
      </c>
      <c r="B9686" s="10" t="inlineStr">
        <is>
          <t>平日</t>
        </is>
      </c>
      <c r="C9686" s="10" t="inlineStr">
        <is>
          <t>本線</t>
        </is>
      </c>
      <c r="D9686" s="10" t="inlineStr">
        <is>
          <t>上り</t>
        </is>
      </c>
      <c r="E9686" t="inlineStr">
        <is>
          <t>2006</t>
        </is>
      </c>
      <c r="F9686" t="inlineStr">
        <is>
          <t>0221</t>
        </is>
      </c>
      <c r="G9686" s="10" t="inlineStr">
        <is>
          <t>天神川</t>
        </is>
      </c>
      <c r="H9686" s="10" t="inlineStr">
        <is>
          <t>発</t>
        </is>
      </c>
      <c r="J9686" s="10" t="inlineStr">
        <is>
          <t>営業</t>
        </is>
      </c>
      <c r="L9686" t="inlineStr">
        <is>
          <t>20:35:55</t>
        </is>
      </c>
      <c r="M9686" t="inlineStr">
        <is>
          <t>20:36:20</t>
        </is>
      </c>
    </row>
    <row r="9687" ht="15" customHeight="1" s="37">
      <c r="A9687" t="n">
        <v>9</v>
      </c>
      <c r="B9687" s="10" t="inlineStr">
        <is>
          <t>平日</t>
        </is>
      </c>
      <c r="C9687" s="10" t="inlineStr">
        <is>
          <t>本線</t>
        </is>
      </c>
      <c r="D9687" s="10" t="inlineStr">
        <is>
          <t>上り</t>
        </is>
      </c>
      <c r="E9687" t="inlineStr">
        <is>
          <t>2006</t>
        </is>
      </c>
      <c r="F9687" t="inlineStr">
        <is>
          <t>0221</t>
        </is>
      </c>
      <c r="G9687" s="10" t="inlineStr">
        <is>
          <t>山ノ内</t>
        </is>
      </c>
      <c r="H9687" s="10" t="inlineStr">
        <is>
          <t>発</t>
        </is>
      </c>
      <c r="J9687" s="10" t="inlineStr">
        <is>
          <t>営業</t>
        </is>
      </c>
      <c r="L9687" t="inlineStr">
        <is>
          <t>20:38:10</t>
        </is>
      </c>
      <c r="M9687" t="inlineStr">
        <is>
          <t>20:38:35</t>
        </is>
      </c>
    </row>
    <row r="9688" ht="15" customHeight="1" s="37">
      <c r="A9688" t="n">
        <v>9</v>
      </c>
      <c r="B9688" s="10" t="inlineStr">
        <is>
          <t>平日</t>
        </is>
      </c>
      <c r="C9688" s="10" t="inlineStr">
        <is>
          <t>本線</t>
        </is>
      </c>
      <c r="D9688" s="10" t="inlineStr">
        <is>
          <t>上り</t>
        </is>
      </c>
      <c r="E9688" t="inlineStr">
        <is>
          <t>2006</t>
        </is>
      </c>
      <c r="F9688" t="inlineStr">
        <is>
          <t>0221</t>
        </is>
      </c>
      <c r="G9688" s="10" t="inlineStr">
        <is>
          <t>西大路三条</t>
        </is>
      </c>
      <c r="H9688" s="10" t="inlineStr">
        <is>
          <t>発</t>
        </is>
      </c>
      <c r="J9688" s="10" t="inlineStr">
        <is>
          <t>営業</t>
        </is>
      </c>
      <c r="L9688" t="inlineStr">
        <is>
          <t>20:40:25</t>
        </is>
      </c>
      <c r="M9688" t="inlineStr">
        <is>
          <t>20:40:40</t>
        </is>
      </c>
    </row>
    <row r="9689" ht="15" customHeight="1" s="37">
      <c r="A9689" t="n">
        <v>9</v>
      </c>
      <c r="B9689" s="10" t="inlineStr">
        <is>
          <t>平日</t>
        </is>
      </c>
      <c r="C9689" s="10" t="inlineStr">
        <is>
          <t>本線</t>
        </is>
      </c>
      <c r="D9689" s="10" t="inlineStr">
        <is>
          <t>上り</t>
        </is>
      </c>
      <c r="E9689" t="inlineStr">
        <is>
          <t>2006</t>
        </is>
      </c>
      <c r="F9689" t="inlineStr">
        <is>
          <t>0221</t>
        </is>
      </c>
      <c r="G9689" s="10" t="inlineStr">
        <is>
          <t>西院</t>
        </is>
      </c>
      <c r="H9689" s="10" t="inlineStr">
        <is>
          <t>発</t>
        </is>
      </c>
      <c r="J9689" s="10" t="inlineStr">
        <is>
          <t>営業</t>
        </is>
      </c>
      <c r="L9689" t="inlineStr">
        <is>
          <t>20:42:35</t>
        </is>
      </c>
      <c r="M9689" t="inlineStr">
        <is>
          <t>20:43:05</t>
        </is>
      </c>
    </row>
    <row r="9690" ht="15" customHeight="1" s="37">
      <c r="A9690" t="n">
        <v>9</v>
      </c>
      <c r="B9690" s="10" t="inlineStr">
        <is>
          <t>平日</t>
        </is>
      </c>
      <c r="C9690" s="10" t="inlineStr">
        <is>
          <t>本線</t>
        </is>
      </c>
      <c r="D9690" s="10" t="inlineStr">
        <is>
          <t>上り</t>
        </is>
      </c>
      <c r="E9690" t="inlineStr">
        <is>
          <t>2006</t>
        </is>
      </c>
      <c r="F9690" t="inlineStr">
        <is>
          <t>0221</t>
        </is>
      </c>
      <c r="G9690" s="10" t="inlineStr">
        <is>
          <t>四条大宮</t>
        </is>
      </c>
      <c r="H9690" s="10" t="inlineStr">
        <is>
          <t>着</t>
        </is>
      </c>
      <c r="J9690" s="10" t="inlineStr">
        <is>
          <t>営業</t>
        </is>
      </c>
      <c r="L9690" t="inlineStr">
        <is>
          <t>20:46:00</t>
        </is>
      </c>
      <c r="N9690" t="inlineStr">
        <is>
          <t>○</t>
        </is>
      </c>
      <c r="Q9690" t="inlineStr">
        <is>
          <t>1</t>
        </is>
      </c>
    </row>
    <row r="9691" ht="16.5" customHeight="1" s="37">
      <c r="A9691" t="n">
        <v>9</v>
      </c>
      <c r="B9691" s="10" t="inlineStr">
        <is>
          <t>平日</t>
        </is>
      </c>
      <c r="C9691" s="10" t="inlineStr">
        <is>
          <t>本線</t>
        </is>
      </c>
      <c r="D9691" s="10" t="inlineStr">
        <is>
          <t>下り</t>
        </is>
      </c>
      <c r="E9691" s="10" t="inlineStr">
        <is>
          <t>連1711</t>
        </is>
      </c>
      <c r="F9691" t="inlineStr">
        <is>
          <t>0122</t>
        </is>
      </c>
      <c r="G9691" s="10" t="inlineStr">
        <is>
          <t>西院</t>
        </is>
      </c>
      <c r="H9691" s="10" t="inlineStr">
        <is>
          <t>発</t>
        </is>
      </c>
      <c r="J9691" s="10" t="inlineStr">
        <is>
          <t>営業</t>
        </is>
      </c>
      <c r="L9691" t="inlineStr">
        <is>
          <t>17:55:50</t>
        </is>
      </c>
      <c r="M9691" t="inlineStr">
        <is>
          <t>17:56:20</t>
        </is>
      </c>
      <c r="P9691" t="inlineStr">
        <is>
          <t>F系統(日中)</t>
        </is>
      </c>
    </row>
    <row r="9692" ht="16.5" customHeight="1" s="37">
      <c r="A9692" t="n">
        <v>9</v>
      </c>
      <c r="B9692" s="10" t="inlineStr">
        <is>
          <t>平日</t>
        </is>
      </c>
      <c r="C9692" s="10" t="inlineStr">
        <is>
          <t>本線</t>
        </is>
      </c>
      <c r="D9692" s="10" t="inlineStr">
        <is>
          <t>下り</t>
        </is>
      </c>
      <c r="E9692" s="10" t="inlineStr">
        <is>
          <t>連1711</t>
        </is>
      </c>
      <c r="F9692" t="inlineStr">
        <is>
          <t>0122</t>
        </is>
      </c>
      <c r="G9692" s="10" t="inlineStr">
        <is>
          <t>西大路三条</t>
        </is>
      </c>
      <c r="H9692" s="10" t="inlineStr">
        <is>
          <t>発</t>
        </is>
      </c>
      <c r="J9692" s="10" t="inlineStr">
        <is>
          <t>営業</t>
        </is>
      </c>
      <c r="L9692" t="inlineStr">
        <is>
          <t>17:58:10</t>
        </is>
      </c>
      <c r="M9692" t="inlineStr">
        <is>
          <t>17:58:30</t>
        </is>
      </c>
      <c r="P9692" t="inlineStr">
        <is>
          <t>F系統(日中)</t>
        </is>
      </c>
    </row>
    <row r="9693" ht="16.5" customHeight="1" s="37">
      <c r="A9693" t="n">
        <v>9</v>
      </c>
      <c r="B9693" s="10" t="inlineStr">
        <is>
          <t>平日</t>
        </is>
      </c>
      <c r="C9693" s="10" t="inlineStr">
        <is>
          <t>本線</t>
        </is>
      </c>
      <c r="D9693" s="10" t="inlineStr">
        <is>
          <t>下り</t>
        </is>
      </c>
      <c r="E9693" s="10" t="inlineStr">
        <is>
          <t>連1711</t>
        </is>
      </c>
      <c r="F9693" t="inlineStr">
        <is>
          <t>0122</t>
        </is>
      </c>
      <c r="G9693" s="10" t="inlineStr">
        <is>
          <t>山ノ内</t>
        </is>
      </c>
      <c r="H9693" s="10" t="inlineStr">
        <is>
          <t>発</t>
        </is>
      </c>
      <c r="J9693" s="10" t="inlineStr">
        <is>
          <t>営業</t>
        </is>
      </c>
      <c r="L9693" t="inlineStr">
        <is>
          <t>18:00:25</t>
        </is>
      </c>
      <c r="M9693" t="inlineStr">
        <is>
          <t>18:00:50</t>
        </is>
      </c>
      <c r="P9693" t="inlineStr">
        <is>
          <t>F系統(日中)</t>
        </is>
      </c>
    </row>
    <row r="9694" ht="16.5" customHeight="1" s="37">
      <c r="A9694" t="n">
        <v>9</v>
      </c>
      <c r="B9694" s="10" t="inlineStr">
        <is>
          <t>平日</t>
        </is>
      </c>
      <c r="C9694" s="10" t="inlineStr">
        <is>
          <t>本線</t>
        </is>
      </c>
      <c r="D9694" s="10" t="inlineStr">
        <is>
          <t>下り</t>
        </is>
      </c>
      <c r="E9694" s="10" t="inlineStr">
        <is>
          <t>連1711</t>
        </is>
      </c>
      <c r="F9694" t="inlineStr">
        <is>
          <t>0122</t>
        </is>
      </c>
      <c r="G9694" s="10" t="inlineStr">
        <is>
          <t>天神川</t>
        </is>
      </c>
      <c r="H9694" s="10" t="inlineStr">
        <is>
          <t>発</t>
        </is>
      </c>
      <c r="J9694" s="10" t="inlineStr">
        <is>
          <t>営業</t>
        </is>
      </c>
      <c r="L9694" t="inlineStr">
        <is>
          <t>18:02:50</t>
        </is>
      </c>
      <c r="M9694" t="inlineStr">
        <is>
          <t>18:03:30</t>
        </is>
      </c>
      <c r="P9694" t="inlineStr">
        <is>
          <t>F系統(日中)</t>
        </is>
      </c>
    </row>
    <row r="9695" ht="16.5" customHeight="1" s="37">
      <c r="A9695" t="n">
        <v>9</v>
      </c>
      <c r="B9695" s="10" t="inlineStr">
        <is>
          <t>平日</t>
        </is>
      </c>
      <c r="C9695" s="10" t="inlineStr">
        <is>
          <t>本線</t>
        </is>
      </c>
      <c r="D9695" s="10" t="inlineStr">
        <is>
          <t>下り</t>
        </is>
      </c>
      <c r="E9695" s="10" t="inlineStr">
        <is>
          <t>連1711</t>
        </is>
      </c>
      <c r="F9695" t="inlineStr">
        <is>
          <t>0122</t>
        </is>
      </c>
      <c r="G9695" s="10" t="inlineStr">
        <is>
          <t>蚕ノ社</t>
        </is>
      </c>
      <c r="H9695" s="10" t="inlineStr">
        <is>
          <t>発</t>
        </is>
      </c>
      <c r="J9695" s="10" t="inlineStr">
        <is>
          <t>営業</t>
        </is>
      </c>
      <c r="L9695" t="inlineStr">
        <is>
          <t>18:04:20</t>
        </is>
      </c>
      <c r="M9695" t="inlineStr">
        <is>
          <t>18:04:40</t>
        </is>
      </c>
      <c r="P9695" t="inlineStr">
        <is>
          <t>F系統(日中)</t>
        </is>
      </c>
    </row>
    <row r="9696" ht="16.5" customHeight="1" s="37">
      <c r="A9696" t="n">
        <v>9</v>
      </c>
      <c r="B9696" s="10" t="inlineStr">
        <is>
          <t>平日</t>
        </is>
      </c>
      <c r="C9696" s="10" t="inlineStr">
        <is>
          <t>本線</t>
        </is>
      </c>
      <c r="D9696" s="10" t="inlineStr">
        <is>
          <t>下り</t>
        </is>
      </c>
      <c r="E9696" s="10" t="inlineStr">
        <is>
          <t>連1711</t>
        </is>
      </c>
      <c r="F9696" t="inlineStr">
        <is>
          <t>0122</t>
        </is>
      </c>
      <c r="G9696" s="10" t="inlineStr">
        <is>
          <t>太秦広隆寺</t>
        </is>
      </c>
      <c r="H9696" s="10" t="inlineStr">
        <is>
          <t>発</t>
        </is>
      </c>
      <c r="J9696" s="10" t="inlineStr">
        <is>
          <t>営業</t>
        </is>
      </c>
      <c r="L9696" t="inlineStr">
        <is>
          <t>18:06:00</t>
        </is>
      </c>
      <c r="M9696" t="inlineStr">
        <is>
          <t>18:06:20</t>
        </is>
      </c>
      <c r="P9696" t="inlineStr">
        <is>
          <t>F系統(日中)</t>
        </is>
      </c>
    </row>
    <row r="9697" ht="16.5" customHeight="1" s="37">
      <c r="A9697" t="n">
        <v>9</v>
      </c>
      <c r="B9697" s="10" t="inlineStr">
        <is>
          <t>平日</t>
        </is>
      </c>
      <c r="C9697" s="10" t="inlineStr">
        <is>
          <t>本線</t>
        </is>
      </c>
      <c r="D9697" s="10" t="inlineStr">
        <is>
          <t>下り</t>
        </is>
      </c>
      <c r="E9697" s="10" t="inlineStr">
        <is>
          <t>連1711</t>
        </is>
      </c>
      <c r="F9697" t="inlineStr">
        <is>
          <t>0122</t>
        </is>
      </c>
      <c r="G9697" s="10" t="inlineStr">
        <is>
          <t>帷子ノ辻</t>
        </is>
      </c>
      <c r="H9697" s="10" t="inlineStr">
        <is>
          <t>発</t>
        </is>
      </c>
      <c r="J9697" s="10" t="inlineStr">
        <is>
          <t>営業</t>
        </is>
      </c>
      <c r="L9697" t="inlineStr">
        <is>
          <t>18:08:20</t>
        </is>
      </c>
      <c r="M9697" t="inlineStr">
        <is>
          <t>18:09:40</t>
        </is>
      </c>
      <c r="P9697" t="inlineStr">
        <is>
          <t>F系統(日中)</t>
        </is>
      </c>
    </row>
    <row r="9698" ht="16.5" customHeight="1" s="37">
      <c r="A9698" t="n">
        <v>9</v>
      </c>
      <c r="B9698" s="10" t="inlineStr">
        <is>
          <t>平日</t>
        </is>
      </c>
      <c r="C9698" s="10" t="inlineStr">
        <is>
          <t>本線</t>
        </is>
      </c>
      <c r="D9698" s="10" t="inlineStr">
        <is>
          <t>下り</t>
        </is>
      </c>
      <c r="E9698" s="10" t="inlineStr">
        <is>
          <t>連1711</t>
        </is>
      </c>
      <c r="F9698" t="inlineStr">
        <is>
          <t>0122</t>
        </is>
      </c>
      <c r="G9698" s="10" t="inlineStr">
        <is>
          <t>有栖川</t>
        </is>
      </c>
      <c r="H9698" s="10" t="inlineStr">
        <is>
          <t>発</t>
        </is>
      </c>
      <c r="J9698" s="10" t="inlineStr">
        <is>
          <t>営業</t>
        </is>
      </c>
      <c r="L9698" t="inlineStr">
        <is>
          <t>18:10:50</t>
        </is>
      </c>
      <c r="M9698" t="inlineStr">
        <is>
          <t>18:11:15</t>
        </is>
      </c>
      <c r="P9698" t="inlineStr">
        <is>
          <t>F系統(日中)</t>
        </is>
      </c>
    </row>
    <row r="9699" ht="16.5" customHeight="1" s="37">
      <c r="A9699" t="n">
        <v>9</v>
      </c>
      <c r="B9699" s="10" t="inlineStr">
        <is>
          <t>平日</t>
        </is>
      </c>
      <c r="C9699" s="10" t="inlineStr">
        <is>
          <t>本線</t>
        </is>
      </c>
      <c r="D9699" s="10" t="inlineStr">
        <is>
          <t>下り</t>
        </is>
      </c>
      <c r="E9699" s="10" t="inlineStr">
        <is>
          <t>連1711</t>
        </is>
      </c>
      <c r="F9699" t="inlineStr">
        <is>
          <t>0122</t>
        </is>
      </c>
      <c r="G9699" s="10" t="inlineStr">
        <is>
          <t>車折</t>
        </is>
      </c>
      <c r="H9699" s="10" t="inlineStr">
        <is>
          <t>発</t>
        </is>
      </c>
      <c r="J9699" s="10" t="inlineStr">
        <is>
          <t>営業</t>
        </is>
      </c>
      <c r="L9699" t="inlineStr">
        <is>
          <t>18:12:40</t>
        </is>
      </c>
      <c r="M9699" t="inlineStr">
        <is>
          <t>18:13:05</t>
        </is>
      </c>
      <c r="P9699" t="inlineStr">
        <is>
          <t>F系統(日中)</t>
        </is>
      </c>
    </row>
    <row r="9700" ht="16.5" customHeight="1" s="37">
      <c r="A9700" t="n">
        <v>9</v>
      </c>
      <c r="B9700" s="10" t="inlineStr">
        <is>
          <t>平日</t>
        </is>
      </c>
      <c r="C9700" s="10" t="inlineStr">
        <is>
          <t>本線</t>
        </is>
      </c>
      <c r="D9700" s="10" t="inlineStr">
        <is>
          <t>下り</t>
        </is>
      </c>
      <c r="E9700" s="10" t="inlineStr">
        <is>
          <t>連1711</t>
        </is>
      </c>
      <c r="F9700" t="inlineStr">
        <is>
          <t>0122</t>
        </is>
      </c>
      <c r="G9700" s="10" t="inlineStr">
        <is>
          <t>鹿王院</t>
        </is>
      </c>
      <c r="H9700" s="10" t="inlineStr">
        <is>
          <t>発</t>
        </is>
      </c>
      <c r="J9700" s="10" t="inlineStr">
        <is>
          <t>営業</t>
        </is>
      </c>
      <c r="L9700" t="inlineStr">
        <is>
          <t>18:14:00</t>
        </is>
      </c>
      <c r="M9700" t="inlineStr">
        <is>
          <t>18:14:25</t>
        </is>
      </c>
      <c r="P9700" t="inlineStr">
        <is>
          <t>F系統(日中)</t>
        </is>
      </c>
    </row>
    <row r="9701" ht="16.5" customHeight="1" s="37">
      <c r="A9701" t="n">
        <v>9</v>
      </c>
      <c r="B9701" s="10" t="inlineStr">
        <is>
          <t>平日</t>
        </is>
      </c>
      <c r="C9701" s="10" t="inlineStr">
        <is>
          <t>本線</t>
        </is>
      </c>
      <c r="D9701" s="10" t="inlineStr">
        <is>
          <t>下り</t>
        </is>
      </c>
      <c r="E9701" s="10" t="inlineStr">
        <is>
          <t>連1711</t>
        </is>
      </c>
      <c r="F9701" t="inlineStr">
        <is>
          <t>0122</t>
        </is>
      </c>
      <c r="G9701" s="10" t="inlineStr">
        <is>
          <t>嵯峨</t>
        </is>
      </c>
      <c r="H9701" s="10" t="inlineStr">
        <is>
          <t>発</t>
        </is>
      </c>
      <c r="J9701" s="10" t="inlineStr">
        <is>
          <t>営業</t>
        </is>
      </c>
      <c r="L9701" t="inlineStr">
        <is>
          <t>18:15:30</t>
        </is>
      </c>
      <c r="M9701" t="inlineStr">
        <is>
          <t>18:15:55</t>
        </is>
      </c>
      <c r="P9701" t="inlineStr">
        <is>
          <t>F系統(日中)</t>
        </is>
      </c>
    </row>
    <row r="9702" ht="16.5" customHeight="1" s="37">
      <c r="A9702" t="n">
        <v>9</v>
      </c>
      <c r="B9702" s="10" t="inlineStr">
        <is>
          <t>平日</t>
        </is>
      </c>
      <c r="C9702" s="10" t="inlineStr">
        <is>
          <t>本線</t>
        </is>
      </c>
      <c r="D9702" s="10" t="inlineStr">
        <is>
          <t>下り</t>
        </is>
      </c>
      <c r="E9702" s="10" t="inlineStr">
        <is>
          <t>連1711</t>
        </is>
      </c>
      <c r="F9702" t="inlineStr">
        <is>
          <t>0122</t>
        </is>
      </c>
      <c r="G9702" s="10" t="inlineStr">
        <is>
          <t>嵐山</t>
        </is>
      </c>
      <c r="H9702" s="10" t="inlineStr">
        <is>
          <t>着</t>
        </is>
      </c>
      <c r="J9702" s="10" t="inlineStr">
        <is>
          <t>営業</t>
        </is>
      </c>
      <c r="L9702" t="inlineStr">
        <is>
          <t>18:17:00</t>
        </is>
      </c>
      <c r="N9702" t="inlineStr">
        <is>
          <t>○</t>
        </is>
      </c>
      <c r="P9702" t="inlineStr">
        <is>
          <t>F系統(日中)</t>
        </is>
      </c>
      <c r="Q9702" t="inlineStr">
        <is>
          <t>1</t>
        </is>
      </c>
    </row>
    <row r="9703" ht="16.5" customHeight="1" s="37">
      <c r="A9703" t="n">
        <v>9</v>
      </c>
      <c r="B9703" s="10" t="inlineStr">
        <is>
          <t>平日</t>
        </is>
      </c>
      <c r="C9703" s="10" t="inlineStr">
        <is>
          <t>本線</t>
        </is>
      </c>
      <c r="D9703" s="10" t="inlineStr">
        <is>
          <t>上り</t>
        </is>
      </c>
      <c r="E9703" s="10" t="inlineStr">
        <is>
          <t>連1806</t>
        </is>
      </c>
      <c r="F9703" t="inlineStr">
        <is>
          <t>2221</t>
        </is>
      </c>
      <c r="G9703" s="10" t="inlineStr">
        <is>
          <t>嵐山</t>
        </is>
      </c>
      <c r="H9703" s="10" t="inlineStr">
        <is>
          <t>発</t>
        </is>
      </c>
      <c r="J9703" s="10" t="inlineStr">
        <is>
          <t>営業</t>
        </is>
      </c>
      <c r="M9703" t="inlineStr">
        <is>
          <t>18:23:00</t>
        </is>
      </c>
      <c r="P9703" t="inlineStr">
        <is>
          <t>F系統(日中)</t>
        </is>
      </c>
      <c r="Q9703" t="inlineStr">
        <is>
          <t>1</t>
        </is>
      </c>
    </row>
    <row r="9704" ht="16.5" customHeight="1" s="37">
      <c r="A9704" t="n">
        <v>9</v>
      </c>
      <c r="B9704" s="10" t="inlineStr">
        <is>
          <t>平日</t>
        </is>
      </c>
      <c r="C9704" s="10" t="inlineStr">
        <is>
          <t>本線</t>
        </is>
      </c>
      <c r="D9704" s="10" t="inlineStr">
        <is>
          <t>上り</t>
        </is>
      </c>
      <c r="E9704" s="10" t="inlineStr">
        <is>
          <t>連1806</t>
        </is>
      </c>
      <c r="F9704" t="inlineStr">
        <is>
          <t>2221</t>
        </is>
      </c>
      <c r="G9704" s="10" t="inlineStr">
        <is>
          <t>嵯峨</t>
        </is>
      </c>
      <c r="H9704" s="10" t="inlineStr">
        <is>
          <t>発</t>
        </is>
      </c>
      <c r="J9704" s="10" t="inlineStr">
        <is>
          <t>営業</t>
        </is>
      </c>
      <c r="L9704" t="inlineStr">
        <is>
          <t>18:23:55</t>
        </is>
      </c>
      <c r="M9704" t="inlineStr">
        <is>
          <t>18:24:20</t>
        </is>
      </c>
      <c r="P9704" t="inlineStr">
        <is>
          <t>F系統(日中)</t>
        </is>
      </c>
    </row>
    <row r="9705" ht="16.5" customHeight="1" s="37">
      <c r="A9705" t="n">
        <v>9</v>
      </c>
      <c r="B9705" s="10" t="inlineStr">
        <is>
          <t>平日</t>
        </is>
      </c>
      <c r="C9705" s="10" t="inlineStr">
        <is>
          <t>本線</t>
        </is>
      </c>
      <c r="D9705" s="10" t="inlineStr">
        <is>
          <t>上り</t>
        </is>
      </c>
      <c r="E9705" s="10" t="inlineStr">
        <is>
          <t>連1806</t>
        </is>
      </c>
      <c r="F9705" t="inlineStr">
        <is>
          <t>2221</t>
        </is>
      </c>
      <c r="G9705" s="10" t="inlineStr">
        <is>
          <t>鹿王院</t>
        </is>
      </c>
      <c r="H9705" s="10" t="inlineStr">
        <is>
          <t>発</t>
        </is>
      </c>
      <c r="J9705" s="10" t="inlineStr">
        <is>
          <t>営業</t>
        </is>
      </c>
      <c r="L9705" t="inlineStr">
        <is>
          <t>18:25:25</t>
        </is>
      </c>
      <c r="M9705" t="inlineStr">
        <is>
          <t>18:25:45</t>
        </is>
      </c>
      <c r="P9705" t="inlineStr">
        <is>
          <t>F系統(日中)</t>
        </is>
      </c>
    </row>
    <row r="9706" ht="16.5" customHeight="1" s="37">
      <c r="A9706" t="n">
        <v>9</v>
      </c>
      <c r="B9706" s="10" t="inlineStr">
        <is>
          <t>平日</t>
        </is>
      </c>
      <c r="C9706" s="10" t="inlineStr">
        <is>
          <t>本線</t>
        </is>
      </c>
      <c r="D9706" s="10" t="inlineStr">
        <is>
          <t>上り</t>
        </is>
      </c>
      <c r="E9706" s="10" t="inlineStr">
        <is>
          <t>連1806</t>
        </is>
      </c>
      <c r="F9706" t="inlineStr">
        <is>
          <t>2221</t>
        </is>
      </c>
      <c r="G9706" s="10" t="inlineStr">
        <is>
          <t>車折</t>
        </is>
      </c>
      <c r="H9706" s="10" t="inlineStr">
        <is>
          <t>発</t>
        </is>
      </c>
      <c r="J9706" s="10" t="inlineStr">
        <is>
          <t>営業</t>
        </is>
      </c>
      <c r="L9706" t="inlineStr">
        <is>
          <t>18:26:40</t>
        </is>
      </c>
      <c r="M9706" t="inlineStr">
        <is>
          <t>18:27:10</t>
        </is>
      </c>
      <c r="P9706" t="inlineStr">
        <is>
          <t>F系統(日中)</t>
        </is>
      </c>
    </row>
    <row r="9707" ht="16.5" customHeight="1" s="37">
      <c r="A9707" t="n">
        <v>9</v>
      </c>
      <c r="B9707" s="10" t="inlineStr">
        <is>
          <t>平日</t>
        </is>
      </c>
      <c r="C9707" s="10" t="inlineStr">
        <is>
          <t>本線</t>
        </is>
      </c>
      <c r="D9707" s="10" t="inlineStr">
        <is>
          <t>上り</t>
        </is>
      </c>
      <c r="E9707" s="10" t="inlineStr">
        <is>
          <t>連1806</t>
        </is>
      </c>
      <c r="F9707" t="inlineStr">
        <is>
          <t>2221</t>
        </is>
      </c>
      <c r="G9707" s="10" t="inlineStr">
        <is>
          <t>有栖川</t>
        </is>
      </c>
      <c r="H9707" s="10" t="inlineStr">
        <is>
          <t>発</t>
        </is>
      </c>
      <c r="J9707" s="10" t="inlineStr">
        <is>
          <t>営業</t>
        </is>
      </c>
      <c r="L9707" t="inlineStr">
        <is>
          <t>18:28:35</t>
        </is>
      </c>
      <c r="M9707" t="inlineStr">
        <is>
          <t>18:28:55</t>
        </is>
      </c>
      <c r="P9707" t="inlineStr">
        <is>
          <t>F系統(日中)</t>
        </is>
      </c>
    </row>
    <row r="9708" ht="16.5" customHeight="1" s="37">
      <c r="A9708" t="n">
        <v>9</v>
      </c>
      <c r="B9708" s="10" t="inlineStr">
        <is>
          <t>平日</t>
        </is>
      </c>
      <c r="C9708" s="10" t="inlineStr">
        <is>
          <t>本線</t>
        </is>
      </c>
      <c r="D9708" s="10" t="inlineStr">
        <is>
          <t>上り</t>
        </is>
      </c>
      <c r="E9708" s="10" t="inlineStr">
        <is>
          <t>連1806</t>
        </is>
      </c>
      <c r="F9708" t="inlineStr">
        <is>
          <t>2221</t>
        </is>
      </c>
      <c r="G9708" s="10" t="inlineStr">
        <is>
          <t>帷子ノ辻</t>
        </is>
      </c>
      <c r="H9708" s="10" t="inlineStr">
        <is>
          <t>発</t>
        </is>
      </c>
      <c r="J9708" s="10" t="inlineStr">
        <is>
          <t>営業</t>
        </is>
      </c>
      <c r="L9708" t="inlineStr">
        <is>
          <t>18:30:10</t>
        </is>
      </c>
      <c r="M9708" t="inlineStr">
        <is>
          <t>18:31:15</t>
        </is>
      </c>
      <c r="P9708" t="inlineStr">
        <is>
          <t>F系統(日中)</t>
        </is>
      </c>
    </row>
    <row r="9709" ht="16.5" customHeight="1" s="37">
      <c r="A9709" t="n">
        <v>9</v>
      </c>
      <c r="B9709" s="10" t="inlineStr">
        <is>
          <t>平日</t>
        </is>
      </c>
      <c r="C9709" s="10" t="inlineStr">
        <is>
          <t>本線</t>
        </is>
      </c>
      <c r="D9709" s="10" t="inlineStr">
        <is>
          <t>上り</t>
        </is>
      </c>
      <c r="E9709" s="10" t="inlineStr">
        <is>
          <t>連1806</t>
        </is>
      </c>
      <c r="F9709" t="inlineStr">
        <is>
          <t>2221</t>
        </is>
      </c>
      <c r="G9709" s="10" t="inlineStr">
        <is>
          <t>太秦広隆寺</t>
        </is>
      </c>
      <c r="H9709" s="10" t="inlineStr">
        <is>
          <t>発</t>
        </is>
      </c>
      <c r="J9709" s="10" t="inlineStr">
        <is>
          <t>営業</t>
        </is>
      </c>
      <c r="L9709" t="inlineStr">
        <is>
          <t>18:33:25</t>
        </is>
      </c>
      <c r="M9709" t="inlineStr">
        <is>
          <t>18:33:45</t>
        </is>
      </c>
      <c r="P9709" t="inlineStr">
        <is>
          <t>F系統(日中)</t>
        </is>
      </c>
    </row>
    <row r="9710" ht="16.5" customHeight="1" s="37">
      <c r="A9710" t="n">
        <v>9</v>
      </c>
      <c r="B9710" s="10" t="inlineStr">
        <is>
          <t>平日</t>
        </is>
      </c>
      <c r="C9710" s="10" t="inlineStr">
        <is>
          <t>本線</t>
        </is>
      </c>
      <c r="D9710" s="10" t="inlineStr">
        <is>
          <t>上り</t>
        </is>
      </c>
      <c r="E9710" s="10" t="inlineStr">
        <is>
          <t>連1806</t>
        </is>
      </c>
      <c r="F9710" t="inlineStr">
        <is>
          <t>2221</t>
        </is>
      </c>
      <c r="G9710" s="10" t="inlineStr">
        <is>
          <t>蚕ノ社</t>
        </is>
      </c>
      <c r="H9710" s="10" t="inlineStr">
        <is>
          <t>発</t>
        </is>
      </c>
      <c r="J9710" s="10" t="inlineStr">
        <is>
          <t>営業</t>
        </is>
      </c>
      <c r="L9710" t="inlineStr">
        <is>
          <t>18:35:00</t>
        </is>
      </c>
      <c r="M9710" t="inlineStr">
        <is>
          <t>18:35:20</t>
        </is>
      </c>
      <c r="P9710" t="inlineStr">
        <is>
          <t>F系統(日中)</t>
        </is>
      </c>
    </row>
    <row r="9711" ht="16.5" customHeight="1" s="37">
      <c r="A9711" t="n">
        <v>9</v>
      </c>
      <c r="B9711" s="10" t="inlineStr">
        <is>
          <t>平日</t>
        </is>
      </c>
      <c r="C9711" s="10" t="inlineStr">
        <is>
          <t>本線</t>
        </is>
      </c>
      <c r="D9711" s="10" t="inlineStr">
        <is>
          <t>上り</t>
        </is>
      </c>
      <c r="E9711" s="10" t="inlineStr">
        <is>
          <t>連1806</t>
        </is>
      </c>
      <c r="F9711" t="inlineStr">
        <is>
          <t>2221</t>
        </is>
      </c>
      <c r="G9711" s="10" t="inlineStr">
        <is>
          <t>天神川</t>
        </is>
      </c>
      <c r="H9711" s="10" t="inlineStr">
        <is>
          <t>発</t>
        </is>
      </c>
      <c r="J9711" s="10" t="inlineStr">
        <is>
          <t>営業</t>
        </is>
      </c>
      <c r="L9711" t="inlineStr">
        <is>
          <t>18:36:05</t>
        </is>
      </c>
      <c r="M9711" t="inlineStr">
        <is>
          <t>18:36:50</t>
        </is>
      </c>
      <c r="P9711" t="inlineStr">
        <is>
          <t>F系統(日中)</t>
        </is>
      </c>
    </row>
    <row r="9712" ht="16.5" customHeight="1" s="37">
      <c r="A9712" t="n">
        <v>9</v>
      </c>
      <c r="B9712" s="10" t="inlineStr">
        <is>
          <t>平日</t>
        </is>
      </c>
      <c r="C9712" s="10" t="inlineStr">
        <is>
          <t>本線</t>
        </is>
      </c>
      <c r="D9712" s="10" t="inlineStr">
        <is>
          <t>上り</t>
        </is>
      </c>
      <c r="E9712" s="10" t="inlineStr">
        <is>
          <t>連1806</t>
        </is>
      </c>
      <c r="F9712" t="inlineStr">
        <is>
          <t>2221</t>
        </is>
      </c>
      <c r="G9712" s="10" t="inlineStr">
        <is>
          <t>山ノ内</t>
        </is>
      </c>
      <c r="H9712" s="10" t="inlineStr">
        <is>
          <t>発</t>
        </is>
      </c>
      <c r="J9712" s="10" t="inlineStr">
        <is>
          <t>営業</t>
        </is>
      </c>
      <c r="L9712" t="inlineStr">
        <is>
          <t>18:38:40</t>
        </is>
      </c>
      <c r="M9712" t="inlineStr">
        <is>
          <t>18:39:05</t>
        </is>
      </c>
      <c r="P9712" t="inlineStr">
        <is>
          <t>F系統(日中)</t>
        </is>
      </c>
    </row>
    <row r="9713" ht="16.5" customHeight="1" s="37">
      <c r="A9713" t="n">
        <v>9</v>
      </c>
      <c r="B9713" s="10" t="inlineStr">
        <is>
          <t>平日</t>
        </is>
      </c>
      <c r="C9713" s="10" t="inlineStr">
        <is>
          <t>本線</t>
        </is>
      </c>
      <c r="D9713" s="10" t="inlineStr">
        <is>
          <t>上り</t>
        </is>
      </c>
      <c r="E9713" s="10" t="inlineStr">
        <is>
          <t>連1806</t>
        </is>
      </c>
      <c r="F9713" t="inlineStr">
        <is>
          <t>2221</t>
        </is>
      </c>
      <c r="G9713" s="10" t="inlineStr">
        <is>
          <t>西大路三条</t>
        </is>
      </c>
      <c r="H9713" s="10" t="inlineStr">
        <is>
          <t>発</t>
        </is>
      </c>
      <c r="J9713" s="10" t="inlineStr">
        <is>
          <t>営業</t>
        </is>
      </c>
      <c r="L9713" t="inlineStr">
        <is>
          <t>18:40:55</t>
        </is>
      </c>
      <c r="M9713" t="inlineStr">
        <is>
          <t>18:41:15</t>
        </is>
      </c>
      <c r="P9713" t="inlineStr">
        <is>
          <t>F系統(日中)</t>
        </is>
      </c>
    </row>
    <row r="9714" ht="16.5" customHeight="1" s="37">
      <c r="A9714" t="n">
        <v>9</v>
      </c>
      <c r="B9714" s="10" t="inlineStr">
        <is>
          <t>平日</t>
        </is>
      </c>
      <c r="C9714" s="10" t="inlineStr">
        <is>
          <t>本線</t>
        </is>
      </c>
      <c r="D9714" s="10" t="inlineStr">
        <is>
          <t>上り</t>
        </is>
      </c>
      <c r="E9714" s="10" t="inlineStr">
        <is>
          <t>連1806</t>
        </is>
      </c>
      <c r="F9714" t="inlineStr">
        <is>
          <t>2221</t>
        </is>
      </c>
      <c r="G9714" s="10" t="inlineStr">
        <is>
          <t>西院</t>
        </is>
      </c>
      <c r="H9714" s="10" t="inlineStr">
        <is>
          <t>発</t>
        </is>
      </c>
      <c r="J9714" s="10" t="inlineStr">
        <is>
          <t>営業</t>
        </is>
      </c>
      <c r="L9714" t="inlineStr">
        <is>
          <t>18:43:10</t>
        </is>
      </c>
      <c r="M9714" t="inlineStr">
        <is>
          <t>18:44:05</t>
        </is>
      </c>
      <c r="P9714" t="inlineStr">
        <is>
          <t>F系統(日中)</t>
        </is>
      </c>
    </row>
    <row r="9715" ht="16.5" customHeight="1" s="37">
      <c r="A9715" t="n">
        <v>9</v>
      </c>
      <c r="B9715" s="10" t="inlineStr">
        <is>
          <t>平日</t>
        </is>
      </c>
      <c r="C9715" s="10" t="inlineStr">
        <is>
          <t>本線</t>
        </is>
      </c>
      <c r="D9715" s="10" t="inlineStr">
        <is>
          <t>上り</t>
        </is>
      </c>
      <c r="E9715" s="10" t="inlineStr">
        <is>
          <t>連1806</t>
        </is>
      </c>
      <c r="F9715" t="inlineStr">
        <is>
          <t>2221</t>
        </is>
      </c>
      <c r="G9715" s="10" t="inlineStr">
        <is>
          <t>四条大宮</t>
        </is>
      </c>
      <c r="H9715" s="10" t="inlineStr">
        <is>
          <t>着</t>
        </is>
      </c>
      <c r="J9715" s="10" t="inlineStr">
        <is>
          <t>営業</t>
        </is>
      </c>
      <c r="L9715" t="inlineStr">
        <is>
          <t>18:47:00</t>
        </is>
      </c>
      <c r="P9715" t="inlineStr">
        <is>
          <t>F系統(日中)</t>
        </is>
      </c>
      <c r="Q9715" t="inlineStr">
        <is>
          <t>1</t>
        </is>
      </c>
    </row>
    <row r="9716" ht="16.5" customHeight="1" s="37">
      <c r="A9716" t="n">
        <v>9</v>
      </c>
      <c r="B9716" s="10" t="inlineStr">
        <is>
          <t>平日</t>
        </is>
      </c>
      <c r="C9716" s="10" t="inlineStr">
        <is>
          <t>本線</t>
        </is>
      </c>
      <c r="D9716" s="10" t="inlineStr">
        <is>
          <t>下り</t>
        </is>
      </c>
      <c r="E9716" s="10" t="inlineStr">
        <is>
          <t>連1811</t>
        </is>
      </c>
      <c r="F9716" t="inlineStr">
        <is>
          <t>0122</t>
        </is>
      </c>
      <c r="G9716" s="10" t="inlineStr">
        <is>
          <t>四条大宮</t>
        </is>
      </c>
      <c r="H9716" s="10" t="inlineStr">
        <is>
          <t>発</t>
        </is>
      </c>
      <c r="J9716" s="10" t="inlineStr">
        <is>
          <t>営業</t>
        </is>
      </c>
      <c r="M9716" t="inlineStr">
        <is>
          <t>18:53:00</t>
        </is>
      </c>
      <c r="P9716" t="inlineStr">
        <is>
          <t>F系統(日中)</t>
        </is>
      </c>
      <c r="Q9716" t="inlineStr">
        <is>
          <t>1</t>
        </is>
      </c>
    </row>
    <row r="9717" ht="16.5" customHeight="1" s="37">
      <c r="A9717" t="n">
        <v>9</v>
      </c>
      <c r="B9717" s="10" t="inlineStr">
        <is>
          <t>平日</t>
        </is>
      </c>
      <c r="C9717" s="10" t="inlineStr">
        <is>
          <t>本線</t>
        </is>
      </c>
      <c r="D9717" s="10" t="inlineStr">
        <is>
          <t>下り</t>
        </is>
      </c>
      <c r="E9717" s="10" t="inlineStr">
        <is>
          <t>連1811</t>
        </is>
      </c>
      <c r="F9717" t="inlineStr">
        <is>
          <t>0122</t>
        </is>
      </c>
      <c r="G9717" s="10" t="inlineStr">
        <is>
          <t>西院</t>
        </is>
      </c>
      <c r="H9717" s="10" t="inlineStr">
        <is>
          <t>発</t>
        </is>
      </c>
      <c r="J9717" s="10" t="inlineStr">
        <is>
          <t>営業</t>
        </is>
      </c>
      <c r="L9717" t="inlineStr">
        <is>
          <t>18:55:50</t>
        </is>
      </c>
      <c r="M9717" t="inlineStr">
        <is>
          <t>18:56:20</t>
        </is>
      </c>
      <c r="P9717" t="inlineStr">
        <is>
          <t>F系統(日中)</t>
        </is>
      </c>
    </row>
    <row r="9718" ht="16.5" customHeight="1" s="37">
      <c r="A9718" t="n">
        <v>9</v>
      </c>
      <c r="B9718" s="10" t="inlineStr">
        <is>
          <t>平日</t>
        </is>
      </c>
      <c r="C9718" s="10" t="inlineStr">
        <is>
          <t>本線</t>
        </is>
      </c>
      <c r="D9718" s="10" t="inlineStr">
        <is>
          <t>下り</t>
        </is>
      </c>
      <c r="E9718" s="10" t="inlineStr">
        <is>
          <t>連1811</t>
        </is>
      </c>
      <c r="F9718" t="inlineStr">
        <is>
          <t>0122</t>
        </is>
      </c>
      <c r="G9718" s="10" t="inlineStr">
        <is>
          <t>西大路三条</t>
        </is>
      </c>
      <c r="H9718" s="10" t="inlineStr">
        <is>
          <t>発</t>
        </is>
      </c>
      <c r="J9718" s="10" t="inlineStr">
        <is>
          <t>営業</t>
        </is>
      </c>
      <c r="L9718" t="inlineStr">
        <is>
          <t>18:58:10</t>
        </is>
      </c>
      <c r="M9718" t="inlineStr">
        <is>
          <t>18:58:30</t>
        </is>
      </c>
      <c r="P9718" t="inlineStr">
        <is>
          <t>F系統(日中)</t>
        </is>
      </c>
    </row>
    <row r="9719" ht="16.5" customHeight="1" s="37">
      <c r="A9719" t="n">
        <v>9</v>
      </c>
      <c r="B9719" s="10" t="inlineStr">
        <is>
          <t>平日</t>
        </is>
      </c>
      <c r="C9719" s="10" t="inlineStr">
        <is>
          <t>本線</t>
        </is>
      </c>
      <c r="D9719" s="10" t="inlineStr">
        <is>
          <t>下り</t>
        </is>
      </c>
      <c r="E9719" s="10" t="inlineStr">
        <is>
          <t>連1811</t>
        </is>
      </c>
      <c r="F9719" t="inlineStr">
        <is>
          <t>0122</t>
        </is>
      </c>
      <c r="G9719" s="10" t="inlineStr">
        <is>
          <t>山ノ内</t>
        </is>
      </c>
      <c r="H9719" s="10" t="inlineStr">
        <is>
          <t>発</t>
        </is>
      </c>
      <c r="J9719" s="10" t="inlineStr">
        <is>
          <t>営業</t>
        </is>
      </c>
      <c r="L9719" t="inlineStr">
        <is>
          <t>19:00:25</t>
        </is>
      </c>
      <c r="M9719" t="inlineStr">
        <is>
          <t>19:00:50</t>
        </is>
      </c>
      <c r="P9719" t="inlineStr">
        <is>
          <t>F系統(日中)</t>
        </is>
      </c>
    </row>
    <row r="9720" ht="16.5" customHeight="1" s="37">
      <c r="A9720" t="n">
        <v>9</v>
      </c>
      <c r="B9720" s="10" t="inlineStr">
        <is>
          <t>平日</t>
        </is>
      </c>
      <c r="C9720" s="10" t="inlineStr">
        <is>
          <t>本線</t>
        </is>
      </c>
      <c r="D9720" s="10" t="inlineStr">
        <is>
          <t>下り</t>
        </is>
      </c>
      <c r="E9720" s="10" t="inlineStr">
        <is>
          <t>連1811</t>
        </is>
      </c>
      <c r="F9720" t="inlineStr">
        <is>
          <t>0122</t>
        </is>
      </c>
      <c r="G9720" s="10" t="inlineStr">
        <is>
          <t>天神川</t>
        </is>
      </c>
      <c r="H9720" s="10" t="inlineStr">
        <is>
          <t>発</t>
        </is>
      </c>
      <c r="J9720" s="10" t="inlineStr">
        <is>
          <t>営業</t>
        </is>
      </c>
      <c r="L9720" t="inlineStr">
        <is>
          <t>19:02:50</t>
        </is>
      </c>
      <c r="M9720" t="inlineStr">
        <is>
          <t>19:03:30</t>
        </is>
      </c>
      <c r="P9720" t="inlineStr">
        <is>
          <t>F系統(日中)</t>
        </is>
      </c>
    </row>
    <row r="9721" ht="16.5" customHeight="1" s="37">
      <c r="A9721" t="n">
        <v>9</v>
      </c>
      <c r="B9721" s="10" t="inlineStr">
        <is>
          <t>平日</t>
        </is>
      </c>
      <c r="C9721" s="10" t="inlineStr">
        <is>
          <t>本線</t>
        </is>
      </c>
      <c r="D9721" s="10" t="inlineStr">
        <is>
          <t>下り</t>
        </is>
      </c>
      <c r="E9721" s="10" t="inlineStr">
        <is>
          <t>連1811</t>
        </is>
      </c>
      <c r="F9721" t="inlineStr">
        <is>
          <t>0122</t>
        </is>
      </c>
      <c r="G9721" s="10" t="inlineStr">
        <is>
          <t>蚕ノ社</t>
        </is>
      </c>
      <c r="H9721" s="10" t="inlineStr">
        <is>
          <t>発</t>
        </is>
      </c>
      <c r="J9721" s="10" t="inlineStr">
        <is>
          <t>営業</t>
        </is>
      </c>
      <c r="L9721" t="inlineStr">
        <is>
          <t>19:04:20</t>
        </is>
      </c>
      <c r="M9721" t="inlineStr">
        <is>
          <t>19:04:40</t>
        </is>
      </c>
      <c r="P9721" t="inlineStr">
        <is>
          <t>F系統(日中)</t>
        </is>
      </c>
    </row>
    <row r="9722" ht="16.5" customHeight="1" s="37">
      <c r="A9722" t="n">
        <v>9</v>
      </c>
      <c r="B9722" s="10" t="inlineStr">
        <is>
          <t>平日</t>
        </is>
      </c>
      <c r="C9722" s="10" t="inlineStr">
        <is>
          <t>本線</t>
        </is>
      </c>
      <c r="D9722" s="10" t="inlineStr">
        <is>
          <t>下り</t>
        </is>
      </c>
      <c r="E9722" s="10" t="inlineStr">
        <is>
          <t>連1811</t>
        </is>
      </c>
      <c r="F9722" t="inlineStr">
        <is>
          <t>0122</t>
        </is>
      </c>
      <c r="G9722" s="10" t="inlineStr">
        <is>
          <t>太秦広隆寺</t>
        </is>
      </c>
      <c r="H9722" s="10" t="inlineStr">
        <is>
          <t>発</t>
        </is>
      </c>
      <c r="J9722" s="10" t="inlineStr">
        <is>
          <t>営業</t>
        </is>
      </c>
      <c r="L9722" t="inlineStr">
        <is>
          <t>19:06:00</t>
        </is>
      </c>
      <c r="M9722" t="inlineStr">
        <is>
          <t>19:06:20</t>
        </is>
      </c>
      <c r="P9722" t="inlineStr">
        <is>
          <t>F系統(日中)</t>
        </is>
      </c>
    </row>
    <row r="9723" ht="16.5" customHeight="1" s="37">
      <c r="A9723" t="n">
        <v>9</v>
      </c>
      <c r="B9723" s="10" t="inlineStr">
        <is>
          <t>平日</t>
        </is>
      </c>
      <c r="C9723" s="10" t="inlineStr">
        <is>
          <t>本線</t>
        </is>
      </c>
      <c r="D9723" s="10" t="inlineStr">
        <is>
          <t>下り</t>
        </is>
      </c>
      <c r="E9723" s="10" t="inlineStr">
        <is>
          <t>連1811</t>
        </is>
      </c>
      <c r="F9723" t="inlineStr">
        <is>
          <t>0122</t>
        </is>
      </c>
      <c r="G9723" s="10" t="inlineStr">
        <is>
          <t>帷子ノ辻</t>
        </is>
      </c>
      <c r="H9723" s="10" t="inlineStr">
        <is>
          <t>発</t>
        </is>
      </c>
      <c r="J9723" s="10" t="inlineStr">
        <is>
          <t>営業</t>
        </is>
      </c>
      <c r="L9723" t="inlineStr">
        <is>
          <t>19:08:20</t>
        </is>
      </c>
      <c r="M9723" t="inlineStr">
        <is>
          <t>19:09:40</t>
        </is>
      </c>
      <c r="P9723" t="inlineStr">
        <is>
          <t>F系統(日中)</t>
        </is>
      </c>
    </row>
    <row r="9724" ht="16.5" customHeight="1" s="37">
      <c r="A9724" t="n">
        <v>9</v>
      </c>
      <c r="B9724" s="10" t="inlineStr">
        <is>
          <t>平日</t>
        </is>
      </c>
      <c r="C9724" s="10" t="inlineStr">
        <is>
          <t>本線</t>
        </is>
      </c>
      <c r="D9724" s="10" t="inlineStr">
        <is>
          <t>下り</t>
        </is>
      </c>
      <c r="E9724" s="10" t="inlineStr">
        <is>
          <t>連1811</t>
        </is>
      </c>
      <c r="F9724" t="inlineStr">
        <is>
          <t>0122</t>
        </is>
      </c>
      <c r="G9724" s="10" t="inlineStr">
        <is>
          <t>有栖川</t>
        </is>
      </c>
      <c r="H9724" s="10" t="inlineStr">
        <is>
          <t>発</t>
        </is>
      </c>
      <c r="J9724" s="10" t="inlineStr">
        <is>
          <t>営業</t>
        </is>
      </c>
      <c r="L9724" t="inlineStr">
        <is>
          <t>19:10:50</t>
        </is>
      </c>
      <c r="M9724" t="inlineStr">
        <is>
          <t>19:11:15</t>
        </is>
      </c>
      <c r="P9724" t="inlineStr">
        <is>
          <t>F系統(日中)</t>
        </is>
      </c>
    </row>
    <row r="9725" ht="16.5" customHeight="1" s="37">
      <c r="A9725" t="n">
        <v>9</v>
      </c>
      <c r="B9725" s="10" t="inlineStr">
        <is>
          <t>平日</t>
        </is>
      </c>
      <c r="C9725" s="10" t="inlineStr">
        <is>
          <t>本線</t>
        </is>
      </c>
      <c r="D9725" s="10" t="inlineStr">
        <is>
          <t>下り</t>
        </is>
      </c>
      <c r="E9725" s="10" t="inlineStr">
        <is>
          <t>連1811</t>
        </is>
      </c>
      <c r="F9725" t="inlineStr">
        <is>
          <t>0122</t>
        </is>
      </c>
      <c r="G9725" s="10" t="inlineStr">
        <is>
          <t>車折</t>
        </is>
      </c>
      <c r="H9725" s="10" t="inlineStr">
        <is>
          <t>発</t>
        </is>
      </c>
      <c r="J9725" s="10" t="inlineStr">
        <is>
          <t>営業</t>
        </is>
      </c>
      <c r="L9725" t="inlineStr">
        <is>
          <t>19:12:40</t>
        </is>
      </c>
      <c r="M9725" t="inlineStr">
        <is>
          <t>19:13:05</t>
        </is>
      </c>
      <c r="P9725" t="inlineStr">
        <is>
          <t>F系統(日中)</t>
        </is>
      </c>
    </row>
    <row r="9726" ht="16.5" customHeight="1" s="37">
      <c r="A9726" t="n">
        <v>9</v>
      </c>
      <c r="B9726" s="10" t="inlineStr">
        <is>
          <t>平日</t>
        </is>
      </c>
      <c r="C9726" s="10" t="inlineStr">
        <is>
          <t>本線</t>
        </is>
      </c>
      <c r="D9726" s="10" t="inlineStr">
        <is>
          <t>下り</t>
        </is>
      </c>
      <c r="E9726" s="10" t="inlineStr">
        <is>
          <t>連1811</t>
        </is>
      </c>
      <c r="F9726" t="inlineStr">
        <is>
          <t>0122</t>
        </is>
      </c>
      <c r="G9726" s="10" t="inlineStr">
        <is>
          <t>鹿王院</t>
        </is>
      </c>
      <c r="H9726" s="10" t="inlineStr">
        <is>
          <t>発</t>
        </is>
      </c>
      <c r="J9726" s="10" t="inlineStr">
        <is>
          <t>営業</t>
        </is>
      </c>
      <c r="L9726" t="inlineStr">
        <is>
          <t>19:14:00</t>
        </is>
      </c>
      <c r="M9726" t="inlineStr">
        <is>
          <t>19:14:25</t>
        </is>
      </c>
      <c r="P9726" t="inlineStr">
        <is>
          <t>F系統(日中)</t>
        </is>
      </c>
    </row>
    <row r="9727" ht="16.5" customHeight="1" s="37">
      <c r="A9727" t="n">
        <v>9</v>
      </c>
      <c r="B9727" s="10" t="inlineStr">
        <is>
          <t>平日</t>
        </is>
      </c>
      <c r="C9727" s="10" t="inlineStr">
        <is>
          <t>本線</t>
        </is>
      </c>
      <c r="D9727" s="10" t="inlineStr">
        <is>
          <t>下り</t>
        </is>
      </c>
      <c r="E9727" s="10" t="inlineStr">
        <is>
          <t>連1811</t>
        </is>
      </c>
      <c r="F9727" t="inlineStr">
        <is>
          <t>0122</t>
        </is>
      </c>
      <c r="G9727" s="10" t="inlineStr">
        <is>
          <t>嵯峨</t>
        </is>
      </c>
      <c r="H9727" s="10" t="inlineStr">
        <is>
          <t>発</t>
        </is>
      </c>
      <c r="J9727" s="10" t="inlineStr">
        <is>
          <t>営業</t>
        </is>
      </c>
      <c r="L9727" t="inlineStr">
        <is>
          <t>19:15:30</t>
        </is>
      </c>
      <c r="M9727" t="inlineStr">
        <is>
          <t>19:15:55</t>
        </is>
      </c>
      <c r="P9727" t="inlineStr">
        <is>
          <t>F系統(日中)</t>
        </is>
      </c>
    </row>
    <row r="9728" ht="16.5" customHeight="1" s="37">
      <c r="A9728" t="n">
        <v>9</v>
      </c>
      <c r="B9728" s="10" t="inlineStr">
        <is>
          <t>平日</t>
        </is>
      </c>
      <c r="C9728" s="10" t="inlineStr">
        <is>
          <t>本線</t>
        </is>
      </c>
      <c r="D9728" s="10" t="inlineStr">
        <is>
          <t>下り</t>
        </is>
      </c>
      <c r="E9728" s="10" t="inlineStr">
        <is>
          <t>連1811</t>
        </is>
      </c>
      <c r="F9728" t="inlineStr">
        <is>
          <t>0122</t>
        </is>
      </c>
      <c r="G9728" s="10" t="inlineStr">
        <is>
          <t>嵐山</t>
        </is>
      </c>
      <c r="H9728" s="10" t="inlineStr">
        <is>
          <t>着</t>
        </is>
      </c>
      <c r="J9728" s="10" t="inlineStr">
        <is>
          <t>営業</t>
        </is>
      </c>
      <c r="L9728" t="inlineStr">
        <is>
          <t>19:17:00</t>
        </is>
      </c>
      <c r="N9728" t="inlineStr">
        <is>
          <t>○</t>
        </is>
      </c>
      <c r="P9728" t="inlineStr">
        <is>
          <t>F系統(日中)</t>
        </is>
      </c>
      <c r="Q9728" t="inlineStr">
        <is>
          <t>1</t>
        </is>
      </c>
    </row>
    <row r="9729" ht="16.5" customHeight="1" s="37">
      <c r="A9729" t="n">
        <v>9</v>
      </c>
      <c r="B9729" s="10" t="inlineStr">
        <is>
          <t>平日</t>
        </is>
      </c>
      <c r="C9729" s="10" t="inlineStr">
        <is>
          <t>本線</t>
        </is>
      </c>
      <c r="D9729" s="10" t="inlineStr">
        <is>
          <t>上り</t>
        </is>
      </c>
      <c r="E9729" s="10" t="inlineStr">
        <is>
          <t>連1906</t>
        </is>
      </c>
      <c r="F9729" t="inlineStr">
        <is>
          <t>2221</t>
        </is>
      </c>
      <c r="G9729" s="10" t="inlineStr">
        <is>
          <t>嵐山</t>
        </is>
      </c>
      <c r="H9729" s="10" t="inlineStr">
        <is>
          <t>発</t>
        </is>
      </c>
      <c r="J9729" s="10" t="inlineStr">
        <is>
          <t>営業</t>
        </is>
      </c>
      <c r="M9729" t="inlineStr">
        <is>
          <t>19:23:00</t>
        </is>
      </c>
      <c r="P9729" t="inlineStr">
        <is>
          <t>F系統(日中)</t>
        </is>
      </c>
      <c r="Q9729" t="inlineStr">
        <is>
          <t>1</t>
        </is>
      </c>
    </row>
    <row r="9730" ht="16.5" customHeight="1" s="37">
      <c r="A9730" t="n">
        <v>9</v>
      </c>
      <c r="B9730" s="10" t="inlineStr">
        <is>
          <t>平日</t>
        </is>
      </c>
      <c r="C9730" s="10" t="inlineStr">
        <is>
          <t>本線</t>
        </is>
      </c>
      <c r="D9730" s="10" t="inlineStr">
        <is>
          <t>上り</t>
        </is>
      </c>
      <c r="E9730" s="10" t="inlineStr">
        <is>
          <t>連1906</t>
        </is>
      </c>
      <c r="F9730" t="inlineStr">
        <is>
          <t>2221</t>
        </is>
      </c>
      <c r="G9730" s="10" t="inlineStr">
        <is>
          <t>嵯峨</t>
        </is>
      </c>
      <c r="H9730" s="10" t="inlineStr">
        <is>
          <t>発</t>
        </is>
      </c>
      <c r="J9730" s="10" t="inlineStr">
        <is>
          <t>営業</t>
        </is>
      </c>
      <c r="L9730" t="inlineStr">
        <is>
          <t>19:23:55</t>
        </is>
      </c>
      <c r="M9730" t="inlineStr">
        <is>
          <t>19:24:20</t>
        </is>
      </c>
      <c r="P9730" t="inlineStr">
        <is>
          <t>F系統(日中)</t>
        </is>
      </c>
    </row>
    <row r="9731" ht="16.5" customHeight="1" s="37">
      <c r="A9731" t="n">
        <v>9</v>
      </c>
      <c r="B9731" s="10" t="inlineStr">
        <is>
          <t>平日</t>
        </is>
      </c>
      <c r="C9731" s="10" t="inlineStr">
        <is>
          <t>本線</t>
        </is>
      </c>
      <c r="D9731" s="10" t="inlineStr">
        <is>
          <t>上り</t>
        </is>
      </c>
      <c r="E9731" s="10" t="inlineStr">
        <is>
          <t>連1906</t>
        </is>
      </c>
      <c r="F9731" t="inlineStr">
        <is>
          <t>2221</t>
        </is>
      </c>
      <c r="G9731" s="10" t="inlineStr">
        <is>
          <t>鹿王院</t>
        </is>
      </c>
      <c r="H9731" s="10" t="inlineStr">
        <is>
          <t>発</t>
        </is>
      </c>
      <c r="J9731" s="10" t="inlineStr">
        <is>
          <t>営業</t>
        </is>
      </c>
      <c r="L9731" t="inlineStr">
        <is>
          <t>19:25:25</t>
        </is>
      </c>
      <c r="M9731" t="inlineStr">
        <is>
          <t>19:25:45</t>
        </is>
      </c>
      <c r="P9731" t="inlineStr">
        <is>
          <t>F系統(日中)</t>
        </is>
      </c>
    </row>
    <row r="9732" ht="16.5" customHeight="1" s="37">
      <c r="A9732" t="n">
        <v>9</v>
      </c>
      <c r="B9732" s="10" t="inlineStr">
        <is>
          <t>平日</t>
        </is>
      </c>
      <c r="C9732" s="10" t="inlineStr">
        <is>
          <t>本線</t>
        </is>
      </c>
      <c r="D9732" s="10" t="inlineStr">
        <is>
          <t>上り</t>
        </is>
      </c>
      <c r="E9732" s="10" t="inlineStr">
        <is>
          <t>連1906</t>
        </is>
      </c>
      <c r="F9732" t="inlineStr">
        <is>
          <t>2221</t>
        </is>
      </c>
      <c r="G9732" s="10" t="inlineStr">
        <is>
          <t>車折</t>
        </is>
      </c>
      <c r="H9732" s="10" t="inlineStr">
        <is>
          <t>発</t>
        </is>
      </c>
      <c r="J9732" s="10" t="inlineStr">
        <is>
          <t>営業</t>
        </is>
      </c>
      <c r="L9732" t="inlineStr">
        <is>
          <t>19:26:40</t>
        </is>
      </c>
      <c r="M9732" t="inlineStr">
        <is>
          <t>19:27:10</t>
        </is>
      </c>
      <c r="P9732" t="inlineStr">
        <is>
          <t>F系統(日中)</t>
        </is>
      </c>
    </row>
    <row r="9733" ht="16.5" customHeight="1" s="37">
      <c r="A9733" t="n">
        <v>9</v>
      </c>
      <c r="B9733" s="10" t="inlineStr">
        <is>
          <t>平日</t>
        </is>
      </c>
      <c r="C9733" s="10" t="inlineStr">
        <is>
          <t>本線</t>
        </is>
      </c>
      <c r="D9733" s="10" t="inlineStr">
        <is>
          <t>上り</t>
        </is>
      </c>
      <c r="E9733" s="10" t="inlineStr">
        <is>
          <t>連1906</t>
        </is>
      </c>
      <c r="F9733" t="inlineStr">
        <is>
          <t>2221</t>
        </is>
      </c>
      <c r="G9733" s="10" t="inlineStr">
        <is>
          <t>有栖川</t>
        </is>
      </c>
      <c r="H9733" s="10" t="inlineStr">
        <is>
          <t>発</t>
        </is>
      </c>
      <c r="J9733" s="10" t="inlineStr">
        <is>
          <t>営業</t>
        </is>
      </c>
      <c r="L9733" t="inlineStr">
        <is>
          <t>19:28:35</t>
        </is>
      </c>
      <c r="M9733" t="inlineStr">
        <is>
          <t>19:28:55</t>
        </is>
      </c>
      <c r="P9733" t="inlineStr">
        <is>
          <t>F系統(日中)</t>
        </is>
      </c>
    </row>
    <row r="9734" ht="16.5" customHeight="1" s="37">
      <c r="A9734" t="n">
        <v>9</v>
      </c>
      <c r="B9734" s="10" t="inlineStr">
        <is>
          <t>平日</t>
        </is>
      </c>
      <c r="C9734" s="10" t="inlineStr">
        <is>
          <t>本線</t>
        </is>
      </c>
      <c r="D9734" s="10" t="inlineStr">
        <is>
          <t>上り</t>
        </is>
      </c>
      <c r="E9734" s="10" t="inlineStr">
        <is>
          <t>連1906</t>
        </is>
      </c>
      <c r="F9734" t="inlineStr">
        <is>
          <t>2221</t>
        </is>
      </c>
      <c r="G9734" s="10" t="inlineStr">
        <is>
          <t>帷子ノ辻</t>
        </is>
      </c>
      <c r="H9734" s="10" t="inlineStr">
        <is>
          <t>発</t>
        </is>
      </c>
      <c r="J9734" s="10" t="inlineStr">
        <is>
          <t>営業</t>
        </is>
      </c>
      <c r="L9734" t="inlineStr">
        <is>
          <t>19:30:10</t>
        </is>
      </c>
      <c r="M9734" t="inlineStr">
        <is>
          <t>19:31:15</t>
        </is>
      </c>
      <c r="P9734" t="inlineStr">
        <is>
          <t>F系統(日中)</t>
        </is>
      </c>
    </row>
    <row r="9735" ht="16.5" customHeight="1" s="37">
      <c r="A9735" t="n">
        <v>9</v>
      </c>
      <c r="B9735" s="10" t="inlineStr">
        <is>
          <t>平日</t>
        </is>
      </c>
      <c r="C9735" s="10" t="inlineStr">
        <is>
          <t>本線</t>
        </is>
      </c>
      <c r="D9735" s="10" t="inlineStr">
        <is>
          <t>上り</t>
        </is>
      </c>
      <c r="E9735" s="10" t="inlineStr">
        <is>
          <t>連1906</t>
        </is>
      </c>
      <c r="F9735" t="inlineStr">
        <is>
          <t>2221</t>
        </is>
      </c>
      <c r="G9735" s="10" t="inlineStr">
        <is>
          <t>太秦広隆寺</t>
        </is>
      </c>
      <c r="H9735" s="10" t="inlineStr">
        <is>
          <t>発</t>
        </is>
      </c>
      <c r="J9735" s="10" t="inlineStr">
        <is>
          <t>営業</t>
        </is>
      </c>
      <c r="L9735" t="inlineStr">
        <is>
          <t>19:33:25</t>
        </is>
      </c>
      <c r="M9735" t="inlineStr">
        <is>
          <t>19:33:45</t>
        </is>
      </c>
      <c r="P9735" t="inlineStr">
        <is>
          <t>F系統(日中)</t>
        </is>
      </c>
    </row>
    <row r="9736" ht="16.5" customHeight="1" s="37">
      <c r="A9736" t="n">
        <v>9</v>
      </c>
      <c r="B9736" s="10" t="inlineStr">
        <is>
          <t>平日</t>
        </is>
      </c>
      <c r="C9736" s="10" t="inlineStr">
        <is>
          <t>本線</t>
        </is>
      </c>
      <c r="D9736" s="10" t="inlineStr">
        <is>
          <t>上り</t>
        </is>
      </c>
      <c r="E9736" s="10" t="inlineStr">
        <is>
          <t>連1906</t>
        </is>
      </c>
      <c r="F9736" t="inlineStr">
        <is>
          <t>2221</t>
        </is>
      </c>
      <c r="G9736" s="10" t="inlineStr">
        <is>
          <t>蚕ノ社</t>
        </is>
      </c>
      <c r="H9736" s="10" t="inlineStr">
        <is>
          <t>発</t>
        </is>
      </c>
      <c r="J9736" s="10" t="inlineStr">
        <is>
          <t>営業</t>
        </is>
      </c>
      <c r="L9736" t="inlineStr">
        <is>
          <t>19:35:00</t>
        </is>
      </c>
      <c r="M9736" t="inlineStr">
        <is>
          <t>19:35:20</t>
        </is>
      </c>
      <c r="P9736" t="inlineStr">
        <is>
          <t>F系統(日中)</t>
        </is>
      </c>
    </row>
    <row r="9737" ht="16.5" customHeight="1" s="37">
      <c r="A9737" t="n">
        <v>9</v>
      </c>
      <c r="B9737" s="10" t="inlineStr">
        <is>
          <t>平日</t>
        </is>
      </c>
      <c r="C9737" s="10" t="inlineStr">
        <is>
          <t>本線</t>
        </is>
      </c>
      <c r="D9737" s="10" t="inlineStr">
        <is>
          <t>上り</t>
        </is>
      </c>
      <c r="E9737" s="10" t="inlineStr">
        <is>
          <t>連1906</t>
        </is>
      </c>
      <c r="F9737" t="inlineStr">
        <is>
          <t>2221</t>
        </is>
      </c>
      <c r="G9737" s="10" t="inlineStr">
        <is>
          <t>天神川</t>
        </is>
      </c>
      <c r="H9737" s="10" t="inlineStr">
        <is>
          <t>発</t>
        </is>
      </c>
      <c r="J9737" s="10" t="inlineStr">
        <is>
          <t>営業</t>
        </is>
      </c>
      <c r="L9737" t="inlineStr">
        <is>
          <t>19:36:05</t>
        </is>
      </c>
      <c r="M9737" t="inlineStr">
        <is>
          <t>19:36:50</t>
        </is>
      </c>
      <c r="P9737" t="inlineStr">
        <is>
          <t>F系統(日中)</t>
        </is>
      </c>
    </row>
    <row r="9738" ht="16.5" customHeight="1" s="37">
      <c r="A9738" t="n">
        <v>9</v>
      </c>
      <c r="B9738" s="10" t="inlineStr">
        <is>
          <t>平日</t>
        </is>
      </c>
      <c r="C9738" s="10" t="inlineStr">
        <is>
          <t>本線</t>
        </is>
      </c>
      <c r="D9738" s="10" t="inlineStr">
        <is>
          <t>上り</t>
        </is>
      </c>
      <c r="E9738" s="10" t="inlineStr">
        <is>
          <t>連1906</t>
        </is>
      </c>
      <c r="F9738" t="inlineStr">
        <is>
          <t>2221</t>
        </is>
      </c>
      <c r="G9738" s="10" t="inlineStr">
        <is>
          <t>山ノ内</t>
        </is>
      </c>
      <c r="H9738" s="10" t="inlineStr">
        <is>
          <t>発</t>
        </is>
      </c>
      <c r="J9738" s="10" t="inlineStr">
        <is>
          <t>営業</t>
        </is>
      </c>
      <c r="L9738" t="inlineStr">
        <is>
          <t>19:38:40</t>
        </is>
      </c>
      <c r="M9738" t="inlineStr">
        <is>
          <t>19:39:05</t>
        </is>
      </c>
      <c r="P9738" t="inlineStr">
        <is>
          <t>F系統(日中)</t>
        </is>
      </c>
    </row>
    <row r="9739" ht="16.5" customHeight="1" s="37">
      <c r="A9739" t="n">
        <v>9</v>
      </c>
      <c r="B9739" s="10" t="inlineStr">
        <is>
          <t>平日</t>
        </is>
      </c>
      <c r="C9739" s="10" t="inlineStr">
        <is>
          <t>本線</t>
        </is>
      </c>
      <c r="D9739" s="10" t="inlineStr">
        <is>
          <t>上り</t>
        </is>
      </c>
      <c r="E9739" s="10" t="inlineStr">
        <is>
          <t>連1906</t>
        </is>
      </c>
      <c r="F9739" t="inlineStr">
        <is>
          <t>2221</t>
        </is>
      </c>
      <c r="G9739" s="10" t="inlineStr">
        <is>
          <t>西大路三条</t>
        </is>
      </c>
      <c r="H9739" s="10" t="inlineStr">
        <is>
          <t>発</t>
        </is>
      </c>
      <c r="J9739" s="10" t="inlineStr">
        <is>
          <t>営業</t>
        </is>
      </c>
      <c r="L9739" t="inlineStr">
        <is>
          <t>19:40:55</t>
        </is>
      </c>
      <c r="M9739" t="inlineStr">
        <is>
          <t>19:41:15</t>
        </is>
      </c>
      <c r="P9739" t="inlineStr">
        <is>
          <t>F系統(日中)</t>
        </is>
      </c>
    </row>
    <row r="9740" ht="16.5" customHeight="1" s="37">
      <c r="A9740" t="n">
        <v>9</v>
      </c>
      <c r="B9740" s="10" t="inlineStr">
        <is>
          <t>平日</t>
        </is>
      </c>
      <c r="C9740" s="10" t="inlineStr">
        <is>
          <t>本線</t>
        </is>
      </c>
      <c r="D9740" s="10" t="inlineStr">
        <is>
          <t>上り</t>
        </is>
      </c>
      <c r="E9740" s="10" t="inlineStr">
        <is>
          <t>連1906</t>
        </is>
      </c>
      <c r="F9740" t="inlineStr">
        <is>
          <t>2221</t>
        </is>
      </c>
      <c r="G9740" s="10" t="inlineStr">
        <is>
          <t>西院</t>
        </is>
      </c>
      <c r="H9740" s="10" t="inlineStr">
        <is>
          <t>発</t>
        </is>
      </c>
      <c r="J9740" s="10" t="inlineStr">
        <is>
          <t>営業</t>
        </is>
      </c>
      <c r="L9740" t="inlineStr">
        <is>
          <t>19:43:10</t>
        </is>
      </c>
      <c r="M9740" t="inlineStr">
        <is>
          <t>19:44:05</t>
        </is>
      </c>
      <c r="P9740" t="inlineStr">
        <is>
          <t>F系統(日中)</t>
        </is>
      </c>
    </row>
    <row r="9741" ht="16.5" customHeight="1" s="37">
      <c r="A9741" t="n">
        <v>9</v>
      </c>
      <c r="B9741" s="10" t="inlineStr">
        <is>
          <t>平日</t>
        </is>
      </c>
      <c r="C9741" s="10" t="inlineStr">
        <is>
          <t>本線</t>
        </is>
      </c>
      <c r="D9741" s="10" t="inlineStr">
        <is>
          <t>上り</t>
        </is>
      </c>
      <c r="E9741" s="10" t="inlineStr">
        <is>
          <t>連1906</t>
        </is>
      </c>
      <c r="F9741" t="inlineStr">
        <is>
          <t>2221</t>
        </is>
      </c>
      <c r="G9741" s="10" t="inlineStr">
        <is>
          <t>四条大宮</t>
        </is>
      </c>
      <c r="H9741" s="10" t="inlineStr">
        <is>
          <t>着</t>
        </is>
      </c>
      <c r="J9741" s="10" t="inlineStr">
        <is>
          <t>営業</t>
        </is>
      </c>
      <c r="L9741" t="inlineStr">
        <is>
          <t>19:47:00</t>
        </is>
      </c>
      <c r="P9741" t="inlineStr">
        <is>
          <t>F系統(日中)</t>
        </is>
      </c>
      <c r="Q9741" t="inlineStr">
        <is>
          <t>1</t>
        </is>
      </c>
    </row>
    <row r="9742" ht="16.5" customHeight="1" s="37">
      <c r="A9742" t="n">
        <v>9</v>
      </c>
      <c r="B9742" s="10" t="inlineStr">
        <is>
          <t>平日</t>
        </is>
      </c>
      <c r="C9742" s="10" t="inlineStr">
        <is>
          <t>本線</t>
        </is>
      </c>
      <c r="D9742" s="10" t="inlineStr">
        <is>
          <t>下り</t>
        </is>
      </c>
      <c r="E9742" s="10" t="inlineStr">
        <is>
          <t>連1911</t>
        </is>
      </c>
      <c r="F9742" t="inlineStr">
        <is>
          <t>0122</t>
        </is>
      </c>
      <c r="G9742" s="10" t="inlineStr">
        <is>
          <t>四条大宮</t>
        </is>
      </c>
      <c r="H9742" s="10" t="inlineStr">
        <is>
          <t>発</t>
        </is>
      </c>
      <c r="J9742" s="10" t="inlineStr">
        <is>
          <t>営業</t>
        </is>
      </c>
      <c r="M9742" t="inlineStr">
        <is>
          <t>19:52:00</t>
        </is>
      </c>
      <c r="P9742" t="inlineStr">
        <is>
          <t>F系統(日中)</t>
        </is>
      </c>
      <c r="Q9742" t="inlineStr">
        <is>
          <t>1</t>
        </is>
      </c>
    </row>
    <row r="9743" ht="16.5" customHeight="1" s="37">
      <c r="A9743" t="n">
        <v>9</v>
      </c>
      <c r="B9743" s="10" t="inlineStr">
        <is>
          <t>平日</t>
        </is>
      </c>
      <c r="C9743" s="10" t="inlineStr">
        <is>
          <t>本線</t>
        </is>
      </c>
      <c r="D9743" s="10" t="inlineStr">
        <is>
          <t>下り</t>
        </is>
      </c>
      <c r="E9743" s="10" t="inlineStr">
        <is>
          <t>連1911</t>
        </is>
      </c>
      <c r="F9743" t="inlineStr">
        <is>
          <t>0122</t>
        </is>
      </c>
      <c r="G9743" s="10" t="inlineStr">
        <is>
          <t>西院</t>
        </is>
      </c>
      <c r="H9743" s="10" t="inlineStr">
        <is>
          <t>着</t>
        </is>
      </c>
      <c r="J9743" s="10" t="inlineStr">
        <is>
          <t>営業</t>
        </is>
      </c>
      <c r="L9743" t="inlineStr">
        <is>
          <t>19:54:50</t>
        </is>
      </c>
      <c r="M9743" t="inlineStr">
        <is>
          <t>19:56:20</t>
        </is>
      </c>
      <c r="P9743" t="inlineStr">
        <is>
          <t>F系統(日中)</t>
        </is>
      </c>
    </row>
    <row r="9744" ht="16.5" customHeight="1" s="37">
      <c r="A9744" t="n">
        <v>13</v>
      </c>
      <c r="B9744" s="10" t="inlineStr">
        <is>
          <t>平日</t>
        </is>
      </c>
      <c r="C9744" s="10" t="inlineStr">
        <is>
          <t>本線</t>
        </is>
      </c>
      <c r="D9744" s="10" t="inlineStr">
        <is>
          <t>上り</t>
        </is>
      </c>
      <c r="E9744" t="inlineStr">
        <is>
          <t>13系統⑧便乗</t>
        </is>
      </c>
      <c r="F9744" s="10" t="inlineStr">
        <is>
          <t>便乗</t>
        </is>
      </c>
      <c r="G9744" s="10" t="inlineStr">
        <is>
          <t>西院</t>
        </is>
      </c>
      <c r="H9744" s="10" t="inlineStr">
        <is>
          <t>発</t>
        </is>
      </c>
      <c r="J9744" s="10" t="inlineStr">
        <is>
          <t>便乗</t>
        </is>
      </c>
      <c r="L9744" t="inlineStr">
        <is>
          <t>20:22:35</t>
        </is>
      </c>
      <c r="M9744" t="inlineStr">
        <is>
          <t>20:23:05</t>
        </is>
      </c>
      <c r="S9744" t="inlineStr">
        <is>
          <t>2002</t>
        </is>
      </c>
    </row>
    <row r="9745" ht="16.5" customHeight="1" s="37">
      <c r="A9745" t="n">
        <v>13</v>
      </c>
      <c r="B9745" s="10" t="inlineStr">
        <is>
          <t>平日</t>
        </is>
      </c>
      <c r="C9745" s="10" t="inlineStr">
        <is>
          <t>本線</t>
        </is>
      </c>
      <c r="D9745" s="10" t="inlineStr">
        <is>
          <t>上り</t>
        </is>
      </c>
      <c r="E9745" t="inlineStr">
        <is>
          <t>13系統⑧便乗</t>
        </is>
      </c>
      <c r="F9745" s="10" t="inlineStr">
        <is>
          <t>便乗</t>
        </is>
      </c>
      <c r="G9745" s="10" t="inlineStr">
        <is>
          <t>四条大宮</t>
        </is>
      </c>
      <c r="H9745" s="10" t="inlineStr">
        <is>
          <t>着</t>
        </is>
      </c>
      <c r="J9745" s="10" t="inlineStr">
        <is>
          <t>便乗</t>
        </is>
      </c>
      <c r="L9745" t="inlineStr">
        <is>
          <t>20:26:00</t>
        </is>
      </c>
      <c r="S9745" t="inlineStr">
        <is>
          <t>2002</t>
        </is>
      </c>
    </row>
    <row r="9746" ht="16.5" customHeight="1" s="37">
      <c r="A9746" t="n">
        <v>9</v>
      </c>
      <c r="B9746" s="10" t="inlineStr">
        <is>
          <t>平日</t>
        </is>
      </c>
      <c r="C9746" s="10" t="inlineStr">
        <is>
          <t>本線</t>
        </is>
      </c>
      <c r="D9746" s="10" t="inlineStr">
        <is>
          <t>下り</t>
        </is>
      </c>
      <c r="E9746" t="inlineStr">
        <is>
          <t>9系統⑪便乗</t>
        </is>
      </c>
      <c r="F9746" s="10" t="inlineStr">
        <is>
          <t>便乗</t>
        </is>
      </c>
      <c r="G9746" s="10" t="inlineStr">
        <is>
          <t>四条大宮</t>
        </is>
      </c>
      <c r="H9746" s="10" t="inlineStr">
        <is>
          <t>発</t>
        </is>
      </c>
      <c r="J9746" s="10" t="inlineStr">
        <is>
          <t>便乗</t>
        </is>
      </c>
      <c r="M9746" t="inlineStr">
        <is>
          <t>20:53:00</t>
        </is>
      </c>
      <c r="S9746" t="inlineStr">
        <is>
          <t>2011</t>
        </is>
      </c>
    </row>
    <row r="9747" ht="16.5" customHeight="1" s="37">
      <c r="A9747" t="n">
        <v>9</v>
      </c>
      <c r="B9747" s="10" t="inlineStr">
        <is>
          <t>平日</t>
        </is>
      </c>
      <c r="C9747" s="10" t="inlineStr">
        <is>
          <t>本線</t>
        </is>
      </c>
      <c r="D9747" s="10" t="inlineStr">
        <is>
          <t>下り</t>
        </is>
      </c>
      <c r="E9747" t="inlineStr">
        <is>
          <t>9系統⑪便乗</t>
        </is>
      </c>
      <c r="F9747" s="10" t="inlineStr">
        <is>
          <t>便乗</t>
        </is>
      </c>
      <c r="G9747" s="10" t="inlineStr">
        <is>
          <t>西院</t>
        </is>
      </c>
      <c r="H9747" s="10" t="inlineStr">
        <is>
          <t>着</t>
        </is>
      </c>
      <c r="J9747" s="10" t="inlineStr">
        <is>
          <t>便乗</t>
        </is>
      </c>
      <c r="L9747" t="inlineStr">
        <is>
          <t>20:55:50</t>
        </is>
      </c>
      <c r="M9747" t="inlineStr">
        <is>
          <t>20:56:20</t>
        </is>
      </c>
      <c r="S9747" t="inlineStr">
        <is>
          <t>2011</t>
        </is>
      </c>
      <c r="T9747" t="inlineStr">
        <is>
          <t>○</t>
        </is>
      </c>
    </row>
    <row r="9748">
      <c r="A9748" t="n">
        <v>12</v>
      </c>
      <c r="B9748" t="inlineStr">
        <is>
          <t>休日</t>
        </is>
      </c>
      <c r="C9748" t="inlineStr">
        <is>
          <t>本線</t>
        </is>
      </c>
      <c r="D9748" t="inlineStr">
        <is>
          <t>上り</t>
        </is>
      </c>
      <c r="E9748" t="inlineStr">
        <is>
          <t>2002</t>
        </is>
      </c>
      <c r="G9748" t="inlineStr">
        <is>
          <t>西院</t>
        </is>
      </c>
      <c r="H9748" t="inlineStr">
        <is>
          <t>発</t>
        </is>
      </c>
      <c r="J9748" t="inlineStr">
        <is>
          <t>営業</t>
        </is>
      </c>
      <c r="L9748" t="inlineStr">
        <is>
          <t>20:22:35</t>
        </is>
      </c>
      <c r="M9748" t="inlineStr">
        <is>
          <t>20:23:05</t>
        </is>
      </c>
    </row>
    <row r="9749">
      <c r="A9749" t="n">
        <v>12</v>
      </c>
      <c r="B9749" t="inlineStr">
        <is>
          <t>休日</t>
        </is>
      </c>
      <c r="C9749" t="inlineStr">
        <is>
          <t>本線</t>
        </is>
      </c>
      <c r="D9749" t="inlineStr">
        <is>
          <t>上り</t>
        </is>
      </c>
      <c r="E9749" t="inlineStr">
        <is>
          <t>2002</t>
        </is>
      </c>
      <c r="G9749" t="inlineStr">
        <is>
          <t>四条大宮</t>
        </is>
      </c>
      <c r="H9749" t="inlineStr">
        <is>
          <t>着</t>
        </is>
      </c>
      <c r="J9749" t="inlineStr">
        <is>
          <t>営業</t>
        </is>
      </c>
      <c r="L9749" t="inlineStr">
        <is>
          <t>20:26:00</t>
        </is>
      </c>
    </row>
    <row r="9750">
      <c r="A9750" t="n">
        <v>14</v>
      </c>
      <c r="B9750" t="inlineStr">
        <is>
          <t>休日</t>
        </is>
      </c>
      <c r="C9750" t="inlineStr">
        <is>
          <t>本線</t>
        </is>
      </c>
      <c r="D9750" t="inlineStr">
        <is>
          <t>上り</t>
        </is>
      </c>
      <c r="E9750" t="inlineStr">
        <is>
          <t>2010</t>
        </is>
      </c>
      <c r="G9750" t="inlineStr">
        <is>
          <t>西院</t>
        </is>
      </c>
      <c r="H9750" t="inlineStr">
        <is>
          <t>発</t>
        </is>
      </c>
      <c r="J9750" t="inlineStr">
        <is>
          <t>営業</t>
        </is>
      </c>
      <c r="L9750" t="inlineStr">
        <is>
          <t>21:02:35</t>
        </is>
      </c>
      <c r="M9750" t="inlineStr">
        <is>
          <t>21:03:05</t>
        </is>
      </c>
    </row>
    <row r="9751">
      <c r="A9751" t="n">
        <v>14</v>
      </c>
      <c r="B9751" t="inlineStr">
        <is>
          <t>休日</t>
        </is>
      </c>
      <c r="C9751" t="inlineStr">
        <is>
          <t>本線</t>
        </is>
      </c>
      <c r="D9751" t="inlineStr">
        <is>
          <t>上り</t>
        </is>
      </c>
      <c r="E9751" t="inlineStr">
        <is>
          <t>2010</t>
        </is>
      </c>
      <c r="G9751" t="inlineStr">
        <is>
          <t>四条大宮</t>
        </is>
      </c>
      <c r="H9751" t="inlineStr">
        <is>
          <t>着</t>
        </is>
      </c>
      <c r="J9751" t="inlineStr">
        <is>
          <t>営業</t>
        </is>
      </c>
      <c r="L9751" t="inlineStr">
        <is>
          <t>21:06:00</t>
        </is>
      </c>
    </row>
    <row r="9752">
      <c r="A9752" t="n">
        <v>15</v>
      </c>
      <c r="B9752" t="inlineStr">
        <is>
          <t>休日</t>
        </is>
      </c>
      <c r="C9752" t="inlineStr">
        <is>
          <t>本線</t>
        </is>
      </c>
      <c r="D9752" t="inlineStr">
        <is>
          <t>上り</t>
        </is>
      </c>
      <c r="E9752" t="inlineStr">
        <is>
          <t>2112</t>
        </is>
      </c>
      <c r="G9752" t="inlineStr">
        <is>
          <t>西院</t>
        </is>
      </c>
      <c r="H9752" t="inlineStr">
        <is>
          <t>発</t>
        </is>
      </c>
      <c r="J9752" t="inlineStr">
        <is>
          <t>営業</t>
        </is>
      </c>
      <c r="L9752" t="inlineStr">
        <is>
          <t>22:14:35</t>
        </is>
      </c>
      <c r="M9752" t="inlineStr">
        <is>
          <t>22:15:05</t>
        </is>
      </c>
    </row>
    <row r="9753">
      <c r="A9753" t="n">
        <v>15</v>
      </c>
      <c r="B9753" t="inlineStr">
        <is>
          <t>休日</t>
        </is>
      </c>
      <c r="C9753" t="inlineStr">
        <is>
          <t>本線</t>
        </is>
      </c>
      <c r="D9753" t="inlineStr">
        <is>
          <t>上り</t>
        </is>
      </c>
      <c r="E9753" t="inlineStr">
        <is>
          <t>2112</t>
        </is>
      </c>
      <c r="G9753" t="inlineStr">
        <is>
          <t>四条大宮</t>
        </is>
      </c>
      <c r="H9753" t="inlineStr">
        <is>
          <t>着</t>
        </is>
      </c>
      <c r="J9753" t="inlineStr">
        <is>
          <t>営業</t>
        </is>
      </c>
      <c r="L9753" t="inlineStr">
        <is>
          <t>22:18:00</t>
        </is>
      </c>
    </row>
  </sheetData>
  <autoFilter ref="A1:G1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zoomScaleNormal="100" workbookViewId="0">
      <pane ySplit="4" topLeftCell="A5" activePane="bottomLeft" state="frozen"/>
      <selection pane="bottomLeft" activeCell="A1" sqref="A1:I1"/>
    </sheetView>
  </sheetViews>
  <sheetFormatPr baseColWidth="8" defaultColWidth="8.7109375" defaultRowHeight="15"/>
  <cols>
    <col width="8" customWidth="1" style="37" min="1" max="1"/>
    <col width="7" customWidth="1" style="37" min="2" max="2"/>
    <col width="8" customWidth="1" style="37" min="3" max="5"/>
    <col width="11" customWidth="1" style="37" min="6" max="6"/>
    <col width="8" customWidth="1" style="37" min="7" max="7"/>
    <col width="11" customWidth="1" style="37" min="8" max="8"/>
    <col width="8" customWidth="1" style="37" min="9" max="9"/>
    <col width="12" customWidth="1" style="37" min="10" max="10"/>
  </cols>
  <sheetData>
    <row r="1" ht="15.75" customHeight="1" s="37">
      <c r="A1" s="38" t="inlineStr">
        <is>
          <t>休憩マスタ（事前計算済み）</t>
        </is>
      </c>
    </row>
    <row r="2" ht="13.5" customHeight="1" s="37">
      <c r="A2" s="36" t="inlineStr">
        <is>
          <t>休憩=系統内連続イベント間の空き。西院10分以上(本線)/帷子ノ辻26分以上(北野線)。嵐山・四条大宮・北野白梅町の折返除外。120分以上=中休勤務(退勤)。</t>
        </is>
      </c>
    </row>
    <row r="4" ht="15" customHeight="1" s="37">
      <c r="A4" s="8" t="inlineStr">
        <is>
          <t>ダイヤ</t>
        </is>
      </c>
      <c r="B4" s="8" t="inlineStr">
        <is>
          <t>系統</t>
        </is>
      </c>
      <c r="C4" s="8" t="inlineStr">
        <is>
          <t>開始</t>
        </is>
      </c>
      <c r="D4" s="8" t="inlineStr">
        <is>
          <t>終了</t>
        </is>
      </c>
      <c r="E4" s="8" t="inlineStr">
        <is>
          <t>所要分</t>
        </is>
      </c>
      <c r="F4" s="8" t="inlineStr">
        <is>
          <t>交代駅</t>
        </is>
      </c>
      <c r="G4" s="8" t="inlineStr">
        <is>
          <t>路線</t>
        </is>
      </c>
      <c r="H4" s="8" t="inlineStr">
        <is>
          <t>区分</t>
        </is>
      </c>
      <c r="I4" s="8" t="inlineStr">
        <is>
          <t>当日順位</t>
        </is>
      </c>
      <c r="J4" s="21" t="inlineStr">
        <is>
          <t>担当運転士</t>
        </is>
      </c>
    </row>
    <row r="5" ht="15" customHeight="1" s="37">
      <c r="A5" s="22" t="inlineStr">
        <is>
          <t>休日</t>
        </is>
      </c>
      <c r="B5" s="22" t="n">
        <v>1</v>
      </c>
      <c r="C5" s="23" t="inlineStr">
        <is>
          <t>08:26</t>
        </is>
      </c>
      <c r="D5" s="23" t="inlineStr">
        <is>
          <t>09:46</t>
        </is>
      </c>
      <c r="E5" s="22" t="n">
        <v>80</v>
      </c>
      <c r="F5" s="22" t="inlineStr">
        <is>
          <t>西院</t>
        </is>
      </c>
      <c r="G5" s="22" t="inlineStr">
        <is>
          <t>本線</t>
        </is>
      </c>
      <c r="H5" s="22" t="inlineStr">
        <is>
          <t>休憩</t>
        </is>
      </c>
      <c r="I5">
        <f>IF(A5=当日早見表!$B$3,COUNTIF($A$5:$A5,当日早見表!$B$3),"")</f>
        <v/>
      </c>
      <c r="J5">
        <f>IFERROR(INDEX(当日早見表!$B$7:$B$44,MATCH(B5&amp;"系統",当日早見表!$A$7:$A$44,0)),"")</f>
        <v/>
      </c>
    </row>
    <row r="6" ht="15" customHeight="1" s="37">
      <c r="A6" s="22" t="inlineStr">
        <is>
          <t>休日</t>
        </is>
      </c>
      <c r="B6" s="22" t="n">
        <v>16</v>
      </c>
      <c r="C6" s="23" t="inlineStr">
        <is>
          <t>08:44</t>
        </is>
      </c>
      <c r="D6" s="23" t="inlineStr">
        <is>
          <t>09:46</t>
        </is>
      </c>
      <c r="E6" s="22" t="n">
        <v>62</v>
      </c>
      <c r="F6" s="22" t="inlineStr">
        <is>
          <t>帷子ノ辻</t>
        </is>
      </c>
      <c r="G6" s="22" t="inlineStr">
        <is>
          <t>北野線</t>
        </is>
      </c>
      <c r="H6" s="22" t="inlineStr">
        <is>
          <t>休憩</t>
        </is>
      </c>
      <c r="I6">
        <f>IF(A6=当日早見表!$B$3,COUNTIF($A$5:$A6,当日早見表!$B$3),"")</f>
        <v/>
      </c>
      <c r="J6">
        <f>IFERROR(INDEX(当日早見表!$B$7:$B$44,MATCH(B6&amp;"系統",当日早見表!$A$7:$A$44,0)),"")</f>
        <v/>
      </c>
    </row>
    <row r="7" ht="15" customHeight="1" s="37">
      <c r="A7" s="22" t="inlineStr">
        <is>
          <t>休日</t>
        </is>
      </c>
      <c r="B7" s="22" t="n">
        <v>3</v>
      </c>
      <c r="C7" s="23" t="inlineStr">
        <is>
          <t>08:56</t>
        </is>
      </c>
      <c r="D7" s="23" t="inlineStr">
        <is>
          <t>10:16</t>
        </is>
      </c>
      <c r="E7" s="22" t="n">
        <v>80</v>
      </c>
      <c r="F7" s="22" t="inlineStr">
        <is>
          <t>西院</t>
        </is>
      </c>
      <c r="G7" s="22" t="inlineStr">
        <is>
          <t>本線</t>
        </is>
      </c>
      <c r="H7" s="22" t="inlineStr">
        <is>
          <t>休憩</t>
        </is>
      </c>
      <c r="I7">
        <f>IF(A7=当日早見表!$B$3,COUNTIF($A$5:$A7,当日早見表!$B$3),"")</f>
        <v/>
      </c>
      <c r="J7">
        <f>IFERROR(INDEX(当日早見表!$B$7:$B$44,MATCH(B7&amp;"系統",当日早見表!$A$7:$A$44,0)),"")</f>
        <v/>
      </c>
    </row>
    <row r="8" ht="15" customHeight="1" s="37">
      <c r="A8" s="22" t="inlineStr">
        <is>
          <t>休日</t>
        </is>
      </c>
      <c r="B8" s="22" t="n">
        <v>17</v>
      </c>
      <c r="C8" s="23" t="inlineStr">
        <is>
          <t>09:34</t>
        </is>
      </c>
      <c r="D8" s="23" t="inlineStr">
        <is>
          <t>10:36</t>
        </is>
      </c>
      <c r="E8" s="22" t="n">
        <v>62</v>
      </c>
      <c r="F8" s="22" t="inlineStr">
        <is>
          <t>帷子ノ辻</t>
        </is>
      </c>
      <c r="G8" s="22" t="inlineStr">
        <is>
          <t>北野線</t>
        </is>
      </c>
      <c r="H8" s="22" t="inlineStr">
        <is>
          <t>休憩</t>
        </is>
      </c>
      <c r="I8">
        <f>IF(A8=当日早見表!$B$3,COUNTIF($A$5:$A8,当日早見表!$B$3),"")</f>
        <v/>
      </c>
      <c r="J8">
        <f>IFERROR(INDEX(当日早見表!$B$7:$B$44,MATCH(B8&amp;"系統",当日早見表!$A$7:$A$44,0)),"")</f>
        <v/>
      </c>
    </row>
    <row r="9" ht="15" customHeight="1" s="37">
      <c r="A9" s="22" t="inlineStr">
        <is>
          <t>休日</t>
        </is>
      </c>
      <c r="B9" s="22" t="n">
        <v>2</v>
      </c>
      <c r="C9" s="23" t="inlineStr">
        <is>
          <t>09:46</t>
        </is>
      </c>
      <c r="D9" s="23" t="inlineStr">
        <is>
          <t>11:06</t>
        </is>
      </c>
      <c r="E9" s="22" t="n">
        <v>80</v>
      </c>
      <c r="F9" s="22" t="inlineStr">
        <is>
          <t>西院</t>
        </is>
      </c>
      <c r="G9" s="22" t="inlineStr">
        <is>
          <t>本線</t>
        </is>
      </c>
      <c r="H9" s="22" t="inlineStr">
        <is>
          <t>休憩</t>
        </is>
      </c>
      <c r="I9">
        <f>IF(A9=当日早見表!$B$3,COUNTIF($A$5:$A9,当日早見表!$B$3),"")</f>
        <v/>
      </c>
      <c r="J9">
        <f>IFERROR(INDEX(当日早見表!$B$7:$B$44,MATCH(B9&amp;"系統",当日早見表!$A$7:$A$44,0)),"")</f>
        <v/>
      </c>
    </row>
    <row r="10" ht="15" customHeight="1" s="37">
      <c r="A10" s="22" t="inlineStr">
        <is>
          <t>休日</t>
        </is>
      </c>
      <c r="B10" s="22" t="n">
        <v>4</v>
      </c>
      <c r="C10" s="23" t="inlineStr">
        <is>
          <t>10:16</t>
        </is>
      </c>
      <c r="D10" s="23" t="inlineStr">
        <is>
          <t>11:36</t>
        </is>
      </c>
      <c r="E10" s="22" t="n">
        <v>80</v>
      </c>
      <c r="F10" s="22" t="inlineStr">
        <is>
          <t>西院</t>
        </is>
      </c>
      <c r="G10" s="22" t="inlineStr">
        <is>
          <t>本線</t>
        </is>
      </c>
      <c r="H10" s="22" t="inlineStr">
        <is>
          <t>休憩</t>
        </is>
      </c>
      <c r="I10">
        <f>IF(A10=当日早見表!$B$3,COUNTIF($A$5:$A10,当日早見表!$B$3),"")</f>
        <v/>
      </c>
      <c r="J10">
        <f>IFERROR(INDEX(当日早見表!$B$7:$B$44,MATCH(B10&amp;"系統",当日早見表!$A$7:$A$44,0)),"")</f>
        <v/>
      </c>
    </row>
    <row r="11" ht="15" customHeight="1" s="37">
      <c r="A11" s="22" t="inlineStr">
        <is>
          <t>休日</t>
        </is>
      </c>
      <c r="B11" s="22" t="n">
        <v>18</v>
      </c>
      <c r="C11" s="23" t="inlineStr">
        <is>
          <t>10:24</t>
        </is>
      </c>
      <c r="D11" s="23" t="inlineStr">
        <is>
          <t>11:26</t>
        </is>
      </c>
      <c r="E11" s="22" t="n">
        <v>62</v>
      </c>
      <c r="F11" s="22" t="inlineStr">
        <is>
          <t>帷子ノ辻</t>
        </is>
      </c>
      <c r="G11" s="22" t="inlineStr">
        <is>
          <t>北野線</t>
        </is>
      </c>
      <c r="H11" s="22" t="inlineStr">
        <is>
          <t>休憩</t>
        </is>
      </c>
      <c r="I11">
        <f>IF(A11=当日早見表!$B$3,COUNTIF($A$5:$A11,当日早見表!$B$3),"")</f>
        <v/>
      </c>
      <c r="J11">
        <f>IFERROR(INDEX(当日早見表!$B$7:$B$44,MATCH(B11&amp;"系統",当日早見表!$A$7:$A$44,0)),"")</f>
        <v/>
      </c>
    </row>
    <row r="12" ht="15" customHeight="1" s="37">
      <c r="A12" s="22" t="inlineStr">
        <is>
          <t>休日</t>
        </is>
      </c>
      <c r="B12" s="22" t="n">
        <v>6</v>
      </c>
      <c r="C12" s="23" t="inlineStr">
        <is>
          <t>11:06</t>
        </is>
      </c>
      <c r="D12" s="23" t="inlineStr">
        <is>
          <t>12:26</t>
        </is>
      </c>
      <c r="E12" s="22" t="n">
        <v>80</v>
      </c>
      <c r="F12" s="22" t="inlineStr">
        <is>
          <t>西院</t>
        </is>
      </c>
      <c r="G12" s="22" t="inlineStr">
        <is>
          <t>本線</t>
        </is>
      </c>
      <c r="H12" s="22" t="inlineStr">
        <is>
          <t>休憩</t>
        </is>
      </c>
      <c r="I12">
        <f>IF(A12=当日早見表!$B$3,COUNTIF($A$5:$A12,当日早見表!$B$3),"")</f>
        <v/>
      </c>
      <c r="J12">
        <f>IFERROR(INDEX(当日早見表!$B$7:$B$44,MATCH(B12&amp;"系統",当日早見表!$A$7:$A$44,0)),"")</f>
        <v/>
      </c>
    </row>
    <row r="13" ht="15" customHeight="1" s="37">
      <c r="A13" s="22" t="inlineStr">
        <is>
          <t>休日</t>
        </is>
      </c>
      <c r="B13" s="22" t="n">
        <v>19</v>
      </c>
      <c r="C13" s="23" t="inlineStr">
        <is>
          <t>11:14</t>
        </is>
      </c>
      <c r="D13" s="23" t="inlineStr">
        <is>
          <t>12:16</t>
        </is>
      </c>
      <c r="E13" s="22" t="n">
        <v>62</v>
      </c>
      <c r="F13" s="22" t="inlineStr">
        <is>
          <t>帷子ノ辻</t>
        </is>
      </c>
      <c r="G13" s="22" t="inlineStr">
        <is>
          <t>北野線</t>
        </is>
      </c>
      <c r="H13" s="22" t="inlineStr">
        <is>
          <t>休憩</t>
        </is>
      </c>
      <c r="I13">
        <f>IF(A13=当日早見表!$B$3,COUNTIF($A$5:$A13,当日早見表!$B$3),"")</f>
        <v/>
      </c>
      <c r="J13">
        <f>IFERROR(INDEX(当日早見表!$B$7:$B$44,MATCH(B13&amp;"系統",当日早見表!$A$7:$A$44,0)),"")</f>
        <v/>
      </c>
    </row>
    <row r="14" ht="15" customHeight="1" s="37">
      <c r="A14" s="22" t="inlineStr">
        <is>
          <t>休日</t>
        </is>
      </c>
      <c r="B14" s="22" t="n">
        <v>5</v>
      </c>
      <c r="C14" s="23" t="inlineStr">
        <is>
          <t>11:36</t>
        </is>
      </c>
      <c r="D14" s="23" t="inlineStr">
        <is>
          <t>12:56</t>
        </is>
      </c>
      <c r="E14" s="22" t="n">
        <v>80</v>
      </c>
      <c r="F14" s="22" t="inlineStr">
        <is>
          <t>西院</t>
        </is>
      </c>
      <c r="G14" s="22" t="inlineStr">
        <is>
          <t>本線</t>
        </is>
      </c>
      <c r="H14" s="22" t="inlineStr">
        <is>
          <t>休憩</t>
        </is>
      </c>
      <c r="I14">
        <f>IF(A14=当日早見表!$B$3,COUNTIF($A$5:$A14,当日早見表!$B$3),"")</f>
        <v/>
      </c>
      <c r="J14">
        <f>IFERROR(INDEX(当日早見表!$B$7:$B$44,MATCH(B14&amp;"系統",当日早見表!$A$7:$A$44,0)),"")</f>
        <v/>
      </c>
    </row>
    <row r="15" ht="15" customHeight="1" s="37">
      <c r="A15" s="24" t="inlineStr">
        <is>
          <t>休日</t>
        </is>
      </c>
      <c r="B15" s="24" t="n">
        <v>20</v>
      </c>
      <c r="C15" s="25" t="inlineStr">
        <is>
          <t>12:04</t>
        </is>
      </c>
      <c r="D15" s="25" t="inlineStr">
        <is>
          <t>17:06</t>
        </is>
      </c>
      <c r="E15" s="24" t="n">
        <v>302</v>
      </c>
      <c r="F15" s="24" t="inlineStr">
        <is>
          <t>帷子ノ辻</t>
        </is>
      </c>
      <c r="G15" s="24" t="inlineStr">
        <is>
          <t>北野線</t>
        </is>
      </c>
      <c r="H15" s="24" t="inlineStr">
        <is>
          <t>中休勤務</t>
        </is>
      </c>
      <c r="I15" s="26">
        <f>IF(A15=当日早見表!$B$3,COUNTIF($A$5:$A15,当日早見表!$B$3),"")</f>
        <v/>
      </c>
      <c r="J15">
        <f>IFERROR(INDEX(当日早見表!$B$7:$B$44,MATCH(B15&amp;"系統",当日早見表!$A$7:$A$44,0)),"")</f>
        <v/>
      </c>
    </row>
    <row r="16" ht="15" customHeight="1" s="37">
      <c r="A16" s="24" t="inlineStr">
        <is>
          <t>休日</t>
        </is>
      </c>
      <c r="B16" s="24" t="n">
        <v>8</v>
      </c>
      <c r="C16" s="25" t="inlineStr">
        <is>
          <t>12:26</t>
        </is>
      </c>
      <c r="D16" s="25" t="inlineStr">
        <is>
          <t>17:36</t>
        </is>
      </c>
      <c r="E16" s="24" t="n">
        <v>310</v>
      </c>
      <c r="F16" s="24" t="inlineStr">
        <is>
          <t>西院</t>
        </is>
      </c>
      <c r="G16" s="24" t="inlineStr">
        <is>
          <t>本線</t>
        </is>
      </c>
      <c r="H16" s="24" t="inlineStr">
        <is>
          <t>中休勤務</t>
        </is>
      </c>
      <c r="I16" s="26">
        <f>IF(A16=当日早見表!$B$3,COUNTIF($A$5:$A16,当日早見表!$B$3),"")</f>
        <v/>
      </c>
      <c r="J16">
        <f>IFERROR(INDEX(当日早見表!$B$7:$B$44,MATCH(B16&amp;"系統",当日早見表!$A$7:$A$44,0)),"")</f>
        <v/>
      </c>
    </row>
    <row r="17" ht="15" customHeight="1" s="37">
      <c r="A17" s="22" t="inlineStr">
        <is>
          <t>休日</t>
        </is>
      </c>
      <c r="B17" s="22" t="n">
        <v>7</v>
      </c>
      <c r="C17" s="23" t="inlineStr">
        <is>
          <t>12:56</t>
        </is>
      </c>
      <c r="D17" s="23" t="inlineStr">
        <is>
          <t>14:16</t>
        </is>
      </c>
      <c r="E17" s="22" t="n">
        <v>80</v>
      </c>
      <c r="F17" s="22" t="inlineStr">
        <is>
          <t>西院</t>
        </is>
      </c>
      <c r="G17" s="22" t="inlineStr">
        <is>
          <t>本線</t>
        </is>
      </c>
      <c r="H17" s="22" t="inlineStr">
        <is>
          <t>休憩</t>
        </is>
      </c>
      <c r="I17">
        <f>IF(A17=当日早見表!$B$3,COUNTIF($A$5:$A17,当日早見表!$B$3),"")</f>
        <v/>
      </c>
      <c r="J17">
        <f>IFERROR(INDEX(当日早見表!$B$7:$B$44,MATCH(B17&amp;"系統",当日早見表!$A$7:$A$44,0)),"")</f>
        <v/>
      </c>
    </row>
    <row r="18" ht="15" customHeight="1" s="37">
      <c r="A18" s="22" t="inlineStr">
        <is>
          <t>休日</t>
        </is>
      </c>
      <c r="B18" s="22" t="n">
        <v>9</v>
      </c>
      <c r="C18" s="23" t="inlineStr">
        <is>
          <t>15:46</t>
        </is>
      </c>
      <c r="D18" s="23" t="inlineStr">
        <is>
          <t>17:06</t>
        </is>
      </c>
      <c r="E18" s="22" t="n">
        <v>80</v>
      </c>
      <c r="F18" s="22" t="inlineStr">
        <is>
          <t>西院</t>
        </is>
      </c>
      <c r="G18" s="22" t="inlineStr">
        <is>
          <t>本線</t>
        </is>
      </c>
      <c r="H18" s="22" t="inlineStr">
        <is>
          <t>休憩</t>
        </is>
      </c>
      <c r="I18">
        <f>IF(A18=当日早見表!$B$3,COUNTIF($A$5:$A18,当日早見表!$B$3),"")</f>
        <v/>
      </c>
      <c r="J18">
        <f>IFERROR(INDEX(当日早見表!$B$7:$B$44,MATCH(B18&amp;"系統",当日早見表!$A$7:$A$44,0)),"")</f>
        <v/>
      </c>
    </row>
    <row r="19" ht="15" customHeight="1" s="37">
      <c r="A19" s="22" t="inlineStr">
        <is>
          <t>休日</t>
        </is>
      </c>
      <c r="B19" s="22" t="n">
        <v>21</v>
      </c>
      <c r="C19" s="23" t="inlineStr">
        <is>
          <t>16:54</t>
        </is>
      </c>
      <c r="D19" s="23" t="inlineStr">
        <is>
          <t>17:56</t>
        </is>
      </c>
      <c r="E19" s="22" t="n">
        <v>62</v>
      </c>
      <c r="F19" s="22" t="inlineStr">
        <is>
          <t>帷子ノ辻</t>
        </is>
      </c>
      <c r="G19" s="22" t="inlineStr">
        <is>
          <t>北野線</t>
        </is>
      </c>
      <c r="H19" s="22" t="inlineStr">
        <is>
          <t>休憩</t>
        </is>
      </c>
      <c r="I19">
        <f>IF(A19=当日早見表!$B$3,COUNTIF($A$5:$A19,当日早見表!$B$3),"")</f>
        <v/>
      </c>
      <c r="J19">
        <f>IFERROR(INDEX(当日早見表!$B$7:$B$44,MATCH(B19&amp;"系統",当日早見表!$A$7:$A$44,0)),"")</f>
        <v/>
      </c>
    </row>
    <row r="20" ht="15" customHeight="1" s="37">
      <c r="A20" s="22" t="inlineStr">
        <is>
          <t>休日</t>
        </is>
      </c>
      <c r="B20" s="22" t="n">
        <v>10</v>
      </c>
      <c r="C20" s="23" t="inlineStr">
        <is>
          <t>17:06</t>
        </is>
      </c>
      <c r="D20" s="23" t="inlineStr">
        <is>
          <t>18:26</t>
        </is>
      </c>
      <c r="E20" s="22" t="n">
        <v>80</v>
      </c>
      <c r="F20" s="22" t="inlineStr">
        <is>
          <t>西院</t>
        </is>
      </c>
      <c r="G20" s="22" t="inlineStr">
        <is>
          <t>本線</t>
        </is>
      </c>
      <c r="H20" s="22" t="inlineStr">
        <is>
          <t>休憩</t>
        </is>
      </c>
      <c r="I20">
        <f>IF(A20=当日早見表!$B$3,COUNTIF($A$5:$A20,当日早見表!$B$3),"")</f>
        <v/>
      </c>
      <c r="J20">
        <f>IFERROR(INDEX(当日早見表!$B$7:$B$44,MATCH(B20&amp;"系統",当日早見表!$A$7:$A$44,0)),"")</f>
        <v/>
      </c>
    </row>
    <row r="21" ht="15" customHeight="1" s="37">
      <c r="A21" s="22" t="inlineStr">
        <is>
          <t>休日</t>
        </is>
      </c>
      <c r="B21" s="22" t="n">
        <v>11</v>
      </c>
      <c r="C21" s="23" t="inlineStr">
        <is>
          <t>17:35</t>
        </is>
      </c>
      <c r="D21" s="23" t="inlineStr">
        <is>
          <t>18:56</t>
        </is>
      </c>
      <c r="E21" s="22" t="n">
        <v>81</v>
      </c>
      <c r="F21" s="22" t="inlineStr">
        <is>
          <t>西院</t>
        </is>
      </c>
      <c r="G21" s="22" t="inlineStr">
        <is>
          <t>本線</t>
        </is>
      </c>
      <c r="H21" s="22" t="inlineStr">
        <is>
          <t>休憩</t>
        </is>
      </c>
      <c r="I21">
        <f>IF(A21=当日早見表!$B$3,COUNTIF($A$5:$A21,当日早見表!$B$3),"")</f>
        <v/>
      </c>
      <c r="J21">
        <f>IFERROR(INDEX(当日早見表!$B$7:$B$44,MATCH(B21&amp;"系統",当日早見表!$A$7:$A$44,0)),"")</f>
        <v/>
      </c>
    </row>
    <row r="22" ht="15" customHeight="1" s="37">
      <c r="A22" s="22" t="inlineStr">
        <is>
          <t>休日</t>
        </is>
      </c>
      <c r="B22" s="22" t="n">
        <v>22</v>
      </c>
      <c r="C22" s="23" t="inlineStr">
        <is>
          <t>17:44</t>
        </is>
      </c>
      <c r="D22" s="23" t="inlineStr">
        <is>
          <t>18:46</t>
        </is>
      </c>
      <c r="E22" s="22" t="n">
        <v>62</v>
      </c>
      <c r="F22" s="22" t="inlineStr">
        <is>
          <t>帷子ノ辻</t>
        </is>
      </c>
      <c r="G22" s="22" t="inlineStr">
        <is>
          <t>北野線</t>
        </is>
      </c>
      <c r="H22" s="22" t="inlineStr">
        <is>
          <t>休憩</t>
        </is>
      </c>
      <c r="I22">
        <f>IF(A22=当日早見表!$B$3,COUNTIF($A$5:$A22,当日早見表!$B$3),"")</f>
        <v/>
      </c>
      <c r="J22">
        <f>IFERROR(INDEX(当日早見表!$B$7:$B$44,MATCH(B22&amp;"系統",当日早見表!$A$7:$A$44,0)),"")</f>
        <v/>
      </c>
    </row>
    <row r="23" ht="15" customHeight="1" s="37">
      <c r="A23" s="22" t="inlineStr">
        <is>
          <t>休日</t>
        </is>
      </c>
      <c r="B23" s="22" t="n">
        <v>13</v>
      </c>
      <c r="C23" s="23" t="inlineStr">
        <is>
          <t>18:25</t>
        </is>
      </c>
      <c r="D23" s="23" t="inlineStr">
        <is>
          <t>19:46</t>
        </is>
      </c>
      <c r="E23" s="22" t="n">
        <v>81</v>
      </c>
      <c r="F23" s="22" t="inlineStr">
        <is>
          <t>西院</t>
        </is>
      </c>
      <c r="G23" s="22" t="inlineStr">
        <is>
          <t>本線</t>
        </is>
      </c>
      <c r="H23" s="22" t="inlineStr">
        <is>
          <t>休憩</t>
        </is>
      </c>
      <c r="I23">
        <f>IF(A23=当日早見表!$B$3,COUNTIF($A$5:$A23,当日早見表!$B$3),"")</f>
        <v/>
      </c>
      <c r="J23">
        <f>IFERROR(INDEX(当日早見表!$B$7:$B$44,MATCH(B23&amp;"系統",当日早見表!$A$7:$A$44,0)),"")</f>
        <v/>
      </c>
    </row>
    <row r="24" ht="15" customHeight="1" s="37">
      <c r="A24" s="22" t="inlineStr">
        <is>
          <t>休日</t>
        </is>
      </c>
      <c r="B24" s="22" t="n">
        <v>23</v>
      </c>
      <c r="C24" s="23" t="inlineStr">
        <is>
          <t>18:34</t>
        </is>
      </c>
      <c r="D24" s="23" t="inlineStr">
        <is>
          <t>19:36</t>
        </is>
      </c>
      <c r="E24" s="22" t="n">
        <v>62</v>
      </c>
      <c r="F24" s="22" t="inlineStr">
        <is>
          <t>帷子ノ辻</t>
        </is>
      </c>
      <c r="G24" s="22" t="inlineStr">
        <is>
          <t>北野線</t>
        </is>
      </c>
      <c r="H24" s="22" t="inlineStr">
        <is>
          <t>休憩</t>
        </is>
      </c>
      <c r="I24">
        <f>IF(A24=当日早見表!$B$3,COUNTIF($A$5:$A24,当日早見表!$B$3),"")</f>
        <v/>
      </c>
      <c r="J24">
        <f>IFERROR(INDEX(当日早見表!$B$7:$B$44,MATCH(B24&amp;"系統",当日早見表!$A$7:$A$44,0)),"")</f>
        <v/>
      </c>
    </row>
    <row r="25" ht="15" customHeight="1" s="37">
      <c r="A25" s="22" t="inlineStr">
        <is>
          <t>休日</t>
        </is>
      </c>
      <c r="B25" s="22" t="n">
        <v>12</v>
      </c>
      <c r="C25" s="23" t="inlineStr">
        <is>
          <t>18:56</t>
        </is>
      </c>
      <c r="D25" s="23" t="inlineStr">
        <is>
          <t>20:36</t>
        </is>
      </c>
      <c r="E25" s="22" t="n">
        <v>100</v>
      </c>
      <c r="F25" s="22" t="inlineStr">
        <is>
          <t>西院</t>
        </is>
      </c>
      <c r="G25" s="22" t="inlineStr">
        <is>
          <t>本線</t>
        </is>
      </c>
      <c r="H25" s="22" t="inlineStr">
        <is>
          <t>休憩</t>
        </is>
      </c>
      <c r="I25">
        <f>IF(A25=当日早見表!$B$3,COUNTIF($A$5:$A25,当日早見表!$B$3),"")</f>
        <v/>
      </c>
      <c r="J25">
        <f>IFERROR(INDEX(当日早見表!$B$7:$B$44,MATCH(B25&amp;"系統",当日早見表!$A$7:$A$44,0)),"")</f>
        <v/>
      </c>
    </row>
    <row r="26" ht="15" customHeight="1" s="37">
      <c r="A26" s="22" t="inlineStr">
        <is>
          <t>休日</t>
        </is>
      </c>
      <c r="B26" s="22" t="n">
        <v>24</v>
      </c>
      <c r="C26" s="23" t="inlineStr">
        <is>
          <t>19:24</t>
        </is>
      </c>
      <c r="D26" s="23" t="inlineStr">
        <is>
          <t>20:26</t>
        </is>
      </c>
      <c r="E26" s="22" t="n">
        <v>62</v>
      </c>
      <c r="F26" s="22" t="inlineStr">
        <is>
          <t>帷子ノ辻</t>
        </is>
      </c>
      <c r="G26" s="22" t="inlineStr">
        <is>
          <t>北野線</t>
        </is>
      </c>
      <c r="H26" s="22" t="inlineStr">
        <is>
          <t>休憩</t>
        </is>
      </c>
      <c r="I26">
        <f>IF(A26=当日早見表!$B$3,COUNTIF($A$5:$A26,当日早見表!$B$3),"")</f>
        <v/>
      </c>
      <c r="J26">
        <f>IFERROR(INDEX(当日早見表!$B$7:$B$44,MATCH(B26&amp;"系統",当日早見表!$A$7:$A$44,0)),"")</f>
        <v/>
      </c>
    </row>
    <row r="27" ht="15" customHeight="1" s="37">
      <c r="A27" s="22" t="inlineStr">
        <is>
          <t>休日</t>
        </is>
      </c>
      <c r="B27" s="22" t="n">
        <v>14</v>
      </c>
      <c r="C27" s="23" t="inlineStr">
        <is>
          <t>19:46</t>
        </is>
      </c>
      <c r="D27" s="23" t="inlineStr">
        <is>
          <t>21:18</t>
        </is>
      </c>
      <c r="E27" s="22" t="n">
        <v>92</v>
      </c>
      <c r="F27" s="22" t="inlineStr">
        <is>
          <t>西院</t>
        </is>
      </c>
      <c r="G27" s="22" t="inlineStr">
        <is>
          <t>本線</t>
        </is>
      </c>
      <c r="H27" s="22" t="inlineStr">
        <is>
          <t>休憩</t>
        </is>
      </c>
      <c r="I27">
        <f>IF(A27=当日早見表!$B$3,COUNTIF($A$5:$A27,当日早見表!$B$3),"")</f>
        <v/>
      </c>
      <c r="J27">
        <f>IFERROR(INDEX(当日早見表!$B$7:$B$44,MATCH(B27&amp;"系統",当日早見表!$A$7:$A$44,0)),"")</f>
        <v/>
      </c>
    </row>
    <row r="28" ht="15" customHeight="1" s="37">
      <c r="A28" s="22" t="inlineStr">
        <is>
          <t>休日</t>
        </is>
      </c>
      <c r="B28" s="22" t="n">
        <v>15</v>
      </c>
      <c r="C28" s="23" t="inlineStr">
        <is>
          <t>21:02</t>
        </is>
      </c>
      <c r="D28" s="23" t="inlineStr">
        <is>
          <t>22:33</t>
        </is>
      </c>
      <c r="E28" s="22" t="n">
        <v>91</v>
      </c>
      <c r="F28" s="22" t="inlineStr">
        <is>
          <t>西院</t>
        </is>
      </c>
      <c r="G28" s="22" t="inlineStr">
        <is>
          <t>本線</t>
        </is>
      </c>
      <c r="H28" s="22" t="inlineStr">
        <is>
          <t>休憩</t>
        </is>
      </c>
      <c r="I28">
        <f>IF(A28=当日早見表!$B$3,COUNTIF($A$5:$A28,当日早見表!$B$3),"")</f>
        <v/>
      </c>
      <c r="J28">
        <f>IFERROR(INDEX(当日早見表!$B$7:$B$44,MATCH(B28&amp;"系統",当日早見表!$A$7:$A$44,0)),"")</f>
        <v/>
      </c>
    </row>
    <row r="29" ht="15" customHeight="1" s="37">
      <c r="A29" s="22" t="inlineStr">
        <is>
          <t>休日</t>
        </is>
      </c>
      <c r="B29" s="22" t="n">
        <v>23</v>
      </c>
      <c r="C29" s="23" t="inlineStr">
        <is>
          <t>21:34</t>
        </is>
      </c>
      <c r="D29" s="23" t="inlineStr">
        <is>
          <t>22:00</t>
        </is>
      </c>
      <c r="E29" s="22" t="n">
        <v>26</v>
      </c>
      <c r="F29" s="22" t="inlineStr">
        <is>
          <t>帷子ノ辻</t>
        </is>
      </c>
      <c r="G29" s="22" t="inlineStr">
        <is>
          <t>北野線</t>
        </is>
      </c>
      <c r="H29" s="22" t="inlineStr">
        <is>
          <t>休憩</t>
        </is>
      </c>
      <c r="I29">
        <f>IF(A29=当日早見表!$B$3,COUNTIF($A$5:$A29,当日早見表!$B$3),"")</f>
        <v/>
      </c>
      <c r="J29">
        <f>IFERROR(INDEX(当日早見表!$B$7:$B$44,MATCH(B29&amp;"系統",当日早見表!$A$7:$A$44,0)),"")</f>
        <v/>
      </c>
    </row>
    <row r="30" ht="15" customHeight="1" s="37">
      <c r="A30" s="22" t="inlineStr">
        <is>
          <t>休日</t>
        </is>
      </c>
      <c r="B30" s="22" t="n">
        <v>13</v>
      </c>
      <c r="C30" s="23" t="inlineStr">
        <is>
          <t>21:43</t>
        </is>
      </c>
      <c r="D30" s="23" t="inlineStr">
        <is>
          <t>22:06</t>
        </is>
      </c>
      <c r="E30" s="22" t="n">
        <v>23</v>
      </c>
      <c r="F30" s="22" t="inlineStr">
        <is>
          <t>西院</t>
        </is>
      </c>
      <c r="G30" s="22" t="inlineStr">
        <is>
          <t>本線</t>
        </is>
      </c>
      <c r="H30" s="22" t="inlineStr">
        <is>
          <t>休憩</t>
        </is>
      </c>
      <c r="I30">
        <f>IF(A30=当日早見表!$B$3,COUNTIF($A$5:$A30,当日早見表!$B$3),"")</f>
        <v/>
      </c>
      <c r="J30">
        <f>IFERROR(INDEX(当日早見表!$B$7:$B$44,MATCH(B30&amp;"系統",当日早見表!$A$7:$A$44,0)),"")</f>
        <v/>
      </c>
    </row>
    <row r="31" ht="15" customHeight="1" s="37">
      <c r="A31" s="22" t="inlineStr">
        <is>
          <t>休日</t>
        </is>
      </c>
      <c r="B31" s="22" t="n">
        <v>24</v>
      </c>
      <c r="C31" s="23" t="inlineStr">
        <is>
          <t>21:44</t>
        </is>
      </c>
      <c r="D31" s="23" t="inlineStr">
        <is>
          <t>22:25</t>
        </is>
      </c>
      <c r="E31" s="22" t="n">
        <v>41</v>
      </c>
      <c r="F31" s="22" t="inlineStr">
        <is>
          <t>帷子ノ辻</t>
        </is>
      </c>
      <c r="G31" s="22" t="inlineStr">
        <is>
          <t>北野線</t>
        </is>
      </c>
      <c r="H31" s="22" t="inlineStr">
        <is>
          <t>休憩</t>
        </is>
      </c>
      <c r="I31">
        <f>IF(A31=当日早見表!$B$3,COUNTIF($A$5:$A31,当日早見表!$B$3),"")</f>
        <v/>
      </c>
      <c r="J31">
        <f>IFERROR(INDEX(当日早見表!$B$7:$B$44,MATCH(B31&amp;"系統",当日早見表!$A$7:$A$44,0)),"")</f>
        <v/>
      </c>
    </row>
    <row r="32" ht="15" customHeight="1" s="37">
      <c r="A32" s="24" t="inlineStr">
        <is>
          <t>平日</t>
        </is>
      </c>
      <c r="B32" s="24" t="n">
        <v>8</v>
      </c>
      <c r="C32" s="25" t="inlineStr">
        <is>
          <t>08:38</t>
        </is>
      </c>
      <c r="D32" s="25" t="inlineStr">
        <is>
          <t>17:36</t>
        </is>
      </c>
      <c r="E32" s="24" t="n">
        <v>538</v>
      </c>
      <c r="F32" s="24" t="inlineStr">
        <is>
          <t>西院</t>
        </is>
      </c>
      <c r="G32" s="24" t="inlineStr">
        <is>
          <t>本線</t>
        </is>
      </c>
      <c r="H32" s="24" t="inlineStr">
        <is>
          <t>中休勤務</t>
        </is>
      </c>
      <c r="I32" s="26">
        <f>IF(A32=当日早見表!$B$3,COUNTIF($A$5:$A32,当日早見表!$B$3),"")</f>
        <v/>
      </c>
      <c r="J32">
        <f>IFERROR(INDEX(当日早見表!$B$7:$B$44,MATCH(B32&amp;"系統",当日早見表!$A$7:$A$44,0)),"")</f>
        <v/>
      </c>
    </row>
    <row r="33" ht="15" customHeight="1" s="37">
      <c r="A33" s="22" t="inlineStr">
        <is>
          <t>平日</t>
        </is>
      </c>
      <c r="B33" s="22" t="n">
        <v>16</v>
      </c>
      <c r="C33" s="23" t="inlineStr">
        <is>
          <t>08:39</t>
        </is>
      </c>
      <c r="D33" s="23" t="inlineStr">
        <is>
          <t>09:36</t>
        </is>
      </c>
      <c r="E33" s="22" t="n">
        <v>57</v>
      </c>
      <c r="F33" s="22" t="inlineStr">
        <is>
          <t>帷子ノ辻</t>
        </is>
      </c>
      <c r="G33" s="22" t="inlineStr">
        <is>
          <t>北野線</t>
        </is>
      </c>
      <c r="H33" s="22" t="inlineStr">
        <is>
          <t>休憩</t>
        </is>
      </c>
      <c r="I33">
        <f>IF(A33=当日早見表!$B$3,COUNTIF($A$5:$A33,当日早見表!$B$3),"")</f>
        <v/>
      </c>
      <c r="J33">
        <f>IFERROR(INDEX(当日早見表!$B$7:$B$44,MATCH(B33&amp;"系統",当日早見表!$A$7:$A$44,0)),"")</f>
        <v/>
      </c>
    </row>
    <row r="34" ht="15" customHeight="1" s="37">
      <c r="A34" s="22" t="inlineStr">
        <is>
          <t>平日</t>
        </is>
      </c>
      <c r="B34" s="22" t="n">
        <v>1</v>
      </c>
      <c r="C34" s="23" t="inlineStr">
        <is>
          <t>08:56</t>
        </is>
      </c>
      <c r="D34" s="23" t="inlineStr">
        <is>
          <t>10:06</t>
        </is>
      </c>
      <c r="E34" s="22" t="n">
        <v>70</v>
      </c>
      <c r="F34" s="22" t="inlineStr">
        <is>
          <t>西院</t>
        </is>
      </c>
      <c r="G34" s="22" t="inlineStr">
        <is>
          <t>本線</t>
        </is>
      </c>
      <c r="H34" s="22" t="inlineStr">
        <is>
          <t>休憩</t>
        </is>
      </c>
      <c r="I34">
        <f>IF(A34=当日早見表!$B$3,COUNTIF($A$5:$A34,当日早見表!$B$3),"")</f>
        <v/>
      </c>
      <c r="J34">
        <f>IFERROR(INDEX(当日早見表!$B$7:$B$44,MATCH(B34&amp;"系統",当日早見表!$A$7:$A$44,0)),"")</f>
        <v/>
      </c>
    </row>
    <row r="35" ht="15" customHeight="1" s="37">
      <c r="A35" s="22" t="inlineStr">
        <is>
          <t>平日</t>
        </is>
      </c>
      <c r="B35" s="22" t="n">
        <v>2</v>
      </c>
      <c r="C35" s="23" t="inlineStr">
        <is>
          <t>09:14</t>
        </is>
      </c>
      <c r="D35" s="23" t="inlineStr">
        <is>
          <t>10:26</t>
        </is>
      </c>
      <c r="E35" s="22" t="n">
        <v>72</v>
      </c>
      <c r="F35" s="22" t="inlineStr">
        <is>
          <t>西院</t>
        </is>
      </c>
      <c r="G35" s="22" t="inlineStr">
        <is>
          <t>本線</t>
        </is>
      </c>
      <c r="H35" s="22" t="inlineStr">
        <is>
          <t>休憩</t>
        </is>
      </c>
      <c r="I35">
        <f>IF(A35=当日早見表!$B$3,COUNTIF($A$5:$A35,当日早見表!$B$3),"")</f>
        <v/>
      </c>
      <c r="J35">
        <f>IFERROR(INDEX(当日早見表!$B$7:$B$44,MATCH(B35&amp;"系統",当日早見表!$A$7:$A$44,0)),"")</f>
        <v/>
      </c>
    </row>
    <row r="36" ht="15" customHeight="1" s="37">
      <c r="A36" s="22" t="inlineStr">
        <is>
          <t>平日</t>
        </is>
      </c>
      <c r="B36" s="22" t="n">
        <v>18</v>
      </c>
      <c r="C36" s="23" t="inlineStr">
        <is>
          <t>09:24</t>
        </is>
      </c>
      <c r="D36" s="23" t="inlineStr">
        <is>
          <t>10:36</t>
        </is>
      </c>
      <c r="E36" s="22" t="n">
        <v>72</v>
      </c>
      <c r="F36" s="22" t="inlineStr">
        <is>
          <t>帷子ノ辻</t>
        </is>
      </c>
      <c r="G36" s="22" t="inlineStr">
        <is>
          <t>北野線</t>
        </is>
      </c>
      <c r="H36" s="22" t="inlineStr">
        <is>
          <t>休憩</t>
        </is>
      </c>
      <c r="I36">
        <f>IF(A36=当日早見表!$B$3,COUNTIF($A$5:$A36,当日早見表!$B$3),"")</f>
        <v/>
      </c>
      <c r="J36">
        <f>IFERROR(INDEX(当日早見表!$B$7:$B$44,MATCH(B36&amp;"系統",当日早見表!$A$7:$A$44,0)),"")</f>
        <v/>
      </c>
    </row>
    <row r="37" ht="15" customHeight="1" s="37">
      <c r="A37" s="22" t="inlineStr">
        <is>
          <t>平日</t>
        </is>
      </c>
      <c r="B37" s="22" t="n">
        <v>6</v>
      </c>
      <c r="C37" s="23" t="inlineStr">
        <is>
          <t>10:06</t>
        </is>
      </c>
      <c r="D37" s="23" t="inlineStr">
        <is>
          <t>11:46</t>
        </is>
      </c>
      <c r="E37" s="22" t="n">
        <v>100</v>
      </c>
      <c r="F37" s="22" t="inlineStr">
        <is>
          <t>西院</t>
        </is>
      </c>
      <c r="G37" s="22" t="inlineStr">
        <is>
          <t>本線</t>
        </is>
      </c>
      <c r="H37" s="22" t="inlineStr">
        <is>
          <t>休憩</t>
        </is>
      </c>
      <c r="I37">
        <f>IF(A37=当日早見表!$B$3,COUNTIF($A$5:$A37,当日早見表!$B$3),"")</f>
        <v/>
      </c>
      <c r="J37">
        <f>IFERROR(INDEX(当日早見表!$B$7:$B$44,MATCH(B37&amp;"系統",当日早見表!$A$7:$A$44,0)),"")</f>
        <v/>
      </c>
    </row>
    <row r="38" ht="15" customHeight="1" s="37">
      <c r="A38" s="24" t="inlineStr">
        <is>
          <t>平日</t>
        </is>
      </c>
      <c r="B38" s="24" t="n">
        <v>20</v>
      </c>
      <c r="C38" s="25" t="inlineStr">
        <is>
          <t>10:14</t>
        </is>
      </c>
      <c r="D38" s="25" t="inlineStr">
        <is>
          <t>15:46</t>
        </is>
      </c>
      <c r="E38" s="24" t="n">
        <v>332</v>
      </c>
      <c r="F38" s="24" t="inlineStr">
        <is>
          <t>帷子ノ辻</t>
        </is>
      </c>
      <c r="G38" s="24" t="inlineStr">
        <is>
          <t>北野線</t>
        </is>
      </c>
      <c r="H38" s="24" t="inlineStr">
        <is>
          <t>中休勤務</t>
        </is>
      </c>
      <c r="I38" s="26">
        <f>IF(A38=当日早見表!$B$3,COUNTIF($A$5:$A38,当日早見表!$B$3),"")</f>
        <v/>
      </c>
      <c r="J38">
        <f>IFERROR(INDEX(当日早見表!$B$7:$B$44,MATCH(B38&amp;"系統",当日早見表!$A$7:$A$44,0)),"")</f>
        <v/>
      </c>
    </row>
    <row r="39" ht="15" customHeight="1" s="37">
      <c r="A39" s="22" t="inlineStr">
        <is>
          <t>平日</t>
        </is>
      </c>
      <c r="B39" s="22" t="n">
        <v>17</v>
      </c>
      <c r="C39" s="23" t="inlineStr">
        <is>
          <t>10:24</t>
        </is>
      </c>
      <c r="D39" s="23" t="inlineStr">
        <is>
          <t>11:26</t>
        </is>
      </c>
      <c r="E39" s="22" t="n">
        <v>62</v>
      </c>
      <c r="F39" s="22" t="inlineStr">
        <is>
          <t>帷子ノ辻</t>
        </is>
      </c>
      <c r="G39" s="22" t="inlineStr">
        <is>
          <t>北野線</t>
        </is>
      </c>
      <c r="H39" s="22" t="inlineStr">
        <is>
          <t>休憩</t>
        </is>
      </c>
      <c r="I39">
        <f>IF(A39=当日早見表!$B$3,COUNTIF($A$5:$A39,当日早見表!$B$3),"")</f>
        <v/>
      </c>
      <c r="J39">
        <f>IFERROR(INDEX(当日早見表!$B$7:$B$44,MATCH(B39&amp;"系統",当日早見表!$A$7:$A$44,0)),"")</f>
        <v/>
      </c>
    </row>
    <row r="40" ht="15" customHeight="1" s="37">
      <c r="A40" s="22" t="inlineStr">
        <is>
          <t>平日</t>
        </is>
      </c>
      <c r="B40" s="22" t="n">
        <v>3</v>
      </c>
      <c r="C40" s="23" t="inlineStr">
        <is>
          <t>10:26</t>
        </is>
      </c>
      <c r="D40" s="23" t="inlineStr">
        <is>
          <t>11:36</t>
        </is>
      </c>
      <c r="E40" s="22" t="n">
        <v>70</v>
      </c>
      <c r="F40" s="22" t="inlineStr">
        <is>
          <t>西院</t>
        </is>
      </c>
      <c r="G40" s="22" t="inlineStr">
        <is>
          <t>本線</t>
        </is>
      </c>
      <c r="H40" s="22" t="inlineStr">
        <is>
          <t>休憩</t>
        </is>
      </c>
      <c r="I40">
        <f>IF(A40=当日早見表!$B$3,COUNTIF($A$5:$A40,当日早見表!$B$3),"")</f>
        <v/>
      </c>
      <c r="J40">
        <f>IFERROR(INDEX(当日早見表!$B$7:$B$44,MATCH(B40&amp;"系統",当日早見表!$A$7:$A$44,0)),"")</f>
        <v/>
      </c>
    </row>
    <row r="41" ht="15" customHeight="1" s="37">
      <c r="A41" s="22" t="inlineStr">
        <is>
          <t>平日</t>
        </is>
      </c>
      <c r="B41" s="22" t="n">
        <v>19</v>
      </c>
      <c r="C41" s="23" t="inlineStr">
        <is>
          <t>11:14</t>
        </is>
      </c>
      <c r="D41" s="23" t="inlineStr">
        <is>
          <t>12:16</t>
        </is>
      </c>
      <c r="E41" s="22" t="n">
        <v>62</v>
      </c>
      <c r="F41" s="22" t="inlineStr">
        <is>
          <t>帷子ノ辻</t>
        </is>
      </c>
      <c r="G41" s="22" t="inlineStr">
        <is>
          <t>北野線</t>
        </is>
      </c>
      <c r="H41" s="22" t="inlineStr">
        <is>
          <t>休憩</t>
        </is>
      </c>
      <c r="I41">
        <f>IF(A41=当日早見表!$B$3,COUNTIF($A$5:$A41,当日早見表!$B$3),"")</f>
        <v/>
      </c>
      <c r="J41">
        <f>IFERROR(INDEX(当日早見表!$B$7:$B$44,MATCH(B41&amp;"系統",当日早見表!$A$7:$A$44,0)),"")</f>
        <v/>
      </c>
    </row>
    <row r="42" ht="15" customHeight="1" s="37">
      <c r="A42" s="22" t="inlineStr">
        <is>
          <t>平日</t>
        </is>
      </c>
      <c r="B42" s="22" t="n">
        <v>4</v>
      </c>
      <c r="C42" s="23" t="inlineStr">
        <is>
          <t>11:36</t>
        </is>
      </c>
      <c r="D42" s="23" t="inlineStr">
        <is>
          <t>12:56</t>
        </is>
      </c>
      <c r="E42" s="22" t="n">
        <v>80</v>
      </c>
      <c r="F42" s="22" t="inlineStr">
        <is>
          <t>西院</t>
        </is>
      </c>
      <c r="G42" s="22" t="inlineStr">
        <is>
          <t>本線</t>
        </is>
      </c>
      <c r="H42" s="22" t="inlineStr">
        <is>
          <t>休憩</t>
        </is>
      </c>
      <c r="I42">
        <f>IF(A42=当日早見表!$B$3,COUNTIF($A$5:$A42,当日早見表!$B$3),"")</f>
        <v/>
      </c>
      <c r="J42">
        <f>IFERROR(INDEX(当日早見表!$B$7:$B$44,MATCH(B42&amp;"系統",当日早見表!$A$7:$A$44,0)),"")</f>
        <v/>
      </c>
    </row>
    <row r="43" ht="15" customHeight="1" s="37">
      <c r="A43" s="22" t="inlineStr">
        <is>
          <t>平日</t>
        </is>
      </c>
      <c r="B43" s="22" t="n">
        <v>5</v>
      </c>
      <c r="C43" s="23" t="inlineStr">
        <is>
          <t>11:46</t>
        </is>
      </c>
      <c r="D43" s="23" t="inlineStr">
        <is>
          <t>13:16</t>
        </is>
      </c>
      <c r="E43" s="22" t="n">
        <v>90</v>
      </c>
      <c r="F43" s="22" t="inlineStr">
        <is>
          <t>西院</t>
        </is>
      </c>
      <c r="G43" s="22" t="inlineStr">
        <is>
          <t>本線</t>
        </is>
      </c>
      <c r="H43" s="22" t="inlineStr">
        <is>
          <t>休憩</t>
        </is>
      </c>
      <c r="I43">
        <f>IF(A43=当日早見表!$B$3,COUNTIF($A$5:$A43,当日早見表!$B$3),"")</f>
        <v/>
      </c>
      <c r="J43">
        <f>IFERROR(INDEX(当日早見表!$B$7:$B$44,MATCH(B43&amp;"系統",当日早見表!$A$7:$A$44,0)),"")</f>
        <v/>
      </c>
    </row>
    <row r="44" ht="15" customHeight="1" s="37">
      <c r="A44" s="22" t="inlineStr">
        <is>
          <t>平日</t>
        </is>
      </c>
      <c r="B44" s="22" t="n">
        <v>7</v>
      </c>
      <c r="C44" s="23" t="inlineStr">
        <is>
          <t>12:56</t>
        </is>
      </c>
      <c r="D44" s="23" t="inlineStr">
        <is>
          <t>14:26</t>
        </is>
      </c>
      <c r="E44" s="22" t="n">
        <v>90</v>
      </c>
      <c r="F44" s="22" t="inlineStr">
        <is>
          <t>西院</t>
        </is>
      </c>
      <c r="G44" s="22" t="inlineStr">
        <is>
          <t>本線</t>
        </is>
      </c>
      <c r="H44" s="22" t="inlineStr">
        <is>
          <t>休憩</t>
        </is>
      </c>
      <c r="I44">
        <f>IF(A44=当日早見表!$B$3,COUNTIF($A$5:$A44,当日早見表!$B$3),"")</f>
        <v/>
      </c>
      <c r="J44">
        <f>IFERROR(INDEX(当日早見表!$B$7:$B$44,MATCH(B44&amp;"系統",当日早見表!$A$7:$A$44,0)),"")</f>
        <v/>
      </c>
    </row>
    <row r="45" ht="15" customHeight="1" s="37">
      <c r="A45" s="24" t="inlineStr">
        <is>
          <t>平日</t>
        </is>
      </c>
      <c r="B45" s="24" t="n">
        <v>21</v>
      </c>
      <c r="C45" s="25" t="inlineStr">
        <is>
          <t>13:04</t>
        </is>
      </c>
      <c r="D45" s="25" t="inlineStr">
        <is>
          <t>16:36</t>
        </is>
      </c>
      <c r="E45" s="24" t="n">
        <v>212</v>
      </c>
      <c r="F45" s="24" t="inlineStr">
        <is>
          <t>帷子ノ辻</t>
        </is>
      </c>
      <c r="G45" s="24" t="inlineStr">
        <is>
          <t>北野線</t>
        </is>
      </c>
      <c r="H45" s="24" t="inlineStr">
        <is>
          <t>中休勤務</t>
        </is>
      </c>
      <c r="I45" s="26">
        <f>IF(A45=当日早見表!$B$3,COUNTIF($A$5:$A45,当日早見表!$B$3),"")</f>
        <v/>
      </c>
      <c r="J45">
        <f>IFERROR(INDEX(当日早見表!$B$7:$B$44,MATCH(B45&amp;"系統",当日早見表!$A$7:$A$44,0)),"")</f>
        <v/>
      </c>
    </row>
    <row r="46" ht="15" customHeight="1" s="37">
      <c r="A46" s="24" t="inlineStr">
        <is>
          <t>平日</t>
        </is>
      </c>
      <c r="B46" s="24" t="n">
        <v>9</v>
      </c>
      <c r="C46" s="25" t="inlineStr">
        <is>
          <t>13:16</t>
        </is>
      </c>
      <c r="D46" s="25" t="inlineStr">
        <is>
          <t>17:56</t>
        </is>
      </c>
      <c r="E46" s="24" t="n">
        <v>280</v>
      </c>
      <c r="F46" s="24" t="inlineStr">
        <is>
          <t>西院</t>
        </is>
      </c>
      <c r="G46" s="24" t="inlineStr">
        <is>
          <t>本線</t>
        </is>
      </c>
      <c r="H46" s="24" t="inlineStr">
        <is>
          <t>中休勤務</t>
        </is>
      </c>
      <c r="I46" s="26">
        <f>IF(A46=当日早見表!$B$3,COUNTIF($A$5:$A46,当日早見表!$B$3),"")</f>
        <v/>
      </c>
      <c r="J46">
        <f>IFERROR(INDEX(当日早見表!$B$7:$B$44,MATCH(B46&amp;"系統",当日早見表!$A$7:$A$44,0)),"")</f>
        <v/>
      </c>
    </row>
    <row r="47" ht="15" customHeight="1" s="37">
      <c r="A47" s="22" t="inlineStr">
        <is>
          <t>平日</t>
        </is>
      </c>
      <c r="B47" s="22" t="n">
        <v>10</v>
      </c>
      <c r="C47" s="23" t="inlineStr">
        <is>
          <t>16:06</t>
        </is>
      </c>
      <c r="D47" s="23" t="inlineStr">
        <is>
          <t>17:26</t>
        </is>
      </c>
      <c r="E47" s="22" t="n">
        <v>80</v>
      </c>
      <c r="F47" s="22" t="inlineStr">
        <is>
          <t>西院</t>
        </is>
      </c>
      <c r="G47" s="22" t="inlineStr">
        <is>
          <t>本線</t>
        </is>
      </c>
      <c r="H47" s="22" t="inlineStr">
        <is>
          <t>休憩</t>
        </is>
      </c>
      <c r="I47">
        <f>IF(A47=当日早見表!$B$3,COUNTIF($A$5:$A47,当日早見表!$B$3),"")</f>
        <v/>
      </c>
      <c r="J47">
        <f>IFERROR(INDEX(当日早見表!$B$7:$B$44,MATCH(B47&amp;"系統",当日早見表!$A$7:$A$44,0)),"")</f>
        <v/>
      </c>
    </row>
    <row r="48" ht="15" customHeight="1" s="37">
      <c r="A48" s="22" t="inlineStr">
        <is>
          <t>平日</t>
        </is>
      </c>
      <c r="B48" s="22" t="n">
        <v>22</v>
      </c>
      <c r="C48" s="23" t="inlineStr">
        <is>
          <t>16:24</t>
        </is>
      </c>
      <c r="D48" s="23" t="inlineStr">
        <is>
          <t>17:36</t>
        </is>
      </c>
      <c r="E48" s="22" t="n">
        <v>72</v>
      </c>
      <c r="F48" s="22" t="inlineStr">
        <is>
          <t>帷子ノ辻</t>
        </is>
      </c>
      <c r="G48" s="22" t="inlineStr">
        <is>
          <t>北野線</t>
        </is>
      </c>
      <c r="H48" s="22" t="inlineStr">
        <is>
          <t>休憩</t>
        </is>
      </c>
      <c r="I48">
        <f>IF(A48=当日早見表!$B$3,COUNTIF($A$5:$A48,当日早見表!$B$3),"")</f>
        <v/>
      </c>
      <c r="J48">
        <f>IFERROR(INDEX(当日早見表!$B$7:$B$44,MATCH(B48&amp;"系統",当日早見表!$A$7:$A$44,0)),"")</f>
        <v/>
      </c>
    </row>
    <row r="49" ht="15" customHeight="1" s="37">
      <c r="A49" s="22" t="inlineStr">
        <is>
          <t>平日</t>
        </is>
      </c>
      <c r="B49" s="22" t="n">
        <v>23</v>
      </c>
      <c r="C49" s="23" t="inlineStr">
        <is>
          <t>17:24</t>
        </is>
      </c>
      <c r="D49" s="23" t="inlineStr">
        <is>
          <t>18:26</t>
        </is>
      </c>
      <c r="E49" s="22" t="n">
        <v>62</v>
      </c>
      <c r="F49" s="22" t="inlineStr">
        <is>
          <t>帷子ノ辻</t>
        </is>
      </c>
      <c r="G49" s="22" t="inlineStr">
        <is>
          <t>北野線</t>
        </is>
      </c>
      <c r="H49" s="22" t="inlineStr">
        <is>
          <t>休憩</t>
        </is>
      </c>
      <c r="I49">
        <f>IF(A49=当日早見表!$B$3,COUNTIF($A$5:$A49,当日早見表!$B$3),"")</f>
        <v/>
      </c>
      <c r="J49">
        <f>IFERROR(INDEX(当日早見表!$B$7:$B$44,MATCH(B49&amp;"系統",当日早見表!$A$7:$A$44,0)),"")</f>
        <v/>
      </c>
    </row>
    <row r="50" ht="15" customHeight="1" s="37">
      <c r="A50" s="22" t="inlineStr">
        <is>
          <t>平日</t>
        </is>
      </c>
      <c r="B50" s="22" t="n">
        <v>11</v>
      </c>
      <c r="C50" s="23" t="inlineStr">
        <is>
          <t>17:36</t>
        </is>
      </c>
      <c r="D50" s="23" t="inlineStr">
        <is>
          <t>18:46</t>
        </is>
      </c>
      <c r="E50" s="22" t="n">
        <v>70</v>
      </c>
      <c r="F50" s="22" t="inlineStr">
        <is>
          <t>西院</t>
        </is>
      </c>
      <c r="G50" s="22" t="inlineStr">
        <is>
          <t>本線</t>
        </is>
      </c>
      <c r="H50" s="22" t="inlineStr">
        <is>
          <t>休憩</t>
        </is>
      </c>
      <c r="I50">
        <f>IF(A50=当日早見表!$B$3,COUNTIF($A$5:$A50,当日早見表!$B$3),"")</f>
        <v/>
      </c>
      <c r="J50">
        <f>IFERROR(INDEX(当日早見表!$B$7:$B$44,MATCH(B50&amp;"系統",当日早見表!$A$7:$A$44,0)),"")</f>
        <v/>
      </c>
    </row>
    <row r="51" ht="15" customHeight="1" s="37">
      <c r="A51" s="22" t="inlineStr">
        <is>
          <t>平日</t>
        </is>
      </c>
      <c r="B51" s="22" t="n">
        <v>12</v>
      </c>
      <c r="C51" s="23" t="inlineStr">
        <is>
          <t>17:56</t>
        </is>
      </c>
      <c r="D51" s="23" t="inlineStr">
        <is>
          <t>19:16</t>
        </is>
      </c>
      <c r="E51" s="22" t="n">
        <v>80</v>
      </c>
      <c r="F51" s="22" t="inlineStr">
        <is>
          <t>西院</t>
        </is>
      </c>
      <c r="G51" s="22" t="inlineStr">
        <is>
          <t>本線</t>
        </is>
      </c>
      <c r="H51" s="22" t="inlineStr">
        <is>
          <t>休憩</t>
        </is>
      </c>
      <c r="I51">
        <f>IF(A51=当日早見表!$B$3,COUNTIF($A$5:$A51,当日早見表!$B$3),"")</f>
        <v/>
      </c>
      <c r="J51">
        <f>IFERROR(INDEX(当日早見表!$B$7:$B$44,MATCH(B51&amp;"系統",当日早見表!$A$7:$A$44,0)),"")</f>
        <v/>
      </c>
    </row>
    <row r="52" ht="15" customHeight="1" s="37">
      <c r="A52" s="22" t="inlineStr">
        <is>
          <t>平日</t>
        </is>
      </c>
      <c r="B52" s="22" t="n">
        <v>24</v>
      </c>
      <c r="C52" s="23" t="inlineStr">
        <is>
          <t>18:34</t>
        </is>
      </c>
      <c r="D52" s="23" t="inlineStr">
        <is>
          <t>19:56</t>
        </is>
      </c>
      <c r="E52" s="22" t="n">
        <v>82</v>
      </c>
      <c r="F52" s="22" t="inlineStr">
        <is>
          <t>帷子ノ辻</t>
        </is>
      </c>
      <c r="G52" s="22" t="inlineStr">
        <is>
          <t>北野線</t>
        </is>
      </c>
      <c r="H52" s="22" t="inlineStr">
        <is>
          <t>休憩</t>
        </is>
      </c>
      <c r="I52">
        <f>IF(A52=当日早見表!$B$3,COUNTIF($A$5:$A52,当日早見表!$B$3),"")</f>
        <v/>
      </c>
      <c r="J52">
        <f>IFERROR(INDEX(当日早見表!$B$7:$B$44,MATCH(B52&amp;"系統",当日早見表!$A$7:$A$44,0)),"")</f>
        <v/>
      </c>
    </row>
    <row r="53" ht="15" customHeight="1" s="37">
      <c r="A53" s="22" t="inlineStr">
        <is>
          <t>平日</t>
        </is>
      </c>
      <c r="B53" s="22" t="n">
        <v>14</v>
      </c>
      <c r="C53" s="23" t="inlineStr">
        <is>
          <t>18:46</t>
        </is>
      </c>
      <c r="D53" s="23" t="inlineStr">
        <is>
          <t>20:06</t>
        </is>
      </c>
      <c r="E53" s="22" t="n">
        <v>80</v>
      </c>
      <c r="F53" s="22" t="inlineStr">
        <is>
          <t>西院</t>
        </is>
      </c>
      <c r="G53" s="22" t="inlineStr">
        <is>
          <t>本線</t>
        </is>
      </c>
      <c r="H53" s="22" t="inlineStr">
        <is>
          <t>休憩</t>
        </is>
      </c>
      <c r="I53">
        <f>IF(A53=当日早見表!$B$3,COUNTIF($A$5:$A53,当日早見表!$B$3),"")</f>
        <v/>
      </c>
      <c r="J53">
        <f>IFERROR(INDEX(当日早見表!$B$7:$B$44,MATCH(B53&amp;"系統",当日早見表!$A$7:$A$44,0)),"")</f>
        <v/>
      </c>
    </row>
    <row r="54" ht="15" customHeight="1" s="37">
      <c r="A54" s="22" t="inlineStr">
        <is>
          <t>平日</t>
        </is>
      </c>
      <c r="B54" s="22" t="n">
        <v>13</v>
      </c>
      <c r="C54" s="23" t="inlineStr">
        <is>
          <t>19:15</t>
        </is>
      </c>
      <c r="D54" s="23" t="inlineStr">
        <is>
          <t>20:23</t>
        </is>
      </c>
      <c r="E54" s="22" t="n">
        <v>68</v>
      </c>
      <c r="F54" s="22" t="inlineStr">
        <is>
          <t>西院</t>
        </is>
      </c>
      <c r="G54" s="22" t="inlineStr">
        <is>
          <t>本線</t>
        </is>
      </c>
      <c r="H54" s="22" t="inlineStr">
        <is>
          <t>休憩</t>
        </is>
      </c>
      <c r="I54">
        <f>IF(A54=当日早見表!$B$3,COUNTIF($A$5:$A54,当日早見表!$B$3),"")</f>
        <v/>
      </c>
      <c r="J54">
        <f>IFERROR(INDEX(当日早見表!$B$7:$B$44,MATCH(B54&amp;"系統",当日早見表!$A$7:$A$44,0)),"")</f>
        <v/>
      </c>
    </row>
    <row r="55" ht="15" customHeight="1" s="37">
      <c r="A55" s="22" t="inlineStr">
        <is>
          <t>平日</t>
        </is>
      </c>
      <c r="B55" s="22" t="n">
        <v>15</v>
      </c>
      <c r="C55" s="23" t="inlineStr">
        <is>
          <t>20:06</t>
        </is>
      </c>
      <c r="D55" s="23" t="inlineStr">
        <is>
          <t>21:06</t>
        </is>
      </c>
      <c r="E55" s="22" t="n">
        <v>60</v>
      </c>
      <c r="F55" s="22" t="inlineStr">
        <is>
          <t>西院</t>
        </is>
      </c>
      <c r="G55" s="22" t="inlineStr">
        <is>
          <t>本線</t>
        </is>
      </c>
      <c r="H55" s="22" t="inlineStr">
        <is>
          <t>休憩</t>
        </is>
      </c>
      <c r="I55">
        <f>IF(A55=当日早見表!$B$3,COUNTIF($A$5:$A55,当日早見表!$B$3),"")</f>
        <v/>
      </c>
      <c r="J55">
        <f>IFERROR(INDEX(当日早見表!$B$7:$B$44,MATCH(B55&amp;"系統",当日早見表!$A$7:$A$44,0)),"")</f>
        <v/>
      </c>
    </row>
    <row r="56" ht="15" customHeight="1" s="37">
      <c r="A56" s="22" t="inlineStr">
        <is>
          <t>平日</t>
        </is>
      </c>
      <c r="B56" s="22" t="n">
        <v>14</v>
      </c>
      <c r="C56" s="23" t="inlineStr">
        <is>
          <t>21:06</t>
        </is>
      </c>
      <c r="D56" s="23" t="inlineStr">
        <is>
          <t>21:18</t>
        </is>
      </c>
      <c r="E56" s="22" t="n">
        <v>12</v>
      </c>
      <c r="F56" s="22" t="inlineStr">
        <is>
          <t>西院</t>
        </is>
      </c>
      <c r="G56" s="22" t="inlineStr">
        <is>
          <t>本線</t>
        </is>
      </c>
      <c r="H56" s="22" t="inlineStr">
        <is>
          <t>休憩</t>
        </is>
      </c>
      <c r="I56">
        <f>IF(A56=当日早見表!$B$3,COUNTIF($A$5:$A56,当日早見表!$B$3),"")</f>
        <v/>
      </c>
      <c r="J56">
        <f>IFERROR(INDEX(当日早見表!$B$7:$B$44,MATCH(B56&amp;"系統",当日早見表!$A$7:$A$44,0)),"")</f>
        <v/>
      </c>
    </row>
    <row r="57" ht="15" customHeight="1" s="37">
      <c r="A57" s="22" t="inlineStr">
        <is>
          <t>平日</t>
        </is>
      </c>
      <c r="B57" s="22" t="n">
        <v>12</v>
      </c>
      <c r="C57" s="23" t="inlineStr">
        <is>
          <t>21:18</t>
        </is>
      </c>
      <c r="D57" s="23" t="inlineStr">
        <is>
          <t>21:42</t>
        </is>
      </c>
      <c r="E57" s="22" t="n">
        <v>24</v>
      </c>
      <c r="F57" s="22" t="inlineStr">
        <is>
          <t>西院</t>
        </is>
      </c>
      <c r="G57" s="22" t="inlineStr">
        <is>
          <t>本線</t>
        </is>
      </c>
      <c r="H57" s="22" t="inlineStr">
        <is>
          <t>休憩</t>
        </is>
      </c>
      <c r="I57">
        <f>IF(A57=当日早見表!$B$3,COUNTIF($A$5:$A57,当日早見表!$B$3),"")</f>
        <v/>
      </c>
      <c r="J57">
        <f>IFERROR(INDEX(当日早見表!$B$7:$B$44,MATCH(B57&amp;"系統",当日早見表!$A$7:$A$44,0)),"")</f>
        <v/>
      </c>
    </row>
    <row r="58" ht="15" customHeight="1" s="37">
      <c r="A58" s="22" t="inlineStr">
        <is>
          <t>平日</t>
        </is>
      </c>
      <c r="B58" s="22" t="n">
        <v>23</v>
      </c>
      <c r="C58" s="23" t="inlineStr">
        <is>
          <t>21:34</t>
        </is>
      </c>
      <c r="D58" s="23" t="inlineStr">
        <is>
          <t>22:00</t>
        </is>
      </c>
      <c r="E58" s="22" t="n">
        <v>26</v>
      </c>
      <c r="F58" s="22" t="inlineStr">
        <is>
          <t>帷子ノ辻</t>
        </is>
      </c>
      <c r="G58" s="22" t="inlineStr">
        <is>
          <t>北野線</t>
        </is>
      </c>
      <c r="H58" s="22" t="inlineStr">
        <is>
          <t>休憩</t>
        </is>
      </c>
      <c r="I58">
        <f>IF(A58=当日早見表!$B$3,COUNTIF($A$5:$A58,当日早見表!$B$3),"")</f>
        <v/>
      </c>
      <c r="J58">
        <f>IFERROR(INDEX(当日早見表!$B$7:$B$44,MATCH(B58&amp;"系統",当日早見表!$A$7:$A$44,0)),"")</f>
        <v/>
      </c>
    </row>
    <row r="59" ht="15" customHeight="1" s="37">
      <c r="A59" s="22" t="inlineStr">
        <is>
          <t>平日</t>
        </is>
      </c>
      <c r="B59" s="22" t="n">
        <v>13</v>
      </c>
      <c r="C59" s="23" t="inlineStr">
        <is>
          <t>21:42</t>
        </is>
      </c>
      <c r="D59" s="23" t="inlineStr">
        <is>
          <t>22:06</t>
        </is>
      </c>
      <c r="E59" s="22" t="n">
        <v>24</v>
      </c>
      <c r="F59" s="22" t="inlineStr">
        <is>
          <t>西院</t>
        </is>
      </c>
      <c r="G59" s="22" t="inlineStr">
        <is>
          <t>本線</t>
        </is>
      </c>
      <c r="H59" s="22" t="inlineStr">
        <is>
          <t>休憩</t>
        </is>
      </c>
      <c r="I59">
        <f>IF(A59=当日早見表!$B$3,COUNTIF($A$5:$A59,当日早見表!$B$3),"")</f>
        <v/>
      </c>
      <c r="J59">
        <f>IFERROR(INDEX(当日早見表!$B$7:$B$44,MATCH(B59&amp;"系統",当日早見表!$A$7:$A$44,0)),"")</f>
        <v/>
      </c>
    </row>
    <row r="60" ht="15" customHeight="1" s="37">
      <c r="A60" s="22" t="inlineStr">
        <is>
          <t>平日</t>
        </is>
      </c>
      <c r="B60" s="22" t="n">
        <v>24</v>
      </c>
      <c r="C60" s="23" t="inlineStr">
        <is>
          <t>21:44</t>
        </is>
      </c>
      <c r="D60" s="23" t="inlineStr">
        <is>
          <t>22:25</t>
        </is>
      </c>
      <c r="E60" s="22" t="n">
        <v>41</v>
      </c>
      <c r="F60" s="22" t="inlineStr">
        <is>
          <t>帷子ノ辻</t>
        </is>
      </c>
      <c r="G60" s="22" t="inlineStr">
        <is>
          <t>北野線</t>
        </is>
      </c>
      <c r="H60" s="22" t="inlineStr">
        <is>
          <t>休憩</t>
        </is>
      </c>
      <c r="I60">
        <f>IF(A60=当日早見表!$B$3,COUNTIF($A$5:$A60,当日早見表!$B$3),"")</f>
        <v/>
      </c>
      <c r="J60">
        <f>IFERROR(INDEX(当日早見表!$B$7:$B$44,MATCH(B60&amp;"系統",当日早見表!$A$7:$A$44,0)),"")</f>
        <v/>
      </c>
    </row>
    <row r="61" ht="15" customHeight="1" s="37">
      <c r="A61" s="22" t="inlineStr">
        <is>
          <t>平日</t>
        </is>
      </c>
      <c r="B61" s="22" t="n">
        <v>15</v>
      </c>
      <c r="C61" s="23" t="inlineStr">
        <is>
          <t>22:06</t>
        </is>
      </c>
      <c r="D61" s="23" t="inlineStr">
        <is>
          <t>22:33</t>
        </is>
      </c>
      <c r="E61" s="22" t="n">
        <v>27</v>
      </c>
      <c r="F61" s="22" t="inlineStr">
        <is>
          <t>西院</t>
        </is>
      </c>
      <c r="G61" s="22" t="inlineStr">
        <is>
          <t>本線</t>
        </is>
      </c>
      <c r="H61" s="22" t="inlineStr">
        <is>
          <t>休憩</t>
        </is>
      </c>
      <c r="I61">
        <f>IF(A61=当日早見表!$B$3,COUNTIF($A$5:$A61,当日早見表!$B$3),"")</f>
        <v/>
      </c>
      <c r="J61">
        <f>IFERROR(INDEX(当日早見表!$B$7:$B$44,MATCH(B61&amp;"系統",当日早見表!$A$7:$A$44,0)),"")</f>
        <v/>
      </c>
    </row>
  </sheetData>
  <autoFilter ref="A4:H61"/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style="37" min="1" max="1"/>
    <col width="6" customWidth="1" style="37" min="2" max="2"/>
    <col width="14" customWidth="1" style="37" min="3" max="3"/>
    <col width="6" customWidth="1" style="37" min="4" max="4"/>
  </cols>
  <sheetData>
    <row r="1" ht="15" customHeight="1" s="37">
      <c r="A1" s="5" t="inlineStr">
        <is>
          <t>路線</t>
        </is>
      </c>
      <c r="B1" s="5" t="inlineStr">
        <is>
          <t>駅順</t>
        </is>
      </c>
      <c r="C1" s="5" t="inlineStr">
        <is>
          <t>駅名</t>
        </is>
      </c>
      <c r="D1" s="5" t="inlineStr">
        <is>
          <t>略号</t>
        </is>
      </c>
    </row>
    <row r="2" ht="15" customHeight="1" s="37">
      <c r="A2" s="27" t="inlineStr">
        <is>
          <t>本線</t>
        </is>
      </c>
      <c r="B2" s="27" t="n">
        <v>1</v>
      </c>
      <c r="C2" s="28" t="inlineStr">
        <is>
          <t>嵐山</t>
        </is>
      </c>
      <c r="D2" s="27" t="inlineStr">
        <is>
          <t>嵐</t>
        </is>
      </c>
    </row>
    <row r="3" ht="15" customHeight="1" s="37">
      <c r="A3" s="27" t="inlineStr">
        <is>
          <t>本線</t>
        </is>
      </c>
      <c r="B3" s="27" t="n">
        <v>2</v>
      </c>
      <c r="C3" s="28" t="inlineStr">
        <is>
          <t>嵯峨</t>
        </is>
      </c>
      <c r="D3" s="27" t="inlineStr">
        <is>
          <t>嵯</t>
        </is>
      </c>
    </row>
    <row r="4" ht="15" customHeight="1" s="37">
      <c r="A4" s="27" t="inlineStr">
        <is>
          <t>本線</t>
        </is>
      </c>
      <c r="B4" s="27" t="n">
        <v>3</v>
      </c>
      <c r="C4" s="28" t="inlineStr">
        <is>
          <t>鹿王院</t>
        </is>
      </c>
      <c r="D4" s="27" t="inlineStr">
        <is>
          <t>鹿</t>
        </is>
      </c>
    </row>
    <row r="5" ht="15" customHeight="1" s="37">
      <c r="A5" s="27" t="inlineStr">
        <is>
          <t>本線</t>
        </is>
      </c>
      <c r="B5" s="27" t="n">
        <v>4</v>
      </c>
      <c r="C5" s="28" t="inlineStr">
        <is>
          <t>車折</t>
        </is>
      </c>
      <c r="D5" s="27" t="inlineStr">
        <is>
          <t>車</t>
        </is>
      </c>
    </row>
    <row r="6" ht="15" customHeight="1" s="37">
      <c r="A6" s="27" t="inlineStr">
        <is>
          <t>本線</t>
        </is>
      </c>
      <c r="B6" s="27" t="n">
        <v>5</v>
      </c>
      <c r="C6" s="28" t="inlineStr">
        <is>
          <t>有栖川</t>
        </is>
      </c>
      <c r="D6" s="27" t="inlineStr">
        <is>
          <t>有</t>
        </is>
      </c>
    </row>
    <row r="7" ht="15" customHeight="1" s="37">
      <c r="A7" s="27" t="inlineStr">
        <is>
          <t>本線</t>
        </is>
      </c>
      <c r="B7" s="27" t="n">
        <v>6</v>
      </c>
      <c r="C7" s="28" t="inlineStr">
        <is>
          <t>帷子ノ辻</t>
        </is>
      </c>
      <c r="D7" s="27" t="inlineStr">
        <is>
          <t>帷</t>
        </is>
      </c>
    </row>
    <row r="8" ht="15" customHeight="1" s="37">
      <c r="A8" s="27" t="inlineStr">
        <is>
          <t>本線</t>
        </is>
      </c>
      <c r="B8" s="27" t="n">
        <v>7</v>
      </c>
      <c r="C8" s="28" t="inlineStr">
        <is>
          <t>太秦広隆寺</t>
        </is>
      </c>
      <c r="D8" s="27" t="inlineStr">
        <is>
          <t>太</t>
        </is>
      </c>
    </row>
    <row r="9" ht="15" customHeight="1" s="37">
      <c r="A9" s="27" t="inlineStr">
        <is>
          <t>本線</t>
        </is>
      </c>
      <c r="B9" s="27" t="n">
        <v>8</v>
      </c>
      <c r="C9" s="28" t="inlineStr">
        <is>
          <t>蚕ノ社</t>
        </is>
      </c>
      <c r="D9" s="27" t="inlineStr">
        <is>
          <t>蚕</t>
        </is>
      </c>
    </row>
    <row r="10" ht="15" customHeight="1" s="37">
      <c r="A10" s="27" t="inlineStr">
        <is>
          <t>本線</t>
        </is>
      </c>
      <c r="B10" s="27" t="n">
        <v>9</v>
      </c>
      <c r="C10" s="28" t="inlineStr">
        <is>
          <t>天神川</t>
        </is>
      </c>
      <c r="D10" s="27" t="inlineStr">
        <is>
          <t>天</t>
        </is>
      </c>
    </row>
    <row r="11" ht="15" customHeight="1" s="37">
      <c r="A11" s="27" t="inlineStr">
        <is>
          <t>本線</t>
        </is>
      </c>
      <c r="B11" s="27" t="n">
        <v>10</v>
      </c>
      <c r="C11" s="28" t="inlineStr">
        <is>
          <t>山ノ内</t>
        </is>
      </c>
      <c r="D11" s="27" t="inlineStr">
        <is>
          <t>山</t>
        </is>
      </c>
    </row>
    <row r="12" ht="15" customHeight="1" s="37">
      <c r="A12" s="27" t="inlineStr">
        <is>
          <t>本線</t>
        </is>
      </c>
      <c r="B12" s="27" t="n">
        <v>11</v>
      </c>
      <c r="C12" s="28" t="inlineStr">
        <is>
          <t>西大路三条</t>
        </is>
      </c>
      <c r="D12" s="27" t="inlineStr">
        <is>
          <t>三</t>
        </is>
      </c>
    </row>
    <row r="13" ht="15" customHeight="1" s="37">
      <c r="A13" s="27" t="inlineStr">
        <is>
          <t>本線</t>
        </is>
      </c>
      <c r="B13" s="27" t="n">
        <v>12</v>
      </c>
      <c r="C13" s="28" t="inlineStr">
        <is>
          <t>西院</t>
        </is>
      </c>
      <c r="D13" s="27" t="inlineStr">
        <is>
          <t>西</t>
        </is>
      </c>
    </row>
    <row r="14" ht="15" customHeight="1" s="37">
      <c r="A14" s="27" t="inlineStr">
        <is>
          <t>本線</t>
        </is>
      </c>
      <c r="B14" s="27" t="n">
        <v>13</v>
      </c>
      <c r="C14" s="28" t="inlineStr">
        <is>
          <t>四条大宮</t>
        </is>
      </c>
      <c r="D14" s="27" t="inlineStr">
        <is>
          <t>四</t>
        </is>
      </c>
    </row>
    <row r="15" ht="15" customHeight="1" s="37">
      <c r="A15" s="27" t="inlineStr">
        <is>
          <t>北野線</t>
        </is>
      </c>
      <c r="B15" s="27" t="n">
        <v>1</v>
      </c>
      <c r="C15" s="28" t="inlineStr">
        <is>
          <t>北野白梅町</t>
        </is>
      </c>
      <c r="D15" s="27" t="inlineStr">
        <is>
          <t>北</t>
        </is>
      </c>
    </row>
    <row r="16" ht="15" customHeight="1" s="37">
      <c r="A16" s="27" t="inlineStr">
        <is>
          <t>北野線</t>
        </is>
      </c>
      <c r="B16" s="27" t="n">
        <v>2</v>
      </c>
      <c r="C16" s="28" t="inlineStr">
        <is>
          <t>等持院</t>
        </is>
      </c>
      <c r="D16" s="27" t="inlineStr">
        <is>
          <t>等</t>
        </is>
      </c>
    </row>
    <row r="17" ht="15" customHeight="1" s="37">
      <c r="A17" s="27" t="inlineStr">
        <is>
          <t>北野線</t>
        </is>
      </c>
      <c r="B17" s="27" t="n">
        <v>3</v>
      </c>
      <c r="C17" s="28" t="inlineStr">
        <is>
          <t>龍安寺</t>
        </is>
      </c>
      <c r="D17" s="27" t="inlineStr">
        <is>
          <t>龍</t>
        </is>
      </c>
    </row>
    <row r="18" ht="15" customHeight="1" s="37">
      <c r="A18" s="27" t="inlineStr">
        <is>
          <t>北野線</t>
        </is>
      </c>
      <c r="B18" s="27" t="n">
        <v>4</v>
      </c>
      <c r="C18" s="28" t="inlineStr">
        <is>
          <t>妙心寺</t>
        </is>
      </c>
      <c r="D18" s="27" t="inlineStr">
        <is>
          <t>妙</t>
        </is>
      </c>
    </row>
    <row r="19" ht="15" customHeight="1" s="37">
      <c r="A19" s="27" t="inlineStr">
        <is>
          <t>北野線</t>
        </is>
      </c>
      <c r="B19" s="27" t="n">
        <v>5</v>
      </c>
      <c r="C19" s="28" t="inlineStr">
        <is>
          <t>御室仁和寺</t>
        </is>
      </c>
      <c r="D19" s="27" t="inlineStr">
        <is>
          <t>御</t>
        </is>
      </c>
    </row>
    <row r="20" ht="15" customHeight="1" s="37">
      <c r="A20" s="27" t="inlineStr">
        <is>
          <t>北野線</t>
        </is>
      </c>
      <c r="B20" s="27" t="n">
        <v>6</v>
      </c>
      <c r="C20" s="28" t="inlineStr">
        <is>
          <t>宇多野</t>
        </is>
      </c>
      <c r="D20" s="27" t="inlineStr">
        <is>
          <t>宇</t>
        </is>
      </c>
    </row>
    <row r="21" ht="15" customHeight="1" s="37">
      <c r="A21" s="27" t="inlineStr">
        <is>
          <t>北野線</t>
        </is>
      </c>
      <c r="B21" s="27" t="n">
        <v>7</v>
      </c>
      <c r="C21" s="28" t="inlineStr">
        <is>
          <t>鳴滝</t>
        </is>
      </c>
      <c r="D21" s="27" t="inlineStr">
        <is>
          <t>鳴</t>
        </is>
      </c>
    </row>
    <row r="22" ht="15" customHeight="1" s="37">
      <c r="A22" s="27" t="inlineStr">
        <is>
          <t>北野線</t>
        </is>
      </c>
      <c r="B22" s="27" t="n">
        <v>8</v>
      </c>
      <c r="C22" s="28" t="inlineStr">
        <is>
          <t>常盤</t>
        </is>
      </c>
      <c r="D22" s="27" t="inlineStr">
        <is>
          <t>常</t>
        </is>
      </c>
    </row>
    <row r="23" ht="15" customHeight="1" s="37">
      <c r="A23" s="27" t="inlineStr">
        <is>
          <t>北野線</t>
        </is>
      </c>
      <c r="B23" s="27" t="n">
        <v>9</v>
      </c>
      <c r="C23" s="28" t="inlineStr">
        <is>
          <t>撮影所前</t>
        </is>
      </c>
      <c r="D23" s="27" t="inlineStr">
        <is>
          <t>撮</t>
        </is>
      </c>
    </row>
    <row r="24" ht="15" customHeight="1" s="37">
      <c r="A24" s="27" t="inlineStr">
        <is>
          <t>北野線</t>
        </is>
      </c>
      <c r="B24" s="27" t="n">
        <v>10</v>
      </c>
      <c r="C24" s="28" t="inlineStr">
        <is>
          <t>帷子ノ辻</t>
        </is>
      </c>
      <c r="D24" s="27" t="inlineStr">
        <is>
          <t>帷</t>
        </is>
      </c>
    </row>
  </sheetData>
  <autoFilter ref="A1:D1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style="37" min="1" max="1"/>
    <col width="110" customWidth="1" style="37" min="2" max="2"/>
  </cols>
  <sheetData>
    <row r="1">
      <c r="A1" t="inlineStr">
        <is>
          <t>運転士 行路表 分析用.xlsx — データ辞書＆運用ガイド（説明不要レベル・全ツール共通）</t>
        </is>
      </c>
      <c r="B1" t="inlineStr">
        <is>
          <t>嵐電(本線 嵐山↔四条大宮13駅／北野線 北野白梅町↔帷子ノ辻)の運転士担当データ。運転士表HTMLの出力仕様は『表示仕様_帷子到着表』シートに完全記載。</t>
        </is>
      </c>
    </row>
    <row r="2">
      <c r="A2" t="inlineStr">
        <is>
          <t>【シート一覧】</t>
        </is>
      </c>
    </row>
    <row r="3">
      <c r="A3" t="inlineStr">
        <is>
          <t>早見表_全期間</t>
        </is>
      </c>
      <c r="B3" t="inlineStr">
        <is>
          <t>日付×系統 の担当運転士表(2026-05〜)。ダイヤ区分(平日/休日)も保持。担当解決の正本。</t>
        </is>
      </c>
    </row>
    <row r="4">
      <c r="A4" t="inlineStr">
        <is>
          <t>行路_ロング</t>
        </is>
      </c>
      <c r="B4" t="inlineStr">
        <is>
          <t>1行=1列車×1駅イベント(9744行・23列)。便・時刻(秒)・属性・各フラグの正本。下記列辞書参照。</t>
        </is>
      </c>
    </row>
    <row r="5">
      <c r="A5" t="inlineStr">
        <is>
          <t>出退勤マスタ</t>
        </is>
      </c>
      <c r="B5" t="inlineStr">
        <is>
          <t>系統別の出勤/退勤時刻。中休勤務=系統8/9/20/21(2回出勤)。</t>
        </is>
      </c>
    </row>
    <row r="6">
      <c r="A6" t="inlineStr">
        <is>
          <t>休憩マスタ</t>
        </is>
      </c>
      <c r="B6" t="inlineStr">
        <is>
          <t>系統別の休憩(開始/終了/所要分/交代駅/区分)。行路_ロング『次休憩』列の生成元。</t>
        </is>
      </c>
    </row>
    <row r="7">
      <c r="A7" t="inlineStr">
        <is>
          <t>駅マスタ</t>
        </is>
      </c>
      <c r="B7" t="inlineStr">
        <is>
          <t>駅名・略号・路線内駅順。本線 嵐山(1)〜四条大宮(13)／北野線 帷子ノ辻〜北野白梅町。</t>
        </is>
      </c>
    </row>
    <row r="8">
      <c r="A8" t="inlineStr">
        <is>
          <t>祝日マスタ</t>
        </is>
      </c>
      <c r="B8" t="inlineStr">
        <is>
          <t>祝日判定(休日ダイヤ)。</t>
        </is>
      </c>
    </row>
    <row r="9">
      <c r="A9" t="inlineStr">
        <is>
          <t>便乗_乗車便対応</t>
        </is>
      </c>
      <c r="B9" t="inlineStr">
        <is>
          <t>便乗便→乗車列車番号の対応。便乗の番線/運転時分継承・列番表示に使用。</t>
        </is>
      </c>
    </row>
    <row r="10">
      <c r="A10" t="inlineStr">
        <is>
          <t>当日早見表／当日休憩ビュー</t>
        </is>
      </c>
      <c r="B10" t="inlineStr">
        <is>
          <t>TODAY()連動の当日抽出ビュー(手動確認用)。生成器は使用しない。</t>
        </is>
      </c>
    </row>
    <row r="11">
      <c r="A11" t="inlineStr">
        <is>
          <t>表示仕様_帷子到着表</t>
        </is>
      </c>
      <c r="B11" t="inlineStr">
        <is>
          <t>運転士表HTML出力の完全仕様書(唯一の基準)。</t>
        </is>
      </c>
    </row>
    <row r="12">
      <c r="A12" t="inlineStr">
        <is>
          <t>【行路_ロング 列辞書（23列）】</t>
        </is>
      </c>
    </row>
    <row r="13">
      <c r="A13" t="inlineStr">
        <is>
          <t>系統</t>
        </is>
      </c>
      <c r="B13" t="inlineStr">
        <is>
          <t>行路(乗務員1日の仕業)番号。早見表でN系統→運転士名。</t>
        </is>
      </c>
    </row>
    <row r="14">
      <c r="A14" t="inlineStr">
        <is>
          <t>ダイヤ</t>
        </is>
      </c>
      <c r="B14" t="inlineStr">
        <is>
          <t>平日/休日。</t>
        </is>
      </c>
    </row>
    <row r="15">
      <c r="A15" t="inlineStr">
        <is>
          <t>路線</t>
        </is>
      </c>
      <c r="B15" t="inlineStr">
        <is>
          <t>本線/北野線(走行する物理線路で分類)。</t>
        </is>
      </c>
    </row>
    <row r="16">
      <c r="A16" t="inlineStr">
        <is>
          <t>方向</t>
        </is>
      </c>
      <c r="B16" t="inlineStr">
        <is>
          <t>上り/下り。本線:四条大宮行=上り/嵐山行=下り。北野:北野白梅町行=上り/帷子ノ辻行=下り。</t>
        </is>
      </c>
    </row>
    <row r="17">
      <c r="A17" t="inlineStr">
        <is>
          <t>列車番号</t>
        </is>
      </c>
      <c r="B17" t="inlineStr">
        <is>
          <t>列車(運行)番号。接頭『連』=連結運転、『回』=回送。便乗便は便乗ID。</t>
        </is>
      </c>
    </row>
    <row r="18">
      <c r="A18" t="inlineStr">
        <is>
          <t>放送番号</t>
        </is>
      </c>
      <c r="B18" t="inlineStr">
        <is>
          <t>車内放送番号。回送/便乗/空あり。</t>
        </is>
      </c>
    </row>
    <row r="19">
      <c r="A19" t="inlineStr">
        <is>
          <t>駅</t>
        </is>
      </c>
      <c r="B19" t="inlineStr">
        <is>
          <t>停車駅名(駅マスタ準拠)。</t>
        </is>
      </c>
    </row>
    <row r="20">
      <c r="A20" t="inlineStr">
        <is>
          <t>時刻</t>
        </is>
      </c>
      <c r="B20" t="inlineStr">
        <is>
          <t>HH:MM(発時刻)。</t>
        </is>
      </c>
    </row>
    <row r="21">
      <c r="A21" t="inlineStr">
        <is>
          <t>到着時刻</t>
        </is>
      </c>
      <c r="B21" t="inlineStr">
        <is>
          <t>到着基準時刻(途中駅=発時刻/終着=着時刻/始発=空)。</t>
        </is>
      </c>
    </row>
    <row r="22">
      <c r="A22" t="inlineStr">
        <is>
          <t>着発</t>
        </is>
      </c>
      <c r="B22" t="inlineStr">
        <is>
          <t>着=終着(1列車に1つ)/発=その他(始発・途中)。</t>
        </is>
      </c>
    </row>
    <row r="23">
      <c r="A23" t="inlineStr">
        <is>
          <t>日跨ぎ</t>
        </is>
      </c>
      <c r="B23" t="inlineStr">
        <is>
          <t>○=24時超で翌日に跨ぐ。</t>
        </is>
      </c>
    </row>
    <row r="24">
      <c r="A24" t="inlineStr">
        <is>
          <t>種別</t>
        </is>
      </c>
      <c r="B24" t="inlineStr">
        <is>
          <t>営業(834便,平日426・休日408)/便乗(32)/回送(19)。</t>
        </is>
      </c>
    </row>
    <row r="25">
      <c r="A25" t="inlineStr">
        <is>
          <t>充当</t>
        </is>
      </c>
      <c r="B25" t="inlineStr">
        <is>
          <t>通し運用の充当(←/→列番)。</t>
        </is>
      </c>
    </row>
    <row r="26">
      <c r="A26" t="inlineStr">
        <is>
          <t>着時刻(秒)/発時刻(秒)</t>
        </is>
      </c>
      <c r="B26" t="inlineStr">
        <is>
          <t>発着時刻表PDF由来の秒精度時刻。秒突合17,339件で結合検証済。</t>
        </is>
      </c>
    </row>
    <row r="27">
      <c r="A27" t="inlineStr">
        <is>
          <t>車内集札</t>
        </is>
      </c>
      <c r="B27" t="inlineStr">
        <is>
          <t>○=車内集札を行う便。</t>
        </is>
      </c>
    </row>
    <row r="28">
      <c r="A28" t="inlineStr">
        <is>
          <t>金庫</t>
        </is>
      </c>
      <c r="B28" t="inlineStr">
        <is>
          <t>金庫・納金袋運用の積込/返却内容(文章)。</t>
        </is>
      </c>
    </row>
    <row r="29">
      <c r="A29" t="inlineStr">
        <is>
          <t>後部要員</t>
        </is>
      </c>
      <c r="B29" t="inlineStr">
        <is>
          <t>連結車の後部要員(A〜F系統 等)。</t>
        </is>
      </c>
    </row>
    <row r="30">
      <c r="A30" t="inlineStr">
        <is>
          <t>番線</t>
        </is>
      </c>
      <c r="B30" t="inlineStr">
        <is>
          <t>発着番線(本線=嵐山発/四条大宮着等の駅別番線、北野=帷子ノ辻3/4)。出/入/留/誘 付記保持。値1/2/3/4/空。</t>
        </is>
      </c>
    </row>
    <row r="31">
      <c r="A31" t="inlineStr">
        <is>
          <t>西院止まり</t>
        </is>
      </c>
      <c r="B31" t="inlineStr">
        <is>
          <t>○=西院どまり(本線上り営業108便)。</t>
        </is>
      </c>
    </row>
    <row r="32">
      <c r="A32" t="inlineStr">
        <is>
          <t>便乗表示列番</t>
        </is>
      </c>
      <c r="B32" t="inlineStr">
        <is>
          <t>便乗便が同乗する乗車列車番号(便乗の列番表示用)。</t>
        </is>
      </c>
    </row>
    <row r="33">
      <c r="A33" t="inlineStr">
        <is>
          <t>退勤</t>
        </is>
      </c>
      <c r="B33" t="inlineStr">
        <is>
          <t>○=その乗務員の当日最終担当便(=ラスト便)。平日25・全49。ラスト判定の唯一の元。</t>
        </is>
      </c>
    </row>
    <row r="34">
      <c r="A34" t="inlineStr">
        <is>
          <t>次休憩</t>
        </is>
      </c>
      <c r="B34" t="inlineStr">
        <is>
          <t>乗務直後の休憩(→駅 休憩(開始〜終了))または中休退勤(→駅 退勤(中休…))。休憩マスタ由来。</t>
        </is>
      </c>
    </row>
    <row r="35">
      <c r="A35" t="inlineStr">
        <is>
          <t>【担当運転士の引き方】</t>
        </is>
      </c>
      <c r="B35" t="inlineStr">
        <is>
          <t>①行路_ロングで対象列車の系統を特定 → ②早見表_全期間で日付×系統を検索 → 運転士名。『欠員①/②』は欠員枠で『欠員』表記。</t>
        </is>
      </c>
    </row>
    <row r="36">
      <c r="A36" t="inlineStr">
        <is>
          <t>【結合キー】</t>
        </is>
      </c>
      <c r="B36" t="inlineStr">
        <is>
          <t>路線×ダイヤ×方向×列車番号(連/回除いた数字下4桁=core)。番線・運転時分は発着時刻表PDFと同キーで突合済。</t>
        </is>
      </c>
    </row>
    <row r="37">
      <c r="A37" t="inlineStr">
        <is>
          <t>【標準運用】</t>
        </is>
      </c>
    </row>
    <row r="38">
      <c r="A38" t="inlineStr">
        <is>
          <t>ラスト</t>
        </is>
      </c>
      <c r="B38" t="inlineStr">
        <is>
          <t>各乗務員の最終担当便=『退勤』列○。系統×列車番号一致でその便の全駅行に［ラスト］(全駅・時系列で判別)。</t>
        </is>
      </c>
    </row>
    <row r="39">
      <c r="A39" t="inlineStr">
        <is>
          <t>終着駅</t>
        </is>
      </c>
      <c r="B39" t="inlineStr">
        <is>
          <t>嵐山・四条大宮・北野白梅町=着発を1表に統合(gen_shu.py)。西院・帷子・途中駅=着/発別(gen_kt_chaku.py/gen_kt.py)。</t>
        </is>
      </c>
    </row>
    <row r="40">
      <c r="A40" t="inlineStr">
        <is>
          <t>ファイル名</t>
        </is>
      </c>
      <c r="B40" t="inlineStr">
        <is>
          <t>頭に作成時刻 MMDD-HHMM(現在JST)。例 0617-2030_shijoomiya_着発.html。半角ローマ字駅名。</t>
        </is>
      </c>
    </row>
    <row r="41">
      <c r="A41" t="inlineStr">
        <is>
          <t>回答時JST</t>
        </is>
      </c>
      <c r="B41" t="inlineStr">
        <is>
          <t>チャット回答は毎回先頭に『📅 YYYY-MM-DD（曜日）HH:MM JST』。</t>
        </is>
      </c>
    </row>
    <row r="42">
      <c r="A42" t="inlineStr">
        <is>
          <t>高速化</t>
        </is>
      </c>
      <c r="B42" t="inlineStr">
        <is>
          <t>生成器は load_workbook(data_only=True,read_only=True)。行路_ロング・早見表のみ1回iter。</t>
        </is>
      </c>
    </row>
    <row r="43">
      <c r="A43" t="inlineStr">
        <is>
          <t>【既知の制約】</t>
        </is>
      </c>
    </row>
    <row r="44">
      <c r="A44" t="inlineStr">
        <is>
          <t>制約</t>
        </is>
      </c>
      <c r="B44" t="inlineStr">
        <is>
          <t>・時刻はhh:mm(秒は別列)。・25/27系統は出勤あり乗務便なし(枠のみ・正常)。・26系統は平日のみ短時間。・元データの出庫/下り交代/車内集札等の運用注記は別列化済。</t>
        </is>
      </c>
    </row>
    <row r="45" ht="45" customHeight="1" s="37">
      <c r="A45" s="34" t="inlineStr">
        <is>
          <t>運用ルール</t>
        </is>
      </c>
      <c r="B45" s="35" t="inlineStr">
        <is>
          <t>運転士表(到着/発車)は依頼時に確認せず必ずHTMLで出力(基準時刻は指定なければ現在JST)。回答冒頭は📅 YYYY-MM-DD（曜）HH:MM JST形式。出力ファイル名は半角主体「MMDD-HHMM_ローマ字駅名_発.html/_着.html」(発着のみ日本語1字)。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2" customWidth="1" style="37" min="1" max="1"/>
    <col width="5" customWidth="1" style="37" min="2" max="2"/>
    <col width="11" customWidth="1" style="37" min="3" max="3"/>
    <col width="18" customWidth="1" style="37" min="4" max="4"/>
  </cols>
  <sheetData>
    <row r="1" ht="15" customHeight="1" s="37">
      <c r="A1" s="5" t="inlineStr">
        <is>
          <t>日付</t>
        </is>
      </c>
      <c r="B1" s="5" t="inlineStr">
        <is>
          <t>曜日</t>
        </is>
      </c>
      <c r="C1" s="5" t="inlineStr">
        <is>
          <t>区分</t>
        </is>
      </c>
      <c r="D1" s="5" t="inlineStr">
        <is>
          <t>名称</t>
        </is>
      </c>
    </row>
    <row r="2" ht="15" customHeight="1" s="37">
      <c r="A2" s="29" t="inlineStr">
        <is>
          <t>2026-05-05</t>
        </is>
      </c>
      <c r="B2" s="30" t="inlineStr">
        <is>
          <t>火</t>
        </is>
      </c>
      <c r="C2" s="30" t="inlineStr">
        <is>
          <t>休日</t>
        </is>
      </c>
      <c r="D2" s="31" t="inlineStr">
        <is>
          <t>こどもの日</t>
        </is>
      </c>
    </row>
    <row r="3" ht="15" customHeight="1" s="37">
      <c r="A3" s="29" t="inlineStr">
        <is>
          <t>2026-05-06</t>
        </is>
      </c>
      <c r="B3" s="30" t="inlineStr">
        <is>
          <t>水</t>
        </is>
      </c>
      <c r="C3" s="30" t="inlineStr">
        <is>
          <t>休日</t>
        </is>
      </c>
      <c r="D3" s="31" t="inlineStr">
        <is>
          <t>憲法記念日 振替休日</t>
        </is>
      </c>
    </row>
    <row r="4" ht="15" customHeight="1" s="37">
      <c r="A4" s="29" t="inlineStr">
        <is>
          <t>2026-07-20</t>
        </is>
      </c>
      <c r="B4" s="30" t="inlineStr">
        <is>
          <t>月</t>
        </is>
      </c>
      <c r="C4" s="30" t="inlineStr">
        <is>
          <t>休日</t>
        </is>
      </c>
      <c r="D4" s="31" t="inlineStr">
        <is>
          <t>海の日</t>
        </is>
      </c>
    </row>
    <row r="5" ht="15" customHeight="1" s="37">
      <c r="A5" s="29" t="inlineStr">
        <is>
          <t>2026-08-11</t>
        </is>
      </c>
      <c r="B5" s="30" t="inlineStr">
        <is>
          <t>火</t>
        </is>
      </c>
      <c r="C5" s="30" t="inlineStr">
        <is>
          <t>休日</t>
        </is>
      </c>
      <c r="D5" s="31" t="inlineStr">
        <is>
          <t>山の日</t>
        </is>
      </c>
    </row>
    <row r="6" ht="15" customHeight="1" s="37">
      <c r="A6" s="29" t="inlineStr">
        <is>
          <t>2026-09-21</t>
        </is>
      </c>
      <c r="B6" s="30" t="inlineStr">
        <is>
          <t>月</t>
        </is>
      </c>
      <c r="C6" s="30" t="inlineStr">
        <is>
          <t>休日</t>
        </is>
      </c>
      <c r="D6" s="31" t="inlineStr">
        <is>
          <t>敬老の日</t>
        </is>
      </c>
    </row>
    <row r="7" ht="15" customHeight="1" s="37">
      <c r="A7" s="29" t="inlineStr">
        <is>
          <t>2026-09-22</t>
        </is>
      </c>
      <c r="B7" s="30" t="inlineStr">
        <is>
          <t>火</t>
        </is>
      </c>
      <c r="C7" s="30" t="inlineStr">
        <is>
          <t>休日</t>
        </is>
      </c>
      <c r="D7" s="31" t="inlineStr">
        <is>
          <t>国民の休日</t>
        </is>
      </c>
    </row>
    <row r="8" ht="15" customHeight="1" s="37">
      <c r="A8" s="29" t="inlineStr">
        <is>
          <t>2026-09-23</t>
        </is>
      </c>
      <c r="B8" s="30" t="inlineStr">
        <is>
          <t>水</t>
        </is>
      </c>
      <c r="C8" s="30" t="inlineStr">
        <is>
          <t>休日</t>
        </is>
      </c>
      <c r="D8" s="31" t="inlineStr">
        <is>
          <t>秋分の日</t>
        </is>
      </c>
    </row>
    <row r="9" ht="15" customHeight="1" s="37">
      <c r="A9" s="29" t="inlineStr">
        <is>
          <t>2026-10-12</t>
        </is>
      </c>
      <c r="B9" s="30" t="inlineStr">
        <is>
          <t>月</t>
        </is>
      </c>
      <c r="C9" s="30" t="inlineStr">
        <is>
          <t>休日</t>
        </is>
      </c>
      <c r="D9" s="31" t="inlineStr">
        <is>
          <t>スポーツの日</t>
        </is>
      </c>
    </row>
    <row r="10" ht="15" customHeight="1" s="37">
      <c r="A10" s="29" t="inlineStr">
        <is>
          <t>2026-11-03</t>
        </is>
      </c>
      <c r="B10" s="30" t="inlineStr">
        <is>
          <t>火</t>
        </is>
      </c>
      <c r="C10" s="30" t="inlineStr">
        <is>
          <t>休日</t>
        </is>
      </c>
      <c r="D10" s="31" t="inlineStr">
        <is>
          <t>文化の日</t>
        </is>
      </c>
    </row>
    <row r="11" ht="15" customHeight="1" s="37">
      <c r="A11" s="29" t="inlineStr">
        <is>
          <t>2026-11-23</t>
        </is>
      </c>
      <c r="B11" s="30" t="inlineStr">
        <is>
          <t>月</t>
        </is>
      </c>
      <c r="C11" s="30" t="inlineStr">
        <is>
          <t>休日</t>
        </is>
      </c>
      <c r="D11" s="31" t="inlineStr">
        <is>
          <t>勤労感謝の日</t>
        </is>
      </c>
    </row>
    <row r="12" ht="15" customHeight="1" s="37">
      <c r="A12" s="29" t="inlineStr">
        <is>
          <t>2026-12-30</t>
        </is>
      </c>
      <c r="B12" s="30" t="inlineStr">
        <is>
          <t>水</t>
        </is>
      </c>
      <c r="C12" s="30" t="inlineStr">
        <is>
          <t>年末年始</t>
        </is>
      </c>
      <c r="D12" s="31" t="inlineStr">
        <is>
          <t>（年末年始）</t>
        </is>
      </c>
    </row>
    <row r="13" ht="15" customHeight="1" s="37">
      <c r="A13" s="29" t="inlineStr">
        <is>
          <t>2026-12-31</t>
        </is>
      </c>
      <c r="B13" s="30" t="inlineStr">
        <is>
          <t>木</t>
        </is>
      </c>
      <c r="C13" s="30" t="inlineStr">
        <is>
          <t>年末年始</t>
        </is>
      </c>
      <c r="D13" s="31" t="inlineStr">
        <is>
          <t>（年末年始）</t>
        </is>
      </c>
    </row>
    <row r="14" ht="15" customHeight="1" s="37">
      <c r="A14" s="29" t="inlineStr">
        <is>
          <t>2027-01-01</t>
        </is>
      </c>
      <c r="B14" s="30" t="inlineStr">
        <is>
          <t>金</t>
        </is>
      </c>
      <c r="C14" s="30" t="inlineStr">
        <is>
          <t>年末年始</t>
        </is>
      </c>
      <c r="D14" s="31" t="inlineStr">
        <is>
          <t>元日</t>
        </is>
      </c>
    </row>
    <row r="15" ht="15" customHeight="1" s="37">
      <c r="A15" s="29" t="inlineStr">
        <is>
          <t>2027-01-02</t>
        </is>
      </c>
      <c r="B15" s="30" t="inlineStr">
        <is>
          <t>土</t>
        </is>
      </c>
      <c r="C15" s="30" t="inlineStr">
        <is>
          <t>年末年始</t>
        </is>
      </c>
      <c r="D15" s="31" t="inlineStr">
        <is>
          <t>（年末年始）</t>
        </is>
      </c>
    </row>
    <row r="16" ht="15" customHeight="1" s="37">
      <c r="A16" s="29" t="inlineStr">
        <is>
          <t>2027-01-03</t>
        </is>
      </c>
      <c r="B16" s="30" t="inlineStr">
        <is>
          <t>日</t>
        </is>
      </c>
      <c r="C16" s="30" t="inlineStr">
        <is>
          <t>年末年始</t>
        </is>
      </c>
      <c r="D16" s="31" t="inlineStr">
        <is>
          <t>（年末年始）</t>
        </is>
      </c>
    </row>
    <row r="17" ht="15" customHeight="1" s="37">
      <c r="A17" s="29" t="inlineStr">
        <is>
          <t>2027-01-11</t>
        </is>
      </c>
      <c r="B17" s="30" t="inlineStr">
        <is>
          <t>月</t>
        </is>
      </c>
      <c r="C17" s="30" t="inlineStr">
        <is>
          <t>休日</t>
        </is>
      </c>
      <c r="D17" s="31" t="inlineStr">
        <is>
          <t>成人の日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8" customWidth="1" style="37" min="1" max="1"/>
    <col width="6" customWidth="1" style="37" min="2" max="2"/>
    <col width="16" customWidth="1" style="37" min="3" max="3"/>
    <col width="9" customWidth="1" style="37" min="4" max="4"/>
    <col width="10" customWidth="1" style="37" min="5" max="5"/>
    <col width="9" customWidth="1" style="37" min="6" max="6"/>
    <col width="10" customWidth="1" style="37" min="7" max="7"/>
    <col width="8" customWidth="1" style="37" min="8" max="9"/>
    <col width="12" customWidth="1" style="37" min="10" max="10"/>
    <col width="8" customWidth="1" style="37" min="11" max="11"/>
    <col width="10" customWidth="1" style="37" min="12" max="13"/>
    <col width="40" customWidth="1" style="37" min="14" max="14"/>
  </cols>
  <sheetData>
    <row r="1" ht="16.5" customHeight="1" s="37">
      <c r="A1" s="19" t="inlineStr">
        <is>
          <t>便乗系統</t>
        </is>
      </c>
      <c r="B1" s="19" t="inlineStr">
        <is>
          <t>区分</t>
        </is>
      </c>
      <c r="C1" s="19" t="inlineStr">
        <is>
          <t>便乗ID</t>
        </is>
      </c>
      <c r="D1" s="19" t="inlineStr">
        <is>
          <t>便乗発駅</t>
        </is>
      </c>
      <c r="E1" s="19" t="inlineStr">
        <is>
          <t>便乗発時刻</t>
        </is>
      </c>
      <c r="F1" s="19" t="inlineStr">
        <is>
          <t>便乗着駅</t>
        </is>
      </c>
      <c r="G1" s="19" t="inlineStr">
        <is>
          <t>便乗着時刻</t>
        </is>
      </c>
      <c r="H1" s="19" t="inlineStr">
        <is>
          <t>便乗方向</t>
        </is>
      </c>
      <c r="I1" s="19" t="inlineStr">
        <is>
          <t>乗車系統</t>
        </is>
      </c>
      <c r="J1" s="19" t="inlineStr">
        <is>
          <t>乗車列車番号</t>
        </is>
      </c>
      <c r="K1" s="19" t="inlineStr">
        <is>
          <t>乗車種別</t>
        </is>
      </c>
      <c r="L1" s="19" t="inlineStr">
        <is>
          <t>乗車発時刻</t>
        </is>
      </c>
      <c r="M1" s="19" t="inlineStr">
        <is>
          <t>乗車着時刻</t>
        </is>
      </c>
      <c r="N1" s="19" t="inlineStr">
        <is>
          <t>備考</t>
        </is>
      </c>
    </row>
    <row r="2" ht="16.5" customHeight="1" s="37">
      <c r="A2" t="n">
        <v>16</v>
      </c>
      <c r="B2" s="10" t="inlineStr">
        <is>
          <t>休日</t>
        </is>
      </c>
      <c r="C2" t="inlineStr">
        <is>
          <t>16系統②便乗</t>
        </is>
      </c>
      <c r="D2" s="10" t="inlineStr">
        <is>
          <t>帷子ノ辻</t>
        </is>
      </c>
      <c r="E2" t="inlineStr">
        <is>
          <t>13:41</t>
        </is>
      </c>
      <c r="F2" s="10" t="inlineStr">
        <is>
          <t>西院</t>
        </is>
      </c>
      <c r="G2" t="inlineStr">
        <is>
          <t>13:53</t>
        </is>
      </c>
      <c r="H2" s="10" t="inlineStr">
        <is>
          <t>上り</t>
        </is>
      </c>
      <c r="I2" t="n">
        <v>2</v>
      </c>
      <c r="J2" s="10" t="inlineStr">
        <is>
          <t>連1308</t>
        </is>
      </c>
      <c r="K2" s="10" t="inlineStr">
        <is>
          <t>営業</t>
        </is>
      </c>
      <c r="L2" t="inlineStr">
        <is>
          <t>13:41</t>
        </is>
      </c>
      <c r="M2" t="inlineStr">
        <is>
          <t>13:54</t>
        </is>
      </c>
    </row>
    <row r="3" ht="16.5" customHeight="1" s="37">
      <c r="A3" t="n">
        <v>16</v>
      </c>
      <c r="B3" s="10" t="inlineStr">
        <is>
          <t>平日</t>
        </is>
      </c>
      <c r="C3" t="inlineStr">
        <is>
          <t>16系統⑤便乗</t>
        </is>
      </c>
      <c r="D3" s="10" t="inlineStr">
        <is>
          <t>帷子ノ辻</t>
        </is>
      </c>
      <c r="E3" t="inlineStr">
        <is>
          <t>13:51</t>
        </is>
      </c>
      <c r="F3" s="10" t="inlineStr">
        <is>
          <t>西院</t>
        </is>
      </c>
      <c r="G3" t="inlineStr">
        <is>
          <t>14:03</t>
        </is>
      </c>
      <c r="H3" s="10" t="inlineStr">
        <is>
          <t>上り</t>
        </is>
      </c>
      <c r="I3" t="n">
        <v>5</v>
      </c>
      <c r="J3" t="inlineStr">
        <is>
          <t>1310</t>
        </is>
      </c>
      <c r="K3" s="10" t="inlineStr">
        <is>
          <t>営業</t>
        </is>
      </c>
      <c r="L3" t="inlineStr">
        <is>
          <t>13:51</t>
        </is>
      </c>
      <c r="M3" t="inlineStr">
        <is>
          <t>14:04</t>
        </is>
      </c>
    </row>
    <row r="4" ht="16.5" customHeight="1" s="37">
      <c r="A4" t="n">
        <v>17</v>
      </c>
      <c r="B4" s="10" t="inlineStr">
        <is>
          <t>休日</t>
        </is>
      </c>
      <c r="C4" t="inlineStr">
        <is>
          <t>17系統③便乗</t>
        </is>
      </c>
      <c r="D4" s="10" t="inlineStr">
        <is>
          <t>帷子ノ辻</t>
        </is>
      </c>
      <c r="E4" t="inlineStr">
        <is>
          <t>13:51</t>
        </is>
      </c>
      <c r="F4" s="10" t="inlineStr">
        <is>
          <t>西院</t>
        </is>
      </c>
      <c r="G4" t="inlineStr">
        <is>
          <t>14:03</t>
        </is>
      </c>
      <c r="H4" s="10" t="inlineStr">
        <is>
          <t>上り</t>
        </is>
      </c>
      <c r="I4" t="n">
        <v>3</v>
      </c>
      <c r="J4" s="10" t="inlineStr">
        <is>
          <t>連1310</t>
        </is>
      </c>
      <c r="K4" s="10" t="inlineStr">
        <is>
          <t>営業</t>
        </is>
      </c>
      <c r="L4" t="inlineStr">
        <is>
          <t>13:51</t>
        </is>
      </c>
      <c r="M4" t="inlineStr">
        <is>
          <t>14:04</t>
        </is>
      </c>
    </row>
    <row r="5" ht="16.5" customHeight="1" s="37">
      <c r="A5" t="n">
        <v>17</v>
      </c>
      <c r="B5" s="10" t="inlineStr">
        <is>
          <t>平日</t>
        </is>
      </c>
      <c r="C5" t="inlineStr">
        <is>
          <t>17系統③便乗</t>
        </is>
      </c>
      <c r="D5" s="10" t="inlineStr">
        <is>
          <t>帷子ノ辻</t>
        </is>
      </c>
      <c r="E5" t="inlineStr">
        <is>
          <t>14:11</t>
        </is>
      </c>
      <c r="F5" s="10" t="inlineStr">
        <is>
          <t>西院</t>
        </is>
      </c>
      <c r="G5" t="inlineStr">
        <is>
          <t>14:23</t>
        </is>
      </c>
      <c r="H5" s="10" t="inlineStr">
        <is>
          <t>上り</t>
        </is>
      </c>
      <c r="I5" t="n">
        <v>3</v>
      </c>
      <c r="J5" t="inlineStr">
        <is>
          <t>1402</t>
        </is>
      </c>
      <c r="K5" s="10" t="inlineStr">
        <is>
          <t>営業</t>
        </is>
      </c>
      <c r="L5" t="inlineStr">
        <is>
          <t>14:11</t>
        </is>
      </c>
      <c r="M5" t="inlineStr">
        <is>
          <t>14:24</t>
        </is>
      </c>
    </row>
    <row r="6" ht="16.5" customHeight="1" s="37">
      <c r="A6" t="n">
        <v>18</v>
      </c>
      <c r="B6" s="10" t="inlineStr">
        <is>
          <t>休日</t>
        </is>
      </c>
      <c r="C6" t="inlineStr">
        <is>
          <t>18系統②便乗</t>
        </is>
      </c>
      <c r="D6" s="10" t="inlineStr">
        <is>
          <t>西院</t>
        </is>
      </c>
      <c r="E6" t="inlineStr">
        <is>
          <t>06:43</t>
        </is>
      </c>
      <c r="F6" s="10" t="inlineStr">
        <is>
          <t>帷子ノ辻</t>
        </is>
      </c>
      <c r="G6" t="inlineStr">
        <is>
          <t>06:54</t>
        </is>
      </c>
      <c r="H6" s="10" t="inlineStr">
        <is>
          <t>下り</t>
        </is>
      </c>
      <c r="I6" t="n">
        <v>2</v>
      </c>
      <c r="J6" t="inlineStr">
        <is>
          <t>0609</t>
        </is>
      </c>
      <c r="K6" s="10" t="inlineStr">
        <is>
          <t>営業</t>
        </is>
      </c>
      <c r="L6" t="inlineStr">
        <is>
          <t>06:43</t>
        </is>
      </c>
      <c r="M6" t="inlineStr">
        <is>
          <t>06:55</t>
        </is>
      </c>
    </row>
    <row r="7" ht="16.5" customHeight="1" s="37">
      <c r="A7" t="n">
        <v>18</v>
      </c>
      <c r="B7" s="10" t="inlineStr">
        <is>
          <t>休日</t>
        </is>
      </c>
      <c r="C7" t="inlineStr">
        <is>
          <t>18系統⑩便乗</t>
        </is>
      </c>
      <c r="D7" s="10" t="inlineStr">
        <is>
          <t>帷子ノ辻</t>
        </is>
      </c>
      <c r="E7" t="inlineStr">
        <is>
          <t>14:41</t>
        </is>
      </c>
      <c r="F7" s="10" t="inlineStr">
        <is>
          <t>西院</t>
        </is>
      </c>
      <c r="G7" t="inlineStr">
        <is>
          <t>14:53</t>
        </is>
      </c>
      <c r="H7" s="10" t="inlineStr">
        <is>
          <t>上り</t>
        </is>
      </c>
      <c r="I7" t="n">
        <v>10</v>
      </c>
      <c r="J7" s="10" t="inlineStr">
        <is>
          <t>連1408</t>
        </is>
      </c>
      <c r="K7" s="10" t="inlineStr">
        <is>
          <t>営業</t>
        </is>
      </c>
      <c r="L7" t="inlineStr">
        <is>
          <t>14:41</t>
        </is>
      </c>
      <c r="M7" t="inlineStr">
        <is>
          <t>14:54</t>
        </is>
      </c>
    </row>
    <row r="8" ht="16.5" customHeight="1" s="37">
      <c r="A8" t="n">
        <v>18</v>
      </c>
      <c r="B8" s="10" t="inlineStr">
        <is>
          <t>平日</t>
        </is>
      </c>
      <c r="C8" t="inlineStr">
        <is>
          <t>18系統⑥便乗</t>
        </is>
      </c>
      <c r="D8" s="10" t="inlineStr">
        <is>
          <t>帷子ノ辻</t>
        </is>
      </c>
      <c r="E8" t="inlineStr">
        <is>
          <t>15:21</t>
        </is>
      </c>
      <c r="F8" s="10" t="inlineStr">
        <is>
          <t>西院</t>
        </is>
      </c>
      <c r="G8" t="inlineStr">
        <is>
          <t>15:33</t>
        </is>
      </c>
      <c r="H8" s="10" t="inlineStr">
        <is>
          <t>上り</t>
        </is>
      </c>
      <c r="I8" t="n">
        <v>6</v>
      </c>
      <c r="J8" t="inlineStr">
        <is>
          <t>1504</t>
        </is>
      </c>
      <c r="K8" s="10" t="inlineStr">
        <is>
          <t>営業</t>
        </is>
      </c>
      <c r="L8" t="inlineStr">
        <is>
          <t>15:21</t>
        </is>
      </c>
      <c r="M8" t="inlineStr">
        <is>
          <t>15:34</t>
        </is>
      </c>
    </row>
    <row r="9" ht="16.5" customHeight="1" s="37">
      <c r="A9" t="n">
        <v>19</v>
      </c>
      <c r="B9" s="10" t="inlineStr">
        <is>
          <t>休日</t>
        </is>
      </c>
      <c r="C9" t="inlineStr">
        <is>
          <t>19系統⑫便乗</t>
        </is>
      </c>
      <c r="D9" s="10" t="inlineStr">
        <is>
          <t>帷子ノ辻</t>
        </is>
      </c>
      <c r="E9" t="inlineStr">
        <is>
          <t>15:31</t>
        </is>
      </c>
      <c r="F9" s="10" t="inlineStr">
        <is>
          <t>西院</t>
        </is>
      </c>
      <c r="G9" t="inlineStr">
        <is>
          <t>15:43</t>
        </is>
      </c>
      <c r="H9" s="10" t="inlineStr">
        <is>
          <t>上り</t>
        </is>
      </c>
      <c r="I9" t="n">
        <v>12</v>
      </c>
      <c r="J9" s="10" t="inlineStr">
        <is>
          <t>連1506</t>
        </is>
      </c>
      <c r="K9" s="10" t="inlineStr">
        <is>
          <t>営業</t>
        </is>
      </c>
      <c r="L9" t="inlineStr">
        <is>
          <t>15:31</t>
        </is>
      </c>
      <c r="M9" t="inlineStr">
        <is>
          <t>15:44</t>
        </is>
      </c>
    </row>
    <row r="10" ht="16.5" customHeight="1" s="37">
      <c r="A10" t="n">
        <v>19</v>
      </c>
      <c r="B10" s="10" t="inlineStr">
        <is>
          <t>平日</t>
        </is>
      </c>
      <c r="C10" t="inlineStr">
        <is>
          <t>19系統⑱便乗</t>
        </is>
      </c>
      <c r="D10" s="10" t="inlineStr">
        <is>
          <t>西院</t>
        </is>
      </c>
      <c r="E10" t="inlineStr">
        <is>
          <t>06:40</t>
        </is>
      </c>
      <c r="F10" s="10" t="inlineStr">
        <is>
          <t>帷子ノ辻</t>
        </is>
      </c>
      <c r="G10" t="inlineStr">
        <is>
          <t>06:52</t>
        </is>
      </c>
      <c r="H10" s="10" t="inlineStr">
        <is>
          <t>下り</t>
        </is>
      </c>
      <c r="I10" t="n">
        <v>18</v>
      </c>
      <c r="J10" s="10" t="inlineStr">
        <is>
          <t>回0691</t>
        </is>
      </c>
      <c r="K10" s="10" t="inlineStr">
        <is>
          <t>回送</t>
        </is>
      </c>
      <c r="L10" t="inlineStr">
        <is>
          <t>06:40</t>
        </is>
      </c>
      <c r="M10" t="inlineStr">
        <is>
          <t>06:51</t>
        </is>
      </c>
    </row>
    <row r="11" ht="16.5" customHeight="1" s="37">
      <c r="A11" t="n">
        <v>19</v>
      </c>
      <c r="B11" s="10" t="inlineStr">
        <is>
          <t>平日</t>
        </is>
      </c>
      <c r="C11" t="inlineStr">
        <is>
          <t>19系統⑬便乗</t>
        </is>
      </c>
      <c r="D11" s="10" t="inlineStr">
        <is>
          <t>帷子ノ辻</t>
        </is>
      </c>
      <c r="E11" t="inlineStr">
        <is>
          <t>15:53</t>
        </is>
      </c>
      <c r="F11" s="10" t="inlineStr">
        <is>
          <t>西院</t>
        </is>
      </c>
      <c r="G11" t="inlineStr">
        <is>
          <t>16:05</t>
        </is>
      </c>
      <c r="H11" s="10" t="inlineStr">
        <is>
          <t>上り</t>
        </is>
      </c>
      <c r="I11" t="n">
        <v>13</v>
      </c>
      <c r="J11" s="10" t="inlineStr">
        <is>
          <t>連1510</t>
        </is>
      </c>
      <c r="K11" s="10" t="inlineStr">
        <is>
          <t>営業</t>
        </is>
      </c>
      <c r="L11" t="inlineStr">
        <is>
          <t>15:51</t>
        </is>
      </c>
      <c r="M11" t="inlineStr">
        <is>
          <t>16:04</t>
        </is>
      </c>
    </row>
    <row r="12" ht="16.5" customHeight="1" s="37">
      <c r="A12" t="n">
        <v>20</v>
      </c>
      <c r="B12" s="10" t="inlineStr">
        <is>
          <t>休日</t>
        </is>
      </c>
      <c r="C12" t="inlineStr">
        <is>
          <t>20系統⑤便乗</t>
        </is>
      </c>
      <c r="D12" s="10" t="inlineStr">
        <is>
          <t>西院</t>
        </is>
      </c>
      <c r="E12" t="inlineStr">
        <is>
          <t>08:36</t>
        </is>
      </c>
      <c r="F12" s="10" t="inlineStr">
        <is>
          <t>帷子ノ辻</t>
        </is>
      </c>
      <c r="G12" t="inlineStr">
        <is>
          <t>08:48</t>
        </is>
      </c>
      <c r="H12" s="10" t="inlineStr">
        <is>
          <t>下り</t>
        </is>
      </c>
      <c r="I12" t="n">
        <v>5</v>
      </c>
      <c r="J12" t="inlineStr">
        <is>
          <t>0807</t>
        </is>
      </c>
      <c r="K12" s="10" t="inlineStr">
        <is>
          <t>営業</t>
        </is>
      </c>
      <c r="L12" t="inlineStr">
        <is>
          <t>08:36</t>
        </is>
      </c>
      <c r="M12" t="inlineStr">
        <is>
          <t>08:49</t>
        </is>
      </c>
    </row>
    <row r="13" ht="16.5" customHeight="1" s="37">
      <c r="A13" t="n">
        <v>20</v>
      </c>
      <c r="B13" s="10" t="inlineStr">
        <is>
          <t>休日</t>
        </is>
      </c>
      <c r="C13" t="inlineStr">
        <is>
          <t>20系統④便乗</t>
        </is>
      </c>
      <c r="D13" s="10" t="inlineStr">
        <is>
          <t>帷子ノ辻</t>
        </is>
      </c>
      <c r="E13" t="inlineStr">
        <is>
          <t>12:11</t>
        </is>
      </c>
      <c r="F13" s="10" t="inlineStr">
        <is>
          <t>西院</t>
        </is>
      </c>
      <c r="G13" t="inlineStr">
        <is>
          <t>12:23</t>
        </is>
      </c>
      <c r="H13" s="10" t="inlineStr">
        <is>
          <t>上り</t>
        </is>
      </c>
      <c r="I13" t="n">
        <v>4</v>
      </c>
      <c r="J13" t="inlineStr">
        <is>
          <t>1202</t>
        </is>
      </c>
      <c r="K13" s="10" t="inlineStr">
        <is>
          <t>営業</t>
        </is>
      </c>
      <c r="L13" t="inlineStr">
        <is>
          <t>12:11</t>
        </is>
      </c>
      <c r="M13" t="inlineStr">
        <is>
          <t>12:24</t>
        </is>
      </c>
    </row>
    <row r="14" ht="16.5" customHeight="1" s="37">
      <c r="A14" t="n">
        <v>20</v>
      </c>
      <c r="B14" s="10" t="inlineStr">
        <is>
          <t>休日</t>
        </is>
      </c>
      <c r="C14" t="inlineStr">
        <is>
          <t>20系統⑭便乗</t>
        </is>
      </c>
      <c r="D14" s="10" t="inlineStr">
        <is>
          <t>西院</t>
        </is>
      </c>
      <c r="E14" t="inlineStr">
        <is>
          <t>16:46</t>
        </is>
      </c>
      <c r="F14" s="10" t="inlineStr">
        <is>
          <t>帷子ノ辻</t>
        </is>
      </c>
      <c r="G14" t="inlineStr">
        <is>
          <t>16:58</t>
        </is>
      </c>
      <c r="H14" s="10" t="inlineStr">
        <is>
          <t>下り</t>
        </is>
      </c>
      <c r="I14" t="n">
        <v>14</v>
      </c>
      <c r="J14" s="10" t="inlineStr">
        <is>
          <t>連1609</t>
        </is>
      </c>
      <c r="K14" s="10" t="inlineStr">
        <is>
          <t>営業</t>
        </is>
      </c>
      <c r="L14" t="inlineStr">
        <is>
          <t>16:46</t>
        </is>
      </c>
      <c r="M14" t="inlineStr">
        <is>
          <t>16:59</t>
        </is>
      </c>
    </row>
    <row r="15" ht="16.5" customHeight="1" s="37">
      <c r="A15" t="n">
        <v>20</v>
      </c>
      <c r="B15" s="10" t="inlineStr">
        <is>
          <t>休日</t>
        </is>
      </c>
      <c r="C15" t="inlineStr">
        <is>
          <t>20系統⑫便乗</t>
        </is>
      </c>
      <c r="D15" s="10" t="inlineStr">
        <is>
          <t>帷子ノ辻</t>
        </is>
      </c>
      <c r="E15" t="inlineStr">
        <is>
          <t>21:11</t>
        </is>
      </c>
      <c r="F15" s="10" t="inlineStr">
        <is>
          <t>西院</t>
        </is>
      </c>
      <c r="G15" t="inlineStr">
        <is>
          <t>21:22</t>
        </is>
      </c>
      <c r="H15" s="10" t="inlineStr">
        <is>
          <t>上り</t>
        </is>
      </c>
      <c r="I15" t="n">
        <v>12</v>
      </c>
      <c r="J15" t="inlineStr">
        <is>
          <t>2102</t>
        </is>
      </c>
      <c r="K15" s="10" t="inlineStr">
        <is>
          <t>営業</t>
        </is>
      </c>
      <c r="L15" t="inlineStr">
        <is>
          <t>21:11</t>
        </is>
      </c>
      <c r="M15" t="inlineStr">
        <is>
          <t>21:23</t>
        </is>
      </c>
    </row>
    <row r="16" ht="16.5" customHeight="1" s="37">
      <c r="A16" t="n">
        <v>20</v>
      </c>
      <c r="B16" s="10" t="inlineStr">
        <is>
          <t>平日</t>
        </is>
      </c>
      <c r="C16" t="inlineStr">
        <is>
          <t>20系統②便乗</t>
        </is>
      </c>
      <c r="D16" s="10" t="inlineStr">
        <is>
          <t>西院</t>
        </is>
      </c>
      <c r="E16" t="inlineStr">
        <is>
          <t>07:03</t>
        </is>
      </c>
      <c r="F16" s="10" t="inlineStr">
        <is>
          <t>帷子ノ辻</t>
        </is>
      </c>
      <c r="G16" t="inlineStr">
        <is>
          <t>07:15</t>
        </is>
      </c>
      <c r="H16" s="10" t="inlineStr">
        <is>
          <t>下り</t>
        </is>
      </c>
      <c r="I16" t="n">
        <v>2</v>
      </c>
      <c r="J16" s="10" t="inlineStr">
        <is>
          <t>連0701</t>
        </is>
      </c>
      <c r="K16" s="10" t="inlineStr">
        <is>
          <t>営業</t>
        </is>
      </c>
      <c r="L16" t="inlineStr">
        <is>
          <t>07:03</t>
        </is>
      </c>
      <c r="M16" t="inlineStr">
        <is>
          <t>07:16</t>
        </is>
      </c>
    </row>
    <row r="17" ht="16.5" customHeight="1" s="37">
      <c r="A17" t="n">
        <v>20</v>
      </c>
      <c r="B17" s="10" t="inlineStr">
        <is>
          <t>平日</t>
        </is>
      </c>
      <c r="C17" t="inlineStr">
        <is>
          <t>20系統⑤便乗</t>
        </is>
      </c>
      <c r="D17" s="10" t="inlineStr">
        <is>
          <t>帷子ノ辻</t>
        </is>
      </c>
      <c r="E17" t="inlineStr">
        <is>
          <t>10:21</t>
        </is>
      </c>
      <c r="F17" s="10" t="inlineStr">
        <is>
          <t>西院</t>
        </is>
      </c>
      <c r="G17" t="inlineStr">
        <is>
          <t>10:33</t>
        </is>
      </c>
      <c r="H17" s="10" t="inlineStr">
        <is>
          <t>上り</t>
        </is>
      </c>
      <c r="I17" t="n">
        <v>5</v>
      </c>
      <c r="J17" t="inlineStr">
        <is>
          <t>1004</t>
        </is>
      </c>
      <c r="K17" s="10" t="inlineStr">
        <is>
          <t>営業</t>
        </is>
      </c>
      <c r="L17" t="inlineStr">
        <is>
          <t>10:21</t>
        </is>
      </c>
      <c r="M17" t="inlineStr">
        <is>
          <t>10:34</t>
        </is>
      </c>
    </row>
    <row r="18" ht="16.5" customHeight="1" s="37">
      <c r="A18" t="n">
        <v>20</v>
      </c>
      <c r="B18" s="10" t="inlineStr">
        <is>
          <t>平日</t>
        </is>
      </c>
      <c r="C18" t="inlineStr">
        <is>
          <t>20系統⑦便乗</t>
        </is>
      </c>
      <c r="D18" s="10" t="inlineStr">
        <is>
          <t>西院</t>
        </is>
      </c>
      <c r="E18" t="inlineStr">
        <is>
          <t>15:26</t>
        </is>
      </c>
      <c r="F18" s="10" t="inlineStr">
        <is>
          <t>帷子ノ辻</t>
        </is>
      </c>
      <c r="G18" t="inlineStr">
        <is>
          <t>15:38</t>
        </is>
      </c>
      <c r="H18" s="10" t="inlineStr">
        <is>
          <t>下り</t>
        </is>
      </c>
      <c r="I18" t="n">
        <v>7</v>
      </c>
      <c r="J18" s="10" t="inlineStr">
        <is>
          <t>連1505</t>
        </is>
      </c>
      <c r="K18" s="10" t="inlineStr">
        <is>
          <t>営業</t>
        </is>
      </c>
      <c r="L18" t="inlineStr">
        <is>
          <t>15:26</t>
        </is>
      </c>
      <c r="M18" t="inlineStr">
        <is>
          <t>15:39</t>
        </is>
      </c>
    </row>
    <row r="19" ht="16.5" customHeight="1" s="37">
      <c r="A19" t="n">
        <v>20</v>
      </c>
      <c r="B19" s="10" t="inlineStr">
        <is>
          <t>平日</t>
        </is>
      </c>
      <c r="C19" t="inlineStr">
        <is>
          <t>20系統⑫便乗</t>
        </is>
      </c>
      <c r="D19" s="10" t="inlineStr">
        <is>
          <t>帷子ノ辻</t>
        </is>
      </c>
      <c r="E19" t="inlineStr">
        <is>
          <t>19:51</t>
        </is>
      </c>
      <c r="F19" s="10" t="inlineStr">
        <is>
          <t>西院</t>
        </is>
      </c>
      <c r="G19" t="inlineStr">
        <is>
          <t>20:03</t>
        </is>
      </c>
      <c r="H19" s="10" t="inlineStr">
        <is>
          <t>上り</t>
        </is>
      </c>
      <c r="I19" t="n">
        <v>12</v>
      </c>
      <c r="J19" t="inlineStr">
        <is>
          <t>1910</t>
        </is>
      </c>
      <c r="K19" s="10" t="inlineStr">
        <is>
          <t>営業</t>
        </is>
      </c>
      <c r="L19" t="inlineStr">
        <is>
          <t>19:51</t>
        </is>
      </c>
      <c r="M19" t="inlineStr">
        <is>
          <t>20:04</t>
        </is>
      </c>
    </row>
    <row r="20" ht="16.5" customHeight="1" s="37">
      <c r="A20" t="n">
        <v>21</v>
      </c>
      <c r="B20" s="10" t="inlineStr">
        <is>
          <t>休日</t>
        </is>
      </c>
      <c r="C20" t="inlineStr">
        <is>
          <t>21系統⑥便乗</t>
        </is>
      </c>
      <c r="D20" s="10" t="inlineStr">
        <is>
          <t>西院</t>
        </is>
      </c>
      <c r="E20" t="inlineStr">
        <is>
          <t>13:26</t>
        </is>
      </c>
      <c r="F20" s="10" t="inlineStr">
        <is>
          <t>帷子ノ辻</t>
        </is>
      </c>
      <c r="G20" t="inlineStr">
        <is>
          <t>13:38</t>
        </is>
      </c>
      <c r="H20" s="10" t="inlineStr">
        <is>
          <t>下り</t>
        </is>
      </c>
      <c r="I20" t="n">
        <v>6</v>
      </c>
      <c r="J20" s="10" t="inlineStr">
        <is>
          <t>連1305</t>
        </is>
      </c>
      <c r="K20" s="10" t="inlineStr">
        <is>
          <t>営業</t>
        </is>
      </c>
      <c r="L20" t="inlineStr">
        <is>
          <t>13:26</t>
        </is>
      </c>
      <c r="M20" t="inlineStr">
        <is>
          <t>13:39</t>
        </is>
      </c>
    </row>
    <row r="21" ht="16.5" customHeight="1" s="37">
      <c r="A21" t="n">
        <v>21</v>
      </c>
      <c r="B21" s="10" t="inlineStr">
        <is>
          <t>平日</t>
        </is>
      </c>
      <c r="C21" t="inlineStr">
        <is>
          <t>21系統①便乗</t>
        </is>
      </c>
      <c r="D21" s="10" t="inlineStr">
        <is>
          <t>西院</t>
        </is>
      </c>
      <c r="E21" t="inlineStr">
        <is>
          <t>10:06</t>
        </is>
      </c>
      <c r="F21" s="10" t="inlineStr">
        <is>
          <t>帷子ノ辻</t>
        </is>
      </c>
      <c r="G21" t="inlineStr">
        <is>
          <t>10:18</t>
        </is>
      </c>
      <c r="H21" s="10" t="inlineStr">
        <is>
          <t>下り</t>
        </is>
      </c>
      <c r="I21" t="n">
        <v>1</v>
      </c>
      <c r="J21" t="inlineStr">
        <is>
          <t>1001</t>
        </is>
      </c>
      <c r="K21" s="10" t="inlineStr">
        <is>
          <t>営業</t>
        </is>
      </c>
      <c r="L21" t="inlineStr">
        <is>
          <t>10:06</t>
        </is>
      </c>
      <c r="M21" t="inlineStr">
        <is>
          <t>10:19</t>
        </is>
      </c>
    </row>
    <row r="22" ht="16.5" customHeight="1" s="37">
      <c r="A22" t="n">
        <v>21</v>
      </c>
      <c r="B22" s="10" t="inlineStr">
        <is>
          <t>平日</t>
        </is>
      </c>
      <c r="C22" t="inlineStr">
        <is>
          <t>21系統③便乗</t>
        </is>
      </c>
      <c r="D22" s="10" t="inlineStr">
        <is>
          <t>帷子ノ辻</t>
        </is>
      </c>
      <c r="E22" t="inlineStr">
        <is>
          <t>13:11</t>
        </is>
      </c>
      <c r="F22" s="10" t="inlineStr">
        <is>
          <t>西院</t>
        </is>
      </c>
      <c r="G22" t="inlineStr">
        <is>
          <t>13:23</t>
        </is>
      </c>
      <c r="H22" s="10" t="inlineStr">
        <is>
          <t>上り</t>
        </is>
      </c>
      <c r="I22" t="n">
        <v>3</v>
      </c>
      <c r="J22" t="inlineStr">
        <is>
          <t>1302</t>
        </is>
      </c>
      <c r="K22" s="10" t="inlineStr">
        <is>
          <t>営業</t>
        </is>
      </c>
      <c r="L22" t="inlineStr">
        <is>
          <t>13:11</t>
        </is>
      </c>
      <c r="M22" t="inlineStr">
        <is>
          <t>13:24</t>
        </is>
      </c>
    </row>
    <row r="23" ht="16.5" customHeight="1" s="37">
      <c r="A23" t="n">
        <v>21</v>
      </c>
      <c r="B23" s="10" t="inlineStr">
        <is>
          <t>平日</t>
        </is>
      </c>
      <c r="C23" t="inlineStr">
        <is>
          <t>21系統⑬便乗</t>
        </is>
      </c>
      <c r="D23" s="10" t="inlineStr">
        <is>
          <t>西院</t>
        </is>
      </c>
      <c r="E23" t="inlineStr">
        <is>
          <t>16:16</t>
        </is>
      </c>
      <c r="F23" s="10" t="inlineStr">
        <is>
          <t>帷子ノ辻</t>
        </is>
      </c>
      <c r="G23" t="inlineStr">
        <is>
          <t>16:28</t>
        </is>
      </c>
      <c r="H23" s="10" t="inlineStr">
        <is>
          <t>下り</t>
        </is>
      </c>
      <c r="I23" t="n">
        <v>13</v>
      </c>
      <c r="J23" s="10" t="inlineStr">
        <is>
          <t>連1603</t>
        </is>
      </c>
      <c r="K23" s="10" t="inlineStr">
        <is>
          <t>営業</t>
        </is>
      </c>
      <c r="L23" t="inlineStr">
        <is>
          <t>16:16</t>
        </is>
      </c>
      <c r="M23" t="inlineStr">
        <is>
          <t>16:29</t>
        </is>
      </c>
    </row>
    <row r="24" ht="16.5" customHeight="1" s="37">
      <c r="A24" t="n">
        <v>22</v>
      </c>
      <c r="B24" s="10" t="inlineStr">
        <is>
          <t>休日</t>
        </is>
      </c>
      <c r="C24" t="inlineStr">
        <is>
          <t>22系統④便乗</t>
        </is>
      </c>
      <c r="D24" s="10" t="inlineStr">
        <is>
          <t>西院</t>
        </is>
      </c>
      <c r="E24" t="inlineStr">
        <is>
          <t>13:36</t>
        </is>
      </c>
      <c r="F24" s="10" t="inlineStr">
        <is>
          <t>帷子ノ辻</t>
        </is>
      </c>
      <c r="G24" t="inlineStr">
        <is>
          <t>13:48</t>
        </is>
      </c>
      <c r="H24" s="10" t="inlineStr">
        <is>
          <t>下り</t>
        </is>
      </c>
      <c r="I24" t="n">
        <v>4</v>
      </c>
      <c r="J24" s="10" t="inlineStr">
        <is>
          <t>連1307</t>
        </is>
      </c>
      <c r="K24" s="10" t="inlineStr">
        <is>
          <t>営業</t>
        </is>
      </c>
      <c r="L24" t="inlineStr">
        <is>
          <t>13:36</t>
        </is>
      </c>
      <c r="M24" t="inlineStr">
        <is>
          <t>13:49</t>
        </is>
      </c>
    </row>
    <row r="25" ht="16.5" customHeight="1" s="37">
      <c r="A25" t="n">
        <v>22</v>
      </c>
      <c r="B25" s="10" t="inlineStr">
        <is>
          <t>平日</t>
        </is>
      </c>
      <c r="C25" t="inlineStr">
        <is>
          <t>22系統③便乗</t>
        </is>
      </c>
      <c r="D25" s="10" t="inlineStr">
        <is>
          <t>西院</t>
        </is>
      </c>
      <c r="E25" t="inlineStr">
        <is>
          <t>13:36</t>
        </is>
      </c>
      <c r="F25" s="10" t="inlineStr">
        <is>
          <t>帷子ノ辻</t>
        </is>
      </c>
      <c r="G25" t="inlineStr">
        <is>
          <t>13:49</t>
        </is>
      </c>
      <c r="H25" s="10" t="inlineStr">
        <is>
          <t>下り</t>
        </is>
      </c>
      <c r="I25" t="n">
        <v>3</v>
      </c>
      <c r="J25" t="inlineStr">
        <is>
          <t>1307</t>
        </is>
      </c>
      <c r="K25" s="10" t="inlineStr">
        <is>
          <t>営業</t>
        </is>
      </c>
      <c r="L25" t="inlineStr">
        <is>
          <t>13:36</t>
        </is>
      </c>
      <c r="M25" t="inlineStr">
        <is>
          <t>13:49</t>
        </is>
      </c>
    </row>
    <row r="26" ht="16.5" customHeight="1" s="37">
      <c r="A26" t="n">
        <v>22</v>
      </c>
      <c r="B26" s="10" t="inlineStr">
        <is>
          <t>平日</t>
        </is>
      </c>
      <c r="C26" t="inlineStr">
        <is>
          <t>22系統⑫便乗</t>
        </is>
      </c>
      <c r="D26" s="10" t="inlineStr">
        <is>
          <t>帷子ノ辻</t>
        </is>
      </c>
      <c r="E26" t="inlineStr">
        <is>
          <t>22:15</t>
        </is>
      </c>
      <c r="F26" s="10" t="inlineStr">
        <is>
          <t>西院</t>
        </is>
      </c>
      <c r="G26" t="inlineStr">
        <is>
          <t>22:26</t>
        </is>
      </c>
      <c r="H26" s="10" t="inlineStr">
        <is>
          <t>上り</t>
        </is>
      </c>
      <c r="I26" t="n">
        <v>12</v>
      </c>
      <c r="J26" t="inlineStr">
        <is>
          <t>2202</t>
        </is>
      </c>
      <c r="K26" s="10" t="inlineStr">
        <is>
          <t>営業</t>
        </is>
      </c>
      <c r="L26" t="inlineStr">
        <is>
          <t>22:15</t>
        </is>
      </c>
      <c r="M26" t="inlineStr">
        <is>
          <t>22:27</t>
        </is>
      </c>
    </row>
    <row r="27" ht="16.5" customHeight="1" s="37">
      <c r="A27" t="n">
        <v>23</v>
      </c>
      <c r="B27" s="10" t="inlineStr">
        <is>
          <t>休日</t>
        </is>
      </c>
      <c r="C27" t="inlineStr">
        <is>
          <t>23系統⑥便乗</t>
        </is>
      </c>
      <c r="D27" s="10" t="inlineStr">
        <is>
          <t>西院</t>
        </is>
      </c>
      <c r="E27" t="inlineStr">
        <is>
          <t>14:26</t>
        </is>
      </c>
      <c r="F27" s="10" t="inlineStr">
        <is>
          <t>帷子ノ辻</t>
        </is>
      </c>
      <c r="G27" t="inlineStr">
        <is>
          <t>14:38</t>
        </is>
      </c>
      <c r="H27" s="10" t="inlineStr">
        <is>
          <t>下り</t>
        </is>
      </c>
      <c r="I27" t="n">
        <v>6</v>
      </c>
      <c r="J27" s="10" t="inlineStr">
        <is>
          <t>連1405</t>
        </is>
      </c>
      <c r="K27" s="10" t="inlineStr">
        <is>
          <t>営業</t>
        </is>
      </c>
      <c r="L27" t="inlineStr">
        <is>
          <t>14:26</t>
        </is>
      </c>
      <c r="M27" t="inlineStr">
        <is>
          <t>14:39</t>
        </is>
      </c>
    </row>
    <row r="28" ht="16.5" customHeight="1" s="37">
      <c r="A28" t="n">
        <v>23</v>
      </c>
      <c r="B28" s="10" t="inlineStr">
        <is>
          <t>平日</t>
        </is>
      </c>
      <c r="C28" t="inlineStr">
        <is>
          <t>23系統④便乗</t>
        </is>
      </c>
      <c r="D28" s="10" t="inlineStr">
        <is>
          <t>西院</t>
        </is>
      </c>
      <c r="E28" t="inlineStr">
        <is>
          <t>13:56</t>
        </is>
      </c>
      <c r="F28" s="10" t="inlineStr">
        <is>
          <t>帷子ノ辻</t>
        </is>
      </c>
      <c r="G28" t="inlineStr">
        <is>
          <t>14:08</t>
        </is>
      </c>
      <c r="H28" s="10" t="inlineStr">
        <is>
          <t>下り</t>
        </is>
      </c>
      <c r="I28" t="n">
        <v>4</v>
      </c>
      <c r="J28" t="inlineStr">
        <is>
          <t>1311</t>
        </is>
      </c>
      <c r="K28" s="10" t="inlineStr">
        <is>
          <t>営業</t>
        </is>
      </c>
      <c r="L28" t="inlineStr">
        <is>
          <t>13:56</t>
        </is>
      </c>
      <c r="M28" t="inlineStr">
        <is>
          <t>14:09</t>
        </is>
      </c>
    </row>
    <row r="29" ht="16.5" customHeight="1" s="37">
      <c r="A29" t="n">
        <v>24</v>
      </c>
      <c r="B29" s="10" t="inlineStr">
        <is>
          <t>休日</t>
        </is>
      </c>
      <c r="C29" t="inlineStr">
        <is>
          <t>24系統⑦便乗</t>
        </is>
      </c>
      <c r="D29" s="10" t="inlineStr">
        <is>
          <t>西院</t>
        </is>
      </c>
      <c r="E29" t="inlineStr">
        <is>
          <t>15:16</t>
        </is>
      </c>
      <c r="F29" s="10" t="inlineStr">
        <is>
          <t>帷子ノ辻</t>
        </is>
      </c>
      <c r="G29" t="inlineStr">
        <is>
          <t>15:28</t>
        </is>
      </c>
      <c r="H29" s="10" t="inlineStr">
        <is>
          <t>下り</t>
        </is>
      </c>
      <c r="I29" t="n">
        <v>7</v>
      </c>
      <c r="J29" s="10" t="inlineStr">
        <is>
          <t>連1503</t>
        </is>
      </c>
      <c r="K29" s="10" t="inlineStr">
        <is>
          <t>営業</t>
        </is>
      </c>
      <c r="L29" t="inlineStr">
        <is>
          <t>15:16</t>
        </is>
      </c>
      <c r="M29" t="inlineStr">
        <is>
          <t>15:29</t>
        </is>
      </c>
    </row>
    <row r="30" ht="16.5" customHeight="1" s="37">
      <c r="A30" t="n">
        <v>24</v>
      </c>
      <c r="B30" s="10" t="inlineStr">
        <is>
          <t>平日</t>
        </is>
      </c>
      <c r="C30" t="inlineStr">
        <is>
          <t>24系統⑩便乗</t>
        </is>
      </c>
      <c r="D30" s="10" t="inlineStr">
        <is>
          <t>西院</t>
        </is>
      </c>
      <c r="E30" t="inlineStr">
        <is>
          <t>15:06</t>
        </is>
      </c>
      <c r="F30" s="10" t="inlineStr">
        <is>
          <t>帷子ノ辻</t>
        </is>
      </c>
      <c r="G30" t="inlineStr">
        <is>
          <t>15:18</t>
        </is>
      </c>
      <c r="H30" s="10" t="inlineStr">
        <is>
          <t>下り</t>
        </is>
      </c>
      <c r="I30" t="n">
        <v>10</v>
      </c>
      <c r="J30" s="10" t="inlineStr">
        <is>
          <t>連1501</t>
        </is>
      </c>
      <c r="K30" s="10" t="inlineStr">
        <is>
          <t>営業</t>
        </is>
      </c>
      <c r="L30" t="inlineStr">
        <is>
          <t>15:06</t>
        </is>
      </c>
      <c r="M30" t="inlineStr">
        <is>
          <t>15:19</t>
        </is>
      </c>
    </row>
    <row r="31" ht="16.5" customHeight="1" s="37">
      <c r="A31" t="n">
        <v>22</v>
      </c>
      <c r="B31" s="10" t="inlineStr">
        <is>
          <t>休日</t>
        </is>
      </c>
      <c r="C31" t="inlineStr">
        <is>
          <t>22系統⑫便乗</t>
        </is>
      </c>
      <c r="D31" s="10" t="inlineStr">
        <is>
          <t>帷子ノ辻</t>
        </is>
      </c>
      <c r="E31" t="inlineStr">
        <is>
          <t>22:15</t>
        </is>
      </c>
      <c r="F31" s="10" t="inlineStr">
        <is>
          <t>西院</t>
        </is>
      </c>
      <c r="G31" t="inlineStr">
        <is>
          <t>22:26</t>
        </is>
      </c>
      <c r="H31" s="10" t="inlineStr">
        <is>
          <t>上り</t>
        </is>
      </c>
      <c r="I31" t="n">
        <v>12</v>
      </c>
      <c r="J31" t="inlineStr">
        <is>
          <t>2202</t>
        </is>
      </c>
      <c r="K31" s="10" t="inlineStr">
        <is>
          <t>営業</t>
        </is>
      </c>
      <c r="L31" t="inlineStr">
        <is>
          <t>22:15</t>
        </is>
      </c>
      <c r="M31" t="inlineStr">
        <is>
          <t>22:27</t>
        </is>
      </c>
    </row>
    <row r="32" ht="16.5" customHeight="1" s="37">
      <c r="A32" t="n">
        <v>13</v>
      </c>
      <c r="B32" s="10" t="inlineStr">
        <is>
          <t>平日</t>
        </is>
      </c>
      <c r="C32" t="inlineStr">
        <is>
          <t>13系統⑧便乗</t>
        </is>
      </c>
      <c r="D32" s="10" t="inlineStr">
        <is>
          <t>西院</t>
        </is>
      </c>
      <c r="E32" t="inlineStr">
        <is>
          <t>20:23</t>
        </is>
      </c>
      <c r="F32" s="10" t="inlineStr">
        <is>
          <t>四条大宮</t>
        </is>
      </c>
      <c r="G32" t="inlineStr">
        <is>
          <t>20:26</t>
        </is>
      </c>
      <c r="H32" s="10" t="inlineStr">
        <is>
          <t>上り</t>
        </is>
      </c>
      <c r="I32" t="n">
        <v>8</v>
      </c>
      <c r="J32" t="inlineStr">
        <is>
          <t>2002</t>
        </is>
      </c>
      <c r="K32" s="10" t="inlineStr">
        <is>
          <t>営業</t>
        </is>
      </c>
      <c r="L32" t="inlineStr">
        <is>
          <t>20:23</t>
        </is>
      </c>
      <c r="M32" t="inlineStr">
        <is>
          <t>20:26</t>
        </is>
      </c>
      <c r="N32" s="10" t="inlineStr">
        <is>
          <t>西院↔四条大宮(隣接2駅)の便乗。13系統乗務員が8系統電車2002に便乗</t>
        </is>
      </c>
    </row>
    <row r="33" ht="16.5" customHeight="1" s="37">
      <c r="A33" t="n">
        <v>9</v>
      </c>
      <c r="B33" s="10" t="inlineStr">
        <is>
          <t>平日</t>
        </is>
      </c>
      <c r="C33" t="inlineStr">
        <is>
          <t>9系統⑪便乗</t>
        </is>
      </c>
      <c r="D33" s="10" t="inlineStr">
        <is>
          <t>四条大宮</t>
        </is>
      </c>
      <c r="E33" t="inlineStr">
        <is>
          <t>20:53</t>
        </is>
      </c>
      <c r="F33" s="10" t="inlineStr">
        <is>
          <t>西院</t>
        </is>
      </c>
      <c r="G33" t="inlineStr">
        <is>
          <t>20:56</t>
        </is>
      </c>
      <c r="H33" s="10" t="inlineStr">
        <is>
          <t>下り</t>
        </is>
      </c>
      <c r="I33" t="n">
        <v>11</v>
      </c>
      <c r="J33" t="inlineStr">
        <is>
          <t>2011</t>
        </is>
      </c>
      <c r="K33" s="10" t="inlineStr">
        <is>
          <t>営業</t>
        </is>
      </c>
      <c r="L33" t="inlineStr">
        <is>
          <t>20:53</t>
        </is>
      </c>
      <c r="M33" t="inlineStr">
        <is>
          <t>20:55</t>
        </is>
      </c>
      <c r="N33" s="10" t="inlineStr">
        <is>
          <t>西院↔四条大宮(隣接2駅)の便乗。9系統乗務員が11系統電車2011に便乗。西院着は指定20:56(乗車車2011実時刻20:55)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22" customWidth="1" style="37" min="1" max="1"/>
    <col width="120" customWidth="1" style="37" min="2" max="2"/>
  </cols>
  <sheetData>
    <row r="1">
      <c r="A1" t="inlineStr">
        <is>
          <t>駅別 運転士表 — HTML出力 完全仕様書 v3（全駅・全ツール共通／本シート単独で同一HTMLを再現可能）</t>
        </is>
      </c>
      <c r="B1" t="inlineStr">
        <is>
          <t>最終更新 2026-06-17。記憶・都度判断に依存せず、本シートと『運転士 行路表 分析用.xlsx』だけで誰でも同一の運転士表HTMLを生成できることを保証する。</t>
        </is>
      </c>
    </row>
    <row r="2">
      <c r="A2" t="inlineStr">
        <is>
          <t>【§0 大原則】</t>
        </is>
      </c>
    </row>
    <row r="3">
      <c r="A3" t="inlineStr">
        <is>
          <t>単一基準</t>
        </is>
      </c>
      <c r="B3" t="inlineStr">
        <is>
          <t>本シートが運転士表HTML出力の唯一かつ恒久の基準。レイアウト・色・フォント・付記・番線・ラスト・ファイル名・スクロール・JST表記まで本シートに従う。</t>
        </is>
      </c>
    </row>
    <row r="4">
      <c r="A4" t="inlineStr">
        <is>
          <t>自己完結HTML</t>
        </is>
      </c>
      <c r="B4" t="inlineStr">
        <is>
          <t>外部CSS/JS/フォント/CDN/画像/localStorage 不使用。1ファイル完結。実行JSは読込時スクロールのみ。</t>
        </is>
      </c>
    </row>
    <row r="5">
      <c r="A5" t="inlineStr">
        <is>
          <t>データ正本</t>
        </is>
      </c>
      <c r="B5" t="inlineStr">
        <is>
          <t>数値・担当・時刻・番線・各フラグは全て本xlsxに材料化済み（§3）。生成器は再計算せず列を読むだけ。</t>
        </is>
      </c>
    </row>
    <row r="6">
      <c r="A6" t="inlineStr">
        <is>
          <t>【§1 参照シート・結合キー】</t>
        </is>
      </c>
    </row>
    <row r="7">
      <c r="A7" t="inlineStr">
        <is>
          <t>担当運転士</t>
        </is>
      </c>
      <c r="B7" t="inlineStr">
        <is>
          <t>早見表_全期間：日付(行)×『N系統』列 で運転士名。『欠員①』等は『欠員』表記。休日前/休日後列は無視。</t>
        </is>
      </c>
    </row>
    <row r="8">
      <c r="A8" t="inlineStr">
        <is>
          <t>便・時刻・属性</t>
        </is>
      </c>
      <c r="B8" t="inlineStr">
        <is>
          <t>行路_ロング：1行=1列車×1駅イベント。ダイヤ(平日/休日)・路線・方向・駅でフィルタ。</t>
        </is>
      </c>
    </row>
    <row r="9">
      <c r="A9" t="inlineStr">
        <is>
          <t>結合キー</t>
        </is>
      </c>
      <c r="B9" t="inlineStr">
        <is>
          <t>路線×ダイヤ×方向×列車番号(連/回接頭辞を除いたcore=数字下4桁)。番線・運転時分は発着時刻表PDFと同キーで突合済(秒時刻17,339件一致)。</t>
        </is>
      </c>
    </row>
    <row r="10">
      <c r="A10" t="inlineStr">
        <is>
          <t>補助</t>
        </is>
      </c>
      <c r="B10" t="inlineStr">
        <is>
          <t>出退勤マスタ(中休系統8/9/20/21)・休憩マスタ(次休憩列の生成元)・駅マスタ(駅順/略号)・祝日マスタ・便乗_乗車便対応。</t>
        </is>
      </c>
    </row>
    <row r="11">
      <c r="A11" t="inlineStr">
        <is>
          <t>【§2 行路_ロング 全列定義（23列・全て表示or用途を定義）】</t>
        </is>
      </c>
    </row>
    <row r="12">
      <c r="A12" t="inlineStr">
        <is>
          <t>系統</t>
        </is>
      </c>
      <c r="B12" t="inlineStr">
        <is>
          <t>担当解決キー。早見表でN系統→運転士。セル下段に『系統番号 運転士名』。</t>
        </is>
      </c>
    </row>
    <row r="13">
      <c r="A13" t="inlineStr">
        <is>
          <t>ダイヤ</t>
        </is>
      </c>
      <c r="B13" t="inlineStr">
        <is>
          <t>平日/休日。当日ダイヤで行抽出。画面非表示。</t>
        </is>
      </c>
    </row>
    <row r="14">
      <c r="A14" t="inlineStr">
        <is>
          <t>路線</t>
        </is>
      </c>
      <c r="B14" t="inlineStr">
        <is>
          <t>本線/北野線。列構成判定。</t>
        </is>
      </c>
    </row>
    <row r="15">
      <c r="A15" t="inlineStr">
        <is>
          <t>方向</t>
        </is>
      </c>
      <c r="B15" t="inlineStr">
        <is>
          <t>上り/下り。列振り分け。本線:四条大宮行=上り/嵐山行=下り。北野:北野白梅町行=上り/帷子ノ辻行=下り。</t>
        </is>
      </c>
    </row>
    <row r="16">
      <c r="A16" t="inlineStr">
        <is>
          <t>列車番号</t>
        </is>
      </c>
      <c r="B16" t="inlineStr">
        <is>
          <t>セル上段『列{番号}』(#999 11px)。便乗は『便乗表示列番』に置換。</t>
        </is>
      </c>
    </row>
    <row r="17">
      <c r="A17" t="inlineStr">
        <is>
          <t>放送番号</t>
        </is>
      </c>
      <c r="B17" t="inlineStr">
        <is>
          <t>上段『放送{番号}』(#999 11px、列番の右にスペース)。回送/便乗/空は非表示。</t>
        </is>
      </c>
    </row>
    <row r="18">
      <c r="A18" t="inlineStr">
        <is>
          <t>駅</t>
        </is>
      </c>
      <c r="B18" t="inlineStr">
        <is>
          <t>対象駅フィルタ。画面非表示。</t>
        </is>
      </c>
    </row>
    <row r="19">
      <c r="A19" t="inlineStr">
        <is>
          <t>時刻</t>
        </is>
      </c>
      <c r="B19" t="inlineStr">
        <is>
          <t>HH:MM。発車表/発列の表示時刻。</t>
        </is>
      </c>
    </row>
    <row r="20">
      <c r="A20" t="inlineStr">
        <is>
          <t>到着時刻</t>
        </is>
      </c>
      <c r="B20" t="inlineStr">
        <is>
          <t>到着基準(途中駅=発時刻/終着=着時刻/始発=空)。到着表/着列の表示時刻。</t>
        </is>
      </c>
    </row>
    <row r="21">
      <c r="A21" t="inlineStr">
        <is>
          <t>着発</t>
        </is>
      </c>
      <c r="B21" t="inlineStr">
        <is>
          <t>着(終着)/発(その他)。終着駅の着発分離・統合の着発列判定に使用。</t>
        </is>
      </c>
    </row>
    <row r="22">
      <c r="A22" t="inlineStr">
        <is>
          <t>日跨ぎ</t>
        </is>
      </c>
      <c r="B22" t="inlineStr">
        <is>
          <t>○=24時超で翌日。時刻順序計算で+24h。</t>
        </is>
      </c>
    </row>
    <row r="23">
      <c r="A23" t="inlineStr">
        <is>
          <t>種別</t>
        </is>
      </c>
      <c r="B23" t="inlineStr">
        <is>
          <t>営業=無印/便乗=（便乗）/回送=【回送】を運転士名直後に付記。</t>
        </is>
      </c>
    </row>
    <row r="24">
      <c r="A24" t="inlineStr">
        <is>
          <t>充当</t>
        </is>
      </c>
      <c r="B24" t="inlineStr">
        <is>
          <t>通し運用の充当。当駅で値があればグレー付記(当該駅で空なら表示なし)。</t>
        </is>
      </c>
    </row>
    <row r="25">
      <c r="A25" t="inlineStr">
        <is>
          <t>着時刻(秒)</t>
        </is>
      </c>
      <c r="B25" t="inlineStr">
        <is>
          <t>秒精度の着(PDF由来)。表示はHH:MM。</t>
        </is>
      </c>
    </row>
    <row r="26">
      <c r="A26" t="inlineStr">
        <is>
          <t>発時刻(秒)</t>
        </is>
      </c>
      <c r="B26" t="inlineStr">
        <is>
          <t>秒精度の発(PDF由来)。表示はHH:MM。</t>
        </is>
      </c>
    </row>
    <row r="27">
      <c r="A27" t="inlineStr">
        <is>
          <t>車内集札</t>
        </is>
      </c>
      <c r="B27" t="inlineStr">
        <is>
          <t>○=車内集札便。紫#8e44ad太字『車内集札』を名前直後に付記。</t>
        </is>
      </c>
    </row>
    <row r="28">
      <c r="A28" t="inlineStr">
        <is>
          <t>金庫</t>
        </is>
      </c>
      <c r="B28" t="inlineStr">
        <is>
          <t>金庫運用の説明文。セル下部に別行『🔒{内容}』緑#16a085 11px。</t>
        </is>
      </c>
    </row>
    <row r="29">
      <c r="A29" t="inlineStr">
        <is>
          <t>後部要員</t>
        </is>
      </c>
      <c r="B29" t="inlineStr">
        <is>
          <t>『A系統(終日)』等。連結車(列番『連』)のみ名前直後に青#2980b9『+後{系統記号}』。</t>
        </is>
      </c>
    </row>
    <row r="30">
      <c r="A30" t="inlineStr">
        <is>
          <t>番線</t>
        </is>
      </c>
      <c r="B30" t="inlineStr">
        <is>
          <t>発着番線(出/入/留/誘 付記保持)。§5の対象のみ[ ]囲みで全駅表示。</t>
        </is>
      </c>
    </row>
    <row r="31">
      <c r="A31" t="inlineStr">
        <is>
          <t>西院止まり</t>
        </is>
      </c>
      <c r="B31" t="inlineStr">
        <is>
          <t>○=西院どまり(本線上り営業)。灰#636e72『［西院止まり］』を名前直後。</t>
        </is>
      </c>
    </row>
    <row r="32">
      <c r="A32" t="inlineStr">
        <is>
          <t>便乗表示列番</t>
        </is>
      </c>
      <c r="B32" t="inlineStr">
        <is>
          <t>便乗便の乗車列車番号。便乗便の列番表示に使用。</t>
        </is>
      </c>
    </row>
    <row r="33">
      <c r="A33" t="inlineStr">
        <is>
          <t>退勤</t>
        </is>
      </c>
      <c r="B33" t="inlineStr">
        <is>
          <t>○=その乗務員の当日最終担当便（データ保持）。§4［ラスト］（各系統の駅別・方向別の最終営業便）とは別概念。中休退勤は次休憩列。</t>
        </is>
      </c>
    </row>
    <row r="34">
      <c r="A34" t="inlineStr">
        <is>
          <t>次休憩</t>
        </is>
      </c>
      <c r="B34" t="inlineStr">
        <is>
          <t>『→{駅} 休憩(開始〜終了)』(通常120分未満)または『→{駅} 退勤(中休…)』(120分以上)。セル下部別行。休憩=橙#e67e22/退勤=赤#d63031。</t>
        </is>
      </c>
    </row>
    <row r="35">
      <c r="A35" t="inlineStr">
        <is>
          <t>【§3 基準時刻・表示範囲・JST】</t>
        </is>
      </c>
    </row>
    <row r="36">
      <c r="A36" t="inlineStr">
        <is>
          <t>基準時刻</t>
        </is>
      </c>
      <c r="B36" t="inlineStr">
        <is>
          <t>既定=実行時の日本時間JST(Asia/Tokyo)。引数で任意日時指定可。UTC/固定値禁止。</t>
        </is>
      </c>
    </row>
    <row r="37">
      <c r="A37" t="inlineStr">
        <is>
          <t>表示範囲</t>
        </is>
      </c>
      <c r="B37" t="inlineStr">
        <is>
          <t>基準の前30分〜後120分(計150分)。範囲外は出力しない。</t>
        </is>
      </c>
    </row>
    <row r="38">
      <c r="A38" t="inlineStr">
        <is>
          <t>ダイヤ確定</t>
        </is>
      </c>
      <c r="B38" t="inlineStr">
        <is>
          <t>早見表_全期間のダイヤ区分(曜日・祝日・年末年始判定済)で平日/休日を確定→行路_ロング該当ダイヤ。</t>
        </is>
      </c>
    </row>
    <row r="39">
      <c r="A39" t="inlineStr">
        <is>
          <t>回答時JST</t>
        </is>
      </c>
      <c r="B39" t="inlineStr">
        <is>
          <t>チャット回答は毎回先頭に『📅 YYYY-MM-DD（曜日）HH:MM JST』を必ず記載(運用ルール)。</t>
        </is>
      </c>
    </row>
    <row r="40">
      <c r="A40" t="inlineStr">
        <is>
          <t>【§4 ［ラスト］判定（系統別・方向別最終・駅ごと動的）】</t>
        </is>
      </c>
    </row>
    <row r="41">
      <c r="A41" t="inlineStr">
        <is>
          <t>定義</t>
        </is>
      </c>
      <c r="B41" t="inlineStr">
        <is>
          <t>［ラスト］=各系統がその駅を通る路線×方向ごとの最終営業便（その系統の最終発／最終着）。本線系統=上り最終・下り最終の両方／北野系統=上り最終・下り最終の両方。系統×路線×方向ごとに、その駅・当日ダイヤでの最終時刻便を動的判定。便乗・回送は対象外（営業便のみ）。〔2026-06-20改定：旧『本線=上り最終のみ』を上下両方へ拡張＝各乗務員の最終便（下り西院退勤便含む）を網羅。実装FINAL_RUNキー=(系統,路線,方向)。〕</t>
        </is>
      </c>
    </row>
    <row r="42">
      <c r="A42" t="inlineStr">
        <is>
          <t>判定範囲</t>
        </is>
      </c>
      <c r="B42" t="inlineStr">
        <is>
          <t>各系統について路線×方向ごとの最終営業便すべてに付す。グローバルな単一最終便ではなく系統×路線×方向ごと（複数系統・各方向が各々ラストを持つ）。その駅の表で、窓内にその系統のその方向の最終便が来ればラスト表示。</t>
        </is>
      </c>
    </row>
    <row r="43">
      <c r="A43" t="inlineStr">
        <is>
          <t>表記</t>
        </is>
      </c>
      <c r="B43" t="inlineStr">
        <is>
          <t>名前直後に赤#d63031太字11px『［ラスト］』。経過便なら薄字#b2bec3。回送/便乗は対象外。</t>
        </is>
      </c>
    </row>
    <row r="44">
      <c r="A44" t="inlineStr">
        <is>
          <t>【§5 番線表示（[ ]囲み・全駅）】</t>
        </is>
      </c>
    </row>
    <row r="45">
      <c r="A45" t="inlineStr">
        <is>
          <t>対象</t>
        </is>
      </c>
      <c r="B45" t="inlineStr">
        <is>
          <t>嵐山/四条大宮の2番線(着・発)、帷子ノ辻の北野線番線(3/4)、四条大宮の留置/誘導番線(1留/1誘)、帷子ノ辻北野線の留置/入庫/出庫番線(3留/4入/4出)。留/誘/留/入/出の付記がある便はその付記を保持して全駅(着発共)に表示。通常の番線1・北野白梅町・本線途中駅は非表示。付記番線(四条大宮・帷子)は『{駅名}{番線}→留置/入庫/出庫/誘導』形式で表示(着発の語は使わず→で示す)。</t>
        </is>
      </c>
    </row>
    <row r="46">
      <c r="A46" t="inlineStr">
        <is>
          <t>出典</t>
        </is>
      </c>
      <c r="B46" t="inlineStr">
        <is>
          <t>行路_ロング『番線』列(発着時刻表PDF由来)。本線上り番線は嵐山発番線・四条大宮着番線等、駅ごとに正しい値。</t>
        </is>
      </c>
    </row>
    <row r="47">
      <c r="A47" t="inlineStr">
        <is>
          <t>表記</t>
        </is>
      </c>
      <c r="B47" t="inlineStr">
        <is>
          <t>セル下部に別行、濃灰#34495e太字11px、[ ]囲み。略号 嵐=嵐山/四=四条大宮/帷=帷子ノ辻。通常番線の例[四2着][帷4発](番線の語は付けず略号+番号+着発)。付記番線は『{駅名}{番線}→{留置/入庫/出庫/誘導}』形式=例[四1着→留置][四1着→誘導][帷子3→留置][帷子4→入庫][帷子4→出庫]。該当列車は全駅(着発共)の表に表示。複数は時刻順。</t>
        </is>
      </c>
    </row>
    <row r="48">
      <c r="A48" t="inlineStr">
        <is>
          <t>【§6 駅タイプ・列構成（自動判定）】</t>
        </is>
      </c>
    </row>
    <row r="49">
      <c r="A49" t="inlineStr">
        <is>
          <t>本線のみ(2列)</t>
        </is>
      </c>
      <c r="B49" t="inlineStr">
        <is>
          <t>嵐山/嵯峨/鹿王院/車折/有栖川/太秦広隆寺/蚕ノ社/天神川/山ノ内/西大路三条/西院/四条大宮。列=本線上り(左)・本線下り(右)。</t>
        </is>
      </c>
    </row>
    <row r="50">
      <c r="A50" t="inlineStr">
        <is>
          <t>北野線のみ(2列)</t>
        </is>
      </c>
      <c r="B50" t="inlineStr">
        <is>
          <t>北野白梅町/等持院/龍安寺/妙心寺/御室仁和寺/宇多野/鳴滝/常盤/撮影所前。列=北野上り・北野下り。</t>
        </is>
      </c>
    </row>
    <row r="51">
      <c r="A51" t="inlineStr">
        <is>
          <t>分岐駅(4列)</t>
        </is>
      </c>
      <c r="B51" t="inlineStr">
        <is>
          <t>帷子ノ辻。列順=本線上り→本線下り→北野上り→北野下り。</t>
        </is>
      </c>
    </row>
    <row r="52">
      <c r="A52" t="inlineStr">
        <is>
          <t>【§7 終着駅 着発統合 / 分離（確定）】</t>
        </is>
      </c>
    </row>
    <row r="53">
      <c r="A53" t="inlineStr">
        <is>
          <t>統合3駅</t>
        </is>
      </c>
      <c r="B53" t="inlineStr">
        <is>
          <t>嵐山・四条大宮・北野白梅町(路線端の真の終点)のみ。到着と発車を【1つの表】に統合。</t>
        </is>
      </c>
    </row>
    <row r="54">
      <c r="A54" t="inlineStr">
        <is>
          <t>統合の表</t>
        </is>
      </c>
      <c r="B54" t="inlineStr">
        <is>
          <t>列=時刻｜{駅} 着（方向）｜{駅} 発（方向）。着列=着発フラグ『着』(終着到着)、発列=着発フラグ『発』(初発)。着列背景#e0f2f1/発列背景#eafaf8。生成器=gen_shu.py。</t>
        </is>
      </c>
    </row>
    <row r="55">
      <c r="A55" t="inlineStr">
        <is>
          <t>分離駅</t>
        </is>
      </c>
      <c r="B55" t="inlineStr">
        <is>
          <t>西院・帷子ノ辻・全途中駅は到着表と発車表を別ファイル。生成器=gen_kt_chaku.py(到着)/gen_kt.py(発車)。</t>
        </is>
      </c>
    </row>
    <row r="56">
      <c r="A56" t="inlineStr">
        <is>
          <t>到着表の抽出</t>
        </is>
      </c>
      <c r="B56" t="inlineStr">
        <is>
          <t>到着時刻が非空の便(終着=着時刻・途中駅=発時刻を到着とみなす)を到着時刻順。</t>
        </is>
      </c>
    </row>
    <row r="57">
      <c r="A57" t="inlineStr">
        <is>
          <t>発車表の抽出</t>
        </is>
      </c>
      <c r="B57" t="inlineStr">
        <is>
          <t>着発=発のイベントを時刻順。始発(到着時刻空)も表示。</t>
        </is>
      </c>
    </row>
    <row r="58">
      <c r="A58" t="inlineStr">
        <is>
          <t>便乗・回送</t>
        </is>
      </c>
      <c r="B58" t="inlineStr">
        <is>
          <t>除外せず表示。西院へ戻る便乗/回送も表示。</t>
        </is>
      </c>
    </row>
    <row r="59">
      <c r="A59" t="inlineStr">
        <is>
          <t>【§8 セル(担当)表記】</t>
        </is>
      </c>
    </row>
    <row r="60">
      <c r="A60" t="inlineStr">
        <is>
          <t>基本2段</t>
        </is>
      </c>
      <c r="B60" t="inlineStr">
        <is>
          <t>上段=『列{列車番号} 放送{放送番号}』(#999 11px)。下段=系統番号(太字13px)＋運転士名(13px #2d3436)＋付記タグ。</t>
        </is>
      </c>
    </row>
    <row r="61">
      <c r="A61" t="inlineStr">
        <is>
          <t>付記順</t>
        </is>
      </c>
      <c r="B61" t="inlineStr">
        <is>
          <t>運転士名の直後に: （便乗）/【回送】 → ［ラスト］ → 車内集札 → ［西院止まり］ → +後X。次に別行で 🔒金庫 → →駅休憩/退勤 → [番線]。</t>
        </is>
      </c>
    </row>
    <row r="62">
      <c r="A62" t="inlineStr">
        <is>
          <t>同時刻複数</t>
        </is>
      </c>
      <c r="B62" t="inlineStr">
        <is>
          <t>同一時刻・同一列の複数便は同セル内で 1px破線(#ddd) 区切りで併記。</t>
        </is>
      </c>
    </row>
    <row r="63">
      <c r="A63" t="inlineStr">
        <is>
          <t>欠員</t>
        </is>
      </c>
      <c r="B63" t="inlineStr">
        <is>
          <t>早見表が『欠員①』等は代務名を出さず赤系『欠員』。</t>
        </is>
      </c>
    </row>
    <row r="64">
      <c r="A64" t="inlineStr">
        <is>
          <t>縮小方式</t>
        </is>
      </c>
      <c r="B64" t="inlineStr">
        <is>
          <t>全付記spanは display:inline-block;transform:scale(1.0);transform-origin:left center; (モバイル最小フォント対策。サイズ調整はscale値のみ)。</t>
        </is>
      </c>
    </row>
    <row r="65">
      <c r="A65" t="inlineStr">
        <is>
          <t>【§9 毎時帯・薄字・ヘッダ・スクロール】</t>
        </is>
      </c>
    </row>
    <row r="66">
      <c r="A66" t="inlineStr">
        <is>
          <t>毎時帯</t>
        </is>
      </c>
      <c r="B66" t="inlineStr">
        <is>
          <t>hhが変わる先頭に1行。時刻側=背景#dfe6e9『hh時台』。各方向セル=ヘッダ色背景・白文字で『{駅名}（{方向} {行先}行）』。行先：本線上り=四条大宮/下り=嵐山、北野上り=北野白梅町/下り=帷子ノ辻。</t>
        </is>
      </c>
    </row>
    <row r="67">
      <c r="A67" t="inlineStr">
        <is>
          <t>薄字(経過便)</t>
        </is>
      </c>
      <c r="B67" t="inlineStr">
        <is>
          <t>基準時刻より前の便は時刻・担当・全付記・番線とも#b2bec3。経過と現在以降の境目に区切り行(id=now)＝太線border-top:4px #e11d48＋『━━ 現在 HH:MM 以降 ━━』。読込時はこの行へ自動スクロール。</t>
        </is>
      </c>
    </row>
    <row r="68">
      <c r="A68" t="inlineStr">
        <is>
          <t>固定ヘッダ</t>
        </is>
      </c>
      <c r="B68" t="inlineStr">
        <is>
          <t>thead を position:sticky;top:0;z-index:5。先頭セル=時刻/到着/発時刻。方向見出し=『{駅名}（{方向} {行先}行）』（統合は『{駅名} 着（方向）』『{駅名} 発（方向）』）。</t>
        </is>
      </c>
    </row>
    <row r="69">
      <c r="A69" t="inlineStr">
        <is>
          <t>初期スクロール</t>
        </is>
      </c>
      <c r="B69" t="inlineStr">
        <is>
          <t>読込時、基準以降の最初の便(id=now)を固定ヘッダ直下=ページ先頭へ。thead実高さを計測しその分だけ上げてscrollTo。setTimeout(60)で実行。</t>
        </is>
      </c>
    </row>
    <row r="70">
      <c r="A70" t="inlineStr">
        <is>
          <t>【§10 色・フォント・スタイル（確定値）】</t>
        </is>
      </c>
    </row>
    <row r="71">
      <c r="A71" t="inlineStr">
        <is>
          <t>ヘッダ色</t>
        </is>
      </c>
      <c r="B71" t="inlineStr">
        <is>
          <t>本線#00695c／北野#bf5700(白文字)。統合の着/発見出しは#00695c。時刻列ヘッダ#2d3436。</t>
        </is>
      </c>
    </row>
    <row r="72">
      <c r="A72" t="inlineStr">
        <is>
          <t>列背景</t>
        </is>
      </c>
      <c r="B72" t="inlineStr">
        <is>
          <t>本線上り#e0f2f1／本線下り#eafaf8／北野上り#fbeee4／北野下り#fdf4ec。毎時帯#dfe6e9。罫線1px #ccd1d4。</t>
        </is>
      </c>
    </row>
    <row r="73">
      <c r="A73" t="inlineStr">
        <is>
          <t>時刻</t>
        </is>
      </c>
      <c r="B73" t="inlineStr">
        <is>
          <t>#0984e3 太字 tabular-nums。経過#b2bec3。</t>
        </is>
      </c>
    </row>
    <row r="74">
      <c r="A74" t="inlineStr">
        <is>
          <t>状態色</t>
        </is>
      </c>
      <c r="B74" t="inlineStr">
        <is>
          <t>退勤/ラスト/中休退勤#d63031／→休憩#e67e22／車内集札#8e44ad／後部#2980b9／金庫#16a085／西院止まり・放送・列番#636e72,#999／番線#34495e／欠員 赤系。</t>
        </is>
      </c>
    </row>
    <row r="75">
      <c r="A75" t="inlineStr">
        <is>
          <t>フォント</t>
        </is>
      </c>
      <c r="B75" t="inlineStr">
        <is>
          <t>本文・系統・運転士・時刻=13px。列番・放送・全付記=11px。-apple-system,'Hiragino Sans','Noto Sans JP'。viewport=device-width。table-layout:fixed。先頭列幅 分離70px/統合54px。</t>
        </is>
      </c>
    </row>
    <row r="76">
      <c r="A76" t="inlineStr">
        <is>
          <t>【§11 ファイル名（厳守・半角のみ）】</t>
        </is>
      </c>
    </row>
    <row r="77">
      <c r="A77" t="inlineStr">
        <is>
          <t>形式</t>
        </is>
      </c>
      <c r="B77" t="inlineStr">
        <is>
          <t>頭にMMDD-HHMM(=生成時JST=作成時刻)。統合:MMDD-HHMM_&lt;ローマ字&gt;_着発.html／到着:_着.html／発車:_発.html。例 0617-2030_shijoomiya_着発.html。</t>
        </is>
      </c>
    </row>
    <row r="78">
      <c r="A78" t="inlineStr">
        <is>
          <t>制約</t>
        </is>
      </c>
      <c r="B78" t="inlineStr">
        <is>
          <t>日本語駅名は受渡しで文字化けするため半角ローマ字必須。発/着/着発の漢字のみ可。コロン・スペース・全角括弧不可。作成時刻を入れ『いつ作成したか』分かるようにする。</t>
        </is>
      </c>
    </row>
    <row r="79">
      <c r="A79" t="inlineStr">
        <is>
          <t>ROMA辞書</t>
        </is>
      </c>
      <c r="B79" t="inlineStr">
        <is>
          <t>嵐山=arashiyama 嵯峨=saga 鹿王院=rokuoin 車折=kurumazaki 有栖川=arisugawa 帷子ノ辻=katabira 太秦広隆寺=uzumasa 蚕ノ社=kaikonoyashiro 天神川=tenjingawa 山ノ内=yamanouchi 西大路三条=nishioji 西院=saiin 四条大宮=shijoomiya 北野白梅町=kitano 等持院=tojiin 龍安寺=ryoanji 妙心寺=myoshinji 御室仁和寺=omuro 宇多野=utano 鳴滝=narutaki 常盤=tokiwa 撮影所前=satsueijo</t>
        </is>
      </c>
    </row>
    <row r="80">
      <c r="A80" t="inlineStr">
        <is>
          <t>【§12 生成器・高速化】</t>
        </is>
      </c>
    </row>
    <row r="81">
      <c r="A81" t="inlineStr">
        <is>
          <t>生成器</t>
        </is>
      </c>
      <c r="B81" t="inlineStr">
        <is>
          <t>統合3駅=gen_shu.py / 到着=gen_kt_chaku.py / 発車=gen_kt.py。引数: 駅名 [YYYY-MM-DD] [HH:MM](省略時 現在JST)。出力先=同フォルダの『出力HTML』サブフォルダ(自動作成)。正本xlsx・検証用xlsx・生成器3本はProjects直下。</t>
        </is>
      </c>
    </row>
    <row r="82">
      <c r="A82" t="inlineStr">
        <is>
          <t>高速化</t>
        </is>
      </c>
      <c r="B82" t="inlineStr">
        <is>
          <t>load_workbook(data_only=True, read_only=True) で読込。行路_ロング・早見表_全期間のみ1回iterして材料化。再描画なし・1パス。</t>
        </is>
      </c>
    </row>
    <row r="83">
      <c r="A83" t="inlineStr">
        <is>
          <t>【§13 西院乗務交代（実装済み）】</t>
        </is>
      </c>
    </row>
    <row r="84">
      <c r="A84" t="inlineStr">
        <is>
          <t>西院乗務交代3段</t>
        </is>
      </c>
      <c r="B84" t="inlineStr">
        <is>
          <t>西院下りで(着時刻秒,発時刻秒)が一致する営業の着便と発便が別運転士のとき乗務交代。同一運転士(連XXXX↔XXXX)は切離=対象外、便乗は除外。セルを3段表示=上段[列{列番} 放送{番号}]／中段[退勤者=着便の系統・運転士＋退勤フラグ]／破線『─交代─』／下段[出勤者=発便の系統・運転士]。発車表は出勤者の発便位置、到着表は退勤者の着便位置に表示し相手便は重複抑制。判定キー=路線×ダイヤ×方向(下り)×(着時刻秒,発時刻秒)。生成器 gen_kt.py / gen_kt_chaku.py に実装済み。</t>
        </is>
      </c>
    </row>
    <row r="85">
      <c r="A85" t="inlineStr">
        <is>
          <t>【§14 未実装（将来仕様）】</t>
        </is>
      </c>
    </row>
    <row r="86">
      <c r="A86" t="inlineStr">
        <is>
          <t>西院切離統合</t>
        </is>
      </c>
      <c r="B86" t="inlineStr">
        <is>
          <t>連XXXX着とXXXX発が秒一致・同一運転士なら1便統合する構想。現行未実装。</t>
        </is>
      </c>
    </row>
    <row r="88">
      <c r="A88" t="inlineStr">
        <is>
          <t>【§15 駅名の画面表示名（実装済み 2026-06-20）】</t>
        </is>
      </c>
    </row>
    <row r="89">
      <c r="A89" t="inlineStr">
        <is>
          <t>表示名マップ</t>
        </is>
      </c>
      <c r="B89" t="inlineStr">
        <is>
          <t>データ照合キー（行路_ロングの駅名・MAIN_LINE/KITA_LINEのキー）はそのまま、画面表示だけ正式駅名へ置換。DISP={天神川→嵐電天神川／車折→車折神社／嵯峨→嵐電嵯峨}。適用箇所＝プルダウンoption・列見出し(band/thead)・各駅セクション説明文(sdesc)。実装＝gen_all.py の DISP辞書＋disp()関数。data-eki(ROMA)は内部キーのままなのでlocalStorage/位置情報/リンクは不変。他駅は従来表記のまま。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2026-06-14T02:39:38Z</dcterms:created>
  <dcterms:modified xmlns:dcterms="http://purl.org/dc/terms/" xmlns:xsi="http://www.w3.org/2001/XMLSchema-instance" xsi:type="dcterms:W3CDTF">2026-06-21T04:42:01Z</dcterms:modified>
  <cp:lastModifiedBy>尚也 横田</cp:lastModifiedBy>
  <cp:revision>0</cp:revision>
</cp:coreProperties>
</file>